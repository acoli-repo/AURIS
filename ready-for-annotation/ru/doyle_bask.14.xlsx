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<sst xmlns="http://schemas.openxmlformats.org/spreadsheetml/2006/main" count="8480" uniqueCount="3108">
  <si>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</si>
  <si>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</si>
  <si>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</si>
  <si>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</si>
  <si>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</si>
  <si>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</si>
  <si>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</si>
  <si>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</si>
  <si>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</si>
  <si>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</si>
  <si>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</si>
  <si>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</si>
  <si>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один</t>
  </si>
  <si>
    <t>Одним из недостатков Шерлока Холмса — если только это можно назвать недостатком — было то , что он никогда и ни с кем не делился своими планами вплоть до их свершения .</t>
  </si>
  <si>
    <t>file://conllu/ru/doyle_bask.14.conllu#s1_0</t>
  </si>
  <si>
    <t>2</t>
  </si>
  <si>
    <t>3</t>
  </si>
  <si>
    <t>объяснять</t>
  </si>
  <si>
    <t>Такая скрытность объяснялась отчасти властной натурой этого человека , любившего повелевать окружающими и поражать их воображение , отчасти профессиональной осторожностью , не позволявшей ему рисковать без нужды .</t>
  </si>
  <si>
    <t>file://conllu/ru/doyle_bask.14.conllu#s2_0</t>
  </si>
  <si>
    <t>12</t>
  </si>
  <si>
    <t>доставлять</t>
  </si>
  <si>
    <t>Как бы то ни было , эта черта характера Шерлока Холмса доставляла много неприятностей тем , кто работал с ним в качестве его агентов или помощников .</t>
  </si>
  <si>
    <t>file://conllu/ru/doyle_bask.14.conllu#s3_0</t>
  </si>
  <si>
    <t>4</t>
  </si>
  <si>
    <t>страдать</t>
  </si>
  <si>
    <t>Я сам часто страдал от нее , но то , что мне пришлось вытерпеть за это долгое путешествие в темноте , превзошло все мои прошлые муки .</t>
  </si>
  <si>
    <t>file://conllu/ru/doyle_bask.14.conllu#s4_0</t>
  </si>
  <si>
    <t>5</t>
  </si>
  <si>
    <t>предстоять</t>
  </si>
  <si>
    <t>Нам предстояло нелегкое испытание , мы были готовы нанести последний , решающий удар , а Холмс упорно молчал , и я мог только догадываться о его планах .</t>
  </si>
  <si>
    <t>file://conllu/ru/doyle_bask.14.conllu#s5_0</t>
  </si>
  <si>
    <t>6</t>
  </si>
  <si>
    <t>дойти</t>
  </si>
  <si>
    <t>Мое нервное напряжение дошло до предела , как вдруг в лицо нам пахнуло холодным ветром , и , глянув в темноту , на пустынные просторы , тянувшиеся по обеим сторонам узкой дороги , я понял , что мы снова очутились на болотах .</t>
  </si>
  <si>
    <t>file://conllu/ru/doyle_bask.14.conllu#s6_0</t>
  </si>
  <si>
    <t>7</t>
  </si>
  <si>
    <t>шаг</t>
  </si>
  <si>
    <t>Каждый шаг лошадей , каждый поворот колес приближал нас к развязке всех этих событий .</t>
  </si>
  <si>
    <t>file://conllu/ru/doyle_bask.14.conllu#s7_0</t>
  </si>
  <si>
    <t>8</t>
  </si>
  <si>
    <t>10</t>
  </si>
  <si>
    <t>быть (быть нельзя)</t>
  </si>
  <si>
    <t>В присутствии возницы , нанятого в Кумби-Треси , нельзя было говорить о деле , и мы , несмотря на все свое волнение , беседовали о каких-то пустяках .</t>
  </si>
  <si>
    <t>file://conllu/ru/doyle_bask.14.conllu#s8_0</t>
  </si>
  <si>
    <t>9</t>
  </si>
  <si>
    <t>вздохнуть</t>
  </si>
  <si>
    <t>Я облегченно вздохнул , когда в стороне от дороги показался коттедж Френкленда , от которого оставалось две три мили до Баскервиль холла и до того места , где должна была разыграться заключительная сцена трагедии .</t>
  </si>
  <si>
    <t>file://conllu/ru/doyle_bask.14.conllu#s9_0</t>
  </si>
  <si>
    <t>проездить</t>
  </si>
  <si>
    <t>Не останавливаясь у подъезда , мы проехали к калитке в тисовой аллее , расплатились с возницей , отправили его обратно в Кумби-Треси , а сами пошли по направлению к Меррипит-хаус .</t>
  </si>
  <si>
    <t>file://conllu/ru/doyle_bask.14.conllu#s10_0</t>
  </si>
  <si>
    <t>11</t>
  </si>
  <si>
    <t>оружие</t>
  </si>
  <si>
    <t>— Вы с оружием , Лестрейд ?</t>
  </si>
  <si>
    <t>file://conllu/ru/doyle_bask.14.conllu#s11_0</t>
  </si>
  <si>
    <t>улыбнуться</t>
  </si>
  <si>
    <t>Маленький сыщик улыбнулся : — Раз на мне брюки , значит , и задний карман у них есть , а раз есть задний карман , значит , он не пустует .</t>
  </si>
  <si>
    <t>file://conllu/ru/doyle_bask.14.conllu#s12_0</t>
  </si>
  <si>
    <t>13</t>
  </si>
  <si>
    <t>прекрасно</t>
  </si>
  <si>
    <t>— Вот и прекрасно !</t>
  </si>
  <si>
    <t>file://conllu/ru/doyle_bask.14.conllu#s13_0</t>
  </si>
  <si>
    <t>14</t>
  </si>
  <si>
    <t>приготовиться</t>
  </si>
  <si>
    <t>Мы с Уотсоном тоже приготовились ко всяким неожиданностям .</t>
  </si>
  <si>
    <t>file://conllu/ru/doyle_bask.14.conllu#s14_0</t>
  </si>
  <si>
    <t>15</t>
  </si>
  <si>
    <t>видеть</t>
  </si>
  <si>
    <t>— Я вижу , вы настроены очень серьезно , мистер Холмс .</t>
  </si>
  <si>
    <t>file://conllu/ru/doyle_bask.14.conllu#s15_0</t>
  </si>
  <si>
    <t>16</t>
  </si>
  <si>
    <t>требоваться</t>
  </si>
  <si>
    <t>А что от нас теперь требуется в этой игре ?</t>
  </si>
  <si>
    <t>file://conllu/ru/doyle_bask.14.conllu#s16_0</t>
  </si>
  <si>
    <t>17</t>
  </si>
  <si>
    <t>— Требуется терпение .</t>
  </si>
  <si>
    <t>file://conllu/ru/doyle_bask.14.conllu#s17_0</t>
  </si>
  <si>
    <t>18</t>
  </si>
  <si>
    <t>ждать</t>
  </si>
  <si>
    <t>Будем ждать .</t>
  </si>
  <si>
    <t>file://conllu/ru/doyle_bask.14.conllu#s18_0</t>
  </si>
  <si>
    <t>19</t>
  </si>
  <si>
    <t>веселый</t>
  </si>
  <si>
    <t>— Действительно , места здесь не очень веселые !</t>
  </si>
  <si>
    <t>file://conllu/ru/doyle_bask.14.conllu#s19_0</t>
  </si>
  <si>
    <t>20</t>
  </si>
  <si>
    <t>повести</t>
  </si>
  <si>
    <t>— Сыщик повел плечами , глядя на мрачные склоны холмов и туман , озером разлившийся над Гримпенской трясиной .</t>
  </si>
  <si>
    <t>file://conllu/ru/doyle_bask.14.conllu#s20_0</t>
  </si>
  <si>
    <t>21</t>
  </si>
  <si>
    <t>гореть</t>
  </si>
  <si>
    <t>— А вон где-то горит огонек .</t>
  </si>
  <si>
    <t>file://conllu/ru/doyle_bask.14.conllu#s21_0</t>
  </si>
  <si>
    <t>22</t>
  </si>
  <si>
    <t>Меррипит-хаус</t>
  </si>
  <si>
    <t>— Это Меррипит-хаус — конечная цель нашего путешествия .</t>
  </si>
  <si>
    <t>file://conllu/ru/doyle_bask.14.conllu#s22_0</t>
  </si>
  <si>
    <t>23</t>
  </si>
  <si>
    <t>попросать</t>
  </si>
  <si>
    <t>Теперь попрошу вас ступать как можно тише и говорить шепотом .</t>
  </si>
  <si>
    <t>file://conllu/ru/doyle_bask.14.conllu#s23_0</t>
  </si>
  <si>
    <t>24</t>
  </si>
  <si>
    <t>шагать</t>
  </si>
  <si>
    <t>Мы осторожно шагали по тропинке , которая вела к дому , но ярдов за двести от него Холмс остановился .</t>
  </si>
  <si>
    <t>file://conllu/ru/doyle_bask.14.conllu#s24_0</t>
  </si>
  <si>
    <t>25</t>
  </si>
  <si>
    <t>надо</t>
  </si>
  <si>
    <t>— Дальше не надо , — сказал он .</t>
  </si>
  <si>
    <t>file://conllu/ru/doyle_bask.14.conllu#s25_0</t>
  </si>
  <si>
    <t>26</t>
  </si>
  <si>
    <t>послужать</t>
  </si>
  <si>
    <t>— Вот эти валуны послужат нам прекрасной ширмой .</t>
  </si>
  <si>
    <t>file://conllu/ru/doyle_bask.14.conllu#s26_0</t>
  </si>
  <si>
    <t>27</t>
  </si>
  <si>
    <t>здесь</t>
  </si>
  <si>
    <t>— Здесь и будем ждать ?</t>
  </si>
  <si>
    <t>file://conllu/ru/doyle_bask.14.conllu#s27_0</t>
  </si>
  <si>
    <t>28</t>
  </si>
  <si>
    <t>устроить</t>
  </si>
  <si>
    <t>— Да , устроим засаду .</t>
  </si>
  <si>
    <t>file://conllu/ru/doyle_bask.14.conllu#s28_0</t>
  </si>
  <si>
    <t>29</t>
  </si>
  <si>
    <t>Стануть</t>
  </si>
  <si>
    <t>Станьте вот сюда , Лестрейд .</t>
  </si>
  <si>
    <t>file://conllu/ru/doyle_bask.14.conllu#s29_0</t>
  </si>
  <si>
    <t>30</t>
  </si>
  <si>
    <t>Уотсно</t>
  </si>
  <si>
    <t>Уотсон , ведь вы бывали в доме ?</t>
  </si>
  <si>
    <t>file://conllu/ru/doyle_bask.14.conllu#s30_0</t>
  </si>
  <si>
    <t>31</t>
  </si>
  <si>
    <t>знать</t>
  </si>
  <si>
    <t>Расположение комнат знаете ?</t>
  </si>
  <si>
    <t>file://conllu/ru/doyle_bask.14.conllu#s31_0</t>
  </si>
  <si>
    <t>32</t>
  </si>
  <si>
    <t>что</t>
  </si>
  <si>
    <t>Вон те окна с переплетом — что это ?</t>
  </si>
  <si>
    <t>file://conllu/ru/doyle_bask.14.conllu#s32_0</t>
  </si>
  <si>
    <t>33</t>
  </si>
  <si>
    <t>кухня</t>
  </si>
  <si>
    <t>— По-моему , кухня .</t>
  </si>
  <si>
    <t>file://conllu/ru/doyle_bask.14.conllu#s33_0</t>
  </si>
  <si>
    <t>34</t>
  </si>
  <si>
    <t>следующий</t>
  </si>
  <si>
    <t>— А следующее , ярко освещенное ?</t>
  </si>
  <si>
    <t>file://conllu/ru/doyle_bask.14.conllu#s34_0</t>
  </si>
  <si>
    <t>35</t>
  </si>
  <si>
    <t>столовий</t>
  </si>
  <si>
    <t>— Это столовая .</t>
  </si>
  <si>
    <t>file://conllu/ru/doyle_bask.14.conllu#s35_0</t>
  </si>
  <si>
    <t>36</t>
  </si>
  <si>
    <t>поднять</t>
  </si>
  <si>
    <t>— Шторы подняты .</t>
  </si>
  <si>
    <t>file://conllu/ru/doyle_bask.14.conllu#s36_0</t>
  </si>
  <si>
    <t>37</t>
  </si>
  <si>
    <t>хороший</t>
  </si>
  <si>
    <t>Вы лучше меня знаете , как туда пройти .</t>
  </si>
  <si>
    <t>file://conllu/ru/doyle_bask.14.conllu#s37_0</t>
  </si>
  <si>
    <t>38</t>
  </si>
  <si>
    <t>Заглянить</t>
  </si>
  <si>
    <t>Загляните в окно — что они там делают ?</t>
  </si>
  <si>
    <t>file://conllu/ru/doyle_bask.14.conllu#s38_0</t>
  </si>
  <si>
    <t>39</t>
  </si>
  <si>
    <t>бог</t>
  </si>
  <si>
    <t>Только , ради бога , тише .</t>
  </si>
  <si>
    <t>file://conllu/ru/doyle_bask.14.conllu#s39_0</t>
  </si>
  <si>
    <t>40</t>
  </si>
  <si>
    <t>слышать</t>
  </si>
  <si>
    <t>Как бы вас не услышали .</t>
  </si>
  <si>
    <t>file://conllu/ru/doyle_bask.14.conllu#s40_0</t>
  </si>
  <si>
    <t>41</t>
  </si>
  <si>
    <t>подкрасться</t>
  </si>
  <si>
    <t>Я подкрался на цыпочках к низкой каменной ограде , окружающей чахлый садик Стэплтонов , и , пробираясь в ее тени , дошел до того места , откуда можно было заглянуть в незанавешенное окно .</t>
  </si>
  <si>
    <t>file://conllu/ru/doyle_bask.14.conllu#s41_0</t>
  </si>
  <si>
    <t>42</t>
  </si>
  <si>
    <t>быть (быть комната)</t>
  </si>
  <si>
    <t>В комнате были двое мужчин — сэр Генри и Стэплтон .</t>
  </si>
  <si>
    <t>file://conllu/ru/doyle_bask.14.conllu#s42_0</t>
  </si>
  <si>
    <t>43</t>
  </si>
  <si>
    <t>сидеть</t>
  </si>
  <si>
    <t>Они сидели друг против друга за круглым столом , ко мне в профиль , и курили сигары .</t>
  </si>
  <si>
    <t>file://conllu/ru/doyle_bask.14.conllu#s43_0</t>
  </si>
  <si>
    <t>44</t>
  </si>
  <si>
    <t>стоять</t>
  </si>
  <si>
    <t>Перед ними стояли чашки с кофе и вино .</t>
  </si>
  <si>
    <t>file://conllu/ru/doyle_bask.14.conllu#s44_0</t>
  </si>
  <si>
    <t>45</t>
  </si>
  <si>
    <t>слушать (слушать говорить)</t>
  </si>
  <si>
    <t>Стэплтон оживленно говорил о чем-то , но баронет сидел бледный и слушал его невнимательно .</t>
  </si>
  <si>
    <t>file://conllu/ru/doyle_bask.14.conllu#s45_0</t>
  </si>
  <si>
    <t>46</t>
  </si>
  <si>
    <t>давать</t>
  </si>
  <si>
    <t>Ему , вероятно , не давала покоя мысль о скором возвращении домой по зловещим болотам .</t>
  </si>
  <si>
    <t>file://conllu/ru/doyle_bask.14.conllu#s46_0</t>
  </si>
  <si>
    <t>47</t>
  </si>
  <si>
    <t>встасть</t>
  </si>
  <si>
    <t>Но вот Стэплтон встал и вышел из комнаты , а сэр Генри подлил себе вина в стакан и откинулся на спинку стула , попыхивая сигарой .</t>
  </si>
  <si>
    <t>file://conllu/ru/doyle_bask.14.conllu#s47_0</t>
  </si>
  <si>
    <t>48</t>
  </si>
  <si>
    <t>Я услышал скрип двери , потом похрустывание гравия на тропинке .</t>
  </si>
  <si>
    <t>file://conllu/ru/doyle_bask.14.conllu#s48_0</t>
  </si>
  <si>
    <t>49</t>
  </si>
  <si>
    <t>приближаться</t>
  </si>
  <si>
    <t>Шаги приближались ко мне .</t>
  </si>
  <si>
    <t>file://conllu/ru/doyle_bask.14.conllu#s49_0</t>
  </si>
  <si>
    <t>50</t>
  </si>
  <si>
    <t>Выглянув из-за стены , я увидел , что натуралист остановился у небольшого сарая в углу сада .</t>
  </si>
  <si>
    <t>file://conllu/ru/doyle_bask.14.conllu#s50_0</t>
  </si>
  <si>
    <t>51</t>
  </si>
  <si>
    <t>Звякнуть</t>
  </si>
  <si>
    <t>Звякнул ключ в замке , и в сарае послышалась какая-то возня .</t>
  </si>
  <si>
    <t>file://conllu/ru/doyle_bask.14.conllu#s51_0</t>
  </si>
  <si>
    <t>52</t>
  </si>
  <si>
    <t>пробыть</t>
  </si>
  <si>
    <t>Стэплтон пробыл там не больше двух минут , снова звякнул ключом , прошел мимо меня и исчез в доме .</t>
  </si>
  <si>
    <t>file://conllu/ru/doyle_bask.14.conllu#s52_0</t>
  </si>
  <si>
    <t>53</t>
  </si>
  <si>
    <t>Я увидел , что он вернулся к своему гостю ; осторожно пробравшись к товарищам , я рассказал им все это .</t>
  </si>
  <si>
    <t>file://conllu/ru/doyle_bask.14.conllu#s53_0</t>
  </si>
  <si>
    <t>54</t>
  </si>
  <si>
    <t>спросить</t>
  </si>
  <si>
    <t>— Значит , женщина не с ними ? — спросил Холмс , когда я кончил .</t>
  </si>
  <si>
    <t>file://conllu/ru/doyle_bask.14.conllu#s54_0</t>
  </si>
  <si>
    <t>55</t>
  </si>
  <si>
    <t>нет</t>
  </si>
  <si>
    <t>— Нет .</t>
  </si>
  <si>
    <t>file://conllu/ru/doyle_bask.14.conllu#s55_0</t>
  </si>
  <si>
    <t>56</t>
  </si>
  <si>
    <t>где</t>
  </si>
  <si>
    <t>— Тогда где же она ?</t>
  </si>
  <si>
    <t>file://conllu/ru/doyle_bask.14.conllu#s56_0</t>
  </si>
  <si>
    <t>57</t>
  </si>
  <si>
    <t>темный</t>
  </si>
  <si>
    <t>Ведь , кроме кухни и столовой , все окна темные .</t>
  </si>
  <si>
    <t>file://conllu/ru/doyle_bask.14.conllu#s57_0</t>
  </si>
  <si>
    <t>58</t>
  </si>
  <si>
    <t>— Право , не знаю .</t>
  </si>
  <si>
    <t>file://conllu/ru/doyle_bask.14.conllu#s58_0</t>
  </si>
  <si>
    <t>59</t>
  </si>
  <si>
    <t>говорить</t>
  </si>
  <si>
    <t>Я уже говорил , что над Гримпенской трясиной стлался густой белый туман .</t>
  </si>
  <si>
    <t>file://conllu/ru/doyle_bask.14.conllu#s59_0</t>
  </si>
  <si>
    <t>60</t>
  </si>
  <si>
    <t>ползти</t>
  </si>
  <si>
    <t>Он медленно полз в нашу сторону , окружая нас и справа и слева низким , но плотным валом .</t>
  </si>
  <si>
    <t>file://conllu/ru/doyle_bask.14.conllu#s60_0</t>
  </si>
  <si>
    <t>61</t>
  </si>
  <si>
    <t>превращать</t>
  </si>
  <si>
    <t>Лившийся сверху лунный свет превращал его в мерцающее ледяное поле , над которым , словно черные пики , вздымались верхушки отдаленных гранитных столбов .</t>
  </si>
  <si>
    <t>file://conllu/ru/doyle_bask.14.conllu#s61_0</t>
  </si>
  <si>
    <t>62</t>
  </si>
  <si>
    <t>повернуться</t>
  </si>
  <si>
    <t>Холмс повернулся в ту сторону и , глядя на эту медленно подползающую белую стену , нетерпеливо пробормотал : — Смотрите , Уотсон , туман движется прямо на нас .</t>
  </si>
  <si>
    <t>file://conllu/ru/doyle_bask.14.conllu#s62_0</t>
  </si>
  <si>
    <t>63</t>
  </si>
  <si>
    <t>нехороший</t>
  </si>
  <si>
    <t>— А это нехорошо ?</t>
  </si>
  <si>
    <t>file://conllu/ru/doyle_bask.14.conllu#s63_0</t>
  </si>
  <si>
    <t>64</t>
  </si>
  <si>
    <t>некуда</t>
  </si>
  <si>
    <t>— Хуже некуда !</t>
  </si>
  <si>
    <t>file://conllu/ru/doyle_bask.14.conllu#s64_0</t>
  </si>
  <si>
    <t>65</t>
  </si>
  <si>
    <t>туман</t>
  </si>
  <si>
    <t>Туман — единственное , что может нарушить мои планы .</t>
  </si>
  <si>
    <t>file://conllu/ru/doyle_bask.14.conllu#s65_0</t>
  </si>
  <si>
    <t>66</t>
  </si>
  <si>
    <t>задержиться</t>
  </si>
  <si>
    <t>Но сэр Генри там не задержится .</t>
  </si>
  <si>
    <t>file://conllu/ru/doyle_bask.14.conllu#s66_0</t>
  </si>
  <si>
    <t>67</t>
  </si>
  <si>
    <t>час</t>
  </si>
  <si>
    <t>Уже десять часов .</t>
  </si>
  <si>
    <t>file://conllu/ru/doyle_bask.14.conllu#s67_0</t>
  </si>
  <si>
    <t>68</t>
  </si>
  <si>
    <t>зависеть</t>
  </si>
  <si>
    <t>Теперь все — и наш успех и даже его жизнь — зависит от того , выйдет ли он прежде , чем туман доползет до тропинки , или нет .</t>
  </si>
  <si>
    <t>file://conllu/ru/doyle_bask.14.conllu#s68_0</t>
  </si>
  <si>
    <t>69</t>
  </si>
  <si>
    <t>быть (быть чистый)</t>
  </si>
  <si>
    <t>Ночное небо было чистое , без единого облачка .</t>
  </si>
  <si>
    <t>file://conllu/ru/doyle_bask.14.conllu#s69_0</t>
  </si>
  <si>
    <t>70</t>
  </si>
  <si>
    <t>поблескивать</t>
  </si>
  <si>
    <t>Звезды холодно поблескивали в вышине , луна заливала болота мягким неверным светом .</t>
  </si>
  <si>
    <t>file://conllu/ru/doyle_bask.14.conllu#s70_0</t>
  </si>
  <si>
    <t>71</t>
  </si>
  <si>
    <t>чернеть</t>
  </si>
  <si>
    <t>Прямо перед нами смутно чернели очертания дома с остроконечной крышей , словно ощетинившейся трубами , которые четко выступали на звездном небе .</t>
  </si>
  <si>
    <t>file://conllu/ru/doyle_bask.14.conllu#s71_0</t>
  </si>
  <si>
    <t>72</t>
  </si>
  <si>
    <t>падать</t>
  </si>
  <si>
    <t>Широкие золотые полосы падали из окон нижнего этажа в сад и дальше , на болота .</t>
  </si>
  <si>
    <t>file://conllu/ru/doyle_bask.14.conllu#s72_0</t>
  </si>
  <si>
    <t>73</t>
  </si>
  <si>
    <t>погаснуть</t>
  </si>
  <si>
    <t>Одна из них вдруг погасла .</t>
  </si>
  <si>
    <t>file://conllu/ru/doyle_bask.14.conllu#s73_0</t>
  </si>
  <si>
    <t>74</t>
  </si>
  <si>
    <t>выйти</t>
  </si>
  <si>
    <t>Слуги вышли из кухни .</t>
  </si>
  <si>
    <t>file://conllu/ru/doyle_bask.14.conllu#s74_0</t>
  </si>
  <si>
    <t>75</t>
  </si>
  <si>
    <t>Теперь лампа горела только в столовой , где те двое — убийца хозяин и ничего не подозревающий гость — покуривали сигары и продолжали свой разговор .</t>
  </si>
  <si>
    <t>file://conllu/ru/doyle_bask.14.conllu#s75_0</t>
  </si>
  <si>
    <t>76</t>
  </si>
  <si>
    <t>пелен</t>
  </si>
  <si>
    <t>Белая волокнистая пелена , затянувшая почти все болото , с каждой минутой приближалась к дому .</t>
  </si>
  <si>
    <t>file://conllu/ru/doyle_bask.14.conllu#s76_0</t>
  </si>
  <si>
    <t>77</t>
  </si>
  <si>
    <t>завиваться</t>
  </si>
  <si>
    <t>Первые прозрачные клочья уже завивались у золотистого квадрата освещенного окна .</t>
  </si>
  <si>
    <t>file://conllu/ru/doyle_bask.14.conllu#s77_0</t>
  </si>
  <si>
    <t>78</t>
  </si>
  <si>
    <t>исчезнуть</t>
  </si>
  <si>
    <t>Дальняя стена сада совсем исчезла в этой клубящейся мгле , над которой виднелись только верхушки деревьев .</t>
  </si>
  <si>
    <t>file://conllu/ru/doyle_bask.14.conllu#s78_0</t>
  </si>
  <si>
    <t>79</t>
  </si>
  <si>
    <t>казаться</t>
  </si>
  <si>
    <t>Вот белесые кольца показались с обеих сторон дома и медленно слились в плотный вал , и верхний этаж с крышей всплыл над ним , точно волшебный корабль на волнах призрачного моря .</t>
  </si>
  <si>
    <t>file://conllu/ru/doyle_bask.14.conllu#s79_0</t>
  </si>
  <si>
    <t>80</t>
  </si>
  <si>
    <t>ударить</t>
  </si>
  <si>
    <t>Холмс яростно ударил кулаком о камень , за которым мы стояли , и вне себя от нетерпения топнул ногой .</t>
  </si>
  <si>
    <t>file://conllu/ru/doyle_bask.14.conllu#s80_0</t>
  </si>
  <si>
    <t>81</t>
  </si>
  <si>
    <t>затянуть</t>
  </si>
  <si>
    <t>— Если он не появится через четверть часа , тропинку затянет туманом , а через пол часа мы уже не сможем разглядеть собственную руку в этой тьме .</t>
  </si>
  <si>
    <t>file://conllu/ru/doyle_bask.14.conllu#s81_0</t>
  </si>
  <si>
    <t>82</t>
  </si>
  <si>
    <t>Отойти</t>
  </si>
  <si>
    <t>— Отойдем немного назад , там выше .</t>
  </si>
  <si>
    <t>file://conllu/ru/doyle_bask.14.conllu#s82_0</t>
  </si>
  <si>
    <t>83</t>
  </si>
  <si>
    <t>делать</t>
  </si>
  <si>
    <t>— Да , пожалуй , так и сделаем .</t>
  </si>
  <si>
    <t>file://conllu/ru/doyle_bask.14.conllu#s83_0</t>
  </si>
  <si>
    <t>84</t>
  </si>
  <si>
    <t>отступать</t>
  </si>
  <si>
    <t>По мере того как туман надвигался на нас , мы отступали все дальше и дальше , пока не очутились в полумиле от дома .</t>
  </si>
  <si>
    <t>file://conllu/ru/doyle_bask.14.conllu#s84_0</t>
  </si>
  <si>
    <t>85</t>
  </si>
  <si>
    <t>подбирать</t>
  </si>
  <si>
    <t>Но сплошное белесое море , посеребренное сверху луной , подбиралось и туда , продолжая свое медленное , неуклонное наступление .</t>
  </si>
  <si>
    <t>file://conllu/ru/doyle_bask.14.conllu#s85_0</t>
  </si>
  <si>
    <t>86</t>
  </si>
  <si>
    <t>зайти</t>
  </si>
  <si>
    <t>— Мы слишком далеко зашли , — сказал Холмс .</t>
  </si>
  <si>
    <t>file://conllu/ru/doyle_bask.14.conllu#s86_0</t>
  </si>
  <si>
    <t>87</t>
  </si>
  <si>
    <t>рискованный</t>
  </si>
  <si>
    <t>— Это уже рискованно : его могут настигнуть прежде , чем он дойдет до нас .</t>
  </si>
  <si>
    <t>file://conllu/ru/doyle_bask.14.conllu#s87_0</t>
  </si>
  <si>
    <t>88</t>
  </si>
  <si>
    <t>остаться</t>
  </si>
  <si>
    <t>Ну , будь что будет , останемся здесь .</t>
  </si>
  <si>
    <t>file://conllu/ru/doyle_bask.14.conllu#s88_0</t>
  </si>
  <si>
    <t>89</t>
  </si>
  <si>
    <t>опуститься</t>
  </si>
  <si>
    <t>Он опустился на колени и приложил ухо к земле .</t>
  </si>
  <si>
    <t>file://conllu/ru/doyle_bask.14.conllu#s89_0</t>
  </si>
  <si>
    <t>90</t>
  </si>
  <si>
    <t>слава</t>
  </si>
  <si>
    <t>— Слава богу !</t>
  </si>
  <si>
    <t>file://conllu/ru/doyle_bask.14.conllu#s90_0</t>
  </si>
  <si>
    <t>91</t>
  </si>
  <si>
    <t>идти</t>
  </si>
  <si>
    <t>Кажется , идет !</t>
  </si>
  <si>
    <t>file://conllu/ru/doyle_bask.14.conllu#s91_0</t>
  </si>
  <si>
    <t>92</t>
  </si>
  <si>
    <t>слышаться</t>
  </si>
  <si>
    <t>В тишине болот послышались быстрые шаги .</t>
  </si>
  <si>
    <t>file://conllu/ru/doyle_bask.14.conllu#s92_0</t>
  </si>
  <si>
    <t>93</t>
  </si>
  <si>
    <t>всматриваться</t>
  </si>
  <si>
    <t>Пригнувшись за валунами , мы напряженно всматривались в подступавшую к нам мутно -серебристую стену .</t>
  </si>
  <si>
    <t>file://conllu/ru/doyle_bask.14.conllu#s93_0</t>
  </si>
  <si>
    <t>94</t>
  </si>
  <si>
    <t>Шаги все приближались , и вот из тумана , словно распахнув перед собой занавес , выступил тот , кого мы поджидали .</t>
  </si>
  <si>
    <t>file://conllu/ru/doyle_bask.14.conllu#s94_0</t>
  </si>
  <si>
    <t>95</t>
  </si>
  <si>
    <t>осмотреться</t>
  </si>
  <si>
    <t>Увидя над собой чистое звездное небо , он с удивлением осмотрелся по сторонам .</t>
  </si>
  <si>
    <t>file://conllu/ru/doyle_bask.14.conllu#s95_0</t>
  </si>
  <si>
    <t>96</t>
  </si>
  <si>
    <t>Потом быстро зашагал по тропинке , прошел мимо нас и стал подниматься вверх по отлогому склону , начинавшемуся сразу за валунами .</t>
  </si>
  <si>
    <t>file://conllu/ru/doyle_bask.14.conllu#s96_0</t>
  </si>
  <si>
    <t>97</t>
  </si>
  <si>
    <t>оглядываться</t>
  </si>
  <si>
    <t>На ходу он то и дело оглядывался через плечо , видимо остерегаясь чего-то .</t>
  </si>
  <si>
    <t>file://conllu/ru/doyle_bask.14.conllu#s97_0</t>
  </si>
  <si>
    <t>98</t>
  </si>
  <si>
    <t>Тсс</t>
  </si>
  <si>
    <t>— Тсс ! — шепнул Холмс и щелкнул курком , — Смотрите !</t>
  </si>
  <si>
    <t>file://conllu/ru/doyle_bask.14.conllu#s98_0</t>
  </si>
  <si>
    <t>99</t>
  </si>
  <si>
    <t>вот</t>
  </si>
  <si>
    <t>Вот она !</t>
  </si>
  <si>
    <t>file://conllu/ru/doyle_bask.14.conllu#s99_0</t>
  </si>
  <si>
    <t>100</t>
  </si>
  <si>
    <t>В самой гуще подползающего к нам тумана послышался мерный , дробный топот .</t>
  </si>
  <si>
    <t>file://conllu/ru/doyle_bask.14.conllu#s100_0</t>
  </si>
  <si>
    <t>101</t>
  </si>
  <si>
    <t>быть (быть ярд)</t>
  </si>
  <si>
    <t>Белая стена была от нас уже ярдах в пятидесяти , и мы трое вперили в нее взгляд , не зная , какое чудовище появится оттуда .</t>
  </si>
  <si>
    <t>file://conllu/ru/doyle_bask.14.conllu#s101_0</t>
  </si>
  <si>
    <t>102</t>
  </si>
  <si>
    <t>взглянуть</t>
  </si>
  <si>
    <t>Стоя рядом с Холмсом , я мельком взглянул ему в лицо — бледное , взволнованное , с горящими при лунном свете глазами .</t>
  </si>
  <si>
    <t>file://conllu/ru/doyle_bask.14.conllu#s102_0</t>
  </si>
  <si>
    <t>103</t>
  </si>
  <si>
    <t>преобразить</t>
  </si>
  <si>
    <t>И вдруг оно преобразилось : взгляд стал сосредоточен и суров , рот приоткрылся от изумления .</t>
  </si>
  <si>
    <t>file://conllu/ru/doyle_bask.14.conllu#s103_0</t>
  </si>
  <si>
    <t>104</t>
  </si>
  <si>
    <t>вскрикнуть</t>
  </si>
  <si>
    <t>В ту же секунду Лестрейд вскрикнул от ужаса и упал ничком на землю .</t>
  </si>
  <si>
    <t>file://conllu/ru/doyle_bask.14.conllu#s104_0</t>
  </si>
  <si>
    <t>105</t>
  </si>
  <si>
    <t>выпрямиться</t>
  </si>
  <si>
    <t>Я выпрямился и , почти парализованный тем зрелищем , которое явилось моим глазам , потянулся ослабевшей рукой к револьверу .</t>
  </si>
  <si>
    <t>file://conllu/ru/doyle_bask.14.conllu#s105_0</t>
  </si>
  <si>
    <t>106</t>
  </si>
  <si>
    <t>да</t>
  </si>
  <si>
    <t>Да !</t>
  </si>
  <si>
    <t>file://conllu/ru/doyle_bask.14.conllu#s106_0</t>
  </si>
  <si>
    <t>107</t>
  </si>
  <si>
    <t>быть (быть собака)</t>
  </si>
  <si>
    <t>Это была собака , огромная , черная как смоль .</t>
  </si>
  <si>
    <t>file://conllu/ru/doyle_bask.14.conllu#s107_0</t>
  </si>
  <si>
    <t>108</t>
  </si>
  <si>
    <t>видывать</t>
  </si>
  <si>
    <t>Но такой собаки еще никто из нас , смертных , не видывал .</t>
  </si>
  <si>
    <t>file://conllu/ru/doyle_bask.14.conllu#s108_0</t>
  </si>
  <si>
    <t>109</t>
  </si>
  <si>
    <t>вырываться</t>
  </si>
  <si>
    <t>Из ее отверстой пасти вырывалось пламя , глаза метали искры , по морде и загривку переливался мерцающий огонь .</t>
  </si>
  <si>
    <t>file://conllu/ru/doyle_bask.14.conllu#s109_0</t>
  </si>
  <si>
    <t>110</t>
  </si>
  <si>
    <t>мочь</t>
  </si>
  <si>
    <t>Ни в чьем воспаленном мозгу не могло бы возникнуть видение более страшное , более омерзительное , чем это адское существо , выскочившее на нас из тумана .</t>
  </si>
  <si>
    <t>file://conllu/ru/doyle_bask.14.conllu#s110_0</t>
  </si>
  <si>
    <t>111</t>
  </si>
  <si>
    <t>несться</t>
  </si>
  <si>
    <t>Чудовище неслось по тропинке огромными прыжками , принюхиваясь к следам нашего друга .</t>
  </si>
  <si>
    <t>file://conllu/ru/doyle_bask.14.conllu#s111_0</t>
  </si>
  <si>
    <t>112</t>
  </si>
  <si>
    <t>опомниться</t>
  </si>
  <si>
    <t>Мы опомнились лишь после того , как оно промчалось мимо .</t>
  </si>
  <si>
    <t>file://conllu/ru/doyle_bask.14.conllu#s112_0</t>
  </si>
  <si>
    <t>113</t>
  </si>
  <si>
    <t>выстрелять</t>
  </si>
  <si>
    <t>Тогда и я и Холмс выстрелили одновременно , и раздавшийся вслед за этим оглушительный рев убедил нас , что по меньшей мере одна из пуль попала в цель .</t>
  </si>
  <si>
    <t>file://conllu/ru/doyle_bask.14.conllu#s113_0</t>
  </si>
  <si>
    <t>114</t>
  </si>
  <si>
    <t>остановиться</t>
  </si>
  <si>
    <t>Но собака не остановилась и продолжала мчаться вперед .</t>
  </si>
  <si>
    <t>file://conllu/ru/doyle_bask.14.conllu#s114_0</t>
  </si>
  <si>
    <t>115</t>
  </si>
  <si>
    <t>Мы видели , как сэр Генри оглянулся , мертвенно бледный при свете луны , поднял в ужасе руки и замер в этой беспомощной позе , не сводя глаз с чудовища , которое настигало его .</t>
  </si>
  <si>
    <t>file://conllu/ru/doyle_bask.14.conllu#s115_0</t>
  </si>
  <si>
    <t>116</t>
  </si>
  <si>
    <t>рассеять</t>
  </si>
  <si>
    <t>Но голос взвывшей от боли собаки рассеял все наши страхи .</t>
  </si>
  <si>
    <t>file://conllu/ru/doyle_bask.14.conllu#s116_0</t>
  </si>
  <si>
    <t>117</t>
  </si>
  <si>
    <t>Кто?</t>
  </si>
  <si>
    <t>уязвить</t>
  </si>
  <si>
    <t>Кто уязвим , тот и смертен , и если она ранена , значит , ее можно и убить .</t>
  </si>
  <si>
    <t>file://conllu/ru/doyle_bask.14.conllu#s117_0</t>
  </si>
  <si>
    <t>118</t>
  </si>
  <si>
    <t>бежать</t>
  </si>
  <si>
    <t>Боже , как бежал в ту ночь Холмс !</t>
  </si>
  <si>
    <t>file://conllu/ru/doyle_bask.14.conllu#s118_0</t>
  </si>
  <si>
    <t>119</t>
  </si>
  <si>
    <t>считать</t>
  </si>
  <si>
    <t>Я всегда считался хорошим бегуном , но он опередил меня на такое же расстояние , на какое я сам опередил маленького сыщика .</t>
  </si>
  <si>
    <t>file://conllu/ru/doyle_bask.14.conllu#s119_0</t>
  </si>
  <si>
    <t>120</t>
  </si>
  <si>
    <t>нестись</t>
  </si>
  <si>
    <t>Мы неслись по тропинке и слышали непрекращающиеся крики сэра Генри и глухой рев собаки .</t>
  </si>
  <si>
    <t>file://conllu/ru/doyle_bask.14.conllu#s120_0</t>
  </si>
  <si>
    <t>121</t>
  </si>
  <si>
    <t>подоспеть</t>
  </si>
  <si>
    <t>Я подоспел в ту минуту , когда она кинулась на свою жертву , повалила ее на землю и уже примеривалась схватить за горло .</t>
  </si>
  <si>
    <t>file://conllu/ru/doyle_bask.14.conllu#s121_0</t>
  </si>
  <si>
    <t>122</t>
  </si>
  <si>
    <t>всадить</t>
  </si>
  <si>
    <t>Но Холмс всадил ей в бок одну за другой пять пуль .</t>
  </si>
  <si>
    <t>file://conllu/ru/doyle_bask.14.conllu#s122_0</t>
  </si>
  <si>
    <t>123</t>
  </si>
  <si>
    <t>взвыть</t>
  </si>
  <si>
    <t>Собака взвыла в последний раз , яростно щелкнула зубами , повалилась на спину и , судорожно дернув всеми четырьмя лапами , замерла .</t>
  </si>
  <si>
    <t>file://conllu/ru/doyle_bask.14.conllu#s123_0</t>
  </si>
  <si>
    <t>124</t>
  </si>
  <si>
    <t>нагнуться</t>
  </si>
  <si>
    <t>Я нагнулся над ней , задыхаясь от бега , и приставил дуло револьвера к этой страшной светящейся морде , но выстрелить мне не пришлось — исполинская собака была мертва .</t>
  </si>
  <si>
    <t>file://conllu/ru/doyle_bask.14.conllu#s124_0</t>
  </si>
  <si>
    <t>125</t>
  </si>
  <si>
    <t>лежать</t>
  </si>
  <si>
    <t>Сэр Генри лежал без сознания там , где она настигла его .</t>
  </si>
  <si>
    <t>file://conllu/ru/doyle_bask.14.conllu#s125_0</t>
  </si>
  <si>
    <t>126</t>
  </si>
  <si>
    <t>срыть</t>
  </si>
  <si>
    <t>Мы сорвали с него воротничок , и Холмс возблагодарил судьбу , убедившись , что он не ранен и что наша помощь подоспела вовремя .</t>
  </si>
  <si>
    <t>file://conllu/ru/doyle_bask.14.conllu#s126_0</t>
  </si>
  <si>
    <t>127</t>
  </si>
  <si>
    <t>дрогнуть</t>
  </si>
  <si>
    <t>А потом веки у сэра Генри дрогнули и он слабо шевельнулся .</t>
  </si>
  <si>
    <t>file://conllu/ru/doyle_bask.14.conllu#s127_0</t>
  </si>
  <si>
    <t>128</t>
  </si>
  <si>
    <t>просунуть</t>
  </si>
  <si>
    <t>Лестрейд просунул ему между зубами горлышко фляги с бренди , и через секунду на нас глянули два испуганных глаза .</t>
  </si>
  <si>
    <t>file://conllu/ru/doyle_bask.14.conllu#s128_0</t>
  </si>
  <si>
    <t>129</t>
  </si>
  <si>
    <t>шептать</t>
  </si>
  <si>
    <t>— Боже мой ! — прошептал баронет .</t>
  </si>
  <si>
    <t>file://conllu/ru/doyle_bask.14.conllu#s129_0</t>
  </si>
  <si>
    <t>130</t>
  </si>
  <si>
    <t>быть</t>
  </si>
  <si>
    <t>— Что это было ?</t>
  </si>
  <si>
    <t>file://conllu/ru/doyle_bask.14.conllu#s130_0</t>
  </si>
  <si>
    <t>131</t>
  </si>
  <si>
    <t>Что это , чёрт возьми , было ?</t>
  </si>
  <si>
    <t>file://conllu/ru/doyle_bask.14.conllu#s131_0</t>
  </si>
  <si>
    <t>132</t>
  </si>
  <si>
    <t>— Чем бы оно ни было , оно мертво , — сказал Холмс .</t>
  </si>
  <si>
    <t>file://conllu/ru/doyle_bask.14.conllu#s132_0</t>
  </si>
  <si>
    <t>133</t>
  </si>
  <si>
    <t>покончить</t>
  </si>
  <si>
    <t>— С привидением , которое преследовало ваш род , покончено навсегда .</t>
  </si>
  <si>
    <t>file://conllu/ru/doyle_bask.14.conllu#s133_0</t>
  </si>
  <si>
    <t>134</t>
  </si>
  <si>
    <t>Чудовище , лежавшее перед нами , поистине могло кого угодно испугать своими размерами и мощью .</t>
  </si>
  <si>
    <t>file://conllu/ru/doyle_bask.14.conllu#s134_0</t>
  </si>
  <si>
    <t>135</t>
  </si>
  <si>
    <t>быть (быть ищейка)</t>
  </si>
  <si>
    <t>Это была не чистокровная ищейка и не чистокровный мастиф , а , видимо , помесь — поджарый , страшный пес величиной с молодую львицу .</t>
  </si>
  <si>
    <t>file://conllu/ru/doyle_bask.14.conllu#s135_0</t>
  </si>
  <si>
    <t>136</t>
  </si>
  <si>
    <t>светиться</t>
  </si>
  <si>
    <t>Даже сейчас , несмотря на неподвижность смерти , его огромная пасть все еще светилась голубоватым пламенем , глубоко сидящие дикие глаза были обведены огненными кругами .</t>
  </si>
  <si>
    <t>file://conllu/ru/doyle_bask.14.conllu#s136_0</t>
  </si>
  <si>
    <t>137</t>
  </si>
  <si>
    <t>дотронуться</t>
  </si>
  <si>
    <t>Я дотронулся до этой светящейся головы и , отняв руку , увидел , что мои пальцы тоже засветились в темноте .</t>
  </si>
  <si>
    <t>file://conllu/ru/doyle_bask.14.conllu#s137_0</t>
  </si>
  <si>
    <t>138</t>
  </si>
  <si>
    <t>фосфор</t>
  </si>
  <si>
    <t>— Фосфор , — сказал я .</t>
  </si>
  <si>
    <t>file://conllu/ru/doyle_bask.14.conllu#s138_0</t>
  </si>
  <si>
    <t>139</t>
  </si>
  <si>
    <t>препарат</t>
  </si>
  <si>
    <t>— Да , и какой-то особый препарат , — подтвердил Холмс , потянув носом .</t>
  </si>
  <si>
    <t>file://conllu/ru/doyle_bask.14.conllu#s139_0</t>
  </si>
  <si>
    <t>140</t>
  </si>
  <si>
    <t>запах</t>
  </si>
  <si>
    <t>— Без запаха , чтобы у собаки не исчезло чутье .</t>
  </si>
  <si>
    <t>file://conllu/ru/doyle_bask.14.conllu#s140_0</t>
  </si>
  <si>
    <t>141</t>
  </si>
  <si>
    <t>простить</t>
  </si>
  <si>
    <t>Простите нас , сэр Генри , что мы подвергли вас такому страшному испытанию .</t>
  </si>
  <si>
    <t>file://conllu/ru/doyle_bask.14.conllu#s141_0</t>
  </si>
  <si>
    <t>142</t>
  </si>
  <si>
    <t>готовиться</t>
  </si>
  <si>
    <t>Я готовился увидеть собаку , но никак не ожидал , что это будет такое чудовище .</t>
  </si>
  <si>
    <t>file://conllu/ru/doyle_bask.14.conllu#s142_0</t>
  </si>
  <si>
    <t>143</t>
  </si>
  <si>
    <t>мешать</t>
  </si>
  <si>
    <t>К тому же нам помешал туман , и мы не смогли оказать псу достойную встречу .</t>
  </si>
  <si>
    <t>file://conllu/ru/doyle_bask.14.conllu#s143_0</t>
  </si>
  <si>
    <t>144</t>
  </si>
  <si>
    <t>спасти</t>
  </si>
  <si>
    <t>— Вы спасли мне жизнь .</t>
  </si>
  <si>
    <t>file://conllu/ru/doyle_bask.14.conllu#s144_0</t>
  </si>
  <si>
    <t>145</t>
  </si>
  <si>
    <t>подвергнуть</t>
  </si>
  <si>
    <t>— Подвергнув ее сначала опасности . . .</t>
  </si>
  <si>
    <t>file://conllu/ru/doyle_bask.14.conllu#s145_0</t>
  </si>
  <si>
    <t>146</t>
  </si>
  <si>
    <t>Ну как , можете встать ?</t>
  </si>
  <si>
    <t>file://conllu/ru/doyle_bask.14.conllu#s146_0</t>
  </si>
  <si>
    <t>147</t>
  </si>
  <si>
    <t>дать</t>
  </si>
  <si>
    <t>— Дайте мне еще один глоток этого бренди , и тогда все будет в порядке .</t>
  </si>
  <si>
    <t>file://conllu/ru/doyle_bask.14.conllu#s147_0</t>
  </si>
  <si>
    <t>148</t>
  </si>
  <si>
    <t>Ну вот !</t>
  </si>
  <si>
    <t>file://conllu/ru/doyle_bask.14.conllu#s148_0</t>
  </si>
  <si>
    <t>149</t>
  </si>
  <si>
    <t>встать</t>
  </si>
  <si>
    <t>Теперь с вашей помощью я встану .</t>
  </si>
  <si>
    <t>file://conllu/ru/doyle_bask.14.conllu#s149_0</t>
  </si>
  <si>
    <t>150</t>
  </si>
  <si>
    <t>намерен</t>
  </si>
  <si>
    <t>А что вы намерены делать дальше ?</t>
  </si>
  <si>
    <t>file://conllu/ru/doyle_bask.14.conllu#s150_0</t>
  </si>
  <si>
    <t>151</t>
  </si>
  <si>
    <t>Пока?</t>
  </si>
  <si>
    <t>оставить</t>
  </si>
  <si>
    <t>— Пока оставим вас здесь — вы уже достаточно натерпелись за сегодняшнюю ночь , — а потом кто-нибудь из нас вернется с вами домой .</t>
  </si>
  <si>
    <t>file://conllu/ru/doyle_bask.14.conllu#s151_0</t>
  </si>
  <si>
    <t>152</t>
  </si>
  <si>
    <t>пробовать</t>
  </si>
  <si>
    <t>Баронет попробовал подняться , но не смог .</t>
  </si>
  <si>
    <t>file://conllu/ru/doyle_bask.14.conllu#s152_0</t>
  </si>
  <si>
    <t>153</t>
  </si>
  <si>
    <t>быть (быть бледный)</t>
  </si>
  <si>
    <t>Он был бледен как полотно и дрожал всем телом .</t>
  </si>
  <si>
    <t>file://conllu/ru/doyle_bask.14.conllu#s153_0</t>
  </si>
  <si>
    <t>154</t>
  </si>
  <si>
    <t>подвести</t>
  </si>
  <si>
    <t>Мы подвели его к валуну .</t>
  </si>
  <si>
    <t>file://conllu/ru/doyle_bask.14.conllu#s154_0</t>
  </si>
  <si>
    <t>155</t>
  </si>
  <si>
    <t>сесть</t>
  </si>
  <si>
    <t>Он сел там , дрожа всем телом , и закрыл лицо руками .</t>
  </si>
  <si>
    <t>file://conllu/ru/doyle_bask.14.conllu#s155_0</t>
  </si>
  <si>
    <t>156</t>
  </si>
  <si>
    <t>прийтись</t>
  </si>
  <si>
    <t>— А теперь нам придется уйти , — сказал Холмс .</t>
  </si>
  <si>
    <t>file://conllu/ru/doyle_bask.14.conllu#s156_0</t>
  </si>
  <si>
    <t>157</t>
  </si>
  <si>
    <t>— Надо кончить начатое дело .</t>
  </si>
  <si>
    <t>file://conllu/ru/doyle_bask.14.conllu#s157_0</t>
  </si>
  <si>
    <t>158</t>
  </si>
  <si>
    <t>минута</t>
  </si>
  <si>
    <t>Дорога каждая минута .</t>
  </si>
  <si>
    <t>file://conllu/ru/doyle_bask.14.conllu#s158_0</t>
  </si>
  <si>
    <t>159</t>
  </si>
  <si>
    <t>налицо</t>
  </si>
  <si>
    <t>Состав преступления теперь налицо , остается только схватить преступника . . .</t>
  </si>
  <si>
    <t>file://conllu/ru/doyle_bask.14.conllu#s159_0</t>
  </si>
  <si>
    <t>160</t>
  </si>
  <si>
    <t>Дердить</t>
  </si>
  <si>
    <t>Держу пари , в доме его уже не окажется , — продолжал Холмс , быстро шагая рядом с нами по тропинке .</t>
  </si>
  <si>
    <t>file://conllu/ru/doyle_bask.14.conllu#s160_0</t>
  </si>
  <si>
    <t>161</t>
  </si>
  <si>
    <t>— Он не мог не слышать выстрелов и понял , что игра проиграна .</t>
  </si>
  <si>
    <t>file://conllu/ru/doyle_bask.14.conllu#s161_0</t>
  </si>
  <si>
    <t>162</t>
  </si>
  <si>
    <t>— Ну что вы !</t>
  </si>
  <si>
    <t>file://conllu/ru/doyle_bask.14.conllu#s162_0</t>
  </si>
  <si>
    <t>163</t>
  </si>
  <si>
    <t>быть (быть далеко)</t>
  </si>
  <si>
    <t>Это было далеко от дома , к тому же туман приглушает звуки .</t>
  </si>
  <si>
    <t>file://conllu/ru/doyle_bask.14.conllu#s163_0</t>
  </si>
  <si>
    <t>164</t>
  </si>
  <si>
    <t>— Можете не сомневаться , что он кинулся следом за собакой , ведь ее надо было оттащить от тела .</t>
  </si>
  <si>
    <t>file://conllu/ru/doyle_bask.14.conllu#s164_0</t>
  </si>
  <si>
    <t>165</t>
  </si>
  <si>
    <t>застануть</t>
  </si>
  <si>
    <t>Нет , мы его уже не застанем !</t>
  </si>
  <si>
    <t>file://conllu/ru/doyle_bask.14.conllu#s165_0</t>
  </si>
  <si>
    <t>166</t>
  </si>
  <si>
    <t>Но на всякий случай надо обшарить все уголки .</t>
  </si>
  <si>
    <t>file://conllu/ru/doyle_bask.14.conllu#s166_0</t>
  </si>
  <si>
    <t>167</t>
  </si>
  <si>
    <t>открыть</t>
  </si>
  <si>
    <t>Входная дверь была открыта настежь , и , вбежав в дом , мы быстро осмотрели комнату за комнатой , к удивлению дряхлого слуги , встретившего нас в коридоре .</t>
  </si>
  <si>
    <t>file://conllu/ru/doyle_bask.14.conllu#s167_0</t>
  </si>
  <si>
    <t>168</t>
  </si>
  <si>
    <t>Свет горел только в столовой , но Холмс взял оттуда лампу и обошел с ней все закоулки в доме .</t>
  </si>
  <si>
    <t>file://conllu/ru/doyle_bask.14.conllu#s168_0</t>
  </si>
  <si>
    <t>169</t>
  </si>
  <si>
    <t>Человек , которого мы искали , исчез бесследно .</t>
  </si>
  <si>
    <t>file://conllu/ru/doyle_bask.14.conllu#s169_0</t>
  </si>
  <si>
    <t>170</t>
  </si>
  <si>
    <t>Однако?</t>
  </si>
  <si>
    <t>оказаться</t>
  </si>
  <si>
    <t>Однако на втором этаже дверь одной из спален оказалась запертой .</t>
  </si>
  <si>
    <t>file://conllu/ru/doyle_bask.14.conllu#s170_0</t>
  </si>
  <si>
    <t>171</t>
  </si>
  <si>
    <t>— Там кто-то есть ! — крикнул Лестрейд .</t>
  </si>
  <si>
    <t>file://conllu/ru/doyle_bask.14.conllu#s171_0</t>
  </si>
  <si>
    <t>172</t>
  </si>
  <si>
    <t>— Я слышу , что кто-то шевелится .</t>
  </si>
  <si>
    <t>file://conllu/ru/doyle_bask.14.conllu#s172_0</t>
  </si>
  <si>
    <t>173</t>
  </si>
  <si>
    <t>Откройте эту дверь !</t>
  </si>
  <si>
    <t>file://conllu/ru/doyle_bask.14.conllu#s173_0</t>
  </si>
  <si>
    <t>174</t>
  </si>
  <si>
    <t>В комнате послышался слабый стон и шорох .</t>
  </si>
  <si>
    <t>file://conllu/ru/doyle_bask.14.conllu#s174_0</t>
  </si>
  <si>
    <t>175</t>
  </si>
  <si>
    <t>Холмс ударил ногой чуть повыше замка , и дверь распахнулась настежь .</t>
  </si>
  <si>
    <t>file://conllu/ru/doyle_bask.14.conllu#s175_0</t>
  </si>
  <si>
    <t>176</t>
  </si>
  <si>
    <t>врыться</t>
  </si>
  <si>
    <t>Держа револьверы наготове , мы ворвались туда .</t>
  </si>
  <si>
    <t>file://conllu/ru/doyle_bask.14.conllu#s176_0</t>
  </si>
  <si>
    <t>177</t>
  </si>
  <si>
    <t>Но дерзостного негодяя , за которым мы охотились , не оказалось и тут .</t>
  </si>
  <si>
    <t>file://conllu/ru/doyle_bask.14.conllu#s177_0</t>
  </si>
  <si>
    <t>178</t>
  </si>
  <si>
    <t>предстать</t>
  </si>
  <si>
    <t>Вместо него глазам нашим предстало нечто до такой степени странное и неожиданное , что мы замерли на месте .</t>
  </si>
  <si>
    <t>file://conllu/ru/doyle_bask.14.conllu#s178_0</t>
  </si>
  <si>
    <t>179</t>
  </si>
  <si>
    <t>представлять</t>
  </si>
  <si>
    <t>Эта комната представляла собой маленький музей .</t>
  </si>
  <si>
    <t>file://conllu/ru/doyle_bask.14.conllu#s179_0</t>
  </si>
  <si>
    <t>180</t>
  </si>
  <si>
    <t>заставить</t>
  </si>
  <si>
    <t>Ее стены были сплошь заставлены стеклянными ящиками , где хранилась коллекция мотыльков и бабочек — любимое детище этой сложной и преступной натуры .</t>
  </si>
  <si>
    <t>file://conllu/ru/doyle_bask.14.conllu#s180_0</t>
  </si>
  <si>
    <t>181</t>
  </si>
  <si>
    <t>поднимать</t>
  </si>
  <si>
    <t>Посередине поднималась толстая подпорка , подведенная под трухлявые балясины потолка .</t>
  </si>
  <si>
    <t>file://conllu/ru/doyle_bask.14.conllu#s181_0</t>
  </si>
  <si>
    <t>182</t>
  </si>
  <si>
    <t>И у этой подпорки стоял человек , привязанный к ней простынями , которые укутывали его с головы до ног , так что в первую минуту даже нельзя было разобрать , кто это — мужчина или женщина .</t>
  </si>
  <si>
    <t>file://conllu/ru/doyle_bask.14.conllu#s182_0</t>
  </si>
  <si>
    <t>183</t>
  </si>
  <si>
    <t>Одно полотнище шло вокруг горла , другое закрывало нижнюю часть лица , оставляя открытыми только глаза , которые с немым вопросом смотрели на нас , полные ужаса и стыда .</t>
  </si>
  <si>
    <t>file://conllu/ru/doyle_bask.14.conllu#s183_0</t>
  </si>
  <si>
    <t>184</t>
  </si>
  <si>
    <t>В мгновение ока мы сорвали эти путы , вынули кляп , и к нашим ногам упала не кто иная , как миссис Стэплтон .</t>
  </si>
  <si>
    <t>file://conllu/ru/doyle_bask.14.conllu#s184_0</t>
  </si>
  <si>
    <t>185</t>
  </si>
  <si>
    <t>Голова ее опустилась на грудь , и я увидел красный рубец у нее на шее от удара плетью .</t>
  </si>
  <si>
    <t>file://conllu/ru/doyle_bask.14.conllu#s185_0</t>
  </si>
  <si>
    <t>186</t>
  </si>
  <si>
    <t>Мерзавец</t>
  </si>
  <si>
    <t>— Мерзавец ! — крикнул Холмс .</t>
  </si>
  <si>
    <t>file://conllu/ru/doyle_bask.14.conllu#s186_0</t>
  </si>
  <si>
    <t>187</t>
  </si>
  <si>
    <t>Лестрейд</t>
  </si>
  <si>
    <t>— Лестрейд , где бренди ?</t>
  </si>
  <si>
    <t>file://conllu/ru/doyle_bask.14.conllu#s187_0</t>
  </si>
  <si>
    <t>188</t>
  </si>
  <si>
    <t>Посадить</t>
  </si>
  <si>
    <t>Посадите ее на стул .</t>
  </si>
  <si>
    <t>file://conllu/ru/doyle_bask.14.conllu#s188_0</t>
  </si>
  <si>
    <t>189</t>
  </si>
  <si>
    <t>довести</t>
  </si>
  <si>
    <t>Такие пытки кого угодно доведут до обморока !</t>
  </si>
  <si>
    <t>file://conllu/ru/doyle_bask.14.conllu#s189_0</t>
  </si>
  <si>
    <t>190</t>
  </si>
  <si>
    <t>Миссис Стэплтон открыла глаза .</t>
  </si>
  <si>
    <t>file://conllu/ru/doyle_bask.14.conllu#s190_0</t>
  </si>
  <si>
    <t>191</t>
  </si>
  <si>
    <t>спастись</t>
  </si>
  <si>
    <t>— Он спасся ? — спросила она .</t>
  </si>
  <si>
    <t>file://conllu/ru/doyle_bask.14.conllu#s191_0</t>
  </si>
  <si>
    <t>192</t>
  </si>
  <si>
    <t>убежать</t>
  </si>
  <si>
    <t>— Он убежал ?</t>
  </si>
  <si>
    <t>file://conllu/ru/doyle_bask.14.conllu#s192_0</t>
  </si>
  <si>
    <t>193</t>
  </si>
  <si>
    <t>— От нас он никуда не убежит , сударыня .</t>
  </si>
  <si>
    <t>file://conllu/ru/doyle_bask.14.conllu#s193_0</t>
  </si>
  <si>
    <t>194</t>
  </si>
  <si>
    <t>муж</t>
  </si>
  <si>
    <t>— Нет , нет , я не про мужа .</t>
  </si>
  <si>
    <t>file://conllu/ru/doyle_bask.14.conllu#s194_0</t>
  </si>
  <si>
    <t>195</t>
  </si>
  <si>
    <t>Сэр Генри . . . спасся ?</t>
  </si>
  <si>
    <t>file://conllu/ru/doyle_bask.14.conllu#s195_0</t>
  </si>
  <si>
    <t>196</t>
  </si>
  <si>
    <t>— Да .</t>
  </si>
  <si>
    <t>file://conllu/ru/doyle_bask.14.conllu#s196_0</t>
  </si>
  <si>
    <t>197</t>
  </si>
  <si>
    <t>собака</t>
  </si>
  <si>
    <t>— А собака ?</t>
  </si>
  <si>
    <t>file://conllu/ru/doyle_bask.14.conllu#s197_0</t>
  </si>
  <si>
    <t>198</t>
  </si>
  <si>
    <t>убит</t>
  </si>
  <si>
    <t>— Убита !</t>
  </si>
  <si>
    <t>file://conllu/ru/doyle_bask.14.conllu#s198_0</t>
  </si>
  <si>
    <t>199</t>
  </si>
  <si>
    <t>вырваться</t>
  </si>
  <si>
    <t>У нее вырвался долгий вздох облегчения : — Слава богу !</t>
  </si>
  <si>
    <t>file://conllu/ru/doyle_bask.14.conllu#s199_0</t>
  </si>
  <si>
    <t>200</t>
  </si>
  <si>
    <t>Слава богу !</t>
  </si>
  <si>
    <t>file://conllu/ru/doyle_bask.14.conllu#s200_0</t>
  </si>
  <si>
    <t>201</t>
  </si>
  <si>
    <t>Негодяй</t>
  </si>
  <si>
    <t>Негодяй !</t>
  </si>
  <si>
    <t>file://conllu/ru/doyle_bask.14.conllu#s201_0</t>
  </si>
  <si>
    <t>202</t>
  </si>
  <si>
    <t>смотреть</t>
  </si>
  <si>
    <t>Смотрите , что он со мной сделал !</t>
  </si>
  <si>
    <t>file://conllu/ru/doyle_bask.14.conllu#s202_0</t>
  </si>
  <si>
    <t>203</t>
  </si>
  <si>
    <t>засучить</t>
  </si>
  <si>
    <t>— Она засучила оба рукава , и мы увидели , что ее руки все в синяках .</t>
  </si>
  <si>
    <t>file://conllu/ru/doyle_bask.14.conllu#s203_0</t>
  </si>
  <si>
    <t>204</t>
  </si>
  <si>
    <t>ничто</t>
  </si>
  <si>
    <t>— Но это еще ничего . . . это ничего .</t>
  </si>
  <si>
    <t>file://conllu/ru/doyle_bask.14.conllu#s204_0</t>
  </si>
  <si>
    <t>205</t>
  </si>
  <si>
    <t>истерзать</t>
  </si>
  <si>
    <t>Он истерзал , он опоганил мою душу .</t>
  </si>
  <si>
    <t>file://conllu/ru/doyle_bask.14.conllu#s205_0</t>
  </si>
  <si>
    <t>206</t>
  </si>
  <si>
    <t>теплиться</t>
  </si>
  <si>
    <t>Пока у меня теплилась надежда , что этот человек любит меня , я все сносила , все : дурное обращение , одиночество , жизнь , полную обмана . . .</t>
  </si>
  <si>
    <t>file://conllu/ru/doyle_bask.14.conllu#s206_0</t>
  </si>
  <si>
    <t>207</t>
  </si>
  <si>
    <t>лгать</t>
  </si>
  <si>
    <t>Но он лгал мне , я была орудием в его руках !</t>
  </si>
  <si>
    <t>file://conllu/ru/doyle_bask.14.conllu#s207_0</t>
  </si>
  <si>
    <t>208</t>
  </si>
  <si>
    <t>выдержать</t>
  </si>
  <si>
    <t>— Она не выдержала и разрыдалась .</t>
  </si>
  <si>
    <t>file://conllu/ru/doyle_bask.14.conllu#s208_0</t>
  </si>
  <si>
    <t>209</t>
  </si>
  <si>
    <t>— Да , сударыня , у вас нет никаких оснований желать ему добра , — сказал Холмс .</t>
  </si>
  <si>
    <t>file://conllu/ru/doyle_bask.14.conllu#s209_0</t>
  </si>
  <si>
    <t>210</t>
  </si>
  <si>
    <t>— Так откройте же , где его искать .</t>
  </si>
  <si>
    <t>file://conllu/ru/doyle_bask.14.conllu#s210_0</t>
  </si>
  <si>
    <t>211</t>
  </si>
  <si>
    <t>воспользуться</t>
  </si>
  <si>
    <t>Если вы были его сообщницей , воспользуйтесь случаем загладить свою вину — помогите нам .</t>
  </si>
  <si>
    <t>file://conllu/ru/doyle_bask.14.conllu#s211_0</t>
  </si>
  <si>
    <t>212</t>
  </si>
  <si>
    <t>— Он может спрятаться только в одном месте , больше ему некуда деваться , — ответила она .</t>
  </si>
  <si>
    <t>file://conllu/ru/doyle_bask.14.conllu#s212_0</t>
  </si>
  <si>
    <t>213</t>
  </si>
  <si>
    <t>— В самом сердце трясины есть островок , на котором был когда-то рудник .</t>
  </si>
  <si>
    <t>file://conllu/ru/doyle_bask.14.conllu#s213_0</t>
  </si>
  <si>
    <t>214</t>
  </si>
  <si>
    <t>держать</t>
  </si>
  <si>
    <t>Там он и держал свою собаку , и там у него все приготовлено на тот случай , если придется бежать .</t>
  </si>
  <si>
    <t>file://conllu/ru/doyle_bask.14.conllu#s214_0</t>
  </si>
  <si>
    <t>215</t>
  </si>
  <si>
    <t>Вот куда он мог скрыться .</t>
  </si>
  <si>
    <t>file://conllu/ru/doyle_bask.14.conllu#s215_0</t>
  </si>
  <si>
    <t>216</t>
  </si>
  <si>
    <t>светить</t>
  </si>
  <si>
    <t>Холмс посветил в окно лампой .</t>
  </si>
  <si>
    <t>file://conllu/ru/doyle_bask.14.conllu#s216_0</t>
  </si>
  <si>
    <t>217</t>
  </si>
  <si>
    <t>Туман , словно белая вата , лип к стеклу .</t>
  </si>
  <si>
    <t>file://conllu/ru/doyle_bask.14.conllu#s217_0</t>
  </si>
  <si>
    <t>218</t>
  </si>
  <si>
    <t>сказать (сказать смотреть)</t>
  </si>
  <si>
    <t>— Смотрите , — сказал он .</t>
  </si>
  <si>
    <t>file://conllu/ru/doyle_bask.14.conllu#s218_0</t>
  </si>
  <si>
    <t>219</t>
  </si>
  <si>
    <t>— Сегодня ночью никто не сможет пробраться на Гримпенскую трясину .</t>
  </si>
  <si>
    <t>file://conllu/ru/doyle_bask.14.conllu#s219_0</t>
  </si>
  <si>
    <t>220</t>
  </si>
  <si>
    <t>рассмеяться</t>
  </si>
  <si>
    <t>Миссис Стэплтон рассмеялась и захлопала в ладоши .</t>
  </si>
  <si>
    <t>file://conllu/ru/doyle_bask.14.conllu#s220_0</t>
  </si>
  <si>
    <t>221</t>
  </si>
  <si>
    <t>сверкнуть</t>
  </si>
  <si>
    <t>Глаза ее сверкнули недобрым огнем .</t>
  </si>
  <si>
    <t>file://conllu/ru/doyle_bask.14.conllu#s221_0</t>
  </si>
  <si>
    <t>222</t>
  </si>
  <si>
    <t>найти</t>
  </si>
  <si>
    <t>— Туда-то он найдет дорогу , а обратно не выберется ! — воскликнула она .</t>
  </si>
  <si>
    <t>file://conllu/ru/doyle_bask.14.conllu#s222_0</t>
  </si>
  <si>
    <t>223</t>
  </si>
  <si>
    <t>разглядеть</t>
  </si>
  <si>
    <t>— Разве в такую ночь разглядишь вехи ?</t>
  </si>
  <si>
    <t>file://conllu/ru/doyle_bask.14.conllu#s223_0</t>
  </si>
  <si>
    <t>224</t>
  </si>
  <si>
    <t>Вместе?</t>
  </si>
  <si>
    <t>ставить</t>
  </si>
  <si>
    <t>Мы ставили их вместе , чтобы наметить тропу через трясину .</t>
  </si>
  <si>
    <t>file://conllu/ru/doyle_bask.14.conllu#s224_0</t>
  </si>
  <si>
    <t>225</t>
  </si>
  <si>
    <t>догадаться</t>
  </si>
  <si>
    <t>Ах , почему я не догадалась убрать их сегодня !</t>
  </si>
  <si>
    <t>file://conllu/ru/doyle_bask.14.conllu#s225_0</t>
  </si>
  <si>
    <t>226</t>
  </si>
  <si>
    <t>быть (быть власть)</t>
  </si>
  <si>
    <t>Тогда он был бы в вашей власти !</t>
  </si>
  <si>
    <t>file://conllu/ru/doyle_bask.14.conllu#s226_0</t>
  </si>
  <si>
    <t>227</t>
  </si>
  <si>
    <t>быть (быть нечего)</t>
  </si>
  <si>
    <t>При таком тумане о погоне нечего было и думать .</t>
  </si>
  <si>
    <t>file://conllu/ru/doyle_bask.14.conllu#s227_0</t>
  </si>
  <si>
    <t>228</t>
  </si>
  <si>
    <t>Мы оставили Лестрейда полновластным хозяином Меррипит-хаус , а сами вместе с сэром Генри вернулись в Баскервиль холл .</t>
  </si>
  <si>
    <t>file://conllu/ru/doyle_bask.14.conllu#s228_0</t>
  </si>
  <si>
    <t>229</t>
  </si>
  <si>
    <t>нельзя</t>
  </si>
  <si>
    <t>Скрывать от него историю Стэплтонов больше было нельзя .</t>
  </si>
  <si>
    <t>file://conllu/ru/doyle_bask.14.conllu#s229_0</t>
  </si>
  <si>
    <t>230</t>
  </si>
  <si>
    <t>принять</t>
  </si>
  <si>
    <t>Узнав всю правду о любимой женщине , он мужественно принял этот удар .</t>
  </si>
  <si>
    <t>file://conllu/ru/doyle_bask.14.conllu#s230_0</t>
  </si>
  <si>
    <t>231</t>
  </si>
  <si>
    <t>пройти</t>
  </si>
  <si>
    <t>Однако пережитое ночью потрясение не прошло даром для баронета .</t>
  </si>
  <si>
    <t>file://conllu/ru/doyle_bask.14.conllu#s231_0</t>
  </si>
  <si>
    <t>232</t>
  </si>
  <si>
    <t>К утру он лежал без памяти в горячке под надзором доктора Мортимера .</t>
  </si>
  <si>
    <t>file://conllu/ru/doyle_bask.14.conllu#s232_0</t>
  </si>
  <si>
    <t>233</t>
  </si>
  <si>
    <t>быть (быть сужден)</t>
  </si>
  <si>
    <t>В дальнейшем им обоим было суждено совершить кругосветное путешествие , и только после него сэр Генри снова стал тем же веселым , здоровым человеком , какой приехал когда-то в Англию наследником этого злополучного поместья .</t>
  </si>
  <si>
    <t>file://conllu/ru/doyle_bask.14.conllu#s233_0</t>
  </si>
  <si>
    <t>234</t>
  </si>
  <si>
    <t>подходить</t>
  </si>
  <si>
    <t>А теперь мое странное повествование быстро подходит к концу .</t>
  </si>
  <si>
    <t>file://conllu/ru/doyle_bask.14.conllu#s234_0</t>
  </si>
  <si>
    <t>235</t>
  </si>
  <si>
    <t>стараться</t>
  </si>
  <si>
    <t>Записывая его , я старался , чтобы читатель делил вместе с нами все те страхи и смутные догадки , которые так долго омрачали нашу жизнь и завершились такой трагедией .</t>
  </si>
  <si>
    <t>file://conllu/ru/doyle_bask.14.conllu#s235_0</t>
  </si>
  <si>
    <t>236</t>
  </si>
  <si>
    <t>К утру туман рассеялся , и миссис Стэплтон проводила нас к тому месту , где начиналась тропинка , ведущая через трясину .</t>
  </si>
  <si>
    <t>file://conllu/ru/doyle_bask.14.conllu#s236_0</t>
  </si>
  <si>
    <t>237</t>
  </si>
  <si>
    <t>направлять</t>
  </si>
  <si>
    <t>Эта женщина с такой охотой и радостью направляла нас по следам мужа , что нам только тогда и стало ясно , как страшна была ее жизнь .</t>
  </si>
  <si>
    <t>file://conllu/ru/doyle_bask.14.conllu#s237_0</t>
  </si>
  <si>
    <t>238</t>
  </si>
  <si>
    <t>расстаться</t>
  </si>
  <si>
    <t>Мы расстались с ней на узкой торфяной полоске , полуостровом вдававшейся в трясину .</t>
  </si>
  <si>
    <t>file://conllu/ru/doyle_bask.14.conllu#s238_0</t>
  </si>
  <si>
    <t>239</t>
  </si>
  <si>
    <t>намечать</t>
  </si>
  <si>
    <t>Маленькие прутики , воткнутые то там , то сям , намечали тропу , извивающуюся зигзагом от кочки к кочке , между затянутыми зеленью окнами , которые преградили бы путь всякому , кто был незнаком с этими местами .</t>
  </si>
  <si>
    <t>file://conllu/ru/doyle_bask.14.conllu#s239_0</t>
  </si>
  <si>
    <t>240</t>
  </si>
  <si>
    <t>подниматься</t>
  </si>
  <si>
    <t>От гниющего камыша и покрытых илом водорослей над трясиной поднимались тяжелые испарения .</t>
  </si>
  <si>
    <t>file://conllu/ru/doyle_bask.14.conllu#s240_0</t>
  </si>
  <si>
    <t>241</t>
  </si>
  <si>
    <t>оступаться</t>
  </si>
  <si>
    <t>Мы то и дело оступались , уходя по колено в темную зыбкую топь , мягкими кругами расходившуюся на поверхности .</t>
  </si>
  <si>
    <t>file://conllu/ru/doyle_bask.14.conllu#s241_0</t>
  </si>
  <si>
    <t>242</t>
  </si>
  <si>
    <t>присасываться</t>
  </si>
  <si>
    <t>Вязкая жижа присасывалась к нашим ногам , и ее хватка была настолько сильна , что казалось , чья-то цепкая рука тянет нас в эти мерзостные глубины .</t>
  </si>
  <si>
    <t>file://conllu/ru/doyle_bask.14.conllu#s242_0</t>
  </si>
  <si>
    <t>243</t>
  </si>
  <si>
    <t>попаться</t>
  </si>
  <si>
    <t>На глаза нам попалось только одно единственное доказательство , что не мы первые идем по этому опасному пути .</t>
  </si>
  <si>
    <t>file://conllu/ru/doyle_bask.14.conllu#s243_0</t>
  </si>
  <si>
    <t>244</t>
  </si>
  <si>
    <t>На кочке , поросшей болотной травой , лежало что-то темное .</t>
  </si>
  <si>
    <t>file://conllu/ru/doyle_bask.14.conllu#s244_0</t>
  </si>
  <si>
    <t>245</t>
  </si>
  <si>
    <t>тянуться</t>
  </si>
  <si>
    <t>Потянувшись туда .</t>
  </si>
  <si>
    <t>file://conllu/ru/doyle_bask.14.conllu#s245_0</t>
  </si>
  <si>
    <t>246</t>
  </si>
  <si>
    <t>уйти</t>
  </si>
  <si>
    <t>Холмс сразу ушел по пояс в тину , и если б не мы , вряд ли ему удалось бы когда-нибудь почувствовать под ногой твердую землю .</t>
  </si>
  <si>
    <t>file://conllu/ru/doyle_bask.14.conllu#s246_0</t>
  </si>
  <si>
    <t>247</t>
  </si>
  <si>
    <t>Он держал в руке старый черный башмак .</t>
  </si>
  <si>
    <t>file://conllu/ru/doyle_bask.14.conllu#s247_0</t>
  </si>
  <si>
    <t>248</t>
  </si>
  <si>
    <t>Внутри была метка : &amp;quot; Мейерс .</t>
  </si>
  <si>
    <t>file://conllu/ru/doyle_bask.14.conllu#s248_0</t>
  </si>
  <si>
    <t>249</t>
  </si>
  <si>
    <t>Торонто</t>
  </si>
  <si>
    <t>Торонто &amp;quot; .</t>
  </si>
  <si>
    <t>file://conllu/ru/doyle_bask.14.conllu#s249_0</t>
  </si>
  <si>
    <t>250</t>
  </si>
  <si>
    <t>стоить</t>
  </si>
  <si>
    <t>— Из-за такой находки стоило принять грязевую ванну .</t>
  </si>
  <si>
    <t>file://conllu/ru/doyle_bask.14.conllu#s250_0</t>
  </si>
  <si>
    <t>251</t>
  </si>
  <si>
    <t>Вот он , пропавший башмак нашего друга !</t>
  </si>
  <si>
    <t>file://conllu/ru/doyle_bask.14.conllu#s251_0</t>
  </si>
  <si>
    <t>252</t>
  </si>
  <si>
    <t>бросить</t>
  </si>
  <si>
    <t>— Брошенный второпях Стэплтоном ?</t>
  </si>
  <si>
    <t>file://conllu/ru/doyle_bask.14.conllu#s252_0</t>
  </si>
  <si>
    <t>253</t>
  </si>
  <si>
    <t>верный</t>
  </si>
  <si>
    <t>— Совершенно верно .</t>
  </si>
  <si>
    <t>file://conllu/ru/doyle_bask.14.conllu#s253_0</t>
  </si>
  <si>
    <t>254</t>
  </si>
  <si>
    <t>выпустить</t>
  </si>
  <si>
    <t>Он так и не выпустил его из рук , после того как дал собаке понюхать , наводя её на след .</t>
  </si>
  <si>
    <t>file://conllu/ru/doyle_bask.14.conllu#s254_0</t>
  </si>
  <si>
    <t>255</t>
  </si>
  <si>
    <t>броситься</t>
  </si>
  <si>
    <t>Когда он понял , что игра проиграна , он так и бросился бежать , держа его в руках .</t>
  </si>
  <si>
    <t>file://conllu/ru/doyle_bask.14.conllu#s255_0</t>
  </si>
  <si>
    <t>256</t>
  </si>
  <si>
    <t>А в этом месте бросил .</t>
  </si>
  <si>
    <t>file://conllu/ru/doyle_bask.14.conllu#s256_0</t>
  </si>
  <si>
    <t>257</t>
  </si>
  <si>
    <t>Теперь мы , по крайней мере , знаем , что до этого места он добрался благополучно .</t>
  </si>
  <si>
    <t>file://conllu/ru/doyle_bask.14.conllu#s257_0</t>
  </si>
  <si>
    <t>258</t>
  </si>
  <si>
    <t>удаться</t>
  </si>
  <si>
    <t>Но больше нам ничего не удалось узнать , хотя догадываться мы могли о многом .</t>
  </si>
  <si>
    <t>file://conllu/ru/doyle_bask.14.conllu#s258_0</t>
  </si>
  <si>
    <t>259</t>
  </si>
  <si>
    <t>Разглядеть на тропинке следы не было никакой возможности — их сразу же затягивало тиной .</t>
  </si>
  <si>
    <t>file://conllu/ru/doyle_bask.14.conllu#s259_0</t>
  </si>
  <si>
    <t>260</t>
  </si>
  <si>
    <t>решить</t>
  </si>
  <si>
    <t>Мы решили , что они обнаружатся на более сухом месте , однако все поиски были тщетны .</t>
  </si>
  <si>
    <t>file://conllu/ru/doyle_bask.14.conllu#s260_0</t>
  </si>
  <si>
    <t>261</t>
  </si>
  <si>
    <t>Если земля говорила правду , то Стэплтону так и не удалось добраться до своего убежища на островке , к которому он стремился в ту памятную нам туманную ночь .</t>
  </si>
  <si>
    <t>file://conllu/ru/doyle_bask.14.conllu#s261_0</t>
  </si>
  <si>
    <t>262</t>
  </si>
  <si>
    <t>погрести</t>
  </si>
  <si>
    <t>Этот холодный , жестокий человек был навеки погребен в самом сердце зловонной Гримпенской трясины , засосавшей его в свою бездонную глубину .</t>
  </si>
  <si>
    <t>file://conllu/ru/doyle_bask.14.conllu#s262_0</t>
  </si>
  <si>
    <t>263</t>
  </si>
  <si>
    <t>Мы нашли немало его следов на опоясанном топью островке , где он прятал своего страшного сообщника .</t>
  </si>
  <si>
    <t>file://conllu/ru/doyle_bask.14.conllu#s263_0</t>
  </si>
  <si>
    <t>264</t>
  </si>
  <si>
    <t>Огромный ворот и шахта , до половины заваленная щебнем , говорили , что когда-то здесь был рудник .</t>
  </si>
  <si>
    <t>file://conllu/ru/doyle_bask.14.conllu#s264_0</t>
  </si>
  <si>
    <t>265</t>
  </si>
  <si>
    <t>Рядом с ним стояли развалившиеся лачуги рудокопов , которых , вероятно , выгнали отсюда ядовитые болотные испарения .</t>
  </si>
  <si>
    <t>file://conllu/ru/doyle_bask.14.conllu#s265_0</t>
  </si>
  <si>
    <t>266</t>
  </si>
  <si>
    <t>В одной из этих лачуг мы нашли кольцо в стене , цепь и множество обглоданных костей .</t>
  </si>
  <si>
    <t>file://conllu/ru/doyle_bask.14.conllu#s266_0</t>
  </si>
  <si>
    <t>267</t>
  </si>
  <si>
    <t>дергнуть</t>
  </si>
  <si>
    <t>Здесь , вероятно , Стэплтон и держал своего пса .</t>
  </si>
  <si>
    <t>file://conllu/ru/doyle_bask.14.conllu#s267_0</t>
  </si>
  <si>
    <t>268</t>
  </si>
  <si>
    <t>валяться</t>
  </si>
  <si>
    <t>Среди мусора валялся скелет собаки с оставшимся на нем клочком рыжей шерсти .</t>
  </si>
  <si>
    <t>file://conllu/ru/doyle_bask.14.conllu#s268_0</t>
  </si>
  <si>
    <t>269</t>
  </si>
  <si>
    <t>воскликнуть</t>
  </si>
  <si>
    <t>— Боже мой ! — воскликнул Холмс .</t>
  </si>
  <si>
    <t>file://conllu/ru/doyle_bask.14.conllu#s269_0</t>
  </si>
  <si>
    <t>270</t>
  </si>
  <si>
    <t>спаниель</t>
  </si>
  <si>
    <t>— Да это спаниель !</t>
  </si>
  <si>
    <t>file://conllu/ru/doyle_bask.14.conllu#s270_0</t>
  </si>
  <si>
    <t>271</t>
  </si>
  <si>
    <t>уводить</t>
  </si>
  <si>
    <t>Бедный Мортимер больше никогда не уводит своего любимца .</t>
  </si>
  <si>
    <t>file://conllu/ru/doyle_bask.14.conllu#s271_0</t>
  </si>
  <si>
    <t>272</t>
  </si>
  <si>
    <t>думать (думать открыть)</t>
  </si>
  <si>
    <t>Ну что ж , теперь , я думаю , этот островок открыл нам все свои тайны .</t>
  </si>
  <si>
    <t>file://conllu/ru/doyle_bask.14.conllu#s272_0</t>
  </si>
  <si>
    <t>273</t>
  </si>
  <si>
    <t>быть (быть нетрудный)</t>
  </si>
  <si>
    <t>Спрятать собаку было нетрудно , а вот попробуйте заставить ее молчать !</t>
  </si>
  <si>
    <t>file://conllu/ru/doyle_bask.14.conllu#s273_0</t>
  </si>
  <si>
    <t>274</t>
  </si>
  <si>
    <t>Отсюда и шел этот вой , от которого людям даже днем становилось не по себе .</t>
  </si>
  <si>
    <t>file://conllu/ru/doyle_bask.14.conllu#s274_0</t>
  </si>
  <si>
    <t>275</t>
  </si>
  <si>
    <t>В случае крайней необходимости Стэплтон мог бы перевести собаку в сарай , поближе к дому , но на такой риск можно было пойти только в самую критическую минуту , в расчете на близкую развязку .</t>
  </si>
  <si>
    <t>file://conllu/ru/doyle_bask.14.conllu#s275_0</t>
  </si>
  <si>
    <t>276</t>
  </si>
  <si>
    <t>паста</t>
  </si>
  <si>
    <t>А вот эта паста в жестянке — тот самый светящийся состав , которым он смазывал своего пса .</t>
  </si>
  <si>
    <t>file://conllu/ru/doyle_bask.14.conllu#s276_0</t>
  </si>
  <si>
    <t>277</t>
  </si>
  <si>
    <t>натолкнуть</t>
  </si>
  <si>
    <t>Его натолкнуло на эту мысль не что иное , как легенда о чудовищной собаке Баскервилей , и он решил разделаться таким способом с сэром Чарльзом .</t>
  </si>
  <si>
    <t>file://conllu/ru/doyle_bask.14.conllu#s277_0</t>
  </si>
  <si>
    <t>278</t>
  </si>
  <si>
    <t>неудивительный</t>
  </si>
  <si>
    <t>Теперь неудивительно , что злосчастный каторжник пустился наутек ( как , впрочем , и наш друг , да и мы сами были недалеки от этого ) , когда эдакое страшилище выскочило на него из темноты .</t>
  </si>
  <si>
    <t>file://conllu/ru/doyle_bask.14.conllu#s278_0</t>
  </si>
  <si>
    <t>279</t>
  </si>
  <si>
    <t>придумать</t>
  </si>
  <si>
    <t>Стэплтон хитро придумал !</t>
  </si>
  <si>
    <t>file://conllu/ru/doyle_bask.14.conllu#s279_0</t>
  </si>
  <si>
    <t>280</t>
  </si>
  <si>
    <t>Уж не говоря о том , что собака помогла бы ему убить его жертву , кто из здешних фермеров решился бы поближе познакомиться с ней ?</t>
  </si>
  <si>
    <t>file://conllu/ru/doyle_bask.14.conllu#s280_0</t>
  </si>
  <si>
    <t>281</t>
  </si>
  <si>
    <t>тварь</t>
  </si>
  <si>
    <t>С такой тварью достаточно и одной встречи .</t>
  </si>
  <si>
    <t>file://conllu/ru/doyle_bask.14.conllu#s281_0</t>
  </si>
  <si>
    <t>282</t>
  </si>
  <si>
    <t>А ведь ее многие видели на болотах .</t>
  </si>
  <si>
    <t>file://conllu/ru/doyle_bask.14.conllu#s282_0</t>
  </si>
  <si>
    <t>283</t>
  </si>
  <si>
    <t>повторять (повторять говорить)</t>
  </si>
  <si>
    <t>Я говорил об этом в Лондоне , Уотсон , и повторяю опять : нам никогда не приходилось иметь дело с человеком более опасным , чем тот , кто лежит теперь там !</t>
  </si>
  <si>
    <t>file://conllu/ru/doyle_bask.14.conllu#s283_0</t>
  </si>
  <si>
    <t>284</t>
  </si>
  <si>
    <t>показать</t>
  </si>
  <si>
    <t>— И он показал на зелено бурую трясину , уходившую вдаль , к пологим склонам торфяных болот .</t>
  </si>
  <si>
    <t>file://conllu/ru/doyle_bask.14.conllu#s284_0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</si>
  <si>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</si>
  <si>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</si>
  <si>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</si>
  <si>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</si>
  <si>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</si>
  <si>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</si>
  <si>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</si>
  <si>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</si>
  <si>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</si>
  <si>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</si>
  <si>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</si>
  <si>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Одним из недостатков Шерлока Холмса — если только это можно назвать недостатком — было то, что он никогда и ни с кем не делился своими планами вплоть до их свершения.</t>
  </si>
  <si>
    <t>Одним</t>
  </si>
  <si>
    <t>из</t>
  </si>
  <si>
    <t>недостатков</t>
  </si>
  <si>
    <t>other</t>
  </si>
  <si>
    <t>def-np.poss</t>
  </si>
  <si>
    <t>?OLD</t>
  </si>
  <si>
    <t>Шерлока</t>
  </si>
  <si>
    <t>other_2</t>
  </si>
  <si>
    <t>ne</t>
  </si>
  <si>
    <t>Холмса</t>
  </si>
  <si>
    <t>other_3</t>
  </si>
  <si>
    <t>—</t>
  </si>
  <si>
    <t>если</t>
  </si>
  <si>
    <t>только</t>
  </si>
  <si>
    <t>это</t>
  </si>
  <si>
    <t>OBJ_3</t>
  </si>
  <si>
    <t>pron.pds</t>
  </si>
  <si>
    <t>можно</t>
  </si>
  <si>
    <t>назвать</t>
  </si>
  <si>
    <t>недостатком</t>
  </si>
  <si>
    <t>было</t>
  </si>
  <si>
    <t>то</t>
  </si>
  <si>
    <t>SBJ_2</t>
  </si>
  <si>
    <t>,</t>
  </si>
  <si>
    <t>он</t>
  </si>
  <si>
    <t>SBJ_4</t>
  </si>
  <si>
    <t>pron</t>
  </si>
  <si>
    <t>никогда</t>
  </si>
  <si>
    <t>и</t>
  </si>
  <si>
    <t>ни</t>
  </si>
  <si>
    <t>с</t>
  </si>
  <si>
    <t>кем</t>
  </si>
  <si>
    <t>other_4</t>
  </si>
  <si>
    <t>pron.pint</t>
  </si>
  <si>
    <t>не</t>
  </si>
  <si>
    <t>делился</t>
  </si>
  <si>
    <t>своими</t>
  </si>
  <si>
    <t>планами</t>
  </si>
  <si>
    <t>вплоть</t>
  </si>
  <si>
    <t>до</t>
  </si>
  <si>
    <t>их</t>
  </si>
  <si>
    <t>other_5</t>
  </si>
  <si>
    <t>pron.ppos</t>
  </si>
  <si>
    <t>свершения</t>
  </si>
  <si>
    <t>OBJ_4</t>
  </si>
  <si>
    <t>.</t>
  </si>
  <si>
    <t># text = Такая скрытность объяснялась отчасти властной натурой этого человека, любившего повелевать окружающими и поражать их воображение, отчасти профессиональной осторожностью, не позволявшей ему рисковать без нужды.</t>
  </si>
  <si>
    <t>Такая</t>
  </si>
  <si>
    <t>скрытность</t>
  </si>
  <si>
    <t>SBJ</t>
  </si>
  <si>
    <t>объяснялась</t>
  </si>
  <si>
    <t>отчасти</t>
  </si>
  <si>
    <t>властной</t>
  </si>
  <si>
    <t>натурой</t>
  </si>
  <si>
    <t>этого</t>
  </si>
  <si>
    <t>человека</t>
  </si>
  <si>
    <t>def-np.dem</t>
  </si>
  <si>
    <t>любившего</t>
  </si>
  <si>
    <t>повелевать</t>
  </si>
  <si>
    <t>окружающими</t>
  </si>
  <si>
    <t>поражать</t>
  </si>
  <si>
    <t>воображение</t>
  </si>
  <si>
    <t>OBJ_6</t>
  </si>
  <si>
    <t>профессиональной</t>
  </si>
  <si>
    <t>осторожностью</t>
  </si>
  <si>
    <t>позволявшей</t>
  </si>
  <si>
    <t>ему</t>
  </si>
  <si>
    <t>OBJ_8</t>
  </si>
  <si>
    <t>рисковать</t>
  </si>
  <si>
    <t>без</t>
  </si>
  <si>
    <t>нужды</t>
  </si>
  <si>
    <t># text = Как бы то ни было, эта черта характера Шерлока Холмса доставляла много неприятностей тем, кто работал с ним в качестве его агентов или помощников.</t>
  </si>
  <si>
    <t>Как</t>
  </si>
  <si>
    <t>бы</t>
  </si>
  <si>
    <t>эта</t>
  </si>
  <si>
    <t>черта</t>
  </si>
  <si>
    <t>характера</t>
  </si>
  <si>
    <t>доставляла</t>
  </si>
  <si>
    <t>много</t>
  </si>
  <si>
    <t>неприятностей</t>
  </si>
  <si>
    <t>тем</t>
  </si>
  <si>
    <t>кто</t>
  </si>
  <si>
    <t>работал</t>
  </si>
  <si>
    <t>ним</t>
  </si>
  <si>
    <t>в</t>
  </si>
  <si>
    <t>качестве</t>
  </si>
  <si>
    <t>его</t>
  </si>
  <si>
    <t>агентов</t>
  </si>
  <si>
    <t>или</t>
  </si>
  <si>
    <t>помощников</t>
  </si>
  <si>
    <t># text = Я сам часто страдал от нее, но то, что мне пришлось вытерпеть за это долгое путешествие в темноте, превзошло все мои прошлые муки.</t>
  </si>
  <si>
    <t>Я</t>
  </si>
  <si>
    <t>сам</t>
  </si>
  <si>
    <t>часто</t>
  </si>
  <si>
    <t>страдал</t>
  </si>
  <si>
    <t>от</t>
  </si>
  <si>
    <t>нее</t>
  </si>
  <si>
    <t>но</t>
  </si>
  <si>
    <t>мне</t>
  </si>
  <si>
    <t>пришлось</t>
  </si>
  <si>
    <t>вытерпеть</t>
  </si>
  <si>
    <t>за</t>
  </si>
  <si>
    <t>долгое</t>
  </si>
  <si>
    <t>путешествие</t>
  </si>
  <si>
    <t>темноте</t>
  </si>
  <si>
    <t>превзошло</t>
  </si>
  <si>
    <t>все</t>
  </si>
  <si>
    <t>мои</t>
  </si>
  <si>
    <t>прошлые</t>
  </si>
  <si>
    <t>муки</t>
  </si>
  <si>
    <t>indef-np.quant</t>
  </si>
  <si>
    <t># text = Нам предстояло нелегкое испытание, мы были готовы нанести последний, решающий удар, а Холмс упорно молчал, и я мог только догадываться о его планах.</t>
  </si>
  <si>
    <t>Нам</t>
  </si>
  <si>
    <t>OBJ</t>
  </si>
  <si>
    <t>предстояло</t>
  </si>
  <si>
    <t>нелегкое</t>
  </si>
  <si>
    <t>испытание</t>
  </si>
  <si>
    <t>мы</t>
  </si>
  <si>
    <t>были</t>
  </si>
  <si>
    <t>готовы</t>
  </si>
  <si>
    <t>нанести</t>
  </si>
  <si>
    <t>последний</t>
  </si>
  <si>
    <t>решающий</t>
  </si>
  <si>
    <t>удар</t>
  </si>
  <si>
    <t>а</t>
  </si>
  <si>
    <t>Холмс</t>
  </si>
  <si>
    <t>упорно</t>
  </si>
  <si>
    <t>молчал</t>
  </si>
  <si>
    <t>я</t>
  </si>
  <si>
    <t>мог</t>
  </si>
  <si>
    <t>догадываться</t>
  </si>
  <si>
    <t>о</t>
  </si>
  <si>
    <t>планах</t>
  </si>
  <si>
    <t># text = Мое нервное напряжение дошло до предела, как вдруг в лицо нам пахнуло холодным ветром, и, глянув в темноту, на пустынные просторы, тянувшиеся по обеим сторонам узкой дороги, я понял, что мы снова очутились на болотах.</t>
  </si>
  <si>
    <t>Мое</t>
  </si>
  <si>
    <t>нервное</t>
  </si>
  <si>
    <t>напряжение</t>
  </si>
  <si>
    <t>дошло</t>
  </si>
  <si>
    <t>предела</t>
  </si>
  <si>
    <t>как</t>
  </si>
  <si>
    <t>вдруг</t>
  </si>
  <si>
    <t>лицо</t>
  </si>
  <si>
    <t>нам</t>
  </si>
  <si>
    <t>OBJ_2</t>
  </si>
  <si>
    <t>пахнуло</t>
  </si>
  <si>
    <t>холодным</t>
  </si>
  <si>
    <t>ветром</t>
  </si>
  <si>
    <t>глянув</t>
  </si>
  <si>
    <t>темноту</t>
  </si>
  <si>
    <t>на</t>
  </si>
  <si>
    <t>пустынные</t>
  </si>
  <si>
    <t>просторы</t>
  </si>
  <si>
    <t>тянувшиеся</t>
  </si>
  <si>
    <t>по</t>
  </si>
  <si>
    <t>обеим</t>
  </si>
  <si>
    <t>сторонам</t>
  </si>
  <si>
    <t>узкой</t>
  </si>
  <si>
    <t>дороги</t>
  </si>
  <si>
    <t>понял</t>
  </si>
  <si>
    <t>SBJ_3</t>
  </si>
  <si>
    <t>снова</t>
  </si>
  <si>
    <t>очутились</t>
  </si>
  <si>
    <t>болотах</t>
  </si>
  <si>
    <t># text = Каждый шаг лошадей, каждый поворот колес приближал нас к развязке всех этих событий.</t>
  </si>
  <si>
    <t>Каждый</t>
  </si>
  <si>
    <t>лошадей</t>
  </si>
  <si>
    <t>каждый</t>
  </si>
  <si>
    <t>поворот</t>
  </si>
  <si>
    <t>колес</t>
  </si>
  <si>
    <t>приближал</t>
  </si>
  <si>
    <t>нас</t>
  </si>
  <si>
    <t>к</t>
  </si>
  <si>
    <t>развязке</t>
  </si>
  <si>
    <t>всех</t>
  </si>
  <si>
    <t>этих</t>
  </si>
  <si>
    <t>событий</t>
  </si>
  <si>
    <t># text = В присутствии возницы, нанятого в Кумби-Треси, нельзя было говорить о деле, и мы, несмотря на все свое волнение, беседовали о каких-то пустяках.</t>
  </si>
  <si>
    <t>В</t>
  </si>
  <si>
    <t>присутствии</t>
  </si>
  <si>
    <t>возницы</t>
  </si>
  <si>
    <t>нанятого</t>
  </si>
  <si>
    <t>Кумби-Треси</t>
  </si>
  <si>
    <t>деле</t>
  </si>
  <si>
    <t>несмотря</t>
  </si>
  <si>
    <t>свое</t>
  </si>
  <si>
    <t>волнение</t>
  </si>
  <si>
    <t>беседовали</t>
  </si>
  <si>
    <t>каких-то</t>
  </si>
  <si>
    <t>пустяках</t>
  </si>
  <si>
    <t>indef-np</t>
  </si>
  <si>
    <t># text = Я облегченно вздохнул, когда в стороне от дороги показался коттедж Френкленда, от которого оставалось две-три мили до Баскервиль-холла и до того места, где должна была разыграться заключительная сцена трагедии.</t>
  </si>
  <si>
    <t>облегченно</t>
  </si>
  <si>
    <t>вздохнул</t>
  </si>
  <si>
    <t>когда</t>
  </si>
  <si>
    <t>стороне</t>
  </si>
  <si>
    <t>показался</t>
  </si>
  <si>
    <t>коттедж</t>
  </si>
  <si>
    <t>Френкленда</t>
  </si>
  <si>
    <t>которого</t>
  </si>
  <si>
    <t>оставалось</t>
  </si>
  <si>
    <t>две</t>
  </si>
  <si>
    <t>три</t>
  </si>
  <si>
    <t>мили</t>
  </si>
  <si>
    <t>Баскервиль</t>
  </si>
  <si>
    <t>холла</t>
  </si>
  <si>
    <t>того</t>
  </si>
  <si>
    <t>места</t>
  </si>
  <si>
    <t>other_6</t>
  </si>
  <si>
    <t>должна</t>
  </si>
  <si>
    <t>была</t>
  </si>
  <si>
    <t>разыграться</t>
  </si>
  <si>
    <t>заключительная</t>
  </si>
  <si>
    <t>сцена</t>
  </si>
  <si>
    <t>SBJ_8</t>
  </si>
  <si>
    <t>трагедии</t>
  </si>
  <si>
    <t># text = Не останавливаясь у подъезда, мы проехали к калитке в тисовой аллее, расплатились с возницей, отправили его обратно в Кумби-Треси, а сами пошли по направлению к Меррипит-хаус.</t>
  </si>
  <si>
    <t>Не</t>
  </si>
  <si>
    <t>останавливаясь</t>
  </si>
  <si>
    <t>у</t>
  </si>
  <si>
    <t>подъезда</t>
  </si>
  <si>
    <t>проехали</t>
  </si>
  <si>
    <t>калитке</t>
  </si>
  <si>
    <t>тисовой</t>
  </si>
  <si>
    <t>аллее</t>
  </si>
  <si>
    <t>расплатились</t>
  </si>
  <si>
    <t>возницей</t>
  </si>
  <si>
    <t>отправили</t>
  </si>
  <si>
    <t>обратно</t>
  </si>
  <si>
    <t>сами</t>
  </si>
  <si>
    <t>пошли</t>
  </si>
  <si>
    <t>направлению</t>
  </si>
  <si>
    <t># text = — Вы с оружием, Лестрейд?</t>
  </si>
  <si>
    <t>Вы</t>
  </si>
  <si>
    <t>оружием</t>
  </si>
  <si>
    <t>?</t>
  </si>
  <si>
    <t># text = Маленький сыщик улыбнулся: — Раз на мне брюки, значит, и задний карман у них есть, а раз есть задний карман, значит, он не пустует.</t>
  </si>
  <si>
    <t>Маленький</t>
  </si>
  <si>
    <t>сыщик</t>
  </si>
  <si>
    <t>улыбнулся</t>
  </si>
  <si>
    <t>:</t>
  </si>
  <si>
    <t>Раз</t>
  </si>
  <si>
    <t>брюки</t>
  </si>
  <si>
    <t>значит</t>
  </si>
  <si>
    <t>задний</t>
  </si>
  <si>
    <t>карман</t>
  </si>
  <si>
    <t>них</t>
  </si>
  <si>
    <t>есть</t>
  </si>
  <si>
    <t>раз</t>
  </si>
  <si>
    <t>пустует</t>
  </si>
  <si>
    <t># text = — Вот и прекрасно!</t>
  </si>
  <si>
    <t>Вот</t>
  </si>
  <si>
    <t>!</t>
  </si>
  <si>
    <t># text = Мы с Уотсоном тоже приготовились ко всяким неожиданностям.</t>
  </si>
  <si>
    <t>Мы</t>
  </si>
  <si>
    <t>Уотсоном</t>
  </si>
  <si>
    <t>тоже</t>
  </si>
  <si>
    <t>приготовились</t>
  </si>
  <si>
    <t>ко</t>
  </si>
  <si>
    <t>всяким</t>
  </si>
  <si>
    <t>неожиданностям</t>
  </si>
  <si>
    <t># text = — Я вижу, вы настроены очень серьезно, мистер Холмс.</t>
  </si>
  <si>
    <t>вижу</t>
  </si>
  <si>
    <t>вы</t>
  </si>
  <si>
    <t>настроены</t>
  </si>
  <si>
    <t>очень</t>
  </si>
  <si>
    <t>серьезно</t>
  </si>
  <si>
    <t>мистер</t>
  </si>
  <si>
    <t># text = А что от нас теперь требуется в этой игре?</t>
  </si>
  <si>
    <t>А</t>
  </si>
  <si>
    <t>теперь</t>
  </si>
  <si>
    <t>требуется</t>
  </si>
  <si>
    <t>этой</t>
  </si>
  <si>
    <t>игре</t>
  </si>
  <si>
    <t># text = — Требуется терпение.</t>
  </si>
  <si>
    <t>Требуется</t>
  </si>
  <si>
    <t>терпение</t>
  </si>
  <si>
    <t># text = Будем ждать.</t>
  </si>
  <si>
    <t>Будем</t>
  </si>
  <si>
    <t># text = — Действительно, места здесь не очень веселые!</t>
  </si>
  <si>
    <t>Действительно</t>
  </si>
  <si>
    <t>веселые</t>
  </si>
  <si>
    <t># text = — Сыщик повел плечами, глядя на мрачные склоны холмов и туман, озером разлившийся над Гримпенской трясиной.</t>
  </si>
  <si>
    <t>Сыщик</t>
  </si>
  <si>
    <t>повел</t>
  </si>
  <si>
    <t>плечами</t>
  </si>
  <si>
    <t>глядя</t>
  </si>
  <si>
    <t>мрачные</t>
  </si>
  <si>
    <t>склоны</t>
  </si>
  <si>
    <t>холмов</t>
  </si>
  <si>
    <t>озером</t>
  </si>
  <si>
    <t>разлившийся</t>
  </si>
  <si>
    <t>над</t>
  </si>
  <si>
    <t>Гримпенской</t>
  </si>
  <si>
    <t>трясиной</t>
  </si>
  <si>
    <t># text = — А вон где-то горит огонек.</t>
  </si>
  <si>
    <t>вон</t>
  </si>
  <si>
    <t>где-то</t>
  </si>
  <si>
    <t>горит</t>
  </si>
  <si>
    <t>огонек</t>
  </si>
  <si>
    <t># text = — Это Меррипит-хаус — конечная цель нашего путешествия.</t>
  </si>
  <si>
    <t>Это</t>
  </si>
  <si>
    <t>конечная</t>
  </si>
  <si>
    <t>цель</t>
  </si>
  <si>
    <t>нашего</t>
  </si>
  <si>
    <t>путешествия</t>
  </si>
  <si>
    <t># text = Теперь попрошу вас ступать как можно тише и говорить шепотом.</t>
  </si>
  <si>
    <t>Теперь</t>
  </si>
  <si>
    <t>попрошу</t>
  </si>
  <si>
    <t>вас</t>
  </si>
  <si>
    <t>ступать</t>
  </si>
  <si>
    <t>тише</t>
  </si>
  <si>
    <t>шепотом</t>
  </si>
  <si>
    <t># text = Мы осторожно шагали по тропинке, которая вела к дому, но ярдов за двести от него Холмс остановился.</t>
  </si>
  <si>
    <t>осторожно</t>
  </si>
  <si>
    <t>шагали</t>
  </si>
  <si>
    <t>тропинке</t>
  </si>
  <si>
    <t>которая</t>
  </si>
  <si>
    <t>вела</t>
  </si>
  <si>
    <t>дому</t>
  </si>
  <si>
    <t>ярдов</t>
  </si>
  <si>
    <t>двести</t>
  </si>
  <si>
    <t>него</t>
  </si>
  <si>
    <t>остановился</t>
  </si>
  <si>
    <t># text = — Дальше не надо, — сказал он.</t>
  </si>
  <si>
    <t>Дальше</t>
  </si>
  <si>
    <t>сказал</t>
  </si>
  <si>
    <t># text = — Вот эти валуны послужат нам прекрасной ширмой.</t>
  </si>
  <si>
    <t>эти</t>
  </si>
  <si>
    <t>валуны</t>
  </si>
  <si>
    <t>послужат</t>
  </si>
  <si>
    <t>прекрасной</t>
  </si>
  <si>
    <t>ширмой</t>
  </si>
  <si>
    <t># text = — Здесь и будем ждать?</t>
  </si>
  <si>
    <t>Здесь</t>
  </si>
  <si>
    <t>будем</t>
  </si>
  <si>
    <t># text = — Да, устроим засаду.</t>
  </si>
  <si>
    <t>Да</t>
  </si>
  <si>
    <t>устроим</t>
  </si>
  <si>
    <t>засаду</t>
  </si>
  <si>
    <t># text = Станьте вот сюда, Лестрейд.</t>
  </si>
  <si>
    <t>Станьте</t>
  </si>
  <si>
    <t>сюда</t>
  </si>
  <si>
    <t># text = Уотсон, ведь вы бывали в доме?</t>
  </si>
  <si>
    <t>Уотсон</t>
  </si>
  <si>
    <t>ведь</t>
  </si>
  <si>
    <t>бывали</t>
  </si>
  <si>
    <t>доме</t>
  </si>
  <si>
    <t># text = Расположение комнат знаете?</t>
  </si>
  <si>
    <t>Расположение</t>
  </si>
  <si>
    <t>комнат</t>
  </si>
  <si>
    <t>знаете</t>
  </si>
  <si>
    <t># text = Вон те окна с переплетом — что это?</t>
  </si>
  <si>
    <t>Вон</t>
  </si>
  <si>
    <t>те</t>
  </si>
  <si>
    <t>окна</t>
  </si>
  <si>
    <t>переплетом</t>
  </si>
  <si>
    <t># text = — По-моему, кухня.</t>
  </si>
  <si>
    <t>По-моему</t>
  </si>
  <si>
    <t># text = — А следующее, ярко освещенное?</t>
  </si>
  <si>
    <t>следующее</t>
  </si>
  <si>
    <t>ярко</t>
  </si>
  <si>
    <t>освещенное</t>
  </si>
  <si>
    <t># text = — Это столовая.</t>
  </si>
  <si>
    <t>столовая</t>
  </si>
  <si>
    <t># text = — Шторы подняты.</t>
  </si>
  <si>
    <t>Шторы</t>
  </si>
  <si>
    <t>подняты</t>
  </si>
  <si>
    <t># text = Вы лучше меня знаете, как туда пройти.</t>
  </si>
  <si>
    <t>лучше</t>
  </si>
  <si>
    <t>меня</t>
  </si>
  <si>
    <t>туда</t>
  </si>
  <si>
    <t># text = Загляните в окно — что они там делают?</t>
  </si>
  <si>
    <t>Загляните</t>
  </si>
  <si>
    <t>окно</t>
  </si>
  <si>
    <t>они</t>
  </si>
  <si>
    <t>там</t>
  </si>
  <si>
    <t>делают</t>
  </si>
  <si>
    <t># text = Только, ради бога, тише.</t>
  </si>
  <si>
    <t>Только</t>
  </si>
  <si>
    <t>ради</t>
  </si>
  <si>
    <t>бога</t>
  </si>
  <si>
    <t># text = Как бы вас не услышали.</t>
  </si>
  <si>
    <t>услышали</t>
  </si>
  <si>
    <t># text = Я подкрался на цыпочках к низкой каменной ограде, окружающей чахлый садик Стэплтонов, и, пробираясь в ее тени, дошел до того места, откуда можно было заглянуть в незанавешенное окно.</t>
  </si>
  <si>
    <t>подкрался</t>
  </si>
  <si>
    <t>цыпочках</t>
  </si>
  <si>
    <t>низкой</t>
  </si>
  <si>
    <t>каменной</t>
  </si>
  <si>
    <t>ограде</t>
  </si>
  <si>
    <t>окружающей</t>
  </si>
  <si>
    <t>чахлый</t>
  </si>
  <si>
    <t>садик</t>
  </si>
  <si>
    <t>Стэплтонов</t>
  </si>
  <si>
    <t>пробираясь</t>
  </si>
  <si>
    <t>ее</t>
  </si>
  <si>
    <t>other_7</t>
  </si>
  <si>
    <t>тени</t>
  </si>
  <si>
    <t>дошел</t>
  </si>
  <si>
    <t>откуда</t>
  </si>
  <si>
    <t>заглянуть</t>
  </si>
  <si>
    <t>незанавешенное</t>
  </si>
  <si>
    <t># text = В комнате были двое мужчин — сэр Генри и Стэплтон.</t>
  </si>
  <si>
    <t>комнате</t>
  </si>
  <si>
    <t>двое</t>
  </si>
  <si>
    <t>мужчин</t>
  </si>
  <si>
    <t>сэр</t>
  </si>
  <si>
    <t>Генри</t>
  </si>
  <si>
    <t>Стэплтон</t>
  </si>
  <si>
    <t># text = Они сидели друг против друга за круглым столом, ко мне в профиль, и курили сигары.</t>
  </si>
  <si>
    <t>Они</t>
  </si>
  <si>
    <t>сидели</t>
  </si>
  <si>
    <t>друг</t>
  </si>
  <si>
    <t>против</t>
  </si>
  <si>
    <t>друга</t>
  </si>
  <si>
    <t>круглым</t>
  </si>
  <si>
    <t>столом</t>
  </si>
  <si>
    <t>профиль</t>
  </si>
  <si>
    <t>курили</t>
  </si>
  <si>
    <t>сигары</t>
  </si>
  <si>
    <t># text = Перед ними стояли чашки с кофе и вино.</t>
  </si>
  <si>
    <t>Перед</t>
  </si>
  <si>
    <t>ними</t>
  </si>
  <si>
    <t>стояли</t>
  </si>
  <si>
    <t>чашки</t>
  </si>
  <si>
    <t>кофе</t>
  </si>
  <si>
    <t>вино</t>
  </si>
  <si>
    <t># text = Стэплтон оживленно говорил о чем-то, но баронет сидел бледный и слушал его невнимательно.</t>
  </si>
  <si>
    <t>оживленно</t>
  </si>
  <si>
    <t>говорил</t>
  </si>
  <si>
    <t>чем-то</t>
  </si>
  <si>
    <t>баронет</t>
  </si>
  <si>
    <t>сидел</t>
  </si>
  <si>
    <t>бледный</t>
  </si>
  <si>
    <t>слушал</t>
  </si>
  <si>
    <t>невнимательно</t>
  </si>
  <si>
    <t># text = Ему, вероятно, не давала покоя мысль о скором возвращении домой по зловещим болотам.</t>
  </si>
  <si>
    <t>Ему</t>
  </si>
  <si>
    <t>вероятно</t>
  </si>
  <si>
    <t>давала</t>
  </si>
  <si>
    <t>покоя</t>
  </si>
  <si>
    <t>мысль</t>
  </si>
  <si>
    <t>скором</t>
  </si>
  <si>
    <t>возвращении</t>
  </si>
  <si>
    <t>домой</t>
  </si>
  <si>
    <t>зловещим</t>
  </si>
  <si>
    <t>болотам</t>
  </si>
  <si>
    <t># text = Но вот Стэплтон встал и вышел из комнаты, а сэр Генри подлил себе вина в стакан и откинулся на спинку стула, попыхивая сигарой.</t>
  </si>
  <si>
    <t>Но</t>
  </si>
  <si>
    <t>встал</t>
  </si>
  <si>
    <t>вышел</t>
  </si>
  <si>
    <t>комнаты</t>
  </si>
  <si>
    <t>подлил</t>
  </si>
  <si>
    <t>себе</t>
  </si>
  <si>
    <t>вина</t>
  </si>
  <si>
    <t>стакан</t>
  </si>
  <si>
    <t>откинулся</t>
  </si>
  <si>
    <t>спинку</t>
  </si>
  <si>
    <t>стула</t>
  </si>
  <si>
    <t>попыхивая</t>
  </si>
  <si>
    <t>сигарой</t>
  </si>
  <si>
    <t># text = Я услышал скрип двери, потом похрустывание гравия на тропинке.</t>
  </si>
  <si>
    <t>услышал</t>
  </si>
  <si>
    <t>скрип</t>
  </si>
  <si>
    <t>двери</t>
  </si>
  <si>
    <t>потом</t>
  </si>
  <si>
    <t>похрустывание</t>
  </si>
  <si>
    <t>гравия</t>
  </si>
  <si>
    <t># text = Шаги приближались ко мне.</t>
  </si>
  <si>
    <t>Шаги</t>
  </si>
  <si>
    <t>приближались</t>
  </si>
  <si>
    <t># text = Выглянув из-за стены, я увидел, что натуралист остановился у небольшого сарая в углу сада.</t>
  </si>
  <si>
    <t>Выглянув</t>
  </si>
  <si>
    <t>из-за</t>
  </si>
  <si>
    <t>стены</t>
  </si>
  <si>
    <t>увидел</t>
  </si>
  <si>
    <t>натуралист</t>
  </si>
  <si>
    <t>небольшого</t>
  </si>
  <si>
    <t>сарая</t>
  </si>
  <si>
    <t>углу</t>
  </si>
  <si>
    <t>сада</t>
  </si>
  <si>
    <t># text = Звякнул ключ в замке, и в сарае послышалась какая-то возня.</t>
  </si>
  <si>
    <t>Звякнул</t>
  </si>
  <si>
    <t>ключ</t>
  </si>
  <si>
    <t>замке</t>
  </si>
  <si>
    <t>сарае</t>
  </si>
  <si>
    <t>послышалась</t>
  </si>
  <si>
    <t>какая-то</t>
  </si>
  <si>
    <t>возня</t>
  </si>
  <si>
    <t># text = Стэплтон пробыл там не больше двух минут, снова звякнул ключом, прошел мимо меня и исчез в доме.</t>
  </si>
  <si>
    <t>пробыл</t>
  </si>
  <si>
    <t>больше</t>
  </si>
  <si>
    <t>двух</t>
  </si>
  <si>
    <t>минут</t>
  </si>
  <si>
    <t>звякнул</t>
  </si>
  <si>
    <t>ключом</t>
  </si>
  <si>
    <t>прошел</t>
  </si>
  <si>
    <t>мимо</t>
  </si>
  <si>
    <t>исчез</t>
  </si>
  <si>
    <t># text = Я увидел, что он вернулся к своему гостю; осторожно пробравшись к товарищам, я рассказал им все это.</t>
  </si>
  <si>
    <t>вернулся</t>
  </si>
  <si>
    <t>своему</t>
  </si>
  <si>
    <t>гостю</t>
  </si>
  <si>
    <t>;</t>
  </si>
  <si>
    <t>пробравшись</t>
  </si>
  <si>
    <t>товарищам</t>
  </si>
  <si>
    <t>рассказал</t>
  </si>
  <si>
    <t>им</t>
  </si>
  <si>
    <t># text = — Значит, женщина не с ними? — спросил Холмс, когда я кончил.</t>
  </si>
  <si>
    <t>Значит</t>
  </si>
  <si>
    <t>женщина</t>
  </si>
  <si>
    <t>спросил</t>
  </si>
  <si>
    <t>кончил</t>
  </si>
  <si>
    <t># text = — Нет.</t>
  </si>
  <si>
    <t>Нет</t>
  </si>
  <si>
    <t># text = — Тогда где же она?</t>
  </si>
  <si>
    <t>Тогда</t>
  </si>
  <si>
    <t>же</t>
  </si>
  <si>
    <t>она</t>
  </si>
  <si>
    <t># text = Ведь, кроме кухни и столовой, все окна темные.</t>
  </si>
  <si>
    <t>Ведь</t>
  </si>
  <si>
    <t>кроме</t>
  </si>
  <si>
    <t>кухни</t>
  </si>
  <si>
    <t>столовой</t>
  </si>
  <si>
    <t>темные</t>
  </si>
  <si>
    <t># text = — Право, не знаю.</t>
  </si>
  <si>
    <t>Право</t>
  </si>
  <si>
    <t>знаю</t>
  </si>
  <si>
    <t># text = Я уже говорил, что над Гримпенской трясиной стлался густой белый туман.</t>
  </si>
  <si>
    <t>уже</t>
  </si>
  <si>
    <t>стлался</t>
  </si>
  <si>
    <t>густой</t>
  </si>
  <si>
    <t>белый</t>
  </si>
  <si>
    <t># text = Он медленно полз в нашу сторону, окружая нас и справа и слева низким, но плотным валом.</t>
  </si>
  <si>
    <t>Он</t>
  </si>
  <si>
    <t>медленно</t>
  </si>
  <si>
    <t>полз</t>
  </si>
  <si>
    <t>нашу</t>
  </si>
  <si>
    <t>сторону</t>
  </si>
  <si>
    <t>окружая</t>
  </si>
  <si>
    <t>справа</t>
  </si>
  <si>
    <t>слева</t>
  </si>
  <si>
    <t>низким</t>
  </si>
  <si>
    <t>плотным</t>
  </si>
  <si>
    <t>валом</t>
  </si>
  <si>
    <t># text = Лившийся сверху лунный свет превращал его в мерцающее ледяное поле, над которым, словно черные пики, вздымались верхушки отдаленных гранитных столбов.</t>
  </si>
  <si>
    <t>Лившийся</t>
  </si>
  <si>
    <t>сверху</t>
  </si>
  <si>
    <t>лунный</t>
  </si>
  <si>
    <t>свет</t>
  </si>
  <si>
    <t>превращал</t>
  </si>
  <si>
    <t>мерцающее</t>
  </si>
  <si>
    <t>ледяное</t>
  </si>
  <si>
    <t>поле</t>
  </si>
  <si>
    <t>которым</t>
  </si>
  <si>
    <t>словно</t>
  </si>
  <si>
    <t>черные</t>
  </si>
  <si>
    <t>пики</t>
  </si>
  <si>
    <t>вздымались</t>
  </si>
  <si>
    <t>верхушки</t>
  </si>
  <si>
    <t>отдаленных</t>
  </si>
  <si>
    <t>гранитных</t>
  </si>
  <si>
    <t>столбов</t>
  </si>
  <si>
    <t># text = Холмс повернулся в ту сторону и, глядя на эту медленно подползающую белую стену, нетерпеливо пробормотал: — Смотрите, Уотсон, туман движется прямо на нас.</t>
  </si>
  <si>
    <t>повернулся</t>
  </si>
  <si>
    <t>ту</t>
  </si>
  <si>
    <t>эту</t>
  </si>
  <si>
    <t>подползающую</t>
  </si>
  <si>
    <t>белую</t>
  </si>
  <si>
    <t>стену</t>
  </si>
  <si>
    <t>нетерпеливо</t>
  </si>
  <si>
    <t>пробормотал</t>
  </si>
  <si>
    <t>Смотрите</t>
  </si>
  <si>
    <t>движется</t>
  </si>
  <si>
    <t>прямо</t>
  </si>
  <si>
    <t># text = — А это нехорошо?</t>
  </si>
  <si>
    <t>нехорошо</t>
  </si>
  <si>
    <t># text = — Хуже некуда!</t>
  </si>
  <si>
    <t>Хуже</t>
  </si>
  <si>
    <t># text = Туман — единственное, что может нарушить мои планы.</t>
  </si>
  <si>
    <t>Туман</t>
  </si>
  <si>
    <t>единственное</t>
  </si>
  <si>
    <t>может</t>
  </si>
  <si>
    <t>нарушить</t>
  </si>
  <si>
    <t>планы</t>
  </si>
  <si>
    <t># text = Но сэр Генри там не задержится.</t>
  </si>
  <si>
    <t>задержится</t>
  </si>
  <si>
    <t># text = Уже десять часов.</t>
  </si>
  <si>
    <t>Уже</t>
  </si>
  <si>
    <t>десять</t>
  </si>
  <si>
    <t>часов</t>
  </si>
  <si>
    <t># text = Теперь все — и наш успех и даже его жизнь — зависит от того, выйдет ли он прежде, чем туман доползет до тропинки, или нет.</t>
  </si>
  <si>
    <t>наш</t>
  </si>
  <si>
    <t>успех</t>
  </si>
  <si>
    <t>даже</t>
  </si>
  <si>
    <t>жизнь</t>
  </si>
  <si>
    <t>зависит</t>
  </si>
  <si>
    <t>выйдет</t>
  </si>
  <si>
    <t>ли</t>
  </si>
  <si>
    <t>прежде</t>
  </si>
  <si>
    <t>чем</t>
  </si>
  <si>
    <t>доползет</t>
  </si>
  <si>
    <t>тропинки</t>
  </si>
  <si>
    <t># text = Ночное небо было чистое, без единого облачка.</t>
  </si>
  <si>
    <t>Ночное</t>
  </si>
  <si>
    <t>небо</t>
  </si>
  <si>
    <t>чистое</t>
  </si>
  <si>
    <t>единого</t>
  </si>
  <si>
    <t>облачка</t>
  </si>
  <si>
    <t># text = Звезды холодно поблескивали в вышине, луна заливала болота мягким неверным светом.</t>
  </si>
  <si>
    <t>Звезды</t>
  </si>
  <si>
    <t>холодно</t>
  </si>
  <si>
    <t>поблескивали</t>
  </si>
  <si>
    <t>вышине</t>
  </si>
  <si>
    <t>луна</t>
  </si>
  <si>
    <t>заливала</t>
  </si>
  <si>
    <t>болота</t>
  </si>
  <si>
    <t>мягким</t>
  </si>
  <si>
    <t>неверным</t>
  </si>
  <si>
    <t>светом</t>
  </si>
  <si>
    <t># text = Прямо перед нами смутно чернели очертания дома с остроконечной крышей, словно ощетинившейся трубами, которые четко выступали на звездном небе.</t>
  </si>
  <si>
    <t>Прямо</t>
  </si>
  <si>
    <t>перед</t>
  </si>
  <si>
    <t>нами</t>
  </si>
  <si>
    <t>смутно</t>
  </si>
  <si>
    <t>чернели</t>
  </si>
  <si>
    <t>очертания</t>
  </si>
  <si>
    <t>дома</t>
  </si>
  <si>
    <t>остроконечной</t>
  </si>
  <si>
    <t>крышей</t>
  </si>
  <si>
    <t>ощетинившейся</t>
  </si>
  <si>
    <t>трубами</t>
  </si>
  <si>
    <t>которые</t>
  </si>
  <si>
    <t>четко</t>
  </si>
  <si>
    <t>выступали</t>
  </si>
  <si>
    <t>звездном</t>
  </si>
  <si>
    <t>небе</t>
  </si>
  <si>
    <t># text = Широкие золотые полосы падали из окон нижнего этажа в сад и дальше, на болота.</t>
  </si>
  <si>
    <t>Широкие</t>
  </si>
  <si>
    <t>золотые</t>
  </si>
  <si>
    <t>полосы</t>
  </si>
  <si>
    <t>падали</t>
  </si>
  <si>
    <t>окон</t>
  </si>
  <si>
    <t>нижнего</t>
  </si>
  <si>
    <t>этажа</t>
  </si>
  <si>
    <t>сад</t>
  </si>
  <si>
    <t>дальше</t>
  </si>
  <si>
    <t># text = Одна из них вдруг погасла.</t>
  </si>
  <si>
    <t>Одна</t>
  </si>
  <si>
    <t>погасла</t>
  </si>
  <si>
    <t># text = Слуги вышли из кухни.</t>
  </si>
  <si>
    <t>Слуги</t>
  </si>
  <si>
    <t>вышли</t>
  </si>
  <si>
    <t># text = Теперь лампа горела только в столовой, где те двое — убийца-хозяин и ничего не подозревающий гость — покуривали сигары и продолжали свой разговор.</t>
  </si>
  <si>
    <t>лампа</t>
  </si>
  <si>
    <t>горела</t>
  </si>
  <si>
    <t>убийца</t>
  </si>
  <si>
    <t>хозяин</t>
  </si>
  <si>
    <t>ничего</t>
  </si>
  <si>
    <t>pron.pind</t>
  </si>
  <si>
    <t>подозревающий</t>
  </si>
  <si>
    <t>гость</t>
  </si>
  <si>
    <t>покуривали</t>
  </si>
  <si>
    <t>продолжали</t>
  </si>
  <si>
    <t>свой</t>
  </si>
  <si>
    <t>разговор</t>
  </si>
  <si>
    <t># text = Белая волокнистая пелена, затянувшая почти все болото, с каждой минутой приближалась к дому.</t>
  </si>
  <si>
    <t>Белая</t>
  </si>
  <si>
    <t>волокнистая</t>
  </si>
  <si>
    <t>пелена</t>
  </si>
  <si>
    <t>затянувшая</t>
  </si>
  <si>
    <t>почти</t>
  </si>
  <si>
    <t>болото</t>
  </si>
  <si>
    <t>каждой</t>
  </si>
  <si>
    <t>минутой</t>
  </si>
  <si>
    <t>приближалась</t>
  </si>
  <si>
    <t># text = Первые прозрачные клочья уже завивались у золотистого квадрата освещенного окна.</t>
  </si>
  <si>
    <t>Первые</t>
  </si>
  <si>
    <t>прозрачные</t>
  </si>
  <si>
    <t>клочья</t>
  </si>
  <si>
    <t>завивались</t>
  </si>
  <si>
    <t>золотистого</t>
  </si>
  <si>
    <t>квадрата</t>
  </si>
  <si>
    <t>освещенного</t>
  </si>
  <si>
    <t># text = Дальняя стена сада совсем исчезла в этой клубящейся мгле, над которой виднелись только верхушки деревьев.</t>
  </si>
  <si>
    <t>Дальняя</t>
  </si>
  <si>
    <t>стена</t>
  </si>
  <si>
    <t>совсем</t>
  </si>
  <si>
    <t>исчезла</t>
  </si>
  <si>
    <t>клубящейся</t>
  </si>
  <si>
    <t>мгле</t>
  </si>
  <si>
    <t>которой</t>
  </si>
  <si>
    <t>виднелись</t>
  </si>
  <si>
    <t>деревьев</t>
  </si>
  <si>
    <t># text = Вот белесые кольца показались с обеих сторон дома и медленно слились в плотный вал, и верхний этаж с крышей всплыл над ним, точно волшебный корабль на волнах призрачного моря.</t>
  </si>
  <si>
    <t>белесые</t>
  </si>
  <si>
    <t>кольца</t>
  </si>
  <si>
    <t>показались</t>
  </si>
  <si>
    <t>обеих</t>
  </si>
  <si>
    <t>сторон</t>
  </si>
  <si>
    <t>слились</t>
  </si>
  <si>
    <t>плотный</t>
  </si>
  <si>
    <t>вал</t>
  </si>
  <si>
    <t>верхний</t>
  </si>
  <si>
    <t>этаж</t>
  </si>
  <si>
    <t>всплыл</t>
  </si>
  <si>
    <t>точно</t>
  </si>
  <si>
    <t>волшебный</t>
  </si>
  <si>
    <t>корабль</t>
  </si>
  <si>
    <t>волнах</t>
  </si>
  <si>
    <t>призрачного</t>
  </si>
  <si>
    <t>моря</t>
  </si>
  <si>
    <t># text = Холмс яростно ударил кулаком о камень, за которым мы стояли, и вне себя от нетерпения топнул ногой.</t>
  </si>
  <si>
    <t>яростно</t>
  </si>
  <si>
    <t>ударил</t>
  </si>
  <si>
    <t>кулаком</t>
  </si>
  <si>
    <t>камень</t>
  </si>
  <si>
    <t>вне</t>
  </si>
  <si>
    <t>себя</t>
  </si>
  <si>
    <t>нетерпения</t>
  </si>
  <si>
    <t>топнул</t>
  </si>
  <si>
    <t>ногой</t>
  </si>
  <si>
    <t># text = — Если он не появится через четверть часа, тропинку затянет туманом, а через полчаса мы уже не сможем разглядеть собственную руку в этой тьме.</t>
  </si>
  <si>
    <t>Если</t>
  </si>
  <si>
    <t>появится</t>
  </si>
  <si>
    <t>через</t>
  </si>
  <si>
    <t>четверть</t>
  </si>
  <si>
    <t>часа</t>
  </si>
  <si>
    <t>тропинку</t>
  </si>
  <si>
    <t>затянет</t>
  </si>
  <si>
    <t>туманом</t>
  </si>
  <si>
    <t>пол</t>
  </si>
  <si>
    <t>сможем</t>
  </si>
  <si>
    <t>собственную</t>
  </si>
  <si>
    <t>руку</t>
  </si>
  <si>
    <t>тьме</t>
  </si>
  <si>
    <t># text = — Отойдем немного назад, там выше.</t>
  </si>
  <si>
    <t>Отойдем</t>
  </si>
  <si>
    <t>немного</t>
  </si>
  <si>
    <t>назад</t>
  </si>
  <si>
    <t>выше</t>
  </si>
  <si>
    <t># text = — Да, пожалуй, так и сделаем.</t>
  </si>
  <si>
    <t>пожалуй</t>
  </si>
  <si>
    <t>так</t>
  </si>
  <si>
    <t>сделаем</t>
  </si>
  <si>
    <t># text = По мере того как туман надвигался на нас, мы отступали все дальше и дальше, пока не очутились в полумиле от дома.</t>
  </si>
  <si>
    <t>По</t>
  </si>
  <si>
    <t>мере</t>
  </si>
  <si>
    <t>надвигался</t>
  </si>
  <si>
    <t>отступали</t>
  </si>
  <si>
    <t>пока</t>
  </si>
  <si>
    <t>полумиле</t>
  </si>
  <si>
    <t># text = Но сплошное белесое море, посеребренное сверху луной, подбиралось и туда, продолжая свое медленное, неуклонное наступление.</t>
  </si>
  <si>
    <t>сплошное</t>
  </si>
  <si>
    <t>белесое</t>
  </si>
  <si>
    <t>море</t>
  </si>
  <si>
    <t>посеребренное</t>
  </si>
  <si>
    <t>луной</t>
  </si>
  <si>
    <t>подбиралось</t>
  </si>
  <si>
    <t>продолжая</t>
  </si>
  <si>
    <t>медленное</t>
  </si>
  <si>
    <t>неуклонное</t>
  </si>
  <si>
    <t>наступление</t>
  </si>
  <si>
    <t># text = — Мы слишком далеко зашли, — сказал Холмс.</t>
  </si>
  <si>
    <t>слишком</t>
  </si>
  <si>
    <t>далеко</t>
  </si>
  <si>
    <t>зашли</t>
  </si>
  <si>
    <t># text = — Это уже рискованно: его могут настигнуть прежде, чем он дойдет до нас.</t>
  </si>
  <si>
    <t>рискованно</t>
  </si>
  <si>
    <t>могут</t>
  </si>
  <si>
    <t>настигнуть</t>
  </si>
  <si>
    <t>SBJ_5</t>
  </si>
  <si>
    <t>дойдет</t>
  </si>
  <si>
    <t># text = Ну, будь что будет, останемся здесь.</t>
  </si>
  <si>
    <t>Ну</t>
  </si>
  <si>
    <t>будь</t>
  </si>
  <si>
    <t>будет</t>
  </si>
  <si>
    <t>останемся</t>
  </si>
  <si>
    <t># text = Он опустился на колени и приложил ухо к земле.</t>
  </si>
  <si>
    <t>опустился</t>
  </si>
  <si>
    <t>колени</t>
  </si>
  <si>
    <t>приложил</t>
  </si>
  <si>
    <t>ухо</t>
  </si>
  <si>
    <t>земле</t>
  </si>
  <si>
    <t># text = — Слава богу!</t>
  </si>
  <si>
    <t>Слава</t>
  </si>
  <si>
    <t>богу</t>
  </si>
  <si>
    <t># text = Кажется, идет!</t>
  </si>
  <si>
    <t>Кажется</t>
  </si>
  <si>
    <t>идет</t>
  </si>
  <si>
    <t># text = В тишине болот послышались быстрые шаги.</t>
  </si>
  <si>
    <t>тишине</t>
  </si>
  <si>
    <t>болот</t>
  </si>
  <si>
    <t>послышались</t>
  </si>
  <si>
    <t>быстрые</t>
  </si>
  <si>
    <t>шаги</t>
  </si>
  <si>
    <t># text = Пригнувшись за валунами, мы напряженно всматривались в подступавшую к нам мутно-серебристую стену.</t>
  </si>
  <si>
    <t>Пригнувшись</t>
  </si>
  <si>
    <t>валунами</t>
  </si>
  <si>
    <t>напряженно</t>
  </si>
  <si>
    <t>всматривались</t>
  </si>
  <si>
    <t>подступавшую</t>
  </si>
  <si>
    <t>мутно</t>
  </si>
  <si>
    <t>-серебристую</t>
  </si>
  <si>
    <t># text = Шаги все приближались, и вот из тумана, словно распахнув перед собой занавес, выступил тот, кого мы поджидали.</t>
  </si>
  <si>
    <t>тумана</t>
  </si>
  <si>
    <t>распахнув</t>
  </si>
  <si>
    <t>собой</t>
  </si>
  <si>
    <t>занавес</t>
  </si>
  <si>
    <t>выступил</t>
  </si>
  <si>
    <t>тот</t>
  </si>
  <si>
    <t>кого</t>
  </si>
  <si>
    <t>поджидали</t>
  </si>
  <si>
    <t># text = Увидя над собой чистое звездное небо, он с удивлением осмотрелся по сторонам.</t>
  </si>
  <si>
    <t>Увидя</t>
  </si>
  <si>
    <t>звездное</t>
  </si>
  <si>
    <t>удивлением</t>
  </si>
  <si>
    <t>осмотрелся</t>
  </si>
  <si>
    <t># text = Потом быстро зашагал по тропинке, прошел мимо нас и стал подниматься вверх по отлогому склону, начинавшемуся сразу за валунами.</t>
  </si>
  <si>
    <t>Потом</t>
  </si>
  <si>
    <t>быстро</t>
  </si>
  <si>
    <t>зашагал</t>
  </si>
  <si>
    <t>стал</t>
  </si>
  <si>
    <t>вверх</t>
  </si>
  <si>
    <t>отлогому</t>
  </si>
  <si>
    <t>склону</t>
  </si>
  <si>
    <t>начинавшемуся</t>
  </si>
  <si>
    <t>сразу</t>
  </si>
  <si>
    <t># text = На ходу он то и дело оглядывался через плечо, видимо остерегаясь чего-то.</t>
  </si>
  <si>
    <t>На</t>
  </si>
  <si>
    <t>ходу</t>
  </si>
  <si>
    <t>дело</t>
  </si>
  <si>
    <t>оглядывался</t>
  </si>
  <si>
    <t>плечо</t>
  </si>
  <si>
    <t>видимо</t>
  </si>
  <si>
    <t>остерегаясь</t>
  </si>
  <si>
    <t>чего-то</t>
  </si>
  <si>
    <t># text = — Тсс! — шепнул Холмс и щелкнул курком, — Смотрите!</t>
  </si>
  <si>
    <t>шепнул</t>
  </si>
  <si>
    <t>щелкнул</t>
  </si>
  <si>
    <t>курком</t>
  </si>
  <si>
    <t># text = Вот она!</t>
  </si>
  <si>
    <t># text = В самой гуще подползающего к нам тумана послышался мерный, дробный топот.</t>
  </si>
  <si>
    <t>самой</t>
  </si>
  <si>
    <t>гуще</t>
  </si>
  <si>
    <t>подползающего</t>
  </si>
  <si>
    <t>послышался</t>
  </si>
  <si>
    <t>мерный</t>
  </si>
  <si>
    <t>дробный</t>
  </si>
  <si>
    <t>топот</t>
  </si>
  <si>
    <t># text = Белая стена была от нас уже ярдах в пятидесяти, и мы трое вперили в нее взгляд, не зная, какое чудовище появится оттуда.</t>
  </si>
  <si>
    <t>ярдах</t>
  </si>
  <si>
    <t>пятидесяти</t>
  </si>
  <si>
    <t>трое</t>
  </si>
  <si>
    <t>вперили</t>
  </si>
  <si>
    <t>взгляд</t>
  </si>
  <si>
    <t>зная</t>
  </si>
  <si>
    <t>какое</t>
  </si>
  <si>
    <t>чудовище</t>
  </si>
  <si>
    <t>оттуда</t>
  </si>
  <si>
    <t># text = Стоя рядом с Холмсом, я мельком взглянул ему в лицо — бледное, взволнованное, с горящими при лунном свете глазами.</t>
  </si>
  <si>
    <t>Стоя</t>
  </si>
  <si>
    <t>рядом</t>
  </si>
  <si>
    <t>Холмсом</t>
  </si>
  <si>
    <t>мельком</t>
  </si>
  <si>
    <t>взглянул</t>
  </si>
  <si>
    <t>бледное</t>
  </si>
  <si>
    <t>взволнованное</t>
  </si>
  <si>
    <t>горящими</t>
  </si>
  <si>
    <t>при</t>
  </si>
  <si>
    <t>лунном</t>
  </si>
  <si>
    <t>свете</t>
  </si>
  <si>
    <t>глазами</t>
  </si>
  <si>
    <t># text = И вдруг оно преобразилось: взгляд стал сосредоточен и суров, рот приоткрылся от изумления.</t>
  </si>
  <si>
    <t>И</t>
  </si>
  <si>
    <t>оно</t>
  </si>
  <si>
    <t>преобразилось</t>
  </si>
  <si>
    <t>сосредоточен</t>
  </si>
  <si>
    <t>суров</t>
  </si>
  <si>
    <t>рот</t>
  </si>
  <si>
    <t>приоткрылся</t>
  </si>
  <si>
    <t>изумления</t>
  </si>
  <si>
    <t># text = В ту же секунду Лестрейд вскрикнул от ужаса и упал ничком на землю.</t>
  </si>
  <si>
    <t>секунду</t>
  </si>
  <si>
    <t>вскрикнул</t>
  </si>
  <si>
    <t>ужаса</t>
  </si>
  <si>
    <t>упал</t>
  </si>
  <si>
    <t>ничком</t>
  </si>
  <si>
    <t>землю</t>
  </si>
  <si>
    <t># text = Я выпрямился и, почти парализованный тем зрелищем, которое явилось моим глазам, потянулся ослабевшей рукой к револьверу.</t>
  </si>
  <si>
    <t>выпрямился</t>
  </si>
  <si>
    <t>парализованный</t>
  </si>
  <si>
    <t>зрелищем</t>
  </si>
  <si>
    <t>которое</t>
  </si>
  <si>
    <t>SBJ_6</t>
  </si>
  <si>
    <t>явилось</t>
  </si>
  <si>
    <t>моим</t>
  </si>
  <si>
    <t>глазам</t>
  </si>
  <si>
    <t>потянулся</t>
  </si>
  <si>
    <t>ослабевшей</t>
  </si>
  <si>
    <t>рукой</t>
  </si>
  <si>
    <t>револьверу</t>
  </si>
  <si>
    <t># text = Да!</t>
  </si>
  <si>
    <t># text = Это была собака, огромная, черная как смоль.</t>
  </si>
  <si>
    <t>огромная</t>
  </si>
  <si>
    <t>черная</t>
  </si>
  <si>
    <t>смоль</t>
  </si>
  <si>
    <t># text = Но такой собаки еще никто из нас, смертных, не видывал.</t>
  </si>
  <si>
    <t>такой</t>
  </si>
  <si>
    <t>собаки</t>
  </si>
  <si>
    <t>еще</t>
  </si>
  <si>
    <t>никто</t>
  </si>
  <si>
    <t>смертных</t>
  </si>
  <si>
    <t>видывал</t>
  </si>
  <si>
    <t># text = Из ее отверстой пасти вырывалось пламя, глаза метали искры, по морде и загривку переливался мерцающий огонь.</t>
  </si>
  <si>
    <t>Из</t>
  </si>
  <si>
    <t>отверстой</t>
  </si>
  <si>
    <t>пасти</t>
  </si>
  <si>
    <t>вырывалось</t>
  </si>
  <si>
    <t>пламя</t>
  </si>
  <si>
    <t>глаза</t>
  </si>
  <si>
    <t>метали</t>
  </si>
  <si>
    <t>искры</t>
  </si>
  <si>
    <t>морде</t>
  </si>
  <si>
    <t>загривку</t>
  </si>
  <si>
    <t>переливался</t>
  </si>
  <si>
    <t>мерцающий</t>
  </si>
  <si>
    <t>огонь</t>
  </si>
  <si>
    <t># text = Ни в чьем воспаленном мозгу не могло бы возникнуть видение более страшное, более омерзительное, чем это адское существо, выскочившее на нас из тумана.</t>
  </si>
  <si>
    <t>Ни</t>
  </si>
  <si>
    <t>чьем</t>
  </si>
  <si>
    <t>воспаленном</t>
  </si>
  <si>
    <t>мозгу</t>
  </si>
  <si>
    <t>могло</t>
  </si>
  <si>
    <t>возникнуть</t>
  </si>
  <si>
    <t>видение</t>
  </si>
  <si>
    <t>более</t>
  </si>
  <si>
    <t>страшное</t>
  </si>
  <si>
    <t>омерзительное</t>
  </si>
  <si>
    <t>адское</t>
  </si>
  <si>
    <t>существо</t>
  </si>
  <si>
    <t>выскочившее</t>
  </si>
  <si>
    <t>other_8</t>
  </si>
  <si>
    <t># text = Чудовище неслось по тропинке огромными прыжками, принюхиваясь к следам нашего друга.</t>
  </si>
  <si>
    <t>Чудовище</t>
  </si>
  <si>
    <t>неслось</t>
  </si>
  <si>
    <t>огромными</t>
  </si>
  <si>
    <t>прыжками</t>
  </si>
  <si>
    <t>принюхиваясь</t>
  </si>
  <si>
    <t>следам</t>
  </si>
  <si>
    <t># text = Мы опомнились лишь после того, как оно промчалось мимо.</t>
  </si>
  <si>
    <t>опомнились</t>
  </si>
  <si>
    <t>лишь</t>
  </si>
  <si>
    <t>после</t>
  </si>
  <si>
    <t>промчалось</t>
  </si>
  <si>
    <t># text = Тогда и я и Холмс выстрелили одновременно, и раздавшийся вслед за этим оглушительный рев убедил нас, что по меньшей мере одна из пуль попала в цель.</t>
  </si>
  <si>
    <t>выстрелили</t>
  </si>
  <si>
    <t>одновременно</t>
  </si>
  <si>
    <t>раздавшийся</t>
  </si>
  <si>
    <t>вслед</t>
  </si>
  <si>
    <t>этим</t>
  </si>
  <si>
    <t>оглушительный</t>
  </si>
  <si>
    <t>рев</t>
  </si>
  <si>
    <t>убедил</t>
  </si>
  <si>
    <t>меньшей</t>
  </si>
  <si>
    <t>одна</t>
  </si>
  <si>
    <t>пуль</t>
  </si>
  <si>
    <t>попала</t>
  </si>
  <si>
    <t># text = Но собака не остановилась и продолжала мчаться вперед.</t>
  </si>
  <si>
    <t>остановилась</t>
  </si>
  <si>
    <t>продолжала</t>
  </si>
  <si>
    <t>мчаться</t>
  </si>
  <si>
    <t>вперед</t>
  </si>
  <si>
    <t># text = Мы видели, как сэр Генри оглянулся, мертвенно-бледный при свете луны, поднял в ужасе руки и замер в этой беспомощной позе, не сводя глаз с чудовища, которое настигало его.</t>
  </si>
  <si>
    <t>видели</t>
  </si>
  <si>
    <t>оглянулся</t>
  </si>
  <si>
    <t>мертвенно</t>
  </si>
  <si>
    <t>луны</t>
  </si>
  <si>
    <t>поднял</t>
  </si>
  <si>
    <t>ужасе</t>
  </si>
  <si>
    <t>руки</t>
  </si>
  <si>
    <t>замер</t>
  </si>
  <si>
    <t>беспомощной</t>
  </si>
  <si>
    <t>позе</t>
  </si>
  <si>
    <t>сводя</t>
  </si>
  <si>
    <t>глаз</t>
  </si>
  <si>
    <t>чудовища</t>
  </si>
  <si>
    <t>настигало</t>
  </si>
  <si>
    <t># text = Но голос взвывшей от боли собаки рассеял все наши страхи.</t>
  </si>
  <si>
    <t>голос</t>
  </si>
  <si>
    <t>взвывшей</t>
  </si>
  <si>
    <t>боли</t>
  </si>
  <si>
    <t>рассеял</t>
  </si>
  <si>
    <t>наши</t>
  </si>
  <si>
    <t>страхи</t>
  </si>
  <si>
    <t># text = Кто уязвим, тот и смертен, и если она ранена, значит, ее можно и убить.</t>
  </si>
  <si>
    <t>Кто</t>
  </si>
  <si>
    <t>уязвим</t>
  </si>
  <si>
    <t>смертен</t>
  </si>
  <si>
    <t>ранена</t>
  </si>
  <si>
    <t>убить</t>
  </si>
  <si>
    <t># text = Боже, как бежал в ту ночь Холмс!</t>
  </si>
  <si>
    <t>Боже</t>
  </si>
  <si>
    <t>бежал</t>
  </si>
  <si>
    <t>ночь</t>
  </si>
  <si>
    <t># text = Я всегда считался хорошим бегуном, но он опередил меня на такое же расстояние, на какое я сам опередил маленького сыщика.</t>
  </si>
  <si>
    <t>всегда</t>
  </si>
  <si>
    <t>считался</t>
  </si>
  <si>
    <t>хорошим</t>
  </si>
  <si>
    <t>бегуном</t>
  </si>
  <si>
    <t>опередил</t>
  </si>
  <si>
    <t>такое</t>
  </si>
  <si>
    <t>расстояние</t>
  </si>
  <si>
    <t>маленького</t>
  </si>
  <si>
    <t>сыщика</t>
  </si>
  <si>
    <t># text = Мы неслись по тропинке и слышали непрекращающиеся крики сэра Генри и глухой рев собаки.</t>
  </si>
  <si>
    <t>неслись</t>
  </si>
  <si>
    <t>слышали</t>
  </si>
  <si>
    <t>непрекращающиеся</t>
  </si>
  <si>
    <t>крики</t>
  </si>
  <si>
    <t>сэра</t>
  </si>
  <si>
    <t>глухой</t>
  </si>
  <si>
    <t># text = Я подоспел в ту минуту, когда она кинулась на свою жертву, повалила ее на землю и уже примеривалась схватить за горло.</t>
  </si>
  <si>
    <t>подоспел</t>
  </si>
  <si>
    <t>минуту</t>
  </si>
  <si>
    <t>кинулась</t>
  </si>
  <si>
    <t>свою</t>
  </si>
  <si>
    <t>жертву</t>
  </si>
  <si>
    <t>повалила</t>
  </si>
  <si>
    <t>примеривалась</t>
  </si>
  <si>
    <t>схватить</t>
  </si>
  <si>
    <t>горло</t>
  </si>
  <si>
    <t># text = Но Холмс всадил ей в бок одну за другой пять пуль.</t>
  </si>
  <si>
    <t>всадил</t>
  </si>
  <si>
    <t>ей</t>
  </si>
  <si>
    <t>бок</t>
  </si>
  <si>
    <t>одну</t>
  </si>
  <si>
    <t>другой</t>
  </si>
  <si>
    <t>пять</t>
  </si>
  <si>
    <t># text = Собака взвыла в последний раз, яростно щелкнула зубами, повалилась на спину и, судорожно дернув всеми четырьмя лапами, замерла.</t>
  </si>
  <si>
    <t>Собака</t>
  </si>
  <si>
    <t>взвыла</t>
  </si>
  <si>
    <t>щелкнула</t>
  </si>
  <si>
    <t>зубами</t>
  </si>
  <si>
    <t>повалилась</t>
  </si>
  <si>
    <t>спину</t>
  </si>
  <si>
    <t>судорожно</t>
  </si>
  <si>
    <t>дернув</t>
  </si>
  <si>
    <t>всеми</t>
  </si>
  <si>
    <t>четырьмя</t>
  </si>
  <si>
    <t>лапами</t>
  </si>
  <si>
    <t>замерла</t>
  </si>
  <si>
    <t># text = Я нагнулся над ней, задыхаясь от бега, и приставил дуло револьвера к этой страшной светящейся морде, но выстрелить мне не пришлось — исполинская собака была мертва.</t>
  </si>
  <si>
    <t>нагнулся</t>
  </si>
  <si>
    <t>ней</t>
  </si>
  <si>
    <t>задыхаясь</t>
  </si>
  <si>
    <t>бега</t>
  </si>
  <si>
    <t>приставил</t>
  </si>
  <si>
    <t>дуло</t>
  </si>
  <si>
    <t>револьвера</t>
  </si>
  <si>
    <t>страшной</t>
  </si>
  <si>
    <t>светящейся</t>
  </si>
  <si>
    <t>выстрелить</t>
  </si>
  <si>
    <t>OBJ_5</t>
  </si>
  <si>
    <t>исполинская</t>
  </si>
  <si>
    <t>мертва</t>
  </si>
  <si>
    <t># text = Сэр Генри лежал без сознания там, где она настигла его.</t>
  </si>
  <si>
    <t>Сэр</t>
  </si>
  <si>
    <t>лежал</t>
  </si>
  <si>
    <t>сознания</t>
  </si>
  <si>
    <t>настигла</t>
  </si>
  <si>
    <t># text = Мы сорвали с него воротничок, и Холмс возблагодарил судьбу, убедившись, что он не ранен и что наша помощь подоспела вовремя.</t>
  </si>
  <si>
    <t>сорвали</t>
  </si>
  <si>
    <t>воротничок</t>
  </si>
  <si>
    <t>возблагодарил</t>
  </si>
  <si>
    <t>судьбу</t>
  </si>
  <si>
    <t>убедившись</t>
  </si>
  <si>
    <t>ранен</t>
  </si>
  <si>
    <t>наша</t>
  </si>
  <si>
    <t>помощь</t>
  </si>
  <si>
    <t>подоспела</t>
  </si>
  <si>
    <t>вовремя</t>
  </si>
  <si>
    <t># text = А потом веки у сэра Генри дрогнули и он слабо шевельнулся.</t>
  </si>
  <si>
    <t>веки</t>
  </si>
  <si>
    <t>дрогнули</t>
  </si>
  <si>
    <t>слабо</t>
  </si>
  <si>
    <t>шевельнулся</t>
  </si>
  <si>
    <t># text = Лестрейд просунул ему между зубами горлышко фляги с бренди, и через секунду на нас глянули два испуганных глаза.</t>
  </si>
  <si>
    <t>просунул</t>
  </si>
  <si>
    <t>между</t>
  </si>
  <si>
    <t>горлышко</t>
  </si>
  <si>
    <t>фляги</t>
  </si>
  <si>
    <t>бренди</t>
  </si>
  <si>
    <t>глянули</t>
  </si>
  <si>
    <t>два</t>
  </si>
  <si>
    <t>испуганных</t>
  </si>
  <si>
    <t># text = — Боже мой! — прошептал баронет.</t>
  </si>
  <si>
    <t>мой</t>
  </si>
  <si>
    <t>прошептал</t>
  </si>
  <si>
    <t># text = — Что это было?</t>
  </si>
  <si>
    <t>Что</t>
  </si>
  <si>
    <t># text = Что это, чёрт возьми, было?</t>
  </si>
  <si>
    <t>чёрт</t>
  </si>
  <si>
    <t>возьми</t>
  </si>
  <si>
    <t># text = — Чем бы оно ни было, оно мертво, — сказал Холмс.</t>
  </si>
  <si>
    <t>Чем</t>
  </si>
  <si>
    <t>мертво</t>
  </si>
  <si>
    <t># text = — С привидением, которое преследовало ваш род, покончено навсегда.</t>
  </si>
  <si>
    <t>С</t>
  </si>
  <si>
    <t>привидением</t>
  </si>
  <si>
    <t>преследовало</t>
  </si>
  <si>
    <t>ваш</t>
  </si>
  <si>
    <t>род</t>
  </si>
  <si>
    <t>покончено</t>
  </si>
  <si>
    <t>навсегда</t>
  </si>
  <si>
    <t># text = Чудовище, лежавшее перед нами, поистине могло кого угодно испугать своими размерами и мощью.</t>
  </si>
  <si>
    <t>лежавшее</t>
  </si>
  <si>
    <t>поистине</t>
  </si>
  <si>
    <t>угодно</t>
  </si>
  <si>
    <t>испугать</t>
  </si>
  <si>
    <t>размерами</t>
  </si>
  <si>
    <t>мощью</t>
  </si>
  <si>
    <t># text = Это была не чистокровная ищейка и не чистокровный мастиф, а, видимо, помесь — поджарый, страшный пес величиной с молодую львицу.</t>
  </si>
  <si>
    <t>чистокровная</t>
  </si>
  <si>
    <t>ищейка</t>
  </si>
  <si>
    <t>чистокровный</t>
  </si>
  <si>
    <t>мастиф</t>
  </si>
  <si>
    <t>помесь</t>
  </si>
  <si>
    <t>поджарый</t>
  </si>
  <si>
    <t>страшный</t>
  </si>
  <si>
    <t>пес</t>
  </si>
  <si>
    <t>величиной</t>
  </si>
  <si>
    <t>молодую</t>
  </si>
  <si>
    <t>львицу</t>
  </si>
  <si>
    <t># text = Даже сейчас, несмотря на неподвижность смерти, его огромная пасть все еще светилась голубоватым пламенем, глубоко сидящие дикие глаза были обведены огненными кругами.</t>
  </si>
  <si>
    <t>Даже</t>
  </si>
  <si>
    <t>сейчас</t>
  </si>
  <si>
    <t>неподвижность</t>
  </si>
  <si>
    <t>смерти</t>
  </si>
  <si>
    <t>пасть</t>
  </si>
  <si>
    <t>светилась</t>
  </si>
  <si>
    <t>голубоватым</t>
  </si>
  <si>
    <t>пламенем</t>
  </si>
  <si>
    <t>глубоко</t>
  </si>
  <si>
    <t>сидящие</t>
  </si>
  <si>
    <t>дикие</t>
  </si>
  <si>
    <t>обведены</t>
  </si>
  <si>
    <t>огненными</t>
  </si>
  <si>
    <t>кругами</t>
  </si>
  <si>
    <t># text = Я дотронулся до этой светящейся головы и, отняв руку, увидел, что мои пальцы тоже засветились в темноте.</t>
  </si>
  <si>
    <t>дотронулся</t>
  </si>
  <si>
    <t>головы</t>
  </si>
  <si>
    <t>отняв</t>
  </si>
  <si>
    <t>пальцы</t>
  </si>
  <si>
    <t>засветились</t>
  </si>
  <si>
    <t># text = — Фосфор, — сказал я.</t>
  </si>
  <si>
    <t>Фосфор</t>
  </si>
  <si>
    <t># text = — Да, и какой-то особый препарат, — подтвердил Холмс, потянув носом.</t>
  </si>
  <si>
    <t>какой-то</t>
  </si>
  <si>
    <t>особый</t>
  </si>
  <si>
    <t>подтвердил</t>
  </si>
  <si>
    <t>потянув</t>
  </si>
  <si>
    <t>носом</t>
  </si>
  <si>
    <t># text = — Без запаха, чтобы у собаки не исчезло чутье.</t>
  </si>
  <si>
    <t>Без</t>
  </si>
  <si>
    <t>запаха</t>
  </si>
  <si>
    <t>чтобы</t>
  </si>
  <si>
    <t>исчезло</t>
  </si>
  <si>
    <t>чутье</t>
  </si>
  <si>
    <t># text = Простите нас, сэр Генри, что мы подвергли вас такому страшному испытанию.</t>
  </si>
  <si>
    <t>Простите</t>
  </si>
  <si>
    <t>подвергли</t>
  </si>
  <si>
    <t>такому</t>
  </si>
  <si>
    <t>страшному</t>
  </si>
  <si>
    <t>испытанию</t>
  </si>
  <si>
    <t># text = Я готовился увидеть собаку, но никак не ожидал, что это будет такое чудовище.</t>
  </si>
  <si>
    <t>готовился</t>
  </si>
  <si>
    <t>увидеть</t>
  </si>
  <si>
    <t>собаку</t>
  </si>
  <si>
    <t>никак</t>
  </si>
  <si>
    <t>ожидал</t>
  </si>
  <si>
    <t># text = К тому же нам помешал туман, и мы не смогли оказать псу достойную встречу.</t>
  </si>
  <si>
    <t>К</t>
  </si>
  <si>
    <t>тому</t>
  </si>
  <si>
    <t>помешал</t>
  </si>
  <si>
    <t>смогли</t>
  </si>
  <si>
    <t>оказать</t>
  </si>
  <si>
    <t>псу</t>
  </si>
  <si>
    <t>достойную</t>
  </si>
  <si>
    <t>встречу</t>
  </si>
  <si>
    <t># text = — Вы спасли мне жизнь.</t>
  </si>
  <si>
    <t>спасли</t>
  </si>
  <si>
    <t># text = — Подвергнув ее сначала опасности...</t>
  </si>
  <si>
    <t>Подвергнув</t>
  </si>
  <si>
    <t>сначала</t>
  </si>
  <si>
    <t>опасности</t>
  </si>
  <si>
    <t># text = Ну как, можете встать?</t>
  </si>
  <si>
    <t>можете</t>
  </si>
  <si>
    <t># text = — Дайте мне еще один глоток этого бренди, и тогда все будет в порядке.</t>
  </si>
  <si>
    <t>Дайте</t>
  </si>
  <si>
    <t>глоток</t>
  </si>
  <si>
    <t>тогда</t>
  </si>
  <si>
    <t>порядке</t>
  </si>
  <si>
    <t># text = Ну вот!</t>
  </si>
  <si>
    <t># text = Теперь с вашей помощью я встану.</t>
  </si>
  <si>
    <t>вашей</t>
  </si>
  <si>
    <t>помощью</t>
  </si>
  <si>
    <t>встану</t>
  </si>
  <si>
    <t># text = А что вы намерены делать дальше?</t>
  </si>
  <si>
    <t>намерены</t>
  </si>
  <si>
    <t># text = — Пока оставим вас здесь — вы уже достаточно натерпелись за сегодняшнюю ночь, — а потом кто-нибудь из нас вернется с вами домой.</t>
  </si>
  <si>
    <t>Пока</t>
  </si>
  <si>
    <t>оставим</t>
  </si>
  <si>
    <t>достаточно</t>
  </si>
  <si>
    <t>натерпелись</t>
  </si>
  <si>
    <t>сегодняшнюю</t>
  </si>
  <si>
    <t>кто-нибудь</t>
  </si>
  <si>
    <t>вернется</t>
  </si>
  <si>
    <t>вами</t>
  </si>
  <si>
    <t># text = Баронет попробовал подняться, но не смог.</t>
  </si>
  <si>
    <t>Баронет</t>
  </si>
  <si>
    <t>попробовал</t>
  </si>
  <si>
    <t>подняться</t>
  </si>
  <si>
    <t>смог</t>
  </si>
  <si>
    <t># text = Он был бледен как полотно и дрожал всем телом.</t>
  </si>
  <si>
    <t>был</t>
  </si>
  <si>
    <t>бледен</t>
  </si>
  <si>
    <t>полотно</t>
  </si>
  <si>
    <t>дрожал</t>
  </si>
  <si>
    <t>всем</t>
  </si>
  <si>
    <t>телом</t>
  </si>
  <si>
    <t># text = Мы подвели его к валуну.</t>
  </si>
  <si>
    <t>подвели</t>
  </si>
  <si>
    <t>валуну</t>
  </si>
  <si>
    <t># text = Он сел там, дрожа всем телом, и закрыл лицо руками.</t>
  </si>
  <si>
    <t>сел</t>
  </si>
  <si>
    <t>дрожа</t>
  </si>
  <si>
    <t>закрыл</t>
  </si>
  <si>
    <t>руками</t>
  </si>
  <si>
    <t># text = — А теперь нам придется уйти, — сказал Холмс.</t>
  </si>
  <si>
    <t>придется</t>
  </si>
  <si>
    <t># text = — Надо кончить начатое дело.</t>
  </si>
  <si>
    <t>Надо</t>
  </si>
  <si>
    <t>кончить</t>
  </si>
  <si>
    <t>начатое</t>
  </si>
  <si>
    <t># text = Дорога каждая минута.</t>
  </si>
  <si>
    <t>Дорога</t>
  </si>
  <si>
    <t>каждая</t>
  </si>
  <si>
    <t># text = Состав преступления теперь налицо, остается только схватить преступника...</t>
  </si>
  <si>
    <t>Состав</t>
  </si>
  <si>
    <t>преступления</t>
  </si>
  <si>
    <t>остается</t>
  </si>
  <si>
    <t>преступника</t>
  </si>
  <si>
    <t># text = Держу пари, в доме его уже не окажется, — продолжал Холмс, быстро шагая рядом с нами по тропинке.</t>
  </si>
  <si>
    <t>Держу</t>
  </si>
  <si>
    <t>пари</t>
  </si>
  <si>
    <t>окажется</t>
  </si>
  <si>
    <t>продолжал</t>
  </si>
  <si>
    <t>шагая</t>
  </si>
  <si>
    <t># text = — Он не мог не слышать выстрелов и понял, что игра проиграна.</t>
  </si>
  <si>
    <t>выстрелов</t>
  </si>
  <si>
    <t>игра</t>
  </si>
  <si>
    <t>проиграна</t>
  </si>
  <si>
    <t># text = — Ну что вы!</t>
  </si>
  <si>
    <t># text = Это было далеко от дома, к тому же туман приглушает звуки.</t>
  </si>
  <si>
    <t>приглушает</t>
  </si>
  <si>
    <t>звуки</t>
  </si>
  <si>
    <t># text = — Можете не сомневаться, что он кинулся следом за собакой, ведь ее надо было оттащить от тела.</t>
  </si>
  <si>
    <t>Можете</t>
  </si>
  <si>
    <t>сомневаться</t>
  </si>
  <si>
    <t>кинулся</t>
  </si>
  <si>
    <t>следом</t>
  </si>
  <si>
    <t>собакой</t>
  </si>
  <si>
    <t>оттащить</t>
  </si>
  <si>
    <t>тела</t>
  </si>
  <si>
    <t># text = Нет, мы его уже не застанем!</t>
  </si>
  <si>
    <t>застанем</t>
  </si>
  <si>
    <t># text = Но на всякий случай надо обшарить все уголки.</t>
  </si>
  <si>
    <t>всякий</t>
  </si>
  <si>
    <t>случай</t>
  </si>
  <si>
    <t>обшарить</t>
  </si>
  <si>
    <t>уголки</t>
  </si>
  <si>
    <t># text = Входная дверь была открыта настежь, и, вбежав в дом, мы быстро осмотрели комнату за комнатой, к удивлению дряхлого слуги, встретившего нас в коридоре.</t>
  </si>
  <si>
    <t>Входная</t>
  </si>
  <si>
    <t>дверь</t>
  </si>
  <si>
    <t>открыта</t>
  </si>
  <si>
    <t>настежь</t>
  </si>
  <si>
    <t>вбежав</t>
  </si>
  <si>
    <t>дом</t>
  </si>
  <si>
    <t>осмотрели</t>
  </si>
  <si>
    <t>комнату</t>
  </si>
  <si>
    <t>комнатой</t>
  </si>
  <si>
    <t>удивлению</t>
  </si>
  <si>
    <t>дряхлого</t>
  </si>
  <si>
    <t>слуги</t>
  </si>
  <si>
    <t>встретившего</t>
  </si>
  <si>
    <t>коридоре</t>
  </si>
  <si>
    <t># text = Свет горел только в столовой, но Холмс взял оттуда лампу и обошел с ней все закоулки в доме.</t>
  </si>
  <si>
    <t>Свет</t>
  </si>
  <si>
    <t>горел</t>
  </si>
  <si>
    <t>взял</t>
  </si>
  <si>
    <t>лампу</t>
  </si>
  <si>
    <t>обошел</t>
  </si>
  <si>
    <t>закоулки</t>
  </si>
  <si>
    <t># text = Человек, которого мы искали, исчез бесследно.</t>
  </si>
  <si>
    <t>Человек</t>
  </si>
  <si>
    <t>искали</t>
  </si>
  <si>
    <t>бесследно</t>
  </si>
  <si>
    <t># text = Однако на втором этаже дверь одной из спален оказалась запертой.</t>
  </si>
  <si>
    <t>Однако</t>
  </si>
  <si>
    <t>втором</t>
  </si>
  <si>
    <t>этаже</t>
  </si>
  <si>
    <t>одной</t>
  </si>
  <si>
    <t>спален</t>
  </si>
  <si>
    <t>оказалась</t>
  </si>
  <si>
    <t>запертой</t>
  </si>
  <si>
    <t># text = — Там кто-то есть! — крикнул Лестрейд.</t>
  </si>
  <si>
    <t>Там</t>
  </si>
  <si>
    <t>кто-то</t>
  </si>
  <si>
    <t>крикнул</t>
  </si>
  <si>
    <t># text = — Я слышу, что кто-то шевелится.</t>
  </si>
  <si>
    <t>слышу</t>
  </si>
  <si>
    <t>шевелится</t>
  </si>
  <si>
    <t># text = Откройте эту дверь!</t>
  </si>
  <si>
    <t>Откройте</t>
  </si>
  <si>
    <t># text = В комнате послышался слабый стон и шорох.</t>
  </si>
  <si>
    <t>слабый</t>
  </si>
  <si>
    <t>стон</t>
  </si>
  <si>
    <t>шорох</t>
  </si>
  <si>
    <t># text = Холмс ударил ногой чуть повыше замка, и дверь распахнулась настежь.</t>
  </si>
  <si>
    <t>чуть</t>
  </si>
  <si>
    <t>повыше</t>
  </si>
  <si>
    <t>замка</t>
  </si>
  <si>
    <t>распахнулась</t>
  </si>
  <si>
    <t># text = Держа револьверы наготове, мы ворвались туда.</t>
  </si>
  <si>
    <t>Держа</t>
  </si>
  <si>
    <t>револьверы</t>
  </si>
  <si>
    <t>наготове</t>
  </si>
  <si>
    <t>ворвались</t>
  </si>
  <si>
    <t># text = Но дерзостного негодяя, за которым мы охотились, не оказалось и тут.</t>
  </si>
  <si>
    <t>дерзостного</t>
  </si>
  <si>
    <t>негодяя</t>
  </si>
  <si>
    <t>охотились</t>
  </si>
  <si>
    <t>оказалось</t>
  </si>
  <si>
    <t>тут</t>
  </si>
  <si>
    <t># text = Вместо него глазам нашим предстало нечто до такой степени странное и неожиданное, что мы замерли на месте.</t>
  </si>
  <si>
    <t>Вместо</t>
  </si>
  <si>
    <t>нашим</t>
  </si>
  <si>
    <t>предстало</t>
  </si>
  <si>
    <t>нечто</t>
  </si>
  <si>
    <t>степени</t>
  </si>
  <si>
    <t>странное</t>
  </si>
  <si>
    <t>неожиданное</t>
  </si>
  <si>
    <t>замерли</t>
  </si>
  <si>
    <t>месте</t>
  </si>
  <si>
    <t># text = Эта комната представляла собой маленький музей.</t>
  </si>
  <si>
    <t>Эта</t>
  </si>
  <si>
    <t>комната</t>
  </si>
  <si>
    <t>представляла</t>
  </si>
  <si>
    <t>маленький</t>
  </si>
  <si>
    <t>музей</t>
  </si>
  <si>
    <t># text = Ее стены были сплошь заставлены стеклянными ящиками, где хранилась коллекция мотыльков и бабочек — любимое детище этой сложной и преступной натуры.</t>
  </si>
  <si>
    <t>Ее</t>
  </si>
  <si>
    <t>сплошь</t>
  </si>
  <si>
    <t>заставлены</t>
  </si>
  <si>
    <t>стеклянными</t>
  </si>
  <si>
    <t>ящиками</t>
  </si>
  <si>
    <t>хранилась</t>
  </si>
  <si>
    <t>коллекция</t>
  </si>
  <si>
    <t>мотыльков</t>
  </si>
  <si>
    <t>бабочек</t>
  </si>
  <si>
    <t>любимое</t>
  </si>
  <si>
    <t>детище</t>
  </si>
  <si>
    <t>сложной</t>
  </si>
  <si>
    <t>преступной</t>
  </si>
  <si>
    <t>натуры</t>
  </si>
  <si>
    <t># text = Посередине поднималась толстая подпорка, подведенная под трухлявые балясины потолка.</t>
  </si>
  <si>
    <t>Посередине</t>
  </si>
  <si>
    <t>поднималась</t>
  </si>
  <si>
    <t>толстая</t>
  </si>
  <si>
    <t>подпорка</t>
  </si>
  <si>
    <t>подведенная</t>
  </si>
  <si>
    <t>под</t>
  </si>
  <si>
    <t>трухлявые</t>
  </si>
  <si>
    <t>балясины</t>
  </si>
  <si>
    <t>потолка</t>
  </si>
  <si>
    <t># text = И у этой подпорки стоял человек, привязанный к ней простынями, которые укутывали его с головы до ног, так что в первую минуту даже нельзя было разобрать, кто это — мужчина или женщина.</t>
  </si>
  <si>
    <t>подпорки</t>
  </si>
  <si>
    <t>стоял</t>
  </si>
  <si>
    <t>человек</t>
  </si>
  <si>
    <t>привязанный</t>
  </si>
  <si>
    <t>простынями</t>
  </si>
  <si>
    <t>укутывали</t>
  </si>
  <si>
    <t>ног</t>
  </si>
  <si>
    <t>первую</t>
  </si>
  <si>
    <t>разобрать</t>
  </si>
  <si>
    <t>мужчина</t>
  </si>
  <si>
    <t>SBJ_9</t>
  </si>
  <si>
    <t># text = Одно полотнище шло вокруг горла, другое закрывало нижнюю часть лица, оставляя открытыми только глаза, которые с немым вопросом смотрели на нас, полные ужаса и стыда.</t>
  </si>
  <si>
    <t>Одно</t>
  </si>
  <si>
    <t>полотнище</t>
  </si>
  <si>
    <t>шло</t>
  </si>
  <si>
    <t>вокруг</t>
  </si>
  <si>
    <t>горла</t>
  </si>
  <si>
    <t>другое</t>
  </si>
  <si>
    <t>закрывало</t>
  </si>
  <si>
    <t>нижнюю</t>
  </si>
  <si>
    <t>часть</t>
  </si>
  <si>
    <t>лица</t>
  </si>
  <si>
    <t>оставляя</t>
  </si>
  <si>
    <t>открытыми</t>
  </si>
  <si>
    <t>немым</t>
  </si>
  <si>
    <t>вопросом</t>
  </si>
  <si>
    <t>смотрели</t>
  </si>
  <si>
    <t>полные</t>
  </si>
  <si>
    <t>стыда</t>
  </si>
  <si>
    <t># text = В мгновение ока мы сорвали эти путы, вынули кляп, и к нашим ногам упала не кто иная, как миссис Стэплтон.</t>
  </si>
  <si>
    <t>мгновение</t>
  </si>
  <si>
    <t>ока</t>
  </si>
  <si>
    <t>путы</t>
  </si>
  <si>
    <t>вынули</t>
  </si>
  <si>
    <t>кляп</t>
  </si>
  <si>
    <t>ногам</t>
  </si>
  <si>
    <t>упала</t>
  </si>
  <si>
    <t>иная</t>
  </si>
  <si>
    <t>миссис</t>
  </si>
  <si>
    <t># text = Голова ее опустилась на грудь, и я увидел красный рубец у нее на шее от удара плетью.</t>
  </si>
  <si>
    <t>Голова</t>
  </si>
  <si>
    <t>опустилась</t>
  </si>
  <si>
    <t>грудь</t>
  </si>
  <si>
    <t>красный</t>
  </si>
  <si>
    <t>рубец</t>
  </si>
  <si>
    <t>шее</t>
  </si>
  <si>
    <t>удара</t>
  </si>
  <si>
    <t>плетью</t>
  </si>
  <si>
    <t># text = — Мерзавец! — крикнул Холмс.</t>
  </si>
  <si>
    <t># text = — Лестрейд, где бренди?</t>
  </si>
  <si>
    <t># text = Посадите ее на стул.</t>
  </si>
  <si>
    <t>Посадите</t>
  </si>
  <si>
    <t>стул</t>
  </si>
  <si>
    <t># text = Такие пытки кого угодно доведут до обморока!</t>
  </si>
  <si>
    <t>Такие</t>
  </si>
  <si>
    <t>пытки</t>
  </si>
  <si>
    <t>доведут</t>
  </si>
  <si>
    <t>обморока</t>
  </si>
  <si>
    <t># text = Миссис Стэплтон открыла глаза.</t>
  </si>
  <si>
    <t>Миссис</t>
  </si>
  <si>
    <t>открыла</t>
  </si>
  <si>
    <t># text = — Он спасся? — спросила она.</t>
  </si>
  <si>
    <t>спасся</t>
  </si>
  <si>
    <t>спросила</t>
  </si>
  <si>
    <t># text = — Он убежал?</t>
  </si>
  <si>
    <t>убежал</t>
  </si>
  <si>
    <t># text = — От нас он никуда не убежит, сударыня.</t>
  </si>
  <si>
    <t>От</t>
  </si>
  <si>
    <t>никуда</t>
  </si>
  <si>
    <t>убежит</t>
  </si>
  <si>
    <t>сударыня</t>
  </si>
  <si>
    <t># text = — Нет, нет, я не про мужа.</t>
  </si>
  <si>
    <t>про</t>
  </si>
  <si>
    <t>мужа</t>
  </si>
  <si>
    <t># text = Сэр Генри... спасся?</t>
  </si>
  <si>
    <t># text = — Да.</t>
  </si>
  <si>
    <t># text = — А собака?</t>
  </si>
  <si>
    <t># text = — Убита!</t>
  </si>
  <si>
    <t>Убита</t>
  </si>
  <si>
    <t># text = У нее вырвался долгий вздох облегчения: — Слава богу!</t>
  </si>
  <si>
    <t>У</t>
  </si>
  <si>
    <t>вырвался</t>
  </si>
  <si>
    <t>долгий</t>
  </si>
  <si>
    <t>вздох</t>
  </si>
  <si>
    <t>облегчения</t>
  </si>
  <si>
    <t># text = Слава богу!</t>
  </si>
  <si>
    <t># text = Негодяй!</t>
  </si>
  <si>
    <t># text = Смотрите, что он со мной сделал!</t>
  </si>
  <si>
    <t>со</t>
  </si>
  <si>
    <t>мной</t>
  </si>
  <si>
    <t>сделал</t>
  </si>
  <si>
    <t># text = — Она засучила оба рукава, и мы увидели, что ее руки все в синяках.</t>
  </si>
  <si>
    <t>Она</t>
  </si>
  <si>
    <t>засучила</t>
  </si>
  <si>
    <t>оба</t>
  </si>
  <si>
    <t>рукава</t>
  </si>
  <si>
    <t>увидели</t>
  </si>
  <si>
    <t>синяках</t>
  </si>
  <si>
    <t># text = — Но это еще ничего... это ничего.</t>
  </si>
  <si>
    <t># text = Он истерзал, он опоганил мою душу.</t>
  </si>
  <si>
    <t>истерзал</t>
  </si>
  <si>
    <t>опоганил</t>
  </si>
  <si>
    <t>мою</t>
  </si>
  <si>
    <t>душу</t>
  </si>
  <si>
    <t># text = Пока у меня теплилась надежда, что этот человек любит меня, я все сносила, все: дурное обращение, одиночество, жизнь, полную обмана...</t>
  </si>
  <si>
    <t>теплилась</t>
  </si>
  <si>
    <t>надежда</t>
  </si>
  <si>
    <t>этот</t>
  </si>
  <si>
    <t>любит</t>
  </si>
  <si>
    <t>сносила</t>
  </si>
  <si>
    <t>дурное</t>
  </si>
  <si>
    <t>обращение</t>
  </si>
  <si>
    <t>одиночество</t>
  </si>
  <si>
    <t>полную</t>
  </si>
  <si>
    <t>обмана</t>
  </si>
  <si>
    <t># text = Но он лгал мне, я была орудием в его руках!</t>
  </si>
  <si>
    <t>лгал</t>
  </si>
  <si>
    <t>орудием</t>
  </si>
  <si>
    <t>руках</t>
  </si>
  <si>
    <t># text = — Она не выдержала и разрыдалась.</t>
  </si>
  <si>
    <t>выдержала</t>
  </si>
  <si>
    <t>разрыдалась</t>
  </si>
  <si>
    <t># text = — Да, сударыня, у вас нет никаких оснований желать ему добра, — сказал Холмс.</t>
  </si>
  <si>
    <t>никаких</t>
  </si>
  <si>
    <t>оснований</t>
  </si>
  <si>
    <t>желать</t>
  </si>
  <si>
    <t>добра</t>
  </si>
  <si>
    <t># text = — Так откройте же, где его искать.</t>
  </si>
  <si>
    <t>Так</t>
  </si>
  <si>
    <t>откройте</t>
  </si>
  <si>
    <t>искать</t>
  </si>
  <si>
    <t># text = Если вы были его сообщницей, воспользуйтесь случаем загладить свою вину — помогите нам.</t>
  </si>
  <si>
    <t>сообщницей</t>
  </si>
  <si>
    <t>воспользуйтесь</t>
  </si>
  <si>
    <t>случаем</t>
  </si>
  <si>
    <t>загладить</t>
  </si>
  <si>
    <t>вину</t>
  </si>
  <si>
    <t>помогите</t>
  </si>
  <si>
    <t># text = — Он может спрятаться только в одном месте, больше ему некуда деваться, — ответила она.</t>
  </si>
  <si>
    <t>спрятаться</t>
  </si>
  <si>
    <t>одном</t>
  </si>
  <si>
    <t>деваться</t>
  </si>
  <si>
    <t>ответила</t>
  </si>
  <si>
    <t># text = — В самом сердце трясины есть островок, на котором был когда-то рудник.</t>
  </si>
  <si>
    <t>самом</t>
  </si>
  <si>
    <t>сердце</t>
  </si>
  <si>
    <t>трясины</t>
  </si>
  <si>
    <t>островок</t>
  </si>
  <si>
    <t>котором</t>
  </si>
  <si>
    <t>когда-то</t>
  </si>
  <si>
    <t>рудник</t>
  </si>
  <si>
    <t># text = Там он и держал свою собаку, и там у него все приготовлено на тот случай, если придется бежать.</t>
  </si>
  <si>
    <t>держал</t>
  </si>
  <si>
    <t>приготовлено</t>
  </si>
  <si>
    <t># text = Вот куда он мог скрыться.</t>
  </si>
  <si>
    <t>куда</t>
  </si>
  <si>
    <t>скрыться</t>
  </si>
  <si>
    <t># text = Холмс посветил в окно лампой.</t>
  </si>
  <si>
    <t>посветил</t>
  </si>
  <si>
    <t>лампой</t>
  </si>
  <si>
    <t># text = Туман, словно белая вата, лип к стеклу.</t>
  </si>
  <si>
    <t>белая</t>
  </si>
  <si>
    <t>вата</t>
  </si>
  <si>
    <t>лип</t>
  </si>
  <si>
    <t>стеклу</t>
  </si>
  <si>
    <t># text = — Смотрите, — сказал он.</t>
  </si>
  <si>
    <t># text = — Сегодня ночью никто не сможет пробраться на Гримпенскую трясину.</t>
  </si>
  <si>
    <t>Сегодня</t>
  </si>
  <si>
    <t>ночью</t>
  </si>
  <si>
    <t>сможет</t>
  </si>
  <si>
    <t>пробраться</t>
  </si>
  <si>
    <t>Гримпенскую</t>
  </si>
  <si>
    <t>трясину</t>
  </si>
  <si>
    <t># text = Миссис Стэплтон рассмеялась и захлопала в ладоши.</t>
  </si>
  <si>
    <t>рассмеялась</t>
  </si>
  <si>
    <t>захлопала</t>
  </si>
  <si>
    <t>ладоши</t>
  </si>
  <si>
    <t># text = Глаза ее сверкнули недобрым огнем.</t>
  </si>
  <si>
    <t>Глаза</t>
  </si>
  <si>
    <t>сверкнули</t>
  </si>
  <si>
    <t>недобрым</t>
  </si>
  <si>
    <t>огнем</t>
  </si>
  <si>
    <t># text = — Туда-то он найдет дорогу, а обратно не выберется! — воскликнула она.</t>
  </si>
  <si>
    <t>Туда-то</t>
  </si>
  <si>
    <t>найдет</t>
  </si>
  <si>
    <t>дорогу</t>
  </si>
  <si>
    <t>выберется</t>
  </si>
  <si>
    <t>воскликнула</t>
  </si>
  <si>
    <t># text = — Разве в такую ночь разглядишь вехи?</t>
  </si>
  <si>
    <t>Разве</t>
  </si>
  <si>
    <t>такую</t>
  </si>
  <si>
    <t>разглядишь</t>
  </si>
  <si>
    <t>вехи</t>
  </si>
  <si>
    <t># text = Мы ставили их вместе, чтобы наметить тропу через трясину.</t>
  </si>
  <si>
    <t>ставили</t>
  </si>
  <si>
    <t>вместе</t>
  </si>
  <si>
    <t>наметить</t>
  </si>
  <si>
    <t>тропу</t>
  </si>
  <si>
    <t># text = Ах, почему я не догадалась убрать их сегодня!</t>
  </si>
  <si>
    <t>Ах</t>
  </si>
  <si>
    <t>почему</t>
  </si>
  <si>
    <t>догадалась</t>
  </si>
  <si>
    <t>убрать</t>
  </si>
  <si>
    <t>сегодня</t>
  </si>
  <si>
    <t># text = Тогда он был бы в вашей власти!</t>
  </si>
  <si>
    <t>власти</t>
  </si>
  <si>
    <t># text = При таком тумане о погоне нечего было и думать.</t>
  </si>
  <si>
    <t>При</t>
  </si>
  <si>
    <t>таком</t>
  </si>
  <si>
    <t>тумане</t>
  </si>
  <si>
    <t>погоне</t>
  </si>
  <si>
    <t>нечего</t>
  </si>
  <si>
    <t>думать</t>
  </si>
  <si>
    <t># text = Мы оставили Лестрейда полновластным хозяином Меррипит-хаус, а сами вместе с сэром Генри вернулись в Баскервиль-холл.</t>
  </si>
  <si>
    <t>оставили</t>
  </si>
  <si>
    <t>Лестрейда</t>
  </si>
  <si>
    <t>полновластным</t>
  </si>
  <si>
    <t>хозяином</t>
  </si>
  <si>
    <t>сэром</t>
  </si>
  <si>
    <t>вернулись</t>
  </si>
  <si>
    <t>холл</t>
  </si>
  <si>
    <t># text = Скрывать от него историю Стэплтонов больше было нельзя.</t>
  </si>
  <si>
    <t>Скрывать</t>
  </si>
  <si>
    <t>историю</t>
  </si>
  <si>
    <t># text = Узнав всю правду о любимой женщине, он мужественно принял этот удар.</t>
  </si>
  <si>
    <t>Узнав</t>
  </si>
  <si>
    <t>всю</t>
  </si>
  <si>
    <t>правду</t>
  </si>
  <si>
    <t>любимой</t>
  </si>
  <si>
    <t>женщине</t>
  </si>
  <si>
    <t>мужественно</t>
  </si>
  <si>
    <t>принял</t>
  </si>
  <si>
    <t># text = Однако пережитое ночью потрясение не прошло даром для баронета.</t>
  </si>
  <si>
    <t>пережитое</t>
  </si>
  <si>
    <t>потрясение</t>
  </si>
  <si>
    <t>прошло</t>
  </si>
  <si>
    <t>даром</t>
  </si>
  <si>
    <t>для</t>
  </si>
  <si>
    <t>баронета</t>
  </si>
  <si>
    <t># text = К утру он лежал без памяти в горячке под надзором доктора Мортимера.</t>
  </si>
  <si>
    <t>утру</t>
  </si>
  <si>
    <t>памяти</t>
  </si>
  <si>
    <t>горячке</t>
  </si>
  <si>
    <t>надзором</t>
  </si>
  <si>
    <t>доктора</t>
  </si>
  <si>
    <t>Мортимера</t>
  </si>
  <si>
    <t># text = В дальнейшем им обоим было суждено совершить кругосветное путешествие, и только после него сэр Генри снова стал тем же веселым, здоровым человеком, какой приехал когда-то в Англию наследником этого злополучного поместья.</t>
  </si>
  <si>
    <t>дальнейшем</t>
  </si>
  <si>
    <t>обоим</t>
  </si>
  <si>
    <t>суждено</t>
  </si>
  <si>
    <t>совершить</t>
  </si>
  <si>
    <t>кругосветное</t>
  </si>
  <si>
    <t>веселым</t>
  </si>
  <si>
    <t>здоровым</t>
  </si>
  <si>
    <t>человеком</t>
  </si>
  <si>
    <t>какой</t>
  </si>
  <si>
    <t>приехал</t>
  </si>
  <si>
    <t>Англию</t>
  </si>
  <si>
    <t>наследником</t>
  </si>
  <si>
    <t>злополучного</t>
  </si>
  <si>
    <t>поместья</t>
  </si>
  <si>
    <t># text = А теперь мое странное повествование быстро подходит к концу.</t>
  </si>
  <si>
    <t>мое</t>
  </si>
  <si>
    <t>повествование</t>
  </si>
  <si>
    <t>подходит</t>
  </si>
  <si>
    <t>концу</t>
  </si>
  <si>
    <t># text = Записывая его, я старался, чтобы читатель делил вместе с нами все те страхи и смутные догадки, которые так долго омрачали нашу жизнь и завершились такой трагедией.</t>
  </si>
  <si>
    <t>Записывая</t>
  </si>
  <si>
    <t>старался</t>
  </si>
  <si>
    <t>читатель</t>
  </si>
  <si>
    <t>делил</t>
  </si>
  <si>
    <t>смутные</t>
  </si>
  <si>
    <t>догадки</t>
  </si>
  <si>
    <t>долго</t>
  </si>
  <si>
    <t>омрачали</t>
  </si>
  <si>
    <t>завершились</t>
  </si>
  <si>
    <t>трагедией</t>
  </si>
  <si>
    <t># text = К утру туман рассеялся, и миссис Стэплтон проводила нас к тому месту, где начиналась тропинка, ведущая через трясину.</t>
  </si>
  <si>
    <t>рассеялся</t>
  </si>
  <si>
    <t>проводила</t>
  </si>
  <si>
    <t>месту</t>
  </si>
  <si>
    <t>начиналась</t>
  </si>
  <si>
    <t>тропинка</t>
  </si>
  <si>
    <t>ведущая</t>
  </si>
  <si>
    <t># text = Эта женщина с такой охотой и радостью направляла нас по следам мужа, что нам только тогда и стало ясно, как страшна была ее жизнь.</t>
  </si>
  <si>
    <t>охотой</t>
  </si>
  <si>
    <t>радостью</t>
  </si>
  <si>
    <t>направляла</t>
  </si>
  <si>
    <t>стало</t>
  </si>
  <si>
    <t>ясно</t>
  </si>
  <si>
    <t>страшна</t>
  </si>
  <si>
    <t># text = Мы расстались с ней на узкой торфяной полоске, полуостровом вдававшейся в трясину.</t>
  </si>
  <si>
    <t>расстались</t>
  </si>
  <si>
    <t>торфяной</t>
  </si>
  <si>
    <t>полоске</t>
  </si>
  <si>
    <t>полуостровом</t>
  </si>
  <si>
    <t>вдававшейся</t>
  </si>
  <si>
    <t># text = Маленькие прутики, воткнутые то там, то сям, намечали тропу, извивающуюся зигзагом от кочки к кочке, между затянутыми зеленью окнами, которые преградили бы путь всякому, кто был незнаком с этими местами.</t>
  </si>
  <si>
    <t>Маленькие</t>
  </si>
  <si>
    <t>прутики</t>
  </si>
  <si>
    <t>воткнутые</t>
  </si>
  <si>
    <t>сям</t>
  </si>
  <si>
    <t>намечали</t>
  </si>
  <si>
    <t>извивающуюся</t>
  </si>
  <si>
    <t>зигзагом</t>
  </si>
  <si>
    <t>кочки</t>
  </si>
  <si>
    <t>кочке</t>
  </si>
  <si>
    <t>затянутыми</t>
  </si>
  <si>
    <t>зеленью</t>
  </si>
  <si>
    <t>окнами</t>
  </si>
  <si>
    <t>преградили</t>
  </si>
  <si>
    <t>путь</t>
  </si>
  <si>
    <t>OBJ_9</t>
  </si>
  <si>
    <t>всякому</t>
  </si>
  <si>
    <t>SBJ_11</t>
  </si>
  <si>
    <t>незнаком</t>
  </si>
  <si>
    <t>этими</t>
  </si>
  <si>
    <t>местами</t>
  </si>
  <si>
    <t>other_11</t>
  </si>
  <si>
    <t># text = От гниющего камыша и покрытых илом водорослей над трясиной поднимались тяжелые испарения.</t>
  </si>
  <si>
    <t>гниющего</t>
  </si>
  <si>
    <t>камыша</t>
  </si>
  <si>
    <t>покрытых</t>
  </si>
  <si>
    <t>илом</t>
  </si>
  <si>
    <t>водорослей</t>
  </si>
  <si>
    <t>поднимались</t>
  </si>
  <si>
    <t>тяжелые</t>
  </si>
  <si>
    <t>испарения</t>
  </si>
  <si>
    <t># text = Мы то и дело оступались, уходя по колено в темную зыбкую топь, мягкими кругами расходившуюся на поверхности.</t>
  </si>
  <si>
    <t>оступались</t>
  </si>
  <si>
    <t>уходя</t>
  </si>
  <si>
    <t>колено</t>
  </si>
  <si>
    <t>темную</t>
  </si>
  <si>
    <t>зыбкую</t>
  </si>
  <si>
    <t>топь</t>
  </si>
  <si>
    <t>мягкими</t>
  </si>
  <si>
    <t>расходившуюся</t>
  </si>
  <si>
    <t>поверхности</t>
  </si>
  <si>
    <t># text = Вязкая жижа присасывалась к нашим ногам, и ее хватка была настолько сильна, что казалось, чья-то цепкая рука тянет нас в эти мерзостные глубины.</t>
  </si>
  <si>
    <t>Вязкая</t>
  </si>
  <si>
    <t>жижа</t>
  </si>
  <si>
    <t>присасывалась</t>
  </si>
  <si>
    <t>хватка</t>
  </si>
  <si>
    <t>настолько</t>
  </si>
  <si>
    <t>сильна</t>
  </si>
  <si>
    <t>казалось</t>
  </si>
  <si>
    <t>чья-то</t>
  </si>
  <si>
    <t>цепкая</t>
  </si>
  <si>
    <t>рука</t>
  </si>
  <si>
    <t>тянет</t>
  </si>
  <si>
    <t>мерзостные</t>
  </si>
  <si>
    <t>глубины</t>
  </si>
  <si>
    <t># text = На глаза нам попалось только одно-единственное доказательство, что не мы первые идем по этому опасному пути.</t>
  </si>
  <si>
    <t>попалось</t>
  </si>
  <si>
    <t>одно</t>
  </si>
  <si>
    <t>доказательство</t>
  </si>
  <si>
    <t>первые</t>
  </si>
  <si>
    <t>идем</t>
  </si>
  <si>
    <t>этому</t>
  </si>
  <si>
    <t>опасному</t>
  </si>
  <si>
    <t>пути</t>
  </si>
  <si>
    <t># text = На кочке, поросшей болотной травой, лежало что-то темное.</t>
  </si>
  <si>
    <t>поросшей</t>
  </si>
  <si>
    <t>болотной</t>
  </si>
  <si>
    <t>травой</t>
  </si>
  <si>
    <t>лежало</t>
  </si>
  <si>
    <t>что-то</t>
  </si>
  <si>
    <t>темное</t>
  </si>
  <si>
    <t># text = Потянувшись туда.</t>
  </si>
  <si>
    <t>Потянувшись</t>
  </si>
  <si>
    <t># text = Холмс сразу ушел по пояс в тину, и если б не мы, вряд ли ему удалось бы когда-нибудь почувствовать под ногой твердую землю.</t>
  </si>
  <si>
    <t>ушел</t>
  </si>
  <si>
    <t>пояс</t>
  </si>
  <si>
    <t>тину</t>
  </si>
  <si>
    <t>б</t>
  </si>
  <si>
    <t>вряд</t>
  </si>
  <si>
    <t>удалось</t>
  </si>
  <si>
    <t>когда-нибудь</t>
  </si>
  <si>
    <t>почувствовать</t>
  </si>
  <si>
    <t>твердую</t>
  </si>
  <si>
    <t># text = Он держал в руке старый черный башмак.</t>
  </si>
  <si>
    <t>руке</t>
  </si>
  <si>
    <t>старый</t>
  </si>
  <si>
    <t>черный</t>
  </si>
  <si>
    <t>башмак</t>
  </si>
  <si>
    <t>--</t>
  </si>
  <si>
    <t># text = Внутри была метка: \"Мейерс.</t>
  </si>
  <si>
    <t>Внутри</t>
  </si>
  <si>
    <t>метка</t>
  </si>
  <si>
    <t>&amp;quot;</t>
  </si>
  <si>
    <t>Мейерс</t>
  </si>
  <si>
    <t># text = Торонто\".</t>
  </si>
  <si>
    <t># text = — Из-за такой находки стоило принять грязевую ванну.</t>
  </si>
  <si>
    <t>Из-за</t>
  </si>
  <si>
    <t>находки</t>
  </si>
  <si>
    <t>стоило</t>
  </si>
  <si>
    <t>грязевую</t>
  </si>
  <si>
    <t>ванну</t>
  </si>
  <si>
    <t># text = Вот он, пропавший башмак нашего друга!</t>
  </si>
  <si>
    <t>пропавший</t>
  </si>
  <si>
    <t># text = — Брошенный второпях Стэплтоном?</t>
  </si>
  <si>
    <t>Брошенный</t>
  </si>
  <si>
    <t>второпях</t>
  </si>
  <si>
    <t>Стэплтоном</t>
  </si>
  <si>
    <t># text = — Совершенно верно.</t>
  </si>
  <si>
    <t>Совершенно</t>
  </si>
  <si>
    <t>верно</t>
  </si>
  <si>
    <t># text = Он так и не выпустил его из рук, после того как дал собаке понюхать, наводя её на след.</t>
  </si>
  <si>
    <t>выпустил</t>
  </si>
  <si>
    <t>рук</t>
  </si>
  <si>
    <t>дал</t>
  </si>
  <si>
    <t>собаке</t>
  </si>
  <si>
    <t>понюхать</t>
  </si>
  <si>
    <t>наводя</t>
  </si>
  <si>
    <t>её</t>
  </si>
  <si>
    <t>след</t>
  </si>
  <si>
    <t># text = Когда он понял, что игра проиграна, он так и бросился бежать, держа его в руках.</t>
  </si>
  <si>
    <t>Когда</t>
  </si>
  <si>
    <t>бросился</t>
  </si>
  <si>
    <t>держа</t>
  </si>
  <si>
    <t># text = А в этом месте бросил.</t>
  </si>
  <si>
    <t>этом</t>
  </si>
  <si>
    <t>бросил</t>
  </si>
  <si>
    <t># text = Теперь мы, по крайней мере, знаем, что до этого места он добрался благополучно.</t>
  </si>
  <si>
    <t>крайней</t>
  </si>
  <si>
    <t>знаем</t>
  </si>
  <si>
    <t>добрался</t>
  </si>
  <si>
    <t>благополучно</t>
  </si>
  <si>
    <t># text = Но больше нам ничего не удалось узнать, хотя догадываться мы могли о многом.</t>
  </si>
  <si>
    <t>узнать</t>
  </si>
  <si>
    <t>хотя</t>
  </si>
  <si>
    <t>могли</t>
  </si>
  <si>
    <t>многом</t>
  </si>
  <si>
    <t># text = Разглядеть на тропинке следы не было никакой возможности — их сразу же затягивало тиной.</t>
  </si>
  <si>
    <t>Разглядеть</t>
  </si>
  <si>
    <t>следы</t>
  </si>
  <si>
    <t>никакой</t>
  </si>
  <si>
    <t>возможности</t>
  </si>
  <si>
    <t>затягивало</t>
  </si>
  <si>
    <t>тиной</t>
  </si>
  <si>
    <t># text = Мы решили, что они обнаружатся на более сухом месте, однако все поиски были тщетны.</t>
  </si>
  <si>
    <t>решили</t>
  </si>
  <si>
    <t>обнаружатся</t>
  </si>
  <si>
    <t>сухом</t>
  </si>
  <si>
    <t>однако</t>
  </si>
  <si>
    <t>поиски</t>
  </si>
  <si>
    <t>тщетны</t>
  </si>
  <si>
    <t># text = Если земля говорила правду, то Стэплтону так и не удалось добраться до своего убежища на островке, к которому он стремился в ту памятную нам туманную ночь.</t>
  </si>
  <si>
    <t>земля</t>
  </si>
  <si>
    <t>говорила</t>
  </si>
  <si>
    <t>Стэплтону</t>
  </si>
  <si>
    <t>добраться</t>
  </si>
  <si>
    <t>своего</t>
  </si>
  <si>
    <t>убежища</t>
  </si>
  <si>
    <t>островке</t>
  </si>
  <si>
    <t>которому</t>
  </si>
  <si>
    <t>стремился</t>
  </si>
  <si>
    <t>памятную</t>
  </si>
  <si>
    <t>туманную</t>
  </si>
  <si>
    <t># text = Этот холодный, жестокий человек был навеки погребен в самом сердце зловонной Гримпенской трясины, засосавшей его в свою бездонную глубину.</t>
  </si>
  <si>
    <t>Этот</t>
  </si>
  <si>
    <t>холодный</t>
  </si>
  <si>
    <t>жестокий</t>
  </si>
  <si>
    <t>навеки</t>
  </si>
  <si>
    <t>погребен</t>
  </si>
  <si>
    <t>зловонной</t>
  </si>
  <si>
    <t>засосавшей</t>
  </si>
  <si>
    <t>бездонную</t>
  </si>
  <si>
    <t>глубину</t>
  </si>
  <si>
    <t># text = Мы нашли немало его следов на опоясанном топью островке, где он прятал своего страшного сообщника.</t>
  </si>
  <si>
    <t>нашли</t>
  </si>
  <si>
    <t>немало</t>
  </si>
  <si>
    <t>следов</t>
  </si>
  <si>
    <t>опоясанном</t>
  </si>
  <si>
    <t>топью</t>
  </si>
  <si>
    <t>прятал</t>
  </si>
  <si>
    <t>страшного</t>
  </si>
  <si>
    <t>сообщника</t>
  </si>
  <si>
    <t># text = Огромный ворот и шахта, до половины заваленная щебнем, говорили, что когда-то здесь был рудник.</t>
  </si>
  <si>
    <t>Огромный</t>
  </si>
  <si>
    <t>ворот</t>
  </si>
  <si>
    <t>шахта</t>
  </si>
  <si>
    <t>половины</t>
  </si>
  <si>
    <t>заваленная</t>
  </si>
  <si>
    <t>щебнем</t>
  </si>
  <si>
    <t>говорили</t>
  </si>
  <si>
    <t># text = Рядом с ним стояли развалившиеся лачуги рудокопов, которых, вероятно, выгнали отсюда ядовитые болотные испарения.</t>
  </si>
  <si>
    <t>Рядом</t>
  </si>
  <si>
    <t>развалившиеся</t>
  </si>
  <si>
    <t>лачуги</t>
  </si>
  <si>
    <t>рудокопов</t>
  </si>
  <si>
    <t>которых</t>
  </si>
  <si>
    <t>выгнали</t>
  </si>
  <si>
    <t>отсюда</t>
  </si>
  <si>
    <t>ядовитые</t>
  </si>
  <si>
    <t>болотные</t>
  </si>
  <si>
    <t># text = В одной из этих лачуг мы нашли кольцо в стене, цепь и множество обглоданных костей.</t>
  </si>
  <si>
    <t>лачуг</t>
  </si>
  <si>
    <t>кольцо</t>
  </si>
  <si>
    <t>стене</t>
  </si>
  <si>
    <t>цепь</t>
  </si>
  <si>
    <t>множество</t>
  </si>
  <si>
    <t>обглоданных</t>
  </si>
  <si>
    <t>костей</t>
  </si>
  <si>
    <t># text = Здесь, вероятно, Стэплтон и держал своего пса.</t>
  </si>
  <si>
    <t>пса</t>
  </si>
  <si>
    <t># text = Среди мусора валялся скелет собаки с оставшимся на нем клочком рыжей шерсти.</t>
  </si>
  <si>
    <t>Среди</t>
  </si>
  <si>
    <t>мусора</t>
  </si>
  <si>
    <t>валялся</t>
  </si>
  <si>
    <t>скелет</t>
  </si>
  <si>
    <t>оставшимся</t>
  </si>
  <si>
    <t>нем</t>
  </si>
  <si>
    <t>клочком</t>
  </si>
  <si>
    <t>рыжей</t>
  </si>
  <si>
    <t>шерсти</t>
  </si>
  <si>
    <t># text = — Боже мой! — воскликнул Холмс.</t>
  </si>
  <si>
    <t>воскликнул</t>
  </si>
  <si>
    <t># text = — Да это спаниель!</t>
  </si>
  <si>
    <t># text = Бедный Мортимер больше никогда не уводит своего любимца.</t>
  </si>
  <si>
    <t>Бедный</t>
  </si>
  <si>
    <t>Мортимер</t>
  </si>
  <si>
    <t>уводит</t>
  </si>
  <si>
    <t>любимца</t>
  </si>
  <si>
    <t># text = Ну что ж, теперь, я думаю, этот островок открыл нам все свои тайны.</t>
  </si>
  <si>
    <t>ж</t>
  </si>
  <si>
    <t>думаю</t>
  </si>
  <si>
    <t>открыл</t>
  </si>
  <si>
    <t>свои</t>
  </si>
  <si>
    <t>тайны</t>
  </si>
  <si>
    <t># text = Спрятать собаку было нетрудно, а вот попробуйте заставить ее молчать!</t>
  </si>
  <si>
    <t>Спрятать</t>
  </si>
  <si>
    <t>нетрудно</t>
  </si>
  <si>
    <t>попробуйте</t>
  </si>
  <si>
    <t>молчать</t>
  </si>
  <si>
    <t># text = Отсюда и шел этот вой, от которого людям даже днем становилось не по себе.</t>
  </si>
  <si>
    <t>Отсюда</t>
  </si>
  <si>
    <t>шел</t>
  </si>
  <si>
    <t>вой</t>
  </si>
  <si>
    <t>людям</t>
  </si>
  <si>
    <t>днем</t>
  </si>
  <si>
    <t>становилось</t>
  </si>
  <si>
    <t># text = В случае крайней необходимости Стэплтон мог бы перевести собаку в сарай, поближе к дому, но на такой риск можно было пойти только в самую критическую минуту, в расчете на близкую развязку.</t>
  </si>
  <si>
    <t>случае</t>
  </si>
  <si>
    <t>необходимости</t>
  </si>
  <si>
    <t>перевести</t>
  </si>
  <si>
    <t>сарай</t>
  </si>
  <si>
    <t>поближе</t>
  </si>
  <si>
    <t>риск</t>
  </si>
  <si>
    <t>пойти</t>
  </si>
  <si>
    <t>самую</t>
  </si>
  <si>
    <t>критическую</t>
  </si>
  <si>
    <t>расчете</t>
  </si>
  <si>
    <t>близкую</t>
  </si>
  <si>
    <t>развязку</t>
  </si>
  <si>
    <t># text = А вот эта паста в жестянке — тот самый светящийся состав, которым он смазывал своего пса.</t>
  </si>
  <si>
    <t>жестянке</t>
  </si>
  <si>
    <t>самый</t>
  </si>
  <si>
    <t>светящийся</t>
  </si>
  <si>
    <t>состав</t>
  </si>
  <si>
    <t>смазывал</t>
  </si>
  <si>
    <t># text = Его натолкнуло на эту мысль не что иное, как легенда о чудовищной собаке Баскервилей, и он решил разделаться таким способом с сэром Чарльзом.</t>
  </si>
  <si>
    <t>Его</t>
  </si>
  <si>
    <t>натолкнуло</t>
  </si>
  <si>
    <t>иное</t>
  </si>
  <si>
    <t>легенда</t>
  </si>
  <si>
    <t>чудовищной</t>
  </si>
  <si>
    <t>Баскервилей</t>
  </si>
  <si>
    <t>решил</t>
  </si>
  <si>
    <t>разделаться</t>
  </si>
  <si>
    <t>таким</t>
  </si>
  <si>
    <t>способом</t>
  </si>
  <si>
    <t>Чарльзом</t>
  </si>
  <si>
    <t># text = Теперь неудивительно, что злосчастный каторжник пустился наутек (как, впрочем, и наш друг, да и мы сами были недалеки от этого), когда эдакое страшилище выскочило на него из темноты.</t>
  </si>
  <si>
    <t>неудивительно</t>
  </si>
  <si>
    <t>злосчастный</t>
  </si>
  <si>
    <t>каторжник</t>
  </si>
  <si>
    <t>пустился</t>
  </si>
  <si>
    <t>наутек</t>
  </si>
  <si>
    <t>(</t>
  </si>
  <si>
    <t>впрочем</t>
  </si>
  <si>
    <t>недалеки</t>
  </si>
  <si>
    <t>)</t>
  </si>
  <si>
    <t>эдакое</t>
  </si>
  <si>
    <t>страшилище</t>
  </si>
  <si>
    <t>выскочило</t>
  </si>
  <si>
    <t>темноты</t>
  </si>
  <si>
    <t># text = Стэплтон хитро придумал!</t>
  </si>
  <si>
    <t>хитро</t>
  </si>
  <si>
    <t>придумал</t>
  </si>
  <si>
    <t># text = Уж не говоря о том, что собака помогла бы ему убить его жертву, кто из здешних фермеров решился бы поближе познакомиться с ней?</t>
  </si>
  <si>
    <t>Уж</t>
  </si>
  <si>
    <t>говоря</t>
  </si>
  <si>
    <t>том</t>
  </si>
  <si>
    <t>помогла</t>
  </si>
  <si>
    <t>здешних</t>
  </si>
  <si>
    <t>фермеров</t>
  </si>
  <si>
    <t>решился</t>
  </si>
  <si>
    <t>познакомиться</t>
  </si>
  <si>
    <t># text = С такой тварью достаточно и одной встречи.</t>
  </si>
  <si>
    <t>тварью</t>
  </si>
  <si>
    <t>встречи</t>
  </si>
  <si>
    <t># text = А ведь ее многие видели на болотах.</t>
  </si>
  <si>
    <t>многие</t>
  </si>
  <si>
    <t># text = Я говорил об этом в Лондоне, Уотсон, и повторяю опять: нам никогда не приходилось иметь дело с человеком более опасным, чем тот, кто лежит теперь там!</t>
  </si>
  <si>
    <t>об</t>
  </si>
  <si>
    <t>Лондоне</t>
  </si>
  <si>
    <t>повторяю</t>
  </si>
  <si>
    <t>опять</t>
  </si>
  <si>
    <t>приходилось</t>
  </si>
  <si>
    <t>иметь</t>
  </si>
  <si>
    <t>опасным</t>
  </si>
  <si>
    <t>лежит</t>
  </si>
  <si>
    <t># text = — И он показал на зелено-бурую трясину, уходившую вдаль, к пологим склонам торфяных болот.</t>
  </si>
  <si>
    <t>показал</t>
  </si>
  <si>
    <t>зелено</t>
  </si>
  <si>
    <t>бурую</t>
  </si>
  <si>
    <t>уходившую</t>
  </si>
  <si>
    <t>вдаль</t>
  </si>
  <si>
    <t>пологим</t>
  </si>
  <si>
    <t>склонам</t>
  </si>
  <si>
    <t>торфяных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</si>
</sst>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5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10</v>
      </c>
      <c r="C2" s="6" t="s">
        <v>11</v>
      </c>
      <c r="D2" s="7" t="s">
        <v>12</v>
      </c>
      <c r="E2" s="8" t="s">
        <v>13</v>
      </c>
      <c r="F2" s="6" t="s">
        <v>14</v>
      </c>
      <c r="G2" s="9">
        <f>IF(A2=1,"_",IF(C2="_","???",C2))</f>
        <v/>
      </c>
      <c r="H2" s="10" t="s">
        <v>11</v>
      </c>
      <c r="I2" s="11" t="s">
        <v>11</v>
      </c>
      <c r="J2" s="12"/>
    </row>
    <row r="3" spans="1:10" ht="60" customHeight="1">
      <c r="A3" s="6" t="s">
        <v>15</v>
      </c>
      <c r="B3" s="6" t="s">
        <v>16</v>
      </c>
      <c r="C3" s="6" t="s">
        <v>11</v>
      </c>
      <c r="D3" s="7" t="s">
        <v>17</v>
      </c>
      <c r="E3" s="8" t="s">
        <v>18</v>
      </c>
      <c r="F3" s="6" t="s">
        <v>19</v>
      </c>
      <c r="G3" s="9">
        <f>IF(A3=1,"_",IF(C3="_","???",C3))</f>
        <v/>
      </c>
      <c r="H3" s="10" t="s">
        <v>11</v>
      </c>
      <c r="I3" s="11" t="s">
        <v>11</v>
      </c>
      <c r="J3" s="12"/>
    </row>
    <row r="4" spans="1:10" ht="60" customHeight="1">
      <c r="A4" s="6" t="s">
        <v>16</v>
      </c>
      <c r="B4" s="6" t="s">
        <v>20</v>
      </c>
      <c r="C4" s="6" t="s">
        <v>11</v>
      </c>
      <c r="D4" s="7" t="s">
        <v>21</v>
      </c>
      <c r="E4" s="8" t="s">
        <v>22</v>
      </c>
      <c r="F4" s="6" t="s">
        <v>23</v>
      </c>
      <c r="G4" s="9">
        <f>IF(A4=1,"_",IF(C4="_","???",C4))</f>
        <v/>
      </c>
      <c r="H4" s="10" t="s">
        <v>11</v>
      </c>
      <c r="I4" s="11" t="s">
        <v>11</v>
      </c>
      <c r="J4" s="12"/>
    </row>
    <row r="5" spans="1:10" ht="60" customHeight="1">
      <c r="A5" s="6" t="s">
        <v>24</v>
      </c>
      <c r="B5" s="6" t="s">
        <v>24</v>
      </c>
      <c r="C5" s="6" t="s">
        <v>11</v>
      </c>
      <c r="D5" s="7" t="s">
        <v>25</v>
      </c>
      <c r="E5" s="8" t="s">
        <v>26</v>
      </c>
      <c r="F5" s="6" t="s">
        <v>27</v>
      </c>
      <c r="G5" s="9">
        <f>IF(A5=1,"_",IF(C5="_","???",C5))</f>
        <v/>
      </c>
      <c r="H5" s="10" t="s">
        <v>11</v>
      </c>
      <c r="I5" s="11" t="s">
        <v>11</v>
      </c>
      <c r="J5" s="12"/>
    </row>
    <row r="6" spans="1:10" ht="60" customHeight="1">
      <c r="A6" s="6" t="s">
        <v>28</v>
      </c>
      <c r="B6" s="6" t="s">
        <v>15</v>
      </c>
      <c r="C6" s="6" t="s">
        <v>11</v>
      </c>
      <c r="D6" s="7" t="s">
        <v>29</v>
      </c>
      <c r="E6" s="8" t="s">
        <v>30</v>
      </c>
      <c r="F6" s="6" t="s">
        <v>31</v>
      </c>
      <c r="G6" s="9">
        <f>IF(A6=1,"_",IF(C6="_","???",C6))</f>
        <v/>
      </c>
      <c r="H6" s="10" t="s">
        <v>11</v>
      </c>
      <c r="I6" s="11" t="s">
        <v>11</v>
      </c>
      <c r="J6" s="12"/>
    </row>
    <row r="7" spans="1:10" ht="60" customHeight="1">
      <c r="A7" s="6" t="s">
        <v>32</v>
      </c>
      <c r="B7" s="6" t="s">
        <v>24</v>
      </c>
      <c r="C7" s="6" t="s">
        <v>11</v>
      </c>
      <c r="D7" s="7" t="s">
        <v>33</v>
      </c>
      <c r="E7" s="8" t="s">
        <v>34</v>
      </c>
      <c r="F7" s="6" t="s">
        <v>35</v>
      </c>
      <c r="G7" s="9">
        <f>IF(A7=1,"_",IF(C7="_","???",C7))</f>
        <v/>
      </c>
      <c r="H7" s="10" t="s">
        <v>11</v>
      </c>
      <c r="I7" s="11" t="s">
        <v>11</v>
      </c>
      <c r="J7" s="12"/>
    </row>
    <row r="8" spans="1:10" ht="60" customHeight="1">
      <c r="A8" s="6" t="s">
        <v>36</v>
      </c>
      <c r="B8" s="6" t="s">
        <v>15</v>
      </c>
      <c r="C8" s="6" t="s">
        <v>11</v>
      </c>
      <c r="D8" s="7" t="s">
        <v>37</v>
      </c>
      <c r="E8" s="8" t="s">
        <v>38</v>
      </c>
      <c r="F8" s="6" t="s">
        <v>39</v>
      </c>
      <c r="G8" s="9">
        <f>IF(A8=1,"_",IF(C8="_","???",C8))</f>
        <v/>
      </c>
      <c r="H8" s="10" t="s">
        <v>11</v>
      </c>
      <c r="I8" s="11" t="s">
        <v>11</v>
      </c>
      <c r="J8" s="12"/>
    </row>
    <row r="9" spans="1:10" ht="60" customHeight="1">
      <c r="A9" s="6" t="s">
        <v>40</v>
      </c>
      <c r="B9" s="6" t="s">
        <v>41</v>
      </c>
      <c r="C9" s="6" t="s">
        <v>11</v>
      </c>
      <c r="D9" s="7" t="s">
        <v>42</v>
      </c>
      <c r="E9" s="8" t="s">
        <v>43</v>
      </c>
      <c r="F9" s="6" t="s">
        <v>44</v>
      </c>
      <c r="G9" s="9">
        <f>IF(A9=1,"_",IF(C9="_","???",C9))</f>
        <v/>
      </c>
      <c r="H9" s="10" t="s">
        <v>11</v>
      </c>
      <c r="I9" s="11" t="s">
        <v>11</v>
      </c>
      <c r="J9" s="12"/>
    </row>
    <row r="10" spans="1:10" ht="60" customHeight="1">
      <c r="A10" s="6" t="s">
        <v>45</v>
      </c>
      <c r="B10" s="6" t="s">
        <v>16</v>
      </c>
      <c r="C10" s="6" t="s">
        <v>11</v>
      </c>
      <c r="D10" s="7" t="s">
        <v>46</v>
      </c>
      <c r="E10" s="8" t="s">
        <v>47</v>
      </c>
      <c r="F10" s="6" t="s">
        <v>48</v>
      </c>
      <c r="G10" s="9">
        <f>IF(A10=1,"_",IF(C10="_","???",C10))</f>
        <v/>
      </c>
      <c r="H10" s="10" t="s">
        <v>11</v>
      </c>
      <c r="I10" s="11" t="s">
        <v>11</v>
      </c>
      <c r="J10" s="12"/>
    </row>
    <row r="11" spans="1:10" ht="60" customHeight="1">
      <c r="A11" s="6" t="s">
        <v>41</v>
      </c>
      <c r="B11" s="6" t="s">
        <v>36</v>
      </c>
      <c r="C11" s="6" t="s">
        <v>11</v>
      </c>
      <c r="D11" s="7" t="s">
        <v>49</v>
      </c>
      <c r="E11" s="8" t="s">
        <v>50</v>
      </c>
      <c r="F11" s="6" t="s">
        <v>51</v>
      </c>
      <c r="G11" s="9">
        <f>IF(A11=1,"_",IF(C11="_","???",C11))</f>
        <v/>
      </c>
      <c r="H11" s="10" t="s">
        <v>11</v>
      </c>
      <c r="I11" s="11" t="s">
        <v>11</v>
      </c>
      <c r="J11" s="12"/>
    </row>
    <row r="12" spans="1:10" ht="60" customHeight="1">
      <c r="A12" s="6" t="s">
        <v>52</v>
      </c>
      <c r="B12" s="6" t="s">
        <v>24</v>
      </c>
      <c r="C12" s="6" t="s">
        <v>11</v>
      </c>
      <c r="D12" s="7" t="s">
        <v>53</v>
      </c>
      <c r="E12" s="8" t="s">
        <v>54</v>
      </c>
      <c r="F12" s="6" t="s">
        <v>55</v>
      </c>
      <c r="G12" s="9">
        <f>IF(A12=1,"_",IF(C12="_","???",C12))</f>
        <v/>
      </c>
      <c r="H12" s="10" t="s">
        <v>11</v>
      </c>
      <c r="I12" s="11" t="s">
        <v>11</v>
      </c>
      <c r="J12" s="12"/>
    </row>
    <row r="13" spans="1:10" ht="60" customHeight="1">
      <c r="A13" s="6" t="s">
        <v>20</v>
      </c>
      <c r="B13" s="6" t="s">
        <v>16</v>
      </c>
      <c r="C13" s="6" t="s">
        <v>11</v>
      </c>
      <c r="D13" s="7" t="s">
        <v>56</v>
      </c>
      <c r="E13" s="8" t="s">
        <v>57</v>
      </c>
      <c r="F13" s="6" t="s">
        <v>58</v>
      </c>
      <c r="G13" s="9">
        <f>IF(A13=1,"_",IF(C13="_","???",C13))</f>
        <v/>
      </c>
      <c r="H13" s="10" t="s">
        <v>11</v>
      </c>
      <c r="I13" s="11" t="s">
        <v>11</v>
      </c>
      <c r="J13" s="12"/>
    </row>
    <row r="14" spans="1:10" ht="60" customHeight="1">
      <c r="A14" s="6" t="s">
        <v>59</v>
      </c>
      <c r="B14" s="6" t="s">
        <v>24</v>
      </c>
      <c r="C14" s="6" t="s">
        <v>11</v>
      </c>
      <c r="D14" s="7" t="s">
        <v>60</v>
      </c>
      <c r="E14" s="8" t="s">
        <v>61</v>
      </c>
      <c r="F14" s="6" t="s">
        <v>62</v>
      </c>
      <c r="G14" s="9">
        <f>IF(A14=1,"_",IF(C14="_","???",C14))</f>
        <v/>
      </c>
      <c r="H14" s="10" t="s">
        <v>11</v>
      </c>
      <c r="I14" s="11" t="s">
        <v>11</v>
      </c>
      <c r="J14" s="12"/>
    </row>
    <row r="15" spans="1:10" ht="60" customHeight="1">
      <c r="A15" s="6" t="s">
        <v>63</v>
      </c>
      <c r="B15" s="6" t="s">
        <v>28</v>
      </c>
      <c r="C15" s="6" t="s">
        <v>11</v>
      </c>
      <c r="D15" s="7" t="s">
        <v>64</v>
      </c>
      <c r="E15" s="8" t="s">
        <v>65</v>
      </c>
      <c r="F15" s="6" t="s">
        <v>66</v>
      </c>
      <c r="G15" s="9">
        <f>IF(A15=1,"_",IF(C15="_","???",C15))</f>
        <v/>
      </c>
      <c r="H15" s="10" t="s">
        <v>11</v>
      </c>
      <c r="I15" s="11" t="s">
        <v>11</v>
      </c>
      <c r="J15" s="12"/>
    </row>
    <row r="16" spans="1:10" ht="60" customHeight="1">
      <c r="A16" s="6" t="s">
        <v>67</v>
      </c>
      <c r="B16" s="6" t="s">
        <v>16</v>
      </c>
      <c r="C16" s="6" t="s">
        <v>11</v>
      </c>
      <c r="D16" s="7" t="s">
        <v>68</v>
      </c>
      <c r="E16" s="8" t="s">
        <v>69</v>
      </c>
      <c r="F16" s="6" t="s">
        <v>70</v>
      </c>
      <c r="G16" s="9">
        <f>IF(A16=1,"_",IF(C16="_","???",C16))</f>
        <v/>
      </c>
      <c r="H16" s="10" t="s">
        <v>11</v>
      </c>
      <c r="I16" s="11" t="s">
        <v>11</v>
      </c>
      <c r="J16" s="12"/>
    </row>
    <row r="17" spans="1:10" ht="60" customHeight="1">
      <c r="A17" s="6" t="s">
        <v>71</v>
      </c>
      <c r="B17" s="6" t="s">
        <v>32</v>
      </c>
      <c r="C17" s="6" t="s">
        <v>11</v>
      </c>
      <c r="D17" s="7" t="s">
        <v>72</v>
      </c>
      <c r="E17" s="8" t="s">
        <v>73</v>
      </c>
      <c r="F17" s="6" t="s">
        <v>74</v>
      </c>
      <c r="G17" s="9">
        <f>IF(A17=1,"_",IF(C17="_","???",C17))</f>
        <v/>
      </c>
      <c r="H17" s="10" t="s">
        <v>11</v>
      </c>
      <c r="I17" s="11" t="s">
        <v>11</v>
      </c>
      <c r="J17" s="12"/>
    </row>
    <row r="18" spans="1:10" ht="60" customHeight="1">
      <c r="A18" s="6" t="s">
        <v>75</v>
      </c>
      <c r="B18" s="6" t="s">
        <v>15</v>
      </c>
      <c r="C18" s="6" t="s">
        <v>11</v>
      </c>
      <c r="D18" s="7" t="s">
        <v>72</v>
      </c>
      <c r="E18" s="8" t="s">
        <v>76</v>
      </c>
      <c r="F18" s="6" t="s">
        <v>77</v>
      </c>
      <c r="G18" s="9">
        <f>IF(A18=1,"_",IF(C18="_","???",C18))</f>
        <v/>
      </c>
      <c r="H18" s="10" t="s">
        <v>11</v>
      </c>
      <c r="I18" s="11" t="s">
        <v>11</v>
      </c>
      <c r="J18" s="12"/>
    </row>
    <row r="19" spans="1:10" ht="60" customHeight="1">
      <c r="A19" s="6" t="s">
        <v>78</v>
      </c>
      <c r="B19" s="6" t="s">
        <v>15</v>
      </c>
      <c r="C19" s="6" t="s">
        <v>11</v>
      </c>
      <c r="D19" s="7" t="s">
        <v>79</v>
      </c>
      <c r="E19" s="8" t="s">
        <v>80</v>
      </c>
      <c r="F19" s="6" t="s">
        <v>81</v>
      </c>
      <c r="G19" s="9">
        <f>IF(A19=1,"_",IF(C19="_","???",C19))</f>
        <v/>
      </c>
      <c r="H19" s="10" t="s">
        <v>11</v>
      </c>
      <c r="I19" s="11" t="s">
        <v>11</v>
      </c>
      <c r="J19" s="12"/>
    </row>
    <row r="20" spans="1:10" ht="60" customHeight="1">
      <c r="A20" s="6" t="s">
        <v>82</v>
      </c>
      <c r="B20" s="6" t="s">
        <v>40</v>
      </c>
      <c r="C20" s="6" t="s">
        <v>11</v>
      </c>
      <c r="D20" s="7" t="s">
        <v>83</v>
      </c>
      <c r="E20" s="8" t="s">
        <v>84</v>
      </c>
      <c r="F20" s="6" t="s">
        <v>85</v>
      </c>
      <c r="G20" s="9">
        <f>IF(A20=1,"_",IF(C20="_","???",C20))</f>
        <v/>
      </c>
      <c r="H20" s="10" t="s">
        <v>11</v>
      </c>
      <c r="I20" s="11" t="s">
        <v>11</v>
      </c>
      <c r="J20" s="12"/>
    </row>
    <row r="21" spans="1:10" ht="60" customHeight="1">
      <c r="A21" s="6" t="s">
        <v>86</v>
      </c>
      <c r="B21" s="6" t="s">
        <v>16</v>
      </c>
      <c r="C21" s="6" t="s">
        <v>11</v>
      </c>
      <c r="D21" s="7" t="s">
        <v>87</v>
      </c>
      <c r="E21" s="8" t="s">
        <v>88</v>
      </c>
      <c r="F21" s="6" t="s">
        <v>89</v>
      </c>
      <c r="G21" s="9">
        <f>IF(A21=1,"_",IF(C21="_","???",C21))</f>
        <v/>
      </c>
      <c r="H21" s="10" t="s">
        <v>11</v>
      </c>
      <c r="I21" s="11" t="s">
        <v>11</v>
      </c>
      <c r="J21" s="12"/>
    </row>
    <row r="22" spans="1:10" ht="60" customHeight="1">
      <c r="A22" s="6" t="s">
        <v>90</v>
      </c>
      <c r="B22" s="6" t="s">
        <v>28</v>
      </c>
      <c r="C22" s="6" t="s">
        <v>11</v>
      </c>
      <c r="D22" s="7" t="s">
        <v>91</v>
      </c>
      <c r="E22" s="8" t="s">
        <v>92</v>
      </c>
      <c r="F22" s="6" t="s">
        <v>93</v>
      </c>
      <c r="G22" s="9">
        <f>IF(A22=1,"_",IF(C22="_","???",C22))</f>
        <v/>
      </c>
      <c r="H22" s="10" t="s">
        <v>11</v>
      </c>
      <c r="I22" s="11" t="s">
        <v>11</v>
      </c>
      <c r="J22" s="12"/>
    </row>
    <row r="23" spans="1:10" ht="60" customHeight="1">
      <c r="A23" s="6" t="s">
        <v>94</v>
      </c>
      <c r="B23" s="6" t="s">
        <v>16</v>
      </c>
      <c r="C23" s="6" t="s">
        <v>11</v>
      </c>
      <c r="D23" s="7" t="s">
        <v>95</v>
      </c>
      <c r="E23" s="8" t="s">
        <v>96</v>
      </c>
      <c r="F23" s="6" t="s">
        <v>97</v>
      </c>
      <c r="G23" s="9">
        <f>IF(A23=1,"_",IF(C23="_","???",C23))</f>
        <v/>
      </c>
      <c r="H23" s="10" t="s">
        <v>11</v>
      </c>
      <c r="I23" s="11" t="s">
        <v>11</v>
      </c>
      <c r="J23" s="12"/>
    </row>
    <row r="24" spans="1:10" ht="60" customHeight="1">
      <c r="A24" s="6" t="s">
        <v>98</v>
      </c>
      <c r="B24" s="6" t="s">
        <v>15</v>
      </c>
      <c r="C24" s="6" t="s">
        <v>11</v>
      </c>
      <c r="D24" s="7" t="s">
        <v>99</v>
      </c>
      <c r="E24" s="8" t="s">
        <v>100</v>
      </c>
      <c r="F24" s="6" t="s">
        <v>101</v>
      </c>
      <c r="G24" s="9">
        <f>IF(A24=1,"_",IF(C24="_","???",C24))</f>
        <v/>
      </c>
      <c r="H24" s="10" t="s">
        <v>11</v>
      </c>
      <c r="I24" s="11" t="s">
        <v>11</v>
      </c>
      <c r="J24" s="12"/>
    </row>
    <row r="25" spans="1:10" ht="60" customHeight="1">
      <c r="A25" s="6" t="s">
        <v>102</v>
      </c>
      <c r="B25" s="6" t="s">
        <v>16</v>
      </c>
      <c r="C25" s="6" t="s">
        <v>11</v>
      </c>
      <c r="D25" s="7" t="s">
        <v>103</v>
      </c>
      <c r="E25" s="8" t="s">
        <v>104</v>
      </c>
      <c r="F25" s="6" t="s">
        <v>105</v>
      </c>
      <c r="G25" s="9">
        <f>IF(A25=1,"_",IF(C25="_","???",C25))</f>
        <v/>
      </c>
      <c r="H25" s="10" t="s">
        <v>11</v>
      </c>
      <c r="I25" s="11" t="s">
        <v>11</v>
      </c>
      <c r="J25" s="12"/>
    </row>
    <row r="26" spans="1:10" ht="60" customHeight="1">
      <c r="A26" s="6" t="s">
        <v>106</v>
      </c>
      <c r="B26" s="6" t="s">
        <v>24</v>
      </c>
      <c r="C26" s="6" t="s">
        <v>11</v>
      </c>
      <c r="D26" s="7" t="s">
        <v>107</v>
      </c>
      <c r="E26" s="8" t="s">
        <v>108</v>
      </c>
      <c r="F26" s="6" t="s">
        <v>109</v>
      </c>
      <c r="G26" s="9">
        <f>IF(A26=1,"_",IF(C26="_","???",C26))</f>
        <v/>
      </c>
      <c r="H26" s="10" t="s">
        <v>11</v>
      </c>
      <c r="I26" s="11" t="s">
        <v>11</v>
      </c>
      <c r="J26" s="12"/>
    </row>
    <row r="27" spans="1:10" ht="60" customHeight="1">
      <c r="A27" s="6" t="s">
        <v>110</v>
      </c>
      <c r="B27" s="6" t="s">
        <v>28</v>
      </c>
      <c r="C27" s="6" t="s">
        <v>11</v>
      </c>
      <c r="D27" s="7" t="s">
        <v>111</v>
      </c>
      <c r="E27" s="8" t="s">
        <v>112</v>
      </c>
      <c r="F27" s="6" t="s">
        <v>113</v>
      </c>
      <c r="G27" s="9">
        <f>IF(A27=1,"_",IF(C27="_","???",C27))</f>
        <v/>
      </c>
      <c r="H27" s="10" t="s">
        <v>11</v>
      </c>
      <c r="I27" s="11" t="s">
        <v>11</v>
      </c>
      <c r="J27" s="12"/>
    </row>
    <row r="28" spans="1:10" ht="60" customHeight="1">
      <c r="A28" s="6" t="s">
        <v>114</v>
      </c>
      <c r="B28" s="6" t="s">
        <v>15</v>
      </c>
      <c r="C28" s="6" t="s">
        <v>11</v>
      </c>
      <c r="D28" s="7" t="s">
        <v>115</v>
      </c>
      <c r="E28" s="8" t="s">
        <v>116</v>
      </c>
      <c r="F28" s="6" t="s">
        <v>117</v>
      </c>
      <c r="G28" s="9">
        <f>IF(A28=1,"_",IF(C28="_","???",C28))</f>
        <v/>
      </c>
      <c r="H28" s="10" t="s">
        <v>11</v>
      </c>
      <c r="I28" s="11" t="s">
        <v>11</v>
      </c>
      <c r="J28" s="12"/>
    </row>
    <row r="29" spans="1:10" ht="60" customHeight="1">
      <c r="A29" s="6" t="s">
        <v>118</v>
      </c>
      <c r="B29" s="6" t="s">
        <v>24</v>
      </c>
      <c r="C29" s="6" t="s">
        <v>11</v>
      </c>
      <c r="D29" s="7" t="s">
        <v>119</v>
      </c>
      <c r="E29" s="8" t="s">
        <v>120</v>
      </c>
      <c r="F29" s="6" t="s">
        <v>121</v>
      </c>
      <c r="G29" s="9">
        <f>IF(A29=1,"_",IF(C29="_","???",C29))</f>
        <v/>
      </c>
      <c r="H29" s="10" t="s">
        <v>11</v>
      </c>
      <c r="I29" s="11" t="s">
        <v>11</v>
      </c>
      <c r="J29" s="12"/>
    </row>
    <row r="30" spans="1:10" ht="60" customHeight="1">
      <c r="A30" s="6" t="s">
        <v>122</v>
      </c>
      <c r="B30" s="6" t="s">
        <v>10</v>
      </c>
      <c r="C30" s="6" t="s">
        <v>11</v>
      </c>
      <c r="D30" s="7" t="s">
        <v>123</v>
      </c>
      <c r="E30" s="8" t="s">
        <v>124</v>
      </c>
      <c r="F30" s="6" t="s">
        <v>125</v>
      </c>
      <c r="G30" s="9">
        <f>IF(A30=1,"_",IF(C30="_","???",C30))</f>
        <v/>
      </c>
      <c r="H30" s="10" t="s">
        <v>11</v>
      </c>
      <c r="I30" s="11" t="s">
        <v>11</v>
      </c>
      <c r="J30" s="12"/>
    </row>
    <row r="31" spans="1:10" ht="60" customHeight="1">
      <c r="A31" s="6" t="s">
        <v>126</v>
      </c>
      <c r="B31" s="6" t="s">
        <v>10</v>
      </c>
      <c r="C31" s="6" t="s">
        <v>11</v>
      </c>
      <c r="D31" s="7" t="s">
        <v>127</v>
      </c>
      <c r="E31" s="8" t="s">
        <v>128</v>
      </c>
      <c r="F31" s="6" t="s">
        <v>129</v>
      </c>
      <c r="G31" s="9">
        <f>IF(A31=1,"_",IF(C31="_","???",C31))</f>
        <v/>
      </c>
      <c r="H31" s="10" t="s">
        <v>11</v>
      </c>
      <c r="I31" s="11" t="s">
        <v>11</v>
      </c>
      <c r="J31" s="12"/>
    </row>
    <row r="32" spans="1:10" ht="60" customHeight="1">
      <c r="A32" s="6" t="s">
        <v>130</v>
      </c>
      <c r="B32" s="6" t="s">
        <v>16</v>
      </c>
      <c r="C32" s="6" t="s">
        <v>11</v>
      </c>
      <c r="D32" s="7" t="s">
        <v>131</v>
      </c>
      <c r="E32" s="8" t="s">
        <v>132</v>
      </c>
      <c r="F32" s="6" t="s">
        <v>133</v>
      </c>
      <c r="G32" s="9">
        <f>IF(A32=1,"_",IF(C32="_","???",C32))</f>
        <v/>
      </c>
      <c r="H32" s="10" t="s">
        <v>11</v>
      </c>
      <c r="I32" s="11" t="s">
        <v>11</v>
      </c>
      <c r="J32" s="12"/>
    </row>
    <row r="33" spans="1:10" ht="60" customHeight="1">
      <c r="A33" s="6" t="s">
        <v>134</v>
      </c>
      <c r="B33" s="6" t="s">
        <v>36</v>
      </c>
      <c r="C33" s="6" t="s">
        <v>11</v>
      </c>
      <c r="D33" s="7" t="s">
        <v>135</v>
      </c>
      <c r="E33" s="8" t="s">
        <v>136</v>
      </c>
      <c r="F33" s="6" t="s">
        <v>137</v>
      </c>
      <c r="G33" s="9">
        <f>IF(A33=1,"_",IF(C33="_","???",C33))</f>
        <v/>
      </c>
      <c r="H33" s="10" t="s">
        <v>11</v>
      </c>
      <c r="I33" s="11" t="s">
        <v>11</v>
      </c>
      <c r="J33" s="12"/>
    </row>
    <row r="34" spans="1:10" ht="60" customHeight="1">
      <c r="A34" s="6" t="s">
        <v>138</v>
      </c>
      <c r="B34" s="6" t="s">
        <v>24</v>
      </c>
      <c r="C34" s="6" t="s">
        <v>11</v>
      </c>
      <c r="D34" s="7" t="s">
        <v>139</v>
      </c>
      <c r="E34" s="8" t="s">
        <v>140</v>
      </c>
      <c r="F34" s="6" t="s">
        <v>141</v>
      </c>
      <c r="G34" s="9">
        <f>IF(A34=1,"_",IF(C34="_","???",C34))</f>
        <v/>
      </c>
      <c r="H34" s="10" t="s">
        <v>11</v>
      </c>
      <c r="I34" s="11" t="s">
        <v>11</v>
      </c>
      <c r="J34" s="12"/>
    </row>
    <row r="35" spans="1:10" ht="60" customHeight="1">
      <c r="A35" s="6" t="s">
        <v>142</v>
      </c>
      <c r="B35" s="6" t="s">
        <v>16</v>
      </c>
      <c r="C35" s="6" t="s">
        <v>11</v>
      </c>
      <c r="D35" s="7" t="s">
        <v>143</v>
      </c>
      <c r="E35" s="8" t="s">
        <v>144</v>
      </c>
      <c r="F35" s="6" t="s">
        <v>145</v>
      </c>
      <c r="G35" s="9">
        <f>IF(A35=1,"_",IF(C35="_","???",C35))</f>
        <v/>
      </c>
      <c r="H35" s="10" t="s">
        <v>11</v>
      </c>
      <c r="I35" s="11" t="s">
        <v>11</v>
      </c>
      <c r="J35" s="12"/>
    </row>
    <row r="36" spans="1:10" ht="60" customHeight="1">
      <c r="A36" s="6" t="s">
        <v>146</v>
      </c>
      <c r="B36" s="6" t="s">
        <v>16</v>
      </c>
      <c r="C36" s="6" t="s">
        <v>11</v>
      </c>
      <c r="D36" s="7" t="s">
        <v>147</v>
      </c>
      <c r="E36" s="8" t="s">
        <v>148</v>
      </c>
      <c r="F36" s="6" t="s">
        <v>149</v>
      </c>
      <c r="G36" s="9">
        <f>IF(A36=1,"_",IF(C36="_","???",C36))</f>
        <v/>
      </c>
      <c r="H36" s="10" t="s">
        <v>11</v>
      </c>
      <c r="I36" s="11" t="s">
        <v>11</v>
      </c>
      <c r="J36" s="12"/>
    </row>
    <row r="37" spans="1:10" ht="60" customHeight="1">
      <c r="A37" s="6" t="s">
        <v>150</v>
      </c>
      <c r="B37" s="6" t="s">
        <v>16</v>
      </c>
      <c r="C37" s="6" t="s">
        <v>11</v>
      </c>
      <c r="D37" s="7" t="s">
        <v>151</v>
      </c>
      <c r="E37" s="8" t="s">
        <v>152</v>
      </c>
      <c r="F37" s="6" t="s">
        <v>153</v>
      </c>
      <c r="G37" s="9">
        <f>IF(A37=1,"_",IF(C37="_","???",C37))</f>
        <v/>
      </c>
      <c r="H37" s="10" t="s">
        <v>11</v>
      </c>
      <c r="I37" s="11" t="s">
        <v>11</v>
      </c>
      <c r="J37" s="12"/>
    </row>
    <row r="38" spans="1:10" ht="60" customHeight="1">
      <c r="A38" s="6" t="s">
        <v>154</v>
      </c>
      <c r="B38" s="6" t="s">
        <v>15</v>
      </c>
      <c r="C38" s="6" t="s">
        <v>11</v>
      </c>
      <c r="D38" s="7" t="s">
        <v>155</v>
      </c>
      <c r="E38" s="8" t="s">
        <v>156</v>
      </c>
      <c r="F38" s="6" t="s">
        <v>157</v>
      </c>
      <c r="G38" s="9">
        <f>IF(A38=1,"_",IF(C38="_","???",C38))</f>
        <v/>
      </c>
      <c r="H38" s="10" t="s">
        <v>11</v>
      </c>
      <c r="I38" s="11" t="s">
        <v>11</v>
      </c>
      <c r="J38" s="12"/>
    </row>
    <row r="39" spans="1:10" ht="60" customHeight="1">
      <c r="A39" s="6" t="s">
        <v>158</v>
      </c>
      <c r="B39" s="6" t="s">
        <v>10</v>
      </c>
      <c r="C39" s="6" t="s">
        <v>11</v>
      </c>
      <c r="D39" s="7" t="s">
        <v>159</v>
      </c>
      <c r="E39" s="8" t="s">
        <v>160</v>
      </c>
      <c r="F39" s="6" t="s">
        <v>161</v>
      </c>
      <c r="G39" s="9">
        <f>IF(A39=1,"_",IF(C39="_","???",C39))</f>
        <v/>
      </c>
      <c r="H39" s="10" t="s">
        <v>11</v>
      </c>
      <c r="I39" s="11" t="s">
        <v>11</v>
      </c>
      <c r="J39" s="12"/>
    </row>
    <row r="40" spans="1:10" ht="60" customHeight="1">
      <c r="A40" s="6" t="s">
        <v>162</v>
      </c>
      <c r="B40" s="6" t="s">
        <v>24</v>
      </c>
      <c r="C40" s="6" t="s">
        <v>11</v>
      </c>
      <c r="D40" s="7" t="s">
        <v>163</v>
      </c>
      <c r="E40" s="8" t="s">
        <v>164</v>
      </c>
      <c r="F40" s="6" t="s">
        <v>165</v>
      </c>
      <c r="G40" s="9">
        <f>IF(A40=1,"_",IF(C40="_","???",C40))</f>
        <v/>
      </c>
      <c r="H40" s="10" t="s">
        <v>11</v>
      </c>
      <c r="I40" s="11" t="s">
        <v>11</v>
      </c>
      <c r="J40" s="12"/>
    </row>
    <row r="41" spans="1:10" ht="60" customHeight="1">
      <c r="A41" s="6" t="s">
        <v>166</v>
      </c>
      <c r="B41" s="6" t="s">
        <v>28</v>
      </c>
      <c r="C41" s="6" t="s">
        <v>11</v>
      </c>
      <c r="D41" s="7" t="s">
        <v>167</v>
      </c>
      <c r="E41" s="8" t="s">
        <v>168</v>
      </c>
      <c r="F41" s="6" t="s">
        <v>169</v>
      </c>
      <c r="G41" s="9">
        <f>IF(A41=1,"_",IF(C41="_","???",C41))</f>
        <v/>
      </c>
      <c r="H41" s="10" t="s">
        <v>11</v>
      </c>
      <c r="I41" s="11" t="s">
        <v>11</v>
      </c>
      <c r="J41" s="12"/>
    </row>
    <row r="42" spans="1:10" ht="60" customHeight="1">
      <c r="A42" s="6" t="s">
        <v>170</v>
      </c>
      <c r="B42" s="6" t="s">
        <v>15</v>
      </c>
      <c r="C42" s="6" t="s">
        <v>11</v>
      </c>
      <c r="D42" s="7" t="s">
        <v>171</v>
      </c>
      <c r="E42" s="8" t="s">
        <v>172</v>
      </c>
      <c r="F42" s="6" t="s">
        <v>173</v>
      </c>
      <c r="G42" s="9">
        <f>IF(A42=1,"_",IF(C42="_","???",C42))</f>
        <v/>
      </c>
      <c r="H42" s="10" t="s">
        <v>11</v>
      </c>
      <c r="I42" s="11" t="s">
        <v>11</v>
      </c>
      <c r="J42" s="12"/>
    </row>
    <row r="43" spans="1:10" ht="60" customHeight="1">
      <c r="A43" s="6" t="s">
        <v>174</v>
      </c>
      <c r="B43" s="6" t="s">
        <v>16</v>
      </c>
      <c r="C43" s="6" t="s">
        <v>11</v>
      </c>
      <c r="D43" s="7" t="s">
        <v>175</v>
      </c>
      <c r="E43" s="8" t="s">
        <v>176</v>
      </c>
      <c r="F43" s="6" t="s">
        <v>177</v>
      </c>
      <c r="G43" s="9">
        <f>IF(A43=1,"_",IF(C43="_","???",C43))</f>
        <v/>
      </c>
      <c r="H43" s="10" t="s">
        <v>11</v>
      </c>
      <c r="I43" s="11" t="s">
        <v>11</v>
      </c>
      <c r="J43" s="12"/>
    </row>
    <row r="44" spans="1:10" ht="60" customHeight="1">
      <c r="A44" s="6" t="s">
        <v>178</v>
      </c>
      <c r="B44" s="6" t="s">
        <v>15</v>
      </c>
      <c r="C44" s="6" t="s">
        <v>11</v>
      </c>
      <c r="D44" s="7" t="s">
        <v>179</v>
      </c>
      <c r="E44" s="8" t="s">
        <v>180</v>
      </c>
      <c r="F44" s="6" t="s">
        <v>181</v>
      </c>
      <c r="G44" s="9">
        <f>IF(A44=1,"_",IF(C44="_","???",C44))</f>
        <v/>
      </c>
      <c r="H44" s="10" t="s">
        <v>11</v>
      </c>
      <c r="I44" s="11" t="s">
        <v>11</v>
      </c>
      <c r="J44" s="12"/>
    </row>
    <row r="45" spans="1:10" ht="60" customHeight="1">
      <c r="A45" s="6" t="s">
        <v>182</v>
      </c>
      <c r="B45" s="6" t="s">
        <v>16</v>
      </c>
      <c r="C45" s="6" t="s">
        <v>11</v>
      </c>
      <c r="D45" s="7" t="s">
        <v>183</v>
      </c>
      <c r="E45" s="8" t="s">
        <v>184</v>
      </c>
      <c r="F45" s="6" t="s">
        <v>185</v>
      </c>
      <c r="G45" s="9">
        <f>IF(A45=1,"_",IF(C45="_","???",C45))</f>
        <v/>
      </c>
      <c r="H45" s="10" t="s">
        <v>11</v>
      </c>
      <c r="I45" s="11" t="s">
        <v>11</v>
      </c>
      <c r="J45" s="12"/>
    </row>
    <row r="46" spans="1:10" ht="60" customHeight="1">
      <c r="A46" s="6" t="s">
        <v>186</v>
      </c>
      <c r="B46" s="6" t="s">
        <v>20</v>
      </c>
      <c r="C46" s="6" t="s">
        <v>11</v>
      </c>
      <c r="D46" s="7" t="s">
        <v>187</v>
      </c>
      <c r="E46" s="8" t="s">
        <v>188</v>
      </c>
      <c r="F46" s="6" t="s">
        <v>189</v>
      </c>
      <c r="G46" s="9">
        <f>IF(A46=1,"_",IF(C46="_","???",C46))</f>
        <v/>
      </c>
      <c r="H46" s="10" t="s">
        <v>11</v>
      </c>
      <c r="I46" s="11" t="s">
        <v>11</v>
      </c>
      <c r="J46" s="12"/>
    </row>
    <row r="47" spans="1:10" ht="60" customHeight="1">
      <c r="A47" s="6" t="s">
        <v>190</v>
      </c>
      <c r="B47" s="6" t="s">
        <v>32</v>
      </c>
      <c r="C47" s="6" t="s">
        <v>11</v>
      </c>
      <c r="D47" s="7" t="s">
        <v>191</v>
      </c>
      <c r="E47" s="8" t="s">
        <v>192</v>
      </c>
      <c r="F47" s="6" t="s">
        <v>193</v>
      </c>
      <c r="G47" s="9">
        <f>IF(A47=1,"_",IF(C47="_","???",C47))</f>
        <v/>
      </c>
      <c r="H47" s="10" t="s">
        <v>11</v>
      </c>
      <c r="I47" s="11" t="s">
        <v>11</v>
      </c>
      <c r="J47" s="12"/>
    </row>
    <row r="48" spans="1:10" ht="60" customHeight="1">
      <c r="A48" s="6" t="s">
        <v>194</v>
      </c>
      <c r="B48" s="6" t="s">
        <v>24</v>
      </c>
      <c r="C48" s="6" t="s">
        <v>11</v>
      </c>
      <c r="D48" s="7" t="s">
        <v>195</v>
      </c>
      <c r="E48" s="8" t="s">
        <v>196</v>
      </c>
      <c r="F48" s="6" t="s">
        <v>197</v>
      </c>
      <c r="G48" s="9">
        <f>IF(A48=1,"_",IF(C48="_","???",C48))</f>
        <v/>
      </c>
      <c r="H48" s="10" t="s">
        <v>11</v>
      </c>
      <c r="I48" s="11" t="s">
        <v>11</v>
      </c>
      <c r="J48" s="12"/>
    </row>
    <row r="49" spans="1:10" ht="60" customHeight="1">
      <c r="A49" s="6" t="s">
        <v>198</v>
      </c>
      <c r="B49" s="6" t="s">
        <v>15</v>
      </c>
      <c r="C49" s="6" t="s">
        <v>11</v>
      </c>
      <c r="D49" s="7" t="s">
        <v>167</v>
      </c>
      <c r="E49" s="8" t="s">
        <v>199</v>
      </c>
      <c r="F49" s="6" t="s">
        <v>200</v>
      </c>
      <c r="G49" s="9">
        <f>IF(A49=1,"_",IF(C49="_","???",C49))</f>
        <v/>
      </c>
      <c r="H49" s="10" t="s">
        <v>11</v>
      </c>
      <c r="I49" s="11" t="s">
        <v>11</v>
      </c>
      <c r="J49" s="12"/>
    </row>
    <row r="50" spans="1:10" ht="60" customHeight="1">
      <c r="A50" s="6" t="s">
        <v>201</v>
      </c>
      <c r="B50" s="6" t="s">
        <v>15</v>
      </c>
      <c r="C50" s="6" t="s">
        <v>11</v>
      </c>
      <c r="D50" s="7" t="s">
        <v>202</v>
      </c>
      <c r="E50" s="8" t="s">
        <v>203</v>
      </c>
      <c r="F50" s="6" t="s">
        <v>204</v>
      </c>
      <c r="G50" s="9">
        <f>IF(A50=1,"_",IF(C50="_","???",C50))</f>
        <v/>
      </c>
      <c r="H50" s="10" t="s">
        <v>11</v>
      </c>
      <c r="I50" s="11" t="s">
        <v>11</v>
      </c>
      <c r="J50" s="12"/>
    </row>
    <row r="51" spans="1:10" ht="60" customHeight="1">
      <c r="A51" s="6" t="s">
        <v>205</v>
      </c>
      <c r="B51" s="6" t="s">
        <v>32</v>
      </c>
      <c r="C51" s="6" t="s">
        <v>11</v>
      </c>
      <c r="D51" s="7" t="s">
        <v>68</v>
      </c>
      <c r="E51" s="8" t="s">
        <v>206</v>
      </c>
      <c r="F51" s="6" t="s">
        <v>207</v>
      </c>
      <c r="G51" s="9">
        <f>IF(A51=1,"_",IF(C51="_","???",C51))</f>
        <v/>
      </c>
      <c r="H51" s="10" t="s">
        <v>11</v>
      </c>
      <c r="I51" s="11" t="s">
        <v>11</v>
      </c>
      <c r="J51" s="12"/>
    </row>
    <row r="52" spans="1:10" ht="60" customHeight="1">
      <c r="A52" s="6" t="s">
        <v>208</v>
      </c>
      <c r="B52" s="6" t="s">
        <v>10</v>
      </c>
      <c r="C52" s="6" t="s">
        <v>11</v>
      </c>
      <c r="D52" s="7" t="s">
        <v>209</v>
      </c>
      <c r="E52" s="8" t="s">
        <v>210</v>
      </c>
      <c r="F52" s="6" t="s">
        <v>211</v>
      </c>
      <c r="G52" s="9">
        <f>IF(A52=1,"_",IF(C52="_","???",C52))</f>
        <v/>
      </c>
      <c r="H52" s="10" t="s">
        <v>11</v>
      </c>
      <c r="I52" s="11" t="s">
        <v>11</v>
      </c>
      <c r="J52" s="12"/>
    </row>
    <row r="53" spans="1:10" ht="60" customHeight="1">
      <c r="A53" s="6" t="s">
        <v>212</v>
      </c>
      <c r="B53" s="6" t="s">
        <v>15</v>
      </c>
      <c r="C53" s="6" t="s">
        <v>11</v>
      </c>
      <c r="D53" s="7" t="s">
        <v>213</v>
      </c>
      <c r="E53" s="8" t="s">
        <v>214</v>
      </c>
      <c r="F53" s="6" t="s">
        <v>215</v>
      </c>
      <c r="G53" s="9">
        <f>IF(A53=1,"_",IF(C53="_","???",C53))</f>
        <v/>
      </c>
      <c r="H53" s="10" t="s">
        <v>11</v>
      </c>
      <c r="I53" s="11" t="s">
        <v>11</v>
      </c>
      <c r="J53" s="12"/>
    </row>
    <row r="54" spans="1:10" ht="60" customHeight="1">
      <c r="A54" s="6" t="s">
        <v>216</v>
      </c>
      <c r="B54" s="6" t="s">
        <v>15</v>
      </c>
      <c r="C54" s="6" t="s">
        <v>11</v>
      </c>
      <c r="D54" s="7" t="s">
        <v>68</v>
      </c>
      <c r="E54" s="8" t="s">
        <v>217</v>
      </c>
      <c r="F54" s="6" t="s">
        <v>218</v>
      </c>
      <c r="G54" s="9">
        <f>IF(A54=1,"_",IF(C54="_","???",C54))</f>
        <v/>
      </c>
      <c r="H54" s="10" t="s">
        <v>11</v>
      </c>
      <c r="I54" s="11" t="s">
        <v>11</v>
      </c>
      <c r="J54" s="12"/>
    </row>
    <row r="55" spans="1:10" ht="60" customHeight="1">
      <c r="A55" s="6" t="s">
        <v>219</v>
      </c>
      <c r="B55" s="6" t="s">
        <v>41</v>
      </c>
      <c r="C55" s="6" t="s">
        <v>11</v>
      </c>
      <c r="D55" s="7" t="s">
        <v>220</v>
      </c>
      <c r="E55" s="8" t="s">
        <v>221</v>
      </c>
      <c r="F55" s="6" t="s">
        <v>222</v>
      </c>
      <c r="G55" s="9">
        <f>IF(A55=1,"_",IF(C55="_","???",C55))</f>
        <v/>
      </c>
      <c r="H55" s="10" t="s">
        <v>11</v>
      </c>
      <c r="I55" s="11" t="s">
        <v>11</v>
      </c>
      <c r="J55" s="12"/>
    </row>
    <row r="56" spans="1:10" ht="60" customHeight="1">
      <c r="A56" s="6" t="s">
        <v>223</v>
      </c>
      <c r="B56" s="6" t="s">
        <v>15</v>
      </c>
      <c r="C56" s="6" t="s">
        <v>11</v>
      </c>
      <c r="D56" s="7" t="s">
        <v>224</v>
      </c>
      <c r="E56" s="8" t="s">
        <v>225</v>
      </c>
      <c r="F56" s="6" t="s">
        <v>226</v>
      </c>
      <c r="G56" s="9">
        <f>IF(A56=1,"_",IF(C56="_","???",C56))</f>
        <v/>
      </c>
      <c r="H56" s="10" t="s">
        <v>11</v>
      </c>
      <c r="I56" s="11" t="s">
        <v>11</v>
      </c>
      <c r="J56" s="12"/>
    </row>
    <row r="57" spans="1:10" ht="60" customHeight="1">
      <c r="A57" s="6" t="s">
        <v>227</v>
      </c>
      <c r="B57" s="6" t="s">
        <v>16</v>
      </c>
      <c r="C57" s="6" t="s">
        <v>11</v>
      </c>
      <c r="D57" s="7" t="s">
        <v>228</v>
      </c>
      <c r="E57" s="8" t="s">
        <v>229</v>
      </c>
      <c r="F57" s="6" t="s">
        <v>230</v>
      </c>
      <c r="G57" s="9">
        <f>IF(A57=1,"_",IF(C57="_","???",C57))</f>
        <v/>
      </c>
      <c r="H57" s="10" t="s">
        <v>11</v>
      </c>
      <c r="I57" s="11" t="s">
        <v>11</v>
      </c>
      <c r="J57" s="12"/>
    </row>
    <row r="58" spans="1:10" ht="60" customHeight="1">
      <c r="A58" s="6" t="s">
        <v>231</v>
      </c>
      <c r="B58" s="6" t="s">
        <v>41</v>
      </c>
      <c r="C58" s="6" t="s">
        <v>11</v>
      </c>
      <c r="D58" s="7" t="s">
        <v>232</v>
      </c>
      <c r="E58" s="8" t="s">
        <v>233</v>
      </c>
      <c r="F58" s="6" t="s">
        <v>234</v>
      </c>
      <c r="G58" s="9">
        <f>IF(A58=1,"_",IF(C58="_","???",C58))</f>
        <v/>
      </c>
      <c r="H58" s="10" t="s">
        <v>11</v>
      </c>
      <c r="I58" s="11" t="s">
        <v>11</v>
      </c>
      <c r="J58" s="12"/>
    </row>
    <row r="59" spans="1:10" ht="60" customHeight="1">
      <c r="A59" s="6" t="s">
        <v>235</v>
      </c>
      <c r="B59" s="6" t="s">
        <v>28</v>
      </c>
      <c r="C59" s="6" t="s">
        <v>11</v>
      </c>
      <c r="D59" s="7" t="s">
        <v>131</v>
      </c>
      <c r="E59" s="8" t="s">
        <v>236</v>
      </c>
      <c r="F59" s="6" t="s">
        <v>237</v>
      </c>
      <c r="G59" s="9">
        <f>IF(A59=1,"_",IF(C59="_","???",C59))</f>
        <v/>
      </c>
      <c r="H59" s="10" t="s">
        <v>11</v>
      </c>
      <c r="I59" s="11" t="s">
        <v>11</v>
      </c>
      <c r="J59" s="12"/>
    </row>
    <row r="60" spans="1:10" ht="60" customHeight="1">
      <c r="A60" s="6" t="s">
        <v>238</v>
      </c>
      <c r="B60" s="6" t="s">
        <v>16</v>
      </c>
      <c r="C60" s="6" t="s">
        <v>11</v>
      </c>
      <c r="D60" s="7" t="s">
        <v>239</v>
      </c>
      <c r="E60" s="8" t="s">
        <v>240</v>
      </c>
      <c r="F60" s="6" t="s">
        <v>241</v>
      </c>
      <c r="G60" s="9">
        <f>IF(A60=1,"_",IF(C60="_","???",C60))</f>
        <v/>
      </c>
      <c r="H60" s="10" t="s">
        <v>11</v>
      </c>
      <c r="I60" s="11" t="s">
        <v>11</v>
      </c>
      <c r="J60" s="12"/>
    </row>
    <row r="61" spans="1:10" ht="60" customHeight="1">
      <c r="A61" s="6" t="s">
        <v>242</v>
      </c>
      <c r="B61" s="6" t="s">
        <v>16</v>
      </c>
      <c r="C61" s="6" t="s">
        <v>11</v>
      </c>
      <c r="D61" s="7" t="s">
        <v>243</v>
      </c>
      <c r="E61" s="8" t="s">
        <v>244</v>
      </c>
      <c r="F61" s="6" t="s">
        <v>245</v>
      </c>
      <c r="G61" s="9">
        <f>IF(A61=1,"_",IF(C61="_","???",C61))</f>
        <v/>
      </c>
      <c r="H61" s="10" t="s">
        <v>11</v>
      </c>
      <c r="I61" s="11" t="s">
        <v>11</v>
      </c>
      <c r="J61" s="12"/>
    </row>
    <row r="62" spans="1:10" ht="60" customHeight="1">
      <c r="A62" s="6" t="s">
        <v>246</v>
      </c>
      <c r="B62" s="6" t="s">
        <v>28</v>
      </c>
      <c r="C62" s="6" t="s">
        <v>11</v>
      </c>
      <c r="D62" s="7" t="s">
        <v>247</v>
      </c>
      <c r="E62" s="8" t="s">
        <v>248</v>
      </c>
      <c r="F62" s="6" t="s">
        <v>249</v>
      </c>
      <c r="G62" s="9">
        <f>IF(A62=1,"_",IF(C62="_","???",C62))</f>
        <v/>
      </c>
      <c r="H62" s="10" t="s">
        <v>11</v>
      </c>
      <c r="I62" s="11" t="s">
        <v>11</v>
      </c>
      <c r="J62" s="12"/>
    </row>
    <row r="63" spans="1:10" ht="60" customHeight="1">
      <c r="A63" s="6" t="s">
        <v>250</v>
      </c>
      <c r="B63" s="6" t="s">
        <v>15</v>
      </c>
      <c r="C63" s="6" t="s">
        <v>11</v>
      </c>
      <c r="D63" s="7" t="s">
        <v>251</v>
      </c>
      <c r="E63" s="8" t="s">
        <v>252</v>
      </c>
      <c r="F63" s="6" t="s">
        <v>253</v>
      </c>
      <c r="G63" s="9">
        <f>IF(A63=1,"_",IF(C63="_","???",C63))</f>
        <v/>
      </c>
      <c r="H63" s="10" t="s">
        <v>11</v>
      </c>
      <c r="I63" s="11" t="s">
        <v>11</v>
      </c>
      <c r="J63" s="12"/>
    </row>
    <row r="64" spans="1:10" ht="60" customHeight="1">
      <c r="A64" s="6" t="s">
        <v>254</v>
      </c>
      <c r="B64" s="6" t="s">
        <v>24</v>
      </c>
      <c r="C64" s="6" t="s">
        <v>11</v>
      </c>
      <c r="D64" s="7" t="s">
        <v>255</v>
      </c>
      <c r="E64" s="8" t="s">
        <v>256</v>
      </c>
      <c r="F64" s="6" t="s">
        <v>257</v>
      </c>
      <c r="G64" s="9">
        <f>IF(A64=1,"_",IF(C64="_","???",C64))</f>
        <v/>
      </c>
      <c r="H64" s="10" t="s">
        <v>11</v>
      </c>
      <c r="I64" s="11" t="s">
        <v>11</v>
      </c>
      <c r="J64" s="12"/>
    </row>
    <row r="65" spans="1:10" ht="60" customHeight="1">
      <c r="A65" s="6" t="s">
        <v>258</v>
      </c>
      <c r="B65" s="6" t="s">
        <v>16</v>
      </c>
      <c r="C65" s="6" t="s">
        <v>11</v>
      </c>
      <c r="D65" s="7" t="s">
        <v>259</v>
      </c>
      <c r="E65" s="8" t="s">
        <v>260</v>
      </c>
      <c r="F65" s="6" t="s">
        <v>261</v>
      </c>
      <c r="G65" s="9">
        <f>IF(A65=1,"_",IF(C65="_","???",C65))</f>
        <v/>
      </c>
      <c r="H65" s="10" t="s">
        <v>11</v>
      </c>
      <c r="I65" s="11" t="s">
        <v>11</v>
      </c>
      <c r="J65" s="12"/>
    </row>
    <row r="66" spans="1:10" ht="60" customHeight="1">
      <c r="A66" s="6" t="s">
        <v>262</v>
      </c>
      <c r="B66" s="6" t="s">
        <v>10</v>
      </c>
      <c r="C66" s="6" t="s">
        <v>11</v>
      </c>
      <c r="D66" s="7" t="s">
        <v>263</v>
      </c>
      <c r="E66" s="8" t="s">
        <v>264</v>
      </c>
      <c r="F66" s="6" t="s">
        <v>265</v>
      </c>
      <c r="G66" s="9">
        <f>IF(A66=1,"_",IF(C66="_","???",C66))</f>
        <v/>
      </c>
      <c r="H66" s="10" t="s">
        <v>11</v>
      </c>
      <c r="I66" s="11" t="s">
        <v>11</v>
      </c>
      <c r="J66" s="12"/>
    </row>
    <row r="67" spans="1:10" ht="60" customHeight="1">
      <c r="A67" s="6" t="s">
        <v>266</v>
      </c>
      <c r="B67" s="6" t="s">
        <v>32</v>
      </c>
      <c r="C67" s="6" t="s">
        <v>11</v>
      </c>
      <c r="D67" s="7" t="s">
        <v>267</v>
      </c>
      <c r="E67" s="8" t="s">
        <v>268</v>
      </c>
      <c r="F67" s="6" t="s">
        <v>269</v>
      </c>
      <c r="G67" s="9">
        <f>IF(A67=1,"_",IF(C67="_","???",C67))</f>
        <v/>
      </c>
      <c r="H67" s="10" t="s">
        <v>11</v>
      </c>
      <c r="I67" s="11" t="s">
        <v>11</v>
      </c>
      <c r="J67" s="12"/>
    </row>
    <row r="68" spans="1:10" ht="60" customHeight="1">
      <c r="A68" s="6" t="s">
        <v>270</v>
      </c>
      <c r="B68" s="6" t="s">
        <v>16</v>
      </c>
      <c r="C68" s="6" t="s">
        <v>11</v>
      </c>
      <c r="D68" s="7" t="s">
        <v>271</v>
      </c>
      <c r="E68" s="8" t="s">
        <v>272</v>
      </c>
      <c r="F68" s="6" t="s">
        <v>273</v>
      </c>
      <c r="G68" s="9">
        <f>IF(A68=1,"_",IF(C68="_","???",C68))</f>
        <v/>
      </c>
      <c r="H68" s="10" t="s">
        <v>11</v>
      </c>
      <c r="I68" s="11" t="s">
        <v>11</v>
      </c>
      <c r="J68" s="12"/>
    </row>
    <row r="69" spans="1:10" ht="60" customHeight="1">
      <c r="A69" s="6" t="s">
        <v>274</v>
      </c>
      <c r="B69" s="6" t="s">
        <v>20</v>
      </c>
      <c r="C69" s="6" t="s">
        <v>11</v>
      </c>
      <c r="D69" s="7" t="s">
        <v>275</v>
      </c>
      <c r="E69" s="8" t="s">
        <v>276</v>
      </c>
      <c r="F69" s="6" t="s">
        <v>277</v>
      </c>
      <c r="G69" s="9">
        <f>IF(A69=1,"_",IF(C69="_","???",C69))</f>
        <v/>
      </c>
      <c r="H69" s="10" t="s">
        <v>11</v>
      </c>
      <c r="I69" s="11" t="s">
        <v>11</v>
      </c>
      <c r="J69" s="12"/>
    </row>
    <row r="70" spans="1:10" ht="60" customHeight="1">
      <c r="A70" s="6" t="s">
        <v>278</v>
      </c>
      <c r="B70" s="6" t="s">
        <v>16</v>
      </c>
      <c r="C70" s="6" t="s">
        <v>11</v>
      </c>
      <c r="D70" s="7" t="s">
        <v>279</v>
      </c>
      <c r="E70" s="8" t="s">
        <v>280</v>
      </c>
      <c r="F70" s="6" t="s">
        <v>281</v>
      </c>
      <c r="G70" s="9">
        <f>IF(A70=1,"_",IF(C70="_","???",C70))</f>
        <v/>
      </c>
      <c r="H70" s="10" t="s">
        <v>11</v>
      </c>
      <c r="I70" s="11" t="s">
        <v>11</v>
      </c>
      <c r="J70" s="12"/>
    </row>
    <row r="71" spans="1:10" ht="60" customHeight="1">
      <c r="A71" s="6" t="s">
        <v>282</v>
      </c>
      <c r="B71" s="6" t="s">
        <v>16</v>
      </c>
      <c r="C71" s="6" t="s">
        <v>11</v>
      </c>
      <c r="D71" s="7" t="s">
        <v>283</v>
      </c>
      <c r="E71" s="8" t="s">
        <v>284</v>
      </c>
      <c r="F71" s="6" t="s">
        <v>285</v>
      </c>
      <c r="G71" s="9">
        <f>IF(A71=1,"_",IF(C71="_","???",C71))</f>
        <v/>
      </c>
      <c r="H71" s="10" t="s">
        <v>11</v>
      </c>
      <c r="I71" s="11" t="s">
        <v>11</v>
      </c>
      <c r="J71" s="12"/>
    </row>
    <row r="72" spans="1:10" ht="60" customHeight="1">
      <c r="A72" s="6" t="s">
        <v>286</v>
      </c>
      <c r="B72" s="6" t="s">
        <v>28</v>
      </c>
      <c r="C72" s="6" t="s">
        <v>11</v>
      </c>
      <c r="D72" s="7" t="s">
        <v>287</v>
      </c>
      <c r="E72" s="8" t="s">
        <v>288</v>
      </c>
      <c r="F72" s="6" t="s">
        <v>289</v>
      </c>
      <c r="G72" s="9">
        <f>IF(A72=1,"_",IF(C72="_","???",C72))</f>
        <v/>
      </c>
      <c r="H72" s="10" t="s">
        <v>11</v>
      </c>
      <c r="I72" s="11" t="s">
        <v>11</v>
      </c>
      <c r="J72" s="12"/>
    </row>
    <row r="73" spans="1:10" ht="60" customHeight="1">
      <c r="A73" s="6" t="s">
        <v>290</v>
      </c>
      <c r="B73" s="6" t="s">
        <v>24</v>
      </c>
      <c r="C73" s="6" t="s">
        <v>11</v>
      </c>
      <c r="D73" s="7" t="s">
        <v>291</v>
      </c>
      <c r="E73" s="8" t="s">
        <v>292</v>
      </c>
      <c r="F73" s="6" t="s">
        <v>293</v>
      </c>
      <c r="G73" s="9">
        <f>IF(A73=1,"_",IF(C73="_","???",C73))</f>
        <v/>
      </c>
      <c r="H73" s="10" t="s">
        <v>11</v>
      </c>
      <c r="I73" s="11" t="s">
        <v>11</v>
      </c>
      <c r="J73" s="12"/>
    </row>
    <row r="74" spans="1:10" ht="60" customHeight="1">
      <c r="A74" s="6" t="s">
        <v>294</v>
      </c>
      <c r="B74" s="6" t="s">
        <v>28</v>
      </c>
      <c r="C74" s="6" t="s">
        <v>11</v>
      </c>
      <c r="D74" s="7" t="s">
        <v>295</v>
      </c>
      <c r="E74" s="8" t="s">
        <v>296</v>
      </c>
      <c r="F74" s="6" t="s">
        <v>297</v>
      </c>
      <c r="G74" s="9">
        <f>IF(A74=1,"_",IF(C74="_","???",C74))</f>
        <v/>
      </c>
      <c r="H74" s="10" t="s">
        <v>11</v>
      </c>
      <c r="I74" s="11" t="s">
        <v>11</v>
      </c>
      <c r="J74" s="12"/>
    </row>
    <row r="75" spans="1:10" ht="60" customHeight="1">
      <c r="A75" s="6" t="s">
        <v>298</v>
      </c>
      <c r="B75" s="6" t="s">
        <v>15</v>
      </c>
      <c r="C75" s="6" t="s">
        <v>11</v>
      </c>
      <c r="D75" s="7" t="s">
        <v>299</v>
      </c>
      <c r="E75" s="8" t="s">
        <v>300</v>
      </c>
      <c r="F75" s="6" t="s">
        <v>301</v>
      </c>
      <c r="G75" s="9">
        <f>IF(A75=1,"_",IF(C75="_","???",C75))</f>
        <v/>
      </c>
      <c r="H75" s="10" t="s">
        <v>11</v>
      </c>
      <c r="I75" s="11" t="s">
        <v>11</v>
      </c>
      <c r="J75" s="12"/>
    </row>
    <row r="76" spans="1:10" ht="60" customHeight="1">
      <c r="A76" s="6" t="s">
        <v>302</v>
      </c>
      <c r="B76" s="6" t="s">
        <v>16</v>
      </c>
      <c r="C76" s="6" t="s">
        <v>11</v>
      </c>
      <c r="D76" s="7" t="s">
        <v>91</v>
      </c>
      <c r="E76" s="8" t="s">
        <v>303</v>
      </c>
      <c r="F76" s="6" t="s">
        <v>304</v>
      </c>
      <c r="G76" s="9">
        <f>IF(A76=1,"_",IF(C76="_","???",C76))</f>
        <v/>
      </c>
      <c r="H76" s="10" t="s">
        <v>11</v>
      </c>
      <c r="I76" s="11" t="s">
        <v>11</v>
      </c>
      <c r="J76" s="12"/>
    </row>
    <row r="77" spans="1:10" ht="60" customHeight="1">
      <c r="A77" s="6" t="s">
        <v>305</v>
      </c>
      <c r="B77" s="6" t="s">
        <v>16</v>
      </c>
      <c r="C77" s="6" t="s">
        <v>11</v>
      </c>
      <c r="D77" s="7" t="s">
        <v>306</v>
      </c>
      <c r="E77" s="8" t="s">
        <v>307</v>
      </c>
      <c r="F77" s="6" t="s">
        <v>308</v>
      </c>
      <c r="G77" s="9">
        <f>IF(A77=1,"_",IF(C77="_","???",C77))</f>
        <v/>
      </c>
      <c r="H77" s="10" t="s">
        <v>11</v>
      </c>
      <c r="I77" s="11" t="s">
        <v>11</v>
      </c>
      <c r="J77" s="12"/>
    </row>
    <row r="78" spans="1:10" ht="60" customHeight="1">
      <c r="A78" s="6" t="s">
        <v>309</v>
      </c>
      <c r="B78" s="6" t="s">
        <v>28</v>
      </c>
      <c r="C78" s="6" t="s">
        <v>11</v>
      </c>
      <c r="D78" s="7" t="s">
        <v>310</v>
      </c>
      <c r="E78" s="8" t="s">
        <v>311</v>
      </c>
      <c r="F78" s="6" t="s">
        <v>312</v>
      </c>
      <c r="G78" s="9">
        <f>IF(A78=1,"_",IF(C78="_","???",C78))</f>
        <v/>
      </c>
      <c r="H78" s="10" t="s">
        <v>11</v>
      </c>
      <c r="I78" s="11" t="s">
        <v>11</v>
      </c>
      <c r="J78" s="12"/>
    </row>
    <row r="79" spans="1:10" ht="60" customHeight="1">
      <c r="A79" s="6" t="s">
        <v>313</v>
      </c>
      <c r="B79" s="6" t="s">
        <v>28</v>
      </c>
      <c r="C79" s="6" t="s">
        <v>11</v>
      </c>
      <c r="D79" s="7" t="s">
        <v>314</v>
      </c>
      <c r="E79" s="8" t="s">
        <v>315</v>
      </c>
      <c r="F79" s="6" t="s">
        <v>316</v>
      </c>
      <c r="G79" s="9">
        <f>IF(A79=1,"_",IF(C79="_","???",C79))</f>
        <v/>
      </c>
      <c r="H79" s="10" t="s">
        <v>11</v>
      </c>
      <c r="I79" s="11" t="s">
        <v>11</v>
      </c>
      <c r="J79" s="12"/>
    </row>
    <row r="80" spans="1:10" ht="60" customHeight="1">
      <c r="A80" s="6" t="s">
        <v>317</v>
      </c>
      <c r="B80" s="6" t="s">
        <v>24</v>
      </c>
      <c r="C80" s="6" t="s">
        <v>11</v>
      </c>
      <c r="D80" s="7" t="s">
        <v>318</v>
      </c>
      <c r="E80" s="8" t="s">
        <v>319</v>
      </c>
      <c r="F80" s="6" t="s">
        <v>320</v>
      </c>
      <c r="G80" s="9">
        <f>IF(A80=1,"_",IF(C80="_","???",C80))</f>
        <v/>
      </c>
      <c r="H80" s="10" t="s">
        <v>11</v>
      </c>
      <c r="I80" s="11" t="s">
        <v>11</v>
      </c>
      <c r="J80" s="12"/>
    </row>
    <row r="81" spans="1:10" ht="60" customHeight="1">
      <c r="A81" s="6" t="s">
        <v>321</v>
      </c>
      <c r="B81" s="6" t="s">
        <v>16</v>
      </c>
      <c r="C81" s="6" t="s">
        <v>11</v>
      </c>
      <c r="D81" s="7" t="s">
        <v>322</v>
      </c>
      <c r="E81" s="8" t="s">
        <v>323</v>
      </c>
      <c r="F81" s="6" t="s">
        <v>324</v>
      </c>
      <c r="G81" s="9">
        <f>IF(A81=1,"_",IF(C81="_","???",C81))</f>
        <v/>
      </c>
      <c r="H81" s="10" t="s">
        <v>11</v>
      </c>
      <c r="I81" s="11" t="s">
        <v>11</v>
      </c>
      <c r="J81" s="12"/>
    </row>
    <row r="82" spans="1:10" ht="60" customHeight="1">
      <c r="A82" s="6" t="s">
        <v>325</v>
      </c>
      <c r="B82" s="6" t="s">
        <v>52</v>
      </c>
      <c r="C82" s="6" t="s">
        <v>11</v>
      </c>
      <c r="D82" s="7" t="s">
        <v>326</v>
      </c>
      <c r="E82" s="8" t="s">
        <v>327</v>
      </c>
      <c r="F82" s="6" t="s">
        <v>328</v>
      </c>
      <c r="G82" s="9">
        <f>IF(A82=1,"_",IF(C82="_","???",C82))</f>
        <v/>
      </c>
      <c r="H82" s="10" t="s">
        <v>11</v>
      </c>
      <c r="I82" s="11" t="s">
        <v>11</v>
      </c>
      <c r="J82" s="12"/>
    </row>
    <row r="83" spans="1:10" ht="60" customHeight="1">
      <c r="A83" s="6" t="s">
        <v>329</v>
      </c>
      <c r="B83" s="6" t="s">
        <v>15</v>
      </c>
      <c r="C83" s="6" t="s">
        <v>11</v>
      </c>
      <c r="D83" s="7" t="s">
        <v>330</v>
      </c>
      <c r="E83" s="8" t="s">
        <v>331</v>
      </c>
      <c r="F83" s="6" t="s">
        <v>332</v>
      </c>
      <c r="G83" s="9">
        <f>IF(A83=1,"_",IF(C83="_","???",C83))</f>
        <v/>
      </c>
      <c r="H83" s="10" t="s">
        <v>11</v>
      </c>
      <c r="I83" s="11" t="s">
        <v>11</v>
      </c>
      <c r="J83" s="12"/>
    </row>
    <row r="84" spans="1:10" ht="60" customHeight="1">
      <c r="A84" s="6" t="s">
        <v>333</v>
      </c>
      <c r="B84" s="6" t="s">
        <v>40</v>
      </c>
      <c r="C84" s="6" t="s">
        <v>11</v>
      </c>
      <c r="D84" s="7" t="s">
        <v>334</v>
      </c>
      <c r="E84" s="8" t="s">
        <v>335</v>
      </c>
      <c r="F84" s="6" t="s">
        <v>336</v>
      </c>
      <c r="G84" s="9">
        <f>IF(A84=1,"_",IF(C84="_","???",C84))</f>
        <v/>
      </c>
      <c r="H84" s="10" t="s">
        <v>11</v>
      </c>
      <c r="I84" s="11" t="s">
        <v>11</v>
      </c>
      <c r="J84" s="12"/>
    </row>
    <row r="85" spans="1:10" ht="60" customHeight="1">
      <c r="A85" s="6" t="s">
        <v>337</v>
      </c>
      <c r="B85" s="6" t="s">
        <v>52</v>
      </c>
      <c r="C85" s="6" t="s">
        <v>11</v>
      </c>
      <c r="D85" s="7" t="s">
        <v>338</v>
      </c>
      <c r="E85" s="8" t="s">
        <v>339</v>
      </c>
      <c r="F85" s="6" t="s">
        <v>340</v>
      </c>
      <c r="G85" s="9">
        <f>IF(A85=1,"_",IF(C85="_","???",C85))</f>
        <v/>
      </c>
      <c r="H85" s="10" t="s">
        <v>11</v>
      </c>
      <c r="I85" s="11" t="s">
        <v>11</v>
      </c>
      <c r="J85" s="12"/>
    </row>
    <row r="86" spans="1:10" ht="60" customHeight="1">
      <c r="A86" s="6" t="s">
        <v>341</v>
      </c>
      <c r="B86" s="6" t="s">
        <v>41</v>
      </c>
      <c r="C86" s="6" t="s">
        <v>11</v>
      </c>
      <c r="D86" s="7" t="s">
        <v>342</v>
      </c>
      <c r="E86" s="8" t="s">
        <v>343</v>
      </c>
      <c r="F86" s="6" t="s">
        <v>344</v>
      </c>
      <c r="G86" s="9">
        <f>IF(A86=1,"_",IF(C86="_","???",C86))</f>
        <v/>
      </c>
      <c r="H86" s="10" t="s">
        <v>11</v>
      </c>
      <c r="I86" s="11" t="s">
        <v>11</v>
      </c>
      <c r="J86" s="12"/>
    </row>
    <row r="87" spans="1:10" ht="60" customHeight="1">
      <c r="A87" s="6" t="s">
        <v>345</v>
      </c>
      <c r="B87" s="6" t="s">
        <v>28</v>
      </c>
      <c r="C87" s="6" t="s">
        <v>11</v>
      </c>
      <c r="D87" s="7" t="s">
        <v>346</v>
      </c>
      <c r="E87" s="8" t="s">
        <v>347</v>
      </c>
      <c r="F87" s="6" t="s">
        <v>348</v>
      </c>
      <c r="G87" s="9">
        <f>IF(A87=1,"_",IF(C87="_","???",C87))</f>
        <v/>
      </c>
      <c r="H87" s="10" t="s">
        <v>11</v>
      </c>
      <c r="I87" s="11" t="s">
        <v>11</v>
      </c>
      <c r="J87" s="12"/>
    </row>
    <row r="88" spans="1:10" ht="60" customHeight="1">
      <c r="A88" s="6" t="s">
        <v>349</v>
      </c>
      <c r="B88" s="6" t="s">
        <v>24</v>
      </c>
      <c r="C88" s="6" t="s">
        <v>11</v>
      </c>
      <c r="D88" s="7" t="s">
        <v>350</v>
      </c>
      <c r="E88" s="8" t="s">
        <v>351</v>
      </c>
      <c r="F88" s="6" t="s">
        <v>352</v>
      </c>
      <c r="G88" s="9">
        <f>IF(A88=1,"_",IF(C88="_","???",C88))</f>
        <v/>
      </c>
      <c r="H88" s="10" t="s">
        <v>11</v>
      </c>
      <c r="I88" s="11" t="s">
        <v>11</v>
      </c>
      <c r="J88" s="12"/>
    </row>
    <row r="89" spans="1:10" ht="60" customHeight="1">
      <c r="A89" s="6" t="s">
        <v>353</v>
      </c>
      <c r="B89" s="6" t="s">
        <v>36</v>
      </c>
      <c r="C89" s="6" t="s">
        <v>11</v>
      </c>
      <c r="D89" s="7" t="s">
        <v>354</v>
      </c>
      <c r="E89" s="8" t="s">
        <v>355</v>
      </c>
      <c r="F89" s="6" t="s">
        <v>356</v>
      </c>
      <c r="G89" s="9">
        <f>IF(A89=1,"_",IF(C89="_","???",C89))</f>
        <v/>
      </c>
      <c r="H89" s="10" t="s">
        <v>11</v>
      </c>
      <c r="I89" s="11" t="s">
        <v>11</v>
      </c>
      <c r="J89" s="12"/>
    </row>
    <row r="90" spans="1:10" ht="60" customHeight="1">
      <c r="A90" s="6" t="s">
        <v>357</v>
      </c>
      <c r="B90" s="6" t="s">
        <v>15</v>
      </c>
      <c r="C90" s="6" t="s">
        <v>11</v>
      </c>
      <c r="D90" s="7" t="s">
        <v>358</v>
      </c>
      <c r="E90" s="8" t="s">
        <v>359</v>
      </c>
      <c r="F90" s="6" t="s">
        <v>360</v>
      </c>
      <c r="G90" s="9">
        <f>IF(A90=1,"_",IF(C90="_","???",C90))</f>
        <v/>
      </c>
      <c r="H90" s="10" t="s">
        <v>11</v>
      </c>
      <c r="I90" s="11" t="s">
        <v>11</v>
      </c>
      <c r="J90" s="12"/>
    </row>
    <row r="91" spans="1:10" ht="60" customHeight="1">
      <c r="A91" s="6" t="s">
        <v>361</v>
      </c>
      <c r="B91" s="6" t="s">
        <v>15</v>
      </c>
      <c r="C91" s="6" t="s">
        <v>11</v>
      </c>
      <c r="D91" s="7" t="s">
        <v>362</v>
      </c>
      <c r="E91" s="8" t="s">
        <v>363</v>
      </c>
      <c r="F91" s="6" t="s">
        <v>364</v>
      </c>
      <c r="G91" s="9">
        <f>IF(A91=1,"_",IF(C91="_","???",C91))</f>
        <v/>
      </c>
      <c r="H91" s="10" t="s">
        <v>11</v>
      </c>
      <c r="I91" s="11" t="s">
        <v>11</v>
      </c>
      <c r="J91" s="12"/>
    </row>
    <row r="92" spans="1:10" ht="60" customHeight="1">
      <c r="A92" s="6" t="s">
        <v>365</v>
      </c>
      <c r="B92" s="6" t="s">
        <v>16</v>
      </c>
      <c r="C92" s="6" t="s">
        <v>11</v>
      </c>
      <c r="D92" s="7" t="s">
        <v>366</v>
      </c>
      <c r="E92" s="8" t="s">
        <v>367</v>
      </c>
      <c r="F92" s="6" t="s">
        <v>368</v>
      </c>
      <c r="G92" s="9">
        <f>IF(A92=1,"_",IF(C92="_","???",C92))</f>
        <v/>
      </c>
      <c r="H92" s="10" t="s">
        <v>11</v>
      </c>
      <c r="I92" s="11" t="s">
        <v>11</v>
      </c>
      <c r="J92" s="12"/>
    </row>
    <row r="93" spans="1:10" ht="60" customHeight="1">
      <c r="A93" s="6" t="s">
        <v>369</v>
      </c>
      <c r="B93" s="6" t="s">
        <v>24</v>
      </c>
      <c r="C93" s="6" t="s">
        <v>11</v>
      </c>
      <c r="D93" s="7" t="s">
        <v>370</v>
      </c>
      <c r="E93" s="8" t="s">
        <v>371</v>
      </c>
      <c r="F93" s="6" t="s">
        <v>372</v>
      </c>
      <c r="G93" s="9">
        <f>IF(A93=1,"_",IF(C93="_","???",C93))</f>
        <v/>
      </c>
      <c r="H93" s="10" t="s">
        <v>11</v>
      </c>
      <c r="I93" s="11" t="s">
        <v>11</v>
      </c>
      <c r="J93" s="12"/>
    </row>
    <row r="94" spans="1:10" ht="60" customHeight="1">
      <c r="A94" s="6" t="s">
        <v>373</v>
      </c>
      <c r="B94" s="6" t="s">
        <v>36</v>
      </c>
      <c r="C94" s="6" t="s">
        <v>11</v>
      </c>
      <c r="D94" s="7" t="s">
        <v>374</v>
      </c>
      <c r="E94" s="8" t="s">
        <v>375</v>
      </c>
      <c r="F94" s="6" t="s">
        <v>376</v>
      </c>
      <c r="G94" s="9">
        <f>IF(A94=1,"_",IF(C94="_","???",C94))</f>
        <v/>
      </c>
      <c r="H94" s="10" t="s">
        <v>11</v>
      </c>
      <c r="I94" s="11" t="s">
        <v>11</v>
      </c>
      <c r="J94" s="12"/>
    </row>
    <row r="95" spans="1:10" ht="60" customHeight="1">
      <c r="A95" s="6" t="s">
        <v>377</v>
      </c>
      <c r="B95" s="6" t="s">
        <v>16</v>
      </c>
      <c r="C95" s="6" t="s">
        <v>11</v>
      </c>
      <c r="D95" s="7" t="s">
        <v>202</v>
      </c>
      <c r="E95" s="8" t="s">
        <v>378</v>
      </c>
      <c r="F95" s="6" t="s">
        <v>379</v>
      </c>
      <c r="G95" s="9">
        <f>IF(A95=1,"_",IF(C95="_","???",C95))</f>
        <v/>
      </c>
      <c r="H95" s="10" t="s">
        <v>11</v>
      </c>
      <c r="I95" s="11" t="s">
        <v>11</v>
      </c>
      <c r="J95" s="12"/>
    </row>
    <row r="96" spans="1:10" ht="60" customHeight="1">
      <c r="A96" s="6" t="s">
        <v>380</v>
      </c>
      <c r="B96" s="6" t="s">
        <v>52</v>
      </c>
      <c r="C96" s="6" t="s">
        <v>11</v>
      </c>
      <c r="D96" s="7" t="s">
        <v>381</v>
      </c>
      <c r="E96" s="8" t="s">
        <v>382</v>
      </c>
      <c r="F96" s="6" t="s">
        <v>383</v>
      </c>
      <c r="G96" s="9">
        <f>IF(A96=1,"_",IF(C96="_","???",C96))</f>
        <v/>
      </c>
      <c r="H96" s="10" t="s">
        <v>11</v>
      </c>
      <c r="I96" s="11" t="s">
        <v>11</v>
      </c>
      <c r="J96" s="12"/>
    </row>
    <row r="97" spans="1:10" ht="60" customHeight="1">
      <c r="A97" s="6" t="s">
        <v>384</v>
      </c>
      <c r="B97" s="6" t="s">
        <v>16</v>
      </c>
      <c r="C97" s="6" t="s">
        <v>11</v>
      </c>
      <c r="D97" s="7" t="s">
        <v>103</v>
      </c>
      <c r="E97" s="8" t="s">
        <v>385</v>
      </c>
      <c r="F97" s="6" t="s">
        <v>386</v>
      </c>
      <c r="G97" s="9">
        <f>IF(A97=1,"_",IF(C97="_","???",C97))</f>
        <v/>
      </c>
      <c r="H97" s="10" t="s">
        <v>11</v>
      </c>
      <c r="I97" s="11" t="s">
        <v>11</v>
      </c>
      <c r="J97" s="12"/>
    </row>
    <row r="98" spans="1:10" ht="60" customHeight="1">
      <c r="A98" s="6" t="s">
        <v>387</v>
      </c>
      <c r="B98" s="6" t="s">
        <v>36</v>
      </c>
      <c r="C98" s="6" t="s">
        <v>11</v>
      </c>
      <c r="D98" s="7" t="s">
        <v>388</v>
      </c>
      <c r="E98" s="8" t="s">
        <v>389</v>
      </c>
      <c r="F98" s="6" t="s">
        <v>390</v>
      </c>
      <c r="G98" s="9">
        <f>IF(A98=1,"_",IF(C98="_","???",C98))</f>
        <v/>
      </c>
      <c r="H98" s="10" t="s">
        <v>11</v>
      </c>
      <c r="I98" s="11" t="s">
        <v>11</v>
      </c>
      <c r="J98" s="12"/>
    </row>
    <row r="99" spans="1:10" ht="60" customHeight="1">
      <c r="A99" s="6" t="s">
        <v>391</v>
      </c>
      <c r="B99" s="6" t="s">
        <v>15</v>
      </c>
      <c r="C99" s="6" t="s">
        <v>11</v>
      </c>
      <c r="D99" s="7" t="s">
        <v>392</v>
      </c>
      <c r="E99" s="8" t="s">
        <v>393</v>
      </c>
      <c r="F99" s="6" t="s">
        <v>394</v>
      </c>
      <c r="G99" s="9">
        <f>IF(A99=1,"_",IF(C99="_","???",C99))</f>
        <v/>
      </c>
      <c r="H99" s="10" t="s">
        <v>11</v>
      </c>
      <c r="I99" s="11" t="s">
        <v>11</v>
      </c>
      <c r="J99" s="12"/>
    </row>
    <row r="100" spans="1:10" ht="60" customHeight="1">
      <c r="A100" s="6" t="s">
        <v>395</v>
      </c>
      <c r="B100" s="6" t="s">
        <v>10</v>
      </c>
      <c r="C100" s="6" t="s">
        <v>11</v>
      </c>
      <c r="D100" s="7" t="s">
        <v>396</v>
      </c>
      <c r="E100" s="8" t="s">
        <v>397</v>
      </c>
      <c r="F100" s="6" t="s">
        <v>398</v>
      </c>
      <c r="G100" s="9">
        <f>IF(A100=1,"_",IF(C100="_","???",C100))</f>
        <v/>
      </c>
      <c r="H100" s="10" t="s">
        <v>11</v>
      </c>
      <c r="I100" s="11" t="s">
        <v>11</v>
      </c>
      <c r="J100" s="12"/>
    </row>
    <row r="101" spans="1:10" ht="60" customHeight="1">
      <c r="A101" s="6" t="s">
        <v>399</v>
      </c>
      <c r="B101" s="6" t="s">
        <v>40</v>
      </c>
      <c r="C101" s="6" t="s">
        <v>11</v>
      </c>
      <c r="D101" s="7" t="s">
        <v>370</v>
      </c>
      <c r="E101" s="8" t="s">
        <v>400</v>
      </c>
      <c r="F101" s="6" t="s">
        <v>401</v>
      </c>
      <c r="G101" s="9">
        <f>IF(A101=1,"_",IF(C101="_","???",C101))</f>
        <v/>
      </c>
      <c r="H101" s="10" t="s">
        <v>11</v>
      </c>
      <c r="I101" s="11" t="s">
        <v>11</v>
      </c>
      <c r="J101" s="12"/>
    </row>
    <row r="102" spans="1:10" ht="60" customHeight="1">
      <c r="A102" s="6" t="s">
        <v>402</v>
      </c>
      <c r="B102" s="6" t="s">
        <v>16</v>
      </c>
      <c r="C102" s="6" t="s">
        <v>11</v>
      </c>
      <c r="D102" s="7" t="s">
        <v>403</v>
      </c>
      <c r="E102" s="8" t="s">
        <v>404</v>
      </c>
      <c r="F102" s="6" t="s">
        <v>405</v>
      </c>
      <c r="G102" s="9">
        <f>IF(A102=1,"_",IF(C102="_","???",C102))</f>
        <v/>
      </c>
      <c r="H102" s="10" t="s">
        <v>11</v>
      </c>
      <c r="I102" s="11" t="s">
        <v>11</v>
      </c>
      <c r="J102" s="12"/>
    </row>
    <row r="103" spans="1:10" ht="60" customHeight="1">
      <c r="A103" s="6" t="s">
        <v>406</v>
      </c>
      <c r="B103" s="6" t="s">
        <v>40</v>
      </c>
      <c r="C103" s="6" t="s">
        <v>11</v>
      </c>
      <c r="D103" s="7" t="s">
        <v>407</v>
      </c>
      <c r="E103" s="8" t="s">
        <v>408</v>
      </c>
      <c r="F103" s="6" t="s">
        <v>409</v>
      </c>
      <c r="G103" s="9">
        <f>IF(A103=1,"_",IF(C103="_","???",C103))</f>
        <v/>
      </c>
      <c r="H103" s="10" t="s">
        <v>11</v>
      </c>
      <c r="I103" s="11" t="s">
        <v>11</v>
      </c>
      <c r="J103" s="12"/>
    </row>
    <row r="104" spans="1:10" ht="60" customHeight="1">
      <c r="A104" s="6" t="s">
        <v>410</v>
      </c>
      <c r="B104" s="6" t="s">
        <v>24</v>
      </c>
      <c r="C104" s="6" t="s">
        <v>11</v>
      </c>
      <c r="D104" s="7" t="s">
        <v>411</v>
      </c>
      <c r="E104" s="8" t="s">
        <v>412</v>
      </c>
      <c r="F104" s="6" t="s">
        <v>413</v>
      </c>
      <c r="G104" s="9">
        <f>IF(A104=1,"_",IF(C104="_","???",C104))</f>
        <v/>
      </c>
      <c r="H104" s="10" t="s">
        <v>11</v>
      </c>
      <c r="I104" s="11" t="s">
        <v>11</v>
      </c>
      <c r="J104" s="12"/>
    </row>
    <row r="105" spans="1:10" ht="60" customHeight="1">
      <c r="A105" s="6" t="s">
        <v>414</v>
      </c>
      <c r="B105" s="6" t="s">
        <v>32</v>
      </c>
      <c r="C105" s="6" t="s">
        <v>11</v>
      </c>
      <c r="D105" s="7" t="s">
        <v>415</v>
      </c>
      <c r="E105" s="8" t="s">
        <v>416</v>
      </c>
      <c r="F105" s="6" t="s">
        <v>417</v>
      </c>
      <c r="G105" s="9">
        <f>IF(A105=1,"_",IF(C105="_","???",C105))</f>
        <v/>
      </c>
      <c r="H105" s="10" t="s">
        <v>11</v>
      </c>
      <c r="I105" s="11" t="s">
        <v>11</v>
      </c>
      <c r="J105" s="12"/>
    </row>
    <row r="106" spans="1:10" ht="60" customHeight="1">
      <c r="A106" s="6" t="s">
        <v>418</v>
      </c>
      <c r="B106" s="6" t="s">
        <v>15</v>
      </c>
      <c r="C106" s="6" t="s">
        <v>11</v>
      </c>
      <c r="D106" s="7" t="s">
        <v>419</v>
      </c>
      <c r="E106" s="8" t="s">
        <v>420</v>
      </c>
      <c r="F106" s="6" t="s">
        <v>421</v>
      </c>
      <c r="G106" s="9">
        <f>IF(A106=1,"_",IF(C106="_","???",C106))</f>
        <v/>
      </c>
      <c r="H106" s="10" t="s">
        <v>11</v>
      </c>
      <c r="I106" s="11" t="s">
        <v>11</v>
      </c>
      <c r="J106" s="12"/>
    </row>
    <row r="107" spans="1:10" ht="60" customHeight="1">
      <c r="A107" s="6" t="s">
        <v>422</v>
      </c>
      <c r="B107" s="6" t="s">
        <v>10</v>
      </c>
      <c r="C107" s="6" t="s">
        <v>11</v>
      </c>
      <c r="D107" s="7" t="s">
        <v>423</v>
      </c>
      <c r="E107" s="8" t="s">
        <v>424</v>
      </c>
      <c r="F107" s="6" t="s">
        <v>425</v>
      </c>
      <c r="G107" s="9">
        <f>IF(A107=1,"_",IF(C107="_","???",C107))</f>
        <v/>
      </c>
      <c r="H107" s="10" t="s">
        <v>11</v>
      </c>
      <c r="I107" s="11" t="s">
        <v>11</v>
      </c>
      <c r="J107" s="12"/>
    </row>
    <row r="108" spans="1:10" ht="60" customHeight="1">
      <c r="A108" s="6" t="s">
        <v>426</v>
      </c>
      <c r="B108" s="6" t="s">
        <v>15</v>
      </c>
      <c r="C108" s="6" t="s">
        <v>11</v>
      </c>
      <c r="D108" s="7" t="s">
        <v>427</v>
      </c>
      <c r="E108" s="8" t="s">
        <v>428</v>
      </c>
      <c r="F108" s="6" t="s">
        <v>429</v>
      </c>
      <c r="G108" s="9">
        <f>IF(A108=1,"_",IF(C108="_","???",C108))</f>
        <v/>
      </c>
      <c r="H108" s="10" t="s">
        <v>11</v>
      </c>
      <c r="I108" s="11" t="s">
        <v>11</v>
      </c>
      <c r="J108" s="12"/>
    </row>
    <row r="109" spans="1:10" ht="60" customHeight="1">
      <c r="A109" s="6" t="s">
        <v>430</v>
      </c>
      <c r="B109" s="6" t="s">
        <v>20</v>
      </c>
      <c r="C109" s="6" t="s">
        <v>11</v>
      </c>
      <c r="D109" s="7" t="s">
        <v>431</v>
      </c>
      <c r="E109" s="8" t="s">
        <v>432</v>
      </c>
      <c r="F109" s="6" t="s">
        <v>433</v>
      </c>
      <c r="G109" s="9">
        <f>IF(A109=1,"_",IF(C109="_","???",C109))</f>
        <v/>
      </c>
      <c r="H109" s="10" t="s">
        <v>11</v>
      </c>
      <c r="I109" s="11" t="s">
        <v>11</v>
      </c>
      <c r="J109" s="12"/>
    </row>
    <row r="110" spans="1:10" ht="60" customHeight="1">
      <c r="A110" s="6" t="s">
        <v>434</v>
      </c>
      <c r="B110" s="6" t="s">
        <v>28</v>
      </c>
      <c r="C110" s="6" t="s">
        <v>11</v>
      </c>
      <c r="D110" s="7" t="s">
        <v>435</v>
      </c>
      <c r="E110" s="8" t="s">
        <v>436</v>
      </c>
      <c r="F110" s="6" t="s">
        <v>437</v>
      </c>
      <c r="G110" s="9">
        <f>IF(A110=1,"_",IF(C110="_","???",C110))</f>
        <v/>
      </c>
      <c r="H110" s="10" t="s">
        <v>11</v>
      </c>
      <c r="I110" s="11" t="s">
        <v>11</v>
      </c>
      <c r="J110" s="12"/>
    </row>
    <row r="111" spans="1:10" ht="60" customHeight="1">
      <c r="A111" s="6" t="s">
        <v>438</v>
      </c>
      <c r="B111" s="6" t="s">
        <v>36</v>
      </c>
      <c r="C111" s="6" t="s">
        <v>11</v>
      </c>
      <c r="D111" s="7" t="s">
        <v>439</v>
      </c>
      <c r="E111" s="8" t="s">
        <v>440</v>
      </c>
      <c r="F111" s="6" t="s">
        <v>441</v>
      </c>
      <c r="G111" s="9">
        <f>IF(A111=1,"_",IF(C111="_","???",C111))</f>
        <v/>
      </c>
      <c r="H111" s="10" t="s">
        <v>11</v>
      </c>
      <c r="I111" s="11" t="s">
        <v>11</v>
      </c>
      <c r="J111" s="12"/>
    </row>
    <row r="112" spans="1:10" ht="60" customHeight="1">
      <c r="A112" s="6" t="s">
        <v>442</v>
      </c>
      <c r="B112" s="6" t="s">
        <v>15</v>
      </c>
      <c r="C112" s="6" t="s">
        <v>11</v>
      </c>
      <c r="D112" s="7" t="s">
        <v>443</v>
      </c>
      <c r="E112" s="8" t="s">
        <v>444</v>
      </c>
      <c r="F112" s="6" t="s">
        <v>445</v>
      </c>
      <c r="G112" s="9">
        <f>IF(A112=1,"_",IF(C112="_","???",C112))</f>
        <v/>
      </c>
      <c r="H112" s="10" t="s">
        <v>11</v>
      </c>
      <c r="I112" s="11" t="s">
        <v>11</v>
      </c>
      <c r="J112" s="12"/>
    </row>
    <row r="113" spans="1:10" ht="60" customHeight="1">
      <c r="A113" s="6" t="s">
        <v>446</v>
      </c>
      <c r="B113" s="6" t="s">
        <v>15</v>
      </c>
      <c r="C113" s="6" t="s">
        <v>11</v>
      </c>
      <c r="D113" s="7" t="s">
        <v>447</v>
      </c>
      <c r="E113" s="8" t="s">
        <v>448</v>
      </c>
      <c r="F113" s="6" t="s">
        <v>449</v>
      </c>
      <c r="G113" s="9">
        <f>IF(A113=1,"_",IF(C113="_","???",C113))</f>
        <v/>
      </c>
      <c r="H113" s="10" t="s">
        <v>11</v>
      </c>
      <c r="I113" s="11" t="s">
        <v>11</v>
      </c>
      <c r="J113" s="12"/>
    </row>
    <row r="114" spans="1:10" ht="60" customHeight="1">
      <c r="A114" s="6" t="s">
        <v>450</v>
      </c>
      <c r="B114" s="6" t="s">
        <v>32</v>
      </c>
      <c r="C114" s="6" t="s">
        <v>11</v>
      </c>
      <c r="D114" s="7" t="s">
        <v>451</v>
      </c>
      <c r="E114" s="8" t="s">
        <v>452</v>
      </c>
      <c r="F114" s="6" t="s">
        <v>453</v>
      </c>
      <c r="G114" s="9">
        <f>IF(A114=1,"_",IF(C114="_","???",C114))</f>
        <v/>
      </c>
      <c r="H114" s="10" t="s">
        <v>11</v>
      </c>
      <c r="I114" s="11" t="s">
        <v>11</v>
      </c>
      <c r="J114" s="12"/>
    </row>
    <row r="115" spans="1:10" ht="60" customHeight="1">
      <c r="A115" s="6" t="s">
        <v>454</v>
      </c>
      <c r="B115" s="6" t="s">
        <v>24</v>
      </c>
      <c r="C115" s="6" t="s">
        <v>11</v>
      </c>
      <c r="D115" s="7" t="s">
        <v>455</v>
      </c>
      <c r="E115" s="8" t="s">
        <v>456</v>
      </c>
      <c r="F115" s="6" t="s">
        <v>457</v>
      </c>
      <c r="G115" s="9">
        <f>IF(A115=1,"_",IF(C115="_","???",C115))</f>
        <v/>
      </c>
      <c r="H115" s="10" t="s">
        <v>11</v>
      </c>
      <c r="I115" s="11" t="s">
        <v>11</v>
      </c>
      <c r="J115" s="12"/>
    </row>
    <row r="116" spans="1:10" ht="60" customHeight="1">
      <c r="A116" s="6" t="s">
        <v>458</v>
      </c>
      <c r="B116" s="6" t="s">
        <v>15</v>
      </c>
      <c r="C116" s="6" t="s">
        <v>11</v>
      </c>
      <c r="D116" s="7" t="s">
        <v>68</v>
      </c>
      <c r="E116" s="8" t="s">
        <v>459</v>
      </c>
      <c r="F116" s="6" t="s">
        <v>460</v>
      </c>
      <c r="G116" s="9">
        <f>IF(A116=1,"_",IF(C116="_","???",C116))</f>
        <v/>
      </c>
      <c r="H116" s="10" t="s">
        <v>11</v>
      </c>
      <c r="I116" s="11" t="s">
        <v>11</v>
      </c>
      <c r="J116" s="12"/>
    </row>
    <row r="117" spans="1:10" ht="60" customHeight="1">
      <c r="A117" s="6" t="s">
        <v>461</v>
      </c>
      <c r="B117" s="6" t="s">
        <v>36</v>
      </c>
      <c r="C117" s="6" t="s">
        <v>11</v>
      </c>
      <c r="D117" s="7" t="s">
        <v>462</v>
      </c>
      <c r="E117" s="8" t="s">
        <v>463</v>
      </c>
      <c r="F117" s="6" t="s">
        <v>464</v>
      </c>
      <c r="G117" s="9">
        <f>IF(A117=1,"_",IF(C117="_","???",C117))</f>
        <v/>
      </c>
      <c r="H117" s="10" t="s">
        <v>11</v>
      </c>
      <c r="I117" s="11" t="s">
        <v>11</v>
      </c>
      <c r="J117" s="12"/>
    </row>
    <row r="118" spans="1:10" ht="60" customHeight="1">
      <c r="A118" s="6" t="s">
        <v>465</v>
      </c>
      <c r="B118" s="6" t="s">
        <v>15</v>
      </c>
      <c r="C118" s="6" t="s">
        <v>466</v>
      </c>
      <c r="D118" s="7" t="s">
        <v>467</v>
      </c>
      <c r="E118" s="8" t="s">
        <v>468</v>
      </c>
      <c r="F118" s="6" t="s">
        <v>469</v>
      </c>
      <c r="G118" s="9">
        <f>IF(A118=1,"_",IF(C118="_","???",C118))</f>
        <v/>
      </c>
      <c r="H118" s="10" t="s">
        <v>11</v>
      </c>
      <c r="I118" s="11" t="s">
        <v>11</v>
      </c>
      <c r="J118" s="12"/>
    </row>
    <row r="119" spans="1:10" ht="60" customHeight="1">
      <c r="A119" s="6" t="s">
        <v>470</v>
      </c>
      <c r="B119" s="6" t="s">
        <v>24</v>
      </c>
      <c r="C119" s="6" t="s">
        <v>11</v>
      </c>
      <c r="D119" s="7" t="s">
        <v>471</v>
      </c>
      <c r="E119" s="8" t="s">
        <v>472</v>
      </c>
      <c r="F119" s="6" t="s">
        <v>473</v>
      </c>
      <c r="G119" s="9">
        <f>IF(A119=1,"_",IF(C119="_","???",C119))</f>
        <v/>
      </c>
      <c r="H119" s="10" t="s">
        <v>11</v>
      </c>
      <c r="I119" s="11" t="s">
        <v>11</v>
      </c>
      <c r="J119" s="12"/>
    </row>
    <row r="120" spans="1:10" ht="60" customHeight="1">
      <c r="A120" s="6" t="s">
        <v>474</v>
      </c>
      <c r="B120" s="6" t="s">
        <v>16</v>
      </c>
      <c r="C120" s="6" t="s">
        <v>11</v>
      </c>
      <c r="D120" s="7" t="s">
        <v>475</v>
      </c>
      <c r="E120" s="8" t="s">
        <v>476</v>
      </c>
      <c r="F120" s="6" t="s">
        <v>477</v>
      </c>
      <c r="G120" s="9">
        <f>IF(A120=1,"_",IF(C120="_","???",C120))</f>
        <v/>
      </c>
      <c r="H120" s="10" t="s">
        <v>11</v>
      </c>
      <c r="I120" s="11" t="s">
        <v>11</v>
      </c>
      <c r="J120" s="12"/>
    </row>
    <row r="121" spans="1:10" ht="60" customHeight="1">
      <c r="A121" s="6" t="s">
        <v>478</v>
      </c>
      <c r="B121" s="6" t="s">
        <v>15</v>
      </c>
      <c r="C121" s="6" t="s">
        <v>11</v>
      </c>
      <c r="D121" s="7" t="s">
        <v>479</v>
      </c>
      <c r="E121" s="8" t="s">
        <v>480</v>
      </c>
      <c r="F121" s="6" t="s">
        <v>481</v>
      </c>
      <c r="G121" s="9">
        <f>IF(A121=1,"_",IF(C121="_","???",C121))</f>
        <v/>
      </c>
      <c r="H121" s="10" t="s">
        <v>11</v>
      </c>
      <c r="I121" s="11" t="s">
        <v>11</v>
      </c>
      <c r="J121" s="12"/>
    </row>
    <row r="122" spans="1:10" ht="60" customHeight="1">
      <c r="A122" s="6" t="s">
        <v>482</v>
      </c>
      <c r="B122" s="6" t="s">
        <v>15</v>
      </c>
      <c r="C122" s="6" t="s">
        <v>11</v>
      </c>
      <c r="D122" s="7" t="s">
        <v>483</v>
      </c>
      <c r="E122" s="8" t="s">
        <v>484</v>
      </c>
      <c r="F122" s="6" t="s">
        <v>485</v>
      </c>
      <c r="G122" s="9">
        <f>IF(A122=1,"_",IF(C122="_","???",C122))</f>
        <v/>
      </c>
      <c r="H122" s="10" t="s">
        <v>11</v>
      </c>
      <c r="I122" s="11" t="s">
        <v>11</v>
      </c>
      <c r="J122" s="12"/>
    </row>
    <row r="123" spans="1:10" ht="60" customHeight="1">
      <c r="A123" s="6" t="s">
        <v>486</v>
      </c>
      <c r="B123" s="6" t="s">
        <v>16</v>
      </c>
      <c r="C123" s="6" t="s">
        <v>11</v>
      </c>
      <c r="D123" s="7" t="s">
        <v>487</v>
      </c>
      <c r="E123" s="8" t="s">
        <v>488</v>
      </c>
      <c r="F123" s="6" t="s">
        <v>489</v>
      </c>
      <c r="G123" s="9">
        <f>IF(A123=1,"_",IF(C123="_","???",C123))</f>
        <v/>
      </c>
      <c r="H123" s="10" t="s">
        <v>11</v>
      </c>
      <c r="I123" s="11" t="s">
        <v>11</v>
      </c>
      <c r="J123" s="12"/>
    </row>
    <row r="124" spans="1:10" ht="60" customHeight="1">
      <c r="A124" s="6" t="s">
        <v>490</v>
      </c>
      <c r="B124" s="6" t="s">
        <v>15</v>
      </c>
      <c r="C124" s="6" t="s">
        <v>11</v>
      </c>
      <c r="D124" s="7" t="s">
        <v>491</v>
      </c>
      <c r="E124" s="8" t="s">
        <v>492</v>
      </c>
      <c r="F124" s="6" t="s">
        <v>493</v>
      </c>
      <c r="G124" s="9">
        <f>IF(A124=1,"_",IF(C124="_","???",C124))</f>
        <v/>
      </c>
      <c r="H124" s="10" t="s">
        <v>11</v>
      </c>
      <c r="I124" s="11" t="s">
        <v>11</v>
      </c>
      <c r="J124" s="12"/>
    </row>
    <row r="125" spans="1:10" ht="60" customHeight="1">
      <c r="A125" s="6" t="s">
        <v>494</v>
      </c>
      <c r="B125" s="6" t="s">
        <v>15</v>
      </c>
      <c r="C125" s="6" t="s">
        <v>11</v>
      </c>
      <c r="D125" s="7" t="s">
        <v>495</v>
      </c>
      <c r="E125" s="8" t="s">
        <v>496</v>
      </c>
      <c r="F125" s="6" t="s">
        <v>497</v>
      </c>
      <c r="G125" s="9">
        <f>IF(A125=1,"_",IF(C125="_","???",C125))</f>
        <v/>
      </c>
      <c r="H125" s="10" t="s">
        <v>11</v>
      </c>
      <c r="I125" s="11" t="s">
        <v>11</v>
      </c>
      <c r="J125" s="12"/>
    </row>
    <row r="126" spans="1:10" ht="60" customHeight="1">
      <c r="A126" s="6" t="s">
        <v>498</v>
      </c>
      <c r="B126" s="6" t="s">
        <v>16</v>
      </c>
      <c r="C126" s="6" t="s">
        <v>11</v>
      </c>
      <c r="D126" s="7" t="s">
        <v>499</v>
      </c>
      <c r="E126" s="8" t="s">
        <v>500</v>
      </c>
      <c r="F126" s="6" t="s">
        <v>501</v>
      </c>
      <c r="G126" s="9">
        <f>IF(A126=1,"_",IF(C126="_","???",C126))</f>
        <v/>
      </c>
      <c r="H126" s="10" t="s">
        <v>11</v>
      </c>
      <c r="I126" s="11" t="s">
        <v>11</v>
      </c>
      <c r="J126" s="12"/>
    </row>
    <row r="127" spans="1:10" ht="60" customHeight="1">
      <c r="A127" s="6" t="s">
        <v>502</v>
      </c>
      <c r="B127" s="6" t="s">
        <v>15</v>
      </c>
      <c r="C127" s="6" t="s">
        <v>11</v>
      </c>
      <c r="D127" s="7" t="s">
        <v>503</v>
      </c>
      <c r="E127" s="8" t="s">
        <v>504</v>
      </c>
      <c r="F127" s="6" t="s">
        <v>505</v>
      </c>
      <c r="G127" s="9">
        <f>IF(A127=1,"_",IF(C127="_","???",C127))</f>
        <v/>
      </c>
      <c r="H127" s="10" t="s">
        <v>11</v>
      </c>
      <c r="I127" s="11" t="s">
        <v>11</v>
      </c>
      <c r="J127" s="12"/>
    </row>
    <row r="128" spans="1:10" ht="60" customHeight="1">
      <c r="A128" s="6" t="s">
        <v>506</v>
      </c>
      <c r="B128" s="6" t="s">
        <v>36</v>
      </c>
      <c r="C128" s="6" t="s">
        <v>11</v>
      </c>
      <c r="D128" s="7" t="s">
        <v>507</v>
      </c>
      <c r="E128" s="8" t="s">
        <v>508</v>
      </c>
      <c r="F128" s="6" t="s">
        <v>509</v>
      </c>
      <c r="G128" s="9">
        <f>IF(A128=1,"_",IF(C128="_","???",C128))</f>
        <v/>
      </c>
      <c r="H128" s="10" t="s">
        <v>11</v>
      </c>
      <c r="I128" s="11" t="s">
        <v>11</v>
      </c>
      <c r="J128" s="12"/>
    </row>
    <row r="129" spans="1:10" ht="60" customHeight="1">
      <c r="A129" s="6" t="s">
        <v>510</v>
      </c>
      <c r="B129" s="6" t="s">
        <v>15</v>
      </c>
      <c r="C129" s="6" t="s">
        <v>11</v>
      </c>
      <c r="D129" s="7" t="s">
        <v>511</v>
      </c>
      <c r="E129" s="8" t="s">
        <v>512</v>
      </c>
      <c r="F129" s="6" t="s">
        <v>513</v>
      </c>
      <c r="G129" s="9">
        <f>IF(A129=1,"_",IF(C129="_","???",C129))</f>
        <v/>
      </c>
      <c r="H129" s="10" t="s">
        <v>11</v>
      </c>
      <c r="I129" s="11" t="s">
        <v>11</v>
      </c>
      <c r="J129" s="12"/>
    </row>
    <row r="130" spans="1:10" ht="60" customHeight="1">
      <c r="A130" s="6" t="s">
        <v>514</v>
      </c>
      <c r="B130" s="6" t="s">
        <v>32</v>
      </c>
      <c r="C130" s="6" t="s">
        <v>11</v>
      </c>
      <c r="D130" s="7" t="s">
        <v>515</v>
      </c>
      <c r="E130" s="8" t="s">
        <v>516</v>
      </c>
      <c r="F130" s="6" t="s">
        <v>517</v>
      </c>
      <c r="G130" s="9">
        <f>IF(A130=1,"_",IF(C130="_","???",C130))</f>
        <v/>
      </c>
      <c r="H130" s="10" t="s">
        <v>11</v>
      </c>
      <c r="I130" s="11" t="s">
        <v>11</v>
      </c>
      <c r="J130" s="12"/>
    </row>
    <row r="131" spans="1:10" ht="60" customHeight="1">
      <c r="A131" s="6" t="s">
        <v>518</v>
      </c>
      <c r="B131" s="6" t="s">
        <v>24</v>
      </c>
      <c r="C131" s="6" t="s">
        <v>11</v>
      </c>
      <c r="D131" s="7" t="s">
        <v>519</v>
      </c>
      <c r="E131" s="8" t="s">
        <v>520</v>
      </c>
      <c r="F131" s="6" t="s">
        <v>521</v>
      </c>
      <c r="G131" s="9">
        <f>IF(A131=1,"_",IF(C131="_","???",C131))</f>
        <v/>
      </c>
      <c r="H131" s="10" t="s">
        <v>11</v>
      </c>
      <c r="I131" s="11" t="s">
        <v>11</v>
      </c>
      <c r="J131" s="12"/>
    </row>
    <row r="132" spans="1:10" ht="60" customHeight="1">
      <c r="A132" s="6" t="s">
        <v>522</v>
      </c>
      <c r="B132" s="6" t="s">
        <v>10</v>
      </c>
      <c r="C132" s="6" t="s">
        <v>11</v>
      </c>
      <c r="D132" s="7" t="s">
        <v>135</v>
      </c>
      <c r="E132" s="8" t="s">
        <v>523</v>
      </c>
      <c r="F132" s="6" t="s">
        <v>524</v>
      </c>
      <c r="G132" s="9">
        <f>IF(A132=1,"_",IF(C132="_","???",C132))</f>
        <v/>
      </c>
      <c r="H132" s="10" t="s">
        <v>11</v>
      </c>
      <c r="I132" s="11" t="s">
        <v>11</v>
      </c>
      <c r="J132" s="12"/>
    </row>
    <row r="133" spans="1:10" ht="60" customHeight="1">
      <c r="A133" s="6" t="s">
        <v>525</v>
      </c>
      <c r="B133" s="6" t="s">
        <v>32</v>
      </c>
      <c r="C133" s="6" t="s">
        <v>11</v>
      </c>
      <c r="D133" s="7" t="s">
        <v>519</v>
      </c>
      <c r="E133" s="8" t="s">
        <v>526</v>
      </c>
      <c r="F133" s="6" t="s">
        <v>527</v>
      </c>
      <c r="G133" s="9">
        <f>IF(A133=1,"_",IF(C133="_","???",C133))</f>
        <v/>
      </c>
      <c r="H133" s="10" t="s">
        <v>11</v>
      </c>
      <c r="I133" s="11" t="s">
        <v>11</v>
      </c>
      <c r="J133" s="12"/>
    </row>
    <row r="134" spans="1:10" ht="60" customHeight="1">
      <c r="A134" s="6" t="s">
        <v>528</v>
      </c>
      <c r="B134" s="6" t="s">
        <v>41</v>
      </c>
      <c r="C134" s="6" t="s">
        <v>11</v>
      </c>
      <c r="D134" s="7" t="s">
        <v>529</v>
      </c>
      <c r="E134" s="8" t="s">
        <v>530</v>
      </c>
      <c r="F134" s="6" t="s">
        <v>531</v>
      </c>
      <c r="G134" s="9">
        <f>IF(A134=1,"_",IF(C134="_","???",C134))</f>
        <v/>
      </c>
      <c r="H134" s="10" t="s">
        <v>11</v>
      </c>
      <c r="I134" s="11" t="s">
        <v>11</v>
      </c>
      <c r="J134" s="12"/>
    </row>
    <row r="135" spans="1:10" ht="60" customHeight="1">
      <c r="A135" s="6" t="s">
        <v>532</v>
      </c>
      <c r="B135" s="6" t="s">
        <v>40</v>
      </c>
      <c r="C135" s="6" t="s">
        <v>11</v>
      </c>
      <c r="D135" s="7" t="s">
        <v>439</v>
      </c>
      <c r="E135" s="8" t="s">
        <v>533</v>
      </c>
      <c r="F135" s="6" t="s">
        <v>534</v>
      </c>
      <c r="G135" s="9">
        <f>IF(A135=1,"_",IF(C135="_","???",C135))</f>
        <v/>
      </c>
      <c r="H135" s="10" t="s">
        <v>11</v>
      </c>
      <c r="I135" s="11" t="s">
        <v>11</v>
      </c>
      <c r="J135" s="12"/>
    </row>
    <row r="136" spans="1:10" ht="60" customHeight="1">
      <c r="A136" s="6" t="s">
        <v>535</v>
      </c>
      <c r="B136" s="6" t="s">
        <v>15</v>
      </c>
      <c r="C136" s="6" t="s">
        <v>11</v>
      </c>
      <c r="D136" s="7" t="s">
        <v>536</v>
      </c>
      <c r="E136" s="8" t="s">
        <v>537</v>
      </c>
      <c r="F136" s="6" t="s">
        <v>538</v>
      </c>
      <c r="G136" s="9">
        <f>IF(A136=1,"_",IF(C136="_","???",C136))</f>
        <v/>
      </c>
      <c r="H136" s="10" t="s">
        <v>11</v>
      </c>
      <c r="I136" s="11" t="s">
        <v>11</v>
      </c>
      <c r="J136" s="12"/>
    </row>
    <row r="137" spans="1:10" ht="60" customHeight="1">
      <c r="A137" s="6" t="s">
        <v>539</v>
      </c>
      <c r="B137" s="6" t="s">
        <v>63</v>
      </c>
      <c r="C137" s="6" t="s">
        <v>11</v>
      </c>
      <c r="D137" s="7" t="s">
        <v>540</v>
      </c>
      <c r="E137" s="8" t="s">
        <v>541</v>
      </c>
      <c r="F137" s="6" t="s">
        <v>542</v>
      </c>
      <c r="G137" s="9">
        <f>IF(A137=1,"_",IF(C137="_","???",C137))</f>
        <v/>
      </c>
      <c r="H137" s="10" t="s">
        <v>11</v>
      </c>
      <c r="I137" s="11" t="s">
        <v>11</v>
      </c>
      <c r="J137" s="12"/>
    </row>
    <row r="138" spans="1:10" ht="60" customHeight="1">
      <c r="A138" s="6" t="s">
        <v>543</v>
      </c>
      <c r="B138" s="6" t="s">
        <v>15</v>
      </c>
      <c r="C138" s="6" t="s">
        <v>11</v>
      </c>
      <c r="D138" s="7" t="s">
        <v>544</v>
      </c>
      <c r="E138" s="8" t="s">
        <v>545</v>
      </c>
      <c r="F138" s="6" t="s">
        <v>546</v>
      </c>
      <c r="G138" s="9">
        <f>IF(A138=1,"_",IF(C138="_","???",C138))</f>
        <v/>
      </c>
      <c r="H138" s="10" t="s">
        <v>11</v>
      </c>
      <c r="I138" s="11" t="s">
        <v>11</v>
      </c>
      <c r="J138" s="12"/>
    </row>
    <row r="139" spans="1:10" ht="60" customHeight="1">
      <c r="A139" s="6" t="s">
        <v>547</v>
      </c>
      <c r="B139" s="6" t="s">
        <v>15</v>
      </c>
      <c r="C139" s="6" t="s">
        <v>11</v>
      </c>
      <c r="D139" s="7" t="s">
        <v>548</v>
      </c>
      <c r="E139" s="8" t="s">
        <v>549</v>
      </c>
      <c r="F139" s="6" t="s">
        <v>550</v>
      </c>
      <c r="G139" s="9">
        <f>IF(A139=1,"_",IF(C139="_","???",C139))</f>
        <v/>
      </c>
      <c r="H139" s="10" t="s">
        <v>11</v>
      </c>
      <c r="I139" s="11" t="s">
        <v>11</v>
      </c>
      <c r="J139" s="12"/>
    </row>
    <row r="140" spans="1:10" ht="60" customHeight="1">
      <c r="A140" s="6" t="s">
        <v>551</v>
      </c>
      <c r="B140" s="6" t="s">
        <v>36</v>
      </c>
      <c r="C140" s="6" t="s">
        <v>11</v>
      </c>
      <c r="D140" s="7" t="s">
        <v>552</v>
      </c>
      <c r="E140" s="8" t="s">
        <v>553</v>
      </c>
      <c r="F140" s="6" t="s">
        <v>554</v>
      </c>
      <c r="G140" s="9">
        <f>IF(A140=1,"_",IF(C140="_","???",C140))</f>
        <v/>
      </c>
      <c r="H140" s="10" t="s">
        <v>11</v>
      </c>
      <c r="I140" s="11" t="s">
        <v>11</v>
      </c>
      <c r="J140" s="12"/>
    </row>
    <row r="141" spans="1:10" ht="60" customHeight="1">
      <c r="A141" s="6" t="s">
        <v>555</v>
      </c>
      <c r="B141" s="6" t="s">
        <v>16</v>
      </c>
      <c r="C141" s="6" t="s">
        <v>11</v>
      </c>
      <c r="D141" s="7" t="s">
        <v>556</v>
      </c>
      <c r="E141" s="8" t="s">
        <v>557</v>
      </c>
      <c r="F141" s="6" t="s">
        <v>558</v>
      </c>
      <c r="G141" s="9">
        <f>IF(A141=1,"_",IF(C141="_","???",C141))</f>
        <v/>
      </c>
      <c r="H141" s="10" t="s">
        <v>11</v>
      </c>
      <c r="I141" s="11" t="s">
        <v>11</v>
      </c>
      <c r="J141" s="12"/>
    </row>
    <row r="142" spans="1:10" ht="60" customHeight="1">
      <c r="A142" s="6" t="s">
        <v>559</v>
      </c>
      <c r="B142" s="6" t="s">
        <v>10</v>
      </c>
      <c r="C142" s="6" t="s">
        <v>11</v>
      </c>
      <c r="D142" s="7" t="s">
        <v>560</v>
      </c>
      <c r="E142" s="8" t="s">
        <v>561</v>
      </c>
      <c r="F142" s="6" t="s">
        <v>562</v>
      </c>
      <c r="G142" s="9">
        <f>IF(A142=1,"_",IF(C142="_","???",C142))</f>
        <v/>
      </c>
      <c r="H142" s="10" t="s">
        <v>11</v>
      </c>
      <c r="I142" s="11" t="s">
        <v>11</v>
      </c>
      <c r="J142" s="12"/>
    </row>
    <row r="143" spans="1:10" ht="60" customHeight="1">
      <c r="A143" s="6" t="s">
        <v>563</v>
      </c>
      <c r="B143" s="6" t="s">
        <v>15</v>
      </c>
      <c r="C143" s="6" t="s">
        <v>11</v>
      </c>
      <c r="D143" s="7" t="s">
        <v>564</v>
      </c>
      <c r="E143" s="8" t="s">
        <v>565</v>
      </c>
      <c r="F143" s="6" t="s">
        <v>566</v>
      </c>
      <c r="G143" s="9">
        <f>IF(A143=1,"_",IF(C143="_","???",C143))</f>
        <v/>
      </c>
      <c r="H143" s="10" t="s">
        <v>11</v>
      </c>
      <c r="I143" s="11" t="s">
        <v>11</v>
      </c>
      <c r="J143" s="12"/>
    </row>
    <row r="144" spans="1:10" ht="60" customHeight="1">
      <c r="A144" s="6" t="s">
        <v>567</v>
      </c>
      <c r="B144" s="6" t="s">
        <v>28</v>
      </c>
      <c r="C144" s="6" t="s">
        <v>11</v>
      </c>
      <c r="D144" s="7" t="s">
        <v>568</v>
      </c>
      <c r="E144" s="8" t="s">
        <v>569</v>
      </c>
      <c r="F144" s="6" t="s">
        <v>570</v>
      </c>
      <c r="G144" s="9">
        <f>IF(A144=1,"_",IF(C144="_","???",C144))</f>
        <v/>
      </c>
      <c r="H144" s="10" t="s">
        <v>11</v>
      </c>
      <c r="I144" s="11" t="s">
        <v>11</v>
      </c>
      <c r="J144" s="12"/>
    </row>
    <row r="145" spans="1:10" ht="60" customHeight="1">
      <c r="A145" s="6" t="s">
        <v>571</v>
      </c>
      <c r="B145" s="6" t="s">
        <v>16</v>
      </c>
      <c r="C145" s="6" t="s">
        <v>11</v>
      </c>
      <c r="D145" s="7" t="s">
        <v>572</v>
      </c>
      <c r="E145" s="8" t="s">
        <v>573</v>
      </c>
      <c r="F145" s="6" t="s">
        <v>574</v>
      </c>
      <c r="G145" s="9">
        <f>IF(A145=1,"_",IF(C145="_","???",C145))</f>
        <v/>
      </c>
      <c r="H145" s="10" t="s">
        <v>11</v>
      </c>
      <c r="I145" s="11" t="s">
        <v>11</v>
      </c>
      <c r="J145" s="12"/>
    </row>
    <row r="146" spans="1:10" ht="60" customHeight="1">
      <c r="A146" s="6" t="s">
        <v>575</v>
      </c>
      <c r="B146" s="6" t="s">
        <v>15</v>
      </c>
      <c r="C146" s="6" t="s">
        <v>11</v>
      </c>
      <c r="D146" s="7" t="s">
        <v>576</v>
      </c>
      <c r="E146" s="8" t="s">
        <v>577</v>
      </c>
      <c r="F146" s="6" t="s">
        <v>578</v>
      </c>
      <c r="G146" s="9">
        <f>IF(A146=1,"_",IF(C146="_","???",C146))</f>
        <v/>
      </c>
      <c r="H146" s="10" t="s">
        <v>11</v>
      </c>
      <c r="I146" s="11" t="s">
        <v>11</v>
      </c>
      <c r="J146" s="12"/>
    </row>
    <row r="147" spans="1:10" ht="60" customHeight="1">
      <c r="A147" s="6" t="s">
        <v>579</v>
      </c>
      <c r="B147" s="6" t="s">
        <v>24</v>
      </c>
      <c r="C147" s="6" t="s">
        <v>11</v>
      </c>
      <c r="D147" s="7" t="s">
        <v>439</v>
      </c>
      <c r="E147" s="8" t="s">
        <v>580</v>
      </c>
      <c r="F147" s="6" t="s">
        <v>581</v>
      </c>
      <c r="G147" s="9">
        <f>IF(A147=1,"_",IF(C147="_","???",C147))</f>
        <v/>
      </c>
      <c r="H147" s="10" t="s">
        <v>11</v>
      </c>
      <c r="I147" s="11" t="s">
        <v>11</v>
      </c>
      <c r="J147" s="12"/>
    </row>
    <row r="148" spans="1:10" ht="60" customHeight="1">
      <c r="A148" s="6" t="s">
        <v>582</v>
      </c>
      <c r="B148" s="6" t="s">
        <v>15</v>
      </c>
      <c r="C148" s="6" t="s">
        <v>11</v>
      </c>
      <c r="D148" s="7" t="s">
        <v>583</v>
      </c>
      <c r="E148" s="8" t="s">
        <v>584</v>
      </c>
      <c r="F148" s="6" t="s">
        <v>585</v>
      </c>
      <c r="G148" s="9">
        <f>IF(A148=1,"_",IF(C148="_","???",C148))</f>
        <v/>
      </c>
      <c r="H148" s="10" t="s">
        <v>11</v>
      </c>
      <c r="I148" s="11" t="s">
        <v>11</v>
      </c>
      <c r="J148" s="12"/>
    </row>
    <row r="149" spans="1:10" ht="60" customHeight="1">
      <c r="A149" s="6" t="s">
        <v>586</v>
      </c>
      <c r="B149" s="6" t="s">
        <v>15</v>
      </c>
      <c r="C149" s="6" t="s">
        <v>11</v>
      </c>
      <c r="D149" s="7" t="s">
        <v>396</v>
      </c>
      <c r="E149" s="8" t="s">
        <v>587</v>
      </c>
      <c r="F149" s="6" t="s">
        <v>588</v>
      </c>
      <c r="G149" s="9">
        <f>IF(A149=1,"_",IF(C149="_","???",C149))</f>
        <v/>
      </c>
      <c r="H149" s="10" t="s">
        <v>11</v>
      </c>
      <c r="I149" s="11" t="s">
        <v>11</v>
      </c>
      <c r="J149" s="12"/>
    </row>
    <row r="150" spans="1:10" ht="60" customHeight="1">
      <c r="A150" s="6" t="s">
        <v>589</v>
      </c>
      <c r="B150" s="6" t="s">
        <v>32</v>
      </c>
      <c r="C150" s="6" t="s">
        <v>11</v>
      </c>
      <c r="D150" s="7" t="s">
        <v>590</v>
      </c>
      <c r="E150" s="8" t="s">
        <v>591</v>
      </c>
      <c r="F150" s="6" t="s">
        <v>592</v>
      </c>
      <c r="G150" s="9">
        <f>IF(A150=1,"_",IF(C150="_","???",C150))</f>
        <v/>
      </c>
      <c r="H150" s="10" t="s">
        <v>11</v>
      </c>
      <c r="I150" s="11" t="s">
        <v>11</v>
      </c>
      <c r="J150" s="12"/>
    </row>
    <row r="151" spans="1:10" ht="60" customHeight="1">
      <c r="A151" s="6" t="s">
        <v>593</v>
      </c>
      <c r="B151" s="6" t="s">
        <v>24</v>
      </c>
      <c r="C151" s="6" t="s">
        <v>11</v>
      </c>
      <c r="D151" s="7" t="s">
        <v>594</v>
      </c>
      <c r="E151" s="8" t="s">
        <v>595</v>
      </c>
      <c r="F151" s="6" t="s">
        <v>596</v>
      </c>
      <c r="G151" s="9">
        <f>IF(A151=1,"_",IF(C151="_","???",C151))</f>
        <v/>
      </c>
      <c r="H151" s="10" t="s">
        <v>11</v>
      </c>
      <c r="I151" s="11" t="s">
        <v>11</v>
      </c>
      <c r="J151" s="12"/>
    </row>
    <row r="152" spans="1:10" ht="60" customHeight="1">
      <c r="A152" s="6" t="s">
        <v>597</v>
      </c>
      <c r="B152" s="6" t="s">
        <v>16</v>
      </c>
      <c r="C152" s="6" t="s">
        <v>598</v>
      </c>
      <c r="D152" s="7" t="s">
        <v>599</v>
      </c>
      <c r="E152" s="8" t="s">
        <v>600</v>
      </c>
      <c r="F152" s="6" t="s">
        <v>601</v>
      </c>
      <c r="G152" s="9">
        <f>IF(A152=1,"_",IF(C152="_","???",C152))</f>
        <v/>
      </c>
      <c r="H152" s="10" t="s">
        <v>11</v>
      </c>
      <c r="I152" s="11" t="s">
        <v>11</v>
      </c>
      <c r="J152" s="12"/>
    </row>
    <row r="153" spans="1:10" ht="60" customHeight="1">
      <c r="A153" s="6" t="s">
        <v>602</v>
      </c>
      <c r="B153" s="6" t="s">
        <v>15</v>
      </c>
      <c r="C153" s="6" t="s">
        <v>11</v>
      </c>
      <c r="D153" s="7" t="s">
        <v>603</v>
      </c>
      <c r="E153" s="8" t="s">
        <v>604</v>
      </c>
      <c r="F153" s="6" t="s">
        <v>605</v>
      </c>
      <c r="G153" s="9">
        <f>IF(A153=1,"_",IF(C153="_","???",C153))</f>
        <v/>
      </c>
      <c r="H153" s="10" t="s">
        <v>11</v>
      </c>
      <c r="I153" s="11" t="s">
        <v>11</v>
      </c>
      <c r="J153" s="12"/>
    </row>
    <row r="154" spans="1:10" ht="60" customHeight="1">
      <c r="A154" s="6" t="s">
        <v>606</v>
      </c>
      <c r="B154" s="6" t="s">
        <v>15</v>
      </c>
      <c r="C154" s="6" t="s">
        <v>11</v>
      </c>
      <c r="D154" s="7" t="s">
        <v>607</v>
      </c>
      <c r="E154" s="8" t="s">
        <v>608</v>
      </c>
      <c r="F154" s="6" t="s">
        <v>609</v>
      </c>
      <c r="G154" s="9">
        <f>IF(A154=1,"_",IF(C154="_","???",C154))</f>
        <v/>
      </c>
      <c r="H154" s="10" t="s">
        <v>11</v>
      </c>
      <c r="I154" s="11" t="s">
        <v>11</v>
      </c>
      <c r="J154" s="12"/>
    </row>
    <row r="155" spans="1:10" ht="60" customHeight="1">
      <c r="A155" s="6" t="s">
        <v>610</v>
      </c>
      <c r="B155" s="6" t="s">
        <v>15</v>
      </c>
      <c r="C155" s="6" t="s">
        <v>11</v>
      </c>
      <c r="D155" s="7" t="s">
        <v>611</v>
      </c>
      <c r="E155" s="8" t="s">
        <v>612</v>
      </c>
      <c r="F155" s="6" t="s">
        <v>613</v>
      </c>
      <c r="G155" s="9">
        <f>IF(A155=1,"_",IF(C155="_","???",C155))</f>
        <v/>
      </c>
      <c r="H155" s="10" t="s">
        <v>11</v>
      </c>
      <c r="I155" s="11" t="s">
        <v>11</v>
      </c>
      <c r="J155" s="12"/>
    </row>
    <row r="156" spans="1:10" ht="60" customHeight="1">
      <c r="A156" s="6" t="s">
        <v>614</v>
      </c>
      <c r="B156" s="6" t="s">
        <v>15</v>
      </c>
      <c r="C156" s="6" t="s">
        <v>11</v>
      </c>
      <c r="D156" s="7" t="s">
        <v>615</v>
      </c>
      <c r="E156" s="8" t="s">
        <v>616</v>
      </c>
      <c r="F156" s="6" t="s">
        <v>617</v>
      </c>
      <c r="G156" s="9">
        <f>IF(A156=1,"_",IF(C156="_","???",C156))</f>
        <v/>
      </c>
      <c r="H156" s="10" t="s">
        <v>11</v>
      </c>
      <c r="I156" s="11" t="s">
        <v>11</v>
      </c>
      <c r="J156" s="12"/>
    </row>
    <row r="157" spans="1:10" ht="60" customHeight="1">
      <c r="A157" s="6" t="s">
        <v>618</v>
      </c>
      <c r="B157" s="6" t="s">
        <v>28</v>
      </c>
      <c r="C157" s="6" t="s">
        <v>11</v>
      </c>
      <c r="D157" s="7" t="s">
        <v>619</v>
      </c>
      <c r="E157" s="8" t="s">
        <v>620</v>
      </c>
      <c r="F157" s="6" t="s">
        <v>621</v>
      </c>
      <c r="G157" s="9">
        <f>IF(A157=1,"_",IF(C157="_","???",C157))</f>
        <v/>
      </c>
      <c r="H157" s="10" t="s">
        <v>11</v>
      </c>
      <c r="I157" s="11" t="s">
        <v>11</v>
      </c>
      <c r="J157" s="12"/>
    </row>
    <row r="158" spans="1:10" ht="60" customHeight="1">
      <c r="A158" s="6" t="s">
        <v>622</v>
      </c>
      <c r="B158" s="6" t="s">
        <v>15</v>
      </c>
      <c r="C158" s="6" t="s">
        <v>11</v>
      </c>
      <c r="D158" s="7" t="s">
        <v>107</v>
      </c>
      <c r="E158" s="8" t="s">
        <v>623</v>
      </c>
      <c r="F158" s="6" t="s">
        <v>624</v>
      </c>
      <c r="G158" s="9">
        <f>IF(A158=1,"_",IF(C158="_","???",C158))</f>
        <v/>
      </c>
      <c r="H158" s="10" t="s">
        <v>11</v>
      </c>
      <c r="I158" s="11" t="s">
        <v>11</v>
      </c>
      <c r="J158" s="12"/>
    </row>
    <row r="159" spans="1:10" ht="60" customHeight="1">
      <c r="A159" s="6" t="s">
        <v>625</v>
      </c>
      <c r="B159" s="6" t="s">
        <v>16</v>
      </c>
      <c r="C159" s="6" t="s">
        <v>11</v>
      </c>
      <c r="D159" s="7" t="s">
        <v>626</v>
      </c>
      <c r="E159" s="8" t="s">
        <v>627</v>
      </c>
      <c r="F159" s="6" t="s">
        <v>628</v>
      </c>
      <c r="G159" s="9">
        <f>IF(A159=1,"_",IF(C159="_","???",C159))</f>
        <v/>
      </c>
      <c r="H159" s="10" t="s">
        <v>11</v>
      </c>
      <c r="I159" s="11" t="s">
        <v>11</v>
      </c>
      <c r="J159" s="12"/>
    </row>
    <row r="160" spans="1:10" ht="60" customHeight="1">
      <c r="A160" s="6" t="s">
        <v>629</v>
      </c>
      <c r="B160" s="6" t="s">
        <v>24</v>
      </c>
      <c r="C160" s="6" t="s">
        <v>11</v>
      </c>
      <c r="D160" s="7" t="s">
        <v>630</v>
      </c>
      <c r="E160" s="8" t="s">
        <v>631</v>
      </c>
      <c r="F160" s="6" t="s">
        <v>632</v>
      </c>
      <c r="G160" s="9">
        <f>IF(A160=1,"_",IF(C160="_","???",C160))</f>
        <v/>
      </c>
      <c r="H160" s="10" t="s">
        <v>11</v>
      </c>
      <c r="I160" s="11" t="s">
        <v>11</v>
      </c>
      <c r="J160" s="12"/>
    </row>
    <row r="161" spans="1:10" ht="60" customHeight="1">
      <c r="A161" s="6" t="s">
        <v>633</v>
      </c>
      <c r="B161" s="6" t="s">
        <v>10</v>
      </c>
      <c r="C161" s="6" t="s">
        <v>11</v>
      </c>
      <c r="D161" s="7" t="s">
        <v>634</v>
      </c>
      <c r="E161" s="8" t="s">
        <v>635</v>
      </c>
      <c r="F161" s="6" t="s">
        <v>636</v>
      </c>
      <c r="G161" s="9">
        <f>IF(A161=1,"_",IF(C161="_","???",C161))</f>
        <v/>
      </c>
      <c r="H161" s="10" t="s">
        <v>11</v>
      </c>
      <c r="I161" s="11" t="s">
        <v>11</v>
      </c>
      <c r="J161" s="12"/>
    </row>
    <row r="162" spans="1:10" ht="60" customHeight="1">
      <c r="A162" s="6" t="s">
        <v>637</v>
      </c>
      <c r="B162" s="6" t="s">
        <v>24</v>
      </c>
      <c r="C162" s="6" t="s">
        <v>11</v>
      </c>
      <c r="D162" s="7" t="s">
        <v>439</v>
      </c>
      <c r="E162" s="8" t="s">
        <v>638</v>
      </c>
      <c r="F162" s="6" t="s">
        <v>639</v>
      </c>
      <c r="G162" s="9">
        <f>IF(A162=1,"_",IF(C162="_","???",C162))</f>
        <v/>
      </c>
      <c r="H162" s="10" t="s">
        <v>11</v>
      </c>
      <c r="I162" s="11" t="s">
        <v>11</v>
      </c>
      <c r="J162" s="12"/>
    </row>
    <row r="163" spans="1:10" ht="60" customHeight="1">
      <c r="A163" s="6" t="s">
        <v>640</v>
      </c>
      <c r="B163" s="6" t="s">
        <v>16</v>
      </c>
      <c r="C163" s="6" t="s">
        <v>11</v>
      </c>
      <c r="D163" s="7" t="s">
        <v>135</v>
      </c>
      <c r="E163" s="8" t="s">
        <v>641</v>
      </c>
      <c r="F163" s="6" t="s">
        <v>642</v>
      </c>
      <c r="G163" s="9">
        <f>IF(A163=1,"_",IF(C163="_","???",C163))</f>
        <v/>
      </c>
      <c r="H163" s="10" t="s">
        <v>11</v>
      </c>
      <c r="I163" s="11" t="s">
        <v>11</v>
      </c>
      <c r="J163" s="12"/>
    </row>
    <row r="164" spans="1:10" ht="60" customHeight="1">
      <c r="A164" s="6" t="s">
        <v>643</v>
      </c>
      <c r="B164" s="6" t="s">
        <v>15</v>
      </c>
      <c r="C164" s="6" t="s">
        <v>11</v>
      </c>
      <c r="D164" s="7" t="s">
        <v>644</v>
      </c>
      <c r="E164" s="8" t="s">
        <v>645</v>
      </c>
      <c r="F164" s="6" t="s">
        <v>646</v>
      </c>
      <c r="G164" s="9">
        <f>IF(A164=1,"_",IF(C164="_","???",C164))</f>
        <v/>
      </c>
      <c r="H164" s="10" t="s">
        <v>11</v>
      </c>
      <c r="I164" s="11" t="s">
        <v>11</v>
      </c>
      <c r="J164" s="12"/>
    </row>
    <row r="165" spans="1:10" ht="60" customHeight="1">
      <c r="A165" s="6" t="s">
        <v>647</v>
      </c>
      <c r="B165" s="6" t="s">
        <v>15</v>
      </c>
      <c r="C165" s="6" t="s">
        <v>11</v>
      </c>
      <c r="D165" s="7" t="s">
        <v>439</v>
      </c>
      <c r="E165" s="8" t="s">
        <v>648</v>
      </c>
      <c r="F165" s="6" t="s">
        <v>649</v>
      </c>
      <c r="G165" s="9">
        <f>IF(A165=1,"_",IF(C165="_","???",C165))</f>
        <v/>
      </c>
      <c r="H165" s="10" t="s">
        <v>11</v>
      </c>
      <c r="I165" s="11" t="s">
        <v>11</v>
      </c>
      <c r="J165" s="12"/>
    </row>
    <row r="166" spans="1:10" ht="60" customHeight="1">
      <c r="A166" s="6" t="s">
        <v>650</v>
      </c>
      <c r="B166" s="6" t="s">
        <v>36</v>
      </c>
      <c r="C166" s="6" t="s">
        <v>11</v>
      </c>
      <c r="D166" s="7" t="s">
        <v>651</v>
      </c>
      <c r="E166" s="8" t="s">
        <v>652</v>
      </c>
      <c r="F166" s="6" t="s">
        <v>653</v>
      </c>
      <c r="G166" s="9">
        <f>IF(A166=1,"_",IF(C166="_","???",C166))</f>
        <v/>
      </c>
      <c r="H166" s="10" t="s">
        <v>11</v>
      </c>
      <c r="I166" s="11" t="s">
        <v>11</v>
      </c>
      <c r="J166" s="12"/>
    </row>
    <row r="167" spans="1:10" ht="60" customHeight="1">
      <c r="A167" s="6" t="s">
        <v>654</v>
      </c>
      <c r="B167" s="6" t="s">
        <v>28</v>
      </c>
      <c r="C167" s="6" t="s">
        <v>11</v>
      </c>
      <c r="D167" s="7" t="s">
        <v>107</v>
      </c>
      <c r="E167" s="8" t="s">
        <v>655</v>
      </c>
      <c r="F167" s="6" t="s">
        <v>656</v>
      </c>
      <c r="G167" s="9">
        <f>IF(A167=1,"_",IF(C167="_","???",C167))</f>
        <v/>
      </c>
      <c r="H167" s="10" t="s">
        <v>11</v>
      </c>
      <c r="I167" s="11" t="s">
        <v>11</v>
      </c>
      <c r="J167" s="12"/>
    </row>
    <row r="168" spans="1:10" ht="60" customHeight="1">
      <c r="A168" s="6" t="s">
        <v>657</v>
      </c>
      <c r="B168" s="6" t="s">
        <v>24</v>
      </c>
      <c r="C168" s="6" t="s">
        <v>11</v>
      </c>
      <c r="D168" s="7" t="s">
        <v>658</v>
      </c>
      <c r="E168" s="8" t="s">
        <v>659</v>
      </c>
      <c r="F168" s="6" t="s">
        <v>660</v>
      </c>
      <c r="G168" s="9">
        <f>IF(A168=1,"_",IF(C168="_","???",C168))</f>
        <v/>
      </c>
      <c r="H168" s="10" t="s">
        <v>11</v>
      </c>
      <c r="I168" s="11" t="s">
        <v>11</v>
      </c>
      <c r="J168" s="12"/>
    </row>
    <row r="169" spans="1:10" ht="60" customHeight="1">
      <c r="A169" s="6" t="s">
        <v>661</v>
      </c>
      <c r="B169" s="6" t="s">
        <v>15</v>
      </c>
      <c r="C169" s="6" t="s">
        <v>11</v>
      </c>
      <c r="D169" s="7" t="s">
        <v>91</v>
      </c>
      <c r="E169" s="8" t="s">
        <v>662</v>
      </c>
      <c r="F169" s="6" t="s">
        <v>663</v>
      </c>
      <c r="G169" s="9">
        <f>IF(A169=1,"_",IF(C169="_","???",C169))</f>
        <v/>
      </c>
      <c r="H169" s="10" t="s">
        <v>11</v>
      </c>
      <c r="I169" s="11" t="s">
        <v>11</v>
      </c>
      <c r="J169" s="12"/>
    </row>
    <row r="170" spans="1:10" ht="60" customHeight="1">
      <c r="A170" s="6" t="s">
        <v>664</v>
      </c>
      <c r="B170" s="6" t="s">
        <v>36</v>
      </c>
      <c r="C170" s="6" t="s">
        <v>11</v>
      </c>
      <c r="D170" s="7" t="s">
        <v>314</v>
      </c>
      <c r="E170" s="8" t="s">
        <v>665</v>
      </c>
      <c r="F170" s="6" t="s">
        <v>666</v>
      </c>
      <c r="G170" s="9">
        <f>IF(A170=1,"_",IF(C170="_","???",C170))</f>
        <v/>
      </c>
      <c r="H170" s="10" t="s">
        <v>11</v>
      </c>
      <c r="I170" s="11" t="s">
        <v>11</v>
      </c>
      <c r="J170" s="12"/>
    </row>
    <row r="171" spans="1:10" ht="60" customHeight="1">
      <c r="A171" s="6" t="s">
        <v>667</v>
      </c>
      <c r="B171" s="6" t="s">
        <v>45</v>
      </c>
      <c r="C171" s="6" t="s">
        <v>668</v>
      </c>
      <c r="D171" s="7" t="s">
        <v>669</v>
      </c>
      <c r="E171" s="8" t="s">
        <v>670</v>
      </c>
      <c r="F171" s="6" t="s">
        <v>671</v>
      </c>
      <c r="G171" s="9">
        <f>IF(A171=1,"_",IF(C171="_","???",C171))</f>
        <v/>
      </c>
      <c r="H171" s="10" t="s">
        <v>11</v>
      </c>
      <c r="I171" s="11" t="s">
        <v>11</v>
      </c>
      <c r="J171" s="12"/>
    </row>
    <row r="172" spans="1:10" ht="60" customHeight="1">
      <c r="A172" s="6" t="s">
        <v>672</v>
      </c>
      <c r="B172" s="6" t="s">
        <v>24</v>
      </c>
      <c r="C172" s="6" t="s">
        <v>11</v>
      </c>
      <c r="D172" s="7" t="s">
        <v>519</v>
      </c>
      <c r="E172" s="8" t="s">
        <v>673</v>
      </c>
      <c r="F172" s="6" t="s">
        <v>674</v>
      </c>
      <c r="G172" s="9">
        <f>IF(A172=1,"_",IF(C172="_","???",C172))</f>
        <v/>
      </c>
      <c r="H172" s="10" t="s">
        <v>11</v>
      </c>
      <c r="I172" s="11" t="s">
        <v>11</v>
      </c>
      <c r="J172" s="12"/>
    </row>
    <row r="173" spans="1:10" ht="60" customHeight="1">
      <c r="A173" s="6" t="s">
        <v>675</v>
      </c>
      <c r="B173" s="6" t="s">
        <v>16</v>
      </c>
      <c r="C173" s="6" t="s">
        <v>11</v>
      </c>
      <c r="D173" s="7" t="s">
        <v>167</v>
      </c>
      <c r="E173" s="8" t="s">
        <v>676</v>
      </c>
      <c r="F173" s="6" t="s">
        <v>677</v>
      </c>
      <c r="G173" s="9">
        <f>IF(A173=1,"_",IF(C173="_","???",C173))</f>
        <v/>
      </c>
      <c r="H173" s="10" t="s">
        <v>11</v>
      </c>
      <c r="I173" s="11" t="s">
        <v>11</v>
      </c>
      <c r="J173" s="12"/>
    </row>
    <row r="174" spans="1:10" ht="60" customHeight="1">
      <c r="A174" s="6" t="s">
        <v>678</v>
      </c>
      <c r="B174" s="6" t="s">
        <v>10</v>
      </c>
      <c r="C174" s="6" t="s">
        <v>11</v>
      </c>
      <c r="D174" s="7" t="s">
        <v>658</v>
      </c>
      <c r="E174" s="8" t="s">
        <v>679</v>
      </c>
      <c r="F174" s="6" t="s">
        <v>680</v>
      </c>
      <c r="G174" s="9">
        <f>IF(A174=1,"_",IF(C174="_","???",C174))</f>
        <v/>
      </c>
      <c r="H174" s="10" t="s">
        <v>11</v>
      </c>
      <c r="I174" s="11" t="s">
        <v>11</v>
      </c>
      <c r="J174" s="12"/>
    </row>
    <row r="175" spans="1:10" ht="60" customHeight="1">
      <c r="A175" s="6" t="s">
        <v>681</v>
      </c>
      <c r="B175" s="6" t="s">
        <v>16</v>
      </c>
      <c r="C175" s="6" t="s">
        <v>11</v>
      </c>
      <c r="D175" s="7" t="s">
        <v>370</v>
      </c>
      <c r="E175" s="8" t="s">
        <v>682</v>
      </c>
      <c r="F175" s="6" t="s">
        <v>683</v>
      </c>
      <c r="G175" s="9">
        <f>IF(A175=1,"_",IF(C175="_","???",C175))</f>
        <v/>
      </c>
      <c r="H175" s="10" t="s">
        <v>11</v>
      </c>
      <c r="I175" s="11" t="s">
        <v>11</v>
      </c>
      <c r="J175" s="12"/>
    </row>
    <row r="176" spans="1:10" ht="60" customHeight="1">
      <c r="A176" s="6" t="s">
        <v>684</v>
      </c>
      <c r="B176" s="6" t="s">
        <v>15</v>
      </c>
      <c r="C176" s="6" t="s">
        <v>11</v>
      </c>
      <c r="D176" s="7" t="s">
        <v>322</v>
      </c>
      <c r="E176" s="8" t="s">
        <v>685</v>
      </c>
      <c r="F176" s="6" t="s">
        <v>686</v>
      </c>
      <c r="G176" s="9">
        <f>IF(A176=1,"_",IF(C176="_","???",C176))</f>
        <v/>
      </c>
      <c r="H176" s="10" t="s">
        <v>11</v>
      </c>
      <c r="I176" s="11" t="s">
        <v>11</v>
      </c>
      <c r="J176" s="12"/>
    </row>
    <row r="177" spans="1:10" ht="60" customHeight="1">
      <c r="A177" s="6" t="s">
        <v>687</v>
      </c>
      <c r="B177" s="6" t="s">
        <v>32</v>
      </c>
      <c r="C177" s="6" t="s">
        <v>11</v>
      </c>
      <c r="D177" s="7" t="s">
        <v>688</v>
      </c>
      <c r="E177" s="8" t="s">
        <v>689</v>
      </c>
      <c r="F177" s="6" t="s">
        <v>690</v>
      </c>
      <c r="G177" s="9">
        <f>IF(A177=1,"_",IF(C177="_","???",C177))</f>
        <v/>
      </c>
      <c r="H177" s="10" t="s">
        <v>11</v>
      </c>
      <c r="I177" s="11" t="s">
        <v>11</v>
      </c>
      <c r="J177" s="12"/>
    </row>
    <row r="178" spans="1:10" ht="60" customHeight="1">
      <c r="A178" s="6" t="s">
        <v>691</v>
      </c>
      <c r="B178" s="6" t="s">
        <v>52</v>
      </c>
      <c r="C178" s="6" t="s">
        <v>11</v>
      </c>
      <c r="D178" s="7" t="s">
        <v>669</v>
      </c>
      <c r="E178" s="8" t="s">
        <v>692</v>
      </c>
      <c r="F178" s="6" t="s">
        <v>693</v>
      </c>
      <c r="G178" s="9">
        <f>IF(A178=1,"_",IF(C178="_","???",C178))</f>
        <v/>
      </c>
      <c r="H178" s="10" t="s">
        <v>11</v>
      </c>
      <c r="I178" s="11" t="s">
        <v>11</v>
      </c>
      <c r="J178" s="12"/>
    </row>
    <row r="179" spans="1:10" ht="60" customHeight="1">
      <c r="A179" s="6" t="s">
        <v>694</v>
      </c>
      <c r="B179" s="6" t="s">
        <v>28</v>
      </c>
      <c r="C179" s="6" t="s">
        <v>11</v>
      </c>
      <c r="D179" s="7" t="s">
        <v>695</v>
      </c>
      <c r="E179" s="8" t="s">
        <v>696</v>
      </c>
      <c r="F179" s="6" t="s">
        <v>697</v>
      </c>
      <c r="G179" s="9">
        <f>IF(A179=1,"_",IF(C179="_","???",C179))</f>
        <v/>
      </c>
      <c r="H179" s="10" t="s">
        <v>11</v>
      </c>
      <c r="I179" s="11" t="s">
        <v>11</v>
      </c>
      <c r="J179" s="12"/>
    </row>
    <row r="180" spans="1:10" ht="60" customHeight="1">
      <c r="A180" s="6" t="s">
        <v>698</v>
      </c>
      <c r="B180" s="6" t="s">
        <v>16</v>
      </c>
      <c r="C180" s="6" t="s">
        <v>11</v>
      </c>
      <c r="D180" s="7" t="s">
        <v>699</v>
      </c>
      <c r="E180" s="8" t="s">
        <v>700</v>
      </c>
      <c r="F180" s="6" t="s">
        <v>701</v>
      </c>
      <c r="G180" s="9">
        <f>IF(A180=1,"_",IF(C180="_","???",C180))</f>
        <v/>
      </c>
      <c r="H180" s="10" t="s">
        <v>11</v>
      </c>
      <c r="I180" s="11" t="s">
        <v>11</v>
      </c>
      <c r="J180" s="12"/>
    </row>
    <row r="181" spans="1:10" ht="60" customHeight="1">
      <c r="A181" s="6" t="s">
        <v>702</v>
      </c>
      <c r="B181" s="6" t="s">
        <v>28</v>
      </c>
      <c r="C181" s="6" t="s">
        <v>11</v>
      </c>
      <c r="D181" s="7" t="s">
        <v>703</v>
      </c>
      <c r="E181" s="8" t="s">
        <v>704</v>
      </c>
      <c r="F181" s="6" t="s">
        <v>705</v>
      </c>
      <c r="G181" s="9">
        <f>IF(A181=1,"_",IF(C181="_","???",C181))</f>
        <v/>
      </c>
      <c r="H181" s="10" t="s">
        <v>11</v>
      </c>
      <c r="I181" s="11" t="s">
        <v>11</v>
      </c>
      <c r="J181" s="12"/>
    </row>
    <row r="182" spans="1:10" ht="60" customHeight="1">
      <c r="A182" s="6" t="s">
        <v>706</v>
      </c>
      <c r="B182" s="6" t="s">
        <v>15</v>
      </c>
      <c r="C182" s="6" t="s">
        <v>11</v>
      </c>
      <c r="D182" s="7" t="s">
        <v>707</v>
      </c>
      <c r="E182" s="8" t="s">
        <v>708</v>
      </c>
      <c r="F182" s="6" t="s">
        <v>709</v>
      </c>
      <c r="G182" s="9">
        <f>IF(A182=1,"_",IF(C182="_","???",C182))</f>
        <v/>
      </c>
      <c r="H182" s="10" t="s">
        <v>11</v>
      </c>
      <c r="I182" s="11" t="s">
        <v>11</v>
      </c>
      <c r="J182" s="12"/>
    </row>
    <row r="183" spans="1:10" ht="60" customHeight="1">
      <c r="A183" s="6" t="s">
        <v>710</v>
      </c>
      <c r="B183" s="6" t="s">
        <v>28</v>
      </c>
      <c r="C183" s="6" t="s">
        <v>11</v>
      </c>
      <c r="D183" s="7" t="s">
        <v>183</v>
      </c>
      <c r="E183" s="8" t="s">
        <v>711</v>
      </c>
      <c r="F183" s="6" t="s">
        <v>712</v>
      </c>
      <c r="G183" s="9">
        <f>IF(A183=1,"_",IF(C183="_","???",C183))</f>
        <v/>
      </c>
      <c r="H183" s="10" t="s">
        <v>11</v>
      </c>
      <c r="I183" s="11" t="s">
        <v>11</v>
      </c>
      <c r="J183" s="12"/>
    </row>
    <row r="184" spans="1:10" ht="60" customHeight="1">
      <c r="A184" s="6" t="s">
        <v>713</v>
      </c>
      <c r="B184" s="6" t="s">
        <v>16</v>
      </c>
      <c r="C184" s="6" t="s">
        <v>11</v>
      </c>
      <c r="D184" s="7" t="s">
        <v>366</v>
      </c>
      <c r="E184" s="8" t="s">
        <v>714</v>
      </c>
      <c r="F184" s="6" t="s">
        <v>715</v>
      </c>
      <c r="G184" s="9">
        <f>IF(A184=1,"_",IF(C184="_","???",C184))</f>
        <v/>
      </c>
      <c r="H184" s="10" t="s">
        <v>11</v>
      </c>
      <c r="I184" s="11" t="s">
        <v>11</v>
      </c>
      <c r="J184" s="12"/>
    </row>
    <row r="185" spans="1:10" ht="60" customHeight="1">
      <c r="A185" s="6" t="s">
        <v>716</v>
      </c>
      <c r="B185" s="6" t="s">
        <v>28</v>
      </c>
      <c r="C185" s="6" t="s">
        <v>466</v>
      </c>
      <c r="D185" s="7" t="s">
        <v>503</v>
      </c>
      <c r="E185" s="8" t="s">
        <v>717</v>
      </c>
      <c r="F185" s="6" t="s">
        <v>718</v>
      </c>
      <c r="G185" s="9">
        <f>IF(A185=1,"_",IF(C185="_","???",C185))</f>
        <v/>
      </c>
      <c r="H185" s="10" t="s">
        <v>11</v>
      </c>
      <c r="I185" s="11" t="s">
        <v>11</v>
      </c>
      <c r="J185" s="12"/>
    </row>
    <row r="186" spans="1:10" ht="60" customHeight="1">
      <c r="A186" s="6" t="s">
        <v>719</v>
      </c>
      <c r="B186" s="6" t="s">
        <v>16</v>
      </c>
      <c r="C186" s="6" t="s">
        <v>11</v>
      </c>
      <c r="D186" s="7" t="s">
        <v>358</v>
      </c>
      <c r="E186" s="8" t="s">
        <v>720</v>
      </c>
      <c r="F186" s="6" t="s">
        <v>721</v>
      </c>
      <c r="G186" s="9">
        <f>IF(A186=1,"_",IF(C186="_","???",C186))</f>
        <v/>
      </c>
      <c r="H186" s="10" t="s">
        <v>11</v>
      </c>
      <c r="I186" s="11" t="s">
        <v>11</v>
      </c>
      <c r="J186" s="12"/>
    </row>
    <row r="187" spans="1:10" ht="60" customHeight="1">
      <c r="A187" s="6" t="s">
        <v>722</v>
      </c>
      <c r="B187" s="6" t="s">
        <v>15</v>
      </c>
      <c r="C187" s="6" t="s">
        <v>11</v>
      </c>
      <c r="D187" s="7" t="s">
        <v>723</v>
      </c>
      <c r="E187" s="8" t="s">
        <v>724</v>
      </c>
      <c r="F187" s="6" t="s">
        <v>725</v>
      </c>
      <c r="G187" s="9">
        <f>IF(A187=1,"_",IF(C187="_","???",C187))</f>
        <v/>
      </c>
      <c r="H187" s="10" t="s">
        <v>11</v>
      </c>
      <c r="I187" s="11" t="s">
        <v>11</v>
      </c>
      <c r="J187" s="12"/>
    </row>
    <row r="188" spans="1:10" ht="60" customHeight="1">
      <c r="A188" s="6" t="s">
        <v>726</v>
      </c>
      <c r="B188" s="6" t="s">
        <v>15</v>
      </c>
      <c r="C188" s="6" t="s">
        <v>11</v>
      </c>
      <c r="D188" s="7" t="s">
        <v>727</v>
      </c>
      <c r="E188" s="8" t="s">
        <v>728</v>
      </c>
      <c r="F188" s="6" t="s">
        <v>729</v>
      </c>
      <c r="G188" s="9">
        <f>IF(A188=1,"_",IF(C188="_","???",C188))</f>
        <v/>
      </c>
      <c r="H188" s="10" t="s">
        <v>11</v>
      </c>
      <c r="I188" s="11" t="s">
        <v>11</v>
      </c>
      <c r="J188" s="12"/>
    </row>
    <row r="189" spans="1:10" ht="60" customHeight="1">
      <c r="A189" s="6" t="s">
        <v>730</v>
      </c>
      <c r="B189" s="6" t="s">
        <v>10</v>
      </c>
      <c r="C189" s="6" t="s">
        <v>11</v>
      </c>
      <c r="D189" s="7" t="s">
        <v>731</v>
      </c>
      <c r="E189" s="8" t="s">
        <v>732</v>
      </c>
      <c r="F189" s="6" t="s">
        <v>733</v>
      </c>
      <c r="G189" s="9">
        <f>IF(A189=1,"_",IF(C189="_","???",C189))</f>
        <v/>
      </c>
      <c r="H189" s="10" t="s">
        <v>11</v>
      </c>
      <c r="I189" s="11" t="s">
        <v>11</v>
      </c>
      <c r="J189" s="12"/>
    </row>
    <row r="190" spans="1:10" ht="60" customHeight="1">
      <c r="A190" s="6" t="s">
        <v>734</v>
      </c>
      <c r="B190" s="6" t="s">
        <v>28</v>
      </c>
      <c r="C190" s="6" t="s">
        <v>11</v>
      </c>
      <c r="D190" s="7" t="s">
        <v>735</v>
      </c>
      <c r="E190" s="8" t="s">
        <v>736</v>
      </c>
      <c r="F190" s="6" t="s">
        <v>737</v>
      </c>
      <c r="G190" s="9">
        <f>IF(A190=1,"_",IF(C190="_","???",C190))</f>
        <v/>
      </c>
      <c r="H190" s="10" t="s">
        <v>11</v>
      </c>
      <c r="I190" s="11" t="s">
        <v>11</v>
      </c>
      <c r="J190" s="12"/>
    </row>
    <row r="191" spans="1:10" ht="60" customHeight="1">
      <c r="A191" s="6" t="s">
        <v>738</v>
      </c>
      <c r="B191" s="6" t="s">
        <v>16</v>
      </c>
      <c r="C191" s="6" t="s">
        <v>11</v>
      </c>
      <c r="D191" s="7" t="s">
        <v>658</v>
      </c>
      <c r="E191" s="8" t="s">
        <v>739</v>
      </c>
      <c r="F191" s="6" t="s">
        <v>740</v>
      </c>
      <c r="G191" s="9">
        <f>IF(A191=1,"_",IF(C191="_","???",C191))</f>
        <v/>
      </c>
      <c r="H191" s="10" t="s">
        <v>11</v>
      </c>
      <c r="I191" s="11" t="s">
        <v>11</v>
      </c>
      <c r="J191" s="12"/>
    </row>
    <row r="192" spans="1:10" ht="60" customHeight="1">
      <c r="A192" s="6" t="s">
        <v>741</v>
      </c>
      <c r="B192" s="6" t="s">
        <v>16</v>
      </c>
      <c r="C192" s="6" t="s">
        <v>11</v>
      </c>
      <c r="D192" s="7" t="s">
        <v>742</v>
      </c>
      <c r="E192" s="8" t="s">
        <v>743</v>
      </c>
      <c r="F192" s="6" t="s">
        <v>744</v>
      </c>
      <c r="G192" s="9">
        <f>IF(A192=1,"_",IF(C192="_","???",C192))</f>
        <v/>
      </c>
      <c r="H192" s="10" t="s">
        <v>11</v>
      </c>
      <c r="I192" s="11" t="s">
        <v>11</v>
      </c>
      <c r="J192" s="12"/>
    </row>
    <row r="193" spans="1:10" ht="60" customHeight="1">
      <c r="A193" s="6" t="s">
        <v>745</v>
      </c>
      <c r="B193" s="6" t="s">
        <v>16</v>
      </c>
      <c r="C193" s="6" t="s">
        <v>11</v>
      </c>
      <c r="D193" s="7" t="s">
        <v>746</v>
      </c>
      <c r="E193" s="8" t="s">
        <v>747</v>
      </c>
      <c r="F193" s="6" t="s">
        <v>748</v>
      </c>
      <c r="G193" s="9">
        <f>IF(A193=1,"_",IF(C193="_","???",C193))</f>
        <v/>
      </c>
      <c r="H193" s="10" t="s">
        <v>11</v>
      </c>
      <c r="I193" s="11" t="s">
        <v>11</v>
      </c>
      <c r="J193" s="12"/>
    </row>
    <row r="194" spans="1:10" ht="60" customHeight="1">
      <c r="A194" s="6" t="s">
        <v>749</v>
      </c>
      <c r="B194" s="6" t="s">
        <v>36</v>
      </c>
      <c r="C194" s="6" t="s">
        <v>11</v>
      </c>
      <c r="D194" s="7" t="s">
        <v>746</v>
      </c>
      <c r="E194" s="8" t="s">
        <v>750</v>
      </c>
      <c r="F194" s="6" t="s">
        <v>751</v>
      </c>
      <c r="G194" s="9">
        <f>IF(A194=1,"_",IF(C194="_","???",C194))</f>
        <v/>
      </c>
      <c r="H194" s="10" t="s">
        <v>11</v>
      </c>
      <c r="I194" s="11" t="s">
        <v>11</v>
      </c>
      <c r="J194" s="12"/>
    </row>
    <row r="195" spans="1:10" ht="60" customHeight="1">
      <c r="A195" s="6" t="s">
        <v>752</v>
      </c>
      <c r="B195" s="6" t="s">
        <v>45</v>
      </c>
      <c r="C195" s="6" t="s">
        <v>11</v>
      </c>
      <c r="D195" s="7" t="s">
        <v>753</v>
      </c>
      <c r="E195" s="8" t="s">
        <v>754</v>
      </c>
      <c r="F195" s="6" t="s">
        <v>755</v>
      </c>
      <c r="G195" s="9">
        <f>IF(A195=1,"_",IF(C195="_","???",C195))</f>
        <v/>
      </c>
      <c r="H195" s="10" t="s">
        <v>11</v>
      </c>
      <c r="I195" s="11" t="s">
        <v>11</v>
      </c>
      <c r="J195" s="12"/>
    </row>
    <row r="196" spans="1:10" ht="60" customHeight="1">
      <c r="A196" s="6" t="s">
        <v>756</v>
      </c>
      <c r="B196" s="6" t="s">
        <v>32</v>
      </c>
      <c r="C196" s="6" t="s">
        <v>11</v>
      </c>
      <c r="D196" s="7" t="s">
        <v>742</v>
      </c>
      <c r="E196" s="8" t="s">
        <v>757</v>
      </c>
      <c r="F196" s="6" t="s">
        <v>758</v>
      </c>
      <c r="G196" s="9">
        <f>IF(A196=1,"_",IF(C196="_","???",C196))</f>
        <v/>
      </c>
      <c r="H196" s="10" t="s">
        <v>11</v>
      </c>
      <c r="I196" s="11" t="s">
        <v>11</v>
      </c>
      <c r="J196" s="12"/>
    </row>
    <row r="197" spans="1:10" ht="60" customHeight="1">
      <c r="A197" s="6" t="s">
        <v>759</v>
      </c>
      <c r="B197" s="6" t="s">
        <v>15</v>
      </c>
      <c r="C197" s="6" t="s">
        <v>11</v>
      </c>
      <c r="D197" s="7" t="s">
        <v>423</v>
      </c>
      <c r="E197" s="8" t="s">
        <v>760</v>
      </c>
      <c r="F197" s="6" t="s">
        <v>761</v>
      </c>
      <c r="G197" s="9">
        <f>IF(A197=1,"_",IF(C197="_","???",C197))</f>
        <v/>
      </c>
      <c r="H197" s="10" t="s">
        <v>11</v>
      </c>
      <c r="I197" s="11" t="s">
        <v>11</v>
      </c>
      <c r="J197" s="12"/>
    </row>
    <row r="198" spans="1:10" ht="60" customHeight="1">
      <c r="A198" s="6" t="s">
        <v>762</v>
      </c>
      <c r="B198" s="6" t="s">
        <v>16</v>
      </c>
      <c r="C198" s="6" t="s">
        <v>11</v>
      </c>
      <c r="D198" s="7" t="s">
        <v>763</v>
      </c>
      <c r="E198" s="8" t="s">
        <v>764</v>
      </c>
      <c r="F198" s="6" t="s">
        <v>765</v>
      </c>
      <c r="G198" s="9">
        <f>IF(A198=1,"_",IF(C198="_","???",C198))</f>
        <v/>
      </c>
      <c r="H198" s="10" t="s">
        <v>11</v>
      </c>
      <c r="I198" s="11" t="s">
        <v>11</v>
      </c>
      <c r="J198" s="12"/>
    </row>
    <row r="199" spans="1:10" ht="60" customHeight="1">
      <c r="A199" s="6" t="s">
        <v>766</v>
      </c>
      <c r="B199" s="6" t="s">
        <v>15</v>
      </c>
      <c r="C199" s="6" t="s">
        <v>11</v>
      </c>
      <c r="D199" s="7" t="s">
        <v>767</v>
      </c>
      <c r="E199" s="8" t="s">
        <v>768</v>
      </c>
      <c r="F199" s="6" t="s">
        <v>769</v>
      </c>
      <c r="G199" s="9">
        <f>IF(A199=1,"_",IF(C199="_","???",C199))</f>
        <v/>
      </c>
      <c r="H199" s="10" t="s">
        <v>11</v>
      </c>
      <c r="I199" s="11" t="s">
        <v>11</v>
      </c>
      <c r="J199" s="12"/>
    </row>
    <row r="200" spans="1:10" ht="60" customHeight="1">
      <c r="A200" s="6" t="s">
        <v>770</v>
      </c>
      <c r="B200" s="6" t="s">
        <v>16</v>
      </c>
      <c r="C200" s="6" t="s">
        <v>11</v>
      </c>
      <c r="D200" s="7" t="s">
        <v>771</v>
      </c>
      <c r="E200" s="8" t="s">
        <v>772</v>
      </c>
      <c r="F200" s="6" t="s">
        <v>773</v>
      </c>
      <c r="G200" s="9">
        <f>IF(A200=1,"_",IF(C200="_","???",C200))</f>
        <v/>
      </c>
      <c r="H200" s="10" t="s">
        <v>11</v>
      </c>
      <c r="I200" s="11" t="s">
        <v>11</v>
      </c>
      <c r="J200" s="12"/>
    </row>
    <row r="201" spans="1:10" ht="60" customHeight="1">
      <c r="A201" s="6" t="s">
        <v>774</v>
      </c>
      <c r="B201" s="6" t="s">
        <v>10</v>
      </c>
      <c r="C201" s="6" t="s">
        <v>11</v>
      </c>
      <c r="D201" s="7" t="s">
        <v>362</v>
      </c>
      <c r="E201" s="8" t="s">
        <v>775</v>
      </c>
      <c r="F201" s="6" t="s">
        <v>776</v>
      </c>
      <c r="G201" s="9">
        <f>IF(A201=1,"_",IF(C201="_","???",C201))</f>
        <v/>
      </c>
      <c r="H201" s="10" t="s">
        <v>11</v>
      </c>
      <c r="I201" s="11" t="s">
        <v>11</v>
      </c>
      <c r="J201" s="12"/>
    </row>
    <row r="202" spans="1:10" ht="60" customHeight="1">
      <c r="A202" s="6" t="s">
        <v>777</v>
      </c>
      <c r="B202" s="6" t="s">
        <v>10</v>
      </c>
      <c r="C202" s="6" t="s">
        <v>11</v>
      </c>
      <c r="D202" s="7" t="s">
        <v>778</v>
      </c>
      <c r="E202" s="8" t="s">
        <v>779</v>
      </c>
      <c r="F202" s="6" t="s">
        <v>780</v>
      </c>
      <c r="G202" s="9">
        <f>IF(A202=1,"_",IF(C202="_","???",C202))</f>
        <v/>
      </c>
      <c r="H202" s="10" t="s">
        <v>11</v>
      </c>
      <c r="I202" s="11" t="s">
        <v>11</v>
      </c>
      <c r="J202" s="12"/>
    </row>
    <row r="203" spans="1:10" ht="60" customHeight="1">
      <c r="A203" s="6" t="s">
        <v>781</v>
      </c>
      <c r="B203" s="6" t="s">
        <v>10</v>
      </c>
      <c r="C203" s="6" t="s">
        <v>11</v>
      </c>
      <c r="D203" s="7" t="s">
        <v>782</v>
      </c>
      <c r="E203" s="8" t="s">
        <v>783</v>
      </c>
      <c r="F203" s="6" t="s">
        <v>784</v>
      </c>
      <c r="G203" s="9">
        <f>IF(A203=1,"_",IF(C203="_","???",C203))</f>
        <v/>
      </c>
      <c r="H203" s="10" t="s">
        <v>11</v>
      </c>
      <c r="I203" s="11" t="s">
        <v>11</v>
      </c>
      <c r="J203" s="12"/>
    </row>
    <row r="204" spans="1:10" ht="60" customHeight="1">
      <c r="A204" s="6" t="s">
        <v>785</v>
      </c>
      <c r="B204" s="6" t="s">
        <v>16</v>
      </c>
      <c r="C204" s="6" t="s">
        <v>11</v>
      </c>
      <c r="D204" s="7" t="s">
        <v>786</v>
      </c>
      <c r="E204" s="8" t="s">
        <v>787</v>
      </c>
      <c r="F204" s="6" t="s">
        <v>788</v>
      </c>
      <c r="G204" s="9">
        <f>IF(A204=1,"_",IF(C204="_","???",C204))</f>
        <v/>
      </c>
      <c r="H204" s="10" t="s">
        <v>11</v>
      </c>
      <c r="I204" s="11" t="s">
        <v>11</v>
      </c>
      <c r="J204" s="12"/>
    </row>
    <row r="205" spans="1:10" ht="60" customHeight="1">
      <c r="A205" s="6" t="s">
        <v>789</v>
      </c>
      <c r="B205" s="6" t="s">
        <v>41</v>
      </c>
      <c r="C205" s="6" t="s">
        <v>11</v>
      </c>
      <c r="D205" s="7" t="s">
        <v>790</v>
      </c>
      <c r="E205" s="8" t="s">
        <v>791</v>
      </c>
      <c r="F205" s="6" t="s">
        <v>792</v>
      </c>
      <c r="G205" s="9">
        <f>IF(A205=1,"_",IF(C205="_","???",C205))</f>
        <v/>
      </c>
      <c r="H205" s="10" t="s">
        <v>11</v>
      </c>
      <c r="I205" s="11" t="s">
        <v>11</v>
      </c>
      <c r="J205" s="12"/>
    </row>
    <row r="206" spans="1:10" ht="60" customHeight="1">
      <c r="A206" s="6" t="s">
        <v>793</v>
      </c>
      <c r="B206" s="6" t="s">
        <v>15</v>
      </c>
      <c r="C206" s="6" t="s">
        <v>11</v>
      </c>
      <c r="D206" s="7" t="s">
        <v>794</v>
      </c>
      <c r="E206" s="8" t="s">
        <v>795</v>
      </c>
      <c r="F206" s="6" t="s">
        <v>796</v>
      </c>
      <c r="G206" s="9">
        <f>IF(A206=1,"_",IF(C206="_","???",C206))</f>
        <v/>
      </c>
      <c r="H206" s="10" t="s">
        <v>11</v>
      </c>
      <c r="I206" s="11" t="s">
        <v>11</v>
      </c>
      <c r="J206" s="12"/>
    </row>
    <row r="207" spans="1:10" ht="60" customHeight="1">
      <c r="A207" s="6" t="s">
        <v>797</v>
      </c>
      <c r="B207" s="6" t="s">
        <v>24</v>
      </c>
      <c r="C207" s="6" t="s">
        <v>598</v>
      </c>
      <c r="D207" s="7" t="s">
        <v>798</v>
      </c>
      <c r="E207" s="8" t="s">
        <v>799</v>
      </c>
      <c r="F207" s="6" t="s">
        <v>800</v>
      </c>
      <c r="G207" s="9">
        <f>IF(A207=1,"_",IF(C207="_","???",C207))</f>
        <v/>
      </c>
      <c r="H207" s="10" t="s">
        <v>11</v>
      </c>
      <c r="I207" s="11" t="s">
        <v>11</v>
      </c>
      <c r="J207" s="12"/>
    </row>
    <row r="208" spans="1:10" ht="60" customHeight="1">
      <c r="A208" s="6" t="s">
        <v>801</v>
      </c>
      <c r="B208" s="6" t="s">
        <v>16</v>
      </c>
      <c r="C208" s="6" t="s">
        <v>11</v>
      </c>
      <c r="D208" s="7" t="s">
        <v>802</v>
      </c>
      <c r="E208" s="8" t="s">
        <v>803</v>
      </c>
      <c r="F208" s="6" t="s">
        <v>804</v>
      </c>
      <c r="G208" s="9">
        <f>IF(A208=1,"_",IF(C208="_","???",C208))</f>
        <v/>
      </c>
      <c r="H208" s="10" t="s">
        <v>11</v>
      </c>
      <c r="I208" s="11" t="s">
        <v>11</v>
      </c>
      <c r="J208" s="12"/>
    </row>
    <row r="209" spans="1:10" ht="60" customHeight="1">
      <c r="A209" s="6" t="s">
        <v>805</v>
      </c>
      <c r="B209" s="6" t="s">
        <v>24</v>
      </c>
      <c r="C209" s="6" t="s">
        <v>11</v>
      </c>
      <c r="D209" s="7" t="s">
        <v>806</v>
      </c>
      <c r="E209" s="8" t="s">
        <v>807</v>
      </c>
      <c r="F209" s="6" t="s">
        <v>808</v>
      </c>
      <c r="G209" s="9">
        <f>IF(A209=1,"_",IF(C209="_","???",C209))</f>
        <v/>
      </c>
      <c r="H209" s="10" t="s">
        <v>11</v>
      </c>
      <c r="I209" s="11" t="s">
        <v>11</v>
      </c>
      <c r="J209" s="12"/>
    </row>
    <row r="210" spans="1:10" ht="60" customHeight="1">
      <c r="A210" s="6" t="s">
        <v>809</v>
      </c>
      <c r="B210" s="6" t="s">
        <v>40</v>
      </c>
      <c r="C210" s="6" t="s">
        <v>11</v>
      </c>
      <c r="D210" s="7" t="s">
        <v>224</v>
      </c>
      <c r="E210" s="8" t="s">
        <v>810</v>
      </c>
      <c r="F210" s="6" t="s">
        <v>811</v>
      </c>
      <c r="G210" s="9">
        <f>IF(A210=1,"_",IF(C210="_","???",C210))</f>
        <v/>
      </c>
      <c r="H210" s="10" t="s">
        <v>11</v>
      </c>
      <c r="I210" s="11" t="s">
        <v>11</v>
      </c>
      <c r="J210" s="12"/>
    </row>
    <row r="211" spans="1:10" ht="60" customHeight="1">
      <c r="A211" s="6" t="s">
        <v>812</v>
      </c>
      <c r="B211" s="6" t="s">
        <v>16</v>
      </c>
      <c r="C211" s="6" t="s">
        <v>11</v>
      </c>
      <c r="D211" s="7" t="s">
        <v>658</v>
      </c>
      <c r="E211" s="8" t="s">
        <v>813</v>
      </c>
      <c r="F211" s="6" t="s">
        <v>814</v>
      </c>
      <c r="G211" s="9">
        <f>IF(A211=1,"_",IF(C211="_","???",C211))</f>
        <v/>
      </c>
      <c r="H211" s="10" t="s">
        <v>11</v>
      </c>
      <c r="I211" s="11" t="s">
        <v>11</v>
      </c>
      <c r="J211" s="12"/>
    </row>
    <row r="212" spans="1:10" ht="60" customHeight="1">
      <c r="A212" s="6" t="s">
        <v>815</v>
      </c>
      <c r="B212" s="6" t="s">
        <v>36</v>
      </c>
      <c r="C212" s="6" t="s">
        <v>11</v>
      </c>
      <c r="D212" s="7" t="s">
        <v>816</v>
      </c>
      <c r="E212" s="8" t="s">
        <v>817</v>
      </c>
      <c r="F212" s="6" t="s">
        <v>818</v>
      </c>
      <c r="G212" s="9">
        <f>IF(A212=1,"_",IF(C212="_","???",C212))</f>
        <v/>
      </c>
      <c r="H212" s="10" t="s">
        <v>11</v>
      </c>
      <c r="I212" s="11" t="s">
        <v>11</v>
      </c>
      <c r="J212" s="12"/>
    </row>
    <row r="213" spans="1:10" ht="60" customHeight="1">
      <c r="A213" s="6" t="s">
        <v>819</v>
      </c>
      <c r="B213" s="6" t="s">
        <v>16</v>
      </c>
      <c r="C213" s="6" t="s">
        <v>11</v>
      </c>
      <c r="D213" s="7" t="s">
        <v>439</v>
      </c>
      <c r="E213" s="8" t="s">
        <v>820</v>
      </c>
      <c r="F213" s="6" t="s">
        <v>821</v>
      </c>
      <c r="G213" s="9">
        <f>IF(A213=1,"_",IF(C213="_","???",C213))</f>
        <v/>
      </c>
      <c r="H213" s="10" t="s">
        <v>11</v>
      </c>
      <c r="I213" s="11" t="s">
        <v>11</v>
      </c>
      <c r="J213" s="12"/>
    </row>
    <row r="214" spans="1:10" ht="60" customHeight="1">
      <c r="A214" s="6" t="s">
        <v>822</v>
      </c>
      <c r="B214" s="6" t="s">
        <v>32</v>
      </c>
      <c r="C214" s="6" t="s">
        <v>11</v>
      </c>
      <c r="D214" s="7" t="s">
        <v>519</v>
      </c>
      <c r="E214" s="8" t="s">
        <v>823</v>
      </c>
      <c r="F214" s="6" t="s">
        <v>824</v>
      </c>
      <c r="G214" s="9">
        <f>IF(A214=1,"_",IF(C214="_","???",C214))</f>
        <v/>
      </c>
      <c r="H214" s="10" t="s">
        <v>11</v>
      </c>
      <c r="I214" s="11" t="s">
        <v>11</v>
      </c>
      <c r="J214" s="12"/>
    </row>
    <row r="215" spans="1:10" ht="60" customHeight="1">
      <c r="A215" s="6" t="s">
        <v>825</v>
      </c>
      <c r="B215" s="6" t="s">
        <v>24</v>
      </c>
      <c r="C215" s="6" t="s">
        <v>11</v>
      </c>
      <c r="D215" s="7" t="s">
        <v>826</v>
      </c>
      <c r="E215" s="8" t="s">
        <v>827</v>
      </c>
      <c r="F215" s="6" t="s">
        <v>828</v>
      </c>
      <c r="G215" s="9">
        <f>IF(A215=1,"_",IF(C215="_","???",C215))</f>
        <v/>
      </c>
      <c r="H215" s="10" t="s">
        <v>11</v>
      </c>
      <c r="I215" s="11" t="s">
        <v>11</v>
      </c>
      <c r="J215" s="12"/>
    </row>
    <row r="216" spans="1:10" ht="60" customHeight="1">
      <c r="A216" s="6" t="s">
        <v>829</v>
      </c>
      <c r="B216" s="6" t="s">
        <v>24</v>
      </c>
      <c r="C216" s="6" t="s">
        <v>11</v>
      </c>
      <c r="D216" s="7" t="s">
        <v>439</v>
      </c>
      <c r="E216" s="8" t="s">
        <v>830</v>
      </c>
      <c r="F216" s="6" t="s">
        <v>831</v>
      </c>
      <c r="G216" s="9">
        <f>IF(A216=1,"_",IF(C216="_","???",C216))</f>
        <v/>
      </c>
      <c r="H216" s="10" t="s">
        <v>11</v>
      </c>
      <c r="I216" s="11" t="s">
        <v>11</v>
      </c>
      <c r="J216" s="12"/>
    </row>
    <row r="217" spans="1:10" ht="60" customHeight="1">
      <c r="A217" s="6" t="s">
        <v>832</v>
      </c>
      <c r="B217" s="6" t="s">
        <v>15</v>
      </c>
      <c r="C217" s="6" t="s">
        <v>11</v>
      </c>
      <c r="D217" s="7" t="s">
        <v>833</v>
      </c>
      <c r="E217" s="8" t="s">
        <v>834</v>
      </c>
      <c r="F217" s="6" t="s">
        <v>835</v>
      </c>
      <c r="G217" s="9">
        <f>IF(A217=1,"_",IF(C217="_","???",C217))</f>
        <v/>
      </c>
      <c r="H217" s="10" t="s">
        <v>11</v>
      </c>
      <c r="I217" s="11" t="s">
        <v>11</v>
      </c>
      <c r="J217" s="12"/>
    </row>
    <row r="218" spans="1:10" ht="60" customHeight="1">
      <c r="A218" s="6" t="s">
        <v>836</v>
      </c>
      <c r="B218" s="6" t="s">
        <v>10</v>
      </c>
      <c r="C218" s="6" t="s">
        <v>11</v>
      </c>
      <c r="D218" s="7" t="s">
        <v>263</v>
      </c>
      <c r="E218" s="8" t="s">
        <v>837</v>
      </c>
      <c r="F218" s="6" t="s">
        <v>838</v>
      </c>
      <c r="G218" s="9">
        <f>IF(A218=1,"_",IF(C218="_","???",C218))</f>
        <v/>
      </c>
      <c r="H218" s="10" t="s">
        <v>11</v>
      </c>
      <c r="I218" s="11" t="s">
        <v>11</v>
      </c>
      <c r="J218" s="12"/>
    </row>
    <row r="219" spans="1:10" ht="60" customHeight="1">
      <c r="A219" s="6" t="s">
        <v>839</v>
      </c>
      <c r="B219" s="6" t="s">
        <v>28</v>
      </c>
      <c r="C219" s="6" t="s">
        <v>11</v>
      </c>
      <c r="D219" s="7" t="s">
        <v>840</v>
      </c>
      <c r="E219" s="8" t="s">
        <v>841</v>
      </c>
      <c r="F219" s="6" t="s">
        <v>842</v>
      </c>
      <c r="G219" s="9">
        <f>IF(A219=1,"_",IF(C219="_","???",C219))</f>
        <v/>
      </c>
      <c r="H219" s="10" t="s">
        <v>11</v>
      </c>
      <c r="I219" s="11" t="s">
        <v>11</v>
      </c>
      <c r="J219" s="12"/>
    </row>
    <row r="220" spans="1:10" ht="60" customHeight="1">
      <c r="A220" s="6" t="s">
        <v>843</v>
      </c>
      <c r="B220" s="6" t="s">
        <v>32</v>
      </c>
      <c r="C220" s="6" t="s">
        <v>11</v>
      </c>
      <c r="D220" s="7" t="s">
        <v>439</v>
      </c>
      <c r="E220" s="8" t="s">
        <v>844</v>
      </c>
      <c r="F220" s="6" t="s">
        <v>845</v>
      </c>
      <c r="G220" s="9">
        <f>IF(A220=1,"_",IF(C220="_","???",C220))</f>
        <v/>
      </c>
      <c r="H220" s="10" t="s">
        <v>11</v>
      </c>
      <c r="I220" s="11" t="s">
        <v>11</v>
      </c>
      <c r="J220" s="12"/>
    </row>
    <row r="221" spans="1:10" ht="60" customHeight="1">
      <c r="A221" s="6" t="s">
        <v>846</v>
      </c>
      <c r="B221" s="6" t="s">
        <v>16</v>
      </c>
      <c r="C221" s="6" t="s">
        <v>11</v>
      </c>
      <c r="D221" s="7" t="s">
        <v>847</v>
      </c>
      <c r="E221" s="8" t="s">
        <v>848</v>
      </c>
      <c r="F221" s="6" t="s">
        <v>849</v>
      </c>
      <c r="G221" s="9">
        <f>IF(A221=1,"_",IF(C221="_","???",C221))</f>
        <v/>
      </c>
      <c r="H221" s="10" t="s">
        <v>11</v>
      </c>
      <c r="I221" s="11" t="s">
        <v>11</v>
      </c>
      <c r="J221" s="12"/>
    </row>
    <row r="222" spans="1:10" ht="60" customHeight="1">
      <c r="A222" s="6" t="s">
        <v>850</v>
      </c>
      <c r="B222" s="6" t="s">
        <v>16</v>
      </c>
      <c r="C222" s="6" t="s">
        <v>11</v>
      </c>
      <c r="D222" s="7" t="s">
        <v>851</v>
      </c>
      <c r="E222" s="8" t="s">
        <v>852</v>
      </c>
      <c r="F222" s="6" t="s">
        <v>853</v>
      </c>
      <c r="G222" s="9">
        <f>IF(A222=1,"_",IF(C222="_","???",C222))</f>
        <v/>
      </c>
      <c r="H222" s="10" t="s">
        <v>11</v>
      </c>
      <c r="I222" s="11" t="s">
        <v>11</v>
      </c>
      <c r="J222" s="12"/>
    </row>
    <row r="223" spans="1:10" ht="60" customHeight="1">
      <c r="A223" s="6" t="s">
        <v>854</v>
      </c>
      <c r="B223" s="6" t="s">
        <v>24</v>
      </c>
      <c r="C223" s="6" t="s">
        <v>11</v>
      </c>
      <c r="D223" s="7" t="s">
        <v>855</v>
      </c>
      <c r="E223" s="8" t="s">
        <v>856</v>
      </c>
      <c r="F223" s="6" t="s">
        <v>857</v>
      </c>
      <c r="G223" s="9">
        <f>IF(A223=1,"_",IF(C223="_","???",C223))</f>
        <v/>
      </c>
      <c r="H223" s="10" t="s">
        <v>11</v>
      </c>
      <c r="I223" s="11" t="s">
        <v>11</v>
      </c>
      <c r="J223" s="12"/>
    </row>
    <row r="224" spans="1:10" ht="60" customHeight="1">
      <c r="A224" s="6" t="s">
        <v>858</v>
      </c>
      <c r="B224" s="6" t="s">
        <v>32</v>
      </c>
      <c r="C224" s="6" t="s">
        <v>11</v>
      </c>
      <c r="D224" s="7" t="s">
        <v>859</v>
      </c>
      <c r="E224" s="8" t="s">
        <v>860</v>
      </c>
      <c r="F224" s="6" t="s">
        <v>861</v>
      </c>
      <c r="G224" s="9">
        <f>IF(A224=1,"_",IF(C224="_","???",C224))</f>
        <v/>
      </c>
      <c r="H224" s="10" t="s">
        <v>11</v>
      </c>
      <c r="I224" s="11" t="s">
        <v>11</v>
      </c>
      <c r="J224" s="12"/>
    </row>
    <row r="225" spans="1:10" ht="60" customHeight="1">
      <c r="A225" s="6" t="s">
        <v>862</v>
      </c>
      <c r="B225" s="6" t="s">
        <v>15</v>
      </c>
      <c r="C225" s="6" t="s">
        <v>863</v>
      </c>
      <c r="D225" s="7" t="s">
        <v>864</v>
      </c>
      <c r="E225" s="8" t="s">
        <v>865</v>
      </c>
      <c r="F225" s="6" t="s">
        <v>866</v>
      </c>
      <c r="G225" s="9">
        <f>IF(A225=1,"_",IF(C225="_","???",C225))</f>
        <v/>
      </c>
      <c r="H225" s="10" t="s">
        <v>11</v>
      </c>
      <c r="I225" s="11" t="s">
        <v>11</v>
      </c>
      <c r="J225" s="12"/>
    </row>
    <row r="226" spans="1:10" ht="60" customHeight="1">
      <c r="A226" s="6" t="s">
        <v>867</v>
      </c>
      <c r="B226" s="6" t="s">
        <v>32</v>
      </c>
      <c r="C226" s="6" t="s">
        <v>11</v>
      </c>
      <c r="D226" s="7" t="s">
        <v>868</v>
      </c>
      <c r="E226" s="8" t="s">
        <v>869</v>
      </c>
      <c r="F226" s="6" t="s">
        <v>870</v>
      </c>
      <c r="G226" s="9">
        <f>IF(A226=1,"_",IF(C226="_","???",C226))</f>
        <v/>
      </c>
      <c r="H226" s="10" t="s">
        <v>11</v>
      </c>
      <c r="I226" s="11" t="s">
        <v>11</v>
      </c>
      <c r="J226" s="12"/>
    </row>
    <row r="227" spans="1:10" ht="60" customHeight="1">
      <c r="A227" s="6" t="s">
        <v>871</v>
      </c>
      <c r="B227" s="6" t="s">
        <v>16</v>
      </c>
      <c r="C227" s="6" t="s">
        <v>11</v>
      </c>
      <c r="D227" s="7" t="s">
        <v>872</v>
      </c>
      <c r="E227" s="8" t="s">
        <v>873</v>
      </c>
      <c r="F227" s="6" t="s">
        <v>874</v>
      </c>
      <c r="G227" s="9">
        <f>IF(A227=1,"_",IF(C227="_","???",C227))</f>
        <v/>
      </c>
      <c r="H227" s="10" t="s">
        <v>11</v>
      </c>
      <c r="I227" s="11" t="s">
        <v>11</v>
      </c>
      <c r="J227" s="12"/>
    </row>
    <row r="228" spans="1:10" ht="60" customHeight="1">
      <c r="A228" s="6" t="s">
        <v>875</v>
      </c>
      <c r="B228" s="6" t="s">
        <v>36</v>
      </c>
      <c r="C228" s="6" t="s">
        <v>11</v>
      </c>
      <c r="D228" s="7" t="s">
        <v>876</v>
      </c>
      <c r="E228" s="8" t="s">
        <v>877</v>
      </c>
      <c r="F228" s="6" t="s">
        <v>878</v>
      </c>
      <c r="G228" s="9">
        <f>IF(A228=1,"_",IF(C228="_","???",C228))</f>
        <v/>
      </c>
      <c r="H228" s="10" t="s">
        <v>11</v>
      </c>
      <c r="I228" s="11" t="s">
        <v>11</v>
      </c>
      <c r="J228" s="12"/>
    </row>
    <row r="229" spans="1:10" ht="60" customHeight="1">
      <c r="A229" s="6" t="s">
        <v>879</v>
      </c>
      <c r="B229" s="6" t="s">
        <v>15</v>
      </c>
      <c r="C229" s="6" t="s">
        <v>11</v>
      </c>
      <c r="D229" s="7" t="s">
        <v>599</v>
      </c>
      <c r="E229" s="8" t="s">
        <v>880</v>
      </c>
      <c r="F229" s="6" t="s">
        <v>881</v>
      </c>
      <c r="G229" s="9">
        <f>IF(A229=1,"_",IF(C229="_","???",C229))</f>
        <v/>
      </c>
      <c r="H229" s="10" t="s">
        <v>11</v>
      </c>
      <c r="I229" s="11" t="s">
        <v>11</v>
      </c>
      <c r="J229" s="12"/>
    </row>
    <row r="230" spans="1:10" ht="60" customHeight="1">
      <c r="A230" s="6" t="s">
        <v>882</v>
      </c>
      <c r="B230" s="6" t="s">
        <v>40</v>
      </c>
      <c r="C230" s="6" t="s">
        <v>11</v>
      </c>
      <c r="D230" s="7" t="s">
        <v>883</v>
      </c>
      <c r="E230" s="8" t="s">
        <v>884</v>
      </c>
      <c r="F230" s="6" t="s">
        <v>885</v>
      </c>
      <c r="G230" s="9">
        <f>IF(A230=1,"_",IF(C230="_","???",C230))</f>
        <v/>
      </c>
      <c r="H230" s="10" t="s">
        <v>11</v>
      </c>
      <c r="I230" s="11" t="s">
        <v>11</v>
      </c>
      <c r="J230" s="12"/>
    </row>
    <row r="231" spans="1:10" ht="60" customHeight="1">
      <c r="A231" s="6" t="s">
        <v>886</v>
      </c>
      <c r="B231" s="6" t="s">
        <v>41</v>
      </c>
      <c r="C231" s="6" t="s">
        <v>11</v>
      </c>
      <c r="D231" s="7" t="s">
        <v>887</v>
      </c>
      <c r="E231" s="8" t="s">
        <v>888</v>
      </c>
      <c r="F231" s="6" t="s">
        <v>889</v>
      </c>
      <c r="G231" s="9">
        <f>IF(A231=1,"_",IF(C231="_","???",C231))</f>
        <v/>
      </c>
      <c r="H231" s="10" t="s">
        <v>11</v>
      </c>
      <c r="I231" s="11" t="s">
        <v>11</v>
      </c>
      <c r="J231" s="12"/>
    </row>
    <row r="232" spans="1:10" ht="60" customHeight="1">
      <c r="A232" s="6" t="s">
        <v>890</v>
      </c>
      <c r="B232" s="6" t="s">
        <v>32</v>
      </c>
      <c r="C232" s="6" t="s">
        <v>668</v>
      </c>
      <c r="D232" s="7" t="s">
        <v>891</v>
      </c>
      <c r="E232" s="8" t="s">
        <v>892</v>
      </c>
      <c r="F232" s="6" t="s">
        <v>893</v>
      </c>
      <c r="G232" s="9">
        <f>IF(A232=1,"_",IF(C232="_","???",C232))</f>
        <v/>
      </c>
      <c r="H232" s="10" t="s">
        <v>11</v>
      </c>
      <c r="I232" s="11" t="s">
        <v>11</v>
      </c>
      <c r="J232" s="12"/>
    </row>
    <row r="233" spans="1:10" ht="60" customHeight="1">
      <c r="A233" s="6" t="s">
        <v>894</v>
      </c>
      <c r="B233" s="6" t="s">
        <v>24</v>
      </c>
      <c r="C233" s="6" t="s">
        <v>11</v>
      </c>
      <c r="D233" s="7" t="s">
        <v>499</v>
      </c>
      <c r="E233" s="8" t="s">
        <v>895</v>
      </c>
      <c r="F233" s="6" t="s">
        <v>896</v>
      </c>
      <c r="G233" s="9">
        <f>IF(A233=1,"_",IF(C233="_","???",C233))</f>
        <v/>
      </c>
      <c r="H233" s="10" t="s">
        <v>11</v>
      </c>
      <c r="I233" s="11" t="s">
        <v>11</v>
      </c>
      <c r="J233" s="12"/>
    </row>
    <row r="234" spans="1:10" ht="60" customHeight="1">
      <c r="A234" s="6" t="s">
        <v>897</v>
      </c>
      <c r="B234" s="6" t="s">
        <v>28</v>
      </c>
      <c r="C234" s="6" t="s">
        <v>11</v>
      </c>
      <c r="D234" s="7" t="s">
        <v>898</v>
      </c>
      <c r="E234" s="8" t="s">
        <v>899</v>
      </c>
      <c r="F234" s="6" t="s">
        <v>900</v>
      </c>
      <c r="G234" s="9">
        <f>IF(A234=1,"_",IF(C234="_","???",C234))</f>
        <v/>
      </c>
      <c r="H234" s="10" t="s">
        <v>11</v>
      </c>
      <c r="I234" s="11" t="s">
        <v>11</v>
      </c>
      <c r="J234" s="12"/>
    </row>
    <row r="235" spans="1:10" ht="60" customHeight="1">
      <c r="A235" s="6" t="s">
        <v>901</v>
      </c>
      <c r="B235" s="6" t="s">
        <v>36</v>
      </c>
      <c r="C235" s="6" t="s">
        <v>11</v>
      </c>
      <c r="D235" s="7" t="s">
        <v>902</v>
      </c>
      <c r="E235" s="8" t="s">
        <v>903</v>
      </c>
      <c r="F235" s="6" t="s">
        <v>904</v>
      </c>
      <c r="G235" s="9">
        <f>IF(A235=1,"_",IF(C235="_","???",C235))</f>
        <v/>
      </c>
      <c r="H235" s="10" t="s">
        <v>11</v>
      </c>
      <c r="I235" s="11" t="s">
        <v>11</v>
      </c>
      <c r="J235" s="12"/>
    </row>
    <row r="236" spans="1:10" ht="60" customHeight="1">
      <c r="A236" s="6" t="s">
        <v>905</v>
      </c>
      <c r="B236" s="6" t="s">
        <v>28</v>
      </c>
      <c r="C236" s="6" t="s">
        <v>863</v>
      </c>
      <c r="D236" s="7" t="s">
        <v>906</v>
      </c>
      <c r="E236" s="8" t="s">
        <v>907</v>
      </c>
      <c r="F236" s="6" t="s">
        <v>908</v>
      </c>
      <c r="G236" s="9">
        <f>IF(A236=1,"_",IF(C236="_","???",C236))</f>
        <v/>
      </c>
      <c r="H236" s="10" t="s">
        <v>11</v>
      </c>
      <c r="I236" s="11" t="s">
        <v>11</v>
      </c>
      <c r="J236" s="12"/>
    </row>
    <row r="237" spans="1:10" ht="60" customHeight="1">
      <c r="A237" s="6" t="s">
        <v>909</v>
      </c>
      <c r="B237" s="6" t="s">
        <v>24</v>
      </c>
      <c r="C237" s="6" t="s">
        <v>11</v>
      </c>
      <c r="D237" s="7" t="s">
        <v>462</v>
      </c>
      <c r="E237" s="8" t="s">
        <v>910</v>
      </c>
      <c r="F237" s="6" t="s">
        <v>911</v>
      </c>
      <c r="G237" s="9">
        <f>IF(A237=1,"_",IF(C237="_","???",C237))</f>
        <v/>
      </c>
      <c r="H237" s="10" t="s">
        <v>11</v>
      </c>
      <c r="I237" s="11" t="s">
        <v>11</v>
      </c>
      <c r="J237" s="12"/>
    </row>
    <row r="238" spans="1:10" ht="60" customHeight="1">
      <c r="A238" s="6" t="s">
        <v>912</v>
      </c>
      <c r="B238" s="6" t="s">
        <v>40</v>
      </c>
      <c r="C238" s="6" t="s">
        <v>11</v>
      </c>
      <c r="D238" s="7" t="s">
        <v>913</v>
      </c>
      <c r="E238" s="8" t="s">
        <v>914</v>
      </c>
      <c r="F238" s="6" t="s">
        <v>915</v>
      </c>
      <c r="G238" s="9">
        <f>IF(A238=1,"_",IF(C238="_","???",C238))</f>
        <v/>
      </c>
      <c r="H238" s="10" t="s">
        <v>11</v>
      </c>
      <c r="I238" s="11" t="s">
        <v>11</v>
      </c>
      <c r="J238" s="12"/>
    </row>
    <row r="239" spans="1:10" ht="60" customHeight="1">
      <c r="A239" s="6" t="s">
        <v>916</v>
      </c>
      <c r="B239" s="6" t="s">
        <v>15</v>
      </c>
      <c r="C239" s="6" t="s">
        <v>11</v>
      </c>
      <c r="D239" s="7" t="s">
        <v>917</v>
      </c>
      <c r="E239" s="8" t="s">
        <v>918</v>
      </c>
      <c r="F239" s="6" t="s">
        <v>919</v>
      </c>
      <c r="G239" s="9">
        <f>IF(A239=1,"_",IF(C239="_","???",C239))</f>
        <v/>
      </c>
      <c r="H239" s="10" t="s">
        <v>11</v>
      </c>
      <c r="I239" s="11" t="s">
        <v>11</v>
      </c>
      <c r="J239" s="12"/>
    </row>
    <row r="240" spans="1:10" ht="60" customHeight="1">
      <c r="A240" s="6" t="s">
        <v>920</v>
      </c>
      <c r="B240" s="6" t="s">
        <v>52</v>
      </c>
      <c r="C240" s="6" t="s">
        <v>11</v>
      </c>
      <c r="D240" s="7" t="s">
        <v>921</v>
      </c>
      <c r="E240" s="8" t="s">
        <v>922</v>
      </c>
      <c r="F240" s="6" t="s">
        <v>923</v>
      </c>
      <c r="G240" s="9">
        <f>IF(A240=1,"_",IF(C240="_","???",C240))</f>
        <v/>
      </c>
      <c r="H240" s="10" t="s">
        <v>11</v>
      </c>
      <c r="I240" s="11" t="s">
        <v>11</v>
      </c>
      <c r="J240" s="12"/>
    </row>
    <row r="241" spans="1:10" ht="60" customHeight="1">
      <c r="A241" s="6" t="s">
        <v>924</v>
      </c>
      <c r="B241" s="6" t="s">
        <v>41</v>
      </c>
      <c r="C241" s="6" t="s">
        <v>11</v>
      </c>
      <c r="D241" s="7" t="s">
        <v>925</v>
      </c>
      <c r="E241" s="8" t="s">
        <v>926</v>
      </c>
      <c r="F241" s="6" t="s">
        <v>927</v>
      </c>
      <c r="G241" s="9">
        <f>IF(A241=1,"_",IF(C241="_","???",C241))</f>
        <v/>
      </c>
      <c r="H241" s="10" t="s">
        <v>11</v>
      </c>
      <c r="I241" s="11" t="s">
        <v>11</v>
      </c>
      <c r="J241" s="12"/>
    </row>
    <row r="242" spans="1:10" ht="60" customHeight="1">
      <c r="A242" s="6" t="s">
        <v>928</v>
      </c>
      <c r="B242" s="6" t="s">
        <v>28</v>
      </c>
      <c r="C242" s="6" t="s">
        <v>11</v>
      </c>
      <c r="D242" s="7" t="s">
        <v>929</v>
      </c>
      <c r="E242" s="8" t="s">
        <v>930</v>
      </c>
      <c r="F242" s="6" t="s">
        <v>931</v>
      </c>
      <c r="G242" s="9">
        <f>IF(A242=1,"_",IF(C242="_","???",C242))</f>
        <v/>
      </c>
      <c r="H242" s="10" t="s">
        <v>11</v>
      </c>
      <c r="I242" s="11" t="s">
        <v>11</v>
      </c>
      <c r="J242" s="12"/>
    </row>
    <row r="243" spans="1:10" ht="60" customHeight="1">
      <c r="A243" s="6" t="s">
        <v>932</v>
      </c>
      <c r="B243" s="6" t="s">
        <v>16</v>
      </c>
      <c r="C243" s="6" t="s">
        <v>11</v>
      </c>
      <c r="D243" s="7" t="s">
        <v>933</v>
      </c>
      <c r="E243" s="8" t="s">
        <v>934</v>
      </c>
      <c r="F243" s="6" t="s">
        <v>935</v>
      </c>
      <c r="G243" s="9">
        <f>IF(A243=1,"_",IF(C243="_","???",C243))</f>
        <v/>
      </c>
      <c r="H243" s="10" t="s">
        <v>11</v>
      </c>
      <c r="I243" s="11" t="s">
        <v>11</v>
      </c>
      <c r="J243" s="12"/>
    </row>
    <row r="244" spans="1:10" ht="60" customHeight="1">
      <c r="A244" s="6" t="s">
        <v>936</v>
      </c>
      <c r="B244" s="6" t="s">
        <v>24</v>
      </c>
      <c r="C244" s="6" t="s">
        <v>11</v>
      </c>
      <c r="D244" s="7" t="s">
        <v>937</v>
      </c>
      <c r="E244" s="8" t="s">
        <v>938</v>
      </c>
      <c r="F244" s="6" t="s">
        <v>939</v>
      </c>
      <c r="G244" s="9">
        <f>IF(A244=1,"_",IF(C244="_","???",C244))</f>
        <v/>
      </c>
      <c r="H244" s="10" t="s">
        <v>11</v>
      </c>
      <c r="I244" s="11" t="s">
        <v>11</v>
      </c>
      <c r="J244" s="12"/>
    </row>
    <row r="245" spans="1:10" ht="60" customHeight="1">
      <c r="A245" s="6" t="s">
        <v>940</v>
      </c>
      <c r="B245" s="6" t="s">
        <v>40</v>
      </c>
      <c r="C245" s="6" t="s">
        <v>11</v>
      </c>
      <c r="D245" s="7" t="s">
        <v>499</v>
      </c>
      <c r="E245" s="8" t="s">
        <v>941</v>
      </c>
      <c r="F245" s="6" t="s">
        <v>942</v>
      </c>
      <c r="G245" s="9">
        <f>IF(A245=1,"_",IF(C245="_","???",C245))</f>
        <v/>
      </c>
      <c r="H245" s="10" t="s">
        <v>11</v>
      </c>
      <c r="I245" s="11" t="s">
        <v>11</v>
      </c>
      <c r="J245" s="12"/>
    </row>
    <row r="246" spans="1:10" ht="60" customHeight="1">
      <c r="A246" s="6" t="s">
        <v>943</v>
      </c>
      <c r="B246" s="6" t="s">
        <v>10</v>
      </c>
      <c r="C246" s="6" t="s">
        <v>11</v>
      </c>
      <c r="D246" s="7" t="s">
        <v>944</v>
      </c>
      <c r="E246" s="8" t="s">
        <v>945</v>
      </c>
      <c r="F246" s="6" t="s">
        <v>946</v>
      </c>
      <c r="G246" s="9">
        <f>IF(A246=1,"_",IF(C246="_","???",C246))</f>
        <v/>
      </c>
      <c r="H246" s="10" t="s">
        <v>11</v>
      </c>
      <c r="I246" s="11" t="s">
        <v>11</v>
      </c>
      <c r="J246" s="12"/>
    </row>
    <row r="247" spans="1:10" ht="60" customHeight="1">
      <c r="A247" s="6" t="s">
        <v>947</v>
      </c>
      <c r="B247" s="6" t="s">
        <v>16</v>
      </c>
      <c r="C247" s="6" t="s">
        <v>11</v>
      </c>
      <c r="D247" s="7" t="s">
        <v>948</v>
      </c>
      <c r="E247" s="8" t="s">
        <v>949</v>
      </c>
      <c r="F247" s="6" t="s">
        <v>950</v>
      </c>
      <c r="G247" s="9">
        <f>IF(A247=1,"_",IF(C247="_","???",C247))</f>
        <v/>
      </c>
      <c r="H247" s="10" t="s">
        <v>11</v>
      </c>
      <c r="I247" s="11" t="s">
        <v>11</v>
      </c>
      <c r="J247" s="12"/>
    </row>
    <row r="248" spans="1:10" ht="60" customHeight="1">
      <c r="A248" s="6" t="s">
        <v>951</v>
      </c>
      <c r="B248" s="6" t="s">
        <v>15</v>
      </c>
      <c r="C248" s="6" t="s">
        <v>11</v>
      </c>
      <c r="D248" s="7" t="s">
        <v>826</v>
      </c>
      <c r="E248" s="8" t="s">
        <v>952</v>
      </c>
      <c r="F248" s="6" t="s">
        <v>953</v>
      </c>
      <c r="G248" s="9">
        <f>IF(A248=1,"_",IF(C248="_","???",C248))</f>
        <v/>
      </c>
      <c r="H248" s="10" t="s">
        <v>11</v>
      </c>
      <c r="I248" s="11" t="s">
        <v>11</v>
      </c>
      <c r="J248" s="12"/>
    </row>
    <row r="249" spans="1:10" ht="60" customHeight="1">
      <c r="A249" s="6" t="s">
        <v>954</v>
      </c>
      <c r="B249" s="6" t="s">
        <v>15</v>
      </c>
      <c r="C249" s="6" t="s">
        <v>11</v>
      </c>
      <c r="D249" s="7" t="s">
        <v>519</v>
      </c>
      <c r="E249" s="8" t="s">
        <v>955</v>
      </c>
      <c r="F249" s="6" t="s">
        <v>956</v>
      </c>
      <c r="G249" s="9">
        <f>IF(A249=1,"_",IF(C249="_","???",C249))</f>
        <v/>
      </c>
      <c r="H249" s="10" t="s">
        <v>11</v>
      </c>
      <c r="I249" s="11" t="s">
        <v>11</v>
      </c>
      <c r="J249" s="12"/>
    </row>
    <row r="250" spans="1:10" ht="60" customHeight="1">
      <c r="A250" s="6" t="s">
        <v>957</v>
      </c>
      <c r="B250" s="6" t="s">
        <v>10</v>
      </c>
      <c r="C250" s="6" t="s">
        <v>11</v>
      </c>
      <c r="D250" s="7" t="s">
        <v>958</v>
      </c>
      <c r="E250" s="8" t="s">
        <v>959</v>
      </c>
      <c r="F250" s="6" t="s">
        <v>960</v>
      </c>
      <c r="G250" s="9">
        <f>IF(A250=1,"_",IF(C250="_","???",C250))</f>
        <v/>
      </c>
      <c r="H250" s="10" t="s">
        <v>11</v>
      </c>
      <c r="I250" s="11" t="s">
        <v>11</v>
      </c>
      <c r="J250" s="12"/>
    </row>
    <row r="251" spans="1:10" ht="60" customHeight="1">
      <c r="A251" s="6" t="s">
        <v>961</v>
      </c>
      <c r="B251" s="6" t="s">
        <v>28</v>
      </c>
      <c r="C251" s="6" t="s">
        <v>11</v>
      </c>
      <c r="D251" s="7" t="s">
        <v>962</v>
      </c>
      <c r="E251" s="8" t="s">
        <v>963</v>
      </c>
      <c r="F251" s="6" t="s">
        <v>964</v>
      </c>
      <c r="G251" s="9">
        <f>IF(A251=1,"_",IF(C251="_","???",C251))</f>
        <v/>
      </c>
      <c r="H251" s="10" t="s">
        <v>11</v>
      </c>
      <c r="I251" s="11" t="s">
        <v>11</v>
      </c>
      <c r="J251" s="12"/>
    </row>
    <row r="252" spans="1:10" ht="60" customHeight="1">
      <c r="A252" s="6" t="s">
        <v>965</v>
      </c>
      <c r="B252" s="6" t="s">
        <v>10</v>
      </c>
      <c r="C252" s="6" t="s">
        <v>11</v>
      </c>
      <c r="D252" s="7" t="s">
        <v>396</v>
      </c>
      <c r="E252" s="8" t="s">
        <v>966</v>
      </c>
      <c r="F252" s="6" t="s">
        <v>967</v>
      </c>
      <c r="G252" s="9">
        <f>IF(A252=1,"_",IF(C252="_","???",C252))</f>
        <v/>
      </c>
      <c r="H252" s="10" t="s">
        <v>11</v>
      </c>
      <c r="I252" s="11" t="s">
        <v>11</v>
      </c>
      <c r="J252" s="12"/>
    </row>
    <row r="253" spans="1:10" ht="60" customHeight="1">
      <c r="A253" s="6" t="s">
        <v>968</v>
      </c>
      <c r="B253" s="6" t="s">
        <v>15</v>
      </c>
      <c r="C253" s="6" t="s">
        <v>11</v>
      </c>
      <c r="D253" s="7" t="s">
        <v>969</v>
      </c>
      <c r="E253" s="8" t="s">
        <v>970</v>
      </c>
      <c r="F253" s="6" t="s">
        <v>971</v>
      </c>
      <c r="G253" s="9">
        <f>IF(A253=1,"_",IF(C253="_","???",C253))</f>
        <v/>
      </c>
      <c r="H253" s="10" t="s">
        <v>11</v>
      </c>
      <c r="I253" s="11" t="s">
        <v>11</v>
      </c>
      <c r="J253" s="12"/>
    </row>
    <row r="254" spans="1:10" ht="60" customHeight="1">
      <c r="A254" s="6" t="s">
        <v>972</v>
      </c>
      <c r="B254" s="6" t="s">
        <v>16</v>
      </c>
      <c r="C254" s="6" t="s">
        <v>11</v>
      </c>
      <c r="D254" s="7" t="s">
        <v>973</v>
      </c>
      <c r="E254" s="8" t="s">
        <v>974</v>
      </c>
      <c r="F254" s="6" t="s">
        <v>975</v>
      </c>
      <c r="G254" s="9">
        <f>IF(A254=1,"_",IF(C254="_","???",C254))</f>
        <v/>
      </c>
      <c r="H254" s="10" t="s">
        <v>11</v>
      </c>
      <c r="I254" s="11" t="s">
        <v>11</v>
      </c>
      <c r="J254" s="12"/>
    </row>
    <row r="255" spans="1:10" ht="60" customHeight="1">
      <c r="A255" s="6" t="s">
        <v>976</v>
      </c>
      <c r="B255" s="6" t="s">
        <v>28</v>
      </c>
      <c r="C255" s="6" t="s">
        <v>11</v>
      </c>
      <c r="D255" s="7" t="s">
        <v>977</v>
      </c>
      <c r="E255" s="8" t="s">
        <v>978</v>
      </c>
      <c r="F255" s="6" t="s">
        <v>979</v>
      </c>
      <c r="G255" s="9">
        <f>IF(A255=1,"_",IF(C255="_","???",C255))</f>
        <v/>
      </c>
      <c r="H255" s="10" t="s">
        <v>11</v>
      </c>
      <c r="I255" s="11" t="s">
        <v>11</v>
      </c>
      <c r="J255" s="12"/>
    </row>
    <row r="256" spans="1:10" ht="60" customHeight="1">
      <c r="A256" s="6" t="s">
        <v>980</v>
      </c>
      <c r="B256" s="6" t="s">
        <v>20</v>
      </c>
      <c r="C256" s="6" t="s">
        <v>11</v>
      </c>
      <c r="D256" s="7" t="s">
        <v>981</v>
      </c>
      <c r="E256" s="8" t="s">
        <v>982</v>
      </c>
      <c r="F256" s="6" t="s">
        <v>983</v>
      </c>
      <c r="G256" s="9">
        <f>IF(A256=1,"_",IF(C256="_","???",C256))</f>
        <v/>
      </c>
      <c r="H256" s="10" t="s">
        <v>11</v>
      </c>
      <c r="I256" s="11" t="s">
        <v>11</v>
      </c>
      <c r="J256" s="12"/>
    </row>
    <row r="257" spans="1:10" ht="60" customHeight="1">
      <c r="A257" s="6" t="s">
        <v>984</v>
      </c>
      <c r="B257" s="6" t="s">
        <v>28</v>
      </c>
      <c r="C257" s="6" t="s">
        <v>11</v>
      </c>
      <c r="D257" s="7" t="s">
        <v>969</v>
      </c>
      <c r="E257" s="8" t="s">
        <v>985</v>
      </c>
      <c r="F257" s="6" t="s">
        <v>986</v>
      </c>
      <c r="G257" s="9">
        <f>IF(A257=1,"_",IF(C257="_","???",C257))</f>
        <v/>
      </c>
      <c r="H257" s="10" t="s">
        <v>11</v>
      </c>
      <c r="I257" s="11" t="s">
        <v>11</v>
      </c>
      <c r="J257" s="12"/>
    </row>
    <row r="258" spans="1:10" ht="60" customHeight="1">
      <c r="A258" s="6" t="s">
        <v>987</v>
      </c>
      <c r="B258" s="6" t="s">
        <v>40</v>
      </c>
      <c r="C258" s="6" t="s">
        <v>11</v>
      </c>
      <c r="D258" s="7" t="s">
        <v>131</v>
      </c>
      <c r="E258" s="8" t="s">
        <v>988</v>
      </c>
      <c r="F258" s="6" t="s">
        <v>989</v>
      </c>
      <c r="G258" s="9">
        <f>IF(A258=1,"_",IF(C258="_","???",C258))</f>
        <v/>
      </c>
      <c r="H258" s="10" t="s">
        <v>11</v>
      </c>
      <c r="I258" s="11" t="s">
        <v>11</v>
      </c>
      <c r="J258" s="12"/>
    </row>
    <row r="259" spans="1:10" ht="60" customHeight="1">
      <c r="A259" s="6" t="s">
        <v>990</v>
      </c>
      <c r="B259" s="6" t="s">
        <v>32</v>
      </c>
      <c r="C259" s="6" t="s">
        <v>11</v>
      </c>
      <c r="D259" s="7" t="s">
        <v>991</v>
      </c>
      <c r="E259" s="8" t="s">
        <v>992</v>
      </c>
      <c r="F259" s="6" t="s">
        <v>993</v>
      </c>
      <c r="G259" s="9">
        <f>IF(A259=1,"_",IF(C259="_","???",C259))</f>
        <v/>
      </c>
      <c r="H259" s="10" t="s">
        <v>11</v>
      </c>
      <c r="I259" s="11" t="s">
        <v>11</v>
      </c>
      <c r="J259" s="12"/>
    </row>
    <row r="260" spans="1:10" ht="60" customHeight="1">
      <c r="A260" s="6" t="s">
        <v>994</v>
      </c>
      <c r="B260" s="6" t="s">
        <v>32</v>
      </c>
      <c r="C260" s="6" t="s">
        <v>11</v>
      </c>
      <c r="D260" s="7" t="s">
        <v>519</v>
      </c>
      <c r="E260" s="8" t="s">
        <v>995</v>
      </c>
      <c r="F260" s="6" t="s">
        <v>996</v>
      </c>
      <c r="G260" s="9">
        <f>IF(A260=1,"_",IF(C260="_","???",C260))</f>
        <v/>
      </c>
      <c r="H260" s="10" t="s">
        <v>11</v>
      </c>
      <c r="I260" s="11" t="s">
        <v>11</v>
      </c>
      <c r="J260" s="12"/>
    </row>
    <row r="261" spans="1:10" ht="60" customHeight="1">
      <c r="A261" s="6" t="s">
        <v>997</v>
      </c>
      <c r="B261" s="6" t="s">
        <v>15</v>
      </c>
      <c r="C261" s="6" t="s">
        <v>668</v>
      </c>
      <c r="D261" s="7" t="s">
        <v>998</v>
      </c>
      <c r="E261" s="8" t="s">
        <v>999</v>
      </c>
      <c r="F261" s="6" t="s">
        <v>1000</v>
      </c>
      <c r="G261" s="9">
        <f>IF(A261=1,"_",IF(C261="_","???",C261))</f>
        <v/>
      </c>
      <c r="H261" s="10" t="s">
        <v>11</v>
      </c>
      <c r="I261" s="11" t="s">
        <v>11</v>
      </c>
      <c r="J261" s="12"/>
    </row>
    <row r="262" spans="1:10" ht="60" customHeight="1">
      <c r="A262" s="6" t="s">
        <v>1001</v>
      </c>
      <c r="B262" s="6" t="s">
        <v>52</v>
      </c>
      <c r="C262" s="6" t="s">
        <v>11</v>
      </c>
      <c r="D262" s="7" t="s">
        <v>991</v>
      </c>
      <c r="E262" s="8" t="s">
        <v>1002</v>
      </c>
      <c r="F262" s="6" t="s">
        <v>1003</v>
      </c>
      <c r="G262" s="9">
        <f>IF(A262=1,"_",IF(C262="_","???",C262))</f>
        <v/>
      </c>
      <c r="H262" s="10" t="s">
        <v>11</v>
      </c>
      <c r="I262" s="11" t="s">
        <v>11</v>
      </c>
      <c r="J262" s="12"/>
    </row>
    <row r="263" spans="1:10" ht="60" customHeight="1">
      <c r="A263" s="6" t="s">
        <v>1004</v>
      </c>
      <c r="B263" s="6" t="s">
        <v>40</v>
      </c>
      <c r="C263" s="6" t="s">
        <v>11</v>
      </c>
      <c r="D263" s="7" t="s">
        <v>1005</v>
      </c>
      <c r="E263" s="8" t="s">
        <v>1006</v>
      </c>
      <c r="F263" s="6" t="s">
        <v>1007</v>
      </c>
      <c r="G263" s="9">
        <f>IF(A263=1,"_",IF(C263="_","???",C263))</f>
        <v/>
      </c>
      <c r="H263" s="10" t="s">
        <v>11</v>
      </c>
      <c r="I263" s="11" t="s">
        <v>11</v>
      </c>
      <c r="J263" s="12"/>
    </row>
    <row r="264" spans="1:10" ht="60" customHeight="1">
      <c r="A264" s="6" t="s">
        <v>1008</v>
      </c>
      <c r="B264" s="6" t="s">
        <v>15</v>
      </c>
      <c r="C264" s="6" t="s">
        <v>11</v>
      </c>
      <c r="D264" s="7" t="s">
        <v>855</v>
      </c>
      <c r="E264" s="8" t="s">
        <v>1009</v>
      </c>
      <c r="F264" s="6" t="s">
        <v>1010</v>
      </c>
      <c r="G264" s="9">
        <f>IF(A264=1,"_",IF(C264="_","???",C264))</f>
        <v/>
      </c>
      <c r="H264" s="10" t="s">
        <v>11</v>
      </c>
      <c r="I264" s="11" t="s">
        <v>11</v>
      </c>
      <c r="J264" s="12"/>
    </row>
    <row r="265" spans="1:10" ht="60" customHeight="1">
      <c r="A265" s="6" t="s">
        <v>1011</v>
      </c>
      <c r="B265" s="6" t="s">
        <v>52</v>
      </c>
      <c r="C265" s="6" t="s">
        <v>11</v>
      </c>
      <c r="D265" s="7" t="s">
        <v>239</v>
      </c>
      <c r="E265" s="8" t="s">
        <v>1012</v>
      </c>
      <c r="F265" s="6" t="s">
        <v>1013</v>
      </c>
      <c r="G265" s="9">
        <f>IF(A265=1,"_",IF(C265="_","???",C265))</f>
        <v/>
      </c>
      <c r="H265" s="10" t="s">
        <v>11</v>
      </c>
      <c r="I265" s="11" t="s">
        <v>11</v>
      </c>
      <c r="J265" s="12"/>
    </row>
    <row r="266" spans="1:10" ht="60" customHeight="1">
      <c r="A266" s="6" t="s">
        <v>1014</v>
      </c>
      <c r="B266" s="6" t="s">
        <v>24</v>
      </c>
      <c r="C266" s="6" t="s">
        <v>11</v>
      </c>
      <c r="D266" s="7" t="s">
        <v>183</v>
      </c>
      <c r="E266" s="8" t="s">
        <v>1015</v>
      </c>
      <c r="F266" s="6" t="s">
        <v>1016</v>
      </c>
      <c r="G266" s="9">
        <f>IF(A266=1,"_",IF(C266="_","???",C266))</f>
        <v/>
      </c>
      <c r="H266" s="10" t="s">
        <v>11</v>
      </c>
      <c r="I266" s="11" t="s">
        <v>11</v>
      </c>
      <c r="J266" s="12"/>
    </row>
    <row r="267" spans="1:10" ht="60" customHeight="1">
      <c r="A267" s="6" t="s">
        <v>1017</v>
      </c>
      <c r="B267" s="6" t="s">
        <v>36</v>
      </c>
      <c r="C267" s="6" t="s">
        <v>11</v>
      </c>
      <c r="D267" s="7" t="s">
        <v>855</v>
      </c>
      <c r="E267" s="8" t="s">
        <v>1018</v>
      </c>
      <c r="F267" s="6" t="s">
        <v>1019</v>
      </c>
      <c r="G267" s="9">
        <f>IF(A267=1,"_",IF(C267="_","???",C267))</f>
        <v/>
      </c>
      <c r="H267" s="10" t="s">
        <v>11</v>
      </c>
      <c r="I267" s="11" t="s">
        <v>11</v>
      </c>
      <c r="J267" s="12"/>
    </row>
    <row r="268" spans="1:10" ht="60" customHeight="1">
      <c r="A268" s="6" t="s">
        <v>1020</v>
      </c>
      <c r="B268" s="6" t="s">
        <v>36</v>
      </c>
      <c r="C268" s="6" t="s">
        <v>11</v>
      </c>
      <c r="D268" s="7" t="s">
        <v>1021</v>
      </c>
      <c r="E268" s="8" t="s">
        <v>1022</v>
      </c>
      <c r="F268" s="6" t="s">
        <v>1023</v>
      </c>
      <c r="G268" s="9">
        <f>IF(A268=1,"_",IF(C268="_","???",C268))</f>
        <v/>
      </c>
      <c r="H268" s="10" t="s">
        <v>11</v>
      </c>
      <c r="I268" s="11" t="s">
        <v>11</v>
      </c>
      <c r="J268" s="12"/>
    </row>
    <row r="269" spans="1:10" ht="60" customHeight="1">
      <c r="A269" s="6" t="s">
        <v>1024</v>
      </c>
      <c r="B269" s="6" t="s">
        <v>16</v>
      </c>
      <c r="C269" s="6" t="s">
        <v>11</v>
      </c>
      <c r="D269" s="7" t="s">
        <v>1025</v>
      </c>
      <c r="E269" s="8" t="s">
        <v>1026</v>
      </c>
      <c r="F269" s="6" t="s">
        <v>1027</v>
      </c>
      <c r="G269" s="9">
        <f>IF(A269=1,"_",IF(C269="_","???",C269))</f>
        <v/>
      </c>
      <c r="H269" s="10" t="s">
        <v>11</v>
      </c>
      <c r="I269" s="11" t="s">
        <v>11</v>
      </c>
      <c r="J269" s="12"/>
    </row>
    <row r="270" spans="1:10" ht="60" customHeight="1">
      <c r="A270" s="6" t="s">
        <v>1028</v>
      </c>
      <c r="B270" s="6" t="s">
        <v>32</v>
      </c>
      <c r="C270" s="6" t="s">
        <v>11</v>
      </c>
      <c r="D270" s="7" t="s">
        <v>1029</v>
      </c>
      <c r="E270" s="8" t="s">
        <v>1030</v>
      </c>
      <c r="F270" s="6" t="s">
        <v>1031</v>
      </c>
      <c r="G270" s="9">
        <f>IF(A270=1,"_",IF(C270="_","???",C270))</f>
        <v/>
      </c>
      <c r="H270" s="10" t="s">
        <v>11</v>
      </c>
      <c r="I270" s="11" t="s">
        <v>11</v>
      </c>
      <c r="J270" s="12"/>
    </row>
    <row r="271" spans="1:10" ht="60" customHeight="1">
      <c r="A271" s="6" t="s">
        <v>1032</v>
      </c>
      <c r="B271" s="6" t="s">
        <v>24</v>
      </c>
      <c r="C271" s="6" t="s">
        <v>11</v>
      </c>
      <c r="D271" s="7" t="s">
        <v>1033</v>
      </c>
      <c r="E271" s="8" t="s">
        <v>1034</v>
      </c>
      <c r="F271" s="6" t="s">
        <v>1035</v>
      </c>
      <c r="G271" s="9">
        <f>IF(A271=1,"_",IF(C271="_","???",C271))</f>
        <v/>
      </c>
      <c r="H271" s="10" t="s">
        <v>11</v>
      </c>
      <c r="I271" s="11" t="s">
        <v>11</v>
      </c>
      <c r="J271" s="12"/>
    </row>
    <row r="272" spans="1:10" ht="60" customHeight="1">
      <c r="A272" s="6" t="s">
        <v>1036</v>
      </c>
      <c r="B272" s="6" t="s">
        <v>32</v>
      </c>
      <c r="C272" s="6" t="s">
        <v>11</v>
      </c>
      <c r="D272" s="7" t="s">
        <v>1037</v>
      </c>
      <c r="E272" s="8" t="s">
        <v>1038</v>
      </c>
      <c r="F272" s="6" t="s">
        <v>1039</v>
      </c>
      <c r="G272" s="9">
        <f>IF(A272=1,"_",IF(C272="_","???",C272))</f>
        <v/>
      </c>
      <c r="H272" s="10" t="s">
        <v>11</v>
      </c>
      <c r="I272" s="11" t="s">
        <v>11</v>
      </c>
      <c r="J272" s="12"/>
    </row>
    <row r="273" spans="1:10" ht="60" customHeight="1">
      <c r="A273" s="6" t="s">
        <v>1040</v>
      </c>
      <c r="B273" s="6" t="s">
        <v>40</v>
      </c>
      <c r="C273" s="6" t="s">
        <v>11</v>
      </c>
      <c r="D273" s="7" t="s">
        <v>1041</v>
      </c>
      <c r="E273" s="8" t="s">
        <v>1042</v>
      </c>
      <c r="F273" s="6" t="s">
        <v>1043</v>
      </c>
      <c r="G273" s="9">
        <f>IF(A273=1,"_",IF(C273="_","???",C273))</f>
        <v/>
      </c>
      <c r="H273" s="10" t="s">
        <v>11</v>
      </c>
      <c r="I273" s="11" t="s">
        <v>11</v>
      </c>
      <c r="J273" s="12"/>
    </row>
    <row r="274" spans="1:10" ht="60" customHeight="1">
      <c r="A274" s="6" t="s">
        <v>1044</v>
      </c>
      <c r="B274" s="6" t="s">
        <v>16</v>
      </c>
      <c r="C274" s="6" t="s">
        <v>11</v>
      </c>
      <c r="D274" s="7" t="s">
        <v>1045</v>
      </c>
      <c r="E274" s="8" t="s">
        <v>1046</v>
      </c>
      <c r="F274" s="6" t="s">
        <v>1047</v>
      </c>
      <c r="G274" s="9">
        <f>IF(A274=1,"_",IF(C274="_","???",C274))</f>
        <v/>
      </c>
      <c r="H274" s="10" t="s">
        <v>11</v>
      </c>
      <c r="I274" s="11" t="s">
        <v>11</v>
      </c>
      <c r="J274" s="12"/>
    </row>
    <row r="275" spans="1:10" ht="60" customHeight="1">
      <c r="A275" s="6" t="s">
        <v>1048</v>
      </c>
      <c r="B275" s="6" t="s">
        <v>16</v>
      </c>
      <c r="C275" s="6" t="s">
        <v>11</v>
      </c>
      <c r="D275" s="7" t="s">
        <v>366</v>
      </c>
      <c r="E275" s="8" t="s">
        <v>1049</v>
      </c>
      <c r="F275" s="6" t="s">
        <v>1050</v>
      </c>
      <c r="G275" s="9">
        <f>IF(A275=1,"_",IF(C275="_","???",C275))</f>
        <v/>
      </c>
      <c r="H275" s="10" t="s">
        <v>11</v>
      </c>
      <c r="I275" s="11" t="s">
        <v>11</v>
      </c>
      <c r="J275" s="12"/>
    </row>
    <row r="276" spans="1:10" ht="60" customHeight="1">
      <c r="A276" s="6" t="s">
        <v>1051</v>
      </c>
      <c r="B276" s="6" t="s">
        <v>32</v>
      </c>
      <c r="C276" s="6" t="s">
        <v>11</v>
      </c>
      <c r="D276" s="7" t="s">
        <v>439</v>
      </c>
      <c r="E276" s="8" t="s">
        <v>1052</v>
      </c>
      <c r="F276" s="6" t="s">
        <v>1053</v>
      </c>
      <c r="G276" s="9">
        <f>IF(A276=1,"_",IF(C276="_","???",C276))</f>
        <v/>
      </c>
      <c r="H276" s="10" t="s">
        <v>11</v>
      </c>
      <c r="I276" s="11" t="s">
        <v>11</v>
      </c>
      <c r="J276" s="12"/>
    </row>
    <row r="277" spans="1:10" ht="60" customHeight="1">
      <c r="A277" s="6" t="s">
        <v>1054</v>
      </c>
      <c r="B277" s="6" t="s">
        <v>24</v>
      </c>
      <c r="C277" s="6" t="s">
        <v>11</v>
      </c>
      <c r="D277" s="7" t="s">
        <v>1055</v>
      </c>
      <c r="E277" s="8" t="s">
        <v>1056</v>
      </c>
      <c r="F277" s="6" t="s">
        <v>1057</v>
      </c>
      <c r="G277" s="9">
        <f>IF(A277=1,"_",IF(C277="_","???",C277))</f>
        <v/>
      </c>
      <c r="H277" s="10" t="s">
        <v>11</v>
      </c>
      <c r="I277" s="11" t="s">
        <v>11</v>
      </c>
      <c r="J277" s="12"/>
    </row>
    <row r="278" spans="1:10" ht="60" customHeight="1">
      <c r="A278" s="6" t="s">
        <v>1058</v>
      </c>
      <c r="B278" s="6" t="s">
        <v>15</v>
      </c>
      <c r="C278" s="6" t="s">
        <v>11</v>
      </c>
      <c r="D278" s="7" t="s">
        <v>1059</v>
      </c>
      <c r="E278" s="8" t="s">
        <v>1060</v>
      </c>
      <c r="F278" s="6" t="s">
        <v>1061</v>
      </c>
      <c r="G278" s="9">
        <f>IF(A278=1,"_",IF(C278="_","???",C278))</f>
        <v/>
      </c>
      <c r="H278" s="10" t="s">
        <v>11</v>
      </c>
      <c r="I278" s="11" t="s">
        <v>11</v>
      </c>
      <c r="J278" s="12"/>
    </row>
    <row r="279" spans="1:10" ht="60" customHeight="1">
      <c r="A279" s="6" t="s">
        <v>1062</v>
      </c>
      <c r="B279" s="6" t="s">
        <v>15</v>
      </c>
      <c r="C279" s="6" t="s">
        <v>11</v>
      </c>
      <c r="D279" s="7" t="s">
        <v>1063</v>
      </c>
      <c r="E279" s="8" t="s">
        <v>1064</v>
      </c>
      <c r="F279" s="6" t="s">
        <v>1065</v>
      </c>
      <c r="G279" s="9">
        <f>IF(A279=1,"_",IF(C279="_","???",C279))</f>
        <v/>
      </c>
      <c r="H279" s="10" t="s">
        <v>11</v>
      </c>
      <c r="I279" s="11" t="s">
        <v>11</v>
      </c>
      <c r="J279" s="12"/>
    </row>
    <row r="280" spans="1:10" ht="60" customHeight="1">
      <c r="A280" s="6" t="s">
        <v>1066</v>
      </c>
      <c r="B280" s="6" t="s">
        <v>16</v>
      </c>
      <c r="C280" s="6" t="s">
        <v>11</v>
      </c>
      <c r="D280" s="7" t="s">
        <v>1067</v>
      </c>
      <c r="E280" s="8" t="s">
        <v>1068</v>
      </c>
      <c r="F280" s="6" t="s">
        <v>1069</v>
      </c>
      <c r="G280" s="9">
        <f>IF(A280=1,"_",IF(C280="_","???",C280))</f>
        <v/>
      </c>
      <c r="H280" s="10" t="s">
        <v>11</v>
      </c>
      <c r="I280" s="11" t="s">
        <v>11</v>
      </c>
      <c r="J280" s="12"/>
    </row>
    <row r="281" spans="1:10" ht="60" customHeight="1">
      <c r="A281" s="6" t="s">
        <v>1070</v>
      </c>
      <c r="B281" s="6" t="s">
        <v>16</v>
      </c>
      <c r="C281" s="6" t="s">
        <v>11</v>
      </c>
      <c r="D281" s="7" t="s">
        <v>239</v>
      </c>
      <c r="E281" s="8" t="s">
        <v>1071</v>
      </c>
      <c r="F281" s="6" t="s">
        <v>1072</v>
      </c>
      <c r="G281" s="9">
        <f>IF(A281=1,"_",IF(C281="_","???",C281))</f>
        <v/>
      </c>
      <c r="H281" s="10" t="s">
        <v>11</v>
      </c>
      <c r="I281" s="11" t="s">
        <v>11</v>
      </c>
      <c r="J281" s="12"/>
    </row>
    <row r="282" spans="1:10" ht="60" customHeight="1">
      <c r="A282" s="6" t="s">
        <v>1073</v>
      </c>
      <c r="B282" s="6" t="s">
        <v>16</v>
      </c>
      <c r="C282" s="6" t="s">
        <v>11</v>
      </c>
      <c r="D282" s="7" t="s">
        <v>1074</v>
      </c>
      <c r="E282" s="8" t="s">
        <v>1075</v>
      </c>
      <c r="F282" s="6" t="s">
        <v>1076</v>
      </c>
      <c r="G282" s="9">
        <f>IF(A282=1,"_",IF(C282="_","???",C282))</f>
        <v/>
      </c>
      <c r="H282" s="10" t="s">
        <v>11</v>
      </c>
      <c r="I282" s="11" t="s">
        <v>11</v>
      </c>
      <c r="J282" s="12"/>
    </row>
    <row r="283" spans="1:10" ht="60" customHeight="1">
      <c r="A283" s="6" t="s">
        <v>1077</v>
      </c>
      <c r="B283" s="6" t="s">
        <v>28</v>
      </c>
      <c r="C283" s="6" t="s">
        <v>11</v>
      </c>
      <c r="D283" s="7" t="s">
        <v>68</v>
      </c>
      <c r="E283" s="8" t="s">
        <v>1078</v>
      </c>
      <c r="F283" s="6" t="s">
        <v>1079</v>
      </c>
      <c r="G283" s="9">
        <f>IF(A283=1,"_",IF(C283="_","???",C283))</f>
        <v/>
      </c>
      <c r="H283" s="10" t="s">
        <v>11</v>
      </c>
      <c r="I283" s="11" t="s">
        <v>11</v>
      </c>
      <c r="J283" s="12"/>
    </row>
    <row r="284" spans="1:10" ht="60" customHeight="1">
      <c r="A284" s="6" t="s">
        <v>1080</v>
      </c>
      <c r="B284" s="6" t="s">
        <v>52</v>
      </c>
      <c r="C284" s="6" t="s">
        <v>11</v>
      </c>
      <c r="D284" s="7" t="s">
        <v>1081</v>
      </c>
      <c r="E284" s="8" t="s">
        <v>1082</v>
      </c>
      <c r="F284" s="6" t="s">
        <v>1083</v>
      </c>
      <c r="G284" s="9">
        <f>IF(A284=1,"_",IF(C284="_","???",C284))</f>
        <v/>
      </c>
      <c r="H284" s="10" t="s">
        <v>11</v>
      </c>
      <c r="I284" s="11" t="s">
        <v>11</v>
      </c>
      <c r="J284" s="12"/>
    </row>
    <row r="285" spans="1:10" ht="60" customHeight="1">
      <c r="A285" s="6" t="s">
        <v>1084</v>
      </c>
      <c r="B285" s="6" t="s">
        <v>24</v>
      </c>
      <c r="C285" s="6" t="s">
        <v>11</v>
      </c>
      <c r="D285" s="7" t="s">
        <v>1085</v>
      </c>
      <c r="E285" s="8" t="s">
        <v>1086</v>
      </c>
      <c r="F285" s="6" t="s">
        <v>1087</v>
      </c>
      <c r="G285" s="9">
        <f>IF(A285=1,"_",IF(C285="_","???",C285))</f>
        <v/>
      </c>
      <c r="H285" s="10" t="s">
        <v>11</v>
      </c>
      <c r="I285" s="11" t="s">
        <v>11</v>
      </c>
      <c r="J285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58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1088</v>
      </c>
      <c r="B1" s="13" t="s">
        <v>1089</v>
      </c>
      <c r="C1" s="13" t="s">
        <v>1090</v>
      </c>
      <c r="D1" s="13" t="s">
        <v>1091</v>
      </c>
      <c r="E1" s="14" t="s">
        <v>1092</v>
      </c>
      <c r="F1" s="15" t="s">
        <v>1093</v>
      </c>
      <c r="G1" s="16" t="s">
        <v>1094</v>
      </c>
      <c r="H1" s="17" t="s">
        <v>1095</v>
      </c>
      <c r="I1" s="18" t="s">
        <v>1096</v>
      </c>
      <c r="J1" s="18" t="s">
        <v>1097</v>
      </c>
      <c r="K1" s="18" t="s">
        <v>1098</v>
      </c>
      <c r="L1" s="19" t="s">
        <v>9</v>
      </c>
    </row>
    <row r="2" spans="1:12">
      <c r="A2" s="20" t="s">
        <v>1099</v>
      </c>
    </row>
    <row r="3" spans="1:12">
      <c r="A3" s="20" t="s">
        <v>1100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1101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1102</v>
      </c>
      <c r="B5" s="27" t="s">
        <v>1103</v>
      </c>
      <c r="C5" s="27" t="s">
        <v>1104</v>
      </c>
      <c r="D5" s="27" t="s">
        <v>1105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1106</v>
      </c>
      <c r="B6" s="27" t="s">
        <v>1107</v>
      </c>
      <c r="C6" s="27" t="s">
        <v>1108</v>
      </c>
      <c r="D6" s="27" t="s">
        <v>1105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1109</v>
      </c>
      <c r="B7" s="27" t="s">
        <v>1110</v>
      </c>
      <c r="C7" s="27" t="s">
        <v>1108</v>
      </c>
      <c r="D7" s="27" t="s">
        <v>1105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1111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1112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1113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1114</v>
      </c>
      <c r="B11" s="27" t="s">
        <v>1115</v>
      </c>
      <c r="C11" s="27" t="s">
        <v>1116</v>
      </c>
      <c r="D11" s="27" t="s">
        <v>1105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1117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1118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1119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1111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1120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1121</v>
      </c>
      <c r="B17" s="27" t="s">
        <v>1122</v>
      </c>
      <c r="C17" s="27" t="s">
        <v>1116</v>
      </c>
      <c r="D17" s="27" t="s">
        <v>1105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1123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135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1124</v>
      </c>
      <c r="B20" s="27" t="s">
        <v>1125</v>
      </c>
      <c r="C20" s="27" t="s">
        <v>1126</v>
      </c>
      <c r="D20" s="27" t="s">
        <v>1105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1127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1128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1129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1130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1131</v>
      </c>
      <c r="B25" s="27" t="s">
        <v>1132</v>
      </c>
      <c r="C25" s="27" t="s">
        <v>1133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1134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1135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1136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1137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1138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1139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1140</v>
      </c>
      <c r="B32" s="27" t="s">
        <v>1141</v>
      </c>
      <c r="C32" s="27" t="s">
        <v>1142</v>
      </c>
      <c r="D32" s="27" t="s">
        <v>1105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1143</v>
      </c>
      <c r="B33" s="27" t="s">
        <v>1144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1145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/>
    </row>
    <row r="36" spans="1:12">
      <c r="A36" s="20" t="s">
        <v>1146</v>
      </c>
    </row>
    <row r="37" spans="1:12">
      <c r="A37" s="20" t="s">
        <v>1147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1148</v>
      </c>
      <c r="B38" s="27" t="s">
        <v>1149</v>
      </c>
      <c r="C38" s="27" t="s">
        <v>1116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1150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1151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1152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1153</v>
      </c>
      <c r="B42" s="27" t="s">
        <v>1103</v>
      </c>
      <c r="C42" s="27" t="s">
        <v>1104</v>
      </c>
      <c r="D42" s="27" t="s">
        <v>1105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1154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1155</v>
      </c>
      <c r="B44" s="27" t="s">
        <v>1107</v>
      </c>
      <c r="C44" s="27" t="s">
        <v>1156</v>
      </c>
      <c r="D44" s="27" t="s">
        <v>1105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1123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1157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1158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1159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1128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1160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1140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1161</v>
      </c>
      <c r="B52" s="27" t="s">
        <v>1162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1123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1151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1163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1164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1123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1134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1165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1166</v>
      </c>
      <c r="B60" s="27" t="s">
        <v>1167</v>
      </c>
      <c r="C60" s="27" t="s">
        <v>1126</v>
      </c>
      <c r="D60" s="27" t="s">
        <v>1105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1168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1169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1170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1145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/>
    </row>
    <row r="66" spans="1:12">
      <c r="A66" s="20" t="s">
        <v>1171</v>
      </c>
    </row>
    <row r="67" spans="1:12">
      <c r="A67" s="20" t="s">
        <v>1172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1173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1121</v>
      </c>
      <c r="B69" s="27" t="s">
        <v>1107</v>
      </c>
      <c r="C69" s="27" t="s">
        <v>1116</v>
      </c>
      <c r="D69" s="27" t="s">
        <v>1105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1129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1120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1123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1174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1175</v>
      </c>
      <c r="B74" s="27" t="s">
        <v>1149</v>
      </c>
      <c r="C74" s="27" t="s">
        <v>1156</v>
      </c>
      <c r="D74" s="27" t="s">
        <v>1105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1176</v>
      </c>
      <c r="B75" s="27" t="s">
        <v>1107</v>
      </c>
      <c r="C75" s="27" t="s">
        <v>1104</v>
      </c>
      <c r="D75" s="27" t="s">
        <v>1105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1106</v>
      </c>
      <c r="B76" s="27" t="s">
        <v>1110</v>
      </c>
      <c r="C76" s="27" t="s">
        <v>1108</v>
      </c>
      <c r="D76" s="27" t="s">
        <v>1105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1109</v>
      </c>
      <c r="B77" s="27" t="s">
        <v>1132</v>
      </c>
      <c r="C77" s="27" t="s">
        <v>1108</v>
      </c>
      <c r="D77" s="27" t="s">
        <v>1105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1177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1178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1179</v>
      </c>
      <c r="B80" s="27" t="s">
        <v>1103</v>
      </c>
      <c r="C80" s="27" t="s">
        <v>1156</v>
      </c>
      <c r="D80" s="27" t="s">
        <v>1105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1180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1123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1181</v>
      </c>
      <c r="B83" s="27" t="s">
        <v>1125</v>
      </c>
      <c r="C83" s="27" t="s">
        <v>1133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1182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1130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1183</v>
      </c>
      <c r="B86" s="27" t="s">
        <v>1132</v>
      </c>
      <c r="C86" s="27" t="s">
        <v>1126</v>
      </c>
      <c r="D86" s="27" t="s">
        <v>1105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1184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1185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1186</v>
      </c>
      <c r="B89" s="27" t="s">
        <v>1141</v>
      </c>
      <c r="C89" s="27" t="s">
        <v>1126</v>
      </c>
      <c r="D89" s="27" t="s">
        <v>1105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1187</v>
      </c>
      <c r="B90" s="27" t="s">
        <v>1132</v>
      </c>
      <c r="C90" s="27" t="s">
        <v>1104</v>
      </c>
      <c r="D90" s="27" t="s">
        <v>1105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1188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1189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1145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/>
    </row>
    <row r="95" spans="1:12">
      <c r="A95" s="20" t="s">
        <v>1190</v>
      </c>
    </row>
    <row r="96" spans="1:12">
      <c r="A96" s="20" t="s">
        <v>1191</v>
      </c>
      <c r="B96" s="27" t="s">
        <v>1149</v>
      </c>
      <c r="C96" s="27" t="s">
        <v>1126</v>
      </c>
      <c r="D96" s="27" t="s">
        <v>1105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1192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1193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1194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1195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1196</v>
      </c>
      <c r="B101" s="27" t="s">
        <v>1103</v>
      </c>
      <c r="C101" s="27" t="s">
        <v>1126</v>
      </c>
      <c r="D101" s="27" t="s">
        <v>1105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1123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1197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1121</v>
      </c>
      <c r="B104" s="27" t="s">
        <v>1103</v>
      </c>
      <c r="C104" s="27" t="s">
        <v>1116</v>
      </c>
      <c r="D104" s="27" t="s">
        <v>1105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1123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135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1198</v>
      </c>
      <c r="B107" s="27" t="s">
        <v>1115</v>
      </c>
      <c r="C107" s="27" t="s">
        <v>1126</v>
      </c>
      <c r="D107" s="27" t="s">
        <v>1105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1199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1200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1201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1114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1202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1203</v>
      </c>
      <c r="B113" s="27" t="s">
        <v>1132</v>
      </c>
      <c r="C113" s="27" t="s">
        <v>1156</v>
      </c>
      <c r="D113" s="27" t="s">
        <v>1105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1184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1204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1123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1205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1206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1207</v>
      </c>
      <c r="B119" s="27" t="s">
        <v>1141</v>
      </c>
      <c r="C119" s="27" t="s">
        <v>1142</v>
      </c>
      <c r="D119" s="27" t="s">
        <v>1105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1208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1209</v>
      </c>
      <c r="B121" s="27" t="s">
        <v>1144</v>
      </c>
      <c r="C121" s="27" t="s">
        <v>1210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1145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/>
    </row>
    <row r="124" spans="1:12">
      <c r="A124" s="20" t="s">
        <v>1211</v>
      </c>
    </row>
    <row r="125" spans="1:12">
      <c r="A125" s="20" t="s">
        <v>1212</v>
      </c>
      <c r="B125" s="27" t="s">
        <v>1213</v>
      </c>
      <c r="C125" s="27" t="s">
        <v>1126</v>
      </c>
      <c r="D125" s="27" t="s">
        <v>1105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1214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1215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1216</v>
      </c>
      <c r="B128" s="27" t="s">
        <v>1213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1123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1217</v>
      </c>
      <c r="B130" s="27" t="s">
        <v>1122</v>
      </c>
      <c r="C130" s="27" t="s">
        <v>1126</v>
      </c>
      <c r="D130" s="27" t="s">
        <v>1105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1218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1219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1220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1221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1123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1222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1223</v>
      </c>
      <c r="B137" s="27" t="s">
        <v>1115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1123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1224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1225</v>
      </c>
      <c r="B140" s="27" t="s">
        <v>1122</v>
      </c>
      <c r="C140" s="27" t="s">
        <v>1108</v>
      </c>
      <c r="D140" s="27" t="s">
        <v>1105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1226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1227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1123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1128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1228</v>
      </c>
      <c r="B145" s="27" t="s">
        <v>1122</v>
      </c>
      <c r="C145" s="27" t="s">
        <v>1126</v>
      </c>
      <c r="D145" s="27" t="s">
        <v>1105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1229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1113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1230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1231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1186</v>
      </c>
      <c r="B150" s="27" t="s">
        <v>1132</v>
      </c>
      <c r="C150" s="27" t="s">
        <v>1142</v>
      </c>
      <c r="D150" s="27" t="s">
        <v>1105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1232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1145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/>
    </row>
    <row r="154" spans="1:12">
      <c r="A154" s="20" t="s">
        <v>1233</v>
      </c>
    </row>
    <row r="155" spans="1:12">
      <c r="A155" s="20" t="s">
        <v>1234</v>
      </c>
      <c r="B155" s="27" t="s">
        <v>1107</v>
      </c>
      <c r="C155" s="27" t="s">
        <v>1142</v>
      </c>
      <c r="D155" s="27" t="s">
        <v>1105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1235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1236</v>
      </c>
      <c r="B157" s="27" t="s">
        <v>1149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1237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1139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1238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1123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1239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1240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1184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1241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1242</v>
      </c>
      <c r="B166" s="27" t="s">
        <v>1243</v>
      </c>
      <c r="C166" s="27" t="s">
        <v>1126</v>
      </c>
      <c r="D166" s="27" t="s">
        <v>1105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1244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1245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1246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1123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1128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1123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1247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1184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1248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1123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1249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1250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1251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1123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1252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1253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1254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1255</v>
      </c>
      <c r="B184" s="27" t="s">
        <v>1110</v>
      </c>
      <c r="C184" s="27" t="s">
        <v>1210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1256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1257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1123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1228</v>
      </c>
      <c r="B188" s="27" t="s">
        <v>1122</v>
      </c>
      <c r="C188" s="27" t="s">
        <v>1126</v>
      </c>
      <c r="D188" s="27" t="s">
        <v>1105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1258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1123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135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1217</v>
      </c>
      <c r="B192" s="27" t="s">
        <v>1259</v>
      </c>
      <c r="C192" s="27" t="s">
        <v>1126</v>
      </c>
      <c r="D192" s="27" t="s">
        <v>1105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1260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1261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1249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1262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1145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/>
    </row>
    <row r="199" spans="1:12">
      <c r="A199" s="20" t="s">
        <v>1263</v>
      </c>
    </row>
    <row r="200" spans="1:12">
      <c r="A200" s="20" t="s">
        <v>1264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37</v>
      </c>
      <c r="B201" s="27" t="s">
        <v>1103</v>
      </c>
      <c r="C201" s="27" t="s">
        <v>1210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1265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1123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1266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1267</v>
      </c>
      <c r="B205" s="27" t="s">
        <v>1122</v>
      </c>
      <c r="C205" s="27" t="s">
        <v>1210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1268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1269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1270</v>
      </c>
      <c r="B208" s="27" t="s">
        <v>1243</v>
      </c>
      <c r="C208" s="27" t="s">
        <v>1126</v>
      </c>
      <c r="D208" s="27" t="s">
        <v>1105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1271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1272</v>
      </c>
      <c r="B210" s="27" t="s">
        <v>1107</v>
      </c>
      <c r="C210" s="27" t="s">
        <v>1104</v>
      </c>
      <c r="D210" s="27" t="s">
        <v>1105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1273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1274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1275</v>
      </c>
      <c r="B213" s="27" t="s">
        <v>1110</v>
      </c>
      <c r="C213" s="27" t="s">
        <v>1156</v>
      </c>
      <c r="D213" s="27" t="s">
        <v>1105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1145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/>
    </row>
    <row r="216" spans="1:12">
      <c r="A216" s="20" t="s">
        <v>1276</v>
      </c>
    </row>
    <row r="217" spans="1:12">
      <c r="A217" s="20" t="s">
        <v>1277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1278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1279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1123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1280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1184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1281</v>
      </c>
      <c r="B223" s="27" t="s">
        <v>1132</v>
      </c>
      <c r="C223" s="27" t="s">
        <v>1108</v>
      </c>
      <c r="D223" s="27" t="s">
        <v>1105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1123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883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1120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239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1231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1282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1123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1128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1217</v>
      </c>
      <c r="B232" s="27" t="s">
        <v>1122</v>
      </c>
      <c r="C232" s="27" t="s">
        <v>1126</v>
      </c>
      <c r="D232" s="27" t="s">
        <v>1105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1123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1283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1249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1206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1284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1285</v>
      </c>
      <c r="B238" s="27" t="s">
        <v>1107</v>
      </c>
      <c r="C238" s="27" t="s">
        <v>1210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1123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1286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1231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1287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1288</v>
      </c>
      <c r="B243" s="27" t="s">
        <v>1107</v>
      </c>
      <c r="C243" s="27" t="s">
        <v>1289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1145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/>
    </row>
    <row r="246" spans="1:12">
      <c r="A246" s="20" t="s">
        <v>1290</v>
      </c>
    </row>
    <row r="247" spans="1:12">
      <c r="A247" s="20" t="s">
        <v>1191</v>
      </c>
      <c r="B247" s="27" t="s">
        <v>1149</v>
      </c>
      <c r="C247" s="27" t="s">
        <v>1126</v>
      </c>
      <c r="D247" s="27" t="s">
        <v>1105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1291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1292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1123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1293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1184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1294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1195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1257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1295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1296</v>
      </c>
      <c r="B257" s="27" t="s">
        <v>1122</v>
      </c>
      <c r="C257" s="27" t="s">
        <v>1104</v>
      </c>
      <c r="D257" s="27" t="s">
        <v>1105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1297</v>
      </c>
      <c r="B258" s="27" t="s">
        <v>1110</v>
      </c>
      <c r="C258" s="27" t="s">
        <v>1108</v>
      </c>
      <c r="D258" s="27" t="s">
        <v>1105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1123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1195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1298</v>
      </c>
      <c r="B261" s="27" t="s">
        <v>1132</v>
      </c>
      <c r="C261" s="27" t="s">
        <v>1133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1299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1300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11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1301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1302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1139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1303</v>
      </c>
      <c r="B268" s="27" t="s">
        <v>1141</v>
      </c>
      <c r="C268" s="27" t="s">
        <v>1108</v>
      </c>
      <c r="D268" s="27" t="s">
        <v>1105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11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1304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1128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1139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1305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1306</v>
      </c>
      <c r="B274" s="27" t="s">
        <v>1307</v>
      </c>
      <c r="C274" s="27" t="s">
        <v>1156</v>
      </c>
      <c r="D274" s="27" t="s">
        <v>1105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1123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228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1308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1309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1310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1311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1312</v>
      </c>
      <c r="B281" s="27" t="s">
        <v>1313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1314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1145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/>
    </row>
    <row r="285" spans="1:12">
      <c r="A285" s="20" t="s">
        <v>1315</v>
      </c>
    </row>
    <row r="286" spans="1:12">
      <c r="A286" s="20" t="s">
        <v>1316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1317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1318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1319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1123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1217</v>
      </c>
      <c r="B291" s="27" t="s">
        <v>1149</v>
      </c>
      <c r="C291" s="27" t="s">
        <v>1126</v>
      </c>
      <c r="D291" s="27" t="s">
        <v>1105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1320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1271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1321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1184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1322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1323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1123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1324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1130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1325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1123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1326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1186</v>
      </c>
      <c r="B304" s="27" t="s">
        <v>1243</v>
      </c>
      <c r="C304" s="27" t="s">
        <v>1126</v>
      </c>
      <c r="D304" s="27" t="s">
        <v>1105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1327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1184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1281</v>
      </c>
      <c r="B307" s="27" t="s">
        <v>1107</v>
      </c>
      <c r="C307" s="27" t="s">
        <v>1108</v>
      </c>
      <c r="D307" s="27" t="s">
        <v>1105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1123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1224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1328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1329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1253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1330</v>
      </c>
      <c r="B313" s="27" t="s">
        <v>1107</v>
      </c>
      <c r="C313" s="27" t="s">
        <v>1104</v>
      </c>
      <c r="D313" s="27" t="s">
        <v>1105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1271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95</v>
      </c>
      <c r="B315" s="27" t="s">
        <v>1110</v>
      </c>
      <c r="C315" s="27" t="s">
        <v>1108</v>
      </c>
      <c r="D315" s="27" t="s">
        <v>1105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1145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/>
    </row>
    <row r="318" spans="1:12">
      <c r="A318" s="20" t="s">
        <v>1331</v>
      </c>
    </row>
    <row r="319" spans="1:12">
      <c r="A319" s="20" t="s">
        <v>1111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1332</v>
      </c>
      <c r="B320" s="27" t="s">
        <v>1149</v>
      </c>
      <c r="C320" s="27" t="s">
        <v>1126</v>
      </c>
      <c r="D320" s="27" t="s">
        <v>1105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1130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1333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1123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727</v>
      </c>
      <c r="B324" s="27" t="s">
        <v>1103</v>
      </c>
      <c r="C324" s="27" t="s">
        <v>1108</v>
      </c>
      <c r="D324" s="27" t="s">
        <v>1105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1334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/>
    </row>
    <row r="327" spans="1:12">
      <c r="A327" s="20" t="s">
        <v>1335</v>
      </c>
    </row>
    <row r="328" spans="1:12">
      <c r="A328" s="20" t="s">
        <v>1336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1337</v>
      </c>
      <c r="B329" s="27" t="s">
        <v>1149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1338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1339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1111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1340</v>
      </c>
      <c r="B333" s="27" t="s">
        <v>1259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1249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1198</v>
      </c>
      <c r="B335" s="27" t="s">
        <v>1132</v>
      </c>
      <c r="C335" s="27" t="s">
        <v>1126</v>
      </c>
      <c r="D335" s="27" t="s">
        <v>1105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1341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1123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1342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1123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1128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1343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1344</v>
      </c>
      <c r="B342" s="27" t="s">
        <v>1122</v>
      </c>
      <c r="C342" s="27" t="s">
        <v>1104</v>
      </c>
      <c r="D342" s="27" t="s">
        <v>1105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1318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1345</v>
      </c>
      <c r="B344" s="27" t="s">
        <v>1110</v>
      </c>
      <c r="C344" s="27" t="s">
        <v>1126</v>
      </c>
      <c r="D344" s="27" t="s">
        <v>1105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1346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1123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1224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1347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1346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1343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1344</v>
      </c>
      <c r="B351" s="27" t="s">
        <v>1259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1123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1342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1123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1124</v>
      </c>
      <c r="B355" s="27" t="s">
        <v>1259</v>
      </c>
      <c r="C355" s="27" t="s">
        <v>1126</v>
      </c>
      <c r="D355" s="27" t="s">
        <v>1105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1134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1348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1145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/>
    </row>
    <row r="360" spans="1:12">
      <c r="A360" s="20" t="s">
        <v>1349</v>
      </c>
    </row>
    <row r="361" spans="1:12">
      <c r="A361" s="20" t="s">
        <v>1111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1350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1128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60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1351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/>
    </row>
    <row r="367" spans="1:12">
      <c r="A367" s="20" t="s">
        <v>1352</v>
      </c>
    </row>
    <row r="368" spans="1:12">
      <c r="A368" s="20" t="s">
        <v>1353</v>
      </c>
      <c r="B368" s="27" t="s">
        <v>1149</v>
      </c>
      <c r="C368" s="27" t="s">
        <v>1126</v>
      </c>
      <c r="D368" s="27" t="s">
        <v>1105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1130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1354</v>
      </c>
      <c r="B370" s="27" t="s">
        <v>1103</v>
      </c>
      <c r="C370" s="27" t="s">
        <v>1108</v>
      </c>
      <c r="D370" s="27" t="s">
        <v>1105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1355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1356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1357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1358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1359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1145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/>
    </row>
    <row r="378" spans="1:12">
      <c r="A378" s="20" t="s">
        <v>1360</v>
      </c>
    </row>
    <row r="379" spans="1:12">
      <c r="A379" s="20" t="s">
        <v>1111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1191</v>
      </c>
      <c r="B380" s="27" t="s">
        <v>1149</v>
      </c>
      <c r="C380" s="27" t="s">
        <v>1126</v>
      </c>
      <c r="D380" s="27" t="s">
        <v>1105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1361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1123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1362</v>
      </c>
      <c r="B383" s="27" t="s">
        <v>1122</v>
      </c>
      <c r="C383" s="27" t="s">
        <v>1126</v>
      </c>
      <c r="D383" s="27" t="s">
        <v>1105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1363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1364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1365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1123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1366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1225</v>
      </c>
      <c r="B389" s="27" t="s">
        <v>1107</v>
      </c>
      <c r="C389" s="27" t="s">
        <v>1108</v>
      </c>
      <c r="D389" s="27" t="s">
        <v>1105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1145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/>
    </row>
    <row r="392" spans="1:12">
      <c r="A392" s="20" t="s">
        <v>1367</v>
      </c>
    </row>
    <row r="393" spans="1:12">
      <c r="A393" s="20" t="s">
        <v>1368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135</v>
      </c>
      <c r="B394" s="27" t="s">
        <v>1149</v>
      </c>
      <c r="C394" s="27" t="s">
        <v>1133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1195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1270</v>
      </c>
      <c r="B396" s="27" t="s">
        <v>1103</v>
      </c>
      <c r="C396" s="27" t="s">
        <v>1126</v>
      </c>
      <c r="D396" s="27" t="s">
        <v>1105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1369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1370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1184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1371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1372</v>
      </c>
      <c r="B401" s="27" t="s">
        <v>1103</v>
      </c>
      <c r="C401" s="27" t="s">
        <v>1156</v>
      </c>
      <c r="D401" s="27" t="s">
        <v>1105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1334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/>
    </row>
    <row r="404" spans="1:12">
      <c r="A404" s="20" t="s">
        <v>1373</v>
      </c>
    </row>
    <row r="405" spans="1:12">
      <c r="A405" s="20" t="s">
        <v>1111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1374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1375</v>
      </c>
      <c r="B407" s="27" t="s">
        <v>1149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1145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/>
    </row>
    <row r="410" spans="1:12">
      <c r="A410" s="20" t="s">
        <v>1376</v>
      </c>
    </row>
    <row r="411" spans="1:12">
      <c r="A411" s="20" t="s">
        <v>1377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79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1145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/>
    </row>
    <row r="415" spans="1:12">
      <c r="A415" s="20" t="s">
        <v>1378</v>
      </c>
    </row>
    <row r="416" spans="1:12">
      <c r="A416" s="20" t="s">
        <v>1111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1379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1123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1306</v>
      </c>
      <c r="B419" s="27" t="s">
        <v>1149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115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1134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1364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1380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1351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/>
    </row>
    <row r="426" spans="1:12">
      <c r="A426" s="20" t="s">
        <v>1381</v>
      </c>
    </row>
    <row r="427" spans="1:12">
      <c r="A427" s="20" t="s">
        <v>1111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1382</v>
      </c>
      <c r="B428" s="27" t="s">
        <v>1149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1383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1384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1123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1385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1249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1386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1387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1388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1128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263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1123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1389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1390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1391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1392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1393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1145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/>
    </row>
    <row r="447" spans="1:12">
      <c r="A447" s="20" t="s">
        <v>1394</v>
      </c>
    </row>
    <row r="448" spans="1:12">
      <c r="A448" s="20" t="s">
        <v>1111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1368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1395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1396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1397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1398</v>
      </c>
      <c r="B453" s="27" t="s">
        <v>1149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1145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/>
    </row>
    <row r="456" spans="1:12">
      <c r="A456" s="20" t="s">
        <v>1399</v>
      </c>
    </row>
    <row r="457" spans="1:12">
      <c r="A457" s="20" t="s">
        <v>1111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1400</v>
      </c>
      <c r="B458" s="27" t="s">
        <v>1149</v>
      </c>
      <c r="C458" s="27" t="s">
        <v>1116</v>
      </c>
      <c r="D458" s="27" t="s">
        <v>1105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95</v>
      </c>
      <c r="B459" s="27" t="s">
        <v>1103</v>
      </c>
      <c r="C459" s="27" t="s">
        <v>1108</v>
      </c>
      <c r="D459" s="27" t="s">
        <v>1105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1111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1401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1402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1403</v>
      </c>
      <c r="B463" s="27" t="s">
        <v>1110</v>
      </c>
      <c r="C463" s="27" t="s">
        <v>1142</v>
      </c>
      <c r="D463" s="27" t="s">
        <v>1105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1404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1145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/>
    </row>
    <row r="467" spans="1:12">
      <c r="A467" s="20" t="s">
        <v>1405</v>
      </c>
    </row>
    <row r="468" spans="1:12">
      <c r="A468" s="20" t="s">
        <v>1406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1407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1408</v>
      </c>
      <c r="B470" s="27" t="s">
        <v>1213</v>
      </c>
      <c r="C470" s="27" t="s">
        <v>1126</v>
      </c>
      <c r="D470" s="27" t="s">
        <v>1105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1409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1239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1117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1410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1128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239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1411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1145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/>
    </row>
    <row r="480" spans="1:12">
      <c r="A480" s="20" t="s">
        <v>1412</v>
      </c>
    </row>
    <row r="481" spans="1:12">
      <c r="A481" s="20" t="s">
        <v>1353</v>
      </c>
      <c r="B481" s="27" t="s">
        <v>1149</v>
      </c>
      <c r="C481" s="27" t="s">
        <v>1126</v>
      </c>
      <c r="D481" s="27" t="s">
        <v>1105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1413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1414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1253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1415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1123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1416</v>
      </c>
      <c r="B487" s="27" t="s">
        <v>1259</v>
      </c>
      <c r="C487" s="27" t="s">
        <v>1133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1417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1271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1418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1123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1197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1419</v>
      </c>
      <c r="B493" s="27" t="s">
        <v>1132</v>
      </c>
      <c r="C493" s="27" t="s">
        <v>1210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1201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1420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1195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1421</v>
      </c>
      <c r="B497" s="27" t="s">
        <v>1132</v>
      </c>
      <c r="C497" s="27" t="s">
        <v>1126</v>
      </c>
      <c r="D497" s="27" t="s">
        <v>1105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1225</v>
      </c>
      <c r="B498" s="27" t="s">
        <v>1125</v>
      </c>
      <c r="C498" s="27" t="s">
        <v>1108</v>
      </c>
      <c r="D498" s="27" t="s">
        <v>1105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1422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1145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/>
    </row>
    <row r="502" spans="1:12">
      <c r="A502" s="20" t="s">
        <v>1423</v>
      </c>
    </row>
    <row r="503" spans="1:12">
      <c r="A503" s="20" t="s">
        <v>1111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1424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1134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107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1123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1111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1425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1124</v>
      </c>
      <c r="B510" s="27" t="s">
        <v>1122</v>
      </c>
      <c r="C510" s="27" t="s">
        <v>1126</v>
      </c>
      <c r="D510" s="27" t="s">
        <v>1105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1145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/>
    </row>
    <row r="513" spans="1:12">
      <c r="A513" s="20" t="s">
        <v>1426</v>
      </c>
    </row>
    <row r="514" spans="1:12">
      <c r="A514" s="20" t="s">
        <v>1111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1350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1427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1428</v>
      </c>
      <c r="B517" s="27" t="s">
        <v>1149</v>
      </c>
      <c r="C517" s="27" t="s">
        <v>1156</v>
      </c>
      <c r="D517" s="27" t="s">
        <v>1105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1429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1242</v>
      </c>
      <c r="B519" s="27" t="s">
        <v>1213</v>
      </c>
      <c r="C519" s="27" t="s">
        <v>1126</v>
      </c>
      <c r="D519" s="27" t="s">
        <v>1105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1430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1431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1145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/>
    </row>
    <row r="524" spans="1:12">
      <c r="A524" s="20" t="s">
        <v>1432</v>
      </c>
    </row>
    <row r="525" spans="1:12">
      <c r="A525" s="20" t="s">
        <v>1111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1433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1128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1434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79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1334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/>
    </row>
    <row r="532" spans="1:12">
      <c r="A532" s="20" t="s">
        <v>1435</v>
      </c>
    </row>
    <row r="533" spans="1:12">
      <c r="A533" s="20" t="s">
        <v>1111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1436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1123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1437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1438</v>
      </c>
      <c r="B537" s="27" t="s">
        <v>1213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1145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/>
    </row>
    <row r="540" spans="1:12">
      <c r="A540" s="20" t="s">
        <v>1439</v>
      </c>
    </row>
    <row r="541" spans="1:12">
      <c r="A541" s="20" t="s">
        <v>1440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396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1441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1123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727</v>
      </c>
      <c r="B545" s="27" t="s">
        <v>1149</v>
      </c>
      <c r="C545" s="27" t="s">
        <v>1108</v>
      </c>
      <c r="D545" s="27" t="s">
        <v>1105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1145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/>
    </row>
    <row r="548" spans="1:12">
      <c r="A548" s="20" t="s">
        <v>1442</v>
      </c>
    </row>
    <row r="549" spans="1:12">
      <c r="A549" s="20" t="s">
        <v>1443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1123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1444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1362</v>
      </c>
      <c r="B552" s="27" t="s">
        <v>1122</v>
      </c>
      <c r="C552" s="27" t="s">
        <v>1126</v>
      </c>
      <c r="D552" s="27" t="s">
        <v>1105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1445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1184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1446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1334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/>
    </row>
    <row r="558" spans="1:12">
      <c r="A558" s="20" t="s">
        <v>1447</v>
      </c>
    </row>
    <row r="559" spans="1:12">
      <c r="A559" s="20" t="s">
        <v>1448</v>
      </c>
      <c r="B559" s="27" t="s">
        <v>1149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1449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1450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1334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/>
    </row>
    <row r="564" spans="1:12">
      <c r="A564" s="20" t="s">
        <v>1451</v>
      </c>
    </row>
    <row r="565" spans="1:12">
      <c r="A565" s="20" t="s">
        <v>1452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1453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1454</v>
      </c>
      <c r="B567" s="27" t="s">
        <v>1149</v>
      </c>
      <c r="C567" s="27" t="s">
        <v>1156</v>
      </c>
      <c r="D567" s="27" t="s">
        <v>1105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1130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1455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1111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135</v>
      </c>
      <c r="B571" s="27" t="s">
        <v>1103</v>
      </c>
      <c r="C571" s="27" t="s">
        <v>1133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1114</v>
      </c>
      <c r="B572" s="27" t="s">
        <v>1149</v>
      </c>
      <c r="C572" s="27" t="s">
        <v>1116</v>
      </c>
      <c r="D572" s="27" t="s">
        <v>1105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1334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/>
    </row>
    <row r="575" spans="1:12">
      <c r="A575" s="20" t="s">
        <v>1456</v>
      </c>
    </row>
    <row r="576" spans="1:12">
      <c r="A576" s="20" t="s">
        <v>1111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1457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1123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139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1145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/>
    </row>
    <row r="582" spans="1:12">
      <c r="A582" s="20" t="s">
        <v>1458</v>
      </c>
    </row>
    <row r="583" spans="1:12">
      <c r="A583" s="20" t="s">
        <v>1111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1368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1459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1123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1460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1461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1334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/>
    </row>
    <row r="591" spans="1:12">
      <c r="A591" s="20" t="s">
        <v>1462</v>
      </c>
    </row>
    <row r="592" spans="1:12">
      <c r="A592" s="20" t="s">
        <v>1111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1400</v>
      </c>
      <c r="B593" s="27" t="s">
        <v>1149</v>
      </c>
      <c r="C593" s="27" t="s">
        <v>1116</v>
      </c>
      <c r="D593" s="27" t="s">
        <v>1105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1463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1145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/>
    </row>
    <row r="597" spans="1:12">
      <c r="A597" s="20" t="s">
        <v>1464</v>
      </c>
    </row>
    <row r="598" spans="1:12">
      <c r="A598" s="20" t="s">
        <v>1111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1465</v>
      </c>
      <c r="B599" s="27" t="s">
        <v>1149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1466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1145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/>
    </row>
    <row r="603" spans="1:12">
      <c r="A603" s="20" t="s">
        <v>1467</v>
      </c>
    </row>
    <row r="604" spans="1:12">
      <c r="A604" s="20" t="s">
        <v>1332</v>
      </c>
      <c r="B604" s="27" t="s">
        <v>1149</v>
      </c>
      <c r="C604" s="27" t="s">
        <v>1126</v>
      </c>
      <c r="D604" s="27" t="s">
        <v>1105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1468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1469</v>
      </c>
      <c r="B606" s="27" t="s">
        <v>1115</v>
      </c>
      <c r="C606" s="27" t="s">
        <v>1126</v>
      </c>
      <c r="D606" s="27" t="s">
        <v>1105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1450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1123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1239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1470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891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1145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/>
    </row>
    <row r="614" spans="1:12">
      <c r="A614" s="20" t="s">
        <v>1471</v>
      </c>
    </row>
    <row r="615" spans="1:12">
      <c r="A615" s="20" t="s">
        <v>1472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1184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1473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1111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135</v>
      </c>
      <c r="B619" s="27" t="s">
        <v>1243</v>
      </c>
      <c r="C619" s="27" t="s">
        <v>1133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1474</v>
      </c>
      <c r="B620" s="27" t="s">
        <v>1122</v>
      </c>
      <c r="C620" s="27" t="s">
        <v>1126</v>
      </c>
      <c r="D620" s="27" t="s">
        <v>1105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1475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1476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1334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/>
    </row>
    <row r="625" spans="1:12">
      <c r="A625" s="20" t="s">
        <v>1477</v>
      </c>
    </row>
    <row r="626" spans="1:12">
      <c r="A626" s="20" t="s">
        <v>1478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1123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1479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1480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1123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1410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1145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/>
    </row>
    <row r="634" spans="1:12">
      <c r="A634" s="20" t="s">
        <v>1481</v>
      </c>
    </row>
    <row r="635" spans="1:12">
      <c r="A635" s="20" t="s">
        <v>1172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1173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1408</v>
      </c>
      <c r="B637" s="27" t="s">
        <v>1213</v>
      </c>
      <c r="C637" s="27" t="s">
        <v>1126</v>
      </c>
      <c r="D637" s="27" t="s">
        <v>1105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1134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1482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1145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/>
    </row>
    <row r="642" spans="1:12">
      <c r="A642" s="20" t="s">
        <v>1483</v>
      </c>
    </row>
    <row r="643" spans="1:12">
      <c r="A643" s="20" t="s">
        <v>1191</v>
      </c>
      <c r="B643" s="27" t="s">
        <v>1149</v>
      </c>
      <c r="C643" s="27" t="s">
        <v>1126</v>
      </c>
      <c r="D643" s="27" t="s">
        <v>1105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1484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1249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1485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1271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1486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1487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1488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1123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1489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1490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1491</v>
      </c>
      <c r="B654" s="27" t="s">
        <v>1259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1492</v>
      </c>
      <c r="B655" s="27" t="s">
        <v>1132</v>
      </c>
      <c r="C655" s="27" t="s">
        <v>1108</v>
      </c>
      <c r="D655" s="27" t="s">
        <v>1105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1123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1128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1123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1493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1184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1494</v>
      </c>
      <c r="B661" s="27" t="s">
        <v>1495</v>
      </c>
      <c r="C661" s="27" t="s">
        <v>1142</v>
      </c>
      <c r="D661" s="27" t="s">
        <v>1105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1496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1123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1497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1139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1305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1306</v>
      </c>
      <c r="B667" s="27" t="s">
        <v>1141</v>
      </c>
      <c r="C667" s="27" t="s">
        <v>1156</v>
      </c>
      <c r="D667" s="27" t="s">
        <v>1105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1123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1498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1117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1120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1499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1184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1500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1473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1145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/>
    </row>
    <row r="678" spans="1:12">
      <c r="A678" s="20" t="s">
        <v>1501</v>
      </c>
    </row>
    <row r="679" spans="1:12">
      <c r="A679" s="20" t="s">
        <v>1277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1502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1218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1503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1504</v>
      </c>
      <c r="B683" s="27" t="s">
        <v>1103</v>
      </c>
      <c r="C683" s="27" t="s">
        <v>1210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1111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1505</v>
      </c>
      <c r="B685" s="27" t="s">
        <v>1149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1506</v>
      </c>
      <c r="B686" s="27" t="s">
        <v>1107</v>
      </c>
      <c r="C686" s="27" t="s">
        <v>1108</v>
      </c>
      <c r="D686" s="27" t="s">
        <v>1105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1128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1507</v>
      </c>
      <c r="B688" s="27" t="s">
        <v>1110</v>
      </c>
      <c r="C688" s="27" t="s">
        <v>1108</v>
      </c>
      <c r="D688" s="27" t="s">
        <v>1105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1145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/>
    </row>
    <row r="691" spans="1:12">
      <c r="A691" s="20" t="s">
        <v>1508</v>
      </c>
    </row>
    <row r="692" spans="1:12">
      <c r="A692" s="20" t="s">
        <v>1509</v>
      </c>
      <c r="B692" s="27" t="s">
        <v>1149</v>
      </c>
      <c r="C692" s="27" t="s">
        <v>1126</v>
      </c>
      <c r="D692" s="27" t="s">
        <v>1105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1510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1511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1512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1513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1201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1514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1515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1123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1357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1198</v>
      </c>
      <c r="B702" s="27" t="s">
        <v>1107</v>
      </c>
      <c r="C702" s="27" t="s">
        <v>1126</v>
      </c>
      <c r="D702" s="27" t="s">
        <v>1105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1184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1516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1123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1128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1517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1518</v>
      </c>
      <c r="B708" s="27" t="s">
        <v>1243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1145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/>
    </row>
    <row r="711" spans="1:12">
      <c r="A711" s="20" t="s">
        <v>1519</v>
      </c>
    </row>
    <row r="712" spans="1:12">
      <c r="A712" s="20" t="s">
        <v>1520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1521</v>
      </c>
      <c r="B713" s="27" t="s">
        <v>1103</v>
      </c>
      <c r="C713" s="27" t="s">
        <v>1126</v>
      </c>
      <c r="D713" s="27" t="s">
        <v>1105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1522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1523</v>
      </c>
      <c r="B715" s="27" t="s">
        <v>1149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1130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1524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1128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1525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1145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/>
    </row>
    <row r="722" spans="1:12">
      <c r="A722" s="20" t="s">
        <v>1526</v>
      </c>
    </row>
    <row r="723" spans="1:12">
      <c r="A723" s="20" t="s">
        <v>1507</v>
      </c>
      <c r="B723" s="27" t="s">
        <v>1149</v>
      </c>
      <c r="C723" s="27" t="s">
        <v>1108</v>
      </c>
      <c r="D723" s="27" t="s">
        <v>1105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1527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1528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1231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1529</v>
      </c>
      <c r="B727" s="27" t="s">
        <v>1103</v>
      </c>
      <c r="C727" s="27" t="s">
        <v>1133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1123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1197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1530</v>
      </c>
      <c r="B730" s="27" t="s">
        <v>1122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1531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1532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1128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1533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1186</v>
      </c>
      <c r="B735" s="27" t="s">
        <v>1243</v>
      </c>
      <c r="C735" s="27" t="s">
        <v>1126</v>
      </c>
      <c r="D735" s="27" t="s">
        <v>1105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1534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1145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/>
    </row>
    <row r="739" spans="1:12">
      <c r="A739" s="20" t="s">
        <v>1535</v>
      </c>
    </row>
    <row r="740" spans="1:12">
      <c r="A740" s="20" t="s">
        <v>1536</v>
      </c>
      <c r="B740" s="27" t="s">
        <v>1213</v>
      </c>
      <c r="C740" s="27" t="s">
        <v>1126</v>
      </c>
      <c r="D740" s="27" t="s">
        <v>1105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1123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1537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1123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1134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1538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1539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1540</v>
      </c>
      <c r="B747" s="27" t="s">
        <v>1149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1231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1541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1542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1543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1253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1544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1545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1145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/>
    </row>
    <row r="757" spans="1:12">
      <c r="A757" s="20" t="s">
        <v>1546</v>
      </c>
    </row>
    <row r="758" spans="1:12">
      <c r="A758" s="20" t="s">
        <v>1547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396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1507</v>
      </c>
      <c r="B760" s="27" t="s">
        <v>1149</v>
      </c>
      <c r="C760" s="27" t="s">
        <v>1108</v>
      </c>
      <c r="D760" s="27" t="s">
        <v>1105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1548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1128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1549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1101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1550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1123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1224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1505</v>
      </c>
      <c r="B768" s="27" t="s">
        <v>1122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1506</v>
      </c>
      <c r="B769" s="27" t="s">
        <v>1110</v>
      </c>
      <c r="C769" s="27" t="s">
        <v>1108</v>
      </c>
      <c r="D769" s="27" t="s">
        <v>1105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1551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1552</v>
      </c>
      <c r="B771" s="27" t="s">
        <v>1243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1553</v>
      </c>
      <c r="B772" s="27" t="s">
        <v>1243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1184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1554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1128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1555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1249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1556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1557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1123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1558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1559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1145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/>
    </row>
    <row r="785" spans="1:12">
      <c r="A785" s="20" t="s">
        <v>1560</v>
      </c>
    </row>
    <row r="786" spans="1:12">
      <c r="A786" s="20" t="s">
        <v>1191</v>
      </c>
      <c r="B786" s="27" t="s">
        <v>1149</v>
      </c>
      <c r="C786" s="27" t="s">
        <v>1126</v>
      </c>
      <c r="D786" s="27" t="s">
        <v>1105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1561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1562</v>
      </c>
      <c r="B788" s="27" t="s">
        <v>1213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1563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1123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1564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1565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1566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1249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1415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1145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/>
    </row>
    <row r="798" spans="1:12">
      <c r="A798" s="20" t="s">
        <v>1567</v>
      </c>
    </row>
    <row r="799" spans="1:12">
      <c r="A799" s="20" t="s">
        <v>1568</v>
      </c>
      <c r="B799" s="27" t="s">
        <v>1149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1569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1357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1198</v>
      </c>
      <c r="B802" s="27" t="s">
        <v>1103</v>
      </c>
      <c r="C802" s="27" t="s">
        <v>1126</v>
      </c>
      <c r="D802" s="27" t="s">
        <v>1105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1145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/>
    </row>
    <row r="805" spans="1:12">
      <c r="A805" s="20" t="s">
        <v>1570</v>
      </c>
    </row>
    <row r="806" spans="1:12">
      <c r="A806" s="20" t="s">
        <v>1571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1572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1573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1123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1228</v>
      </c>
      <c r="B810" s="27" t="s">
        <v>1149</v>
      </c>
      <c r="C810" s="27" t="s">
        <v>1126</v>
      </c>
      <c r="D810" s="27" t="s">
        <v>1105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1574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1123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135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1575</v>
      </c>
      <c r="B814" s="27" t="s">
        <v>1122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1422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1318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1576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1577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1184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1578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1579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1145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/>
    </row>
    <row r="824" spans="1:12">
      <c r="A824" s="20" t="s">
        <v>1580</v>
      </c>
    </row>
    <row r="825" spans="1:12">
      <c r="A825" s="20" t="s">
        <v>1581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1582</v>
      </c>
      <c r="B826" s="27" t="s">
        <v>1149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1184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1583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1123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1128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1184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1584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1585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1586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1587</v>
      </c>
      <c r="B835" s="27" t="s">
        <v>1122</v>
      </c>
      <c r="C835" s="27" t="s">
        <v>1289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1145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/>
    </row>
    <row r="838" spans="1:12">
      <c r="A838" s="20" t="s">
        <v>1588</v>
      </c>
    </row>
    <row r="839" spans="1:12">
      <c r="A839" s="20" t="s">
        <v>1507</v>
      </c>
      <c r="B839" s="27" t="s">
        <v>1149</v>
      </c>
      <c r="C839" s="27" t="s">
        <v>1108</v>
      </c>
      <c r="D839" s="27" t="s">
        <v>1105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1589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1475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1134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1590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1591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1592</v>
      </c>
      <c r="B845" s="27" t="s">
        <v>1103</v>
      </c>
      <c r="C845" s="27" t="s">
        <v>1210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1123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1260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1593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1594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1123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1595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1596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1469</v>
      </c>
      <c r="B853" s="27" t="s">
        <v>1107</v>
      </c>
      <c r="C853" s="27" t="s">
        <v>1126</v>
      </c>
      <c r="D853" s="27" t="s">
        <v>1105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1128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1597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1184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1446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1145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/>
    </row>
    <row r="860" spans="1:12">
      <c r="A860" s="20" t="s">
        <v>1598</v>
      </c>
    </row>
    <row r="861" spans="1:12">
      <c r="A861" s="20" t="s">
        <v>1191</v>
      </c>
      <c r="B861" s="27" t="s">
        <v>1149</v>
      </c>
      <c r="C861" s="27" t="s">
        <v>1126</v>
      </c>
      <c r="D861" s="27" t="s">
        <v>1105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1574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1123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135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1124</v>
      </c>
      <c r="B865" s="27" t="s">
        <v>1122</v>
      </c>
      <c r="C865" s="27" t="s">
        <v>1126</v>
      </c>
      <c r="D865" s="27" t="s">
        <v>1105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1599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1271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1600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1601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1602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1413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1603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1271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1604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1123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1228</v>
      </c>
      <c r="B876" s="27" t="s">
        <v>1122</v>
      </c>
      <c r="C876" s="27" t="s">
        <v>1126</v>
      </c>
      <c r="D876" s="27" t="s">
        <v>1105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1605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1606</v>
      </c>
      <c r="B878" s="27" t="s">
        <v>1243</v>
      </c>
      <c r="C878" s="27" t="s">
        <v>1126</v>
      </c>
      <c r="D878" s="27" t="s">
        <v>1105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1206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1114</v>
      </c>
      <c r="B880" s="27" t="s">
        <v>1243</v>
      </c>
      <c r="C880" s="27" t="s">
        <v>1116</v>
      </c>
      <c r="D880" s="27" t="s">
        <v>1105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1145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/>
    </row>
    <row r="883" spans="1:12">
      <c r="A883" s="20" t="s">
        <v>1607</v>
      </c>
    </row>
    <row r="884" spans="1:12">
      <c r="A884" s="20" t="s">
        <v>1111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1608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1123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1609</v>
      </c>
      <c r="B887" s="27" t="s">
        <v>1149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1134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 t="s">
        <v>1130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1521</v>
      </c>
      <c r="B890" s="27" t="s">
        <v>1103</v>
      </c>
      <c r="C890" s="27" t="s">
        <v>1126</v>
      </c>
      <c r="D890" s="27" t="s">
        <v>1105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1334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1111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1610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1225</v>
      </c>
      <c r="B894" s="27" t="s">
        <v>1149</v>
      </c>
      <c r="C894" s="27" t="s">
        <v>1108</v>
      </c>
      <c r="D894" s="27" t="s">
        <v>1105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1123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1293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1228</v>
      </c>
      <c r="B897" s="27" t="s">
        <v>1122</v>
      </c>
      <c r="C897" s="27" t="s">
        <v>1126</v>
      </c>
      <c r="D897" s="27" t="s">
        <v>1105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1611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1145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/>
    </row>
    <row r="901" spans="1:12">
      <c r="A901" s="20" t="s">
        <v>1612</v>
      </c>
    </row>
    <row r="902" spans="1:12">
      <c r="A902" s="20" t="s">
        <v>1111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1613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1145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/>
    </row>
    <row r="906" spans="1:12">
      <c r="A906" s="20" t="s">
        <v>1614</v>
      </c>
    </row>
    <row r="907" spans="1:12">
      <c r="A907" s="20" t="s">
        <v>1111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1615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228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1616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1617</v>
      </c>
      <c r="B911" s="27" t="s">
        <v>1149</v>
      </c>
      <c r="C911" s="27" t="s">
        <v>1126</v>
      </c>
      <c r="D911" s="27" t="s">
        <v>1105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 t="s">
        <v>1334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/>
    </row>
    <row r="914" spans="1:12">
      <c r="A914" s="20" t="s">
        <v>1618</v>
      </c>
    </row>
    <row r="915" spans="1:12">
      <c r="A915" s="20" t="s">
        <v>1619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1123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1620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1621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 t="s">
        <v>1128</v>
      </c>
      <c r="E919" s="21">
        <f>IF(D919="?OLD","!!!","")</f>
        <v/>
      </c>
      <c r="F919" s="22" t="str">
        <f>IF(OR(E919="",E919="!!!"),"",IF(NOT(ISNA(VLOOKUP(E919,E$1:E918,1,FALSE()))),"OLD",IF(AND(E919&lt;&gt;"",E919&lt;&gt;"!!!"),"NEW","")))</f>
        <v> </v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4" t="str">
        <f>IF(J919&lt;&gt;1,"",IF(I919="SBJ","CB","?"))</f>
        <v> </v>
      </c>
      <c r="I919" s="25" t="str">
        <f>IF(OR(E919="",E919="!!!",F919="NEW"),"",INDEX(B918:B$2,-1+SUMPRODUCT(MAX(ROW(E918:E$2)*(E919=E918:E$2)))))</f>
        <v> </v>
      </c>
      <c r="J919" s="25" t="str">
        <f>IF(OR(E919="",E919="!!!",F919="NEW"),"",COUNTBLANK(OFFSET(A$1,,,SUMPRODUCT(MAX(ROW(E$2:E919)*(E919=E$2:E919)))))-COUNTBLANK(OFFSET(A$1,,,SUMPRODUCT(MAX(ROW(E$1:E918)*(E2=E$1:E918))))))</f>
        <v> </v>
      </c>
      <c r="K919" s="25" t="str">
        <f>IF(OR(E919="",E919="!!!",F919="NEW"),"",INDEX(J$1:J918,SUMPRODUCT(MAX(ROW(E$1:E918)*(E919=E$1:E918)))))</f>
        <v> </v>
      </c>
      <c r="L919" s="26"/>
    </row>
    <row r="920" spans="1:12">
      <c r="A920" s="20" t="s">
        <v>1622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 t="s">
        <v>1123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1206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1454</v>
      </c>
      <c r="B923" s="27" t="s">
        <v>1149</v>
      </c>
      <c r="C923" s="27" t="s">
        <v>1210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1623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1145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/>
    </row>
    <row r="927" spans="1:12">
      <c r="A927" s="20" t="s">
        <v>1624</v>
      </c>
    </row>
    <row r="928" spans="1:12">
      <c r="A928" s="20" t="s">
        <v>1111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1625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1123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 t="s">
        <v>1134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 t="s">
        <v>1626</v>
      </c>
      <c r="E932" s="21">
        <f>IF(D932="?OLD","!!!","")</f>
        <v/>
      </c>
      <c r="F932" s="22" t="str">
        <f>IF(OR(E932="",E932="!!!"),"",IF(NOT(ISNA(VLOOKUP(E932,E$1:E931,1,FALSE()))),"OLD",IF(AND(E932&lt;&gt;"",E932&lt;&gt;"!!!"),"NEW","")))</f>
        <v> </v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4" t="str">
        <f>IF(J932&lt;&gt;1,"",IF(I932="SBJ","CB","?"))</f>
        <v> </v>
      </c>
      <c r="I932" s="25" t="str">
        <f>IF(OR(E932="",E932="!!!",F932="NEW"),"",INDEX(B931:B$2,-1+SUMPRODUCT(MAX(ROW(E931:E$2)*(E932=E931:E$2)))))</f>
        <v> </v>
      </c>
      <c r="J932" s="25" t="str">
        <f>IF(OR(E932="",E932="!!!",F932="NEW"),"",COUNTBLANK(OFFSET(A$1,,,SUMPRODUCT(MAX(ROW(E$2:E932)*(E932=E$2:E932)))))-COUNTBLANK(OFFSET(A$1,,,SUMPRODUCT(MAX(ROW(E$1:E931)*(E2=E$1:E931))))))</f>
        <v> </v>
      </c>
      <c r="K932" s="25" t="str">
        <f>IF(OR(E932="",E932="!!!",F932="NEW"),"",INDEX(J$1:J931,SUMPRODUCT(MAX(ROW(E$1:E931)*(E932=E$1:E931)))))</f>
        <v> </v>
      </c>
      <c r="L932" s="26"/>
    </row>
    <row r="933" spans="1:12">
      <c r="A933" s="20" t="s">
        <v>1145</v>
      </c>
      <c r="E933" s="21">
        <f>IF(D933="?OLD","!!!","")</f>
        <v/>
      </c>
      <c r="F933" s="22" t="str">
        <f>IF(OR(E933="",E933="!!!"),"",IF(NOT(ISNA(VLOOKUP(E933,E$1:E932,1,FALSE()))),"OLD",IF(AND(E933&lt;&gt;"",E933&lt;&gt;"!!!"),"NEW","")))</f>
        <v> </v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4" t="str">
        <f>IF(J933&lt;&gt;1,"",IF(I933="SBJ","CB","?"))</f>
        <v> </v>
      </c>
      <c r="I933" s="25" t="str">
        <f>IF(OR(E933="",E933="!!!",F933="NEW"),"",INDEX(B932:B$2,-1+SUMPRODUCT(MAX(ROW(E932:E$2)*(E933=E932:E$2)))))</f>
        <v> </v>
      </c>
      <c r="J933" s="25" t="str">
        <f>IF(OR(E933="",E933="!!!",F933="NEW"),"",COUNTBLANK(OFFSET(A$1,,,SUMPRODUCT(MAX(ROW(E$2:E933)*(E933=E$2:E933)))))-COUNTBLANK(OFFSET(A$1,,,SUMPRODUCT(MAX(ROW(E$1:E932)*(E2=E$1:E932))))))</f>
        <v> </v>
      </c>
      <c r="K933" s="25" t="str">
        <f>IF(OR(E933="",E933="!!!",F933="NEW"),"",INDEX(J$1:J932,SUMPRODUCT(MAX(ROW(E$1:E932)*(E933=E$1:E932)))))</f>
        <v> </v>
      </c>
      <c r="L933" s="26"/>
    </row>
    <row r="934" spans="1:12">
      <c r="A934" s="20"/>
    </row>
    <row r="935" spans="1:12">
      <c r="A935" s="20" t="s">
        <v>1627</v>
      </c>
    </row>
    <row r="936" spans="1:12">
      <c r="A936" s="20" t="s">
        <v>1191</v>
      </c>
      <c r="B936" s="27" t="s">
        <v>1149</v>
      </c>
      <c r="C936" s="27" t="s">
        <v>1126</v>
      </c>
      <c r="D936" s="27" t="s">
        <v>1105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1628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 t="s">
        <v>1528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1123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 t="s">
        <v>135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 t="s">
        <v>1391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1392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1393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1629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1630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 t="s">
        <v>1631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263</v>
      </c>
      <c r="B947" s="27" t="s">
        <v>1122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 t="s">
        <v>1145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/>
    </row>
    <row r="950" spans="1:12">
      <c r="A950" s="20" t="s">
        <v>1632</v>
      </c>
    </row>
    <row r="951" spans="1:12">
      <c r="A951" s="20" t="s">
        <v>1633</v>
      </c>
      <c r="B951" s="27" t="s">
        <v>1149</v>
      </c>
      <c r="C951" s="27" t="s">
        <v>1126</v>
      </c>
      <c r="D951" s="27" t="s">
        <v>1105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1634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1635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 t="s">
        <v>1184</v>
      </c>
      <c r="E954" s="21">
        <f>IF(D954="?OLD","!!!","")</f>
        <v/>
      </c>
      <c r="F954" s="22" t="str">
        <f>IF(OR(E954="",E954="!!!"),"",IF(NOT(ISNA(VLOOKUP(E954,E$1:E953,1,FALSE()))),"OLD",IF(AND(E954&lt;&gt;"",E954&lt;&gt;"!!!"),"NEW","")))</f>
        <v> </v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4" t="str">
        <f>IF(J954&lt;&gt;1,"",IF(I954="SBJ","CB","?"))</f>
        <v> </v>
      </c>
      <c r="I954" s="25" t="str">
        <f>IF(OR(E954="",E954="!!!",F954="NEW"),"",INDEX(B953:B$2,-1+SUMPRODUCT(MAX(ROW(E953:E$2)*(E954=E953:E$2)))))</f>
        <v> </v>
      </c>
      <c r="J954" s="25" t="str">
        <f>IF(OR(E954="",E954="!!!",F954="NEW"),"",COUNTBLANK(OFFSET(A$1,,,SUMPRODUCT(MAX(ROW(E$2:E954)*(E954=E$2:E954)))))-COUNTBLANK(OFFSET(A$1,,,SUMPRODUCT(MAX(ROW(E$1:E953)*(E2=E$1:E953))))))</f>
        <v> </v>
      </c>
      <c r="K954" s="25" t="str">
        <f>IF(OR(E954="",E954="!!!",F954="NEW"),"",INDEX(J$1:J953,SUMPRODUCT(MAX(ROW(E$1:E953)*(E954=E$1:E953)))))</f>
        <v> </v>
      </c>
      <c r="L954" s="26"/>
    </row>
    <row r="955" spans="1:12">
      <c r="A955" s="20" t="s">
        <v>1636</v>
      </c>
      <c r="B955" s="27" t="s">
        <v>1107</v>
      </c>
      <c r="C955" s="27" t="s">
        <v>1142</v>
      </c>
      <c r="D955" s="27" t="s">
        <v>1105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 t="s">
        <v>1637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1123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1638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 t="s">
        <v>1270</v>
      </c>
      <c r="B959" s="27" t="s">
        <v>1243</v>
      </c>
      <c r="C959" s="27" t="s">
        <v>1126</v>
      </c>
      <c r="D959" s="27" t="s">
        <v>1105</v>
      </c>
      <c r="E959" s="21">
        <f>IF(D959="?OLD","!!!","")</f>
        <v/>
      </c>
      <c r="F959" s="22" t="str">
        <f>IF(OR(E959="",E959="!!!"),"",IF(NOT(ISNA(VLOOKUP(E959,E$1:E958,1,FALSE()))),"OLD",IF(AND(E959&lt;&gt;"",E959&lt;&gt;"!!!"),"NEW","")))</f>
        <v> </v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4" t="str">
        <f>IF(J959&lt;&gt;1,"",IF(I959="SBJ","CB","?"))</f>
        <v> </v>
      </c>
      <c r="I959" s="25" t="str">
        <f>IF(OR(E959="",E959="!!!",F959="NEW"),"",INDEX(B958:B$2,-1+SUMPRODUCT(MAX(ROW(E958:E$2)*(E959=E958:E$2)))))</f>
        <v> </v>
      </c>
      <c r="J959" s="25" t="str">
        <f>IF(OR(E959="",E959="!!!",F959="NEW"),"",COUNTBLANK(OFFSET(A$1,,,SUMPRODUCT(MAX(ROW(E$2:E959)*(E959=E$2:E959)))))-COUNTBLANK(OFFSET(A$1,,,SUMPRODUCT(MAX(ROW(E$1:E958)*(E2=E$1:E958))))))</f>
        <v> </v>
      </c>
      <c r="K959" s="25" t="str">
        <f>IF(OR(E959="",E959="!!!",F959="NEW"),"",INDEX(J$1:J958,SUMPRODUCT(MAX(ROW(E$1:E958)*(E959=E$1:E958)))))</f>
        <v> </v>
      </c>
      <c r="L959" s="26"/>
    </row>
    <row r="960" spans="1:12">
      <c r="A960" s="20" t="s">
        <v>1128</v>
      </c>
      <c r="E960" s="21">
        <f>IF(D960="?OLD","!!!","")</f>
        <v/>
      </c>
      <c r="F960" s="22" t="str">
        <f>IF(OR(E960="",E960="!!!"),"",IF(NOT(ISNA(VLOOKUP(E960,E$1:E959,1,FALSE()))),"OLD",IF(AND(E960&lt;&gt;"",E960&lt;&gt;"!!!"),"NEW","")))</f>
        <v> </v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4" t="str">
        <f>IF(J960&lt;&gt;1,"",IF(I960="SBJ","CB","?"))</f>
        <v> </v>
      </c>
      <c r="I960" s="25" t="str">
        <f>IF(OR(E960="",E960="!!!",F960="NEW"),"",INDEX(B959:B$2,-1+SUMPRODUCT(MAX(ROW(E959:E$2)*(E960=E959:E$2)))))</f>
        <v> </v>
      </c>
      <c r="J960" s="25" t="str">
        <f>IF(OR(E960="",E960="!!!",F960="NEW"),"",COUNTBLANK(OFFSET(A$1,,,SUMPRODUCT(MAX(ROW(E$2:E960)*(E960=E$2:E960)))))-COUNTBLANK(OFFSET(A$1,,,SUMPRODUCT(MAX(ROW(E$1:E959)*(E2=E$1:E959))))))</f>
        <v> </v>
      </c>
      <c r="K960" s="25" t="str">
        <f>IF(OR(E960="",E960="!!!",F960="NEW"),"",INDEX(J$1:J959,SUMPRODUCT(MAX(ROW(E$1:E959)*(E960=E$1:E959)))))</f>
        <v> </v>
      </c>
      <c r="L960" s="26"/>
    </row>
    <row r="961" spans="1:12">
      <c r="A961" s="20" t="s">
        <v>1639</v>
      </c>
      <c r="E961" s="21">
        <f>IF(D961="?OLD","!!!","")</f>
        <v/>
      </c>
      <c r="F961" s="22" t="str">
        <f>IF(OR(E961="",E961="!!!"),"",IF(NOT(ISNA(VLOOKUP(E961,E$1:E960,1,FALSE()))),"OLD",IF(AND(E961&lt;&gt;"",E961&lt;&gt;"!!!"),"NEW","")))</f>
        <v> </v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4" t="str">
        <f>IF(J961&lt;&gt;1,"",IF(I961="SBJ","CB","?"))</f>
        <v> </v>
      </c>
      <c r="I961" s="25" t="str">
        <f>IF(OR(E961="",E961="!!!",F961="NEW"),"",INDEX(B960:B$2,-1+SUMPRODUCT(MAX(ROW(E960:E$2)*(E961=E960:E$2)))))</f>
        <v> </v>
      </c>
      <c r="J961" s="25" t="str">
        <f>IF(OR(E961="",E961="!!!",F961="NEW"),"",COUNTBLANK(OFFSET(A$1,,,SUMPRODUCT(MAX(ROW(E$2:E961)*(E961=E$2:E961)))))-COUNTBLANK(OFFSET(A$1,,,SUMPRODUCT(MAX(ROW(E$1:E960)*(E2=E$1:E960))))))</f>
        <v> </v>
      </c>
      <c r="K961" s="25" t="str">
        <f>IF(OR(E961="",E961="!!!",F961="NEW"),"",INDEX(J$1:J960,SUMPRODUCT(MAX(ROW(E$1:E960)*(E961=E$1:E960)))))</f>
        <v> </v>
      </c>
      <c r="L961" s="26"/>
    </row>
    <row r="962" spans="1:12">
      <c r="A962" s="20" t="s">
        <v>1128</v>
      </c>
      <c r="E962" s="21">
        <f>IF(D962="?OLD","!!!","")</f>
        <v/>
      </c>
      <c r="F962" s="22" t="str">
        <f>IF(OR(E962="",E962="!!!"),"",IF(NOT(ISNA(VLOOKUP(E962,E$1:E961,1,FALSE()))),"OLD",IF(AND(E962&lt;&gt;"",E962&lt;&gt;"!!!"),"NEW","")))</f>
        <v> </v>
      </c>
      <c r="G962" s="23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4" t="str">
        <f>IF(J962&lt;&gt;1,"",IF(I962="SBJ","CB","?"))</f>
        <v> </v>
      </c>
      <c r="I962" s="25" t="str">
        <f>IF(OR(E962="",E962="!!!",F962="NEW"),"",INDEX(B961:B$2,-1+SUMPRODUCT(MAX(ROW(E961:E$2)*(E962=E961:E$2)))))</f>
        <v> </v>
      </c>
      <c r="J962" s="25" t="str">
        <f>IF(OR(E962="",E962="!!!",F962="NEW"),"",COUNTBLANK(OFFSET(A$1,,,SUMPRODUCT(MAX(ROW(E$2:E962)*(E962=E$2:E962)))))-COUNTBLANK(OFFSET(A$1,,,SUMPRODUCT(MAX(ROW(E$1:E961)*(E2=E$1:E961))))))</f>
        <v> </v>
      </c>
      <c r="K962" s="25" t="str">
        <f>IF(OR(E962="",E962="!!!",F962="NEW"),"",INDEX(J$1:J961,SUMPRODUCT(MAX(ROW(E$1:E961)*(E962=E$1:E961)))))</f>
        <v> </v>
      </c>
      <c r="L962" s="26"/>
    </row>
    <row r="963" spans="1:12">
      <c r="A963" s="20" t="s">
        <v>1640</v>
      </c>
      <c r="E963" s="21">
        <f>IF(D963="?OLD","!!!","")</f>
        <v/>
      </c>
      <c r="F963" s="22" t="str">
        <f>IF(OR(E963="",E963="!!!"),"",IF(NOT(ISNA(VLOOKUP(E963,E$1:E962,1,FALSE()))),"OLD",IF(AND(E963&lt;&gt;"",E963&lt;&gt;"!!!"),"NEW","")))</f>
        <v> </v>
      </c>
      <c r="G963" s="23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4" t="str">
        <f>IF(J963&lt;&gt;1,"",IF(I963="SBJ","CB","?"))</f>
        <v> </v>
      </c>
      <c r="I963" s="25" t="str">
        <f>IF(OR(E963="",E963="!!!",F963="NEW"),"",INDEX(B962:B$2,-1+SUMPRODUCT(MAX(ROW(E962:E$2)*(E963=E962:E$2)))))</f>
        <v> </v>
      </c>
      <c r="J963" s="25" t="str">
        <f>IF(OR(E963="",E963="!!!",F963="NEW"),"",COUNTBLANK(OFFSET(A$1,,,SUMPRODUCT(MAX(ROW(E$2:E963)*(E963=E$2:E963)))))-COUNTBLANK(OFFSET(A$1,,,SUMPRODUCT(MAX(ROW(E$1:E962)*(E2=E$1:E962))))))</f>
        <v> </v>
      </c>
      <c r="K963" s="25" t="str">
        <f>IF(OR(E963="",E963="!!!",F963="NEW"),"",INDEX(J$1:J962,SUMPRODUCT(MAX(ROW(E$1:E962)*(E963=E$1:E962)))))</f>
        <v> </v>
      </c>
      <c r="L963" s="26"/>
    </row>
    <row r="964" spans="1:12">
      <c r="A964" s="20" t="s">
        <v>1641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1123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 t="s">
        <v>1197</v>
      </c>
      <c r="E966" s="21">
        <f>IF(D966="?OLD","!!!","")</f>
        <v/>
      </c>
      <c r="F966" s="22" t="str">
        <f>IF(OR(E966="",E966="!!!"),"",IF(NOT(ISNA(VLOOKUP(E966,E$1:E965,1,FALSE()))),"OLD",IF(AND(E966&lt;&gt;"",E966&lt;&gt;"!!!"),"NEW","")))</f>
        <v> </v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4" t="str">
        <f>IF(J966&lt;&gt;1,"",IF(I966="SBJ","CB","?"))</f>
        <v> </v>
      </c>
      <c r="I966" s="25" t="str">
        <f>IF(OR(E966="",E966="!!!",F966="NEW"),"",INDEX(B965:B$2,-1+SUMPRODUCT(MAX(ROW(E965:E$2)*(E966=E965:E$2)))))</f>
        <v> </v>
      </c>
      <c r="J966" s="25" t="str">
        <f>IF(OR(E966="",E966="!!!",F966="NEW"),"",COUNTBLANK(OFFSET(A$1,,,SUMPRODUCT(MAX(ROW(E$2:E966)*(E966=E$2:E966)))))-COUNTBLANK(OFFSET(A$1,,,SUMPRODUCT(MAX(ROW(E$1:E965)*(E2=E$1:E965))))))</f>
        <v> </v>
      </c>
      <c r="K966" s="25" t="str">
        <f>IF(OR(E966="",E966="!!!",F966="NEW"),"",INDEX(J$1:J965,SUMPRODUCT(MAX(ROW(E$1:E965)*(E966=E$1:E965)))))</f>
        <v> </v>
      </c>
      <c r="L966" s="26"/>
    </row>
    <row r="967" spans="1:12">
      <c r="A967" s="20" t="s">
        <v>1642</v>
      </c>
      <c r="E967" s="21">
        <f>IF(D967="?OLD","!!!","")</f>
        <v/>
      </c>
      <c r="F967" s="22" t="str">
        <f>IF(OR(E967="",E967="!!!"),"",IF(NOT(ISNA(VLOOKUP(E967,E$1:E966,1,FALSE()))),"OLD",IF(AND(E967&lt;&gt;"",E967&lt;&gt;"!!!"),"NEW","")))</f>
        <v> </v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4" t="str">
        <f>IF(J967&lt;&gt;1,"",IF(I967="SBJ","CB","?"))</f>
        <v> </v>
      </c>
      <c r="I967" s="25" t="str">
        <f>IF(OR(E967="",E967="!!!",F967="NEW"),"",INDEX(B966:B$2,-1+SUMPRODUCT(MAX(ROW(E966:E$2)*(E967=E966:E$2)))))</f>
        <v> </v>
      </c>
      <c r="J967" s="25" t="str">
        <f>IF(OR(E967="",E967="!!!",F967="NEW"),"",COUNTBLANK(OFFSET(A$1,,,SUMPRODUCT(MAX(ROW(E$2:E967)*(E967=E$2:E967)))))-COUNTBLANK(OFFSET(A$1,,,SUMPRODUCT(MAX(ROW(E$1:E966)*(E2=E$1:E966))))))</f>
        <v> </v>
      </c>
      <c r="K967" s="25" t="str">
        <f>IF(OR(E967="",E967="!!!",F967="NEW"),"",INDEX(J$1:J966,SUMPRODUCT(MAX(ROW(E$1:E966)*(E967=E$1:E966)))))</f>
        <v> </v>
      </c>
      <c r="L967" s="26"/>
    </row>
    <row r="968" spans="1:12">
      <c r="A968" s="20" t="s">
        <v>1643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1145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/>
    </row>
    <row r="971" spans="1:12">
      <c r="A971" s="20" t="s">
        <v>1644</v>
      </c>
    </row>
    <row r="972" spans="1:12">
      <c r="A972" s="20" t="s">
        <v>1645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1646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 t="s">
        <v>1647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 t="s">
        <v>1648</v>
      </c>
      <c r="B975" s="27" t="s">
        <v>1213</v>
      </c>
      <c r="E975" s="21">
        <f>IF(D975="?OLD","!!!","")</f>
        <v/>
      </c>
      <c r="F975" s="22" t="str">
        <f>IF(OR(E975="",E975="!!!"),"",IF(NOT(ISNA(VLOOKUP(E975,E$1:E974,1,FALSE()))),"OLD",IF(AND(E975&lt;&gt;"",E975&lt;&gt;"!!!"),"NEW","")))</f>
        <v> </v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4" t="str">
        <f>IF(J975&lt;&gt;1,"",IF(I975="SBJ","CB","?"))</f>
        <v> </v>
      </c>
      <c r="I975" s="25" t="str">
        <f>IF(OR(E975="",E975="!!!",F975="NEW"),"",INDEX(B974:B$2,-1+SUMPRODUCT(MAX(ROW(E974:E$2)*(E975=E974:E$2)))))</f>
        <v> </v>
      </c>
      <c r="J975" s="25" t="str">
        <f>IF(OR(E975="",E975="!!!",F975="NEW"),"",COUNTBLANK(OFFSET(A$1,,,SUMPRODUCT(MAX(ROW(E$2:E975)*(E975=E$2:E975)))))-COUNTBLANK(OFFSET(A$1,,,SUMPRODUCT(MAX(ROW(E$1:E974)*(E2=E$1:E974))))))</f>
        <v> </v>
      </c>
      <c r="K975" s="25" t="str">
        <f>IF(OR(E975="",E975="!!!",F975="NEW"),"",INDEX(J$1:J974,SUMPRODUCT(MAX(ROW(E$1:E974)*(E975=E$1:E974)))))</f>
        <v> </v>
      </c>
      <c r="L975" s="26"/>
    </row>
    <row r="976" spans="1:12">
      <c r="A976" s="20" t="s">
        <v>1649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 t="s">
        <v>1186</v>
      </c>
      <c r="B977" s="27" t="s">
        <v>1213</v>
      </c>
      <c r="C977" s="27" t="s">
        <v>1126</v>
      </c>
      <c r="D977" s="27" t="s">
        <v>1105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 t="s">
        <v>1184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 t="s">
        <v>1650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 t="s">
        <v>1651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 t="s">
        <v>1652</v>
      </c>
      <c r="E981" s="21">
        <f>IF(D981="?OLD","!!!","")</f>
        <v/>
      </c>
      <c r="F981" s="22" t="str">
        <f>IF(OR(E981="",E981="!!!"),"",IF(NOT(ISNA(VLOOKUP(E981,E$1:E980,1,FALSE()))),"OLD",IF(AND(E981&lt;&gt;"",E981&lt;&gt;"!!!"),"NEW","")))</f>
        <v> </v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4" t="str">
        <f>IF(J981&lt;&gt;1,"",IF(I981="SBJ","CB","?"))</f>
        <v> </v>
      </c>
      <c r="I981" s="25" t="str">
        <f>IF(OR(E981="",E981="!!!",F981="NEW"),"",INDEX(B980:B$2,-1+SUMPRODUCT(MAX(ROW(E980:E$2)*(E981=E980:E$2)))))</f>
        <v> </v>
      </c>
      <c r="J981" s="25" t="str">
        <f>IF(OR(E981="",E981="!!!",F981="NEW"),"",COUNTBLANK(OFFSET(A$1,,,SUMPRODUCT(MAX(ROW(E$2:E981)*(E981=E$2:E981)))))-COUNTBLANK(OFFSET(A$1,,,SUMPRODUCT(MAX(ROW(E$1:E980)*(E2=E$1:E980))))))</f>
        <v> </v>
      </c>
      <c r="K981" s="25" t="str">
        <f>IF(OR(E981="",E981="!!!",F981="NEW"),"",INDEX(J$1:J980,SUMPRODUCT(MAX(ROW(E$1:E980)*(E981=E$1:E980)))))</f>
        <v> </v>
      </c>
      <c r="L981" s="26"/>
    </row>
    <row r="982" spans="1:12">
      <c r="A982" s="20" t="s">
        <v>1123</v>
      </c>
      <c r="E982" s="21">
        <f>IF(D982="?OLD","!!!","")</f>
        <v/>
      </c>
      <c r="F982" s="22" t="str">
        <f>IF(OR(E982="",E982="!!!"),"",IF(NOT(ISNA(VLOOKUP(E982,E$1:E981,1,FALSE()))),"OLD",IF(AND(E982&lt;&gt;"",E982&lt;&gt;"!!!"),"NEW","")))</f>
        <v> </v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4" t="str">
        <f>IF(J982&lt;&gt;1,"",IF(I982="SBJ","CB","?"))</f>
        <v> </v>
      </c>
      <c r="I982" s="25" t="str">
        <f>IF(OR(E982="",E982="!!!",F982="NEW"),"",INDEX(B981:B$2,-1+SUMPRODUCT(MAX(ROW(E981:E$2)*(E982=E981:E$2)))))</f>
        <v> </v>
      </c>
      <c r="J982" s="25" t="str">
        <f>IF(OR(E982="",E982="!!!",F982="NEW"),"",COUNTBLANK(OFFSET(A$1,,,SUMPRODUCT(MAX(ROW(E$2:E982)*(E982=E$2:E982)))))-COUNTBLANK(OFFSET(A$1,,,SUMPRODUCT(MAX(ROW(E$1:E981)*(E2=E$1:E981))))))</f>
        <v> </v>
      </c>
      <c r="K982" s="25" t="str">
        <f>IF(OR(E982="",E982="!!!",F982="NEW"),"",INDEX(J$1:J981,SUMPRODUCT(MAX(ROW(E$1:E981)*(E982=E$1:E981)))))</f>
        <v> </v>
      </c>
      <c r="L982" s="26"/>
    </row>
    <row r="983" spans="1:12">
      <c r="A983" s="20" t="s">
        <v>1391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 t="s">
        <v>1653</v>
      </c>
      <c r="B984" s="27" t="s">
        <v>1110</v>
      </c>
      <c r="C984" s="27" t="s">
        <v>1133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1123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1654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1655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 t="s">
        <v>1656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 t="s">
        <v>1123</v>
      </c>
      <c r="E989" s="21">
        <f>IF(D989="?OLD","!!!","")</f>
        <v/>
      </c>
      <c r="F989" s="22" t="str">
        <f>IF(OR(E989="",E989="!!!"),"",IF(NOT(ISNA(VLOOKUP(E989,E$1:E988,1,FALSE()))),"OLD",IF(AND(E989&lt;&gt;"",E989&lt;&gt;"!!!"),"NEW","")))</f>
        <v> </v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4" t="str">
        <f>IF(J989&lt;&gt;1,"",IF(I989="SBJ","CB","?"))</f>
        <v> </v>
      </c>
      <c r="I989" s="25" t="str">
        <f>IF(OR(E989="",E989="!!!",F989="NEW"),"",INDEX(B988:B$2,-1+SUMPRODUCT(MAX(ROW(E988:E$2)*(E989=E988:E$2)))))</f>
        <v> </v>
      </c>
      <c r="J989" s="25" t="str">
        <f>IF(OR(E989="",E989="!!!",F989="NEW"),"",COUNTBLANK(OFFSET(A$1,,,SUMPRODUCT(MAX(ROW(E$2:E989)*(E989=E$2:E989)))))-COUNTBLANK(OFFSET(A$1,,,SUMPRODUCT(MAX(ROW(E$1:E988)*(E2=E$1:E988))))))</f>
        <v> </v>
      </c>
      <c r="K989" s="25" t="str">
        <f>IF(OR(E989="",E989="!!!",F989="NEW"),"",INDEX(J$1:J988,SUMPRODUCT(MAX(ROW(E$1:E988)*(E989=E$1:E988)))))</f>
        <v> </v>
      </c>
      <c r="L989" s="26"/>
    </row>
    <row r="990" spans="1:12">
      <c r="A990" s="20" t="s">
        <v>1657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 t="s">
        <v>1658</v>
      </c>
      <c r="B991" s="27" t="s">
        <v>1259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1659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1660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1661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1145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/>
    </row>
    <row r="997" spans="1:12">
      <c r="A997" s="20" t="s">
        <v>1662</v>
      </c>
    </row>
    <row r="998" spans="1:12">
      <c r="A998" s="20" t="s">
        <v>1225</v>
      </c>
      <c r="B998" s="27" t="s">
        <v>1149</v>
      </c>
      <c r="C998" s="27" t="s">
        <v>1108</v>
      </c>
      <c r="D998" s="27" t="s">
        <v>1105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1663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 t="s">
        <v>1184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1664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 t="s">
        <v>1637</v>
      </c>
      <c r="B1002" s="27" t="s">
        <v>1103</v>
      </c>
      <c r="C1002" s="27" t="s">
        <v>1156</v>
      </c>
      <c r="D1002" s="27" t="s">
        <v>1105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 t="s">
        <v>1128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1123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1385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 t="s">
        <v>1249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1665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 t="s">
        <v>1634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 t="s">
        <v>1666</v>
      </c>
      <c r="E1009" s="21">
        <f>IF(D1009="?OLD","!!!","")</f>
        <v/>
      </c>
      <c r="F1009" s="22" t="str">
        <f>IF(OR(E1009="",E1009="!!!"),"",IF(NOT(ISNA(VLOOKUP(E1009,E$1:E1008,1,FALSE()))),"OLD",IF(AND(E1009&lt;&gt;"",E1009&lt;&gt;"!!!"),"NEW","")))</f>
        <v> </v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4" t="str">
        <f>IF(J1009&lt;&gt;1,"",IF(I1009="SBJ","CB","?"))</f>
        <v> </v>
      </c>
      <c r="I1009" s="25" t="str">
        <f>IF(OR(E1009="",E1009="!!!",F1009="NEW"),"",INDEX(B1008:B$2,-1+SUMPRODUCT(MAX(ROW(E1008:E$2)*(E1009=E1008:E$2)))))</f>
        <v> </v>
      </c>
      <c r="J1009" s="25" t="str">
        <f>IF(OR(E1009="",E1009="!!!",F1009="NEW"),"",COUNTBLANK(OFFSET(A$1,,,SUMPRODUCT(MAX(ROW(E$2:E1009)*(E1009=E$2:E1009)))))-COUNTBLANK(OFFSET(A$1,,,SUMPRODUCT(MAX(ROW(E$1:E1008)*(E2=E$1:E1008))))))</f>
        <v> </v>
      </c>
      <c r="K1009" s="25" t="str">
        <f>IF(OR(E1009="",E1009="!!!",F1009="NEW"),"",INDEX(J$1:J1008,SUMPRODUCT(MAX(ROW(E$1:E1008)*(E1009=E$1:E1008)))))</f>
        <v> </v>
      </c>
      <c r="L1009" s="26"/>
    </row>
    <row r="1010" spans="1:12">
      <c r="A1010" s="20" t="s">
        <v>1667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1668</v>
      </c>
      <c r="B1011" s="27" t="s">
        <v>1110</v>
      </c>
      <c r="C1011" s="27" t="s">
        <v>1156</v>
      </c>
      <c r="D1011" s="27" t="s">
        <v>1105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1123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1669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1670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1339</v>
      </c>
      <c r="E1015" s="21">
        <f>IF(D1015="?OLD","!!!","")</f>
        <v/>
      </c>
      <c r="F1015" s="22" t="str">
        <f>IF(OR(E1015="",E1015="!!!"),"",IF(NOT(ISNA(VLOOKUP(E1015,E$1:E1014,1,FALSE()))),"OLD",IF(AND(E1015&lt;&gt;"",E1015&lt;&gt;"!!!"),"NEW","")))</f>
        <v> </v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4" t="str">
        <f>IF(J1015&lt;&gt;1,"",IF(I1015="SBJ","CB","?"))</f>
        <v> </v>
      </c>
      <c r="I1015" s="25" t="str">
        <f>IF(OR(E1015="",E1015="!!!",F1015="NEW"),"",INDEX(B1014:B$2,-1+SUMPRODUCT(MAX(ROW(E1014:E$2)*(E1015=E1014:E$2)))))</f>
        <v> </v>
      </c>
      <c r="J1015" s="25" t="str">
        <f>IF(OR(E1015="",E1015="!!!",F1015="NEW"),"",COUNTBLANK(OFFSET(A$1,,,SUMPRODUCT(MAX(ROW(E$2:E1015)*(E1015=E$2:E1015)))))-COUNTBLANK(OFFSET(A$1,,,SUMPRODUCT(MAX(ROW(E$1:E1014)*(E2=E$1:E1014))))))</f>
        <v> </v>
      </c>
      <c r="K1015" s="25" t="str">
        <f>IF(OR(E1015="",E1015="!!!",F1015="NEW"),"",INDEX(J$1:J1014,SUMPRODUCT(MAX(ROW(E$1:E1014)*(E1015=E$1:E1014)))))</f>
        <v> </v>
      </c>
      <c r="L1015" s="26"/>
    </row>
    <row r="1016" spans="1:12">
      <c r="A1016" s="20" t="s">
        <v>1111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 t="s">
        <v>1671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1123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 t="s">
        <v>1443</v>
      </c>
      <c r="B1019" s="27" t="s">
        <v>1110</v>
      </c>
      <c r="C1019" s="27" t="s">
        <v>1108</v>
      </c>
      <c r="D1019" s="27" t="s">
        <v>1105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 t="s">
        <v>1123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263</v>
      </c>
      <c r="B1021" s="27" t="s">
        <v>1125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1672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1673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1249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 t="s">
        <v>1270</v>
      </c>
      <c r="B1025" s="27" t="s">
        <v>1132</v>
      </c>
      <c r="C1025" s="27" t="s">
        <v>1126</v>
      </c>
      <c r="D1025" s="27" t="s">
        <v>1105</v>
      </c>
      <c r="E1025" s="21">
        <f>IF(D1025="?OLD","!!!","")</f>
        <v/>
      </c>
      <c r="F1025" s="22" t="str">
        <f>IF(OR(E1025="",E1025="!!!"),"",IF(NOT(ISNA(VLOOKUP(E1025,E$1:E1024,1,FALSE()))),"OLD",IF(AND(E1025&lt;&gt;"",E1025&lt;&gt;"!!!"),"NEW","")))</f>
        <v> </v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4" t="str">
        <f>IF(J1025&lt;&gt;1,"",IF(I1025="SBJ","CB","?"))</f>
        <v> </v>
      </c>
      <c r="I1025" s="25" t="str">
        <f>IF(OR(E1025="",E1025="!!!",F1025="NEW"),"",INDEX(B1024:B$2,-1+SUMPRODUCT(MAX(ROW(E1024:E$2)*(E1025=E1024:E$2)))))</f>
        <v> </v>
      </c>
      <c r="J1025" s="25" t="str">
        <f>IF(OR(E1025="",E1025="!!!",F1025="NEW"),"",COUNTBLANK(OFFSET(A$1,,,SUMPRODUCT(MAX(ROW(E$2:E1025)*(E1025=E$2:E1025)))))-COUNTBLANK(OFFSET(A$1,,,SUMPRODUCT(MAX(ROW(E$1:E1024)*(E2=E$1:E1024))))))</f>
        <v> </v>
      </c>
      <c r="K1025" s="25" t="str">
        <f>IF(OR(E1025="",E1025="!!!",F1025="NEW"),"",INDEX(J$1:J1024,SUMPRODUCT(MAX(ROW(E$1:E1024)*(E1025=E$1:E1024)))))</f>
        <v> </v>
      </c>
      <c r="L1025" s="26"/>
    </row>
    <row r="1026" spans="1:12">
      <c r="A1026" s="20" t="s">
        <v>1145</v>
      </c>
      <c r="E1026" s="21">
        <f>IF(D1026="?OLD","!!!","")</f>
        <v/>
      </c>
      <c r="F1026" s="22" t="str">
        <f>IF(OR(E1026="",E1026="!!!"),"",IF(NOT(ISNA(VLOOKUP(E1026,E$1:E1025,1,FALSE()))),"OLD",IF(AND(E1026&lt;&gt;"",E1026&lt;&gt;"!!!"),"NEW","")))</f>
        <v> </v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4" t="str">
        <f>IF(J1026&lt;&gt;1,"",IF(I1026="SBJ","CB","?"))</f>
        <v> </v>
      </c>
      <c r="I1026" s="25" t="str">
        <f>IF(OR(E1026="",E1026="!!!",F1026="NEW"),"",INDEX(B1025:B$2,-1+SUMPRODUCT(MAX(ROW(E1025:E$2)*(E1026=E1025:E$2)))))</f>
        <v> </v>
      </c>
      <c r="J1026" s="25" t="str">
        <f>IF(OR(E1026="",E1026="!!!",F1026="NEW"),"",COUNTBLANK(OFFSET(A$1,,,SUMPRODUCT(MAX(ROW(E$2:E1026)*(E1026=E$2:E1026)))))-COUNTBLANK(OFFSET(A$1,,,SUMPRODUCT(MAX(ROW(E$1:E1025)*(E2=E$1:E1025))))))</f>
        <v> </v>
      </c>
      <c r="K1026" s="25" t="str">
        <f>IF(OR(E1026="",E1026="!!!",F1026="NEW"),"",INDEX(J$1:J1025,SUMPRODUCT(MAX(ROW(E$1:E1025)*(E1026=E$1:E1025)))))</f>
        <v> </v>
      </c>
      <c r="L1026" s="26"/>
    </row>
    <row r="1027" spans="1:12">
      <c r="A1027" s="20"/>
    </row>
    <row r="1028" spans="1:12">
      <c r="A1028" s="20" t="s">
        <v>1674</v>
      </c>
    </row>
    <row r="1029" spans="1:12">
      <c r="A1029" s="20" t="s">
        <v>1111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 t="s">
        <v>1368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 t="s">
        <v>1114</v>
      </c>
      <c r="B1031" s="27" t="s">
        <v>1149</v>
      </c>
      <c r="C1031" s="27" t="s">
        <v>1116</v>
      </c>
      <c r="D1031" s="27" t="s">
        <v>1105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 t="s">
        <v>1675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 t="s">
        <v>1334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/>
    </row>
    <row r="1035" spans="1:12">
      <c r="A1035" s="20" t="s">
        <v>1676</v>
      </c>
    </row>
    <row r="1036" spans="1:12">
      <c r="A1036" s="20" t="s">
        <v>1111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1677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259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1351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/>
    </row>
    <row r="1041" spans="1:12">
      <c r="A1041" s="20" t="s">
        <v>1678</v>
      </c>
    </row>
    <row r="1042" spans="1:12">
      <c r="A1042" s="20" t="s">
        <v>1679</v>
      </c>
      <c r="E1042" s="21">
        <f>IF(D1042="?OLD","!!!","")</f>
        <v/>
      </c>
      <c r="F1042" s="22" t="str">
        <f>IF(OR(E1042="",E1042="!!!"),"",IF(NOT(ISNA(VLOOKUP(E1042,E$1:E1041,1,FALSE()))),"OLD",IF(AND(E1042&lt;&gt;"",E1042&lt;&gt;"!!!"),"NEW","")))</f>
        <v> </v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4" t="str">
        <f>IF(J1042&lt;&gt;1,"",IF(I1042="SBJ","CB","?"))</f>
        <v> </v>
      </c>
      <c r="I1042" s="25" t="str">
        <f>IF(OR(E1042="",E1042="!!!",F1042="NEW"),"",INDEX(B1041:B$2,-1+SUMPRODUCT(MAX(ROW(E1041:E$2)*(E1042=E1041:E$2)))))</f>
        <v> </v>
      </c>
      <c r="J1042" s="25" t="str">
        <f>IF(OR(E1042="",E1042="!!!",F1042="NEW"),"",COUNTBLANK(OFFSET(A$1,,,SUMPRODUCT(MAX(ROW(E$2:E1042)*(E1042=E$2:E1042)))))-COUNTBLANK(OFFSET(A$1,,,SUMPRODUCT(MAX(ROW(E$1:E1041)*(E2=E$1:E1041))))))</f>
        <v> </v>
      </c>
      <c r="K1042" s="25" t="str">
        <f>IF(OR(E1042="",E1042="!!!",F1042="NEW"),"",INDEX(J$1:J1041,SUMPRODUCT(MAX(ROW(E$1:E1041)*(E1042=E$1:E1041)))))</f>
        <v> </v>
      </c>
      <c r="L1042" s="26"/>
    </row>
    <row r="1043" spans="1:12">
      <c r="A1043" s="20" t="s">
        <v>1111</v>
      </c>
      <c r="E1043" s="21">
        <f>IF(D1043="?OLD","!!!","")</f>
        <v/>
      </c>
      <c r="F1043" s="22" t="str">
        <f>IF(OR(E1043="",E1043="!!!"),"",IF(NOT(ISNA(VLOOKUP(E1043,E$1:E1042,1,FALSE()))),"OLD",IF(AND(E1043&lt;&gt;"",E1043&lt;&gt;"!!!"),"NEW","")))</f>
        <v> </v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4" t="str">
        <f>IF(J1043&lt;&gt;1,"",IF(I1043="SBJ","CB","?"))</f>
        <v> </v>
      </c>
      <c r="I1043" s="25" t="str">
        <f>IF(OR(E1043="",E1043="!!!",F1043="NEW"),"",INDEX(B1042:B$2,-1+SUMPRODUCT(MAX(ROW(E1042:E$2)*(E1043=E1042:E$2)))))</f>
        <v> </v>
      </c>
      <c r="J1043" s="25" t="str">
        <f>IF(OR(E1043="",E1043="!!!",F1043="NEW"),"",COUNTBLANK(OFFSET(A$1,,,SUMPRODUCT(MAX(ROW(E$2:E1043)*(E1043=E$2:E1043)))))-COUNTBLANK(OFFSET(A$1,,,SUMPRODUCT(MAX(ROW(E$1:E1042)*(E2=E$1:E1042))))))</f>
        <v> </v>
      </c>
      <c r="K1043" s="25" t="str">
        <f>IF(OR(E1043="",E1043="!!!",F1043="NEW"),"",INDEX(J$1:J1042,SUMPRODUCT(MAX(ROW(E$1:E1042)*(E1043=E$1:E1042)))))</f>
        <v> </v>
      </c>
      <c r="L1043" s="26"/>
    </row>
    <row r="1044" spans="1:12">
      <c r="A1044" s="20" t="s">
        <v>1680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 t="s">
        <v>1123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135</v>
      </c>
      <c r="B1046" s="27" t="s">
        <v>1122</v>
      </c>
      <c r="C1046" s="27" t="s">
        <v>1133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1681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1682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1207</v>
      </c>
      <c r="B1049" s="27" t="s">
        <v>1132</v>
      </c>
      <c r="C1049" s="27" t="s">
        <v>1142</v>
      </c>
      <c r="D1049" s="27" t="s">
        <v>1105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1683</v>
      </c>
      <c r="B1050" s="27" t="s">
        <v>1115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1145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/>
    </row>
    <row r="1053" spans="1:12">
      <c r="A1053" s="20" t="s">
        <v>1684</v>
      </c>
    </row>
    <row r="1054" spans="1:12">
      <c r="A1054" s="20" t="s">
        <v>1547</v>
      </c>
      <c r="E1054" s="21">
        <f>IF(D1054="?OLD","!!!","")</f>
        <v/>
      </c>
      <c r="F1054" s="22" t="str">
        <f>IF(OR(E1054="",E1054="!!!"),"",IF(NOT(ISNA(VLOOKUP(E1054,E$1:E1053,1,FALSE()))),"OLD",IF(AND(E1054&lt;&gt;"",E1054&lt;&gt;"!!!"),"NEW","")))</f>
        <v> </v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4" t="str">
        <f>IF(J1054&lt;&gt;1,"",IF(I1054="SBJ","CB","?"))</f>
        <v> </v>
      </c>
      <c r="I1054" s="25" t="str">
        <f>IF(OR(E1054="",E1054="!!!",F1054="NEW"),"",INDEX(B1053:B$2,-1+SUMPRODUCT(MAX(ROW(E1053:E$2)*(E1054=E1053:E$2)))))</f>
        <v> </v>
      </c>
      <c r="J1054" s="25" t="str">
        <f>IF(OR(E1054="",E1054="!!!",F1054="NEW"),"",COUNTBLANK(OFFSET(A$1,,,SUMPRODUCT(MAX(ROW(E$2:E1054)*(E1054=E$2:E1054)))))-COUNTBLANK(OFFSET(A$1,,,SUMPRODUCT(MAX(ROW(E$1:E1053)*(E2=E$1:E1053))))))</f>
        <v> </v>
      </c>
      <c r="K1054" s="25" t="str">
        <f>IF(OR(E1054="",E1054="!!!",F1054="NEW"),"",INDEX(J$1:J1053,SUMPRODUCT(MAX(ROW(E$1:E1053)*(E1054=E$1:E1053)))))</f>
        <v> </v>
      </c>
      <c r="L1054" s="26"/>
    </row>
    <row r="1055" spans="1:12">
      <c r="A1055" s="20" t="s">
        <v>1505</v>
      </c>
      <c r="B1055" s="27" t="s">
        <v>1149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 t="s">
        <v>1506</v>
      </c>
      <c r="B1056" s="27" t="s">
        <v>1107</v>
      </c>
      <c r="C1056" s="27" t="s">
        <v>1108</v>
      </c>
      <c r="D1056" s="27" t="s">
        <v>1105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1475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 t="s">
        <v>1134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 t="s">
        <v>1685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1145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/>
    </row>
    <row r="1062" spans="1:12">
      <c r="A1062" s="20" t="s">
        <v>1686</v>
      </c>
    </row>
    <row r="1063" spans="1:12">
      <c r="A1063" s="20" t="s">
        <v>1687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 t="s">
        <v>1688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1689</v>
      </c>
      <c r="B1065" s="27" t="s">
        <v>1103</v>
      </c>
      <c r="C1065" s="27" t="s">
        <v>1210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1145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/>
    </row>
    <row r="1068" spans="1:12">
      <c r="A1068" s="20" t="s">
        <v>1690</v>
      </c>
    </row>
    <row r="1069" spans="1:12">
      <c r="A1069" s="20" t="s">
        <v>1406</v>
      </c>
      <c r="E1069" s="21">
        <f>IF(D1069="?OLD","!!!","")</f>
        <v/>
      </c>
      <c r="F1069" s="22" t="str">
        <f>IF(OR(E1069="",E1069="!!!"),"",IF(NOT(ISNA(VLOOKUP(E1069,E$1:E1068,1,FALSE()))),"OLD",IF(AND(E1069&lt;&gt;"",E1069&lt;&gt;"!!!"),"NEW","")))</f>
        <v> </v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4" t="str">
        <f>IF(J1069&lt;&gt;1,"",IF(I1069="SBJ","CB","?"))</f>
        <v> </v>
      </c>
      <c r="I1069" s="25" t="str">
        <f>IF(OR(E1069="",E1069="!!!",F1069="NEW"),"",INDEX(B1068:B$2,-1+SUMPRODUCT(MAX(ROW(E1068:E$2)*(E1069=E1068:E$2)))))</f>
        <v> </v>
      </c>
      <c r="J1069" s="25" t="str">
        <f>IF(OR(E1069="",E1069="!!!",F1069="NEW"),"",COUNTBLANK(OFFSET(A$1,,,SUMPRODUCT(MAX(ROW(E$2:E1069)*(E1069=E$2:E1069)))))-COUNTBLANK(OFFSET(A$1,,,SUMPRODUCT(MAX(ROW(E$1:E1068)*(E2=E$1:E1068))))))</f>
        <v> </v>
      </c>
      <c r="K1069" s="25" t="str">
        <f>IF(OR(E1069="",E1069="!!!",F1069="NEW"),"",INDEX(J$1:J1068,SUMPRODUCT(MAX(ROW(E$1:E1068)*(E1069=E$1:E1068)))))</f>
        <v> </v>
      </c>
      <c r="L1069" s="26"/>
    </row>
    <row r="1070" spans="1:12">
      <c r="A1070" s="20" t="s">
        <v>1206</v>
      </c>
      <c r="B1070" s="27" t="s">
        <v>1149</v>
      </c>
      <c r="C1070" s="27" t="s">
        <v>1126</v>
      </c>
      <c r="D1070" s="27" t="s">
        <v>1105</v>
      </c>
      <c r="E1070" s="21">
        <f>IF(D1070="?OLD","!!!","")</f>
        <v/>
      </c>
      <c r="F1070" s="22" t="str">
        <f>IF(OR(E1070="",E1070="!!!"),"",IF(NOT(ISNA(VLOOKUP(E1070,E$1:E1069,1,FALSE()))),"OLD",IF(AND(E1070&lt;&gt;"",E1070&lt;&gt;"!!!"),"NEW","")))</f>
        <v> </v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4" t="str">
        <f>IF(J1070&lt;&gt;1,"",IF(I1070="SBJ","CB","?"))</f>
        <v> </v>
      </c>
      <c r="I1070" s="25" t="str">
        <f>IF(OR(E1070="",E1070="!!!",F1070="NEW"),"",INDEX(B1069:B$2,-1+SUMPRODUCT(MAX(ROW(E1069:E$2)*(E1070=E1069:E$2)))))</f>
        <v> </v>
      </c>
      <c r="J1070" s="25" t="str">
        <f>IF(OR(E1070="",E1070="!!!",F1070="NEW"),"",COUNTBLANK(OFFSET(A$1,,,SUMPRODUCT(MAX(ROW(E$2:E1070)*(E1070=E$2:E1070)))))-COUNTBLANK(OFFSET(A$1,,,SUMPRODUCT(MAX(ROW(E$1:E1069)*(E2=E$1:E1069))))))</f>
        <v> </v>
      </c>
      <c r="K1070" s="25" t="str">
        <f>IF(OR(E1070="",E1070="!!!",F1070="NEW"),"",INDEX(J$1:J1069,SUMPRODUCT(MAX(ROW(E$1:E1069)*(E1070=E$1:E1069)))))</f>
        <v> </v>
      </c>
      <c r="L1070" s="26"/>
    </row>
    <row r="1071" spans="1:12">
      <c r="A1071" s="20" t="s">
        <v>1111</v>
      </c>
      <c r="E1071" s="21">
        <f>IF(D1071="?OLD","!!!","")</f>
        <v/>
      </c>
      <c r="F1071" s="22" t="str">
        <f>IF(OR(E1071="",E1071="!!!"),"",IF(NOT(ISNA(VLOOKUP(E1071,E$1:E1070,1,FALSE()))),"OLD",IF(AND(E1071&lt;&gt;"",E1071&lt;&gt;"!!!"),"NEW","")))</f>
        <v> </v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4" t="str">
        <f>IF(J1071&lt;&gt;1,"",IF(I1071="SBJ","CB","?"))</f>
        <v> </v>
      </c>
      <c r="I1071" s="25" t="str">
        <f>IF(OR(E1071="",E1071="!!!",F1071="NEW"),"",INDEX(B1070:B$2,-1+SUMPRODUCT(MAX(ROW(E1070:E$2)*(E1071=E1070:E$2)))))</f>
        <v> </v>
      </c>
      <c r="J1071" s="25" t="str">
        <f>IF(OR(E1071="",E1071="!!!",F1071="NEW"),"",COUNTBLANK(OFFSET(A$1,,,SUMPRODUCT(MAX(ROW(E$2:E1071)*(E1071=E$2:E1071)))))-COUNTBLANK(OFFSET(A$1,,,SUMPRODUCT(MAX(ROW(E$1:E1070)*(E2=E$1:E1070))))))</f>
        <v> </v>
      </c>
      <c r="K1071" s="25" t="str">
        <f>IF(OR(E1071="",E1071="!!!",F1071="NEW"),"",INDEX(J$1:J1070,SUMPRODUCT(MAX(ROW(E$1:E1070)*(E1071=E$1:E1070)))))</f>
        <v> </v>
      </c>
      <c r="L1071" s="26"/>
    </row>
    <row r="1072" spans="1:12">
      <c r="A1072" s="20" t="s">
        <v>1128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 t="s">
        <v>1691</v>
      </c>
      <c r="B1073" s="27" t="s">
        <v>1107</v>
      </c>
      <c r="C1073" s="27" t="s">
        <v>1142</v>
      </c>
      <c r="D1073" s="27" t="s">
        <v>1105</v>
      </c>
      <c r="E1073" s="21">
        <f>IF(D1073="?OLD","!!!","")</f>
        <v/>
      </c>
      <c r="F1073" s="22" t="str">
        <f>IF(OR(E1073="",E1073="!!!"),"",IF(NOT(ISNA(VLOOKUP(E1073,E$1:E1072,1,FALSE()))),"OLD",IF(AND(E1073&lt;&gt;"",E1073&lt;&gt;"!!!"),"NEW","")))</f>
        <v> </v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4" t="str">
        <f>IF(J1073&lt;&gt;1,"",IF(I1073="SBJ","CB","?"))</f>
        <v> </v>
      </c>
      <c r="I1073" s="25" t="str">
        <f>IF(OR(E1073="",E1073="!!!",F1073="NEW"),"",INDEX(B1072:B$2,-1+SUMPRODUCT(MAX(ROW(E1072:E$2)*(E1073=E1072:E$2)))))</f>
        <v> </v>
      </c>
      <c r="J1073" s="25" t="str">
        <f>IF(OR(E1073="",E1073="!!!",F1073="NEW"),"",COUNTBLANK(OFFSET(A$1,,,SUMPRODUCT(MAX(ROW(E$2:E1073)*(E1073=E$2:E1073)))))-COUNTBLANK(OFFSET(A$1,,,SUMPRODUCT(MAX(ROW(E$1:E1072)*(E2=E$1:E1072))))))</f>
        <v> </v>
      </c>
      <c r="K1073" s="25" t="str">
        <f>IF(OR(E1073="",E1073="!!!",F1073="NEW"),"",INDEX(J$1:J1072,SUMPRODUCT(MAX(ROW(E$1:E1072)*(E1073=E$1:E1072)))))</f>
        <v> </v>
      </c>
      <c r="L1073" s="26"/>
    </row>
    <row r="1074" spans="1:12">
      <c r="A1074" s="20" t="s">
        <v>1692</v>
      </c>
      <c r="B1074" s="27" t="s">
        <v>1149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 t="s">
        <v>1128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 t="s">
        <v>1693</v>
      </c>
      <c r="E1076" s="21">
        <f>IF(D1076="?OLD","!!!","")</f>
        <v/>
      </c>
      <c r="F1076" s="22" t="str">
        <f>IF(OR(E1076="",E1076="!!!"),"",IF(NOT(ISNA(VLOOKUP(E1076,E$1:E1075,1,FALSE()))),"OLD",IF(AND(E1076&lt;&gt;"",E1076&lt;&gt;"!!!"),"NEW","")))</f>
        <v> </v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4" t="str">
        <f>IF(J1076&lt;&gt;1,"",IF(I1076="SBJ","CB","?"))</f>
        <v> </v>
      </c>
      <c r="I1076" s="25" t="str">
        <f>IF(OR(E1076="",E1076="!!!",F1076="NEW"),"",INDEX(B1075:B$2,-1+SUMPRODUCT(MAX(ROW(E1075:E$2)*(E1076=E1075:E$2)))))</f>
        <v> </v>
      </c>
      <c r="J1076" s="25" t="str">
        <f>IF(OR(E1076="",E1076="!!!",F1076="NEW"),"",COUNTBLANK(OFFSET(A$1,,,SUMPRODUCT(MAX(ROW(E$2:E1076)*(E1076=E$2:E1076)))))-COUNTBLANK(OFFSET(A$1,,,SUMPRODUCT(MAX(ROW(E$1:E1075)*(E2=E$1:E1075))))))</f>
        <v> </v>
      </c>
      <c r="K1076" s="25" t="str">
        <f>IF(OR(E1076="",E1076="!!!",F1076="NEW"),"",INDEX(J$1:J1075,SUMPRODUCT(MAX(ROW(E$1:E1075)*(E1076=E$1:E1075)))))</f>
        <v> </v>
      </c>
      <c r="L1076" s="26"/>
    </row>
    <row r="1077" spans="1:12">
      <c r="A1077" s="20" t="s">
        <v>1186</v>
      </c>
      <c r="B1077" s="27" t="s">
        <v>1110</v>
      </c>
      <c r="C1077" s="27" t="s">
        <v>1142</v>
      </c>
      <c r="D1077" s="27" t="s">
        <v>1105</v>
      </c>
      <c r="E1077" s="21">
        <f>IF(D1077="?OLD","!!!","")</f>
        <v/>
      </c>
      <c r="F1077" s="22" t="str">
        <f>IF(OR(E1077="",E1077="!!!"),"",IF(NOT(ISNA(VLOOKUP(E1077,E$1:E1076,1,FALSE()))),"OLD",IF(AND(E1077&lt;&gt;"",E1077&lt;&gt;"!!!"),"NEW","")))</f>
        <v> </v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4" t="str">
        <f>IF(J1077&lt;&gt;1,"",IF(I1077="SBJ","CB","?"))</f>
        <v> </v>
      </c>
      <c r="I1077" s="25" t="str">
        <f>IF(OR(E1077="",E1077="!!!",F1077="NEW"),"",INDEX(B1076:B$2,-1+SUMPRODUCT(MAX(ROW(E1076:E$2)*(E1077=E1076:E$2)))))</f>
        <v> </v>
      </c>
      <c r="J1077" s="25" t="str">
        <f>IF(OR(E1077="",E1077="!!!",F1077="NEW"),"",COUNTBLANK(OFFSET(A$1,,,SUMPRODUCT(MAX(ROW(E$2:E1077)*(E1077=E$2:E1077)))))-COUNTBLANK(OFFSET(A$1,,,SUMPRODUCT(MAX(ROW(E$1:E1076)*(E2=E$1:E1076))))))</f>
        <v> </v>
      </c>
      <c r="K1077" s="25" t="str">
        <f>IF(OR(E1077="",E1077="!!!",F1077="NEW"),"",INDEX(J$1:J1076,SUMPRODUCT(MAX(ROW(E$1:E1076)*(E1077=E$1:E1076)))))</f>
        <v> </v>
      </c>
      <c r="L1077" s="26"/>
    </row>
    <row r="1078" spans="1:12">
      <c r="A1078" s="20" t="s">
        <v>1694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 t="s">
        <v>1111</v>
      </c>
      <c r="E1079" s="21">
        <f>IF(D1079="?OLD","!!!","")</f>
        <v/>
      </c>
      <c r="F1079" s="22" t="str">
        <f>IF(OR(E1079="",E1079="!!!"),"",IF(NOT(ISNA(VLOOKUP(E1079,E$1:E1078,1,FALSE()))),"OLD",IF(AND(E1079&lt;&gt;"",E1079&lt;&gt;"!!!"),"NEW","")))</f>
        <v> </v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4" t="str">
        <f>IF(J1079&lt;&gt;1,"",IF(I1079="SBJ","CB","?"))</f>
        <v> </v>
      </c>
      <c r="I1079" s="25" t="str">
        <f>IF(OR(E1079="",E1079="!!!",F1079="NEW"),"",INDEX(B1078:B$2,-1+SUMPRODUCT(MAX(ROW(E1078:E$2)*(E1079=E1078:E$2)))))</f>
        <v> </v>
      </c>
      <c r="J1079" s="25" t="str">
        <f>IF(OR(E1079="",E1079="!!!",F1079="NEW"),"",COUNTBLANK(OFFSET(A$1,,,SUMPRODUCT(MAX(ROW(E$2:E1079)*(E1079=E$2:E1079)))))-COUNTBLANK(OFFSET(A$1,,,SUMPRODUCT(MAX(ROW(E$1:E1078)*(E2=E$1:E1078))))))</f>
        <v> </v>
      </c>
      <c r="K1079" s="25" t="str">
        <f>IF(OR(E1079="",E1079="!!!",F1079="NEW"),"",INDEX(J$1:J1078,SUMPRODUCT(MAX(ROW(E$1:E1078)*(E1079=E$1:E1078)))))</f>
        <v> </v>
      </c>
      <c r="L1079" s="26"/>
    </row>
    <row r="1080" spans="1:12">
      <c r="A1080" s="20" t="s">
        <v>1695</v>
      </c>
      <c r="E1080" s="21">
        <f>IF(D1080="?OLD","!!!","")</f>
        <v/>
      </c>
      <c r="F1080" s="22" t="str">
        <f>IF(OR(E1080="",E1080="!!!"),"",IF(NOT(ISNA(VLOOKUP(E1080,E$1:E1079,1,FALSE()))),"OLD",IF(AND(E1080&lt;&gt;"",E1080&lt;&gt;"!!!"),"NEW","")))</f>
        <v> </v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4" t="str">
        <f>IF(J1080&lt;&gt;1,"",IF(I1080="SBJ","CB","?"))</f>
        <v> </v>
      </c>
      <c r="I1080" s="25" t="str">
        <f>IF(OR(E1080="",E1080="!!!",F1080="NEW"),"",INDEX(B1079:B$2,-1+SUMPRODUCT(MAX(ROW(E1079:E$2)*(E1080=E1079:E$2)))))</f>
        <v> </v>
      </c>
      <c r="J1080" s="25" t="str">
        <f>IF(OR(E1080="",E1080="!!!",F1080="NEW"),"",COUNTBLANK(OFFSET(A$1,,,SUMPRODUCT(MAX(ROW(E$2:E1080)*(E1080=E$2:E1080)))))-COUNTBLANK(OFFSET(A$1,,,SUMPRODUCT(MAX(ROW(E$1:E1079)*(E2=E$1:E1079))))))</f>
        <v> </v>
      </c>
      <c r="K1080" s="25" t="str">
        <f>IF(OR(E1080="",E1080="!!!",F1080="NEW"),"",INDEX(J$1:J1079,SUMPRODUCT(MAX(ROW(E$1:E1079)*(E1080=E$1:E1079)))))</f>
        <v> </v>
      </c>
      <c r="L1080" s="26"/>
    </row>
    <row r="1081" spans="1:12">
      <c r="A1081" s="20" t="s">
        <v>1195</v>
      </c>
      <c r="E1081" s="21">
        <f>IF(D1081="?OLD","!!!","")</f>
        <v/>
      </c>
      <c r="F1081" s="22" t="str">
        <f>IF(OR(E1081="",E1081="!!!"),"",IF(NOT(ISNA(VLOOKUP(E1081,E$1:E1080,1,FALSE()))),"OLD",IF(AND(E1081&lt;&gt;"",E1081&lt;&gt;"!!!"),"NEW","")))</f>
        <v> </v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4" t="str">
        <f>IF(J1081&lt;&gt;1,"",IF(I1081="SBJ","CB","?"))</f>
        <v> </v>
      </c>
      <c r="I1081" s="25" t="str">
        <f>IF(OR(E1081="",E1081="!!!",F1081="NEW"),"",INDEX(B1080:B$2,-1+SUMPRODUCT(MAX(ROW(E1080:E$2)*(E1081=E1080:E$2)))))</f>
        <v> </v>
      </c>
      <c r="J1081" s="25" t="str">
        <f>IF(OR(E1081="",E1081="!!!",F1081="NEW"),"",COUNTBLANK(OFFSET(A$1,,,SUMPRODUCT(MAX(ROW(E$2:E1081)*(E1081=E$2:E1081)))))-COUNTBLANK(OFFSET(A$1,,,SUMPRODUCT(MAX(ROW(E$1:E1080)*(E2=E$1:E1080))))))</f>
        <v> </v>
      </c>
      <c r="K1081" s="25" t="str">
        <f>IF(OR(E1081="",E1081="!!!",F1081="NEW"),"",INDEX(J$1:J1080,SUMPRODUCT(MAX(ROW(E$1:E1080)*(E1081=E$1:E1080)))))</f>
        <v> </v>
      </c>
      <c r="L1081" s="26"/>
    </row>
    <row r="1082" spans="1:12">
      <c r="A1082" s="20" t="s">
        <v>1305</v>
      </c>
      <c r="B1082" s="27" t="s">
        <v>1103</v>
      </c>
      <c r="C1082" s="27" t="s">
        <v>1116</v>
      </c>
      <c r="D1082" s="27" t="s">
        <v>1105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 t="s">
        <v>1123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1696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 t="s">
        <v>1697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1124</v>
      </c>
      <c r="B1086" s="27" t="s">
        <v>1259</v>
      </c>
      <c r="C1086" s="27" t="s">
        <v>1126</v>
      </c>
      <c r="D1086" s="27" t="s">
        <v>1105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 t="s">
        <v>1698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 t="s">
        <v>1123</v>
      </c>
      <c r="E1088" s="21">
        <f>IF(D1088="?OLD","!!!","")</f>
        <v/>
      </c>
      <c r="F1088" s="22" t="str">
        <f>IF(OR(E1088="",E1088="!!!"),"",IF(NOT(ISNA(VLOOKUP(E1088,E$1:E1087,1,FALSE()))),"OLD",IF(AND(E1088&lt;&gt;"",E1088&lt;&gt;"!!!"),"NEW","")))</f>
        <v> </v>
      </c>
      <c r="G1088" s="23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4" t="str">
        <f>IF(J1088&lt;&gt;1,"",IF(I1088="SBJ","CB","?"))</f>
        <v> </v>
      </c>
      <c r="I1088" s="25" t="str">
        <f>IF(OR(E1088="",E1088="!!!",F1088="NEW"),"",INDEX(B1087:B$2,-1+SUMPRODUCT(MAX(ROW(E1087:E$2)*(E1088=E1087:E$2)))))</f>
        <v> </v>
      </c>
      <c r="J1088" s="25" t="str">
        <f>IF(OR(E1088="",E1088="!!!",F1088="NEW"),"",COUNTBLANK(OFFSET(A$1,,,SUMPRODUCT(MAX(ROW(E$2:E1088)*(E1088=E$2:E1088)))))-COUNTBLANK(OFFSET(A$1,,,SUMPRODUCT(MAX(ROW(E$1:E1087)*(E2=E$1:E1087))))))</f>
        <v> </v>
      </c>
      <c r="K1088" s="25" t="str">
        <f>IF(OR(E1088="",E1088="!!!",F1088="NEW"),"",INDEX(J$1:J1087,SUMPRODUCT(MAX(ROW(E$1:E1087)*(E1088=E$1:E1087)))))</f>
        <v> </v>
      </c>
      <c r="L1088" s="26"/>
    </row>
    <row r="1089" spans="1:12">
      <c r="A1089" s="20" t="s">
        <v>1699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 t="s">
        <v>263</v>
      </c>
      <c r="B1090" s="27" t="s">
        <v>1125</v>
      </c>
      <c r="E1090" s="21">
        <f>IF(D1090="?OLD","!!!","")</f>
        <v/>
      </c>
      <c r="F1090" s="22" t="str">
        <f>IF(OR(E1090="",E1090="!!!"),"",IF(NOT(ISNA(VLOOKUP(E1090,E$1:E1089,1,FALSE()))),"OLD",IF(AND(E1090&lt;&gt;"",E1090&lt;&gt;"!!!"),"NEW","")))</f>
        <v> 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4" t="str">
        <f>IF(J1090&lt;&gt;1,"",IF(I1090="SBJ","CB","?"))</f>
        <v> </v>
      </c>
      <c r="I1090" s="25" t="str">
        <f>IF(OR(E1090="",E1090="!!!",F1090="NEW"),"",INDEX(B1089:B$2,-1+SUMPRODUCT(MAX(ROW(E1089:E$2)*(E1090=E1089:E$2)))))</f>
        <v> </v>
      </c>
      <c r="J1090" s="25" t="str">
        <f>IF(OR(E1090="",E1090="!!!",F1090="NEW"),"",COUNTBLANK(OFFSET(A$1,,,SUMPRODUCT(MAX(ROW(E$2:E1090)*(E1090=E$2:E1090)))))-COUNTBLANK(OFFSET(A$1,,,SUMPRODUCT(MAX(ROW(E$1:E1089)*(E2=E$1:E1089))))))</f>
        <v> </v>
      </c>
      <c r="K1090" s="25" t="str">
        <f>IF(OR(E1090="",E1090="!!!",F1090="NEW"),"",INDEX(J$1:J1089,SUMPRODUCT(MAX(ROW(E$1:E1089)*(E1090=E$1:E1089)))))</f>
        <v> </v>
      </c>
      <c r="L1090" s="26"/>
    </row>
    <row r="1091" spans="1:12">
      <c r="A1091" s="20" t="s">
        <v>1700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1139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1701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1123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 t="s">
        <v>1188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 t="s">
        <v>224</v>
      </c>
      <c r="E1096" s="21">
        <f>IF(D1096="?OLD","!!!","")</f>
        <v/>
      </c>
      <c r="F1096" s="22" t="str">
        <f>IF(OR(E1096="",E1096="!!!"),"",IF(NOT(ISNA(VLOOKUP(E1096,E$1:E1095,1,FALSE()))),"OLD",IF(AND(E1096&lt;&gt;"",E1096&lt;&gt;"!!!"),"NEW","")))</f>
        <v> </v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4" t="str">
        <f>IF(J1096&lt;&gt;1,"",IF(I1096="SBJ","CB","?"))</f>
        <v> </v>
      </c>
      <c r="I1096" s="25" t="str">
        <f>IF(OR(E1096="",E1096="!!!",F1096="NEW"),"",INDEX(B1095:B$2,-1+SUMPRODUCT(MAX(ROW(E1095:E$2)*(E1096=E1095:E$2)))))</f>
        <v> </v>
      </c>
      <c r="J1096" s="25" t="str">
        <f>IF(OR(E1096="",E1096="!!!",F1096="NEW"),"",COUNTBLANK(OFFSET(A$1,,,SUMPRODUCT(MAX(ROW(E$2:E1096)*(E1096=E$2:E1096)))))-COUNTBLANK(OFFSET(A$1,,,SUMPRODUCT(MAX(ROW(E$1:E1095)*(E2=E$1:E1095))))))</f>
        <v> </v>
      </c>
      <c r="K1096" s="25" t="str">
        <f>IF(OR(E1096="",E1096="!!!",F1096="NEW"),"",INDEX(J$1:J1095,SUMPRODUCT(MAX(ROW(E$1:E1095)*(E1096=E$1:E1095)))))</f>
        <v> </v>
      </c>
      <c r="L1096" s="26"/>
    </row>
    <row r="1097" spans="1:12">
      <c r="A1097" s="20" t="s">
        <v>1145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/>
    </row>
    <row r="1099" spans="1:12">
      <c r="A1099" s="20" t="s">
        <v>1702</v>
      </c>
    </row>
    <row r="1100" spans="1:12">
      <c r="A1100" s="20" t="s">
        <v>1703</v>
      </c>
      <c r="E1100" s="21">
        <f>IF(D1100="?OLD","!!!","")</f>
        <v/>
      </c>
      <c r="F1100" s="22" t="str">
        <f>IF(OR(E1100="",E1100="!!!"),"",IF(NOT(ISNA(VLOOKUP(E1100,E$1:E1099,1,FALSE()))),"OLD",IF(AND(E1100&lt;&gt;"",E1100&lt;&gt;"!!!"),"NEW","")))</f>
        <v> </v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4" t="str">
        <f>IF(J1100&lt;&gt;1,"",IF(I1100="SBJ","CB","?"))</f>
        <v> </v>
      </c>
      <c r="I1100" s="25" t="str">
        <f>IF(OR(E1100="",E1100="!!!",F1100="NEW"),"",INDEX(B1099:B$2,-1+SUMPRODUCT(MAX(ROW(E1099:E$2)*(E1100=E1099:E$2)))))</f>
        <v> </v>
      </c>
      <c r="J1100" s="25" t="str">
        <f>IF(OR(E1100="",E1100="!!!",F1100="NEW"),"",COUNTBLANK(OFFSET(A$1,,,SUMPRODUCT(MAX(ROW(E$2:E1100)*(E1100=E$2:E1100)))))-COUNTBLANK(OFFSET(A$1,,,SUMPRODUCT(MAX(ROW(E$1:E1099)*(E2=E$1:E1099))))))</f>
        <v> </v>
      </c>
      <c r="K1100" s="25" t="str">
        <f>IF(OR(E1100="",E1100="!!!",F1100="NEW"),"",INDEX(J$1:J1099,SUMPRODUCT(MAX(ROW(E$1:E1099)*(E1100=E$1:E1099)))))</f>
        <v> </v>
      </c>
      <c r="L1100" s="26"/>
    </row>
    <row r="1101" spans="1:12">
      <c r="A1101" s="20" t="s">
        <v>1704</v>
      </c>
      <c r="B1101" s="27" t="s">
        <v>1149</v>
      </c>
      <c r="E1101" s="21">
        <f>IF(D1101="?OLD","!!!","")</f>
        <v/>
      </c>
      <c r="F1101" s="22" t="str">
        <f>IF(OR(E1101="",E1101="!!!"),"",IF(NOT(ISNA(VLOOKUP(E1101,E$1:E1100,1,FALSE()))),"OLD",IF(AND(E1101&lt;&gt;"",E1101&lt;&gt;"!!!"),"NEW","")))</f>
        <v> </v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4" t="str">
        <f>IF(J1101&lt;&gt;1,"",IF(I1101="SBJ","CB","?"))</f>
        <v> </v>
      </c>
      <c r="I1101" s="25" t="str">
        <f>IF(OR(E1101="",E1101="!!!",F1101="NEW"),"",INDEX(B1100:B$2,-1+SUMPRODUCT(MAX(ROW(E1100:E$2)*(E1101=E1100:E$2)))))</f>
        <v> </v>
      </c>
      <c r="J1101" s="25" t="str">
        <f>IF(OR(E1101="",E1101="!!!",F1101="NEW"),"",COUNTBLANK(OFFSET(A$1,,,SUMPRODUCT(MAX(ROW(E$2:E1101)*(E1101=E$2:E1101)))))-COUNTBLANK(OFFSET(A$1,,,SUMPRODUCT(MAX(ROW(E$1:E1100)*(E2=E$1:E1100))))))</f>
        <v> </v>
      </c>
      <c r="K1101" s="25" t="str">
        <f>IF(OR(E1101="",E1101="!!!",F1101="NEW"),"",INDEX(J$1:J1100,SUMPRODUCT(MAX(ROW(E$1:E1100)*(E1101=E$1:E1100)))))</f>
        <v> </v>
      </c>
      <c r="L1101" s="26"/>
    </row>
    <row r="1102" spans="1:12">
      <c r="A1102" s="20" t="s">
        <v>1120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1705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 t="s">
        <v>1123</v>
      </c>
      <c r="E1104" s="21">
        <f>IF(D1104="?OLD","!!!","")</f>
        <v/>
      </c>
      <c r="F1104" s="22" t="str">
        <f>IF(OR(E1104="",E1104="!!!"),"",IF(NOT(ISNA(VLOOKUP(E1104,E$1:E1103,1,FALSE()))),"OLD",IF(AND(E1104&lt;&gt;"",E1104&lt;&gt;"!!!"),"NEW","")))</f>
        <v> 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4" t="str">
        <f>IF(J1104&lt;&gt;1,"",IF(I1104="SBJ","CB","?"))</f>
        <v> </v>
      </c>
      <c r="I1104" s="25" t="str">
        <f>IF(OR(E1104="",E1104="!!!",F1104="NEW"),"",INDEX(B1103:B$2,-1+SUMPRODUCT(MAX(ROW(E1103:E$2)*(E1104=E1103:E$2)))))</f>
        <v> </v>
      </c>
      <c r="J1104" s="25" t="str">
        <f>IF(OR(E1104="",E1104="!!!",F1104="NEW"),"",COUNTBLANK(OFFSET(A$1,,,SUMPRODUCT(MAX(ROW(E$2:E1104)*(E1104=E$2:E1104)))))-COUNTBLANK(OFFSET(A$1,,,SUMPRODUCT(MAX(ROW(E$1:E1103)*(E2=E$1:E1103))))))</f>
        <v> </v>
      </c>
      <c r="K1104" s="25" t="str">
        <f>IF(OR(E1104="",E1104="!!!",F1104="NEW"),"",INDEX(J$1:J1103,SUMPRODUCT(MAX(ROW(E$1:E1103)*(E1104=E$1:E1103)))))</f>
        <v> </v>
      </c>
      <c r="L1104" s="26"/>
    </row>
    <row r="1105" spans="1:12">
      <c r="A1105" s="20" t="s">
        <v>1169</v>
      </c>
      <c r="E1105" s="21">
        <f>IF(D1105="?OLD","!!!","")</f>
        <v/>
      </c>
      <c r="F1105" s="22" t="str">
        <f>IF(OR(E1105="",E1105="!!!"),"",IF(NOT(ISNA(VLOOKUP(E1105,E$1:E1104,1,FALSE()))),"OLD",IF(AND(E1105&lt;&gt;"",E1105&lt;&gt;"!!!"),"NEW","")))</f>
        <v> </v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4" t="str">
        <f>IF(J1105&lt;&gt;1,"",IF(I1105="SBJ","CB","?"))</f>
        <v> </v>
      </c>
      <c r="I1105" s="25" t="str">
        <f>IF(OR(E1105="",E1105="!!!",F1105="NEW"),"",INDEX(B1104:B$2,-1+SUMPRODUCT(MAX(ROW(E1104:E$2)*(E1105=E1104:E$2)))))</f>
        <v> </v>
      </c>
      <c r="J1105" s="25" t="str">
        <f>IF(OR(E1105="",E1105="!!!",F1105="NEW"),"",COUNTBLANK(OFFSET(A$1,,,SUMPRODUCT(MAX(ROW(E$2:E1105)*(E1105=E$2:E1105)))))-COUNTBLANK(OFFSET(A$1,,,SUMPRODUCT(MAX(ROW(E$1:E1104)*(E2=E$1:E1104))))))</f>
        <v> </v>
      </c>
      <c r="K1105" s="25" t="str">
        <f>IF(OR(E1105="",E1105="!!!",F1105="NEW"),"",INDEX(J$1:J1104,SUMPRODUCT(MAX(ROW(E$1:E1104)*(E1105=E$1:E1104)))))</f>
        <v> </v>
      </c>
      <c r="L1105" s="26"/>
    </row>
    <row r="1106" spans="1:12">
      <c r="A1106" s="20" t="s">
        <v>1706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 t="s">
        <v>1707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1145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/>
    </row>
    <row r="1110" spans="1:12">
      <c r="A1110" s="20" t="s">
        <v>1708</v>
      </c>
    </row>
    <row r="1111" spans="1:12">
      <c r="A1111" s="20" t="s">
        <v>1709</v>
      </c>
      <c r="B1111" s="27" t="s">
        <v>1149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 t="s">
        <v>1710</v>
      </c>
      <c r="E1112" s="21">
        <f>IF(D1112="?OLD","!!!","")</f>
        <v/>
      </c>
      <c r="F1112" s="22" t="str">
        <f>IF(OR(E1112="",E1112="!!!"),"",IF(NOT(ISNA(VLOOKUP(E1112,E$1:E1111,1,FALSE()))),"OLD",IF(AND(E1112&lt;&gt;"",E1112&lt;&gt;"!!!"),"NEW","")))</f>
        <v> </v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4" t="str">
        <f>IF(J1112&lt;&gt;1,"",IF(I1112="SBJ","CB","?"))</f>
        <v> </v>
      </c>
      <c r="I1112" s="25" t="str">
        <f>IF(OR(E1112="",E1112="!!!",F1112="NEW"),"",INDEX(B1111:B$2,-1+SUMPRODUCT(MAX(ROW(E1111:E$2)*(E1112=E1111:E$2)))))</f>
        <v> </v>
      </c>
      <c r="J1112" s="25" t="str">
        <f>IF(OR(E1112="",E1112="!!!",F1112="NEW"),"",COUNTBLANK(OFFSET(A$1,,,SUMPRODUCT(MAX(ROW(E$2:E1112)*(E1112=E$2:E1112)))))-COUNTBLANK(OFFSET(A$1,,,SUMPRODUCT(MAX(ROW(E$1:E1111)*(E2=E$1:E1111))))))</f>
        <v> </v>
      </c>
      <c r="K1112" s="25" t="str">
        <f>IF(OR(E1112="",E1112="!!!",F1112="NEW"),"",INDEX(J$1:J1111,SUMPRODUCT(MAX(ROW(E$1:E1111)*(E1112=E$1:E1111)))))</f>
        <v> </v>
      </c>
      <c r="L1112" s="26"/>
    </row>
    <row r="1113" spans="1:12">
      <c r="A1113" s="20" t="s">
        <v>1711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 t="s">
        <v>1184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 t="s">
        <v>1712</v>
      </c>
      <c r="E1115" s="21">
        <f>IF(D1115="?OLD","!!!","")</f>
        <v/>
      </c>
      <c r="F1115" s="22" t="str">
        <f>IF(OR(E1115="",E1115="!!!"),"",IF(NOT(ISNA(VLOOKUP(E1115,E$1:E1114,1,FALSE()))),"OLD",IF(AND(E1115&lt;&gt;"",E1115&lt;&gt;"!!!"),"NEW","")))</f>
        <v> </v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4" t="str">
        <f>IF(J1115&lt;&gt;1,"",IF(I1115="SBJ","CB","?"))</f>
        <v> </v>
      </c>
      <c r="I1115" s="25" t="str">
        <f>IF(OR(E1115="",E1115="!!!",F1115="NEW"),"",INDEX(B1114:B$2,-1+SUMPRODUCT(MAX(ROW(E1114:E$2)*(E1115=E1114:E$2)))))</f>
        <v> </v>
      </c>
      <c r="J1115" s="25" t="str">
        <f>IF(OR(E1115="",E1115="!!!",F1115="NEW"),"",COUNTBLANK(OFFSET(A$1,,,SUMPRODUCT(MAX(ROW(E$2:E1115)*(E1115=E$2:E1115)))))-COUNTBLANK(OFFSET(A$1,,,SUMPRODUCT(MAX(ROW(E$1:E1114)*(E2=E$1:E1114))))))</f>
        <v> </v>
      </c>
      <c r="K1115" s="25" t="str">
        <f>IF(OR(E1115="",E1115="!!!",F1115="NEW"),"",INDEX(J$1:J1114,SUMPRODUCT(MAX(ROW(E$1:E1114)*(E1115=E$1:E1114)))))</f>
        <v> </v>
      </c>
      <c r="L1115" s="26"/>
    </row>
    <row r="1116" spans="1:12">
      <c r="A1116" s="20" t="s">
        <v>1123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 t="s">
        <v>1713</v>
      </c>
      <c r="B1117" s="27" t="s">
        <v>1122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1714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 t="s">
        <v>1715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 t="s">
        <v>1716</v>
      </c>
      <c r="E1120" s="21">
        <f>IF(D1120="?OLD","!!!","")</f>
        <v/>
      </c>
      <c r="F1120" s="22" t="str">
        <f>IF(OR(E1120="",E1120="!!!"),"",IF(NOT(ISNA(VLOOKUP(E1120,E$1:E1119,1,FALSE()))),"OLD",IF(AND(E1120&lt;&gt;"",E1120&lt;&gt;"!!!"),"NEW","")))</f>
        <v> </v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4" t="str">
        <f>IF(J1120&lt;&gt;1,"",IF(I1120="SBJ","CB","?"))</f>
        <v> </v>
      </c>
      <c r="I1120" s="25" t="str">
        <f>IF(OR(E1120="",E1120="!!!",F1120="NEW"),"",INDEX(B1119:B$2,-1+SUMPRODUCT(MAX(ROW(E1119:E$2)*(E1120=E1119:E$2)))))</f>
        <v> </v>
      </c>
      <c r="J1120" s="25" t="str">
        <f>IF(OR(E1120="",E1120="!!!",F1120="NEW"),"",COUNTBLANK(OFFSET(A$1,,,SUMPRODUCT(MAX(ROW(E$2:E1120)*(E1120=E$2:E1120)))))-COUNTBLANK(OFFSET(A$1,,,SUMPRODUCT(MAX(ROW(E$1:E1119)*(E2=E$1:E1119))))))</f>
        <v> </v>
      </c>
      <c r="K1120" s="25" t="str">
        <f>IF(OR(E1120="",E1120="!!!",F1120="NEW"),"",INDEX(J$1:J1119,SUMPRODUCT(MAX(ROW(E$1:E1119)*(E1120=E$1:E1119)))))</f>
        <v> </v>
      </c>
      <c r="L1120" s="26"/>
    </row>
    <row r="1121" spans="1:12">
      <c r="A1121" s="20" t="s">
        <v>1717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 t="s">
        <v>1718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1145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/>
    </row>
    <row r="1125" spans="1:12">
      <c r="A1125" s="20" t="s">
        <v>1719</v>
      </c>
    </row>
    <row r="1126" spans="1:12">
      <c r="A1126" s="20" t="s">
        <v>1720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1721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1722</v>
      </c>
      <c r="B1128" s="27" t="s">
        <v>1103</v>
      </c>
      <c r="C1128" s="27" t="s">
        <v>1126</v>
      </c>
      <c r="D1128" s="27" t="s">
        <v>1105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1723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 t="s">
        <v>1724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 t="s">
        <v>1725</v>
      </c>
      <c r="B1131" s="27" t="s">
        <v>1149</v>
      </c>
      <c r="E1131" s="21">
        <f>IF(D1131="?OLD","!!!","")</f>
        <v/>
      </c>
      <c r="F1131" s="22" t="str">
        <f>IF(OR(E1131="",E1131="!!!"),"",IF(NOT(ISNA(VLOOKUP(E1131,E$1:E1130,1,FALSE()))),"OLD",IF(AND(E1131&lt;&gt;"",E1131&lt;&gt;"!!!"),"NEW","")))</f>
        <v> </v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4" t="str">
        <f>IF(J1131&lt;&gt;1,"",IF(I1131="SBJ","CB","?"))</f>
        <v> </v>
      </c>
      <c r="I1131" s="25" t="str">
        <f>IF(OR(E1131="",E1131="!!!",F1131="NEW"),"",INDEX(B1130:B$2,-1+SUMPRODUCT(MAX(ROW(E1130:E$2)*(E1131=E1130:E$2)))))</f>
        <v> </v>
      </c>
      <c r="J1131" s="25" t="str">
        <f>IF(OR(E1131="",E1131="!!!",F1131="NEW"),"",COUNTBLANK(OFFSET(A$1,,,SUMPRODUCT(MAX(ROW(E$2:E1131)*(E1131=E$2:E1131)))))-COUNTBLANK(OFFSET(A$1,,,SUMPRODUCT(MAX(ROW(E$1:E1130)*(E2=E$1:E1130))))))</f>
        <v> </v>
      </c>
      <c r="K1131" s="25" t="str">
        <f>IF(OR(E1131="",E1131="!!!",F1131="NEW"),"",INDEX(J$1:J1130,SUMPRODUCT(MAX(ROW(E$1:E1130)*(E1131=E$1:E1130)))))</f>
        <v> </v>
      </c>
      <c r="L1131" s="26"/>
    </row>
    <row r="1132" spans="1:12">
      <c r="A1132" s="20" t="s">
        <v>1726</v>
      </c>
      <c r="E1132" s="21">
        <f>IF(D1132="?OLD","!!!","")</f>
        <v/>
      </c>
      <c r="F1132" s="22" t="str">
        <f>IF(OR(E1132="",E1132="!!!"),"",IF(NOT(ISNA(VLOOKUP(E1132,E$1:E1131,1,FALSE()))),"OLD",IF(AND(E1132&lt;&gt;"",E1132&lt;&gt;"!!!"),"NEW","")))</f>
        <v> </v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4" t="str">
        <f>IF(J1132&lt;&gt;1,"",IF(I1132="SBJ","CB","?"))</f>
        <v> </v>
      </c>
      <c r="I1132" s="25" t="str">
        <f>IF(OR(E1132="",E1132="!!!",F1132="NEW"),"",INDEX(B1131:B$2,-1+SUMPRODUCT(MAX(ROW(E1131:E$2)*(E1132=E1131:E$2)))))</f>
        <v> </v>
      </c>
      <c r="J1132" s="25" t="str">
        <f>IF(OR(E1132="",E1132="!!!",F1132="NEW"),"",COUNTBLANK(OFFSET(A$1,,,SUMPRODUCT(MAX(ROW(E$2:E1132)*(E1132=E$2:E1132)))))-COUNTBLANK(OFFSET(A$1,,,SUMPRODUCT(MAX(ROW(E$1:E1131)*(E2=E$1:E1131))))))</f>
        <v> </v>
      </c>
      <c r="K1132" s="25" t="str">
        <f>IF(OR(E1132="",E1132="!!!",F1132="NEW"),"",INDEX(J$1:J1131,SUMPRODUCT(MAX(ROW(E$1:E1131)*(E1132=E$1:E1131)))))</f>
        <v> </v>
      </c>
      <c r="L1132" s="26"/>
    </row>
    <row r="1133" spans="1:12">
      <c r="A1133" s="20" t="s">
        <v>1130</v>
      </c>
      <c r="E1133" s="21">
        <f>IF(D1133="?OLD","!!!","")</f>
        <v/>
      </c>
      <c r="F1133" s="22" t="str">
        <f>IF(OR(E1133="",E1133="!!!"),"",IF(NOT(ISNA(VLOOKUP(E1133,E$1:E1132,1,FALSE()))),"OLD",IF(AND(E1133&lt;&gt;"",E1133&lt;&gt;"!!!"),"NEW","")))</f>
        <v> </v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4" t="str">
        <f>IF(J1133&lt;&gt;1,"",IF(I1133="SBJ","CB","?"))</f>
        <v> </v>
      </c>
      <c r="I1133" s="25" t="str">
        <f>IF(OR(E1133="",E1133="!!!",F1133="NEW"),"",INDEX(B1132:B$2,-1+SUMPRODUCT(MAX(ROW(E1132:E$2)*(E1133=E1132:E$2)))))</f>
        <v> </v>
      </c>
      <c r="J1133" s="25" t="str">
        <f>IF(OR(E1133="",E1133="!!!",F1133="NEW"),"",COUNTBLANK(OFFSET(A$1,,,SUMPRODUCT(MAX(ROW(E$2:E1133)*(E1133=E$2:E1133)))))-COUNTBLANK(OFFSET(A$1,,,SUMPRODUCT(MAX(ROW(E$1:E1132)*(E2=E$1:E1132))))))</f>
        <v> </v>
      </c>
      <c r="K1133" s="25" t="str">
        <f>IF(OR(E1133="",E1133="!!!",F1133="NEW"),"",INDEX(J$1:J1132,SUMPRODUCT(MAX(ROW(E$1:E1132)*(E1133=E$1:E1132)))))</f>
        <v> </v>
      </c>
      <c r="L1133" s="26"/>
    </row>
    <row r="1134" spans="1:12">
      <c r="A1134" s="20" t="s">
        <v>1727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1728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1123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1654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1729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 t="s">
        <v>1730</v>
      </c>
      <c r="E1139" s="21">
        <f>IF(D1139="?OLD","!!!","")</f>
        <v/>
      </c>
      <c r="F1139" s="22" t="str">
        <f>IF(OR(E1139="",E1139="!!!"),"",IF(NOT(ISNA(VLOOKUP(E1139,E$1:E1138,1,FALSE()))),"OLD",IF(AND(E1139&lt;&gt;"",E1139&lt;&gt;"!!!"),"NEW","")))</f>
        <v> </v>
      </c>
      <c r="G1139" s="23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4" t="str">
        <f>IF(J1139&lt;&gt;1,"",IF(I1139="SBJ","CB","?"))</f>
        <v> </v>
      </c>
      <c r="I1139" s="25" t="str">
        <f>IF(OR(E1139="",E1139="!!!",F1139="NEW"),"",INDEX(B1138:B$2,-1+SUMPRODUCT(MAX(ROW(E1138:E$2)*(E1139=E1138:E$2)))))</f>
        <v> </v>
      </c>
      <c r="J1139" s="25" t="str">
        <f>IF(OR(E1139="",E1139="!!!",F1139="NEW"),"",COUNTBLANK(OFFSET(A$1,,,SUMPRODUCT(MAX(ROW(E$2:E1139)*(E1139=E$2:E1139)))))-COUNTBLANK(OFFSET(A$1,,,SUMPRODUCT(MAX(ROW(E$1:E1138)*(E2=E$1:E1138))))))</f>
        <v> </v>
      </c>
      <c r="K1139" s="25" t="str">
        <f>IF(OR(E1139="",E1139="!!!",F1139="NEW"),"",INDEX(J$1:J1138,SUMPRODUCT(MAX(ROW(E$1:E1138)*(E1139=E$1:E1138)))))</f>
        <v> </v>
      </c>
      <c r="L1139" s="26"/>
    </row>
    <row r="1140" spans="1:12">
      <c r="A1140" s="20" t="s">
        <v>1123</v>
      </c>
      <c r="E1140" s="21">
        <f>IF(D1140="?OLD","!!!","")</f>
        <v/>
      </c>
      <c r="F1140" s="22" t="str">
        <f>IF(OR(E1140="",E1140="!!!"),"",IF(NOT(ISNA(VLOOKUP(E1140,E$1:E1139,1,FALSE()))),"OLD",IF(AND(E1140&lt;&gt;"",E1140&lt;&gt;"!!!"),"NEW","")))</f>
        <v> </v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4" t="str">
        <f>IF(J1140&lt;&gt;1,"",IF(I1140="SBJ","CB","?"))</f>
        <v> </v>
      </c>
      <c r="I1140" s="25" t="str">
        <f>IF(OR(E1140="",E1140="!!!",F1140="NEW"),"",INDEX(B1139:B$2,-1+SUMPRODUCT(MAX(ROW(E1139:E$2)*(E1140=E1139:E$2)))))</f>
        <v> </v>
      </c>
      <c r="J1140" s="25" t="str">
        <f>IF(OR(E1140="",E1140="!!!",F1140="NEW"),"",COUNTBLANK(OFFSET(A$1,,,SUMPRODUCT(MAX(ROW(E$2:E1140)*(E1140=E$2:E1140)))))-COUNTBLANK(OFFSET(A$1,,,SUMPRODUCT(MAX(ROW(E$1:E1139)*(E2=E$1:E1139))))))</f>
        <v> </v>
      </c>
      <c r="K1140" s="25" t="str">
        <f>IF(OR(E1140="",E1140="!!!",F1140="NEW"),"",INDEX(J$1:J1139,SUMPRODUCT(MAX(ROW(E$1:E1139)*(E1140=E$1:E1139)))))</f>
        <v> </v>
      </c>
      <c r="L1140" s="26"/>
    </row>
    <row r="1141" spans="1:12">
      <c r="A1141" s="20" t="s">
        <v>1731</v>
      </c>
      <c r="B1141" s="27" t="s">
        <v>1125</v>
      </c>
      <c r="C1141" s="27" t="s">
        <v>1133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 t="s">
        <v>1732</v>
      </c>
      <c r="E1142" s="21">
        <f>IF(D1142="?OLD","!!!","")</f>
        <v/>
      </c>
      <c r="F1142" s="22" t="str">
        <f>IF(OR(E1142="",E1142="!!!"),"",IF(NOT(ISNA(VLOOKUP(E1142,E$1:E1141,1,FALSE()))),"OLD",IF(AND(E1142&lt;&gt;"",E1142&lt;&gt;"!!!"),"NEW","")))</f>
        <v> </v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4" t="str">
        <f>IF(J1142&lt;&gt;1,"",IF(I1142="SBJ","CB","?"))</f>
        <v> </v>
      </c>
      <c r="I1142" s="25" t="str">
        <f>IF(OR(E1142="",E1142="!!!",F1142="NEW"),"",INDEX(B1141:B$2,-1+SUMPRODUCT(MAX(ROW(E1141:E$2)*(E1142=E1141:E$2)))))</f>
        <v> </v>
      </c>
      <c r="J1142" s="25" t="str">
        <f>IF(OR(E1142="",E1142="!!!",F1142="NEW"),"",COUNTBLANK(OFFSET(A$1,,,SUMPRODUCT(MAX(ROW(E$2:E1142)*(E1142=E$2:E1142)))))-COUNTBLANK(OFFSET(A$1,,,SUMPRODUCT(MAX(ROW(E$1:E1141)*(E2=E$1:E1141))))))</f>
        <v> </v>
      </c>
      <c r="K1142" s="25" t="str">
        <f>IF(OR(E1142="",E1142="!!!",F1142="NEW"),"",INDEX(J$1:J1141,SUMPRODUCT(MAX(ROW(E$1:E1141)*(E1142=E$1:E1141)))))</f>
        <v> </v>
      </c>
      <c r="L1142" s="26"/>
    </row>
    <row r="1143" spans="1:12">
      <c r="A1143" s="20" t="s">
        <v>1733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1249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1734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 t="s">
        <v>1735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 t="s">
        <v>1145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/>
    </row>
    <row r="1149" spans="1:12">
      <c r="A1149" s="20" t="s">
        <v>1736</v>
      </c>
    </row>
    <row r="1150" spans="1:12">
      <c r="A1150" s="20" t="s">
        <v>1737</v>
      </c>
      <c r="E1150" s="21">
        <f>IF(D1150="?OLD","!!!","")</f>
        <v/>
      </c>
      <c r="F1150" s="22" t="str">
        <f>IF(OR(E1150="",E1150="!!!"),"",IF(NOT(ISNA(VLOOKUP(E1150,E$1:E1149,1,FALSE()))),"OLD",IF(AND(E1150&lt;&gt;"",E1150&lt;&gt;"!!!"),"NEW","")))</f>
        <v> </v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4" t="str">
        <f>IF(J1150&lt;&gt;1,"",IF(I1150="SBJ","CB","?"))</f>
        <v> </v>
      </c>
      <c r="I1150" s="25" t="str">
        <f>IF(OR(E1150="",E1150="!!!",F1150="NEW"),"",INDEX(B1149:B$2,-1+SUMPRODUCT(MAX(ROW(E1149:E$2)*(E1150=E1149:E$2)))))</f>
        <v> </v>
      </c>
      <c r="J1150" s="25" t="str">
        <f>IF(OR(E1150="",E1150="!!!",F1150="NEW"),"",COUNTBLANK(OFFSET(A$1,,,SUMPRODUCT(MAX(ROW(E$2:E1150)*(E1150=E$2:E1150)))))-COUNTBLANK(OFFSET(A$1,,,SUMPRODUCT(MAX(ROW(E$1:E1149)*(E2=E$1:E1149))))))</f>
        <v> </v>
      </c>
      <c r="K1150" s="25" t="str">
        <f>IF(OR(E1150="",E1150="!!!",F1150="NEW"),"",INDEX(J$1:J1149,SUMPRODUCT(MAX(ROW(E$1:E1149)*(E1150=E$1:E1149)))))</f>
        <v> </v>
      </c>
      <c r="L1150" s="26"/>
    </row>
    <row r="1151" spans="1:12">
      <c r="A1151" s="20" t="s">
        <v>1738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 t="s">
        <v>1739</v>
      </c>
      <c r="B1152" s="27" t="s">
        <v>1149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 t="s">
        <v>1740</v>
      </c>
      <c r="E1153" s="21">
        <f>IF(D1153="?OLD","!!!","")</f>
        <v/>
      </c>
      <c r="F1153" s="22" t="str">
        <f>IF(OR(E1153="",E1153="!!!"),"",IF(NOT(ISNA(VLOOKUP(E1153,E$1:E1152,1,FALSE()))),"OLD",IF(AND(E1153&lt;&gt;"",E1153&lt;&gt;"!!!"),"NEW","")))</f>
        <v> </v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4" t="str">
        <f>IF(J1153&lt;&gt;1,"",IF(I1153="SBJ","CB","?"))</f>
        <v> </v>
      </c>
      <c r="I1153" s="25" t="str">
        <f>IF(OR(E1153="",E1153="!!!",F1153="NEW"),"",INDEX(B1152:B$2,-1+SUMPRODUCT(MAX(ROW(E1152:E$2)*(E1153=E1152:E$2)))))</f>
        <v> </v>
      </c>
      <c r="J1153" s="25" t="str">
        <f>IF(OR(E1153="",E1153="!!!",F1153="NEW"),"",COUNTBLANK(OFFSET(A$1,,,SUMPRODUCT(MAX(ROW(E$2:E1153)*(E1153=E$2:E1153)))))-COUNTBLANK(OFFSET(A$1,,,SUMPRODUCT(MAX(ROW(E$1:E1152)*(E2=E$1:E1152))))))</f>
        <v> </v>
      </c>
      <c r="K1153" s="25" t="str">
        <f>IF(OR(E1153="",E1153="!!!",F1153="NEW"),"",INDEX(J$1:J1152,SUMPRODUCT(MAX(ROW(E$1:E1152)*(E1153=E$1:E1152)))))</f>
        <v> </v>
      </c>
      <c r="L1153" s="26"/>
    </row>
    <row r="1154" spans="1:12">
      <c r="A1154" s="20" t="s">
        <v>1101</v>
      </c>
      <c r="E1154" s="21">
        <f>IF(D1154="?OLD","!!!","")</f>
        <v/>
      </c>
      <c r="F1154" s="22" t="str">
        <f>IF(OR(E1154="",E1154="!!!"),"",IF(NOT(ISNA(VLOOKUP(E1154,E$1:E1153,1,FALSE()))),"OLD",IF(AND(E1154&lt;&gt;"",E1154&lt;&gt;"!!!"),"NEW","")))</f>
        <v> </v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4" t="str">
        <f>IF(J1154&lt;&gt;1,"",IF(I1154="SBJ","CB","?"))</f>
        <v> </v>
      </c>
      <c r="I1154" s="25" t="str">
        <f>IF(OR(E1154="",E1154="!!!",F1154="NEW"),"",INDEX(B1153:B$2,-1+SUMPRODUCT(MAX(ROW(E1153:E$2)*(E1154=E1153:E$2)))))</f>
        <v> </v>
      </c>
      <c r="J1154" s="25" t="str">
        <f>IF(OR(E1154="",E1154="!!!",F1154="NEW"),"",COUNTBLANK(OFFSET(A$1,,,SUMPRODUCT(MAX(ROW(E$2:E1154)*(E1154=E$2:E1154)))))-COUNTBLANK(OFFSET(A$1,,,SUMPRODUCT(MAX(ROW(E$1:E1153)*(E2=E$1:E1153))))))</f>
        <v> </v>
      </c>
      <c r="K1154" s="25" t="str">
        <f>IF(OR(E1154="",E1154="!!!",F1154="NEW"),"",INDEX(J$1:J1153,SUMPRODUCT(MAX(ROW(E$1:E1153)*(E1154=E$1:E1153)))))</f>
        <v> </v>
      </c>
      <c r="L1154" s="26"/>
    </row>
    <row r="1155" spans="1:12">
      <c r="A1155" s="20" t="s">
        <v>1741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1742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 t="s">
        <v>1743</v>
      </c>
      <c r="E1157" s="21">
        <f>IF(D1157="?OLD","!!!","")</f>
        <v/>
      </c>
      <c r="F1157" s="22" t="str">
        <f>IF(OR(E1157="",E1157="!!!"),"",IF(NOT(ISNA(VLOOKUP(E1157,E$1:E1156,1,FALSE()))),"OLD",IF(AND(E1157&lt;&gt;"",E1157&lt;&gt;"!!!"),"NEW","")))</f>
        <v> </v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4" t="str">
        <f>IF(J1157&lt;&gt;1,"",IF(I1157="SBJ","CB","?"))</f>
        <v> </v>
      </c>
      <c r="I1157" s="25" t="str">
        <f>IF(OR(E1157="",E1157="!!!",F1157="NEW"),"",INDEX(B1156:B$2,-1+SUMPRODUCT(MAX(ROW(E1156:E$2)*(E1157=E1156:E$2)))))</f>
        <v> </v>
      </c>
      <c r="J1157" s="25" t="str">
        <f>IF(OR(E1157="",E1157="!!!",F1157="NEW"),"",COUNTBLANK(OFFSET(A$1,,,SUMPRODUCT(MAX(ROW(E$2:E1157)*(E1157=E$2:E1157)))))-COUNTBLANK(OFFSET(A$1,,,SUMPRODUCT(MAX(ROW(E$1:E1156)*(E2=E$1:E1156))))))</f>
        <v> </v>
      </c>
      <c r="K1157" s="25" t="str">
        <f>IF(OR(E1157="",E1157="!!!",F1157="NEW"),"",INDEX(J$1:J1156,SUMPRODUCT(MAX(ROW(E$1:E1156)*(E1157=E$1:E1156)))))</f>
        <v> </v>
      </c>
      <c r="L1157" s="26"/>
    </row>
    <row r="1158" spans="1:12">
      <c r="A1158" s="20" t="s">
        <v>1184</v>
      </c>
      <c r="E1158" s="21">
        <f>IF(D1158="?OLD","!!!","")</f>
        <v/>
      </c>
      <c r="F1158" s="22" t="str">
        <f>IF(OR(E1158="",E1158="!!!"),"",IF(NOT(ISNA(VLOOKUP(E1158,E$1:E1157,1,FALSE()))),"OLD",IF(AND(E1158&lt;&gt;"",E1158&lt;&gt;"!!!"),"NEW","")))</f>
        <v> </v>
      </c>
      <c r="G1158" s="23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4" t="str">
        <f>IF(J1158&lt;&gt;1,"",IF(I1158="SBJ","CB","?"))</f>
        <v> </v>
      </c>
      <c r="I1158" s="25" t="str">
        <f>IF(OR(E1158="",E1158="!!!",F1158="NEW"),"",INDEX(B1157:B$2,-1+SUMPRODUCT(MAX(ROW(E1157:E$2)*(E1158=E1157:E$2)))))</f>
        <v> </v>
      </c>
      <c r="J1158" s="25" t="str">
        <f>IF(OR(E1158="",E1158="!!!",F1158="NEW"),"",COUNTBLANK(OFFSET(A$1,,,SUMPRODUCT(MAX(ROW(E$2:E1158)*(E1158=E$2:E1158)))))-COUNTBLANK(OFFSET(A$1,,,SUMPRODUCT(MAX(ROW(E$1:E1157)*(E2=E$1:E1157))))))</f>
        <v> </v>
      </c>
      <c r="K1158" s="25" t="str">
        <f>IF(OR(E1158="",E1158="!!!",F1158="NEW"),"",INDEX(J$1:J1157,SUMPRODUCT(MAX(ROW(E$1:E1157)*(E1158=E$1:E1157)))))</f>
        <v> </v>
      </c>
      <c r="L1158" s="26"/>
    </row>
    <row r="1159" spans="1:12">
      <c r="A1159" s="20" t="s">
        <v>1744</v>
      </c>
      <c r="E1159" s="21">
        <f>IF(D1159="?OLD","!!!","")</f>
        <v/>
      </c>
      <c r="F1159" s="22" t="str">
        <f>IF(OR(E1159="",E1159="!!!"),"",IF(NOT(ISNA(VLOOKUP(E1159,E$1:E1158,1,FALSE()))),"OLD",IF(AND(E1159&lt;&gt;"",E1159&lt;&gt;"!!!"),"NEW","")))</f>
        <v> </v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4" t="str">
        <f>IF(J1159&lt;&gt;1,"",IF(I1159="SBJ","CB","?"))</f>
        <v> </v>
      </c>
      <c r="I1159" s="25" t="str">
        <f>IF(OR(E1159="",E1159="!!!",F1159="NEW"),"",INDEX(B1158:B$2,-1+SUMPRODUCT(MAX(ROW(E1158:E$2)*(E1159=E1158:E$2)))))</f>
        <v> </v>
      </c>
      <c r="J1159" s="25" t="str">
        <f>IF(OR(E1159="",E1159="!!!",F1159="NEW"),"",COUNTBLANK(OFFSET(A$1,,,SUMPRODUCT(MAX(ROW(E$2:E1159)*(E1159=E$2:E1159)))))-COUNTBLANK(OFFSET(A$1,,,SUMPRODUCT(MAX(ROW(E$1:E1158)*(E2=E$1:E1158))))))</f>
        <v> </v>
      </c>
      <c r="K1159" s="25" t="str">
        <f>IF(OR(E1159="",E1159="!!!",F1159="NEW"),"",INDEX(J$1:J1158,SUMPRODUCT(MAX(ROW(E$1:E1158)*(E1159=E$1:E1158)))))</f>
        <v> </v>
      </c>
      <c r="L1159" s="26"/>
    </row>
    <row r="1160" spans="1:12">
      <c r="A1160" s="20" t="s">
        <v>1128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1745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1123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1249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 t="s">
        <v>1715</v>
      </c>
      <c r="E1164" s="21">
        <f>IF(D1164="?OLD","!!!","")</f>
        <v/>
      </c>
      <c r="F1164" s="22" t="str">
        <f>IF(OR(E1164="",E1164="!!!"),"",IF(NOT(ISNA(VLOOKUP(E1164,E$1:E1163,1,FALSE()))),"OLD",IF(AND(E1164&lt;&gt;"",E1164&lt;&gt;"!!!"),"NEW","")))</f>
        <v> </v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4" t="str">
        <f>IF(J1164&lt;&gt;1,"",IF(I1164="SBJ","CB","?"))</f>
        <v> </v>
      </c>
      <c r="I1164" s="25" t="str">
        <f>IF(OR(E1164="",E1164="!!!",F1164="NEW"),"",INDEX(B1163:B$2,-1+SUMPRODUCT(MAX(ROW(E1163:E$2)*(E1164=E1163:E$2)))))</f>
        <v> </v>
      </c>
      <c r="J1164" s="25" t="str">
        <f>IF(OR(E1164="",E1164="!!!",F1164="NEW"),"",COUNTBLANK(OFFSET(A$1,,,SUMPRODUCT(MAX(ROW(E$2:E1164)*(E1164=E$2:E1164)))))-COUNTBLANK(OFFSET(A$1,,,SUMPRODUCT(MAX(ROW(E$1:E1163)*(E2=E$1:E1163))))))</f>
        <v> </v>
      </c>
      <c r="K1164" s="25" t="str">
        <f>IF(OR(E1164="",E1164="!!!",F1164="NEW"),"",INDEX(J$1:J1163,SUMPRODUCT(MAX(ROW(E$1:E1163)*(E1164=E$1:E1163)))))</f>
        <v> </v>
      </c>
      <c r="L1164" s="26"/>
    </row>
    <row r="1165" spans="1:12">
      <c r="A1165" s="20" t="s">
        <v>1145</v>
      </c>
      <c r="E1165" s="21">
        <f>IF(D1165="?OLD","!!!","")</f>
        <v/>
      </c>
      <c r="F1165" s="22" t="str">
        <f>IF(OR(E1165="",E1165="!!!"),"",IF(NOT(ISNA(VLOOKUP(E1165,E$1:E1164,1,FALSE()))),"OLD",IF(AND(E1165&lt;&gt;"",E1165&lt;&gt;"!!!"),"NEW","")))</f>
        <v> </v>
      </c>
      <c r="G1165" s="23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4" t="str">
        <f>IF(J1165&lt;&gt;1,"",IF(I1165="SBJ","CB","?"))</f>
        <v> </v>
      </c>
      <c r="I1165" s="25" t="str">
        <f>IF(OR(E1165="",E1165="!!!",F1165="NEW"),"",INDEX(B1164:B$2,-1+SUMPRODUCT(MAX(ROW(E1164:E$2)*(E1165=E1164:E$2)))))</f>
        <v> </v>
      </c>
      <c r="J1165" s="25" t="str">
        <f>IF(OR(E1165="",E1165="!!!",F1165="NEW"),"",COUNTBLANK(OFFSET(A$1,,,SUMPRODUCT(MAX(ROW(E$2:E1165)*(E1165=E$2:E1165)))))-COUNTBLANK(OFFSET(A$1,,,SUMPRODUCT(MAX(ROW(E$1:E1164)*(E2=E$1:E1164))))))</f>
        <v> </v>
      </c>
      <c r="K1165" s="25" t="str">
        <f>IF(OR(E1165="",E1165="!!!",F1165="NEW"),"",INDEX(J$1:J1164,SUMPRODUCT(MAX(ROW(E$1:E1164)*(E1165=E$1:E1164)))))</f>
        <v> </v>
      </c>
      <c r="L1165" s="26"/>
    </row>
    <row r="1166" spans="1:12">
      <c r="A1166" s="20"/>
    </row>
    <row r="1167" spans="1:12">
      <c r="A1167" s="20" t="s">
        <v>1746</v>
      </c>
    </row>
    <row r="1168" spans="1:12">
      <c r="A1168" s="20" t="s">
        <v>1747</v>
      </c>
      <c r="B1168" s="27" t="s">
        <v>1149</v>
      </c>
      <c r="E1168" s="21">
        <f>IF(D1168="?OLD","!!!","")</f>
        <v/>
      </c>
      <c r="F1168" s="22" t="str">
        <f>IF(OR(E1168="",E1168="!!!"),"",IF(NOT(ISNA(VLOOKUP(E1168,E$1:E1167,1,FALSE()))),"OLD",IF(AND(E1168&lt;&gt;"",E1168&lt;&gt;"!!!"),"NEW","")))</f>
        <v> </v>
      </c>
      <c r="G1168" s="23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4" t="str">
        <f>IF(J1168&lt;&gt;1,"",IF(I1168="SBJ","CB","?"))</f>
        <v> </v>
      </c>
      <c r="I1168" s="25" t="str">
        <f>IF(OR(E1168="",E1168="!!!",F1168="NEW"),"",INDEX(B1167:B$2,-1+SUMPRODUCT(MAX(ROW(E1167:E$2)*(E1168=E1167:E$2)))))</f>
        <v> </v>
      </c>
      <c r="J1168" s="25" t="str">
        <f>IF(OR(E1168="",E1168="!!!",F1168="NEW"),"",COUNTBLANK(OFFSET(A$1,,,SUMPRODUCT(MAX(ROW(E$2:E1168)*(E1168=E$2:E1168)))))-COUNTBLANK(OFFSET(A$1,,,SUMPRODUCT(MAX(ROW(E$1:E1167)*(E2=E$1:E1167))))))</f>
        <v> </v>
      </c>
      <c r="K1168" s="25" t="str">
        <f>IF(OR(E1168="",E1168="!!!",F1168="NEW"),"",INDEX(J$1:J1167,SUMPRODUCT(MAX(ROW(E$1:E1167)*(E1168=E$1:E1167)))))</f>
        <v> </v>
      </c>
      <c r="L1168" s="26"/>
    </row>
    <row r="1169" spans="1:12">
      <c r="A1169" s="20" t="s">
        <v>1101</v>
      </c>
      <c r="E1169" s="21">
        <f>IF(D1169="?OLD","!!!","")</f>
        <v/>
      </c>
      <c r="F1169" s="22" t="str">
        <f>IF(OR(E1169="",E1169="!!!"),"",IF(NOT(ISNA(VLOOKUP(E1169,E$1:E1168,1,FALSE()))),"OLD",IF(AND(E1169&lt;&gt;"",E1169&lt;&gt;"!!!"),"NEW","")))</f>
        <v> </v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4" t="str">
        <f>IF(J1169&lt;&gt;1,"",IF(I1169="SBJ","CB","?"))</f>
        <v> </v>
      </c>
      <c r="I1169" s="25" t="str">
        <f>IF(OR(E1169="",E1169="!!!",F1169="NEW"),"",INDEX(B1168:B$2,-1+SUMPRODUCT(MAX(ROW(E1168:E$2)*(E1169=E1168:E$2)))))</f>
        <v> </v>
      </c>
      <c r="J1169" s="25" t="str">
        <f>IF(OR(E1169="",E1169="!!!",F1169="NEW"),"",COUNTBLANK(OFFSET(A$1,,,SUMPRODUCT(MAX(ROW(E$2:E1169)*(E1169=E$2:E1169)))))-COUNTBLANK(OFFSET(A$1,,,SUMPRODUCT(MAX(ROW(E$1:E1168)*(E2=E$1:E1168))))))</f>
        <v> </v>
      </c>
      <c r="K1169" s="25" t="str">
        <f>IF(OR(E1169="",E1169="!!!",F1169="NEW"),"",INDEX(J$1:J1168,SUMPRODUCT(MAX(ROW(E$1:E1168)*(E1169=E$1:E1168)))))</f>
        <v> </v>
      </c>
      <c r="L1169" s="26"/>
    </row>
    <row r="1170" spans="1:12">
      <c r="A1170" s="20" t="s">
        <v>1345</v>
      </c>
      <c r="B1170" s="27" t="s">
        <v>1107</v>
      </c>
      <c r="C1170" s="27" t="s">
        <v>1126</v>
      </c>
      <c r="D1170" s="27" t="s">
        <v>1105</v>
      </c>
      <c r="E1170" s="21">
        <f>IF(D1170="?OLD","!!!","")</f>
        <v/>
      </c>
      <c r="F1170" s="22" t="str">
        <f>IF(OR(E1170="",E1170="!!!"),"",IF(NOT(ISNA(VLOOKUP(E1170,E$1:E1169,1,FALSE()))),"OLD",IF(AND(E1170&lt;&gt;"",E1170&lt;&gt;"!!!"),"NEW","")))</f>
        <v> </v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4" t="str">
        <f>IF(J1170&lt;&gt;1,"",IF(I1170="SBJ","CB","?"))</f>
        <v> </v>
      </c>
      <c r="I1170" s="25" t="str">
        <f>IF(OR(E1170="",E1170="!!!",F1170="NEW"),"",INDEX(B1169:B$2,-1+SUMPRODUCT(MAX(ROW(E1169:E$2)*(E1170=E1169:E$2)))))</f>
        <v> </v>
      </c>
      <c r="J1170" s="25" t="str">
        <f>IF(OR(E1170="",E1170="!!!",F1170="NEW"),"",COUNTBLANK(OFFSET(A$1,,,SUMPRODUCT(MAX(ROW(E$2:E1170)*(E1170=E$2:E1170)))))-COUNTBLANK(OFFSET(A$1,,,SUMPRODUCT(MAX(ROW(E$1:E1169)*(E2=E$1:E1169))))))</f>
        <v> </v>
      </c>
      <c r="K1170" s="25" t="str">
        <f>IF(OR(E1170="",E1170="!!!",F1170="NEW"),"",INDEX(J$1:J1169,SUMPRODUCT(MAX(ROW(E$1:E1169)*(E1170=E$1:E1169)))))</f>
        <v> </v>
      </c>
      <c r="L1170" s="26"/>
    </row>
    <row r="1171" spans="1:12">
      <c r="A1171" s="20" t="s">
        <v>1240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1748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1145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/>
    </row>
    <row r="1175" spans="1:12">
      <c r="A1175" s="20" t="s">
        <v>1749</v>
      </c>
    </row>
    <row r="1176" spans="1:12">
      <c r="A1176" s="20" t="s">
        <v>1750</v>
      </c>
      <c r="B1176" s="27" t="s">
        <v>1149</v>
      </c>
      <c r="E1176" s="21">
        <f>IF(D1176="?OLD","!!!","")</f>
        <v/>
      </c>
      <c r="F1176" s="22" t="str">
        <f>IF(OR(E1176="",E1176="!!!"),"",IF(NOT(ISNA(VLOOKUP(E1176,E$1:E1175,1,FALSE()))),"OLD",IF(AND(E1176&lt;&gt;"",E1176&lt;&gt;"!!!"),"NEW","")))</f>
        <v> </v>
      </c>
      <c r="G1176" s="23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4" t="str">
        <f>IF(J1176&lt;&gt;1,"",IF(I1176="SBJ","CB","?"))</f>
        <v> </v>
      </c>
      <c r="I1176" s="25" t="str">
        <f>IF(OR(E1176="",E1176="!!!",F1176="NEW"),"",INDEX(B1175:B$2,-1+SUMPRODUCT(MAX(ROW(E1175:E$2)*(E1176=E1175:E$2)))))</f>
        <v> </v>
      </c>
      <c r="J1176" s="25" t="str">
        <f>IF(OR(E1176="",E1176="!!!",F1176="NEW"),"",COUNTBLANK(OFFSET(A$1,,,SUMPRODUCT(MAX(ROW(E$2:E1176)*(E1176=E$2:E1176)))))-COUNTBLANK(OFFSET(A$1,,,SUMPRODUCT(MAX(ROW(E$1:E1175)*(E2=E$1:E1175))))))</f>
        <v> </v>
      </c>
      <c r="K1176" s="25" t="str">
        <f>IF(OR(E1176="",E1176="!!!",F1176="NEW"),"",INDEX(J$1:J1175,SUMPRODUCT(MAX(ROW(E$1:E1175)*(E1176=E$1:E1175)))))</f>
        <v> </v>
      </c>
      <c r="L1176" s="26"/>
    </row>
    <row r="1177" spans="1:12">
      <c r="A1177" s="20" t="s">
        <v>1751</v>
      </c>
      <c r="E1177" s="21">
        <f>IF(D1177="?OLD","!!!","")</f>
        <v/>
      </c>
      <c r="F1177" s="22" t="str">
        <f>IF(OR(E1177="",E1177="!!!"),"",IF(NOT(ISNA(VLOOKUP(E1177,E$1:E1176,1,FALSE()))),"OLD",IF(AND(E1177&lt;&gt;"",E1177&lt;&gt;"!!!"),"NEW","")))</f>
        <v> </v>
      </c>
      <c r="G1177" s="23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4" t="str">
        <f>IF(J1177&lt;&gt;1,"",IF(I1177="SBJ","CB","?"))</f>
        <v> </v>
      </c>
      <c r="I1177" s="25" t="str">
        <f>IF(OR(E1177="",E1177="!!!",F1177="NEW"),"",INDEX(B1176:B$2,-1+SUMPRODUCT(MAX(ROW(E1176:E$2)*(E1177=E1176:E$2)))))</f>
        <v> </v>
      </c>
      <c r="J1177" s="25" t="str">
        <f>IF(OR(E1177="",E1177="!!!",F1177="NEW"),"",COUNTBLANK(OFFSET(A$1,,,SUMPRODUCT(MAX(ROW(E$2:E1177)*(E1177=E$2:E1177)))))-COUNTBLANK(OFFSET(A$1,,,SUMPRODUCT(MAX(ROW(E$1:E1176)*(E2=E$1:E1176))))))</f>
        <v> </v>
      </c>
      <c r="K1177" s="25" t="str">
        <f>IF(OR(E1177="",E1177="!!!",F1177="NEW"),"",INDEX(J$1:J1176,SUMPRODUCT(MAX(ROW(E$1:E1176)*(E1177=E$1:E1176)))))</f>
        <v> </v>
      </c>
      <c r="L1177" s="26"/>
    </row>
    <row r="1178" spans="1:12">
      <c r="A1178" s="20" t="s">
        <v>1101</v>
      </c>
      <c r="E1178" s="21">
        <f>IF(D1178="?OLD","!!!","")</f>
        <v/>
      </c>
      <c r="F1178" s="22" t="str">
        <f>IF(OR(E1178="",E1178="!!!"),"",IF(NOT(ISNA(VLOOKUP(E1178,E$1:E1177,1,FALSE()))),"OLD",IF(AND(E1178&lt;&gt;"",E1178&lt;&gt;"!!!"),"NEW","")))</f>
        <v> </v>
      </c>
      <c r="G1178" s="23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4" t="str">
        <f>IF(J1178&lt;&gt;1,"",IF(I1178="SBJ","CB","?"))</f>
        <v> </v>
      </c>
      <c r="I1178" s="25" t="str">
        <f>IF(OR(E1178="",E1178="!!!",F1178="NEW"),"",INDEX(B1177:B$2,-1+SUMPRODUCT(MAX(ROW(E1177:E$2)*(E1178=E1177:E$2)))))</f>
        <v> </v>
      </c>
      <c r="J1178" s="25" t="str">
        <f>IF(OR(E1178="",E1178="!!!",F1178="NEW"),"",COUNTBLANK(OFFSET(A$1,,,SUMPRODUCT(MAX(ROW(E$2:E1178)*(E1178=E$2:E1178)))))-COUNTBLANK(OFFSET(A$1,,,SUMPRODUCT(MAX(ROW(E$1:E1177)*(E2=E$1:E1177))))))</f>
        <v> </v>
      </c>
      <c r="K1178" s="25" t="str">
        <f>IF(OR(E1178="",E1178="!!!",F1178="NEW"),"",INDEX(J$1:J1177,SUMPRODUCT(MAX(ROW(E$1:E1177)*(E1178=E$1:E1177)))))</f>
        <v> </v>
      </c>
      <c r="L1178" s="26"/>
    </row>
    <row r="1179" spans="1:12">
      <c r="A1179" s="20" t="s">
        <v>1621</v>
      </c>
      <c r="E1179" s="21">
        <f>IF(D1179="?OLD","!!!","")</f>
        <v/>
      </c>
      <c r="F1179" s="22" t="str">
        <f>IF(OR(E1179="",E1179="!!!"),"",IF(NOT(ISNA(VLOOKUP(E1179,E$1:E1178,1,FALSE()))),"OLD",IF(AND(E1179&lt;&gt;"",E1179&lt;&gt;"!!!"),"NEW","")))</f>
        <v> </v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4" t="str">
        <f>IF(J1179&lt;&gt;1,"",IF(I1179="SBJ","CB","?"))</f>
        <v> </v>
      </c>
      <c r="I1179" s="25" t="str">
        <f>IF(OR(E1179="",E1179="!!!",F1179="NEW"),"",INDEX(B1178:B$2,-1+SUMPRODUCT(MAX(ROW(E1178:E$2)*(E1179=E1178:E$2)))))</f>
        <v> </v>
      </c>
      <c r="J1179" s="25" t="str">
        <f>IF(OR(E1179="",E1179="!!!",F1179="NEW"),"",COUNTBLANK(OFFSET(A$1,,,SUMPRODUCT(MAX(ROW(E$2:E1179)*(E1179=E$2:E1179)))))-COUNTBLANK(OFFSET(A$1,,,SUMPRODUCT(MAX(ROW(E$1:E1178)*(E2=E$1:E1178))))))</f>
        <v> </v>
      </c>
      <c r="K1179" s="25" t="str">
        <f>IF(OR(E1179="",E1179="!!!",F1179="NEW"),"",INDEX(J$1:J1178,SUMPRODUCT(MAX(ROW(E$1:E1178)*(E1179=E$1:E1178)))))</f>
        <v> </v>
      </c>
      <c r="L1179" s="26"/>
    </row>
    <row r="1180" spans="1:12">
      <c r="A1180" s="20" t="s">
        <v>1145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/>
    </row>
    <row r="1182" spans="1:12">
      <c r="A1182" s="20" t="s">
        <v>1752</v>
      </c>
    </row>
    <row r="1183" spans="1:12">
      <c r="A1183" s="20" t="s">
        <v>1406</v>
      </c>
      <c r="E1183" s="21">
        <f>IF(D1183="?OLD","!!!","")</f>
        <v/>
      </c>
      <c r="F1183" s="22" t="str">
        <f>IF(OR(E1183="",E1183="!!!"),"",IF(NOT(ISNA(VLOOKUP(E1183,E$1:E1182,1,FALSE()))),"OLD",IF(AND(E1183&lt;&gt;"",E1183&lt;&gt;"!!!"),"NEW","")))</f>
        <v> </v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4" t="str">
        <f>IF(J1183&lt;&gt;1,"",IF(I1183="SBJ","CB","?"))</f>
        <v> </v>
      </c>
      <c r="I1183" s="25" t="str">
        <f>IF(OR(E1183="",E1183="!!!",F1183="NEW"),"",INDEX(B1182:B$2,-1+SUMPRODUCT(MAX(ROW(E1182:E$2)*(E1183=E1182:E$2)))))</f>
        <v> </v>
      </c>
      <c r="J1183" s="25" t="str">
        <f>IF(OR(E1183="",E1183="!!!",F1183="NEW"),"",COUNTBLANK(OFFSET(A$1,,,SUMPRODUCT(MAX(ROW(E$2:E1183)*(E1183=E$2:E1183)))))-COUNTBLANK(OFFSET(A$1,,,SUMPRODUCT(MAX(ROW(E$1:E1182)*(E2=E$1:E1182))))))</f>
        <v> </v>
      </c>
      <c r="K1183" s="25" t="str">
        <f>IF(OR(E1183="",E1183="!!!",F1183="NEW"),"",INDEX(J$1:J1182,SUMPRODUCT(MAX(ROW(E$1:E1182)*(E1183=E$1:E1182)))))</f>
        <v> </v>
      </c>
      <c r="L1183" s="26"/>
    </row>
    <row r="1184" spans="1:12">
      <c r="A1184" s="20" t="s">
        <v>1753</v>
      </c>
      <c r="B1184" s="27" t="s">
        <v>1149</v>
      </c>
      <c r="E1184" s="21">
        <f>IF(D1184="?OLD","!!!","")</f>
        <v/>
      </c>
      <c r="F1184" s="22" t="str">
        <f>IF(OR(E1184="",E1184="!!!"),"",IF(NOT(ISNA(VLOOKUP(E1184,E$1:E1183,1,FALSE()))),"OLD",IF(AND(E1184&lt;&gt;"",E1184&lt;&gt;"!!!"),"NEW","")))</f>
        <v> </v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4" t="str">
        <f>IF(J1184&lt;&gt;1,"",IF(I1184="SBJ","CB","?"))</f>
        <v> </v>
      </c>
      <c r="I1184" s="25" t="str">
        <f>IF(OR(E1184="",E1184="!!!",F1184="NEW"),"",INDEX(B1183:B$2,-1+SUMPRODUCT(MAX(ROW(E1183:E$2)*(E1184=E1183:E$2)))))</f>
        <v> </v>
      </c>
      <c r="J1184" s="25" t="str">
        <f>IF(OR(E1184="",E1184="!!!",F1184="NEW"),"",COUNTBLANK(OFFSET(A$1,,,SUMPRODUCT(MAX(ROW(E$2:E1184)*(E1184=E$2:E1184)))))-COUNTBLANK(OFFSET(A$1,,,SUMPRODUCT(MAX(ROW(E$1:E1183)*(E2=E$1:E1183))))))</f>
        <v> </v>
      </c>
      <c r="K1184" s="25" t="str">
        <f>IF(OR(E1184="",E1184="!!!",F1184="NEW"),"",INDEX(J$1:J1183,SUMPRODUCT(MAX(ROW(E$1:E1183)*(E1184=E$1:E1183)))))</f>
        <v> </v>
      </c>
      <c r="L1184" s="26"/>
    </row>
    <row r="1185" spans="1:12">
      <c r="A1185" s="20" t="s">
        <v>1754</v>
      </c>
      <c r="E1185" s="21">
        <f>IF(D1185="?OLD","!!!","")</f>
        <v/>
      </c>
      <c r="F1185" s="22" t="str">
        <f>IF(OR(E1185="",E1185="!!!"),"",IF(NOT(ISNA(VLOOKUP(E1185,E$1:E1184,1,FALSE()))),"OLD",IF(AND(E1185&lt;&gt;"",E1185&lt;&gt;"!!!"),"NEW","")))</f>
        <v> </v>
      </c>
      <c r="G1185" s="23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4" t="str">
        <f>IF(J1185&lt;&gt;1,"",IF(I1185="SBJ","CB","?"))</f>
        <v> </v>
      </c>
      <c r="I1185" s="25" t="str">
        <f>IF(OR(E1185="",E1185="!!!",F1185="NEW"),"",INDEX(B1184:B$2,-1+SUMPRODUCT(MAX(ROW(E1184:E$2)*(E1185=E1184:E$2)))))</f>
        <v> </v>
      </c>
      <c r="J1185" s="25" t="str">
        <f>IF(OR(E1185="",E1185="!!!",F1185="NEW"),"",COUNTBLANK(OFFSET(A$1,,,SUMPRODUCT(MAX(ROW(E$2:E1185)*(E1185=E$2:E1185)))))-COUNTBLANK(OFFSET(A$1,,,SUMPRODUCT(MAX(ROW(E$1:E1184)*(E2=E$1:E1184))))))</f>
        <v> </v>
      </c>
      <c r="K1185" s="25" t="str">
        <f>IF(OR(E1185="",E1185="!!!",F1185="NEW"),"",INDEX(J$1:J1184,SUMPRODUCT(MAX(ROW(E$1:E1184)*(E1185=E$1:E1184)))))</f>
        <v> </v>
      </c>
      <c r="L1185" s="26"/>
    </row>
    <row r="1186" spans="1:12">
      <c r="A1186" s="20" t="s">
        <v>1113</v>
      </c>
      <c r="E1186" s="21">
        <f>IF(D1186="?OLD","!!!","")</f>
        <v/>
      </c>
      <c r="F1186" s="22" t="str">
        <f>IF(OR(E1186="",E1186="!!!"),"",IF(NOT(ISNA(VLOOKUP(E1186,E$1:E1185,1,FALSE()))),"OLD",IF(AND(E1186&lt;&gt;"",E1186&lt;&gt;"!!!"),"NEW","")))</f>
        <v> </v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4" t="str">
        <f>IF(J1186&lt;&gt;1,"",IF(I1186="SBJ","CB","?"))</f>
        <v> </v>
      </c>
      <c r="I1186" s="25" t="str">
        <f>IF(OR(E1186="",E1186="!!!",F1186="NEW"),"",INDEX(B1185:B$2,-1+SUMPRODUCT(MAX(ROW(E1185:E$2)*(E1186=E1185:E$2)))))</f>
        <v> </v>
      </c>
      <c r="J1186" s="25" t="str">
        <f>IF(OR(E1186="",E1186="!!!",F1186="NEW"),"",COUNTBLANK(OFFSET(A$1,,,SUMPRODUCT(MAX(ROW(E$2:E1186)*(E1186=E$2:E1186)))))-COUNTBLANK(OFFSET(A$1,,,SUMPRODUCT(MAX(ROW(E$1:E1185)*(E2=E$1:E1185))))))</f>
        <v> </v>
      </c>
      <c r="K1186" s="25" t="str">
        <f>IF(OR(E1186="",E1186="!!!",F1186="NEW"),"",INDEX(J$1:J1185,SUMPRODUCT(MAX(ROW(E$1:E1185)*(E1186=E$1:E1185)))))</f>
        <v> </v>
      </c>
      <c r="L1186" s="26"/>
    </row>
    <row r="1187" spans="1:12">
      <c r="A1187" s="20" t="s">
        <v>1184</v>
      </c>
      <c r="E1187" s="21">
        <f>IF(D1187="?OLD","!!!","")</f>
        <v/>
      </c>
      <c r="F1187" s="22" t="str">
        <f>IF(OR(E1187="",E1187="!!!"),"",IF(NOT(ISNA(VLOOKUP(E1187,E$1:E1186,1,FALSE()))),"OLD",IF(AND(E1187&lt;&gt;"",E1187&lt;&gt;"!!!"),"NEW","")))</f>
        <v> </v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4" t="str">
        <f>IF(J1187&lt;&gt;1,"",IF(I1187="SBJ","CB","?"))</f>
        <v> </v>
      </c>
      <c r="I1187" s="25" t="str">
        <f>IF(OR(E1187="",E1187="!!!",F1187="NEW"),"",INDEX(B1186:B$2,-1+SUMPRODUCT(MAX(ROW(E1186:E$2)*(E1187=E1186:E$2)))))</f>
        <v> </v>
      </c>
      <c r="J1187" s="25" t="str">
        <f>IF(OR(E1187="",E1187="!!!",F1187="NEW"),"",COUNTBLANK(OFFSET(A$1,,,SUMPRODUCT(MAX(ROW(E$2:E1187)*(E1187=E$2:E1187)))))-COUNTBLANK(OFFSET(A$1,,,SUMPRODUCT(MAX(ROW(E$1:E1186)*(E2=E$1:E1186))))))</f>
        <v> </v>
      </c>
      <c r="K1187" s="25" t="str">
        <f>IF(OR(E1187="",E1187="!!!",F1187="NEW"),"",INDEX(J$1:J1186,SUMPRODUCT(MAX(ROW(E$1:E1186)*(E1187=E$1:E1186)))))</f>
        <v> </v>
      </c>
      <c r="L1187" s="26"/>
    </row>
    <row r="1188" spans="1:12">
      <c r="A1188" s="20" t="s">
        <v>1622</v>
      </c>
      <c r="E1188" s="21">
        <f>IF(D1188="?OLD","!!!","")</f>
        <v/>
      </c>
      <c r="F1188" s="22" t="str">
        <f>IF(OR(E1188="",E1188="!!!"),"",IF(NOT(ISNA(VLOOKUP(E1188,E$1:E1187,1,FALSE()))),"OLD",IF(AND(E1188&lt;&gt;"",E1188&lt;&gt;"!!!"),"NEW","")))</f>
        <v> </v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4" t="str">
        <f>IF(J1188&lt;&gt;1,"",IF(I1188="SBJ","CB","?"))</f>
        <v> </v>
      </c>
      <c r="I1188" s="25" t="str">
        <f>IF(OR(E1188="",E1188="!!!",F1188="NEW"),"",INDEX(B1187:B$2,-1+SUMPRODUCT(MAX(ROW(E1187:E$2)*(E1188=E1187:E$2)))))</f>
        <v> </v>
      </c>
      <c r="J1188" s="25" t="str">
        <f>IF(OR(E1188="",E1188="!!!",F1188="NEW"),"",COUNTBLANK(OFFSET(A$1,,,SUMPRODUCT(MAX(ROW(E$2:E1188)*(E1188=E$2:E1188)))))-COUNTBLANK(OFFSET(A$1,,,SUMPRODUCT(MAX(ROW(E$1:E1187)*(E2=E$1:E1187))))))</f>
        <v> </v>
      </c>
      <c r="K1188" s="25" t="str">
        <f>IF(OR(E1188="",E1188="!!!",F1188="NEW"),"",INDEX(J$1:J1187,SUMPRODUCT(MAX(ROW(E$1:E1187)*(E1188=E$1:E1187)))))</f>
        <v> </v>
      </c>
      <c r="L1188" s="26"/>
    </row>
    <row r="1189" spans="1:12">
      <c r="A1189" s="20" t="s">
        <v>1123</v>
      </c>
      <c r="E1189" s="21">
        <f>IF(D1189="?OLD","!!!","")</f>
        <v/>
      </c>
      <c r="F1189" s="22" t="str">
        <f>IF(OR(E1189="",E1189="!!!"),"",IF(NOT(ISNA(VLOOKUP(E1189,E$1:E1188,1,FALSE()))),"OLD",IF(AND(E1189&lt;&gt;"",E1189&lt;&gt;"!!!"),"NEW","")))</f>
        <v> </v>
      </c>
      <c r="G1189" s="23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4" t="str">
        <f>IF(J1189&lt;&gt;1,"",IF(I1189="SBJ","CB","?"))</f>
        <v> </v>
      </c>
      <c r="I1189" s="25" t="str">
        <f>IF(OR(E1189="",E1189="!!!",F1189="NEW"),"",INDEX(B1188:B$2,-1+SUMPRODUCT(MAX(ROW(E1188:E$2)*(E1189=E1188:E$2)))))</f>
        <v> </v>
      </c>
      <c r="J1189" s="25" t="str">
        <f>IF(OR(E1189="",E1189="!!!",F1189="NEW"),"",COUNTBLANK(OFFSET(A$1,,,SUMPRODUCT(MAX(ROW(E$2:E1189)*(E1189=E$2:E1189)))))-COUNTBLANK(OFFSET(A$1,,,SUMPRODUCT(MAX(ROW(E$1:E1188)*(E2=E$1:E1188))))))</f>
        <v> </v>
      </c>
      <c r="K1189" s="25" t="str">
        <f>IF(OR(E1189="",E1189="!!!",F1189="NEW"),"",INDEX(J$1:J1188,SUMPRODUCT(MAX(ROW(E$1:E1188)*(E1189=E$1:E1188)))))</f>
        <v> </v>
      </c>
      <c r="L1189" s="26"/>
    </row>
    <row r="1190" spans="1:12">
      <c r="A1190" s="20" t="s">
        <v>228</v>
      </c>
      <c r="E1190" s="21">
        <f>IF(D1190="?OLD","!!!","")</f>
        <v/>
      </c>
      <c r="F1190" s="22" t="str">
        <f>IF(OR(E1190="",E1190="!!!"),"",IF(NOT(ISNA(VLOOKUP(E1190,E$1:E1189,1,FALSE()))),"OLD",IF(AND(E1190&lt;&gt;"",E1190&lt;&gt;"!!!"),"NEW","")))</f>
        <v> </v>
      </c>
      <c r="G1190" s="23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4" t="str">
        <f>IF(J1190&lt;&gt;1,"",IF(I1190="SBJ","CB","?"))</f>
        <v> </v>
      </c>
      <c r="I1190" s="25" t="str">
        <f>IF(OR(E1190="",E1190="!!!",F1190="NEW"),"",INDEX(B1189:B$2,-1+SUMPRODUCT(MAX(ROW(E1189:E$2)*(E1190=E1189:E$2)))))</f>
        <v> </v>
      </c>
      <c r="J1190" s="25" t="str">
        <f>IF(OR(E1190="",E1190="!!!",F1190="NEW"),"",COUNTBLANK(OFFSET(A$1,,,SUMPRODUCT(MAX(ROW(E$2:E1190)*(E1190=E$2:E1190)))))-COUNTBLANK(OFFSET(A$1,,,SUMPRODUCT(MAX(ROW(E$1:E1189)*(E2=E$1:E1189))))))</f>
        <v> </v>
      </c>
      <c r="K1190" s="25" t="str">
        <f>IF(OR(E1190="",E1190="!!!",F1190="NEW"),"",INDEX(J$1:J1189,SUMPRODUCT(MAX(ROW(E$1:E1189)*(E1190=E$1:E1189)))))</f>
        <v> </v>
      </c>
      <c r="L1190" s="26"/>
    </row>
    <row r="1191" spans="1:12">
      <c r="A1191" s="20" t="s">
        <v>1453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 t="s">
        <v>1503</v>
      </c>
      <c r="B1192" s="27" t="s">
        <v>1259</v>
      </c>
      <c r="E1192" s="21">
        <f>IF(D1192="?OLD","!!!","")</f>
        <v/>
      </c>
      <c r="F1192" s="22" t="str">
        <f>IF(OR(E1192="",E1192="!!!"),"",IF(NOT(ISNA(VLOOKUP(E1192,E$1:E1191,1,FALSE()))),"OLD",IF(AND(E1192&lt;&gt;"",E1192&lt;&gt;"!!!"),"NEW","")))</f>
        <v> </v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4" t="str">
        <f>IF(J1192&lt;&gt;1,"",IF(I1192="SBJ","CB","?"))</f>
        <v> </v>
      </c>
      <c r="I1192" s="25" t="str">
        <f>IF(OR(E1192="",E1192="!!!",F1192="NEW"),"",INDEX(B1191:B$2,-1+SUMPRODUCT(MAX(ROW(E1191:E$2)*(E1192=E1191:E$2)))))</f>
        <v> </v>
      </c>
      <c r="J1192" s="25" t="str">
        <f>IF(OR(E1192="",E1192="!!!",F1192="NEW"),"",COUNTBLANK(OFFSET(A$1,,,SUMPRODUCT(MAX(ROW(E$2:E1192)*(E1192=E$2:E1192)))))-COUNTBLANK(OFFSET(A$1,,,SUMPRODUCT(MAX(ROW(E$1:E1191)*(E2=E$1:E1191))))))</f>
        <v> </v>
      </c>
      <c r="K1192" s="25" t="str">
        <f>IF(OR(E1192="",E1192="!!!",F1192="NEW"),"",INDEX(J$1:J1191,SUMPRODUCT(MAX(ROW(E$1:E1191)*(E1192=E$1:E1191)))))</f>
        <v> </v>
      </c>
      <c r="L1192" s="26"/>
    </row>
    <row r="1193" spans="1:12">
      <c r="A1193" s="20" t="s">
        <v>1111</v>
      </c>
      <c r="E1193" s="21">
        <f>IF(D1193="?OLD","!!!","")</f>
        <v/>
      </c>
      <c r="F1193" s="22" t="str">
        <f>IF(OR(E1193="",E1193="!!!"),"",IF(NOT(ISNA(VLOOKUP(E1193,E$1:E1192,1,FALSE()))),"OLD",IF(AND(E1193&lt;&gt;"",E1193&lt;&gt;"!!!"),"NEW","")))</f>
        <v> </v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4" t="str">
        <f>IF(J1193&lt;&gt;1,"",IF(I1193="SBJ","CB","?"))</f>
        <v> </v>
      </c>
      <c r="I1193" s="25" t="str">
        <f>IF(OR(E1193="",E1193="!!!",F1193="NEW"),"",INDEX(B1192:B$2,-1+SUMPRODUCT(MAX(ROW(E1192:E$2)*(E1193=E1192:E$2)))))</f>
        <v> </v>
      </c>
      <c r="J1193" s="25" t="str">
        <f>IF(OR(E1193="",E1193="!!!",F1193="NEW"),"",COUNTBLANK(OFFSET(A$1,,,SUMPRODUCT(MAX(ROW(E$2:E1193)*(E1193=E$2:E1193)))))-COUNTBLANK(OFFSET(A$1,,,SUMPRODUCT(MAX(ROW(E$1:E1192)*(E2=E$1:E1192))))))</f>
        <v> </v>
      </c>
      <c r="K1193" s="25" t="str">
        <f>IF(OR(E1193="",E1193="!!!",F1193="NEW"),"",INDEX(J$1:J1192,SUMPRODUCT(MAX(ROW(E$1:E1192)*(E1193=E$1:E1192)))))</f>
        <v> </v>
      </c>
      <c r="L1193" s="26"/>
    </row>
    <row r="1194" spans="1:12">
      <c r="A1194" s="20" t="s">
        <v>1755</v>
      </c>
      <c r="B1194" s="27" t="s">
        <v>1259</v>
      </c>
      <c r="E1194" s="21">
        <f>IF(D1194="?OLD","!!!","")</f>
        <v/>
      </c>
      <c r="F1194" s="22" t="str">
        <f>IF(OR(E1194="",E1194="!!!"),"",IF(NOT(ISNA(VLOOKUP(E1194,E$1:E1193,1,FALSE()))),"OLD",IF(AND(E1194&lt;&gt;"",E1194&lt;&gt;"!!!"),"NEW","")))</f>
        <v> </v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4" t="str">
        <f>IF(J1194&lt;&gt;1,"",IF(I1194="SBJ","CB","?"))</f>
        <v> </v>
      </c>
      <c r="I1194" s="25" t="str">
        <f>IF(OR(E1194="",E1194="!!!",F1194="NEW"),"",INDEX(B1193:B$2,-1+SUMPRODUCT(MAX(ROW(E1193:E$2)*(E1194=E1193:E$2)))))</f>
        <v> </v>
      </c>
      <c r="J1194" s="25" t="str">
        <f>IF(OR(E1194="",E1194="!!!",F1194="NEW"),"",COUNTBLANK(OFFSET(A$1,,,SUMPRODUCT(MAX(ROW(E$2:E1194)*(E1194=E$2:E1194)))))-COUNTBLANK(OFFSET(A$1,,,SUMPRODUCT(MAX(ROW(E$1:E1193)*(E2=E$1:E1193))))))</f>
        <v> </v>
      </c>
      <c r="K1194" s="25" t="str">
        <f>IF(OR(E1194="",E1194="!!!",F1194="NEW"),"",INDEX(J$1:J1193,SUMPRODUCT(MAX(ROW(E$1:E1193)*(E1194=E$1:E1193)))))</f>
        <v> </v>
      </c>
      <c r="L1194" s="26"/>
    </row>
    <row r="1195" spans="1:12">
      <c r="A1195" s="20" t="s">
        <v>11</v>
      </c>
      <c r="E1195" s="21">
        <f>IF(D1195="?OLD","!!!","")</f>
        <v/>
      </c>
      <c r="F1195" s="22" t="str">
        <f>IF(OR(E1195="",E1195="!!!"),"",IF(NOT(ISNA(VLOOKUP(E1195,E$1:E1194,1,FALSE()))),"OLD",IF(AND(E1195&lt;&gt;"",E1195&lt;&gt;"!!!"),"NEW","")))</f>
        <v> </v>
      </c>
      <c r="G1195" s="23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4" t="str">
        <f>IF(J1195&lt;&gt;1,"",IF(I1195="SBJ","CB","?"))</f>
        <v> </v>
      </c>
      <c r="I1195" s="25" t="str">
        <f>IF(OR(E1195="",E1195="!!!",F1195="NEW"),"",INDEX(B1194:B$2,-1+SUMPRODUCT(MAX(ROW(E1194:E$2)*(E1195=E1194:E$2)))))</f>
        <v> </v>
      </c>
      <c r="J1195" s="25" t="str">
        <f>IF(OR(E1195="",E1195="!!!",F1195="NEW"),"",COUNTBLANK(OFFSET(A$1,,,SUMPRODUCT(MAX(ROW(E$2:E1195)*(E1195=E$2:E1195)))))-COUNTBLANK(OFFSET(A$1,,,SUMPRODUCT(MAX(ROW(E$1:E1194)*(E2=E$1:E1194))))))</f>
        <v> </v>
      </c>
      <c r="K1195" s="25" t="str">
        <f>IF(OR(E1195="",E1195="!!!",F1195="NEW"),"",INDEX(J$1:J1194,SUMPRODUCT(MAX(ROW(E$1:E1194)*(E1195=E$1:E1194)))))</f>
        <v> </v>
      </c>
      <c r="L1195" s="26"/>
    </row>
    <row r="1196" spans="1:12">
      <c r="A1196" s="20" t="s">
        <v>1756</v>
      </c>
      <c r="E1196" s="21">
        <f>IF(D1196="?OLD","!!!","")</f>
        <v/>
      </c>
      <c r="F1196" s="22" t="str">
        <f>IF(OR(E1196="",E1196="!!!"),"",IF(NOT(ISNA(VLOOKUP(E1196,E$1:E1195,1,FALSE()))),"OLD",IF(AND(E1196&lt;&gt;"",E1196&lt;&gt;"!!!"),"NEW","")))</f>
        <v> </v>
      </c>
      <c r="G1196" s="23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4" t="str">
        <f>IF(J1196&lt;&gt;1,"",IF(I1196="SBJ","CB","?"))</f>
        <v> </v>
      </c>
      <c r="I1196" s="25" t="str">
        <f>IF(OR(E1196="",E1196="!!!",F1196="NEW"),"",INDEX(B1195:B$2,-1+SUMPRODUCT(MAX(ROW(E1195:E$2)*(E1196=E1195:E$2)))))</f>
        <v> </v>
      </c>
      <c r="J1196" s="25" t="str">
        <f>IF(OR(E1196="",E1196="!!!",F1196="NEW"),"",COUNTBLANK(OFFSET(A$1,,,SUMPRODUCT(MAX(ROW(E$2:E1196)*(E1196=E$2:E1196)))))-COUNTBLANK(OFFSET(A$1,,,SUMPRODUCT(MAX(ROW(E$1:E1195)*(E2=E$1:E1195))))))</f>
        <v> </v>
      </c>
      <c r="K1196" s="25" t="str">
        <f>IF(OR(E1196="",E1196="!!!",F1196="NEW"),"",INDEX(J$1:J1195,SUMPRODUCT(MAX(ROW(E$1:E1195)*(E1196=E$1:E1195)))))</f>
        <v> </v>
      </c>
      <c r="L1196" s="26"/>
    </row>
    <row r="1197" spans="1:12">
      <c r="A1197" s="20" t="s">
        <v>1128</v>
      </c>
      <c r="E1197" s="21">
        <f>IF(D1197="?OLD","!!!","")</f>
        <v/>
      </c>
      <c r="F1197" s="22" t="str">
        <f>IF(OR(E1197="",E1197="!!!"),"",IF(NOT(ISNA(VLOOKUP(E1197,E$1:E1196,1,FALSE()))),"OLD",IF(AND(E1197&lt;&gt;"",E1197&lt;&gt;"!!!"),"NEW","")))</f>
        <v> </v>
      </c>
      <c r="G1197" s="23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4" t="str">
        <f>IF(J1197&lt;&gt;1,"",IF(I1197="SBJ","CB","?"))</f>
        <v> </v>
      </c>
      <c r="I1197" s="25" t="str">
        <f>IF(OR(E1197="",E1197="!!!",F1197="NEW"),"",INDEX(B1196:B$2,-1+SUMPRODUCT(MAX(ROW(E1196:E$2)*(E1197=E1196:E$2)))))</f>
        <v> </v>
      </c>
      <c r="J1197" s="25" t="str">
        <f>IF(OR(E1197="",E1197="!!!",F1197="NEW"),"",COUNTBLANK(OFFSET(A$1,,,SUMPRODUCT(MAX(ROW(E$2:E1197)*(E1197=E$2:E1197)))))-COUNTBLANK(OFFSET(A$1,,,SUMPRODUCT(MAX(ROW(E$1:E1196)*(E2=E$1:E1196))))))</f>
        <v> </v>
      </c>
      <c r="K1197" s="25" t="str">
        <f>IF(OR(E1197="",E1197="!!!",F1197="NEW"),"",INDEX(J$1:J1196,SUMPRODUCT(MAX(ROW(E$1:E1196)*(E1197=E$1:E1196)))))</f>
        <v> </v>
      </c>
      <c r="L1197" s="26"/>
    </row>
    <row r="1198" spans="1:12">
      <c r="A1198" s="20" t="s">
        <v>1757</v>
      </c>
      <c r="B1198" s="27" t="s">
        <v>1110</v>
      </c>
      <c r="C1198" s="27" t="s">
        <v>1758</v>
      </c>
      <c r="E1198" s="21">
        <f>IF(D1198="?OLD","!!!","")</f>
        <v/>
      </c>
      <c r="F1198" s="22" t="str">
        <f>IF(OR(E1198="",E1198="!!!"),"",IF(NOT(ISNA(VLOOKUP(E1198,E$1:E1197,1,FALSE()))),"OLD",IF(AND(E1198&lt;&gt;"",E1198&lt;&gt;"!!!"),"NEW","")))</f>
        <v> </v>
      </c>
      <c r="G1198" s="23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4" t="str">
        <f>IF(J1198&lt;&gt;1,"",IF(I1198="SBJ","CB","?"))</f>
        <v> </v>
      </c>
      <c r="I1198" s="25" t="str">
        <f>IF(OR(E1198="",E1198="!!!",F1198="NEW"),"",INDEX(B1197:B$2,-1+SUMPRODUCT(MAX(ROW(E1197:E$2)*(E1198=E1197:E$2)))))</f>
        <v> </v>
      </c>
      <c r="J1198" s="25" t="str">
        <f>IF(OR(E1198="",E1198="!!!",F1198="NEW"),"",COUNTBLANK(OFFSET(A$1,,,SUMPRODUCT(MAX(ROW(E$2:E1198)*(E1198=E$2:E1198)))))-COUNTBLANK(OFFSET(A$1,,,SUMPRODUCT(MAX(ROW(E$1:E1197)*(E2=E$1:E1197))))))</f>
        <v> </v>
      </c>
      <c r="K1198" s="25" t="str">
        <f>IF(OR(E1198="",E1198="!!!",F1198="NEW"),"",INDEX(J$1:J1197,SUMPRODUCT(MAX(ROW(E$1:E1197)*(E1198=E$1:E1197)))))</f>
        <v> </v>
      </c>
      <c r="L1198" s="26"/>
    </row>
    <row r="1199" spans="1:12">
      <c r="A1199" s="20" t="s">
        <v>1134</v>
      </c>
      <c r="E1199" s="21">
        <f>IF(D1199="?OLD","!!!","")</f>
        <v/>
      </c>
      <c r="F1199" s="22" t="str">
        <f>IF(OR(E1199="",E1199="!!!"),"",IF(NOT(ISNA(VLOOKUP(E1199,E$1:E1198,1,FALSE()))),"OLD",IF(AND(E1199&lt;&gt;"",E1199&lt;&gt;"!!!"),"NEW","")))</f>
        <v> </v>
      </c>
      <c r="G1199" s="23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4" t="str">
        <f>IF(J1199&lt;&gt;1,"",IF(I1199="SBJ","CB","?"))</f>
        <v> </v>
      </c>
      <c r="I1199" s="25" t="str">
        <f>IF(OR(E1199="",E1199="!!!",F1199="NEW"),"",INDEX(B1198:B$2,-1+SUMPRODUCT(MAX(ROW(E1198:E$2)*(E1199=E1198:E$2)))))</f>
        <v> </v>
      </c>
      <c r="J1199" s="25" t="str">
        <f>IF(OR(E1199="",E1199="!!!",F1199="NEW"),"",COUNTBLANK(OFFSET(A$1,,,SUMPRODUCT(MAX(ROW(E$2:E1199)*(E1199=E$2:E1199)))))-COUNTBLANK(OFFSET(A$1,,,SUMPRODUCT(MAX(ROW(E$1:E1198)*(E2=E$1:E1198))))))</f>
        <v> </v>
      </c>
      <c r="K1199" s="25" t="str">
        <f>IF(OR(E1199="",E1199="!!!",F1199="NEW"),"",INDEX(J$1:J1198,SUMPRODUCT(MAX(ROW(E$1:E1198)*(E1199=E$1:E1198)))))</f>
        <v> </v>
      </c>
      <c r="L1199" s="26"/>
    </row>
    <row r="1200" spans="1:12">
      <c r="A1200" s="20" t="s">
        <v>1759</v>
      </c>
      <c r="E1200" s="21">
        <f>IF(D1200="?OLD","!!!","")</f>
        <v/>
      </c>
      <c r="F1200" s="22" t="str">
        <f>IF(OR(E1200="",E1200="!!!"),"",IF(NOT(ISNA(VLOOKUP(E1200,E$1:E1199,1,FALSE()))),"OLD",IF(AND(E1200&lt;&gt;"",E1200&lt;&gt;"!!!"),"NEW","")))</f>
        <v> </v>
      </c>
      <c r="G1200" s="23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4" t="str">
        <f>IF(J1200&lt;&gt;1,"",IF(I1200="SBJ","CB","?"))</f>
        <v> </v>
      </c>
      <c r="I1200" s="25" t="str">
        <f>IF(OR(E1200="",E1200="!!!",F1200="NEW"),"",INDEX(B1199:B$2,-1+SUMPRODUCT(MAX(ROW(E1199:E$2)*(E1200=E1199:E$2)))))</f>
        <v> </v>
      </c>
      <c r="J1200" s="25" t="str">
        <f>IF(OR(E1200="",E1200="!!!",F1200="NEW"),"",COUNTBLANK(OFFSET(A$1,,,SUMPRODUCT(MAX(ROW(E$2:E1200)*(E1200=E$2:E1200)))))-COUNTBLANK(OFFSET(A$1,,,SUMPRODUCT(MAX(ROW(E$1:E1199)*(E2=E$1:E1199))))))</f>
        <v> </v>
      </c>
      <c r="K1200" s="25" t="str">
        <f>IF(OR(E1200="",E1200="!!!",F1200="NEW"),"",INDEX(J$1:J1199,SUMPRODUCT(MAX(ROW(E$1:E1199)*(E1200=E$1:E1199)))))</f>
        <v> </v>
      </c>
      <c r="L1200" s="26"/>
    </row>
    <row r="1201" spans="1:12">
      <c r="A1201" s="20" t="s">
        <v>1760</v>
      </c>
      <c r="B1201" s="27" t="s">
        <v>1259</v>
      </c>
      <c r="E1201" s="21">
        <f>IF(D1201="?OLD","!!!","")</f>
        <v/>
      </c>
      <c r="F1201" s="22" t="str">
        <f>IF(OR(E1201="",E1201="!!!"),"",IF(NOT(ISNA(VLOOKUP(E1201,E$1:E1200,1,FALSE()))),"OLD",IF(AND(E1201&lt;&gt;"",E1201&lt;&gt;"!!!"),"NEW","")))</f>
        <v> </v>
      </c>
      <c r="G1201" s="23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4" t="str">
        <f>IF(J1201&lt;&gt;1,"",IF(I1201="SBJ","CB","?"))</f>
        <v> </v>
      </c>
      <c r="I1201" s="25" t="str">
        <f>IF(OR(E1201="",E1201="!!!",F1201="NEW"),"",INDEX(B1200:B$2,-1+SUMPRODUCT(MAX(ROW(E1200:E$2)*(E1201=E1200:E$2)))))</f>
        <v> </v>
      </c>
      <c r="J1201" s="25" t="str">
        <f>IF(OR(E1201="",E1201="!!!",F1201="NEW"),"",COUNTBLANK(OFFSET(A$1,,,SUMPRODUCT(MAX(ROW(E$2:E1201)*(E1201=E$2:E1201)))))-COUNTBLANK(OFFSET(A$1,,,SUMPRODUCT(MAX(ROW(E$1:E1200)*(E2=E$1:E1200))))))</f>
        <v> </v>
      </c>
      <c r="K1201" s="25" t="str">
        <f>IF(OR(E1201="",E1201="!!!",F1201="NEW"),"",INDEX(J$1:J1200,SUMPRODUCT(MAX(ROW(E$1:E1200)*(E1201=E$1:E1200)))))</f>
        <v> </v>
      </c>
      <c r="L1201" s="26"/>
    </row>
    <row r="1202" spans="1:12">
      <c r="A1202" s="20" t="s">
        <v>1111</v>
      </c>
      <c r="E1202" s="21">
        <f>IF(D1202="?OLD","!!!","")</f>
        <v/>
      </c>
      <c r="F1202" s="22" t="str">
        <f>IF(OR(E1202="",E1202="!!!"),"",IF(NOT(ISNA(VLOOKUP(E1202,E$1:E1201,1,FALSE()))),"OLD",IF(AND(E1202&lt;&gt;"",E1202&lt;&gt;"!!!"),"NEW","")))</f>
        <v> </v>
      </c>
      <c r="G1202" s="23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4" t="str">
        <f>IF(J1202&lt;&gt;1,"",IF(I1202="SBJ","CB","?"))</f>
        <v> </v>
      </c>
      <c r="I1202" s="25" t="str">
        <f>IF(OR(E1202="",E1202="!!!",F1202="NEW"),"",INDEX(B1201:B$2,-1+SUMPRODUCT(MAX(ROW(E1201:E$2)*(E1202=E1201:E$2)))))</f>
        <v> </v>
      </c>
      <c r="J1202" s="25" t="str">
        <f>IF(OR(E1202="",E1202="!!!",F1202="NEW"),"",COUNTBLANK(OFFSET(A$1,,,SUMPRODUCT(MAX(ROW(E$2:E1202)*(E1202=E$2:E1202)))))-COUNTBLANK(OFFSET(A$1,,,SUMPRODUCT(MAX(ROW(E$1:E1201)*(E2=E$1:E1201))))))</f>
        <v> </v>
      </c>
      <c r="K1202" s="25" t="str">
        <f>IF(OR(E1202="",E1202="!!!",F1202="NEW"),"",INDEX(J$1:J1201,SUMPRODUCT(MAX(ROW(E$1:E1201)*(E1202=E$1:E1201)))))</f>
        <v> </v>
      </c>
      <c r="L1202" s="26"/>
    </row>
    <row r="1203" spans="1:12">
      <c r="A1203" s="20" t="s">
        <v>1761</v>
      </c>
      <c r="E1203" s="21">
        <f>IF(D1203="?OLD","!!!","")</f>
        <v/>
      </c>
      <c r="F1203" s="22" t="str">
        <f>IF(OR(E1203="",E1203="!!!"),"",IF(NOT(ISNA(VLOOKUP(E1203,E$1:E1202,1,FALSE()))),"OLD",IF(AND(E1203&lt;&gt;"",E1203&lt;&gt;"!!!"),"NEW","")))</f>
        <v> </v>
      </c>
      <c r="G1203" s="23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4" t="str">
        <f>IF(J1203&lt;&gt;1,"",IF(I1203="SBJ","CB","?"))</f>
        <v> </v>
      </c>
      <c r="I1203" s="25" t="str">
        <f>IF(OR(E1203="",E1203="!!!",F1203="NEW"),"",INDEX(B1202:B$2,-1+SUMPRODUCT(MAX(ROW(E1202:E$2)*(E1203=E1202:E$2)))))</f>
        <v> </v>
      </c>
      <c r="J1203" s="25" t="str">
        <f>IF(OR(E1203="",E1203="!!!",F1203="NEW"),"",COUNTBLANK(OFFSET(A$1,,,SUMPRODUCT(MAX(ROW(E$2:E1203)*(E1203=E$2:E1203)))))-COUNTBLANK(OFFSET(A$1,,,SUMPRODUCT(MAX(ROW(E$1:E1202)*(E2=E$1:E1202))))))</f>
        <v> </v>
      </c>
      <c r="K1203" s="25" t="str">
        <f>IF(OR(E1203="",E1203="!!!",F1203="NEW"),"",INDEX(J$1:J1202,SUMPRODUCT(MAX(ROW(E$1:E1202)*(E1203=E$1:E1202)))))</f>
        <v> </v>
      </c>
      <c r="L1203" s="26"/>
    </row>
    <row r="1204" spans="1:12">
      <c r="A1204" s="20" t="s">
        <v>1518</v>
      </c>
      <c r="B1204" s="27" t="s">
        <v>1115</v>
      </c>
      <c r="E1204" s="21">
        <f>IF(D1204="?OLD","!!!","")</f>
        <v/>
      </c>
      <c r="F1204" s="22" t="str">
        <f>IF(OR(E1204="",E1204="!!!"),"",IF(NOT(ISNA(VLOOKUP(E1204,E$1:E1203,1,FALSE()))),"OLD",IF(AND(E1204&lt;&gt;"",E1204&lt;&gt;"!!!"),"NEW","")))</f>
        <v> </v>
      </c>
      <c r="G1204" s="23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4" t="str">
        <f>IF(J1204&lt;&gt;1,"",IF(I1204="SBJ","CB","?"))</f>
        <v> </v>
      </c>
      <c r="I1204" s="25" t="str">
        <f>IF(OR(E1204="",E1204="!!!",F1204="NEW"),"",INDEX(B1203:B$2,-1+SUMPRODUCT(MAX(ROW(E1203:E$2)*(E1204=E1203:E$2)))))</f>
        <v> </v>
      </c>
      <c r="J1204" s="25" t="str">
        <f>IF(OR(E1204="",E1204="!!!",F1204="NEW"),"",COUNTBLANK(OFFSET(A$1,,,SUMPRODUCT(MAX(ROW(E$2:E1204)*(E1204=E$2:E1204)))))-COUNTBLANK(OFFSET(A$1,,,SUMPRODUCT(MAX(ROW(E$1:E1203)*(E2=E$1:E1203))))))</f>
        <v> </v>
      </c>
      <c r="K1204" s="25" t="str">
        <f>IF(OR(E1204="",E1204="!!!",F1204="NEW"),"",INDEX(J$1:J1203,SUMPRODUCT(MAX(ROW(E$1:E1203)*(E1204=E$1:E1203)))))</f>
        <v> </v>
      </c>
      <c r="L1204" s="26"/>
    </row>
    <row r="1205" spans="1:12">
      <c r="A1205" s="20" t="s">
        <v>1128</v>
      </c>
      <c r="E1205" s="21">
        <f>IF(D1205="?OLD","!!!","")</f>
        <v/>
      </c>
      <c r="F1205" s="22" t="str">
        <f>IF(OR(E1205="",E1205="!!!"),"",IF(NOT(ISNA(VLOOKUP(E1205,E$1:E1204,1,FALSE()))),"OLD",IF(AND(E1205&lt;&gt;"",E1205&lt;&gt;"!!!"),"NEW","")))</f>
        <v> </v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4" t="str">
        <f>IF(J1205&lt;&gt;1,"",IF(I1205="SBJ","CB","?"))</f>
        <v> </v>
      </c>
      <c r="I1205" s="25" t="str">
        <f>IF(OR(E1205="",E1205="!!!",F1205="NEW"),"",INDEX(B1204:B$2,-1+SUMPRODUCT(MAX(ROW(E1204:E$2)*(E1205=E1204:E$2)))))</f>
        <v> </v>
      </c>
      <c r="J1205" s="25" t="str">
        <f>IF(OR(E1205="",E1205="!!!",F1205="NEW"),"",COUNTBLANK(OFFSET(A$1,,,SUMPRODUCT(MAX(ROW(E$2:E1205)*(E1205=E$2:E1205)))))-COUNTBLANK(OFFSET(A$1,,,SUMPRODUCT(MAX(ROW(E$1:E1204)*(E2=E$1:E1204))))))</f>
        <v> </v>
      </c>
      <c r="K1205" s="25" t="str">
        <f>IF(OR(E1205="",E1205="!!!",F1205="NEW"),"",INDEX(J$1:J1204,SUMPRODUCT(MAX(ROW(E$1:E1204)*(E1205=E$1:E1204)))))</f>
        <v> </v>
      </c>
      <c r="L1205" s="26"/>
    </row>
    <row r="1206" spans="1:12">
      <c r="A1206" s="20" t="s">
        <v>1762</v>
      </c>
      <c r="E1206" s="21">
        <f>IF(D1206="?OLD","!!!","")</f>
        <v/>
      </c>
      <c r="F1206" s="22" t="str">
        <f>IF(OR(E1206="",E1206="!!!"),"",IF(NOT(ISNA(VLOOKUP(E1206,E$1:E1205,1,FALSE()))),"OLD",IF(AND(E1206&lt;&gt;"",E1206&lt;&gt;"!!!"),"NEW","")))</f>
        <v> </v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4" t="str">
        <f>IF(J1206&lt;&gt;1,"",IF(I1206="SBJ","CB","?"))</f>
        <v> </v>
      </c>
      <c r="I1206" s="25" t="str">
        <f>IF(OR(E1206="",E1206="!!!",F1206="NEW"),"",INDEX(B1205:B$2,-1+SUMPRODUCT(MAX(ROW(E1205:E$2)*(E1206=E1205:E$2)))))</f>
        <v> </v>
      </c>
      <c r="J1206" s="25" t="str">
        <f>IF(OR(E1206="",E1206="!!!",F1206="NEW"),"",COUNTBLANK(OFFSET(A$1,,,SUMPRODUCT(MAX(ROW(E$2:E1206)*(E1206=E$2:E1206)))))-COUNTBLANK(OFFSET(A$1,,,SUMPRODUCT(MAX(ROW(E$1:E1205)*(E2=E$1:E1205))))))</f>
        <v> </v>
      </c>
      <c r="K1206" s="25" t="str">
        <f>IF(OR(E1206="",E1206="!!!",F1206="NEW"),"",INDEX(J$1:J1205,SUMPRODUCT(MAX(ROW(E$1:E1205)*(E1206=E$1:E1205)))))</f>
        <v> </v>
      </c>
      <c r="L1206" s="26"/>
    </row>
    <row r="1207" spans="1:12">
      <c r="A1207" s="20" t="s">
        <v>1763</v>
      </c>
      <c r="E1207" s="21">
        <f>IF(D1207="?OLD","!!!","")</f>
        <v/>
      </c>
      <c r="F1207" s="22" t="str">
        <f>IF(OR(E1207="",E1207="!!!"),"",IF(NOT(ISNA(VLOOKUP(E1207,E$1:E1206,1,FALSE()))),"OLD",IF(AND(E1207&lt;&gt;"",E1207&lt;&gt;"!!!"),"NEW","")))</f>
        <v> </v>
      </c>
      <c r="G1207" s="23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4" t="str">
        <f>IF(J1207&lt;&gt;1,"",IF(I1207="SBJ","CB","?"))</f>
        <v> </v>
      </c>
      <c r="I1207" s="25" t="str">
        <f>IF(OR(E1207="",E1207="!!!",F1207="NEW"),"",INDEX(B1206:B$2,-1+SUMPRODUCT(MAX(ROW(E1206:E$2)*(E1207=E1206:E$2)))))</f>
        <v> </v>
      </c>
      <c r="J1207" s="25" t="str">
        <f>IF(OR(E1207="",E1207="!!!",F1207="NEW"),"",COUNTBLANK(OFFSET(A$1,,,SUMPRODUCT(MAX(ROW(E$2:E1207)*(E1207=E$2:E1207)))))-COUNTBLANK(OFFSET(A$1,,,SUMPRODUCT(MAX(ROW(E$1:E1206)*(E2=E$1:E1206))))))</f>
        <v> </v>
      </c>
      <c r="K1207" s="25" t="str">
        <f>IF(OR(E1207="",E1207="!!!",F1207="NEW"),"",INDEX(J$1:J1206,SUMPRODUCT(MAX(ROW(E$1:E1206)*(E1207=E$1:E1206)))))</f>
        <v> </v>
      </c>
      <c r="L1207" s="26"/>
    </row>
    <row r="1208" spans="1:12">
      <c r="A1208" s="20" t="s">
        <v>1764</v>
      </c>
      <c r="B1208" s="27" t="s">
        <v>1144</v>
      </c>
      <c r="E1208" s="21">
        <f>IF(D1208="?OLD","!!!","")</f>
        <v/>
      </c>
      <c r="F1208" s="22" t="str">
        <f>IF(OR(E1208="",E1208="!!!"),"",IF(NOT(ISNA(VLOOKUP(E1208,E$1:E1207,1,FALSE()))),"OLD",IF(AND(E1208&lt;&gt;"",E1208&lt;&gt;"!!!"),"NEW","")))</f>
        <v> </v>
      </c>
      <c r="G1208" s="23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4" t="str">
        <f>IF(J1208&lt;&gt;1,"",IF(I1208="SBJ","CB","?"))</f>
        <v> </v>
      </c>
      <c r="I1208" s="25" t="str">
        <f>IF(OR(E1208="",E1208="!!!",F1208="NEW"),"",INDEX(B1207:B$2,-1+SUMPRODUCT(MAX(ROW(E1207:E$2)*(E1208=E1207:E$2)))))</f>
        <v> </v>
      </c>
      <c r="J1208" s="25" t="str">
        <f>IF(OR(E1208="",E1208="!!!",F1208="NEW"),"",COUNTBLANK(OFFSET(A$1,,,SUMPRODUCT(MAX(ROW(E$2:E1208)*(E1208=E$2:E1208)))))-COUNTBLANK(OFFSET(A$1,,,SUMPRODUCT(MAX(ROW(E$1:E1207)*(E2=E$1:E1207))))))</f>
        <v> </v>
      </c>
      <c r="K1208" s="25" t="str">
        <f>IF(OR(E1208="",E1208="!!!",F1208="NEW"),"",INDEX(J$1:J1207,SUMPRODUCT(MAX(ROW(E$1:E1207)*(E1208=E$1:E1207)))))</f>
        <v> </v>
      </c>
      <c r="L1208" s="26"/>
    </row>
    <row r="1209" spans="1:12">
      <c r="A1209" s="20" t="s">
        <v>1145</v>
      </c>
      <c r="E1209" s="21">
        <f>IF(D1209="?OLD","!!!","")</f>
        <v/>
      </c>
      <c r="F1209" s="22" t="str">
        <f>IF(OR(E1209="",E1209="!!!"),"",IF(NOT(ISNA(VLOOKUP(E1209,E$1:E1208,1,FALSE()))),"OLD",IF(AND(E1209&lt;&gt;"",E1209&lt;&gt;"!!!"),"NEW","")))</f>
        <v> </v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4" t="str">
        <f>IF(J1209&lt;&gt;1,"",IF(I1209="SBJ","CB","?"))</f>
        <v> </v>
      </c>
      <c r="I1209" s="25" t="str">
        <f>IF(OR(E1209="",E1209="!!!",F1209="NEW"),"",INDEX(B1208:B$2,-1+SUMPRODUCT(MAX(ROW(E1208:E$2)*(E1209=E1208:E$2)))))</f>
        <v> </v>
      </c>
      <c r="J1209" s="25" t="str">
        <f>IF(OR(E1209="",E1209="!!!",F1209="NEW"),"",COUNTBLANK(OFFSET(A$1,,,SUMPRODUCT(MAX(ROW(E$2:E1209)*(E1209=E$2:E1209)))))-COUNTBLANK(OFFSET(A$1,,,SUMPRODUCT(MAX(ROW(E$1:E1208)*(E2=E$1:E1208))))))</f>
        <v> </v>
      </c>
      <c r="K1209" s="25" t="str">
        <f>IF(OR(E1209="",E1209="!!!",F1209="NEW"),"",INDEX(J$1:J1208,SUMPRODUCT(MAX(ROW(E$1:E1208)*(E1209=E$1:E1208)))))</f>
        <v> </v>
      </c>
      <c r="L1209" s="26"/>
    </row>
    <row r="1210" spans="1:12">
      <c r="A1210" s="20"/>
    </row>
    <row r="1211" spans="1:12">
      <c r="A1211" s="20" t="s">
        <v>1765</v>
      </c>
    </row>
    <row r="1212" spans="1:12">
      <c r="A1212" s="20" t="s">
        <v>1766</v>
      </c>
      <c r="E1212" s="21">
        <f>IF(D1212="?OLD","!!!","")</f>
        <v/>
      </c>
      <c r="F1212" s="22" t="str">
        <f>IF(OR(E1212="",E1212="!!!"),"",IF(NOT(ISNA(VLOOKUP(E1212,E$1:E1211,1,FALSE()))),"OLD",IF(AND(E1212&lt;&gt;"",E1212&lt;&gt;"!!!"),"NEW","")))</f>
        <v> </v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4" t="str">
        <f>IF(J1212&lt;&gt;1,"",IF(I1212="SBJ","CB","?"))</f>
        <v> </v>
      </c>
      <c r="I1212" s="25" t="str">
        <f>IF(OR(E1212="",E1212="!!!",F1212="NEW"),"",INDEX(B1211:B$2,-1+SUMPRODUCT(MAX(ROW(E1211:E$2)*(E1212=E1211:E$2)))))</f>
        <v> </v>
      </c>
      <c r="J1212" s="25" t="str">
        <f>IF(OR(E1212="",E1212="!!!",F1212="NEW"),"",COUNTBLANK(OFFSET(A$1,,,SUMPRODUCT(MAX(ROW(E$2:E1212)*(E1212=E$2:E1212)))))-COUNTBLANK(OFFSET(A$1,,,SUMPRODUCT(MAX(ROW(E$1:E1211)*(E2=E$1:E1211))))))</f>
        <v> </v>
      </c>
      <c r="K1212" s="25" t="str">
        <f>IF(OR(E1212="",E1212="!!!",F1212="NEW"),"",INDEX(J$1:J1211,SUMPRODUCT(MAX(ROW(E$1:E1211)*(E1212=E$1:E1211)))))</f>
        <v> </v>
      </c>
      <c r="L1212" s="26"/>
    </row>
    <row r="1213" spans="1:12">
      <c r="A1213" s="20" t="s">
        <v>1767</v>
      </c>
      <c r="B1213" s="27" t="s">
        <v>1149</v>
      </c>
      <c r="E1213" s="21">
        <f>IF(D1213="?OLD","!!!","")</f>
        <v/>
      </c>
      <c r="F1213" s="22" t="str">
        <f>IF(OR(E1213="",E1213="!!!"),"",IF(NOT(ISNA(VLOOKUP(E1213,E$1:E1212,1,FALSE()))),"OLD",IF(AND(E1213&lt;&gt;"",E1213&lt;&gt;"!!!"),"NEW","")))</f>
        <v> </v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4" t="str">
        <f>IF(J1213&lt;&gt;1,"",IF(I1213="SBJ","CB","?"))</f>
        <v> </v>
      </c>
      <c r="I1213" s="25" t="str">
        <f>IF(OR(E1213="",E1213="!!!",F1213="NEW"),"",INDEX(B1212:B$2,-1+SUMPRODUCT(MAX(ROW(E1212:E$2)*(E1213=E1212:E$2)))))</f>
        <v> </v>
      </c>
      <c r="J1213" s="25" t="str">
        <f>IF(OR(E1213="",E1213="!!!",F1213="NEW"),"",COUNTBLANK(OFFSET(A$1,,,SUMPRODUCT(MAX(ROW(E$2:E1213)*(E1213=E$2:E1213)))))-COUNTBLANK(OFFSET(A$1,,,SUMPRODUCT(MAX(ROW(E$1:E1212)*(E2=E$1:E1212))))))</f>
        <v> </v>
      </c>
      <c r="K1213" s="25" t="str">
        <f>IF(OR(E1213="",E1213="!!!",F1213="NEW"),"",INDEX(J$1:J1212,SUMPRODUCT(MAX(ROW(E$1:E1212)*(E1213=E$1:E1212)))))</f>
        <v> </v>
      </c>
      <c r="L1213" s="26"/>
    </row>
    <row r="1214" spans="1:12">
      <c r="A1214" s="20" t="s">
        <v>1768</v>
      </c>
      <c r="E1214" s="21">
        <f>IF(D1214="?OLD","!!!","")</f>
        <v/>
      </c>
      <c r="F1214" s="22" t="str">
        <f>IF(OR(E1214="",E1214="!!!"),"",IF(NOT(ISNA(VLOOKUP(E1214,E$1:E1213,1,FALSE()))),"OLD",IF(AND(E1214&lt;&gt;"",E1214&lt;&gt;"!!!"),"NEW","")))</f>
        <v> </v>
      </c>
      <c r="G1214" s="23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4" t="str">
        <f>IF(J1214&lt;&gt;1,"",IF(I1214="SBJ","CB","?"))</f>
        <v> </v>
      </c>
      <c r="I1214" s="25" t="str">
        <f>IF(OR(E1214="",E1214="!!!",F1214="NEW"),"",INDEX(B1213:B$2,-1+SUMPRODUCT(MAX(ROW(E1213:E$2)*(E1214=E1213:E$2)))))</f>
        <v> </v>
      </c>
      <c r="J1214" s="25" t="str">
        <f>IF(OR(E1214="",E1214="!!!",F1214="NEW"),"",COUNTBLANK(OFFSET(A$1,,,SUMPRODUCT(MAX(ROW(E$2:E1214)*(E1214=E$2:E1214)))))-COUNTBLANK(OFFSET(A$1,,,SUMPRODUCT(MAX(ROW(E$1:E1213)*(E2=E$1:E1213))))))</f>
        <v> </v>
      </c>
      <c r="K1214" s="25" t="str">
        <f>IF(OR(E1214="",E1214="!!!",F1214="NEW"),"",INDEX(J$1:J1213,SUMPRODUCT(MAX(ROW(E$1:E1213)*(E1214=E$1:E1213)))))</f>
        <v> </v>
      </c>
      <c r="L1214" s="26"/>
    </row>
    <row r="1215" spans="1:12">
      <c r="A1215" s="20" t="s">
        <v>1123</v>
      </c>
      <c r="E1215" s="21">
        <f>IF(D1215="?OLD","!!!","")</f>
        <v/>
      </c>
      <c r="F1215" s="22" t="str">
        <f>IF(OR(E1215="",E1215="!!!"),"",IF(NOT(ISNA(VLOOKUP(E1215,E$1:E1214,1,FALSE()))),"OLD",IF(AND(E1215&lt;&gt;"",E1215&lt;&gt;"!!!"),"NEW","")))</f>
        <v> </v>
      </c>
      <c r="G1215" s="23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4" t="str">
        <f>IF(J1215&lt;&gt;1,"",IF(I1215="SBJ","CB","?"))</f>
        <v> </v>
      </c>
      <c r="I1215" s="25" t="str">
        <f>IF(OR(E1215="",E1215="!!!",F1215="NEW"),"",INDEX(B1214:B$2,-1+SUMPRODUCT(MAX(ROW(E1214:E$2)*(E1215=E1214:E$2)))))</f>
        <v> </v>
      </c>
      <c r="J1215" s="25" t="str">
        <f>IF(OR(E1215="",E1215="!!!",F1215="NEW"),"",COUNTBLANK(OFFSET(A$1,,,SUMPRODUCT(MAX(ROW(E$2:E1215)*(E1215=E$2:E1215)))))-COUNTBLANK(OFFSET(A$1,,,SUMPRODUCT(MAX(ROW(E$1:E1214)*(E2=E$1:E1214))))))</f>
        <v> </v>
      </c>
      <c r="K1215" s="25" t="str">
        <f>IF(OR(E1215="",E1215="!!!",F1215="NEW"),"",INDEX(J$1:J1214,SUMPRODUCT(MAX(ROW(E$1:E1214)*(E1215=E$1:E1214)))))</f>
        <v> </v>
      </c>
      <c r="L1215" s="26"/>
    </row>
    <row r="1216" spans="1:12">
      <c r="A1216" s="20" t="s">
        <v>1769</v>
      </c>
      <c r="E1216" s="21">
        <f>IF(D1216="?OLD","!!!","")</f>
        <v/>
      </c>
      <c r="F1216" s="22" t="str">
        <f>IF(OR(E1216="",E1216="!!!"),"",IF(NOT(ISNA(VLOOKUP(E1216,E$1:E1215,1,FALSE()))),"OLD",IF(AND(E1216&lt;&gt;"",E1216&lt;&gt;"!!!"),"NEW","")))</f>
        <v> </v>
      </c>
      <c r="G1216" s="23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4" t="str">
        <f>IF(J1216&lt;&gt;1,"",IF(I1216="SBJ","CB","?"))</f>
        <v> </v>
      </c>
      <c r="I1216" s="25" t="str">
        <f>IF(OR(E1216="",E1216="!!!",F1216="NEW"),"",INDEX(B1215:B$2,-1+SUMPRODUCT(MAX(ROW(E1215:E$2)*(E1216=E1215:E$2)))))</f>
        <v> </v>
      </c>
      <c r="J1216" s="25" t="str">
        <f>IF(OR(E1216="",E1216="!!!",F1216="NEW"),"",COUNTBLANK(OFFSET(A$1,,,SUMPRODUCT(MAX(ROW(E$2:E1216)*(E1216=E$2:E1216)))))-COUNTBLANK(OFFSET(A$1,,,SUMPRODUCT(MAX(ROW(E$1:E1215)*(E2=E$1:E1215))))))</f>
        <v> </v>
      </c>
      <c r="K1216" s="25" t="str">
        <f>IF(OR(E1216="",E1216="!!!",F1216="NEW"),"",INDEX(J$1:J1215,SUMPRODUCT(MAX(ROW(E$1:E1215)*(E1216=E$1:E1215)))))</f>
        <v> </v>
      </c>
      <c r="L1216" s="26"/>
    </row>
    <row r="1217" spans="1:12">
      <c r="A1217" s="20" t="s">
        <v>1770</v>
      </c>
      <c r="E1217" s="21">
        <f>IF(D1217="?OLD","!!!","")</f>
        <v/>
      </c>
      <c r="F1217" s="22" t="str">
        <f>IF(OR(E1217="",E1217="!!!"),"",IF(NOT(ISNA(VLOOKUP(E1217,E$1:E1216,1,FALSE()))),"OLD",IF(AND(E1217&lt;&gt;"",E1217&lt;&gt;"!!!"),"NEW","")))</f>
        <v> </v>
      </c>
      <c r="G1217" s="23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4" t="str">
        <f>IF(J1217&lt;&gt;1,"",IF(I1217="SBJ","CB","?"))</f>
        <v> </v>
      </c>
      <c r="I1217" s="25" t="str">
        <f>IF(OR(E1217="",E1217="!!!",F1217="NEW"),"",INDEX(B1216:B$2,-1+SUMPRODUCT(MAX(ROW(E1216:E$2)*(E1217=E1216:E$2)))))</f>
        <v> </v>
      </c>
      <c r="J1217" s="25" t="str">
        <f>IF(OR(E1217="",E1217="!!!",F1217="NEW"),"",COUNTBLANK(OFFSET(A$1,,,SUMPRODUCT(MAX(ROW(E$2:E1217)*(E1217=E$2:E1217)))))-COUNTBLANK(OFFSET(A$1,,,SUMPRODUCT(MAX(ROW(E$1:E1216)*(E2=E$1:E1216))))))</f>
        <v> </v>
      </c>
      <c r="K1217" s="25" t="str">
        <f>IF(OR(E1217="",E1217="!!!",F1217="NEW"),"",INDEX(J$1:J1216,SUMPRODUCT(MAX(ROW(E$1:E1216)*(E1217=E$1:E1216)))))</f>
        <v> </v>
      </c>
      <c r="L1217" s="26"/>
    </row>
    <row r="1218" spans="1:12">
      <c r="A1218" s="20" t="s">
        <v>1206</v>
      </c>
      <c r="E1218" s="21">
        <f>IF(D1218="?OLD","!!!","")</f>
        <v/>
      </c>
      <c r="F1218" s="22" t="str">
        <f>IF(OR(E1218="",E1218="!!!"),"",IF(NOT(ISNA(VLOOKUP(E1218,E$1:E1217,1,FALSE()))),"OLD",IF(AND(E1218&lt;&gt;"",E1218&lt;&gt;"!!!"),"NEW","")))</f>
        <v> </v>
      </c>
      <c r="G1218" s="23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4" t="str">
        <f>IF(J1218&lt;&gt;1,"",IF(I1218="SBJ","CB","?"))</f>
        <v> </v>
      </c>
      <c r="I1218" s="25" t="str">
        <f>IF(OR(E1218="",E1218="!!!",F1218="NEW"),"",INDEX(B1217:B$2,-1+SUMPRODUCT(MAX(ROW(E1217:E$2)*(E1218=E1217:E$2)))))</f>
        <v> </v>
      </c>
      <c r="J1218" s="25" t="str">
        <f>IF(OR(E1218="",E1218="!!!",F1218="NEW"),"",COUNTBLANK(OFFSET(A$1,,,SUMPRODUCT(MAX(ROW(E$2:E1218)*(E1218=E$2:E1218)))))-COUNTBLANK(OFFSET(A$1,,,SUMPRODUCT(MAX(ROW(E$1:E1217)*(E2=E$1:E1217))))))</f>
        <v> </v>
      </c>
      <c r="K1218" s="25" t="str">
        <f>IF(OR(E1218="",E1218="!!!",F1218="NEW"),"",INDEX(J$1:J1217,SUMPRODUCT(MAX(ROW(E$1:E1217)*(E1218=E$1:E1217)))))</f>
        <v> </v>
      </c>
      <c r="L1218" s="26"/>
    </row>
    <row r="1219" spans="1:12">
      <c r="A1219" s="20" t="s">
        <v>1771</v>
      </c>
      <c r="B1219" s="27" t="s">
        <v>1243</v>
      </c>
      <c r="C1219" s="27" t="s">
        <v>1210</v>
      </c>
      <c r="E1219" s="21">
        <f>IF(D1219="?OLD","!!!","")</f>
        <v/>
      </c>
      <c r="F1219" s="22" t="str">
        <f>IF(OR(E1219="",E1219="!!!"),"",IF(NOT(ISNA(VLOOKUP(E1219,E$1:E1218,1,FALSE()))),"OLD",IF(AND(E1219&lt;&gt;"",E1219&lt;&gt;"!!!"),"NEW","")))</f>
        <v> </v>
      </c>
      <c r="G1219" s="23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4" t="str">
        <f>IF(J1219&lt;&gt;1,"",IF(I1219="SBJ","CB","?"))</f>
        <v> </v>
      </c>
      <c r="I1219" s="25" t="str">
        <f>IF(OR(E1219="",E1219="!!!",F1219="NEW"),"",INDEX(B1218:B$2,-1+SUMPRODUCT(MAX(ROW(E1218:E$2)*(E1219=E1218:E$2)))))</f>
        <v> </v>
      </c>
      <c r="J1219" s="25" t="str">
        <f>IF(OR(E1219="",E1219="!!!",F1219="NEW"),"",COUNTBLANK(OFFSET(A$1,,,SUMPRODUCT(MAX(ROW(E$2:E1219)*(E1219=E$2:E1219)))))-COUNTBLANK(OFFSET(A$1,,,SUMPRODUCT(MAX(ROW(E$1:E1218)*(E2=E$1:E1218))))))</f>
        <v> </v>
      </c>
      <c r="K1219" s="25" t="str">
        <f>IF(OR(E1219="",E1219="!!!",F1219="NEW"),"",INDEX(J$1:J1218,SUMPRODUCT(MAX(ROW(E$1:E1218)*(E1219=E$1:E1218)))))</f>
        <v> </v>
      </c>
      <c r="L1219" s="26"/>
    </row>
    <row r="1220" spans="1:12">
      <c r="A1220" s="20" t="s">
        <v>1123</v>
      </c>
      <c r="E1220" s="21">
        <f>IF(D1220="?OLD","!!!","")</f>
        <v/>
      </c>
      <c r="F1220" s="22" t="str">
        <f>IF(OR(E1220="",E1220="!!!"),"",IF(NOT(ISNA(VLOOKUP(E1220,E$1:E1219,1,FALSE()))),"OLD",IF(AND(E1220&lt;&gt;"",E1220&lt;&gt;"!!!"),"NEW","")))</f>
        <v> </v>
      </c>
      <c r="G1220" s="23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4" t="str">
        <f>IF(J1220&lt;&gt;1,"",IF(I1220="SBJ","CB","?"))</f>
        <v> </v>
      </c>
      <c r="I1220" s="25" t="str">
        <f>IF(OR(E1220="",E1220="!!!",F1220="NEW"),"",INDEX(B1219:B$2,-1+SUMPRODUCT(MAX(ROW(E1219:E$2)*(E1220=E1219:E$2)))))</f>
        <v> </v>
      </c>
      <c r="J1220" s="25" t="str">
        <f>IF(OR(E1220="",E1220="!!!",F1220="NEW"),"",COUNTBLANK(OFFSET(A$1,,,SUMPRODUCT(MAX(ROW(E$2:E1220)*(E1220=E$2:E1220)))))-COUNTBLANK(OFFSET(A$1,,,SUMPRODUCT(MAX(ROW(E$1:E1219)*(E2=E$1:E1219))))))</f>
        <v> </v>
      </c>
      <c r="K1220" s="25" t="str">
        <f>IF(OR(E1220="",E1220="!!!",F1220="NEW"),"",INDEX(J$1:J1219,SUMPRODUCT(MAX(ROW(E$1:E1219)*(E1220=E$1:E1219)))))</f>
        <v> </v>
      </c>
      <c r="L1220" s="26"/>
    </row>
    <row r="1221" spans="1:12">
      <c r="A1221" s="20" t="s">
        <v>1130</v>
      </c>
      <c r="E1221" s="21">
        <f>IF(D1221="?OLD","!!!","")</f>
        <v/>
      </c>
      <c r="F1221" s="22" t="str">
        <f>IF(OR(E1221="",E1221="!!!"),"",IF(NOT(ISNA(VLOOKUP(E1221,E$1:E1220,1,FALSE()))),"OLD",IF(AND(E1221&lt;&gt;"",E1221&lt;&gt;"!!!"),"NEW","")))</f>
        <v> </v>
      </c>
      <c r="G1221" s="23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4" t="str">
        <f>IF(J1221&lt;&gt;1,"",IF(I1221="SBJ","CB","?"))</f>
        <v> </v>
      </c>
      <c r="I1221" s="25" t="str">
        <f>IF(OR(E1221="",E1221="!!!",F1221="NEW"),"",INDEX(B1220:B$2,-1+SUMPRODUCT(MAX(ROW(E1220:E$2)*(E1221=E1220:E$2)))))</f>
        <v> </v>
      </c>
      <c r="J1221" s="25" t="str">
        <f>IF(OR(E1221="",E1221="!!!",F1221="NEW"),"",COUNTBLANK(OFFSET(A$1,,,SUMPRODUCT(MAX(ROW(E$2:E1221)*(E1221=E$2:E1221)))))-COUNTBLANK(OFFSET(A$1,,,SUMPRODUCT(MAX(ROW(E$1:E1220)*(E2=E$1:E1220))))))</f>
        <v> </v>
      </c>
      <c r="K1221" s="25" t="str">
        <f>IF(OR(E1221="",E1221="!!!",F1221="NEW"),"",INDEX(J$1:J1220,SUMPRODUCT(MAX(ROW(E$1:E1220)*(E1221=E$1:E1220)))))</f>
        <v> </v>
      </c>
      <c r="L1221" s="26"/>
    </row>
    <row r="1222" spans="1:12">
      <c r="A1222" s="20" t="s">
        <v>1772</v>
      </c>
      <c r="E1222" s="21">
        <f>IF(D1222="?OLD","!!!","")</f>
        <v/>
      </c>
      <c r="F1222" s="22" t="str">
        <f>IF(OR(E1222="",E1222="!!!"),"",IF(NOT(ISNA(VLOOKUP(E1222,E$1:E1221,1,FALSE()))),"OLD",IF(AND(E1222&lt;&gt;"",E1222&lt;&gt;"!!!"),"NEW","")))</f>
        <v> </v>
      </c>
      <c r="G1222" s="23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4" t="str">
        <f>IF(J1222&lt;&gt;1,"",IF(I1222="SBJ","CB","?"))</f>
        <v> </v>
      </c>
      <c r="I1222" s="25" t="str">
        <f>IF(OR(E1222="",E1222="!!!",F1222="NEW"),"",INDEX(B1221:B$2,-1+SUMPRODUCT(MAX(ROW(E1221:E$2)*(E1222=E1221:E$2)))))</f>
        <v> </v>
      </c>
      <c r="J1222" s="25" t="str">
        <f>IF(OR(E1222="",E1222="!!!",F1222="NEW"),"",COUNTBLANK(OFFSET(A$1,,,SUMPRODUCT(MAX(ROW(E$2:E1222)*(E1222=E$2:E1222)))))-COUNTBLANK(OFFSET(A$1,,,SUMPRODUCT(MAX(ROW(E$1:E1221)*(E2=E$1:E1221))))))</f>
        <v> </v>
      </c>
      <c r="K1222" s="25" t="str">
        <f>IF(OR(E1222="",E1222="!!!",F1222="NEW"),"",INDEX(J$1:J1221,SUMPRODUCT(MAX(ROW(E$1:E1221)*(E1222=E$1:E1221)))))</f>
        <v> </v>
      </c>
      <c r="L1222" s="26"/>
    </row>
    <row r="1223" spans="1:12">
      <c r="A1223" s="20" t="s">
        <v>1773</v>
      </c>
      <c r="B1223" s="27" t="s">
        <v>1107</v>
      </c>
      <c r="C1223" s="27" t="s">
        <v>1210</v>
      </c>
      <c r="E1223" s="21">
        <f>IF(D1223="?OLD","!!!","")</f>
        <v/>
      </c>
      <c r="F1223" s="22" t="str">
        <f>IF(OR(E1223="",E1223="!!!"),"",IF(NOT(ISNA(VLOOKUP(E1223,E$1:E1222,1,FALSE()))),"OLD",IF(AND(E1223&lt;&gt;"",E1223&lt;&gt;"!!!"),"NEW","")))</f>
        <v> </v>
      </c>
      <c r="G1223" s="23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24" t="str">
        <f>IF(J1223&lt;&gt;1,"",IF(I1223="SBJ","CB","?"))</f>
        <v> </v>
      </c>
      <c r="I1223" s="25" t="str">
        <f>IF(OR(E1223="",E1223="!!!",F1223="NEW"),"",INDEX(B1222:B$2,-1+SUMPRODUCT(MAX(ROW(E1222:E$2)*(E1223=E1222:E$2)))))</f>
        <v> </v>
      </c>
      <c r="J1223" s="25" t="str">
        <f>IF(OR(E1223="",E1223="!!!",F1223="NEW"),"",COUNTBLANK(OFFSET(A$1,,,SUMPRODUCT(MAX(ROW(E$2:E1223)*(E1223=E$2:E1223)))))-COUNTBLANK(OFFSET(A$1,,,SUMPRODUCT(MAX(ROW(E$1:E1222)*(E2=E$1:E1222))))))</f>
        <v> </v>
      </c>
      <c r="K1223" s="25" t="str">
        <f>IF(OR(E1223="",E1223="!!!",F1223="NEW"),"",INDEX(J$1:J1222,SUMPRODUCT(MAX(ROW(E$1:E1222)*(E1223=E$1:E1222)))))</f>
        <v> </v>
      </c>
      <c r="L1223" s="26"/>
    </row>
    <row r="1224" spans="1:12">
      <c r="A1224" s="20" t="s">
        <v>1774</v>
      </c>
      <c r="E1224" s="21">
        <f>IF(D1224="?OLD","!!!","")</f>
        <v/>
      </c>
      <c r="F1224" s="22" t="str">
        <f>IF(OR(E1224="",E1224="!!!"),"",IF(NOT(ISNA(VLOOKUP(E1224,E$1:E1223,1,FALSE()))),"OLD",IF(AND(E1224&lt;&gt;"",E1224&lt;&gt;"!!!"),"NEW","")))</f>
        <v> </v>
      </c>
      <c r="G1224" s="23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4" t="str">
        <f>IF(J1224&lt;&gt;1,"",IF(I1224="SBJ","CB","?"))</f>
        <v> </v>
      </c>
      <c r="I1224" s="25" t="str">
        <f>IF(OR(E1224="",E1224="!!!",F1224="NEW"),"",INDEX(B1223:B$2,-1+SUMPRODUCT(MAX(ROW(E1223:E$2)*(E1224=E1223:E$2)))))</f>
        <v> </v>
      </c>
      <c r="J1224" s="25" t="str">
        <f>IF(OR(E1224="",E1224="!!!",F1224="NEW"),"",COUNTBLANK(OFFSET(A$1,,,SUMPRODUCT(MAX(ROW(E$2:E1224)*(E1224=E$2:E1224)))))-COUNTBLANK(OFFSET(A$1,,,SUMPRODUCT(MAX(ROW(E$1:E1223)*(E2=E$1:E1223))))))</f>
        <v> </v>
      </c>
      <c r="K1224" s="25" t="str">
        <f>IF(OR(E1224="",E1224="!!!",F1224="NEW"),"",INDEX(J$1:J1223,SUMPRODUCT(MAX(ROW(E$1:E1223)*(E1224=E$1:E1223)))))</f>
        <v> </v>
      </c>
      <c r="L1224" s="26"/>
    </row>
    <row r="1225" spans="1:12">
      <c r="A1225" s="20" t="s">
        <v>1271</v>
      </c>
      <c r="E1225" s="21">
        <f>IF(D1225="?OLD","!!!","")</f>
        <v/>
      </c>
      <c r="F1225" s="22" t="str">
        <f>IF(OR(E1225="",E1225="!!!"),"",IF(NOT(ISNA(VLOOKUP(E1225,E$1:E1224,1,FALSE()))),"OLD",IF(AND(E1225&lt;&gt;"",E1225&lt;&gt;"!!!"),"NEW","")))</f>
        <v> </v>
      </c>
      <c r="G1225" s="23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4" t="str">
        <f>IF(J1225&lt;&gt;1,"",IF(I1225="SBJ","CB","?"))</f>
        <v> </v>
      </c>
      <c r="I1225" s="25" t="str">
        <f>IF(OR(E1225="",E1225="!!!",F1225="NEW"),"",INDEX(B1224:B$2,-1+SUMPRODUCT(MAX(ROW(E1224:E$2)*(E1225=E1224:E$2)))))</f>
        <v> </v>
      </c>
      <c r="J1225" s="25" t="str">
        <f>IF(OR(E1225="",E1225="!!!",F1225="NEW"),"",COUNTBLANK(OFFSET(A$1,,,SUMPRODUCT(MAX(ROW(E$2:E1225)*(E1225=E$2:E1225)))))-COUNTBLANK(OFFSET(A$1,,,SUMPRODUCT(MAX(ROW(E$1:E1224)*(E2=E$1:E1224))))))</f>
        <v> </v>
      </c>
      <c r="K1225" s="25" t="str">
        <f>IF(OR(E1225="",E1225="!!!",F1225="NEW"),"",INDEX(J$1:J1224,SUMPRODUCT(MAX(ROW(E$1:E1224)*(E1225=E$1:E1224)))))</f>
        <v> </v>
      </c>
      <c r="L1225" s="26"/>
    </row>
    <row r="1226" spans="1:12">
      <c r="A1226" s="20" t="s">
        <v>1418</v>
      </c>
      <c r="E1226" s="21">
        <f>IF(D1226="?OLD","!!!","")</f>
        <v/>
      </c>
      <c r="F1226" s="22" t="str">
        <f>IF(OR(E1226="",E1226="!!!"),"",IF(NOT(ISNA(VLOOKUP(E1226,E$1:E1225,1,FALSE()))),"OLD",IF(AND(E1226&lt;&gt;"",E1226&lt;&gt;"!!!"),"NEW","")))</f>
        <v> </v>
      </c>
      <c r="G1226" s="23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4" t="str">
        <f>IF(J1226&lt;&gt;1,"",IF(I1226="SBJ","CB","?"))</f>
        <v> </v>
      </c>
      <c r="I1226" s="25" t="str">
        <f>IF(OR(E1226="",E1226="!!!",F1226="NEW"),"",INDEX(B1225:B$2,-1+SUMPRODUCT(MAX(ROW(E1225:E$2)*(E1226=E1225:E$2)))))</f>
        <v> </v>
      </c>
      <c r="J1226" s="25" t="str">
        <f>IF(OR(E1226="",E1226="!!!",F1226="NEW"),"",COUNTBLANK(OFFSET(A$1,,,SUMPRODUCT(MAX(ROW(E$2:E1226)*(E1226=E$2:E1226)))))-COUNTBLANK(OFFSET(A$1,,,SUMPRODUCT(MAX(ROW(E$1:E1225)*(E2=E$1:E1225))))))</f>
        <v> </v>
      </c>
      <c r="K1226" s="25" t="str">
        <f>IF(OR(E1226="",E1226="!!!",F1226="NEW"),"",INDEX(J$1:J1225,SUMPRODUCT(MAX(ROW(E$1:E1225)*(E1226=E$1:E1225)))))</f>
        <v> </v>
      </c>
      <c r="L1226" s="26"/>
    </row>
    <row r="1227" spans="1:12">
      <c r="A1227" s="20" t="s">
        <v>1145</v>
      </c>
      <c r="E1227" s="21">
        <f>IF(D1227="?OLD","!!!","")</f>
        <v/>
      </c>
      <c r="F1227" s="22" t="str">
        <f>IF(OR(E1227="",E1227="!!!"),"",IF(NOT(ISNA(VLOOKUP(E1227,E$1:E1226,1,FALSE()))),"OLD",IF(AND(E1227&lt;&gt;"",E1227&lt;&gt;"!!!"),"NEW","")))</f>
        <v> </v>
      </c>
      <c r="G1227" s="23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24" t="str">
        <f>IF(J1227&lt;&gt;1,"",IF(I1227="SBJ","CB","?"))</f>
        <v> </v>
      </c>
      <c r="I1227" s="25" t="str">
        <f>IF(OR(E1227="",E1227="!!!",F1227="NEW"),"",INDEX(B1226:B$2,-1+SUMPRODUCT(MAX(ROW(E1226:E$2)*(E1227=E1226:E$2)))))</f>
        <v> </v>
      </c>
      <c r="J1227" s="25" t="str">
        <f>IF(OR(E1227="",E1227="!!!",F1227="NEW"),"",COUNTBLANK(OFFSET(A$1,,,SUMPRODUCT(MAX(ROW(E$2:E1227)*(E1227=E$2:E1227)))))-COUNTBLANK(OFFSET(A$1,,,SUMPRODUCT(MAX(ROW(E$1:E1226)*(E2=E$1:E1226))))))</f>
        <v> </v>
      </c>
      <c r="K1227" s="25" t="str">
        <f>IF(OR(E1227="",E1227="!!!",F1227="NEW"),"",INDEX(J$1:J1226,SUMPRODUCT(MAX(ROW(E$1:E1226)*(E1227=E$1:E1226)))))</f>
        <v> </v>
      </c>
      <c r="L1227" s="26"/>
    </row>
    <row r="1228" spans="1:12">
      <c r="A1228" s="20"/>
    </row>
    <row r="1229" spans="1:12">
      <c r="A1229" s="20" t="s">
        <v>1775</v>
      </c>
    </row>
    <row r="1230" spans="1:12">
      <c r="A1230" s="20" t="s">
        <v>1776</v>
      </c>
      <c r="E1230" s="21">
        <f>IF(D1230="?OLD","!!!","")</f>
        <v/>
      </c>
      <c r="F1230" s="22" t="str">
        <f>IF(OR(E1230="",E1230="!!!"),"",IF(NOT(ISNA(VLOOKUP(E1230,E$1:E1229,1,FALSE()))),"OLD",IF(AND(E1230&lt;&gt;"",E1230&lt;&gt;"!!!"),"NEW","")))</f>
        <v> </v>
      </c>
      <c r="G1230" s="23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4" t="str">
        <f>IF(J1230&lt;&gt;1,"",IF(I1230="SBJ","CB","?"))</f>
        <v> </v>
      </c>
      <c r="I1230" s="25" t="str">
        <f>IF(OR(E1230="",E1230="!!!",F1230="NEW"),"",INDEX(B1229:B$2,-1+SUMPRODUCT(MAX(ROW(E1229:E$2)*(E1230=E1229:E$2)))))</f>
        <v> </v>
      </c>
      <c r="J1230" s="25" t="str">
        <f>IF(OR(E1230="",E1230="!!!",F1230="NEW"),"",COUNTBLANK(OFFSET(A$1,,,SUMPRODUCT(MAX(ROW(E$2:E1230)*(E1230=E$2:E1230)))))-COUNTBLANK(OFFSET(A$1,,,SUMPRODUCT(MAX(ROW(E$1:E1229)*(E2=E$1:E1229))))))</f>
        <v> </v>
      </c>
      <c r="K1230" s="25" t="str">
        <f>IF(OR(E1230="",E1230="!!!",F1230="NEW"),"",INDEX(J$1:J1229,SUMPRODUCT(MAX(ROW(E$1:E1229)*(E1230=E$1:E1229)))))</f>
        <v> </v>
      </c>
      <c r="L1230" s="26"/>
    </row>
    <row r="1231" spans="1:12">
      <c r="A1231" s="20" t="s">
        <v>1777</v>
      </c>
      <c r="E1231" s="21">
        <f>IF(D1231="?OLD","!!!","")</f>
        <v/>
      </c>
      <c r="F1231" s="22" t="str">
        <f>IF(OR(E1231="",E1231="!!!"),"",IF(NOT(ISNA(VLOOKUP(E1231,E$1:E1230,1,FALSE()))),"OLD",IF(AND(E1231&lt;&gt;"",E1231&lt;&gt;"!!!"),"NEW","")))</f>
        <v> </v>
      </c>
      <c r="G1231" s="23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4" t="str">
        <f>IF(J1231&lt;&gt;1,"",IF(I1231="SBJ","CB","?"))</f>
        <v> </v>
      </c>
      <c r="I1231" s="25" t="str">
        <f>IF(OR(E1231="",E1231="!!!",F1231="NEW"),"",INDEX(B1230:B$2,-1+SUMPRODUCT(MAX(ROW(E1230:E$2)*(E1231=E1230:E$2)))))</f>
        <v> </v>
      </c>
      <c r="J1231" s="25" t="str">
        <f>IF(OR(E1231="",E1231="!!!",F1231="NEW"),"",COUNTBLANK(OFFSET(A$1,,,SUMPRODUCT(MAX(ROW(E$2:E1231)*(E1231=E$2:E1231)))))-COUNTBLANK(OFFSET(A$1,,,SUMPRODUCT(MAX(ROW(E$1:E1230)*(E2=E$1:E1230))))))</f>
        <v> </v>
      </c>
      <c r="K1231" s="25" t="str">
        <f>IF(OR(E1231="",E1231="!!!",F1231="NEW"),"",INDEX(J$1:J1230,SUMPRODUCT(MAX(ROW(E$1:E1230)*(E1231=E$1:E1230)))))</f>
        <v> </v>
      </c>
      <c r="L1231" s="26"/>
    </row>
    <row r="1232" spans="1:12">
      <c r="A1232" s="20" t="s">
        <v>1778</v>
      </c>
      <c r="B1232" s="27" t="s">
        <v>1149</v>
      </c>
      <c r="E1232" s="21">
        <f>IF(D1232="?OLD","!!!","")</f>
        <v/>
      </c>
      <c r="F1232" s="22" t="str">
        <f>IF(OR(E1232="",E1232="!!!"),"",IF(NOT(ISNA(VLOOKUP(E1232,E$1:E1231,1,FALSE()))),"OLD",IF(AND(E1232&lt;&gt;"",E1232&lt;&gt;"!!!"),"NEW","")))</f>
        <v> </v>
      </c>
      <c r="G1232" s="23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4" t="str">
        <f>IF(J1232&lt;&gt;1,"",IF(I1232="SBJ","CB","?"))</f>
        <v> </v>
      </c>
      <c r="I1232" s="25" t="str">
        <f>IF(OR(E1232="",E1232="!!!",F1232="NEW"),"",INDEX(B1231:B$2,-1+SUMPRODUCT(MAX(ROW(E1231:E$2)*(E1232=E1231:E$2)))))</f>
        <v> </v>
      </c>
      <c r="J1232" s="25" t="str">
        <f>IF(OR(E1232="",E1232="!!!",F1232="NEW"),"",COUNTBLANK(OFFSET(A$1,,,SUMPRODUCT(MAX(ROW(E$2:E1232)*(E1232=E$2:E1232)))))-COUNTBLANK(OFFSET(A$1,,,SUMPRODUCT(MAX(ROW(E$1:E1231)*(E2=E$1:E1231))))))</f>
        <v> </v>
      </c>
      <c r="K1232" s="25" t="str">
        <f>IF(OR(E1232="",E1232="!!!",F1232="NEW"),"",INDEX(J$1:J1231,SUMPRODUCT(MAX(ROW(E$1:E1231)*(E1232=E$1:E1231)))))</f>
        <v> </v>
      </c>
      <c r="L1232" s="26"/>
    </row>
    <row r="1233" spans="1:12">
      <c r="A1233" s="20" t="s">
        <v>1628</v>
      </c>
      <c r="E1233" s="21">
        <f>IF(D1233="?OLD","!!!","")</f>
        <v/>
      </c>
      <c r="F1233" s="22" t="str">
        <f>IF(OR(E1233="",E1233="!!!"),"",IF(NOT(ISNA(VLOOKUP(E1233,E$1:E1232,1,FALSE()))),"OLD",IF(AND(E1233&lt;&gt;"",E1233&lt;&gt;"!!!"),"NEW","")))</f>
        <v> </v>
      </c>
      <c r="G1233" s="23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4" t="str">
        <f>IF(J1233&lt;&gt;1,"",IF(I1233="SBJ","CB","?"))</f>
        <v> </v>
      </c>
      <c r="I1233" s="25" t="str">
        <f>IF(OR(E1233="",E1233="!!!",F1233="NEW"),"",INDEX(B1232:B$2,-1+SUMPRODUCT(MAX(ROW(E1232:E$2)*(E1233=E1232:E$2)))))</f>
        <v> </v>
      </c>
      <c r="J1233" s="25" t="str">
        <f>IF(OR(E1233="",E1233="!!!",F1233="NEW"),"",COUNTBLANK(OFFSET(A$1,,,SUMPRODUCT(MAX(ROW(E$2:E1233)*(E1233=E$2:E1233)))))-COUNTBLANK(OFFSET(A$1,,,SUMPRODUCT(MAX(ROW(E$1:E1232)*(E2=E$1:E1232))))))</f>
        <v> </v>
      </c>
      <c r="K1233" s="25" t="str">
        <f>IF(OR(E1233="",E1233="!!!",F1233="NEW"),"",INDEX(J$1:J1232,SUMPRODUCT(MAX(ROW(E$1:E1232)*(E1233=E$1:E1232)))))</f>
        <v> </v>
      </c>
      <c r="L1233" s="26"/>
    </row>
    <row r="1234" spans="1:12">
      <c r="A1234" s="20" t="s">
        <v>1779</v>
      </c>
      <c r="E1234" s="21">
        <f>IF(D1234="?OLD","!!!","")</f>
        <v/>
      </c>
      <c r="F1234" s="22" t="str">
        <f>IF(OR(E1234="",E1234="!!!"),"",IF(NOT(ISNA(VLOOKUP(E1234,E$1:E1233,1,FALSE()))),"OLD",IF(AND(E1234&lt;&gt;"",E1234&lt;&gt;"!!!"),"NEW","")))</f>
        <v> </v>
      </c>
      <c r="G1234" s="23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4" t="str">
        <f>IF(J1234&lt;&gt;1,"",IF(I1234="SBJ","CB","?"))</f>
        <v> </v>
      </c>
      <c r="I1234" s="25" t="str">
        <f>IF(OR(E1234="",E1234="!!!",F1234="NEW"),"",INDEX(B1233:B$2,-1+SUMPRODUCT(MAX(ROW(E1233:E$2)*(E1234=E1233:E$2)))))</f>
        <v> </v>
      </c>
      <c r="J1234" s="25" t="str">
        <f>IF(OR(E1234="",E1234="!!!",F1234="NEW"),"",COUNTBLANK(OFFSET(A$1,,,SUMPRODUCT(MAX(ROW(E$2:E1234)*(E1234=E$2:E1234)))))-COUNTBLANK(OFFSET(A$1,,,SUMPRODUCT(MAX(ROW(E$1:E1233)*(E2=E$1:E1233))))))</f>
        <v> </v>
      </c>
      <c r="K1234" s="25" t="str">
        <f>IF(OR(E1234="",E1234="!!!",F1234="NEW"),"",INDEX(J$1:J1233,SUMPRODUCT(MAX(ROW(E$1:E1233)*(E1234=E$1:E1233)))))</f>
        <v> </v>
      </c>
      <c r="L1234" s="26"/>
    </row>
    <row r="1235" spans="1:12">
      <c r="A1235" s="20" t="s">
        <v>1318</v>
      </c>
      <c r="E1235" s="21">
        <f>IF(D1235="?OLD","!!!","")</f>
        <v/>
      </c>
      <c r="F1235" s="22" t="str">
        <f>IF(OR(E1235="",E1235="!!!"),"",IF(NOT(ISNA(VLOOKUP(E1235,E$1:E1234,1,FALSE()))),"OLD",IF(AND(E1235&lt;&gt;"",E1235&lt;&gt;"!!!"),"NEW","")))</f>
        <v> </v>
      </c>
      <c r="G1235" s="23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4" t="str">
        <f>IF(J1235&lt;&gt;1,"",IF(I1235="SBJ","CB","?"))</f>
        <v> </v>
      </c>
      <c r="I1235" s="25" t="str">
        <f>IF(OR(E1235="",E1235="!!!",F1235="NEW"),"",INDEX(B1234:B$2,-1+SUMPRODUCT(MAX(ROW(E1234:E$2)*(E1235=E1234:E$2)))))</f>
        <v> </v>
      </c>
      <c r="J1235" s="25" t="str">
        <f>IF(OR(E1235="",E1235="!!!",F1235="NEW"),"",COUNTBLANK(OFFSET(A$1,,,SUMPRODUCT(MAX(ROW(E$2:E1235)*(E1235=E$2:E1235)))))-COUNTBLANK(OFFSET(A$1,,,SUMPRODUCT(MAX(ROW(E$1:E1234)*(E2=E$1:E1234))))))</f>
        <v> </v>
      </c>
      <c r="K1235" s="25" t="str">
        <f>IF(OR(E1235="",E1235="!!!",F1235="NEW"),"",INDEX(J$1:J1234,SUMPRODUCT(MAX(ROW(E$1:E1234)*(E1235=E$1:E1234)))))</f>
        <v> </v>
      </c>
      <c r="L1235" s="26"/>
    </row>
    <row r="1236" spans="1:12">
      <c r="A1236" s="20" t="s">
        <v>1780</v>
      </c>
      <c r="E1236" s="21">
        <f>IF(D1236="?OLD","!!!","")</f>
        <v/>
      </c>
      <c r="F1236" s="22" t="str">
        <f>IF(OR(E1236="",E1236="!!!"),"",IF(NOT(ISNA(VLOOKUP(E1236,E$1:E1235,1,FALSE()))),"OLD",IF(AND(E1236&lt;&gt;"",E1236&lt;&gt;"!!!"),"NEW","")))</f>
        <v> </v>
      </c>
      <c r="G1236" s="23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> </v>
      </c>
      <c r="H1236" s="24" t="str">
        <f>IF(J1236&lt;&gt;1,"",IF(I1236="SBJ","CB","?"))</f>
        <v> </v>
      </c>
      <c r="I1236" s="25" t="str">
        <f>IF(OR(E1236="",E1236="!!!",F1236="NEW"),"",INDEX(B1235:B$2,-1+SUMPRODUCT(MAX(ROW(E1235:E$2)*(E1236=E1235:E$2)))))</f>
        <v> </v>
      </c>
      <c r="J1236" s="25" t="str">
        <f>IF(OR(E1236="",E1236="!!!",F1236="NEW"),"",COUNTBLANK(OFFSET(A$1,,,SUMPRODUCT(MAX(ROW(E$2:E1236)*(E1236=E$2:E1236)))))-COUNTBLANK(OFFSET(A$1,,,SUMPRODUCT(MAX(ROW(E$1:E1235)*(E2=E$1:E1235))))))</f>
        <v> </v>
      </c>
      <c r="K1236" s="25" t="str">
        <f>IF(OR(E1236="",E1236="!!!",F1236="NEW"),"",INDEX(J$1:J1235,SUMPRODUCT(MAX(ROW(E$1:E1235)*(E1236=E$1:E1235)))))</f>
        <v> </v>
      </c>
      <c r="L1236" s="26"/>
    </row>
    <row r="1237" spans="1:12">
      <c r="A1237" s="20" t="s">
        <v>1781</v>
      </c>
      <c r="E1237" s="21">
        <f>IF(D1237="?OLD","!!!","")</f>
        <v/>
      </c>
      <c r="F1237" s="22" t="str">
        <f>IF(OR(E1237="",E1237="!!!"),"",IF(NOT(ISNA(VLOOKUP(E1237,E$1:E1236,1,FALSE()))),"OLD",IF(AND(E1237&lt;&gt;"",E1237&lt;&gt;"!!!"),"NEW","")))</f>
        <v> </v>
      </c>
      <c r="G1237" s="23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4" t="str">
        <f>IF(J1237&lt;&gt;1,"",IF(I1237="SBJ","CB","?"))</f>
        <v> </v>
      </c>
      <c r="I1237" s="25" t="str">
        <f>IF(OR(E1237="",E1237="!!!",F1237="NEW"),"",INDEX(B1236:B$2,-1+SUMPRODUCT(MAX(ROW(E1236:E$2)*(E1237=E1236:E$2)))))</f>
        <v> </v>
      </c>
      <c r="J1237" s="25" t="str">
        <f>IF(OR(E1237="",E1237="!!!",F1237="NEW"),"",COUNTBLANK(OFFSET(A$1,,,SUMPRODUCT(MAX(ROW(E$2:E1237)*(E1237=E$2:E1237)))))-COUNTBLANK(OFFSET(A$1,,,SUMPRODUCT(MAX(ROW(E$1:E1236)*(E2=E$1:E1236))))))</f>
        <v> </v>
      </c>
      <c r="K1237" s="25" t="str">
        <f>IF(OR(E1237="",E1237="!!!",F1237="NEW"),"",INDEX(J$1:J1236,SUMPRODUCT(MAX(ROW(E$1:E1236)*(E1237=E$1:E1236)))))</f>
        <v> </v>
      </c>
      <c r="L1237" s="26"/>
    </row>
    <row r="1238" spans="1:12">
      <c r="A1238" s="20" t="s">
        <v>1782</v>
      </c>
      <c r="E1238" s="21">
        <f>IF(D1238="?OLD","!!!","")</f>
        <v/>
      </c>
      <c r="F1238" s="22" t="str">
        <f>IF(OR(E1238="",E1238="!!!"),"",IF(NOT(ISNA(VLOOKUP(E1238,E$1:E1237,1,FALSE()))),"OLD",IF(AND(E1238&lt;&gt;"",E1238&lt;&gt;"!!!"),"NEW","")))</f>
        <v> </v>
      </c>
      <c r="G1238" s="23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4" t="str">
        <f>IF(J1238&lt;&gt;1,"",IF(I1238="SBJ","CB","?"))</f>
        <v> </v>
      </c>
      <c r="I1238" s="25" t="str">
        <f>IF(OR(E1238="",E1238="!!!",F1238="NEW"),"",INDEX(B1237:B$2,-1+SUMPRODUCT(MAX(ROW(E1237:E$2)*(E1238=E1237:E$2)))))</f>
        <v> </v>
      </c>
      <c r="J1238" s="25" t="str">
        <f>IF(OR(E1238="",E1238="!!!",F1238="NEW"),"",COUNTBLANK(OFFSET(A$1,,,SUMPRODUCT(MAX(ROW(E$2:E1238)*(E1238=E$2:E1238)))))-COUNTBLANK(OFFSET(A$1,,,SUMPRODUCT(MAX(ROW(E$1:E1237)*(E2=E$1:E1237))))))</f>
        <v> </v>
      </c>
      <c r="K1238" s="25" t="str">
        <f>IF(OR(E1238="",E1238="!!!",F1238="NEW"),"",INDEX(J$1:J1237,SUMPRODUCT(MAX(ROW(E$1:E1237)*(E1238=E$1:E1237)))))</f>
        <v> </v>
      </c>
      <c r="L1238" s="26"/>
    </row>
    <row r="1239" spans="1:12">
      <c r="A1239" s="20" t="s">
        <v>1454</v>
      </c>
      <c r="E1239" s="21">
        <f>IF(D1239="?OLD","!!!","")</f>
        <v/>
      </c>
      <c r="F1239" s="22" t="str">
        <f>IF(OR(E1239="",E1239="!!!"),"",IF(NOT(ISNA(VLOOKUP(E1239,E$1:E1238,1,FALSE()))),"OLD",IF(AND(E1239&lt;&gt;"",E1239&lt;&gt;"!!!"),"NEW","")))</f>
        <v> </v>
      </c>
      <c r="G1239" s="23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4" t="str">
        <f>IF(J1239&lt;&gt;1,"",IF(I1239="SBJ","CB","?"))</f>
        <v> </v>
      </c>
      <c r="I1239" s="25" t="str">
        <f>IF(OR(E1239="",E1239="!!!",F1239="NEW"),"",INDEX(B1238:B$2,-1+SUMPRODUCT(MAX(ROW(E1238:E$2)*(E1239=E1238:E$2)))))</f>
        <v> </v>
      </c>
      <c r="J1239" s="25" t="str">
        <f>IF(OR(E1239="",E1239="!!!",F1239="NEW"),"",COUNTBLANK(OFFSET(A$1,,,SUMPRODUCT(MAX(ROW(E$2:E1239)*(E1239=E$2:E1239)))))-COUNTBLANK(OFFSET(A$1,,,SUMPRODUCT(MAX(ROW(E$1:E1238)*(E2=E$1:E1238))))))</f>
        <v> </v>
      </c>
      <c r="K1239" s="25" t="str">
        <f>IF(OR(E1239="",E1239="!!!",F1239="NEW"),"",INDEX(J$1:J1238,SUMPRODUCT(MAX(ROW(E$1:E1238)*(E1239=E$1:E1238)))))</f>
        <v> </v>
      </c>
      <c r="L1239" s="26"/>
    </row>
    <row r="1240" spans="1:12">
      <c r="A1240" s="20" t="s">
        <v>1145</v>
      </c>
      <c r="E1240" s="21">
        <f>IF(D1240="?OLD","!!!","")</f>
        <v/>
      </c>
      <c r="F1240" s="22" t="str">
        <f>IF(OR(E1240="",E1240="!!!"),"",IF(NOT(ISNA(VLOOKUP(E1240,E$1:E1239,1,FALSE()))),"OLD",IF(AND(E1240&lt;&gt;"",E1240&lt;&gt;"!!!"),"NEW","")))</f>
        <v> </v>
      </c>
      <c r="G1240" s="23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4" t="str">
        <f>IF(J1240&lt;&gt;1,"",IF(I1240="SBJ","CB","?"))</f>
        <v> </v>
      </c>
      <c r="I1240" s="25" t="str">
        <f>IF(OR(E1240="",E1240="!!!",F1240="NEW"),"",INDEX(B1239:B$2,-1+SUMPRODUCT(MAX(ROW(E1239:E$2)*(E1240=E1239:E$2)))))</f>
        <v> </v>
      </c>
      <c r="J1240" s="25" t="str">
        <f>IF(OR(E1240="",E1240="!!!",F1240="NEW"),"",COUNTBLANK(OFFSET(A$1,,,SUMPRODUCT(MAX(ROW(E$2:E1240)*(E1240=E$2:E1240)))))-COUNTBLANK(OFFSET(A$1,,,SUMPRODUCT(MAX(ROW(E$1:E1239)*(E2=E$1:E1239))))))</f>
        <v> </v>
      </c>
      <c r="K1240" s="25" t="str">
        <f>IF(OR(E1240="",E1240="!!!",F1240="NEW"),"",INDEX(J$1:J1239,SUMPRODUCT(MAX(ROW(E$1:E1239)*(E1240=E$1:E1239)))))</f>
        <v> </v>
      </c>
      <c r="L1240" s="26"/>
    </row>
    <row r="1241" spans="1:12">
      <c r="A1241" s="20"/>
    </row>
    <row r="1242" spans="1:12">
      <c r="A1242" s="20" t="s">
        <v>1783</v>
      </c>
    </row>
    <row r="1243" spans="1:12">
      <c r="A1243" s="20" t="s">
        <v>1784</v>
      </c>
      <c r="E1243" s="21">
        <f>IF(D1243="?OLD","!!!","")</f>
        <v/>
      </c>
      <c r="F1243" s="22" t="str">
        <f>IF(OR(E1243="",E1243="!!!"),"",IF(NOT(ISNA(VLOOKUP(E1243,E$1:E1242,1,FALSE()))),"OLD",IF(AND(E1243&lt;&gt;"",E1243&lt;&gt;"!!!"),"NEW","")))</f>
        <v> </v>
      </c>
      <c r="G1243" s="23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4" t="str">
        <f>IF(J1243&lt;&gt;1,"",IF(I1243="SBJ","CB","?"))</f>
        <v> </v>
      </c>
      <c r="I1243" s="25" t="str">
        <f>IF(OR(E1243="",E1243="!!!",F1243="NEW"),"",INDEX(B1242:B$2,-1+SUMPRODUCT(MAX(ROW(E1242:E$2)*(E1243=E1242:E$2)))))</f>
        <v> </v>
      </c>
      <c r="J1243" s="25" t="str">
        <f>IF(OR(E1243="",E1243="!!!",F1243="NEW"),"",COUNTBLANK(OFFSET(A$1,,,SUMPRODUCT(MAX(ROW(E$2:E1243)*(E1243=E$2:E1243)))))-COUNTBLANK(OFFSET(A$1,,,SUMPRODUCT(MAX(ROW(E$1:E1242)*(E2=E$1:E1242))))))</f>
        <v> </v>
      </c>
      <c r="K1243" s="25" t="str">
        <f>IF(OR(E1243="",E1243="!!!",F1243="NEW"),"",INDEX(J$1:J1242,SUMPRODUCT(MAX(ROW(E$1:E1242)*(E1243=E$1:E1242)))))</f>
        <v> </v>
      </c>
      <c r="L1243" s="26"/>
    </row>
    <row r="1244" spans="1:12">
      <c r="A1244" s="20" t="s">
        <v>1785</v>
      </c>
      <c r="B1244" s="27" t="s">
        <v>1149</v>
      </c>
      <c r="E1244" s="21">
        <f>IF(D1244="?OLD","!!!","")</f>
        <v/>
      </c>
      <c r="F1244" s="22" t="str">
        <f>IF(OR(E1244="",E1244="!!!"),"",IF(NOT(ISNA(VLOOKUP(E1244,E$1:E1243,1,FALSE()))),"OLD",IF(AND(E1244&lt;&gt;"",E1244&lt;&gt;"!!!"),"NEW","")))</f>
        <v> </v>
      </c>
      <c r="G1244" s="23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4" t="str">
        <f>IF(J1244&lt;&gt;1,"",IF(I1244="SBJ","CB","?"))</f>
        <v> </v>
      </c>
      <c r="I1244" s="25" t="str">
        <f>IF(OR(E1244="",E1244="!!!",F1244="NEW"),"",INDEX(B1243:B$2,-1+SUMPRODUCT(MAX(ROW(E1243:E$2)*(E1244=E1243:E$2)))))</f>
        <v> </v>
      </c>
      <c r="J1244" s="25" t="str">
        <f>IF(OR(E1244="",E1244="!!!",F1244="NEW"),"",COUNTBLANK(OFFSET(A$1,,,SUMPRODUCT(MAX(ROW(E$2:E1244)*(E1244=E$2:E1244)))))-COUNTBLANK(OFFSET(A$1,,,SUMPRODUCT(MAX(ROW(E$1:E1243)*(E2=E$1:E1243))))))</f>
        <v> </v>
      </c>
      <c r="K1244" s="25" t="str">
        <f>IF(OR(E1244="",E1244="!!!",F1244="NEW"),"",INDEX(J$1:J1243,SUMPRODUCT(MAX(ROW(E$1:E1243)*(E1244=E$1:E1243)))))</f>
        <v> </v>
      </c>
      <c r="L1244" s="26"/>
    </row>
    <row r="1245" spans="1:12">
      <c r="A1245" s="20" t="s">
        <v>1579</v>
      </c>
      <c r="E1245" s="21">
        <f>IF(D1245="?OLD","!!!","")</f>
        <v/>
      </c>
      <c r="F1245" s="22" t="str">
        <f>IF(OR(E1245="",E1245="!!!"),"",IF(NOT(ISNA(VLOOKUP(E1245,E$1:E1244,1,FALSE()))),"OLD",IF(AND(E1245&lt;&gt;"",E1245&lt;&gt;"!!!"),"NEW","")))</f>
        <v> </v>
      </c>
      <c r="G1245" s="23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 </v>
      </c>
      <c r="H1245" s="24" t="str">
        <f>IF(J1245&lt;&gt;1,"",IF(I1245="SBJ","CB","?"))</f>
        <v> </v>
      </c>
      <c r="I1245" s="25" t="str">
        <f>IF(OR(E1245="",E1245="!!!",F1245="NEW"),"",INDEX(B1244:B$2,-1+SUMPRODUCT(MAX(ROW(E1244:E$2)*(E1245=E1244:E$2)))))</f>
        <v> </v>
      </c>
      <c r="J1245" s="25" t="str">
        <f>IF(OR(E1245="",E1245="!!!",F1245="NEW"),"",COUNTBLANK(OFFSET(A$1,,,SUMPRODUCT(MAX(ROW(E$2:E1245)*(E1245=E$2:E1245)))))-COUNTBLANK(OFFSET(A$1,,,SUMPRODUCT(MAX(ROW(E$1:E1244)*(E2=E$1:E1244))))))</f>
        <v> </v>
      </c>
      <c r="K1245" s="25" t="str">
        <f>IF(OR(E1245="",E1245="!!!",F1245="NEW"),"",INDEX(J$1:J1244,SUMPRODUCT(MAX(ROW(E$1:E1244)*(E1245=E$1:E1244)))))</f>
        <v> </v>
      </c>
      <c r="L1245" s="26"/>
    </row>
    <row r="1246" spans="1:12">
      <c r="A1246" s="20" t="s">
        <v>1786</v>
      </c>
      <c r="E1246" s="21">
        <f>IF(D1246="?OLD","!!!","")</f>
        <v/>
      </c>
      <c r="F1246" s="22" t="str">
        <f>IF(OR(E1246="",E1246="!!!"),"",IF(NOT(ISNA(VLOOKUP(E1246,E$1:E1245,1,FALSE()))),"OLD",IF(AND(E1246&lt;&gt;"",E1246&lt;&gt;"!!!"),"NEW","")))</f>
        <v> </v>
      </c>
      <c r="G1246" s="23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> </v>
      </c>
      <c r="H1246" s="24" t="str">
        <f>IF(J1246&lt;&gt;1,"",IF(I1246="SBJ","CB","?"))</f>
        <v> </v>
      </c>
      <c r="I1246" s="25" t="str">
        <f>IF(OR(E1246="",E1246="!!!",F1246="NEW"),"",INDEX(B1245:B$2,-1+SUMPRODUCT(MAX(ROW(E1245:E$2)*(E1246=E1245:E$2)))))</f>
        <v> </v>
      </c>
      <c r="J1246" s="25" t="str">
        <f>IF(OR(E1246="",E1246="!!!",F1246="NEW"),"",COUNTBLANK(OFFSET(A$1,,,SUMPRODUCT(MAX(ROW(E$2:E1246)*(E1246=E$2:E1246)))))-COUNTBLANK(OFFSET(A$1,,,SUMPRODUCT(MAX(ROW(E$1:E1245)*(E2=E$1:E1245))))))</f>
        <v> </v>
      </c>
      <c r="K1246" s="25" t="str">
        <f>IF(OR(E1246="",E1246="!!!",F1246="NEW"),"",INDEX(J$1:J1245,SUMPRODUCT(MAX(ROW(E$1:E1245)*(E1246=E$1:E1245)))))</f>
        <v> </v>
      </c>
      <c r="L1246" s="26"/>
    </row>
    <row r="1247" spans="1:12">
      <c r="A1247" s="20" t="s">
        <v>1787</v>
      </c>
      <c r="E1247" s="21">
        <f>IF(D1247="?OLD","!!!","")</f>
        <v/>
      </c>
      <c r="F1247" s="22" t="str">
        <f>IF(OR(E1247="",E1247="!!!"),"",IF(NOT(ISNA(VLOOKUP(E1247,E$1:E1246,1,FALSE()))),"OLD",IF(AND(E1247&lt;&gt;"",E1247&lt;&gt;"!!!"),"NEW","")))</f>
        <v> </v>
      </c>
      <c r="G1247" s="23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4" t="str">
        <f>IF(J1247&lt;&gt;1,"",IF(I1247="SBJ","CB","?"))</f>
        <v> </v>
      </c>
      <c r="I1247" s="25" t="str">
        <f>IF(OR(E1247="",E1247="!!!",F1247="NEW"),"",INDEX(B1246:B$2,-1+SUMPRODUCT(MAX(ROW(E1246:E$2)*(E1247=E1246:E$2)))))</f>
        <v> </v>
      </c>
      <c r="J1247" s="25" t="str">
        <f>IF(OR(E1247="",E1247="!!!",F1247="NEW"),"",COUNTBLANK(OFFSET(A$1,,,SUMPRODUCT(MAX(ROW(E$2:E1247)*(E1247=E$2:E1247)))))-COUNTBLANK(OFFSET(A$1,,,SUMPRODUCT(MAX(ROW(E$1:E1246)*(E2=E$1:E1246))))))</f>
        <v> </v>
      </c>
      <c r="K1247" s="25" t="str">
        <f>IF(OR(E1247="",E1247="!!!",F1247="NEW"),"",INDEX(J$1:J1246,SUMPRODUCT(MAX(ROW(E$1:E1246)*(E1247=E$1:E1246)))))</f>
        <v> </v>
      </c>
      <c r="L1247" s="26"/>
    </row>
    <row r="1248" spans="1:12">
      <c r="A1248" s="20" t="s">
        <v>1184</v>
      </c>
      <c r="E1248" s="21">
        <f>IF(D1248="?OLD","!!!","")</f>
        <v/>
      </c>
      <c r="F1248" s="22" t="str">
        <f>IF(OR(E1248="",E1248="!!!"),"",IF(NOT(ISNA(VLOOKUP(E1248,E$1:E1247,1,FALSE()))),"OLD",IF(AND(E1248&lt;&gt;"",E1248&lt;&gt;"!!!"),"NEW","")))</f>
        <v> </v>
      </c>
      <c r="G1248" s="23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4" t="str">
        <f>IF(J1248&lt;&gt;1,"",IF(I1248="SBJ","CB","?"))</f>
        <v> </v>
      </c>
      <c r="I1248" s="25" t="str">
        <f>IF(OR(E1248="",E1248="!!!",F1248="NEW"),"",INDEX(B1247:B$2,-1+SUMPRODUCT(MAX(ROW(E1247:E$2)*(E1248=E1247:E$2)))))</f>
        <v> </v>
      </c>
      <c r="J1248" s="25" t="str">
        <f>IF(OR(E1248="",E1248="!!!",F1248="NEW"),"",COUNTBLANK(OFFSET(A$1,,,SUMPRODUCT(MAX(ROW(E$2:E1248)*(E1248=E$2:E1248)))))-COUNTBLANK(OFFSET(A$1,,,SUMPRODUCT(MAX(ROW(E$1:E1247)*(E2=E$1:E1247))))))</f>
        <v> </v>
      </c>
      <c r="K1248" s="25" t="str">
        <f>IF(OR(E1248="",E1248="!!!",F1248="NEW"),"",INDEX(J$1:J1247,SUMPRODUCT(MAX(ROW(E$1:E1247)*(E1248=E$1:E1247)))))</f>
        <v> </v>
      </c>
      <c r="L1248" s="26"/>
    </row>
    <row r="1249" spans="1:12">
      <c r="A1249" s="20" t="s">
        <v>1371</v>
      </c>
      <c r="E1249" s="21">
        <f>IF(D1249="?OLD","!!!","")</f>
        <v/>
      </c>
      <c r="F1249" s="22" t="str">
        <f>IF(OR(E1249="",E1249="!!!"),"",IF(NOT(ISNA(VLOOKUP(E1249,E$1:E1248,1,FALSE()))),"OLD",IF(AND(E1249&lt;&gt;"",E1249&lt;&gt;"!!!"),"NEW","")))</f>
        <v> </v>
      </c>
      <c r="G1249" s="23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24" t="str">
        <f>IF(J1249&lt;&gt;1,"",IF(I1249="SBJ","CB","?"))</f>
        <v> </v>
      </c>
      <c r="I1249" s="25" t="str">
        <f>IF(OR(E1249="",E1249="!!!",F1249="NEW"),"",INDEX(B1248:B$2,-1+SUMPRODUCT(MAX(ROW(E1248:E$2)*(E1249=E1248:E$2)))))</f>
        <v> </v>
      </c>
      <c r="J1249" s="25" t="str">
        <f>IF(OR(E1249="",E1249="!!!",F1249="NEW"),"",COUNTBLANK(OFFSET(A$1,,,SUMPRODUCT(MAX(ROW(E$2:E1249)*(E1249=E$2:E1249)))))-COUNTBLANK(OFFSET(A$1,,,SUMPRODUCT(MAX(ROW(E$1:E1248)*(E2=E$1:E1248))))))</f>
        <v> </v>
      </c>
      <c r="K1249" s="25" t="str">
        <f>IF(OR(E1249="",E1249="!!!",F1249="NEW"),"",INDEX(J$1:J1248,SUMPRODUCT(MAX(ROW(E$1:E1248)*(E1249=E$1:E1248)))))</f>
        <v> </v>
      </c>
      <c r="L1249" s="26"/>
    </row>
    <row r="1250" spans="1:12">
      <c r="A1250" s="20" t="s">
        <v>1788</v>
      </c>
      <c r="E1250" s="21">
        <f>IF(D1250="?OLD","!!!","")</f>
        <v/>
      </c>
      <c r="F1250" s="22" t="str">
        <f>IF(OR(E1250="",E1250="!!!"),"",IF(NOT(ISNA(VLOOKUP(E1250,E$1:E1249,1,FALSE()))),"OLD",IF(AND(E1250&lt;&gt;"",E1250&lt;&gt;"!!!"),"NEW","")))</f>
        <v> </v>
      </c>
      <c r="G1250" s="23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> </v>
      </c>
      <c r="H1250" s="24" t="str">
        <f>IF(J1250&lt;&gt;1,"",IF(I1250="SBJ","CB","?"))</f>
        <v> </v>
      </c>
      <c r="I1250" s="25" t="str">
        <f>IF(OR(E1250="",E1250="!!!",F1250="NEW"),"",INDEX(B1249:B$2,-1+SUMPRODUCT(MAX(ROW(E1249:E$2)*(E1250=E1249:E$2)))))</f>
        <v> </v>
      </c>
      <c r="J1250" s="25" t="str">
        <f>IF(OR(E1250="",E1250="!!!",F1250="NEW"),"",COUNTBLANK(OFFSET(A$1,,,SUMPRODUCT(MAX(ROW(E$2:E1250)*(E1250=E$2:E1250)))))-COUNTBLANK(OFFSET(A$1,,,SUMPRODUCT(MAX(ROW(E$1:E1249)*(E2=E$1:E1249))))))</f>
        <v> </v>
      </c>
      <c r="K1250" s="25" t="str">
        <f>IF(OR(E1250="",E1250="!!!",F1250="NEW"),"",INDEX(J$1:J1249,SUMPRODUCT(MAX(ROW(E$1:E1249)*(E1250=E$1:E1249)))))</f>
        <v> </v>
      </c>
      <c r="L1250" s="26"/>
    </row>
    <row r="1251" spans="1:12">
      <c r="A1251" s="20" t="s">
        <v>1789</v>
      </c>
      <c r="B1251" s="27" t="s">
        <v>1103</v>
      </c>
      <c r="C1251" s="27" t="s">
        <v>1156</v>
      </c>
      <c r="D1251" s="27" t="s">
        <v>1105</v>
      </c>
      <c r="E1251" s="21">
        <f>IF(D1251="?OLD","!!!","")</f>
        <v/>
      </c>
      <c r="F1251" s="22" t="str">
        <f>IF(OR(E1251="",E1251="!!!"),"",IF(NOT(ISNA(VLOOKUP(E1251,E$1:E1250,1,FALSE()))),"OLD",IF(AND(E1251&lt;&gt;"",E1251&lt;&gt;"!!!"),"NEW","")))</f>
        <v> </v>
      </c>
      <c r="G1251" s="23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24" t="str">
        <f>IF(J1251&lt;&gt;1,"",IF(I1251="SBJ","CB","?"))</f>
        <v> </v>
      </c>
      <c r="I1251" s="25" t="str">
        <f>IF(OR(E1251="",E1251="!!!",F1251="NEW"),"",INDEX(B1250:B$2,-1+SUMPRODUCT(MAX(ROW(E1250:E$2)*(E1251=E1250:E$2)))))</f>
        <v> </v>
      </c>
      <c r="J1251" s="25" t="str">
        <f>IF(OR(E1251="",E1251="!!!",F1251="NEW"),"",COUNTBLANK(OFFSET(A$1,,,SUMPRODUCT(MAX(ROW(E$2:E1251)*(E1251=E$2:E1251)))))-COUNTBLANK(OFFSET(A$1,,,SUMPRODUCT(MAX(ROW(E$1:E1250)*(E2=E$1:E1250))))))</f>
        <v> </v>
      </c>
      <c r="K1251" s="25" t="str">
        <f>IF(OR(E1251="",E1251="!!!",F1251="NEW"),"",INDEX(J$1:J1250,SUMPRODUCT(MAX(ROW(E$1:E1250)*(E1251=E$1:E1250)))))</f>
        <v> </v>
      </c>
      <c r="L1251" s="26"/>
    </row>
    <row r="1252" spans="1:12">
      <c r="A1252" s="20" t="s">
        <v>1123</v>
      </c>
      <c r="E1252" s="21">
        <f>IF(D1252="?OLD","!!!","")</f>
        <v/>
      </c>
      <c r="F1252" s="22" t="str">
        <f>IF(OR(E1252="",E1252="!!!"),"",IF(NOT(ISNA(VLOOKUP(E1252,E$1:E1251,1,FALSE()))),"OLD",IF(AND(E1252&lt;&gt;"",E1252&lt;&gt;"!!!"),"NEW","")))</f>
        <v> </v>
      </c>
      <c r="G1252" s="23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4" t="str">
        <f>IF(J1252&lt;&gt;1,"",IF(I1252="SBJ","CB","?"))</f>
        <v> </v>
      </c>
      <c r="I1252" s="25" t="str">
        <f>IF(OR(E1252="",E1252="!!!",F1252="NEW"),"",INDEX(B1251:B$2,-1+SUMPRODUCT(MAX(ROW(E1251:E$2)*(E1252=E1251:E$2)))))</f>
        <v> </v>
      </c>
      <c r="J1252" s="25" t="str">
        <f>IF(OR(E1252="",E1252="!!!",F1252="NEW"),"",COUNTBLANK(OFFSET(A$1,,,SUMPRODUCT(MAX(ROW(E$2:E1252)*(E1252=E$2:E1252)))))-COUNTBLANK(OFFSET(A$1,,,SUMPRODUCT(MAX(ROW(E$1:E1251)*(E2=E$1:E1251))))))</f>
        <v> </v>
      </c>
      <c r="K1252" s="25" t="str">
        <f>IF(OR(E1252="",E1252="!!!",F1252="NEW"),"",INDEX(J$1:J1251,SUMPRODUCT(MAX(ROW(E$1:E1251)*(E1252=E$1:E1251)))))</f>
        <v> </v>
      </c>
      <c r="L1252" s="26"/>
    </row>
    <row r="1253" spans="1:12">
      <c r="A1253" s="20" t="s">
        <v>1391</v>
      </c>
      <c r="E1253" s="21">
        <f>IF(D1253="?OLD","!!!","")</f>
        <v/>
      </c>
      <c r="F1253" s="22" t="str">
        <f>IF(OR(E1253="",E1253="!!!"),"",IF(NOT(ISNA(VLOOKUP(E1253,E$1:E1252,1,FALSE()))),"OLD",IF(AND(E1253&lt;&gt;"",E1253&lt;&gt;"!!!"),"NEW","")))</f>
        <v> </v>
      </c>
      <c r="G1253" s="23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24" t="str">
        <f>IF(J1253&lt;&gt;1,"",IF(I1253="SBJ","CB","?"))</f>
        <v> </v>
      </c>
      <c r="I1253" s="25" t="str">
        <f>IF(OR(E1253="",E1253="!!!",F1253="NEW"),"",INDEX(B1252:B$2,-1+SUMPRODUCT(MAX(ROW(E1252:E$2)*(E1253=E1252:E$2)))))</f>
        <v> </v>
      </c>
      <c r="J1253" s="25" t="str">
        <f>IF(OR(E1253="",E1253="!!!",F1253="NEW"),"",COUNTBLANK(OFFSET(A$1,,,SUMPRODUCT(MAX(ROW(E$2:E1253)*(E1253=E$2:E1253)))))-COUNTBLANK(OFFSET(A$1,,,SUMPRODUCT(MAX(ROW(E$1:E1252)*(E2=E$1:E1252))))))</f>
        <v> </v>
      </c>
      <c r="K1253" s="25" t="str">
        <f>IF(OR(E1253="",E1253="!!!",F1253="NEW"),"",INDEX(J$1:J1252,SUMPRODUCT(MAX(ROW(E$1:E1252)*(E1253=E$1:E1252)))))</f>
        <v> </v>
      </c>
      <c r="L1253" s="26"/>
    </row>
    <row r="1254" spans="1:12">
      <c r="A1254" s="20" t="s">
        <v>1790</v>
      </c>
      <c r="B1254" s="27" t="s">
        <v>1110</v>
      </c>
      <c r="C1254" s="27" t="s">
        <v>1133</v>
      </c>
      <c r="E1254" s="21">
        <f>IF(D1254="?OLD","!!!","")</f>
        <v/>
      </c>
      <c r="F1254" s="22" t="str">
        <f>IF(OR(E1254="",E1254="!!!"),"",IF(NOT(ISNA(VLOOKUP(E1254,E$1:E1253,1,FALSE()))),"OLD",IF(AND(E1254&lt;&gt;"",E1254&lt;&gt;"!!!"),"NEW","")))</f>
        <v> </v>
      </c>
      <c r="G1254" s="23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> </v>
      </c>
      <c r="H1254" s="24" t="str">
        <f>IF(J1254&lt;&gt;1,"",IF(I1254="SBJ","CB","?"))</f>
        <v> </v>
      </c>
      <c r="I1254" s="25" t="str">
        <f>IF(OR(E1254="",E1254="!!!",F1254="NEW"),"",INDEX(B1253:B$2,-1+SUMPRODUCT(MAX(ROW(E1253:E$2)*(E1254=E1253:E$2)))))</f>
        <v> </v>
      </c>
      <c r="J1254" s="25" t="str">
        <f>IF(OR(E1254="",E1254="!!!",F1254="NEW"),"",COUNTBLANK(OFFSET(A$1,,,SUMPRODUCT(MAX(ROW(E$2:E1254)*(E1254=E$2:E1254)))))-COUNTBLANK(OFFSET(A$1,,,SUMPRODUCT(MAX(ROW(E$1:E1253)*(E2=E$1:E1253))))))</f>
        <v> </v>
      </c>
      <c r="K1254" s="25" t="str">
        <f>IF(OR(E1254="",E1254="!!!",F1254="NEW"),"",INDEX(J$1:J1253,SUMPRODUCT(MAX(ROW(E$1:E1253)*(E1254=E$1:E1253)))))</f>
        <v> </v>
      </c>
      <c r="L1254" s="26"/>
    </row>
    <row r="1255" spans="1:12">
      <c r="A1255" s="20" t="s">
        <v>1791</v>
      </c>
      <c r="E1255" s="21">
        <f>IF(D1255="?OLD","!!!","")</f>
        <v/>
      </c>
      <c r="F1255" s="22" t="str">
        <f>IF(OR(E1255="",E1255="!!!"),"",IF(NOT(ISNA(VLOOKUP(E1255,E$1:E1254,1,FALSE()))),"OLD",IF(AND(E1255&lt;&gt;"",E1255&lt;&gt;"!!!"),"NEW","")))</f>
        <v> </v>
      </c>
      <c r="G1255" s="23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 </v>
      </c>
      <c r="H1255" s="24" t="str">
        <f>IF(J1255&lt;&gt;1,"",IF(I1255="SBJ","CB","?"))</f>
        <v> </v>
      </c>
      <c r="I1255" s="25" t="str">
        <f>IF(OR(E1255="",E1255="!!!",F1255="NEW"),"",INDEX(B1254:B$2,-1+SUMPRODUCT(MAX(ROW(E1254:E$2)*(E1255=E1254:E$2)))))</f>
        <v> </v>
      </c>
      <c r="J1255" s="25" t="str">
        <f>IF(OR(E1255="",E1255="!!!",F1255="NEW"),"",COUNTBLANK(OFFSET(A$1,,,SUMPRODUCT(MAX(ROW(E$2:E1255)*(E1255=E$2:E1255)))))-COUNTBLANK(OFFSET(A$1,,,SUMPRODUCT(MAX(ROW(E$1:E1254)*(E2=E$1:E1254))))))</f>
        <v> </v>
      </c>
      <c r="K1255" s="25" t="str">
        <f>IF(OR(E1255="",E1255="!!!",F1255="NEW"),"",INDEX(J$1:J1254,SUMPRODUCT(MAX(ROW(E$1:E1254)*(E1255=E$1:E1254)))))</f>
        <v> </v>
      </c>
      <c r="L1255" s="26"/>
    </row>
    <row r="1256" spans="1:12">
      <c r="A1256" s="20" t="s">
        <v>1113</v>
      </c>
      <c r="E1256" s="21">
        <f>IF(D1256="?OLD","!!!","")</f>
        <v/>
      </c>
      <c r="F1256" s="22" t="str">
        <f>IF(OR(E1256="",E1256="!!!"),"",IF(NOT(ISNA(VLOOKUP(E1256,E$1:E1255,1,FALSE()))),"OLD",IF(AND(E1256&lt;&gt;"",E1256&lt;&gt;"!!!"),"NEW","")))</f>
        <v> </v>
      </c>
      <c r="G1256" s="23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4" t="str">
        <f>IF(J1256&lt;&gt;1,"",IF(I1256="SBJ","CB","?"))</f>
        <v> </v>
      </c>
      <c r="I1256" s="25" t="str">
        <f>IF(OR(E1256="",E1256="!!!",F1256="NEW"),"",INDEX(B1255:B$2,-1+SUMPRODUCT(MAX(ROW(E1255:E$2)*(E1256=E1255:E$2)))))</f>
        <v> </v>
      </c>
      <c r="J1256" s="25" t="str">
        <f>IF(OR(E1256="",E1256="!!!",F1256="NEW"),"",COUNTBLANK(OFFSET(A$1,,,SUMPRODUCT(MAX(ROW(E$2:E1256)*(E1256=E$2:E1256)))))-COUNTBLANK(OFFSET(A$1,,,SUMPRODUCT(MAX(ROW(E$1:E1255)*(E2=E$1:E1255))))))</f>
        <v> </v>
      </c>
      <c r="K1256" s="25" t="str">
        <f>IF(OR(E1256="",E1256="!!!",F1256="NEW"),"",INDEX(J$1:J1255,SUMPRODUCT(MAX(ROW(E$1:E1255)*(E1256=E$1:E1255)))))</f>
        <v> </v>
      </c>
      <c r="L1256" s="26"/>
    </row>
    <row r="1257" spans="1:12">
      <c r="A1257" s="20" t="s">
        <v>1658</v>
      </c>
      <c r="B1257" s="27" t="s">
        <v>1259</v>
      </c>
      <c r="E1257" s="21">
        <f>IF(D1257="?OLD","!!!","")</f>
        <v/>
      </c>
      <c r="F1257" s="22" t="str">
        <f>IF(OR(E1257="",E1257="!!!"),"",IF(NOT(ISNA(VLOOKUP(E1257,E$1:E1256,1,FALSE()))),"OLD",IF(AND(E1257&lt;&gt;"",E1257&lt;&gt;"!!!"),"NEW","")))</f>
        <v> </v>
      </c>
      <c r="G1257" s="23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4" t="str">
        <f>IF(J1257&lt;&gt;1,"",IF(I1257="SBJ","CB","?"))</f>
        <v> </v>
      </c>
      <c r="I1257" s="25" t="str">
        <f>IF(OR(E1257="",E1257="!!!",F1257="NEW"),"",INDEX(B1256:B$2,-1+SUMPRODUCT(MAX(ROW(E1256:E$2)*(E1257=E1256:E$2)))))</f>
        <v> </v>
      </c>
      <c r="J1257" s="25" t="str">
        <f>IF(OR(E1257="",E1257="!!!",F1257="NEW"),"",COUNTBLANK(OFFSET(A$1,,,SUMPRODUCT(MAX(ROW(E$2:E1257)*(E1257=E$2:E1257)))))-COUNTBLANK(OFFSET(A$1,,,SUMPRODUCT(MAX(ROW(E$1:E1256)*(E2=E$1:E1256))))))</f>
        <v> </v>
      </c>
      <c r="K1257" s="25" t="str">
        <f>IF(OR(E1257="",E1257="!!!",F1257="NEW"),"",INDEX(J$1:J1256,SUMPRODUCT(MAX(ROW(E$1:E1256)*(E1257=E$1:E1256)))))</f>
        <v> </v>
      </c>
      <c r="L1257" s="26"/>
    </row>
    <row r="1258" spans="1:12">
      <c r="A1258" s="20" t="s">
        <v>1792</v>
      </c>
      <c r="E1258" s="21">
        <f>IF(D1258="?OLD","!!!","")</f>
        <v/>
      </c>
      <c r="F1258" s="22" t="str">
        <f>IF(OR(E1258="",E1258="!!!"),"",IF(NOT(ISNA(VLOOKUP(E1258,E$1:E1257,1,FALSE()))),"OLD",IF(AND(E1258&lt;&gt;"",E1258&lt;&gt;"!!!"),"NEW","")))</f>
        <v> </v>
      </c>
      <c r="G1258" s="23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4" t="str">
        <f>IF(J1258&lt;&gt;1,"",IF(I1258="SBJ","CB","?"))</f>
        <v> </v>
      </c>
      <c r="I1258" s="25" t="str">
        <f>IF(OR(E1258="",E1258="!!!",F1258="NEW"),"",INDEX(B1257:B$2,-1+SUMPRODUCT(MAX(ROW(E1257:E$2)*(E1258=E1257:E$2)))))</f>
        <v> </v>
      </c>
      <c r="J1258" s="25" t="str">
        <f>IF(OR(E1258="",E1258="!!!",F1258="NEW"),"",COUNTBLANK(OFFSET(A$1,,,SUMPRODUCT(MAX(ROW(E$2:E1258)*(E1258=E$2:E1258)))))-COUNTBLANK(OFFSET(A$1,,,SUMPRODUCT(MAX(ROW(E$1:E1257)*(E2=E$1:E1257))))))</f>
        <v> </v>
      </c>
      <c r="K1258" s="25" t="str">
        <f>IF(OR(E1258="",E1258="!!!",F1258="NEW"),"",INDEX(J$1:J1257,SUMPRODUCT(MAX(ROW(E$1:E1257)*(E1258=E$1:E1257)))))</f>
        <v> </v>
      </c>
      <c r="L1258" s="26"/>
    </row>
    <row r="1259" spans="1:12">
      <c r="A1259" s="20" t="s">
        <v>1145</v>
      </c>
      <c r="E1259" s="21">
        <f>IF(D1259="?OLD","!!!","")</f>
        <v/>
      </c>
      <c r="F1259" s="22" t="str">
        <f>IF(OR(E1259="",E1259="!!!"),"",IF(NOT(ISNA(VLOOKUP(E1259,E$1:E1258,1,FALSE()))),"OLD",IF(AND(E1259&lt;&gt;"",E1259&lt;&gt;"!!!"),"NEW","")))</f>
        <v> </v>
      </c>
      <c r="G1259" s="23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24" t="str">
        <f>IF(J1259&lt;&gt;1,"",IF(I1259="SBJ","CB","?"))</f>
        <v> </v>
      </c>
      <c r="I1259" s="25" t="str">
        <f>IF(OR(E1259="",E1259="!!!",F1259="NEW"),"",INDEX(B1258:B$2,-1+SUMPRODUCT(MAX(ROW(E1258:E$2)*(E1259=E1258:E$2)))))</f>
        <v> </v>
      </c>
      <c r="J1259" s="25" t="str">
        <f>IF(OR(E1259="",E1259="!!!",F1259="NEW"),"",COUNTBLANK(OFFSET(A$1,,,SUMPRODUCT(MAX(ROW(E$2:E1259)*(E1259=E$2:E1259)))))-COUNTBLANK(OFFSET(A$1,,,SUMPRODUCT(MAX(ROW(E$1:E1258)*(E2=E$1:E1258))))))</f>
        <v> </v>
      </c>
      <c r="K1259" s="25" t="str">
        <f>IF(OR(E1259="",E1259="!!!",F1259="NEW"),"",INDEX(J$1:J1258,SUMPRODUCT(MAX(ROW(E$1:E1258)*(E1259=E$1:E1258)))))</f>
        <v> </v>
      </c>
      <c r="L1259" s="26"/>
    </row>
    <row r="1260" spans="1:12">
      <c r="A1260" s="20"/>
    </row>
    <row r="1261" spans="1:12">
      <c r="A1261" s="20" t="s">
        <v>1793</v>
      </c>
    </row>
    <row r="1262" spans="1:12">
      <c r="A1262" s="20" t="s">
        <v>1350</v>
      </c>
      <c r="E1262" s="21">
        <f>IF(D1262="?OLD","!!!","")</f>
        <v/>
      </c>
      <c r="F1262" s="22" t="str">
        <f>IF(OR(E1262="",E1262="!!!"),"",IF(NOT(ISNA(VLOOKUP(E1262,E$1:E1261,1,FALSE()))),"OLD",IF(AND(E1262&lt;&gt;"",E1262&lt;&gt;"!!!"),"NEW","")))</f>
        <v> </v>
      </c>
      <c r="G1262" s="23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4" t="str">
        <f>IF(J1262&lt;&gt;1,"",IF(I1262="SBJ","CB","?"))</f>
        <v> </v>
      </c>
      <c r="I1262" s="25" t="str">
        <f>IF(OR(E1262="",E1262="!!!",F1262="NEW"),"",INDEX(B1261:B$2,-1+SUMPRODUCT(MAX(ROW(E1261:E$2)*(E1262=E1261:E$2)))))</f>
        <v> </v>
      </c>
      <c r="J1262" s="25" t="str">
        <f>IF(OR(E1262="",E1262="!!!",F1262="NEW"),"",COUNTBLANK(OFFSET(A$1,,,SUMPRODUCT(MAX(ROW(E$2:E1262)*(E1262=E$2:E1262)))))-COUNTBLANK(OFFSET(A$1,,,SUMPRODUCT(MAX(ROW(E$1:E1261)*(E2=E$1:E1261))))))</f>
        <v> </v>
      </c>
      <c r="K1262" s="25" t="str">
        <f>IF(OR(E1262="",E1262="!!!",F1262="NEW"),"",INDEX(J$1:J1261,SUMPRODUCT(MAX(ROW(E$1:E1261)*(E1262=E$1:E1261)))))</f>
        <v> </v>
      </c>
      <c r="L1262" s="26"/>
    </row>
    <row r="1263" spans="1:12">
      <c r="A1263" s="20" t="s">
        <v>1794</v>
      </c>
      <c r="E1263" s="21">
        <f>IF(D1263="?OLD","!!!","")</f>
        <v/>
      </c>
      <c r="F1263" s="22" t="str">
        <f>IF(OR(E1263="",E1263="!!!"),"",IF(NOT(ISNA(VLOOKUP(E1263,E$1:E1262,1,FALSE()))),"OLD",IF(AND(E1263&lt;&gt;"",E1263&lt;&gt;"!!!"),"NEW","")))</f>
        <v> </v>
      </c>
      <c r="G1263" s="23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24" t="str">
        <f>IF(J1263&lt;&gt;1,"",IF(I1263="SBJ","CB","?"))</f>
        <v> </v>
      </c>
      <c r="I1263" s="25" t="str">
        <f>IF(OR(E1263="",E1263="!!!",F1263="NEW"),"",INDEX(B1262:B$2,-1+SUMPRODUCT(MAX(ROW(E1262:E$2)*(E1263=E1262:E$2)))))</f>
        <v> </v>
      </c>
      <c r="J1263" s="25" t="str">
        <f>IF(OR(E1263="",E1263="!!!",F1263="NEW"),"",COUNTBLANK(OFFSET(A$1,,,SUMPRODUCT(MAX(ROW(E$2:E1263)*(E1263=E$2:E1263)))))-COUNTBLANK(OFFSET(A$1,,,SUMPRODUCT(MAX(ROW(E$1:E1262)*(E2=E$1:E1262))))))</f>
        <v> </v>
      </c>
      <c r="K1263" s="25" t="str">
        <f>IF(OR(E1263="",E1263="!!!",F1263="NEW"),"",INDEX(J$1:J1262,SUMPRODUCT(MAX(ROW(E$1:E1262)*(E1263=E$1:E1262)))))</f>
        <v> </v>
      </c>
      <c r="L1263" s="26"/>
    </row>
    <row r="1264" spans="1:12">
      <c r="A1264" s="20" t="s">
        <v>1795</v>
      </c>
      <c r="B1264" s="27" t="s">
        <v>1149</v>
      </c>
      <c r="E1264" s="21">
        <f>IF(D1264="?OLD","!!!","")</f>
        <v/>
      </c>
      <c r="F1264" s="22" t="str">
        <f>IF(OR(E1264="",E1264="!!!"),"",IF(NOT(ISNA(VLOOKUP(E1264,E$1:E1263,1,FALSE()))),"OLD",IF(AND(E1264&lt;&gt;"",E1264&lt;&gt;"!!!"),"NEW","")))</f>
        <v> </v>
      </c>
      <c r="G1264" s="23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> </v>
      </c>
      <c r="H1264" s="24" t="str">
        <f>IF(J1264&lt;&gt;1,"",IF(I1264="SBJ","CB","?"))</f>
        <v> </v>
      </c>
      <c r="I1264" s="25" t="str">
        <f>IF(OR(E1264="",E1264="!!!",F1264="NEW"),"",INDEX(B1263:B$2,-1+SUMPRODUCT(MAX(ROW(E1263:E$2)*(E1264=E1263:E$2)))))</f>
        <v> </v>
      </c>
      <c r="J1264" s="25" t="str">
        <f>IF(OR(E1264="",E1264="!!!",F1264="NEW"),"",COUNTBLANK(OFFSET(A$1,,,SUMPRODUCT(MAX(ROW(E$2:E1264)*(E1264=E$2:E1264)))))-COUNTBLANK(OFFSET(A$1,,,SUMPRODUCT(MAX(ROW(E$1:E1263)*(E2=E$1:E1263))))))</f>
        <v> </v>
      </c>
      <c r="K1264" s="25" t="str">
        <f>IF(OR(E1264="",E1264="!!!",F1264="NEW"),"",INDEX(J$1:J1263,SUMPRODUCT(MAX(ROW(E$1:E1263)*(E1264=E$1:E1263)))))</f>
        <v> </v>
      </c>
      <c r="L1264" s="26"/>
    </row>
    <row r="1265" spans="1:12">
      <c r="A1265" s="20" t="s">
        <v>1796</v>
      </c>
      <c r="E1265" s="21">
        <f>IF(D1265="?OLD","!!!","")</f>
        <v/>
      </c>
      <c r="F1265" s="22" t="str">
        <f>IF(OR(E1265="",E1265="!!!"),"",IF(NOT(ISNA(VLOOKUP(E1265,E$1:E1264,1,FALSE()))),"OLD",IF(AND(E1265&lt;&gt;"",E1265&lt;&gt;"!!!"),"NEW","")))</f>
        <v> </v>
      </c>
      <c r="G1265" s="23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 </v>
      </c>
      <c r="H1265" s="24" t="str">
        <f>IF(J1265&lt;&gt;1,"",IF(I1265="SBJ","CB","?"))</f>
        <v> </v>
      </c>
      <c r="I1265" s="25" t="str">
        <f>IF(OR(E1265="",E1265="!!!",F1265="NEW"),"",INDEX(B1264:B$2,-1+SUMPRODUCT(MAX(ROW(E1264:E$2)*(E1265=E1264:E$2)))))</f>
        <v> </v>
      </c>
      <c r="J1265" s="25" t="str">
        <f>IF(OR(E1265="",E1265="!!!",F1265="NEW"),"",COUNTBLANK(OFFSET(A$1,,,SUMPRODUCT(MAX(ROW(E$2:E1265)*(E1265=E$2:E1265)))))-COUNTBLANK(OFFSET(A$1,,,SUMPRODUCT(MAX(ROW(E$1:E1264)*(E2=E$1:E1264))))))</f>
        <v> </v>
      </c>
      <c r="K1265" s="25" t="str">
        <f>IF(OR(E1265="",E1265="!!!",F1265="NEW"),"",INDEX(J$1:J1264,SUMPRODUCT(MAX(ROW(E$1:E1264)*(E1265=E$1:E1264)))))</f>
        <v> </v>
      </c>
      <c r="L1265" s="26"/>
    </row>
    <row r="1266" spans="1:12">
      <c r="A1266" s="20" t="s">
        <v>1130</v>
      </c>
      <c r="E1266" s="21">
        <f>IF(D1266="?OLD","!!!","")</f>
        <v/>
      </c>
      <c r="F1266" s="22" t="str">
        <f>IF(OR(E1266="",E1266="!!!"),"",IF(NOT(ISNA(VLOOKUP(E1266,E$1:E1265,1,FALSE()))),"OLD",IF(AND(E1266&lt;&gt;"",E1266&lt;&gt;"!!!"),"NEW","")))</f>
        <v> </v>
      </c>
      <c r="G1266" s="23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 </v>
      </c>
      <c r="H1266" s="24" t="str">
        <f>IF(J1266&lt;&gt;1,"",IF(I1266="SBJ","CB","?"))</f>
        <v> </v>
      </c>
      <c r="I1266" s="25" t="str">
        <f>IF(OR(E1266="",E1266="!!!",F1266="NEW"),"",INDEX(B1265:B$2,-1+SUMPRODUCT(MAX(ROW(E1265:E$2)*(E1266=E1265:E$2)))))</f>
        <v> </v>
      </c>
      <c r="J1266" s="25" t="str">
        <f>IF(OR(E1266="",E1266="!!!",F1266="NEW"),"",COUNTBLANK(OFFSET(A$1,,,SUMPRODUCT(MAX(ROW(E$2:E1266)*(E1266=E$2:E1266)))))-COUNTBLANK(OFFSET(A$1,,,SUMPRODUCT(MAX(ROW(E$1:E1265)*(E2=E$1:E1265))))))</f>
        <v> </v>
      </c>
      <c r="K1266" s="25" t="str">
        <f>IF(OR(E1266="",E1266="!!!",F1266="NEW"),"",INDEX(J$1:J1265,SUMPRODUCT(MAX(ROW(E$1:E1265)*(E1266=E$1:E1265)))))</f>
        <v> </v>
      </c>
      <c r="L1266" s="26"/>
    </row>
    <row r="1267" spans="1:12">
      <c r="A1267" s="20" t="s">
        <v>1797</v>
      </c>
      <c r="E1267" s="21">
        <f>IF(D1267="?OLD","!!!","")</f>
        <v/>
      </c>
      <c r="F1267" s="22" t="str">
        <f>IF(OR(E1267="",E1267="!!!"),"",IF(NOT(ISNA(VLOOKUP(E1267,E$1:E1266,1,FALSE()))),"OLD",IF(AND(E1267&lt;&gt;"",E1267&lt;&gt;"!!!"),"NEW","")))</f>
        <v> </v>
      </c>
      <c r="G1267" s="23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 </v>
      </c>
      <c r="H1267" s="24" t="str">
        <f>IF(J1267&lt;&gt;1,"",IF(I1267="SBJ","CB","?"))</f>
        <v> </v>
      </c>
      <c r="I1267" s="25" t="str">
        <f>IF(OR(E1267="",E1267="!!!",F1267="NEW"),"",INDEX(B1266:B$2,-1+SUMPRODUCT(MAX(ROW(E1266:E$2)*(E1267=E1266:E$2)))))</f>
        <v> </v>
      </c>
      <c r="J1267" s="25" t="str">
        <f>IF(OR(E1267="",E1267="!!!",F1267="NEW"),"",COUNTBLANK(OFFSET(A$1,,,SUMPRODUCT(MAX(ROW(E$2:E1267)*(E1267=E$2:E1267)))))-COUNTBLANK(OFFSET(A$1,,,SUMPRODUCT(MAX(ROW(E$1:E1266)*(E2=E$1:E1266))))))</f>
        <v> </v>
      </c>
      <c r="K1267" s="25" t="str">
        <f>IF(OR(E1267="",E1267="!!!",F1267="NEW"),"",INDEX(J$1:J1266,SUMPRODUCT(MAX(ROW(E$1:E1266)*(E1267=E$1:E1266)))))</f>
        <v> </v>
      </c>
      <c r="L1267" s="26"/>
    </row>
    <row r="1268" spans="1:12">
      <c r="A1268" s="20" t="s">
        <v>1798</v>
      </c>
      <c r="B1268" s="27" t="s">
        <v>1103</v>
      </c>
      <c r="C1268" s="27" t="s">
        <v>1210</v>
      </c>
      <c r="E1268" s="21">
        <f>IF(D1268="?OLD","!!!","")</f>
        <v/>
      </c>
      <c r="F1268" s="22" t="str">
        <f>IF(OR(E1268="",E1268="!!!"),"",IF(NOT(ISNA(VLOOKUP(E1268,E$1:E1267,1,FALSE()))),"OLD",IF(AND(E1268&lt;&gt;"",E1268&lt;&gt;"!!!"),"NEW","")))</f>
        <v> </v>
      </c>
      <c r="G1268" s="23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> </v>
      </c>
      <c r="H1268" s="24" t="str">
        <f>IF(J1268&lt;&gt;1,"",IF(I1268="SBJ","CB","?"))</f>
        <v> </v>
      </c>
      <c r="I1268" s="25" t="str">
        <f>IF(OR(E1268="",E1268="!!!",F1268="NEW"),"",INDEX(B1267:B$2,-1+SUMPRODUCT(MAX(ROW(E1267:E$2)*(E1268=E1267:E$2)))))</f>
        <v> </v>
      </c>
      <c r="J1268" s="25" t="str">
        <f>IF(OR(E1268="",E1268="!!!",F1268="NEW"),"",COUNTBLANK(OFFSET(A$1,,,SUMPRODUCT(MAX(ROW(E$2:E1268)*(E1268=E$2:E1268)))))-COUNTBLANK(OFFSET(A$1,,,SUMPRODUCT(MAX(ROW(E$1:E1267)*(E2=E$1:E1267))))))</f>
        <v> </v>
      </c>
      <c r="K1268" s="25" t="str">
        <f>IF(OR(E1268="",E1268="!!!",F1268="NEW"),"",INDEX(J$1:J1267,SUMPRODUCT(MAX(ROW(E$1:E1267)*(E1268=E$1:E1267)))))</f>
        <v> </v>
      </c>
      <c r="L1268" s="26"/>
    </row>
    <row r="1269" spans="1:12">
      <c r="A1269" s="20" t="s">
        <v>1726</v>
      </c>
      <c r="E1269" s="21">
        <f>IF(D1269="?OLD","!!!","")</f>
        <v/>
      </c>
      <c r="F1269" s="22" t="str">
        <f>IF(OR(E1269="",E1269="!!!"),"",IF(NOT(ISNA(VLOOKUP(E1269,E$1:E1268,1,FALSE()))),"OLD",IF(AND(E1269&lt;&gt;"",E1269&lt;&gt;"!!!"),"NEW","")))</f>
        <v> </v>
      </c>
      <c r="G1269" s="23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> </v>
      </c>
      <c r="H1269" s="24" t="str">
        <f>IF(J1269&lt;&gt;1,"",IF(I1269="SBJ","CB","?"))</f>
        <v> </v>
      </c>
      <c r="I1269" s="25" t="str">
        <f>IF(OR(E1269="",E1269="!!!",F1269="NEW"),"",INDEX(B1268:B$2,-1+SUMPRODUCT(MAX(ROW(E1268:E$2)*(E1269=E1268:E$2)))))</f>
        <v> </v>
      </c>
      <c r="J1269" s="25" t="str">
        <f>IF(OR(E1269="",E1269="!!!",F1269="NEW"),"",COUNTBLANK(OFFSET(A$1,,,SUMPRODUCT(MAX(ROW(E$2:E1269)*(E1269=E$2:E1269)))))-COUNTBLANK(OFFSET(A$1,,,SUMPRODUCT(MAX(ROW(E$1:E1268)*(E2=E$1:E1268))))))</f>
        <v> </v>
      </c>
      <c r="K1269" s="25" t="str">
        <f>IF(OR(E1269="",E1269="!!!",F1269="NEW"),"",INDEX(J$1:J1268,SUMPRODUCT(MAX(ROW(E$1:E1268)*(E1269=E$1:E1268)))))</f>
        <v> </v>
      </c>
      <c r="L1269" s="26"/>
    </row>
    <row r="1270" spans="1:12">
      <c r="A1270" s="20" t="s">
        <v>1128</v>
      </c>
      <c r="E1270" s="21">
        <f>IF(D1270="?OLD","!!!","")</f>
        <v/>
      </c>
      <c r="F1270" s="22" t="str">
        <f>IF(OR(E1270="",E1270="!!!"),"",IF(NOT(ISNA(VLOOKUP(E1270,E$1:E1269,1,FALSE()))),"OLD",IF(AND(E1270&lt;&gt;"",E1270&lt;&gt;"!!!"),"NEW","")))</f>
        <v> </v>
      </c>
      <c r="G1270" s="23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> </v>
      </c>
      <c r="H1270" s="24" t="str">
        <f>IF(J1270&lt;&gt;1,"",IF(I1270="SBJ","CB","?"))</f>
        <v> </v>
      </c>
      <c r="I1270" s="25" t="str">
        <f>IF(OR(E1270="",E1270="!!!",F1270="NEW"),"",INDEX(B1269:B$2,-1+SUMPRODUCT(MAX(ROW(E1269:E$2)*(E1270=E1269:E$2)))))</f>
        <v> </v>
      </c>
      <c r="J1270" s="25" t="str">
        <f>IF(OR(E1270="",E1270="!!!",F1270="NEW"),"",COUNTBLANK(OFFSET(A$1,,,SUMPRODUCT(MAX(ROW(E$2:E1270)*(E1270=E$2:E1270)))))-COUNTBLANK(OFFSET(A$1,,,SUMPRODUCT(MAX(ROW(E$1:E1269)*(E2=E$1:E1269))))))</f>
        <v> </v>
      </c>
      <c r="K1270" s="25" t="str">
        <f>IF(OR(E1270="",E1270="!!!",F1270="NEW"),"",INDEX(J$1:J1269,SUMPRODUCT(MAX(ROW(E$1:E1269)*(E1270=E$1:E1269)))))</f>
        <v> </v>
      </c>
      <c r="L1270" s="26"/>
    </row>
    <row r="1271" spans="1:12">
      <c r="A1271" s="20" t="s">
        <v>1634</v>
      </c>
      <c r="E1271" s="21">
        <f>IF(D1271="?OLD","!!!","")</f>
        <v/>
      </c>
      <c r="F1271" s="22" t="str">
        <f>IF(OR(E1271="",E1271="!!!"),"",IF(NOT(ISNA(VLOOKUP(E1271,E$1:E1270,1,FALSE()))),"OLD",IF(AND(E1271&lt;&gt;"",E1271&lt;&gt;"!!!"),"NEW","")))</f>
        <v> </v>
      </c>
      <c r="G1271" s="23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> </v>
      </c>
      <c r="H1271" s="24" t="str">
        <f>IF(J1271&lt;&gt;1,"",IF(I1271="SBJ","CB","?"))</f>
        <v> </v>
      </c>
      <c r="I1271" s="25" t="str">
        <f>IF(OR(E1271="",E1271="!!!",F1271="NEW"),"",INDEX(B1270:B$2,-1+SUMPRODUCT(MAX(ROW(E1270:E$2)*(E1271=E1270:E$2)))))</f>
        <v> </v>
      </c>
      <c r="J1271" s="25" t="str">
        <f>IF(OR(E1271="",E1271="!!!",F1271="NEW"),"",COUNTBLANK(OFFSET(A$1,,,SUMPRODUCT(MAX(ROW(E$2:E1271)*(E1271=E$2:E1271)))))-COUNTBLANK(OFFSET(A$1,,,SUMPRODUCT(MAX(ROW(E$1:E1270)*(E2=E$1:E1270))))))</f>
        <v> </v>
      </c>
      <c r="K1271" s="25" t="str">
        <f>IF(OR(E1271="",E1271="!!!",F1271="NEW"),"",INDEX(J$1:J1270,SUMPRODUCT(MAX(ROW(E$1:E1270)*(E1271=E$1:E1270)))))</f>
        <v> </v>
      </c>
      <c r="L1271" s="26"/>
    </row>
    <row r="1272" spans="1:12">
      <c r="A1272" s="20" t="s">
        <v>1799</v>
      </c>
      <c r="E1272" s="21">
        <f>IF(D1272="?OLD","!!!","")</f>
        <v/>
      </c>
      <c r="F1272" s="22" t="str">
        <f>IF(OR(E1272="",E1272="!!!"),"",IF(NOT(ISNA(VLOOKUP(E1272,E$1:E1271,1,FALSE()))),"OLD",IF(AND(E1272&lt;&gt;"",E1272&lt;&gt;"!!!"),"NEW","")))</f>
        <v> </v>
      </c>
      <c r="G1272" s="23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> </v>
      </c>
      <c r="H1272" s="24" t="str">
        <f>IF(J1272&lt;&gt;1,"",IF(I1272="SBJ","CB","?"))</f>
        <v> </v>
      </c>
      <c r="I1272" s="25" t="str">
        <f>IF(OR(E1272="",E1272="!!!",F1272="NEW"),"",INDEX(B1271:B$2,-1+SUMPRODUCT(MAX(ROW(E1271:E$2)*(E1272=E1271:E$2)))))</f>
        <v> </v>
      </c>
      <c r="J1272" s="25" t="str">
        <f>IF(OR(E1272="",E1272="!!!",F1272="NEW"),"",COUNTBLANK(OFFSET(A$1,,,SUMPRODUCT(MAX(ROW(E$2:E1272)*(E1272=E$2:E1272)))))-COUNTBLANK(OFFSET(A$1,,,SUMPRODUCT(MAX(ROW(E$1:E1271)*(E2=E$1:E1271))))))</f>
        <v> </v>
      </c>
      <c r="K1272" s="25" t="str">
        <f>IF(OR(E1272="",E1272="!!!",F1272="NEW"),"",INDEX(J$1:J1271,SUMPRODUCT(MAX(ROW(E$1:E1271)*(E1272=E$1:E1271)))))</f>
        <v> </v>
      </c>
      <c r="L1272" s="26"/>
    </row>
    <row r="1273" spans="1:12">
      <c r="A1273" s="20" t="s">
        <v>1184</v>
      </c>
      <c r="E1273" s="21">
        <f>IF(D1273="?OLD","!!!","")</f>
        <v/>
      </c>
      <c r="F1273" s="22" t="str">
        <f>IF(OR(E1273="",E1273="!!!"),"",IF(NOT(ISNA(VLOOKUP(E1273,E$1:E1272,1,FALSE()))),"OLD",IF(AND(E1273&lt;&gt;"",E1273&lt;&gt;"!!!"),"NEW","")))</f>
        <v> </v>
      </c>
      <c r="G1273" s="23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24" t="str">
        <f>IF(J1273&lt;&gt;1,"",IF(I1273="SBJ","CB","?"))</f>
        <v> </v>
      </c>
      <c r="I1273" s="25" t="str">
        <f>IF(OR(E1273="",E1273="!!!",F1273="NEW"),"",INDEX(B1272:B$2,-1+SUMPRODUCT(MAX(ROW(E1272:E$2)*(E1273=E1272:E$2)))))</f>
        <v> </v>
      </c>
      <c r="J1273" s="25" t="str">
        <f>IF(OR(E1273="",E1273="!!!",F1273="NEW"),"",COUNTBLANK(OFFSET(A$1,,,SUMPRODUCT(MAX(ROW(E$2:E1273)*(E1273=E$2:E1273)))))-COUNTBLANK(OFFSET(A$1,,,SUMPRODUCT(MAX(ROW(E$1:E1272)*(E2=E$1:E1272))))))</f>
        <v> </v>
      </c>
      <c r="K1273" s="25" t="str">
        <f>IF(OR(E1273="",E1273="!!!",F1273="NEW"),"",INDEX(J$1:J1272,SUMPRODUCT(MAX(ROW(E$1:E1272)*(E1273=E$1:E1272)))))</f>
        <v> </v>
      </c>
      <c r="L1273" s="26"/>
    </row>
    <row r="1274" spans="1:12">
      <c r="A1274" s="20" t="s">
        <v>1800</v>
      </c>
      <c r="E1274" s="21">
        <f>IF(D1274="?OLD","!!!","")</f>
        <v/>
      </c>
      <c r="F1274" s="22" t="str">
        <f>IF(OR(E1274="",E1274="!!!"),"",IF(NOT(ISNA(VLOOKUP(E1274,E$1:E1273,1,FALSE()))),"OLD",IF(AND(E1274&lt;&gt;"",E1274&lt;&gt;"!!!"),"NEW","")))</f>
        <v> </v>
      </c>
      <c r="G1274" s="23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4" t="str">
        <f>IF(J1274&lt;&gt;1,"",IF(I1274="SBJ","CB","?"))</f>
        <v> </v>
      </c>
      <c r="I1274" s="25" t="str">
        <f>IF(OR(E1274="",E1274="!!!",F1274="NEW"),"",INDEX(B1273:B$2,-1+SUMPRODUCT(MAX(ROW(E1273:E$2)*(E1274=E1273:E$2)))))</f>
        <v> </v>
      </c>
      <c r="J1274" s="25" t="str">
        <f>IF(OR(E1274="",E1274="!!!",F1274="NEW"),"",COUNTBLANK(OFFSET(A$1,,,SUMPRODUCT(MAX(ROW(E$2:E1274)*(E1274=E$2:E1274)))))-COUNTBLANK(OFFSET(A$1,,,SUMPRODUCT(MAX(ROW(E$1:E1273)*(E2=E$1:E1273))))))</f>
        <v> </v>
      </c>
      <c r="K1274" s="25" t="str">
        <f>IF(OR(E1274="",E1274="!!!",F1274="NEW"),"",INDEX(J$1:J1273,SUMPRODUCT(MAX(ROW(E$1:E1273)*(E1274=E$1:E1273)))))</f>
        <v> </v>
      </c>
      <c r="L1274" s="26"/>
    </row>
    <row r="1275" spans="1:12">
      <c r="A1275" s="20" t="s">
        <v>1801</v>
      </c>
      <c r="E1275" s="21">
        <f>IF(D1275="?OLD","!!!","")</f>
        <v/>
      </c>
      <c r="F1275" s="22" t="str">
        <f>IF(OR(E1275="",E1275="!!!"),"",IF(NOT(ISNA(VLOOKUP(E1275,E$1:E1274,1,FALSE()))),"OLD",IF(AND(E1275&lt;&gt;"",E1275&lt;&gt;"!!!"),"NEW","")))</f>
        <v> </v>
      </c>
      <c r="G1275" s="23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4" t="str">
        <f>IF(J1275&lt;&gt;1,"",IF(I1275="SBJ","CB","?"))</f>
        <v> </v>
      </c>
      <c r="I1275" s="25" t="str">
        <f>IF(OR(E1275="",E1275="!!!",F1275="NEW"),"",INDEX(B1274:B$2,-1+SUMPRODUCT(MAX(ROW(E1274:E$2)*(E1275=E1274:E$2)))))</f>
        <v> </v>
      </c>
      <c r="J1275" s="25" t="str">
        <f>IF(OR(E1275="",E1275="!!!",F1275="NEW"),"",COUNTBLANK(OFFSET(A$1,,,SUMPRODUCT(MAX(ROW(E$2:E1275)*(E1275=E$2:E1275)))))-COUNTBLANK(OFFSET(A$1,,,SUMPRODUCT(MAX(ROW(E$1:E1274)*(E2=E$1:E1274))))))</f>
        <v> </v>
      </c>
      <c r="K1275" s="25" t="str">
        <f>IF(OR(E1275="",E1275="!!!",F1275="NEW"),"",INDEX(J$1:J1274,SUMPRODUCT(MAX(ROW(E$1:E1274)*(E1275=E$1:E1274)))))</f>
        <v> </v>
      </c>
      <c r="L1275" s="26"/>
    </row>
    <row r="1276" spans="1:12">
      <c r="A1276" s="20" t="s">
        <v>1123</v>
      </c>
      <c r="E1276" s="21">
        <f>IF(D1276="?OLD","!!!","")</f>
        <v/>
      </c>
      <c r="F1276" s="22" t="str">
        <f>IF(OR(E1276="",E1276="!!!"),"",IF(NOT(ISNA(VLOOKUP(E1276,E$1:E1275,1,FALSE()))),"OLD",IF(AND(E1276&lt;&gt;"",E1276&lt;&gt;"!!!"),"NEW","")))</f>
        <v> </v>
      </c>
      <c r="G1276" s="23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> </v>
      </c>
      <c r="H1276" s="24" t="str">
        <f>IF(J1276&lt;&gt;1,"",IF(I1276="SBJ","CB","?"))</f>
        <v> </v>
      </c>
      <c r="I1276" s="25" t="str">
        <f>IF(OR(E1276="",E1276="!!!",F1276="NEW"),"",INDEX(B1275:B$2,-1+SUMPRODUCT(MAX(ROW(E1275:E$2)*(E1276=E1275:E$2)))))</f>
        <v> </v>
      </c>
      <c r="J1276" s="25" t="str">
        <f>IF(OR(E1276="",E1276="!!!",F1276="NEW"),"",COUNTBLANK(OFFSET(A$1,,,SUMPRODUCT(MAX(ROW(E$2:E1276)*(E1276=E$2:E1276)))))-COUNTBLANK(OFFSET(A$1,,,SUMPRODUCT(MAX(ROW(E$1:E1275)*(E2=E$1:E1275))))))</f>
        <v> </v>
      </c>
      <c r="K1276" s="25" t="str">
        <f>IF(OR(E1276="",E1276="!!!",F1276="NEW"),"",INDEX(J$1:J1275,SUMPRODUCT(MAX(ROW(E$1:E1275)*(E1276=E$1:E1275)))))</f>
        <v> </v>
      </c>
      <c r="L1276" s="26"/>
    </row>
    <row r="1277" spans="1:12">
      <c r="A1277" s="20" t="s">
        <v>1128</v>
      </c>
      <c r="E1277" s="21">
        <f>IF(D1277="?OLD","!!!","")</f>
        <v/>
      </c>
      <c r="F1277" s="22" t="str">
        <f>IF(OR(E1277="",E1277="!!!"),"",IF(NOT(ISNA(VLOOKUP(E1277,E$1:E1276,1,FALSE()))),"OLD",IF(AND(E1277&lt;&gt;"",E1277&lt;&gt;"!!!"),"NEW","")))</f>
        <v> </v>
      </c>
      <c r="G1277" s="23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> </v>
      </c>
      <c r="H1277" s="24" t="str">
        <f>IF(J1277&lt;&gt;1,"",IF(I1277="SBJ","CB","?"))</f>
        <v> </v>
      </c>
      <c r="I1277" s="25" t="str">
        <f>IF(OR(E1277="",E1277="!!!",F1277="NEW"),"",INDEX(B1276:B$2,-1+SUMPRODUCT(MAX(ROW(E1276:E$2)*(E1277=E1276:E$2)))))</f>
        <v> </v>
      </c>
      <c r="J1277" s="25" t="str">
        <f>IF(OR(E1277="",E1277="!!!",F1277="NEW"),"",COUNTBLANK(OFFSET(A$1,,,SUMPRODUCT(MAX(ROW(E$2:E1277)*(E1277=E$2:E1277)))))-COUNTBLANK(OFFSET(A$1,,,SUMPRODUCT(MAX(ROW(E$1:E1276)*(E2=E$1:E1276))))))</f>
        <v> </v>
      </c>
      <c r="K1277" s="25" t="str">
        <f>IF(OR(E1277="",E1277="!!!",F1277="NEW"),"",INDEX(J$1:J1276,SUMPRODUCT(MAX(ROW(E$1:E1276)*(E1277=E$1:E1276)))))</f>
        <v> </v>
      </c>
      <c r="L1277" s="26"/>
    </row>
    <row r="1278" spans="1:12">
      <c r="A1278" s="20" t="s">
        <v>1802</v>
      </c>
      <c r="E1278" s="21">
        <f>IF(D1278="?OLD","!!!","")</f>
        <v/>
      </c>
      <c r="F1278" s="22" t="str">
        <f>IF(OR(E1278="",E1278="!!!"),"",IF(NOT(ISNA(VLOOKUP(E1278,E$1:E1277,1,FALSE()))),"OLD",IF(AND(E1278&lt;&gt;"",E1278&lt;&gt;"!!!"),"NEW","")))</f>
        <v> </v>
      </c>
      <c r="G1278" s="23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 </v>
      </c>
      <c r="H1278" s="24" t="str">
        <f>IF(J1278&lt;&gt;1,"",IF(I1278="SBJ","CB","?"))</f>
        <v> </v>
      </c>
      <c r="I1278" s="25" t="str">
        <f>IF(OR(E1278="",E1278="!!!",F1278="NEW"),"",INDEX(B1277:B$2,-1+SUMPRODUCT(MAX(ROW(E1277:E$2)*(E1278=E1277:E$2)))))</f>
        <v> </v>
      </c>
      <c r="J1278" s="25" t="str">
        <f>IF(OR(E1278="",E1278="!!!",F1278="NEW"),"",COUNTBLANK(OFFSET(A$1,,,SUMPRODUCT(MAX(ROW(E$2:E1278)*(E1278=E$2:E1278)))))-COUNTBLANK(OFFSET(A$1,,,SUMPRODUCT(MAX(ROW(E$1:E1277)*(E2=E$1:E1277))))))</f>
        <v> </v>
      </c>
      <c r="K1278" s="25" t="str">
        <f>IF(OR(E1278="",E1278="!!!",F1278="NEW"),"",INDEX(J$1:J1277,SUMPRODUCT(MAX(ROW(E$1:E1277)*(E1278=E$1:E1277)))))</f>
        <v> </v>
      </c>
      <c r="L1278" s="26"/>
    </row>
    <row r="1279" spans="1:12">
      <c r="A1279" s="20" t="s">
        <v>1803</v>
      </c>
      <c r="B1279" s="27" t="s">
        <v>1122</v>
      </c>
      <c r="E1279" s="21">
        <f>IF(D1279="?OLD","!!!","")</f>
        <v/>
      </c>
      <c r="F1279" s="22" t="str">
        <f>IF(OR(E1279="",E1279="!!!"),"",IF(NOT(ISNA(VLOOKUP(E1279,E$1:E1278,1,FALSE()))),"OLD",IF(AND(E1279&lt;&gt;"",E1279&lt;&gt;"!!!"),"NEW","")))</f>
        <v> </v>
      </c>
      <c r="G1279" s="23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> </v>
      </c>
      <c r="H1279" s="24" t="str">
        <f>IF(J1279&lt;&gt;1,"",IF(I1279="SBJ","CB","?"))</f>
        <v> </v>
      </c>
      <c r="I1279" s="25" t="str">
        <f>IF(OR(E1279="",E1279="!!!",F1279="NEW"),"",INDEX(B1278:B$2,-1+SUMPRODUCT(MAX(ROW(E1278:E$2)*(E1279=E1278:E$2)))))</f>
        <v> </v>
      </c>
      <c r="J1279" s="25" t="str">
        <f>IF(OR(E1279="",E1279="!!!",F1279="NEW"),"",COUNTBLANK(OFFSET(A$1,,,SUMPRODUCT(MAX(ROW(E$2:E1279)*(E1279=E$2:E1279)))))-COUNTBLANK(OFFSET(A$1,,,SUMPRODUCT(MAX(ROW(E$1:E1278)*(E2=E$1:E1278))))))</f>
        <v> </v>
      </c>
      <c r="K1279" s="25" t="str">
        <f>IF(OR(E1279="",E1279="!!!",F1279="NEW"),"",INDEX(J$1:J1278,SUMPRODUCT(MAX(ROW(E$1:E1278)*(E1279=E$1:E1278)))))</f>
        <v> </v>
      </c>
      <c r="L1279" s="26"/>
    </row>
    <row r="1280" spans="1:12">
      <c r="A1280" s="20" t="s">
        <v>1130</v>
      </c>
      <c r="E1280" s="21">
        <f>IF(D1280="?OLD","!!!","")</f>
        <v/>
      </c>
      <c r="F1280" s="22" t="str">
        <f>IF(OR(E1280="",E1280="!!!"),"",IF(NOT(ISNA(VLOOKUP(E1280,E$1:E1279,1,FALSE()))),"OLD",IF(AND(E1280&lt;&gt;"",E1280&lt;&gt;"!!!"),"NEW","")))</f>
        <v> </v>
      </c>
      <c r="G1280" s="23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 </v>
      </c>
      <c r="H1280" s="24" t="str">
        <f>IF(J1280&lt;&gt;1,"",IF(I1280="SBJ","CB","?"))</f>
        <v> </v>
      </c>
      <c r="I1280" s="25" t="str">
        <f>IF(OR(E1280="",E1280="!!!",F1280="NEW"),"",INDEX(B1279:B$2,-1+SUMPRODUCT(MAX(ROW(E1279:E$2)*(E1280=E1279:E$2)))))</f>
        <v> </v>
      </c>
      <c r="J1280" s="25" t="str">
        <f>IF(OR(E1280="",E1280="!!!",F1280="NEW"),"",COUNTBLANK(OFFSET(A$1,,,SUMPRODUCT(MAX(ROW(E$2:E1280)*(E1280=E$2:E1280)))))-COUNTBLANK(OFFSET(A$1,,,SUMPRODUCT(MAX(ROW(E$1:E1279)*(E2=E$1:E1279))))))</f>
        <v> </v>
      </c>
      <c r="K1280" s="25" t="str">
        <f>IF(OR(E1280="",E1280="!!!",F1280="NEW"),"",INDEX(J$1:J1279,SUMPRODUCT(MAX(ROW(E$1:E1279)*(E1280=E$1:E1279)))))</f>
        <v> </v>
      </c>
      <c r="L1280" s="26"/>
    </row>
    <row r="1281" spans="1:12">
      <c r="A1281" s="20" t="s">
        <v>1728</v>
      </c>
      <c r="E1281" s="21">
        <f>IF(D1281="?OLD","!!!","")</f>
        <v/>
      </c>
      <c r="F1281" s="22" t="str">
        <f>IF(OR(E1281="",E1281="!!!"),"",IF(NOT(ISNA(VLOOKUP(E1281,E$1:E1280,1,FALSE()))),"OLD",IF(AND(E1281&lt;&gt;"",E1281&lt;&gt;"!!!"),"NEW","")))</f>
        <v> </v>
      </c>
      <c r="G1281" s="23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24" t="str">
        <f>IF(J1281&lt;&gt;1,"",IF(I1281="SBJ","CB","?"))</f>
        <v> </v>
      </c>
      <c r="I1281" s="25" t="str">
        <f>IF(OR(E1281="",E1281="!!!",F1281="NEW"),"",INDEX(B1280:B$2,-1+SUMPRODUCT(MAX(ROW(E1280:E$2)*(E1281=E1280:E$2)))))</f>
        <v> </v>
      </c>
      <c r="J1281" s="25" t="str">
        <f>IF(OR(E1281="",E1281="!!!",F1281="NEW"),"",COUNTBLANK(OFFSET(A$1,,,SUMPRODUCT(MAX(ROW(E$2:E1281)*(E1281=E$2:E1281)))))-COUNTBLANK(OFFSET(A$1,,,SUMPRODUCT(MAX(ROW(E$1:E1280)*(E2=E$1:E1280))))))</f>
        <v> </v>
      </c>
      <c r="K1281" s="25" t="str">
        <f>IF(OR(E1281="",E1281="!!!",F1281="NEW"),"",INDEX(J$1:J1280,SUMPRODUCT(MAX(ROW(E$1:E1280)*(E1281=E$1:E1280)))))</f>
        <v> </v>
      </c>
      <c r="L1281" s="26"/>
    </row>
    <row r="1282" spans="1:12">
      <c r="A1282" s="20" t="s">
        <v>1804</v>
      </c>
      <c r="E1282" s="21">
        <f>IF(D1282="?OLD","!!!","")</f>
        <v/>
      </c>
      <c r="F1282" s="22" t="str">
        <f>IF(OR(E1282="",E1282="!!!"),"",IF(NOT(ISNA(VLOOKUP(E1282,E$1:E1281,1,FALSE()))),"OLD",IF(AND(E1282&lt;&gt;"",E1282&lt;&gt;"!!!"),"NEW","")))</f>
        <v> </v>
      </c>
      <c r="G1282" s="23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24" t="str">
        <f>IF(J1282&lt;&gt;1,"",IF(I1282="SBJ","CB","?"))</f>
        <v> </v>
      </c>
      <c r="I1282" s="25" t="str">
        <f>IF(OR(E1282="",E1282="!!!",F1282="NEW"),"",INDEX(B1281:B$2,-1+SUMPRODUCT(MAX(ROW(E1281:E$2)*(E1282=E1281:E$2)))))</f>
        <v> </v>
      </c>
      <c r="J1282" s="25" t="str">
        <f>IF(OR(E1282="",E1282="!!!",F1282="NEW"),"",COUNTBLANK(OFFSET(A$1,,,SUMPRODUCT(MAX(ROW(E$2:E1282)*(E1282=E$2:E1282)))))-COUNTBLANK(OFFSET(A$1,,,SUMPRODUCT(MAX(ROW(E$1:E1281)*(E2=E$1:E1281))))))</f>
        <v> </v>
      </c>
      <c r="K1282" s="25" t="str">
        <f>IF(OR(E1282="",E1282="!!!",F1282="NEW"),"",INDEX(J$1:J1281,SUMPRODUCT(MAX(ROW(E$1:E1281)*(E1282=E$1:E1281)))))</f>
        <v> </v>
      </c>
      <c r="L1282" s="26"/>
    </row>
    <row r="1283" spans="1:12">
      <c r="A1283" s="20" t="s">
        <v>1391</v>
      </c>
      <c r="E1283" s="21">
        <f>IF(D1283="?OLD","!!!","")</f>
        <v/>
      </c>
      <c r="F1283" s="22" t="str">
        <f>IF(OR(E1283="",E1283="!!!"),"",IF(NOT(ISNA(VLOOKUP(E1283,E$1:E1282,1,FALSE()))),"OLD",IF(AND(E1283&lt;&gt;"",E1283&lt;&gt;"!!!"),"NEW","")))</f>
        <v> </v>
      </c>
      <c r="G1283" s="23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 </v>
      </c>
      <c r="H1283" s="24" t="str">
        <f>IF(J1283&lt;&gt;1,"",IF(I1283="SBJ","CB","?"))</f>
        <v> </v>
      </c>
      <c r="I1283" s="25" t="str">
        <f>IF(OR(E1283="",E1283="!!!",F1283="NEW"),"",INDEX(B1282:B$2,-1+SUMPRODUCT(MAX(ROW(E1282:E$2)*(E1283=E1282:E$2)))))</f>
        <v> </v>
      </c>
      <c r="J1283" s="25" t="str">
        <f>IF(OR(E1283="",E1283="!!!",F1283="NEW"),"",COUNTBLANK(OFFSET(A$1,,,SUMPRODUCT(MAX(ROW(E$2:E1283)*(E1283=E$2:E1283)))))-COUNTBLANK(OFFSET(A$1,,,SUMPRODUCT(MAX(ROW(E$1:E1282)*(E2=E$1:E1282))))))</f>
        <v> </v>
      </c>
      <c r="K1283" s="25" t="str">
        <f>IF(OR(E1283="",E1283="!!!",F1283="NEW"),"",INDEX(J$1:J1282,SUMPRODUCT(MAX(ROW(E$1:E1282)*(E1283=E$1:E1282)))))</f>
        <v> </v>
      </c>
      <c r="L1283" s="26"/>
    </row>
    <row r="1284" spans="1:12">
      <c r="A1284" s="20" t="s">
        <v>1183</v>
      </c>
      <c r="B1284" s="27" t="s">
        <v>1107</v>
      </c>
      <c r="C1284" s="27" t="s">
        <v>1126</v>
      </c>
      <c r="D1284" s="27" t="s">
        <v>1105</v>
      </c>
      <c r="E1284" s="21">
        <f>IF(D1284="?OLD","!!!","")</f>
        <v/>
      </c>
      <c r="F1284" s="22" t="str">
        <f>IF(OR(E1284="",E1284="!!!"),"",IF(NOT(ISNA(VLOOKUP(E1284,E$1:E1283,1,FALSE()))),"OLD",IF(AND(E1284&lt;&gt;"",E1284&lt;&gt;"!!!"),"NEW","")))</f>
        <v> </v>
      </c>
      <c r="G1284" s="23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24" t="str">
        <f>IF(J1284&lt;&gt;1,"",IF(I1284="SBJ","CB","?"))</f>
        <v> </v>
      </c>
      <c r="I1284" s="25" t="str">
        <f>IF(OR(E1284="",E1284="!!!",F1284="NEW"),"",INDEX(B1283:B$2,-1+SUMPRODUCT(MAX(ROW(E1283:E$2)*(E1284=E1283:E$2)))))</f>
        <v> </v>
      </c>
      <c r="J1284" s="25" t="str">
        <f>IF(OR(E1284="",E1284="!!!",F1284="NEW"),"",COUNTBLANK(OFFSET(A$1,,,SUMPRODUCT(MAX(ROW(E$2:E1284)*(E1284=E$2:E1284)))))-COUNTBLANK(OFFSET(A$1,,,SUMPRODUCT(MAX(ROW(E$1:E1283)*(E2=E$1:E1283))))))</f>
        <v> </v>
      </c>
      <c r="K1284" s="25" t="str">
        <f>IF(OR(E1284="",E1284="!!!",F1284="NEW"),"",INDEX(J$1:J1283,SUMPRODUCT(MAX(ROW(E$1:E1283)*(E1284=E$1:E1283)))))</f>
        <v> </v>
      </c>
      <c r="L1284" s="26"/>
    </row>
    <row r="1285" spans="1:12">
      <c r="A1285" s="20" t="s">
        <v>1123</v>
      </c>
      <c r="E1285" s="21">
        <f>IF(D1285="?OLD","!!!","")</f>
        <v/>
      </c>
      <c r="F1285" s="22" t="str">
        <f>IF(OR(E1285="",E1285="!!!"),"",IF(NOT(ISNA(VLOOKUP(E1285,E$1:E1284,1,FALSE()))),"OLD",IF(AND(E1285&lt;&gt;"",E1285&lt;&gt;"!!!"),"NEW","")))</f>
        <v> </v>
      </c>
      <c r="G1285" s="23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4" t="str">
        <f>IF(J1285&lt;&gt;1,"",IF(I1285="SBJ","CB","?"))</f>
        <v> </v>
      </c>
      <c r="I1285" s="25" t="str">
        <f>IF(OR(E1285="",E1285="!!!",F1285="NEW"),"",INDEX(B1284:B$2,-1+SUMPRODUCT(MAX(ROW(E1284:E$2)*(E1285=E1284:E$2)))))</f>
        <v> </v>
      </c>
      <c r="J1285" s="25" t="str">
        <f>IF(OR(E1285="",E1285="!!!",F1285="NEW"),"",COUNTBLANK(OFFSET(A$1,,,SUMPRODUCT(MAX(ROW(E$2:E1285)*(E1285=E$2:E1285)))))-COUNTBLANK(OFFSET(A$1,,,SUMPRODUCT(MAX(ROW(E$1:E1284)*(E2=E$1:E1284))))))</f>
        <v> </v>
      </c>
      <c r="K1285" s="25" t="str">
        <f>IF(OR(E1285="",E1285="!!!",F1285="NEW"),"",INDEX(J$1:J1284,SUMPRODUCT(MAX(ROW(E$1:E1284)*(E1285=E$1:E1284)))))</f>
        <v> </v>
      </c>
      <c r="L1285" s="26"/>
    </row>
    <row r="1286" spans="1:12">
      <c r="A1286" s="20" t="s">
        <v>1805</v>
      </c>
      <c r="E1286" s="21">
        <f>IF(D1286="?OLD","!!!","")</f>
        <v/>
      </c>
      <c r="F1286" s="22" t="str">
        <f>IF(OR(E1286="",E1286="!!!"),"",IF(NOT(ISNA(VLOOKUP(E1286,E$1:E1285,1,FALSE()))),"OLD",IF(AND(E1286&lt;&gt;"",E1286&lt;&gt;"!!!"),"NEW","")))</f>
        <v> </v>
      </c>
      <c r="G1286" s="23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> </v>
      </c>
      <c r="H1286" s="24" t="str">
        <f>IF(J1286&lt;&gt;1,"",IF(I1286="SBJ","CB","?"))</f>
        <v> </v>
      </c>
      <c r="I1286" s="25" t="str">
        <f>IF(OR(E1286="",E1286="!!!",F1286="NEW"),"",INDEX(B1285:B$2,-1+SUMPRODUCT(MAX(ROW(E1285:E$2)*(E1286=E1285:E$2)))))</f>
        <v> </v>
      </c>
      <c r="J1286" s="25" t="str">
        <f>IF(OR(E1286="",E1286="!!!",F1286="NEW"),"",COUNTBLANK(OFFSET(A$1,,,SUMPRODUCT(MAX(ROW(E$2:E1286)*(E1286=E$2:E1286)))))-COUNTBLANK(OFFSET(A$1,,,SUMPRODUCT(MAX(ROW(E$1:E1285)*(E2=E$1:E1285))))))</f>
        <v> </v>
      </c>
      <c r="K1286" s="25" t="str">
        <f>IF(OR(E1286="",E1286="!!!",F1286="NEW"),"",INDEX(J$1:J1285,SUMPRODUCT(MAX(ROW(E$1:E1285)*(E1286=E$1:E1285)))))</f>
        <v> </v>
      </c>
      <c r="L1286" s="26"/>
    </row>
    <row r="1287" spans="1:12">
      <c r="A1287" s="20" t="s">
        <v>1806</v>
      </c>
      <c r="E1287" s="21">
        <f>IF(D1287="?OLD","!!!","")</f>
        <v/>
      </c>
      <c r="F1287" s="22" t="str">
        <f>IF(OR(E1287="",E1287="!!!"),"",IF(NOT(ISNA(VLOOKUP(E1287,E$1:E1286,1,FALSE()))),"OLD",IF(AND(E1287&lt;&gt;"",E1287&lt;&gt;"!!!"),"NEW","")))</f>
        <v> </v>
      </c>
      <c r="G1287" s="23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> </v>
      </c>
      <c r="H1287" s="24" t="str">
        <f>IF(J1287&lt;&gt;1,"",IF(I1287="SBJ","CB","?"))</f>
        <v> </v>
      </c>
      <c r="I1287" s="25" t="str">
        <f>IF(OR(E1287="",E1287="!!!",F1287="NEW"),"",INDEX(B1286:B$2,-1+SUMPRODUCT(MAX(ROW(E1286:E$2)*(E1287=E1286:E$2)))))</f>
        <v> </v>
      </c>
      <c r="J1287" s="25" t="str">
        <f>IF(OR(E1287="",E1287="!!!",F1287="NEW"),"",COUNTBLANK(OFFSET(A$1,,,SUMPRODUCT(MAX(ROW(E$2:E1287)*(E1287=E$2:E1287)))))-COUNTBLANK(OFFSET(A$1,,,SUMPRODUCT(MAX(ROW(E$1:E1286)*(E2=E$1:E1286))))))</f>
        <v> </v>
      </c>
      <c r="K1287" s="25" t="str">
        <f>IF(OR(E1287="",E1287="!!!",F1287="NEW"),"",INDEX(J$1:J1286,SUMPRODUCT(MAX(ROW(E$1:E1286)*(E1287=E$1:E1286)))))</f>
        <v> </v>
      </c>
      <c r="L1287" s="26"/>
    </row>
    <row r="1288" spans="1:12">
      <c r="A1288" s="20" t="s">
        <v>1807</v>
      </c>
      <c r="B1288" s="27" t="s">
        <v>1243</v>
      </c>
      <c r="E1288" s="21">
        <f>IF(D1288="?OLD","!!!","")</f>
        <v/>
      </c>
      <c r="F1288" s="22" t="str">
        <f>IF(OR(E1288="",E1288="!!!"),"",IF(NOT(ISNA(VLOOKUP(E1288,E$1:E1287,1,FALSE()))),"OLD",IF(AND(E1288&lt;&gt;"",E1288&lt;&gt;"!!!"),"NEW","")))</f>
        <v> </v>
      </c>
      <c r="G1288" s="23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 </v>
      </c>
      <c r="H1288" s="24" t="str">
        <f>IF(J1288&lt;&gt;1,"",IF(I1288="SBJ","CB","?"))</f>
        <v> </v>
      </c>
      <c r="I1288" s="25" t="str">
        <f>IF(OR(E1288="",E1288="!!!",F1288="NEW"),"",INDEX(B1287:B$2,-1+SUMPRODUCT(MAX(ROW(E1287:E$2)*(E1288=E1287:E$2)))))</f>
        <v> </v>
      </c>
      <c r="J1288" s="25" t="str">
        <f>IF(OR(E1288="",E1288="!!!",F1288="NEW"),"",COUNTBLANK(OFFSET(A$1,,,SUMPRODUCT(MAX(ROW(E$2:E1288)*(E1288=E$2:E1288)))))-COUNTBLANK(OFFSET(A$1,,,SUMPRODUCT(MAX(ROW(E$1:E1287)*(E2=E$1:E1287))))))</f>
        <v> </v>
      </c>
      <c r="K1288" s="25" t="str">
        <f>IF(OR(E1288="",E1288="!!!",F1288="NEW"),"",INDEX(J$1:J1287,SUMPRODUCT(MAX(ROW(E$1:E1287)*(E1288=E$1:E1287)))))</f>
        <v> </v>
      </c>
      <c r="L1288" s="26"/>
    </row>
    <row r="1289" spans="1:12">
      <c r="A1289" s="20" t="s">
        <v>1249</v>
      </c>
      <c r="E1289" s="21">
        <f>IF(D1289="?OLD","!!!","")</f>
        <v/>
      </c>
      <c r="F1289" s="22" t="str">
        <f>IF(OR(E1289="",E1289="!!!"),"",IF(NOT(ISNA(VLOOKUP(E1289,E$1:E1288,1,FALSE()))),"OLD",IF(AND(E1289&lt;&gt;"",E1289&lt;&gt;"!!!"),"NEW","")))</f>
        <v> </v>
      </c>
      <c r="G1289" s="23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 </v>
      </c>
      <c r="H1289" s="24" t="str">
        <f>IF(J1289&lt;&gt;1,"",IF(I1289="SBJ","CB","?"))</f>
        <v> </v>
      </c>
      <c r="I1289" s="25" t="str">
        <f>IF(OR(E1289="",E1289="!!!",F1289="NEW"),"",INDEX(B1288:B$2,-1+SUMPRODUCT(MAX(ROW(E1288:E$2)*(E1289=E1288:E$2)))))</f>
        <v> </v>
      </c>
      <c r="J1289" s="25" t="str">
        <f>IF(OR(E1289="",E1289="!!!",F1289="NEW"),"",COUNTBLANK(OFFSET(A$1,,,SUMPRODUCT(MAX(ROW(E$2:E1289)*(E1289=E$2:E1289)))))-COUNTBLANK(OFFSET(A$1,,,SUMPRODUCT(MAX(ROW(E$1:E1288)*(E2=E$1:E1288))))))</f>
        <v> </v>
      </c>
      <c r="K1289" s="25" t="str">
        <f>IF(OR(E1289="",E1289="!!!",F1289="NEW"),"",INDEX(J$1:J1288,SUMPRODUCT(MAX(ROW(E$1:E1288)*(E1289=E$1:E1288)))))</f>
        <v> </v>
      </c>
      <c r="L1289" s="26"/>
    </row>
    <row r="1290" spans="1:12">
      <c r="A1290" s="20" t="s">
        <v>1808</v>
      </c>
      <c r="E1290" s="21">
        <f>IF(D1290="?OLD","!!!","")</f>
        <v/>
      </c>
      <c r="F1290" s="22" t="str">
        <f>IF(OR(E1290="",E1290="!!!"),"",IF(NOT(ISNA(VLOOKUP(E1290,E$1:E1289,1,FALSE()))),"OLD",IF(AND(E1290&lt;&gt;"",E1290&lt;&gt;"!!!"),"NEW","")))</f>
        <v> </v>
      </c>
      <c r="G1290" s="23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24" t="str">
        <f>IF(J1290&lt;&gt;1,"",IF(I1290="SBJ","CB","?"))</f>
        <v> </v>
      </c>
      <c r="I1290" s="25" t="str">
        <f>IF(OR(E1290="",E1290="!!!",F1290="NEW"),"",INDEX(B1289:B$2,-1+SUMPRODUCT(MAX(ROW(E1289:E$2)*(E1290=E1289:E$2)))))</f>
        <v> </v>
      </c>
      <c r="J1290" s="25" t="str">
        <f>IF(OR(E1290="",E1290="!!!",F1290="NEW"),"",COUNTBLANK(OFFSET(A$1,,,SUMPRODUCT(MAX(ROW(E$2:E1290)*(E1290=E$2:E1290)))))-COUNTBLANK(OFFSET(A$1,,,SUMPRODUCT(MAX(ROW(E$1:E1289)*(E2=E$1:E1289))))))</f>
        <v> </v>
      </c>
      <c r="K1290" s="25" t="str">
        <f>IF(OR(E1290="",E1290="!!!",F1290="NEW"),"",INDEX(J$1:J1289,SUMPRODUCT(MAX(ROW(E$1:E1289)*(E1290=E$1:E1289)))))</f>
        <v> </v>
      </c>
      <c r="L1290" s="26"/>
    </row>
    <row r="1291" spans="1:12">
      <c r="A1291" s="20" t="s">
        <v>1809</v>
      </c>
      <c r="E1291" s="21">
        <f>IF(D1291="?OLD","!!!","")</f>
        <v/>
      </c>
      <c r="F1291" s="22" t="str">
        <f>IF(OR(E1291="",E1291="!!!"),"",IF(NOT(ISNA(VLOOKUP(E1291,E$1:E1290,1,FALSE()))),"OLD",IF(AND(E1291&lt;&gt;"",E1291&lt;&gt;"!!!"),"NEW","")))</f>
        <v> </v>
      </c>
      <c r="G1291" s="23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 </v>
      </c>
      <c r="H1291" s="24" t="str">
        <f>IF(J1291&lt;&gt;1,"",IF(I1291="SBJ","CB","?"))</f>
        <v> </v>
      </c>
      <c r="I1291" s="25" t="str">
        <f>IF(OR(E1291="",E1291="!!!",F1291="NEW"),"",INDEX(B1290:B$2,-1+SUMPRODUCT(MAX(ROW(E1290:E$2)*(E1291=E1290:E$2)))))</f>
        <v> </v>
      </c>
      <c r="J1291" s="25" t="str">
        <f>IF(OR(E1291="",E1291="!!!",F1291="NEW"),"",COUNTBLANK(OFFSET(A$1,,,SUMPRODUCT(MAX(ROW(E$2:E1291)*(E1291=E$2:E1291)))))-COUNTBLANK(OFFSET(A$1,,,SUMPRODUCT(MAX(ROW(E$1:E1290)*(E2=E$1:E1290))))))</f>
        <v> </v>
      </c>
      <c r="K1291" s="25" t="str">
        <f>IF(OR(E1291="",E1291="!!!",F1291="NEW"),"",INDEX(J$1:J1290,SUMPRODUCT(MAX(ROW(E$1:E1290)*(E1291=E$1:E1290)))))</f>
        <v> </v>
      </c>
      <c r="L1291" s="26"/>
    </row>
    <row r="1292" spans="1:12">
      <c r="A1292" s="20" t="s">
        <v>1810</v>
      </c>
      <c r="E1292" s="21">
        <f>IF(D1292="?OLD","!!!","")</f>
        <v/>
      </c>
      <c r="F1292" s="22" t="str">
        <f>IF(OR(E1292="",E1292="!!!"),"",IF(NOT(ISNA(VLOOKUP(E1292,E$1:E1291,1,FALSE()))),"OLD",IF(AND(E1292&lt;&gt;"",E1292&lt;&gt;"!!!"),"NEW","")))</f>
        <v> </v>
      </c>
      <c r="G1292" s="23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> </v>
      </c>
      <c r="H1292" s="24" t="str">
        <f>IF(J1292&lt;&gt;1,"",IF(I1292="SBJ","CB","?"))</f>
        <v> </v>
      </c>
      <c r="I1292" s="25" t="str">
        <f>IF(OR(E1292="",E1292="!!!",F1292="NEW"),"",INDEX(B1291:B$2,-1+SUMPRODUCT(MAX(ROW(E1291:E$2)*(E1292=E1291:E$2)))))</f>
        <v> </v>
      </c>
      <c r="J1292" s="25" t="str">
        <f>IF(OR(E1292="",E1292="!!!",F1292="NEW"),"",COUNTBLANK(OFFSET(A$1,,,SUMPRODUCT(MAX(ROW(E$2:E1292)*(E1292=E$2:E1292)))))-COUNTBLANK(OFFSET(A$1,,,SUMPRODUCT(MAX(ROW(E$1:E1291)*(E2=E$1:E1291))))))</f>
        <v> </v>
      </c>
      <c r="K1292" s="25" t="str">
        <f>IF(OR(E1292="",E1292="!!!",F1292="NEW"),"",INDEX(J$1:J1291,SUMPRODUCT(MAX(ROW(E$1:E1291)*(E1292=E$1:E1291)))))</f>
        <v> </v>
      </c>
      <c r="L1292" s="26"/>
    </row>
    <row r="1293" spans="1:12">
      <c r="A1293" s="20" t="s">
        <v>1145</v>
      </c>
      <c r="E1293" s="21">
        <f>IF(D1293="?OLD","!!!","")</f>
        <v/>
      </c>
      <c r="F1293" s="22" t="str">
        <f>IF(OR(E1293="",E1293="!!!"),"",IF(NOT(ISNA(VLOOKUP(E1293,E$1:E1292,1,FALSE()))),"OLD",IF(AND(E1293&lt;&gt;"",E1293&lt;&gt;"!!!"),"NEW","")))</f>
        <v> </v>
      </c>
      <c r="G1293" s="23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> </v>
      </c>
      <c r="H1293" s="24" t="str">
        <f>IF(J1293&lt;&gt;1,"",IF(I1293="SBJ","CB","?"))</f>
        <v> </v>
      </c>
      <c r="I1293" s="25" t="str">
        <f>IF(OR(E1293="",E1293="!!!",F1293="NEW"),"",INDEX(B1292:B$2,-1+SUMPRODUCT(MAX(ROW(E1292:E$2)*(E1293=E1292:E$2)))))</f>
        <v> </v>
      </c>
      <c r="J1293" s="25" t="str">
        <f>IF(OR(E1293="",E1293="!!!",F1293="NEW"),"",COUNTBLANK(OFFSET(A$1,,,SUMPRODUCT(MAX(ROW(E$2:E1293)*(E1293=E$2:E1293)))))-COUNTBLANK(OFFSET(A$1,,,SUMPRODUCT(MAX(ROW(E$1:E1292)*(E2=E$1:E1292))))))</f>
        <v> </v>
      </c>
      <c r="K1293" s="25" t="str">
        <f>IF(OR(E1293="",E1293="!!!",F1293="NEW"),"",INDEX(J$1:J1292,SUMPRODUCT(MAX(ROW(E$1:E1292)*(E1293=E$1:E1292)))))</f>
        <v> </v>
      </c>
      <c r="L1293" s="26"/>
    </row>
    <row r="1294" spans="1:12">
      <c r="A1294" s="20"/>
    </row>
    <row r="1295" spans="1:12">
      <c r="A1295" s="20" t="s">
        <v>1811</v>
      </c>
    </row>
    <row r="1296" spans="1:12">
      <c r="A1296" s="20" t="s">
        <v>1225</v>
      </c>
      <c r="B1296" s="27" t="s">
        <v>1149</v>
      </c>
      <c r="C1296" s="27" t="s">
        <v>1108</v>
      </c>
      <c r="D1296" s="27" t="s">
        <v>1105</v>
      </c>
      <c r="E1296" s="21">
        <f>IF(D1296="?OLD","!!!","")</f>
        <v/>
      </c>
      <c r="F1296" s="22" t="str">
        <f>IF(OR(E1296="",E1296="!!!"),"",IF(NOT(ISNA(VLOOKUP(E1296,E$1:E1295,1,FALSE()))),"OLD",IF(AND(E1296&lt;&gt;"",E1296&lt;&gt;"!!!"),"NEW","")))</f>
        <v> </v>
      </c>
      <c r="G1296" s="23" t="str">
        <f>IF(OR(E1296="",E1296="!!!"),"",IF(OR(J1296=0,AND(J1296=1,K1296=1),AND(J1296=1,I1296="SBJ"),AND(J1296=1,I1296=0)),"?IN_FOCUS",IF(J1296&lt;=2,"?ACTIVATED",IF(J1296&lt;&gt;"","?FAMILIAR",IF(F1296="NEW",IF(ISNA(VLOOKUP(E1296,#REF!,1,FALSE())),"?TYPE_IDENTIFIABLE","?REFERENTIAL"),"_")))))</f>
        <v> </v>
      </c>
      <c r="H1296" s="24" t="str">
        <f>IF(J1296&lt;&gt;1,"",IF(I1296="SBJ","CB","?"))</f>
        <v> </v>
      </c>
      <c r="I1296" s="25" t="str">
        <f>IF(OR(E1296="",E1296="!!!",F1296="NEW"),"",INDEX(B1295:B$2,-1+SUMPRODUCT(MAX(ROW(E1295:E$2)*(E1296=E1295:E$2)))))</f>
        <v> </v>
      </c>
      <c r="J1296" s="25" t="str">
        <f>IF(OR(E1296="",E1296="!!!",F1296="NEW"),"",COUNTBLANK(OFFSET(A$1,,,SUMPRODUCT(MAX(ROW(E$2:E1296)*(E1296=E$2:E1296)))))-COUNTBLANK(OFFSET(A$1,,,SUMPRODUCT(MAX(ROW(E$1:E1295)*(E2=E$1:E1295))))))</f>
        <v> </v>
      </c>
      <c r="K1296" s="25" t="str">
        <f>IF(OR(E1296="",E1296="!!!",F1296="NEW"),"",INDEX(J$1:J1295,SUMPRODUCT(MAX(ROW(E$1:E1295)*(E1296=E$1:E1295)))))</f>
        <v> </v>
      </c>
      <c r="L1296" s="26"/>
    </row>
    <row r="1297" spans="1:12">
      <c r="A1297" s="20" t="s">
        <v>1812</v>
      </c>
      <c r="E1297" s="21">
        <f>IF(D1297="?OLD","!!!","")</f>
        <v/>
      </c>
      <c r="F1297" s="22" t="str">
        <f>IF(OR(E1297="",E1297="!!!"),"",IF(NOT(ISNA(VLOOKUP(E1297,E$1:E1296,1,FALSE()))),"OLD",IF(AND(E1297&lt;&gt;"",E1297&lt;&gt;"!!!"),"NEW","")))</f>
        <v> </v>
      </c>
      <c r="G1297" s="23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> </v>
      </c>
      <c r="H1297" s="24" t="str">
        <f>IF(J1297&lt;&gt;1,"",IF(I1297="SBJ","CB","?"))</f>
        <v> </v>
      </c>
      <c r="I1297" s="25" t="str">
        <f>IF(OR(E1297="",E1297="!!!",F1297="NEW"),"",INDEX(B1296:B$2,-1+SUMPRODUCT(MAX(ROW(E1296:E$2)*(E1297=E1296:E$2)))))</f>
        <v> </v>
      </c>
      <c r="J1297" s="25" t="str">
        <f>IF(OR(E1297="",E1297="!!!",F1297="NEW"),"",COUNTBLANK(OFFSET(A$1,,,SUMPRODUCT(MAX(ROW(E$2:E1297)*(E1297=E$2:E1297)))))-COUNTBLANK(OFFSET(A$1,,,SUMPRODUCT(MAX(ROW(E$1:E1296)*(E2=E$1:E1296))))))</f>
        <v> </v>
      </c>
      <c r="K1297" s="25" t="str">
        <f>IF(OR(E1297="",E1297="!!!",F1297="NEW"),"",INDEX(J$1:J1296,SUMPRODUCT(MAX(ROW(E$1:E1296)*(E1297=E$1:E1296)))))</f>
        <v> </v>
      </c>
      <c r="L1297" s="26"/>
    </row>
    <row r="1298" spans="1:12">
      <c r="A1298" s="20" t="s">
        <v>1813</v>
      </c>
      <c r="E1298" s="21">
        <f>IF(D1298="?OLD","!!!","")</f>
        <v/>
      </c>
      <c r="F1298" s="22" t="str">
        <f>IF(OR(E1298="",E1298="!!!"),"",IF(NOT(ISNA(VLOOKUP(E1298,E$1:E1297,1,FALSE()))),"OLD",IF(AND(E1298&lt;&gt;"",E1298&lt;&gt;"!!!"),"NEW","")))</f>
        <v> </v>
      </c>
      <c r="G1298" s="23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 </v>
      </c>
      <c r="H1298" s="24" t="str">
        <f>IF(J1298&lt;&gt;1,"",IF(I1298="SBJ","CB","?"))</f>
        <v> </v>
      </c>
      <c r="I1298" s="25" t="str">
        <f>IF(OR(E1298="",E1298="!!!",F1298="NEW"),"",INDEX(B1297:B$2,-1+SUMPRODUCT(MAX(ROW(E1297:E$2)*(E1298=E1297:E$2)))))</f>
        <v> </v>
      </c>
      <c r="J1298" s="25" t="str">
        <f>IF(OR(E1298="",E1298="!!!",F1298="NEW"),"",COUNTBLANK(OFFSET(A$1,,,SUMPRODUCT(MAX(ROW(E$2:E1298)*(E1298=E$2:E1298)))))-COUNTBLANK(OFFSET(A$1,,,SUMPRODUCT(MAX(ROW(E$1:E1297)*(E2=E$1:E1297))))))</f>
        <v> </v>
      </c>
      <c r="K1298" s="25" t="str">
        <f>IF(OR(E1298="",E1298="!!!",F1298="NEW"),"",INDEX(J$1:J1297,SUMPRODUCT(MAX(ROW(E$1:E1297)*(E1298=E$1:E1297)))))</f>
        <v> </v>
      </c>
      <c r="L1298" s="26"/>
    </row>
    <row r="1299" spans="1:12">
      <c r="A1299" s="20" t="s">
        <v>1814</v>
      </c>
      <c r="E1299" s="21">
        <f>IF(D1299="?OLD","!!!","")</f>
        <v/>
      </c>
      <c r="F1299" s="22" t="str">
        <f>IF(OR(E1299="",E1299="!!!"),"",IF(NOT(ISNA(VLOOKUP(E1299,E$1:E1298,1,FALSE()))),"OLD",IF(AND(E1299&lt;&gt;"",E1299&lt;&gt;"!!!"),"NEW","")))</f>
        <v> </v>
      </c>
      <c r="G1299" s="23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24" t="str">
        <f>IF(J1299&lt;&gt;1,"",IF(I1299="SBJ","CB","?"))</f>
        <v> </v>
      </c>
      <c r="I1299" s="25" t="str">
        <f>IF(OR(E1299="",E1299="!!!",F1299="NEW"),"",INDEX(B1298:B$2,-1+SUMPRODUCT(MAX(ROW(E1298:E$2)*(E1299=E1298:E$2)))))</f>
        <v> </v>
      </c>
      <c r="J1299" s="25" t="str">
        <f>IF(OR(E1299="",E1299="!!!",F1299="NEW"),"",COUNTBLANK(OFFSET(A$1,,,SUMPRODUCT(MAX(ROW(E$2:E1299)*(E1299=E$2:E1299)))))-COUNTBLANK(OFFSET(A$1,,,SUMPRODUCT(MAX(ROW(E$1:E1298)*(E2=E$1:E1298))))))</f>
        <v> </v>
      </c>
      <c r="K1299" s="25" t="str">
        <f>IF(OR(E1299="",E1299="!!!",F1299="NEW"),"",INDEX(J$1:J1298,SUMPRODUCT(MAX(ROW(E$1:E1298)*(E1299=E$1:E1298)))))</f>
        <v> </v>
      </c>
      <c r="L1299" s="26"/>
    </row>
    <row r="1300" spans="1:12">
      <c r="A1300" s="20" t="s">
        <v>1231</v>
      </c>
      <c r="E1300" s="21">
        <f>IF(D1300="?OLD","!!!","")</f>
        <v/>
      </c>
      <c r="F1300" s="22" t="str">
        <f>IF(OR(E1300="",E1300="!!!"),"",IF(NOT(ISNA(VLOOKUP(E1300,E$1:E1299,1,FALSE()))),"OLD",IF(AND(E1300&lt;&gt;"",E1300&lt;&gt;"!!!"),"NEW","")))</f>
        <v> </v>
      </c>
      <c r="G1300" s="23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24" t="str">
        <f>IF(J1300&lt;&gt;1,"",IF(I1300="SBJ","CB","?"))</f>
        <v> </v>
      </c>
      <c r="I1300" s="25" t="str">
        <f>IF(OR(E1300="",E1300="!!!",F1300="NEW"),"",INDEX(B1299:B$2,-1+SUMPRODUCT(MAX(ROW(E1299:E$2)*(E1300=E1299:E$2)))))</f>
        <v> </v>
      </c>
      <c r="J1300" s="25" t="str">
        <f>IF(OR(E1300="",E1300="!!!",F1300="NEW"),"",COUNTBLANK(OFFSET(A$1,,,SUMPRODUCT(MAX(ROW(E$2:E1300)*(E1300=E$2:E1300)))))-COUNTBLANK(OFFSET(A$1,,,SUMPRODUCT(MAX(ROW(E$1:E1299)*(E2=E$1:E1299))))))</f>
        <v> </v>
      </c>
      <c r="K1300" s="25" t="str">
        <f>IF(OR(E1300="",E1300="!!!",F1300="NEW"),"",INDEX(J$1:J1299,SUMPRODUCT(MAX(ROW(E$1:E1299)*(E1300=E$1:E1299)))))</f>
        <v> </v>
      </c>
      <c r="L1300" s="26"/>
    </row>
    <row r="1301" spans="1:12">
      <c r="A1301" s="20" t="s">
        <v>1815</v>
      </c>
      <c r="E1301" s="21">
        <f>IF(D1301="?OLD","!!!","")</f>
        <v/>
      </c>
      <c r="F1301" s="22" t="str">
        <f>IF(OR(E1301="",E1301="!!!"),"",IF(NOT(ISNA(VLOOKUP(E1301,E$1:E1300,1,FALSE()))),"OLD",IF(AND(E1301&lt;&gt;"",E1301&lt;&gt;"!!!"),"NEW","")))</f>
        <v> </v>
      </c>
      <c r="G1301" s="23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24" t="str">
        <f>IF(J1301&lt;&gt;1,"",IF(I1301="SBJ","CB","?"))</f>
        <v> </v>
      </c>
      <c r="I1301" s="25" t="str">
        <f>IF(OR(E1301="",E1301="!!!",F1301="NEW"),"",INDEX(B1300:B$2,-1+SUMPRODUCT(MAX(ROW(E1300:E$2)*(E1301=E1300:E$2)))))</f>
        <v> </v>
      </c>
      <c r="J1301" s="25" t="str">
        <f>IF(OR(E1301="",E1301="!!!",F1301="NEW"),"",COUNTBLANK(OFFSET(A$1,,,SUMPRODUCT(MAX(ROW(E$2:E1301)*(E1301=E$2:E1301)))))-COUNTBLANK(OFFSET(A$1,,,SUMPRODUCT(MAX(ROW(E$1:E1300)*(E2=E$1:E1300))))))</f>
        <v> </v>
      </c>
      <c r="K1301" s="25" t="str">
        <f>IF(OR(E1301="",E1301="!!!",F1301="NEW"),"",INDEX(J$1:J1300,SUMPRODUCT(MAX(ROW(E$1:E1300)*(E1301=E$1:E1300)))))</f>
        <v> </v>
      </c>
      <c r="L1301" s="26"/>
    </row>
    <row r="1302" spans="1:12">
      <c r="A1302" s="20" t="s">
        <v>1123</v>
      </c>
      <c r="E1302" s="21">
        <f>IF(D1302="?OLD","!!!","")</f>
        <v/>
      </c>
      <c r="F1302" s="22" t="str">
        <f>IF(OR(E1302="",E1302="!!!"),"",IF(NOT(ISNA(VLOOKUP(E1302,E$1:E1301,1,FALSE()))),"OLD",IF(AND(E1302&lt;&gt;"",E1302&lt;&gt;"!!!"),"NEW","")))</f>
        <v> </v>
      </c>
      <c r="G1302" s="23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24" t="str">
        <f>IF(J1302&lt;&gt;1,"",IF(I1302="SBJ","CB","?"))</f>
        <v> </v>
      </c>
      <c r="I1302" s="25" t="str">
        <f>IF(OR(E1302="",E1302="!!!",F1302="NEW"),"",INDEX(B1301:B$2,-1+SUMPRODUCT(MAX(ROW(E1301:E$2)*(E1302=E1301:E$2)))))</f>
        <v> </v>
      </c>
      <c r="J1302" s="25" t="str">
        <f>IF(OR(E1302="",E1302="!!!",F1302="NEW"),"",COUNTBLANK(OFFSET(A$1,,,SUMPRODUCT(MAX(ROW(E$2:E1302)*(E1302=E$2:E1302)))))-COUNTBLANK(OFFSET(A$1,,,SUMPRODUCT(MAX(ROW(E$1:E1301)*(E2=E$1:E1301))))))</f>
        <v> </v>
      </c>
      <c r="K1302" s="25" t="str">
        <f>IF(OR(E1302="",E1302="!!!",F1302="NEW"),"",INDEX(J$1:J1301,SUMPRODUCT(MAX(ROW(E$1:E1301)*(E1302=E$1:E1301)))))</f>
        <v> </v>
      </c>
      <c r="L1302" s="26"/>
    </row>
    <row r="1303" spans="1:12">
      <c r="A1303" s="20" t="s">
        <v>1201</v>
      </c>
      <c r="E1303" s="21">
        <f>IF(D1303="?OLD","!!!","")</f>
        <v/>
      </c>
      <c r="F1303" s="22" t="str">
        <f>IF(OR(E1303="",E1303="!!!"),"",IF(NOT(ISNA(VLOOKUP(E1303,E$1:E1302,1,FALSE()))),"OLD",IF(AND(E1303&lt;&gt;"",E1303&lt;&gt;"!!!"),"NEW","")))</f>
        <v> </v>
      </c>
      <c r="G1303" s="23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4" t="str">
        <f>IF(J1303&lt;&gt;1,"",IF(I1303="SBJ","CB","?"))</f>
        <v> </v>
      </c>
      <c r="I1303" s="25" t="str">
        <f>IF(OR(E1303="",E1303="!!!",F1303="NEW"),"",INDEX(B1302:B$2,-1+SUMPRODUCT(MAX(ROW(E1302:E$2)*(E1303=E1302:E$2)))))</f>
        <v> </v>
      </c>
      <c r="J1303" s="25" t="str">
        <f>IF(OR(E1303="",E1303="!!!",F1303="NEW"),"",COUNTBLANK(OFFSET(A$1,,,SUMPRODUCT(MAX(ROW(E$2:E1303)*(E1303=E$2:E1303)))))-COUNTBLANK(OFFSET(A$1,,,SUMPRODUCT(MAX(ROW(E$1:E1302)*(E2=E$1:E1302))))))</f>
        <v> </v>
      </c>
      <c r="K1303" s="25" t="str">
        <f>IF(OR(E1303="",E1303="!!!",F1303="NEW"),"",INDEX(J$1:J1302,SUMPRODUCT(MAX(ROW(E$1:E1302)*(E1303=E$1:E1302)))))</f>
        <v> </v>
      </c>
      <c r="L1303" s="26"/>
    </row>
    <row r="1304" spans="1:12">
      <c r="A1304" s="20" t="s">
        <v>1653</v>
      </c>
      <c r="B1304" s="27" t="s">
        <v>1110</v>
      </c>
      <c r="C1304" s="27" t="s">
        <v>1133</v>
      </c>
      <c r="E1304" s="21">
        <f>IF(D1304="?OLD","!!!","")</f>
        <v/>
      </c>
      <c r="F1304" s="22" t="str">
        <f>IF(OR(E1304="",E1304="!!!"),"",IF(NOT(ISNA(VLOOKUP(E1304,E$1:E1303,1,FALSE()))),"OLD",IF(AND(E1304&lt;&gt;"",E1304&lt;&gt;"!!!"),"NEW","")))</f>
        <v> </v>
      </c>
      <c r="G1304" s="23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24" t="str">
        <f>IF(J1304&lt;&gt;1,"",IF(I1304="SBJ","CB","?"))</f>
        <v> </v>
      </c>
      <c r="I1304" s="25" t="str">
        <f>IF(OR(E1304="",E1304="!!!",F1304="NEW"),"",INDEX(B1303:B$2,-1+SUMPRODUCT(MAX(ROW(E1303:E$2)*(E1304=E1303:E$2)))))</f>
        <v> </v>
      </c>
      <c r="J1304" s="25" t="str">
        <f>IF(OR(E1304="",E1304="!!!",F1304="NEW"),"",COUNTBLANK(OFFSET(A$1,,,SUMPRODUCT(MAX(ROW(E$2:E1304)*(E1304=E$2:E1304)))))-COUNTBLANK(OFFSET(A$1,,,SUMPRODUCT(MAX(ROW(E$1:E1303)*(E2=E$1:E1303))))))</f>
        <v> </v>
      </c>
      <c r="K1304" s="25" t="str">
        <f>IF(OR(E1304="",E1304="!!!",F1304="NEW"),"",INDEX(J$1:J1303,SUMPRODUCT(MAX(ROW(E$1:E1303)*(E1304=E$1:E1303)))))</f>
        <v> </v>
      </c>
      <c r="L1304" s="26"/>
    </row>
    <row r="1305" spans="1:12">
      <c r="A1305" s="20" t="s">
        <v>1217</v>
      </c>
      <c r="B1305" s="27" t="s">
        <v>1259</v>
      </c>
      <c r="C1305" s="27" t="s">
        <v>1126</v>
      </c>
      <c r="D1305" s="27" t="s">
        <v>1105</v>
      </c>
      <c r="E1305" s="21">
        <f>IF(D1305="?OLD","!!!","")</f>
        <v/>
      </c>
      <c r="F1305" s="22" t="str">
        <f>IF(OR(E1305="",E1305="!!!"),"",IF(NOT(ISNA(VLOOKUP(E1305,E$1:E1304,1,FALSE()))),"OLD",IF(AND(E1305&lt;&gt;"",E1305&lt;&gt;"!!!"),"NEW","")))</f>
        <v> </v>
      </c>
      <c r="G1305" s="23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24" t="str">
        <f>IF(J1305&lt;&gt;1,"",IF(I1305="SBJ","CB","?"))</f>
        <v> </v>
      </c>
      <c r="I1305" s="25" t="str">
        <f>IF(OR(E1305="",E1305="!!!",F1305="NEW"),"",INDEX(B1304:B$2,-1+SUMPRODUCT(MAX(ROW(E1304:E$2)*(E1305=E1304:E$2)))))</f>
        <v> </v>
      </c>
      <c r="J1305" s="25" t="str">
        <f>IF(OR(E1305="",E1305="!!!",F1305="NEW"),"",COUNTBLANK(OFFSET(A$1,,,SUMPRODUCT(MAX(ROW(E$2:E1305)*(E1305=E$2:E1305)))))-COUNTBLANK(OFFSET(A$1,,,SUMPRODUCT(MAX(ROW(E$1:E1304)*(E2=E$1:E1304))))))</f>
        <v> </v>
      </c>
      <c r="K1305" s="25" t="str">
        <f>IF(OR(E1305="",E1305="!!!",F1305="NEW"),"",INDEX(J$1:J1304,SUMPRODUCT(MAX(ROW(E$1:E1304)*(E1305=E$1:E1304)))))</f>
        <v> </v>
      </c>
      <c r="L1305" s="26"/>
    </row>
    <row r="1306" spans="1:12">
      <c r="A1306" s="20" t="s">
        <v>1522</v>
      </c>
      <c r="E1306" s="21">
        <f>IF(D1306="?OLD","!!!","")</f>
        <v/>
      </c>
      <c r="F1306" s="22" t="str">
        <f>IF(OR(E1306="",E1306="!!!"),"",IF(NOT(ISNA(VLOOKUP(E1306,E$1:E1305,1,FALSE()))),"OLD",IF(AND(E1306&lt;&gt;"",E1306&lt;&gt;"!!!"),"NEW","")))</f>
        <v> </v>
      </c>
      <c r="G1306" s="23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24" t="str">
        <f>IF(J1306&lt;&gt;1,"",IF(I1306="SBJ","CB","?"))</f>
        <v> </v>
      </c>
      <c r="I1306" s="25" t="str">
        <f>IF(OR(E1306="",E1306="!!!",F1306="NEW"),"",INDEX(B1305:B$2,-1+SUMPRODUCT(MAX(ROW(E1305:E$2)*(E1306=E1305:E$2)))))</f>
        <v> </v>
      </c>
      <c r="J1306" s="25" t="str">
        <f>IF(OR(E1306="",E1306="!!!",F1306="NEW"),"",COUNTBLANK(OFFSET(A$1,,,SUMPRODUCT(MAX(ROW(E$2:E1306)*(E1306=E$2:E1306)))))-COUNTBLANK(OFFSET(A$1,,,SUMPRODUCT(MAX(ROW(E$1:E1305)*(E2=E$1:E1305))))))</f>
        <v> </v>
      </c>
      <c r="K1306" s="25" t="str">
        <f>IF(OR(E1306="",E1306="!!!",F1306="NEW"),"",INDEX(J$1:J1305,SUMPRODUCT(MAX(ROW(E$1:E1305)*(E1306=E$1:E1305)))))</f>
        <v> </v>
      </c>
      <c r="L1306" s="26"/>
    </row>
    <row r="1307" spans="1:12">
      <c r="A1307" s="20" t="s">
        <v>1123</v>
      </c>
      <c r="E1307" s="21">
        <f>IF(D1307="?OLD","!!!","")</f>
        <v/>
      </c>
      <c r="F1307" s="22" t="str">
        <f>IF(OR(E1307="",E1307="!!!"),"",IF(NOT(ISNA(VLOOKUP(E1307,E$1:E1306,1,FALSE()))),"OLD",IF(AND(E1307&lt;&gt;"",E1307&lt;&gt;"!!!"),"NEW","")))</f>
        <v> </v>
      </c>
      <c r="G1307" s="23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 </v>
      </c>
      <c r="H1307" s="24" t="str">
        <f>IF(J1307&lt;&gt;1,"",IF(I1307="SBJ","CB","?"))</f>
        <v> </v>
      </c>
      <c r="I1307" s="25" t="str">
        <f>IF(OR(E1307="",E1307="!!!",F1307="NEW"),"",INDEX(B1306:B$2,-1+SUMPRODUCT(MAX(ROW(E1306:E$2)*(E1307=E1306:E$2)))))</f>
        <v> </v>
      </c>
      <c r="J1307" s="25" t="str">
        <f>IF(OR(E1307="",E1307="!!!",F1307="NEW"),"",COUNTBLANK(OFFSET(A$1,,,SUMPRODUCT(MAX(ROW(E$2:E1307)*(E1307=E$2:E1307)))))-COUNTBLANK(OFFSET(A$1,,,SUMPRODUCT(MAX(ROW(E$1:E1306)*(E2=E$1:E1306))))))</f>
        <v> </v>
      </c>
      <c r="K1307" s="25" t="str">
        <f>IF(OR(E1307="",E1307="!!!",F1307="NEW"),"",INDEX(J$1:J1306,SUMPRODUCT(MAX(ROW(E$1:E1306)*(E1307=E$1:E1306)))))</f>
        <v> </v>
      </c>
      <c r="L1307" s="26"/>
    </row>
    <row r="1308" spans="1:12">
      <c r="A1308" s="20" t="s">
        <v>1128</v>
      </c>
      <c r="E1308" s="21">
        <f>IF(D1308="?OLD","!!!","")</f>
        <v/>
      </c>
      <c r="F1308" s="22" t="str">
        <f>IF(OR(E1308="",E1308="!!!"),"",IF(NOT(ISNA(VLOOKUP(E1308,E$1:E1307,1,FALSE()))),"OLD",IF(AND(E1308&lt;&gt;"",E1308&lt;&gt;"!!!"),"NEW","")))</f>
        <v> </v>
      </c>
      <c r="G1308" s="23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> </v>
      </c>
      <c r="H1308" s="24" t="str">
        <f>IF(J1308&lt;&gt;1,"",IF(I1308="SBJ","CB","?"))</f>
        <v> </v>
      </c>
      <c r="I1308" s="25" t="str">
        <f>IF(OR(E1308="",E1308="!!!",F1308="NEW"),"",INDEX(B1307:B$2,-1+SUMPRODUCT(MAX(ROW(E1307:E$2)*(E1308=E1307:E$2)))))</f>
        <v> </v>
      </c>
      <c r="J1308" s="25" t="str">
        <f>IF(OR(E1308="",E1308="!!!",F1308="NEW"),"",COUNTBLANK(OFFSET(A$1,,,SUMPRODUCT(MAX(ROW(E$2:E1308)*(E1308=E$2:E1308)))))-COUNTBLANK(OFFSET(A$1,,,SUMPRODUCT(MAX(ROW(E$1:E1307)*(E2=E$1:E1307))))))</f>
        <v> </v>
      </c>
      <c r="K1308" s="25" t="str">
        <f>IF(OR(E1308="",E1308="!!!",F1308="NEW"),"",INDEX(J$1:J1307,SUMPRODUCT(MAX(ROW(E$1:E1307)*(E1308=E$1:E1307)))))</f>
        <v> </v>
      </c>
      <c r="L1308" s="26"/>
    </row>
    <row r="1309" spans="1:12">
      <c r="A1309" s="20" t="s">
        <v>1816</v>
      </c>
      <c r="E1309" s="21">
        <f>IF(D1309="?OLD","!!!","")</f>
        <v/>
      </c>
      <c r="F1309" s="22" t="str">
        <f>IF(OR(E1309="",E1309="!!!"),"",IF(NOT(ISNA(VLOOKUP(E1309,E$1:E1308,1,FALSE()))),"OLD",IF(AND(E1309&lt;&gt;"",E1309&lt;&gt;"!!!"),"NEW","")))</f>
        <v> </v>
      </c>
      <c r="G1309" s="23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 </v>
      </c>
      <c r="H1309" s="24" t="str">
        <f>IF(J1309&lt;&gt;1,"",IF(I1309="SBJ","CB","?"))</f>
        <v> </v>
      </c>
      <c r="I1309" s="25" t="str">
        <f>IF(OR(E1309="",E1309="!!!",F1309="NEW"),"",INDEX(B1308:B$2,-1+SUMPRODUCT(MAX(ROW(E1308:E$2)*(E1309=E1308:E$2)))))</f>
        <v> </v>
      </c>
      <c r="J1309" s="25" t="str">
        <f>IF(OR(E1309="",E1309="!!!",F1309="NEW"),"",COUNTBLANK(OFFSET(A$1,,,SUMPRODUCT(MAX(ROW(E$2:E1309)*(E1309=E$2:E1309)))))-COUNTBLANK(OFFSET(A$1,,,SUMPRODUCT(MAX(ROW(E$1:E1308)*(E2=E$1:E1308))))))</f>
        <v> </v>
      </c>
      <c r="K1309" s="25" t="str">
        <f>IF(OR(E1309="",E1309="!!!",F1309="NEW"),"",INDEX(J$1:J1308,SUMPRODUCT(MAX(ROW(E$1:E1308)*(E1309=E$1:E1308)))))</f>
        <v> </v>
      </c>
      <c r="L1309" s="26"/>
    </row>
    <row r="1310" spans="1:12">
      <c r="A1310" s="20" t="s">
        <v>1817</v>
      </c>
      <c r="E1310" s="21">
        <f>IF(D1310="?OLD","!!!","")</f>
        <v/>
      </c>
      <c r="F1310" s="22" t="str">
        <f>IF(OR(E1310="",E1310="!!!"),"",IF(NOT(ISNA(VLOOKUP(E1310,E$1:E1309,1,FALSE()))),"OLD",IF(AND(E1310&lt;&gt;"",E1310&lt;&gt;"!!!"),"NEW","")))</f>
        <v> </v>
      </c>
      <c r="G1310" s="23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> </v>
      </c>
      <c r="H1310" s="24" t="str">
        <f>IF(J1310&lt;&gt;1,"",IF(I1310="SBJ","CB","?"))</f>
        <v> </v>
      </c>
      <c r="I1310" s="25" t="str">
        <f>IF(OR(E1310="",E1310="!!!",F1310="NEW"),"",INDEX(B1309:B$2,-1+SUMPRODUCT(MAX(ROW(E1309:E$2)*(E1310=E1309:E$2)))))</f>
        <v> </v>
      </c>
      <c r="J1310" s="25" t="str">
        <f>IF(OR(E1310="",E1310="!!!",F1310="NEW"),"",COUNTBLANK(OFFSET(A$1,,,SUMPRODUCT(MAX(ROW(E$2:E1310)*(E1310=E$2:E1310)))))-COUNTBLANK(OFFSET(A$1,,,SUMPRODUCT(MAX(ROW(E$1:E1309)*(E2=E$1:E1309))))))</f>
        <v> </v>
      </c>
      <c r="K1310" s="25" t="str">
        <f>IF(OR(E1310="",E1310="!!!",F1310="NEW"),"",INDEX(J$1:J1309,SUMPRODUCT(MAX(ROW(E$1:E1309)*(E1310=E$1:E1309)))))</f>
        <v> </v>
      </c>
      <c r="L1310" s="26"/>
    </row>
    <row r="1311" spans="1:12">
      <c r="A1311" s="20" t="s">
        <v>1195</v>
      </c>
      <c r="E1311" s="21">
        <f>IF(D1311="?OLD","!!!","")</f>
        <v/>
      </c>
      <c r="F1311" s="22" t="str">
        <f>IF(OR(E1311="",E1311="!!!"),"",IF(NOT(ISNA(VLOOKUP(E1311,E$1:E1310,1,FALSE()))),"OLD",IF(AND(E1311&lt;&gt;"",E1311&lt;&gt;"!!!"),"NEW","")))</f>
        <v> </v>
      </c>
      <c r="G1311" s="23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 </v>
      </c>
      <c r="H1311" s="24" t="str">
        <f>IF(J1311&lt;&gt;1,"",IF(I1311="SBJ","CB","?"))</f>
        <v> </v>
      </c>
      <c r="I1311" s="25" t="str">
        <f>IF(OR(E1311="",E1311="!!!",F1311="NEW"),"",INDEX(B1310:B$2,-1+SUMPRODUCT(MAX(ROW(E1310:E$2)*(E1311=E1310:E$2)))))</f>
        <v> </v>
      </c>
      <c r="J1311" s="25" t="str">
        <f>IF(OR(E1311="",E1311="!!!",F1311="NEW"),"",COUNTBLANK(OFFSET(A$1,,,SUMPRODUCT(MAX(ROW(E$2:E1311)*(E1311=E$2:E1311)))))-COUNTBLANK(OFFSET(A$1,,,SUMPRODUCT(MAX(ROW(E$1:E1310)*(E2=E$1:E1310))))))</f>
        <v> </v>
      </c>
      <c r="K1311" s="25" t="str">
        <f>IF(OR(E1311="",E1311="!!!",F1311="NEW"),"",INDEX(J$1:J1310,SUMPRODUCT(MAX(ROW(E$1:E1310)*(E1311=E$1:E1310)))))</f>
        <v> </v>
      </c>
      <c r="L1311" s="26"/>
    </row>
    <row r="1312" spans="1:12">
      <c r="A1312" s="20" t="s">
        <v>1818</v>
      </c>
      <c r="E1312" s="21">
        <f>IF(D1312="?OLD","!!!","")</f>
        <v/>
      </c>
      <c r="F1312" s="22" t="str">
        <f>IF(OR(E1312="",E1312="!!!"),"",IF(NOT(ISNA(VLOOKUP(E1312,E$1:E1311,1,FALSE()))),"OLD",IF(AND(E1312&lt;&gt;"",E1312&lt;&gt;"!!!"),"NEW","")))</f>
        <v> </v>
      </c>
      <c r="G1312" s="23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24" t="str">
        <f>IF(J1312&lt;&gt;1,"",IF(I1312="SBJ","CB","?"))</f>
        <v> </v>
      </c>
      <c r="I1312" s="25" t="str">
        <f>IF(OR(E1312="",E1312="!!!",F1312="NEW"),"",INDEX(B1311:B$2,-1+SUMPRODUCT(MAX(ROW(E1311:E$2)*(E1312=E1311:E$2)))))</f>
        <v> </v>
      </c>
      <c r="J1312" s="25" t="str">
        <f>IF(OR(E1312="",E1312="!!!",F1312="NEW"),"",COUNTBLANK(OFFSET(A$1,,,SUMPRODUCT(MAX(ROW(E$2:E1312)*(E1312=E$2:E1312)))))-COUNTBLANK(OFFSET(A$1,,,SUMPRODUCT(MAX(ROW(E$1:E1311)*(E2=E$1:E1311))))))</f>
        <v> </v>
      </c>
      <c r="K1312" s="25" t="str">
        <f>IF(OR(E1312="",E1312="!!!",F1312="NEW"),"",INDEX(J$1:J1311,SUMPRODUCT(MAX(ROW(E$1:E1311)*(E1312=E$1:E1311)))))</f>
        <v> </v>
      </c>
      <c r="L1312" s="26"/>
    </row>
    <row r="1313" spans="1:12">
      <c r="A1313" s="20" t="s">
        <v>1819</v>
      </c>
      <c r="E1313" s="21">
        <f>IF(D1313="?OLD","!!!","")</f>
        <v/>
      </c>
      <c r="F1313" s="22" t="str">
        <f>IF(OR(E1313="",E1313="!!!"),"",IF(NOT(ISNA(VLOOKUP(E1313,E$1:E1312,1,FALSE()))),"OLD",IF(AND(E1313&lt;&gt;"",E1313&lt;&gt;"!!!"),"NEW","")))</f>
        <v> </v>
      </c>
      <c r="G1313" s="23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24" t="str">
        <f>IF(J1313&lt;&gt;1,"",IF(I1313="SBJ","CB","?"))</f>
        <v> </v>
      </c>
      <c r="I1313" s="25" t="str">
        <f>IF(OR(E1313="",E1313="!!!",F1313="NEW"),"",INDEX(B1312:B$2,-1+SUMPRODUCT(MAX(ROW(E1312:E$2)*(E1313=E1312:E$2)))))</f>
        <v> </v>
      </c>
      <c r="J1313" s="25" t="str">
        <f>IF(OR(E1313="",E1313="!!!",F1313="NEW"),"",COUNTBLANK(OFFSET(A$1,,,SUMPRODUCT(MAX(ROW(E$2:E1313)*(E1313=E$2:E1313)))))-COUNTBLANK(OFFSET(A$1,,,SUMPRODUCT(MAX(ROW(E$1:E1312)*(E2=E$1:E1312))))))</f>
        <v> </v>
      </c>
      <c r="K1313" s="25" t="str">
        <f>IF(OR(E1313="",E1313="!!!",F1313="NEW"),"",INDEX(J$1:J1312,SUMPRODUCT(MAX(ROW(E$1:E1312)*(E1313=E$1:E1312)))))</f>
        <v> </v>
      </c>
      <c r="L1313" s="26"/>
    </row>
    <row r="1314" spans="1:12">
      <c r="A1314" s="20" t="s">
        <v>1820</v>
      </c>
      <c r="E1314" s="21">
        <f>IF(D1314="?OLD","!!!","")</f>
        <v/>
      </c>
      <c r="F1314" s="22" t="str">
        <f>IF(OR(E1314="",E1314="!!!"),"",IF(NOT(ISNA(VLOOKUP(E1314,E$1:E1313,1,FALSE()))),"OLD",IF(AND(E1314&lt;&gt;"",E1314&lt;&gt;"!!!"),"NEW","")))</f>
        <v> </v>
      </c>
      <c r="G1314" s="23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> </v>
      </c>
      <c r="H1314" s="24" t="str">
        <f>IF(J1314&lt;&gt;1,"",IF(I1314="SBJ","CB","?"))</f>
        <v> </v>
      </c>
      <c r="I1314" s="25" t="str">
        <f>IF(OR(E1314="",E1314="!!!",F1314="NEW"),"",INDEX(B1313:B$2,-1+SUMPRODUCT(MAX(ROW(E1313:E$2)*(E1314=E1313:E$2)))))</f>
        <v> </v>
      </c>
      <c r="J1314" s="25" t="str">
        <f>IF(OR(E1314="",E1314="!!!",F1314="NEW"),"",COUNTBLANK(OFFSET(A$1,,,SUMPRODUCT(MAX(ROW(E$2:E1314)*(E1314=E$2:E1314)))))-COUNTBLANK(OFFSET(A$1,,,SUMPRODUCT(MAX(ROW(E$1:E1313)*(E2=E$1:E1313))))))</f>
        <v> </v>
      </c>
      <c r="K1314" s="25" t="str">
        <f>IF(OR(E1314="",E1314="!!!",F1314="NEW"),"",INDEX(J$1:J1313,SUMPRODUCT(MAX(ROW(E$1:E1313)*(E1314=E$1:E1313)))))</f>
        <v> </v>
      </c>
      <c r="L1314" s="26"/>
    </row>
    <row r="1315" spans="1:12">
      <c r="A1315" s="20" t="s">
        <v>1145</v>
      </c>
      <c r="E1315" s="21">
        <f>IF(D1315="?OLD","!!!","")</f>
        <v/>
      </c>
      <c r="F1315" s="22" t="str">
        <f>IF(OR(E1315="",E1315="!!!"),"",IF(NOT(ISNA(VLOOKUP(E1315,E$1:E1314,1,FALSE()))),"OLD",IF(AND(E1315&lt;&gt;"",E1315&lt;&gt;"!!!"),"NEW","")))</f>
        <v> </v>
      </c>
      <c r="G1315" s="23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> </v>
      </c>
      <c r="H1315" s="24" t="str">
        <f>IF(J1315&lt;&gt;1,"",IF(I1315="SBJ","CB","?"))</f>
        <v> </v>
      </c>
      <c r="I1315" s="25" t="str">
        <f>IF(OR(E1315="",E1315="!!!",F1315="NEW"),"",INDEX(B1314:B$2,-1+SUMPRODUCT(MAX(ROW(E1314:E$2)*(E1315=E1314:E$2)))))</f>
        <v> </v>
      </c>
      <c r="J1315" s="25" t="str">
        <f>IF(OR(E1315="",E1315="!!!",F1315="NEW"),"",COUNTBLANK(OFFSET(A$1,,,SUMPRODUCT(MAX(ROW(E$2:E1315)*(E1315=E$2:E1315)))))-COUNTBLANK(OFFSET(A$1,,,SUMPRODUCT(MAX(ROW(E$1:E1314)*(E2=E$1:E1314))))))</f>
        <v> </v>
      </c>
      <c r="K1315" s="25" t="str">
        <f>IF(OR(E1315="",E1315="!!!",F1315="NEW"),"",INDEX(J$1:J1314,SUMPRODUCT(MAX(ROW(E$1:E1314)*(E1315=E$1:E1314)))))</f>
        <v> </v>
      </c>
      <c r="L1315" s="26"/>
    </row>
    <row r="1316" spans="1:12">
      <c r="A1316" s="20"/>
    </row>
    <row r="1317" spans="1:12">
      <c r="A1317" s="20" t="s">
        <v>1821</v>
      </c>
    </row>
    <row r="1318" spans="1:12">
      <c r="A1318" s="20" t="s">
        <v>1111</v>
      </c>
      <c r="E1318" s="21">
        <f>IF(D1318="?OLD","!!!","")</f>
        <v/>
      </c>
      <c r="F1318" s="22" t="str">
        <f>IF(OR(E1318="",E1318="!!!"),"",IF(NOT(ISNA(VLOOKUP(E1318,E$1:E1317,1,FALSE()))),"OLD",IF(AND(E1318&lt;&gt;"",E1318&lt;&gt;"!!!"),"NEW","")))</f>
        <v> </v>
      </c>
      <c r="G1318" s="23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 </v>
      </c>
      <c r="H1318" s="24" t="str">
        <f>IF(J1318&lt;&gt;1,"",IF(I1318="SBJ","CB","?"))</f>
        <v> </v>
      </c>
      <c r="I1318" s="25" t="str">
        <f>IF(OR(E1318="",E1318="!!!",F1318="NEW"),"",INDEX(B1317:B$2,-1+SUMPRODUCT(MAX(ROW(E1317:E$2)*(E1318=E1317:E$2)))))</f>
        <v> </v>
      </c>
      <c r="J1318" s="25" t="str">
        <f>IF(OR(E1318="",E1318="!!!",F1318="NEW"),"",COUNTBLANK(OFFSET(A$1,,,SUMPRODUCT(MAX(ROW(E$2:E1318)*(E1318=E$2:E1318)))))-COUNTBLANK(OFFSET(A$1,,,SUMPRODUCT(MAX(ROW(E$1:E1317)*(E2=E$1:E1317))))))</f>
        <v> </v>
      </c>
      <c r="K1318" s="25" t="str">
        <f>IF(OR(E1318="",E1318="!!!",F1318="NEW"),"",INDEX(J$1:J1317,SUMPRODUCT(MAX(ROW(E$1:E1317)*(E1318=E$1:E1317)))))</f>
        <v> </v>
      </c>
      <c r="L1318" s="26"/>
    </row>
    <row r="1319" spans="1:12">
      <c r="A1319" s="20" t="s">
        <v>1822</v>
      </c>
      <c r="E1319" s="21">
        <f>IF(D1319="?OLD","!!!","")</f>
        <v/>
      </c>
      <c r="F1319" s="22" t="str">
        <f>IF(OR(E1319="",E1319="!!!"),"",IF(NOT(ISNA(VLOOKUP(E1319,E$1:E1318,1,FALSE()))),"OLD",IF(AND(E1319&lt;&gt;"",E1319&lt;&gt;"!!!"),"NEW","")))</f>
        <v> </v>
      </c>
      <c r="G1319" s="23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> </v>
      </c>
      <c r="H1319" s="24" t="str">
        <f>IF(J1319&lt;&gt;1,"",IF(I1319="SBJ","CB","?"))</f>
        <v> </v>
      </c>
      <c r="I1319" s="25" t="str">
        <f>IF(OR(E1319="",E1319="!!!",F1319="NEW"),"",INDEX(B1318:B$2,-1+SUMPRODUCT(MAX(ROW(E1318:E$2)*(E1319=E1318:E$2)))))</f>
        <v> </v>
      </c>
      <c r="J1319" s="25" t="str">
        <f>IF(OR(E1319="",E1319="!!!",F1319="NEW"),"",COUNTBLANK(OFFSET(A$1,,,SUMPRODUCT(MAX(ROW(E$2:E1319)*(E1319=E$2:E1319)))))-COUNTBLANK(OFFSET(A$1,,,SUMPRODUCT(MAX(ROW(E$1:E1318)*(E2=E$1:E1318))))))</f>
        <v> </v>
      </c>
      <c r="K1319" s="25" t="str">
        <f>IF(OR(E1319="",E1319="!!!",F1319="NEW"),"",INDEX(J$1:J1318,SUMPRODUCT(MAX(ROW(E$1:E1318)*(E1319=E$1:E1318)))))</f>
        <v> </v>
      </c>
      <c r="L1319" s="26"/>
    </row>
    <row r="1320" spans="1:12">
      <c r="A1320" s="20" t="s">
        <v>1124</v>
      </c>
      <c r="B1320" s="27" t="s">
        <v>1122</v>
      </c>
      <c r="C1320" s="27" t="s">
        <v>1126</v>
      </c>
      <c r="D1320" s="27" t="s">
        <v>1105</v>
      </c>
      <c r="E1320" s="21">
        <f>IF(D1320="?OLD","!!!","")</f>
        <v/>
      </c>
      <c r="F1320" s="22" t="str">
        <f>IF(OR(E1320="",E1320="!!!"),"",IF(NOT(ISNA(VLOOKUP(E1320,E$1:E1319,1,FALSE()))),"OLD",IF(AND(E1320&lt;&gt;"",E1320&lt;&gt;"!!!"),"NEW","")))</f>
        <v> </v>
      </c>
      <c r="G1320" s="23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24" t="str">
        <f>IF(J1320&lt;&gt;1,"",IF(I1320="SBJ","CB","?"))</f>
        <v> </v>
      </c>
      <c r="I1320" s="25" t="str">
        <f>IF(OR(E1320="",E1320="!!!",F1320="NEW"),"",INDEX(B1319:B$2,-1+SUMPRODUCT(MAX(ROW(E1319:E$2)*(E1320=E1319:E$2)))))</f>
        <v> </v>
      </c>
      <c r="J1320" s="25" t="str">
        <f>IF(OR(E1320="",E1320="!!!",F1320="NEW"),"",COUNTBLANK(OFFSET(A$1,,,SUMPRODUCT(MAX(ROW(E$2:E1320)*(E1320=E$2:E1320)))))-COUNTBLANK(OFFSET(A$1,,,SUMPRODUCT(MAX(ROW(E$1:E1319)*(E2=E$1:E1319))))))</f>
        <v> </v>
      </c>
      <c r="K1320" s="25" t="str">
        <f>IF(OR(E1320="",E1320="!!!",F1320="NEW"),"",INDEX(J$1:J1319,SUMPRODUCT(MAX(ROW(E$1:E1319)*(E1320=E$1:E1319)))))</f>
        <v> </v>
      </c>
      <c r="L1320" s="26"/>
    </row>
    <row r="1321" spans="1:12">
      <c r="A1321" s="20" t="s">
        <v>1134</v>
      </c>
      <c r="E1321" s="21">
        <f>IF(D1321="?OLD","!!!","")</f>
        <v/>
      </c>
      <c r="F1321" s="22" t="str">
        <f>IF(OR(E1321="",E1321="!!!"),"",IF(NOT(ISNA(VLOOKUP(E1321,E$1:E1320,1,FALSE()))),"OLD",IF(AND(E1321&lt;&gt;"",E1321&lt;&gt;"!!!"),"NEW","")))</f>
        <v> </v>
      </c>
      <c r="G1321" s="23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4" t="str">
        <f>IF(J1321&lt;&gt;1,"",IF(I1321="SBJ","CB","?"))</f>
        <v> </v>
      </c>
      <c r="I1321" s="25" t="str">
        <f>IF(OR(E1321="",E1321="!!!",F1321="NEW"),"",INDEX(B1320:B$2,-1+SUMPRODUCT(MAX(ROW(E1320:E$2)*(E1321=E1320:E$2)))))</f>
        <v> </v>
      </c>
      <c r="J1321" s="25" t="str">
        <f>IF(OR(E1321="",E1321="!!!",F1321="NEW"),"",COUNTBLANK(OFFSET(A$1,,,SUMPRODUCT(MAX(ROW(E$2:E1321)*(E1321=E$2:E1321)))))-COUNTBLANK(OFFSET(A$1,,,SUMPRODUCT(MAX(ROW(E$1:E1320)*(E2=E$1:E1320))))))</f>
        <v> </v>
      </c>
      <c r="K1321" s="25" t="str">
        <f>IF(OR(E1321="",E1321="!!!",F1321="NEW"),"",INDEX(J$1:J1320,SUMPRODUCT(MAX(ROW(E$1:E1320)*(E1321=E$1:E1320)))))</f>
        <v> </v>
      </c>
      <c r="L1321" s="26"/>
    </row>
    <row r="1322" spans="1:12">
      <c r="A1322" s="20" t="s">
        <v>1823</v>
      </c>
      <c r="E1322" s="21">
        <f>IF(D1322="?OLD","!!!","")</f>
        <v/>
      </c>
      <c r="F1322" s="22" t="str">
        <f>IF(OR(E1322="",E1322="!!!"),"",IF(NOT(ISNA(VLOOKUP(E1322,E$1:E1321,1,FALSE()))),"OLD",IF(AND(E1322&lt;&gt;"",E1322&lt;&gt;"!!!"),"NEW","")))</f>
        <v> </v>
      </c>
      <c r="G1322" s="23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24" t="str">
        <f>IF(J1322&lt;&gt;1,"",IF(I1322="SBJ","CB","?"))</f>
        <v> </v>
      </c>
      <c r="I1322" s="25" t="str">
        <f>IF(OR(E1322="",E1322="!!!",F1322="NEW"),"",INDEX(B1321:B$2,-1+SUMPRODUCT(MAX(ROW(E1321:E$2)*(E1322=E1321:E$2)))))</f>
        <v> </v>
      </c>
      <c r="J1322" s="25" t="str">
        <f>IF(OR(E1322="",E1322="!!!",F1322="NEW"),"",COUNTBLANK(OFFSET(A$1,,,SUMPRODUCT(MAX(ROW(E$2:E1322)*(E1322=E$2:E1322)))))-COUNTBLANK(OFFSET(A$1,,,SUMPRODUCT(MAX(ROW(E$1:E1321)*(E2=E$1:E1321))))))</f>
        <v> </v>
      </c>
      <c r="K1322" s="25" t="str">
        <f>IF(OR(E1322="",E1322="!!!",F1322="NEW"),"",INDEX(J$1:J1321,SUMPRODUCT(MAX(ROW(E$1:E1321)*(E1322=E$1:E1321)))))</f>
        <v> </v>
      </c>
      <c r="L1322" s="26"/>
    </row>
    <row r="1323" spans="1:12">
      <c r="A1323" s="20" t="s">
        <v>1824</v>
      </c>
      <c r="E1323" s="21">
        <f>IF(D1323="?OLD","!!!","")</f>
        <v/>
      </c>
      <c r="F1323" s="22" t="str">
        <f>IF(OR(E1323="",E1323="!!!"),"",IF(NOT(ISNA(VLOOKUP(E1323,E$1:E1322,1,FALSE()))),"OLD",IF(AND(E1323&lt;&gt;"",E1323&lt;&gt;"!!!"),"NEW","")))</f>
        <v> </v>
      </c>
      <c r="G1323" s="23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 </v>
      </c>
      <c r="H1323" s="24" t="str">
        <f>IF(J1323&lt;&gt;1,"",IF(I1323="SBJ","CB","?"))</f>
        <v> </v>
      </c>
      <c r="I1323" s="25" t="str">
        <f>IF(OR(E1323="",E1323="!!!",F1323="NEW"),"",INDEX(B1322:B$2,-1+SUMPRODUCT(MAX(ROW(E1322:E$2)*(E1323=E1322:E$2)))))</f>
        <v> </v>
      </c>
      <c r="J1323" s="25" t="str">
        <f>IF(OR(E1323="",E1323="!!!",F1323="NEW"),"",COUNTBLANK(OFFSET(A$1,,,SUMPRODUCT(MAX(ROW(E$2:E1323)*(E1323=E$2:E1323)))))-COUNTBLANK(OFFSET(A$1,,,SUMPRODUCT(MAX(ROW(E$1:E1322)*(E2=E$1:E1322))))))</f>
        <v> </v>
      </c>
      <c r="K1323" s="25" t="str">
        <f>IF(OR(E1323="",E1323="!!!",F1323="NEW"),"",INDEX(J$1:J1322,SUMPRODUCT(MAX(ROW(E$1:E1322)*(E1323=E$1:E1322)))))</f>
        <v> </v>
      </c>
      <c r="L1323" s="26"/>
    </row>
    <row r="1324" spans="1:12">
      <c r="A1324" s="20" t="s">
        <v>1825</v>
      </c>
      <c r="E1324" s="21">
        <f>IF(D1324="?OLD","!!!","")</f>
        <v/>
      </c>
      <c r="F1324" s="22" t="str">
        <f>IF(OR(E1324="",E1324="!!!"),"",IF(NOT(ISNA(VLOOKUP(E1324,E$1:E1323,1,FALSE()))),"OLD",IF(AND(E1324&lt;&gt;"",E1324&lt;&gt;"!!!"),"NEW","")))</f>
        <v> </v>
      </c>
      <c r="G1324" s="23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 </v>
      </c>
      <c r="H1324" s="24" t="str">
        <f>IF(J1324&lt;&gt;1,"",IF(I1324="SBJ","CB","?"))</f>
        <v> </v>
      </c>
      <c r="I1324" s="25" t="str">
        <f>IF(OR(E1324="",E1324="!!!",F1324="NEW"),"",INDEX(B1323:B$2,-1+SUMPRODUCT(MAX(ROW(E1323:E$2)*(E1324=E1323:E$2)))))</f>
        <v> </v>
      </c>
      <c r="J1324" s="25" t="str">
        <f>IF(OR(E1324="",E1324="!!!",F1324="NEW"),"",COUNTBLANK(OFFSET(A$1,,,SUMPRODUCT(MAX(ROW(E$2:E1324)*(E1324=E$2:E1324)))))-COUNTBLANK(OFFSET(A$1,,,SUMPRODUCT(MAX(ROW(E$1:E1323)*(E2=E$1:E1323))))))</f>
        <v> </v>
      </c>
      <c r="K1324" s="25" t="str">
        <f>IF(OR(E1324="",E1324="!!!",F1324="NEW"),"",INDEX(J$1:J1323,SUMPRODUCT(MAX(ROW(E$1:E1323)*(E1324=E$1:E1323)))))</f>
        <v> </v>
      </c>
      <c r="L1324" s="26"/>
    </row>
    <row r="1325" spans="1:12">
      <c r="A1325" s="20" t="s">
        <v>1826</v>
      </c>
      <c r="E1325" s="21">
        <f>IF(D1325="?OLD","!!!","")</f>
        <v/>
      </c>
      <c r="F1325" s="22" t="str">
        <f>IF(OR(E1325="",E1325="!!!"),"",IF(NOT(ISNA(VLOOKUP(E1325,E$1:E1324,1,FALSE()))),"OLD",IF(AND(E1325&lt;&gt;"",E1325&lt;&gt;"!!!"),"NEW","")))</f>
        <v> </v>
      </c>
      <c r="G1325" s="23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> </v>
      </c>
      <c r="H1325" s="24" t="str">
        <f>IF(J1325&lt;&gt;1,"",IF(I1325="SBJ","CB","?"))</f>
        <v> </v>
      </c>
      <c r="I1325" s="25" t="str">
        <f>IF(OR(E1325="",E1325="!!!",F1325="NEW"),"",INDEX(B1324:B$2,-1+SUMPRODUCT(MAX(ROW(E1324:E$2)*(E1325=E1324:E$2)))))</f>
        <v> </v>
      </c>
      <c r="J1325" s="25" t="str">
        <f>IF(OR(E1325="",E1325="!!!",F1325="NEW"),"",COUNTBLANK(OFFSET(A$1,,,SUMPRODUCT(MAX(ROW(E$2:E1325)*(E1325=E$2:E1325)))))-COUNTBLANK(OFFSET(A$1,,,SUMPRODUCT(MAX(ROW(E$1:E1324)*(E2=E$1:E1324))))))</f>
        <v> </v>
      </c>
      <c r="K1325" s="25" t="str">
        <f>IF(OR(E1325="",E1325="!!!",F1325="NEW"),"",INDEX(J$1:J1324,SUMPRODUCT(MAX(ROW(E$1:E1324)*(E1325=E$1:E1324)))))</f>
        <v> </v>
      </c>
      <c r="L1325" s="26"/>
    </row>
    <row r="1326" spans="1:12">
      <c r="A1326" s="20" t="s">
        <v>1123</v>
      </c>
      <c r="E1326" s="21">
        <f>IF(D1326="?OLD","!!!","")</f>
        <v/>
      </c>
      <c r="F1326" s="22" t="str">
        <f>IF(OR(E1326="",E1326="!!!"),"",IF(NOT(ISNA(VLOOKUP(E1326,E$1:E1325,1,FALSE()))),"OLD",IF(AND(E1326&lt;&gt;"",E1326&lt;&gt;"!!!"),"NEW","")))</f>
        <v> </v>
      </c>
      <c r="G1326" s="23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> </v>
      </c>
      <c r="H1326" s="24" t="str">
        <f>IF(J1326&lt;&gt;1,"",IF(I1326="SBJ","CB","?"))</f>
        <v> </v>
      </c>
      <c r="I1326" s="25" t="str">
        <f>IF(OR(E1326="",E1326="!!!",F1326="NEW"),"",INDEX(B1325:B$2,-1+SUMPRODUCT(MAX(ROW(E1325:E$2)*(E1326=E1325:E$2)))))</f>
        <v> </v>
      </c>
      <c r="J1326" s="25" t="str">
        <f>IF(OR(E1326="",E1326="!!!",F1326="NEW"),"",COUNTBLANK(OFFSET(A$1,,,SUMPRODUCT(MAX(ROW(E$2:E1326)*(E1326=E$2:E1326)))))-COUNTBLANK(OFFSET(A$1,,,SUMPRODUCT(MAX(ROW(E$1:E1325)*(E2=E$1:E1325))))))</f>
        <v> </v>
      </c>
      <c r="K1326" s="25" t="str">
        <f>IF(OR(E1326="",E1326="!!!",F1326="NEW"),"",INDEX(J$1:J1325,SUMPRODUCT(MAX(ROW(E$1:E1325)*(E1326=E$1:E1325)))))</f>
        <v> </v>
      </c>
      <c r="L1326" s="26"/>
    </row>
    <row r="1327" spans="1:12">
      <c r="A1327" s="20" t="s">
        <v>1827</v>
      </c>
      <c r="B1327" s="27" t="s">
        <v>1213</v>
      </c>
      <c r="E1327" s="21">
        <f>IF(D1327="?OLD","!!!","")</f>
        <v/>
      </c>
      <c r="F1327" s="22" t="str">
        <f>IF(OR(E1327="",E1327="!!!"),"",IF(NOT(ISNA(VLOOKUP(E1327,E$1:E1326,1,FALSE()))),"OLD",IF(AND(E1327&lt;&gt;"",E1327&lt;&gt;"!!!"),"NEW","")))</f>
        <v> </v>
      </c>
      <c r="G1327" s="23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> </v>
      </c>
      <c r="H1327" s="24" t="str">
        <f>IF(J1327&lt;&gt;1,"",IF(I1327="SBJ","CB","?"))</f>
        <v> </v>
      </c>
      <c r="I1327" s="25" t="str">
        <f>IF(OR(E1327="",E1327="!!!",F1327="NEW"),"",INDEX(B1326:B$2,-1+SUMPRODUCT(MAX(ROW(E1326:E$2)*(E1327=E1326:E$2)))))</f>
        <v> </v>
      </c>
      <c r="J1327" s="25" t="str">
        <f>IF(OR(E1327="",E1327="!!!",F1327="NEW"),"",COUNTBLANK(OFFSET(A$1,,,SUMPRODUCT(MAX(ROW(E$2:E1327)*(E1327=E$2:E1327)))))-COUNTBLANK(OFFSET(A$1,,,SUMPRODUCT(MAX(ROW(E$1:E1326)*(E2=E$1:E1326))))))</f>
        <v> </v>
      </c>
      <c r="K1327" s="25" t="str">
        <f>IF(OR(E1327="",E1327="!!!",F1327="NEW"),"",INDEX(J$1:J1326,SUMPRODUCT(MAX(ROW(E$1:E1326)*(E1327=E$1:E1326)))))</f>
        <v> </v>
      </c>
      <c r="L1327" s="26"/>
    </row>
    <row r="1328" spans="1:12">
      <c r="A1328" s="20" t="s">
        <v>1828</v>
      </c>
      <c r="E1328" s="21">
        <f>IF(D1328="?OLD","!!!","")</f>
        <v/>
      </c>
      <c r="F1328" s="22" t="str">
        <f>IF(OR(E1328="",E1328="!!!"),"",IF(NOT(ISNA(VLOOKUP(E1328,E$1:E1327,1,FALSE()))),"OLD",IF(AND(E1328&lt;&gt;"",E1328&lt;&gt;"!!!"),"NEW","")))</f>
        <v> </v>
      </c>
      <c r="G1328" s="23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24" t="str">
        <f>IF(J1328&lt;&gt;1,"",IF(I1328="SBJ","CB","?"))</f>
        <v> </v>
      </c>
      <c r="I1328" s="25" t="str">
        <f>IF(OR(E1328="",E1328="!!!",F1328="NEW"),"",INDEX(B1327:B$2,-1+SUMPRODUCT(MAX(ROW(E1327:E$2)*(E1328=E1327:E$2)))))</f>
        <v> </v>
      </c>
      <c r="J1328" s="25" t="str">
        <f>IF(OR(E1328="",E1328="!!!",F1328="NEW"),"",COUNTBLANK(OFFSET(A$1,,,SUMPRODUCT(MAX(ROW(E$2:E1328)*(E1328=E$2:E1328)))))-COUNTBLANK(OFFSET(A$1,,,SUMPRODUCT(MAX(ROW(E$1:E1327)*(E2=E$1:E1327))))))</f>
        <v> </v>
      </c>
      <c r="K1328" s="25" t="str">
        <f>IF(OR(E1328="",E1328="!!!",F1328="NEW"),"",INDEX(J$1:J1327,SUMPRODUCT(MAX(ROW(E$1:E1327)*(E1328=E$1:E1327)))))</f>
        <v> </v>
      </c>
      <c r="L1328" s="26"/>
    </row>
    <row r="1329" spans="1:12">
      <c r="A1329" s="20" t="s">
        <v>1829</v>
      </c>
      <c r="E1329" s="21">
        <f>IF(D1329="?OLD","!!!","")</f>
        <v/>
      </c>
      <c r="F1329" s="22" t="str">
        <f>IF(OR(E1329="",E1329="!!!"),"",IF(NOT(ISNA(VLOOKUP(E1329,E$1:E1328,1,FALSE()))),"OLD",IF(AND(E1329&lt;&gt;"",E1329&lt;&gt;"!!!"),"NEW","")))</f>
        <v> </v>
      </c>
      <c r="G1329" s="23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> </v>
      </c>
      <c r="H1329" s="24" t="str">
        <f>IF(J1329&lt;&gt;1,"",IF(I1329="SBJ","CB","?"))</f>
        <v> </v>
      </c>
      <c r="I1329" s="25" t="str">
        <f>IF(OR(E1329="",E1329="!!!",F1329="NEW"),"",INDEX(B1328:B$2,-1+SUMPRODUCT(MAX(ROW(E1328:E$2)*(E1329=E1328:E$2)))))</f>
        <v> </v>
      </c>
      <c r="J1329" s="25" t="str">
        <f>IF(OR(E1329="",E1329="!!!",F1329="NEW"),"",COUNTBLANK(OFFSET(A$1,,,SUMPRODUCT(MAX(ROW(E$2:E1329)*(E1329=E$2:E1329)))))-COUNTBLANK(OFFSET(A$1,,,SUMPRODUCT(MAX(ROW(E$1:E1328)*(E2=E$1:E1328))))))</f>
        <v> </v>
      </c>
      <c r="K1329" s="25" t="str">
        <f>IF(OR(E1329="",E1329="!!!",F1329="NEW"),"",INDEX(J$1:J1328,SUMPRODUCT(MAX(ROW(E$1:E1328)*(E1329=E$1:E1328)))))</f>
        <v> </v>
      </c>
      <c r="L1329" s="26"/>
    </row>
    <row r="1330" spans="1:12">
      <c r="A1330" s="20" t="s">
        <v>1123</v>
      </c>
      <c r="E1330" s="21">
        <f>IF(D1330="?OLD","!!!","")</f>
        <v/>
      </c>
      <c r="F1330" s="22" t="str">
        <f>IF(OR(E1330="",E1330="!!!"),"",IF(NOT(ISNA(VLOOKUP(E1330,E$1:E1329,1,FALSE()))),"OLD",IF(AND(E1330&lt;&gt;"",E1330&lt;&gt;"!!!"),"NEW","")))</f>
        <v> </v>
      </c>
      <c r="G1330" s="23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 </v>
      </c>
      <c r="H1330" s="24" t="str">
        <f>IF(J1330&lt;&gt;1,"",IF(I1330="SBJ","CB","?"))</f>
        <v> </v>
      </c>
      <c r="I1330" s="25" t="str">
        <f>IF(OR(E1330="",E1330="!!!",F1330="NEW"),"",INDEX(B1329:B$2,-1+SUMPRODUCT(MAX(ROW(E1329:E$2)*(E1330=E1329:E$2)))))</f>
        <v> </v>
      </c>
      <c r="J1330" s="25" t="str">
        <f>IF(OR(E1330="",E1330="!!!",F1330="NEW"),"",COUNTBLANK(OFFSET(A$1,,,SUMPRODUCT(MAX(ROW(E$2:E1330)*(E1330=E$2:E1330)))))-COUNTBLANK(OFFSET(A$1,,,SUMPRODUCT(MAX(ROW(E$1:E1329)*(E2=E$1:E1329))))))</f>
        <v> </v>
      </c>
      <c r="K1330" s="25" t="str">
        <f>IF(OR(E1330="",E1330="!!!",F1330="NEW"),"",INDEX(J$1:J1329,SUMPRODUCT(MAX(ROW(E$1:E1329)*(E1330=E$1:E1329)))))</f>
        <v> </v>
      </c>
      <c r="L1330" s="26"/>
    </row>
    <row r="1331" spans="1:12">
      <c r="A1331" s="20" t="s">
        <v>1224</v>
      </c>
      <c r="E1331" s="21">
        <f>IF(D1331="?OLD","!!!","")</f>
        <v/>
      </c>
      <c r="F1331" s="22" t="str">
        <f>IF(OR(E1331="",E1331="!!!"),"",IF(NOT(ISNA(VLOOKUP(E1331,E$1:E1330,1,FALSE()))),"OLD",IF(AND(E1331&lt;&gt;"",E1331&lt;&gt;"!!!"),"NEW","")))</f>
        <v> </v>
      </c>
      <c r="G1331" s="23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> </v>
      </c>
      <c r="H1331" s="24" t="str">
        <f>IF(J1331&lt;&gt;1,"",IF(I1331="SBJ","CB","?"))</f>
        <v> </v>
      </c>
      <c r="I1331" s="25" t="str">
        <f>IF(OR(E1331="",E1331="!!!",F1331="NEW"),"",INDEX(B1330:B$2,-1+SUMPRODUCT(MAX(ROW(E1330:E$2)*(E1331=E1330:E$2)))))</f>
        <v> </v>
      </c>
      <c r="J1331" s="25" t="str">
        <f>IF(OR(E1331="",E1331="!!!",F1331="NEW"),"",COUNTBLANK(OFFSET(A$1,,,SUMPRODUCT(MAX(ROW(E$2:E1331)*(E1331=E$2:E1331)))))-COUNTBLANK(OFFSET(A$1,,,SUMPRODUCT(MAX(ROW(E$1:E1330)*(E2=E$1:E1330))))))</f>
        <v> </v>
      </c>
      <c r="K1331" s="25" t="str">
        <f>IF(OR(E1331="",E1331="!!!",F1331="NEW"),"",INDEX(J$1:J1330,SUMPRODUCT(MAX(ROW(E$1:E1330)*(E1331=E$1:E1330)))))</f>
        <v> </v>
      </c>
      <c r="L1331" s="26"/>
    </row>
    <row r="1332" spans="1:12">
      <c r="A1332" s="20" t="s">
        <v>1824</v>
      </c>
      <c r="E1332" s="21">
        <f>IF(D1332="?OLD","!!!","")</f>
        <v/>
      </c>
      <c r="F1332" s="22" t="str">
        <f>IF(OR(E1332="",E1332="!!!"),"",IF(NOT(ISNA(VLOOKUP(E1332,E$1:E1331,1,FALSE()))),"OLD",IF(AND(E1332&lt;&gt;"",E1332&lt;&gt;"!!!"),"NEW","")))</f>
        <v> </v>
      </c>
      <c r="G1332" s="23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> </v>
      </c>
      <c r="H1332" s="24" t="str">
        <f>IF(J1332&lt;&gt;1,"",IF(I1332="SBJ","CB","?"))</f>
        <v> </v>
      </c>
      <c r="I1332" s="25" t="str">
        <f>IF(OR(E1332="",E1332="!!!",F1332="NEW"),"",INDEX(B1331:B$2,-1+SUMPRODUCT(MAX(ROW(E1331:E$2)*(E1332=E1331:E$2)))))</f>
        <v> </v>
      </c>
      <c r="J1332" s="25" t="str">
        <f>IF(OR(E1332="",E1332="!!!",F1332="NEW"),"",COUNTBLANK(OFFSET(A$1,,,SUMPRODUCT(MAX(ROW(E$2:E1332)*(E1332=E$2:E1332)))))-COUNTBLANK(OFFSET(A$1,,,SUMPRODUCT(MAX(ROW(E$1:E1331)*(E2=E$1:E1331))))))</f>
        <v> </v>
      </c>
      <c r="K1332" s="25" t="str">
        <f>IF(OR(E1332="",E1332="!!!",F1332="NEW"),"",INDEX(J$1:J1331,SUMPRODUCT(MAX(ROW(E$1:E1331)*(E1332=E$1:E1331)))))</f>
        <v> </v>
      </c>
      <c r="L1332" s="26"/>
    </row>
    <row r="1333" spans="1:12">
      <c r="A1333" s="20" t="s">
        <v>1830</v>
      </c>
      <c r="E1333" s="21">
        <f>IF(D1333="?OLD","!!!","")</f>
        <v/>
      </c>
      <c r="F1333" s="22" t="str">
        <f>IF(OR(E1333="",E1333="!!!"),"",IF(NOT(ISNA(VLOOKUP(E1333,E$1:E1332,1,FALSE()))),"OLD",IF(AND(E1333&lt;&gt;"",E1333&lt;&gt;"!!!"),"NEW","")))</f>
        <v> </v>
      </c>
      <c r="G1333" s="23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> </v>
      </c>
      <c r="H1333" s="24" t="str">
        <f>IF(J1333&lt;&gt;1,"",IF(I1333="SBJ","CB","?"))</f>
        <v> </v>
      </c>
      <c r="I1333" s="25" t="str">
        <f>IF(OR(E1333="",E1333="!!!",F1333="NEW"),"",INDEX(B1332:B$2,-1+SUMPRODUCT(MAX(ROW(E1332:E$2)*(E1333=E1332:E$2)))))</f>
        <v> </v>
      </c>
      <c r="J1333" s="25" t="str">
        <f>IF(OR(E1333="",E1333="!!!",F1333="NEW"),"",COUNTBLANK(OFFSET(A$1,,,SUMPRODUCT(MAX(ROW(E$2:E1333)*(E1333=E$2:E1333)))))-COUNTBLANK(OFFSET(A$1,,,SUMPRODUCT(MAX(ROW(E$1:E1332)*(E2=E$1:E1332))))))</f>
        <v> </v>
      </c>
      <c r="K1333" s="25" t="str">
        <f>IF(OR(E1333="",E1333="!!!",F1333="NEW"),"",INDEX(J$1:J1332,SUMPRODUCT(MAX(ROW(E$1:E1332)*(E1333=E$1:E1332)))))</f>
        <v> </v>
      </c>
      <c r="L1333" s="26"/>
    </row>
    <row r="1334" spans="1:12">
      <c r="A1334" s="20" t="s">
        <v>1826</v>
      </c>
      <c r="B1334" s="27" t="s">
        <v>1107</v>
      </c>
      <c r="C1334" s="27" t="s">
        <v>1210</v>
      </c>
      <c r="E1334" s="21">
        <f>IF(D1334="?OLD","!!!","")</f>
        <v/>
      </c>
      <c r="F1334" s="22" t="str">
        <f>IF(OR(E1334="",E1334="!!!"),"",IF(NOT(ISNA(VLOOKUP(E1334,E$1:E1333,1,FALSE()))),"OLD",IF(AND(E1334&lt;&gt;"",E1334&lt;&gt;"!!!"),"NEW","")))</f>
        <v> </v>
      </c>
      <c r="G1334" s="23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 </v>
      </c>
      <c r="H1334" s="24" t="str">
        <f>IF(J1334&lt;&gt;1,"",IF(I1334="SBJ","CB","?"))</f>
        <v> </v>
      </c>
      <c r="I1334" s="25" t="str">
        <f>IF(OR(E1334="",E1334="!!!",F1334="NEW"),"",INDEX(B1333:B$2,-1+SUMPRODUCT(MAX(ROW(E1333:E$2)*(E1334=E1333:E$2)))))</f>
        <v> </v>
      </c>
      <c r="J1334" s="25" t="str">
        <f>IF(OR(E1334="",E1334="!!!",F1334="NEW"),"",COUNTBLANK(OFFSET(A$1,,,SUMPRODUCT(MAX(ROW(E$2:E1334)*(E1334=E$2:E1334)))))-COUNTBLANK(OFFSET(A$1,,,SUMPRODUCT(MAX(ROW(E$1:E1333)*(E2=E$1:E1333))))))</f>
        <v> </v>
      </c>
      <c r="K1334" s="25" t="str">
        <f>IF(OR(E1334="",E1334="!!!",F1334="NEW"),"",INDEX(J$1:J1333,SUMPRODUCT(MAX(ROW(E$1:E1333)*(E1334=E$1:E1333)))))</f>
        <v> </v>
      </c>
      <c r="L1334" s="26"/>
    </row>
    <row r="1335" spans="1:12">
      <c r="A1335" s="20" t="s">
        <v>1217</v>
      </c>
      <c r="B1335" s="27" t="s">
        <v>1122</v>
      </c>
      <c r="C1335" s="27" t="s">
        <v>1126</v>
      </c>
      <c r="D1335" s="27" t="s">
        <v>1105</v>
      </c>
      <c r="E1335" s="21">
        <f>IF(D1335="?OLD","!!!","")</f>
        <v/>
      </c>
      <c r="F1335" s="22" t="str">
        <f>IF(OR(E1335="",E1335="!!!"),"",IF(NOT(ISNA(VLOOKUP(E1335,E$1:E1334,1,FALSE()))),"OLD",IF(AND(E1335&lt;&gt;"",E1335&lt;&gt;"!!!"),"NEW","")))</f>
        <v> </v>
      </c>
      <c r="G1335" s="23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> </v>
      </c>
      <c r="H1335" s="24" t="str">
        <f>IF(J1335&lt;&gt;1,"",IF(I1335="SBJ","CB","?"))</f>
        <v> </v>
      </c>
      <c r="I1335" s="25" t="str">
        <f>IF(OR(E1335="",E1335="!!!",F1335="NEW"),"",INDEX(B1334:B$2,-1+SUMPRODUCT(MAX(ROW(E1334:E$2)*(E1335=E1334:E$2)))))</f>
        <v> </v>
      </c>
      <c r="J1335" s="25" t="str">
        <f>IF(OR(E1335="",E1335="!!!",F1335="NEW"),"",COUNTBLANK(OFFSET(A$1,,,SUMPRODUCT(MAX(ROW(E$2:E1335)*(E1335=E$2:E1335)))))-COUNTBLANK(OFFSET(A$1,,,SUMPRODUCT(MAX(ROW(E$1:E1334)*(E2=E$1:E1334))))))</f>
        <v> </v>
      </c>
      <c r="K1335" s="25" t="str">
        <f>IF(OR(E1335="",E1335="!!!",F1335="NEW"),"",INDEX(J$1:J1334,SUMPRODUCT(MAX(ROW(E$1:E1334)*(E1335=E$1:E1334)))))</f>
        <v> </v>
      </c>
      <c r="L1335" s="26"/>
    </row>
    <row r="1336" spans="1:12">
      <c r="A1336" s="20" t="s">
        <v>1628</v>
      </c>
      <c r="E1336" s="21">
        <f>IF(D1336="?OLD","!!!","")</f>
        <v/>
      </c>
      <c r="F1336" s="22" t="str">
        <f>IF(OR(E1336="",E1336="!!!"),"",IF(NOT(ISNA(VLOOKUP(E1336,E$1:E1335,1,FALSE()))),"OLD",IF(AND(E1336&lt;&gt;"",E1336&lt;&gt;"!!!"),"NEW","")))</f>
        <v> </v>
      </c>
      <c r="G1336" s="23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24" t="str">
        <f>IF(J1336&lt;&gt;1,"",IF(I1336="SBJ","CB","?"))</f>
        <v> </v>
      </c>
      <c r="I1336" s="25" t="str">
        <f>IF(OR(E1336="",E1336="!!!",F1336="NEW"),"",INDEX(B1335:B$2,-1+SUMPRODUCT(MAX(ROW(E1335:E$2)*(E1336=E1335:E$2)))))</f>
        <v> </v>
      </c>
      <c r="J1336" s="25" t="str">
        <f>IF(OR(E1336="",E1336="!!!",F1336="NEW"),"",COUNTBLANK(OFFSET(A$1,,,SUMPRODUCT(MAX(ROW(E$2:E1336)*(E1336=E$2:E1336)))))-COUNTBLANK(OFFSET(A$1,,,SUMPRODUCT(MAX(ROW(E$1:E1335)*(E2=E$1:E1335))))))</f>
        <v> </v>
      </c>
      <c r="K1336" s="25" t="str">
        <f>IF(OR(E1336="",E1336="!!!",F1336="NEW"),"",INDEX(J$1:J1335,SUMPRODUCT(MAX(ROW(E$1:E1335)*(E1336=E$1:E1335)))))</f>
        <v> </v>
      </c>
      <c r="L1336" s="26"/>
    </row>
    <row r="1337" spans="1:12">
      <c r="A1337" s="20" t="s">
        <v>1134</v>
      </c>
      <c r="E1337" s="21">
        <f>IF(D1337="?OLD","!!!","")</f>
        <v/>
      </c>
      <c r="F1337" s="22" t="str">
        <f>IF(OR(E1337="",E1337="!!!"),"",IF(NOT(ISNA(VLOOKUP(E1337,E$1:E1336,1,FALSE()))),"OLD",IF(AND(E1337&lt;&gt;"",E1337&lt;&gt;"!!!"),"NEW","")))</f>
        <v> </v>
      </c>
      <c r="G1337" s="23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4" t="str">
        <f>IF(J1337&lt;&gt;1,"",IF(I1337="SBJ","CB","?"))</f>
        <v> </v>
      </c>
      <c r="I1337" s="25" t="str">
        <f>IF(OR(E1337="",E1337="!!!",F1337="NEW"),"",INDEX(B1336:B$2,-1+SUMPRODUCT(MAX(ROW(E1336:E$2)*(E1337=E1336:E$2)))))</f>
        <v> </v>
      </c>
      <c r="J1337" s="25" t="str">
        <f>IF(OR(E1337="",E1337="!!!",F1337="NEW"),"",COUNTBLANK(OFFSET(A$1,,,SUMPRODUCT(MAX(ROW(E$2:E1337)*(E1337=E$2:E1337)))))-COUNTBLANK(OFFSET(A$1,,,SUMPRODUCT(MAX(ROW(E$1:E1336)*(E2=E$1:E1336))))))</f>
        <v> </v>
      </c>
      <c r="K1337" s="25" t="str">
        <f>IF(OR(E1337="",E1337="!!!",F1337="NEW"),"",INDEX(J$1:J1336,SUMPRODUCT(MAX(ROW(E$1:E1336)*(E1337=E$1:E1336)))))</f>
        <v> </v>
      </c>
      <c r="L1337" s="26"/>
    </row>
    <row r="1338" spans="1:12">
      <c r="A1338" s="20" t="s">
        <v>1831</v>
      </c>
      <c r="E1338" s="21">
        <f>IF(D1338="?OLD","!!!","")</f>
        <v/>
      </c>
      <c r="F1338" s="22" t="str">
        <f>IF(OR(E1338="",E1338="!!!"),"",IF(NOT(ISNA(VLOOKUP(E1338,E$1:E1337,1,FALSE()))),"OLD",IF(AND(E1338&lt;&gt;"",E1338&lt;&gt;"!!!"),"NEW","")))</f>
        <v> </v>
      </c>
      <c r="G1338" s="23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> </v>
      </c>
      <c r="H1338" s="24" t="str">
        <f>IF(J1338&lt;&gt;1,"",IF(I1338="SBJ","CB","?"))</f>
        <v> </v>
      </c>
      <c r="I1338" s="25" t="str">
        <f>IF(OR(E1338="",E1338="!!!",F1338="NEW"),"",INDEX(B1337:B$2,-1+SUMPRODUCT(MAX(ROW(E1337:E$2)*(E1338=E1337:E$2)))))</f>
        <v> </v>
      </c>
      <c r="J1338" s="25" t="str">
        <f>IF(OR(E1338="",E1338="!!!",F1338="NEW"),"",COUNTBLANK(OFFSET(A$1,,,SUMPRODUCT(MAX(ROW(E$2:E1338)*(E1338=E$2:E1338)))))-COUNTBLANK(OFFSET(A$1,,,SUMPRODUCT(MAX(ROW(E$1:E1337)*(E2=E$1:E1337))))))</f>
        <v> </v>
      </c>
      <c r="K1338" s="25" t="str">
        <f>IF(OR(E1338="",E1338="!!!",F1338="NEW"),"",INDEX(J$1:J1337,SUMPRODUCT(MAX(ROW(E$1:E1337)*(E1338=E$1:E1337)))))</f>
        <v> </v>
      </c>
      <c r="L1338" s="26"/>
    </row>
    <row r="1339" spans="1:12">
      <c r="A1339" s="20" t="s">
        <v>859</v>
      </c>
      <c r="E1339" s="21">
        <f>IF(D1339="?OLD","!!!","")</f>
        <v/>
      </c>
      <c r="F1339" s="22" t="str">
        <f>IF(OR(E1339="",E1339="!!!"),"",IF(NOT(ISNA(VLOOKUP(E1339,E$1:E1338,1,FALSE()))),"OLD",IF(AND(E1339&lt;&gt;"",E1339&lt;&gt;"!!!"),"NEW","")))</f>
        <v> </v>
      </c>
      <c r="G1339" s="23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> </v>
      </c>
      <c r="H1339" s="24" t="str">
        <f>IF(J1339&lt;&gt;1,"",IF(I1339="SBJ","CB","?"))</f>
        <v> </v>
      </c>
      <c r="I1339" s="25" t="str">
        <f>IF(OR(E1339="",E1339="!!!",F1339="NEW"),"",INDEX(B1338:B$2,-1+SUMPRODUCT(MAX(ROW(E1338:E$2)*(E1339=E1338:E$2)))))</f>
        <v> </v>
      </c>
      <c r="J1339" s="25" t="str">
        <f>IF(OR(E1339="",E1339="!!!",F1339="NEW"),"",COUNTBLANK(OFFSET(A$1,,,SUMPRODUCT(MAX(ROW(E$2:E1339)*(E1339=E$2:E1339)))))-COUNTBLANK(OFFSET(A$1,,,SUMPRODUCT(MAX(ROW(E$1:E1338)*(E2=E$1:E1338))))))</f>
        <v> </v>
      </c>
      <c r="K1339" s="25" t="str">
        <f>IF(OR(E1339="",E1339="!!!",F1339="NEW"),"",INDEX(J$1:J1338,SUMPRODUCT(MAX(ROW(E$1:E1338)*(E1339=E$1:E1338)))))</f>
        <v> </v>
      </c>
      <c r="L1339" s="26"/>
    </row>
    <row r="1340" spans="1:12">
      <c r="A1340" s="20" t="s">
        <v>1832</v>
      </c>
      <c r="E1340" s="21">
        <f>IF(D1340="?OLD","!!!","")</f>
        <v/>
      </c>
      <c r="F1340" s="22" t="str">
        <f>IF(OR(E1340="",E1340="!!!"),"",IF(NOT(ISNA(VLOOKUP(E1340,E$1:E1339,1,FALSE()))),"OLD",IF(AND(E1340&lt;&gt;"",E1340&lt;&gt;"!!!"),"NEW","")))</f>
        <v> </v>
      </c>
      <c r="G1340" s="23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24" t="str">
        <f>IF(J1340&lt;&gt;1,"",IF(I1340="SBJ","CB","?"))</f>
        <v> </v>
      </c>
      <c r="I1340" s="25" t="str">
        <f>IF(OR(E1340="",E1340="!!!",F1340="NEW"),"",INDEX(B1339:B$2,-1+SUMPRODUCT(MAX(ROW(E1339:E$2)*(E1340=E1339:E$2)))))</f>
        <v> </v>
      </c>
      <c r="J1340" s="25" t="str">
        <f>IF(OR(E1340="",E1340="!!!",F1340="NEW"),"",COUNTBLANK(OFFSET(A$1,,,SUMPRODUCT(MAX(ROW(E$2:E1340)*(E1340=E$2:E1340)))))-COUNTBLANK(OFFSET(A$1,,,SUMPRODUCT(MAX(ROW(E$1:E1339)*(E2=E$1:E1339))))))</f>
        <v> </v>
      </c>
      <c r="K1340" s="25" t="str">
        <f>IF(OR(E1340="",E1340="!!!",F1340="NEW"),"",INDEX(J$1:J1339,SUMPRODUCT(MAX(ROW(E$1:E1339)*(E1340=E$1:E1339)))))</f>
        <v> </v>
      </c>
      <c r="L1340" s="26"/>
    </row>
    <row r="1341" spans="1:12">
      <c r="A1341" s="20" t="s">
        <v>1833</v>
      </c>
      <c r="B1341" s="27" t="s">
        <v>1115</v>
      </c>
      <c r="E1341" s="21">
        <f>IF(D1341="?OLD","!!!","")</f>
        <v/>
      </c>
      <c r="F1341" s="22" t="str">
        <f>IF(OR(E1341="",E1341="!!!"),"",IF(NOT(ISNA(VLOOKUP(E1341,E$1:E1340,1,FALSE()))),"OLD",IF(AND(E1341&lt;&gt;"",E1341&lt;&gt;"!!!"),"NEW","")))</f>
        <v> </v>
      </c>
      <c r="G1341" s="23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24" t="str">
        <f>IF(J1341&lt;&gt;1,"",IF(I1341="SBJ","CB","?"))</f>
        <v> </v>
      </c>
      <c r="I1341" s="25" t="str">
        <f>IF(OR(E1341="",E1341="!!!",F1341="NEW"),"",INDEX(B1340:B$2,-1+SUMPRODUCT(MAX(ROW(E1340:E$2)*(E1341=E1340:E$2)))))</f>
        <v> </v>
      </c>
      <c r="J1341" s="25" t="str">
        <f>IF(OR(E1341="",E1341="!!!",F1341="NEW"),"",COUNTBLANK(OFFSET(A$1,,,SUMPRODUCT(MAX(ROW(E$2:E1341)*(E1341=E$2:E1341)))))-COUNTBLANK(OFFSET(A$1,,,SUMPRODUCT(MAX(ROW(E$1:E1340)*(E2=E$1:E1340))))))</f>
        <v> </v>
      </c>
      <c r="K1341" s="25" t="str">
        <f>IF(OR(E1341="",E1341="!!!",F1341="NEW"),"",INDEX(J$1:J1340,SUMPRODUCT(MAX(ROW(E$1:E1340)*(E1341=E$1:E1340)))))</f>
        <v> </v>
      </c>
      <c r="L1341" s="26"/>
    </row>
    <row r="1342" spans="1:12">
      <c r="A1342" s="20" t="s">
        <v>1184</v>
      </c>
      <c r="E1342" s="21">
        <f>IF(D1342="?OLD","!!!","")</f>
        <v/>
      </c>
      <c r="F1342" s="22" t="str">
        <f>IF(OR(E1342="",E1342="!!!"),"",IF(NOT(ISNA(VLOOKUP(E1342,E$1:E1341,1,FALSE()))),"OLD",IF(AND(E1342&lt;&gt;"",E1342&lt;&gt;"!!!"),"NEW","")))</f>
        <v> </v>
      </c>
      <c r="G1342" s="23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> </v>
      </c>
      <c r="H1342" s="24" t="str">
        <f>IF(J1342&lt;&gt;1,"",IF(I1342="SBJ","CB","?"))</f>
        <v> </v>
      </c>
      <c r="I1342" s="25" t="str">
        <f>IF(OR(E1342="",E1342="!!!",F1342="NEW"),"",INDEX(B1341:B$2,-1+SUMPRODUCT(MAX(ROW(E1341:E$2)*(E1342=E1341:E$2)))))</f>
        <v> </v>
      </c>
      <c r="J1342" s="25" t="str">
        <f>IF(OR(E1342="",E1342="!!!",F1342="NEW"),"",COUNTBLANK(OFFSET(A$1,,,SUMPRODUCT(MAX(ROW(E$2:E1342)*(E1342=E$2:E1342)))))-COUNTBLANK(OFFSET(A$1,,,SUMPRODUCT(MAX(ROW(E$1:E1341)*(E2=E$1:E1341))))))</f>
        <v> </v>
      </c>
      <c r="K1342" s="25" t="str">
        <f>IF(OR(E1342="",E1342="!!!",F1342="NEW"),"",INDEX(J$1:J1341,SUMPRODUCT(MAX(ROW(E$1:E1341)*(E1342=E$1:E1341)))))</f>
        <v> </v>
      </c>
      <c r="L1342" s="26"/>
    </row>
    <row r="1343" spans="1:12">
      <c r="A1343" s="20" t="s">
        <v>1371</v>
      </c>
      <c r="E1343" s="21">
        <f>IF(D1343="?OLD","!!!","")</f>
        <v/>
      </c>
      <c r="F1343" s="22" t="str">
        <f>IF(OR(E1343="",E1343="!!!"),"",IF(NOT(ISNA(VLOOKUP(E1343,E$1:E1342,1,FALSE()))),"OLD",IF(AND(E1343&lt;&gt;"",E1343&lt;&gt;"!!!"),"NEW","")))</f>
        <v> </v>
      </c>
      <c r="G1343" s="23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 </v>
      </c>
      <c r="H1343" s="24" t="str">
        <f>IF(J1343&lt;&gt;1,"",IF(I1343="SBJ","CB","?"))</f>
        <v> </v>
      </c>
      <c r="I1343" s="25" t="str">
        <f>IF(OR(E1343="",E1343="!!!",F1343="NEW"),"",INDEX(B1342:B$2,-1+SUMPRODUCT(MAX(ROW(E1342:E$2)*(E1343=E1342:E$2)))))</f>
        <v> </v>
      </c>
      <c r="J1343" s="25" t="str">
        <f>IF(OR(E1343="",E1343="!!!",F1343="NEW"),"",COUNTBLANK(OFFSET(A$1,,,SUMPRODUCT(MAX(ROW(E$2:E1343)*(E1343=E$2:E1343)))))-COUNTBLANK(OFFSET(A$1,,,SUMPRODUCT(MAX(ROW(E$1:E1342)*(E2=E$1:E1342))))))</f>
        <v> </v>
      </c>
      <c r="K1343" s="25" t="str">
        <f>IF(OR(E1343="",E1343="!!!",F1343="NEW"),"",INDEX(J$1:J1342,SUMPRODUCT(MAX(ROW(E$1:E1342)*(E1343=E$1:E1342)))))</f>
        <v> </v>
      </c>
      <c r="L1343" s="26"/>
    </row>
    <row r="1344" spans="1:12">
      <c r="A1344" s="20" t="s">
        <v>1834</v>
      </c>
      <c r="B1344" s="27" t="s">
        <v>1110</v>
      </c>
      <c r="C1344" s="27" t="s">
        <v>1156</v>
      </c>
      <c r="D1344" s="27" t="s">
        <v>1105</v>
      </c>
      <c r="E1344" s="21">
        <f>IF(D1344="?OLD","!!!","")</f>
        <v/>
      </c>
      <c r="F1344" s="22" t="str">
        <f>IF(OR(E1344="",E1344="!!!"),"",IF(NOT(ISNA(VLOOKUP(E1344,E$1:E1343,1,FALSE()))),"OLD",IF(AND(E1344&lt;&gt;"",E1344&lt;&gt;"!!!"),"NEW","")))</f>
        <v> </v>
      </c>
      <c r="G1344" s="23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4" t="str">
        <f>IF(J1344&lt;&gt;1,"",IF(I1344="SBJ","CB","?"))</f>
        <v> </v>
      </c>
      <c r="I1344" s="25" t="str">
        <f>IF(OR(E1344="",E1344="!!!",F1344="NEW"),"",INDEX(B1343:B$2,-1+SUMPRODUCT(MAX(ROW(E1343:E$2)*(E1344=E1343:E$2)))))</f>
        <v> </v>
      </c>
      <c r="J1344" s="25" t="str">
        <f>IF(OR(E1344="",E1344="!!!",F1344="NEW"),"",COUNTBLANK(OFFSET(A$1,,,SUMPRODUCT(MAX(ROW(E$2:E1344)*(E1344=E$2:E1344)))))-COUNTBLANK(OFFSET(A$1,,,SUMPRODUCT(MAX(ROW(E$1:E1343)*(E2=E$1:E1343))))))</f>
        <v> </v>
      </c>
      <c r="K1344" s="25" t="str">
        <f>IF(OR(E1344="",E1344="!!!",F1344="NEW"),"",INDEX(J$1:J1343,SUMPRODUCT(MAX(ROW(E$1:E1343)*(E1344=E$1:E1343)))))</f>
        <v> </v>
      </c>
      <c r="L1344" s="26"/>
    </row>
    <row r="1345" spans="1:12">
      <c r="A1345" s="20" t="s">
        <v>1145</v>
      </c>
      <c r="E1345" s="21">
        <f>IF(D1345="?OLD","!!!","")</f>
        <v/>
      </c>
      <c r="F1345" s="22" t="str">
        <f>IF(OR(E1345="",E1345="!!!"),"",IF(NOT(ISNA(VLOOKUP(E1345,E$1:E1344,1,FALSE()))),"OLD",IF(AND(E1345&lt;&gt;"",E1345&lt;&gt;"!!!"),"NEW","")))</f>
        <v> </v>
      </c>
      <c r="G1345" s="23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24" t="str">
        <f>IF(J1345&lt;&gt;1,"",IF(I1345="SBJ","CB","?"))</f>
        <v> </v>
      </c>
      <c r="I1345" s="25" t="str">
        <f>IF(OR(E1345="",E1345="!!!",F1345="NEW"),"",INDEX(B1344:B$2,-1+SUMPRODUCT(MAX(ROW(E1344:E$2)*(E1345=E1344:E$2)))))</f>
        <v> </v>
      </c>
      <c r="J1345" s="25" t="str">
        <f>IF(OR(E1345="",E1345="!!!",F1345="NEW"),"",COUNTBLANK(OFFSET(A$1,,,SUMPRODUCT(MAX(ROW(E$2:E1345)*(E1345=E$2:E1345)))))-COUNTBLANK(OFFSET(A$1,,,SUMPRODUCT(MAX(ROW(E$1:E1344)*(E2=E$1:E1344))))))</f>
        <v> </v>
      </c>
      <c r="K1345" s="25" t="str">
        <f>IF(OR(E1345="",E1345="!!!",F1345="NEW"),"",INDEX(J$1:J1344,SUMPRODUCT(MAX(ROW(E$1:E1344)*(E1345=E$1:E1344)))))</f>
        <v> </v>
      </c>
      <c r="L1345" s="26"/>
    </row>
    <row r="1346" spans="1:12">
      <c r="A1346" s="20"/>
    </row>
    <row r="1347" spans="1:12">
      <c r="A1347" s="20" t="s">
        <v>1835</v>
      </c>
    </row>
    <row r="1348" spans="1:12">
      <c r="A1348" s="20" t="s">
        <v>1111</v>
      </c>
      <c r="E1348" s="21">
        <f>IF(D1348="?OLD","!!!","")</f>
        <v/>
      </c>
      <c r="F1348" s="22" t="str">
        <f>IF(OR(E1348="",E1348="!!!"),"",IF(NOT(ISNA(VLOOKUP(E1348,E$1:E1347,1,FALSE()))),"OLD",IF(AND(E1348&lt;&gt;"",E1348&lt;&gt;"!!!"),"NEW","")))</f>
        <v> </v>
      </c>
      <c r="G1348" s="23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24" t="str">
        <f>IF(J1348&lt;&gt;1,"",IF(I1348="SBJ","CB","?"))</f>
        <v> </v>
      </c>
      <c r="I1348" s="25" t="str">
        <f>IF(OR(E1348="",E1348="!!!",F1348="NEW"),"",INDEX(B1347:B$2,-1+SUMPRODUCT(MAX(ROW(E1347:E$2)*(E1348=E1347:E$2)))))</f>
        <v> </v>
      </c>
      <c r="J1348" s="25" t="str">
        <f>IF(OR(E1348="",E1348="!!!",F1348="NEW"),"",COUNTBLANK(OFFSET(A$1,,,SUMPRODUCT(MAX(ROW(E$2:E1348)*(E1348=E$2:E1348)))))-COUNTBLANK(OFFSET(A$1,,,SUMPRODUCT(MAX(ROW(E$1:E1347)*(E2=E$1:E1347))))))</f>
        <v> </v>
      </c>
      <c r="K1348" s="25" t="str">
        <f>IF(OR(E1348="",E1348="!!!",F1348="NEW"),"",INDEX(J$1:J1347,SUMPRODUCT(MAX(ROW(E$1:E1347)*(E1348=E$1:E1347)))))</f>
        <v> </v>
      </c>
      <c r="L1348" s="26"/>
    </row>
    <row r="1349" spans="1:12">
      <c r="A1349" s="20" t="s">
        <v>1836</v>
      </c>
      <c r="E1349" s="21">
        <f>IF(D1349="?OLD","!!!","")</f>
        <v/>
      </c>
      <c r="F1349" s="22" t="str">
        <f>IF(OR(E1349="",E1349="!!!"),"",IF(NOT(ISNA(VLOOKUP(E1349,E$1:E1348,1,FALSE()))),"OLD",IF(AND(E1349&lt;&gt;"",E1349&lt;&gt;"!!!"),"NEW","")))</f>
        <v> </v>
      </c>
      <c r="G1349" s="23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24" t="str">
        <f>IF(J1349&lt;&gt;1,"",IF(I1349="SBJ","CB","?"))</f>
        <v> </v>
      </c>
      <c r="I1349" s="25" t="str">
        <f>IF(OR(E1349="",E1349="!!!",F1349="NEW"),"",INDEX(B1348:B$2,-1+SUMPRODUCT(MAX(ROW(E1348:E$2)*(E1349=E1348:E$2)))))</f>
        <v> </v>
      </c>
      <c r="J1349" s="25" t="str">
        <f>IF(OR(E1349="",E1349="!!!",F1349="NEW"),"",COUNTBLANK(OFFSET(A$1,,,SUMPRODUCT(MAX(ROW(E$2:E1349)*(E1349=E$2:E1349)))))-COUNTBLANK(OFFSET(A$1,,,SUMPRODUCT(MAX(ROW(E$1:E1348)*(E2=E$1:E1348))))))</f>
        <v> </v>
      </c>
      <c r="K1349" s="25" t="str">
        <f>IF(OR(E1349="",E1349="!!!",F1349="NEW"),"",INDEX(J$1:J1348,SUMPRODUCT(MAX(ROW(E$1:E1348)*(E1349=E$1:E1348)))))</f>
        <v> </v>
      </c>
      <c r="L1349" s="26"/>
    </row>
    <row r="1350" spans="1:12">
      <c r="A1350" s="20" t="s">
        <v>1837</v>
      </c>
      <c r="E1350" s="21">
        <f>IF(D1350="?OLD","!!!","")</f>
        <v/>
      </c>
      <c r="F1350" s="22" t="str">
        <f>IF(OR(E1350="",E1350="!!!"),"",IF(NOT(ISNA(VLOOKUP(E1350,E$1:E1349,1,FALSE()))),"OLD",IF(AND(E1350&lt;&gt;"",E1350&lt;&gt;"!!!"),"NEW","")))</f>
        <v> </v>
      </c>
      <c r="G1350" s="23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24" t="str">
        <f>IF(J1350&lt;&gt;1,"",IF(I1350="SBJ","CB","?"))</f>
        <v> </v>
      </c>
      <c r="I1350" s="25" t="str">
        <f>IF(OR(E1350="",E1350="!!!",F1350="NEW"),"",INDEX(B1349:B$2,-1+SUMPRODUCT(MAX(ROW(E1349:E$2)*(E1350=E1349:E$2)))))</f>
        <v> </v>
      </c>
      <c r="J1350" s="25" t="str">
        <f>IF(OR(E1350="",E1350="!!!",F1350="NEW"),"",COUNTBLANK(OFFSET(A$1,,,SUMPRODUCT(MAX(ROW(E$2:E1350)*(E1350=E$2:E1350)))))-COUNTBLANK(OFFSET(A$1,,,SUMPRODUCT(MAX(ROW(E$1:E1349)*(E2=E$1:E1349))))))</f>
        <v> </v>
      </c>
      <c r="K1350" s="25" t="str">
        <f>IF(OR(E1350="",E1350="!!!",F1350="NEW"),"",INDEX(J$1:J1349,SUMPRODUCT(MAX(ROW(E$1:E1349)*(E1350=E$1:E1349)))))</f>
        <v> </v>
      </c>
      <c r="L1350" s="26"/>
    </row>
    <row r="1351" spans="1:12">
      <c r="A1351" s="20" t="s">
        <v>1838</v>
      </c>
      <c r="E1351" s="21">
        <f>IF(D1351="?OLD","!!!","")</f>
        <v/>
      </c>
      <c r="F1351" s="22" t="str">
        <f>IF(OR(E1351="",E1351="!!!"),"",IF(NOT(ISNA(VLOOKUP(E1351,E$1:E1350,1,FALSE()))),"OLD",IF(AND(E1351&lt;&gt;"",E1351&lt;&gt;"!!!"),"NEW","")))</f>
        <v> </v>
      </c>
      <c r="G1351" s="23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4" t="str">
        <f>IF(J1351&lt;&gt;1,"",IF(I1351="SBJ","CB","?"))</f>
        <v> </v>
      </c>
      <c r="I1351" s="25" t="str">
        <f>IF(OR(E1351="",E1351="!!!",F1351="NEW"),"",INDEX(B1350:B$2,-1+SUMPRODUCT(MAX(ROW(E1350:E$2)*(E1351=E1350:E$2)))))</f>
        <v> </v>
      </c>
      <c r="J1351" s="25" t="str">
        <f>IF(OR(E1351="",E1351="!!!",F1351="NEW"),"",COUNTBLANK(OFFSET(A$1,,,SUMPRODUCT(MAX(ROW(E$2:E1351)*(E1351=E$2:E1351)))))-COUNTBLANK(OFFSET(A$1,,,SUMPRODUCT(MAX(ROW(E$1:E1350)*(E2=E$1:E1350))))))</f>
        <v> </v>
      </c>
      <c r="K1351" s="25" t="str">
        <f>IF(OR(E1351="",E1351="!!!",F1351="NEW"),"",INDEX(J$1:J1350,SUMPRODUCT(MAX(ROW(E$1:E1350)*(E1351=E$1:E1350)))))</f>
        <v> </v>
      </c>
      <c r="L1351" s="26"/>
    </row>
    <row r="1352" spans="1:12">
      <c r="A1352" s="20" t="s">
        <v>1123</v>
      </c>
      <c r="E1352" s="21">
        <f>IF(D1352="?OLD","!!!","")</f>
        <v/>
      </c>
      <c r="F1352" s="22" t="str">
        <f>IF(OR(E1352="",E1352="!!!"),"",IF(NOT(ISNA(VLOOKUP(E1352,E$1:E1351,1,FALSE()))),"OLD",IF(AND(E1352&lt;&gt;"",E1352&lt;&gt;"!!!"),"NEW","")))</f>
        <v> </v>
      </c>
      <c r="G1352" s="23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24" t="str">
        <f>IF(J1352&lt;&gt;1,"",IF(I1352="SBJ","CB","?"))</f>
        <v> </v>
      </c>
      <c r="I1352" s="25" t="str">
        <f>IF(OR(E1352="",E1352="!!!",F1352="NEW"),"",INDEX(B1351:B$2,-1+SUMPRODUCT(MAX(ROW(E1351:E$2)*(E1352=E1351:E$2)))))</f>
        <v> </v>
      </c>
      <c r="J1352" s="25" t="str">
        <f>IF(OR(E1352="",E1352="!!!",F1352="NEW"),"",COUNTBLANK(OFFSET(A$1,,,SUMPRODUCT(MAX(ROW(E$2:E1352)*(E1352=E$2:E1352)))))-COUNTBLANK(OFFSET(A$1,,,SUMPRODUCT(MAX(ROW(E$1:E1351)*(E2=E$1:E1351))))))</f>
        <v> </v>
      </c>
      <c r="K1352" s="25" t="str">
        <f>IF(OR(E1352="",E1352="!!!",F1352="NEW"),"",INDEX(J$1:J1351,SUMPRODUCT(MAX(ROW(E$1:E1351)*(E1352=E$1:E1351)))))</f>
        <v> </v>
      </c>
      <c r="L1352" s="26"/>
    </row>
    <row r="1353" spans="1:12">
      <c r="A1353" s="20" t="s">
        <v>1475</v>
      </c>
      <c r="E1353" s="21">
        <f>IF(D1353="?OLD","!!!","")</f>
        <v/>
      </c>
      <c r="F1353" s="22" t="str">
        <f>IF(OR(E1353="",E1353="!!!"),"",IF(NOT(ISNA(VLOOKUP(E1353,E$1:E1352,1,FALSE()))),"OLD",IF(AND(E1353&lt;&gt;"",E1353&lt;&gt;"!!!"),"NEW","")))</f>
        <v> </v>
      </c>
      <c r="G1353" s="23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24" t="str">
        <f>IF(J1353&lt;&gt;1,"",IF(I1353="SBJ","CB","?"))</f>
        <v> </v>
      </c>
      <c r="I1353" s="25" t="str">
        <f>IF(OR(E1353="",E1353="!!!",F1353="NEW"),"",INDEX(B1352:B$2,-1+SUMPRODUCT(MAX(ROW(E1352:E$2)*(E1353=E1352:E$2)))))</f>
        <v> </v>
      </c>
      <c r="J1353" s="25" t="str">
        <f>IF(OR(E1353="",E1353="!!!",F1353="NEW"),"",COUNTBLANK(OFFSET(A$1,,,SUMPRODUCT(MAX(ROW(E$2:E1353)*(E1353=E$2:E1353)))))-COUNTBLANK(OFFSET(A$1,,,SUMPRODUCT(MAX(ROW(E$1:E1352)*(E2=E$1:E1352))))))</f>
        <v> </v>
      </c>
      <c r="K1353" s="25" t="str">
        <f>IF(OR(E1353="",E1353="!!!",F1353="NEW"),"",INDEX(J$1:J1352,SUMPRODUCT(MAX(ROW(E$1:E1352)*(E1353=E$1:E1352)))))</f>
        <v> </v>
      </c>
      <c r="L1353" s="26"/>
    </row>
    <row r="1354" spans="1:12">
      <c r="A1354" s="20" t="s">
        <v>1839</v>
      </c>
      <c r="E1354" s="21">
        <f>IF(D1354="?OLD","!!!","")</f>
        <v/>
      </c>
      <c r="F1354" s="22" t="str">
        <f>IF(OR(E1354="",E1354="!!!"),"",IF(NOT(ISNA(VLOOKUP(E1354,E$1:E1353,1,FALSE()))),"OLD",IF(AND(E1354&lt;&gt;"",E1354&lt;&gt;"!!!"),"NEW","")))</f>
        <v> </v>
      </c>
      <c r="G1354" s="23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> </v>
      </c>
      <c r="H1354" s="24" t="str">
        <f>IF(J1354&lt;&gt;1,"",IF(I1354="SBJ","CB","?"))</f>
        <v> </v>
      </c>
      <c r="I1354" s="25" t="str">
        <f>IF(OR(E1354="",E1354="!!!",F1354="NEW"),"",INDEX(B1353:B$2,-1+SUMPRODUCT(MAX(ROW(E1353:E$2)*(E1354=E1353:E$2)))))</f>
        <v> </v>
      </c>
      <c r="J1354" s="25" t="str">
        <f>IF(OR(E1354="",E1354="!!!",F1354="NEW"),"",COUNTBLANK(OFFSET(A$1,,,SUMPRODUCT(MAX(ROW(E$2:E1354)*(E1354=E$2:E1354)))))-COUNTBLANK(OFFSET(A$1,,,SUMPRODUCT(MAX(ROW(E$1:E1353)*(E2=E$1:E1353))))))</f>
        <v> </v>
      </c>
      <c r="K1354" s="25" t="str">
        <f>IF(OR(E1354="",E1354="!!!",F1354="NEW"),"",INDEX(J$1:J1353,SUMPRODUCT(MAX(ROW(E$1:E1353)*(E1354=E$1:E1353)))))</f>
        <v> </v>
      </c>
      <c r="L1354" s="26"/>
    </row>
    <row r="1355" spans="1:12">
      <c r="A1355" s="20" t="s">
        <v>1145</v>
      </c>
      <c r="E1355" s="21">
        <f>IF(D1355="?OLD","!!!","")</f>
        <v/>
      </c>
      <c r="F1355" s="22" t="str">
        <f>IF(OR(E1355="",E1355="!!!"),"",IF(NOT(ISNA(VLOOKUP(E1355,E$1:E1354,1,FALSE()))),"OLD",IF(AND(E1355&lt;&gt;"",E1355&lt;&gt;"!!!"),"NEW","")))</f>
        <v> </v>
      </c>
      <c r="G1355" s="23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> </v>
      </c>
      <c r="H1355" s="24" t="str">
        <f>IF(J1355&lt;&gt;1,"",IF(I1355="SBJ","CB","?"))</f>
        <v> </v>
      </c>
      <c r="I1355" s="25" t="str">
        <f>IF(OR(E1355="",E1355="!!!",F1355="NEW"),"",INDEX(B1354:B$2,-1+SUMPRODUCT(MAX(ROW(E1354:E$2)*(E1355=E1354:E$2)))))</f>
        <v> </v>
      </c>
      <c r="J1355" s="25" t="str">
        <f>IF(OR(E1355="",E1355="!!!",F1355="NEW"),"",COUNTBLANK(OFFSET(A$1,,,SUMPRODUCT(MAX(ROW(E$2:E1355)*(E1355=E$2:E1355)))))-COUNTBLANK(OFFSET(A$1,,,SUMPRODUCT(MAX(ROW(E$1:E1354)*(E2=E$1:E1354))))))</f>
        <v> </v>
      </c>
      <c r="K1355" s="25" t="str">
        <f>IF(OR(E1355="",E1355="!!!",F1355="NEW"),"",INDEX(J$1:J1354,SUMPRODUCT(MAX(ROW(E$1:E1354)*(E1355=E$1:E1354)))))</f>
        <v> </v>
      </c>
      <c r="L1355" s="26"/>
    </row>
    <row r="1356" spans="1:12">
      <c r="A1356" s="20"/>
    </row>
    <row r="1357" spans="1:12">
      <c r="A1357" s="20" t="s">
        <v>1840</v>
      </c>
    </row>
    <row r="1358" spans="1:12">
      <c r="A1358" s="20" t="s">
        <v>1111</v>
      </c>
      <c r="E1358" s="21">
        <f>IF(D1358="?OLD","!!!","")</f>
        <v/>
      </c>
      <c r="F1358" s="22" t="str">
        <f>IF(OR(E1358="",E1358="!!!"),"",IF(NOT(ISNA(VLOOKUP(E1358,E$1:E1357,1,FALSE()))),"OLD",IF(AND(E1358&lt;&gt;"",E1358&lt;&gt;"!!!"),"NEW","")))</f>
        <v> </v>
      </c>
      <c r="G1358" s="23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> </v>
      </c>
      <c r="H1358" s="24" t="str">
        <f>IF(J1358&lt;&gt;1,"",IF(I1358="SBJ","CB","?"))</f>
        <v> </v>
      </c>
      <c r="I1358" s="25" t="str">
        <f>IF(OR(E1358="",E1358="!!!",F1358="NEW"),"",INDEX(B1357:B$2,-1+SUMPRODUCT(MAX(ROW(E1357:E$2)*(E1358=E1357:E$2)))))</f>
        <v> </v>
      </c>
      <c r="J1358" s="25" t="str">
        <f>IF(OR(E1358="",E1358="!!!",F1358="NEW"),"",COUNTBLANK(OFFSET(A$1,,,SUMPRODUCT(MAX(ROW(E$2:E1358)*(E1358=E$2:E1358)))))-COUNTBLANK(OFFSET(A$1,,,SUMPRODUCT(MAX(ROW(E$1:E1357)*(E2=E$1:E1357))))))</f>
        <v> </v>
      </c>
      <c r="K1358" s="25" t="str">
        <f>IF(OR(E1358="",E1358="!!!",F1358="NEW"),"",INDEX(J$1:J1357,SUMPRODUCT(MAX(ROW(E$1:E1357)*(E1358=E$1:E1357)))))</f>
        <v> </v>
      </c>
      <c r="L1358" s="26"/>
    </row>
    <row r="1359" spans="1:12">
      <c r="A1359" s="20" t="s">
        <v>1436</v>
      </c>
      <c r="E1359" s="21">
        <f>IF(D1359="?OLD","!!!","")</f>
        <v/>
      </c>
      <c r="F1359" s="22" t="str">
        <f>IF(OR(E1359="",E1359="!!!"),"",IF(NOT(ISNA(VLOOKUP(E1359,E$1:E1358,1,FALSE()))),"OLD",IF(AND(E1359&lt;&gt;"",E1359&lt;&gt;"!!!"),"NEW","")))</f>
        <v> </v>
      </c>
      <c r="G1359" s="23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> </v>
      </c>
      <c r="H1359" s="24" t="str">
        <f>IF(J1359&lt;&gt;1,"",IF(I1359="SBJ","CB","?"))</f>
        <v> </v>
      </c>
      <c r="I1359" s="25" t="str">
        <f>IF(OR(E1359="",E1359="!!!",F1359="NEW"),"",INDEX(B1358:B$2,-1+SUMPRODUCT(MAX(ROW(E1358:E$2)*(E1359=E1358:E$2)))))</f>
        <v> </v>
      </c>
      <c r="J1359" s="25" t="str">
        <f>IF(OR(E1359="",E1359="!!!",F1359="NEW"),"",COUNTBLANK(OFFSET(A$1,,,SUMPRODUCT(MAX(ROW(E$2:E1359)*(E1359=E$2:E1359)))))-COUNTBLANK(OFFSET(A$1,,,SUMPRODUCT(MAX(ROW(E$1:E1358)*(E2=E$1:E1358))))))</f>
        <v> </v>
      </c>
      <c r="K1359" s="25" t="str">
        <f>IF(OR(E1359="",E1359="!!!",F1359="NEW"),"",INDEX(J$1:J1358,SUMPRODUCT(MAX(ROW(E$1:E1358)*(E1359=E$1:E1358)))))</f>
        <v> </v>
      </c>
      <c r="L1359" s="26"/>
    </row>
    <row r="1360" spans="1:12">
      <c r="A1360" s="20" t="s">
        <v>1123</v>
      </c>
      <c r="E1360" s="21">
        <f>IF(D1360="?OLD","!!!","")</f>
        <v/>
      </c>
      <c r="F1360" s="22" t="str">
        <f>IF(OR(E1360="",E1360="!!!"),"",IF(NOT(ISNA(VLOOKUP(E1360,E$1:E1359,1,FALSE()))),"OLD",IF(AND(E1360&lt;&gt;"",E1360&lt;&gt;"!!!"),"NEW","")))</f>
        <v> </v>
      </c>
      <c r="G1360" s="23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> </v>
      </c>
      <c r="H1360" s="24" t="str">
        <f>IF(J1360&lt;&gt;1,"",IF(I1360="SBJ","CB","?"))</f>
        <v> </v>
      </c>
      <c r="I1360" s="25" t="str">
        <f>IF(OR(E1360="",E1360="!!!",F1360="NEW"),"",INDEX(B1359:B$2,-1+SUMPRODUCT(MAX(ROW(E1359:E$2)*(E1360=E1359:E$2)))))</f>
        <v> </v>
      </c>
      <c r="J1360" s="25" t="str">
        <f>IF(OR(E1360="",E1360="!!!",F1360="NEW"),"",COUNTBLANK(OFFSET(A$1,,,SUMPRODUCT(MAX(ROW(E$2:E1360)*(E1360=E$2:E1360)))))-COUNTBLANK(OFFSET(A$1,,,SUMPRODUCT(MAX(ROW(E$1:E1359)*(E2=E$1:E1359))))))</f>
        <v> </v>
      </c>
      <c r="K1360" s="25" t="str">
        <f>IF(OR(E1360="",E1360="!!!",F1360="NEW"),"",INDEX(J$1:J1359,SUMPRODUCT(MAX(ROW(E$1:E1359)*(E1360=E$1:E1359)))))</f>
        <v> </v>
      </c>
      <c r="L1360" s="26"/>
    </row>
    <row r="1361" spans="1:12">
      <c r="A1361" s="20" t="s">
        <v>1841</v>
      </c>
      <c r="E1361" s="21">
        <f>IF(D1361="?OLD","!!!","")</f>
        <v/>
      </c>
      <c r="F1361" s="22" t="str">
        <f>IF(OR(E1361="",E1361="!!!"),"",IF(NOT(ISNA(VLOOKUP(E1361,E$1:E1360,1,FALSE()))),"OLD",IF(AND(E1361&lt;&gt;"",E1361&lt;&gt;"!!!"),"NEW","")))</f>
        <v> </v>
      </c>
      <c r="G1361" s="23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24" t="str">
        <f>IF(J1361&lt;&gt;1,"",IF(I1361="SBJ","CB","?"))</f>
        <v> </v>
      </c>
      <c r="I1361" s="25" t="str">
        <f>IF(OR(E1361="",E1361="!!!",F1361="NEW"),"",INDEX(B1360:B$2,-1+SUMPRODUCT(MAX(ROW(E1360:E$2)*(E1361=E1360:E$2)))))</f>
        <v> </v>
      </c>
      <c r="J1361" s="25" t="str">
        <f>IF(OR(E1361="",E1361="!!!",F1361="NEW"),"",COUNTBLANK(OFFSET(A$1,,,SUMPRODUCT(MAX(ROW(E$2:E1361)*(E1361=E$2:E1361)))))-COUNTBLANK(OFFSET(A$1,,,SUMPRODUCT(MAX(ROW(E$1:E1360)*(E2=E$1:E1360))))))</f>
        <v> </v>
      </c>
      <c r="K1361" s="25" t="str">
        <f>IF(OR(E1361="",E1361="!!!",F1361="NEW"),"",INDEX(J$1:J1360,SUMPRODUCT(MAX(ROW(E$1:E1360)*(E1361=E$1:E1360)))))</f>
        <v> </v>
      </c>
      <c r="L1361" s="26"/>
    </row>
    <row r="1362" spans="1:12">
      <c r="A1362" s="20" t="s">
        <v>1123</v>
      </c>
      <c r="E1362" s="21">
        <f>IF(D1362="?OLD","!!!","")</f>
        <v/>
      </c>
      <c r="F1362" s="22" t="str">
        <f>IF(OR(E1362="",E1362="!!!"),"",IF(NOT(ISNA(VLOOKUP(E1362,E$1:E1361,1,FALSE()))),"OLD",IF(AND(E1362&lt;&gt;"",E1362&lt;&gt;"!!!"),"NEW","")))</f>
        <v> </v>
      </c>
      <c r="G1362" s="23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> </v>
      </c>
      <c r="H1362" s="24" t="str">
        <f>IF(J1362&lt;&gt;1,"",IF(I1362="SBJ","CB","?"))</f>
        <v> </v>
      </c>
      <c r="I1362" s="25" t="str">
        <f>IF(OR(E1362="",E1362="!!!",F1362="NEW"),"",INDEX(B1361:B$2,-1+SUMPRODUCT(MAX(ROW(E1361:E$2)*(E1362=E1361:E$2)))))</f>
        <v> </v>
      </c>
      <c r="J1362" s="25" t="str">
        <f>IF(OR(E1362="",E1362="!!!",F1362="NEW"),"",COUNTBLANK(OFFSET(A$1,,,SUMPRODUCT(MAX(ROW(E$2:E1362)*(E1362=E$2:E1362)))))-COUNTBLANK(OFFSET(A$1,,,SUMPRODUCT(MAX(ROW(E$1:E1361)*(E2=E$1:E1361))))))</f>
        <v> </v>
      </c>
      <c r="K1362" s="25" t="str">
        <f>IF(OR(E1362="",E1362="!!!",F1362="NEW"),"",INDEX(J$1:J1361,SUMPRODUCT(MAX(ROW(E$1:E1361)*(E1362=E$1:E1361)))))</f>
        <v> </v>
      </c>
      <c r="L1362" s="26"/>
    </row>
    <row r="1363" spans="1:12">
      <c r="A1363" s="20" t="s">
        <v>1842</v>
      </c>
      <c r="E1363" s="21">
        <f>IF(D1363="?OLD","!!!","")</f>
        <v/>
      </c>
      <c r="F1363" s="22" t="str">
        <f>IF(OR(E1363="",E1363="!!!"),"",IF(NOT(ISNA(VLOOKUP(E1363,E$1:E1362,1,FALSE()))),"OLD",IF(AND(E1363&lt;&gt;"",E1363&lt;&gt;"!!!"),"NEW","")))</f>
        <v> </v>
      </c>
      <c r="G1363" s="23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> </v>
      </c>
      <c r="H1363" s="24" t="str">
        <f>IF(J1363&lt;&gt;1,"",IF(I1363="SBJ","CB","?"))</f>
        <v> </v>
      </c>
      <c r="I1363" s="25" t="str">
        <f>IF(OR(E1363="",E1363="!!!",F1363="NEW"),"",INDEX(B1362:B$2,-1+SUMPRODUCT(MAX(ROW(E1362:E$2)*(E1363=E1362:E$2)))))</f>
        <v> </v>
      </c>
      <c r="J1363" s="25" t="str">
        <f>IF(OR(E1363="",E1363="!!!",F1363="NEW"),"",COUNTBLANK(OFFSET(A$1,,,SUMPRODUCT(MAX(ROW(E$2:E1363)*(E1363=E$2:E1363)))))-COUNTBLANK(OFFSET(A$1,,,SUMPRODUCT(MAX(ROW(E$1:E1362)*(E2=E$1:E1362))))))</f>
        <v> </v>
      </c>
      <c r="K1363" s="25" t="str">
        <f>IF(OR(E1363="",E1363="!!!",F1363="NEW"),"",INDEX(J$1:J1362,SUMPRODUCT(MAX(ROW(E$1:E1362)*(E1363=E$1:E1362)))))</f>
        <v> </v>
      </c>
      <c r="L1363" s="26"/>
    </row>
    <row r="1364" spans="1:12">
      <c r="A1364" s="20" t="s">
        <v>1128</v>
      </c>
      <c r="E1364" s="21">
        <f>IF(D1364="?OLD","!!!","")</f>
        <v/>
      </c>
      <c r="F1364" s="22" t="str">
        <f>IF(OR(E1364="",E1364="!!!"),"",IF(NOT(ISNA(VLOOKUP(E1364,E$1:E1363,1,FALSE()))),"OLD",IF(AND(E1364&lt;&gt;"",E1364&lt;&gt;"!!!"),"NEW","")))</f>
        <v> </v>
      </c>
      <c r="G1364" s="23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 </v>
      </c>
      <c r="H1364" s="24" t="str">
        <f>IF(J1364&lt;&gt;1,"",IF(I1364="SBJ","CB","?"))</f>
        <v> </v>
      </c>
      <c r="I1364" s="25" t="str">
        <f>IF(OR(E1364="",E1364="!!!",F1364="NEW"),"",INDEX(B1363:B$2,-1+SUMPRODUCT(MAX(ROW(E1363:E$2)*(E1364=E1363:E$2)))))</f>
        <v> </v>
      </c>
      <c r="J1364" s="25" t="str">
        <f>IF(OR(E1364="",E1364="!!!",F1364="NEW"),"",COUNTBLANK(OFFSET(A$1,,,SUMPRODUCT(MAX(ROW(E$2:E1364)*(E1364=E$2:E1364)))))-COUNTBLANK(OFFSET(A$1,,,SUMPRODUCT(MAX(ROW(E$1:E1363)*(E2=E$1:E1363))))))</f>
        <v> </v>
      </c>
      <c r="K1364" s="25" t="str">
        <f>IF(OR(E1364="",E1364="!!!",F1364="NEW"),"",INDEX(J$1:J1363,SUMPRODUCT(MAX(ROW(E$1:E1363)*(E1364=E$1:E1363)))))</f>
        <v> </v>
      </c>
      <c r="L1364" s="26"/>
    </row>
    <row r="1365" spans="1:12">
      <c r="A1365" s="20" t="s">
        <v>1843</v>
      </c>
      <c r="E1365" s="21">
        <f>IF(D1365="?OLD","!!!","")</f>
        <v/>
      </c>
      <c r="F1365" s="22" t="str">
        <f>IF(OR(E1365="",E1365="!!!"),"",IF(NOT(ISNA(VLOOKUP(E1365,E$1:E1364,1,FALSE()))),"OLD",IF(AND(E1365&lt;&gt;"",E1365&lt;&gt;"!!!"),"NEW","")))</f>
        <v> </v>
      </c>
      <c r="G1365" s="23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 </v>
      </c>
      <c r="H1365" s="24" t="str">
        <f>IF(J1365&lt;&gt;1,"",IF(I1365="SBJ","CB","?"))</f>
        <v> </v>
      </c>
      <c r="I1365" s="25" t="str">
        <f>IF(OR(E1365="",E1365="!!!",F1365="NEW"),"",INDEX(B1364:B$2,-1+SUMPRODUCT(MAX(ROW(E1364:E$2)*(E1365=E1364:E$2)))))</f>
        <v> </v>
      </c>
      <c r="J1365" s="25" t="str">
        <f>IF(OR(E1365="",E1365="!!!",F1365="NEW"),"",COUNTBLANK(OFFSET(A$1,,,SUMPRODUCT(MAX(ROW(E$2:E1365)*(E1365=E$2:E1365)))))-COUNTBLANK(OFFSET(A$1,,,SUMPRODUCT(MAX(ROW(E$1:E1364)*(E2=E$1:E1364))))))</f>
        <v> </v>
      </c>
      <c r="K1365" s="25" t="str">
        <f>IF(OR(E1365="",E1365="!!!",F1365="NEW"),"",INDEX(J$1:J1364,SUMPRODUCT(MAX(ROW(E$1:E1364)*(E1365=E$1:E1364)))))</f>
        <v> </v>
      </c>
      <c r="L1365" s="26"/>
    </row>
    <row r="1366" spans="1:12">
      <c r="A1366" s="20" t="s">
        <v>1145</v>
      </c>
      <c r="E1366" s="21">
        <f>IF(D1366="?OLD","!!!","")</f>
        <v/>
      </c>
      <c r="F1366" s="22" t="str">
        <f>IF(OR(E1366="",E1366="!!!"),"",IF(NOT(ISNA(VLOOKUP(E1366,E$1:E1365,1,FALSE()))),"OLD",IF(AND(E1366&lt;&gt;"",E1366&lt;&gt;"!!!"),"NEW","")))</f>
        <v> </v>
      </c>
      <c r="G1366" s="23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24" t="str">
        <f>IF(J1366&lt;&gt;1,"",IF(I1366="SBJ","CB","?"))</f>
        <v> </v>
      </c>
      <c r="I1366" s="25" t="str">
        <f>IF(OR(E1366="",E1366="!!!",F1366="NEW"),"",INDEX(B1365:B$2,-1+SUMPRODUCT(MAX(ROW(E1365:E$2)*(E1366=E1365:E$2)))))</f>
        <v> </v>
      </c>
      <c r="J1366" s="25" t="str">
        <f>IF(OR(E1366="",E1366="!!!",F1366="NEW"),"",COUNTBLANK(OFFSET(A$1,,,SUMPRODUCT(MAX(ROW(E$2:E1366)*(E1366=E$2:E1366)))))-COUNTBLANK(OFFSET(A$1,,,SUMPRODUCT(MAX(ROW(E$1:E1365)*(E2=E$1:E1365))))))</f>
        <v> </v>
      </c>
      <c r="K1366" s="25" t="str">
        <f>IF(OR(E1366="",E1366="!!!",F1366="NEW"),"",INDEX(J$1:J1365,SUMPRODUCT(MAX(ROW(E$1:E1365)*(E1366=E$1:E1365)))))</f>
        <v> </v>
      </c>
      <c r="L1366" s="26"/>
    </row>
    <row r="1367" spans="1:12">
      <c r="A1367" s="20"/>
    </row>
    <row r="1368" spans="1:12">
      <c r="A1368" s="20" t="s">
        <v>1844</v>
      </c>
    </row>
    <row r="1369" spans="1:12">
      <c r="A1369" s="20" t="s">
        <v>1845</v>
      </c>
      <c r="E1369" s="21">
        <f>IF(D1369="?OLD","!!!","")</f>
        <v/>
      </c>
      <c r="F1369" s="22" t="str">
        <f>IF(OR(E1369="",E1369="!!!"),"",IF(NOT(ISNA(VLOOKUP(E1369,E$1:E1368,1,FALSE()))),"OLD",IF(AND(E1369&lt;&gt;"",E1369&lt;&gt;"!!!"),"NEW","")))</f>
        <v> </v>
      </c>
      <c r="G1369" s="23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24" t="str">
        <f>IF(J1369&lt;&gt;1,"",IF(I1369="SBJ","CB","?"))</f>
        <v> </v>
      </c>
      <c r="I1369" s="25" t="str">
        <f>IF(OR(E1369="",E1369="!!!",F1369="NEW"),"",INDEX(B1368:B$2,-1+SUMPRODUCT(MAX(ROW(E1368:E$2)*(E1369=E1368:E$2)))))</f>
        <v> </v>
      </c>
      <c r="J1369" s="25" t="str">
        <f>IF(OR(E1369="",E1369="!!!",F1369="NEW"),"",COUNTBLANK(OFFSET(A$1,,,SUMPRODUCT(MAX(ROW(E$2:E1369)*(E1369=E$2:E1369)))))-COUNTBLANK(OFFSET(A$1,,,SUMPRODUCT(MAX(ROW(E$1:E1368)*(E2=E$1:E1368))))))</f>
        <v> </v>
      </c>
      <c r="K1369" s="25" t="str">
        <f>IF(OR(E1369="",E1369="!!!",F1369="NEW"),"",INDEX(J$1:J1368,SUMPRODUCT(MAX(ROW(E$1:E1368)*(E1369=E$1:E1368)))))</f>
        <v> </v>
      </c>
      <c r="L1369" s="26"/>
    </row>
    <row r="1370" spans="1:12">
      <c r="A1370" s="20" t="s">
        <v>1846</v>
      </c>
      <c r="E1370" s="21">
        <f>IF(D1370="?OLD","!!!","")</f>
        <v/>
      </c>
      <c r="F1370" s="22" t="str">
        <f>IF(OR(E1370="",E1370="!!!"),"",IF(NOT(ISNA(VLOOKUP(E1370,E$1:E1369,1,FALSE()))),"OLD",IF(AND(E1370&lt;&gt;"",E1370&lt;&gt;"!!!"),"NEW","")))</f>
        <v> </v>
      </c>
      <c r="G1370" s="23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 </v>
      </c>
      <c r="H1370" s="24" t="str">
        <f>IF(J1370&lt;&gt;1,"",IF(I1370="SBJ","CB","?"))</f>
        <v> </v>
      </c>
      <c r="I1370" s="25" t="str">
        <f>IF(OR(E1370="",E1370="!!!",F1370="NEW"),"",INDEX(B1369:B$2,-1+SUMPRODUCT(MAX(ROW(E1369:E$2)*(E1370=E1369:E$2)))))</f>
        <v> </v>
      </c>
      <c r="J1370" s="25" t="str">
        <f>IF(OR(E1370="",E1370="!!!",F1370="NEW"),"",COUNTBLANK(OFFSET(A$1,,,SUMPRODUCT(MAX(ROW(E$2:E1370)*(E1370=E$2:E1370)))))-COUNTBLANK(OFFSET(A$1,,,SUMPRODUCT(MAX(ROW(E$1:E1369)*(E2=E$1:E1369))))))</f>
        <v> </v>
      </c>
      <c r="K1370" s="25" t="str">
        <f>IF(OR(E1370="",E1370="!!!",F1370="NEW"),"",INDEX(J$1:J1369,SUMPRODUCT(MAX(ROW(E$1:E1369)*(E1370=E$1:E1369)))))</f>
        <v> </v>
      </c>
      <c r="L1370" s="26"/>
    </row>
    <row r="1371" spans="1:12">
      <c r="A1371" s="20" t="s">
        <v>1305</v>
      </c>
      <c r="B1371" s="27" t="s">
        <v>1110</v>
      </c>
      <c r="C1371" s="27" t="s">
        <v>1116</v>
      </c>
      <c r="D1371" s="27" t="s">
        <v>1105</v>
      </c>
      <c r="E1371" s="21">
        <f>IF(D1371="?OLD","!!!","")</f>
        <v/>
      </c>
      <c r="F1371" s="22" t="str">
        <f>IF(OR(E1371="",E1371="!!!"),"",IF(NOT(ISNA(VLOOKUP(E1371,E$1:E1370,1,FALSE()))),"OLD",IF(AND(E1371&lt;&gt;"",E1371&lt;&gt;"!!!"),"NEW","")))</f>
        <v> </v>
      </c>
      <c r="G1371" s="23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24" t="str">
        <f>IF(J1371&lt;&gt;1,"",IF(I1371="SBJ","CB","?"))</f>
        <v> </v>
      </c>
      <c r="I1371" s="25" t="str">
        <f>IF(OR(E1371="",E1371="!!!",F1371="NEW"),"",INDEX(B1370:B$2,-1+SUMPRODUCT(MAX(ROW(E1370:E$2)*(E1371=E1370:E$2)))))</f>
        <v> </v>
      </c>
      <c r="J1371" s="25" t="str">
        <f>IF(OR(E1371="",E1371="!!!",F1371="NEW"),"",COUNTBLANK(OFFSET(A$1,,,SUMPRODUCT(MAX(ROW(E$2:E1371)*(E1371=E$2:E1371)))))-COUNTBLANK(OFFSET(A$1,,,SUMPRODUCT(MAX(ROW(E$1:E1370)*(E2=E$1:E1370))))))</f>
        <v> </v>
      </c>
      <c r="K1371" s="25" t="str">
        <f>IF(OR(E1371="",E1371="!!!",F1371="NEW"),"",INDEX(J$1:J1370,SUMPRODUCT(MAX(ROW(E$1:E1370)*(E1371=E$1:E1370)))))</f>
        <v> </v>
      </c>
      <c r="L1371" s="26"/>
    </row>
    <row r="1372" spans="1:12">
      <c r="A1372" s="20" t="s">
        <v>1239</v>
      </c>
      <c r="E1372" s="21">
        <f>IF(D1372="?OLD","!!!","")</f>
        <v/>
      </c>
      <c r="F1372" s="22" t="str">
        <f>IF(OR(E1372="",E1372="!!!"),"",IF(NOT(ISNA(VLOOKUP(E1372,E$1:E1371,1,FALSE()))),"OLD",IF(AND(E1372&lt;&gt;"",E1372&lt;&gt;"!!!"),"NEW","")))</f>
        <v> </v>
      </c>
      <c r="G1372" s="23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24" t="str">
        <f>IF(J1372&lt;&gt;1,"",IF(I1372="SBJ","CB","?"))</f>
        <v> </v>
      </c>
      <c r="I1372" s="25" t="str">
        <f>IF(OR(E1372="",E1372="!!!",F1372="NEW"),"",INDEX(B1371:B$2,-1+SUMPRODUCT(MAX(ROW(E1371:E$2)*(E1372=E1371:E$2)))))</f>
        <v> </v>
      </c>
      <c r="J1372" s="25" t="str">
        <f>IF(OR(E1372="",E1372="!!!",F1372="NEW"),"",COUNTBLANK(OFFSET(A$1,,,SUMPRODUCT(MAX(ROW(E$2:E1372)*(E1372=E$2:E1372)))))-COUNTBLANK(OFFSET(A$1,,,SUMPRODUCT(MAX(ROW(E$1:E1371)*(E2=E$1:E1371))))))</f>
        <v> </v>
      </c>
      <c r="K1372" s="25" t="str">
        <f>IF(OR(E1372="",E1372="!!!",F1372="NEW"),"",INDEX(J$1:J1371,SUMPRODUCT(MAX(ROW(E$1:E1371)*(E1372=E$1:E1371)))))</f>
        <v> </v>
      </c>
      <c r="L1372" s="26"/>
    </row>
    <row r="1373" spans="1:12">
      <c r="A1373" s="20" t="s">
        <v>263</v>
      </c>
      <c r="B1373" s="27" t="s">
        <v>1122</v>
      </c>
      <c r="E1373" s="21">
        <f>IF(D1373="?OLD","!!!","")</f>
        <v/>
      </c>
      <c r="F1373" s="22" t="str">
        <f>IF(OR(E1373="",E1373="!!!"),"",IF(NOT(ISNA(VLOOKUP(E1373,E$1:E1372,1,FALSE()))),"OLD",IF(AND(E1373&lt;&gt;"",E1373&lt;&gt;"!!!"),"NEW","")))</f>
        <v> </v>
      </c>
      <c r="G1373" s="23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> </v>
      </c>
      <c r="H1373" s="24" t="str">
        <f>IF(J1373&lt;&gt;1,"",IF(I1373="SBJ","CB","?"))</f>
        <v> </v>
      </c>
      <c r="I1373" s="25" t="str">
        <f>IF(OR(E1373="",E1373="!!!",F1373="NEW"),"",INDEX(B1372:B$2,-1+SUMPRODUCT(MAX(ROW(E1372:E$2)*(E1373=E1372:E$2)))))</f>
        <v> </v>
      </c>
      <c r="J1373" s="25" t="str">
        <f>IF(OR(E1373="",E1373="!!!",F1373="NEW"),"",COUNTBLANK(OFFSET(A$1,,,SUMPRODUCT(MAX(ROW(E$2:E1373)*(E1373=E$2:E1373)))))-COUNTBLANK(OFFSET(A$1,,,SUMPRODUCT(MAX(ROW(E$1:E1372)*(E2=E$1:E1372))))))</f>
        <v> </v>
      </c>
      <c r="K1373" s="25" t="str">
        <f>IF(OR(E1373="",E1373="!!!",F1373="NEW"),"",INDEX(J$1:J1372,SUMPRODUCT(MAX(ROW(E$1:E1372)*(E1373=E$1:E1372)))))</f>
        <v> </v>
      </c>
      <c r="L1373" s="26"/>
    </row>
    <row r="1374" spans="1:12">
      <c r="A1374" s="20" t="s">
        <v>1847</v>
      </c>
      <c r="E1374" s="21">
        <f>IF(D1374="?OLD","!!!","")</f>
        <v/>
      </c>
      <c r="F1374" s="22" t="str">
        <f>IF(OR(E1374="",E1374="!!!"),"",IF(NOT(ISNA(VLOOKUP(E1374,E$1:E1373,1,FALSE()))),"OLD",IF(AND(E1374&lt;&gt;"",E1374&lt;&gt;"!!!"),"NEW","")))</f>
        <v> </v>
      </c>
      <c r="G1374" s="23" t="str">
        <f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> </v>
      </c>
      <c r="H1374" s="24" t="str">
        <f>IF(J1374&lt;&gt;1,"",IF(I1374="SBJ","CB","?"))</f>
        <v> </v>
      </c>
      <c r="I1374" s="25" t="str">
        <f>IF(OR(E1374="",E1374="!!!",F1374="NEW"),"",INDEX(B1373:B$2,-1+SUMPRODUCT(MAX(ROW(E1373:E$2)*(E1374=E1373:E$2)))))</f>
        <v> </v>
      </c>
      <c r="J1374" s="25" t="str">
        <f>IF(OR(E1374="",E1374="!!!",F1374="NEW"),"",COUNTBLANK(OFFSET(A$1,,,SUMPRODUCT(MAX(ROW(E$2:E1374)*(E1374=E$2:E1374)))))-COUNTBLANK(OFFSET(A$1,,,SUMPRODUCT(MAX(ROW(E$1:E1373)*(E2=E$1:E1373))))))</f>
        <v> </v>
      </c>
      <c r="K1374" s="25" t="str">
        <f>IF(OR(E1374="",E1374="!!!",F1374="NEW"),"",INDEX(J$1:J1373,SUMPRODUCT(MAX(ROW(E$1:E1373)*(E1374=E$1:E1373)))))</f>
        <v> </v>
      </c>
      <c r="L1374" s="26"/>
    </row>
    <row r="1375" spans="1:12">
      <c r="A1375" s="20" t="s">
        <v>1249</v>
      </c>
      <c r="E1375" s="21">
        <f>IF(D1375="?OLD","!!!","")</f>
        <v/>
      </c>
      <c r="F1375" s="22" t="str">
        <f>IF(OR(E1375="",E1375="!!!"),"",IF(NOT(ISNA(VLOOKUP(E1375,E$1:E1374,1,FALSE()))),"OLD",IF(AND(E1375&lt;&gt;"",E1375&lt;&gt;"!!!"),"NEW","")))</f>
        <v> </v>
      </c>
      <c r="G1375" s="23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> </v>
      </c>
      <c r="H1375" s="24" t="str">
        <f>IF(J1375&lt;&gt;1,"",IF(I1375="SBJ","CB","?"))</f>
        <v> </v>
      </c>
      <c r="I1375" s="25" t="str">
        <f>IF(OR(E1375="",E1375="!!!",F1375="NEW"),"",INDEX(B1374:B$2,-1+SUMPRODUCT(MAX(ROW(E1374:E$2)*(E1375=E1374:E$2)))))</f>
        <v> </v>
      </c>
      <c r="J1375" s="25" t="str">
        <f>IF(OR(E1375="",E1375="!!!",F1375="NEW"),"",COUNTBLANK(OFFSET(A$1,,,SUMPRODUCT(MAX(ROW(E$2:E1375)*(E1375=E$2:E1375)))))-COUNTBLANK(OFFSET(A$1,,,SUMPRODUCT(MAX(ROW(E$1:E1374)*(E2=E$1:E1374))))))</f>
        <v> </v>
      </c>
      <c r="K1375" s="25" t="str">
        <f>IF(OR(E1375="",E1375="!!!",F1375="NEW"),"",INDEX(J$1:J1374,SUMPRODUCT(MAX(ROW(E$1:E1374)*(E1375=E$1:E1374)))))</f>
        <v> </v>
      </c>
      <c r="L1375" s="26"/>
    </row>
    <row r="1376" spans="1:12">
      <c r="A1376" s="20" t="s">
        <v>1270</v>
      </c>
      <c r="B1376" s="27" t="s">
        <v>1107</v>
      </c>
      <c r="C1376" s="27" t="s">
        <v>1126</v>
      </c>
      <c r="D1376" s="27" t="s">
        <v>1105</v>
      </c>
      <c r="E1376" s="21">
        <f>IF(D1376="?OLD","!!!","")</f>
        <v/>
      </c>
      <c r="F1376" s="22" t="str">
        <f>IF(OR(E1376="",E1376="!!!"),"",IF(NOT(ISNA(VLOOKUP(E1376,E$1:E1375,1,FALSE()))),"OLD",IF(AND(E1376&lt;&gt;"",E1376&lt;&gt;"!!!"),"NEW","")))</f>
        <v> </v>
      </c>
      <c r="G1376" s="23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> </v>
      </c>
      <c r="H1376" s="24" t="str">
        <f>IF(J1376&lt;&gt;1,"",IF(I1376="SBJ","CB","?"))</f>
        <v> </v>
      </c>
      <c r="I1376" s="25" t="str">
        <f>IF(OR(E1376="",E1376="!!!",F1376="NEW"),"",INDEX(B1375:B$2,-1+SUMPRODUCT(MAX(ROW(E1375:E$2)*(E1376=E1375:E$2)))))</f>
        <v> </v>
      </c>
      <c r="J1376" s="25" t="str">
        <f>IF(OR(E1376="",E1376="!!!",F1376="NEW"),"",COUNTBLANK(OFFSET(A$1,,,SUMPRODUCT(MAX(ROW(E$2:E1376)*(E1376=E$2:E1376)))))-COUNTBLANK(OFFSET(A$1,,,SUMPRODUCT(MAX(ROW(E$1:E1375)*(E2=E$1:E1375))))))</f>
        <v> </v>
      </c>
      <c r="K1376" s="25" t="str">
        <f>IF(OR(E1376="",E1376="!!!",F1376="NEW"),"",INDEX(J$1:J1375,SUMPRODUCT(MAX(ROW(E$1:E1375)*(E1376=E$1:E1375)))))</f>
        <v> </v>
      </c>
      <c r="L1376" s="26"/>
    </row>
    <row r="1377" spans="1:12">
      <c r="A1377" s="20" t="s">
        <v>1123</v>
      </c>
      <c r="E1377" s="21">
        <f>IF(D1377="?OLD","!!!","")</f>
        <v/>
      </c>
      <c r="F1377" s="22" t="str">
        <f>IF(OR(E1377="",E1377="!!!"),"",IF(NOT(ISNA(VLOOKUP(E1377,E$1:E1376,1,FALSE()))),"OLD",IF(AND(E1377&lt;&gt;"",E1377&lt;&gt;"!!!"),"NEW","")))</f>
        <v> </v>
      </c>
      <c r="G1377" s="23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24" t="str">
        <f>IF(J1377&lt;&gt;1,"",IF(I1377="SBJ","CB","?"))</f>
        <v> </v>
      </c>
      <c r="I1377" s="25" t="str">
        <f>IF(OR(E1377="",E1377="!!!",F1377="NEW"),"",INDEX(B1376:B$2,-1+SUMPRODUCT(MAX(ROW(E1376:E$2)*(E1377=E1376:E$2)))))</f>
        <v> </v>
      </c>
      <c r="J1377" s="25" t="str">
        <f>IF(OR(E1377="",E1377="!!!",F1377="NEW"),"",COUNTBLANK(OFFSET(A$1,,,SUMPRODUCT(MAX(ROW(E$2:E1377)*(E1377=E$2:E1377)))))-COUNTBLANK(OFFSET(A$1,,,SUMPRODUCT(MAX(ROW(E$1:E1376)*(E2=E$1:E1376))))))</f>
        <v> </v>
      </c>
      <c r="K1377" s="25" t="str">
        <f>IF(OR(E1377="",E1377="!!!",F1377="NEW"),"",INDEX(J$1:J1376,SUMPRODUCT(MAX(ROW(E$1:E1376)*(E1377=E$1:E1376)))))</f>
        <v> </v>
      </c>
      <c r="L1377" s="26"/>
    </row>
    <row r="1378" spans="1:12">
      <c r="A1378" s="20" t="s">
        <v>1217</v>
      </c>
      <c r="B1378" s="27" t="s">
        <v>1149</v>
      </c>
      <c r="C1378" s="27" t="s">
        <v>1126</v>
      </c>
      <c r="D1378" s="27" t="s">
        <v>1105</v>
      </c>
      <c r="E1378" s="21">
        <f>IF(D1378="?OLD","!!!","")</f>
        <v/>
      </c>
      <c r="F1378" s="22" t="str">
        <f>IF(OR(E1378="",E1378="!!!"),"",IF(NOT(ISNA(VLOOKUP(E1378,E$1:E1377,1,FALSE()))),"OLD",IF(AND(E1378&lt;&gt;"",E1378&lt;&gt;"!!!"),"NEW","")))</f>
        <v> </v>
      </c>
      <c r="G1378" s="23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> </v>
      </c>
      <c r="H1378" s="24" t="str">
        <f>IF(J1378&lt;&gt;1,"",IF(I1378="SBJ","CB","?"))</f>
        <v> </v>
      </c>
      <c r="I1378" s="25" t="str">
        <f>IF(OR(E1378="",E1378="!!!",F1378="NEW"),"",INDEX(B1377:B$2,-1+SUMPRODUCT(MAX(ROW(E1377:E$2)*(E1378=E1377:E$2)))))</f>
        <v> </v>
      </c>
      <c r="J1378" s="25" t="str">
        <f>IF(OR(E1378="",E1378="!!!",F1378="NEW"),"",COUNTBLANK(OFFSET(A$1,,,SUMPRODUCT(MAX(ROW(E$2:E1378)*(E1378=E$2:E1378)))))-COUNTBLANK(OFFSET(A$1,,,SUMPRODUCT(MAX(ROW(E$1:E1377)*(E2=E$1:E1377))))))</f>
        <v> </v>
      </c>
      <c r="K1378" s="25" t="str">
        <f>IF(OR(E1378="",E1378="!!!",F1378="NEW"),"",INDEX(J$1:J1377,SUMPRODUCT(MAX(ROW(E$1:E1377)*(E1378=E$1:E1377)))))</f>
        <v> </v>
      </c>
      <c r="L1378" s="26"/>
    </row>
    <row r="1379" spans="1:12">
      <c r="A1379" s="20" t="s">
        <v>1848</v>
      </c>
      <c r="E1379" s="21">
        <f>IF(D1379="?OLD","!!!","")</f>
        <v/>
      </c>
      <c r="F1379" s="22" t="str">
        <f>IF(OR(E1379="",E1379="!!!"),"",IF(NOT(ISNA(VLOOKUP(E1379,E$1:E1378,1,FALSE()))),"OLD",IF(AND(E1379&lt;&gt;"",E1379&lt;&gt;"!!!"),"NEW","")))</f>
        <v> </v>
      </c>
      <c r="G1379" s="23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 </v>
      </c>
      <c r="H1379" s="24" t="str">
        <f>IF(J1379&lt;&gt;1,"",IF(I1379="SBJ","CB","?"))</f>
        <v> </v>
      </c>
      <c r="I1379" s="25" t="str">
        <f>IF(OR(E1379="",E1379="!!!",F1379="NEW"),"",INDEX(B1378:B$2,-1+SUMPRODUCT(MAX(ROW(E1378:E$2)*(E1379=E1378:E$2)))))</f>
        <v> </v>
      </c>
      <c r="J1379" s="25" t="str">
        <f>IF(OR(E1379="",E1379="!!!",F1379="NEW"),"",COUNTBLANK(OFFSET(A$1,,,SUMPRODUCT(MAX(ROW(E$2:E1379)*(E1379=E$2:E1379)))))-COUNTBLANK(OFFSET(A$1,,,SUMPRODUCT(MAX(ROW(E$1:E1378)*(E2=E$1:E1378))))))</f>
        <v> </v>
      </c>
      <c r="K1379" s="25" t="str">
        <f>IF(OR(E1379="",E1379="!!!",F1379="NEW"),"",INDEX(J$1:J1378,SUMPRODUCT(MAX(ROW(E$1:E1378)*(E1379=E$1:E1378)))))</f>
        <v> </v>
      </c>
      <c r="L1379" s="26"/>
    </row>
    <row r="1380" spans="1:12">
      <c r="A1380" s="20" t="s">
        <v>1206</v>
      </c>
      <c r="E1380" s="21">
        <f>IF(D1380="?OLD","!!!","")</f>
        <v/>
      </c>
      <c r="F1380" s="22" t="str">
        <f>IF(OR(E1380="",E1380="!!!"),"",IF(NOT(ISNA(VLOOKUP(E1380,E$1:E1379,1,FALSE()))),"OLD",IF(AND(E1380&lt;&gt;"",E1380&lt;&gt;"!!!"),"NEW","")))</f>
        <v> </v>
      </c>
      <c r="G1380" s="23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24" t="str">
        <f>IF(J1380&lt;&gt;1,"",IF(I1380="SBJ","CB","?"))</f>
        <v> </v>
      </c>
      <c r="I1380" s="25" t="str">
        <f>IF(OR(E1380="",E1380="!!!",F1380="NEW"),"",INDEX(B1379:B$2,-1+SUMPRODUCT(MAX(ROW(E1379:E$2)*(E1380=E1379:E$2)))))</f>
        <v> </v>
      </c>
      <c r="J1380" s="25" t="str">
        <f>IF(OR(E1380="",E1380="!!!",F1380="NEW"),"",COUNTBLANK(OFFSET(A$1,,,SUMPRODUCT(MAX(ROW(E$2:E1380)*(E1380=E$2:E1380)))))-COUNTBLANK(OFFSET(A$1,,,SUMPRODUCT(MAX(ROW(E$1:E1379)*(E2=E$1:E1379))))))</f>
        <v> </v>
      </c>
      <c r="K1380" s="25" t="str">
        <f>IF(OR(E1380="",E1380="!!!",F1380="NEW"),"",INDEX(J$1:J1379,SUMPRODUCT(MAX(ROW(E$1:E1379)*(E1380=E$1:E1379)))))</f>
        <v> </v>
      </c>
      <c r="L1380" s="26"/>
    </row>
    <row r="1381" spans="1:12">
      <c r="A1381" s="20" t="s">
        <v>1745</v>
      </c>
      <c r="E1381" s="21">
        <f>IF(D1381="?OLD","!!!","")</f>
        <v/>
      </c>
      <c r="F1381" s="22" t="str">
        <f>IF(OR(E1381="",E1381="!!!"),"",IF(NOT(ISNA(VLOOKUP(E1381,E$1:E1380,1,FALSE()))),"OLD",IF(AND(E1381&lt;&gt;"",E1381&lt;&gt;"!!!"),"NEW","")))</f>
        <v> </v>
      </c>
      <c r="G1381" s="23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> </v>
      </c>
      <c r="H1381" s="24" t="str">
        <f>IF(J1381&lt;&gt;1,"",IF(I1381="SBJ","CB","?"))</f>
        <v> </v>
      </c>
      <c r="I1381" s="25" t="str">
        <f>IF(OR(E1381="",E1381="!!!",F1381="NEW"),"",INDEX(B1380:B$2,-1+SUMPRODUCT(MAX(ROW(E1380:E$2)*(E1381=E1380:E$2)))))</f>
        <v> </v>
      </c>
      <c r="J1381" s="25" t="str">
        <f>IF(OR(E1381="",E1381="!!!",F1381="NEW"),"",COUNTBLANK(OFFSET(A$1,,,SUMPRODUCT(MAX(ROW(E$2:E1381)*(E1381=E$2:E1381)))))-COUNTBLANK(OFFSET(A$1,,,SUMPRODUCT(MAX(ROW(E$1:E1380)*(E2=E$1:E1380))))))</f>
        <v> </v>
      </c>
      <c r="K1381" s="25" t="str">
        <f>IF(OR(E1381="",E1381="!!!",F1381="NEW"),"",INDEX(J$1:J1380,SUMPRODUCT(MAX(ROW(E$1:E1380)*(E1381=E$1:E1380)))))</f>
        <v> </v>
      </c>
      <c r="L1381" s="26"/>
    </row>
    <row r="1382" spans="1:12">
      <c r="A1382" s="20" t="s">
        <v>1128</v>
      </c>
      <c r="E1382" s="21">
        <f>IF(D1382="?OLD","!!!","")</f>
        <v/>
      </c>
      <c r="F1382" s="22" t="str">
        <f>IF(OR(E1382="",E1382="!!!"),"",IF(NOT(ISNA(VLOOKUP(E1382,E$1:E1381,1,FALSE()))),"OLD",IF(AND(E1382&lt;&gt;"",E1382&lt;&gt;"!!!"),"NEW","")))</f>
        <v> </v>
      </c>
      <c r="G1382" s="23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> </v>
      </c>
      <c r="H1382" s="24" t="str">
        <f>IF(J1382&lt;&gt;1,"",IF(I1382="SBJ","CB","?"))</f>
        <v> </v>
      </c>
      <c r="I1382" s="25" t="str">
        <f>IF(OR(E1382="",E1382="!!!",F1382="NEW"),"",INDEX(B1381:B$2,-1+SUMPRODUCT(MAX(ROW(E1381:E$2)*(E1382=E1381:E$2)))))</f>
        <v> </v>
      </c>
      <c r="J1382" s="25" t="str">
        <f>IF(OR(E1382="",E1382="!!!",F1382="NEW"),"",COUNTBLANK(OFFSET(A$1,,,SUMPRODUCT(MAX(ROW(E$2:E1382)*(E1382=E$2:E1382)))))-COUNTBLANK(OFFSET(A$1,,,SUMPRODUCT(MAX(ROW(E$1:E1381)*(E2=E$1:E1381))))))</f>
        <v> </v>
      </c>
      <c r="K1382" s="25" t="str">
        <f>IF(OR(E1382="",E1382="!!!",F1382="NEW"),"",INDEX(J$1:J1381,SUMPRODUCT(MAX(ROW(E$1:E1381)*(E1382=E$1:E1381)))))</f>
        <v> </v>
      </c>
      <c r="L1382" s="26"/>
    </row>
    <row r="1383" spans="1:12">
      <c r="A1383" s="20" t="s">
        <v>1745</v>
      </c>
      <c r="E1383" s="21">
        <f>IF(D1383="?OLD","!!!","")</f>
        <v/>
      </c>
      <c r="F1383" s="22" t="str">
        <f>IF(OR(E1383="",E1383="!!!"),"",IF(NOT(ISNA(VLOOKUP(E1383,E$1:E1382,1,FALSE()))),"OLD",IF(AND(E1383&lt;&gt;"",E1383&lt;&gt;"!!!"),"NEW","")))</f>
        <v> </v>
      </c>
      <c r="G1383" s="23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> </v>
      </c>
      <c r="H1383" s="24" t="str">
        <f>IF(J1383&lt;&gt;1,"",IF(I1383="SBJ","CB","?"))</f>
        <v> </v>
      </c>
      <c r="I1383" s="25" t="str">
        <f>IF(OR(E1383="",E1383="!!!",F1383="NEW"),"",INDEX(B1382:B$2,-1+SUMPRODUCT(MAX(ROW(E1382:E$2)*(E1383=E1382:E$2)))))</f>
        <v> </v>
      </c>
      <c r="J1383" s="25" t="str">
        <f>IF(OR(E1383="",E1383="!!!",F1383="NEW"),"",COUNTBLANK(OFFSET(A$1,,,SUMPRODUCT(MAX(ROW(E$2:E1383)*(E1383=E$2:E1383)))))-COUNTBLANK(OFFSET(A$1,,,SUMPRODUCT(MAX(ROW(E$1:E1382)*(E2=E$1:E1382))))))</f>
        <v> </v>
      </c>
      <c r="K1383" s="25" t="str">
        <f>IF(OR(E1383="",E1383="!!!",F1383="NEW"),"",INDEX(J$1:J1382,SUMPRODUCT(MAX(ROW(E$1:E1382)*(E1383=E$1:E1382)))))</f>
        <v> </v>
      </c>
      <c r="L1383" s="26"/>
    </row>
    <row r="1384" spans="1:12">
      <c r="A1384" s="20" t="s">
        <v>1123</v>
      </c>
      <c r="E1384" s="21">
        <f>IF(D1384="?OLD","!!!","")</f>
        <v/>
      </c>
      <c r="F1384" s="22" t="str">
        <f>IF(OR(E1384="",E1384="!!!"),"",IF(NOT(ISNA(VLOOKUP(E1384,E$1:E1383,1,FALSE()))),"OLD",IF(AND(E1384&lt;&gt;"",E1384&lt;&gt;"!!!"),"NEW","")))</f>
        <v> </v>
      </c>
      <c r="G1384" s="23" t="str">
        <f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> </v>
      </c>
      <c r="H1384" s="24" t="str">
        <f>IF(J1384&lt;&gt;1,"",IF(I1384="SBJ","CB","?"))</f>
        <v> </v>
      </c>
      <c r="I1384" s="25" t="str">
        <f>IF(OR(E1384="",E1384="!!!",F1384="NEW"),"",INDEX(B1383:B$2,-1+SUMPRODUCT(MAX(ROW(E1383:E$2)*(E1384=E1383:E$2)))))</f>
        <v> </v>
      </c>
      <c r="J1384" s="25" t="str">
        <f>IF(OR(E1384="",E1384="!!!",F1384="NEW"),"",COUNTBLANK(OFFSET(A$1,,,SUMPRODUCT(MAX(ROW(E$2:E1384)*(E1384=E$2:E1384)))))-COUNTBLANK(OFFSET(A$1,,,SUMPRODUCT(MAX(ROW(E$1:E1383)*(E2=E$1:E1383))))))</f>
        <v> </v>
      </c>
      <c r="K1384" s="25" t="str">
        <f>IF(OR(E1384="",E1384="!!!",F1384="NEW"),"",INDEX(J$1:J1383,SUMPRODUCT(MAX(ROW(E$1:E1383)*(E1384=E$1:E1383)))))</f>
        <v> </v>
      </c>
      <c r="L1384" s="26"/>
    </row>
    <row r="1385" spans="1:12">
      <c r="A1385" s="20" t="s">
        <v>1849</v>
      </c>
      <c r="E1385" s="21">
        <f>IF(D1385="?OLD","!!!","")</f>
        <v/>
      </c>
      <c r="F1385" s="22" t="str">
        <f>IF(OR(E1385="",E1385="!!!"),"",IF(NOT(ISNA(VLOOKUP(E1385,E$1:E1384,1,FALSE()))),"OLD",IF(AND(E1385&lt;&gt;"",E1385&lt;&gt;"!!!"),"NEW","")))</f>
        <v> </v>
      </c>
      <c r="G1385" s="23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> </v>
      </c>
      <c r="H1385" s="24" t="str">
        <f>IF(J1385&lt;&gt;1,"",IF(I1385="SBJ","CB","?"))</f>
        <v> </v>
      </c>
      <c r="I1385" s="25" t="str">
        <f>IF(OR(E1385="",E1385="!!!",F1385="NEW"),"",INDEX(B1384:B$2,-1+SUMPRODUCT(MAX(ROW(E1384:E$2)*(E1385=E1384:E$2)))))</f>
        <v> </v>
      </c>
      <c r="J1385" s="25" t="str">
        <f>IF(OR(E1385="",E1385="!!!",F1385="NEW"),"",COUNTBLANK(OFFSET(A$1,,,SUMPRODUCT(MAX(ROW(E$2:E1385)*(E1385=E$2:E1385)))))-COUNTBLANK(OFFSET(A$1,,,SUMPRODUCT(MAX(ROW(E$1:E1384)*(E2=E$1:E1384))))))</f>
        <v> </v>
      </c>
      <c r="K1385" s="25" t="str">
        <f>IF(OR(E1385="",E1385="!!!",F1385="NEW"),"",INDEX(J$1:J1384,SUMPRODUCT(MAX(ROW(E$1:E1384)*(E1385=E$1:E1384)))))</f>
        <v> </v>
      </c>
      <c r="L1385" s="26"/>
    </row>
    <row r="1386" spans="1:12">
      <c r="A1386" s="20" t="s">
        <v>1134</v>
      </c>
      <c r="E1386" s="21">
        <f>IF(D1386="?OLD","!!!","")</f>
        <v/>
      </c>
      <c r="F1386" s="22" t="str">
        <f>IF(OR(E1386="",E1386="!!!"),"",IF(NOT(ISNA(VLOOKUP(E1386,E$1:E1385,1,FALSE()))),"OLD",IF(AND(E1386&lt;&gt;"",E1386&lt;&gt;"!!!"),"NEW","")))</f>
        <v> </v>
      </c>
      <c r="G1386" s="23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24" t="str">
        <f>IF(J1386&lt;&gt;1,"",IF(I1386="SBJ","CB","?"))</f>
        <v> </v>
      </c>
      <c r="I1386" s="25" t="str">
        <f>IF(OR(E1386="",E1386="!!!",F1386="NEW"),"",INDEX(B1385:B$2,-1+SUMPRODUCT(MAX(ROW(E1385:E$2)*(E1386=E1385:E$2)))))</f>
        <v> </v>
      </c>
      <c r="J1386" s="25" t="str">
        <f>IF(OR(E1386="",E1386="!!!",F1386="NEW"),"",COUNTBLANK(OFFSET(A$1,,,SUMPRODUCT(MAX(ROW(E$2:E1386)*(E1386=E$2:E1386)))))-COUNTBLANK(OFFSET(A$1,,,SUMPRODUCT(MAX(ROW(E$1:E1385)*(E2=E$1:E1385))))))</f>
        <v> </v>
      </c>
      <c r="K1386" s="25" t="str">
        <f>IF(OR(E1386="",E1386="!!!",F1386="NEW"),"",INDEX(J$1:J1385,SUMPRODUCT(MAX(ROW(E$1:E1385)*(E1386=E$1:E1385)))))</f>
        <v> </v>
      </c>
      <c r="L1386" s="26"/>
    </row>
    <row r="1387" spans="1:12">
      <c r="A1387" s="20" t="s">
        <v>1261</v>
      </c>
      <c r="E1387" s="21">
        <f>IF(D1387="?OLD","!!!","")</f>
        <v/>
      </c>
      <c r="F1387" s="22" t="str">
        <f>IF(OR(E1387="",E1387="!!!"),"",IF(NOT(ISNA(VLOOKUP(E1387,E$1:E1386,1,FALSE()))),"OLD",IF(AND(E1387&lt;&gt;"",E1387&lt;&gt;"!!!"),"NEW","")))</f>
        <v> </v>
      </c>
      <c r="G1387" s="23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> </v>
      </c>
      <c r="H1387" s="24" t="str">
        <f>IF(J1387&lt;&gt;1,"",IF(I1387="SBJ","CB","?"))</f>
        <v> </v>
      </c>
      <c r="I1387" s="25" t="str">
        <f>IF(OR(E1387="",E1387="!!!",F1387="NEW"),"",INDEX(B1386:B$2,-1+SUMPRODUCT(MAX(ROW(E1386:E$2)*(E1387=E1386:E$2)))))</f>
        <v> </v>
      </c>
      <c r="J1387" s="25" t="str">
        <f>IF(OR(E1387="",E1387="!!!",F1387="NEW"),"",COUNTBLANK(OFFSET(A$1,,,SUMPRODUCT(MAX(ROW(E$2:E1387)*(E1387=E$2:E1387)))))-COUNTBLANK(OFFSET(A$1,,,SUMPRODUCT(MAX(ROW(E$1:E1386)*(E2=E$1:E1386))))))</f>
        <v> </v>
      </c>
      <c r="K1387" s="25" t="str">
        <f>IF(OR(E1387="",E1387="!!!",F1387="NEW"),"",INDEX(J$1:J1386,SUMPRODUCT(MAX(ROW(E$1:E1386)*(E1387=E$1:E1386)))))</f>
        <v> </v>
      </c>
      <c r="L1387" s="26"/>
    </row>
    <row r="1388" spans="1:12">
      <c r="A1388" s="20" t="s">
        <v>1184</v>
      </c>
      <c r="E1388" s="21">
        <f>IF(D1388="?OLD","!!!","")</f>
        <v/>
      </c>
      <c r="F1388" s="22" t="str">
        <f>IF(OR(E1388="",E1388="!!!"),"",IF(NOT(ISNA(VLOOKUP(E1388,E$1:E1387,1,FALSE()))),"OLD",IF(AND(E1388&lt;&gt;"",E1388&lt;&gt;"!!!"),"NEW","")))</f>
        <v> </v>
      </c>
      <c r="G1388" s="23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 </v>
      </c>
      <c r="H1388" s="24" t="str">
        <f>IF(J1388&lt;&gt;1,"",IF(I1388="SBJ","CB","?"))</f>
        <v> </v>
      </c>
      <c r="I1388" s="25" t="str">
        <f>IF(OR(E1388="",E1388="!!!",F1388="NEW"),"",INDEX(B1387:B$2,-1+SUMPRODUCT(MAX(ROW(E1387:E$2)*(E1388=E1387:E$2)))))</f>
        <v> </v>
      </c>
      <c r="J1388" s="25" t="str">
        <f>IF(OR(E1388="",E1388="!!!",F1388="NEW"),"",COUNTBLANK(OFFSET(A$1,,,SUMPRODUCT(MAX(ROW(E$2:E1388)*(E1388=E$2:E1388)))))-COUNTBLANK(OFFSET(A$1,,,SUMPRODUCT(MAX(ROW(E$1:E1387)*(E2=E$1:E1387))))))</f>
        <v> </v>
      </c>
      <c r="K1388" s="25" t="str">
        <f>IF(OR(E1388="",E1388="!!!",F1388="NEW"),"",INDEX(J$1:J1387,SUMPRODUCT(MAX(ROW(E$1:E1387)*(E1388=E$1:E1387)))))</f>
        <v> </v>
      </c>
      <c r="L1388" s="26"/>
    </row>
    <row r="1389" spans="1:12">
      <c r="A1389" s="20" t="s">
        <v>1850</v>
      </c>
      <c r="E1389" s="21">
        <f>IF(D1389="?OLD","!!!","")</f>
        <v/>
      </c>
      <c r="F1389" s="22" t="str">
        <f>IF(OR(E1389="",E1389="!!!"),"",IF(NOT(ISNA(VLOOKUP(E1389,E$1:E1388,1,FALSE()))),"OLD",IF(AND(E1389&lt;&gt;"",E1389&lt;&gt;"!!!"),"NEW","")))</f>
        <v> </v>
      </c>
      <c r="G1389" s="23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> </v>
      </c>
      <c r="H1389" s="24" t="str">
        <f>IF(J1389&lt;&gt;1,"",IF(I1389="SBJ","CB","?"))</f>
        <v> </v>
      </c>
      <c r="I1389" s="25" t="str">
        <f>IF(OR(E1389="",E1389="!!!",F1389="NEW"),"",INDEX(B1388:B$2,-1+SUMPRODUCT(MAX(ROW(E1388:E$2)*(E1389=E1388:E$2)))))</f>
        <v> </v>
      </c>
      <c r="J1389" s="25" t="str">
        <f>IF(OR(E1389="",E1389="!!!",F1389="NEW"),"",COUNTBLANK(OFFSET(A$1,,,SUMPRODUCT(MAX(ROW(E$2:E1389)*(E1389=E$2:E1389)))))-COUNTBLANK(OFFSET(A$1,,,SUMPRODUCT(MAX(ROW(E$1:E1388)*(E2=E$1:E1388))))))</f>
        <v> </v>
      </c>
      <c r="K1389" s="25" t="str">
        <f>IF(OR(E1389="",E1389="!!!",F1389="NEW"),"",INDEX(J$1:J1388,SUMPRODUCT(MAX(ROW(E$1:E1388)*(E1389=E$1:E1388)))))</f>
        <v> </v>
      </c>
      <c r="L1389" s="26"/>
    </row>
    <row r="1390" spans="1:12">
      <c r="A1390" s="20" t="s">
        <v>1195</v>
      </c>
      <c r="E1390" s="21">
        <f>IF(D1390="?OLD","!!!","")</f>
        <v/>
      </c>
      <c r="F1390" s="22" t="str">
        <f>IF(OR(E1390="",E1390="!!!"),"",IF(NOT(ISNA(VLOOKUP(E1390,E$1:E1389,1,FALSE()))),"OLD",IF(AND(E1390&lt;&gt;"",E1390&lt;&gt;"!!!"),"NEW","")))</f>
        <v> </v>
      </c>
      <c r="G1390" s="23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 </v>
      </c>
      <c r="H1390" s="24" t="str">
        <f>IF(J1390&lt;&gt;1,"",IF(I1390="SBJ","CB","?"))</f>
        <v> </v>
      </c>
      <c r="I1390" s="25" t="str">
        <f>IF(OR(E1390="",E1390="!!!",F1390="NEW"),"",INDEX(B1389:B$2,-1+SUMPRODUCT(MAX(ROW(E1389:E$2)*(E1390=E1389:E$2)))))</f>
        <v> </v>
      </c>
      <c r="J1390" s="25" t="str">
        <f>IF(OR(E1390="",E1390="!!!",F1390="NEW"),"",COUNTBLANK(OFFSET(A$1,,,SUMPRODUCT(MAX(ROW(E$2:E1390)*(E1390=E$2:E1390)))))-COUNTBLANK(OFFSET(A$1,,,SUMPRODUCT(MAX(ROW(E$1:E1389)*(E2=E$1:E1389))))))</f>
        <v> </v>
      </c>
      <c r="K1390" s="25" t="str">
        <f>IF(OR(E1390="",E1390="!!!",F1390="NEW"),"",INDEX(J$1:J1389,SUMPRODUCT(MAX(ROW(E$1:E1389)*(E1390=E$1:E1389)))))</f>
        <v> </v>
      </c>
      <c r="L1390" s="26"/>
    </row>
    <row r="1391" spans="1:12">
      <c r="A1391" s="20" t="s">
        <v>1726</v>
      </c>
      <c r="E1391" s="21">
        <f>IF(D1391="?OLD","!!!","")</f>
        <v/>
      </c>
      <c r="F1391" s="22" t="str">
        <f>IF(OR(E1391="",E1391="!!!"),"",IF(NOT(ISNA(VLOOKUP(E1391,E$1:E1390,1,FALSE()))),"OLD",IF(AND(E1391&lt;&gt;"",E1391&lt;&gt;"!!!"),"NEW","")))</f>
        <v> </v>
      </c>
      <c r="G1391" s="23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24" t="str">
        <f>IF(J1391&lt;&gt;1,"",IF(I1391="SBJ","CB","?"))</f>
        <v> </v>
      </c>
      <c r="I1391" s="25" t="str">
        <f>IF(OR(E1391="",E1391="!!!",F1391="NEW"),"",INDEX(B1390:B$2,-1+SUMPRODUCT(MAX(ROW(E1390:E$2)*(E1391=E1390:E$2)))))</f>
        <v> </v>
      </c>
      <c r="J1391" s="25" t="str">
        <f>IF(OR(E1391="",E1391="!!!",F1391="NEW"),"",COUNTBLANK(OFFSET(A$1,,,SUMPRODUCT(MAX(ROW(E$2:E1391)*(E1391=E$2:E1391)))))-COUNTBLANK(OFFSET(A$1,,,SUMPRODUCT(MAX(ROW(E$1:E1390)*(E2=E$1:E1390))))))</f>
        <v> </v>
      </c>
      <c r="K1391" s="25" t="str">
        <f>IF(OR(E1391="",E1391="!!!",F1391="NEW"),"",INDEX(J$1:J1390,SUMPRODUCT(MAX(ROW(E$1:E1390)*(E1391=E$1:E1390)))))</f>
        <v> </v>
      </c>
      <c r="L1391" s="26"/>
    </row>
    <row r="1392" spans="1:12">
      <c r="A1392" s="20" t="s">
        <v>1145</v>
      </c>
      <c r="E1392" s="21">
        <f>IF(D1392="?OLD","!!!","")</f>
        <v/>
      </c>
      <c r="F1392" s="22" t="str">
        <f>IF(OR(E1392="",E1392="!!!"),"",IF(NOT(ISNA(VLOOKUP(E1392,E$1:E1391,1,FALSE()))),"OLD",IF(AND(E1392&lt;&gt;"",E1392&lt;&gt;"!!!"),"NEW","")))</f>
        <v> </v>
      </c>
      <c r="G1392" s="23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> </v>
      </c>
      <c r="H1392" s="24" t="str">
        <f>IF(J1392&lt;&gt;1,"",IF(I1392="SBJ","CB","?"))</f>
        <v> </v>
      </c>
      <c r="I1392" s="25" t="str">
        <f>IF(OR(E1392="",E1392="!!!",F1392="NEW"),"",INDEX(B1391:B$2,-1+SUMPRODUCT(MAX(ROW(E1391:E$2)*(E1392=E1391:E$2)))))</f>
        <v> </v>
      </c>
      <c r="J1392" s="25" t="str">
        <f>IF(OR(E1392="",E1392="!!!",F1392="NEW"),"",COUNTBLANK(OFFSET(A$1,,,SUMPRODUCT(MAX(ROW(E$2:E1392)*(E1392=E$2:E1392)))))-COUNTBLANK(OFFSET(A$1,,,SUMPRODUCT(MAX(ROW(E$1:E1391)*(E2=E$1:E1391))))))</f>
        <v> </v>
      </c>
      <c r="K1392" s="25" t="str">
        <f>IF(OR(E1392="",E1392="!!!",F1392="NEW"),"",INDEX(J$1:J1391,SUMPRODUCT(MAX(ROW(E$1:E1391)*(E1392=E$1:E1391)))))</f>
        <v> </v>
      </c>
      <c r="L1392" s="26"/>
    </row>
    <row r="1393" spans="1:12">
      <c r="A1393" s="20"/>
    </row>
    <row r="1394" spans="1:12">
      <c r="A1394" s="20" t="s">
        <v>1851</v>
      </c>
    </row>
    <row r="1395" spans="1:12">
      <c r="A1395" s="20" t="s">
        <v>1547</v>
      </c>
      <c r="E1395" s="21">
        <f>IF(D1395="?OLD","!!!","")</f>
        <v/>
      </c>
      <c r="F1395" s="22" t="str">
        <f>IF(OR(E1395="",E1395="!!!"),"",IF(NOT(ISNA(VLOOKUP(E1395,E$1:E1394,1,FALSE()))),"OLD",IF(AND(E1395&lt;&gt;"",E1395&lt;&gt;"!!!"),"NEW","")))</f>
        <v> </v>
      </c>
      <c r="G1395" s="23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> </v>
      </c>
      <c r="H1395" s="24" t="str">
        <f>IF(J1395&lt;&gt;1,"",IF(I1395="SBJ","CB","?"))</f>
        <v> </v>
      </c>
      <c r="I1395" s="25" t="str">
        <f>IF(OR(E1395="",E1395="!!!",F1395="NEW"),"",INDEX(B1394:B$2,-1+SUMPRODUCT(MAX(ROW(E1394:E$2)*(E1395=E1394:E$2)))))</f>
        <v> </v>
      </c>
      <c r="J1395" s="25" t="str">
        <f>IF(OR(E1395="",E1395="!!!",F1395="NEW"),"",COUNTBLANK(OFFSET(A$1,,,SUMPRODUCT(MAX(ROW(E$2:E1395)*(E1395=E$2:E1395)))))-COUNTBLANK(OFFSET(A$1,,,SUMPRODUCT(MAX(ROW(E$1:E1394)*(E2=E$1:E1394))))))</f>
        <v> </v>
      </c>
      <c r="K1395" s="25" t="str">
        <f>IF(OR(E1395="",E1395="!!!",F1395="NEW"),"",INDEX(J$1:J1394,SUMPRODUCT(MAX(ROW(E$1:E1394)*(E1395=E$1:E1394)))))</f>
        <v> </v>
      </c>
      <c r="L1395" s="26"/>
    </row>
    <row r="1396" spans="1:12">
      <c r="A1396" s="20" t="s">
        <v>1852</v>
      </c>
      <c r="E1396" s="21">
        <f>IF(D1396="?OLD","!!!","")</f>
        <v/>
      </c>
      <c r="F1396" s="22" t="str">
        <f>IF(OR(E1396="",E1396="!!!"),"",IF(NOT(ISNA(VLOOKUP(E1396,E$1:E1395,1,FALSE()))),"OLD",IF(AND(E1396&lt;&gt;"",E1396&lt;&gt;"!!!"),"NEW","")))</f>
        <v> </v>
      </c>
      <c r="G1396" s="23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> </v>
      </c>
      <c r="H1396" s="24" t="str">
        <f>IF(J1396&lt;&gt;1,"",IF(I1396="SBJ","CB","?"))</f>
        <v> </v>
      </c>
      <c r="I1396" s="25" t="str">
        <f>IF(OR(E1396="",E1396="!!!",F1396="NEW"),"",INDEX(B1395:B$2,-1+SUMPRODUCT(MAX(ROW(E1395:E$2)*(E1396=E1395:E$2)))))</f>
        <v> </v>
      </c>
      <c r="J1396" s="25" t="str">
        <f>IF(OR(E1396="",E1396="!!!",F1396="NEW"),"",COUNTBLANK(OFFSET(A$1,,,SUMPRODUCT(MAX(ROW(E$2:E1396)*(E1396=E$2:E1396)))))-COUNTBLANK(OFFSET(A$1,,,SUMPRODUCT(MAX(ROW(E$1:E1395)*(E2=E$1:E1395))))))</f>
        <v> </v>
      </c>
      <c r="K1396" s="25" t="str">
        <f>IF(OR(E1396="",E1396="!!!",F1396="NEW"),"",INDEX(J$1:J1395,SUMPRODUCT(MAX(ROW(E$1:E1395)*(E1396=E$1:E1395)))))</f>
        <v> </v>
      </c>
      <c r="L1396" s="26"/>
    </row>
    <row r="1397" spans="1:12">
      <c r="A1397" s="20" t="s">
        <v>1853</v>
      </c>
      <c r="E1397" s="21">
        <f>IF(D1397="?OLD","!!!","")</f>
        <v/>
      </c>
      <c r="F1397" s="22" t="str">
        <f>IF(OR(E1397="",E1397="!!!"),"",IF(NOT(ISNA(VLOOKUP(E1397,E$1:E1396,1,FALSE()))),"OLD",IF(AND(E1397&lt;&gt;"",E1397&lt;&gt;"!!!"),"NEW","")))</f>
        <v> </v>
      </c>
      <c r="G1397" s="23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24" t="str">
        <f>IF(J1397&lt;&gt;1,"",IF(I1397="SBJ","CB","?"))</f>
        <v> </v>
      </c>
      <c r="I1397" s="25" t="str">
        <f>IF(OR(E1397="",E1397="!!!",F1397="NEW"),"",INDEX(B1396:B$2,-1+SUMPRODUCT(MAX(ROW(E1396:E$2)*(E1397=E1396:E$2)))))</f>
        <v> </v>
      </c>
      <c r="J1397" s="25" t="str">
        <f>IF(OR(E1397="",E1397="!!!",F1397="NEW"),"",COUNTBLANK(OFFSET(A$1,,,SUMPRODUCT(MAX(ROW(E$2:E1397)*(E1397=E$2:E1397)))))-COUNTBLANK(OFFSET(A$1,,,SUMPRODUCT(MAX(ROW(E$1:E1396)*(E2=E$1:E1396))))))</f>
        <v> </v>
      </c>
      <c r="K1397" s="25" t="str">
        <f>IF(OR(E1397="",E1397="!!!",F1397="NEW"),"",INDEX(J$1:J1396,SUMPRODUCT(MAX(ROW(E$1:E1396)*(E1397=E$1:E1396)))))</f>
        <v> </v>
      </c>
      <c r="L1397" s="26"/>
    </row>
    <row r="1398" spans="1:12">
      <c r="A1398" s="20" t="s">
        <v>1854</v>
      </c>
      <c r="B1398" s="27" t="s">
        <v>1149</v>
      </c>
      <c r="E1398" s="21">
        <f>IF(D1398="?OLD","!!!","")</f>
        <v/>
      </c>
      <c r="F1398" s="22" t="str">
        <f>IF(OR(E1398="",E1398="!!!"),"",IF(NOT(ISNA(VLOOKUP(E1398,E$1:E1397,1,FALSE()))),"OLD",IF(AND(E1398&lt;&gt;"",E1398&lt;&gt;"!!!"),"NEW","")))</f>
        <v> </v>
      </c>
      <c r="G1398" s="23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4" t="str">
        <f>IF(J1398&lt;&gt;1,"",IF(I1398="SBJ","CB","?"))</f>
        <v> </v>
      </c>
      <c r="I1398" s="25" t="str">
        <f>IF(OR(E1398="",E1398="!!!",F1398="NEW"),"",INDEX(B1397:B$2,-1+SUMPRODUCT(MAX(ROW(E1397:E$2)*(E1398=E1397:E$2)))))</f>
        <v> </v>
      </c>
      <c r="J1398" s="25" t="str">
        <f>IF(OR(E1398="",E1398="!!!",F1398="NEW"),"",COUNTBLANK(OFFSET(A$1,,,SUMPRODUCT(MAX(ROW(E$2:E1398)*(E1398=E$2:E1398)))))-COUNTBLANK(OFFSET(A$1,,,SUMPRODUCT(MAX(ROW(E$1:E1397)*(E2=E$1:E1397))))))</f>
        <v> </v>
      </c>
      <c r="K1398" s="25" t="str">
        <f>IF(OR(E1398="",E1398="!!!",F1398="NEW"),"",INDEX(J$1:J1397,SUMPRODUCT(MAX(ROW(E$1:E1397)*(E1398=E$1:E1397)))))</f>
        <v> </v>
      </c>
      <c r="L1398" s="26"/>
    </row>
    <row r="1399" spans="1:12">
      <c r="A1399" s="20" t="s">
        <v>1123</v>
      </c>
      <c r="E1399" s="21">
        <f>IF(D1399="?OLD","!!!","")</f>
        <v/>
      </c>
      <c r="F1399" s="22" t="str">
        <f>IF(OR(E1399="",E1399="!!!"),"",IF(NOT(ISNA(VLOOKUP(E1399,E$1:E1398,1,FALSE()))),"OLD",IF(AND(E1399&lt;&gt;"",E1399&lt;&gt;"!!!"),"NEW","")))</f>
        <v> </v>
      </c>
      <c r="G1399" s="23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> </v>
      </c>
      <c r="H1399" s="24" t="str">
        <f>IF(J1399&lt;&gt;1,"",IF(I1399="SBJ","CB","?"))</f>
        <v> </v>
      </c>
      <c r="I1399" s="25" t="str">
        <f>IF(OR(E1399="",E1399="!!!",F1399="NEW"),"",INDEX(B1398:B$2,-1+SUMPRODUCT(MAX(ROW(E1398:E$2)*(E1399=E1398:E$2)))))</f>
        <v> </v>
      </c>
      <c r="J1399" s="25" t="str">
        <f>IF(OR(E1399="",E1399="!!!",F1399="NEW"),"",COUNTBLANK(OFFSET(A$1,,,SUMPRODUCT(MAX(ROW(E$2:E1399)*(E1399=E$2:E1399)))))-COUNTBLANK(OFFSET(A$1,,,SUMPRODUCT(MAX(ROW(E$1:E1398)*(E2=E$1:E1398))))))</f>
        <v> </v>
      </c>
      <c r="K1399" s="25" t="str">
        <f>IF(OR(E1399="",E1399="!!!",F1399="NEW"),"",INDEX(J$1:J1398,SUMPRODUCT(MAX(ROW(E$1:E1398)*(E1399=E$1:E1398)))))</f>
        <v> </v>
      </c>
      <c r="L1399" s="26"/>
    </row>
    <row r="1400" spans="1:12">
      <c r="A1400" s="20" t="s">
        <v>1855</v>
      </c>
      <c r="E1400" s="21">
        <f>IF(D1400="?OLD","!!!","")</f>
        <v/>
      </c>
      <c r="F1400" s="22" t="str">
        <f>IF(OR(E1400="",E1400="!!!"),"",IF(NOT(ISNA(VLOOKUP(E1400,E$1:E1399,1,FALSE()))),"OLD",IF(AND(E1400&lt;&gt;"",E1400&lt;&gt;"!!!"),"NEW","")))</f>
        <v> </v>
      </c>
      <c r="G1400" s="23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> </v>
      </c>
      <c r="H1400" s="24" t="str">
        <f>IF(J1400&lt;&gt;1,"",IF(I1400="SBJ","CB","?"))</f>
        <v> </v>
      </c>
      <c r="I1400" s="25" t="str">
        <f>IF(OR(E1400="",E1400="!!!",F1400="NEW"),"",INDEX(B1399:B$2,-1+SUMPRODUCT(MAX(ROW(E1399:E$2)*(E1400=E1399:E$2)))))</f>
        <v> </v>
      </c>
      <c r="J1400" s="25" t="str">
        <f>IF(OR(E1400="",E1400="!!!",F1400="NEW"),"",COUNTBLANK(OFFSET(A$1,,,SUMPRODUCT(MAX(ROW(E$2:E1400)*(E1400=E$2:E1400)))))-COUNTBLANK(OFFSET(A$1,,,SUMPRODUCT(MAX(ROW(E$1:E1399)*(E2=E$1:E1399))))))</f>
        <v> </v>
      </c>
      <c r="K1400" s="25" t="str">
        <f>IF(OR(E1400="",E1400="!!!",F1400="NEW"),"",INDEX(J$1:J1399,SUMPRODUCT(MAX(ROW(E$1:E1399)*(E1400=E$1:E1399)))))</f>
        <v> </v>
      </c>
      <c r="L1400" s="26"/>
    </row>
    <row r="1401" spans="1:12">
      <c r="A1401" s="20" t="s">
        <v>1646</v>
      </c>
      <c r="E1401" s="21">
        <f>IF(D1401="?OLD","!!!","")</f>
        <v/>
      </c>
      <c r="F1401" s="22" t="str">
        <f>IF(OR(E1401="",E1401="!!!"),"",IF(NOT(ISNA(VLOOKUP(E1401,E$1:E1400,1,FALSE()))),"OLD",IF(AND(E1401&lt;&gt;"",E1401&lt;&gt;"!!!"),"NEW","")))</f>
        <v> </v>
      </c>
      <c r="G1401" s="23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24" t="str">
        <f>IF(J1401&lt;&gt;1,"",IF(I1401="SBJ","CB","?"))</f>
        <v> </v>
      </c>
      <c r="I1401" s="25" t="str">
        <f>IF(OR(E1401="",E1401="!!!",F1401="NEW"),"",INDEX(B1400:B$2,-1+SUMPRODUCT(MAX(ROW(E1400:E$2)*(E1401=E1400:E$2)))))</f>
        <v> </v>
      </c>
      <c r="J1401" s="25" t="str">
        <f>IF(OR(E1401="",E1401="!!!",F1401="NEW"),"",COUNTBLANK(OFFSET(A$1,,,SUMPRODUCT(MAX(ROW(E$2:E1401)*(E1401=E$2:E1401)))))-COUNTBLANK(OFFSET(A$1,,,SUMPRODUCT(MAX(ROW(E$1:E1400)*(E2=E$1:E1400))))))</f>
        <v> </v>
      </c>
      <c r="K1401" s="25" t="str">
        <f>IF(OR(E1401="",E1401="!!!",F1401="NEW"),"",INDEX(J$1:J1400,SUMPRODUCT(MAX(ROW(E$1:E1400)*(E1401=E$1:E1400)))))</f>
        <v> </v>
      </c>
      <c r="L1401" s="26"/>
    </row>
    <row r="1402" spans="1:12">
      <c r="A1402" s="20" t="s">
        <v>1856</v>
      </c>
      <c r="E1402" s="21">
        <f>IF(D1402="?OLD","!!!","")</f>
        <v/>
      </c>
      <c r="F1402" s="22" t="str">
        <f>IF(OR(E1402="",E1402="!!!"),"",IF(NOT(ISNA(VLOOKUP(E1402,E$1:E1401,1,FALSE()))),"OLD",IF(AND(E1402&lt;&gt;"",E1402&lt;&gt;"!!!"),"NEW","")))</f>
        <v> </v>
      </c>
      <c r="G1402" s="23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> </v>
      </c>
      <c r="H1402" s="24" t="str">
        <f>IF(J1402&lt;&gt;1,"",IF(I1402="SBJ","CB","?"))</f>
        <v> </v>
      </c>
      <c r="I1402" s="25" t="str">
        <f>IF(OR(E1402="",E1402="!!!",F1402="NEW"),"",INDEX(B1401:B$2,-1+SUMPRODUCT(MAX(ROW(E1401:E$2)*(E1402=E1401:E$2)))))</f>
        <v> </v>
      </c>
      <c r="J1402" s="25" t="str">
        <f>IF(OR(E1402="",E1402="!!!",F1402="NEW"),"",COUNTBLANK(OFFSET(A$1,,,SUMPRODUCT(MAX(ROW(E$2:E1402)*(E1402=E$2:E1402)))))-COUNTBLANK(OFFSET(A$1,,,SUMPRODUCT(MAX(ROW(E$1:E1401)*(E2=E$1:E1401))))))</f>
        <v> </v>
      </c>
      <c r="K1402" s="25" t="str">
        <f>IF(OR(E1402="",E1402="!!!",F1402="NEW"),"",INDEX(J$1:J1401,SUMPRODUCT(MAX(ROW(E$1:E1401)*(E1402=E$1:E1401)))))</f>
        <v> </v>
      </c>
      <c r="L1402" s="26"/>
    </row>
    <row r="1403" spans="1:12">
      <c r="A1403" s="20" t="s">
        <v>1123</v>
      </c>
      <c r="E1403" s="21">
        <f>IF(D1403="?OLD","!!!","")</f>
        <v/>
      </c>
      <c r="F1403" s="22" t="str">
        <f>IF(OR(E1403="",E1403="!!!"),"",IF(NOT(ISNA(VLOOKUP(E1403,E$1:E1402,1,FALSE()))),"OLD",IF(AND(E1403&lt;&gt;"",E1403&lt;&gt;"!!!"),"NEW","")))</f>
        <v> </v>
      </c>
      <c r="G1403" s="23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> </v>
      </c>
      <c r="H1403" s="24" t="str">
        <f>IF(J1403&lt;&gt;1,"",IF(I1403="SBJ","CB","?"))</f>
        <v> </v>
      </c>
      <c r="I1403" s="25" t="str">
        <f>IF(OR(E1403="",E1403="!!!",F1403="NEW"),"",INDEX(B1402:B$2,-1+SUMPRODUCT(MAX(ROW(E1402:E$2)*(E1403=E1402:E$2)))))</f>
        <v> </v>
      </c>
      <c r="J1403" s="25" t="str">
        <f>IF(OR(E1403="",E1403="!!!",F1403="NEW"),"",COUNTBLANK(OFFSET(A$1,,,SUMPRODUCT(MAX(ROW(E$2:E1403)*(E1403=E$2:E1403)))))-COUNTBLANK(OFFSET(A$1,,,SUMPRODUCT(MAX(ROW(E$1:E1402)*(E2=E$1:E1402))))))</f>
        <v> </v>
      </c>
      <c r="K1403" s="25" t="str">
        <f>IF(OR(E1403="",E1403="!!!",F1403="NEW"),"",INDEX(J$1:J1402,SUMPRODUCT(MAX(ROW(E$1:E1402)*(E1403=E$1:E1402)))))</f>
        <v> </v>
      </c>
      <c r="L1403" s="26"/>
    </row>
    <row r="1404" spans="1:12">
      <c r="A1404" s="20" t="s">
        <v>1857</v>
      </c>
      <c r="E1404" s="21">
        <f>IF(D1404="?OLD","!!!","")</f>
        <v/>
      </c>
      <c r="F1404" s="22" t="str">
        <f>IF(OR(E1404="",E1404="!!!"),"",IF(NOT(ISNA(VLOOKUP(E1404,E$1:E1403,1,FALSE()))),"OLD",IF(AND(E1404&lt;&gt;"",E1404&lt;&gt;"!!!"),"NEW","")))</f>
        <v> </v>
      </c>
      <c r="G1404" s="23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> </v>
      </c>
      <c r="H1404" s="24" t="str">
        <f>IF(J1404&lt;&gt;1,"",IF(I1404="SBJ","CB","?"))</f>
        <v> </v>
      </c>
      <c r="I1404" s="25" t="str">
        <f>IF(OR(E1404="",E1404="!!!",F1404="NEW"),"",INDEX(B1403:B$2,-1+SUMPRODUCT(MAX(ROW(E1403:E$2)*(E1404=E1403:E$2)))))</f>
        <v> </v>
      </c>
      <c r="J1404" s="25" t="str">
        <f>IF(OR(E1404="",E1404="!!!",F1404="NEW"),"",COUNTBLANK(OFFSET(A$1,,,SUMPRODUCT(MAX(ROW(E$2:E1404)*(E1404=E$2:E1404)))))-COUNTBLANK(OFFSET(A$1,,,SUMPRODUCT(MAX(ROW(E$1:E1403)*(E2=E$1:E1403))))))</f>
        <v> </v>
      </c>
      <c r="K1404" s="25" t="str">
        <f>IF(OR(E1404="",E1404="!!!",F1404="NEW"),"",INDEX(J$1:J1403,SUMPRODUCT(MAX(ROW(E$1:E1403)*(E1404=E$1:E1403)))))</f>
        <v> </v>
      </c>
      <c r="L1404" s="26"/>
    </row>
    <row r="1405" spans="1:12">
      <c r="A1405" s="20" t="s">
        <v>1128</v>
      </c>
      <c r="E1405" s="21">
        <f>IF(D1405="?OLD","!!!","")</f>
        <v/>
      </c>
      <c r="F1405" s="22" t="str">
        <f>IF(OR(E1405="",E1405="!!!"),"",IF(NOT(ISNA(VLOOKUP(E1405,E$1:E1404,1,FALSE()))),"OLD",IF(AND(E1405&lt;&gt;"",E1405&lt;&gt;"!!!"),"NEW","")))</f>
        <v> </v>
      </c>
      <c r="G1405" s="23" t="str">
        <f>IF(OR(E1405="",E1405="!!!"),"",IF(OR(J1405=0,AND(J1405=1,K1405=1),AND(J1405=1,I1405="SBJ"),AND(J1405=1,I1405=0)),"?IN_FOCUS",IF(J1405&lt;=2,"?ACTIVATED",IF(J1405&lt;&gt;"","?FAMILIAR",IF(F1405="NEW",IF(ISNA(VLOOKUP(E1405,#REF!,1,FALSE())),"?TYPE_IDENTIFIABLE","?REFERENTIAL"),"_")))))</f>
        <v> </v>
      </c>
      <c r="H1405" s="24" t="str">
        <f>IF(J1405&lt;&gt;1,"",IF(I1405="SBJ","CB","?"))</f>
        <v> </v>
      </c>
      <c r="I1405" s="25" t="str">
        <f>IF(OR(E1405="",E1405="!!!",F1405="NEW"),"",INDEX(B1404:B$2,-1+SUMPRODUCT(MAX(ROW(E1404:E$2)*(E1405=E1404:E$2)))))</f>
        <v> </v>
      </c>
      <c r="J1405" s="25" t="str">
        <f>IF(OR(E1405="",E1405="!!!",F1405="NEW"),"",COUNTBLANK(OFFSET(A$1,,,SUMPRODUCT(MAX(ROW(E$2:E1405)*(E1405=E$2:E1405)))))-COUNTBLANK(OFFSET(A$1,,,SUMPRODUCT(MAX(ROW(E$1:E1404)*(E2=E$1:E1404))))))</f>
        <v> </v>
      </c>
      <c r="K1405" s="25" t="str">
        <f>IF(OR(E1405="",E1405="!!!",F1405="NEW"),"",INDEX(J$1:J1404,SUMPRODUCT(MAX(ROW(E$1:E1404)*(E1405=E$1:E1404)))))</f>
        <v> </v>
      </c>
      <c r="L1405" s="26"/>
    </row>
    <row r="1406" spans="1:12">
      <c r="A1406" s="20" t="s">
        <v>1470</v>
      </c>
      <c r="E1406" s="21">
        <f>IF(D1406="?OLD","!!!","")</f>
        <v/>
      </c>
      <c r="F1406" s="22" t="str">
        <f>IF(OR(E1406="",E1406="!!!"),"",IF(NOT(ISNA(VLOOKUP(E1406,E$1:E1405,1,FALSE()))),"OLD",IF(AND(E1406&lt;&gt;"",E1406&lt;&gt;"!!!"),"NEW","")))</f>
        <v> </v>
      </c>
      <c r="G1406" s="23" t="str">
        <f>IF(OR(E1406="",E1406="!!!"),"",IF(OR(J1406=0,AND(J1406=1,K1406=1),AND(J1406=1,I1406="SBJ"),AND(J1406=1,I1406=0)),"?IN_FOCUS",IF(J1406&lt;=2,"?ACTIVATED",IF(J1406&lt;&gt;"","?FAMILIAR",IF(F1406="NEW",IF(ISNA(VLOOKUP(E1406,#REF!,1,FALSE())),"?TYPE_IDENTIFIABLE","?REFERENTIAL"),"_")))))</f>
        <v> </v>
      </c>
      <c r="H1406" s="24" t="str">
        <f>IF(J1406&lt;&gt;1,"",IF(I1406="SBJ","CB","?"))</f>
        <v> </v>
      </c>
      <c r="I1406" s="25" t="str">
        <f>IF(OR(E1406="",E1406="!!!",F1406="NEW"),"",INDEX(B1405:B$2,-1+SUMPRODUCT(MAX(ROW(E1405:E$2)*(E1406=E1405:E$2)))))</f>
        <v> </v>
      </c>
      <c r="J1406" s="25" t="str">
        <f>IF(OR(E1406="",E1406="!!!",F1406="NEW"),"",COUNTBLANK(OFFSET(A$1,,,SUMPRODUCT(MAX(ROW(E$2:E1406)*(E1406=E$2:E1406)))))-COUNTBLANK(OFFSET(A$1,,,SUMPRODUCT(MAX(ROW(E$1:E1405)*(E2=E$1:E1405))))))</f>
        <v> </v>
      </c>
      <c r="K1406" s="25" t="str">
        <f>IF(OR(E1406="",E1406="!!!",F1406="NEW"),"",INDEX(J$1:J1405,SUMPRODUCT(MAX(ROW(E$1:E1405)*(E1406=E$1:E1405)))))</f>
        <v> </v>
      </c>
      <c r="L1406" s="26"/>
    </row>
    <row r="1407" spans="1:12">
      <c r="A1407" s="20" t="s">
        <v>1123</v>
      </c>
      <c r="E1407" s="21">
        <f>IF(D1407="?OLD","!!!","")</f>
        <v/>
      </c>
      <c r="F1407" s="22" t="str">
        <f>IF(OR(E1407="",E1407="!!!"),"",IF(NOT(ISNA(VLOOKUP(E1407,E$1:E1406,1,FALSE()))),"OLD",IF(AND(E1407&lt;&gt;"",E1407&lt;&gt;"!!!"),"NEW","")))</f>
        <v> </v>
      </c>
      <c r="G1407" s="23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> </v>
      </c>
      <c r="H1407" s="24" t="str">
        <f>IF(J1407&lt;&gt;1,"",IF(I1407="SBJ","CB","?"))</f>
        <v> </v>
      </c>
      <c r="I1407" s="25" t="str">
        <f>IF(OR(E1407="",E1407="!!!",F1407="NEW"),"",INDEX(B1406:B$2,-1+SUMPRODUCT(MAX(ROW(E1406:E$2)*(E1407=E1406:E$2)))))</f>
        <v> </v>
      </c>
      <c r="J1407" s="25" t="str">
        <f>IF(OR(E1407="",E1407="!!!",F1407="NEW"),"",COUNTBLANK(OFFSET(A$1,,,SUMPRODUCT(MAX(ROW(E$2:E1407)*(E1407=E$2:E1407)))))-COUNTBLANK(OFFSET(A$1,,,SUMPRODUCT(MAX(ROW(E$1:E1406)*(E2=E$1:E1406))))))</f>
        <v> </v>
      </c>
      <c r="K1407" s="25" t="str">
        <f>IF(OR(E1407="",E1407="!!!",F1407="NEW"),"",INDEX(J$1:J1406,SUMPRODUCT(MAX(ROW(E$1:E1406)*(E1407=E$1:E1406)))))</f>
        <v> </v>
      </c>
      <c r="L1407" s="26"/>
    </row>
    <row r="1408" spans="1:12">
      <c r="A1408" s="20" t="s">
        <v>1858</v>
      </c>
      <c r="E1408" s="21">
        <f>IF(D1408="?OLD","!!!","")</f>
        <v/>
      </c>
      <c r="F1408" s="22" t="str">
        <f>IF(OR(E1408="",E1408="!!!"),"",IF(NOT(ISNA(VLOOKUP(E1408,E$1:E1407,1,FALSE()))),"OLD",IF(AND(E1408&lt;&gt;"",E1408&lt;&gt;"!!!"),"NEW","")))</f>
        <v> </v>
      </c>
      <c r="G1408" s="23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> </v>
      </c>
      <c r="H1408" s="24" t="str">
        <f>IF(J1408&lt;&gt;1,"",IF(I1408="SBJ","CB","?"))</f>
        <v> </v>
      </c>
      <c r="I1408" s="25" t="str">
        <f>IF(OR(E1408="",E1408="!!!",F1408="NEW"),"",INDEX(B1407:B$2,-1+SUMPRODUCT(MAX(ROW(E1407:E$2)*(E1408=E1407:E$2)))))</f>
        <v> </v>
      </c>
      <c r="J1408" s="25" t="str">
        <f>IF(OR(E1408="",E1408="!!!",F1408="NEW"),"",COUNTBLANK(OFFSET(A$1,,,SUMPRODUCT(MAX(ROW(E$2:E1408)*(E1408=E$2:E1408)))))-COUNTBLANK(OFFSET(A$1,,,SUMPRODUCT(MAX(ROW(E$1:E1407)*(E2=E$1:E1407))))))</f>
        <v> </v>
      </c>
      <c r="K1408" s="25" t="str">
        <f>IF(OR(E1408="",E1408="!!!",F1408="NEW"),"",INDEX(J$1:J1407,SUMPRODUCT(MAX(ROW(E$1:E1407)*(E1408=E$1:E1407)))))</f>
        <v> </v>
      </c>
      <c r="L1408" s="26"/>
    </row>
    <row r="1409" spans="1:12">
      <c r="A1409" s="20" t="s">
        <v>1284</v>
      </c>
      <c r="E1409" s="21">
        <f>IF(D1409="?OLD","!!!","")</f>
        <v/>
      </c>
      <c r="F1409" s="22" t="str">
        <f>IF(OR(E1409="",E1409="!!!"),"",IF(NOT(ISNA(VLOOKUP(E1409,E$1:E1408,1,FALSE()))),"OLD",IF(AND(E1409&lt;&gt;"",E1409&lt;&gt;"!!!"),"NEW","")))</f>
        <v> </v>
      </c>
      <c r="G1409" s="23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> </v>
      </c>
      <c r="H1409" s="24" t="str">
        <f>IF(J1409&lt;&gt;1,"",IF(I1409="SBJ","CB","?"))</f>
        <v> </v>
      </c>
      <c r="I1409" s="25" t="str">
        <f>IF(OR(E1409="",E1409="!!!",F1409="NEW"),"",INDEX(B1408:B$2,-1+SUMPRODUCT(MAX(ROW(E1408:E$2)*(E1409=E1408:E$2)))))</f>
        <v> </v>
      </c>
      <c r="J1409" s="25" t="str">
        <f>IF(OR(E1409="",E1409="!!!",F1409="NEW"),"",COUNTBLANK(OFFSET(A$1,,,SUMPRODUCT(MAX(ROW(E$2:E1409)*(E1409=E$2:E1409)))))-COUNTBLANK(OFFSET(A$1,,,SUMPRODUCT(MAX(ROW(E$1:E1408)*(E2=E$1:E1408))))))</f>
        <v> </v>
      </c>
      <c r="K1409" s="25" t="str">
        <f>IF(OR(E1409="",E1409="!!!",F1409="NEW"),"",INDEX(J$1:J1408,SUMPRODUCT(MAX(ROW(E$1:E1408)*(E1409=E$1:E1408)))))</f>
        <v> </v>
      </c>
      <c r="L1409" s="26"/>
    </row>
    <row r="1410" spans="1:12">
      <c r="A1410" s="20" t="s">
        <v>1859</v>
      </c>
      <c r="E1410" s="21">
        <f>IF(D1410="?OLD","!!!","")</f>
        <v/>
      </c>
      <c r="F1410" s="22" t="str">
        <f>IF(OR(E1410="",E1410="!!!"),"",IF(NOT(ISNA(VLOOKUP(E1410,E$1:E1409,1,FALSE()))),"OLD",IF(AND(E1410&lt;&gt;"",E1410&lt;&gt;"!!!"),"NEW","")))</f>
        <v> </v>
      </c>
      <c r="G1410" s="23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 </v>
      </c>
      <c r="H1410" s="24" t="str">
        <f>IF(J1410&lt;&gt;1,"",IF(I1410="SBJ","CB","?"))</f>
        <v> </v>
      </c>
      <c r="I1410" s="25" t="str">
        <f>IF(OR(E1410="",E1410="!!!",F1410="NEW"),"",INDEX(B1409:B$2,-1+SUMPRODUCT(MAX(ROW(E1409:E$2)*(E1410=E1409:E$2)))))</f>
        <v> </v>
      </c>
      <c r="J1410" s="25" t="str">
        <f>IF(OR(E1410="",E1410="!!!",F1410="NEW"),"",COUNTBLANK(OFFSET(A$1,,,SUMPRODUCT(MAX(ROW(E$2:E1410)*(E1410=E$2:E1410)))))-COUNTBLANK(OFFSET(A$1,,,SUMPRODUCT(MAX(ROW(E$1:E1409)*(E2=E$1:E1409))))))</f>
        <v> </v>
      </c>
      <c r="K1410" s="25" t="str">
        <f>IF(OR(E1410="",E1410="!!!",F1410="NEW"),"",INDEX(J$1:J1409,SUMPRODUCT(MAX(ROW(E$1:E1409)*(E1410=E$1:E1409)))))</f>
        <v> </v>
      </c>
      <c r="L1410" s="26"/>
    </row>
    <row r="1411" spans="1:12">
      <c r="A1411" s="20" t="s">
        <v>1123</v>
      </c>
      <c r="E1411" s="21">
        <f>IF(D1411="?OLD","!!!","")</f>
        <v/>
      </c>
      <c r="F1411" s="22" t="str">
        <f>IF(OR(E1411="",E1411="!!!"),"",IF(NOT(ISNA(VLOOKUP(E1411,E$1:E1410,1,FALSE()))),"OLD",IF(AND(E1411&lt;&gt;"",E1411&lt;&gt;"!!!"),"NEW","")))</f>
        <v> </v>
      </c>
      <c r="G1411" s="23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24" t="str">
        <f>IF(J1411&lt;&gt;1,"",IF(I1411="SBJ","CB","?"))</f>
        <v> </v>
      </c>
      <c r="I1411" s="25" t="str">
        <f>IF(OR(E1411="",E1411="!!!",F1411="NEW"),"",INDEX(B1410:B$2,-1+SUMPRODUCT(MAX(ROW(E1410:E$2)*(E1411=E1410:E$2)))))</f>
        <v> </v>
      </c>
      <c r="J1411" s="25" t="str">
        <f>IF(OR(E1411="",E1411="!!!",F1411="NEW"),"",COUNTBLANK(OFFSET(A$1,,,SUMPRODUCT(MAX(ROW(E$2:E1411)*(E1411=E$2:E1411)))))-COUNTBLANK(OFFSET(A$1,,,SUMPRODUCT(MAX(ROW(E$1:E1410)*(E2=E$1:E1410))))))</f>
        <v> </v>
      </c>
      <c r="K1411" s="25" t="str">
        <f>IF(OR(E1411="",E1411="!!!",F1411="NEW"),"",INDEX(J$1:J1410,SUMPRODUCT(MAX(ROW(E$1:E1410)*(E1411=E$1:E1410)))))</f>
        <v> </v>
      </c>
      <c r="L1411" s="26"/>
    </row>
    <row r="1412" spans="1:12">
      <c r="A1412" s="20" t="s">
        <v>1860</v>
      </c>
      <c r="E1412" s="21">
        <f>IF(D1412="?OLD","!!!","")</f>
        <v/>
      </c>
      <c r="F1412" s="22" t="str">
        <f>IF(OR(E1412="",E1412="!!!"),"",IF(NOT(ISNA(VLOOKUP(E1412,E$1:E1411,1,FALSE()))),"OLD",IF(AND(E1412&lt;&gt;"",E1412&lt;&gt;"!!!"),"NEW","")))</f>
        <v> </v>
      </c>
      <c r="G1412" s="23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24" t="str">
        <f>IF(J1412&lt;&gt;1,"",IF(I1412="SBJ","CB","?"))</f>
        <v> </v>
      </c>
      <c r="I1412" s="25" t="str">
        <f>IF(OR(E1412="",E1412="!!!",F1412="NEW"),"",INDEX(B1411:B$2,-1+SUMPRODUCT(MAX(ROW(E1411:E$2)*(E1412=E1411:E$2)))))</f>
        <v> </v>
      </c>
      <c r="J1412" s="25" t="str">
        <f>IF(OR(E1412="",E1412="!!!",F1412="NEW"),"",COUNTBLANK(OFFSET(A$1,,,SUMPRODUCT(MAX(ROW(E$2:E1412)*(E1412=E$2:E1412)))))-COUNTBLANK(OFFSET(A$1,,,SUMPRODUCT(MAX(ROW(E$1:E1411)*(E2=E$1:E1411))))))</f>
        <v> </v>
      </c>
      <c r="K1412" s="25" t="str">
        <f>IF(OR(E1412="",E1412="!!!",F1412="NEW"),"",INDEX(J$1:J1411,SUMPRODUCT(MAX(ROW(E$1:E1411)*(E1412=E$1:E1411)))))</f>
        <v> </v>
      </c>
      <c r="L1412" s="26"/>
    </row>
    <row r="1413" spans="1:12">
      <c r="A1413" s="20" t="s">
        <v>1861</v>
      </c>
      <c r="B1413" s="27" t="s">
        <v>1243</v>
      </c>
      <c r="E1413" s="21">
        <f>IF(D1413="?OLD","!!!","")</f>
        <v/>
      </c>
      <c r="F1413" s="22" t="str">
        <f>IF(OR(E1413="",E1413="!!!"),"",IF(NOT(ISNA(VLOOKUP(E1413,E$1:E1412,1,FALSE()))),"OLD",IF(AND(E1413&lt;&gt;"",E1413&lt;&gt;"!!!"),"NEW","")))</f>
        <v> </v>
      </c>
      <c r="G1413" s="23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> </v>
      </c>
      <c r="H1413" s="24" t="str">
        <f>IF(J1413&lt;&gt;1,"",IF(I1413="SBJ","CB","?"))</f>
        <v> </v>
      </c>
      <c r="I1413" s="25" t="str">
        <f>IF(OR(E1413="",E1413="!!!",F1413="NEW"),"",INDEX(B1412:B$2,-1+SUMPRODUCT(MAX(ROW(E1412:E$2)*(E1413=E1412:E$2)))))</f>
        <v> </v>
      </c>
      <c r="J1413" s="25" t="str">
        <f>IF(OR(E1413="",E1413="!!!",F1413="NEW"),"",COUNTBLANK(OFFSET(A$1,,,SUMPRODUCT(MAX(ROW(E$2:E1413)*(E1413=E$2:E1413)))))-COUNTBLANK(OFFSET(A$1,,,SUMPRODUCT(MAX(ROW(E$1:E1412)*(E2=E$1:E1412))))))</f>
        <v> </v>
      </c>
      <c r="K1413" s="25" t="str">
        <f>IF(OR(E1413="",E1413="!!!",F1413="NEW"),"",INDEX(J$1:J1412,SUMPRODUCT(MAX(ROW(E$1:E1412)*(E1413=E$1:E1412)))))</f>
        <v> </v>
      </c>
      <c r="L1413" s="26"/>
    </row>
    <row r="1414" spans="1:12">
      <c r="A1414" s="20" t="s">
        <v>1145</v>
      </c>
      <c r="E1414" s="21">
        <f>IF(D1414="?OLD","!!!","")</f>
        <v/>
      </c>
      <c r="F1414" s="22" t="str">
        <f>IF(OR(E1414="",E1414="!!!"),"",IF(NOT(ISNA(VLOOKUP(E1414,E$1:E1413,1,FALSE()))),"OLD",IF(AND(E1414&lt;&gt;"",E1414&lt;&gt;"!!!"),"NEW","")))</f>
        <v> </v>
      </c>
      <c r="G1414" s="23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> </v>
      </c>
      <c r="H1414" s="24" t="str">
        <f>IF(J1414&lt;&gt;1,"",IF(I1414="SBJ","CB","?"))</f>
        <v> </v>
      </c>
      <c r="I1414" s="25" t="str">
        <f>IF(OR(E1414="",E1414="!!!",F1414="NEW"),"",INDEX(B1413:B$2,-1+SUMPRODUCT(MAX(ROW(E1413:E$2)*(E1414=E1413:E$2)))))</f>
        <v> </v>
      </c>
      <c r="J1414" s="25" t="str">
        <f>IF(OR(E1414="",E1414="!!!",F1414="NEW"),"",COUNTBLANK(OFFSET(A$1,,,SUMPRODUCT(MAX(ROW(E$2:E1414)*(E1414=E$2:E1414)))))-COUNTBLANK(OFFSET(A$1,,,SUMPRODUCT(MAX(ROW(E$1:E1413)*(E2=E$1:E1413))))))</f>
        <v> </v>
      </c>
      <c r="K1414" s="25" t="str">
        <f>IF(OR(E1414="",E1414="!!!",F1414="NEW"),"",INDEX(J$1:J1413,SUMPRODUCT(MAX(ROW(E$1:E1413)*(E1414=E$1:E1413)))))</f>
        <v> </v>
      </c>
      <c r="L1414" s="26"/>
    </row>
    <row r="1415" spans="1:12">
      <c r="A1415" s="20"/>
    </row>
    <row r="1416" spans="1:12">
      <c r="A1416" s="20" t="s">
        <v>1862</v>
      </c>
    </row>
    <row r="1417" spans="1:12">
      <c r="A1417" s="20" t="s">
        <v>1111</v>
      </c>
      <c r="E1417" s="21">
        <f>IF(D1417="?OLD","!!!","")</f>
        <v/>
      </c>
      <c r="F1417" s="22" t="str">
        <f>IF(OR(E1417="",E1417="!!!"),"",IF(NOT(ISNA(VLOOKUP(E1417,E$1:E1416,1,FALSE()))),"OLD",IF(AND(E1417&lt;&gt;"",E1417&lt;&gt;"!!!"),"NEW","")))</f>
        <v> </v>
      </c>
      <c r="G1417" s="23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> </v>
      </c>
      <c r="H1417" s="24" t="str">
        <f>IF(J1417&lt;&gt;1,"",IF(I1417="SBJ","CB","?"))</f>
        <v> </v>
      </c>
      <c r="I1417" s="25" t="str">
        <f>IF(OR(E1417="",E1417="!!!",F1417="NEW"),"",INDEX(B1416:B$2,-1+SUMPRODUCT(MAX(ROW(E1416:E$2)*(E1417=E1416:E$2)))))</f>
        <v> </v>
      </c>
      <c r="J1417" s="25" t="str">
        <f>IF(OR(E1417="",E1417="!!!",F1417="NEW"),"",COUNTBLANK(OFFSET(A$1,,,SUMPRODUCT(MAX(ROW(E$2:E1417)*(E1417=E$2:E1417)))))-COUNTBLANK(OFFSET(A$1,,,SUMPRODUCT(MAX(ROW(E$1:E1416)*(E2=E$1:E1416))))))</f>
        <v> </v>
      </c>
      <c r="K1417" s="25" t="str">
        <f>IF(OR(E1417="",E1417="!!!",F1417="NEW"),"",INDEX(J$1:J1416,SUMPRODUCT(MAX(ROW(E$1:E1416)*(E1417=E$1:E1416)))))</f>
        <v> </v>
      </c>
      <c r="L1417" s="26"/>
    </row>
    <row r="1418" spans="1:12">
      <c r="A1418" s="20" t="s">
        <v>1353</v>
      </c>
      <c r="B1418" s="27" t="s">
        <v>1149</v>
      </c>
      <c r="C1418" s="27" t="s">
        <v>1126</v>
      </c>
      <c r="D1418" s="27" t="s">
        <v>1105</v>
      </c>
      <c r="E1418" s="21">
        <f>IF(D1418="?OLD","!!!","")</f>
        <v/>
      </c>
      <c r="F1418" s="22" t="str">
        <f>IF(OR(E1418="",E1418="!!!"),"",IF(NOT(ISNA(VLOOKUP(E1418,E$1:E1417,1,FALSE()))),"OLD",IF(AND(E1418&lt;&gt;"",E1418&lt;&gt;"!!!"),"NEW","")))</f>
        <v> </v>
      </c>
      <c r="G1418" s="23" t="str">
        <f>IF(OR(E1418="",E1418="!!!"),"",IF(OR(J1418=0,AND(J1418=1,K1418=1),AND(J1418=1,I1418="SBJ"),AND(J1418=1,I1418=0)),"?IN_FOCUS",IF(J1418&lt;=2,"?ACTIVATED",IF(J1418&lt;&gt;"","?FAMILIAR",IF(F1418="NEW",IF(ISNA(VLOOKUP(E1418,#REF!,1,FALSE())),"?TYPE_IDENTIFIABLE","?REFERENTIAL"),"_")))))</f>
        <v> </v>
      </c>
      <c r="H1418" s="24" t="str">
        <f>IF(J1418&lt;&gt;1,"",IF(I1418="SBJ","CB","?"))</f>
        <v> </v>
      </c>
      <c r="I1418" s="25" t="str">
        <f>IF(OR(E1418="",E1418="!!!",F1418="NEW"),"",INDEX(B1417:B$2,-1+SUMPRODUCT(MAX(ROW(E1417:E$2)*(E1418=E1417:E$2)))))</f>
        <v> </v>
      </c>
      <c r="J1418" s="25" t="str">
        <f>IF(OR(E1418="",E1418="!!!",F1418="NEW"),"",COUNTBLANK(OFFSET(A$1,,,SUMPRODUCT(MAX(ROW(E$2:E1418)*(E1418=E$2:E1418)))))-COUNTBLANK(OFFSET(A$1,,,SUMPRODUCT(MAX(ROW(E$1:E1417)*(E2=E$1:E1417))))))</f>
        <v> </v>
      </c>
      <c r="K1418" s="25" t="str">
        <f>IF(OR(E1418="",E1418="!!!",F1418="NEW"),"",INDEX(J$1:J1417,SUMPRODUCT(MAX(ROW(E$1:E1417)*(E1418=E$1:E1417)))))</f>
        <v> </v>
      </c>
      <c r="L1418" s="26"/>
    </row>
    <row r="1419" spans="1:12">
      <c r="A1419" s="20" t="s">
        <v>1863</v>
      </c>
      <c r="E1419" s="21">
        <f>IF(D1419="?OLD","!!!","")</f>
        <v/>
      </c>
      <c r="F1419" s="22" t="str">
        <f>IF(OR(E1419="",E1419="!!!"),"",IF(NOT(ISNA(VLOOKUP(E1419,E$1:E1418,1,FALSE()))),"OLD",IF(AND(E1419&lt;&gt;"",E1419&lt;&gt;"!!!"),"NEW","")))</f>
        <v> </v>
      </c>
      <c r="G1419" s="23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> </v>
      </c>
      <c r="H1419" s="24" t="str">
        <f>IF(J1419&lt;&gt;1,"",IF(I1419="SBJ","CB","?"))</f>
        <v> </v>
      </c>
      <c r="I1419" s="25" t="str">
        <f>IF(OR(E1419="",E1419="!!!",F1419="NEW"),"",INDEX(B1418:B$2,-1+SUMPRODUCT(MAX(ROW(E1418:E$2)*(E1419=E1418:E$2)))))</f>
        <v> </v>
      </c>
      <c r="J1419" s="25" t="str">
        <f>IF(OR(E1419="",E1419="!!!",F1419="NEW"),"",COUNTBLANK(OFFSET(A$1,,,SUMPRODUCT(MAX(ROW(E$2:E1419)*(E1419=E$2:E1419)))))-COUNTBLANK(OFFSET(A$1,,,SUMPRODUCT(MAX(ROW(E$1:E1418)*(E2=E$1:E1418))))))</f>
        <v> </v>
      </c>
      <c r="K1419" s="25" t="str">
        <f>IF(OR(E1419="",E1419="!!!",F1419="NEW"),"",INDEX(J$1:J1418,SUMPRODUCT(MAX(ROW(E$1:E1418)*(E1419=E$1:E1418)))))</f>
        <v> </v>
      </c>
      <c r="L1419" s="26"/>
    </row>
    <row r="1420" spans="1:12">
      <c r="A1420" s="20" t="s">
        <v>1864</v>
      </c>
      <c r="E1420" s="21">
        <f>IF(D1420="?OLD","!!!","")</f>
        <v/>
      </c>
      <c r="F1420" s="22" t="str">
        <f>IF(OR(E1420="",E1420="!!!"),"",IF(NOT(ISNA(VLOOKUP(E1420,E$1:E1419,1,FALSE()))),"OLD",IF(AND(E1420&lt;&gt;"",E1420&lt;&gt;"!!!"),"NEW","")))</f>
        <v> </v>
      </c>
      <c r="G1420" s="23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> </v>
      </c>
      <c r="H1420" s="24" t="str">
        <f>IF(J1420&lt;&gt;1,"",IF(I1420="SBJ","CB","?"))</f>
        <v> </v>
      </c>
      <c r="I1420" s="25" t="str">
        <f>IF(OR(E1420="",E1420="!!!",F1420="NEW"),"",INDEX(B1419:B$2,-1+SUMPRODUCT(MAX(ROW(E1419:E$2)*(E1420=E1419:E$2)))))</f>
        <v> </v>
      </c>
      <c r="J1420" s="25" t="str">
        <f>IF(OR(E1420="",E1420="!!!",F1420="NEW"),"",COUNTBLANK(OFFSET(A$1,,,SUMPRODUCT(MAX(ROW(E$2:E1420)*(E1420=E$2:E1420)))))-COUNTBLANK(OFFSET(A$1,,,SUMPRODUCT(MAX(ROW(E$1:E1419)*(E2=E$1:E1419))))))</f>
        <v> </v>
      </c>
      <c r="K1420" s="25" t="str">
        <f>IF(OR(E1420="",E1420="!!!",F1420="NEW"),"",INDEX(J$1:J1419,SUMPRODUCT(MAX(ROW(E$1:E1419)*(E1420=E$1:E1419)))))</f>
        <v> </v>
      </c>
      <c r="L1420" s="26"/>
    </row>
    <row r="1421" spans="1:12">
      <c r="A1421" s="20" t="s">
        <v>1865</v>
      </c>
      <c r="E1421" s="21">
        <f>IF(D1421="?OLD","!!!","")</f>
        <v/>
      </c>
      <c r="F1421" s="22" t="str">
        <f>IF(OR(E1421="",E1421="!!!"),"",IF(NOT(ISNA(VLOOKUP(E1421,E$1:E1420,1,FALSE()))),"OLD",IF(AND(E1421&lt;&gt;"",E1421&lt;&gt;"!!!"),"NEW","")))</f>
        <v> </v>
      </c>
      <c r="G1421" s="23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24" t="str">
        <f>IF(J1421&lt;&gt;1,"",IF(I1421="SBJ","CB","?"))</f>
        <v> </v>
      </c>
      <c r="I1421" s="25" t="str">
        <f>IF(OR(E1421="",E1421="!!!",F1421="NEW"),"",INDEX(B1420:B$2,-1+SUMPRODUCT(MAX(ROW(E1420:E$2)*(E1421=E1420:E$2)))))</f>
        <v> </v>
      </c>
      <c r="J1421" s="25" t="str">
        <f>IF(OR(E1421="",E1421="!!!",F1421="NEW"),"",COUNTBLANK(OFFSET(A$1,,,SUMPRODUCT(MAX(ROW(E$2:E1421)*(E1421=E$2:E1421)))))-COUNTBLANK(OFFSET(A$1,,,SUMPRODUCT(MAX(ROW(E$1:E1420)*(E2=E$1:E1420))))))</f>
        <v> </v>
      </c>
      <c r="K1421" s="25" t="str">
        <f>IF(OR(E1421="",E1421="!!!",F1421="NEW"),"",INDEX(J$1:J1420,SUMPRODUCT(MAX(ROW(E$1:E1420)*(E1421=E$1:E1420)))))</f>
        <v> </v>
      </c>
      <c r="L1421" s="26"/>
    </row>
    <row r="1422" spans="1:12">
      <c r="A1422" s="20" t="s">
        <v>1123</v>
      </c>
      <c r="E1422" s="21">
        <f>IF(D1422="?OLD","!!!","")</f>
        <v/>
      </c>
      <c r="F1422" s="22" t="str">
        <f>IF(OR(E1422="",E1422="!!!"),"",IF(NOT(ISNA(VLOOKUP(E1422,E$1:E1421,1,FALSE()))),"OLD",IF(AND(E1422&lt;&gt;"",E1422&lt;&gt;"!!!"),"NEW","")))</f>
        <v> </v>
      </c>
      <c r="G1422" s="23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> </v>
      </c>
      <c r="H1422" s="24" t="str">
        <f>IF(J1422&lt;&gt;1,"",IF(I1422="SBJ","CB","?"))</f>
        <v> </v>
      </c>
      <c r="I1422" s="25" t="str">
        <f>IF(OR(E1422="",E1422="!!!",F1422="NEW"),"",INDEX(B1421:B$2,-1+SUMPRODUCT(MAX(ROW(E1421:E$2)*(E1422=E1421:E$2)))))</f>
        <v> </v>
      </c>
      <c r="J1422" s="25" t="str">
        <f>IF(OR(E1422="",E1422="!!!",F1422="NEW"),"",COUNTBLANK(OFFSET(A$1,,,SUMPRODUCT(MAX(ROW(E$2:E1422)*(E1422=E$2:E1422)))))-COUNTBLANK(OFFSET(A$1,,,SUMPRODUCT(MAX(ROW(E$1:E1421)*(E2=E$1:E1421))))))</f>
        <v> </v>
      </c>
      <c r="K1422" s="25" t="str">
        <f>IF(OR(E1422="",E1422="!!!",F1422="NEW"),"",INDEX(J$1:J1421,SUMPRODUCT(MAX(ROW(E$1:E1421)*(E1422=E$1:E1421)))))</f>
        <v> </v>
      </c>
      <c r="L1422" s="26"/>
    </row>
    <row r="1423" spans="1:12">
      <c r="A1423" s="20" t="s">
        <v>1111</v>
      </c>
      <c r="E1423" s="21">
        <f>IF(D1423="?OLD","!!!","")</f>
        <v/>
      </c>
      <c r="F1423" s="22" t="str">
        <f>IF(OR(E1423="",E1423="!!!"),"",IF(NOT(ISNA(VLOOKUP(E1423,E$1:E1422,1,FALSE()))),"OLD",IF(AND(E1423&lt;&gt;"",E1423&lt;&gt;"!!!"),"NEW","")))</f>
        <v> </v>
      </c>
      <c r="G1423" s="23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 </v>
      </c>
      <c r="H1423" s="24" t="str">
        <f>IF(J1423&lt;&gt;1,"",IF(I1423="SBJ","CB","?"))</f>
        <v> </v>
      </c>
      <c r="I1423" s="25" t="str">
        <f>IF(OR(E1423="",E1423="!!!",F1423="NEW"),"",INDEX(B1422:B$2,-1+SUMPRODUCT(MAX(ROW(E1422:E$2)*(E1423=E1422:E$2)))))</f>
        <v> </v>
      </c>
      <c r="J1423" s="25" t="str">
        <f>IF(OR(E1423="",E1423="!!!",F1423="NEW"),"",COUNTBLANK(OFFSET(A$1,,,SUMPRODUCT(MAX(ROW(E$2:E1423)*(E1423=E$2:E1423)))))-COUNTBLANK(OFFSET(A$1,,,SUMPRODUCT(MAX(ROW(E$1:E1422)*(E2=E$1:E1422))))))</f>
        <v> </v>
      </c>
      <c r="K1423" s="25" t="str">
        <f>IF(OR(E1423="",E1423="!!!",F1423="NEW"),"",INDEX(J$1:J1422,SUMPRODUCT(MAX(ROW(E$1:E1422)*(E1423=E$1:E1422)))))</f>
        <v> </v>
      </c>
      <c r="L1423" s="26"/>
    </row>
    <row r="1424" spans="1:12">
      <c r="A1424" s="20" t="s">
        <v>1425</v>
      </c>
      <c r="E1424" s="21">
        <f>IF(D1424="?OLD","!!!","")</f>
        <v/>
      </c>
      <c r="F1424" s="22" t="str">
        <f>IF(OR(E1424="",E1424="!!!"),"",IF(NOT(ISNA(VLOOKUP(E1424,E$1:E1423,1,FALSE()))),"OLD",IF(AND(E1424&lt;&gt;"",E1424&lt;&gt;"!!!"),"NEW","")))</f>
        <v> </v>
      </c>
      <c r="G1424" s="23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> </v>
      </c>
      <c r="H1424" s="24" t="str">
        <f>IF(J1424&lt;&gt;1,"",IF(I1424="SBJ","CB","?"))</f>
        <v> </v>
      </c>
      <c r="I1424" s="25" t="str">
        <f>IF(OR(E1424="",E1424="!!!",F1424="NEW"),"",INDEX(B1423:B$2,-1+SUMPRODUCT(MAX(ROW(E1423:E$2)*(E1424=E1423:E$2)))))</f>
        <v> </v>
      </c>
      <c r="J1424" s="25" t="str">
        <f>IF(OR(E1424="",E1424="!!!",F1424="NEW"),"",COUNTBLANK(OFFSET(A$1,,,SUMPRODUCT(MAX(ROW(E$2:E1424)*(E1424=E$2:E1424)))))-COUNTBLANK(OFFSET(A$1,,,SUMPRODUCT(MAX(ROW(E$1:E1423)*(E2=E$1:E1423))))))</f>
        <v> </v>
      </c>
      <c r="K1424" s="25" t="str">
        <f>IF(OR(E1424="",E1424="!!!",F1424="NEW"),"",INDEX(J$1:J1423,SUMPRODUCT(MAX(ROW(E$1:E1423)*(E1424=E$1:E1423)))))</f>
        <v> </v>
      </c>
      <c r="L1424" s="26"/>
    </row>
    <row r="1425" spans="1:12">
      <c r="A1425" s="20" t="s">
        <v>1225</v>
      </c>
      <c r="B1425" s="27" t="s">
        <v>1122</v>
      </c>
      <c r="C1425" s="27" t="s">
        <v>1108</v>
      </c>
      <c r="D1425" s="27" t="s">
        <v>1105</v>
      </c>
      <c r="E1425" s="21">
        <f>IF(D1425="?OLD","!!!","")</f>
        <v/>
      </c>
      <c r="F1425" s="22" t="str">
        <f>IF(OR(E1425="",E1425="!!!"),"",IF(NOT(ISNA(VLOOKUP(E1425,E$1:E1424,1,FALSE()))),"OLD",IF(AND(E1425&lt;&gt;"",E1425&lt;&gt;"!!!"),"NEW","")))</f>
        <v> </v>
      </c>
      <c r="G1425" s="23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> </v>
      </c>
      <c r="H1425" s="24" t="str">
        <f>IF(J1425&lt;&gt;1,"",IF(I1425="SBJ","CB","?"))</f>
        <v> </v>
      </c>
      <c r="I1425" s="25" t="str">
        <f>IF(OR(E1425="",E1425="!!!",F1425="NEW"),"",INDEX(B1424:B$2,-1+SUMPRODUCT(MAX(ROW(E1424:E$2)*(E1425=E1424:E$2)))))</f>
        <v> </v>
      </c>
      <c r="J1425" s="25" t="str">
        <f>IF(OR(E1425="",E1425="!!!",F1425="NEW"),"",COUNTBLANK(OFFSET(A$1,,,SUMPRODUCT(MAX(ROW(E$2:E1425)*(E1425=E$2:E1425)))))-COUNTBLANK(OFFSET(A$1,,,SUMPRODUCT(MAX(ROW(E$1:E1424)*(E2=E$1:E1424))))))</f>
        <v> </v>
      </c>
      <c r="K1425" s="25" t="str">
        <f>IF(OR(E1425="",E1425="!!!",F1425="NEW"),"",INDEX(J$1:J1424,SUMPRODUCT(MAX(ROW(E$1:E1424)*(E1425=E$1:E1424)))))</f>
        <v> </v>
      </c>
      <c r="L1425" s="26"/>
    </row>
    <row r="1426" spans="1:12">
      <c r="A1426" s="20" t="s">
        <v>1145</v>
      </c>
      <c r="E1426" s="21">
        <f>IF(D1426="?OLD","!!!","")</f>
        <v/>
      </c>
      <c r="F1426" s="22" t="str">
        <f>IF(OR(E1426="",E1426="!!!"),"",IF(NOT(ISNA(VLOOKUP(E1426,E$1:E1425,1,FALSE()))),"OLD",IF(AND(E1426&lt;&gt;"",E1426&lt;&gt;"!!!"),"NEW","")))</f>
        <v> </v>
      </c>
      <c r="G1426" s="23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> </v>
      </c>
      <c r="H1426" s="24" t="str">
        <f>IF(J1426&lt;&gt;1,"",IF(I1426="SBJ","CB","?"))</f>
        <v> </v>
      </c>
      <c r="I1426" s="25" t="str">
        <f>IF(OR(E1426="",E1426="!!!",F1426="NEW"),"",INDEX(B1425:B$2,-1+SUMPRODUCT(MAX(ROW(E1425:E$2)*(E1426=E1425:E$2)))))</f>
        <v> </v>
      </c>
      <c r="J1426" s="25" t="str">
        <f>IF(OR(E1426="",E1426="!!!",F1426="NEW"),"",COUNTBLANK(OFFSET(A$1,,,SUMPRODUCT(MAX(ROW(E$2:E1426)*(E1426=E$2:E1426)))))-COUNTBLANK(OFFSET(A$1,,,SUMPRODUCT(MAX(ROW(E$1:E1425)*(E2=E$1:E1425))))))</f>
        <v> </v>
      </c>
      <c r="K1426" s="25" t="str">
        <f>IF(OR(E1426="",E1426="!!!",F1426="NEW"),"",INDEX(J$1:J1425,SUMPRODUCT(MAX(ROW(E$1:E1425)*(E1426=E$1:E1425)))))</f>
        <v> </v>
      </c>
      <c r="L1426" s="26"/>
    </row>
    <row r="1427" spans="1:12">
      <c r="A1427" s="20"/>
    </row>
    <row r="1428" spans="1:12">
      <c r="A1428" s="20" t="s">
        <v>1866</v>
      </c>
    </row>
    <row r="1429" spans="1:12">
      <c r="A1429" s="20" t="s">
        <v>1111</v>
      </c>
      <c r="E1429" s="21">
        <f>IF(D1429="?OLD","!!!","")</f>
        <v/>
      </c>
      <c r="F1429" s="22" t="str">
        <f>IF(OR(E1429="",E1429="!!!"),"",IF(NOT(ISNA(VLOOKUP(E1429,E$1:E1428,1,FALSE()))),"OLD",IF(AND(E1429&lt;&gt;"",E1429&lt;&gt;"!!!"),"NEW","")))</f>
        <v> </v>
      </c>
      <c r="G1429" s="23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> </v>
      </c>
      <c r="H1429" s="24" t="str">
        <f>IF(J1429&lt;&gt;1,"",IF(I1429="SBJ","CB","?"))</f>
        <v> </v>
      </c>
      <c r="I1429" s="25" t="str">
        <f>IF(OR(E1429="",E1429="!!!",F1429="NEW"),"",INDEX(B1428:B$2,-1+SUMPRODUCT(MAX(ROW(E1428:E$2)*(E1429=E1428:E$2)))))</f>
        <v> </v>
      </c>
      <c r="J1429" s="25" t="str">
        <f>IF(OR(E1429="",E1429="!!!",F1429="NEW"),"",COUNTBLANK(OFFSET(A$1,,,SUMPRODUCT(MAX(ROW(E$2:E1429)*(E1429=E$2:E1429)))))-COUNTBLANK(OFFSET(A$1,,,SUMPRODUCT(MAX(ROW(E$1:E1428)*(E2=E$1:E1428))))))</f>
        <v> </v>
      </c>
      <c r="K1429" s="25" t="str">
        <f>IF(OR(E1429="",E1429="!!!",F1429="NEW"),"",INDEX(J$1:J1428,SUMPRODUCT(MAX(ROW(E$1:E1428)*(E1429=E$1:E1428)))))</f>
        <v> </v>
      </c>
      <c r="L1429" s="26"/>
    </row>
    <row r="1430" spans="1:12">
      <c r="A1430" s="20" t="s">
        <v>1400</v>
      </c>
      <c r="B1430" s="27" t="s">
        <v>1149</v>
      </c>
      <c r="C1430" s="27" t="s">
        <v>1116</v>
      </c>
      <c r="D1430" s="27" t="s">
        <v>1105</v>
      </c>
      <c r="E1430" s="21">
        <f>IF(D1430="?OLD","!!!","")</f>
        <v/>
      </c>
      <c r="F1430" s="22" t="str">
        <f>IF(OR(E1430="",E1430="!!!"),"",IF(NOT(ISNA(VLOOKUP(E1430,E$1:E1429,1,FALSE()))),"OLD",IF(AND(E1430&lt;&gt;"",E1430&lt;&gt;"!!!"),"NEW","")))</f>
        <v> </v>
      </c>
      <c r="G1430" s="23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> </v>
      </c>
      <c r="H1430" s="24" t="str">
        <f>IF(J1430&lt;&gt;1,"",IF(I1430="SBJ","CB","?"))</f>
        <v> </v>
      </c>
      <c r="I1430" s="25" t="str">
        <f>IF(OR(E1430="",E1430="!!!",F1430="NEW"),"",INDEX(B1429:B$2,-1+SUMPRODUCT(MAX(ROW(E1429:E$2)*(E1430=E1429:E$2)))))</f>
        <v> </v>
      </c>
      <c r="J1430" s="25" t="str">
        <f>IF(OR(E1430="",E1430="!!!",F1430="NEW"),"",COUNTBLANK(OFFSET(A$1,,,SUMPRODUCT(MAX(ROW(E$2:E1430)*(E1430=E$2:E1430)))))-COUNTBLANK(OFFSET(A$1,,,SUMPRODUCT(MAX(ROW(E$1:E1429)*(E2=E$1:E1429))))))</f>
        <v> </v>
      </c>
      <c r="K1430" s="25" t="str">
        <f>IF(OR(E1430="",E1430="!!!",F1430="NEW"),"",INDEX(J$1:J1429,SUMPRODUCT(MAX(ROW(E$1:E1429)*(E1430=E$1:E1429)))))</f>
        <v> </v>
      </c>
      <c r="L1430" s="26"/>
    </row>
    <row r="1431" spans="1:12">
      <c r="A1431" s="20" t="s">
        <v>1628</v>
      </c>
      <c r="E1431" s="21">
        <f>IF(D1431="?OLD","!!!","")</f>
        <v/>
      </c>
      <c r="F1431" s="22" t="str">
        <f>IF(OR(E1431="",E1431="!!!"),"",IF(NOT(ISNA(VLOOKUP(E1431,E$1:E1430,1,FALSE()))),"OLD",IF(AND(E1431&lt;&gt;"",E1431&lt;&gt;"!!!"),"NEW","")))</f>
        <v> </v>
      </c>
      <c r="G1431" s="23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> </v>
      </c>
      <c r="H1431" s="24" t="str">
        <f>IF(J1431&lt;&gt;1,"",IF(I1431="SBJ","CB","?"))</f>
        <v> </v>
      </c>
      <c r="I1431" s="25" t="str">
        <f>IF(OR(E1431="",E1431="!!!",F1431="NEW"),"",INDEX(B1430:B$2,-1+SUMPRODUCT(MAX(ROW(E1430:E$2)*(E1431=E1430:E$2)))))</f>
        <v> </v>
      </c>
      <c r="J1431" s="25" t="str">
        <f>IF(OR(E1431="",E1431="!!!",F1431="NEW"),"",COUNTBLANK(OFFSET(A$1,,,SUMPRODUCT(MAX(ROW(E$2:E1431)*(E1431=E$2:E1431)))))-COUNTBLANK(OFFSET(A$1,,,SUMPRODUCT(MAX(ROW(E$1:E1430)*(E2=E$1:E1430))))))</f>
        <v> </v>
      </c>
      <c r="K1431" s="25" t="str">
        <f>IF(OR(E1431="",E1431="!!!",F1431="NEW"),"",INDEX(J$1:J1430,SUMPRODUCT(MAX(ROW(E$1:E1430)*(E1431=E$1:E1430)))))</f>
        <v> </v>
      </c>
      <c r="L1431" s="26"/>
    </row>
    <row r="1432" spans="1:12">
      <c r="A1432" s="20" t="s">
        <v>1867</v>
      </c>
      <c r="E1432" s="21">
        <f>IF(D1432="?OLD","!!!","")</f>
        <v/>
      </c>
      <c r="F1432" s="22" t="str">
        <f>IF(OR(E1432="",E1432="!!!"),"",IF(NOT(ISNA(VLOOKUP(E1432,E$1:E1431,1,FALSE()))),"OLD",IF(AND(E1432&lt;&gt;"",E1432&lt;&gt;"!!!"),"NEW","")))</f>
        <v> </v>
      </c>
      <c r="G1432" s="23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> </v>
      </c>
      <c r="H1432" s="24" t="str">
        <f>IF(J1432&lt;&gt;1,"",IF(I1432="SBJ","CB","?"))</f>
        <v> </v>
      </c>
      <c r="I1432" s="25" t="str">
        <f>IF(OR(E1432="",E1432="!!!",F1432="NEW"),"",INDEX(B1431:B$2,-1+SUMPRODUCT(MAX(ROW(E1431:E$2)*(E1432=E1431:E$2)))))</f>
        <v> </v>
      </c>
      <c r="J1432" s="25" t="str">
        <f>IF(OR(E1432="",E1432="!!!",F1432="NEW"),"",COUNTBLANK(OFFSET(A$1,,,SUMPRODUCT(MAX(ROW(E$2:E1432)*(E1432=E$2:E1432)))))-COUNTBLANK(OFFSET(A$1,,,SUMPRODUCT(MAX(ROW(E$1:E1431)*(E2=E$1:E1431))))))</f>
        <v> </v>
      </c>
      <c r="K1432" s="25" t="str">
        <f>IF(OR(E1432="",E1432="!!!",F1432="NEW"),"",INDEX(J$1:J1431,SUMPRODUCT(MAX(ROW(E$1:E1431)*(E1432=E$1:E1431)))))</f>
        <v> </v>
      </c>
      <c r="L1432" s="26"/>
    </row>
    <row r="1433" spans="1:12">
      <c r="A1433" s="20" t="s">
        <v>1339</v>
      </c>
      <c r="E1433" s="21">
        <f>IF(D1433="?OLD","!!!","")</f>
        <v/>
      </c>
      <c r="F1433" s="22" t="str">
        <f>IF(OR(E1433="",E1433="!!!"),"",IF(NOT(ISNA(VLOOKUP(E1433,E$1:E1432,1,FALSE()))),"OLD",IF(AND(E1433&lt;&gt;"",E1433&lt;&gt;"!!!"),"NEW","")))</f>
        <v> </v>
      </c>
      <c r="G1433" s="23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> </v>
      </c>
      <c r="H1433" s="24" t="str">
        <f>IF(J1433&lt;&gt;1,"",IF(I1433="SBJ","CB","?"))</f>
        <v> </v>
      </c>
      <c r="I1433" s="25" t="str">
        <f>IF(OR(E1433="",E1433="!!!",F1433="NEW"),"",INDEX(B1432:B$2,-1+SUMPRODUCT(MAX(ROW(E1432:E$2)*(E1433=E1432:E$2)))))</f>
        <v> </v>
      </c>
      <c r="J1433" s="25" t="str">
        <f>IF(OR(E1433="",E1433="!!!",F1433="NEW"),"",COUNTBLANK(OFFSET(A$1,,,SUMPRODUCT(MAX(ROW(E$2:E1433)*(E1433=E$2:E1433)))))-COUNTBLANK(OFFSET(A$1,,,SUMPRODUCT(MAX(ROW(E$1:E1432)*(E2=E$1:E1432))))))</f>
        <v> </v>
      </c>
      <c r="K1433" s="25" t="str">
        <f>IF(OR(E1433="",E1433="!!!",F1433="NEW"),"",INDEX(J$1:J1432,SUMPRODUCT(MAX(ROW(E$1:E1432)*(E1433=E$1:E1432)))))</f>
        <v> </v>
      </c>
      <c r="L1433" s="26"/>
    </row>
    <row r="1434" spans="1:12">
      <c r="A1434" s="20" t="s">
        <v>1186</v>
      </c>
      <c r="B1434" s="27" t="s">
        <v>1115</v>
      </c>
      <c r="C1434" s="27" t="s">
        <v>1126</v>
      </c>
      <c r="D1434" s="27" t="s">
        <v>1105</v>
      </c>
      <c r="E1434" s="21">
        <f>IF(D1434="?OLD","!!!","")</f>
        <v/>
      </c>
      <c r="F1434" s="22" t="str">
        <f>IF(OR(E1434="",E1434="!!!"),"",IF(NOT(ISNA(VLOOKUP(E1434,E$1:E1433,1,FALSE()))),"OLD",IF(AND(E1434&lt;&gt;"",E1434&lt;&gt;"!!!"),"NEW","")))</f>
        <v> </v>
      </c>
      <c r="G1434" s="23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 </v>
      </c>
      <c r="H1434" s="24" t="str">
        <f>IF(J1434&lt;&gt;1,"",IF(I1434="SBJ","CB","?"))</f>
        <v> </v>
      </c>
      <c r="I1434" s="25" t="str">
        <f>IF(OR(E1434="",E1434="!!!",F1434="NEW"),"",INDEX(B1433:B$2,-1+SUMPRODUCT(MAX(ROW(E1433:E$2)*(E1434=E1433:E$2)))))</f>
        <v> </v>
      </c>
      <c r="J1434" s="25" t="str">
        <f>IF(OR(E1434="",E1434="!!!",F1434="NEW"),"",COUNTBLANK(OFFSET(A$1,,,SUMPRODUCT(MAX(ROW(E$2:E1434)*(E1434=E$2:E1434)))))-COUNTBLANK(OFFSET(A$1,,,SUMPRODUCT(MAX(ROW(E$1:E1433)*(E2=E$1:E1433))))))</f>
        <v> </v>
      </c>
      <c r="K1434" s="25" t="str">
        <f>IF(OR(E1434="",E1434="!!!",F1434="NEW"),"",INDEX(J$1:J1433,SUMPRODUCT(MAX(ROW(E$1:E1433)*(E1434=E$1:E1433)))))</f>
        <v> </v>
      </c>
      <c r="L1434" s="26"/>
    </row>
    <row r="1435" spans="1:12">
      <c r="A1435" s="20" t="s">
        <v>1868</v>
      </c>
      <c r="E1435" s="21">
        <f>IF(D1435="?OLD","!!!","")</f>
        <v/>
      </c>
      <c r="F1435" s="22" t="str">
        <f>IF(OR(E1435="",E1435="!!!"),"",IF(NOT(ISNA(VLOOKUP(E1435,E$1:E1434,1,FALSE()))),"OLD",IF(AND(E1435&lt;&gt;"",E1435&lt;&gt;"!!!"),"NEW","")))</f>
        <v> </v>
      </c>
      <c r="G1435" s="23" t="str">
        <f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> </v>
      </c>
      <c r="H1435" s="24" t="str">
        <f>IF(J1435&lt;&gt;1,"",IF(I1435="SBJ","CB","?"))</f>
        <v> </v>
      </c>
      <c r="I1435" s="25" t="str">
        <f>IF(OR(E1435="",E1435="!!!",F1435="NEW"),"",INDEX(B1434:B$2,-1+SUMPRODUCT(MAX(ROW(E1434:E$2)*(E1435=E1434:E$2)))))</f>
        <v> </v>
      </c>
      <c r="J1435" s="25" t="str">
        <f>IF(OR(E1435="",E1435="!!!",F1435="NEW"),"",COUNTBLANK(OFFSET(A$1,,,SUMPRODUCT(MAX(ROW(E$2:E1435)*(E1435=E$2:E1435)))))-COUNTBLANK(OFFSET(A$1,,,SUMPRODUCT(MAX(ROW(E$1:E1434)*(E2=E$1:E1434))))))</f>
        <v> </v>
      </c>
      <c r="K1435" s="25" t="str">
        <f>IF(OR(E1435="",E1435="!!!",F1435="NEW"),"",INDEX(J$1:J1434,SUMPRODUCT(MAX(ROW(E$1:E1434)*(E1435=E$1:E1434)))))</f>
        <v> </v>
      </c>
      <c r="L1435" s="26"/>
    </row>
    <row r="1436" spans="1:12">
      <c r="A1436" s="20" t="s">
        <v>1869</v>
      </c>
      <c r="E1436" s="21">
        <f>IF(D1436="?OLD","!!!","")</f>
        <v/>
      </c>
      <c r="F1436" s="22" t="str">
        <f>IF(OR(E1436="",E1436="!!!"),"",IF(NOT(ISNA(VLOOKUP(E1436,E$1:E1435,1,FALSE()))),"OLD",IF(AND(E1436&lt;&gt;"",E1436&lt;&gt;"!!!"),"NEW","")))</f>
        <v> </v>
      </c>
      <c r="G1436" s="23" t="str">
        <f>IF(OR(E1436="",E1436="!!!"),"",IF(OR(J1436=0,AND(J1436=1,K1436=1),AND(J1436=1,I1436="SBJ"),AND(J1436=1,I1436=0)),"?IN_FOCUS",IF(J1436&lt;=2,"?ACTIVATED",IF(J1436&lt;&gt;"","?FAMILIAR",IF(F1436="NEW",IF(ISNA(VLOOKUP(E1436,#REF!,1,FALSE())),"?TYPE_IDENTIFIABLE","?REFERENTIAL"),"_")))))</f>
        <v> </v>
      </c>
      <c r="H1436" s="24" t="str">
        <f>IF(J1436&lt;&gt;1,"",IF(I1436="SBJ","CB","?"))</f>
        <v> </v>
      </c>
      <c r="I1436" s="25" t="str">
        <f>IF(OR(E1436="",E1436="!!!",F1436="NEW"),"",INDEX(B1435:B$2,-1+SUMPRODUCT(MAX(ROW(E1435:E$2)*(E1436=E1435:E$2)))))</f>
        <v> </v>
      </c>
      <c r="J1436" s="25" t="str">
        <f>IF(OR(E1436="",E1436="!!!",F1436="NEW"),"",COUNTBLANK(OFFSET(A$1,,,SUMPRODUCT(MAX(ROW(E$2:E1436)*(E1436=E$2:E1436)))))-COUNTBLANK(OFFSET(A$1,,,SUMPRODUCT(MAX(ROW(E$1:E1435)*(E2=E$1:E1435))))))</f>
        <v> </v>
      </c>
      <c r="K1436" s="25" t="str">
        <f>IF(OR(E1436="",E1436="!!!",F1436="NEW"),"",INDEX(J$1:J1435,SUMPRODUCT(MAX(ROW(E$1:E1435)*(E1436=E$1:E1435)))))</f>
        <v> </v>
      </c>
      <c r="L1436" s="26"/>
    </row>
    <row r="1437" spans="1:12">
      <c r="A1437" s="20" t="s">
        <v>1698</v>
      </c>
      <c r="E1437" s="21">
        <f>IF(D1437="?OLD","!!!","")</f>
        <v/>
      </c>
      <c r="F1437" s="22" t="str">
        <f>IF(OR(E1437="",E1437="!!!"),"",IF(NOT(ISNA(VLOOKUP(E1437,E$1:E1436,1,FALSE()))),"OLD",IF(AND(E1437&lt;&gt;"",E1437&lt;&gt;"!!!"),"NEW","")))</f>
        <v> </v>
      </c>
      <c r="G1437" s="23" t="str">
        <f>IF(OR(E1437="",E1437="!!!"),"",IF(OR(J1437=0,AND(J1437=1,K1437=1),AND(J1437=1,I1437="SBJ"),AND(J1437=1,I1437=0)),"?IN_FOCUS",IF(J1437&lt;=2,"?ACTIVATED",IF(J1437&lt;&gt;"","?FAMILIAR",IF(F1437="NEW",IF(ISNA(VLOOKUP(E1437,#REF!,1,FALSE())),"?TYPE_IDENTIFIABLE","?REFERENTIAL"),"_")))))</f>
        <v> </v>
      </c>
      <c r="H1437" s="24" t="str">
        <f>IF(J1437&lt;&gt;1,"",IF(I1437="SBJ","CB","?"))</f>
        <v> </v>
      </c>
      <c r="I1437" s="25" t="str">
        <f>IF(OR(E1437="",E1437="!!!",F1437="NEW"),"",INDEX(B1436:B$2,-1+SUMPRODUCT(MAX(ROW(E1436:E$2)*(E1437=E1436:E$2)))))</f>
        <v> </v>
      </c>
      <c r="J1437" s="25" t="str">
        <f>IF(OR(E1437="",E1437="!!!",F1437="NEW"),"",COUNTBLANK(OFFSET(A$1,,,SUMPRODUCT(MAX(ROW(E$2:E1437)*(E1437=E$2:E1437)))))-COUNTBLANK(OFFSET(A$1,,,SUMPRODUCT(MAX(ROW(E$1:E1436)*(E2=E$1:E1436))))))</f>
        <v> </v>
      </c>
      <c r="K1437" s="25" t="str">
        <f>IF(OR(E1437="",E1437="!!!",F1437="NEW"),"",INDEX(J$1:J1436,SUMPRODUCT(MAX(ROW(E$1:E1436)*(E1437=E$1:E1436)))))</f>
        <v> </v>
      </c>
      <c r="L1437" s="26"/>
    </row>
    <row r="1438" spans="1:12">
      <c r="A1438" s="20" t="s">
        <v>1123</v>
      </c>
      <c r="E1438" s="21">
        <f>IF(D1438="?OLD","!!!","")</f>
        <v/>
      </c>
      <c r="F1438" s="22" t="str">
        <f>IF(OR(E1438="",E1438="!!!"),"",IF(NOT(ISNA(VLOOKUP(E1438,E$1:E1437,1,FALSE()))),"OLD",IF(AND(E1438&lt;&gt;"",E1438&lt;&gt;"!!!"),"NEW","")))</f>
        <v> </v>
      </c>
      <c r="G1438" s="23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> </v>
      </c>
      <c r="H1438" s="24" t="str">
        <f>IF(J1438&lt;&gt;1,"",IF(I1438="SBJ","CB","?"))</f>
        <v> </v>
      </c>
      <c r="I1438" s="25" t="str">
        <f>IF(OR(E1438="",E1438="!!!",F1438="NEW"),"",INDEX(B1437:B$2,-1+SUMPRODUCT(MAX(ROW(E1437:E$2)*(E1438=E1437:E$2)))))</f>
        <v> </v>
      </c>
      <c r="J1438" s="25" t="str">
        <f>IF(OR(E1438="",E1438="!!!",F1438="NEW"),"",COUNTBLANK(OFFSET(A$1,,,SUMPRODUCT(MAX(ROW(E$2:E1438)*(E1438=E$2:E1438)))))-COUNTBLANK(OFFSET(A$1,,,SUMPRODUCT(MAX(ROW(E$1:E1437)*(E2=E$1:E1437))))))</f>
        <v> </v>
      </c>
      <c r="K1438" s="25" t="str">
        <f>IF(OR(E1438="",E1438="!!!",F1438="NEW"),"",INDEX(J$1:J1437,SUMPRODUCT(MAX(ROW(E$1:E1437)*(E1438=E$1:E1437)))))</f>
        <v> </v>
      </c>
      <c r="L1438" s="26"/>
    </row>
    <row r="1439" spans="1:12">
      <c r="A1439" s="20" t="s">
        <v>1699</v>
      </c>
      <c r="E1439" s="21">
        <f>IF(D1439="?OLD","!!!","")</f>
        <v/>
      </c>
      <c r="F1439" s="22" t="str">
        <f>IF(OR(E1439="",E1439="!!!"),"",IF(NOT(ISNA(VLOOKUP(E1439,E$1:E1438,1,FALSE()))),"OLD",IF(AND(E1439&lt;&gt;"",E1439&lt;&gt;"!!!"),"NEW","")))</f>
        <v> </v>
      </c>
      <c r="G1439" s="23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> </v>
      </c>
      <c r="H1439" s="24" t="str">
        <f>IF(J1439&lt;&gt;1,"",IF(I1439="SBJ","CB","?"))</f>
        <v> </v>
      </c>
      <c r="I1439" s="25" t="str">
        <f>IF(OR(E1439="",E1439="!!!",F1439="NEW"),"",INDEX(B1438:B$2,-1+SUMPRODUCT(MAX(ROW(E1438:E$2)*(E1439=E1438:E$2)))))</f>
        <v> </v>
      </c>
      <c r="J1439" s="25" t="str">
        <f>IF(OR(E1439="",E1439="!!!",F1439="NEW"),"",COUNTBLANK(OFFSET(A$1,,,SUMPRODUCT(MAX(ROW(E$2:E1439)*(E1439=E$2:E1439)))))-COUNTBLANK(OFFSET(A$1,,,SUMPRODUCT(MAX(ROW(E$1:E1438)*(E2=E$1:E1438))))))</f>
        <v> </v>
      </c>
      <c r="K1439" s="25" t="str">
        <f>IF(OR(E1439="",E1439="!!!",F1439="NEW"),"",INDEX(J$1:J1438,SUMPRODUCT(MAX(ROW(E$1:E1438)*(E1439=E$1:E1438)))))</f>
        <v> </v>
      </c>
      <c r="L1439" s="26"/>
    </row>
    <row r="1440" spans="1:12">
      <c r="A1440" s="20" t="s">
        <v>1124</v>
      </c>
      <c r="B1440" s="27" t="s">
        <v>1870</v>
      </c>
      <c r="C1440" s="27" t="s">
        <v>1126</v>
      </c>
      <c r="D1440" s="27" t="s">
        <v>1105</v>
      </c>
      <c r="E1440" s="21">
        <f>IF(D1440="?OLD","!!!","")</f>
        <v/>
      </c>
      <c r="F1440" s="22" t="str">
        <f>IF(OR(E1440="",E1440="!!!"),"",IF(NOT(ISNA(VLOOKUP(E1440,E$1:E1439,1,FALSE()))),"OLD",IF(AND(E1440&lt;&gt;"",E1440&lt;&gt;"!!!"),"NEW","")))</f>
        <v> </v>
      </c>
      <c r="G1440" s="23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> </v>
      </c>
      <c r="H1440" s="24" t="str">
        <f>IF(J1440&lt;&gt;1,"",IF(I1440="SBJ","CB","?"))</f>
        <v> </v>
      </c>
      <c r="I1440" s="25" t="str">
        <f>IF(OR(E1440="",E1440="!!!",F1440="NEW"),"",INDEX(B1439:B$2,-1+SUMPRODUCT(MAX(ROW(E1439:E$2)*(E1440=E1439:E$2)))))</f>
        <v> </v>
      </c>
      <c r="J1440" s="25" t="str">
        <f>IF(OR(E1440="",E1440="!!!",F1440="NEW"),"",COUNTBLANK(OFFSET(A$1,,,SUMPRODUCT(MAX(ROW(E$2:E1440)*(E1440=E$2:E1440)))))-COUNTBLANK(OFFSET(A$1,,,SUMPRODUCT(MAX(ROW(E$1:E1439)*(E2=E$1:E1439))))))</f>
        <v> </v>
      </c>
      <c r="K1440" s="25" t="str">
        <f>IF(OR(E1440="",E1440="!!!",F1440="NEW"),"",INDEX(J$1:J1439,SUMPRODUCT(MAX(ROW(E$1:E1439)*(E1440=E$1:E1439)))))</f>
        <v> </v>
      </c>
      <c r="L1440" s="26"/>
    </row>
    <row r="1441" spans="1:12">
      <c r="A1441" s="20" t="s">
        <v>1871</v>
      </c>
      <c r="E1441" s="21">
        <f>IF(D1441="?OLD","!!!","")</f>
        <v/>
      </c>
      <c r="F1441" s="22" t="str">
        <f>IF(OR(E1441="",E1441="!!!"),"",IF(NOT(ISNA(VLOOKUP(E1441,E$1:E1440,1,FALSE()))),"OLD",IF(AND(E1441&lt;&gt;"",E1441&lt;&gt;"!!!"),"NEW","")))</f>
        <v> </v>
      </c>
      <c r="G1441" s="23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> </v>
      </c>
      <c r="H1441" s="24" t="str">
        <f>IF(J1441&lt;&gt;1,"",IF(I1441="SBJ","CB","?"))</f>
        <v> </v>
      </c>
      <c r="I1441" s="25" t="str">
        <f>IF(OR(E1441="",E1441="!!!",F1441="NEW"),"",INDEX(B1440:B$2,-1+SUMPRODUCT(MAX(ROW(E1440:E$2)*(E1441=E1440:E$2)))))</f>
        <v> </v>
      </c>
      <c r="J1441" s="25" t="str">
        <f>IF(OR(E1441="",E1441="!!!",F1441="NEW"),"",COUNTBLANK(OFFSET(A$1,,,SUMPRODUCT(MAX(ROW(E$2:E1441)*(E1441=E$2:E1441)))))-COUNTBLANK(OFFSET(A$1,,,SUMPRODUCT(MAX(ROW(E$1:E1440)*(E2=E$1:E1440))))))</f>
        <v> </v>
      </c>
      <c r="K1441" s="25" t="str">
        <f>IF(OR(E1441="",E1441="!!!",F1441="NEW"),"",INDEX(J$1:J1440,SUMPRODUCT(MAX(ROW(E$1:E1440)*(E1441=E$1:E1440)))))</f>
        <v> </v>
      </c>
      <c r="L1441" s="26"/>
    </row>
    <row r="1442" spans="1:12">
      <c r="A1442" s="20" t="s">
        <v>1139</v>
      </c>
      <c r="E1442" s="21">
        <f>IF(D1442="?OLD","!!!","")</f>
        <v/>
      </c>
      <c r="F1442" s="22" t="str">
        <f>IF(OR(E1442="",E1442="!!!"),"",IF(NOT(ISNA(VLOOKUP(E1442,E$1:E1441,1,FALSE()))),"OLD",IF(AND(E1442&lt;&gt;"",E1442&lt;&gt;"!!!"),"NEW","")))</f>
        <v> </v>
      </c>
      <c r="G1442" s="23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> </v>
      </c>
      <c r="H1442" s="24" t="str">
        <f>IF(J1442&lt;&gt;1,"",IF(I1442="SBJ","CB","?"))</f>
        <v> </v>
      </c>
      <c r="I1442" s="25" t="str">
        <f>IF(OR(E1442="",E1442="!!!",F1442="NEW"),"",INDEX(B1441:B$2,-1+SUMPRODUCT(MAX(ROW(E1441:E$2)*(E1442=E1441:E$2)))))</f>
        <v> </v>
      </c>
      <c r="J1442" s="25" t="str">
        <f>IF(OR(E1442="",E1442="!!!",F1442="NEW"),"",COUNTBLANK(OFFSET(A$1,,,SUMPRODUCT(MAX(ROW(E$2:E1442)*(E1442=E$2:E1442)))))-COUNTBLANK(OFFSET(A$1,,,SUMPRODUCT(MAX(ROW(E$1:E1441)*(E2=E$1:E1441))))))</f>
        <v> </v>
      </c>
      <c r="K1442" s="25" t="str">
        <f>IF(OR(E1442="",E1442="!!!",F1442="NEW"),"",INDEX(J$1:J1441,SUMPRODUCT(MAX(ROW(E$1:E1441)*(E1442=E$1:E1441)))))</f>
        <v> </v>
      </c>
      <c r="L1442" s="26"/>
    </row>
    <row r="1443" spans="1:12">
      <c r="A1443" s="20" t="s">
        <v>1270</v>
      </c>
      <c r="B1443" s="27" t="s">
        <v>1141</v>
      </c>
      <c r="C1443" s="27" t="s">
        <v>1126</v>
      </c>
      <c r="D1443" s="27" t="s">
        <v>1105</v>
      </c>
      <c r="E1443" s="21">
        <f>IF(D1443="?OLD","!!!","")</f>
        <v/>
      </c>
      <c r="F1443" s="22" t="str">
        <f>IF(OR(E1443="",E1443="!!!"),"",IF(NOT(ISNA(VLOOKUP(E1443,E$1:E1442,1,FALSE()))),"OLD",IF(AND(E1443&lt;&gt;"",E1443&lt;&gt;"!!!"),"NEW","")))</f>
        <v> </v>
      </c>
      <c r="G1443" s="23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> </v>
      </c>
      <c r="H1443" s="24" t="str">
        <f>IF(J1443&lt;&gt;1,"",IF(I1443="SBJ","CB","?"))</f>
        <v> </v>
      </c>
      <c r="I1443" s="25" t="str">
        <f>IF(OR(E1443="",E1443="!!!",F1443="NEW"),"",INDEX(B1442:B$2,-1+SUMPRODUCT(MAX(ROW(E1442:E$2)*(E1443=E1442:E$2)))))</f>
        <v> </v>
      </c>
      <c r="J1443" s="25" t="str">
        <f>IF(OR(E1443="",E1443="!!!",F1443="NEW"),"",COUNTBLANK(OFFSET(A$1,,,SUMPRODUCT(MAX(ROW(E$2:E1443)*(E1443=E$2:E1443)))))-COUNTBLANK(OFFSET(A$1,,,SUMPRODUCT(MAX(ROW(E$1:E1442)*(E2=E$1:E1442))))))</f>
        <v> </v>
      </c>
      <c r="K1443" s="25" t="str">
        <f>IF(OR(E1443="",E1443="!!!",F1443="NEW"),"",INDEX(J$1:J1442,SUMPRODUCT(MAX(ROW(E$1:E1442)*(E1443=E$1:E1442)))))</f>
        <v> </v>
      </c>
      <c r="L1443" s="26"/>
    </row>
    <row r="1444" spans="1:12">
      <c r="A1444" s="20" t="s">
        <v>1145</v>
      </c>
      <c r="E1444" s="21">
        <f>IF(D1444="?OLD","!!!","")</f>
        <v/>
      </c>
      <c r="F1444" s="22" t="str">
        <f>IF(OR(E1444="",E1444="!!!"),"",IF(NOT(ISNA(VLOOKUP(E1444,E$1:E1443,1,FALSE()))),"OLD",IF(AND(E1444&lt;&gt;"",E1444&lt;&gt;"!!!"),"NEW","")))</f>
        <v> </v>
      </c>
      <c r="G1444" s="23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> </v>
      </c>
      <c r="H1444" s="24" t="str">
        <f>IF(J1444&lt;&gt;1,"",IF(I1444="SBJ","CB","?"))</f>
        <v> </v>
      </c>
      <c r="I1444" s="25" t="str">
        <f>IF(OR(E1444="",E1444="!!!",F1444="NEW"),"",INDEX(B1443:B$2,-1+SUMPRODUCT(MAX(ROW(E1443:E$2)*(E1444=E1443:E$2)))))</f>
        <v> </v>
      </c>
      <c r="J1444" s="25" t="str">
        <f>IF(OR(E1444="",E1444="!!!",F1444="NEW"),"",COUNTBLANK(OFFSET(A$1,,,SUMPRODUCT(MAX(ROW(E$2:E1444)*(E1444=E$2:E1444)))))-COUNTBLANK(OFFSET(A$1,,,SUMPRODUCT(MAX(ROW(E$1:E1443)*(E2=E$1:E1443))))))</f>
        <v> </v>
      </c>
      <c r="K1444" s="25" t="str">
        <f>IF(OR(E1444="",E1444="!!!",F1444="NEW"),"",INDEX(J$1:J1443,SUMPRODUCT(MAX(ROW(E$1:E1443)*(E1444=E$1:E1443)))))</f>
        <v> </v>
      </c>
      <c r="L1444" s="26"/>
    </row>
    <row r="1445" spans="1:12">
      <c r="A1445" s="20"/>
    </row>
    <row r="1446" spans="1:12">
      <c r="A1446" s="20" t="s">
        <v>1872</v>
      </c>
    </row>
    <row r="1447" spans="1:12">
      <c r="A1447" s="20" t="s">
        <v>1873</v>
      </c>
      <c r="E1447" s="21">
        <f>IF(D1447="?OLD","!!!","")</f>
        <v/>
      </c>
      <c r="F1447" s="22" t="str">
        <f>IF(OR(E1447="",E1447="!!!"),"",IF(NOT(ISNA(VLOOKUP(E1447,E$1:E1446,1,FALSE()))),"OLD",IF(AND(E1447&lt;&gt;"",E1447&lt;&gt;"!!!"),"NEW","")))</f>
        <v> </v>
      </c>
      <c r="G1447" s="23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> </v>
      </c>
      <c r="H1447" s="24" t="str">
        <f>IF(J1447&lt;&gt;1,"",IF(I1447="SBJ","CB","?"))</f>
        <v> </v>
      </c>
      <c r="I1447" s="25" t="str">
        <f>IF(OR(E1447="",E1447="!!!",F1447="NEW"),"",INDEX(B1446:B$2,-1+SUMPRODUCT(MAX(ROW(E1446:E$2)*(E1447=E1446:E$2)))))</f>
        <v> </v>
      </c>
      <c r="J1447" s="25" t="str">
        <f>IF(OR(E1447="",E1447="!!!",F1447="NEW"),"",COUNTBLANK(OFFSET(A$1,,,SUMPRODUCT(MAX(ROW(E$2:E1447)*(E1447=E$2:E1447)))))-COUNTBLANK(OFFSET(A$1,,,SUMPRODUCT(MAX(ROW(E$1:E1446)*(E2=E$1:E1446))))))</f>
        <v> </v>
      </c>
      <c r="K1447" s="25" t="str">
        <f>IF(OR(E1447="",E1447="!!!",F1447="NEW"),"",INDEX(J$1:J1446,SUMPRODUCT(MAX(ROW(E$1:E1446)*(E1447=E$1:E1446)))))</f>
        <v> </v>
      </c>
      <c r="L1447" s="26"/>
    </row>
    <row r="1448" spans="1:12">
      <c r="A1448" s="20" t="s">
        <v>1123</v>
      </c>
      <c r="E1448" s="21">
        <f>IF(D1448="?OLD","!!!","")</f>
        <v/>
      </c>
      <c r="F1448" s="22" t="str">
        <f>IF(OR(E1448="",E1448="!!!"),"",IF(NOT(ISNA(VLOOKUP(E1448,E$1:E1447,1,FALSE()))),"OLD",IF(AND(E1448&lt;&gt;"",E1448&lt;&gt;"!!!"),"NEW","")))</f>
        <v> </v>
      </c>
      <c r="G1448" s="23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> </v>
      </c>
      <c r="H1448" s="24" t="str">
        <f>IF(J1448&lt;&gt;1,"",IF(I1448="SBJ","CB","?"))</f>
        <v> </v>
      </c>
      <c r="I1448" s="25" t="str">
        <f>IF(OR(E1448="",E1448="!!!",F1448="NEW"),"",INDEX(B1447:B$2,-1+SUMPRODUCT(MAX(ROW(E1447:E$2)*(E1448=E1447:E$2)))))</f>
        <v> </v>
      </c>
      <c r="J1448" s="25" t="str">
        <f>IF(OR(E1448="",E1448="!!!",F1448="NEW"),"",COUNTBLANK(OFFSET(A$1,,,SUMPRODUCT(MAX(ROW(E$2:E1448)*(E1448=E$2:E1448)))))-COUNTBLANK(OFFSET(A$1,,,SUMPRODUCT(MAX(ROW(E$1:E1447)*(E2=E$1:E1447))))))</f>
        <v> </v>
      </c>
      <c r="K1448" s="25" t="str">
        <f>IF(OR(E1448="",E1448="!!!",F1448="NEW"),"",INDEX(J$1:J1447,SUMPRODUCT(MAX(ROW(E$1:E1447)*(E1448=E$1:E1447)))))</f>
        <v> </v>
      </c>
      <c r="L1448" s="26"/>
    </row>
    <row r="1449" spans="1:12">
      <c r="A1449" s="20" t="s">
        <v>1874</v>
      </c>
      <c r="E1449" s="21">
        <f>IF(D1449="?OLD","!!!","")</f>
        <v/>
      </c>
      <c r="F1449" s="22" t="str">
        <f>IF(OR(E1449="",E1449="!!!"),"",IF(NOT(ISNA(VLOOKUP(E1449,E$1:E1448,1,FALSE()))),"OLD",IF(AND(E1449&lt;&gt;"",E1449&lt;&gt;"!!!"),"NEW","")))</f>
        <v> </v>
      </c>
      <c r="G1449" s="23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> </v>
      </c>
      <c r="H1449" s="24" t="str">
        <f>IF(J1449&lt;&gt;1,"",IF(I1449="SBJ","CB","?"))</f>
        <v> </v>
      </c>
      <c r="I1449" s="25" t="str">
        <f>IF(OR(E1449="",E1449="!!!",F1449="NEW"),"",INDEX(B1448:B$2,-1+SUMPRODUCT(MAX(ROW(E1448:E$2)*(E1449=E1448:E$2)))))</f>
        <v> </v>
      </c>
      <c r="J1449" s="25" t="str">
        <f>IF(OR(E1449="",E1449="!!!",F1449="NEW"),"",COUNTBLANK(OFFSET(A$1,,,SUMPRODUCT(MAX(ROW(E$2:E1449)*(E1449=E$2:E1449)))))-COUNTBLANK(OFFSET(A$1,,,SUMPRODUCT(MAX(ROW(E$1:E1448)*(E2=E$1:E1448))))))</f>
        <v> </v>
      </c>
      <c r="K1449" s="25" t="str">
        <f>IF(OR(E1449="",E1449="!!!",F1449="NEW"),"",INDEX(J$1:J1448,SUMPRODUCT(MAX(ROW(E$1:E1448)*(E1449=E$1:E1448)))))</f>
        <v> </v>
      </c>
      <c r="L1449" s="26"/>
    </row>
    <row r="1450" spans="1:12">
      <c r="A1450" s="20" t="s">
        <v>135</v>
      </c>
      <c r="B1450" s="27" t="s">
        <v>1122</v>
      </c>
      <c r="C1450" s="27" t="s">
        <v>1133</v>
      </c>
      <c r="E1450" s="21">
        <f>IF(D1450="?OLD","!!!","")</f>
        <v/>
      </c>
      <c r="F1450" s="22" t="str">
        <f>IF(OR(E1450="",E1450="!!!"),"",IF(NOT(ISNA(VLOOKUP(E1450,E$1:E1449,1,FALSE()))),"OLD",IF(AND(E1450&lt;&gt;"",E1450&lt;&gt;"!!!"),"NEW","")))</f>
        <v> </v>
      </c>
      <c r="G1450" s="23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> </v>
      </c>
      <c r="H1450" s="24" t="str">
        <f>IF(J1450&lt;&gt;1,"",IF(I1450="SBJ","CB","?"))</f>
        <v> </v>
      </c>
      <c r="I1450" s="25" t="str">
        <f>IF(OR(E1450="",E1450="!!!",F1450="NEW"),"",INDEX(B1449:B$2,-1+SUMPRODUCT(MAX(ROW(E1449:E$2)*(E1450=E1449:E$2)))))</f>
        <v> </v>
      </c>
      <c r="J1450" s="25" t="str">
        <f>IF(OR(E1450="",E1450="!!!",F1450="NEW"),"",COUNTBLANK(OFFSET(A$1,,,SUMPRODUCT(MAX(ROW(E$2:E1450)*(E1450=E$2:E1450)))))-COUNTBLANK(OFFSET(A$1,,,SUMPRODUCT(MAX(ROW(E$1:E1449)*(E2=E$1:E1449))))))</f>
        <v> </v>
      </c>
      <c r="K1450" s="25" t="str">
        <f>IF(OR(E1450="",E1450="!!!",F1450="NEW"),"",INDEX(J$1:J1449,SUMPRODUCT(MAX(ROW(E$1:E1449)*(E1450=E$1:E1449)))))</f>
        <v> </v>
      </c>
      <c r="L1450" s="26"/>
    </row>
    <row r="1451" spans="1:12">
      <c r="A1451" s="20" t="s">
        <v>1875</v>
      </c>
      <c r="E1451" s="21">
        <f>IF(D1451="?OLD","!!!","")</f>
        <v/>
      </c>
      <c r="F1451" s="22" t="str">
        <f>IF(OR(E1451="",E1451="!!!"),"",IF(NOT(ISNA(VLOOKUP(E1451,E$1:E1450,1,FALSE()))),"OLD",IF(AND(E1451&lt;&gt;"",E1451&lt;&gt;"!!!"),"NEW","")))</f>
        <v> </v>
      </c>
      <c r="G1451" s="23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> </v>
      </c>
      <c r="H1451" s="24" t="str">
        <f>IF(J1451&lt;&gt;1,"",IF(I1451="SBJ","CB","?"))</f>
        <v> </v>
      </c>
      <c r="I1451" s="25" t="str">
        <f>IF(OR(E1451="",E1451="!!!",F1451="NEW"),"",INDEX(B1450:B$2,-1+SUMPRODUCT(MAX(ROW(E1450:E$2)*(E1451=E1450:E$2)))))</f>
        <v> </v>
      </c>
      <c r="J1451" s="25" t="str">
        <f>IF(OR(E1451="",E1451="!!!",F1451="NEW"),"",COUNTBLANK(OFFSET(A$1,,,SUMPRODUCT(MAX(ROW(E$2:E1451)*(E1451=E$2:E1451)))))-COUNTBLANK(OFFSET(A$1,,,SUMPRODUCT(MAX(ROW(E$1:E1450)*(E2=E$1:E1450))))))</f>
        <v> </v>
      </c>
      <c r="K1451" s="25" t="str">
        <f>IF(OR(E1451="",E1451="!!!",F1451="NEW"),"",INDEX(J$1:J1450,SUMPRODUCT(MAX(ROW(E$1:E1450)*(E1451=E$1:E1450)))))</f>
        <v> </v>
      </c>
      <c r="L1451" s="26"/>
    </row>
    <row r="1452" spans="1:12">
      <c r="A1452" s="20" t="s">
        <v>1123</v>
      </c>
      <c r="E1452" s="21">
        <f>IF(D1452="?OLD","!!!","")</f>
        <v/>
      </c>
      <c r="F1452" s="22" t="str">
        <f>IF(OR(E1452="",E1452="!!!"),"",IF(NOT(ISNA(VLOOKUP(E1452,E$1:E1451,1,FALSE()))),"OLD",IF(AND(E1452&lt;&gt;"",E1452&lt;&gt;"!!!"),"NEW","")))</f>
        <v> </v>
      </c>
      <c r="G1452" s="23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> </v>
      </c>
      <c r="H1452" s="24" t="str">
        <f>IF(J1452&lt;&gt;1,"",IF(I1452="SBJ","CB","?"))</f>
        <v> </v>
      </c>
      <c r="I1452" s="25" t="str">
        <f>IF(OR(E1452="",E1452="!!!",F1452="NEW"),"",INDEX(B1451:B$2,-1+SUMPRODUCT(MAX(ROW(E1451:E$2)*(E1452=E1451:E$2)))))</f>
        <v> </v>
      </c>
      <c r="J1452" s="25" t="str">
        <f>IF(OR(E1452="",E1452="!!!",F1452="NEW"),"",COUNTBLANK(OFFSET(A$1,,,SUMPRODUCT(MAX(ROW(E$2:E1452)*(E1452=E$2:E1452)))))-COUNTBLANK(OFFSET(A$1,,,SUMPRODUCT(MAX(ROW(E$1:E1451)*(E2=E$1:E1451))))))</f>
        <v> </v>
      </c>
      <c r="K1452" s="25" t="str">
        <f>IF(OR(E1452="",E1452="!!!",F1452="NEW"),"",INDEX(J$1:J1451,SUMPRODUCT(MAX(ROW(E$1:E1451)*(E1452=E$1:E1451)))))</f>
        <v> </v>
      </c>
      <c r="L1452" s="26"/>
    </row>
    <row r="1453" spans="1:12">
      <c r="A1453" s="20" t="s">
        <v>1876</v>
      </c>
      <c r="E1453" s="21">
        <f>IF(D1453="?OLD","!!!","")</f>
        <v/>
      </c>
      <c r="F1453" s="22" t="str">
        <f>IF(OR(E1453="",E1453="!!!"),"",IF(NOT(ISNA(VLOOKUP(E1453,E$1:E1452,1,FALSE()))),"OLD",IF(AND(E1453&lt;&gt;"",E1453&lt;&gt;"!!!"),"NEW","")))</f>
        <v> </v>
      </c>
      <c r="G1453" s="23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> </v>
      </c>
      <c r="H1453" s="24" t="str">
        <f>IF(J1453&lt;&gt;1,"",IF(I1453="SBJ","CB","?"))</f>
        <v> </v>
      </c>
      <c r="I1453" s="25" t="str">
        <f>IF(OR(E1453="",E1453="!!!",F1453="NEW"),"",INDEX(B1452:B$2,-1+SUMPRODUCT(MAX(ROW(E1452:E$2)*(E1453=E1452:E$2)))))</f>
        <v> </v>
      </c>
      <c r="J1453" s="25" t="str">
        <f>IF(OR(E1453="",E1453="!!!",F1453="NEW"),"",COUNTBLANK(OFFSET(A$1,,,SUMPRODUCT(MAX(ROW(E$2:E1453)*(E1453=E$2:E1453)))))-COUNTBLANK(OFFSET(A$1,,,SUMPRODUCT(MAX(ROW(E$1:E1452)*(E2=E$1:E1452))))))</f>
        <v> </v>
      </c>
      <c r="K1453" s="25" t="str">
        <f>IF(OR(E1453="",E1453="!!!",F1453="NEW"),"",INDEX(J$1:J1452,SUMPRODUCT(MAX(ROW(E$1:E1452)*(E1453=E$1:E1452)))))</f>
        <v> </v>
      </c>
      <c r="L1453" s="26"/>
    </row>
    <row r="1454" spans="1:12">
      <c r="A1454" s="20" t="s">
        <v>115</v>
      </c>
      <c r="E1454" s="21">
        <f>IF(D1454="?OLD","!!!","")</f>
        <v/>
      </c>
      <c r="F1454" s="22" t="str">
        <f>IF(OR(E1454="",E1454="!!!"),"",IF(NOT(ISNA(VLOOKUP(E1454,E$1:E1453,1,FALSE()))),"OLD",IF(AND(E1454&lt;&gt;"",E1454&lt;&gt;"!!!"),"NEW","")))</f>
        <v> </v>
      </c>
      <c r="G1454" s="23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> </v>
      </c>
      <c r="H1454" s="24" t="str">
        <f>IF(J1454&lt;&gt;1,"",IF(I1454="SBJ","CB","?"))</f>
        <v> </v>
      </c>
      <c r="I1454" s="25" t="str">
        <f>IF(OR(E1454="",E1454="!!!",F1454="NEW"),"",INDEX(B1453:B$2,-1+SUMPRODUCT(MAX(ROW(E1453:E$2)*(E1454=E1453:E$2)))))</f>
        <v> </v>
      </c>
      <c r="J1454" s="25" t="str">
        <f>IF(OR(E1454="",E1454="!!!",F1454="NEW"),"",COUNTBLANK(OFFSET(A$1,,,SUMPRODUCT(MAX(ROW(E$2:E1454)*(E1454=E$2:E1454)))))-COUNTBLANK(OFFSET(A$1,,,SUMPRODUCT(MAX(ROW(E$1:E1453)*(E2=E$1:E1453))))))</f>
        <v> </v>
      </c>
      <c r="K1454" s="25" t="str">
        <f>IF(OR(E1454="",E1454="!!!",F1454="NEW"),"",INDEX(J$1:J1453,SUMPRODUCT(MAX(ROW(E$1:E1453)*(E1454=E$1:E1453)))))</f>
        <v> </v>
      </c>
      <c r="L1454" s="26"/>
    </row>
    <row r="1455" spans="1:12">
      <c r="A1455" s="20" t="s">
        <v>1145</v>
      </c>
      <c r="E1455" s="21">
        <f>IF(D1455="?OLD","!!!","")</f>
        <v/>
      </c>
      <c r="F1455" s="22" t="str">
        <f>IF(OR(E1455="",E1455="!!!"),"",IF(NOT(ISNA(VLOOKUP(E1455,E$1:E1454,1,FALSE()))),"OLD",IF(AND(E1455&lt;&gt;"",E1455&lt;&gt;"!!!"),"NEW","")))</f>
        <v> </v>
      </c>
      <c r="G1455" s="23" t="str">
        <f>IF(OR(E1455="",E1455="!!!"),"",IF(OR(J1455=0,AND(J1455=1,K1455=1),AND(J1455=1,I1455="SBJ"),AND(J1455=1,I1455=0)),"?IN_FOCUS",IF(J1455&lt;=2,"?ACTIVATED",IF(J1455&lt;&gt;"","?FAMILIAR",IF(F1455="NEW",IF(ISNA(VLOOKUP(E1455,#REF!,1,FALSE())),"?TYPE_IDENTIFIABLE","?REFERENTIAL"),"_")))))</f>
        <v> </v>
      </c>
      <c r="H1455" s="24" t="str">
        <f>IF(J1455&lt;&gt;1,"",IF(I1455="SBJ","CB","?"))</f>
        <v> </v>
      </c>
      <c r="I1455" s="25" t="str">
        <f>IF(OR(E1455="",E1455="!!!",F1455="NEW"),"",INDEX(B1454:B$2,-1+SUMPRODUCT(MAX(ROW(E1454:E$2)*(E1455=E1454:E$2)))))</f>
        <v> </v>
      </c>
      <c r="J1455" s="25" t="str">
        <f>IF(OR(E1455="",E1455="!!!",F1455="NEW"),"",COUNTBLANK(OFFSET(A$1,,,SUMPRODUCT(MAX(ROW(E$2:E1455)*(E1455=E$2:E1455)))))-COUNTBLANK(OFFSET(A$1,,,SUMPRODUCT(MAX(ROW(E$1:E1454)*(E2=E$1:E1454))))))</f>
        <v> </v>
      </c>
      <c r="K1455" s="25" t="str">
        <f>IF(OR(E1455="",E1455="!!!",F1455="NEW"),"",INDEX(J$1:J1454,SUMPRODUCT(MAX(ROW(E$1:E1454)*(E1455=E$1:E1454)))))</f>
        <v> </v>
      </c>
      <c r="L1455" s="26"/>
    </row>
    <row r="1456" spans="1:12">
      <c r="A1456" s="20"/>
    </row>
    <row r="1457" spans="1:12">
      <c r="A1457" s="20" t="s">
        <v>1877</v>
      </c>
    </row>
    <row r="1458" spans="1:12">
      <c r="A1458" s="20" t="s">
        <v>1633</v>
      </c>
      <c r="B1458" s="27" t="s">
        <v>1149</v>
      </c>
      <c r="C1458" s="27" t="s">
        <v>1126</v>
      </c>
      <c r="D1458" s="27" t="s">
        <v>1105</v>
      </c>
      <c r="E1458" s="21">
        <f>IF(D1458="?OLD","!!!","")</f>
        <v/>
      </c>
      <c r="F1458" s="22" t="str">
        <f>IF(OR(E1458="",E1458="!!!"),"",IF(NOT(ISNA(VLOOKUP(E1458,E$1:E1457,1,FALSE()))),"OLD",IF(AND(E1458&lt;&gt;"",E1458&lt;&gt;"!!!"),"NEW","")))</f>
        <v> </v>
      </c>
      <c r="G1458" s="23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> </v>
      </c>
      <c r="H1458" s="24" t="str">
        <f>IF(J1458&lt;&gt;1,"",IF(I1458="SBJ","CB","?"))</f>
        <v> </v>
      </c>
      <c r="I1458" s="25" t="str">
        <f>IF(OR(E1458="",E1458="!!!",F1458="NEW"),"",INDEX(B1457:B$2,-1+SUMPRODUCT(MAX(ROW(E1457:E$2)*(E1458=E1457:E$2)))))</f>
        <v> </v>
      </c>
      <c r="J1458" s="25" t="str">
        <f>IF(OR(E1458="",E1458="!!!",F1458="NEW"),"",COUNTBLANK(OFFSET(A$1,,,SUMPRODUCT(MAX(ROW(E$2:E1458)*(E1458=E$2:E1458)))))-COUNTBLANK(OFFSET(A$1,,,SUMPRODUCT(MAX(ROW(E$1:E1457)*(E2=E$1:E1457))))))</f>
        <v> </v>
      </c>
      <c r="K1458" s="25" t="str">
        <f>IF(OR(E1458="",E1458="!!!",F1458="NEW"),"",INDEX(J$1:J1457,SUMPRODUCT(MAX(ROW(E$1:E1457)*(E1458=E$1:E1457)))))</f>
        <v> </v>
      </c>
      <c r="L1458" s="26"/>
    </row>
    <row r="1459" spans="1:12">
      <c r="A1459" s="20" t="s">
        <v>1878</v>
      </c>
      <c r="E1459" s="21">
        <f>IF(D1459="?OLD","!!!","")</f>
        <v/>
      </c>
      <c r="F1459" s="22" t="str">
        <f>IF(OR(E1459="",E1459="!!!"),"",IF(NOT(ISNA(VLOOKUP(E1459,E$1:E1458,1,FALSE()))),"OLD",IF(AND(E1459&lt;&gt;"",E1459&lt;&gt;"!!!"),"NEW","")))</f>
        <v> </v>
      </c>
      <c r="G1459" s="23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 </v>
      </c>
      <c r="H1459" s="24" t="str">
        <f>IF(J1459&lt;&gt;1,"",IF(I1459="SBJ","CB","?"))</f>
        <v> </v>
      </c>
      <c r="I1459" s="25" t="str">
        <f>IF(OR(E1459="",E1459="!!!",F1459="NEW"),"",INDEX(B1458:B$2,-1+SUMPRODUCT(MAX(ROW(E1458:E$2)*(E1459=E1458:E$2)))))</f>
        <v> </v>
      </c>
      <c r="J1459" s="25" t="str">
        <f>IF(OR(E1459="",E1459="!!!",F1459="NEW"),"",COUNTBLANK(OFFSET(A$1,,,SUMPRODUCT(MAX(ROW(E$2:E1459)*(E1459=E$2:E1459)))))-COUNTBLANK(OFFSET(A$1,,,SUMPRODUCT(MAX(ROW(E$1:E1458)*(E2=E$1:E1458))))))</f>
        <v> </v>
      </c>
      <c r="K1459" s="25" t="str">
        <f>IF(OR(E1459="",E1459="!!!",F1459="NEW"),"",INDEX(J$1:J1458,SUMPRODUCT(MAX(ROW(E$1:E1458)*(E1459=E$1:E1458)))))</f>
        <v> </v>
      </c>
      <c r="L1459" s="26"/>
    </row>
    <row r="1460" spans="1:12">
      <c r="A1460" s="20" t="s">
        <v>1249</v>
      </c>
      <c r="E1460" s="21">
        <f>IF(D1460="?OLD","!!!","")</f>
        <v/>
      </c>
      <c r="F1460" s="22" t="str">
        <f>IF(OR(E1460="",E1460="!!!"),"",IF(NOT(ISNA(VLOOKUP(E1460,E$1:E1459,1,FALSE()))),"OLD",IF(AND(E1460&lt;&gt;"",E1460&lt;&gt;"!!!"),"NEW","")))</f>
        <v> </v>
      </c>
      <c r="G1460" s="23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> </v>
      </c>
      <c r="H1460" s="24" t="str">
        <f>IF(J1460&lt;&gt;1,"",IF(I1460="SBJ","CB","?"))</f>
        <v> </v>
      </c>
      <c r="I1460" s="25" t="str">
        <f>IF(OR(E1460="",E1460="!!!",F1460="NEW"),"",INDEX(B1459:B$2,-1+SUMPRODUCT(MAX(ROW(E1459:E$2)*(E1460=E1459:E$2)))))</f>
        <v> </v>
      </c>
      <c r="J1460" s="25" t="str">
        <f>IF(OR(E1460="",E1460="!!!",F1460="NEW"),"",COUNTBLANK(OFFSET(A$1,,,SUMPRODUCT(MAX(ROW(E$2:E1460)*(E1460=E$2:E1460)))))-COUNTBLANK(OFFSET(A$1,,,SUMPRODUCT(MAX(ROW(E$1:E1459)*(E2=E$1:E1459))))))</f>
        <v> </v>
      </c>
      <c r="K1460" s="25" t="str">
        <f>IF(OR(E1460="",E1460="!!!",F1460="NEW"),"",INDEX(J$1:J1459,SUMPRODUCT(MAX(ROW(E$1:E1459)*(E1460=E$1:E1459)))))</f>
        <v> </v>
      </c>
      <c r="L1460" s="26"/>
    </row>
    <row r="1461" spans="1:12">
      <c r="A1461" s="20" t="s">
        <v>1879</v>
      </c>
      <c r="E1461" s="21">
        <f>IF(D1461="?OLD","!!!","")</f>
        <v/>
      </c>
      <c r="F1461" s="22" t="str">
        <f>IF(OR(E1461="",E1461="!!!"),"",IF(NOT(ISNA(VLOOKUP(E1461,E$1:E1460,1,FALSE()))),"OLD",IF(AND(E1461&lt;&gt;"",E1461&lt;&gt;"!!!"),"NEW","")))</f>
        <v> </v>
      </c>
      <c r="G1461" s="23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> </v>
      </c>
      <c r="H1461" s="24" t="str">
        <f>IF(J1461&lt;&gt;1,"",IF(I1461="SBJ","CB","?"))</f>
        <v> </v>
      </c>
      <c r="I1461" s="25" t="str">
        <f>IF(OR(E1461="",E1461="!!!",F1461="NEW"),"",INDEX(B1460:B$2,-1+SUMPRODUCT(MAX(ROW(E1460:E$2)*(E1461=E1460:E$2)))))</f>
        <v> </v>
      </c>
      <c r="J1461" s="25" t="str">
        <f>IF(OR(E1461="",E1461="!!!",F1461="NEW"),"",COUNTBLANK(OFFSET(A$1,,,SUMPRODUCT(MAX(ROW(E$2:E1461)*(E1461=E$2:E1461)))))-COUNTBLANK(OFFSET(A$1,,,SUMPRODUCT(MAX(ROW(E$1:E1460)*(E2=E$1:E1460))))))</f>
        <v> </v>
      </c>
      <c r="K1461" s="25" t="str">
        <f>IF(OR(E1461="",E1461="!!!",F1461="NEW"),"",INDEX(J$1:J1460,SUMPRODUCT(MAX(ROW(E$1:E1460)*(E1461=E$1:E1460)))))</f>
        <v> </v>
      </c>
      <c r="L1461" s="26"/>
    </row>
    <row r="1462" spans="1:12">
      <c r="A1462" s="20" t="s">
        <v>1128</v>
      </c>
      <c r="E1462" s="21">
        <f>IF(D1462="?OLD","!!!","")</f>
        <v/>
      </c>
      <c r="F1462" s="22" t="str">
        <f>IF(OR(E1462="",E1462="!!!"),"",IF(NOT(ISNA(VLOOKUP(E1462,E$1:E1461,1,FALSE()))),"OLD",IF(AND(E1462&lt;&gt;"",E1462&lt;&gt;"!!!"),"NEW","")))</f>
        <v> </v>
      </c>
      <c r="G1462" s="23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> </v>
      </c>
      <c r="H1462" s="24" t="str">
        <f>IF(J1462&lt;&gt;1,"",IF(I1462="SBJ","CB","?"))</f>
        <v> </v>
      </c>
      <c r="I1462" s="25" t="str">
        <f>IF(OR(E1462="",E1462="!!!",F1462="NEW"),"",INDEX(B1461:B$2,-1+SUMPRODUCT(MAX(ROW(E1461:E$2)*(E1462=E1461:E$2)))))</f>
        <v> </v>
      </c>
      <c r="J1462" s="25" t="str">
        <f>IF(OR(E1462="",E1462="!!!",F1462="NEW"),"",COUNTBLANK(OFFSET(A$1,,,SUMPRODUCT(MAX(ROW(E$2:E1462)*(E1462=E$2:E1462)))))-COUNTBLANK(OFFSET(A$1,,,SUMPRODUCT(MAX(ROW(E$1:E1461)*(E2=E$1:E1461))))))</f>
        <v> </v>
      </c>
      <c r="K1462" s="25" t="str">
        <f>IF(OR(E1462="",E1462="!!!",F1462="NEW"),"",INDEX(J$1:J1461,SUMPRODUCT(MAX(ROW(E$1:E1461)*(E1462=E$1:E1461)))))</f>
        <v> </v>
      </c>
      <c r="L1462" s="26"/>
    </row>
    <row r="1463" spans="1:12">
      <c r="A1463" s="20" t="s">
        <v>1880</v>
      </c>
      <c r="E1463" s="21">
        <f>IF(D1463="?OLD","!!!","")</f>
        <v/>
      </c>
      <c r="F1463" s="22" t="str">
        <f>IF(OR(E1463="",E1463="!!!"),"",IF(NOT(ISNA(VLOOKUP(E1463,E$1:E1462,1,FALSE()))),"OLD",IF(AND(E1463&lt;&gt;"",E1463&lt;&gt;"!!!"),"NEW","")))</f>
        <v> </v>
      </c>
      <c r="G1463" s="23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> </v>
      </c>
      <c r="H1463" s="24" t="str">
        <f>IF(J1463&lt;&gt;1,"",IF(I1463="SBJ","CB","?"))</f>
        <v> </v>
      </c>
      <c r="I1463" s="25" t="str">
        <f>IF(OR(E1463="",E1463="!!!",F1463="NEW"),"",INDEX(B1462:B$2,-1+SUMPRODUCT(MAX(ROW(E1462:E$2)*(E1463=E1462:E$2)))))</f>
        <v> </v>
      </c>
      <c r="J1463" s="25" t="str">
        <f>IF(OR(E1463="",E1463="!!!",F1463="NEW"),"",COUNTBLANK(OFFSET(A$1,,,SUMPRODUCT(MAX(ROW(E$2:E1463)*(E1463=E$2:E1463)))))-COUNTBLANK(OFFSET(A$1,,,SUMPRODUCT(MAX(ROW(E$1:E1462)*(E2=E$1:E1462))))))</f>
        <v> </v>
      </c>
      <c r="K1463" s="25" t="str">
        <f>IF(OR(E1463="",E1463="!!!",F1463="NEW"),"",INDEX(J$1:J1462,SUMPRODUCT(MAX(ROW(E$1:E1462)*(E1463=E$1:E1462)))))</f>
        <v> </v>
      </c>
      <c r="L1463" s="26"/>
    </row>
    <row r="1464" spans="1:12">
      <c r="A1464" s="20" t="s">
        <v>1881</v>
      </c>
      <c r="B1464" s="27" t="s">
        <v>1243</v>
      </c>
      <c r="E1464" s="21">
        <f>IF(D1464="?OLD","!!!","")</f>
        <v/>
      </c>
      <c r="F1464" s="22" t="str">
        <f>IF(OR(E1464="",E1464="!!!"),"",IF(NOT(ISNA(VLOOKUP(E1464,E$1:E1463,1,FALSE()))),"OLD",IF(AND(E1464&lt;&gt;"",E1464&lt;&gt;"!!!"),"NEW","")))</f>
        <v> </v>
      </c>
      <c r="G1464" s="23" t="str">
        <f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> </v>
      </c>
      <c r="H1464" s="24" t="str">
        <f>IF(J1464&lt;&gt;1,"",IF(I1464="SBJ","CB","?"))</f>
        <v> </v>
      </c>
      <c r="I1464" s="25" t="str">
        <f>IF(OR(E1464="",E1464="!!!",F1464="NEW"),"",INDEX(B1463:B$2,-1+SUMPRODUCT(MAX(ROW(E1463:E$2)*(E1464=E1463:E$2)))))</f>
        <v> </v>
      </c>
      <c r="J1464" s="25" t="str">
        <f>IF(OR(E1464="",E1464="!!!",F1464="NEW"),"",COUNTBLANK(OFFSET(A$1,,,SUMPRODUCT(MAX(ROW(E$2:E1464)*(E1464=E$2:E1464)))))-COUNTBLANK(OFFSET(A$1,,,SUMPRODUCT(MAX(ROW(E$1:E1463)*(E2=E$1:E1463))))))</f>
        <v> </v>
      </c>
      <c r="K1464" s="25" t="str">
        <f>IF(OR(E1464="",E1464="!!!",F1464="NEW"),"",INDEX(J$1:J1463,SUMPRODUCT(MAX(ROW(E$1:E1463)*(E1464=E$1:E1463)))))</f>
        <v> </v>
      </c>
      <c r="L1464" s="26"/>
    </row>
    <row r="1465" spans="1:12">
      <c r="A1465" s="20" t="s">
        <v>1271</v>
      </c>
      <c r="E1465" s="21">
        <f>IF(D1465="?OLD","!!!","")</f>
        <v/>
      </c>
      <c r="F1465" s="22" t="str">
        <f>IF(OR(E1465="",E1465="!!!"),"",IF(NOT(ISNA(VLOOKUP(E1465,E$1:E1464,1,FALSE()))),"OLD",IF(AND(E1465&lt;&gt;"",E1465&lt;&gt;"!!!"),"NEW","")))</f>
        <v> </v>
      </c>
      <c r="G1465" s="23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> </v>
      </c>
      <c r="H1465" s="24" t="str">
        <f>IF(J1465&lt;&gt;1,"",IF(I1465="SBJ","CB","?"))</f>
        <v> </v>
      </c>
      <c r="I1465" s="25" t="str">
        <f>IF(OR(E1465="",E1465="!!!",F1465="NEW"),"",INDEX(B1464:B$2,-1+SUMPRODUCT(MAX(ROW(E1464:E$2)*(E1465=E1464:E$2)))))</f>
        <v> </v>
      </c>
      <c r="J1465" s="25" t="str">
        <f>IF(OR(E1465="",E1465="!!!",F1465="NEW"),"",COUNTBLANK(OFFSET(A$1,,,SUMPRODUCT(MAX(ROW(E$2:E1465)*(E1465=E$2:E1465)))))-COUNTBLANK(OFFSET(A$1,,,SUMPRODUCT(MAX(ROW(E$1:E1464)*(E2=E$1:E1464))))))</f>
        <v> </v>
      </c>
      <c r="K1465" s="25" t="str">
        <f>IF(OR(E1465="",E1465="!!!",F1465="NEW"),"",INDEX(J$1:J1464,SUMPRODUCT(MAX(ROW(E$1:E1464)*(E1465=E$1:E1464)))))</f>
        <v> </v>
      </c>
      <c r="L1465" s="26"/>
    </row>
    <row r="1466" spans="1:12">
      <c r="A1466" s="20" t="s">
        <v>1882</v>
      </c>
      <c r="E1466" s="21">
        <f>IF(D1466="?OLD","!!!","")</f>
        <v/>
      </c>
      <c r="F1466" s="22" t="str">
        <f>IF(OR(E1466="",E1466="!!!"),"",IF(NOT(ISNA(VLOOKUP(E1466,E$1:E1465,1,FALSE()))),"OLD",IF(AND(E1466&lt;&gt;"",E1466&lt;&gt;"!!!"),"NEW","")))</f>
        <v> </v>
      </c>
      <c r="G1466" s="23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> </v>
      </c>
      <c r="H1466" s="24" t="str">
        <f>IF(J1466&lt;&gt;1,"",IF(I1466="SBJ","CB","?"))</f>
        <v> </v>
      </c>
      <c r="I1466" s="25" t="str">
        <f>IF(OR(E1466="",E1466="!!!",F1466="NEW"),"",INDEX(B1465:B$2,-1+SUMPRODUCT(MAX(ROW(E1465:E$2)*(E1466=E1465:E$2)))))</f>
        <v> </v>
      </c>
      <c r="J1466" s="25" t="str">
        <f>IF(OR(E1466="",E1466="!!!",F1466="NEW"),"",COUNTBLANK(OFFSET(A$1,,,SUMPRODUCT(MAX(ROW(E$2:E1466)*(E1466=E$2:E1466)))))-COUNTBLANK(OFFSET(A$1,,,SUMPRODUCT(MAX(ROW(E$1:E1465)*(E2=E$1:E1465))))))</f>
        <v> </v>
      </c>
      <c r="K1466" s="25" t="str">
        <f>IF(OR(E1466="",E1466="!!!",F1466="NEW"),"",INDEX(J$1:J1465,SUMPRODUCT(MAX(ROW(E$1:E1465)*(E1466=E$1:E1465)))))</f>
        <v> </v>
      </c>
      <c r="L1466" s="26"/>
    </row>
    <row r="1467" spans="1:12">
      <c r="A1467" s="20" t="s">
        <v>1145</v>
      </c>
      <c r="E1467" s="21">
        <f>IF(D1467="?OLD","!!!","")</f>
        <v/>
      </c>
      <c r="F1467" s="22" t="str">
        <f>IF(OR(E1467="",E1467="!!!"),"",IF(NOT(ISNA(VLOOKUP(E1467,E$1:E1466,1,FALSE()))),"OLD",IF(AND(E1467&lt;&gt;"",E1467&lt;&gt;"!!!"),"NEW","")))</f>
        <v> </v>
      </c>
      <c r="G1467" s="23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> </v>
      </c>
      <c r="H1467" s="24" t="str">
        <f>IF(J1467&lt;&gt;1,"",IF(I1467="SBJ","CB","?"))</f>
        <v> </v>
      </c>
      <c r="I1467" s="25" t="str">
        <f>IF(OR(E1467="",E1467="!!!",F1467="NEW"),"",INDEX(B1466:B$2,-1+SUMPRODUCT(MAX(ROW(E1466:E$2)*(E1467=E1466:E$2)))))</f>
        <v> </v>
      </c>
      <c r="J1467" s="25" t="str">
        <f>IF(OR(E1467="",E1467="!!!",F1467="NEW"),"",COUNTBLANK(OFFSET(A$1,,,SUMPRODUCT(MAX(ROW(E$2:E1467)*(E1467=E$2:E1467)))))-COUNTBLANK(OFFSET(A$1,,,SUMPRODUCT(MAX(ROW(E$1:E1466)*(E2=E$1:E1466))))))</f>
        <v> </v>
      </c>
      <c r="K1467" s="25" t="str">
        <f>IF(OR(E1467="",E1467="!!!",F1467="NEW"),"",INDEX(J$1:J1466,SUMPRODUCT(MAX(ROW(E$1:E1466)*(E1467=E$1:E1466)))))</f>
        <v> </v>
      </c>
      <c r="L1467" s="26"/>
    </row>
    <row r="1468" spans="1:12">
      <c r="A1468" s="20"/>
    </row>
    <row r="1469" spans="1:12">
      <c r="A1469" s="20" t="s">
        <v>1883</v>
      </c>
    </row>
    <row r="1470" spans="1:12">
      <c r="A1470" s="20" t="s">
        <v>1111</v>
      </c>
      <c r="E1470" s="21">
        <f>IF(D1470="?OLD","!!!","")</f>
        <v/>
      </c>
      <c r="F1470" s="22" t="str">
        <f>IF(OR(E1470="",E1470="!!!"),"",IF(NOT(ISNA(VLOOKUP(E1470,E$1:E1469,1,FALSE()))),"OLD",IF(AND(E1470&lt;&gt;"",E1470&lt;&gt;"!!!"),"NEW","")))</f>
        <v> </v>
      </c>
      <c r="G1470" s="23" t="str">
        <f>IF(OR(E1470="",E1470="!!!"),"",IF(OR(J1470=0,AND(J1470=1,K1470=1),AND(J1470=1,I1470="SBJ"),AND(J1470=1,I1470=0)),"?IN_FOCUS",IF(J1470&lt;=2,"?ACTIVATED",IF(J1470&lt;&gt;"","?FAMILIAR",IF(F1470="NEW",IF(ISNA(VLOOKUP(E1470,#REF!,1,FALSE())),"?TYPE_IDENTIFIABLE","?REFERENTIAL"),"_")))))</f>
        <v> </v>
      </c>
      <c r="H1470" s="24" t="str">
        <f>IF(J1470&lt;&gt;1,"",IF(I1470="SBJ","CB","?"))</f>
        <v> </v>
      </c>
      <c r="I1470" s="25" t="str">
        <f>IF(OR(E1470="",E1470="!!!",F1470="NEW"),"",INDEX(B1469:B$2,-1+SUMPRODUCT(MAX(ROW(E1469:E$2)*(E1470=E1469:E$2)))))</f>
        <v> </v>
      </c>
      <c r="J1470" s="25" t="str">
        <f>IF(OR(E1470="",E1470="!!!",F1470="NEW"),"",COUNTBLANK(OFFSET(A$1,,,SUMPRODUCT(MAX(ROW(E$2:E1470)*(E1470=E$2:E1470)))))-COUNTBLANK(OFFSET(A$1,,,SUMPRODUCT(MAX(ROW(E$1:E1469)*(E2=E$1:E1469))))))</f>
        <v> </v>
      </c>
      <c r="K1470" s="25" t="str">
        <f>IF(OR(E1470="",E1470="!!!",F1470="NEW"),"",INDEX(J$1:J1469,SUMPRODUCT(MAX(ROW(E$1:E1469)*(E1470=E$1:E1469)))))</f>
        <v> </v>
      </c>
      <c r="L1470" s="26"/>
    </row>
    <row r="1471" spans="1:12">
      <c r="A1471" s="20" t="s">
        <v>1884</v>
      </c>
      <c r="E1471" s="21">
        <f>IF(D1471="?OLD","!!!","")</f>
        <v/>
      </c>
      <c r="F1471" s="22" t="str">
        <f>IF(OR(E1471="",E1471="!!!"),"",IF(NOT(ISNA(VLOOKUP(E1471,E$1:E1470,1,FALSE()))),"OLD",IF(AND(E1471&lt;&gt;"",E1471&lt;&gt;"!!!"),"NEW","")))</f>
        <v> </v>
      </c>
      <c r="G1471" s="23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> </v>
      </c>
      <c r="H1471" s="24" t="str">
        <f>IF(J1471&lt;&gt;1,"",IF(I1471="SBJ","CB","?"))</f>
        <v> </v>
      </c>
      <c r="I1471" s="25" t="str">
        <f>IF(OR(E1471="",E1471="!!!",F1471="NEW"),"",INDEX(B1470:B$2,-1+SUMPRODUCT(MAX(ROW(E1470:E$2)*(E1471=E1470:E$2)))))</f>
        <v> </v>
      </c>
      <c r="J1471" s="25" t="str">
        <f>IF(OR(E1471="",E1471="!!!",F1471="NEW"),"",COUNTBLANK(OFFSET(A$1,,,SUMPRODUCT(MAX(ROW(E$2:E1471)*(E1471=E$2:E1471)))))-COUNTBLANK(OFFSET(A$1,,,SUMPRODUCT(MAX(ROW(E$1:E1470)*(E2=E$1:E1470))))))</f>
        <v> </v>
      </c>
      <c r="K1471" s="25" t="str">
        <f>IF(OR(E1471="",E1471="!!!",F1471="NEW"),"",INDEX(J$1:J1470,SUMPRODUCT(MAX(ROW(E$1:E1470)*(E1471=E$1:E1470)))))</f>
        <v> </v>
      </c>
      <c r="L1471" s="26"/>
    </row>
    <row r="1472" spans="1:12">
      <c r="A1472" s="20" t="s">
        <v>1885</v>
      </c>
      <c r="B1472" s="27" t="s">
        <v>1213</v>
      </c>
      <c r="E1472" s="21">
        <f>IF(D1472="?OLD","!!!","")</f>
        <v/>
      </c>
      <c r="F1472" s="22" t="str">
        <f>IF(OR(E1472="",E1472="!!!"),"",IF(NOT(ISNA(VLOOKUP(E1472,E$1:E1471,1,FALSE()))),"OLD",IF(AND(E1472&lt;&gt;"",E1472&lt;&gt;"!!!"),"NEW","")))</f>
        <v> </v>
      </c>
      <c r="G1472" s="23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> </v>
      </c>
      <c r="H1472" s="24" t="str">
        <f>IF(J1472&lt;&gt;1,"",IF(I1472="SBJ","CB","?"))</f>
        <v> </v>
      </c>
      <c r="I1472" s="25" t="str">
        <f>IF(OR(E1472="",E1472="!!!",F1472="NEW"),"",INDEX(B1471:B$2,-1+SUMPRODUCT(MAX(ROW(E1471:E$2)*(E1472=E1471:E$2)))))</f>
        <v> </v>
      </c>
      <c r="J1472" s="25" t="str">
        <f>IF(OR(E1472="",E1472="!!!",F1472="NEW"),"",COUNTBLANK(OFFSET(A$1,,,SUMPRODUCT(MAX(ROW(E$2:E1472)*(E1472=E$2:E1472)))))-COUNTBLANK(OFFSET(A$1,,,SUMPRODUCT(MAX(ROW(E$1:E1471)*(E2=E$1:E1471))))))</f>
        <v> </v>
      </c>
      <c r="K1472" s="25" t="str">
        <f>IF(OR(E1472="",E1472="!!!",F1472="NEW"),"",INDEX(J$1:J1471,SUMPRODUCT(MAX(ROW(E$1:E1471)*(E1472=E$1:E1471)))))</f>
        <v> </v>
      </c>
      <c r="L1472" s="26"/>
    </row>
    <row r="1473" spans="1:12">
      <c r="A1473" s="20" t="s">
        <v>1351</v>
      </c>
      <c r="E1473" s="21">
        <f>IF(D1473="?OLD","!!!","")</f>
        <v/>
      </c>
      <c r="F1473" s="22" t="str">
        <f>IF(OR(E1473="",E1473="!!!"),"",IF(NOT(ISNA(VLOOKUP(E1473,E$1:E1472,1,FALSE()))),"OLD",IF(AND(E1473&lt;&gt;"",E1473&lt;&gt;"!!!"),"NEW","")))</f>
        <v> </v>
      </c>
      <c r="G1473" s="23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> </v>
      </c>
      <c r="H1473" s="24" t="str">
        <f>IF(J1473&lt;&gt;1,"",IF(I1473="SBJ","CB","?"))</f>
        <v> </v>
      </c>
      <c r="I1473" s="25" t="str">
        <f>IF(OR(E1473="",E1473="!!!",F1473="NEW"),"",INDEX(B1472:B$2,-1+SUMPRODUCT(MAX(ROW(E1472:E$2)*(E1473=E1472:E$2)))))</f>
        <v> </v>
      </c>
      <c r="J1473" s="25" t="str">
        <f>IF(OR(E1473="",E1473="!!!",F1473="NEW"),"",COUNTBLANK(OFFSET(A$1,,,SUMPRODUCT(MAX(ROW(E$2:E1473)*(E1473=E$2:E1473)))))-COUNTBLANK(OFFSET(A$1,,,SUMPRODUCT(MAX(ROW(E$1:E1472)*(E2=E$1:E1472))))))</f>
        <v> </v>
      </c>
      <c r="K1473" s="25" t="str">
        <f>IF(OR(E1473="",E1473="!!!",F1473="NEW"),"",INDEX(J$1:J1472,SUMPRODUCT(MAX(ROW(E$1:E1472)*(E1473=E$1:E1472)))))</f>
        <v> </v>
      </c>
      <c r="L1473" s="26"/>
    </row>
    <row r="1474" spans="1:12">
      <c r="A1474" s="20"/>
    </row>
    <row r="1475" spans="1:12">
      <c r="A1475" s="20" t="s">
        <v>1886</v>
      </c>
    </row>
    <row r="1476" spans="1:12">
      <c r="A1476" s="20" t="s">
        <v>1887</v>
      </c>
      <c r="E1476" s="21">
        <f>IF(D1476="?OLD","!!!","")</f>
        <v/>
      </c>
      <c r="F1476" s="22" t="str">
        <f>IF(OR(E1476="",E1476="!!!"),"",IF(NOT(ISNA(VLOOKUP(E1476,E$1:E1475,1,FALSE()))),"OLD",IF(AND(E1476&lt;&gt;"",E1476&lt;&gt;"!!!"),"NEW","")))</f>
        <v> </v>
      </c>
      <c r="G1476" s="23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 </v>
      </c>
      <c r="H1476" s="24" t="str">
        <f>IF(J1476&lt;&gt;1,"",IF(I1476="SBJ","CB","?"))</f>
        <v> </v>
      </c>
      <c r="I1476" s="25" t="str">
        <f>IF(OR(E1476="",E1476="!!!",F1476="NEW"),"",INDEX(B1475:B$2,-1+SUMPRODUCT(MAX(ROW(E1475:E$2)*(E1476=E1475:E$2)))))</f>
        <v> </v>
      </c>
      <c r="J1476" s="25" t="str">
        <f>IF(OR(E1476="",E1476="!!!",F1476="NEW"),"",COUNTBLANK(OFFSET(A$1,,,SUMPRODUCT(MAX(ROW(E$2:E1476)*(E1476=E$2:E1476)))))-COUNTBLANK(OFFSET(A$1,,,SUMPRODUCT(MAX(ROW(E$1:E1475)*(E2=E$1:E1475))))))</f>
        <v> </v>
      </c>
      <c r="K1476" s="25" t="str">
        <f>IF(OR(E1476="",E1476="!!!",F1476="NEW"),"",INDEX(J$1:J1475,SUMPRODUCT(MAX(ROW(E$1:E1475)*(E1476=E$1:E1475)))))</f>
        <v> </v>
      </c>
      <c r="L1476" s="26"/>
    </row>
    <row r="1477" spans="1:12">
      <c r="A1477" s="20" t="s">
        <v>1123</v>
      </c>
      <c r="E1477" s="21">
        <f>IF(D1477="?OLD","!!!","")</f>
        <v/>
      </c>
      <c r="F1477" s="22" t="str">
        <f>IF(OR(E1477="",E1477="!!!"),"",IF(NOT(ISNA(VLOOKUP(E1477,E$1:E1476,1,FALSE()))),"OLD",IF(AND(E1477&lt;&gt;"",E1477&lt;&gt;"!!!"),"NEW","")))</f>
        <v> </v>
      </c>
      <c r="G1477" s="23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24" t="str">
        <f>IF(J1477&lt;&gt;1,"",IF(I1477="SBJ","CB","?"))</f>
        <v> </v>
      </c>
      <c r="I1477" s="25" t="str">
        <f>IF(OR(E1477="",E1477="!!!",F1477="NEW"),"",INDEX(B1476:B$2,-1+SUMPRODUCT(MAX(ROW(E1476:E$2)*(E1477=E1476:E$2)))))</f>
        <v> </v>
      </c>
      <c r="J1477" s="25" t="str">
        <f>IF(OR(E1477="",E1477="!!!",F1477="NEW"),"",COUNTBLANK(OFFSET(A$1,,,SUMPRODUCT(MAX(ROW(E$2:E1477)*(E1477=E$2:E1477)))))-COUNTBLANK(OFFSET(A$1,,,SUMPRODUCT(MAX(ROW(E$1:E1476)*(E2=E$1:E1476))))))</f>
        <v> </v>
      </c>
      <c r="K1477" s="25" t="str">
        <f>IF(OR(E1477="",E1477="!!!",F1477="NEW"),"",INDEX(J$1:J1476,SUMPRODUCT(MAX(ROW(E$1:E1476)*(E1477=E$1:E1476)))))</f>
        <v> </v>
      </c>
      <c r="L1477" s="26"/>
    </row>
    <row r="1478" spans="1:12">
      <c r="A1478" s="20" t="s">
        <v>1888</v>
      </c>
      <c r="E1478" s="21">
        <f>IF(D1478="?OLD","!!!","")</f>
        <v/>
      </c>
      <c r="F1478" s="22" t="str">
        <f>IF(OR(E1478="",E1478="!!!"),"",IF(NOT(ISNA(VLOOKUP(E1478,E$1:E1477,1,FALSE()))),"OLD",IF(AND(E1478&lt;&gt;"",E1478&lt;&gt;"!!!"),"NEW","")))</f>
        <v> </v>
      </c>
      <c r="G1478" s="23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> </v>
      </c>
      <c r="H1478" s="24" t="str">
        <f>IF(J1478&lt;&gt;1,"",IF(I1478="SBJ","CB","?"))</f>
        <v> </v>
      </c>
      <c r="I1478" s="25" t="str">
        <f>IF(OR(E1478="",E1478="!!!",F1478="NEW"),"",INDEX(B1477:B$2,-1+SUMPRODUCT(MAX(ROW(E1477:E$2)*(E1478=E1477:E$2)))))</f>
        <v> </v>
      </c>
      <c r="J1478" s="25" t="str">
        <f>IF(OR(E1478="",E1478="!!!",F1478="NEW"),"",COUNTBLANK(OFFSET(A$1,,,SUMPRODUCT(MAX(ROW(E$2:E1478)*(E1478=E$2:E1478)))))-COUNTBLANK(OFFSET(A$1,,,SUMPRODUCT(MAX(ROW(E$1:E1477)*(E2=E$1:E1477))))))</f>
        <v> </v>
      </c>
      <c r="K1478" s="25" t="str">
        <f>IF(OR(E1478="",E1478="!!!",F1478="NEW"),"",INDEX(J$1:J1477,SUMPRODUCT(MAX(ROW(E$1:E1477)*(E1478=E$1:E1477)))))</f>
        <v> </v>
      </c>
      <c r="L1478" s="26"/>
    </row>
    <row r="1479" spans="1:12">
      <c r="A1479" s="20" t="s">
        <v>1351</v>
      </c>
      <c r="E1479" s="21">
        <f>IF(D1479="?OLD","!!!","")</f>
        <v/>
      </c>
      <c r="F1479" s="22" t="str">
        <f>IF(OR(E1479="",E1479="!!!"),"",IF(NOT(ISNA(VLOOKUP(E1479,E$1:E1478,1,FALSE()))),"OLD",IF(AND(E1479&lt;&gt;"",E1479&lt;&gt;"!!!"),"NEW","")))</f>
        <v> </v>
      </c>
      <c r="G1479" s="23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> </v>
      </c>
      <c r="H1479" s="24" t="str">
        <f>IF(J1479&lt;&gt;1,"",IF(I1479="SBJ","CB","?"))</f>
        <v> </v>
      </c>
      <c r="I1479" s="25" t="str">
        <f>IF(OR(E1479="",E1479="!!!",F1479="NEW"),"",INDEX(B1478:B$2,-1+SUMPRODUCT(MAX(ROW(E1478:E$2)*(E1479=E1478:E$2)))))</f>
        <v> </v>
      </c>
      <c r="J1479" s="25" t="str">
        <f>IF(OR(E1479="",E1479="!!!",F1479="NEW"),"",COUNTBLANK(OFFSET(A$1,,,SUMPRODUCT(MAX(ROW(E$2:E1479)*(E1479=E$2:E1479)))))-COUNTBLANK(OFFSET(A$1,,,SUMPRODUCT(MAX(ROW(E$1:E1478)*(E2=E$1:E1478))))))</f>
        <v> </v>
      </c>
      <c r="K1479" s="25" t="str">
        <f>IF(OR(E1479="",E1479="!!!",F1479="NEW"),"",INDEX(J$1:J1478,SUMPRODUCT(MAX(ROW(E$1:E1478)*(E1479=E$1:E1478)))))</f>
        <v> </v>
      </c>
      <c r="L1479" s="26"/>
    </row>
    <row r="1480" spans="1:12">
      <c r="A1480" s="20"/>
    </row>
    <row r="1481" spans="1:12">
      <c r="A1481" s="20" t="s">
        <v>1889</v>
      </c>
    </row>
    <row r="1482" spans="1:12">
      <c r="A1482" s="20" t="s">
        <v>1277</v>
      </c>
      <c r="E1482" s="21">
        <f>IF(D1482="?OLD","!!!","")</f>
        <v/>
      </c>
      <c r="F1482" s="22" t="str">
        <f>IF(OR(E1482="",E1482="!!!"),"",IF(NOT(ISNA(VLOOKUP(E1482,E$1:E1481,1,FALSE()))),"OLD",IF(AND(E1482&lt;&gt;"",E1482&lt;&gt;"!!!"),"NEW","")))</f>
        <v> </v>
      </c>
      <c r="G1482" s="23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> </v>
      </c>
      <c r="H1482" s="24" t="str">
        <f>IF(J1482&lt;&gt;1,"",IF(I1482="SBJ","CB","?"))</f>
        <v> </v>
      </c>
      <c r="I1482" s="25" t="str">
        <f>IF(OR(E1482="",E1482="!!!",F1482="NEW"),"",INDEX(B1481:B$2,-1+SUMPRODUCT(MAX(ROW(E1481:E$2)*(E1482=E1481:E$2)))))</f>
        <v> </v>
      </c>
      <c r="J1482" s="25" t="str">
        <f>IF(OR(E1482="",E1482="!!!",F1482="NEW"),"",COUNTBLANK(OFFSET(A$1,,,SUMPRODUCT(MAX(ROW(E$2:E1482)*(E1482=E$2:E1482)))))-COUNTBLANK(OFFSET(A$1,,,SUMPRODUCT(MAX(ROW(E$1:E1481)*(E2=E$1:E1481))))))</f>
        <v> </v>
      </c>
      <c r="K1482" s="25" t="str">
        <f>IF(OR(E1482="",E1482="!!!",F1482="NEW"),"",INDEX(J$1:J1481,SUMPRODUCT(MAX(ROW(E$1:E1481)*(E1482=E$1:E1481)))))</f>
        <v> </v>
      </c>
      <c r="L1482" s="26"/>
    </row>
    <row r="1483" spans="1:12">
      <c r="A1483" s="20" t="s">
        <v>1890</v>
      </c>
      <c r="E1483" s="21">
        <f>IF(D1483="?OLD","!!!","")</f>
        <v/>
      </c>
      <c r="F1483" s="22" t="str">
        <f>IF(OR(E1483="",E1483="!!!"),"",IF(NOT(ISNA(VLOOKUP(E1483,E$1:E1482,1,FALSE()))),"OLD",IF(AND(E1483&lt;&gt;"",E1483&lt;&gt;"!!!"),"NEW","")))</f>
        <v> </v>
      </c>
      <c r="G1483" s="23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> </v>
      </c>
      <c r="H1483" s="24" t="str">
        <f>IF(J1483&lt;&gt;1,"",IF(I1483="SBJ","CB","?"))</f>
        <v> </v>
      </c>
      <c r="I1483" s="25" t="str">
        <f>IF(OR(E1483="",E1483="!!!",F1483="NEW"),"",INDEX(B1482:B$2,-1+SUMPRODUCT(MAX(ROW(E1482:E$2)*(E1483=E1482:E$2)))))</f>
        <v> </v>
      </c>
      <c r="J1483" s="25" t="str">
        <f>IF(OR(E1483="",E1483="!!!",F1483="NEW"),"",COUNTBLANK(OFFSET(A$1,,,SUMPRODUCT(MAX(ROW(E$2:E1483)*(E1483=E$2:E1483)))))-COUNTBLANK(OFFSET(A$1,,,SUMPRODUCT(MAX(ROW(E$1:E1482)*(E2=E$1:E1482))))))</f>
        <v> </v>
      </c>
      <c r="K1483" s="25" t="str">
        <f>IF(OR(E1483="",E1483="!!!",F1483="NEW"),"",INDEX(J$1:J1482,SUMPRODUCT(MAX(ROW(E$1:E1482)*(E1483=E$1:E1482)))))</f>
        <v> </v>
      </c>
      <c r="L1483" s="26"/>
    </row>
    <row r="1484" spans="1:12">
      <c r="A1484" s="20" t="s">
        <v>1891</v>
      </c>
      <c r="E1484" s="21">
        <f>IF(D1484="?OLD","!!!","")</f>
        <v/>
      </c>
      <c r="F1484" s="22" t="str">
        <f>IF(OR(E1484="",E1484="!!!"),"",IF(NOT(ISNA(VLOOKUP(E1484,E$1:E1483,1,FALSE()))),"OLD",IF(AND(E1484&lt;&gt;"",E1484&lt;&gt;"!!!"),"NEW","")))</f>
        <v> </v>
      </c>
      <c r="G1484" s="23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> </v>
      </c>
      <c r="H1484" s="24" t="str">
        <f>IF(J1484&lt;&gt;1,"",IF(I1484="SBJ","CB","?"))</f>
        <v> </v>
      </c>
      <c r="I1484" s="25" t="str">
        <f>IF(OR(E1484="",E1484="!!!",F1484="NEW"),"",INDEX(B1483:B$2,-1+SUMPRODUCT(MAX(ROW(E1483:E$2)*(E1484=E1483:E$2)))))</f>
        <v> </v>
      </c>
      <c r="J1484" s="25" t="str">
        <f>IF(OR(E1484="",E1484="!!!",F1484="NEW"),"",COUNTBLANK(OFFSET(A$1,,,SUMPRODUCT(MAX(ROW(E$2:E1484)*(E1484=E$2:E1484)))))-COUNTBLANK(OFFSET(A$1,,,SUMPRODUCT(MAX(ROW(E$1:E1483)*(E2=E$1:E1483))))))</f>
        <v> </v>
      </c>
      <c r="K1484" s="25" t="str">
        <f>IF(OR(E1484="",E1484="!!!",F1484="NEW"),"",INDEX(J$1:J1483,SUMPRODUCT(MAX(ROW(E$1:E1483)*(E1484=E$1:E1483)))))</f>
        <v> </v>
      </c>
      <c r="L1484" s="26"/>
    </row>
    <row r="1485" spans="1:12">
      <c r="A1485" s="20" t="s">
        <v>1892</v>
      </c>
      <c r="E1485" s="21">
        <f>IF(D1485="?OLD","!!!","")</f>
        <v/>
      </c>
      <c r="F1485" s="22" t="str">
        <f>IF(OR(E1485="",E1485="!!!"),"",IF(NOT(ISNA(VLOOKUP(E1485,E$1:E1484,1,FALSE()))),"OLD",IF(AND(E1485&lt;&gt;"",E1485&lt;&gt;"!!!"),"NEW","")))</f>
        <v> </v>
      </c>
      <c r="G1485" s="23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> </v>
      </c>
      <c r="H1485" s="24" t="str">
        <f>IF(J1485&lt;&gt;1,"",IF(I1485="SBJ","CB","?"))</f>
        <v> </v>
      </c>
      <c r="I1485" s="25" t="str">
        <f>IF(OR(E1485="",E1485="!!!",F1485="NEW"),"",INDEX(B1484:B$2,-1+SUMPRODUCT(MAX(ROW(E1484:E$2)*(E1485=E1484:E$2)))))</f>
        <v> </v>
      </c>
      <c r="J1485" s="25" t="str">
        <f>IF(OR(E1485="",E1485="!!!",F1485="NEW"),"",COUNTBLANK(OFFSET(A$1,,,SUMPRODUCT(MAX(ROW(E$2:E1485)*(E1485=E$2:E1485)))))-COUNTBLANK(OFFSET(A$1,,,SUMPRODUCT(MAX(ROW(E$1:E1484)*(E2=E$1:E1484))))))</f>
        <v> </v>
      </c>
      <c r="K1485" s="25" t="str">
        <f>IF(OR(E1485="",E1485="!!!",F1485="NEW"),"",INDEX(J$1:J1484,SUMPRODUCT(MAX(ROW(E$1:E1484)*(E1485=E$1:E1484)))))</f>
        <v> </v>
      </c>
      <c r="L1485" s="26"/>
    </row>
    <row r="1486" spans="1:12">
      <c r="A1486" s="20" t="s">
        <v>1893</v>
      </c>
      <c r="E1486" s="21">
        <f>IF(D1486="?OLD","!!!","")</f>
        <v/>
      </c>
      <c r="F1486" s="22" t="str">
        <f>IF(OR(E1486="",E1486="!!!"),"",IF(NOT(ISNA(VLOOKUP(E1486,E$1:E1485,1,FALSE()))),"OLD",IF(AND(E1486&lt;&gt;"",E1486&lt;&gt;"!!!"),"NEW","")))</f>
        <v> </v>
      </c>
      <c r="G1486" s="23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> </v>
      </c>
      <c r="H1486" s="24" t="str">
        <f>IF(J1486&lt;&gt;1,"",IF(I1486="SBJ","CB","?"))</f>
        <v> </v>
      </c>
      <c r="I1486" s="25" t="str">
        <f>IF(OR(E1486="",E1486="!!!",F1486="NEW"),"",INDEX(B1485:B$2,-1+SUMPRODUCT(MAX(ROW(E1485:E$2)*(E1486=E1485:E$2)))))</f>
        <v> </v>
      </c>
      <c r="J1486" s="25" t="str">
        <f>IF(OR(E1486="",E1486="!!!",F1486="NEW"),"",COUNTBLANK(OFFSET(A$1,,,SUMPRODUCT(MAX(ROW(E$2:E1486)*(E1486=E$2:E1486)))))-COUNTBLANK(OFFSET(A$1,,,SUMPRODUCT(MAX(ROW(E$1:E1485)*(E2=E$1:E1485))))))</f>
        <v> </v>
      </c>
      <c r="K1486" s="25" t="str">
        <f>IF(OR(E1486="",E1486="!!!",F1486="NEW"),"",INDEX(J$1:J1485,SUMPRODUCT(MAX(ROW(E$1:E1485)*(E1486=E$1:E1485)))))</f>
        <v> </v>
      </c>
      <c r="L1486" s="26"/>
    </row>
    <row r="1487" spans="1:12">
      <c r="A1487" s="20" t="s">
        <v>1894</v>
      </c>
      <c r="B1487" s="27" t="s">
        <v>1149</v>
      </c>
      <c r="E1487" s="21">
        <f>IF(D1487="?OLD","!!!","")</f>
        <v/>
      </c>
      <c r="F1487" s="22" t="str">
        <f>IF(OR(E1487="",E1487="!!!"),"",IF(NOT(ISNA(VLOOKUP(E1487,E$1:E1486,1,FALSE()))),"OLD",IF(AND(E1487&lt;&gt;"",E1487&lt;&gt;"!!!"),"NEW","")))</f>
        <v> </v>
      </c>
      <c r="G1487" s="23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> </v>
      </c>
      <c r="H1487" s="24" t="str">
        <f>IF(J1487&lt;&gt;1,"",IF(I1487="SBJ","CB","?"))</f>
        <v> </v>
      </c>
      <c r="I1487" s="25" t="str">
        <f>IF(OR(E1487="",E1487="!!!",F1487="NEW"),"",INDEX(B1486:B$2,-1+SUMPRODUCT(MAX(ROW(E1486:E$2)*(E1487=E1486:E$2)))))</f>
        <v> </v>
      </c>
      <c r="J1487" s="25" t="str">
        <f>IF(OR(E1487="",E1487="!!!",F1487="NEW"),"",COUNTBLANK(OFFSET(A$1,,,SUMPRODUCT(MAX(ROW(E$2:E1487)*(E1487=E$2:E1487)))))-COUNTBLANK(OFFSET(A$1,,,SUMPRODUCT(MAX(ROW(E$1:E1486)*(E2=E$1:E1486))))))</f>
        <v> </v>
      </c>
      <c r="K1487" s="25" t="str">
        <f>IF(OR(E1487="",E1487="!!!",F1487="NEW"),"",INDEX(J$1:J1486,SUMPRODUCT(MAX(ROW(E$1:E1486)*(E1487=E$1:E1486)))))</f>
        <v> </v>
      </c>
      <c r="L1487" s="26"/>
    </row>
    <row r="1488" spans="1:12">
      <c r="A1488" s="20" t="s">
        <v>1145</v>
      </c>
      <c r="E1488" s="21">
        <f>IF(D1488="?OLD","!!!","")</f>
        <v/>
      </c>
      <c r="F1488" s="22" t="str">
        <f>IF(OR(E1488="",E1488="!!!"),"",IF(NOT(ISNA(VLOOKUP(E1488,E$1:E1487,1,FALSE()))),"OLD",IF(AND(E1488&lt;&gt;"",E1488&lt;&gt;"!!!"),"NEW","")))</f>
        <v> </v>
      </c>
      <c r="G1488" s="23" t="str">
        <f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> </v>
      </c>
      <c r="H1488" s="24" t="str">
        <f>IF(J1488&lt;&gt;1,"",IF(I1488="SBJ","CB","?"))</f>
        <v> </v>
      </c>
      <c r="I1488" s="25" t="str">
        <f>IF(OR(E1488="",E1488="!!!",F1488="NEW"),"",INDEX(B1487:B$2,-1+SUMPRODUCT(MAX(ROW(E1487:E$2)*(E1488=E1487:E$2)))))</f>
        <v> </v>
      </c>
      <c r="J1488" s="25" t="str">
        <f>IF(OR(E1488="",E1488="!!!",F1488="NEW"),"",COUNTBLANK(OFFSET(A$1,,,SUMPRODUCT(MAX(ROW(E$2:E1488)*(E1488=E$2:E1488)))))-COUNTBLANK(OFFSET(A$1,,,SUMPRODUCT(MAX(ROW(E$1:E1487)*(E2=E$1:E1487))))))</f>
        <v> </v>
      </c>
      <c r="K1488" s="25" t="str">
        <f>IF(OR(E1488="",E1488="!!!",F1488="NEW"),"",INDEX(J$1:J1487,SUMPRODUCT(MAX(ROW(E$1:E1487)*(E1488=E$1:E1487)))))</f>
        <v> </v>
      </c>
      <c r="L1488" s="26"/>
    </row>
    <row r="1489" spans="1:12">
      <c r="A1489" s="20"/>
    </row>
    <row r="1490" spans="1:12">
      <c r="A1490" s="20" t="s">
        <v>1895</v>
      </c>
    </row>
    <row r="1491" spans="1:12">
      <c r="A1491" s="20" t="s">
        <v>1896</v>
      </c>
      <c r="E1491" s="21">
        <f>IF(D1491="?OLD","!!!","")</f>
        <v/>
      </c>
      <c r="F1491" s="22" t="str">
        <f>IF(OR(E1491="",E1491="!!!"),"",IF(NOT(ISNA(VLOOKUP(E1491,E$1:E1490,1,FALSE()))),"OLD",IF(AND(E1491&lt;&gt;"",E1491&lt;&gt;"!!!"),"NEW","")))</f>
        <v> </v>
      </c>
      <c r="G1491" s="23" t="str">
        <f>IF(OR(E1491="",E1491="!!!"),"",IF(OR(J1491=0,AND(J1491=1,K1491=1),AND(J1491=1,I1491="SBJ"),AND(J1491=1,I1491=0)),"?IN_FOCUS",IF(J1491&lt;=2,"?ACTIVATED",IF(J1491&lt;&gt;"","?FAMILIAR",IF(F1491="NEW",IF(ISNA(VLOOKUP(E1491,#REF!,1,FALSE())),"?TYPE_IDENTIFIABLE","?REFERENTIAL"),"_")))))</f>
        <v> </v>
      </c>
      <c r="H1491" s="24" t="str">
        <f>IF(J1491&lt;&gt;1,"",IF(I1491="SBJ","CB","?"))</f>
        <v> </v>
      </c>
      <c r="I1491" s="25" t="str">
        <f>IF(OR(E1491="",E1491="!!!",F1491="NEW"),"",INDEX(B1490:B$2,-1+SUMPRODUCT(MAX(ROW(E1490:E$2)*(E1491=E1490:E$2)))))</f>
        <v> </v>
      </c>
      <c r="J1491" s="25" t="str">
        <f>IF(OR(E1491="",E1491="!!!",F1491="NEW"),"",COUNTBLANK(OFFSET(A$1,,,SUMPRODUCT(MAX(ROW(E$2:E1491)*(E1491=E$2:E1491)))))-COUNTBLANK(OFFSET(A$1,,,SUMPRODUCT(MAX(ROW(E$1:E1490)*(E2=E$1:E1490))))))</f>
        <v> </v>
      </c>
      <c r="K1491" s="25" t="str">
        <f>IF(OR(E1491="",E1491="!!!",F1491="NEW"),"",INDEX(J$1:J1490,SUMPRODUCT(MAX(ROW(E$1:E1490)*(E1491=E$1:E1490)))))</f>
        <v> </v>
      </c>
      <c r="L1491" s="26"/>
    </row>
    <row r="1492" spans="1:12">
      <c r="A1492" s="20" t="s">
        <v>1201</v>
      </c>
      <c r="E1492" s="21">
        <f>IF(D1492="?OLD","!!!","")</f>
        <v/>
      </c>
      <c r="F1492" s="22" t="str">
        <f>IF(OR(E1492="",E1492="!!!"),"",IF(NOT(ISNA(VLOOKUP(E1492,E$1:E1491,1,FALSE()))),"OLD",IF(AND(E1492&lt;&gt;"",E1492&lt;&gt;"!!!"),"NEW","")))</f>
        <v> </v>
      </c>
      <c r="G1492" s="23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> </v>
      </c>
      <c r="H1492" s="24" t="str">
        <f>IF(J1492&lt;&gt;1,"",IF(I1492="SBJ","CB","?"))</f>
        <v> </v>
      </c>
      <c r="I1492" s="25" t="str">
        <f>IF(OR(E1492="",E1492="!!!",F1492="NEW"),"",INDEX(B1491:B$2,-1+SUMPRODUCT(MAX(ROW(E1491:E$2)*(E1492=E1491:E$2)))))</f>
        <v> </v>
      </c>
      <c r="J1492" s="25" t="str">
        <f>IF(OR(E1492="",E1492="!!!",F1492="NEW"),"",COUNTBLANK(OFFSET(A$1,,,SUMPRODUCT(MAX(ROW(E$2:E1492)*(E1492=E$2:E1492)))))-COUNTBLANK(OFFSET(A$1,,,SUMPRODUCT(MAX(ROW(E$1:E1491)*(E2=E$1:E1491))))))</f>
        <v> </v>
      </c>
      <c r="K1492" s="25" t="str">
        <f>IF(OR(E1492="",E1492="!!!",F1492="NEW"),"",INDEX(J$1:J1491,SUMPRODUCT(MAX(ROW(E$1:E1491)*(E1492=E$1:E1491)))))</f>
        <v> </v>
      </c>
      <c r="L1492" s="26"/>
    </row>
    <row r="1493" spans="1:12">
      <c r="A1493" s="20" t="s">
        <v>1897</v>
      </c>
      <c r="E1493" s="21">
        <f>IF(D1493="?OLD","!!!","")</f>
        <v/>
      </c>
      <c r="F1493" s="22" t="str">
        <f>IF(OR(E1493="",E1493="!!!"),"",IF(NOT(ISNA(VLOOKUP(E1493,E$1:E1492,1,FALSE()))),"OLD",IF(AND(E1493&lt;&gt;"",E1493&lt;&gt;"!!!"),"NEW","")))</f>
        <v> </v>
      </c>
      <c r="G1493" s="23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 </v>
      </c>
      <c r="H1493" s="24" t="str">
        <f>IF(J1493&lt;&gt;1,"",IF(I1493="SBJ","CB","?"))</f>
        <v> </v>
      </c>
      <c r="I1493" s="25" t="str">
        <f>IF(OR(E1493="",E1493="!!!",F1493="NEW"),"",INDEX(B1492:B$2,-1+SUMPRODUCT(MAX(ROW(E1492:E$2)*(E1493=E1492:E$2)))))</f>
        <v> </v>
      </c>
      <c r="J1493" s="25" t="str">
        <f>IF(OR(E1493="",E1493="!!!",F1493="NEW"),"",COUNTBLANK(OFFSET(A$1,,,SUMPRODUCT(MAX(ROW(E$2:E1493)*(E1493=E$2:E1493)))))-COUNTBLANK(OFFSET(A$1,,,SUMPRODUCT(MAX(ROW(E$1:E1492)*(E2=E$1:E1492))))))</f>
        <v> </v>
      </c>
      <c r="K1493" s="25" t="str">
        <f>IF(OR(E1493="",E1493="!!!",F1493="NEW"),"",INDEX(J$1:J1492,SUMPRODUCT(MAX(ROW(E$1:E1492)*(E1493=E$1:E1492)))))</f>
        <v> </v>
      </c>
      <c r="L1493" s="26"/>
    </row>
    <row r="1494" spans="1:12">
      <c r="A1494" s="20" t="s">
        <v>1123</v>
      </c>
      <c r="E1494" s="21">
        <f>IF(D1494="?OLD","!!!","")</f>
        <v/>
      </c>
      <c r="F1494" s="22" t="str">
        <f>IF(OR(E1494="",E1494="!!!"),"",IF(NOT(ISNA(VLOOKUP(E1494,E$1:E1493,1,FALSE()))),"OLD",IF(AND(E1494&lt;&gt;"",E1494&lt;&gt;"!!!"),"NEW","")))</f>
        <v> </v>
      </c>
      <c r="G1494" s="23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> </v>
      </c>
      <c r="H1494" s="24" t="str">
        <f>IF(J1494&lt;&gt;1,"",IF(I1494="SBJ","CB","?"))</f>
        <v> </v>
      </c>
      <c r="I1494" s="25" t="str">
        <f>IF(OR(E1494="",E1494="!!!",F1494="NEW"),"",INDEX(B1493:B$2,-1+SUMPRODUCT(MAX(ROW(E1493:E$2)*(E1494=E1493:E$2)))))</f>
        <v> </v>
      </c>
      <c r="J1494" s="25" t="str">
        <f>IF(OR(E1494="",E1494="!!!",F1494="NEW"),"",COUNTBLANK(OFFSET(A$1,,,SUMPRODUCT(MAX(ROW(E$2:E1494)*(E1494=E$2:E1494)))))-COUNTBLANK(OFFSET(A$1,,,SUMPRODUCT(MAX(ROW(E$1:E1493)*(E2=E$1:E1493))))))</f>
        <v> </v>
      </c>
      <c r="K1494" s="25" t="str">
        <f>IF(OR(E1494="",E1494="!!!",F1494="NEW"),"",INDEX(J$1:J1493,SUMPRODUCT(MAX(ROW(E$1:E1493)*(E1494=E$1:E1493)))))</f>
        <v> </v>
      </c>
      <c r="L1494" s="26"/>
    </row>
    <row r="1495" spans="1:12">
      <c r="A1495" s="20" t="s">
        <v>1217</v>
      </c>
      <c r="B1495" s="27" t="s">
        <v>1149</v>
      </c>
      <c r="C1495" s="27" t="s">
        <v>1126</v>
      </c>
      <c r="D1495" s="27" t="s">
        <v>1105</v>
      </c>
      <c r="E1495" s="21">
        <f>IF(D1495="?OLD","!!!","")</f>
        <v/>
      </c>
      <c r="F1495" s="22" t="str">
        <f>IF(OR(E1495="",E1495="!!!"),"",IF(NOT(ISNA(VLOOKUP(E1495,E$1:E1494,1,FALSE()))),"OLD",IF(AND(E1495&lt;&gt;"",E1495&lt;&gt;"!!!"),"NEW","")))</f>
        <v> </v>
      </c>
      <c r="G1495" s="23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> </v>
      </c>
      <c r="H1495" s="24" t="str">
        <f>IF(J1495&lt;&gt;1,"",IF(I1495="SBJ","CB","?"))</f>
        <v> </v>
      </c>
      <c r="I1495" s="25" t="str">
        <f>IF(OR(E1495="",E1495="!!!",F1495="NEW"),"",INDEX(B1494:B$2,-1+SUMPRODUCT(MAX(ROW(E1494:E$2)*(E1495=E1494:E$2)))))</f>
        <v> </v>
      </c>
      <c r="J1495" s="25" t="str">
        <f>IF(OR(E1495="",E1495="!!!",F1495="NEW"),"",COUNTBLANK(OFFSET(A$1,,,SUMPRODUCT(MAX(ROW(E$2:E1495)*(E1495=E$2:E1495)))))-COUNTBLANK(OFFSET(A$1,,,SUMPRODUCT(MAX(ROW(E$1:E1494)*(E2=E$1:E1494))))))</f>
        <v> </v>
      </c>
      <c r="K1495" s="25" t="str">
        <f>IF(OR(E1495="",E1495="!!!",F1495="NEW"),"",INDEX(J$1:J1494,SUMPRODUCT(MAX(ROW(E$1:E1494)*(E1495=E$1:E1494)))))</f>
        <v> </v>
      </c>
      <c r="L1495" s="26"/>
    </row>
    <row r="1496" spans="1:12">
      <c r="A1496" s="20" t="s">
        <v>1898</v>
      </c>
      <c r="E1496" s="21">
        <f>IF(D1496="?OLD","!!!","")</f>
        <v/>
      </c>
      <c r="F1496" s="22" t="str">
        <f>IF(OR(E1496="",E1496="!!!"),"",IF(NOT(ISNA(VLOOKUP(E1496,E$1:E1495,1,FALSE()))),"OLD",IF(AND(E1496&lt;&gt;"",E1496&lt;&gt;"!!!"),"NEW","")))</f>
        <v> </v>
      </c>
      <c r="G1496" s="23" t="str">
        <f>IF(OR(E1496="",E1496="!!!"),"",IF(OR(J1496=0,AND(J1496=1,K1496=1),AND(J1496=1,I1496="SBJ"),AND(J1496=1,I1496=0)),"?IN_FOCUS",IF(J1496&lt;=2,"?ACTIVATED",IF(J1496&lt;&gt;"","?FAMILIAR",IF(F1496="NEW",IF(ISNA(VLOOKUP(E1496,#REF!,1,FALSE())),"?TYPE_IDENTIFIABLE","?REFERENTIAL"),"_")))))</f>
        <v> </v>
      </c>
      <c r="H1496" s="24" t="str">
        <f>IF(J1496&lt;&gt;1,"",IF(I1496="SBJ","CB","?"))</f>
        <v> </v>
      </c>
      <c r="I1496" s="25" t="str">
        <f>IF(OR(E1496="",E1496="!!!",F1496="NEW"),"",INDEX(B1495:B$2,-1+SUMPRODUCT(MAX(ROW(E1495:E$2)*(E1496=E1495:E$2)))))</f>
        <v> </v>
      </c>
      <c r="J1496" s="25" t="str">
        <f>IF(OR(E1496="",E1496="!!!",F1496="NEW"),"",COUNTBLANK(OFFSET(A$1,,,SUMPRODUCT(MAX(ROW(E$2:E1496)*(E1496=E$2:E1496)))))-COUNTBLANK(OFFSET(A$1,,,SUMPRODUCT(MAX(ROW(E$1:E1495)*(E2=E$1:E1495))))))</f>
        <v> </v>
      </c>
      <c r="K1496" s="25" t="str">
        <f>IF(OR(E1496="",E1496="!!!",F1496="NEW"),"",INDEX(J$1:J1495,SUMPRODUCT(MAX(ROW(E$1:E1495)*(E1496=E$1:E1495)))))</f>
        <v> </v>
      </c>
      <c r="L1496" s="26"/>
    </row>
    <row r="1497" spans="1:12">
      <c r="A1497" s="20" t="s">
        <v>1899</v>
      </c>
      <c r="E1497" s="21">
        <f>IF(D1497="?OLD","!!!","")</f>
        <v/>
      </c>
      <c r="F1497" s="22" t="str">
        <f>IF(OR(E1497="",E1497="!!!"),"",IF(NOT(ISNA(VLOOKUP(E1497,E$1:E1496,1,FALSE()))),"OLD",IF(AND(E1497&lt;&gt;"",E1497&lt;&gt;"!!!"),"NEW","")))</f>
        <v> </v>
      </c>
      <c r="G1497" s="23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> </v>
      </c>
      <c r="H1497" s="24" t="str">
        <f>IF(J1497&lt;&gt;1,"",IF(I1497="SBJ","CB","?"))</f>
        <v> </v>
      </c>
      <c r="I1497" s="25" t="str">
        <f>IF(OR(E1497="",E1497="!!!",F1497="NEW"),"",INDEX(B1496:B$2,-1+SUMPRODUCT(MAX(ROW(E1496:E$2)*(E1497=E1496:E$2)))))</f>
        <v> </v>
      </c>
      <c r="J1497" s="25" t="str">
        <f>IF(OR(E1497="",E1497="!!!",F1497="NEW"),"",COUNTBLANK(OFFSET(A$1,,,SUMPRODUCT(MAX(ROW(E$2:E1497)*(E1497=E$2:E1497)))))-COUNTBLANK(OFFSET(A$1,,,SUMPRODUCT(MAX(ROW(E$1:E1496)*(E2=E$1:E1496))))))</f>
        <v> </v>
      </c>
      <c r="K1497" s="25" t="str">
        <f>IF(OR(E1497="",E1497="!!!",F1497="NEW"),"",INDEX(J$1:J1496,SUMPRODUCT(MAX(ROW(E$1:E1496)*(E1497=E$1:E1496)))))</f>
        <v> </v>
      </c>
      <c r="L1497" s="26"/>
    </row>
    <row r="1498" spans="1:12">
      <c r="A1498" s="20" t="s">
        <v>1184</v>
      </c>
      <c r="E1498" s="21">
        <f>IF(D1498="?OLD","!!!","")</f>
        <v/>
      </c>
      <c r="F1498" s="22" t="str">
        <f>IF(OR(E1498="",E1498="!!!"),"",IF(NOT(ISNA(VLOOKUP(E1498,E$1:E1497,1,FALSE()))),"OLD",IF(AND(E1498&lt;&gt;"",E1498&lt;&gt;"!!!"),"NEW","")))</f>
        <v> </v>
      </c>
      <c r="G1498" s="23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> </v>
      </c>
      <c r="H1498" s="24" t="str">
        <f>IF(J1498&lt;&gt;1,"",IF(I1498="SBJ","CB","?"))</f>
        <v> </v>
      </c>
      <c r="I1498" s="25" t="str">
        <f>IF(OR(E1498="",E1498="!!!",F1498="NEW"),"",INDEX(B1497:B$2,-1+SUMPRODUCT(MAX(ROW(E1497:E$2)*(E1498=E1497:E$2)))))</f>
        <v> </v>
      </c>
      <c r="J1498" s="25" t="str">
        <f>IF(OR(E1498="",E1498="!!!",F1498="NEW"),"",COUNTBLANK(OFFSET(A$1,,,SUMPRODUCT(MAX(ROW(E$2:E1498)*(E1498=E$2:E1498)))))-COUNTBLANK(OFFSET(A$1,,,SUMPRODUCT(MAX(ROW(E$1:E1497)*(E2=E$1:E1497))))))</f>
        <v> </v>
      </c>
      <c r="K1498" s="25" t="str">
        <f>IF(OR(E1498="",E1498="!!!",F1498="NEW"),"",INDEX(J$1:J1497,SUMPRODUCT(MAX(ROW(E$1:E1497)*(E1498=E$1:E1497)))))</f>
        <v> </v>
      </c>
      <c r="L1498" s="26"/>
    </row>
    <row r="1499" spans="1:12">
      <c r="A1499" s="20" t="s">
        <v>1900</v>
      </c>
      <c r="E1499" s="21">
        <f>IF(D1499="?OLD","!!!","")</f>
        <v/>
      </c>
      <c r="F1499" s="22" t="str">
        <f>IF(OR(E1499="",E1499="!!!"),"",IF(NOT(ISNA(VLOOKUP(E1499,E$1:E1498,1,FALSE()))),"OLD",IF(AND(E1499&lt;&gt;"",E1499&lt;&gt;"!!!"),"NEW","")))</f>
        <v> </v>
      </c>
      <c r="G1499" s="23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> </v>
      </c>
      <c r="H1499" s="24" t="str">
        <f>IF(J1499&lt;&gt;1,"",IF(I1499="SBJ","CB","?"))</f>
        <v> </v>
      </c>
      <c r="I1499" s="25" t="str">
        <f>IF(OR(E1499="",E1499="!!!",F1499="NEW"),"",INDEX(B1498:B$2,-1+SUMPRODUCT(MAX(ROW(E1498:E$2)*(E1499=E1498:E$2)))))</f>
        <v> </v>
      </c>
      <c r="J1499" s="25" t="str">
        <f>IF(OR(E1499="",E1499="!!!",F1499="NEW"),"",COUNTBLANK(OFFSET(A$1,,,SUMPRODUCT(MAX(ROW(E$2:E1499)*(E1499=E$2:E1499)))))-COUNTBLANK(OFFSET(A$1,,,SUMPRODUCT(MAX(ROW(E$1:E1498)*(E2=E$1:E1498))))))</f>
        <v> </v>
      </c>
      <c r="K1499" s="25" t="str">
        <f>IF(OR(E1499="",E1499="!!!",F1499="NEW"),"",INDEX(J$1:J1498,SUMPRODUCT(MAX(ROW(E$1:E1498)*(E1499=E$1:E1498)))))</f>
        <v> </v>
      </c>
      <c r="L1499" s="26"/>
    </row>
    <row r="1500" spans="1:12">
      <c r="A1500" s="20" t="s">
        <v>1271</v>
      </c>
      <c r="E1500" s="21">
        <f>IF(D1500="?OLD","!!!","")</f>
        <v/>
      </c>
      <c r="F1500" s="22" t="str">
        <f>IF(OR(E1500="",E1500="!!!"),"",IF(NOT(ISNA(VLOOKUP(E1500,E$1:E1499,1,FALSE()))),"OLD",IF(AND(E1500&lt;&gt;"",E1500&lt;&gt;"!!!"),"NEW","")))</f>
        <v> </v>
      </c>
      <c r="G1500" s="23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> </v>
      </c>
      <c r="H1500" s="24" t="str">
        <f>IF(J1500&lt;&gt;1,"",IF(I1500="SBJ","CB","?"))</f>
        <v> </v>
      </c>
      <c r="I1500" s="25" t="str">
        <f>IF(OR(E1500="",E1500="!!!",F1500="NEW"),"",INDEX(B1499:B$2,-1+SUMPRODUCT(MAX(ROW(E1499:E$2)*(E1500=E1499:E$2)))))</f>
        <v> </v>
      </c>
      <c r="J1500" s="25" t="str">
        <f>IF(OR(E1500="",E1500="!!!",F1500="NEW"),"",COUNTBLANK(OFFSET(A$1,,,SUMPRODUCT(MAX(ROW(E$2:E1500)*(E1500=E$2:E1500)))))-COUNTBLANK(OFFSET(A$1,,,SUMPRODUCT(MAX(ROW(E$1:E1499)*(E2=E$1:E1499))))))</f>
        <v> </v>
      </c>
      <c r="K1500" s="25" t="str">
        <f>IF(OR(E1500="",E1500="!!!",F1500="NEW"),"",INDEX(J$1:J1499,SUMPRODUCT(MAX(ROW(E$1:E1499)*(E1500=E$1:E1499)))))</f>
        <v> </v>
      </c>
      <c r="L1500" s="26"/>
    </row>
    <row r="1501" spans="1:12">
      <c r="A1501" s="20" t="s">
        <v>1242</v>
      </c>
      <c r="B1501" s="27" t="s">
        <v>1110</v>
      </c>
      <c r="C1501" s="27" t="s">
        <v>1126</v>
      </c>
      <c r="D1501" s="27" t="s">
        <v>1105</v>
      </c>
      <c r="E1501" s="21">
        <f>IF(D1501="?OLD","!!!","")</f>
        <v/>
      </c>
      <c r="F1501" s="22" t="str">
        <f>IF(OR(E1501="",E1501="!!!"),"",IF(NOT(ISNA(VLOOKUP(E1501,E$1:E1500,1,FALSE()))),"OLD",IF(AND(E1501&lt;&gt;"",E1501&lt;&gt;"!!!"),"NEW","")))</f>
        <v> </v>
      </c>
      <c r="G1501" s="23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> </v>
      </c>
      <c r="H1501" s="24" t="str">
        <f>IF(J1501&lt;&gt;1,"",IF(I1501="SBJ","CB","?"))</f>
        <v> </v>
      </c>
      <c r="I1501" s="25" t="str">
        <f>IF(OR(E1501="",E1501="!!!",F1501="NEW"),"",INDEX(B1500:B$2,-1+SUMPRODUCT(MAX(ROW(E1500:E$2)*(E1501=E1500:E$2)))))</f>
        <v> </v>
      </c>
      <c r="J1501" s="25" t="str">
        <f>IF(OR(E1501="",E1501="!!!",F1501="NEW"),"",COUNTBLANK(OFFSET(A$1,,,SUMPRODUCT(MAX(ROW(E$2:E1501)*(E1501=E$2:E1501)))))-COUNTBLANK(OFFSET(A$1,,,SUMPRODUCT(MAX(ROW(E$1:E1500)*(E2=E$1:E1500))))))</f>
        <v> </v>
      </c>
      <c r="K1501" s="25" t="str">
        <f>IF(OR(E1501="",E1501="!!!",F1501="NEW"),"",INDEX(J$1:J1500,SUMPRODUCT(MAX(ROW(E$1:E1500)*(E1501=E$1:E1500)))))</f>
        <v> </v>
      </c>
      <c r="L1501" s="26"/>
    </row>
    <row r="1502" spans="1:12">
      <c r="A1502" s="20" t="s">
        <v>1901</v>
      </c>
      <c r="E1502" s="21">
        <f>IF(D1502="?OLD","!!!","")</f>
        <v/>
      </c>
      <c r="F1502" s="22" t="str">
        <f>IF(OR(E1502="",E1502="!!!"),"",IF(NOT(ISNA(VLOOKUP(E1502,E$1:E1501,1,FALSE()))),"OLD",IF(AND(E1502&lt;&gt;"",E1502&lt;&gt;"!!!"),"NEW","")))</f>
        <v> </v>
      </c>
      <c r="G1502" s="23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> </v>
      </c>
      <c r="H1502" s="24" t="str">
        <f>IF(J1502&lt;&gt;1,"",IF(I1502="SBJ","CB","?"))</f>
        <v> </v>
      </c>
      <c r="I1502" s="25" t="str">
        <f>IF(OR(E1502="",E1502="!!!",F1502="NEW"),"",INDEX(B1501:B$2,-1+SUMPRODUCT(MAX(ROW(E1501:E$2)*(E1502=E1501:E$2)))))</f>
        <v> </v>
      </c>
      <c r="J1502" s="25" t="str">
        <f>IF(OR(E1502="",E1502="!!!",F1502="NEW"),"",COUNTBLANK(OFFSET(A$1,,,SUMPRODUCT(MAX(ROW(E$2:E1502)*(E1502=E$2:E1502)))))-COUNTBLANK(OFFSET(A$1,,,SUMPRODUCT(MAX(ROW(E$1:E1501)*(E2=E$1:E1501))))))</f>
        <v> </v>
      </c>
      <c r="K1502" s="25" t="str">
        <f>IF(OR(E1502="",E1502="!!!",F1502="NEW"),"",INDEX(J$1:J1501,SUMPRODUCT(MAX(ROW(E$1:E1501)*(E1502=E$1:E1501)))))</f>
        <v> </v>
      </c>
      <c r="L1502" s="26"/>
    </row>
    <row r="1503" spans="1:12">
      <c r="A1503" s="20" t="s">
        <v>1902</v>
      </c>
      <c r="E1503" s="21">
        <f>IF(D1503="?OLD","!!!","")</f>
        <v/>
      </c>
      <c r="F1503" s="22" t="str">
        <f>IF(OR(E1503="",E1503="!!!"),"",IF(NOT(ISNA(VLOOKUP(E1503,E$1:E1502,1,FALSE()))),"OLD",IF(AND(E1503&lt;&gt;"",E1503&lt;&gt;"!!!"),"NEW","")))</f>
        <v> </v>
      </c>
      <c r="G1503" s="23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> </v>
      </c>
      <c r="H1503" s="24" t="str">
        <f>IF(J1503&lt;&gt;1,"",IF(I1503="SBJ","CB","?"))</f>
        <v> </v>
      </c>
      <c r="I1503" s="25" t="str">
        <f>IF(OR(E1503="",E1503="!!!",F1503="NEW"),"",INDEX(B1502:B$2,-1+SUMPRODUCT(MAX(ROW(E1502:E$2)*(E1503=E1502:E$2)))))</f>
        <v> </v>
      </c>
      <c r="J1503" s="25" t="str">
        <f>IF(OR(E1503="",E1503="!!!",F1503="NEW"),"",COUNTBLANK(OFFSET(A$1,,,SUMPRODUCT(MAX(ROW(E$2:E1503)*(E1503=E$2:E1503)))))-COUNTBLANK(OFFSET(A$1,,,SUMPRODUCT(MAX(ROW(E$1:E1502)*(E2=E$1:E1502))))))</f>
        <v> </v>
      </c>
      <c r="K1503" s="25" t="str">
        <f>IF(OR(E1503="",E1503="!!!",F1503="NEW"),"",INDEX(J$1:J1502,SUMPRODUCT(MAX(ROW(E$1:E1502)*(E1503=E$1:E1502)))))</f>
        <v> </v>
      </c>
      <c r="L1503" s="26"/>
    </row>
    <row r="1504" spans="1:12">
      <c r="A1504" s="20" t="s">
        <v>1668</v>
      </c>
      <c r="E1504" s="21">
        <f>IF(D1504="?OLD","!!!","")</f>
        <v/>
      </c>
      <c r="F1504" s="22" t="str">
        <f>IF(OR(E1504="",E1504="!!!"),"",IF(NOT(ISNA(VLOOKUP(E1504,E$1:E1503,1,FALSE()))),"OLD",IF(AND(E1504&lt;&gt;"",E1504&lt;&gt;"!!!"),"NEW","")))</f>
        <v> </v>
      </c>
      <c r="G1504" s="23" t="str">
        <f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> </v>
      </c>
      <c r="H1504" s="24" t="str">
        <f>IF(J1504&lt;&gt;1,"",IF(I1504="SBJ","CB","?"))</f>
        <v> </v>
      </c>
      <c r="I1504" s="25" t="str">
        <f>IF(OR(E1504="",E1504="!!!",F1504="NEW"),"",INDEX(B1503:B$2,-1+SUMPRODUCT(MAX(ROW(E1503:E$2)*(E1504=E1503:E$2)))))</f>
        <v> </v>
      </c>
      <c r="J1504" s="25" t="str">
        <f>IF(OR(E1504="",E1504="!!!",F1504="NEW"),"",COUNTBLANK(OFFSET(A$1,,,SUMPRODUCT(MAX(ROW(E$2:E1504)*(E1504=E$2:E1504)))))-COUNTBLANK(OFFSET(A$1,,,SUMPRODUCT(MAX(ROW(E$1:E1503)*(E2=E$1:E1503))))))</f>
        <v> </v>
      </c>
      <c r="K1504" s="25" t="str">
        <f>IF(OR(E1504="",E1504="!!!",F1504="NEW"),"",INDEX(J$1:J1503,SUMPRODUCT(MAX(ROW(E$1:E1503)*(E1504=E$1:E1503)))))</f>
        <v> </v>
      </c>
      <c r="L1504" s="26"/>
    </row>
    <row r="1505" spans="1:12">
      <c r="A1505" s="20" t="s">
        <v>1145</v>
      </c>
      <c r="E1505" s="21">
        <f>IF(D1505="?OLD","!!!","")</f>
        <v/>
      </c>
      <c r="F1505" s="22" t="str">
        <f>IF(OR(E1505="",E1505="!!!"),"",IF(NOT(ISNA(VLOOKUP(E1505,E$1:E1504,1,FALSE()))),"OLD",IF(AND(E1505&lt;&gt;"",E1505&lt;&gt;"!!!"),"NEW","")))</f>
        <v> </v>
      </c>
      <c r="G1505" s="23" t="str">
        <f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> </v>
      </c>
      <c r="H1505" s="24" t="str">
        <f>IF(J1505&lt;&gt;1,"",IF(I1505="SBJ","CB","?"))</f>
        <v> </v>
      </c>
      <c r="I1505" s="25" t="str">
        <f>IF(OR(E1505="",E1505="!!!",F1505="NEW"),"",INDEX(B1504:B$2,-1+SUMPRODUCT(MAX(ROW(E1504:E$2)*(E1505=E1504:E$2)))))</f>
        <v> </v>
      </c>
      <c r="J1505" s="25" t="str">
        <f>IF(OR(E1505="",E1505="!!!",F1505="NEW"),"",COUNTBLANK(OFFSET(A$1,,,SUMPRODUCT(MAX(ROW(E$2:E1505)*(E1505=E$2:E1505)))))-COUNTBLANK(OFFSET(A$1,,,SUMPRODUCT(MAX(ROW(E$1:E1504)*(E2=E$1:E1504))))))</f>
        <v> </v>
      </c>
      <c r="K1505" s="25" t="str">
        <f>IF(OR(E1505="",E1505="!!!",F1505="NEW"),"",INDEX(J$1:J1504,SUMPRODUCT(MAX(ROW(E$1:E1504)*(E1505=E$1:E1504)))))</f>
        <v> </v>
      </c>
      <c r="L1505" s="26"/>
    </row>
    <row r="1506" spans="1:12">
      <c r="A1506" s="20"/>
    </row>
    <row r="1507" spans="1:12">
      <c r="A1507" s="20" t="s">
        <v>1903</v>
      </c>
    </row>
    <row r="1508" spans="1:12">
      <c r="A1508" s="20" t="s">
        <v>1568</v>
      </c>
      <c r="B1508" s="27" t="s">
        <v>1149</v>
      </c>
      <c r="C1508" s="27" t="s">
        <v>1210</v>
      </c>
      <c r="E1508" s="21">
        <f>IF(D1508="?OLD","!!!","")</f>
        <v/>
      </c>
      <c r="F1508" s="22" t="str">
        <f>IF(OR(E1508="",E1508="!!!"),"",IF(NOT(ISNA(VLOOKUP(E1508,E$1:E1507,1,FALSE()))),"OLD",IF(AND(E1508&lt;&gt;"",E1508&lt;&gt;"!!!"),"NEW","")))</f>
        <v> </v>
      </c>
      <c r="G1508" s="23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> </v>
      </c>
      <c r="H1508" s="24" t="str">
        <f>IF(J1508&lt;&gt;1,"",IF(I1508="SBJ","CB","?"))</f>
        <v> </v>
      </c>
      <c r="I1508" s="25" t="str">
        <f>IF(OR(E1508="",E1508="!!!",F1508="NEW"),"",INDEX(B1507:B$2,-1+SUMPRODUCT(MAX(ROW(E1507:E$2)*(E1508=E1507:E$2)))))</f>
        <v> </v>
      </c>
      <c r="J1508" s="25" t="str">
        <f>IF(OR(E1508="",E1508="!!!",F1508="NEW"),"",COUNTBLANK(OFFSET(A$1,,,SUMPRODUCT(MAX(ROW(E$2:E1508)*(E1508=E$2:E1508)))))-COUNTBLANK(OFFSET(A$1,,,SUMPRODUCT(MAX(ROW(E$1:E1507)*(E2=E$1:E1507))))))</f>
        <v> </v>
      </c>
      <c r="K1508" s="25" t="str">
        <f>IF(OR(E1508="",E1508="!!!",F1508="NEW"),"",INDEX(J$1:J1507,SUMPRODUCT(MAX(ROW(E$1:E1507)*(E1508=E$1:E1507)))))</f>
        <v> </v>
      </c>
      <c r="L1508" s="26"/>
    </row>
    <row r="1509" spans="1:12">
      <c r="A1509" s="20" t="s">
        <v>1206</v>
      </c>
      <c r="E1509" s="21">
        <f>IF(D1509="?OLD","!!!","")</f>
        <v/>
      </c>
      <c r="F1509" s="22" t="str">
        <f>IF(OR(E1509="",E1509="!!!"),"",IF(NOT(ISNA(VLOOKUP(E1509,E$1:E1508,1,FALSE()))),"OLD",IF(AND(E1509&lt;&gt;"",E1509&lt;&gt;"!!!"),"NEW","")))</f>
        <v> </v>
      </c>
      <c r="G1509" s="23" t="str">
        <f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> </v>
      </c>
      <c r="H1509" s="24" t="str">
        <f>IF(J1509&lt;&gt;1,"",IF(I1509="SBJ","CB","?"))</f>
        <v> </v>
      </c>
      <c r="I1509" s="25" t="str">
        <f>IF(OR(E1509="",E1509="!!!",F1509="NEW"),"",INDEX(B1508:B$2,-1+SUMPRODUCT(MAX(ROW(E1508:E$2)*(E1509=E1508:E$2)))))</f>
        <v> </v>
      </c>
      <c r="J1509" s="25" t="str">
        <f>IF(OR(E1509="",E1509="!!!",F1509="NEW"),"",COUNTBLANK(OFFSET(A$1,,,SUMPRODUCT(MAX(ROW(E$2:E1509)*(E1509=E$2:E1509)))))-COUNTBLANK(OFFSET(A$1,,,SUMPRODUCT(MAX(ROW(E$1:E1508)*(E2=E$1:E1508))))))</f>
        <v> </v>
      </c>
      <c r="K1509" s="25" t="str">
        <f>IF(OR(E1509="",E1509="!!!",F1509="NEW"),"",INDEX(J$1:J1508,SUMPRODUCT(MAX(ROW(E$1:E1508)*(E1509=E$1:E1508)))))</f>
        <v> </v>
      </c>
      <c r="L1509" s="26"/>
    </row>
    <row r="1510" spans="1:12">
      <c r="A1510" s="20" t="s">
        <v>1569</v>
      </c>
      <c r="E1510" s="21">
        <f>IF(D1510="?OLD","!!!","")</f>
        <v/>
      </c>
      <c r="F1510" s="22" t="str">
        <f>IF(OR(E1510="",E1510="!!!"),"",IF(NOT(ISNA(VLOOKUP(E1510,E$1:E1509,1,FALSE()))),"OLD",IF(AND(E1510&lt;&gt;"",E1510&lt;&gt;"!!!"),"NEW","")))</f>
        <v> </v>
      </c>
      <c r="G1510" s="23" t="str">
        <f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> </v>
      </c>
      <c r="H1510" s="24" t="str">
        <f>IF(J1510&lt;&gt;1,"",IF(I1510="SBJ","CB","?"))</f>
        <v> </v>
      </c>
      <c r="I1510" s="25" t="str">
        <f>IF(OR(E1510="",E1510="!!!",F1510="NEW"),"",INDEX(B1509:B$2,-1+SUMPRODUCT(MAX(ROW(E1509:E$2)*(E1510=E1509:E$2)))))</f>
        <v> </v>
      </c>
      <c r="J1510" s="25" t="str">
        <f>IF(OR(E1510="",E1510="!!!",F1510="NEW"),"",COUNTBLANK(OFFSET(A$1,,,SUMPRODUCT(MAX(ROW(E$2:E1510)*(E1510=E$2:E1510)))))-COUNTBLANK(OFFSET(A$1,,,SUMPRODUCT(MAX(ROW(E$1:E1509)*(E2=E$1:E1509))))))</f>
        <v> </v>
      </c>
      <c r="K1510" s="25" t="str">
        <f>IF(OR(E1510="",E1510="!!!",F1510="NEW"),"",INDEX(J$1:J1509,SUMPRODUCT(MAX(ROW(E$1:E1509)*(E1510=E$1:E1509)))))</f>
        <v> </v>
      </c>
      <c r="L1510" s="26"/>
    </row>
    <row r="1511" spans="1:12">
      <c r="A1511" s="20" t="s">
        <v>1123</v>
      </c>
      <c r="E1511" s="21">
        <f>IF(D1511="?OLD","!!!","")</f>
        <v/>
      </c>
      <c r="F1511" s="22" t="str">
        <f>IF(OR(E1511="",E1511="!!!"),"",IF(NOT(ISNA(VLOOKUP(E1511,E$1:E1510,1,FALSE()))),"OLD",IF(AND(E1511&lt;&gt;"",E1511&lt;&gt;"!!!"),"NEW","")))</f>
        <v> </v>
      </c>
      <c r="G1511" s="23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> </v>
      </c>
      <c r="H1511" s="24" t="str">
        <f>IF(J1511&lt;&gt;1,"",IF(I1511="SBJ","CB","?"))</f>
        <v> </v>
      </c>
      <c r="I1511" s="25" t="str">
        <f>IF(OR(E1511="",E1511="!!!",F1511="NEW"),"",INDEX(B1510:B$2,-1+SUMPRODUCT(MAX(ROW(E1510:E$2)*(E1511=E1510:E$2)))))</f>
        <v> </v>
      </c>
      <c r="J1511" s="25" t="str">
        <f>IF(OR(E1511="",E1511="!!!",F1511="NEW"),"",COUNTBLANK(OFFSET(A$1,,,SUMPRODUCT(MAX(ROW(E$2:E1511)*(E1511=E$2:E1511)))))-COUNTBLANK(OFFSET(A$1,,,SUMPRODUCT(MAX(ROW(E$1:E1510)*(E2=E$1:E1510))))))</f>
        <v> </v>
      </c>
      <c r="K1511" s="25" t="str">
        <f>IF(OR(E1511="",E1511="!!!",F1511="NEW"),"",INDEX(J$1:J1510,SUMPRODUCT(MAX(ROW(E$1:E1510)*(E1511=E$1:E1510)))))</f>
        <v> </v>
      </c>
      <c r="L1511" s="26"/>
    </row>
    <row r="1512" spans="1:12">
      <c r="A1512" s="20" t="s">
        <v>1128</v>
      </c>
      <c r="E1512" s="21">
        <f>IF(D1512="?OLD","!!!","")</f>
        <v/>
      </c>
      <c r="F1512" s="22" t="str">
        <f>IF(OR(E1512="",E1512="!!!"),"",IF(NOT(ISNA(VLOOKUP(E1512,E$1:E1511,1,FALSE()))),"OLD",IF(AND(E1512&lt;&gt;"",E1512&lt;&gt;"!!!"),"NEW","")))</f>
        <v> </v>
      </c>
      <c r="G1512" s="23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> </v>
      </c>
      <c r="H1512" s="24" t="str">
        <f>IF(J1512&lt;&gt;1,"",IF(I1512="SBJ","CB","?"))</f>
        <v> </v>
      </c>
      <c r="I1512" s="25" t="str">
        <f>IF(OR(E1512="",E1512="!!!",F1512="NEW"),"",INDEX(B1511:B$2,-1+SUMPRODUCT(MAX(ROW(E1511:E$2)*(E1512=E1511:E$2)))))</f>
        <v> </v>
      </c>
      <c r="J1512" s="25" t="str">
        <f>IF(OR(E1512="",E1512="!!!",F1512="NEW"),"",COUNTBLANK(OFFSET(A$1,,,SUMPRODUCT(MAX(ROW(E$2:E1512)*(E1512=E$2:E1512)))))-COUNTBLANK(OFFSET(A$1,,,SUMPRODUCT(MAX(ROW(E$1:E1511)*(E2=E$1:E1511))))))</f>
        <v> </v>
      </c>
      <c r="K1512" s="25" t="str">
        <f>IF(OR(E1512="",E1512="!!!",F1512="NEW"),"",INDEX(J$1:J1511,SUMPRODUCT(MAX(ROW(E$1:E1511)*(E1512=E$1:E1511)))))</f>
        <v> </v>
      </c>
      <c r="L1512" s="26"/>
    </row>
    <row r="1513" spans="1:12">
      <c r="A1513" s="20" t="s">
        <v>396</v>
      </c>
      <c r="E1513" s="21">
        <f>IF(D1513="?OLD","!!!","")</f>
        <v/>
      </c>
      <c r="F1513" s="22" t="str">
        <f>IF(OR(E1513="",E1513="!!!"),"",IF(NOT(ISNA(VLOOKUP(E1513,E$1:E1512,1,FALSE()))),"OLD",IF(AND(E1513&lt;&gt;"",E1513&lt;&gt;"!!!"),"NEW","")))</f>
        <v> </v>
      </c>
      <c r="G1513" s="23" t="str">
        <f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> </v>
      </c>
      <c r="H1513" s="24" t="str">
        <f>IF(J1513&lt;&gt;1,"",IF(I1513="SBJ","CB","?"))</f>
        <v> </v>
      </c>
      <c r="I1513" s="25" t="str">
        <f>IF(OR(E1513="",E1513="!!!",F1513="NEW"),"",INDEX(B1512:B$2,-1+SUMPRODUCT(MAX(ROW(E1512:E$2)*(E1513=E1512:E$2)))))</f>
        <v> </v>
      </c>
      <c r="J1513" s="25" t="str">
        <f>IF(OR(E1513="",E1513="!!!",F1513="NEW"),"",COUNTBLANK(OFFSET(A$1,,,SUMPRODUCT(MAX(ROW(E$2:E1513)*(E1513=E$2:E1513)))))-COUNTBLANK(OFFSET(A$1,,,SUMPRODUCT(MAX(ROW(E$1:E1512)*(E2=E$1:E1512))))))</f>
        <v> </v>
      </c>
      <c r="K1513" s="25" t="str">
        <f>IF(OR(E1513="",E1513="!!!",F1513="NEW"),"",INDEX(J$1:J1512,SUMPRODUCT(MAX(ROW(E$1:E1512)*(E1513=E$1:E1512)))))</f>
        <v> </v>
      </c>
      <c r="L1513" s="26"/>
    </row>
    <row r="1514" spans="1:12">
      <c r="A1514" s="20" t="s">
        <v>1101</v>
      </c>
      <c r="E1514" s="21">
        <f>IF(D1514="?OLD","!!!","")</f>
        <v/>
      </c>
      <c r="F1514" s="22" t="str">
        <f>IF(OR(E1514="",E1514="!!!"),"",IF(NOT(ISNA(VLOOKUP(E1514,E$1:E1513,1,FALSE()))),"OLD",IF(AND(E1514&lt;&gt;"",E1514&lt;&gt;"!!!"),"NEW","")))</f>
        <v> </v>
      </c>
      <c r="G1514" s="23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> </v>
      </c>
      <c r="H1514" s="24" t="str">
        <f>IF(J1514&lt;&gt;1,"",IF(I1514="SBJ","CB","?"))</f>
        <v> </v>
      </c>
      <c r="I1514" s="25" t="str">
        <f>IF(OR(E1514="",E1514="!!!",F1514="NEW"),"",INDEX(B1513:B$2,-1+SUMPRODUCT(MAX(ROW(E1513:E$2)*(E1514=E1513:E$2)))))</f>
        <v> </v>
      </c>
      <c r="J1514" s="25" t="str">
        <f>IF(OR(E1514="",E1514="!!!",F1514="NEW"),"",COUNTBLANK(OFFSET(A$1,,,SUMPRODUCT(MAX(ROW(E$2:E1514)*(E1514=E$2:E1514)))))-COUNTBLANK(OFFSET(A$1,,,SUMPRODUCT(MAX(ROW(E$1:E1513)*(E2=E$1:E1513))))))</f>
        <v> </v>
      </c>
      <c r="K1514" s="25" t="str">
        <f>IF(OR(E1514="",E1514="!!!",F1514="NEW"),"",INDEX(J$1:J1513,SUMPRODUCT(MAX(ROW(E$1:E1513)*(E1514=E$1:E1513)))))</f>
        <v> </v>
      </c>
      <c r="L1514" s="26"/>
    </row>
    <row r="1515" spans="1:12">
      <c r="A1515" s="20" t="s">
        <v>1904</v>
      </c>
      <c r="E1515" s="21">
        <f>IF(D1515="?OLD","!!!","")</f>
        <v/>
      </c>
      <c r="F1515" s="22" t="str">
        <f>IF(OR(E1515="",E1515="!!!"),"",IF(NOT(ISNA(VLOOKUP(E1515,E$1:E1514,1,FALSE()))),"OLD",IF(AND(E1515&lt;&gt;"",E1515&lt;&gt;"!!!"),"NEW","")))</f>
        <v> </v>
      </c>
      <c r="G1515" s="23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> </v>
      </c>
      <c r="H1515" s="24" t="str">
        <f>IF(J1515&lt;&gt;1,"",IF(I1515="SBJ","CB","?"))</f>
        <v> </v>
      </c>
      <c r="I1515" s="25" t="str">
        <f>IF(OR(E1515="",E1515="!!!",F1515="NEW"),"",INDEX(B1514:B$2,-1+SUMPRODUCT(MAX(ROW(E1514:E$2)*(E1515=E1514:E$2)))))</f>
        <v> </v>
      </c>
      <c r="J1515" s="25" t="str">
        <f>IF(OR(E1515="",E1515="!!!",F1515="NEW"),"",COUNTBLANK(OFFSET(A$1,,,SUMPRODUCT(MAX(ROW(E$2:E1515)*(E1515=E$2:E1515)))))-COUNTBLANK(OFFSET(A$1,,,SUMPRODUCT(MAX(ROW(E$1:E1514)*(E2=E$1:E1514))))))</f>
        <v> </v>
      </c>
      <c r="K1515" s="25" t="str">
        <f>IF(OR(E1515="",E1515="!!!",F1515="NEW"),"",INDEX(J$1:J1514,SUMPRODUCT(MAX(ROW(E$1:E1514)*(E1515=E$1:E1514)))))</f>
        <v> </v>
      </c>
      <c r="L1515" s="26"/>
    </row>
    <row r="1516" spans="1:12">
      <c r="A1516" s="20" t="s">
        <v>1123</v>
      </c>
      <c r="E1516" s="21">
        <f>IF(D1516="?OLD","!!!","")</f>
        <v/>
      </c>
      <c r="F1516" s="22" t="str">
        <f>IF(OR(E1516="",E1516="!!!"),"",IF(NOT(ISNA(VLOOKUP(E1516,E$1:E1515,1,FALSE()))),"OLD",IF(AND(E1516&lt;&gt;"",E1516&lt;&gt;"!!!"),"NEW","")))</f>
        <v> </v>
      </c>
      <c r="G1516" s="23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> </v>
      </c>
      <c r="H1516" s="24" t="str">
        <f>IF(J1516&lt;&gt;1,"",IF(I1516="SBJ","CB","?"))</f>
        <v> </v>
      </c>
      <c r="I1516" s="25" t="str">
        <f>IF(OR(E1516="",E1516="!!!",F1516="NEW"),"",INDEX(B1515:B$2,-1+SUMPRODUCT(MAX(ROW(E1515:E$2)*(E1516=E1515:E$2)))))</f>
        <v> </v>
      </c>
      <c r="J1516" s="25" t="str">
        <f>IF(OR(E1516="",E1516="!!!",F1516="NEW"),"",COUNTBLANK(OFFSET(A$1,,,SUMPRODUCT(MAX(ROW(E$2:E1516)*(E1516=E$2:E1516)))))-COUNTBLANK(OFFSET(A$1,,,SUMPRODUCT(MAX(ROW(E$1:E1515)*(E2=E$1:E1515))))))</f>
        <v> </v>
      </c>
      <c r="K1516" s="25" t="str">
        <f>IF(OR(E1516="",E1516="!!!",F1516="NEW"),"",INDEX(J$1:J1515,SUMPRODUCT(MAX(ROW(E$1:E1515)*(E1516=E$1:E1515)))))</f>
        <v> </v>
      </c>
      <c r="L1516" s="26"/>
    </row>
    <row r="1517" spans="1:12">
      <c r="A1517" s="20" t="s">
        <v>1654</v>
      </c>
      <c r="E1517" s="21">
        <f>IF(D1517="?OLD","!!!","")</f>
        <v/>
      </c>
      <c r="F1517" s="22" t="str">
        <f>IF(OR(E1517="",E1517="!!!"),"",IF(NOT(ISNA(VLOOKUP(E1517,E$1:E1516,1,FALSE()))),"OLD",IF(AND(E1517&lt;&gt;"",E1517&lt;&gt;"!!!"),"NEW","")))</f>
        <v> </v>
      </c>
      <c r="G1517" s="23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> </v>
      </c>
      <c r="H1517" s="24" t="str">
        <f>IF(J1517&lt;&gt;1,"",IF(I1517="SBJ","CB","?"))</f>
        <v> </v>
      </c>
      <c r="I1517" s="25" t="str">
        <f>IF(OR(E1517="",E1517="!!!",F1517="NEW"),"",INDEX(B1516:B$2,-1+SUMPRODUCT(MAX(ROW(E1516:E$2)*(E1517=E1516:E$2)))))</f>
        <v> </v>
      </c>
      <c r="J1517" s="25" t="str">
        <f>IF(OR(E1517="",E1517="!!!",F1517="NEW"),"",COUNTBLANK(OFFSET(A$1,,,SUMPRODUCT(MAX(ROW(E$2:E1517)*(E1517=E$2:E1517)))))-COUNTBLANK(OFFSET(A$1,,,SUMPRODUCT(MAX(ROW(E$1:E1516)*(E2=E$1:E1516))))))</f>
        <v> </v>
      </c>
      <c r="K1517" s="25" t="str">
        <f>IF(OR(E1517="",E1517="!!!",F1517="NEW"),"",INDEX(J$1:J1516,SUMPRODUCT(MAX(ROW(E$1:E1516)*(E1517=E$1:E1516)))))</f>
        <v> </v>
      </c>
      <c r="L1517" s="26"/>
    </row>
    <row r="1518" spans="1:12">
      <c r="A1518" s="20" t="s">
        <v>1905</v>
      </c>
      <c r="E1518" s="21">
        <f>IF(D1518="?OLD","!!!","")</f>
        <v/>
      </c>
      <c r="F1518" s="22" t="str">
        <f>IF(OR(E1518="",E1518="!!!"),"",IF(NOT(ISNA(VLOOKUP(E1518,E$1:E1517,1,FALSE()))),"OLD",IF(AND(E1518&lt;&gt;"",E1518&lt;&gt;"!!!"),"NEW","")))</f>
        <v> </v>
      </c>
      <c r="G1518" s="23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> </v>
      </c>
      <c r="H1518" s="24" t="str">
        <f>IF(J1518&lt;&gt;1,"",IF(I1518="SBJ","CB","?"))</f>
        <v> </v>
      </c>
      <c r="I1518" s="25" t="str">
        <f>IF(OR(E1518="",E1518="!!!",F1518="NEW"),"",INDEX(B1517:B$2,-1+SUMPRODUCT(MAX(ROW(E1517:E$2)*(E1518=E1517:E$2)))))</f>
        <v> </v>
      </c>
      <c r="J1518" s="25" t="str">
        <f>IF(OR(E1518="",E1518="!!!",F1518="NEW"),"",COUNTBLANK(OFFSET(A$1,,,SUMPRODUCT(MAX(ROW(E$2:E1518)*(E1518=E$2:E1518)))))-COUNTBLANK(OFFSET(A$1,,,SUMPRODUCT(MAX(ROW(E$1:E1517)*(E2=E$1:E1517))))))</f>
        <v> </v>
      </c>
      <c r="K1518" s="25" t="str">
        <f>IF(OR(E1518="",E1518="!!!",F1518="NEW"),"",INDEX(J$1:J1517,SUMPRODUCT(MAX(ROW(E$1:E1517)*(E1518=E$1:E1517)))))</f>
        <v> </v>
      </c>
      <c r="L1518" s="26"/>
    </row>
    <row r="1519" spans="1:12">
      <c r="A1519" s="20" t="s">
        <v>1721</v>
      </c>
      <c r="E1519" s="21">
        <f>IF(D1519="?OLD","!!!","")</f>
        <v/>
      </c>
      <c r="F1519" s="22" t="str">
        <f>IF(OR(E1519="",E1519="!!!"),"",IF(NOT(ISNA(VLOOKUP(E1519,E$1:E1518,1,FALSE()))),"OLD",IF(AND(E1519&lt;&gt;"",E1519&lt;&gt;"!!!"),"NEW","")))</f>
        <v> </v>
      </c>
      <c r="G1519" s="23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> </v>
      </c>
      <c r="H1519" s="24" t="str">
        <f>IF(J1519&lt;&gt;1,"",IF(I1519="SBJ","CB","?"))</f>
        <v> </v>
      </c>
      <c r="I1519" s="25" t="str">
        <f>IF(OR(E1519="",E1519="!!!",F1519="NEW"),"",INDEX(B1518:B$2,-1+SUMPRODUCT(MAX(ROW(E1518:E$2)*(E1519=E1518:E$2)))))</f>
        <v> </v>
      </c>
      <c r="J1519" s="25" t="str">
        <f>IF(OR(E1519="",E1519="!!!",F1519="NEW"),"",COUNTBLANK(OFFSET(A$1,,,SUMPRODUCT(MAX(ROW(E$2:E1519)*(E1519=E$2:E1519)))))-COUNTBLANK(OFFSET(A$1,,,SUMPRODUCT(MAX(ROW(E$1:E1518)*(E2=E$1:E1518))))))</f>
        <v> </v>
      </c>
      <c r="K1519" s="25" t="str">
        <f>IF(OR(E1519="",E1519="!!!",F1519="NEW"),"",INDEX(J$1:J1518,SUMPRODUCT(MAX(ROW(E$1:E1518)*(E1519=E$1:E1518)))))</f>
        <v> </v>
      </c>
      <c r="L1519" s="26"/>
    </row>
    <row r="1520" spans="1:12">
      <c r="A1520" s="20" t="s">
        <v>1906</v>
      </c>
      <c r="E1520" s="21">
        <f>IF(D1520="?OLD","!!!","")</f>
        <v/>
      </c>
      <c r="F1520" s="22" t="str">
        <f>IF(OR(E1520="",E1520="!!!"),"",IF(NOT(ISNA(VLOOKUP(E1520,E$1:E1519,1,FALSE()))),"OLD",IF(AND(E1520&lt;&gt;"",E1520&lt;&gt;"!!!"),"NEW","")))</f>
        <v> </v>
      </c>
      <c r="G1520" s="23" t="str">
        <f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> </v>
      </c>
      <c r="H1520" s="24" t="str">
        <f>IF(J1520&lt;&gt;1,"",IF(I1520="SBJ","CB","?"))</f>
        <v> </v>
      </c>
      <c r="I1520" s="25" t="str">
        <f>IF(OR(E1520="",E1520="!!!",F1520="NEW"),"",INDEX(B1519:B$2,-1+SUMPRODUCT(MAX(ROW(E1519:E$2)*(E1520=E1519:E$2)))))</f>
        <v> </v>
      </c>
      <c r="J1520" s="25" t="str">
        <f>IF(OR(E1520="",E1520="!!!",F1520="NEW"),"",COUNTBLANK(OFFSET(A$1,,,SUMPRODUCT(MAX(ROW(E$2:E1520)*(E1520=E$2:E1520)))))-COUNTBLANK(OFFSET(A$1,,,SUMPRODUCT(MAX(ROW(E$1:E1519)*(E2=E$1:E1519))))))</f>
        <v> </v>
      </c>
      <c r="K1520" s="25" t="str">
        <f>IF(OR(E1520="",E1520="!!!",F1520="NEW"),"",INDEX(J$1:J1519,SUMPRODUCT(MAX(ROW(E$1:E1519)*(E1520=E$1:E1519)))))</f>
        <v> </v>
      </c>
      <c r="L1520" s="26"/>
    </row>
    <row r="1521" spans="1:12">
      <c r="A1521" s="20" t="s">
        <v>1907</v>
      </c>
      <c r="B1521" s="27" t="s">
        <v>1144</v>
      </c>
      <c r="E1521" s="21">
        <f>IF(D1521="?OLD","!!!","")</f>
        <v/>
      </c>
      <c r="F1521" s="22" t="str">
        <f>IF(OR(E1521="",E1521="!!!"),"",IF(NOT(ISNA(VLOOKUP(E1521,E$1:E1520,1,FALSE()))),"OLD",IF(AND(E1521&lt;&gt;"",E1521&lt;&gt;"!!!"),"NEW","")))</f>
        <v> </v>
      </c>
      <c r="G1521" s="23" t="str">
        <f>IF(OR(E1521="",E1521="!!!"),"",IF(OR(J1521=0,AND(J1521=1,K1521=1),AND(J1521=1,I1521="SBJ"),AND(J1521=1,I1521=0)),"?IN_FOCUS",IF(J1521&lt;=2,"?ACTIVATED",IF(J1521&lt;&gt;"","?FAMILIAR",IF(F1521="NEW",IF(ISNA(VLOOKUP(E1521,#REF!,1,FALSE())),"?TYPE_IDENTIFIABLE","?REFERENTIAL"),"_")))))</f>
        <v> </v>
      </c>
      <c r="H1521" s="24" t="str">
        <f>IF(J1521&lt;&gt;1,"",IF(I1521="SBJ","CB","?"))</f>
        <v> </v>
      </c>
      <c r="I1521" s="25" t="str">
        <f>IF(OR(E1521="",E1521="!!!",F1521="NEW"),"",INDEX(B1520:B$2,-1+SUMPRODUCT(MAX(ROW(E1520:E$2)*(E1521=E1520:E$2)))))</f>
        <v> </v>
      </c>
      <c r="J1521" s="25" t="str">
        <f>IF(OR(E1521="",E1521="!!!",F1521="NEW"),"",COUNTBLANK(OFFSET(A$1,,,SUMPRODUCT(MAX(ROW(E$2:E1521)*(E1521=E$2:E1521)))))-COUNTBLANK(OFFSET(A$1,,,SUMPRODUCT(MAX(ROW(E$1:E1520)*(E2=E$1:E1520))))))</f>
        <v> </v>
      </c>
      <c r="K1521" s="25" t="str">
        <f>IF(OR(E1521="",E1521="!!!",F1521="NEW"),"",INDEX(J$1:J1520,SUMPRODUCT(MAX(ROW(E$1:E1520)*(E1521=E$1:E1520)))))</f>
        <v> </v>
      </c>
      <c r="L1521" s="26"/>
    </row>
    <row r="1522" spans="1:12">
      <c r="A1522" s="20" t="s">
        <v>1123</v>
      </c>
      <c r="E1522" s="21">
        <f>IF(D1522="?OLD","!!!","")</f>
        <v/>
      </c>
      <c r="F1522" s="22" t="str">
        <f>IF(OR(E1522="",E1522="!!!"),"",IF(NOT(ISNA(VLOOKUP(E1522,E$1:E1521,1,FALSE()))),"OLD",IF(AND(E1522&lt;&gt;"",E1522&lt;&gt;"!!!"),"NEW","")))</f>
        <v> </v>
      </c>
      <c r="G1522" s="23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> </v>
      </c>
      <c r="H1522" s="24" t="str">
        <f>IF(J1522&lt;&gt;1,"",IF(I1522="SBJ","CB","?"))</f>
        <v> </v>
      </c>
      <c r="I1522" s="25" t="str">
        <f>IF(OR(E1522="",E1522="!!!",F1522="NEW"),"",INDEX(B1521:B$2,-1+SUMPRODUCT(MAX(ROW(E1521:E$2)*(E1522=E1521:E$2)))))</f>
        <v> </v>
      </c>
      <c r="J1522" s="25" t="str">
        <f>IF(OR(E1522="",E1522="!!!",F1522="NEW"),"",COUNTBLANK(OFFSET(A$1,,,SUMPRODUCT(MAX(ROW(E$2:E1522)*(E1522=E$2:E1522)))))-COUNTBLANK(OFFSET(A$1,,,SUMPRODUCT(MAX(ROW(E$1:E1521)*(E2=E$1:E1521))))))</f>
        <v> </v>
      </c>
      <c r="K1522" s="25" t="str">
        <f>IF(OR(E1522="",E1522="!!!",F1522="NEW"),"",INDEX(J$1:J1521,SUMPRODUCT(MAX(ROW(E$1:E1521)*(E1522=E$1:E1521)))))</f>
        <v> </v>
      </c>
      <c r="L1522" s="26"/>
    </row>
    <row r="1523" spans="1:12">
      <c r="A1523" s="20" t="s">
        <v>1908</v>
      </c>
      <c r="E1523" s="21">
        <f>IF(D1523="?OLD","!!!","")</f>
        <v/>
      </c>
      <c r="F1523" s="22" t="str">
        <f>IF(OR(E1523="",E1523="!!!"),"",IF(NOT(ISNA(VLOOKUP(E1523,E$1:E1522,1,FALSE()))),"OLD",IF(AND(E1523&lt;&gt;"",E1523&lt;&gt;"!!!"),"NEW","")))</f>
        <v> </v>
      </c>
      <c r="G1523" s="23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> </v>
      </c>
      <c r="H1523" s="24" t="str">
        <f>IF(J1523&lt;&gt;1,"",IF(I1523="SBJ","CB","?"))</f>
        <v> </v>
      </c>
      <c r="I1523" s="25" t="str">
        <f>IF(OR(E1523="",E1523="!!!",F1523="NEW"),"",INDEX(B1522:B$2,-1+SUMPRODUCT(MAX(ROW(E1522:E$2)*(E1523=E1522:E$2)))))</f>
        <v> </v>
      </c>
      <c r="J1523" s="25" t="str">
        <f>IF(OR(E1523="",E1523="!!!",F1523="NEW"),"",COUNTBLANK(OFFSET(A$1,,,SUMPRODUCT(MAX(ROW(E$2:E1523)*(E1523=E$2:E1523)))))-COUNTBLANK(OFFSET(A$1,,,SUMPRODUCT(MAX(ROW(E$1:E1522)*(E2=E$1:E1522))))))</f>
        <v> </v>
      </c>
      <c r="K1523" s="25" t="str">
        <f>IF(OR(E1523="",E1523="!!!",F1523="NEW"),"",INDEX(J$1:J1522,SUMPRODUCT(MAX(ROW(E$1:E1522)*(E1523=E$1:E1522)))))</f>
        <v> </v>
      </c>
      <c r="L1523" s="26"/>
    </row>
    <row r="1524" spans="1:12">
      <c r="A1524" s="20" t="s">
        <v>1909</v>
      </c>
      <c r="B1524" s="27" t="s">
        <v>1122</v>
      </c>
      <c r="E1524" s="21">
        <f>IF(D1524="?OLD","!!!","")</f>
        <v/>
      </c>
      <c r="F1524" s="22" t="str">
        <f>IF(OR(E1524="",E1524="!!!"),"",IF(NOT(ISNA(VLOOKUP(E1524,E$1:E1523,1,FALSE()))),"OLD",IF(AND(E1524&lt;&gt;"",E1524&lt;&gt;"!!!"),"NEW","")))</f>
        <v> </v>
      </c>
      <c r="G1524" s="23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 </v>
      </c>
      <c r="H1524" s="24" t="str">
        <f>IF(J1524&lt;&gt;1,"",IF(I1524="SBJ","CB","?"))</f>
        <v> </v>
      </c>
      <c r="I1524" s="25" t="str">
        <f>IF(OR(E1524="",E1524="!!!",F1524="NEW"),"",INDEX(B1523:B$2,-1+SUMPRODUCT(MAX(ROW(E1523:E$2)*(E1524=E1523:E$2)))))</f>
        <v> </v>
      </c>
      <c r="J1524" s="25" t="str">
        <f>IF(OR(E1524="",E1524="!!!",F1524="NEW"),"",COUNTBLANK(OFFSET(A$1,,,SUMPRODUCT(MAX(ROW(E$2:E1524)*(E1524=E$2:E1524)))))-COUNTBLANK(OFFSET(A$1,,,SUMPRODUCT(MAX(ROW(E$1:E1523)*(E2=E$1:E1523))))))</f>
        <v> </v>
      </c>
      <c r="K1524" s="25" t="str">
        <f>IF(OR(E1524="",E1524="!!!",F1524="NEW"),"",INDEX(J$1:J1523,SUMPRODUCT(MAX(ROW(E$1:E1523)*(E1524=E$1:E1523)))))</f>
        <v> </v>
      </c>
      <c r="L1524" s="26"/>
    </row>
    <row r="1525" spans="1:12">
      <c r="A1525" s="20" t="s">
        <v>1123</v>
      </c>
      <c r="E1525" s="21">
        <f>IF(D1525="?OLD","!!!","")</f>
        <v/>
      </c>
      <c r="F1525" s="22" t="str">
        <f>IF(OR(E1525="",E1525="!!!"),"",IF(NOT(ISNA(VLOOKUP(E1525,E$1:E1524,1,FALSE()))),"OLD",IF(AND(E1525&lt;&gt;"",E1525&lt;&gt;"!!!"),"NEW","")))</f>
        <v> </v>
      </c>
      <c r="G1525" s="23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> </v>
      </c>
      <c r="H1525" s="24" t="str">
        <f>IF(J1525&lt;&gt;1,"",IF(I1525="SBJ","CB","?"))</f>
        <v> </v>
      </c>
      <c r="I1525" s="25" t="str">
        <f>IF(OR(E1525="",E1525="!!!",F1525="NEW"),"",INDEX(B1524:B$2,-1+SUMPRODUCT(MAX(ROW(E1524:E$2)*(E1525=E1524:E$2)))))</f>
        <v> </v>
      </c>
      <c r="J1525" s="25" t="str">
        <f>IF(OR(E1525="",E1525="!!!",F1525="NEW"),"",COUNTBLANK(OFFSET(A$1,,,SUMPRODUCT(MAX(ROW(E$2:E1525)*(E1525=E$2:E1525)))))-COUNTBLANK(OFFSET(A$1,,,SUMPRODUCT(MAX(ROW(E$1:E1524)*(E2=E$1:E1524))))))</f>
        <v> </v>
      </c>
      <c r="K1525" s="25" t="str">
        <f>IF(OR(E1525="",E1525="!!!",F1525="NEW"),"",INDEX(J$1:J1524,SUMPRODUCT(MAX(ROW(E$1:E1524)*(E1525=E$1:E1524)))))</f>
        <v> </v>
      </c>
      <c r="L1525" s="26"/>
    </row>
    <row r="1526" spans="1:12">
      <c r="A1526" s="20" t="s">
        <v>1910</v>
      </c>
      <c r="B1526" s="27" t="s">
        <v>1144</v>
      </c>
      <c r="C1526" s="27" t="s">
        <v>1133</v>
      </c>
      <c r="E1526" s="21">
        <f>IF(D1526="?OLD","!!!","")</f>
        <v/>
      </c>
      <c r="F1526" s="22" t="str">
        <f>IF(OR(E1526="",E1526="!!!"),"",IF(NOT(ISNA(VLOOKUP(E1526,E$1:E1525,1,FALSE()))),"OLD",IF(AND(E1526&lt;&gt;"",E1526&lt;&gt;"!!!"),"NEW","")))</f>
        <v> </v>
      </c>
      <c r="G1526" s="23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 </v>
      </c>
      <c r="H1526" s="24" t="str">
        <f>IF(J1526&lt;&gt;1,"",IF(I1526="SBJ","CB","?"))</f>
        <v> </v>
      </c>
      <c r="I1526" s="25" t="str">
        <f>IF(OR(E1526="",E1526="!!!",F1526="NEW"),"",INDEX(B1525:B$2,-1+SUMPRODUCT(MAX(ROW(E1525:E$2)*(E1526=E1525:E$2)))))</f>
        <v> </v>
      </c>
      <c r="J1526" s="25" t="str">
        <f>IF(OR(E1526="",E1526="!!!",F1526="NEW"),"",COUNTBLANK(OFFSET(A$1,,,SUMPRODUCT(MAX(ROW(E$2:E1526)*(E1526=E$2:E1526)))))-COUNTBLANK(OFFSET(A$1,,,SUMPRODUCT(MAX(ROW(E$1:E1525)*(E2=E$1:E1525))))))</f>
        <v> </v>
      </c>
      <c r="K1526" s="25" t="str">
        <f>IF(OR(E1526="",E1526="!!!",F1526="NEW"),"",INDEX(J$1:J1525,SUMPRODUCT(MAX(ROW(E$1:E1525)*(E1526=E$1:E1525)))))</f>
        <v> </v>
      </c>
      <c r="L1526" s="26"/>
    </row>
    <row r="1527" spans="1:12">
      <c r="A1527" s="20" t="s">
        <v>1217</v>
      </c>
      <c r="B1527" s="27" t="s">
        <v>1125</v>
      </c>
      <c r="C1527" s="27" t="s">
        <v>1126</v>
      </c>
      <c r="D1527" s="27" t="s">
        <v>1105</v>
      </c>
      <c r="E1527" s="21">
        <f>IF(D1527="?OLD","!!!","")</f>
        <v/>
      </c>
      <c r="F1527" s="22" t="str">
        <f>IF(OR(E1527="",E1527="!!!"),"",IF(NOT(ISNA(VLOOKUP(E1527,E$1:E1526,1,FALSE()))),"OLD",IF(AND(E1527&lt;&gt;"",E1527&lt;&gt;"!!!"),"NEW","")))</f>
        <v> </v>
      </c>
      <c r="G1527" s="23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> </v>
      </c>
      <c r="H1527" s="24" t="str">
        <f>IF(J1527&lt;&gt;1,"",IF(I1527="SBJ","CB","?"))</f>
        <v> </v>
      </c>
      <c r="I1527" s="25" t="str">
        <f>IF(OR(E1527="",E1527="!!!",F1527="NEW"),"",INDEX(B1526:B$2,-1+SUMPRODUCT(MAX(ROW(E1526:E$2)*(E1527=E1526:E$2)))))</f>
        <v> </v>
      </c>
      <c r="J1527" s="25" t="str">
        <f>IF(OR(E1527="",E1527="!!!",F1527="NEW"),"",COUNTBLANK(OFFSET(A$1,,,SUMPRODUCT(MAX(ROW(E$2:E1527)*(E1527=E$2:E1527)))))-COUNTBLANK(OFFSET(A$1,,,SUMPRODUCT(MAX(ROW(E$1:E1526)*(E2=E$1:E1526))))))</f>
        <v> </v>
      </c>
      <c r="K1527" s="25" t="str">
        <f>IF(OR(E1527="",E1527="!!!",F1527="NEW"),"",INDEX(J$1:J1526,SUMPRODUCT(MAX(ROW(E$1:E1526)*(E1527=E$1:E1526)))))</f>
        <v> </v>
      </c>
      <c r="L1527" s="26"/>
    </row>
    <row r="1528" spans="1:12">
      <c r="A1528" s="20" t="s">
        <v>1911</v>
      </c>
      <c r="E1528" s="21">
        <f>IF(D1528="?OLD","!!!","")</f>
        <v/>
      </c>
      <c r="F1528" s="22" t="str">
        <f>IF(OR(E1528="",E1528="!!!"),"",IF(NOT(ISNA(VLOOKUP(E1528,E$1:E1527,1,FALSE()))),"OLD",IF(AND(E1528&lt;&gt;"",E1528&lt;&gt;"!!!"),"NEW","")))</f>
        <v> </v>
      </c>
      <c r="G1528" s="23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> </v>
      </c>
      <c r="H1528" s="24" t="str">
        <f>IF(J1528&lt;&gt;1,"",IF(I1528="SBJ","CB","?"))</f>
        <v> </v>
      </c>
      <c r="I1528" s="25" t="str">
        <f>IF(OR(E1528="",E1528="!!!",F1528="NEW"),"",INDEX(B1527:B$2,-1+SUMPRODUCT(MAX(ROW(E1527:E$2)*(E1528=E1527:E$2)))))</f>
        <v> </v>
      </c>
      <c r="J1528" s="25" t="str">
        <f>IF(OR(E1528="",E1528="!!!",F1528="NEW"),"",COUNTBLANK(OFFSET(A$1,,,SUMPRODUCT(MAX(ROW(E$2:E1528)*(E1528=E$2:E1528)))))-COUNTBLANK(OFFSET(A$1,,,SUMPRODUCT(MAX(ROW(E$1:E1527)*(E2=E$1:E1527))))))</f>
        <v> </v>
      </c>
      <c r="K1528" s="25" t="str">
        <f>IF(OR(E1528="",E1528="!!!",F1528="NEW"),"",INDEX(J$1:J1527,SUMPRODUCT(MAX(ROW(E$1:E1527)*(E1528=E$1:E1527)))))</f>
        <v> </v>
      </c>
      <c r="L1528" s="26"/>
    </row>
    <row r="1529" spans="1:12">
      <c r="A1529" s="20" t="s">
        <v>1145</v>
      </c>
      <c r="E1529" s="21">
        <f>IF(D1529="?OLD","!!!","")</f>
        <v/>
      </c>
      <c r="F1529" s="22" t="str">
        <f>IF(OR(E1529="",E1529="!!!"),"",IF(NOT(ISNA(VLOOKUP(E1529,E$1:E1528,1,FALSE()))),"OLD",IF(AND(E1529&lt;&gt;"",E1529&lt;&gt;"!!!"),"NEW","")))</f>
        <v> </v>
      </c>
      <c r="G1529" s="23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> </v>
      </c>
      <c r="H1529" s="24" t="str">
        <f>IF(J1529&lt;&gt;1,"",IF(I1529="SBJ","CB","?"))</f>
        <v> </v>
      </c>
      <c r="I1529" s="25" t="str">
        <f>IF(OR(E1529="",E1529="!!!",F1529="NEW"),"",INDEX(B1528:B$2,-1+SUMPRODUCT(MAX(ROW(E1528:E$2)*(E1529=E1528:E$2)))))</f>
        <v> </v>
      </c>
      <c r="J1529" s="25" t="str">
        <f>IF(OR(E1529="",E1529="!!!",F1529="NEW"),"",COUNTBLANK(OFFSET(A$1,,,SUMPRODUCT(MAX(ROW(E$2:E1529)*(E1529=E$2:E1529)))))-COUNTBLANK(OFFSET(A$1,,,SUMPRODUCT(MAX(ROW(E$1:E1528)*(E2=E$1:E1528))))))</f>
        <v> </v>
      </c>
      <c r="K1529" s="25" t="str">
        <f>IF(OR(E1529="",E1529="!!!",F1529="NEW"),"",INDEX(J$1:J1528,SUMPRODUCT(MAX(ROW(E$1:E1528)*(E1529=E$1:E1528)))))</f>
        <v> </v>
      </c>
      <c r="L1529" s="26"/>
    </row>
    <row r="1530" spans="1:12">
      <c r="A1530" s="20"/>
    </row>
    <row r="1531" spans="1:12">
      <c r="A1531" s="20" t="s">
        <v>1912</v>
      </c>
    </row>
    <row r="1532" spans="1:12">
      <c r="A1532" s="20" t="s">
        <v>1913</v>
      </c>
      <c r="E1532" s="21">
        <f>IF(D1532="?OLD","!!!","")</f>
        <v/>
      </c>
      <c r="F1532" s="22" t="str">
        <f>IF(OR(E1532="",E1532="!!!"),"",IF(NOT(ISNA(VLOOKUP(E1532,E$1:E1531,1,FALSE()))),"OLD",IF(AND(E1532&lt;&gt;"",E1532&lt;&gt;"!!!"),"NEW","")))</f>
        <v> </v>
      </c>
      <c r="G1532" s="23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> </v>
      </c>
      <c r="H1532" s="24" t="str">
        <f>IF(J1532&lt;&gt;1,"",IF(I1532="SBJ","CB","?"))</f>
        <v> </v>
      </c>
      <c r="I1532" s="25" t="str">
        <f>IF(OR(E1532="",E1532="!!!",F1532="NEW"),"",INDEX(B1531:B$2,-1+SUMPRODUCT(MAX(ROW(E1531:E$2)*(E1532=E1531:E$2)))))</f>
        <v> </v>
      </c>
      <c r="J1532" s="25" t="str">
        <f>IF(OR(E1532="",E1532="!!!",F1532="NEW"),"",COUNTBLANK(OFFSET(A$1,,,SUMPRODUCT(MAX(ROW(E$2:E1532)*(E1532=E$2:E1532)))))-COUNTBLANK(OFFSET(A$1,,,SUMPRODUCT(MAX(ROW(E$1:E1531)*(E2=E$1:E1531))))))</f>
        <v> </v>
      </c>
      <c r="K1532" s="25" t="str">
        <f>IF(OR(E1532="",E1532="!!!",F1532="NEW"),"",INDEX(J$1:J1531,SUMPRODUCT(MAX(ROW(E$1:E1531)*(E1532=E$1:E1531)))))</f>
        <v> </v>
      </c>
      <c r="L1532" s="26"/>
    </row>
    <row r="1533" spans="1:12">
      <c r="A1533" s="20" t="s">
        <v>1391</v>
      </c>
      <c r="E1533" s="21">
        <f>IF(D1533="?OLD","!!!","")</f>
        <v/>
      </c>
      <c r="F1533" s="22" t="str">
        <f>IF(OR(E1533="",E1533="!!!"),"",IF(NOT(ISNA(VLOOKUP(E1533,E$1:E1532,1,FALSE()))),"OLD",IF(AND(E1533&lt;&gt;"",E1533&lt;&gt;"!!!"),"NEW","")))</f>
        <v> </v>
      </c>
      <c r="G1533" s="23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> </v>
      </c>
      <c r="H1533" s="24" t="str">
        <f>IF(J1533&lt;&gt;1,"",IF(I1533="SBJ","CB","?"))</f>
        <v> </v>
      </c>
      <c r="I1533" s="25" t="str">
        <f>IF(OR(E1533="",E1533="!!!",F1533="NEW"),"",INDEX(B1532:B$2,-1+SUMPRODUCT(MAX(ROW(E1532:E$2)*(E1533=E1532:E$2)))))</f>
        <v> </v>
      </c>
      <c r="J1533" s="25" t="str">
        <f>IF(OR(E1533="",E1533="!!!",F1533="NEW"),"",COUNTBLANK(OFFSET(A$1,,,SUMPRODUCT(MAX(ROW(E$2:E1533)*(E1533=E$2:E1533)))))-COUNTBLANK(OFFSET(A$1,,,SUMPRODUCT(MAX(ROW(E$1:E1532)*(E2=E$1:E1532))))))</f>
        <v> </v>
      </c>
      <c r="K1533" s="25" t="str">
        <f>IF(OR(E1533="",E1533="!!!",F1533="NEW"),"",INDEX(J$1:J1532,SUMPRODUCT(MAX(ROW(E$1:E1532)*(E1533=E$1:E1532)))))</f>
        <v> </v>
      </c>
      <c r="L1533" s="26"/>
    </row>
    <row r="1534" spans="1:12">
      <c r="A1534" s="20" t="s">
        <v>1906</v>
      </c>
      <c r="E1534" s="21">
        <f>IF(D1534="?OLD","!!!","")</f>
        <v/>
      </c>
      <c r="F1534" s="22" t="str">
        <f>IF(OR(E1534="",E1534="!!!"),"",IF(NOT(ISNA(VLOOKUP(E1534,E$1:E1533,1,FALSE()))),"OLD",IF(AND(E1534&lt;&gt;"",E1534&lt;&gt;"!!!"),"NEW","")))</f>
        <v> </v>
      </c>
      <c r="G1534" s="23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> </v>
      </c>
      <c r="H1534" s="24" t="str">
        <f>IF(J1534&lt;&gt;1,"",IF(I1534="SBJ","CB","?"))</f>
        <v> </v>
      </c>
      <c r="I1534" s="25" t="str">
        <f>IF(OR(E1534="",E1534="!!!",F1534="NEW"),"",INDEX(B1533:B$2,-1+SUMPRODUCT(MAX(ROW(E1533:E$2)*(E1534=E1533:E$2)))))</f>
        <v> </v>
      </c>
      <c r="J1534" s="25" t="str">
        <f>IF(OR(E1534="",E1534="!!!",F1534="NEW"),"",COUNTBLANK(OFFSET(A$1,,,SUMPRODUCT(MAX(ROW(E$2:E1534)*(E1534=E$2:E1534)))))-COUNTBLANK(OFFSET(A$1,,,SUMPRODUCT(MAX(ROW(E$1:E1533)*(E2=E$1:E1533))))))</f>
        <v> </v>
      </c>
      <c r="K1534" s="25" t="str">
        <f>IF(OR(E1534="",E1534="!!!",F1534="NEW"),"",INDEX(J$1:J1533,SUMPRODUCT(MAX(ROW(E$1:E1533)*(E1534=E$1:E1533)))))</f>
        <v> </v>
      </c>
      <c r="L1534" s="26"/>
    </row>
    <row r="1535" spans="1:12">
      <c r="A1535" s="20" t="s">
        <v>1705</v>
      </c>
      <c r="E1535" s="21">
        <f>IF(D1535="?OLD","!!!","")</f>
        <v/>
      </c>
      <c r="F1535" s="22" t="str">
        <f>IF(OR(E1535="",E1535="!!!"),"",IF(NOT(ISNA(VLOOKUP(E1535,E$1:E1534,1,FALSE()))),"OLD",IF(AND(E1535&lt;&gt;"",E1535&lt;&gt;"!!!"),"NEW","")))</f>
        <v> </v>
      </c>
      <c r="G1535" s="23" t="str">
        <f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> </v>
      </c>
      <c r="H1535" s="24" t="str">
        <f>IF(J1535&lt;&gt;1,"",IF(I1535="SBJ","CB","?"))</f>
        <v> </v>
      </c>
      <c r="I1535" s="25" t="str">
        <f>IF(OR(E1535="",E1535="!!!",F1535="NEW"),"",INDEX(B1534:B$2,-1+SUMPRODUCT(MAX(ROW(E1534:E$2)*(E1535=E1534:E$2)))))</f>
        <v> </v>
      </c>
      <c r="J1535" s="25" t="str">
        <f>IF(OR(E1535="",E1535="!!!",F1535="NEW"),"",COUNTBLANK(OFFSET(A$1,,,SUMPRODUCT(MAX(ROW(E$2:E1535)*(E1535=E$2:E1535)))))-COUNTBLANK(OFFSET(A$1,,,SUMPRODUCT(MAX(ROW(E$1:E1534)*(E2=E$1:E1534))))))</f>
        <v> </v>
      </c>
      <c r="K1535" s="25" t="str">
        <f>IF(OR(E1535="",E1535="!!!",F1535="NEW"),"",INDEX(J$1:J1534,SUMPRODUCT(MAX(ROW(E$1:E1534)*(E1535=E$1:E1534)))))</f>
        <v> </v>
      </c>
      <c r="L1535" s="26"/>
    </row>
    <row r="1536" spans="1:12">
      <c r="A1536" s="20" t="s">
        <v>1914</v>
      </c>
      <c r="E1536" s="21">
        <f>IF(D1536="?OLD","!!!","")</f>
        <v/>
      </c>
      <c r="F1536" s="22" t="str">
        <f>IF(OR(E1536="",E1536="!!!"),"",IF(NOT(ISNA(VLOOKUP(E1536,E$1:E1535,1,FALSE()))),"OLD",IF(AND(E1536&lt;&gt;"",E1536&lt;&gt;"!!!"),"NEW","")))</f>
        <v> </v>
      </c>
      <c r="G1536" s="23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> </v>
      </c>
      <c r="H1536" s="24" t="str">
        <f>IF(J1536&lt;&gt;1,"",IF(I1536="SBJ","CB","?"))</f>
        <v> </v>
      </c>
      <c r="I1536" s="25" t="str">
        <f>IF(OR(E1536="",E1536="!!!",F1536="NEW"),"",INDEX(B1535:B$2,-1+SUMPRODUCT(MAX(ROW(E1535:E$2)*(E1536=E1535:E$2)))))</f>
        <v> </v>
      </c>
      <c r="J1536" s="25" t="str">
        <f>IF(OR(E1536="",E1536="!!!",F1536="NEW"),"",COUNTBLANK(OFFSET(A$1,,,SUMPRODUCT(MAX(ROW(E$2:E1536)*(E1536=E$2:E1536)))))-COUNTBLANK(OFFSET(A$1,,,SUMPRODUCT(MAX(ROW(E$1:E1535)*(E2=E$1:E1535))))))</f>
        <v> </v>
      </c>
      <c r="K1536" s="25" t="str">
        <f>IF(OR(E1536="",E1536="!!!",F1536="NEW"),"",INDEX(J$1:J1535,SUMPRODUCT(MAX(ROW(E$1:E1535)*(E1536=E$1:E1535)))))</f>
        <v> </v>
      </c>
      <c r="L1536" s="26"/>
    </row>
    <row r="1537" spans="1:12">
      <c r="A1537" s="20" t="s">
        <v>1704</v>
      </c>
      <c r="B1537" s="27" t="s">
        <v>1243</v>
      </c>
      <c r="E1537" s="21">
        <f>IF(D1537="?OLD","!!!","")</f>
        <v/>
      </c>
      <c r="F1537" s="22" t="str">
        <f>IF(OR(E1537="",E1537="!!!"),"",IF(NOT(ISNA(VLOOKUP(E1537,E$1:E1536,1,FALSE()))),"OLD",IF(AND(E1537&lt;&gt;"",E1537&lt;&gt;"!!!"),"NEW","")))</f>
        <v> </v>
      </c>
      <c r="G1537" s="23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> </v>
      </c>
      <c r="H1537" s="24" t="str">
        <f>IF(J1537&lt;&gt;1,"",IF(I1537="SBJ","CB","?"))</f>
        <v> </v>
      </c>
      <c r="I1537" s="25" t="str">
        <f>IF(OR(E1537="",E1537="!!!",F1537="NEW"),"",INDEX(B1536:B$2,-1+SUMPRODUCT(MAX(ROW(E1536:E$2)*(E1537=E1536:E$2)))))</f>
        <v> </v>
      </c>
      <c r="J1537" s="25" t="str">
        <f>IF(OR(E1537="",E1537="!!!",F1537="NEW"),"",COUNTBLANK(OFFSET(A$1,,,SUMPRODUCT(MAX(ROW(E$2:E1537)*(E1537=E$2:E1537)))))-COUNTBLANK(OFFSET(A$1,,,SUMPRODUCT(MAX(ROW(E$1:E1536)*(E2=E$1:E1536))))))</f>
        <v> </v>
      </c>
      <c r="K1537" s="25" t="str">
        <f>IF(OR(E1537="",E1537="!!!",F1537="NEW"),"",INDEX(J$1:J1536,SUMPRODUCT(MAX(ROW(E$1:E1536)*(E1537=E$1:E1536)))))</f>
        <v> </v>
      </c>
      <c r="L1537" s="26"/>
    </row>
    <row r="1538" spans="1:12">
      <c r="A1538" s="20" t="s">
        <v>1123</v>
      </c>
      <c r="E1538" s="21">
        <f>IF(D1538="?OLD","!!!","")</f>
        <v/>
      </c>
      <c r="F1538" s="22" t="str">
        <f>IF(OR(E1538="",E1538="!!!"),"",IF(NOT(ISNA(VLOOKUP(E1538,E$1:E1537,1,FALSE()))),"OLD",IF(AND(E1538&lt;&gt;"",E1538&lt;&gt;"!!!"),"NEW","")))</f>
        <v> </v>
      </c>
      <c r="G1538" s="23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> </v>
      </c>
      <c r="H1538" s="24" t="str">
        <f>IF(J1538&lt;&gt;1,"",IF(I1538="SBJ","CB","?"))</f>
        <v> </v>
      </c>
      <c r="I1538" s="25" t="str">
        <f>IF(OR(E1538="",E1538="!!!",F1538="NEW"),"",INDEX(B1537:B$2,-1+SUMPRODUCT(MAX(ROW(E1537:E$2)*(E1538=E1537:E$2)))))</f>
        <v> </v>
      </c>
      <c r="J1538" s="25" t="str">
        <f>IF(OR(E1538="",E1538="!!!",F1538="NEW"),"",COUNTBLANK(OFFSET(A$1,,,SUMPRODUCT(MAX(ROW(E$2:E1538)*(E1538=E$2:E1538)))))-COUNTBLANK(OFFSET(A$1,,,SUMPRODUCT(MAX(ROW(E$1:E1537)*(E2=E$1:E1537))))))</f>
        <v> </v>
      </c>
      <c r="K1538" s="25" t="str">
        <f>IF(OR(E1538="",E1538="!!!",F1538="NEW"),"",INDEX(J$1:J1537,SUMPRODUCT(MAX(ROW(E$1:E1537)*(E1538=E$1:E1537)))))</f>
        <v> </v>
      </c>
      <c r="L1538" s="26"/>
    </row>
    <row r="1539" spans="1:12">
      <c r="A1539" s="20" t="s">
        <v>1124</v>
      </c>
      <c r="B1539" s="27" t="s">
        <v>1149</v>
      </c>
      <c r="C1539" s="27" t="s">
        <v>1126</v>
      </c>
      <c r="D1539" s="27" t="s">
        <v>1105</v>
      </c>
      <c r="E1539" s="21">
        <f>IF(D1539="?OLD","!!!","")</f>
        <v/>
      </c>
      <c r="F1539" s="22" t="str">
        <f>IF(OR(E1539="",E1539="!!!"),"",IF(NOT(ISNA(VLOOKUP(E1539,E$1:E1538,1,FALSE()))),"OLD",IF(AND(E1539&lt;&gt;"",E1539&lt;&gt;"!!!"),"NEW","")))</f>
        <v> </v>
      </c>
      <c r="G1539" s="23" t="str">
        <f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> </v>
      </c>
      <c r="H1539" s="24" t="str">
        <f>IF(J1539&lt;&gt;1,"",IF(I1539="SBJ","CB","?"))</f>
        <v> </v>
      </c>
      <c r="I1539" s="25" t="str">
        <f>IF(OR(E1539="",E1539="!!!",F1539="NEW"),"",INDEX(B1538:B$2,-1+SUMPRODUCT(MAX(ROW(E1538:E$2)*(E1539=E1538:E$2)))))</f>
        <v> </v>
      </c>
      <c r="J1539" s="25" t="str">
        <f>IF(OR(E1539="",E1539="!!!",F1539="NEW"),"",COUNTBLANK(OFFSET(A$1,,,SUMPRODUCT(MAX(ROW(E$2:E1539)*(E1539=E$2:E1539)))))-COUNTBLANK(OFFSET(A$1,,,SUMPRODUCT(MAX(ROW(E$1:E1538)*(E2=E$1:E1538))))))</f>
        <v> </v>
      </c>
      <c r="K1539" s="25" t="str">
        <f>IF(OR(E1539="",E1539="!!!",F1539="NEW"),"",INDEX(J$1:J1538,SUMPRODUCT(MAX(ROW(E$1:E1538)*(E1539=E$1:E1538)))))</f>
        <v> </v>
      </c>
      <c r="L1539" s="26"/>
    </row>
    <row r="1540" spans="1:12">
      <c r="A1540" s="20" t="s">
        <v>1130</v>
      </c>
      <c r="E1540" s="21">
        <f>IF(D1540="?OLD","!!!","")</f>
        <v/>
      </c>
      <c r="F1540" s="22" t="str">
        <f>IF(OR(E1540="",E1540="!!!"),"",IF(NOT(ISNA(VLOOKUP(E1540,E$1:E1539,1,FALSE()))),"OLD",IF(AND(E1540&lt;&gt;"",E1540&lt;&gt;"!!!"),"NEW","")))</f>
        <v> </v>
      </c>
      <c r="G1540" s="23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> </v>
      </c>
      <c r="H1540" s="24" t="str">
        <f>IF(J1540&lt;&gt;1,"",IF(I1540="SBJ","CB","?"))</f>
        <v> </v>
      </c>
      <c r="I1540" s="25" t="str">
        <f>IF(OR(E1540="",E1540="!!!",F1540="NEW"),"",INDEX(B1539:B$2,-1+SUMPRODUCT(MAX(ROW(E1539:E$2)*(E1540=E1539:E$2)))))</f>
        <v> </v>
      </c>
      <c r="J1540" s="25" t="str">
        <f>IF(OR(E1540="",E1540="!!!",F1540="NEW"),"",COUNTBLANK(OFFSET(A$1,,,SUMPRODUCT(MAX(ROW(E$2:E1540)*(E1540=E$2:E1540)))))-COUNTBLANK(OFFSET(A$1,,,SUMPRODUCT(MAX(ROW(E$1:E1539)*(E2=E$1:E1539))))))</f>
        <v> </v>
      </c>
      <c r="K1540" s="25" t="str">
        <f>IF(OR(E1540="",E1540="!!!",F1540="NEW"),"",INDEX(J$1:J1539,SUMPRODUCT(MAX(ROW(E$1:E1539)*(E1540=E$1:E1539)))))</f>
        <v> </v>
      </c>
      <c r="L1540" s="26"/>
    </row>
    <row r="1541" spans="1:12">
      <c r="A1541" s="20" t="s">
        <v>1915</v>
      </c>
      <c r="E1541" s="21">
        <f>IF(D1541="?OLD","!!!","")</f>
        <v/>
      </c>
      <c r="F1541" s="22" t="str">
        <f>IF(OR(E1541="",E1541="!!!"),"",IF(NOT(ISNA(VLOOKUP(E1541,E$1:E1540,1,FALSE()))),"OLD",IF(AND(E1541&lt;&gt;"",E1541&lt;&gt;"!!!"),"NEW","")))</f>
        <v> </v>
      </c>
      <c r="G1541" s="23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 </v>
      </c>
      <c r="H1541" s="24" t="str">
        <f>IF(J1541&lt;&gt;1,"",IF(I1541="SBJ","CB","?"))</f>
        <v> </v>
      </c>
      <c r="I1541" s="25" t="str">
        <f>IF(OR(E1541="",E1541="!!!",F1541="NEW"),"",INDEX(B1540:B$2,-1+SUMPRODUCT(MAX(ROW(E1540:E$2)*(E1541=E1540:E$2)))))</f>
        <v> </v>
      </c>
      <c r="J1541" s="25" t="str">
        <f>IF(OR(E1541="",E1541="!!!",F1541="NEW"),"",COUNTBLANK(OFFSET(A$1,,,SUMPRODUCT(MAX(ROW(E$2:E1541)*(E1541=E$2:E1541)))))-COUNTBLANK(OFFSET(A$1,,,SUMPRODUCT(MAX(ROW(E$1:E1540)*(E2=E$1:E1540))))))</f>
        <v> </v>
      </c>
      <c r="K1541" s="25" t="str">
        <f>IF(OR(E1541="",E1541="!!!",F1541="NEW"),"",INDEX(J$1:J1540,SUMPRODUCT(MAX(ROW(E$1:E1540)*(E1541=E$1:E1540)))))</f>
        <v> </v>
      </c>
      <c r="L1541" s="26"/>
    </row>
    <row r="1542" spans="1:12">
      <c r="A1542" s="20" t="s">
        <v>1916</v>
      </c>
      <c r="E1542" s="21">
        <f>IF(D1542="?OLD","!!!","")</f>
        <v/>
      </c>
      <c r="F1542" s="22" t="str">
        <f>IF(OR(E1542="",E1542="!!!"),"",IF(NOT(ISNA(VLOOKUP(E1542,E$1:E1541,1,FALSE()))),"OLD",IF(AND(E1542&lt;&gt;"",E1542&lt;&gt;"!!!"),"NEW","")))</f>
        <v> </v>
      </c>
      <c r="G1542" s="23" t="str">
        <f>IF(OR(E1542="",E1542="!!!"),"",IF(OR(J1542=0,AND(J1542=1,K1542=1),AND(J1542=1,I1542="SBJ"),AND(J1542=1,I1542=0)),"?IN_FOCUS",IF(J1542&lt;=2,"?ACTIVATED",IF(J1542&lt;&gt;"","?FAMILIAR",IF(F1542="NEW",IF(ISNA(VLOOKUP(E1542,#REF!,1,FALSE())),"?TYPE_IDENTIFIABLE","?REFERENTIAL"),"_")))))</f>
        <v> </v>
      </c>
      <c r="H1542" s="24" t="str">
        <f>IF(J1542&lt;&gt;1,"",IF(I1542="SBJ","CB","?"))</f>
        <v> </v>
      </c>
      <c r="I1542" s="25" t="str">
        <f>IF(OR(E1542="",E1542="!!!",F1542="NEW"),"",INDEX(B1541:B$2,-1+SUMPRODUCT(MAX(ROW(E1541:E$2)*(E1542=E1541:E$2)))))</f>
        <v> </v>
      </c>
      <c r="J1542" s="25" t="str">
        <f>IF(OR(E1542="",E1542="!!!",F1542="NEW"),"",COUNTBLANK(OFFSET(A$1,,,SUMPRODUCT(MAX(ROW(E$2:E1542)*(E1542=E$2:E1542)))))-COUNTBLANK(OFFSET(A$1,,,SUMPRODUCT(MAX(ROW(E$1:E1541)*(E2=E$1:E1541))))))</f>
        <v> </v>
      </c>
      <c r="K1542" s="25" t="str">
        <f>IF(OR(E1542="",E1542="!!!",F1542="NEW"),"",INDEX(J$1:J1541,SUMPRODUCT(MAX(ROW(E$1:E1541)*(E1542=E$1:E1541)))))</f>
        <v> </v>
      </c>
      <c r="L1542" s="26"/>
    </row>
    <row r="1543" spans="1:12">
      <c r="A1543" s="20" t="s">
        <v>1253</v>
      </c>
      <c r="E1543" s="21">
        <f>IF(D1543="?OLD","!!!","")</f>
        <v/>
      </c>
      <c r="F1543" s="22" t="str">
        <f>IF(OR(E1543="",E1543="!!!"),"",IF(NOT(ISNA(VLOOKUP(E1543,E$1:E1542,1,FALSE()))),"OLD",IF(AND(E1543&lt;&gt;"",E1543&lt;&gt;"!!!"),"NEW","")))</f>
        <v> </v>
      </c>
      <c r="G1543" s="23" t="str">
        <f>IF(OR(E1543="",E1543="!!!"),"",IF(OR(J1543=0,AND(J1543=1,K1543=1),AND(J1543=1,I1543="SBJ"),AND(J1543=1,I1543=0)),"?IN_FOCUS",IF(J1543&lt;=2,"?ACTIVATED",IF(J1543&lt;&gt;"","?FAMILIAR",IF(F1543="NEW",IF(ISNA(VLOOKUP(E1543,#REF!,1,FALSE())),"?TYPE_IDENTIFIABLE","?REFERENTIAL"),"_")))))</f>
        <v> </v>
      </c>
      <c r="H1543" s="24" t="str">
        <f>IF(J1543&lt;&gt;1,"",IF(I1543="SBJ","CB","?"))</f>
        <v> </v>
      </c>
      <c r="I1543" s="25" t="str">
        <f>IF(OR(E1543="",E1543="!!!",F1543="NEW"),"",INDEX(B1542:B$2,-1+SUMPRODUCT(MAX(ROW(E1542:E$2)*(E1543=E1542:E$2)))))</f>
        <v> </v>
      </c>
      <c r="J1543" s="25" t="str">
        <f>IF(OR(E1543="",E1543="!!!",F1543="NEW"),"",COUNTBLANK(OFFSET(A$1,,,SUMPRODUCT(MAX(ROW(E$2:E1543)*(E1543=E$2:E1543)))))-COUNTBLANK(OFFSET(A$1,,,SUMPRODUCT(MAX(ROW(E$1:E1542)*(E2=E$1:E1542))))))</f>
        <v> </v>
      </c>
      <c r="K1543" s="25" t="str">
        <f>IF(OR(E1543="",E1543="!!!",F1543="NEW"),"",INDEX(J$1:J1542,SUMPRODUCT(MAX(ROW(E$1:E1542)*(E1543=E$1:E1542)))))</f>
        <v> </v>
      </c>
      <c r="L1543" s="26"/>
    </row>
    <row r="1544" spans="1:12">
      <c r="A1544" s="20" t="s">
        <v>1255</v>
      </c>
      <c r="E1544" s="21">
        <f>IF(D1544="?OLD","!!!","")</f>
        <v/>
      </c>
      <c r="F1544" s="22" t="str">
        <f>IF(OR(E1544="",E1544="!!!"),"",IF(NOT(ISNA(VLOOKUP(E1544,E$1:E1543,1,FALSE()))),"OLD",IF(AND(E1544&lt;&gt;"",E1544&lt;&gt;"!!!"),"NEW","")))</f>
        <v> </v>
      </c>
      <c r="G1544" s="23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> </v>
      </c>
      <c r="H1544" s="24" t="str">
        <f>IF(J1544&lt;&gt;1,"",IF(I1544="SBJ","CB","?"))</f>
        <v> </v>
      </c>
      <c r="I1544" s="25" t="str">
        <f>IF(OR(E1544="",E1544="!!!",F1544="NEW"),"",INDEX(B1543:B$2,-1+SUMPRODUCT(MAX(ROW(E1543:E$2)*(E1544=E1543:E$2)))))</f>
        <v> </v>
      </c>
      <c r="J1544" s="25" t="str">
        <f>IF(OR(E1544="",E1544="!!!",F1544="NEW"),"",COUNTBLANK(OFFSET(A$1,,,SUMPRODUCT(MAX(ROW(E$2:E1544)*(E1544=E$2:E1544)))))-COUNTBLANK(OFFSET(A$1,,,SUMPRODUCT(MAX(ROW(E$1:E1543)*(E2=E$1:E1543))))))</f>
        <v> </v>
      </c>
      <c r="K1544" s="25" t="str">
        <f>IF(OR(E1544="",E1544="!!!",F1544="NEW"),"",INDEX(J$1:J1543,SUMPRODUCT(MAX(ROW(E$1:E1543)*(E1544=E$1:E1543)))))</f>
        <v> </v>
      </c>
      <c r="L1544" s="26"/>
    </row>
    <row r="1545" spans="1:12">
      <c r="A1545" s="20" t="s">
        <v>1145</v>
      </c>
      <c r="E1545" s="21">
        <f>IF(D1545="?OLD","!!!","")</f>
        <v/>
      </c>
      <c r="F1545" s="22" t="str">
        <f>IF(OR(E1545="",E1545="!!!"),"",IF(NOT(ISNA(VLOOKUP(E1545,E$1:E1544,1,FALSE()))),"OLD",IF(AND(E1545&lt;&gt;"",E1545&lt;&gt;"!!!"),"NEW","")))</f>
        <v> </v>
      </c>
      <c r="G1545" s="23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> </v>
      </c>
      <c r="H1545" s="24" t="str">
        <f>IF(J1545&lt;&gt;1,"",IF(I1545="SBJ","CB","?"))</f>
        <v> </v>
      </c>
      <c r="I1545" s="25" t="str">
        <f>IF(OR(E1545="",E1545="!!!",F1545="NEW"),"",INDEX(B1544:B$2,-1+SUMPRODUCT(MAX(ROW(E1544:E$2)*(E1545=E1544:E$2)))))</f>
        <v> </v>
      </c>
      <c r="J1545" s="25" t="str">
        <f>IF(OR(E1545="",E1545="!!!",F1545="NEW"),"",COUNTBLANK(OFFSET(A$1,,,SUMPRODUCT(MAX(ROW(E$2:E1545)*(E1545=E$2:E1545)))))-COUNTBLANK(OFFSET(A$1,,,SUMPRODUCT(MAX(ROW(E$1:E1544)*(E2=E$1:E1544))))))</f>
        <v> </v>
      </c>
      <c r="K1545" s="25" t="str">
        <f>IF(OR(E1545="",E1545="!!!",F1545="NEW"),"",INDEX(J$1:J1544,SUMPRODUCT(MAX(ROW(E$1:E1544)*(E1545=E$1:E1544)))))</f>
        <v> </v>
      </c>
      <c r="L1545" s="26"/>
    </row>
    <row r="1546" spans="1:12">
      <c r="A1546" s="20"/>
    </row>
    <row r="1547" spans="1:12">
      <c r="A1547" s="20" t="s">
        <v>1917</v>
      </c>
    </row>
    <row r="1548" spans="1:12">
      <c r="A1548" s="20" t="s">
        <v>1918</v>
      </c>
      <c r="E1548" s="21">
        <f>IF(D1548="?OLD","!!!","")</f>
        <v/>
      </c>
      <c r="F1548" s="22" t="str">
        <f>IF(OR(E1548="",E1548="!!!"),"",IF(NOT(ISNA(VLOOKUP(E1548,E$1:E1547,1,FALSE()))),"OLD",IF(AND(E1548&lt;&gt;"",E1548&lt;&gt;"!!!"),"NEW","")))</f>
        <v> </v>
      </c>
      <c r="G1548" s="23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> </v>
      </c>
      <c r="H1548" s="24" t="str">
        <f>IF(J1548&lt;&gt;1,"",IF(I1548="SBJ","CB","?"))</f>
        <v> </v>
      </c>
      <c r="I1548" s="25" t="str">
        <f>IF(OR(E1548="",E1548="!!!",F1548="NEW"),"",INDEX(B1547:B$2,-1+SUMPRODUCT(MAX(ROW(E1547:E$2)*(E1548=E1547:E$2)))))</f>
        <v> </v>
      </c>
      <c r="J1548" s="25" t="str">
        <f>IF(OR(E1548="",E1548="!!!",F1548="NEW"),"",COUNTBLANK(OFFSET(A$1,,,SUMPRODUCT(MAX(ROW(E$2:E1548)*(E1548=E$2:E1548)))))-COUNTBLANK(OFFSET(A$1,,,SUMPRODUCT(MAX(ROW(E$1:E1547)*(E2=E$1:E1547))))))</f>
        <v> </v>
      </c>
      <c r="K1548" s="25" t="str">
        <f>IF(OR(E1548="",E1548="!!!",F1548="NEW"),"",INDEX(J$1:J1547,SUMPRODUCT(MAX(ROW(E$1:E1547)*(E1548=E$1:E1547)))))</f>
        <v> </v>
      </c>
      <c r="L1548" s="26"/>
    </row>
    <row r="1549" spans="1:12">
      <c r="A1549" s="20" t="s">
        <v>1919</v>
      </c>
      <c r="E1549" s="21">
        <f>IF(D1549="?OLD","!!!","")</f>
        <v/>
      </c>
      <c r="F1549" s="22" t="str">
        <f>IF(OR(E1549="",E1549="!!!"),"",IF(NOT(ISNA(VLOOKUP(E1549,E$1:E1548,1,FALSE()))),"OLD",IF(AND(E1549&lt;&gt;"",E1549&lt;&gt;"!!!"),"NEW","")))</f>
        <v> </v>
      </c>
      <c r="G1549" s="23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> </v>
      </c>
      <c r="H1549" s="24" t="str">
        <f>IF(J1549&lt;&gt;1,"",IF(I1549="SBJ","CB","?"))</f>
        <v> </v>
      </c>
      <c r="I1549" s="25" t="str">
        <f>IF(OR(E1549="",E1549="!!!",F1549="NEW"),"",INDEX(B1548:B$2,-1+SUMPRODUCT(MAX(ROW(E1548:E$2)*(E1549=E1548:E$2)))))</f>
        <v> </v>
      </c>
      <c r="J1549" s="25" t="str">
        <f>IF(OR(E1549="",E1549="!!!",F1549="NEW"),"",COUNTBLANK(OFFSET(A$1,,,SUMPRODUCT(MAX(ROW(E$2:E1549)*(E1549=E$2:E1549)))))-COUNTBLANK(OFFSET(A$1,,,SUMPRODUCT(MAX(ROW(E$1:E1548)*(E2=E$1:E1548))))))</f>
        <v> </v>
      </c>
      <c r="K1549" s="25" t="str">
        <f>IF(OR(E1549="",E1549="!!!",F1549="NEW"),"",INDEX(J$1:J1548,SUMPRODUCT(MAX(ROW(E$1:E1548)*(E1549=E$1:E1548)))))</f>
        <v> </v>
      </c>
      <c r="L1549" s="26"/>
    </row>
    <row r="1550" spans="1:12">
      <c r="A1550" s="20" t="s">
        <v>1920</v>
      </c>
      <c r="E1550" s="21">
        <f>IF(D1550="?OLD","!!!","")</f>
        <v/>
      </c>
      <c r="F1550" s="22" t="str">
        <f>IF(OR(E1550="",E1550="!!!"),"",IF(NOT(ISNA(VLOOKUP(E1550,E$1:E1549,1,FALSE()))),"OLD",IF(AND(E1550&lt;&gt;"",E1550&lt;&gt;"!!!"),"NEW","")))</f>
        <v> </v>
      </c>
      <c r="G1550" s="23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> </v>
      </c>
      <c r="H1550" s="24" t="str">
        <f>IF(J1550&lt;&gt;1,"",IF(I1550="SBJ","CB","?"))</f>
        <v> </v>
      </c>
      <c r="I1550" s="25" t="str">
        <f>IF(OR(E1550="",E1550="!!!",F1550="NEW"),"",INDEX(B1549:B$2,-1+SUMPRODUCT(MAX(ROW(E1549:E$2)*(E1550=E1549:E$2)))))</f>
        <v> </v>
      </c>
      <c r="J1550" s="25" t="str">
        <f>IF(OR(E1550="",E1550="!!!",F1550="NEW"),"",COUNTBLANK(OFFSET(A$1,,,SUMPRODUCT(MAX(ROW(E$2:E1550)*(E1550=E$2:E1550)))))-COUNTBLANK(OFFSET(A$1,,,SUMPRODUCT(MAX(ROW(E$1:E1549)*(E2=E$1:E1549))))))</f>
        <v> </v>
      </c>
      <c r="K1550" s="25" t="str">
        <f>IF(OR(E1550="",E1550="!!!",F1550="NEW"),"",INDEX(J$1:J1549,SUMPRODUCT(MAX(ROW(E$1:E1549)*(E1550=E$1:E1549)))))</f>
        <v> </v>
      </c>
      <c r="L1550" s="26"/>
    </row>
    <row r="1551" spans="1:12">
      <c r="A1551" s="20" t="s">
        <v>1253</v>
      </c>
      <c r="E1551" s="21">
        <f>IF(D1551="?OLD","!!!","")</f>
        <v/>
      </c>
      <c r="F1551" s="22" t="str">
        <f>IF(OR(E1551="",E1551="!!!"),"",IF(NOT(ISNA(VLOOKUP(E1551,E$1:E1550,1,FALSE()))),"OLD",IF(AND(E1551&lt;&gt;"",E1551&lt;&gt;"!!!"),"NEW","")))</f>
        <v> </v>
      </c>
      <c r="G1551" s="23" t="str">
        <f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> </v>
      </c>
      <c r="H1551" s="24" t="str">
        <f>IF(J1551&lt;&gt;1,"",IF(I1551="SBJ","CB","?"))</f>
        <v> </v>
      </c>
      <c r="I1551" s="25" t="str">
        <f>IF(OR(E1551="",E1551="!!!",F1551="NEW"),"",INDEX(B1550:B$2,-1+SUMPRODUCT(MAX(ROW(E1550:E$2)*(E1551=E1550:E$2)))))</f>
        <v> </v>
      </c>
      <c r="J1551" s="25" t="str">
        <f>IF(OR(E1551="",E1551="!!!",F1551="NEW"),"",COUNTBLANK(OFFSET(A$1,,,SUMPRODUCT(MAX(ROW(E$2:E1551)*(E1551=E$2:E1551)))))-COUNTBLANK(OFFSET(A$1,,,SUMPRODUCT(MAX(ROW(E$1:E1550)*(E2=E$1:E1550))))))</f>
        <v> </v>
      </c>
      <c r="K1551" s="25" t="str">
        <f>IF(OR(E1551="",E1551="!!!",F1551="NEW"),"",INDEX(J$1:J1550,SUMPRODUCT(MAX(ROW(E$1:E1550)*(E1551=E$1:E1550)))))</f>
        <v> </v>
      </c>
      <c r="L1551" s="26"/>
    </row>
    <row r="1552" spans="1:12">
      <c r="A1552" s="20" t="s">
        <v>1415</v>
      </c>
      <c r="E1552" s="21">
        <f>IF(D1552="?OLD","!!!","")</f>
        <v/>
      </c>
      <c r="F1552" s="22" t="str">
        <f>IF(OR(E1552="",E1552="!!!"),"",IF(NOT(ISNA(VLOOKUP(E1552,E$1:E1551,1,FALSE()))),"OLD",IF(AND(E1552&lt;&gt;"",E1552&lt;&gt;"!!!"),"NEW","")))</f>
        <v> </v>
      </c>
      <c r="G1552" s="23" t="str">
        <f>IF(OR(E1552="",E1552="!!!"),"",IF(OR(J1552=0,AND(J1552=1,K1552=1),AND(J1552=1,I1552="SBJ"),AND(J1552=1,I1552=0)),"?IN_FOCUS",IF(J1552&lt;=2,"?ACTIVATED",IF(J1552&lt;&gt;"","?FAMILIAR",IF(F1552="NEW",IF(ISNA(VLOOKUP(E1552,#REF!,1,FALSE())),"?TYPE_IDENTIFIABLE","?REFERENTIAL"),"_")))))</f>
        <v> </v>
      </c>
      <c r="H1552" s="24" t="str">
        <f>IF(J1552&lt;&gt;1,"",IF(I1552="SBJ","CB","?"))</f>
        <v> </v>
      </c>
      <c r="I1552" s="25" t="str">
        <f>IF(OR(E1552="",E1552="!!!",F1552="NEW"),"",INDEX(B1551:B$2,-1+SUMPRODUCT(MAX(ROW(E1551:E$2)*(E1552=E1551:E$2)))))</f>
        <v> </v>
      </c>
      <c r="J1552" s="25" t="str">
        <f>IF(OR(E1552="",E1552="!!!",F1552="NEW"),"",COUNTBLANK(OFFSET(A$1,,,SUMPRODUCT(MAX(ROW(E$2:E1552)*(E1552=E$2:E1552)))))-COUNTBLANK(OFFSET(A$1,,,SUMPRODUCT(MAX(ROW(E$1:E1551)*(E2=E$1:E1551))))))</f>
        <v> </v>
      </c>
      <c r="K1552" s="25" t="str">
        <f>IF(OR(E1552="",E1552="!!!",F1552="NEW"),"",INDEX(J$1:J1551,SUMPRODUCT(MAX(ROW(E$1:E1551)*(E1552=E$1:E1551)))))</f>
        <v> </v>
      </c>
      <c r="L1552" s="26"/>
    </row>
    <row r="1553" spans="1:12">
      <c r="A1553" s="20" t="s">
        <v>1123</v>
      </c>
      <c r="E1553" s="21">
        <f>IF(D1553="?OLD","!!!","")</f>
        <v/>
      </c>
      <c r="F1553" s="22" t="str">
        <f>IF(OR(E1553="",E1553="!!!"),"",IF(NOT(ISNA(VLOOKUP(E1553,E$1:E1552,1,FALSE()))),"OLD",IF(AND(E1553&lt;&gt;"",E1553&lt;&gt;"!!!"),"NEW","")))</f>
        <v> </v>
      </c>
      <c r="G1553" s="23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> </v>
      </c>
      <c r="H1553" s="24" t="str">
        <f>IF(J1553&lt;&gt;1,"",IF(I1553="SBJ","CB","?"))</f>
        <v> </v>
      </c>
      <c r="I1553" s="25" t="str">
        <f>IF(OR(E1553="",E1553="!!!",F1553="NEW"),"",INDEX(B1552:B$2,-1+SUMPRODUCT(MAX(ROW(E1552:E$2)*(E1553=E1552:E$2)))))</f>
        <v> </v>
      </c>
      <c r="J1553" s="25" t="str">
        <f>IF(OR(E1553="",E1553="!!!",F1553="NEW"),"",COUNTBLANK(OFFSET(A$1,,,SUMPRODUCT(MAX(ROW(E$2:E1553)*(E1553=E$2:E1553)))))-COUNTBLANK(OFFSET(A$1,,,SUMPRODUCT(MAX(ROW(E$1:E1552)*(E2=E$1:E1552))))))</f>
        <v> </v>
      </c>
      <c r="K1553" s="25" t="str">
        <f>IF(OR(E1553="",E1553="!!!",F1553="NEW"),"",INDEX(J$1:J1552,SUMPRODUCT(MAX(ROW(E$1:E1552)*(E1553=E$1:E1552)))))</f>
        <v> </v>
      </c>
      <c r="L1553" s="26"/>
    </row>
    <row r="1554" spans="1:12">
      <c r="A1554" s="20" t="s">
        <v>1595</v>
      </c>
      <c r="E1554" s="21">
        <f>IF(D1554="?OLD","!!!","")</f>
        <v/>
      </c>
      <c r="F1554" s="22" t="str">
        <f>IF(OR(E1554="",E1554="!!!"),"",IF(NOT(ISNA(VLOOKUP(E1554,E$1:E1553,1,FALSE()))),"OLD",IF(AND(E1554&lt;&gt;"",E1554&lt;&gt;"!!!"),"NEW","")))</f>
        <v> </v>
      </c>
      <c r="G1554" s="23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> </v>
      </c>
      <c r="H1554" s="24" t="str">
        <f>IF(J1554&lt;&gt;1,"",IF(I1554="SBJ","CB","?"))</f>
        <v> </v>
      </c>
      <c r="I1554" s="25" t="str">
        <f>IF(OR(E1554="",E1554="!!!",F1554="NEW"),"",INDEX(B1553:B$2,-1+SUMPRODUCT(MAX(ROW(E1553:E$2)*(E1554=E1553:E$2)))))</f>
        <v> </v>
      </c>
      <c r="J1554" s="25" t="str">
        <f>IF(OR(E1554="",E1554="!!!",F1554="NEW"),"",COUNTBLANK(OFFSET(A$1,,,SUMPRODUCT(MAX(ROW(E$2:E1554)*(E1554=E$2:E1554)))))-COUNTBLANK(OFFSET(A$1,,,SUMPRODUCT(MAX(ROW(E$1:E1553)*(E2=E$1:E1553))))))</f>
        <v> </v>
      </c>
      <c r="K1554" s="25" t="str">
        <f>IF(OR(E1554="",E1554="!!!",F1554="NEW"),"",INDEX(J$1:J1553,SUMPRODUCT(MAX(ROW(E$1:E1553)*(E1554=E$1:E1553)))))</f>
        <v> </v>
      </c>
      <c r="L1554" s="26"/>
    </row>
    <row r="1555" spans="1:12">
      <c r="A1555" s="20" t="s">
        <v>1596</v>
      </c>
      <c r="E1555" s="21">
        <f>IF(D1555="?OLD","!!!","")</f>
        <v/>
      </c>
      <c r="F1555" s="22" t="str">
        <f>IF(OR(E1555="",E1555="!!!"),"",IF(NOT(ISNA(VLOOKUP(E1555,E$1:E1554,1,FALSE()))),"OLD",IF(AND(E1555&lt;&gt;"",E1555&lt;&gt;"!!!"),"NEW","")))</f>
        <v> </v>
      </c>
      <c r="G1555" s="23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> </v>
      </c>
      <c r="H1555" s="24" t="str">
        <f>IF(J1555&lt;&gt;1,"",IF(I1555="SBJ","CB","?"))</f>
        <v> </v>
      </c>
      <c r="I1555" s="25" t="str">
        <f>IF(OR(E1555="",E1555="!!!",F1555="NEW"),"",INDEX(B1554:B$2,-1+SUMPRODUCT(MAX(ROW(E1554:E$2)*(E1555=E1554:E$2)))))</f>
        <v> </v>
      </c>
      <c r="J1555" s="25" t="str">
        <f>IF(OR(E1555="",E1555="!!!",F1555="NEW"),"",COUNTBLANK(OFFSET(A$1,,,SUMPRODUCT(MAX(ROW(E$2:E1555)*(E1555=E$2:E1555)))))-COUNTBLANK(OFFSET(A$1,,,SUMPRODUCT(MAX(ROW(E$1:E1554)*(E2=E$1:E1554))))))</f>
        <v> </v>
      </c>
      <c r="K1555" s="25" t="str">
        <f>IF(OR(E1555="",E1555="!!!",F1555="NEW"),"",INDEX(J$1:J1554,SUMPRODUCT(MAX(ROW(E$1:E1554)*(E1555=E$1:E1554)))))</f>
        <v> </v>
      </c>
      <c r="L1555" s="26"/>
    </row>
    <row r="1556" spans="1:12">
      <c r="A1556" s="20" t="s">
        <v>1270</v>
      </c>
      <c r="B1556" s="27" t="s">
        <v>1107</v>
      </c>
      <c r="C1556" s="27" t="s">
        <v>1126</v>
      </c>
      <c r="D1556" s="27" t="s">
        <v>1105</v>
      </c>
      <c r="E1556" s="21">
        <f>IF(D1556="?OLD","!!!","")</f>
        <v/>
      </c>
      <c r="F1556" s="22" t="str">
        <f>IF(OR(E1556="",E1556="!!!"),"",IF(NOT(ISNA(VLOOKUP(E1556,E$1:E1555,1,FALSE()))),"OLD",IF(AND(E1556&lt;&gt;"",E1556&lt;&gt;"!!!"),"NEW","")))</f>
        <v> </v>
      </c>
      <c r="G1556" s="23" t="str">
        <f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> </v>
      </c>
      <c r="H1556" s="24" t="str">
        <f>IF(J1556&lt;&gt;1,"",IF(I1556="SBJ","CB","?"))</f>
        <v> </v>
      </c>
      <c r="I1556" s="25" t="str">
        <f>IF(OR(E1556="",E1556="!!!",F1556="NEW"),"",INDEX(B1555:B$2,-1+SUMPRODUCT(MAX(ROW(E1555:E$2)*(E1556=E1555:E$2)))))</f>
        <v> </v>
      </c>
      <c r="J1556" s="25" t="str">
        <f>IF(OR(E1556="",E1556="!!!",F1556="NEW"),"",COUNTBLANK(OFFSET(A$1,,,SUMPRODUCT(MAX(ROW(E$2:E1556)*(E1556=E$2:E1556)))))-COUNTBLANK(OFFSET(A$1,,,SUMPRODUCT(MAX(ROW(E$1:E1555)*(E2=E$1:E1555))))))</f>
        <v> </v>
      </c>
      <c r="K1556" s="25" t="str">
        <f>IF(OR(E1556="",E1556="!!!",F1556="NEW"),"",INDEX(J$1:J1555,SUMPRODUCT(MAX(ROW(E$1:E1555)*(E1556=E$1:E1555)))))</f>
        <v> </v>
      </c>
      <c r="L1556" s="26"/>
    </row>
    <row r="1557" spans="1:12">
      <c r="A1557" s="20" t="s">
        <v>1128</v>
      </c>
      <c r="E1557" s="21">
        <f>IF(D1557="?OLD","!!!","")</f>
        <v/>
      </c>
      <c r="F1557" s="22" t="str">
        <f>IF(OR(E1557="",E1557="!!!"),"",IF(NOT(ISNA(VLOOKUP(E1557,E$1:E1556,1,FALSE()))),"OLD",IF(AND(E1557&lt;&gt;"",E1557&lt;&gt;"!!!"),"NEW","")))</f>
        <v> </v>
      </c>
      <c r="G1557" s="23" t="str">
        <f>IF(OR(E1557="",E1557="!!!"),"",IF(OR(J1557=0,AND(J1557=1,K1557=1),AND(J1557=1,I1557="SBJ"),AND(J1557=1,I1557=0)),"?IN_FOCUS",IF(J1557&lt;=2,"?ACTIVATED",IF(J1557&lt;&gt;"","?FAMILIAR",IF(F1557="NEW",IF(ISNA(VLOOKUP(E1557,#REF!,1,FALSE())),"?TYPE_IDENTIFIABLE","?REFERENTIAL"),"_")))))</f>
        <v> </v>
      </c>
      <c r="H1557" s="24" t="str">
        <f>IF(J1557&lt;&gt;1,"",IF(I1557="SBJ","CB","?"))</f>
        <v> </v>
      </c>
      <c r="I1557" s="25" t="str">
        <f>IF(OR(E1557="",E1557="!!!",F1557="NEW"),"",INDEX(B1556:B$2,-1+SUMPRODUCT(MAX(ROW(E1556:E$2)*(E1557=E1556:E$2)))))</f>
        <v> </v>
      </c>
      <c r="J1557" s="25" t="str">
        <f>IF(OR(E1557="",E1557="!!!",F1557="NEW"),"",COUNTBLANK(OFFSET(A$1,,,SUMPRODUCT(MAX(ROW(E$2:E1557)*(E1557=E$2:E1557)))))-COUNTBLANK(OFFSET(A$1,,,SUMPRODUCT(MAX(ROW(E$1:E1556)*(E2=E$1:E1556))))))</f>
        <v> </v>
      </c>
      <c r="K1557" s="25" t="str">
        <f>IF(OR(E1557="",E1557="!!!",F1557="NEW"),"",INDEX(J$1:J1556,SUMPRODUCT(MAX(ROW(E$1:E1556)*(E1557=E$1:E1556)))))</f>
        <v> </v>
      </c>
      <c r="L1557" s="26"/>
    </row>
    <row r="1558" spans="1:12">
      <c r="A1558" s="20" t="s">
        <v>1921</v>
      </c>
      <c r="E1558" s="21">
        <f>IF(D1558="?OLD","!!!","")</f>
        <v/>
      </c>
      <c r="F1558" s="22" t="str">
        <f>IF(OR(E1558="",E1558="!!!"),"",IF(NOT(ISNA(VLOOKUP(E1558,E$1:E1557,1,FALSE()))),"OLD",IF(AND(E1558&lt;&gt;"",E1558&lt;&gt;"!!!"),"NEW","")))</f>
        <v> </v>
      </c>
      <c r="G1558" s="23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> </v>
      </c>
      <c r="H1558" s="24" t="str">
        <f>IF(J1558&lt;&gt;1,"",IF(I1558="SBJ","CB","?"))</f>
        <v> </v>
      </c>
      <c r="I1558" s="25" t="str">
        <f>IF(OR(E1558="",E1558="!!!",F1558="NEW"),"",INDEX(B1557:B$2,-1+SUMPRODUCT(MAX(ROW(E1557:E$2)*(E1558=E1557:E$2)))))</f>
        <v> </v>
      </c>
      <c r="J1558" s="25" t="str">
        <f>IF(OR(E1558="",E1558="!!!",F1558="NEW"),"",COUNTBLANK(OFFSET(A$1,,,SUMPRODUCT(MAX(ROW(E$2:E1558)*(E1558=E$2:E1558)))))-COUNTBLANK(OFFSET(A$1,,,SUMPRODUCT(MAX(ROW(E$1:E1557)*(E2=E$1:E1557))))))</f>
        <v> </v>
      </c>
      <c r="K1558" s="25" t="str">
        <f>IF(OR(E1558="",E1558="!!!",F1558="NEW"),"",INDEX(J$1:J1557,SUMPRODUCT(MAX(ROW(E$1:E1557)*(E1558=E$1:E1557)))))</f>
        <v> </v>
      </c>
      <c r="L1558" s="26"/>
    </row>
    <row r="1559" spans="1:12">
      <c r="A1559" s="20" t="s">
        <v>925</v>
      </c>
      <c r="E1559" s="21">
        <f>IF(D1559="?OLD","!!!","")</f>
        <v/>
      </c>
      <c r="F1559" s="22" t="str">
        <f>IF(OR(E1559="",E1559="!!!"),"",IF(NOT(ISNA(VLOOKUP(E1559,E$1:E1558,1,FALSE()))),"OLD",IF(AND(E1559&lt;&gt;"",E1559&lt;&gt;"!!!"),"NEW","")))</f>
        <v> </v>
      </c>
      <c r="G1559" s="23" t="str">
        <f>IF(OR(E1559="",E1559="!!!"),"",IF(OR(J1559=0,AND(J1559=1,K1559=1),AND(J1559=1,I1559="SBJ"),AND(J1559=1,I1559=0)),"?IN_FOCUS",IF(J1559&lt;=2,"?ACTIVATED",IF(J1559&lt;&gt;"","?FAMILIAR",IF(F1559="NEW",IF(ISNA(VLOOKUP(E1559,#REF!,1,FALSE())),"?TYPE_IDENTIFIABLE","?REFERENTIAL"),"_")))))</f>
        <v> </v>
      </c>
      <c r="H1559" s="24" t="str">
        <f>IF(J1559&lt;&gt;1,"",IF(I1559="SBJ","CB","?"))</f>
        <v> </v>
      </c>
      <c r="I1559" s="25" t="str">
        <f>IF(OR(E1559="",E1559="!!!",F1559="NEW"),"",INDEX(B1558:B$2,-1+SUMPRODUCT(MAX(ROW(E1558:E$2)*(E1559=E1558:E$2)))))</f>
        <v> </v>
      </c>
      <c r="J1559" s="25" t="str">
        <f>IF(OR(E1559="",E1559="!!!",F1559="NEW"),"",COUNTBLANK(OFFSET(A$1,,,SUMPRODUCT(MAX(ROW(E$2:E1559)*(E1559=E$2:E1559)))))-COUNTBLANK(OFFSET(A$1,,,SUMPRODUCT(MAX(ROW(E$1:E1558)*(E2=E$1:E1558))))))</f>
        <v> </v>
      </c>
      <c r="K1559" s="25" t="str">
        <f>IF(OR(E1559="",E1559="!!!",F1559="NEW"),"",INDEX(J$1:J1558,SUMPRODUCT(MAX(ROW(E$1:E1558)*(E1559=E$1:E1558)))))</f>
        <v> </v>
      </c>
      <c r="L1559" s="26"/>
    </row>
    <row r="1560" spans="1:12">
      <c r="A1560" s="20" t="s">
        <v>1922</v>
      </c>
      <c r="E1560" s="21">
        <f>IF(D1560="?OLD","!!!","")</f>
        <v/>
      </c>
      <c r="F1560" s="22" t="str">
        <f>IF(OR(E1560="",E1560="!!!"),"",IF(NOT(ISNA(VLOOKUP(E1560,E$1:E1559,1,FALSE()))),"OLD",IF(AND(E1560&lt;&gt;"",E1560&lt;&gt;"!!!"),"NEW","")))</f>
        <v> </v>
      </c>
      <c r="G1560" s="23" t="str">
        <f>IF(OR(E1560="",E1560="!!!"),"",IF(OR(J1560=0,AND(J1560=1,K1560=1),AND(J1560=1,I1560="SBJ"),AND(J1560=1,I1560=0)),"?IN_FOCUS",IF(J1560&lt;=2,"?ACTIVATED",IF(J1560&lt;&gt;"","?FAMILIAR",IF(F1560="NEW",IF(ISNA(VLOOKUP(E1560,#REF!,1,FALSE())),"?TYPE_IDENTIFIABLE","?REFERENTIAL"),"_")))))</f>
        <v> </v>
      </c>
      <c r="H1560" s="24" t="str">
        <f>IF(J1560&lt;&gt;1,"",IF(I1560="SBJ","CB","?"))</f>
        <v> </v>
      </c>
      <c r="I1560" s="25" t="str">
        <f>IF(OR(E1560="",E1560="!!!",F1560="NEW"),"",INDEX(B1559:B$2,-1+SUMPRODUCT(MAX(ROW(E1559:E$2)*(E1560=E1559:E$2)))))</f>
        <v> </v>
      </c>
      <c r="J1560" s="25" t="str">
        <f>IF(OR(E1560="",E1560="!!!",F1560="NEW"),"",COUNTBLANK(OFFSET(A$1,,,SUMPRODUCT(MAX(ROW(E$2:E1560)*(E1560=E$2:E1560)))))-COUNTBLANK(OFFSET(A$1,,,SUMPRODUCT(MAX(ROW(E$1:E1559)*(E2=E$1:E1559))))))</f>
        <v> </v>
      </c>
      <c r="K1560" s="25" t="str">
        <f>IF(OR(E1560="",E1560="!!!",F1560="NEW"),"",INDEX(J$1:J1559,SUMPRODUCT(MAX(ROW(E$1:E1559)*(E1560=E$1:E1559)))))</f>
        <v> </v>
      </c>
      <c r="L1560" s="26"/>
    </row>
    <row r="1561" spans="1:12">
      <c r="A1561" s="20" t="s">
        <v>1253</v>
      </c>
      <c r="E1561" s="21">
        <f>IF(D1561="?OLD","!!!","")</f>
        <v/>
      </c>
      <c r="F1561" s="22" t="str">
        <f>IF(OR(E1561="",E1561="!!!"),"",IF(NOT(ISNA(VLOOKUP(E1561,E$1:E1560,1,FALSE()))),"OLD",IF(AND(E1561&lt;&gt;"",E1561&lt;&gt;"!!!"),"NEW","")))</f>
        <v> </v>
      </c>
      <c r="G1561" s="23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> </v>
      </c>
      <c r="H1561" s="24" t="str">
        <f>IF(J1561&lt;&gt;1,"",IF(I1561="SBJ","CB","?"))</f>
        <v> </v>
      </c>
      <c r="I1561" s="25" t="str">
        <f>IF(OR(E1561="",E1561="!!!",F1561="NEW"),"",INDEX(B1560:B$2,-1+SUMPRODUCT(MAX(ROW(E1560:E$2)*(E1561=E1560:E$2)))))</f>
        <v> </v>
      </c>
      <c r="J1561" s="25" t="str">
        <f>IF(OR(E1561="",E1561="!!!",F1561="NEW"),"",COUNTBLANK(OFFSET(A$1,,,SUMPRODUCT(MAX(ROW(E$2:E1561)*(E1561=E$2:E1561)))))-COUNTBLANK(OFFSET(A$1,,,SUMPRODUCT(MAX(ROW(E$1:E1560)*(E2=E$1:E1560))))))</f>
        <v> </v>
      </c>
      <c r="K1561" s="25" t="str">
        <f>IF(OR(E1561="",E1561="!!!",F1561="NEW"),"",INDEX(J$1:J1560,SUMPRODUCT(MAX(ROW(E$1:E1560)*(E1561=E$1:E1560)))))</f>
        <v> </v>
      </c>
      <c r="L1561" s="26"/>
    </row>
    <row r="1562" spans="1:12">
      <c r="A1562" s="20" t="s">
        <v>1923</v>
      </c>
      <c r="E1562" s="21">
        <f>IF(D1562="?OLD","!!!","")</f>
        <v/>
      </c>
      <c r="F1562" s="22" t="str">
        <f>IF(OR(E1562="",E1562="!!!"),"",IF(NOT(ISNA(VLOOKUP(E1562,E$1:E1561,1,FALSE()))),"OLD",IF(AND(E1562&lt;&gt;"",E1562&lt;&gt;"!!!"),"NEW","")))</f>
        <v> </v>
      </c>
      <c r="G1562" s="23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> </v>
      </c>
      <c r="H1562" s="24" t="str">
        <f>IF(J1562&lt;&gt;1,"",IF(I1562="SBJ","CB","?"))</f>
        <v> </v>
      </c>
      <c r="I1562" s="25" t="str">
        <f>IF(OR(E1562="",E1562="!!!",F1562="NEW"),"",INDEX(B1561:B$2,-1+SUMPRODUCT(MAX(ROW(E1561:E$2)*(E1562=E1561:E$2)))))</f>
        <v> </v>
      </c>
      <c r="J1562" s="25" t="str">
        <f>IF(OR(E1562="",E1562="!!!",F1562="NEW"),"",COUNTBLANK(OFFSET(A$1,,,SUMPRODUCT(MAX(ROW(E$2:E1562)*(E1562=E$2:E1562)))))-COUNTBLANK(OFFSET(A$1,,,SUMPRODUCT(MAX(ROW(E$1:E1561)*(E2=E$1:E1561))))))</f>
        <v> </v>
      </c>
      <c r="K1562" s="25" t="str">
        <f>IF(OR(E1562="",E1562="!!!",F1562="NEW"),"",INDEX(J$1:J1561,SUMPRODUCT(MAX(ROW(E$1:E1561)*(E1562=E$1:E1561)))))</f>
        <v> </v>
      </c>
      <c r="L1562" s="26"/>
    </row>
    <row r="1563" spans="1:12">
      <c r="A1563" s="20" t="s">
        <v>1924</v>
      </c>
      <c r="E1563" s="21">
        <f>IF(D1563="?OLD","!!!","")</f>
        <v/>
      </c>
      <c r="F1563" s="22" t="str">
        <f>IF(OR(E1563="",E1563="!!!"),"",IF(NOT(ISNA(VLOOKUP(E1563,E$1:E1562,1,FALSE()))),"OLD",IF(AND(E1563&lt;&gt;"",E1563&lt;&gt;"!!!"),"NEW","")))</f>
        <v> </v>
      </c>
      <c r="G1563" s="23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> </v>
      </c>
      <c r="H1563" s="24" t="str">
        <f>IF(J1563&lt;&gt;1,"",IF(I1563="SBJ","CB","?"))</f>
        <v> </v>
      </c>
      <c r="I1563" s="25" t="str">
        <f>IF(OR(E1563="",E1563="!!!",F1563="NEW"),"",INDEX(B1562:B$2,-1+SUMPRODUCT(MAX(ROW(E1562:E$2)*(E1563=E1562:E$2)))))</f>
        <v> </v>
      </c>
      <c r="J1563" s="25" t="str">
        <f>IF(OR(E1563="",E1563="!!!",F1563="NEW"),"",COUNTBLANK(OFFSET(A$1,,,SUMPRODUCT(MAX(ROW(E$2:E1563)*(E1563=E$2:E1563)))))-COUNTBLANK(OFFSET(A$1,,,SUMPRODUCT(MAX(ROW(E$1:E1562)*(E2=E$1:E1562))))))</f>
        <v> </v>
      </c>
      <c r="K1563" s="25" t="str">
        <f>IF(OR(E1563="",E1563="!!!",F1563="NEW"),"",INDEX(J$1:J1562,SUMPRODUCT(MAX(ROW(E$1:E1562)*(E1563=E$1:E1562)))))</f>
        <v> </v>
      </c>
      <c r="L1563" s="26"/>
    </row>
    <row r="1564" spans="1:12">
      <c r="A1564" s="20" t="s">
        <v>1123</v>
      </c>
      <c r="E1564" s="21">
        <f>IF(D1564="?OLD","!!!","")</f>
        <v/>
      </c>
      <c r="F1564" s="22" t="str">
        <f>IF(OR(E1564="",E1564="!!!"),"",IF(NOT(ISNA(VLOOKUP(E1564,E$1:E1563,1,FALSE()))),"OLD",IF(AND(E1564&lt;&gt;"",E1564&lt;&gt;"!!!"),"NEW","")))</f>
        <v> </v>
      </c>
      <c r="G1564" s="23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> </v>
      </c>
      <c r="H1564" s="24" t="str">
        <f>IF(J1564&lt;&gt;1,"",IF(I1564="SBJ","CB","?"))</f>
        <v> </v>
      </c>
      <c r="I1564" s="25" t="str">
        <f>IF(OR(E1564="",E1564="!!!",F1564="NEW"),"",INDEX(B1563:B$2,-1+SUMPRODUCT(MAX(ROW(E1563:E$2)*(E1564=E1563:E$2)))))</f>
        <v> </v>
      </c>
      <c r="J1564" s="25" t="str">
        <f>IF(OR(E1564="",E1564="!!!",F1564="NEW"),"",COUNTBLANK(OFFSET(A$1,,,SUMPRODUCT(MAX(ROW(E$2:E1564)*(E1564=E$2:E1564)))))-COUNTBLANK(OFFSET(A$1,,,SUMPRODUCT(MAX(ROW(E$1:E1563)*(E2=E$1:E1563))))))</f>
        <v> </v>
      </c>
      <c r="K1564" s="25" t="str">
        <f>IF(OR(E1564="",E1564="!!!",F1564="NEW"),"",INDEX(J$1:J1563,SUMPRODUCT(MAX(ROW(E$1:E1563)*(E1564=E$1:E1563)))))</f>
        <v> </v>
      </c>
      <c r="L1564" s="26"/>
    </row>
    <row r="1565" spans="1:12">
      <c r="A1565" s="20" t="s">
        <v>1925</v>
      </c>
      <c r="E1565" s="21">
        <f>IF(D1565="?OLD","!!!","")</f>
        <v/>
      </c>
      <c r="F1565" s="22" t="str">
        <f>IF(OR(E1565="",E1565="!!!"),"",IF(NOT(ISNA(VLOOKUP(E1565,E$1:E1564,1,FALSE()))),"OLD",IF(AND(E1565&lt;&gt;"",E1565&lt;&gt;"!!!"),"NEW","")))</f>
        <v> </v>
      </c>
      <c r="G1565" s="23" t="str">
        <f>IF(OR(E1565="",E1565="!!!"),"",IF(OR(J1565=0,AND(J1565=1,K1565=1),AND(J1565=1,I1565="SBJ"),AND(J1565=1,I1565=0)),"?IN_FOCUS",IF(J1565&lt;=2,"?ACTIVATED",IF(J1565&lt;&gt;"","?FAMILIAR",IF(F1565="NEW",IF(ISNA(VLOOKUP(E1565,#REF!,1,FALSE())),"?TYPE_IDENTIFIABLE","?REFERENTIAL"),"_")))))</f>
        <v> </v>
      </c>
      <c r="H1565" s="24" t="str">
        <f>IF(J1565&lt;&gt;1,"",IF(I1565="SBJ","CB","?"))</f>
        <v> </v>
      </c>
      <c r="I1565" s="25" t="str">
        <f>IF(OR(E1565="",E1565="!!!",F1565="NEW"),"",INDEX(B1564:B$2,-1+SUMPRODUCT(MAX(ROW(E1564:E$2)*(E1565=E1564:E$2)))))</f>
        <v> </v>
      </c>
      <c r="J1565" s="25" t="str">
        <f>IF(OR(E1565="",E1565="!!!",F1565="NEW"),"",COUNTBLANK(OFFSET(A$1,,,SUMPRODUCT(MAX(ROW(E$2:E1565)*(E1565=E$2:E1565)))))-COUNTBLANK(OFFSET(A$1,,,SUMPRODUCT(MAX(ROW(E$1:E1564)*(E2=E$1:E1564))))))</f>
        <v> </v>
      </c>
      <c r="K1565" s="25" t="str">
        <f>IF(OR(E1565="",E1565="!!!",F1565="NEW"),"",INDEX(J$1:J1564,SUMPRODUCT(MAX(ROW(E$1:E1564)*(E1565=E$1:E1564)))))</f>
        <v> </v>
      </c>
      <c r="L1565" s="26"/>
    </row>
    <row r="1566" spans="1:12">
      <c r="A1566" s="20" t="s">
        <v>1926</v>
      </c>
      <c r="E1566" s="21">
        <f>IF(D1566="?OLD","!!!","")</f>
        <v/>
      </c>
      <c r="F1566" s="22" t="str">
        <f>IF(OR(E1566="",E1566="!!!"),"",IF(NOT(ISNA(VLOOKUP(E1566,E$1:E1565,1,FALSE()))),"OLD",IF(AND(E1566&lt;&gt;"",E1566&lt;&gt;"!!!"),"NEW","")))</f>
        <v> </v>
      </c>
      <c r="G1566" s="23" t="str">
        <f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> </v>
      </c>
      <c r="H1566" s="24" t="str">
        <f>IF(J1566&lt;&gt;1,"",IF(I1566="SBJ","CB","?"))</f>
        <v> </v>
      </c>
      <c r="I1566" s="25" t="str">
        <f>IF(OR(E1566="",E1566="!!!",F1566="NEW"),"",INDEX(B1565:B$2,-1+SUMPRODUCT(MAX(ROW(E1565:E$2)*(E1566=E1565:E$2)))))</f>
        <v> </v>
      </c>
      <c r="J1566" s="25" t="str">
        <f>IF(OR(E1566="",E1566="!!!",F1566="NEW"),"",COUNTBLANK(OFFSET(A$1,,,SUMPRODUCT(MAX(ROW(E$2:E1566)*(E1566=E$2:E1566)))))-COUNTBLANK(OFFSET(A$1,,,SUMPRODUCT(MAX(ROW(E$1:E1565)*(E2=E$1:E1565))))))</f>
        <v> </v>
      </c>
      <c r="K1566" s="25" t="str">
        <f>IF(OR(E1566="",E1566="!!!",F1566="NEW"),"",INDEX(J$1:J1565,SUMPRODUCT(MAX(ROW(E$1:E1565)*(E1566=E$1:E1565)))))</f>
        <v> </v>
      </c>
      <c r="L1566" s="26"/>
    </row>
    <row r="1567" spans="1:12">
      <c r="A1567" s="20" t="s">
        <v>1201</v>
      </c>
      <c r="E1567" s="21">
        <f>IF(D1567="?OLD","!!!","")</f>
        <v/>
      </c>
      <c r="F1567" s="22" t="str">
        <f>IF(OR(E1567="",E1567="!!!"),"",IF(NOT(ISNA(VLOOKUP(E1567,E$1:E1566,1,FALSE()))),"OLD",IF(AND(E1567&lt;&gt;"",E1567&lt;&gt;"!!!"),"NEW","")))</f>
        <v> </v>
      </c>
      <c r="G1567" s="23" t="str">
        <f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> </v>
      </c>
      <c r="H1567" s="24" t="str">
        <f>IF(J1567&lt;&gt;1,"",IF(I1567="SBJ","CB","?"))</f>
        <v> </v>
      </c>
      <c r="I1567" s="25" t="str">
        <f>IF(OR(E1567="",E1567="!!!",F1567="NEW"),"",INDEX(B1566:B$2,-1+SUMPRODUCT(MAX(ROW(E1566:E$2)*(E1567=E1566:E$2)))))</f>
        <v> </v>
      </c>
      <c r="J1567" s="25" t="str">
        <f>IF(OR(E1567="",E1567="!!!",F1567="NEW"),"",COUNTBLANK(OFFSET(A$1,,,SUMPRODUCT(MAX(ROW(E$2:E1567)*(E1567=E$2:E1567)))))-COUNTBLANK(OFFSET(A$1,,,SUMPRODUCT(MAX(ROW(E$1:E1566)*(E2=E$1:E1566))))))</f>
        <v> </v>
      </c>
      <c r="K1567" s="25" t="str">
        <f>IF(OR(E1567="",E1567="!!!",F1567="NEW"),"",INDEX(J$1:J1566,SUMPRODUCT(MAX(ROW(E$1:E1566)*(E1567=E$1:E1566)))))</f>
        <v> </v>
      </c>
      <c r="L1567" s="26"/>
    </row>
    <row r="1568" spans="1:12">
      <c r="A1568" s="20" t="s">
        <v>1897</v>
      </c>
      <c r="E1568" s="21">
        <f>IF(D1568="?OLD","!!!","")</f>
        <v/>
      </c>
      <c r="F1568" s="22" t="str">
        <f>IF(OR(E1568="",E1568="!!!"),"",IF(NOT(ISNA(VLOOKUP(E1568,E$1:E1567,1,FALSE()))),"OLD",IF(AND(E1568&lt;&gt;"",E1568&lt;&gt;"!!!"),"NEW","")))</f>
        <v> </v>
      </c>
      <c r="G1568" s="23" t="str">
        <f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> </v>
      </c>
      <c r="H1568" s="24" t="str">
        <f>IF(J1568&lt;&gt;1,"",IF(I1568="SBJ","CB","?"))</f>
        <v> </v>
      </c>
      <c r="I1568" s="25" t="str">
        <f>IF(OR(E1568="",E1568="!!!",F1568="NEW"),"",INDEX(B1567:B$2,-1+SUMPRODUCT(MAX(ROW(E1567:E$2)*(E1568=E1567:E$2)))))</f>
        <v> </v>
      </c>
      <c r="J1568" s="25" t="str">
        <f>IF(OR(E1568="",E1568="!!!",F1568="NEW"),"",COUNTBLANK(OFFSET(A$1,,,SUMPRODUCT(MAX(ROW(E$2:E1568)*(E1568=E$2:E1568)))))-COUNTBLANK(OFFSET(A$1,,,SUMPRODUCT(MAX(ROW(E$1:E1567)*(E2=E$1:E1567))))))</f>
        <v> </v>
      </c>
      <c r="K1568" s="25" t="str">
        <f>IF(OR(E1568="",E1568="!!!",F1568="NEW"),"",INDEX(J$1:J1567,SUMPRODUCT(MAX(ROW(E$1:E1567)*(E1568=E$1:E1567)))))</f>
        <v> </v>
      </c>
      <c r="L1568" s="26"/>
    </row>
    <row r="1569" spans="1:12">
      <c r="A1569" s="20" t="s">
        <v>1145</v>
      </c>
      <c r="E1569" s="21">
        <f>IF(D1569="?OLD","!!!","")</f>
        <v/>
      </c>
      <c r="F1569" s="22" t="str">
        <f>IF(OR(E1569="",E1569="!!!"),"",IF(NOT(ISNA(VLOOKUP(E1569,E$1:E1568,1,FALSE()))),"OLD",IF(AND(E1569&lt;&gt;"",E1569&lt;&gt;"!!!"),"NEW","")))</f>
        <v> </v>
      </c>
      <c r="G1569" s="23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> </v>
      </c>
      <c r="H1569" s="24" t="str">
        <f>IF(J1569&lt;&gt;1,"",IF(I1569="SBJ","CB","?"))</f>
        <v> </v>
      </c>
      <c r="I1569" s="25" t="str">
        <f>IF(OR(E1569="",E1569="!!!",F1569="NEW"),"",INDEX(B1568:B$2,-1+SUMPRODUCT(MAX(ROW(E1568:E$2)*(E1569=E1568:E$2)))))</f>
        <v> </v>
      </c>
      <c r="J1569" s="25" t="str">
        <f>IF(OR(E1569="",E1569="!!!",F1569="NEW"),"",COUNTBLANK(OFFSET(A$1,,,SUMPRODUCT(MAX(ROW(E$2:E1569)*(E1569=E$2:E1569)))))-COUNTBLANK(OFFSET(A$1,,,SUMPRODUCT(MAX(ROW(E$1:E1568)*(E2=E$1:E1568))))))</f>
        <v> </v>
      </c>
      <c r="K1569" s="25" t="str">
        <f>IF(OR(E1569="",E1569="!!!",F1569="NEW"),"",INDEX(J$1:J1568,SUMPRODUCT(MAX(ROW(E$1:E1568)*(E1569=E$1:E1568)))))</f>
        <v> </v>
      </c>
      <c r="L1569" s="26"/>
    </row>
    <row r="1570" spans="1:12">
      <c r="A1570" s="20"/>
    </row>
    <row r="1571" spans="1:12">
      <c r="A1571" s="20" t="s">
        <v>1927</v>
      </c>
    </row>
    <row r="1572" spans="1:12">
      <c r="A1572" s="20" t="s">
        <v>1928</v>
      </c>
      <c r="E1572" s="21">
        <f>IF(D1572="?OLD","!!!","")</f>
        <v/>
      </c>
      <c r="F1572" s="22" t="str">
        <f>IF(OR(E1572="",E1572="!!!"),"",IF(NOT(ISNA(VLOOKUP(E1572,E$1:E1571,1,FALSE()))),"OLD",IF(AND(E1572&lt;&gt;"",E1572&lt;&gt;"!!!"),"NEW","")))</f>
        <v> </v>
      </c>
      <c r="G1572" s="23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> </v>
      </c>
      <c r="H1572" s="24" t="str">
        <f>IF(J1572&lt;&gt;1,"",IF(I1572="SBJ","CB","?"))</f>
        <v> </v>
      </c>
      <c r="I1572" s="25" t="str">
        <f>IF(OR(E1572="",E1572="!!!",F1572="NEW"),"",INDEX(B1571:B$2,-1+SUMPRODUCT(MAX(ROW(E1571:E$2)*(E1572=E1571:E$2)))))</f>
        <v> </v>
      </c>
      <c r="J1572" s="25" t="str">
        <f>IF(OR(E1572="",E1572="!!!",F1572="NEW"),"",COUNTBLANK(OFFSET(A$1,,,SUMPRODUCT(MAX(ROW(E$2:E1572)*(E1572=E$2:E1572)))))-COUNTBLANK(OFFSET(A$1,,,SUMPRODUCT(MAX(ROW(E$1:E1571)*(E2=E$1:E1571))))))</f>
        <v> </v>
      </c>
      <c r="K1572" s="25" t="str">
        <f>IF(OR(E1572="",E1572="!!!",F1572="NEW"),"",INDEX(J$1:J1571,SUMPRODUCT(MAX(ROW(E$1:E1571)*(E1572=E$1:E1571)))))</f>
        <v> </v>
      </c>
      <c r="L1572" s="26"/>
    </row>
    <row r="1573" spans="1:12">
      <c r="A1573" s="20" t="s">
        <v>1929</v>
      </c>
      <c r="E1573" s="21">
        <f>IF(D1573="?OLD","!!!","")</f>
        <v/>
      </c>
      <c r="F1573" s="22" t="str">
        <f>IF(OR(E1573="",E1573="!!!"),"",IF(NOT(ISNA(VLOOKUP(E1573,E$1:E1572,1,FALSE()))),"OLD",IF(AND(E1573&lt;&gt;"",E1573&lt;&gt;"!!!"),"NEW","")))</f>
        <v> </v>
      </c>
      <c r="G1573" s="23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> </v>
      </c>
      <c r="H1573" s="24" t="str">
        <f>IF(J1573&lt;&gt;1,"",IF(I1573="SBJ","CB","?"))</f>
        <v> </v>
      </c>
      <c r="I1573" s="25" t="str">
        <f>IF(OR(E1573="",E1573="!!!",F1573="NEW"),"",INDEX(B1572:B$2,-1+SUMPRODUCT(MAX(ROW(E1572:E$2)*(E1573=E1572:E$2)))))</f>
        <v> </v>
      </c>
      <c r="J1573" s="25" t="str">
        <f>IF(OR(E1573="",E1573="!!!",F1573="NEW"),"",COUNTBLANK(OFFSET(A$1,,,SUMPRODUCT(MAX(ROW(E$2:E1573)*(E1573=E$2:E1573)))))-COUNTBLANK(OFFSET(A$1,,,SUMPRODUCT(MAX(ROW(E$1:E1572)*(E2=E$1:E1572))))))</f>
        <v> </v>
      </c>
      <c r="K1573" s="25" t="str">
        <f>IF(OR(E1573="",E1573="!!!",F1573="NEW"),"",INDEX(J$1:J1572,SUMPRODUCT(MAX(ROW(E$1:E1572)*(E1573=E$1:E1572)))))</f>
        <v> </v>
      </c>
      <c r="L1573" s="26"/>
    </row>
    <row r="1574" spans="1:12">
      <c r="A1574" s="20" t="s">
        <v>1124</v>
      </c>
      <c r="B1574" s="27" t="s">
        <v>1149</v>
      </c>
      <c r="C1574" s="27" t="s">
        <v>1126</v>
      </c>
      <c r="D1574" s="27" t="s">
        <v>1105</v>
      </c>
      <c r="E1574" s="21">
        <f>IF(D1574="?OLD","!!!","")</f>
        <v/>
      </c>
      <c r="F1574" s="22" t="str">
        <f>IF(OR(E1574="",E1574="!!!"),"",IF(NOT(ISNA(VLOOKUP(E1574,E$1:E1573,1,FALSE()))),"OLD",IF(AND(E1574&lt;&gt;"",E1574&lt;&gt;"!!!"),"NEW","")))</f>
        <v> </v>
      </c>
      <c r="G1574" s="23" t="str">
        <f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> </v>
      </c>
      <c r="H1574" s="24" t="str">
        <f>IF(J1574&lt;&gt;1,"",IF(I1574="SBJ","CB","?"))</f>
        <v> </v>
      </c>
      <c r="I1574" s="25" t="str">
        <f>IF(OR(E1574="",E1574="!!!",F1574="NEW"),"",INDEX(B1573:B$2,-1+SUMPRODUCT(MAX(ROW(E1573:E$2)*(E1574=E1573:E$2)))))</f>
        <v> </v>
      </c>
      <c r="J1574" s="25" t="str">
        <f>IF(OR(E1574="",E1574="!!!",F1574="NEW"),"",COUNTBLANK(OFFSET(A$1,,,SUMPRODUCT(MAX(ROW(E$2:E1574)*(E1574=E$2:E1574)))))-COUNTBLANK(OFFSET(A$1,,,SUMPRODUCT(MAX(ROW(E$1:E1573)*(E2=E$1:E1573))))))</f>
        <v> </v>
      </c>
      <c r="K1574" s="25" t="str">
        <f>IF(OR(E1574="",E1574="!!!",F1574="NEW"),"",INDEX(J$1:J1573,SUMPRODUCT(MAX(ROW(E$1:E1573)*(E1574=E$1:E1573)))))</f>
        <v> </v>
      </c>
      <c r="L1574" s="26"/>
    </row>
    <row r="1575" spans="1:12">
      <c r="A1575" s="20" t="s">
        <v>1121</v>
      </c>
      <c r="E1575" s="21">
        <f>IF(D1575="?OLD","!!!","")</f>
        <v/>
      </c>
      <c r="F1575" s="22" t="str">
        <f>IF(OR(E1575="",E1575="!!!"),"",IF(NOT(ISNA(VLOOKUP(E1575,E$1:E1574,1,FALSE()))),"OLD",IF(AND(E1575&lt;&gt;"",E1575&lt;&gt;"!!!"),"NEW","")))</f>
        <v> </v>
      </c>
      <c r="G1575" s="23" t="str">
        <f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> </v>
      </c>
      <c r="H1575" s="24" t="str">
        <f>IF(J1575&lt;&gt;1,"",IF(I1575="SBJ","CB","?"))</f>
        <v> </v>
      </c>
      <c r="I1575" s="25" t="str">
        <f>IF(OR(E1575="",E1575="!!!",F1575="NEW"),"",INDEX(B1574:B$2,-1+SUMPRODUCT(MAX(ROW(E1574:E$2)*(E1575=E1574:E$2)))))</f>
        <v> </v>
      </c>
      <c r="J1575" s="25" t="str">
        <f>IF(OR(E1575="",E1575="!!!",F1575="NEW"),"",COUNTBLANK(OFFSET(A$1,,,SUMPRODUCT(MAX(ROW(E$2:E1575)*(E1575=E$2:E1575)))))-COUNTBLANK(OFFSET(A$1,,,SUMPRODUCT(MAX(ROW(E$1:E1574)*(E2=E$1:E1574))))))</f>
        <v> </v>
      </c>
      <c r="K1575" s="25" t="str">
        <f>IF(OR(E1575="",E1575="!!!",F1575="NEW"),"",INDEX(J$1:J1574,SUMPRODUCT(MAX(ROW(E$1:E1574)*(E1575=E$1:E1574)))))</f>
        <v> </v>
      </c>
      <c r="L1575" s="26"/>
    </row>
    <row r="1576" spans="1:12">
      <c r="A1576" s="20" t="s">
        <v>1128</v>
      </c>
      <c r="E1576" s="21">
        <f>IF(D1576="?OLD","!!!","")</f>
        <v/>
      </c>
      <c r="F1576" s="22" t="str">
        <f>IF(OR(E1576="",E1576="!!!"),"",IF(NOT(ISNA(VLOOKUP(E1576,E$1:E1575,1,FALSE()))),"OLD",IF(AND(E1576&lt;&gt;"",E1576&lt;&gt;"!!!"),"NEW","")))</f>
        <v> </v>
      </c>
      <c r="G1576" s="23" t="str">
        <f>IF(OR(E1576="",E1576="!!!"),"",IF(OR(J1576=0,AND(J1576=1,K1576=1),AND(J1576=1,I1576="SBJ"),AND(J1576=1,I1576=0)),"?IN_FOCUS",IF(J1576&lt;=2,"?ACTIVATED",IF(J1576&lt;&gt;"","?FAMILIAR",IF(F1576="NEW",IF(ISNA(VLOOKUP(E1576,#REF!,1,FALSE())),"?TYPE_IDENTIFIABLE","?REFERENTIAL"),"_")))))</f>
        <v> </v>
      </c>
      <c r="H1576" s="24" t="str">
        <f>IF(J1576&lt;&gt;1,"",IF(I1576="SBJ","CB","?"))</f>
        <v> </v>
      </c>
      <c r="I1576" s="25" t="str">
        <f>IF(OR(E1576="",E1576="!!!",F1576="NEW"),"",INDEX(B1575:B$2,-1+SUMPRODUCT(MAX(ROW(E1575:E$2)*(E1576=E1575:E$2)))))</f>
        <v> </v>
      </c>
      <c r="J1576" s="25" t="str">
        <f>IF(OR(E1576="",E1576="!!!",F1576="NEW"),"",COUNTBLANK(OFFSET(A$1,,,SUMPRODUCT(MAX(ROW(E$2:E1576)*(E1576=E$2:E1576)))))-COUNTBLANK(OFFSET(A$1,,,SUMPRODUCT(MAX(ROW(E$1:E1575)*(E2=E$1:E1575))))))</f>
        <v> </v>
      </c>
      <c r="K1576" s="25" t="str">
        <f>IF(OR(E1576="",E1576="!!!",F1576="NEW"),"",INDEX(J$1:J1575,SUMPRODUCT(MAX(ROW(E$1:E1575)*(E1576=E$1:E1575)))))</f>
        <v> </v>
      </c>
      <c r="L1576" s="26"/>
    </row>
    <row r="1577" spans="1:12">
      <c r="A1577" s="20" t="s">
        <v>1930</v>
      </c>
      <c r="B1577" s="27" t="s">
        <v>1103</v>
      </c>
      <c r="C1577" s="27" t="s">
        <v>1156</v>
      </c>
      <c r="D1577" s="27" t="s">
        <v>1105</v>
      </c>
      <c r="E1577" s="21">
        <f>IF(D1577="?OLD","!!!","")</f>
        <v/>
      </c>
      <c r="F1577" s="22" t="str">
        <f>IF(OR(E1577="",E1577="!!!"),"",IF(NOT(ISNA(VLOOKUP(E1577,E$1:E1576,1,FALSE()))),"OLD",IF(AND(E1577&lt;&gt;"",E1577&lt;&gt;"!!!"),"NEW","")))</f>
        <v> </v>
      </c>
      <c r="G1577" s="23" t="str">
        <f>IF(OR(E1577="",E1577="!!!"),"",IF(OR(J1577=0,AND(J1577=1,K1577=1),AND(J1577=1,I1577="SBJ"),AND(J1577=1,I1577=0)),"?IN_FOCUS",IF(J1577&lt;=2,"?ACTIVATED",IF(J1577&lt;&gt;"","?FAMILIAR",IF(F1577="NEW",IF(ISNA(VLOOKUP(E1577,#REF!,1,FALSE())),"?TYPE_IDENTIFIABLE","?REFERENTIAL"),"_")))))</f>
        <v> </v>
      </c>
      <c r="H1577" s="24" t="str">
        <f>IF(J1577&lt;&gt;1,"",IF(I1577="SBJ","CB","?"))</f>
        <v> </v>
      </c>
      <c r="I1577" s="25" t="str">
        <f>IF(OR(E1577="",E1577="!!!",F1577="NEW"),"",INDEX(B1576:B$2,-1+SUMPRODUCT(MAX(ROW(E1576:E$2)*(E1577=E1576:E$2)))))</f>
        <v> </v>
      </c>
      <c r="J1577" s="25" t="str">
        <f>IF(OR(E1577="",E1577="!!!",F1577="NEW"),"",COUNTBLANK(OFFSET(A$1,,,SUMPRODUCT(MAX(ROW(E$2:E1577)*(E1577=E$2:E1577)))))-COUNTBLANK(OFFSET(A$1,,,SUMPRODUCT(MAX(ROW(E$1:E1576)*(E2=E$1:E1576))))))</f>
        <v> </v>
      </c>
      <c r="K1577" s="25" t="str">
        <f>IF(OR(E1577="",E1577="!!!",F1577="NEW"),"",INDEX(J$1:J1576,SUMPRODUCT(MAX(ROW(E$1:E1576)*(E1577=E$1:E1576)))))</f>
        <v> </v>
      </c>
      <c r="L1577" s="26"/>
    </row>
    <row r="1578" spans="1:12">
      <c r="A1578" s="20" t="s">
        <v>1931</v>
      </c>
      <c r="E1578" s="21">
        <f>IF(D1578="?OLD","!!!","")</f>
        <v/>
      </c>
      <c r="F1578" s="22" t="str">
        <f>IF(OR(E1578="",E1578="!!!"),"",IF(NOT(ISNA(VLOOKUP(E1578,E$1:E1577,1,FALSE()))),"OLD",IF(AND(E1578&lt;&gt;"",E1578&lt;&gt;"!!!"),"NEW","")))</f>
        <v> </v>
      </c>
      <c r="G1578" s="23" t="str">
        <f>IF(OR(E1578="",E1578="!!!"),"",IF(OR(J1578=0,AND(J1578=1,K1578=1),AND(J1578=1,I1578="SBJ"),AND(J1578=1,I1578=0)),"?IN_FOCUS",IF(J1578&lt;=2,"?ACTIVATED",IF(J1578&lt;&gt;"","?FAMILIAR",IF(F1578="NEW",IF(ISNA(VLOOKUP(E1578,#REF!,1,FALSE())),"?TYPE_IDENTIFIABLE","?REFERENTIAL"),"_")))))</f>
        <v> </v>
      </c>
      <c r="H1578" s="24" t="str">
        <f>IF(J1578&lt;&gt;1,"",IF(I1578="SBJ","CB","?"))</f>
        <v> </v>
      </c>
      <c r="I1578" s="25" t="str">
        <f>IF(OR(E1578="",E1578="!!!",F1578="NEW"),"",INDEX(B1577:B$2,-1+SUMPRODUCT(MAX(ROW(E1577:E$2)*(E1578=E1577:E$2)))))</f>
        <v> </v>
      </c>
      <c r="J1578" s="25" t="str">
        <f>IF(OR(E1578="",E1578="!!!",F1578="NEW"),"",COUNTBLANK(OFFSET(A$1,,,SUMPRODUCT(MAX(ROW(E$2:E1578)*(E1578=E$2:E1578)))))-COUNTBLANK(OFFSET(A$1,,,SUMPRODUCT(MAX(ROW(E$1:E1577)*(E2=E$1:E1577))))))</f>
        <v> </v>
      </c>
      <c r="K1578" s="25" t="str">
        <f>IF(OR(E1578="",E1578="!!!",F1578="NEW"),"",INDEX(J$1:J1577,SUMPRODUCT(MAX(ROW(E$1:E1577)*(E1578=E$1:E1577)))))</f>
        <v> </v>
      </c>
      <c r="L1578" s="26"/>
    </row>
    <row r="1579" spans="1:12">
      <c r="A1579" s="20" t="s">
        <v>1824</v>
      </c>
      <c r="E1579" s="21">
        <f>IF(D1579="?OLD","!!!","")</f>
        <v/>
      </c>
      <c r="F1579" s="22" t="str">
        <f>IF(OR(E1579="",E1579="!!!"),"",IF(NOT(ISNA(VLOOKUP(E1579,E$1:E1578,1,FALSE()))),"OLD",IF(AND(E1579&lt;&gt;"",E1579&lt;&gt;"!!!"),"NEW","")))</f>
        <v> </v>
      </c>
      <c r="G1579" s="23" t="str">
        <f>IF(OR(E1579="",E1579="!!!"),"",IF(OR(J1579=0,AND(J1579=1,K1579=1),AND(J1579=1,I1579="SBJ"),AND(J1579=1,I1579=0)),"?IN_FOCUS",IF(J1579&lt;=2,"?ACTIVATED",IF(J1579&lt;&gt;"","?FAMILIAR",IF(F1579="NEW",IF(ISNA(VLOOKUP(E1579,#REF!,1,FALSE())),"?TYPE_IDENTIFIABLE","?REFERENTIAL"),"_")))))</f>
        <v> </v>
      </c>
      <c r="H1579" s="24" t="str">
        <f>IF(J1579&lt;&gt;1,"",IF(I1579="SBJ","CB","?"))</f>
        <v> </v>
      </c>
      <c r="I1579" s="25" t="str">
        <f>IF(OR(E1579="",E1579="!!!",F1579="NEW"),"",INDEX(B1578:B$2,-1+SUMPRODUCT(MAX(ROW(E1578:E$2)*(E1579=E1578:E$2)))))</f>
        <v> </v>
      </c>
      <c r="J1579" s="25" t="str">
        <f>IF(OR(E1579="",E1579="!!!",F1579="NEW"),"",COUNTBLANK(OFFSET(A$1,,,SUMPRODUCT(MAX(ROW(E$2:E1579)*(E1579=E$2:E1579)))))-COUNTBLANK(OFFSET(A$1,,,SUMPRODUCT(MAX(ROW(E$1:E1578)*(E2=E$1:E1578))))))</f>
        <v> </v>
      </c>
      <c r="K1579" s="25" t="str">
        <f>IF(OR(E1579="",E1579="!!!",F1579="NEW"),"",INDEX(J$1:J1578,SUMPRODUCT(MAX(ROW(E$1:E1578)*(E1579=E$1:E1578)))))</f>
        <v> </v>
      </c>
      <c r="L1579" s="26"/>
    </row>
    <row r="1580" spans="1:12">
      <c r="A1580" s="20" t="s">
        <v>1932</v>
      </c>
      <c r="E1580" s="21">
        <f>IF(D1580="?OLD","!!!","")</f>
        <v/>
      </c>
      <c r="F1580" s="22" t="str">
        <f>IF(OR(E1580="",E1580="!!!"),"",IF(NOT(ISNA(VLOOKUP(E1580,E$1:E1579,1,FALSE()))),"OLD",IF(AND(E1580&lt;&gt;"",E1580&lt;&gt;"!!!"),"NEW","")))</f>
        <v> </v>
      </c>
      <c r="G1580" s="23" t="str">
        <f>IF(OR(E1580="",E1580="!!!"),"",IF(OR(J1580=0,AND(J1580=1,K1580=1),AND(J1580=1,I1580="SBJ"),AND(J1580=1,I1580=0)),"?IN_FOCUS",IF(J1580&lt;=2,"?ACTIVATED",IF(J1580&lt;&gt;"","?FAMILIAR",IF(F1580="NEW",IF(ISNA(VLOOKUP(E1580,#REF!,1,FALSE())),"?TYPE_IDENTIFIABLE","?REFERENTIAL"),"_")))))</f>
        <v> </v>
      </c>
      <c r="H1580" s="24" t="str">
        <f>IF(J1580&lt;&gt;1,"",IF(I1580="SBJ","CB","?"))</f>
        <v> </v>
      </c>
      <c r="I1580" s="25" t="str">
        <f>IF(OR(E1580="",E1580="!!!",F1580="NEW"),"",INDEX(B1579:B$2,-1+SUMPRODUCT(MAX(ROW(E1579:E$2)*(E1580=E1579:E$2)))))</f>
        <v> </v>
      </c>
      <c r="J1580" s="25" t="str">
        <f>IF(OR(E1580="",E1580="!!!",F1580="NEW"),"",COUNTBLANK(OFFSET(A$1,,,SUMPRODUCT(MAX(ROW(E$2:E1580)*(E1580=E$2:E1580)))))-COUNTBLANK(OFFSET(A$1,,,SUMPRODUCT(MAX(ROW(E$1:E1579)*(E2=E$1:E1579))))))</f>
        <v> </v>
      </c>
      <c r="K1580" s="25" t="str">
        <f>IF(OR(E1580="",E1580="!!!",F1580="NEW"),"",INDEX(J$1:J1579,SUMPRODUCT(MAX(ROW(E$1:E1579)*(E1580=E$1:E1579)))))</f>
        <v> </v>
      </c>
      <c r="L1580" s="26"/>
    </row>
    <row r="1581" spans="1:12">
      <c r="A1581" s="20" t="s">
        <v>1123</v>
      </c>
      <c r="E1581" s="21">
        <f>IF(D1581="?OLD","!!!","")</f>
        <v/>
      </c>
      <c r="F1581" s="22" t="str">
        <f>IF(OR(E1581="",E1581="!!!"),"",IF(NOT(ISNA(VLOOKUP(E1581,E$1:E1580,1,FALSE()))),"OLD",IF(AND(E1581&lt;&gt;"",E1581&lt;&gt;"!!!"),"NEW","")))</f>
        <v> </v>
      </c>
      <c r="G1581" s="23" t="str">
        <f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> </v>
      </c>
      <c r="H1581" s="24" t="str">
        <f>IF(J1581&lt;&gt;1,"",IF(I1581="SBJ","CB","?"))</f>
        <v> </v>
      </c>
      <c r="I1581" s="25" t="str">
        <f>IF(OR(E1581="",E1581="!!!",F1581="NEW"),"",INDEX(B1580:B$2,-1+SUMPRODUCT(MAX(ROW(E1580:E$2)*(E1581=E1580:E$2)))))</f>
        <v> </v>
      </c>
      <c r="J1581" s="25" t="str">
        <f>IF(OR(E1581="",E1581="!!!",F1581="NEW"),"",COUNTBLANK(OFFSET(A$1,,,SUMPRODUCT(MAX(ROW(E$2:E1581)*(E1581=E$2:E1581)))))-COUNTBLANK(OFFSET(A$1,,,SUMPRODUCT(MAX(ROW(E$1:E1580)*(E2=E$1:E1580))))))</f>
        <v> </v>
      </c>
      <c r="K1581" s="25" t="str">
        <f>IF(OR(E1581="",E1581="!!!",F1581="NEW"),"",INDEX(J$1:J1580,SUMPRODUCT(MAX(ROW(E$1:E1580)*(E1581=E$1:E1580)))))</f>
        <v> </v>
      </c>
      <c r="L1581" s="26"/>
    </row>
    <row r="1582" spans="1:12">
      <c r="A1582" s="20" t="s">
        <v>1933</v>
      </c>
      <c r="E1582" s="21">
        <f>IF(D1582="?OLD","!!!","")</f>
        <v/>
      </c>
      <c r="F1582" s="22" t="str">
        <f>IF(OR(E1582="",E1582="!!!"),"",IF(NOT(ISNA(VLOOKUP(E1582,E$1:E1581,1,FALSE()))),"OLD",IF(AND(E1582&lt;&gt;"",E1582&lt;&gt;"!!!"),"NEW","")))</f>
        <v> </v>
      </c>
      <c r="G1582" s="23" t="str">
        <f>IF(OR(E1582="",E1582="!!!"),"",IF(OR(J1582=0,AND(J1582=1,K1582=1),AND(J1582=1,I1582="SBJ"),AND(J1582=1,I1582=0)),"?IN_FOCUS",IF(J1582&lt;=2,"?ACTIVATED",IF(J1582&lt;&gt;"","?FAMILIAR",IF(F1582="NEW",IF(ISNA(VLOOKUP(E1582,#REF!,1,FALSE())),"?TYPE_IDENTIFIABLE","?REFERENTIAL"),"_")))))</f>
        <v> </v>
      </c>
      <c r="H1582" s="24" t="str">
        <f>IF(J1582&lt;&gt;1,"",IF(I1582="SBJ","CB","?"))</f>
        <v> </v>
      </c>
      <c r="I1582" s="25" t="str">
        <f>IF(OR(E1582="",E1582="!!!",F1582="NEW"),"",INDEX(B1581:B$2,-1+SUMPRODUCT(MAX(ROW(E1581:E$2)*(E1582=E1581:E$2)))))</f>
        <v> </v>
      </c>
      <c r="J1582" s="25" t="str">
        <f>IF(OR(E1582="",E1582="!!!",F1582="NEW"),"",COUNTBLANK(OFFSET(A$1,,,SUMPRODUCT(MAX(ROW(E$2:E1582)*(E1582=E$2:E1582)))))-COUNTBLANK(OFFSET(A$1,,,SUMPRODUCT(MAX(ROW(E$1:E1581)*(E2=E$1:E1581))))))</f>
        <v> </v>
      </c>
      <c r="K1582" s="25" t="str">
        <f>IF(OR(E1582="",E1582="!!!",F1582="NEW"),"",INDEX(J$1:J1581,SUMPRODUCT(MAX(ROW(E$1:E1581)*(E1582=E$1:E1581)))))</f>
        <v> </v>
      </c>
      <c r="L1582" s="26"/>
    </row>
    <row r="1583" spans="1:12">
      <c r="A1583" s="20" t="s">
        <v>1934</v>
      </c>
      <c r="E1583" s="21">
        <f>IF(D1583="?OLD","!!!","")</f>
        <v/>
      </c>
      <c r="F1583" s="22" t="str">
        <f>IF(OR(E1583="",E1583="!!!"),"",IF(NOT(ISNA(VLOOKUP(E1583,E$1:E1582,1,FALSE()))),"OLD",IF(AND(E1583&lt;&gt;"",E1583&lt;&gt;"!!!"),"NEW","")))</f>
        <v> </v>
      </c>
      <c r="G1583" s="23" t="str">
        <f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> </v>
      </c>
      <c r="H1583" s="24" t="str">
        <f>IF(J1583&lt;&gt;1,"",IF(I1583="SBJ","CB","?"))</f>
        <v> </v>
      </c>
      <c r="I1583" s="25" t="str">
        <f>IF(OR(E1583="",E1583="!!!",F1583="NEW"),"",INDEX(B1582:B$2,-1+SUMPRODUCT(MAX(ROW(E1582:E$2)*(E1583=E1582:E$2)))))</f>
        <v> </v>
      </c>
      <c r="J1583" s="25" t="str">
        <f>IF(OR(E1583="",E1583="!!!",F1583="NEW"),"",COUNTBLANK(OFFSET(A$1,,,SUMPRODUCT(MAX(ROW(E$2:E1583)*(E1583=E$2:E1583)))))-COUNTBLANK(OFFSET(A$1,,,SUMPRODUCT(MAX(ROW(E$1:E1582)*(E2=E$1:E1582))))))</f>
        <v> </v>
      </c>
      <c r="K1583" s="25" t="str">
        <f>IF(OR(E1583="",E1583="!!!",F1583="NEW"),"",INDEX(J$1:J1582,SUMPRODUCT(MAX(ROW(E$1:E1582)*(E1583=E$1:E1582)))))</f>
        <v> </v>
      </c>
      <c r="L1583" s="26"/>
    </row>
    <row r="1584" spans="1:12">
      <c r="A1584" s="20" t="s">
        <v>1935</v>
      </c>
      <c r="B1584" s="27" t="s">
        <v>1107</v>
      </c>
      <c r="C1584" s="27" t="s">
        <v>1133</v>
      </c>
      <c r="E1584" s="21">
        <f>IF(D1584="?OLD","!!!","")</f>
        <v/>
      </c>
      <c r="F1584" s="22" t="str">
        <f>IF(OR(E1584="",E1584="!!!"),"",IF(NOT(ISNA(VLOOKUP(E1584,E$1:E1583,1,FALSE()))),"OLD",IF(AND(E1584&lt;&gt;"",E1584&lt;&gt;"!!!"),"NEW","")))</f>
        <v> </v>
      </c>
      <c r="G1584" s="23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> </v>
      </c>
      <c r="H1584" s="24" t="str">
        <f>IF(J1584&lt;&gt;1,"",IF(I1584="SBJ","CB","?"))</f>
        <v> </v>
      </c>
      <c r="I1584" s="25" t="str">
        <f>IF(OR(E1584="",E1584="!!!",F1584="NEW"),"",INDEX(B1583:B$2,-1+SUMPRODUCT(MAX(ROW(E1583:E$2)*(E1584=E1583:E$2)))))</f>
        <v> </v>
      </c>
      <c r="J1584" s="25" t="str">
        <f>IF(OR(E1584="",E1584="!!!",F1584="NEW"),"",COUNTBLANK(OFFSET(A$1,,,SUMPRODUCT(MAX(ROW(E$2:E1584)*(E1584=E$2:E1584)))))-COUNTBLANK(OFFSET(A$1,,,SUMPRODUCT(MAX(ROW(E$1:E1583)*(E2=E$1:E1583))))))</f>
        <v> </v>
      </c>
      <c r="K1584" s="25" t="str">
        <f>IF(OR(E1584="",E1584="!!!",F1584="NEW"),"",INDEX(J$1:J1583,SUMPRODUCT(MAX(ROW(E$1:E1583)*(E1584=E$1:E1583)))))</f>
        <v> </v>
      </c>
      <c r="L1584" s="26"/>
    </row>
    <row r="1585" spans="1:12">
      <c r="A1585" s="20" t="s">
        <v>1145</v>
      </c>
      <c r="E1585" s="21">
        <f>IF(D1585="?OLD","!!!","")</f>
        <v/>
      </c>
      <c r="F1585" s="22" t="str">
        <f>IF(OR(E1585="",E1585="!!!"),"",IF(NOT(ISNA(VLOOKUP(E1585,E$1:E1584,1,FALSE()))),"OLD",IF(AND(E1585&lt;&gt;"",E1585&lt;&gt;"!!!"),"NEW","")))</f>
        <v> </v>
      </c>
      <c r="G1585" s="23" t="str">
        <f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> </v>
      </c>
      <c r="H1585" s="24" t="str">
        <f>IF(J1585&lt;&gt;1,"",IF(I1585="SBJ","CB","?"))</f>
        <v> </v>
      </c>
      <c r="I1585" s="25" t="str">
        <f>IF(OR(E1585="",E1585="!!!",F1585="NEW"),"",INDEX(B1584:B$2,-1+SUMPRODUCT(MAX(ROW(E1584:E$2)*(E1585=E1584:E$2)))))</f>
        <v> </v>
      </c>
      <c r="J1585" s="25" t="str">
        <f>IF(OR(E1585="",E1585="!!!",F1585="NEW"),"",COUNTBLANK(OFFSET(A$1,,,SUMPRODUCT(MAX(ROW(E$2:E1585)*(E1585=E$2:E1585)))))-COUNTBLANK(OFFSET(A$1,,,SUMPRODUCT(MAX(ROW(E$1:E1584)*(E2=E$1:E1584))))))</f>
        <v> </v>
      </c>
      <c r="K1585" s="25" t="str">
        <f>IF(OR(E1585="",E1585="!!!",F1585="NEW"),"",INDEX(J$1:J1584,SUMPRODUCT(MAX(ROW(E$1:E1584)*(E1585=E$1:E1584)))))</f>
        <v> </v>
      </c>
      <c r="L1585" s="26"/>
    </row>
    <row r="1586" spans="1:12">
      <c r="A1586" s="20"/>
    </row>
    <row r="1587" spans="1:12">
      <c r="A1587" s="20" t="s">
        <v>1936</v>
      </c>
    </row>
    <row r="1588" spans="1:12">
      <c r="A1588" s="20" t="s">
        <v>1111</v>
      </c>
      <c r="E1588" s="21">
        <f>IF(D1588="?OLD","!!!","")</f>
        <v/>
      </c>
      <c r="F1588" s="22" t="str">
        <f>IF(OR(E1588="",E1588="!!!"),"",IF(NOT(ISNA(VLOOKUP(E1588,E$1:E1587,1,FALSE()))),"OLD",IF(AND(E1588&lt;&gt;"",E1588&lt;&gt;"!!!"),"NEW","")))</f>
        <v> </v>
      </c>
      <c r="G1588" s="23" t="str">
        <f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> </v>
      </c>
      <c r="H1588" s="24" t="str">
        <f>IF(J1588&lt;&gt;1,"",IF(I1588="SBJ","CB","?"))</f>
        <v> </v>
      </c>
      <c r="I1588" s="25" t="str">
        <f>IF(OR(E1588="",E1588="!!!",F1588="NEW"),"",INDEX(B1587:B$2,-1+SUMPRODUCT(MAX(ROW(E1587:E$2)*(E1588=E1587:E$2)))))</f>
        <v> </v>
      </c>
      <c r="J1588" s="25" t="str">
        <f>IF(OR(E1588="",E1588="!!!",F1588="NEW"),"",COUNTBLANK(OFFSET(A$1,,,SUMPRODUCT(MAX(ROW(E$2:E1588)*(E1588=E$2:E1588)))))-COUNTBLANK(OFFSET(A$1,,,SUMPRODUCT(MAX(ROW(E$1:E1587)*(E2=E$1:E1587))))))</f>
        <v> </v>
      </c>
      <c r="K1588" s="25" t="str">
        <f>IF(OR(E1588="",E1588="!!!",F1588="NEW"),"",INDEX(J$1:J1587,SUMPRODUCT(MAX(ROW(E$1:E1587)*(E1588=E$1:E1587)))))</f>
        <v> </v>
      </c>
      <c r="L1588" s="26"/>
    </row>
    <row r="1589" spans="1:12">
      <c r="A1589" s="20" t="s">
        <v>392</v>
      </c>
      <c r="E1589" s="21">
        <f>IF(D1589="?OLD","!!!","")</f>
        <v/>
      </c>
      <c r="F1589" s="22" t="str">
        <f>IF(OR(E1589="",E1589="!!!"),"",IF(NOT(ISNA(VLOOKUP(E1589,E$1:E1588,1,FALSE()))),"OLD",IF(AND(E1589&lt;&gt;"",E1589&lt;&gt;"!!!"),"NEW","")))</f>
        <v> </v>
      </c>
      <c r="G1589" s="23" t="str">
        <f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> </v>
      </c>
      <c r="H1589" s="24" t="str">
        <f>IF(J1589&lt;&gt;1,"",IF(I1589="SBJ","CB","?"))</f>
        <v> </v>
      </c>
      <c r="I1589" s="25" t="str">
        <f>IF(OR(E1589="",E1589="!!!",F1589="NEW"),"",INDEX(B1588:B$2,-1+SUMPRODUCT(MAX(ROW(E1588:E$2)*(E1589=E1588:E$2)))))</f>
        <v> </v>
      </c>
      <c r="J1589" s="25" t="str">
        <f>IF(OR(E1589="",E1589="!!!",F1589="NEW"),"",COUNTBLANK(OFFSET(A$1,,,SUMPRODUCT(MAX(ROW(E$2:E1589)*(E1589=E$2:E1589)))))-COUNTBLANK(OFFSET(A$1,,,SUMPRODUCT(MAX(ROW(E$1:E1588)*(E2=E$1:E1588))))))</f>
        <v> </v>
      </c>
      <c r="K1589" s="25" t="str">
        <f>IF(OR(E1589="",E1589="!!!",F1589="NEW"),"",INDEX(J$1:J1588,SUMPRODUCT(MAX(ROW(E$1:E1588)*(E1589=E$1:E1588)))))</f>
        <v> </v>
      </c>
      <c r="L1589" s="26"/>
    </row>
    <row r="1590" spans="1:12">
      <c r="A1590" s="20" t="s">
        <v>1351</v>
      </c>
      <c r="E1590" s="21">
        <f>IF(D1590="?OLD","!!!","")</f>
        <v/>
      </c>
      <c r="F1590" s="22" t="str">
        <f>IF(OR(E1590="",E1590="!!!"),"",IF(NOT(ISNA(VLOOKUP(E1590,E$1:E1589,1,FALSE()))),"OLD",IF(AND(E1590&lt;&gt;"",E1590&lt;&gt;"!!!"),"NEW","")))</f>
        <v> </v>
      </c>
      <c r="G1590" s="23" t="str">
        <f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> </v>
      </c>
      <c r="H1590" s="24" t="str">
        <f>IF(J1590&lt;&gt;1,"",IF(I1590="SBJ","CB","?"))</f>
        <v> </v>
      </c>
      <c r="I1590" s="25" t="str">
        <f>IF(OR(E1590="",E1590="!!!",F1590="NEW"),"",INDEX(B1589:B$2,-1+SUMPRODUCT(MAX(ROW(E1589:E$2)*(E1590=E1589:E$2)))))</f>
        <v> </v>
      </c>
      <c r="J1590" s="25" t="str">
        <f>IF(OR(E1590="",E1590="!!!",F1590="NEW"),"",COUNTBLANK(OFFSET(A$1,,,SUMPRODUCT(MAX(ROW(E$2:E1590)*(E1590=E$2:E1590)))))-COUNTBLANK(OFFSET(A$1,,,SUMPRODUCT(MAX(ROW(E$1:E1589)*(E2=E$1:E1589))))))</f>
        <v> </v>
      </c>
      <c r="K1590" s="25" t="str">
        <f>IF(OR(E1590="",E1590="!!!",F1590="NEW"),"",INDEX(J$1:J1589,SUMPRODUCT(MAX(ROW(E$1:E1589)*(E1590=E$1:E1589)))))</f>
        <v> </v>
      </c>
      <c r="L1590" s="26"/>
    </row>
    <row r="1591" spans="1:12">
      <c r="A1591" s="20" t="s">
        <v>1111</v>
      </c>
      <c r="E1591" s="21">
        <f>IF(D1591="?OLD","!!!","")</f>
        <v/>
      </c>
      <c r="F1591" s="22" t="str">
        <f>IF(OR(E1591="",E1591="!!!"),"",IF(NOT(ISNA(VLOOKUP(E1591,E$1:E1590,1,FALSE()))),"OLD",IF(AND(E1591&lt;&gt;"",E1591&lt;&gt;"!!!"),"NEW","")))</f>
        <v> </v>
      </c>
      <c r="G1591" s="23" t="str">
        <f>IF(OR(E1591="",E1591="!!!"),"",IF(OR(J1591=0,AND(J1591=1,K1591=1),AND(J1591=1,I1591="SBJ"),AND(J1591=1,I1591=0)),"?IN_FOCUS",IF(J1591&lt;=2,"?ACTIVATED",IF(J1591&lt;&gt;"","?FAMILIAR",IF(F1591="NEW",IF(ISNA(VLOOKUP(E1591,#REF!,1,FALSE())),"?TYPE_IDENTIFIABLE","?REFERENTIAL"),"_")))))</f>
        <v> </v>
      </c>
      <c r="H1591" s="24" t="str">
        <f>IF(J1591&lt;&gt;1,"",IF(I1591="SBJ","CB","?"))</f>
        <v> </v>
      </c>
      <c r="I1591" s="25" t="str">
        <f>IF(OR(E1591="",E1591="!!!",F1591="NEW"),"",INDEX(B1590:B$2,-1+SUMPRODUCT(MAX(ROW(E1590:E$2)*(E1591=E1590:E$2)))))</f>
        <v> </v>
      </c>
      <c r="J1591" s="25" t="str">
        <f>IF(OR(E1591="",E1591="!!!",F1591="NEW"),"",COUNTBLANK(OFFSET(A$1,,,SUMPRODUCT(MAX(ROW(E$2:E1591)*(E1591=E$2:E1591)))))-COUNTBLANK(OFFSET(A$1,,,SUMPRODUCT(MAX(ROW(E$1:E1590)*(E2=E$1:E1590))))))</f>
        <v> </v>
      </c>
      <c r="K1591" s="25" t="str">
        <f>IF(OR(E1591="",E1591="!!!",F1591="NEW"),"",INDEX(J$1:J1590,SUMPRODUCT(MAX(ROW(E$1:E1590)*(E1591=E$1:E1590)))))</f>
        <v> </v>
      </c>
      <c r="L1591" s="26"/>
    </row>
    <row r="1592" spans="1:12">
      <c r="A1592" s="20" t="s">
        <v>1937</v>
      </c>
      <c r="E1592" s="21">
        <f>IF(D1592="?OLD","!!!","")</f>
        <v/>
      </c>
      <c r="F1592" s="22" t="str">
        <f>IF(OR(E1592="",E1592="!!!"),"",IF(NOT(ISNA(VLOOKUP(E1592,E$1:E1591,1,FALSE()))),"OLD",IF(AND(E1592&lt;&gt;"",E1592&lt;&gt;"!!!"),"NEW","")))</f>
        <v> </v>
      </c>
      <c r="G1592" s="23" t="str">
        <f>IF(OR(E1592="",E1592="!!!"),"",IF(OR(J1592=0,AND(J1592=1,K1592=1),AND(J1592=1,I1592="SBJ"),AND(J1592=1,I1592=0)),"?IN_FOCUS",IF(J1592&lt;=2,"?ACTIVATED",IF(J1592&lt;&gt;"","?FAMILIAR",IF(F1592="NEW",IF(ISNA(VLOOKUP(E1592,#REF!,1,FALSE())),"?TYPE_IDENTIFIABLE","?REFERENTIAL"),"_")))))</f>
        <v> </v>
      </c>
      <c r="H1592" s="24" t="str">
        <f>IF(J1592&lt;&gt;1,"",IF(I1592="SBJ","CB","?"))</f>
        <v> </v>
      </c>
      <c r="I1592" s="25" t="str">
        <f>IF(OR(E1592="",E1592="!!!",F1592="NEW"),"",INDEX(B1591:B$2,-1+SUMPRODUCT(MAX(ROW(E1591:E$2)*(E1592=E1591:E$2)))))</f>
        <v> </v>
      </c>
      <c r="J1592" s="25" t="str">
        <f>IF(OR(E1592="",E1592="!!!",F1592="NEW"),"",COUNTBLANK(OFFSET(A$1,,,SUMPRODUCT(MAX(ROW(E$2:E1592)*(E1592=E$2:E1592)))))-COUNTBLANK(OFFSET(A$1,,,SUMPRODUCT(MAX(ROW(E$1:E1591)*(E2=E$1:E1591))))))</f>
        <v> </v>
      </c>
      <c r="K1592" s="25" t="str">
        <f>IF(OR(E1592="",E1592="!!!",F1592="NEW"),"",INDEX(J$1:J1591,SUMPRODUCT(MAX(ROW(E$1:E1591)*(E1592=E$1:E1591)))))</f>
        <v> </v>
      </c>
      <c r="L1592" s="26"/>
    </row>
    <row r="1593" spans="1:12">
      <c r="A1593" s="20" t="s">
        <v>1225</v>
      </c>
      <c r="B1593" s="27" t="s">
        <v>1122</v>
      </c>
      <c r="C1593" s="27" t="s">
        <v>1108</v>
      </c>
      <c r="D1593" s="27" t="s">
        <v>1105</v>
      </c>
      <c r="E1593" s="21">
        <f>IF(D1593="?OLD","!!!","")</f>
        <v/>
      </c>
      <c r="F1593" s="22" t="str">
        <f>IF(OR(E1593="",E1593="!!!"),"",IF(NOT(ISNA(VLOOKUP(E1593,E$1:E1592,1,FALSE()))),"OLD",IF(AND(E1593&lt;&gt;"",E1593&lt;&gt;"!!!"),"NEW","")))</f>
        <v> </v>
      </c>
      <c r="G1593" s="23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> </v>
      </c>
      <c r="H1593" s="24" t="str">
        <f>IF(J1593&lt;&gt;1,"",IF(I1593="SBJ","CB","?"))</f>
        <v> </v>
      </c>
      <c r="I1593" s="25" t="str">
        <f>IF(OR(E1593="",E1593="!!!",F1593="NEW"),"",INDEX(B1592:B$2,-1+SUMPRODUCT(MAX(ROW(E1592:E$2)*(E1593=E1592:E$2)))))</f>
        <v> </v>
      </c>
      <c r="J1593" s="25" t="str">
        <f>IF(OR(E1593="",E1593="!!!",F1593="NEW"),"",COUNTBLANK(OFFSET(A$1,,,SUMPRODUCT(MAX(ROW(E$2:E1593)*(E1593=E$2:E1593)))))-COUNTBLANK(OFFSET(A$1,,,SUMPRODUCT(MAX(ROW(E$1:E1592)*(E2=E$1:E1592))))))</f>
        <v> </v>
      </c>
      <c r="K1593" s="25" t="str">
        <f>IF(OR(E1593="",E1593="!!!",F1593="NEW"),"",INDEX(J$1:J1592,SUMPRODUCT(MAX(ROW(E$1:E1592)*(E1593=E$1:E1592)))))</f>
        <v> </v>
      </c>
      <c r="L1593" s="26"/>
    </row>
    <row r="1594" spans="1:12">
      <c r="A1594" s="20" t="s">
        <v>1128</v>
      </c>
      <c r="E1594" s="21">
        <f>IF(D1594="?OLD","!!!","")</f>
        <v/>
      </c>
      <c r="F1594" s="22" t="str">
        <f>IF(OR(E1594="",E1594="!!!"),"",IF(NOT(ISNA(VLOOKUP(E1594,E$1:E1593,1,FALSE()))),"OLD",IF(AND(E1594&lt;&gt;"",E1594&lt;&gt;"!!!"),"NEW","")))</f>
        <v> </v>
      </c>
      <c r="G1594" s="23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> </v>
      </c>
      <c r="H1594" s="24" t="str">
        <f>IF(J1594&lt;&gt;1,"",IF(I1594="SBJ","CB","?"))</f>
        <v> </v>
      </c>
      <c r="I1594" s="25" t="str">
        <f>IF(OR(E1594="",E1594="!!!",F1594="NEW"),"",INDEX(B1593:B$2,-1+SUMPRODUCT(MAX(ROW(E1593:E$2)*(E1594=E1593:E$2)))))</f>
        <v> </v>
      </c>
      <c r="J1594" s="25" t="str">
        <f>IF(OR(E1594="",E1594="!!!",F1594="NEW"),"",COUNTBLANK(OFFSET(A$1,,,SUMPRODUCT(MAX(ROW(E$2:E1594)*(E1594=E$2:E1594)))))-COUNTBLANK(OFFSET(A$1,,,SUMPRODUCT(MAX(ROW(E$1:E1593)*(E2=E$1:E1593))))))</f>
        <v> </v>
      </c>
      <c r="K1594" s="25" t="str">
        <f>IF(OR(E1594="",E1594="!!!",F1594="NEW"),"",INDEX(J$1:J1593,SUMPRODUCT(MAX(ROW(E$1:E1593)*(E1594=E$1:E1593)))))</f>
        <v> </v>
      </c>
      <c r="L1594" s="26"/>
    </row>
    <row r="1595" spans="1:12">
      <c r="A1595" s="20" t="s">
        <v>1938</v>
      </c>
      <c r="E1595" s="21">
        <f>IF(D1595="?OLD","!!!","")</f>
        <v/>
      </c>
      <c r="F1595" s="22" t="str">
        <f>IF(OR(E1595="",E1595="!!!"),"",IF(NOT(ISNA(VLOOKUP(E1595,E$1:E1594,1,FALSE()))),"OLD",IF(AND(E1595&lt;&gt;"",E1595&lt;&gt;"!!!"),"NEW","")))</f>
        <v> </v>
      </c>
      <c r="G1595" s="23" t="str">
        <f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> </v>
      </c>
      <c r="H1595" s="24" t="str">
        <f>IF(J1595&lt;&gt;1,"",IF(I1595="SBJ","CB","?"))</f>
        <v> </v>
      </c>
      <c r="I1595" s="25" t="str">
        <f>IF(OR(E1595="",E1595="!!!",F1595="NEW"),"",INDEX(B1594:B$2,-1+SUMPRODUCT(MAX(ROW(E1594:E$2)*(E1595=E1594:E$2)))))</f>
        <v> </v>
      </c>
      <c r="J1595" s="25" t="str">
        <f>IF(OR(E1595="",E1595="!!!",F1595="NEW"),"",COUNTBLANK(OFFSET(A$1,,,SUMPRODUCT(MAX(ROW(E$2:E1595)*(E1595=E$2:E1595)))))-COUNTBLANK(OFFSET(A$1,,,SUMPRODUCT(MAX(ROW(E$1:E1594)*(E2=E$1:E1594))))))</f>
        <v> </v>
      </c>
      <c r="K1595" s="25" t="str">
        <f>IF(OR(E1595="",E1595="!!!",F1595="NEW"),"",INDEX(J$1:J1594,SUMPRODUCT(MAX(ROW(E$1:E1594)*(E1595=E$1:E1594)))))</f>
        <v> </v>
      </c>
      <c r="L1595" s="26"/>
    </row>
    <row r="1596" spans="1:12">
      <c r="A1596" s="20" t="s">
        <v>1939</v>
      </c>
      <c r="B1596" s="27" t="s">
        <v>1115</v>
      </c>
      <c r="E1596" s="21">
        <f>IF(D1596="?OLD","!!!","")</f>
        <v/>
      </c>
      <c r="F1596" s="22" t="str">
        <f>IF(OR(E1596="",E1596="!!!"),"",IF(NOT(ISNA(VLOOKUP(E1596,E$1:E1595,1,FALSE()))),"OLD",IF(AND(E1596&lt;&gt;"",E1596&lt;&gt;"!!!"),"NEW","")))</f>
        <v> </v>
      </c>
      <c r="G1596" s="23" t="str">
        <f>IF(OR(E1596="",E1596="!!!"),"",IF(OR(J1596=0,AND(J1596=1,K1596=1),AND(J1596=1,I1596="SBJ"),AND(J1596=1,I1596=0)),"?IN_FOCUS",IF(J1596&lt;=2,"?ACTIVATED",IF(J1596&lt;&gt;"","?FAMILIAR",IF(F1596="NEW",IF(ISNA(VLOOKUP(E1596,#REF!,1,FALSE())),"?TYPE_IDENTIFIABLE","?REFERENTIAL"),"_")))))</f>
        <v> </v>
      </c>
      <c r="H1596" s="24" t="str">
        <f>IF(J1596&lt;&gt;1,"",IF(I1596="SBJ","CB","?"))</f>
        <v> </v>
      </c>
      <c r="I1596" s="25" t="str">
        <f>IF(OR(E1596="",E1596="!!!",F1596="NEW"),"",INDEX(B1595:B$2,-1+SUMPRODUCT(MAX(ROW(E1595:E$2)*(E1596=E1595:E$2)))))</f>
        <v> </v>
      </c>
      <c r="J1596" s="25" t="str">
        <f>IF(OR(E1596="",E1596="!!!",F1596="NEW"),"",COUNTBLANK(OFFSET(A$1,,,SUMPRODUCT(MAX(ROW(E$2:E1596)*(E1596=E$2:E1596)))))-COUNTBLANK(OFFSET(A$1,,,SUMPRODUCT(MAX(ROW(E$1:E1595)*(E2=E$1:E1595))))))</f>
        <v> </v>
      </c>
      <c r="K1596" s="25" t="str">
        <f>IF(OR(E1596="",E1596="!!!",F1596="NEW"),"",INDEX(J$1:J1595,SUMPRODUCT(MAX(ROW(E$1:E1595)*(E1596=E$1:E1595)))))</f>
        <v> </v>
      </c>
      <c r="L1596" s="26"/>
    </row>
    <row r="1597" spans="1:12">
      <c r="A1597" s="20" t="s">
        <v>1123</v>
      </c>
      <c r="E1597" s="21">
        <f>IF(D1597="?OLD","!!!","")</f>
        <v/>
      </c>
      <c r="F1597" s="22" t="str">
        <f>IF(OR(E1597="",E1597="!!!"),"",IF(NOT(ISNA(VLOOKUP(E1597,E$1:E1596,1,FALSE()))),"OLD",IF(AND(E1597&lt;&gt;"",E1597&lt;&gt;"!!!"),"NEW","")))</f>
        <v> </v>
      </c>
      <c r="G1597" s="23" t="str">
        <f>IF(OR(E1597="",E1597="!!!"),"",IF(OR(J1597=0,AND(J1597=1,K1597=1),AND(J1597=1,I1597="SBJ"),AND(J1597=1,I1597=0)),"?IN_FOCUS",IF(J1597&lt;=2,"?ACTIVATED",IF(J1597&lt;&gt;"","?FAMILIAR",IF(F1597="NEW",IF(ISNA(VLOOKUP(E1597,#REF!,1,FALSE())),"?TYPE_IDENTIFIABLE","?REFERENTIAL"),"_")))))</f>
        <v> </v>
      </c>
      <c r="H1597" s="24" t="str">
        <f>IF(J1597&lt;&gt;1,"",IF(I1597="SBJ","CB","?"))</f>
        <v> </v>
      </c>
      <c r="I1597" s="25" t="str">
        <f>IF(OR(E1597="",E1597="!!!",F1597="NEW"),"",INDEX(B1596:B$2,-1+SUMPRODUCT(MAX(ROW(E1596:E$2)*(E1597=E1596:E$2)))))</f>
        <v> </v>
      </c>
      <c r="J1597" s="25" t="str">
        <f>IF(OR(E1597="",E1597="!!!",F1597="NEW"),"",COUNTBLANK(OFFSET(A$1,,,SUMPRODUCT(MAX(ROW(E$2:E1597)*(E1597=E$2:E1597)))))-COUNTBLANK(OFFSET(A$1,,,SUMPRODUCT(MAX(ROW(E$1:E1596)*(E2=E$1:E1596))))))</f>
        <v> </v>
      </c>
      <c r="K1597" s="25" t="str">
        <f>IF(OR(E1597="",E1597="!!!",F1597="NEW"),"",INDEX(J$1:J1596,SUMPRODUCT(MAX(ROW(E$1:E1596)*(E1597=E$1:E1596)))))</f>
        <v> </v>
      </c>
      <c r="L1597" s="26"/>
    </row>
    <row r="1598" spans="1:12">
      <c r="A1598" s="20" t="s">
        <v>1111</v>
      </c>
      <c r="E1598" s="21">
        <f>IF(D1598="?OLD","!!!","")</f>
        <v/>
      </c>
      <c r="F1598" s="22" t="str">
        <f>IF(OR(E1598="",E1598="!!!"),"",IF(NOT(ISNA(VLOOKUP(E1598,E$1:E1597,1,FALSE()))),"OLD",IF(AND(E1598&lt;&gt;"",E1598&lt;&gt;"!!!"),"NEW","")))</f>
        <v> </v>
      </c>
      <c r="G1598" s="23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> </v>
      </c>
      <c r="H1598" s="24" t="str">
        <f>IF(J1598&lt;&gt;1,"",IF(I1598="SBJ","CB","?"))</f>
        <v> </v>
      </c>
      <c r="I1598" s="25" t="str">
        <f>IF(OR(E1598="",E1598="!!!",F1598="NEW"),"",INDEX(B1597:B$2,-1+SUMPRODUCT(MAX(ROW(E1597:E$2)*(E1598=E1597:E$2)))))</f>
        <v> </v>
      </c>
      <c r="J1598" s="25" t="str">
        <f>IF(OR(E1598="",E1598="!!!",F1598="NEW"),"",COUNTBLANK(OFFSET(A$1,,,SUMPRODUCT(MAX(ROW(E$2:E1598)*(E1598=E$2:E1598)))))-COUNTBLANK(OFFSET(A$1,,,SUMPRODUCT(MAX(ROW(E$1:E1597)*(E2=E$1:E1597))))))</f>
        <v> </v>
      </c>
      <c r="K1598" s="25" t="str">
        <f>IF(OR(E1598="",E1598="!!!",F1598="NEW"),"",INDEX(J$1:J1597,SUMPRODUCT(MAX(ROW(E$1:E1597)*(E1598=E$1:E1597)))))</f>
        <v> </v>
      </c>
      <c r="L1598" s="26"/>
    </row>
    <row r="1599" spans="1:12">
      <c r="A1599" s="20" t="s">
        <v>1671</v>
      </c>
      <c r="E1599" s="21">
        <f>IF(D1599="?OLD","!!!","")</f>
        <v/>
      </c>
      <c r="F1599" s="22" t="str">
        <f>IF(OR(E1599="",E1599="!!!"),"",IF(NOT(ISNA(VLOOKUP(E1599,E$1:E1598,1,FALSE()))),"OLD",IF(AND(E1599&lt;&gt;"",E1599&lt;&gt;"!!!"),"NEW","")))</f>
        <v> </v>
      </c>
      <c r="G1599" s="23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> </v>
      </c>
      <c r="H1599" s="24" t="str">
        <f>IF(J1599&lt;&gt;1,"",IF(I1599="SBJ","CB","?"))</f>
        <v> </v>
      </c>
      <c r="I1599" s="25" t="str">
        <f>IF(OR(E1599="",E1599="!!!",F1599="NEW"),"",INDEX(B1598:B$2,-1+SUMPRODUCT(MAX(ROW(E1598:E$2)*(E1599=E1598:E$2)))))</f>
        <v> </v>
      </c>
      <c r="J1599" s="25" t="str">
        <f>IF(OR(E1599="",E1599="!!!",F1599="NEW"),"",COUNTBLANK(OFFSET(A$1,,,SUMPRODUCT(MAX(ROW(E$2:E1599)*(E1599=E$2:E1599)))))-COUNTBLANK(OFFSET(A$1,,,SUMPRODUCT(MAX(ROW(E$1:E1598)*(E2=E$1:E1598))))))</f>
        <v> </v>
      </c>
      <c r="K1599" s="25" t="str">
        <f>IF(OR(E1599="",E1599="!!!",F1599="NEW"),"",INDEX(J$1:J1598,SUMPRODUCT(MAX(ROW(E$1:E1598)*(E1599=E$1:E1598)))))</f>
        <v> </v>
      </c>
      <c r="L1599" s="26"/>
    </row>
    <row r="1600" spans="1:12">
      <c r="A1600" s="20" t="s">
        <v>1351</v>
      </c>
      <c r="E1600" s="21">
        <f>IF(D1600="?OLD","!!!","")</f>
        <v/>
      </c>
      <c r="F1600" s="22" t="str">
        <f>IF(OR(E1600="",E1600="!!!"),"",IF(NOT(ISNA(VLOOKUP(E1600,E$1:E1599,1,FALSE()))),"OLD",IF(AND(E1600&lt;&gt;"",E1600&lt;&gt;"!!!"),"NEW","")))</f>
        <v> </v>
      </c>
      <c r="G1600" s="23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> </v>
      </c>
      <c r="H1600" s="24" t="str">
        <f>IF(J1600&lt;&gt;1,"",IF(I1600="SBJ","CB","?"))</f>
        <v> </v>
      </c>
      <c r="I1600" s="25" t="str">
        <f>IF(OR(E1600="",E1600="!!!",F1600="NEW"),"",INDEX(B1599:B$2,-1+SUMPRODUCT(MAX(ROW(E1599:E$2)*(E1600=E1599:E$2)))))</f>
        <v> </v>
      </c>
      <c r="J1600" s="25" t="str">
        <f>IF(OR(E1600="",E1600="!!!",F1600="NEW"),"",COUNTBLANK(OFFSET(A$1,,,SUMPRODUCT(MAX(ROW(E$2:E1600)*(E1600=E$2:E1600)))))-COUNTBLANK(OFFSET(A$1,,,SUMPRODUCT(MAX(ROW(E$1:E1599)*(E2=E$1:E1599))))))</f>
        <v> </v>
      </c>
      <c r="K1600" s="25" t="str">
        <f>IF(OR(E1600="",E1600="!!!",F1600="NEW"),"",INDEX(J$1:J1599,SUMPRODUCT(MAX(ROW(E$1:E1599)*(E1600=E$1:E1599)))))</f>
        <v> </v>
      </c>
      <c r="L1600" s="26"/>
    </row>
    <row r="1601" spans="1:12">
      <c r="A1601" s="20"/>
    </row>
    <row r="1602" spans="1:12">
      <c r="A1602" s="20" t="s">
        <v>1940</v>
      </c>
    </row>
    <row r="1603" spans="1:12">
      <c r="A1603" s="20" t="s">
        <v>1350</v>
      </c>
      <c r="E1603" s="21">
        <f>IF(D1603="?OLD","!!!","")</f>
        <v/>
      </c>
      <c r="F1603" s="22" t="str">
        <f>IF(OR(E1603="",E1603="!!!"),"",IF(NOT(ISNA(VLOOKUP(E1603,E$1:E1602,1,FALSE()))),"OLD",IF(AND(E1603&lt;&gt;"",E1603&lt;&gt;"!!!"),"NEW","")))</f>
        <v> </v>
      </c>
      <c r="G1603" s="23" t="str">
        <f>IF(OR(E1603="",E1603="!!!"),"",IF(OR(J1603=0,AND(J1603=1,K1603=1),AND(J1603=1,I1603="SBJ"),AND(J1603=1,I1603=0)),"?IN_FOCUS",IF(J1603&lt;=2,"?ACTIVATED",IF(J1603&lt;&gt;"","?FAMILIAR",IF(F1603="NEW",IF(ISNA(VLOOKUP(E1603,#REF!,1,FALSE())),"?TYPE_IDENTIFIABLE","?REFERENTIAL"),"_")))))</f>
        <v> </v>
      </c>
      <c r="H1603" s="24" t="str">
        <f>IF(J1603&lt;&gt;1,"",IF(I1603="SBJ","CB","?"))</f>
        <v> </v>
      </c>
      <c r="I1603" s="25" t="str">
        <f>IF(OR(E1603="",E1603="!!!",F1603="NEW"),"",INDEX(B1602:B$2,-1+SUMPRODUCT(MAX(ROW(E1602:E$2)*(E1603=E1602:E$2)))))</f>
        <v> </v>
      </c>
      <c r="J1603" s="25" t="str">
        <f>IF(OR(E1603="",E1603="!!!",F1603="NEW"),"",COUNTBLANK(OFFSET(A$1,,,SUMPRODUCT(MAX(ROW(E$2:E1603)*(E1603=E$2:E1603)))))-COUNTBLANK(OFFSET(A$1,,,SUMPRODUCT(MAX(ROW(E$1:E1602)*(E2=E$1:E1602))))))</f>
        <v> </v>
      </c>
      <c r="K1603" s="25" t="str">
        <f>IF(OR(E1603="",E1603="!!!",F1603="NEW"),"",INDEX(J$1:J1602,SUMPRODUCT(MAX(ROW(E$1:E1602)*(E1603=E$1:E1602)))))</f>
        <v> </v>
      </c>
      <c r="L1603" s="26"/>
    </row>
    <row r="1604" spans="1:12">
      <c r="A1604" s="20" t="s">
        <v>1617</v>
      </c>
      <c r="B1604" s="27" t="s">
        <v>1149</v>
      </c>
      <c r="C1604" s="27" t="s">
        <v>1126</v>
      </c>
      <c r="D1604" s="27" t="s">
        <v>1105</v>
      </c>
      <c r="E1604" s="21">
        <f>IF(D1604="?OLD","!!!","")</f>
        <v/>
      </c>
      <c r="F1604" s="22" t="str">
        <f>IF(OR(E1604="",E1604="!!!"),"",IF(NOT(ISNA(VLOOKUP(E1604,E$1:E1603,1,FALSE()))),"OLD",IF(AND(E1604&lt;&gt;"",E1604&lt;&gt;"!!!"),"NEW","")))</f>
        <v> </v>
      </c>
      <c r="G1604" s="23" t="str">
        <f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> </v>
      </c>
      <c r="H1604" s="24" t="str">
        <f>IF(J1604&lt;&gt;1,"",IF(I1604="SBJ","CB","?"))</f>
        <v> </v>
      </c>
      <c r="I1604" s="25" t="str">
        <f>IF(OR(E1604="",E1604="!!!",F1604="NEW"),"",INDEX(B1603:B$2,-1+SUMPRODUCT(MAX(ROW(E1603:E$2)*(E1604=E1603:E$2)))))</f>
        <v> </v>
      </c>
      <c r="J1604" s="25" t="str">
        <f>IF(OR(E1604="",E1604="!!!",F1604="NEW"),"",COUNTBLANK(OFFSET(A$1,,,SUMPRODUCT(MAX(ROW(E$2:E1604)*(E1604=E$2:E1604)))))-COUNTBLANK(OFFSET(A$1,,,SUMPRODUCT(MAX(ROW(E$1:E1603)*(E2=E$1:E1603))))))</f>
        <v> </v>
      </c>
      <c r="K1604" s="25" t="str">
        <f>IF(OR(E1604="",E1604="!!!",F1604="NEW"),"",INDEX(J$1:J1603,SUMPRODUCT(MAX(ROW(E$1:E1603)*(E1604=E$1:E1603)))))</f>
        <v> </v>
      </c>
      <c r="L1604" s="26"/>
    </row>
    <row r="1605" spans="1:12">
      <c r="A1605" s="20" t="s">
        <v>1351</v>
      </c>
      <c r="E1605" s="21">
        <f>IF(D1605="?OLD","!!!","")</f>
        <v/>
      </c>
      <c r="F1605" s="22" t="str">
        <f>IF(OR(E1605="",E1605="!!!"),"",IF(NOT(ISNA(VLOOKUP(E1605,E$1:E1604,1,FALSE()))),"OLD",IF(AND(E1605&lt;&gt;"",E1605&lt;&gt;"!!!"),"NEW","")))</f>
        <v> </v>
      </c>
      <c r="G1605" s="23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> </v>
      </c>
      <c r="H1605" s="24" t="str">
        <f>IF(J1605&lt;&gt;1,"",IF(I1605="SBJ","CB","?"))</f>
        <v> </v>
      </c>
      <c r="I1605" s="25" t="str">
        <f>IF(OR(E1605="",E1605="!!!",F1605="NEW"),"",INDEX(B1604:B$2,-1+SUMPRODUCT(MAX(ROW(E1604:E$2)*(E1605=E1604:E$2)))))</f>
        <v> </v>
      </c>
      <c r="J1605" s="25" t="str">
        <f>IF(OR(E1605="",E1605="!!!",F1605="NEW"),"",COUNTBLANK(OFFSET(A$1,,,SUMPRODUCT(MAX(ROW(E$2:E1605)*(E1605=E$2:E1605)))))-COUNTBLANK(OFFSET(A$1,,,SUMPRODUCT(MAX(ROW(E$1:E1604)*(E2=E$1:E1604))))))</f>
        <v> </v>
      </c>
      <c r="K1605" s="25" t="str">
        <f>IF(OR(E1605="",E1605="!!!",F1605="NEW"),"",INDEX(J$1:J1604,SUMPRODUCT(MAX(ROW(E$1:E1604)*(E1605=E$1:E1604)))))</f>
        <v> </v>
      </c>
      <c r="L1605" s="26"/>
    </row>
    <row r="1606" spans="1:12">
      <c r="A1606" s="20"/>
    </row>
    <row r="1607" spans="1:12">
      <c r="A1607" s="20" t="s">
        <v>1941</v>
      </c>
    </row>
    <row r="1608" spans="1:12">
      <c r="A1608" s="20" t="s">
        <v>1277</v>
      </c>
      <c r="E1608" s="21">
        <f>IF(D1608="?OLD","!!!","")</f>
        <v/>
      </c>
      <c r="F1608" s="22" t="str">
        <f>IF(OR(E1608="",E1608="!!!"),"",IF(NOT(ISNA(VLOOKUP(E1608,E$1:E1607,1,FALSE()))),"OLD",IF(AND(E1608&lt;&gt;"",E1608&lt;&gt;"!!!"),"NEW","")))</f>
        <v> </v>
      </c>
      <c r="G1608" s="23" t="str">
        <f>IF(OR(E1608="",E1608="!!!"),"",IF(OR(J1608=0,AND(J1608=1,K1608=1),AND(J1608=1,I1608="SBJ"),AND(J1608=1,I1608=0)),"?IN_FOCUS",IF(J1608&lt;=2,"?ACTIVATED",IF(J1608&lt;&gt;"","?FAMILIAR",IF(F1608="NEW",IF(ISNA(VLOOKUP(E1608,#REF!,1,FALSE())),"?TYPE_IDENTIFIABLE","?REFERENTIAL"),"_")))))</f>
        <v> </v>
      </c>
      <c r="H1608" s="24" t="str">
        <f>IF(J1608&lt;&gt;1,"",IF(I1608="SBJ","CB","?"))</f>
        <v> </v>
      </c>
      <c r="I1608" s="25" t="str">
        <f>IF(OR(E1608="",E1608="!!!",F1608="NEW"),"",INDEX(B1607:B$2,-1+SUMPRODUCT(MAX(ROW(E1607:E$2)*(E1608=E1607:E$2)))))</f>
        <v> </v>
      </c>
      <c r="J1608" s="25" t="str">
        <f>IF(OR(E1608="",E1608="!!!",F1608="NEW"),"",COUNTBLANK(OFFSET(A$1,,,SUMPRODUCT(MAX(ROW(E$2:E1608)*(E1608=E$2:E1608)))))-COUNTBLANK(OFFSET(A$1,,,SUMPRODUCT(MAX(ROW(E$1:E1607)*(E2=E$1:E1607))))))</f>
        <v> </v>
      </c>
      <c r="K1608" s="25" t="str">
        <f>IF(OR(E1608="",E1608="!!!",F1608="NEW"),"",INDEX(J$1:J1607,SUMPRODUCT(MAX(ROW(E$1:E1607)*(E1608=E$1:E1607)))))</f>
        <v> </v>
      </c>
      <c r="L1608" s="26"/>
    </row>
    <row r="1609" spans="1:12">
      <c r="A1609" s="20" t="s">
        <v>1942</v>
      </c>
      <c r="E1609" s="21">
        <f>IF(D1609="?OLD","!!!","")</f>
        <v/>
      </c>
      <c r="F1609" s="22" t="str">
        <f>IF(OR(E1609="",E1609="!!!"),"",IF(NOT(ISNA(VLOOKUP(E1609,E$1:E1608,1,FALSE()))),"OLD",IF(AND(E1609&lt;&gt;"",E1609&lt;&gt;"!!!"),"NEW","")))</f>
        <v> </v>
      </c>
      <c r="G1609" s="23" t="str">
        <f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> </v>
      </c>
      <c r="H1609" s="24" t="str">
        <f>IF(J1609&lt;&gt;1,"",IF(I1609="SBJ","CB","?"))</f>
        <v> </v>
      </c>
      <c r="I1609" s="25" t="str">
        <f>IF(OR(E1609="",E1609="!!!",F1609="NEW"),"",INDEX(B1608:B$2,-1+SUMPRODUCT(MAX(ROW(E1608:E$2)*(E1609=E1608:E$2)))))</f>
        <v> </v>
      </c>
      <c r="J1609" s="25" t="str">
        <f>IF(OR(E1609="",E1609="!!!",F1609="NEW"),"",COUNTBLANK(OFFSET(A$1,,,SUMPRODUCT(MAX(ROW(E$2:E1609)*(E1609=E$2:E1609)))))-COUNTBLANK(OFFSET(A$1,,,SUMPRODUCT(MAX(ROW(E$1:E1608)*(E2=E$1:E1608))))))</f>
        <v> </v>
      </c>
      <c r="K1609" s="25" t="str">
        <f>IF(OR(E1609="",E1609="!!!",F1609="NEW"),"",INDEX(J$1:J1608,SUMPRODUCT(MAX(ROW(E$1:E1608)*(E1609=E$1:E1608)))))</f>
        <v> </v>
      </c>
      <c r="L1609" s="26"/>
    </row>
    <row r="1610" spans="1:12">
      <c r="A1610" s="20" t="s">
        <v>1943</v>
      </c>
      <c r="E1610" s="21">
        <f>IF(D1610="?OLD","!!!","")</f>
        <v/>
      </c>
      <c r="F1610" s="22" t="str">
        <f>IF(OR(E1610="",E1610="!!!"),"",IF(NOT(ISNA(VLOOKUP(E1610,E$1:E1609,1,FALSE()))),"OLD",IF(AND(E1610&lt;&gt;"",E1610&lt;&gt;"!!!"),"NEW","")))</f>
        <v> </v>
      </c>
      <c r="G1610" s="23" t="str">
        <f>IF(OR(E1610="",E1610="!!!"),"",IF(OR(J1610=0,AND(J1610=1,K1610=1),AND(J1610=1,I1610="SBJ"),AND(J1610=1,I1610=0)),"?IN_FOCUS",IF(J1610&lt;=2,"?ACTIVATED",IF(J1610&lt;&gt;"","?FAMILIAR",IF(F1610="NEW",IF(ISNA(VLOOKUP(E1610,#REF!,1,FALSE())),"?TYPE_IDENTIFIABLE","?REFERENTIAL"),"_")))))</f>
        <v> </v>
      </c>
      <c r="H1610" s="24" t="str">
        <f>IF(J1610&lt;&gt;1,"",IF(I1610="SBJ","CB","?"))</f>
        <v> </v>
      </c>
      <c r="I1610" s="25" t="str">
        <f>IF(OR(E1610="",E1610="!!!",F1610="NEW"),"",INDEX(B1609:B$2,-1+SUMPRODUCT(MAX(ROW(E1609:E$2)*(E1610=E1609:E$2)))))</f>
        <v> </v>
      </c>
      <c r="J1610" s="25" t="str">
        <f>IF(OR(E1610="",E1610="!!!",F1610="NEW"),"",COUNTBLANK(OFFSET(A$1,,,SUMPRODUCT(MAX(ROW(E$2:E1610)*(E1610=E$2:E1610)))))-COUNTBLANK(OFFSET(A$1,,,SUMPRODUCT(MAX(ROW(E$1:E1609)*(E2=E$1:E1609))))))</f>
        <v> </v>
      </c>
      <c r="K1610" s="25" t="str">
        <f>IF(OR(E1610="",E1610="!!!",F1610="NEW"),"",INDEX(J$1:J1609,SUMPRODUCT(MAX(ROW(E$1:E1609)*(E1610=E$1:E1609)))))</f>
        <v> </v>
      </c>
      <c r="L1610" s="26"/>
    </row>
    <row r="1611" spans="1:12">
      <c r="A1611" s="20" t="s">
        <v>1944</v>
      </c>
      <c r="E1611" s="21">
        <f>IF(D1611="?OLD","!!!","")</f>
        <v/>
      </c>
      <c r="F1611" s="22" t="str">
        <f>IF(OR(E1611="",E1611="!!!"),"",IF(NOT(ISNA(VLOOKUP(E1611,E$1:E1610,1,FALSE()))),"OLD",IF(AND(E1611&lt;&gt;"",E1611&lt;&gt;"!!!"),"NEW","")))</f>
        <v> </v>
      </c>
      <c r="G1611" s="23" t="str">
        <f>IF(OR(E1611="",E1611="!!!"),"",IF(OR(J1611=0,AND(J1611=1,K1611=1),AND(J1611=1,I1611="SBJ"),AND(J1611=1,I1611=0)),"?IN_FOCUS",IF(J1611&lt;=2,"?ACTIVATED",IF(J1611&lt;&gt;"","?FAMILIAR",IF(F1611="NEW",IF(ISNA(VLOOKUP(E1611,#REF!,1,FALSE())),"?TYPE_IDENTIFIABLE","?REFERENTIAL"),"_")))))</f>
        <v> </v>
      </c>
      <c r="H1611" s="24" t="str">
        <f>IF(J1611&lt;&gt;1,"",IF(I1611="SBJ","CB","?"))</f>
        <v> </v>
      </c>
      <c r="I1611" s="25" t="str">
        <f>IF(OR(E1611="",E1611="!!!",F1611="NEW"),"",INDEX(B1610:B$2,-1+SUMPRODUCT(MAX(ROW(E1610:E$2)*(E1611=E1610:E$2)))))</f>
        <v> </v>
      </c>
      <c r="J1611" s="25" t="str">
        <f>IF(OR(E1611="",E1611="!!!",F1611="NEW"),"",COUNTBLANK(OFFSET(A$1,,,SUMPRODUCT(MAX(ROW(E$2:E1611)*(E1611=E$2:E1611)))))-COUNTBLANK(OFFSET(A$1,,,SUMPRODUCT(MAX(ROW(E$1:E1610)*(E2=E$1:E1610))))))</f>
        <v> </v>
      </c>
      <c r="K1611" s="25" t="str">
        <f>IF(OR(E1611="",E1611="!!!",F1611="NEW"),"",INDEX(J$1:J1610,SUMPRODUCT(MAX(ROW(E$1:E1610)*(E1611=E$1:E1610)))))</f>
        <v> </v>
      </c>
      <c r="L1611" s="26"/>
    </row>
    <row r="1612" spans="1:12">
      <c r="A1612" s="20" t="s">
        <v>1271</v>
      </c>
      <c r="E1612" s="21">
        <f>IF(D1612="?OLD","!!!","")</f>
        <v/>
      </c>
      <c r="F1612" s="22" t="str">
        <f>IF(OR(E1612="",E1612="!!!"),"",IF(NOT(ISNA(VLOOKUP(E1612,E$1:E1611,1,FALSE()))),"OLD",IF(AND(E1612&lt;&gt;"",E1612&lt;&gt;"!!!"),"NEW","")))</f>
        <v> </v>
      </c>
      <c r="G1612" s="23" t="str">
        <f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> </v>
      </c>
      <c r="H1612" s="24" t="str">
        <f>IF(J1612&lt;&gt;1,"",IF(I1612="SBJ","CB","?"))</f>
        <v> </v>
      </c>
      <c r="I1612" s="25" t="str">
        <f>IF(OR(E1612="",E1612="!!!",F1612="NEW"),"",INDEX(B1611:B$2,-1+SUMPRODUCT(MAX(ROW(E1611:E$2)*(E1612=E1611:E$2)))))</f>
        <v> </v>
      </c>
      <c r="J1612" s="25" t="str">
        <f>IF(OR(E1612="",E1612="!!!",F1612="NEW"),"",COUNTBLANK(OFFSET(A$1,,,SUMPRODUCT(MAX(ROW(E$2:E1612)*(E1612=E$2:E1612)))))-COUNTBLANK(OFFSET(A$1,,,SUMPRODUCT(MAX(ROW(E$1:E1611)*(E2=E$1:E1611))))))</f>
        <v> </v>
      </c>
      <c r="K1612" s="25" t="str">
        <f>IF(OR(E1612="",E1612="!!!",F1612="NEW"),"",INDEX(J$1:J1611,SUMPRODUCT(MAX(ROW(E$1:E1611)*(E1612=E$1:E1611)))))</f>
        <v> </v>
      </c>
      <c r="L1612" s="26"/>
    </row>
    <row r="1613" spans="1:12">
      <c r="A1613" s="20" t="s">
        <v>1242</v>
      </c>
      <c r="B1613" s="27" t="s">
        <v>1132</v>
      </c>
      <c r="C1613" s="27" t="s">
        <v>1126</v>
      </c>
      <c r="D1613" s="27" t="s">
        <v>1105</v>
      </c>
      <c r="E1613" s="21">
        <f>IF(D1613="?OLD","!!!","")</f>
        <v/>
      </c>
      <c r="F1613" s="22" t="str">
        <f>IF(OR(E1613="",E1613="!!!"),"",IF(NOT(ISNA(VLOOKUP(E1613,E$1:E1612,1,FALSE()))),"OLD",IF(AND(E1613&lt;&gt;"",E1613&lt;&gt;"!!!"),"NEW","")))</f>
        <v> </v>
      </c>
      <c r="G1613" s="23" t="str">
        <f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> </v>
      </c>
      <c r="H1613" s="24" t="str">
        <f>IF(J1613&lt;&gt;1,"",IF(I1613="SBJ","CB","?"))</f>
        <v> </v>
      </c>
      <c r="I1613" s="25" t="str">
        <f>IF(OR(E1613="",E1613="!!!",F1613="NEW"),"",INDEX(B1612:B$2,-1+SUMPRODUCT(MAX(ROW(E1612:E$2)*(E1613=E1612:E$2)))))</f>
        <v> </v>
      </c>
      <c r="J1613" s="25" t="str">
        <f>IF(OR(E1613="",E1613="!!!",F1613="NEW"),"",COUNTBLANK(OFFSET(A$1,,,SUMPRODUCT(MAX(ROW(E$2:E1613)*(E1613=E$2:E1613)))))-COUNTBLANK(OFFSET(A$1,,,SUMPRODUCT(MAX(ROW(E$1:E1612)*(E2=E$1:E1612))))))</f>
        <v> </v>
      </c>
      <c r="K1613" s="25" t="str">
        <f>IF(OR(E1613="",E1613="!!!",F1613="NEW"),"",INDEX(J$1:J1612,SUMPRODUCT(MAX(ROW(E$1:E1612)*(E1613=E$1:E1612)))))</f>
        <v> </v>
      </c>
      <c r="L1613" s="26"/>
    </row>
    <row r="1614" spans="1:12">
      <c r="A1614" s="20" t="s">
        <v>1904</v>
      </c>
      <c r="E1614" s="21">
        <f>IF(D1614="?OLD","!!!","")</f>
        <v/>
      </c>
      <c r="F1614" s="22" t="str">
        <f>IF(OR(E1614="",E1614="!!!"),"",IF(NOT(ISNA(VLOOKUP(E1614,E$1:E1613,1,FALSE()))),"OLD",IF(AND(E1614&lt;&gt;"",E1614&lt;&gt;"!!!"),"NEW","")))</f>
        <v> </v>
      </c>
      <c r="G1614" s="23" t="str">
        <f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> </v>
      </c>
      <c r="H1614" s="24" t="str">
        <f>IF(J1614&lt;&gt;1,"",IF(I1614="SBJ","CB","?"))</f>
        <v> </v>
      </c>
      <c r="I1614" s="25" t="str">
        <f>IF(OR(E1614="",E1614="!!!",F1614="NEW"),"",INDEX(B1613:B$2,-1+SUMPRODUCT(MAX(ROW(E1613:E$2)*(E1614=E1613:E$2)))))</f>
        <v> </v>
      </c>
      <c r="J1614" s="25" t="str">
        <f>IF(OR(E1614="",E1614="!!!",F1614="NEW"),"",COUNTBLANK(OFFSET(A$1,,,SUMPRODUCT(MAX(ROW(E$2:E1614)*(E1614=E$2:E1614)))))-COUNTBLANK(OFFSET(A$1,,,SUMPRODUCT(MAX(ROW(E$1:E1613)*(E2=E$1:E1613))))))</f>
        <v> </v>
      </c>
      <c r="K1614" s="25" t="str">
        <f>IF(OR(E1614="",E1614="!!!",F1614="NEW"),"",INDEX(J$1:J1613,SUMPRODUCT(MAX(ROW(E$1:E1613)*(E1614=E$1:E1613)))))</f>
        <v> </v>
      </c>
      <c r="L1614" s="26"/>
    </row>
    <row r="1615" spans="1:12">
      <c r="A1615" s="20" t="s">
        <v>1945</v>
      </c>
      <c r="E1615" s="21">
        <f>IF(D1615="?OLD","!!!","")</f>
        <v/>
      </c>
      <c r="F1615" s="22" t="str">
        <f>IF(OR(E1615="",E1615="!!!"),"",IF(NOT(ISNA(VLOOKUP(E1615,E$1:E1614,1,FALSE()))),"OLD",IF(AND(E1615&lt;&gt;"",E1615&lt;&gt;"!!!"),"NEW","")))</f>
        <v> </v>
      </c>
      <c r="G1615" s="23" t="str">
        <f>IF(OR(E1615="",E1615="!!!"),"",IF(OR(J1615=0,AND(J1615=1,K1615=1),AND(J1615=1,I1615="SBJ"),AND(J1615=1,I1615=0)),"?IN_FOCUS",IF(J1615&lt;=2,"?ACTIVATED",IF(J1615&lt;&gt;"","?FAMILIAR",IF(F1615="NEW",IF(ISNA(VLOOKUP(E1615,#REF!,1,FALSE())),"?TYPE_IDENTIFIABLE","?REFERENTIAL"),"_")))))</f>
        <v> </v>
      </c>
      <c r="H1615" s="24" t="str">
        <f>IF(J1615&lt;&gt;1,"",IF(I1615="SBJ","CB","?"))</f>
        <v> </v>
      </c>
      <c r="I1615" s="25" t="str">
        <f>IF(OR(E1615="",E1615="!!!",F1615="NEW"),"",INDEX(B1614:B$2,-1+SUMPRODUCT(MAX(ROW(E1614:E$2)*(E1615=E1614:E$2)))))</f>
        <v> </v>
      </c>
      <c r="J1615" s="25" t="str">
        <f>IF(OR(E1615="",E1615="!!!",F1615="NEW"),"",COUNTBLANK(OFFSET(A$1,,,SUMPRODUCT(MAX(ROW(E$2:E1615)*(E1615=E$2:E1615)))))-COUNTBLANK(OFFSET(A$1,,,SUMPRODUCT(MAX(ROW(E$1:E1614)*(E2=E$1:E1614))))))</f>
        <v> </v>
      </c>
      <c r="K1615" s="25" t="str">
        <f>IF(OR(E1615="",E1615="!!!",F1615="NEW"),"",INDEX(J$1:J1614,SUMPRODUCT(MAX(ROW(E$1:E1614)*(E1615=E$1:E1614)))))</f>
        <v> </v>
      </c>
      <c r="L1615" s="26"/>
    </row>
    <row r="1616" spans="1:12">
      <c r="A1616" s="20" t="s">
        <v>1946</v>
      </c>
      <c r="E1616" s="21">
        <f>IF(D1616="?OLD","!!!","")</f>
        <v/>
      </c>
      <c r="F1616" s="22" t="str">
        <f>IF(OR(E1616="",E1616="!!!"),"",IF(NOT(ISNA(VLOOKUP(E1616,E$1:E1615,1,FALSE()))),"OLD",IF(AND(E1616&lt;&gt;"",E1616&lt;&gt;"!!!"),"NEW","")))</f>
        <v> </v>
      </c>
      <c r="G1616" s="23" t="str">
        <f>IF(OR(E1616="",E1616="!!!"),"",IF(OR(J1616=0,AND(J1616=1,K1616=1),AND(J1616=1,I1616="SBJ"),AND(J1616=1,I1616=0)),"?IN_FOCUS",IF(J1616&lt;=2,"?ACTIVATED",IF(J1616&lt;&gt;"","?FAMILIAR",IF(F1616="NEW",IF(ISNA(VLOOKUP(E1616,#REF!,1,FALSE())),"?TYPE_IDENTIFIABLE","?REFERENTIAL"),"_")))))</f>
        <v> </v>
      </c>
      <c r="H1616" s="24" t="str">
        <f>IF(J1616&lt;&gt;1,"",IF(I1616="SBJ","CB","?"))</f>
        <v> </v>
      </c>
      <c r="I1616" s="25" t="str">
        <f>IF(OR(E1616="",E1616="!!!",F1616="NEW"),"",INDEX(B1615:B$2,-1+SUMPRODUCT(MAX(ROW(E1615:E$2)*(E1616=E1615:E$2)))))</f>
        <v> </v>
      </c>
      <c r="J1616" s="25" t="str">
        <f>IF(OR(E1616="",E1616="!!!",F1616="NEW"),"",COUNTBLANK(OFFSET(A$1,,,SUMPRODUCT(MAX(ROW(E$2:E1616)*(E1616=E$2:E1616)))))-COUNTBLANK(OFFSET(A$1,,,SUMPRODUCT(MAX(ROW(E$1:E1615)*(E2=E$1:E1615))))))</f>
        <v> </v>
      </c>
      <c r="K1616" s="25" t="str">
        <f>IF(OR(E1616="",E1616="!!!",F1616="NEW"),"",INDEX(J$1:J1615,SUMPRODUCT(MAX(ROW(E$1:E1615)*(E1616=E$1:E1615)))))</f>
        <v> </v>
      </c>
      <c r="L1616" s="26"/>
    </row>
    <row r="1617" spans="1:12">
      <c r="A1617" s="20" t="s">
        <v>1123</v>
      </c>
      <c r="E1617" s="21">
        <f>IF(D1617="?OLD","!!!","")</f>
        <v/>
      </c>
      <c r="F1617" s="22" t="str">
        <f>IF(OR(E1617="",E1617="!!!"),"",IF(NOT(ISNA(VLOOKUP(E1617,E$1:E1616,1,FALSE()))),"OLD",IF(AND(E1617&lt;&gt;"",E1617&lt;&gt;"!!!"),"NEW","")))</f>
        <v> </v>
      </c>
      <c r="G1617" s="23" t="str">
        <f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> </v>
      </c>
      <c r="H1617" s="24" t="str">
        <f>IF(J1617&lt;&gt;1,"",IF(I1617="SBJ","CB","?"))</f>
        <v> </v>
      </c>
      <c r="I1617" s="25" t="str">
        <f>IF(OR(E1617="",E1617="!!!",F1617="NEW"),"",INDEX(B1616:B$2,-1+SUMPRODUCT(MAX(ROW(E1616:E$2)*(E1617=E1616:E$2)))))</f>
        <v> </v>
      </c>
      <c r="J1617" s="25" t="str">
        <f>IF(OR(E1617="",E1617="!!!",F1617="NEW"),"",COUNTBLANK(OFFSET(A$1,,,SUMPRODUCT(MAX(ROW(E$2:E1617)*(E1617=E$2:E1617)))))-COUNTBLANK(OFFSET(A$1,,,SUMPRODUCT(MAX(ROW(E$1:E1616)*(E2=E$1:E1616))))))</f>
        <v> </v>
      </c>
      <c r="K1617" s="25" t="str">
        <f>IF(OR(E1617="",E1617="!!!",F1617="NEW"),"",INDEX(J$1:J1616,SUMPRODUCT(MAX(ROW(E$1:E1616)*(E1617=E$1:E1616)))))</f>
        <v> </v>
      </c>
      <c r="L1617" s="26"/>
    </row>
    <row r="1618" spans="1:12">
      <c r="A1618" s="20" t="s">
        <v>1947</v>
      </c>
      <c r="E1618" s="21">
        <f>IF(D1618="?OLD","!!!","")</f>
        <v/>
      </c>
      <c r="F1618" s="22" t="str">
        <f>IF(OR(E1618="",E1618="!!!"),"",IF(NOT(ISNA(VLOOKUP(E1618,E$1:E1617,1,FALSE()))),"OLD",IF(AND(E1618&lt;&gt;"",E1618&lt;&gt;"!!!"),"NEW","")))</f>
        <v> </v>
      </c>
      <c r="G1618" s="23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> </v>
      </c>
      <c r="H1618" s="24" t="str">
        <f>IF(J1618&lt;&gt;1,"",IF(I1618="SBJ","CB","?"))</f>
        <v> </v>
      </c>
      <c r="I1618" s="25" t="str">
        <f>IF(OR(E1618="",E1618="!!!",F1618="NEW"),"",INDEX(B1617:B$2,-1+SUMPRODUCT(MAX(ROW(E1617:E$2)*(E1618=E1617:E$2)))))</f>
        <v> </v>
      </c>
      <c r="J1618" s="25" t="str">
        <f>IF(OR(E1618="",E1618="!!!",F1618="NEW"),"",COUNTBLANK(OFFSET(A$1,,,SUMPRODUCT(MAX(ROW(E$2:E1618)*(E1618=E$2:E1618)))))-COUNTBLANK(OFFSET(A$1,,,SUMPRODUCT(MAX(ROW(E$1:E1617)*(E2=E$1:E1617))))))</f>
        <v> </v>
      </c>
      <c r="K1618" s="25" t="str">
        <f>IF(OR(E1618="",E1618="!!!",F1618="NEW"),"",INDEX(J$1:J1617,SUMPRODUCT(MAX(ROW(E$1:E1617)*(E1618=E$1:E1617)))))</f>
        <v> </v>
      </c>
      <c r="L1618" s="26"/>
    </row>
    <row r="1619" spans="1:12">
      <c r="A1619" s="20" t="s">
        <v>1948</v>
      </c>
      <c r="B1619" s="27" t="s">
        <v>1149</v>
      </c>
      <c r="E1619" s="21">
        <f>IF(D1619="?OLD","!!!","")</f>
        <v/>
      </c>
      <c r="F1619" s="22" t="str">
        <f>IF(OR(E1619="",E1619="!!!"),"",IF(NOT(ISNA(VLOOKUP(E1619,E$1:E1618,1,FALSE()))),"OLD",IF(AND(E1619&lt;&gt;"",E1619&lt;&gt;"!!!"),"NEW","")))</f>
        <v> </v>
      </c>
      <c r="G1619" s="23" t="str">
        <f>IF(OR(E1619="",E1619="!!!"),"",IF(OR(J1619=0,AND(J1619=1,K1619=1),AND(J1619=1,I1619="SBJ"),AND(J1619=1,I1619=0)),"?IN_FOCUS",IF(J1619&lt;=2,"?ACTIVATED",IF(J1619&lt;&gt;"","?FAMILIAR",IF(F1619="NEW",IF(ISNA(VLOOKUP(E1619,#REF!,1,FALSE())),"?TYPE_IDENTIFIABLE","?REFERENTIAL"),"_")))))</f>
        <v> </v>
      </c>
      <c r="H1619" s="24" t="str">
        <f>IF(J1619&lt;&gt;1,"",IF(I1619="SBJ","CB","?"))</f>
        <v> </v>
      </c>
      <c r="I1619" s="25" t="str">
        <f>IF(OR(E1619="",E1619="!!!",F1619="NEW"),"",INDEX(B1618:B$2,-1+SUMPRODUCT(MAX(ROW(E1618:E$2)*(E1619=E1618:E$2)))))</f>
        <v> </v>
      </c>
      <c r="J1619" s="25" t="str">
        <f>IF(OR(E1619="",E1619="!!!",F1619="NEW"),"",COUNTBLANK(OFFSET(A$1,,,SUMPRODUCT(MAX(ROW(E$2:E1619)*(E1619=E$2:E1619)))))-COUNTBLANK(OFFSET(A$1,,,SUMPRODUCT(MAX(ROW(E$1:E1618)*(E2=E$1:E1618))))))</f>
        <v> </v>
      </c>
      <c r="K1619" s="25" t="str">
        <f>IF(OR(E1619="",E1619="!!!",F1619="NEW"),"",INDEX(J$1:J1618,SUMPRODUCT(MAX(ROW(E$1:E1618)*(E1619=E$1:E1618)))))</f>
        <v> </v>
      </c>
      <c r="L1619" s="26"/>
    </row>
    <row r="1620" spans="1:12">
      <c r="A1620" s="20" t="s">
        <v>1145</v>
      </c>
      <c r="E1620" s="21">
        <f>IF(D1620="?OLD","!!!","")</f>
        <v/>
      </c>
      <c r="F1620" s="22" t="str">
        <f>IF(OR(E1620="",E1620="!!!"),"",IF(NOT(ISNA(VLOOKUP(E1620,E$1:E1619,1,FALSE()))),"OLD",IF(AND(E1620&lt;&gt;"",E1620&lt;&gt;"!!!"),"NEW","")))</f>
        <v> </v>
      </c>
      <c r="G1620" s="23" t="str">
        <f>IF(OR(E1620="",E1620="!!!"),"",IF(OR(J1620=0,AND(J1620=1,K1620=1),AND(J1620=1,I1620="SBJ"),AND(J1620=1,I1620=0)),"?IN_FOCUS",IF(J1620&lt;=2,"?ACTIVATED",IF(J1620&lt;&gt;"","?FAMILIAR",IF(F1620="NEW",IF(ISNA(VLOOKUP(E1620,#REF!,1,FALSE())),"?TYPE_IDENTIFIABLE","?REFERENTIAL"),"_")))))</f>
        <v> </v>
      </c>
      <c r="H1620" s="24" t="str">
        <f>IF(J1620&lt;&gt;1,"",IF(I1620="SBJ","CB","?"))</f>
        <v> </v>
      </c>
      <c r="I1620" s="25" t="str">
        <f>IF(OR(E1620="",E1620="!!!",F1620="NEW"),"",INDEX(B1619:B$2,-1+SUMPRODUCT(MAX(ROW(E1619:E$2)*(E1620=E1619:E$2)))))</f>
        <v> </v>
      </c>
      <c r="J1620" s="25" t="str">
        <f>IF(OR(E1620="",E1620="!!!",F1620="NEW"),"",COUNTBLANK(OFFSET(A$1,,,SUMPRODUCT(MAX(ROW(E$2:E1620)*(E1620=E$2:E1620)))))-COUNTBLANK(OFFSET(A$1,,,SUMPRODUCT(MAX(ROW(E$1:E1619)*(E2=E$1:E1619))))))</f>
        <v> </v>
      </c>
      <c r="K1620" s="25" t="str">
        <f>IF(OR(E1620="",E1620="!!!",F1620="NEW"),"",INDEX(J$1:J1619,SUMPRODUCT(MAX(ROW(E$1:E1619)*(E1620=E$1:E1619)))))</f>
        <v> </v>
      </c>
      <c r="L1620" s="26"/>
    </row>
    <row r="1621" spans="1:12">
      <c r="A1621" s="20"/>
    </row>
    <row r="1622" spans="1:12">
      <c r="A1622" s="20" t="s">
        <v>1949</v>
      </c>
    </row>
    <row r="1623" spans="1:12">
      <c r="A1623" s="20" t="s">
        <v>1766</v>
      </c>
      <c r="E1623" s="21">
        <f>IF(D1623="?OLD","!!!","")</f>
        <v/>
      </c>
      <c r="F1623" s="22" t="str">
        <f>IF(OR(E1623="",E1623="!!!"),"",IF(NOT(ISNA(VLOOKUP(E1623,E$1:E1622,1,FALSE()))),"OLD",IF(AND(E1623&lt;&gt;"",E1623&lt;&gt;"!!!"),"NEW","")))</f>
        <v> </v>
      </c>
      <c r="G1623" s="23" t="str">
        <f>IF(OR(E1623="",E1623="!!!"),"",IF(OR(J1623=0,AND(J1623=1,K1623=1),AND(J1623=1,I1623="SBJ"),AND(J1623=1,I1623=0)),"?IN_FOCUS",IF(J1623&lt;=2,"?ACTIVATED",IF(J1623&lt;&gt;"","?FAMILIAR",IF(F1623="NEW",IF(ISNA(VLOOKUP(E1623,#REF!,1,FALSE())),"?TYPE_IDENTIFIABLE","?REFERENTIAL"),"_")))))</f>
        <v> </v>
      </c>
      <c r="H1623" s="24" t="str">
        <f>IF(J1623&lt;&gt;1,"",IF(I1623="SBJ","CB","?"))</f>
        <v> </v>
      </c>
      <c r="I1623" s="25" t="str">
        <f>IF(OR(E1623="",E1623="!!!",F1623="NEW"),"",INDEX(B1622:B$2,-1+SUMPRODUCT(MAX(ROW(E1622:E$2)*(E1623=E1622:E$2)))))</f>
        <v> </v>
      </c>
      <c r="J1623" s="25" t="str">
        <f>IF(OR(E1623="",E1623="!!!",F1623="NEW"),"",COUNTBLANK(OFFSET(A$1,,,SUMPRODUCT(MAX(ROW(E$2:E1623)*(E1623=E$2:E1623)))))-COUNTBLANK(OFFSET(A$1,,,SUMPRODUCT(MAX(ROW(E$1:E1622)*(E2=E$1:E1622))))))</f>
        <v> </v>
      </c>
      <c r="K1623" s="25" t="str">
        <f>IF(OR(E1623="",E1623="!!!",F1623="NEW"),"",INDEX(J$1:J1622,SUMPRODUCT(MAX(ROW(E$1:E1622)*(E1623=E$1:E1622)))))</f>
        <v> </v>
      </c>
      <c r="L1623" s="26"/>
    </row>
    <row r="1624" spans="1:12">
      <c r="A1624" s="20" t="s">
        <v>1785</v>
      </c>
      <c r="B1624" s="27" t="s">
        <v>1149</v>
      </c>
      <c r="E1624" s="21">
        <f>IF(D1624="?OLD","!!!","")</f>
        <v/>
      </c>
      <c r="F1624" s="22" t="str">
        <f>IF(OR(E1624="",E1624="!!!"),"",IF(NOT(ISNA(VLOOKUP(E1624,E$1:E1623,1,FALSE()))),"OLD",IF(AND(E1624&lt;&gt;"",E1624&lt;&gt;"!!!"),"NEW","")))</f>
        <v> </v>
      </c>
      <c r="G1624" s="23" t="str">
        <f>IF(OR(E1624="",E1624="!!!"),"",IF(OR(J1624=0,AND(J1624=1,K1624=1),AND(J1624=1,I1624="SBJ"),AND(J1624=1,I1624=0)),"?IN_FOCUS",IF(J1624&lt;=2,"?ACTIVATED",IF(J1624&lt;&gt;"","?FAMILIAR",IF(F1624="NEW",IF(ISNA(VLOOKUP(E1624,#REF!,1,FALSE())),"?TYPE_IDENTIFIABLE","?REFERENTIAL"),"_")))))</f>
        <v> </v>
      </c>
      <c r="H1624" s="24" t="str">
        <f>IF(J1624&lt;&gt;1,"",IF(I1624="SBJ","CB","?"))</f>
        <v> </v>
      </c>
      <c r="I1624" s="25" t="str">
        <f>IF(OR(E1624="",E1624="!!!",F1624="NEW"),"",INDEX(B1623:B$2,-1+SUMPRODUCT(MAX(ROW(E1623:E$2)*(E1624=E1623:E$2)))))</f>
        <v> </v>
      </c>
      <c r="J1624" s="25" t="str">
        <f>IF(OR(E1624="",E1624="!!!",F1624="NEW"),"",COUNTBLANK(OFFSET(A$1,,,SUMPRODUCT(MAX(ROW(E$2:E1624)*(E1624=E$2:E1624)))))-COUNTBLANK(OFFSET(A$1,,,SUMPRODUCT(MAX(ROW(E$1:E1623)*(E2=E$1:E1623))))))</f>
        <v> </v>
      </c>
      <c r="K1624" s="25" t="str">
        <f>IF(OR(E1624="",E1624="!!!",F1624="NEW"),"",INDEX(J$1:J1623,SUMPRODUCT(MAX(ROW(E$1:E1623)*(E1624=E$1:E1623)))))</f>
        <v> </v>
      </c>
      <c r="L1624" s="26"/>
    </row>
    <row r="1625" spans="1:12">
      <c r="A1625" s="20" t="s">
        <v>1309</v>
      </c>
      <c r="E1625" s="21">
        <f>IF(D1625="?OLD","!!!","")</f>
        <v/>
      </c>
      <c r="F1625" s="22" t="str">
        <f>IF(OR(E1625="",E1625="!!!"),"",IF(NOT(ISNA(VLOOKUP(E1625,E$1:E1624,1,FALSE()))),"OLD",IF(AND(E1625&lt;&gt;"",E1625&lt;&gt;"!!!"),"NEW","")))</f>
        <v> </v>
      </c>
      <c r="G1625" s="23" t="str">
        <f>IF(OR(E1625="",E1625="!!!"),"",IF(OR(J1625=0,AND(J1625=1,K1625=1),AND(J1625=1,I1625="SBJ"),AND(J1625=1,I1625=0)),"?IN_FOCUS",IF(J1625&lt;=2,"?ACTIVATED",IF(J1625&lt;&gt;"","?FAMILIAR",IF(F1625="NEW",IF(ISNA(VLOOKUP(E1625,#REF!,1,FALSE())),"?TYPE_IDENTIFIABLE","?REFERENTIAL"),"_")))))</f>
        <v> </v>
      </c>
      <c r="H1625" s="24" t="str">
        <f>IF(J1625&lt;&gt;1,"",IF(I1625="SBJ","CB","?"))</f>
        <v> </v>
      </c>
      <c r="I1625" s="25" t="str">
        <f>IF(OR(E1625="",E1625="!!!",F1625="NEW"),"",INDEX(B1624:B$2,-1+SUMPRODUCT(MAX(ROW(E1624:E$2)*(E1625=E1624:E$2)))))</f>
        <v> </v>
      </c>
      <c r="J1625" s="25" t="str">
        <f>IF(OR(E1625="",E1625="!!!",F1625="NEW"),"",COUNTBLANK(OFFSET(A$1,,,SUMPRODUCT(MAX(ROW(E$2:E1625)*(E1625=E$2:E1625)))))-COUNTBLANK(OFFSET(A$1,,,SUMPRODUCT(MAX(ROW(E$1:E1624)*(E2=E$1:E1624))))))</f>
        <v> </v>
      </c>
      <c r="K1625" s="25" t="str">
        <f>IF(OR(E1625="",E1625="!!!",F1625="NEW"),"",INDEX(J$1:J1624,SUMPRODUCT(MAX(ROW(E$1:E1624)*(E1625=E$1:E1624)))))</f>
        <v> </v>
      </c>
      <c r="L1625" s="26"/>
    </row>
    <row r="1626" spans="1:12">
      <c r="A1626" s="20" t="s">
        <v>1195</v>
      </c>
      <c r="E1626" s="21">
        <f>IF(D1626="?OLD","!!!","")</f>
        <v/>
      </c>
      <c r="F1626" s="22" t="str">
        <f>IF(OR(E1626="",E1626="!!!"),"",IF(NOT(ISNA(VLOOKUP(E1626,E$1:E1625,1,FALSE()))),"OLD",IF(AND(E1626&lt;&gt;"",E1626&lt;&gt;"!!!"),"NEW","")))</f>
        <v> </v>
      </c>
      <c r="G1626" s="23" t="str">
        <f>IF(OR(E1626="",E1626="!!!"),"",IF(OR(J1626=0,AND(J1626=1,K1626=1),AND(J1626=1,I1626="SBJ"),AND(J1626=1,I1626=0)),"?IN_FOCUS",IF(J1626&lt;=2,"?ACTIVATED",IF(J1626&lt;&gt;"","?FAMILIAR",IF(F1626="NEW",IF(ISNA(VLOOKUP(E1626,#REF!,1,FALSE())),"?TYPE_IDENTIFIABLE","?REFERENTIAL"),"_")))))</f>
        <v> </v>
      </c>
      <c r="H1626" s="24" t="str">
        <f>IF(J1626&lt;&gt;1,"",IF(I1626="SBJ","CB","?"))</f>
        <v> </v>
      </c>
      <c r="I1626" s="25" t="str">
        <f>IF(OR(E1626="",E1626="!!!",F1626="NEW"),"",INDEX(B1625:B$2,-1+SUMPRODUCT(MAX(ROW(E1625:E$2)*(E1626=E1625:E$2)))))</f>
        <v> </v>
      </c>
      <c r="J1626" s="25" t="str">
        <f>IF(OR(E1626="",E1626="!!!",F1626="NEW"),"",COUNTBLANK(OFFSET(A$1,,,SUMPRODUCT(MAX(ROW(E$2:E1626)*(E1626=E$2:E1626)))))-COUNTBLANK(OFFSET(A$1,,,SUMPRODUCT(MAX(ROW(E$1:E1625)*(E2=E$1:E1625))))))</f>
        <v> </v>
      </c>
      <c r="K1626" s="25" t="str">
        <f>IF(OR(E1626="",E1626="!!!",F1626="NEW"),"",INDEX(J$1:J1625,SUMPRODUCT(MAX(ROW(E$1:E1625)*(E1626=E$1:E1625)))))</f>
        <v> </v>
      </c>
      <c r="L1626" s="26"/>
    </row>
    <row r="1627" spans="1:12">
      <c r="A1627" s="20" t="s">
        <v>1270</v>
      </c>
      <c r="B1627" s="27" t="s">
        <v>1103</v>
      </c>
      <c r="C1627" s="27" t="s">
        <v>1126</v>
      </c>
      <c r="D1627" s="27" t="s">
        <v>1105</v>
      </c>
      <c r="E1627" s="21">
        <f>IF(D1627="?OLD","!!!","")</f>
        <v/>
      </c>
      <c r="F1627" s="22" t="str">
        <f>IF(OR(E1627="",E1627="!!!"),"",IF(NOT(ISNA(VLOOKUP(E1627,E$1:E1626,1,FALSE()))),"OLD",IF(AND(E1627&lt;&gt;"",E1627&lt;&gt;"!!!"),"NEW","")))</f>
        <v> </v>
      </c>
      <c r="G1627" s="23" t="str">
        <f>IF(OR(E1627="",E1627="!!!"),"",IF(OR(J1627=0,AND(J1627=1,K1627=1),AND(J1627=1,I1627="SBJ"),AND(J1627=1,I1627=0)),"?IN_FOCUS",IF(J1627&lt;=2,"?ACTIVATED",IF(J1627&lt;&gt;"","?FAMILIAR",IF(F1627="NEW",IF(ISNA(VLOOKUP(E1627,#REF!,1,FALSE())),"?TYPE_IDENTIFIABLE","?REFERENTIAL"),"_")))))</f>
        <v> </v>
      </c>
      <c r="H1627" s="24" t="str">
        <f>IF(J1627&lt;&gt;1,"",IF(I1627="SBJ","CB","?"))</f>
        <v> </v>
      </c>
      <c r="I1627" s="25" t="str">
        <f>IF(OR(E1627="",E1627="!!!",F1627="NEW"),"",INDEX(B1626:B$2,-1+SUMPRODUCT(MAX(ROW(E1626:E$2)*(E1627=E1626:E$2)))))</f>
        <v> </v>
      </c>
      <c r="J1627" s="25" t="str">
        <f>IF(OR(E1627="",E1627="!!!",F1627="NEW"),"",COUNTBLANK(OFFSET(A$1,,,SUMPRODUCT(MAX(ROW(E$2:E1627)*(E1627=E$2:E1627)))))-COUNTBLANK(OFFSET(A$1,,,SUMPRODUCT(MAX(ROW(E$1:E1626)*(E2=E$1:E1626))))))</f>
        <v> </v>
      </c>
      <c r="K1627" s="25" t="str">
        <f>IF(OR(E1627="",E1627="!!!",F1627="NEW"),"",INDEX(J$1:J1626,SUMPRODUCT(MAX(ROW(E$1:E1626)*(E1627=E$1:E1626)))))</f>
        <v> </v>
      </c>
      <c r="L1627" s="26"/>
    </row>
    <row r="1628" spans="1:12">
      <c r="A1628" s="20" t="s">
        <v>1628</v>
      </c>
      <c r="E1628" s="21">
        <f>IF(D1628="?OLD","!!!","")</f>
        <v/>
      </c>
      <c r="F1628" s="22" t="str">
        <f>IF(OR(E1628="",E1628="!!!"),"",IF(NOT(ISNA(VLOOKUP(E1628,E$1:E1627,1,FALSE()))),"OLD",IF(AND(E1628&lt;&gt;"",E1628&lt;&gt;"!!!"),"NEW","")))</f>
        <v> </v>
      </c>
      <c r="G1628" s="23" t="str">
        <f>IF(OR(E1628="",E1628="!!!"),"",IF(OR(J1628=0,AND(J1628=1,K1628=1),AND(J1628=1,I1628="SBJ"),AND(J1628=1,I1628=0)),"?IN_FOCUS",IF(J1628&lt;=2,"?ACTIVATED",IF(J1628&lt;&gt;"","?FAMILIAR",IF(F1628="NEW",IF(ISNA(VLOOKUP(E1628,#REF!,1,FALSE())),"?TYPE_IDENTIFIABLE","?REFERENTIAL"),"_")))))</f>
        <v> </v>
      </c>
      <c r="H1628" s="24" t="str">
        <f>IF(J1628&lt;&gt;1,"",IF(I1628="SBJ","CB","?"))</f>
        <v> </v>
      </c>
      <c r="I1628" s="25" t="str">
        <f>IF(OR(E1628="",E1628="!!!",F1628="NEW"),"",INDEX(B1627:B$2,-1+SUMPRODUCT(MAX(ROW(E1627:E$2)*(E1628=E1627:E$2)))))</f>
        <v> </v>
      </c>
      <c r="J1628" s="25" t="str">
        <f>IF(OR(E1628="",E1628="!!!",F1628="NEW"),"",COUNTBLANK(OFFSET(A$1,,,SUMPRODUCT(MAX(ROW(E$2:E1628)*(E1628=E$2:E1628)))))-COUNTBLANK(OFFSET(A$1,,,SUMPRODUCT(MAX(ROW(E$1:E1627)*(E2=E$1:E1627))))))</f>
        <v> </v>
      </c>
      <c r="K1628" s="25" t="str">
        <f>IF(OR(E1628="",E1628="!!!",F1628="NEW"),"",INDEX(J$1:J1627,SUMPRODUCT(MAX(ROW(E$1:E1627)*(E1628=E$1:E1627)))))</f>
        <v> </v>
      </c>
      <c r="L1628" s="26"/>
    </row>
    <row r="1629" spans="1:12">
      <c r="A1629" s="20" t="s">
        <v>1950</v>
      </c>
      <c r="B1629" s="27" t="s">
        <v>1103</v>
      </c>
      <c r="C1629" s="27" t="s">
        <v>1104</v>
      </c>
      <c r="D1629" s="27" t="s">
        <v>1105</v>
      </c>
      <c r="E1629" s="21">
        <f>IF(D1629="?OLD","!!!","")</f>
        <v/>
      </c>
      <c r="F1629" s="22" t="str">
        <f>IF(OR(E1629="",E1629="!!!"),"",IF(NOT(ISNA(VLOOKUP(E1629,E$1:E1628,1,FALSE()))),"OLD",IF(AND(E1629&lt;&gt;"",E1629&lt;&gt;"!!!"),"NEW","")))</f>
        <v> </v>
      </c>
      <c r="G1629" s="23" t="str">
        <f>IF(OR(E1629="",E1629="!!!"),"",IF(OR(J1629=0,AND(J1629=1,K1629=1),AND(J1629=1,I1629="SBJ"),AND(J1629=1,I1629=0)),"?IN_FOCUS",IF(J1629&lt;=2,"?ACTIVATED",IF(J1629&lt;&gt;"","?FAMILIAR",IF(F1629="NEW",IF(ISNA(VLOOKUP(E1629,#REF!,1,FALSE())),"?TYPE_IDENTIFIABLE","?REFERENTIAL"),"_")))))</f>
        <v> </v>
      </c>
      <c r="H1629" s="24" t="str">
        <f>IF(J1629&lt;&gt;1,"",IF(I1629="SBJ","CB","?"))</f>
        <v> </v>
      </c>
      <c r="I1629" s="25" t="str">
        <f>IF(OR(E1629="",E1629="!!!",F1629="NEW"),"",INDEX(B1628:B$2,-1+SUMPRODUCT(MAX(ROW(E1628:E$2)*(E1629=E1628:E$2)))))</f>
        <v> </v>
      </c>
      <c r="J1629" s="25" t="str">
        <f>IF(OR(E1629="",E1629="!!!",F1629="NEW"),"",COUNTBLANK(OFFSET(A$1,,,SUMPRODUCT(MAX(ROW(E$2:E1629)*(E1629=E$2:E1629)))))-COUNTBLANK(OFFSET(A$1,,,SUMPRODUCT(MAX(ROW(E$1:E1628)*(E2=E$1:E1628))))))</f>
        <v> </v>
      </c>
      <c r="K1629" s="25" t="str">
        <f>IF(OR(E1629="",E1629="!!!",F1629="NEW"),"",INDEX(J$1:J1628,SUMPRODUCT(MAX(ROW(E$1:E1628)*(E1629=E$1:E1628)))))</f>
        <v> </v>
      </c>
      <c r="L1629" s="26"/>
    </row>
    <row r="1630" spans="1:12">
      <c r="A1630" s="20" t="s">
        <v>1184</v>
      </c>
      <c r="E1630" s="21">
        <f>IF(D1630="?OLD","!!!","")</f>
        <v/>
      </c>
      <c r="F1630" s="22" t="str">
        <f>IF(OR(E1630="",E1630="!!!"),"",IF(NOT(ISNA(VLOOKUP(E1630,E$1:E1629,1,FALSE()))),"OLD",IF(AND(E1630&lt;&gt;"",E1630&lt;&gt;"!!!"),"NEW","")))</f>
        <v> </v>
      </c>
      <c r="G1630" s="23" t="str">
        <f>IF(OR(E1630="",E1630="!!!"),"",IF(OR(J1630=0,AND(J1630=1,K1630=1),AND(J1630=1,I1630="SBJ"),AND(J1630=1,I1630=0)),"?IN_FOCUS",IF(J1630&lt;=2,"?ACTIVATED",IF(J1630&lt;&gt;"","?FAMILIAR",IF(F1630="NEW",IF(ISNA(VLOOKUP(E1630,#REF!,1,FALSE())),"?TYPE_IDENTIFIABLE","?REFERENTIAL"),"_")))))</f>
        <v> </v>
      </c>
      <c r="H1630" s="24" t="str">
        <f>IF(J1630&lt;&gt;1,"",IF(I1630="SBJ","CB","?"))</f>
        <v> </v>
      </c>
      <c r="I1630" s="25" t="str">
        <f>IF(OR(E1630="",E1630="!!!",F1630="NEW"),"",INDEX(B1629:B$2,-1+SUMPRODUCT(MAX(ROW(E1629:E$2)*(E1630=E1629:E$2)))))</f>
        <v> </v>
      </c>
      <c r="J1630" s="25" t="str">
        <f>IF(OR(E1630="",E1630="!!!",F1630="NEW"),"",COUNTBLANK(OFFSET(A$1,,,SUMPRODUCT(MAX(ROW(E$2:E1630)*(E1630=E$2:E1630)))))-COUNTBLANK(OFFSET(A$1,,,SUMPRODUCT(MAX(ROW(E$1:E1629)*(E2=E$1:E1629))))))</f>
        <v> </v>
      </c>
      <c r="K1630" s="25" t="str">
        <f>IF(OR(E1630="",E1630="!!!",F1630="NEW"),"",INDEX(J$1:J1629,SUMPRODUCT(MAX(ROW(E$1:E1629)*(E1630=E$1:E1629)))))</f>
        <v> </v>
      </c>
      <c r="L1630" s="26"/>
    </row>
    <row r="1631" spans="1:12">
      <c r="A1631" s="20" t="s">
        <v>1951</v>
      </c>
      <c r="E1631" s="21">
        <f>IF(D1631="?OLD","!!!","")</f>
        <v/>
      </c>
      <c r="F1631" s="22" t="str">
        <f>IF(OR(E1631="",E1631="!!!"),"",IF(NOT(ISNA(VLOOKUP(E1631,E$1:E1630,1,FALSE()))),"OLD",IF(AND(E1631&lt;&gt;"",E1631&lt;&gt;"!!!"),"NEW","")))</f>
        <v> </v>
      </c>
      <c r="G1631" s="23" t="str">
        <f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> </v>
      </c>
      <c r="H1631" s="24" t="str">
        <f>IF(J1631&lt;&gt;1,"",IF(I1631="SBJ","CB","?"))</f>
        <v> </v>
      </c>
      <c r="I1631" s="25" t="str">
        <f>IF(OR(E1631="",E1631="!!!",F1631="NEW"),"",INDEX(B1630:B$2,-1+SUMPRODUCT(MAX(ROW(E1630:E$2)*(E1631=E1630:E$2)))))</f>
        <v> </v>
      </c>
      <c r="J1631" s="25" t="str">
        <f>IF(OR(E1631="",E1631="!!!",F1631="NEW"),"",COUNTBLANK(OFFSET(A$1,,,SUMPRODUCT(MAX(ROW(E$2:E1631)*(E1631=E$2:E1631)))))-COUNTBLANK(OFFSET(A$1,,,SUMPRODUCT(MAX(ROW(E$1:E1630)*(E2=E$1:E1630))))))</f>
        <v> </v>
      </c>
      <c r="K1631" s="25" t="str">
        <f>IF(OR(E1631="",E1631="!!!",F1631="NEW"),"",INDEX(J$1:J1630,SUMPRODUCT(MAX(ROW(E$1:E1630)*(E1631=E$1:E1630)))))</f>
        <v> </v>
      </c>
      <c r="L1631" s="26"/>
    </row>
    <row r="1632" spans="1:12">
      <c r="A1632" s="20" t="s">
        <v>1123</v>
      </c>
      <c r="E1632" s="21">
        <f>IF(D1632="?OLD","!!!","")</f>
        <v/>
      </c>
      <c r="F1632" s="22" t="str">
        <f>IF(OR(E1632="",E1632="!!!"),"",IF(NOT(ISNA(VLOOKUP(E1632,E$1:E1631,1,FALSE()))),"OLD",IF(AND(E1632&lt;&gt;"",E1632&lt;&gt;"!!!"),"NEW","")))</f>
        <v> </v>
      </c>
      <c r="G1632" s="23" t="str">
        <f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> </v>
      </c>
      <c r="H1632" s="24" t="str">
        <f>IF(J1632&lt;&gt;1,"",IF(I1632="SBJ","CB","?"))</f>
        <v> </v>
      </c>
      <c r="I1632" s="25" t="str">
        <f>IF(OR(E1632="",E1632="!!!",F1632="NEW"),"",INDEX(B1631:B$2,-1+SUMPRODUCT(MAX(ROW(E1631:E$2)*(E1632=E1631:E$2)))))</f>
        <v> </v>
      </c>
      <c r="J1632" s="25" t="str">
        <f>IF(OR(E1632="",E1632="!!!",F1632="NEW"),"",COUNTBLANK(OFFSET(A$1,,,SUMPRODUCT(MAX(ROW(E$2:E1632)*(E1632=E$2:E1632)))))-COUNTBLANK(OFFSET(A$1,,,SUMPRODUCT(MAX(ROW(E$1:E1631)*(E2=E$1:E1631))))))</f>
        <v> </v>
      </c>
      <c r="K1632" s="25" t="str">
        <f>IF(OR(E1632="",E1632="!!!",F1632="NEW"),"",INDEX(J$1:J1631,SUMPRODUCT(MAX(ROW(E$1:E1631)*(E1632=E$1:E1631)))))</f>
        <v> </v>
      </c>
      <c r="L1632" s="26"/>
    </row>
    <row r="1633" spans="1:12">
      <c r="A1633" s="20" t="s">
        <v>1128</v>
      </c>
      <c r="E1633" s="21">
        <f>IF(D1633="?OLD","!!!","")</f>
        <v/>
      </c>
      <c r="F1633" s="22" t="str">
        <f>IF(OR(E1633="",E1633="!!!"),"",IF(NOT(ISNA(VLOOKUP(E1633,E$1:E1632,1,FALSE()))),"OLD",IF(AND(E1633&lt;&gt;"",E1633&lt;&gt;"!!!"),"NEW","")))</f>
        <v> </v>
      </c>
      <c r="G1633" s="23" t="str">
        <f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> </v>
      </c>
      <c r="H1633" s="24" t="str">
        <f>IF(J1633&lt;&gt;1,"",IF(I1633="SBJ","CB","?"))</f>
        <v> </v>
      </c>
      <c r="I1633" s="25" t="str">
        <f>IF(OR(E1633="",E1633="!!!",F1633="NEW"),"",INDEX(B1632:B$2,-1+SUMPRODUCT(MAX(ROW(E1632:E$2)*(E1633=E1632:E$2)))))</f>
        <v> </v>
      </c>
      <c r="J1633" s="25" t="str">
        <f>IF(OR(E1633="",E1633="!!!",F1633="NEW"),"",COUNTBLANK(OFFSET(A$1,,,SUMPRODUCT(MAX(ROW(E$2:E1633)*(E1633=E$2:E1633)))))-COUNTBLANK(OFFSET(A$1,,,SUMPRODUCT(MAX(ROW(E$1:E1632)*(E2=E$1:E1632))))))</f>
        <v> </v>
      </c>
      <c r="K1633" s="25" t="str">
        <f>IF(OR(E1633="",E1633="!!!",F1633="NEW"),"",INDEX(J$1:J1632,SUMPRODUCT(MAX(ROW(E$1:E1632)*(E1633=E$1:E1632)))))</f>
        <v> </v>
      </c>
      <c r="L1633" s="26"/>
    </row>
    <row r="1634" spans="1:12">
      <c r="A1634" s="20" t="s">
        <v>1217</v>
      </c>
      <c r="B1634" s="27" t="s">
        <v>1122</v>
      </c>
      <c r="C1634" s="27" t="s">
        <v>1126</v>
      </c>
      <c r="D1634" s="27" t="s">
        <v>1105</v>
      </c>
      <c r="E1634" s="21">
        <f>IF(D1634="?OLD","!!!","")</f>
        <v/>
      </c>
      <c r="F1634" s="22" t="str">
        <f>IF(OR(E1634="",E1634="!!!"),"",IF(NOT(ISNA(VLOOKUP(E1634,E$1:E1633,1,FALSE()))),"OLD",IF(AND(E1634&lt;&gt;"",E1634&lt;&gt;"!!!"),"NEW","")))</f>
        <v> </v>
      </c>
      <c r="G1634" s="23" t="str">
        <f>IF(OR(E1634="",E1634="!!!"),"",IF(OR(J1634=0,AND(J1634=1,K1634=1),AND(J1634=1,I1634="SBJ"),AND(J1634=1,I1634=0)),"?IN_FOCUS",IF(J1634&lt;=2,"?ACTIVATED",IF(J1634&lt;&gt;"","?FAMILIAR",IF(F1634="NEW",IF(ISNA(VLOOKUP(E1634,#REF!,1,FALSE())),"?TYPE_IDENTIFIABLE","?REFERENTIAL"),"_")))))</f>
        <v> </v>
      </c>
      <c r="H1634" s="24" t="str">
        <f>IF(J1634&lt;&gt;1,"",IF(I1634="SBJ","CB","?"))</f>
        <v> </v>
      </c>
      <c r="I1634" s="25" t="str">
        <f>IF(OR(E1634="",E1634="!!!",F1634="NEW"),"",INDEX(B1633:B$2,-1+SUMPRODUCT(MAX(ROW(E1633:E$2)*(E1634=E1633:E$2)))))</f>
        <v> </v>
      </c>
      <c r="J1634" s="25" t="str">
        <f>IF(OR(E1634="",E1634="!!!",F1634="NEW"),"",COUNTBLANK(OFFSET(A$1,,,SUMPRODUCT(MAX(ROW(E$2:E1634)*(E1634=E$2:E1634)))))-COUNTBLANK(OFFSET(A$1,,,SUMPRODUCT(MAX(ROW(E$1:E1633)*(E2=E$1:E1633))))))</f>
        <v> </v>
      </c>
      <c r="K1634" s="25" t="str">
        <f>IF(OR(E1634="",E1634="!!!",F1634="NEW"),"",INDEX(J$1:J1633,SUMPRODUCT(MAX(ROW(E$1:E1633)*(E1634=E$1:E1633)))))</f>
        <v> </v>
      </c>
      <c r="L1634" s="26"/>
    </row>
    <row r="1635" spans="1:12">
      <c r="A1635" s="20" t="s">
        <v>1952</v>
      </c>
      <c r="E1635" s="21">
        <f>IF(D1635="?OLD","!!!","")</f>
        <v/>
      </c>
      <c r="F1635" s="22" t="str">
        <f>IF(OR(E1635="",E1635="!!!"),"",IF(NOT(ISNA(VLOOKUP(E1635,E$1:E1634,1,FALSE()))),"OLD",IF(AND(E1635&lt;&gt;"",E1635&lt;&gt;"!!!"),"NEW","")))</f>
        <v> </v>
      </c>
      <c r="G1635" s="23" t="str">
        <f>IF(OR(E1635="",E1635="!!!"),"",IF(OR(J1635=0,AND(J1635=1,K1635=1),AND(J1635=1,I1635="SBJ"),AND(J1635=1,I1635=0)),"?IN_FOCUS",IF(J1635&lt;=2,"?ACTIVATED",IF(J1635&lt;&gt;"","?FAMILIAR",IF(F1635="NEW",IF(ISNA(VLOOKUP(E1635,#REF!,1,FALSE())),"?TYPE_IDENTIFIABLE","?REFERENTIAL"),"_")))))</f>
        <v> </v>
      </c>
      <c r="H1635" s="24" t="str">
        <f>IF(J1635&lt;&gt;1,"",IF(I1635="SBJ","CB","?"))</f>
        <v> </v>
      </c>
      <c r="I1635" s="25" t="str">
        <f>IF(OR(E1635="",E1635="!!!",F1635="NEW"),"",INDEX(B1634:B$2,-1+SUMPRODUCT(MAX(ROW(E1634:E$2)*(E1635=E1634:E$2)))))</f>
        <v> </v>
      </c>
      <c r="J1635" s="25" t="str">
        <f>IF(OR(E1635="",E1635="!!!",F1635="NEW"),"",COUNTBLANK(OFFSET(A$1,,,SUMPRODUCT(MAX(ROW(E$2:E1635)*(E1635=E$2:E1635)))))-COUNTBLANK(OFFSET(A$1,,,SUMPRODUCT(MAX(ROW(E$1:E1634)*(E2=E$1:E1634))))))</f>
        <v> </v>
      </c>
      <c r="K1635" s="25" t="str">
        <f>IF(OR(E1635="",E1635="!!!",F1635="NEW"),"",INDEX(J$1:J1634,SUMPRODUCT(MAX(ROW(E$1:E1634)*(E1635=E$1:E1634)))))</f>
        <v> </v>
      </c>
      <c r="L1635" s="26"/>
    </row>
    <row r="1636" spans="1:12">
      <c r="A1636" s="20" t="s">
        <v>1953</v>
      </c>
      <c r="E1636" s="21">
        <f>IF(D1636="?OLD","!!!","")</f>
        <v/>
      </c>
      <c r="F1636" s="22" t="str">
        <f>IF(OR(E1636="",E1636="!!!"),"",IF(NOT(ISNA(VLOOKUP(E1636,E$1:E1635,1,FALSE()))),"OLD",IF(AND(E1636&lt;&gt;"",E1636&lt;&gt;"!!!"),"NEW","")))</f>
        <v> </v>
      </c>
      <c r="G1636" s="23" t="str">
        <f>IF(OR(E1636="",E1636="!!!"),"",IF(OR(J1636=0,AND(J1636=1,K1636=1),AND(J1636=1,I1636="SBJ"),AND(J1636=1,I1636=0)),"?IN_FOCUS",IF(J1636&lt;=2,"?ACTIVATED",IF(J1636&lt;&gt;"","?FAMILIAR",IF(F1636="NEW",IF(ISNA(VLOOKUP(E1636,#REF!,1,FALSE())),"?TYPE_IDENTIFIABLE","?REFERENTIAL"),"_")))))</f>
        <v> </v>
      </c>
      <c r="H1636" s="24" t="str">
        <f>IF(J1636&lt;&gt;1,"",IF(I1636="SBJ","CB","?"))</f>
        <v> </v>
      </c>
      <c r="I1636" s="25" t="str">
        <f>IF(OR(E1636="",E1636="!!!",F1636="NEW"),"",INDEX(B1635:B$2,-1+SUMPRODUCT(MAX(ROW(E1635:E$2)*(E1636=E1635:E$2)))))</f>
        <v> </v>
      </c>
      <c r="J1636" s="25" t="str">
        <f>IF(OR(E1636="",E1636="!!!",F1636="NEW"),"",COUNTBLANK(OFFSET(A$1,,,SUMPRODUCT(MAX(ROW(E$2:E1636)*(E1636=E$2:E1636)))))-COUNTBLANK(OFFSET(A$1,,,SUMPRODUCT(MAX(ROW(E$1:E1635)*(E2=E$1:E1635))))))</f>
        <v> </v>
      </c>
      <c r="K1636" s="25" t="str">
        <f>IF(OR(E1636="",E1636="!!!",F1636="NEW"),"",INDEX(J$1:J1635,SUMPRODUCT(MAX(ROW(E$1:E1635)*(E1636=E$1:E1635)))))</f>
        <v> </v>
      </c>
      <c r="L1636" s="26"/>
    </row>
    <row r="1637" spans="1:12">
      <c r="A1637" s="20" t="s">
        <v>1184</v>
      </c>
      <c r="E1637" s="21">
        <f>IF(D1637="?OLD","!!!","")</f>
        <v/>
      </c>
      <c r="F1637" s="22" t="str">
        <f>IF(OR(E1637="",E1637="!!!"),"",IF(NOT(ISNA(VLOOKUP(E1637,E$1:E1636,1,FALSE()))),"OLD",IF(AND(E1637&lt;&gt;"",E1637&lt;&gt;"!!!"),"NEW","")))</f>
        <v> </v>
      </c>
      <c r="G1637" s="23" t="str">
        <f>IF(OR(E1637="",E1637="!!!"),"",IF(OR(J1637=0,AND(J1637=1,K1637=1),AND(J1637=1,I1637="SBJ"),AND(J1637=1,I1637=0)),"?IN_FOCUS",IF(J1637&lt;=2,"?ACTIVATED",IF(J1637&lt;&gt;"","?FAMILIAR",IF(F1637="NEW",IF(ISNA(VLOOKUP(E1637,#REF!,1,FALSE())),"?TYPE_IDENTIFIABLE","?REFERENTIAL"),"_")))))</f>
        <v> </v>
      </c>
      <c r="H1637" s="24" t="str">
        <f>IF(J1637&lt;&gt;1,"",IF(I1637="SBJ","CB","?"))</f>
        <v> </v>
      </c>
      <c r="I1637" s="25" t="str">
        <f>IF(OR(E1637="",E1637="!!!",F1637="NEW"),"",INDEX(B1636:B$2,-1+SUMPRODUCT(MAX(ROW(E1636:E$2)*(E1637=E1636:E$2)))))</f>
        <v> </v>
      </c>
      <c r="J1637" s="25" t="str">
        <f>IF(OR(E1637="",E1637="!!!",F1637="NEW"),"",COUNTBLANK(OFFSET(A$1,,,SUMPRODUCT(MAX(ROW(E$2:E1637)*(E1637=E$2:E1637)))))-COUNTBLANK(OFFSET(A$1,,,SUMPRODUCT(MAX(ROW(E$1:E1636)*(E2=E$1:E1636))))))</f>
        <v> </v>
      </c>
      <c r="K1637" s="25" t="str">
        <f>IF(OR(E1637="",E1637="!!!",F1637="NEW"),"",INDEX(J$1:J1636,SUMPRODUCT(MAX(ROW(E$1:E1636)*(E1637=E$1:E1636)))))</f>
        <v> </v>
      </c>
      <c r="L1637" s="26"/>
    </row>
    <row r="1638" spans="1:12">
      <c r="A1638" s="20" t="s">
        <v>1196</v>
      </c>
      <c r="B1638" s="27" t="s">
        <v>1107</v>
      </c>
      <c r="C1638" s="27" t="s">
        <v>1126</v>
      </c>
      <c r="D1638" s="27" t="s">
        <v>1105</v>
      </c>
      <c r="E1638" s="21">
        <f>IF(D1638="?OLD","!!!","")</f>
        <v/>
      </c>
      <c r="F1638" s="22" t="str">
        <f>IF(OR(E1638="",E1638="!!!"),"",IF(NOT(ISNA(VLOOKUP(E1638,E$1:E1637,1,FALSE()))),"OLD",IF(AND(E1638&lt;&gt;"",E1638&lt;&gt;"!!!"),"NEW","")))</f>
        <v> </v>
      </c>
      <c r="G1638" s="23" t="str">
        <f>IF(OR(E1638="",E1638="!!!"),"",IF(OR(J1638=0,AND(J1638=1,K1638=1),AND(J1638=1,I1638="SBJ"),AND(J1638=1,I1638=0)),"?IN_FOCUS",IF(J1638&lt;=2,"?ACTIVATED",IF(J1638&lt;&gt;"","?FAMILIAR",IF(F1638="NEW",IF(ISNA(VLOOKUP(E1638,#REF!,1,FALSE())),"?TYPE_IDENTIFIABLE","?REFERENTIAL"),"_")))))</f>
        <v> </v>
      </c>
      <c r="H1638" s="24" t="str">
        <f>IF(J1638&lt;&gt;1,"",IF(I1638="SBJ","CB","?"))</f>
        <v> </v>
      </c>
      <c r="I1638" s="25" t="str">
        <f>IF(OR(E1638="",E1638="!!!",F1638="NEW"),"",INDEX(B1637:B$2,-1+SUMPRODUCT(MAX(ROW(E1637:E$2)*(E1638=E1637:E$2)))))</f>
        <v> </v>
      </c>
      <c r="J1638" s="25" t="str">
        <f>IF(OR(E1638="",E1638="!!!",F1638="NEW"),"",COUNTBLANK(OFFSET(A$1,,,SUMPRODUCT(MAX(ROW(E$2:E1638)*(E1638=E$2:E1638)))))-COUNTBLANK(OFFSET(A$1,,,SUMPRODUCT(MAX(ROW(E$1:E1637)*(E2=E$1:E1637))))))</f>
        <v> </v>
      </c>
      <c r="K1638" s="25" t="str">
        <f>IF(OR(E1638="",E1638="!!!",F1638="NEW"),"",INDEX(J$1:J1637,SUMPRODUCT(MAX(ROW(E$1:E1637)*(E1638=E$1:E1637)))))</f>
        <v> </v>
      </c>
      <c r="L1638" s="26"/>
    </row>
    <row r="1639" spans="1:12">
      <c r="A1639" s="20" t="s">
        <v>1954</v>
      </c>
      <c r="B1639" s="27" t="s">
        <v>1243</v>
      </c>
      <c r="E1639" s="21">
        <f>IF(D1639="?OLD","!!!","")</f>
        <v/>
      </c>
      <c r="F1639" s="22" t="str">
        <f>IF(OR(E1639="",E1639="!!!"),"",IF(NOT(ISNA(VLOOKUP(E1639,E$1:E1638,1,FALSE()))),"OLD",IF(AND(E1639&lt;&gt;"",E1639&lt;&gt;"!!!"),"NEW","")))</f>
        <v> </v>
      </c>
      <c r="G1639" s="23" t="str">
        <f>IF(OR(E1639="",E1639="!!!"),"",IF(OR(J1639=0,AND(J1639=1,K1639=1),AND(J1639=1,I1639="SBJ"),AND(J1639=1,I1639=0)),"?IN_FOCUS",IF(J1639&lt;=2,"?ACTIVATED",IF(J1639&lt;&gt;"","?FAMILIAR",IF(F1639="NEW",IF(ISNA(VLOOKUP(E1639,#REF!,1,FALSE())),"?TYPE_IDENTIFIABLE","?REFERENTIAL"),"_")))))</f>
        <v> </v>
      </c>
      <c r="H1639" s="24" t="str">
        <f>IF(J1639&lt;&gt;1,"",IF(I1639="SBJ","CB","?"))</f>
        <v> </v>
      </c>
      <c r="I1639" s="25" t="str">
        <f>IF(OR(E1639="",E1639="!!!",F1639="NEW"),"",INDEX(B1638:B$2,-1+SUMPRODUCT(MAX(ROW(E1638:E$2)*(E1639=E1638:E$2)))))</f>
        <v> </v>
      </c>
      <c r="J1639" s="25" t="str">
        <f>IF(OR(E1639="",E1639="!!!",F1639="NEW"),"",COUNTBLANK(OFFSET(A$1,,,SUMPRODUCT(MAX(ROW(E$2:E1639)*(E1639=E$2:E1639)))))-COUNTBLANK(OFFSET(A$1,,,SUMPRODUCT(MAX(ROW(E$1:E1638)*(E2=E$1:E1638))))))</f>
        <v> </v>
      </c>
      <c r="K1639" s="25" t="str">
        <f>IF(OR(E1639="",E1639="!!!",F1639="NEW"),"",INDEX(J$1:J1638,SUMPRODUCT(MAX(ROW(E$1:E1638)*(E1639=E$1:E1638)))))</f>
        <v> </v>
      </c>
      <c r="L1639" s="26"/>
    </row>
    <row r="1640" spans="1:12">
      <c r="A1640" s="20" t="s">
        <v>1123</v>
      </c>
      <c r="E1640" s="21">
        <f>IF(D1640="?OLD","!!!","")</f>
        <v/>
      </c>
      <c r="F1640" s="22" t="str">
        <f>IF(OR(E1640="",E1640="!!!"),"",IF(NOT(ISNA(VLOOKUP(E1640,E$1:E1639,1,FALSE()))),"OLD",IF(AND(E1640&lt;&gt;"",E1640&lt;&gt;"!!!"),"NEW","")))</f>
        <v> </v>
      </c>
      <c r="G1640" s="23" t="str">
        <f>IF(OR(E1640="",E1640="!!!"),"",IF(OR(J1640=0,AND(J1640=1,K1640=1),AND(J1640=1,I1640="SBJ"),AND(J1640=1,I1640=0)),"?IN_FOCUS",IF(J1640&lt;=2,"?ACTIVATED",IF(J1640&lt;&gt;"","?FAMILIAR",IF(F1640="NEW",IF(ISNA(VLOOKUP(E1640,#REF!,1,FALSE())),"?TYPE_IDENTIFIABLE","?REFERENTIAL"),"_")))))</f>
        <v> </v>
      </c>
      <c r="H1640" s="24" t="str">
        <f>IF(J1640&lt;&gt;1,"",IF(I1640="SBJ","CB","?"))</f>
        <v> </v>
      </c>
      <c r="I1640" s="25" t="str">
        <f>IF(OR(E1640="",E1640="!!!",F1640="NEW"),"",INDEX(B1639:B$2,-1+SUMPRODUCT(MAX(ROW(E1639:E$2)*(E1640=E1639:E$2)))))</f>
        <v> </v>
      </c>
      <c r="J1640" s="25" t="str">
        <f>IF(OR(E1640="",E1640="!!!",F1640="NEW"),"",COUNTBLANK(OFFSET(A$1,,,SUMPRODUCT(MAX(ROW(E$2:E1640)*(E1640=E$2:E1640)))))-COUNTBLANK(OFFSET(A$1,,,SUMPRODUCT(MAX(ROW(E$1:E1639)*(E2=E$1:E1639))))))</f>
        <v> </v>
      </c>
      <c r="K1640" s="25" t="str">
        <f>IF(OR(E1640="",E1640="!!!",F1640="NEW"),"",INDEX(J$1:J1639,SUMPRODUCT(MAX(ROW(E$1:E1639)*(E1640=E$1:E1639)))))</f>
        <v> </v>
      </c>
      <c r="L1640" s="26"/>
    </row>
    <row r="1641" spans="1:12">
      <c r="A1641" s="20" t="s">
        <v>1134</v>
      </c>
      <c r="E1641" s="21">
        <f>IF(D1641="?OLD","!!!","")</f>
        <v/>
      </c>
      <c r="F1641" s="22" t="str">
        <f>IF(OR(E1641="",E1641="!!!"),"",IF(NOT(ISNA(VLOOKUP(E1641,E$1:E1640,1,FALSE()))),"OLD",IF(AND(E1641&lt;&gt;"",E1641&lt;&gt;"!!!"),"NEW","")))</f>
        <v> </v>
      </c>
      <c r="G1641" s="23" t="str">
        <f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> </v>
      </c>
      <c r="H1641" s="24" t="str">
        <f>IF(J1641&lt;&gt;1,"",IF(I1641="SBJ","CB","?"))</f>
        <v> </v>
      </c>
      <c r="I1641" s="25" t="str">
        <f>IF(OR(E1641="",E1641="!!!",F1641="NEW"),"",INDEX(B1640:B$2,-1+SUMPRODUCT(MAX(ROW(E1640:E$2)*(E1641=E1640:E$2)))))</f>
        <v> </v>
      </c>
      <c r="J1641" s="25" t="str">
        <f>IF(OR(E1641="",E1641="!!!",F1641="NEW"),"",COUNTBLANK(OFFSET(A$1,,,SUMPRODUCT(MAX(ROW(E$2:E1641)*(E1641=E$2:E1641)))))-COUNTBLANK(OFFSET(A$1,,,SUMPRODUCT(MAX(ROW(E$1:E1640)*(E2=E$1:E1640))))))</f>
        <v> </v>
      </c>
      <c r="K1641" s="25" t="str">
        <f>IF(OR(E1641="",E1641="!!!",F1641="NEW"),"",INDEX(J$1:J1640,SUMPRODUCT(MAX(ROW(E$1:E1640)*(E1641=E$1:E1640)))))</f>
        <v> </v>
      </c>
      <c r="L1641" s="26"/>
    </row>
    <row r="1642" spans="1:12">
      <c r="A1642" s="20" t="s">
        <v>1955</v>
      </c>
      <c r="E1642" s="21">
        <f>IF(D1642="?OLD","!!!","")</f>
        <v/>
      </c>
      <c r="F1642" s="22" t="str">
        <f>IF(OR(E1642="",E1642="!!!"),"",IF(NOT(ISNA(VLOOKUP(E1642,E$1:E1641,1,FALSE()))),"OLD",IF(AND(E1642&lt;&gt;"",E1642&lt;&gt;"!!!"),"NEW","")))</f>
        <v> </v>
      </c>
      <c r="G1642" s="23" t="str">
        <f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> </v>
      </c>
      <c r="H1642" s="24" t="str">
        <f>IF(J1642&lt;&gt;1,"",IF(I1642="SBJ","CB","?"))</f>
        <v> </v>
      </c>
      <c r="I1642" s="25" t="str">
        <f>IF(OR(E1642="",E1642="!!!",F1642="NEW"),"",INDEX(B1641:B$2,-1+SUMPRODUCT(MAX(ROW(E1641:E$2)*(E1642=E1641:E$2)))))</f>
        <v> </v>
      </c>
      <c r="J1642" s="25" t="str">
        <f>IF(OR(E1642="",E1642="!!!",F1642="NEW"),"",COUNTBLANK(OFFSET(A$1,,,SUMPRODUCT(MAX(ROW(E$2:E1642)*(E1642=E$2:E1642)))))-COUNTBLANK(OFFSET(A$1,,,SUMPRODUCT(MAX(ROW(E$1:E1641)*(E2=E$1:E1641))))))</f>
        <v> </v>
      </c>
      <c r="K1642" s="25" t="str">
        <f>IF(OR(E1642="",E1642="!!!",F1642="NEW"),"",INDEX(J$1:J1641,SUMPRODUCT(MAX(ROW(E$1:E1641)*(E1642=E$1:E1641)))))</f>
        <v> </v>
      </c>
      <c r="L1642" s="26"/>
    </row>
    <row r="1643" spans="1:12">
      <c r="A1643" s="20" t="s">
        <v>1123</v>
      </c>
      <c r="E1643" s="21">
        <f>IF(D1643="?OLD","!!!","")</f>
        <v/>
      </c>
      <c r="F1643" s="22" t="str">
        <f>IF(OR(E1643="",E1643="!!!"),"",IF(NOT(ISNA(VLOOKUP(E1643,E$1:E1642,1,FALSE()))),"OLD",IF(AND(E1643&lt;&gt;"",E1643&lt;&gt;"!!!"),"NEW","")))</f>
        <v> </v>
      </c>
      <c r="G1643" s="23" t="str">
        <f>IF(OR(E1643="",E1643="!!!"),"",IF(OR(J1643=0,AND(J1643=1,K1643=1),AND(J1643=1,I1643="SBJ"),AND(J1643=1,I1643=0)),"?IN_FOCUS",IF(J1643&lt;=2,"?ACTIVATED",IF(J1643&lt;&gt;"","?FAMILIAR",IF(F1643="NEW",IF(ISNA(VLOOKUP(E1643,#REF!,1,FALSE())),"?TYPE_IDENTIFIABLE","?REFERENTIAL"),"_")))))</f>
        <v> </v>
      </c>
      <c r="H1643" s="24" t="str">
        <f>IF(J1643&lt;&gt;1,"",IF(I1643="SBJ","CB","?"))</f>
        <v> </v>
      </c>
      <c r="I1643" s="25" t="str">
        <f>IF(OR(E1643="",E1643="!!!",F1643="NEW"),"",INDEX(B1642:B$2,-1+SUMPRODUCT(MAX(ROW(E1642:E$2)*(E1643=E1642:E$2)))))</f>
        <v> </v>
      </c>
      <c r="J1643" s="25" t="str">
        <f>IF(OR(E1643="",E1643="!!!",F1643="NEW"),"",COUNTBLANK(OFFSET(A$1,,,SUMPRODUCT(MAX(ROW(E$2:E1643)*(E1643=E$2:E1643)))))-COUNTBLANK(OFFSET(A$1,,,SUMPRODUCT(MAX(ROW(E$1:E1642)*(E2=E$1:E1642))))))</f>
        <v> </v>
      </c>
      <c r="K1643" s="25" t="str">
        <f>IF(OR(E1643="",E1643="!!!",F1643="NEW"),"",INDEX(J$1:J1642,SUMPRODUCT(MAX(ROW(E$1:E1642)*(E1643=E$1:E1642)))))</f>
        <v> </v>
      </c>
      <c r="L1643" s="26"/>
    </row>
    <row r="1644" spans="1:12">
      <c r="A1644" s="20" t="s">
        <v>1956</v>
      </c>
      <c r="E1644" s="21">
        <f>IF(D1644="?OLD","!!!","")</f>
        <v/>
      </c>
      <c r="F1644" s="22" t="str">
        <f>IF(OR(E1644="",E1644="!!!"),"",IF(NOT(ISNA(VLOOKUP(E1644,E$1:E1643,1,FALSE()))),"OLD",IF(AND(E1644&lt;&gt;"",E1644&lt;&gt;"!!!"),"NEW","")))</f>
        <v> </v>
      </c>
      <c r="G1644" s="23" t="str">
        <f>IF(OR(E1644="",E1644="!!!"),"",IF(OR(J1644=0,AND(J1644=1,K1644=1),AND(J1644=1,I1644="SBJ"),AND(J1644=1,I1644=0)),"?IN_FOCUS",IF(J1644&lt;=2,"?ACTIVATED",IF(J1644&lt;&gt;"","?FAMILIAR",IF(F1644="NEW",IF(ISNA(VLOOKUP(E1644,#REF!,1,FALSE())),"?TYPE_IDENTIFIABLE","?REFERENTIAL"),"_")))))</f>
        <v> </v>
      </c>
      <c r="H1644" s="24" t="str">
        <f>IF(J1644&lt;&gt;1,"",IF(I1644="SBJ","CB","?"))</f>
        <v> </v>
      </c>
      <c r="I1644" s="25" t="str">
        <f>IF(OR(E1644="",E1644="!!!",F1644="NEW"),"",INDEX(B1643:B$2,-1+SUMPRODUCT(MAX(ROW(E1643:E$2)*(E1644=E1643:E$2)))))</f>
        <v> </v>
      </c>
      <c r="J1644" s="25" t="str">
        <f>IF(OR(E1644="",E1644="!!!",F1644="NEW"),"",COUNTBLANK(OFFSET(A$1,,,SUMPRODUCT(MAX(ROW(E$2:E1644)*(E1644=E$2:E1644)))))-COUNTBLANK(OFFSET(A$1,,,SUMPRODUCT(MAX(ROW(E$1:E1643)*(E2=E$1:E1643))))))</f>
        <v> </v>
      </c>
      <c r="K1644" s="25" t="str">
        <f>IF(OR(E1644="",E1644="!!!",F1644="NEW"),"",INDEX(J$1:J1643,SUMPRODUCT(MAX(ROW(E$1:E1643)*(E1644=E$1:E1643)))))</f>
        <v> </v>
      </c>
      <c r="L1644" s="26"/>
    </row>
    <row r="1645" spans="1:12">
      <c r="A1645" s="20" t="s">
        <v>1957</v>
      </c>
      <c r="B1645" s="27" t="s">
        <v>1125</v>
      </c>
      <c r="C1645" s="27" t="s">
        <v>1289</v>
      </c>
      <c r="E1645" s="21">
        <f>IF(D1645="?OLD","!!!","")</f>
        <v/>
      </c>
      <c r="F1645" s="22" t="str">
        <f>IF(OR(E1645="",E1645="!!!"),"",IF(NOT(ISNA(VLOOKUP(E1645,E$1:E1644,1,FALSE()))),"OLD",IF(AND(E1645&lt;&gt;"",E1645&lt;&gt;"!!!"),"NEW","")))</f>
        <v> </v>
      </c>
      <c r="G1645" s="23" t="str">
        <f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> </v>
      </c>
      <c r="H1645" s="24" t="str">
        <f>IF(J1645&lt;&gt;1,"",IF(I1645="SBJ","CB","?"))</f>
        <v> </v>
      </c>
      <c r="I1645" s="25" t="str">
        <f>IF(OR(E1645="",E1645="!!!",F1645="NEW"),"",INDEX(B1644:B$2,-1+SUMPRODUCT(MAX(ROW(E1644:E$2)*(E1645=E1644:E$2)))))</f>
        <v> </v>
      </c>
      <c r="J1645" s="25" t="str">
        <f>IF(OR(E1645="",E1645="!!!",F1645="NEW"),"",COUNTBLANK(OFFSET(A$1,,,SUMPRODUCT(MAX(ROW(E$2:E1645)*(E1645=E$2:E1645)))))-COUNTBLANK(OFFSET(A$1,,,SUMPRODUCT(MAX(ROW(E$1:E1644)*(E2=E$1:E1644))))))</f>
        <v> </v>
      </c>
      <c r="K1645" s="25" t="str">
        <f>IF(OR(E1645="",E1645="!!!",F1645="NEW"),"",INDEX(J$1:J1644,SUMPRODUCT(MAX(ROW(E$1:E1644)*(E1645=E$1:E1644)))))</f>
        <v> </v>
      </c>
      <c r="L1645" s="26"/>
    </row>
    <row r="1646" spans="1:12">
      <c r="A1646" s="20" t="s">
        <v>1823</v>
      </c>
      <c r="E1646" s="21">
        <f>IF(D1646="?OLD","!!!","")</f>
        <v/>
      </c>
      <c r="F1646" s="22" t="str">
        <f>IF(OR(E1646="",E1646="!!!"),"",IF(NOT(ISNA(VLOOKUP(E1646,E$1:E1645,1,FALSE()))),"OLD",IF(AND(E1646&lt;&gt;"",E1646&lt;&gt;"!!!"),"NEW","")))</f>
        <v> </v>
      </c>
      <c r="G1646" s="23" t="str">
        <f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> </v>
      </c>
      <c r="H1646" s="24" t="str">
        <f>IF(J1646&lt;&gt;1,"",IF(I1646="SBJ","CB","?"))</f>
        <v> </v>
      </c>
      <c r="I1646" s="25" t="str">
        <f>IF(OR(E1646="",E1646="!!!",F1646="NEW"),"",INDEX(B1645:B$2,-1+SUMPRODUCT(MAX(ROW(E1645:E$2)*(E1646=E1645:E$2)))))</f>
        <v> </v>
      </c>
      <c r="J1646" s="25" t="str">
        <f>IF(OR(E1646="",E1646="!!!",F1646="NEW"),"",COUNTBLANK(OFFSET(A$1,,,SUMPRODUCT(MAX(ROW(E$2:E1646)*(E1646=E$2:E1646)))))-COUNTBLANK(OFFSET(A$1,,,SUMPRODUCT(MAX(ROW(E$1:E1645)*(E2=E$1:E1645))))))</f>
        <v> </v>
      </c>
      <c r="K1646" s="25" t="str">
        <f>IF(OR(E1646="",E1646="!!!",F1646="NEW"),"",INDEX(J$1:J1645,SUMPRODUCT(MAX(ROW(E$1:E1645)*(E1646=E$1:E1645)))))</f>
        <v> </v>
      </c>
      <c r="L1646" s="26"/>
    </row>
    <row r="1647" spans="1:12">
      <c r="A1647" s="20" t="s">
        <v>1958</v>
      </c>
      <c r="E1647" s="21">
        <f>IF(D1647="?OLD","!!!","")</f>
        <v/>
      </c>
      <c r="F1647" s="22" t="str">
        <f>IF(OR(E1647="",E1647="!!!"),"",IF(NOT(ISNA(VLOOKUP(E1647,E$1:E1646,1,FALSE()))),"OLD",IF(AND(E1647&lt;&gt;"",E1647&lt;&gt;"!!!"),"NEW","")))</f>
        <v> </v>
      </c>
      <c r="G1647" s="23" t="str">
        <f>IF(OR(E1647="",E1647="!!!"),"",IF(OR(J1647=0,AND(J1647=1,K1647=1),AND(J1647=1,I1647="SBJ"),AND(J1647=1,I1647=0)),"?IN_FOCUS",IF(J1647&lt;=2,"?ACTIVATED",IF(J1647&lt;&gt;"","?FAMILIAR",IF(F1647="NEW",IF(ISNA(VLOOKUP(E1647,#REF!,1,FALSE())),"?TYPE_IDENTIFIABLE","?REFERENTIAL"),"_")))))</f>
        <v> </v>
      </c>
      <c r="H1647" s="24" t="str">
        <f>IF(J1647&lt;&gt;1,"",IF(I1647="SBJ","CB","?"))</f>
        <v> </v>
      </c>
      <c r="I1647" s="25" t="str">
        <f>IF(OR(E1647="",E1647="!!!",F1647="NEW"),"",INDEX(B1646:B$2,-1+SUMPRODUCT(MAX(ROW(E1646:E$2)*(E1647=E1646:E$2)))))</f>
        <v> </v>
      </c>
      <c r="J1647" s="25" t="str">
        <f>IF(OR(E1647="",E1647="!!!",F1647="NEW"),"",COUNTBLANK(OFFSET(A$1,,,SUMPRODUCT(MAX(ROW(E$2:E1647)*(E1647=E$2:E1647)))))-COUNTBLANK(OFFSET(A$1,,,SUMPRODUCT(MAX(ROW(E$1:E1646)*(E2=E$1:E1646))))))</f>
        <v> </v>
      </c>
      <c r="K1647" s="25" t="str">
        <f>IF(OR(E1647="",E1647="!!!",F1647="NEW"),"",INDEX(J$1:J1646,SUMPRODUCT(MAX(ROW(E$1:E1646)*(E1647=E$1:E1646)))))</f>
        <v> </v>
      </c>
      <c r="L1647" s="26"/>
    </row>
    <row r="1648" spans="1:12">
      <c r="A1648" s="20" t="s">
        <v>1145</v>
      </c>
      <c r="E1648" s="21">
        <f>IF(D1648="?OLD","!!!","")</f>
        <v/>
      </c>
      <c r="F1648" s="22" t="str">
        <f>IF(OR(E1648="",E1648="!!!"),"",IF(NOT(ISNA(VLOOKUP(E1648,E$1:E1647,1,FALSE()))),"OLD",IF(AND(E1648&lt;&gt;"",E1648&lt;&gt;"!!!"),"NEW","")))</f>
        <v> </v>
      </c>
      <c r="G1648" s="23" t="str">
        <f>IF(OR(E1648="",E1648="!!!"),"",IF(OR(J1648=0,AND(J1648=1,K1648=1),AND(J1648=1,I1648="SBJ"),AND(J1648=1,I1648=0)),"?IN_FOCUS",IF(J1648&lt;=2,"?ACTIVATED",IF(J1648&lt;&gt;"","?FAMILIAR",IF(F1648="NEW",IF(ISNA(VLOOKUP(E1648,#REF!,1,FALSE())),"?TYPE_IDENTIFIABLE","?REFERENTIAL"),"_")))))</f>
        <v> </v>
      </c>
      <c r="H1648" s="24" t="str">
        <f>IF(J1648&lt;&gt;1,"",IF(I1648="SBJ","CB","?"))</f>
        <v> </v>
      </c>
      <c r="I1648" s="25" t="str">
        <f>IF(OR(E1648="",E1648="!!!",F1648="NEW"),"",INDEX(B1647:B$2,-1+SUMPRODUCT(MAX(ROW(E1647:E$2)*(E1648=E1647:E$2)))))</f>
        <v> </v>
      </c>
      <c r="J1648" s="25" t="str">
        <f>IF(OR(E1648="",E1648="!!!",F1648="NEW"),"",COUNTBLANK(OFFSET(A$1,,,SUMPRODUCT(MAX(ROW(E$2:E1648)*(E1648=E$2:E1648)))))-COUNTBLANK(OFFSET(A$1,,,SUMPRODUCT(MAX(ROW(E$1:E1647)*(E2=E$1:E1647))))))</f>
        <v> </v>
      </c>
      <c r="K1648" s="25" t="str">
        <f>IF(OR(E1648="",E1648="!!!",F1648="NEW"),"",INDEX(J$1:J1647,SUMPRODUCT(MAX(ROW(E$1:E1647)*(E1648=E$1:E1647)))))</f>
        <v> </v>
      </c>
      <c r="L1648" s="26"/>
    </row>
    <row r="1649" spans="1:12">
      <c r="A1649" s="20"/>
    </row>
    <row r="1650" spans="1:12">
      <c r="A1650" s="20" t="s">
        <v>1959</v>
      </c>
    </row>
    <row r="1651" spans="1:12">
      <c r="A1651" s="20" t="s">
        <v>1960</v>
      </c>
      <c r="E1651" s="21">
        <f>IF(D1651="?OLD","!!!","")</f>
        <v/>
      </c>
      <c r="F1651" s="22" t="str">
        <f>IF(OR(E1651="",E1651="!!!"),"",IF(NOT(ISNA(VLOOKUP(E1651,E$1:E1650,1,FALSE()))),"OLD",IF(AND(E1651&lt;&gt;"",E1651&lt;&gt;"!!!"),"NEW","")))</f>
        <v> </v>
      </c>
      <c r="G1651" s="23" t="str">
        <f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> </v>
      </c>
      <c r="H1651" s="24" t="str">
        <f>IF(J1651&lt;&gt;1,"",IF(I1651="SBJ","CB","?"))</f>
        <v> </v>
      </c>
      <c r="I1651" s="25" t="str">
        <f>IF(OR(E1651="",E1651="!!!",F1651="NEW"),"",INDEX(B1650:B$2,-1+SUMPRODUCT(MAX(ROW(E1650:E$2)*(E1651=E1650:E$2)))))</f>
        <v> </v>
      </c>
      <c r="J1651" s="25" t="str">
        <f>IF(OR(E1651="",E1651="!!!",F1651="NEW"),"",COUNTBLANK(OFFSET(A$1,,,SUMPRODUCT(MAX(ROW(E$2:E1651)*(E1651=E$2:E1651)))))-COUNTBLANK(OFFSET(A$1,,,SUMPRODUCT(MAX(ROW(E$1:E1650)*(E2=E$1:E1650))))))</f>
        <v> </v>
      </c>
      <c r="K1651" s="25" t="str">
        <f>IF(OR(E1651="",E1651="!!!",F1651="NEW"),"",INDEX(J$1:J1650,SUMPRODUCT(MAX(ROW(E$1:E1650)*(E1651=E$1:E1650)))))</f>
        <v> </v>
      </c>
      <c r="L1651" s="26"/>
    </row>
    <row r="1652" spans="1:12">
      <c r="A1652" s="20" t="s">
        <v>1961</v>
      </c>
      <c r="E1652" s="21">
        <f>IF(D1652="?OLD","!!!","")</f>
        <v/>
      </c>
      <c r="F1652" s="22" t="str">
        <f>IF(OR(E1652="",E1652="!!!"),"",IF(NOT(ISNA(VLOOKUP(E1652,E$1:E1651,1,FALSE()))),"OLD",IF(AND(E1652&lt;&gt;"",E1652&lt;&gt;"!!!"),"NEW","")))</f>
        <v> </v>
      </c>
      <c r="G1652" s="23" t="str">
        <f>IF(OR(E1652="",E1652="!!!"),"",IF(OR(J1652=0,AND(J1652=1,K1652=1),AND(J1652=1,I1652="SBJ"),AND(J1652=1,I1652=0)),"?IN_FOCUS",IF(J1652&lt;=2,"?ACTIVATED",IF(J1652&lt;&gt;"","?FAMILIAR",IF(F1652="NEW",IF(ISNA(VLOOKUP(E1652,#REF!,1,FALSE())),"?TYPE_IDENTIFIABLE","?REFERENTIAL"),"_")))))</f>
        <v> </v>
      </c>
      <c r="H1652" s="24" t="str">
        <f>IF(J1652&lt;&gt;1,"",IF(I1652="SBJ","CB","?"))</f>
        <v> </v>
      </c>
      <c r="I1652" s="25" t="str">
        <f>IF(OR(E1652="",E1652="!!!",F1652="NEW"),"",INDEX(B1651:B$2,-1+SUMPRODUCT(MAX(ROW(E1651:E$2)*(E1652=E1651:E$2)))))</f>
        <v> </v>
      </c>
      <c r="J1652" s="25" t="str">
        <f>IF(OR(E1652="",E1652="!!!",F1652="NEW"),"",COUNTBLANK(OFFSET(A$1,,,SUMPRODUCT(MAX(ROW(E$2:E1652)*(E1652=E$2:E1652)))))-COUNTBLANK(OFFSET(A$1,,,SUMPRODUCT(MAX(ROW(E$1:E1651)*(E2=E$1:E1651))))))</f>
        <v> </v>
      </c>
      <c r="K1652" s="25" t="str">
        <f>IF(OR(E1652="",E1652="!!!",F1652="NEW"),"",INDEX(J$1:J1651,SUMPRODUCT(MAX(ROW(E$1:E1651)*(E1652=E$1:E1651)))))</f>
        <v> </v>
      </c>
      <c r="L1652" s="26"/>
    </row>
    <row r="1653" spans="1:12">
      <c r="A1653" s="20" t="s">
        <v>1130</v>
      </c>
      <c r="E1653" s="21">
        <f>IF(D1653="?OLD","!!!","")</f>
        <v/>
      </c>
      <c r="F1653" s="22" t="str">
        <f>IF(OR(E1653="",E1653="!!!"),"",IF(NOT(ISNA(VLOOKUP(E1653,E$1:E1652,1,FALSE()))),"OLD",IF(AND(E1653&lt;&gt;"",E1653&lt;&gt;"!!!"),"NEW","")))</f>
        <v> </v>
      </c>
      <c r="G1653" s="23" t="str">
        <f>IF(OR(E1653="",E1653="!!!"),"",IF(OR(J1653=0,AND(J1653=1,K1653=1),AND(J1653=1,I1653="SBJ"),AND(J1653=1,I1653=0)),"?IN_FOCUS",IF(J1653&lt;=2,"?ACTIVATED",IF(J1653&lt;&gt;"","?FAMILIAR",IF(F1653="NEW",IF(ISNA(VLOOKUP(E1653,#REF!,1,FALSE())),"?TYPE_IDENTIFIABLE","?REFERENTIAL"),"_")))))</f>
        <v> </v>
      </c>
      <c r="H1653" s="24" t="str">
        <f>IF(J1653&lt;&gt;1,"",IF(I1653="SBJ","CB","?"))</f>
        <v> </v>
      </c>
      <c r="I1653" s="25" t="str">
        <f>IF(OR(E1653="",E1653="!!!",F1653="NEW"),"",INDEX(B1652:B$2,-1+SUMPRODUCT(MAX(ROW(E1652:E$2)*(E1653=E1652:E$2)))))</f>
        <v> </v>
      </c>
      <c r="J1653" s="25" t="str">
        <f>IF(OR(E1653="",E1653="!!!",F1653="NEW"),"",COUNTBLANK(OFFSET(A$1,,,SUMPRODUCT(MAX(ROW(E$2:E1653)*(E1653=E$2:E1653)))))-COUNTBLANK(OFFSET(A$1,,,SUMPRODUCT(MAX(ROW(E$1:E1652)*(E2=E$1:E1652))))))</f>
        <v> </v>
      </c>
      <c r="K1653" s="25" t="str">
        <f>IF(OR(E1653="",E1653="!!!",F1653="NEW"),"",INDEX(J$1:J1652,SUMPRODUCT(MAX(ROW(E$1:E1652)*(E1653=E$1:E1652)))))</f>
        <v> </v>
      </c>
      <c r="L1653" s="26"/>
    </row>
    <row r="1654" spans="1:12">
      <c r="A1654" s="20" t="s">
        <v>1962</v>
      </c>
      <c r="B1654" s="27" t="s">
        <v>1110</v>
      </c>
      <c r="C1654" s="27" t="s">
        <v>1108</v>
      </c>
      <c r="D1654" s="27" t="s">
        <v>1105</v>
      </c>
      <c r="E1654" s="21">
        <f>IF(D1654="?OLD","!!!","")</f>
        <v/>
      </c>
      <c r="F1654" s="22" t="str">
        <f>IF(OR(E1654="",E1654="!!!"),"",IF(NOT(ISNA(VLOOKUP(E1654,E$1:E1653,1,FALSE()))),"OLD",IF(AND(E1654&lt;&gt;"",E1654&lt;&gt;"!!!"),"NEW","")))</f>
        <v> </v>
      </c>
      <c r="G1654" s="23" t="str">
        <f>IF(OR(E1654="",E1654="!!!"),"",IF(OR(J1654=0,AND(J1654=1,K1654=1),AND(J1654=1,I1654="SBJ"),AND(J1654=1,I1654=0)),"?IN_FOCUS",IF(J1654&lt;=2,"?ACTIVATED",IF(J1654&lt;&gt;"","?FAMILIAR",IF(F1654="NEW",IF(ISNA(VLOOKUP(E1654,#REF!,1,FALSE())),"?TYPE_IDENTIFIABLE","?REFERENTIAL"),"_")))))</f>
        <v> </v>
      </c>
      <c r="H1654" s="24" t="str">
        <f>IF(J1654&lt;&gt;1,"",IF(I1654="SBJ","CB","?"))</f>
        <v> </v>
      </c>
      <c r="I1654" s="25" t="str">
        <f>IF(OR(E1654="",E1654="!!!",F1654="NEW"),"",INDEX(B1653:B$2,-1+SUMPRODUCT(MAX(ROW(E1653:E$2)*(E1654=E1653:E$2)))))</f>
        <v> </v>
      </c>
      <c r="J1654" s="25" t="str">
        <f>IF(OR(E1654="",E1654="!!!",F1654="NEW"),"",COUNTBLANK(OFFSET(A$1,,,SUMPRODUCT(MAX(ROW(E$2:E1654)*(E1654=E$2:E1654)))))-COUNTBLANK(OFFSET(A$1,,,SUMPRODUCT(MAX(ROW(E$1:E1653)*(E2=E$1:E1653))))))</f>
        <v> </v>
      </c>
      <c r="K1654" s="25" t="str">
        <f>IF(OR(E1654="",E1654="!!!",F1654="NEW"),"",INDEX(J$1:J1653,SUMPRODUCT(MAX(ROW(E$1:E1653)*(E1654=E$1:E1653)))))</f>
        <v> </v>
      </c>
      <c r="L1654" s="26"/>
    </row>
    <row r="1655" spans="1:12">
      <c r="A1655" s="20" t="s">
        <v>1123</v>
      </c>
      <c r="E1655" s="21">
        <f>IF(D1655="?OLD","!!!","")</f>
        <v/>
      </c>
      <c r="F1655" s="22" t="str">
        <f>IF(OR(E1655="",E1655="!!!"),"",IF(NOT(ISNA(VLOOKUP(E1655,E$1:E1654,1,FALSE()))),"OLD",IF(AND(E1655&lt;&gt;"",E1655&lt;&gt;"!!!"),"NEW","")))</f>
        <v> </v>
      </c>
      <c r="G1655" s="23" t="str">
        <f>IF(OR(E1655="",E1655="!!!"),"",IF(OR(J1655=0,AND(J1655=1,K1655=1),AND(J1655=1,I1655="SBJ"),AND(J1655=1,I1655=0)),"?IN_FOCUS",IF(J1655&lt;=2,"?ACTIVATED",IF(J1655&lt;&gt;"","?FAMILIAR",IF(F1655="NEW",IF(ISNA(VLOOKUP(E1655,#REF!,1,FALSE())),"?TYPE_IDENTIFIABLE","?REFERENTIAL"),"_")))))</f>
        <v> </v>
      </c>
      <c r="H1655" s="24" t="str">
        <f>IF(J1655&lt;&gt;1,"",IF(I1655="SBJ","CB","?"))</f>
        <v> </v>
      </c>
      <c r="I1655" s="25" t="str">
        <f>IF(OR(E1655="",E1655="!!!",F1655="NEW"),"",INDEX(B1654:B$2,-1+SUMPRODUCT(MAX(ROW(E1654:E$2)*(E1655=E1654:E$2)))))</f>
        <v> </v>
      </c>
      <c r="J1655" s="25" t="str">
        <f>IF(OR(E1655="",E1655="!!!",F1655="NEW"),"",COUNTBLANK(OFFSET(A$1,,,SUMPRODUCT(MAX(ROW(E$2:E1655)*(E1655=E$2:E1655)))))-COUNTBLANK(OFFSET(A$1,,,SUMPRODUCT(MAX(ROW(E$1:E1654)*(E2=E$1:E1654))))))</f>
        <v> </v>
      </c>
      <c r="K1655" s="25" t="str">
        <f>IF(OR(E1655="",E1655="!!!",F1655="NEW"),"",INDEX(J$1:J1654,SUMPRODUCT(MAX(ROW(E$1:E1654)*(E1655=E$1:E1654)))))</f>
        <v> </v>
      </c>
      <c r="L1655" s="26"/>
    </row>
    <row r="1656" spans="1:12">
      <c r="A1656" s="20" t="s">
        <v>1228</v>
      </c>
      <c r="B1656" s="27" t="s">
        <v>1149</v>
      </c>
      <c r="C1656" s="27" t="s">
        <v>1126</v>
      </c>
      <c r="D1656" s="27" t="s">
        <v>1105</v>
      </c>
      <c r="E1656" s="21">
        <f>IF(D1656="?OLD","!!!","")</f>
        <v/>
      </c>
      <c r="F1656" s="22" t="str">
        <f>IF(OR(E1656="",E1656="!!!"),"",IF(NOT(ISNA(VLOOKUP(E1656,E$1:E1655,1,FALSE()))),"OLD",IF(AND(E1656&lt;&gt;"",E1656&lt;&gt;"!!!"),"NEW","")))</f>
        <v> </v>
      </c>
      <c r="G1656" s="23" t="str">
        <f>IF(OR(E1656="",E1656="!!!"),"",IF(OR(J1656=0,AND(J1656=1,K1656=1),AND(J1656=1,I1656="SBJ"),AND(J1656=1,I1656=0)),"?IN_FOCUS",IF(J1656&lt;=2,"?ACTIVATED",IF(J1656&lt;&gt;"","?FAMILIAR",IF(F1656="NEW",IF(ISNA(VLOOKUP(E1656,#REF!,1,FALSE())),"?TYPE_IDENTIFIABLE","?REFERENTIAL"),"_")))))</f>
        <v> </v>
      </c>
      <c r="H1656" s="24" t="str">
        <f>IF(J1656&lt;&gt;1,"",IF(I1656="SBJ","CB","?"))</f>
        <v> </v>
      </c>
      <c r="I1656" s="25" t="str">
        <f>IF(OR(E1656="",E1656="!!!",F1656="NEW"),"",INDEX(B1655:B$2,-1+SUMPRODUCT(MAX(ROW(E1655:E$2)*(E1656=E1655:E$2)))))</f>
        <v> </v>
      </c>
      <c r="J1656" s="25" t="str">
        <f>IF(OR(E1656="",E1656="!!!",F1656="NEW"),"",COUNTBLANK(OFFSET(A$1,,,SUMPRODUCT(MAX(ROW(E$2:E1656)*(E1656=E$2:E1656)))))-COUNTBLANK(OFFSET(A$1,,,SUMPRODUCT(MAX(ROW(E$1:E1655)*(E2=E$1:E1655))))))</f>
        <v> </v>
      </c>
      <c r="K1656" s="25" t="str">
        <f>IF(OR(E1656="",E1656="!!!",F1656="NEW"),"",INDEX(J$1:J1655,SUMPRODUCT(MAX(ROW(E$1:E1655)*(E1656=E$1:E1655)))))</f>
        <v> </v>
      </c>
      <c r="L1656" s="26"/>
    </row>
    <row r="1657" spans="1:12">
      <c r="A1657" s="20" t="s">
        <v>1963</v>
      </c>
      <c r="E1657" s="21">
        <f>IF(D1657="?OLD","!!!","")</f>
        <v/>
      </c>
      <c r="F1657" s="22" t="str">
        <f>IF(OR(E1657="",E1657="!!!"),"",IF(NOT(ISNA(VLOOKUP(E1657,E$1:E1656,1,FALSE()))),"OLD",IF(AND(E1657&lt;&gt;"",E1657&lt;&gt;"!!!"),"NEW","")))</f>
        <v> </v>
      </c>
      <c r="G1657" s="23" t="str">
        <f>IF(OR(E1657="",E1657="!!!"),"",IF(OR(J1657=0,AND(J1657=1,K1657=1),AND(J1657=1,I1657="SBJ"),AND(J1657=1,I1657=0)),"?IN_FOCUS",IF(J1657&lt;=2,"?ACTIVATED",IF(J1657&lt;&gt;"","?FAMILIAR",IF(F1657="NEW",IF(ISNA(VLOOKUP(E1657,#REF!,1,FALSE())),"?TYPE_IDENTIFIABLE","?REFERENTIAL"),"_")))))</f>
        <v> </v>
      </c>
      <c r="H1657" s="24" t="str">
        <f>IF(J1657&lt;&gt;1,"",IF(I1657="SBJ","CB","?"))</f>
        <v> </v>
      </c>
      <c r="I1657" s="25" t="str">
        <f>IF(OR(E1657="",E1657="!!!",F1657="NEW"),"",INDEX(B1656:B$2,-1+SUMPRODUCT(MAX(ROW(E1656:E$2)*(E1657=E1656:E$2)))))</f>
        <v> </v>
      </c>
      <c r="J1657" s="25" t="str">
        <f>IF(OR(E1657="",E1657="!!!",F1657="NEW"),"",COUNTBLANK(OFFSET(A$1,,,SUMPRODUCT(MAX(ROW(E$2:E1657)*(E1657=E$2:E1657)))))-COUNTBLANK(OFFSET(A$1,,,SUMPRODUCT(MAX(ROW(E$1:E1656)*(E2=E$1:E1656))))))</f>
        <v> </v>
      </c>
      <c r="K1657" s="25" t="str">
        <f>IF(OR(E1657="",E1657="!!!",F1657="NEW"),"",INDEX(J$1:J1656,SUMPRODUCT(MAX(ROW(E$1:E1656)*(E1657=E$1:E1656)))))</f>
        <v> </v>
      </c>
      <c r="L1657" s="26"/>
    </row>
    <row r="1658" spans="1:12">
      <c r="A1658" s="20" t="s">
        <v>1964</v>
      </c>
      <c r="E1658" s="21">
        <f>IF(D1658="?OLD","!!!","")</f>
        <v/>
      </c>
      <c r="F1658" s="22" t="str">
        <f>IF(OR(E1658="",E1658="!!!"),"",IF(NOT(ISNA(VLOOKUP(E1658,E$1:E1657,1,FALSE()))),"OLD",IF(AND(E1658&lt;&gt;"",E1658&lt;&gt;"!!!"),"NEW","")))</f>
        <v> </v>
      </c>
      <c r="G1658" s="23" t="str">
        <f>IF(OR(E1658="",E1658="!!!"),"",IF(OR(J1658=0,AND(J1658=1,K1658=1),AND(J1658=1,I1658="SBJ"),AND(J1658=1,I1658=0)),"?IN_FOCUS",IF(J1658&lt;=2,"?ACTIVATED",IF(J1658&lt;&gt;"","?FAMILIAR",IF(F1658="NEW",IF(ISNA(VLOOKUP(E1658,#REF!,1,FALSE())),"?TYPE_IDENTIFIABLE","?REFERENTIAL"),"_")))))</f>
        <v> </v>
      </c>
      <c r="H1658" s="24" t="str">
        <f>IF(J1658&lt;&gt;1,"",IF(I1658="SBJ","CB","?"))</f>
        <v> </v>
      </c>
      <c r="I1658" s="25" t="str">
        <f>IF(OR(E1658="",E1658="!!!",F1658="NEW"),"",INDEX(B1657:B$2,-1+SUMPRODUCT(MAX(ROW(E1657:E$2)*(E1658=E1657:E$2)))))</f>
        <v> </v>
      </c>
      <c r="J1658" s="25" t="str">
        <f>IF(OR(E1658="",E1658="!!!",F1658="NEW"),"",COUNTBLANK(OFFSET(A$1,,,SUMPRODUCT(MAX(ROW(E$2:E1658)*(E1658=E$2:E1658)))))-COUNTBLANK(OFFSET(A$1,,,SUMPRODUCT(MAX(ROW(E$1:E1657)*(E2=E$1:E1657))))))</f>
        <v> </v>
      </c>
      <c r="K1658" s="25" t="str">
        <f>IF(OR(E1658="",E1658="!!!",F1658="NEW"),"",INDEX(J$1:J1657,SUMPRODUCT(MAX(ROW(E$1:E1657)*(E1658=E$1:E1657)))))</f>
        <v> </v>
      </c>
      <c r="L1658" s="26"/>
    </row>
    <row r="1659" spans="1:12">
      <c r="A1659" s="20" t="s">
        <v>1166</v>
      </c>
      <c r="B1659" s="27" t="s">
        <v>1213</v>
      </c>
      <c r="C1659" s="27" t="s">
        <v>1126</v>
      </c>
      <c r="D1659" s="27" t="s">
        <v>1105</v>
      </c>
      <c r="E1659" s="21">
        <f>IF(D1659="?OLD","!!!","")</f>
        <v/>
      </c>
      <c r="F1659" s="22" t="str">
        <f>IF(OR(E1659="",E1659="!!!"),"",IF(NOT(ISNA(VLOOKUP(E1659,E$1:E1658,1,FALSE()))),"OLD",IF(AND(E1659&lt;&gt;"",E1659&lt;&gt;"!!!"),"NEW","")))</f>
        <v> </v>
      </c>
      <c r="G1659" s="23" t="str">
        <f>IF(OR(E1659="",E1659="!!!"),"",IF(OR(J1659=0,AND(J1659=1,K1659=1),AND(J1659=1,I1659="SBJ"),AND(J1659=1,I1659=0)),"?IN_FOCUS",IF(J1659&lt;=2,"?ACTIVATED",IF(J1659&lt;&gt;"","?FAMILIAR",IF(F1659="NEW",IF(ISNA(VLOOKUP(E1659,#REF!,1,FALSE())),"?TYPE_IDENTIFIABLE","?REFERENTIAL"),"_")))))</f>
        <v> </v>
      </c>
      <c r="H1659" s="24" t="str">
        <f>IF(J1659&lt;&gt;1,"",IF(I1659="SBJ","CB","?"))</f>
        <v> </v>
      </c>
      <c r="I1659" s="25" t="str">
        <f>IF(OR(E1659="",E1659="!!!",F1659="NEW"),"",INDEX(B1658:B$2,-1+SUMPRODUCT(MAX(ROW(E1658:E$2)*(E1659=E1658:E$2)))))</f>
        <v> </v>
      </c>
      <c r="J1659" s="25" t="str">
        <f>IF(OR(E1659="",E1659="!!!",F1659="NEW"),"",COUNTBLANK(OFFSET(A$1,,,SUMPRODUCT(MAX(ROW(E$2:E1659)*(E1659=E$2:E1659)))))-COUNTBLANK(OFFSET(A$1,,,SUMPRODUCT(MAX(ROW(E$1:E1658)*(E2=E$1:E1658))))))</f>
        <v> </v>
      </c>
      <c r="K1659" s="25" t="str">
        <f>IF(OR(E1659="",E1659="!!!",F1659="NEW"),"",INDEX(J$1:J1658,SUMPRODUCT(MAX(ROW(E$1:E1658)*(E1659=E$1:E1658)))))</f>
        <v> </v>
      </c>
      <c r="L1659" s="26"/>
    </row>
    <row r="1660" spans="1:12">
      <c r="A1660" s="20" t="s">
        <v>1184</v>
      </c>
      <c r="E1660" s="21">
        <f>IF(D1660="?OLD","!!!","")</f>
        <v/>
      </c>
      <c r="F1660" s="22" t="str">
        <f>IF(OR(E1660="",E1660="!!!"),"",IF(NOT(ISNA(VLOOKUP(E1660,E$1:E1659,1,FALSE()))),"OLD",IF(AND(E1660&lt;&gt;"",E1660&lt;&gt;"!!!"),"NEW","")))</f>
        <v> </v>
      </c>
      <c r="G1660" s="23" t="str">
        <f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> </v>
      </c>
      <c r="H1660" s="24" t="str">
        <f>IF(J1660&lt;&gt;1,"",IF(I1660="SBJ","CB","?"))</f>
        <v> </v>
      </c>
      <c r="I1660" s="25" t="str">
        <f>IF(OR(E1660="",E1660="!!!",F1660="NEW"),"",INDEX(B1659:B$2,-1+SUMPRODUCT(MAX(ROW(E1659:E$2)*(E1660=E1659:E$2)))))</f>
        <v> </v>
      </c>
      <c r="J1660" s="25" t="str">
        <f>IF(OR(E1660="",E1660="!!!",F1660="NEW"),"",COUNTBLANK(OFFSET(A$1,,,SUMPRODUCT(MAX(ROW(E$2:E1660)*(E1660=E$2:E1660)))))-COUNTBLANK(OFFSET(A$1,,,SUMPRODUCT(MAX(ROW(E$1:E1659)*(E2=E$1:E1659))))))</f>
        <v> </v>
      </c>
      <c r="K1660" s="25" t="str">
        <f>IF(OR(E1660="",E1660="!!!",F1660="NEW"),"",INDEX(J$1:J1659,SUMPRODUCT(MAX(ROW(E$1:E1659)*(E1660=E$1:E1659)))))</f>
        <v> </v>
      </c>
      <c r="L1660" s="26"/>
    </row>
    <row r="1661" spans="1:12">
      <c r="A1661" s="20" t="s">
        <v>1241</v>
      </c>
      <c r="E1661" s="21">
        <f>IF(D1661="?OLD","!!!","")</f>
        <v/>
      </c>
      <c r="F1661" s="22" t="str">
        <f>IF(OR(E1661="",E1661="!!!"),"",IF(NOT(ISNA(VLOOKUP(E1661,E$1:E1660,1,FALSE()))),"OLD",IF(AND(E1661&lt;&gt;"",E1661&lt;&gt;"!!!"),"NEW","")))</f>
        <v> </v>
      </c>
      <c r="G1661" s="23" t="str">
        <f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> </v>
      </c>
      <c r="H1661" s="24" t="str">
        <f>IF(J1661&lt;&gt;1,"",IF(I1661="SBJ","CB","?"))</f>
        <v> </v>
      </c>
      <c r="I1661" s="25" t="str">
        <f>IF(OR(E1661="",E1661="!!!",F1661="NEW"),"",INDEX(B1660:B$2,-1+SUMPRODUCT(MAX(ROW(E1660:E$2)*(E1661=E1660:E$2)))))</f>
        <v> </v>
      </c>
      <c r="J1661" s="25" t="str">
        <f>IF(OR(E1661="",E1661="!!!",F1661="NEW"),"",COUNTBLANK(OFFSET(A$1,,,SUMPRODUCT(MAX(ROW(E$2:E1661)*(E1661=E$2:E1661)))))-COUNTBLANK(OFFSET(A$1,,,SUMPRODUCT(MAX(ROW(E$1:E1660)*(E2=E$1:E1660))))))</f>
        <v> </v>
      </c>
      <c r="K1661" s="25" t="str">
        <f>IF(OR(E1661="",E1661="!!!",F1661="NEW"),"",INDEX(J$1:J1660,SUMPRODUCT(MAX(ROW(E$1:E1660)*(E1661=E$1:E1660)))))</f>
        <v> </v>
      </c>
      <c r="L1661" s="26"/>
    </row>
    <row r="1662" spans="1:12">
      <c r="A1662" s="20" t="s">
        <v>1111</v>
      </c>
      <c r="E1662" s="21">
        <f>IF(D1662="?OLD","!!!","")</f>
        <v/>
      </c>
      <c r="F1662" s="22" t="str">
        <f>IF(OR(E1662="",E1662="!!!"),"",IF(NOT(ISNA(VLOOKUP(E1662,E$1:E1661,1,FALSE()))),"OLD",IF(AND(E1662&lt;&gt;"",E1662&lt;&gt;"!!!"),"NEW","")))</f>
        <v> </v>
      </c>
      <c r="G1662" s="23" t="str">
        <f>IF(OR(E1662="",E1662="!!!"),"",IF(OR(J1662=0,AND(J1662=1,K1662=1),AND(J1662=1,I1662="SBJ"),AND(J1662=1,I1662=0)),"?IN_FOCUS",IF(J1662&lt;=2,"?ACTIVATED",IF(J1662&lt;&gt;"","?FAMILIAR",IF(F1662="NEW",IF(ISNA(VLOOKUP(E1662,#REF!,1,FALSE())),"?TYPE_IDENTIFIABLE","?REFERENTIAL"),"_")))))</f>
        <v> </v>
      </c>
      <c r="H1662" s="24" t="str">
        <f>IF(J1662&lt;&gt;1,"",IF(I1662="SBJ","CB","?"))</f>
        <v> </v>
      </c>
      <c r="I1662" s="25" t="str">
        <f>IF(OR(E1662="",E1662="!!!",F1662="NEW"),"",INDEX(B1661:B$2,-1+SUMPRODUCT(MAX(ROW(E1661:E$2)*(E1662=E1661:E$2)))))</f>
        <v> </v>
      </c>
      <c r="J1662" s="25" t="str">
        <f>IF(OR(E1662="",E1662="!!!",F1662="NEW"),"",COUNTBLANK(OFFSET(A$1,,,SUMPRODUCT(MAX(ROW(E$2:E1662)*(E1662=E$2:E1662)))))-COUNTBLANK(OFFSET(A$1,,,SUMPRODUCT(MAX(ROW(E$1:E1661)*(E2=E$1:E1661))))))</f>
        <v> </v>
      </c>
      <c r="K1662" s="25" t="str">
        <f>IF(OR(E1662="",E1662="!!!",F1662="NEW"),"",INDEX(J$1:J1661,SUMPRODUCT(MAX(ROW(E$1:E1661)*(E1662=E$1:E1661)))))</f>
        <v> </v>
      </c>
      <c r="L1662" s="26"/>
    </row>
    <row r="1663" spans="1:12">
      <c r="A1663" s="20" t="s">
        <v>1965</v>
      </c>
      <c r="E1663" s="21">
        <f>IF(D1663="?OLD","!!!","")</f>
        <v/>
      </c>
      <c r="F1663" s="22" t="str">
        <f>IF(OR(E1663="",E1663="!!!"),"",IF(NOT(ISNA(VLOOKUP(E1663,E$1:E1662,1,FALSE()))),"OLD",IF(AND(E1663&lt;&gt;"",E1663&lt;&gt;"!!!"),"NEW","")))</f>
        <v> </v>
      </c>
      <c r="G1663" s="23" t="str">
        <f>IF(OR(E1663="",E1663="!!!"),"",IF(OR(J1663=0,AND(J1663=1,K1663=1),AND(J1663=1,I1663="SBJ"),AND(J1663=1,I1663=0)),"?IN_FOCUS",IF(J1663&lt;=2,"?ACTIVATED",IF(J1663&lt;&gt;"","?FAMILIAR",IF(F1663="NEW",IF(ISNA(VLOOKUP(E1663,#REF!,1,FALSE())),"?TYPE_IDENTIFIABLE","?REFERENTIAL"),"_")))))</f>
        <v> </v>
      </c>
      <c r="H1663" s="24" t="str">
        <f>IF(J1663&lt;&gt;1,"",IF(I1663="SBJ","CB","?"))</f>
        <v> </v>
      </c>
      <c r="I1663" s="25" t="str">
        <f>IF(OR(E1663="",E1663="!!!",F1663="NEW"),"",INDEX(B1662:B$2,-1+SUMPRODUCT(MAX(ROW(E1662:E$2)*(E1663=E1662:E$2)))))</f>
        <v> </v>
      </c>
      <c r="J1663" s="25" t="str">
        <f>IF(OR(E1663="",E1663="!!!",F1663="NEW"),"",COUNTBLANK(OFFSET(A$1,,,SUMPRODUCT(MAX(ROW(E$2:E1663)*(E1663=E$2:E1663)))))-COUNTBLANK(OFFSET(A$1,,,SUMPRODUCT(MAX(ROW(E$1:E1662)*(E2=E$1:E1662))))))</f>
        <v> </v>
      </c>
      <c r="K1663" s="25" t="str">
        <f>IF(OR(E1663="",E1663="!!!",F1663="NEW"),"",INDEX(J$1:J1662,SUMPRODUCT(MAX(ROW(E$1:E1662)*(E1663=E$1:E1662)))))</f>
        <v> </v>
      </c>
      <c r="L1663" s="26"/>
    </row>
    <row r="1664" spans="1:12">
      <c r="A1664" s="20" t="s">
        <v>1123</v>
      </c>
      <c r="E1664" s="21">
        <f>IF(D1664="?OLD","!!!","")</f>
        <v/>
      </c>
      <c r="F1664" s="22" t="str">
        <f>IF(OR(E1664="",E1664="!!!"),"",IF(NOT(ISNA(VLOOKUP(E1664,E$1:E1663,1,FALSE()))),"OLD",IF(AND(E1664&lt;&gt;"",E1664&lt;&gt;"!!!"),"NEW","")))</f>
        <v> </v>
      </c>
      <c r="G1664" s="23" t="str">
        <f>IF(OR(E1664="",E1664="!!!"),"",IF(OR(J1664=0,AND(J1664=1,K1664=1),AND(J1664=1,I1664="SBJ"),AND(J1664=1,I1664=0)),"?IN_FOCUS",IF(J1664&lt;=2,"?ACTIVATED",IF(J1664&lt;&gt;"","?FAMILIAR",IF(F1664="NEW",IF(ISNA(VLOOKUP(E1664,#REF!,1,FALSE())),"?TYPE_IDENTIFIABLE","?REFERENTIAL"),"_")))))</f>
        <v> </v>
      </c>
      <c r="H1664" s="24" t="str">
        <f>IF(J1664&lt;&gt;1,"",IF(I1664="SBJ","CB","?"))</f>
        <v> </v>
      </c>
      <c r="I1664" s="25" t="str">
        <f>IF(OR(E1664="",E1664="!!!",F1664="NEW"),"",INDEX(B1663:B$2,-1+SUMPRODUCT(MAX(ROW(E1663:E$2)*(E1664=E1663:E$2)))))</f>
        <v> </v>
      </c>
      <c r="J1664" s="25" t="str">
        <f>IF(OR(E1664="",E1664="!!!",F1664="NEW"),"",COUNTBLANK(OFFSET(A$1,,,SUMPRODUCT(MAX(ROW(E$2:E1664)*(E1664=E$2:E1664)))))-COUNTBLANK(OFFSET(A$1,,,SUMPRODUCT(MAX(ROW(E$1:E1663)*(E2=E$1:E1663))))))</f>
        <v> </v>
      </c>
      <c r="K1664" s="25" t="str">
        <f>IF(OR(E1664="",E1664="!!!",F1664="NEW"),"",INDEX(J$1:J1663,SUMPRODUCT(MAX(ROW(E$1:E1663)*(E1664=E$1:E1663)))))</f>
        <v> </v>
      </c>
      <c r="L1664" s="26"/>
    </row>
    <row r="1665" spans="1:12">
      <c r="A1665" s="20" t="s">
        <v>1966</v>
      </c>
      <c r="E1665" s="21">
        <f>IF(D1665="?OLD","!!!","")</f>
        <v/>
      </c>
      <c r="F1665" s="22" t="str">
        <f>IF(OR(E1665="",E1665="!!!"),"",IF(NOT(ISNA(VLOOKUP(E1665,E$1:E1664,1,FALSE()))),"OLD",IF(AND(E1665&lt;&gt;"",E1665&lt;&gt;"!!!"),"NEW","")))</f>
        <v> </v>
      </c>
      <c r="G1665" s="23" t="str">
        <f>IF(OR(E1665="",E1665="!!!"),"",IF(OR(J1665=0,AND(J1665=1,K1665=1),AND(J1665=1,I1665="SBJ"),AND(J1665=1,I1665=0)),"?IN_FOCUS",IF(J1665&lt;=2,"?ACTIVATED",IF(J1665&lt;&gt;"","?FAMILIAR",IF(F1665="NEW",IF(ISNA(VLOOKUP(E1665,#REF!,1,FALSE())),"?TYPE_IDENTIFIABLE","?REFERENTIAL"),"_")))))</f>
        <v> </v>
      </c>
      <c r="H1665" s="24" t="str">
        <f>IF(J1665&lt;&gt;1,"",IF(I1665="SBJ","CB","?"))</f>
        <v> </v>
      </c>
      <c r="I1665" s="25" t="str">
        <f>IF(OR(E1665="",E1665="!!!",F1665="NEW"),"",INDEX(B1664:B$2,-1+SUMPRODUCT(MAX(ROW(E1664:E$2)*(E1665=E1664:E$2)))))</f>
        <v> </v>
      </c>
      <c r="J1665" s="25" t="str">
        <f>IF(OR(E1665="",E1665="!!!",F1665="NEW"),"",COUNTBLANK(OFFSET(A$1,,,SUMPRODUCT(MAX(ROW(E$2:E1665)*(E1665=E$2:E1665)))))-COUNTBLANK(OFFSET(A$1,,,SUMPRODUCT(MAX(ROW(E$1:E1664)*(E2=E$1:E1664))))))</f>
        <v> </v>
      </c>
      <c r="K1665" s="25" t="str">
        <f>IF(OR(E1665="",E1665="!!!",F1665="NEW"),"",INDEX(J$1:J1664,SUMPRODUCT(MAX(ROW(E$1:E1664)*(E1665=E$1:E1664)))))</f>
        <v> </v>
      </c>
      <c r="L1665" s="26"/>
    </row>
    <row r="1666" spans="1:12">
      <c r="A1666" s="20" t="s">
        <v>1123</v>
      </c>
      <c r="E1666" s="21">
        <f>IF(D1666="?OLD","!!!","")</f>
        <v/>
      </c>
      <c r="F1666" s="22" t="str">
        <f>IF(OR(E1666="",E1666="!!!"),"",IF(NOT(ISNA(VLOOKUP(E1666,E$1:E1665,1,FALSE()))),"OLD",IF(AND(E1666&lt;&gt;"",E1666&lt;&gt;"!!!"),"NEW","")))</f>
        <v> </v>
      </c>
      <c r="G1666" s="23" t="str">
        <f>IF(OR(E1666="",E1666="!!!"),"",IF(OR(J1666=0,AND(J1666=1,K1666=1),AND(J1666=1,I1666="SBJ"),AND(J1666=1,I1666=0)),"?IN_FOCUS",IF(J1666&lt;=2,"?ACTIVATED",IF(J1666&lt;&gt;"","?FAMILIAR",IF(F1666="NEW",IF(ISNA(VLOOKUP(E1666,#REF!,1,FALSE())),"?TYPE_IDENTIFIABLE","?REFERENTIAL"),"_")))))</f>
        <v> </v>
      </c>
      <c r="H1666" s="24" t="str">
        <f>IF(J1666&lt;&gt;1,"",IF(I1666="SBJ","CB","?"))</f>
        <v> </v>
      </c>
      <c r="I1666" s="25" t="str">
        <f>IF(OR(E1666="",E1666="!!!",F1666="NEW"),"",INDEX(B1665:B$2,-1+SUMPRODUCT(MAX(ROW(E1665:E$2)*(E1666=E1665:E$2)))))</f>
        <v> </v>
      </c>
      <c r="J1666" s="25" t="str">
        <f>IF(OR(E1666="",E1666="!!!",F1666="NEW"),"",COUNTBLANK(OFFSET(A$1,,,SUMPRODUCT(MAX(ROW(E$2:E1666)*(E1666=E$2:E1666)))))-COUNTBLANK(OFFSET(A$1,,,SUMPRODUCT(MAX(ROW(E$1:E1665)*(E2=E$1:E1665))))))</f>
        <v> </v>
      </c>
      <c r="K1666" s="25" t="str">
        <f>IF(OR(E1666="",E1666="!!!",F1666="NEW"),"",INDEX(J$1:J1665,SUMPRODUCT(MAX(ROW(E$1:E1665)*(E1666=E$1:E1665)))))</f>
        <v> </v>
      </c>
      <c r="L1666" s="26"/>
    </row>
    <row r="1667" spans="1:12">
      <c r="A1667" s="20" t="s">
        <v>1130</v>
      </c>
      <c r="E1667" s="21">
        <f>IF(D1667="?OLD","!!!","")</f>
        <v/>
      </c>
      <c r="F1667" s="22" t="str">
        <f>IF(OR(E1667="",E1667="!!!"),"",IF(NOT(ISNA(VLOOKUP(E1667,E$1:E1666,1,FALSE()))),"OLD",IF(AND(E1667&lt;&gt;"",E1667&lt;&gt;"!!!"),"NEW","")))</f>
        <v> </v>
      </c>
      <c r="G1667" s="23" t="str">
        <f>IF(OR(E1667="",E1667="!!!"),"",IF(OR(J1667=0,AND(J1667=1,K1667=1),AND(J1667=1,I1667="SBJ"),AND(J1667=1,I1667=0)),"?IN_FOCUS",IF(J1667&lt;=2,"?ACTIVATED",IF(J1667&lt;&gt;"","?FAMILIAR",IF(F1667="NEW",IF(ISNA(VLOOKUP(E1667,#REF!,1,FALSE())),"?TYPE_IDENTIFIABLE","?REFERENTIAL"),"_")))))</f>
        <v> </v>
      </c>
      <c r="H1667" s="24" t="str">
        <f>IF(J1667&lt;&gt;1,"",IF(I1667="SBJ","CB","?"))</f>
        <v> </v>
      </c>
      <c r="I1667" s="25" t="str">
        <f>IF(OR(E1667="",E1667="!!!",F1667="NEW"),"",INDEX(B1666:B$2,-1+SUMPRODUCT(MAX(ROW(E1666:E$2)*(E1667=E1666:E$2)))))</f>
        <v> </v>
      </c>
      <c r="J1667" s="25" t="str">
        <f>IF(OR(E1667="",E1667="!!!",F1667="NEW"),"",COUNTBLANK(OFFSET(A$1,,,SUMPRODUCT(MAX(ROW(E$2:E1667)*(E1667=E$2:E1667)))))-COUNTBLANK(OFFSET(A$1,,,SUMPRODUCT(MAX(ROW(E$1:E1666)*(E2=E$1:E1666))))))</f>
        <v> </v>
      </c>
      <c r="K1667" s="25" t="str">
        <f>IF(OR(E1667="",E1667="!!!",F1667="NEW"),"",INDEX(J$1:J1666,SUMPRODUCT(MAX(ROW(E$1:E1666)*(E1667=E$1:E1666)))))</f>
        <v> </v>
      </c>
      <c r="L1667" s="26"/>
    </row>
    <row r="1668" spans="1:12">
      <c r="A1668" s="20" t="s">
        <v>1967</v>
      </c>
      <c r="E1668" s="21">
        <f>IF(D1668="?OLD","!!!","")</f>
        <v/>
      </c>
      <c r="F1668" s="22" t="str">
        <f>IF(OR(E1668="",E1668="!!!"),"",IF(NOT(ISNA(VLOOKUP(E1668,E$1:E1667,1,FALSE()))),"OLD",IF(AND(E1668&lt;&gt;"",E1668&lt;&gt;"!!!"),"NEW","")))</f>
        <v> </v>
      </c>
      <c r="G1668" s="23" t="str">
        <f>IF(OR(E1668="",E1668="!!!"),"",IF(OR(J1668=0,AND(J1668=1,K1668=1),AND(J1668=1,I1668="SBJ"),AND(J1668=1,I1668=0)),"?IN_FOCUS",IF(J1668&lt;=2,"?ACTIVATED",IF(J1668&lt;&gt;"","?FAMILIAR",IF(F1668="NEW",IF(ISNA(VLOOKUP(E1668,#REF!,1,FALSE())),"?TYPE_IDENTIFIABLE","?REFERENTIAL"),"_")))))</f>
        <v> </v>
      </c>
      <c r="H1668" s="24" t="str">
        <f>IF(J1668&lt;&gt;1,"",IF(I1668="SBJ","CB","?"))</f>
        <v> </v>
      </c>
      <c r="I1668" s="25" t="str">
        <f>IF(OR(E1668="",E1668="!!!",F1668="NEW"),"",INDEX(B1667:B$2,-1+SUMPRODUCT(MAX(ROW(E1667:E$2)*(E1668=E1667:E$2)))))</f>
        <v> </v>
      </c>
      <c r="J1668" s="25" t="str">
        <f>IF(OR(E1668="",E1668="!!!",F1668="NEW"),"",COUNTBLANK(OFFSET(A$1,,,SUMPRODUCT(MAX(ROW(E$2:E1668)*(E1668=E$2:E1668)))))-COUNTBLANK(OFFSET(A$1,,,SUMPRODUCT(MAX(ROW(E$1:E1667)*(E2=E$1:E1667))))))</f>
        <v> </v>
      </c>
      <c r="K1668" s="25" t="str">
        <f>IF(OR(E1668="",E1668="!!!",F1668="NEW"),"",INDEX(J$1:J1667,SUMPRODUCT(MAX(ROW(E$1:E1667)*(E1668=E$1:E1667)))))</f>
        <v> </v>
      </c>
      <c r="L1668" s="26"/>
    </row>
    <row r="1669" spans="1:12">
      <c r="A1669" s="20" t="s">
        <v>1968</v>
      </c>
      <c r="E1669" s="21">
        <f>IF(D1669="?OLD","!!!","")</f>
        <v/>
      </c>
      <c r="F1669" s="22" t="str">
        <f>IF(OR(E1669="",E1669="!!!"),"",IF(NOT(ISNA(VLOOKUP(E1669,E$1:E1668,1,FALSE()))),"OLD",IF(AND(E1669&lt;&gt;"",E1669&lt;&gt;"!!!"),"NEW","")))</f>
        <v> </v>
      </c>
      <c r="G1669" s="23" t="str">
        <f>IF(OR(E1669="",E1669="!!!"),"",IF(OR(J1669=0,AND(J1669=1,K1669=1),AND(J1669=1,I1669="SBJ"),AND(J1669=1,I1669=0)),"?IN_FOCUS",IF(J1669&lt;=2,"?ACTIVATED",IF(J1669&lt;&gt;"","?FAMILIAR",IF(F1669="NEW",IF(ISNA(VLOOKUP(E1669,#REF!,1,FALSE())),"?TYPE_IDENTIFIABLE","?REFERENTIAL"),"_")))))</f>
        <v> </v>
      </c>
      <c r="H1669" s="24" t="str">
        <f>IF(J1669&lt;&gt;1,"",IF(I1669="SBJ","CB","?"))</f>
        <v> </v>
      </c>
      <c r="I1669" s="25" t="str">
        <f>IF(OR(E1669="",E1669="!!!",F1669="NEW"),"",INDEX(B1668:B$2,-1+SUMPRODUCT(MAX(ROW(E1668:E$2)*(E1669=E1668:E$2)))))</f>
        <v> </v>
      </c>
      <c r="J1669" s="25" t="str">
        <f>IF(OR(E1669="",E1669="!!!",F1669="NEW"),"",COUNTBLANK(OFFSET(A$1,,,SUMPRODUCT(MAX(ROW(E$2:E1669)*(E1669=E$2:E1669)))))-COUNTBLANK(OFFSET(A$1,,,SUMPRODUCT(MAX(ROW(E$1:E1668)*(E2=E$1:E1668))))))</f>
        <v> </v>
      </c>
      <c r="K1669" s="25" t="str">
        <f>IF(OR(E1669="",E1669="!!!",F1669="NEW"),"",INDEX(J$1:J1668,SUMPRODUCT(MAX(ROW(E$1:E1668)*(E1669=E$1:E1668)))))</f>
        <v> </v>
      </c>
      <c r="L1669" s="26"/>
    </row>
    <row r="1670" spans="1:12">
      <c r="A1670" s="20" t="s">
        <v>1969</v>
      </c>
      <c r="E1670" s="21">
        <f>IF(D1670="?OLD","!!!","")</f>
        <v/>
      </c>
      <c r="F1670" s="22" t="str">
        <f>IF(OR(E1670="",E1670="!!!"),"",IF(NOT(ISNA(VLOOKUP(E1670,E$1:E1669,1,FALSE()))),"OLD",IF(AND(E1670&lt;&gt;"",E1670&lt;&gt;"!!!"),"NEW","")))</f>
        <v> </v>
      </c>
      <c r="G1670" s="23" t="str">
        <f>IF(OR(E1670="",E1670="!!!"),"",IF(OR(J1670=0,AND(J1670=1,K1670=1),AND(J1670=1,I1670="SBJ"),AND(J1670=1,I1670=0)),"?IN_FOCUS",IF(J1670&lt;=2,"?ACTIVATED",IF(J1670&lt;&gt;"","?FAMILIAR",IF(F1670="NEW",IF(ISNA(VLOOKUP(E1670,#REF!,1,FALSE())),"?TYPE_IDENTIFIABLE","?REFERENTIAL"),"_")))))</f>
        <v> </v>
      </c>
      <c r="H1670" s="24" t="str">
        <f>IF(J1670&lt;&gt;1,"",IF(I1670="SBJ","CB","?"))</f>
        <v> </v>
      </c>
      <c r="I1670" s="25" t="str">
        <f>IF(OR(E1670="",E1670="!!!",F1670="NEW"),"",INDEX(B1669:B$2,-1+SUMPRODUCT(MAX(ROW(E1669:E$2)*(E1670=E1669:E$2)))))</f>
        <v> </v>
      </c>
      <c r="J1670" s="25" t="str">
        <f>IF(OR(E1670="",E1670="!!!",F1670="NEW"),"",COUNTBLANK(OFFSET(A$1,,,SUMPRODUCT(MAX(ROW(E$2:E1670)*(E1670=E$2:E1670)))))-COUNTBLANK(OFFSET(A$1,,,SUMPRODUCT(MAX(ROW(E$1:E1669)*(E2=E$1:E1669))))))</f>
        <v> </v>
      </c>
      <c r="K1670" s="25" t="str">
        <f>IF(OR(E1670="",E1670="!!!",F1670="NEW"),"",INDEX(J$1:J1669,SUMPRODUCT(MAX(ROW(E$1:E1669)*(E1670=E$1:E1669)))))</f>
        <v> </v>
      </c>
      <c r="L1670" s="26"/>
    </row>
    <row r="1671" spans="1:12">
      <c r="A1671" s="20" t="s">
        <v>1970</v>
      </c>
      <c r="E1671" s="21">
        <f>IF(D1671="?OLD","!!!","")</f>
        <v/>
      </c>
      <c r="F1671" s="22" t="str">
        <f>IF(OR(E1671="",E1671="!!!"),"",IF(NOT(ISNA(VLOOKUP(E1671,E$1:E1670,1,FALSE()))),"OLD",IF(AND(E1671&lt;&gt;"",E1671&lt;&gt;"!!!"),"NEW","")))</f>
        <v> </v>
      </c>
      <c r="G1671" s="23" t="str">
        <f>IF(OR(E1671="",E1671="!!!"),"",IF(OR(J1671=0,AND(J1671=1,K1671=1),AND(J1671=1,I1671="SBJ"),AND(J1671=1,I1671=0)),"?IN_FOCUS",IF(J1671&lt;=2,"?ACTIVATED",IF(J1671&lt;&gt;"","?FAMILIAR",IF(F1671="NEW",IF(ISNA(VLOOKUP(E1671,#REF!,1,FALSE())),"?TYPE_IDENTIFIABLE","?REFERENTIAL"),"_")))))</f>
        <v> </v>
      </c>
      <c r="H1671" s="24" t="str">
        <f>IF(J1671&lt;&gt;1,"",IF(I1671="SBJ","CB","?"))</f>
        <v> </v>
      </c>
      <c r="I1671" s="25" t="str">
        <f>IF(OR(E1671="",E1671="!!!",F1671="NEW"),"",INDEX(B1670:B$2,-1+SUMPRODUCT(MAX(ROW(E1670:E$2)*(E1671=E1670:E$2)))))</f>
        <v> </v>
      </c>
      <c r="J1671" s="25" t="str">
        <f>IF(OR(E1671="",E1671="!!!",F1671="NEW"),"",COUNTBLANK(OFFSET(A$1,,,SUMPRODUCT(MAX(ROW(E$2:E1671)*(E1671=E$2:E1671)))))-COUNTBLANK(OFFSET(A$1,,,SUMPRODUCT(MAX(ROW(E$1:E1670)*(E2=E$1:E1670))))))</f>
        <v> </v>
      </c>
      <c r="K1671" s="25" t="str">
        <f>IF(OR(E1671="",E1671="!!!",F1671="NEW"),"",INDEX(J$1:J1670,SUMPRODUCT(MAX(ROW(E$1:E1670)*(E1671=E$1:E1670)))))</f>
        <v> </v>
      </c>
      <c r="L1671" s="26"/>
    </row>
    <row r="1672" spans="1:12">
      <c r="A1672" s="20" t="s">
        <v>1971</v>
      </c>
      <c r="E1672" s="21">
        <f>IF(D1672="?OLD","!!!","")</f>
        <v/>
      </c>
      <c r="F1672" s="22" t="str">
        <f>IF(OR(E1672="",E1672="!!!"),"",IF(NOT(ISNA(VLOOKUP(E1672,E$1:E1671,1,FALSE()))),"OLD",IF(AND(E1672&lt;&gt;"",E1672&lt;&gt;"!!!"),"NEW","")))</f>
        <v> </v>
      </c>
      <c r="G1672" s="23" t="str">
        <f>IF(OR(E1672="",E1672="!!!"),"",IF(OR(J1672=0,AND(J1672=1,K1672=1),AND(J1672=1,I1672="SBJ"),AND(J1672=1,I1672=0)),"?IN_FOCUS",IF(J1672&lt;=2,"?ACTIVATED",IF(J1672&lt;&gt;"","?FAMILIAR",IF(F1672="NEW",IF(ISNA(VLOOKUP(E1672,#REF!,1,FALSE())),"?TYPE_IDENTIFIABLE","?REFERENTIAL"),"_")))))</f>
        <v> </v>
      </c>
      <c r="H1672" s="24" t="str">
        <f>IF(J1672&lt;&gt;1,"",IF(I1672="SBJ","CB","?"))</f>
        <v> </v>
      </c>
      <c r="I1672" s="25" t="str">
        <f>IF(OR(E1672="",E1672="!!!",F1672="NEW"),"",INDEX(B1671:B$2,-1+SUMPRODUCT(MAX(ROW(E1671:E$2)*(E1672=E1671:E$2)))))</f>
        <v> </v>
      </c>
      <c r="J1672" s="25" t="str">
        <f>IF(OR(E1672="",E1672="!!!",F1672="NEW"),"",COUNTBLANK(OFFSET(A$1,,,SUMPRODUCT(MAX(ROW(E$2:E1672)*(E1672=E$2:E1672)))))-COUNTBLANK(OFFSET(A$1,,,SUMPRODUCT(MAX(ROW(E$1:E1671)*(E2=E$1:E1671))))))</f>
        <v> </v>
      </c>
      <c r="K1672" s="25" t="str">
        <f>IF(OR(E1672="",E1672="!!!",F1672="NEW"),"",INDEX(J$1:J1671,SUMPRODUCT(MAX(ROW(E$1:E1671)*(E1672=E$1:E1671)))))</f>
        <v> </v>
      </c>
      <c r="L1672" s="26"/>
    </row>
    <row r="1673" spans="1:12">
      <c r="A1673" s="20" t="s">
        <v>1145</v>
      </c>
      <c r="E1673" s="21">
        <f>IF(D1673="?OLD","!!!","")</f>
        <v/>
      </c>
      <c r="F1673" s="22" t="str">
        <f>IF(OR(E1673="",E1673="!!!"),"",IF(NOT(ISNA(VLOOKUP(E1673,E$1:E1672,1,FALSE()))),"OLD",IF(AND(E1673&lt;&gt;"",E1673&lt;&gt;"!!!"),"NEW","")))</f>
        <v> </v>
      </c>
      <c r="G1673" s="23" t="str">
        <f>IF(OR(E1673="",E1673="!!!"),"",IF(OR(J1673=0,AND(J1673=1,K1673=1),AND(J1673=1,I1673="SBJ"),AND(J1673=1,I1673=0)),"?IN_FOCUS",IF(J1673&lt;=2,"?ACTIVATED",IF(J1673&lt;&gt;"","?FAMILIAR",IF(F1673="NEW",IF(ISNA(VLOOKUP(E1673,#REF!,1,FALSE())),"?TYPE_IDENTIFIABLE","?REFERENTIAL"),"_")))))</f>
        <v> </v>
      </c>
      <c r="H1673" s="24" t="str">
        <f>IF(J1673&lt;&gt;1,"",IF(I1673="SBJ","CB","?"))</f>
        <v> </v>
      </c>
      <c r="I1673" s="25" t="str">
        <f>IF(OR(E1673="",E1673="!!!",F1673="NEW"),"",INDEX(B1672:B$2,-1+SUMPRODUCT(MAX(ROW(E1672:E$2)*(E1673=E1672:E$2)))))</f>
        <v> </v>
      </c>
      <c r="J1673" s="25" t="str">
        <f>IF(OR(E1673="",E1673="!!!",F1673="NEW"),"",COUNTBLANK(OFFSET(A$1,,,SUMPRODUCT(MAX(ROW(E$2:E1673)*(E1673=E$2:E1673)))))-COUNTBLANK(OFFSET(A$1,,,SUMPRODUCT(MAX(ROW(E$1:E1672)*(E2=E$1:E1672))))))</f>
        <v> </v>
      </c>
      <c r="K1673" s="25" t="str">
        <f>IF(OR(E1673="",E1673="!!!",F1673="NEW"),"",INDEX(J$1:J1672,SUMPRODUCT(MAX(ROW(E$1:E1672)*(E1673=E$1:E1672)))))</f>
        <v> </v>
      </c>
      <c r="L1673" s="26"/>
    </row>
    <row r="1674" spans="1:12">
      <c r="A1674" s="20"/>
    </row>
    <row r="1675" spans="1:12">
      <c r="A1675" s="20" t="s">
        <v>1972</v>
      </c>
    </row>
    <row r="1676" spans="1:12">
      <c r="A1676" s="20" t="s">
        <v>1973</v>
      </c>
      <c r="E1676" s="21">
        <f>IF(D1676="?OLD","!!!","")</f>
        <v/>
      </c>
      <c r="F1676" s="22" t="str">
        <f>IF(OR(E1676="",E1676="!!!"),"",IF(NOT(ISNA(VLOOKUP(E1676,E$1:E1675,1,FALSE()))),"OLD",IF(AND(E1676&lt;&gt;"",E1676&lt;&gt;"!!!"),"NEW","")))</f>
        <v> </v>
      </c>
      <c r="G1676" s="23" t="str">
        <f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> </v>
      </c>
      <c r="H1676" s="24" t="str">
        <f>IF(J1676&lt;&gt;1,"",IF(I1676="SBJ","CB","?"))</f>
        <v> </v>
      </c>
      <c r="I1676" s="25" t="str">
        <f>IF(OR(E1676="",E1676="!!!",F1676="NEW"),"",INDEX(B1675:B$2,-1+SUMPRODUCT(MAX(ROW(E1675:E$2)*(E1676=E1675:E$2)))))</f>
        <v> </v>
      </c>
      <c r="J1676" s="25" t="str">
        <f>IF(OR(E1676="",E1676="!!!",F1676="NEW"),"",COUNTBLANK(OFFSET(A$1,,,SUMPRODUCT(MAX(ROW(E$2:E1676)*(E1676=E$2:E1676)))))-COUNTBLANK(OFFSET(A$1,,,SUMPRODUCT(MAX(ROW(E$1:E1675)*(E2=E$1:E1675))))))</f>
        <v> </v>
      </c>
      <c r="K1676" s="25" t="str">
        <f>IF(OR(E1676="",E1676="!!!",F1676="NEW"),"",INDEX(J$1:J1675,SUMPRODUCT(MAX(ROW(E$1:E1675)*(E1676=E$1:E1675)))))</f>
        <v> </v>
      </c>
      <c r="L1676" s="26"/>
    </row>
    <row r="1677" spans="1:12">
      <c r="A1677" s="20" t="s">
        <v>1240</v>
      </c>
      <c r="E1677" s="21">
        <f>IF(D1677="?OLD","!!!","")</f>
        <v/>
      </c>
      <c r="F1677" s="22" t="str">
        <f>IF(OR(E1677="",E1677="!!!"),"",IF(NOT(ISNA(VLOOKUP(E1677,E$1:E1676,1,FALSE()))),"OLD",IF(AND(E1677&lt;&gt;"",E1677&lt;&gt;"!!!"),"NEW","")))</f>
        <v> </v>
      </c>
      <c r="G1677" s="23" t="str">
        <f>IF(OR(E1677="",E1677="!!!"),"",IF(OR(J1677=0,AND(J1677=1,K1677=1),AND(J1677=1,I1677="SBJ"),AND(J1677=1,I1677=0)),"?IN_FOCUS",IF(J1677&lt;=2,"?ACTIVATED",IF(J1677&lt;&gt;"","?FAMILIAR",IF(F1677="NEW",IF(ISNA(VLOOKUP(E1677,#REF!,1,FALSE())),"?TYPE_IDENTIFIABLE","?REFERENTIAL"),"_")))))</f>
        <v> </v>
      </c>
      <c r="H1677" s="24" t="str">
        <f>IF(J1677&lt;&gt;1,"",IF(I1677="SBJ","CB","?"))</f>
        <v> </v>
      </c>
      <c r="I1677" s="25" t="str">
        <f>IF(OR(E1677="",E1677="!!!",F1677="NEW"),"",INDEX(B1676:B$2,-1+SUMPRODUCT(MAX(ROW(E1676:E$2)*(E1677=E1676:E$2)))))</f>
        <v> </v>
      </c>
      <c r="J1677" s="25" t="str">
        <f>IF(OR(E1677="",E1677="!!!",F1677="NEW"),"",COUNTBLANK(OFFSET(A$1,,,SUMPRODUCT(MAX(ROW(E$2:E1677)*(E1677=E$2:E1677)))))-COUNTBLANK(OFFSET(A$1,,,SUMPRODUCT(MAX(ROW(E$1:E1676)*(E2=E$1:E1676))))))</f>
        <v> </v>
      </c>
      <c r="K1677" s="25" t="str">
        <f>IF(OR(E1677="",E1677="!!!",F1677="NEW"),"",INDEX(J$1:J1676,SUMPRODUCT(MAX(ROW(E$1:E1676)*(E1677=E$1:E1676)))))</f>
        <v> </v>
      </c>
      <c r="L1677" s="26"/>
    </row>
    <row r="1678" spans="1:12">
      <c r="A1678" s="20" t="s">
        <v>1974</v>
      </c>
      <c r="B1678" s="27" t="s">
        <v>1149</v>
      </c>
      <c r="C1678" s="27" t="s">
        <v>1126</v>
      </c>
      <c r="D1678" s="27" t="s">
        <v>1105</v>
      </c>
      <c r="E1678" s="21">
        <f>IF(D1678="?OLD","!!!","")</f>
        <v/>
      </c>
      <c r="F1678" s="22" t="str">
        <f>IF(OR(E1678="",E1678="!!!"),"",IF(NOT(ISNA(VLOOKUP(E1678,E$1:E1677,1,FALSE()))),"OLD",IF(AND(E1678&lt;&gt;"",E1678&lt;&gt;"!!!"),"NEW","")))</f>
        <v> </v>
      </c>
      <c r="G1678" s="23" t="str">
        <f>IF(OR(E1678="",E1678="!!!"),"",IF(OR(J1678=0,AND(J1678=1,K1678=1),AND(J1678=1,I1678="SBJ"),AND(J1678=1,I1678=0)),"?IN_FOCUS",IF(J1678&lt;=2,"?ACTIVATED",IF(J1678&lt;&gt;"","?FAMILIAR",IF(F1678="NEW",IF(ISNA(VLOOKUP(E1678,#REF!,1,FALSE())),"?TYPE_IDENTIFIABLE","?REFERENTIAL"),"_")))))</f>
        <v> </v>
      </c>
      <c r="H1678" s="24" t="str">
        <f>IF(J1678&lt;&gt;1,"",IF(I1678="SBJ","CB","?"))</f>
        <v> </v>
      </c>
      <c r="I1678" s="25" t="str">
        <f>IF(OR(E1678="",E1678="!!!",F1678="NEW"),"",INDEX(B1677:B$2,-1+SUMPRODUCT(MAX(ROW(E1677:E$2)*(E1678=E1677:E$2)))))</f>
        <v> </v>
      </c>
      <c r="J1678" s="25" t="str">
        <f>IF(OR(E1678="",E1678="!!!",F1678="NEW"),"",COUNTBLANK(OFFSET(A$1,,,SUMPRODUCT(MAX(ROW(E$2:E1678)*(E1678=E$2:E1678)))))-COUNTBLANK(OFFSET(A$1,,,SUMPRODUCT(MAX(ROW(E$1:E1677)*(E2=E$1:E1677))))))</f>
        <v> </v>
      </c>
      <c r="K1678" s="25" t="str">
        <f>IF(OR(E1678="",E1678="!!!",F1678="NEW"),"",INDEX(J$1:J1677,SUMPRODUCT(MAX(ROW(E$1:E1677)*(E1678=E$1:E1677)))))</f>
        <v> </v>
      </c>
      <c r="L1678" s="26"/>
    </row>
    <row r="1679" spans="1:12">
      <c r="A1679" s="20" t="s">
        <v>1975</v>
      </c>
      <c r="E1679" s="21">
        <f>IF(D1679="?OLD","!!!","")</f>
        <v/>
      </c>
      <c r="F1679" s="22" t="str">
        <f>IF(OR(E1679="",E1679="!!!"),"",IF(NOT(ISNA(VLOOKUP(E1679,E$1:E1678,1,FALSE()))),"OLD",IF(AND(E1679&lt;&gt;"",E1679&lt;&gt;"!!!"),"NEW","")))</f>
        <v> </v>
      </c>
      <c r="G1679" s="23" t="str">
        <f>IF(OR(E1679="",E1679="!!!"),"",IF(OR(J1679=0,AND(J1679=1,K1679=1),AND(J1679=1,I1679="SBJ"),AND(J1679=1,I1679=0)),"?IN_FOCUS",IF(J1679&lt;=2,"?ACTIVATED",IF(J1679&lt;&gt;"","?FAMILIAR",IF(F1679="NEW",IF(ISNA(VLOOKUP(E1679,#REF!,1,FALSE())),"?TYPE_IDENTIFIABLE","?REFERENTIAL"),"_")))))</f>
        <v> </v>
      </c>
      <c r="H1679" s="24" t="str">
        <f>IF(J1679&lt;&gt;1,"",IF(I1679="SBJ","CB","?"))</f>
        <v> </v>
      </c>
      <c r="I1679" s="25" t="str">
        <f>IF(OR(E1679="",E1679="!!!",F1679="NEW"),"",INDEX(B1678:B$2,-1+SUMPRODUCT(MAX(ROW(E1678:E$2)*(E1679=E1678:E$2)))))</f>
        <v> </v>
      </c>
      <c r="J1679" s="25" t="str">
        <f>IF(OR(E1679="",E1679="!!!",F1679="NEW"),"",COUNTBLANK(OFFSET(A$1,,,SUMPRODUCT(MAX(ROW(E$2:E1679)*(E1679=E$2:E1679)))))-COUNTBLANK(OFFSET(A$1,,,SUMPRODUCT(MAX(ROW(E$1:E1678)*(E2=E$1:E1678))))))</f>
        <v> </v>
      </c>
      <c r="K1679" s="25" t="str">
        <f>IF(OR(E1679="",E1679="!!!",F1679="NEW"),"",INDEX(J$1:J1678,SUMPRODUCT(MAX(ROW(E$1:E1678)*(E1679=E$1:E1678)))))</f>
        <v> </v>
      </c>
      <c r="L1679" s="26"/>
    </row>
    <row r="1680" spans="1:12">
      <c r="A1680" s="20" t="s">
        <v>1339</v>
      </c>
      <c r="E1680" s="21">
        <f>IF(D1680="?OLD","!!!","")</f>
        <v/>
      </c>
      <c r="F1680" s="22" t="str">
        <f>IF(OR(E1680="",E1680="!!!"),"",IF(NOT(ISNA(VLOOKUP(E1680,E$1:E1679,1,FALSE()))),"OLD",IF(AND(E1680&lt;&gt;"",E1680&lt;&gt;"!!!"),"NEW","")))</f>
        <v> </v>
      </c>
      <c r="G1680" s="23" t="str">
        <f>IF(OR(E1680="",E1680="!!!"),"",IF(OR(J1680=0,AND(J1680=1,K1680=1),AND(J1680=1,I1680="SBJ"),AND(J1680=1,I1680=0)),"?IN_FOCUS",IF(J1680&lt;=2,"?ACTIVATED",IF(J1680&lt;&gt;"","?FAMILIAR",IF(F1680="NEW",IF(ISNA(VLOOKUP(E1680,#REF!,1,FALSE())),"?TYPE_IDENTIFIABLE","?REFERENTIAL"),"_")))))</f>
        <v> </v>
      </c>
      <c r="H1680" s="24" t="str">
        <f>IF(J1680&lt;&gt;1,"",IF(I1680="SBJ","CB","?"))</f>
        <v> </v>
      </c>
      <c r="I1680" s="25" t="str">
        <f>IF(OR(E1680="",E1680="!!!",F1680="NEW"),"",INDEX(B1679:B$2,-1+SUMPRODUCT(MAX(ROW(E1679:E$2)*(E1680=E1679:E$2)))))</f>
        <v> </v>
      </c>
      <c r="J1680" s="25" t="str">
        <f>IF(OR(E1680="",E1680="!!!",F1680="NEW"),"",COUNTBLANK(OFFSET(A$1,,,SUMPRODUCT(MAX(ROW(E$2:E1680)*(E1680=E$2:E1680)))))-COUNTBLANK(OFFSET(A$1,,,SUMPRODUCT(MAX(ROW(E$1:E1679)*(E2=E$1:E1679))))))</f>
        <v> </v>
      </c>
      <c r="K1680" s="25" t="str">
        <f>IF(OR(E1680="",E1680="!!!",F1680="NEW"),"",INDEX(J$1:J1679,SUMPRODUCT(MAX(ROW(E$1:E1679)*(E1680=E$1:E1679)))))</f>
        <v> </v>
      </c>
      <c r="L1680" s="26"/>
    </row>
    <row r="1681" spans="1:12">
      <c r="A1681" s="20" t="s">
        <v>1954</v>
      </c>
      <c r="B1681" s="27" t="s">
        <v>1122</v>
      </c>
      <c r="E1681" s="21">
        <f>IF(D1681="?OLD","!!!","")</f>
        <v/>
      </c>
      <c r="F1681" s="22" t="str">
        <f>IF(OR(E1681="",E1681="!!!"),"",IF(NOT(ISNA(VLOOKUP(E1681,E$1:E1680,1,FALSE()))),"OLD",IF(AND(E1681&lt;&gt;"",E1681&lt;&gt;"!!!"),"NEW","")))</f>
        <v> </v>
      </c>
      <c r="G1681" s="23" t="str">
        <f>IF(OR(E1681="",E1681="!!!"),"",IF(OR(J1681=0,AND(J1681=1,K1681=1),AND(J1681=1,I1681="SBJ"),AND(J1681=1,I1681=0)),"?IN_FOCUS",IF(J1681&lt;=2,"?ACTIVATED",IF(J1681&lt;&gt;"","?FAMILIAR",IF(F1681="NEW",IF(ISNA(VLOOKUP(E1681,#REF!,1,FALSE())),"?TYPE_IDENTIFIABLE","?REFERENTIAL"),"_")))))</f>
        <v> </v>
      </c>
      <c r="H1681" s="24" t="str">
        <f>IF(J1681&lt;&gt;1,"",IF(I1681="SBJ","CB","?"))</f>
        <v> </v>
      </c>
      <c r="I1681" s="25" t="str">
        <f>IF(OR(E1681="",E1681="!!!",F1681="NEW"),"",INDEX(B1680:B$2,-1+SUMPRODUCT(MAX(ROW(E1680:E$2)*(E1681=E1680:E$2)))))</f>
        <v> </v>
      </c>
      <c r="J1681" s="25" t="str">
        <f>IF(OR(E1681="",E1681="!!!",F1681="NEW"),"",COUNTBLANK(OFFSET(A$1,,,SUMPRODUCT(MAX(ROW(E$2:E1681)*(E1681=E$2:E1681)))))-COUNTBLANK(OFFSET(A$1,,,SUMPRODUCT(MAX(ROW(E$1:E1680)*(E2=E$1:E1680))))))</f>
        <v> </v>
      </c>
      <c r="K1681" s="25" t="str">
        <f>IF(OR(E1681="",E1681="!!!",F1681="NEW"),"",INDEX(J$1:J1680,SUMPRODUCT(MAX(ROW(E$1:E1680)*(E1681=E$1:E1680)))))</f>
        <v> </v>
      </c>
      <c r="L1681" s="26"/>
    </row>
    <row r="1682" spans="1:12">
      <c r="A1682" s="20" t="s">
        <v>1921</v>
      </c>
      <c r="E1682" s="21">
        <f>IF(D1682="?OLD","!!!","")</f>
        <v/>
      </c>
      <c r="F1682" s="22" t="str">
        <f>IF(OR(E1682="",E1682="!!!"),"",IF(NOT(ISNA(VLOOKUP(E1682,E$1:E1681,1,FALSE()))),"OLD",IF(AND(E1682&lt;&gt;"",E1682&lt;&gt;"!!!"),"NEW","")))</f>
        <v> </v>
      </c>
      <c r="G1682" s="23" t="str">
        <f>IF(OR(E1682="",E1682="!!!"),"",IF(OR(J1682=0,AND(J1682=1,K1682=1),AND(J1682=1,I1682="SBJ"),AND(J1682=1,I1682=0)),"?IN_FOCUS",IF(J1682&lt;=2,"?ACTIVATED",IF(J1682&lt;&gt;"","?FAMILIAR",IF(F1682="NEW",IF(ISNA(VLOOKUP(E1682,#REF!,1,FALSE())),"?TYPE_IDENTIFIABLE","?REFERENTIAL"),"_")))))</f>
        <v> </v>
      </c>
      <c r="H1682" s="24" t="str">
        <f>IF(J1682&lt;&gt;1,"",IF(I1682="SBJ","CB","?"))</f>
        <v> </v>
      </c>
      <c r="I1682" s="25" t="str">
        <f>IF(OR(E1682="",E1682="!!!",F1682="NEW"),"",INDEX(B1681:B$2,-1+SUMPRODUCT(MAX(ROW(E1681:E$2)*(E1682=E1681:E$2)))))</f>
        <v> </v>
      </c>
      <c r="J1682" s="25" t="str">
        <f>IF(OR(E1682="",E1682="!!!",F1682="NEW"),"",COUNTBLANK(OFFSET(A$1,,,SUMPRODUCT(MAX(ROW(E$2:E1682)*(E1682=E$2:E1682)))))-COUNTBLANK(OFFSET(A$1,,,SUMPRODUCT(MAX(ROW(E$1:E1681)*(E2=E$1:E1681))))))</f>
        <v> </v>
      </c>
      <c r="K1682" s="25" t="str">
        <f>IF(OR(E1682="",E1682="!!!",F1682="NEW"),"",INDEX(J$1:J1681,SUMPRODUCT(MAX(ROW(E$1:E1681)*(E1682=E$1:E1681)))))</f>
        <v> </v>
      </c>
      <c r="L1682" s="26"/>
    </row>
    <row r="1683" spans="1:12">
      <c r="A1683" s="20" t="s">
        <v>1976</v>
      </c>
      <c r="E1683" s="21">
        <f>IF(D1683="?OLD","!!!","")</f>
        <v/>
      </c>
      <c r="F1683" s="22" t="str">
        <f>IF(OR(E1683="",E1683="!!!"),"",IF(NOT(ISNA(VLOOKUP(E1683,E$1:E1682,1,FALSE()))),"OLD",IF(AND(E1683&lt;&gt;"",E1683&lt;&gt;"!!!"),"NEW","")))</f>
        <v> </v>
      </c>
      <c r="G1683" s="23" t="str">
        <f>IF(OR(E1683="",E1683="!!!"),"",IF(OR(J1683=0,AND(J1683=1,K1683=1),AND(J1683=1,I1683="SBJ"),AND(J1683=1,I1683=0)),"?IN_FOCUS",IF(J1683&lt;=2,"?ACTIVATED",IF(J1683&lt;&gt;"","?FAMILIAR",IF(F1683="NEW",IF(ISNA(VLOOKUP(E1683,#REF!,1,FALSE())),"?TYPE_IDENTIFIABLE","?REFERENTIAL"),"_")))))</f>
        <v> </v>
      </c>
      <c r="H1683" s="24" t="str">
        <f>IF(J1683&lt;&gt;1,"",IF(I1683="SBJ","CB","?"))</f>
        <v> </v>
      </c>
      <c r="I1683" s="25" t="str">
        <f>IF(OR(E1683="",E1683="!!!",F1683="NEW"),"",INDEX(B1682:B$2,-1+SUMPRODUCT(MAX(ROW(E1682:E$2)*(E1683=E1682:E$2)))))</f>
        <v> </v>
      </c>
      <c r="J1683" s="25" t="str">
        <f>IF(OR(E1683="",E1683="!!!",F1683="NEW"),"",COUNTBLANK(OFFSET(A$1,,,SUMPRODUCT(MAX(ROW(E$2:E1683)*(E1683=E$2:E1683)))))-COUNTBLANK(OFFSET(A$1,,,SUMPRODUCT(MAX(ROW(E$1:E1682)*(E2=E$1:E1682))))))</f>
        <v> </v>
      </c>
      <c r="K1683" s="25" t="str">
        <f>IF(OR(E1683="",E1683="!!!",F1683="NEW"),"",INDEX(J$1:J1682,SUMPRODUCT(MAX(ROW(E$1:E1682)*(E1683=E$1:E1682)))))</f>
        <v> </v>
      </c>
      <c r="L1683" s="26"/>
    </row>
    <row r="1684" spans="1:12">
      <c r="A1684" s="20" t="s">
        <v>1128</v>
      </c>
      <c r="E1684" s="21">
        <f>IF(D1684="?OLD","!!!","")</f>
        <v/>
      </c>
      <c r="F1684" s="22" t="str">
        <f>IF(OR(E1684="",E1684="!!!"),"",IF(NOT(ISNA(VLOOKUP(E1684,E$1:E1683,1,FALSE()))),"OLD",IF(AND(E1684&lt;&gt;"",E1684&lt;&gt;"!!!"),"NEW","")))</f>
        <v> </v>
      </c>
      <c r="G1684" s="23" t="str">
        <f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> </v>
      </c>
      <c r="H1684" s="24" t="str">
        <f>IF(J1684&lt;&gt;1,"",IF(I1684="SBJ","CB","?"))</f>
        <v> </v>
      </c>
      <c r="I1684" s="25" t="str">
        <f>IF(OR(E1684="",E1684="!!!",F1684="NEW"),"",INDEX(B1683:B$2,-1+SUMPRODUCT(MAX(ROW(E1683:E$2)*(E1684=E1683:E$2)))))</f>
        <v> </v>
      </c>
      <c r="J1684" s="25" t="str">
        <f>IF(OR(E1684="",E1684="!!!",F1684="NEW"),"",COUNTBLANK(OFFSET(A$1,,,SUMPRODUCT(MAX(ROW(E$2:E1684)*(E1684=E$2:E1684)))))-COUNTBLANK(OFFSET(A$1,,,SUMPRODUCT(MAX(ROW(E$1:E1683)*(E2=E$1:E1683))))))</f>
        <v> </v>
      </c>
      <c r="K1684" s="25" t="str">
        <f>IF(OR(E1684="",E1684="!!!",F1684="NEW"),"",INDEX(J$1:J1683,SUMPRODUCT(MAX(ROW(E$1:E1683)*(E1684=E$1:E1683)))))</f>
        <v> </v>
      </c>
      <c r="L1684" s="26"/>
    </row>
    <row r="1685" spans="1:12">
      <c r="A1685" s="20" t="s">
        <v>1977</v>
      </c>
      <c r="E1685" s="21">
        <f>IF(D1685="?OLD","!!!","")</f>
        <v/>
      </c>
      <c r="F1685" s="22" t="str">
        <f>IF(OR(E1685="",E1685="!!!"),"",IF(NOT(ISNA(VLOOKUP(E1685,E$1:E1684,1,FALSE()))),"OLD",IF(AND(E1685&lt;&gt;"",E1685&lt;&gt;"!!!"),"NEW","")))</f>
        <v> </v>
      </c>
      <c r="G1685" s="23" t="str">
        <f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> </v>
      </c>
      <c r="H1685" s="24" t="str">
        <f>IF(J1685&lt;&gt;1,"",IF(I1685="SBJ","CB","?"))</f>
        <v> </v>
      </c>
      <c r="I1685" s="25" t="str">
        <f>IF(OR(E1685="",E1685="!!!",F1685="NEW"),"",INDEX(B1684:B$2,-1+SUMPRODUCT(MAX(ROW(E1684:E$2)*(E1685=E1684:E$2)))))</f>
        <v> </v>
      </c>
      <c r="J1685" s="25" t="str">
        <f>IF(OR(E1685="",E1685="!!!",F1685="NEW"),"",COUNTBLANK(OFFSET(A$1,,,SUMPRODUCT(MAX(ROW(E$2:E1685)*(E1685=E$2:E1685)))))-COUNTBLANK(OFFSET(A$1,,,SUMPRODUCT(MAX(ROW(E$1:E1684)*(E2=E$1:E1684))))))</f>
        <v> </v>
      </c>
      <c r="K1685" s="25" t="str">
        <f>IF(OR(E1685="",E1685="!!!",F1685="NEW"),"",INDEX(J$1:J1684,SUMPRODUCT(MAX(ROW(E$1:E1684)*(E1685=E$1:E1684)))))</f>
        <v> </v>
      </c>
      <c r="L1685" s="26"/>
    </row>
    <row r="1686" spans="1:12">
      <c r="A1686" s="20" t="s">
        <v>1123</v>
      </c>
      <c r="E1686" s="21">
        <f>IF(D1686="?OLD","!!!","")</f>
        <v/>
      </c>
      <c r="F1686" s="22" t="str">
        <f>IF(OR(E1686="",E1686="!!!"),"",IF(NOT(ISNA(VLOOKUP(E1686,E$1:E1685,1,FALSE()))),"OLD",IF(AND(E1686&lt;&gt;"",E1686&lt;&gt;"!!!"),"NEW","")))</f>
        <v> </v>
      </c>
      <c r="G1686" s="23" t="str">
        <f>IF(OR(E1686="",E1686="!!!"),"",IF(OR(J1686=0,AND(J1686=1,K1686=1),AND(J1686=1,I1686="SBJ"),AND(J1686=1,I1686=0)),"?IN_FOCUS",IF(J1686&lt;=2,"?ACTIVATED",IF(J1686&lt;&gt;"","?FAMILIAR",IF(F1686="NEW",IF(ISNA(VLOOKUP(E1686,#REF!,1,FALSE())),"?TYPE_IDENTIFIABLE","?REFERENTIAL"),"_")))))</f>
        <v> </v>
      </c>
      <c r="H1686" s="24" t="str">
        <f>IF(J1686&lt;&gt;1,"",IF(I1686="SBJ","CB","?"))</f>
        <v> </v>
      </c>
      <c r="I1686" s="25" t="str">
        <f>IF(OR(E1686="",E1686="!!!",F1686="NEW"),"",INDEX(B1685:B$2,-1+SUMPRODUCT(MAX(ROW(E1685:E$2)*(E1686=E1685:E$2)))))</f>
        <v> </v>
      </c>
      <c r="J1686" s="25" t="str">
        <f>IF(OR(E1686="",E1686="!!!",F1686="NEW"),"",COUNTBLANK(OFFSET(A$1,,,SUMPRODUCT(MAX(ROW(E$2:E1686)*(E1686=E$2:E1686)))))-COUNTBLANK(OFFSET(A$1,,,SUMPRODUCT(MAX(ROW(E$1:E1685)*(E2=E$1:E1685))))))</f>
        <v> </v>
      </c>
      <c r="K1686" s="25" t="str">
        <f>IF(OR(E1686="",E1686="!!!",F1686="NEW"),"",INDEX(J$1:J1685,SUMPRODUCT(MAX(ROW(E$1:E1685)*(E1686=E$1:E1685)))))</f>
        <v> </v>
      </c>
      <c r="L1686" s="26"/>
    </row>
    <row r="1687" spans="1:12">
      <c r="A1687" s="20" t="s">
        <v>1978</v>
      </c>
      <c r="B1687" s="27" t="s">
        <v>1259</v>
      </c>
      <c r="E1687" s="21">
        <f>IF(D1687="?OLD","!!!","")</f>
        <v/>
      </c>
      <c r="F1687" s="22" t="str">
        <f>IF(OR(E1687="",E1687="!!!"),"",IF(NOT(ISNA(VLOOKUP(E1687,E$1:E1686,1,FALSE()))),"OLD",IF(AND(E1687&lt;&gt;"",E1687&lt;&gt;"!!!"),"NEW","")))</f>
        <v> </v>
      </c>
      <c r="G1687" s="23" t="str">
        <f>IF(OR(E1687="",E1687="!!!"),"",IF(OR(J1687=0,AND(J1687=1,K1687=1),AND(J1687=1,I1687="SBJ"),AND(J1687=1,I1687=0)),"?IN_FOCUS",IF(J1687&lt;=2,"?ACTIVATED",IF(J1687&lt;&gt;"","?FAMILIAR",IF(F1687="NEW",IF(ISNA(VLOOKUP(E1687,#REF!,1,FALSE())),"?TYPE_IDENTIFIABLE","?REFERENTIAL"),"_")))))</f>
        <v> </v>
      </c>
      <c r="H1687" s="24" t="str">
        <f>IF(J1687&lt;&gt;1,"",IF(I1687="SBJ","CB","?"))</f>
        <v> </v>
      </c>
      <c r="I1687" s="25" t="str">
        <f>IF(OR(E1687="",E1687="!!!",F1687="NEW"),"",INDEX(B1686:B$2,-1+SUMPRODUCT(MAX(ROW(E1686:E$2)*(E1687=E1686:E$2)))))</f>
        <v> </v>
      </c>
      <c r="J1687" s="25" t="str">
        <f>IF(OR(E1687="",E1687="!!!",F1687="NEW"),"",COUNTBLANK(OFFSET(A$1,,,SUMPRODUCT(MAX(ROW(E$2:E1687)*(E1687=E$2:E1687)))))-COUNTBLANK(OFFSET(A$1,,,SUMPRODUCT(MAX(ROW(E$1:E1686)*(E2=E$1:E1686))))))</f>
        <v> </v>
      </c>
      <c r="K1687" s="25" t="str">
        <f>IF(OR(E1687="",E1687="!!!",F1687="NEW"),"",INDEX(J$1:J1686,SUMPRODUCT(MAX(ROW(E$1:E1686)*(E1687=E$1:E1686)))))</f>
        <v> </v>
      </c>
      <c r="L1687" s="26"/>
    </row>
    <row r="1688" spans="1:12">
      <c r="A1688" s="20" t="s">
        <v>1979</v>
      </c>
      <c r="E1688" s="21">
        <f>IF(D1688="?OLD","!!!","")</f>
        <v/>
      </c>
      <c r="F1688" s="22" t="str">
        <f>IF(OR(E1688="",E1688="!!!"),"",IF(NOT(ISNA(VLOOKUP(E1688,E$1:E1687,1,FALSE()))),"OLD",IF(AND(E1688&lt;&gt;"",E1688&lt;&gt;"!!!"),"NEW","")))</f>
        <v> </v>
      </c>
      <c r="G1688" s="23" t="str">
        <f>IF(OR(E1688="",E1688="!!!"),"",IF(OR(J1688=0,AND(J1688=1,K1688=1),AND(J1688=1,I1688="SBJ"),AND(J1688=1,I1688=0)),"?IN_FOCUS",IF(J1688&lt;=2,"?ACTIVATED",IF(J1688&lt;&gt;"","?FAMILIAR",IF(F1688="NEW",IF(ISNA(VLOOKUP(E1688,#REF!,1,FALSE())),"?TYPE_IDENTIFIABLE","?REFERENTIAL"),"_")))))</f>
        <v> </v>
      </c>
      <c r="H1688" s="24" t="str">
        <f>IF(J1688&lt;&gt;1,"",IF(I1688="SBJ","CB","?"))</f>
        <v> </v>
      </c>
      <c r="I1688" s="25" t="str">
        <f>IF(OR(E1688="",E1688="!!!",F1688="NEW"),"",INDEX(B1687:B$2,-1+SUMPRODUCT(MAX(ROW(E1687:E$2)*(E1688=E1687:E$2)))))</f>
        <v> </v>
      </c>
      <c r="J1688" s="25" t="str">
        <f>IF(OR(E1688="",E1688="!!!",F1688="NEW"),"",COUNTBLANK(OFFSET(A$1,,,SUMPRODUCT(MAX(ROW(E$2:E1688)*(E1688=E$2:E1688)))))-COUNTBLANK(OFFSET(A$1,,,SUMPRODUCT(MAX(ROW(E$1:E1687)*(E2=E$1:E1687))))))</f>
        <v> </v>
      </c>
      <c r="K1688" s="25" t="str">
        <f>IF(OR(E1688="",E1688="!!!",F1688="NEW"),"",INDEX(J$1:J1687,SUMPRODUCT(MAX(ROW(E$1:E1687)*(E1688=E$1:E1687)))))</f>
        <v> </v>
      </c>
      <c r="L1688" s="26"/>
    </row>
    <row r="1689" spans="1:12">
      <c r="A1689" s="20" t="s">
        <v>1195</v>
      </c>
      <c r="E1689" s="21">
        <f>IF(D1689="?OLD","!!!","")</f>
        <v/>
      </c>
      <c r="F1689" s="22" t="str">
        <f>IF(OR(E1689="",E1689="!!!"),"",IF(NOT(ISNA(VLOOKUP(E1689,E$1:E1688,1,FALSE()))),"OLD",IF(AND(E1689&lt;&gt;"",E1689&lt;&gt;"!!!"),"NEW","")))</f>
        <v> </v>
      </c>
      <c r="G1689" s="23" t="str">
        <f>IF(OR(E1689="",E1689="!!!"),"",IF(OR(J1689=0,AND(J1689=1,K1689=1),AND(J1689=1,I1689="SBJ"),AND(J1689=1,I1689=0)),"?IN_FOCUS",IF(J1689&lt;=2,"?ACTIVATED",IF(J1689&lt;&gt;"","?FAMILIAR",IF(F1689="NEW",IF(ISNA(VLOOKUP(E1689,#REF!,1,FALSE())),"?TYPE_IDENTIFIABLE","?REFERENTIAL"),"_")))))</f>
        <v> </v>
      </c>
      <c r="H1689" s="24" t="str">
        <f>IF(J1689&lt;&gt;1,"",IF(I1689="SBJ","CB","?"))</f>
        <v> </v>
      </c>
      <c r="I1689" s="25" t="str">
        <f>IF(OR(E1689="",E1689="!!!",F1689="NEW"),"",INDEX(B1688:B$2,-1+SUMPRODUCT(MAX(ROW(E1688:E$2)*(E1689=E1688:E$2)))))</f>
        <v> </v>
      </c>
      <c r="J1689" s="25" t="str">
        <f>IF(OR(E1689="",E1689="!!!",F1689="NEW"),"",COUNTBLANK(OFFSET(A$1,,,SUMPRODUCT(MAX(ROW(E$2:E1689)*(E1689=E$2:E1689)))))-COUNTBLANK(OFFSET(A$1,,,SUMPRODUCT(MAX(ROW(E$1:E1688)*(E2=E$1:E1688))))))</f>
        <v> </v>
      </c>
      <c r="K1689" s="25" t="str">
        <f>IF(OR(E1689="",E1689="!!!",F1689="NEW"),"",INDEX(J$1:J1688,SUMPRODUCT(MAX(ROW(E$1:E1688)*(E1689=E$1:E1688)))))</f>
        <v> </v>
      </c>
      <c r="L1689" s="26"/>
    </row>
    <row r="1690" spans="1:12">
      <c r="A1690" s="20" t="s">
        <v>1980</v>
      </c>
      <c r="E1690" s="21">
        <f>IF(D1690="?OLD","!!!","")</f>
        <v/>
      </c>
      <c r="F1690" s="22" t="str">
        <f>IF(OR(E1690="",E1690="!!!"),"",IF(NOT(ISNA(VLOOKUP(E1690,E$1:E1689,1,FALSE()))),"OLD",IF(AND(E1690&lt;&gt;"",E1690&lt;&gt;"!!!"),"NEW","")))</f>
        <v> </v>
      </c>
      <c r="G1690" s="23" t="str">
        <f>IF(OR(E1690="",E1690="!!!"),"",IF(OR(J1690=0,AND(J1690=1,K1690=1),AND(J1690=1,I1690="SBJ"),AND(J1690=1,I1690=0)),"?IN_FOCUS",IF(J1690&lt;=2,"?ACTIVATED",IF(J1690&lt;&gt;"","?FAMILIAR",IF(F1690="NEW",IF(ISNA(VLOOKUP(E1690,#REF!,1,FALSE())),"?TYPE_IDENTIFIABLE","?REFERENTIAL"),"_")))))</f>
        <v> </v>
      </c>
      <c r="H1690" s="24" t="str">
        <f>IF(J1690&lt;&gt;1,"",IF(I1690="SBJ","CB","?"))</f>
        <v> </v>
      </c>
      <c r="I1690" s="25" t="str">
        <f>IF(OR(E1690="",E1690="!!!",F1690="NEW"),"",INDEX(B1689:B$2,-1+SUMPRODUCT(MAX(ROW(E1689:E$2)*(E1690=E1689:E$2)))))</f>
        <v> </v>
      </c>
      <c r="J1690" s="25" t="str">
        <f>IF(OR(E1690="",E1690="!!!",F1690="NEW"),"",COUNTBLANK(OFFSET(A$1,,,SUMPRODUCT(MAX(ROW(E$2:E1690)*(E1690=E$2:E1690)))))-COUNTBLANK(OFFSET(A$1,,,SUMPRODUCT(MAX(ROW(E$1:E1689)*(E2=E$1:E1689))))))</f>
        <v> </v>
      </c>
      <c r="K1690" s="25" t="str">
        <f>IF(OR(E1690="",E1690="!!!",F1690="NEW"),"",INDEX(J$1:J1689,SUMPRODUCT(MAX(ROW(E$1:E1689)*(E1690=E$1:E1689)))))</f>
        <v> </v>
      </c>
      <c r="L1690" s="26"/>
    </row>
    <row r="1691" spans="1:12">
      <c r="A1691" s="20" t="s">
        <v>1145</v>
      </c>
      <c r="E1691" s="21">
        <f>IF(D1691="?OLD","!!!","")</f>
        <v/>
      </c>
      <c r="F1691" s="22" t="str">
        <f>IF(OR(E1691="",E1691="!!!"),"",IF(NOT(ISNA(VLOOKUP(E1691,E$1:E1690,1,FALSE()))),"OLD",IF(AND(E1691&lt;&gt;"",E1691&lt;&gt;"!!!"),"NEW","")))</f>
        <v> </v>
      </c>
      <c r="G1691" s="23" t="str">
        <f>IF(OR(E1691="",E1691="!!!"),"",IF(OR(J1691=0,AND(J1691=1,K1691=1),AND(J1691=1,I1691="SBJ"),AND(J1691=1,I1691=0)),"?IN_FOCUS",IF(J1691&lt;=2,"?ACTIVATED",IF(J1691&lt;&gt;"","?FAMILIAR",IF(F1691="NEW",IF(ISNA(VLOOKUP(E1691,#REF!,1,FALSE())),"?TYPE_IDENTIFIABLE","?REFERENTIAL"),"_")))))</f>
        <v> </v>
      </c>
      <c r="H1691" s="24" t="str">
        <f>IF(J1691&lt;&gt;1,"",IF(I1691="SBJ","CB","?"))</f>
        <v> </v>
      </c>
      <c r="I1691" s="25" t="str">
        <f>IF(OR(E1691="",E1691="!!!",F1691="NEW"),"",INDEX(B1690:B$2,-1+SUMPRODUCT(MAX(ROW(E1690:E$2)*(E1691=E1690:E$2)))))</f>
        <v> </v>
      </c>
      <c r="J1691" s="25" t="str">
        <f>IF(OR(E1691="",E1691="!!!",F1691="NEW"),"",COUNTBLANK(OFFSET(A$1,,,SUMPRODUCT(MAX(ROW(E$2:E1691)*(E1691=E$2:E1691)))))-COUNTBLANK(OFFSET(A$1,,,SUMPRODUCT(MAX(ROW(E$1:E1690)*(E2=E$1:E1690))))))</f>
        <v> </v>
      </c>
      <c r="K1691" s="25" t="str">
        <f>IF(OR(E1691="",E1691="!!!",F1691="NEW"),"",INDEX(J$1:J1690,SUMPRODUCT(MAX(ROW(E$1:E1690)*(E1691=E$1:E1690)))))</f>
        <v> </v>
      </c>
      <c r="L1691" s="26"/>
    </row>
    <row r="1692" spans="1:12">
      <c r="A1692" s="20"/>
    </row>
    <row r="1693" spans="1:12">
      <c r="A1693" s="20" t="s">
        <v>1981</v>
      </c>
    </row>
    <row r="1694" spans="1:12">
      <c r="A1694" s="20" t="s">
        <v>1277</v>
      </c>
      <c r="E1694" s="21">
        <f>IF(D1694="?OLD","!!!","")</f>
        <v/>
      </c>
      <c r="F1694" s="22" t="str">
        <f>IF(OR(E1694="",E1694="!!!"),"",IF(NOT(ISNA(VLOOKUP(E1694,E$1:E1693,1,FALSE()))),"OLD",IF(AND(E1694&lt;&gt;"",E1694&lt;&gt;"!!!"),"NEW","")))</f>
        <v> </v>
      </c>
      <c r="G1694" s="23" t="str">
        <f>IF(OR(E1694="",E1694="!!!"),"",IF(OR(J1694=0,AND(J1694=1,K1694=1),AND(J1694=1,I1694="SBJ"),AND(J1694=1,I1694=0)),"?IN_FOCUS",IF(J1694&lt;=2,"?ACTIVATED",IF(J1694&lt;&gt;"","?FAMILIAR",IF(F1694="NEW",IF(ISNA(VLOOKUP(E1694,#REF!,1,FALSE())),"?TYPE_IDENTIFIABLE","?REFERENTIAL"),"_")))))</f>
        <v> </v>
      </c>
      <c r="H1694" s="24" t="str">
        <f>IF(J1694&lt;&gt;1,"",IF(I1694="SBJ","CB","?"))</f>
        <v> </v>
      </c>
      <c r="I1694" s="25" t="str">
        <f>IF(OR(E1694="",E1694="!!!",F1694="NEW"),"",INDEX(B1693:B$2,-1+SUMPRODUCT(MAX(ROW(E1693:E$2)*(E1694=E1693:E$2)))))</f>
        <v> </v>
      </c>
      <c r="J1694" s="25" t="str">
        <f>IF(OR(E1694="",E1694="!!!",F1694="NEW"),"",COUNTBLANK(OFFSET(A$1,,,SUMPRODUCT(MAX(ROW(E$2:E1694)*(E1694=E$2:E1694)))))-COUNTBLANK(OFFSET(A$1,,,SUMPRODUCT(MAX(ROW(E$1:E1693)*(E2=E$1:E1693))))))</f>
        <v> </v>
      </c>
      <c r="K1694" s="25" t="str">
        <f>IF(OR(E1694="",E1694="!!!",F1694="NEW"),"",INDEX(J$1:J1693,SUMPRODUCT(MAX(ROW(E$1:E1693)*(E1694=E$1:E1693)))))</f>
        <v> </v>
      </c>
      <c r="L1694" s="26"/>
    </row>
    <row r="1695" spans="1:12">
      <c r="A1695" s="20" t="s">
        <v>1664</v>
      </c>
      <c r="E1695" s="21">
        <f>IF(D1695="?OLD","!!!","")</f>
        <v/>
      </c>
      <c r="F1695" s="22" t="str">
        <f>IF(OR(E1695="",E1695="!!!"),"",IF(NOT(ISNA(VLOOKUP(E1695,E$1:E1694,1,FALSE()))),"OLD",IF(AND(E1695&lt;&gt;"",E1695&lt;&gt;"!!!"),"NEW","")))</f>
        <v> </v>
      </c>
      <c r="G1695" s="23" t="str">
        <f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> </v>
      </c>
      <c r="H1695" s="24" t="str">
        <f>IF(J1695&lt;&gt;1,"",IF(I1695="SBJ","CB","?"))</f>
        <v> </v>
      </c>
      <c r="I1695" s="25" t="str">
        <f>IF(OR(E1695="",E1695="!!!",F1695="NEW"),"",INDEX(B1694:B$2,-1+SUMPRODUCT(MAX(ROW(E1694:E$2)*(E1695=E1694:E$2)))))</f>
        <v> </v>
      </c>
      <c r="J1695" s="25" t="str">
        <f>IF(OR(E1695="",E1695="!!!",F1695="NEW"),"",COUNTBLANK(OFFSET(A$1,,,SUMPRODUCT(MAX(ROW(E$2:E1695)*(E1695=E$2:E1695)))))-COUNTBLANK(OFFSET(A$1,,,SUMPRODUCT(MAX(ROW(E$1:E1694)*(E2=E$1:E1694))))))</f>
        <v> </v>
      </c>
      <c r="K1695" s="25" t="str">
        <f>IF(OR(E1695="",E1695="!!!",F1695="NEW"),"",INDEX(J$1:J1694,SUMPRODUCT(MAX(ROW(E$1:E1694)*(E1695=E$1:E1694)))))</f>
        <v> </v>
      </c>
      <c r="L1695" s="26"/>
    </row>
    <row r="1696" spans="1:12">
      <c r="A1696" s="20" t="s">
        <v>1616</v>
      </c>
      <c r="E1696" s="21">
        <f>IF(D1696="?OLD","!!!","")</f>
        <v/>
      </c>
      <c r="F1696" s="22" t="str">
        <f>IF(OR(E1696="",E1696="!!!"),"",IF(NOT(ISNA(VLOOKUP(E1696,E$1:E1695,1,FALSE()))),"OLD",IF(AND(E1696&lt;&gt;"",E1696&lt;&gt;"!!!"),"NEW","")))</f>
        <v> </v>
      </c>
      <c r="G1696" s="23" t="str">
        <f>IF(OR(E1696="",E1696="!!!"),"",IF(OR(J1696=0,AND(J1696=1,K1696=1),AND(J1696=1,I1696="SBJ"),AND(J1696=1,I1696=0)),"?IN_FOCUS",IF(J1696&lt;=2,"?ACTIVATED",IF(J1696&lt;&gt;"","?FAMILIAR",IF(F1696="NEW",IF(ISNA(VLOOKUP(E1696,#REF!,1,FALSE())),"?TYPE_IDENTIFIABLE","?REFERENTIAL"),"_")))))</f>
        <v> </v>
      </c>
      <c r="H1696" s="24" t="str">
        <f>IF(J1696&lt;&gt;1,"",IF(I1696="SBJ","CB","?"))</f>
        <v> </v>
      </c>
      <c r="I1696" s="25" t="str">
        <f>IF(OR(E1696="",E1696="!!!",F1696="NEW"),"",INDEX(B1695:B$2,-1+SUMPRODUCT(MAX(ROW(E1695:E$2)*(E1696=E1695:E$2)))))</f>
        <v> </v>
      </c>
      <c r="J1696" s="25" t="str">
        <f>IF(OR(E1696="",E1696="!!!",F1696="NEW"),"",COUNTBLANK(OFFSET(A$1,,,SUMPRODUCT(MAX(ROW(E$2:E1696)*(E1696=E$2:E1696)))))-COUNTBLANK(OFFSET(A$1,,,SUMPRODUCT(MAX(ROW(E$1:E1695)*(E2=E$1:E1695))))))</f>
        <v> </v>
      </c>
      <c r="K1696" s="25" t="str">
        <f>IF(OR(E1696="",E1696="!!!",F1696="NEW"),"",INDEX(J$1:J1695,SUMPRODUCT(MAX(ROW(E$1:E1695)*(E1696=E$1:E1695)))))</f>
        <v> </v>
      </c>
      <c r="L1696" s="26"/>
    </row>
    <row r="1697" spans="1:12">
      <c r="A1697" s="20" t="s">
        <v>1982</v>
      </c>
      <c r="B1697" s="27" t="s">
        <v>1103</v>
      </c>
      <c r="C1697" s="27" t="s">
        <v>1156</v>
      </c>
      <c r="D1697" s="27" t="s">
        <v>1105</v>
      </c>
      <c r="E1697" s="21">
        <f>IF(D1697="?OLD","!!!","")</f>
        <v/>
      </c>
      <c r="F1697" s="22" t="str">
        <f>IF(OR(E1697="",E1697="!!!"),"",IF(NOT(ISNA(VLOOKUP(E1697,E$1:E1696,1,FALSE()))),"OLD",IF(AND(E1697&lt;&gt;"",E1697&lt;&gt;"!!!"),"NEW","")))</f>
        <v> </v>
      </c>
      <c r="G1697" s="23" t="str">
        <f>IF(OR(E1697="",E1697="!!!"),"",IF(OR(J1697=0,AND(J1697=1,K1697=1),AND(J1697=1,I1697="SBJ"),AND(J1697=1,I1697=0)),"?IN_FOCUS",IF(J1697&lt;=2,"?ACTIVATED",IF(J1697&lt;&gt;"","?FAMILIAR",IF(F1697="NEW",IF(ISNA(VLOOKUP(E1697,#REF!,1,FALSE())),"?TYPE_IDENTIFIABLE","?REFERENTIAL"),"_")))))</f>
        <v> </v>
      </c>
      <c r="H1697" s="24" t="str">
        <f>IF(J1697&lt;&gt;1,"",IF(I1697="SBJ","CB","?"))</f>
        <v> </v>
      </c>
      <c r="I1697" s="25" t="str">
        <f>IF(OR(E1697="",E1697="!!!",F1697="NEW"),"",INDEX(B1696:B$2,-1+SUMPRODUCT(MAX(ROW(E1696:E$2)*(E1697=E1696:E$2)))))</f>
        <v> </v>
      </c>
      <c r="J1697" s="25" t="str">
        <f>IF(OR(E1697="",E1697="!!!",F1697="NEW"),"",COUNTBLANK(OFFSET(A$1,,,SUMPRODUCT(MAX(ROW(E$2:E1697)*(E1697=E$2:E1697)))))-COUNTBLANK(OFFSET(A$1,,,SUMPRODUCT(MAX(ROW(E$1:E1696)*(E2=E$1:E1696))))))</f>
        <v> </v>
      </c>
      <c r="K1697" s="25" t="str">
        <f>IF(OR(E1697="",E1697="!!!",F1697="NEW"),"",INDEX(J$1:J1696,SUMPRODUCT(MAX(ROW(E$1:E1696)*(E1697=E$1:E1696)))))</f>
        <v> </v>
      </c>
      <c r="L1697" s="26"/>
    </row>
    <row r="1698" spans="1:12">
      <c r="A1698" s="20" t="s">
        <v>727</v>
      </c>
      <c r="B1698" s="27" t="s">
        <v>1149</v>
      </c>
      <c r="C1698" s="27" t="s">
        <v>1108</v>
      </c>
      <c r="D1698" s="27" t="s">
        <v>1105</v>
      </c>
      <c r="E1698" s="21">
        <f>IF(D1698="?OLD","!!!","")</f>
        <v/>
      </c>
      <c r="F1698" s="22" t="str">
        <f>IF(OR(E1698="",E1698="!!!"),"",IF(NOT(ISNA(VLOOKUP(E1698,E$1:E1697,1,FALSE()))),"OLD",IF(AND(E1698&lt;&gt;"",E1698&lt;&gt;"!!!"),"NEW","")))</f>
        <v> </v>
      </c>
      <c r="G1698" s="23" t="str">
        <f>IF(OR(E1698="",E1698="!!!"),"",IF(OR(J1698=0,AND(J1698=1,K1698=1),AND(J1698=1,I1698="SBJ"),AND(J1698=1,I1698=0)),"?IN_FOCUS",IF(J1698&lt;=2,"?ACTIVATED",IF(J1698&lt;&gt;"","?FAMILIAR",IF(F1698="NEW",IF(ISNA(VLOOKUP(E1698,#REF!,1,FALSE())),"?TYPE_IDENTIFIABLE","?REFERENTIAL"),"_")))))</f>
        <v> </v>
      </c>
      <c r="H1698" s="24" t="str">
        <f>IF(J1698&lt;&gt;1,"",IF(I1698="SBJ","CB","?"))</f>
        <v> </v>
      </c>
      <c r="I1698" s="25" t="str">
        <f>IF(OR(E1698="",E1698="!!!",F1698="NEW"),"",INDEX(B1697:B$2,-1+SUMPRODUCT(MAX(ROW(E1697:E$2)*(E1698=E1697:E$2)))))</f>
        <v> </v>
      </c>
      <c r="J1698" s="25" t="str">
        <f>IF(OR(E1698="",E1698="!!!",F1698="NEW"),"",COUNTBLANK(OFFSET(A$1,,,SUMPRODUCT(MAX(ROW(E$2:E1698)*(E1698=E$2:E1698)))))-COUNTBLANK(OFFSET(A$1,,,SUMPRODUCT(MAX(ROW(E$1:E1697)*(E2=E$1:E1697))))))</f>
        <v> </v>
      </c>
      <c r="K1698" s="25" t="str">
        <f>IF(OR(E1698="",E1698="!!!",F1698="NEW"),"",INDEX(J$1:J1697,SUMPRODUCT(MAX(ROW(E$1:E1697)*(E1698=E$1:E1697)))))</f>
        <v> </v>
      </c>
      <c r="L1698" s="26"/>
    </row>
    <row r="1699" spans="1:12">
      <c r="A1699" s="20" t="s">
        <v>1983</v>
      </c>
      <c r="E1699" s="21">
        <f>IF(D1699="?OLD","!!!","")</f>
        <v/>
      </c>
      <c r="F1699" s="22" t="str">
        <f>IF(OR(E1699="",E1699="!!!"),"",IF(NOT(ISNA(VLOOKUP(E1699,E$1:E1698,1,FALSE()))),"OLD",IF(AND(E1699&lt;&gt;"",E1699&lt;&gt;"!!!"),"NEW","")))</f>
        <v> </v>
      </c>
      <c r="G1699" s="23" t="str">
        <f>IF(OR(E1699="",E1699="!!!"),"",IF(OR(J1699=0,AND(J1699=1,K1699=1),AND(J1699=1,I1699="SBJ"),AND(J1699=1,I1699=0)),"?IN_FOCUS",IF(J1699&lt;=2,"?ACTIVATED",IF(J1699&lt;&gt;"","?FAMILIAR",IF(F1699="NEW",IF(ISNA(VLOOKUP(E1699,#REF!,1,FALSE())),"?TYPE_IDENTIFIABLE","?REFERENTIAL"),"_")))))</f>
        <v> </v>
      </c>
      <c r="H1699" s="24" t="str">
        <f>IF(J1699&lt;&gt;1,"",IF(I1699="SBJ","CB","?"))</f>
        <v> </v>
      </c>
      <c r="I1699" s="25" t="str">
        <f>IF(OR(E1699="",E1699="!!!",F1699="NEW"),"",INDEX(B1698:B$2,-1+SUMPRODUCT(MAX(ROW(E1698:E$2)*(E1699=E1698:E$2)))))</f>
        <v> </v>
      </c>
      <c r="J1699" s="25" t="str">
        <f>IF(OR(E1699="",E1699="!!!",F1699="NEW"),"",COUNTBLANK(OFFSET(A$1,,,SUMPRODUCT(MAX(ROW(E$2:E1699)*(E1699=E$2:E1699)))))-COUNTBLANK(OFFSET(A$1,,,SUMPRODUCT(MAX(ROW(E$1:E1698)*(E2=E$1:E1698))))))</f>
        <v> </v>
      </c>
      <c r="K1699" s="25" t="str">
        <f>IF(OR(E1699="",E1699="!!!",F1699="NEW"),"",INDEX(J$1:J1698,SUMPRODUCT(MAX(ROW(E$1:E1698)*(E1699=E$1:E1698)))))</f>
        <v> </v>
      </c>
      <c r="L1699" s="26"/>
    </row>
    <row r="1700" spans="1:12">
      <c r="A1700" s="20" t="s">
        <v>1195</v>
      </c>
      <c r="E1700" s="21">
        <f>IF(D1700="?OLD","!!!","")</f>
        <v/>
      </c>
      <c r="F1700" s="22" t="str">
        <f>IF(OR(E1700="",E1700="!!!"),"",IF(NOT(ISNA(VLOOKUP(E1700,E$1:E1699,1,FALSE()))),"OLD",IF(AND(E1700&lt;&gt;"",E1700&lt;&gt;"!!!"),"NEW","")))</f>
        <v> </v>
      </c>
      <c r="G1700" s="23" t="str">
        <f>IF(OR(E1700="",E1700="!!!"),"",IF(OR(J1700=0,AND(J1700=1,K1700=1),AND(J1700=1,I1700="SBJ"),AND(J1700=1,I1700=0)),"?IN_FOCUS",IF(J1700&lt;=2,"?ACTIVATED",IF(J1700&lt;&gt;"","?FAMILIAR",IF(F1700="NEW",IF(ISNA(VLOOKUP(E1700,#REF!,1,FALSE())),"?TYPE_IDENTIFIABLE","?REFERENTIAL"),"_")))))</f>
        <v> </v>
      </c>
      <c r="H1700" s="24" t="str">
        <f>IF(J1700&lt;&gt;1,"",IF(I1700="SBJ","CB","?"))</f>
        <v> </v>
      </c>
      <c r="I1700" s="25" t="str">
        <f>IF(OR(E1700="",E1700="!!!",F1700="NEW"),"",INDEX(B1699:B$2,-1+SUMPRODUCT(MAX(ROW(E1699:E$2)*(E1700=E1699:E$2)))))</f>
        <v> </v>
      </c>
      <c r="J1700" s="25" t="str">
        <f>IF(OR(E1700="",E1700="!!!",F1700="NEW"),"",COUNTBLANK(OFFSET(A$1,,,SUMPRODUCT(MAX(ROW(E$2:E1700)*(E1700=E$2:E1700)))))-COUNTBLANK(OFFSET(A$1,,,SUMPRODUCT(MAX(ROW(E$1:E1699)*(E2=E$1:E1699))))))</f>
        <v> </v>
      </c>
      <c r="K1700" s="25" t="str">
        <f>IF(OR(E1700="",E1700="!!!",F1700="NEW"),"",INDEX(J$1:J1699,SUMPRODUCT(MAX(ROW(E$1:E1699)*(E1700=E$1:E1699)))))</f>
        <v> </v>
      </c>
      <c r="L1700" s="26"/>
    </row>
    <row r="1701" spans="1:12">
      <c r="A1701" s="20" t="s">
        <v>1984</v>
      </c>
      <c r="E1701" s="21">
        <f>IF(D1701="?OLD","!!!","")</f>
        <v/>
      </c>
      <c r="F1701" s="22" t="str">
        <f>IF(OR(E1701="",E1701="!!!"),"",IF(NOT(ISNA(VLOOKUP(E1701,E$1:E1700,1,FALSE()))),"OLD",IF(AND(E1701&lt;&gt;"",E1701&lt;&gt;"!!!"),"NEW","")))</f>
        <v> </v>
      </c>
      <c r="G1701" s="23" t="str">
        <f>IF(OR(E1701="",E1701="!!!"),"",IF(OR(J1701=0,AND(J1701=1,K1701=1),AND(J1701=1,I1701="SBJ"),AND(J1701=1,I1701=0)),"?IN_FOCUS",IF(J1701&lt;=2,"?ACTIVATED",IF(J1701&lt;&gt;"","?FAMILIAR",IF(F1701="NEW",IF(ISNA(VLOOKUP(E1701,#REF!,1,FALSE())),"?TYPE_IDENTIFIABLE","?REFERENTIAL"),"_")))))</f>
        <v> </v>
      </c>
      <c r="H1701" s="24" t="str">
        <f>IF(J1701&lt;&gt;1,"",IF(I1701="SBJ","CB","?"))</f>
        <v> </v>
      </c>
      <c r="I1701" s="25" t="str">
        <f>IF(OR(E1701="",E1701="!!!",F1701="NEW"),"",INDEX(B1700:B$2,-1+SUMPRODUCT(MAX(ROW(E1700:E$2)*(E1701=E1700:E$2)))))</f>
        <v> </v>
      </c>
      <c r="J1701" s="25" t="str">
        <f>IF(OR(E1701="",E1701="!!!",F1701="NEW"),"",COUNTBLANK(OFFSET(A$1,,,SUMPRODUCT(MAX(ROW(E$2:E1701)*(E1701=E$2:E1701)))))-COUNTBLANK(OFFSET(A$1,,,SUMPRODUCT(MAX(ROW(E$1:E1700)*(E2=E$1:E1700))))))</f>
        <v> </v>
      </c>
      <c r="K1701" s="25" t="str">
        <f>IF(OR(E1701="",E1701="!!!",F1701="NEW"),"",INDEX(J$1:J1700,SUMPRODUCT(MAX(ROW(E$1:E1700)*(E1701=E$1:E1700)))))</f>
        <v> </v>
      </c>
      <c r="L1701" s="26"/>
    </row>
    <row r="1702" spans="1:12">
      <c r="A1702" s="20" t="s">
        <v>1128</v>
      </c>
      <c r="E1702" s="21">
        <f>IF(D1702="?OLD","!!!","")</f>
        <v/>
      </c>
      <c r="F1702" s="22" t="str">
        <f>IF(OR(E1702="",E1702="!!!"),"",IF(NOT(ISNA(VLOOKUP(E1702,E$1:E1701,1,FALSE()))),"OLD",IF(AND(E1702&lt;&gt;"",E1702&lt;&gt;"!!!"),"NEW","")))</f>
        <v> </v>
      </c>
      <c r="G1702" s="23" t="str">
        <f>IF(OR(E1702="",E1702="!!!"),"",IF(OR(J1702=0,AND(J1702=1,K1702=1),AND(J1702=1,I1702="SBJ"),AND(J1702=1,I1702=0)),"?IN_FOCUS",IF(J1702&lt;=2,"?ACTIVATED",IF(J1702&lt;&gt;"","?FAMILIAR",IF(F1702="NEW",IF(ISNA(VLOOKUP(E1702,#REF!,1,FALSE())),"?TYPE_IDENTIFIABLE","?REFERENTIAL"),"_")))))</f>
        <v> </v>
      </c>
      <c r="H1702" s="24" t="str">
        <f>IF(J1702&lt;&gt;1,"",IF(I1702="SBJ","CB","?"))</f>
        <v> </v>
      </c>
      <c r="I1702" s="25" t="str">
        <f>IF(OR(E1702="",E1702="!!!",F1702="NEW"),"",INDEX(B1701:B$2,-1+SUMPRODUCT(MAX(ROW(E1701:E$2)*(E1702=E1701:E$2)))))</f>
        <v> </v>
      </c>
      <c r="J1702" s="25" t="str">
        <f>IF(OR(E1702="",E1702="!!!",F1702="NEW"),"",COUNTBLANK(OFFSET(A$1,,,SUMPRODUCT(MAX(ROW(E$2:E1702)*(E1702=E$2:E1702)))))-COUNTBLANK(OFFSET(A$1,,,SUMPRODUCT(MAX(ROW(E$1:E1701)*(E2=E$1:E1701))))))</f>
        <v> </v>
      </c>
      <c r="K1702" s="25" t="str">
        <f>IF(OR(E1702="",E1702="!!!",F1702="NEW"),"",INDEX(J$1:J1701,SUMPRODUCT(MAX(ROW(E$1:E1701)*(E1702=E$1:E1701)))))</f>
        <v> </v>
      </c>
      <c r="L1702" s="26"/>
    </row>
    <row r="1703" spans="1:12">
      <c r="A1703" s="20" t="s">
        <v>1985</v>
      </c>
      <c r="E1703" s="21">
        <f>IF(D1703="?OLD","!!!","")</f>
        <v/>
      </c>
      <c r="F1703" s="22" t="str">
        <f>IF(OR(E1703="",E1703="!!!"),"",IF(NOT(ISNA(VLOOKUP(E1703,E$1:E1702,1,FALSE()))),"OLD",IF(AND(E1703&lt;&gt;"",E1703&lt;&gt;"!!!"),"NEW","")))</f>
        <v> </v>
      </c>
      <c r="G1703" s="23" t="str">
        <f>IF(OR(E1703="",E1703="!!!"),"",IF(OR(J1703=0,AND(J1703=1,K1703=1),AND(J1703=1,I1703="SBJ"),AND(J1703=1,I1703=0)),"?IN_FOCUS",IF(J1703&lt;=2,"?ACTIVATED",IF(J1703&lt;&gt;"","?FAMILIAR",IF(F1703="NEW",IF(ISNA(VLOOKUP(E1703,#REF!,1,FALSE())),"?TYPE_IDENTIFIABLE","?REFERENTIAL"),"_")))))</f>
        <v> </v>
      </c>
      <c r="H1703" s="24" t="str">
        <f>IF(J1703&lt;&gt;1,"",IF(I1703="SBJ","CB","?"))</f>
        <v> </v>
      </c>
      <c r="I1703" s="25" t="str">
        <f>IF(OR(E1703="",E1703="!!!",F1703="NEW"),"",INDEX(B1702:B$2,-1+SUMPRODUCT(MAX(ROW(E1702:E$2)*(E1703=E1702:E$2)))))</f>
        <v> </v>
      </c>
      <c r="J1703" s="25" t="str">
        <f>IF(OR(E1703="",E1703="!!!",F1703="NEW"),"",COUNTBLANK(OFFSET(A$1,,,SUMPRODUCT(MAX(ROW(E$2:E1703)*(E1703=E$2:E1703)))))-COUNTBLANK(OFFSET(A$1,,,SUMPRODUCT(MAX(ROW(E$1:E1702)*(E2=E$1:E1702))))))</f>
        <v> </v>
      </c>
      <c r="K1703" s="25" t="str">
        <f>IF(OR(E1703="",E1703="!!!",F1703="NEW"),"",INDEX(J$1:J1702,SUMPRODUCT(MAX(ROW(E$1:E1702)*(E1703=E$1:E1702)))))</f>
        <v> </v>
      </c>
      <c r="L1703" s="26"/>
    </row>
    <row r="1704" spans="1:12">
      <c r="A1704" s="20" t="s">
        <v>1986</v>
      </c>
      <c r="E1704" s="21">
        <f>IF(D1704="?OLD","!!!","")</f>
        <v/>
      </c>
      <c r="F1704" s="22" t="str">
        <f>IF(OR(E1704="",E1704="!!!"),"",IF(NOT(ISNA(VLOOKUP(E1704,E$1:E1703,1,FALSE()))),"OLD",IF(AND(E1704&lt;&gt;"",E1704&lt;&gt;"!!!"),"NEW","")))</f>
        <v> </v>
      </c>
      <c r="G1704" s="23" t="str">
        <f>IF(OR(E1704="",E1704="!!!"),"",IF(OR(J1704=0,AND(J1704=1,K1704=1),AND(J1704=1,I1704="SBJ"),AND(J1704=1,I1704=0)),"?IN_FOCUS",IF(J1704&lt;=2,"?ACTIVATED",IF(J1704&lt;&gt;"","?FAMILIAR",IF(F1704="NEW",IF(ISNA(VLOOKUP(E1704,#REF!,1,FALSE())),"?TYPE_IDENTIFIABLE","?REFERENTIAL"),"_")))))</f>
        <v> </v>
      </c>
      <c r="H1704" s="24" t="str">
        <f>IF(J1704&lt;&gt;1,"",IF(I1704="SBJ","CB","?"))</f>
        <v> </v>
      </c>
      <c r="I1704" s="25" t="str">
        <f>IF(OR(E1704="",E1704="!!!",F1704="NEW"),"",INDEX(B1703:B$2,-1+SUMPRODUCT(MAX(ROW(E1703:E$2)*(E1704=E1703:E$2)))))</f>
        <v> </v>
      </c>
      <c r="J1704" s="25" t="str">
        <f>IF(OR(E1704="",E1704="!!!",F1704="NEW"),"",COUNTBLANK(OFFSET(A$1,,,SUMPRODUCT(MAX(ROW(E$2:E1704)*(E1704=E$2:E1704)))))-COUNTBLANK(OFFSET(A$1,,,SUMPRODUCT(MAX(ROW(E$1:E1703)*(E2=E$1:E1703))))))</f>
        <v> </v>
      </c>
      <c r="K1704" s="25" t="str">
        <f>IF(OR(E1704="",E1704="!!!",F1704="NEW"),"",INDEX(J$1:J1703,SUMPRODUCT(MAX(ROW(E$1:E1703)*(E1704=E$1:E1703)))))</f>
        <v> </v>
      </c>
      <c r="L1704" s="26"/>
    </row>
    <row r="1705" spans="1:12">
      <c r="A1705" s="20" t="s">
        <v>1249</v>
      </c>
      <c r="E1705" s="21">
        <f>IF(D1705="?OLD","!!!","")</f>
        <v/>
      </c>
      <c r="F1705" s="22" t="str">
        <f>IF(OR(E1705="",E1705="!!!"),"",IF(NOT(ISNA(VLOOKUP(E1705,E$1:E1704,1,FALSE()))),"OLD",IF(AND(E1705&lt;&gt;"",E1705&lt;&gt;"!!!"),"NEW","")))</f>
        <v> </v>
      </c>
      <c r="G1705" s="23" t="str">
        <f>IF(OR(E1705="",E1705="!!!"),"",IF(OR(J1705=0,AND(J1705=1,K1705=1),AND(J1705=1,I1705="SBJ"),AND(J1705=1,I1705=0)),"?IN_FOCUS",IF(J1705&lt;=2,"?ACTIVATED",IF(J1705&lt;&gt;"","?FAMILIAR",IF(F1705="NEW",IF(ISNA(VLOOKUP(E1705,#REF!,1,FALSE())),"?TYPE_IDENTIFIABLE","?REFERENTIAL"),"_")))))</f>
        <v> </v>
      </c>
      <c r="H1705" s="24" t="str">
        <f>IF(J1705&lt;&gt;1,"",IF(I1705="SBJ","CB","?"))</f>
        <v> </v>
      </c>
      <c r="I1705" s="25" t="str">
        <f>IF(OR(E1705="",E1705="!!!",F1705="NEW"),"",INDEX(B1704:B$2,-1+SUMPRODUCT(MAX(ROW(E1704:E$2)*(E1705=E1704:E$2)))))</f>
        <v> </v>
      </c>
      <c r="J1705" s="25" t="str">
        <f>IF(OR(E1705="",E1705="!!!",F1705="NEW"),"",COUNTBLANK(OFFSET(A$1,,,SUMPRODUCT(MAX(ROW(E$2:E1705)*(E1705=E$2:E1705)))))-COUNTBLANK(OFFSET(A$1,,,SUMPRODUCT(MAX(ROW(E$1:E1704)*(E2=E$1:E1704))))))</f>
        <v> </v>
      </c>
      <c r="K1705" s="25" t="str">
        <f>IF(OR(E1705="",E1705="!!!",F1705="NEW"),"",INDEX(J$1:J1704,SUMPRODUCT(MAX(ROW(E$1:E1704)*(E1705=E$1:E1704)))))</f>
        <v> </v>
      </c>
      <c r="L1705" s="26"/>
    </row>
    <row r="1706" spans="1:12">
      <c r="A1706" s="20" t="s">
        <v>1987</v>
      </c>
      <c r="E1706" s="21">
        <f>IF(D1706="?OLD","!!!","")</f>
        <v/>
      </c>
      <c r="F1706" s="22" t="str">
        <f>IF(OR(E1706="",E1706="!!!"),"",IF(NOT(ISNA(VLOOKUP(E1706,E$1:E1705,1,FALSE()))),"OLD",IF(AND(E1706&lt;&gt;"",E1706&lt;&gt;"!!!"),"NEW","")))</f>
        <v> </v>
      </c>
      <c r="G1706" s="23" t="str">
        <f>IF(OR(E1706="",E1706="!!!"),"",IF(OR(J1706=0,AND(J1706=1,K1706=1),AND(J1706=1,I1706="SBJ"),AND(J1706=1,I1706=0)),"?IN_FOCUS",IF(J1706&lt;=2,"?ACTIVATED",IF(J1706&lt;&gt;"","?FAMILIAR",IF(F1706="NEW",IF(ISNA(VLOOKUP(E1706,#REF!,1,FALSE())),"?TYPE_IDENTIFIABLE","?REFERENTIAL"),"_")))))</f>
        <v> </v>
      </c>
      <c r="H1706" s="24" t="str">
        <f>IF(J1706&lt;&gt;1,"",IF(I1706="SBJ","CB","?"))</f>
        <v> </v>
      </c>
      <c r="I1706" s="25" t="str">
        <f>IF(OR(E1706="",E1706="!!!",F1706="NEW"),"",INDEX(B1705:B$2,-1+SUMPRODUCT(MAX(ROW(E1705:E$2)*(E1706=E1705:E$2)))))</f>
        <v> </v>
      </c>
      <c r="J1706" s="25" t="str">
        <f>IF(OR(E1706="",E1706="!!!",F1706="NEW"),"",COUNTBLANK(OFFSET(A$1,,,SUMPRODUCT(MAX(ROW(E$2:E1706)*(E1706=E$2:E1706)))))-COUNTBLANK(OFFSET(A$1,,,SUMPRODUCT(MAX(ROW(E$1:E1705)*(E2=E$1:E1705))))))</f>
        <v> </v>
      </c>
      <c r="K1706" s="25" t="str">
        <f>IF(OR(E1706="",E1706="!!!",F1706="NEW"),"",INDEX(J$1:J1705,SUMPRODUCT(MAX(ROW(E$1:E1705)*(E1706=E$1:E1705)))))</f>
        <v> </v>
      </c>
      <c r="L1706" s="26"/>
    </row>
    <row r="1707" spans="1:12">
      <c r="A1707" s="20" t="s">
        <v>1145</v>
      </c>
      <c r="E1707" s="21">
        <f>IF(D1707="?OLD","!!!","")</f>
        <v/>
      </c>
      <c r="F1707" s="22" t="str">
        <f>IF(OR(E1707="",E1707="!!!"),"",IF(NOT(ISNA(VLOOKUP(E1707,E$1:E1706,1,FALSE()))),"OLD",IF(AND(E1707&lt;&gt;"",E1707&lt;&gt;"!!!"),"NEW","")))</f>
        <v> </v>
      </c>
      <c r="G1707" s="23" t="str">
        <f>IF(OR(E1707="",E1707="!!!"),"",IF(OR(J1707=0,AND(J1707=1,K1707=1),AND(J1707=1,I1707="SBJ"),AND(J1707=1,I1707=0)),"?IN_FOCUS",IF(J1707&lt;=2,"?ACTIVATED",IF(J1707&lt;&gt;"","?FAMILIAR",IF(F1707="NEW",IF(ISNA(VLOOKUP(E1707,#REF!,1,FALSE())),"?TYPE_IDENTIFIABLE","?REFERENTIAL"),"_")))))</f>
        <v> </v>
      </c>
      <c r="H1707" s="24" t="str">
        <f>IF(J1707&lt;&gt;1,"",IF(I1707="SBJ","CB","?"))</f>
        <v> </v>
      </c>
      <c r="I1707" s="25" t="str">
        <f>IF(OR(E1707="",E1707="!!!",F1707="NEW"),"",INDEX(B1706:B$2,-1+SUMPRODUCT(MAX(ROW(E1706:E$2)*(E1707=E1706:E$2)))))</f>
        <v> </v>
      </c>
      <c r="J1707" s="25" t="str">
        <f>IF(OR(E1707="",E1707="!!!",F1707="NEW"),"",COUNTBLANK(OFFSET(A$1,,,SUMPRODUCT(MAX(ROW(E$2:E1707)*(E1707=E$2:E1707)))))-COUNTBLANK(OFFSET(A$1,,,SUMPRODUCT(MAX(ROW(E$1:E1706)*(E2=E$1:E1706))))))</f>
        <v> </v>
      </c>
      <c r="K1707" s="25" t="str">
        <f>IF(OR(E1707="",E1707="!!!",F1707="NEW"),"",INDEX(J$1:J1706,SUMPRODUCT(MAX(ROW(E$1:E1706)*(E1707=E$1:E1706)))))</f>
        <v> </v>
      </c>
      <c r="L1707" s="26"/>
    </row>
    <row r="1708" spans="1:12">
      <c r="A1708" s="20"/>
    </row>
    <row r="1709" spans="1:12">
      <c r="A1709" s="20" t="s">
        <v>1988</v>
      </c>
    </row>
    <row r="1710" spans="1:12">
      <c r="A1710" s="20" t="s">
        <v>1191</v>
      </c>
      <c r="B1710" s="27" t="s">
        <v>1149</v>
      </c>
      <c r="C1710" s="27" t="s">
        <v>1126</v>
      </c>
      <c r="D1710" s="27" t="s">
        <v>1105</v>
      </c>
      <c r="E1710" s="21">
        <f>IF(D1710="?OLD","!!!","")</f>
        <v/>
      </c>
      <c r="F1710" s="22" t="str">
        <f>IF(OR(E1710="",E1710="!!!"),"",IF(NOT(ISNA(VLOOKUP(E1710,E$1:E1709,1,FALSE()))),"OLD",IF(AND(E1710&lt;&gt;"",E1710&lt;&gt;"!!!"),"NEW","")))</f>
        <v> </v>
      </c>
      <c r="G1710" s="23" t="str">
        <f>IF(OR(E1710="",E1710="!!!"),"",IF(OR(J1710=0,AND(J1710=1,K1710=1),AND(J1710=1,I1710="SBJ"),AND(J1710=1,I1710=0)),"?IN_FOCUS",IF(J1710&lt;=2,"?ACTIVATED",IF(J1710&lt;&gt;"","?FAMILIAR",IF(F1710="NEW",IF(ISNA(VLOOKUP(E1710,#REF!,1,FALSE())),"?TYPE_IDENTIFIABLE","?REFERENTIAL"),"_")))))</f>
        <v> </v>
      </c>
      <c r="H1710" s="24" t="str">
        <f>IF(J1710&lt;&gt;1,"",IF(I1710="SBJ","CB","?"))</f>
        <v> </v>
      </c>
      <c r="I1710" s="25" t="str">
        <f>IF(OR(E1710="",E1710="!!!",F1710="NEW"),"",INDEX(B1709:B$2,-1+SUMPRODUCT(MAX(ROW(E1709:E$2)*(E1710=E1709:E$2)))))</f>
        <v> </v>
      </c>
      <c r="J1710" s="25" t="str">
        <f>IF(OR(E1710="",E1710="!!!",F1710="NEW"),"",COUNTBLANK(OFFSET(A$1,,,SUMPRODUCT(MAX(ROW(E$2:E1710)*(E1710=E$2:E1710)))))-COUNTBLANK(OFFSET(A$1,,,SUMPRODUCT(MAX(ROW(E$1:E1709)*(E2=E$1:E1709))))))</f>
        <v> </v>
      </c>
      <c r="K1710" s="25" t="str">
        <f>IF(OR(E1710="",E1710="!!!",F1710="NEW"),"",INDEX(J$1:J1709,SUMPRODUCT(MAX(ROW(E$1:E1709)*(E1710=E$1:E1709)))))</f>
        <v> </v>
      </c>
      <c r="L1710" s="26"/>
    </row>
    <row r="1711" spans="1:12">
      <c r="A1711" s="20" t="s">
        <v>1989</v>
      </c>
      <c r="E1711" s="21">
        <f>IF(D1711="?OLD","!!!","")</f>
        <v/>
      </c>
      <c r="F1711" s="22" t="str">
        <f>IF(OR(E1711="",E1711="!!!"),"",IF(NOT(ISNA(VLOOKUP(E1711,E$1:E1710,1,FALSE()))),"OLD",IF(AND(E1711&lt;&gt;"",E1711&lt;&gt;"!!!"),"NEW","")))</f>
        <v> </v>
      </c>
      <c r="G1711" s="23" t="str">
        <f>IF(OR(E1711="",E1711="!!!"),"",IF(OR(J1711=0,AND(J1711=1,K1711=1),AND(J1711=1,I1711="SBJ"),AND(J1711=1,I1711=0)),"?IN_FOCUS",IF(J1711&lt;=2,"?ACTIVATED",IF(J1711&lt;&gt;"","?FAMILIAR",IF(F1711="NEW",IF(ISNA(VLOOKUP(E1711,#REF!,1,FALSE())),"?TYPE_IDENTIFIABLE","?REFERENTIAL"),"_")))))</f>
        <v> </v>
      </c>
      <c r="H1711" s="24" t="str">
        <f>IF(J1711&lt;&gt;1,"",IF(I1711="SBJ","CB","?"))</f>
        <v> </v>
      </c>
      <c r="I1711" s="25" t="str">
        <f>IF(OR(E1711="",E1711="!!!",F1711="NEW"),"",INDEX(B1710:B$2,-1+SUMPRODUCT(MAX(ROW(E1710:E$2)*(E1711=E1710:E$2)))))</f>
        <v> </v>
      </c>
      <c r="J1711" s="25" t="str">
        <f>IF(OR(E1711="",E1711="!!!",F1711="NEW"),"",COUNTBLANK(OFFSET(A$1,,,SUMPRODUCT(MAX(ROW(E$2:E1711)*(E1711=E$2:E1711)))))-COUNTBLANK(OFFSET(A$1,,,SUMPRODUCT(MAX(ROW(E$1:E1710)*(E2=E$1:E1710))))))</f>
        <v> </v>
      </c>
      <c r="K1711" s="25" t="str">
        <f>IF(OR(E1711="",E1711="!!!",F1711="NEW"),"",INDEX(J$1:J1710,SUMPRODUCT(MAX(ROW(E$1:E1710)*(E1711=E$1:E1710)))))</f>
        <v> </v>
      </c>
      <c r="L1711" s="26"/>
    </row>
    <row r="1712" spans="1:12">
      <c r="A1712" s="20" t="s">
        <v>1128</v>
      </c>
      <c r="E1712" s="21">
        <f>IF(D1712="?OLD","!!!","")</f>
        <v/>
      </c>
      <c r="F1712" s="22" t="str">
        <f>IF(OR(E1712="",E1712="!!!"),"",IF(NOT(ISNA(VLOOKUP(E1712,E$1:E1711,1,FALSE()))),"OLD",IF(AND(E1712&lt;&gt;"",E1712&lt;&gt;"!!!"),"NEW","")))</f>
        <v> </v>
      </c>
      <c r="G1712" s="23" t="str">
        <f>IF(OR(E1712="",E1712="!!!"),"",IF(OR(J1712=0,AND(J1712=1,K1712=1),AND(J1712=1,I1712="SBJ"),AND(J1712=1,I1712=0)),"?IN_FOCUS",IF(J1712&lt;=2,"?ACTIVATED",IF(J1712&lt;&gt;"","?FAMILIAR",IF(F1712="NEW",IF(ISNA(VLOOKUP(E1712,#REF!,1,FALSE())),"?TYPE_IDENTIFIABLE","?REFERENTIAL"),"_")))))</f>
        <v> </v>
      </c>
      <c r="H1712" s="24" t="str">
        <f>IF(J1712&lt;&gt;1,"",IF(I1712="SBJ","CB","?"))</f>
        <v> </v>
      </c>
      <c r="I1712" s="25" t="str">
        <f>IF(OR(E1712="",E1712="!!!",F1712="NEW"),"",INDEX(B1711:B$2,-1+SUMPRODUCT(MAX(ROW(E1711:E$2)*(E1712=E1711:E$2)))))</f>
        <v> </v>
      </c>
      <c r="J1712" s="25" t="str">
        <f>IF(OR(E1712="",E1712="!!!",F1712="NEW"),"",COUNTBLANK(OFFSET(A$1,,,SUMPRODUCT(MAX(ROW(E$2:E1712)*(E1712=E$2:E1712)))))-COUNTBLANK(OFFSET(A$1,,,SUMPRODUCT(MAX(ROW(E$1:E1711)*(E2=E$1:E1711))))))</f>
        <v> </v>
      </c>
      <c r="K1712" s="25" t="str">
        <f>IF(OR(E1712="",E1712="!!!",F1712="NEW"),"",INDEX(J$1:J1711,SUMPRODUCT(MAX(ROW(E$1:E1711)*(E1712=E$1:E1711)))))</f>
        <v> </v>
      </c>
      <c r="L1712" s="26"/>
    </row>
    <row r="1713" spans="1:12">
      <c r="A1713" s="20" t="s">
        <v>1123</v>
      </c>
      <c r="E1713" s="21">
        <f>IF(D1713="?OLD","!!!","")</f>
        <v/>
      </c>
      <c r="F1713" s="22" t="str">
        <f>IF(OR(E1713="",E1713="!!!"),"",IF(NOT(ISNA(VLOOKUP(E1713,E$1:E1712,1,FALSE()))),"OLD",IF(AND(E1713&lt;&gt;"",E1713&lt;&gt;"!!!"),"NEW","")))</f>
        <v> </v>
      </c>
      <c r="G1713" s="23" t="str">
        <f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> </v>
      </c>
      <c r="H1713" s="24" t="str">
        <f>IF(J1713&lt;&gt;1,"",IF(I1713="SBJ","CB","?"))</f>
        <v> </v>
      </c>
      <c r="I1713" s="25" t="str">
        <f>IF(OR(E1713="",E1713="!!!",F1713="NEW"),"",INDEX(B1712:B$2,-1+SUMPRODUCT(MAX(ROW(E1712:E$2)*(E1713=E1712:E$2)))))</f>
        <v> </v>
      </c>
      <c r="J1713" s="25" t="str">
        <f>IF(OR(E1713="",E1713="!!!",F1713="NEW"),"",COUNTBLANK(OFFSET(A$1,,,SUMPRODUCT(MAX(ROW(E$2:E1713)*(E1713=E$2:E1713)))))-COUNTBLANK(OFFSET(A$1,,,SUMPRODUCT(MAX(ROW(E$1:E1712)*(E2=E$1:E1712))))))</f>
        <v> </v>
      </c>
      <c r="K1713" s="25" t="str">
        <f>IF(OR(E1713="",E1713="!!!",F1713="NEW"),"",INDEX(J$1:J1712,SUMPRODUCT(MAX(ROW(E$1:E1712)*(E1713=E$1:E1712)))))</f>
        <v> </v>
      </c>
      <c r="L1713" s="26"/>
    </row>
    <row r="1714" spans="1:12">
      <c r="A1714" s="20" t="s">
        <v>1770</v>
      </c>
      <c r="E1714" s="21">
        <f>IF(D1714="?OLD","!!!","")</f>
        <v/>
      </c>
      <c r="F1714" s="22" t="str">
        <f>IF(OR(E1714="",E1714="!!!"),"",IF(NOT(ISNA(VLOOKUP(E1714,E$1:E1713,1,FALSE()))),"OLD",IF(AND(E1714&lt;&gt;"",E1714&lt;&gt;"!!!"),"NEW","")))</f>
        <v> </v>
      </c>
      <c r="G1714" s="23" t="str">
        <f>IF(OR(E1714="",E1714="!!!"),"",IF(OR(J1714=0,AND(J1714=1,K1714=1),AND(J1714=1,I1714="SBJ"),AND(J1714=1,I1714=0)),"?IN_FOCUS",IF(J1714&lt;=2,"?ACTIVATED",IF(J1714&lt;&gt;"","?FAMILIAR",IF(F1714="NEW",IF(ISNA(VLOOKUP(E1714,#REF!,1,FALSE())),"?TYPE_IDENTIFIABLE","?REFERENTIAL"),"_")))))</f>
        <v> </v>
      </c>
      <c r="H1714" s="24" t="str">
        <f>IF(J1714&lt;&gt;1,"",IF(I1714="SBJ","CB","?"))</f>
        <v> </v>
      </c>
      <c r="I1714" s="25" t="str">
        <f>IF(OR(E1714="",E1714="!!!",F1714="NEW"),"",INDEX(B1713:B$2,-1+SUMPRODUCT(MAX(ROW(E1713:E$2)*(E1714=E1713:E$2)))))</f>
        <v> </v>
      </c>
      <c r="J1714" s="25" t="str">
        <f>IF(OR(E1714="",E1714="!!!",F1714="NEW"),"",COUNTBLANK(OFFSET(A$1,,,SUMPRODUCT(MAX(ROW(E$2:E1714)*(E1714=E$2:E1714)))))-COUNTBLANK(OFFSET(A$1,,,SUMPRODUCT(MAX(ROW(E$1:E1713)*(E2=E$1:E1713))))))</f>
        <v> </v>
      </c>
      <c r="K1714" s="25" t="str">
        <f>IF(OR(E1714="",E1714="!!!",F1714="NEW"),"",INDEX(J$1:J1713,SUMPRODUCT(MAX(ROW(E$1:E1713)*(E1714=E$1:E1713)))))</f>
        <v> </v>
      </c>
      <c r="L1714" s="26"/>
    </row>
    <row r="1715" spans="1:12">
      <c r="A1715" s="20" t="s">
        <v>1990</v>
      </c>
      <c r="E1715" s="21">
        <f>IF(D1715="?OLD","!!!","")</f>
        <v/>
      </c>
      <c r="F1715" s="22" t="str">
        <f>IF(OR(E1715="",E1715="!!!"),"",IF(NOT(ISNA(VLOOKUP(E1715,E$1:E1714,1,FALSE()))),"OLD",IF(AND(E1715&lt;&gt;"",E1715&lt;&gt;"!!!"),"NEW","")))</f>
        <v> </v>
      </c>
      <c r="G1715" s="23" t="str">
        <f>IF(OR(E1715="",E1715="!!!"),"",IF(OR(J1715=0,AND(J1715=1,K1715=1),AND(J1715=1,I1715="SBJ"),AND(J1715=1,I1715=0)),"?IN_FOCUS",IF(J1715&lt;=2,"?ACTIVATED",IF(J1715&lt;&gt;"","?FAMILIAR",IF(F1715="NEW",IF(ISNA(VLOOKUP(E1715,#REF!,1,FALSE())),"?TYPE_IDENTIFIABLE","?REFERENTIAL"),"_")))))</f>
        <v> </v>
      </c>
      <c r="H1715" s="24" t="str">
        <f>IF(J1715&lt;&gt;1,"",IF(I1715="SBJ","CB","?"))</f>
        <v> </v>
      </c>
      <c r="I1715" s="25" t="str">
        <f>IF(OR(E1715="",E1715="!!!",F1715="NEW"),"",INDEX(B1714:B$2,-1+SUMPRODUCT(MAX(ROW(E1714:E$2)*(E1715=E1714:E$2)))))</f>
        <v> </v>
      </c>
      <c r="J1715" s="25" t="str">
        <f>IF(OR(E1715="",E1715="!!!",F1715="NEW"),"",COUNTBLANK(OFFSET(A$1,,,SUMPRODUCT(MAX(ROW(E$2:E1715)*(E1715=E$2:E1715)))))-COUNTBLANK(OFFSET(A$1,,,SUMPRODUCT(MAX(ROW(E$1:E1714)*(E2=E$1:E1714))))))</f>
        <v> </v>
      </c>
      <c r="K1715" s="25" t="str">
        <f>IF(OR(E1715="",E1715="!!!",F1715="NEW"),"",INDEX(J$1:J1714,SUMPRODUCT(MAX(ROW(E$1:E1714)*(E1715=E$1:E1714)))))</f>
        <v> </v>
      </c>
      <c r="L1715" s="26"/>
    </row>
    <row r="1716" spans="1:12">
      <c r="A1716" s="20" t="s">
        <v>1180</v>
      </c>
      <c r="E1716" s="21">
        <f>IF(D1716="?OLD","!!!","")</f>
        <v/>
      </c>
      <c r="F1716" s="22" t="str">
        <f>IF(OR(E1716="",E1716="!!!"),"",IF(NOT(ISNA(VLOOKUP(E1716,E$1:E1715,1,FALSE()))),"OLD",IF(AND(E1716&lt;&gt;"",E1716&lt;&gt;"!!!"),"NEW","")))</f>
        <v> </v>
      </c>
      <c r="G1716" s="23" t="str">
        <f>IF(OR(E1716="",E1716="!!!"),"",IF(OR(J1716=0,AND(J1716=1,K1716=1),AND(J1716=1,I1716="SBJ"),AND(J1716=1,I1716=0)),"?IN_FOCUS",IF(J1716&lt;=2,"?ACTIVATED",IF(J1716&lt;&gt;"","?FAMILIAR",IF(F1716="NEW",IF(ISNA(VLOOKUP(E1716,#REF!,1,FALSE())),"?TYPE_IDENTIFIABLE","?REFERENTIAL"),"_")))))</f>
        <v> </v>
      </c>
      <c r="H1716" s="24" t="str">
        <f>IF(J1716&lt;&gt;1,"",IF(I1716="SBJ","CB","?"))</f>
        <v> </v>
      </c>
      <c r="I1716" s="25" t="str">
        <f>IF(OR(E1716="",E1716="!!!",F1716="NEW"),"",INDEX(B1715:B$2,-1+SUMPRODUCT(MAX(ROW(E1715:E$2)*(E1716=E1715:E$2)))))</f>
        <v> </v>
      </c>
      <c r="J1716" s="25" t="str">
        <f>IF(OR(E1716="",E1716="!!!",F1716="NEW"),"",COUNTBLANK(OFFSET(A$1,,,SUMPRODUCT(MAX(ROW(E$2:E1716)*(E1716=E$2:E1716)))))-COUNTBLANK(OFFSET(A$1,,,SUMPRODUCT(MAX(ROW(E$1:E1715)*(E2=E$1:E1715))))))</f>
        <v> </v>
      </c>
      <c r="K1716" s="25" t="str">
        <f>IF(OR(E1716="",E1716="!!!",F1716="NEW"),"",INDEX(J$1:J1715,SUMPRODUCT(MAX(ROW(E$1:E1715)*(E1716=E$1:E1715)))))</f>
        <v> </v>
      </c>
      <c r="L1716" s="26"/>
    </row>
    <row r="1717" spans="1:12">
      <c r="A1717" s="20" t="s">
        <v>1991</v>
      </c>
      <c r="B1717" s="27" t="s">
        <v>1132</v>
      </c>
      <c r="C1717" s="27" t="s">
        <v>1156</v>
      </c>
      <c r="D1717" s="27" t="s">
        <v>1105</v>
      </c>
      <c r="E1717" s="21">
        <f>IF(D1717="?OLD","!!!","")</f>
        <v/>
      </c>
      <c r="F1717" s="22" t="str">
        <f>IF(OR(E1717="",E1717="!!!"),"",IF(NOT(ISNA(VLOOKUP(E1717,E$1:E1716,1,FALSE()))),"OLD",IF(AND(E1717&lt;&gt;"",E1717&lt;&gt;"!!!"),"NEW","")))</f>
        <v> </v>
      </c>
      <c r="G1717" s="23" t="str">
        <f>IF(OR(E1717="",E1717="!!!"),"",IF(OR(J1717=0,AND(J1717=1,K1717=1),AND(J1717=1,I1717="SBJ"),AND(J1717=1,I1717=0)),"?IN_FOCUS",IF(J1717&lt;=2,"?ACTIVATED",IF(J1717&lt;&gt;"","?FAMILIAR",IF(F1717="NEW",IF(ISNA(VLOOKUP(E1717,#REF!,1,FALSE())),"?TYPE_IDENTIFIABLE","?REFERENTIAL"),"_")))))</f>
        <v> </v>
      </c>
      <c r="H1717" s="24" t="str">
        <f>IF(J1717&lt;&gt;1,"",IF(I1717="SBJ","CB","?"))</f>
        <v> </v>
      </c>
      <c r="I1717" s="25" t="str">
        <f>IF(OR(E1717="",E1717="!!!",F1717="NEW"),"",INDEX(B1716:B$2,-1+SUMPRODUCT(MAX(ROW(E1716:E$2)*(E1717=E1716:E$2)))))</f>
        <v> </v>
      </c>
      <c r="J1717" s="25" t="str">
        <f>IF(OR(E1717="",E1717="!!!",F1717="NEW"),"",COUNTBLANK(OFFSET(A$1,,,SUMPRODUCT(MAX(ROW(E$2:E1717)*(E1717=E$2:E1717)))))-COUNTBLANK(OFFSET(A$1,,,SUMPRODUCT(MAX(ROW(E$1:E1716)*(E2=E$1:E1716))))))</f>
        <v> </v>
      </c>
      <c r="K1717" s="25" t="str">
        <f>IF(OR(E1717="",E1717="!!!",F1717="NEW"),"",INDEX(J$1:J1716,SUMPRODUCT(MAX(ROW(E$1:E1716)*(E1717=E$1:E1716)))))</f>
        <v> </v>
      </c>
      <c r="L1717" s="26"/>
    </row>
    <row r="1718" spans="1:12">
      <c r="A1718" s="20" t="s">
        <v>1123</v>
      </c>
      <c r="E1718" s="21">
        <f>IF(D1718="?OLD","!!!","")</f>
        <v/>
      </c>
      <c r="F1718" s="22" t="str">
        <f>IF(OR(E1718="",E1718="!!!"),"",IF(NOT(ISNA(VLOOKUP(E1718,E$1:E1717,1,FALSE()))),"OLD",IF(AND(E1718&lt;&gt;"",E1718&lt;&gt;"!!!"),"NEW","")))</f>
        <v> </v>
      </c>
      <c r="G1718" s="23" t="str">
        <f>IF(OR(E1718="",E1718="!!!"),"",IF(OR(J1718=0,AND(J1718=1,K1718=1),AND(J1718=1,I1718="SBJ"),AND(J1718=1,I1718=0)),"?IN_FOCUS",IF(J1718&lt;=2,"?ACTIVATED",IF(J1718&lt;&gt;"","?FAMILIAR",IF(F1718="NEW",IF(ISNA(VLOOKUP(E1718,#REF!,1,FALSE())),"?TYPE_IDENTIFIABLE","?REFERENTIAL"),"_")))))</f>
        <v> </v>
      </c>
      <c r="H1718" s="24" t="str">
        <f>IF(J1718&lt;&gt;1,"",IF(I1718="SBJ","CB","?"))</f>
        <v> </v>
      </c>
      <c r="I1718" s="25" t="str">
        <f>IF(OR(E1718="",E1718="!!!",F1718="NEW"),"",INDEX(B1717:B$2,-1+SUMPRODUCT(MAX(ROW(E1717:E$2)*(E1718=E1717:E$2)))))</f>
        <v> </v>
      </c>
      <c r="J1718" s="25" t="str">
        <f>IF(OR(E1718="",E1718="!!!",F1718="NEW"),"",COUNTBLANK(OFFSET(A$1,,,SUMPRODUCT(MAX(ROW(E$2:E1718)*(E1718=E$2:E1718)))))-COUNTBLANK(OFFSET(A$1,,,SUMPRODUCT(MAX(ROW(E$1:E1717)*(E2=E$1:E1717))))))</f>
        <v> </v>
      </c>
      <c r="K1718" s="25" t="str">
        <f>IF(OR(E1718="",E1718="!!!",F1718="NEW"),"",INDEX(J$1:J1717,SUMPRODUCT(MAX(ROW(E$1:E1717)*(E1718=E$1:E1717)))))</f>
        <v> </v>
      </c>
      <c r="L1718" s="26"/>
    </row>
    <row r="1719" spans="1:12">
      <c r="A1719" s="20" t="s">
        <v>1992</v>
      </c>
      <c r="B1719" s="27" t="s">
        <v>1993</v>
      </c>
      <c r="C1719" s="27" t="s">
        <v>1133</v>
      </c>
      <c r="E1719" s="21">
        <f>IF(D1719="?OLD","!!!","")</f>
        <v/>
      </c>
      <c r="F1719" s="22" t="str">
        <f>IF(OR(E1719="",E1719="!!!"),"",IF(NOT(ISNA(VLOOKUP(E1719,E$1:E1718,1,FALSE()))),"OLD",IF(AND(E1719&lt;&gt;"",E1719&lt;&gt;"!!!"),"NEW","")))</f>
        <v> </v>
      </c>
      <c r="G1719" s="23" t="str">
        <f>IF(OR(E1719="",E1719="!!!"),"",IF(OR(J1719=0,AND(J1719=1,K1719=1),AND(J1719=1,I1719="SBJ"),AND(J1719=1,I1719=0)),"?IN_FOCUS",IF(J1719&lt;=2,"?ACTIVATED",IF(J1719&lt;&gt;"","?FAMILIAR",IF(F1719="NEW",IF(ISNA(VLOOKUP(E1719,#REF!,1,FALSE())),"?TYPE_IDENTIFIABLE","?REFERENTIAL"),"_")))))</f>
        <v> </v>
      </c>
      <c r="H1719" s="24" t="str">
        <f>IF(J1719&lt;&gt;1,"",IF(I1719="SBJ","CB","?"))</f>
        <v> </v>
      </c>
      <c r="I1719" s="25" t="str">
        <f>IF(OR(E1719="",E1719="!!!",F1719="NEW"),"",INDEX(B1718:B$2,-1+SUMPRODUCT(MAX(ROW(E1718:E$2)*(E1719=E1718:E$2)))))</f>
        <v> </v>
      </c>
      <c r="J1719" s="25" t="str">
        <f>IF(OR(E1719="",E1719="!!!",F1719="NEW"),"",COUNTBLANK(OFFSET(A$1,,,SUMPRODUCT(MAX(ROW(E$2:E1719)*(E1719=E$2:E1719)))))-COUNTBLANK(OFFSET(A$1,,,SUMPRODUCT(MAX(ROW(E$1:E1718)*(E2=E$1:E1718))))))</f>
        <v> </v>
      </c>
      <c r="K1719" s="25" t="str">
        <f>IF(OR(E1719="",E1719="!!!",F1719="NEW"),"",INDEX(J$1:J1718,SUMPRODUCT(MAX(ROW(E$1:E1718)*(E1719=E$1:E1718)))))</f>
        <v> </v>
      </c>
      <c r="L1719" s="26"/>
    </row>
    <row r="1720" spans="1:12">
      <c r="A1720" s="20" t="s">
        <v>1994</v>
      </c>
      <c r="E1720" s="21">
        <f>IF(D1720="?OLD","!!!","")</f>
        <v/>
      </c>
      <c r="F1720" s="22" t="str">
        <f>IF(OR(E1720="",E1720="!!!"),"",IF(NOT(ISNA(VLOOKUP(E1720,E$1:E1719,1,FALSE()))),"OLD",IF(AND(E1720&lt;&gt;"",E1720&lt;&gt;"!!!"),"NEW","")))</f>
        <v> </v>
      </c>
      <c r="G1720" s="23" t="str">
        <f>IF(OR(E1720="",E1720="!!!"),"",IF(OR(J1720=0,AND(J1720=1,K1720=1),AND(J1720=1,I1720="SBJ"),AND(J1720=1,I1720=0)),"?IN_FOCUS",IF(J1720&lt;=2,"?ACTIVATED",IF(J1720&lt;&gt;"","?FAMILIAR",IF(F1720="NEW",IF(ISNA(VLOOKUP(E1720,#REF!,1,FALSE())),"?TYPE_IDENTIFIABLE","?REFERENTIAL"),"_")))))</f>
        <v> </v>
      </c>
      <c r="H1720" s="24" t="str">
        <f>IF(J1720&lt;&gt;1,"",IF(I1720="SBJ","CB","?"))</f>
        <v> </v>
      </c>
      <c r="I1720" s="25" t="str">
        <f>IF(OR(E1720="",E1720="!!!",F1720="NEW"),"",INDEX(B1719:B$2,-1+SUMPRODUCT(MAX(ROW(E1719:E$2)*(E1720=E1719:E$2)))))</f>
        <v> </v>
      </c>
      <c r="J1720" s="25" t="str">
        <f>IF(OR(E1720="",E1720="!!!",F1720="NEW"),"",COUNTBLANK(OFFSET(A$1,,,SUMPRODUCT(MAX(ROW(E$2:E1720)*(E1720=E$2:E1720)))))-COUNTBLANK(OFFSET(A$1,,,SUMPRODUCT(MAX(ROW(E$1:E1719)*(E2=E$1:E1719))))))</f>
        <v> </v>
      </c>
      <c r="K1720" s="25" t="str">
        <f>IF(OR(E1720="",E1720="!!!",F1720="NEW"),"",INDEX(J$1:J1719,SUMPRODUCT(MAX(ROW(E$1:E1719)*(E1720=E$1:E1719)))))</f>
        <v> </v>
      </c>
      <c r="L1720" s="26"/>
    </row>
    <row r="1721" spans="1:12">
      <c r="A1721" s="20" t="s">
        <v>1995</v>
      </c>
      <c r="B1721" s="27" t="s">
        <v>1495</v>
      </c>
      <c r="C1721" s="27" t="s">
        <v>1142</v>
      </c>
      <c r="D1721" s="27" t="s">
        <v>1105</v>
      </c>
      <c r="E1721" s="21">
        <f>IF(D1721="?OLD","!!!","")</f>
        <v/>
      </c>
      <c r="F1721" s="22" t="str">
        <f>IF(OR(E1721="",E1721="!!!"),"",IF(NOT(ISNA(VLOOKUP(E1721,E$1:E1720,1,FALSE()))),"OLD",IF(AND(E1721&lt;&gt;"",E1721&lt;&gt;"!!!"),"NEW","")))</f>
        <v> </v>
      </c>
      <c r="G1721" s="23" t="str">
        <f>IF(OR(E1721="",E1721="!!!"),"",IF(OR(J1721=0,AND(J1721=1,K1721=1),AND(J1721=1,I1721="SBJ"),AND(J1721=1,I1721=0)),"?IN_FOCUS",IF(J1721&lt;=2,"?ACTIVATED",IF(J1721&lt;&gt;"","?FAMILIAR",IF(F1721="NEW",IF(ISNA(VLOOKUP(E1721,#REF!,1,FALSE())),"?TYPE_IDENTIFIABLE","?REFERENTIAL"),"_")))))</f>
        <v> </v>
      </c>
      <c r="H1721" s="24" t="str">
        <f>IF(J1721&lt;&gt;1,"",IF(I1721="SBJ","CB","?"))</f>
        <v> </v>
      </c>
      <c r="I1721" s="25" t="str">
        <f>IF(OR(E1721="",E1721="!!!",F1721="NEW"),"",INDEX(B1720:B$2,-1+SUMPRODUCT(MAX(ROW(E1720:E$2)*(E1721=E1720:E$2)))))</f>
        <v> </v>
      </c>
      <c r="J1721" s="25" t="str">
        <f>IF(OR(E1721="",E1721="!!!",F1721="NEW"),"",COUNTBLANK(OFFSET(A$1,,,SUMPRODUCT(MAX(ROW(E$2:E1721)*(E1721=E$2:E1721)))))-COUNTBLANK(OFFSET(A$1,,,SUMPRODUCT(MAX(ROW(E$1:E1720)*(E2=E$1:E1720))))))</f>
        <v> </v>
      </c>
      <c r="K1721" s="25" t="str">
        <f>IF(OR(E1721="",E1721="!!!",F1721="NEW"),"",INDEX(J$1:J1720,SUMPRODUCT(MAX(ROW(E$1:E1720)*(E1721=E$1:E1720)))))</f>
        <v> </v>
      </c>
      <c r="L1721" s="26"/>
    </row>
    <row r="1722" spans="1:12">
      <c r="A1722" s="20" t="s">
        <v>1996</v>
      </c>
      <c r="B1722" s="27" t="s">
        <v>1162</v>
      </c>
      <c r="E1722" s="21">
        <f>IF(D1722="?OLD","!!!","")</f>
        <v/>
      </c>
      <c r="F1722" s="22" t="str">
        <f>IF(OR(E1722="",E1722="!!!"),"",IF(NOT(ISNA(VLOOKUP(E1722,E$1:E1721,1,FALSE()))),"OLD",IF(AND(E1722&lt;&gt;"",E1722&lt;&gt;"!!!"),"NEW","")))</f>
        <v> </v>
      </c>
      <c r="G1722" s="23" t="str">
        <f>IF(OR(E1722="",E1722="!!!"),"",IF(OR(J1722=0,AND(J1722=1,K1722=1),AND(J1722=1,I1722="SBJ"),AND(J1722=1,I1722=0)),"?IN_FOCUS",IF(J1722&lt;=2,"?ACTIVATED",IF(J1722&lt;&gt;"","?FAMILIAR",IF(F1722="NEW",IF(ISNA(VLOOKUP(E1722,#REF!,1,FALSE())),"?TYPE_IDENTIFIABLE","?REFERENTIAL"),"_")))))</f>
        <v> </v>
      </c>
      <c r="H1722" s="24" t="str">
        <f>IF(J1722&lt;&gt;1,"",IF(I1722="SBJ","CB","?"))</f>
        <v> </v>
      </c>
      <c r="I1722" s="25" t="str">
        <f>IF(OR(E1722="",E1722="!!!",F1722="NEW"),"",INDEX(B1721:B$2,-1+SUMPRODUCT(MAX(ROW(E1721:E$2)*(E1722=E1721:E$2)))))</f>
        <v> </v>
      </c>
      <c r="J1722" s="25" t="str">
        <f>IF(OR(E1722="",E1722="!!!",F1722="NEW"),"",COUNTBLANK(OFFSET(A$1,,,SUMPRODUCT(MAX(ROW(E$2:E1722)*(E1722=E$2:E1722)))))-COUNTBLANK(OFFSET(A$1,,,SUMPRODUCT(MAX(ROW(E$1:E1721)*(E2=E$1:E1721))))))</f>
        <v> </v>
      </c>
      <c r="K1722" s="25" t="str">
        <f>IF(OR(E1722="",E1722="!!!",F1722="NEW"),"",INDEX(J$1:J1721,SUMPRODUCT(MAX(ROW(E$1:E1721)*(E1722=E$1:E1721)))))</f>
        <v> </v>
      </c>
      <c r="L1722" s="26"/>
    </row>
    <row r="1723" spans="1:12">
      <c r="A1723" s="20" t="s">
        <v>1123</v>
      </c>
      <c r="E1723" s="21">
        <f>IF(D1723="?OLD","!!!","")</f>
        <v/>
      </c>
      <c r="F1723" s="22" t="str">
        <f>IF(OR(E1723="",E1723="!!!"),"",IF(NOT(ISNA(VLOOKUP(E1723,E$1:E1722,1,FALSE()))),"OLD",IF(AND(E1723&lt;&gt;"",E1723&lt;&gt;"!!!"),"NEW","")))</f>
        <v> </v>
      </c>
      <c r="G1723" s="23" t="str">
        <f>IF(OR(E1723="",E1723="!!!"),"",IF(OR(J1723=0,AND(J1723=1,K1723=1),AND(J1723=1,I1723="SBJ"),AND(J1723=1,I1723=0)),"?IN_FOCUS",IF(J1723&lt;=2,"?ACTIVATED",IF(J1723&lt;&gt;"","?FAMILIAR",IF(F1723="NEW",IF(ISNA(VLOOKUP(E1723,#REF!,1,FALSE())),"?TYPE_IDENTIFIABLE","?REFERENTIAL"),"_")))))</f>
        <v> </v>
      </c>
      <c r="H1723" s="24" t="str">
        <f>IF(J1723&lt;&gt;1,"",IF(I1723="SBJ","CB","?"))</f>
        <v> </v>
      </c>
      <c r="I1723" s="25" t="str">
        <f>IF(OR(E1723="",E1723="!!!",F1723="NEW"),"",INDEX(B1722:B$2,-1+SUMPRODUCT(MAX(ROW(E1722:E$2)*(E1723=E1722:E$2)))))</f>
        <v> </v>
      </c>
      <c r="J1723" s="25" t="str">
        <f>IF(OR(E1723="",E1723="!!!",F1723="NEW"),"",COUNTBLANK(OFFSET(A$1,,,SUMPRODUCT(MAX(ROW(E$2:E1723)*(E1723=E$2:E1723)))))-COUNTBLANK(OFFSET(A$1,,,SUMPRODUCT(MAX(ROW(E$1:E1722)*(E2=E$1:E1722))))))</f>
        <v> </v>
      </c>
      <c r="K1723" s="25" t="str">
        <f>IF(OR(E1723="",E1723="!!!",F1723="NEW"),"",INDEX(J$1:J1722,SUMPRODUCT(MAX(ROW(E$1:E1722)*(E1723=E$1:E1722)))))</f>
        <v> </v>
      </c>
      <c r="L1723" s="26"/>
    </row>
    <row r="1724" spans="1:12">
      <c r="A1724" s="20" t="s">
        <v>1997</v>
      </c>
      <c r="E1724" s="21">
        <f>IF(D1724="?OLD","!!!","")</f>
        <v/>
      </c>
      <c r="F1724" s="22" t="str">
        <f>IF(OR(E1724="",E1724="!!!"),"",IF(NOT(ISNA(VLOOKUP(E1724,E$1:E1723,1,FALSE()))),"OLD",IF(AND(E1724&lt;&gt;"",E1724&lt;&gt;"!!!"),"NEW","")))</f>
        <v> </v>
      </c>
      <c r="G1724" s="23" t="str">
        <f>IF(OR(E1724="",E1724="!!!"),"",IF(OR(J1724=0,AND(J1724=1,K1724=1),AND(J1724=1,I1724="SBJ"),AND(J1724=1,I1724=0)),"?IN_FOCUS",IF(J1724&lt;=2,"?ACTIVATED",IF(J1724&lt;&gt;"","?FAMILIAR",IF(F1724="NEW",IF(ISNA(VLOOKUP(E1724,#REF!,1,FALSE())),"?TYPE_IDENTIFIABLE","?REFERENTIAL"),"_")))))</f>
        <v> </v>
      </c>
      <c r="H1724" s="24" t="str">
        <f>IF(J1724&lt;&gt;1,"",IF(I1724="SBJ","CB","?"))</f>
        <v> </v>
      </c>
      <c r="I1724" s="25" t="str">
        <f>IF(OR(E1724="",E1724="!!!",F1724="NEW"),"",INDEX(B1723:B$2,-1+SUMPRODUCT(MAX(ROW(E1723:E$2)*(E1724=E1723:E$2)))))</f>
        <v> </v>
      </c>
      <c r="J1724" s="25" t="str">
        <f>IF(OR(E1724="",E1724="!!!",F1724="NEW"),"",COUNTBLANK(OFFSET(A$1,,,SUMPRODUCT(MAX(ROW(E$2:E1724)*(E1724=E$2:E1724)))))-COUNTBLANK(OFFSET(A$1,,,SUMPRODUCT(MAX(ROW(E$1:E1723)*(E2=E$1:E1723))))))</f>
        <v> </v>
      </c>
      <c r="K1724" s="25" t="str">
        <f>IF(OR(E1724="",E1724="!!!",F1724="NEW"),"",INDEX(J$1:J1723,SUMPRODUCT(MAX(ROW(E$1:E1723)*(E1724=E$1:E1723)))))</f>
        <v> </v>
      </c>
      <c r="L1724" s="26"/>
    </row>
    <row r="1725" spans="1:12">
      <c r="A1725" s="20" t="s">
        <v>1998</v>
      </c>
      <c r="E1725" s="21">
        <f>IF(D1725="?OLD","!!!","")</f>
        <v/>
      </c>
      <c r="F1725" s="22" t="str">
        <f>IF(OR(E1725="",E1725="!!!"),"",IF(NOT(ISNA(VLOOKUP(E1725,E$1:E1724,1,FALSE()))),"OLD",IF(AND(E1725&lt;&gt;"",E1725&lt;&gt;"!!!"),"NEW","")))</f>
        <v> </v>
      </c>
      <c r="G1725" s="23" t="str">
        <f>IF(OR(E1725="",E1725="!!!"),"",IF(OR(J1725=0,AND(J1725=1,K1725=1),AND(J1725=1,I1725="SBJ"),AND(J1725=1,I1725=0)),"?IN_FOCUS",IF(J1725&lt;=2,"?ACTIVATED",IF(J1725&lt;&gt;"","?FAMILIAR",IF(F1725="NEW",IF(ISNA(VLOOKUP(E1725,#REF!,1,FALSE())),"?TYPE_IDENTIFIABLE","?REFERENTIAL"),"_")))))</f>
        <v> </v>
      </c>
      <c r="H1725" s="24" t="str">
        <f>IF(J1725&lt;&gt;1,"",IF(I1725="SBJ","CB","?"))</f>
        <v> </v>
      </c>
      <c r="I1725" s="25" t="str">
        <f>IF(OR(E1725="",E1725="!!!",F1725="NEW"),"",INDEX(B1724:B$2,-1+SUMPRODUCT(MAX(ROW(E1724:E$2)*(E1725=E1724:E$2)))))</f>
        <v> </v>
      </c>
      <c r="J1725" s="25" t="str">
        <f>IF(OR(E1725="",E1725="!!!",F1725="NEW"),"",COUNTBLANK(OFFSET(A$1,,,SUMPRODUCT(MAX(ROW(E$2:E1725)*(E1725=E$2:E1725)))))-COUNTBLANK(OFFSET(A$1,,,SUMPRODUCT(MAX(ROW(E$1:E1724)*(E2=E$1:E1724))))))</f>
        <v> </v>
      </c>
      <c r="K1725" s="25" t="str">
        <f>IF(OR(E1725="",E1725="!!!",F1725="NEW"),"",INDEX(J$1:J1724,SUMPRODUCT(MAX(ROW(E$1:E1724)*(E1725=E$1:E1724)))))</f>
        <v> </v>
      </c>
      <c r="L1725" s="26"/>
    </row>
    <row r="1726" spans="1:12">
      <c r="A1726" s="20" t="s">
        <v>1999</v>
      </c>
      <c r="E1726" s="21">
        <f>IF(D1726="?OLD","!!!","")</f>
        <v/>
      </c>
      <c r="F1726" s="22" t="str">
        <f>IF(OR(E1726="",E1726="!!!"),"",IF(NOT(ISNA(VLOOKUP(E1726,E$1:E1725,1,FALSE()))),"OLD",IF(AND(E1726&lt;&gt;"",E1726&lt;&gt;"!!!"),"NEW","")))</f>
        <v> </v>
      </c>
      <c r="G1726" s="23" t="str">
        <f>IF(OR(E1726="",E1726="!!!"),"",IF(OR(J1726=0,AND(J1726=1,K1726=1),AND(J1726=1,I1726="SBJ"),AND(J1726=1,I1726=0)),"?IN_FOCUS",IF(J1726&lt;=2,"?ACTIVATED",IF(J1726&lt;&gt;"","?FAMILIAR",IF(F1726="NEW",IF(ISNA(VLOOKUP(E1726,#REF!,1,FALSE())),"?TYPE_IDENTIFIABLE","?REFERENTIAL"),"_")))))</f>
        <v> </v>
      </c>
      <c r="H1726" s="24" t="str">
        <f>IF(J1726&lt;&gt;1,"",IF(I1726="SBJ","CB","?"))</f>
        <v> </v>
      </c>
      <c r="I1726" s="25" t="str">
        <f>IF(OR(E1726="",E1726="!!!",F1726="NEW"),"",INDEX(B1725:B$2,-1+SUMPRODUCT(MAX(ROW(E1725:E$2)*(E1726=E1725:E$2)))))</f>
        <v> </v>
      </c>
      <c r="J1726" s="25" t="str">
        <f>IF(OR(E1726="",E1726="!!!",F1726="NEW"),"",COUNTBLANK(OFFSET(A$1,,,SUMPRODUCT(MAX(ROW(E$2:E1726)*(E1726=E$2:E1726)))))-COUNTBLANK(OFFSET(A$1,,,SUMPRODUCT(MAX(ROW(E$1:E1725)*(E2=E$1:E1725))))))</f>
        <v> </v>
      </c>
      <c r="K1726" s="25" t="str">
        <f>IF(OR(E1726="",E1726="!!!",F1726="NEW"),"",INDEX(J$1:J1725,SUMPRODUCT(MAX(ROW(E$1:E1725)*(E1726=E$1:E1725)))))</f>
        <v> </v>
      </c>
      <c r="L1726" s="26"/>
    </row>
    <row r="1727" spans="1:12">
      <c r="A1727" s="20" t="s">
        <v>1271</v>
      </c>
      <c r="E1727" s="21">
        <f>IF(D1727="?OLD","!!!","")</f>
        <v/>
      </c>
      <c r="F1727" s="22" t="str">
        <f>IF(OR(E1727="",E1727="!!!"),"",IF(NOT(ISNA(VLOOKUP(E1727,E$1:E1726,1,FALSE()))),"OLD",IF(AND(E1727&lt;&gt;"",E1727&lt;&gt;"!!!"),"NEW","")))</f>
        <v> </v>
      </c>
      <c r="G1727" s="23" t="str">
        <f>IF(OR(E1727="",E1727="!!!"),"",IF(OR(J1727=0,AND(J1727=1,K1727=1),AND(J1727=1,I1727="SBJ"),AND(J1727=1,I1727=0)),"?IN_FOCUS",IF(J1727&lt;=2,"?ACTIVATED",IF(J1727&lt;&gt;"","?FAMILIAR",IF(F1727="NEW",IF(ISNA(VLOOKUP(E1727,#REF!,1,FALSE())),"?TYPE_IDENTIFIABLE","?REFERENTIAL"),"_")))))</f>
        <v> </v>
      </c>
      <c r="H1727" s="24" t="str">
        <f>IF(J1727&lt;&gt;1,"",IF(I1727="SBJ","CB","?"))</f>
        <v> </v>
      </c>
      <c r="I1727" s="25" t="str">
        <f>IF(OR(E1727="",E1727="!!!",F1727="NEW"),"",INDEX(B1726:B$2,-1+SUMPRODUCT(MAX(ROW(E1726:E$2)*(E1727=E1726:E$2)))))</f>
        <v> </v>
      </c>
      <c r="J1727" s="25" t="str">
        <f>IF(OR(E1727="",E1727="!!!",F1727="NEW"),"",COUNTBLANK(OFFSET(A$1,,,SUMPRODUCT(MAX(ROW(E$2:E1727)*(E1727=E$2:E1727)))))-COUNTBLANK(OFFSET(A$1,,,SUMPRODUCT(MAX(ROW(E$1:E1726)*(E2=E$1:E1726))))))</f>
        <v> </v>
      </c>
      <c r="K1727" s="25" t="str">
        <f>IF(OR(E1727="",E1727="!!!",F1727="NEW"),"",INDEX(J$1:J1726,SUMPRODUCT(MAX(ROW(E$1:E1726)*(E1727=E$1:E1726)))))</f>
        <v> </v>
      </c>
      <c r="L1727" s="26"/>
    </row>
    <row r="1728" spans="1:12">
      <c r="A1728" s="20" t="s">
        <v>2000</v>
      </c>
      <c r="E1728" s="21">
        <f>IF(D1728="?OLD","!!!","")</f>
        <v/>
      </c>
      <c r="F1728" s="22" t="str">
        <f>IF(OR(E1728="",E1728="!!!"),"",IF(NOT(ISNA(VLOOKUP(E1728,E$1:E1727,1,FALSE()))),"OLD",IF(AND(E1728&lt;&gt;"",E1728&lt;&gt;"!!!"),"NEW","")))</f>
        <v> </v>
      </c>
      <c r="G1728" s="23" t="str">
        <f>IF(OR(E1728="",E1728="!!!"),"",IF(OR(J1728=0,AND(J1728=1,K1728=1),AND(J1728=1,I1728="SBJ"),AND(J1728=1,I1728=0)),"?IN_FOCUS",IF(J1728&lt;=2,"?ACTIVATED",IF(J1728&lt;&gt;"","?FAMILIAR",IF(F1728="NEW",IF(ISNA(VLOOKUP(E1728,#REF!,1,FALSE())),"?TYPE_IDENTIFIABLE","?REFERENTIAL"),"_")))))</f>
        <v> </v>
      </c>
      <c r="H1728" s="24" t="str">
        <f>IF(J1728&lt;&gt;1,"",IF(I1728="SBJ","CB","?"))</f>
        <v> </v>
      </c>
      <c r="I1728" s="25" t="str">
        <f>IF(OR(E1728="",E1728="!!!",F1728="NEW"),"",INDEX(B1727:B$2,-1+SUMPRODUCT(MAX(ROW(E1727:E$2)*(E1728=E1727:E$2)))))</f>
        <v> </v>
      </c>
      <c r="J1728" s="25" t="str">
        <f>IF(OR(E1728="",E1728="!!!",F1728="NEW"),"",COUNTBLANK(OFFSET(A$1,,,SUMPRODUCT(MAX(ROW(E$2:E1728)*(E1728=E$2:E1728)))))-COUNTBLANK(OFFSET(A$1,,,SUMPRODUCT(MAX(ROW(E$1:E1727)*(E2=E$1:E1727))))))</f>
        <v> </v>
      </c>
      <c r="K1728" s="25" t="str">
        <f>IF(OR(E1728="",E1728="!!!",F1728="NEW"),"",INDEX(J$1:J1727,SUMPRODUCT(MAX(ROW(E$1:E1727)*(E1728=E$1:E1727)))))</f>
        <v> </v>
      </c>
      <c r="L1728" s="26"/>
    </row>
    <row r="1729" spans="1:12">
      <c r="A1729" s="20" t="s">
        <v>1145</v>
      </c>
      <c r="E1729" s="21">
        <f>IF(D1729="?OLD","!!!","")</f>
        <v/>
      </c>
      <c r="F1729" s="22" t="str">
        <f>IF(OR(E1729="",E1729="!!!"),"",IF(NOT(ISNA(VLOOKUP(E1729,E$1:E1728,1,FALSE()))),"OLD",IF(AND(E1729&lt;&gt;"",E1729&lt;&gt;"!!!"),"NEW","")))</f>
        <v> </v>
      </c>
      <c r="G1729" s="23" t="str">
        <f>IF(OR(E1729="",E1729="!!!"),"",IF(OR(J1729=0,AND(J1729=1,K1729=1),AND(J1729=1,I1729="SBJ"),AND(J1729=1,I1729=0)),"?IN_FOCUS",IF(J1729&lt;=2,"?ACTIVATED",IF(J1729&lt;&gt;"","?FAMILIAR",IF(F1729="NEW",IF(ISNA(VLOOKUP(E1729,#REF!,1,FALSE())),"?TYPE_IDENTIFIABLE","?REFERENTIAL"),"_")))))</f>
        <v> </v>
      </c>
      <c r="H1729" s="24" t="str">
        <f>IF(J1729&lt;&gt;1,"",IF(I1729="SBJ","CB","?"))</f>
        <v> </v>
      </c>
      <c r="I1729" s="25" t="str">
        <f>IF(OR(E1729="",E1729="!!!",F1729="NEW"),"",INDEX(B1728:B$2,-1+SUMPRODUCT(MAX(ROW(E1728:E$2)*(E1729=E1728:E$2)))))</f>
        <v> </v>
      </c>
      <c r="J1729" s="25" t="str">
        <f>IF(OR(E1729="",E1729="!!!",F1729="NEW"),"",COUNTBLANK(OFFSET(A$1,,,SUMPRODUCT(MAX(ROW(E$2:E1729)*(E1729=E$2:E1729)))))-COUNTBLANK(OFFSET(A$1,,,SUMPRODUCT(MAX(ROW(E$1:E1728)*(E2=E$1:E1728))))))</f>
        <v> </v>
      </c>
      <c r="K1729" s="25" t="str">
        <f>IF(OR(E1729="",E1729="!!!",F1729="NEW"),"",INDEX(J$1:J1728,SUMPRODUCT(MAX(ROW(E$1:E1728)*(E1729=E$1:E1728)))))</f>
        <v> </v>
      </c>
      <c r="L1729" s="26"/>
    </row>
    <row r="1730" spans="1:12">
      <c r="A1730" s="20"/>
    </row>
    <row r="1731" spans="1:12">
      <c r="A1731" s="20" t="s">
        <v>2001</v>
      </c>
    </row>
    <row r="1732" spans="1:12">
      <c r="A1732" s="20" t="s">
        <v>1436</v>
      </c>
      <c r="E1732" s="21">
        <f>IF(D1732="?OLD","!!!","")</f>
        <v/>
      </c>
      <c r="F1732" s="22" t="str">
        <f>IF(OR(E1732="",E1732="!!!"),"",IF(NOT(ISNA(VLOOKUP(E1732,E$1:E1731,1,FALSE()))),"OLD",IF(AND(E1732&lt;&gt;"",E1732&lt;&gt;"!!!"),"NEW","")))</f>
        <v> </v>
      </c>
      <c r="G1732" s="23" t="str">
        <f>IF(OR(E1732="",E1732="!!!"),"",IF(OR(J1732=0,AND(J1732=1,K1732=1),AND(J1732=1,I1732="SBJ"),AND(J1732=1,I1732=0)),"?IN_FOCUS",IF(J1732&lt;=2,"?ACTIVATED",IF(J1732&lt;&gt;"","?FAMILIAR",IF(F1732="NEW",IF(ISNA(VLOOKUP(E1732,#REF!,1,FALSE())),"?TYPE_IDENTIFIABLE","?REFERENTIAL"),"_")))))</f>
        <v> </v>
      </c>
      <c r="H1732" s="24" t="str">
        <f>IF(J1732&lt;&gt;1,"",IF(I1732="SBJ","CB","?"))</f>
        <v> </v>
      </c>
      <c r="I1732" s="25" t="str">
        <f>IF(OR(E1732="",E1732="!!!",F1732="NEW"),"",INDEX(B1731:B$2,-1+SUMPRODUCT(MAX(ROW(E1731:E$2)*(E1732=E1731:E$2)))))</f>
        <v> </v>
      </c>
      <c r="J1732" s="25" t="str">
        <f>IF(OR(E1732="",E1732="!!!",F1732="NEW"),"",COUNTBLANK(OFFSET(A$1,,,SUMPRODUCT(MAX(ROW(E$2:E1732)*(E1732=E$2:E1732)))))-COUNTBLANK(OFFSET(A$1,,,SUMPRODUCT(MAX(ROW(E$1:E1731)*(E2=E$1:E1731))))))</f>
        <v> </v>
      </c>
      <c r="K1732" s="25" t="str">
        <f>IF(OR(E1732="",E1732="!!!",F1732="NEW"),"",INDEX(J$1:J1731,SUMPRODUCT(MAX(ROW(E$1:E1731)*(E1732=E$1:E1731)))))</f>
        <v> </v>
      </c>
      <c r="L1732" s="26"/>
    </row>
    <row r="1733" spans="1:12">
      <c r="A1733" s="20" t="s">
        <v>1351</v>
      </c>
      <c r="E1733" s="21">
        <f>IF(D1733="?OLD","!!!","")</f>
        <v/>
      </c>
      <c r="F1733" s="22" t="str">
        <f>IF(OR(E1733="",E1733="!!!"),"",IF(NOT(ISNA(VLOOKUP(E1733,E$1:E1732,1,FALSE()))),"OLD",IF(AND(E1733&lt;&gt;"",E1733&lt;&gt;"!!!"),"NEW","")))</f>
        <v> </v>
      </c>
      <c r="G1733" s="23" t="str">
        <f>IF(OR(E1733="",E1733="!!!"),"",IF(OR(J1733=0,AND(J1733=1,K1733=1),AND(J1733=1,I1733="SBJ"),AND(J1733=1,I1733=0)),"?IN_FOCUS",IF(J1733&lt;=2,"?ACTIVATED",IF(J1733&lt;&gt;"","?FAMILIAR",IF(F1733="NEW",IF(ISNA(VLOOKUP(E1733,#REF!,1,FALSE())),"?TYPE_IDENTIFIABLE","?REFERENTIAL"),"_")))))</f>
        <v> </v>
      </c>
      <c r="H1733" s="24" t="str">
        <f>IF(J1733&lt;&gt;1,"",IF(I1733="SBJ","CB","?"))</f>
        <v> </v>
      </c>
      <c r="I1733" s="25" t="str">
        <f>IF(OR(E1733="",E1733="!!!",F1733="NEW"),"",INDEX(B1732:B$2,-1+SUMPRODUCT(MAX(ROW(E1732:E$2)*(E1733=E1732:E$2)))))</f>
        <v> </v>
      </c>
      <c r="J1733" s="25" t="str">
        <f>IF(OR(E1733="",E1733="!!!",F1733="NEW"),"",COUNTBLANK(OFFSET(A$1,,,SUMPRODUCT(MAX(ROW(E$2:E1733)*(E1733=E$2:E1733)))))-COUNTBLANK(OFFSET(A$1,,,SUMPRODUCT(MAX(ROW(E$1:E1732)*(E2=E$1:E1732))))))</f>
        <v> </v>
      </c>
      <c r="K1733" s="25" t="str">
        <f>IF(OR(E1733="",E1733="!!!",F1733="NEW"),"",INDEX(J$1:J1732,SUMPRODUCT(MAX(ROW(E$1:E1732)*(E1733=E$1:E1732)))))</f>
        <v> </v>
      </c>
      <c r="L1733" s="26"/>
    </row>
    <row r="1734" spans="1:12">
      <c r="A1734" s="20"/>
    </row>
    <row r="1735" spans="1:12">
      <c r="A1735" s="20" t="s">
        <v>2002</v>
      </c>
    </row>
    <row r="1736" spans="1:12">
      <c r="A1736" s="20" t="s">
        <v>1400</v>
      </c>
      <c r="B1736" s="27" t="s">
        <v>1149</v>
      </c>
      <c r="C1736" s="27" t="s">
        <v>1116</v>
      </c>
      <c r="D1736" s="27" t="s">
        <v>1105</v>
      </c>
      <c r="E1736" s="21">
        <f>IF(D1736="?OLD","!!!","")</f>
        <v/>
      </c>
      <c r="F1736" s="22" t="str">
        <f>IF(OR(E1736="",E1736="!!!"),"",IF(NOT(ISNA(VLOOKUP(E1736,E$1:E1735,1,FALSE()))),"OLD",IF(AND(E1736&lt;&gt;"",E1736&lt;&gt;"!!!"),"NEW","")))</f>
        <v> </v>
      </c>
      <c r="G1736" s="23" t="str">
        <f>IF(OR(E1736="",E1736="!!!"),"",IF(OR(J1736=0,AND(J1736=1,K1736=1),AND(J1736=1,I1736="SBJ"),AND(J1736=1,I1736=0)),"?IN_FOCUS",IF(J1736&lt;=2,"?ACTIVATED",IF(J1736&lt;&gt;"","?FAMILIAR",IF(F1736="NEW",IF(ISNA(VLOOKUP(E1736,#REF!,1,FALSE())),"?TYPE_IDENTIFIABLE","?REFERENTIAL"),"_")))))</f>
        <v> </v>
      </c>
      <c r="H1736" s="24" t="str">
        <f>IF(J1736&lt;&gt;1,"",IF(I1736="SBJ","CB","?"))</f>
        <v> </v>
      </c>
      <c r="I1736" s="25" t="str">
        <f>IF(OR(E1736="",E1736="!!!",F1736="NEW"),"",INDEX(B1735:B$2,-1+SUMPRODUCT(MAX(ROW(E1735:E$2)*(E1736=E1735:E$2)))))</f>
        <v> </v>
      </c>
      <c r="J1736" s="25" t="str">
        <f>IF(OR(E1736="",E1736="!!!",F1736="NEW"),"",COUNTBLANK(OFFSET(A$1,,,SUMPRODUCT(MAX(ROW(E$2:E1736)*(E1736=E$2:E1736)))))-COUNTBLANK(OFFSET(A$1,,,SUMPRODUCT(MAX(ROW(E$1:E1735)*(E2=E$1:E1735))))))</f>
        <v> </v>
      </c>
      <c r="K1736" s="25" t="str">
        <f>IF(OR(E1736="",E1736="!!!",F1736="NEW"),"",INDEX(J$1:J1735,SUMPRODUCT(MAX(ROW(E$1:E1735)*(E1736=E$1:E1735)))))</f>
        <v> </v>
      </c>
      <c r="L1736" s="26"/>
    </row>
    <row r="1737" spans="1:12">
      <c r="A1737" s="20" t="s">
        <v>1309</v>
      </c>
      <c r="E1737" s="21">
        <f>IF(D1737="?OLD","!!!","")</f>
        <v/>
      </c>
      <c r="F1737" s="22" t="str">
        <f>IF(OR(E1737="",E1737="!!!"),"",IF(NOT(ISNA(VLOOKUP(E1737,E$1:E1736,1,FALSE()))),"OLD",IF(AND(E1737&lt;&gt;"",E1737&lt;&gt;"!!!"),"NEW","")))</f>
        <v> </v>
      </c>
      <c r="G1737" s="23" t="str">
        <f>IF(OR(E1737="",E1737="!!!"),"",IF(OR(J1737=0,AND(J1737=1,K1737=1),AND(J1737=1,I1737="SBJ"),AND(J1737=1,I1737=0)),"?IN_FOCUS",IF(J1737&lt;=2,"?ACTIVATED",IF(J1737&lt;&gt;"","?FAMILIAR",IF(F1737="NEW",IF(ISNA(VLOOKUP(E1737,#REF!,1,FALSE())),"?TYPE_IDENTIFIABLE","?REFERENTIAL"),"_")))))</f>
        <v> </v>
      </c>
      <c r="H1737" s="24" t="str">
        <f>IF(J1737&lt;&gt;1,"",IF(I1737="SBJ","CB","?"))</f>
        <v> </v>
      </c>
      <c r="I1737" s="25" t="str">
        <f>IF(OR(E1737="",E1737="!!!",F1737="NEW"),"",INDEX(B1736:B$2,-1+SUMPRODUCT(MAX(ROW(E1736:E$2)*(E1737=E1736:E$2)))))</f>
        <v> </v>
      </c>
      <c r="J1737" s="25" t="str">
        <f>IF(OR(E1737="",E1737="!!!",F1737="NEW"),"",COUNTBLANK(OFFSET(A$1,,,SUMPRODUCT(MAX(ROW(E$2:E1737)*(E1737=E$2:E1737)))))-COUNTBLANK(OFFSET(A$1,,,SUMPRODUCT(MAX(ROW(E$1:E1736)*(E2=E$1:E1736))))))</f>
        <v> </v>
      </c>
      <c r="K1737" s="25" t="str">
        <f>IF(OR(E1737="",E1737="!!!",F1737="NEW"),"",INDEX(J$1:J1736,SUMPRODUCT(MAX(ROW(E$1:E1736)*(E1737=E$1:E1736)))))</f>
        <v> </v>
      </c>
      <c r="L1737" s="26"/>
    </row>
    <row r="1738" spans="1:12">
      <c r="A1738" s="20" t="s">
        <v>763</v>
      </c>
      <c r="E1738" s="21">
        <f>IF(D1738="?OLD","!!!","")</f>
        <v/>
      </c>
      <c r="F1738" s="22" t="str">
        <f>IF(OR(E1738="",E1738="!!!"),"",IF(NOT(ISNA(VLOOKUP(E1738,E$1:E1737,1,FALSE()))),"OLD",IF(AND(E1738&lt;&gt;"",E1738&lt;&gt;"!!!"),"NEW","")))</f>
        <v> </v>
      </c>
      <c r="G1738" s="23" t="str">
        <f>IF(OR(E1738="",E1738="!!!"),"",IF(OR(J1738=0,AND(J1738=1,K1738=1),AND(J1738=1,I1738="SBJ"),AND(J1738=1,I1738=0)),"?IN_FOCUS",IF(J1738&lt;=2,"?ACTIVATED",IF(J1738&lt;&gt;"","?FAMILIAR",IF(F1738="NEW",IF(ISNA(VLOOKUP(E1738,#REF!,1,FALSE())),"?TYPE_IDENTIFIABLE","?REFERENTIAL"),"_")))))</f>
        <v> </v>
      </c>
      <c r="H1738" s="24" t="str">
        <f>IF(J1738&lt;&gt;1,"",IF(I1738="SBJ","CB","?"))</f>
        <v> </v>
      </c>
      <c r="I1738" s="25" t="str">
        <f>IF(OR(E1738="",E1738="!!!",F1738="NEW"),"",INDEX(B1737:B$2,-1+SUMPRODUCT(MAX(ROW(E1737:E$2)*(E1738=E1737:E$2)))))</f>
        <v> </v>
      </c>
      <c r="J1738" s="25" t="str">
        <f>IF(OR(E1738="",E1738="!!!",F1738="NEW"),"",COUNTBLANK(OFFSET(A$1,,,SUMPRODUCT(MAX(ROW(E$2:E1738)*(E1738=E$2:E1738)))))-COUNTBLANK(OFFSET(A$1,,,SUMPRODUCT(MAX(ROW(E$1:E1737)*(E2=E$1:E1737))))))</f>
        <v> </v>
      </c>
      <c r="K1738" s="25" t="str">
        <f>IF(OR(E1738="",E1738="!!!",F1738="NEW"),"",INDEX(J$1:J1737,SUMPRODUCT(MAX(ROW(E$1:E1737)*(E1738=E$1:E1737)))))</f>
        <v> </v>
      </c>
      <c r="L1738" s="26"/>
    </row>
    <row r="1739" spans="1:12">
      <c r="A1739" s="20" t="s">
        <v>1123</v>
      </c>
      <c r="E1739" s="21">
        <f>IF(D1739="?OLD","!!!","")</f>
        <v/>
      </c>
      <c r="F1739" s="22" t="str">
        <f>IF(OR(E1739="",E1739="!!!"),"",IF(NOT(ISNA(VLOOKUP(E1739,E$1:E1738,1,FALSE()))),"OLD",IF(AND(E1739&lt;&gt;"",E1739&lt;&gt;"!!!"),"NEW","")))</f>
        <v> </v>
      </c>
      <c r="G1739" s="23" t="str">
        <f>IF(OR(E1739="",E1739="!!!"),"",IF(OR(J1739=0,AND(J1739=1,K1739=1),AND(J1739=1,I1739="SBJ"),AND(J1739=1,I1739=0)),"?IN_FOCUS",IF(J1739&lt;=2,"?ACTIVATED",IF(J1739&lt;&gt;"","?FAMILIAR",IF(F1739="NEW",IF(ISNA(VLOOKUP(E1739,#REF!,1,FALSE())),"?TYPE_IDENTIFIABLE","?REFERENTIAL"),"_")))))</f>
        <v> </v>
      </c>
      <c r="H1739" s="24" t="str">
        <f>IF(J1739&lt;&gt;1,"",IF(I1739="SBJ","CB","?"))</f>
        <v> </v>
      </c>
      <c r="I1739" s="25" t="str">
        <f>IF(OR(E1739="",E1739="!!!",F1739="NEW"),"",INDEX(B1738:B$2,-1+SUMPRODUCT(MAX(ROW(E1738:E$2)*(E1739=E1738:E$2)))))</f>
        <v> </v>
      </c>
      <c r="J1739" s="25" t="str">
        <f>IF(OR(E1739="",E1739="!!!",F1739="NEW"),"",COUNTBLANK(OFFSET(A$1,,,SUMPRODUCT(MAX(ROW(E$2:E1739)*(E1739=E$2:E1739)))))-COUNTBLANK(OFFSET(A$1,,,SUMPRODUCT(MAX(ROW(E$1:E1738)*(E2=E$1:E1738))))))</f>
        <v> </v>
      </c>
      <c r="K1739" s="25" t="str">
        <f>IF(OR(E1739="",E1739="!!!",F1739="NEW"),"",INDEX(J$1:J1738,SUMPRODUCT(MAX(ROW(E$1:E1738)*(E1739=E$1:E1738)))))</f>
        <v> </v>
      </c>
      <c r="L1739" s="26"/>
    </row>
    <row r="1740" spans="1:12">
      <c r="A1740" s="20" t="s">
        <v>2003</v>
      </c>
      <c r="E1740" s="21">
        <f>IF(D1740="?OLD","!!!","")</f>
        <v/>
      </c>
      <c r="F1740" s="22" t="str">
        <f>IF(OR(E1740="",E1740="!!!"),"",IF(NOT(ISNA(VLOOKUP(E1740,E$1:E1739,1,FALSE()))),"OLD",IF(AND(E1740&lt;&gt;"",E1740&lt;&gt;"!!!"),"NEW","")))</f>
        <v> </v>
      </c>
      <c r="G1740" s="23" t="str">
        <f>IF(OR(E1740="",E1740="!!!"),"",IF(OR(J1740=0,AND(J1740=1,K1740=1),AND(J1740=1,I1740="SBJ"),AND(J1740=1,I1740=0)),"?IN_FOCUS",IF(J1740&lt;=2,"?ACTIVATED",IF(J1740&lt;&gt;"","?FAMILIAR",IF(F1740="NEW",IF(ISNA(VLOOKUP(E1740,#REF!,1,FALSE())),"?TYPE_IDENTIFIABLE","?REFERENTIAL"),"_")))))</f>
        <v> </v>
      </c>
      <c r="H1740" s="24" t="str">
        <f>IF(J1740&lt;&gt;1,"",IF(I1740="SBJ","CB","?"))</f>
        <v> </v>
      </c>
      <c r="I1740" s="25" t="str">
        <f>IF(OR(E1740="",E1740="!!!",F1740="NEW"),"",INDEX(B1739:B$2,-1+SUMPRODUCT(MAX(ROW(E1739:E$2)*(E1740=E1739:E$2)))))</f>
        <v> </v>
      </c>
      <c r="J1740" s="25" t="str">
        <f>IF(OR(E1740="",E1740="!!!",F1740="NEW"),"",COUNTBLANK(OFFSET(A$1,,,SUMPRODUCT(MAX(ROW(E$2:E1740)*(E1740=E$2:E1740)))))-COUNTBLANK(OFFSET(A$1,,,SUMPRODUCT(MAX(ROW(E$1:E1739)*(E2=E$1:E1739))))))</f>
        <v> </v>
      </c>
      <c r="K1740" s="25" t="str">
        <f>IF(OR(E1740="",E1740="!!!",F1740="NEW"),"",INDEX(J$1:J1739,SUMPRODUCT(MAX(ROW(E$1:E1739)*(E1740=E$1:E1739)))))</f>
        <v> </v>
      </c>
      <c r="L1740" s="26"/>
    </row>
    <row r="1741" spans="1:12">
      <c r="A1741" s="20" t="s">
        <v>1123</v>
      </c>
      <c r="E1741" s="21">
        <f>IF(D1741="?OLD","!!!","")</f>
        <v/>
      </c>
      <c r="F1741" s="22" t="str">
        <f>IF(OR(E1741="",E1741="!!!"),"",IF(NOT(ISNA(VLOOKUP(E1741,E$1:E1740,1,FALSE()))),"OLD",IF(AND(E1741&lt;&gt;"",E1741&lt;&gt;"!!!"),"NEW","")))</f>
        <v> </v>
      </c>
      <c r="G1741" s="23" t="str">
        <f>IF(OR(E1741="",E1741="!!!"),"",IF(OR(J1741=0,AND(J1741=1,K1741=1),AND(J1741=1,I1741="SBJ"),AND(J1741=1,I1741=0)),"?IN_FOCUS",IF(J1741&lt;=2,"?ACTIVATED",IF(J1741&lt;&gt;"","?FAMILIAR",IF(F1741="NEW",IF(ISNA(VLOOKUP(E1741,#REF!,1,FALSE())),"?TYPE_IDENTIFIABLE","?REFERENTIAL"),"_")))))</f>
        <v> </v>
      </c>
      <c r="H1741" s="24" t="str">
        <f>IF(J1741&lt;&gt;1,"",IF(I1741="SBJ","CB","?"))</f>
        <v> </v>
      </c>
      <c r="I1741" s="25" t="str">
        <f>IF(OR(E1741="",E1741="!!!",F1741="NEW"),"",INDEX(B1740:B$2,-1+SUMPRODUCT(MAX(ROW(E1740:E$2)*(E1741=E1740:E$2)))))</f>
        <v> </v>
      </c>
      <c r="J1741" s="25" t="str">
        <f>IF(OR(E1741="",E1741="!!!",F1741="NEW"),"",COUNTBLANK(OFFSET(A$1,,,SUMPRODUCT(MAX(ROW(E$2:E1741)*(E1741=E$2:E1741)))))-COUNTBLANK(OFFSET(A$1,,,SUMPRODUCT(MAX(ROW(E$1:E1740)*(E2=E$1:E1740))))))</f>
        <v> </v>
      </c>
      <c r="K1741" s="25" t="str">
        <f>IF(OR(E1741="",E1741="!!!",F1741="NEW"),"",INDEX(J$1:J1740,SUMPRODUCT(MAX(ROW(E$1:E1740)*(E1741=E$1:E1740)))))</f>
        <v> </v>
      </c>
      <c r="L1741" s="26"/>
    </row>
    <row r="1742" spans="1:12">
      <c r="A1742" s="20" t="s">
        <v>2004</v>
      </c>
      <c r="E1742" s="21">
        <f>IF(D1742="?OLD","!!!","")</f>
        <v/>
      </c>
      <c r="F1742" s="22" t="str">
        <f>IF(OR(E1742="",E1742="!!!"),"",IF(NOT(ISNA(VLOOKUP(E1742,E$1:E1741,1,FALSE()))),"OLD",IF(AND(E1742&lt;&gt;"",E1742&lt;&gt;"!!!"),"NEW","")))</f>
        <v> </v>
      </c>
      <c r="G1742" s="23" t="str">
        <f>IF(OR(E1742="",E1742="!!!"),"",IF(OR(J1742=0,AND(J1742=1,K1742=1),AND(J1742=1,I1742="SBJ"),AND(J1742=1,I1742=0)),"?IN_FOCUS",IF(J1742&lt;=2,"?ACTIVATED",IF(J1742&lt;&gt;"","?FAMILIAR",IF(F1742="NEW",IF(ISNA(VLOOKUP(E1742,#REF!,1,FALSE())),"?TYPE_IDENTIFIABLE","?REFERENTIAL"),"_")))))</f>
        <v> </v>
      </c>
      <c r="H1742" s="24" t="str">
        <f>IF(J1742&lt;&gt;1,"",IF(I1742="SBJ","CB","?"))</f>
        <v> </v>
      </c>
      <c r="I1742" s="25" t="str">
        <f>IF(OR(E1742="",E1742="!!!",F1742="NEW"),"",INDEX(B1741:B$2,-1+SUMPRODUCT(MAX(ROW(E1741:E$2)*(E1742=E1741:E$2)))))</f>
        <v> </v>
      </c>
      <c r="J1742" s="25" t="str">
        <f>IF(OR(E1742="",E1742="!!!",F1742="NEW"),"",COUNTBLANK(OFFSET(A$1,,,SUMPRODUCT(MAX(ROW(E$2:E1742)*(E1742=E$2:E1742)))))-COUNTBLANK(OFFSET(A$1,,,SUMPRODUCT(MAX(ROW(E$1:E1741)*(E2=E$1:E1741))))))</f>
        <v> </v>
      </c>
      <c r="K1742" s="25" t="str">
        <f>IF(OR(E1742="",E1742="!!!",F1742="NEW"),"",INDEX(J$1:J1741,SUMPRODUCT(MAX(ROW(E$1:E1741)*(E1742=E$1:E1741)))))</f>
        <v> </v>
      </c>
      <c r="L1742" s="26"/>
    </row>
    <row r="1743" spans="1:12">
      <c r="A1743" s="20" t="s">
        <v>1239</v>
      </c>
      <c r="E1743" s="21">
        <f>IF(D1743="?OLD","!!!","")</f>
        <v/>
      </c>
      <c r="F1743" s="22" t="str">
        <f>IF(OR(E1743="",E1743="!!!"),"",IF(NOT(ISNA(VLOOKUP(E1743,E$1:E1742,1,FALSE()))),"OLD",IF(AND(E1743&lt;&gt;"",E1743&lt;&gt;"!!!"),"NEW","")))</f>
        <v> </v>
      </c>
      <c r="G1743" s="23" t="str">
        <f>IF(OR(E1743="",E1743="!!!"),"",IF(OR(J1743=0,AND(J1743=1,K1743=1),AND(J1743=1,I1743="SBJ"),AND(J1743=1,I1743=0)),"?IN_FOCUS",IF(J1743&lt;=2,"?ACTIVATED",IF(J1743&lt;&gt;"","?FAMILIAR",IF(F1743="NEW",IF(ISNA(VLOOKUP(E1743,#REF!,1,FALSE())),"?TYPE_IDENTIFIABLE","?REFERENTIAL"),"_")))))</f>
        <v> </v>
      </c>
      <c r="H1743" s="24" t="str">
        <f>IF(J1743&lt;&gt;1,"",IF(I1743="SBJ","CB","?"))</f>
        <v> </v>
      </c>
      <c r="I1743" s="25" t="str">
        <f>IF(OR(E1743="",E1743="!!!",F1743="NEW"),"",INDEX(B1742:B$2,-1+SUMPRODUCT(MAX(ROW(E1742:E$2)*(E1743=E1742:E$2)))))</f>
        <v> </v>
      </c>
      <c r="J1743" s="25" t="str">
        <f>IF(OR(E1743="",E1743="!!!",F1743="NEW"),"",COUNTBLANK(OFFSET(A$1,,,SUMPRODUCT(MAX(ROW(E$2:E1743)*(E1743=E$2:E1743)))))-COUNTBLANK(OFFSET(A$1,,,SUMPRODUCT(MAX(ROW(E$1:E1742)*(E2=E$1:E1742))))))</f>
        <v> </v>
      </c>
      <c r="K1743" s="25" t="str">
        <f>IF(OR(E1743="",E1743="!!!",F1743="NEW"),"",INDEX(J$1:J1742,SUMPRODUCT(MAX(ROW(E$1:E1742)*(E1743=E$1:E1742)))))</f>
        <v> </v>
      </c>
      <c r="L1743" s="26"/>
    </row>
    <row r="1744" spans="1:12">
      <c r="A1744" s="20" t="s">
        <v>2005</v>
      </c>
      <c r="E1744" s="21">
        <f>IF(D1744="?OLD","!!!","")</f>
        <v/>
      </c>
      <c r="F1744" s="22" t="str">
        <f>IF(OR(E1744="",E1744="!!!"),"",IF(NOT(ISNA(VLOOKUP(E1744,E$1:E1743,1,FALSE()))),"OLD",IF(AND(E1744&lt;&gt;"",E1744&lt;&gt;"!!!"),"NEW","")))</f>
        <v> </v>
      </c>
      <c r="G1744" s="23" t="str">
        <f>IF(OR(E1744="",E1744="!!!"),"",IF(OR(J1744=0,AND(J1744=1,K1744=1),AND(J1744=1,I1744="SBJ"),AND(J1744=1,I1744=0)),"?IN_FOCUS",IF(J1744&lt;=2,"?ACTIVATED",IF(J1744&lt;&gt;"","?FAMILIAR",IF(F1744="NEW",IF(ISNA(VLOOKUP(E1744,#REF!,1,FALSE())),"?TYPE_IDENTIFIABLE","?REFERENTIAL"),"_")))))</f>
        <v> </v>
      </c>
      <c r="H1744" s="24" t="str">
        <f>IF(J1744&lt;&gt;1,"",IF(I1744="SBJ","CB","?"))</f>
        <v> </v>
      </c>
      <c r="I1744" s="25" t="str">
        <f>IF(OR(E1744="",E1744="!!!",F1744="NEW"),"",INDEX(B1743:B$2,-1+SUMPRODUCT(MAX(ROW(E1743:E$2)*(E1744=E1743:E$2)))))</f>
        <v> </v>
      </c>
      <c r="J1744" s="25" t="str">
        <f>IF(OR(E1744="",E1744="!!!",F1744="NEW"),"",COUNTBLANK(OFFSET(A$1,,,SUMPRODUCT(MAX(ROW(E$2:E1744)*(E1744=E$2:E1744)))))-COUNTBLANK(OFFSET(A$1,,,SUMPRODUCT(MAX(ROW(E$1:E1743)*(E2=E$1:E1743))))))</f>
        <v> </v>
      </c>
      <c r="K1744" s="25" t="str">
        <f>IF(OR(E1744="",E1744="!!!",F1744="NEW"),"",INDEX(J$1:J1743,SUMPRODUCT(MAX(ROW(E$1:E1743)*(E1744=E$1:E1743)))))</f>
        <v> </v>
      </c>
      <c r="L1744" s="26"/>
    </row>
    <row r="1745" spans="1:12">
      <c r="A1745" s="20" t="s">
        <v>1145</v>
      </c>
      <c r="E1745" s="21">
        <f>IF(D1745="?OLD","!!!","")</f>
        <v/>
      </c>
      <c r="F1745" s="22" t="str">
        <f>IF(OR(E1745="",E1745="!!!"),"",IF(NOT(ISNA(VLOOKUP(E1745,E$1:E1744,1,FALSE()))),"OLD",IF(AND(E1745&lt;&gt;"",E1745&lt;&gt;"!!!"),"NEW","")))</f>
        <v> </v>
      </c>
      <c r="G1745" s="23" t="str">
        <f>IF(OR(E1745="",E1745="!!!"),"",IF(OR(J1745=0,AND(J1745=1,K1745=1),AND(J1745=1,I1745="SBJ"),AND(J1745=1,I1745=0)),"?IN_FOCUS",IF(J1745&lt;=2,"?ACTIVATED",IF(J1745&lt;&gt;"","?FAMILIAR",IF(F1745="NEW",IF(ISNA(VLOOKUP(E1745,#REF!,1,FALSE())),"?TYPE_IDENTIFIABLE","?REFERENTIAL"),"_")))))</f>
        <v> </v>
      </c>
      <c r="H1745" s="24" t="str">
        <f>IF(J1745&lt;&gt;1,"",IF(I1745="SBJ","CB","?"))</f>
        <v> </v>
      </c>
      <c r="I1745" s="25" t="str">
        <f>IF(OR(E1745="",E1745="!!!",F1745="NEW"),"",INDEX(B1744:B$2,-1+SUMPRODUCT(MAX(ROW(E1744:E$2)*(E1745=E1744:E$2)))))</f>
        <v> </v>
      </c>
      <c r="J1745" s="25" t="str">
        <f>IF(OR(E1745="",E1745="!!!",F1745="NEW"),"",COUNTBLANK(OFFSET(A$1,,,SUMPRODUCT(MAX(ROW(E$2:E1745)*(E1745=E$2:E1745)))))-COUNTBLANK(OFFSET(A$1,,,SUMPRODUCT(MAX(ROW(E$1:E1744)*(E2=E$1:E1744))))))</f>
        <v> </v>
      </c>
      <c r="K1745" s="25" t="str">
        <f>IF(OR(E1745="",E1745="!!!",F1745="NEW"),"",INDEX(J$1:J1744,SUMPRODUCT(MAX(ROW(E$1:E1744)*(E1745=E$1:E1744)))))</f>
        <v> </v>
      </c>
      <c r="L1745" s="26"/>
    </row>
    <row r="1746" spans="1:12">
      <c r="A1746" s="20"/>
    </row>
    <row r="1747" spans="1:12">
      <c r="A1747" s="20" t="s">
        <v>2006</v>
      </c>
    </row>
    <row r="1748" spans="1:12">
      <c r="A1748" s="20" t="s">
        <v>1547</v>
      </c>
      <c r="E1748" s="21">
        <f>IF(D1748="?OLD","!!!","")</f>
        <v/>
      </c>
      <c r="F1748" s="22" t="str">
        <f>IF(OR(E1748="",E1748="!!!"),"",IF(NOT(ISNA(VLOOKUP(E1748,E$1:E1747,1,FALSE()))),"OLD",IF(AND(E1748&lt;&gt;"",E1748&lt;&gt;"!!!"),"NEW","")))</f>
        <v> </v>
      </c>
      <c r="G1748" s="23" t="str">
        <f>IF(OR(E1748="",E1748="!!!"),"",IF(OR(J1748=0,AND(J1748=1,K1748=1),AND(J1748=1,I1748="SBJ"),AND(J1748=1,I1748=0)),"?IN_FOCUS",IF(J1748&lt;=2,"?ACTIVATED",IF(J1748&lt;&gt;"","?FAMILIAR",IF(F1748="NEW",IF(ISNA(VLOOKUP(E1748,#REF!,1,FALSE())),"?TYPE_IDENTIFIABLE","?REFERENTIAL"),"_")))))</f>
        <v> </v>
      </c>
      <c r="H1748" s="24" t="str">
        <f>IF(J1748&lt;&gt;1,"",IF(I1748="SBJ","CB","?"))</f>
        <v> </v>
      </c>
      <c r="I1748" s="25" t="str">
        <f>IF(OR(E1748="",E1748="!!!",F1748="NEW"),"",INDEX(B1747:B$2,-1+SUMPRODUCT(MAX(ROW(E1747:E$2)*(E1748=E1747:E$2)))))</f>
        <v> </v>
      </c>
      <c r="J1748" s="25" t="str">
        <f>IF(OR(E1748="",E1748="!!!",F1748="NEW"),"",COUNTBLANK(OFFSET(A$1,,,SUMPRODUCT(MAX(ROW(E$2:E1748)*(E1748=E$2:E1748)))))-COUNTBLANK(OFFSET(A$1,,,SUMPRODUCT(MAX(ROW(E$1:E1747)*(E2=E$1:E1747))))))</f>
        <v> </v>
      </c>
      <c r="K1748" s="25" t="str">
        <f>IF(OR(E1748="",E1748="!!!",F1748="NEW"),"",INDEX(J$1:J1747,SUMPRODUCT(MAX(ROW(E$1:E1747)*(E1748=E$1:E1747)))))</f>
        <v> </v>
      </c>
      <c r="L1748" s="26"/>
    </row>
    <row r="1749" spans="1:12">
      <c r="A1749" s="20" t="s">
        <v>2007</v>
      </c>
      <c r="E1749" s="21">
        <f>IF(D1749="?OLD","!!!","")</f>
        <v/>
      </c>
      <c r="F1749" s="22" t="str">
        <f>IF(OR(E1749="",E1749="!!!"),"",IF(NOT(ISNA(VLOOKUP(E1749,E$1:E1748,1,FALSE()))),"OLD",IF(AND(E1749&lt;&gt;"",E1749&lt;&gt;"!!!"),"NEW","")))</f>
        <v> </v>
      </c>
      <c r="G1749" s="23" t="str">
        <f>IF(OR(E1749="",E1749="!!!"),"",IF(OR(J1749=0,AND(J1749=1,K1749=1),AND(J1749=1,I1749="SBJ"),AND(J1749=1,I1749=0)),"?IN_FOCUS",IF(J1749&lt;=2,"?ACTIVATED",IF(J1749&lt;&gt;"","?FAMILIAR",IF(F1749="NEW",IF(ISNA(VLOOKUP(E1749,#REF!,1,FALSE())),"?TYPE_IDENTIFIABLE","?REFERENTIAL"),"_")))))</f>
        <v> </v>
      </c>
      <c r="H1749" s="24" t="str">
        <f>IF(J1749&lt;&gt;1,"",IF(I1749="SBJ","CB","?"))</f>
        <v> </v>
      </c>
      <c r="I1749" s="25" t="str">
        <f>IF(OR(E1749="",E1749="!!!",F1749="NEW"),"",INDEX(B1748:B$2,-1+SUMPRODUCT(MAX(ROW(E1748:E$2)*(E1749=E1748:E$2)))))</f>
        <v> </v>
      </c>
      <c r="J1749" s="25" t="str">
        <f>IF(OR(E1749="",E1749="!!!",F1749="NEW"),"",COUNTBLANK(OFFSET(A$1,,,SUMPRODUCT(MAX(ROW(E$2:E1749)*(E1749=E$2:E1749)))))-COUNTBLANK(OFFSET(A$1,,,SUMPRODUCT(MAX(ROW(E$1:E1748)*(E2=E$1:E1748))))))</f>
        <v> </v>
      </c>
      <c r="K1749" s="25" t="str">
        <f>IF(OR(E1749="",E1749="!!!",F1749="NEW"),"",INDEX(J$1:J1748,SUMPRODUCT(MAX(ROW(E$1:E1748)*(E1749=E$1:E1748)))))</f>
        <v> </v>
      </c>
      <c r="L1749" s="26"/>
    </row>
    <row r="1750" spans="1:12">
      <c r="A1750" s="20" t="s">
        <v>2008</v>
      </c>
      <c r="B1750" s="27" t="s">
        <v>1122</v>
      </c>
      <c r="C1750" s="27" t="s">
        <v>1116</v>
      </c>
      <c r="E1750" s="21">
        <f>IF(D1750="?OLD","!!!","")</f>
        <v/>
      </c>
      <c r="F1750" s="22" t="str">
        <f>IF(OR(E1750="",E1750="!!!"),"",IF(NOT(ISNA(VLOOKUP(E1750,E$1:E1749,1,FALSE()))),"OLD",IF(AND(E1750&lt;&gt;"",E1750&lt;&gt;"!!!"),"NEW","")))</f>
        <v> </v>
      </c>
      <c r="G1750" s="23" t="str">
        <f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> </v>
      </c>
      <c r="H1750" s="24" t="str">
        <f>IF(J1750&lt;&gt;1,"",IF(I1750="SBJ","CB","?"))</f>
        <v> </v>
      </c>
      <c r="I1750" s="25" t="str">
        <f>IF(OR(E1750="",E1750="!!!",F1750="NEW"),"",INDEX(B1749:B$2,-1+SUMPRODUCT(MAX(ROW(E1749:E$2)*(E1750=E1749:E$2)))))</f>
        <v> </v>
      </c>
      <c r="J1750" s="25" t="str">
        <f>IF(OR(E1750="",E1750="!!!",F1750="NEW"),"",COUNTBLANK(OFFSET(A$1,,,SUMPRODUCT(MAX(ROW(E$2:E1750)*(E1750=E$2:E1750)))))-COUNTBLANK(OFFSET(A$1,,,SUMPRODUCT(MAX(ROW(E$1:E1749)*(E2=E$1:E1749))))))</f>
        <v> </v>
      </c>
      <c r="K1750" s="25" t="str">
        <f>IF(OR(E1750="",E1750="!!!",F1750="NEW"),"",INDEX(J$1:J1749,SUMPRODUCT(MAX(ROW(E$1:E1749)*(E1750=E$1:E1749)))))</f>
        <v> </v>
      </c>
      <c r="L1750" s="26"/>
    </row>
    <row r="1751" spans="1:12">
      <c r="A1751" s="20" t="s">
        <v>2009</v>
      </c>
      <c r="E1751" s="21">
        <f>IF(D1751="?OLD","!!!","")</f>
        <v/>
      </c>
      <c r="F1751" s="22" t="str">
        <f>IF(OR(E1751="",E1751="!!!"),"",IF(NOT(ISNA(VLOOKUP(E1751,E$1:E1750,1,FALSE()))),"OLD",IF(AND(E1751&lt;&gt;"",E1751&lt;&gt;"!!!"),"NEW","")))</f>
        <v> </v>
      </c>
      <c r="G1751" s="23" t="str">
        <f>IF(OR(E1751="",E1751="!!!"),"",IF(OR(J1751=0,AND(J1751=1,K1751=1),AND(J1751=1,I1751="SBJ"),AND(J1751=1,I1751=0)),"?IN_FOCUS",IF(J1751&lt;=2,"?ACTIVATED",IF(J1751&lt;&gt;"","?FAMILIAR",IF(F1751="NEW",IF(ISNA(VLOOKUP(E1751,#REF!,1,FALSE())),"?TYPE_IDENTIFIABLE","?REFERENTIAL"),"_")))))</f>
        <v> </v>
      </c>
      <c r="H1751" s="24" t="str">
        <f>IF(J1751&lt;&gt;1,"",IF(I1751="SBJ","CB","?"))</f>
        <v> </v>
      </c>
      <c r="I1751" s="25" t="str">
        <f>IF(OR(E1751="",E1751="!!!",F1751="NEW"),"",INDEX(B1750:B$2,-1+SUMPRODUCT(MAX(ROW(E1750:E$2)*(E1751=E1750:E$2)))))</f>
        <v> </v>
      </c>
      <c r="J1751" s="25" t="str">
        <f>IF(OR(E1751="",E1751="!!!",F1751="NEW"),"",COUNTBLANK(OFFSET(A$1,,,SUMPRODUCT(MAX(ROW(E$2:E1751)*(E1751=E$2:E1751)))))-COUNTBLANK(OFFSET(A$1,,,SUMPRODUCT(MAX(ROW(E$1:E1750)*(E2=E$1:E1750))))))</f>
        <v> </v>
      </c>
      <c r="K1751" s="25" t="str">
        <f>IF(OR(E1751="",E1751="!!!",F1751="NEW"),"",INDEX(J$1:J1750,SUMPRODUCT(MAX(ROW(E$1:E1750)*(E1751=E$1:E1750)))))</f>
        <v> </v>
      </c>
      <c r="L1751" s="26"/>
    </row>
    <row r="1752" spans="1:12">
      <c r="A1752" s="20" t="s">
        <v>2010</v>
      </c>
      <c r="B1752" s="27" t="s">
        <v>1149</v>
      </c>
      <c r="C1752" s="27" t="s">
        <v>1758</v>
      </c>
      <c r="E1752" s="21">
        <f>IF(D1752="?OLD","!!!","")</f>
        <v/>
      </c>
      <c r="F1752" s="22" t="str">
        <f>IF(OR(E1752="",E1752="!!!"),"",IF(NOT(ISNA(VLOOKUP(E1752,E$1:E1751,1,FALSE()))),"OLD",IF(AND(E1752&lt;&gt;"",E1752&lt;&gt;"!!!"),"NEW","")))</f>
        <v> </v>
      </c>
      <c r="G1752" s="23" t="str">
        <f>IF(OR(E1752="",E1752="!!!"),"",IF(OR(J1752=0,AND(J1752=1,K1752=1),AND(J1752=1,I1752="SBJ"),AND(J1752=1,I1752=0)),"?IN_FOCUS",IF(J1752&lt;=2,"?ACTIVATED",IF(J1752&lt;&gt;"","?FAMILIAR",IF(F1752="NEW",IF(ISNA(VLOOKUP(E1752,#REF!,1,FALSE())),"?TYPE_IDENTIFIABLE","?REFERENTIAL"),"_")))))</f>
        <v> </v>
      </c>
      <c r="H1752" s="24" t="str">
        <f>IF(J1752&lt;&gt;1,"",IF(I1752="SBJ","CB","?"))</f>
        <v> </v>
      </c>
      <c r="I1752" s="25" t="str">
        <f>IF(OR(E1752="",E1752="!!!",F1752="NEW"),"",INDEX(B1751:B$2,-1+SUMPRODUCT(MAX(ROW(E1751:E$2)*(E1752=E1751:E$2)))))</f>
        <v> </v>
      </c>
      <c r="J1752" s="25" t="str">
        <f>IF(OR(E1752="",E1752="!!!",F1752="NEW"),"",COUNTBLANK(OFFSET(A$1,,,SUMPRODUCT(MAX(ROW(E$2:E1752)*(E1752=E$2:E1752)))))-COUNTBLANK(OFFSET(A$1,,,SUMPRODUCT(MAX(ROW(E$1:E1751)*(E2=E$1:E1751))))))</f>
        <v> </v>
      </c>
      <c r="K1752" s="25" t="str">
        <f>IF(OR(E1752="",E1752="!!!",F1752="NEW"),"",INDEX(J$1:J1751,SUMPRODUCT(MAX(ROW(E$1:E1751)*(E1752=E$1:E1751)))))</f>
        <v> </v>
      </c>
      <c r="L1752" s="26"/>
    </row>
    <row r="1753" spans="1:12">
      <c r="A1753" s="20" t="s">
        <v>1101</v>
      </c>
      <c r="E1753" s="21">
        <f>IF(D1753="?OLD","!!!","")</f>
        <v/>
      </c>
      <c r="F1753" s="22" t="str">
        <f>IF(OR(E1753="",E1753="!!!"),"",IF(NOT(ISNA(VLOOKUP(E1753,E$1:E1752,1,FALSE()))),"OLD",IF(AND(E1753&lt;&gt;"",E1753&lt;&gt;"!!!"),"NEW","")))</f>
        <v> </v>
      </c>
      <c r="G1753" s="23" t="str">
        <f>IF(OR(E1753="",E1753="!!!"),"",IF(OR(J1753=0,AND(J1753=1,K1753=1),AND(J1753=1,I1753="SBJ"),AND(J1753=1,I1753=0)),"?IN_FOCUS",IF(J1753&lt;=2,"?ACTIVATED",IF(J1753&lt;&gt;"","?FAMILIAR",IF(F1753="NEW",IF(ISNA(VLOOKUP(E1753,#REF!,1,FALSE())),"?TYPE_IDENTIFIABLE","?REFERENTIAL"),"_")))))</f>
        <v> </v>
      </c>
      <c r="H1753" s="24" t="str">
        <f>IF(J1753&lt;&gt;1,"",IF(I1753="SBJ","CB","?"))</f>
        <v> </v>
      </c>
      <c r="I1753" s="25" t="str">
        <f>IF(OR(E1753="",E1753="!!!",F1753="NEW"),"",INDEX(B1752:B$2,-1+SUMPRODUCT(MAX(ROW(E1752:E$2)*(E1753=E1752:E$2)))))</f>
        <v> </v>
      </c>
      <c r="J1753" s="25" t="str">
        <f>IF(OR(E1753="",E1753="!!!",F1753="NEW"),"",COUNTBLANK(OFFSET(A$1,,,SUMPRODUCT(MAX(ROW(E$2:E1753)*(E1753=E$2:E1753)))))-COUNTBLANK(OFFSET(A$1,,,SUMPRODUCT(MAX(ROW(E$1:E1752)*(E2=E$1:E1752))))))</f>
        <v> </v>
      </c>
      <c r="K1753" s="25" t="str">
        <f>IF(OR(E1753="",E1753="!!!",F1753="NEW"),"",INDEX(J$1:J1752,SUMPRODUCT(MAX(ROW(E$1:E1752)*(E1753=E$1:E1752)))))</f>
        <v> </v>
      </c>
      <c r="L1753" s="26"/>
    </row>
    <row r="1754" spans="1:12">
      <c r="A1754" s="20" t="s">
        <v>1270</v>
      </c>
      <c r="B1754" s="27" t="s">
        <v>1107</v>
      </c>
      <c r="C1754" s="27" t="s">
        <v>1126</v>
      </c>
      <c r="D1754" s="27" t="s">
        <v>1105</v>
      </c>
      <c r="E1754" s="21">
        <f>IF(D1754="?OLD","!!!","")</f>
        <v/>
      </c>
      <c r="F1754" s="22" t="str">
        <f>IF(OR(E1754="",E1754="!!!"),"",IF(NOT(ISNA(VLOOKUP(E1754,E$1:E1753,1,FALSE()))),"OLD",IF(AND(E1754&lt;&gt;"",E1754&lt;&gt;"!!!"),"NEW","")))</f>
        <v> </v>
      </c>
      <c r="G1754" s="23" t="str">
        <f>IF(OR(E1754="",E1754="!!!"),"",IF(OR(J1754=0,AND(J1754=1,K1754=1),AND(J1754=1,I1754="SBJ"),AND(J1754=1,I1754=0)),"?IN_FOCUS",IF(J1754&lt;=2,"?ACTIVATED",IF(J1754&lt;&gt;"","?FAMILIAR",IF(F1754="NEW",IF(ISNA(VLOOKUP(E1754,#REF!,1,FALSE())),"?TYPE_IDENTIFIABLE","?REFERENTIAL"),"_")))))</f>
        <v> </v>
      </c>
      <c r="H1754" s="24" t="str">
        <f>IF(J1754&lt;&gt;1,"",IF(I1754="SBJ","CB","?"))</f>
        <v> </v>
      </c>
      <c r="I1754" s="25" t="str">
        <f>IF(OR(E1754="",E1754="!!!",F1754="NEW"),"",INDEX(B1753:B$2,-1+SUMPRODUCT(MAX(ROW(E1753:E$2)*(E1754=E1753:E$2)))))</f>
        <v> </v>
      </c>
      <c r="J1754" s="25" t="str">
        <f>IF(OR(E1754="",E1754="!!!",F1754="NEW"),"",COUNTBLANK(OFFSET(A$1,,,SUMPRODUCT(MAX(ROW(E$2:E1754)*(E1754=E$2:E1754)))))-COUNTBLANK(OFFSET(A$1,,,SUMPRODUCT(MAX(ROW(E$1:E1753)*(E2=E$1:E1753))))))</f>
        <v> </v>
      </c>
      <c r="K1754" s="25" t="str">
        <f>IF(OR(E1754="",E1754="!!!",F1754="NEW"),"",INDEX(J$1:J1753,SUMPRODUCT(MAX(ROW(E$1:E1753)*(E1754=E$1:E1753)))))</f>
        <v> </v>
      </c>
      <c r="L1754" s="26"/>
    </row>
    <row r="1755" spans="1:12">
      <c r="A1755" s="20" t="s">
        <v>1123</v>
      </c>
      <c r="E1755" s="21">
        <f>IF(D1755="?OLD","!!!","")</f>
        <v/>
      </c>
      <c r="F1755" s="22" t="str">
        <f>IF(OR(E1755="",E1755="!!!"),"",IF(NOT(ISNA(VLOOKUP(E1755,E$1:E1754,1,FALSE()))),"OLD",IF(AND(E1755&lt;&gt;"",E1755&lt;&gt;"!!!"),"NEW","")))</f>
        <v> </v>
      </c>
      <c r="G1755" s="23" t="str">
        <f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> </v>
      </c>
      <c r="H1755" s="24" t="str">
        <f>IF(J1755&lt;&gt;1,"",IF(I1755="SBJ","CB","?"))</f>
        <v> </v>
      </c>
      <c r="I1755" s="25" t="str">
        <f>IF(OR(E1755="",E1755="!!!",F1755="NEW"),"",INDEX(B1754:B$2,-1+SUMPRODUCT(MAX(ROW(E1754:E$2)*(E1755=E1754:E$2)))))</f>
        <v> </v>
      </c>
      <c r="J1755" s="25" t="str">
        <f>IF(OR(E1755="",E1755="!!!",F1755="NEW"),"",COUNTBLANK(OFFSET(A$1,,,SUMPRODUCT(MAX(ROW(E$2:E1755)*(E1755=E$2:E1755)))))-COUNTBLANK(OFFSET(A$1,,,SUMPRODUCT(MAX(ROW(E$1:E1754)*(E2=E$1:E1754))))))</f>
        <v> </v>
      </c>
      <c r="K1755" s="25" t="str">
        <f>IF(OR(E1755="",E1755="!!!",F1755="NEW"),"",INDEX(J$1:J1754,SUMPRODUCT(MAX(ROW(E$1:E1754)*(E1755=E$1:E1754)))))</f>
        <v> </v>
      </c>
      <c r="L1755" s="26"/>
    </row>
    <row r="1756" spans="1:12">
      <c r="A1756" s="20" t="s">
        <v>2011</v>
      </c>
      <c r="E1756" s="21">
        <f>IF(D1756="?OLD","!!!","")</f>
        <v/>
      </c>
      <c r="F1756" s="22" t="str">
        <f>IF(OR(E1756="",E1756="!!!"),"",IF(NOT(ISNA(VLOOKUP(E1756,E$1:E1755,1,FALSE()))),"OLD",IF(AND(E1756&lt;&gt;"",E1756&lt;&gt;"!!!"),"NEW","")))</f>
        <v> </v>
      </c>
      <c r="G1756" s="23" t="str">
        <f>IF(OR(E1756="",E1756="!!!"),"",IF(OR(J1756=0,AND(J1756=1,K1756=1),AND(J1756=1,I1756="SBJ"),AND(J1756=1,I1756=0)),"?IN_FOCUS",IF(J1756&lt;=2,"?ACTIVATED",IF(J1756&lt;&gt;"","?FAMILIAR",IF(F1756="NEW",IF(ISNA(VLOOKUP(E1756,#REF!,1,FALSE())),"?TYPE_IDENTIFIABLE","?REFERENTIAL"),"_")))))</f>
        <v> </v>
      </c>
      <c r="H1756" s="24" t="str">
        <f>IF(J1756&lt;&gt;1,"",IF(I1756="SBJ","CB","?"))</f>
        <v> </v>
      </c>
      <c r="I1756" s="25" t="str">
        <f>IF(OR(E1756="",E1756="!!!",F1756="NEW"),"",INDEX(B1755:B$2,-1+SUMPRODUCT(MAX(ROW(E1755:E$2)*(E1756=E1755:E$2)))))</f>
        <v> </v>
      </c>
      <c r="J1756" s="25" t="str">
        <f>IF(OR(E1756="",E1756="!!!",F1756="NEW"),"",COUNTBLANK(OFFSET(A$1,,,SUMPRODUCT(MAX(ROW(E$2:E1756)*(E1756=E$2:E1756)))))-COUNTBLANK(OFFSET(A$1,,,SUMPRODUCT(MAX(ROW(E$1:E1755)*(E2=E$1:E1755))))))</f>
        <v> </v>
      </c>
      <c r="K1756" s="25" t="str">
        <f>IF(OR(E1756="",E1756="!!!",F1756="NEW"),"",INDEX(J$1:J1755,SUMPRODUCT(MAX(ROW(E$1:E1755)*(E1756=E$1:E1755)))))</f>
        <v> </v>
      </c>
      <c r="L1756" s="26"/>
    </row>
    <row r="1757" spans="1:12">
      <c r="A1757" s="20" t="s">
        <v>1123</v>
      </c>
      <c r="E1757" s="21">
        <f>IF(D1757="?OLD","!!!","")</f>
        <v/>
      </c>
      <c r="F1757" s="22" t="str">
        <f>IF(OR(E1757="",E1757="!!!"),"",IF(NOT(ISNA(VLOOKUP(E1757,E$1:E1756,1,FALSE()))),"OLD",IF(AND(E1757&lt;&gt;"",E1757&lt;&gt;"!!!"),"NEW","")))</f>
        <v> </v>
      </c>
      <c r="G1757" s="23" t="str">
        <f>IF(OR(E1757="",E1757="!!!"),"",IF(OR(J1757=0,AND(J1757=1,K1757=1),AND(J1757=1,I1757="SBJ"),AND(J1757=1,I1757=0)),"?IN_FOCUS",IF(J1757&lt;=2,"?ACTIVATED",IF(J1757&lt;&gt;"","?FAMILIAR",IF(F1757="NEW",IF(ISNA(VLOOKUP(E1757,#REF!,1,FALSE())),"?TYPE_IDENTIFIABLE","?REFERENTIAL"),"_")))))</f>
        <v> </v>
      </c>
      <c r="H1757" s="24" t="str">
        <f>IF(J1757&lt;&gt;1,"",IF(I1757="SBJ","CB","?"))</f>
        <v> </v>
      </c>
      <c r="I1757" s="25" t="str">
        <f>IF(OR(E1757="",E1757="!!!",F1757="NEW"),"",INDEX(B1756:B$2,-1+SUMPRODUCT(MAX(ROW(E1756:E$2)*(E1757=E1756:E$2)))))</f>
        <v> </v>
      </c>
      <c r="J1757" s="25" t="str">
        <f>IF(OR(E1757="",E1757="!!!",F1757="NEW"),"",COUNTBLANK(OFFSET(A$1,,,SUMPRODUCT(MAX(ROW(E$2:E1757)*(E1757=E$2:E1757)))))-COUNTBLANK(OFFSET(A$1,,,SUMPRODUCT(MAX(ROW(E$1:E1756)*(E2=E$1:E1756))))))</f>
        <v> </v>
      </c>
      <c r="K1757" s="25" t="str">
        <f>IF(OR(E1757="",E1757="!!!",F1757="NEW"),"",INDEX(J$1:J1756,SUMPRODUCT(MAX(ROW(E$1:E1756)*(E1757=E$1:E1756)))))</f>
        <v> </v>
      </c>
      <c r="L1757" s="26"/>
    </row>
    <row r="1758" spans="1:12">
      <c r="A1758" s="20" t="s">
        <v>1134</v>
      </c>
      <c r="E1758" s="21">
        <f>IF(D1758="?OLD","!!!","")</f>
        <v/>
      </c>
      <c r="F1758" s="22" t="str">
        <f>IF(OR(E1758="",E1758="!!!"),"",IF(NOT(ISNA(VLOOKUP(E1758,E$1:E1757,1,FALSE()))),"OLD",IF(AND(E1758&lt;&gt;"",E1758&lt;&gt;"!!!"),"NEW","")))</f>
        <v> </v>
      </c>
      <c r="G1758" s="23" t="str">
        <f>IF(OR(E1758="",E1758="!!!"),"",IF(OR(J1758=0,AND(J1758=1,K1758=1),AND(J1758=1,I1758="SBJ"),AND(J1758=1,I1758=0)),"?IN_FOCUS",IF(J1758&lt;=2,"?ACTIVATED",IF(J1758&lt;&gt;"","?FAMILIAR",IF(F1758="NEW",IF(ISNA(VLOOKUP(E1758,#REF!,1,FALSE())),"?TYPE_IDENTIFIABLE","?REFERENTIAL"),"_")))))</f>
        <v> </v>
      </c>
      <c r="H1758" s="24" t="str">
        <f>IF(J1758&lt;&gt;1,"",IF(I1758="SBJ","CB","?"))</f>
        <v> </v>
      </c>
      <c r="I1758" s="25" t="str">
        <f>IF(OR(E1758="",E1758="!!!",F1758="NEW"),"",INDEX(B1757:B$2,-1+SUMPRODUCT(MAX(ROW(E1757:E$2)*(E1758=E1757:E$2)))))</f>
        <v> </v>
      </c>
      <c r="J1758" s="25" t="str">
        <f>IF(OR(E1758="",E1758="!!!",F1758="NEW"),"",COUNTBLANK(OFFSET(A$1,,,SUMPRODUCT(MAX(ROW(E$2:E1758)*(E1758=E$2:E1758)))))-COUNTBLANK(OFFSET(A$1,,,SUMPRODUCT(MAX(ROW(E$1:E1757)*(E2=E$1:E1757))))))</f>
        <v> </v>
      </c>
      <c r="K1758" s="25" t="str">
        <f>IF(OR(E1758="",E1758="!!!",F1758="NEW"),"",INDEX(J$1:J1757,SUMPRODUCT(MAX(ROW(E$1:E1757)*(E1758=E$1:E1757)))))</f>
        <v> </v>
      </c>
      <c r="L1758" s="26"/>
    </row>
    <row r="1759" spans="1:12">
      <c r="A1759" s="20" t="s">
        <v>2012</v>
      </c>
      <c r="E1759" s="21">
        <f>IF(D1759="?OLD","!!!","")</f>
        <v/>
      </c>
      <c r="F1759" s="22" t="str">
        <f>IF(OR(E1759="",E1759="!!!"),"",IF(NOT(ISNA(VLOOKUP(E1759,E$1:E1758,1,FALSE()))),"OLD",IF(AND(E1759&lt;&gt;"",E1759&lt;&gt;"!!!"),"NEW","")))</f>
        <v> </v>
      </c>
      <c r="G1759" s="23" t="str">
        <f>IF(OR(E1759="",E1759="!!!"),"",IF(OR(J1759=0,AND(J1759=1,K1759=1),AND(J1759=1,I1759="SBJ"),AND(J1759=1,I1759=0)),"?IN_FOCUS",IF(J1759&lt;=2,"?ACTIVATED",IF(J1759&lt;&gt;"","?FAMILIAR",IF(F1759="NEW",IF(ISNA(VLOOKUP(E1759,#REF!,1,FALSE())),"?TYPE_IDENTIFIABLE","?REFERENTIAL"),"_")))))</f>
        <v> </v>
      </c>
      <c r="H1759" s="24" t="str">
        <f>IF(J1759&lt;&gt;1,"",IF(I1759="SBJ","CB","?"))</f>
        <v> </v>
      </c>
      <c r="I1759" s="25" t="str">
        <f>IF(OR(E1759="",E1759="!!!",F1759="NEW"),"",INDEX(B1758:B$2,-1+SUMPRODUCT(MAX(ROW(E1758:E$2)*(E1759=E1758:E$2)))))</f>
        <v> </v>
      </c>
      <c r="J1759" s="25" t="str">
        <f>IF(OR(E1759="",E1759="!!!",F1759="NEW"),"",COUNTBLANK(OFFSET(A$1,,,SUMPRODUCT(MAX(ROW(E$2:E1759)*(E1759=E$2:E1759)))))-COUNTBLANK(OFFSET(A$1,,,SUMPRODUCT(MAX(ROW(E$1:E1758)*(E2=E$1:E1758))))))</f>
        <v> </v>
      </c>
      <c r="K1759" s="25" t="str">
        <f>IF(OR(E1759="",E1759="!!!",F1759="NEW"),"",INDEX(J$1:J1758,SUMPRODUCT(MAX(ROW(E$1:E1758)*(E1759=E$1:E1758)))))</f>
        <v> </v>
      </c>
      <c r="L1759" s="26"/>
    </row>
    <row r="1760" spans="1:12">
      <c r="A1760" s="20" t="s">
        <v>1145</v>
      </c>
      <c r="E1760" s="21">
        <f>IF(D1760="?OLD","!!!","")</f>
        <v/>
      </c>
      <c r="F1760" s="22" t="str">
        <f>IF(OR(E1760="",E1760="!!!"),"",IF(NOT(ISNA(VLOOKUP(E1760,E$1:E1759,1,FALSE()))),"OLD",IF(AND(E1760&lt;&gt;"",E1760&lt;&gt;"!!!"),"NEW","")))</f>
        <v> </v>
      </c>
      <c r="G1760" s="23" t="str">
        <f>IF(OR(E1760="",E1760="!!!"),"",IF(OR(J1760=0,AND(J1760=1,K1760=1),AND(J1760=1,I1760="SBJ"),AND(J1760=1,I1760=0)),"?IN_FOCUS",IF(J1760&lt;=2,"?ACTIVATED",IF(J1760&lt;&gt;"","?FAMILIAR",IF(F1760="NEW",IF(ISNA(VLOOKUP(E1760,#REF!,1,FALSE())),"?TYPE_IDENTIFIABLE","?REFERENTIAL"),"_")))))</f>
        <v> </v>
      </c>
      <c r="H1760" s="24" t="str">
        <f>IF(J1760&lt;&gt;1,"",IF(I1760="SBJ","CB","?"))</f>
        <v> </v>
      </c>
      <c r="I1760" s="25" t="str">
        <f>IF(OR(E1760="",E1760="!!!",F1760="NEW"),"",INDEX(B1759:B$2,-1+SUMPRODUCT(MAX(ROW(E1759:E$2)*(E1760=E1759:E$2)))))</f>
        <v> </v>
      </c>
      <c r="J1760" s="25" t="str">
        <f>IF(OR(E1760="",E1760="!!!",F1760="NEW"),"",COUNTBLANK(OFFSET(A$1,,,SUMPRODUCT(MAX(ROW(E$2:E1760)*(E1760=E$2:E1760)))))-COUNTBLANK(OFFSET(A$1,,,SUMPRODUCT(MAX(ROW(E$1:E1759)*(E2=E$1:E1759))))))</f>
        <v> </v>
      </c>
      <c r="K1760" s="25" t="str">
        <f>IF(OR(E1760="",E1760="!!!",F1760="NEW"),"",INDEX(J$1:J1759,SUMPRODUCT(MAX(ROW(E$1:E1759)*(E1760=E$1:E1759)))))</f>
        <v> </v>
      </c>
      <c r="L1760" s="26"/>
    </row>
    <row r="1761" spans="1:12">
      <c r="A1761" s="20"/>
    </row>
    <row r="1762" spans="1:12">
      <c r="A1762" s="20" t="s">
        <v>2013</v>
      </c>
    </row>
    <row r="1763" spans="1:12">
      <c r="A1763" s="20" t="s">
        <v>2014</v>
      </c>
      <c r="E1763" s="21">
        <f>IF(D1763="?OLD","!!!","")</f>
        <v/>
      </c>
      <c r="F1763" s="22" t="str">
        <f>IF(OR(E1763="",E1763="!!!"),"",IF(NOT(ISNA(VLOOKUP(E1763,E$1:E1762,1,FALSE()))),"OLD",IF(AND(E1763&lt;&gt;"",E1763&lt;&gt;"!!!"),"NEW","")))</f>
        <v> </v>
      </c>
      <c r="G1763" s="23" t="str">
        <f>IF(OR(E1763="",E1763="!!!"),"",IF(OR(J1763=0,AND(J1763=1,K1763=1),AND(J1763=1,I1763="SBJ"),AND(J1763=1,I1763=0)),"?IN_FOCUS",IF(J1763&lt;=2,"?ACTIVATED",IF(J1763&lt;&gt;"","?FAMILIAR",IF(F1763="NEW",IF(ISNA(VLOOKUP(E1763,#REF!,1,FALSE())),"?TYPE_IDENTIFIABLE","?REFERENTIAL"),"_")))))</f>
        <v> </v>
      </c>
      <c r="H1763" s="24" t="str">
        <f>IF(J1763&lt;&gt;1,"",IF(I1763="SBJ","CB","?"))</f>
        <v> </v>
      </c>
      <c r="I1763" s="25" t="str">
        <f>IF(OR(E1763="",E1763="!!!",F1763="NEW"),"",INDEX(B1762:B$2,-1+SUMPRODUCT(MAX(ROW(E1762:E$2)*(E1763=E1762:E$2)))))</f>
        <v> </v>
      </c>
      <c r="J1763" s="25" t="str">
        <f>IF(OR(E1763="",E1763="!!!",F1763="NEW"),"",COUNTBLANK(OFFSET(A$1,,,SUMPRODUCT(MAX(ROW(E$2:E1763)*(E1763=E$2:E1763)))))-COUNTBLANK(OFFSET(A$1,,,SUMPRODUCT(MAX(ROW(E$1:E1762)*(E2=E$1:E1762))))))</f>
        <v> </v>
      </c>
      <c r="K1763" s="25" t="str">
        <f>IF(OR(E1763="",E1763="!!!",F1763="NEW"),"",INDEX(J$1:J1762,SUMPRODUCT(MAX(ROW(E$1:E1762)*(E1763=E$1:E1762)))))</f>
        <v> </v>
      </c>
      <c r="L1763" s="26"/>
    </row>
    <row r="1764" spans="1:12">
      <c r="A1764" s="20" t="s">
        <v>1494</v>
      </c>
      <c r="B1764" s="27" t="s">
        <v>1107</v>
      </c>
      <c r="C1764" s="27" t="s">
        <v>1142</v>
      </c>
      <c r="D1764" s="27" t="s">
        <v>1105</v>
      </c>
      <c r="E1764" s="21">
        <f>IF(D1764="?OLD","!!!","")</f>
        <v/>
      </c>
      <c r="F1764" s="22" t="str">
        <f>IF(OR(E1764="",E1764="!!!"),"",IF(NOT(ISNA(VLOOKUP(E1764,E$1:E1763,1,FALSE()))),"OLD",IF(AND(E1764&lt;&gt;"",E1764&lt;&gt;"!!!"),"NEW","")))</f>
        <v> </v>
      </c>
      <c r="G1764" s="23" t="str">
        <f>IF(OR(E1764="",E1764="!!!"),"",IF(OR(J1764=0,AND(J1764=1,K1764=1),AND(J1764=1,I1764="SBJ"),AND(J1764=1,I1764=0)),"?IN_FOCUS",IF(J1764&lt;=2,"?ACTIVATED",IF(J1764&lt;&gt;"","?FAMILIAR",IF(F1764="NEW",IF(ISNA(VLOOKUP(E1764,#REF!,1,FALSE())),"?TYPE_IDENTIFIABLE","?REFERENTIAL"),"_")))))</f>
        <v> </v>
      </c>
      <c r="H1764" s="24" t="str">
        <f>IF(J1764&lt;&gt;1,"",IF(I1764="SBJ","CB","?"))</f>
        <v> </v>
      </c>
      <c r="I1764" s="25" t="str">
        <f>IF(OR(E1764="",E1764="!!!",F1764="NEW"),"",INDEX(B1763:B$2,-1+SUMPRODUCT(MAX(ROW(E1763:E$2)*(E1764=E1763:E$2)))))</f>
        <v> </v>
      </c>
      <c r="J1764" s="25" t="str">
        <f>IF(OR(E1764="",E1764="!!!",F1764="NEW"),"",COUNTBLANK(OFFSET(A$1,,,SUMPRODUCT(MAX(ROW(E$2:E1764)*(E1764=E$2:E1764)))))-COUNTBLANK(OFFSET(A$1,,,SUMPRODUCT(MAX(ROW(E$1:E1763)*(E2=E$1:E1763))))))</f>
        <v> </v>
      </c>
      <c r="K1764" s="25" t="str">
        <f>IF(OR(E1764="",E1764="!!!",F1764="NEW"),"",INDEX(J$1:J1763,SUMPRODUCT(MAX(ROW(E$1:E1763)*(E1764=E$1:E1763)))))</f>
        <v> </v>
      </c>
      <c r="L1764" s="26"/>
    </row>
    <row r="1765" spans="1:12">
      <c r="A1765" s="20" t="s">
        <v>2015</v>
      </c>
      <c r="E1765" s="21">
        <f>IF(D1765="?OLD","!!!","")</f>
        <v/>
      </c>
      <c r="F1765" s="22" t="str">
        <f>IF(OR(E1765="",E1765="!!!"),"",IF(NOT(ISNA(VLOOKUP(E1765,E$1:E1764,1,FALSE()))),"OLD",IF(AND(E1765&lt;&gt;"",E1765&lt;&gt;"!!!"),"NEW","")))</f>
        <v> </v>
      </c>
      <c r="G1765" s="23" t="str">
        <f>IF(OR(E1765="",E1765="!!!"),"",IF(OR(J1765=0,AND(J1765=1,K1765=1),AND(J1765=1,I1765="SBJ"),AND(J1765=1,I1765=0)),"?IN_FOCUS",IF(J1765&lt;=2,"?ACTIVATED",IF(J1765&lt;&gt;"","?FAMILIAR",IF(F1765="NEW",IF(ISNA(VLOOKUP(E1765,#REF!,1,FALSE())),"?TYPE_IDENTIFIABLE","?REFERENTIAL"),"_")))))</f>
        <v> </v>
      </c>
      <c r="H1765" s="24" t="str">
        <f>IF(J1765&lt;&gt;1,"",IF(I1765="SBJ","CB","?"))</f>
        <v> </v>
      </c>
      <c r="I1765" s="25" t="str">
        <f>IF(OR(E1765="",E1765="!!!",F1765="NEW"),"",INDEX(B1764:B$2,-1+SUMPRODUCT(MAX(ROW(E1764:E$2)*(E1765=E1764:E$2)))))</f>
        <v> </v>
      </c>
      <c r="J1765" s="25" t="str">
        <f>IF(OR(E1765="",E1765="!!!",F1765="NEW"),"",COUNTBLANK(OFFSET(A$1,,,SUMPRODUCT(MAX(ROW(E$2:E1765)*(E1765=E$2:E1765)))))-COUNTBLANK(OFFSET(A$1,,,SUMPRODUCT(MAX(ROW(E$1:E1764)*(E2=E$1:E1764))))))</f>
        <v> </v>
      </c>
      <c r="K1765" s="25" t="str">
        <f>IF(OR(E1765="",E1765="!!!",F1765="NEW"),"",INDEX(J$1:J1764,SUMPRODUCT(MAX(ROW(E$1:E1764)*(E1765=E$1:E1764)))))</f>
        <v> </v>
      </c>
      <c r="L1765" s="26"/>
    </row>
    <row r="1766" spans="1:12">
      <c r="A1766" s="20" t="s">
        <v>2016</v>
      </c>
      <c r="E1766" s="21">
        <f>IF(D1766="?OLD","!!!","")</f>
        <v/>
      </c>
      <c r="F1766" s="22" t="str">
        <f>IF(OR(E1766="",E1766="!!!"),"",IF(NOT(ISNA(VLOOKUP(E1766,E$1:E1765,1,FALSE()))),"OLD",IF(AND(E1766&lt;&gt;"",E1766&lt;&gt;"!!!"),"NEW","")))</f>
        <v> </v>
      </c>
      <c r="G1766" s="23" t="str">
        <f>IF(OR(E1766="",E1766="!!!"),"",IF(OR(J1766=0,AND(J1766=1,K1766=1),AND(J1766=1,I1766="SBJ"),AND(J1766=1,I1766=0)),"?IN_FOCUS",IF(J1766&lt;=2,"?ACTIVATED",IF(J1766&lt;&gt;"","?FAMILIAR",IF(F1766="NEW",IF(ISNA(VLOOKUP(E1766,#REF!,1,FALSE())),"?TYPE_IDENTIFIABLE","?REFERENTIAL"),"_")))))</f>
        <v> </v>
      </c>
      <c r="H1766" s="24" t="str">
        <f>IF(J1766&lt;&gt;1,"",IF(I1766="SBJ","CB","?"))</f>
        <v> </v>
      </c>
      <c r="I1766" s="25" t="str">
        <f>IF(OR(E1766="",E1766="!!!",F1766="NEW"),"",INDEX(B1765:B$2,-1+SUMPRODUCT(MAX(ROW(E1765:E$2)*(E1766=E1765:E$2)))))</f>
        <v> </v>
      </c>
      <c r="J1766" s="25" t="str">
        <f>IF(OR(E1766="",E1766="!!!",F1766="NEW"),"",COUNTBLANK(OFFSET(A$1,,,SUMPRODUCT(MAX(ROW(E$2:E1766)*(E1766=E$2:E1766)))))-COUNTBLANK(OFFSET(A$1,,,SUMPRODUCT(MAX(ROW(E$1:E1765)*(E2=E$1:E1765))))))</f>
        <v> </v>
      </c>
      <c r="K1766" s="25" t="str">
        <f>IF(OR(E1766="",E1766="!!!",F1766="NEW"),"",INDEX(J$1:J1765,SUMPRODUCT(MAX(ROW(E$1:E1765)*(E1766=E$1:E1765)))))</f>
        <v> </v>
      </c>
      <c r="L1766" s="26"/>
    </row>
    <row r="1767" spans="1:12">
      <c r="A1767" s="20" t="s">
        <v>2017</v>
      </c>
      <c r="E1767" s="21">
        <f>IF(D1767="?OLD","!!!","")</f>
        <v/>
      </c>
      <c r="F1767" s="22" t="str">
        <f>IF(OR(E1767="",E1767="!!!"),"",IF(NOT(ISNA(VLOOKUP(E1767,E$1:E1766,1,FALSE()))),"OLD",IF(AND(E1767&lt;&gt;"",E1767&lt;&gt;"!!!"),"NEW","")))</f>
        <v> </v>
      </c>
      <c r="G1767" s="23" t="str">
        <f>IF(OR(E1767="",E1767="!!!"),"",IF(OR(J1767=0,AND(J1767=1,K1767=1),AND(J1767=1,I1767="SBJ"),AND(J1767=1,I1767=0)),"?IN_FOCUS",IF(J1767&lt;=2,"?ACTIVATED",IF(J1767&lt;&gt;"","?FAMILIAR",IF(F1767="NEW",IF(ISNA(VLOOKUP(E1767,#REF!,1,FALSE())),"?TYPE_IDENTIFIABLE","?REFERENTIAL"),"_")))))</f>
        <v> </v>
      </c>
      <c r="H1767" s="24" t="str">
        <f>IF(J1767&lt;&gt;1,"",IF(I1767="SBJ","CB","?"))</f>
        <v> </v>
      </c>
      <c r="I1767" s="25" t="str">
        <f>IF(OR(E1767="",E1767="!!!",F1767="NEW"),"",INDEX(B1766:B$2,-1+SUMPRODUCT(MAX(ROW(E1766:E$2)*(E1767=E1766:E$2)))))</f>
        <v> </v>
      </c>
      <c r="J1767" s="25" t="str">
        <f>IF(OR(E1767="",E1767="!!!",F1767="NEW"),"",COUNTBLANK(OFFSET(A$1,,,SUMPRODUCT(MAX(ROW(E$2:E1767)*(E1767=E$2:E1767)))))-COUNTBLANK(OFFSET(A$1,,,SUMPRODUCT(MAX(ROW(E$1:E1766)*(E2=E$1:E1766))))))</f>
        <v> </v>
      </c>
      <c r="K1767" s="25" t="str">
        <f>IF(OR(E1767="",E1767="!!!",F1767="NEW"),"",INDEX(J$1:J1766,SUMPRODUCT(MAX(ROW(E$1:E1766)*(E1767=E$1:E1766)))))</f>
        <v> </v>
      </c>
      <c r="L1767" s="26"/>
    </row>
    <row r="1768" spans="1:12">
      <c r="A1768" s="20" t="s">
        <v>2018</v>
      </c>
      <c r="B1768" s="27" t="s">
        <v>1149</v>
      </c>
      <c r="E1768" s="21">
        <f>IF(D1768="?OLD","!!!","")</f>
        <v/>
      </c>
      <c r="F1768" s="22" t="str">
        <f>IF(OR(E1768="",E1768="!!!"),"",IF(NOT(ISNA(VLOOKUP(E1768,E$1:E1767,1,FALSE()))),"OLD",IF(AND(E1768&lt;&gt;"",E1768&lt;&gt;"!!!"),"NEW","")))</f>
        <v> </v>
      </c>
      <c r="G1768" s="23" t="str">
        <f>IF(OR(E1768="",E1768="!!!"),"",IF(OR(J1768=0,AND(J1768=1,K1768=1),AND(J1768=1,I1768="SBJ"),AND(J1768=1,I1768=0)),"?IN_FOCUS",IF(J1768&lt;=2,"?ACTIVATED",IF(J1768&lt;&gt;"","?FAMILIAR",IF(F1768="NEW",IF(ISNA(VLOOKUP(E1768,#REF!,1,FALSE())),"?TYPE_IDENTIFIABLE","?REFERENTIAL"),"_")))))</f>
        <v> </v>
      </c>
      <c r="H1768" s="24" t="str">
        <f>IF(J1768&lt;&gt;1,"",IF(I1768="SBJ","CB","?"))</f>
        <v> </v>
      </c>
      <c r="I1768" s="25" t="str">
        <f>IF(OR(E1768="",E1768="!!!",F1768="NEW"),"",INDEX(B1767:B$2,-1+SUMPRODUCT(MAX(ROW(E1767:E$2)*(E1768=E1767:E$2)))))</f>
        <v> </v>
      </c>
      <c r="J1768" s="25" t="str">
        <f>IF(OR(E1768="",E1768="!!!",F1768="NEW"),"",COUNTBLANK(OFFSET(A$1,,,SUMPRODUCT(MAX(ROW(E$2:E1768)*(E1768=E$2:E1768)))))-COUNTBLANK(OFFSET(A$1,,,SUMPRODUCT(MAX(ROW(E$1:E1767)*(E2=E$1:E1767))))))</f>
        <v> </v>
      </c>
      <c r="K1768" s="25" t="str">
        <f>IF(OR(E1768="",E1768="!!!",F1768="NEW"),"",INDEX(J$1:J1767,SUMPRODUCT(MAX(ROW(E$1:E1767)*(E1768=E$1:E1767)))))</f>
        <v> </v>
      </c>
      <c r="L1768" s="26"/>
    </row>
    <row r="1769" spans="1:12">
      <c r="A1769" s="20" t="s">
        <v>1123</v>
      </c>
      <c r="E1769" s="21">
        <f>IF(D1769="?OLD","!!!","")</f>
        <v/>
      </c>
      <c r="F1769" s="22" t="str">
        <f>IF(OR(E1769="",E1769="!!!"),"",IF(NOT(ISNA(VLOOKUP(E1769,E$1:E1768,1,FALSE()))),"OLD",IF(AND(E1769&lt;&gt;"",E1769&lt;&gt;"!!!"),"NEW","")))</f>
        <v> </v>
      </c>
      <c r="G1769" s="23" t="str">
        <f>IF(OR(E1769="",E1769="!!!"),"",IF(OR(J1769=0,AND(J1769=1,K1769=1),AND(J1769=1,I1769="SBJ"),AND(J1769=1,I1769=0)),"?IN_FOCUS",IF(J1769&lt;=2,"?ACTIVATED",IF(J1769&lt;&gt;"","?FAMILIAR",IF(F1769="NEW",IF(ISNA(VLOOKUP(E1769,#REF!,1,FALSE())),"?TYPE_IDENTIFIABLE","?REFERENTIAL"),"_")))))</f>
        <v> </v>
      </c>
      <c r="H1769" s="24" t="str">
        <f>IF(J1769&lt;&gt;1,"",IF(I1769="SBJ","CB","?"))</f>
        <v> </v>
      </c>
      <c r="I1769" s="25" t="str">
        <f>IF(OR(E1769="",E1769="!!!",F1769="NEW"),"",INDEX(B1768:B$2,-1+SUMPRODUCT(MAX(ROW(E1768:E$2)*(E1769=E1768:E$2)))))</f>
        <v> </v>
      </c>
      <c r="J1769" s="25" t="str">
        <f>IF(OR(E1769="",E1769="!!!",F1769="NEW"),"",COUNTBLANK(OFFSET(A$1,,,SUMPRODUCT(MAX(ROW(E$2:E1769)*(E1769=E$2:E1769)))))-COUNTBLANK(OFFSET(A$1,,,SUMPRODUCT(MAX(ROW(E$1:E1768)*(E2=E$1:E1768))))))</f>
        <v> </v>
      </c>
      <c r="K1769" s="25" t="str">
        <f>IF(OR(E1769="",E1769="!!!",F1769="NEW"),"",INDEX(J$1:J1768,SUMPRODUCT(MAX(ROW(E$1:E1768)*(E1769=E$1:E1768)))))</f>
        <v> </v>
      </c>
      <c r="L1769" s="26"/>
    </row>
    <row r="1770" spans="1:12">
      <c r="A1770" s="20" t="s">
        <v>2019</v>
      </c>
      <c r="B1770" s="27" t="s">
        <v>1122</v>
      </c>
      <c r="E1770" s="21">
        <f>IF(D1770="?OLD","!!!","")</f>
        <v/>
      </c>
      <c r="F1770" s="22" t="str">
        <f>IF(OR(E1770="",E1770="!!!"),"",IF(NOT(ISNA(VLOOKUP(E1770,E$1:E1769,1,FALSE()))),"OLD",IF(AND(E1770&lt;&gt;"",E1770&lt;&gt;"!!!"),"NEW","")))</f>
        <v> </v>
      </c>
      <c r="G1770" s="23" t="str">
        <f>IF(OR(E1770="",E1770="!!!"),"",IF(OR(J1770=0,AND(J1770=1,K1770=1),AND(J1770=1,I1770="SBJ"),AND(J1770=1,I1770=0)),"?IN_FOCUS",IF(J1770&lt;=2,"?ACTIVATED",IF(J1770&lt;&gt;"","?FAMILIAR",IF(F1770="NEW",IF(ISNA(VLOOKUP(E1770,#REF!,1,FALSE())),"?TYPE_IDENTIFIABLE","?REFERENTIAL"),"_")))))</f>
        <v> </v>
      </c>
      <c r="H1770" s="24" t="str">
        <f>IF(J1770&lt;&gt;1,"",IF(I1770="SBJ","CB","?"))</f>
        <v> </v>
      </c>
      <c r="I1770" s="25" t="str">
        <f>IF(OR(E1770="",E1770="!!!",F1770="NEW"),"",INDEX(B1769:B$2,-1+SUMPRODUCT(MAX(ROW(E1769:E$2)*(E1770=E1769:E$2)))))</f>
        <v> </v>
      </c>
      <c r="J1770" s="25" t="str">
        <f>IF(OR(E1770="",E1770="!!!",F1770="NEW"),"",COUNTBLANK(OFFSET(A$1,,,SUMPRODUCT(MAX(ROW(E$2:E1770)*(E1770=E$2:E1770)))))-COUNTBLANK(OFFSET(A$1,,,SUMPRODUCT(MAX(ROW(E$1:E1769)*(E2=E$1:E1769))))))</f>
        <v> </v>
      </c>
      <c r="K1770" s="25" t="str">
        <f>IF(OR(E1770="",E1770="!!!",F1770="NEW"),"",INDEX(J$1:J1769,SUMPRODUCT(MAX(ROW(E$1:E1769)*(E1770=E$1:E1769)))))</f>
        <v> </v>
      </c>
      <c r="L1770" s="26"/>
    </row>
    <row r="1771" spans="1:12">
      <c r="A1771" s="20" t="s">
        <v>2020</v>
      </c>
      <c r="E1771" s="21">
        <f>IF(D1771="?OLD","!!!","")</f>
        <v/>
      </c>
      <c r="F1771" s="22" t="str">
        <f>IF(OR(E1771="",E1771="!!!"),"",IF(NOT(ISNA(VLOOKUP(E1771,E$1:E1770,1,FALSE()))),"OLD",IF(AND(E1771&lt;&gt;"",E1771&lt;&gt;"!!!"),"NEW","")))</f>
        <v> </v>
      </c>
      <c r="G1771" s="23" t="str">
        <f>IF(OR(E1771="",E1771="!!!"),"",IF(OR(J1771=0,AND(J1771=1,K1771=1),AND(J1771=1,I1771="SBJ"),AND(J1771=1,I1771=0)),"?IN_FOCUS",IF(J1771&lt;=2,"?ACTIVATED",IF(J1771&lt;&gt;"","?FAMILIAR",IF(F1771="NEW",IF(ISNA(VLOOKUP(E1771,#REF!,1,FALSE())),"?TYPE_IDENTIFIABLE","?REFERENTIAL"),"_")))))</f>
        <v> </v>
      </c>
      <c r="H1771" s="24" t="str">
        <f>IF(J1771&lt;&gt;1,"",IF(I1771="SBJ","CB","?"))</f>
        <v> </v>
      </c>
      <c r="I1771" s="25" t="str">
        <f>IF(OR(E1771="",E1771="!!!",F1771="NEW"),"",INDEX(B1770:B$2,-1+SUMPRODUCT(MAX(ROW(E1770:E$2)*(E1771=E1770:E$2)))))</f>
        <v> </v>
      </c>
      <c r="J1771" s="25" t="str">
        <f>IF(OR(E1771="",E1771="!!!",F1771="NEW"),"",COUNTBLANK(OFFSET(A$1,,,SUMPRODUCT(MAX(ROW(E$2:E1771)*(E1771=E$2:E1771)))))-COUNTBLANK(OFFSET(A$1,,,SUMPRODUCT(MAX(ROW(E$1:E1770)*(E2=E$1:E1770))))))</f>
        <v> </v>
      </c>
      <c r="K1771" s="25" t="str">
        <f>IF(OR(E1771="",E1771="!!!",F1771="NEW"),"",INDEX(J$1:J1770,SUMPRODUCT(MAX(ROW(E$1:E1770)*(E1771=E$1:E1770)))))</f>
        <v> </v>
      </c>
      <c r="L1771" s="26"/>
    </row>
    <row r="1772" spans="1:12">
      <c r="A1772" s="20" t="s">
        <v>2021</v>
      </c>
      <c r="B1772" s="27" t="s">
        <v>1243</v>
      </c>
      <c r="E1772" s="21">
        <f>IF(D1772="?OLD","!!!","")</f>
        <v/>
      </c>
      <c r="F1772" s="22" t="str">
        <f>IF(OR(E1772="",E1772="!!!"),"",IF(NOT(ISNA(VLOOKUP(E1772,E$1:E1771,1,FALSE()))),"OLD",IF(AND(E1772&lt;&gt;"",E1772&lt;&gt;"!!!"),"NEW","")))</f>
        <v> </v>
      </c>
      <c r="G1772" s="23" t="str">
        <f>IF(OR(E1772="",E1772="!!!"),"",IF(OR(J1772=0,AND(J1772=1,K1772=1),AND(J1772=1,I1772="SBJ"),AND(J1772=1,I1772=0)),"?IN_FOCUS",IF(J1772&lt;=2,"?ACTIVATED",IF(J1772&lt;&gt;"","?FAMILIAR",IF(F1772="NEW",IF(ISNA(VLOOKUP(E1772,#REF!,1,FALSE())),"?TYPE_IDENTIFIABLE","?REFERENTIAL"),"_")))))</f>
        <v> </v>
      </c>
      <c r="H1772" s="24" t="str">
        <f>IF(J1772&lt;&gt;1,"",IF(I1772="SBJ","CB","?"))</f>
        <v> </v>
      </c>
      <c r="I1772" s="25" t="str">
        <f>IF(OR(E1772="",E1772="!!!",F1772="NEW"),"",INDEX(B1771:B$2,-1+SUMPRODUCT(MAX(ROW(E1771:E$2)*(E1772=E1771:E$2)))))</f>
        <v> </v>
      </c>
      <c r="J1772" s="25" t="str">
        <f>IF(OR(E1772="",E1772="!!!",F1772="NEW"),"",COUNTBLANK(OFFSET(A$1,,,SUMPRODUCT(MAX(ROW(E$2:E1772)*(E1772=E$2:E1772)))))-COUNTBLANK(OFFSET(A$1,,,SUMPRODUCT(MAX(ROW(E$1:E1771)*(E2=E$1:E1771))))))</f>
        <v> </v>
      </c>
      <c r="K1772" s="25" t="str">
        <f>IF(OR(E1772="",E1772="!!!",F1772="NEW"),"",INDEX(J$1:J1771,SUMPRODUCT(MAX(ROW(E$1:E1771)*(E1772=E$1:E1771)))))</f>
        <v> </v>
      </c>
      <c r="L1772" s="26"/>
    </row>
    <row r="1773" spans="1:12">
      <c r="A1773" s="20" t="s">
        <v>1123</v>
      </c>
      <c r="E1773" s="21">
        <f>IF(D1773="?OLD","!!!","")</f>
        <v/>
      </c>
      <c r="F1773" s="22" t="str">
        <f>IF(OR(E1773="",E1773="!!!"),"",IF(NOT(ISNA(VLOOKUP(E1773,E$1:E1772,1,FALSE()))),"OLD",IF(AND(E1773&lt;&gt;"",E1773&lt;&gt;"!!!"),"NEW","")))</f>
        <v> </v>
      </c>
      <c r="G1773" s="23" t="str">
        <f>IF(OR(E1773="",E1773="!!!"),"",IF(OR(J1773=0,AND(J1773=1,K1773=1),AND(J1773=1,I1773="SBJ"),AND(J1773=1,I1773=0)),"?IN_FOCUS",IF(J1773&lt;=2,"?ACTIVATED",IF(J1773&lt;&gt;"","?FAMILIAR",IF(F1773="NEW",IF(ISNA(VLOOKUP(E1773,#REF!,1,FALSE())),"?TYPE_IDENTIFIABLE","?REFERENTIAL"),"_")))))</f>
        <v> </v>
      </c>
      <c r="H1773" s="24" t="str">
        <f>IF(J1773&lt;&gt;1,"",IF(I1773="SBJ","CB","?"))</f>
        <v> </v>
      </c>
      <c r="I1773" s="25" t="str">
        <f>IF(OR(E1773="",E1773="!!!",F1773="NEW"),"",INDEX(B1772:B$2,-1+SUMPRODUCT(MAX(ROW(E1772:E$2)*(E1773=E1772:E$2)))))</f>
        <v> </v>
      </c>
      <c r="J1773" s="25" t="str">
        <f>IF(OR(E1773="",E1773="!!!",F1773="NEW"),"",COUNTBLANK(OFFSET(A$1,,,SUMPRODUCT(MAX(ROW(E$2:E1773)*(E1773=E$2:E1773)))))-COUNTBLANK(OFFSET(A$1,,,SUMPRODUCT(MAX(ROW(E$1:E1772)*(E2=E$1:E1772))))))</f>
        <v> </v>
      </c>
      <c r="K1773" s="25" t="str">
        <f>IF(OR(E1773="",E1773="!!!",F1773="NEW"),"",INDEX(J$1:J1772,SUMPRODUCT(MAX(ROW(E$1:E1772)*(E1773=E$1:E1772)))))</f>
        <v> </v>
      </c>
      <c r="L1773" s="26"/>
    </row>
    <row r="1774" spans="1:12">
      <c r="A1774" s="20" t="s">
        <v>1253</v>
      </c>
      <c r="E1774" s="21">
        <f>IF(D1774="?OLD","!!!","")</f>
        <v/>
      </c>
      <c r="F1774" s="22" t="str">
        <f>IF(OR(E1774="",E1774="!!!"),"",IF(NOT(ISNA(VLOOKUP(E1774,E$1:E1773,1,FALSE()))),"OLD",IF(AND(E1774&lt;&gt;"",E1774&lt;&gt;"!!!"),"NEW","")))</f>
        <v> </v>
      </c>
      <c r="G1774" s="23" t="str">
        <f>IF(OR(E1774="",E1774="!!!"),"",IF(OR(J1774=0,AND(J1774=1,K1774=1),AND(J1774=1,I1774="SBJ"),AND(J1774=1,I1774=0)),"?IN_FOCUS",IF(J1774&lt;=2,"?ACTIVATED",IF(J1774&lt;&gt;"","?FAMILIAR",IF(F1774="NEW",IF(ISNA(VLOOKUP(E1774,#REF!,1,FALSE())),"?TYPE_IDENTIFIABLE","?REFERENTIAL"),"_")))))</f>
        <v> </v>
      </c>
      <c r="H1774" s="24" t="str">
        <f>IF(J1774&lt;&gt;1,"",IF(I1774="SBJ","CB","?"))</f>
        <v> </v>
      </c>
      <c r="I1774" s="25" t="str">
        <f>IF(OR(E1774="",E1774="!!!",F1774="NEW"),"",INDEX(B1773:B$2,-1+SUMPRODUCT(MAX(ROW(E1773:E$2)*(E1774=E1773:E$2)))))</f>
        <v> </v>
      </c>
      <c r="J1774" s="25" t="str">
        <f>IF(OR(E1774="",E1774="!!!",F1774="NEW"),"",COUNTBLANK(OFFSET(A$1,,,SUMPRODUCT(MAX(ROW(E$2:E1774)*(E1774=E$2:E1774)))))-COUNTBLANK(OFFSET(A$1,,,SUMPRODUCT(MAX(ROW(E$1:E1773)*(E2=E$1:E1773))))))</f>
        <v> </v>
      </c>
      <c r="K1774" s="25" t="str">
        <f>IF(OR(E1774="",E1774="!!!",F1774="NEW"),"",INDEX(J$1:J1773,SUMPRODUCT(MAX(ROW(E$1:E1773)*(E1774=E$1:E1773)))))</f>
        <v> </v>
      </c>
      <c r="L1774" s="26"/>
    </row>
    <row r="1775" spans="1:12">
      <c r="A1775" s="20" t="s">
        <v>2022</v>
      </c>
      <c r="E1775" s="21">
        <f>IF(D1775="?OLD","!!!","")</f>
        <v/>
      </c>
      <c r="F1775" s="22" t="str">
        <f>IF(OR(E1775="",E1775="!!!"),"",IF(NOT(ISNA(VLOOKUP(E1775,E$1:E1774,1,FALSE()))),"OLD",IF(AND(E1775&lt;&gt;"",E1775&lt;&gt;"!!!"),"NEW","")))</f>
        <v> </v>
      </c>
      <c r="G1775" s="23" t="str">
        <f>IF(OR(E1775="",E1775="!!!"),"",IF(OR(J1775=0,AND(J1775=1,K1775=1),AND(J1775=1,I1775="SBJ"),AND(J1775=1,I1775=0)),"?IN_FOCUS",IF(J1775&lt;=2,"?ACTIVATED",IF(J1775&lt;&gt;"","?FAMILIAR",IF(F1775="NEW",IF(ISNA(VLOOKUP(E1775,#REF!,1,FALSE())),"?TYPE_IDENTIFIABLE","?REFERENTIAL"),"_")))))</f>
        <v> </v>
      </c>
      <c r="H1775" s="24" t="str">
        <f>IF(J1775&lt;&gt;1,"",IF(I1775="SBJ","CB","?"))</f>
        <v> </v>
      </c>
      <c r="I1775" s="25" t="str">
        <f>IF(OR(E1775="",E1775="!!!",F1775="NEW"),"",INDEX(B1774:B$2,-1+SUMPRODUCT(MAX(ROW(E1774:E$2)*(E1775=E1774:E$2)))))</f>
        <v> </v>
      </c>
      <c r="J1775" s="25" t="str">
        <f>IF(OR(E1775="",E1775="!!!",F1775="NEW"),"",COUNTBLANK(OFFSET(A$1,,,SUMPRODUCT(MAX(ROW(E$2:E1775)*(E1775=E$2:E1775)))))-COUNTBLANK(OFFSET(A$1,,,SUMPRODUCT(MAX(ROW(E$1:E1774)*(E2=E$1:E1774))))))</f>
        <v> </v>
      </c>
      <c r="K1775" s="25" t="str">
        <f>IF(OR(E1775="",E1775="!!!",F1775="NEW"),"",INDEX(J$1:J1774,SUMPRODUCT(MAX(ROW(E$1:E1774)*(E1775=E$1:E1774)))))</f>
        <v> </v>
      </c>
      <c r="L1775" s="26"/>
    </row>
    <row r="1776" spans="1:12">
      <c r="A1776" s="20" t="s">
        <v>1128</v>
      </c>
      <c r="E1776" s="21">
        <f>IF(D1776="?OLD","!!!","")</f>
        <v/>
      </c>
      <c r="F1776" s="22" t="str">
        <f>IF(OR(E1776="",E1776="!!!"),"",IF(NOT(ISNA(VLOOKUP(E1776,E$1:E1775,1,FALSE()))),"OLD",IF(AND(E1776&lt;&gt;"",E1776&lt;&gt;"!!!"),"NEW","")))</f>
        <v> </v>
      </c>
      <c r="G1776" s="23" t="str">
        <f>IF(OR(E1776="",E1776="!!!"),"",IF(OR(J1776=0,AND(J1776=1,K1776=1),AND(J1776=1,I1776="SBJ"),AND(J1776=1,I1776=0)),"?IN_FOCUS",IF(J1776&lt;=2,"?ACTIVATED",IF(J1776&lt;&gt;"","?FAMILIAR",IF(F1776="NEW",IF(ISNA(VLOOKUP(E1776,#REF!,1,FALSE())),"?TYPE_IDENTIFIABLE","?REFERENTIAL"),"_")))))</f>
        <v> </v>
      </c>
      <c r="H1776" s="24" t="str">
        <f>IF(J1776&lt;&gt;1,"",IF(I1776="SBJ","CB","?"))</f>
        <v> </v>
      </c>
      <c r="I1776" s="25" t="str">
        <f>IF(OR(E1776="",E1776="!!!",F1776="NEW"),"",INDEX(B1775:B$2,-1+SUMPRODUCT(MAX(ROW(E1775:E$2)*(E1776=E1775:E$2)))))</f>
        <v> </v>
      </c>
      <c r="J1776" s="25" t="str">
        <f>IF(OR(E1776="",E1776="!!!",F1776="NEW"),"",COUNTBLANK(OFFSET(A$1,,,SUMPRODUCT(MAX(ROW(E$2:E1776)*(E1776=E$2:E1776)))))-COUNTBLANK(OFFSET(A$1,,,SUMPRODUCT(MAX(ROW(E$1:E1775)*(E2=E$1:E1775))))))</f>
        <v> </v>
      </c>
      <c r="K1776" s="25" t="str">
        <f>IF(OR(E1776="",E1776="!!!",F1776="NEW"),"",INDEX(J$1:J1775,SUMPRODUCT(MAX(ROW(E$1:E1775)*(E1776=E$1:E1775)))))</f>
        <v> </v>
      </c>
      <c r="L1776" s="26"/>
    </row>
    <row r="1777" spans="1:12">
      <c r="A1777" s="20" t="s">
        <v>2023</v>
      </c>
      <c r="E1777" s="21">
        <f>IF(D1777="?OLD","!!!","")</f>
        <v/>
      </c>
      <c r="F1777" s="22" t="str">
        <f>IF(OR(E1777="",E1777="!!!"),"",IF(NOT(ISNA(VLOOKUP(E1777,E$1:E1776,1,FALSE()))),"OLD",IF(AND(E1777&lt;&gt;"",E1777&lt;&gt;"!!!"),"NEW","")))</f>
        <v> </v>
      </c>
      <c r="G1777" s="23" t="str">
        <f>IF(OR(E1777="",E1777="!!!"),"",IF(OR(J1777=0,AND(J1777=1,K1777=1),AND(J1777=1,I1777="SBJ"),AND(J1777=1,I1777=0)),"?IN_FOCUS",IF(J1777&lt;=2,"?ACTIVATED",IF(J1777&lt;&gt;"","?FAMILIAR",IF(F1777="NEW",IF(ISNA(VLOOKUP(E1777,#REF!,1,FALSE())),"?TYPE_IDENTIFIABLE","?REFERENTIAL"),"_")))))</f>
        <v> </v>
      </c>
      <c r="H1777" s="24" t="str">
        <f>IF(J1777&lt;&gt;1,"",IF(I1777="SBJ","CB","?"))</f>
        <v> </v>
      </c>
      <c r="I1777" s="25" t="str">
        <f>IF(OR(E1777="",E1777="!!!",F1777="NEW"),"",INDEX(B1776:B$2,-1+SUMPRODUCT(MAX(ROW(E1776:E$2)*(E1777=E1776:E$2)))))</f>
        <v> </v>
      </c>
      <c r="J1777" s="25" t="str">
        <f>IF(OR(E1777="",E1777="!!!",F1777="NEW"),"",COUNTBLANK(OFFSET(A$1,,,SUMPRODUCT(MAX(ROW(E$2:E1777)*(E1777=E$2:E1777)))))-COUNTBLANK(OFFSET(A$1,,,SUMPRODUCT(MAX(ROW(E$1:E1776)*(E2=E$1:E1776))))))</f>
        <v> </v>
      </c>
      <c r="K1777" s="25" t="str">
        <f>IF(OR(E1777="",E1777="!!!",F1777="NEW"),"",INDEX(J$1:J1776,SUMPRODUCT(MAX(ROW(E$1:E1776)*(E1777=E$1:E1776)))))</f>
        <v> </v>
      </c>
      <c r="L1777" s="26"/>
    </row>
    <row r="1778" spans="1:12">
      <c r="A1778" s="20" t="s">
        <v>2024</v>
      </c>
      <c r="E1778" s="21">
        <f>IF(D1778="?OLD","!!!","")</f>
        <v/>
      </c>
      <c r="F1778" s="22" t="str">
        <f>IF(OR(E1778="",E1778="!!!"),"",IF(NOT(ISNA(VLOOKUP(E1778,E$1:E1777,1,FALSE()))),"OLD",IF(AND(E1778&lt;&gt;"",E1778&lt;&gt;"!!!"),"NEW","")))</f>
        <v> </v>
      </c>
      <c r="G1778" s="23" t="str">
        <f>IF(OR(E1778="",E1778="!!!"),"",IF(OR(J1778=0,AND(J1778=1,K1778=1),AND(J1778=1,I1778="SBJ"),AND(J1778=1,I1778=0)),"?IN_FOCUS",IF(J1778&lt;=2,"?ACTIVATED",IF(J1778&lt;&gt;"","?FAMILIAR",IF(F1778="NEW",IF(ISNA(VLOOKUP(E1778,#REF!,1,FALSE())),"?TYPE_IDENTIFIABLE","?REFERENTIAL"),"_")))))</f>
        <v> </v>
      </c>
      <c r="H1778" s="24" t="str">
        <f>IF(J1778&lt;&gt;1,"",IF(I1778="SBJ","CB","?"))</f>
        <v> </v>
      </c>
      <c r="I1778" s="25" t="str">
        <f>IF(OR(E1778="",E1778="!!!",F1778="NEW"),"",INDEX(B1777:B$2,-1+SUMPRODUCT(MAX(ROW(E1777:E$2)*(E1778=E1777:E$2)))))</f>
        <v> </v>
      </c>
      <c r="J1778" s="25" t="str">
        <f>IF(OR(E1778="",E1778="!!!",F1778="NEW"),"",COUNTBLANK(OFFSET(A$1,,,SUMPRODUCT(MAX(ROW(E$2:E1778)*(E1778=E$2:E1778)))))-COUNTBLANK(OFFSET(A$1,,,SUMPRODUCT(MAX(ROW(E$1:E1777)*(E2=E$1:E1777))))))</f>
        <v> </v>
      </c>
      <c r="K1778" s="25" t="str">
        <f>IF(OR(E1778="",E1778="!!!",F1778="NEW"),"",INDEX(J$1:J1777,SUMPRODUCT(MAX(ROW(E$1:E1777)*(E1778=E$1:E1777)))))</f>
        <v> </v>
      </c>
      <c r="L1778" s="26"/>
    </row>
    <row r="1779" spans="1:12">
      <c r="A1779" s="20" t="s">
        <v>2025</v>
      </c>
      <c r="E1779" s="21">
        <f>IF(D1779="?OLD","!!!","")</f>
        <v/>
      </c>
      <c r="F1779" s="22" t="str">
        <f>IF(OR(E1779="",E1779="!!!"),"",IF(NOT(ISNA(VLOOKUP(E1779,E$1:E1778,1,FALSE()))),"OLD",IF(AND(E1779&lt;&gt;"",E1779&lt;&gt;"!!!"),"NEW","")))</f>
        <v> </v>
      </c>
      <c r="G1779" s="23" t="str">
        <f>IF(OR(E1779="",E1779="!!!"),"",IF(OR(J1779=0,AND(J1779=1,K1779=1),AND(J1779=1,I1779="SBJ"),AND(J1779=1,I1779=0)),"?IN_FOCUS",IF(J1779&lt;=2,"?ACTIVATED",IF(J1779&lt;&gt;"","?FAMILIAR",IF(F1779="NEW",IF(ISNA(VLOOKUP(E1779,#REF!,1,FALSE())),"?TYPE_IDENTIFIABLE","?REFERENTIAL"),"_")))))</f>
        <v> </v>
      </c>
      <c r="H1779" s="24" t="str">
        <f>IF(J1779&lt;&gt;1,"",IF(I1779="SBJ","CB","?"))</f>
        <v> </v>
      </c>
      <c r="I1779" s="25" t="str">
        <f>IF(OR(E1779="",E1779="!!!",F1779="NEW"),"",INDEX(B1778:B$2,-1+SUMPRODUCT(MAX(ROW(E1778:E$2)*(E1779=E1778:E$2)))))</f>
        <v> </v>
      </c>
      <c r="J1779" s="25" t="str">
        <f>IF(OR(E1779="",E1779="!!!",F1779="NEW"),"",COUNTBLANK(OFFSET(A$1,,,SUMPRODUCT(MAX(ROW(E$2:E1779)*(E1779=E$2:E1779)))))-COUNTBLANK(OFFSET(A$1,,,SUMPRODUCT(MAX(ROW(E$1:E1778)*(E2=E$1:E1778))))))</f>
        <v> </v>
      </c>
      <c r="K1779" s="25" t="str">
        <f>IF(OR(E1779="",E1779="!!!",F1779="NEW"),"",INDEX(J$1:J1778,SUMPRODUCT(MAX(ROW(E$1:E1778)*(E1779=E$1:E1778)))))</f>
        <v> </v>
      </c>
      <c r="L1779" s="26"/>
    </row>
    <row r="1780" spans="1:12">
      <c r="A1780" s="20" t="s">
        <v>2026</v>
      </c>
      <c r="B1780" s="27" t="s">
        <v>1125</v>
      </c>
      <c r="E1780" s="21">
        <f>IF(D1780="?OLD","!!!","")</f>
        <v/>
      </c>
      <c r="F1780" s="22" t="str">
        <f>IF(OR(E1780="",E1780="!!!"),"",IF(NOT(ISNA(VLOOKUP(E1780,E$1:E1779,1,FALSE()))),"OLD",IF(AND(E1780&lt;&gt;"",E1780&lt;&gt;"!!!"),"NEW","")))</f>
        <v> </v>
      </c>
      <c r="G1780" s="23" t="str">
        <f>IF(OR(E1780="",E1780="!!!"),"",IF(OR(J1780=0,AND(J1780=1,K1780=1),AND(J1780=1,I1780="SBJ"),AND(J1780=1,I1780=0)),"?IN_FOCUS",IF(J1780&lt;=2,"?ACTIVATED",IF(J1780&lt;&gt;"","?FAMILIAR",IF(F1780="NEW",IF(ISNA(VLOOKUP(E1780,#REF!,1,FALSE())),"?TYPE_IDENTIFIABLE","?REFERENTIAL"),"_")))))</f>
        <v> </v>
      </c>
      <c r="H1780" s="24" t="str">
        <f>IF(J1780&lt;&gt;1,"",IF(I1780="SBJ","CB","?"))</f>
        <v> </v>
      </c>
      <c r="I1780" s="25" t="str">
        <f>IF(OR(E1780="",E1780="!!!",F1780="NEW"),"",INDEX(B1779:B$2,-1+SUMPRODUCT(MAX(ROW(E1779:E$2)*(E1780=E1779:E$2)))))</f>
        <v> </v>
      </c>
      <c r="J1780" s="25" t="str">
        <f>IF(OR(E1780="",E1780="!!!",F1780="NEW"),"",COUNTBLANK(OFFSET(A$1,,,SUMPRODUCT(MAX(ROW(E$2:E1780)*(E1780=E$2:E1780)))))-COUNTBLANK(OFFSET(A$1,,,SUMPRODUCT(MAX(ROW(E$1:E1779)*(E2=E$1:E1779))))))</f>
        <v> </v>
      </c>
      <c r="K1780" s="25" t="str">
        <f>IF(OR(E1780="",E1780="!!!",F1780="NEW"),"",INDEX(J$1:J1779,SUMPRODUCT(MAX(ROW(E$1:E1779)*(E1780=E$1:E1779)))))</f>
        <v> </v>
      </c>
      <c r="L1780" s="26"/>
    </row>
    <row r="1781" spans="1:12">
      <c r="A1781" s="20" t="s">
        <v>1145</v>
      </c>
      <c r="E1781" s="21">
        <f>IF(D1781="?OLD","!!!","")</f>
        <v/>
      </c>
      <c r="F1781" s="22" t="str">
        <f>IF(OR(E1781="",E1781="!!!"),"",IF(NOT(ISNA(VLOOKUP(E1781,E$1:E1780,1,FALSE()))),"OLD",IF(AND(E1781&lt;&gt;"",E1781&lt;&gt;"!!!"),"NEW","")))</f>
        <v> </v>
      </c>
      <c r="G1781" s="23" t="str">
        <f>IF(OR(E1781="",E1781="!!!"),"",IF(OR(J1781=0,AND(J1781=1,K1781=1),AND(J1781=1,I1781="SBJ"),AND(J1781=1,I1781=0)),"?IN_FOCUS",IF(J1781&lt;=2,"?ACTIVATED",IF(J1781&lt;&gt;"","?FAMILIAR",IF(F1781="NEW",IF(ISNA(VLOOKUP(E1781,#REF!,1,FALSE())),"?TYPE_IDENTIFIABLE","?REFERENTIAL"),"_")))))</f>
        <v> </v>
      </c>
      <c r="H1781" s="24" t="str">
        <f>IF(J1781&lt;&gt;1,"",IF(I1781="SBJ","CB","?"))</f>
        <v> </v>
      </c>
      <c r="I1781" s="25" t="str">
        <f>IF(OR(E1781="",E1781="!!!",F1781="NEW"),"",INDEX(B1780:B$2,-1+SUMPRODUCT(MAX(ROW(E1780:E$2)*(E1781=E1780:E$2)))))</f>
        <v> </v>
      </c>
      <c r="J1781" s="25" t="str">
        <f>IF(OR(E1781="",E1781="!!!",F1781="NEW"),"",COUNTBLANK(OFFSET(A$1,,,SUMPRODUCT(MAX(ROW(E$2:E1781)*(E1781=E$2:E1781)))))-COUNTBLANK(OFFSET(A$1,,,SUMPRODUCT(MAX(ROW(E$1:E1780)*(E2=E$1:E1780))))))</f>
        <v> </v>
      </c>
      <c r="K1781" s="25" t="str">
        <f>IF(OR(E1781="",E1781="!!!",F1781="NEW"),"",INDEX(J$1:J1780,SUMPRODUCT(MAX(ROW(E$1:E1780)*(E1781=E$1:E1780)))))</f>
        <v> </v>
      </c>
      <c r="L1781" s="26"/>
    </row>
    <row r="1782" spans="1:12">
      <c r="A1782" s="20"/>
    </row>
    <row r="1783" spans="1:12">
      <c r="A1783" s="20" t="s">
        <v>2027</v>
      </c>
    </row>
    <row r="1784" spans="1:12">
      <c r="A1784" s="20" t="s">
        <v>2028</v>
      </c>
      <c r="E1784" s="21">
        <f>IF(D1784="?OLD","!!!","")</f>
        <v/>
      </c>
      <c r="F1784" s="22" t="str">
        <f>IF(OR(E1784="",E1784="!!!"),"",IF(NOT(ISNA(VLOOKUP(E1784,E$1:E1783,1,FALSE()))),"OLD",IF(AND(E1784&lt;&gt;"",E1784&lt;&gt;"!!!"),"NEW","")))</f>
        <v> </v>
      </c>
      <c r="G1784" s="23" t="str">
        <f>IF(OR(E1784="",E1784="!!!"),"",IF(OR(J1784=0,AND(J1784=1,K1784=1),AND(J1784=1,I1784="SBJ"),AND(J1784=1,I1784=0)),"?IN_FOCUS",IF(J1784&lt;=2,"?ACTIVATED",IF(J1784&lt;&gt;"","?FAMILIAR",IF(F1784="NEW",IF(ISNA(VLOOKUP(E1784,#REF!,1,FALSE())),"?TYPE_IDENTIFIABLE","?REFERENTIAL"),"_")))))</f>
        <v> </v>
      </c>
      <c r="H1784" s="24" t="str">
        <f>IF(J1784&lt;&gt;1,"",IF(I1784="SBJ","CB","?"))</f>
        <v> </v>
      </c>
      <c r="I1784" s="25" t="str">
        <f>IF(OR(E1784="",E1784="!!!",F1784="NEW"),"",INDEX(B1783:B$2,-1+SUMPRODUCT(MAX(ROW(E1783:E$2)*(E1784=E1783:E$2)))))</f>
        <v> </v>
      </c>
      <c r="J1784" s="25" t="str">
        <f>IF(OR(E1784="",E1784="!!!",F1784="NEW"),"",COUNTBLANK(OFFSET(A$1,,,SUMPRODUCT(MAX(ROW(E$2:E1784)*(E1784=E$2:E1784)))))-COUNTBLANK(OFFSET(A$1,,,SUMPRODUCT(MAX(ROW(E$1:E1783)*(E2=E$1:E1783))))))</f>
        <v> </v>
      </c>
      <c r="K1784" s="25" t="str">
        <f>IF(OR(E1784="",E1784="!!!",F1784="NEW"),"",INDEX(J$1:J1783,SUMPRODUCT(MAX(ROW(E$1:E1783)*(E1784=E$1:E1783)))))</f>
        <v> </v>
      </c>
      <c r="L1784" s="26"/>
    </row>
    <row r="1785" spans="1:12">
      <c r="A1785" s="20" t="s">
        <v>1184</v>
      </c>
      <c r="E1785" s="21">
        <f>IF(D1785="?OLD","!!!","")</f>
        <v/>
      </c>
      <c r="F1785" s="22" t="str">
        <f>IF(OR(E1785="",E1785="!!!"),"",IF(NOT(ISNA(VLOOKUP(E1785,E$1:E1784,1,FALSE()))),"OLD",IF(AND(E1785&lt;&gt;"",E1785&lt;&gt;"!!!"),"NEW","")))</f>
        <v> </v>
      </c>
      <c r="G1785" s="23" t="str">
        <f>IF(OR(E1785="",E1785="!!!"),"",IF(OR(J1785=0,AND(J1785=1,K1785=1),AND(J1785=1,I1785="SBJ"),AND(J1785=1,I1785=0)),"?IN_FOCUS",IF(J1785&lt;=2,"?ACTIVATED",IF(J1785&lt;&gt;"","?FAMILIAR",IF(F1785="NEW",IF(ISNA(VLOOKUP(E1785,#REF!,1,FALSE())),"?TYPE_IDENTIFIABLE","?REFERENTIAL"),"_")))))</f>
        <v> </v>
      </c>
      <c r="H1785" s="24" t="str">
        <f>IF(J1785&lt;&gt;1,"",IF(I1785="SBJ","CB","?"))</f>
        <v> </v>
      </c>
      <c r="I1785" s="25" t="str">
        <f>IF(OR(E1785="",E1785="!!!",F1785="NEW"),"",INDEX(B1784:B$2,-1+SUMPRODUCT(MAX(ROW(E1784:E$2)*(E1785=E1784:E$2)))))</f>
        <v> </v>
      </c>
      <c r="J1785" s="25" t="str">
        <f>IF(OR(E1785="",E1785="!!!",F1785="NEW"),"",COUNTBLANK(OFFSET(A$1,,,SUMPRODUCT(MAX(ROW(E$2:E1785)*(E1785=E$2:E1785)))))-COUNTBLANK(OFFSET(A$1,,,SUMPRODUCT(MAX(ROW(E$1:E1784)*(E2=E$1:E1784))))))</f>
        <v> </v>
      </c>
      <c r="K1785" s="25" t="str">
        <f>IF(OR(E1785="",E1785="!!!",F1785="NEW"),"",INDEX(J$1:J1784,SUMPRODUCT(MAX(ROW(E$1:E1784)*(E1785=E$1:E1784)))))</f>
        <v> </v>
      </c>
      <c r="L1785" s="26"/>
    </row>
    <row r="1786" spans="1:12">
      <c r="A1786" s="20" t="s">
        <v>2029</v>
      </c>
      <c r="E1786" s="21">
        <f>IF(D1786="?OLD","!!!","")</f>
        <v/>
      </c>
      <c r="F1786" s="22" t="str">
        <f>IF(OR(E1786="",E1786="!!!"),"",IF(NOT(ISNA(VLOOKUP(E1786,E$1:E1785,1,FALSE()))),"OLD",IF(AND(E1786&lt;&gt;"",E1786&lt;&gt;"!!!"),"NEW","")))</f>
        <v> </v>
      </c>
      <c r="G1786" s="23" t="str">
        <f>IF(OR(E1786="",E1786="!!!"),"",IF(OR(J1786=0,AND(J1786=1,K1786=1),AND(J1786=1,I1786="SBJ"),AND(J1786=1,I1786=0)),"?IN_FOCUS",IF(J1786&lt;=2,"?ACTIVATED",IF(J1786&lt;&gt;"","?FAMILIAR",IF(F1786="NEW",IF(ISNA(VLOOKUP(E1786,#REF!,1,FALSE())),"?TYPE_IDENTIFIABLE","?REFERENTIAL"),"_")))))</f>
        <v> </v>
      </c>
      <c r="H1786" s="24" t="str">
        <f>IF(J1786&lt;&gt;1,"",IF(I1786="SBJ","CB","?"))</f>
        <v> </v>
      </c>
      <c r="I1786" s="25" t="str">
        <f>IF(OR(E1786="",E1786="!!!",F1786="NEW"),"",INDEX(B1785:B$2,-1+SUMPRODUCT(MAX(ROW(E1785:E$2)*(E1786=E1785:E$2)))))</f>
        <v> </v>
      </c>
      <c r="J1786" s="25" t="str">
        <f>IF(OR(E1786="",E1786="!!!",F1786="NEW"),"",COUNTBLANK(OFFSET(A$1,,,SUMPRODUCT(MAX(ROW(E$2:E1786)*(E1786=E$2:E1786)))))-COUNTBLANK(OFFSET(A$1,,,SUMPRODUCT(MAX(ROW(E$1:E1785)*(E2=E$1:E1785))))))</f>
        <v> </v>
      </c>
      <c r="K1786" s="25" t="str">
        <f>IF(OR(E1786="",E1786="!!!",F1786="NEW"),"",INDEX(J$1:J1785,SUMPRODUCT(MAX(ROW(E$1:E1785)*(E1786=E$1:E1785)))))</f>
        <v> </v>
      </c>
      <c r="L1786" s="26"/>
    </row>
    <row r="1787" spans="1:12">
      <c r="A1787" s="20" t="s">
        <v>2030</v>
      </c>
      <c r="E1787" s="21">
        <f>IF(D1787="?OLD","!!!","")</f>
        <v/>
      </c>
      <c r="F1787" s="22" t="str">
        <f>IF(OR(E1787="",E1787="!!!"),"",IF(NOT(ISNA(VLOOKUP(E1787,E$1:E1786,1,FALSE()))),"OLD",IF(AND(E1787&lt;&gt;"",E1787&lt;&gt;"!!!"),"NEW","")))</f>
        <v> </v>
      </c>
      <c r="G1787" s="23" t="str">
        <f>IF(OR(E1787="",E1787="!!!"),"",IF(OR(J1787=0,AND(J1787=1,K1787=1),AND(J1787=1,I1787="SBJ"),AND(J1787=1,I1787=0)),"?IN_FOCUS",IF(J1787&lt;=2,"?ACTIVATED",IF(J1787&lt;&gt;"","?FAMILIAR",IF(F1787="NEW",IF(ISNA(VLOOKUP(E1787,#REF!,1,FALSE())),"?TYPE_IDENTIFIABLE","?REFERENTIAL"),"_")))))</f>
        <v> </v>
      </c>
      <c r="H1787" s="24" t="str">
        <f>IF(J1787&lt;&gt;1,"",IF(I1787="SBJ","CB","?"))</f>
        <v> </v>
      </c>
      <c r="I1787" s="25" t="str">
        <f>IF(OR(E1787="",E1787="!!!",F1787="NEW"),"",INDEX(B1786:B$2,-1+SUMPRODUCT(MAX(ROW(E1786:E$2)*(E1787=E1786:E$2)))))</f>
        <v> </v>
      </c>
      <c r="J1787" s="25" t="str">
        <f>IF(OR(E1787="",E1787="!!!",F1787="NEW"),"",COUNTBLANK(OFFSET(A$1,,,SUMPRODUCT(MAX(ROW(E$2:E1787)*(E1787=E$2:E1787)))))-COUNTBLANK(OFFSET(A$1,,,SUMPRODUCT(MAX(ROW(E$1:E1786)*(E2=E$1:E1786))))))</f>
        <v> </v>
      </c>
      <c r="K1787" s="25" t="str">
        <f>IF(OR(E1787="",E1787="!!!",F1787="NEW"),"",INDEX(J$1:J1786,SUMPRODUCT(MAX(ROW(E$1:E1786)*(E1787=E$1:E1786)))))</f>
        <v> </v>
      </c>
      <c r="L1787" s="26"/>
    </row>
    <row r="1788" spans="1:12">
      <c r="A1788" s="20" t="s">
        <v>2031</v>
      </c>
      <c r="E1788" s="21">
        <f>IF(D1788="?OLD","!!!","")</f>
        <v/>
      </c>
      <c r="F1788" s="22" t="str">
        <f>IF(OR(E1788="",E1788="!!!"),"",IF(NOT(ISNA(VLOOKUP(E1788,E$1:E1787,1,FALSE()))),"OLD",IF(AND(E1788&lt;&gt;"",E1788&lt;&gt;"!!!"),"NEW","")))</f>
        <v> </v>
      </c>
      <c r="G1788" s="23" t="str">
        <f>IF(OR(E1788="",E1788="!!!"),"",IF(OR(J1788=0,AND(J1788=1,K1788=1),AND(J1788=1,I1788="SBJ"),AND(J1788=1,I1788=0)),"?IN_FOCUS",IF(J1788&lt;=2,"?ACTIVATED",IF(J1788&lt;&gt;"","?FAMILIAR",IF(F1788="NEW",IF(ISNA(VLOOKUP(E1788,#REF!,1,FALSE())),"?TYPE_IDENTIFIABLE","?REFERENTIAL"),"_")))))</f>
        <v> </v>
      </c>
      <c r="H1788" s="24" t="str">
        <f>IF(J1788&lt;&gt;1,"",IF(I1788="SBJ","CB","?"))</f>
        <v> </v>
      </c>
      <c r="I1788" s="25" t="str">
        <f>IF(OR(E1788="",E1788="!!!",F1788="NEW"),"",INDEX(B1787:B$2,-1+SUMPRODUCT(MAX(ROW(E1787:E$2)*(E1788=E1787:E$2)))))</f>
        <v> </v>
      </c>
      <c r="J1788" s="25" t="str">
        <f>IF(OR(E1788="",E1788="!!!",F1788="NEW"),"",COUNTBLANK(OFFSET(A$1,,,SUMPRODUCT(MAX(ROW(E$2:E1788)*(E1788=E$2:E1788)))))-COUNTBLANK(OFFSET(A$1,,,SUMPRODUCT(MAX(ROW(E$1:E1787)*(E2=E$1:E1787))))))</f>
        <v> </v>
      </c>
      <c r="K1788" s="25" t="str">
        <f>IF(OR(E1788="",E1788="!!!",F1788="NEW"),"",INDEX(J$1:J1787,SUMPRODUCT(MAX(ROW(E$1:E1787)*(E1788=E$1:E1787)))))</f>
        <v> </v>
      </c>
      <c r="L1788" s="26"/>
    </row>
    <row r="1789" spans="1:12">
      <c r="A1789" s="20" t="s">
        <v>1134</v>
      </c>
      <c r="E1789" s="21">
        <f>IF(D1789="?OLD","!!!","")</f>
        <v/>
      </c>
      <c r="F1789" s="22" t="str">
        <f>IF(OR(E1789="",E1789="!!!"),"",IF(NOT(ISNA(VLOOKUP(E1789,E$1:E1788,1,FALSE()))),"OLD",IF(AND(E1789&lt;&gt;"",E1789&lt;&gt;"!!!"),"NEW","")))</f>
        <v> </v>
      </c>
      <c r="G1789" s="23" t="str">
        <f>IF(OR(E1789="",E1789="!!!"),"",IF(OR(J1789=0,AND(J1789=1,K1789=1),AND(J1789=1,I1789="SBJ"),AND(J1789=1,I1789=0)),"?IN_FOCUS",IF(J1789&lt;=2,"?ACTIVATED",IF(J1789&lt;&gt;"","?FAMILIAR",IF(F1789="NEW",IF(ISNA(VLOOKUP(E1789,#REF!,1,FALSE())),"?TYPE_IDENTIFIABLE","?REFERENTIAL"),"_")))))</f>
        <v> </v>
      </c>
      <c r="H1789" s="24" t="str">
        <f>IF(J1789&lt;&gt;1,"",IF(I1789="SBJ","CB","?"))</f>
        <v> </v>
      </c>
      <c r="I1789" s="25" t="str">
        <f>IF(OR(E1789="",E1789="!!!",F1789="NEW"),"",INDEX(B1788:B$2,-1+SUMPRODUCT(MAX(ROW(E1788:E$2)*(E1789=E1788:E$2)))))</f>
        <v> </v>
      </c>
      <c r="J1789" s="25" t="str">
        <f>IF(OR(E1789="",E1789="!!!",F1789="NEW"),"",COUNTBLANK(OFFSET(A$1,,,SUMPRODUCT(MAX(ROW(E$2:E1789)*(E1789=E$2:E1789)))))-COUNTBLANK(OFFSET(A$1,,,SUMPRODUCT(MAX(ROW(E$1:E1788)*(E2=E$1:E1788))))))</f>
        <v> </v>
      </c>
      <c r="K1789" s="25" t="str">
        <f>IF(OR(E1789="",E1789="!!!",F1789="NEW"),"",INDEX(J$1:J1788,SUMPRODUCT(MAX(ROW(E$1:E1788)*(E1789=E$1:E1788)))))</f>
        <v> </v>
      </c>
      <c r="L1789" s="26"/>
    </row>
    <row r="1790" spans="1:12">
      <c r="A1790" s="20" t="s">
        <v>2032</v>
      </c>
      <c r="E1790" s="21">
        <f>IF(D1790="?OLD","!!!","")</f>
        <v/>
      </c>
      <c r="F1790" s="22" t="str">
        <f>IF(OR(E1790="",E1790="!!!"),"",IF(NOT(ISNA(VLOOKUP(E1790,E$1:E1789,1,FALSE()))),"OLD",IF(AND(E1790&lt;&gt;"",E1790&lt;&gt;"!!!"),"NEW","")))</f>
        <v> </v>
      </c>
      <c r="G1790" s="23" t="str">
        <f>IF(OR(E1790="",E1790="!!!"),"",IF(OR(J1790=0,AND(J1790=1,K1790=1),AND(J1790=1,I1790="SBJ"),AND(J1790=1,I1790=0)),"?IN_FOCUS",IF(J1790&lt;=2,"?ACTIVATED",IF(J1790&lt;&gt;"","?FAMILIAR",IF(F1790="NEW",IF(ISNA(VLOOKUP(E1790,#REF!,1,FALSE())),"?TYPE_IDENTIFIABLE","?REFERENTIAL"),"_")))))</f>
        <v> </v>
      </c>
      <c r="H1790" s="24" t="str">
        <f>IF(J1790&lt;&gt;1,"",IF(I1790="SBJ","CB","?"))</f>
        <v> </v>
      </c>
      <c r="I1790" s="25" t="str">
        <f>IF(OR(E1790="",E1790="!!!",F1790="NEW"),"",INDEX(B1789:B$2,-1+SUMPRODUCT(MAX(ROW(E1789:E$2)*(E1790=E1789:E$2)))))</f>
        <v> </v>
      </c>
      <c r="J1790" s="25" t="str">
        <f>IF(OR(E1790="",E1790="!!!",F1790="NEW"),"",COUNTBLANK(OFFSET(A$1,,,SUMPRODUCT(MAX(ROW(E$2:E1790)*(E1790=E$2:E1790)))))-COUNTBLANK(OFFSET(A$1,,,SUMPRODUCT(MAX(ROW(E$1:E1789)*(E2=E$1:E1789))))))</f>
        <v> </v>
      </c>
      <c r="K1790" s="25" t="str">
        <f>IF(OR(E1790="",E1790="!!!",F1790="NEW"),"",INDEX(J$1:J1789,SUMPRODUCT(MAX(ROW(E$1:E1789)*(E1790=E$1:E1789)))))</f>
        <v> </v>
      </c>
      <c r="L1790" s="26"/>
    </row>
    <row r="1791" spans="1:12">
      <c r="A1791" s="20" t="s">
        <v>1173</v>
      </c>
      <c r="E1791" s="21">
        <f>IF(D1791="?OLD","!!!","")</f>
        <v/>
      </c>
      <c r="F1791" s="22" t="str">
        <f>IF(OR(E1791="",E1791="!!!"),"",IF(NOT(ISNA(VLOOKUP(E1791,E$1:E1790,1,FALSE()))),"OLD",IF(AND(E1791&lt;&gt;"",E1791&lt;&gt;"!!!"),"NEW","")))</f>
        <v> </v>
      </c>
      <c r="G1791" s="23" t="str">
        <f>IF(OR(E1791="",E1791="!!!"),"",IF(OR(J1791=0,AND(J1791=1,K1791=1),AND(J1791=1,I1791="SBJ"),AND(J1791=1,I1791=0)),"?IN_FOCUS",IF(J1791&lt;=2,"?ACTIVATED",IF(J1791&lt;&gt;"","?FAMILIAR",IF(F1791="NEW",IF(ISNA(VLOOKUP(E1791,#REF!,1,FALSE())),"?TYPE_IDENTIFIABLE","?REFERENTIAL"),"_")))))</f>
        <v> </v>
      </c>
      <c r="H1791" s="24" t="str">
        <f>IF(J1791&lt;&gt;1,"",IF(I1791="SBJ","CB","?"))</f>
        <v> </v>
      </c>
      <c r="I1791" s="25" t="str">
        <f>IF(OR(E1791="",E1791="!!!",F1791="NEW"),"",INDEX(B1790:B$2,-1+SUMPRODUCT(MAX(ROW(E1790:E$2)*(E1791=E1790:E$2)))))</f>
        <v> </v>
      </c>
      <c r="J1791" s="25" t="str">
        <f>IF(OR(E1791="",E1791="!!!",F1791="NEW"),"",COUNTBLANK(OFFSET(A$1,,,SUMPRODUCT(MAX(ROW(E$2:E1791)*(E1791=E$2:E1791)))))-COUNTBLANK(OFFSET(A$1,,,SUMPRODUCT(MAX(ROW(E$1:E1790)*(E2=E$1:E1790))))))</f>
        <v> </v>
      </c>
      <c r="K1791" s="25" t="str">
        <f>IF(OR(E1791="",E1791="!!!",F1791="NEW"),"",INDEX(J$1:J1790,SUMPRODUCT(MAX(ROW(E$1:E1790)*(E1791=E$1:E1790)))))</f>
        <v> </v>
      </c>
      <c r="L1791" s="26"/>
    </row>
    <row r="1792" spans="1:12">
      <c r="A1792" s="20" t="s">
        <v>2033</v>
      </c>
      <c r="E1792" s="21">
        <f>IF(D1792="?OLD","!!!","")</f>
        <v/>
      </c>
      <c r="F1792" s="22" t="str">
        <f>IF(OR(E1792="",E1792="!!!"),"",IF(NOT(ISNA(VLOOKUP(E1792,E$1:E1791,1,FALSE()))),"OLD",IF(AND(E1792&lt;&gt;"",E1792&lt;&gt;"!!!"),"NEW","")))</f>
        <v> </v>
      </c>
      <c r="G1792" s="23" t="str">
        <f>IF(OR(E1792="",E1792="!!!"),"",IF(OR(J1792=0,AND(J1792=1,K1792=1),AND(J1792=1,I1792="SBJ"),AND(J1792=1,I1792=0)),"?IN_FOCUS",IF(J1792&lt;=2,"?ACTIVATED",IF(J1792&lt;&gt;"","?FAMILIAR",IF(F1792="NEW",IF(ISNA(VLOOKUP(E1792,#REF!,1,FALSE())),"?TYPE_IDENTIFIABLE","?REFERENTIAL"),"_")))))</f>
        <v> </v>
      </c>
      <c r="H1792" s="24" t="str">
        <f>IF(J1792&lt;&gt;1,"",IF(I1792="SBJ","CB","?"))</f>
        <v> </v>
      </c>
      <c r="I1792" s="25" t="str">
        <f>IF(OR(E1792="",E1792="!!!",F1792="NEW"),"",INDEX(B1791:B$2,-1+SUMPRODUCT(MAX(ROW(E1791:E$2)*(E1792=E1791:E$2)))))</f>
        <v> </v>
      </c>
      <c r="J1792" s="25" t="str">
        <f>IF(OR(E1792="",E1792="!!!",F1792="NEW"),"",COUNTBLANK(OFFSET(A$1,,,SUMPRODUCT(MAX(ROW(E$2:E1792)*(E1792=E$2:E1792)))))-COUNTBLANK(OFFSET(A$1,,,SUMPRODUCT(MAX(ROW(E$1:E1791)*(E2=E$1:E1791))))))</f>
        <v> </v>
      </c>
      <c r="K1792" s="25" t="str">
        <f>IF(OR(E1792="",E1792="!!!",F1792="NEW"),"",INDEX(J$1:J1791,SUMPRODUCT(MAX(ROW(E$1:E1791)*(E1792=E$1:E1791)))))</f>
        <v> </v>
      </c>
      <c r="L1792" s="26"/>
    </row>
    <row r="1793" spans="1:12">
      <c r="A1793" s="20" t="s">
        <v>2034</v>
      </c>
      <c r="B1793" s="27" t="s">
        <v>1243</v>
      </c>
      <c r="E1793" s="21">
        <f>IF(D1793="?OLD","!!!","")</f>
        <v/>
      </c>
      <c r="F1793" s="22" t="str">
        <f>IF(OR(E1793="",E1793="!!!"),"",IF(NOT(ISNA(VLOOKUP(E1793,E$1:E1792,1,FALSE()))),"OLD",IF(AND(E1793&lt;&gt;"",E1793&lt;&gt;"!!!"),"NEW","")))</f>
        <v> </v>
      </c>
      <c r="G1793" s="23" t="str">
        <f>IF(OR(E1793="",E1793="!!!"),"",IF(OR(J1793=0,AND(J1793=1,K1793=1),AND(J1793=1,I1793="SBJ"),AND(J1793=1,I1793=0)),"?IN_FOCUS",IF(J1793&lt;=2,"?ACTIVATED",IF(J1793&lt;&gt;"","?FAMILIAR",IF(F1793="NEW",IF(ISNA(VLOOKUP(E1793,#REF!,1,FALSE())),"?TYPE_IDENTIFIABLE","?REFERENTIAL"),"_")))))</f>
        <v> </v>
      </c>
      <c r="H1793" s="24" t="str">
        <f>IF(J1793&lt;&gt;1,"",IF(I1793="SBJ","CB","?"))</f>
        <v> </v>
      </c>
      <c r="I1793" s="25" t="str">
        <f>IF(OR(E1793="",E1793="!!!",F1793="NEW"),"",INDEX(B1792:B$2,-1+SUMPRODUCT(MAX(ROW(E1792:E$2)*(E1793=E1792:E$2)))))</f>
        <v> </v>
      </c>
      <c r="J1793" s="25" t="str">
        <f>IF(OR(E1793="",E1793="!!!",F1793="NEW"),"",COUNTBLANK(OFFSET(A$1,,,SUMPRODUCT(MAX(ROW(E$2:E1793)*(E1793=E$2:E1793)))))-COUNTBLANK(OFFSET(A$1,,,SUMPRODUCT(MAX(ROW(E$1:E1792)*(E2=E$1:E1792))))))</f>
        <v> </v>
      </c>
      <c r="K1793" s="25" t="str">
        <f>IF(OR(E1793="",E1793="!!!",F1793="NEW"),"",INDEX(J$1:J1792,SUMPRODUCT(MAX(ROW(E$1:E1792)*(E1793=E$1:E1792)))))</f>
        <v> </v>
      </c>
      <c r="L1793" s="26"/>
    </row>
    <row r="1794" spans="1:12">
      <c r="A1794" s="20" t="s">
        <v>2035</v>
      </c>
      <c r="E1794" s="21">
        <f>IF(D1794="?OLD","!!!","")</f>
        <v/>
      </c>
      <c r="F1794" s="22" t="str">
        <f>IF(OR(E1794="",E1794="!!!"),"",IF(NOT(ISNA(VLOOKUP(E1794,E$1:E1793,1,FALSE()))),"OLD",IF(AND(E1794&lt;&gt;"",E1794&lt;&gt;"!!!"),"NEW","")))</f>
        <v> </v>
      </c>
      <c r="G1794" s="23" t="str">
        <f>IF(OR(E1794="",E1794="!!!"),"",IF(OR(J1794=0,AND(J1794=1,K1794=1),AND(J1794=1,I1794="SBJ"),AND(J1794=1,I1794=0)),"?IN_FOCUS",IF(J1794&lt;=2,"?ACTIVATED",IF(J1794&lt;&gt;"","?FAMILIAR",IF(F1794="NEW",IF(ISNA(VLOOKUP(E1794,#REF!,1,FALSE())),"?TYPE_IDENTIFIABLE","?REFERENTIAL"),"_")))))</f>
        <v> </v>
      </c>
      <c r="H1794" s="24" t="str">
        <f>IF(J1794&lt;&gt;1,"",IF(I1794="SBJ","CB","?"))</f>
        <v> </v>
      </c>
      <c r="I1794" s="25" t="str">
        <f>IF(OR(E1794="",E1794="!!!",F1794="NEW"),"",INDEX(B1793:B$2,-1+SUMPRODUCT(MAX(ROW(E1793:E$2)*(E1794=E1793:E$2)))))</f>
        <v> </v>
      </c>
      <c r="J1794" s="25" t="str">
        <f>IF(OR(E1794="",E1794="!!!",F1794="NEW"),"",COUNTBLANK(OFFSET(A$1,,,SUMPRODUCT(MAX(ROW(E$2:E1794)*(E1794=E$2:E1794)))))-COUNTBLANK(OFFSET(A$1,,,SUMPRODUCT(MAX(ROW(E$1:E1793)*(E2=E$1:E1793))))))</f>
        <v> </v>
      </c>
      <c r="K1794" s="25" t="str">
        <f>IF(OR(E1794="",E1794="!!!",F1794="NEW"),"",INDEX(J$1:J1793,SUMPRODUCT(MAX(ROW(E$1:E1793)*(E1794=E$1:E1793)))))</f>
        <v> </v>
      </c>
      <c r="L1794" s="26"/>
    </row>
    <row r="1795" spans="1:12">
      <c r="A1795" s="20" t="s">
        <v>2036</v>
      </c>
      <c r="E1795" s="21">
        <f>IF(D1795="?OLD","!!!","")</f>
        <v/>
      </c>
      <c r="F1795" s="22" t="str">
        <f>IF(OR(E1795="",E1795="!!!"),"",IF(NOT(ISNA(VLOOKUP(E1795,E$1:E1794,1,FALSE()))),"OLD",IF(AND(E1795&lt;&gt;"",E1795&lt;&gt;"!!!"),"NEW","")))</f>
        <v> </v>
      </c>
      <c r="G1795" s="23" t="str">
        <f>IF(OR(E1795="",E1795="!!!"),"",IF(OR(J1795=0,AND(J1795=1,K1795=1),AND(J1795=1,I1795="SBJ"),AND(J1795=1,I1795=0)),"?IN_FOCUS",IF(J1795&lt;=2,"?ACTIVATED",IF(J1795&lt;&gt;"","?FAMILIAR",IF(F1795="NEW",IF(ISNA(VLOOKUP(E1795,#REF!,1,FALSE())),"?TYPE_IDENTIFIABLE","?REFERENTIAL"),"_")))))</f>
        <v> </v>
      </c>
      <c r="H1795" s="24" t="str">
        <f>IF(J1795&lt;&gt;1,"",IF(I1795="SBJ","CB","?"))</f>
        <v> </v>
      </c>
      <c r="I1795" s="25" t="str">
        <f>IF(OR(E1795="",E1795="!!!",F1795="NEW"),"",INDEX(B1794:B$2,-1+SUMPRODUCT(MAX(ROW(E1794:E$2)*(E1795=E1794:E$2)))))</f>
        <v> </v>
      </c>
      <c r="J1795" s="25" t="str">
        <f>IF(OR(E1795="",E1795="!!!",F1795="NEW"),"",COUNTBLANK(OFFSET(A$1,,,SUMPRODUCT(MAX(ROW(E$2:E1795)*(E1795=E$2:E1795)))))-COUNTBLANK(OFFSET(A$1,,,SUMPRODUCT(MAX(ROW(E$1:E1794)*(E2=E$1:E1794))))))</f>
        <v> </v>
      </c>
      <c r="K1795" s="25" t="str">
        <f>IF(OR(E1795="",E1795="!!!",F1795="NEW"),"",INDEX(J$1:J1794,SUMPRODUCT(MAX(ROW(E$1:E1794)*(E1795=E$1:E1794)))))</f>
        <v> </v>
      </c>
      <c r="L1795" s="26"/>
    </row>
    <row r="1796" spans="1:12">
      <c r="A1796" s="20" t="s">
        <v>1123</v>
      </c>
      <c r="E1796" s="21">
        <f>IF(D1796="?OLD","!!!","")</f>
        <v/>
      </c>
      <c r="F1796" s="22" t="str">
        <f>IF(OR(E1796="",E1796="!!!"),"",IF(NOT(ISNA(VLOOKUP(E1796,E$1:E1795,1,FALSE()))),"OLD",IF(AND(E1796&lt;&gt;"",E1796&lt;&gt;"!!!"),"NEW","")))</f>
        <v> </v>
      </c>
      <c r="G1796" s="23" t="str">
        <f>IF(OR(E1796="",E1796="!!!"),"",IF(OR(J1796=0,AND(J1796=1,K1796=1),AND(J1796=1,I1796="SBJ"),AND(J1796=1,I1796=0)),"?IN_FOCUS",IF(J1796&lt;=2,"?ACTIVATED",IF(J1796&lt;&gt;"","?FAMILIAR",IF(F1796="NEW",IF(ISNA(VLOOKUP(E1796,#REF!,1,FALSE())),"?TYPE_IDENTIFIABLE","?REFERENTIAL"),"_")))))</f>
        <v> </v>
      </c>
      <c r="H1796" s="24" t="str">
        <f>IF(J1796&lt;&gt;1,"",IF(I1796="SBJ","CB","?"))</f>
        <v> </v>
      </c>
      <c r="I1796" s="25" t="str">
        <f>IF(OR(E1796="",E1796="!!!",F1796="NEW"),"",INDEX(B1795:B$2,-1+SUMPRODUCT(MAX(ROW(E1795:E$2)*(E1796=E1795:E$2)))))</f>
        <v> </v>
      </c>
      <c r="J1796" s="25" t="str">
        <f>IF(OR(E1796="",E1796="!!!",F1796="NEW"),"",COUNTBLANK(OFFSET(A$1,,,SUMPRODUCT(MAX(ROW(E$2:E1796)*(E1796=E$2:E1796)))))-COUNTBLANK(OFFSET(A$1,,,SUMPRODUCT(MAX(ROW(E$1:E1795)*(E2=E$1:E1795))))))</f>
        <v> </v>
      </c>
      <c r="K1796" s="25" t="str">
        <f>IF(OR(E1796="",E1796="!!!",F1796="NEW"),"",INDEX(J$1:J1795,SUMPRODUCT(MAX(ROW(E$1:E1795)*(E1796=E$1:E1795)))))</f>
        <v> </v>
      </c>
      <c r="L1796" s="26"/>
    </row>
    <row r="1797" spans="1:12">
      <c r="A1797" s="20" t="s">
        <v>2035</v>
      </c>
      <c r="E1797" s="21">
        <f>IF(D1797="?OLD","!!!","")</f>
        <v/>
      </c>
      <c r="F1797" s="22" t="str">
        <f>IF(OR(E1797="",E1797="!!!"),"",IF(NOT(ISNA(VLOOKUP(E1797,E$1:E1796,1,FALSE()))),"OLD",IF(AND(E1797&lt;&gt;"",E1797&lt;&gt;"!!!"),"NEW","")))</f>
        <v> </v>
      </c>
      <c r="G1797" s="23" t="str">
        <f>IF(OR(E1797="",E1797="!!!"),"",IF(OR(J1797=0,AND(J1797=1,K1797=1),AND(J1797=1,I1797="SBJ"),AND(J1797=1,I1797=0)),"?IN_FOCUS",IF(J1797&lt;=2,"?ACTIVATED",IF(J1797&lt;&gt;"","?FAMILIAR",IF(F1797="NEW",IF(ISNA(VLOOKUP(E1797,#REF!,1,FALSE())),"?TYPE_IDENTIFIABLE","?REFERENTIAL"),"_")))))</f>
        <v> </v>
      </c>
      <c r="H1797" s="24" t="str">
        <f>IF(J1797&lt;&gt;1,"",IF(I1797="SBJ","CB","?"))</f>
        <v> </v>
      </c>
      <c r="I1797" s="25" t="str">
        <f>IF(OR(E1797="",E1797="!!!",F1797="NEW"),"",INDEX(B1796:B$2,-1+SUMPRODUCT(MAX(ROW(E1796:E$2)*(E1797=E1796:E$2)))))</f>
        <v> </v>
      </c>
      <c r="J1797" s="25" t="str">
        <f>IF(OR(E1797="",E1797="!!!",F1797="NEW"),"",COUNTBLANK(OFFSET(A$1,,,SUMPRODUCT(MAX(ROW(E$2:E1797)*(E1797=E$2:E1797)))))-COUNTBLANK(OFFSET(A$1,,,SUMPRODUCT(MAX(ROW(E$1:E1796)*(E2=E$1:E1796))))))</f>
        <v> </v>
      </c>
      <c r="K1797" s="25" t="str">
        <f>IF(OR(E1797="",E1797="!!!",F1797="NEW"),"",INDEX(J$1:J1796,SUMPRODUCT(MAX(ROW(E$1:E1796)*(E1797=E$1:E1796)))))</f>
        <v> </v>
      </c>
      <c r="L1797" s="26"/>
    </row>
    <row r="1798" spans="1:12">
      <c r="A1798" s="20" t="s">
        <v>2037</v>
      </c>
      <c r="E1798" s="21">
        <f>IF(D1798="?OLD","!!!","")</f>
        <v/>
      </c>
      <c r="F1798" s="22" t="str">
        <f>IF(OR(E1798="",E1798="!!!"),"",IF(NOT(ISNA(VLOOKUP(E1798,E$1:E1797,1,FALSE()))),"OLD",IF(AND(E1798&lt;&gt;"",E1798&lt;&gt;"!!!"),"NEW","")))</f>
        <v> </v>
      </c>
      <c r="G1798" s="23" t="str">
        <f>IF(OR(E1798="",E1798="!!!"),"",IF(OR(J1798=0,AND(J1798=1,K1798=1),AND(J1798=1,I1798="SBJ"),AND(J1798=1,I1798=0)),"?IN_FOCUS",IF(J1798&lt;=2,"?ACTIVATED",IF(J1798&lt;&gt;"","?FAMILIAR",IF(F1798="NEW",IF(ISNA(VLOOKUP(E1798,#REF!,1,FALSE())),"?TYPE_IDENTIFIABLE","?REFERENTIAL"),"_")))))</f>
        <v> </v>
      </c>
      <c r="H1798" s="24" t="str">
        <f>IF(J1798&lt;&gt;1,"",IF(I1798="SBJ","CB","?"))</f>
        <v> </v>
      </c>
      <c r="I1798" s="25" t="str">
        <f>IF(OR(E1798="",E1798="!!!",F1798="NEW"),"",INDEX(B1797:B$2,-1+SUMPRODUCT(MAX(ROW(E1797:E$2)*(E1798=E1797:E$2)))))</f>
        <v> </v>
      </c>
      <c r="J1798" s="25" t="str">
        <f>IF(OR(E1798="",E1798="!!!",F1798="NEW"),"",COUNTBLANK(OFFSET(A$1,,,SUMPRODUCT(MAX(ROW(E$2:E1798)*(E1798=E$2:E1798)))))-COUNTBLANK(OFFSET(A$1,,,SUMPRODUCT(MAX(ROW(E$1:E1797)*(E2=E$1:E1797))))))</f>
        <v> </v>
      </c>
      <c r="K1798" s="25" t="str">
        <f>IF(OR(E1798="",E1798="!!!",F1798="NEW"),"",INDEX(J$1:J1797,SUMPRODUCT(MAX(ROW(E$1:E1797)*(E1798=E$1:E1797)))))</f>
        <v> </v>
      </c>
      <c r="L1798" s="26"/>
    </row>
    <row r="1799" spans="1:12">
      <c r="A1799" s="20" t="s">
        <v>1123</v>
      </c>
      <c r="E1799" s="21">
        <f>IF(D1799="?OLD","!!!","")</f>
        <v/>
      </c>
      <c r="F1799" s="22" t="str">
        <f>IF(OR(E1799="",E1799="!!!"),"",IF(NOT(ISNA(VLOOKUP(E1799,E$1:E1798,1,FALSE()))),"OLD",IF(AND(E1799&lt;&gt;"",E1799&lt;&gt;"!!!"),"NEW","")))</f>
        <v> </v>
      </c>
      <c r="G1799" s="23" t="str">
        <f>IF(OR(E1799="",E1799="!!!"),"",IF(OR(J1799=0,AND(J1799=1,K1799=1),AND(J1799=1,I1799="SBJ"),AND(J1799=1,I1799=0)),"?IN_FOCUS",IF(J1799&lt;=2,"?ACTIVATED",IF(J1799&lt;&gt;"","?FAMILIAR",IF(F1799="NEW",IF(ISNA(VLOOKUP(E1799,#REF!,1,FALSE())),"?TYPE_IDENTIFIABLE","?REFERENTIAL"),"_")))))</f>
        <v> </v>
      </c>
      <c r="H1799" s="24" t="str">
        <f>IF(J1799&lt;&gt;1,"",IF(I1799="SBJ","CB","?"))</f>
        <v> </v>
      </c>
      <c r="I1799" s="25" t="str">
        <f>IF(OR(E1799="",E1799="!!!",F1799="NEW"),"",INDEX(B1798:B$2,-1+SUMPRODUCT(MAX(ROW(E1798:E$2)*(E1799=E1798:E$2)))))</f>
        <v> </v>
      </c>
      <c r="J1799" s="25" t="str">
        <f>IF(OR(E1799="",E1799="!!!",F1799="NEW"),"",COUNTBLANK(OFFSET(A$1,,,SUMPRODUCT(MAX(ROW(E$2:E1799)*(E1799=E$2:E1799)))))-COUNTBLANK(OFFSET(A$1,,,SUMPRODUCT(MAX(ROW(E$1:E1798)*(E2=E$1:E1798))))))</f>
        <v> </v>
      </c>
      <c r="K1799" s="25" t="str">
        <f>IF(OR(E1799="",E1799="!!!",F1799="NEW"),"",INDEX(J$1:J1798,SUMPRODUCT(MAX(ROW(E$1:E1798)*(E1799=E$1:E1798)))))</f>
        <v> </v>
      </c>
      <c r="L1799" s="26"/>
    </row>
    <row r="1800" spans="1:12">
      <c r="A1800" s="20" t="s">
        <v>1699</v>
      </c>
      <c r="B1800" s="27" t="s">
        <v>1495</v>
      </c>
      <c r="C1800" s="27" t="s">
        <v>1758</v>
      </c>
      <c r="E1800" s="21">
        <f>IF(D1800="?OLD","!!!","")</f>
        <v/>
      </c>
      <c r="F1800" s="22" t="str">
        <f>IF(OR(E1800="",E1800="!!!"),"",IF(NOT(ISNA(VLOOKUP(E1800,E$1:E1799,1,FALSE()))),"OLD",IF(AND(E1800&lt;&gt;"",E1800&lt;&gt;"!!!"),"NEW","")))</f>
        <v> </v>
      </c>
      <c r="G1800" s="23" t="str">
        <f>IF(OR(E1800="",E1800="!!!"),"",IF(OR(J1800=0,AND(J1800=1,K1800=1),AND(J1800=1,I1800="SBJ"),AND(J1800=1,I1800=0)),"?IN_FOCUS",IF(J1800&lt;=2,"?ACTIVATED",IF(J1800&lt;&gt;"","?FAMILIAR",IF(F1800="NEW",IF(ISNA(VLOOKUP(E1800,#REF!,1,FALSE())),"?TYPE_IDENTIFIABLE","?REFERENTIAL"),"_")))))</f>
        <v> </v>
      </c>
      <c r="H1800" s="24" t="str">
        <f>IF(J1800&lt;&gt;1,"",IF(I1800="SBJ","CB","?"))</f>
        <v> </v>
      </c>
      <c r="I1800" s="25" t="str">
        <f>IF(OR(E1800="",E1800="!!!",F1800="NEW"),"",INDEX(B1799:B$2,-1+SUMPRODUCT(MAX(ROW(E1799:E$2)*(E1800=E1799:E$2)))))</f>
        <v> </v>
      </c>
      <c r="J1800" s="25" t="str">
        <f>IF(OR(E1800="",E1800="!!!",F1800="NEW"),"",COUNTBLANK(OFFSET(A$1,,,SUMPRODUCT(MAX(ROW(E$2:E1800)*(E1800=E$2:E1800)))))-COUNTBLANK(OFFSET(A$1,,,SUMPRODUCT(MAX(ROW(E$1:E1799)*(E2=E$1:E1799))))))</f>
        <v> </v>
      </c>
      <c r="K1800" s="25" t="str">
        <f>IF(OR(E1800="",E1800="!!!",F1800="NEW"),"",INDEX(J$1:J1799,SUMPRODUCT(MAX(ROW(E$1:E1799)*(E1800=E$1:E1799)))))</f>
        <v> </v>
      </c>
      <c r="L1800" s="26"/>
    </row>
    <row r="1801" spans="1:12">
      <c r="A1801" s="20" t="s">
        <v>1114</v>
      </c>
      <c r="E1801" s="21">
        <f>IF(D1801="?OLD","!!!","")</f>
        <v/>
      </c>
      <c r="F1801" s="22" t="str">
        <f>IF(OR(E1801="",E1801="!!!"),"",IF(NOT(ISNA(VLOOKUP(E1801,E$1:E1800,1,FALSE()))),"OLD",IF(AND(E1801&lt;&gt;"",E1801&lt;&gt;"!!!"),"NEW","")))</f>
        <v> </v>
      </c>
      <c r="G1801" s="23" t="str">
        <f>IF(OR(E1801="",E1801="!!!"),"",IF(OR(J1801=0,AND(J1801=1,K1801=1),AND(J1801=1,I1801="SBJ"),AND(J1801=1,I1801=0)),"?IN_FOCUS",IF(J1801&lt;=2,"?ACTIVATED",IF(J1801&lt;&gt;"","?FAMILIAR",IF(F1801="NEW",IF(ISNA(VLOOKUP(E1801,#REF!,1,FALSE())),"?TYPE_IDENTIFIABLE","?REFERENTIAL"),"_")))))</f>
        <v> </v>
      </c>
      <c r="H1801" s="24" t="str">
        <f>IF(J1801&lt;&gt;1,"",IF(I1801="SBJ","CB","?"))</f>
        <v> </v>
      </c>
      <c r="I1801" s="25" t="str">
        <f>IF(OR(E1801="",E1801="!!!",F1801="NEW"),"",INDEX(B1800:B$2,-1+SUMPRODUCT(MAX(ROW(E1800:E$2)*(E1801=E1800:E$2)))))</f>
        <v> </v>
      </c>
      <c r="J1801" s="25" t="str">
        <f>IF(OR(E1801="",E1801="!!!",F1801="NEW"),"",COUNTBLANK(OFFSET(A$1,,,SUMPRODUCT(MAX(ROW(E$2:E1801)*(E1801=E$2:E1801)))))-COUNTBLANK(OFFSET(A$1,,,SUMPRODUCT(MAX(ROW(E$1:E1800)*(E2=E$1:E1800))))))</f>
        <v> </v>
      </c>
      <c r="K1801" s="25" t="str">
        <f>IF(OR(E1801="",E1801="!!!",F1801="NEW"),"",INDEX(J$1:J1800,SUMPRODUCT(MAX(ROW(E$1:E1800)*(E1801=E$1:E1800)))))</f>
        <v> </v>
      </c>
      <c r="L1801" s="26"/>
    </row>
    <row r="1802" spans="1:12">
      <c r="A1802" s="20" t="s">
        <v>2038</v>
      </c>
      <c r="E1802" s="21">
        <f>IF(D1802="?OLD","!!!","")</f>
        <v/>
      </c>
      <c r="F1802" s="22" t="str">
        <f>IF(OR(E1802="",E1802="!!!"),"",IF(NOT(ISNA(VLOOKUP(E1802,E$1:E1801,1,FALSE()))),"OLD",IF(AND(E1802&lt;&gt;"",E1802&lt;&gt;"!!!"),"NEW","")))</f>
        <v> </v>
      </c>
      <c r="G1802" s="23" t="str">
        <f>IF(OR(E1802="",E1802="!!!"),"",IF(OR(J1802=0,AND(J1802=1,K1802=1),AND(J1802=1,I1802="SBJ"),AND(J1802=1,I1802=0)),"?IN_FOCUS",IF(J1802&lt;=2,"?ACTIVATED",IF(J1802&lt;&gt;"","?FAMILIAR",IF(F1802="NEW",IF(ISNA(VLOOKUP(E1802,#REF!,1,FALSE())),"?TYPE_IDENTIFIABLE","?REFERENTIAL"),"_")))))</f>
        <v> </v>
      </c>
      <c r="H1802" s="24" t="str">
        <f>IF(J1802&lt;&gt;1,"",IF(I1802="SBJ","CB","?"))</f>
        <v> </v>
      </c>
      <c r="I1802" s="25" t="str">
        <f>IF(OR(E1802="",E1802="!!!",F1802="NEW"),"",INDEX(B1801:B$2,-1+SUMPRODUCT(MAX(ROW(E1801:E$2)*(E1802=E1801:E$2)))))</f>
        <v> </v>
      </c>
      <c r="J1802" s="25" t="str">
        <f>IF(OR(E1802="",E1802="!!!",F1802="NEW"),"",COUNTBLANK(OFFSET(A$1,,,SUMPRODUCT(MAX(ROW(E$2:E1802)*(E1802=E$2:E1802)))))-COUNTBLANK(OFFSET(A$1,,,SUMPRODUCT(MAX(ROW(E$1:E1801)*(E2=E$1:E1801))))))</f>
        <v> </v>
      </c>
      <c r="K1802" s="25" t="str">
        <f>IF(OR(E1802="",E1802="!!!",F1802="NEW"),"",INDEX(J$1:J1801,SUMPRODUCT(MAX(ROW(E$1:E1801)*(E1802=E$1:E1801)))))</f>
        <v> </v>
      </c>
      <c r="L1802" s="26"/>
    </row>
    <row r="1803" spans="1:12">
      <c r="A1803" s="20" t="s">
        <v>2039</v>
      </c>
      <c r="B1803" s="27" t="s">
        <v>1307</v>
      </c>
      <c r="C1803" s="27" t="s">
        <v>1156</v>
      </c>
      <c r="D1803" s="27" t="s">
        <v>1105</v>
      </c>
      <c r="E1803" s="21">
        <f>IF(D1803="?OLD","!!!","")</f>
        <v/>
      </c>
      <c r="F1803" s="22" t="str">
        <f>IF(OR(E1803="",E1803="!!!"),"",IF(NOT(ISNA(VLOOKUP(E1803,E$1:E1802,1,FALSE()))),"OLD",IF(AND(E1803&lt;&gt;"",E1803&lt;&gt;"!!!"),"NEW","")))</f>
        <v> </v>
      </c>
      <c r="G1803" s="23" t="str">
        <f>IF(OR(E1803="",E1803="!!!"),"",IF(OR(J1803=0,AND(J1803=1,K1803=1),AND(J1803=1,I1803="SBJ"),AND(J1803=1,I1803=0)),"?IN_FOCUS",IF(J1803&lt;=2,"?ACTIVATED",IF(J1803&lt;&gt;"","?FAMILIAR",IF(F1803="NEW",IF(ISNA(VLOOKUP(E1803,#REF!,1,FALSE())),"?TYPE_IDENTIFIABLE","?REFERENTIAL"),"_")))))</f>
        <v> </v>
      </c>
      <c r="H1803" s="24" t="str">
        <f>IF(J1803&lt;&gt;1,"",IF(I1803="SBJ","CB","?"))</f>
        <v> </v>
      </c>
      <c r="I1803" s="25" t="str">
        <f>IF(OR(E1803="",E1803="!!!",F1803="NEW"),"",INDEX(B1802:B$2,-1+SUMPRODUCT(MAX(ROW(E1802:E$2)*(E1803=E1802:E$2)))))</f>
        <v> </v>
      </c>
      <c r="J1803" s="25" t="str">
        <f>IF(OR(E1803="",E1803="!!!",F1803="NEW"),"",COUNTBLANK(OFFSET(A$1,,,SUMPRODUCT(MAX(ROW(E$2:E1803)*(E1803=E$2:E1803)))))-COUNTBLANK(OFFSET(A$1,,,SUMPRODUCT(MAX(ROW(E$1:E1802)*(E2=E$1:E1802))))))</f>
        <v> </v>
      </c>
      <c r="K1803" s="25" t="str">
        <f>IF(OR(E1803="",E1803="!!!",F1803="NEW"),"",INDEX(J$1:J1802,SUMPRODUCT(MAX(ROW(E$1:E1802)*(E1803=E$1:E1802)))))</f>
        <v> </v>
      </c>
      <c r="L1803" s="26"/>
    </row>
    <row r="1804" spans="1:12">
      <c r="A1804" s="20" t="s">
        <v>1123</v>
      </c>
      <c r="E1804" s="21">
        <f>IF(D1804="?OLD","!!!","")</f>
        <v/>
      </c>
      <c r="F1804" s="22" t="str">
        <f>IF(OR(E1804="",E1804="!!!"),"",IF(NOT(ISNA(VLOOKUP(E1804,E$1:E1803,1,FALSE()))),"OLD",IF(AND(E1804&lt;&gt;"",E1804&lt;&gt;"!!!"),"NEW","")))</f>
        <v> </v>
      </c>
      <c r="G1804" s="23" t="str">
        <f>IF(OR(E1804="",E1804="!!!"),"",IF(OR(J1804=0,AND(J1804=1,K1804=1),AND(J1804=1,I1804="SBJ"),AND(J1804=1,I1804=0)),"?IN_FOCUS",IF(J1804&lt;=2,"?ACTIVATED",IF(J1804&lt;&gt;"","?FAMILIAR",IF(F1804="NEW",IF(ISNA(VLOOKUP(E1804,#REF!,1,FALSE())),"?TYPE_IDENTIFIABLE","?REFERENTIAL"),"_")))))</f>
        <v> </v>
      </c>
      <c r="H1804" s="24" t="str">
        <f>IF(J1804&lt;&gt;1,"",IF(I1804="SBJ","CB","?"))</f>
        <v> </v>
      </c>
      <c r="I1804" s="25" t="str">
        <f>IF(OR(E1804="",E1804="!!!",F1804="NEW"),"",INDEX(B1803:B$2,-1+SUMPRODUCT(MAX(ROW(E1803:E$2)*(E1804=E1803:E$2)))))</f>
        <v> </v>
      </c>
      <c r="J1804" s="25" t="str">
        <f>IF(OR(E1804="",E1804="!!!",F1804="NEW"),"",COUNTBLANK(OFFSET(A$1,,,SUMPRODUCT(MAX(ROW(E$2:E1804)*(E1804=E$2:E1804)))))-COUNTBLANK(OFFSET(A$1,,,SUMPRODUCT(MAX(ROW(E$1:E1803)*(E2=E$1:E1803))))))</f>
        <v> </v>
      </c>
      <c r="K1804" s="25" t="str">
        <f>IF(OR(E1804="",E1804="!!!",F1804="NEW"),"",INDEX(J$1:J1803,SUMPRODUCT(MAX(ROW(E$1:E1803)*(E1804=E$1:E1803)))))</f>
        <v> </v>
      </c>
      <c r="L1804" s="26"/>
    </row>
    <row r="1805" spans="1:12">
      <c r="A1805" s="20" t="s">
        <v>2040</v>
      </c>
      <c r="E1805" s="21">
        <f>IF(D1805="?OLD","!!!","")</f>
        <v/>
      </c>
      <c r="F1805" s="22" t="str">
        <f>IF(OR(E1805="",E1805="!!!"),"",IF(NOT(ISNA(VLOOKUP(E1805,E$1:E1804,1,FALSE()))),"OLD",IF(AND(E1805&lt;&gt;"",E1805&lt;&gt;"!!!"),"NEW","")))</f>
        <v> </v>
      </c>
      <c r="G1805" s="23" t="str">
        <f>IF(OR(E1805="",E1805="!!!"),"",IF(OR(J1805=0,AND(J1805=1,K1805=1),AND(J1805=1,I1805="SBJ"),AND(J1805=1,I1805=0)),"?IN_FOCUS",IF(J1805&lt;=2,"?ACTIVATED",IF(J1805&lt;&gt;"","?FAMILIAR",IF(F1805="NEW",IF(ISNA(VLOOKUP(E1805,#REF!,1,FALSE())),"?TYPE_IDENTIFIABLE","?REFERENTIAL"),"_")))))</f>
        <v> </v>
      </c>
      <c r="H1805" s="24" t="str">
        <f>IF(J1805&lt;&gt;1,"",IF(I1805="SBJ","CB","?"))</f>
        <v> </v>
      </c>
      <c r="I1805" s="25" t="str">
        <f>IF(OR(E1805="",E1805="!!!",F1805="NEW"),"",INDEX(B1804:B$2,-1+SUMPRODUCT(MAX(ROW(E1804:E$2)*(E1805=E1804:E$2)))))</f>
        <v> </v>
      </c>
      <c r="J1805" s="25" t="str">
        <f>IF(OR(E1805="",E1805="!!!",F1805="NEW"),"",COUNTBLANK(OFFSET(A$1,,,SUMPRODUCT(MAX(ROW(E$2:E1805)*(E1805=E$2:E1805)))))-COUNTBLANK(OFFSET(A$1,,,SUMPRODUCT(MAX(ROW(E$1:E1804)*(E2=E$1:E1804))))))</f>
        <v> </v>
      </c>
      <c r="K1805" s="25" t="str">
        <f>IF(OR(E1805="",E1805="!!!",F1805="NEW"),"",INDEX(J$1:J1804,SUMPRODUCT(MAX(ROW(E$1:E1804)*(E1805=E$1:E1804)))))</f>
        <v> </v>
      </c>
      <c r="L1805" s="26"/>
    </row>
    <row r="1806" spans="1:12">
      <c r="A1806" s="20" t="s">
        <v>1249</v>
      </c>
      <c r="E1806" s="21">
        <f>IF(D1806="?OLD","!!!","")</f>
        <v/>
      </c>
      <c r="F1806" s="22" t="str">
        <f>IF(OR(E1806="",E1806="!!!"),"",IF(NOT(ISNA(VLOOKUP(E1806,E$1:E1805,1,FALSE()))),"OLD",IF(AND(E1806&lt;&gt;"",E1806&lt;&gt;"!!!"),"NEW","")))</f>
        <v> </v>
      </c>
      <c r="G1806" s="23" t="str">
        <f>IF(OR(E1806="",E1806="!!!"),"",IF(OR(J1806=0,AND(J1806=1,K1806=1),AND(J1806=1,I1806="SBJ"),AND(J1806=1,I1806=0)),"?IN_FOCUS",IF(J1806&lt;=2,"?ACTIVATED",IF(J1806&lt;&gt;"","?FAMILIAR",IF(F1806="NEW",IF(ISNA(VLOOKUP(E1806,#REF!,1,FALSE())),"?TYPE_IDENTIFIABLE","?REFERENTIAL"),"_")))))</f>
        <v> </v>
      </c>
      <c r="H1806" s="24" t="str">
        <f>IF(J1806&lt;&gt;1,"",IF(I1806="SBJ","CB","?"))</f>
        <v> </v>
      </c>
      <c r="I1806" s="25" t="str">
        <f>IF(OR(E1806="",E1806="!!!",F1806="NEW"),"",INDEX(B1805:B$2,-1+SUMPRODUCT(MAX(ROW(E1805:E$2)*(E1806=E1805:E$2)))))</f>
        <v> </v>
      </c>
      <c r="J1806" s="25" t="str">
        <f>IF(OR(E1806="",E1806="!!!",F1806="NEW"),"",COUNTBLANK(OFFSET(A$1,,,SUMPRODUCT(MAX(ROW(E$2:E1806)*(E1806=E$2:E1806)))))-COUNTBLANK(OFFSET(A$1,,,SUMPRODUCT(MAX(ROW(E$1:E1805)*(E2=E$1:E1805))))))</f>
        <v> </v>
      </c>
      <c r="K1806" s="25" t="str">
        <f>IF(OR(E1806="",E1806="!!!",F1806="NEW"),"",INDEX(J$1:J1805,SUMPRODUCT(MAX(ROW(E$1:E1805)*(E1806=E$1:E1805)))))</f>
        <v> </v>
      </c>
      <c r="L1806" s="26"/>
    </row>
    <row r="1807" spans="1:12">
      <c r="A1807" s="20" t="s">
        <v>1270</v>
      </c>
      <c r="B1807" s="27" t="s">
        <v>2041</v>
      </c>
      <c r="C1807" s="27" t="s">
        <v>1126</v>
      </c>
      <c r="D1807" s="27" t="s">
        <v>1105</v>
      </c>
      <c r="E1807" s="21">
        <f>IF(D1807="?OLD","!!!","")</f>
        <v/>
      </c>
      <c r="F1807" s="22" t="str">
        <f>IF(OR(E1807="",E1807="!!!"),"",IF(NOT(ISNA(VLOOKUP(E1807,E$1:E1806,1,FALSE()))),"OLD",IF(AND(E1807&lt;&gt;"",E1807&lt;&gt;"!!!"),"NEW","")))</f>
        <v> </v>
      </c>
      <c r="G1807" s="23" t="str">
        <f>IF(OR(E1807="",E1807="!!!"),"",IF(OR(J1807=0,AND(J1807=1,K1807=1),AND(J1807=1,I1807="SBJ"),AND(J1807=1,I1807=0)),"?IN_FOCUS",IF(J1807&lt;=2,"?ACTIVATED",IF(J1807&lt;&gt;"","?FAMILIAR",IF(F1807="NEW",IF(ISNA(VLOOKUP(E1807,#REF!,1,FALSE())),"?TYPE_IDENTIFIABLE","?REFERENTIAL"),"_")))))</f>
        <v> </v>
      </c>
      <c r="H1807" s="24" t="str">
        <f>IF(J1807&lt;&gt;1,"",IF(I1807="SBJ","CB","?"))</f>
        <v> </v>
      </c>
      <c r="I1807" s="25" t="str">
        <f>IF(OR(E1807="",E1807="!!!",F1807="NEW"),"",INDEX(B1806:B$2,-1+SUMPRODUCT(MAX(ROW(E1806:E$2)*(E1807=E1806:E$2)))))</f>
        <v> </v>
      </c>
      <c r="J1807" s="25" t="str">
        <f>IF(OR(E1807="",E1807="!!!",F1807="NEW"),"",COUNTBLANK(OFFSET(A$1,,,SUMPRODUCT(MAX(ROW(E$2:E1807)*(E1807=E$2:E1807)))))-COUNTBLANK(OFFSET(A$1,,,SUMPRODUCT(MAX(ROW(E$1:E1806)*(E2=E$1:E1806))))))</f>
        <v> </v>
      </c>
      <c r="K1807" s="25" t="str">
        <f>IF(OR(E1807="",E1807="!!!",F1807="NEW"),"",INDEX(J$1:J1806,SUMPRODUCT(MAX(ROW(E$1:E1806)*(E1807=E$1:E1806)))))</f>
        <v> </v>
      </c>
      <c r="L1807" s="26"/>
    </row>
    <row r="1808" spans="1:12">
      <c r="A1808" s="20" t="s">
        <v>1101</v>
      </c>
      <c r="E1808" s="21">
        <f>IF(D1808="?OLD","!!!","")</f>
        <v/>
      </c>
      <c r="F1808" s="22" t="str">
        <f>IF(OR(E1808="",E1808="!!!"),"",IF(NOT(ISNA(VLOOKUP(E1808,E$1:E1807,1,FALSE()))),"OLD",IF(AND(E1808&lt;&gt;"",E1808&lt;&gt;"!!!"),"NEW","")))</f>
        <v> </v>
      </c>
      <c r="G1808" s="23" t="str">
        <f>IF(OR(E1808="",E1808="!!!"),"",IF(OR(J1808=0,AND(J1808=1,K1808=1),AND(J1808=1,I1808="SBJ"),AND(J1808=1,I1808=0)),"?IN_FOCUS",IF(J1808&lt;=2,"?ACTIVATED",IF(J1808&lt;&gt;"","?FAMILIAR",IF(F1808="NEW",IF(ISNA(VLOOKUP(E1808,#REF!,1,FALSE())),"?TYPE_IDENTIFIABLE","?REFERENTIAL"),"_")))))</f>
        <v> </v>
      </c>
      <c r="H1808" s="24" t="str">
        <f>IF(J1808&lt;&gt;1,"",IF(I1808="SBJ","CB","?"))</f>
        <v> </v>
      </c>
      <c r="I1808" s="25" t="str">
        <f>IF(OR(E1808="",E1808="!!!",F1808="NEW"),"",INDEX(B1807:B$2,-1+SUMPRODUCT(MAX(ROW(E1807:E$2)*(E1808=E1807:E$2)))))</f>
        <v> </v>
      </c>
      <c r="J1808" s="25" t="str">
        <f>IF(OR(E1808="",E1808="!!!",F1808="NEW"),"",COUNTBLANK(OFFSET(A$1,,,SUMPRODUCT(MAX(ROW(E$2:E1808)*(E1808=E$2:E1808)))))-COUNTBLANK(OFFSET(A$1,,,SUMPRODUCT(MAX(ROW(E$1:E1807)*(E2=E$1:E1807))))))</f>
        <v> </v>
      </c>
      <c r="K1808" s="25" t="str">
        <f>IF(OR(E1808="",E1808="!!!",F1808="NEW"),"",INDEX(J$1:J1807,SUMPRODUCT(MAX(ROW(E$1:E1807)*(E1808=E$1:E1807)))))</f>
        <v> </v>
      </c>
      <c r="L1808" s="26"/>
    </row>
    <row r="1809" spans="1:12">
      <c r="A1809" s="20" t="s">
        <v>1904</v>
      </c>
      <c r="E1809" s="21">
        <f>IF(D1809="?OLD","!!!","")</f>
        <v/>
      </c>
      <c r="F1809" s="22" t="str">
        <f>IF(OR(E1809="",E1809="!!!"),"",IF(NOT(ISNA(VLOOKUP(E1809,E$1:E1808,1,FALSE()))),"OLD",IF(AND(E1809&lt;&gt;"",E1809&lt;&gt;"!!!"),"NEW","")))</f>
        <v> </v>
      </c>
      <c r="G1809" s="23" t="str">
        <f>IF(OR(E1809="",E1809="!!!"),"",IF(OR(J1809=0,AND(J1809=1,K1809=1),AND(J1809=1,I1809="SBJ"),AND(J1809=1,I1809=0)),"?IN_FOCUS",IF(J1809&lt;=2,"?ACTIVATED",IF(J1809&lt;&gt;"","?FAMILIAR",IF(F1809="NEW",IF(ISNA(VLOOKUP(E1809,#REF!,1,FALSE())),"?TYPE_IDENTIFIABLE","?REFERENTIAL"),"_")))))</f>
        <v> </v>
      </c>
      <c r="H1809" s="24" t="str">
        <f>IF(J1809&lt;&gt;1,"",IF(I1809="SBJ","CB","?"))</f>
        <v> </v>
      </c>
      <c r="I1809" s="25" t="str">
        <f>IF(OR(E1809="",E1809="!!!",F1809="NEW"),"",INDEX(B1808:B$2,-1+SUMPRODUCT(MAX(ROW(E1808:E$2)*(E1809=E1808:E$2)))))</f>
        <v> </v>
      </c>
      <c r="J1809" s="25" t="str">
        <f>IF(OR(E1809="",E1809="!!!",F1809="NEW"),"",COUNTBLANK(OFFSET(A$1,,,SUMPRODUCT(MAX(ROW(E$2:E1809)*(E1809=E$2:E1809)))))-COUNTBLANK(OFFSET(A$1,,,SUMPRODUCT(MAX(ROW(E$1:E1808)*(E2=E$1:E1808))))))</f>
        <v> </v>
      </c>
      <c r="K1809" s="25" t="str">
        <f>IF(OR(E1809="",E1809="!!!",F1809="NEW"),"",INDEX(J$1:J1808,SUMPRODUCT(MAX(ROW(E$1:E1808)*(E1809=E$1:E1808)))))</f>
        <v> </v>
      </c>
      <c r="L1809" s="26"/>
    </row>
    <row r="1810" spans="1:12">
      <c r="A1810" s="20" t="s">
        <v>1145</v>
      </c>
      <c r="E1810" s="21">
        <f>IF(D1810="?OLD","!!!","")</f>
        <v/>
      </c>
      <c r="F1810" s="22" t="str">
        <f>IF(OR(E1810="",E1810="!!!"),"",IF(NOT(ISNA(VLOOKUP(E1810,E$1:E1809,1,FALSE()))),"OLD",IF(AND(E1810&lt;&gt;"",E1810&lt;&gt;"!!!"),"NEW","")))</f>
        <v> </v>
      </c>
      <c r="G1810" s="23" t="str">
        <f>IF(OR(E1810="",E1810="!!!"),"",IF(OR(J1810=0,AND(J1810=1,K1810=1),AND(J1810=1,I1810="SBJ"),AND(J1810=1,I1810=0)),"?IN_FOCUS",IF(J1810&lt;=2,"?ACTIVATED",IF(J1810&lt;&gt;"","?FAMILIAR",IF(F1810="NEW",IF(ISNA(VLOOKUP(E1810,#REF!,1,FALSE())),"?TYPE_IDENTIFIABLE","?REFERENTIAL"),"_")))))</f>
        <v> </v>
      </c>
      <c r="H1810" s="24" t="str">
        <f>IF(J1810&lt;&gt;1,"",IF(I1810="SBJ","CB","?"))</f>
        <v> </v>
      </c>
      <c r="I1810" s="25" t="str">
        <f>IF(OR(E1810="",E1810="!!!",F1810="NEW"),"",INDEX(B1809:B$2,-1+SUMPRODUCT(MAX(ROW(E1809:E$2)*(E1810=E1809:E$2)))))</f>
        <v> </v>
      </c>
      <c r="J1810" s="25" t="str">
        <f>IF(OR(E1810="",E1810="!!!",F1810="NEW"),"",COUNTBLANK(OFFSET(A$1,,,SUMPRODUCT(MAX(ROW(E$2:E1810)*(E1810=E$2:E1810)))))-COUNTBLANK(OFFSET(A$1,,,SUMPRODUCT(MAX(ROW(E$1:E1809)*(E2=E$1:E1809))))))</f>
        <v> </v>
      </c>
      <c r="K1810" s="25" t="str">
        <f>IF(OR(E1810="",E1810="!!!",F1810="NEW"),"",INDEX(J$1:J1809,SUMPRODUCT(MAX(ROW(E$1:E1809)*(E1810=E$1:E1809)))))</f>
        <v> </v>
      </c>
      <c r="L1810" s="26"/>
    </row>
    <row r="1811" spans="1:12">
      <c r="A1811" s="20"/>
    </row>
    <row r="1812" spans="1:12">
      <c r="A1812" s="20" t="s">
        <v>2042</v>
      </c>
    </row>
    <row r="1813" spans="1:12">
      <c r="A1813" s="20" t="s">
        <v>2043</v>
      </c>
      <c r="B1813" s="27" t="s">
        <v>1149</v>
      </c>
      <c r="E1813" s="21">
        <f>IF(D1813="?OLD","!!!","")</f>
        <v/>
      </c>
      <c r="F1813" s="22" t="str">
        <f>IF(OR(E1813="",E1813="!!!"),"",IF(NOT(ISNA(VLOOKUP(E1813,E$1:E1812,1,FALSE()))),"OLD",IF(AND(E1813&lt;&gt;"",E1813&lt;&gt;"!!!"),"NEW","")))</f>
        <v> </v>
      </c>
      <c r="G1813" s="23" t="str">
        <f>IF(OR(E1813="",E1813="!!!"),"",IF(OR(J1813=0,AND(J1813=1,K1813=1),AND(J1813=1,I1813="SBJ"),AND(J1813=1,I1813=0)),"?IN_FOCUS",IF(J1813&lt;=2,"?ACTIVATED",IF(J1813&lt;&gt;"","?FAMILIAR",IF(F1813="NEW",IF(ISNA(VLOOKUP(E1813,#REF!,1,FALSE())),"?TYPE_IDENTIFIABLE","?REFERENTIAL"),"_")))))</f>
        <v> </v>
      </c>
      <c r="H1813" s="24" t="str">
        <f>IF(J1813&lt;&gt;1,"",IF(I1813="SBJ","CB","?"))</f>
        <v> </v>
      </c>
      <c r="I1813" s="25" t="str">
        <f>IF(OR(E1813="",E1813="!!!",F1813="NEW"),"",INDEX(B1812:B$2,-1+SUMPRODUCT(MAX(ROW(E1812:E$2)*(E1813=E1812:E$2)))))</f>
        <v> </v>
      </c>
      <c r="J1813" s="25" t="str">
        <f>IF(OR(E1813="",E1813="!!!",F1813="NEW"),"",COUNTBLANK(OFFSET(A$1,,,SUMPRODUCT(MAX(ROW(E$2:E1813)*(E1813=E$2:E1813)))))-COUNTBLANK(OFFSET(A$1,,,SUMPRODUCT(MAX(ROW(E$1:E1812)*(E2=E$1:E1812))))))</f>
        <v> </v>
      </c>
      <c r="K1813" s="25" t="str">
        <f>IF(OR(E1813="",E1813="!!!",F1813="NEW"),"",INDEX(J$1:J1812,SUMPRODUCT(MAX(ROW(E$1:E1812)*(E1813=E$1:E1812)))))</f>
        <v> </v>
      </c>
      <c r="L1813" s="26"/>
    </row>
    <row r="1814" spans="1:12">
      <c r="A1814" s="20" t="s">
        <v>2044</v>
      </c>
      <c r="E1814" s="21">
        <f>IF(D1814="?OLD","!!!","")</f>
        <v/>
      </c>
      <c r="F1814" s="22" t="str">
        <f>IF(OR(E1814="",E1814="!!!"),"",IF(NOT(ISNA(VLOOKUP(E1814,E$1:E1813,1,FALSE()))),"OLD",IF(AND(E1814&lt;&gt;"",E1814&lt;&gt;"!!!"),"NEW","")))</f>
        <v> </v>
      </c>
      <c r="G1814" s="23" t="str">
        <f>IF(OR(E1814="",E1814="!!!"),"",IF(OR(J1814=0,AND(J1814=1,K1814=1),AND(J1814=1,I1814="SBJ"),AND(J1814=1,I1814=0)),"?IN_FOCUS",IF(J1814&lt;=2,"?ACTIVATED",IF(J1814&lt;&gt;"","?FAMILIAR",IF(F1814="NEW",IF(ISNA(VLOOKUP(E1814,#REF!,1,FALSE())),"?TYPE_IDENTIFIABLE","?REFERENTIAL"),"_")))))</f>
        <v> </v>
      </c>
      <c r="H1814" s="24" t="str">
        <f>IF(J1814&lt;&gt;1,"",IF(I1814="SBJ","CB","?"))</f>
        <v> </v>
      </c>
      <c r="I1814" s="25" t="str">
        <f>IF(OR(E1814="",E1814="!!!",F1814="NEW"),"",INDEX(B1813:B$2,-1+SUMPRODUCT(MAX(ROW(E1813:E$2)*(E1814=E1813:E$2)))))</f>
        <v> </v>
      </c>
      <c r="J1814" s="25" t="str">
        <f>IF(OR(E1814="",E1814="!!!",F1814="NEW"),"",COUNTBLANK(OFFSET(A$1,,,SUMPRODUCT(MAX(ROW(E$2:E1814)*(E1814=E$2:E1814)))))-COUNTBLANK(OFFSET(A$1,,,SUMPRODUCT(MAX(ROW(E$1:E1813)*(E2=E$1:E1813))))))</f>
        <v> </v>
      </c>
      <c r="K1814" s="25" t="str">
        <f>IF(OR(E1814="",E1814="!!!",F1814="NEW"),"",INDEX(J$1:J1813,SUMPRODUCT(MAX(ROW(E$1:E1813)*(E1814=E$1:E1813)))))</f>
        <v> </v>
      </c>
      <c r="L1814" s="26"/>
    </row>
    <row r="1815" spans="1:12">
      <c r="A1815" s="20" t="s">
        <v>1253</v>
      </c>
      <c r="E1815" s="21">
        <f>IF(D1815="?OLD","!!!","")</f>
        <v/>
      </c>
      <c r="F1815" s="22" t="str">
        <f>IF(OR(E1815="",E1815="!!!"),"",IF(NOT(ISNA(VLOOKUP(E1815,E$1:E1814,1,FALSE()))),"OLD",IF(AND(E1815&lt;&gt;"",E1815&lt;&gt;"!!!"),"NEW","")))</f>
        <v> </v>
      </c>
      <c r="G1815" s="23" t="str">
        <f>IF(OR(E1815="",E1815="!!!"),"",IF(OR(J1815=0,AND(J1815=1,K1815=1),AND(J1815=1,I1815="SBJ"),AND(J1815=1,I1815=0)),"?IN_FOCUS",IF(J1815&lt;=2,"?ACTIVATED",IF(J1815&lt;&gt;"","?FAMILIAR",IF(F1815="NEW",IF(ISNA(VLOOKUP(E1815,#REF!,1,FALSE())),"?TYPE_IDENTIFIABLE","?REFERENTIAL"),"_")))))</f>
        <v> </v>
      </c>
      <c r="H1815" s="24" t="str">
        <f>IF(J1815&lt;&gt;1,"",IF(I1815="SBJ","CB","?"))</f>
        <v> </v>
      </c>
      <c r="I1815" s="25" t="str">
        <f>IF(OR(E1815="",E1815="!!!",F1815="NEW"),"",INDEX(B1814:B$2,-1+SUMPRODUCT(MAX(ROW(E1814:E$2)*(E1815=E1814:E$2)))))</f>
        <v> </v>
      </c>
      <c r="J1815" s="25" t="str">
        <f>IF(OR(E1815="",E1815="!!!",F1815="NEW"),"",COUNTBLANK(OFFSET(A$1,,,SUMPRODUCT(MAX(ROW(E$2:E1815)*(E1815=E$2:E1815)))))-COUNTBLANK(OFFSET(A$1,,,SUMPRODUCT(MAX(ROW(E$1:E1814)*(E2=E$1:E1814))))))</f>
        <v> </v>
      </c>
      <c r="K1815" s="25" t="str">
        <f>IF(OR(E1815="",E1815="!!!",F1815="NEW"),"",INDEX(J$1:J1814,SUMPRODUCT(MAX(ROW(E$1:E1814)*(E1815=E$1:E1814)))))</f>
        <v> </v>
      </c>
      <c r="L1815" s="26"/>
    </row>
    <row r="1816" spans="1:12">
      <c r="A1816" s="20" t="s">
        <v>1415</v>
      </c>
      <c r="E1816" s="21">
        <f>IF(D1816="?OLD","!!!","")</f>
        <v/>
      </c>
      <c r="F1816" s="22" t="str">
        <f>IF(OR(E1816="",E1816="!!!"),"",IF(NOT(ISNA(VLOOKUP(E1816,E$1:E1815,1,FALSE()))),"OLD",IF(AND(E1816&lt;&gt;"",E1816&lt;&gt;"!!!"),"NEW","")))</f>
        <v> </v>
      </c>
      <c r="G1816" s="23" t="str">
        <f>IF(OR(E1816="",E1816="!!!"),"",IF(OR(J1816=0,AND(J1816=1,K1816=1),AND(J1816=1,I1816="SBJ"),AND(J1816=1,I1816=0)),"?IN_FOCUS",IF(J1816&lt;=2,"?ACTIVATED",IF(J1816&lt;&gt;"","?FAMILIAR",IF(F1816="NEW",IF(ISNA(VLOOKUP(E1816,#REF!,1,FALSE())),"?TYPE_IDENTIFIABLE","?REFERENTIAL"),"_")))))</f>
        <v> </v>
      </c>
      <c r="H1816" s="24" t="str">
        <f>IF(J1816&lt;&gt;1,"",IF(I1816="SBJ","CB","?"))</f>
        <v> </v>
      </c>
      <c r="I1816" s="25" t="str">
        <f>IF(OR(E1816="",E1816="!!!",F1816="NEW"),"",INDEX(B1815:B$2,-1+SUMPRODUCT(MAX(ROW(E1815:E$2)*(E1816=E1815:E$2)))))</f>
        <v> </v>
      </c>
      <c r="J1816" s="25" t="str">
        <f>IF(OR(E1816="",E1816="!!!",F1816="NEW"),"",COUNTBLANK(OFFSET(A$1,,,SUMPRODUCT(MAX(ROW(E$2:E1816)*(E1816=E$2:E1816)))))-COUNTBLANK(OFFSET(A$1,,,SUMPRODUCT(MAX(ROW(E$1:E1815)*(E2=E$1:E1815))))))</f>
        <v> </v>
      </c>
      <c r="K1816" s="25" t="str">
        <f>IF(OR(E1816="",E1816="!!!",F1816="NEW"),"",INDEX(J$1:J1815,SUMPRODUCT(MAX(ROW(E$1:E1815)*(E1816=E$1:E1815)))))</f>
        <v> </v>
      </c>
      <c r="L1816" s="26"/>
    </row>
    <row r="1817" spans="1:12">
      <c r="A1817" s="20" t="s">
        <v>2045</v>
      </c>
      <c r="E1817" s="21">
        <f>IF(D1817="?OLD","!!!","")</f>
        <v/>
      </c>
      <c r="F1817" s="22" t="str">
        <f>IF(OR(E1817="",E1817="!!!"),"",IF(NOT(ISNA(VLOOKUP(E1817,E$1:E1816,1,FALSE()))),"OLD",IF(AND(E1817&lt;&gt;"",E1817&lt;&gt;"!!!"),"NEW","")))</f>
        <v> </v>
      </c>
      <c r="G1817" s="23" t="str">
        <f>IF(OR(E1817="",E1817="!!!"),"",IF(OR(J1817=0,AND(J1817=1,K1817=1),AND(J1817=1,I1817="SBJ"),AND(J1817=1,I1817=0)),"?IN_FOCUS",IF(J1817&lt;=2,"?ACTIVATED",IF(J1817&lt;&gt;"","?FAMILIAR",IF(F1817="NEW",IF(ISNA(VLOOKUP(E1817,#REF!,1,FALSE())),"?TYPE_IDENTIFIABLE","?REFERENTIAL"),"_")))))</f>
        <v> </v>
      </c>
      <c r="H1817" s="24" t="str">
        <f>IF(J1817&lt;&gt;1,"",IF(I1817="SBJ","CB","?"))</f>
        <v> </v>
      </c>
      <c r="I1817" s="25" t="str">
        <f>IF(OR(E1817="",E1817="!!!",F1817="NEW"),"",INDEX(B1816:B$2,-1+SUMPRODUCT(MAX(ROW(E1816:E$2)*(E1817=E1816:E$2)))))</f>
        <v> </v>
      </c>
      <c r="J1817" s="25" t="str">
        <f>IF(OR(E1817="",E1817="!!!",F1817="NEW"),"",COUNTBLANK(OFFSET(A$1,,,SUMPRODUCT(MAX(ROW(E$2:E1817)*(E1817=E$2:E1817)))))-COUNTBLANK(OFFSET(A$1,,,SUMPRODUCT(MAX(ROW(E$1:E1816)*(E2=E$1:E1816))))))</f>
        <v> </v>
      </c>
      <c r="K1817" s="25" t="str">
        <f>IF(OR(E1817="",E1817="!!!",F1817="NEW"),"",INDEX(J$1:J1816,SUMPRODUCT(MAX(ROW(E$1:E1816)*(E1817=E$1:E1816)))))</f>
        <v> </v>
      </c>
      <c r="L1817" s="26"/>
    </row>
    <row r="1818" spans="1:12">
      <c r="A1818" s="20" t="s">
        <v>2046</v>
      </c>
      <c r="E1818" s="21">
        <f>IF(D1818="?OLD","!!!","")</f>
        <v/>
      </c>
      <c r="F1818" s="22" t="str">
        <f>IF(OR(E1818="",E1818="!!!"),"",IF(NOT(ISNA(VLOOKUP(E1818,E$1:E1817,1,FALSE()))),"OLD",IF(AND(E1818&lt;&gt;"",E1818&lt;&gt;"!!!"),"NEW","")))</f>
        <v> </v>
      </c>
      <c r="G1818" s="23" t="str">
        <f>IF(OR(E1818="",E1818="!!!"),"",IF(OR(J1818=0,AND(J1818=1,K1818=1),AND(J1818=1,I1818="SBJ"),AND(J1818=1,I1818=0)),"?IN_FOCUS",IF(J1818&lt;=2,"?ACTIVATED",IF(J1818&lt;&gt;"","?FAMILIAR",IF(F1818="NEW",IF(ISNA(VLOOKUP(E1818,#REF!,1,FALSE())),"?TYPE_IDENTIFIABLE","?REFERENTIAL"),"_")))))</f>
        <v> </v>
      </c>
      <c r="H1818" s="24" t="str">
        <f>IF(J1818&lt;&gt;1,"",IF(I1818="SBJ","CB","?"))</f>
        <v> </v>
      </c>
      <c r="I1818" s="25" t="str">
        <f>IF(OR(E1818="",E1818="!!!",F1818="NEW"),"",INDEX(B1817:B$2,-1+SUMPRODUCT(MAX(ROW(E1817:E$2)*(E1818=E1817:E$2)))))</f>
        <v> </v>
      </c>
      <c r="J1818" s="25" t="str">
        <f>IF(OR(E1818="",E1818="!!!",F1818="NEW"),"",COUNTBLANK(OFFSET(A$1,,,SUMPRODUCT(MAX(ROW(E$2:E1818)*(E1818=E$2:E1818)))))-COUNTBLANK(OFFSET(A$1,,,SUMPRODUCT(MAX(ROW(E$1:E1817)*(E2=E$1:E1817))))))</f>
        <v> </v>
      </c>
      <c r="K1818" s="25" t="str">
        <f>IF(OR(E1818="",E1818="!!!",F1818="NEW"),"",INDEX(J$1:J1817,SUMPRODUCT(MAX(ROW(E$1:E1817)*(E1818=E$1:E1817)))))</f>
        <v> </v>
      </c>
      <c r="L1818" s="26"/>
    </row>
    <row r="1819" spans="1:12">
      <c r="A1819" s="20" t="s">
        <v>1123</v>
      </c>
      <c r="E1819" s="21">
        <f>IF(D1819="?OLD","!!!","")</f>
        <v/>
      </c>
      <c r="F1819" s="22" t="str">
        <f>IF(OR(E1819="",E1819="!!!"),"",IF(NOT(ISNA(VLOOKUP(E1819,E$1:E1818,1,FALSE()))),"OLD",IF(AND(E1819&lt;&gt;"",E1819&lt;&gt;"!!!"),"NEW","")))</f>
        <v> </v>
      </c>
      <c r="G1819" s="23" t="str">
        <f>IF(OR(E1819="",E1819="!!!"),"",IF(OR(J1819=0,AND(J1819=1,K1819=1),AND(J1819=1,I1819="SBJ"),AND(J1819=1,I1819=0)),"?IN_FOCUS",IF(J1819&lt;=2,"?ACTIVATED",IF(J1819&lt;&gt;"","?FAMILIAR",IF(F1819="NEW",IF(ISNA(VLOOKUP(E1819,#REF!,1,FALSE())),"?TYPE_IDENTIFIABLE","?REFERENTIAL"),"_")))))</f>
        <v> </v>
      </c>
      <c r="H1819" s="24" t="str">
        <f>IF(J1819&lt;&gt;1,"",IF(I1819="SBJ","CB","?"))</f>
        <v> </v>
      </c>
      <c r="I1819" s="25" t="str">
        <f>IF(OR(E1819="",E1819="!!!",F1819="NEW"),"",INDEX(B1818:B$2,-1+SUMPRODUCT(MAX(ROW(E1818:E$2)*(E1819=E1818:E$2)))))</f>
        <v> </v>
      </c>
      <c r="J1819" s="25" t="str">
        <f>IF(OR(E1819="",E1819="!!!",F1819="NEW"),"",COUNTBLANK(OFFSET(A$1,,,SUMPRODUCT(MAX(ROW(E$2:E1819)*(E1819=E$2:E1819)))))-COUNTBLANK(OFFSET(A$1,,,SUMPRODUCT(MAX(ROW(E$1:E1818)*(E2=E$1:E1818))))))</f>
        <v> </v>
      </c>
      <c r="K1819" s="25" t="str">
        <f>IF(OR(E1819="",E1819="!!!",F1819="NEW"),"",INDEX(J$1:J1818,SUMPRODUCT(MAX(ROW(E$1:E1818)*(E1819=E$1:E1818)))))</f>
        <v> </v>
      </c>
      <c r="L1819" s="26"/>
    </row>
    <row r="1820" spans="1:12">
      <c r="A1820" s="20" t="s">
        <v>2047</v>
      </c>
      <c r="E1820" s="21">
        <f>IF(D1820="?OLD","!!!","")</f>
        <v/>
      </c>
      <c r="F1820" s="22" t="str">
        <f>IF(OR(E1820="",E1820="!!!"),"",IF(NOT(ISNA(VLOOKUP(E1820,E$1:E1819,1,FALSE()))),"OLD",IF(AND(E1820&lt;&gt;"",E1820&lt;&gt;"!!!"),"NEW","")))</f>
        <v> </v>
      </c>
      <c r="G1820" s="23" t="str">
        <f>IF(OR(E1820="",E1820="!!!"),"",IF(OR(J1820=0,AND(J1820=1,K1820=1),AND(J1820=1,I1820="SBJ"),AND(J1820=1,I1820=0)),"?IN_FOCUS",IF(J1820&lt;=2,"?ACTIVATED",IF(J1820&lt;&gt;"","?FAMILIAR",IF(F1820="NEW",IF(ISNA(VLOOKUP(E1820,#REF!,1,FALSE())),"?TYPE_IDENTIFIABLE","?REFERENTIAL"),"_")))))</f>
        <v> </v>
      </c>
      <c r="H1820" s="24" t="str">
        <f>IF(J1820&lt;&gt;1,"",IF(I1820="SBJ","CB","?"))</f>
        <v> </v>
      </c>
      <c r="I1820" s="25" t="str">
        <f>IF(OR(E1820="",E1820="!!!",F1820="NEW"),"",INDEX(B1819:B$2,-1+SUMPRODUCT(MAX(ROW(E1819:E$2)*(E1820=E1819:E$2)))))</f>
        <v> </v>
      </c>
      <c r="J1820" s="25" t="str">
        <f>IF(OR(E1820="",E1820="!!!",F1820="NEW"),"",COUNTBLANK(OFFSET(A$1,,,SUMPRODUCT(MAX(ROW(E$2:E1820)*(E1820=E$2:E1820)))))-COUNTBLANK(OFFSET(A$1,,,SUMPRODUCT(MAX(ROW(E$1:E1819)*(E2=E$1:E1819))))))</f>
        <v> </v>
      </c>
      <c r="K1820" s="25" t="str">
        <f>IF(OR(E1820="",E1820="!!!",F1820="NEW"),"",INDEX(J$1:J1819,SUMPRODUCT(MAX(ROW(E$1:E1819)*(E1820=E$1:E1819)))))</f>
        <v> </v>
      </c>
      <c r="L1820" s="26"/>
    </row>
    <row r="1821" spans="1:12">
      <c r="A1821" s="20" t="s">
        <v>1271</v>
      </c>
      <c r="E1821" s="21">
        <f>IF(D1821="?OLD","!!!","")</f>
        <v/>
      </c>
      <c r="F1821" s="22" t="str">
        <f>IF(OR(E1821="",E1821="!!!"),"",IF(NOT(ISNA(VLOOKUP(E1821,E$1:E1820,1,FALSE()))),"OLD",IF(AND(E1821&lt;&gt;"",E1821&lt;&gt;"!!!"),"NEW","")))</f>
        <v> </v>
      </c>
      <c r="G1821" s="23" t="str">
        <f>IF(OR(E1821="",E1821="!!!"),"",IF(OR(J1821=0,AND(J1821=1,K1821=1),AND(J1821=1,I1821="SBJ"),AND(J1821=1,I1821=0)),"?IN_FOCUS",IF(J1821&lt;=2,"?ACTIVATED",IF(J1821&lt;&gt;"","?FAMILIAR",IF(F1821="NEW",IF(ISNA(VLOOKUP(E1821,#REF!,1,FALSE())),"?TYPE_IDENTIFIABLE","?REFERENTIAL"),"_")))))</f>
        <v> </v>
      </c>
      <c r="H1821" s="24" t="str">
        <f>IF(J1821&lt;&gt;1,"",IF(I1821="SBJ","CB","?"))</f>
        <v> </v>
      </c>
      <c r="I1821" s="25" t="str">
        <f>IF(OR(E1821="",E1821="!!!",F1821="NEW"),"",INDEX(B1820:B$2,-1+SUMPRODUCT(MAX(ROW(E1820:E$2)*(E1821=E1820:E$2)))))</f>
        <v> </v>
      </c>
      <c r="J1821" s="25" t="str">
        <f>IF(OR(E1821="",E1821="!!!",F1821="NEW"),"",COUNTBLANK(OFFSET(A$1,,,SUMPRODUCT(MAX(ROW(E$2:E1821)*(E1821=E$2:E1821)))))-COUNTBLANK(OFFSET(A$1,,,SUMPRODUCT(MAX(ROW(E$1:E1820)*(E2=E$1:E1820))))))</f>
        <v> </v>
      </c>
      <c r="K1821" s="25" t="str">
        <f>IF(OR(E1821="",E1821="!!!",F1821="NEW"),"",INDEX(J$1:J1820,SUMPRODUCT(MAX(ROW(E$1:E1820)*(E1821=E$1:E1820)))))</f>
        <v> </v>
      </c>
      <c r="L1821" s="26"/>
    </row>
    <row r="1822" spans="1:12">
      <c r="A1822" s="20" t="s">
        <v>2048</v>
      </c>
      <c r="E1822" s="21">
        <f>IF(D1822="?OLD","!!!","")</f>
        <v/>
      </c>
      <c r="F1822" s="22" t="str">
        <f>IF(OR(E1822="",E1822="!!!"),"",IF(NOT(ISNA(VLOOKUP(E1822,E$1:E1821,1,FALSE()))),"OLD",IF(AND(E1822&lt;&gt;"",E1822&lt;&gt;"!!!"),"NEW","")))</f>
        <v> </v>
      </c>
      <c r="G1822" s="23" t="str">
        <f>IF(OR(E1822="",E1822="!!!"),"",IF(OR(J1822=0,AND(J1822=1,K1822=1),AND(J1822=1,I1822="SBJ"),AND(J1822=1,I1822=0)),"?IN_FOCUS",IF(J1822&lt;=2,"?ACTIVATED",IF(J1822&lt;&gt;"","?FAMILIAR",IF(F1822="NEW",IF(ISNA(VLOOKUP(E1822,#REF!,1,FALSE())),"?TYPE_IDENTIFIABLE","?REFERENTIAL"),"_")))))</f>
        <v> </v>
      </c>
      <c r="H1822" s="24" t="str">
        <f>IF(J1822&lt;&gt;1,"",IF(I1822="SBJ","CB","?"))</f>
        <v> </v>
      </c>
      <c r="I1822" s="25" t="str">
        <f>IF(OR(E1822="",E1822="!!!",F1822="NEW"),"",INDEX(B1821:B$2,-1+SUMPRODUCT(MAX(ROW(E1821:E$2)*(E1822=E1821:E$2)))))</f>
        <v> </v>
      </c>
      <c r="J1822" s="25" t="str">
        <f>IF(OR(E1822="",E1822="!!!",F1822="NEW"),"",COUNTBLANK(OFFSET(A$1,,,SUMPRODUCT(MAX(ROW(E$2:E1822)*(E1822=E$2:E1822)))))-COUNTBLANK(OFFSET(A$1,,,SUMPRODUCT(MAX(ROW(E$1:E1821)*(E2=E$1:E1821))))))</f>
        <v> </v>
      </c>
      <c r="K1822" s="25" t="str">
        <f>IF(OR(E1822="",E1822="!!!",F1822="NEW"),"",INDEX(J$1:J1821,SUMPRODUCT(MAX(ROW(E$1:E1821)*(E1822=E$1:E1821)))))</f>
        <v> </v>
      </c>
      <c r="L1822" s="26"/>
    </row>
    <row r="1823" spans="1:12">
      <c r="A1823" s="20" t="s">
        <v>1403</v>
      </c>
      <c r="B1823" s="27" t="s">
        <v>1132</v>
      </c>
      <c r="C1823" s="27" t="s">
        <v>1142</v>
      </c>
      <c r="D1823" s="27" t="s">
        <v>1105</v>
      </c>
      <c r="E1823" s="21">
        <f>IF(D1823="?OLD","!!!","")</f>
        <v/>
      </c>
      <c r="F1823" s="22" t="str">
        <f>IF(OR(E1823="",E1823="!!!"),"",IF(NOT(ISNA(VLOOKUP(E1823,E$1:E1822,1,FALSE()))),"OLD",IF(AND(E1823&lt;&gt;"",E1823&lt;&gt;"!!!"),"NEW","")))</f>
        <v> </v>
      </c>
      <c r="G1823" s="23" t="str">
        <f>IF(OR(E1823="",E1823="!!!"),"",IF(OR(J1823=0,AND(J1823=1,K1823=1),AND(J1823=1,I1823="SBJ"),AND(J1823=1,I1823=0)),"?IN_FOCUS",IF(J1823&lt;=2,"?ACTIVATED",IF(J1823&lt;&gt;"","?FAMILIAR",IF(F1823="NEW",IF(ISNA(VLOOKUP(E1823,#REF!,1,FALSE())),"?TYPE_IDENTIFIABLE","?REFERENTIAL"),"_")))))</f>
        <v> </v>
      </c>
      <c r="H1823" s="24" t="str">
        <f>IF(J1823&lt;&gt;1,"",IF(I1823="SBJ","CB","?"))</f>
        <v> </v>
      </c>
      <c r="I1823" s="25" t="str">
        <f>IF(OR(E1823="",E1823="!!!",F1823="NEW"),"",INDEX(B1822:B$2,-1+SUMPRODUCT(MAX(ROW(E1822:E$2)*(E1823=E1822:E$2)))))</f>
        <v> </v>
      </c>
      <c r="J1823" s="25" t="str">
        <f>IF(OR(E1823="",E1823="!!!",F1823="NEW"),"",COUNTBLANK(OFFSET(A$1,,,SUMPRODUCT(MAX(ROW(E$2:E1823)*(E1823=E$2:E1823)))))-COUNTBLANK(OFFSET(A$1,,,SUMPRODUCT(MAX(ROW(E$1:E1822)*(E2=E$1:E1822))))))</f>
        <v> </v>
      </c>
      <c r="K1823" s="25" t="str">
        <f>IF(OR(E1823="",E1823="!!!",F1823="NEW"),"",INDEX(J$1:J1822,SUMPRODUCT(MAX(ROW(E$1:E1822)*(E1823=E$1:E1822)))))</f>
        <v> </v>
      </c>
      <c r="L1823" s="26"/>
    </row>
    <row r="1824" spans="1:12">
      <c r="A1824" s="20" t="s">
        <v>1513</v>
      </c>
      <c r="E1824" s="21">
        <f>IF(D1824="?OLD","!!!","")</f>
        <v/>
      </c>
      <c r="F1824" s="22" t="str">
        <f>IF(OR(E1824="",E1824="!!!"),"",IF(NOT(ISNA(VLOOKUP(E1824,E$1:E1823,1,FALSE()))),"OLD",IF(AND(E1824&lt;&gt;"",E1824&lt;&gt;"!!!"),"NEW","")))</f>
        <v> </v>
      </c>
      <c r="G1824" s="23" t="str">
        <f>IF(OR(E1824="",E1824="!!!"),"",IF(OR(J1824=0,AND(J1824=1,K1824=1),AND(J1824=1,I1824="SBJ"),AND(J1824=1,I1824=0)),"?IN_FOCUS",IF(J1824&lt;=2,"?ACTIVATED",IF(J1824&lt;&gt;"","?FAMILIAR",IF(F1824="NEW",IF(ISNA(VLOOKUP(E1824,#REF!,1,FALSE())),"?TYPE_IDENTIFIABLE","?REFERENTIAL"),"_")))))</f>
        <v> </v>
      </c>
      <c r="H1824" s="24" t="str">
        <f>IF(J1824&lt;&gt;1,"",IF(I1824="SBJ","CB","?"))</f>
        <v> </v>
      </c>
      <c r="I1824" s="25" t="str">
        <f>IF(OR(E1824="",E1824="!!!",F1824="NEW"),"",INDEX(B1823:B$2,-1+SUMPRODUCT(MAX(ROW(E1823:E$2)*(E1824=E1823:E$2)))))</f>
        <v> </v>
      </c>
      <c r="J1824" s="25" t="str">
        <f>IF(OR(E1824="",E1824="!!!",F1824="NEW"),"",COUNTBLANK(OFFSET(A$1,,,SUMPRODUCT(MAX(ROW(E$2:E1824)*(E1824=E$2:E1824)))))-COUNTBLANK(OFFSET(A$1,,,SUMPRODUCT(MAX(ROW(E$1:E1823)*(E2=E$1:E1823))))))</f>
        <v> </v>
      </c>
      <c r="K1824" s="25" t="str">
        <f>IF(OR(E1824="",E1824="!!!",F1824="NEW"),"",INDEX(J$1:J1823,SUMPRODUCT(MAX(ROW(E$1:E1823)*(E1824=E$1:E1823)))))</f>
        <v> </v>
      </c>
      <c r="L1824" s="26"/>
    </row>
    <row r="1825" spans="1:12">
      <c r="A1825" s="20" t="s">
        <v>1145</v>
      </c>
      <c r="E1825" s="21">
        <f>IF(D1825="?OLD","!!!","")</f>
        <v/>
      </c>
      <c r="F1825" s="22" t="str">
        <f>IF(OR(E1825="",E1825="!!!"),"",IF(NOT(ISNA(VLOOKUP(E1825,E$1:E1824,1,FALSE()))),"OLD",IF(AND(E1825&lt;&gt;"",E1825&lt;&gt;"!!!"),"NEW","")))</f>
        <v> </v>
      </c>
      <c r="G1825" s="23" t="str">
        <f>IF(OR(E1825="",E1825="!!!"),"",IF(OR(J1825=0,AND(J1825=1,K1825=1),AND(J1825=1,I1825="SBJ"),AND(J1825=1,I1825=0)),"?IN_FOCUS",IF(J1825&lt;=2,"?ACTIVATED",IF(J1825&lt;&gt;"","?FAMILIAR",IF(F1825="NEW",IF(ISNA(VLOOKUP(E1825,#REF!,1,FALSE())),"?TYPE_IDENTIFIABLE","?REFERENTIAL"),"_")))))</f>
        <v> </v>
      </c>
      <c r="H1825" s="24" t="str">
        <f>IF(J1825&lt;&gt;1,"",IF(I1825="SBJ","CB","?"))</f>
        <v> </v>
      </c>
      <c r="I1825" s="25" t="str">
        <f>IF(OR(E1825="",E1825="!!!",F1825="NEW"),"",INDEX(B1824:B$2,-1+SUMPRODUCT(MAX(ROW(E1824:E$2)*(E1825=E1824:E$2)))))</f>
        <v> </v>
      </c>
      <c r="J1825" s="25" t="str">
        <f>IF(OR(E1825="",E1825="!!!",F1825="NEW"),"",COUNTBLANK(OFFSET(A$1,,,SUMPRODUCT(MAX(ROW(E$2:E1825)*(E1825=E$2:E1825)))))-COUNTBLANK(OFFSET(A$1,,,SUMPRODUCT(MAX(ROW(E$1:E1824)*(E2=E$1:E1824))))))</f>
        <v> </v>
      </c>
      <c r="K1825" s="25" t="str">
        <f>IF(OR(E1825="",E1825="!!!",F1825="NEW"),"",INDEX(J$1:J1824,SUMPRODUCT(MAX(ROW(E$1:E1824)*(E1825=E$1:E1824)))))</f>
        <v> </v>
      </c>
      <c r="L1825" s="26"/>
    </row>
    <row r="1826" spans="1:12">
      <c r="A1826" s="20"/>
    </row>
    <row r="1827" spans="1:12">
      <c r="A1827" s="20" t="s">
        <v>2049</v>
      </c>
    </row>
    <row r="1828" spans="1:12">
      <c r="A1828" s="20" t="s">
        <v>1353</v>
      </c>
      <c r="B1828" s="27" t="s">
        <v>1149</v>
      </c>
      <c r="C1828" s="27" t="s">
        <v>1126</v>
      </c>
      <c r="D1828" s="27" t="s">
        <v>1105</v>
      </c>
      <c r="E1828" s="21">
        <f>IF(D1828="?OLD","!!!","")</f>
        <v/>
      </c>
      <c r="F1828" s="22" t="str">
        <f>IF(OR(E1828="",E1828="!!!"),"",IF(NOT(ISNA(VLOOKUP(E1828,E$1:E1827,1,FALSE()))),"OLD",IF(AND(E1828&lt;&gt;"",E1828&lt;&gt;"!!!"),"NEW","")))</f>
        <v> </v>
      </c>
      <c r="G1828" s="23" t="str">
        <f>IF(OR(E1828="",E1828="!!!"),"",IF(OR(J1828=0,AND(J1828=1,K1828=1),AND(J1828=1,I1828="SBJ"),AND(J1828=1,I1828=0)),"?IN_FOCUS",IF(J1828&lt;=2,"?ACTIVATED",IF(J1828&lt;&gt;"","?FAMILIAR",IF(F1828="NEW",IF(ISNA(VLOOKUP(E1828,#REF!,1,FALSE())),"?TYPE_IDENTIFIABLE","?REFERENTIAL"),"_")))))</f>
        <v> </v>
      </c>
      <c r="H1828" s="24" t="str">
        <f>IF(J1828&lt;&gt;1,"",IF(I1828="SBJ","CB","?"))</f>
        <v> </v>
      </c>
      <c r="I1828" s="25" t="str">
        <f>IF(OR(E1828="",E1828="!!!",F1828="NEW"),"",INDEX(B1827:B$2,-1+SUMPRODUCT(MAX(ROW(E1827:E$2)*(E1828=E1827:E$2)))))</f>
        <v> </v>
      </c>
      <c r="J1828" s="25" t="str">
        <f>IF(OR(E1828="",E1828="!!!",F1828="NEW"),"",COUNTBLANK(OFFSET(A$1,,,SUMPRODUCT(MAX(ROW(E$2:E1828)*(E1828=E$2:E1828)))))-COUNTBLANK(OFFSET(A$1,,,SUMPRODUCT(MAX(ROW(E$1:E1827)*(E2=E$1:E1827))))))</f>
        <v> </v>
      </c>
      <c r="K1828" s="25" t="str">
        <f>IF(OR(E1828="",E1828="!!!",F1828="NEW"),"",INDEX(J$1:J1827,SUMPRODUCT(MAX(ROW(E$1:E1827)*(E1828=E$1:E1827)))))</f>
        <v> </v>
      </c>
      <c r="L1828" s="26"/>
    </row>
    <row r="1829" spans="1:12">
      <c r="A1829" s="20" t="s">
        <v>2050</v>
      </c>
      <c r="E1829" s="21">
        <f>IF(D1829="?OLD","!!!","")</f>
        <v/>
      </c>
      <c r="F1829" s="22" t="str">
        <f>IF(OR(E1829="",E1829="!!!"),"",IF(NOT(ISNA(VLOOKUP(E1829,E$1:E1828,1,FALSE()))),"OLD",IF(AND(E1829&lt;&gt;"",E1829&lt;&gt;"!!!"),"NEW","")))</f>
        <v> </v>
      </c>
      <c r="G1829" s="23" t="str">
        <f>IF(OR(E1829="",E1829="!!!"),"",IF(OR(J1829=0,AND(J1829=1,K1829=1),AND(J1829=1,I1829="SBJ"),AND(J1829=1,I1829=0)),"?IN_FOCUS",IF(J1829&lt;=2,"?ACTIVATED",IF(J1829&lt;&gt;"","?FAMILIAR",IF(F1829="NEW",IF(ISNA(VLOOKUP(E1829,#REF!,1,FALSE())),"?TYPE_IDENTIFIABLE","?REFERENTIAL"),"_")))))</f>
        <v> </v>
      </c>
      <c r="H1829" s="24" t="str">
        <f>IF(J1829&lt;&gt;1,"",IF(I1829="SBJ","CB","?"))</f>
        <v> </v>
      </c>
      <c r="I1829" s="25" t="str">
        <f>IF(OR(E1829="",E1829="!!!",F1829="NEW"),"",INDEX(B1828:B$2,-1+SUMPRODUCT(MAX(ROW(E1828:E$2)*(E1829=E1828:E$2)))))</f>
        <v> </v>
      </c>
      <c r="J1829" s="25" t="str">
        <f>IF(OR(E1829="",E1829="!!!",F1829="NEW"),"",COUNTBLANK(OFFSET(A$1,,,SUMPRODUCT(MAX(ROW(E$2:E1829)*(E1829=E$2:E1829)))))-COUNTBLANK(OFFSET(A$1,,,SUMPRODUCT(MAX(ROW(E$1:E1828)*(E2=E$1:E1828))))))</f>
        <v> </v>
      </c>
      <c r="K1829" s="25" t="str">
        <f>IF(OR(E1829="",E1829="!!!",F1829="NEW"),"",INDEX(J$1:J1828,SUMPRODUCT(MAX(ROW(E$1:E1828)*(E1829=E$1:E1828)))))</f>
        <v> </v>
      </c>
      <c r="L1829" s="26"/>
    </row>
    <row r="1830" spans="1:12">
      <c r="A1830" s="20" t="s">
        <v>2051</v>
      </c>
      <c r="E1830" s="21">
        <f>IF(D1830="?OLD","!!!","")</f>
        <v/>
      </c>
      <c r="F1830" s="22" t="str">
        <f>IF(OR(E1830="",E1830="!!!"),"",IF(NOT(ISNA(VLOOKUP(E1830,E$1:E1829,1,FALSE()))),"OLD",IF(AND(E1830&lt;&gt;"",E1830&lt;&gt;"!!!"),"NEW","")))</f>
        <v> </v>
      </c>
      <c r="G1830" s="23" t="str">
        <f>IF(OR(E1830="",E1830="!!!"),"",IF(OR(J1830=0,AND(J1830=1,K1830=1),AND(J1830=1,I1830="SBJ"),AND(J1830=1,I1830=0)),"?IN_FOCUS",IF(J1830&lt;=2,"?ACTIVATED",IF(J1830&lt;&gt;"","?FAMILIAR",IF(F1830="NEW",IF(ISNA(VLOOKUP(E1830,#REF!,1,FALSE())),"?TYPE_IDENTIFIABLE","?REFERENTIAL"),"_")))))</f>
        <v> </v>
      </c>
      <c r="H1830" s="24" t="str">
        <f>IF(J1830&lt;&gt;1,"",IF(I1830="SBJ","CB","?"))</f>
        <v> </v>
      </c>
      <c r="I1830" s="25" t="str">
        <f>IF(OR(E1830="",E1830="!!!",F1830="NEW"),"",INDEX(B1829:B$2,-1+SUMPRODUCT(MAX(ROW(E1829:E$2)*(E1830=E1829:E$2)))))</f>
        <v> </v>
      </c>
      <c r="J1830" s="25" t="str">
        <f>IF(OR(E1830="",E1830="!!!",F1830="NEW"),"",COUNTBLANK(OFFSET(A$1,,,SUMPRODUCT(MAX(ROW(E$2:E1830)*(E1830=E$2:E1830)))))-COUNTBLANK(OFFSET(A$1,,,SUMPRODUCT(MAX(ROW(E$1:E1829)*(E2=E$1:E1829))))))</f>
        <v> </v>
      </c>
      <c r="K1830" s="25" t="str">
        <f>IF(OR(E1830="",E1830="!!!",F1830="NEW"),"",INDEX(J$1:J1829,SUMPRODUCT(MAX(ROW(E$1:E1829)*(E1830=E$1:E1829)))))</f>
        <v> </v>
      </c>
      <c r="L1830" s="26"/>
    </row>
    <row r="1831" spans="1:12">
      <c r="A1831" s="20" t="s">
        <v>2052</v>
      </c>
      <c r="E1831" s="21">
        <f>IF(D1831="?OLD","!!!","")</f>
        <v/>
      </c>
      <c r="F1831" s="22" t="str">
        <f>IF(OR(E1831="",E1831="!!!"),"",IF(NOT(ISNA(VLOOKUP(E1831,E$1:E1830,1,FALSE()))),"OLD",IF(AND(E1831&lt;&gt;"",E1831&lt;&gt;"!!!"),"NEW","")))</f>
        <v> </v>
      </c>
      <c r="G1831" s="23" t="str">
        <f>IF(OR(E1831="",E1831="!!!"),"",IF(OR(J1831=0,AND(J1831=1,K1831=1),AND(J1831=1,I1831="SBJ"),AND(J1831=1,I1831=0)),"?IN_FOCUS",IF(J1831&lt;=2,"?ACTIVATED",IF(J1831&lt;&gt;"","?FAMILIAR",IF(F1831="NEW",IF(ISNA(VLOOKUP(E1831,#REF!,1,FALSE())),"?TYPE_IDENTIFIABLE","?REFERENTIAL"),"_")))))</f>
        <v> </v>
      </c>
      <c r="H1831" s="24" t="str">
        <f>IF(J1831&lt;&gt;1,"",IF(I1831="SBJ","CB","?"))</f>
        <v> </v>
      </c>
      <c r="I1831" s="25" t="str">
        <f>IF(OR(E1831="",E1831="!!!",F1831="NEW"),"",INDEX(B1830:B$2,-1+SUMPRODUCT(MAX(ROW(E1830:E$2)*(E1831=E1830:E$2)))))</f>
        <v> </v>
      </c>
      <c r="J1831" s="25" t="str">
        <f>IF(OR(E1831="",E1831="!!!",F1831="NEW"),"",COUNTBLANK(OFFSET(A$1,,,SUMPRODUCT(MAX(ROW(E$2:E1831)*(E1831=E$2:E1831)))))-COUNTBLANK(OFFSET(A$1,,,SUMPRODUCT(MAX(ROW(E$1:E1830)*(E2=E$1:E1830))))))</f>
        <v> </v>
      </c>
      <c r="K1831" s="25" t="str">
        <f>IF(OR(E1831="",E1831="!!!",F1831="NEW"),"",INDEX(J$1:J1830,SUMPRODUCT(MAX(ROW(E$1:E1830)*(E1831=E$1:E1830)))))</f>
        <v> </v>
      </c>
      <c r="L1831" s="26"/>
    </row>
    <row r="1832" spans="1:12">
      <c r="A1832" s="20" t="s">
        <v>1305</v>
      </c>
      <c r="B1832" s="27" t="s">
        <v>1103</v>
      </c>
      <c r="C1832" s="27" t="s">
        <v>1116</v>
      </c>
      <c r="D1832" s="27" t="s">
        <v>1105</v>
      </c>
      <c r="E1832" s="21">
        <f>IF(D1832="?OLD","!!!","")</f>
        <v/>
      </c>
      <c r="F1832" s="22" t="str">
        <f>IF(OR(E1832="",E1832="!!!"),"",IF(NOT(ISNA(VLOOKUP(E1832,E$1:E1831,1,FALSE()))),"OLD",IF(AND(E1832&lt;&gt;"",E1832&lt;&gt;"!!!"),"NEW","")))</f>
        <v> </v>
      </c>
      <c r="G1832" s="23" t="str">
        <f>IF(OR(E1832="",E1832="!!!"),"",IF(OR(J1832=0,AND(J1832=1,K1832=1),AND(J1832=1,I1832="SBJ"),AND(J1832=1,I1832=0)),"?IN_FOCUS",IF(J1832&lt;=2,"?ACTIVATED",IF(J1832&lt;&gt;"","?FAMILIAR",IF(F1832="NEW",IF(ISNA(VLOOKUP(E1832,#REF!,1,FALSE())),"?TYPE_IDENTIFIABLE","?REFERENTIAL"),"_")))))</f>
        <v> </v>
      </c>
      <c r="H1832" s="24" t="str">
        <f>IF(J1832&lt;&gt;1,"",IF(I1832="SBJ","CB","?"))</f>
        <v> </v>
      </c>
      <c r="I1832" s="25" t="str">
        <f>IF(OR(E1832="",E1832="!!!",F1832="NEW"),"",INDEX(B1831:B$2,-1+SUMPRODUCT(MAX(ROW(E1831:E$2)*(E1832=E1831:E$2)))))</f>
        <v> </v>
      </c>
      <c r="J1832" s="25" t="str">
        <f>IF(OR(E1832="",E1832="!!!",F1832="NEW"),"",COUNTBLANK(OFFSET(A$1,,,SUMPRODUCT(MAX(ROW(E$2:E1832)*(E1832=E$2:E1832)))))-COUNTBLANK(OFFSET(A$1,,,SUMPRODUCT(MAX(ROW(E$1:E1831)*(E2=E$1:E1831))))))</f>
        <v> </v>
      </c>
      <c r="K1832" s="25" t="str">
        <f>IF(OR(E1832="",E1832="!!!",F1832="NEW"),"",INDEX(J$1:J1831,SUMPRODUCT(MAX(ROW(E$1:E1831)*(E1832=E$1:E1831)))))</f>
        <v> </v>
      </c>
      <c r="L1832" s="26"/>
    </row>
    <row r="1833" spans="1:12">
      <c r="A1833" s="20" t="s">
        <v>1123</v>
      </c>
      <c r="E1833" s="21">
        <f>IF(D1833="?OLD","!!!","")</f>
        <v/>
      </c>
      <c r="F1833" s="22" t="str">
        <f>IF(OR(E1833="",E1833="!!!"),"",IF(NOT(ISNA(VLOOKUP(E1833,E$1:E1832,1,FALSE()))),"OLD",IF(AND(E1833&lt;&gt;"",E1833&lt;&gt;"!!!"),"NEW","")))</f>
        <v> </v>
      </c>
      <c r="G1833" s="23" t="str">
        <f>IF(OR(E1833="",E1833="!!!"),"",IF(OR(J1833=0,AND(J1833=1,K1833=1),AND(J1833=1,I1833="SBJ"),AND(J1833=1,I1833=0)),"?IN_FOCUS",IF(J1833&lt;=2,"?ACTIVATED",IF(J1833&lt;&gt;"","?FAMILIAR",IF(F1833="NEW",IF(ISNA(VLOOKUP(E1833,#REF!,1,FALSE())),"?TYPE_IDENTIFIABLE","?REFERENTIAL"),"_")))))</f>
        <v> </v>
      </c>
      <c r="H1833" s="24" t="str">
        <f>IF(J1833&lt;&gt;1,"",IF(I1833="SBJ","CB","?"))</f>
        <v> </v>
      </c>
      <c r="I1833" s="25" t="str">
        <f>IF(OR(E1833="",E1833="!!!",F1833="NEW"),"",INDEX(B1832:B$2,-1+SUMPRODUCT(MAX(ROW(E1832:E$2)*(E1833=E1832:E$2)))))</f>
        <v> </v>
      </c>
      <c r="J1833" s="25" t="str">
        <f>IF(OR(E1833="",E1833="!!!",F1833="NEW"),"",COUNTBLANK(OFFSET(A$1,,,SUMPRODUCT(MAX(ROW(E$2:E1833)*(E1833=E$2:E1833)))))-COUNTBLANK(OFFSET(A$1,,,SUMPRODUCT(MAX(ROW(E$1:E1832)*(E2=E$1:E1832))))))</f>
        <v> </v>
      </c>
      <c r="K1833" s="25" t="str">
        <f>IF(OR(E1833="",E1833="!!!",F1833="NEW"),"",INDEX(J$1:J1832,SUMPRODUCT(MAX(ROW(E$1:E1832)*(E1833=E$1:E1832)))))</f>
        <v> </v>
      </c>
      <c r="L1833" s="26"/>
    </row>
    <row r="1834" spans="1:12">
      <c r="A1834" s="20" t="s">
        <v>1239</v>
      </c>
      <c r="E1834" s="21">
        <f>IF(D1834="?OLD","!!!","")</f>
        <v/>
      </c>
      <c r="F1834" s="22" t="str">
        <f>IF(OR(E1834="",E1834="!!!"),"",IF(NOT(ISNA(VLOOKUP(E1834,E$1:E1833,1,FALSE()))),"OLD",IF(AND(E1834&lt;&gt;"",E1834&lt;&gt;"!!!"),"NEW","")))</f>
        <v> </v>
      </c>
      <c r="G1834" s="23" t="str">
        <f>IF(OR(E1834="",E1834="!!!"),"",IF(OR(J1834=0,AND(J1834=1,K1834=1),AND(J1834=1,I1834="SBJ"),AND(J1834=1,I1834=0)),"?IN_FOCUS",IF(J1834&lt;=2,"?ACTIVATED",IF(J1834&lt;&gt;"","?FAMILIAR",IF(F1834="NEW",IF(ISNA(VLOOKUP(E1834,#REF!,1,FALSE())),"?TYPE_IDENTIFIABLE","?REFERENTIAL"),"_")))))</f>
        <v> </v>
      </c>
      <c r="H1834" s="24" t="str">
        <f>IF(J1834&lt;&gt;1,"",IF(I1834="SBJ","CB","?"))</f>
        <v> </v>
      </c>
      <c r="I1834" s="25" t="str">
        <f>IF(OR(E1834="",E1834="!!!",F1834="NEW"),"",INDEX(B1833:B$2,-1+SUMPRODUCT(MAX(ROW(E1833:E$2)*(E1834=E1833:E$2)))))</f>
        <v> </v>
      </c>
      <c r="J1834" s="25" t="str">
        <f>IF(OR(E1834="",E1834="!!!",F1834="NEW"),"",COUNTBLANK(OFFSET(A$1,,,SUMPRODUCT(MAX(ROW(E$2:E1834)*(E1834=E$2:E1834)))))-COUNTBLANK(OFFSET(A$1,,,SUMPRODUCT(MAX(ROW(E$1:E1833)*(E2=E$1:E1833))))))</f>
        <v> </v>
      </c>
      <c r="K1834" s="25" t="str">
        <f>IF(OR(E1834="",E1834="!!!",F1834="NEW"),"",INDEX(J$1:J1833,SUMPRODUCT(MAX(ROW(E$1:E1833)*(E1834=E$1:E1833)))))</f>
        <v> </v>
      </c>
      <c r="L1834" s="26"/>
    </row>
    <row r="1835" spans="1:12">
      <c r="A1835" s="20" t="s">
        <v>1974</v>
      </c>
      <c r="B1835" s="27" t="s">
        <v>1259</v>
      </c>
      <c r="C1835" s="27" t="s">
        <v>1126</v>
      </c>
      <c r="D1835" s="27" t="s">
        <v>1105</v>
      </c>
      <c r="E1835" s="21">
        <f>IF(D1835="?OLD","!!!","")</f>
        <v/>
      </c>
      <c r="F1835" s="22" t="str">
        <f>IF(OR(E1835="",E1835="!!!"),"",IF(NOT(ISNA(VLOOKUP(E1835,E$1:E1834,1,FALSE()))),"OLD",IF(AND(E1835&lt;&gt;"",E1835&lt;&gt;"!!!"),"NEW","")))</f>
        <v> </v>
      </c>
      <c r="G1835" s="23" t="str">
        <f>IF(OR(E1835="",E1835="!!!"),"",IF(OR(J1835=0,AND(J1835=1,K1835=1),AND(J1835=1,I1835="SBJ"),AND(J1835=1,I1835=0)),"?IN_FOCUS",IF(J1835&lt;=2,"?ACTIVATED",IF(J1835&lt;&gt;"","?FAMILIAR",IF(F1835="NEW",IF(ISNA(VLOOKUP(E1835,#REF!,1,FALSE())),"?TYPE_IDENTIFIABLE","?REFERENTIAL"),"_")))))</f>
        <v> </v>
      </c>
      <c r="H1835" s="24" t="str">
        <f>IF(J1835&lt;&gt;1,"",IF(I1835="SBJ","CB","?"))</f>
        <v> </v>
      </c>
      <c r="I1835" s="25" t="str">
        <f>IF(OR(E1835="",E1835="!!!",F1835="NEW"),"",INDEX(B1834:B$2,-1+SUMPRODUCT(MAX(ROW(E1834:E$2)*(E1835=E1834:E$2)))))</f>
        <v> </v>
      </c>
      <c r="J1835" s="25" t="str">
        <f>IF(OR(E1835="",E1835="!!!",F1835="NEW"),"",COUNTBLANK(OFFSET(A$1,,,SUMPRODUCT(MAX(ROW(E$2:E1835)*(E1835=E$2:E1835)))))-COUNTBLANK(OFFSET(A$1,,,SUMPRODUCT(MAX(ROW(E$1:E1834)*(E2=E$1:E1834))))))</f>
        <v> </v>
      </c>
      <c r="K1835" s="25" t="str">
        <f>IF(OR(E1835="",E1835="!!!",F1835="NEW"),"",INDEX(J$1:J1834,SUMPRODUCT(MAX(ROW(E$1:E1834)*(E1835=E$1:E1834)))))</f>
        <v> </v>
      </c>
      <c r="L1835" s="26"/>
    </row>
    <row r="1836" spans="1:12">
      <c r="A1836" s="20" t="s">
        <v>2053</v>
      </c>
      <c r="E1836" s="21">
        <f>IF(D1836="?OLD","!!!","")</f>
        <v/>
      </c>
      <c r="F1836" s="22" t="str">
        <f>IF(OR(E1836="",E1836="!!!"),"",IF(NOT(ISNA(VLOOKUP(E1836,E$1:E1835,1,FALSE()))),"OLD",IF(AND(E1836&lt;&gt;"",E1836&lt;&gt;"!!!"),"NEW","")))</f>
        <v> </v>
      </c>
      <c r="G1836" s="23" t="str">
        <f>IF(OR(E1836="",E1836="!!!"),"",IF(OR(J1836=0,AND(J1836=1,K1836=1),AND(J1836=1,I1836="SBJ"),AND(J1836=1,I1836=0)),"?IN_FOCUS",IF(J1836&lt;=2,"?ACTIVATED",IF(J1836&lt;&gt;"","?FAMILIAR",IF(F1836="NEW",IF(ISNA(VLOOKUP(E1836,#REF!,1,FALSE())),"?TYPE_IDENTIFIABLE","?REFERENTIAL"),"_")))))</f>
        <v> </v>
      </c>
      <c r="H1836" s="24" t="str">
        <f>IF(J1836&lt;&gt;1,"",IF(I1836="SBJ","CB","?"))</f>
        <v> </v>
      </c>
      <c r="I1836" s="25" t="str">
        <f>IF(OR(E1836="",E1836="!!!",F1836="NEW"),"",INDEX(B1835:B$2,-1+SUMPRODUCT(MAX(ROW(E1835:E$2)*(E1836=E1835:E$2)))))</f>
        <v> </v>
      </c>
      <c r="J1836" s="25" t="str">
        <f>IF(OR(E1836="",E1836="!!!",F1836="NEW"),"",COUNTBLANK(OFFSET(A$1,,,SUMPRODUCT(MAX(ROW(E$2:E1836)*(E1836=E$2:E1836)))))-COUNTBLANK(OFFSET(A$1,,,SUMPRODUCT(MAX(ROW(E$1:E1835)*(E2=E$1:E1835))))))</f>
        <v> </v>
      </c>
      <c r="K1836" s="25" t="str">
        <f>IF(OR(E1836="",E1836="!!!",F1836="NEW"),"",INDEX(J$1:J1835,SUMPRODUCT(MAX(ROW(E$1:E1835)*(E1836=E$1:E1835)))))</f>
        <v> </v>
      </c>
      <c r="L1836" s="26"/>
    </row>
    <row r="1837" spans="1:12">
      <c r="A1837" s="20" t="s">
        <v>1596</v>
      </c>
      <c r="E1837" s="21">
        <f>IF(D1837="?OLD","!!!","")</f>
        <v/>
      </c>
      <c r="F1837" s="22" t="str">
        <f>IF(OR(E1837="",E1837="!!!"),"",IF(NOT(ISNA(VLOOKUP(E1837,E$1:E1836,1,FALSE()))),"OLD",IF(AND(E1837&lt;&gt;"",E1837&lt;&gt;"!!!"),"NEW","")))</f>
        <v> </v>
      </c>
      <c r="G1837" s="23" t="str">
        <f>IF(OR(E1837="",E1837="!!!"),"",IF(OR(J1837=0,AND(J1837=1,K1837=1),AND(J1837=1,I1837="SBJ"),AND(J1837=1,I1837=0)),"?IN_FOCUS",IF(J1837&lt;=2,"?ACTIVATED",IF(J1837&lt;&gt;"","?FAMILIAR",IF(F1837="NEW",IF(ISNA(VLOOKUP(E1837,#REF!,1,FALSE())),"?TYPE_IDENTIFIABLE","?REFERENTIAL"),"_")))))</f>
        <v> </v>
      </c>
      <c r="H1837" s="24" t="str">
        <f>IF(J1837&lt;&gt;1,"",IF(I1837="SBJ","CB","?"))</f>
        <v> </v>
      </c>
      <c r="I1837" s="25" t="str">
        <f>IF(OR(E1837="",E1837="!!!",F1837="NEW"),"",INDEX(B1836:B$2,-1+SUMPRODUCT(MAX(ROW(E1836:E$2)*(E1837=E1836:E$2)))))</f>
        <v> </v>
      </c>
      <c r="J1837" s="25" t="str">
        <f>IF(OR(E1837="",E1837="!!!",F1837="NEW"),"",COUNTBLANK(OFFSET(A$1,,,SUMPRODUCT(MAX(ROW(E$2:E1837)*(E1837=E$2:E1837)))))-COUNTBLANK(OFFSET(A$1,,,SUMPRODUCT(MAX(ROW(E$1:E1836)*(E2=E$1:E1836))))))</f>
        <v> </v>
      </c>
      <c r="K1837" s="25" t="str">
        <f>IF(OR(E1837="",E1837="!!!",F1837="NEW"),"",INDEX(J$1:J1836,SUMPRODUCT(MAX(ROW(E$1:E1836)*(E1837=E$1:E1836)))))</f>
        <v> </v>
      </c>
      <c r="L1837" s="26"/>
    </row>
    <row r="1838" spans="1:12">
      <c r="A1838" s="20" t="s">
        <v>1145</v>
      </c>
      <c r="E1838" s="21">
        <f>IF(D1838="?OLD","!!!","")</f>
        <v/>
      </c>
      <c r="F1838" s="22" t="str">
        <f>IF(OR(E1838="",E1838="!!!"),"",IF(NOT(ISNA(VLOOKUP(E1838,E$1:E1837,1,FALSE()))),"OLD",IF(AND(E1838&lt;&gt;"",E1838&lt;&gt;"!!!"),"NEW","")))</f>
        <v> </v>
      </c>
      <c r="G1838" s="23" t="str">
        <f>IF(OR(E1838="",E1838="!!!"),"",IF(OR(J1838=0,AND(J1838=1,K1838=1),AND(J1838=1,I1838="SBJ"),AND(J1838=1,I1838=0)),"?IN_FOCUS",IF(J1838&lt;=2,"?ACTIVATED",IF(J1838&lt;&gt;"","?FAMILIAR",IF(F1838="NEW",IF(ISNA(VLOOKUP(E1838,#REF!,1,FALSE())),"?TYPE_IDENTIFIABLE","?REFERENTIAL"),"_")))))</f>
        <v> </v>
      </c>
      <c r="H1838" s="24" t="str">
        <f>IF(J1838&lt;&gt;1,"",IF(I1838="SBJ","CB","?"))</f>
        <v> </v>
      </c>
      <c r="I1838" s="25" t="str">
        <f>IF(OR(E1838="",E1838="!!!",F1838="NEW"),"",INDEX(B1837:B$2,-1+SUMPRODUCT(MAX(ROW(E1837:E$2)*(E1838=E1837:E$2)))))</f>
        <v> </v>
      </c>
      <c r="J1838" s="25" t="str">
        <f>IF(OR(E1838="",E1838="!!!",F1838="NEW"),"",COUNTBLANK(OFFSET(A$1,,,SUMPRODUCT(MAX(ROW(E$2:E1838)*(E1838=E$2:E1838)))))-COUNTBLANK(OFFSET(A$1,,,SUMPRODUCT(MAX(ROW(E$1:E1837)*(E2=E$1:E1837))))))</f>
        <v> </v>
      </c>
      <c r="K1838" s="25" t="str">
        <f>IF(OR(E1838="",E1838="!!!",F1838="NEW"),"",INDEX(J$1:J1837,SUMPRODUCT(MAX(ROW(E$1:E1837)*(E1838=E$1:E1837)))))</f>
        <v> </v>
      </c>
      <c r="L1838" s="26"/>
    </row>
    <row r="1839" spans="1:12">
      <c r="A1839" s="20"/>
    </row>
    <row r="1840" spans="1:12">
      <c r="A1840" s="20" t="s">
        <v>2054</v>
      </c>
    </row>
    <row r="1841" spans="1:12">
      <c r="A1841" s="20" t="s">
        <v>1615</v>
      </c>
      <c r="E1841" s="21">
        <f>IF(D1841="?OLD","!!!","")</f>
        <v/>
      </c>
      <c r="F1841" s="22" t="str">
        <f>IF(OR(E1841="",E1841="!!!"),"",IF(NOT(ISNA(VLOOKUP(E1841,E$1:E1840,1,FALSE()))),"OLD",IF(AND(E1841&lt;&gt;"",E1841&lt;&gt;"!!!"),"NEW","")))</f>
        <v> </v>
      </c>
      <c r="G1841" s="23" t="str">
        <f>IF(OR(E1841="",E1841="!!!"),"",IF(OR(J1841=0,AND(J1841=1,K1841=1),AND(J1841=1,I1841="SBJ"),AND(J1841=1,I1841=0)),"?IN_FOCUS",IF(J1841&lt;=2,"?ACTIVATED",IF(J1841&lt;&gt;"","?FAMILIAR",IF(F1841="NEW",IF(ISNA(VLOOKUP(E1841,#REF!,1,FALSE())),"?TYPE_IDENTIFIABLE","?REFERENTIAL"),"_")))))</f>
        <v> </v>
      </c>
      <c r="H1841" s="24" t="str">
        <f>IF(J1841&lt;&gt;1,"",IF(I1841="SBJ","CB","?"))</f>
        <v> </v>
      </c>
      <c r="I1841" s="25" t="str">
        <f>IF(OR(E1841="",E1841="!!!",F1841="NEW"),"",INDEX(B1840:B$2,-1+SUMPRODUCT(MAX(ROW(E1840:E$2)*(E1841=E1840:E$2)))))</f>
        <v> </v>
      </c>
      <c r="J1841" s="25" t="str">
        <f>IF(OR(E1841="",E1841="!!!",F1841="NEW"),"",COUNTBLANK(OFFSET(A$1,,,SUMPRODUCT(MAX(ROW(E$2:E1841)*(E1841=E$2:E1841)))))-COUNTBLANK(OFFSET(A$1,,,SUMPRODUCT(MAX(ROW(E$1:E1840)*(E2=E$1:E1840))))))</f>
        <v> </v>
      </c>
      <c r="K1841" s="25" t="str">
        <f>IF(OR(E1841="",E1841="!!!",F1841="NEW"),"",INDEX(J$1:J1840,SUMPRODUCT(MAX(ROW(E$1:E1840)*(E1841=E$1:E1840)))))</f>
        <v> </v>
      </c>
      <c r="L1841" s="26"/>
    </row>
    <row r="1842" spans="1:12">
      <c r="A1842" s="20" t="s">
        <v>1128</v>
      </c>
      <c r="E1842" s="21">
        <f>IF(D1842="?OLD","!!!","")</f>
        <v/>
      </c>
      <c r="F1842" s="22" t="str">
        <f>IF(OR(E1842="",E1842="!!!"),"",IF(NOT(ISNA(VLOOKUP(E1842,E$1:E1841,1,FALSE()))),"OLD",IF(AND(E1842&lt;&gt;"",E1842&lt;&gt;"!!!"),"NEW","")))</f>
        <v> </v>
      </c>
      <c r="G1842" s="23" t="str">
        <f>IF(OR(E1842="",E1842="!!!"),"",IF(OR(J1842=0,AND(J1842=1,K1842=1),AND(J1842=1,I1842="SBJ"),AND(J1842=1,I1842=0)),"?IN_FOCUS",IF(J1842&lt;=2,"?ACTIVATED",IF(J1842&lt;&gt;"","?FAMILIAR",IF(F1842="NEW",IF(ISNA(VLOOKUP(E1842,#REF!,1,FALSE())),"?TYPE_IDENTIFIABLE","?REFERENTIAL"),"_")))))</f>
        <v> </v>
      </c>
      <c r="H1842" s="24" t="str">
        <f>IF(J1842&lt;&gt;1,"",IF(I1842="SBJ","CB","?"))</f>
        <v> </v>
      </c>
      <c r="I1842" s="25" t="str">
        <f>IF(OR(E1842="",E1842="!!!",F1842="NEW"),"",INDEX(B1841:B$2,-1+SUMPRODUCT(MAX(ROW(E1841:E$2)*(E1842=E1841:E$2)))))</f>
        <v> </v>
      </c>
      <c r="J1842" s="25" t="str">
        <f>IF(OR(E1842="",E1842="!!!",F1842="NEW"),"",COUNTBLANK(OFFSET(A$1,,,SUMPRODUCT(MAX(ROW(E$2:E1842)*(E1842=E$2:E1842)))))-COUNTBLANK(OFFSET(A$1,,,SUMPRODUCT(MAX(ROW(E$1:E1841)*(E2=E$1:E1841))))))</f>
        <v> </v>
      </c>
      <c r="K1842" s="25" t="str">
        <f>IF(OR(E1842="",E1842="!!!",F1842="NEW"),"",INDEX(J$1:J1841,SUMPRODUCT(MAX(ROW(E$1:E1841)*(E1842=E$1:E1841)))))</f>
        <v> </v>
      </c>
      <c r="L1842" s="26"/>
    </row>
    <row r="1843" spans="1:12">
      <c r="A1843" s="20" t="s">
        <v>1228</v>
      </c>
      <c r="B1843" s="27" t="s">
        <v>1149</v>
      </c>
      <c r="C1843" s="27" t="s">
        <v>1126</v>
      </c>
      <c r="D1843" s="27" t="s">
        <v>1105</v>
      </c>
      <c r="E1843" s="21">
        <f>IF(D1843="?OLD","!!!","")</f>
        <v/>
      </c>
      <c r="F1843" s="22" t="str">
        <f>IF(OR(E1843="",E1843="!!!"),"",IF(NOT(ISNA(VLOOKUP(E1843,E$1:E1842,1,FALSE()))),"OLD",IF(AND(E1843&lt;&gt;"",E1843&lt;&gt;"!!!"),"NEW","")))</f>
        <v> </v>
      </c>
      <c r="G1843" s="23" t="str">
        <f>IF(OR(E1843="",E1843="!!!"),"",IF(OR(J1843=0,AND(J1843=1,K1843=1),AND(J1843=1,I1843="SBJ"),AND(J1843=1,I1843=0)),"?IN_FOCUS",IF(J1843&lt;=2,"?ACTIVATED",IF(J1843&lt;&gt;"","?FAMILIAR",IF(F1843="NEW",IF(ISNA(VLOOKUP(E1843,#REF!,1,FALSE())),"?TYPE_IDENTIFIABLE","?REFERENTIAL"),"_")))))</f>
        <v> </v>
      </c>
      <c r="H1843" s="24" t="str">
        <f>IF(J1843&lt;&gt;1,"",IF(I1843="SBJ","CB","?"))</f>
        <v> </v>
      </c>
      <c r="I1843" s="25" t="str">
        <f>IF(OR(E1843="",E1843="!!!",F1843="NEW"),"",INDEX(B1842:B$2,-1+SUMPRODUCT(MAX(ROW(E1842:E$2)*(E1843=E1842:E$2)))))</f>
        <v> </v>
      </c>
      <c r="J1843" s="25" t="str">
        <f>IF(OR(E1843="",E1843="!!!",F1843="NEW"),"",COUNTBLANK(OFFSET(A$1,,,SUMPRODUCT(MAX(ROW(E$2:E1843)*(E1843=E$2:E1843)))))-COUNTBLANK(OFFSET(A$1,,,SUMPRODUCT(MAX(ROW(E$1:E1842)*(E2=E$1:E1842))))))</f>
        <v> </v>
      </c>
      <c r="K1843" s="25" t="str">
        <f>IF(OR(E1843="",E1843="!!!",F1843="NEW"),"",INDEX(J$1:J1842,SUMPRODUCT(MAX(ROW(E$1:E1842)*(E1843=E$1:E1842)))))</f>
        <v> </v>
      </c>
      <c r="L1843" s="26"/>
    </row>
    <row r="1844" spans="1:12">
      <c r="A1844" s="20" t="s">
        <v>1128</v>
      </c>
      <c r="E1844" s="21">
        <f>IF(D1844="?OLD","!!!","")</f>
        <v/>
      </c>
      <c r="F1844" s="22" t="str">
        <f>IF(OR(E1844="",E1844="!!!"),"",IF(NOT(ISNA(VLOOKUP(E1844,E$1:E1843,1,FALSE()))),"OLD",IF(AND(E1844&lt;&gt;"",E1844&lt;&gt;"!!!"),"NEW","")))</f>
        <v> </v>
      </c>
      <c r="G1844" s="23" t="str">
        <f>IF(OR(E1844="",E1844="!!!"),"",IF(OR(J1844=0,AND(J1844=1,K1844=1),AND(J1844=1,I1844="SBJ"),AND(J1844=1,I1844=0)),"?IN_FOCUS",IF(J1844&lt;=2,"?ACTIVATED",IF(J1844&lt;&gt;"","?FAMILIAR",IF(F1844="NEW",IF(ISNA(VLOOKUP(E1844,#REF!,1,FALSE())),"?TYPE_IDENTIFIABLE","?REFERENTIAL"),"_")))))</f>
        <v> </v>
      </c>
      <c r="H1844" s="24" t="str">
        <f>IF(J1844&lt;&gt;1,"",IF(I1844="SBJ","CB","?"))</f>
        <v> </v>
      </c>
      <c r="I1844" s="25" t="str">
        <f>IF(OR(E1844="",E1844="!!!",F1844="NEW"),"",INDEX(B1843:B$2,-1+SUMPRODUCT(MAX(ROW(E1843:E$2)*(E1844=E1843:E$2)))))</f>
        <v> </v>
      </c>
      <c r="J1844" s="25" t="str">
        <f>IF(OR(E1844="",E1844="!!!",F1844="NEW"),"",COUNTBLANK(OFFSET(A$1,,,SUMPRODUCT(MAX(ROW(E$2:E1844)*(E1844=E$2:E1844)))))-COUNTBLANK(OFFSET(A$1,,,SUMPRODUCT(MAX(ROW(E$1:E1843)*(E2=E$1:E1843))))))</f>
        <v> </v>
      </c>
      <c r="K1844" s="25" t="str">
        <f>IF(OR(E1844="",E1844="!!!",F1844="NEW"),"",INDEX(J$1:J1843,SUMPRODUCT(MAX(ROW(E$1:E1843)*(E1844=E$1:E1843)))))</f>
        <v> </v>
      </c>
      <c r="L1844" s="26"/>
    </row>
    <row r="1845" spans="1:12">
      <c r="A1845" s="20" t="s">
        <v>1225</v>
      </c>
      <c r="B1845" s="27" t="s">
        <v>1107</v>
      </c>
      <c r="C1845" s="27" t="s">
        <v>1108</v>
      </c>
      <c r="D1845" s="27" t="s">
        <v>1105</v>
      </c>
      <c r="E1845" s="21">
        <f>IF(D1845="?OLD","!!!","")</f>
        <v/>
      </c>
      <c r="F1845" s="22" t="str">
        <f>IF(OR(E1845="",E1845="!!!"),"",IF(NOT(ISNA(VLOOKUP(E1845,E$1:E1844,1,FALSE()))),"OLD",IF(AND(E1845&lt;&gt;"",E1845&lt;&gt;"!!!"),"NEW","")))</f>
        <v> </v>
      </c>
      <c r="G1845" s="23" t="str">
        <f>IF(OR(E1845="",E1845="!!!"),"",IF(OR(J1845=0,AND(J1845=1,K1845=1),AND(J1845=1,I1845="SBJ"),AND(J1845=1,I1845=0)),"?IN_FOCUS",IF(J1845&lt;=2,"?ACTIVATED",IF(J1845&lt;&gt;"","?FAMILIAR",IF(F1845="NEW",IF(ISNA(VLOOKUP(E1845,#REF!,1,FALSE())),"?TYPE_IDENTIFIABLE","?REFERENTIAL"),"_")))))</f>
        <v> </v>
      </c>
      <c r="H1845" s="24" t="str">
        <f>IF(J1845&lt;&gt;1,"",IF(I1845="SBJ","CB","?"))</f>
        <v> </v>
      </c>
      <c r="I1845" s="25" t="str">
        <f>IF(OR(E1845="",E1845="!!!",F1845="NEW"),"",INDEX(B1844:B$2,-1+SUMPRODUCT(MAX(ROW(E1844:E$2)*(E1845=E1844:E$2)))))</f>
        <v> </v>
      </c>
      <c r="J1845" s="25" t="str">
        <f>IF(OR(E1845="",E1845="!!!",F1845="NEW"),"",COUNTBLANK(OFFSET(A$1,,,SUMPRODUCT(MAX(ROW(E$2:E1845)*(E1845=E$2:E1845)))))-COUNTBLANK(OFFSET(A$1,,,SUMPRODUCT(MAX(ROW(E$1:E1844)*(E2=E$1:E1844))))))</f>
        <v> </v>
      </c>
      <c r="K1845" s="25" t="str">
        <f>IF(OR(E1845="",E1845="!!!",F1845="NEW"),"",INDEX(J$1:J1844,SUMPRODUCT(MAX(ROW(E$1:E1844)*(E1845=E$1:E1844)))))</f>
        <v> </v>
      </c>
      <c r="L1845" s="26"/>
    </row>
    <row r="1846" spans="1:12">
      <c r="A1846" s="20" t="s">
        <v>2055</v>
      </c>
      <c r="E1846" s="21">
        <f>IF(D1846="?OLD","!!!","")</f>
        <v/>
      </c>
      <c r="F1846" s="22" t="str">
        <f>IF(OR(E1846="",E1846="!!!"),"",IF(NOT(ISNA(VLOOKUP(E1846,E$1:E1845,1,FALSE()))),"OLD",IF(AND(E1846&lt;&gt;"",E1846&lt;&gt;"!!!"),"NEW","")))</f>
        <v> </v>
      </c>
      <c r="G1846" s="23" t="str">
        <f>IF(OR(E1846="",E1846="!!!"),"",IF(OR(J1846=0,AND(J1846=1,K1846=1),AND(J1846=1,I1846="SBJ"),AND(J1846=1,I1846=0)),"?IN_FOCUS",IF(J1846&lt;=2,"?ACTIVATED",IF(J1846&lt;&gt;"","?FAMILIAR",IF(F1846="NEW",IF(ISNA(VLOOKUP(E1846,#REF!,1,FALSE())),"?TYPE_IDENTIFIABLE","?REFERENTIAL"),"_")))))</f>
        <v> </v>
      </c>
      <c r="H1846" s="24" t="str">
        <f>IF(J1846&lt;&gt;1,"",IF(I1846="SBJ","CB","?"))</f>
        <v> </v>
      </c>
      <c r="I1846" s="25" t="str">
        <f>IF(OR(E1846="",E1846="!!!",F1846="NEW"),"",INDEX(B1845:B$2,-1+SUMPRODUCT(MAX(ROW(E1845:E$2)*(E1846=E1845:E$2)))))</f>
        <v> </v>
      </c>
      <c r="J1846" s="25" t="str">
        <f>IF(OR(E1846="",E1846="!!!",F1846="NEW"),"",COUNTBLANK(OFFSET(A$1,,,SUMPRODUCT(MAX(ROW(E$2:E1846)*(E1846=E$2:E1846)))))-COUNTBLANK(OFFSET(A$1,,,SUMPRODUCT(MAX(ROW(E$1:E1845)*(E2=E$1:E1845))))))</f>
        <v> </v>
      </c>
      <c r="K1846" s="25" t="str">
        <f>IF(OR(E1846="",E1846="!!!",F1846="NEW"),"",INDEX(J$1:J1845,SUMPRODUCT(MAX(ROW(E$1:E1845)*(E1846=E$1:E1845)))))</f>
        <v> </v>
      </c>
      <c r="L1846" s="26"/>
    </row>
    <row r="1847" spans="1:12">
      <c r="A1847" s="20" t="s">
        <v>2056</v>
      </c>
      <c r="E1847" s="21">
        <f>IF(D1847="?OLD","!!!","")</f>
        <v/>
      </c>
      <c r="F1847" s="22" t="str">
        <f>IF(OR(E1847="",E1847="!!!"),"",IF(NOT(ISNA(VLOOKUP(E1847,E$1:E1846,1,FALSE()))),"OLD",IF(AND(E1847&lt;&gt;"",E1847&lt;&gt;"!!!"),"NEW","")))</f>
        <v> </v>
      </c>
      <c r="G1847" s="23" t="str">
        <f>IF(OR(E1847="",E1847="!!!"),"",IF(OR(J1847=0,AND(J1847=1,K1847=1),AND(J1847=1,I1847="SBJ"),AND(J1847=1,I1847=0)),"?IN_FOCUS",IF(J1847&lt;=2,"?ACTIVATED",IF(J1847&lt;&gt;"","?FAMILIAR",IF(F1847="NEW",IF(ISNA(VLOOKUP(E1847,#REF!,1,FALSE())),"?TYPE_IDENTIFIABLE","?REFERENTIAL"),"_")))))</f>
        <v> </v>
      </c>
      <c r="H1847" s="24" t="str">
        <f>IF(J1847&lt;&gt;1,"",IF(I1847="SBJ","CB","?"))</f>
        <v> </v>
      </c>
      <c r="I1847" s="25" t="str">
        <f>IF(OR(E1847="",E1847="!!!",F1847="NEW"),"",INDEX(B1846:B$2,-1+SUMPRODUCT(MAX(ROW(E1846:E$2)*(E1847=E1846:E$2)))))</f>
        <v> </v>
      </c>
      <c r="J1847" s="25" t="str">
        <f>IF(OR(E1847="",E1847="!!!",F1847="NEW"),"",COUNTBLANK(OFFSET(A$1,,,SUMPRODUCT(MAX(ROW(E$2:E1847)*(E1847=E$2:E1847)))))-COUNTBLANK(OFFSET(A$1,,,SUMPRODUCT(MAX(ROW(E$1:E1846)*(E2=E$1:E1846))))))</f>
        <v> </v>
      </c>
      <c r="K1847" s="25" t="str">
        <f>IF(OR(E1847="",E1847="!!!",F1847="NEW"),"",INDEX(J$1:J1846,SUMPRODUCT(MAX(ROW(E$1:E1846)*(E1847=E$1:E1846)))))</f>
        <v> </v>
      </c>
      <c r="L1847" s="26"/>
    </row>
    <row r="1848" spans="1:12">
      <c r="A1848" s="20" t="s">
        <v>1123</v>
      </c>
      <c r="E1848" s="21">
        <f>IF(D1848="?OLD","!!!","")</f>
        <v/>
      </c>
      <c r="F1848" s="22" t="str">
        <f>IF(OR(E1848="",E1848="!!!"),"",IF(NOT(ISNA(VLOOKUP(E1848,E$1:E1847,1,FALSE()))),"OLD",IF(AND(E1848&lt;&gt;"",E1848&lt;&gt;"!!!"),"NEW","")))</f>
        <v> </v>
      </c>
      <c r="G1848" s="23" t="str">
        <f>IF(OR(E1848="",E1848="!!!"),"",IF(OR(J1848=0,AND(J1848=1,K1848=1),AND(J1848=1,I1848="SBJ"),AND(J1848=1,I1848=0)),"?IN_FOCUS",IF(J1848&lt;=2,"?ACTIVATED",IF(J1848&lt;&gt;"","?FAMILIAR",IF(F1848="NEW",IF(ISNA(VLOOKUP(E1848,#REF!,1,FALSE())),"?TYPE_IDENTIFIABLE","?REFERENTIAL"),"_")))))</f>
        <v> </v>
      </c>
      <c r="H1848" s="24" t="str">
        <f>IF(J1848&lt;&gt;1,"",IF(I1848="SBJ","CB","?"))</f>
        <v> </v>
      </c>
      <c r="I1848" s="25" t="str">
        <f>IF(OR(E1848="",E1848="!!!",F1848="NEW"),"",INDEX(B1847:B$2,-1+SUMPRODUCT(MAX(ROW(E1847:E$2)*(E1848=E1847:E$2)))))</f>
        <v> </v>
      </c>
      <c r="J1848" s="25" t="str">
        <f>IF(OR(E1848="",E1848="!!!",F1848="NEW"),"",COUNTBLANK(OFFSET(A$1,,,SUMPRODUCT(MAX(ROW(E$2:E1848)*(E1848=E$2:E1848)))))-COUNTBLANK(OFFSET(A$1,,,SUMPRODUCT(MAX(ROW(E$1:E1847)*(E2=E$1:E1847))))))</f>
        <v> </v>
      </c>
      <c r="K1848" s="25" t="str">
        <f>IF(OR(E1848="",E1848="!!!",F1848="NEW"),"",INDEX(J$1:J1847,SUMPRODUCT(MAX(ROW(E$1:E1847)*(E1848=E$1:E1847)))))</f>
        <v> </v>
      </c>
      <c r="L1848" s="26"/>
    </row>
    <row r="1849" spans="1:12">
      <c r="A1849" s="20" t="s">
        <v>1128</v>
      </c>
      <c r="E1849" s="21">
        <f>IF(D1849="?OLD","!!!","")</f>
        <v/>
      </c>
      <c r="F1849" s="22" t="str">
        <f>IF(OR(E1849="",E1849="!!!"),"",IF(NOT(ISNA(VLOOKUP(E1849,E$1:E1848,1,FALSE()))),"OLD",IF(AND(E1849&lt;&gt;"",E1849&lt;&gt;"!!!"),"NEW","")))</f>
        <v> </v>
      </c>
      <c r="G1849" s="23" t="str">
        <f>IF(OR(E1849="",E1849="!!!"),"",IF(OR(J1849=0,AND(J1849=1,K1849=1),AND(J1849=1,I1849="SBJ"),AND(J1849=1,I1849=0)),"?IN_FOCUS",IF(J1849&lt;=2,"?ACTIVATED",IF(J1849&lt;&gt;"","?FAMILIAR",IF(F1849="NEW",IF(ISNA(VLOOKUP(E1849,#REF!,1,FALSE())),"?TYPE_IDENTIFIABLE","?REFERENTIAL"),"_")))))</f>
        <v> </v>
      </c>
      <c r="H1849" s="24" t="str">
        <f>IF(J1849&lt;&gt;1,"",IF(I1849="SBJ","CB","?"))</f>
        <v> </v>
      </c>
      <c r="I1849" s="25" t="str">
        <f>IF(OR(E1849="",E1849="!!!",F1849="NEW"),"",INDEX(B1848:B$2,-1+SUMPRODUCT(MAX(ROW(E1848:E$2)*(E1849=E1848:E$2)))))</f>
        <v> </v>
      </c>
      <c r="J1849" s="25" t="str">
        <f>IF(OR(E1849="",E1849="!!!",F1849="NEW"),"",COUNTBLANK(OFFSET(A$1,,,SUMPRODUCT(MAX(ROW(E$2:E1849)*(E1849=E$2:E1849)))))-COUNTBLANK(OFFSET(A$1,,,SUMPRODUCT(MAX(ROW(E$1:E1848)*(E2=E$1:E1848))))))</f>
        <v> </v>
      </c>
      <c r="K1849" s="25" t="str">
        <f>IF(OR(E1849="",E1849="!!!",F1849="NEW"),"",INDEX(J$1:J1848,SUMPRODUCT(MAX(ROW(E$1:E1848)*(E1849=E$1:E1848)))))</f>
        <v> </v>
      </c>
      <c r="L1849" s="26"/>
    </row>
    <row r="1850" spans="1:12">
      <c r="A1850" s="20" t="s">
        <v>2057</v>
      </c>
      <c r="E1850" s="21">
        <f>IF(D1850="?OLD","!!!","")</f>
        <v/>
      </c>
      <c r="F1850" s="22" t="str">
        <f>IF(OR(E1850="",E1850="!!!"),"",IF(NOT(ISNA(VLOOKUP(E1850,E$1:E1849,1,FALSE()))),"OLD",IF(AND(E1850&lt;&gt;"",E1850&lt;&gt;"!!!"),"NEW","")))</f>
        <v> </v>
      </c>
      <c r="G1850" s="23" t="str">
        <f>IF(OR(E1850="",E1850="!!!"),"",IF(OR(J1850=0,AND(J1850=1,K1850=1),AND(J1850=1,I1850="SBJ"),AND(J1850=1,I1850=0)),"?IN_FOCUS",IF(J1850&lt;=2,"?ACTIVATED",IF(J1850&lt;&gt;"","?FAMILIAR",IF(F1850="NEW",IF(ISNA(VLOOKUP(E1850,#REF!,1,FALSE())),"?TYPE_IDENTIFIABLE","?REFERENTIAL"),"_")))))</f>
        <v> </v>
      </c>
      <c r="H1850" s="24" t="str">
        <f>IF(J1850&lt;&gt;1,"",IF(I1850="SBJ","CB","?"))</f>
        <v> </v>
      </c>
      <c r="I1850" s="25" t="str">
        <f>IF(OR(E1850="",E1850="!!!",F1850="NEW"),"",INDEX(B1849:B$2,-1+SUMPRODUCT(MAX(ROW(E1849:E$2)*(E1850=E1849:E$2)))))</f>
        <v> </v>
      </c>
      <c r="J1850" s="25" t="str">
        <f>IF(OR(E1850="",E1850="!!!",F1850="NEW"),"",COUNTBLANK(OFFSET(A$1,,,SUMPRODUCT(MAX(ROW(E$2:E1850)*(E1850=E$2:E1850)))))-COUNTBLANK(OFFSET(A$1,,,SUMPRODUCT(MAX(ROW(E$1:E1849)*(E2=E$1:E1849))))))</f>
        <v> </v>
      </c>
      <c r="K1850" s="25" t="str">
        <f>IF(OR(E1850="",E1850="!!!",F1850="NEW"),"",INDEX(J$1:J1849,SUMPRODUCT(MAX(ROW(E$1:E1849)*(E1850=E$1:E1849)))))</f>
        <v> </v>
      </c>
      <c r="L1850" s="26"/>
    </row>
    <row r="1851" spans="1:12">
      <c r="A1851" s="20" t="s">
        <v>2058</v>
      </c>
      <c r="E1851" s="21">
        <f>IF(D1851="?OLD","!!!","")</f>
        <v/>
      </c>
      <c r="F1851" s="22" t="str">
        <f>IF(OR(E1851="",E1851="!!!"),"",IF(NOT(ISNA(VLOOKUP(E1851,E$1:E1850,1,FALSE()))),"OLD",IF(AND(E1851&lt;&gt;"",E1851&lt;&gt;"!!!"),"NEW","")))</f>
        <v> </v>
      </c>
      <c r="G1851" s="23" t="str">
        <f>IF(OR(E1851="",E1851="!!!"),"",IF(OR(J1851=0,AND(J1851=1,K1851=1),AND(J1851=1,I1851="SBJ"),AND(J1851=1,I1851=0)),"?IN_FOCUS",IF(J1851&lt;=2,"?ACTIVATED",IF(J1851&lt;&gt;"","?FAMILIAR",IF(F1851="NEW",IF(ISNA(VLOOKUP(E1851,#REF!,1,FALSE())),"?TYPE_IDENTIFIABLE","?REFERENTIAL"),"_")))))</f>
        <v> </v>
      </c>
      <c r="H1851" s="24" t="str">
        <f>IF(J1851&lt;&gt;1,"",IF(I1851="SBJ","CB","?"))</f>
        <v> </v>
      </c>
      <c r="I1851" s="25" t="str">
        <f>IF(OR(E1851="",E1851="!!!",F1851="NEW"),"",INDEX(B1850:B$2,-1+SUMPRODUCT(MAX(ROW(E1850:E$2)*(E1851=E1850:E$2)))))</f>
        <v> </v>
      </c>
      <c r="J1851" s="25" t="str">
        <f>IF(OR(E1851="",E1851="!!!",F1851="NEW"),"",COUNTBLANK(OFFSET(A$1,,,SUMPRODUCT(MAX(ROW(E$2:E1851)*(E1851=E$2:E1851)))))-COUNTBLANK(OFFSET(A$1,,,SUMPRODUCT(MAX(ROW(E$1:E1850)*(E2=E$1:E1850))))))</f>
        <v> </v>
      </c>
      <c r="K1851" s="25" t="str">
        <f>IF(OR(E1851="",E1851="!!!",F1851="NEW"),"",INDEX(J$1:J1850,SUMPRODUCT(MAX(ROW(E$1:E1850)*(E1851=E$1:E1850)))))</f>
        <v> </v>
      </c>
      <c r="L1851" s="26"/>
    </row>
    <row r="1852" spans="1:12">
      <c r="A1852" s="20" t="s">
        <v>1201</v>
      </c>
      <c r="E1852" s="21">
        <f>IF(D1852="?OLD","!!!","")</f>
        <v/>
      </c>
      <c r="F1852" s="22" t="str">
        <f>IF(OR(E1852="",E1852="!!!"),"",IF(NOT(ISNA(VLOOKUP(E1852,E$1:E1851,1,FALSE()))),"OLD",IF(AND(E1852&lt;&gt;"",E1852&lt;&gt;"!!!"),"NEW","")))</f>
        <v> </v>
      </c>
      <c r="G1852" s="23" t="str">
        <f>IF(OR(E1852="",E1852="!!!"),"",IF(OR(J1852=0,AND(J1852=1,K1852=1),AND(J1852=1,I1852="SBJ"),AND(J1852=1,I1852=0)),"?IN_FOCUS",IF(J1852&lt;=2,"?ACTIVATED",IF(J1852&lt;&gt;"","?FAMILIAR",IF(F1852="NEW",IF(ISNA(VLOOKUP(E1852,#REF!,1,FALSE())),"?TYPE_IDENTIFIABLE","?REFERENTIAL"),"_")))))</f>
        <v> </v>
      </c>
      <c r="H1852" s="24" t="str">
        <f>IF(J1852&lt;&gt;1,"",IF(I1852="SBJ","CB","?"))</f>
        <v> </v>
      </c>
      <c r="I1852" s="25" t="str">
        <f>IF(OR(E1852="",E1852="!!!",F1852="NEW"),"",INDEX(B1851:B$2,-1+SUMPRODUCT(MAX(ROW(E1851:E$2)*(E1852=E1851:E$2)))))</f>
        <v> </v>
      </c>
      <c r="J1852" s="25" t="str">
        <f>IF(OR(E1852="",E1852="!!!",F1852="NEW"),"",COUNTBLANK(OFFSET(A$1,,,SUMPRODUCT(MAX(ROW(E$2:E1852)*(E1852=E$2:E1852)))))-COUNTBLANK(OFFSET(A$1,,,SUMPRODUCT(MAX(ROW(E$1:E1851)*(E2=E$1:E1851))))))</f>
        <v> </v>
      </c>
      <c r="K1852" s="25" t="str">
        <f>IF(OR(E1852="",E1852="!!!",F1852="NEW"),"",INDEX(J$1:J1851,SUMPRODUCT(MAX(ROW(E$1:E1851)*(E1852=E$1:E1851)))))</f>
        <v> </v>
      </c>
      <c r="L1852" s="26"/>
    </row>
    <row r="1853" spans="1:12">
      <c r="A1853" s="20" t="s">
        <v>2059</v>
      </c>
      <c r="E1853" s="21">
        <f>IF(D1853="?OLD","!!!","")</f>
        <v/>
      </c>
      <c r="F1853" s="22" t="str">
        <f>IF(OR(E1853="",E1853="!!!"),"",IF(NOT(ISNA(VLOOKUP(E1853,E$1:E1852,1,FALSE()))),"OLD",IF(AND(E1853&lt;&gt;"",E1853&lt;&gt;"!!!"),"NEW","")))</f>
        <v> </v>
      </c>
      <c r="G1853" s="23" t="str">
        <f>IF(OR(E1853="",E1853="!!!"),"",IF(OR(J1853=0,AND(J1853=1,K1853=1),AND(J1853=1,I1853="SBJ"),AND(J1853=1,I1853=0)),"?IN_FOCUS",IF(J1853&lt;=2,"?ACTIVATED",IF(J1853&lt;&gt;"","?FAMILIAR",IF(F1853="NEW",IF(ISNA(VLOOKUP(E1853,#REF!,1,FALSE())),"?TYPE_IDENTIFIABLE","?REFERENTIAL"),"_")))))</f>
        <v> </v>
      </c>
      <c r="H1853" s="24" t="str">
        <f>IF(J1853&lt;&gt;1,"",IF(I1853="SBJ","CB","?"))</f>
        <v> </v>
      </c>
      <c r="I1853" s="25" t="str">
        <f>IF(OR(E1853="",E1853="!!!",F1853="NEW"),"",INDEX(B1852:B$2,-1+SUMPRODUCT(MAX(ROW(E1852:E$2)*(E1853=E1852:E$2)))))</f>
        <v> </v>
      </c>
      <c r="J1853" s="25" t="str">
        <f>IF(OR(E1853="",E1853="!!!",F1853="NEW"),"",COUNTBLANK(OFFSET(A$1,,,SUMPRODUCT(MAX(ROW(E$2:E1853)*(E1853=E$2:E1853)))))-COUNTBLANK(OFFSET(A$1,,,SUMPRODUCT(MAX(ROW(E$1:E1852)*(E2=E$1:E1852))))))</f>
        <v> </v>
      </c>
      <c r="K1853" s="25" t="str">
        <f>IF(OR(E1853="",E1853="!!!",F1853="NEW"),"",INDEX(J$1:J1852,SUMPRODUCT(MAX(ROW(E$1:E1852)*(E1853=E$1:E1852)))))</f>
        <v> </v>
      </c>
      <c r="L1853" s="26"/>
    </row>
    <row r="1854" spans="1:12">
      <c r="A1854" s="20" t="s">
        <v>2060</v>
      </c>
      <c r="E1854" s="21">
        <f>IF(D1854="?OLD","!!!","")</f>
        <v/>
      </c>
      <c r="F1854" s="22" t="str">
        <f>IF(OR(E1854="",E1854="!!!"),"",IF(NOT(ISNA(VLOOKUP(E1854,E$1:E1853,1,FALSE()))),"OLD",IF(AND(E1854&lt;&gt;"",E1854&lt;&gt;"!!!"),"NEW","")))</f>
        <v> </v>
      </c>
      <c r="G1854" s="23" t="str">
        <f>IF(OR(E1854="",E1854="!!!"),"",IF(OR(J1854=0,AND(J1854=1,K1854=1),AND(J1854=1,I1854="SBJ"),AND(J1854=1,I1854=0)),"?IN_FOCUS",IF(J1854&lt;=2,"?ACTIVATED",IF(J1854&lt;&gt;"","?FAMILIAR",IF(F1854="NEW",IF(ISNA(VLOOKUP(E1854,#REF!,1,FALSE())),"?TYPE_IDENTIFIABLE","?REFERENTIAL"),"_")))))</f>
        <v> </v>
      </c>
      <c r="H1854" s="24" t="str">
        <f>IF(J1854&lt;&gt;1,"",IF(I1854="SBJ","CB","?"))</f>
        <v> </v>
      </c>
      <c r="I1854" s="25" t="str">
        <f>IF(OR(E1854="",E1854="!!!",F1854="NEW"),"",INDEX(B1853:B$2,-1+SUMPRODUCT(MAX(ROW(E1853:E$2)*(E1854=E1853:E$2)))))</f>
        <v> </v>
      </c>
      <c r="J1854" s="25" t="str">
        <f>IF(OR(E1854="",E1854="!!!",F1854="NEW"),"",COUNTBLANK(OFFSET(A$1,,,SUMPRODUCT(MAX(ROW(E$2:E1854)*(E1854=E$2:E1854)))))-COUNTBLANK(OFFSET(A$1,,,SUMPRODUCT(MAX(ROW(E$1:E1853)*(E2=E$1:E1853))))))</f>
        <v> </v>
      </c>
      <c r="K1854" s="25" t="str">
        <f>IF(OR(E1854="",E1854="!!!",F1854="NEW"),"",INDEX(J$1:J1853,SUMPRODUCT(MAX(ROW(E$1:E1853)*(E1854=E$1:E1853)))))</f>
        <v> </v>
      </c>
      <c r="L1854" s="26"/>
    </row>
    <row r="1855" spans="1:12">
      <c r="A1855" s="20" t="s">
        <v>2061</v>
      </c>
      <c r="B1855" s="27" t="s">
        <v>1110</v>
      </c>
      <c r="C1855" s="27" t="s">
        <v>1156</v>
      </c>
      <c r="D1855" s="27" t="s">
        <v>1105</v>
      </c>
      <c r="E1855" s="21">
        <f>IF(D1855="?OLD","!!!","")</f>
        <v/>
      </c>
      <c r="F1855" s="22" t="str">
        <f>IF(OR(E1855="",E1855="!!!"),"",IF(NOT(ISNA(VLOOKUP(E1855,E$1:E1854,1,FALSE()))),"OLD",IF(AND(E1855&lt;&gt;"",E1855&lt;&gt;"!!!"),"NEW","")))</f>
        <v> </v>
      </c>
      <c r="G1855" s="23" t="str">
        <f>IF(OR(E1855="",E1855="!!!"),"",IF(OR(J1855=0,AND(J1855=1,K1855=1),AND(J1855=1,I1855="SBJ"),AND(J1855=1,I1855=0)),"?IN_FOCUS",IF(J1855&lt;=2,"?ACTIVATED",IF(J1855&lt;&gt;"","?FAMILIAR",IF(F1855="NEW",IF(ISNA(VLOOKUP(E1855,#REF!,1,FALSE())),"?TYPE_IDENTIFIABLE","?REFERENTIAL"),"_")))))</f>
        <v> </v>
      </c>
      <c r="H1855" s="24" t="str">
        <f>IF(J1855&lt;&gt;1,"",IF(I1855="SBJ","CB","?"))</f>
        <v> </v>
      </c>
      <c r="I1855" s="25" t="str">
        <f>IF(OR(E1855="",E1855="!!!",F1855="NEW"),"",INDEX(B1854:B$2,-1+SUMPRODUCT(MAX(ROW(E1854:E$2)*(E1855=E1854:E$2)))))</f>
        <v> </v>
      </c>
      <c r="J1855" s="25" t="str">
        <f>IF(OR(E1855="",E1855="!!!",F1855="NEW"),"",COUNTBLANK(OFFSET(A$1,,,SUMPRODUCT(MAX(ROW(E$2:E1855)*(E1855=E$2:E1855)))))-COUNTBLANK(OFFSET(A$1,,,SUMPRODUCT(MAX(ROW(E$1:E1854)*(E2=E$1:E1854))))))</f>
        <v> </v>
      </c>
      <c r="K1855" s="25" t="str">
        <f>IF(OR(E1855="",E1855="!!!",F1855="NEW"),"",INDEX(J$1:J1854,SUMPRODUCT(MAX(ROW(E$1:E1854)*(E1855=E$1:E1854)))))</f>
        <v> </v>
      </c>
      <c r="L1855" s="26"/>
    </row>
    <row r="1856" spans="1:12">
      <c r="A1856" s="20" t="s">
        <v>2062</v>
      </c>
      <c r="E1856" s="21">
        <f>IF(D1856="?OLD","!!!","")</f>
        <v/>
      </c>
      <c r="F1856" s="22" t="str">
        <f>IF(OR(E1856="",E1856="!!!"),"",IF(NOT(ISNA(VLOOKUP(E1856,E$1:E1855,1,FALSE()))),"OLD",IF(AND(E1856&lt;&gt;"",E1856&lt;&gt;"!!!"),"NEW","")))</f>
        <v> </v>
      </c>
      <c r="G1856" s="23" t="str">
        <f>IF(OR(E1856="",E1856="!!!"),"",IF(OR(J1856=0,AND(J1856=1,K1856=1),AND(J1856=1,I1856="SBJ"),AND(J1856=1,I1856=0)),"?IN_FOCUS",IF(J1856&lt;=2,"?ACTIVATED",IF(J1856&lt;&gt;"","?FAMILIAR",IF(F1856="NEW",IF(ISNA(VLOOKUP(E1856,#REF!,1,FALSE())),"?TYPE_IDENTIFIABLE","?REFERENTIAL"),"_")))))</f>
        <v> </v>
      </c>
      <c r="H1856" s="24" t="str">
        <f>IF(J1856&lt;&gt;1,"",IF(I1856="SBJ","CB","?"))</f>
        <v> </v>
      </c>
      <c r="I1856" s="25" t="str">
        <f>IF(OR(E1856="",E1856="!!!",F1856="NEW"),"",INDEX(B1855:B$2,-1+SUMPRODUCT(MAX(ROW(E1855:E$2)*(E1856=E1855:E$2)))))</f>
        <v> </v>
      </c>
      <c r="J1856" s="25" t="str">
        <f>IF(OR(E1856="",E1856="!!!",F1856="NEW"),"",COUNTBLANK(OFFSET(A$1,,,SUMPRODUCT(MAX(ROW(E$2:E1856)*(E1856=E$2:E1856)))))-COUNTBLANK(OFFSET(A$1,,,SUMPRODUCT(MAX(ROW(E$1:E1855)*(E2=E$1:E1855))))))</f>
        <v> </v>
      </c>
      <c r="K1856" s="25" t="str">
        <f>IF(OR(E1856="",E1856="!!!",F1856="NEW"),"",INDEX(J$1:J1855,SUMPRODUCT(MAX(ROW(E$1:E1855)*(E1856=E$1:E1855)))))</f>
        <v> </v>
      </c>
      <c r="L1856" s="26"/>
    </row>
    <row r="1857" spans="1:12">
      <c r="A1857" s="20" t="s">
        <v>1270</v>
      </c>
      <c r="B1857" s="27" t="s">
        <v>1115</v>
      </c>
      <c r="C1857" s="27" t="s">
        <v>1126</v>
      </c>
      <c r="D1857" s="27" t="s">
        <v>1105</v>
      </c>
      <c r="E1857" s="21">
        <f>IF(D1857="?OLD","!!!","")</f>
        <v/>
      </c>
      <c r="F1857" s="22" t="str">
        <f>IF(OR(E1857="",E1857="!!!"),"",IF(NOT(ISNA(VLOOKUP(E1857,E$1:E1856,1,FALSE()))),"OLD",IF(AND(E1857&lt;&gt;"",E1857&lt;&gt;"!!!"),"NEW","")))</f>
        <v> </v>
      </c>
      <c r="G1857" s="23" t="str">
        <f>IF(OR(E1857="",E1857="!!!"),"",IF(OR(J1857=0,AND(J1857=1,K1857=1),AND(J1857=1,I1857="SBJ"),AND(J1857=1,I1857=0)),"?IN_FOCUS",IF(J1857&lt;=2,"?ACTIVATED",IF(J1857&lt;&gt;"","?FAMILIAR",IF(F1857="NEW",IF(ISNA(VLOOKUP(E1857,#REF!,1,FALSE())),"?TYPE_IDENTIFIABLE","?REFERENTIAL"),"_")))))</f>
        <v> </v>
      </c>
      <c r="H1857" s="24" t="str">
        <f>IF(J1857&lt;&gt;1,"",IF(I1857="SBJ","CB","?"))</f>
        <v> </v>
      </c>
      <c r="I1857" s="25" t="str">
        <f>IF(OR(E1857="",E1857="!!!",F1857="NEW"),"",INDEX(B1856:B$2,-1+SUMPRODUCT(MAX(ROW(E1856:E$2)*(E1857=E1856:E$2)))))</f>
        <v> </v>
      </c>
      <c r="J1857" s="25" t="str">
        <f>IF(OR(E1857="",E1857="!!!",F1857="NEW"),"",COUNTBLANK(OFFSET(A$1,,,SUMPRODUCT(MAX(ROW(E$2:E1857)*(E1857=E$2:E1857)))))-COUNTBLANK(OFFSET(A$1,,,SUMPRODUCT(MAX(ROW(E$1:E1856)*(E2=E$1:E1856))))))</f>
        <v> </v>
      </c>
      <c r="K1857" s="25" t="str">
        <f>IF(OR(E1857="",E1857="!!!",F1857="NEW"),"",INDEX(J$1:J1856,SUMPRODUCT(MAX(ROW(E$1:E1856)*(E1857=E$1:E1856)))))</f>
        <v> </v>
      </c>
      <c r="L1857" s="26"/>
    </row>
    <row r="1858" spans="1:12">
      <c r="A1858" s="20" t="s">
        <v>1123</v>
      </c>
      <c r="E1858" s="21">
        <f>IF(D1858="?OLD","!!!","")</f>
        <v/>
      </c>
      <c r="F1858" s="22" t="str">
        <f>IF(OR(E1858="",E1858="!!!"),"",IF(NOT(ISNA(VLOOKUP(E1858,E$1:E1857,1,FALSE()))),"OLD",IF(AND(E1858&lt;&gt;"",E1858&lt;&gt;"!!!"),"NEW","")))</f>
        <v> </v>
      </c>
      <c r="G1858" s="23" t="str">
        <f>IF(OR(E1858="",E1858="!!!"),"",IF(OR(J1858=0,AND(J1858=1,K1858=1),AND(J1858=1,I1858="SBJ"),AND(J1858=1,I1858=0)),"?IN_FOCUS",IF(J1858&lt;=2,"?ACTIVATED",IF(J1858&lt;&gt;"","?FAMILIAR",IF(F1858="NEW",IF(ISNA(VLOOKUP(E1858,#REF!,1,FALSE())),"?TYPE_IDENTIFIABLE","?REFERENTIAL"),"_")))))</f>
        <v> </v>
      </c>
      <c r="H1858" s="24" t="str">
        <f>IF(J1858&lt;&gt;1,"",IF(I1858="SBJ","CB","?"))</f>
        <v> </v>
      </c>
      <c r="I1858" s="25" t="str">
        <f>IF(OR(E1858="",E1858="!!!",F1858="NEW"),"",INDEX(B1857:B$2,-1+SUMPRODUCT(MAX(ROW(E1857:E$2)*(E1858=E1857:E$2)))))</f>
        <v> </v>
      </c>
      <c r="J1858" s="25" t="str">
        <f>IF(OR(E1858="",E1858="!!!",F1858="NEW"),"",COUNTBLANK(OFFSET(A$1,,,SUMPRODUCT(MAX(ROW(E$2:E1858)*(E1858=E$2:E1858)))))-COUNTBLANK(OFFSET(A$1,,,SUMPRODUCT(MAX(ROW(E$1:E1857)*(E2=E$1:E1857))))))</f>
        <v> </v>
      </c>
      <c r="K1858" s="25" t="str">
        <f>IF(OR(E1858="",E1858="!!!",F1858="NEW"),"",INDEX(J$1:J1857,SUMPRODUCT(MAX(ROW(E$1:E1857)*(E1858=E$1:E1857)))))</f>
        <v> </v>
      </c>
      <c r="L1858" s="26"/>
    </row>
    <row r="1859" spans="1:12">
      <c r="A1859" s="20" t="s">
        <v>135</v>
      </c>
      <c r="E1859" s="21">
        <f>IF(D1859="?OLD","!!!","")</f>
        <v/>
      </c>
      <c r="F1859" s="22" t="str">
        <f>IF(OR(E1859="",E1859="!!!"),"",IF(NOT(ISNA(VLOOKUP(E1859,E$1:E1858,1,FALSE()))),"OLD",IF(AND(E1859&lt;&gt;"",E1859&lt;&gt;"!!!"),"NEW","")))</f>
        <v> </v>
      </c>
      <c r="G1859" s="23" t="str">
        <f>IF(OR(E1859="",E1859="!!!"),"",IF(OR(J1859=0,AND(J1859=1,K1859=1),AND(J1859=1,I1859="SBJ"),AND(J1859=1,I1859=0)),"?IN_FOCUS",IF(J1859&lt;=2,"?ACTIVATED",IF(J1859&lt;&gt;"","?FAMILIAR",IF(F1859="NEW",IF(ISNA(VLOOKUP(E1859,#REF!,1,FALSE())),"?TYPE_IDENTIFIABLE","?REFERENTIAL"),"_")))))</f>
        <v> </v>
      </c>
      <c r="H1859" s="24" t="str">
        <f>IF(J1859&lt;&gt;1,"",IF(I1859="SBJ","CB","?"))</f>
        <v> </v>
      </c>
      <c r="I1859" s="25" t="str">
        <f>IF(OR(E1859="",E1859="!!!",F1859="NEW"),"",INDEX(B1858:B$2,-1+SUMPRODUCT(MAX(ROW(E1858:E$2)*(E1859=E1858:E$2)))))</f>
        <v> </v>
      </c>
      <c r="J1859" s="25" t="str">
        <f>IF(OR(E1859="",E1859="!!!",F1859="NEW"),"",COUNTBLANK(OFFSET(A$1,,,SUMPRODUCT(MAX(ROW(E$2:E1859)*(E1859=E$2:E1859)))))-COUNTBLANK(OFFSET(A$1,,,SUMPRODUCT(MAX(ROW(E$1:E1858)*(E2=E$1:E1858))))))</f>
        <v> </v>
      </c>
      <c r="K1859" s="25" t="str">
        <f>IF(OR(E1859="",E1859="!!!",F1859="NEW"),"",INDEX(J$1:J1858,SUMPRODUCT(MAX(ROW(E$1:E1858)*(E1859=E$1:E1858)))))</f>
        <v> </v>
      </c>
      <c r="L1859" s="26"/>
    </row>
    <row r="1860" spans="1:12">
      <c r="A1860" s="20" t="s">
        <v>1253</v>
      </c>
      <c r="E1860" s="21">
        <f>IF(D1860="?OLD","!!!","")</f>
        <v/>
      </c>
      <c r="F1860" s="22" t="str">
        <f>IF(OR(E1860="",E1860="!!!"),"",IF(NOT(ISNA(VLOOKUP(E1860,E$1:E1859,1,FALSE()))),"OLD",IF(AND(E1860&lt;&gt;"",E1860&lt;&gt;"!!!"),"NEW","")))</f>
        <v> </v>
      </c>
      <c r="G1860" s="23" t="str">
        <f>IF(OR(E1860="",E1860="!!!"),"",IF(OR(J1860=0,AND(J1860=1,K1860=1),AND(J1860=1,I1860="SBJ"),AND(J1860=1,I1860=0)),"?IN_FOCUS",IF(J1860&lt;=2,"?ACTIVATED",IF(J1860&lt;&gt;"","?FAMILIAR",IF(F1860="NEW",IF(ISNA(VLOOKUP(E1860,#REF!,1,FALSE())),"?TYPE_IDENTIFIABLE","?REFERENTIAL"),"_")))))</f>
        <v> </v>
      </c>
      <c r="H1860" s="24" t="str">
        <f>IF(J1860&lt;&gt;1,"",IF(I1860="SBJ","CB","?"))</f>
        <v> </v>
      </c>
      <c r="I1860" s="25" t="str">
        <f>IF(OR(E1860="",E1860="!!!",F1860="NEW"),"",INDEX(B1859:B$2,-1+SUMPRODUCT(MAX(ROW(E1859:E$2)*(E1860=E1859:E$2)))))</f>
        <v> </v>
      </c>
      <c r="J1860" s="25" t="str">
        <f>IF(OR(E1860="",E1860="!!!",F1860="NEW"),"",COUNTBLANK(OFFSET(A$1,,,SUMPRODUCT(MAX(ROW(E$2:E1860)*(E1860=E$2:E1860)))))-COUNTBLANK(OFFSET(A$1,,,SUMPRODUCT(MAX(ROW(E$1:E1859)*(E2=E$1:E1859))))))</f>
        <v> </v>
      </c>
      <c r="K1860" s="25" t="str">
        <f>IF(OR(E1860="",E1860="!!!",F1860="NEW"),"",INDEX(J$1:J1859,SUMPRODUCT(MAX(ROW(E$1:E1859)*(E1860=E$1:E1859)))))</f>
        <v> </v>
      </c>
      <c r="L1860" s="26"/>
    </row>
    <row r="1861" spans="1:12">
      <c r="A1861" s="20" t="s">
        <v>2063</v>
      </c>
      <c r="E1861" s="21">
        <f>IF(D1861="?OLD","!!!","")</f>
        <v/>
      </c>
      <c r="F1861" s="22" t="str">
        <f>IF(OR(E1861="",E1861="!!!"),"",IF(NOT(ISNA(VLOOKUP(E1861,E$1:E1860,1,FALSE()))),"OLD",IF(AND(E1861&lt;&gt;"",E1861&lt;&gt;"!!!"),"NEW","")))</f>
        <v> </v>
      </c>
      <c r="G1861" s="23" t="str">
        <f>IF(OR(E1861="",E1861="!!!"),"",IF(OR(J1861=0,AND(J1861=1,K1861=1),AND(J1861=1,I1861="SBJ"),AND(J1861=1,I1861=0)),"?IN_FOCUS",IF(J1861&lt;=2,"?ACTIVATED",IF(J1861&lt;&gt;"","?FAMILIAR",IF(F1861="NEW",IF(ISNA(VLOOKUP(E1861,#REF!,1,FALSE())),"?TYPE_IDENTIFIABLE","?REFERENTIAL"),"_")))))</f>
        <v> </v>
      </c>
      <c r="H1861" s="24" t="str">
        <f>IF(J1861&lt;&gt;1,"",IF(I1861="SBJ","CB","?"))</f>
        <v> </v>
      </c>
      <c r="I1861" s="25" t="str">
        <f>IF(OR(E1861="",E1861="!!!",F1861="NEW"),"",INDEX(B1860:B$2,-1+SUMPRODUCT(MAX(ROW(E1860:E$2)*(E1861=E1860:E$2)))))</f>
        <v> </v>
      </c>
      <c r="J1861" s="25" t="str">
        <f>IF(OR(E1861="",E1861="!!!",F1861="NEW"),"",COUNTBLANK(OFFSET(A$1,,,SUMPRODUCT(MAX(ROW(E$2:E1861)*(E1861=E$2:E1861)))))-COUNTBLANK(OFFSET(A$1,,,SUMPRODUCT(MAX(ROW(E$1:E1860)*(E2=E$1:E1860))))))</f>
        <v> </v>
      </c>
      <c r="K1861" s="25" t="str">
        <f>IF(OR(E1861="",E1861="!!!",F1861="NEW"),"",INDEX(J$1:J1860,SUMPRODUCT(MAX(ROW(E$1:E1860)*(E1861=E$1:E1860)))))</f>
        <v> </v>
      </c>
      <c r="L1861" s="26"/>
    </row>
    <row r="1862" spans="1:12">
      <c r="A1862" s="20" t="s">
        <v>1846</v>
      </c>
      <c r="E1862" s="21">
        <f>IF(D1862="?OLD","!!!","")</f>
        <v/>
      </c>
      <c r="F1862" s="22" t="str">
        <f>IF(OR(E1862="",E1862="!!!"),"",IF(NOT(ISNA(VLOOKUP(E1862,E$1:E1861,1,FALSE()))),"OLD",IF(AND(E1862&lt;&gt;"",E1862&lt;&gt;"!!!"),"NEW","")))</f>
        <v> </v>
      </c>
      <c r="G1862" s="23" t="str">
        <f>IF(OR(E1862="",E1862="!!!"),"",IF(OR(J1862=0,AND(J1862=1,K1862=1),AND(J1862=1,I1862="SBJ"),AND(J1862=1,I1862=0)),"?IN_FOCUS",IF(J1862&lt;=2,"?ACTIVATED",IF(J1862&lt;&gt;"","?FAMILIAR",IF(F1862="NEW",IF(ISNA(VLOOKUP(E1862,#REF!,1,FALSE())),"?TYPE_IDENTIFIABLE","?REFERENTIAL"),"_")))))</f>
        <v> </v>
      </c>
      <c r="H1862" s="24" t="str">
        <f>IF(J1862&lt;&gt;1,"",IF(I1862="SBJ","CB","?"))</f>
        <v> </v>
      </c>
      <c r="I1862" s="25" t="str">
        <f>IF(OR(E1862="",E1862="!!!",F1862="NEW"),"",INDEX(B1861:B$2,-1+SUMPRODUCT(MAX(ROW(E1861:E$2)*(E1862=E1861:E$2)))))</f>
        <v> </v>
      </c>
      <c r="J1862" s="25" t="str">
        <f>IF(OR(E1862="",E1862="!!!",F1862="NEW"),"",COUNTBLANK(OFFSET(A$1,,,SUMPRODUCT(MAX(ROW(E$2:E1862)*(E1862=E$2:E1862)))))-COUNTBLANK(OFFSET(A$1,,,SUMPRODUCT(MAX(ROW(E$1:E1861)*(E2=E$1:E1861))))))</f>
        <v> </v>
      </c>
      <c r="K1862" s="25" t="str">
        <f>IF(OR(E1862="",E1862="!!!",F1862="NEW"),"",INDEX(J$1:J1861,SUMPRODUCT(MAX(ROW(E$1:E1861)*(E1862=E$1:E1861)))))</f>
        <v> </v>
      </c>
      <c r="L1862" s="26"/>
    </row>
    <row r="1863" spans="1:12">
      <c r="A1863" s="20" t="s">
        <v>2064</v>
      </c>
      <c r="B1863" s="27" t="s">
        <v>1125</v>
      </c>
      <c r="E1863" s="21">
        <f>IF(D1863="?OLD","!!!","")</f>
        <v/>
      </c>
      <c r="F1863" s="22" t="str">
        <f>IF(OR(E1863="",E1863="!!!"),"",IF(NOT(ISNA(VLOOKUP(E1863,E$1:E1862,1,FALSE()))),"OLD",IF(AND(E1863&lt;&gt;"",E1863&lt;&gt;"!!!"),"NEW","")))</f>
        <v> </v>
      </c>
      <c r="G1863" s="23" t="str">
        <f>IF(OR(E1863="",E1863="!!!"),"",IF(OR(J1863=0,AND(J1863=1,K1863=1),AND(J1863=1,I1863="SBJ"),AND(J1863=1,I1863=0)),"?IN_FOCUS",IF(J1863&lt;=2,"?ACTIVATED",IF(J1863&lt;&gt;"","?FAMILIAR",IF(F1863="NEW",IF(ISNA(VLOOKUP(E1863,#REF!,1,FALSE())),"?TYPE_IDENTIFIABLE","?REFERENTIAL"),"_")))))</f>
        <v> </v>
      </c>
      <c r="H1863" s="24" t="str">
        <f>IF(J1863&lt;&gt;1,"",IF(I1863="SBJ","CB","?"))</f>
        <v> </v>
      </c>
      <c r="I1863" s="25" t="str">
        <f>IF(OR(E1863="",E1863="!!!",F1863="NEW"),"",INDEX(B1862:B$2,-1+SUMPRODUCT(MAX(ROW(E1862:E$2)*(E1863=E1862:E$2)))))</f>
        <v> </v>
      </c>
      <c r="J1863" s="25" t="str">
        <f>IF(OR(E1863="",E1863="!!!",F1863="NEW"),"",COUNTBLANK(OFFSET(A$1,,,SUMPRODUCT(MAX(ROW(E$2:E1863)*(E1863=E$2:E1863)))))-COUNTBLANK(OFFSET(A$1,,,SUMPRODUCT(MAX(ROW(E$1:E1862)*(E2=E$1:E1862))))))</f>
        <v> </v>
      </c>
      <c r="K1863" s="25" t="str">
        <f>IF(OR(E1863="",E1863="!!!",F1863="NEW"),"",INDEX(J$1:J1862,SUMPRODUCT(MAX(ROW(E$1:E1862)*(E1863=E$1:E1862)))))</f>
        <v> </v>
      </c>
      <c r="L1863" s="26"/>
    </row>
    <row r="1864" spans="1:12">
      <c r="A1864" s="20" t="s">
        <v>1101</v>
      </c>
      <c r="E1864" s="21">
        <f>IF(D1864="?OLD","!!!","")</f>
        <v/>
      </c>
      <c r="F1864" s="22" t="str">
        <f>IF(OR(E1864="",E1864="!!!"),"",IF(NOT(ISNA(VLOOKUP(E1864,E$1:E1863,1,FALSE()))),"OLD",IF(AND(E1864&lt;&gt;"",E1864&lt;&gt;"!!!"),"NEW","")))</f>
        <v> </v>
      </c>
      <c r="G1864" s="23" t="str">
        <f>IF(OR(E1864="",E1864="!!!"),"",IF(OR(J1864=0,AND(J1864=1,K1864=1),AND(J1864=1,I1864="SBJ"),AND(J1864=1,I1864=0)),"?IN_FOCUS",IF(J1864&lt;=2,"?ACTIVATED",IF(J1864&lt;&gt;"","?FAMILIAR",IF(F1864="NEW",IF(ISNA(VLOOKUP(E1864,#REF!,1,FALSE())),"?TYPE_IDENTIFIABLE","?REFERENTIAL"),"_")))))</f>
        <v> </v>
      </c>
      <c r="H1864" s="24" t="str">
        <f>IF(J1864&lt;&gt;1,"",IF(I1864="SBJ","CB","?"))</f>
        <v> </v>
      </c>
      <c r="I1864" s="25" t="str">
        <f>IF(OR(E1864="",E1864="!!!",F1864="NEW"),"",INDEX(B1863:B$2,-1+SUMPRODUCT(MAX(ROW(E1863:E$2)*(E1864=E1863:E$2)))))</f>
        <v> </v>
      </c>
      <c r="J1864" s="25" t="str">
        <f>IF(OR(E1864="",E1864="!!!",F1864="NEW"),"",COUNTBLANK(OFFSET(A$1,,,SUMPRODUCT(MAX(ROW(E$2:E1864)*(E1864=E$2:E1864)))))-COUNTBLANK(OFFSET(A$1,,,SUMPRODUCT(MAX(ROW(E$1:E1863)*(E2=E$1:E1863))))))</f>
        <v> </v>
      </c>
      <c r="K1864" s="25" t="str">
        <f>IF(OR(E1864="",E1864="!!!",F1864="NEW"),"",INDEX(J$1:J1863,SUMPRODUCT(MAX(ROW(E$1:E1863)*(E1864=E$1:E1863)))))</f>
        <v> </v>
      </c>
      <c r="L1864" s="26"/>
    </row>
    <row r="1865" spans="1:12">
      <c r="A1865" s="20" t="s">
        <v>2065</v>
      </c>
      <c r="E1865" s="21">
        <f>IF(D1865="?OLD","!!!","")</f>
        <v/>
      </c>
      <c r="F1865" s="22" t="str">
        <f>IF(OR(E1865="",E1865="!!!"),"",IF(NOT(ISNA(VLOOKUP(E1865,E$1:E1864,1,FALSE()))),"OLD",IF(AND(E1865&lt;&gt;"",E1865&lt;&gt;"!!!"),"NEW","")))</f>
        <v> </v>
      </c>
      <c r="G1865" s="23" t="str">
        <f>IF(OR(E1865="",E1865="!!!"),"",IF(OR(J1865=0,AND(J1865=1,K1865=1),AND(J1865=1,I1865="SBJ"),AND(J1865=1,I1865=0)),"?IN_FOCUS",IF(J1865&lt;=2,"?ACTIVATED",IF(J1865&lt;&gt;"","?FAMILIAR",IF(F1865="NEW",IF(ISNA(VLOOKUP(E1865,#REF!,1,FALSE())),"?TYPE_IDENTIFIABLE","?REFERENTIAL"),"_")))))</f>
        <v> </v>
      </c>
      <c r="H1865" s="24" t="str">
        <f>IF(J1865&lt;&gt;1,"",IF(I1865="SBJ","CB","?"))</f>
        <v> </v>
      </c>
      <c r="I1865" s="25" t="str">
        <f>IF(OR(E1865="",E1865="!!!",F1865="NEW"),"",INDEX(B1864:B$2,-1+SUMPRODUCT(MAX(ROW(E1864:E$2)*(E1865=E1864:E$2)))))</f>
        <v> </v>
      </c>
      <c r="J1865" s="25" t="str">
        <f>IF(OR(E1865="",E1865="!!!",F1865="NEW"),"",COUNTBLANK(OFFSET(A$1,,,SUMPRODUCT(MAX(ROW(E$2:E1865)*(E1865=E$2:E1865)))))-COUNTBLANK(OFFSET(A$1,,,SUMPRODUCT(MAX(ROW(E$1:E1864)*(E2=E$1:E1864))))))</f>
        <v> </v>
      </c>
      <c r="K1865" s="25" t="str">
        <f>IF(OR(E1865="",E1865="!!!",F1865="NEW"),"",INDEX(J$1:J1864,SUMPRODUCT(MAX(ROW(E$1:E1864)*(E1865=E$1:E1864)))))</f>
        <v> </v>
      </c>
      <c r="L1865" s="26"/>
    </row>
    <row r="1866" spans="1:12">
      <c r="A1866" s="20" t="s">
        <v>2066</v>
      </c>
      <c r="E1866" s="21">
        <f>IF(D1866="?OLD","!!!","")</f>
        <v/>
      </c>
      <c r="F1866" s="22" t="str">
        <f>IF(OR(E1866="",E1866="!!!"),"",IF(NOT(ISNA(VLOOKUP(E1866,E$1:E1865,1,FALSE()))),"OLD",IF(AND(E1866&lt;&gt;"",E1866&lt;&gt;"!!!"),"NEW","")))</f>
        <v> </v>
      </c>
      <c r="G1866" s="23" t="str">
        <f>IF(OR(E1866="",E1866="!!!"),"",IF(OR(J1866=0,AND(J1866=1,K1866=1),AND(J1866=1,I1866="SBJ"),AND(J1866=1,I1866=0)),"?IN_FOCUS",IF(J1866&lt;=2,"?ACTIVATED",IF(J1866&lt;&gt;"","?FAMILIAR",IF(F1866="NEW",IF(ISNA(VLOOKUP(E1866,#REF!,1,FALSE())),"?TYPE_IDENTIFIABLE","?REFERENTIAL"),"_")))))</f>
        <v> </v>
      </c>
      <c r="H1866" s="24" t="str">
        <f>IF(J1866&lt;&gt;1,"",IF(I1866="SBJ","CB","?"))</f>
        <v> </v>
      </c>
      <c r="I1866" s="25" t="str">
        <f>IF(OR(E1866="",E1866="!!!",F1866="NEW"),"",INDEX(B1865:B$2,-1+SUMPRODUCT(MAX(ROW(E1865:E$2)*(E1866=E1865:E$2)))))</f>
        <v> </v>
      </c>
      <c r="J1866" s="25" t="str">
        <f>IF(OR(E1866="",E1866="!!!",F1866="NEW"),"",COUNTBLANK(OFFSET(A$1,,,SUMPRODUCT(MAX(ROW(E$2:E1866)*(E1866=E$2:E1866)))))-COUNTBLANK(OFFSET(A$1,,,SUMPRODUCT(MAX(ROW(E$1:E1865)*(E2=E$1:E1865))))))</f>
        <v> </v>
      </c>
      <c r="K1866" s="25" t="str">
        <f>IF(OR(E1866="",E1866="!!!",F1866="NEW"),"",INDEX(J$1:J1865,SUMPRODUCT(MAX(ROW(E$1:E1865)*(E1866=E$1:E1865)))))</f>
        <v> </v>
      </c>
      <c r="L1866" s="26"/>
    </row>
    <row r="1867" spans="1:12">
      <c r="A1867" s="20" t="s">
        <v>1184</v>
      </c>
      <c r="E1867" s="21">
        <f>IF(D1867="?OLD","!!!","")</f>
        <v/>
      </c>
      <c r="F1867" s="22" t="str">
        <f>IF(OR(E1867="",E1867="!!!"),"",IF(NOT(ISNA(VLOOKUP(E1867,E$1:E1866,1,FALSE()))),"OLD",IF(AND(E1867&lt;&gt;"",E1867&lt;&gt;"!!!"),"NEW","")))</f>
        <v> </v>
      </c>
      <c r="G1867" s="23" t="str">
        <f>IF(OR(E1867="",E1867="!!!"),"",IF(OR(J1867=0,AND(J1867=1,K1867=1),AND(J1867=1,I1867="SBJ"),AND(J1867=1,I1867=0)),"?IN_FOCUS",IF(J1867&lt;=2,"?ACTIVATED",IF(J1867&lt;&gt;"","?FAMILIAR",IF(F1867="NEW",IF(ISNA(VLOOKUP(E1867,#REF!,1,FALSE())),"?TYPE_IDENTIFIABLE","?REFERENTIAL"),"_")))))</f>
        <v> </v>
      </c>
      <c r="H1867" s="24" t="str">
        <f>IF(J1867&lt;&gt;1,"",IF(I1867="SBJ","CB","?"))</f>
        <v> </v>
      </c>
      <c r="I1867" s="25" t="str">
        <f>IF(OR(E1867="",E1867="!!!",F1867="NEW"),"",INDEX(B1866:B$2,-1+SUMPRODUCT(MAX(ROW(E1866:E$2)*(E1867=E1866:E$2)))))</f>
        <v> </v>
      </c>
      <c r="J1867" s="25" t="str">
        <f>IF(OR(E1867="",E1867="!!!",F1867="NEW"),"",COUNTBLANK(OFFSET(A$1,,,SUMPRODUCT(MAX(ROW(E$2:E1867)*(E1867=E$2:E1867)))))-COUNTBLANK(OFFSET(A$1,,,SUMPRODUCT(MAX(ROW(E$1:E1866)*(E2=E$1:E1866))))))</f>
        <v> </v>
      </c>
      <c r="K1867" s="25" t="str">
        <f>IF(OR(E1867="",E1867="!!!",F1867="NEW"),"",INDEX(J$1:J1866,SUMPRODUCT(MAX(ROW(E$1:E1866)*(E1867=E$1:E1866)))))</f>
        <v> </v>
      </c>
      <c r="L1867" s="26"/>
    </row>
    <row r="1868" spans="1:12">
      <c r="A1868" s="20" t="s">
        <v>1402</v>
      </c>
      <c r="E1868" s="21">
        <f>IF(D1868="?OLD","!!!","")</f>
        <v/>
      </c>
      <c r="F1868" s="22" t="str">
        <f>IF(OR(E1868="",E1868="!!!"),"",IF(NOT(ISNA(VLOOKUP(E1868,E$1:E1867,1,FALSE()))),"OLD",IF(AND(E1868&lt;&gt;"",E1868&lt;&gt;"!!!"),"NEW","")))</f>
        <v> </v>
      </c>
      <c r="G1868" s="23" t="str">
        <f>IF(OR(E1868="",E1868="!!!"),"",IF(OR(J1868=0,AND(J1868=1,K1868=1),AND(J1868=1,I1868="SBJ"),AND(J1868=1,I1868=0)),"?IN_FOCUS",IF(J1868&lt;=2,"?ACTIVATED",IF(J1868&lt;&gt;"","?FAMILIAR",IF(F1868="NEW",IF(ISNA(VLOOKUP(E1868,#REF!,1,FALSE())),"?TYPE_IDENTIFIABLE","?REFERENTIAL"),"_")))))</f>
        <v> </v>
      </c>
      <c r="H1868" s="24" t="str">
        <f>IF(J1868&lt;&gt;1,"",IF(I1868="SBJ","CB","?"))</f>
        <v> </v>
      </c>
      <c r="I1868" s="25" t="str">
        <f>IF(OR(E1868="",E1868="!!!",F1868="NEW"),"",INDEX(B1867:B$2,-1+SUMPRODUCT(MAX(ROW(E1867:E$2)*(E1868=E1867:E$2)))))</f>
        <v> </v>
      </c>
      <c r="J1868" s="25" t="str">
        <f>IF(OR(E1868="",E1868="!!!",F1868="NEW"),"",COUNTBLANK(OFFSET(A$1,,,SUMPRODUCT(MAX(ROW(E$2:E1868)*(E1868=E$2:E1868)))))-COUNTBLANK(OFFSET(A$1,,,SUMPRODUCT(MAX(ROW(E$1:E1867)*(E2=E$1:E1867))))))</f>
        <v> </v>
      </c>
      <c r="K1868" s="25" t="str">
        <f>IF(OR(E1868="",E1868="!!!",F1868="NEW"),"",INDEX(J$1:J1867,SUMPRODUCT(MAX(ROW(E$1:E1867)*(E1868=E$1:E1867)))))</f>
        <v> </v>
      </c>
      <c r="L1868" s="26"/>
    </row>
    <row r="1869" spans="1:12">
      <c r="A1869" s="20" t="s">
        <v>1145</v>
      </c>
      <c r="E1869" s="21">
        <f>IF(D1869="?OLD","!!!","")</f>
        <v/>
      </c>
      <c r="F1869" s="22" t="str">
        <f>IF(OR(E1869="",E1869="!!!"),"",IF(NOT(ISNA(VLOOKUP(E1869,E$1:E1868,1,FALSE()))),"OLD",IF(AND(E1869&lt;&gt;"",E1869&lt;&gt;"!!!"),"NEW","")))</f>
        <v> </v>
      </c>
      <c r="G1869" s="23" t="str">
        <f>IF(OR(E1869="",E1869="!!!"),"",IF(OR(J1869=0,AND(J1869=1,K1869=1),AND(J1869=1,I1869="SBJ"),AND(J1869=1,I1869=0)),"?IN_FOCUS",IF(J1869&lt;=2,"?ACTIVATED",IF(J1869&lt;&gt;"","?FAMILIAR",IF(F1869="NEW",IF(ISNA(VLOOKUP(E1869,#REF!,1,FALSE())),"?TYPE_IDENTIFIABLE","?REFERENTIAL"),"_")))))</f>
        <v> </v>
      </c>
      <c r="H1869" s="24" t="str">
        <f>IF(J1869&lt;&gt;1,"",IF(I1869="SBJ","CB","?"))</f>
        <v> </v>
      </c>
      <c r="I1869" s="25" t="str">
        <f>IF(OR(E1869="",E1869="!!!",F1869="NEW"),"",INDEX(B1868:B$2,-1+SUMPRODUCT(MAX(ROW(E1868:E$2)*(E1869=E1868:E$2)))))</f>
        <v> </v>
      </c>
      <c r="J1869" s="25" t="str">
        <f>IF(OR(E1869="",E1869="!!!",F1869="NEW"),"",COUNTBLANK(OFFSET(A$1,,,SUMPRODUCT(MAX(ROW(E$2:E1869)*(E1869=E$2:E1869)))))-COUNTBLANK(OFFSET(A$1,,,SUMPRODUCT(MAX(ROW(E$1:E1868)*(E2=E$1:E1868))))))</f>
        <v> </v>
      </c>
      <c r="K1869" s="25" t="str">
        <f>IF(OR(E1869="",E1869="!!!",F1869="NEW"),"",INDEX(J$1:J1868,SUMPRODUCT(MAX(ROW(E$1:E1868)*(E1869=E$1:E1868)))))</f>
        <v> </v>
      </c>
      <c r="L1869" s="26"/>
    </row>
    <row r="1870" spans="1:12">
      <c r="A1870" s="20"/>
    </row>
    <row r="1871" spans="1:12">
      <c r="A1871" s="20" t="s">
        <v>2067</v>
      </c>
    </row>
    <row r="1872" spans="1:12">
      <c r="A1872" s="20" t="s">
        <v>1547</v>
      </c>
      <c r="E1872" s="21">
        <f>IF(D1872="?OLD","!!!","")</f>
        <v/>
      </c>
      <c r="F1872" s="22" t="str">
        <f>IF(OR(E1872="",E1872="!!!"),"",IF(NOT(ISNA(VLOOKUP(E1872,E$1:E1871,1,FALSE()))),"OLD",IF(AND(E1872&lt;&gt;"",E1872&lt;&gt;"!!!"),"NEW","")))</f>
        <v> </v>
      </c>
      <c r="G1872" s="23" t="str">
        <f>IF(OR(E1872="",E1872="!!!"),"",IF(OR(J1872=0,AND(J1872=1,K1872=1),AND(J1872=1,I1872="SBJ"),AND(J1872=1,I1872=0)),"?IN_FOCUS",IF(J1872&lt;=2,"?ACTIVATED",IF(J1872&lt;&gt;"","?FAMILIAR",IF(F1872="NEW",IF(ISNA(VLOOKUP(E1872,#REF!,1,FALSE())),"?TYPE_IDENTIFIABLE","?REFERENTIAL"),"_")))))</f>
        <v> </v>
      </c>
      <c r="H1872" s="24" t="str">
        <f>IF(J1872&lt;&gt;1,"",IF(I1872="SBJ","CB","?"))</f>
        <v> </v>
      </c>
      <c r="I1872" s="25" t="str">
        <f>IF(OR(E1872="",E1872="!!!",F1872="NEW"),"",INDEX(B1871:B$2,-1+SUMPRODUCT(MAX(ROW(E1871:E$2)*(E1872=E1871:E$2)))))</f>
        <v> </v>
      </c>
      <c r="J1872" s="25" t="str">
        <f>IF(OR(E1872="",E1872="!!!",F1872="NEW"),"",COUNTBLANK(OFFSET(A$1,,,SUMPRODUCT(MAX(ROW(E$2:E1872)*(E1872=E$2:E1872)))))-COUNTBLANK(OFFSET(A$1,,,SUMPRODUCT(MAX(ROW(E$1:E1871)*(E2=E$1:E1871))))))</f>
        <v> </v>
      </c>
      <c r="K1872" s="25" t="str">
        <f>IF(OR(E1872="",E1872="!!!",F1872="NEW"),"",INDEX(J$1:J1871,SUMPRODUCT(MAX(ROW(E$1:E1871)*(E1872=E$1:E1871)))))</f>
        <v> </v>
      </c>
      <c r="L1872" s="26"/>
    </row>
    <row r="1873" spans="1:12">
      <c r="A1873" s="20" t="s">
        <v>763</v>
      </c>
      <c r="B1873" s="27" t="s">
        <v>1149</v>
      </c>
      <c r="E1873" s="21">
        <f>IF(D1873="?OLD","!!!","")</f>
        <v/>
      </c>
      <c r="F1873" s="22" t="str">
        <f>IF(OR(E1873="",E1873="!!!"),"",IF(NOT(ISNA(VLOOKUP(E1873,E$1:E1872,1,FALSE()))),"OLD",IF(AND(E1873&lt;&gt;"",E1873&lt;&gt;"!!!"),"NEW","")))</f>
        <v> </v>
      </c>
      <c r="G1873" s="23" t="str">
        <f>IF(OR(E1873="",E1873="!!!"),"",IF(OR(J1873=0,AND(J1873=1,K1873=1),AND(J1873=1,I1873="SBJ"),AND(J1873=1,I1873=0)),"?IN_FOCUS",IF(J1873&lt;=2,"?ACTIVATED",IF(J1873&lt;&gt;"","?FAMILIAR",IF(F1873="NEW",IF(ISNA(VLOOKUP(E1873,#REF!,1,FALSE())),"?TYPE_IDENTIFIABLE","?REFERENTIAL"),"_")))))</f>
        <v> </v>
      </c>
      <c r="H1873" s="24" t="str">
        <f>IF(J1873&lt;&gt;1,"",IF(I1873="SBJ","CB","?"))</f>
        <v> </v>
      </c>
      <c r="I1873" s="25" t="str">
        <f>IF(OR(E1873="",E1873="!!!",F1873="NEW"),"",INDEX(B1872:B$2,-1+SUMPRODUCT(MAX(ROW(E1872:E$2)*(E1873=E1872:E$2)))))</f>
        <v> </v>
      </c>
      <c r="J1873" s="25" t="str">
        <f>IF(OR(E1873="",E1873="!!!",F1873="NEW"),"",COUNTBLANK(OFFSET(A$1,,,SUMPRODUCT(MAX(ROW(E$2:E1873)*(E1873=E$2:E1873)))))-COUNTBLANK(OFFSET(A$1,,,SUMPRODUCT(MAX(ROW(E$1:E1872)*(E2=E$1:E1872))))))</f>
        <v> </v>
      </c>
      <c r="K1873" s="25" t="str">
        <f>IF(OR(E1873="",E1873="!!!",F1873="NEW"),"",INDEX(J$1:J1872,SUMPRODUCT(MAX(ROW(E$1:E1872)*(E1873=E$1:E1872)))))</f>
        <v> </v>
      </c>
      <c r="L1873" s="26"/>
    </row>
    <row r="1874" spans="1:12">
      <c r="A1874" s="20" t="s">
        <v>1134</v>
      </c>
      <c r="E1874" s="21">
        <f>IF(D1874="?OLD","!!!","")</f>
        <v/>
      </c>
      <c r="F1874" s="22" t="str">
        <f>IF(OR(E1874="",E1874="!!!"),"",IF(NOT(ISNA(VLOOKUP(E1874,E$1:E1873,1,FALSE()))),"OLD",IF(AND(E1874&lt;&gt;"",E1874&lt;&gt;"!!!"),"NEW","")))</f>
        <v> </v>
      </c>
      <c r="G1874" s="23" t="str">
        <f>IF(OR(E1874="",E1874="!!!"),"",IF(OR(J1874=0,AND(J1874=1,K1874=1),AND(J1874=1,I1874="SBJ"),AND(J1874=1,I1874=0)),"?IN_FOCUS",IF(J1874&lt;=2,"?ACTIVATED",IF(J1874&lt;&gt;"","?FAMILIAR",IF(F1874="NEW",IF(ISNA(VLOOKUP(E1874,#REF!,1,FALSE())),"?TYPE_IDENTIFIABLE","?REFERENTIAL"),"_")))))</f>
        <v> </v>
      </c>
      <c r="H1874" s="24" t="str">
        <f>IF(J1874&lt;&gt;1,"",IF(I1874="SBJ","CB","?"))</f>
        <v> </v>
      </c>
      <c r="I1874" s="25" t="str">
        <f>IF(OR(E1874="",E1874="!!!",F1874="NEW"),"",INDEX(B1873:B$2,-1+SUMPRODUCT(MAX(ROW(E1873:E$2)*(E1874=E1873:E$2)))))</f>
        <v> </v>
      </c>
      <c r="J1874" s="25" t="str">
        <f>IF(OR(E1874="",E1874="!!!",F1874="NEW"),"",COUNTBLANK(OFFSET(A$1,,,SUMPRODUCT(MAX(ROW(E$2:E1874)*(E1874=E$2:E1874)))))-COUNTBLANK(OFFSET(A$1,,,SUMPRODUCT(MAX(ROW(E$1:E1873)*(E2=E$1:E1873))))))</f>
        <v> </v>
      </c>
      <c r="K1874" s="25" t="str">
        <f>IF(OR(E1874="",E1874="!!!",F1874="NEW"),"",INDEX(J$1:J1873,SUMPRODUCT(MAX(ROW(E$1:E1873)*(E1874=E$1:E1873)))))</f>
        <v> </v>
      </c>
      <c r="L1874" s="26"/>
    </row>
    <row r="1875" spans="1:12">
      <c r="A1875" s="20" t="s">
        <v>2068</v>
      </c>
      <c r="E1875" s="21">
        <f>IF(D1875="?OLD","!!!","")</f>
        <v/>
      </c>
      <c r="F1875" s="22" t="str">
        <f>IF(OR(E1875="",E1875="!!!"),"",IF(NOT(ISNA(VLOOKUP(E1875,E$1:E1874,1,FALSE()))),"OLD",IF(AND(E1875&lt;&gt;"",E1875&lt;&gt;"!!!"),"NEW","")))</f>
        <v> </v>
      </c>
      <c r="G1875" s="23" t="str">
        <f>IF(OR(E1875="",E1875="!!!"),"",IF(OR(J1875=0,AND(J1875=1,K1875=1),AND(J1875=1,I1875="SBJ"),AND(J1875=1,I1875=0)),"?IN_FOCUS",IF(J1875&lt;=2,"?ACTIVATED",IF(J1875&lt;&gt;"","?FAMILIAR",IF(F1875="NEW",IF(ISNA(VLOOKUP(E1875,#REF!,1,FALSE())),"?TYPE_IDENTIFIABLE","?REFERENTIAL"),"_")))))</f>
        <v> </v>
      </c>
      <c r="H1875" s="24" t="str">
        <f>IF(J1875&lt;&gt;1,"",IF(I1875="SBJ","CB","?"))</f>
        <v> </v>
      </c>
      <c r="I1875" s="25" t="str">
        <f>IF(OR(E1875="",E1875="!!!",F1875="NEW"),"",INDEX(B1874:B$2,-1+SUMPRODUCT(MAX(ROW(E1874:E$2)*(E1875=E1874:E$2)))))</f>
        <v> </v>
      </c>
      <c r="J1875" s="25" t="str">
        <f>IF(OR(E1875="",E1875="!!!",F1875="NEW"),"",COUNTBLANK(OFFSET(A$1,,,SUMPRODUCT(MAX(ROW(E$2:E1875)*(E1875=E$2:E1875)))))-COUNTBLANK(OFFSET(A$1,,,SUMPRODUCT(MAX(ROW(E$1:E1874)*(E2=E$1:E1874))))))</f>
        <v> </v>
      </c>
      <c r="K1875" s="25" t="str">
        <f>IF(OR(E1875="",E1875="!!!",F1875="NEW"),"",INDEX(J$1:J1874,SUMPRODUCT(MAX(ROW(E$1:E1874)*(E1875=E$1:E1874)))))</f>
        <v> </v>
      </c>
      <c r="L1875" s="26"/>
    </row>
    <row r="1876" spans="1:12">
      <c r="A1876" s="20" t="s">
        <v>1128</v>
      </c>
      <c r="E1876" s="21">
        <f>IF(D1876="?OLD","!!!","")</f>
        <v/>
      </c>
      <c r="F1876" s="22" t="str">
        <f>IF(OR(E1876="",E1876="!!!"),"",IF(NOT(ISNA(VLOOKUP(E1876,E$1:E1875,1,FALSE()))),"OLD",IF(AND(E1876&lt;&gt;"",E1876&lt;&gt;"!!!"),"NEW","")))</f>
        <v> </v>
      </c>
      <c r="G1876" s="23" t="str">
        <f>IF(OR(E1876="",E1876="!!!"),"",IF(OR(J1876=0,AND(J1876=1,K1876=1),AND(J1876=1,I1876="SBJ"),AND(J1876=1,I1876=0)),"?IN_FOCUS",IF(J1876&lt;=2,"?ACTIVATED",IF(J1876&lt;&gt;"","?FAMILIAR",IF(F1876="NEW",IF(ISNA(VLOOKUP(E1876,#REF!,1,FALSE())),"?TYPE_IDENTIFIABLE","?REFERENTIAL"),"_")))))</f>
        <v> </v>
      </c>
      <c r="H1876" s="24" t="str">
        <f>IF(J1876&lt;&gt;1,"",IF(I1876="SBJ","CB","?"))</f>
        <v> </v>
      </c>
      <c r="I1876" s="25" t="str">
        <f>IF(OR(E1876="",E1876="!!!",F1876="NEW"),"",INDEX(B1875:B$2,-1+SUMPRODUCT(MAX(ROW(E1875:E$2)*(E1876=E1875:E$2)))))</f>
        <v> </v>
      </c>
      <c r="J1876" s="25" t="str">
        <f>IF(OR(E1876="",E1876="!!!",F1876="NEW"),"",COUNTBLANK(OFFSET(A$1,,,SUMPRODUCT(MAX(ROW(E$2:E1876)*(E1876=E$2:E1876)))))-COUNTBLANK(OFFSET(A$1,,,SUMPRODUCT(MAX(ROW(E$1:E1875)*(E2=E$1:E1875))))))</f>
        <v> </v>
      </c>
      <c r="K1876" s="25" t="str">
        <f>IF(OR(E1876="",E1876="!!!",F1876="NEW"),"",INDEX(J$1:J1875,SUMPRODUCT(MAX(ROW(E$1:E1875)*(E1876=E$1:E1875)))))</f>
        <v> </v>
      </c>
      <c r="L1876" s="26"/>
    </row>
    <row r="1877" spans="1:12">
      <c r="A1877" s="20" t="s">
        <v>2069</v>
      </c>
      <c r="E1877" s="21">
        <f>IF(D1877="?OLD","!!!","")</f>
        <v/>
      </c>
      <c r="F1877" s="22" t="str">
        <f>IF(OR(E1877="",E1877="!!!"),"",IF(NOT(ISNA(VLOOKUP(E1877,E$1:E1876,1,FALSE()))),"OLD",IF(AND(E1877&lt;&gt;"",E1877&lt;&gt;"!!!"),"NEW","")))</f>
        <v> </v>
      </c>
      <c r="G1877" s="23" t="str">
        <f>IF(OR(E1877="",E1877="!!!"),"",IF(OR(J1877=0,AND(J1877=1,K1877=1),AND(J1877=1,I1877="SBJ"),AND(J1877=1,I1877=0)),"?IN_FOCUS",IF(J1877&lt;=2,"?ACTIVATED",IF(J1877&lt;&gt;"","?FAMILIAR",IF(F1877="NEW",IF(ISNA(VLOOKUP(E1877,#REF!,1,FALSE())),"?TYPE_IDENTIFIABLE","?REFERENTIAL"),"_")))))</f>
        <v> </v>
      </c>
      <c r="H1877" s="24" t="str">
        <f>IF(J1877&lt;&gt;1,"",IF(I1877="SBJ","CB","?"))</f>
        <v> </v>
      </c>
      <c r="I1877" s="25" t="str">
        <f>IF(OR(E1877="",E1877="!!!",F1877="NEW"),"",INDEX(B1876:B$2,-1+SUMPRODUCT(MAX(ROW(E1876:E$2)*(E1877=E1876:E$2)))))</f>
        <v> </v>
      </c>
      <c r="J1877" s="25" t="str">
        <f>IF(OR(E1877="",E1877="!!!",F1877="NEW"),"",COUNTBLANK(OFFSET(A$1,,,SUMPRODUCT(MAX(ROW(E$2:E1877)*(E1877=E$2:E1877)))))-COUNTBLANK(OFFSET(A$1,,,SUMPRODUCT(MAX(ROW(E$1:E1876)*(E2=E$1:E1876))))))</f>
        <v> </v>
      </c>
      <c r="K1877" s="25" t="str">
        <f>IF(OR(E1877="",E1877="!!!",F1877="NEW"),"",INDEX(J$1:J1876,SUMPRODUCT(MAX(ROW(E$1:E1876)*(E1877=E$1:E1876)))))</f>
        <v> </v>
      </c>
      <c r="L1877" s="26"/>
    </row>
    <row r="1878" spans="1:12">
      <c r="A1878" s="20" t="s">
        <v>2070</v>
      </c>
      <c r="E1878" s="21">
        <f>IF(D1878="?OLD","!!!","")</f>
        <v/>
      </c>
      <c r="F1878" s="22" t="str">
        <f>IF(OR(E1878="",E1878="!!!"),"",IF(NOT(ISNA(VLOOKUP(E1878,E$1:E1877,1,FALSE()))),"OLD",IF(AND(E1878&lt;&gt;"",E1878&lt;&gt;"!!!"),"NEW","")))</f>
        <v> </v>
      </c>
      <c r="G1878" s="23" t="str">
        <f>IF(OR(E1878="",E1878="!!!"),"",IF(OR(J1878=0,AND(J1878=1,K1878=1),AND(J1878=1,I1878="SBJ"),AND(J1878=1,I1878=0)),"?IN_FOCUS",IF(J1878&lt;=2,"?ACTIVATED",IF(J1878&lt;&gt;"","?FAMILIAR",IF(F1878="NEW",IF(ISNA(VLOOKUP(E1878,#REF!,1,FALSE())),"?TYPE_IDENTIFIABLE","?REFERENTIAL"),"_")))))</f>
        <v> </v>
      </c>
      <c r="H1878" s="24" t="str">
        <f>IF(J1878&lt;&gt;1,"",IF(I1878="SBJ","CB","?"))</f>
        <v> </v>
      </c>
      <c r="I1878" s="25" t="str">
        <f>IF(OR(E1878="",E1878="!!!",F1878="NEW"),"",INDEX(B1877:B$2,-1+SUMPRODUCT(MAX(ROW(E1877:E$2)*(E1878=E1877:E$2)))))</f>
        <v> </v>
      </c>
      <c r="J1878" s="25" t="str">
        <f>IF(OR(E1878="",E1878="!!!",F1878="NEW"),"",COUNTBLANK(OFFSET(A$1,,,SUMPRODUCT(MAX(ROW(E$2:E1878)*(E1878=E$2:E1878)))))-COUNTBLANK(OFFSET(A$1,,,SUMPRODUCT(MAX(ROW(E$1:E1877)*(E2=E$1:E1877))))))</f>
        <v> </v>
      </c>
      <c r="K1878" s="25" t="str">
        <f>IF(OR(E1878="",E1878="!!!",F1878="NEW"),"",INDEX(J$1:J1877,SUMPRODUCT(MAX(ROW(E$1:E1877)*(E1878=E$1:E1877)))))</f>
        <v> </v>
      </c>
      <c r="L1878" s="26"/>
    </row>
    <row r="1879" spans="1:12">
      <c r="A1879" s="20" t="s">
        <v>2071</v>
      </c>
      <c r="E1879" s="21">
        <f>IF(D1879="?OLD","!!!","")</f>
        <v/>
      </c>
      <c r="F1879" s="22" t="str">
        <f>IF(OR(E1879="",E1879="!!!"),"",IF(NOT(ISNA(VLOOKUP(E1879,E$1:E1878,1,FALSE()))),"OLD",IF(AND(E1879&lt;&gt;"",E1879&lt;&gt;"!!!"),"NEW","")))</f>
        <v> </v>
      </c>
      <c r="G1879" s="23" t="str">
        <f>IF(OR(E1879="",E1879="!!!"),"",IF(OR(J1879=0,AND(J1879=1,K1879=1),AND(J1879=1,I1879="SBJ"),AND(J1879=1,I1879=0)),"?IN_FOCUS",IF(J1879&lt;=2,"?ACTIVATED",IF(J1879&lt;&gt;"","?FAMILIAR",IF(F1879="NEW",IF(ISNA(VLOOKUP(E1879,#REF!,1,FALSE())),"?TYPE_IDENTIFIABLE","?REFERENTIAL"),"_")))))</f>
        <v> </v>
      </c>
      <c r="H1879" s="24" t="str">
        <f>IF(J1879&lt;&gt;1,"",IF(I1879="SBJ","CB","?"))</f>
        <v> </v>
      </c>
      <c r="I1879" s="25" t="str">
        <f>IF(OR(E1879="",E1879="!!!",F1879="NEW"),"",INDEX(B1878:B$2,-1+SUMPRODUCT(MAX(ROW(E1878:E$2)*(E1879=E1878:E$2)))))</f>
        <v> </v>
      </c>
      <c r="J1879" s="25" t="str">
        <f>IF(OR(E1879="",E1879="!!!",F1879="NEW"),"",COUNTBLANK(OFFSET(A$1,,,SUMPRODUCT(MAX(ROW(E$2:E1879)*(E1879=E$2:E1879)))))-COUNTBLANK(OFFSET(A$1,,,SUMPRODUCT(MAX(ROW(E$1:E1878)*(E2=E$1:E1878))))))</f>
        <v> </v>
      </c>
      <c r="K1879" s="25" t="str">
        <f>IF(OR(E1879="",E1879="!!!",F1879="NEW"),"",INDEX(J$1:J1878,SUMPRODUCT(MAX(ROW(E$1:E1878)*(E1879=E$1:E1878)))))</f>
        <v> </v>
      </c>
      <c r="L1879" s="26"/>
    </row>
    <row r="1880" spans="1:12">
      <c r="A1880" s="20" t="s">
        <v>1145</v>
      </c>
      <c r="E1880" s="21">
        <f>IF(D1880="?OLD","!!!","")</f>
        <v/>
      </c>
      <c r="F1880" s="22" t="str">
        <f>IF(OR(E1880="",E1880="!!!"),"",IF(NOT(ISNA(VLOOKUP(E1880,E$1:E1879,1,FALSE()))),"OLD",IF(AND(E1880&lt;&gt;"",E1880&lt;&gt;"!!!"),"NEW","")))</f>
        <v> </v>
      </c>
      <c r="G1880" s="23" t="str">
        <f>IF(OR(E1880="",E1880="!!!"),"",IF(OR(J1880=0,AND(J1880=1,K1880=1),AND(J1880=1,I1880="SBJ"),AND(J1880=1,I1880=0)),"?IN_FOCUS",IF(J1880&lt;=2,"?ACTIVATED",IF(J1880&lt;&gt;"","?FAMILIAR",IF(F1880="NEW",IF(ISNA(VLOOKUP(E1880,#REF!,1,FALSE())),"?TYPE_IDENTIFIABLE","?REFERENTIAL"),"_")))))</f>
        <v> </v>
      </c>
      <c r="H1880" s="24" t="str">
        <f>IF(J1880&lt;&gt;1,"",IF(I1880="SBJ","CB","?"))</f>
        <v> </v>
      </c>
      <c r="I1880" s="25" t="str">
        <f>IF(OR(E1880="",E1880="!!!",F1880="NEW"),"",INDEX(B1879:B$2,-1+SUMPRODUCT(MAX(ROW(E1879:E$2)*(E1880=E1879:E$2)))))</f>
        <v> </v>
      </c>
      <c r="J1880" s="25" t="str">
        <f>IF(OR(E1880="",E1880="!!!",F1880="NEW"),"",COUNTBLANK(OFFSET(A$1,,,SUMPRODUCT(MAX(ROW(E$2:E1880)*(E1880=E$2:E1880)))))-COUNTBLANK(OFFSET(A$1,,,SUMPRODUCT(MAX(ROW(E$1:E1879)*(E2=E$1:E1879))))))</f>
        <v> </v>
      </c>
      <c r="K1880" s="25" t="str">
        <f>IF(OR(E1880="",E1880="!!!",F1880="NEW"),"",INDEX(J$1:J1879,SUMPRODUCT(MAX(ROW(E$1:E1879)*(E1880=E$1:E1879)))))</f>
        <v> </v>
      </c>
      <c r="L1880" s="26"/>
    </row>
    <row r="1881" spans="1:12">
      <c r="A1881" s="20"/>
    </row>
    <row r="1882" spans="1:12">
      <c r="A1882" s="20" t="s">
        <v>2072</v>
      </c>
    </row>
    <row r="1883" spans="1:12">
      <c r="A1883" s="20" t="s">
        <v>1353</v>
      </c>
      <c r="B1883" s="27" t="s">
        <v>1149</v>
      </c>
      <c r="C1883" s="27" t="s">
        <v>1126</v>
      </c>
      <c r="D1883" s="27" t="s">
        <v>1105</v>
      </c>
      <c r="E1883" s="21">
        <f>IF(D1883="?OLD","!!!","")</f>
        <v/>
      </c>
      <c r="F1883" s="22" t="str">
        <f>IF(OR(E1883="",E1883="!!!"),"",IF(NOT(ISNA(VLOOKUP(E1883,E$1:E1882,1,FALSE()))),"OLD",IF(AND(E1883&lt;&gt;"",E1883&lt;&gt;"!!!"),"NEW","")))</f>
        <v> </v>
      </c>
      <c r="G1883" s="23" t="str">
        <f>IF(OR(E1883="",E1883="!!!"),"",IF(OR(J1883=0,AND(J1883=1,K1883=1),AND(J1883=1,I1883="SBJ"),AND(J1883=1,I1883=0)),"?IN_FOCUS",IF(J1883&lt;=2,"?ACTIVATED",IF(J1883&lt;&gt;"","?FAMILIAR",IF(F1883="NEW",IF(ISNA(VLOOKUP(E1883,#REF!,1,FALSE())),"?TYPE_IDENTIFIABLE","?REFERENTIAL"),"_")))))</f>
        <v> </v>
      </c>
      <c r="H1883" s="24" t="str">
        <f>IF(J1883&lt;&gt;1,"",IF(I1883="SBJ","CB","?"))</f>
        <v> </v>
      </c>
      <c r="I1883" s="25" t="str">
        <f>IF(OR(E1883="",E1883="!!!",F1883="NEW"),"",INDEX(B1882:B$2,-1+SUMPRODUCT(MAX(ROW(E1882:E$2)*(E1883=E1882:E$2)))))</f>
        <v> </v>
      </c>
      <c r="J1883" s="25" t="str">
        <f>IF(OR(E1883="",E1883="!!!",F1883="NEW"),"",COUNTBLANK(OFFSET(A$1,,,SUMPRODUCT(MAX(ROW(E$2:E1883)*(E1883=E$2:E1883)))))-COUNTBLANK(OFFSET(A$1,,,SUMPRODUCT(MAX(ROW(E$1:E1882)*(E2=E$1:E1882))))))</f>
        <v> </v>
      </c>
      <c r="K1883" s="25" t="str">
        <f>IF(OR(E1883="",E1883="!!!",F1883="NEW"),"",INDEX(J$1:J1882,SUMPRODUCT(MAX(ROW(E$1:E1882)*(E1883=E$1:E1882)))))</f>
        <v> </v>
      </c>
      <c r="L1883" s="26"/>
    </row>
    <row r="1884" spans="1:12">
      <c r="A1884" s="20" t="s">
        <v>2073</v>
      </c>
      <c r="E1884" s="21">
        <f>IF(D1884="?OLD","!!!","")</f>
        <v/>
      </c>
      <c r="F1884" s="22" t="str">
        <f>IF(OR(E1884="",E1884="!!!"),"",IF(NOT(ISNA(VLOOKUP(E1884,E$1:E1883,1,FALSE()))),"OLD",IF(AND(E1884&lt;&gt;"",E1884&lt;&gt;"!!!"),"NEW","")))</f>
        <v> </v>
      </c>
      <c r="G1884" s="23" t="str">
        <f>IF(OR(E1884="",E1884="!!!"),"",IF(OR(J1884=0,AND(J1884=1,K1884=1),AND(J1884=1,I1884="SBJ"),AND(J1884=1,I1884=0)),"?IN_FOCUS",IF(J1884&lt;=2,"?ACTIVATED",IF(J1884&lt;&gt;"","?FAMILIAR",IF(F1884="NEW",IF(ISNA(VLOOKUP(E1884,#REF!,1,FALSE())),"?TYPE_IDENTIFIABLE","?REFERENTIAL"),"_")))))</f>
        <v> </v>
      </c>
      <c r="H1884" s="24" t="str">
        <f>IF(J1884&lt;&gt;1,"",IF(I1884="SBJ","CB","?"))</f>
        <v> </v>
      </c>
      <c r="I1884" s="25" t="str">
        <f>IF(OR(E1884="",E1884="!!!",F1884="NEW"),"",INDEX(B1883:B$2,-1+SUMPRODUCT(MAX(ROW(E1883:E$2)*(E1884=E1883:E$2)))))</f>
        <v> </v>
      </c>
      <c r="J1884" s="25" t="str">
        <f>IF(OR(E1884="",E1884="!!!",F1884="NEW"),"",COUNTBLANK(OFFSET(A$1,,,SUMPRODUCT(MAX(ROW(E$2:E1884)*(E1884=E$2:E1884)))))-COUNTBLANK(OFFSET(A$1,,,SUMPRODUCT(MAX(ROW(E$1:E1883)*(E2=E$1:E1883))))))</f>
        <v> </v>
      </c>
      <c r="K1884" s="25" t="str">
        <f>IF(OR(E1884="",E1884="!!!",F1884="NEW"),"",INDEX(J$1:J1883,SUMPRODUCT(MAX(ROW(E$1:E1883)*(E1884=E$1:E1883)))))</f>
        <v> </v>
      </c>
      <c r="L1884" s="26"/>
    </row>
    <row r="1885" spans="1:12">
      <c r="A1885" s="20" t="s">
        <v>1123</v>
      </c>
      <c r="E1885" s="21">
        <f>IF(D1885="?OLD","!!!","")</f>
        <v/>
      </c>
      <c r="F1885" s="22" t="str">
        <f>IF(OR(E1885="",E1885="!!!"),"",IF(NOT(ISNA(VLOOKUP(E1885,E$1:E1884,1,FALSE()))),"OLD",IF(AND(E1885&lt;&gt;"",E1885&lt;&gt;"!!!"),"NEW","")))</f>
        <v> </v>
      </c>
      <c r="G1885" s="23" t="str">
        <f>IF(OR(E1885="",E1885="!!!"),"",IF(OR(J1885=0,AND(J1885=1,K1885=1),AND(J1885=1,I1885="SBJ"),AND(J1885=1,I1885=0)),"?IN_FOCUS",IF(J1885&lt;=2,"?ACTIVATED",IF(J1885&lt;&gt;"","?FAMILIAR",IF(F1885="NEW",IF(ISNA(VLOOKUP(E1885,#REF!,1,FALSE())),"?TYPE_IDENTIFIABLE","?REFERENTIAL"),"_")))))</f>
        <v> </v>
      </c>
      <c r="H1885" s="24" t="str">
        <f>IF(J1885&lt;&gt;1,"",IF(I1885="SBJ","CB","?"))</f>
        <v> </v>
      </c>
      <c r="I1885" s="25" t="str">
        <f>IF(OR(E1885="",E1885="!!!",F1885="NEW"),"",INDEX(B1884:B$2,-1+SUMPRODUCT(MAX(ROW(E1884:E$2)*(E1885=E1884:E$2)))))</f>
        <v> </v>
      </c>
      <c r="J1885" s="25" t="str">
        <f>IF(OR(E1885="",E1885="!!!",F1885="NEW"),"",COUNTBLANK(OFFSET(A$1,,,SUMPRODUCT(MAX(ROW(E$2:E1885)*(E1885=E$2:E1885)))))-COUNTBLANK(OFFSET(A$1,,,SUMPRODUCT(MAX(ROW(E$1:E1884)*(E2=E$1:E1884))))))</f>
        <v> </v>
      </c>
      <c r="K1885" s="25" t="str">
        <f>IF(OR(E1885="",E1885="!!!",F1885="NEW"),"",INDEX(J$1:J1884,SUMPRODUCT(MAX(ROW(E$1:E1884)*(E1885=E$1:E1884)))))</f>
        <v> </v>
      </c>
      <c r="L1885" s="26"/>
    </row>
    <row r="1886" spans="1:12">
      <c r="A1886" s="20" t="s">
        <v>1239</v>
      </c>
      <c r="E1886" s="21">
        <f>IF(D1886="?OLD","!!!","")</f>
        <v/>
      </c>
      <c r="F1886" s="22" t="str">
        <f>IF(OR(E1886="",E1886="!!!"),"",IF(NOT(ISNA(VLOOKUP(E1886,E$1:E1885,1,FALSE()))),"OLD",IF(AND(E1886&lt;&gt;"",E1886&lt;&gt;"!!!"),"NEW","")))</f>
        <v> </v>
      </c>
      <c r="G1886" s="23" t="str">
        <f>IF(OR(E1886="",E1886="!!!"),"",IF(OR(J1886=0,AND(J1886=1,K1886=1),AND(J1886=1,I1886="SBJ"),AND(J1886=1,I1886=0)),"?IN_FOCUS",IF(J1886&lt;=2,"?ACTIVATED",IF(J1886&lt;&gt;"","?FAMILIAR",IF(F1886="NEW",IF(ISNA(VLOOKUP(E1886,#REF!,1,FALSE())),"?TYPE_IDENTIFIABLE","?REFERENTIAL"),"_")))))</f>
        <v> </v>
      </c>
      <c r="H1886" s="24" t="str">
        <f>IF(J1886&lt;&gt;1,"",IF(I1886="SBJ","CB","?"))</f>
        <v> </v>
      </c>
      <c r="I1886" s="25" t="str">
        <f>IF(OR(E1886="",E1886="!!!",F1886="NEW"),"",INDEX(B1885:B$2,-1+SUMPRODUCT(MAX(ROW(E1885:E$2)*(E1886=E1885:E$2)))))</f>
        <v> </v>
      </c>
      <c r="J1886" s="25" t="str">
        <f>IF(OR(E1886="",E1886="!!!",F1886="NEW"),"",COUNTBLANK(OFFSET(A$1,,,SUMPRODUCT(MAX(ROW(E$2:E1886)*(E1886=E$2:E1886)))))-COUNTBLANK(OFFSET(A$1,,,SUMPRODUCT(MAX(ROW(E$1:E1885)*(E2=E$1:E1885))))))</f>
        <v> </v>
      </c>
      <c r="K1886" s="25" t="str">
        <f>IF(OR(E1886="",E1886="!!!",F1886="NEW"),"",INDEX(J$1:J1885,SUMPRODUCT(MAX(ROW(E$1:E1885)*(E1886=E$1:E1885)))))</f>
        <v> </v>
      </c>
      <c r="L1886" s="26"/>
    </row>
    <row r="1887" spans="1:12">
      <c r="A1887" s="20" t="s">
        <v>1505</v>
      </c>
      <c r="B1887" s="27" t="s">
        <v>1122</v>
      </c>
      <c r="E1887" s="21">
        <f>IF(D1887="?OLD","!!!","")</f>
        <v/>
      </c>
      <c r="F1887" s="22" t="str">
        <f>IF(OR(E1887="",E1887="!!!"),"",IF(NOT(ISNA(VLOOKUP(E1887,E$1:E1886,1,FALSE()))),"OLD",IF(AND(E1887&lt;&gt;"",E1887&lt;&gt;"!!!"),"NEW","")))</f>
        <v> </v>
      </c>
      <c r="G1887" s="23" t="str">
        <f>IF(OR(E1887="",E1887="!!!"),"",IF(OR(J1887=0,AND(J1887=1,K1887=1),AND(J1887=1,I1887="SBJ"),AND(J1887=1,I1887=0)),"?IN_FOCUS",IF(J1887&lt;=2,"?ACTIVATED",IF(J1887&lt;&gt;"","?FAMILIAR",IF(F1887="NEW",IF(ISNA(VLOOKUP(E1887,#REF!,1,FALSE())),"?TYPE_IDENTIFIABLE","?REFERENTIAL"),"_")))))</f>
        <v> </v>
      </c>
      <c r="H1887" s="24" t="str">
        <f>IF(J1887&lt;&gt;1,"",IF(I1887="SBJ","CB","?"))</f>
        <v> </v>
      </c>
      <c r="I1887" s="25" t="str">
        <f>IF(OR(E1887="",E1887="!!!",F1887="NEW"),"",INDEX(B1886:B$2,-1+SUMPRODUCT(MAX(ROW(E1886:E$2)*(E1887=E1886:E$2)))))</f>
        <v> </v>
      </c>
      <c r="J1887" s="25" t="str">
        <f>IF(OR(E1887="",E1887="!!!",F1887="NEW"),"",COUNTBLANK(OFFSET(A$1,,,SUMPRODUCT(MAX(ROW(E$2:E1887)*(E1887=E$2:E1887)))))-COUNTBLANK(OFFSET(A$1,,,SUMPRODUCT(MAX(ROW(E$1:E1886)*(E2=E$1:E1886))))))</f>
        <v> </v>
      </c>
      <c r="K1887" s="25" t="str">
        <f>IF(OR(E1887="",E1887="!!!",F1887="NEW"),"",INDEX(J$1:J1886,SUMPRODUCT(MAX(ROW(E$1:E1886)*(E1887=E$1:E1886)))))</f>
        <v> </v>
      </c>
      <c r="L1887" s="26"/>
    </row>
    <row r="1888" spans="1:12">
      <c r="A1888" s="20" t="s">
        <v>1506</v>
      </c>
      <c r="B1888" s="27" t="s">
        <v>1110</v>
      </c>
      <c r="C1888" s="27" t="s">
        <v>1108</v>
      </c>
      <c r="D1888" s="27" t="s">
        <v>1105</v>
      </c>
      <c r="E1888" s="21">
        <f>IF(D1888="?OLD","!!!","")</f>
        <v/>
      </c>
      <c r="F1888" s="22" t="str">
        <f>IF(OR(E1888="",E1888="!!!"),"",IF(NOT(ISNA(VLOOKUP(E1888,E$1:E1887,1,FALSE()))),"OLD",IF(AND(E1888&lt;&gt;"",E1888&lt;&gt;"!!!"),"NEW","")))</f>
        <v> </v>
      </c>
      <c r="G1888" s="23" t="str">
        <f>IF(OR(E1888="",E1888="!!!"),"",IF(OR(J1888=0,AND(J1888=1,K1888=1),AND(J1888=1,I1888="SBJ"),AND(J1888=1,I1888=0)),"?IN_FOCUS",IF(J1888&lt;=2,"?ACTIVATED",IF(J1888&lt;&gt;"","?FAMILIAR",IF(F1888="NEW",IF(ISNA(VLOOKUP(E1888,#REF!,1,FALSE())),"?TYPE_IDENTIFIABLE","?REFERENTIAL"),"_")))))</f>
        <v> </v>
      </c>
      <c r="H1888" s="24" t="str">
        <f>IF(J1888&lt;&gt;1,"",IF(I1888="SBJ","CB","?"))</f>
        <v> </v>
      </c>
      <c r="I1888" s="25" t="str">
        <f>IF(OR(E1888="",E1888="!!!",F1888="NEW"),"",INDEX(B1887:B$2,-1+SUMPRODUCT(MAX(ROW(E1887:E$2)*(E1888=E1887:E$2)))))</f>
        <v> </v>
      </c>
      <c r="J1888" s="25" t="str">
        <f>IF(OR(E1888="",E1888="!!!",F1888="NEW"),"",COUNTBLANK(OFFSET(A$1,,,SUMPRODUCT(MAX(ROW(E$2:E1888)*(E1888=E$2:E1888)))))-COUNTBLANK(OFFSET(A$1,,,SUMPRODUCT(MAX(ROW(E$1:E1887)*(E2=E$1:E1887))))))</f>
        <v> </v>
      </c>
      <c r="K1888" s="25" t="str">
        <f>IF(OR(E1888="",E1888="!!!",F1888="NEW"),"",INDEX(J$1:J1887,SUMPRODUCT(MAX(ROW(E$1:E1887)*(E1888=E$1:E1887)))))</f>
        <v> </v>
      </c>
      <c r="L1888" s="26"/>
    </row>
    <row r="1889" spans="1:12">
      <c r="A1889" s="20" t="s">
        <v>2074</v>
      </c>
      <c r="E1889" s="21">
        <f>IF(D1889="?OLD","!!!","")</f>
        <v/>
      </c>
      <c r="F1889" s="22" t="str">
        <f>IF(OR(E1889="",E1889="!!!"),"",IF(NOT(ISNA(VLOOKUP(E1889,E$1:E1888,1,FALSE()))),"OLD",IF(AND(E1889&lt;&gt;"",E1889&lt;&gt;"!!!"),"NEW","")))</f>
        <v> </v>
      </c>
      <c r="G1889" s="23" t="str">
        <f>IF(OR(E1889="",E1889="!!!"),"",IF(OR(J1889=0,AND(J1889=1,K1889=1),AND(J1889=1,I1889="SBJ"),AND(J1889=1,I1889=0)),"?IN_FOCUS",IF(J1889&lt;=2,"?ACTIVATED",IF(J1889&lt;&gt;"","?FAMILIAR",IF(F1889="NEW",IF(ISNA(VLOOKUP(E1889,#REF!,1,FALSE())),"?TYPE_IDENTIFIABLE","?REFERENTIAL"),"_")))))</f>
        <v> </v>
      </c>
      <c r="H1889" s="24" t="str">
        <f>IF(J1889&lt;&gt;1,"",IF(I1889="SBJ","CB","?"))</f>
        <v> </v>
      </c>
      <c r="I1889" s="25" t="str">
        <f>IF(OR(E1889="",E1889="!!!",F1889="NEW"),"",INDEX(B1888:B$2,-1+SUMPRODUCT(MAX(ROW(E1888:E$2)*(E1889=E1888:E$2)))))</f>
        <v> </v>
      </c>
      <c r="J1889" s="25" t="str">
        <f>IF(OR(E1889="",E1889="!!!",F1889="NEW"),"",COUNTBLANK(OFFSET(A$1,,,SUMPRODUCT(MAX(ROW(E$2:E1889)*(E1889=E$2:E1889)))))-COUNTBLANK(OFFSET(A$1,,,SUMPRODUCT(MAX(ROW(E$1:E1888)*(E2=E$1:E1888))))))</f>
        <v> </v>
      </c>
      <c r="K1889" s="25" t="str">
        <f>IF(OR(E1889="",E1889="!!!",F1889="NEW"),"",INDEX(J$1:J1888,SUMPRODUCT(MAX(ROW(E$1:E1888)*(E1889=E$1:E1888)))))</f>
        <v> </v>
      </c>
      <c r="L1889" s="26"/>
    </row>
    <row r="1890" spans="1:12">
      <c r="A1890" s="20" t="s">
        <v>1123</v>
      </c>
      <c r="E1890" s="21">
        <f>IF(D1890="?OLD","!!!","")</f>
        <v/>
      </c>
      <c r="F1890" s="22" t="str">
        <f>IF(OR(E1890="",E1890="!!!"),"",IF(NOT(ISNA(VLOOKUP(E1890,E$1:E1889,1,FALSE()))),"OLD",IF(AND(E1890&lt;&gt;"",E1890&lt;&gt;"!!!"),"NEW","")))</f>
        <v> </v>
      </c>
      <c r="G1890" s="23" t="str">
        <f>IF(OR(E1890="",E1890="!!!"),"",IF(OR(J1890=0,AND(J1890=1,K1890=1),AND(J1890=1,I1890="SBJ"),AND(J1890=1,I1890=0)),"?IN_FOCUS",IF(J1890&lt;=2,"?ACTIVATED",IF(J1890&lt;&gt;"","?FAMILIAR",IF(F1890="NEW",IF(ISNA(VLOOKUP(E1890,#REF!,1,FALSE())),"?TYPE_IDENTIFIABLE","?REFERENTIAL"),"_")))))</f>
        <v> </v>
      </c>
      <c r="H1890" s="24" t="str">
        <f>IF(J1890&lt;&gt;1,"",IF(I1890="SBJ","CB","?"))</f>
        <v> </v>
      </c>
      <c r="I1890" s="25" t="str">
        <f>IF(OR(E1890="",E1890="!!!",F1890="NEW"),"",INDEX(B1889:B$2,-1+SUMPRODUCT(MAX(ROW(E1889:E$2)*(E1890=E1889:E$2)))))</f>
        <v> </v>
      </c>
      <c r="J1890" s="25" t="str">
        <f>IF(OR(E1890="",E1890="!!!",F1890="NEW"),"",COUNTBLANK(OFFSET(A$1,,,SUMPRODUCT(MAX(ROW(E$2:E1890)*(E1890=E$2:E1890)))))-COUNTBLANK(OFFSET(A$1,,,SUMPRODUCT(MAX(ROW(E$1:E1889)*(E2=E$1:E1889))))))</f>
        <v> </v>
      </c>
      <c r="K1890" s="25" t="str">
        <f>IF(OR(E1890="",E1890="!!!",F1890="NEW"),"",INDEX(J$1:J1889,SUMPRODUCT(MAX(ROW(E$1:E1889)*(E1890=E$1:E1889)))))</f>
        <v> </v>
      </c>
      <c r="L1890" s="26"/>
    </row>
    <row r="1891" spans="1:12">
      <c r="A1891" s="20" t="s">
        <v>2075</v>
      </c>
      <c r="E1891" s="21">
        <f>IF(D1891="?OLD","!!!","")</f>
        <v/>
      </c>
      <c r="F1891" s="22" t="str">
        <f>IF(OR(E1891="",E1891="!!!"),"",IF(NOT(ISNA(VLOOKUP(E1891,E$1:E1890,1,FALSE()))),"OLD",IF(AND(E1891&lt;&gt;"",E1891&lt;&gt;"!!!"),"NEW","")))</f>
        <v> </v>
      </c>
      <c r="G1891" s="23" t="str">
        <f>IF(OR(E1891="",E1891="!!!"),"",IF(OR(J1891=0,AND(J1891=1,K1891=1),AND(J1891=1,I1891="SBJ"),AND(J1891=1,I1891=0)),"?IN_FOCUS",IF(J1891&lt;=2,"?ACTIVATED",IF(J1891&lt;&gt;"","?FAMILIAR",IF(F1891="NEW",IF(ISNA(VLOOKUP(E1891,#REF!,1,FALSE())),"?TYPE_IDENTIFIABLE","?REFERENTIAL"),"_")))))</f>
        <v> </v>
      </c>
      <c r="H1891" s="24" t="str">
        <f>IF(J1891&lt;&gt;1,"",IF(I1891="SBJ","CB","?"))</f>
        <v> </v>
      </c>
      <c r="I1891" s="25" t="str">
        <f>IF(OR(E1891="",E1891="!!!",F1891="NEW"),"",INDEX(B1890:B$2,-1+SUMPRODUCT(MAX(ROW(E1890:E$2)*(E1891=E1890:E$2)))))</f>
        <v> </v>
      </c>
      <c r="J1891" s="25" t="str">
        <f>IF(OR(E1891="",E1891="!!!",F1891="NEW"),"",COUNTBLANK(OFFSET(A$1,,,SUMPRODUCT(MAX(ROW(E$2:E1891)*(E1891=E$2:E1891)))))-COUNTBLANK(OFFSET(A$1,,,SUMPRODUCT(MAX(ROW(E$1:E1890)*(E2=E$1:E1890))))))</f>
        <v> </v>
      </c>
      <c r="K1891" s="25" t="str">
        <f>IF(OR(E1891="",E1891="!!!",F1891="NEW"),"",INDEX(J$1:J1890,SUMPRODUCT(MAX(ROW(E$1:E1890)*(E1891=E$1:E1890)))))</f>
        <v> </v>
      </c>
      <c r="L1891" s="26"/>
    </row>
    <row r="1892" spans="1:12">
      <c r="A1892" s="20" t="s">
        <v>11</v>
      </c>
      <c r="E1892" s="21">
        <f>IF(D1892="?OLD","!!!","")</f>
        <v/>
      </c>
      <c r="F1892" s="22" t="str">
        <f>IF(OR(E1892="",E1892="!!!"),"",IF(NOT(ISNA(VLOOKUP(E1892,E$1:E1891,1,FALSE()))),"OLD",IF(AND(E1892&lt;&gt;"",E1892&lt;&gt;"!!!"),"NEW","")))</f>
        <v> </v>
      </c>
      <c r="G1892" s="23" t="str">
        <f>IF(OR(E1892="",E1892="!!!"),"",IF(OR(J1892=0,AND(J1892=1,K1892=1),AND(J1892=1,I1892="SBJ"),AND(J1892=1,I1892=0)),"?IN_FOCUS",IF(J1892&lt;=2,"?ACTIVATED",IF(J1892&lt;&gt;"","?FAMILIAR",IF(F1892="NEW",IF(ISNA(VLOOKUP(E1892,#REF!,1,FALSE())),"?TYPE_IDENTIFIABLE","?REFERENTIAL"),"_")))))</f>
        <v> </v>
      </c>
      <c r="H1892" s="24" t="str">
        <f>IF(J1892&lt;&gt;1,"",IF(I1892="SBJ","CB","?"))</f>
        <v> </v>
      </c>
      <c r="I1892" s="25" t="str">
        <f>IF(OR(E1892="",E1892="!!!",F1892="NEW"),"",INDEX(B1891:B$2,-1+SUMPRODUCT(MAX(ROW(E1891:E$2)*(E1892=E1891:E$2)))))</f>
        <v> </v>
      </c>
      <c r="J1892" s="25" t="str">
        <f>IF(OR(E1892="",E1892="!!!",F1892="NEW"),"",COUNTBLANK(OFFSET(A$1,,,SUMPRODUCT(MAX(ROW(E$2:E1892)*(E1892=E$2:E1892)))))-COUNTBLANK(OFFSET(A$1,,,SUMPRODUCT(MAX(ROW(E$1:E1891)*(E2=E$1:E1891))))))</f>
        <v> </v>
      </c>
      <c r="K1892" s="25" t="str">
        <f>IF(OR(E1892="",E1892="!!!",F1892="NEW"),"",INDEX(J$1:J1891,SUMPRODUCT(MAX(ROW(E$1:E1891)*(E1892=E$1:E1891)))))</f>
        <v> </v>
      </c>
      <c r="L1892" s="26"/>
    </row>
    <row r="1893" spans="1:12">
      <c r="A1893" s="20" t="s">
        <v>1532</v>
      </c>
      <c r="B1893" s="27" t="s">
        <v>1259</v>
      </c>
      <c r="E1893" s="21">
        <f>IF(D1893="?OLD","!!!","")</f>
        <v/>
      </c>
      <c r="F1893" s="22" t="str">
        <f>IF(OR(E1893="",E1893="!!!"),"",IF(NOT(ISNA(VLOOKUP(E1893,E$1:E1892,1,FALSE()))),"OLD",IF(AND(E1893&lt;&gt;"",E1893&lt;&gt;"!!!"),"NEW","")))</f>
        <v> </v>
      </c>
      <c r="G1893" s="23" t="str">
        <f>IF(OR(E1893="",E1893="!!!"),"",IF(OR(J1893=0,AND(J1893=1,K1893=1),AND(J1893=1,I1893="SBJ"),AND(J1893=1,I1893=0)),"?IN_FOCUS",IF(J1893&lt;=2,"?ACTIVATED",IF(J1893&lt;&gt;"","?FAMILIAR",IF(F1893="NEW",IF(ISNA(VLOOKUP(E1893,#REF!,1,FALSE())),"?TYPE_IDENTIFIABLE","?REFERENTIAL"),"_")))))</f>
        <v> </v>
      </c>
      <c r="H1893" s="24" t="str">
        <f>IF(J1893&lt;&gt;1,"",IF(I1893="SBJ","CB","?"))</f>
        <v> </v>
      </c>
      <c r="I1893" s="25" t="str">
        <f>IF(OR(E1893="",E1893="!!!",F1893="NEW"),"",INDEX(B1892:B$2,-1+SUMPRODUCT(MAX(ROW(E1892:E$2)*(E1893=E1892:E$2)))))</f>
        <v> </v>
      </c>
      <c r="J1893" s="25" t="str">
        <f>IF(OR(E1893="",E1893="!!!",F1893="NEW"),"",COUNTBLANK(OFFSET(A$1,,,SUMPRODUCT(MAX(ROW(E$2:E1893)*(E1893=E$2:E1893)))))-COUNTBLANK(OFFSET(A$1,,,SUMPRODUCT(MAX(ROW(E$1:E1892)*(E2=E$1:E1892))))))</f>
        <v> </v>
      </c>
      <c r="K1893" s="25" t="str">
        <f>IF(OR(E1893="",E1893="!!!",F1893="NEW"),"",INDEX(J$1:J1892,SUMPRODUCT(MAX(ROW(E$1:E1892)*(E1893=E$1:E1892)))))</f>
        <v> </v>
      </c>
      <c r="L1893" s="26"/>
    </row>
    <row r="1894" spans="1:12">
      <c r="A1894" s="20" t="s">
        <v>1968</v>
      </c>
      <c r="E1894" s="21">
        <f>IF(D1894="?OLD","!!!","")</f>
        <v/>
      </c>
      <c r="F1894" s="22" t="str">
        <f>IF(OR(E1894="",E1894="!!!"),"",IF(NOT(ISNA(VLOOKUP(E1894,E$1:E1893,1,FALSE()))),"OLD",IF(AND(E1894&lt;&gt;"",E1894&lt;&gt;"!!!"),"NEW","")))</f>
        <v> </v>
      </c>
      <c r="G1894" s="23" t="str">
        <f>IF(OR(E1894="",E1894="!!!"),"",IF(OR(J1894=0,AND(J1894=1,K1894=1),AND(J1894=1,I1894="SBJ"),AND(J1894=1,I1894=0)),"?IN_FOCUS",IF(J1894&lt;=2,"?ACTIVATED",IF(J1894&lt;&gt;"","?FAMILIAR",IF(F1894="NEW",IF(ISNA(VLOOKUP(E1894,#REF!,1,FALSE())),"?TYPE_IDENTIFIABLE","?REFERENTIAL"),"_")))))</f>
        <v> </v>
      </c>
      <c r="H1894" s="24" t="str">
        <f>IF(J1894&lt;&gt;1,"",IF(I1894="SBJ","CB","?"))</f>
        <v> </v>
      </c>
      <c r="I1894" s="25" t="str">
        <f>IF(OR(E1894="",E1894="!!!",F1894="NEW"),"",INDEX(B1893:B$2,-1+SUMPRODUCT(MAX(ROW(E1893:E$2)*(E1894=E1893:E$2)))))</f>
        <v> </v>
      </c>
      <c r="J1894" s="25" t="str">
        <f>IF(OR(E1894="",E1894="!!!",F1894="NEW"),"",COUNTBLANK(OFFSET(A$1,,,SUMPRODUCT(MAX(ROW(E$2:E1894)*(E1894=E$2:E1894)))))-COUNTBLANK(OFFSET(A$1,,,SUMPRODUCT(MAX(ROW(E$1:E1893)*(E2=E$1:E1893))))))</f>
        <v> </v>
      </c>
      <c r="K1894" s="25" t="str">
        <f>IF(OR(E1894="",E1894="!!!",F1894="NEW"),"",INDEX(J$1:J1893,SUMPRODUCT(MAX(ROW(E$1:E1893)*(E1894=E$1:E1893)))))</f>
        <v> </v>
      </c>
      <c r="L1894" s="26"/>
    </row>
    <row r="1895" spans="1:12">
      <c r="A1895" s="20" t="s">
        <v>1970</v>
      </c>
      <c r="E1895" s="21">
        <f>IF(D1895="?OLD","!!!","")</f>
        <v/>
      </c>
      <c r="F1895" s="22" t="str">
        <f>IF(OR(E1895="",E1895="!!!"),"",IF(NOT(ISNA(VLOOKUP(E1895,E$1:E1894,1,FALSE()))),"OLD",IF(AND(E1895&lt;&gt;"",E1895&lt;&gt;"!!!"),"NEW","")))</f>
        <v> </v>
      </c>
      <c r="G1895" s="23" t="str">
        <f>IF(OR(E1895="",E1895="!!!"),"",IF(OR(J1895=0,AND(J1895=1,K1895=1),AND(J1895=1,I1895="SBJ"),AND(J1895=1,I1895=0)),"?IN_FOCUS",IF(J1895&lt;=2,"?ACTIVATED",IF(J1895&lt;&gt;"","?FAMILIAR",IF(F1895="NEW",IF(ISNA(VLOOKUP(E1895,#REF!,1,FALSE())),"?TYPE_IDENTIFIABLE","?REFERENTIAL"),"_")))))</f>
        <v> </v>
      </c>
      <c r="H1895" s="24" t="str">
        <f>IF(J1895&lt;&gt;1,"",IF(I1895="SBJ","CB","?"))</f>
        <v> </v>
      </c>
      <c r="I1895" s="25" t="str">
        <f>IF(OR(E1895="",E1895="!!!",F1895="NEW"),"",INDEX(B1894:B$2,-1+SUMPRODUCT(MAX(ROW(E1894:E$2)*(E1895=E1894:E$2)))))</f>
        <v> </v>
      </c>
      <c r="J1895" s="25" t="str">
        <f>IF(OR(E1895="",E1895="!!!",F1895="NEW"),"",COUNTBLANK(OFFSET(A$1,,,SUMPRODUCT(MAX(ROW(E$2:E1895)*(E1895=E$2:E1895)))))-COUNTBLANK(OFFSET(A$1,,,SUMPRODUCT(MAX(ROW(E$1:E1894)*(E2=E$1:E1894))))))</f>
        <v> </v>
      </c>
      <c r="K1895" s="25" t="str">
        <f>IF(OR(E1895="",E1895="!!!",F1895="NEW"),"",INDEX(J$1:J1894,SUMPRODUCT(MAX(ROW(E$1:E1894)*(E1895=E$1:E1894)))))</f>
        <v> </v>
      </c>
      <c r="L1895" s="26"/>
    </row>
    <row r="1896" spans="1:12">
      <c r="A1896" s="20" t="s">
        <v>2076</v>
      </c>
      <c r="E1896" s="21">
        <f>IF(D1896="?OLD","!!!","")</f>
        <v/>
      </c>
      <c r="F1896" s="22" t="str">
        <f>IF(OR(E1896="",E1896="!!!"),"",IF(NOT(ISNA(VLOOKUP(E1896,E$1:E1895,1,FALSE()))),"OLD",IF(AND(E1896&lt;&gt;"",E1896&lt;&gt;"!!!"),"NEW","")))</f>
        <v> </v>
      </c>
      <c r="G1896" s="23" t="str">
        <f>IF(OR(E1896="",E1896="!!!"),"",IF(OR(J1896=0,AND(J1896=1,K1896=1),AND(J1896=1,I1896="SBJ"),AND(J1896=1,I1896=0)),"?IN_FOCUS",IF(J1896&lt;=2,"?ACTIVATED",IF(J1896&lt;&gt;"","?FAMILIAR",IF(F1896="NEW",IF(ISNA(VLOOKUP(E1896,#REF!,1,FALSE())),"?TYPE_IDENTIFIABLE","?REFERENTIAL"),"_")))))</f>
        <v> </v>
      </c>
      <c r="H1896" s="24" t="str">
        <f>IF(J1896&lt;&gt;1,"",IF(I1896="SBJ","CB","?"))</f>
        <v> </v>
      </c>
      <c r="I1896" s="25" t="str">
        <f>IF(OR(E1896="",E1896="!!!",F1896="NEW"),"",INDEX(B1895:B$2,-1+SUMPRODUCT(MAX(ROW(E1895:E$2)*(E1896=E1895:E$2)))))</f>
        <v> </v>
      </c>
      <c r="J1896" s="25" t="str">
        <f>IF(OR(E1896="",E1896="!!!",F1896="NEW"),"",COUNTBLANK(OFFSET(A$1,,,SUMPRODUCT(MAX(ROW(E$2:E1896)*(E1896=E$2:E1896)))))-COUNTBLANK(OFFSET(A$1,,,SUMPRODUCT(MAX(ROW(E$1:E1895)*(E2=E$1:E1895))))))</f>
        <v> </v>
      </c>
      <c r="K1896" s="25" t="str">
        <f>IF(OR(E1896="",E1896="!!!",F1896="NEW"),"",INDEX(J$1:J1895,SUMPRODUCT(MAX(ROW(E$1:E1895)*(E1896=E$1:E1895)))))</f>
        <v> </v>
      </c>
      <c r="L1896" s="26"/>
    </row>
    <row r="1897" spans="1:12">
      <c r="A1897" s="20" t="s">
        <v>1123</v>
      </c>
      <c r="E1897" s="21">
        <f>IF(D1897="?OLD","!!!","")</f>
        <v/>
      </c>
      <c r="F1897" s="22" t="str">
        <f>IF(OR(E1897="",E1897="!!!"),"",IF(NOT(ISNA(VLOOKUP(E1897,E$1:E1896,1,FALSE()))),"OLD",IF(AND(E1897&lt;&gt;"",E1897&lt;&gt;"!!!"),"NEW","")))</f>
        <v> </v>
      </c>
      <c r="G1897" s="23" t="str">
        <f>IF(OR(E1897="",E1897="!!!"),"",IF(OR(J1897=0,AND(J1897=1,K1897=1),AND(J1897=1,I1897="SBJ"),AND(J1897=1,I1897=0)),"?IN_FOCUS",IF(J1897&lt;=2,"?ACTIVATED",IF(J1897&lt;&gt;"","?FAMILIAR",IF(F1897="NEW",IF(ISNA(VLOOKUP(E1897,#REF!,1,FALSE())),"?TYPE_IDENTIFIABLE","?REFERENTIAL"),"_")))))</f>
        <v> </v>
      </c>
      <c r="H1897" s="24" t="str">
        <f>IF(J1897&lt;&gt;1,"",IF(I1897="SBJ","CB","?"))</f>
        <v> </v>
      </c>
      <c r="I1897" s="25" t="str">
        <f>IF(OR(E1897="",E1897="!!!",F1897="NEW"),"",INDEX(B1896:B$2,-1+SUMPRODUCT(MAX(ROW(E1896:E$2)*(E1897=E1896:E$2)))))</f>
        <v> </v>
      </c>
      <c r="J1897" s="25" t="str">
        <f>IF(OR(E1897="",E1897="!!!",F1897="NEW"),"",COUNTBLANK(OFFSET(A$1,,,SUMPRODUCT(MAX(ROW(E$2:E1897)*(E1897=E$2:E1897)))))-COUNTBLANK(OFFSET(A$1,,,SUMPRODUCT(MAX(ROW(E$1:E1896)*(E2=E$1:E1896))))))</f>
        <v> </v>
      </c>
      <c r="K1897" s="25" t="str">
        <f>IF(OR(E1897="",E1897="!!!",F1897="NEW"),"",INDEX(J$1:J1896,SUMPRODUCT(MAX(ROW(E$1:E1896)*(E1897=E$1:E1896)))))</f>
        <v> </v>
      </c>
      <c r="L1897" s="26"/>
    </row>
    <row r="1898" spans="1:12">
      <c r="A1898" s="20" t="s">
        <v>2077</v>
      </c>
      <c r="E1898" s="21">
        <f>IF(D1898="?OLD","!!!","")</f>
        <v/>
      </c>
      <c r="F1898" s="22" t="str">
        <f>IF(OR(E1898="",E1898="!!!"),"",IF(NOT(ISNA(VLOOKUP(E1898,E$1:E1897,1,FALSE()))),"OLD",IF(AND(E1898&lt;&gt;"",E1898&lt;&gt;"!!!"),"NEW","")))</f>
        <v> </v>
      </c>
      <c r="G1898" s="23" t="str">
        <f>IF(OR(E1898="",E1898="!!!"),"",IF(OR(J1898=0,AND(J1898=1,K1898=1),AND(J1898=1,I1898="SBJ"),AND(J1898=1,I1898=0)),"?IN_FOCUS",IF(J1898&lt;=2,"?ACTIVATED",IF(J1898&lt;&gt;"","?FAMILIAR",IF(F1898="NEW",IF(ISNA(VLOOKUP(E1898,#REF!,1,FALSE())),"?TYPE_IDENTIFIABLE","?REFERENTIAL"),"_")))))</f>
        <v> </v>
      </c>
      <c r="H1898" s="24" t="str">
        <f>IF(J1898&lt;&gt;1,"",IF(I1898="SBJ","CB","?"))</f>
        <v> </v>
      </c>
      <c r="I1898" s="25" t="str">
        <f>IF(OR(E1898="",E1898="!!!",F1898="NEW"),"",INDEX(B1897:B$2,-1+SUMPRODUCT(MAX(ROW(E1897:E$2)*(E1898=E1897:E$2)))))</f>
        <v> </v>
      </c>
      <c r="J1898" s="25" t="str">
        <f>IF(OR(E1898="",E1898="!!!",F1898="NEW"),"",COUNTBLANK(OFFSET(A$1,,,SUMPRODUCT(MAX(ROW(E$2:E1898)*(E1898=E$2:E1898)))))-COUNTBLANK(OFFSET(A$1,,,SUMPRODUCT(MAX(ROW(E$1:E1897)*(E2=E$1:E1897))))))</f>
        <v> </v>
      </c>
      <c r="K1898" s="25" t="str">
        <f>IF(OR(E1898="",E1898="!!!",F1898="NEW"),"",INDEX(J$1:J1897,SUMPRODUCT(MAX(ROW(E$1:E1897)*(E1898=E$1:E1897)))))</f>
        <v> </v>
      </c>
      <c r="L1898" s="26"/>
    </row>
    <row r="1899" spans="1:12">
      <c r="A1899" s="20" t="s">
        <v>1184</v>
      </c>
      <c r="E1899" s="21">
        <f>IF(D1899="?OLD","!!!","")</f>
        <v/>
      </c>
      <c r="F1899" s="22" t="str">
        <f>IF(OR(E1899="",E1899="!!!"),"",IF(NOT(ISNA(VLOOKUP(E1899,E$1:E1898,1,FALSE()))),"OLD",IF(AND(E1899&lt;&gt;"",E1899&lt;&gt;"!!!"),"NEW","")))</f>
        <v> </v>
      </c>
      <c r="G1899" s="23" t="str">
        <f>IF(OR(E1899="",E1899="!!!"),"",IF(OR(J1899=0,AND(J1899=1,K1899=1),AND(J1899=1,I1899="SBJ"),AND(J1899=1,I1899=0)),"?IN_FOCUS",IF(J1899&lt;=2,"?ACTIVATED",IF(J1899&lt;&gt;"","?FAMILIAR",IF(F1899="NEW",IF(ISNA(VLOOKUP(E1899,#REF!,1,FALSE())),"?TYPE_IDENTIFIABLE","?REFERENTIAL"),"_")))))</f>
        <v> </v>
      </c>
      <c r="H1899" s="24" t="str">
        <f>IF(J1899&lt;&gt;1,"",IF(I1899="SBJ","CB","?"))</f>
        <v> </v>
      </c>
      <c r="I1899" s="25" t="str">
        <f>IF(OR(E1899="",E1899="!!!",F1899="NEW"),"",INDEX(B1898:B$2,-1+SUMPRODUCT(MAX(ROW(E1898:E$2)*(E1899=E1898:E$2)))))</f>
        <v> </v>
      </c>
      <c r="J1899" s="25" t="str">
        <f>IF(OR(E1899="",E1899="!!!",F1899="NEW"),"",COUNTBLANK(OFFSET(A$1,,,SUMPRODUCT(MAX(ROW(E$2:E1899)*(E1899=E$2:E1899)))))-COUNTBLANK(OFFSET(A$1,,,SUMPRODUCT(MAX(ROW(E$1:E1898)*(E2=E$1:E1898))))))</f>
        <v> </v>
      </c>
      <c r="K1899" s="25" t="str">
        <f>IF(OR(E1899="",E1899="!!!",F1899="NEW"),"",INDEX(J$1:J1898,SUMPRODUCT(MAX(ROW(E$1:E1898)*(E1899=E$1:E1898)))))</f>
        <v> </v>
      </c>
      <c r="L1899" s="26"/>
    </row>
    <row r="1900" spans="1:12">
      <c r="A1900" s="20" t="s">
        <v>2078</v>
      </c>
      <c r="E1900" s="21">
        <f>IF(D1900="?OLD","!!!","")</f>
        <v/>
      </c>
      <c r="F1900" s="22" t="str">
        <f>IF(OR(E1900="",E1900="!!!"),"",IF(NOT(ISNA(VLOOKUP(E1900,E$1:E1899,1,FALSE()))),"OLD",IF(AND(E1900&lt;&gt;"",E1900&lt;&gt;"!!!"),"NEW","")))</f>
        <v> </v>
      </c>
      <c r="G1900" s="23" t="str">
        <f>IF(OR(E1900="",E1900="!!!"),"",IF(OR(J1900=0,AND(J1900=1,K1900=1),AND(J1900=1,I1900="SBJ"),AND(J1900=1,I1900=0)),"?IN_FOCUS",IF(J1900&lt;=2,"?ACTIVATED",IF(J1900&lt;&gt;"","?FAMILIAR",IF(F1900="NEW",IF(ISNA(VLOOKUP(E1900,#REF!,1,FALSE())),"?TYPE_IDENTIFIABLE","?REFERENTIAL"),"_")))))</f>
        <v> </v>
      </c>
      <c r="H1900" s="24" t="str">
        <f>IF(J1900&lt;&gt;1,"",IF(I1900="SBJ","CB","?"))</f>
        <v> </v>
      </c>
      <c r="I1900" s="25" t="str">
        <f>IF(OR(E1900="",E1900="!!!",F1900="NEW"),"",INDEX(B1899:B$2,-1+SUMPRODUCT(MAX(ROW(E1899:E$2)*(E1900=E1899:E$2)))))</f>
        <v> </v>
      </c>
      <c r="J1900" s="25" t="str">
        <f>IF(OR(E1900="",E1900="!!!",F1900="NEW"),"",COUNTBLANK(OFFSET(A$1,,,SUMPRODUCT(MAX(ROW(E$2:E1900)*(E1900=E$2:E1900)))))-COUNTBLANK(OFFSET(A$1,,,SUMPRODUCT(MAX(ROW(E$1:E1899)*(E2=E$1:E1899))))))</f>
        <v> </v>
      </c>
      <c r="K1900" s="25" t="str">
        <f>IF(OR(E1900="",E1900="!!!",F1900="NEW"),"",INDEX(J$1:J1899,SUMPRODUCT(MAX(ROW(E$1:E1899)*(E1900=E$1:E1899)))))</f>
        <v> </v>
      </c>
      <c r="L1900" s="26"/>
    </row>
    <row r="1901" spans="1:12">
      <c r="A1901" s="20" t="s">
        <v>2079</v>
      </c>
      <c r="B1901" s="27" t="s">
        <v>1115</v>
      </c>
      <c r="E1901" s="21">
        <f>IF(D1901="?OLD","!!!","")</f>
        <v/>
      </c>
      <c r="F1901" s="22" t="str">
        <f>IF(OR(E1901="",E1901="!!!"),"",IF(NOT(ISNA(VLOOKUP(E1901,E$1:E1900,1,FALSE()))),"OLD",IF(AND(E1901&lt;&gt;"",E1901&lt;&gt;"!!!"),"NEW","")))</f>
        <v> </v>
      </c>
      <c r="G1901" s="23" t="str">
        <f>IF(OR(E1901="",E1901="!!!"),"",IF(OR(J1901=0,AND(J1901=1,K1901=1),AND(J1901=1,I1901="SBJ"),AND(J1901=1,I1901=0)),"?IN_FOCUS",IF(J1901&lt;=2,"?ACTIVATED",IF(J1901&lt;&gt;"","?FAMILIAR",IF(F1901="NEW",IF(ISNA(VLOOKUP(E1901,#REF!,1,FALSE())),"?TYPE_IDENTIFIABLE","?REFERENTIAL"),"_")))))</f>
        <v> </v>
      </c>
      <c r="H1901" s="24" t="str">
        <f>IF(J1901&lt;&gt;1,"",IF(I1901="SBJ","CB","?"))</f>
        <v> </v>
      </c>
      <c r="I1901" s="25" t="str">
        <f>IF(OR(E1901="",E1901="!!!",F1901="NEW"),"",INDEX(B1900:B$2,-1+SUMPRODUCT(MAX(ROW(E1900:E$2)*(E1901=E1900:E$2)))))</f>
        <v> </v>
      </c>
      <c r="J1901" s="25" t="str">
        <f>IF(OR(E1901="",E1901="!!!",F1901="NEW"),"",COUNTBLANK(OFFSET(A$1,,,SUMPRODUCT(MAX(ROW(E$2:E1901)*(E1901=E$2:E1901)))))-COUNTBLANK(OFFSET(A$1,,,SUMPRODUCT(MAX(ROW(E$1:E1900)*(E2=E$1:E1900))))))</f>
        <v> </v>
      </c>
      <c r="K1901" s="25" t="str">
        <f>IF(OR(E1901="",E1901="!!!",F1901="NEW"),"",INDEX(J$1:J1900,SUMPRODUCT(MAX(ROW(E$1:E1900)*(E1901=E$1:E1900)))))</f>
        <v> </v>
      </c>
      <c r="L1901" s="26"/>
    </row>
    <row r="1902" spans="1:12">
      <c r="A1902" s="20" t="s">
        <v>1128</v>
      </c>
      <c r="E1902" s="21">
        <f>IF(D1902="?OLD","!!!","")</f>
        <v/>
      </c>
      <c r="F1902" s="22" t="str">
        <f>IF(OR(E1902="",E1902="!!!"),"",IF(NOT(ISNA(VLOOKUP(E1902,E$1:E1901,1,FALSE()))),"OLD",IF(AND(E1902&lt;&gt;"",E1902&lt;&gt;"!!!"),"NEW","")))</f>
        <v> </v>
      </c>
      <c r="G1902" s="23" t="str">
        <f>IF(OR(E1902="",E1902="!!!"),"",IF(OR(J1902=0,AND(J1902=1,K1902=1),AND(J1902=1,I1902="SBJ"),AND(J1902=1,I1902=0)),"?IN_FOCUS",IF(J1902&lt;=2,"?ACTIVATED",IF(J1902&lt;&gt;"","?FAMILIAR",IF(F1902="NEW",IF(ISNA(VLOOKUP(E1902,#REF!,1,FALSE())),"?TYPE_IDENTIFIABLE","?REFERENTIAL"),"_")))))</f>
        <v> </v>
      </c>
      <c r="H1902" s="24" t="str">
        <f>IF(J1902&lt;&gt;1,"",IF(I1902="SBJ","CB","?"))</f>
        <v> </v>
      </c>
      <c r="I1902" s="25" t="str">
        <f>IF(OR(E1902="",E1902="!!!",F1902="NEW"),"",INDEX(B1901:B$2,-1+SUMPRODUCT(MAX(ROW(E1901:E$2)*(E1902=E1901:E$2)))))</f>
        <v> </v>
      </c>
      <c r="J1902" s="25" t="str">
        <f>IF(OR(E1902="",E1902="!!!",F1902="NEW"),"",COUNTBLANK(OFFSET(A$1,,,SUMPRODUCT(MAX(ROW(E$2:E1902)*(E1902=E$2:E1902)))))-COUNTBLANK(OFFSET(A$1,,,SUMPRODUCT(MAX(ROW(E$1:E1901)*(E2=E$1:E1901))))))</f>
        <v> </v>
      </c>
      <c r="K1902" s="25" t="str">
        <f>IF(OR(E1902="",E1902="!!!",F1902="NEW"),"",INDEX(J$1:J1901,SUMPRODUCT(MAX(ROW(E$1:E1901)*(E1902=E$1:E1901)))))</f>
        <v> </v>
      </c>
      <c r="L1902" s="26"/>
    </row>
    <row r="1903" spans="1:12">
      <c r="A1903" s="20" t="s">
        <v>2080</v>
      </c>
      <c r="E1903" s="21">
        <f>IF(D1903="?OLD","!!!","")</f>
        <v/>
      </c>
      <c r="F1903" s="22" t="str">
        <f>IF(OR(E1903="",E1903="!!!"),"",IF(NOT(ISNA(VLOOKUP(E1903,E$1:E1902,1,FALSE()))),"OLD",IF(AND(E1903&lt;&gt;"",E1903&lt;&gt;"!!!"),"NEW","")))</f>
        <v> </v>
      </c>
      <c r="G1903" s="23" t="str">
        <f>IF(OR(E1903="",E1903="!!!"),"",IF(OR(J1903=0,AND(J1903=1,K1903=1),AND(J1903=1,I1903="SBJ"),AND(J1903=1,I1903=0)),"?IN_FOCUS",IF(J1903&lt;=2,"?ACTIVATED",IF(J1903&lt;&gt;"","?FAMILIAR",IF(F1903="NEW",IF(ISNA(VLOOKUP(E1903,#REF!,1,FALSE())),"?TYPE_IDENTIFIABLE","?REFERENTIAL"),"_")))))</f>
        <v> </v>
      </c>
      <c r="H1903" s="24" t="str">
        <f>IF(J1903&lt;&gt;1,"",IF(I1903="SBJ","CB","?"))</f>
        <v> </v>
      </c>
      <c r="I1903" s="25" t="str">
        <f>IF(OR(E1903="",E1903="!!!",F1903="NEW"),"",INDEX(B1902:B$2,-1+SUMPRODUCT(MAX(ROW(E1902:E$2)*(E1903=E1902:E$2)))))</f>
        <v> </v>
      </c>
      <c r="J1903" s="25" t="str">
        <f>IF(OR(E1903="",E1903="!!!",F1903="NEW"),"",COUNTBLANK(OFFSET(A$1,,,SUMPRODUCT(MAX(ROW(E$2:E1903)*(E1903=E$2:E1903)))))-COUNTBLANK(OFFSET(A$1,,,SUMPRODUCT(MAX(ROW(E$1:E1902)*(E2=E$1:E1902))))))</f>
        <v> </v>
      </c>
      <c r="K1903" s="25" t="str">
        <f>IF(OR(E1903="",E1903="!!!",F1903="NEW"),"",INDEX(J$1:J1902,SUMPRODUCT(MAX(ROW(E$1:E1902)*(E1903=E$1:E1902)))))</f>
        <v> </v>
      </c>
      <c r="L1903" s="26"/>
    </row>
    <row r="1904" spans="1:12">
      <c r="A1904" s="20" t="s">
        <v>1184</v>
      </c>
      <c r="E1904" s="21">
        <f>IF(D1904="?OLD","!!!","")</f>
        <v/>
      </c>
      <c r="F1904" s="22" t="str">
        <f>IF(OR(E1904="",E1904="!!!"),"",IF(NOT(ISNA(VLOOKUP(E1904,E$1:E1903,1,FALSE()))),"OLD",IF(AND(E1904&lt;&gt;"",E1904&lt;&gt;"!!!"),"NEW","")))</f>
        <v> </v>
      </c>
      <c r="G1904" s="23" t="str">
        <f>IF(OR(E1904="",E1904="!!!"),"",IF(OR(J1904=0,AND(J1904=1,K1904=1),AND(J1904=1,I1904="SBJ"),AND(J1904=1,I1904=0)),"?IN_FOCUS",IF(J1904&lt;=2,"?ACTIVATED",IF(J1904&lt;&gt;"","?FAMILIAR",IF(F1904="NEW",IF(ISNA(VLOOKUP(E1904,#REF!,1,FALSE())),"?TYPE_IDENTIFIABLE","?REFERENTIAL"),"_")))))</f>
        <v> </v>
      </c>
      <c r="H1904" s="24" t="str">
        <f>IF(J1904&lt;&gt;1,"",IF(I1904="SBJ","CB","?"))</f>
        <v> </v>
      </c>
      <c r="I1904" s="25" t="str">
        <f>IF(OR(E1904="",E1904="!!!",F1904="NEW"),"",INDEX(B1903:B$2,-1+SUMPRODUCT(MAX(ROW(E1903:E$2)*(E1904=E1903:E$2)))))</f>
        <v> </v>
      </c>
      <c r="J1904" s="25" t="str">
        <f>IF(OR(E1904="",E1904="!!!",F1904="NEW"),"",COUNTBLANK(OFFSET(A$1,,,SUMPRODUCT(MAX(ROW(E$2:E1904)*(E1904=E$2:E1904)))))-COUNTBLANK(OFFSET(A$1,,,SUMPRODUCT(MAX(ROW(E$1:E1903)*(E2=E$1:E1903))))))</f>
        <v> </v>
      </c>
      <c r="K1904" s="25" t="str">
        <f>IF(OR(E1904="",E1904="!!!",F1904="NEW"),"",INDEX(J$1:J1903,SUMPRODUCT(MAX(ROW(E$1:E1903)*(E1904=E$1:E1903)))))</f>
        <v> </v>
      </c>
      <c r="L1904" s="26"/>
    </row>
    <row r="1905" spans="1:12">
      <c r="A1905" s="20" t="s">
        <v>1371</v>
      </c>
      <c r="E1905" s="21">
        <f>IF(D1905="?OLD","!!!","")</f>
        <v/>
      </c>
      <c r="F1905" s="22" t="str">
        <f>IF(OR(E1905="",E1905="!!!"),"",IF(NOT(ISNA(VLOOKUP(E1905,E$1:E1904,1,FALSE()))),"OLD",IF(AND(E1905&lt;&gt;"",E1905&lt;&gt;"!!!"),"NEW","")))</f>
        <v> </v>
      </c>
      <c r="G1905" s="23" t="str">
        <f>IF(OR(E1905="",E1905="!!!"),"",IF(OR(J1905=0,AND(J1905=1,K1905=1),AND(J1905=1,I1905="SBJ"),AND(J1905=1,I1905=0)),"?IN_FOCUS",IF(J1905&lt;=2,"?ACTIVATED",IF(J1905&lt;&gt;"","?FAMILIAR",IF(F1905="NEW",IF(ISNA(VLOOKUP(E1905,#REF!,1,FALSE())),"?TYPE_IDENTIFIABLE","?REFERENTIAL"),"_")))))</f>
        <v> </v>
      </c>
      <c r="H1905" s="24" t="str">
        <f>IF(J1905&lt;&gt;1,"",IF(I1905="SBJ","CB","?"))</f>
        <v> </v>
      </c>
      <c r="I1905" s="25" t="str">
        <f>IF(OR(E1905="",E1905="!!!",F1905="NEW"),"",INDEX(B1904:B$2,-1+SUMPRODUCT(MAX(ROW(E1904:E$2)*(E1905=E1904:E$2)))))</f>
        <v> </v>
      </c>
      <c r="J1905" s="25" t="str">
        <f>IF(OR(E1905="",E1905="!!!",F1905="NEW"),"",COUNTBLANK(OFFSET(A$1,,,SUMPRODUCT(MAX(ROW(E$2:E1905)*(E1905=E$2:E1905)))))-COUNTBLANK(OFFSET(A$1,,,SUMPRODUCT(MAX(ROW(E$1:E1904)*(E2=E$1:E1904))))))</f>
        <v> </v>
      </c>
      <c r="K1905" s="25" t="str">
        <f>IF(OR(E1905="",E1905="!!!",F1905="NEW"),"",INDEX(J$1:J1904,SUMPRODUCT(MAX(ROW(E$1:E1904)*(E1905=E$1:E1904)))))</f>
        <v> </v>
      </c>
      <c r="L1905" s="26"/>
    </row>
    <row r="1906" spans="1:12">
      <c r="A1906" s="20" t="s">
        <v>2081</v>
      </c>
      <c r="E1906" s="21">
        <f>IF(D1906="?OLD","!!!","")</f>
        <v/>
      </c>
      <c r="F1906" s="22" t="str">
        <f>IF(OR(E1906="",E1906="!!!"),"",IF(NOT(ISNA(VLOOKUP(E1906,E$1:E1905,1,FALSE()))),"OLD",IF(AND(E1906&lt;&gt;"",E1906&lt;&gt;"!!!"),"NEW","")))</f>
        <v> </v>
      </c>
      <c r="G1906" s="23" t="str">
        <f>IF(OR(E1906="",E1906="!!!"),"",IF(OR(J1906=0,AND(J1906=1,K1906=1),AND(J1906=1,I1906="SBJ"),AND(J1906=1,I1906=0)),"?IN_FOCUS",IF(J1906&lt;=2,"?ACTIVATED",IF(J1906&lt;&gt;"","?FAMILIAR",IF(F1906="NEW",IF(ISNA(VLOOKUP(E1906,#REF!,1,FALSE())),"?TYPE_IDENTIFIABLE","?REFERENTIAL"),"_")))))</f>
        <v> </v>
      </c>
      <c r="H1906" s="24" t="str">
        <f>IF(J1906&lt;&gt;1,"",IF(I1906="SBJ","CB","?"))</f>
        <v> </v>
      </c>
      <c r="I1906" s="25" t="str">
        <f>IF(OR(E1906="",E1906="!!!",F1906="NEW"),"",INDEX(B1905:B$2,-1+SUMPRODUCT(MAX(ROW(E1905:E$2)*(E1906=E1905:E$2)))))</f>
        <v> </v>
      </c>
      <c r="J1906" s="25" t="str">
        <f>IF(OR(E1906="",E1906="!!!",F1906="NEW"),"",COUNTBLANK(OFFSET(A$1,,,SUMPRODUCT(MAX(ROW(E$2:E1906)*(E1906=E$2:E1906)))))-COUNTBLANK(OFFSET(A$1,,,SUMPRODUCT(MAX(ROW(E$1:E1905)*(E2=E$1:E1905))))))</f>
        <v> </v>
      </c>
      <c r="K1906" s="25" t="str">
        <f>IF(OR(E1906="",E1906="!!!",F1906="NEW"),"",INDEX(J$1:J1905,SUMPRODUCT(MAX(ROW(E$1:E1905)*(E1906=E$1:E1905)))))</f>
        <v> </v>
      </c>
      <c r="L1906" s="26"/>
    </row>
    <row r="1907" spans="1:12">
      <c r="A1907" s="20" t="s">
        <v>2082</v>
      </c>
      <c r="B1907" s="27" t="s">
        <v>1110</v>
      </c>
      <c r="C1907" s="27" t="s">
        <v>1156</v>
      </c>
      <c r="D1907" s="27" t="s">
        <v>1105</v>
      </c>
      <c r="E1907" s="21">
        <f>IF(D1907="?OLD","!!!","")</f>
        <v/>
      </c>
      <c r="F1907" s="22" t="str">
        <f>IF(OR(E1907="",E1907="!!!"),"",IF(NOT(ISNA(VLOOKUP(E1907,E$1:E1906,1,FALSE()))),"OLD",IF(AND(E1907&lt;&gt;"",E1907&lt;&gt;"!!!"),"NEW","")))</f>
        <v> </v>
      </c>
      <c r="G1907" s="23" t="str">
        <f>IF(OR(E1907="",E1907="!!!"),"",IF(OR(J1907=0,AND(J1907=1,K1907=1),AND(J1907=1,I1907="SBJ"),AND(J1907=1,I1907=0)),"?IN_FOCUS",IF(J1907&lt;=2,"?ACTIVATED",IF(J1907&lt;&gt;"","?FAMILIAR",IF(F1907="NEW",IF(ISNA(VLOOKUP(E1907,#REF!,1,FALSE())),"?TYPE_IDENTIFIABLE","?REFERENTIAL"),"_")))))</f>
        <v> </v>
      </c>
      <c r="H1907" s="24" t="str">
        <f>IF(J1907&lt;&gt;1,"",IF(I1907="SBJ","CB","?"))</f>
        <v> </v>
      </c>
      <c r="I1907" s="25" t="str">
        <f>IF(OR(E1907="",E1907="!!!",F1907="NEW"),"",INDEX(B1906:B$2,-1+SUMPRODUCT(MAX(ROW(E1906:E$2)*(E1907=E1906:E$2)))))</f>
        <v> </v>
      </c>
      <c r="J1907" s="25" t="str">
        <f>IF(OR(E1907="",E1907="!!!",F1907="NEW"),"",COUNTBLANK(OFFSET(A$1,,,SUMPRODUCT(MAX(ROW(E$2:E1907)*(E1907=E$2:E1907)))))-COUNTBLANK(OFFSET(A$1,,,SUMPRODUCT(MAX(ROW(E$1:E1906)*(E2=E$1:E1906))))))</f>
        <v> </v>
      </c>
      <c r="K1907" s="25" t="str">
        <f>IF(OR(E1907="",E1907="!!!",F1907="NEW"),"",INDEX(J$1:J1906,SUMPRODUCT(MAX(ROW(E$1:E1906)*(E1907=E$1:E1906)))))</f>
        <v> </v>
      </c>
      <c r="L1907" s="26"/>
    </row>
    <row r="1908" spans="1:12">
      <c r="A1908" s="20" t="s">
        <v>1123</v>
      </c>
      <c r="E1908" s="21">
        <f>IF(D1908="?OLD","!!!","")</f>
        <v/>
      </c>
      <c r="F1908" s="22" t="str">
        <f>IF(OR(E1908="",E1908="!!!"),"",IF(NOT(ISNA(VLOOKUP(E1908,E$1:E1907,1,FALSE()))),"OLD",IF(AND(E1908&lt;&gt;"",E1908&lt;&gt;"!!!"),"NEW","")))</f>
        <v> </v>
      </c>
      <c r="G1908" s="23" t="str">
        <f>IF(OR(E1908="",E1908="!!!"),"",IF(OR(J1908=0,AND(J1908=1,K1908=1),AND(J1908=1,I1908="SBJ"),AND(J1908=1,I1908=0)),"?IN_FOCUS",IF(J1908&lt;=2,"?ACTIVATED",IF(J1908&lt;&gt;"","?FAMILIAR",IF(F1908="NEW",IF(ISNA(VLOOKUP(E1908,#REF!,1,FALSE())),"?TYPE_IDENTIFIABLE","?REFERENTIAL"),"_")))))</f>
        <v> </v>
      </c>
      <c r="H1908" s="24" t="str">
        <f>IF(J1908&lt;&gt;1,"",IF(I1908="SBJ","CB","?"))</f>
        <v> </v>
      </c>
      <c r="I1908" s="25" t="str">
        <f>IF(OR(E1908="",E1908="!!!",F1908="NEW"),"",INDEX(B1907:B$2,-1+SUMPRODUCT(MAX(ROW(E1907:E$2)*(E1908=E1907:E$2)))))</f>
        <v> </v>
      </c>
      <c r="J1908" s="25" t="str">
        <f>IF(OR(E1908="",E1908="!!!",F1908="NEW"),"",COUNTBLANK(OFFSET(A$1,,,SUMPRODUCT(MAX(ROW(E$2:E1908)*(E1908=E$2:E1908)))))-COUNTBLANK(OFFSET(A$1,,,SUMPRODUCT(MAX(ROW(E$1:E1907)*(E2=E$1:E1907))))))</f>
        <v> </v>
      </c>
      <c r="K1908" s="25" t="str">
        <f>IF(OR(E1908="",E1908="!!!",F1908="NEW"),"",INDEX(J$1:J1907,SUMPRODUCT(MAX(ROW(E$1:E1907)*(E1908=E$1:E1907)))))</f>
        <v> </v>
      </c>
      <c r="L1908" s="26"/>
    </row>
    <row r="1909" spans="1:12">
      <c r="A1909" s="20" t="s">
        <v>1134</v>
      </c>
      <c r="E1909" s="21">
        <f>IF(D1909="?OLD","!!!","")</f>
        <v/>
      </c>
      <c r="F1909" s="22" t="str">
        <f>IF(OR(E1909="",E1909="!!!"),"",IF(NOT(ISNA(VLOOKUP(E1909,E$1:E1908,1,FALSE()))),"OLD",IF(AND(E1909&lt;&gt;"",E1909&lt;&gt;"!!!"),"NEW","")))</f>
        <v> </v>
      </c>
      <c r="G1909" s="23" t="str">
        <f>IF(OR(E1909="",E1909="!!!"),"",IF(OR(J1909=0,AND(J1909=1,K1909=1),AND(J1909=1,I1909="SBJ"),AND(J1909=1,I1909=0)),"?IN_FOCUS",IF(J1909&lt;=2,"?ACTIVATED",IF(J1909&lt;&gt;"","?FAMILIAR",IF(F1909="NEW",IF(ISNA(VLOOKUP(E1909,#REF!,1,FALSE())),"?TYPE_IDENTIFIABLE","?REFERENTIAL"),"_")))))</f>
        <v> </v>
      </c>
      <c r="H1909" s="24" t="str">
        <f>IF(J1909&lt;&gt;1,"",IF(I1909="SBJ","CB","?"))</f>
        <v> </v>
      </c>
      <c r="I1909" s="25" t="str">
        <f>IF(OR(E1909="",E1909="!!!",F1909="NEW"),"",INDEX(B1908:B$2,-1+SUMPRODUCT(MAX(ROW(E1908:E$2)*(E1909=E1908:E$2)))))</f>
        <v> </v>
      </c>
      <c r="J1909" s="25" t="str">
        <f>IF(OR(E1909="",E1909="!!!",F1909="NEW"),"",COUNTBLANK(OFFSET(A$1,,,SUMPRODUCT(MAX(ROW(E$2:E1909)*(E1909=E$2:E1909)))))-COUNTBLANK(OFFSET(A$1,,,SUMPRODUCT(MAX(ROW(E$1:E1908)*(E2=E$1:E1908))))))</f>
        <v> </v>
      </c>
      <c r="K1909" s="25" t="str">
        <f>IF(OR(E1909="",E1909="!!!",F1909="NEW"),"",INDEX(J$1:J1908,SUMPRODUCT(MAX(ROW(E$1:E1908)*(E1909=E$1:E1908)))))</f>
        <v> </v>
      </c>
      <c r="L1909" s="26"/>
    </row>
    <row r="1910" spans="1:12">
      <c r="A1910" s="20" t="s">
        <v>2083</v>
      </c>
      <c r="E1910" s="21">
        <f>IF(D1910="?OLD","!!!","")</f>
        <v/>
      </c>
      <c r="F1910" s="22" t="str">
        <f>IF(OR(E1910="",E1910="!!!"),"",IF(NOT(ISNA(VLOOKUP(E1910,E$1:E1909,1,FALSE()))),"OLD",IF(AND(E1910&lt;&gt;"",E1910&lt;&gt;"!!!"),"NEW","")))</f>
        <v> </v>
      </c>
      <c r="G1910" s="23" t="str">
        <f>IF(OR(E1910="",E1910="!!!"),"",IF(OR(J1910=0,AND(J1910=1,K1910=1),AND(J1910=1,I1910="SBJ"),AND(J1910=1,I1910=0)),"?IN_FOCUS",IF(J1910&lt;=2,"?ACTIVATED",IF(J1910&lt;&gt;"","?FAMILIAR",IF(F1910="NEW",IF(ISNA(VLOOKUP(E1910,#REF!,1,FALSE())),"?TYPE_IDENTIFIABLE","?REFERENTIAL"),"_")))))</f>
        <v> </v>
      </c>
      <c r="H1910" s="24" t="str">
        <f>IF(J1910&lt;&gt;1,"",IF(I1910="SBJ","CB","?"))</f>
        <v> </v>
      </c>
      <c r="I1910" s="25" t="str">
        <f>IF(OR(E1910="",E1910="!!!",F1910="NEW"),"",INDEX(B1909:B$2,-1+SUMPRODUCT(MAX(ROW(E1909:E$2)*(E1910=E1909:E$2)))))</f>
        <v> </v>
      </c>
      <c r="J1910" s="25" t="str">
        <f>IF(OR(E1910="",E1910="!!!",F1910="NEW"),"",COUNTBLANK(OFFSET(A$1,,,SUMPRODUCT(MAX(ROW(E$2:E1910)*(E1910=E$2:E1910)))))-COUNTBLANK(OFFSET(A$1,,,SUMPRODUCT(MAX(ROW(E$1:E1909)*(E2=E$1:E1909))))))</f>
        <v> </v>
      </c>
      <c r="K1910" s="25" t="str">
        <f>IF(OR(E1910="",E1910="!!!",F1910="NEW"),"",INDEX(J$1:J1909,SUMPRODUCT(MAX(ROW(E$1:E1909)*(E1910=E$1:E1909)))))</f>
        <v> </v>
      </c>
      <c r="L1910" s="26"/>
    </row>
    <row r="1911" spans="1:12">
      <c r="A1911" s="20" t="s">
        <v>2084</v>
      </c>
      <c r="E1911" s="21">
        <f>IF(D1911="?OLD","!!!","")</f>
        <v/>
      </c>
      <c r="F1911" s="22" t="str">
        <f>IF(OR(E1911="",E1911="!!!"),"",IF(NOT(ISNA(VLOOKUP(E1911,E$1:E1910,1,FALSE()))),"OLD",IF(AND(E1911&lt;&gt;"",E1911&lt;&gt;"!!!"),"NEW","")))</f>
        <v> </v>
      </c>
      <c r="G1911" s="23" t="str">
        <f>IF(OR(E1911="",E1911="!!!"),"",IF(OR(J1911=0,AND(J1911=1,K1911=1),AND(J1911=1,I1911="SBJ"),AND(J1911=1,I1911=0)),"?IN_FOCUS",IF(J1911&lt;=2,"?ACTIVATED",IF(J1911&lt;&gt;"","?FAMILIAR",IF(F1911="NEW",IF(ISNA(VLOOKUP(E1911,#REF!,1,FALSE())),"?TYPE_IDENTIFIABLE","?REFERENTIAL"),"_")))))</f>
        <v> </v>
      </c>
      <c r="H1911" s="24" t="str">
        <f>IF(J1911&lt;&gt;1,"",IF(I1911="SBJ","CB","?"))</f>
        <v> </v>
      </c>
      <c r="I1911" s="25" t="str">
        <f>IF(OR(E1911="",E1911="!!!",F1911="NEW"),"",INDEX(B1910:B$2,-1+SUMPRODUCT(MAX(ROW(E1910:E$2)*(E1911=E1910:E$2)))))</f>
        <v> </v>
      </c>
      <c r="J1911" s="25" t="str">
        <f>IF(OR(E1911="",E1911="!!!",F1911="NEW"),"",COUNTBLANK(OFFSET(A$1,,,SUMPRODUCT(MAX(ROW(E$2:E1911)*(E1911=E$2:E1911)))))-COUNTBLANK(OFFSET(A$1,,,SUMPRODUCT(MAX(ROW(E$1:E1910)*(E2=E$1:E1910))))))</f>
        <v> </v>
      </c>
      <c r="K1911" s="25" t="str">
        <f>IF(OR(E1911="",E1911="!!!",F1911="NEW"),"",INDEX(J$1:J1910,SUMPRODUCT(MAX(ROW(E$1:E1910)*(E1911=E$1:E1910)))))</f>
        <v> </v>
      </c>
      <c r="L1911" s="26"/>
    </row>
    <row r="1912" spans="1:12">
      <c r="A1912" s="20" t="s">
        <v>1130</v>
      </c>
      <c r="E1912" s="21">
        <f>IF(D1912="?OLD","!!!","")</f>
        <v/>
      </c>
      <c r="F1912" s="22" t="str">
        <f>IF(OR(E1912="",E1912="!!!"),"",IF(NOT(ISNA(VLOOKUP(E1912,E$1:E1911,1,FALSE()))),"OLD",IF(AND(E1912&lt;&gt;"",E1912&lt;&gt;"!!!"),"NEW","")))</f>
        <v> </v>
      </c>
      <c r="G1912" s="23" t="str">
        <f>IF(OR(E1912="",E1912="!!!"),"",IF(OR(J1912=0,AND(J1912=1,K1912=1),AND(J1912=1,I1912="SBJ"),AND(J1912=1,I1912=0)),"?IN_FOCUS",IF(J1912&lt;=2,"?ACTIVATED",IF(J1912&lt;&gt;"","?FAMILIAR",IF(F1912="NEW",IF(ISNA(VLOOKUP(E1912,#REF!,1,FALSE())),"?TYPE_IDENTIFIABLE","?REFERENTIAL"),"_")))))</f>
        <v> </v>
      </c>
      <c r="H1912" s="24" t="str">
        <f>IF(J1912&lt;&gt;1,"",IF(I1912="SBJ","CB","?"))</f>
        <v> </v>
      </c>
      <c r="I1912" s="25" t="str">
        <f>IF(OR(E1912="",E1912="!!!",F1912="NEW"),"",INDEX(B1911:B$2,-1+SUMPRODUCT(MAX(ROW(E1911:E$2)*(E1912=E1911:E$2)))))</f>
        <v> </v>
      </c>
      <c r="J1912" s="25" t="str">
        <f>IF(OR(E1912="",E1912="!!!",F1912="NEW"),"",COUNTBLANK(OFFSET(A$1,,,SUMPRODUCT(MAX(ROW(E$2:E1912)*(E1912=E$2:E1912)))))-COUNTBLANK(OFFSET(A$1,,,SUMPRODUCT(MAX(ROW(E$1:E1911)*(E2=E$1:E1911))))))</f>
        <v> </v>
      </c>
      <c r="K1912" s="25" t="str">
        <f>IF(OR(E1912="",E1912="!!!",F1912="NEW"),"",INDEX(J$1:J1911,SUMPRODUCT(MAX(ROW(E$1:E1911)*(E1912=E$1:E1911)))))</f>
        <v> </v>
      </c>
      <c r="L1912" s="26"/>
    </row>
    <row r="1913" spans="1:12">
      <c r="A1913" s="20" t="s">
        <v>2085</v>
      </c>
      <c r="E1913" s="21">
        <f>IF(D1913="?OLD","!!!","")</f>
        <v/>
      </c>
      <c r="F1913" s="22" t="str">
        <f>IF(OR(E1913="",E1913="!!!"),"",IF(NOT(ISNA(VLOOKUP(E1913,E$1:E1912,1,FALSE()))),"OLD",IF(AND(E1913&lt;&gt;"",E1913&lt;&gt;"!!!"),"NEW","")))</f>
        <v> </v>
      </c>
      <c r="G1913" s="23" t="str">
        <f>IF(OR(E1913="",E1913="!!!"),"",IF(OR(J1913=0,AND(J1913=1,K1913=1),AND(J1913=1,I1913="SBJ"),AND(J1913=1,I1913=0)),"?IN_FOCUS",IF(J1913&lt;=2,"?ACTIVATED",IF(J1913&lt;&gt;"","?FAMILIAR",IF(F1913="NEW",IF(ISNA(VLOOKUP(E1913,#REF!,1,FALSE())),"?TYPE_IDENTIFIABLE","?REFERENTIAL"),"_")))))</f>
        <v> </v>
      </c>
      <c r="H1913" s="24" t="str">
        <f>IF(J1913&lt;&gt;1,"",IF(I1913="SBJ","CB","?"))</f>
        <v> </v>
      </c>
      <c r="I1913" s="25" t="str">
        <f>IF(OR(E1913="",E1913="!!!",F1913="NEW"),"",INDEX(B1912:B$2,-1+SUMPRODUCT(MAX(ROW(E1912:E$2)*(E1913=E1912:E$2)))))</f>
        <v> </v>
      </c>
      <c r="J1913" s="25" t="str">
        <f>IF(OR(E1913="",E1913="!!!",F1913="NEW"),"",COUNTBLANK(OFFSET(A$1,,,SUMPRODUCT(MAX(ROW(E$2:E1913)*(E1913=E$2:E1913)))))-COUNTBLANK(OFFSET(A$1,,,SUMPRODUCT(MAX(ROW(E$1:E1912)*(E2=E$1:E1912))))))</f>
        <v> </v>
      </c>
      <c r="K1913" s="25" t="str">
        <f>IF(OR(E1913="",E1913="!!!",F1913="NEW"),"",INDEX(J$1:J1912,SUMPRODUCT(MAX(ROW(E$1:E1912)*(E1913=E$1:E1912)))))</f>
        <v> </v>
      </c>
      <c r="L1913" s="26"/>
    </row>
    <row r="1914" spans="1:12">
      <c r="A1914" s="20" t="s">
        <v>1123</v>
      </c>
      <c r="E1914" s="21">
        <f>IF(D1914="?OLD","!!!","")</f>
        <v/>
      </c>
      <c r="F1914" s="22" t="str">
        <f>IF(OR(E1914="",E1914="!!!"),"",IF(NOT(ISNA(VLOOKUP(E1914,E$1:E1913,1,FALSE()))),"OLD",IF(AND(E1914&lt;&gt;"",E1914&lt;&gt;"!!!"),"NEW","")))</f>
        <v> </v>
      </c>
      <c r="G1914" s="23" t="str">
        <f>IF(OR(E1914="",E1914="!!!"),"",IF(OR(J1914=0,AND(J1914=1,K1914=1),AND(J1914=1,I1914="SBJ"),AND(J1914=1,I1914=0)),"?IN_FOCUS",IF(J1914&lt;=2,"?ACTIVATED",IF(J1914&lt;&gt;"","?FAMILIAR",IF(F1914="NEW",IF(ISNA(VLOOKUP(E1914,#REF!,1,FALSE())),"?TYPE_IDENTIFIABLE","?REFERENTIAL"),"_")))))</f>
        <v> </v>
      </c>
      <c r="H1914" s="24" t="str">
        <f>IF(J1914&lt;&gt;1,"",IF(I1914="SBJ","CB","?"))</f>
        <v> </v>
      </c>
      <c r="I1914" s="25" t="str">
        <f>IF(OR(E1914="",E1914="!!!",F1914="NEW"),"",INDEX(B1913:B$2,-1+SUMPRODUCT(MAX(ROW(E1913:E$2)*(E1914=E1913:E$2)))))</f>
        <v> </v>
      </c>
      <c r="J1914" s="25" t="str">
        <f>IF(OR(E1914="",E1914="!!!",F1914="NEW"),"",COUNTBLANK(OFFSET(A$1,,,SUMPRODUCT(MAX(ROW(E$2:E1914)*(E1914=E$2:E1914)))))-COUNTBLANK(OFFSET(A$1,,,SUMPRODUCT(MAX(ROW(E$1:E1913)*(E2=E$1:E1913))))))</f>
        <v> </v>
      </c>
      <c r="K1914" s="25" t="str">
        <f>IF(OR(E1914="",E1914="!!!",F1914="NEW"),"",INDEX(J$1:J1913,SUMPRODUCT(MAX(ROW(E$1:E1913)*(E1914=E$1:E1913)))))</f>
        <v> </v>
      </c>
      <c r="L1914" s="26"/>
    </row>
    <row r="1915" spans="1:12">
      <c r="A1915" s="20" t="s">
        <v>1992</v>
      </c>
      <c r="B1915" s="27" t="s">
        <v>1993</v>
      </c>
      <c r="C1915" s="27" t="s">
        <v>1133</v>
      </c>
      <c r="E1915" s="21">
        <f>IF(D1915="?OLD","!!!","")</f>
        <v/>
      </c>
      <c r="F1915" s="22" t="str">
        <f>IF(OR(E1915="",E1915="!!!"),"",IF(NOT(ISNA(VLOOKUP(E1915,E$1:E1914,1,FALSE()))),"OLD",IF(AND(E1915&lt;&gt;"",E1915&lt;&gt;"!!!"),"NEW","")))</f>
        <v> </v>
      </c>
      <c r="G1915" s="23" t="str">
        <f>IF(OR(E1915="",E1915="!!!"),"",IF(OR(J1915=0,AND(J1915=1,K1915=1),AND(J1915=1,I1915="SBJ"),AND(J1915=1,I1915=0)),"?IN_FOCUS",IF(J1915&lt;=2,"?ACTIVATED",IF(J1915&lt;&gt;"","?FAMILIAR",IF(F1915="NEW",IF(ISNA(VLOOKUP(E1915,#REF!,1,FALSE())),"?TYPE_IDENTIFIABLE","?REFERENTIAL"),"_")))))</f>
        <v> </v>
      </c>
      <c r="H1915" s="24" t="str">
        <f>IF(J1915&lt;&gt;1,"",IF(I1915="SBJ","CB","?"))</f>
        <v> </v>
      </c>
      <c r="I1915" s="25" t="str">
        <f>IF(OR(E1915="",E1915="!!!",F1915="NEW"),"",INDEX(B1914:B$2,-1+SUMPRODUCT(MAX(ROW(E1914:E$2)*(E1915=E1914:E$2)))))</f>
        <v> </v>
      </c>
      <c r="J1915" s="25" t="str">
        <f>IF(OR(E1915="",E1915="!!!",F1915="NEW"),"",COUNTBLANK(OFFSET(A$1,,,SUMPRODUCT(MAX(ROW(E$2:E1915)*(E1915=E$2:E1915)))))-COUNTBLANK(OFFSET(A$1,,,SUMPRODUCT(MAX(ROW(E$1:E1914)*(E2=E$1:E1914))))))</f>
        <v> </v>
      </c>
      <c r="K1915" s="25" t="str">
        <f>IF(OR(E1915="",E1915="!!!",F1915="NEW"),"",INDEX(J$1:J1914,SUMPRODUCT(MAX(ROW(E$1:E1914)*(E1915=E$1:E1914)))))</f>
        <v> </v>
      </c>
      <c r="L1915" s="26"/>
    </row>
    <row r="1916" spans="1:12">
      <c r="A1916" s="20" t="s">
        <v>2086</v>
      </c>
      <c r="E1916" s="21">
        <f>IF(D1916="?OLD","!!!","")</f>
        <v/>
      </c>
      <c r="F1916" s="22" t="str">
        <f>IF(OR(E1916="",E1916="!!!"),"",IF(NOT(ISNA(VLOOKUP(E1916,E$1:E1915,1,FALSE()))),"OLD",IF(AND(E1916&lt;&gt;"",E1916&lt;&gt;"!!!"),"NEW","")))</f>
        <v> </v>
      </c>
      <c r="G1916" s="23" t="str">
        <f>IF(OR(E1916="",E1916="!!!"),"",IF(OR(J1916=0,AND(J1916=1,K1916=1),AND(J1916=1,I1916="SBJ"),AND(J1916=1,I1916=0)),"?IN_FOCUS",IF(J1916&lt;=2,"?ACTIVATED",IF(J1916&lt;&gt;"","?FAMILIAR",IF(F1916="NEW",IF(ISNA(VLOOKUP(E1916,#REF!,1,FALSE())),"?TYPE_IDENTIFIABLE","?REFERENTIAL"),"_")))))</f>
        <v> </v>
      </c>
      <c r="H1916" s="24" t="str">
        <f>IF(J1916&lt;&gt;1,"",IF(I1916="SBJ","CB","?"))</f>
        <v> </v>
      </c>
      <c r="I1916" s="25" t="str">
        <f>IF(OR(E1916="",E1916="!!!",F1916="NEW"),"",INDEX(B1915:B$2,-1+SUMPRODUCT(MAX(ROW(E1915:E$2)*(E1916=E1915:E$2)))))</f>
        <v> </v>
      </c>
      <c r="J1916" s="25" t="str">
        <f>IF(OR(E1916="",E1916="!!!",F1916="NEW"),"",COUNTBLANK(OFFSET(A$1,,,SUMPRODUCT(MAX(ROW(E$2:E1916)*(E1916=E$2:E1916)))))-COUNTBLANK(OFFSET(A$1,,,SUMPRODUCT(MAX(ROW(E$1:E1915)*(E2=E$1:E1915))))))</f>
        <v> </v>
      </c>
      <c r="K1916" s="25" t="str">
        <f>IF(OR(E1916="",E1916="!!!",F1916="NEW"),"",INDEX(J$1:J1915,SUMPRODUCT(MAX(ROW(E$1:E1915)*(E1916=E$1:E1915)))))</f>
        <v> </v>
      </c>
      <c r="L1916" s="26"/>
    </row>
    <row r="1917" spans="1:12">
      <c r="A1917" s="20" t="s">
        <v>1186</v>
      </c>
      <c r="B1917" s="27" t="s">
        <v>1162</v>
      </c>
      <c r="C1917" s="27" t="s">
        <v>1126</v>
      </c>
      <c r="D1917" s="27" t="s">
        <v>1105</v>
      </c>
      <c r="E1917" s="21">
        <f>IF(D1917="?OLD","!!!","")</f>
        <v/>
      </c>
      <c r="F1917" s="22" t="str">
        <f>IF(OR(E1917="",E1917="!!!"),"",IF(NOT(ISNA(VLOOKUP(E1917,E$1:E1916,1,FALSE()))),"OLD",IF(AND(E1917&lt;&gt;"",E1917&lt;&gt;"!!!"),"NEW","")))</f>
        <v> </v>
      </c>
      <c r="G1917" s="23" t="str">
        <f>IF(OR(E1917="",E1917="!!!"),"",IF(OR(J1917=0,AND(J1917=1,K1917=1),AND(J1917=1,I1917="SBJ"),AND(J1917=1,I1917=0)),"?IN_FOCUS",IF(J1917&lt;=2,"?ACTIVATED",IF(J1917&lt;&gt;"","?FAMILIAR",IF(F1917="NEW",IF(ISNA(VLOOKUP(E1917,#REF!,1,FALSE())),"?TYPE_IDENTIFIABLE","?REFERENTIAL"),"_")))))</f>
        <v> </v>
      </c>
      <c r="H1917" s="24" t="str">
        <f>IF(J1917&lt;&gt;1,"",IF(I1917="SBJ","CB","?"))</f>
        <v> </v>
      </c>
      <c r="I1917" s="25" t="str">
        <f>IF(OR(E1917="",E1917="!!!",F1917="NEW"),"",INDEX(B1916:B$2,-1+SUMPRODUCT(MAX(ROW(E1916:E$2)*(E1917=E1916:E$2)))))</f>
        <v> </v>
      </c>
      <c r="J1917" s="25" t="str">
        <f>IF(OR(E1917="",E1917="!!!",F1917="NEW"),"",COUNTBLANK(OFFSET(A$1,,,SUMPRODUCT(MAX(ROW(E$2:E1917)*(E1917=E$2:E1917)))))-COUNTBLANK(OFFSET(A$1,,,SUMPRODUCT(MAX(ROW(E$1:E1916)*(E2=E$1:E1916))))))</f>
        <v> </v>
      </c>
      <c r="K1917" s="25" t="str">
        <f>IF(OR(E1917="",E1917="!!!",F1917="NEW"),"",INDEX(J$1:J1916,SUMPRODUCT(MAX(ROW(E$1:E1916)*(E1917=E$1:E1916)))))</f>
        <v> </v>
      </c>
      <c r="L1917" s="26"/>
    </row>
    <row r="1918" spans="1:12">
      <c r="A1918" s="20" t="s">
        <v>1145</v>
      </c>
      <c r="E1918" s="21">
        <f>IF(D1918="?OLD","!!!","")</f>
        <v/>
      </c>
      <c r="F1918" s="22" t="str">
        <f>IF(OR(E1918="",E1918="!!!"),"",IF(NOT(ISNA(VLOOKUP(E1918,E$1:E1917,1,FALSE()))),"OLD",IF(AND(E1918&lt;&gt;"",E1918&lt;&gt;"!!!"),"NEW","")))</f>
        <v> </v>
      </c>
      <c r="G1918" s="23" t="str">
        <f>IF(OR(E1918="",E1918="!!!"),"",IF(OR(J1918=0,AND(J1918=1,K1918=1),AND(J1918=1,I1918="SBJ"),AND(J1918=1,I1918=0)),"?IN_FOCUS",IF(J1918&lt;=2,"?ACTIVATED",IF(J1918&lt;&gt;"","?FAMILIAR",IF(F1918="NEW",IF(ISNA(VLOOKUP(E1918,#REF!,1,FALSE())),"?TYPE_IDENTIFIABLE","?REFERENTIAL"),"_")))))</f>
        <v> </v>
      </c>
      <c r="H1918" s="24" t="str">
        <f>IF(J1918&lt;&gt;1,"",IF(I1918="SBJ","CB","?"))</f>
        <v> </v>
      </c>
      <c r="I1918" s="25" t="str">
        <f>IF(OR(E1918="",E1918="!!!",F1918="NEW"),"",INDEX(B1917:B$2,-1+SUMPRODUCT(MAX(ROW(E1917:E$2)*(E1918=E1917:E$2)))))</f>
        <v> </v>
      </c>
      <c r="J1918" s="25" t="str">
        <f>IF(OR(E1918="",E1918="!!!",F1918="NEW"),"",COUNTBLANK(OFFSET(A$1,,,SUMPRODUCT(MAX(ROW(E$2:E1918)*(E1918=E$2:E1918)))))-COUNTBLANK(OFFSET(A$1,,,SUMPRODUCT(MAX(ROW(E$1:E1917)*(E2=E$1:E1917))))))</f>
        <v> </v>
      </c>
      <c r="K1918" s="25" t="str">
        <f>IF(OR(E1918="",E1918="!!!",F1918="NEW"),"",INDEX(J$1:J1917,SUMPRODUCT(MAX(ROW(E$1:E1917)*(E1918=E$1:E1917)))))</f>
        <v> </v>
      </c>
      <c r="L1918" s="26"/>
    </row>
    <row r="1919" spans="1:12">
      <c r="A1919" s="20"/>
    </row>
    <row r="1920" spans="1:12">
      <c r="A1920" s="20" t="s">
        <v>2087</v>
      </c>
    </row>
    <row r="1921" spans="1:12">
      <c r="A1921" s="20" t="s">
        <v>1547</v>
      </c>
      <c r="E1921" s="21">
        <f>IF(D1921="?OLD","!!!","")</f>
        <v/>
      </c>
      <c r="F1921" s="22" t="str">
        <f>IF(OR(E1921="",E1921="!!!"),"",IF(NOT(ISNA(VLOOKUP(E1921,E$1:E1920,1,FALSE()))),"OLD",IF(AND(E1921&lt;&gt;"",E1921&lt;&gt;"!!!"),"NEW","")))</f>
        <v> </v>
      </c>
      <c r="G1921" s="23" t="str">
        <f>IF(OR(E1921="",E1921="!!!"),"",IF(OR(J1921=0,AND(J1921=1,K1921=1),AND(J1921=1,I1921="SBJ"),AND(J1921=1,I1921=0)),"?IN_FOCUS",IF(J1921&lt;=2,"?ACTIVATED",IF(J1921&lt;&gt;"","?FAMILIAR",IF(F1921="NEW",IF(ISNA(VLOOKUP(E1921,#REF!,1,FALSE())),"?TYPE_IDENTIFIABLE","?REFERENTIAL"),"_")))))</f>
        <v> </v>
      </c>
      <c r="H1921" s="24" t="str">
        <f>IF(J1921&lt;&gt;1,"",IF(I1921="SBJ","CB","?"))</f>
        <v> </v>
      </c>
      <c r="I1921" s="25" t="str">
        <f>IF(OR(E1921="",E1921="!!!",F1921="NEW"),"",INDEX(B1920:B$2,-1+SUMPRODUCT(MAX(ROW(E1920:E$2)*(E1921=E1920:E$2)))))</f>
        <v> </v>
      </c>
      <c r="J1921" s="25" t="str">
        <f>IF(OR(E1921="",E1921="!!!",F1921="NEW"),"",COUNTBLANK(OFFSET(A$1,,,SUMPRODUCT(MAX(ROW(E$2:E1921)*(E1921=E$2:E1921)))))-COUNTBLANK(OFFSET(A$1,,,SUMPRODUCT(MAX(ROW(E$1:E1920)*(E2=E$1:E1920))))))</f>
        <v> </v>
      </c>
      <c r="K1921" s="25" t="str">
        <f>IF(OR(E1921="",E1921="!!!",F1921="NEW"),"",INDEX(J$1:J1920,SUMPRODUCT(MAX(ROW(E$1:E1920)*(E1921=E$1:E1920)))))</f>
        <v> </v>
      </c>
      <c r="L1921" s="26"/>
    </row>
    <row r="1922" spans="1:12">
      <c r="A1922" s="20" t="s">
        <v>2088</v>
      </c>
      <c r="B1922" s="27" t="s">
        <v>1149</v>
      </c>
      <c r="E1922" s="21">
        <f>IF(D1922="?OLD","!!!","")</f>
        <v/>
      </c>
      <c r="F1922" s="22" t="str">
        <f>IF(OR(E1922="",E1922="!!!"),"",IF(NOT(ISNA(VLOOKUP(E1922,E$1:E1921,1,FALSE()))),"OLD",IF(AND(E1922&lt;&gt;"",E1922&lt;&gt;"!!!"),"NEW","")))</f>
        <v> </v>
      </c>
      <c r="G1922" s="23" t="str">
        <f>IF(OR(E1922="",E1922="!!!"),"",IF(OR(J1922=0,AND(J1922=1,K1922=1),AND(J1922=1,I1922="SBJ"),AND(J1922=1,I1922=0)),"?IN_FOCUS",IF(J1922&lt;=2,"?ACTIVATED",IF(J1922&lt;&gt;"","?FAMILIAR",IF(F1922="NEW",IF(ISNA(VLOOKUP(E1922,#REF!,1,FALSE())),"?TYPE_IDENTIFIABLE","?REFERENTIAL"),"_")))))</f>
        <v> </v>
      </c>
      <c r="H1922" s="24" t="str">
        <f>IF(J1922&lt;&gt;1,"",IF(I1922="SBJ","CB","?"))</f>
        <v> </v>
      </c>
      <c r="I1922" s="25" t="str">
        <f>IF(OR(E1922="",E1922="!!!",F1922="NEW"),"",INDEX(B1921:B$2,-1+SUMPRODUCT(MAX(ROW(E1921:E$2)*(E1922=E1921:E$2)))))</f>
        <v> </v>
      </c>
      <c r="J1922" s="25" t="str">
        <f>IF(OR(E1922="",E1922="!!!",F1922="NEW"),"",COUNTBLANK(OFFSET(A$1,,,SUMPRODUCT(MAX(ROW(E$2:E1922)*(E1922=E$2:E1922)))))-COUNTBLANK(OFFSET(A$1,,,SUMPRODUCT(MAX(ROW(E$1:E1921)*(E2=E$1:E1921))))))</f>
        <v> </v>
      </c>
      <c r="K1922" s="25" t="str">
        <f>IF(OR(E1922="",E1922="!!!",F1922="NEW"),"",INDEX(J$1:J1921,SUMPRODUCT(MAX(ROW(E$1:E1921)*(E1922=E$1:E1921)))))</f>
        <v> </v>
      </c>
      <c r="L1922" s="26"/>
    </row>
    <row r="1923" spans="1:12">
      <c r="A1923" s="20" t="s">
        <v>2089</v>
      </c>
      <c r="E1923" s="21">
        <f>IF(D1923="?OLD","!!!","")</f>
        <v/>
      </c>
      <c r="F1923" s="22" t="str">
        <f>IF(OR(E1923="",E1923="!!!"),"",IF(NOT(ISNA(VLOOKUP(E1923,E$1:E1922,1,FALSE()))),"OLD",IF(AND(E1923&lt;&gt;"",E1923&lt;&gt;"!!!"),"NEW","")))</f>
        <v> </v>
      </c>
      <c r="G1923" s="23" t="str">
        <f>IF(OR(E1923="",E1923="!!!"),"",IF(OR(J1923=0,AND(J1923=1,K1923=1),AND(J1923=1,I1923="SBJ"),AND(J1923=1,I1923=0)),"?IN_FOCUS",IF(J1923&lt;=2,"?ACTIVATED",IF(J1923&lt;&gt;"","?FAMILIAR",IF(F1923="NEW",IF(ISNA(VLOOKUP(E1923,#REF!,1,FALSE())),"?TYPE_IDENTIFIABLE","?REFERENTIAL"),"_")))))</f>
        <v> </v>
      </c>
      <c r="H1923" s="24" t="str">
        <f>IF(J1923&lt;&gt;1,"",IF(I1923="SBJ","CB","?"))</f>
        <v> </v>
      </c>
      <c r="I1923" s="25" t="str">
        <f>IF(OR(E1923="",E1923="!!!",F1923="NEW"),"",INDEX(B1922:B$2,-1+SUMPRODUCT(MAX(ROW(E1922:E$2)*(E1923=E1922:E$2)))))</f>
        <v> </v>
      </c>
      <c r="J1923" s="25" t="str">
        <f>IF(OR(E1923="",E1923="!!!",F1923="NEW"),"",COUNTBLANK(OFFSET(A$1,,,SUMPRODUCT(MAX(ROW(E$2:E1923)*(E1923=E$2:E1923)))))-COUNTBLANK(OFFSET(A$1,,,SUMPRODUCT(MAX(ROW(E$1:E1922)*(E2=E$1:E1922))))))</f>
        <v> </v>
      </c>
      <c r="K1923" s="25" t="str">
        <f>IF(OR(E1923="",E1923="!!!",F1923="NEW"),"",INDEX(J$1:J1922,SUMPRODUCT(MAX(ROW(E$1:E1922)*(E1923=E$1:E1922)))))</f>
        <v> </v>
      </c>
      <c r="L1923" s="26"/>
    </row>
    <row r="1924" spans="1:12">
      <c r="A1924" s="20" t="s">
        <v>1195</v>
      </c>
      <c r="E1924" s="21">
        <f>IF(D1924="?OLD","!!!","")</f>
        <v/>
      </c>
      <c r="F1924" s="22" t="str">
        <f>IF(OR(E1924="",E1924="!!!"),"",IF(NOT(ISNA(VLOOKUP(E1924,E$1:E1923,1,FALSE()))),"OLD",IF(AND(E1924&lt;&gt;"",E1924&lt;&gt;"!!!"),"NEW","")))</f>
        <v> </v>
      </c>
      <c r="G1924" s="23" t="str">
        <f>IF(OR(E1924="",E1924="!!!"),"",IF(OR(J1924=0,AND(J1924=1,K1924=1),AND(J1924=1,I1924="SBJ"),AND(J1924=1,I1924=0)),"?IN_FOCUS",IF(J1924&lt;=2,"?ACTIVATED",IF(J1924&lt;&gt;"","?FAMILIAR",IF(F1924="NEW",IF(ISNA(VLOOKUP(E1924,#REF!,1,FALSE())),"?TYPE_IDENTIFIABLE","?REFERENTIAL"),"_")))))</f>
        <v> </v>
      </c>
      <c r="H1924" s="24" t="str">
        <f>IF(J1924&lt;&gt;1,"",IF(I1924="SBJ","CB","?"))</f>
        <v> </v>
      </c>
      <c r="I1924" s="25" t="str">
        <f>IF(OR(E1924="",E1924="!!!",F1924="NEW"),"",INDEX(B1923:B$2,-1+SUMPRODUCT(MAX(ROW(E1923:E$2)*(E1924=E1923:E$2)))))</f>
        <v> </v>
      </c>
      <c r="J1924" s="25" t="str">
        <f>IF(OR(E1924="",E1924="!!!",F1924="NEW"),"",COUNTBLANK(OFFSET(A$1,,,SUMPRODUCT(MAX(ROW(E$2:E1924)*(E1924=E$2:E1924)))))-COUNTBLANK(OFFSET(A$1,,,SUMPRODUCT(MAX(ROW(E$1:E1923)*(E2=E$1:E1923))))))</f>
        <v> </v>
      </c>
      <c r="K1924" s="25" t="str">
        <f>IF(OR(E1924="",E1924="!!!",F1924="NEW"),"",INDEX(J$1:J1923,SUMPRODUCT(MAX(ROW(E$1:E1923)*(E1924=E$1:E1923)))))</f>
        <v> </v>
      </c>
      <c r="L1924" s="26"/>
    </row>
    <row r="1925" spans="1:12">
      <c r="A1925" s="20" t="s">
        <v>2090</v>
      </c>
      <c r="E1925" s="21">
        <f>IF(D1925="?OLD","!!!","")</f>
        <v/>
      </c>
      <c r="F1925" s="22" t="str">
        <f>IF(OR(E1925="",E1925="!!!"),"",IF(NOT(ISNA(VLOOKUP(E1925,E$1:E1924,1,FALSE()))),"OLD",IF(AND(E1925&lt;&gt;"",E1925&lt;&gt;"!!!"),"NEW","")))</f>
        <v> </v>
      </c>
      <c r="G1925" s="23" t="str">
        <f>IF(OR(E1925="",E1925="!!!"),"",IF(OR(J1925=0,AND(J1925=1,K1925=1),AND(J1925=1,I1925="SBJ"),AND(J1925=1,I1925=0)),"?IN_FOCUS",IF(J1925&lt;=2,"?ACTIVATED",IF(J1925&lt;&gt;"","?FAMILIAR",IF(F1925="NEW",IF(ISNA(VLOOKUP(E1925,#REF!,1,FALSE())),"?TYPE_IDENTIFIABLE","?REFERENTIAL"),"_")))))</f>
        <v> </v>
      </c>
      <c r="H1925" s="24" t="str">
        <f>IF(J1925&lt;&gt;1,"",IF(I1925="SBJ","CB","?"))</f>
        <v> </v>
      </c>
      <c r="I1925" s="25" t="str">
        <f>IF(OR(E1925="",E1925="!!!",F1925="NEW"),"",INDEX(B1924:B$2,-1+SUMPRODUCT(MAX(ROW(E1924:E$2)*(E1925=E1924:E$2)))))</f>
        <v> </v>
      </c>
      <c r="J1925" s="25" t="str">
        <f>IF(OR(E1925="",E1925="!!!",F1925="NEW"),"",COUNTBLANK(OFFSET(A$1,,,SUMPRODUCT(MAX(ROW(E$2:E1925)*(E1925=E$2:E1925)))))-COUNTBLANK(OFFSET(A$1,,,SUMPRODUCT(MAX(ROW(E$1:E1924)*(E2=E$1:E1924))))))</f>
        <v> </v>
      </c>
      <c r="K1925" s="25" t="str">
        <f>IF(OR(E1925="",E1925="!!!",F1925="NEW"),"",INDEX(J$1:J1924,SUMPRODUCT(MAX(ROW(E$1:E1924)*(E1925=E$1:E1924)))))</f>
        <v> </v>
      </c>
      <c r="L1925" s="26"/>
    </row>
    <row r="1926" spans="1:12">
      <c r="A1926" s="20" t="s">
        <v>2008</v>
      </c>
      <c r="E1926" s="21">
        <f>IF(D1926="?OLD","!!!","")</f>
        <v/>
      </c>
      <c r="F1926" s="22" t="str">
        <f>IF(OR(E1926="",E1926="!!!"),"",IF(NOT(ISNA(VLOOKUP(E1926,E$1:E1925,1,FALSE()))),"OLD",IF(AND(E1926&lt;&gt;"",E1926&lt;&gt;"!!!"),"NEW","")))</f>
        <v> </v>
      </c>
      <c r="G1926" s="23" t="str">
        <f>IF(OR(E1926="",E1926="!!!"),"",IF(OR(J1926=0,AND(J1926=1,K1926=1),AND(J1926=1,I1926="SBJ"),AND(J1926=1,I1926=0)),"?IN_FOCUS",IF(J1926&lt;=2,"?ACTIVATED",IF(J1926&lt;&gt;"","?FAMILIAR",IF(F1926="NEW",IF(ISNA(VLOOKUP(E1926,#REF!,1,FALSE())),"?TYPE_IDENTIFIABLE","?REFERENTIAL"),"_")))))</f>
        <v> </v>
      </c>
      <c r="H1926" s="24" t="str">
        <f>IF(J1926&lt;&gt;1,"",IF(I1926="SBJ","CB","?"))</f>
        <v> </v>
      </c>
      <c r="I1926" s="25" t="str">
        <f>IF(OR(E1926="",E1926="!!!",F1926="NEW"),"",INDEX(B1925:B$2,-1+SUMPRODUCT(MAX(ROW(E1925:E$2)*(E1926=E1925:E$2)))))</f>
        <v> </v>
      </c>
      <c r="J1926" s="25" t="str">
        <f>IF(OR(E1926="",E1926="!!!",F1926="NEW"),"",COUNTBLANK(OFFSET(A$1,,,SUMPRODUCT(MAX(ROW(E$2:E1926)*(E1926=E$2:E1926)))))-COUNTBLANK(OFFSET(A$1,,,SUMPRODUCT(MAX(ROW(E$1:E1925)*(E2=E$1:E1925))))))</f>
        <v> </v>
      </c>
      <c r="K1926" s="25" t="str">
        <f>IF(OR(E1926="",E1926="!!!",F1926="NEW"),"",INDEX(J$1:J1925,SUMPRODUCT(MAX(ROW(E$1:E1925)*(E1926=E$1:E1925)))))</f>
        <v> </v>
      </c>
      <c r="L1926" s="26"/>
    </row>
    <row r="1927" spans="1:12">
      <c r="A1927" s="20" t="s">
        <v>2091</v>
      </c>
      <c r="E1927" s="21">
        <f>IF(D1927="?OLD","!!!","")</f>
        <v/>
      </c>
      <c r="F1927" s="22" t="str">
        <f>IF(OR(E1927="",E1927="!!!"),"",IF(NOT(ISNA(VLOOKUP(E1927,E$1:E1926,1,FALSE()))),"OLD",IF(AND(E1927&lt;&gt;"",E1927&lt;&gt;"!!!"),"NEW","")))</f>
        <v> </v>
      </c>
      <c r="G1927" s="23" t="str">
        <f>IF(OR(E1927="",E1927="!!!"),"",IF(OR(J1927=0,AND(J1927=1,K1927=1),AND(J1927=1,I1927="SBJ"),AND(J1927=1,I1927=0)),"?IN_FOCUS",IF(J1927&lt;=2,"?ACTIVATED",IF(J1927&lt;&gt;"","?FAMILIAR",IF(F1927="NEW",IF(ISNA(VLOOKUP(E1927,#REF!,1,FALSE())),"?TYPE_IDENTIFIABLE","?REFERENTIAL"),"_")))))</f>
        <v> </v>
      </c>
      <c r="H1927" s="24" t="str">
        <f>IF(J1927&lt;&gt;1,"",IF(I1927="SBJ","CB","?"))</f>
        <v> </v>
      </c>
      <c r="I1927" s="25" t="str">
        <f>IF(OR(E1927="",E1927="!!!",F1927="NEW"),"",INDEX(B1926:B$2,-1+SUMPRODUCT(MAX(ROW(E1926:E$2)*(E1927=E1926:E$2)))))</f>
        <v> </v>
      </c>
      <c r="J1927" s="25" t="str">
        <f>IF(OR(E1927="",E1927="!!!",F1927="NEW"),"",COUNTBLANK(OFFSET(A$1,,,SUMPRODUCT(MAX(ROW(E$2:E1927)*(E1927=E$2:E1927)))))-COUNTBLANK(OFFSET(A$1,,,SUMPRODUCT(MAX(ROW(E$1:E1926)*(E2=E$1:E1926))))))</f>
        <v> </v>
      </c>
      <c r="K1927" s="25" t="str">
        <f>IF(OR(E1927="",E1927="!!!",F1927="NEW"),"",INDEX(J$1:J1926,SUMPRODUCT(MAX(ROW(E$1:E1926)*(E1927=E$1:E1926)))))</f>
        <v> </v>
      </c>
      <c r="L1927" s="26"/>
    </row>
    <row r="1928" spans="1:12">
      <c r="A1928" s="20" t="s">
        <v>1206</v>
      </c>
      <c r="E1928" s="21">
        <f>IF(D1928="?OLD","!!!","")</f>
        <v/>
      </c>
      <c r="F1928" s="22" t="str">
        <f>IF(OR(E1928="",E1928="!!!"),"",IF(NOT(ISNA(VLOOKUP(E1928,E$1:E1927,1,FALSE()))),"OLD",IF(AND(E1928&lt;&gt;"",E1928&lt;&gt;"!!!"),"NEW","")))</f>
        <v> </v>
      </c>
      <c r="G1928" s="23" t="str">
        <f>IF(OR(E1928="",E1928="!!!"),"",IF(OR(J1928=0,AND(J1928=1,K1928=1),AND(J1928=1,I1928="SBJ"),AND(J1928=1,I1928=0)),"?IN_FOCUS",IF(J1928&lt;=2,"?ACTIVATED",IF(J1928&lt;&gt;"","?FAMILIAR",IF(F1928="NEW",IF(ISNA(VLOOKUP(E1928,#REF!,1,FALSE())),"?TYPE_IDENTIFIABLE","?REFERENTIAL"),"_")))))</f>
        <v> </v>
      </c>
      <c r="H1928" s="24" t="str">
        <f>IF(J1928&lt;&gt;1,"",IF(I1928="SBJ","CB","?"))</f>
        <v> </v>
      </c>
      <c r="I1928" s="25" t="str">
        <f>IF(OR(E1928="",E1928="!!!",F1928="NEW"),"",INDEX(B1927:B$2,-1+SUMPRODUCT(MAX(ROW(E1927:E$2)*(E1928=E1927:E$2)))))</f>
        <v> </v>
      </c>
      <c r="J1928" s="25" t="str">
        <f>IF(OR(E1928="",E1928="!!!",F1928="NEW"),"",COUNTBLANK(OFFSET(A$1,,,SUMPRODUCT(MAX(ROW(E$2:E1928)*(E1928=E$2:E1928)))))-COUNTBLANK(OFFSET(A$1,,,SUMPRODUCT(MAX(ROW(E$1:E1927)*(E2=E$1:E1927))))))</f>
        <v> </v>
      </c>
      <c r="K1928" s="25" t="str">
        <f>IF(OR(E1928="",E1928="!!!",F1928="NEW"),"",INDEX(J$1:J1927,SUMPRODUCT(MAX(ROW(E$1:E1927)*(E1928=E$1:E1927)))))</f>
        <v> </v>
      </c>
      <c r="L1928" s="26"/>
    </row>
    <row r="1929" spans="1:12">
      <c r="A1929" s="20" t="s">
        <v>2092</v>
      </c>
      <c r="B1929" s="27" t="s">
        <v>1107</v>
      </c>
      <c r="C1929" s="27" t="s">
        <v>1142</v>
      </c>
      <c r="D1929" s="27" t="s">
        <v>1105</v>
      </c>
      <c r="E1929" s="21">
        <f>IF(D1929="?OLD","!!!","")</f>
        <v/>
      </c>
      <c r="F1929" s="22" t="str">
        <f>IF(OR(E1929="",E1929="!!!"),"",IF(NOT(ISNA(VLOOKUP(E1929,E$1:E1928,1,FALSE()))),"OLD",IF(AND(E1929&lt;&gt;"",E1929&lt;&gt;"!!!"),"NEW","")))</f>
        <v> </v>
      </c>
      <c r="G1929" s="23" t="str">
        <f>IF(OR(E1929="",E1929="!!!"),"",IF(OR(J1929=0,AND(J1929=1,K1929=1),AND(J1929=1,I1929="SBJ"),AND(J1929=1,I1929=0)),"?IN_FOCUS",IF(J1929&lt;=2,"?ACTIVATED",IF(J1929&lt;&gt;"","?FAMILIAR",IF(F1929="NEW",IF(ISNA(VLOOKUP(E1929,#REF!,1,FALSE())),"?TYPE_IDENTIFIABLE","?REFERENTIAL"),"_")))))</f>
        <v> </v>
      </c>
      <c r="H1929" s="24" t="str">
        <f>IF(J1929&lt;&gt;1,"",IF(I1929="SBJ","CB","?"))</f>
        <v> </v>
      </c>
      <c r="I1929" s="25" t="str">
        <f>IF(OR(E1929="",E1929="!!!",F1929="NEW"),"",INDEX(B1928:B$2,-1+SUMPRODUCT(MAX(ROW(E1928:E$2)*(E1929=E1928:E$2)))))</f>
        <v> </v>
      </c>
      <c r="J1929" s="25" t="str">
        <f>IF(OR(E1929="",E1929="!!!",F1929="NEW"),"",COUNTBLANK(OFFSET(A$1,,,SUMPRODUCT(MAX(ROW(E$2:E1929)*(E1929=E$2:E1929)))))-COUNTBLANK(OFFSET(A$1,,,SUMPRODUCT(MAX(ROW(E$1:E1928)*(E2=E$1:E1928))))))</f>
        <v> </v>
      </c>
      <c r="K1929" s="25" t="str">
        <f>IF(OR(E1929="",E1929="!!!",F1929="NEW"),"",INDEX(J$1:J1928,SUMPRODUCT(MAX(ROW(E$1:E1928)*(E1929=E$1:E1928)))))</f>
        <v> </v>
      </c>
      <c r="L1929" s="26"/>
    </row>
    <row r="1930" spans="1:12">
      <c r="A1930" s="20" t="s">
        <v>2093</v>
      </c>
      <c r="B1930" s="27" t="s">
        <v>1213</v>
      </c>
      <c r="C1930" s="27" t="s">
        <v>1210</v>
      </c>
      <c r="E1930" s="21">
        <f>IF(D1930="?OLD","!!!","")</f>
        <v/>
      </c>
      <c r="F1930" s="22" t="str">
        <f>IF(OR(E1930="",E1930="!!!"),"",IF(NOT(ISNA(VLOOKUP(E1930,E$1:E1929,1,FALSE()))),"OLD",IF(AND(E1930&lt;&gt;"",E1930&lt;&gt;"!!!"),"NEW","")))</f>
        <v> </v>
      </c>
      <c r="G1930" s="23" t="str">
        <f>IF(OR(E1930="",E1930="!!!"),"",IF(OR(J1930=0,AND(J1930=1,K1930=1),AND(J1930=1,I1930="SBJ"),AND(J1930=1,I1930=0)),"?IN_FOCUS",IF(J1930&lt;=2,"?ACTIVATED",IF(J1930&lt;&gt;"","?FAMILIAR",IF(F1930="NEW",IF(ISNA(VLOOKUP(E1930,#REF!,1,FALSE())),"?TYPE_IDENTIFIABLE","?REFERENTIAL"),"_")))))</f>
        <v> </v>
      </c>
      <c r="H1930" s="24" t="str">
        <f>IF(J1930&lt;&gt;1,"",IF(I1930="SBJ","CB","?"))</f>
        <v> </v>
      </c>
      <c r="I1930" s="25" t="str">
        <f>IF(OR(E1930="",E1930="!!!",F1930="NEW"),"",INDEX(B1929:B$2,-1+SUMPRODUCT(MAX(ROW(E1929:E$2)*(E1930=E1929:E$2)))))</f>
        <v> </v>
      </c>
      <c r="J1930" s="25" t="str">
        <f>IF(OR(E1930="",E1930="!!!",F1930="NEW"),"",COUNTBLANK(OFFSET(A$1,,,SUMPRODUCT(MAX(ROW(E$2:E1930)*(E1930=E$2:E1930)))))-COUNTBLANK(OFFSET(A$1,,,SUMPRODUCT(MAX(ROW(E$1:E1929)*(E2=E$1:E1929))))))</f>
        <v> </v>
      </c>
      <c r="K1930" s="25" t="str">
        <f>IF(OR(E1930="",E1930="!!!",F1930="NEW"),"",INDEX(J$1:J1929,SUMPRODUCT(MAX(ROW(E$1:E1929)*(E1930=E$1:E1929)))))</f>
        <v> </v>
      </c>
      <c r="L1930" s="26"/>
    </row>
    <row r="1931" spans="1:12">
      <c r="A1931" s="20" t="s">
        <v>1145</v>
      </c>
      <c r="E1931" s="21">
        <f>IF(D1931="?OLD","!!!","")</f>
        <v/>
      </c>
      <c r="F1931" s="22" t="str">
        <f>IF(OR(E1931="",E1931="!!!"),"",IF(NOT(ISNA(VLOOKUP(E1931,E$1:E1930,1,FALSE()))),"OLD",IF(AND(E1931&lt;&gt;"",E1931&lt;&gt;"!!!"),"NEW","")))</f>
        <v> </v>
      </c>
      <c r="G1931" s="23" t="str">
        <f>IF(OR(E1931="",E1931="!!!"),"",IF(OR(J1931=0,AND(J1931=1,K1931=1),AND(J1931=1,I1931="SBJ"),AND(J1931=1,I1931=0)),"?IN_FOCUS",IF(J1931&lt;=2,"?ACTIVATED",IF(J1931&lt;&gt;"","?FAMILIAR",IF(F1931="NEW",IF(ISNA(VLOOKUP(E1931,#REF!,1,FALSE())),"?TYPE_IDENTIFIABLE","?REFERENTIAL"),"_")))))</f>
        <v> </v>
      </c>
      <c r="H1931" s="24" t="str">
        <f>IF(J1931&lt;&gt;1,"",IF(I1931="SBJ","CB","?"))</f>
        <v> </v>
      </c>
      <c r="I1931" s="25" t="str">
        <f>IF(OR(E1931="",E1931="!!!",F1931="NEW"),"",INDEX(B1930:B$2,-1+SUMPRODUCT(MAX(ROW(E1930:E$2)*(E1931=E1930:E$2)))))</f>
        <v> </v>
      </c>
      <c r="J1931" s="25" t="str">
        <f>IF(OR(E1931="",E1931="!!!",F1931="NEW"),"",COUNTBLANK(OFFSET(A$1,,,SUMPRODUCT(MAX(ROW(E$2:E1931)*(E1931=E$2:E1931)))))-COUNTBLANK(OFFSET(A$1,,,SUMPRODUCT(MAX(ROW(E$1:E1930)*(E2=E$1:E1930))))))</f>
        <v> </v>
      </c>
      <c r="K1931" s="25" t="str">
        <f>IF(OR(E1931="",E1931="!!!",F1931="NEW"),"",INDEX(J$1:J1930,SUMPRODUCT(MAX(ROW(E$1:E1930)*(E1931=E$1:E1930)))))</f>
        <v> </v>
      </c>
      <c r="L1931" s="26"/>
    </row>
    <row r="1932" spans="1:12">
      <c r="A1932" s="20"/>
    </row>
    <row r="1933" spans="1:12">
      <c r="A1933" s="20" t="s">
        <v>2094</v>
      </c>
    </row>
    <row r="1934" spans="1:12">
      <c r="A1934" s="20" t="s">
        <v>2095</v>
      </c>
      <c r="B1934" s="27" t="s">
        <v>1149</v>
      </c>
      <c r="C1934" s="27" t="s">
        <v>1133</v>
      </c>
      <c r="E1934" s="21">
        <f>IF(D1934="?OLD","!!!","")</f>
        <v/>
      </c>
      <c r="F1934" s="22" t="str">
        <f>IF(OR(E1934="",E1934="!!!"),"",IF(NOT(ISNA(VLOOKUP(E1934,E$1:E1933,1,FALSE()))),"OLD",IF(AND(E1934&lt;&gt;"",E1934&lt;&gt;"!!!"),"NEW","")))</f>
        <v> </v>
      </c>
      <c r="G1934" s="23" t="str">
        <f>IF(OR(E1934="",E1934="!!!"),"",IF(OR(J1934=0,AND(J1934=1,K1934=1),AND(J1934=1,I1934="SBJ"),AND(J1934=1,I1934=0)),"?IN_FOCUS",IF(J1934&lt;=2,"?ACTIVATED",IF(J1934&lt;&gt;"","?FAMILIAR",IF(F1934="NEW",IF(ISNA(VLOOKUP(E1934,#REF!,1,FALSE())),"?TYPE_IDENTIFIABLE","?REFERENTIAL"),"_")))))</f>
        <v> </v>
      </c>
      <c r="H1934" s="24" t="str">
        <f>IF(J1934&lt;&gt;1,"",IF(I1934="SBJ","CB","?"))</f>
        <v> </v>
      </c>
      <c r="I1934" s="25" t="str">
        <f>IF(OR(E1934="",E1934="!!!",F1934="NEW"),"",INDEX(B1933:B$2,-1+SUMPRODUCT(MAX(ROW(E1933:E$2)*(E1934=E1933:E$2)))))</f>
        <v> </v>
      </c>
      <c r="J1934" s="25" t="str">
        <f>IF(OR(E1934="",E1934="!!!",F1934="NEW"),"",COUNTBLANK(OFFSET(A$1,,,SUMPRODUCT(MAX(ROW(E$2:E1934)*(E1934=E$2:E1934)))))-COUNTBLANK(OFFSET(A$1,,,SUMPRODUCT(MAX(ROW(E$1:E1933)*(E2=E$1:E1933))))))</f>
        <v> </v>
      </c>
      <c r="K1934" s="25" t="str">
        <f>IF(OR(E1934="",E1934="!!!",F1934="NEW"),"",INDEX(J$1:J1933,SUMPRODUCT(MAX(ROW(E$1:E1933)*(E1934=E$1:E1933)))))</f>
        <v> </v>
      </c>
      <c r="L1934" s="26"/>
    </row>
    <row r="1935" spans="1:12">
      <c r="A1935" s="20" t="s">
        <v>2096</v>
      </c>
      <c r="E1935" s="21">
        <f>IF(D1935="?OLD","!!!","")</f>
        <v/>
      </c>
      <c r="F1935" s="22" t="str">
        <f>IF(OR(E1935="",E1935="!!!"),"",IF(NOT(ISNA(VLOOKUP(E1935,E$1:E1934,1,FALSE()))),"OLD",IF(AND(E1935&lt;&gt;"",E1935&lt;&gt;"!!!"),"NEW","")))</f>
        <v> </v>
      </c>
      <c r="G1935" s="23" t="str">
        <f>IF(OR(E1935="",E1935="!!!"),"",IF(OR(J1935=0,AND(J1935=1,K1935=1),AND(J1935=1,I1935="SBJ"),AND(J1935=1,I1935=0)),"?IN_FOCUS",IF(J1935&lt;=2,"?ACTIVATED",IF(J1935&lt;&gt;"","?FAMILIAR",IF(F1935="NEW",IF(ISNA(VLOOKUP(E1935,#REF!,1,FALSE())),"?TYPE_IDENTIFIABLE","?REFERENTIAL"),"_")))))</f>
        <v> </v>
      </c>
      <c r="H1935" s="24" t="str">
        <f>IF(J1935&lt;&gt;1,"",IF(I1935="SBJ","CB","?"))</f>
        <v> </v>
      </c>
      <c r="I1935" s="25" t="str">
        <f>IF(OR(E1935="",E1935="!!!",F1935="NEW"),"",INDEX(B1934:B$2,-1+SUMPRODUCT(MAX(ROW(E1934:E$2)*(E1935=E1934:E$2)))))</f>
        <v> </v>
      </c>
      <c r="J1935" s="25" t="str">
        <f>IF(OR(E1935="",E1935="!!!",F1935="NEW"),"",COUNTBLANK(OFFSET(A$1,,,SUMPRODUCT(MAX(ROW(E$2:E1935)*(E1935=E$2:E1935)))))-COUNTBLANK(OFFSET(A$1,,,SUMPRODUCT(MAX(ROW(E$1:E1934)*(E2=E$1:E1934))))))</f>
        <v> </v>
      </c>
      <c r="K1935" s="25" t="str">
        <f>IF(OR(E1935="",E1935="!!!",F1935="NEW"),"",INDEX(J$1:J1934,SUMPRODUCT(MAX(ROW(E$1:E1934)*(E1935=E$1:E1934)))))</f>
        <v> </v>
      </c>
      <c r="L1935" s="26"/>
    </row>
    <row r="1936" spans="1:12">
      <c r="A1936" s="20" t="s">
        <v>1123</v>
      </c>
      <c r="E1936" s="21">
        <f>IF(D1936="?OLD","!!!","")</f>
        <v/>
      </c>
      <c r="F1936" s="22" t="str">
        <f>IF(OR(E1936="",E1936="!!!"),"",IF(NOT(ISNA(VLOOKUP(E1936,E$1:E1935,1,FALSE()))),"OLD",IF(AND(E1936&lt;&gt;"",E1936&lt;&gt;"!!!"),"NEW","")))</f>
        <v> </v>
      </c>
      <c r="G1936" s="23" t="str">
        <f>IF(OR(E1936="",E1936="!!!"),"",IF(OR(J1936=0,AND(J1936=1,K1936=1),AND(J1936=1,I1936="SBJ"),AND(J1936=1,I1936=0)),"?IN_FOCUS",IF(J1936&lt;=2,"?ACTIVATED",IF(J1936&lt;&gt;"","?FAMILIAR",IF(F1936="NEW",IF(ISNA(VLOOKUP(E1936,#REF!,1,FALSE())),"?TYPE_IDENTIFIABLE","?REFERENTIAL"),"_")))))</f>
        <v> </v>
      </c>
      <c r="H1936" s="24" t="str">
        <f>IF(J1936&lt;&gt;1,"",IF(I1936="SBJ","CB","?"))</f>
        <v> </v>
      </c>
      <c r="I1936" s="25" t="str">
        <f>IF(OR(E1936="",E1936="!!!",F1936="NEW"),"",INDEX(B1935:B$2,-1+SUMPRODUCT(MAX(ROW(E1935:E$2)*(E1936=E1935:E$2)))))</f>
        <v> </v>
      </c>
      <c r="J1936" s="25" t="str">
        <f>IF(OR(E1936="",E1936="!!!",F1936="NEW"),"",COUNTBLANK(OFFSET(A$1,,,SUMPRODUCT(MAX(ROW(E$2:E1936)*(E1936=E$2:E1936)))))-COUNTBLANK(OFFSET(A$1,,,SUMPRODUCT(MAX(ROW(E$1:E1935)*(E2=E$1:E1935))))))</f>
        <v> </v>
      </c>
      <c r="K1936" s="25" t="str">
        <f>IF(OR(E1936="",E1936="!!!",F1936="NEW"),"",INDEX(J$1:J1935,SUMPRODUCT(MAX(ROW(E$1:E1935)*(E1936=E$1:E1935)))))</f>
        <v> </v>
      </c>
      <c r="L1936" s="26"/>
    </row>
    <row r="1937" spans="1:12">
      <c r="A1937" s="20" t="s">
        <v>1909</v>
      </c>
      <c r="B1937" s="27" t="s">
        <v>1122</v>
      </c>
      <c r="E1937" s="21">
        <f>IF(D1937="?OLD","!!!","")</f>
        <v/>
      </c>
      <c r="F1937" s="22" t="str">
        <f>IF(OR(E1937="",E1937="!!!"),"",IF(NOT(ISNA(VLOOKUP(E1937,E$1:E1936,1,FALSE()))),"OLD",IF(AND(E1937&lt;&gt;"",E1937&lt;&gt;"!!!"),"NEW","")))</f>
        <v> </v>
      </c>
      <c r="G1937" s="23" t="str">
        <f>IF(OR(E1937="",E1937="!!!"),"",IF(OR(J1937=0,AND(J1937=1,K1937=1),AND(J1937=1,I1937="SBJ"),AND(J1937=1,I1937=0)),"?IN_FOCUS",IF(J1937&lt;=2,"?ACTIVATED",IF(J1937&lt;&gt;"","?FAMILIAR",IF(F1937="NEW",IF(ISNA(VLOOKUP(E1937,#REF!,1,FALSE())),"?TYPE_IDENTIFIABLE","?REFERENTIAL"),"_")))))</f>
        <v> </v>
      </c>
      <c r="H1937" s="24" t="str">
        <f>IF(J1937&lt;&gt;1,"",IF(I1937="SBJ","CB","?"))</f>
        <v> </v>
      </c>
      <c r="I1937" s="25" t="str">
        <f>IF(OR(E1937="",E1937="!!!",F1937="NEW"),"",INDEX(B1936:B$2,-1+SUMPRODUCT(MAX(ROW(E1936:E$2)*(E1937=E1936:E$2)))))</f>
        <v> </v>
      </c>
      <c r="J1937" s="25" t="str">
        <f>IF(OR(E1937="",E1937="!!!",F1937="NEW"),"",COUNTBLANK(OFFSET(A$1,,,SUMPRODUCT(MAX(ROW(E$2:E1937)*(E1937=E$2:E1937)))))-COUNTBLANK(OFFSET(A$1,,,SUMPRODUCT(MAX(ROW(E$1:E1936)*(E2=E$1:E1936))))))</f>
        <v> </v>
      </c>
      <c r="K1937" s="25" t="str">
        <f>IF(OR(E1937="",E1937="!!!",F1937="NEW"),"",INDEX(J$1:J1936,SUMPRODUCT(MAX(ROW(E$1:E1936)*(E1937=E$1:E1936)))))</f>
        <v> </v>
      </c>
      <c r="L1937" s="26"/>
    </row>
    <row r="1938" spans="1:12">
      <c r="A1938" s="20" t="s">
        <v>1128</v>
      </c>
      <c r="E1938" s="21">
        <f>IF(D1938="?OLD","!!!","")</f>
        <v/>
      </c>
      <c r="F1938" s="22" t="str">
        <f>IF(OR(E1938="",E1938="!!!"),"",IF(NOT(ISNA(VLOOKUP(E1938,E$1:E1937,1,FALSE()))),"OLD",IF(AND(E1938&lt;&gt;"",E1938&lt;&gt;"!!!"),"NEW","")))</f>
        <v> </v>
      </c>
      <c r="G1938" s="23" t="str">
        <f>IF(OR(E1938="",E1938="!!!"),"",IF(OR(J1938=0,AND(J1938=1,K1938=1),AND(J1938=1,I1938="SBJ"),AND(J1938=1,I1938=0)),"?IN_FOCUS",IF(J1938&lt;=2,"?ACTIVATED",IF(J1938&lt;&gt;"","?FAMILIAR",IF(F1938="NEW",IF(ISNA(VLOOKUP(E1938,#REF!,1,FALSE())),"?TYPE_IDENTIFIABLE","?REFERENTIAL"),"_")))))</f>
        <v> </v>
      </c>
      <c r="H1938" s="24" t="str">
        <f>IF(J1938&lt;&gt;1,"",IF(I1938="SBJ","CB","?"))</f>
        <v> </v>
      </c>
      <c r="I1938" s="25" t="str">
        <f>IF(OR(E1938="",E1938="!!!",F1938="NEW"),"",INDEX(B1937:B$2,-1+SUMPRODUCT(MAX(ROW(E1937:E$2)*(E1938=E1937:E$2)))))</f>
        <v> </v>
      </c>
      <c r="J1938" s="25" t="str">
        <f>IF(OR(E1938="",E1938="!!!",F1938="NEW"),"",COUNTBLANK(OFFSET(A$1,,,SUMPRODUCT(MAX(ROW(E$2:E1938)*(E1938=E$2:E1938)))))-COUNTBLANK(OFFSET(A$1,,,SUMPRODUCT(MAX(ROW(E$1:E1937)*(E2=E$1:E1937))))))</f>
        <v> </v>
      </c>
      <c r="K1938" s="25" t="str">
        <f>IF(OR(E1938="",E1938="!!!",F1938="NEW"),"",INDEX(J$1:J1937,SUMPRODUCT(MAX(ROW(E$1:E1937)*(E1938=E$1:E1937)))))</f>
        <v> </v>
      </c>
      <c r="L1938" s="26"/>
    </row>
    <row r="1939" spans="1:12">
      <c r="A1939" s="20" t="s">
        <v>2097</v>
      </c>
      <c r="E1939" s="21">
        <f>IF(D1939="?OLD","!!!","")</f>
        <v/>
      </c>
      <c r="F1939" s="22" t="str">
        <f>IF(OR(E1939="",E1939="!!!"),"",IF(NOT(ISNA(VLOOKUP(E1939,E$1:E1938,1,FALSE()))),"OLD",IF(AND(E1939&lt;&gt;"",E1939&lt;&gt;"!!!"),"NEW","")))</f>
        <v> </v>
      </c>
      <c r="G1939" s="23" t="str">
        <f>IF(OR(E1939="",E1939="!!!"),"",IF(OR(J1939=0,AND(J1939=1,K1939=1),AND(J1939=1,I1939="SBJ"),AND(J1939=1,I1939=0)),"?IN_FOCUS",IF(J1939&lt;=2,"?ACTIVATED",IF(J1939&lt;&gt;"","?FAMILIAR",IF(F1939="NEW",IF(ISNA(VLOOKUP(E1939,#REF!,1,FALSE())),"?TYPE_IDENTIFIABLE","?REFERENTIAL"),"_")))))</f>
        <v> </v>
      </c>
      <c r="H1939" s="24" t="str">
        <f>IF(J1939&lt;&gt;1,"",IF(I1939="SBJ","CB","?"))</f>
        <v> </v>
      </c>
      <c r="I1939" s="25" t="str">
        <f>IF(OR(E1939="",E1939="!!!",F1939="NEW"),"",INDEX(B1938:B$2,-1+SUMPRODUCT(MAX(ROW(E1938:E$2)*(E1939=E1938:E$2)))))</f>
        <v> </v>
      </c>
      <c r="J1939" s="25" t="str">
        <f>IF(OR(E1939="",E1939="!!!",F1939="NEW"),"",COUNTBLANK(OFFSET(A$1,,,SUMPRODUCT(MAX(ROW(E$2:E1939)*(E1939=E$2:E1939)))))-COUNTBLANK(OFFSET(A$1,,,SUMPRODUCT(MAX(ROW(E$1:E1938)*(E2=E$1:E1938))))))</f>
        <v> </v>
      </c>
      <c r="K1939" s="25" t="str">
        <f>IF(OR(E1939="",E1939="!!!",F1939="NEW"),"",INDEX(J$1:J1938,SUMPRODUCT(MAX(ROW(E$1:E1938)*(E1939=E$1:E1938)))))</f>
        <v> </v>
      </c>
      <c r="L1939" s="26"/>
    </row>
    <row r="1940" spans="1:12">
      <c r="A1940" s="20" t="s">
        <v>1123</v>
      </c>
      <c r="E1940" s="21">
        <f>IF(D1940="?OLD","!!!","")</f>
        <v/>
      </c>
      <c r="F1940" s="22" t="str">
        <f>IF(OR(E1940="",E1940="!!!"),"",IF(NOT(ISNA(VLOOKUP(E1940,E$1:E1939,1,FALSE()))),"OLD",IF(AND(E1940&lt;&gt;"",E1940&lt;&gt;"!!!"),"NEW","")))</f>
        <v> </v>
      </c>
      <c r="G1940" s="23" t="str">
        <f>IF(OR(E1940="",E1940="!!!"),"",IF(OR(J1940=0,AND(J1940=1,K1940=1),AND(J1940=1,I1940="SBJ"),AND(J1940=1,I1940=0)),"?IN_FOCUS",IF(J1940&lt;=2,"?ACTIVATED",IF(J1940&lt;&gt;"","?FAMILIAR",IF(F1940="NEW",IF(ISNA(VLOOKUP(E1940,#REF!,1,FALSE())),"?TYPE_IDENTIFIABLE","?REFERENTIAL"),"_")))))</f>
        <v> </v>
      </c>
      <c r="H1940" s="24" t="str">
        <f>IF(J1940&lt;&gt;1,"",IF(I1940="SBJ","CB","?"))</f>
        <v> </v>
      </c>
      <c r="I1940" s="25" t="str">
        <f>IF(OR(E1940="",E1940="!!!",F1940="NEW"),"",INDEX(B1939:B$2,-1+SUMPRODUCT(MAX(ROW(E1939:E$2)*(E1940=E1939:E$2)))))</f>
        <v> </v>
      </c>
      <c r="J1940" s="25" t="str">
        <f>IF(OR(E1940="",E1940="!!!",F1940="NEW"),"",COUNTBLANK(OFFSET(A$1,,,SUMPRODUCT(MAX(ROW(E$2:E1940)*(E1940=E$2:E1940)))))-COUNTBLANK(OFFSET(A$1,,,SUMPRODUCT(MAX(ROW(E$1:E1939)*(E2=E$1:E1939))))))</f>
        <v> </v>
      </c>
      <c r="K1940" s="25" t="str">
        <f>IF(OR(E1940="",E1940="!!!",F1940="NEW"),"",INDEX(J$1:J1939,SUMPRODUCT(MAX(ROW(E$1:E1939)*(E1940=E$1:E1939)))))</f>
        <v> </v>
      </c>
      <c r="L1940" s="26"/>
    </row>
    <row r="1941" spans="1:12">
      <c r="A1941" s="20" t="s">
        <v>1128</v>
      </c>
      <c r="E1941" s="21">
        <f>IF(D1941="?OLD","!!!","")</f>
        <v/>
      </c>
      <c r="F1941" s="22" t="str">
        <f>IF(OR(E1941="",E1941="!!!"),"",IF(NOT(ISNA(VLOOKUP(E1941,E$1:E1940,1,FALSE()))),"OLD",IF(AND(E1941&lt;&gt;"",E1941&lt;&gt;"!!!"),"NEW","")))</f>
        <v> </v>
      </c>
      <c r="G1941" s="23" t="str">
        <f>IF(OR(E1941="",E1941="!!!"),"",IF(OR(J1941=0,AND(J1941=1,K1941=1),AND(J1941=1,I1941="SBJ"),AND(J1941=1,I1941=0)),"?IN_FOCUS",IF(J1941&lt;=2,"?ACTIVATED",IF(J1941&lt;&gt;"","?FAMILIAR",IF(F1941="NEW",IF(ISNA(VLOOKUP(E1941,#REF!,1,FALSE())),"?TYPE_IDENTIFIABLE","?REFERENTIAL"),"_")))))</f>
        <v> </v>
      </c>
      <c r="H1941" s="24" t="str">
        <f>IF(J1941&lt;&gt;1,"",IF(I1941="SBJ","CB","?"))</f>
        <v> </v>
      </c>
      <c r="I1941" s="25" t="str">
        <f>IF(OR(E1941="",E1941="!!!",F1941="NEW"),"",INDEX(B1940:B$2,-1+SUMPRODUCT(MAX(ROW(E1940:E$2)*(E1941=E1940:E$2)))))</f>
        <v> </v>
      </c>
      <c r="J1941" s="25" t="str">
        <f>IF(OR(E1941="",E1941="!!!",F1941="NEW"),"",COUNTBLANK(OFFSET(A$1,,,SUMPRODUCT(MAX(ROW(E$2:E1941)*(E1941=E$2:E1941)))))-COUNTBLANK(OFFSET(A$1,,,SUMPRODUCT(MAX(ROW(E$1:E1940)*(E2=E$1:E1940))))))</f>
        <v> </v>
      </c>
      <c r="K1941" s="25" t="str">
        <f>IF(OR(E1941="",E1941="!!!",F1941="NEW"),"",INDEX(J$1:J1940,SUMPRODUCT(MAX(ROW(E$1:E1940)*(E1941=E$1:E1940)))))</f>
        <v> </v>
      </c>
      <c r="L1941" s="26"/>
    </row>
    <row r="1942" spans="1:12">
      <c r="A1942" s="20" t="s">
        <v>1112</v>
      </c>
      <c r="E1942" s="21">
        <f>IF(D1942="?OLD","!!!","")</f>
        <v/>
      </c>
      <c r="F1942" s="22" t="str">
        <f>IF(OR(E1942="",E1942="!!!"),"",IF(NOT(ISNA(VLOOKUP(E1942,E$1:E1941,1,FALSE()))),"OLD",IF(AND(E1942&lt;&gt;"",E1942&lt;&gt;"!!!"),"NEW","")))</f>
        <v> </v>
      </c>
      <c r="G1942" s="23" t="str">
        <f>IF(OR(E1942="",E1942="!!!"),"",IF(OR(J1942=0,AND(J1942=1,K1942=1),AND(J1942=1,I1942="SBJ"),AND(J1942=1,I1942=0)),"?IN_FOCUS",IF(J1942&lt;=2,"?ACTIVATED",IF(J1942&lt;&gt;"","?FAMILIAR",IF(F1942="NEW",IF(ISNA(VLOOKUP(E1942,#REF!,1,FALSE())),"?TYPE_IDENTIFIABLE","?REFERENTIAL"),"_")))))</f>
        <v> </v>
      </c>
      <c r="H1942" s="24" t="str">
        <f>IF(J1942&lt;&gt;1,"",IF(I1942="SBJ","CB","?"))</f>
        <v> </v>
      </c>
      <c r="I1942" s="25" t="str">
        <f>IF(OR(E1942="",E1942="!!!",F1942="NEW"),"",INDEX(B1941:B$2,-1+SUMPRODUCT(MAX(ROW(E1941:E$2)*(E1942=E1941:E$2)))))</f>
        <v> </v>
      </c>
      <c r="J1942" s="25" t="str">
        <f>IF(OR(E1942="",E1942="!!!",F1942="NEW"),"",COUNTBLANK(OFFSET(A$1,,,SUMPRODUCT(MAX(ROW(E$2:E1942)*(E1942=E$2:E1942)))))-COUNTBLANK(OFFSET(A$1,,,SUMPRODUCT(MAX(ROW(E$1:E1941)*(E2=E$1:E1941))))))</f>
        <v> </v>
      </c>
      <c r="K1942" s="25" t="str">
        <f>IF(OR(E1942="",E1942="!!!",F1942="NEW"),"",INDEX(J$1:J1941,SUMPRODUCT(MAX(ROW(E$1:E1941)*(E1942=E$1:E1941)))))</f>
        <v> </v>
      </c>
      <c r="L1942" s="26"/>
    </row>
    <row r="1943" spans="1:12">
      <c r="A1943" s="20" t="s">
        <v>1617</v>
      </c>
      <c r="B1943" s="27" t="s">
        <v>1259</v>
      </c>
      <c r="C1943" s="27" t="s">
        <v>1126</v>
      </c>
      <c r="D1943" s="27" t="s">
        <v>1105</v>
      </c>
      <c r="E1943" s="21">
        <f>IF(D1943="?OLD","!!!","")</f>
        <v/>
      </c>
      <c r="F1943" s="22" t="str">
        <f>IF(OR(E1943="",E1943="!!!"),"",IF(NOT(ISNA(VLOOKUP(E1943,E$1:E1942,1,FALSE()))),"OLD",IF(AND(E1943&lt;&gt;"",E1943&lt;&gt;"!!!"),"NEW","")))</f>
        <v> </v>
      </c>
      <c r="G1943" s="23" t="str">
        <f>IF(OR(E1943="",E1943="!!!"),"",IF(OR(J1943=0,AND(J1943=1,K1943=1),AND(J1943=1,I1943="SBJ"),AND(J1943=1,I1943=0)),"?IN_FOCUS",IF(J1943&lt;=2,"?ACTIVATED",IF(J1943&lt;&gt;"","?FAMILIAR",IF(F1943="NEW",IF(ISNA(VLOOKUP(E1943,#REF!,1,FALSE())),"?TYPE_IDENTIFIABLE","?REFERENTIAL"),"_")))))</f>
        <v> </v>
      </c>
      <c r="H1943" s="24" t="str">
        <f>IF(J1943&lt;&gt;1,"",IF(I1943="SBJ","CB","?"))</f>
        <v> </v>
      </c>
      <c r="I1943" s="25" t="str">
        <f>IF(OR(E1943="",E1943="!!!",F1943="NEW"),"",INDEX(B1942:B$2,-1+SUMPRODUCT(MAX(ROW(E1942:E$2)*(E1943=E1942:E$2)))))</f>
        <v> </v>
      </c>
      <c r="J1943" s="25" t="str">
        <f>IF(OR(E1943="",E1943="!!!",F1943="NEW"),"",COUNTBLANK(OFFSET(A$1,,,SUMPRODUCT(MAX(ROW(E$2:E1943)*(E1943=E$2:E1943)))))-COUNTBLANK(OFFSET(A$1,,,SUMPRODUCT(MAX(ROW(E$1:E1942)*(E2=E$1:E1942))))))</f>
        <v> </v>
      </c>
      <c r="K1943" s="25" t="str">
        <f>IF(OR(E1943="",E1943="!!!",F1943="NEW"),"",INDEX(J$1:J1942,SUMPRODUCT(MAX(ROW(E$1:E1942)*(E1943=E$1:E1942)))))</f>
        <v> </v>
      </c>
      <c r="L1943" s="26"/>
    </row>
    <row r="1944" spans="1:12">
      <c r="A1944" s="20" t="s">
        <v>2098</v>
      </c>
      <c r="E1944" s="21">
        <f>IF(D1944="?OLD","!!!","")</f>
        <v/>
      </c>
      <c r="F1944" s="22" t="str">
        <f>IF(OR(E1944="",E1944="!!!"),"",IF(NOT(ISNA(VLOOKUP(E1944,E$1:E1943,1,FALSE()))),"OLD",IF(AND(E1944&lt;&gt;"",E1944&lt;&gt;"!!!"),"NEW","")))</f>
        <v> </v>
      </c>
      <c r="G1944" s="23" t="str">
        <f>IF(OR(E1944="",E1944="!!!"),"",IF(OR(J1944=0,AND(J1944=1,K1944=1),AND(J1944=1,I1944="SBJ"),AND(J1944=1,I1944=0)),"?IN_FOCUS",IF(J1944&lt;=2,"?ACTIVATED",IF(J1944&lt;&gt;"","?FAMILIAR",IF(F1944="NEW",IF(ISNA(VLOOKUP(E1944,#REF!,1,FALSE())),"?TYPE_IDENTIFIABLE","?REFERENTIAL"),"_")))))</f>
        <v> </v>
      </c>
      <c r="H1944" s="24" t="str">
        <f>IF(J1944&lt;&gt;1,"",IF(I1944="SBJ","CB","?"))</f>
        <v> </v>
      </c>
      <c r="I1944" s="25" t="str">
        <f>IF(OR(E1944="",E1944="!!!",F1944="NEW"),"",INDEX(B1943:B$2,-1+SUMPRODUCT(MAX(ROW(E1943:E$2)*(E1944=E1943:E$2)))))</f>
        <v> </v>
      </c>
      <c r="J1944" s="25" t="str">
        <f>IF(OR(E1944="",E1944="!!!",F1944="NEW"),"",COUNTBLANK(OFFSET(A$1,,,SUMPRODUCT(MAX(ROW(E$2:E1944)*(E1944=E$2:E1944)))))-COUNTBLANK(OFFSET(A$1,,,SUMPRODUCT(MAX(ROW(E$1:E1943)*(E2=E$1:E1943))))))</f>
        <v> </v>
      </c>
      <c r="K1944" s="25" t="str">
        <f>IF(OR(E1944="",E1944="!!!",F1944="NEW"),"",INDEX(J$1:J1943,SUMPRODUCT(MAX(ROW(E$1:E1943)*(E1944=E$1:E1943)))))</f>
        <v> </v>
      </c>
      <c r="L1944" s="26"/>
    </row>
    <row r="1945" spans="1:12">
      <c r="A1945" s="20" t="s">
        <v>1123</v>
      </c>
      <c r="E1945" s="21">
        <f>IF(D1945="?OLD","!!!","")</f>
        <v/>
      </c>
      <c r="F1945" s="22" t="str">
        <f>IF(OR(E1945="",E1945="!!!"),"",IF(NOT(ISNA(VLOOKUP(E1945,E$1:E1944,1,FALSE()))),"OLD",IF(AND(E1945&lt;&gt;"",E1945&lt;&gt;"!!!"),"NEW","")))</f>
        <v> </v>
      </c>
      <c r="G1945" s="23" t="str">
        <f>IF(OR(E1945="",E1945="!!!"),"",IF(OR(J1945=0,AND(J1945=1,K1945=1),AND(J1945=1,I1945="SBJ"),AND(J1945=1,I1945=0)),"?IN_FOCUS",IF(J1945&lt;=2,"?ACTIVATED",IF(J1945&lt;&gt;"","?FAMILIAR",IF(F1945="NEW",IF(ISNA(VLOOKUP(E1945,#REF!,1,FALSE())),"?TYPE_IDENTIFIABLE","?REFERENTIAL"),"_")))))</f>
        <v> </v>
      </c>
      <c r="H1945" s="24" t="str">
        <f>IF(J1945&lt;&gt;1,"",IF(I1945="SBJ","CB","?"))</f>
        <v> </v>
      </c>
      <c r="I1945" s="25" t="str">
        <f>IF(OR(E1945="",E1945="!!!",F1945="NEW"),"",INDEX(B1944:B$2,-1+SUMPRODUCT(MAX(ROW(E1944:E$2)*(E1945=E1944:E$2)))))</f>
        <v> </v>
      </c>
      <c r="J1945" s="25" t="str">
        <f>IF(OR(E1945="",E1945="!!!",F1945="NEW"),"",COUNTBLANK(OFFSET(A$1,,,SUMPRODUCT(MAX(ROW(E$2:E1945)*(E1945=E$2:E1945)))))-COUNTBLANK(OFFSET(A$1,,,SUMPRODUCT(MAX(ROW(E$1:E1944)*(E2=E$1:E1944))))))</f>
        <v> </v>
      </c>
      <c r="K1945" s="25" t="str">
        <f>IF(OR(E1945="",E1945="!!!",F1945="NEW"),"",INDEX(J$1:J1944,SUMPRODUCT(MAX(ROW(E$1:E1944)*(E1945=E$1:E1944)))))</f>
        <v> </v>
      </c>
      <c r="L1945" s="26"/>
    </row>
    <row r="1946" spans="1:12">
      <c r="A1946" s="20" t="s">
        <v>1342</v>
      </c>
      <c r="E1946" s="21">
        <f>IF(D1946="?OLD","!!!","")</f>
        <v/>
      </c>
      <c r="F1946" s="22" t="str">
        <f>IF(OR(E1946="",E1946="!!!"),"",IF(NOT(ISNA(VLOOKUP(E1946,E$1:E1945,1,FALSE()))),"OLD",IF(AND(E1946&lt;&gt;"",E1946&lt;&gt;"!!!"),"NEW","")))</f>
        <v> </v>
      </c>
      <c r="G1946" s="23" t="str">
        <f>IF(OR(E1946="",E1946="!!!"),"",IF(OR(J1946=0,AND(J1946=1,K1946=1),AND(J1946=1,I1946="SBJ"),AND(J1946=1,I1946=0)),"?IN_FOCUS",IF(J1946&lt;=2,"?ACTIVATED",IF(J1946&lt;&gt;"","?FAMILIAR",IF(F1946="NEW",IF(ISNA(VLOOKUP(E1946,#REF!,1,FALSE())),"?TYPE_IDENTIFIABLE","?REFERENTIAL"),"_")))))</f>
        <v> </v>
      </c>
      <c r="H1946" s="24" t="str">
        <f>IF(J1946&lt;&gt;1,"",IF(I1946="SBJ","CB","?"))</f>
        <v> </v>
      </c>
      <c r="I1946" s="25" t="str">
        <f>IF(OR(E1946="",E1946="!!!",F1946="NEW"),"",INDEX(B1945:B$2,-1+SUMPRODUCT(MAX(ROW(E1945:E$2)*(E1946=E1945:E$2)))))</f>
        <v> </v>
      </c>
      <c r="J1946" s="25" t="str">
        <f>IF(OR(E1946="",E1946="!!!",F1946="NEW"),"",COUNTBLANK(OFFSET(A$1,,,SUMPRODUCT(MAX(ROW(E$2:E1946)*(E1946=E$2:E1946)))))-COUNTBLANK(OFFSET(A$1,,,SUMPRODUCT(MAX(ROW(E$1:E1945)*(E2=E$1:E1945))))))</f>
        <v> </v>
      </c>
      <c r="K1946" s="25" t="str">
        <f>IF(OR(E1946="",E1946="!!!",F1946="NEW"),"",INDEX(J$1:J1945,SUMPRODUCT(MAX(ROW(E$1:E1945)*(E1946=E$1:E1945)))))</f>
        <v> </v>
      </c>
      <c r="L1946" s="26"/>
    </row>
    <row r="1947" spans="1:12">
      <c r="A1947" s="20" t="s">
        <v>1123</v>
      </c>
      <c r="E1947" s="21">
        <f>IF(D1947="?OLD","!!!","")</f>
        <v/>
      </c>
      <c r="F1947" s="22" t="str">
        <f>IF(OR(E1947="",E1947="!!!"),"",IF(NOT(ISNA(VLOOKUP(E1947,E$1:E1946,1,FALSE()))),"OLD",IF(AND(E1947&lt;&gt;"",E1947&lt;&gt;"!!!"),"NEW","")))</f>
        <v> </v>
      </c>
      <c r="G1947" s="23" t="str">
        <f>IF(OR(E1947="",E1947="!!!"),"",IF(OR(J1947=0,AND(J1947=1,K1947=1),AND(J1947=1,I1947="SBJ"),AND(J1947=1,I1947=0)),"?IN_FOCUS",IF(J1947&lt;=2,"?ACTIVATED",IF(J1947&lt;&gt;"","?FAMILIAR",IF(F1947="NEW",IF(ISNA(VLOOKUP(E1947,#REF!,1,FALSE())),"?TYPE_IDENTIFIABLE","?REFERENTIAL"),"_")))))</f>
        <v> </v>
      </c>
      <c r="H1947" s="24" t="str">
        <f>IF(J1947&lt;&gt;1,"",IF(I1947="SBJ","CB","?"))</f>
        <v> </v>
      </c>
      <c r="I1947" s="25" t="str">
        <f>IF(OR(E1947="",E1947="!!!",F1947="NEW"),"",INDEX(B1946:B$2,-1+SUMPRODUCT(MAX(ROW(E1946:E$2)*(E1947=E1946:E$2)))))</f>
        <v> </v>
      </c>
      <c r="J1947" s="25" t="str">
        <f>IF(OR(E1947="",E1947="!!!",F1947="NEW"),"",COUNTBLANK(OFFSET(A$1,,,SUMPRODUCT(MAX(ROW(E$2:E1947)*(E1947=E$2:E1947)))))-COUNTBLANK(OFFSET(A$1,,,SUMPRODUCT(MAX(ROW(E$1:E1946)*(E2=E$1:E1946))))))</f>
        <v> </v>
      </c>
      <c r="K1947" s="25" t="str">
        <f>IF(OR(E1947="",E1947="!!!",F1947="NEW"),"",INDEX(J$1:J1946,SUMPRODUCT(MAX(ROW(E$1:E1946)*(E1947=E$1:E1946)))))</f>
        <v> </v>
      </c>
      <c r="L1947" s="26"/>
    </row>
    <row r="1948" spans="1:12">
      <c r="A1948" s="20" t="s">
        <v>1494</v>
      </c>
      <c r="B1948" s="27" t="s">
        <v>1115</v>
      </c>
      <c r="C1948" s="27" t="s">
        <v>1126</v>
      </c>
      <c r="D1948" s="27" t="s">
        <v>1105</v>
      </c>
      <c r="E1948" s="21">
        <f>IF(D1948="?OLD","!!!","")</f>
        <v/>
      </c>
      <c r="F1948" s="22" t="str">
        <f>IF(OR(E1948="",E1948="!!!"),"",IF(NOT(ISNA(VLOOKUP(E1948,E$1:E1947,1,FALSE()))),"OLD",IF(AND(E1948&lt;&gt;"",E1948&lt;&gt;"!!!"),"NEW","")))</f>
        <v> </v>
      </c>
      <c r="G1948" s="23" t="str">
        <f>IF(OR(E1948="",E1948="!!!"),"",IF(OR(J1948=0,AND(J1948=1,K1948=1),AND(J1948=1,I1948="SBJ"),AND(J1948=1,I1948=0)),"?IN_FOCUS",IF(J1948&lt;=2,"?ACTIVATED",IF(J1948&lt;&gt;"","?FAMILIAR",IF(F1948="NEW",IF(ISNA(VLOOKUP(E1948,#REF!,1,FALSE())),"?TYPE_IDENTIFIABLE","?REFERENTIAL"),"_")))))</f>
        <v> </v>
      </c>
      <c r="H1948" s="24" t="str">
        <f>IF(J1948&lt;&gt;1,"",IF(I1948="SBJ","CB","?"))</f>
        <v> </v>
      </c>
      <c r="I1948" s="25" t="str">
        <f>IF(OR(E1948="",E1948="!!!",F1948="NEW"),"",INDEX(B1947:B$2,-1+SUMPRODUCT(MAX(ROW(E1947:E$2)*(E1948=E1947:E$2)))))</f>
        <v> </v>
      </c>
      <c r="J1948" s="25" t="str">
        <f>IF(OR(E1948="",E1948="!!!",F1948="NEW"),"",COUNTBLANK(OFFSET(A$1,,,SUMPRODUCT(MAX(ROW(E$2:E1948)*(E1948=E$2:E1948)))))-COUNTBLANK(OFFSET(A$1,,,SUMPRODUCT(MAX(ROW(E$1:E1947)*(E2=E$1:E1947))))))</f>
        <v> </v>
      </c>
      <c r="K1948" s="25" t="str">
        <f>IF(OR(E1948="",E1948="!!!",F1948="NEW"),"",INDEX(J$1:J1947,SUMPRODUCT(MAX(ROW(E$1:E1947)*(E1948=E$1:E1947)))))</f>
        <v> </v>
      </c>
      <c r="L1948" s="26"/>
    </row>
    <row r="1949" spans="1:12">
      <c r="A1949" s="20" t="s">
        <v>1117</v>
      </c>
      <c r="E1949" s="21">
        <f>IF(D1949="?OLD","!!!","")</f>
        <v/>
      </c>
      <c r="F1949" s="22" t="str">
        <f>IF(OR(E1949="",E1949="!!!"),"",IF(NOT(ISNA(VLOOKUP(E1949,E$1:E1948,1,FALSE()))),"OLD",IF(AND(E1949&lt;&gt;"",E1949&lt;&gt;"!!!"),"NEW","")))</f>
        <v> </v>
      </c>
      <c r="G1949" s="23" t="str">
        <f>IF(OR(E1949="",E1949="!!!"),"",IF(OR(J1949=0,AND(J1949=1,K1949=1),AND(J1949=1,I1949="SBJ"),AND(J1949=1,I1949=0)),"?IN_FOCUS",IF(J1949&lt;=2,"?ACTIVATED",IF(J1949&lt;&gt;"","?FAMILIAR",IF(F1949="NEW",IF(ISNA(VLOOKUP(E1949,#REF!,1,FALSE())),"?TYPE_IDENTIFIABLE","?REFERENTIAL"),"_")))))</f>
        <v> </v>
      </c>
      <c r="H1949" s="24" t="str">
        <f>IF(J1949&lt;&gt;1,"",IF(I1949="SBJ","CB","?"))</f>
        <v> </v>
      </c>
      <c r="I1949" s="25" t="str">
        <f>IF(OR(E1949="",E1949="!!!",F1949="NEW"),"",INDEX(B1948:B$2,-1+SUMPRODUCT(MAX(ROW(E1948:E$2)*(E1949=E1948:E$2)))))</f>
        <v> </v>
      </c>
      <c r="J1949" s="25" t="str">
        <f>IF(OR(E1949="",E1949="!!!",F1949="NEW"),"",COUNTBLANK(OFFSET(A$1,,,SUMPRODUCT(MAX(ROW(E$2:E1949)*(E1949=E$2:E1949)))))-COUNTBLANK(OFFSET(A$1,,,SUMPRODUCT(MAX(ROW(E$1:E1948)*(E2=E$1:E1948))))))</f>
        <v> </v>
      </c>
      <c r="K1949" s="25" t="str">
        <f>IF(OR(E1949="",E1949="!!!",F1949="NEW"),"",INDEX(J$1:J1948,SUMPRODUCT(MAX(ROW(E$1:E1948)*(E1949=E$1:E1948)))))</f>
        <v> </v>
      </c>
      <c r="L1949" s="26"/>
    </row>
    <row r="1950" spans="1:12">
      <c r="A1950" s="20" t="s">
        <v>1128</v>
      </c>
      <c r="E1950" s="21">
        <f>IF(D1950="?OLD","!!!","")</f>
        <v/>
      </c>
      <c r="F1950" s="22" t="str">
        <f>IF(OR(E1950="",E1950="!!!"),"",IF(NOT(ISNA(VLOOKUP(E1950,E$1:E1949,1,FALSE()))),"OLD",IF(AND(E1950&lt;&gt;"",E1950&lt;&gt;"!!!"),"NEW","")))</f>
        <v> </v>
      </c>
      <c r="G1950" s="23" t="str">
        <f>IF(OR(E1950="",E1950="!!!"),"",IF(OR(J1950=0,AND(J1950=1,K1950=1),AND(J1950=1,I1950="SBJ"),AND(J1950=1,I1950=0)),"?IN_FOCUS",IF(J1950&lt;=2,"?ACTIVATED",IF(J1950&lt;&gt;"","?FAMILIAR",IF(F1950="NEW",IF(ISNA(VLOOKUP(E1950,#REF!,1,FALSE())),"?TYPE_IDENTIFIABLE","?REFERENTIAL"),"_")))))</f>
        <v> </v>
      </c>
      <c r="H1950" s="24" t="str">
        <f>IF(J1950&lt;&gt;1,"",IF(I1950="SBJ","CB","?"))</f>
        <v> </v>
      </c>
      <c r="I1950" s="25" t="str">
        <f>IF(OR(E1950="",E1950="!!!",F1950="NEW"),"",INDEX(B1949:B$2,-1+SUMPRODUCT(MAX(ROW(E1949:E$2)*(E1950=E1949:E$2)))))</f>
        <v> </v>
      </c>
      <c r="J1950" s="25" t="str">
        <f>IF(OR(E1950="",E1950="!!!",F1950="NEW"),"",COUNTBLANK(OFFSET(A$1,,,SUMPRODUCT(MAX(ROW(E$2:E1950)*(E1950=E$2:E1950)))))-COUNTBLANK(OFFSET(A$1,,,SUMPRODUCT(MAX(ROW(E$1:E1949)*(E2=E$1:E1949))))))</f>
        <v> </v>
      </c>
      <c r="K1950" s="25" t="str">
        <f>IF(OR(E1950="",E1950="!!!",F1950="NEW"),"",INDEX(J$1:J1949,SUMPRODUCT(MAX(ROW(E$1:E1949)*(E1950=E$1:E1949)))))</f>
        <v> </v>
      </c>
      <c r="L1950" s="26"/>
    </row>
    <row r="1951" spans="1:12">
      <c r="A1951" s="20" t="s">
        <v>2099</v>
      </c>
      <c r="E1951" s="21">
        <f>IF(D1951="?OLD","!!!","")</f>
        <v/>
      </c>
      <c r="F1951" s="22" t="str">
        <f>IF(OR(E1951="",E1951="!!!"),"",IF(NOT(ISNA(VLOOKUP(E1951,E$1:E1950,1,FALSE()))),"OLD",IF(AND(E1951&lt;&gt;"",E1951&lt;&gt;"!!!"),"NEW","")))</f>
        <v> </v>
      </c>
      <c r="G1951" s="23" t="str">
        <f>IF(OR(E1951="",E1951="!!!"),"",IF(OR(J1951=0,AND(J1951=1,K1951=1),AND(J1951=1,I1951="SBJ"),AND(J1951=1,I1951=0)),"?IN_FOCUS",IF(J1951&lt;=2,"?ACTIVATED",IF(J1951&lt;&gt;"","?FAMILIAR",IF(F1951="NEW",IF(ISNA(VLOOKUP(E1951,#REF!,1,FALSE())),"?TYPE_IDENTIFIABLE","?REFERENTIAL"),"_")))))</f>
        <v> </v>
      </c>
      <c r="H1951" s="24" t="str">
        <f>IF(J1951&lt;&gt;1,"",IF(I1951="SBJ","CB","?"))</f>
        <v> </v>
      </c>
      <c r="I1951" s="25" t="str">
        <f>IF(OR(E1951="",E1951="!!!",F1951="NEW"),"",INDEX(B1950:B$2,-1+SUMPRODUCT(MAX(ROW(E1950:E$2)*(E1951=E1950:E$2)))))</f>
        <v> </v>
      </c>
      <c r="J1951" s="25" t="str">
        <f>IF(OR(E1951="",E1951="!!!",F1951="NEW"),"",COUNTBLANK(OFFSET(A$1,,,SUMPRODUCT(MAX(ROW(E$2:E1951)*(E1951=E$2:E1951)))))-COUNTBLANK(OFFSET(A$1,,,SUMPRODUCT(MAX(ROW(E$1:E1950)*(E2=E$1:E1950))))))</f>
        <v> </v>
      </c>
      <c r="K1951" s="25" t="str">
        <f>IF(OR(E1951="",E1951="!!!",F1951="NEW"),"",INDEX(J$1:J1950,SUMPRODUCT(MAX(ROW(E$1:E1950)*(E1951=E$1:E1950)))))</f>
        <v> </v>
      </c>
      <c r="L1951" s="26"/>
    </row>
    <row r="1952" spans="1:12">
      <c r="A1952" s="20" t="s">
        <v>1145</v>
      </c>
      <c r="E1952" s="21">
        <f>IF(D1952="?OLD","!!!","")</f>
        <v/>
      </c>
      <c r="F1952" s="22" t="str">
        <f>IF(OR(E1952="",E1952="!!!"),"",IF(NOT(ISNA(VLOOKUP(E1952,E$1:E1951,1,FALSE()))),"OLD",IF(AND(E1952&lt;&gt;"",E1952&lt;&gt;"!!!"),"NEW","")))</f>
        <v> </v>
      </c>
      <c r="G1952" s="23" t="str">
        <f>IF(OR(E1952="",E1952="!!!"),"",IF(OR(J1952=0,AND(J1952=1,K1952=1),AND(J1952=1,I1952="SBJ"),AND(J1952=1,I1952=0)),"?IN_FOCUS",IF(J1952&lt;=2,"?ACTIVATED",IF(J1952&lt;&gt;"","?FAMILIAR",IF(F1952="NEW",IF(ISNA(VLOOKUP(E1952,#REF!,1,FALSE())),"?TYPE_IDENTIFIABLE","?REFERENTIAL"),"_")))))</f>
        <v> </v>
      </c>
      <c r="H1952" s="24" t="str">
        <f>IF(J1952&lt;&gt;1,"",IF(I1952="SBJ","CB","?"))</f>
        <v> </v>
      </c>
      <c r="I1952" s="25" t="str">
        <f>IF(OR(E1952="",E1952="!!!",F1952="NEW"),"",INDEX(B1951:B$2,-1+SUMPRODUCT(MAX(ROW(E1951:E$2)*(E1952=E1951:E$2)))))</f>
        <v> </v>
      </c>
      <c r="J1952" s="25" t="str">
        <f>IF(OR(E1952="",E1952="!!!",F1952="NEW"),"",COUNTBLANK(OFFSET(A$1,,,SUMPRODUCT(MAX(ROW(E$2:E1952)*(E1952=E$2:E1952)))))-COUNTBLANK(OFFSET(A$1,,,SUMPRODUCT(MAX(ROW(E$1:E1951)*(E2=E$1:E1951))))))</f>
        <v> </v>
      </c>
      <c r="K1952" s="25" t="str">
        <f>IF(OR(E1952="",E1952="!!!",F1952="NEW"),"",INDEX(J$1:J1951,SUMPRODUCT(MAX(ROW(E$1:E1951)*(E1952=E$1:E1951)))))</f>
        <v> </v>
      </c>
      <c r="L1952" s="26"/>
    </row>
    <row r="1953" spans="1:12">
      <c r="A1953" s="20"/>
    </row>
    <row r="1954" spans="1:12">
      <c r="A1954" s="20" t="s">
        <v>2100</v>
      </c>
    </row>
    <row r="1955" spans="1:12">
      <c r="A1955" s="20" t="s">
        <v>2101</v>
      </c>
      <c r="E1955" s="21">
        <f>IF(D1955="?OLD","!!!","")</f>
        <v/>
      </c>
      <c r="F1955" s="22" t="str">
        <f>IF(OR(E1955="",E1955="!!!"),"",IF(NOT(ISNA(VLOOKUP(E1955,E$1:E1954,1,FALSE()))),"OLD",IF(AND(E1955&lt;&gt;"",E1955&lt;&gt;"!!!"),"NEW","")))</f>
        <v> </v>
      </c>
      <c r="G1955" s="23" t="str">
        <f>IF(OR(E1955="",E1955="!!!"),"",IF(OR(J1955=0,AND(J1955=1,K1955=1),AND(J1955=1,I1955="SBJ"),AND(J1955=1,I1955=0)),"?IN_FOCUS",IF(J1955&lt;=2,"?ACTIVATED",IF(J1955&lt;&gt;"","?FAMILIAR",IF(F1955="NEW",IF(ISNA(VLOOKUP(E1955,#REF!,1,FALSE())),"?TYPE_IDENTIFIABLE","?REFERENTIAL"),"_")))))</f>
        <v> </v>
      </c>
      <c r="H1955" s="24" t="str">
        <f>IF(J1955&lt;&gt;1,"",IF(I1955="SBJ","CB","?"))</f>
        <v> </v>
      </c>
      <c r="I1955" s="25" t="str">
        <f>IF(OR(E1955="",E1955="!!!",F1955="NEW"),"",INDEX(B1954:B$2,-1+SUMPRODUCT(MAX(ROW(E1954:E$2)*(E1955=E1954:E$2)))))</f>
        <v> </v>
      </c>
      <c r="J1955" s="25" t="str">
        <f>IF(OR(E1955="",E1955="!!!",F1955="NEW"),"",COUNTBLANK(OFFSET(A$1,,,SUMPRODUCT(MAX(ROW(E$2:E1955)*(E1955=E$2:E1955)))))-COUNTBLANK(OFFSET(A$1,,,SUMPRODUCT(MAX(ROW(E$1:E1954)*(E2=E$1:E1954))))))</f>
        <v> </v>
      </c>
      <c r="K1955" s="25" t="str">
        <f>IF(OR(E1955="",E1955="!!!",F1955="NEW"),"",INDEX(J$1:J1954,SUMPRODUCT(MAX(ROW(E$1:E1954)*(E1955=E$1:E1954)))))</f>
        <v> </v>
      </c>
      <c r="L1955" s="26"/>
    </row>
    <row r="1956" spans="1:12">
      <c r="A1956" s="20" t="s">
        <v>1123</v>
      </c>
      <c r="E1956" s="21">
        <f>IF(D1956="?OLD","!!!","")</f>
        <v/>
      </c>
      <c r="F1956" s="22" t="str">
        <f>IF(OR(E1956="",E1956="!!!"),"",IF(NOT(ISNA(VLOOKUP(E1956,E$1:E1955,1,FALSE()))),"OLD",IF(AND(E1956&lt;&gt;"",E1956&lt;&gt;"!!!"),"NEW","")))</f>
        <v> </v>
      </c>
      <c r="G1956" s="23" t="str">
        <f>IF(OR(E1956="",E1956="!!!"),"",IF(OR(J1956=0,AND(J1956=1,K1956=1),AND(J1956=1,I1956="SBJ"),AND(J1956=1,I1956=0)),"?IN_FOCUS",IF(J1956&lt;=2,"?ACTIVATED",IF(J1956&lt;&gt;"","?FAMILIAR",IF(F1956="NEW",IF(ISNA(VLOOKUP(E1956,#REF!,1,FALSE())),"?TYPE_IDENTIFIABLE","?REFERENTIAL"),"_")))))</f>
        <v> </v>
      </c>
      <c r="H1956" s="24" t="str">
        <f>IF(J1956&lt;&gt;1,"",IF(I1956="SBJ","CB","?"))</f>
        <v> </v>
      </c>
      <c r="I1956" s="25" t="str">
        <f>IF(OR(E1956="",E1956="!!!",F1956="NEW"),"",INDEX(B1955:B$2,-1+SUMPRODUCT(MAX(ROW(E1955:E$2)*(E1956=E1955:E$2)))))</f>
        <v> </v>
      </c>
      <c r="J1956" s="25" t="str">
        <f>IF(OR(E1956="",E1956="!!!",F1956="NEW"),"",COUNTBLANK(OFFSET(A$1,,,SUMPRODUCT(MAX(ROW(E$2:E1956)*(E1956=E$2:E1956)))))-COUNTBLANK(OFFSET(A$1,,,SUMPRODUCT(MAX(ROW(E$1:E1955)*(E2=E$1:E1955))))))</f>
        <v> </v>
      </c>
      <c r="K1956" s="25" t="str">
        <f>IF(OR(E1956="",E1956="!!!",F1956="NEW"),"",INDEX(J$1:J1955,SUMPRODUCT(MAX(ROW(E$1:E1955)*(E1956=E$1:E1955)))))</f>
        <v> </v>
      </c>
      <c r="L1956" s="26"/>
    </row>
    <row r="1957" spans="1:12">
      <c r="A1957" s="20" t="s">
        <v>1239</v>
      </c>
      <c r="E1957" s="21">
        <f>IF(D1957="?OLD","!!!","")</f>
        <v/>
      </c>
      <c r="F1957" s="22" t="str">
        <f>IF(OR(E1957="",E1957="!!!"),"",IF(NOT(ISNA(VLOOKUP(E1957,E$1:E1956,1,FALSE()))),"OLD",IF(AND(E1957&lt;&gt;"",E1957&lt;&gt;"!!!"),"NEW","")))</f>
        <v> </v>
      </c>
      <c r="G1957" s="23" t="str">
        <f>IF(OR(E1957="",E1957="!!!"),"",IF(OR(J1957=0,AND(J1957=1,K1957=1),AND(J1957=1,I1957="SBJ"),AND(J1957=1,I1957=0)),"?IN_FOCUS",IF(J1957&lt;=2,"?ACTIVATED",IF(J1957&lt;&gt;"","?FAMILIAR",IF(F1957="NEW",IF(ISNA(VLOOKUP(E1957,#REF!,1,FALSE())),"?TYPE_IDENTIFIABLE","?REFERENTIAL"),"_")))))</f>
        <v> </v>
      </c>
      <c r="H1957" s="24" t="str">
        <f>IF(J1957&lt;&gt;1,"",IF(I1957="SBJ","CB","?"))</f>
        <v> </v>
      </c>
      <c r="I1957" s="25" t="str">
        <f>IF(OR(E1957="",E1957="!!!",F1957="NEW"),"",INDEX(B1956:B$2,-1+SUMPRODUCT(MAX(ROW(E1956:E$2)*(E1957=E1956:E$2)))))</f>
        <v> </v>
      </c>
      <c r="J1957" s="25" t="str">
        <f>IF(OR(E1957="",E1957="!!!",F1957="NEW"),"",COUNTBLANK(OFFSET(A$1,,,SUMPRODUCT(MAX(ROW(E$2:E1957)*(E1957=E$2:E1957)))))-COUNTBLANK(OFFSET(A$1,,,SUMPRODUCT(MAX(ROW(E$1:E1956)*(E2=E$1:E1956))))))</f>
        <v> </v>
      </c>
      <c r="K1957" s="25" t="str">
        <f>IF(OR(E1957="",E1957="!!!",F1957="NEW"),"",INDEX(J$1:J1956,SUMPRODUCT(MAX(ROW(E$1:E1956)*(E1957=E$1:E1956)))))</f>
        <v> </v>
      </c>
      <c r="L1957" s="26"/>
    </row>
    <row r="1958" spans="1:12">
      <c r="A1958" s="20" t="s">
        <v>2102</v>
      </c>
      <c r="E1958" s="21">
        <f>IF(D1958="?OLD","!!!","")</f>
        <v/>
      </c>
      <c r="F1958" s="22" t="str">
        <f>IF(OR(E1958="",E1958="!!!"),"",IF(NOT(ISNA(VLOOKUP(E1958,E$1:E1957,1,FALSE()))),"OLD",IF(AND(E1958&lt;&gt;"",E1958&lt;&gt;"!!!"),"NEW","")))</f>
        <v> </v>
      </c>
      <c r="G1958" s="23" t="str">
        <f>IF(OR(E1958="",E1958="!!!"),"",IF(OR(J1958=0,AND(J1958=1,K1958=1),AND(J1958=1,I1958="SBJ"),AND(J1958=1,I1958=0)),"?IN_FOCUS",IF(J1958&lt;=2,"?ACTIVATED",IF(J1958&lt;&gt;"","?FAMILIAR",IF(F1958="NEW",IF(ISNA(VLOOKUP(E1958,#REF!,1,FALSE())),"?TYPE_IDENTIFIABLE","?REFERENTIAL"),"_")))))</f>
        <v> </v>
      </c>
      <c r="H1958" s="24" t="str">
        <f>IF(J1958&lt;&gt;1,"",IF(I1958="SBJ","CB","?"))</f>
        <v> </v>
      </c>
      <c r="I1958" s="25" t="str">
        <f>IF(OR(E1958="",E1958="!!!",F1958="NEW"),"",INDEX(B1957:B$2,-1+SUMPRODUCT(MAX(ROW(E1957:E$2)*(E1958=E1957:E$2)))))</f>
        <v> </v>
      </c>
      <c r="J1958" s="25" t="str">
        <f>IF(OR(E1958="",E1958="!!!",F1958="NEW"),"",COUNTBLANK(OFFSET(A$1,,,SUMPRODUCT(MAX(ROW(E$2:E1958)*(E1958=E$2:E1958)))))-COUNTBLANK(OFFSET(A$1,,,SUMPRODUCT(MAX(ROW(E$1:E1957)*(E2=E$1:E1957))))))</f>
        <v> </v>
      </c>
      <c r="K1958" s="25" t="str">
        <f>IF(OR(E1958="",E1958="!!!",F1958="NEW"),"",INDEX(J$1:J1957,SUMPRODUCT(MAX(ROW(E$1:E1957)*(E1958=E$1:E1957)))))</f>
        <v> </v>
      </c>
      <c r="L1958" s="26"/>
    </row>
    <row r="1959" spans="1:12">
      <c r="A1959" s="20" t="s">
        <v>1184</v>
      </c>
      <c r="E1959" s="21">
        <f>IF(D1959="?OLD","!!!","")</f>
        <v/>
      </c>
      <c r="F1959" s="22" t="str">
        <f>IF(OR(E1959="",E1959="!!!"),"",IF(NOT(ISNA(VLOOKUP(E1959,E$1:E1958,1,FALSE()))),"OLD",IF(AND(E1959&lt;&gt;"",E1959&lt;&gt;"!!!"),"NEW","")))</f>
        <v> </v>
      </c>
      <c r="G1959" s="23" t="str">
        <f>IF(OR(E1959="",E1959="!!!"),"",IF(OR(J1959=0,AND(J1959=1,K1959=1),AND(J1959=1,I1959="SBJ"),AND(J1959=1,I1959=0)),"?IN_FOCUS",IF(J1959&lt;=2,"?ACTIVATED",IF(J1959&lt;&gt;"","?FAMILIAR",IF(F1959="NEW",IF(ISNA(VLOOKUP(E1959,#REF!,1,FALSE())),"?TYPE_IDENTIFIABLE","?REFERENTIAL"),"_")))))</f>
        <v> </v>
      </c>
      <c r="H1959" s="24" t="str">
        <f>IF(J1959&lt;&gt;1,"",IF(I1959="SBJ","CB","?"))</f>
        <v> </v>
      </c>
      <c r="I1959" s="25" t="str">
        <f>IF(OR(E1959="",E1959="!!!",F1959="NEW"),"",INDEX(B1958:B$2,-1+SUMPRODUCT(MAX(ROW(E1958:E$2)*(E1959=E1958:E$2)))))</f>
        <v> </v>
      </c>
      <c r="J1959" s="25" t="str">
        <f>IF(OR(E1959="",E1959="!!!",F1959="NEW"),"",COUNTBLANK(OFFSET(A$1,,,SUMPRODUCT(MAX(ROW(E$2:E1959)*(E1959=E$2:E1959)))))-COUNTBLANK(OFFSET(A$1,,,SUMPRODUCT(MAX(ROW(E$1:E1958)*(E2=E$1:E1958))))))</f>
        <v> </v>
      </c>
      <c r="K1959" s="25" t="str">
        <f>IF(OR(E1959="",E1959="!!!",F1959="NEW"),"",INDEX(J$1:J1958,SUMPRODUCT(MAX(ROW(E$1:E1958)*(E1959=E$1:E1958)))))</f>
        <v> </v>
      </c>
      <c r="L1959" s="26"/>
    </row>
    <row r="1960" spans="1:12">
      <c r="A1960" s="20" t="s">
        <v>1664</v>
      </c>
      <c r="E1960" s="21">
        <f>IF(D1960="?OLD","!!!","")</f>
        <v/>
      </c>
      <c r="F1960" s="22" t="str">
        <f>IF(OR(E1960="",E1960="!!!"),"",IF(NOT(ISNA(VLOOKUP(E1960,E$1:E1959,1,FALSE()))),"OLD",IF(AND(E1960&lt;&gt;"",E1960&lt;&gt;"!!!"),"NEW","")))</f>
        <v> </v>
      </c>
      <c r="G1960" s="23" t="str">
        <f>IF(OR(E1960="",E1960="!!!"),"",IF(OR(J1960=0,AND(J1960=1,K1960=1),AND(J1960=1,I1960="SBJ"),AND(J1960=1,I1960=0)),"?IN_FOCUS",IF(J1960&lt;=2,"?ACTIVATED",IF(J1960&lt;&gt;"","?FAMILIAR",IF(F1960="NEW",IF(ISNA(VLOOKUP(E1960,#REF!,1,FALSE())),"?TYPE_IDENTIFIABLE","?REFERENTIAL"),"_")))))</f>
        <v> </v>
      </c>
      <c r="H1960" s="24" t="str">
        <f>IF(J1960&lt;&gt;1,"",IF(I1960="SBJ","CB","?"))</f>
        <v> </v>
      </c>
      <c r="I1960" s="25" t="str">
        <f>IF(OR(E1960="",E1960="!!!",F1960="NEW"),"",INDEX(B1959:B$2,-1+SUMPRODUCT(MAX(ROW(E1959:E$2)*(E1960=E1959:E$2)))))</f>
        <v> </v>
      </c>
      <c r="J1960" s="25" t="str">
        <f>IF(OR(E1960="",E1960="!!!",F1960="NEW"),"",COUNTBLANK(OFFSET(A$1,,,SUMPRODUCT(MAX(ROW(E$2:E1960)*(E1960=E$2:E1960)))))-COUNTBLANK(OFFSET(A$1,,,SUMPRODUCT(MAX(ROW(E$1:E1959)*(E2=E$1:E1959))))))</f>
        <v> </v>
      </c>
      <c r="K1960" s="25" t="str">
        <f>IF(OR(E1960="",E1960="!!!",F1960="NEW"),"",INDEX(J$1:J1959,SUMPRODUCT(MAX(ROW(E$1:E1959)*(E1960=E$1:E1959)))))</f>
        <v> </v>
      </c>
      <c r="L1960" s="26"/>
    </row>
    <row r="1961" spans="1:12">
      <c r="A1961" s="20" t="s">
        <v>2103</v>
      </c>
      <c r="B1961" s="27" t="s">
        <v>1103</v>
      </c>
      <c r="C1961" s="27" t="s">
        <v>1156</v>
      </c>
      <c r="D1961" s="27" t="s">
        <v>1105</v>
      </c>
      <c r="E1961" s="21">
        <f>IF(D1961="?OLD","!!!","")</f>
        <v/>
      </c>
      <c r="F1961" s="22" t="str">
        <f>IF(OR(E1961="",E1961="!!!"),"",IF(NOT(ISNA(VLOOKUP(E1961,E$1:E1960,1,FALSE()))),"OLD",IF(AND(E1961&lt;&gt;"",E1961&lt;&gt;"!!!"),"NEW","")))</f>
        <v> </v>
      </c>
      <c r="G1961" s="23" t="str">
        <f>IF(OR(E1961="",E1961="!!!"),"",IF(OR(J1961=0,AND(J1961=1,K1961=1),AND(J1961=1,I1961="SBJ"),AND(J1961=1,I1961=0)),"?IN_FOCUS",IF(J1961&lt;=2,"?ACTIVATED",IF(J1961&lt;&gt;"","?FAMILIAR",IF(F1961="NEW",IF(ISNA(VLOOKUP(E1961,#REF!,1,FALSE())),"?TYPE_IDENTIFIABLE","?REFERENTIAL"),"_")))))</f>
        <v> </v>
      </c>
      <c r="H1961" s="24" t="str">
        <f>IF(J1961&lt;&gt;1,"",IF(I1961="SBJ","CB","?"))</f>
        <v> </v>
      </c>
      <c r="I1961" s="25" t="str">
        <f>IF(OR(E1961="",E1961="!!!",F1961="NEW"),"",INDEX(B1960:B$2,-1+SUMPRODUCT(MAX(ROW(E1960:E$2)*(E1961=E1960:E$2)))))</f>
        <v> </v>
      </c>
      <c r="J1961" s="25" t="str">
        <f>IF(OR(E1961="",E1961="!!!",F1961="NEW"),"",COUNTBLANK(OFFSET(A$1,,,SUMPRODUCT(MAX(ROW(E$2:E1961)*(E1961=E$2:E1961)))))-COUNTBLANK(OFFSET(A$1,,,SUMPRODUCT(MAX(ROW(E$1:E1960)*(E2=E$1:E1960))))))</f>
        <v> </v>
      </c>
      <c r="K1961" s="25" t="str">
        <f>IF(OR(E1961="",E1961="!!!",F1961="NEW"),"",INDEX(J$1:J1960,SUMPRODUCT(MAX(ROW(E$1:E1960)*(E1961=E$1:E1960)))))</f>
        <v> </v>
      </c>
      <c r="L1961" s="26"/>
    </row>
    <row r="1962" spans="1:12">
      <c r="A1962" s="20" t="s">
        <v>1225</v>
      </c>
      <c r="B1962" s="27" t="s">
        <v>1149</v>
      </c>
      <c r="C1962" s="27" t="s">
        <v>1108</v>
      </c>
      <c r="D1962" s="27" t="s">
        <v>1105</v>
      </c>
      <c r="E1962" s="21">
        <f>IF(D1962="?OLD","!!!","")</f>
        <v/>
      </c>
      <c r="F1962" s="22" t="str">
        <f>IF(OR(E1962="",E1962="!!!"),"",IF(NOT(ISNA(VLOOKUP(E1962,E$1:E1961,1,FALSE()))),"OLD",IF(AND(E1962&lt;&gt;"",E1962&lt;&gt;"!!!"),"NEW","")))</f>
        <v> </v>
      </c>
      <c r="G1962" s="23" t="str">
        <f>IF(OR(E1962="",E1962="!!!"),"",IF(OR(J1962=0,AND(J1962=1,K1962=1),AND(J1962=1,I1962="SBJ"),AND(J1962=1,I1962=0)),"?IN_FOCUS",IF(J1962&lt;=2,"?ACTIVATED",IF(J1962&lt;&gt;"","?FAMILIAR",IF(F1962="NEW",IF(ISNA(VLOOKUP(E1962,#REF!,1,FALSE())),"?TYPE_IDENTIFIABLE","?REFERENTIAL"),"_")))))</f>
        <v> </v>
      </c>
      <c r="H1962" s="24" t="str">
        <f>IF(J1962&lt;&gt;1,"",IF(I1962="SBJ","CB","?"))</f>
        <v> </v>
      </c>
      <c r="I1962" s="25" t="str">
        <f>IF(OR(E1962="",E1962="!!!",F1962="NEW"),"",INDEX(B1961:B$2,-1+SUMPRODUCT(MAX(ROW(E1961:E$2)*(E1962=E1961:E$2)))))</f>
        <v> </v>
      </c>
      <c r="J1962" s="25" t="str">
        <f>IF(OR(E1962="",E1962="!!!",F1962="NEW"),"",COUNTBLANK(OFFSET(A$1,,,SUMPRODUCT(MAX(ROW(E$2:E1962)*(E1962=E$2:E1962)))))-COUNTBLANK(OFFSET(A$1,,,SUMPRODUCT(MAX(ROW(E$1:E1961)*(E2=E$1:E1961))))))</f>
        <v> </v>
      </c>
      <c r="K1962" s="25" t="str">
        <f>IF(OR(E1962="",E1962="!!!",F1962="NEW"),"",INDEX(J$1:J1961,SUMPRODUCT(MAX(ROW(E$1:E1961)*(E1962=E$1:E1961)))))</f>
        <v> </v>
      </c>
      <c r="L1962" s="26"/>
    </row>
    <row r="1963" spans="1:12">
      <c r="A1963" s="20" t="s">
        <v>1351</v>
      </c>
      <c r="E1963" s="21">
        <f>IF(D1963="?OLD","!!!","")</f>
        <v/>
      </c>
      <c r="F1963" s="22" t="str">
        <f>IF(OR(E1963="",E1963="!!!"),"",IF(NOT(ISNA(VLOOKUP(E1963,E$1:E1962,1,FALSE()))),"OLD",IF(AND(E1963&lt;&gt;"",E1963&lt;&gt;"!!!"),"NEW","")))</f>
        <v> </v>
      </c>
      <c r="G1963" s="23" t="str">
        <f>IF(OR(E1963="",E1963="!!!"),"",IF(OR(J1963=0,AND(J1963=1,K1963=1),AND(J1963=1,I1963="SBJ"),AND(J1963=1,I1963=0)),"?IN_FOCUS",IF(J1963&lt;=2,"?ACTIVATED",IF(J1963&lt;&gt;"","?FAMILIAR",IF(F1963="NEW",IF(ISNA(VLOOKUP(E1963,#REF!,1,FALSE())),"?TYPE_IDENTIFIABLE","?REFERENTIAL"),"_")))))</f>
        <v> </v>
      </c>
      <c r="H1963" s="24" t="str">
        <f>IF(J1963&lt;&gt;1,"",IF(I1963="SBJ","CB","?"))</f>
        <v> </v>
      </c>
      <c r="I1963" s="25" t="str">
        <f>IF(OR(E1963="",E1963="!!!",F1963="NEW"),"",INDEX(B1962:B$2,-1+SUMPRODUCT(MAX(ROW(E1962:E$2)*(E1963=E1962:E$2)))))</f>
        <v> </v>
      </c>
      <c r="J1963" s="25" t="str">
        <f>IF(OR(E1963="",E1963="!!!",F1963="NEW"),"",COUNTBLANK(OFFSET(A$1,,,SUMPRODUCT(MAX(ROW(E$2:E1963)*(E1963=E$2:E1963)))))-COUNTBLANK(OFFSET(A$1,,,SUMPRODUCT(MAX(ROW(E$1:E1962)*(E2=E$1:E1962))))))</f>
        <v> </v>
      </c>
      <c r="K1963" s="25" t="str">
        <f>IF(OR(E1963="",E1963="!!!",F1963="NEW"),"",INDEX(J$1:J1962,SUMPRODUCT(MAX(ROW(E$1:E1962)*(E1963=E$1:E1962)))))</f>
        <v> </v>
      </c>
      <c r="L1963" s="26"/>
    </row>
    <row r="1964" spans="1:12">
      <c r="A1964" s="20"/>
    </row>
    <row r="1965" spans="1:12">
      <c r="A1965" s="20" t="s">
        <v>2104</v>
      </c>
    </row>
    <row r="1966" spans="1:12">
      <c r="A1966" s="20" t="s">
        <v>1191</v>
      </c>
      <c r="B1966" s="27" t="s">
        <v>1149</v>
      </c>
      <c r="C1966" s="27" t="s">
        <v>1126</v>
      </c>
      <c r="D1966" s="27" t="s">
        <v>1105</v>
      </c>
      <c r="E1966" s="21">
        <f>IF(D1966="?OLD","!!!","")</f>
        <v/>
      </c>
      <c r="F1966" s="22" t="str">
        <f>IF(OR(E1966="",E1966="!!!"),"",IF(NOT(ISNA(VLOOKUP(E1966,E$1:E1965,1,FALSE()))),"OLD",IF(AND(E1966&lt;&gt;"",E1966&lt;&gt;"!!!"),"NEW","")))</f>
        <v> </v>
      </c>
      <c r="G1966" s="23" t="str">
        <f>IF(OR(E1966="",E1966="!!!"),"",IF(OR(J1966=0,AND(J1966=1,K1966=1),AND(J1966=1,I1966="SBJ"),AND(J1966=1,I1966=0)),"?IN_FOCUS",IF(J1966&lt;=2,"?ACTIVATED",IF(J1966&lt;&gt;"","?FAMILIAR",IF(F1966="NEW",IF(ISNA(VLOOKUP(E1966,#REF!,1,FALSE())),"?TYPE_IDENTIFIABLE","?REFERENTIAL"),"_")))))</f>
        <v> </v>
      </c>
      <c r="H1966" s="24" t="str">
        <f>IF(J1966&lt;&gt;1,"",IF(I1966="SBJ","CB","?"))</f>
        <v> </v>
      </c>
      <c r="I1966" s="25" t="str">
        <f>IF(OR(E1966="",E1966="!!!",F1966="NEW"),"",INDEX(B1965:B$2,-1+SUMPRODUCT(MAX(ROW(E1965:E$2)*(E1966=E1965:E$2)))))</f>
        <v> </v>
      </c>
      <c r="J1966" s="25" t="str">
        <f>IF(OR(E1966="",E1966="!!!",F1966="NEW"),"",COUNTBLANK(OFFSET(A$1,,,SUMPRODUCT(MAX(ROW(E$2:E1966)*(E1966=E$2:E1966)))))-COUNTBLANK(OFFSET(A$1,,,SUMPRODUCT(MAX(ROW(E$1:E1965)*(E2=E$1:E1965))))))</f>
        <v> </v>
      </c>
      <c r="K1966" s="25" t="str">
        <f>IF(OR(E1966="",E1966="!!!",F1966="NEW"),"",INDEX(J$1:J1965,SUMPRODUCT(MAX(ROW(E$1:E1965)*(E1966=E$1:E1965)))))</f>
        <v> </v>
      </c>
      <c r="L1966" s="26"/>
    </row>
    <row r="1967" spans="1:12">
      <c r="A1967" s="20" t="s">
        <v>2105</v>
      </c>
      <c r="E1967" s="21">
        <f>IF(D1967="?OLD","!!!","")</f>
        <v/>
      </c>
      <c r="F1967" s="22" t="str">
        <f>IF(OR(E1967="",E1967="!!!"),"",IF(NOT(ISNA(VLOOKUP(E1967,E$1:E1966,1,FALSE()))),"OLD",IF(AND(E1967&lt;&gt;"",E1967&lt;&gt;"!!!"),"NEW","")))</f>
        <v> </v>
      </c>
      <c r="G1967" s="23" t="str">
        <f>IF(OR(E1967="",E1967="!!!"),"",IF(OR(J1967=0,AND(J1967=1,K1967=1),AND(J1967=1,I1967="SBJ"),AND(J1967=1,I1967=0)),"?IN_FOCUS",IF(J1967&lt;=2,"?ACTIVATED",IF(J1967&lt;&gt;"","?FAMILIAR",IF(F1967="NEW",IF(ISNA(VLOOKUP(E1967,#REF!,1,FALSE())),"?TYPE_IDENTIFIABLE","?REFERENTIAL"),"_")))))</f>
        <v> </v>
      </c>
      <c r="H1967" s="24" t="str">
        <f>IF(J1967&lt;&gt;1,"",IF(I1967="SBJ","CB","?"))</f>
        <v> </v>
      </c>
      <c r="I1967" s="25" t="str">
        <f>IF(OR(E1967="",E1967="!!!",F1967="NEW"),"",INDEX(B1966:B$2,-1+SUMPRODUCT(MAX(ROW(E1966:E$2)*(E1967=E1966:E$2)))))</f>
        <v> </v>
      </c>
      <c r="J1967" s="25" t="str">
        <f>IF(OR(E1967="",E1967="!!!",F1967="NEW"),"",COUNTBLANK(OFFSET(A$1,,,SUMPRODUCT(MAX(ROW(E$2:E1967)*(E1967=E$2:E1967)))))-COUNTBLANK(OFFSET(A$1,,,SUMPRODUCT(MAX(ROW(E$1:E1966)*(E2=E$1:E1966))))))</f>
        <v> </v>
      </c>
      <c r="K1967" s="25" t="str">
        <f>IF(OR(E1967="",E1967="!!!",F1967="NEW"),"",INDEX(J$1:J1966,SUMPRODUCT(MAX(ROW(E$1:E1966)*(E1967=E$1:E1966)))))</f>
        <v> </v>
      </c>
      <c r="L1967" s="26"/>
    </row>
    <row r="1968" spans="1:12">
      <c r="A1968" s="20" t="s">
        <v>2106</v>
      </c>
      <c r="E1968" s="21">
        <f>IF(D1968="?OLD","!!!","")</f>
        <v/>
      </c>
      <c r="F1968" s="22" t="str">
        <f>IF(OR(E1968="",E1968="!!!"),"",IF(NOT(ISNA(VLOOKUP(E1968,E$1:E1967,1,FALSE()))),"OLD",IF(AND(E1968&lt;&gt;"",E1968&lt;&gt;"!!!"),"NEW","")))</f>
        <v> </v>
      </c>
      <c r="G1968" s="23" t="str">
        <f>IF(OR(E1968="",E1968="!!!"),"",IF(OR(J1968=0,AND(J1968=1,K1968=1),AND(J1968=1,I1968="SBJ"),AND(J1968=1,I1968=0)),"?IN_FOCUS",IF(J1968&lt;=2,"?ACTIVATED",IF(J1968&lt;&gt;"","?FAMILIAR",IF(F1968="NEW",IF(ISNA(VLOOKUP(E1968,#REF!,1,FALSE())),"?TYPE_IDENTIFIABLE","?REFERENTIAL"),"_")))))</f>
        <v> </v>
      </c>
      <c r="H1968" s="24" t="str">
        <f>IF(J1968&lt;&gt;1,"",IF(I1968="SBJ","CB","?"))</f>
        <v> </v>
      </c>
      <c r="I1968" s="25" t="str">
        <f>IF(OR(E1968="",E1968="!!!",F1968="NEW"),"",INDEX(B1967:B$2,-1+SUMPRODUCT(MAX(ROW(E1967:E$2)*(E1968=E1967:E$2)))))</f>
        <v> </v>
      </c>
      <c r="J1968" s="25" t="str">
        <f>IF(OR(E1968="",E1968="!!!",F1968="NEW"),"",COUNTBLANK(OFFSET(A$1,,,SUMPRODUCT(MAX(ROW(E$2:E1968)*(E1968=E$2:E1968)))))-COUNTBLANK(OFFSET(A$1,,,SUMPRODUCT(MAX(ROW(E$1:E1967)*(E2=E$1:E1967))))))</f>
        <v> </v>
      </c>
      <c r="K1968" s="25" t="str">
        <f>IF(OR(E1968="",E1968="!!!",F1968="NEW"),"",INDEX(J$1:J1967,SUMPRODUCT(MAX(ROW(E$1:E1967)*(E1968=E$1:E1967)))))</f>
        <v> </v>
      </c>
      <c r="L1968" s="26"/>
    </row>
    <row r="1969" spans="1:12">
      <c r="A1969" s="20" t="s">
        <v>2107</v>
      </c>
      <c r="E1969" s="21">
        <f>IF(D1969="?OLD","!!!","")</f>
        <v/>
      </c>
      <c r="F1969" s="22" t="str">
        <f>IF(OR(E1969="",E1969="!!!"),"",IF(NOT(ISNA(VLOOKUP(E1969,E$1:E1968,1,FALSE()))),"OLD",IF(AND(E1969&lt;&gt;"",E1969&lt;&gt;"!!!"),"NEW","")))</f>
        <v> </v>
      </c>
      <c r="G1969" s="23" t="str">
        <f>IF(OR(E1969="",E1969="!!!"),"",IF(OR(J1969=0,AND(J1969=1,K1969=1),AND(J1969=1,I1969="SBJ"),AND(J1969=1,I1969=0)),"?IN_FOCUS",IF(J1969&lt;=2,"?ACTIVATED",IF(J1969&lt;&gt;"","?FAMILIAR",IF(F1969="NEW",IF(ISNA(VLOOKUP(E1969,#REF!,1,FALSE())),"?TYPE_IDENTIFIABLE","?REFERENTIAL"),"_")))))</f>
        <v> </v>
      </c>
      <c r="H1969" s="24" t="str">
        <f>IF(J1969&lt;&gt;1,"",IF(I1969="SBJ","CB","?"))</f>
        <v> </v>
      </c>
      <c r="I1969" s="25" t="str">
        <f>IF(OR(E1969="",E1969="!!!",F1969="NEW"),"",INDEX(B1968:B$2,-1+SUMPRODUCT(MAX(ROW(E1968:E$2)*(E1969=E1968:E$2)))))</f>
        <v> </v>
      </c>
      <c r="J1969" s="25" t="str">
        <f>IF(OR(E1969="",E1969="!!!",F1969="NEW"),"",COUNTBLANK(OFFSET(A$1,,,SUMPRODUCT(MAX(ROW(E$2:E1969)*(E1969=E$2:E1969)))))-COUNTBLANK(OFFSET(A$1,,,SUMPRODUCT(MAX(ROW(E$1:E1968)*(E2=E$1:E1968))))))</f>
        <v> </v>
      </c>
      <c r="K1969" s="25" t="str">
        <f>IF(OR(E1969="",E1969="!!!",F1969="NEW"),"",INDEX(J$1:J1968,SUMPRODUCT(MAX(ROW(E$1:E1968)*(E1969=E$1:E1968)))))</f>
        <v> </v>
      </c>
      <c r="L1969" s="26"/>
    </row>
    <row r="1970" spans="1:12">
      <c r="A1970" s="20" t="s">
        <v>2108</v>
      </c>
      <c r="E1970" s="21">
        <f>IF(D1970="?OLD","!!!","")</f>
        <v/>
      </c>
      <c r="F1970" s="22" t="str">
        <f>IF(OR(E1970="",E1970="!!!"),"",IF(NOT(ISNA(VLOOKUP(E1970,E$1:E1969,1,FALSE()))),"OLD",IF(AND(E1970&lt;&gt;"",E1970&lt;&gt;"!!!"),"NEW","")))</f>
        <v> </v>
      </c>
      <c r="G1970" s="23" t="str">
        <f>IF(OR(E1970="",E1970="!!!"),"",IF(OR(J1970=0,AND(J1970=1,K1970=1),AND(J1970=1,I1970="SBJ"),AND(J1970=1,I1970=0)),"?IN_FOCUS",IF(J1970&lt;=2,"?ACTIVATED",IF(J1970&lt;&gt;"","?FAMILIAR",IF(F1970="NEW",IF(ISNA(VLOOKUP(E1970,#REF!,1,FALSE())),"?TYPE_IDENTIFIABLE","?REFERENTIAL"),"_")))))</f>
        <v> </v>
      </c>
      <c r="H1970" s="24" t="str">
        <f>IF(J1970&lt;&gt;1,"",IF(I1970="SBJ","CB","?"))</f>
        <v> </v>
      </c>
      <c r="I1970" s="25" t="str">
        <f>IF(OR(E1970="",E1970="!!!",F1970="NEW"),"",INDEX(B1969:B$2,-1+SUMPRODUCT(MAX(ROW(E1969:E$2)*(E1970=E1969:E$2)))))</f>
        <v> </v>
      </c>
      <c r="J1970" s="25" t="str">
        <f>IF(OR(E1970="",E1970="!!!",F1970="NEW"),"",COUNTBLANK(OFFSET(A$1,,,SUMPRODUCT(MAX(ROW(E$2:E1970)*(E1970=E$2:E1970)))))-COUNTBLANK(OFFSET(A$1,,,SUMPRODUCT(MAX(ROW(E$1:E1969)*(E2=E$1:E1969))))))</f>
        <v> </v>
      </c>
      <c r="K1970" s="25" t="str">
        <f>IF(OR(E1970="",E1970="!!!",F1970="NEW"),"",INDEX(J$1:J1969,SUMPRODUCT(MAX(ROW(E$1:E1969)*(E1970=E$1:E1969)))))</f>
        <v> </v>
      </c>
      <c r="L1970" s="26"/>
    </row>
    <row r="1971" spans="1:12">
      <c r="A1971" s="20" t="s">
        <v>1123</v>
      </c>
      <c r="E1971" s="21">
        <f>IF(D1971="?OLD","!!!","")</f>
        <v/>
      </c>
      <c r="F1971" s="22" t="str">
        <f>IF(OR(E1971="",E1971="!!!"),"",IF(NOT(ISNA(VLOOKUP(E1971,E$1:E1970,1,FALSE()))),"OLD",IF(AND(E1971&lt;&gt;"",E1971&lt;&gt;"!!!"),"NEW","")))</f>
        <v> </v>
      </c>
      <c r="G1971" s="23" t="str">
        <f>IF(OR(E1971="",E1971="!!!"),"",IF(OR(J1971=0,AND(J1971=1,K1971=1),AND(J1971=1,I1971="SBJ"),AND(J1971=1,I1971=0)),"?IN_FOCUS",IF(J1971&lt;=2,"?ACTIVATED",IF(J1971&lt;&gt;"","?FAMILIAR",IF(F1971="NEW",IF(ISNA(VLOOKUP(E1971,#REF!,1,FALSE())),"?TYPE_IDENTIFIABLE","?REFERENTIAL"),"_")))))</f>
        <v> </v>
      </c>
      <c r="H1971" s="24" t="str">
        <f>IF(J1971&lt;&gt;1,"",IF(I1971="SBJ","CB","?"))</f>
        <v> </v>
      </c>
      <c r="I1971" s="25" t="str">
        <f>IF(OR(E1971="",E1971="!!!",F1971="NEW"),"",INDEX(B1970:B$2,-1+SUMPRODUCT(MAX(ROW(E1970:E$2)*(E1971=E1970:E$2)))))</f>
        <v> </v>
      </c>
      <c r="J1971" s="25" t="str">
        <f>IF(OR(E1971="",E1971="!!!",F1971="NEW"),"",COUNTBLANK(OFFSET(A$1,,,SUMPRODUCT(MAX(ROW(E$2:E1971)*(E1971=E$2:E1971)))))-COUNTBLANK(OFFSET(A$1,,,SUMPRODUCT(MAX(ROW(E$1:E1970)*(E2=E$1:E1970))))))</f>
        <v> </v>
      </c>
      <c r="K1971" s="25" t="str">
        <f>IF(OR(E1971="",E1971="!!!",F1971="NEW"),"",INDEX(J$1:J1970,SUMPRODUCT(MAX(ROW(E$1:E1970)*(E1971=E$1:E1970)))))</f>
        <v> </v>
      </c>
      <c r="L1971" s="26"/>
    </row>
    <row r="1972" spans="1:12">
      <c r="A1972" s="20" t="s">
        <v>1197</v>
      </c>
      <c r="E1972" s="21">
        <f>IF(D1972="?OLD","!!!","")</f>
        <v/>
      </c>
      <c r="F1972" s="22" t="str">
        <f>IF(OR(E1972="",E1972="!!!"),"",IF(NOT(ISNA(VLOOKUP(E1972,E$1:E1971,1,FALSE()))),"OLD",IF(AND(E1972&lt;&gt;"",E1972&lt;&gt;"!!!"),"NEW","")))</f>
        <v> </v>
      </c>
      <c r="G1972" s="23" t="str">
        <f>IF(OR(E1972="",E1972="!!!"),"",IF(OR(J1972=0,AND(J1972=1,K1972=1),AND(J1972=1,I1972="SBJ"),AND(J1972=1,I1972=0)),"?IN_FOCUS",IF(J1972&lt;=2,"?ACTIVATED",IF(J1972&lt;&gt;"","?FAMILIAR",IF(F1972="NEW",IF(ISNA(VLOOKUP(E1972,#REF!,1,FALSE())),"?TYPE_IDENTIFIABLE","?REFERENTIAL"),"_")))))</f>
        <v> </v>
      </c>
      <c r="H1972" s="24" t="str">
        <f>IF(J1972&lt;&gt;1,"",IF(I1972="SBJ","CB","?"))</f>
        <v> </v>
      </c>
      <c r="I1972" s="25" t="str">
        <f>IF(OR(E1972="",E1972="!!!",F1972="NEW"),"",INDEX(B1971:B$2,-1+SUMPRODUCT(MAX(ROW(E1971:E$2)*(E1972=E1971:E$2)))))</f>
        <v> </v>
      </c>
      <c r="J1972" s="25" t="str">
        <f>IF(OR(E1972="",E1972="!!!",F1972="NEW"),"",COUNTBLANK(OFFSET(A$1,,,SUMPRODUCT(MAX(ROW(E$2:E1972)*(E1972=E$2:E1972)))))-COUNTBLANK(OFFSET(A$1,,,SUMPRODUCT(MAX(ROW(E$1:E1971)*(E2=E$1:E1971))))))</f>
        <v> </v>
      </c>
      <c r="K1972" s="25" t="str">
        <f>IF(OR(E1972="",E1972="!!!",F1972="NEW"),"",INDEX(J$1:J1971,SUMPRODUCT(MAX(ROW(E$1:E1971)*(E1972=E$1:E1971)))))</f>
        <v> </v>
      </c>
      <c r="L1972" s="26"/>
    </row>
    <row r="1973" spans="1:12">
      <c r="A1973" s="20" t="s">
        <v>1124</v>
      </c>
      <c r="B1973" s="27" t="s">
        <v>1122</v>
      </c>
      <c r="C1973" s="27" t="s">
        <v>1126</v>
      </c>
      <c r="D1973" s="27" t="s">
        <v>1105</v>
      </c>
      <c r="E1973" s="21">
        <f>IF(D1973="?OLD","!!!","")</f>
        <v/>
      </c>
      <c r="F1973" s="22" t="str">
        <f>IF(OR(E1973="",E1973="!!!"),"",IF(NOT(ISNA(VLOOKUP(E1973,E$1:E1972,1,FALSE()))),"OLD",IF(AND(E1973&lt;&gt;"",E1973&lt;&gt;"!!!"),"NEW","")))</f>
        <v> </v>
      </c>
      <c r="G1973" s="23" t="str">
        <f>IF(OR(E1973="",E1973="!!!"),"",IF(OR(J1973=0,AND(J1973=1,K1973=1),AND(J1973=1,I1973="SBJ"),AND(J1973=1,I1973=0)),"?IN_FOCUS",IF(J1973&lt;=2,"?ACTIVATED",IF(J1973&lt;&gt;"","?FAMILIAR",IF(F1973="NEW",IF(ISNA(VLOOKUP(E1973,#REF!,1,FALSE())),"?TYPE_IDENTIFIABLE","?REFERENTIAL"),"_")))))</f>
        <v> </v>
      </c>
      <c r="H1973" s="24" t="str">
        <f>IF(J1973&lt;&gt;1,"",IF(I1973="SBJ","CB","?"))</f>
        <v> </v>
      </c>
      <c r="I1973" s="25" t="str">
        <f>IF(OR(E1973="",E1973="!!!",F1973="NEW"),"",INDEX(B1972:B$2,-1+SUMPRODUCT(MAX(ROW(E1972:E$2)*(E1973=E1972:E$2)))))</f>
        <v> </v>
      </c>
      <c r="J1973" s="25" t="str">
        <f>IF(OR(E1973="",E1973="!!!",F1973="NEW"),"",COUNTBLANK(OFFSET(A$1,,,SUMPRODUCT(MAX(ROW(E$2:E1973)*(E1973=E$2:E1973)))))-COUNTBLANK(OFFSET(A$1,,,SUMPRODUCT(MAX(ROW(E$1:E1972)*(E2=E$1:E1972))))))</f>
        <v> </v>
      </c>
      <c r="K1973" s="25" t="str">
        <f>IF(OR(E1973="",E1973="!!!",F1973="NEW"),"",INDEX(J$1:J1972,SUMPRODUCT(MAX(ROW(E$1:E1972)*(E1973=E$1:E1972)))))</f>
        <v> </v>
      </c>
      <c r="L1973" s="26"/>
    </row>
    <row r="1974" spans="1:12">
      <c r="A1974" s="20" t="s">
        <v>2109</v>
      </c>
      <c r="E1974" s="21">
        <f>IF(D1974="?OLD","!!!","")</f>
        <v/>
      </c>
      <c r="F1974" s="22" t="str">
        <f>IF(OR(E1974="",E1974="!!!"),"",IF(NOT(ISNA(VLOOKUP(E1974,E$1:E1973,1,FALSE()))),"OLD",IF(AND(E1974&lt;&gt;"",E1974&lt;&gt;"!!!"),"NEW","")))</f>
        <v> </v>
      </c>
      <c r="G1974" s="23" t="str">
        <f>IF(OR(E1974="",E1974="!!!"),"",IF(OR(J1974=0,AND(J1974=1,K1974=1),AND(J1974=1,I1974="SBJ"),AND(J1974=1,I1974=0)),"?IN_FOCUS",IF(J1974&lt;=2,"?ACTIVATED",IF(J1974&lt;&gt;"","?FAMILIAR",IF(F1974="NEW",IF(ISNA(VLOOKUP(E1974,#REF!,1,FALSE())),"?TYPE_IDENTIFIABLE","?REFERENTIAL"),"_")))))</f>
        <v> </v>
      </c>
      <c r="H1974" s="24" t="str">
        <f>IF(J1974&lt;&gt;1,"",IF(I1974="SBJ","CB","?"))</f>
        <v> </v>
      </c>
      <c r="I1974" s="25" t="str">
        <f>IF(OR(E1974="",E1974="!!!",F1974="NEW"),"",INDEX(B1973:B$2,-1+SUMPRODUCT(MAX(ROW(E1973:E$2)*(E1974=E1973:E$2)))))</f>
        <v> </v>
      </c>
      <c r="J1974" s="25" t="str">
        <f>IF(OR(E1974="",E1974="!!!",F1974="NEW"),"",COUNTBLANK(OFFSET(A$1,,,SUMPRODUCT(MAX(ROW(E$2:E1974)*(E1974=E$2:E1974)))))-COUNTBLANK(OFFSET(A$1,,,SUMPRODUCT(MAX(ROW(E$1:E1973)*(E2=E$1:E1973))))))</f>
        <v> </v>
      </c>
      <c r="K1974" s="25" t="str">
        <f>IF(OR(E1974="",E1974="!!!",F1974="NEW"),"",INDEX(J$1:J1973,SUMPRODUCT(MAX(ROW(E$1:E1973)*(E1974=E$1:E1973)))))</f>
        <v> </v>
      </c>
      <c r="L1974" s="26"/>
    </row>
    <row r="1975" spans="1:12">
      <c r="A1975" s="20" t="s">
        <v>1469</v>
      </c>
      <c r="B1975" s="27" t="s">
        <v>1243</v>
      </c>
      <c r="C1975" s="27" t="s">
        <v>1126</v>
      </c>
      <c r="D1975" s="27" t="s">
        <v>1105</v>
      </c>
      <c r="E1975" s="21">
        <f>IF(D1975="?OLD","!!!","")</f>
        <v/>
      </c>
      <c r="F1975" s="22" t="str">
        <f>IF(OR(E1975="",E1975="!!!"),"",IF(NOT(ISNA(VLOOKUP(E1975,E$1:E1974,1,FALSE()))),"OLD",IF(AND(E1975&lt;&gt;"",E1975&lt;&gt;"!!!"),"NEW","")))</f>
        <v> </v>
      </c>
      <c r="G1975" s="23" t="str">
        <f>IF(OR(E1975="",E1975="!!!"),"",IF(OR(J1975=0,AND(J1975=1,K1975=1),AND(J1975=1,I1975="SBJ"),AND(J1975=1,I1975=0)),"?IN_FOCUS",IF(J1975&lt;=2,"?ACTIVATED",IF(J1975&lt;&gt;"","?FAMILIAR",IF(F1975="NEW",IF(ISNA(VLOOKUP(E1975,#REF!,1,FALSE())),"?TYPE_IDENTIFIABLE","?REFERENTIAL"),"_")))))</f>
        <v> </v>
      </c>
      <c r="H1975" s="24" t="str">
        <f>IF(J1975&lt;&gt;1,"",IF(I1975="SBJ","CB","?"))</f>
        <v> </v>
      </c>
      <c r="I1975" s="25" t="str">
        <f>IF(OR(E1975="",E1975="!!!",F1975="NEW"),"",INDEX(B1974:B$2,-1+SUMPRODUCT(MAX(ROW(E1974:E$2)*(E1975=E1974:E$2)))))</f>
        <v> </v>
      </c>
      <c r="J1975" s="25" t="str">
        <f>IF(OR(E1975="",E1975="!!!",F1975="NEW"),"",COUNTBLANK(OFFSET(A$1,,,SUMPRODUCT(MAX(ROW(E$2:E1975)*(E1975=E$2:E1975)))))-COUNTBLANK(OFFSET(A$1,,,SUMPRODUCT(MAX(ROW(E$1:E1974)*(E2=E$1:E1974))))))</f>
        <v> </v>
      </c>
      <c r="K1975" s="25" t="str">
        <f>IF(OR(E1975="",E1975="!!!",F1975="NEW"),"",INDEX(J$1:J1974,SUMPRODUCT(MAX(ROW(E$1:E1974)*(E1975=E$1:E1974)))))</f>
        <v> </v>
      </c>
      <c r="L1975" s="26"/>
    </row>
    <row r="1976" spans="1:12">
      <c r="A1976" s="20" t="s">
        <v>1249</v>
      </c>
      <c r="E1976" s="21">
        <f>IF(D1976="?OLD","!!!","")</f>
        <v/>
      </c>
      <c r="F1976" s="22" t="str">
        <f>IF(OR(E1976="",E1976="!!!"),"",IF(NOT(ISNA(VLOOKUP(E1976,E$1:E1975,1,FALSE()))),"OLD",IF(AND(E1976&lt;&gt;"",E1976&lt;&gt;"!!!"),"NEW","")))</f>
        <v> </v>
      </c>
      <c r="G1976" s="23" t="str">
        <f>IF(OR(E1976="",E1976="!!!"),"",IF(OR(J1976=0,AND(J1976=1,K1976=1),AND(J1976=1,I1976="SBJ"),AND(J1976=1,I1976=0)),"?IN_FOCUS",IF(J1976&lt;=2,"?ACTIVATED",IF(J1976&lt;&gt;"","?FAMILIAR",IF(F1976="NEW",IF(ISNA(VLOOKUP(E1976,#REF!,1,FALSE())),"?TYPE_IDENTIFIABLE","?REFERENTIAL"),"_")))))</f>
        <v> </v>
      </c>
      <c r="H1976" s="24" t="str">
        <f>IF(J1976&lt;&gt;1,"",IF(I1976="SBJ","CB","?"))</f>
        <v> </v>
      </c>
      <c r="I1976" s="25" t="str">
        <f>IF(OR(E1976="",E1976="!!!",F1976="NEW"),"",INDEX(B1975:B$2,-1+SUMPRODUCT(MAX(ROW(E1975:E$2)*(E1976=E1975:E$2)))))</f>
        <v> </v>
      </c>
      <c r="J1976" s="25" t="str">
        <f>IF(OR(E1976="",E1976="!!!",F1976="NEW"),"",COUNTBLANK(OFFSET(A$1,,,SUMPRODUCT(MAX(ROW(E$2:E1976)*(E1976=E$2:E1976)))))-COUNTBLANK(OFFSET(A$1,,,SUMPRODUCT(MAX(ROW(E$1:E1975)*(E2=E$1:E1975))))))</f>
        <v> </v>
      </c>
      <c r="K1976" s="25" t="str">
        <f>IF(OR(E1976="",E1976="!!!",F1976="NEW"),"",INDEX(J$1:J1975,SUMPRODUCT(MAX(ROW(E$1:E1975)*(E1976=E$1:E1975)))))</f>
        <v> </v>
      </c>
      <c r="L1976" s="26"/>
    </row>
    <row r="1977" spans="1:12">
      <c r="A1977" s="20" t="s">
        <v>2110</v>
      </c>
      <c r="E1977" s="21">
        <f>IF(D1977="?OLD","!!!","")</f>
        <v/>
      </c>
      <c r="F1977" s="22" t="str">
        <f>IF(OR(E1977="",E1977="!!!"),"",IF(NOT(ISNA(VLOOKUP(E1977,E$1:E1976,1,FALSE()))),"OLD",IF(AND(E1977&lt;&gt;"",E1977&lt;&gt;"!!!"),"NEW","")))</f>
        <v> </v>
      </c>
      <c r="G1977" s="23" t="str">
        <f>IF(OR(E1977="",E1977="!!!"),"",IF(OR(J1977=0,AND(J1977=1,K1977=1),AND(J1977=1,I1977="SBJ"),AND(J1977=1,I1977=0)),"?IN_FOCUS",IF(J1977&lt;=2,"?ACTIVATED",IF(J1977&lt;&gt;"","?FAMILIAR",IF(F1977="NEW",IF(ISNA(VLOOKUP(E1977,#REF!,1,FALSE())),"?TYPE_IDENTIFIABLE","?REFERENTIAL"),"_")))))</f>
        <v> </v>
      </c>
      <c r="H1977" s="24" t="str">
        <f>IF(J1977&lt;&gt;1,"",IF(I1977="SBJ","CB","?"))</f>
        <v> </v>
      </c>
      <c r="I1977" s="25" t="str">
        <f>IF(OR(E1977="",E1977="!!!",F1977="NEW"),"",INDEX(B1976:B$2,-1+SUMPRODUCT(MAX(ROW(E1976:E$2)*(E1977=E1976:E$2)))))</f>
        <v> </v>
      </c>
      <c r="J1977" s="25" t="str">
        <f>IF(OR(E1977="",E1977="!!!",F1977="NEW"),"",COUNTBLANK(OFFSET(A$1,,,SUMPRODUCT(MAX(ROW(E$2:E1977)*(E1977=E$2:E1977)))))-COUNTBLANK(OFFSET(A$1,,,SUMPRODUCT(MAX(ROW(E$1:E1976)*(E2=E$1:E1976))))))</f>
        <v> </v>
      </c>
      <c r="K1977" s="25" t="str">
        <f>IF(OR(E1977="",E1977="!!!",F1977="NEW"),"",INDEX(J$1:J1976,SUMPRODUCT(MAX(ROW(E$1:E1976)*(E1977=E$1:E1976)))))</f>
        <v> </v>
      </c>
      <c r="L1977" s="26"/>
    </row>
    <row r="1978" spans="1:12">
      <c r="A1978" s="20" t="s">
        <v>1616</v>
      </c>
      <c r="E1978" s="21">
        <f>IF(D1978="?OLD","!!!","")</f>
        <v/>
      </c>
      <c r="F1978" s="22" t="str">
        <f>IF(OR(E1978="",E1978="!!!"),"",IF(NOT(ISNA(VLOOKUP(E1978,E$1:E1977,1,FALSE()))),"OLD",IF(AND(E1978&lt;&gt;"",E1978&lt;&gt;"!!!"),"NEW","")))</f>
        <v> </v>
      </c>
      <c r="G1978" s="23" t="str">
        <f>IF(OR(E1978="",E1978="!!!"),"",IF(OR(J1978=0,AND(J1978=1,K1978=1),AND(J1978=1,I1978="SBJ"),AND(J1978=1,I1978=0)),"?IN_FOCUS",IF(J1978&lt;=2,"?ACTIVATED",IF(J1978&lt;&gt;"","?FAMILIAR",IF(F1978="NEW",IF(ISNA(VLOOKUP(E1978,#REF!,1,FALSE())),"?TYPE_IDENTIFIABLE","?REFERENTIAL"),"_")))))</f>
        <v> </v>
      </c>
      <c r="H1978" s="24" t="str">
        <f>IF(J1978&lt;&gt;1,"",IF(I1978="SBJ","CB","?"))</f>
        <v> </v>
      </c>
      <c r="I1978" s="25" t="str">
        <f>IF(OR(E1978="",E1978="!!!",F1978="NEW"),"",INDEX(B1977:B$2,-1+SUMPRODUCT(MAX(ROW(E1977:E$2)*(E1978=E1977:E$2)))))</f>
        <v> </v>
      </c>
      <c r="J1978" s="25" t="str">
        <f>IF(OR(E1978="",E1978="!!!",F1978="NEW"),"",COUNTBLANK(OFFSET(A$1,,,SUMPRODUCT(MAX(ROW(E$2:E1978)*(E1978=E$2:E1978)))))-COUNTBLANK(OFFSET(A$1,,,SUMPRODUCT(MAX(ROW(E$1:E1977)*(E2=E$1:E1977))))))</f>
        <v> </v>
      </c>
      <c r="K1978" s="25" t="str">
        <f>IF(OR(E1978="",E1978="!!!",F1978="NEW"),"",INDEX(J$1:J1977,SUMPRODUCT(MAX(ROW(E$1:E1977)*(E1978=E$1:E1977)))))</f>
        <v> </v>
      </c>
      <c r="L1978" s="26"/>
    </row>
    <row r="1979" spans="1:12">
      <c r="A1979" s="20" t="s">
        <v>2111</v>
      </c>
      <c r="B1979" s="27" t="s">
        <v>1107</v>
      </c>
      <c r="C1979" s="27" t="s">
        <v>1116</v>
      </c>
      <c r="E1979" s="21">
        <f>IF(D1979="?OLD","!!!","")</f>
        <v/>
      </c>
      <c r="F1979" s="22" t="str">
        <f>IF(OR(E1979="",E1979="!!!"),"",IF(NOT(ISNA(VLOOKUP(E1979,E$1:E1978,1,FALSE()))),"OLD",IF(AND(E1979&lt;&gt;"",E1979&lt;&gt;"!!!"),"NEW","")))</f>
        <v> </v>
      </c>
      <c r="G1979" s="23" t="str">
        <f>IF(OR(E1979="",E1979="!!!"),"",IF(OR(J1979=0,AND(J1979=1,K1979=1),AND(J1979=1,I1979="SBJ"),AND(J1979=1,I1979=0)),"?IN_FOCUS",IF(J1979&lt;=2,"?ACTIVATED",IF(J1979&lt;&gt;"","?FAMILIAR",IF(F1979="NEW",IF(ISNA(VLOOKUP(E1979,#REF!,1,FALSE())),"?TYPE_IDENTIFIABLE","?REFERENTIAL"),"_")))))</f>
        <v> </v>
      </c>
      <c r="H1979" s="24" t="str">
        <f>IF(J1979&lt;&gt;1,"",IF(I1979="SBJ","CB","?"))</f>
        <v> </v>
      </c>
      <c r="I1979" s="25" t="str">
        <f>IF(OR(E1979="",E1979="!!!",F1979="NEW"),"",INDEX(B1978:B$2,-1+SUMPRODUCT(MAX(ROW(E1978:E$2)*(E1979=E1978:E$2)))))</f>
        <v> </v>
      </c>
      <c r="J1979" s="25" t="str">
        <f>IF(OR(E1979="",E1979="!!!",F1979="NEW"),"",COUNTBLANK(OFFSET(A$1,,,SUMPRODUCT(MAX(ROW(E$2:E1979)*(E1979=E$2:E1979)))))-COUNTBLANK(OFFSET(A$1,,,SUMPRODUCT(MAX(ROW(E$1:E1978)*(E2=E$1:E1978))))))</f>
        <v> </v>
      </c>
      <c r="K1979" s="25" t="str">
        <f>IF(OR(E1979="",E1979="!!!",F1979="NEW"),"",INDEX(J$1:J1978,SUMPRODUCT(MAX(ROW(E$1:E1978)*(E1979=E$1:E1978)))))</f>
        <v> </v>
      </c>
      <c r="L1979" s="26"/>
    </row>
    <row r="1980" spans="1:12">
      <c r="A1980" s="20" t="s">
        <v>1123</v>
      </c>
      <c r="E1980" s="21">
        <f>IF(D1980="?OLD","!!!","")</f>
        <v/>
      </c>
      <c r="F1980" s="22" t="str">
        <f>IF(OR(E1980="",E1980="!!!"),"",IF(NOT(ISNA(VLOOKUP(E1980,E$1:E1979,1,FALSE()))),"OLD",IF(AND(E1980&lt;&gt;"",E1980&lt;&gt;"!!!"),"NEW","")))</f>
        <v> </v>
      </c>
      <c r="G1980" s="23" t="str">
        <f>IF(OR(E1980="",E1980="!!!"),"",IF(OR(J1980=0,AND(J1980=1,K1980=1),AND(J1980=1,I1980="SBJ"),AND(J1980=1,I1980=0)),"?IN_FOCUS",IF(J1980&lt;=2,"?ACTIVATED",IF(J1980&lt;&gt;"","?FAMILIAR",IF(F1980="NEW",IF(ISNA(VLOOKUP(E1980,#REF!,1,FALSE())),"?TYPE_IDENTIFIABLE","?REFERENTIAL"),"_")))))</f>
        <v> </v>
      </c>
      <c r="H1980" s="24" t="str">
        <f>IF(J1980&lt;&gt;1,"",IF(I1980="SBJ","CB","?"))</f>
        <v> </v>
      </c>
      <c r="I1980" s="25" t="str">
        <f>IF(OR(E1980="",E1980="!!!",F1980="NEW"),"",INDEX(B1979:B$2,-1+SUMPRODUCT(MAX(ROW(E1979:E$2)*(E1980=E1979:E$2)))))</f>
        <v> </v>
      </c>
      <c r="J1980" s="25" t="str">
        <f>IF(OR(E1980="",E1980="!!!",F1980="NEW"),"",COUNTBLANK(OFFSET(A$1,,,SUMPRODUCT(MAX(ROW(E$2:E1980)*(E1980=E$2:E1980)))))-COUNTBLANK(OFFSET(A$1,,,SUMPRODUCT(MAX(ROW(E$1:E1979)*(E2=E$1:E1979))))))</f>
        <v> </v>
      </c>
      <c r="K1980" s="25" t="str">
        <f>IF(OR(E1980="",E1980="!!!",F1980="NEW"),"",INDEX(J$1:J1979,SUMPRODUCT(MAX(ROW(E$1:E1979)*(E1980=E$1:E1979)))))</f>
        <v> </v>
      </c>
      <c r="L1980" s="26"/>
    </row>
    <row r="1981" spans="1:12">
      <c r="A1981" s="20" t="s">
        <v>1249</v>
      </c>
      <c r="E1981" s="21">
        <f>IF(D1981="?OLD","!!!","")</f>
        <v/>
      </c>
      <c r="F1981" s="22" t="str">
        <f>IF(OR(E1981="",E1981="!!!"),"",IF(NOT(ISNA(VLOOKUP(E1981,E$1:E1980,1,FALSE()))),"OLD",IF(AND(E1981&lt;&gt;"",E1981&lt;&gt;"!!!"),"NEW","")))</f>
        <v> </v>
      </c>
      <c r="G1981" s="23" t="str">
        <f>IF(OR(E1981="",E1981="!!!"),"",IF(OR(J1981=0,AND(J1981=1,K1981=1),AND(J1981=1,I1981="SBJ"),AND(J1981=1,I1981=0)),"?IN_FOCUS",IF(J1981&lt;=2,"?ACTIVATED",IF(J1981&lt;&gt;"","?FAMILIAR",IF(F1981="NEW",IF(ISNA(VLOOKUP(E1981,#REF!,1,FALSE())),"?TYPE_IDENTIFIABLE","?REFERENTIAL"),"_")))))</f>
        <v> </v>
      </c>
      <c r="H1981" s="24" t="str">
        <f>IF(J1981&lt;&gt;1,"",IF(I1981="SBJ","CB","?"))</f>
        <v> </v>
      </c>
      <c r="I1981" s="25" t="str">
        <f>IF(OR(E1981="",E1981="!!!",F1981="NEW"),"",INDEX(B1980:B$2,-1+SUMPRODUCT(MAX(ROW(E1980:E$2)*(E1981=E1980:E$2)))))</f>
        <v> </v>
      </c>
      <c r="J1981" s="25" t="str">
        <f>IF(OR(E1981="",E1981="!!!",F1981="NEW"),"",COUNTBLANK(OFFSET(A$1,,,SUMPRODUCT(MAX(ROW(E$2:E1981)*(E1981=E$2:E1981)))))-COUNTBLANK(OFFSET(A$1,,,SUMPRODUCT(MAX(ROW(E$1:E1980)*(E2=E$1:E1980))))))</f>
        <v> </v>
      </c>
      <c r="K1981" s="25" t="str">
        <f>IF(OR(E1981="",E1981="!!!",F1981="NEW"),"",INDEX(J$1:J1980,SUMPRODUCT(MAX(ROW(E$1:E1980)*(E1981=E$1:E1980)))))</f>
        <v> </v>
      </c>
      <c r="L1981" s="26"/>
    </row>
    <row r="1982" spans="1:12">
      <c r="A1982" s="20" t="s">
        <v>1956</v>
      </c>
      <c r="E1982" s="21">
        <f>IF(D1982="?OLD","!!!","")</f>
        <v/>
      </c>
      <c r="F1982" s="22" t="str">
        <f>IF(OR(E1982="",E1982="!!!"),"",IF(NOT(ISNA(VLOOKUP(E1982,E$1:E1981,1,FALSE()))),"OLD",IF(AND(E1982&lt;&gt;"",E1982&lt;&gt;"!!!"),"NEW","")))</f>
        <v> </v>
      </c>
      <c r="G1982" s="23" t="str">
        <f>IF(OR(E1982="",E1982="!!!"),"",IF(OR(J1982=0,AND(J1982=1,K1982=1),AND(J1982=1,I1982="SBJ"),AND(J1982=1,I1982=0)),"?IN_FOCUS",IF(J1982&lt;=2,"?ACTIVATED",IF(J1982&lt;&gt;"","?FAMILIAR",IF(F1982="NEW",IF(ISNA(VLOOKUP(E1982,#REF!,1,FALSE())),"?TYPE_IDENTIFIABLE","?REFERENTIAL"),"_")))))</f>
        <v> </v>
      </c>
      <c r="H1982" s="24" t="str">
        <f>IF(J1982&lt;&gt;1,"",IF(I1982="SBJ","CB","?"))</f>
        <v> </v>
      </c>
      <c r="I1982" s="25" t="str">
        <f>IF(OR(E1982="",E1982="!!!",F1982="NEW"),"",INDEX(B1981:B$2,-1+SUMPRODUCT(MAX(ROW(E1981:E$2)*(E1982=E1981:E$2)))))</f>
        <v> </v>
      </c>
      <c r="J1982" s="25" t="str">
        <f>IF(OR(E1982="",E1982="!!!",F1982="NEW"),"",COUNTBLANK(OFFSET(A$1,,,SUMPRODUCT(MAX(ROW(E$2:E1982)*(E1982=E$2:E1982)))))-COUNTBLANK(OFFSET(A$1,,,SUMPRODUCT(MAX(ROW(E$1:E1981)*(E2=E$1:E1981))))))</f>
        <v> </v>
      </c>
      <c r="K1982" s="25" t="str">
        <f>IF(OR(E1982="",E1982="!!!",F1982="NEW"),"",INDEX(J$1:J1981,SUMPRODUCT(MAX(ROW(E$1:E1981)*(E1982=E$1:E1981)))))</f>
        <v> </v>
      </c>
      <c r="L1982" s="26"/>
    </row>
    <row r="1983" spans="1:12">
      <c r="A1983" s="20" t="s">
        <v>1228</v>
      </c>
      <c r="B1983" s="27" t="s">
        <v>1259</v>
      </c>
      <c r="C1983" s="27" t="s">
        <v>1126</v>
      </c>
      <c r="D1983" s="27" t="s">
        <v>1105</v>
      </c>
      <c r="E1983" s="21">
        <f>IF(D1983="?OLD","!!!","")</f>
        <v/>
      </c>
      <c r="F1983" s="22" t="str">
        <f>IF(OR(E1983="",E1983="!!!"),"",IF(NOT(ISNA(VLOOKUP(E1983,E$1:E1982,1,FALSE()))),"OLD",IF(AND(E1983&lt;&gt;"",E1983&lt;&gt;"!!!"),"NEW","")))</f>
        <v> </v>
      </c>
      <c r="G1983" s="23" t="str">
        <f>IF(OR(E1983="",E1983="!!!"),"",IF(OR(J1983=0,AND(J1983=1,K1983=1),AND(J1983=1,I1983="SBJ"),AND(J1983=1,I1983=0)),"?IN_FOCUS",IF(J1983&lt;=2,"?ACTIVATED",IF(J1983&lt;&gt;"","?FAMILIAR",IF(F1983="NEW",IF(ISNA(VLOOKUP(E1983,#REF!,1,FALSE())),"?TYPE_IDENTIFIABLE","?REFERENTIAL"),"_")))))</f>
        <v> </v>
      </c>
      <c r="H1983" s="24" t="str">
        <f>IF(J1983&lt;&gt;1,"",IF(I1983="SBJ","CB","?"))</f>
        <v> </v>
      </c>
      <c r="I1983" s="25" t="str">
        <f>IF(OR(E1983="",E1983="!!!",F1983="NEW"),"",INDEX(B1982:B$2,-1+SUMPRODUCT(MAX(ROW(E1982:E$2)*(E1983=E1982:E$2)))))</f>
        <v> </v>
      </c>
      <c r="J1983" s="25" t="str">
        <f>IF(OR(E1983="",E1983="!!!",F1983="NEW"),"",COUNTBLANK(OFFSET(A$1,,,SUMPRODUCT(MAX(ROW(E$2:E1983)*(E1983=E$2:E1983)))))-COUNTBLANK(OFFSET(A$1,,,SUMPRODUCT(MAX(ROW(E$1:E1982)*(E2=E$1:E1982))))))</f>
        <v> </v>
      </c>
      <c r="K1983" s="25" t="str">
        <f>IF(OR(E1983="",E1983="!!!",F1983="NEW"),"",INDEX(J$1:J1982,SUMPRODUCT(MAX(ROW(E$1:E1982)*(E1983=E$1:E1982)))))</f>
        <v> </v>
      </c>
      <c r="L1983" s="26"/>
    </row>
    <row r="1984" spans="1:12">
      <c r="A1984" s="20" t="s">
        <v>1192</v>
      </c>
      <c r="E1984" s="21">
        <f>IF(D1984="?OLD","!!!","")</f>
        <v/>
      </c>
      <c r="F1984" s="22" t="str">
        <f>IF(OR(E1984="",E1984="!!!"),"",IF(NOT(ISNA(VLOOKUP(E1984,E$1:E1983,1,FALSE()))),"OLD",IF(AND(E1984&lt;&gt;"",E1984&lt;&gt;"!!!"),"NEW","")))</f>
        <v> </v>
      </c>
      <c r="G1984" s="23" t="str">
        <f>IF(OR(E1984="",E1984="!!!"),"",IF(OR(J1984=0,AND(J1984=1,K1984=1),AND(J1984=1,I1984="SBJ"),AND(J1984=1,I1984=0)),"?IN_FOCUS",IF(J1984&lt;=2,"?ACTIVATED",IF(J1984&lt;&gt;"","?FAMILIAR",IF(F1984="NEW",IF(ISNA(VLOOKUP(E1984,#REF!,1,FALSE())),"?TYPE_IDENTIFIABLE","?REFERENTIAL"),"_")))))</f>
        <v> </v>
      </c>
      <c r="H1984" s="24" t="str">
        <f>IF(J1984&lt;&gt;1,"",IF(I1984="SBJ","CB","?"))</f>
        <v> </v>
      </c>
      <c r="I1984" s="25" t="str">
        <f>IF(OR(E1984="",E1984="!!!",F1984="NEW"),"",INDEX(B1983:B$2,-1+SUMPRODUCT(MAX(ROW(E1983:E$2)*(E1984=E1983:E$2)))))</f>
        <v> </v>
      </c>
      <c r="J1984" s="25" t="str">
        <f>IF(OR(E1984="",E1984="!!!",F1984="NEW"),"",COUNTBLANK(OFFSET(A$1,,,SUMPRODUCT(MAX(ROW(E$2:E1984)*(E1984=E$2:E1984)))))-COUNTBLANK(OFFSET(A$1,,,SUMPRODUCT(MAX(ROW(E$1:E1983)*(E2=E$1:E1983))))))</f>
        <v> </v>
      </c>
      <c r="K1984" s="25" t="str">
        <f>IF(OR(E1984="",E1984="!!!",F1984="NEW"),"",INDEX(J$1:J1983,SUMPRODUCT(MAX(ROW(E$1:E1983)*(E1984=E$1:E1983)))))</f>
        <v> </v>
      </c>
      <c r="L1984" s="26"/>
    </row>
    <row r="1985" spans="1:12">
      <c r="A1985" s="20" t="s">
        <v>2109</v>
      </c>
      <c r="E1985" s="21">
        <f>IF(D1985="?OLD","!!!","")</f>
        <v/>
      </c>
      <c r="F1985" s="22" t="str">
        <f>IF(OR(E1985="",E1985="!!!"),"",IF(NOT(ISNA(VLOOKUP(E1985,E$1:E1984,1,FALSE()))),"OLD",IF(AND(E1985&lt;&gt;"",E1985&lt;&gt;"!!!"),"NEW","")))</f>
        <v> </v>
      </c>
      <c r="G1985" s="23" t="str">
        <f>IF(OR(E1985="",E1985="!!!"),"",IF(OR(J1985=0,AND(J1985=1,K1985=1),AND(J1985=1,I1985="SBJ"),AND(J1985=1,I1985=0)),"?IN_FOCUS",IF(J1985&lt;=2,"?ACTIVATED",IF(J1985&lt;&gt;"","?FAMILIAR",IF(F1985="NEW",IF(ISNA(VLOOKUP(E1985,#REF!,1,FALSE())),"?TYPE_IDENTIFIABLE","?REFERENTIAL"),"_")))))</f>
        <v> </v>
      </c>
      <c r="H1985" s="24" t="str">
        <f>IF(J1985&lt;&gt;1,"",IF(I1985="SBJ","CB","?"))</f>
        <v> </v>
      </c>
      <c r="I1985" s="25" t="str">
        <f>IF(OR(E1985="",E1985="!!!",F1985="NEW"),"",INDEX(B1984:B$2,-1+SUMPRODUCT(MAX(ROW(E1984:E$2)*(E1985=E1984:E$2)))))</f>
        <v> </v>
      </c>
      <c r="J1985" s="25" t="str">
        <f>IF(OR(E1985="",E1985="!!!",F1985="NEW"),"",COUNTBLANK(OFFSET(A$1,,,SUMPRODUCT(MAX(ROW(E$2:E1985)*(E1985=E$2:E1985)))))-COUNTBLANK(OFFSET(A$1,,,SUMPRODUCT(MAX(ROW(E$1:E1984)*(E2=E$1:E1984))))))</f>
        <v> </v>
      </c>
      <c r="K1985" s="25" t="str">
        <f>IF(OR(E1985="",E1985="!!!",F1985="NEW"),"",INDEX(J$1:J1984,SUMPRODUCT(MAX(ROW(E$1:E1984)*(E1985=E$1:E1984)))))</f>
        <v> </v>
      </c>
      <c r="L1985" s="26"/>
    </row>
    <row r="1986" spans="1:12">
      <c r="A1986" s="20" t="s">
        <v>2112</v>
      </c>
      <c r="E1986" s="21">
        <f>IF(D1986="?OLD","!!!","")</f>
        <v/>
      </c>
      <c r="F1986" s="22" t="str">
        <f>IF(OR(E1986="",E1986="!!!"),"",IF(NOT(ISNA(VLOOKUP(E1986,E$1:E1985,1,FALSE()))),"OLD",IF(AND(E1986&lt;&gt;"",E1986&lt;&gt;"!!!"),"NEW","")))</f>
        <v> </v>
      </c>
      <c r="G1986" s="23" t="str">
        <f>IF(OR(E1986="",E1986="!!!"),"",IF(OR(J1986=0,AND(J1986=1,K1986=1),AND(J1986=1,I1986="SBJ"),AND(J1986=1,I1986=0)),"?IN_FOCUS",IF(J1986&lt;=2,"?ACTIVATED",IF(J1986&lt;&gt;"","?FAMILIAR",IF(F1986="NEW",IF(ISNA(VLOOKUP(E1986,#REF!,1,FALSE())),"?TYPE_IDENTIFIABLE","?REFERENTIAL"),"_")))))</f>
        <v> </v>
      </c>
      <c r="H1986" s="24" t="str">
        <f>IF(J1986&lt;&gt;1,"",IF(I1986="SBJ","CB","?"))</f>
        <v> </v>
      </c>
      <c r="I1986" s="25" t="str">
        <f>IF(OR(E1986="",E1986="!!!",F1986="NEW"),"",INDEX(B1985:B$2,-1+SUMPRODUCT(MAX(ROW(E1985:E$2)*(E1986=E1985:E$2)))))</f>
        <v> </v>
      </c>
      <c r="J1986" s="25" t="str">
        <f>IF(OR(E1986="",E1986="!!!",F1986="NEW"),"",COUNTBLANK(OFFSET(A$1,,,SUMPRODUCT(MAX(ROW(E$2:E1986)*(E1986=E$2:E1986)))))-COUNTBLANK(OFFSET(A$1,,,SUMPRODUCT(MAX(ROW(E$1:E1985)*(E2=E$1:E1985))))))</f>
        <v> </v>
      </c>
      <c r="K1986" s="25" t="str">
        <f>IF(OR(E1986="",E1986="!!!",F1986="NEW"),"",INDEX(J$1:J1985,SUMPRODUCT(MAX(ROW(E$1:E1985)*(E1986=E$1:E1985)))))</f>
        <v> </v>
      </c>
      <c r="L1986" s="26"/>
    </row>
    <row r="1987" spans="1:12">
      <c r="A1987" s="20" t="s">
        <v>2113</v>
      </c>
      <c r="B1987" s="27" t="s">
        <v>1115</v>
      </c>
      <c r="E1987" s="21">
        <f>IF(D1987="?OLD","!!!","")</f>
        <v/>
      </c>
      <c r="F1987" s="22" t="str">
        <f>IF(OR(E1987="",E1987="!!!"),"",IF(NOT(ISNA(VLOOKUP(E1987,E$1:E1986,1,FALSE()))),"OLD",IF(AND(E1987&lt;&gt;"",E1987&lt;&gt;"!!!"),"NEW","")))</f>
        <v> </v>
      </c>
      <c r="G1987" s="23" t="str">
        <f>IF(OR(E1987="",E1987="!!!"),"",IF(OR(J1987=0,AND(J1987=1,K1987=1),AND(J1987=1,I1987="SBJ"),AND(J1987=1,I1987=0)),"?IN_FOCUS",IF(J1987&lt;=2,"?ACTIVATED",IF(J1987&lt;&gt;"","?FAMILIAR",IF(F1987="NEW",IF(ISNA(VLOOKUP(E1987,#REF!,1,FALSE())),"?TYPE_IDENTIFIABLE","?REFERENTIAL"),"_")))))</f>
        <v> </v>
      </c>
      <c r="H1987" s="24" t="str">
        <f>IF(J1987&lt;&gt;1,"",IF(I1987="SBJ","CB","?"))</f>
        <v> </v>
      </c>
      <c r="I1987" s="25" t="str">
        <f>IF(OR(E1987="",E1987="!!!",F1987="NEW"),"",INDEX(B1986:B$2,-1+SUMPRODUCT(MAX(ROW(E1986:E$2)*(E1987=E1986:E$2)))))</f>
        <v> </v>
      </c>
      <c r="J1987" s="25" t="str">
        <f>IF(OR(E1987="",E1987="!!!",F1987="NEW"),"",COUNTBLANK(OFFSET(A$1,,,SUMPRODUCT(MAX(ROW(E$2:E1987)*(E1987=E$2:E1987)))))-COUNTBLANK(OFFSET(A$1,,,SUMPRODUCT(MAX(ROW(E$1:E1986)*(E2=E$1:E1986))))))</f>
        <v> </v>
      </c>
      <c r="K1987" s="25" t="str">
        <f>IF(OR(E1987="",E1987="!!!",F1987="NEW"),"",INDEX(J$1:J1986,SUMPRODUCT(MAX(ROW(E$1:E1986)*(E1987=E$1:E1986)))))</f>
        <v> </v>
      </c>
      <c r="L1987" s="26"/>
    </row>
    <row r="1988" spans="1:12">
      <c r="A1988" s="20" t="s">
        <v>1145</v>
      </c>
      <c r="E1988" s="21">
        <f>IF(D1988="?OLD","!!!","")</f>
        <v/>
      </c>
      <c r="F1988" s="22" t="str">
        <f>IF(OR(E1988="",E1988="!!!"),"",IF(NOT(ISNA(VLOOKUP(E1988,E$1:E1987,1,FALSE()))),"OLD",IF(AND(E1988&lt;&gt;"",E1988&lt;&gt;"!!!"),"NEW","")))</f>
        <v> </v>
      </c>
      <c r="G1988" s="23" t="str">
        <f>IF(OR(E1988="",E1988="!!!"),"",IF(OR(J1988=0,AND(J1988=1,K1988=1),AND(J1988=1,I1988="SBJ"),AND(J1988=1,I1988=0)),"?IN_FOCUS",IF(J1988&lt;=2,"?ACTIVATED",IF(J1988&lt;&gt;"","?FAMILIAR",IF(F1988="NEW",IF(ISNA(VLOOKUP(E1988,#REF!,1,FALSE())),"?TYPE_IDENTIFIABLE","?REFERENTIAL"),"_")))))</f>
        <v> </v>
      </c>
      <c r="H1988" s="24" t="str">
        <f>IF(J1988&lt;&gt;1,"",IF(I1988="SBJ","CB","?"))</f>
        <v> </v>
      </c>
      <c r="I1988" s="25" t="str">
        <f>IF(OR(E1988="",E1988="!!!",F1988="NEW"),"",INDEX(B1987:B$2,-1+SUMPRODUCT(MAX(ROW(E1987:E$2)*(E1988=E1987:E$2)))))</f>
        <v> </v>
      </c>
      <c r="J1988" s="25" t="str">
        <f>IF(OR(E1988="",E1988="!!!",F1988="NEW"),"",COUNTBLANK(OFFSET(A$1,,,SUMPRODUCT(MAX(ROW(E$2:E1988)*(E1988=E$2:E1988)))))-COUNTBLANK(OFFSET(A$1,,,SUMPRODUCT(MAX(ROW(E$1:E1987)*(E2=E$1:E1987))))))</f>
        <v> </v>
      </c>
      <c r="K1988" s="25" t="str">
        <f>IF(OR(E1988="",E1988="!!!",F1988="NEW"),"",INDEX(J$1:J1987,SUMPRODUCT(MAX(ROW(E$1:E1987)*(E1988=E$1:E1987)))))</f>
        <v> </v>
      </c>
      <c r="L1988" s="26"/>
    </row>
    <row r="1989" spans="1:12">
      <c r="A1989" s="20"/>
    </row>
    <row r="1990" spans="1:12">
      <c r="A1990" s="20" t="s">
        <v>2114</v>
      </c>
    </row>
    <row r="1991" spans="1:12">
      <c r="A1991" s="20" t="s">
        <v>1353</v>
      </c>
      <c r="B1991" s="27" t="s">
        <v>1149</v>
      </c>
      <c r="C1991" s="27" t="s">
        <v>1126</v>
      </c>
      <c r="D1991" s="27" t="s">
        <v>1105</v>
      </c>
      <c r="E1991" s="21">
        <f>IF(D1991="?OLD","!!!","")</f>
        <v/>
      </c>
      <c r="F1991" s="22" t="str">
        <f>IF(OR(E1991="",E1991="!!!"),"",IF(NOT(ISNA(VLOOKUP(E1991,E$1:E1990,1,FALSE()))),"OLD",IF(AND(E1991&lt;&gt;"",E1991&lt;&gt;"!!!"),"NEW","")))</f>
        <v> </v>
      </c>
      <c r="G1991" s="23" t="str">
        <f>IF(OR(E1991="",E1991="!!!"),"",IF(OR(J1991=0,AND(J1991=1,K1991=1),AND(J1991=1,I1991="SBJ"),AND(J1991=1,I1991=0)),"?IN_FOCUS",IF(J1991&lt;=2,"?ACTIVATED",IF(J1991&lt;&gt;"","?FAMILIAR",IF(F1991="NEW",IF(ISNA(VLOOKUP(E1991,#REF!,1,FALSE())),"?TYPE_IDENTIFIABLE","?REFERENTIAL"),"_")))))</f>
        <v> </v>
      </c>
      <c r="H1991" s="24" t="str">
        <f>IF(J1991&lt;&gt;1,"",IF(I1991="SBJ","CB","?"))</f>
        <v> </v>
      </c>
      <c r="I1991" s="25" t="str">
        <f>IF(OR(E1991="",E1991="!!!",F1991="NEW"),"",INDEX(B1990:B$2,-1+SUMPRODUCT(MAX(ROW(E1990:E$2)*(E1991=E1990:E$2)))))</f>
        <v> </v>
      </c>
      <c r="J1991" s="25" t="str">
        <f>IF(OR(E1991="",E1991="!!!",F1991="NEW"),"",COUNTBLANK(OFFSET(A$1,,,SUMPRODUCT(MAX(ROW(E$2:E1991)*(E1991=E$2:E1991)))))-COUNTBLANK(OFFSET(A$1,,,SUMPRODUCT(MAX(ROW(E$1:E1990)*(E2=E$1:E1990))))))</f>
        <v> </v>
      </c>
      <c r="K1991" s="25" t="str">
        <f>IF(OR(E1991="",E1991="!!!",F1991="NEW"),"",INDEX(J$1:J1990,SUMPRODUCT(MAX(ROW(E$1:E1990)*(E1991=E$1:E1990)))))</f>
        <v> </v>
      </c>
      <c r="L1991" s="26"/>
    </row>
    <row r="1992" spans="1:12">
      <c r="A1992" s="20" t="s">
        <v>2115</v>
      </c>
      <c r="E1992" s="21">
        <f>IF(D1992="?OLD","!!!","")</f>
        <v/>
      </c>
      <c r="F1992" s="22" t="str">
        <f>IF(OR(E1992="",E1992="!!!"),"",IF(NOT(ISNA(VLOOKUP(E1992,E$1:E1991,1,FALSE()))),"OLD",IF(AND(E1992&lt;&gt;"",E1992&lt;&gt;"!!!"),"NEW","")))</f>
        <v> </v>
      </c>
      <c r="G1992" s="23" t="str">
        <f>IF(OR(E1992="",E1992="!!!"),"",IF(OR(J1992=0,AND(J1992=1,K1992=1),AND(J1992=1,I1992="SBJ"),AND(J1992=1,I1992=0)),"?IN_FOCUS",IF(J1992&lt;=2,"?ACTIVATED",IF(J1992&lt;&gt;"","?FAMILIAR",IF(F1992="NEW",IF(ISNA(VLOOKUP(E1992,#REF!,1,FALSE())),"?TYPE_IDENTIFIABLE","?REFERENTIAL"),"_")))))</f>
        <v> </v>
      </c>
      <c r="H1992" s="24" t="str">
        <f>IF(J1992&lt;&gt;1,"",IF(I1992="SBJ","CB","?"))</f>
        <v> </v>
      </c>
      <c r="I1992" s="25" t="str">
        <f>IF(OR(E1992="",E1992="!!!",F1992="NEW"),"",INDEX(B1991:B$2,-1+SUMPRODUCT(MAX(ROW(E1991:E$2)*(E1992=E1991:E$2)))))</f>
        <v> </v>
      </c>
      <c r="J1992" s="25" t="str">
        <f>IF(OR(E1992="",E1992="!!!",F1992="NEW"),"",COUNTBLANK(OFFSET(A$1,,,SUMPRODUCT(MAX(ROW(E$2:E1992)*(E1992=E$2:E1992)))))-COUNTBLANK(OFFSET(A$1,,,SUMPRODUCT(MAX(ROW(E$1:E1991)*(E2=E$1:E1991))))))</f>
        <v> </v>
      </c>
      <c r="K1992" s="25" t="str">
        <f>IF(OR(E1992="",E1992="!!!",F1992="NEW"),"",INDEX(J$1:J1991,SUMPRODUCT(MAX(ROW(E$1:E1991)*(E1992=E$1:E1991)))))</f>
        <v> </v>
      </c>
      <c r="L1992" s="26"/>
    </row>
    <row r="1993" spans="1:12">
      <c r="A1993" s="20" t="s">
        <v>1253</v>
      </c>
      <c r="E1993" s="21">
        <f>IF(D1993="?OLD","!!!","")</f>
        <v/>
      </c>
      <c r="F1993" s="22" t="str">
        <f>IF(OR(E1993="",E1993="!!!"),"",IF(NOT(ISNA(VLOOKUP(E1993,E$1:E1992,1,FALSE()))),"OLD",IF(AND(E1993&lt;&gt;"",E1993&lt;&gt;"!!!"),"NEW","")))</f>
        <v> </v>
      </c>
      <c r="G1993" s="23" t="str">
        <f>IF(OR(E1993="",E1993="!!!"),"",IF(OR(J1993=0,AND(J1993=1,K1993=1),AND(J1993=1,I1993="SBJ"),AND(J1993=1,I1993=0)),"?IN_FOCUS",IF(J1993&lt;=2,"?ACTIVATED",IF(J1993&lt;&gt;"","?FAMILIAR",IF(F1993="NEW",IF(ISNA(VLOOKUP(E1993,#REF!,1,FALSE())),"?TYPE_IDENTIFIABLE","?REFERENTIAL"),"_")))))</f>
        <v> </v>
      </c>
      <c r="H1993" s="24" t="str">
        <f>IF(J1993&lt;&gt;1,"",IF(I1993="SBJ","CB","?"))</f>
        <v> </v>
      </c>
      <c r="I1993" s="25" t="str">
        <f>IF(OR(E1993="",E1993="!!!",F1993="NEW"),"",INDEX(B1992:B$2,-1+SUMPRODUCT(MAX(ROW(E1992:E$2)*(E1993=E1992:E$2)))))</f>
        <v> </v>
      </c>
      <c r="J1993" s="25" t="str">
        <f>IF(OR(E1993="",E1993="!!!",F1993="NEW"),"",COUNTBLANK(OFFSET(A$1,,,SUMPRODUCT(MAX(ROW(E$2:E1993)*(E1993=E$2:E1993)))))-COUNTBLANK(OFFSET(A$1,,,SUMPRODUCT(MAX(ROW(E$1:E1992)*(E2=E$1:E1992))))))</f>
        <v> </v>
      </c>
      <c r="K1993" s="25" t="str">
        <f>IF(OR(E1993="",E1993="!!!",F1993="NEW"),"",INDEX(J$1:J1992,SUMPRODUCT(MAX(ROW(E$1:E1992)*(E1993=E$1:E1992)))))</f>
        <v> </v>
      </c>
      <c r="L1993" s="26"/>
    </row>
    <row r="1994" spans="1:12">
      <c r="A1994" s="20" t="s">
        <v>1415</v>
      </c>
      <c r="E1994" s="21">
        <f>IF(D1994="?OLD","!!!","")</f>
        <v/>
      </c>
      <c r="F1994" s="22" t="str">
        <f>IF(OR(E1994="",E1994="!!!"),"",IF(NOT(ISNA(VLOOKUP(E1994,E$1:E1993,1,FALSE()))),"OLD",IF(AND(E1994&lt;&gt;"",E1994&lt;&gt;"!!!"),"NEW","")))</f>
        <v> </v>
      </c>
      <c r="G1994" s="23" t="str">
        <f>IF(OR(E1994="",E1994="!!!"),"",IF(OR(J1994=0,AND(J1994=1,K1994=1),AND(J1994=1,I1994="SBJ"),AND(J1994=1,I1994=0)),"?IN_FOCUS",IF(J1994&lt;=2,"?ACTIVATED",IF(J1994&lt;&gt;"","?FAMILIAR",IF(F1994="NEW",IF(ISNA(VLOOKUP(E1994,#REF!,1,FALSE())),"?TYPE_IDENTIFIABLE","?REFERENTIAL"),"_")))))</f>
        <v> </v>
      </c>
      <c r="H1994" s="24" t="str">
        <f>IF(J1994&lt;&gt;1,"",IF(I1994="SBJ","CB","?"))</f>
        <v> </v>
      </c>
      <c r="I1994" s="25" t="str">
        <f>IF(OR(E1994="",E1994="!!!",F1994="NEW"),"",INDEX(B1993:B$2,-1+SUMPRODUCT(MAX(ROW(E1993:E$2)*(E1994=E1993:E$2)))))</f>
        <v> </v>
      </c>
      <c r="J1994" s="25" t="str">
        <f>IF(OR(E1994="",E1994="!!!",F1994="NEW"),"",COUNTBLANK(OFFSET(A$1,,,SUMPRODUCT(MAX(ROW(E$2:E1994)*(E1994=E$2:E1994)))))-COUNTBLANK(OFFSET(A$1,,,SUMPRODUCT(MAX(ROW(E$1:E1993)*(E2=E$1:E1993))))))</f>
        <v> </v>
      </c>
      <c r="K1994" s="25" t="str">
        <f>IF(OR(E1994="",E1994="!!!",F1994="NEW"),"",INDEX(J$1:J1993,SUMPRODUCT(MAX(ROW(E$1:E1993)*(E1994=E$1:E1993)))))</f>
        <v> </v>
      </c>
      <c r="L1994" s="26"/>
    </row>
    <row r="1995" spans="1:12">
      <c r="A1995" s="20" t="s">
        <v>1128</v>
      </c>
      <c r="E1995" s="21">
        <f>IF(D1995="?OLD","!!!","")</f>
        <v/>
      </c>
      <c r="F1995" s="22" t="str">
        <f>IF(OR(E1995="",E1995="!!!"),"",IF(NOT(ISNA(VLOOKUP(E1995,E$1:E1994,1,FALSE()))),"OLD",IF(AND(E1995&lt;&gt;"",E1995&lt;&gt;"!!!"),"NEW","")))</f>
        <v> </v>
      </c>
      <c r="G1995" s="23" t="str">
        <f>IF(OR(E1995="",E1995="!!!"),"",IF(OR(J1995=0,AND(J1995=1,K1995=1),AND(J1995=1,I1995="SBJ"),AND(J1995=1,I1995=0)),"?IN_FOCUS",IF(J1995&lt;=2,"?ACTIVATED",IF(J1995&lt;&gt;"","?FAMILIAR",IF(F1995="NEW",IF(ISNA(VLOOKUP(E1995,#REF!,1,FALSE())),"?TYPE_IDENTIFIABLE","?REFERENTIAL"),"_")))))</f>
        <v> </v>
      </c>
      <c r="H1995" s="24" t="str">
        <f>IF(J1995&lt;&gt;1,"",IF(I1995="SBJ","CB","?"))</f>
        <v> </v>
      </c>
      <c r="I1995" s="25" t="str">
        <f>IF(OR(E1995="",E1995="!!!",F1995="NEW"),"",INDEX(B1994:B$2,-1+SUMPRODUCT(MAX(ROW(E1994:E$2)*(E1995=E1994:E$2)))))</f>
        <v> </v>
      </c>
      <c r="J1995" s="25" t="str">
        <f>IF(OR(E1995="",E1995="!!!",F1995="NEW"),"",COUNTBLANK(OFFSET(A$1,,,SUMPRODUCT(MAX(ROW(E$2:E1995)*(E1995=E$2:E1995)))))-COUNTBLANK(OFFSET(A$1,,,SUMPRODUCT(MAX(ROW(E$1:E1994)*(E2=E$1:E1994))))))</f>
        <v> </v>
      </c>
      <c r="K1995" s="25" t="str">
        <f>IF(OR(E1995="",E1995="!!!",F1995="NEW"),"",INDEX(J$1:J1994,SUMPRODUCT(MAX(ROW(E$1:E1994)*(E1995=E$1:E1994)))))</f>
        <v> </v>
      </c>
      <c r="L1995" s="26"/>
    </row>
    <row r="1996" spans="1:12">
      <c r="A1996" s="20" t="s">
        <v>2116</v>
      </c>
      <c r="E1996" s="21">
        <f>IF(D1996="?OLD","!!!","")</f>
        <v/>
      </c>
      <c r="F1996" s="22" t="str">
        <f>IF(OR(E1996="",E1996="!!!"),"",IF(NOT(ISNA(VLOOKUP(E1996,E$1:E1995,1,FALSE()))),"OLD",IF(AND(E1996&lt;&gt;"",E1996&lt;&gt;"!!!"),"NEW","")))</f>
        <v> </v>
      </c>
      <c r="G1996" s="23" t="str">
        <f>IF(OR(E1996="",E1996="!!!"),"",IF(OR(J1996=0,AND(J1996=1,K1996=1),AND(J1996=1,I1996="SBJ"),AND(J1996=1,I1996=0)),"?IN_FOCUS",IF(J1996&lt;=2,"?ACTIVATED",IF(J1996&lt;&gt;"","?FAMILIAR",IF(F1996="NEW",IF(ISNA(VLOOKUP(E1996,#REF!,1,FALSE())),"?TYPE_IDENTIFIABLE","?REFERENTIAL"),"_")))))</f>
        <v> </v>
      </c>
      <c r="H1996" s="24" t="str">
        <f>IF(J1996&lt;&gt;1,"",IF(I1996="SBJ","CB","?"))</f>
        <v> </v>
      </c>
      <c r="I1996" s="25" t="str">
        <f>IF(OR(E1996="",E1996="!!!",F1996="NEW"),"",INDEX(B1995:B$2,-1+SUMPRODUCT(MAX(ROW(E1995:E$2)*(E1996=E1995:E$2)))))</f>
        <v> </v>
      </c>
      <c r="J1996" s="25" t="str">
        <f>IF(OR(E1996="",E1996="!!!",F1996="NEW"),"",COUNTBLANK(OFFSET(A$1,,,SUMPRODUCT(MAX(ROW(E$2:E1996)*(E1996=E$2:E1996)))))-COUNTBLANK(OFFSET(A$1,,,SUMPRODUCT(MAX(ROW(E$1:E1995)*(E2=E$1:E1995))))))</f>
        <v> </v>
      </c>
      <c r="K1996" s="25" t="str">
        <f>IF(OR(E1996="",E1996="!!!",F1996="NEW"),"",INDEX(J$1:J1995,SUMPRODUCT(MAX(ROW(E$1:E1995)*(E1996=E$1:E1995)))))</f>
        <v> </v>
      </c>
      <c r="L1996" s="26"/>
    </row>
    <row r="1997" spans="1:12">
      <c r="A1997" s="20" t="s">
        <v>2117</v>
      </c>
      <c r="E1997" s="21">
        <f>IF(D1997="?OLD","!!!","")</f>
        <v/>
      </c>
      <c r="F1997" s="22" t="str">
        <f>IF(OR(E1997="",E1997="!!!"),"",IF(NOT(ISNA(VLOOKUP(E1997,E$1:E1996,1,FALSE()))),"OLD",IF(AND(E1997&lt;&gt;"",E1997&lt;&gt;"!!!"),"NEW","")))</f>
        <v> </v>
      </c>
      <c r="G1997" s="23" t="str">
        <f>IF(OR(E1997="",E1997="!!!"),"",IF(OR(J1997=0,AND(J1997=1,K1997=1),AND(J1997=1,I1997="SBJ"),AND(J1997=1,I1997=0)),"?IN_FOCUS",IF(J1997&lt;=2,"?ACTIVATED",IF(J1997&lt;&gt;"","?FAMILIAR",IF(F1997="NEW",IF(ISNA(VLOOKUP(E1997,#REF!,1,FALSE())),"?TYPE_IDENTIFIABLE","?REFERENTIAL"),"_")))))</f>
        <v> </v>
      </c>
      <c r="H1997" s="24" t="str">
        <f>IF(J1997&lt;&gt;1,"",IF(I1997="SBJ","CB","?"))</f>
        <v> </v>
      </c>
      <c r="I1997" s="25" t="str">
        <f>IF(OR(E1997="",E1997="!!!",F1997="NEW"),"",INDEX(B1996:B$2,-1+SUMPRODUCT(MAX(ROW(E1996:E$2)*(E1997=E1996:E$2)))))</f>
        <v> </v>
      </c>
      <c r="J1997" s="25" t="str">
        <f>IF(OR(E1997="",E1997="!!!",F1997="NEW"),"",COUNTBLANK(OFFSET(A$1,,,SUMPRODUCT(MAX(ROW(E$2:E1997)*(E1997=E$2:E1997)))))-COUNTBLANK(OFFSET(A$1,,,SUMPRODUCT(MAX(ROW(E$1:E1996)*(E2=E$1:E1996))))))</f>
        <v> </v>
      </c>
      <c r="K1997" s="25" t="str">
        <f>IF(OR(E1997="",E1997="!!!",F1997="NEW"),"",INDEX(J$1:J1996,SUMPRODUCT(MAX(ROW(E$1:E1996)*(E1997=E$1:E1996)))))</f>
        <v> </v>
      </c>
      <c r="L1997" s="26"/>
    </row>
    <row r="1998" spans="1:12">
      <c r="A1998" s="20" t="s">
        <v>2118</v>
      </c>
      <c r="B1998" s="27" t="s">
        <v>1122</v>
      </c>
      <c r="E1998" s="21">
        <f>IF(D1998="?OLD","!!!","")</f>
        <v/>
      </c>
      <c r="F1998" s="22" t="str">
        <f>IF(OR(E1998="",E1998="!!!"),"",IF(NOT(ISNA(VLOOKUP(E1998,E$1:E1997,1,FALSE()))),"OLD",IF(AND(E1998&lt;&gt;"",E1998&lt;&gt;"!!!"),"NEW","")))</f>
        <v> </v>
      </c>
      <c r="G1998" s="23" t="str">
        <f>IF(OR(E1998="",E1998="!!!"),"",IF(OR(J1998=0,AND(J1998=1,K1998=1),AND(J1998=1,I1998="SBJ"),AND(J1998=1,I1998=0)),"?IN_FOCUS",IF(J1998&lt;=2,"?ACTIVATED",IF(J1998&lt;&gt;"","?FAMILIAR",IF(F1998="NEW",IF(ISNA(VLOOKUP(E1998,#REF!,1,FALSE())),"?TYPE_IDENTIFIABLE","?REFERENTIAL"),"_")))))</f>
        <v> </v>
      </c>
      <c r="H1998" s="24" t="str">
        <f>IF(J1998&lt;&gt;1,"",IF(I1998="SBJ","CB","?"))</f>
        <v> </v>
      </c>
      <c r="I1998" s="25" t="str">
        <f>IF(OR(E1998="",E1998="!!!",F1998="NEW"),"",INDEX(B1997:B$2,-1+SUMPRODUCT(MAX(ROW(E1997:E$2)*(E1998=E1997:E$2)))))</f>
        <v> </v>
      </c>
      <c r="J1998" s="25" t="str">
        <f>IF(OR(E1998="",E1998="!!!",F1998="NEW"),"",COUNTBLANK(OFFSET(A$1,,,SUMPRODUCT(MAX(ROW(E$2:E1998)*(E1998=E$2:E1998)))))-COUNTBLANK(OFFSET(A$1,,,SUMPRODUCT(MAX(ROW(E$1:E1997)*(E2=E$1:E1997))))))</f>
        <v> </v>
      </c>
      <c r="K1998" s="25" t="str">
        <f>IF(OR(E1998="",E1998="!!!",F1998="NEW"),"",INDEX(J$1:J1997,SUMPRODUCT(MAX(ROW(E$1:E1997)*(E1998=E$1:E1997)))))</f>
        <v> </v>
      </c>
      <c r="L1998" s="26"/>
    </row>
    <row r="1999" spans="1:12">
      <c r="A1999" s="20" t="s">
        <v>2119</v>
      </c>
      <c r="E1999" s="21">
        <f>IF(D1999="?OLD","!!!","")</f>
        <v/>
      </c>
      <c r="F1999" s="22" t="str">
        <f>IF(OR(E1999="",E1999="!!!"),"",IF(NOT(ISNA(VLOOKUP(E1999,E$1:E1998,1,FALSE()))),"OLD",IF(AND(E1999&lt;&gt;"",E1999&lt;&gt;"!!!"),"NEW","")))</f>
        <v> </v>
      </c>
      <c r="G1999" s="23" t="str">
        <f>IF(OR(E1999="",E1999="!!!"),"",IF(OR(J1999=0,AND(J1999=1,K1999=1),AND(J1999=1,I1999="SBJ"),AND(J1999=1,I1999=0)),"?IN_FOCUS",IF(J1999&lt;=2,"?ACTIVATED",IF(J1999&lt;&gt;"","?FAMILIAR",IF(F1999="NEW",IF(ISNA(VLOOKUP(E1999,#REF!,1,FALSE())),"?TYPE_IDENTIFIABLE","?REFERENTIAL"),"_")))))</f>
        <v> </v>
      </c>
      <c r="H1999" s="24" t="str">
        <f>IF(J1999&lt;&gt;1,"",IF(I1999="SBJ","CB","?"))</f>
        <v> </v>
      </c>
      <c r="I1999" s="25" t="str">
        <f>IF(OR(E1999="",E1999="!!!",F1999="NEW"),"",INDEX(B1998:B$2,-1+SUMPRODUCT(MAX(ROW(E1998:E$2)*(E1999=E1998:E$2)))))</f>
        <v> </v>
      </c>
      <c r="J1999" s="25" t="str">
        <f>IF(OR(E1999="",E1999="!!!",F1999="NEW"),"",COUNTBLANK(OFFSET(A$1,,,SUMPRODUCT(MAX(ROW(E$2:E1999)*(E1999=E$2:E1999)))))-COUNTBLANK(OFFSET(A$1,,,SUMPRODUCT(MAX(ROW(E$1:E1998)*(E2=E$1:E1998))))))</f>
        <v> </v>
      </c>
      <c r="K1999" s="25" t="str">
        <f>IF(OR(E1999="",E1999="!!!",F1999="NEW"),"",INDEX(J$1:J1998,SUMPRODUCT(MAX(ROW(E$1:E1998)*(E1999=E$1:E1998)))))</f>
        <v> </v>
      </c>
      <c r="L1999" s="26"/>
    </row>
    <row r="2000" spans="1:12">
      <c r="A2000" s="20" t="s">
        <v>1506</v>
      </c>
      <c r="B2000" s="27" t="s">
        <v>1132</v>
      </c>
      <c r="C2000" s="27" t="s">
        <v>1108</v>
      </c>
      <c r="D2000" s="27" t="s">
        <v>1105</v>
      </c>
      <c r="E2000" s="21">
        <f>IF(D2000="?OLD","!!!","")</f>
        <v/>
      </c>
      <c r="F2000" s="22" t="str">
        <f>IF(OR(E2000="",E2000="!!!"),"",IF(NOT(ISNA(VLOOKUP(E2000,E$1:E1999,1,FALSE()))),"OLD",IF(AND(E2000&lt;&gt;"",E2000&lt;&gt;"!!!"),"NEW","")))</f>
        <v> </v>
      </c>
      <c r="G2000" s="23" t="str">
        <f>IF(OR(E2000="",E2000="!!!"),"",IF(OR(J2000=0,AND(J2000=1,K2000=1),AND(J2000=1,I2000="SBJ"),AND(J2000=1,I2000=0)),"?IN_FOCUS",IF(J2000&lt;=2,"?ACTIVATED",IF(J2000&lt;&gt;"","?FAMILIAR",IF(F2000="NEW",IF(ISNA(VLOOKUP(E2000,#REF!,1,FALSE())),"?TYPE_IDENTIFIABLE","?REFERENTIAL"),"_")))))</f>
        <v> </v>
      </c>
      <c r="H2000" s="24" t="str">
        <f>IF(J2000&lt;&gt;1,"",IF(I2000="SBJ","CB","?"))</f>
        <v> </v>
      </c>
      <c r="I2000" s="25" t="str">
        <f>IF(OR(E2000="",E2000="!!!",F2000="NEW"),"",INDEX(B1999:B$2,-1+SUMPRODUCT(MAX(ROW(E1999:E$2)*(E2000=E1999:E$2)))))</f>
        <v> </v>
      </c>
      <c r="J2000" s="25" t="str">
        <f>IF(OR(E2000="",E2000="!!!",F2000="NEW"),"",COUNTBLANK(OFFSET(A$1,,,SUMPRODUCT(MAX(ROW(E$2:E2000)*(E2000=E$2:E2000)))))-COUNTBLANK(OFFSET(A$1,,,SUMPRODUCT(MAX(ROW(E$1:E1999)*(E2=E$1:E1999))))))</f>
        <v> </v>
      </c>
      <c r="K2000" s="25" t="str">
        <f>IF(OR(E2000="",E2000="!!!",F2000="NEW"),"",INDEX(J$1:J1999,SUMPRODUCT(MAX(ROW(E$1:E1999)*(E2000=E$1:E1999)))))</f>
        <v> </v>
      </c>
      <c r="L2000" s="26"/>
    </row>
    <row r="2001" spans="1:12">
      <c r="A2001" s="20" t="s">
        <v>1128</v>
      </c>
      <c r="E2001" s="21">
        <f>IF(D2001="?OLD","!!!","")</f>
        <v/>
      </c>
      <c r="F2001" s="22" t="str">
        <f>IF(OR(E2001="",E2001="!!!"),"",IF(NOT(ISNA(VLOOKUP(E2001,E$1:E2000,1,FALSE()))),"OLD",IF(AND(E2001&lt;&gt;"",E2001&lt;&gt;"!!!"),"NEW","")))</f>
        <v> </v>
      </c>
      <c r="G2001" s="23" t="str">
        <f>IF(OR(E2001="",E2001="!!!"),"",IF(OR(J2001=0,AND(J2001=1,K2001=1),AND(J2001=1,I2001="SBJ"),AND(J2001=1,I2001=0)),"?IN_FOCUS",IF(J2001&lt;=2,"?ACTIVATED",IF(J2001&lt;&gt;"","?FAMILIAR",IF(F2001="NEW",IF(ISNA(VLOOKUP(E2001,#REF!,1,FALSE())),"?TYPE_IDENTIFIABLE","?REFERENTIAL"),"_")))))</f>
        <v> </v>
      </c>
      <c r="H2001" s="24" t="str">
        <f>IF(J2001&lt;&gt;1,"",IF(I2001="SBJ","CB","?"))</f>
        <v> </v>
      </c>
      <c r="I2001" s="25" t="str">
        <f>IF(OR(E2001="",E2001="!!!",F2001="NEW"),"",INDEX(B2000:B$2,-1+SUMPRODUCT(MAX(ROW(E2000:E$2)*(E2001=E2000:E$2)))))</f>
        <v> </v>
      </c>
      <c r="J2001" s="25" t="str">
        <f>IF(OR(E2001="",E2001="!!!",F2001="NEW"),"",COUNTBLANK(OFFSET(A$1,,,SUMPRODUCT(MAX(ROW(E$2:E2001)*(E2001=E$2:E2001)))))-COUNTBLANK(OFFSET(A$1,,,SUMPRODUCT(MAX(ROW(E$1:E2000)*(E2=E$1:E2000))))))</f>
        <v> </v>
      </c>
      <c r="K2001" s="25" t="str">
        <f>IF(OR(E2001="",E2001="!!!",F2001="NEW"),"",INDEX(J$1:J2000,SUMPRODUCT(MAX(ROW(E$1:E2000)*(E2001=E$1:E2000)))))</f>
        <v> </v>
      </c>
      <c r="L2001" s="26"/>
    </row>
    <row r="2002" spans="1:12">
      <c r="A2002" s="20" t="s">
        <v>2120</v>
      </c>
      <c r="E2002" s="21">
        <f>IF(D2002="?OLD","!!!","")</f>
        <v/>
      </c>
      <c r="F2002" s="22" t="str">
        <f>IF(OR(E2002="",E2002="!!!"),"",IF(NOT(ISNA(VLOOKUP(E2002,E$1:E2001,1,FALSE()))),"OLD",IF(AND(E2002&lt;&gt;"",E2002&lt;&gt;"!!!"),"NEW","")))</f>
        <v> </v>
      </c>
      <c r="G2002" s="23" t="str">
        <f>IF(OR(E2002="",E2002="!!!"),"",IF(OR(J2002=0,AND(J2002=1,K2002=1),AND(J2002=1,I2002="SBJ"),AND(J2002=1,I2002=0)),"?IN_FOCUS",IF(J2002&lt;=2,"?ACTIVATED",IF(J2002&lt;&gt;"","?FAMILIAR",IF(F2002="NEW",IF(ISNA(VLOOKUP(E2002,#REF!,1,FALSE())),"?TYPE_IDENTIFIABLE","?REFERENTIAL"),"_")))))</f>
        <v> </v>
      </c>
      <c r="H2002" s="24" t="str">
        <f>IF(J2002&lt;&gt;1,"",IF(I2002="SBJ","CB","?"))</f>
        <v> </v>
      </c>
      <c r="I2002" s="25" t="str">
        <f>IF(OR(E2002="",E2002="!!!",F2002="NEW"),"",INDEX(B2001:B$2,-1+SUMPRODUCT(MAX(ROW(E2001:E$2)*(E2002=E2001:E$2)))))</f>
        <v> </v>
      </c>
      <c r="J2002" s="25" t="str">
        <f>IF(OR(E2002="",E2002="!!!",F2002="NEW"),"",COUNTBLANK(OFFSET(A$1,,,SUMPRODUCT(MAX(ROW(E$2:E2002)*(E2002=E$2:E2002)))))-COUNTBLANK(OFFSET(A$1,,,SUMPRODUCT(MAX(ROW(E$1:E2001)*(E2=E$1:E2001))))))</f>
        <v> </v>
      </c>
      <c r="K2002" s="25" t="str">
        <f>IF(OR(E2002="",E2002="!!!",F2002="NEW"),"",INDEX(J$1:J2001,SUMPRODUCT(MAX(ROW(E$1:E2001)*(E2002=E$1:E2001)))))</f>
        <v> </v>
      </c>
      <c r="L2002" s="26"/>
    </row>
    <row r="2003" spans="1:12">
      <c r="A2003" s="20" t="s">
        <v>2061</v>
      </c>
      <c r="E2003" s="21">
        <f>IF(D2003="?OLD","!!!","")</f>
        <v/>
      </c>
      <c r="F2003" s="22" t="str">
        <f>IF(OR(E2003="",E2003="!!!"),"",IF(NOT(ISNA(VLOOKUP(E2003,E$1:E2002,1,FALSE()))),"OLD",IF(AND(E2003&lt;&gt;"",E2003&lt;&gt;"!!!"),"NEW","")))</f>
        <v> </v>
      </c>
      <c r="G2003" s="23" t="str">
        <f>IF(OR(E2003="",E2003="!!!"),"",IF(OR(J2003=0,AND(J2003=1,K2003=1),AND(J2003=1,I2003="SBJ"),AND(J2003=1,I2003=0)),"?IN_FOCUS",IF(J2003&lt;=2,"?ACTIVATED",IF(J2003&lt;&gt;"","?FAMILIAR",IF(F2003="NEW",IF(ISNA(VLOOKUP(E2003,#REF!,1,FALSE())),"?TYPE_IDENTIFIABLE","?REFERENTIAL"),"_")))))</f>
        <v> </v>
      </c>
      <c r="H2003" s="24" t="str">
        <f>IF(J2003&lt;&gt;1,"",IF(I2003="SBJ","CB","?"))</f>
        <v> </v>
      </c>
      <c r="I2003" s="25" t="str">
        <f>IF(OR(E2003="",E2003="!!!",F2003="NEW"),"",INDEX(B2002:B$2,-1+SUMPRODUCT(MAX(ROW(E2002:E$2)*(E2003=E2002:E$2)))))</f>
        <v> </v>
      </c>
      <c r="J2003" s="25" t="str">
        <f>IF(OR(E2003="",E2003="!!!",F2003="NEW"),"",COUNTBLANK(OFFSET(A$1,,,SUMPRODUCT(MAX(ROW(E$2:E2003)*(E2003=E$2:E2003)))))-COUNTBLANK(OFFSET(A$1,,,SUMPRODUCT(MAX(ROW(E$1:E2002)*(E2=E$1:E2002))))))</f>
        <v> </v>
      </c>
      <c r="K2003" s="25" t="str">
        <f>IF(OR(E2003="",E2003="!!!",F2003="NEW"),"",INDEX(J$1:J2002,SUMPRODUCT(MAX(ROW(E$1:E2002)*(E2003=E$1:E2002)))))</f>
        <v> </v>
      </c>
      <c r="L2003" s="26"/>
    </row>
    <row r="2004" spans="1:12">
      <c r="A2004" s="20" t="s">
        <v>2008</v>
      </c>
      <c r="E2004" s="21">
        <f>IF(D2004="?OLD","!!!","")</f>
        <v/>
      </c>
      <c r="F2004" s="22" t="str">
        <f>IF(OR(E2004="",E2004="!!!"),"",IF(NOT(ISNA(VLOOKUP(E2004,E$1:E2003,1,FALSE()))),"OLD",IF(AND(E2004&lt;&gt;"",E2004&lt;&gt;"!!!"),"NEW","")))</f>
        <v> </v>
      </c>
      <c r="G2004" s="23" t="str">
        <f>IF(OR(E2004="",E2004="!!!"),"",IF(OR(J2004=0,AND(J2004=1,K2004=1),AND(J2004=1,I2004="SBJ"),AND(J2004=1,I2004=0)),"?IN_FOCUS",IF(J2004&lt;=2,"?ACTIVATED",IF(J2004&lt;&gt;"","?FAMILIAR",IF(F2004="NEW",IF(ISNA(VLOOKUP(E2004,#REF!,1,FALSE())),"?TYPE_IDENTIFIABLE","?REFERENTIAL"),"_")))))</f>
        <v> </v>
      </c>
      <c r="H2004" s="24" t="str">
        <f>IF(J2004&lt;&gt;1,"",IF(I2004="SBJ","CB","?"))</f>
        <v> </v>
      </c>
      <c r="I2004" s="25" t="str">
        <f>IF(OR(E2004="",E2004="!!!",F2004="NEW"),"",INDEX(B2003:B$2,-1+SUMPRODUCT(MAX(ROW(E2003:E$2)*(E2004=E2003:E$2)))))</f>
        <v> </v>
      </c>
      <c r="J2004" s="25" t="str">
        <f>IF(OR(E2004="",E2004="!!!",F2004="NEW"),"",COUNTBLANK(OFFSET(A$1,,,SUMPRODUCT(MAX(ROW(E$2:E2004)*(E2004=E$2:E2004)))))-COUNTBLANK(OFFSET(A$1,,,SUMPRODUCT(MAX(ROW(E$1:E2003)*(E2=E$1:E2003))))))</f>
        <v> </v>
      </c>
      <c r="K2004" s="25" t="str">
        <f>IF(OR(E2004="",E2004="!!!",F2004="NEW"),"",INDEX(J$1:J2003,SUMPRODUCT(MAX(ROW(E$1:E2003)*(E2004=E$1:E2003)))))</f>
        <v> </v>
      </c>
      <c r="L2004" s="26"/>
    </row>
    <row r="2005" spans="1:12">
      <c r="A2005" s="20" t="s">
        <v>1145</v>
      </c>
      <c r="E2005" s="21">
        <f>IF(D2005="?OLD","!!!","")</f>
        <v/>
      </c>
      <c r="F2005" s="22" t="str">
        <f>IF(OR(E2005="",E2005="!!!"),"",IF(NOT(ISNA(VLOOKUP(E2005,E$1:E2004,1,FALSE()))),"OLD",IF(AND(E2005&lt;&gt;"",E2005&lt;&gt;"!!!"),"NEW","")))</f>
        <v> </v>
      </c>
      <c r="G2005" s="23" t="str">
        <f>IF(OR(E2005="",E2005="!!!"),"",IF(OR(J2005=0,AND(J2005=1,K2005=1),AND(J2005=1,I2005="SBJ"),AND(J2005=1,I2005=0)),"?IN_FOCUS",IF(J2005&lt;=2,"?ACTIVATED",IF(J2005&lt;&gt;"","?FAMILIAR",IF(F2005="NEW",IF(ISNA(VLOOKUP(E2005,#REF!,1,FALSE())),"?TYPE_IDENTIFIABLE","?REFERENTIAL"),"_")))))</f>
        <v> </v>
      </c>
      <c r="H2005" s="24" t="str">
        <f>IF(J2005&lt;&gt;1,"",IF(I2005="SBJ","CB","?"))</f>
        <v> </v>
      </c>
      <c r="I2005" s="25" t="str">
        <f>IF(OR(E2005="",E2005="!!!",F2005="NEW"),"",INDEX(B2004:B$2,-1+SUMPRODUCT(MAX(ROW(E2004:E$2)*(E2005=E2004:E$2)))))</f>
        <v> </v>
      </c>
      <c r="J2005" s="25" t="str">
        <f>IF(OR(E2005="",E2005="!!!",F2005="NEW"),"",COUNTBLANK(OFFSET(A$1,,,SUMPRODUCT(MAX(ROW(E$2:E2005)*(E2005=E$2:E2005)))))-COUNTBLANK(OFFSET(A$1,,,SUMPRODUCT(MAX(ROW(E$1:E2004)*(E2=E$1:E2004))))))</f>
        <v> </v>
      </c>
      <c r="K2005" s="25" t="str">
        <f>IF(OR(E2005="",E2005="!!!",F2005="NEW"),"",INDEX(J$1:J2004,SUMPRODUCT(MAX(ROW(E$1:E2004)*(E2005=E$1:E2004)))))</f>
        <v> </v>
      </c>
      <c r="L2005" s="26"/>
    </row>
    <row r="2006" spans="1:12">
      <c r="A2006" s="20"/>
    </row>
    <row r="2007" spans="1:12">
      <c r="A2007" s="20" t="s">
        <v>2121</v>
      </c>
    </row>
    <row r="2008" spans="1:12">
      <c r="A2008" s="20" t="s">
        <v>1191</v>
      </c>
      <c r="B2008" s="27" t="s">
        <v>1149</v>
      </c>
      <c r="C2008" s="27" t="s">
        <v>1126</v>
      </c>
      <c r="D2008" s="27" t="s">
        <v>1105</v>
      </c>
      <c r="E2008" s="21">
        <f>IF(D2008="?OLD","!!!","")</f>
        <v/>
      </c>
      <c r="F2008" s="22" t="str">
        <f>IF(OR(E2008="",E2008="!!!"),"",IF(NOT(ISNA(VLOOKUP(E2008,E$1:E2007,1,FALSE()))),"OLD",IF(AND(E2008&lt;&gt;"",E2008&lt;&gt;"!!!"),"NEW","")))</f>
        <v> </v>
      </c>
      <c r="G2008" s="23" t="str">
        <f>IF(OR(E2008="",E2008="!!!"),"",IF(OR(J2008=0,AND(J2008=1,K2008=1),AND(J2008=1,I2008="SBJ"),AND(J2008=1,I2008=0)),"?IN_FOCUS",IF(J2008&lt;=2,"?ACTIVATED",IF(J2008&lt;&gt;"","?FAMILIAR",IF(F2008="NEW",IF(ISNA(VLOOKUP(E2008,#REF!,1,FALSE())),"?TYPE_IDENTIFIABLE","?REFERENTIAL"),"_")))))</f>
        <v> </v>
      </c>
      <c r="H2008" s="24" t="str">
        <f>IF(J2008&lt;&gt;1,"",IF(I2008="SBJ","CB","?"))</f>
        <v> </v>
      </c>
      <c r="I2008" s="25" t="str">
        <f>IF(OR(E2008="",E2008="!!!",F2008="NEW"),"",INDEX(B2007:B$2,-1+SUMPRODUCT(MAX(ROW(E2007:E$2)*(E2008=E2007:E$2)))))</f>
        <v> </v>
      </c>
      <c r="J2008" s="25" t="str">
        <f>IF(OR(E2008="",E2008="!!!",F2008="NEW"),"",COUNTBLANK(OFFSET(A$1,,,SUMPRODUCT(MAX(ROW(E$2:E2008)*(E2008=E$2:E2008)))))-COUNTBLANK(OFFSET(A$1,,,SUMPRODUCT(MAX(ROW(E$1:E2007)*(E2=E$1:E2007))))))</f>
        <v> </v>
      </c>
      <c r="K2008" s="25" t="str">
        <f>IF(OR(E2008="",E2008="!!!",F2008="NEW"),"",INDEX(J$1:J2007,SUMPRODUCT(MAX(ROW(E$1:E2007)*(E2008=E$1:E2007)))))</f>
        <v> </v>
      </c>
      <c r="L2008" s="26"/>
    </row>
    <row r="2009" spans="1:12">
      <c r="A2009" s="20" t="s">
        <v>2122</v>
      </c>
      <c r="E2009" s="21">
        <f>IF(D2009="?OLD","!!!","")</f>
        <v/>
      </c>
      <c r="F2009" s="22" t="str">
        <f>IF(OR(E2009="",E2009="!!!"),"",IF(NOT(ISNA(VLOOKUP(E2009,E$1:E2008,1,FALSE()))),"OLD",IF(AND(E2009&lt;&gt;"",E2009&lt;&gt;"!!!"),"NEW","")))</f>
        <v> </v>
      </c>
      <c r="G2009" s="23" t="str">
        <f>IF(OR(E2009="",E2009="!!!"),"",IF(OR(J2009=0,AND(J2009=1,K2009=1),AND(J2009=1,I2009="SBJ"),AND(J2009=1,I2009=0)),"?IN_FOCUS",IF(J2009&lt;=2,"?ACTIVATED",IF(J2009&lt;&gt;"","?FAMILIAR",IF(F2009="NEW",IF(ISNA(VLOOKUP(E2009,#REF!,1,FALSE())),"?TYPE_IDENTIFIABLE","?REFERENTIAL"),"_")))))</f>
        <v> </v>
      </c>
      <c r="H2009" s="24" t="str">
        <f>IF(J2009&lt;&gt;1,"",IF(I2009="SBJ","CB","?"))</f>
        <v> </v>
      </c>
      <c r="I2009" s="25" t="str">
        <f>IF(OR(E2009="",E2009="!!!",F2009="NEW"),"",INDEX(B2008:B$2,-1+SUMPRODUCT(MAX(ROW(E2008:E$2)*(E2009=E2008:E$2)))))</f>
        <v> </v>
      </c>
      <c r="J2009" s="25" t="str">
        <f>IF(OR(E2009="",E2009="!!!",F2009="NEW"),"",COUNTBLANK(OFFSET(A$1,,,SUMPRODUCT(MAX(ROW(E$2:E2009)*(E2009=E$2:E2009)))))-COUNTBLANK(OFFSET(A$1,,,SUMPRODUCT(MAX(ROW(E$1:E2008)*(E2=E$1:E2008))))))</f>
        <v> </v>
      </c>
      <c r="K2009" s="25" t="str">
        <f>IF(OR(E2009="",E2009="!!!",F2009="NEW"),"",INDEX(J$1:J2008,SUMPRODUCT(MAX(ROW(E$1:E2008)*(E2009=E$1:E2008)))))</f>
        <v> </v>
      </c>
      <c r="L2009" s="26"/>
    </row>
    <row r="2010" spans="1:12">
      <c r="A2010" s="20" t="s">
        <v>1184</v>
      </c>
      <c r="E2010" s="21">
        <f>IF(D2010="?OLD","!!!","")</f>
        <v/>
      </c>
      <c r="F2010" s="22" t="str">
        <f>IF(OR(E2010="",E2010="!!!"),"",IF(NOT(ISNA(VLOOKUP(E2010,E$1:E2009,1,FALSE()))),"OLD",IF(AND(E2010&lt;&gt;"",E2010&lt;&gt;"!!!"),"NEW","")))</f>
        <v> </v>
      </c>
      <c r="G2010" s="23" t="str">
        <f>IF(OR(E2010="",E2010="!!!"),"",IF(OR(J2010=0,AND(J2010=1,K2010=1),AND(J2010=1,I2010="SBJ"),AND(J2010=1,I2010=0)),"?IN_FOCUS",IF(J2010&lt;=2,"?ACTIVATED",IF(J2010&lt;&gt;"","?FAMILIAR",IF(F2010="NEW",IF(ISNA(VLOOKUP(E2010,#REF!,1,FALSE())),"?TYPE_IDENTIFIABLE","?REFERENTIAL"),"_")))))</f>
        <v> </v>
      </c>
      <c r="H2010" s="24" t="str">
        <f>IF(J2010&lt;&gt;1,"",IF(I2010="SBJ","CB","?"))</f>
        <v> </v>
      </c>
      <c r="I2010" s="25" t="str">
        <f>IF(OR(E2010="",E2010="!!!",F2010="NEW"),"",INDEX(B2009:B$2,-1+SUMPRODUCT(MAX(ROW(E2009:E$2)*(E2010=E2009:E$2)))))</f>
        <v> </v>
      </c>
      <c r="J2010" s="25" t="str">
        <f>IF(OR(E2010="",E2010="!!!",F2010="NEW"),"",COUNTBLANK(OFFSET(A$1,,,SUMPRODUCT(MAX(ROW(E$2:E2010)*(E2010=E$2:E2010)))))-COUNTBLANK(OFFSET(A$1,,,SUMPRODUCT(MAX(ROW(E$1:E2009)*(E2=E$1:E2009))))))</f>
        <v> </v>
      </c>
      <c r="K2010" s="25" t="str">
        <f>IF(OR(E2010="",E2010="!!!",F2010="NEW"),"",INDEX(J$1:J2009,SUMPRODUCT(MAX(ROW(E$1:E2009)*(E2010=E$1:E2009)))))</f>
        <v> </v>
      </c>
      <c r="L2010" s="26"/>
    </row>
    <row r="2011" spans="1:12">
      <c r="A2011" s="20" t="s">
        <v>1664</v>
      </c>
      <c r="E2011" s="21">
        <f>IF(D2011="?OLD","!!!","")</f>
        <v/>
      </c>
      <c r="F2011" s="22" t="str">
        <f>IF(OR(E2011="",E2011="!!!"),"",IF(NOT(ISNA(VLOOKUP(E2011,E$1:E2010,1,FALSE()))),"OLD",IF(AND(E2011&lt;&gt;"",E2011&lt;&gt;"!!!"),"NEW","")))</f>
        <v> </v>
      </c>
      <c r="G2011" s="23" t="str">
        <f>IF(OR(E2011="",E2011="!!!"),"",IF(OR(J2011=0,AND(J2011=1,K2011=1),AND(J2011=1,I2011="SBJ"),AND(J2011=1,I2011=0)),"?IN_FOCUS",IF(J2011&lt;=2,"?ACTIVATED",IF(J2011&lt;&gt;"","?FAMILIAR",IF(F2011="NEW",IF(ISNA(VLOOKUP(E2011,#REF!,1,FALSE())),"?TYPE_IDENTIFIABLE","?REFERENTIAL"),"_")))))</f>
        <v> </v>
      </c>
      <c r="H2011" s="24" t="str">
        <f>IF(J2011&lt;&gt;1,"",IF(I2011="SBJ","CB","?"))</f>
        <v> </v>
      </c>
      <c r="I2011" s="25" t="str">
        <f>IF(OR(E2011="",E2011="!!!",F2011="NEW"),"",INDEX(B2010:B$2,-1+SUMPRODUCT(MAX(ROW(E2010:E$2)*(E2011=E2010:E$2)))))</f>
        <v> </v>
      </c>
      <c r="J2011" s="25" t="str">
        <f>IF(OR(E2011="",E2011="!!!",F2011="NEW"),"",COUNTBLANK(OFFSET(A$1,,,SUMPRODUCT(MAX(ROW(E$2:E2011)*(E2011=E$2:E2011)))))-COUNTBLANK(OFFSET(A$1,,,SUMPRODUCT(MAX(ROW(E$1:E2010)*(E2=E$1:E2010))))))</f>
        <v> </v>
      </c>
      <c r="K2011" s="25" t="str">
        <f>IF(OR(E2011="",E2011="!!!",F2011="NEW"),"",INDEX(J$1:J2010,SUMPRODUCT(MAX(ROW(E$1:E2010)*(E2011=E$1:E2010)))))</f>
        <v> </v>
      </c>
      <c r="L2011" s="26"/>
    </row>
    <row r="2012" spans="1:12">
      <c r="A2012" s="20" t="s">
        <v>2123</v>
      </c>
      <c r="B2012" s="27" t="s">
        <v>1103</v>
      </c>
      <c r="C2012" s="27" t="s">
        <v>1156</v>
      </c>
      <c r="D2012" s="27" t="s">
        <v>1105</v>
      </c>
      <c r="E2012" s="21">
        <f>IF(D2012="?OLD","!!!","")</f>
        <v/>
      </c>
      <c r="F2012" s="22" t="str">
        <f>IF(OR(E2012="",E2012="!!!"),"",IF(NOT(ISNA(VLOOKUP(E2012,E$1:E2011,1,FALSE()))),"OLD",IF(AND(E2012&lt;&gt;"",E2012&lt;&gt;"!!!"),"NEW","")))</f>
        <v> </v>
      </c>
      <c r="G2012" s="23" t="str">
        <f>IF(OR(E2012="",E2012="!!!"),"",IF(OR(J2012=0,AND(J2012=1,K2012=1),AND(J2012=1,I2012="SBJ"),AND(J2012=1,I2012=0)),"?IN_FOCUS",IF(J2012&lt;=2,"?ACTIVATED",IF(J2012&lt;&gt;"","?FAMILIAR",IF(F2012="NEW",IF(ISNA(VLOOKUP(E2012,#REF!,1,FALSE())),"?TYPE_IDENTIFIABLE","?REFERENTIAL"),"_")))))</f>
        <v> </v>
      </c>
      <c r="H2012" s="24" t="str">
        <f>IF(J2012&lt;&gt;1,"",IF(I2012="SBJ","CB","?"))</f>
        <v> </v>
      </c>
      <c r="I2012" s="25" t="str">
        <f>IF(OR(E2012="",E2012="!!!",F2012="NEW"),"",INDEX(B2011:B$2,-1+SUMPRODUCT(MAX(ROW(E2011:E$2)*(E2012=E2011:E$2)))))</f>
        <v> </v>
      </c>
      <c r="J2012" s="25" t="str">
        <f>IF(OR(E2012="",E2012="!!!",F2012="NEW"),"",COUNTBLANK(OFFSET(A$1,,,SUMPRODUCT(MAX(ROW(E$2:E2012)*(E2012=E$2:E2012)))))-COUNTBLANK(OFFSET(A$1,,,SUMPRODUCT(MAX(ROW(E$1:E2011)*(E2=E$1:E2011))))))</f>
        <v> </v>
      </c>
      <c r="K2012" s="25" t="str">
        <f>IF(OR(E2012="",E2012="!!!",F2012="NEW"),"",INDEX(J$1:J2011,SUMPRODUCT(MAX(ROW(E$1:E2011)*(E2012=E$1:E2011)))))</f>
        <v> </v>
      </c>
      <c r="L2012" s="26"/>
    </row>
    <row r="2013" spans="1:12">
      <c r="A2013" s="20" t="s">
        <v>1123</v>
      </c>
      <c r="E2013" s="21">
        <f>IF(D2013="?OLD","!!!","")</f>
        <v/>
      </c>
      <c r="F2013" s="22" t="str">
        <f>IF(OR(E2013="",E2013="!!!"),"",IF(NOT(ISNA(VLOOKUP(E2013,E$1:E2012,1,FALSE()))),"OLD",IF(AND(E2013&lt;&gt;"",E2013&lt;&gt;"!!!"),"NEW","")))</f>
        <v> </v>
      </c>
      <c r="G2013" s="23" t="str">
        <f>IF(OR(E2013="",E2013="!!!"),"",IF(OR(J2013=0,AND(J2013=1,K2013=1),AND(J2013=1,I2013="SBJ"),AND(J2013=1,I2013=0)),"?IN_FOCUS",IF(J2013&lt;=2,"?ACTIVATED",IF(J2013&lt;&gt;"","?FAMILIAR",IF(F2013="NEW",IF(ISNA(VLOOKUP(E2013,#REF!,1,FALSE())),"?TYPE_IDENTIFIABLE","?REFERENTIAL"),"_")))))</f>
        <v> </v>
      </c>
      <c r="H2013" s="24" t="str">
        <f>IF(J2013&lt;&gt;1,"",IF(I2013="SBJ","CB","?"))</f>
        <v> </v>
      </c>
      <c r="I2013" s="25" t="str">
        <f>IF(OR(E2013="",E2013="!!!",F2013="NEW"),"",INDEX(B2012:B$2,-1+SUMPRODUCT(MAX(ROW(E2012:E$2)*(E2013=E2012:E$2)))))</f>
        <v> </v>
      </c>
      <c r="J2013" s="25" t="str">
        <f>IF(OR(E2013="",E2013="!!!",F2013="NEW"),"",COUNTBLANK(OFFSET(A$1,,,SUMPRODUCT(MAX(ROW(E$2:E2013)*(E2013=E$2:E2013)))))-COUNTBLANK(OFFSET(A$1,,,SUMPRODUCT(MAX(ROW(E$1:E2012)*(E2=E$1:E2012))))))</f>
        <v> </v>
      </c>
      <c r="K2013" s="25" t="str">
        <f>IF(OR(E2013="",E2013="!!!",F2013="NEW"),"",INDEX(J$1:J2012,SUMPRODUCT(MAX(ROW(E$1:E2012)*(E2013=E$1:E2012)))))</f>
        <v> </v>
      </c>
      <c r="L2013" s="26"/>
    </row>
    <row r="2014" spans="1:12">
      <c r="A2014" s="20" t="s">
        <v>1293</v>
      </c>
      <c r="E2014" s="21">
        <f>IF(D2014="?OLD","!!!","")</f>
        <v/>
      </c>
      <c r="F2014" s="22" t="str">
        <f>IF(OR(E2014="",E2014="!!!"),"",IF(NOT(ISNA(VLOOKUP(E2014,E$1:E2013,1,FALSE()))),"OLD",IF(AND(E2014&lt;&gt;"",E2014&lt;&gt;"!!!"),"NEW","")))</f>
        <v> </v>
      </c>
      <c r="G2014" s="23" t="str">
        <f>IF(OR(E2014="",E2014="!!!"),"",IF(OR(J2014=0,AND(J2014=1,K2014=1),AND(J2014=1,I2014="SBJ"),AND(J2014=1,I2014=0)),"?IN_FOCUS",IF(J2014&lt;=2,"?ACTIVATED",IF(J2014&lt;&gt;"","?FAMILIAR",IF(F2014="NEW",IF(ISNA(VLOOKUP(E2014,#REF!,1,FALSE())),"?TYPE_IDENTIFIABLE","?REFERENTIAL"),"_")))))</f>
        <v> </v>
      </c>
      <c r="H2014" s="24" t="str">
        <f>IF(J2014&lt;&gt;1,"",IF(I2014="SBJ","CB","?"))</f>
        <v> </v>
      </c>
      <c r="I2014" s="25" t="str">
        <f>IF(OR(E2014="",E2014="!!!",F2014="NEW"),"",INDEX(B2013:B$2,-1+SUMPRODUCT(MAX(ROW(E2013:E$2)*(E2014=E2013:E$2)))))</f>
        <v> </v>
      </c>
      <c r="J2014" s="25" t="str">
        <f>IF(OR(E2014="",E2014="!!!",F2014="NEW"),"",COUNTBLANK(OFFSET(A$1,,,SUMPRODUCT(MAX(ROW(E$2:E2014)*(E2014=E$2:E2014)))))-COUNTBLANK(OFFSET(A$1,,,SUMPRODUCT(MAX(ROW(E$1:E2013)*(E2=E$1:E2013))))))</f>
        <v> </v>
      </c>
      <c r="K2014" s="25" t="str">
        <f>IF(OR(E2014="",E2014="!!!",F2014="NEW"),"",INDEX(J$1:J2013,SUMPRODUCT(MAX(ROW(E$1:E2013)*(E2014=E$1:E2013)))))</f>
        <v> </v>
      </c>
      <c r="L2014" s="26"/>
    </row>
    <row r="2015" spans="1:12">
      <c r="A2015" s="20" t="s">
        <v>1617</v>
      </c>
      <c r="B2015" s="27" t="s">
        <v>1259</v>
      </c>
      <c r="C2015" s="27" t="s">
        <v>1126</v>
      </c>
      <c r="D2015" s="27" t="s">
        <v>1105</v>
      </c>
      <c r="E2015" s="21">
        <f>IF(D2015="?OLD","!!!","")</f>
        <v/>
      </c>
      <c r="F2015" s="22" t="str">
        <f>IF(OR(E2015="",E2015="!!!"),"",IF(NOT(ISNA(VLOOKUP(E2015,E$1:E2014,1,FALSE()))),"OLD",IF(AND(E2015&lt;&gt;"",E2015&lt;&gt;"!!!"),"NEW","")))</f>
        <v> </v>
      </c>
      <c r="G2015" s="23" t="str">
        <f>IF(OR(E2015="",E2015="!!!"),"",IF(OR(J2015=0,AND(J2015=1,K2015=1),AND(J2015=1,I2015="SBJ"),AND(J2015=1,I2015=0)),"?IN_FOCUS",IF(J2015&lt;=2,"?ACTIVATED",IF(J2015&lt;&gt;"","?FAMILIAR",IF(F2015="NEW",IF(ISNA(VLOOKUP(E2015,#REF!,1,FALSE())),"?TYPE_IDENTIFIABLE","?REFERENTIAL"),"_")))))</f>
        <v> </v>
      </c>
      <c r="H2015" s="24" t="str">
        <f>IF(J2015&lt;&gt;1,"",IF(I2015="SBJ","CB","?"))</f>
        <v> </v>
      </c>
      <c r="I2015" s="25" t="str">
        <f>IF(OR(E2015="",E2015="!!!",F2015="NEW"),"",INDEX(B2014:B$2,-1+SUMPRODUCT(MAX(ROW(E2014:E$2)*(E2015=E2014:E$2)))))</f>
        <v> </v>
      </c>
      <c r="J2015" s="25" t="str">
        <f>IF(OR(E2015="",E2015="!!!",F2015="NEW"),"",COUNTBLANK(OFFSET(A$1,,,SUMPRODUCT(MAX(ROW(E$2:E2015)*(E2015=E$2:E2015)))))-COUNTBLANK(OFFSET(A$1,,,SUMPRODUCT(MAX(ROW(E$1:E2014)*(E2=E$1:E2014))))))</f>
        <v> </v>
      </c>
      <c r="K2015" s="25" t="str">
        <f>IF(OR(E2015="",E2015="!!!",F2015="NEW"),"",INDEX(J$1:J2014,SUMPRODUCT(MAX(ROW(E$1:E2014)*(E2015=E$1:E2014)))))</f>
        <v> </v>
      </c>
      <c r="L2015" s="26"/>
    </row>
    <row r="2016" spans="1:12">
      <c r="A2016" s="20" t="s">
        <v>2124</v>
      </c>
      <c r="E2016" s="21">
        <f>IF(D2016="?OLD","!!!","")</f>
        <v/>
      </c>
      <c r="F2016" s="22" t="str">
        <f>IF(OR(E2016="",E2016="!!!"),"",IF(NOT(ISNA(VLOOKUP(E2016,E$1:E2015,1,FALSE()))),"OLD",IF(AND(E2016&lt;&gt;"",E2016&lt;&gt;"!!!"),"NEW","")))</f>
        <v> </v>
      </c>
      <c r="G2016" s="23" t="str">
        <f>IF(OR(E2016="",E2016="!!!"),"",IF(OR(J2016=0,AND(J2016=1,K2016=1),AND(J2016=1,I2016="SBJ"),AND(J2016=1,I2016=0)),"?IN_FOCUS",IF(J2016&lt;=2,"?ACTIVATED",IF(J2016&lt;&gt;"","?FAMILIAR",IF(F2016="NEW",IF(ISNA(VLOOKUP(E2016,#REF!,1,FALSE())),"?TYPE_IDENTIFIABLE","?REFERENTIAL"),"_")))))</f>
        <v> </v>
      </c>
      <c r="H2016" s="24" t="str">
        <f>IF(J2016&lt;&gt;1,"",IF(I2016="SBJ","CB","?"))</f>
        <v> </v>
      </c>
      <c r="I2016" s="25" t="str">
        <f>IF(OR(E2016="",E2016="!!!",F2016="NEW"),"",INDEX(B2015:B$2,-1+SUMPRODUCT(MAX(ROW(E2015:E$2)*(E2016=E2015:E$2)))))</f>
        <v> </v>
      </c>
      <c r="J2016" s="25" t="str">
        <f>IF(OR(E2016="",E2016="!!!",F2016="NEW"),"",COUNTBLANK(OFFSET(A$1,,,SUMPRODUCT(MAX(ROW(E$2:E2016)*(E2016=E$2:E2016)))))-COUNTBLANK(OFFSET(A$1,,,SUMPRODUCT(MAX(ROW(E$1:E2015)*(E2=E$1:E2015))))))</f>
        <v> </v>
      </c>
      <c r="K2016" s="25" t="str">
        <f>IF(OR(E2016="",E2016="!!!",F2016="NEW"),"",INDEX(J$1:J2015,SUMPRODUCT(MAX(ROW(E$1:E2015)*(E2016=E$1:E2015)))))</f>
        <v> </v>
      </c>
      <c r="L2016" s="26"/>
    </row>
    <row r="2017" spans="1:12">
      <c r="A2017" s="20" t="s">
        <v>1249</v>
      </c>
      <c r="E2017" s="21">
        <f>IF(D2017="?OLD","!!!","")</f>
        <v/>
      </c>
      <c r="F2017" s="22" t="str">
        <f>IF(OR(E2017="",E2017="!!!"),"",IF(NOT(ISNA(VLOOKUP(E2017,E$1:E2016,1,FALSE()))),"OLD",IF(AND(E2017&lt;&gt;"",E2017&lt;&gt;"!!!"),"NEW","")))</f>
        <v> </v>
      </c>
      <c r="G2017" s="23" t="str">
        <f>IF(OR(E2017="",E2017="!!!"),"",IF(OR(J2017=0,AND(J2017=1,K2017=1),AND(J2017=1,I2017="SBJ"),AND(J2017=1,I2017=0)),"?IN_FOCUS",IF(J2017&lt;=2,"?ACTIVATED",IF(J2017&lt;&gt;"","?FAMILIAR",IF(F2017="NEW",IF(ISNA(VLOOKUP(E2017,#REF!,1,FALSE())),"?TYPE_IDENTIFIABLE","?REFERENTIAL"),"_")))))</f>
        <v> </v>
      </c>
      <c r="H2017" s="24" t="str">
        <f>IF(J2017&lt;&gt;1,"",IF(I2017="SBJ","CB","?"))</f>
        <v> </v>
      </c>
      <c r="I2017" s="25" t="str">
        <f>IF(OR(E2017="",E2017="!!!",F2017="NEW"),"",INDEX(B2016:B$2,-1+SUMPRODUCT(MAX(ROW(E2016:E$2)*(E2017=E2016:E$2)))))</f>
        <v> </v>
      </c>
      <c r="J2017" s="25" t="str">
        <f>IF(OR(E2017="",E2017="!!!",F2017="NEW"),"",COUNTBLANK(OFFSET(A$1,,,SUMPRODUCT(MAX(ROW(E$2:E2017)*(E2017=E$2:E2017)))))-COUNTBLANK(OFFSET(A$1,,,SUMPRODUCT(MAX(ROW(E$1:E2016)*(E2=E$1:E2016))))))</f>
        <v> </v>
      </c>
      <c r="K2017" s="25" t="str">
        <f>IF(OR(E2017="",E2017="!!!",F2017="NEW"),"",INDEX(J$1:J2016,SUMPRODUCT(MAX(ROW(E$1:E2016)*(E2017=E$1:E2016)))))</f>
        <v> </v>
      </c>
      <c r="L2017" s="26"/>
    </row>
    <row r="2018" spans="1:12">
      <c r="A2018" s="20" t="s">
        <v>2125</v>
      </c>
      <c r="E2018" s="21">
        <f>IF(D2018="?OLD","!!!","")</f>
        <v/>
      </c>
      <c r="F2018" s="22" t="str">
        <f>IF(OR(E2018="",E2018="!!!"),"",IF(NOT(ISNA(VLOOKUP(E2018,E$1:E2017,1,FALSE()))),"OLD",IF(AND(E2018&lt;&gt;"",E2018&lt;&gt;"!!!"),"NEW","")))</f>
        <v> </v>
      </c>
      <c r="G2018" s="23" t="str">
        <f>IF(OR(E2018="",E2018="!!!"),"",IF(OR(J2018=0,AND(J2018=1,K2018=1),AND(J2018=1,I2018="SBJ"),AND(J2018=1,I2018=0)),"?IN_FOCUS",IF(J2018&lt;=2,"?ACTIVATED",IF(J2018&lt;&gt;"","?FAMILIAR",IF(F2018="NEW",IF(ISNA(VLOOKUP(E2018,#REF!,1,FALSE())),"?TYPE_IDENTIFIABLE","?REFERENTIAL"),"_")))))</f>
        <v> </v>
      </c>
      <c r="H2018" s="24" t="str">
        <f>IF(J2018&lt;&gt;1,"",IF(I2018="SBJ","CB","?"))</f>
        <v> </v>
      </c>
      <c r="I2018" s="25" t="str">
        <f>IF(OR(E2018="",E2018="!!!",F2018="NEW"),"",INDEX(B2017:B$2,-1+SUMPRODUCT(MAX(ROW(E2017:E$2)*(E2018=E2017:E$2)))))</f>
        <v> </v>
      </c>
      <c r="J2018" s="25" t="str">
        <f>IF(OR(E2018="",E2018="!!!",F2018="NEW"),"",COUNTBLANK(OFFSET(A$1,,,SUMPRODUCT(MAX(ROW(E$2:E2018)*(E2018=E$2:E2018)))))-COUNTBLANK(OFFSET(A$1,,,SUMPRODUCT(MAX(ROW(E$1:E2017)*(E2=E$1:E2017))))))</f>
        <v> </v>
      </c>
      <c r="K2018" s="25" t="str">
        <f>IF(OR(E2018="",E2018="!!!",F2018="NEW"),"",INDEX(J$1:J2017,SUMPRODUCT(MAX(ROW(E$1:E2017)*(E2018=E$1:E2017)))))</f>
        <v> </v>
      </c>
      <c r="L2018" s="26"/>
    </row>
    <row r="2019" spans="1:12">
      <c r="A2019" s="20" t="s">
        <v>2126</v>
      </c>
      <c r="E2019" s="21">
        <f>IF(D2019="?OLD","!!!","")</f>
        <v/>
      </c>
      <c r="F2019" s="22" t="str">
        <f>IF(OR(E2019="",E2019="!!!"),"",IF(NOT(ISNA(VLOOKUP(E2019,E$1:E2018,1,FALSE()))),"OLD",IF(AND(E2019&lt;&gt;"",E2019&lt;&gt;"!!!"),"NEW","")))</f>
        <v> </v>
      </c>
      <c r="G2019" s="23" t="str">
        <f>IF(OR(E2019="",E2019="!!!"),"",IF(OR(J2019=0,AND(J2019=1,K2019=1),AND(J2019=1,I2019="SBJ"),AND(J2019=1,I2019=0)),"?IN_FOCUS",IF(J2019&lt;=2,"?ACTIVATED",IF(J2019&lt;&gt;"","?FAMILIAR",IF(F2019="NEW",IF(ISNA(VLOOKUP(E2019,#REF!,1,FALSE())),"?TYPE_IDENTIFIABLE","?REFERENTIAL"),"_")))))</f>
        <v> </v>
      </c>
      <c r="H2019" s="24" t="str">
        <f>IF(J2019&lt;&gt;1,"",IF(I2019="SBJ","CB","?"))</f>
        <v> </v>
      </c>
      <c r="I2019" s="25" t="str">
        <f>IF(OR(E2019="",E2019="!!!",F2019="NEW"),"",INDEX(B2018:B$2,-1+SUMPRODUCT(MAX(ROW(E2018:E$2)*(E2019=E2018:E$2)))))</f>
        <v> </v>
      </c>
      <c r="J2019" s="25" t="str">
        <f>IF(OR(E2019="",E2019="!!!",F2019="NEW"),"",COUNTBLANK(OFFSET(A$1,,,SUMPRODUCT(MAX(ROW(E$2:E2019)*(E2019=E$2:E2019)))))-COUNTBLANK(OFFSET(A$1,,,SUMPRODUCT(MAX(ROW(E$1:E2018)*(E2=E$1:E2018))))))</f>
        <v> </v>
      </c>
      <c r="K2019" s="25" t="str">
        <f>IF(OR(E2019="",E2019="!!!",F2019="NEW"),"",INDEX(J$1:J2018,SUMPRODUCT(MAX(ROW(E$1:E2018)*(E2019=E$1:E2018)))))</f>
        <v> </v>
      </c>
      <c r="L2019" s="26"/>
    </row>
    <row r="2020" spans="1:12">
      <c r="A2020" s="20" t="s">
        <v>1123</v>
      </c>
      <c r="E2020" s="21">
        <f>IF(D2020="?OLD","!!!","")</f>
        <v/>
      </c>
      <c r="F2020" s="22" t="str">
        <f>IF(OR(E2020="",E2020="!!!"),"",IF(NOT(ISNA(VLOOKUP(E2020,E$1:E2019,1,FALSE()))),"OLD",IF(AND(E2020&lt;&gt;"",E2020&lt;&gt;"!!!"),"NEW","")))</f>
        <v> </v>
      </c>
      <c r="G2020" s="23" t="str">
        <f>IF(OR(E2020="",E2020="!!!"),"",IF(OR(J2020=0,AND(J2020=1,K2020=1),AND(J2020=1,I2020="SBJ"),AND(J2020=1,I2020=0)),"?IN_FOCUS",IF(J2020&lt;=2,"?ACTIVATED",IF(J2020&lt;&gt;"","?FAMILIAR",IF(F2020="NEW",IF(ISNA(VLOOKUP(E2020,#REF!,1,FALSE())),"?TYPE_IDENTIFIABLE","?REFERENTIAL"),"_")))))</f>
        <v> </v>
      </c>
      <c r="H2020" s="24" t="str">
        <f>IF(J2020&lt;&gt;1,"",IF(I2020="SBJ","CB","?"))</f>
        <v> </v>
      </c>
      <c r="I2020" s="25" t="str">
        <f>IF(OR(E2020="",E2020="!!!",F2020="NEW"),"",INDEX(B2019:B$2,-1+SUMPRODUCT(MAX(ROW(E2019:E$2)*(E2020=E2019:E$2)))))</f>
        <v> </v>
      </c>
      <c r="J2020" s="25" t="str">
        <f>IF(OR(E2020="",E2020="!!!",F2020="NEW"),"",COUNTBLANK(OFFSET(A$1,,,SUMPRODUCT(MAX(ROW(E$2:E2020)*(E2020=E$2:E2020)))))-COUNTBLANK(OFFSET(A$1,,,SUMPRODUCT(MAX(ROW(E$1:E2019)*(E2=E$1:E2019))))))</f>
        <v> </v>
      </c>
      <c r="K2020" s="25" t="str">
        <f>IF(OR(E2020="",E2020="!!!",F2020="NEW"),"",INDEX(J$1:J2019,SUMPRODUCT(MAX(ROW(E$1:E2019)*(E2020=E$1:E2019)))))</f>
        <v> </v>
      </c>
      <c r="L2020" s="26"/>
    </row>
    <row r="2021" spans="1:12">
      <c r="A2021" s="20" t="s">
        <v>2127</v>
      </c>
      <c r="E2021" s="21">
        <f>IF(D2021="?OLD","!!!","")</f>
        <v/>
      </c>
      <c r="F2021" s="22" t="str">
        <f>IF(OR(E2021="",E2021="!!!"),"",IF(NOT(ISNA(VLOOKUP(E2021,E$1:E2020,1,FALSE()))),"OLD",IF(AND(E2021&lt;&gt;"",E2021&lt;&gt;"!!!"),"NEW","")))</f>
        <v> </v>
      </c>
      <c r="G2021" s="23" t="str">
        <f>IF(OR(E2021="",E2021="!!!"),"",IF(OR(J2021=0,AND(J2021=1,K2021=1),AND(J2021=1,I2021="SBJ"),AND(J2021=1,I2021=0)),"?IN_FOCUS",IF(J2021&lt;=2,"?ACTIVATED",IF(J2021&lt;&gt;"","?FAMILIAR",IF(F2021="NEW",IF(ISNA(VLOOKUP(E2021,#REF!,1,FALSE())),"?TYPE_IDENTIFIABLE","?REFERENTIAL"),"_")))))</f>
        <v> </v>
      </c>
      <c r="H2021" s="24" t="str">
        <f>IF(J2021&lt;&gt;1,"",IF(I2021="SBJ","CB","?"))</f>
        <v> </v>
      </c>
      <c r="I2021" s="25" t="str">
        <f>IF(OR(E2021="",E2021="!!!",F2021="NEW"),"",INDEX(B2020:B$2,-1+SUMPRODUCT(MAX(ROW(E2020:E$2)*(E2021=E2020:E$2)))))</f>
        <v> </v>
      </c>
      <c r="J2021" s="25" t="str">
        <f>IF(OR(E2021="",E2021="!!!",F2021="NEW"),"",COUNTBLANK(OFFSET(A$1,,,SUMPRODUCT(MAX(ROW(E$2:E2021)*(E2021=E$2:E2021)))))-COUNTBLANK(OFFSET(A$1,,,SUMPRODUCT(MAX(ROW(E$1:E2020)*(E2=E$1:E2020))))))</f>
        <v> </v>
      </c>
      <c r="K2021" s="25" t="str">
        <f>IF(OR(E2021="",E2021="!!!",F2021="NEW"),"",INDEX(J$1:J2020,SUMPRODUCT(MAX(ROW(E$1:E2020)*(E2021=E$1:E2020)))))</f>
        <v> </v>
      </c>
      <c r="L2021" s="26"/>
    </row>
    <row r="2022" spans="1:12">
      <c r="A2022" s="20" t="s">
        <v>1494</v>
      </c>
      <c r="B2022" s="27" t="s">
        <v>1144</v>
      </c>
      <c r="C2022" s="27" t="s">
        <v>1126</v>
      </c>
      <c r="D2022" s="27" t="s">
        <v>1105</v>
      </c>
      <c r="E2022" s="21">
        <f>IF(D2022="?OLD","!!!","")</f>
        <v/>
      </c>
      <c r="F2022" s="22" t="str">
        <f>IF(OR(E2022="",E2022="!!!"),"",IF(NOT(ISNA(VLOOKUP(E2022,E$1:E2021,1,FALSE()))),"OLD",IF(AND(E2022&lt;&gt;"",E2022&lt;&gt;"!!!"),"NEW","")))</f>
        <v> </v>
      </c>
      <c r="G2022" s="23" t="str">
        <f>IF(OR(E2022="",E2022="!!!"),"",IF(OR(J2022=0,AND(J2022=1,K2022=1),AND(J2022=1,I2022="SBJ"),AND(J2022=1,I2022=0)),"?IN_FOCUS",IF(J2022&lt;=2,"?ACTIVATED",IF(J2022&lt;&gt;"","?FAMILIAR",IF(F2022="NEW",IF(ISNA(VLOOKUP(E2022,#REF!,1,FALSE())),"?TYPE_IDENTIFIABLE","?REFERENTIAL"),"_")))))</f>
        <v> </v>
      </c>
      <c r="H2022" s="24" t="str">
        <f>IF(J2022&lt;&gt;1,"",IF(I2022="SBJ","CB","?"))</f>
        <v> </v>
      </c>
      <c r="I2022" s="25" t="str">
        <f>IF(OR(E2022="",E2022="!!!",F2022="NEW"),"",INDEX(B2021:B$2,-1+SUMPRODUCT(MAX(ROW(E2021:E$2)*(E2022=E2021:E$2)))))</f>
        <v> </v>
      </c>
      <c r="J2022" s="25" t="str">
        <f>IF(OR(E2022="",E2022="!!!",F2022="NEW"),"",COUNTBLANK(OFFSET(A$1,,,SUMPRODUCT(MAX(ROW(E$2:E2022)*(E2022=E$2:E2022)))))-COUNTBLANK(OFFSET(A$1,,,SUMPRODUCT(MAX(ROW(E$1:E2021)*(E2=E$1:E2021))))))</f>
        <v> </v>
      </c>
      <c r="K2022" s="25" t="str">
        <f>IF(OR(E2022="",E2022="!!!",F2022="NEW"),"",INDEX(J$1:J2021,SUMPRODUCT(MAX(ROW(E$1:E2021)*(E2022=E$1:E2021)))))</f>
        <v> </v>
      </c>
      <c r="L2022" s="26"/>
    </row>
    <row r="2023" spans="1:12">
      <c r="A2023" s="20" t="s">
        <v>1249</v>
      </c>
      <c r="E2023" s="21">
        <f>IF(D2023="?OLD","!!!","")</f>
        <v/>
      </c>
      <c r="F2023" s="22" t="str">
        <f>IF(OR(E2023="",E2023="!!!"),"",IF(NOT(ISNA(VLOOKUP(E2023,E$1:E2022,1,FALSE()))),"OLD",IF(AND(E2023&lt;&gt;"",E2023&lt;&gt;"!!!"),"NEW","")))</f>
        <v> </v>
      </c>
      <c r="G2023" s="23" t="str">
        <f>IF(OR(E2023="",E2023="!!!"),"",IF(OR(J2023=0,AND(J2023=1,K2023=1),AND(J2023=1,I2023="SBJ"),AND(J2023=1,I2023=0)),"?IN_FOCUS",IF(J2023&lt;=2,"?ACTIVATED",IF(J2023&lt;&gt;"","?FAMILIAR",IF(F2023="NEW",IF(ISNA(VLOOKUP(E2023,#REF!,1,FALSE())),"?TYPE_IDENTIFIABLE","?REFERENTIAL"),"_")))))</f>
        <v> </v>
      </c>
      <c r="H2023" s="24" t="str">
        <f>IF(J2023&lt;&gt;1,"",IF(I2023="SBJ","CB","?"))</f>
        <v> </v>
      </c>
      <c r="I2023" s="25" t="str">
        <f>IF(OR(E2023="",E2023="!!!",F2023="NEW"),"",INDEX(B2022:B$2,-1+SUMPRODUCT(MAX(ROW(E2022:E$2)*(E2023=E2022:E$2)))))</f>
        <v> </v>
      </c>
      <c r="J2023" s="25" t="str">
        <f>IF(OR(E2023="",E2023="!!!",F2023="NEW"),"",COUNTBLANK(OFFSET(A$1,,,SUMPRODUCT(MAX(ROW(E$2:E2023)*(E2023=E$2:E2023)))))-COUNTBLANK(OFFSET(A$1,,,SUMPRODUCT(MAX(ROW(E$1:E2022)*(E2=E$1:E2022))))))</f>
        <v> </v>
      </c>
      <c r="K2023" s="25" t="str">
        <f>IF(OR(E2023="",E2023="!!!",F2023="NEW"),"",INDEX(J$1:J2022,SUMPRODUCT(MAX(ROW(E$1:E2022)*(E2023=E$1:E2022)))))</f>
        <v> </v>
      </c>
      <c r="L2023" s="26"/>
    </row>
    <row r="2024" spans="1:12">
      <c r="A2024" s="20" t="s">
        <v>1987</v>
      </c>
      <c r="E2024" s="21">
        <f>IF(D2024="?OLD","!!!","")</f>
        <v/>
      </c>
      <c r="F2024" s="22" t="str">
        <f>IF(OR(E2024="",E2024="!!!"),"",IF(NOT(ISNA(VLOOKUP(E2024,E$1:E2023,1,FALSE()))),"OLD",IF(AND(E2024&lt;&gt;"",E2024&lt;&gt;"!!!"),"NEW","")))</f>
        <v> </v>
      </c>
      <c r="G2024" s="23" t="str">
        <f>IF(OR(E2024="",E2024="!!!"),"",IF(OR(J2024=0,AND(J2024=1,K2024=1),AND(J2024=1,I2024="SBJ"),AND(J2024=1,I2024=0)),"?IN_FOCUS",IF(J2024&lt;=2,"?ACTIVATED",IF(J2024&lt;&gt;"","?FAMILIAR",IF(F2024="NEW",IF(ISNA(VLOOKUP(E2024,#REF!,1,FALSE())),"?TYPE_IDENTIFIABLE","?REFERENTIAL"),"_")))))</f>
        <v> </v>
      </c>
      <c r="H2024" s="24" t="str">
        <f>IF(J2024&lt;&gt;1,"",IF(I2024="SBJ","CB","?"))</f>
        <v> </v>
      </c>
      <c r="I2024" s="25" t="str">
        <f>IF(OR(E2024="",E2024="!!!",F2024="NEW"),"",INDEX(B2023:B$2,-1+SUMPRODUCT(MAX(ROW(E2023:E$2)*(E2024=E2023:E$2)))))</f>
        <v> </v>
      </c>
      <c r="J2024" s="25" t="str">
        <f>IF(OR(E2024="",E2024="!!!",F2024="NEW"),"",COUNTBLANK(OFFSET(A$1,,,SUMPRODUCT(MAX(ROW(E$2:E2024)*(E2024=E$2:E2024)))))-COUNTBLANK(OFFSET(A$1,,,SUMPRODUCT(MAX(ROW(E$1:E2023)*(E2=E$1:E2023))))))</f>
        <v> </v>
      </c>
      <c r="K2024" s="25" t="str">
        <f>IF(OR(E2024="",E2024="!!!",F2024="NEW"),"",INDEX(J$1:J2023,SUMPRODUCT(MAX(ROW(E$1:E2023)*(E2024=E$1:E2023)))))</f>
        <v> </v>
      </c>
      <c r="L2024" s="26"/>
    </row>
    <row r="2025" spans="1:12">
      <c r="A2025" s="20" t="s">
        <v>1128</v>
      </c>
      <c r="E2025" s="21">
        <f>IF(D2025="?OLD","!!!","")</f>
        <v/>
      </c>
      <c r="F2025" s="22" t="str">
        <f>IF(OR(E2025="",E2025="!!!"),"",IF(NOT(ISNA(VLOOKUP(E2025,E$1:E2024,1,FALSE()))),"OLD",IF(AND(E2025&lt;&gt;"",E2025&lt;&gt;"!!!"),"NEW","")))</f>
        <v> </v>
      </c>
      <c r="G2025" s="23" t="str">
        <f>IF(OR(E2025="",E2025="!!!"),"",IF(OR(J2025=0,AND(J2025=1,K2025=1),AND(J2025=1,I2025="SBJ"),AND(J2025=1,I2025=0)),"?IN_FOCUS",IF(J2025&lt;=2,"?ACTIVATED",IF(J2025&lt;&gt;"","?FAMILIAR",IF(F2025="NEW",IF(ISNA(VLOOKUP(E2025,#REF!,1,FALSE())),"?TYPE_IDENTIFIABLE","?REFERENTIAL"),"_")))))</f>
        <v> </v>
      </c>
      <c r="H2025" s="24" t="str">
        <f>IF(J2025&lt;&gt;1,"",IF(I2025="SBJ","CB","?"))</f>
        <v> </v>
      </c>
      <c r="I2025" s="25" t="str">
        <f>IF(OR(E2025="",E2025="!!!",F2025="NEW"),"",INDEX(B2024:B$2,-1+SUMPRODUCT(MAX(ROW(E2024:E$2)*(E2025=E2024:E$2)))))</f>
        <v> </v>
      </c>
      <c r="J2025" s="25" t="str">
        <f>IF(OR(E2025="",E2025="!!!",F2025="NEW"),"",COUNTBLANK(OFFSET(A$1,,,SUMPRODUCT(MAX(ROW(E$2:E2025)*(E2025=E$2:E2025)))))-COUNTBLANK(OFFSET(A$1,,,SUMPRODUCT(MAX(ROW(E$1:E2024)*(E2=E$1:E2024))))))</f>
        <v> </v>
      </c>
      <c r="K2025" s="25" t="str">
        <f>IF(OR(E2025="",E2025="!!!",F2025="NEW"),"",INDEX(J$1:J2024,SUMPRODUCT(MAX(ROW(E$1:E2024)*(E2025=E$1:E2024)))))</f>
        <v> </v>
      </c>
      <c r="L2025" s="26"/>
    </row>
    <row r="2026" spans="1:12">
      <c r="A2026" s="20" t="s">
        <v>1628</v>
      </c>
      <c r="E2026" s="21">
        <f>IF(D2026="?OLD","!!!","")</f>
        <v/>
      </c>
      <c r="F2026" s="22" t="str">
        <f>IF(OR(E2026="",E2026="!!!"),"",IF(NOT(ISNA(VLOOKUP(E2026,E$1:E2025,1,FALSE()))),"OLD",IF(AND(E2026&lt;&gt;"",E2026&lt;&gt;"!!!"),"NEW","")))</f>
        <v> </v>
      </c>
      <c r="G2026" s="23" t="str">
        <f>IF(OR(E2026="",E2026="!!!"),"",IF(OR(J2026=0,AND(J2026=1,K2026=1),AND(J2026=1,I2026="SBJ"),AND(J2026=1,I2026=0)),"?IN_FOCUS",IF(J2026&lt;=2,"?ACTIVATED",IF(J2026&lt;&gt;"","?FAMILIAR",IF(F2026="NEW",IF(ISNA(VLOOKUP(E2026,#REF!,1,FALSE())),"?TYPE_IDENTIFIABLE","?REFERENTIAL"),"_")))))</f>
        <v> </v>
      </c>
      <c r="H2026" s="24" t="str">
        <f>IF(J2026&lt;&gt;1,"",IF(I2026="SBJ","CB","?"))</f>
        <v> </v>
      </c>
      <c r="I2026" s="25" t="str">
        <f>IF(OR(E2026="",E2026="!!!",F2026="NEW"),"",INDEX(B2025:B$2,-1+SUMPRODUCT(MAX(ROW(E2025:E$2)*(E2026=E2025:E$2)))))</f>
        <v> </v>
      </c>
      <c r="J2026" s="25" t="str">
        <f>IF(OR(E2026="",E2026="!!!",F2026="NEW"),"",COUNTBLANK(OFFSET(A$1,,,SUMPRODUCT(MAX(ROW(E$2:E2026)*(E2026=E$2:E2026)))))-COUNTBLANK(OFFSET(A$1,,,SUMPRODUCT(MAX(ROW(E$1:E2025)*(E2=E$1:E2025))))))</f>
        <v> </v>
      </c>
      <c r="K2026" s="25" t="str">
        <f>IF(OR(E2026="",E2026="!!!",F2026="NEW"),"",INDEX(J$1:J2025,SUMPRODUCT(MAX(ROW(E$1:E2025)*(E2026=E$1:E2025)))))</f>
        <v> </v>
      </c>
      <c r="L2026" s="26"/>
    </row>
    <row r="2027" spans="1:12">
      <c r="A2027" s="20" t="s">
        <v>2128</v>
      </c>
      <c r="E2027" s="21">
        <f>IF(D2027="?OLD","!!!","")</f>
        <v/>
      </c>
      <c r="F2027" s="22" t="str">
        <f>IF(OR(E2027="",E2027="!!!"),"",IF(NOT(ISNA(VLOOKUP(E2027,E$1:E2026,1,FALSE()))),"OLD",IF(AND(E2027&lt;&gt;"",E2027&lt;&gt;"!!!"),"NEW","")))</f>
        <v> </v>
      </c>
      <c r="G2027" s="23" t="str">
        <f>IF(OR(E2027="",E2027="!!!"),"",IF(OR(J2027=0,AND(J2027=1,K2027=1),AND(J2027=1,I2027="SBJ"),AND(J2027=1,I2027=0)),"?IN_FOCUS",IF(J2027&lt;=2,"?ACTIVATED",IF(J2027&lt;&gt;"","?FAMILIAR",IF(F2027="NEW",IF(ISNA(VLOOKUP(E2027,#REF!,1,FALSE())),"?TYPE_IDENTIFIABLE","?REFERENTIAL"),"_")))))</f>
        <v> </v>
      </c>
      <c r="H2027" s="24" t="str">
        <f>IF(J2027&lt;&gt;1,"",IF(I2027="SBJ","CB","?"))</f>
        <v> </v>
      </c>
      <c r="I2027" s="25" t="str">
        <f>IF(OR(E2027="",E2027="!!!",F2027="NEW"),"",INDEX(B2026:B$2,-1+SUMPRODUCT(MAX(ROW(E2026:E$2)*(E2027=E2026:E$2)))))</f>
        <v> </v>
      </c>
      <c r="J2027" s="25" t="str">
        <f>IF(OR(E2027="",E2027="!!!",F2027="NEW"),"",COUNTBLANK(OFFSET(A$1,,,SUMPRODUCT(MAX(ROW(E$2:E2027)*(E2027=E$2:E2027)))))-COUNTBLANK(OFFSET(A$1,,,SUMPRODUCT(MAX(ROW(E$1:E2026)*(E2=E$1:E2026))))))</f>
        <v> </v>
      </c>
      <c r="K2027" s="25" t="str">
        <f>IF(OR(E2027="",E2027="!!!",F2027="NEW"),"",INDEX(J$1:J2026,SUMPRODUCT(MAX(ROW(E$1:E2026)*(E2027=E$1:E2026)))))</f>
        <v> </v>
      </c>
      <c r="L2027" s="26"/>
    </row>
    <row r="2028" spans="1:12">
      <c r="A2028" s="20" t="s">
        <v>2129</v>
      </c>
      <c r="E2028" s="21">
        <f>IF(D2028="?OLD","!!!","")</f>
        <v/>
      </c>
      <c r="F2028" s="22" t="str">
        <f>IF(OR(E2028="",E2028="!!!"),"",IF(NOT(ISNA(VLOOKUP(E2028,E$1:E2027,1,FALSE()))),"OLD",IF(AND(E2028&lt;&gt;"",E2028&lt;&gt;"!!!"),"NEW","")))</f>
        <v> </v>
      </c>
      <c r="G2028" s="23" t="str">
        <f>IF(OR(E2028="",E2028="!!!"),"",IF(OR(J2028=0,AND(J2028=1,K2028=1),AND(J2028=1,I2028="SBJ"),AND(J2028=1,I2028=0)),"?IN_FOCUS",IF(J2028&lt;=2,"?ACTIVATED",IF(J2028&lt;&gt;"","?FAMILIAR",IF(F2028="NEW",IF(ISNA(VLOOKUP(E2028,#REF!,1,FALSE())),"?TYPE_IDENTIFIABLE","?REFERENTIAL"),"_")))))</f>
        <v> </v>
      </c>
      <c r="H2028" s="24" t="str">
        <f>IF(J2028&lt;&gt;1,"",IF(I2028="SBJ","CB","?"))</f>
        <v> </v>
      </c>
      <c r="I2028" s="25" t="str">
        <f>IF(OR(E2028="",E2028="!!!",F2028="NEW"),"",INDEX(B2027:B$2,-1+SUMPRODUCT(MAX(ROW(E2027:E$2)*(E2028=E2027:E$2)))))</f>
        <v> </v>
      </c>
      <c r="J2028" s="25" t="str">
        <f>IF(OR(E2028="",E2028="!!!",F2028="NEW"),"",COUNTBLANK(OFFSET(A$1,,,SUMPRODUCT(MAX(ROW(E$2:E2028)*(E2028=E$2:E2028)))))-COUNTBLANK(OFFSET(A$1,,,SUMPRODUCT(MAX(ROW(E$1:E2027)*(E2=E$1:E2027))))))</f>
        <v> </v>
      </c>
      <c r="K2028" s="25" t="str">
        <f>IF(OR(E2028="",E2028="!!!",F2028="NEW"),"",INDEX(J$1:J2027,SUMPRODUCT(MAX(ROW(E$1:E2027)*(E2028=E$1:E2027)))))</f>
        <v> </v>
      </c>
      <c r="L2028" s="26"/>
    </row>
    <row r="2029" spans="1:12">
      <c r="A2029" s="20" t="s">
        <v>1201</v>
      </c>
      <c r="E2029" s="21">
        <f>IF(D2029="?OLD","!!!","")</f>
        <v/>
      </c>
      <c r="F2029" s="22" t="str">
        <f>IF(OR(E2029="",E2029="!!!"),"",IF(NOT(ISNA(VLOOKUP(E2029,E$1:E2028,1,FALSE()))),"OLD",IF(AND(E2029&lt;&gt;"",E2029&lt;&gt;"!!!"),"NEW","")))</f>
        <v> </v>
      </c>
      <c r="G2029" s="23" t="str">
        <f>IF(OR(E2029="",E2029="!!!"),"",IF(OR(J2029=0,AND(J2029=1,K2029=1),AND(J2029=1,I2029="SBJ"),AND(J2029=1,I2029=0)),"?IN_FOCUS",IF(J2029&lt;=2,"?ACTIVATED",IF(J2029&lt;&gt;"","?FAMILIAR",IF(F2029="NEW",IF(ISNA(VLOOKUP(E2029,#REF!,1,FALSE())),"?TYPE_IDENTIFIABLE","?REFERENTIAL"),"_")))))</f>
        <v> </v>
      </c>
      <c r="H2029" s="24" t="str">
        <f>IF(J2029&lt;&gt;1,"",IF(I2029="SBJ","CB","?"))</f>
        <v> </v>
      </c>
      <c r="I2029" s="25" t="str">
        <f>IF(OR(E2029="",E2029="!!!",F2029="NEW"),"",INDEX(B2028:B$2,-1+SUMPRODUCT(MAX(ROW(E2028:E$2)*(E2029=E2028:E$2)))))</f>
        <v> </v>
      </c>
      <c r="J2029" s="25" t="str">
        <f>IF(OR(E2029="",E2029="!!!",F2029="NEW"),"",COUNTBLANK(OFFSET(A$1,,,SUMPRODUCT(MAX(ROW(E$2:E2029)*(E2029=E$2:E2029)))))-COUNTBLANK(OFFSET(A$1,,,SUMPRODUCT(MAX(ROW(E$1:E2028)*(E2=E$1:E2028))))))</f>
        <v> </v>
      </c>
      <c r="K2029" s="25" t="str">
        <f>IF(OR(E2029="",E2029="!!!",F2029="NEW"),"",INDEX(J$1:J2028,SUMPRODUCT(MAX(ROW(E$1:E2028)*(E2029=E$1:E2028)))))</f>
        <v> </v>
      </c>
      <c r="L2029" s="26"/>
    </row>
    <row r="2030" spans="1:12">
      <c r="A2030" s="20" t="s">
        <v>2130</v>
      </c>
      <c r="E2030" s="21">
        <f>IF(D2030="?OLD","!!!","")</f>
        <v/>
      </c>
      <c r="F2030" s="22" t="str">
        <f>IF(OR(E2030="",E2030="!!!"),"",IF(NOT(ISNA(VLOOKUP(E2030,E$1:E2029,1,FALSE()))),"OLD",IF(AND(E2030&lt;&gt;"",E2030&lt;&gt;"!!!"),"NEW","")))</f>
        <v> </v>
      </c>
      <c r="G2030" s="23" t="str">
        <f>IF(OR(E2030="",E2030="!!!"),"",IF(OR(J2030=0,AND(J2030=1,K2030=1),AND(J2030=1,I2030="SBJ"),AND(J2030=1,I2030=0)),"?IN_FOCUS",IF(J2030&lt;=2,"?ACTIVATED",IF(J2030&lt;&gt;"","?FAMILIAR",IF(F2030="NEW",IF(ISNA(VLOOKUP(E2030,#REF!,1,FALSE())),"?TYPE_IDENTIFIABLE","?REFERENTIAL"),"_")))))</f>
        <v> </v>
      </c>
      <c r="H2030" s="24" t="str">
        <f>IF(J2030&lt;&gt;1,"",IF(I2030="SBJ","CB","?"))</f>
        <v> </v>
      </c>
      <c r="I2030" s="25" t="str">
        <f>IF(OR(E2030="",E2030="!!!",F2030="NEW"),"",INDEX(B2029:B$2,-1+SUMPRODUCT(MAX(ROW(E2029:E$2)*(E2030=E2029:E$2)))))</f>
        <v> </v>
      </c>
      <c r="J2030" s="25" t="str">
        <f>IF(OR(E2030="",E2030="!!!",F2030="NEW"),"",COUNTBLANK(OFFSET(A$1,,,SUMPRODUCT(MAX(ROW(E$2:E2030)*(E2030=E$2:E2030)))))-COUNTBLANK(OFFSET(A$1,,,SUMPRODUCT(MAX(ROW(E$1:E2029)*(E2=E$1:E2029))))))</f>
        <v> </v>
      </c>
      <c r="K2030" s="25" t="str">
        <f>IF(OR(E2030="",E2030="!!!",F2030="NEW"),"",INDEX(J$1:J2029,SUMPRODUCT(MAX(ROW(E$1:E2029)*(E2030=E$1:E2029)))))</f>
        <v> </v>
      </c>
      <c r="L2030" s="26"/>
    </row>
    <row r="2031" spans="1:12">
      <c r="A2031" s="20" t="s">
        <v>1145</v>
      </c>
      <c r="E2031" s="21">
        <f>IF(D2031="?OLD","!!!","")</f>
        <v/>
      </c>
      <c r="F2031" s="22" t="str">
        <f>IF(OR(E2031="",E2031="!!!"),"",IF(NOT(ISNA(VLOOKUP(E2031,E$1:E2030,1,FALSE()))),"OLD",IF(AND(E2031&lt;&gt;"",E2031&lt;&gt;"!!!"),"NEW","")))</f>
        <v> </v>
      </c>
      <c r="G2031" s="23" t="str">
        <f>IF(OR(E2031="",E2031="!!!"),"",IF(OR(J2031=0,AND(J2031=1,K2031=1),AND(J2031=1,I2031="SBJ"),AND(J2031=1,I2031=0)),"?IN_FOCUS",IF(J2031&lt;=2,"?ACTIVATED",IF(J2031&lt;&gt;"","?FAMILIAR",IF(F2031="NEW",IF(ISNA(VLOOKUP(E2031,#REF!,1,FALSE())),"?TYPE_IDENTIFIABLE","?REFERENTIAL"),"_")))))</f>
        <v> </v>
      </c>
      <c r="H2031" s="24" t="str">
        <f>IF(J2031&lt;&gt;1,"",IF(I2031="SBJ","CB","?"))</f>
        <v> </v>
      </c>
      <c r="I2031" s="25" t="str">
        <f>IF(OR(E2031="",E2031="!!!",F2031="NEW"),"",INDEX(B2030:B$2,-1+SUMPRODUCT(MAX(ROW(E2030:E$2)*(E2031=E2030:E$2)))))</f>
        <v> </v>
      </c>
      <c r="J2031" s="25" t="str">
        <f>IF(OR(E2031="",E2031="!!!",F2031="NEW"),"",COUNTBLANK(OFFSET(A$1,,,SUMPRODUCT(MAX(ROW(E$2:E2031)*(E2031=E$2:E2031)))))-COUNTBLANK(OFFSET(A$1,,,SUMPRODUCT(MAX(ROW(E$1:E2030)*(E2=E$1:E2030))))))</f>
        <v> </v>
      </c>
      <c r="K2031" s="25" t="str">
        <f>IF(OR(E2031="",E2031="!!!",F2031="NEW"),"",INDEX(J$1:J2030,SUMPRODUCT(MAX(ROW(E$1:E2030)*(E2031=E$1:E2030)))))</f>
        <v> </v>
      </c>
      <c r="L2031" s="26"/>
    </row>
    <row r="2032" spans="1:12">
      <c r="A2032" s="20"/>
    </row>
    <row r="2033" spans="1:12">
      <c r="A2033" s="20" t="s">
        <v>2131</v>
      </c>
    </row>
    <row r="2034" spans="1:12">
      <c r="A2034" s="20" t="s">
        <v>1547</v>
      </c>
      <c r="E2034" s="21">
        <f>IF(D2034="?OLD","!!!","")</f>
        <v/>
      </c>
      <c r="F2034" s="22" t="str">
        <f>IF(OR(E2034="",E2034="!!!"),"",IF(NOT(ISNA(VLOOKUP(E2034,E$1:E2033,1,FALSE()))),"OLD",IF(AND(E2034&lt;&gt;"",E2034&lt;&gt;"!!!"),"NEW","")))</f>
        <v> </v>
      </c>
      <c r="G2034" s="23" t="str">
        <f>IF(OR(E2034="",E2034="!!!"),"",IF(OR(J2034=0,AND(J2034=1,K2034=1),AND(J2034=1,I2034="SBJ"),AND(J2034=1,I2034=0)),"?IN_FOCUS",IF(J2034&lt;=2,"?ACTIVATED",IF(J2034&lt;&gt;"","?FAMILIAR",IF(F2034="NEW",IF(ISNA(VLOOKUP(E2034,#REF!,1,FALSE())),"?TYPE_IDENTIFIABLE","?REFERENTIAL"),"_")))))</f>
        <v> </v>
      </c>
      <c r="H2034" s="24" t="str">
        <f>IF(J2034&lt;&gt;1,"",IF(I2034="SBJ","CB","?"))</f>
        <v> </v>
      </c>
      <c r="I2034" s="25" t="str">
        <f>IF(OR(E2034="",E2034="!!!",F2034="NEW"),"",INDEX(B2033:B$2,-1+SUMPRODUCT(MAX(ROW(E2033:E$2)*(E2034=E2033:E$2)))))</f>
        <v> </v>
      </c>
      <c r="J2034" s="25" t="str">
        <f>IF(OR(E2034="",E2034="!!!",F2034="NEW"),"",COUNTBLANK(OFFSET(A$1,,,SUMPRODUCT(MAX(ROW(E$2:E2034)*(E2034=E$2:E2034)))))-COUNTBLANK(OFFSET(A$1,,,SUMPRODUCT(MAX(ROW(E$1:E2033)*(E2=E$1:E2033))))))</f>
        <v> </v>
      </c>
      <c r="K2034" s="25" t="str">
        <f>IF(OR(E2034="",E2034="!!!",F2034="NEW"),"",INDEX(J$1:J2033,SUMPRODUCT(MAX(ROW(E$1:E2033)*(E2034=E$1:E2033)))))</f>
        <v> </v>
      </c>
      <c r="L2034" s="26"/>
    </row>
    <row r="2035" spans="1:12">
      <c r="A2035" s="20" t="s">
        <v>1225</v>
      </c>
      <c r="B2035" s="27" t="s">
        <v>1149</v>
      </c>
      <c r="C2035" s="27" t="s">
        <v>1108</v>
      </c>
      <c r="D2035" s="27" t="s">
        <v>1105</v>
      </c>
      <c r="E2035" s="21">
        <f>IF(D2035="?OLD","!!!","")</f>
        <v/>
      </c>
      <c r="F2035" s="22" t="str">
        <f>IF(OR(E2035="",E2035="!!!"),"",IF(NOT(ISNA(VLOOKUP(E2035,E$1:E2034,1,FALSE()))),"OLD",IF(AND(E2035&lt;&gt;"",E2035&lt;&gt;"!!!"),"NEW","")))</f>
        <v> </v>
      </c>
      <c r="G2035" s="23" t="str">
        <f>IF(OR(E2035="",E2035="!!!"),"",IF(OR(J2035=0,AND(J2035=1,K2035=1),AND(J2035=1,I2035="SBJ"),AND(J2035=1,I2035=0)),"?IN_FOCUS",IF(J2035&lt;=2,"?ACTIVATED",IF(J2035&lt;&gt;"","?FAMILIAR",IF(F2035="NEW",IF(ISNA(VLOOKUP(E2035,#REF!,1,FALSE())),"?TYPE_IDENTIFIABLE","?REFERENTIAL"),"_")))))</f>
        <v> </v>
      </c>
      <c r="H2035" s="24" t="str">
        <f>IF(J2035&lt;&gt;1,"",IF(I2035="SBJ","CB","?"))</f>
        <v> </v>
      </c>
      <c r="I2035" s="25" t="str">
        <f>IF(OR(E2035="",E2035="!!!",F2035="NEW"),"",INDEX(B2034:B$2,-1+SUMPRODUCT(MAX(ROW(E2034:E$2)*(E2035=E2034:E$2)))))</f>
        <v> </v>
      </c>
      <c r="J2035" s="25" t="str">
        <f>IF(OR(E2035="",E2035="!!!",F2035="NEW"),"",COUNTBLANK(OFFSET(A$1,,,SUMPRODUCT(MAX(ROW(E$2:E2035)*(E2035=E$2:E2035)))))-COUNTBLANK(OFFSET(A$1,,,SUMPRODUCT(MAX(ROW(E$1:E2034)*(E2=E$1:E2034))))))</f>
        <v> </v>
      </c>
      <c r="K2035" s="25" t="str">
        <f>IF(OR(E2035="",E2035="!!!",F2035="NEW"),"",INDEX(J$1:J2034,SUMPRODUCT(MAX(ROW(E$1:E2034)*(E2035=E$1:E2034)))))</f>
        <v> </v>
      </c>
      <c r="L2035" s="26"/>
    </row>
    <row r="2036" spans="1:12">
      <c r="A2036" s="20" t="s">
        <v>2132</v>
      </c>
      <c r="E2036" s="21">
        <f>IF(D2036="?OLD","!!!","")</f>
        <v/>
      </c>
      <c r="F2036" s="22" t="str">
        <f>IF(OR(E2036="",E2036="!!!"),"",IF(NOT(ISNA(VLOOKUP(E2036,E$1:E2035,1,FALSE()))),"OLD",IF(AND(E2036&lt;&gt;"",E2036&lt;&gt;"!!!"),"NEW","")))</f>
        <v> </v>
      </c>
      <c r="G2036" s="23" t="str">
        <f>IF(OR(E2036="",E2036="!!!"),"",IF(OR(J2036=0,AND(J2036=1,K2036=1),AND(J2036=1,I2036="SBJ"),AND(J2036=1,I2036=0)),"?IN_FOCUS",IF(J2036&lt;=2,"?ACTIVATED",IF(J2036&lt;&gt;"","?FAMILIAR",IF(F2036="NEW",IF(ISNA(VLOOKUP(E2036,#REF!,1,FALSE())),"?TYPE_IDENTIFIABLE","?REFERENTIAL"),"_")))))</f>
        <v> </v>
      </c>
      <c r="H2036" s="24" t="str">
        <f>IF(J2036&lt;&gt;1,"",IF(I2036="SBJ","CB","?"))</f>
        <v> </v>
      </c>
      <c r="I2036" s="25" t="str">
        <f>IF(OR(E2036="",E2036="!!!",F2036="NEW"),"",INDEX(B2035:B$2,-1+SUMPRODUCT(MAX(ROW(E2035:E$2)*(E2036=E2035:E$2)))))</f>
        <v> </v>
      </c>
      <c r="J2036" s="25" t="str">
        <f>IF(OR(E2036="",E2036="!!!",F2036="NEW"),"",COUNTBLANK(OFFSET(A$1,,,SUMPRODUCT(MAX(ROW(E$2:E2036)*(E2036=E$2:E2036)))))-COUNTBLANK(OFFSET(A$1,,,SUMPRODUCT(MAX(ROW(E$1:E2035)*(E2=E$1:E2035))))))</f>
        <v> </v>
      </c>
      <c r="K2036" s="25" t="str">
        <f>IF(OR(E2036="",E2036="!!!",F2036="NEW"),"",INDEX(J$1:J2035,SUMPRODUCT(MAX(ROW(E$1:E2035)*(E2036=E$1:E2035)))))</f>
        <v> </v>
      </c>
      <c r="L2036" s="26"/>
    </row>
    <row r="2037" spans="1:12">
      <c r="A2037" s="20" t="s">
        <v>2133</v>
      </c>
      <c r="B2037" s="27" t="s">
        <v>1213</v>
      </c>
      <c r="C2037" s="27" t="s">
        <v>1126</v>
      </c>
      <c r="D2037" s="27" t="s">
        <v>1105</v>
      </c>
      <c r="E2037" s="21">
        <f>IF(D2037="?OLD","!!!","")</f>
        <v/>
      </c>
      <c r="F2037" s="22" t="str">
        <f>IF(OR(E2037="",E2037="!!!"),"",IF(NOT(ISNA(VLOOKUP(E2037,E$1:E2036,1,FALSE()))),"OLD",IF(AND(E2037&lt;&gt;"",E2037&lt;&gt;"!!!"),"NEW","")))</f>
        <v> </v>
      </c>
      <c r="G2037" s="23" t="str">
        <f>IF(OR(E2037="",E2037="!!!"),"",IF(OR(J2037=0,AND(J2037=1,K2037=1),AND(J2037=1,I2037="SBJ"),AND(J2037=1,I2037=0)),"?IN_FOCUS",IF(J2037&lt;=2,"?ACTIVATED",IF(J2037&lt;&gt;"","?FAMILIAR",IF(F2037="NEW",IF(ISNA(VLOOKUP(E2037,#REF!,1,FALSE())),"?TYPE_IDENTIFIABLE","?REFERENTIAL"),"_")))))</f>
        <v> </v>
      </c>
      <c r="H2037" s="24" t="str">
        <f>IF(J2037&lt;&gt;1,"",IF(I2037="SBJ","CB","?"))</f>
        <v> </v>
      </c>
      <c r="I2037" s="25" t="str">
        <f>IF(OR(E2037="",E2037="!!!",F2037="NEW"),"",INDEX(B2036:B$2,-1+SUMPRODUCT(MAX(ROW(E2036:E$2)*(E2037=E2036:E$2)))))</f>
        <v> </v>
      </c>
      <c r="J2037" s="25" t="str">
        <f>IF(OR(E2037="",E2037="!!!",F2037="NEW"),"",COUNTBLANK(OFFSET(A$1,,,SUMPRODUCT(MAX(ROW(E$2:E2037)*(E2037=E$2:E2037)))))-COUNTBLANK(OFFSET(A$1,,,SUMPRODUCT(MAX(ROW(E$1:E2036)*(E2=E$1:E2036))))))</f>
        <v> </v>
      </c>
      <c r="K2037" s="25" t="str">
        <f>IF(OR(E2037="",E2037="!!!",F2037="NEW"),"",INDEX(J$1:J2036,SUMPRODUCT(MAX(ROW(E$1:E2036)*(E2037=E$1:E2036)))))</f>
        <v> </v>
      </c>
      <c r="L2037" s="26"/>
    </row>
    <row r="2038" spans="1:12">
      <c r="A2038" s="20" t="s">
        <v>1184</v>
      </c>
      <c r="E2038" s="21">
        <f>IF(D2038="?OLD","!!!","")</f>
        <v/>
      </c>
      <c r="F2038" s="22" t="str">
        <f>IF(OR(E2038="",E2038="!!!"),"",IF(NOT(ISNA(VLOOKUP(E2038,E$1:E2037,1,FALSE()))),"OLD",IF(AND(E2038&lt;&gt;"",E2038&lt;&gt;"!!!"),"NEW","")))</f>
        <v> </v>
      </c>
      <c r="G2038" s="23" t="str">
        <f>IF(OR(E2038="",E2038="!!!"),"",IF(OR(J2038=0,AND(J2038=1,K2038=1),AND(J2038=1,I2038="SBJ"),AND(J2038=1,I2038=0)),"?IN_FOCUS",IF(J2038&lt;=2,"?ACTIVATED",IF(J2038&lt;&gt;"","?FAMILIAR",IF(F2038="NEW",IF(ISNA(VLOOKUP(E2038,#REF!,1,FALSE())),"?TYPE_IDENTIFIABLE","?REFERENTIAL"),"_")))))</f>
        <v> </v>
      </c>
      <c r="H2038" s="24" t="str">
        <f>IF(J2038&lt;&gt;1,"",IF(I2038="SBJ","CB","?"))</f>
        <v> </v>
      </c>
      <c r="I2038" s="25" t="str">
        <f>IF(OR(E2038="",E2038="!!!",F2038="NEW"),"",INDEX(B2037:B$2,-1+SUMPRODUCT(MAX(ROW(E2037:E$2)*(E2038=E2037:E$2)))))</f>
        <v> </v>
      </c>
      <c r="J2038" s="25" t="str">
        <f>IF(OR(E2038="",E2038="!!!",F2038="NEW"),"",COUNTBLANK(OFFSET(A$1,,,SUMPRODUCT(MAX(ROW(E$2:E2038)*(E2038=E$2:E2038)))))-COUNTBLANK(OFFSET(A$1,,,SUMPRODUCT(MAX(ROW(E$1:E2037)*(E2=E$1:E2037))))))</f>
        <v> </v>
      </c>
      <c r="K2038" s="25" t="str">
        <f>IF(OR(E2038="",E2038="!!!",F2038="NEW"),"",INDEX(J$1:J2037,SUMPRODUCT(MAX(ROW(E$1:E2037)*(E2038=E$1:E2037)))))</f>
        <v> </v>
      </c>
      <c r="L2038" s="26"/>
    </row>
    <row r="2039" spans="1:12">
      <c r="A2039" s="20" t="s">
        <v>2134</v>
      </c>
      <c r="E2039" s="21">
        <f>IF(D2039="?OLD","!!!","")</f>
        <v/>
      </c>
      <c r="F2039" s="22" t="str">
        <f>IF(OR(E2039="",E2039="!!!"),"",IF(NOT(ISNA(VLOOKUP(E2039,E$1:E2038,1,FALSE()))),"OLD",IF(AND(E2039&lt;&gt;"",E2039&lt;&gt;"!!!"),"NEW","")))</f>
        <v> </v>
      </c>
      <c r="G2039" s="23" t="str">
        <f>IF(OR(E2039="",E2039="!!!"),"",IF(OR(J2039=0,AND(J2039=1,K2039=1),AND(J2039=1,I2039="SBJ"),AND(J2039=1,I2039=0)),"?IN_FOCUS",IF(J2039&lt;=2,"?ACTIVATED",IF(J2039&lt;&gt;"","?FAMILIAR",IF(F2039="NEW",IF(ISNA(VLOOKUP(E2039,#REF!,1,FALSE())),"?TYPE_IDENTIFIABLE","?REFERENTIAL"),"_")))))</f>
        <v> </v>
      </c>
      <c r="H2039" s="24" t="str">
        <f>IF(J2039&lt;&gt;1,"",IF(I2039="SBJ","CB","?"))</f>
        <v> </v>
      </c>
      <c r="I2039" s="25" t="str">
        <f>IF(OR(E2039="",E2039="!!!",F2039="NEW"),"",INDEX(B2038:B$2,-1+SUMPRODUCT(MAX(ROW(E2038:E$2)*(E2039=E2038:E$2)))))</f>
        <v> </v>
      </c>
      <c r="J2039" s="25" t="str">
        <f>IF(OR(E2039="",E2039="!!!",F2039="NEW"),"",COUNTBLANK(OFFSET(A$1,,,SUMPRODUCT(MAX(ROW(E$2:E2039)*(E2039=E$2:E2039)))))-COUNTBLANK(OFFSET(A$1,,,SUMPRODUCT(MAX(ROW(E$1:E2038)*(E2=E$1:E2038))))))</f>
        <v> </v>
      </c>
      <c r="K2039" s="25" t="str">
        <f>IF(OR(E2039="",E2039="!!!",F2039="NEW"),"",INDEX(J$1:J2038,SUMPRODUCT(MAX(ROW(E$1:E2038)*(E2039=E$1:E2038)))))</f>
        <v> </v>
      </c>
      <c r="L2039" s="26"/>
    </row>
    <row r="2040" spans="1:12">
      <c r="A2040" s="20" t="s">
        <v>2135</v>
      </c>
      <c r="E2040" s="21">
        <f>IF(D2040="?OLD","!!!","")</f>
        <v/>
      </c>
      <c r="F2040" s="22" t="str">
        <f>IF(OR(E2040="",E2040="!!!"),"",IF(NOT(ISNA(VLOOKUP(E2040,E$1:E2039,1,FALSE()))),"OLD",IF(AND(E2040&lt;&gt;"",E2040&lt;&gt;"!!!"),"NEW","")))</f>
        <v> </v>
      </c>
      <c r="G2040" s="23" t="str">
        <f>IF(OR(E2040="",E2040="!!!"),"",IF(OR(J2040=0,AND(J2040=1,K2040=1),AND(J2040=1,I2040="SBJ"),AND(J2040=1,I2040=0)),"?IN_FOCUS",IF(J2040&lt;=2,"?ACTIVATED",IF(J2040&lt;&gt;"","?FAMILIAR",IF(F2040="NEW",IF(ISNA(VLOOKUP(E2040,#REF!,1,FALSE())),"?TYPE_IDENTIFIABLE","?REFERENTIAL"),"_")))))</f>
        <v> </v>
      </c>
      <c r="H2040" s="24" t="str">
        <f>IF(J2040&lt;&gt;1,"",IF(I2040="SBJ","CB","?"))</f>
        <v> </v>
      </c>
      <c r="I2040" s="25" t="str">
        <f>IF(OR(E2040="",E2040="!!!",F2040="NEW"),"",INDEX(B2039:B$2,-1+SUMPRODUCT(MAX(ROW(E2039:E$2)*(E2040=E2039:E$2)))))</f>
        <v> </v>
      </c>
      <c r="J2040" s="25" t="str">
        <f>IF(OR(E2040="",E2040="!!!",F2040="NEW"),"",COUNTBLANK(OFFSET(A$1,,,SUMPRODUCT(MAX(ROW(E$2:E2040)*(E2040=E$2:E2040)))))-COUNTBLANK(OFFSET(A$1,,,SUMPRODUCT(MAX(ROW(E$1:E2039)*(E2=E$1:E2039))))))</f>
        <v> </v>
      </c>
      <c r="K2040" s="25" t="str">
        <f>IF(OR(E2040="",E2040="!!!",F2040="NEW"),"",INDEX(J$1:J2039,SUMPRODUCT(MAX(ROW(E$1:E2039)*(E2040=E$1:E2039)))))</f>
        <v> </v>
      </c>
      <c r="L2040" s="26"/>
    </row>
    <row r="2041" spans="1:12">
      <c r="A2041" s="20" t="s">
        <v>1201</v>
      </c>
      <c r="E2041" s="21">
        <f>IF(D2041="?OLD","!!!","")</f>
        <v/>
      </c>
      <c r="F2041" s="22" t="str">
        <f>IF(OR(E2041="",E2041="!!!"),"",IF(NOT(ISNA(VLOOKUP(E2041,E$1:E2040,1,FALSE()))),"OLD",IF(AND(E2041&lt;&gt;"",E2041&lt;&gt;"!!!"),"NEW","")))</f>
        <v> </v>
      </c>
      <c r="G2041" s="23" t="str">
        <f>IF(OR(E2041="",E2041="!!!"),"",IF(OR(J2041=0,AND(J2041=1,K2041=1),AND(J2041=1,I2041="SBJ"),AND(J2041=1,I2041=0)),"?IN_FOCUS",IF(J2041&lt;=2,"?ACTIVATED",IF(J2041&lt;&gt;"","?FAMILIAR",IF(F2041="NEW",IF(ISNA(VLOOKUP(E2041,#REF!,1,FALSE())),"?TYPE_IDENTIFIABLE","?REFERENTIAL"),"_")))))</f>
        <v> </v>
      </c>
      <c r="H2041" s="24" t="str">
        <f>IF(J2041&lt;&gt;1,"",IF(I2041="SBJ","CB","?"))</f>
        <v> </v>
      </c>
      <c r="I2041" s="25" t="str">
        <f>IF(OR(E2041="",E2041="!!!",F2041="NEW"),"",INDEX(B2040:B$2,-1+SUMPRODUCT(MAX(ROW(E2040:E$2)*(E2041=E2040:E$2)))))</f>
        <v> </v>
      </c>
      <c r="J2041" s="25" t="str">
        <f>IF(OR(E2041="",E2041="!!!",F2041="NEW"),"",COUNTBLANK(OFFSET(A$1,,,SUMPRODUCT(MAX(ROW(E$2:E2041)*(E2041=E$2:E2041)))))-COUNTBLANK(OFFSET(A$1,,,SUMPRODUCT(MAX(ROW(E$1:E2040)*(E2=E$1:E2040))))))</f>
        <v> </v>
      </c>
      <c r="K2041" s="25" t="str">
        <f>IF(OR(E2041="",E2041="!!!",F2041="NEW"),"",INDEX(J$1:J2040,SUMPRODUCT(MAX(ROW(E$1:E2040)*(E2041=E$1:E2040)))))</f>
        <v> </v>
      </c>
      <c r="L2041" s="26"/>
    </row>
    <row r="2042" spans="1:12">
      <c r="A2042" s="20" t="s">
        <v>2136</v>
      </c>
      <c r="E2042" s="21">
        <f>IF(D2042="?OLD","!!!","")</f>
        <v/>
      </c>
      <c r="F2042" s="22" t="str">
        <f>IF(OR(E2042="",E2042="!!!"),"",IF(NOT(ISNA(VLOOKUP(E2042,E$1:E2041,1,FALSE()))),"OLD",IF(AND(E2042&lt;&gt;"",E2042&lt;&gt;"!!!"),"NEW","")))</f>
        <v> </v>
      </c>
      <c r="G2042" s="23" t="str">
        <f>IF(OR(E2042="",E2042="!!!"),"",IF(OR(J2042=0,AND(J2042=1,K2042=1),AND(J2042=1,I2042="SBJ"),AND(J2042=1,I2042=0)),"?IN_FOCUS",IF(J2042&lt;=2,"?ACTIVATED",IF(J2042&lt;&gt;"","?FAMILIAR",IF(F2042="NEW",IF(ISNA(VLOOKUP(E2042,#REF!,1,FALSE())),"?TYPE_IDENTIFIABLE","?REFERENTIAL"),"_")))))</f>
        <v> </v>
      </c>
      <c r="H2042" s="24" t="str">
        <f>IF(J2042&lt;&gt;1,"",IF(I2042="SBJ","CB","?"))</f>
        <v> </v>
      </c>
      <c r="I2042" s="25" t="str">
        <f>IF(OR(E2042="",E2042="!!!",F2042="NEW"),"",INDEX(B2041:B$2,-1+SUMPRODUCT(MAX(ROW(E2041:E$2)*(E2042=E2041:E$2)))))</f>
        <v> </v>
      </c>
      <c r="J2042" s="25" t="str">
        <f>IF(OR(E2042="",E2042="!!!",F2042="NEW"),"",COUNTBLANK(OFFSET(A$1,,,SUMPRODUCT(MAX(ROW(E$2:E2042)*(E2042=E$2:E2042)))))-COUNTBLANK(OFFSET(A$1,,,SUMPRODUCT(MAX(ROW(E$1:E2041)*(E2=E$1:E2041))))))</f>
        <v> </v>
      </c>
      <c r="K2042" s="25" t="str">
        <f>IF(OR(E2042="",E2042="!!!",F2042="NEW"),"",INDEX(J$1:J2041,SUMPRODUCT(MAX(ROW(E$1:E2041)*(E2042=E$1:E2041)))))</f>
        <v> </v>
      </c>
      <c r="L2042" s="26"/>
    </row>
    <row r="2043" spans="1:12">
      <c r="A2043" s="20" t="s">
        <v>2137</v>
      </c>
      <c r="E2043" s="21">
        <f>IF(D2043="?OLD","!!!","")</f>
        <v/>
      </c>
      <c r="F2043" s="22" t="str">
        <f>IF(OR(E2043="",E2043="!!!"),"",IF(NOT(ISNA(VLOOKUP(E2043,E$1:E2042,1,FALSE()))),"OLD",IF(AND(E2043&lt;&gt;"",E2043&lt;&gt;"!!!"),"NEW","")))</f>
        <v> </v>
      </c>
      <c r="G2043" s="23" t="str">
        <f>IF(OR(E2043="",E2043="!!!"),"",IF(OR(J2043=0,AND(J2043=1,K2043=1),AND(J2043=1,I2043="SBJ"),AND(J2043=1,I2043=0)),"?IN_FOCUS",IF(J2043&lt;=2,"?ACTIVATED",IF(J2043&lt;&gt;"","?FAMILIAR",IF(F2043="NEW",IF(ISNA(VLOOKUP(E2043,#REF!,1,FALSE())),"?TYPE_IDENTIFIABLE","?REFERENTIAL"),"_")))))</f>
        <v> </v>
      </c>
      <c r="H2043" s="24" t="str">
        <f>IF(J2043&lt;&gt;1,"",IF(I2043="SBJ","CB","?"))</f>
        <v> </v>
      </c>
      <c r="I2043" s="25" t="str">
        <f>IF(OR(E2043="",E2043="!!!",F2043="NEW"),"",INDEX(B2042:B$2,-1+SUMPRODUCT(MAX(ROW(E2042:E$2)*(E2043=E2042:E$2)))))</f>
        <v> </v>
      </c>
      <c r="J2043" s="25" t="str">
        <f>IF(OR(E2043="",E2043="!!!",F2043="NEW"),"",COUNTBLANK(OFFSET(A$1,,,SUMPRODUCT(MAX(ROW(E$2:E2043)*(E2043=E$2:E2043)))))-COUNTBLANK(OFFSET(A$1,,,SUMPRODUCT(MAX(ROW(E$1:E2042)*(E2=E$1:E2042))))))</f>
        <v> </v>
      </c>
      <c r="K2043" s="25" t="str">
        <f>IF(OR(E2043="",E2043="!!!",F2043="NEW"),"",INDEX(J$1:J2042,SUMPRODUCT(MAX(ROW(E$1:E2042)*(E2043=E$1:E2042)))))</f>
        <v> </v>
      </c>
      <c r="L2043" s="26"/>
    </row>
    <row r="2044" spans="1:12">
      <c r="A2044" s="20" t="s">
        <v>2065</v>
      </c>
      <c r="B2044" s="27" t="s">
        <v>1107</v>
      </c>
      <c r="C2044" s="27" t="s">
        <v>1210</v>
      </c>
      <c r="E2044" s="21">
        <f>IF(D2044="?OLD","!!!","")</f>
        <v/>
      </c>
      <c r="F2044" s="22" t="str">
        <f>IF(OR(E2044="",E2044="!!!"),"",IF(NOT(ISNA(VLOOKUP(E2044,E$1:E2043,1,FALSE()))),"OLD",IF(AND(E2044&lt;&gt;"",E2044&lt;&gt;"!!!"),"NEW","")))</f>
        <v> </v>
      </c>
      <c r="G2044" s="23" t="str">
        <f>IF(OR(E2044="",E2044="!!!"),"",IF(OR(J2044=0,AND(J2044=1,K2044=1),AND(J2044=1,I2044="SBJ"),AND(J2044=1,I2044=0)),"?IN_FOCUS",IF(J2044&lt;=2,"?ACTIVATED",IF(J2044&lt;&gt;"","?FAMILIAR",IF(F2044="NEW",IF(ISNA(VLOOKUP(E2044,#REF!,1,FALSE())),"?TYPE_IDENTIFIABLE","?REFERENTIAL"),"_")))))</f>
        <v> </v>
      </c>
      <c r="H2044" s="24" t="str">
        <f>IF(J2044&lt;&gt;1,"",IF(I2044="SBJ","CB","?"))</f>
        <v> </v>
      </c>
      <c r="I2044" s="25" t="str">
        <f>IF(OR(E2044="",E2044="!!!",F2044="NEW"),"",INDEX(B2043:B$2,-1+SUMPRODUCT(MAX(ROW(E2043:E$2)*(E2044=E2043:E$2)))))</f>
        <v> </v>
      </c>
      <c r="J2044" s="25" t="str">
        <f>IF(OR(E2044="",E2044="!!!",F2044="NEW"),"",COUNTBLANK(OFFSET(A$1,,,SUMPRODUCT(MAX(ROW(E$2:E2044)*(E2044=E$2:E2044)))))-COUNTBLANK(OFFSET(A$1,,,SUMPRODUCT(MAX(ROW(E$1:E2043)*(E2=E$1:E2043))))))</f>
        <v> </v>
      </c>
      <c r="K2044" s="25" t="str">
        <f>IF(OR(E2044="",E2044="!!!",F2044="NEW"),"",INDEX(J$1:J2043,SUMPRODUCT(MAX(ROW(E$1:E2043)*(E2044=E$1:E2043)))))</f>
        <v> </v>
      </c>
      <c r="L2044" s="26"/>
    </row>
    <row r="2045" spans="1:12">
      <c r="A2045" s="20" t="s">
        <v>1145</v>
      </c>
      <c r="E2045" s="21">
        <f>IF(D2045="?OLD","!!!","")</f>
        <v/>
      </c>
      <c r="F2045" s="22" t="str">
        <f>IF(OR(E2045="",E2045="!!!"),"",IF(NOT(ISNA(VLOOKUP(E2045,E$1:E2044,1,FALSE()))),"OLD",IF(AND(E2045&lt;&gt;"",E2045&lt;&gt;"!!!"),"NEW","")))</f>
        <v> </v>
      </c>
      <c r="G2045" s="23" t="str">
        <f>IF(OR(E2045="",E2045="!!!"),"",IF(OR(J2045=0,AND(J2045=1,K2045=1),AND(J2045=1,I2045="SBJ"),AND(J2045=1,I2045=0)),"?IN_FOCUS",IF(J2045&lt;=2,"?ACTIVATED",IF(J2045&lt;&gt;"","?FAMILIAR",IF(F2045="NEW",IF(ISNA(VLOOKUP(E2045,#REF!,1,FALSE())),"?TYPE_IDENTIFIABLE","?REFERENTIAL"),"_")))))</f>
        <v> </v>
      </c>
      <c r="H2045" s="24" t="str">
        <f>IF(J2045&lt;&gt;1,"",IF(I2045="SBJ","CB","?"))</f>
        <v> </v>
      </c>
      <c r="I2045" s="25" t="str">
        <f>IF(OR(E2045="",E2045="!!!",F2045="NEW"),"",INDEX(B2044:B$2,-1+SUMPRODUCT(MAX(ROW(E2044:E$2)*(E2045=E2044:E$2)))))</f>
        <v> </v>
      </c>
      <c r="J2045" s="25" t="str">
        <f>IF(OR(E2045="",E2045="!!!",F2045="NEW"),"",COUNTBLANK(OFFSET(A$1,,,SUMPRODUCT(MAX(ROW(E$2:E2045)*(E2045=E$2:E2045)))))-COUNTBLANK(OFFSET(A$1,,,SUMPRODUCT(MAX(ROW(E$1:E2044)*(E2=E$1:E2044))))))</f>
        <v> </v>
      </c>
      <c r="K2045" s="25" t="str">
        <f>IF(OR(E2045="",E2045="!!!",F2045="NEW"),"",INDEX(J$1:J2044,SUMPRODUCT(MAX(ROW(E$1:E2044)*(E2045=E$1:E2044)))))</f>
        <v> </v>
      </c>
      <c r="L2045" s="26"/>
    </row>
    <row r="2046" spans="1:12">
      <c r="A2046" s="20"/>
    </row>
    <row r="2047" spans="1:12">
      <c r="A2047" s="20" t="s">
        <v>2138</v>
      </c>
    </row>
    <row r="2048" spans="1:12">
      <c r="A2048" s="20" t="s">
        <v>2139</v>
      </c>
      <c r="B2048" s="27" t="s">
        <v>1149</v>
      </c>
      <c r="E2048" s="21">
        <f>IF(D2048="?OLD","!!!","")</f>
        <v/>
      </c>
      <c r="F2048" s="22" t="str">
        <f>IF(OR(E2048="",E2048="!!!"),"",IF(NOT(ISNA(VLOOKUP(E2048,E$1:E2047,1,FALSE()))),"OLD",IF(AND(E2048&lt;&gt;"",E2048&lt;&gt;"!!!"),"NEW","")))</f>
        <v> </v>
      </c>
      <c r="G2048" s="23" t="str">
        <f>IF(OR(E2048="",E2048="!!!"),"",IF(OR(J2048=0,AND(J2048=1,K2048=1),AND(J2048=1,I2048="SBJ"),AND(J2048=1,I2048=0)),"?IN_FOCUS",IF(J2048&lt;=2,"?ACTIVATED",IF(J2048&lt;&gt;"","?FAMILIAR",IF(F2048="NEW",IF(ISNA(VLOOKUP(E2048,#REF!,1,FALSE())),"?TYPE_IDENTIFIABLE","?REFERENTIAL"),"_")))))</f>
        <v> </v>
      </c>
      <c r="H2048" s="24" t="str">
        <f>IF(J2048&lt;&gt;1,"",IF(I2048="SBJ","CB","?"))</f>
        <v> </v>
      </c>
      <c r="I2048" s="25" t="str">
        <f>IF(OR(E2048="",E2048="!!!",F2048="NEW"),"",INDEX(B2047:B$2,-1+SUMPRODUCT(MAX(ROW(E2047:E$2)*(E2048=E2047:E$2)))))</f>
        <v> </v>
      </c>
      <c r="J2048" s="25" t="str">
        <f>IF(OR(E2048="",E2048="!!!",F2048="NEW"),"",COUNTBLANK(OFFSET(A$1,,,SUMPRODUCT(MAX(ROW(E$2:E2048)*(E2048=E$2:E2048)))))-COUNTBLANK(OFFSET(A$1,,,SUMPRODUCT(MAX(ROW(E$1:E2047)*(E2=E$1:E2047))))))</f>
        <v> </v>
      </c>
      <c r="K2048" s="25" t="str">
        <f>IF(OR(E2048="",E2048="!!!",F2048="NEW"),"",INDEX(J$1:J2047,SUMPRODUCT(MAX(ROW(E$1:E2047)*(E2048=E$1:E2047)))))</f>
        <v> </v>
      </c>
      <c r="L2048" s="26"/>
    </row>
    <row r="2049" spans="1:12">
      <c r="A2049" s="20" t="s">
        <v>2140</v>
      </c>
      <c r="E2049" s="21">
        <f>IF(D2049="?OLD","!!!","")</f>
        <v/>
      </c>
      <c r="F2049" s="22" t="str">
        <f>IF(OR(E2049="",E2049="!!!"),"",IF(NOT(ISNA(VLOOKUP(E2049,E$1:E2048,1,FALSE()))),"OLD",IF(AND(E2049&lt;&gt;"",E2049&lt;&gt;"!!!"),"NEW","")))</f>
        <v> </v>
      </c>
      <c r="G2049" s="23" t="str">
        <f>IF(OR(E2049="",E2049="!!!"),"",IF(OR(J2049=0,AND(J2049=1,K2049=1),AND(J2049=1,I2049="SBJ"),AND(J2049=1,I2049=0)),"?IN_FOCUS",IF(J2049&lt;=2,"?ACTIVATED",IF(J2049&lt;&gt;"","?FAMILIAR",IF(F2049="NEW",IF(ISNA(VLOOKUP(E2049,#REF!,1,FALSE())),"?TYPE_IDENTIFIABLE","?REFERENTIAL"),"_")))))</f>
        <v> </v>
      </c>
      <c r="H2049" s="24" t="str">
        <f>IF(J2049&lt;&gt;1,"",IF(I2049="SBJ","CB","?"))</f>
        <v> </v>
      </c>
      <c r="I2049" s="25" t="str">
        <f>IF(OR(E2049="",E2049="!!!",F2049="NEW"),"",INDEX(B2048:B$2,-1+SUMPRODUCT(MAX(ROW(E2048:E$2)*(E2049=E2048:E$2)))))</f>
        <v> </v>
      </c>
      <c r="J2049" s="25" t="str">
        <f>IF(OR(E2049="",E2049="!!!",F2049="NEW"),"",COUNTBLANK(OFFSET(A$1,,,SUMPRODUCT(MAX(ROW(E$2:E2049)*(E2049=E$2:E2049)))))-COUNTBLANK(OFFSET(A$1,,,SUMPRODUCT(MAX(ROW(E$1:E2048)*(E2=E$1:E2048))))))</f>
        <v> </v>
      </c>
      <c r="K2049" s="25" t="str">
        <f>IF(OR(E2049="",E2049="!!!",F2049="NEW"),"",INDEX(J$1:J2048,SUMPRODUCT(MAX(ROW(E$1:E2048)*(E2049=E$1:E2048)))))</f>
        <v> </v>
      </c>
      <c r="L2049" s="26"/>
    </row>
    <row r="2050" spans="1:12">
      <c r="A2050" s="20" t="s">
        <v>1184</v>
      </c>
      <c r="E2050" s="21">
        <f>IF(D2050="?OLD","!!!","")</f>
        <v/>
      </c>
      <c r="F2050" s="22" t="str">
        <f>IF(OR(E2050="",E2050="!!!"),"",IF(NOT(ISNA(VLOOKUP(E2050,E$1:E2049,1,FALSE()))),"OLD",IF(AND(E2050&lt;&gt;"",E2050&lt;&gt;"!!!"),"NEW","")))</f>
        <v> </v>
      </c>
      <c r="G2050" s="23" t="str">
        <f>IF(OR(E2050="",E2050="!!!"),"",IF(OR(J2050=0,AND(J2050=1,K2050=1),AND(J2050=1,I2050="SBJ"),AND(J2050=1,I2050=0)),"?IN_FOCUS",IF(J2050&lt;=2,"?ACTIVATED",IF(J2050&lt;&gt;"","?FAMILIAR",IF(F2050="NEW",IF(ISNA(VLOOKUP(E2050,#REF!,1,FALSE())),"?TYPE_IDENTIFIABLE","?REFERENTIAL"),"_")))))</f>
        <v> </v>
      </c>
      <c r="H2050" s="24" t="str">
        <f>IF(J2050&lt;&gt;1,"",IF(I2050="SBJ","CB","?"))</f>
        <v> </v>
      </c>
      <c r="I2050" s="25" t="str">
        <f>IF(OR(E2050="",E2050="!!!",F2050="NEW"),"",INDEX(B2049:B$2,-1+SUMPRODUCT(MAX(ROW(E2049:E$2)*(E2050=E2049:E$2)))))</f>
        <v> </v>
      </c>
      <c r="J2050" s="25" t="str">
        <f>IF(OR(E2050="",E2050="!!!",F2050="NEW"),"",COUNTBLANK(OFFSET(A$1,,,SUMPRODUCT(MAX(ROW(E$2:E2050)*(E2050=E$2:E2050)))))-COUNTBLANK(OFFSET(A$1,,,SUMPRODUCT(MAX(ROW(E$1:E2049)*(E2=E$1:E2049))))))</f>
        <v> </v>
      </c>
      <c r="K2050" s="25" t="str">
        <f>IF(OR(E2050="",E2050="!!!",F2050="NEW"),"",INDEX(J$1:J2049,SUMPRODUCT(MAX(ROW(E$1:E2049)*(E2050=E$1:E2049)))))</f>
        <v> </v>
      </c>
      <c r="L2050" s="26"/>
    </row>
    <row r="2051" spans="1:12">
      <c r="A2051" s="20" t="s">
        <v>1221</v>
      </c>
      <c r="E2051" s="21">
        <f>IF(D2051="?OLD","!!!","")</f>
        <v/>
      </c>
      <c r="F2051" s="22" t="str">
        <f>IF(OR(E2051="",E2051="!!!"),"",IF(NOT(ISNA(VLOOKUP(E2051,E$1:E2050,1,FALSE()))),"OLD",IF(AND(E2051&lt;&gt;"",E2051&lt;&gt;"!!!"),"NEW","")))</f>
        <v> </v>
      </c>
      <c r="G2051" s="23" t="str">
        <f>IF(OR(E2051="",E2051="!!!"),"",IF(OR(J2051=0,AND(J2051=1,K2051=1),AND(J2051=1,I2051="SBJ"),AND(J2051=1,I2051=0)),"?IN_FOCUS",IF(J2051&lt;=2,"?ACTIVATED",IF(J2051&lt;&gt;"","?FAMILIAR",IF(F2051="NEW",IF(ISNA(VLOOKUP(E2051,#REF!,1,FALSE())),"?TYPE_IDENTIFIABLE","?REFERENTIAL"),"_")))))</f>
        <v> </v>
      </c>
      <c r="H2051" s="24" t="str">
        <f>IF(J2051&lt;&gt;1,"",IF(I2051="SBJ","CB","?"))</f>
        <v> </v>
      </c>
      <c r="I2051" s="25" t="str">
        <f>IF(OR(E2051="",E2051="!!!",F2051="NEW"),"",INDEX(B2050:B$2,-1+SUMPRODUCT(MAX(ROW(E2050:E$2)*(E2051=E2050:E$2)))))</f>
        <v> </v>
      </c>
      <c r="J2051" s="25" t="str">
        <f>IF(OR(E2051="",E2051="!!!",F2051="NEW"),"",COUNTBLANK(OFFSET(A$1,,,SUMPRODUCT(MAX(ROW(E$2:E2051)*(E2051=E$2:E2051)))))-COUNTBLANK(OFFSET(A$1,,,SUMPRODUCT(MAX(ROW(E$1:E2050)*(E2=E$1:E2050))))))</f>
        <v> </v>
      </c>
      <c r="K2051" s="25" t="str">
        <f>IF(OR(E2051="",E2051="!!!",F2051="NEW"),"",INDEX(J$1:J2050,SUMPRODUCT(MAX(ROW(E$1:E2050)*(E2051=E$1:E2050)))))</f>
        <v> </v>
      </c>
      <c r="L2051" s="26"/>
    </row>
    <row r="2052" spans="1:12">
      <c r="A2052" s="20" t="s">
        <v>1347</v>
      </c>
      <c r="E2052" s="21">
        <f>IF(D2052="?OLD","!!!","")</f>
        <v/>
      </c>
      <c r="F2052" s="22" t="str">
        <f>IF(OR(E2052="",E2052="!!!"),"",IF(NOT(ISNA(VLOOKUP(E2052,E$1:E2051,1,FALSE()))),"OLD",IF(AND(E2052&lt;&gt;"",E2052&lt;&gt;"!!!"),"NEW","")))</f>
        <v> </v>
      </c>
      <c r="G2052" s="23" t="str">
        <f>IF(OR(E2052="",E2052="!!!"),"",IF(OR(J2052=0,AND(J2052=1,K2052=1),AND(J2052=1,I2052="SBJ"),AND(J2052=1,I2052=0)),"?IN_FOCUS",IF(J2052&lt;=2,"?ACTIVATED",IF(J2052&lt;&gt;"","?FAMILIAR",IF(F2052="NEW",IF(ISNA(VLOOKUP(E2052,#REF!,1,FALSE())),"?TYPE_IDENTIFIABLE","?REFERENTIAL"),"_")))))</f>
        <v> </v>
      </c>
      <c r="H2052" s="24" t="str">
        <f>IF(J2052&lt;&gt;1,"",IF(I2052="SBJ","CB","?"))</f>
        <v> </v>
      </c>
      <c r="I2052" s="25" t="str">
        <f>IF(OR(E2052="",E2052="!!!",F2052="NEW"),"",INDEX(B2051:B$2,-1+SUMPRODUCT(MAX(ROW(E2051:E$2)*(E2052=E2051:E$2)))))</f>
        <v> </v>
      </c>
      <c r="J2052" s="25" t="str">
        <f>IF(OR(E2052="",E2052="!!!",F2052="NEW"),"",COUNTBLANK(OFFSET(A$1,,,SUMPRODUCT(MAX(ROW(E$2:E2052)*(E2052=E$2:E2052)))))-COUNTBLANK(OFFSET(A$1,,,SUMPRODUCT(MAX(ROW(E$1:E2051)*(E2=E$1:E2051))))))</f>
        <v> </v>
      </c>
      <c r="K2052" s="25" t="str">
        <f>IF(OR(E2052="",E2052="!!!",F2052="NEW"),"",INDEX(J$1:J2051,SUMPRODUCT(MAX(ROW(E$1:E2051)*(E2052=E$1:E2051)))))</f>
        <v> </v>
      </c>
      <c r="L2052" s="26"/>
    </row>
    <row r="2053" spans="1:12">
      <c r="A2053" s="20" t="s">
        <v>1123</v>
      </c>
      <c r="E2053" s="21">
        <f>IF(D2053="?OLD","!!!","")</f>
        <v/>
      </c>
      <c r="F2053" s="22" t="str">
        <f>IF(OR(E2053="",E2053="!!!"),"",IF(NOT(ISNA(VLOOKUP(E2053,E$1:E2052,1,FALSE()))),"OLD",IF(AND(E2053&lt;&gt;"",E2053&lt;&gt;"!!!"),"NEW","")))</f>
        <v> </v>
      </c>
      <c r="G2053" s="23" t="str">
        <f>IF(OR(E2053="",E2053="!!!"),"",IF(OR(J2053=0,AND(J2053=1,K2053=1),AND(J2053=1,I2053="SBJ"),AND(J2053=1,I2053=0)),"?IN_FOCUS",IF(J2053&lt;=2,"?ACTIVATED",IF(J2053&lt;&gt;"","?FAMILIAR",IF(F2053="NEW",IF(ISNA(VLOOKUP(E2053,#REF!,1,FALSE())),"?TYPE_IDENTIFIABLE","?REFERENTIAL"),"_")))))</f>
        <v> </v>
      </c>
      <c r="H2053" s="24" t="str">
        <f>IF(J2053&lt;&gt;1,"",IF(I2053="SBJ","CB","?"))</f>
        <v> </v>
      </c>
      <c r="I2053" s="25" t="str">
        <f>IF(OR(E2053="",E2053="!!!",F2053="NEW"),"",INDEX(B2052:B$2,-1+SUMPRODUCT(MAX(ROW(E2052:E$2)*(E2053=E2052:E$2)))))</f>
        <v> </v>
      </c>
      <c r="J2053" s="25" t="str">
        <f>IF(OR(E2053="",E2053="!!!",F2053="NEW"),"",COUNTBLANK(OFFSET(A$1,,,SUMPRODUCT(MAX(ROW(E$2:E2053)*(E2053=E$2:E2053)))))-COUNTBLANK(OFFSET(A$1,,,SUMPRODUCT(MAX(ROW(E$1:E2052)*(E2=E$1:E2052))))))</f>
        <v> </v>
      </c>
      <c r="K2053" s="25" t="str">
        <f>IF(OR(E2053="",E2053="!!!",F2053="NEW"),"",INDEX(J$1:J2052,SUMPRODUCT(MAX(ROW(E$1:E2052)*(E2053=E$1:E2052)))))</f>
        <v> </v>
      </c>
      <c r="L2053" s="26"/>
    </row>
    <row r="2054" spans="1:12">
      <c r="A2054" s="20" t="s">
        <v>1812</v>
      </c>
      <c r="E2054" s="21">
        <f>IF(D2054="?OLD","!!!","")</f>
        <v/>
      </c>
      <c r="F2054" s="22" t="str">
        <f>IF(OR(E2054="",E2054="!!!"),"",IF(NOT(ISNA(VLOOKUP(E2054,E$1:E2053,1,FALSE()))),"OLD",IF(AND(E2054&lt;&gt;"",E2054&lt;&gt;"!!!"),"NEW","")))</f>
        <v> </v>
      </c>
      <c r="G2054" s="23" t="str">
        <f>IF(OR(E2054="",E2054="!!!"),"",IF(OR(J2054=0,AND(J2054=1,K2054=1),AND(J2054=1,I2054="SBJ"),AND(J2054=1,I2054=0)),"?IN_FOCUS",IF(J2054&lt;=2,"?ACTIVATED",IF(J2054&lt;&gt;"","?FAMILIAR",IF(F2054="NEW",IF(ISNA(VLOOKUP(E2054,#REF!,1,FALSE())),"?TYPE_IDENTIFIABLE","?REFERENTIAL"),"_")))))</f>
        <v> </v>
      </c>
      <c r="H2054" s="24" t="str">
        <f>IF(J2054&lt;&gt;1,"",IF(I2054="SBJ","CB","?"))</f>
        <v> </v>
      </c>
      <c r="I2054" s="25" t="str">
        <f>IF(OR(E2054="",E2054="!!!",F2054="NEW"),"",INDEX(B2053:B$2,-1+SUMPRODUCT(MAX(ROW(E2053:E$2)*(E2054=E2053:E$2)))))</f>
        <v> </v>
      </c>
      <c r="J2054" s="25" t="str">
        <f>IF(OR(E2054="",E2054="!!!",F2054="NEW"),"",COUNTBLANK(OFFSET(A$1,,,SUMPRODUCT(MAX(ROW(E$2:E2054)*(E2054=E$2:E2054)))))-COUNTBLANK(OFFSET(A$1,,,SUMPRODUCT(MAX(ROW(E$1:E2053)*(E2=E$1:E2053))))))</f>
        <v> </v>
      </c>
      <c r="K2054" s="25" t="str">
        <f>IF(OR(E2054="",E2054="!!!",F2054="NEW"),"",INDEX(J$1:J2053,SUMPRODUCT(MAX(ROW(E$1:E2053)*(E2054=E$1:E2053)))))</f>
        <v> </v>
      </c>
      <c r="L2054" s="26"/>
    </row>
    <row r="2055" spans="1:12">
      <c r="A2055" s="20" t="s">
        <v>2141</v>
      </c>
      <c r="E2055" s="21">
        <f>IF(D2055="?OLD","!!!","")</f>
        <v/>
      </c>
      <c r="F2055" s="22" t="str">
        <f>IF(OR(E2055="",E2055="!!!"),"",IF(NOT(ISNA(VLOOKUP(E2055,E$1:E2054,1,FALSE()))),"OLD",IF(AND(E2055&lt;&gt;"",E2055&lt;&gt;"!!!"),"NEW","")))</f>
        <v> </v>
      </c>
      <c r="G2055" s="23" t="str">
        <f>IF(OR(E2055="",E2055="!!!"),"",IF(OR(J2055=0,AND(J2055=1,K2055=1),AND(J2055=1,I2055="SBJ"),AND(J2055=1,I2055=0)),"?IN_FOCUS",IF(J2055&lt;=2,"?ACTIVATED",IF(J2055&lt;&gt;"","?FAMILIAR",IF(F2055="NEW",IF(ISNA(VLOOKUP(E2055,#REF!,1,FALSE())),"?TYPE_IDENTIFIABLE","?REFERENTIAL"),"_")))))</f>
        <v> </v>
      </c>
      <c r="H2055" s="24" t="str">
        <f>IF(J2055&lt;&gt;1,"",IF(I2055="SBJ","CB","?"))</f>
        <v> </v>
      </c>
      <c r="I2055" s="25" t="str">
        <f>IF(OR(E2055="",E2055="!!!",F2055="NEW"),"",INDEX(B2054:B$2,-1+SUMPRODUCT(MAX(ROW(E2054:E$2)*(E2055=E2054:E$2)))))</f>
        <v> </v>
      </c>
      <c r="J2055" s="25" t="str">
        <f>IF(OR(E2055="",E2055="!!!",F2055="NEW"),"",COUNTBLANK(OFFSET(A$1,,,SUMPRODUCT(MAX(ROW(E$2:E2055)*(E2055=E$2:E2055)))))-COUNTBLANK(OFFSET(A$1,,,SUMPRODUCT(MAX(ROW(E$1:E2054)*(E2=E$1:E2054))))))</f>
        <v> </v>
      </c>
      <c r="K2055" s="25" t="str">
        <f>IF(OR(E2055="",E2055="!!!",F2055="NEW"),"",INDEX(J$1:J2054,SUMPRODUCT(MAX(ROW(E$1:E2054)*(E2055=E$1:E2054)))))</f>
        <v> </v>
      </c>
      <c r="L2055" s="26"/>
    </row>
    <row r="2056" spans="1:12">
      <c r="A2056" s="20" t="s">
        <v>2142</v>
      </c>
      <c r="E2056" s="21">
        <f>IF(D2056="?OLD","!!!","")</f>
        <v/>
      </c>
      <c r="F2056" s="22" t="str">
        <f>IF(OR(E2056="",E2056="!!!"),"",IF(NOT(ISNA(VLOOKUP(E2056,E$1:E2055,1,FALSE()))),"OLD",IF(AND(E2056&lt;&gt;"",E2056&lt;&gt;"!!!"),"NEW","")))</f>
        <v> </v>
      </c>
      <c r="G2056" s="23" t="str">
        <f>IF(OR(E2056="",E2056="!!!"),"",IF(OR(J2056=0,AND(J2056=1,K2056=1),AND(J2056=1,I2056="SBJ"),AND(J2056=1,I2056=0)),"?IN_FOCUS",IF(J2056&lt;=2,"?ACTIVATED",IF(J2056&lt;&gt;"","?FAMILIAR",IF(F2056="NEW",IF(ISNA(VLOOKUP(E2056,#REF!,1,FALSE())),"?TYPE_IDENTIFIABLE","?REFERENTIAL"),"_")))))</f>
        <v> </v>
      </c>
      <c r="H2056" s="24" t="str">
        <f>IF(J2056&lt;&gt;1,"",IF(I2056="SBJ","CB","?"))</f>
        <v> </v>
      </c>
      <c r="I2056" s="25" t="str">
        <f>IF(OR(E2056="",E2056="!!!",F2056="NEW"),"",INDEX(B2055:B$2,-1+SUMPRODUCT(MAX(ROW(E2055:E$2)*(E2056=E2055:E$2)))))</f>
        <v> </v>
      </c>
      <c r="J2056" s="25" t="str">
        <f>IF(OR(E2056="",E2056="!!!",F2056="NEW"),"",COUNTBLANK(OFFSET(A$1,,,SUMPRODUCT(MAX(ROW(E$2:E2056)*(E2056=E$2:E2056)))))-COUNTBLANK(OFFSET(A$1,,,SUMPRODUCT(MAX(ROW(E$1:E2055)*(E2=E$1:E2055))))))</f>
        <v> </v>
      </c>
      <c r="K2056" s="25" t="str">
        <f>IF(OR(E2056="",E2056="!!!",F2056="NEW"),"",INDEX(J$1:J2055,SUMPRODUCT(MAX(ROW(E$1:E2055)*(E2056=E$1:E2055)))))</f>
        <v> </v>
      </c>
      <c r="L2056" s="26"/>
    </row>
    <row r="2057" spans="1:12">
      <c r="A2057" s="20" t="s">
        <v>1123</v>
      </c>
      <c r="E2057" s="21">
        <f>IF(D2057="?OLD","!!!","")</f>
        <v/>
      </c>
      <c r="F2057" s="22" t="str">
        <f>IF(OR(E2057="",E2057="!!!"),"",IF(NOT(ISNA(VLOOKUP(E2057,E$1:E2056,1,FALSE()))),"OLD",IF(AND(E2057&lt;&gt;"",E2057&lt;&gt;"!!!"),"NEW","")))</f>
        <v> </v>
      </c>
      <c r="G2057" s="23" t="str">
        <f>IF(OR(E2057="",E2057="!!!"),"",IF(OR(J2057=0,AND(J2057=1,K2057=1),AND(J2057=1,I2057="SBJ"),AND(J2057=1,I2057=0)),"?IN_FOCUS",IF(J2057&lt;=2,"?ACTIVATED",IF(J2057&lt;&gt;"","?FAMILIAR",IF(F2057="NEW",IF(ISNA(VLOOKUP(E2057,#REF!,1,FALSE())),"?TYPE_IDENTIFIABLE","?REFERENTIAL"),"_")))))</f>
        <v> </v>
      </c>
      <c r="H2057" s="24" t="str">
        <f>IF(J2057&lt;&gt;1,"",IF(I2057="SBJ","CB","?"))</f>
        <v> </v>
      </c>
      <c r="I2057" s="25" t="str">
        <f>IF(OR(E2057="",E2057="!!!",F2057="NEW"),"",INDEX(B2056:B$2,-1+SUMPRODUCT(MAX(ROW(E2056:E$2)*(E2057=E2056:E$2)))))</f>
        <v> </v>
      </c>
      <c r="J2057" s="25" t="str">
        <f>IF(OR(E2057="",E2057="!!!",F2057="NEW"),"",COUNTBLANK(OFFSET(A$1,,,SUMPRODUCT(MAX(ROW(E$2:E2057)*(E2057=E$2:E2057)))))-COUNTBLANK(OFFSET(A$1,,,SUMPRODUCT(MAX(ROW(E$1:E2056)*(E2=E$1:E2056))))))</f>
        <v> </v>
      </c>
      <c r="K2057" s="25" t="str">
        <f>IF(OR(E2057="",E2057="!!!",F2057="NEW"),"",INDEX(J$1:J2056,SUMPRODUCT(MAX(ROW(E$1:E2056)*(E2057=E$1:E2056)))))</f>
        <v> </v>
      </c>
      <c r="L2057" s="26"/>
    </row>
    <row r="2058" spans="1:12">
      <c r="A2058" s="20" t="s">
        <v>2143</v>
      </c>
      <c r="E2058" s="21">
        <f>IF(D2058="?OLD","!!!","")</f>
        <v/>
      </c>
      <c r="F2058" s="22" t="str">
        <f>IF(OR(E2058="",E2058="!!!"),"",IF(NOT(ISNA(VLOOKUP(E2058,E$1:E2057,1,FALSE()))),"OLD",IF(AND(E2058&lt;&gt;"",E2058&lt;&gt;"!!!"),"NEW","")))</f>
        <v> </v>
      </c>
      <c r="G2058" s="23" t="str">
        <f>IF(OR(E2058="",E2058="!!!"),"",IF(OR(J2058=0,AND(J2058=1,K2058=1),AND(J2058=1,I2058="SBJ"),AND(J2058=1,I2058=0)),"?IN_FOCUS",IF(J2058&lt;=2,"?ACTIVATED",IF(J2058&lt;&gt;"","?FAMILIAR",IF(F2058="NEW",IF(ISNA(VLOOKUP(E2058,#REF!,1,FALSE())),"?TYPE_IDENTIFIABLE","?REFERENTIAL"),"_")))))</f>
        <v> </v>
      </c>
      <c r="H2058" s="24" t="str">
        <f>IF(J2058&lt;&gt;1,"",IF(I2058="SBJ","CB","?"))</f>
        <v> </v>
      </c>
      <c r="I2058" s="25" t="str">
        <f>IF(OR(E2058="",E2058="!!!",F2058="NEW"),"",INDEX(B2057:B$2,-1+SUMPRODUCT(MAX(ROW(E2057:E$2)*(E2058=E2057:E$2)))))</f>
        <v> </v>
      </c>
      <c r="J2058" s="25" t="str">
        <f>IF(OR(E2058="",E2058="!!!",F2058="NEW"),"",COUNTBLANK(OFFSET(A$1,,,SUMPRODUCT(MAX(ROW(E$2:E2058)*(E2058=E$2:E2058)))))-COUNTBLANK(OFFSET(A$1,,,SUMPRODUCT(MAX(ROW(E$1:E2057)*(E2=E$1:E2057))))))</f>
        <v> </v>
      </c>
      <c r="K2058" s="25" t="str">
        <f>IF(OR(E2058="",E2058="!!!",F2058="NEW"),"",INDEX(J$1:J2057,SUMPRODUCT(MAX(ROW(E$1:E2057)*(E2058=E$1:E2057)))))</f>
        <v> </v>
      </c>
      <c r="L2058" s="26"/>
    </row>
    <row r="2059" spans="1:12">
      <c r="A2059" s="20" t="s">
        <v>1249</v>
      </c>
      <c r="E2059" s="21">
        <f>IF(D2059="?OLD","!!!","")</f>
        <v/>
      </c>
      <c r="F2059" s="22" t="str">
        <f>IF(OR(E2059="",E2059="!!!"),"",IF(NOT(ISNA(VLOOKUP(E2059,E$1:E2058,1,FALSE()))),"OLD",IF(AND(E2059&lt;&gt;"",E2059&lt;&gt;"!!!"),"NEW","")))</f>
        <v> </v>
      </c>
      <c r="G2059" s="23" t="str">
        <f>IF(OR(E2059="",E2059="!!!"),"",IF(OR(J2059=0,AND(J2059=1,K2059=1),AND(J2059=1,I2059="SBJ"),AND(J2059=1,I2059=0)),"?IN_FOCUS",IF(J2059&lt;=2,"?ACTIVATED",IF(J2059&lt;&gt;"","?FAMILIAR",IF(F2059="NEW",IF(ISNA(VLOOKUP(E2059,#REF!,1,FALSE())),"?TYPE_IDENTIFIABLE","?REFERENTIAL"),"_")))))</f>
        <v> </v>
      </c>
      <c r="H2059" s="24" t="str">
        <f>IF(J2059&lt;&gt;1,"",IF(I2059="SBJ","CB","?"))</f>
        <v> </v>
      </c>
      <c r="I2059" s="25" t="str">
        <f>IF(OR(E2059="",E2059="!!!",F2059="NEW"),"",INDEX(B2058:B$2,-1+SUMPRODUCT(MAX(ROW(E2058:E$2)*(E2059=E2058:E$2)))))</f>
        <v> </v>
      </c>
      <c r="J2059" s="25" t="str">
        <f>IF(OR(E2059="",E2059="!!!",F2059="NEW"),"",COUNTBLANK(OFFSET(A$1,,,SUMPRODUCT(MAX(ROW(E$2:E2059)*(E2059=E$2:E2059)))))-COUNTBLANK(OFFSET(A$1,,,SUMPRODUCT(MAX(ROW(E$1:E2058)*(E2=E$1:E2058))))))</f>
        <v> </v>
      </c>
      <c r="K2059" s="25" t="str">
        <f>IF(OR(E2059="",E2059="!!!",F2059="NEW"),"",INDEX(J$1:J2058,SUMPRODUCT(MAX(ROW(E$1:E2058)*(E2059=E$1:E2058)))))</f>
        <v> </v>
      </c>
      <c r="L2059" s="26"/>
    </row>
    <row r="2060" spans="1:12">
      <c r="A2060" s="20" t="s">
        <v>2144</v>
      </c>
      <c r="E2060" s="21">
        <f>IF(D2060="?OLD","!!!","")</f>
        <v/>
      </c>
      <c r="F2060" s="22" t="str">
        <f>IF(OR(E2060="",E2060="!!!"),"",IF(NOT(ISNA(VLOOKUP(E2060,E$1:E2059,1,FALSE()))),"OLD",IF(AND(E2060&lt;&gt;"",E2060&lt;&gt;"!!!"),"NEW","")))</f>
        <v> </v>
      </c>
      <c r="G2060" s="23" t="str">
        <f>IF(OR(E2060="",E2060="!!!"),"",IF(OR(J2060=0,AND(J2060=1,K2060=1),AND(J2060=1,I2060="SBJ"),AND(J2060=1,I2060=0)),"?IN_FOCUS",IF(J2060&lt;=2,"?ACTIVATED",IF(J2060&lt;&gt;"","?FAMILIAR",IF(F2060="NEW",IF(ISNA(VLOOKUP(E2060,#REF!,1,FALSE())),"?TYPE_IDENTIFIABLE","?REFERENTIAL"),"_")))))</f>
        <v> </v>
      </c>
      <c r="H2060" s="24" t="str">
        <f>IF(J2060&lt;&gt;1,"",IF(I2060="SBJ","CB","?"))</f>
        <v> </v>
      </c>
      <c r="I2060" s="25" t="str">
        <f>IF(OR(E2060="",E2060="!!!",F2060="NEW"),"",INDEX(B2059:B$2,-1+SUMPRODUCT(MAX(ROW(E2059:E$2)*(E2060=E2059:E$2)))))</f>
        <v> </v>
      </c>
      <c r="J2060" s="25" t="str">
        <f>IF(OR(E2060="",E2060="!!!",F2060="NEW"),"",COUNTBLANK(OFFSET(A$1,,,SUMPRODUCT(MAX(ROW(E$2:E2060)*(E2060=E$2:E2060)))))-COUNTBLANK(OFFSET(A$1,,,SUMPRODUCT(MAX(ROW(E$1:E2059)*(E2=E$1:E2059))))))</f>
        <v> </v>
      </c>
      <c r="K2060" s="25" t="str">
        <f>IF(OR(E2060="",E2060="!!!",F2060="NEW"),"",INDEX(J$1:J2059,SUMPRODUCT(MAX(ROW(E$1:E2059)*(E2060=E$1:E2059)))))</f>
        <v> </v>
      </c>
      <c r="L2060" s="26"/>
    </row>
    <row r="2061" spans="1:12">
      <c r="A2061" s="20" t="s">
        <v>1128</v>
      </c>
      <c r="E2061" s="21">
        <f>IF(D2061="?OLD","!!!","")</f>
        <v/>
      </c>
      <c r="F2061" s="22" t="str">
        <f>IF(OR(E2061="",E2061="!!!"),"",IF(NOT(ISNA(VLOOKUP(E2061,E$1:E2060,1,FALSE()))),"OLD",IF(AND(E2061&lt;&gt;"",E2061&lt;&gt;"!!!"),"NEW","")))</f>
        <v> </v>
      </c>
      <c r="G2061" s="23" t="str">
        <f>IF(OR(E2061="",E2061="!!!"),"",IF(OR(J2061=0,AND(J2061=1,K2061=1),AND(J2061=1,I2061="SBJ"),AND(J2061=1,I2061=0)),"?IN_FOCUS",IF(J2061&lt;=2,"?ACTIVATED",IF(J2061&lt;&gt;"","?FAMILIAR",IF(F2061="NEW",IF(ISNA(VLOOKUP(E2061,#REF!,1,FALSE())),"?TYPE_IDENTIFIABLE","?REFERENTIAL"),"_")))))</f>
        <v> </v>
      </c>
      <c r="H2061" s="24" t="str">
        <f>IF(J2061&lt;&gt;1,"",IF(I2061="SBJ","CB","?"))</f>
        <v> </v>
      </c>
      <c r="I2061" s="25" t="str">
        <f>IF(OR(E2061="",E2061="!!!",F2061="NEW"),"",INDEX(B2060:B$2,-1+SUMPRODUCT(MAX(ROW(E2060:E$2)*(E2061=E2060:E$2)))))</f>
        <v> </v>
      </c>
      <c r="J2061" s="25" t="str">
        <f>IF(OR(E2061="",E2061="!!!",F2061="NEW"),"",COUNTBLANK(OFFSET(A$1,,,SUMPRODUCT(MAX(ROW(E$2:E2061)*(E2061=E$2:E2061)))))-COUNTBLANK(OFFSET(A$1,,,SUMPRODUCT(MAX(ROW(E$1:E2060)*(E2=E$1:E2060))))))</f>
        <v> </v>
      </c>
      <c r="K2061" s="25" t="str">
        <f>IF(OR(E2061="",E2061="!!!",F2061="NEW"),"",INDEX(J$1:J2060,SUMPRODUCT(MAX(ROW(E$1:E2060)*(E2061=E$1:E2060)))))</f>
        <v> </v>
      </c>
      <c r="L2061" s="26"/>
    </row>
    <row r="2062" spans="1:12">
      <c r="A2062" s="20" t="s">
        <v>1123</v>
      </c>
      <c r="E2062" s="21">
        <f>IF(D2062="?OLD","!!!","")</f>
        <v/>
      </c>
      <c r="F2062" s="22" t="str">
        <f>IF(OR(E2062="",E2062="!!!"),"",IF(NOT(ISNA(VLOOKUP(E2062,E$1:E2061,1,FALSE()))),"OLD",IF(AND(E2062&lt;&gt;"",E2062&lt;&gt;"!!!"),"NEW","")))</f>
        <v> </v>
      </c>
      <c r="G2062" s="23" t="str">
        <f>IF(OR(E2062="",E2062="!!!"),"",IF(OR(J2062=0,AND(J2062=1,K2062=1),AND(J2062=1,I2062="SBJ"),AND(J2062=1,I2062=0)),"?IN_FOCUS",IF(J2062&lt;=2,"?ACTIVATED",IF(J2062&lt;&gt;"","?FAMILIAR",IF(F2062="NEW",IF(ISNA(VLOOKUP(E2062,#REF!,1,FALSE())),"?TYPE_IDENTIFIABLE","?REFERENTIAL"),"_")))))</f>
        <v> </v>
      </c>
      <c r="H2062" s="24" t="str">
        <f>IF(J2062&lt;&gt;1,"",IF(I2062="SBJ","CB","?"))</f>
        <v> </v>
      </c>
      <c r="I2062" s="25" t="str">
        <f>IF(OR(E2062="",E2062="!!!",F2062="NEW"),"",INDEX(B2061:B$2,-1+SUMPRODUCT(MAX(ROW(E2061:E$2)*(E2062=E2061:E$2)))))</f>
        <v> </v>
      </c>
      <c r="J2062" s="25" t="str">
        <f>IF(OR(E2062="",E2062="!!!",F2062="NEW"),"",COUNTBLANK(OFFSET(A$1,,,SUMPRODUCT(MAX(ROW(E$2:E2062)*(E2062=E$2:E2062)))))-COUNTBLANK(OFFSET(A$1,,,SUMPRODUCT(MAX(ROW(E$1:E2061)*(E2=E$1:E2061))))))</f>
        <v> </v>
      </c>
      <c r="K2062" s="25" t="str">
        <f>IF(OR(E2062="",E2062="!!!",F2062="NEW"),"",INDEX(J$1:J2061,SUMPRODUCT(MAX(ROW(E$1:E2061)*(E2062=E$1:E2061)))))</f>
        <v> </v>
      </c>
      <c r="L2062" s="26"/>
    </row>
    <row r="2063" spans="1:12">
      <c r="A2063" s="20" t="s">
        <v>2145</v>
      </c>
      <c r="E2063" s="21">
        <f>IF(D2063="?OLD","!!!","")</f>
        <v/>
      </c>
      <c r="F2063" s="22" t="str">
        <f>IF(OR(E2063="",E2063="!!!"),"",IF(NOT(ISNA(VLOOKUP(E2063,E$1:E2062,1,FALSE()))),"OLD",IF(AND(E2063&lt;&gt;"",E2063&lt;&gt;"!!!"),"NEW","")))</f>
        <v> </v>
      </c>
      <c r="G2063" s="23" t="str">
        <f>IF(OR(E2063="",E2063="!!!"),"",IF(OR(J2063=0,AND(J2063=1,K2063=1),AND(J2063=1,I2063="SBJ"),AND(J2063=1,I2063=0)),"?IN_FOCUS",IF(J2063&lt;=2,"?ACTIVATED",IF(J2063&lt;&gt;"","?FAMILIAR",IF(F2063="NEW",IF(ISNA(VLOOKUP(E2063,#REF!,1,FALSE())),"?TYPE_IDENTIFIABLE","?REFERENTIAL"),"_")))))</f>
        <v> </v>
      </c>
      <c r="H2063" s="24" t="str">
        <f>IF(J2063&lt;&gt;1,"",IF(I2063="SBJ","CB","?"))</f>
        <v> </v>
      </c>
      <c r="I2063" s="25" t="str">
        <f>IF(OR(E2063="",E2063="!!!",F2063="NEW"),"",INDEX(B2062:B$2,-1+SUMPRODUCT(MAX(ROW(E2062:E$2)*(E2063=E2062:E$2)))))</f>
        <v> </v>
      </c>
      <c r="J2063" s="25" t="str">
        <f>IF(OR(E2063="",E2063="!!!",F2063="NEW"),"",COUNTBLANK(OFFSET(A$1,,,SUMPRODUCT(MAX(ROW(E$2:E2063)*(E2063=E$2:E2063)))))-COUNTBLANK(OFFSET(A$1,,,SUMPRODUCT(MAX(ROW(E$1:E2062)*(E2=E$1:E2062))))))</f>
        <v> </v>
      </c>
      <c r="K2063" s="25" t="str">
        <f>IF(OR(E2063="",E2063="!!!",F2063="NEW"),"",INDEX(J$1:J2062,SUMPRODUCT(MAX(ROW(E$1:E2062)*(E2063=E$1:E2062)))))</f>
        <v> </v>
      </c>
      <c r="L2063" s="26"/>
    </row>
    <row r="2064" spans="1:12">
      <c r="A2064" s="20" t="s">
        <v>2146</v>
      </c>
      <c r="E2064" s="21">
        <f>IF(D2064="?OLD","!!!","")</f>
        <v/>
      </c>
      <c r="F2064" s="22" t="str">
        <f>IF(OR(E2064="",E2064="!!!"),"",IF(NOT(ISNA(VLOOKUP(E2064,E$1:E2063,1,FALSE()))),"OLD",IF(AND(E2064&lt;&gt;"",E2064&lt;&gt;"!!!"),"NEW","")))</f>
        <v> </v>
      </c>
      <c r="G2064" s="23" t="str">
        <f>IF(OR(E2064="",E2064="!!!"),"",IF(OR(J2064=0,AND(J2064=1,K2064=1),AND(J2064=1,I2064="SBJ"),AND(J2064=1,I2064=0)),"?IN_FOCUS",IF(J2064&lt;=2,"?ACTIVATED",IF(J2064&lt;&gt;"","?FAMILIAR",IF(F2064="NEW",IF(ISNA(VLOOKUP(E2064,#REF!,1,FALSE())),"?TYPE_IDENTIFIABLE","?REFERENTIAL"),"_")))))</f>
        <v> </v>
      </c>
      <c r="H2064" s="24" t="str">
        <f>IF(J2064&lt;&gt;1,"",IF(I2064="SBJ","CB","?"))</f>
        <v> </v>
      </c>
      <c r="I2064" s="25" t="str">
        <f>IF(OR(E2064="",E2064="!!!",F2064="NEW"),"",INDEX(B2063:B$2,-1+SUMPRODUCT(MAX(ROW(E2063:E$2)*(E2064=E2063:E$2)))))</f>
        <v> </v>
      </c>
      <c r="J2064" s="25" t="str">
        <f>IF(OR(E2064="",E2064="!!!",F2064="NEW"),"",COUNTBLANK(OFFSET(A$1,,,SUMPRODUCT(MAX(ROW(E$2:E2064)*(E2064=E$2:E2064)))))-COUNTBLANK(OFFSET(A$1,,,SUMPRODUCT(MAX(ROW(E$1:E2063)*(E2=E$1:E2063))))))</f>
        <v> </v>
      </c>
      <c r="K2064" s="25" t="str">
        <f>IF(OR(E2064="",E2064="!!!",F2064="NEW"),"",INDEX(J$1:J2063,SUMPRODUCT(MAX(ROW(E$1:E2063)*(E2064=E$1:E2063)))))</f>
        <v> </v>
      </c>
      <c r="L2064" s="26"/>
    </row>
    <row r="2065" spans="1:12">
      <c r="A2065" s="20" t="s">
        <v>2147</v>
      </c>
      <c r="E2065" s="21">
        <f>IF(D2065="?OLD","!!!","")</f>
        <v/>
      </c>
      <c r="F2065" s="22" t="str">
        <f>IF(OR(E2065="",E2065="!!!"),"",IF(NOT(ISNA(VLOOKUP(E2065,E$1:E2064,1,FALSE()))),"OLD",IF(AND(E2065&lt;&gt;"",E2065&lt;&gt;"!!!"),"NEW","")))</f>
        <v> </v>
      </c>
      <c r="G2065" s="23" t="str">
        <f>IF(OR(E2065="",E2065="!!!"),"",IF(OR(J2065=0,AND(J2065=1,K2065=1),AND(J2065=1,I2065="SBJ"),AND(J2065=1,I2065=0)),"?IN_FOCUS",IF(J2065&lt;=2,"?ACTIVATED",IF(J2065&lt;&gt;"","?FAMILIAR",IF(F2065="NEW",IF(ISNA(VLOOKUP(E2065,#REF!,1,FALSE())),"?TYPE_IDENTIFIABLE","?REFERENTIAL"),"_")))))</f>
        <v> </v>
      </c>
      <c r="H2065" s="24" t="str">
        <f>IF(J2065&lt;&gt;1,"",IF(I2065="SBJ","CB","?"))</f>
        <v> </v>
      </c>
      <c r="I2065" s="25" t="str">
        <f>IF(OR(E2065="",E2065="!!!",F2065="NEW"),"",INDEX(B2064:B$2,-1+SUMPRODUCT(MAX(ROW(E2064:E$2)*(E2065=E2064:E$2)))))</f>
        <v> </v>
      </c>
      <c r="J2065" s="25" t="str">
        <f>IF(OR(E2065="",E2065="!!!",F2065="NEW"),"",COUNTBLANK(OFFSET(A$1,,,SUMPRODUCT(MAX(ROW(E$2:E2065)*(E2065=E$2:E2065)))))-COUNTBLANK(OFFSET(A$1,,,SUMPRODUCT(MAX(ROW(E$1:E2064)*(E2=E$1:E2064))))))</f>
        <v> </v>
      </c>
      <c r="K2065" s="25" t="str">
        <f>IF(OR(E2065="",E2065="!!!",F2065="NEW"),"",INDEX(J$1:J2064,SUMPRODUCT(MAX(ROW(E$1:E2064)*(E2065=E$1:E2064)))))</f>
        <v> </v>
      </c>
      <c r="L2065" s="26"/>
    </row>
    <row r="2066" spans="1:12">
      <c r="A2066" s="20" t="s">
        <v>2148</v>
      </c>
      <c r="E2066" s="21">
        <f>IF(D2066="?OLD","!!!","")</f>
        <v/>
      </c>
      <c r="F2066" s="22" t="str">
        <f>IF(OR(E2066="",E2066="!!!"),"",IF(NOT(ISNA(VLOOKUP(E2066,E$1:E2065,1,FALSE()))),"OLD",IF(AND(E2066&lt;&gt;"",E2066&lt;&gt;"!!!"),"NEW","")))</f>
        <v> </v>
      </c>
      <c r="G2066" s="23" t="str">
        <f>IF(OR(E2066="",E2066="!!!"),"",IF(OR(J2066=0,AND(J2066=1,K2066=1),AND(J2066=1,I2066="SBJ"),AND(J2066=1,I2066=0)),"?IN_FOCUS",IF(J2066&lt;=2,"?ACTIVATED",IF(J2066&lt;&gt;"","?FAMILIAR",IF(F2066="NEW",IF(ISNA(VLOOKUP(E2066,#REF!,1,FALSE())),"?TYPE_IDENTIFIABLE","?REFERENTIAL"),"_")))))</f>
        <v> </v>
      </c>
      <c r="H2066" s="24" t="str">
        <f>IF(J2066&lt;&gt;1,"",IF(I2066="SBJ","CB","?"))</f>
        <v> </v>
      </c>
      <c r="I2066" s="25" t="str">
        <f>IF(OR(E2066="",E2066="!!!",F2066="NEW"),"",INDEX(B2065:B$2,-1+SUMPRODUCT(MAX(ROW(E2065:E$2)*(E2066=E2065:E$2)))))</f>
        <v> </v>
      </c>
      <c r="J2066" s="25" t="str">
        <f>IF(OR(E2066="",E2066="!!!",F2066="NEW"),"",COUNTBLANK(OFFSET(A$1,,,SUMPRODUCT(MAX(ROW(E$2:E2066)*(E2066=E$2:E2066)))))-COUNTBLANK(OFFSET(A$1,,,SUMPRODUCT(MAX(ROW(E$1:E2065)*(E2=E$1:E2065))))))</f>
        <v> </v>
      </c>
      <c r="K2066" s="25" t="str">
        <f>IF(OR(E2066="",E2066="!!!",F2066="NEW"),"",INDEX(J$1:J2065,SUMPRODUCT(MAX(ROW(E$1:E2065)*(E2066=E$1:E2065)))))</f>
        <v> </v>
      </c>
      <c r="L2066" s="26"/>
    </row>
    <row r="2067" spans="1:12">
      <c r="A2067" s="20" t="s">
        <v>2149</v>
      </c>
      <c r="B2067" s="27" t="s">
        <v>1141</v>
      </c>
      <c r="C2067" s="27" t="s">
        <v>1210</v>
      </c>
      <c r="E2067" s="21">
        <f>IF(D2067="?OLD","!!!","")</f>
        <v/>
      </c>
      <c r="F2067" s="22" t="str">
        <f>IF(OR(E2067="",E2067="!!!"),"",IF(NOT(ISNA(VLOOKUP(E2067,E$1:E2066,1,FALSE()))),"OLD",IF(AND(E2067&lt;&gt;"",E2067&lt;&gt;"!!!"),"NEW","")))</f>
        <v> </v>
      </c>
      <c r="G2067" s="23" t="str">
        <f>IF(OR(E2067="",E2067="!!!"),"",IF(OR(J2067=0,AND(J2067=1,K2067=1),AND(J2067=1,I2067="SBJ"),AND(J2067=1,I2067=0)),"?IN_FOCUS",IF(J2067&lt;=2,"?ACTIVATED",IF(J2067&lt;&gt;"","?FAMILIAR",IF(F2067="NEW",IF(ISNA(VLOOKUP(E2067,#REF!,1,FALSE())),"?TYPE_IDENTIFIABLE","?REFERENTIAL"),"_")))))</f>
        <v> </v>
      </c>
      <c r="H2067" s="24" t="str">
        <f>IF(J2067&lt;&gt;1,"",IF(I2067="SBJ","CB","?"))</f>
        <v> </v>
      </c>
      <c r="I2067" s="25" t="str">
        <f>IF(OR(E2067="",E2067="!!!",F2067="NEW"),"",INDEX(B2066:B$2,-1+SUMPRODUCT(MAX(ROW(E2066:E$2)*(E2067=E2066:E$2)))))</f>
        <v> </v>
      </c>
      <c r="J2067" s="25" t="str">
        <f>IF(OR(E2067="",E2067="!!!",F2067="NEW"),"",COUNTBLANK(OFFSET(A$1,,,SUMPRODUCT(MAX(ROW(E$2:E2067)*(E2067=E$2:E2067)))))-COUNTBLANK(OFFSET(A$1,,,SUMPRODUCT(MAX(ROW(E$1:E2066)*(E2=E$1:E2066))))))</f>
        <v> </v>
      </c>
      <c r="K2067" s="25" t="str">
        <f>IF(OR(E2067="",E2067="!!!",F2067="NEW"),"",INDEX(J$1:J2066,SUMPRODUCT(MAX(ROW(E$1:E2066)*(E2067=E$1:E2066)))))</f>
        <v> </v>
      </c>
      <c r="L2067" s="26"/>
    </row>
    <row r="2068" spans="1:12">
      <c r="A2068" s="20" t="s">
        <v>1123</v>
      </c>
      <c r="E2068" s="21">
        <f>IF(D2068="?OLD","!!!","")</f>
        <v/>
      </c>
      <c r="F2068" s="22" t="str">
        <f>IF(OR(E2068="",E2068="!!!"),"",IF(NOT(ISNA(VLOOKUP(E2068,E$1:E2067,1,FALSE()))),"OLD",IF(AND(E2068&lt;&gt;"",E2068&lt;&gt;"!!!"),"NEW","")))</f>
        <v> </v>
      </c>
      <c r="G2068" s="23" t="str">
        <f>IF(OR(E2068="",E2068="!!!"),"",IF(OR(J2068=0,AND(J2068=1,K2068=1),AND(J2068=1,I2068="SBJ"),AND(J2068=1,I2068=0)),"?IN_FOCUS",IF(J2068&lt;=2,"?ACTIVATED",IF(J2068&lt;&gt;"","?FAMILIAR",IF(F2068="NEW",IF(ISNA(VLOOKUP(E2068,#REF!,1,FALSE())),"?TYPE_IDENTIFIABLE","?REFERENTIAL"),"_")))))</f>
        <v> </v>
      </c>
      <c r="H2068" s="24" t="str">
        <f>IF(J2068&lt;&gt;1,"",IF(I2068="SBJ","CB","?"))</f>
        <v> </v>
      </c>
      <c r="I2068" s="25" t="str">
        <f>IF(OR(E2068="",E2068="!!!",F2068="NEW"),"",INDEX(B2067:B$2,-1+SUMPRODUCT(MAX(ROW(E2067:E$2)*(E2068=E2067:E$2)))))</f>
        <v> </v>
      </c>
      <c r="J2068" s="25" t="str">
        <f>IF(OR(E2068="",E2068="!!!",F2068="NEW"),"",COUNTBLANK(OFFSET(A$1,,,SUMPRODUCT(MAX(ROW(E$2:E2068)*(E2068=E$2:E2068)))))-COUNTBLANK(OFFSET(A$1,,,SUMPRODUCT(MAX(ROW(E$1:E2067)*(E2=E$1:E2067))))))</f>
        <v> </v>
      </c>
      <c r="K2068" s="25" t="str">
        <f>IF(OR(E2068="",E2068="!!!",F2068="NEW"),"",INDEX(J$1:J2067,SUMPRODUCT(MAX(ROW(E$1:E2067)*(E2068=E$1:E2067)))))</f>
        <v> </v>
      </c>
      <c r="L2068" s="26"/>
    </row>
    <row r="2069" spans="1:12">
      <c r="A2069" s="20" t="s">
        <v>2150</v>
      </c>
      <c r="E2069" s="21">
        <f>IF(D2069="?OLD","!!!","")</f>
        <v/>
      </c>
      <c r="F2069" s="22" t="str">
        <f>IF(OR(E2069="",E2069="!!!"),"",IF(NOT(ISNA(VLOOKUP(E2069,E$1:E2068,1,FALSE()))),"OLD",IF(AND(E2069&lt;&gt;"",E2069&lt;&gt;"!!!"),"NEW","")))</f>
        <v> </v>
      </c>
      <c r="G2069" s="23" t="str">
        <f>IF(OR(E2069="",E2069="!!!"),"",IF(OR(J2069=0,AND(J2069=1,K2069=1),AND(J2069=1,I2069="SBJ"),AND(J2069=1,I2069=0)),"?IN_FOCUS",IF(J2069&lt;=2,"?ACTIVATED",IF(J2069&lt;&gt;"","?FAMILIAR",IF(F2069="NEW",IF(ISNA(VLOOKUP(E2069,#REF!,1,FALSE())),"?TYPE_IDENTIFIABLE","?REFERENTIAL"),"_")))))</f>
        <v> </v>
      </c>
      <c r="H2069" s="24" t="str">
        <f>IF(J2069&lt;&gt;1,"",IF(I2069="SBJ","CB","?"))</f>
        <v> </v>
      </c>
      <c r="I2069" s="25" t="str">
        <f>IF(OR(E2069="",E2069="!!!",F2069="NEW"),"",INDEX(B2068:B$2,-1+SUMPRODUCT(MAX(ROW(E2068:E$2)*(E2069=E2068:E$2)))))</f>
        <v> </v>
      </c>
      <c r="J2069" s="25" t="str">
        <f>IF(OR(E2069="",E2069="!!!",F2069="NEW"),"",COUNTBLANK(OFFSET(A$1,,,SUMPRODUCT(MAX(ROW(E$2:E2069)*(E2069=E$2:E2069)))))-COUNTBLANK(OFFSET(A$1,,,SUMPRODUCT(MAX(ROW(E$1:E2068)*(E2=E$1:E2068))))))</f>
        <v> </v>
      </c>
      <c r="K2069" s="25" t="str">
        <f>IF(OR(E2069="",E2069="!!!",F2069="NEW"),"",INDEX(J$1:J2068,SUMPRODUCT(MAX(ROW(E$1:E2068)*(E2069=E$1:E2068)))))</f>
        <v> </v>
      </c>
      <c r="L2069" s="26"/>
    </row>
    <row r="2070" spans="1:12">
      <c r="A2070" s="20" t="s">
        <v>1145</v>
      </c>
      <c r="E2070" s="21">
        <f>IF(D2070="?OLD","!!!","")</f>
        <v/>
      </c>
      <c r="F2070" s="22" t="str">
        <f>IF(OR(E2070="",E2070="!!!"),"",IF(NOT(ISNA(VLOOKUP(E2070,E$1:E2069,1,FALSE()))),"OLD",IF(AND(E2070&lt;&gt;"",E2070&lt;&gt;"!!!"),"NEW","")))</f>
        <v> </v>
      </c>
      <c r="G2070" s="23" t="str">
        <f>IF(OR(E2070="",E2070="!!!"),"",IF(OR(J2070=0,AND(J2070=1,K2070=1),AND(J2070=1,I2070="SBJ"),AND(J2070=1,I2070=0)),"?IN_FOCUS",IF(J2070&lt;=2,"?ACTIVATED",IF(J2070&lt;&gt;"","?FAMILIAR",IF(F2070="NEW",IF(ISNA(VLOOKUP(E2070,#REF!,1,FALSE())),"?TYPE_IDENTIFIABLE","?REFERENTIAL"),"_")))))</f>
        <v> </v>
      </c>
      <c r="H2070" s="24" t="str">
        <f>IF(J2070&lt;&gt;1,"",IF(I2070="SBJ","CB","?"))</f>
        <v> </v>
      </c>
      <c r="I2070" s="25" t="str">
        <f>IF(OR(E2070="",E2070="!!!",F2070="NEW"),"",INDEX(B2069:B$2,-1+SUMPRODUCT(MAX(ROW(E2069:E$2)*(E2070=E2069:E$2)))))</f>
        <v> </v>
      </c>
      <c r="J2070" s="25" t="str">
        <f>IF(OR(E2070="",E2070="!!!",F2070="NEW"),"",COUNTBLANK(OFFSET(A$1,,,SUMPRODUCT(MAX(ROW(E$2:E2070)*(E2070=E$2:E2070)))))-COUNTBLANK(OFFSET(A$1,,,SUMPRODUCT(MAX(ROW(E$1:E2069)*(E2=E$1:E2069))))))</f>
        <v> </v>
      </c>
      <c r="K2070" s="25" t="str">
        <f>IF(OR(E2070="",E2070="!!!",F2070="NEW"),"",INDEX(J$1:J2069,SUMPRODUCT(MAX(ROW(E$1:E2069)*(E2070=E$1:E2069)))))</f>
        <v> </v>
      </c>
      <c r="L2070" s="26"/>
    </row>
    <row r="2071" spans="1:12">
      <c r="A2071" s="20"/>
    </row>
    <row r="2072" spans="1:12">
      <c r="A2072" s="20" t="s">
        <v>2151</v>
      </c>
    </row>
    <row r="2073" spans="1:12">
      <c r="A2073" s="20" t="s">
        <v>1191</v>
      </c>
      <c r="B2073" s="27" t="s">
        <v>1149</v>
      </c>
      <c r="C2073" s="27" t="s">
        <v>1126</v>
      </c>
      <c r="D2073" s="27" t="s">
        <v>1105</v>
      </c>
      <c r="E2073" s="21">
        <f>IF(D2073="?OLD","!!!","")</f>
        <v/>
      </c>
      <c r="F2073" s="22" t="str">
        <f>IF(OR(E2073="",E2073="!!!"),"",IF(NOT(ISNA(VLOOKUP(E2073,E$1:E2072,1,FALSE()))),"OLD",IF(AND(E2073&lt;&gt;"",E2073&lt;&gt;"!!!"),"NEW","")))</f>
        <v> </v>
      </c>
      <c r="G2073" s="23" t="str">
        <f>IF(OR(E2073="",E2073="!!!"),"",IF(OR(J2073=0,AND(J2073=1,K2073=1),AND(J2073=1,I2073="SBJ"),AND(J2073=1,I2073=0)),"?IN_FOCUS",IF(J2073&lt;=2,"?ACTIVATED",IF(J2073&lt;&gt;"","?FAMILIAR",IF(F2073="NEW",IF(ISNA(VLOOKUP(E2073,#REF!,1,FALSE())),"?TYPE_IDENTIFIABLE","?REFERENTIAL"),"_")))))</f>
        <v> </v>
      </c>
      <c r="H2073" s="24" t="str">
        <f>IF(J2073&lt;&gt;1,"",IF(I2073="SBJ","CB","?"))</f>
        <v> </v>
      </c>
      <c r="I2073" s="25" t="str">
        <f>IF(OR(E2073="",E2073="!!!",F2073="NEW"),"",INDEX(B2072:B$2,-1+SUMPRODUCT(MAX(ROW(E2072:E$2)*(E2073=E2072:E$2)))))</f>
        <v> </v>
      </c>
      <c r="J2073" s="25" t="str">
        <f>IF(OR(E2073="",E2073="!!!",F2073="NEW"),"",COUNTBLANK(OFFSET(A$1,,,SUMPRODUCT(MAX(ROW(E$2:E2073)*(E2073=E$2:E2073)))))-COUNTBLANK(OFFSET(A$1,,,SUMPRODUCT(MAX(ROW(E$1:E2072)*(E2=E$1:E2072))))))</f>
        <v> </v>
      </c>
      <c r="K2073" s="25" t="str">
        <f>IF(OR(E2073="",E2073="!!!",F2073="NEW"),"",INDEX(J$1:J2072,SUMPRODUCT(MAX(ROW(E$1:E2072)*(E2073=E$1:E2072)))))</f>
        <v> </v>
      </c>
      <c r="L2073" s="26"/>
    </row>
    <row r="2074" spans="1:12">
      <c r="A2074" s="20" t="s">
        <v>2152</v>
      </c>
      <c r="E2074" s="21">
        <f>IF(D2074="?OLD","!!!","")</f>
        <v/>
      </c>
      <c r="F2074" s="22" t="str">
        <f>IF(OR(E2074="",E2074="!!!"),"",IF(NOT(ISNA(VLOOKUP(E2074,E$1:E2073,1,FALSE()))),"OLD",IF(AND(E2074&lt;&gt;"",E2074&lt;&gt;"!!!"),"NEW","")))</f>
        <v> </v>
      </c>
      <c r="G2074" s="23" t="str">
        <f>IF(OR(E2074="",E2074="!!!"),"",IF(OR(J2074=0,AND(J2074=1,K2074=1),AND(J2074=1,I2074="SBJ"),AND(J2074=1,I2074=0)),"?IN_FOCUS",IF(J2074&lt;=2,"?ACTIVATED",IF(J2074&lt;&gt;"","?FAMILIAR",IF(F2074="NEW",IF(ISNA(VLOOKUP(E2074,#REF!,1,FALSE())),"?TYPE_IDENTIFIABLE","?REFERENTIAL"),"_")))))</f>
        <v> </v>
      </c>
      <c r="H2074" s="24" t="str">
        <f>IF(J2074&lt;&gt;1,"",IF(I2074="SBJ","CB","?"))</f>
        <v> </v>
      </c>
      <c r="I2074" s="25" t="str">
        <f>IF(OR(E2074="",E2074="!!!",F2074="NEW"),"",INDEX(B2073:B$2,-1+SUMPRODUCT(MAX(ROW(E2073:E$2)*(E2074=E2073:E$2)))))</f>
        <v> </v>
      </c>
      <c r="J2074" s="25" t="str">
        <f>IF(OR(E2074="",E2074="!!!",F2074="NEW"),"",COUNTBLANK(OFFSET(A$1,,,SUMPRODUCT(MAX(ROW(E$2:E2074)*(E2074=E$2:E2074)))))-COUNTBLANK(OFFSET(A$1,,,SUMPRODUCT(MAX(ROW(E$1:E2073)*(E2=E$1:E2073))))))</f>
        <v> </v>
      </c>
      <c r="K2074" s="25" t="str">
        <f>IF(OR(E2074="",E2074="!!!",F2074="NEW"),"",INDEX(J$1:J2073,SUMPRODUCT(MAX(ROW(E$1:E2073)*(E2074=E$1:E2073)))))</f>
        <v> </v>
      </c>
      <c r="L2074" s="26"/>
    </row>
    <row r="2075" spans="1:12">
      <c r="A2075" s="20" t="s">
        <v>1391</v>
      </c>
      <c r="E2075" s="21">
        <f>IF(D2075="?OLD","!!!","")</f>
        <v/>
      </c>
      <c r="F2075" s="22" t="str">
        <f>IF(OR(E2075="",E2075="!!!"),"",IF(NOT(ISNA(VLOOKUP(E2075,E$1:E2074,1,FALSE()))),"OLD",IF(AND(E2075&lt;&gt;"",E2075&lt;&gt;"!!!"),"NEW","")))</f>
        <v> </v>
      </c>
      <c r="G2075" s="23" t="str">
        <f>IF(OR(E2075="",E2075="!!!"),"",IF(OR(J2075=0,AND(J2075=1,K2075=1),AND(J2075=1,I2075="SBJ"),AND(J2075=1,I2075=0)),"?IN_FOCUS",IF(J2075&lt;=2,"?ACTIVATED",IF(J2075&lt;&gt;"","?FAMILIAR",IF(F2075="NEW",IF(ISNA(VLOOKUP(E2075,#REF!,1,FALSE())),"?TYPE_IDENTIFIABLE","?REFERENTIAL"),"_")))))</f>
        <v> </v>
      </c>
      <c r="H2075" s="24" t="str">
        <f>IF(J2075&lt;&gt;1,"",IF(I2075="SBJ","CB","?"))</f>
        <v> </v>
      </c>
      <c r="I2075" s="25" t="str">
        <f>IF(OR(E2075="",E2075="!!!",F2075="NEW"),"",INDEX(B2074:B$2,-1+SUMPRODUCT(MAX(ROW(E2074:E$2)*(E2075=E2074:E$2)))))</f>
        <v> </v>
      </c>
      <c r="J2075" s="25" t="str">
        <f>IF(OR(E2075="",E2075="!!!",F2075="NEW"),"",COUNTBLANK(OFFSET(A$1,,,SUMPRODUCT(MAX(ROW(E$2:E2075)*(E2075=E$2:E2075)))))-COUNTBLANK(OFFSET(A$1,,,SUMPRODUCT(MAX(ROW(E$1:E2074)*(E2=E$1:E2074))))))</f>
        <v> </v>
      </c>
      <c r="K2075" s="25" t="str">
        <f>IF(OR(E2075="",E2075="!!!",F2075="NEW"),"",INDEX(J$1:J2074,SUMPRODUCT(MAX(ROW(E$1:E2074)*(E2075=E$1:E2074)))))</f>
        <v> </v>
      </c>
      <c r="L2075" s="26"/>
    </row>
    <row r="2076" spans="1:12">
      <c r="A2076" s="20" t="s">
        <v>2153</v>
      </c>
      <c r="B2076" s="27" t="s">
        <v>1103</v>
      </c>
      <c r="C2076" s="27" t="s">
        <v>1126</v>
      </c>
      <c r="D2076" s="27" t="s">
        <v>1105</v>
      </c>
      <c r="E2076" s="21">
        <f>IF(D2076="?OLD","!!!","")</f>
        <v/>
      </c>
      <c r="F2076" s="22" t="str">
        <f>IF(OR(E2076="",E2076="!!!"),"",IF(NOT(ISNA(VLOOKUP(E2076,E$1:E2075,1,FALSE()))),"OLD",IF(AND(E2076&lt;&gt;"",E2076&lt;&gt;"!!!"),"NEW","")))</f>
        <v> </v>
      </c>
      <c r="G2076" s="23" t="str">
        <f>IF(OR(E2076="",E2076="!!!"),"",IF(OR(J2076=0,AND(J2076=1,K2076=1),AND(J2076=1,I2076="SBJ"),AND(J2076=1,I2076=0)),"?IN_FOCUS",IF(J2076&lt;=2,"?ACTIVATED",IF(J2076&lt;&gt;"","?FAMILIAR",IF(F2076="NEW",IF(ISNA(VLOOKUP(E2076,#REF!,1,FALSE())),"?TYPE_IDENTIFIABLE","?REFERENTIAL"),"_")))))</f>
        <v> </v>
      </c>
      <c r="H2076" s="24" t="str">
        <f>IF(J2076&lt;&gt;1,"",IF(I2076="SBJ","CB","?"))</f>
        <v> </v>
      </c>
      <c r="I2076" s="25" t="str">
        <f>IF(OR(E2076="",E2076="!!!",F2076="NEW"),"",INDEX(B2075:B$2,-1+SUMPRODUCT(MAX(ROW(E2075:E$2)*(E2076=E2075:E$2)))))</f>
        <v> </v>
      </c>
      <c r="J2076" s="25" t="str">
        <f>IF(OR(E2076="",E2076="!!!",F2076="NEW"),"",COUNTBLANK(OFFSET(A$1,,,SUMPRODUCT(MAX(ROW(E$2:E2076)*(E2076=E$2:E2076)))))-COUNTBLANK(OFFSET(A$1,,,SUMPRODUCT(MAX(ROW(E$1:E2075)*(E2=E$1:E2075))))))</f>
        <v> </v>
      </c>
      <c r="K2076" s="25" t="str">
        <f>IF(OR(E2076="",E2076="!!!",F2076="NEW"),"",INDEX(J$1:J2075,SUMPRODUCT(MAX(ROW(E$1:E2075)*(E2076=E$1:E2075)))))</f>
        <v> </v>
      </c>
      <c r="L2076" s="26"/>
    </row>
    <row r="2077" spans="1:12">
      <c r="A2077" s="20" t="s">
        <v>1123</v>
      </c>
      <c r="E2077" s="21">
        <f>IF(D2077="?OLD","!!!","")</f>
        <v/>
      </c>
      <c r="F2077" s="22" t="str">
        <f>IF(OR(E2077="",E2077="!!!"),"",IF(NOT(ISNA(VLOOKUP(E2077,E$1:E2076,1,FALSE()))),"OLD",IF(AND(E2077&lt;&gt;"",E2077&lt;&gt;"!!!"),"NEW","")))</f>
        <v> </v>
      </c>
      <c r="G2077" s="23" t="str">
        <f>IF(OR(E2077="",E2077="!!!"),"",IF(OR(J2077=0,AND(J2077=1,K2077=1),AND(J2077=1,I2077="SBJ"),AND(J2077=1,I2077=0)),"?IN_FOCUS",IF(J2077&lt;=2,"?ACTIVATED",IF(J2077&lt;&gt;"","?FAMILIAR",IF(F2077="NEW",IF(ISNA(VLOOKUP(E2077,#REF!,1,FALSE())),"?TYPE_IDENTIFIABLE","?REFERENTIAL"),"_")))))</f>
        <v> </v>
      </c>
      <c r="H2077" s="24" t="str">
        <f>IF(J2077&lt;&gt;1,"",IF(I2077="SBJ","CB","?"))</f>
        <v> </v>
      </c>
      <c r="I2077" s="25" t="str">
        <f>IF(OR(E2077="",E2077="!!!",F2077="NEW"),"",INDEX(B2076:B$2,-1+SUMPRODUCT(MAX(ROW(E2076:E$2)*(E2077=E2076:E$2)))))</f>
        <v> </v>
      </c>
      <c r="J2077" s="25" t="str">
        <f>IF(OR(E2077="",E2077="!!!",F2077="NEW"),"",COUNTBLANK(OFFSET(A$1,,,SUMPRODUCT(MAX(ROW(E$2:E2077)*(E2077=E$2:E2077)))))-COUNTBLANK(OFFSET(A$1,,,SUMPRODUCT(MAX(ROW(E$1:E2076)*(E2=E$1:E2076))))))</f>
        <v> </v>
      </c>
      <c r="K2077" s="25" t="str">
        <f>IF(OR(E2077="",E2077="!!!",F2077="NEW"),"",INDEX(J$1:J2076,SUMPRODUCT(MAX(ROW(E$1:E2076)*(E2077=E$1:E2076)))))</f>
        <v> </v>
      </c>
      <c r="L2077" s="26"/>
    </row>
    <row r="2078" spans="1:12">
      <c r="A2078" s="20" t="s">
        <v>2154</v>
      </c>
      <c r="E2078" s="21">
        <f>IF(D2078="?OLD","!!!","")</f>
        <v/>
      </c>
      <c r="F2078" s="22" t="str">
        <f>IF(OR(E2078="",E2078="!!!"),"",IF(NOT(ISNA(VLOOKUP(E2078,E$1:E2077,1,FALSE()))),"OLD",IF(AND(E2078&lt;&gt;"",E2078&lt;&gt;"!!!"),"NEW","")))</f>
        <v> </v>
      </c>
      <c r="G2078" s="23" t="str">
        <f>IF(OR(E2078="",E2078="!!!"),"",IF(OR(J2078=0,AND(J2078=1,K2078=1),AND(J2078=1,I2078="SBJ"),AND(J2078=1,I2078=0)),"?IN_FOCUS",IF(J2078&lt;=2,"?ACTIVATED",IF(J2078&lt;&gt;"","?FAMILIAR",IF(F2078="NEW",IF(ISNA(VLOOKUP(E2078,#REF!,1,FALSE())),"?TYPE_IDENTIFIABLE","?REFERENTIAL"),"_")))))</f>
        <v> </v>
      </c>
      <c r="H2078" s="24" t="str">
        <f>IF(J2078&lt;&gt;1,"",IF(I2078="SBJ","CB","?"))</f>
        <v> </v>
      </c>
      <c r="I2078" s="25" t="str">
        <f>IF(OR(E2078="",E2078="!!!",F2078="NEW"),"",INDEX(B2077:B$2,-1+SUMPRODUCT(MAX(ROW(E2077:E$2)*(E2078=E2077:E$2)))))</f>
        <v> </v>
      </c>
      <c r="J2078" s="25" t="str">
        <f>IF(OR(E2078="",E2078="!!!",F2078="NEW"),"",COUNTBLANK(OFFSET(A$1,,,SUMPRODUCT(MAX(ROW(E$2:E2078)*(E2078=E$2:E2078)))))-COUNTBLANK(OFFSET(A$1,,,SUMPRODUCT(MAX(ROW(E$1:E2077)*(E2=E$1:E2077))))))</f>
        <v> </v>
      </c>
      <c r="K2078" s="25" t="str">
        <f>IF(OR(E2078="",E2078="!!!",F2078="NEW"),"",INDEX(J$1:J2077,SUMPRODUCT(MAX(ROW(E$1:E2077)*(E2078=E$1:E2077)))))</f>
        <v> </v>
      </c>
      <c r="L2078" s="26"/>
    </row>
    <row r="2079" spans="1:12">
      <c r="A2079" s="20" t="s">
        <v>1195</v>
      </c>
      <c r="E2079" s="21">
        <f>IF(D2079="?OLD","!!!","")</f>
        <v/>
      </c>
      <c r="F2079" s="22" t="str">
        <f>IF(OR(E2079="",E2079="!!!"),"",IF(NOT(ISNA(VLOOKUP(E2079,E$1:E2078,1,FALSE()))),"OLD",IF(AND(E2079&lt;&gt;"",E2079&lt;&gt;"!!!"),"NEW","")))</f>
        <v> </v>
      </c>
      <c r="G2079" s="23" t="str">
        <f>IF(OR(E2079="",E2079="!!!"),"",IF(OR(J2079=0,AND(J2079=1,K2079=1),AND(J2079=1,I2079="SBJ"),AND(J2079=1,I2079=0)),"?IN_FOCUS",IF(J2079&lt;=2,"?ACTIVATED",IF(J2079&lt;&gt;"","?FAMILIAR",IF(F2079="NEW",IF(ISNA(VLOOKUP(E2079,#REF!,1,FALSE())),"?TYPE_IDENTIFIABLE","?REFERENTIAL"),"_")))))</f>
        <v> </v>
      </c>
      <c r="H2079" s="24" t="str">
        <f>IF(J2079&lt;&gt;1,"",IF(I2079="SBJ","CB","?"))</f>
        <v> </v>
      </c>
      <c r="I2079" s="25" t="str">
        <f>IF(OR(E2079="",E2079="!!!",F2079="NEW"),"",INDEX(B2078:B$2,-1+SUMPRODUCT(MAX(ROW(E2078:E$2)*(E2079=E2078:E$2)))))</f>
        <v> </v>
      </c>
      <c r="J2079" s="25" t="str">
        <f>IF(OR(E2079="",E2079="!!!",F2079="NEW"),"",COUNTBLANK(OFFSET(A$1,,,SUMPRODUCT(MAX(ROW(E$2:E2079)*(E2079=E$2:E2079)))))-COUNTBLANK(OFFSET(A$1,,,SUMPRODUCT(MAX(ROW(E$1:E2078)*(E2=E$1:E2078))))))</f>
        <v> </v>
      </c>
      <c r="K2079" s="25" t="str">
        <f>IF(OR(E2079="",E2079="!!!",F2079="NEW"),"",INDEX(J$1:J2078,SUMPRODUCT(MAX(ROW(E$1:E2078)*(E2079=E$1:E2078)))))</f>
        <v> </v>
      </c>
      <c r="L2079" s="26"/>
    </row>
    <row r="2080" spans="1:12">
      <c r="A2080" s="20" t="s">
        <v>2155</v>
      </c>
      <c r="E2080" s="21">
        <f>IF(D2080="?OLD","!!!","")</f>
        <v/>
      </c>
      <c r="F2080" s="22" t="str">
        <f>IF(OR(E2080="",E2080="!!!"),"",IF(NOT(ISNA(VLOOKUP(E2080,E$1:E2079,1,FALSE()))),"OLD",IF(AND(E2080&lt;&gt;"",E2080&lt;&gt;"!!!"),"NEW","")))</f>
        <v> </v>
      </c>
      <c r="G2080" s="23" t="str">
        <f>IF(OR(E2080="",E2080="!!!"),"",IF(OR(J2080=0,AND(J2080=1,K2080=1),AND(J2080=1,I2080="SBJ"),AND(J2080=1,I2080=0)),"?IN_FOCUS",IF(J2080&lt;=2,"?ACTIVATED",IF(J2080&lt;&gt;"","?FAMILIAR",IF(F2080="NEW",IF(ISNA(VLOOKUP(E2080,#REF!,1,FALSE())),"?TYPE_IDENTIFIABLE","?REFERENTIAL"),"_")))))</f>
        <v> </v>
      </c>
      <c r="H2080" s="24" t="str">
        <f>IF(J2080&lt;&gt;1,"",IF(I2080="SBJ","CB","?"))</f>
        <v> </v>
      </c>
      <c r="I2080" s="25" t="str">
        <f>IF(OR(E2080="",E2080="!!!",F2080="NEW"),"",INDEX(B2079:B$2,-1+SUMPRODUCT(MAX(ROW(E2079:E$2)*(E2080=E2079:E$2)))))</f>
        <v> </v>
      </c>
      <c r="J2080" s="25" t="str">
        <f>IF(OR(E2080="",E2080="!!!",F2080="NEW"),"",COUNTBLANK(OFFSET(A$1,,,SUMPRODUCT(MAX(ROW(E$2:E2080)*(E2080=E$2:E2080)))))-COUNTBLANK(OFFSET(A$1,,,SUMPRODUCT(MAX(ROW(E$1:E2079)*(E2=E$1:E2079))))))</f>
        <v> </v>
      </c>
      <c r="K2080" s="25" t="str">
        <f>IF(OR(E2080="",E2080="!!!",F2080="NEW"),"",INDEX(J$1:J2079,SUMPRODUCT(MAX(ROW(E$1:E2079)*(E2080=E$1:E2079)))))</f>
        <v> </v>
      </c>
      <c r="L2080" s="26"/>
    </row>
    <row r="2081" spans="1:12">
      <c r="A2081" s="20" t="s">
        <v>1123</v>
      </c>
      <c r="E2081" s="21">
        <f>IF(D2081="?OLD","!!!","")</f>
        <v/>
      </c>
      <c r="F2081" s="22" t="str">
        <f>IF(OR(E2081="",E2081="!!!"),"",IF(NOT(ISNA(VLOOKUP(E2081,E$1:E2080,1,FALSE()))),"OLD",IF(AND(E2081&lt;&gt;"",E2081&lt;&gt;"!!!"),"NEW","")))</f>
        <v> </v>
      </c>
      <c r="G2081" s="23" t="str">
        <f>IF(OR(E2081="",E2081="!!!"),"",IF(OR(J2081=0,AND(J2081=1,K2081=1),AND(J2081=1,I2081="SBJ"),AND(J2081=1,I2081=0)),"?IN_FOCUS",IF(J2081&lt;=2,"?ACTIVATED",IF(J2081&lt;&gt;"","?FAMILIAR",IF(F2081="NEW",IF(ISNA(VLOOKUP(E2081,#REF!,1,FALSE())),"?TYPE_IDENTIFIABLE","?REFERENTIAL"),"_")))))</f>
        <v> </v>
      </c>
      <c r="H2081" s="24" t="str">
        <f>IF(J2081&lt;&gt;1,"",IF(I2081="SBJ","CB","?"))</f>
        <v> </v>
      </c>
      <c r="I2081" s="25" t="str">
        <f>IF(OR(E2081="",E2081="!!!",F2081="NEW"),"",INDEX(B2080:B$2,-1+SUMPRODUCT(MAX(ROW(E2080:E$2)*(E2081=E2080:E$2)))))</f>
        <v> </v>
      </c>
      <c r="J2081" s="25" t="str">
        <f>IF(OR(E2081="",E2081="!!!",F2081="NEW"),"",COUNTBLANK(OFFSET(A$1,,,SUMPRODUCT(MAX(ROW(E$2:E2081)*(E2081=E$2:E2081)))))-COUNTBLANK(OFFSET(A$1,,,SUMPRODUCT(MAX(ROW(E$1:E2080)*(E2=E$1:E2080))))))</f>
        <v> </v>
      </c>
      <c r="K2081" s="25" t="str">
        <f>IF(OR(E2081="",E2081="!!!",F2081="NEW"),"",INDEX(J$1:J2080,SUMPRODUCT(MAX(ROW(E$1:E2080)*(E2081=E$1:E2080)))))</f>
        <v> </v>
      </c>
      <c r="L2081" s="26"/>
    </row>
    <row r="2082" spans="1:12">
      <c r="A2082" s="20" t="s">
        <v>1128</v>
      </c>
      <c r="E2082" s="21">
        <f>IF(D2082="?OLD","!!!","")</f>
        <v/>
      </c>
      <c r="F2082" s="22" t="str">
        <f>IF(OR(E2082="",E2082="!!!"),"",IF(NOT(ISNA(VLOOKUP(E2082,E$1:E2081,1,FALSE()))),"OLD",IF(AND(E2082&lt;&gt;"",E2082&lt;&gt;"!!!"),"NEW","")))</f>
        <v> </v>
      </c>
      <c r="G2082" s="23" t="str">
        <f>IF(OR(E2082="",E2082="!!!"),"",IF(OR(J2082=0,AND(J2082=1,K2082=1),AND(J2082=1,I2082="SBJ"),AND(J2082=1,I2082=0)),"?IN_FOCUS",IF(J2082&lt;=2,"?ACTIVATED",IF(J2082&lt;&gt;"","?FAMILIAR",IF(F2082="NEW",IF(ISNA(VLOOKUP(E2082,#REF!,1,FALSE())),"?TYPE_IDENTIFIABLE","?REFERENTIAL"),"_")))))</f>
        <v> </v>
      </c>
      <c r="H2082" s="24" t="str">
        <f>IF(J2082&lt;&gt;1,"",IF(I2082="SBJ","CB","?"))</f>
        <v> </v>
      </c>
      <c r="I2082" s="25" t="str">
        <f>IF(OR(E2082="",E2082="!!!",F2082="NEW"),"",INDEX(B2081:B$2,-1+SUMPRODUCT(MAX(ROW(E2081:E$2)*(E2082=E2081:E$2)))))</f>
        <v> </v>
      </c>
      <c r="J2082" s="25" t="str">
        <f>IF(OR(E2082="",E2082="!!!",F2082="NEW"),"",COUNTBLANK(OFFSET(A$1,,,SUMPRODUCT(MAX(ROW(E$2:E2082)*(E2082=E$2:E2082)))))-COUNTBLANK(OFFSET(A$1,,,SUMPRODUCT(MAX(ROW(E$1:E2081)*(E2=E$1:E2081))))))</f>
        <v> </v>
      </c>
      <c r="K2082" s="25" t="str">
        <f>IF(OR(E2082="",E2082="!!!",F2082="NEW"),"",INDEX(J$1:J2081,SUMPRODUCT(MAX(ROW(E$1:E2081)*(E2082=E$1:E2081)))))</f>
        <v> </v>
      </c>
      <c r="L2082" s="26"/>
    </row>
    <row r="2083" spans="1:12">
      <c r="A2083" s="20" t="s">
        <v>2156</v>
      </c>
      <c r="E2083" s="21">
        <f>IF(D2083="?OLD","!!!","")</f>
        <v/>
      </c>
      <c r="F2083" s="22" t="str">
        <f>IF(OR(E2083="",E2083="!!!"),"",IF(NOT(ISNA(VLOOKUP(E2083,E$1:E2082,1,FALSE()))),"OLD",IF(AND(E2083&lt;&gt;"",E2083&lt;&gt;"!!!"),"NEW","")))</f>
        <v> </v>
      </c>
      <c r="G2083" s="23" t="str">
        <f>IF(OR(E2083="",E2083="!!!"),"",IF(OR(J2083=0,AND(J2083=1,K2083=1),AND(J2083=1,I2083="SBJ"),AND(J2083=1,I2083=0)),"?IN_FOCUS",IF(J2083&lt;=2,"?ACTIVATED",IF(J2083&lt;&gt;"","?FAMILIAR",IF(F2083="NEW",IF(ISNA(VLOOKUP(E2083,#REF!,1,FALSE())),"?TYPE_IDENTIFIABLE","?REFERENTIAL"),"_")))))</f>
        <v> </v>
      </c>
      <c r="H2083" s="24" t="str">
        <f>IF(J2083&lt;&gt;1,"",IF(I2083="SBJ","CB","?"))</f>
        <v> </v>
      </c>
      <c r="I2083" s="25" t="str">
        <f>IF(OR(E2083="",E2083="!!!",F2083="NEW"),"",INDEX(B2082:B$2,-1+SUMPRODUCT(MAX(ROW(E2082:E$2)*(E2083=E2082:E$2)))))</f>
        <v> </v>
      </c>
      <c r="J2083" s="25" t="str">
        <f>IF(OR(E2083="",E2083="!!!",F2083="NEW"),"",COUNTBLANK(OFFSET(A$1,,,SUMPRODUCT(MAX(ROW(E$2:E2083)*(E2083=E$2:E2083)))))-COUNTBLANK(OFFSET(A$1,,,SUMPRODUCT(MAX(ROW(E$1:E2082)*(E2=E$1:E2082))))))</f>
        <v> </v>
      </c>
      <c r="K2083" s="25" t="str">
        <f>IF(OR(E2083="",E2083="!!!",F2083="NEW"),"",INDEX(J$1:J2082,SUMPRODUCT(MAX(ROW(E$1:E2082)*(E2083=E$1:E2082)))))</f>
        <v> </v>
      </c>
      <c r="L2083" s="26"/>
    </row>
    <row r="2084" spans="1:12">
      <c r="A2084" s="20" t="s">
        <v>2157</v>
      </c>
      <c r="B2084" s="27" t="s">
        <v>1243</v>
      </c>
      <c r="E2084" s="21">
        <f>IF(D2084="?OLD","!!!","")</f>
        <v/>
      </c>
      <c r="F2084" s="22" t="str">
        <f>IF(OR(E2084="",E2084="!!!"),"",IF(NOT(ISNA(VLOOKUP(E2084,E$1:E2083,1,FALSE()))),"OLD",IF(AND(E2084&lt;&gt;"",E2084&lt;&gt;"!!!"),"NEW","")))</f>
        <v> </v>
      </c>
      <c r="G2084" s="23" t="str">
        <f>IF(OR(E2084="",E2084="!!!"),"",IF(OR(J2084=0,AND(J2084=1,K2084=1),AND(J2084=1,I2084="SBJ"),AND(J2084=1,I2084=0)),"?IN_FOCUS",IF(J2084&lt;=2,"?ACTIVATED",IF(J2084&lt;&gt;"","?FAMILIAR",IF(F2084="NEW",IF(ISNA(VLOOKUP(E2084,#REF!,1,FALSE())),"?TYPE_IDENTIFIABLE","?REFERENTIAL"),"_")))))</f>
        <v> </v>
      </c>
      <c r="H2084" s="24" t="str">
        <f>IF(J2084&lt;&gt;1,"",IF(I2084="SBJ","CB","?"))</f>
        <v> </v>
      </c>
      <c r="I2084" s="25" t="str">
        <f>IF(OR(E2084="",E2084="!!!",F2084="NEW"),"",INDEX(B2083:B$2,-1+SUMPRODUCT(MAX(ROW(E2083:E$2)*(E2084=E2083:E$2)))))</f>
        <v> </v>
      </c>
      <c r="J2084" s="25" t="str">
        <f>IF(OR(E2084="",E2084="!!!",F2084="NEW"),"",COUNTBLANK(OFFSET(A$1,,,SUMPRODUCT(MAX(ROW(E$2:E2084)*(E2084=E$2:E2084)))))-COUNTBLANK(OFFSET(A$1,,,SUMPRODUCT(MAX(ROW(E$1:E2083)*(E2=E$1:E2083))))))</f>
        <v> </v>
      </c>
      <c r="K2084" s="25" t="str">
        <f>IF(OR(E2084="",E2084="!!!",F2084="NEW"),"",INDEX(J$1:J2083,SUMPRODUCT(MAX(ROW(E$1:E2083)*(E2084=E$1:E2083)))))</f>
        <v> </v>
      </c>
      <c r="L2084" s="26"/>
    </row>
    <row r="2085" spans="1:12">
      <c r="A2085" s="20" t="s">
        <v>2158</v>
      </c>
      <c r="E2085" s="21">
        <f>IF(D2085="?OLD","!!!","")</f>
        <v/>
      </c>
      <c r="F2085" s="22" t="str">
        <f>IF(OR(E2085="",E2085="!!!"),"",IF(NOT(ISNA(VLOOKUP(E2085,E$1:E2084,1,FALSE()))),"OLD",IF(AND(E2085&lt;&gt;"",E2085&lt;&gt;"!!!"),"NEW","")))</f>
        <v> </v>
      </c>
      <c r="G2085" s="23" t="str">
        <f>IF(OR(E2085="",E2085="!!!"),"",IF(OR(J2085=0,AND(J2085=1,K2085=1),AND(J2085=1,I2085="SBJ"),AND(J2085=1,I2085=0)),"?IN_FOCUS",IF(J2085&lt;=2,"?ACTIVATED",IF(J2085&lt;&gt;"","?FAMILIAR",IF(F2085="NEW",IF(ISNA(VLOOKUP(E2085,#REF!,1,FALSE())),"?TYPE_IDENTIFIABLE","?REFERENTIAL"),"_")))))</f>
        <v> </v>
      </c>
      <c r="H2085" s="24" t="str">
        <f>IF(J2085&lt;&gt;1,"",IF(I2085="SBJ","CB","?"))</f>
        <v> </v>
      </c>
      <c r="I2085" s="25" t="str">
        <f>IF(OR(E2085="",E2085="!!!",F2085="NEW"),"",INDEX(B2084:B$2,-1+SUMPRODUCT(MAX(ROW(E2084:E$2)*(E2085=E2084:E$2)))))</f>
        <v> </v>
      </c>
      <c r="J2085" s="25" t="str">
        <f>IF(OR(E2085="",E2085="!!!",F2085="NEW"),"",COUNTBLANK(OFFSET(A$1,,,SUMPRODUCT(MAX(ROW(E$2:E2085)*(E2085=E$2:E2085)))))-COUNTBLANK(OFFSET(A$1,,,SUMPRODUCT(MAX(ROW(E$1:E2084)*(E2=E$1:E2084))))))</f>
        <v> </v>
      </c>
      <c r="K2085" s="25" t="str">
        <f>IF(OR(E2085="",E2085="!!!",F2085="NEW"),"",INDEX(J$1:J2084,SUMPRODUCT(MAX(ROW(E$1:E2084)*(E2085=E$1:E2084)))))</f>
        <v> </v>
      </c>
      <c r="L2085" s="26"/>
    </row>
    <row r="2086" spans="1:12">
      <c r="A2086" s="20" t="s">
        <v>1271</v>
      </c>
      <c r="E2086" s="21">
        <f>IF(D2086="?OLD","!!!","")</f>
        <v/>
      </c>
      <c r="F2086" s="22" t="str">
        <f>IF(OR(E2086="",E2086="!!!"),"",IF(NOT(ISNA(VLOOKUP(E2086,E$1:E2085,1,FALSE()))),"OLD",IF(AND(E2086&lt;&gt;"",E2086&lt;&gt;"!!!"),"NEW","")))</f>
        <v> </v>
      </c>
      <c r="G2086" s="23" t="str">
        <f>IF(OR(E2086="",E2086="!!!"),"",IF(OR(J2086=0,AND(J2086=1,K2086=1),AND(J2086=1,I2086="SBJ"),AND(J2086=1,I2086=0)),"?IN_FOCUS",IF(J2086&lt;=2,"?ACTIVATED",IF(J2086&lt;&gt;"","?FAMILIAR",IF(F2086="NEW",IF(ISNA(VLOOKUP(E2086,#REF!,1,FALSE())),"?TYPE_IDENTIFIABLE","?REFERENTIAL"),"_")))))</f>
        <v> </v>
      </c>
      <c r="H2086" s="24" t="str">
        <f>IF(J2086&lt;&gt;1,"",IF(I2086="SBJ","CB","?"))</f>
        <v> </v>
      </c>
      <c r="I2086" s="25" t="str">
        <f>IF(OR(E2086="",E2086="!!!",F2086="NEW"),"",INDEX(B2085:B$2,-1+SUMPRODUCT(MAX(ROW(E2085:E$2)*(E2086=E2085:E$2)))))</f>
        <v> </v>
      </c>
      <c r="J2086" s="25" t="str">
        <f>IF(OR(E2086="",E2086="!!!",F2086="NEW"),"",COUNTBLANK(OFFSET(A$1,,,SUMPRODUCT(MAX(ROW(E$2:E2086)*(E2086=E$2:E2086)))))-COUNTBLANK(OFFSET(A$1,,,SUMPRODUCT(MAX(ROW(E$1:E2085)*(E2=E$1:E2085))))))</f>
        <v> </v>
      </c>
      <c r="K2086" s="25" t="str">
        <f>IF(OR(E2086="",E2086="!!!",F2086="NEW"),"",INDEX(J$1:J2085,SUMPRODUCT(MAX(ROW(E$1:E2085)*(E2086=E$1:E2085)))))</f>
        <v> </v>
      </c>
      <c r="L2086" s="26"/>
    </row>
    <row r="2087" spans="1:12">
      <c r="A2087" s="20" t="s">
        <v>1371</v>
      </c>
      <c r="E2087" s="21">
        <f>IF(D2087="?OLD","!!!","")</f>
        <v/>
      </c>
      <c r="F2087" s="22" t="str">
        <f>IF(OR(E2087="",E2087="!!!"),"",IF(NOT(ISNA(VLOOKUP(E2087,E$1:E2086,1,FALSE()))),"OLD",IF(AND(E2087&lt;&gt;"",E2087&lt;&gt;"!!!"),"NEW","")))</f>
        <v> </v>
      </c>
      <c r="G2087" s="23" t="str">
        <f>IF(OR(E2087="",E2087="!!!"),"",IF(OR(J2087=0,AND(J2087=1,K2087=1),AND(J2087=1,I2087="SBJ"),AND(J2087=1,I2087=0)),"?IN_FOCUS",IF(J2087&lt;=2,"?ACTIVATED",IF(J2087&lt;&gt;"","?FAMILIAR",IF(F2087="NEW",IF(ISNA(VLOOKUP(E2087,#REF!,1,FALSE())),"?TYPE_IDENTIFIABLE","?REFERENTIAL"),"_")))))</f>
        <v> </v>
      </c>
      <c r="H2087" s="24" t="str">
        <f>IF(J2087&lt;&gt;1,"",IF(I2087="SBJ","CB","?"))</f>
        <v> </v>
      </c>
      <c r="I2087" s="25" t="str">
        <f>IF(OR(E2087="",E2087="!!!",F2087="NEW"),"",INDEX(B2086:B$2,-1+SUMPRODUCT(MAX(ROW(E2086:E$2)*(E2087=E2086:E$2)))))</f>
        <v> </v>
      </c>
      <c r="J2087" s="25" t="str">
        <f>IF(OR(E2087="",E2087="!!!",F2087="NEW"),"",COUNTBLANK(OFFSET(A$1,,,SUMPRODUCT(MAX(ROW(E$2:E2087)*(E2087=E$2:E2087)))))-COUNTBLANK(OFFSET(A$1,,,SUMPRODUCT(MAX(ROW(E$1:E2086)*(E2=E$1:E2086))))))</f>
        <v> </v>
      </c>
      <c r="K2087" s="25" t="str">
        <f>IF(OR(E2087="",E2087="!!!",F2087="NEW"),"",INDEX(J$1:J2086,SUMPRODUCT(MAX(ROW(E$1:E2086)*(E2087=E$1:E2086)))))</f>
        <v> </v>
      </c>
      <c r="L2087" s="26"/>
    </row>
    <row r="2088" spans="1:12">
      <c r="A2088" s="20" t="s">
        <v>2159</v>
      </c>
      <c r="E2088" s="21">
        <f>IF(D2088="?OLD","!!!","")</f>
        <v/>
      </c>
      <c r="F2088" s="22" t="str">
        <f>IF(OR(E2088="",E2088="!!!"),"",IF(NOT(ISNA(VLOOKUP(E2088,E$1:E2087,1,FALSE()))),"OLD",IF(AND(E2088&lt;&gt;"",E2088&lt;&gt;"!!!"),"NEW","")))</f>
        <v> </v>
      </c>
      <c r="G2088" s="23" t="str">
        <f>IF(OR(E2088="",E2088="!!!"),"",IF(OR(J2088=0,AND(J2088=1,K2088=1),AND(J2088=1,I2088="SBJ"),AND(J2088=1,I2088=0)),"?IN_FOCUS",IF(J2088&lt;=2,"?ACTIVATED",IF(J2088&lt;&gt;"","?FAMILIAR",IF(F2088="NEW",IF(ISNA(VLOOKUP(E2088,#REF!,1,FALSE())),"?TYPE_IDENTIFIABLE","?REFERENTIAL"),"_")))))</f>
        <v> </v>
      </c>
      <c r="H2088" s="24" t="str">
        <f>IF(J2088&lt;&gt;1,"",IF(I2088="SBJ","CB","?"))</f>
        <v> </v>
      </c>
      <c r="I2088" s="25" t="str">
        <f>IF(OR(E2088="",E2088="!!!",F2088="NEW"),"",INDEX(B2087:B$2,-1+SUMPRODUCT(MAX(ROW(E2087:E$2)*(E2088=E2087:E$2)))))</f>
        <v> </v>
      </c>
      <c r="J2088" s="25" t="str">
        <f>IF(OR(E2088="",E2088="!!!",F2088="NEW"),"",COUNTBLANK(OFFSET(A$1,,,SUMPRODUCT(MAX(ROW(E$2:E2088)*(E2088=E$2:E2088)))))-COUNTBLANK(OFFSET(A$1,,,SUMPRODUCT(MAX(ROW(E$1:E2087)*(E2=E$1:E2087))))))</f>
        <v> </v>
      </c>
      <c r="K2088" s="25" t="str">
        <f>IF(OR(E2088="",E2088="!!!",F2088="NEW"),"",INDEX(J$1:J2087,SUMPRODUCT(MAX(ROW(E$1:E2087)*(E2088=E$1:E2087)))))</f>
        <v> </v>
      </c>
      <c r="L2088" s="26"/>
    </row>
    <row r="2089" spans="1:12">
      <c r="A2089" s="20" t="s">
        <v>2160</v>
      </c>
      <c r="E2089" s="21">
        <f>IF(D2089="?OLD","!!!","")</f>
        <v/>
      </c>
      <c r="F2089" s="22" t="str">
        <f>IF(OR(E2089="",E2089="!!!"),"",IF(NOT(ISNA(VLOOKUP(E2089,E$1:E2088,1,FALSE()))),"OLD",IF(AND(E2089&lt;&gt;"",E2089&lt;&gt;"!!!"),"NEW","")))</f>
        <v> </v>
      </c>
      <c r="G2089" s="23" t="str">
        <f>IF(OR(E2089="",E2089="!!!"),"",IF(OR(J2089=0,AND(J2089=1,K2089=1),AND(J2089=1,I2089="SBJ"),AND(J2089=1,I2089=0)),"?IN_FOCUS",IF(J2089&lt;=2,"?ACTIVATED",IF(J2089&lt;&gt;"","?FAMILIAR",IF(F2089="NEW",IF(ISNA(VLOOKUP(E2089,#REF!,1,FALSE())),"?TYPE_IDENTIFIABLE","?REFERENTIAL"),"_")))))</f>
        <v> </v>
      </c>
      <c r="H2089" s="24" t="str">
        <f>IF(J2089&lt;&gt;1,"",IF(I2089="SBJ","CB","?"))</f>
        <v> </v>
      </c>
      <c r="I2089" s="25" t="str">
        <f>IF(OR(E2089="",E2089="!!!",F2089="NEW"),"",INDEX(B2088:B$2,-1+SUMPRODUCT(MAX(ROW(E2088:E$2)*(E2089=E2088:E$2)))))</f>
        <v> </v>
      </c>
      <c r="J2089" s="25" t="str">
        <f>IF(OR(E2089="",E2089="!!!",F2089="NEW"),"",COUNTBLANK(OFFSET(A$1,,,SUMPRODUCT(MAX(ROW(E$2:E2089)*(E2089=E$2:E2089)))))-COUNTBLANK(OFFSET(A$1,,,SUMPRODUCT(MAX(ROW(E$1:E2088)*(E2=E$1:E2088))))))</f>
        <v> </v>
      </c>
      <c r="K2089" s="25" t="str">
        <f>IF(OR(E2089="",E2089="!!!",F2089="NEW"),"",INDEX(J$1:J2088,SUMPRODUCT(MAX(ROW(E$1:E2088)*(E2089=E$1:E2088)))))</f>
        <v> </v>
      </c>
      <c r="L2089" s="26"/>
    </row>
    <row r="2090" spans="1:12">
      <c r="A2090" s="20" t="s">
        <v>2022</v>
      </c>
      <c r="B2090" s="27" t="s">
        <v>1144</v>
      </c>
      <c r="E2090" s="21">
        <f>IF(D2090="?OLD","!!!","")</f>
        <v/>
      </c>
      <c r="F2090" s="22" t="str">
        <f>IF(OR(E2090="",E2090="!!!"),"",IF(NOT(ISNA(VLOOKUP(E2090,E$1:E2089,1,FALSE()))),"OLD",IF(AND(E2090&lt;&gt;"",E2090&lt;&gt;"!!!"),"NEW","")))</f>
        <v> </v>
      </c>
      <c r="G2090" s="23" t="str">
        <f>IF(OR(E2090="",E2090="!!!"),"",IF(OR(J2090=0,AND(J2090=1,K2090=1),AND(J2090=1,I2090="SBJ"),AND(J2090=1,I2090=0)),"?IN_FOCUS",IF(J2090&lt;=2,"?ACTIVATED",IF(J2090&lt;&gt;"","?FAMILIAR",IF(F2090="NEW",IF(ISNA(VLOOKUP(E2090,#REF!,1,FALSE())),"?TYPE_IDENTIFIABLE","?REFERENTIAL"),"_")))))</f>
        <v> </v>
      </c>
      <c r="H2090" s="24" t="str">
        <f>IF(J2090&lt;&gt;1,"",IF(I2090="SBJ","CB","?"))</f>
        <v> </v>
      </c>
      <c r="I2090" s="25" t="str">
        <f>IF(OR(E2090="",E2090="!!!",F2090="NEW"),"",INDEX(B2089:B$2,-1+SUMPRODUCT(MAX(ROW(E2089:E$2)*(E2090=E2089:E$2)))))</f>
        <v> </v>
      </c>
      <c r="J2090" s="25" t="str">
        <f>IF(OR(E2090="",E2090="!!!",F2090="NEW"),"",COUNTBLANK(OFFSET(A$1,,,SUMPRODUCT(MAX(ROW(E$2:E2090)*(E2090=E$2:E2090)))))-COUNTBLANK(OFFSET(A$1,,,SUMPRODUCT(MAX(ROW(E$1:E2089)*(E2=E$1:E2089))))))</f>
        <v> </v>
      </c>
      <c r="K2090" s="25" t="str">
        <f>IF(OR(E2090="",E2090="!!!",F2090="NEW"),"",INDEX(J$1:J2089,SUMPRODUCT(MAX(ROW(E$1:E2089)*(E2090=E$1:E2089)))))</f>
        <v> </v>
      </c>
      <c r="L2090" s="26"/>
    </row>
    <row r="2091" spans="1:12">
      <c r="A2091" s="20" t="s">
        <v>1123</v>
      </c>
      <c r="E2091" s="21">
        <f>IF(D2091="?OLD","!!!","")</f>
        <v/>
      </c>
      <c r="F2091" s="22" t="str">
        <f>IF(OR(E2091="",E2091="!!!"),"",IF(NOT(ISNA(VLOOKUP(E2091,E$1:E2090,1,FALSE()))),"OLD",IF(AND(E2091&lt;&gt;"",E2091&lt;&gt;"!!!"),"NEW","")))</f>
        <v> </v>
      </c>
      <c r="G2091" s="23" t="str">
        <f>IF(OR(E2091="",E2091="!!!"),"",IF(OR(J2091=0,AND(J2091=1,K2091=1),AND(J2091=1,I2091="SBJ"),AND(J2091=1,I2091=0)),"?IN_FOCUS",IF(J2091&lt;=2,"?ACTIVATED",IF(J2091&lt;&gt;"","?FAMILIAR",IF(F2091="NEW",IF(ISNA(VLOOKUP(E2091,#REF!,1,FALSE())),"?TYPE_IDENTIFIABLE","?REFERENTIAL"),"_")))))</f>
        <v> </v>
      </c>
      <c r="H2091" s="24" t="str">
        <f>IF(J2091&lt;&gt;1,"",IF(I2091="SBJ","CB","?"))</f>
        <v> </v>
      </c>
      <c r="I2091" s="25" t="str">
        <f>IF(OR(E2091="",E2091="!!!",F2091="NEW"),"",INDEX(B2090:B$2,-1+SUMPRODUCT(MAX(ROW(E2090:E$2)*(E2091=E2090:E$2)))))</f>
        <v> </v>
      </c>
      <c r="J2091" s="25" t="str">
        <f>IF(OR(E2091="",E2091="!!!",F2091="NEW"),"",COUNTBLANK(OFFSET(A$1,,,SUMPRODUCT(MAX(ROW(E$2:E2091)*(E2091=E$2:E2091)))))-COUNTBLANK(OFFSET(A$1,,,SUMPRODUCT(MAX(ROW(E$1:E2090)*(E2=E$1:E2090))))))</f>
        <v> </v>
      </c>
      <c r="K2091" s="25" t="str">
        <f>IF(OR(E2091="",E2091="!!!",F2091="NEW"),"",INDEX(J$1:J2090,SUMPRODUCT(MAX(ROW(E$1:E2090)*(E2091=E$1:E2090)))))</f>
        <v> </v>
      </c>
      <c r="L2091" s="26"/>
    </row>
    <row r="2092" spans="1:12">
      <c r="A2092" s="20" t="s">
        <v>1197</v>
      </c>
      <c r="E2092" s="21">
        <f>IF(D2092="?OLD","!!!","")</f>
        <v/>
      </c>
      <c r="F2092" s="22" t="str">
        <f>IF(OR(E2092="",E2092="!!!"),"",IF(NOT(ISNA(VLOOKUP(E2092,E$1:E2091,1,FALSE()))),"OLD",IF(AND(E2092&lt;&gt;"",E2092&lt;&gt;"!!!"),"NEW","")))</f>
        <v> </v>
      </c>
      <c r="G2092" s="23" t="str">
        <f>IF(OR(E2092="",E2092="!!!"),"",IF(OR(J2092=0,AND(J2092=1,K2092=1),AND(J2092=1,I2092="SBJ"),AND(J2092=1,I2092=0)),"?IN_FOCUS",IF(J2092&lt;=2,"?ACTIVATED",IF(J2092&lt;&gt;"","?FAMILIAR",IF(F2092="NEW",IF(ISNA(VLOOKUP(E2092,#REF!,1,FALSE())),"?TYPE_IDENTIFIABLE","?REFERENTIAL"),"_")))))</f>
        <v> </v>
      </c>
      <c r="H2092" s="24" t="str">
        <f>IF(J2092&lt;&gt;1,"",IF(I2092="SBJ","CB","?"))</f>
        <v> </v>
      </c>
      <c r="I2092" s="25" t="str">
        <f>IF(OR(E2092="",E2092="!!!",F2092="NEW"),"",INDEX(B2091:B$2,-1+SUMPRODUCT(MAX(ROW(E2091:E$2)*(E2092=E2091:E$2)))))</f>
        <v> </v>
      </c>
      <c r="J2092" s="25" t="str">
        <f>IF(OR(E2092="",E2092="!!!",F2092="NEW"),"",COUNTBLANK(OFFSET(A$1,,,SUMPRODUCT(MAX(ROW(E$2:E2092)*(E2092=E$2:E2092)))))-COUNTBLANK(OFFSET(A$1,,,SUMPRODUCT(MAX(ROW(E$1:E2091)*(E2=E$1:E2091))))))</f>
        <v> </v>
      </c>
      <c r="K2092" s="25" t="str">
        <f>IF(OR(E2092="",E2092="!!!",F2092="NEW"),"",INDEX(J$1:J2091,SUMPRODUCT(MAX(ROW(E$1:E2091)*(E2092=E$1:E2091)))))</f>
        <v> </v>
      </c>
      <c r="L2092" s="26"/>
    </row>
    <row r="2093" spans="1:12">
      <c r="A2093" s="20" t="s">
        <v>2161</v>
      </c>
      <c r="E2093" s="21">
        <f>IF(D2093="?OLD","!!!","")</f>
        <v/>
      </c>
      <c r="F2093" s="22" t="str">
        <f>IF(OR(E2093="",E2093="!!!"),"",IF(NOT(ISNA(VLOOKUP(E2093,E$1:E2092,1,FALSE()))),"OLD",IF(AND(E2093&lt;&gt;"",E2093&lt;&gt;"!!!"),"NEW","")))</f>
        <v> </v>
      </c>
      <c r="G2093" s="23" t="str">
        <f>IF(OR(E2093="",E2093="!!!"),"",IF(OR(J2093=0,AND(J2093=1,K2093=1),AND(J2093=1,I2093="SBJ"),AND(J2093=1,I2093=0)),"?IN_FOCUS",IF(J2093&lt;=2,"?ACTIVATED",IF(J2093&lt;&gt;"","?FAMILIAR",IF(F2093="NEW",IF(ISNA(VLOOKUP(E2093,#REF!,1,FALSE())),"?TYPE_IDENTIFIABLE","?REFERENTIAL"),"_")))))</f>
        <v> </v>
      </c>
      <c r="H2093" s="24" t="str">
        <f>IF(J2093&lt;&gt;1,"",IF(I2093="SBJ","CB","?"))</f>
        <v> </v>
      </c>
      <c r="I2093" s="25" t="str">
        <f>IF(OR(E2093="",E2093="!!!",F2093="NEW"),"",INDEX(B2092:B$2,-1+SUMPRODUCT(MAX(ROW(E2092:E$2)*(E2093=E2092:E$2)))))</f>
        <v> </v>
      </c>
      <c r="J2093" s="25" t="str">
        <f>IF(OR(E2093="",E2093="!!!",F2093="NEW"),"",COUNTBLANK(OFFSET(A$1,,,SUMPRODUCT(MAX(ROW(E$2:E2093)*(E2093=E$2:E2093)))))-COUNTBLANK(OFFSET(A$1,,,SUMPRODUCT(MAX(ROW(E$1:E2092)*(E2=E$1:E2092))))))</f>
        <v> </v>
      </c>
      <c r="K2093" s="25" t="str">
        <f>IF(OR(E2093="",E2093="!!!",F2093="NEW"),"",INDEX(J$1:J2092,SUMPRODUCT(MAX(ROW(E$1:E2092)*(E2093=E$1:E2092)))))</f>
        <v> </v>
      </c>
      <c r="L2093" s="26"/>
    </row>
    <row r="2094" spans="1:12">
      <c r="A2094" s="20" t="s">
        <v>1198</v>
      </c>
      <c r="B2094" s="27" t="s">
        <v>2162</v>
      </c>
      <c r="C2094" s="27" t="s">
        <v>1126</v>
      </c>
      <c r="D2094" s="27" t="s">
        <v>1105</v>
      </c>
      <c r="E2094" s="21">
        <f>IF(D2094="?OLD","!!!","")</f>
        <v/>
      </c>
      <c r="F2094" s="22" t="str">
        <f>IF(OR(E2094="",E2094="!!!"),"",IF(NOT(ISNA(VLOOKUP(E2094,E$1:E2093,1,FALSE()))),"OLD",IF(AND(E2094&lt;&gt;"",E2094&lt;&gt;"!!!"),"NEW","")))</f>
        <v> </v>
      </c>
      <c r="G2094" s="23" t="str">
        <f>IF(OR(E2094="",E2094="!!!"),"",IF(OR(J2094=0,AND(J2094=1,K2094=1),AND(J2094=1,I2094="SBJ"),AND(J2094=1,I2094=0)),"?IN_FOCUS",IF(J2094&lt;=2,"?ACTIVATED",IF(J2094&lt;&gt;"","?FAMILIAR",IF(F2094="NEW",IF(ISNA(VLOOKUP(E2094,#REF!,1,FALSE())),"?TYPE_IDENTIFIABLE","?REFERENTIAL"),"_")))))</f>
        <v> </v>
      </c>
      <c r="H2094" s="24" t="str">
        <f>IF(J2094&lt;&gt;1,"",IF(I2094="SBJ","CB","?"))</f>
        <v> </v>
      </c>
      <c r="I2094" s="25" t="str">
        <f>IF(OR(E2094="",E2094="!!!",F2094="NEW"),"",INDEX(B2093:B$2,-1+SUMPRODUCT(MAX(ROW(E2093:E$2)*(E2094=E2093:E$2)))))</f>
        <v> </v>
      </c>
      <c r="J2094" s="25" t="str">
        <f>IF(OR(E2094="",E2094="!!!",F2094="NEW"),"",COUNTBLANK(OFFSET(A$1,,,SUMPRODUCT(MAX(ROW(E$2:E2094)*(E2094=E$2:E2094)))))-COUNTBLANK(OFFSET(A$1,,,SUMPRODUCT(MAX(ROW(E$1:E2093)*(E2=E$1:E2093))))))</f>
        <v> </v>
      </c>
      <c r="K2094" s="25" t="str">
        <f>IF(OR(E2094="",E2094="!!!",F2094="NEW"),"",INDEX(J$1:J2093,SUMPRODUCT(MAX(ROW(E$1:E2093)*(E2094=E$1:E2093)))))</f>
        <v> </v>
      </c>
      <c r="L2094" s="26"/>
    </row>
    <row r="2095" spans="1:12">
      <c r="A2095" s="20" t="s">
        <v>1134</v>
      </c>
      <c r="E2095" s="21">
        <f>IF(D2095="?OLD","!!!","")</f>
        <v/>
      </c>
      <c r="F2095" s="22" t="str">
        <f>IF(OR(E2095="",E2095="!!!"),"",IF(NOT(ISNA(VLOOKUP(E2095,E$1:E2094,1,FALSE()))),"OLD",IF(AND(E2095&lt;&gt;"",E2095&lt;&gt;"!!!"),"NEW","")))</f>
        <v> </v>
      </c>
      <c r="G2095" s="23" t="str">
        <f>IF(OR(E2095="",E2095="!!!"),"",IF(OR(J2095=0,AND(J2095=1,K2095=1),AND(J2095=1,I2095="SBJ"),AND(J2095=1,I2095=0)),"?IN_FOCUS",IF(J2095&lt;=2,"?ACTIVATED",IF(J2095&lt;&gt;"","?FAMILIAR",IF(F2095="NEW",IF(ISNA(VLOOKUP(E2095,#REF!,1,FALSE())),"?TYPE_IDENTIFIABLE","?REFERENTIAL"),"_")))))</f>
        <v> </v>
      </c>
      <c r="H2095" s="24" t="str">
        <f>IF(J2095&lt;&gt;1,"",IF(I2095="SBJ","CB","?"))</f>
        <v> </v>
      </c>
      <c r="I2095" s="25" t="str">
        <f>IF(OR(E2095="",E2095="!!!",F2095="NEW"),"",INDEX(B2094:B$2,-1+SUMPRODUCT(MAX(ROW(E2094:E$2)*(E2095=E2094:E$2)))))</f>
        <v> </v>
      </c>
      <c r="J2095" s="25" t="str">
        <f>IF(OR(E2095="",E2095="!!!",F2095="NEW"),"",COUNTBLANK(OFFSET(A$1,,,SUMPRODUCT(MAX(ROW(E$2:E2095)*(E2095=E$2:E2095)))))-COUNTBLANK(OFFSET(A$1,,,SUMPRODUCT(MAX(ROW(E$1:E2094)*(E2=E$1:E2094))))))</f>
        <v> </v>
      </c>
      <c r="K2095" s="25" t="str">
        <f>IF(OR(E2095="",E2095="!!!",F2095="NEW"),"",INDEX(J$1:J2094,SUMPRODUCT(MAX(ROW(E$1:E2094)*(E2095=E$1:E2094)))))</f>
        <v> </v>
      </c>
      <c r="L2095" s="26"/>
    </row>
    <row r="2096" spans="1:12">
      <c r="A2096" s="20" t="s">
        <v>1199</v>
      </c>
      <c r="E2096" s="21">
        <f>IF(D2096="?OLD","!!!","")</f>
        <v/>
      </c>
      <c r="F2096" s="22" t="str">
        <f>IF(OR(E2096="",E2096="!!!"),"",IF(NOT(ISNA(VLOOKUP(E2096,E$1:E2095,1,FALSE()))),"OLD",IF(AND(E2096&lt;&gt;"",E2096&lt;&gt;"!!!"),"NEW","")))</f>
        <v> </v>
      </c>
      <c r="G2096" s="23" t="str">
        <f>IF(OR(E2096="",E2096="!!!"),"",IF(OR(J2096=0,AND(J2096=1,K2096=1),AND(J2096=1,I2096="SBJ"),AND(J2096=1,I2096=0)),"?IN_FOCUS",IF(J2096&lt;=2,"?ACTIVATED",IF(J2096&lt;&gt;"","?FAMILIAR",IF(F2096="NEW",IF(ISNA(VLOOKUP(E2096,#REF!,1,FALSE())),"?TYPE_IDENTIFIABLE","?REFERENTIAL"),"_")))))</f>
        <v> </v>
      </c>
      <c r="H2096" s="24" t="str">
        <f>IF(J2096&lt;&gt;1,"",IF(I2096="SBJ","CB","?"))</f>
        <v> </v>
      </c>
      <c r="I2096" s="25" t="str">
        <f>IF(OR(E2096="",E2096="!!!",F2096="NEW"),"",INDEX(B2095:B$2,-1+SUMPRODUCT(MAX(ROW(E2095:E$2)*(E2096=E2095:E$2)))))</f>
        <v> </v>
      </c>
      <c r="J2096" s="25" t="str">
        <f>IF(OR(E2096="",E2096="!!!",F2096="NEW"),"",COUNTBLANK(OFFSET(A$1,,,SUMPRODUCT(MAX(ROW(E$2:E2096)*(E2096=E$2:E2096)))))-COUNTBLANK(OFFSET(A$1,,,SUMPRODUCT(MAX(ROW(E$1:E2095)*(E2=E$1:E2095))))))</f>
        <v> </v>
      </c>
      <c r="K2096" s="25" t="str">
        <f>IF(OR(E2096="",E2096="!!!",F2096="NEW"),"",INDEX(J$1:J2095,SUMPRODUCT(MAX(ROW(E$1:E2095)*(E2096=E$1:E2095)))))</f>
        <v> </v>
      </c>
      <c r="L2096" s="26"/>
    </row>
    <row r="2097" spans="1:12">
      <c r="A2097" s="20" t="s">
        <v>1111</v>
      </c>
      <c r="E2097" s="21">
        <f>IF(D2097="?OLD","!!!","")</f>
        <v/>
      </c>
      <c r="F2097" s="22" t="str">
        <f>IF(OR(E2097="",E2097="!!!"),"",IF(NOT(ISNA(VLOOKUP(E2097,E$1:E2096,1,FALSE()))),"OLD",IF(AND(E2097&lt;&gt;"",E2097&lt;&gt;"!!!"),"NEW","")))</f>
        <v> </v>
      </c>
      <c r="G2097" s="23" t="str">
        <f>IF(OR(E2097="",E2097="!!!"),"",IF(OR(J2097=0,AND(J2097=1,K2097=1),AND(J2097=1,I2097="SBJ"),AND(J2097=1,I2097=0)),"?IN_FOCUS",IF(J2097&lt;=2,"?ACTIVATED",IF(J2097&lt;&gt;"","?FAMILIAR",IF(F2097="NEW",IF(ISNA(VLOOKUP(E2097,#REF!,1,FALSE())),"?TYPE_IDENTIFIABLE","?REFERENTIAL"),"_")))))</f>
        <v> </v>
      </c>
      <c r="H2097" s="24" t="str">
        <f>IF(J2097&lt;&gt;1,"",IF(I2097="SBJ","CB","?"))</f>
        <v> </v>
      </c>
      <c r="I2097" s="25" t="str">
        <f>IF(OR(E2097="",E2097="!!!",F2097="NEW"),"",INDEX(B2096:B$2,-1+SUMPRODUCT(MAX(ROW(E2096:E$2)*(E2097=E2096:E$2)))))</f>
        <v> </v>
      </c>
      <c r="J2097" s="25" t="str">
        <f>IF(OR(E2097="",E2097="!!!",F2097="NEW"),"",COUNTBLANK(OFFSET(A$1,,,SUMPRODUCT(MAX(ROW(E$2:E2097)*(E2097=E$2:E2097)))))-COUNTBLANK(OFFSET(A$1,,,SUMPRODUCT(MAX(ROW(E$1:E2096)*(E2=E$1:E2096))))))</f>
        <v> </v>
      </c>
      <c r="K2097" s="25" t="str">
        <f>IF(OR(E2097="",E2097="!!!",F2097="NEW"),"",INDEX(J$1:J2096,SUMPRODUCT(MAX(ROW(E$1:E2096)*(E2097=E$1:E2096)))))</f>
        <v> </v>
      </c>
      <c r="L2097" s="26"/>
    </row>
    <row r="2098" spans="1:12">
      <c r="A2098" s="20" t="s">
        <v>2163</v>
      </c>
      <c r="E2098" s="21">
        <f>IF(D2098="?OLD","!!!","")</f>
        <v/>
      </c>
      <c r="F2098" s="22" t="str">
        <f>IF(OR(E2098="",E2098="!!!"),"",IF(NOT(ISNA(VLOOKUP(E2098,E$1:E2097,1,FALSE()))),"OLD",IF(AND(E2098&lt;&gt;"",E2098&lt;&gt;"!!!"),"NEW","")))</f>
        <v> </v>
      </c>
      <c r="G2098" s="23" t="str">
        <f>IF(OR(E2098="",E2098="!!!"),"",IF(OR(J2098=0,AND(J2098=1,K2098=1),AND(J2098=1,I2098="SBJ"),AND(J2098=1,I2098=0)),"?IN_FOCUS",IF(J2098&lt;=2,"?ACTIVATED",IF(J2098&lt;&gt;"","?FAMILIAR",IF(F2098="NEW",IF(ISNA(VLOOKUP(E2098,#REF!,1,FALSE())),"?TYPE_IDENTIFIABLE","?REFERENTIAL"),"_")))))</f>
        <v> </v>
      </c>
      <c r="H2098" s="24" t="str">
        <f>IF(J2098&lt;&gt;1,"",IF(I2098="SBJ","CB","?"))</f>
        <v> </v>
      </c>
      <c r="I2098" s="25" t="str">
        <f>IF(OR(E2098="",E2098="!!!",F2098="NEW"),"",INDEX(B2097:B$2,-1+SUMPRODUCT(MAX(ROW(E2097:E$2)*(E2098=E2097:E$2)))))</f>
        <v> </v>
      </c>
      <c r="J2098" s="25" t="str">
        <f>IF(OR(E2098="",E2098="!!!",F2098="NEW"),"",COUNTBLANK(OFFSET(A$1,,,SUMPRODUCT(MAX(ROW(E$2:E2098)*(E2098=E$2:E2098)))))-COUNTBLANK(OFFSET(A$1,,,SUMPRODUCT(MAX(ROW(E$1:E2097)*(E2=E$1:E2097))))))</f>
        <v> </v>
      </c>
      <c r="K2098" s="25" t="str">
        <f>IF(OR(E2098="",E2098="!!!",F2098="NEW"),"",INDEX(J$1:J2097,SUMPRODUCT(MAX(ROW(E$1:E2097)*(E2098=E$1:E2097)))))</f>
        <v> </v>
      </c>
      <c r="L2098" s="26"/>
    </row>
    <row r="2099" spans="1:12">
      <c r="A2099" s="20" t="s">
        <v>763</v>
      </c>
      <c r="B2099" s="27" t="s">
        <v>1993</v>
      </c>
      <c r="E2099" s="21">
        <f>IF(D2099="?OLD","!!!","")</f>
        <v/>
      </c>
      <c r="F2099" s="22" t="str">
        <f>IF(OR(E2099="",E2099="!!!"),"",IF(NOT(ISNA(VLOOKUP(E2099,E$1:E2098,1,FALSE()))),"OLD",IF(AND(E2099&lt;&gt;"",E2099&lt;&gt;"!!!"),"NEW","")))</f>
        <v> </v>
      </c>
      <c r="G2099" s="23" t="str">
        <f>IF(OR(E2099="",E2099="!!!"),"",IF(OR(J2099=0,AND(J2099=1,K2099=1),AND(J2099=1,I2099="SBJ"),AND(J2099=1,I2099=0)),"?IN_FOCUS",IF(J2099&lt;=2,"?ACTIVATED",IF(J2099&lt;&gt;"","?FAMILIAR",IF(F2099="NEW",IF(ISNA(VLOOKUP(E2099,#REF!,1,FALSE())),"?TYPE_IDENTIFIABLE","?REFERENTIAL"),"_")))))</f>
        <v> </v>
      </c>
      <c r="H2099" s="24" t="str">
        <f>IF(J2099&lt;&gt;1,"",IF(I2099="SBJ","CB","?"))</f>
        <v> </v>
      </c>
      <c r="I2099" s="25" t="str">
        <f>IF(OR(E2099="",E2099="!!!",F2099="NEW"),"",INDEX(B2098:B$2,-1+SUMPRODUCT(MAX(ROW(E2098:E$2)*(E2099=E2098:E$2)))))</f>
        <v> </v>
      </c>
      <c r="J2099" s="25" t="str">
        <f>IF(OR(E2099="",E2099="!!!",F2099="NEW"),"",COUNTBLANK(OFFSET(A$1,,,SUMPRODUCT(MAX(ROW(E$2:E2099)*(E2099=E$2:E2099)))))-COUNTBLANK(OFFSET(A$1,,,SUMPRODUCT(MAX(ROW(E$1:E2098)*(E2=E$1:E2098))))))</f>
        <v> </v>
      </c>
      <c r="K2099" s="25" t="str">
        <f>IF(OR(E2099="",E2099="!!!",F2099="NEW"),"",INDEX(J$1:J2098,SUMPRODUCT(MAX(ROW(E$1:E2098)*(E2099=E$1:E2098)))))</f>
        <v> </v>
      </c>
      <c r="L2099" s="26"/>
    </row>
    <row r="2100" spans="1:12">
      <c r="A2100" s="20" t="s">
        <v>1309</v>
      </c>
      <c r="E2100" s="21">
        <f>IF(D2100="?OLD","!!!","")</f>
        <v/>
      </c>
      <c r="F2100" s="22" t="str">
        <f>IF(OR(E2100="",E2100="!!!"),"",IF(NOT(ISNA(VLOOKUP(E2100,E$1:E2099,1,FALSE()))),"OLD",IF(AND(E2100&lt;&gt;"",E2100&lt;&gt;"!!!"),"NEW","")))</f>
        <v> </v>
      </c>
      <c r="G2100" s="23" t="str">
        <f>IF(OR(E2100="",E2100="!!!"),"",IF(OR(J2100=0,AND(J2100=1,K2100=1),AND(J2100=1,I2100="SBJ"),AND(J2100=1,I2100=0)),"?IN_FOCUS",IF(J2100&lt;=2,"?ACTIVATED",IF(J2100&lt;&gt;"","?FAMILIAR",IF(F2100="NEW",IF(ISNA(VLOOKUP(E2100,#REF!,1,FALSE())),"?TYPE_IDENTIFIABLE","?REFERENTIAL"),"_")))))</f>
        <v> </v>
      </c>
      <c r="H2100" s="24" t="str">
        <f>IF(J2100&lt;&gt;1,"",IF(I2100="SBJ","CB","?"))</f>
        <v> </v>
      </c>
      <c r="I2100" s="25" t="str">
        <f>IF(OR(E2100="",E2100="!!!",F2100="NEW"),"",INDEX(B2099:B$2,-1+SUMPRODUCT(MAX(ROW(E2099:E$2)*(E2100=E2099:E$2)))))</f>
        <v> </v>
      </c>
      <c r="J2100" s="25" t="str">
        <f>IF(OR(E2100="",E2100="!!!",F2100="NEW"),"",COUNTBLANK(OFFSET(A$1,,,SUMPRODUCT(MAX(ROW(E$2:E2100)*(E2100=E$2:E2100)))))-COUNTBLANK(OFFSET(A$1,,,SUMPRODUCT(MAX(ROW(E$1:E2099)*(E2=E$1:E2099))))))</f>
        <v> </v>
      </c>
      <c r="K2100" s="25" t="str">
        <f>IF(OR(E2100="",E2100="!!!",F2100="NEW"),"",INDEX(J$1:J2099,SUMPRODUCT(MAX(ROW(E$1:E2099)*(E2100=E$1:E2099)))))</f>
        <v> </v>
      </c>
      <c r="L2100" s="26"/>
    </row>
    <row r="2101" spans="1:12">
      <c r="A2101" s="20" t="s">
        <v>2164</v>
      </c>
      <c r="E2101" s="21">
        <f>IF(D2101="?OLD","!!!","")</f>
        <v/>
      </c>
      <c r="F2101" s="22" t="str">
        <f>IF(OR(E2101="",E2101="!!!"),"",IF(NOT(ISNA(VLOOKUP(E2101,E$1:E2100,1,FALSE()))),"OLD",IF(AND(E2101&lt;&gt;"",E2101&lt;&gt;"!!!"),"NEW","")))</f>
        <v> </v>
      </c>
      <c r="G2101" s="23" t="str">
        <f>IF(OR(E2101="",E2101="!!!"),"",IF(OR(J2101=0,AND(J2101=1,K2101=1),AND(J2101=1,I2101="SBJ"),AND(J2101=1,I2101=0)),"?IN_FOCUS",IF(J2101&lt;=2,"?ACTIVATED",IF(J2101&lt;&gt;"","?FAMILIAR",IF(F2101="NEW",IF(ISNA(VLOOKUP(E2101,#REF!,1,FALSE())),"?TYPE_IDENTIFIABLE","?REFERENTIAL"),"_")))))</f>
        <v> </v>
      </c>
      <c r="H2101" s="24" t="str">
        <f>IF(J2101&lt;&gt;1,"",IF(I2101="SBJ","CB","?"))</f>
        <v> </v>
      </c>
      <c r="I2101" s="25" t="str">
        <f>IF(OR(E2101="",E2101="!!!",F2101="NEW"),"",INDEX(B2100:B$2,-1+SUMPRODUCT(MAX(ROW(E2100:E$2)*(E2101=E2100:E$2)))))</f>
        <v> </v>
      </c>
      <c r="J2101" s="25" t="str">
        <f>IF(OR(E2101="",E2101="!!!",F2101="NEW"),"",COUNTBLANK(OFFSET(A$1,,,SUMPRODUCT(MAX(ROW(E$2:E2101)*(E2101=E$2:E2101)))))-COUNTBLANK(OFFSET(A$1,,,SUMPRODUCT(MAX(ROW(E$1:E2100)*(E2=E$1:E2100))))))</f>
        <v> </v>
      </c>
      <c r="K2101" s="25" t="str">
        <f>IF(OR(E2101="",E2101="!!!",F2101="NEW"),"",INDEX(J$1:J2100,SUMPRODUCT(MAX(ROW(E$1:E2100)*(E2101=E$1:E2100)))))</f>
        <v> </v>
      </c>
      <c r="L2101" s="26"/>
    </row>
    <row r="2102" spans="1:12">
      <c r="A2102" s="20" t="s">
        <v>1145</v>
      </c>
      <c r="E2102" s="21">
        <f>IF(D2102="?OLD","!!!","")</f>
        <v/>
      </c>
      <c r="F2102" s="22" t="str">
        <f>IF(OR(E2102="",E2102="!!!"),"",IF(NOT(ISNA(VLOOKUP(E2102,E$1:E2101,1,FALSE()))),"OLD",IF(AND(E2102&lt;&gt;"",E2102&lt;&gt;"!!!"),"NEW","")))</f>
        <v> </v>
      </c>
      <c r="G2102" s="23" t="str">
        <f>IF(OR(E2102="",E2102="!!!"),"",IF(OR(J2102=0,AND(J2102=1,K2102=1),AND(J2102=1,I2102="SBJ"),AND(J2102=1,I2102=0)),"?IN_FOCUS",IF(J2102&lt;=2,"?ACTIVATED",IF(J2102&lt;&gt;"","?FAMILIAR",IF(F2102="NEW",IF(ISNA(VLOOKUP(E2102,#REF!,1,FALSE())),"?TYPE_IDENTIFIABLE","?REFERENTIAL"),"_")))))</f>
        <v> </v>
      </c>
      <c r="H2102" s="24" t="str">
        <f>IF(J2102&lt;&gt;1,"",IF(I2102="SBJ","CB","?"))</f>
        <v> </v>
      </c>
      <c r="I2102" s="25" t="str">
        <f>IF(OR(E2102="",E2102="!!!",F2102="NEW"),"",INDEX(B2101:B$2,-1+SUMPRODUCT(MAX(ROW(E2101:E$2)*(E2102=E2101:E$2)))))</f>
        <v> </v>
      </c>
      <c r="J2102" s="25" t="str">
        <f>IF(OR(E2102="",E2102="!!!",F2102="NEW"),"",COUNTBLANK(OFFSET(A$1,,,SUMPRODUCT(MAX(ROW(E$2:E2102)*(E2102=E$2:E2102)))))-COUNTBLANK(OFFSET(A$1,,,SUMPRODUCT(MAX(ROW(E$1:E2101)*(E2=E$1:E2101))))))</f>
        <v> </v>
      </c>
      <c r="K2102" s="25" t="str">
        <f>IF(OR(E2102="",E2102="!!!",F2102="NEW"),"",INDEX(J$1:J2101,SUMPRODUCT(MAX(ROW(E$1:E2101)*(E2102=E$1:E2101)))))</f>
        <v> </v>
      </c>
      <c r="L2102" s="26"/>
    </row>
    <row r="2103" spans="1:12">
      <c r="A2103" s="20"/>
    </row>
    <row r="2104" spans="1:12">
      <c r="A2104" s="20" t="s">
        <v>2165</v>
      </c>
    </row>
    <row r="2105" spans="1:12">
      <c r="A2105" s="20" t="s">
        <v>2166</v>
      </c>
      <c r="B2105" s="27" t="s">
        <v>1149</v>
      </c>
      <c r="E2105" s="21">
        <f>IF(D2105="?OLD","!!!","")</f>
        <v/>
      </c>
      <c r="F2105" s="22" t="str">
        <f>IF(OR(E2105="",E2105="!!!"),"",IF(NOT(ISNA(VLOOKUP(E2105,E$1:E2104,1,FALSE()))),"OLD",IF(AND(E2105&lt;&gt;"",E2105&lt;&gt;"!!!"),"NEW","")))</f>
        <v> </v>
      </c>
      <c r="G2105" s="23" t="str">
        <f>IF(OR(E2105="",E2105="!!!"),"",IF(OR(J2105=0,AND(J2105=1,K2105=1),AND(J2105=1,I2105="SBJ"),AND(J2105=1,I2105=0)),"?IN_FOCUS",IF(J2105&lt;=2,"?ACTIVATED",IF(J2105&lt;&gt;"","?FAMILIAR",IF(F2105="NEW",IF(ISNA(VLOOKUP(E2105,#REF!,1,FALSE())),"?TYPE_IDENTIFIABLE","?REFERENTIAL"),"_")))))</f>
        <v> </v>
      </c>
      <c r="H2105" s="24" t="str">
        <f>IF(J2105&lt;&gt;1,"",IF(I2105="SBJ","CB","?"))</f>
        <v> </v>
      </c>
      <c r="I2105" s="25" t="str">
        <f>IF(OR(E2105="",E2105="!!!",F2105="NEW"),"",INDEX(B2104:B$2,-1+SUMPRODUCT(MAX(ROW(E2104:E$2)*(E2105=E2104:E$2)))))</f>
        <v> </v>
      </c>
      <c r="J2105" s="25" t="str">
        <f>IF(OR(E2105="",E2105="!!!",F2105="NEW"),"",COUNTBLANK(OFFSET(A$1,,,SUMPRODUCT(MAX(ROW(E$2:E2105)*(E2105=E$2:E2105)))))-COUNTBLANK(OFFSET(A$1,,,SUMPRODUCT(MAX(ROW(E$1:E2104)*(E2=E$1:E2104))))))</f>
        <v> </v>
      </c>
      <c r="K2105" s="25" t="str">
        <f>IF(OR(E2105="",E2105="!!!",F2105="NEW"),"",INDEX(J$1:J2104,SUMPRODUCT(MAX(ROW(E$1:E2104)*(E2105=E$1:E2104)))))</f>
        <v> </v>
      </c>
      <c r="L2105" s="26"/>
    </row>
    <row r="2106" spans="1:12">
      <c r="A2106" s="20" t="s">
        <v>1506</v>
      </c>
      <c r="B2106" s="27" t="s">
        <v>1107</v>
      </c>
      <c r="C2106" s="27" t="s">
        <v>1108</v>
      </c>
      <c r="D2106" s="27" t="s">
        <v>1105</v>
      </c>
      <c r="E2106" s="21">
        <f>IF(D2106="?OLD","!!!","")</f>
        <v/>
      </c>
      <c r="F2106" s="22" t="str">
        <f>IF(OR(E2106="",E2106="!!!"),"",IF(NOT(ISNA(VLOOKUP(E2106,E$1:E2105,1,FALSE()))),"OLD",IF(AND(E2106&lt;&gt;"",E2106&lt;&gt;"!!!"),"NEW","")))</f>
        <v> </v>
      </c>
      <c r="G2106" s="23" t="str">
        <f>IF(OR(E2106="",E2106="!!!"),"",IF(OR(J2106=0,AND(J2106=1,K2106=1),AND(J2106=1,I2106="SBJ"),AND(J2106=1,I2106=0)),"?IN_FOCUS",IF(J2106&lt;=2,"?ACTIVATED",IF(J2106&lt;&gt;"","?FAMILIAR",IF(F2106="NEW",IF(ISNA(VLOOKUP(E2106,#REF!,1,FALSE())),"?TYPE_IDENTIFIABLE","?REFERENTIAL"),"_")))))</f>
        <v> </v>
      </c>
      <c r="H2106" s="24" t="str">
        <f>IF(J2106&lt;&gt;1,"",IF(I2106="SBJ","CB","?"))</f>
        <v> </v>
      </c>
      <c r="I2106" s="25" t="str">
        <f>IF(OR(E2106="",E2106="!!!",F2106="NEW"),"",INDEX(B2105:B$2,-1+SUMPRODUCT(MAX(ROW(E2105:E$2)*(E2106=E2105:E$2)))))</f>
        <v> </v>
      </c>
      <c r="J2106" s="25" t="str">
        <f>IF(OR(E2106="",E2106="!!!",F2106="NEW"),"",COUNTBLANK(OFFSET(A$1,,,SUMPRODUCT(MAX(ROW(E$2:E2106)*(E2106=E$2:E2106)))))-COUNTBLANK(OFFSET(A$1,,,SUMPRODUCT(MAX(ROW(E$1:E2105)*(E2=E$1:E2105))))))</f>
        <v> </v>
      </c>
      <c r="K2106" s="25" t="str">
        <f>IF(OR(E2106="",E2106="!!!",F2106="NEW"),"",INDEX(J$1:J2105,SUMPRODUCT(MAX(ROW(E$1:E2105)*(E2106=E$1:E2105)))))</f>
        <v> </v>
      </c>
      <c r="L2106" s="26"/>
    </row>
    <row r="2107" spans="1:12">
      <c r="A2107" s="20" t="s">
        <v>2167</v>
      </c>
      <c r="E2107" s="21">
        <f>IF(D2107="?OLD","!!!","")</f>
        <v/>
      </c>
      <c r="F2107" s="22" t="str">
        <f>IF(OR(E2107="",E2107="!!!"),"",IF(NOT(ISNA(VLOOKUP(E2107,E$1:E2106,1,FALSE()))),"OLD",IF(AND(E2107&lt;&gt;"",E2107&lt;&gt;"!!!"),"NEW","")))</f>
        <v> </v>
      </c>
      <c r="G2107" s="23" t="str">
        <f>IF(OR(E2107="",E2107="!!!"),"",IF(OR(J2107=0,AND(J2107=1,K2107=1),AND(J2107=1,I2107="SBJ"),AND(J2107=1,I2107=0)),"?IN_FOCUS",IF(J2107&lt;=2,"?ACTIVATED",IF(J2107&lt;&gt;"","?FAMILIAR",IF(F2107="NEW",IF(ISNA(VLOOKUP(E2107,#REF!,1,FALSE())),"?TYPE_IDENTIFIABLE","?REFERENTIAL"),"_")))))</f>
        <v> </v>
      </c>
      <c r="H2107" s="24" t="str">
        <f>IF(J2107&lt;&gt;1,"",IF(I2107="SBJ","CB","?"))</f>
        <v> </v>
      </c>
      <c r="I2107" s="25" t="str">
        <f>IF(OR(E2107="",E2107="!!!",F2107="NEW"),"",INDEX(B2106:B$2,-1+SUMPRODUCT(MAX(ROW(E2106:E$2)*(E2107=E2106:E$2)))))</f>
        <v> </v>
      </c>
      <c r="J2107" s="25" t="str">
        <f>IF(OR(E2107="",E2107="!!!",F2107="NEW"),"",COUNTBLANK(OFFSET(A$1,,,SUMPRODUCT(MAX(ROW(E$2:E2107)*(E2107=E$2:E2107)))))-COUNTBLANK(OFFSET(A$1,,,SUMPRODUCT(MAX(ROW(E$1:E2106)*(E2=E$1:E2106))))))</f>
        <v> </v>
      </c>
      <c r="K2107" s="25" t="str">
        <f>IF(OR(E2107="",E2107="!!!",F2107="NEW"),"",INDEX(J$1:J2106,SUMPRODUCT(MAX(ROW(E$1:E2106)*(E2107=E$1:E2106)))))</f>
        <v> </v>
      </c>
      <c r="L2107" s="26"/>
    </row>
    <row r="2108" spans="1:12">
      <c r="A2108" s="20" t="s">
        <v>1169</v>
      </c>
      <c r="E2108" s="21">
        <f>IF(D2108="?OLD","!!!","")</f>
        <v/>
      </c>
      <c r="F2108" s="22" t="str">
        <f>IF(OR(E2108="",E2108="!!!"),"",IF(NOT(ISNA(VLOOKUP(E2108,E$1:E2107,1,FALSE()))),"OLD",IF(AND(E2108&lt;&gt;"",E2108&lt;&gt;"!!!"),"NEW","")))</f>
        <v> </v>
      </c>
      <c r="G2108" s="23" t="str">
        <f>IF(OR(E2108="",E2108="!!!"),"",IF(OR(J2108=0,AND(J2108=1,K2108=1),AND(J2108=1,I2108="SBJ"),AND(J2108=1,I2108=0)),"?IN_FOCUS",IF(J2108&lt;=2,"?ACTIVATED",IF(J2108&lt;&gt;"","?FAMILIAR",IF(F2108="NEW",IF(ISNA(VLOOKUP(E2108,#REF!,1,FALSE())),"?TYPE_IDENTIFIABLE","?REFERENTIAL"),"_")))))</f>
        <v> </v>
      </c>
      <c r="H2108" s="24" t="str">
        <f>IF(J2108&lt;&gt;1,"",IF(I2108="SBJ","CB","?"))</f>
        <v> </v>
      </c>
      <c r="I2108" s="25" t="str">
        <f>IF(OR(E2108="",E2108="!!!",F2108="NEW"),"",INDEX(B2107:B$2,-1+SUMPRODUCT(MAX(ROW(E2107:E$2)*(E2108=E2107:E$2)))))</f>
        <v> </v>
      </c>
      <c r="J2108" s="25" t="str">
        <f>IF(OR(E2108="",E2108="!!!",F2108="NEW"),"",COUNTBLANK(OFFSET(A$1,,,SUMPRODUCT(MAX(ROW(E$2:E2108)*(E2108=E$2:E2108)))))-COUNTBLANK(OFFSET(A$1,,,SUMPRODUCT(MAX(ROW(E$1:E2107)*(E2=E$1:E2107))))))</f>
        <v> </v>
      </c>
      <c r="K2108" s="25" t="str">
        <f>IF(OR(E2108="",E2108="!!!",F2108="NEW"),"",INDEX(J$1:J2107,SUMPRODUCT(MAX(ROW(E$1:E2107)*(E2108=E$1:E2107)))))</f>
        <v> </v>
      </c>
      <c r="L2108" s="26"/>
    </row>
    <row r="2109" spans="1:12">
      <c r="A2109" s="20" t="s">
        <v>2168</v>
      </c>
      <c r="E2109" s="21">
        <f>IF(D2109="?OLD","!!!","")</f>
        <v/>
      </c>
      <c r="F2109" s="22" t="str">
        <f>IF(OR(E2109="",E2109="!!!"),"",IF(NOT(ISNA(VLOOKUP(E2109,E$1:E2108,1,FALSE()))),"OLD",IF(AND(E2109&lt;&gt;"",E2109&lt;&gt;"!!!"),"NEW","")))</f>
        <v> </v>
      </c>
      <c r="G2109" s="23" t="str">
        <f>IF(OR(E2109="",E2109="!!!"),"",IF(OR(J2109=0,AND(J2109=1,K2109=1),AND(J2109=1,I2109="SBJ"),AND(J2109=1,I2109=0)),"?IN_FOCUS",IF(J2109&lt;=2,"?ACTIVATED",IF(J2109&lt;&gt;"","?FAMILIAR",IF(F2109="NEW",IF(ISNA(VLOOKUP(E2109,#REF!,1,FALSE())),"?TYPE_IDENTIFIABLE","?REFERENTIAL"),"_")))))</f>
        <v> </v>
      </c>
      <c r="H2109" s="24" t="str">
        <f>IF(J2109&lt;&gt;1,"",IF(I2109="SBJ","CB","?"))</f>
        <v> </v>
      </c>
      <c r="I2109" s="25" t="str">
        <f>IF(OR(E2109="",E2109="!!!",F2109="NEW"),"",INDEX(B2108:B$2,-1+SUMPRODUCT(MAX(ROW(E2108:E$2)*(E2109=E2108:E$2)))))</f>
        <v> </v>
      </c>
      <c r="J2109" s="25" t="str">
        <f>IF(OR(E2109="",E2109="!!!",F2109="NEW"),"",COUNTBLANK(OFFSET(A$1,,,SUMPRODUCT(MAX(ROW(E$2:E2109)*(E2109=E$2:E2109)))))-COUNTBLANK(OFFSET(A$1,,,SUMPRODUCT(MAX(ROW(E$1:E2108)*(E2=E$1:E2108))))))</f>
        <v> </v>
      </c>
      <c r="K2109" s="25" t="str">
        <f>IF(OR(E2109="",E2109="!!!",F2109="NEW"),"",INDEX(J$1:J2108,SUMPRODUCT(MAX(ROW(E$1:E2108)*(E2109=E$1:E2108)))))</f>
        <v> </v>
      </c>
      <c r="L2109" s="26"/>
    </row>
    <row r="2110" spans="1:12">
      <c r="A2110" s="20" t="s">
        <v>1475</v>
      </c>
      <c r="E2110" s="21">
        <f>IF(D2110="?OLD","!!!","")</f>
        <v/>
      </c>
      <c r="F2110" s="22" t="str">
        <f>IF(OR(E2110="",E2110="!!!"),"",IF(NOT(ISNA(VLOOKUP(E2110,E$1:E2109,1,FALSE()))),"OLD",IF(AND(E2110&lt;&gt;"",E2110&lt;&gt;"!!!"),"NEW","")))</f>
        <v> </v>
      </c>
      <c r="G2110" s="23" t="str">
        <f>IF(OR(E2110="",E2110="!!!"),"",IF(OR(J2110=0,AND(J2110=1,K2110=1),AND(J2110=1,I2110="SBJ"),AND(J2110=1,I2110=0)),"?IN_FOCUS",IF(J2110&lt;=2,"?ACTIVATED",IF(J2110&lt;&gt;"","?FAMILIAR",IF(F2110="NEW",IF(ISNA(VLOOKUP(E2110,#REF!,1,FALSE())),"?TYPE_IDENTIFIABLE","?REFERENTIAL"),"_")))))</f>
        <v> </v>
      </c>
      <c r="H2110" s="24" t="str">
        <f>IF(J2110&lt;&gt;1,"",IF(I2110="SBJ","CB","?"))</f>
        <v> </v>
      </c>
      <c r="I2110" s="25" t="str">
        <f>IF(OR(E2110="",E2110="!!!",F2110="NEW"),"",INDEX(B2109:B$2,-1+SUMPRODUCT(MAX(ROW(E2109:E$2)*(E2110=E2109:E$2)))))</f>
        <v> </v>
      </c>
      <c r="J2110" s="25" t="str">
        <f>IF(OR(E2110="",E2110="!!!",F2110="NEW"),"",COUNTBLANK(OFFSET(A$1,,,SUMPRODUCT(MAX(ROW(E$2:E2110)*(E2110=E$2:E2110)))))-COUNTBLANK(OFFSET(A$1,,,SUMPRODUCT(MAX(ROW(E$1:E2109)*(E2=E$1:E2109))))))</f>
        <v> </v>
      </c>
      <c r="K2110" s="25" t="str">
        <f>IF(OR(E2110="",E2110="!!!",F2110="NEW"),"",INDEX(J$1:J2109,SUMPRODUCT(MAX(ROW(E$1:E2109)*(E2110=E$1:E2109)))))</f>
        <v> </v>
      </c>
      <c r="L2110" s="26"/>
    </row>
    <row r="2111" spans="1:12">
      <c r="A2111" s="20" t="s">
        <v>1123</v>
      </c>
      <c r="E2111" s="21">
        <f>IF(D2111="?OLD","!!!","")</f>
        <v/>
      </c>
      <c r="F2111" s="22" t="str">
        <f>IF(OR(E2111="",E2111="!!!"),"",IF(NOT(ISNA(VLOOKUP(E2111,E$1:E2110,1,FALSE()))),"OLD",IF(AND(E2111&lt;&gt;"",E2111&lt;&gt;"!!!"),"NEW","")))</f>
        <v> </v>
      </c>
      <c r="G2111" s="23" t="str">
        <f>IF(OR(E2111="",E2111="!!!"),"",IF(OR(J2111=0,AND(J2111=1,K2111=1),AND(J2111=1,I2111="SBJ"),AND(J2111=1,I2111=0)),"?IN_FOCUS",IF(J2111&lt;=2,"?ACTIVATED",IF(J2111&lt;&gt;"","?FAMILIAR",IF(F2111="NEW",IF(ISNA(VLOOKUP(E2111,#REF!,1,FALSE())),"?TYPE_IDENTIFIABLE","?REFERENTIAL"),"_")))))</f>
        <v> </v>
      </c>
      <c r="H2111" s="24" t="str">
        <f>IF(J2111&lt;&gt;1,"",IF(I2111="SBJ","CB","?"))</f>
        <v> </v>
      </c>
      <c r="I2111" s="25" t="str">
        <f>IF(OR(E2111="",E2111="!!!",F2111="NEW"),"",INDEX(B2110:B$2,-1+SUMPRODUCT(MAX(ROW(E2110:E$2)*(E2111=E2110:E$2)))))</f>
        <v> </v>
      </c>
      <c r="J2111" s="25" t="str">
        <f>IF(OR(E2111="",E2111="!!!",F2111="NEW"),"",COUNTBLANK(OFFSET(A$1,,,SUMPRODUCT(MAX(ROW(E$2:E2111)*(E2111=E$2:E2111)))))-COUNTBLANK(OFFSET(A$1,,,SUMPRODUCT(MAX(ROW(E$1:E2110)*(E2=E$1:E2110))))))</f>
        <v> </v>
      </c>
      <c r="K2111" s="25" t="str">
        <f>IF(OR(E2111="",E2111="!!!",F2111="NEW"),"",INDEX(J$1:J2110,SUMPRODUCT(MAX(ROW(E$1:E2110)*(E2111=E$1:E2110)))))</f>
        <v> </v>
      </c>
      <c r="L2111" s="26"/>
    </row>
    <row r="2112" spans="1:12">
      <c r="A2112" s="20" t="s">
        <v>228</v>
      </c>
      <c r="E2112" s="21">
        <f>IF(D2112="?OLD","!!!","")</f>
        <v/>
      </c>
      <c r="F2112" s="22" t="str">
        <f>IF(OR(E2112="",E2112="!!!"),"",IF(NOT(ISNA(VLOOKUP(E2112,E$1:E2111,1,FALSE()))),"OLD",IF(AND(E2112&lt;&gt;"",E2112&lt;&gt;"!!!"),"NEW","")))</f>
        <v> </v>
      </c>
      <c r="G2112" s="23" t="str">
        <f>IF(OR(E2112="",E2112="!!!"),"",IF(OR(J2112=0,AND(J2112=1,K2112=1),AND(J2112=1,I2112="SBJ"),AND(J2112=1,I2112=0)),"?IN_FOCUS",IF(J2112&lt;=2,"?ACTIVATED",IF(J2112&lt;&gt;"","?FAMILIAR",IF(F2112="NEW",IF(ISNA(VLOOKUP(E2112,#REF!,1,FALSE())),"?TYPE_IDENTIFIABLE","?REFERENTIAL"),"_")))))</f>
        <v> </v>
      </c>
      <c r="H2112" s="24" t="str">
        <f>IF(J2112&lt;&gt;1,"",IF(I2112="SBJ","CB","?"))</f>
        <v> </v>
      </c>
      <c r="I2112" s="25" t="str">
        <f>IF(OR(E2112="",E2112="!!!",F2112="NEW"),"",INDEX(B2111:B$2,-1+SUMPRODUCT(MAX(ROW(E2111:E$2)*(E2112=E2111:E$2)))))</f>
        <v> </v>
      </c>
      <c r="J2112" s="25" t="str">
        <f>IF(OR(E2112="",E2112="!!!",F2112="NEW"),"",COUNTBLANK(OFFSET(A$1,,,SUMPRODUCT(MAX(ROW(E$2:E2112)*(E2112=E$2:E2112)))))-COUNTBLANK(OFFSET(A$1,,,SUMPRODUCT(MAX(ROW(E$1:E2111)*(E2=E$1:E2111))))))</f>
        <v> </v>
      </c>
      <c r="K2112" s="25" t="str">
        <f>IF(OR(E2112="",E2112="!!!",F2112="NEW"),"",INDEX(J$1:J2111,SUMPRODUCT(MAX(ROW(E$1:E2111)*(E2112=E$1:E2111)))))</f>
        <v> </v>
      </c>
      <c r="L2112" s="26"/>
    </row>
    <row r="2113" spans="1:12">
      <c r="A2113" s="20" t="s">
        <v>1617</v>
      </c>
      <c r="B2113" s="27" t="s">
        <v>1259</v>
      </c>
      <c r="C2113" s="27" t="s">
        <v>1126</v>
      </c>
      <c r="D2113" s="27" t="s">
        <v>1105</v>
      </c>
      <c r="E2113" s="21">
        <f>IF(D2113="?OLD","!!!","")</f>
        <v/>
      </c>
      <c r="F2113" s="22" t="str">
        <f>IF(OR(E2113="",E2113="!!!"),"",IF(NOT(ISNA(VLOOKUP(E2113,E$1:E2112,1,FALSE()))),"OLD",IF(AND(E2113&lt;&gt;"",E2113&lt;&gt;"!!!"),"NEW","")))</f>
        <v> </v>
      </c>
      <c r="G2113" s="23" t="str">
        <f>IF(OR(E2113="",E2113="!!!"),"",IF(OR(J2113=0,AND(J2113=1,K2113=1),AND(J2113=1,I2113="SBJ"),AND(J2113=1,I2113=0)),"?IN_FOCUS",IF(J2113&lt;=2,"?ACTIVATED",IF(J2113&lt;&gt;"","?FAMILIAR",IF(F2113="NEW",IF(ISNA(VLOOKUP(E2113,#REF!,1,FALSE())),"?TYPE_IDENTIFIABLE","?REFERENTIAL"),"_")))))</f>
        <v> </v>
      </c>
      <c r="H2113" s="24" t="str">
        <f>IF(J2113&lt;&gt;1,"",IF(I2113="SBJ","CB","?"))</f>
        <v> </v>
      </c>
      <c r="I2113" s="25" t="str">
        <f>IF(OR(E2113="",E2113="!!!",F2113="NEW"),"",INDEX(B2112:B$2,-1+SUMPRODUCT(MAX(ROW(E2112:E$2)*(E2113=E2112:E$2)))))</f>
        <v> </v>
      </c>
      <c r="J2113" s="25" t="str">
        <f>IF(OR(E2113="",E2113="!!!",F2113="NEW"),"",COUNTBLANK(OFFSET(A$1,,,SUMPRODUCT(MAX(ROW(E$2:E2113)*(E2113=E$2:E2113)))))-COUNTBLANK(OFFSET(A$1,,,SUMPRODUCT(MAX(ROW(E$1:E2112)*(E2=E$1:E2112))))))</f>
        <v> </v>
      </c>
      <c r="K2113" s="25" t="str">
        <f>IF(OR(E2113="",E2113="!!!",F2113="NEW"),"",INDEX(J$1:J2112,SUMPRODUCT(MAX(ROW(E$1:E2112)*(E2113=E$1:E2112)))))</f>
        <v> </v>
      </c>
      <c r="L2113" s="26"/>
    </row>
    <row r="2114" spans="1:12">
      <c r="A2114" s="20" t="s">
        <v>2169</v>
      </c>
      <c r="E2114" s="21">
        <f>IF(D2114="?OLD","!!!","")</f>
        <v/>
      </c>
      <c r="F2114" s="22" t="str">
        <f>IF(OR(E2114="",E2114="!!!"),"",IF(NOT(ISNA(VLOOKUP(E2114,E$1:E2113,1,FALSE()))),"OLD",IF(AND(E2114&lt;&gt;"",E2114&lt;&gt;"!!!"),"NEW","")))</f>
        <v> </v>
      </c>
      <c r="G2114" s="23" t="str">
        <f>IF(OR(E2114="",E2114="!!!"),"",IF(OR(J2114=0,AND(J2114=1,K2114=1),AND(J2114=1,I2114="SBJ"),AND(J2114=1,I2114=0)),"?IN_FOCUS",IF(J2114&lt;=2,"?ACTIVATED",IF(J2114&lt;&gt;"","?FAMILIAR",IF(F2114="NEW",IF(ISNA(VLOOKUP(E2114,#REF!,1,FALSE())),"?TYPE_IDENTIFIABLE","?REFERENTIAL"),"_")))))</f>
        <v> </v>
      </c>
      <c r="H2114" s="24" t="str">
        <f>IF(J2114&lt;&gt;1,"",IF(I2114="SBJ","CB","?"))</f>
        <v> </v>
      </c>
      <c r="I2114" s="25" t="str">
        <f>IF(OR(E2114="",E2114="!!!",F2114="NEW"),"",INDEX(B2113:B$2,-1+SUMPRODUCT(MAX(ROW(E2113:E$2)*(E2114=E2113:E$2)))))</f>
        <v> </v>
      </c>
      <c r="J2114" s="25" t="str">
        <f>IF(OR(E2114="",E2114="!!!",F2114="NEW"),"",COUNTBLANK(OFFSET(A$1,,,SUMPRODUCT(MAX(ROW(E$2:E2114)*(E2114=E$2:E2114)))))-COUNTBLANK(OFFSET(A$1,,,SUMPRODUCT(MAX(ROW(E$1:E2113)*(E2=E$1:E2113))))))</f>
        <v> </v>
      </c>
      <c r="K2114" s="25" t="str">
        <f>IF(OR(E2114="",E2114="!!!",F2114="NEW"),"",INDEX(J$1:J2113,SUMPRODUCT(MAX(ROW(E$1:E2113)*(E2114=E$1:E2113)))))</f>
        <v> </v>
      </c>
      <c r="L2114" s="26"/>
    </row>
    <row r="2115" spans="1:12">
      <c r="A2115" s="20" t="s">
        <v>1186</v>
      </c>
      <c r="B2115" s="27" t="s">
        <v>1115</v>
      </c>
      <c r="C2115" s="27" t="s">
        <v>1126</v>
      </c>
      <c r="D2115" s="27" t="s">
        <v>1105</v>
      </c>
      <c r="E2115" s="21">
        <f>IF(D2115="?OLD","!!!","")</f>
        <v/>
      </c>
      <c r="F2115" s="22" t="str">
        <f>IF(OR(E2115="",E2115="!!!"),"",IF(NOT(ISNA(VLOOKUP(E2115,E$1:E2114,1,FALSE()))),"OLD",IF(AND(E2115&lt;&gt;"",E2115&lt;&gt;"!!!"),"NEW","")))</f>
        <v> </v>
      </c>
      <c r="G2115" s="23" t="str">
        <f>IF(OR(E2115="",E2115="!!!"),"",IF(OR(J2115=0,AND(J2115=1,K2115=1),AND(J2115=1,I2115="SBJ"),AND(J2115=1,I2115=0)),"?IN_FOCUS",IF(J2115&lt;=2,"?ACTIVATED",IF(J2115&lt;&gt;"","?FAMILIAR",IF(F2115="NEW",IF(ISNA(VLOOKUP(E2115,#REF!,1,FALSE())),"?TYPE_IDENTIFIABLE","?REFERENTIAL"),"_")))))</f>
        <v> </v>
      </c>
      <c r="H2115" s="24" t="str">
        <f>IF(J2115&lt;&gt;1,"",IF(I2115="SBJ","CB","?"))</f>
        <v> </v>
      </c>
      <c r="I2115" s="25" t="str">
        <f>IF(OR(E2115="",E2115="!!!",F2115="NEW"),"",INDEX(B2114:B$2,-1+SUMPRODUCT(MAX(ROW(E2114:E$2)*(E2115=E2114:E$2)))))</f>
        <v> </v>
      </c>
      <c r="J2115" s="25" t="str">
        <f>IF(OR(E2115="",E2115="!!!",F2115="NEW"),"",COUNTBLANK(OFFSET(A$1,,,SUMPRODUCT(MAX(ROW(E$2:E2115)*(E2115=E$2:E2115)))))-COUNTBLANK(OFFSET(A$1,,,SUMPRODUCT(MAX(ROW(E$1:E2114)*(E2=E$1:E2114))))))</f>
        <v> </v>
      </c>
      <c r="K2115" s="25" t="str">
        <f>IF(OR(E2115="",E2115="!!!",F2115="NEW"),"",INDEX(J$1:J2114,SUMPRODUCT(MAX(ROW(E$1:E2114)*(E2115=E$1:E2114)))))</f>
        <v> </v>
      </c>
      <c r="L2115" s="26"/>
    </row>
    <row r="2116" spans="1:12">
      <c r="A2116" s="20" t="s">
        <v>1145</v>
      </c>
      <c r="E2116" s="21">
        <f>IF(D2116="?OLD","!!!","")</f>
        <v/>
      </c>
      <c r="F2116" s="22" t="str">
        <f>IF(OR(E2116="",E2116="!!!"),"",IF(NOT(ISNA(VLOOKUP(E2116,E$1:E2115,1,FALSE()))),"OLD",IF(AND(E2116&lt;&gt;"",E2116&lt;&gt;"!!!"),"NEW","")))</f>
        <v> </v>
      </c>
      <c r="G2116" s="23" t="str">
        <f>IF(OR(E2116="",E2116="!!!"),"",IF(OR(J2116=0,AND(J2116=1,K2116=1),AND(J2116=1,I2116="SBJ"),AND(J2116=1,I2116=0)),"?IN_FOCUS",IF(J2116&lt;=2,"?ACTIVATED",IF(J2116&lt;&gt;"","?FAMILIAR",IF(F2116="NEW",IF(ISNA(VLOOKUP(E2116,#REF!,1,FALSE())),"?TYPE_IDENTIFIABLE","?REFERENTIAL"),"_")))))</f>
        <v> </v>
      </c>
      <c r="H2116" s="24" t="str">
        <f>IF(J2116&lt;&gt;1,"",IF(I2116="SBJ","CB","?"))</f>
        <v> </v>
      </c>
      <c r="I2116" s="25" t="str">
        <f>IF(OR(E2116="",E2116="!!!",F2116="NEW"),"",INDEX(B2115:B$2,-1+SUMPRODUCT(MAX(ROW(E2115:E$2)*(E2116=E2115:E$2)))))</f>
        <v> </v>
      </c>
      <c r="J2116" s="25" t="str">
        <f>IF(OR(E2116="",E2116="!!!",F2116="NEW"),"",COUNTBLANK(OFFSET(A$1,,,SUMPRODUCT(MAX(ROW(E$2:E2116)*(E2116=E$2:E2116)))))-COUNTBLANK(OFFSET(A$1,,,SUMPRODUCT(MAX(ROW(E$1:E2115)*(E2=E$1:E2115))))))</f>
        <v> </v>
      </c>
      <c r="K2116" s="25" t="str">
        <f>IF(OR(E2116="",E2116="!!!",F2116="NEW"),"",INDEX(J$1:J2115,SUMPRODUCT(MAX(ROW(E$1:E2115)*(E2116=E$1:E2115)))))</f>
        <v> </v>
      </c>
      <c r="L2116" s="26"/>
    </row>
    <row r="2117" spans="1:12">
      <c r="A2117" s="20"/>
    </row>
    <row r="2118" spans="1:12">
      <c r="A2118" s="20" t="s">
        <v>2170</v>
      </c>
    </row>
    <row r="2119" spans="1:12">
      <c r="A2119" s="20" t="s">
        <v>1353</v>
      </c>
      <c r="B2119" s="27" t="s">
        <v>1149</v>
      </c>
      <c r="C2119" s="27" t="s">
        <v>1126</v>
      </c>
      <c r="D2119" s="27" t="s">
        <v>1105</v>
      </c>
      <c r="E2119" s="21">
        <f>IF(D2119="?OLD","!!!","")</f>
        <v/>
      </c>
      <c r="F2119" s="22" t="str">
        <f>IF(OR(E2119="",E2119="!!!"),"",IF(NOT(ISNA(VLOOKUP(E2119,E$1:E2118,1,FALSE()))),"OLD",IF(AND(E2119&lt;&gt;"",E2119&lt;&gt;"!!!"),"NEW","")))</f>
        <v> </v>
      </c>
      <c r="G2119" s="23" t="str">
        <f>IF(OR(E2119="",E2119="!!!"),"",IF(OR(J2119=0,AND(J2119=1,K2119=1),AND(J2119=1,I2119="SBJ"),AND(J2119=1,I2119=0)),"?IN_FOCUS",IF(J2119&lt;=2,"?ACTIVATED",IF(J2119&lt;&gt;"","?FAMILIAR",IF(F2119="NEW",IF(ISNA(VLOOKUP(E2119,#REF!,1,FALSE())),"?TYPE_IDENTIFIABLE","?REFERENTIAL"),"_")))))</f>
        <v> </v>
      </c>
      <c r="H2119" s="24" t="str">
        <f>IF(J2119&lt;&gt;1,"",IF(I2119="SBJ","CB","?"))</f>
        <v> </v>
      </c>
      <c r="I2119" s="25" t="str">
        <f>IF(OR(E2119="",E2119="!!!",F2119="NEW"),"",INDEX(B2118:B$2,-1+SUMPRODUCT(MAX(ROW(E2118:E$2)*(E2119=E2118:E$2)))))</f>
        <v> </v>
      </c>
      <c r="J2119" s="25" t="str">
        <f>IF(OR(E2119="",E2119="!!!",F2119="NEW"),"",COUNTBLANK(OFFSET(A$1,,,SUMPRODUCT(MAX(ROW(E$2:E2119)*(E2119=E$2:E2119)))))-COUNTBLANK(OFFSET(A$1,,,SUMPRODUCT(MAX(ROW(E$1:E2118)*(E2=E$1:E2118))))))</f>
        <v> </v>
      </c>
      <c r="K2119" s="25" t="str">
        <f>IF(OR(E2119="",E2119="!!!",F2119="NEW"),"",INDEX(J$1:J2118,SUMPRODUCT(MAX(ROW(E$1:E2118)*(E2119=E$1:E2118)))))</f>
        <v> </v>
      </c>
      <c r="L2119" s="26"/>
    </row>
    <row r="2120" spans="1:12">
      <c r="A2120" s="20" t="s">
        <v>2171</v>
      </c>
      <c r="E2120" s="21">
        <f>IF(D2120="?OLD","!!!","")</f>
        <v/>
      </c>
      <c r="F2120" s="22" t="str">
        <f>IF(OR(E2120="",E2120="!!!"),"",IF(NOT(ISNA(VLOOKUP(E2120,E$1:E2119,1,FALSE()))),"OLD",IF(AND(E2120&lt;&gt;"",E2120&lt;&gt;"!!!"),"NEW","")))</f>
        <v> </v>
      </c>
      <c r="G2120" s="23" t="str">
        <f>IF(OR(E2120="",E2120="!!!"),"",IF(OR(J2120=0,AND(J2120=1,K2120=1),AND(J2120=1,I2120="SBJ"),AND(J2120=1,I2120=0)),"?IN_FOCUS",IF(J2120&lt;=2,"?ACTIVATED",IF(J2120&lt;&gt;"","?FAMILIAR",IF(F2120="NEW",IF(ISNA(VLOOKUP(E2120,#REF!,1,FALSE())),"?TYPE_IDENTIFIABLE","?REFERENTIAL"),"_")))))</f>
        <v> </v>
      </c>
      <c r="H2120" s="24" t="str">
        <f>IF(J2120&lt;&gt;1,"",IF(I2120="SBJ","CB","?"))</f>
        <v> </v>
      </c>
      <c r="I2120" s="25" t="str">
        <f>IF(OR(E2120="",E2120="!!!",F2120="NEW"),"",INDEX(B2119:B$2,-1+SUMPRODUCT(MAX(ROW(E2119:E$2)*(E2120=E2119:E$2)))))</f>
        <v> </v>
      </c>
      <c r="J2120" s="25" t="str">
        <f>IF(OR(E2120="",E2120="!!!",F2120="NEW"),"",COUNTBLANK(OFFSET(A$1,,,SUMPRODUCT(MAX(ROW(E$2:E2120)*(E2120=E$2:E2120)))))-COUNTBLANK(OFFSET(A$1,,,SUMPRODUCT(MAX(ROW(E$1:E2119)*(E2=E$1:E2119))))))</f>
        <v> </v>
      </c>
      <c r="K2120" s="25" t="str">
        <f>IF(OR(E2120="",E2120="!!!",F2120="NEW"),"",INDEX(J$1:J2119,SUMPRODUCT(MAX(ROW(E$1:E2119)*(E2120=E$1:E2119)))))</f>
        <v> </v>
      </c>
      <c r="L2120" s="26"/>
    </row>
    <row r="2121" spans="1:12">
      <c r="A2121" s="20" t="s">
        <v>1130</v>
      </c>
      <c r="E2121" s="21">
        <f>IF(D2121="?OLD","!!!","")</f>
        <v/>
      </c>
      <c r="F2121" s="22" t="str">
        <f>IF(OR(E2121="",E2121="!!!"),"",IF(NOT(ISNA(VLOOKUP(E2121,E$1:E2120,1,FALSE()))),"OLD",IF(AND(E2121&lt;&gt;"",E2121&lt;&gt;"!!!"),"NEW","")))</f>
        <v> </v>
      </c>
      <c r="G2121" s="23" t="str">
        <f>IF(OR(E2121="",E2121="!!!"),"",IF(OR(J2121=0,AND(J2121=1,K2121=1),AND(J2121=1,I2121="SBJ"),AND(J2121=1,I2121=0)),"?IN_FOCUS",IF(J2121&lt;=2,"?ACTIVATED",IF(J2121&lt;&gt;"","?FAMILIAR",IF(F2121="NEW",IF(ISNA(VLOOKUP(E2121,#REF!,1,FALSE())),"?TYPE_IDENTIFIABLE","?REFERENTIAL"),"_")))))</f>
        <v> </v>
      </c>
      <c r="H2121" s="24" t="str">
        <f>IF(J2121&lt;&gt;1,"",IF(I2121="SBJ","CB","?"))</f>
        <v> </v>
      </c>
      <c r="I2121" s="25" t="str">
        <f>IF(OR(E2121="",E2121="!!!",F2121="NEW"),"",INDEX(B2120:B$2,-1+SUMPRODUCT(MAX(ROW(E2120:E$2)*(E2121=E2120:E$2)))))</f>
        <v> </v>
      </c>
      <c r="J2121" s="25" t="str">
        <f>IF(OR(E2121="",E2121="!!!",F2121="NEW"),"",COUNTBLANK(OFFSET(A$1,,,SUMPRODUCT(MAX(ROW(E$2:E2121)*(E2121=E$2:E2121)))))-COUNTBLANK(OFFSET(A$1,,,SUMPRODUCT(MAX(ROW(E$1:E2120)*(E2=E$1:E2120))))))</f>
        <v> </v>
      </c>
      <c r="K2121" s="25" t="str">
        <f>IF(OR(E2121="",E2121="!!!",F2121="NEW"),"",INDEX(J$1:J2120,SUMPRODUCT(MAX(ROW(E$1:E2120)*(E2121=E$1:E2120)))))</f>
        <v> </v>
      </c>
      <c r="L2121" s="26"/>
    </row>
    <row r="2122" spans="1:12">
      <c r="A2122" s="20" t="s">
        <v>1421</v>
      </c>
      <c r="B2122" s="27" t="s">
        <v>1103</v>
      </c>
      <c r="C2122" s="27" t="s">
        <v>1126</v>
      </c>
      <c r="D2122" s="27" t="s">
        <v>1105</v>
      </c>
      <c r="E2122" s="21">
        <f>IF(D2122="?OLD","!!!","")</f>
        <v/>
      </c>
      <c r="F2122" s="22" t="str">
        <f>IF(OR(E2122="",E2122="!!!"),"",IF(NOT(ISNA(VLOOKUP(E2122,E$1:E2121,1,FALSE()))),"OLD",IF(AND(E2122&lt;&gt;"",E2122&lt;&gt;"!!!"),"NEW","")))</f>
        <v> </v>
      </c>
      <c r="G2122" s="23" t="str">
        <f>IF(OR(E2122="",E2122="!!!"),"",IF(OR(J2122=0,AND(J2122=1,K2122=1),AND(J2122=1,I2122="SBJ"),AND(J2122=1,I2122=0)),"?IN_FOCUS",IF(J2122&lt;=2,"?ACTIVATED",IF(J2122&lt;&gt;"","?FAMILIAR",IF(F2122="NEW",IF(ISNA(VLOOKUP(E2122,#REF!,1,FALSE())),"?TYPE_IDENTIFIABLE","?REFERENTIAL"),"_")))))</f>
        <v> </v>
      </c>
      <c r="H2122" s="24" t="str">
        <f>IF(J2122&lt;&gt;1,"",IF(I2122="SBJ","CB","?"))</f>
        <v> </v>
      </c>
      <c r="I2122" s="25" t="str">
        <f>IF(OR(E2122="",E2122="!!!",F2122="NEW"),"",INDEX(B2121:B$2,-1+SUMPRODUCT(MAX(ROW(E2121:E$2)*(E2122=E2121:E$2)))))</f>
        <v> </v>
      </c>
      <c r="J2122" s="25" t="str">
        <f>IF(OR(E2122="",E2122="!!!",F2122="NEW"),"",COUNTBLANK(OFFSET(A$1,,,SUMPRODUCT(MAX(ROW(E$2:E2122)*(E2122=E$2:E2122)))))-COUNTBLANK(OFFSET(A$1,,,SUMPRODUCT(MAX(ROW(E$1:E2121)*(E2=E$1:E2121))))))</f>
        <v> </v>
      </c>
      <c r="K2122" s="25" t="str">
        <f>IF(OR(E2122="",E2122="!!!",F2122="NEW"),"",INDEX(J$1:J2121,SUMPRODUCT(MAX(ROW(E$1:E2121)*(E2122=E$1:E2121)))))</f>
        <v> </v>
      </c>
      <c r="L2122" s="26"/>
    </row>
    <row r="2123" spans="1:12">
      <c r="A2123" s="20" t="s">
        <v>2172</v>
      </c>
      <c r="B2123" s="27" t="s">
        <v>1213</v>
      </c>
      <c r="E2123" s="21">
        <f>IF(D2123="?OLD","!!!","")</f>
        <v/>
      </c>
      <c r="F2123" s="22" t="str">
        <f>IF(OR(E2123="",E2123="!!!"),"",IF(NOT(ISNA(VLOOKUP(E2123,E$1:E2122,1,FALSE()))),"OLD",IF(AND(E2123&lt;&gt;"",E2123&lt;&gt;"!!!"),"NEW","")))</f>
        <v> </v>
      </c>
      <c r="G2123" s="23" t="str">
        <f>IF(OR(E2123="",E2123="!!!"),"",IF(OR(J2123=0,AND(J2123=1,K2123=1),AND(J2123=1,I2123="SBJ"),AND(J2123=1,I2123=0)),"?IN_FOCUS",IF(J2123&lt;=2,"?ACTIVATED",IF(J2123&lt;&gt;"","?FAMILIAR",IF(F2123="NEW",IF(ISNA(VLOOKUP(E2123,#REF!,1,FALSE())),"?TYPE_IDENTIFIABLE","?REFERENTIAL"),"_")))))</f>
        <v> </v>
      </c>
      <c r="H2123" s="24" t="str">
        <f>IF(J2123&lt;&gt;1,"",IF(I2123="SBJ","CB","?"))</f>
        <v> </v>
      </c>
      <c r="I2123" s="25" t="str">
        <f>IF(OR(E2123="",E2123="!!!",F2123="NEW"),"",INDEX(B2122:B$2,-1+SUMPRODUCT(MAX(ROW(E2122:E$2)*(E2123=E2122:E$2)))))</f>
        <v> </v>
      </c>
      <c r="J2123" s="25" t="str">
        <f>IF(OR(E2123="",E2123="!!!",F2123="NEW"),"",COUNTBLANK(OFFSET(A$1,,,SUMPRODUCT(MAX(ROW(E$2:E2123)*(E2123=E$2:E2123)))))-COUNTBLANK(OFFSET(A$1,,,SUMPRODUCT(MAX(ROW(E$1:E2122)*(E2=E$1:E2122))))))</f>
        <v> </v>
      </c>
      <c r="K2123" s="25" t="str">
        <f>IF(OR(E2123="",E2123="!!!",F2123="NEW"),"",INDEX(J$1:J2122,SUMPRODUCT(MAX(ROW(E$1:E2122)*(E2123=E$1:E2122)))))</f>
        <v> </v>
      </c>
      <c r="L2123" s="26"/>
    </row>
    <row r="2124" spans="1:12">
      <c r="A2124" s="20" t="s">
        <v>1123</v>
      </c>
      <c r="E2124" s="21">
        <f>IF(D2124="?OLD","!!!","")</f>
        <v/>
      </c>
      <c r="F2124" s="22" t="str">
        <f>IF(OR(E2124="",E2124="!!!"),"",IF(NOT(ISNA(VLOOKUP(E2124,E$1:E2123,1,FALSE()))),"OLD",IF(AND(E2124&lt;&gt;"",E2124&lt;&gt;"!!!"),"NEW","")))</f>
        <v> </v>
      </c>
      <c r="G2124" s="23" t="str">
        <f>IF(OR(E2124="",E2124="!!!"),"",IF(OR(J2124=0,AND(J2124=1,K2124=1),AND(J2124=1,I2124="SBJ"),AND(J2124=1,I2124=0)),"?IN_FOCUS",IF(J2124&lt;=2,"?ACTIVATED",IF(J2124&lt;&gt;"","?FAMILIAR",IF(F2124="NEW",IF(ISNA(VLOOKUP(E2124,#REF!,1,FALSE())),"?TYPE_IDENTIFIABLE","?REFERENTIAL"),"_")))))</f>
        <v> </v>
      </c>
      <c r="H2124" s="24" t="str">
        <f>IF(J2124&lt;&gt;1,"",IF(I2124="SBJ","CB","?"))</f>
        <v> </v>
      </c>
      <c r="I2124" s="25" t="str">
        <f>IF(OR(E2124="",E2124="!!!",F2124="NEW"),"",INDEX(B2123:B$2,-1+SUMPRODUCT(MAX(ROW(E2123:E$2)*(E2124=E2123:E$2)))))</f>
        <v> </v>
      </c>
      <c r="J2124" s="25" t="str">
        <f>IF(OR(E2124="",E2124="!!!",F2124="NEW"),"",COUNTBLANK(OFFSET(A$1,,,SUMPRODUCT(MAX(ROW(E$2:E2124)*(E2124=E$2:E2124)))))-COUNTBLANK(OFFSET(A$1,,,SUMPRODUCT(MAX(ROW(E$1:E2123)*(E2=E$1:E2123))))))</f>
        <v> </v>
      </c>
      <c r="K2124" s="25" t="str">
        <f>IF(OR(E2124="",E2124="!!!",F2124="NEW"),"",INDEX(J$1:J2123,SUMPRODUCT(MAX(ROW(E$1:E2123)*(E2124=E$1:E2123)))))</f>
        <v> </v>
      </c>
      <c r="L2124" s="26"/>
    </row>
    <row r="2125" spans="1:12">
      <c r="A2125" s="20" t="s">
        <v>1128</v>
      </c>
      <c r="E2125" s="21">
        <f>IF(D2125="?OLD","!!!","")</f>
        <v/>
      </c>
      <c r="F2125" s="22" t="str">
        <f>IF(OR(E2125="",E2125="!!!"),"",IF(NOT(ISNA(VLOOKUP(E2125,E$1:E2124,1,FALSE()))),"OLD",IF(AND(E2125&lt;&gt;"",E2125&lt;&gt;"!!!"),"NEW","")))</f>
        <v> </v>
      </c>
      <c r="G2125" s="23" t="str">
        <f>IF(OR(E2125="",E2125="!!!"),"",IF(OR(J2125=0,AND(J2125=1,K2125=1),AND(J2125=1,I2125="SBJ"),AND(J2125=1,I2125=0)),"?IN_FOCUS",IF(J2125&lt;=2,"?ACTIVATED",IF(J2125&lt;&gt;"","?FAMILIAR",IF(F2125="NEW",IF(ISNA(VLOOKUP(E2125,#REF!,1,FALSE())),"?TYPE_IDENTIFIABLE","?REFERENTIAL"),"_")))))</f>
        <v> </v>
      </c>
      <c r="H2125" s="24" t="str">
        <f>IF(J2125&lt;&gt;1,"",IF(I2125="SBJ","CB","?"))</f>
        <v> </v>
      </c>
      <c r="I2125" s="25" t="str">
        <f>IF(OR(E2125="",E2125="!!!",F2125="NEW"),"",INDEX(B2124:B$2,-1+SUMPRODUCT(MAX(ROW(E2124:E$2)*(E2125=E2124:E$2)))))</f>
        <v> </v>
      </c>
      <c r="J2125" s="25" t="str">
        <f>IF(OR(E2125="",E2125="!!!",F2125="NEW"),"",COUNTBLANK(OFFSET(A$1,,,SUMPRODUCT(MAX(ROW(E$2:E2125)*(E2125=E$2:E2125)))))-COUNTBLANK(OFFSET(A$1,,,SUMPRODUCT(MAX(ROW(E$1:E2124)*(E2=E$1:E2124))))))</f>
        <v> </v>
      </c>
      <c r="K2125" s="25" t="str">
        <f>IF(OR(E2125="",E2125="!!!",F2125="NEW"),"",INDEX(J$1:J2124,SUMPRODUCT(MAX(ROW(E$1:E2124)*(E2125=E$1:E2124)))))</f>
        <v> </v>
      </c>
      <c r="L2125" s="26"/>
    </row>
    <row r="2126" spans="1:12">
      <c r="A2126" s="20" t="s">
        <v>1225</v>
      </c>
      <c r="B2126" s="27" t="s">
        <v>1122</v>
      </c>
      <c r="C2126" s="27" t="s">
        <v>1108</v>
      </c>
      <c r="D2126" s="27" t="s">
        <v>1105</v>
      </c>
      <c r="E2126" s="21">
        <f>IF(D2126="?OLD","!!!","")</f>
        <v/>
      </c>
      <c r="F2126" s="22" t="str">
        <f>IF(OR(E2126="",E2126="!!!"),"",IF(NOT(ISNA(VLOOKUP(E2126,E$1:E2125,1,FALSE()))),"OLD",IF(AND(E2126&lt;&gt;"",E2126&lt;&gt;"!!!"),"NEW","")))</f>
        <v> </v>
      </c>
      <c r="G2126" s="23" t="str">
        <f>IF(OR(E2126="",E2126="!!!"),"",IF(OR(J2126=0,AND(J2126=1,K2126=1),AND(J2126=1,I2126="SBJ"),AND(J2126=1,I2126=0)),"?IN_FOCUS",IF(J2126&lt;=2,"?ACTIVATED",IF(J2126&lt;&gt;"","?FAMILIAR",IF(F2126="NEW",IF(ISNA(VLOOKUP(E2126,#REF!,1,FALSE())),"?TYPE_IDENTIFIABLE","?REFERENTIAL"),"_")))))</f>
        <v> </v>
      </c>
      <c r="H2126" s="24" t="str">
        <f>IF(J2126&lt;&gt;1,"",IF(I2126="SBJ","CB","?"))</f>
        <v> </v>
      </c>
      <c r="I2126" s="25" t="str">
        <f>IF(OR(E2126="",E2126="!!!",F2126="NEW"),"",INDEX(B2125:B$2,-1+SUMPRODUCT(MAX(ROW(E2125:E$2)*(E2126=E2125:E$2)))))</f>
        <v> </v>
      </c>
      <c r="J2126" s="25" t="str">
        <f>IF(OR(E2126="",E2126="!!!",F2126="NEW"),"",COUNTBLANK(OFFSET(A$1,,,SUMPRODUCT(MAX(ROW(E$2:E2126)*(E2126=E$2:E2126)))))-COUNTBLANK(OFFSET(A$1,,,SUMPRODUCT(MAX(ROW(E$1:E2125)*(E2=E$1:E2125))))))</f>
        <v> </v>
      </c>
      <c r="K2126" s="25" t="str">
        <f>IF(OR(E2126="",E2126="!!!",F2126="NEW"),"",INDEX(J$1:J2125,SUMPRODUCT(MAX(ROW(E$1:E2125)*(E2126=E$1:E2125)))))</f>
        <v> </v>
      </c>
      <c r="L2126" s="26"/>
    </row>
    <row r="2127" spans="1:12">
      <c r="A2127" s="20" t="s">
        <v>2173</v>
      </c>
      <c r="E2127" s="21">
        <f>IF(D2127="?OLD","!!!","")</f>
        <v/>
      </c>
      <c r="F2127" s="22" t="str">
        <f>IF(OR(E2127="",E2127="!!!"),"",IF(NOT(ISNA(VLOOKUP(E2127,E$1:E2126,1,FALSE()))),"OLD",IF(AND(E2127&lt;&gt;"",E2127&lt;&gt;"!!!"),"NEW","")))</f>
        <v> </v>
      </c>
      <c r="G2127" s="23" t="str">
        <f>IF(OR(E2127="",E2127="!!!"),"",IF(OR(J2127=0,AND(J2127=1,K2127=1),AND(J2127=1,I2127="SBJ"),AND(J2127=1,I2127=0)),"?IN_FOCUS",IF(J2127&lt;=2,"?ACTIVATED",IF(J2127&lt;&gt;"","?FAMILIAR",IF(F2127="NEW",IF(ISNA(VLOOKUP(E2127,#REF!,1,FALSE())),"?TYPE_IDENTIFIABLE","?REFERENTIAL"),"_")))))</f>
        <v> </v>
      </c>
      <c r="H2127" s="24" t="str">
        <f>IF(J2127&lt;&gt;1,"",IF(I2127="SBJ","CB","?"))</f>
        <v> </v>
      </c>
      <c r="I2127" s="25" t="str">
        <f>IF(OR(E2127="",E2127="!!!",F2127="NEW"),"",INDEX(B2126:B$2,-1+SUMPRODUCT(MAX(ROW(E2126:E$2)*(E2127=E2126:E$2)))))</f>
        <v> </v>
      </c>
      <c r="J2127" s="25" t="str">
        <f>IF(OR(E2127="",E2127="!!!",F2127="NEW"),"",COUNTBLANK(OFFSET(A$1,,,SUMPRODUCT(MAX(ROW(E$2:E2127)*(E2127=E$2:E2127)))))-COUNTBLANK(OFFSET(A$1,,,SUMPRODUCT(MAX(ROW(E$1:E2126)*(E2=E$1:E2126))))))</f>
        <v> </v>
      </c>
      <c r="K2127" s="25" t="str">
        <f>IF(OR(E2127="",E2127="!!!",F2127="NEW"),"",INDEX(J$1:J2126,SUMPRODUCT(MAX(ROW(E$1:E2126)*(E2127=E$1:E2126)))))</f>
        <v> </v>
      </c>
      <c r="L2127" s="26"/>
    </row>
    <row r="2128" spans="1:12">
      <c r="A2128" s="20" t="s">
        <v>2174</v>
      </c>
      <c r="B2128" s="27" t="s">
        <v>1243</v>
      </c>
      <c r="E2128" s="21">
        <f>IF(D2128="?OLD","!!!","")</f>
        <v/>
      </c>
      <c r="F2128" s="22" t="str">
        <f>IF(OR(E2128="",E2128="!!!"),"",IF(NOT(ISNA(VLOOKUP(E2128,E$1:E2127,1,FALSE()))),"OLD",IF(AND(E2128&lt;&gt;"",E2128&lt;&gt;"!!!"),"NEW","")))</f>
        <v> </v>
      </c>
      <c r="G2128" s="23" t="str">
        <f>IF(OR(E2128="",E2128="!!!"),"",IF(OR(J2128=0,AND(J2128=1,K2128=1),AND(J2128=1,I2128="SBJ"),AND(J2128=1,I2128=0)),"?IN_FOCUS",IF(J2128&lt;=2,"?ACTIVATED",IF(J2128&lt;&gt;"","?FAMILIAR",IF(F2128="NEW",IF(ISNA(VLOOKUP(E2128,#REF!,1,FALSE())),"?TYPE_IDENTIFIABLE","?REFERENTIAL"),"_")))))</f>
        <v> </v>
      </c>
      <c r="H2128" s="24" t="str">
        <f>IF(J2128&lt;&gt;1,"",IF(I2128="SBJ","CB","?"))</f>
        <v> </v>
      </c>
      <c r="I2128" s="25" t="str">
        <f>IF(OR(E2128="",E2128="!!!",F2128="NEW"),"",INDEX(B2127:B$2,-1+SUMPRODUCT(MAX(ROW(E2127:E$2)*(E2128=E2127:E$2)))))</f>
        <v> </v>
      </c>
      <c r="J2128" s="25" t="str">
        <f>IF(OR(E2128="",E2128="!!!",F2128="NEW"),"",COUNTBLANK(OFFSET(A$1,,,SUMPRODUCT(MAX(ROW(E$2:E2128)*(E2128=E$2:E2128)))))-COUNTBLANK(OFFSET(A$1,,,SUMPRODUCT(MAX(ROW(E$1:E2127)*(E2=E$1:E2127))))))</f>
        <v> </v>
      </c>
      <c r="K2128" s="25" t="str">
        <f>IF(OR(E2128="",E2128="!!!",F2128="NEW"),"",INDEX(J$1:J2127,SUMPRODUCT(MAX(ROW(E$1:E2127)*(E2128=E$1:E2127)))))</f>
        <v> </v>
      </c>
      <c r="L2128" s="26"/>
    </row>
    <row r="2129" spans="1:12">
      <c r="A2129" s="20" t="s">
        <v>1123</v>
      </c>
      <c r="E2129" s="21">
        <f>IF(D2129="?OLD","!!!","")</f>
        <v/>
      </c>
      <c r="F2129" s="22" t="str">
        <f>IF(OR(E2129="",E2129="!!!"),"",IF(NOT(ISNA(VLOOKUP(E2129,E$1:E2128,1,FALSE()))),"OLD",IF(AND(E2129&lt;&gt;"",E2129&lt;&gt;"!!!"),"NEW","")))</f>
        <v> </v>
      </c>
      <c r="G2129" s="23" t="str">
        <f>IF(OR(E2129="",E2129="!!!"),"",IF(OR(J2129=0,AND(J2129=1,K2129=1),AND(J2129=1,I2129="SBJ"),AND(J2129=1,I2129=0)),"?IN_FOCUS",IF(J2129&lt;=2,"?ACTIVATED",IF(J2129&lt;&gt;"","?FAMILIAR",IF(F2129="NEW",IF(ISNA(VLOOKUP(E2129,#REF!,1,FALSE())),"?TYPE_IDENTIFIABLE","?REFERENTIAL"),"_")))))</f>
        <v> </v>
      </c>
      <c r="H2129" s="24" t="str">
        <f>IF(J2129&lt;&gt;1,"",IF(I2129="SBJ","CB","?"))</f>
        <v> </v>
      </c>
      <c r="I2129" s="25" t="str">
        <f>IF(OR(E2129="",E2129="!!!",F2129="NEW"),"",INDEX(B2128:B$2,-1+SUMPRODUCT(MAX(ROW(E2128:E$2)*(E2129=E2128:E$2)))))</f>
        <v> </v>
      </c>
      <c r="J2129" s="25" t="str">
        <f>IF(OR(E2129="",E2129="!!!",F2129="NEW"),"",COUNTBLANK(OFFSET(A$1,,,SUMPRODUCT(MAX(ROW(E$2:E2129)*(E2129=E$2:E2129)))))-COUNTBLANK(OFFSET(A$1,,,SUMPRODUCT(MAX(ROW(E$1:E2128)*(E2=E$1:E2128))))))</f>
        <v> </v>
      </c>
      <c r="K2129" s="25" t="str">
        <f>IF(OR(E2129="",E2129="!!!",F2129="NEW"),"",INDEX(J$1:J2128,SUMPRODUCT(MAX(ROW(E$1:E2128)*(E2129=E$1:E2128)))))</f>
        <v> </v>
      </c>
      <c r="L2129" s="26"/>
    </row>
    <row r="2130" spans="1:12">
      <c r="A2130" s="20" t="s">
        <v>2175</v>
      </c>
      <c r="E2130" s="21">
        <f>IF(D2130="?OLD","!!!","")</f>
        <v/>
      </c>
      <c r="F2130" s="22" t="str">
        <f>IF(OR(E2130="",E2130="!!!"),"",IF(NOT(ISNA(VLOOKUP(E2130,E$1:E2129,1,FALSE()))),"OLD",IF(AND(E2130&lt;&gt;"",E2130&lt;&gt;"!!!"),"NEW","")))</f>
        <v> </v>
      </c>
      <c r="G2130" s="23" t="str">
        <f>IF(OR(E2130="",E2130="!!!"),"",IF(OR(J2130=0,AND(J2130=1,K2130=1),AND(J2130=1,I2130="SBJ"),AND(J2130=1,I2130=0)),"?IN_FOCUS",IF(J2130&lt;=2,"?ACTIVATED",IF(J2130&lt;&gt;"","?FAMILIAR",IF(F2130="NEW",IF(ISNA(VLOOKUP(E2130,#REF!,1,FALSE())),"?TYPE_IDENTIFIABLE","?REFERENTIAL"),"_")))))</f>
        <v> </v>
      </c>
      <c r="H2130" s="24" t="str">
        <f>IF(J2130&lt;&gt;1,"",IF(I2130="SBJ","CB","?"))</f>
        <v> </v>
      </c>
      <c r="I2130" s="25" t="str">
        <f>IF(OR(E2130="",E2130="!!!",F2130="NEW"),"",INDEX(B2129:B$2,-1+SUMPRODUCT(MAX(ROW(E2129:E$2)*(E2130=E2129:E$2)))))</f>
        <v> </v>
      </c>
      <c r="J2130" s="25" t="str">
        <f>IF(OR(E2130="",E2130="!!!",F2130="NEW"),"",COUNTBLANK(OFFSET(A$1,,,SUMPRODUCT(MAX(ROW(E$2:E2130)*(E2130=E$2:E2130)))))-COUNTBLANK(OFFSET(A$1,,,SUMPRODUCT(MAX(ROW(E$1:E2129)*(E2=E$1:E2129))))))</f>
        <v> </v>
      </c>
      <c r="K2130" s="25" t="str">
        <f>IF(OR(E2130="",E2130="!!!",F2130="NEW"),"",INDEX(J$1:J2129,SUMPRODUCT(MAX(ROW(E$1:E2129)*(E2130=E$1:E2129)))))</f>
        <v> </v>
      </c>
      <c r="L2130" s="26"/>
    </row>
    <row r="2131" spans="1:12">
      <c r="A2131" s="20" t="s">
        <v>1123</v>
      </c>
      <c r="E2131" s="21">
        <f>IF(D2131="?OLD","!!!","")</f>
        <v/>
      </c>
      <c r="F2131" s="22" t="str">
        <f>IF(OR(E2131="",E2131="!!!"),"",IF(NOT(ISNA(VLOOKUP(E2131,E$1:E2130,1,FALSE()))),"OLD",IF(AND(E2131&lt;&gt;"",E2131&lt;&gt;"!!!"),"NEW","")))</f>
        <v> </v>
      </c>
      <c r="G2131" s="23" t="str">
        <f>IF(OR(E2131="",E2131="!!!"),"",IF(OR(J2131=0,AND(J2131=1,K2131=1),AND(J2131=1,I2131="SBJ"),AND(J2131=1,I2131=0)),"?IN_FOCUS",IF(J2131&lt;=2,"?ACTIVATED",IF(J2131&lt;&gt;"","?FAMILIAR",IF(F2131="NEW",IF(ISNA(VLOOKUP(E2131,#REF!,1,FALSE())),"?TYPE_IDENTIFIABLE","?REFERENTIAL"),"_")))))</f>
        <v> </v>
      </c>
      <c r="H2131" s="24" t="str">
        <f>IF(J2131&lt;&gt;1,"",IF(I2131="SBJ","CB","?"))</f>
        <v> </v>
      </c>
      <c r="I2131" s="25" t="str">
        <f>IF(OR(E2131="",E2131="!!!",F2131="NEW"),"",INDEX(B2130:B$2,-1+SUMPRODUCT(MAX(ROW(E2130:E$2)*(E2131=E2130:E$2)))))</f>
        <v> </v>
      </c>
      <c r="J2131" s="25" t="str">
        <f>IF(OR(E2131="",E2131="!!!",F2131="NEW"),"",COUNTBLANK(OFFSET(A$1,,,SUMPRODUCT(MAX(ROW(E$2:E2131)*(E2131=E$2:E2131)))))-COUNTBLANK(OFFSET(A$1,,,SUMPRODUCT(MAX(ROW(E$1:E2130)*(E2=E$1:E2130))))))</f>
        <v> </v>
      </c>
      <c r="K2131" s="25" t="str">
        <f>IF(OR(E2131="",E2131="!!!",F2131="NEW"),"",INDEX(J$1:J2130,SUMPRODUCT(MAX(ROW(E$1:E2130)*(E2131=E$1:E2130)))))</f>
        <v> </v>
      </c>
      <c r="L2131" s="26"/>
    </row>
    <row r="2132" spans="1:12">
      <c r="A2132" s="20" t="s">
        <v>135</v>
      </c>
      <c r="E2132" s="21">
        <f>IF(D2132="?OLD","!!!","")</f>
        <v/>
      </c>
      <c r="F2132" s="22" t="str">
        <f>IF(OR(E2132="",E2132="!!!"),"",IF(NOT(ISNA(VLOOKUP(E2132,E$1:E2131,1,FALSE()))),"OLD",IF(AND(E2132&lt;&gt;"",E2132&lt;&gt;"!!!"),"NEW","")))</f>
        <v> </v>
      </c>
      <c r="G2132" s="23" t="str">
        <f>IF(OR(E2132="",E2132="!!!"),"",IF(OR(J2132=0,AND(J2132=1,K2132=1),AND(J2132=1,I2132="SBJ"),AND(J2132=1,I2132=0)),"?IN_FOCUS",IF(J2132&lt;=2,"?ACTIVATED",IF(J2132&lt;&gt;"","?FAMILIAR",IF(F2132="NEW",IF(ISNA(VLOOKUP(E2132,#REF!,1,FALSE())),"?TYPE_IDENTIFIABLE","?REFERENTIAL"),"_")))))</f>
        <v> </v>
      </c>
      <c r="H2132" s="24" t="str">
        <f>IF(J2132&lt;&gt;1,"",IF(I2132="SBJ","CB","?"))</f>
        <v> </v>
      </c>
      <c r="I2132" s="25" t="str">
        <f>IF(OR(E2132="",E2132="!!!",F2132="NEW"),"",INDEX(B2131:B$2,-1+SUMPRODUCT(MAX(ROW(E2131:E$2)*(E2132=E2131:E$2)))))</f>
        <v> </v>
      </c>
      <c r="J2132" s="25" t="str">
        <f>IF(OR(E2132="",E2132="!!!",F2132="NEW"),"",COUNTBLANK(OFFSET(A$1,,,SUMPRODUCT(MAX(ROW(E$2:E2132)*(E2132=E$2:E2132)))))-COUNTBLANK(OFFSET(A$1,,,SUMPRODUCT(MAX(ROW(E$1:E2131)*(E2=E$1:E2131))))))</f>
        <v> </v>
      </c>
      <c r="K2132" s="25" t="str">
        <f>IF(OR(E2132="",E2132="!!!",F2132="NEW"),"",INDEX(J$1:J2131,SUMPRODUCT(MAX(ROW(E$1:E2131)*(E2132=E$1:E2131)))))</f>
        <v> </v>
      </c>
      <c r="L2132" s="26"/>
    </row>
    <row r="2133" spans="1:12">
      <c r="A2133" s="20" t="s">
        <v>1124</v>
      </c>
      <c r="B2133" s="27" t="s">
        <v>1125</v>
      </c>
      <c r="C2133" s="27" t="s">
        <v>1126</v>
      </c>
      <c r="D2133" s="27" t="s">
        <v>1105</v>
      </c>
      <c r="E2133" s="21">
        <f>IF(D2133="?OLD","!!!","")</f>
        <v/>
      </c>
      <c r="F2133" s="22" t="str">
        <f>IF(OR(E2133="",E2133="!!!"),"",IF(NOT(ISNA(VLOOKUP(E2133,E$1:E2132,1,FALSE()))),"OLD",IF(AND(E2133&lt;&gt;"",E2133&lt;&gt;"!!!"),"NEW","")))</f>
        <v> </v>
      </c>
      <c r="G2133" s="23" t="str">
        <f>IF(OR(E2133="",E2133="!!!"),"",IF(OR(J2133=0,AND(J2133=1,K2133=1),AND(J2133=1,I2133="SBJ"),AND(J2133=1,I2133=0)),"?IN_FOCUS",IF(J2133&lt;=2,"?ACTIVATED",IF(J2133&lt;&gt;"","?FAMILIAR",IF(F2133="NEW",IF(ISNA(VLOOKUP(E2133,#REF!,1,FALSE())),"?TYPE_IDENTIFIABLE","?REFERENTIAL"),"_")))))</f>
        <v> </v>
      </c>
      <c r="H2133" s="24" t="str">
        <f>IF(J2133&lt;&gt;1,"",IF(I2133="SBJ","CB","?"))</f>
        <v> </v>
      </c>
      <c r="I2133" s="25" t="str">
        <f>IF(OR(E2133="",E2133="!!!",F2133="NEW"),"",INDEX(B2132:B$2,-1+SUMPRODUCT(MAX(ROW(E2132:E$2)*(E2133=E2132:E$2)))))</f>
        <v> </v>
      </c>
      <c r="J2133" s="25" t="str">
        <f>IF(OR(E2133="",E2133="!!!",F2133="NEW"),"",COUNTBLANK(OFFSET(A$1,,,SUMPRODUCT(MAX(ROW(E$2:E2133)*(E2133=E$2:E2133)))))-COUNTBLANK(OFFSET(A$1,,,SUMPRODUCT(MAX(ROW(E$1:E2132)*(E2=E$1:E2132))))))</f>
        <v> </v>
      </c>
      <c r="K2133" s="25" t="str">
        <f>IF(OR(E2133="",E2133="!!!",F2133="NEW"),"",INDEX(J$1:J2132,SUMPRODUCT(MAX(ROW(E$1:E2132)*(E2133=E$1:E2132)))))</f>
        <v> </v>
      </c>
      <c r="L2133" s="26"/>
    </row>
    <row r="2134" spans="1:12">
      <c r="A2134" s="20" t="s">
        <v>1134</v>
      </c>
      <c r="E2134" s="21">
        <f>IF(D2134="?OLD","!!!","")</f>
        <v/>
      </c>
      <c r="F2134" s="22" t="str">
        <f>IF(OR(E2134="",E2134="!!!"),"",IF(NOT(ISNA(VLOOKUP(E2134,E$1:E2133,1,FALSE()))),"OLD",IF(AND(E2134&lt;&gt;"",E2134&lt;&gt;"!!!"),"NEW","")))</f>
        <v> </v>
      </c>
      <c r="G2134" s="23" t="str">
        <f>IF(OR(E2134="",E2134="!!!"),"",IF(OR(J2134=0,AND(J2134=1,K2134=1),AND(J2134=1,I2134="SBJ"),AND(J2134=1,I2134=0)),"?IN_FOCUS",IF(J2134&lt;=2,"?ACTIVATED",IF(J2134&lt;&gt;"","?FAMILIAR",IF(F2134="NEW",IF(ISNA(VLOOKUP(E2134,#REF!,1,FALSE())),"?TYPE_IDENTIFIABLE","?REFERENTIAL"),"_")))))</f>
        <v> </v>
      </c>
      <c r="H2134" s="24" t="str">
        <f>IF(J2134&lt;&gt;1,"",IF(I2134="SBJ","CB","?"))</f>
        <v> </v>
      </c>
      <c r="I2134" s="25" t="str">
        <f>IF(OR(E2134="",E2134="!!!",F2134="NEW"),"",INDEX(B2133:B$2,-1+SUMPRODUCT(MAX(ROW(E2133:E$2)*(E2134=E2133:E$2)))))</f>
        <v> </v>
      </c>
      <c r="J2134" s="25" t="str">
        <f>IF(OR(E2134="",E2134="!!!",F2134="NEW"),"",COUNTBLANK(OFFSET(A$1,,,SUMPRODUCT(MAX(ROW(E$2:E2134)*(E2134=E$2:E2134)))))-COUNTBLANK(OFFSET(A$1,,,SUMPRODUCT(MAX(ROW(E$1:E2133)*(E2=E$1:E2133))))))</f>
        <v> </v>
      </c>
      <c r="K2134" s="25" t="str">
        <f>IF(OR(E2134="",E2134="!!!",F2134="NEW"),"",INDEX(J$1:J2133,SUMPRODUCT(MAX(ROW(E$1:E2133)*(E2134=E$1:E2133)))))</f>
        <v> </v>
      </c>
      <c r="L2134" s="26"/>
    </row>
    <row r="2135" spans="1:12">
      <c r="A2135" s="20" t="s">
        <v>2176</v>
      </c>
      <c r="E2135" s="21">
        <f>IF(D2135="?OLD","!!!","")</f>
        <v/>
      </c>
      <c r="F2135" s="22" t="str">
        <f>IF(OR(E2135="",E2135="!!!"),"",IF(NOT(ISNA(VLOOKUP(E2135,E$1:E2134,1,FALSE()))),"OLD",IF(AND(E2135&lt;&gt;"",E2135&lt;&gt;"!!!"),"NEW","")))</f>
        <v> </v>
      </c>
      <c r="G2135" s="23" t="str">
        <f>IF(OR(E2135="",E2135="!!!"),"",IF(OR(J2135=0,AND(J2135=1,K2135=1),AND(J2135=1,I2135="SBJ"),AND(J2135=1,I2135=0)),"?IN_FOCUS",IF(J2135&lt;=2,"?ACTIVATED",IF(J2135&lt;&gt;"","?FAMILIAR",IF(F2135="NEW",IF(ISNA(VLOOKUP(E2135,#REF!,1,FALSE())),"?TYPE_IDENTIFIABLE","?REFERENTIAL"),"_")))))</f>
        <v> </v>
      </c>
      <c r="H2135" s="24" t="str">
        <f>IF(J2135&lt;&gt;1,"",IF(I2135="SBJ","CB","?"))</f>
        <v> </v>
      </c>
      <c r="I2135" s="25" t="str">
        <f>IF(OR(E2135="",E2135="!!!",F2135="NEW"),"",INDEX(B2134:B$2,-1+SUMPRODUCT(MAX(ROW(E2134:E$2)*(E2135=E2134:E$2)))))</f>
        <v> </v>
      </c>
      <c r="J2135" s="25" t="str">
        <f>IF(OR(E2135="",E2135="!!!",F2135="NEW"),"",COUNTBLANK(OFFSET(A$1,,,SUMPRODUCT(MAX(ROW(E$2:E2135)*(E2135=E$2:E2135)))))-COUNTBLANK(OFFSET(A$1,,,SUMPRODUCT(MAX(ROW(E$1:E2134)*(E2=E$1:E2134))))))</f>
        <v> </v>
      </c>
      <c r="K2135" s="25" t="str">
        <f>IF(OR(E2135="",E2135="!!!",F2135="NEW"),"",INDEX(J$1:J2134,SUMPRODUCT(MAX(ROW(E$1:E2134)*(E2135=E$1:E2134)))))</f>
        <v> </v>
      </c>
      <c r="L2135" s="26"/>
    </row>
    <row r="2136" spans="1:12">
      <c r="A2136" s="20" t="s">
        <v>1128</v>
      </c>
      <c r="E2136" s="21">
        <f>IF(D2136="?OLD","!!!","")</f>
        <v/>
      </c>
      <c r="F2136" s="22" t="str">
        <f>IF(OR(E2136="",E2136="!!!"),"",IF(NOT(ISNA(VLOOKUP(E2136,E$1:E2135,1,FALSE()))),"OLD",IF(AND(E2136&lt;&gt;"",E2136&lt;&gt;"!!!"),"NEW","")))</f>
        <v> </v>
      </c>
      <c r="G2136" s="23" t="str">
        <f>IF(OR(E2136="",E2136="!!!"),"",IF(OR(J2136=0,AND(J2136=1,K2136=1),AND(J2136=1,I2136="SBJ"),AND(J2136=1,I2136=0)),"?IN_FOCUS",IF(J2136&lt;=2,"?ACTIVATED",IF(J2136&lt;&gt;"","?FAMILIAR",IF(F2136="NEW",IF(ISNA(VLOOKUP(E2136,#REF!,1,FALSE())),"?TYPE_IDENTIFIABLE","?REFERENTIAL"),"_")))))</f>
        <v> </v>
      </c>
      <c r="H2136" s="24" t="str">
        <f>IF(J2136&lt;&gt;1,"",IF(I2136="SBJ","CB","?"))</f>
        <v> </v>
      </c>
      <c r="I2136" s="25" t="str">
        <f>IF(OR(E2136="",E2136="!!!",F2136="NEW"),"",INDEX(B2135:B$2,-1+SUMPRODUCT(MAX(ROW(E2135:E$2)*(E2136=E2135:E$2)))))</f>
        <v> </v>
      </c>
      <c r="J2136" s="25" t="str">
        <f>IF(OR(E2136="",E2136="!!!",F2136="NEW"),"",COUNTBLANK(OFFSET(A$1,,,SUMPRODUCT(MAX(ROW(E$2:E2136)*(E2136=E$2:E2136)))))-COUNTBLANK(OFFSET(A$1,,,SUMPRODUCT(MAX(ROW(E$1:E2135)*(E2=E$1:E2135))))))</f>
        <v> </v>
      </c>
      <c r="K2136" s="25" t="str">
        <f>IF(OR(E2136="",E2136="!!!",F2136="NEW"),"",INDEX(J$1:J2135,SUMPRODUCT(MAX(ROW(E$1:E2135)*(E2136=E$1:E2135)))))</f>
        <v> </v>
      </c>
      <c r="L2136" s="26"/>
    </row>
    <row r="2137" spans="1:12">
      <c r="A2137" s="20" t="s">
        <v>135</v>
      </c>
      <c r="E2137" s="21">
        <f>IF(D2137="?OLD","!!!","")</f>
        <v/>
      </c>
      <c r="F2137" s="22" t="str">
        <f>IF(OR(E2137="",E2137="!!!"),"",IF(NOT(ISNA(VLOOKUP(E2137,E$1:E2136,1,FALSE()))),"OLD",IF(AND(E2137&lt;&gt;"",E2137&lt;&gt;"!!!"),"NEW","")))</f>
        <v> </v>
      </c>
      <c r="G2137" s="23" t="str">
        <f>IF(OR(E2137="",E2137="!!!"),"",IF(OR(J2137=0,AND(J2137=1,K2137=1),AND(J2137=1,I2137="SBJ"),AND(J2137=1,I2137=0)),"?IN_FOCUS",IF(J2137&lt;=2,"?ACTIVATED",IF(J2137&lt;&gt;"","?FAMILIAR",IF(F2137="NEW",IF(ISNA(VLOOKUP(E2137,#REF!,1,FALSE())),"?TYPE_IDENTIFIABLE","?REFERENTIAL"),"_")))))</f>
        <v> </v>
      </c>
      <c r="H2137" s="24" t="str">
        <f>IF(J2137&lt;&gt;1,"",IF(I2137="SBJ","CB","?"))</f>
        <v> </v>
      </c>
      <c r="I2137" s="25" t="str">
        <f>IF(OR(E2137="",E2137="!!!",F2137="NEW"),"",INDEX(B2136:B$2,-1+SUMPRODUCT(MAX(ROW(E2136:E$2)*(E2137=E2136:E$2)))))</f>
        <v> </v>
      </c>
      <c r="J2137" s="25" t="str">
        <f>IF(OR(E2137="",E2137="!!!",F2137="NEW"),"",COUNTBLANK(OFFSET(A$1,,,SUMPRODUCT(MAX(ROW(E$2:E2137)*(E2137=E$2:E2137)))))-COUNTBLANK(OFFSET(A$1,,,SUMPRODUCT(MAX(ROW(E$1:E2136)*(E2=E$1:E2136))))))</f>
        <v> </v>
      </c>
      <c r="K2137" s="25" t="str">
        <f>IF(OR(E2137="",E2137="!!!",F2137="NEW"),"",INDEX(J$1:J2136,SUMPRODUCT(MAX(ROW(E$1:E2136)*(E2137=E$1:E2136)))))</f>
        <v> </v>
      </c>
      <c r="L2137" s="26"/>
    </row>
    <row r="2138" spans="1:12">
      <c r="A2138" s="20" t="s">
        <v>2177</v>
      </c>
      <c r="B2138" s="27" t="s">
        <v>1307</v>
      </c>
      <c r="C2138" s="27" t="s">
        <v>1142</v>
      </c>
      <c r="D2138" s="27" t="s">
        <v>1105</v>
      </c>
      <c r="E2138" s="21">
        <f>IF(D2138="?OLD","!!!","")</f>
        <v/>
      </c>
      <c r="F2138" s="22" t="str">
        <f>IF(OR(E2138="",E2138="!!!"),"",IF(NOT(ISNA(VLOOKUP(E2138,E$1:E2137,1,FALSE()))),"OLD",IF(AND(E2138&lt;&gt;"",E2138&lt;&gt;"!!!"),"NEW","")))</f>
        <v> </v>
      </c>
      <c r="G2138" s="23" t="str">
        <f>IF(OR(E2138="",E2138="!!!"),"",IF(OR(J2138=0,AND(J2138=1,K2138=1),AND(J2138=1,I2138="SBJ"),AND(J2138=1,I2138=0)),"?IN_FOCUS",IF(J2138&lt;=2,"?ACTIVATED",IF(J2138&lt;&gt;"","?FAMILIAR",IF(F2138="NEW",IF(ISNA(VLOOKUP(E2138,#REF!,1,FALSE())),"?TYPE_IDENTIFIABLE","?REFERENTIAL"),"_")))))</f>
        <v> </v>
      </c>
      <c r="H2138" s="24" t="str">
        <f>IF(J2138&lt;&gt;1,"",IF(I2138="SBJ","CB","?"))</f>
        <v> </v>
      </c>
      <c r="I2138" s="25" t="str">
        <f>IF(OR(E2138="",E2138="!!!",F2138="NEW"),"",INDEX(B2137:B$2,-1+SUMPRODUCT(MAX(ROW(E2137:E$2)*(E2138=E2137:E$2)))))</f>
        <v> </v>
      </c>
      <c r="J2138" s="25" t="str">
        <f>IF(OR(E2138="",E2138="!!!",F2138="NEW"),"",COUNTBLANK(OFFSET(A$1,,,SUMPRODUCT(MAX(ROW(E$2:E2138)*(E2138=E$2:E2138)))))-COUNTBLANK(OFFSET(A$1,,,SUMPRODUCT(MAX(ROW(E$1:E2137)*(E2=E$1:E2137))))))</f>
        <v> </v>
      </c>
      <c r="K2138" s="25" t="str">
        <f>IF(OR(E2138="",E2138="!!!",F2138="NEW"),"",INDEX(J$1:J2137,SUMPRODUCT(MAX(ROW(E$1:E2137)*(E2138=E$1:E2137)))))</f>
        <v> </v>
      </c>
      <c r="L2138" s="26"/>
    </row>
    <row r="2139" spans="1:12">
      <c r="A2139" s="20" t="s">
        <v>2178</v>
      </c>
      <c r="B2139" s="27" t="s">
        <v>1870</v>
      </c>
      <c r="E2139" s="21">
        <f>IF(D2139="?OLD","!!!","")</f>
        <v/>
      </c>
      <c r="F2139" s="22" t="str">
        <f>IF(OR(E2139="",E2139="!!!"),"",IF(NOT(ISNA(VLOOKUP(E2139,E$1:E2138,1,FALSE()))),"OLD",IF(AND(E2139&lt;&gt;"",E2139&lt;&gt;"!!!"),"NEW","")))</f>
        <v> </v>
      </c>
      <c r="G2139" s="23" t="str">
        <f>IF(OR(E2139="",E2139="!!!"),"",IF(OR(J2139=0,AND(J2139=1,K2139=1),AND(J2139=1,I2139="SBJ"),AND(J2139=1,I2139=0)),"?IN_FOCUS",IF(J2139&lt;=2,"?ACTIVATED",IF(J2139&lt;&gt;"","?FAMILIAR",IF(F2139="NEW",IF(ISNA(VLOOKUP(E2139,#REF!,1,FALSE())),"?TYPE_IDENTIFIABLE","?REFERENTIAL"),"_")))))</f>
        <v> </v>
      </c>
      <c r="H2139" s="24" t="str">
        <f>IF(J2139&lt;&gt;1,"",IF(I2139="SBJ","CB","?"))</f>
        <v> </v>
      </c>
      <c r="I2139" s="25" t="str">
        <f>IF(OR(E2139="",E2139="!!!",F2139="NEW"),"",INDEX(B2138:B$2,-1+SUMPRODUCT(MAX(ROW(E2138:E$2)*(E2139=E2138:E$2)))))</f>
        <v> </v>
      </c>
      <c r="J2139" s="25" t="str">
        <f>IF(OR(E2139="",E2139="!!!",F2139="NEW"),"",COUNTBLANK(OFFSET(A$1,,,SUMPRODUCT(MAX(ROW(E$2:E2139)*(E2139=E$2:E2139)))))-COUNTBLANK(OFFSET(A$1,,,SUMPRODUCT(MAX(ROW(E$1:E2138)*(E2=E$1:E2138))))))</f>
        <v> </v>
      </c>
      <c r="K2139" s="25" t="str">
        <f>IF(OR(E2139="",E2139="!!!",F2139="NEW"),"",INDEX(J$1:J2138,SUMPRODUCT(MAX(ROW(E$1:E2138)*(E2139=E$1:E2138)))))</f>
        <v> </v>
      </c>
      <c r="L2139" s="26"/>
    </row>
    <row r="2140" spans="1:12">
      <c r="A2140" s="20" t="s">
        <v>2179</v>
      </c>
      <c r="E2140" s="21">
        <f>IF(D2140="?OLD","!!!","")</f>
        <v/>
      </c>
      <c r="F2140" s="22" t="str">
        <f>IF(OR(E2140="",E2140="!!!"),"",IF(NOT(ISNA(VLOOKUP(E2140,E$1:E2139,1,FALSE()))),"OLD",IF(AND(E2140&lt;&gt;"",E2140&lt;&gt;"!!!"),"NEW","")))</f>
        <v> </v>
      </c>
      <c r="G2140" s="23" t="str">
        <f>IF(OR(E2140="",E2140="!!!"),"",IF(OR(J2140=0,AND(J2140=1,K2140=1),AND(J2140=1,I2140="SBJ"),AND(J2140=1,I2140=0)),"?IN_FOCUS",IF(J2140&lt;=2,"?ACTIVATED",IF(J2140&lt;&gt;"","?FAMILIAR",IF(F2140="NEW",IF(ISNA(VLOOKUP(E2140,#REF!,1,FALSE())),"?TYPE_IDENTIFIABLE","?REFERENTIAL"),"_")))))</f>
        <v> </v>
      </c>
      <c r="H2140" s="24" t="str">
        <f>IF(J2140&lt;&gt;1,"",IF(I2140="SBJ","CB","?"))</f>
        <v> </v>
      </c>
      <c r="I2140" s="25" t="str">
        <f>IF(OR(E2140="",E2140="!!!",F2140="NEW"),"",INDEX(B2139:B$2,-1+SUMPRODUCT(MAX(ROW(E2139:E$2)*(E2140=E2139:E$2)))))</f>
        <v> </v>
      </c>
      <c r="J2140" s="25" t="str">
        <f>IF(OR(E2140="",E2140="!!!",F2140="NEW"),"",COUNTBLANK(OFFSET(A$1,,,SUMPRODUCT(MAX(ROW(E$2:E2140)*(E2140=E$2:E2140)))))-COUNTBLANK(OFFSET(A$1,,,SUMPRODUCT(MAX(ROW(E$1:E2139)*(E2=E$1:E2139))))))</f>
        <v> </v>
      </c>
      <c r="K2140" s="25" t="str">
        <f>IF(OR(E2140="",E2140="!!!",F2140="NEW"),"",INDEX(J$1:J2139,SUMPRODUCT(MAX(ROW(E$1:E2139)*(E2140=E$1:E2139)))))</f>
        <v> </v>
      </c>
      <c r="L2140" s="26"/>
    </row>
    <row r="2141" spans="1:12">
      <c r="A2141" s="20" t="s">
        <v>2180</v>
      </c>
      <c r="E2141" s="21">
        <f>IF(D2141="?OLD","!!!","")</f>
        <v/>
      </c>
      <c r="F2141" s="22" t="str">
        <f>IF(OR(E2141="",E2141="!!!"),"",IF(NOT(ISNA(VLOOKUP(E2141,E$1:E2140,1,FALSE()))),"OLD",IF(AND(E2141&lt;&gt;"",E2141&lt;&gt;"!!!"),"NEW","")))</f>
        <v> </v>
      </c>
      <c r="G2141" s="23" t="str">
        <f>IF(OR(E2141="",E2141="!!!"),"",IF(OR(J2141=0,AND(J2141=1,K2141=1),AND(J2141=1,I2141="SBJ"),AND(J2141=1,I2141=0)),"?IN_FOCUS",IF(J2141&lt;=2,"?ACTIVATED",IF(J2141&lt;&gt;"","?FAMILIAR",IF(F2141="NEW",IF(ISNA(VLOOKUP(E2141,#REF!,1,FALSE())),"?TYPE_IDENTIFIABLE","?REFERENTIAL"),"_")))))</f>
        <v> </v>
      </c>
      <c r="H2141" s="24" t="str">
        <f>IF(J2141&lt;&gt;1,"",IF(I2141="SBJ","CB","?"))</f>
        <v> </v>
      </c>
      <c r="I2141" s="25" t="str">
        <f>IF(OR(E2141="",E2141="!!!",F2141="NEW"),"",INDEX(B2140:B$2,-1+SUMPRODUCT(MAX(ROW(E2140:E$2)*(E2141=E2140:E$2)))))</f>
        <v> </v>
      </c>
      <c r="J2141" s="25" t="str">
        <f>IF(OR(E2141="",E2141="!!!",F2141="NEW"),"",COUNTBLANK(OFFSET(A$1,,,SUMPRODUCT(MAX(ROW(E$2:E2141)*(E2141=E$2:E2141)))))-COUNTBLANK(OFFSET(A$1,,,SUMPRODUCT(MAX(ROW(E$1:E2140)*(E2=E$1:E2140))))))</f>
        <v> </v>
      </c>
      <c r="K2141" s="25" t="str">
        <f>IF(OR(E2141="",E2141="!!!",F2141="NEW"),"",INDEX(J$1:J2140,SUMPRODUCT(MAX(ROW(E$1:E2140)*(E2141=E$1:E2140)))))</f>
        <v> </v>
      </c>
      <c r="L2141" s="26"/>
    </row>
    <row r="2142" spans="1:12">
      <c r="A2142" s="20" t="s">
        <v>1145</v>
      </c>
      <c r="E2142" s="21">
        <f>IF(D2142="?OLD","!!!","")</f>
        <v/>
      </c>
      <c r="F2142" s="22" t="str">
        <f>IF(OR(E2142="",E2142="!!!"),"",IF(NOT(ISNA(VLOOKUP(E2142,E$1:E2141,1,FALSE()))),"OLD",IF(AND(E2142&lt;&gt;"",E2142&lt;&gt;"!!!"),"NEW","")))</f>
        <v> </v>
      </c>
      <c r="G2142" s="23" t="str">
        <f>IF(OR(E2142="",E2142="!!!"),"",IF(OR(J2142=0,AND(J2142=1,K2142=1),AND(J2142=1,I2142="SBJ"),AND(J2142=1,I2142=0)),"?IN_FOCUS",IF(J2142&lt;=2,"?ACTIVATED",IF(J2142&lt;&gt;"","?FAMILIAR",IF(F2142="NEW",IF(ISNA(VLOOKUP(E2142,#REF!,1,FALSE())),"?TYPE_IDENTIFIABLE","?REFERENTIAL"),"_")))))</f>
        <v> </v>
      </c>
      <c r="H2142" s="24" t="str">
        <f>IF(J2142&lt;&gt;1,"",IF(I2142="SBJ","CB","?"))</f>
        <v> </v>
      </c>
      <c r="I2142" s="25" t="str">
        <f>IF(OR(E2142="",E2142="!!!",F2142="NEW"),"",INDEX(B2141:B$2,-1+SUMPRODUCT(MAX(ROW(E2141:E$2)*(E2142=E2141:E$2)))))</f>
        <v> </v>
      </c>
      <c r="J2142" s="25" t="str">
        <f>IF(OR(E2142="",E2142="!!!",F2142="NEW"),"",COUNTBLANK(OFFSET(A$1,,,SUMPRODUCT(MAX(ROW(E$2:E2142)*(E2142=E$2:E2142)))))-COUNTBLANK(OFFSET(A$1,,,SUMPRODUCT(MAX(ROW(E$1:E2141)*(E2=E$1:E2141))))))</f>
        <v> </v>
      </c>
      <c r="K2142" s="25" t="str">
        <f>IF(OR(E2142="",E2142="!!!",F2142="NEW"),"",INDEX(J$1:J2141,SUMPRODUCT(MAX(ROW(E$1:E2141)*(E2142=E$1:E2141)))))</f>
        <v> </v>
      </c>
      <c r="L2142" s="26"/>
    </row>
    <row r="2143" spans="1:12">
      <c r="A2143" s="20"/>
    </row>
    <row r="2144" spans="1:12">
      <c r="A2144" s="20" t="s">
        <v>2181</v>
      </c>
    </row>
    <row r="2145" spans="1:12">
      <c r="A2145" s="20" t="s">
        <v>1368</v>
      </c>
      <c r="E2145" s="21">
        <f>IF(D2145="?OLD","!!!","")</f>
        <v/>
      </c>
      <c r="F2145" s="22" t="str">
        <f>IF(OR(E2145="",E2145="!!!"),"",IF(NOT(ISNA(VLOOKUP(E2145,E$1:E2144,1,FALSE()))),"OLD",IF(AND(E2145&lt;&gt;"",E2145&lt;&gt;"!!!"),"NEW","")))</f>
        <v> </v>
      </c>
      <c r="G2145" s="23" t="str">
        <f>IF(OR(E2145="",E2145="!!!"),"",IF(OR(J2145=0,AND(J2145=1,K2145=1),AND(J2145=1,I2145="SBJ"),AND(J2145=1,I2145=0)),"?IN_FOCUS",IF(J2145&lt;=2,"?ACTIVATED",IF(J2145&lt;&gt;"","?FAMILIAR",IF(F2145="NEW",IF(ISNA(VLOOKUP(E2145,#REF!,1,FALSE())),"?TYPE_IDENTIFIABLE","?REFERENTIAL"),"_")))))</f>
        <v> </v>
      </c>
      <c r="H2145" s="24" t="str">
        <f>IF(J2145&lt;&gt;1,"",IF(I2145="SBJ","CB","?"))</f>
        <v> </v>
      </c>
      <c r="I2145" s="25" t="str">
        <f>IF(OR(E2145="",E2145="!!!",F2145="NEW"),"",INDEX(B2144:B$2,-1+SUMPRODUCT(MAX(ROW(E2144:E$2)*(E2145=E2144:E$2)))))</f>
        <v> </v>
      </c>
      <c r="J2145" s="25" t="str">
        <f>IF(OR(E2145="",E2145="!!!",F2145="NEW"),"",COUNTBLANK(OFFSET(A$1,,,SUMPRODUCT(MAX(ROW(E$2:E2145)*(E2145=E$2:E2145)))))-COUNTBLANK(OFFSET(A$1,,,SUMPRODUCT(MAX(ROW(E$1:E2144)*(E2=E$1:E2144))))))</f>
        <v> </v>
      </c>
      <c r="K2145" s="25" t="str">
        <f>IF(OR(E2145="",E2145="!!!",F2145="NEW"),"",INDEX(J$1:J2144,SUMPRODUCT(MAX(ROW(E$1:E2144)*(E2145=E$1:E2144)))))</f>
        <v> </v>
      </c>
      <c r="L2145" s="26"/>
    </row>
    <row r="2146" spans="1:12">
      <c r="A2146" s="20" t="s">
        <v>1564</v>
      </c>
      <c r="E2146" s="21">
        <f>IF(D2146="?OLD","!!!","")</f>
        <v/>
      </c>
      <c r="F2146" s="22" t="str">
        <f>IF(OR(E2146="",E2146="!!!"),"",IF(NOT(ISNA(VLOOKUP(E2146,E$1:E2145,1,FALSE()))),"OLD",IF(AND(E2146&lt;&gt;"",E2146&lt;&gt;"!!!"),"NEW","")))</f>
        <v> </v>
      </c>
      <c r="G2146" s="23" t="str">
        <f>IF(OR(E2146="",E2146="!!!"),"",IF(OR(J2146=0,AND(J2146=1,K2146=1),AND(J2146=1,I2146="SBJ"),AND(J2146=1,I2146=0)),"?IN_FOCUS",IF(J2146&lt;=2,"?ACTIVATED",IF(J2146&lt;&gt;"","?FAMILIAR",IF(F2146="NEW",IF(ISNA(VLOOKUP(E2146,#REF!,1,FALSE())),"?TYPE_IDENTIFIABLE","?REFERENTIAL"),"_")))))</f>
        <v> </v>
      </c>
      <c r="H2146" s="24" t="str">
        <f>IF(J2146&lt;&gt;1,"",IF(I2146="SBJ","CB","?"))</f>
        <v> </v>
      </c>
      <c r="I2146" s="25" t="str">
        <f>IF(OR(E2146="",E2146="!!!",F2146="NEW"),"",INDEX(B2145:B$2,-1+SUMPRODUCT(MAX(ROW(E2145:E$2)*(E2146=E2145:E$2)))))</f>
        <v> </v>
      </c>
      <c r="J2146" s="25" t="str">
        <f>IF(OR(E2146="",E2146="!!!",F2146="NEW"),"",COUNTBLANK(OFFSET(A$1,,,SUMPRODUCT(MAX(ROW(E$2:E2146)*(E2146=E$2:E2146)))))-COUNTBLANK(OFFSET(A$1,,,SUMPRODUCT(MAX(ROW(E$1:E2145)*(E2=E$1:E2145))))))</f>
        <v> </v>
      </c>
      <c r="K2146" s="25" t="str">
        <f>IF(OR(E2146="",E2146="!!!",F2146="NEW"),"",INDEX(J$1:J2145,SUMPRODUCT(MAX(ROW(E$1:E2145)*(E2146=E$1:E2145)))))</f>
        <v> </v>
      </c>
      <c r="L2146" s="26"/>
    </row>
    <row r="2147" spans="1:12">
      <c r="A2147" s="20" t="s">
        <v>2182</v>
      </c>
      <c r="B2147" s="27" t="s">
        <v>1149</v>
      </c>
      <c r="E2147" s="21">
        <f>IF(D2147="?OLD","!!!","")</f>
        <v/>
      </c>
      <c r="F2147" s="22" t="str">
        <f>IF(OR(E2147="",E2147="!!!"),"",IF(NOT(ISNA(VLOOKUP(E2147,E$1:E2146,1,FALSE()))),"OLD",IF(AND(E2147&lt;&gt;"",E2147&lt;&gt;"!!!"),"NEW","")))</f>
        <v> </v>
      </c>
      <c r="G2147" s="23" t="str">
        <f>IF(OR(E2147="",E2147="!!!"),"",IF(OR(J2147=0,AND(J2147=1,K2147=1),AND(J2147=1,I2147="SBJ"),AND(J2147=1,I2147=0)),"?IN_FOCUS",IF(J2147&lt;=2,"?ACTIVATED",IF(J2147&lt;&gt;"","?FAMILIAR",IF(F2147="NEW",IF(ISNA(VLOOKUP(E2147,#REF!,1,FALSE())),"?TYPE_IDENTIFIABLE","?REFERENTIAL"),"_")))))</f>
        <v> </v>
      </c>
      <c r="H2147" s="24" t="str">
        <f>IF(J2147&lt;&gt;1,"",IF(I2147="SBJ","CB","?"))</f>
        <v> </v>
      </c>
      <c r="I2147" s="25" t="str">
        <f>IF(OR(E2147="",E2147="!!!",F2147="NEW"),"",INDEX(B2146:B$2,-1+SUMPRODUCT(MAX(ROW(E2146:E$2)*(E2147=E2146:E$2)))))</f>
        <v> </v>
      </c>
      <c r="J2147" s="25" t="str">
        <f>IF(OR(E2147="",E2147="!!!",F2147="NEW"),"",COUNTBLANK(OFFSET(A$1,,,SUMPRODUCT(MAX(ROW(E$2:E2147)*(E2147=E$2:E2147)))))-COUNTBLANK(OFFSET(A$1,,,SUMPRODUCT(MAX(ROW(E$1:E2146)*(E2=E$1:E2146))))))</f>
        <v> </v>
      </c>
      <c r="K2147" s="25" t="str">
        <f>IF(OR(E2147="",E2147="!!!",F2147="NEW"),"",INDEX(J$1:J2146,SUMPRODUCT(MAX(ROW(E$1:E2146)*(E2147=E$1:E2146)))))</f>
        <v> </v>
      </c>
      <c r="L2147" s="26"/>
    </row>
    <row r="2148" spans="1:12">
      <c r="A2148" s="20" t="s">
        <v>1318</v>
      </c>
      <c r="E2148" s="21">
        <f>IF(D2148="?OLD","!!!","")</f>
        <v/>
      </c>
      <c r="F2148" s="22" t="str">
        <f>IF(OR(E2148="",E2148="!!!"),"",IF(NOT(ISNA(VLOOKUP(E2148,E$1:E2147,1,FALSE()))),"OLD",IF(AND(E2148&lt;&gt;"",E2148&lt;&gt;"!!!"),"NEW","")))</f>
        <v> </v>
      </c>
      <c r="G2148" s="23" t="str">
        <f>IF(OR(E2148="",E2148="!!!"),"",IF(OR(J2148=0,AND(J2148=1,K2148=1),AND(J2148=1,I2148="SBJ"),AND(J2148=1,I2148=0)),"?IN_FOCUS",IF(J2148&lt;=2,"?ACTIVATED",IF(J2148&lt;&gt;"","?FAMILIAR",IF(F2148="NEW",IF(ISNA(VLOOKUP(E2148,#REF!,1,FALSE())),"?TYPE_IDENTIFIABLE","?REFERENTIAL"),"_")))))</f>
        <v> </v>
      </c>
      <c r="H2148" s="24" t="str">
        <f>IF(J2148&lt;&gt;1,"",IF(I2148="SBJ","CB","?"))</f>
        <v> </v>
      </c>
      <c r="I2148" s="25" t="str">
        <f>IF(OR(E2148="",E2148="!!!",F2148="NEW"),"",INDEX(B2147:B$2,-1+SUMPRODUCT(MAX(ROW(E2147:E$2)*(E2148=E2147:E$2)))))</f>
        <v> </v>
      </c>
      <c r="J2148" s="25" t="str">
        <f>IF(OR(E2148="",E2148="!!!",F2148="NEW"),"",COUNTBLANK(OFFSET(A$1,,,SUMPRODUCT(MAX(ROW(E$2:E2148)*(E2148=E$2:E2148)))))-COUNTBLANK(OFFSET(A$1,,,SUMPRODUCT(MAX(ROW(E$1:E2147)*(E2=E$1:E2147))))))</f>
        <v> </v>
      </c>
      <c r="K2148" s="25" t="str">
        <f>IF(OR(E2148="",E2148="!!!",F2148="NEW"),"",INDEX(J$1:J2147,SUMPRODUCT(MAX(ROW(E$1:E2147)*(E2148=E$1:E2147)))))</f>
        <v> </v>
      </c>
      <c r="L2148" s="26"/>
    </row>
    <row r="2149" spans="1:12">
      <c r="A2149" s="20" t="s">
        <v>2119</v>
      </c>
      <c r="E2149" s="21">
        <f>IF(D2149="?OLD","!!!","")</f>
        <v/>
      </c>
      <c r="F2149" s="22" t="str">
        <f>IF(OR(E2149="",E2149="!!!"),"",IF(NOT(ISNA(VLOOKUP(E2149,E$1:E2148,1,FALSE()))),"OLD",IF(AND(E2149&lt;&gt;"",E2149&lt;&gt;"!!!"),"NEW","")))</f>
        <v> </v>
      </c>
      <c r="G2149" s="23" t="str">
        <f>IF(OR(E2149="",E2149="!!!"),"",IF(OR(J2149=0,AND(J2149=1,K2149=1),AND(J2149=1,I2149="SBJ"),AND(J2149=1,I2149=0)),"?IN_FOCUS",IF(J2149&lt;=2,"?ACTIVATED",IF(J2149&lt;&gt;"","?FAMILIAR",IF(F2149="NEW",IF(ISNA(VLOOKUP(E2149,#REF!,1,FALSE())),"?TYPE_IDENTIFIABLE","?REFERENTIAL"),"_")))))</f>
        <v> </v>
      </c>
      <c r="H2149" s="24" t="str">
        <f>IF(J2149&lt;&gt;1,"",IF(I2149="SBJ","CB","?"))</f>
        <v> </v>
      </c>
      <c r="I2149" s="25" t="str">
        <f>IF(OR(E2149="",E2149="!!!",F2149="NEW"),"",INDEX(B2148:B$2,-1+SUMPRODUCT(MAX(ROW(E2148:E$2)*(E2149=E2148:E$2)))))</f>
        <v> </v>
      </c>
      <c r="J2149" s="25" t="str">
        <f>IF(OR(E2149="",E2149="!!!",F2149="NEW"),"",COUNTBLANK(OFFSET(A$1,,,SUMPRODUCT(MAX(ROW(E$2:E2149)*(E2149=E$2:E2149)))))-COUNTBLANK(OFFSET(A$1,,,SUMPRODUCT(MAX(ROW(E$1:E2148)*(E2=E$1:E2148))))))</f>
        <v> </v>
      </c>
      <c r="K2149" s="25" t="str">
        <f>IF(OR(E2149="",E2149="!!!",F2149="NEW"),"",INDEX(J$1:J2148,SUMPRODUCT(MAX(ROW(E$1:E2148)*(E2149=E$1:E2148)))))</f>
        <v> </v>
      </c>
      <c r="L2149" s="26"/>
    </row>
    <row r="2150" spans="1:12">
      <c r="A2150" s="20" t="s">
        <v>1506</v>
      </c>
      <c r="B2150" s="27" t="s">
        <v>1110</v>
      </c>
      <c r="C2150" s="27" t="s">
        <v>1108</v>
      </c>
      <c r="D2150" s="27" t="s">
        <v>1105</v>
      </c>
      <c r="E2150" s="21">
        <f>IF(D2150="?OLD","!!!","")</f>
        <v/>
      </c>
      <c r="F2150" s="22" t="str">
        <f>IF(OR(E2150="",E2150="!!!"),"",IF(NOT(ISNA(VLOOKUP(E2150,E$1:E2149,1,FALSE()))),"OLD",IF(AND(E2150&lt;&gt;"",E2150&lt;&gt;"!!!"),"NEW","")))</f>
        <v> </v>
      </c>
      <c r="G2150" s="23" t="str">
        <f>IF(OR(E2150="",E2150="!!!"),"",IF(OR(J2150=0,AND(J2150=1,K2150=1),AND(J2150=1,I2150="SBJ"),AND(J2150=1,I2150=0)),"?IN_FOCUS",IF(J2150&lt;=2,"?ACTIVATED",IF(J2150&lt;&gt;"","?FAMILIAR",IF(F2150="NEW",IF(ISNA(VLOOKUP(E2150,#REF!,1,FALSE())),"?TYPE_IDENTIFIABLE","?REFERENTIAL"),"_")))))</f>
        <v> </v>
      </c>
      <c r="H2150" s="24" t="str">
        <f>IF(J2150&lt;&gt;1,"",IF(I2150="SBJ","CB","?"))</f>
        <v> </v>
      </c>
      <c r="I2150" s="25" t="str">
        <f>IF(OR(E2150="",E2150="!!!",F2150="NEW"),"",INDEX(B2149:B$2,-1+SUMPRODUCT(MAX(ROW(E2149:E$2)*(E2150=E2149:E$2)))))</f>
        <v> </v>
      </c>
      <c r="J2150" s="25" t="str">
        <f>IF(OR(E2150="",E2150="!!!",F2150="NEW"),"",COUNTBLANK(OFFSET(A$1,,,SUMPRODUCT(MAX(ROW(E$2:E2150)*(E2150=E$2:E2150)))))-COUNTBLANK(OFFSET(A$1,,,SUMPRODUCT(MAX(ROW(E$1:E2149)*(E2=E$1:E2149))))))</f>
        <v> </v>
      </c>
      <c r="K2150" s="25" t="str">
        <f>IF(OR(E2150="",E2150="!!!",F2150="NEW"),"",INDEX(J$1:J2149,SUMPRODUCT(MAX(ROW(E$1:E2149)*(E2150=E$1:E2149)))))</f>
        <v> </v>
      </c>
      <c r="L2150" s="26"/>
    </row>
    <row r="2151" spans="1:12">
      <c r="A2151" s="20" t="s">
        <v>2183</v>
      </c>
      <c r="E2151" s="21">
        <f>IF(D2151="?OLD","!!!","")</f>
        <v/>
      </c>
      <c r="F2151" s="22" t="str">
        <f>IF(OR(E2151="",E2151="!!!"),"",IF(NOT(ISNA(VLOOKUP(E2151,E$1:E2150,1,FALSE()))),"OLD",IF(AND(E2151&lt;&gt;"",E2151&lt;&gt;"!!!"),"NEW","")))</f>
        <v> </v>
      </c>
      <c r="G2151" s="23" t="str">
        <f>IF(OR(E2151="",E2151="!!!"),"",IF(OR(J2151=0,AND(J2151=1,K2151=1),AND(J2151=1,I2151="SBJ"),AND(J2151=1,I2151=0)),"?IN_FOCUS",IF(J2151&lt;=2,"?ACTIVATED",IF(J2151&lt;&gt;"","?FAMILIAR",IF(F2151="NEW",IF(ISNA(VLOOKUP(E2151,#REF!,1,FALSE())),"?TYPE_IDENTIFIABLE","?REFERENTIAL"),"_")))))</f>
        <v> </v>
      </c>
      <c r="H2151" s="24" t="str">
        <f>IF(J2151&lt;&gt;1,"",IF(I2151="SBJ","CB","?"))</f>
        <v> </v>
      </c>
      <c r="I2151" s="25" t="str">
        <f>IF(OR(E2151="",E2151="!!!",F2151="NEW"),"",INDEX(B2150:B$2,-1+SUMPRODUCT(MAX(ROW(E2150:E$2)*(E2151=E2150:E$2)))))</f>
        <v> </v>
      </c>
      <c r="J2151" s="25" t="str">
        <f>IF(OR(E2151="",E2151="!!!",F2151="NEW"),"",COUNTBLANK(OFFSET(A$1,,,SUMPRODUCT(MAX(ROW(E$2:E2151)*(E2151=E$2:E2151)))))-COUNTBLANK(OFFSET(A$1,,,SUMPRODUCT(MAX(ROW(E$1:E2150)*(E2=E$1:E2150))))))</f>
        <v> </v>
      </c>
      <c r="K2151" s="25" t="str">
        <f>IF(OR(E2151="",E2151="!!!",F2151="NEW"),"",INDEX(J$1:J2150,SUMPRODUCT(MAX(ROW(E$1:E2150)*(E2151=E$1:E2150)))))</f>
        <v> </v>
      </c>
      <c r="L2151" s="26"/>
    </row>
    <row r="2152" spans="1:12">
      <c r="A2152" s="20" t="s">
        <v>1128</v>
      </c>
      <c r="E2152" s="21">
        <f>IF(D2152="?OLD","!!!","")</f>
        <v/>
      </c>
      <c r="F2152" s="22" t="str">
        <f>IF(OR(E2152="",E2152="!!!"),"",IF(NOT(ISNA(VLOOKUP(E2152,E$1:E2151,1,FALSE()))),"OLD",IF(AND(E2152&lt;&gt;"",E2152&lt;&gt;"!!!"),"NEW","")))</f>
        <v> </v>
      </c>
      <c r="G2152" s="23" t="str">
        <f>IF(OR(E2152="",E2152="!!!"),"",IF(OR(J2152=0,AND(J2152=1,K2152=1),AND(J2152=1,I2152="SBJ"),AND(J2152=1,I2152=0)),"?IN_FOCUS",IF(J2152&lt;=2,"?ACTIVATED",IF(J2152&lt;&gt;"","?FAMILIAR",IF(F2152="NEW",IF(ISNA(VLOOKUP(E2152,#REF!,1,FALSE())),"?TYPE_IDENTIFIABLE","?REFERENTIAL"),"_")))))</f>
        <v> </v>
      </c>
      <c r="H2152" s="24" t="str">
        <f>IF(J2152&lt;&gt;1,"",IF(I2152="SBJ","CB","?"))</f>
        <v> </v>
      </c>
      <c r="I2152" s="25" t="str">
        <f>IF(OR(E2152="",E2152="!!!",F2152="NEW"),"",INDEX(B2151:B$2,-1+SUMPRODUCT(MAX(ROW(E2151:E$2)*(E2152=E2151:E$2)))))</f>
        <v> </v>
      </c>
      <c r="J2152" s="25" t="str">
        <f>IF(OR(E2152="",E2152="!!!",F2152="NEW"),"",COUNTBLANK(OFFSET(A$1,,,SUMPRODUCT(MAX(ROW(E$2:E2152)*(E2152=E$2:E2152)))))-COUNTBLANK(OFFSET(A$1,,,SUMPRODUCT(MAX(ROW(E$1:E2151)*(E2=E$1:E2151))))))</f>
        <v> </v>
      </c>
      <c r="K2152" s="25" t="str">
        <f>IF(OR(E2152="",E2152="!!!",F2152="NEW"),"",INDEX(J$1:J2151,SUMPRODUCT(MAX(ROW(E$1:E2151)*(E2152=E$1:E2151)))))</f>
        <v> </v>
      </c>
      <c r="L2152" s="26"/>
    </row>
    <row r="2153" spans="1:12">
      <c r="A2153" s="20" t="s">
        <v>1124</v>
      </c>
      <c r="B2153" s="27" t="s">
        <v>1122</v>
      </c>
      <c r="C2153" s="27" t="s">
        <v>1126</v>
      </c>
      <c r="D2153" s="27" t="s">
        <v>1105</v>
      </c>
      <c r="E2153" s="21">
        <f>IF(D2153="?OLD","!!!","")</f>
        <v/>
      </c>
      <c r="F2153" s="22" t="str">
        <f>IF(OR(E2153="",E2153="!!!"),"",IF(NOT(ISNA(VLOOKUP(E2153,E$1:E2152,1,FALSE()))),"OLD",IF(AND(E2153&lt;&gt;"",E2153&lt;&gt;"!!!"),"NEW","")))</f>
        <v> </v>
      </c>
      <c r="G2153" s="23" t="str">
        <f>IF(OR(E2153="",E2153="!!!"),"",IF(OR(J2153=0,AND(J2153=1,K2153=1),AND(J2153=1,I2153="SBJ"),AND(J2153=1,I2153=0)),"?IN_FOCUS",IF(J2153&lt;=2,"?ACTIVATED",IF(J2153&lt;&gt;"","?FAMILIAR",IF(F2153="NEW",IF(ISNA(VLOOKUP(E2153,#REF!,1,FALSE())),"?TYPE_IDENTIFIABLE","?REFERENTIAL"),"_")))))</f>
        <v> </v>
      </c>
      <c r="H2153" s="24" t="str">
        <f>IF(J2153&lt;&gt;1,"",IF(I2153="SBJ","CB","?"))</f>
        <v> </v>
      </c>
      <c r="I2153" s="25" t="str">
        <f>IF(OR(E2153="",E2153="!!!",F2153="NEW"),"",INDEX(B2152:B$2,-1+SUMPRODUCT(MAX(ROW(E2152:E$2)*(E2153=E2152:E$2)))))</f>
        <v> </v>
      </c>
      <c r="J2153" s="25" t="str">
        <f>IF(OR(E2153="",E2153="!!!",F2153="NEW"),"",COUNTBLANK(OFFSET(A$1,,,SUMPRODUCT(MAX(ROW(E$2:E2153)*(E2153=E$2:E2153)))))-COUNTBLANK(OFFSET(A$1,,,SUMPRODUCT(MAX(ROW(E$1:E2152)*(E2=E$1:E2152))))))</f>
        <v> </v>
      </c>
      <c r="K2153" s="25" t="str">
        <f>IF(OR(E2153="",E2153="!!!",F2153="NEW"),"",INDEX(J$1:J2152,SUMPRODUCT(MAX(ROW(E$1:E2152)*(E2153=E$1:E2152)))))</f>
        <v> </v>
      </c>
      <c r="L2153" s="26"/>
    </row>
    <row r="2154" spans="1:12">
      <c r="A2154" s="20" t="s">
        <v>2184</v>
      </c>
      <c r="E2154" s="21">
        <f>IF(D2154="?OLD","!!!","")</f>
        <v/>
      </c>
      <c r="F2154" s="22" t="str">
        <f>IF(OR(E2154="",E2154="!!!"),"",IF(NOT(ISNA(VLOOKUP(E2154,E$1:E2153,1,FALSE()))),"OLD",IF(AND(E2154&lt;&gt;"",E2154&lt;&gt;"!!!"),"NEW","")))</f>
        <v> </v>
      </c>
      <c r="G2154" s="23" t="str">
        <f>IF(OR(E2154="",E2154="!!!"),"",IF(OR(J2154=0,AND(J2154=1,K2154=1),AND(J2154=1,I2154="SBJ"),AND(J2154=1,I2154=0)),"?IN_FOCUS",IF(J2154&lt;=2,"?ACTIVATED",IF(J2154&lt;&gt;"","?FAMILIAR",IF(F2154="NEW",IF(ISNA(VLOOKUP(E2154,#REF!,1,FALSE())),"?TYPE_IDENTIFIABLE","?REFERENTIAL"),"_")))))</f>
        <v> </v>
      </c>
      <c r="H2154" s="24" t="str">
        <f>IF(J2154&lt;&gt;1,"",IF(I2154="SBJ","CB","?"))</f>
        <v> </v>
      </c>
      <c r="I2154" s="25" t="str">
        <f>IF(OR(E2154="",E2154="!!!",F2154="NEW"),"",INDEX(B2153:B$2,-1+SUMPRODUCT(MAX(ROW(E2153:E$2)*(E2154=E2153:E$2)))))</f>
        <v> </v>
      </c>
      <c r="J2154" s="25" t="str">
        <f>IF(OR(E2154="",E2154="!!!",F2154="NEW"),"",COUNTBLANK(OFFSET(A$1,,,SUMPRODUCT(MAX(ROW(E$2:E2154)*(E2154=E$2:E2154)))))-COUNTBLANK(OFFSET(A$1,,,SUMPRODUCT(MAX(ROW(E$1:E2153)*(E2=E$1:E2153))))))</f>
        <v> </v>
      </c>
      <c r="K2154" s="25" t="str">
        <f>IF(OR(E2154="",E2154="!!!",F2154="NEW"),"",INDEX(J$1:J2153,SUMPRODUCT(MAX(ROW(E$1:E2153)*(E2154=E$1:E2153)))))</f>
        <v> </v>
      </c>
      <c r="L2154" s="26"/>
    </row>
    <row r="2155" spans="1:12">
      <c r="A2155" s="20" t="s">
        <v>2185</v>
      </c>
      <c r="E2155" s="21">
        <f>IF(D2155="?OLD","!!!","")</f>
        <v/>
      </c>
      <c r="F2155" s="22" t="str">
        <f>IF(OR(E2155="",E2155="!!!"),"",IF(NOT(ISNA(VLOOKUP(E2155,E$1:E2154,1,FALSE()))),"OLD",IF(AND(E2155&lt;&gt;"",E2155&lt;&gt;"!!!"),"NEW","")))</f>
        <v> </v>
      </c>
      <c r="G2155" s="23" t="str">
        <f>IF(OR(E2155="",E2155="!!!"),"",IF(OR(J2155=0,AND(J2155=1,K2155=1),AND(J2155=1,I2155="SBJ"),AND(J2155=1,I2155=0)),"?IN_FOCUS",IF(J2155&lt;=2,"?ACTIVATED",IF(J2155&lt;&gt;"","?FAMILIAR",IF(F2155="NEW",IF(ISNA(VLOOKUP(E2155,#REF!,1,FALSE())),"?TYPE_IDENTIFIABLE","?REFERENTIAL"),"_")))))</f>
        <v> </v>
      </c>
      <c r="H2155" s="24" t="str">
        <f>IF(J2155&lt;&gt;1,"",IF(I2155="SBJ","CB","?"))</f>
        <v> </v>
      </c>
      <c r="I2155" s="25" t="str">
        <f>IF(OR(E2155="",E2155="!!!",F2155="NEW"),"",INDEX(B2154:B$2,-1+SUMPRODUCT(MAX(ROW(E2154:E$2)*(E2155=E2154:E$2)))))</f>
        <v> </v>
      </c>
      <c r="J2155" s="25" t="str">
        <f>IF(OR(E2155="",E2155="!!!",F2155="NEW"),"",COUNTBLANK(OFFSET(A$1,,,SUMPRODUCT(MAX(ROW(E$2:E2155)*(E2155=E$2:E2155)))))-COUNTBLANK(OFFSET(A$1,,,SUMPRODUCT(MAX(ROW(E$1:E2154)*(E2=E$1:E2154))))))</f>
        <v> </v>
      </c>
      <c r="K2155" s="25" t="str">
        <f>IF(OR(E2155="",E2155="!!!",F2155="NEW"),"",INDEX(J$1:J2154,SUMPRODUCT(MAX(ROW(E$1:E2154)*(E2155=E$1:E2154)))))</f>
        <v> </v>
      </c>
      <c r="L2155" s="26"/>
    </row>
    <row r="2156" spans="1:12">
      <c r="A2156" s="20" t="s">
        <v>1145</v>
      </c>
      <c r="E2156" s="21">
        <f>IF(D2156="?OLD","!!!","")</f>
        <v/>
      </c>
      <c r="F2156" s="22" t="str">
        <f>IF(OR(E2156="",E2156="!!!"),"",IF(NOT(ISNA(VLOOKUP(E2156,E$1:E2155,1,FALSE()))),"OLD",IF(AND(E2156&lt;&gt;"",E2156&lt;&gt;"!!!"),"NEW","")))</f>
        <v> </v>
      </c>
      <c r="G2156" s="23" t="str">
        <f>IF(OR(E2156="",E2156="!!!"),"",IF(OR(J2156=0,AND(J2156=1,K2156=1),AND(J2156=1,I2156="SBJ"),AND(J2156=1,I2156=0)),"?IN_FOCUS",IF(J2156&lt;=2,"?ACTIVATED",IF(J2156&lt;&gt;"","?FAMILIAR",IF(F2156="NEW",IF(ISNA(VLOOKUP(E2156,#REF!,1,FALSE())),"?TYPE_IDENTIFIABLE","?REFERENTIAL"),"_")))))</f>
        <v> </v>
      </c>
      <c r="H2156" s="24" t="str">
        <f>IF(J2156&lt;&gt;1,"",IF(I2156="SBJ","CB","?"))</f>
        <v> </v>
      </c>
      <c r="I2156" s="25" t="str">
        <f>IF(OR(E2156="",E2156="!!!",F2156="NEW"),"",INDEX(B2155:B$2,-1+SUMPRODUCT(MAX(ROW(E2155:E$2)*(E2156=E2155:E$2)))))</f>
        <v> </v>
      </c>
      <c r="J2156" s="25" t="str">
        <f>IF(OR(E2156="",E2156="!!!",F2156="NEW"),"",COUNTBLANK(OFFSET(A$1,,,SUMPRODUCT(MAX(ROW(E$2:E2156)*(E2156=E$2:E2156)))))-COUNTBLANK(OFFSET(A$1,,,SUMPRODUCT(MAX(ROW(E$1:E2155)*(E2=E$1:E2155))))))</f>
        <v> </v>
      </c>
      <c r="K2156" s="25" t="str">
        <f>IF(OR(E2156="",E2156="!!!",F2156="NEW"),"",INDEX(J$1:J2155,SUMPRODUCT(MAX(ROW(E$1:E2155)*(E2156=E$1:E2155)))))</f>
        <v> </v>
      </c>
      <c r="L2156" s="26"/>
    </row>
    <row r="2157" spans="1:12">
      <c r="A2157" s="20"/>
    </row>
    <row r="2158" spans="1:12">
      <c r="A2158" s="20" t="s">
        <v>2186</v>
      </c>
    </row>
    <row r="2159" spans="1:12">
      <c r="A2159" s="20" t="s">
        <v>727</v>
      </c>
      <c r="B2159" s="27" t="s">
        <v>1149</v>
      </c>
      <c r="E2159" s="21">
        <f>IF(D2159="?OLD","!!!","")</f>
        <v/>
      </c>
      <c r="F2159" s="22" t="str">
        <f>IF(OR(E2159="",E2159="!!!"),"",IF(NOT(ISNA(VLOOKUP(E2159,E$1:E2158,1,FALSE()))),"OLD",IF(AND(E2159&lt;&gt;"",E2159&lt;&gt;"!!!"),"NEW","")))</f>
        <v> </v>
      </c>
      <c r="G2159" s="23" t="str">
        <f>IF(OR(E2159="",E2159="!!!"),"",IF(OR(J2159=0,AND(J2159=1,K2159=1),AND(J2159=1,I2159="SBJ"),AND(J2159=1,I2159=0)),"?IN_FOCUS",IF(J2159&lt;=2,"?ACTIVATED",IF(J2159&lt;&gt;"","?FAMILIAR",IF(F2159="NEW",IF(ISNA(VLOOKUP(E2159,#REF!,1,FALSE())),"?TYPE_IDENTIFIABLE","?REFERENTIAL"),"_")))))</f>
        <v> </v>
      </c>
      <c r="H2159" s="24" t="str">
        <f>IF(J2159&lt;&gt;1,"",IF(I2159="SBJ","CB","?"))</f>
        <v> </v>
      </c>
      <c r="I2159" s="25" t="str">
        <f>IF(OR(E2159="",E2159="!!!",F2159="NEW"),"",INDEX(B2158:B$2,-1+SUMPRODUCT(MAX(ROW(E2158:E$2)*(E2159=E2158:E$2)))))</f>
        <v> </v>
      </c>
      <c r="J2159" s="25" t="str">
        <f>IF(OR(E2159="",E2159="!!!",F2159="NEW"),"",COUNTBLANK(OFFSET(A$1,,,SUMPRODUCT(MAX(ROW(E$2:E2159)*(E2159=E$2:E2159)))))-COUNTBLANK(OFFSET(A$1,,,SUMPRODUCT(MAX(ROW(E$1:E2158)*(E2=E$1:E2158))))))</f>
        <v> </v>
      </c>
      <c r="K2159" s="25" t="str">
        <f>IF(OR(E2159="",E2159="!!!",F2159="NEW"),"",INDEX(J$1:J2158,SUMPRODUCT(MAX(ROW(E$1:E2158)*(E2159=E$1:E2158)))))</f>
        <v> </v>
      </c>
      <c r="L2159" s="26"/>
    </row>
    <row r="2160" spans="1:12">
      <c r="A2160" s="20" t="s">
        <v>2187</v>
      </c>
      <c r="E2160" s="21">
        <f>IF(D2160="?OLD","!!!","")</f>
        <v/>
      </c>
      <c r="F2160" s="22" t="str">
        <f>IF(OR(E2160="",E2160="!!!"),"",IF(NOT(ISNA(VLOOKUP(E2160,E$1:E2159,1,FALSE()))),"OLD",IF(AND(E2160&lt;&gt;"",E2160&lt;&gt;"!!!"),"NEW","")))</f>
        <v> </v>
      </c>
      <c r="G2160" s="23" t="str">
        <f>IF(OR(E2160="",E2160="!!!"),"",IF(OR(J2160=0,AND(J2160=1,K2160=1),AND(J2160=1,I2160="SBJ"),AND(J2160=1,I2160=0)),"?IN_FOCUS",IF(J2160&lt;=2,"?ACTIVATED",IF(J2160&lt;&gt;"","?FAMILIAR",IF(F2160="NEW",IF(ISNA(VLOOKUP(E2160,#REF!,1,FALSE())),"?TYPE_IDENTIFIABLE","?REFERENTIAL"),"_")))))</f>
        <v> </v>
      </c>
      <c r="H2160" s="24" t="str">
        <f>IF(J2160&lt;&gt;1,"",IF(I2160="SBJ","CB","?"))</f>
        <v> </v>
      </c>
      <c r="I2160" s="25" t="str">
        <f>IF(OR(E2160="",E2160="!!!",F2160="NEW"),"",INDEX(B2159:B$2,-1+SUMPRODUCT(MAX(ROW(E2159:E$2)*(E2160=E2159:E$2)))))</f>
        <v> </v>
      </c>
      <c r="J2160" s="25" t="str">
        <f>IF(OR(E2160="",E2160="!!!",F2160="NEW"),"",COUNTBLANK(OFFSET(A$1,,,SUMPRODUCT(MAX(ROW(E$2:E2160)*(E2160=E$2:E2160)))))-COUNTBLANK(OFFSET(A$1,,,SUMPRODUCT(MAX(ROW(E$1:E2159)*(E2=E$1:E2159))))))</f>
        <v> </v>
      </c>
      <c r="K2160" s="25" t="str">
        <f>IF(OR(E2160="",E2160="!!!",F2160="NEW"),"",INDEX(J$1:J2159,SUMPRODUCT(MAX(ROW(E$1:E2159)*(E2160=E$1:E2159)))))</f>
        <v> </v>
      </c>
      <c r="L2160" s="26"/>
    </row>
    <row r="2161" spans="1:12">
      <c r="A2161" s="20" t="s">
        <v>1166</v>
      </c>
      <c r="B2161" s="27" t="s">
        <v>1213</v>
      </c>
      <c r="C2161" s="27" t="s">
        <v>1126</v>
      </c>
      <c r="D2161" s="27" t="s">
        <v>1105</v>
      </c>
      <c r="E2161" s="21">
        <f>IF(D2161="?OLD","!!!","")</f>
        <v/>
      </c>
      <c r="F2161" s="22" t="str">
        <f>IF(OR(E2161="",E2161="!!!"),"",IF(NOT(ISNA(VLOOKUP(E2161,E$1:E2160,1,FALSE()))),"OLD",IF(AND(E2161&lt;&gt;"",E2161&lt;&gt;"!!!"),"NEW","")))</f>
        <v> </v>
      </c>
      <c r="G2161" s="23" t="str">
        <f>IF(OR(E2161="",E2161="!!!"),"",IF(OR(J2161=0,AND(J2161=1,K2161=1),AND(J2161=1,I2161="SBJ"),AND(J2161=1,I2161=0)),"?IN_FOCUS",IF(J2161&lt;=2,"?ACTIVATED",IF(J2161&lt;&gt;"","?FAMILIAR",IF(F2161="NEW",IF(ISNA(VLOOKUP(E2161,#REF!,1,FALSE())),"?TYPE_IDENTIFIABLE","?REFERENTIAL"),"_")))))</f>
        <v> </v>
      </c>
      <c r="H2161" s="24" t="str">
        <f>IF(J2161&lt;&gt;1,"",IF(I2161="SBJ","CB","?"))</f>
        <v> </v>
      </c>
      <c r="I2161" s="25" t="str">
        <f>IF(OR(E2161="",E2161="!!!",F2161="NEW"),"",INDEX(B2160:B$2,-1+SUMPRODUCT(MAX(ROW(E2160:E$2)*(E2161=E2160:E$2)))))</f>
        <v> </v>
      </c>
      <c r="J2161" s="25" t="str">
        <f>IF(OR(E2161="",E2161="!!!",F2161="NEW"),"",COUNTBLANK(OFFSET(A$1,,,SUMPRODUCT(MAX(ROW(E$2:E2161)*(E2161=E$2:E2161)))))-COUNTBLANK(OFFSET(A$1,,,SUMPRODUCT(MAX(ROW(E$1:E2160)*(E2=E$1:E2160))))))</f>
        <v> </v>
      </c>
      <c r="K2161" s="25" t="str">
        <f>IF(OR(E2161="",E2161="!!!",F2161="NEW"),"",INDEX(J$1:J2160,SUMPRODUCT(MAX(ROW(E$1:E2160)*(E2161=E$1:E2160)))))</f>
        <v> </v>
      </c>
      <c r="L2161" s="26"/>
    </row>
    <row r="2162" spans="1:12">
      <c r="A2162" s="20" t="s">
        <v>2188</v>
      </c>
      <c r="E2162" s="21">
        <f>IF(D2162="?OLD","!!!","")</f>
        <v/>
      </c>
      <c r="F2162" s="22" t="str">
        <f>IF(OR(E2162="",E2162="!!!"),"",IF(NOT(ISNA(VLOOKUP(E2162,E$1:E2161,1,FALSE()))),"OLD",IF(AND(E2162&lt;&gt;"",E2162&lt;&gt;"!!!"),"NEW","")))</f>
        <v> </v>
      </c>
      <c r="G2162" s="23" t="str">
        <f>IF(OR(E2162="",E2162="!!!"),"",IF(OR(J2162=0,AND(J2162=1,K2162=1),AND(J2162=1,I2162="SBJ"),AND(J2162=1,I2162=0)),"?IN_FOCUS",IF(J2162&lt;=2,"?ACTIVATED",IF(J2162&lt;&gt;"","?FAMILIAR",IF(F2162="NEW",IF(ISNA(VLOOKUP(E2162,#REF!,1,FALSE())),"?TYPE_IDENTIFIABLE","?REFERENTIAL"),"_")))))</f>
        <v> </v>
      </c>
      <c r="H2162" s="24" t="str">
        <f>IF(J2162&lt;&gt;1,"",IF(I2162="SBJ","CB","?"))</f>
        <v> </v>
      </c>
      <c r="I2162" s="25" t="str">
        <f>IF(OR(E2162="",E2162="!!!",F2162="NEW"),"",INDEX(B2161:B$2,-1+SUMPRODUCT(MAX(ROW(E2161:E$2)*(E2162=E2161:E$2)))))</f>
        <v> </v>
      </c>
      <c r="J2162" s="25" t="str">
        <f>IF(OR(E2162="",E2162="!!!",F2162="NEW"),"",COUNTBLANK(OFFSET(A$1,,,SUMPRODUCT(MAX(ROW(E$2:E2162)*(E2162=E$2:E2162)))))-COUNTBLANK(OFFSET(A$1,,,SUMPRODUCT(MAX(ROW(E$1:E2161)*(E2=E$1:E2161))))))</f>
        <v> </v>
      </c>
      <c r="K2162" s="25" t="str">
        <f>IF(OR(E2162="",E2162="!!!",F2162="NEW"),"",INDEX(J$1:J2161,SUMPRODUCT(MAX(ROW(E$1:E2161)*(E2162=E$1:E2161)))))</f>
        <v> </v>
      </c>
      <c r="L2162" s="26"/>
    </row>
    <row r="2163" spans="1:12">
      <c r="A2163" s="20" t="s">
        <v>2142</v>
      </c>
      <c r="E2163" s="21">
        <f>IF(D2163="?OLD","!!!","")</f>
        <v/>
      </c>
      <c r="F2163" s="22" t="str">
        <f>IF(OR(E2163="",E2163="!!!"),"",IF(NOT(ISNA(VLOOKUP(E2163,E$1:E2162,1,FALSE()))),"OLD",IF(AND(E2163&lt;&gt;"",E2163&lt;&gt;"!!!"),"NEW","")))</f>
        <v> </v>
      </c>
      <c r="G2163" s="23" t="str">
        <f>IF(OR(E2163="",E2163="!!!"),"",IF(OR(J2163=0,AND(J2163=1,K2163=1),AND(J2163=1,I2163="SBJ"),AND(J2163=1,I2163=0)),"?IN_FOCUS",IF(J2163&lt;=2,"?ACTIVATED",IF(J2163&lt;&gt;"","?FAMILIAR",IF(F2163="NEW",IF(ISNA(VLOOKUP(E2163,#REF!,1,FALSE())),"?TYPE_IDENTIFIABLE","?REFERENTIAL"),"_")))))</f>
        <v> </v>
      </c>
      <c r="H2163" s="24" t="str">
        <f>IF(J2163&lt;&gt;1,"",IF(I2163="SBJ","CB","?"))</f>
        <v> </v>
      </c>
      <c r="I2163" s="25" t="str">
        <f>IF(OR(E2163="",E2163="!!!",F2163="NEW"),"",INDEX(B2162:B$2,-1+SUMPRODUCT(MAX(ROW(E2162:E$2)*(E2163=E2162:E$2)))))</f>
        <v> </v>
      </c>
      <c r="J2163" s="25" t="str">
        <f>IF(OR(E2163="",E2163="!!!",F2163="NEW"),"",COUNTBLANK(OFFSET(A$1,,,SUMPRODUCT(MAX(ROW(E$2:E2163)*(E2163=E$2:E2163)))))-COUNTBLANK(OFFSET(A$1,,,SUMPRODUCT(MAX(ROW(E$1:E2162)*(E2=E$1:E2162))))))</f>
        <v> </v>
      </c>
      <c r="K2163" s="25" t="str">
        <f>IF(OR(E2163="",E2163="!!!",F2163="NEW"),"",INDEX(J$1:J2162,SUMPRODUCT(MAX(ROW(E$1:E2162)*(E2163=E$1:E2162)))))</f>
        <v> </v>
      </c>
      <c r="L2163" s="26"/>
    </row>
    <row r="2164" spans="1:12">
      <c r="A2164" s="20" t="s">
        <v>2189</v>
      </c>
      <c r="B2164" s="27" t="s">
        <v>1213</v>
      </c>
      <c r="E2164" s="21">
        <f>IF(D2164="?OLD","!!!","")</f>
        <v/>
      </c>
      <c r="F2164" s="22" t="str">
        <f>IF(OR(E2164="",E2164="!!!"),"",IF(NOT(ISNA(VLOOKUP(E2164,E$1:E2163,1,FALSE()))),"OLD",IF(AND(E2164&lt;&gt;"",E2164&lt;&gt;"!!!"),"NEW","")))</f>
        <v> </v>
      </c>
      <c r="G2164" s="23" t="str">
        <f>IF(OR(E2164="",E2164="!!!"),"",IF(OR(J2164=0,AND(J2164=1,K2164=1),AND(J2164=1,I2164="SBJ"),AND(J2164=1,I2164=0)),"?IN_FOCUS",IF(J2164&lt;=2,"?ACTIVATED",IF(J2164&lt;&gt;"","?FAMILIAR",IF(F2164="NEW",IF(ISNA(VLOOKUP(E2164,#REF!,1,FALSE())),"?TYPE_IDENTIFIABLE","?REFERENTIAL"),"_")))))</f>
        <v> </v>
      </c>
      <c r="H2164" s="24" t="str">
        <f>IF(J2164&lt;&gt;1,"",IF(I2164="SBJ","CB","?"))</f>
        <v> </v>
      </c>
      <c r="I2164" s="25" t="str">
        <f>IF(OR(E2164="",E2164="!!!",F2164="NEW"),"",INDEX(B2163:B$2,-1+SUMPRODUCT(MAX(ROW(E2163:E$2)*(E2164=E2163:E$2)))))</f>
        <v> </v>
      </c>
      <c r="J2164" s="25" t="str">
        <f>IF(OR(E2164="",E2164="!!!",F2164="NEW"),"",COUNTBLANK(OFFSET(A$1,,,SUMPRODUCT(MAX(ROW(E$2:E2164)*(E2164=E$2:E2164)))))-COUNTBLANK(OFFSET(A$1,,,SUMPRODUCT(MAX(ROW(E$1:E2163)*(E2=E$1:E2163))))))</f>
        <v> </v>
      </c>
      <c r="K2164" s="25" t="str">
        <f>IF(OR(E2164="",E2164="!!!",F2164="NEW"),"",INDEX(J$1:J2163,SUMPRODUCT(MAX(ROW(E$1:E2163)*(E2164=E$1:E2163)))))</f>
        <v> </v>
      </c>
      <c r="L2164" s="26"/>
    </row>
    <row r="2165" spans="1:12">
      <c r="A2165" s="20" t="s">
        <v>2190</v>
      </c>
      <c r="E2165" s="21">
        <f>IF(D2165="?OLD","!!!","")</f>
        <v/>
      </c>
      <c r="F2165" s="22" t="str">
        <f>IF(OR(E2165="",E2165="!!!"),"",IF(NOT(ISNA(VLOOKUP(E2165,E$1:E2164,1,FALSE()))),"OLD",IF(AND(E2165&lt;&gt;"",E2165&lt;&gt;"!!!"),"NEW","")))</f>
        <v> </v>
      </c>
      <c r="G2165" s="23" t="str">
        <f>IF(OR(E2165="",E2165="!!!"),"",IF(OR(J2165=0,AND(J2165=1,K2165=1),AND(J2165=1,I2165="SBJ"),AND(J2165=1,I2165=0)),"?IN_FOCUS",IF(J2165&lt;=2,"?ACTIVATED",IF(J2165&lt;&gt;"","?FAMILIAR",IF(F2165="NEW",IF(ISNA(VLOOKUP(E2165,#REF!,1,FALSE())),"?TYPE_IDENTIFIABLE","?REFERENTIAL"),"_")))))</f>
        <v> </v>
      </c>
      <c r="H2165" s="24" t="str">
        <f>IF(J2165&lt;&gt;1,"",IF(I2165="SBJ","CB","?"))</f>
        <v> </v>
      </c>
      <c r="I2165" s="25" t="str">
        <f>IF(OR(E2165="",E2165="!!!",F2165="NEW"),"",INDEX(B2164:B$2,-1+SUMPRODUCT(MAX(ROW(E2164:E$2)*(E2165=E2164:E$2)))))</f>
        <v> </v>
      </c>
      <c r="J2165" s="25" t="str">
        <f>IF(OR(E2165="",E2165="!!!",F2165="NEW"),"",COUNTBLANK(OFFSET(A$1,,,SUMPRODUCT(MAX(ROW(E$2:E2165)*(E2165=E$2:E2165)))))-COUNTBLANK(OFFSET(A$1,,,SUMPRODUCT(MAX(ROW(E$1:E2164)*(E2=E$1:E2164))))))</f>
        <v> </v>
      </c>
      <c r="K2165" s="25" t="str">
        <f>IF(OR(E2165="",E2165="!!!",F2165="NEW"),"",INDEX(J$1:J2164,SUMPRODUCT(MAX(ROW(E$1:E2164)*(E2165=E$1:E2164)))))</f>
        <v> </v>
      </c>
      <c r="L2165" s="26"/>
    </row>
    <row r="2166" spans="1:12">
      <c r="A2166" s="20" t="s">
        <v>1130</v>
      </c>
      <c r="E2166" s="21">
        <f>IF(D2166="?OLD","!!!","")</f>
        <v/>
      </c>
      <c r="F2166" s="22" t="str">
        <f>IF(OR(E2166="",E2166="!!!"),"",IF(NOT(ISNA(VLOOKUP(E2166,E$1:E2165,1,FALSE()))),"OLD",IF(AND(E2166&lt;&gt;"",E2166&lt;&gt;"!!!"),"NEW","")))</f>
        <v> </v>
      </c>
      <c r="G2166" s="23" t="str">
        <f>IF(OR(E2166="",E2166="!!!"),"",IF(OR(J2166=0,AND(J2166=1,K2166=1),AND(J2166=1,I2166="SBJ"),AND(J2166=1,I2166=0)),"?IN_FOCUS",IF(J2166&lt;=2,"?ACTIVATED",IF(J2166&lt;&gt;"","?FAMILIAR",IF(F2166="NEW",IF(ISNA(VLOOKUP(E2166,#REF!,1,FALSE())),"?TYPE_IDENTIFIABLE","?REFERENTIAL"),"_")))))</f>
        <v> </v>
      </c>
      <c r="H2166" s="24" t="str">
        <f>IF(J2166&lt;&gt;1,"",IF(I2166="SBJ","CB","?"))</f>
        <v> </v>
      </c>
      <c r="I2166" s="25" t="str">
        <f>IF(OR(E2166="",E2166="!!!",F2166="NEW"),"",INDEX(B2165:B$2,-1+SUMPRODUCT(MAX(ROW(E2165:E$2)*(E2166=E2165:E$2)))))</f>
        <v> </v>
      </c>
      <c r="J2166" s="25" t="str">
        <f>IF(OR(E2166="",E2166="!!!",F2166="NEW"),"",COUNTBLANK(OFFSET(A$1,,,SUMPRODUCT(MAX(ROW(E$2:E2166)*(E2166=E$2:E2166)))))-COUNTBLANK(OFFSET(A$1,,,SUMPRODUCT(MAX(ROW(E$1:E2165)*(E2=E$1:E2165))))))</f>
        <v> </v>
      </c>
      <c r="K2166" s="25" t="str">
        <f>IF(OR(E2166="",E2166="!!!",F2166="NEW"),"",INDEX(J$1:J2165,SUMPRODUCT(MAX(ROW(E$1:E2165)*(E2166=E$1:E2165)))))</f>
        <v> </v>
      </c>
      <c r="L2166" s="26"/>
    </row>
    <row r="2167" spans="1:12">
      <c r="A2167" s="20" t="s">
        <v>2191</v>
      </c>
      <c r="E2167" s="21">
        <f>IF(D2167="?OLD","!!!","")</f>
        <v/>
      </c>
      <c r="F2167" s="22" t="str">
        <f>IF(OR(E2167="",E2167="!!!"),"",IF(NOT(ISNA(VLOOKUP(E2167,E$1:E2166,1,FALSE()))),"OLD",IF(AND(E2167&lt;&gt;"",E2167&lt;&gt;"!!!"),"NEW","")))</f>
        <v> </v>
      </c>
      <c r="G2167" s="23" t="str">
        <f>IF(OR(E2167="",E2167="!!!"),"",IF(OR(J2167=0,AND(J2167=1,K2167=1),AND(J2167=1,I2167="SBJ"),AND(J2167=1,I2167=0)),"?IN_FOCUS",IF(J2167&lt;=2,"?ACTIVATED",IF(J2167&lt;&gt;"","?FAMILIAR",IF(F2167="NEW",IF(ISNA(VLOOKUP(E2167,#REF!,1,FALSE())),"?TYPE_IDENTIFIABLE","?REFERENTIAL"),"_")))))</f>
        <v> </v>
      </c>
      <c r="H2167" s="24" t="str">
        <f>IF(J2167&lt;&gt;1,"",IF(I2167="SBJ","CB","?"))</f>
        <v> </v>
      </c>
      <c r="I2167" s="25" t="str">
        <f>IF(OR(E2167="",E2167="!!!",F2167="NEW"),"",INDEX(B2166:B$2,-1+SUMPRODUCT(MAX(ROW(E2166:E$2)*(E2167=E2166:E$2)))))</f>
        <v> </v>
      </c>
      <c r="J2167" s="25" t="str">
        <f>IF(OR(E2167="",E2167="!!!",F2167="NEW"),"",COUNTBLANK(OFFSET(A$1,,,SUMPRODUCT(MAX(ROW(E$2:E2167)*(E2167=E$2:E2167)))))-COUNTBLANK(OFFSET(A$1,,,SUMPRODUCT(MAX(ROW(E$1:E2166)*(E2=E$1:E2166))))))</f>
        <v> </v>
      </c>
      <c r="K2167" s="25" t="str">
        <f>IF(OR(E2167="",E2167="!!!",F2167="NEW"),"",INDEX(J$1:J2166,SUMPRODUCT(MAX(ROW(E$1:E2166)*(E2167=E$1:E2166)))))</f>
        <v> </v>
      </c>
      <c r="L2167" s="26"/>
    </row>
    <row r="2168" spans="1:12">
      <c r="A2168" s="20" t="s">
        <v>1123</v>
      </c>
      <c r="E2168" s="21">
        <f>IF(D2168="?OLD","!!!","")</f>
        <v/>
      </c>
      <c r="F2168" s="22" t="str">
        <f>IF(OR(E2168="",E2168="!!!"),"",IF(NOT(ISNA(VLOOKUP(E2168,E$1:E2167,1,FALSE()))),"OLD",IF(AND(E2168&lt;&gt;"",E2168&lt;&gt;"!!!"),"NEW","")))</f>
        <v> </v>
      </c>
      <c r="G2168" s="23" t="str">
        <f>IF(OR(E2168="",E2168="!!!"),"",IF(OR(J2168=0,AND(J2168=1,K2168=1),AND(J2168=1,I2168="SBJ"),AND(J2168=1,I2168=0)),"?IN_FOCUS",IF(J2168&lt;=2,"?ACTIVATED",IF(J2168&lt;&gt;"","?FAMILIAR",IF(F2168="NEW",IF(ISNA(VLOOKUP(E2168,#REF!,1,FALSE())),"?TYPE_IDENTIFIABLE","?REFERENTIAL"),"_")))))</f>
        <v> </v>
      </c>
      <c r="H2168" s="24" t="str">
        <f>IF(J2168&lt;&gt;1,"",IF(I2168="SBJ","CB","?"))</f>
        <v> </v>
      </c>
      <c r="I2168" s="25" t="str">
        <f>IF(OR(E2168="",E2168="!!!",F2168="NEW"),"",INDEX(B2167:B$2,-1+SUMPRODUCT(MAX(ROW(E2167:E$2)*(E2168=E2167:E$2)))))</f>
        <v> </v>
      </c>
      <c r="J2168" s="25" t="str">
        <f>IF(OR(E2168="",E2168="!!!",F2168="NEW"),"",COUNTBLANK(OFFSET(A$1,,,SUMPRODUCT(MAX(ROW(E$2:E2168)*(E2168=E$2:E2168)))))-COUNTBLANK(OFFSET(A$1,,,SUMPRODUCT(MAX(ROW(E$1:E2167)*(E2=E$1:E2167))))))</f>
        <v> </v>
      </c>
      <c r="K2168" s="25" t="str">
        <f>IF(OR(E2168="",E2168="!!!",F2168="NEW"),"",INDEX(J$1:J2167,SUMPRODUCT(MAX(ROW(E$1:E2167)*(E2168=E$1:E2167)))))</f>
        <v> </v>
      </c>
      <c r="L2168" s="26"/>
    </row>
    <row r="2169" spans="1:12">
      <c r="A2169" s="20" t="s">
        <v>1128</v>
      </c>
      <c r="E2169" s="21">
        <f>IF(D2169="?OLD","!!!","")</f>
        <v/>
      </c>
      <c r="F2169" s="22" t="str">
        <f>IF(OR(E2169="",E2169="!!!"),"",IF(NOT(ISNA(VLOOKUP(E2169,E$1:E2168,1,FALSE()))),"OLD",IF(AND(E2169&lt;&gt;"",E2169&lt;&gt;"!!!"),"NEW","")))</f>
        <v> </v>
      </c>
      <c r="G2169" s="23" t="str">
        <f>IF(OR(E2169="",E2169="!!!"),"",IF(OR(J2169=0,AND(J2169=1,K2169=1),AND(J2169=1,I2169="SBJ"),AND(J2169=1,I2169=0)),"?IN_FOCUS",IF(J2169&lt;=2,"?ACTIVATED",IF(J2169&lt;&gt;"","?FAMILIAR",IF(F2169="NEW",IF(ISNA(VLOOKUP(E2169,#REF!,1,FALSE())),"?TYPE_IDENTIFIABLE","?REFERENTIAL"),"_")))))</f>
        <v> </v>
      </c>
      <c r="H2169" s="24" t="str">
        <f>IF(J2169&lt;&gt;1,"",IF(I2169="SBJ","CB","?"))</f>
        <v> </v>
      </c>
      <c r="I2169" s="25" t="str">
        <f>IF(OR(E2169="",E2169="!!!",F2169="NEW"),"",INDEX(B2168:B$2,-1+SUMPRODUCT(MAX(ROW(E2168:E$2)*(E2169=E2168:E$2)))))</f>
        <v> </v>
      </c>
      <c r="J2169" s="25" t="str">
        <f>IF(OR(E2169="",E2169="!!!",F2169="NEW"),"",COUNTBLANK(OFFSET(A$1,,,SUMPRODUCT(MAX(ROW(E$2:E2169)*(E2169=E$2:E2169)))))-COUNTBLANK(OFFSET(A$1,,,SUMPRODUCT(MAX(ROW(E$1:E2168)*(E2=E$1:E2168))))))</f>
        <v> </v>
      </c>
      <c r="K2169" s="25" t="str">
        <f>IF(OR(E2169="",E2169="!!!",F2169="NEW"),"",INDEX(J$1:J2168,SUMPRODUCT(MAX(ROW(E$1:E2168)*(E2169=E$1:E2168)))))</f>
        <v> </v>
      </c>
      <c r="L2169" s="26"/>
    </row>
    <row r="2170" spans="1:12">
      <c r="A2170" s="20" t="s">
        <v>1824</v>
      </c>
      <c r="E2170" s="21">
        <f>IF(D2170="?OLD","!!!","")</f>
        <v/>
      </c>
      <c r="F2170" s="22" t="str">
        <f>IF(OR(E2170="",E2170="!!!"),"",IF(NOT(ISNA(VLOOKUP(E2170,E$1:E2169,1,FALSE()))),"OLD",IF(AND(E2170&lt;&gt;"",E2170&lt;&gt;"!!!"),"NEW","")))</f>
        <v> </v>
      </c>
      <c r="G2170" s="23" t="str">
        <f>IF(OR(E2170="",E2170="!!!"),"",IF(OR(J2170=0,AND(J2170=1,K2170=1),AND(J2170=1,I2170="SBJ"),AND(J2170=1,I2170=0)),"?IN_FOCUS",IF(J2170&lt;=2,"?ACTIVATED",IF(J2170&lt;&gt;"","?FAMILIAR",IF(F2170="NEW",IF(ISNA(VLOOKUP(E2170,#REF!,1,FALSE())),"?TYPE_IDENTIFIABLE","?REFERENTIAL"),"_")))))</f>
        <v> </v>
      </c>
      <c r="H2170" s="24" t="str">
        <f>IF(J2170&lt;&gt;1,"",IF(I2170="SBJ","CB","?"))</f>
        <v> </v>
      </c>
      <c r="I2170" s="25" t="str">
        <f>IF(OR(E2170="",E2170="!!!",F2170="NEW"),"",INDEX(B2169:B$2,-1+SUMPRODUCT(MAX(ROW(E2169:E$2)*(E2170=E2169:E$2)))))</f>
        <v> </v>
      </c>
      <c r="J2170" s="25" t="str">
        <f>IF(OR(E2170="",E2170="!!!",F2170="NEW"),"",COUNTBLANK(OFFSET(A$1,,,SUMPRODUCT(MAX(ROW(E$2:E2170)*(E2170=E$2:E2170)))))-COUNTBLANK(OFFSET(A$1,,,SUMPRODUCT(MAX(ROW(E$1:E2169)*(E2=E$1:E2169))))))</f>
        <v> </v>
      </c>
      <c r="K2170" s="25" t="str">
        <f>IF(OR(E2170="",E2170="!!!",F2170="NEW"),"",INDEX(J$1:J2169,SUMPRODUCT(MAX(ROW(E$1:E2169)*(E2170=E$1:E2169)))))</f>
        <v> </v>
      </c>
      <c r="L2170" s="26"/>
    </row>
    <row r="2171" spans="1:12">
      <c r="A2171" s="20" t="s">
        <v>1982</v>
      </c>
      <c r="E2171" s="21">
        <f>IF(D2171="?OLD","!!!","")</f>
        <v/>
      </c>
      <c r="F2171" s="22" t="str">
        <f>IF(OR(E2171="",E2171="!!!"),"",IF(NOT(ISNA(VLOOKUP(E2171,E$1:E2170,1,FALSE()))),"OLD",IF(AND(E2171&lt;&gt;"",E2171&lt;&gt;"!!!"),"NEW","")))</f>
        <v> </v>
      </c>
      <c r="G2171" s="23" t="str">
        <f>IF(OR(E2171="",E2171="!!!"),"",IF(OR(J2171=0,AND(J2171=1,K2171=1),AND(J2171=1,I2171="SBJ"),AND(J2171=1,I2171=0)),"?IN_FOCUS",IF(J2171&lt;=2,"?ACTIVATED",IF(J2171&lt;&gt;"","?FAMILIAR",IF(F2171="NEW",IF(ISNA(VLOOKUP(E2171,#REF!,1,FALSE())),"?TYPE_IDENTIFIABLE","?REFERENTIAL"),"_")))))</f>
        <v> </v>
      </c>
      <c r="H2171" s="24" t="str">
        <f>IF(J2171&lt;&gt;1,"",IF(I2171="SBJ","CB","?"))</f>
        <v> </v>
      </c>
      <c r="I2171" s="25" t="str">
        <f>IF(OR(E2171="",E2171="!!!",F2171="NEW"),"",INDEX(B2170:B$2,-1+SUMPRODUCT(MAX(ROW(E2170:E$2)*(E2171=E2170:E$2)))))</f>
        <v> </v>
      </c>
      <c r="J2171" s="25" t="str">
        <f>IF(OR(E2171="",E2171="!!!",F2171="NEW"),"",COUNTBLANK(OFFSET(A$1,,,SUMPRODUCT(MAX(ROW(E$2:E2171)*(E2171=E$2:E2171)))))-COUNTBLANK(OFFSET(A$1,,,SUMPRODUCT(MAX(ROW(E$1:E2170)*(E2=E$1:E2170))))))</f>
        <v> </v>
      </c>
      <c r="K2171" s="25" t="str">
        <f>IF(OR(E2171="",E2171="!!!",F2171="NEW"),"",INDEX(J$1:J2170,SUMPRODUCT(MAX(ROW(E$1:E2170)*(E2171=E$1:E2170)))))</f>
        <v> </v>
      </c>
      <c r="L2171" s="26"/>
    </row>
    <row r="2172" spans="1:12">
      <c r="A2172" s="20" t="s">
        <v>1249</v>
      </c>
      <c r="E2172" s="21">
        <f>IF(D2172="?OLD","!!!","")</f>
        <v/>
      </c>
      <c r="F2172" s="22" t="str">
        <f>IF(OR(E2172="",E2172="!!!"),"",IF(NOT(ISNA(VLOOKUP(E2172,E$1:E2171,1,FALSE()))),"OLD",IF(AND(E2172&lt;&gt;"",E2172&lt;&gt;"!!!"),"NEW","")))</f>
        <v> </v>
      </c>
      <c r="G2172" s="23" t="str">
        <f>IF(OR(E2172="",E2172="!!!"),"",IF(OR(J2172=0,AND(J2172=1,K2172=1),AND(J2172=1,I2172="SBJ"),AND(J2172=1,I2172=0)),"?IN_FOCUS",IF(J2172&lt;=2,"?ACTIVATED",IF(J2172&lt;&gt;"","?FAMILIAR",IF(F2172="NEW",IF(ISNA(VLOOKUP(E2172,#REF!,1,FALSE())),"?TYPE_IDENTIFIABLE","?REFERENTIAL"),"_")))))</f>
        <v> </v>
      </c>
      <c r="H2172" s="24" t="str">
        <f>IF(J2172&lt;&gt;1,"",IF(I2172="SBJ","CB","?"))</f>
        <v> </v>
      </c>
      <c r="I2172" s="25" t="str">
        <f>IF(OR(E2172="",E2172="!!!",F2172="NEW"),"",INDEX(B2171:B$2,-1+SUMPRODUCT(MAX(ROW(E2171:E$2)*(E2172=E2171:E$2)))))</f>
        <v> </v>
      </c>
      <c r="J2172" s="25" t="str">
        <f>IF(OR(E2172="",E2172="!!!",F2172="NEW"),"",COUNTBLANK(OFFSET(A$1,,,SUMPRODUCT(MAX(ROW(E$2:E2172)*(E2172=E$2:E2172)))))-COUNTBLANK(OFFSET(A$1,,,SUMPRODUCT(MAX(ROW(E$1:E2171)*(E2=E$1:E2171))))))</f>
        <v> </v>
      </c>
      <c r="K2172" s="25" t="str">
        <f>IF(OR(E2172="",E2172="!!!",F2172="NEW"),"",INDEX(J$1:J2171,SUMPRODUCT(MAX(ROW(E$1:E2171)*(E2172=E$1:E2171)))))</f>
        <v> </v>
      </c>
      <c r="L2172" s="26"/>
    </row>
    <row r="2173" spans="1:12">
      <c r="A2173" s="20" t="s">
        <v>1270</v>
      </c>
      <c r="B2173" s="27" t="s">
        <v>1107</v>
      </c>
      <c r="C2173" s="27" t="s">
        <v>1126</v>
      </c>
      <c r="D2173" s="27" t="s">
        <v>1105</v>
      </c>
      <c r="E2173" s="21">
        <f>IF(D2173="?OLD","!!!","")</f>
        <v/>
      </c>
      <c r="F2173" s="22" t="str">
        <f>IF(OR(E2173="",E2173="!!!"),"",IF(NOT(ISNA(VLOOKUP(E2173,E$1:E2172,1,FALSE()))),"OLD",IF(AND(E2173&lt;&gt;"",E2173&lt;&gt;"!!!"),"NEW","")))</f>
        <v> </v>
      </c>
      <c r="G2173" s="23" t="str">
        <f>IF(OR(E2173="",E2173="!!!"),"",IF(OR(J2173=0,AND(J2173=1,K2173=1),AND(J2173=1,I2173="SBJ"),AND(J2173=1,I2173=0)),"?IN_FOCUS",IF(J2173&lt;=2,"?ACTIVATED",IF(J2173&lt;&gt;"","?FAMILIAR",IF(F2173="NEW",IF(ISNA(VLOOKUP(E2173,#REF!,1,FALSE())),"?TYPE_IDENTIFIABLE","?REFERENTIAL"),"_")))))</f>
        <v> </v>
      </c>
      <c r="H2173" s="24" t="str">
        <f>IF(J2173&lt;&gt;1,"",IF(I2173="SBJ","CB","?"))</f>
        <v> </v>
      </c>
      <c r="I2173" s="25" t="str">
        <f>IF(OR(E2173="",E2173="!!!",F2173="NEW"),"",INDEX(B2172:B$2,-1+SUMPRODUCT(MAX(ROW(E2172:E$2)*(E2173=E2172:E$2)))))</f>
        <v> </v>
      </c>
      <c r="J2173" s="25" t="str">
        <f>IF(OR(E2173="",E2173="!!!",F2173="NEW"),"",COUNTBLANK(OFFSET(A$1,,,SUMPRODUCT(MAX(ROW(E$2:E2173)*(E2173=E$2:E2173)))))-COUNTBLANK(OFFSET(A$1,,,SUMPRODUCT(MAX(ROW(E$1:E2172)*(E2=E$1:E2172))))))</f>
        <v> </v>
      </c>
      <c r="K2173" s="25" t="str">
        <f>IF(OR(E2173="",E2173="!!!",F2173="NEW"),"",INDEX(J$1:J2172,SUMPRODUCT(MAX(ROW(E$1:E2172)*(E2173=E$1:E2172)))))</f>
        <v> </v>
      </c>
      <c r="L2173" s="26"/>
    </row>
    <row r="2174" spans="1:12">
      <c r="A2174" s="20" t="s">
        <v>2192</v>
      </c>
      <c r="E2174" s="21">
        <f>IF(D2174="?OLD","!!!","")</f>
        <v/>
      </c>
      <c r="F2174" s="22" t="str">
        <f>IF(OR(E2174="",E2174="!!!"),"",IF(NOT(ISNA(VLOOKUP(E2174,E$1:E2173,1,FALSE()))),"OLD",IF(AND(E2174&lt;&gt;"",E2174&lt;&gt;"!!!"),"NEW","")))</f>
        <v> </v>
      </c>
      <c r="G2174" s="23" t="str">
        <f>IF(OR(E2174="",E2174="!!!"),"",IF(OR(J2174=0,AND(J2174=1,K2174=1),AND(J2174=1,I2174="SBJ"),AND(J2174=1,I2174=0)),"?IN_FOCUS",IF(J2174&lt;=2,"?ACTIVATED",IF(J2174&lt;&gt;"","?FAMILIAR",IF(F2174="NEW",IF(ISNA(VLOOKUP(E2174,#REF!,1,FALSE())),"?TYPE_IDENTIFIABLE","?REFERENTIAL"),"_")))))</f>
        <v> </v>
      </c>
      <c r="H2174" s="24" t="str">
        <f>IF(J2174&lt;&gt;1,"",IF(I2174="SBJ","CB","?"))</f>
        <v> </v>
      </c>
      <c r="I2174" s="25" t="str">
        <f>IF(OR(E2174="",E2174="!!!",F2174="NEW"),"",INDEX(B2173:B$2,-1+SUMPRODUCT(MAX(ROW(E2173:E$2)*(E2174=E2173:E$2)))))</f>
        <v> </v>
      </c>
      <c r="J2174" s="25" t="str">
        <f>IF(OR(E2174="",E2174="!!!",F2174="NEW"),"",COUNTBLANK(OFFSET(A$1,,,SUMPRODUCT(MAX(ROW(E$2:E2174)*(E2174=E$2:E2174)))))-COUNTBLANK(OFFSET(A$1,,,SUMPRODUCT(MAX(ROW(E$1:E2173)*(E2=E$1:E2173))))))</f>
        <v> </v>
      </c>
      <c r="K2174" s="25" t="str">
        <f>IF(OR(E2174="",E2174="!!!",F2174="NEW"),"",INDEX(J$1:J2173,SUMPRODUCT(MAX(ROW(E$1:E2173)*(E2174=E$1:E2173)))))</f>
        <v> </v>
      </c>
      <c r="L2174" s="26"/>
    </row>
    <row r="2175" spans="1:12">
      <c r="A2175" s="20" t="s">
        <v>2193</v>
      </c>
      <c r="E2175" s="21">
        <f>IF(D2175="?OLD","!!!","")</f>
        <v/>
      </c>
      <c r="F2175" s="22" t="str">
        <f>IF(OR(E2175="",E2175="!!!"),"",IF(NOT(ISNA(VLOOKUP(E2175,E$1:E2174,1,FALSE()))),"OLD",IF(AND(E2175&lt;&gt;"",E2175&lt;&gt;"!!!"),"NEW","")))</f>
        <v> </v>
      </c>
      <c r="G2175" s="23" t="str">
        <f>IF(OR(E2175="",E2175="!!!"),"",IF(OR(J2175=0,AND(J2175=1,K2175=1),AND(J2175=1,I2175="SBJ"),AND(J2175=1,I2175=0)),"?IN_FOCUS",IF(J2175&lt;=2,"?ACTIVATED",IF(J2175&lt;&gt;"","?FAMILIAR",IF(F2175="NEW",IF(ISNA(VLOOKUP(E2175,#REF!,1,FALSE())),"?TYPE_IDENTIFIABLE","?REFERENTIAL"),"_")))))</f>
        <v> </v>
      </c>
      <c r="H2175" s="24" t="str">
        <f>IF(J2175&lt;&gt;1,"",IF(I2175="SBJ","CB","?"))</f>
        <v> </v>
      </c>
      <c r="I2175" s="25" t="str">
        <f>IF(OR(E2175="",E2175="!!!",F2175="NEW"),"",INDEX(B2174:B$2,-1+SUMPRODUCT(MAX(ROW(E2174:E$2)*(E2175=E2174:E$2)))))</f>
        <v> </v>
      </c>
      <c r="J2175" s="25" t="str">
        <f>IF(OR(E2175="",E2175="!!!",F2175="NEW"),"",COUNTBLANK(OFFSET(A$1,,,SUMPRODUCT(MAX(ROW(E$2:E2175)*(E2175=E$2:E2175)))))-COUNTBLANK(OFFSET(A$1,,,SUMPRODUCT(MAX(ROW(E$1:E2174)*(E2=E$1:E2174))))))</f>
        <v> </v>
      </c>
      <c r="K2175" s="25" t="str">
        <f>IF(OR(E2175="",E2175="!!!",F2175="NEW"),"",INDEX(J$1:J2174,SUMPRODUCT(MAX(ROW(E$1:E2174)*(E2175=E$1:E2174)))))</f>
        <v> </v>
      </c>
      <c r="L2175" s="26"/>
    </row>
    <row r="2176" spans="1:12">
      <c r="A2176" s="20" t="s">
        <v>2194</v>
      </c>
      <c r="E2176" s="21">
        <f>IF(D2176="?OLD","!!!","")</f>
        <v/>
      </c>
      <c r="F2176" s="22" t="str">
        <f>IF(OR(E2176="",E2176="!!!"),"",IF(NOT(ISNA(VLOOKUP(E2176,E$1:E2175,1,FALSE()))),"OLD",IF(AND(E2176&lt;&gt;"",E2176&lt;&gt;"!!!"),"NEW","")))</f>
        <v> </v>
      </c>
      <c r="G2176" s="23" t="str">
        <f>IF(OR(E2176="",E2176="!!!"),"",IF(OR(J2176=0,AND(J2176=1,K2176=1),AND(J2176=1,I2176="SBJ"),AND(J2176=1,I2176=0)),"?IN_FOCUS",IF(J2176&lt;=2,"?ACTIVATED",IF(J2176&lt;&gt;"","?FAMILIAR",IF(F2176="NEW",IF(ISNA(VLOOKUP(E2176,#REF!,1,FALSE())),"?TYPE_IDENTIFIABLE","?REFERENTIAL"),"_")))))</f>
        <v> </v>
      </c>
      <c r="H2176" s="24" t="str">
        <f>IF(J2176&lt;&gt;1,"",IF(I2176="SBJ","CB","?"))</f>
        <v> </v>
      </c>
      <c r="I2176" s="25" t="str">
        <f>IF(OR(E2176="",E2176="!!!",F2176="NEW"),"",INDEX(B2175:B$2,-1+SUMPRODUCT(MAX(ROW(E2175:E$2)*(E2176=E2175:E$2)))))</f>
        <v> </v>
      </c>
      <c r="J2176" s="25" t="str">
        <f>IF(OR(E2176="",E2176="!!!",F2176="NEW"),"",COUNTBLANK(OFFSET(A$1,,,SUMPRODUCT(MAX(ROW(E$2:E2176)*(E2176=E$2:E2176)))))-COUNTBLANK(OFFSET(A$1,,,SUMPRODUCT(MAX(ROW(E$1:E2175)*(E2=E$1:E2175))))))</f>
        <v> </v>
      </c>
      <c r="K2176" s="25" t="str">
        <f>IF(OR(E2176="",E2176="!!!",F2176="NEW"),"",INDEX(J$1:J2175,SUMPRODUCT(MAX(ROW(E$1:E2175)*(E2176=E$1:E2175)))))</f>
        <v> </v>
      </c>
      <c r="L2176" s="26"/>
    </row>
    <row r="2177" spans="1:12">
      <c r="A2177" s="20" t="s">
        <v>2019</v>
      </c>
      <c r="B2177" s="27" t="s">
        <v>1107</v>
      </c>
      <c r="C2177" s="27" t="s">
        <v>1210</v>
      </c>
      <c r="E2177" s="21">
        <f>IF(D2177="?OLD","!!!","")</f>
        <v/>
      </c>
      <c r="F2177" s="22" t="str">
        <f>IF(OR(E2177="",E2177="!!!"),"",IF(NOT(ISNA(VLOOKUP(E2177,E$1:E2176,1,FALSE()))),"OLD",IF(AND(E2177&lt;&gt;"",E2177&lt;&gt;"!!!"),"NEW","")))</f>
        <v> </v>
      </c>
      <c r="G2177" s="23" t="str">
        <f>IF(OR(E2177="",E2177="!!!"),"",IF(OR(J2177=0,AND(J2177=1,K2177=1),AND(J2177=1,I2177="SBJ"),AND(J2177=1,I2177=0)),"?IN_FOCUS",IF(J2177&lt;=2,"?ACTIVATED",IF(J2177&lt;&gt;"","?FAMILIAR",IF(F2177="NEW",IF(ISNA(VLOOKUP(E2177,#REF!,1,FALSE())),"?TYPE_IDENTIFIABLE","?REFERENTIAL"),"_")))))</f>
        <v> </v>
      </c>
      <c r="H2177" s="24" t="str">
        <f>IF(J2177&lt;&gt;1,"",IF(I2177="SBJ","CB","?"))</f>
        <v> </v>
      </c>
      <c r="I2177" s="25" t="str">
        <f>IF(OR(E2177="",E2177="!!!",F2177="NEW"),"",INDEX(B2176:B$2,-1+SUMPRODUCT(MAX(ROW(E2176:E$2)*(E2177=E2176:E$2)))))</f>
        <v> </v>
      </c>
      <c r="J2177" s="25" t="str">
        <f>IF(OR(E2177="",E2177="!!!",F2177="NEW"),"",COUNTBLANK(OFFSET(A$1,,,SUMPRODUCT(MAX(ROW(E$2:E2177)*(E2177=E$2:E2177)))))-COUNTBLANK(OFFSET(A$1,,,SUMPRODUCT(MAX(ROW(E$1:E2176)*(E2=E$1:E2176))))))</f>
        <v> </v>
      </c>
      <c r="K2177" s="25" t="str">
        <f>IF(OR(E2177="",E2177="!!!",F2177="NEW"),"",INDEX(J$1:J2176,SUMPRODUCT(MAX(ROW(E$1:E2176)*(E2177=E$1:E2176)))))</f>
        <v> </v>
      </c>
      <c r="L2177" s="26"/>
    </row>
    <row r="2178" spans="1:12">
      <c r="A2178" s="20" t="s">
        <v>1145</v>
      </c>
      <c r="E2178" s="21">
        <f>IF(D2178="?OLD","!!!","")</f>
        <v/>
      </c>
      <c r="F2178" s="22" t="str">
        <f>IF(OR(E2178="",E2178="!!!"),"",IF(NOT(ISNA(VLOOKUP(E2178,E$1:E2177,1,FALSE()))),"OLD",IF(AND(E2178&lt;&gt;"",E2178&lt;&gt;"!!!"),"NEW","")))</f>
        <v> </v>
      </c>
      <c r="G2178" s="23" t="str">
        <f>IF(OR(E2178="",E2178="!!!"),"",IF(OR(J2178=0,AND(J2178=1,K2178=1),AND(J2178=1,I2178="SBJ"),AND(J2178=1,I2178=0)),"?IN_FOCUS",IF(J2178&lt;=2,"?ACTIVATED",IF(J2178&lt;&gt;"","?FAMILIAR",IF(F2178="NEW",IF(ISNA(VLOOKUP(E2178,#REF!,1,FALSE())),"?TYPE_IDENTIFIABLE","?REFERENTIAL"),"_")))))</f>
        <v> </v>
      </c>
      <c r="H2178" s="24" t="str">
        <f>IF(J2178&lt;&gt;1,"",IF(I2178="SBJ","CB","?"))</f>
        <v> </v>
      </c>
      <c r="I2178" s="25" t="str">
        <f>IF(OR(E2178="",E2178="!!!",F2178="NEW"),"",INDEX(B2177:B$2,-1+SUMPRODUCT(MAX(ROW(E2177:E$2)*(E2178=E2177:E$2)))))</f>
        <v> </v>
      </c>
      <c r="J2178" s="25" t="str">
        <f>IF(OR(E2178="",E2178="!!!",F2178="NEW"),"",COUNTBLANK(OFFSET(A$1,,,SUMPRODUCT(MAX(ROW(E$2:E2178)*(E2178=E$2:E2178)))))-COUNTBLANK(OFFSET(A$1,,,SUMPRODUCT(MAX(ROW(E$1:E2177)*(E2=E$1:E2177))))))</f>
        <v> </v>
      </c>
      <c r="K2178" s="25" t="str">
        <f>IF(OR(E2178="",E2178="!!!",F2178="NEW"),"",INDEX(J$1:J2177,SUMPRODUCT(MAX(ROW(E$1:E2177)*(E2178=E$1:E2177)))))</f>
        <v> </v>
      </c>
      <c r="L2178" s="26"/>
    </row>
    <row r="2179" spans="1:12">
      <c r="A2179" s="20"/>
    </row>
    <row r="2180" spans="1:12">
      <c r="A2180" s="20" t="s">
        <v>2195</v>
      </c>
    </row>
    <row r="2181" spans="1:12">
      <c r="A2181" s="20" t="s">
        <v>1111</v>
      </c>
      <c r="E2181" s="21">
        <f>IF(D2181="?OLD","!!!","")</f>
        <v/>
      </c>
      <c r="F2181" s="22" t="str">
        <f>IF(OR(E2181="",E2181="!!!"),"",IF(NOT(ISNA(VLOOKUP(E2181,E$1:E2180,1,FALSE()))),"OLD",IF(AND(E2181&lt;&gt;"",E2181&lt;&gt;"!!!"),"NEW","")))</f>
        <v> </v>
      </c>
      <c r="G2181" s="23" t="str">
        <f>IF(OR(E2181="",E2181="!!!"),"",IF(OR(J2181=0,AND(J2181=1,K2181=1),AND(J2181=1,I2181="SBJ"),AND(J2181=1,I2181=0)),"?IN_FOCUS",IF(J2181&lt;=2,"?ACTIVATED",IF(J2181&lt;&gt;"","?FAMILIAR",IF(F2181="NEW",IF(ISNA(VLOOKUP(E2181,#REF!,1,FALSE())),"?TYPE_IDENTIFIABLE","?REFERENTIAL"),"_")))))</f>
        <v> </v>
      </c>
      <c r="H2181" s="24" t="str">
        <f>IF(J2181&lt;&gt;1,"",IF(I2181="SBJ","CB","?"))</f>
        <v> </v>
      </c>
      <c r="I2181" s="25" t="str">
        <f>IF(OR(E2181="",E2181="!!!",F2181="NEW"),"",INDEX(B2180:B$2,-1+SUMPRODUCT(MAX(ROW(E2180:E$2)*(E2181=E2180:E$2)))))</f>
        <v> </v>
      </c>
      <c r="J2181" s="25" t="str">
        <f>IF(OR(E2181="",E2181="!!!",F2181="NEW"),"",COUNTBLANK(OFFSET(A$1,,,SUMPRODUCT(MAX(ROW(E$2:E2181)*(E2181=E$2:E2181)))))-COUNTBLANK(OFFSET(A$1,,,SUMPRODUCT(MAX(ROW(E$1:E2180)*(E2=E$1:E2180))))))</f>
        <v> </v>
      </c>
      <c r="K2181" s="25" t="str">
        <f>IF(OR(E2181="",E2181="!!!",F2181="NEW"),"",INDEX(J$1:J2180,SUMPRODUCT(MAX(ROW(E$1:E2180)*(E2181=E$1:E2180)))))</f>
        <v> </v>
      </c>
      <c r="L2181" s="26"/>
    </row>
    <row r="2182" spans="1:12">
      <c r="A2182" s="20" t="s">
        <v>2101</v>
      </c>
      <c r="E2182" s="21">
        <f>IF(D2182="?OLD","!!!","")</f>
        <v/>
      </c>
      <c r="F2182" s="22" t="str">
        <f>IF(OR(E2182="",E2182="!!!"),"",IF(NOT(ISNA(VLOOKUP(E2182,E$1:E2181,1,FALSE()))),"OLD",IF(AND(E2182&lt;&gt;"",E2182&lt;&gt;"!!!"),"NEW","")))</f>
        <v> </v>
      </c>
      <c r="G2182" s="23" t="str">
        <f>IF(OR(E2182="",E2182="!!!"),"",IF(OR(J2182=0,AND(J2182=1,K2182=1),AND(J2182=1,I2182="SBJ"),AND(J2182=1,I2182=0)),"?IN_FOCUS",IF(J2182&lt;=2,"?ACTIVATED",IF(J2182&lt;&gt;"","?FAMILIAR",IF(F2182="NEW",IF(ISNA(VLOOKUP(E2182,#REF!,1,FALSE())),"?TYPE_IDENTIFIABLE","?REFERENTIAL"),"_")))))</f>
        <v> </v>
      </c>
      <c r="H2182" s="24" t="str">
        <f>IF(J2182&lt;&gt;1,"",IF(I2182="SBJ","CB","?"))</f>
        <v> </v>
      </c>
      <c r="I2182" s="25" t="str">
        <f>IF(OR(E2182="",E2182="!!!",F2182="NEW"),"",INDEX(B2181:B$2,-1+SUMPRODUCT(MAX(ROW(E2181:E$2)*(E2182=E2181:E$2)))))</f>
        <v> </v>
      </c>
      <c r="J2182" s="25" t="str">
        <f>IF(OR(E2182="",E2182="!!!",F2182="NEW"),"",COUNTBLANK(OFFSET(A$1,,,SUMPRODUCT(MAX(ROW(E$2:E2182)*(E2182=E$2:E2182)))))-COUNTBLANK(OFFSET(A$1,,,SUMPRODUCT(MAX(ROW(E$1:E2181)*(E2=E$1:E2181))))))</f>
        <v> </v>
      </c>
      <c r="K2182" s="25" t="str">
        <f>IF(OR(E2182="",E2182="!!!",F2182="NEW"),"",INDEX(J$1:J2181,SUMPRODUCT(MAX(ROW(E$1:E2181)*(E2182=E$1:E2181)))))</f>
        <v> </v>
      </c>
      <c r="L2182" s="26"/>
    </row>
    <row r="2183" spans="1:12">
      <c r="A2183" s="20" t="s">
        <v>2196</v>
      </c>
      <c r="B2183" s="27" t="s">
        <v>1107</v>
      </c>
      <c r="C2183" s="27" t="s">
        <v>1142</v>
      </c>
      <c r="D2183" s="27" t="s">
        <v>1105</v>
      </c>
      <c r="E2183" s="21">
        <f>IF(D2183="?OLD","!!!","")</f>
        <v/>
      </c>
      <c r="F2183" s="22" t="str">
        <f>IF(OR(E2183="",E2183="!!!"),"",IF(NOT(ISNA(VLOOKUP(E2183,E$1:E2182,1,FALSE()))),"OLD",IF(AND(E2183&lt;&gt;"",E2183&lt;&gt;"!!!"),"NEW","")))</f>
        <v> </v>
      </c>
      <c r="G2183" s="23" t="str">
        <f>IF(OR(E2183="",E2183="!!!"),"",IF(OR(J2183=0,AND(J2183=1,K2183=1),AND(J2183=1,I2183="SBJ"),AND(J2183=1,I2183=0)),"?IN_FOCUS",IF(J2183&lt;=2,"?ACTIVATED",IF(J2183&lt;&gt;"","?FAMILIAR",IF(F2183="NEW",IF(ISNA(VLOOKUP(E2183,#REF!,1,FALSE())),"?TYPE_IDENTIFIABLE","?REFERENTIAL"),"_")))))</f>
        <v> </v>
      </c>
      <c r="H2183" s="24" t="str">
        <f>IF(J2183&lt;&gt;1,"",IF(I2183="SBJ","CB","?"))</f>
        <v> </v>
      </c>
      <c r="I2183" s="25" t="str">
        <f>IF(OR(E2183="",E2183="!!!",F2183="NEW"),"",INDEX(B2182:B$2,-1+SUMPRODUCT(MAX(ROW(E2182:E$2)*(E2183=E2182:E$2)))))</f>
        <v> </v>
      </c>
      <c r="J2183" s="25" t="str">
        <f>IF(OR(E2183="",E2183="!!!",F2183="NEW"),"",COUNTBLANK(OFFSET(A$1,,,SUMPRODUCT(MAX(ROW(E$2:E2183)*(E2183=E$2:E2183)))))-COUNTBLANK(OFFSET(A$1,,,SUMPRODUCT(MAX(ROW(E$1:E2182)*(E2=E$1:E2182))))))</f>
        <v> </v>
      </c>
      <c r="K2183" s="25" t="str">
        <f>IF(OR(E2183="",E2183="!!!",F2183="NEW"),"",INDEX(J$1:J2182,SUMPRODUCT(MAX(ROW(E$1:E2182)*(E2183=E$1:E2182)))))</f>
        <v> </v>
      </c>
      <c r="L2183" s="26"/>
    </row>
    <row r="2184" spans="1:12">
      <c r="A2184" s="20" t="s">
        <v>1351</v>
      </c>
      <c r="E2184" s="21">
        <f>IF(D2184="?OLD","!!!","")</f>
        <v/>
      </c>
      <c r="F2184" s="22" t="str">
        <f>IF(OR(E2184="",E2184="!!!"),"",IF(NOT(ISNA(VLOOKUP(E2184,E$1:E2183,1,FALSE()))),"OLD",IF(AND(E2184&lt;&gt;"",E2184&lt;&gt;"!!!"),"NEW","")))</f>
        <v> </v>
      </c>
      <c r="G2184" s="23" t="str">
        <f>IF(OR(E2184="",E2184="!!!"),"",IF(OR(J2184=0,AND(J2184=1,K2184=1),AND(J2184=1,I2184="SBJ"),AND(J2184=1,I2184=0)),"?IN_FOCUS",IF(J2184&lt;=2,"?ACTIVATED",IF(J2184&lt;&gt;"","?FAMILIAR",IF(F2184="NEW",IF(ISNA(VLOOKUP(E2184,#REF!,1,FALSE())),"?TYPE_IDENTIFIABLE","?REFERENTIAL"),"_")))))</f>
        <v> </v>
      </c>
      <c r="H2184" s="24" t="str">
        <f>IF(J2184&lt;&gt;1,"",IF(I2184="SBJ","CB","?"))</f>
        <v> </v>
      </c>
      <c r="I2184" s="25" t="str">
        <f>IF(OR(E2184="",E2184="!!!",F2184="NEW"),"",INDEX(B2183:B$2,-1+SUMPRODUCT(MAX(ROW(E2183:E$2)*(E2184=E2183:E$2)))))</f>
        <v> </v>
      </c>
      <c r="J2184" s="25" t="str">
        <f>IF(OR(E2184="",E2184="!!!",F2184="NEW"),"",COUNTBLANK(OFFSET(A$1,,,SUMPRODUCT(MAX(ROW(E$2:E2184)*(E2184=E$2:E2184)))))-COUNTBLANK(OFFSET(A$1,,,SUMPRODUCT(MAX(ROW(E$1:E2183)*(E2=E$1:E2183))))))</f>
        <v> </v>
      </c>
      <c r="K2184" s="25" t="str">
        <f>IF(OR(E2184="",E2184="!!!",F2184="NEW"),"",INDEX(J$1:J2183,SUMPRODUCT(MAX(ROW(E$1:E2183)*(E2184=E$1:E2183)))))</f>
        <v> </v>
      </c>
      <c r="L2184" s="26"/>
    </row>
    <row r="2185" spans="1:12">
      <c r="A2185" s="20" t="s">
        <v>1111</v>
      </c>
      <c r="E2185" s="21">
        <f>IF(D2185="?OLD","!!!","")</f>
        <v/>
      </c>
      <c r="F2185" s="22" t="str">
        <f>IF(OR(E2185="",E2185="!!!"),"",IF(NOT(ISNA(VLOOKUP(E2185,E$1:E2184,1,FALSE()))),"OLD",IF(AND(E2185&lt;&gt;"",E2185&lt;&gt;"!!!"),"NEW","")))</f>
        <v> </v>
      </c>
      <c r="G2185" s="23" t="str">
        <f>IF(OR(E2185="",E2185="!!!"),"",IF(OR(J2185=0,AND(J2185=1,K2185=1),AND(J2185=1,I2185="SBJ"),AND(J2185=1,I2185=0)),"?IN_FOCUS",IF(J2185&lt;=2,"?ACTIVATED",IF(J2185&lt;&gt;"","?FAMILIAR",IF(F2185="NEW",IF(ISNA(VLOOKUP(E2185,#REF!,1,FALSE())),"?TYPE_IDENTIFIABLE","?REFERENTIAL"),"_")))))</f>
        <v> </v>
      </c>
      <c r="H2185" s="24" t="str">
        <f>IF(J2185&lt;&gt;1,"",IF(I2185="SBJ","CB","?"))</f>
        <v> </v>
      </c>
      <c r="I2185" s="25" t="str">
        <f>IF(OR(E2185="",E2185="!!!",F2185="NEW"),"",INDEX(B2184:B$2,-1+SUMPRODUCT(MAX(ROW(E2184:E$2)*(E2185=E2184:E$2)))))</f>
        <v> </v>
      </c>
      <c r="J2185" s="25" t="str">
        <f>IF(OR(E2185="",E2185="!!!",F2185="NEW"),"",COUNTBLANK(OFFSET(A$1,,,SUMPRODUCT(MAX(ROW(E$2:E2185)*(E2185=E$2:E2185)))))-COUNTBLANK(OFFSET(A$1,,,SUMPRODUCT(MAX(ROW(E$1:E2184)*(E2=E$1:E2184))))))</f>
        <v> </v>
      </c>
      <c r="K2185" s="25" t="str">
        <f>IF(OR(E2185="",E2185="!!!",F2185="NEW"),"",INDEX(J$1:J2184,SUMPRODUCT(MAX(ROW(E$1:E2184)*(E2185=E$1:E2184)))))</f>
        <v> </v>
      </c>
      <c r="L2185" s="26"/>
    </row>
    <row r="2186" spans="1:12">
      <c r="A2186" s="20" t="s">
        <v>2197</v>
      </c>
      <c r="E2186" s="21">
        <f>IF(D2186="?OLD","!!!","")</f>
        <v/>
      </c>
      <c r="F2186" s="22" t="str">
        <f>IF(OR(E2186="",E2186="!!!"),"",IF(NOT(ISNA(VLOOKUP(E2186,E$1:E2185,1,FALSE()))),"OLD",IF(AND(E2186&lt;&gt;"",E2186&lt;&gt;"!!!"),"NEW","")))</f>
        <v> </v>
      </c>
      <c r="G2186" s="23" t="str">
        <f>IF(OR(E2186="",E2186="!!!"),"",IF(OR(J2186=0,AND(J2186=1,K2186=1),AND(J2186=1,I2186="SBJ"),AND(J2186=1,I2186=0)),"?IN_FOCUS",IF(J2186&lt;=2,"?ACTIVATED",IF(J2186&lt;&gt;"","?FAMILIAR",IF(F2186="NEW",IF(ISNA(VLOOKUP(E2186,#REF!,1,FALSE())),"?TYPE_IDENTIFIABLE","?REFERENTIAL"),"_")))))</f>
        <v> </v>
      </c>
      <c r="H2186" s="24" t="str">
        <f>IF(J2186&lt;&gt;1,"",IF(I2186="SBJ","CB","?"))</f>
        <v> </v>
      </c>
      <c r="I2186" s="25" t="str">
        <f>IF(OR(E2186="",E2186="!!!",F2186="NEW"),"",INDEX(B2185:B$2,-1+SUMPRODUCT(MAX(ROW(E2185:E$2)*(E2186=E2185:E$2)))))</f>
        <v> </v>
      </c>
      <c r="J2186" s="25" t="str">
        <f>IF(OR(E2186="",E2186="!!!",F2186="NEW"),"",COUNTBLANK(OFFSET(A$1,,,SUMPRODUCT(MAX(ROW(E$2:E2186)*(E2186=E$2:E2186)))))-COUNTBLANK(OFFSET(A$1,,,SUMPRODUCT(MAX(ROW(E$1:E2185)*(E2=E$1:E2185))))))</f>
        <v> </v>
      </c>
      <c r="K2186" s="25" t="str">
        <f>IF(OR(E2186="",E2186="!!!",F2186="NEW"),"",INDEX(J$1:J2185,SUMPRODUCT(MAX(ROW(E$1:E2185)*(E2186=E$1:E2185)))))</f>
        <v> </v>
      </c>
      <c r="L2186" s="26"/>
    </row>
    <row r="2187" spans="1:12">
      <c r="A2187" s="20" t="s">
        <v>1530</v>
      </c>
      <c r="B2187" s="27" t="s">
        <v>1149</v>
      </c>
      <c r="E2187" s="21">
        <f>IF(D2187="?OLD","!!!","")</f>
        <v/>
      </c>
      <c r="F2187" s="22" t="str">
        <f>IF(OR(E2187="",E2187="!!!"),"",IF(NOT(ISNA(VLOOKUP(E2187,E$1:E2186,1,FALSE()))),"OLD",IF(AND(E2187&lt;&gt;"",E2187&lt;&gt;"!!!"),"NEW","")))</f>
        <v> </v>
      </c>
      <c r="G2187" s="23" t="str">
        <f>IF(OR(E2187="",E2187="!!!"),"",IF(OR(J2187=0,AND(J2187=1,K2187=1),AND(J2187=1,I2187="SBJ"),AND(J2187=1,I2187=0)),"?IN_FOCUS",IF(J2187&lt;=2,"?ACTIVATED",IF(J2187&lt;&gt;"","?FAMILIAR",IF(F2187="NEW",IF(ISNA(VLOOKUP(E2187,#REF!,1,FALSE())),"?TYPE_IDENTIFIABLE","?REFERENTIAL"),"_")))))</f>
        <v> </v>
      </c>
      <c r="H2187" s="24" t="str">
        <f>IF(J2187&lt;&gt;1,"",IF(I2187="SBJ","CB","?"))</f>
        <v> </v>
      </c>
      <c r="I2187" s="25" t="str">
        <f>IF(OR(E2187="",E2187="!!!",F2187="NEW"),"",INDEX(B2186:B$2,-1+SUMPRODUCT(MAX(ROW(E2186:E$2)*(E2187=E2186:E$2)))))</f>
        <v> </v>
      </c>
      <c r="J2187" s="25" t="str">
        <f>IF(OR(E2187="",E2187="!!!",F2187="NEW"),"",COUNTBLANK(OFFSET(A$1,,,SUMPRODUCT(MAX(ROW(E$2:E2187)*(E2187=E$2:E2187)))))-COUNTBLANK(OFFSET(A$1,,,SUMPRODUCT(MAX(ROW(E$1:E2186)*(E2=E$1:E2186))))))</f>
        <v> </v>
      </c>
      <c r="K2187" s="25" t="str">
        <f>IF(OR(E2187="",E2187="!!!",F2187="NEW"),"",INDEX(J$1:J2186,SUMPRODUCT(MAX(ROW(E$1:E2186)*(E2187=E$1:E2186)))))</f>
        <v> </v>
      </c>
      <c r="L2187" s="26"/>
    </row>
    <row r="2188" spans="1:12">
      <c r="A2188" s="20" t="s">
        <v>1145</v>
      </c>
      <c r="E2188" s="21">
        <f>IF(D2188="?OLD","!!!","")</f>
        <v/>
      </c>
      <c r="F2188" s="22" t="str">
        <f>IF(OR(E2188="",E2188="!!!"),"",IF(NOT(ISNA(VLOOKUP(E2188,E$1:E2187,1,FALSE()))),"OLD",IF(AND(E2188&lt;&gt;"",E2188&lt;&gt;"!!!"),"NEW","")))</f>
        <v> </v>
      </c>
      <c r="G2188" s="23" t="str">
        <f>IF(OR(E2188="",E2188="!!!"),"",IF(OR(J2188=0,AND(J2188=1,K2188=1),AND(J2188=1,I2188="SBJ"),AND(J2188=1,I2188=0)),"?IN_FOCUS",IF(J2188&lt;=2,"?ACTIVATED",IF(J2188&lt;&gt;"","?FAMILIAR",IF(F2188="NEW",IF(ISNA(VLOOKUP(E2188,#REF!,1,FALSE())),"?TYPE_IDENTIFIABLE","?REFERENTIAL"),"_")))))</f>
        <v> </v>
      </c>
      <c r="H2188" s="24" t="str">
        <f>IF(J2188&lt;&gt;1,"",IF(I2188="SBJ","CB","?"))</f>
        <v> </v>
      </c>
      <c r="I2188" s="25" t="str">
        <f>IF(OR(E2188="",E2188="!!!",F2188="NEW"),"",INDEX(B2187:B$2,-1+SUMPRODUCT(MAX(ROW(E2187:E$2)*(E2188=E2187:E$2)))))</f>
        <v> </v>
      </c>
      <c r="J2188" s="25" t="str">
        <f>IF(OR(E2188="",E2188="!!!",F2188="NEW"),"",COUNTBLANK(OFFSET(A$1,,,SUMPRODUCT(MAX(ROW(E$2:E2188)*(E2188=E$2:E2188)))))-COUNTBLANK(OFFSET(A$1,,,SUMPRODUCT(MAX(ROW(E$1:E2187)*(E2=E$1:E2187))))))</f>
        <v> </v>
      </c>
      <c r="K2188" s="25" t="str">
        <f>IF(OR(E2188="",E2188="!!!",F2188="NEW"),"",INDEX(J$1:J2187,SUMPRODUCT(MAX(ROW(E$1:E2187)*(E2188=E$1:E2187)))))</f>
        <v> </v>
      </c>
      <c r="L2188" s="26"/>
    </row>
    <row r="2189" spans="1:12">
      <c r="A2189" s="20"/>
    </row>
    <row r="2190" spans="1:12">
      <c r="A2190" s="20" t="s">
        <v>2198</v>
      </c>
    </row>
    <row r="2191" spans="1:12">
      <c r="A2191" s="20" t="s">
        <v>1111</v>
      </c>
      <c r="E2191" s="21">
        <f>IF(D2191="?OLD","!!!","")</f>
        <v/>
      </c>
      <c r="F2191" s="22" t="str">
        <f>IF(OR(E2191="",E2191="!!!"),"",IF(NOT(ISNA(VLOOKUP(E2191,E$1:E2190,1,FALSE()))),"OLD",IF(AND(E2191&lt;&gt;"",E2191&lt;&gt;"!!!"),"NEW","")))</f>
        <v> </v>
      </c>
      <c r="G2191" s="23" t="str">
        <f>IF(OR(E2191="",E2191="!!!"),"",IF(OR(J2191=0,AND(J2191=1,K2191=1),AND(J2191=1,I2191="SBJ"),AND(J2191=1,I2191=0)),"?IN_FOCUS",IF(J2191&lt;=2,"?ACTIVATED",IF(J2191&lt;&gt;"","?FAMILIAR",IF(F2191="NEW",IF(ISNA(VLOOKUP(E2191,#REF!,1,FALSE())),"?TYPE_IDENTIFIABLE","?REFERENTIAL"),"_")))))</f>
        <v> </v>
      </c>
      <c r="H2191" s="24" t="str">
        <f>IF(J2191&lt;&gt;1,"",IF(I2191="SBJ","CB","?"))</f>
        <v> </v>
      </c>
      <c r="I2191" s="25" t="str">
        <f>IF(OR(E2191="",E2191="!!!",F2191="NEW"),"",INDEX(B2190:B$2,-1+SUMPRODUCT(MAX(ROW(E2190:E$2)*(E2191=E2190:E$2)))))</f>
        <v> </v>
      </c>
      <c r="J2191" s="25" t="str">
        <f>IF(OR(E2191="",E2191="!!!",F2191="NEW"),"",COUNTBLANK(OFFSET(A$1,,,SUMPRODUCT(MAX(ROW(E$2:E2191)*(E2191=E$2:E2191)))))-COUNTBLANK(OFFSET(A$1,,,SUMPRODUCT(MAX(ROW(E$1:E2190)*(E2=E$1:E2190))))))</f>
        <v> </v>
      </c>
      <c r="K2191" s="25" t="str">
        <f>IF(OR(E2191="",E2191="!!!",F2191="NEW"),"",INDEX(J$1:J2190,SUMPRODUCT(MAX(ROW(E$1:E2190)*(E2191=E$1:E2190)))))</f>
        <v> </v>
      </c>
      <c r="L2191" s="26"/>
    </row>
    <row r="2192" spans="1:12">
      <c r="A2192" s="20" t="s">
        <v>2199</v>
      </c>
      <c r="B2192" s="27" t="s">
        <v>1149</v>
      </c>
      <c r="C2192" s="27" t="s">
        <v>1133</v>
      </c>
      <c r="E2192" s="21">
        <f>IF(D2192="?OLD","!!!","")</f>
        <v/>
      </c>
      <c r="F2192" s="22" t="str">
        <f>IF(OR(E2192="",E2192="!!!"),"",IF(NOT(ISNA(VLOOKUP(E2192,E$1:E2191,1,FALSE()))),"OLD",IF(AND(E2192&lt;&gt;"",E2192&lt;&gt;"!!!"),"NEW","")))</f>
        <v> </v>
      </c>
      <c r="G2192" s="23" t="str">
        <f>IF(OR(E2192="",E2192="!!!"),"",IF(OR(J2192=0,AND(J2192=1,K2192=1),AND(J2192=1,I2192="SBJ"),AND(J2192=1,I2192=0)),"?IN_FOCUS",IF(J2192&lt;=2,"?ACTIVATED",IF(J2192&lt;&gt;"","?FAMILIAR",IF(F2192="NEW",IF(ISNA(VLOOKUP(E2192,#REF!,1,FALSE())),"?TYPE_IDENTIFIABLE","?REFERENTIAL"),"_")))))</f>
        <v> </v>
      </c>
      <c r="H2192" s="24" t="str">
        <f>IF(J2192&lt;&gt;1,"",IF(I2192="SBJ","CB","?"))</f>
        <v> </v>
      </c>
      <c r="I2192" s="25" t="str">
        <f>IF(OR(E2192="",E2192="!!!",F2192="NEW"),"",INDEX(B2191:B$2,-1+SUMPRODUCT(MAX(ROW(E2191:E$2)*(E2192=E2191:E$2)))))</f>
        <v> </v>
      </c>
      <c r="J2192" s="25" t="str">
        <f>IF(OR(E2192="",E2192="!!!",F2192="NEW"),"",COUNTBLANK(OFFSET(A$1,,,SUMPRODUCT(MAX(ROW(E$2:E2192)*(E2192=E$2:E2192)))))-COUNTBLANK(OFFSET(A$1,,,SUMPRODUCT(MAX(ROW(E$1:E2191)*(E2=E$1:E2191))))))</f>
        <v> </v>
      </c>
      <c r="K2192" s="25" t="str">
        <f>IF(OR(E2192="",E2192="!!!",F2192="NEW"),"",INDEX(J$1:J2191,SUMPRODUCT(MAX(ROW(E$1:E2191)*(E2192=E$1:E2191)))))</f>
        <v> </v>
      </c>
      <c r="L2192" s="26"/>
    </row>
    <row r="2193" spans="1:12">
      <c r="A2193" s="20" t="s">
        <v>1114</v>
      </c>
      <c r="B2193" s="27" t="s">
        <v>1149</v>
      </c>
      <c r="C2193" s="27" t="s">
        <v>1116</v>
      </c>
      <c r="D2193" s="27" t="s">
        <v>1105</v>
      </c>
      <c r="E2193" s="21">
        <f>IF(D2193="?OLD","!!!","")</f>
        <v/>
      </c>
      <c r="F2193" s="22" t="str">
        <f>IF(OR(E2193="",E2193="!!!"),"",IF(NOT(ISNA(VLOOKUP(E2193,E$1:E2192,1,FALSE()))),"OLD",IF(AND(E2193&lt;&gt;"",E2193&lt;&gt;"!!!"),"NEW","")))</f>
        <v> </v>
      </c>
      <c r="G2193" s="23" t="str">
        <f>IF(OR(E2193="",E2193="!!!"),"",IF(OR(J2193=0,AND(J2193=1,K2193=1),AND(J2193=1,I2193="SBJ"),AND(J2193=1,I2193=0)),"?IN_FOCUS",IF(J2193&lt;=2,"?ACTIVATED",IF(J2193&lt;&gt;"","?FAMILIAR",IF(F2193="NEW",IF(ISNA(VLOOKUP(E2193,#REF!,1,FALSE())),"?TYPE_IDENTIFIABLE","?REFERENTIAL"),"_")))))</f>
        <v> </v>
      </c>
      <c r="H2193" s="24" t="str">
        <f>IF(J2193&lt;&gt;1,"",IF(I2193="SBJ","CB","?"))</f>
        <v> </v>
      </c>
      <c r="I2193" s="25" t="str">
        <f>IF(OR(E2193="",E2193="!!!",F2193="NEW"),"",INDEX(B2192:B$2,-1+SUMPRODUCT(MAX(ROW(E2192:E$2)*(E2193=E2192:E$2)))))</f>
        <v> </v>
      </c>
      <c r="J2193" s="25" t="str">
        <f>IF(OR(E2193="",E2193="!!!",F2193="NEW"),"",COUNTBLANK(OFFSET(A$1,,,SUMPRODUCT(MAX(ROW(E$2:E2193)*(E2193=E$2:E2193)))))-COUNTBLANK(OFFSET(A$1,,,SUMPRODUCT(MAX(ROW(E$1:E2192)*(E2=E$1:E2192))))))</f>
        <v> </v>
      </c>
      <c r="K2193" s="25" t="str">
        <f>IF(OR(E2193="",E2193="!!!",F2193="NEW"),"",INDEX(J$1:J2192,SUMPRODUCT(MAX(ROW(E$1:E2192)*(E2193=E$1:E2192)))))</f>
        <v> </v>
      </c>
      <c r="L2193" s="26"/>
    </row>
    <row r="2194" spans="1:12">
      <c r="A2194" s="20" t="s">
        <v>1120</v>
      </c>
      <c r="E2194" s="21">
        <f>IF(D2194="?OLD","!!!","")</f>
        <v/>
      </c>
      <c r="F2194" s="22" t="str">
        <f>IF(OR(E2194="",E2194="!!!"),"",IF(NOT(ISNA(VLOOKUP(E2194,E$1:E2193,1,FALSE()))),"OLD",IF(AND(E2194&lt;&gt;"",E2194&lt;&gt;"!!!"),"NEW","")))</f>
        <v> </v>
      </c>
      <c r="G2194" s="23" t="str">
        <f>IF(OR(E2194="",E2194="!!!"),"",IF(OR(J2194=0,AND(J2194=1,K2194=1),AND(J2194=1,I2194="SBJ"),AND(J2194=1,I2194=0)),"?IN_FOCUS",IF(J2194&lt;=2,"?ACTIVATED",IF(J2194&lt;&gt;"","?FAMILIAR",IF(F2194="NEW",IF(ISNA(VLOOKUP(E2194,#REF!,1,FALSE())),"?TYPE_IDENTIFIABLE","?REFERENTIAL"),"_")))))</f>
        <v> </v>
      </c>
      <c r="H2194" s="24" t="str">
        <f>IF(J2194&lt;&gt;1,"",IF(I2194="SBJ","CB","?"))</f>
        <v> </v>
      </c>
      <c r="I2194" s="25" t="str">
        <f>IF(OR(E2194="",E2194="!!!",F2194="NEW"),"",INDEX(B2193:B$2,-1+SUMPRODUCT(MAX(ROW(E2193:E$2)*(E2194=E2193:E$2)))))</f>
        <v> </v>
      </c>
      <c r="J2194" s="25" t="str">
        <f>IF(OR(E2194="",E2194="!!!",F2194="NEW"),"",COUNTBLANK(OFFSET(A$1,,,SUMPRODUCT(MAX(ROW(E$2:E2194)*(E2194=E$2:E2194)))))-COUNTBLANK(OFFSET(A$1,,,SUMPRODUCT(MAX(ROW(E$1:E2193)*(E2=E$1:E2193))))))</f>
        <v> </v>
      </c>
      <c r="K2194" s="25" t="str">
        <f>IF(OR(E2194="",E2194="!!!",F2194="NEW"),"",INDEX(J$1:J2193,SUMPRODUCT(MAX(ROW(E$1:E2193)*(E2194=E$1:E2193)))))</f>
        <v> </v>
      </c>
      <c r="L2194" s="26"/>
    </row>
    <row r="2195" spans="1:12">
      <c r="A2195" s="20" t="s">
        <v>1334</v>
      </c>
      <c r="E2195" s="21">
        <f>IF(D2195="?OLD","!!!","")</f>
        <v/>
      </c>
      <c r="F2195" s="22" t="str">
        <f>IF(OR(E2195="",E2195="!!!"),"",IF(NOT(ISNA(VLOOKUP(E2195,E$1:E2194,1,FALSE()))),"OLD",IF(AND(E2195&lt;&gt;"",E2195&lt;&gt;"!!!"),"NEW","")))</f>
        <v> </v>
      </c>
      <c r="G2195" s="23" t="str">
        <f>IF(OR(E2195="",E2195="!!!"),"",IF(OR(J2195=0,AND(J2195=1,K2195=1),AND(J2195=1,I2195="SBJ"),AND(J2195=1,I2195=0)),"?IN_FOCUS",IF(J2195&lt;=2,"?ACTIVATED",IF(J2195&lt;&gt;"","?FAMILIAR",IF(F2195="NEW",IF(ISNA(VLOOKUP(E2195,#REF!,1,FALSE())),"?TYPE_IDENTIFIABLE","?REFERENTIAL"),"_")))))</f>
        <v> </v>
      </c>
      <c r="H2195" s="24" t="str">
        <f>IF(J2195&lt;&gt;1,"",IF(I2195="SBJ","CB","?"))</f>
        <v> </v>
      </c>
      <c r="I2195" s="25" t="str">
        <f>IF(OR(E2195="",E2195="!!!",F2195="NEW"),"",INDEX(B2194:B$2,-1+SUMPRODUCT(MAX(ROW(E2194:E$2)*(E2195=E2194:E$2)))))</f>
        <v> </v>
      </c>
      <c r="J2195" s="25" t="str">
        <f>IF(OR(E2195="",E2195="!!!",F2195="NEW"),"",COUNTBLANK(OFFSET(A$1,,,SUMPRODUCT(MAX(ROW(E$2:E2195)*(E2195=E$2:E2195)))))-COUNTBLANK(OFFSET(A$1,,,SUMPRODUCT(MAX(ROW(E$1:E2194)*(E2=E$1:E2194))))))</f>
        <v> </v>
      </c>
      <c r="K2195" s="25" t="str">
        <f>IF(OR(E2195="",E2195="!!!",F2195="NEW"),"",INDEX(J$1:J2194,SUMPRODUCT(MAX(ROW(E$1:E2194)*(E2195=E$1:E2194)))))</f>
        <v> </v>
      </c>
      <c r="L2195" s="26"/>
    </row>
    <row r="2196" spans="1:12">
      <c r="A2196" s="20"/>
    </row>
    <row r="2197" spans="1:12">
      <c r="A2197" s="20" t="s">
        <v>2200</v>
      </c>
    </row>
    <row r="2198" spans="1:12">
      <c r="A2198" s="20" t="s">
        <v>2199</v>
      </c>
      <c r="B2198" s="27" t="s">
        <v>1103</v>
      </c>
      <c r="C2198" s="27" t="s">
        <v>1133</v>
      </c>
      <c r="E2198" s="21">
        <f>IF(D2198="?OLD","!!!","")</f>
        <v/>
      </c>
      <c r="F2198" s="22" t="str">
        <f>IF(OR(E2198="",E2198="!!!"),"",IF(NOT(ISNA(VLOOKUP(E2198,E$1:E2197,1,FALSE()))),"OLD",IF(AND(E2198&lt;&gt;"",E2198&lt;&gt;"!!!"),"NEW","")))</f>
        <v> </v>
      </c>
      <c r="G2198" s="23" t="str">
        <f>IF(OR(E2198="",E2198="!!!"),"",IF(OR(J2198=0,AND(J2198=1,K2198=1),AND(J2198=1,I2198="SBJ"),AND(J2198=1,I2198=0)),"?IN_FOCUS",IF(J2198&lt;=2,"?ACTIVATED",IF(J2198&lt;&gt;"","?FAMILIAR",IF(F2198="NEW",IF(ISNA(VLOOKUP(E2198,#REF!,1,FALSE())),"?TYPE_IDENTIFIABLE","?REFERENTIAL"),"_")))))</f>
        <v> </v>
      </c>
      <c r="H2198" s="24" t="str">
        <f>IF(J2198&lt;&gt;1,"",IF(I2198="SBJ","CB","?"))</f>
        <v> </v>
      </c>
      <c r="I2198" s="25" t="str">
        <f>IF(OR(E2198="",E2198="!!!",F2198="NEW"),"",INDEX(B2197:B$2,-1+SUMPRODUCT(MAX(ROW(E2197:E$2)*(E2198=E2197:E$2)))))</f>
        <v> </v>
      </c>
      <c r="J2198" s="25" t="str">
        <f>IF(OR(E2198="",E2198="!!!",F2198="NEW"),"",COUNTBLANK(OFFSET(A$1,,,SUMPRODUCT(MAX(ROW(E$2:E2198)*(E2198=E$2:E2198)))))-COUNTBLANK(OFFSET(A$1,,,SUMPRODUCT(MAX(ROW(E$1:E2197)*(E2=E$1:E2197))))))</f>
        <v> </v>
      </c>
      <c r="K2198" s="25" t="str">
        <f>IF(OR(E2198="",E2198="!!!",F2198="NEW"),"",INDEX(J$1:J2197,SUMPRODUCT(MAX(ROW(E$1:E2197)*(E2198=E$1:E2197)))))</f>
        <v> </v>
      </c>
      <c r="L2198" s="26"/>
    </row>
    <row r="2199" spans="1:12">
      <c r="A2199" s="20" t="s">
        <v>1114</v>
      </c>
      <c r="B2199" s="27" t="s">
        <v>1149</v>
      </c>
      <c r="C2199" s="27" t="s">
        <v>1116</v>
      </c>
      <c r="D2199" s="27" t="s">
        <v>1105</v>
      </c>
      <c r="E2199" s="21">
        <f>IF(D2199="?OLD","!!!","")</f>
        <v/>
      </c>
      <c r="F2199" s="22" t="str">
        <f>IF(OR(E2199="",E2199="!!!"),"",IF(NOT(ISNA(VLOOKUP(E2199,E$1:E2198,1,FALSE()))),"OLD",IF(AND(E2199&lt;&gt;"",E2199&lt;&gt;"!!!"),"NEW","")))</f>
        <v> </v>
      </c>
      <c r="G2199" s="23" t="str">
        <f>IF(OR(E2199="",E2199="!!!"),"",IF(OR(J2199=0,AND(J2199=1,K2199=1),AND(J2199=1,I2199="SBJ"),AND(J2199=1,I2199=0)),"?IN_FOCUS",IF(J2199&lt;=2,"?ACTIVATED",IF(J2199&lt;&gt;"","?FAMILIAR",IF(F2199="NEW",IF(ISNA(VLOOKUP(E2199,#REF!,1,FALSE())),"?TYPE_IDENTIFIABLE","?REFERENTIAL"),"_")))))</f>
        <v> </v>
      </c>
      <c r="H2199" s="24" t="str">
        <f>IF(J2199&lt;&gt;1,"",IF(I2199="SBJ","CB","?"))</f>
        <v> </v>
      </c>
      <c r="I2199" s="25" t="str">
        <f>IF(OR(E2199="",E2199="!!!",F2199="NEW"),"",INDEX(B2198:B$2,-1+SUMPRODUCT(MAX(ROW(E2198:E$2)*(E2199=E2198:E$2)))))</f>
        <v> </v>
      </c>
      <c r="J2199" s="25" t="str">
        <f>IF(OR(E2199="",E2199="!!!",F2199="NEW"),"",COUNTBLANK(OFFSET(A$1,,,SUMPRODUCT(MAX(ROW(E$2:E2199)*(E2199=E$2:E2199)))))-COUNTBLANK(OFFSET(A$1,,,SUMPRODUCT(MAX(ROW(E$1:E2198)*(E2=E$1:E2198))))))</f>
        <v> </v>
      </c>
      <c r="K2199" s="25" t="str">
        <f>IF(OR(E2199="",E2199="!!!",F2199="NEW"),"",INDEX(J$1:J2198,SUMPRODUCT(MAX(ROW(E$1:E2198)*(E2199=E$1:E2198)))))</f>
        <v> </v>
      </c>
      <c r="L2199" s="26"/>
    </row>
    <row r="2200" spans="1:12">
      <c r="A2200" s="20" t="s">
        <v>1123</v>
      </c>
      <c r="E2200" s="21">
        <f>IF(D2200="?OLD","!!!","")</f>
        <v/>
      </c>
      <c r="F2200" s="22" t="str">
        <f>IF(OR(E2200="",E2200="!!!"),"",IF(NOT(ISNA(VLOOKUP(E2200,E$1:E2199,1,FALSE()))),"OLD",IF(AND(E2200&lt;&gt;"",E2200&lt;&gt;"!!!"),"NEW","")))</f>
        <v> </v>
      </c>
      <c r="G2200" s="23" t="str">
        <f>IF(OR(E2200="",E2200="!!!"),"",IF(OR(J2200=0,AND(J2200=1,K2200=1),AND(J2200=1,I2200="SBJ"),AND(J2200=1,I2200=0)),"?IN_FOCUS",IF(J2200&lt;=2,"?ACTIVATED",IF(J2200&lt;&gt;"","?FAMILIAR",IF(F2200="NEW",IF(ISNA(VLOOKUP(E2200,#REF!,1,FALSE())),"?TYPE_IDENTIFIABLE","?REFERENTIAL"),"_")))))</f>
        <v> </v>
      </c>
      <c r="H2200" s="24" t="str">
        <f>IF(J2200&lt;&gt;1,"",IF(I2200="SBJ","CB","?"))</f>
        <v> </v>
      </c>
      <c r="I2200" s="25" t="str">
        <f>IF(OR(E2200="",E2200="!!!",F2200="NEW"),"",INDEX(B2199:B$2,-1+SUMPRODUCT(MAX(ROW(E2199:E$2)*(E2200=E2199:E$2)))))</f>
        <v> </v>
      </c>
      <c r="J2200" s="25" t="str">
        <f>IF(OR(E2200="",E2200="!!!",F2200="NEW"),"",COUNTBLANK(OFFSET(A$1,,,SUMPRODUCT(MAX(ROW(E$2:E2200)*(E2200=E$2:E2200)))))-COUNTBLANK(OFFSET(A$1,,,SUMPRODUCT(MAX(ROW(E$1:E2199)*(E2=E$1:E2199))))))</f>
        <v> </v>
      </c>
      <c r="K2200" s="25" t="str">
        <f>IF(OR(E2200="",E2200="!!!",F2200="NEW"),"",INDEX(J$1:J2199,SUMPRODUCT(MAX(ROW(E$1:E2199)*(E2200=E$1:E2199)))))</f>
        <v> </v>
      </c>
      <c r="L2200" s="26"/>
    </row>
    <row r="2201" spans="1:12">
      <c r="A2201" s="20" t="s">
        <v>2201</v>
      </c>
      <c r="B2201" s="27" t="s">
        <v>1122</v>
      </c>
      <c r="E2201" s="21">
        <f>IF(D2201="?OLD","!!!","")</f>
        <v/>
      </c>
      <c r="F2201" s="22" t="str">
        <f>IF(OR(E2201="",E2201="!!!"),"",IF(NOT(ISNA(VLOOKUP(E2201,E$1:E2200,1,FALSE()))),"OLD",IF(AND(E2201&lt;&gt;"",E2201&lt;&gt;"!!!"),"NEW","")))</f>
        <v> </v>
      </c>
      <c r="G2201" s="23" t="str">
        <f>IF(OR(E2201="",E2201="!!!"),"",IF(OR(J2201=0,AND(J2201=1,K2201=1),AND(J2201=1,I2201="SBJ"),AND(J2201=1,I2201=0)),"?IN_FOCUS",IF(J2201&lt;=2,"?ACTIVATED",IF(J2201&lt;&gt;"","?FAMILIAR",IF(F2201="NEW",IF(ISNA(VLOOKUP(E2201,#REF!,1,FALSE())),"?TYPE_IDENTIFIABLE","?REFERENTIAL"),"_")))))</f>
        <v> </v>
      </c>
      <c r="H2201" s="24" t="str">
        <f>IF(J2201&lt;&gt;1,"",IF(I2201="SBJ","CB","?"))</f>
        <v> </v>
      </c>
      <c r="I2201" s="25" t="str">
        <f>IF(OR(E2201="",E2201="!!!",F2201="NEW"),"",INDEX(B2200:B$2,-1+SUMPRODUCT(MAX(ROW(E2200:E$2)*(E2201=E2200:E$2)))))</f>
        <v> </v>
      </c>
      <c r="J2201" s="25" t="str">
        <f>IF(OR(E2201="",E2201="!!!",F2201="NEW"),"",COUNTBLANK(OFFSET(A$1,,,SUMPRODUCT(MAX(ROW(E$2:E2201)*(E2201=E$2:E2201)))))-COUNTBLANK(OFFSET(A$1,,,SUMPRODUCT(MAX(ROW(E$1:E2200)*(E2=E$1:E2200))))))</f>
        <v> </v>
      </c>
      <c r="K2201" s="25" t="str">
        <f>IF(OR(E2201="",E2201="!!!",F2201="NEW"),"",INDEX(J$1:J2200,SUMPRODUCT(MAX(ROW(E$1:E2200)*(E2201=E$1:E2200)))))</f>
        <v> </v>
      </c>
      <c r="L2201" s="26"/>
    </row>
    <row r="2202" spans="1:12">
      <c r="A2202" s="20" t="s">
        <v>2202</v>
      </c>
      <c r="E2202" s="21">
        <f>IF(D2202="?OLD","!!!","")</f>
        <v/>
      </c>
      <c r="F2202" s="22" t="str">
        <f>IF(OR(E2202="",E2202="!!!"),"",IF(NOT(ISNA(VLOOKUP(E2202,E$1:E2201,1,FALSE()))),"OLD",IF(AND(E2202&lt;&gt;"",E2202&lt;&gt;"!!!"),"NEW","")))</f>
        <v> </v>
      </c>
      <c r="G2202" s="23" t="str">
        <f>IF(OR(E2202="",E2202="!!!"),"",IF(OR(J2202=0,AND(J2202=1,K2202=1),AND(J2202=1,I2202="SBJ"),AND(J2202=1,I2202=0)),"?IN_FOCUS",IF(J2202&lt;=2,"?ACTIVATED",IF(J2202&lt;&gt;"","?FAMILIAR",IF(F2202="NEW",IF(ISNA(VLOOKUP(E2202,#REF!,1,FALSE())),"?TYPE_IDENTIFIABLE","?REFERENTIAL"),"_")))))</f>
        <v> </v>
      </c>
      <c r="H2202" s="24" t="str">
        <f>IF(J2202&lt;&gt;1,"",IF(I2202="SBJ","CB","?"))</f>
        <v> </v>
      </c>
      <c r="I2202" s="25" t="str">
        <f>IF(OR(E2202="",E2202="!!!",F2202="NEW"),"",INDEX(B2201:B$2,-1+SUMPRODUCT(MAX(ROW(E2201:E$2)*(E2202=E2201:E$2)))))</f>
        <v> </v>
      </c>
      <c r="J2202" s="25" t="str">
        <f>IF(OR(E2202="",E2202="!!!",F2202="NEW"),"",COUNTBLANK(OFFSET(A$1,,,SUMPRODUCT(MAX(ROW(E$2:E2202)*(E2202=E$2:E2202)))))-COUNTBLANK(OFFSET(A$1,,,SUMPRODUCT(MAX(ROW(E$1:E2201)*(E2=E$1:E2201))))))</f>
        <v> </v>
      </c>
      <c r="K2202" s="25" t="str">
        <f>IF(OR(E2202="",E2202="!!!",F2202="NEW"),"",INDEX(J$1:J2201,SUMPRODUCT(MAX(ROW(E$1:E2201)*(E2202=E$1:E2201)))))</f>
        <v> </v>
      </c>
      <c r="L2202" s="26"/>
    </row>
    <row r="2203" spans="1:12">
      <c r="A2203" s="20" t="s">
        <v>1123</v>
      </c>
      <c r="E2203" s="21">
        <f>IF(D2203="?OLD","!!!","")</f>
        <v/>
      </c>
      <c r="F2203" s="22" t="str">
        <f>IF(OR(E2203="",E2203="!!!"),"",IF(NOT(ISNA(VLOOKUP(E2203,E$1:E2202,1,FALSE()))),"OLD",IF(AND(E2203&lt;&gt;"",E2203&lt;&gt;"!!!"),"NEW","")))</f>
        <v> </v>
      </c>
      <c r="G2203" s="23" t="str">
        <f>IF(OR(E2203="",E2203="!!!"),"",IF(OR(J2203=0,AND(J2203=1,K2203=1),AND(J2203=1,I2203="SBJ"),AND(J2203=1,I2203=0)),"?IN_FOCUS",IF(J2203&lt;=2,"?ACTIVATED",IF(J2203&lt;&gt;"","?FAMILIAR",IF(F2203="NEW",IF(ISNA(VLOOKUP(E2203,#REF!,1,FALSE())),"?TYPE_IDENTIFIABLE","?REFERENTIAL"),"_")))))</f>
        <v> </v>
      </c>
      <c r="H2203" s="24" t="str">
        <f>IF(J2203&lt;&gt;1,"",IF(I2203="SBJ","CB","?"))</f>
        <v> </v>
      </c>
      <c r="I2203" s="25" t="str">
        <f>IF(OR(E2203="",E2203="!!!",F2203="NEW"),"",INDEX(B2202:B$2,-1+SUMPRODUCT(MAX(ROW(E2202:E$2)*(E2203=E2202:E$2)))))</f>
        <v> </v>
      </c>
      <c r="J2203" s="25" t="str">
        <f>IF(OR(E2203="",E2203="!!!",F2203="NEW"),"",COUNTBLANK(OFFSET(A$1,,,SUMPRODUCT(MAX(ROW(E$2:E2203)*(E2203=E$2:E2203)))))-COUNTBLANK(OFFSET(A$1,,,SUMPRODUCT(MAX(ROW(E$1:E2202)*(E2=E$1:E2202))))))</f>
        <v> </v>
      </c>
      <c r="K2203" s="25" t="str">
        <f>IF(OR(E2203="",E2203="!!!",F2203="NEW"),"",INDEX(J$1:J2202,SUMPRODUCT(MAX(ROW(E$1:E2202)*(E2203=E$1:E2202)))))</f>
        <v> </v>
      </c>
      <c r="L2203" s="26"/>
    </row>
    <row r="2204" spans="1:12">
      <c r="A2204" s="20" t="s">
        <v>1120</v>
      </c>
      <c r="E2204" s="21">
        <f>IF(D2204="?OLD","!!!","")</f>
        <v/>
      </c>
      <c r="F2204" s="22" t="str">
        <f>IF(OR(E2204="",E2204="!!!"),"",IF(NOT(ISNA(VLOOKUP(E2204,E$1:E2203,1,FALSE()))),"OLD",IF(AND(E2204&lt;&gt;"",E2204&lt;&gt;"!!!"),"NEW","")))</f>
        <v> </v>
      </c>
      <c r="G2204" s="23" t="str">
        <f>IF(OR(E2204="",E2204="!!!"),"",IF(OR(J2204=0,AND(J2204=1,K2204=1),AND(J2204=1,I2204="SBJ"),AND(J2204=1,I2204=0)),"?IN_FOCUS",IF(J2204&lt;=2,"?ACTIVATED",IF(J2204&lt;&gt;"","?FAMILIAR",IF(F2204="NEW",IF(ISNA(VLOOKUP(E2204,#REF!,1,FALSE())),"?TYPE_IDENTIFIABLE","?REFERENTIAL"),"_")))))</f>
        <v> </v>
      </c>
      <c r="H2204" s="24" t="str">
        <f>IF(J2204&lt;&gt;1,"",IF(I2204="SBJ","CB","?"))</f>
        <v> </v>
      </c>
      <c r="I2204" s="25" t="str">
        <f>IF(OR(E2204="",E2204="!!!",F2204="NEW"),"",INDEX(B2203:B$2,-1+SUMPRODUCT(MAX(ROW(E2203:E$2)*(E2204=E2203:E$2)))))</f>
        <v> </v>
      </c>
      <c r="J2204" s="25" t="str">
        <f>IF(OR(E2204="",E2204="!!!",F2204="NEW"),"",COUNTBLANK(OFFSET(A$1,,,SUMPRODUCT(MAX(ROW(E$2:E2204)*(E2204=E$2:E2204)))))-COUNTBLANK(OFFSET(A$1,,,SUMPRODUCT(MAX(ROW(E$1:E2203)*(E2=E$1:E2203))))))</f>
        <v> </v>
      </c>
      <c r="K2204" s="25" t="str">
        <f>IF(OR(E2204="",E2204="!!!",F2204="NEW"),"",INDEX(J$1:J2203,SUMPRODUCT(MAX(ROW(E$1:E2203)*(E2204=E$1:E2203)))))</f>
        <v> </v>
      </c>
      <c r="L2204" s="26"/>
    </row>
    <row r="2205" spans="1:12">
      <c r="A2205" s="20" t="s">
        <v>1334</v>
      </c>
      <c r="E2205" s="21">
        <f>IF(D2205="?OLD","!!!","")</f>
        <v/>
      </c>
      <c r="F2205" s="22" t="str">
        <f>IF(OR(E2205="",E2205="!!!"),"",IF(NOT(ISNA(VLOOKUP(E2205,E$1:E2204,1,FALSE()))),"OLD",IF(AND(E2205&lt;&gt;"",E2205&lt;&gt;"!!!"),"NEW","")))</f>
        <v> </v>
      </c>
      <c r="G2205" s="23" t="str">
        <f>IF(OR(E2205="",E2205="!!!"),"",IF(OR(J2205=0,AND(J2205=1,K2205=1),AND(J2205=1,I2205="SBJ"),AND(J2205=1,I2205=0)),"?IN_FOCUS",IF(J2205&lt;=2,"?ACTIVATED",IF(J2205&lt;&gt;"","?FAMILIAR",IF(F2205="NEW",IF(ISNA(VLOOKUP(E2205,#REF!,1,FALSE())),"?TYPE_IDENTIFIABLE","?REFERENTIAL"),"_")))))</f>
        <v> </v>
      </c>
      <c r="H2205" s="24" t="str">
        <f>IF(J2205&lt;&gt;1,"",IF(I2205="SBJ","CB","?"))</f>
        <v> </v>
      </c>
      <c r="I2205" s="25" t="str">
        <f>IF(OR(E2205="",E2205="!!!",F2205="NEW"),"",INDEX(B2204:B$2,-1+SUMPRODUCT(MAX(ROW(E2204:E$2)*(E2205=E2204:E$2)))))</f>
        <v> </v>
      </c>
      <c r="J2205" s="25" t="str">
        <f>IF(OR(E2205="",E2205="!!!",F2205="NEW"),"",COUNTBLANK(OFFSET(A$1,,,SUMPRODUCT(MAX(ROW(E$2:E2205)*(E2205=E$2:E2205)))))-COUNTBLANK(OFFSET(A$1,,,SUMPRODUCT(MAX(ROW(E$1:E2204)*(E2=E$1:E2204))))))</f>
        <v> </v>
      </c>
      <c r="K2205" s="25" t="str">
        <f>IF(OR(E2205="",E2205="!!!",F2205="NEW"),"",INDEX(J$1:J2204,SUMPRODUCT(MAX(ROW(E$1:E2204)*(E2205=E$1:E2204)))))</f>
        <v> </v>
      </c>
      <c r="L2205" s="26"/>
    </row>
    <row r="2206" spans="1:12">
      <c r="A2206" s="20"/>
    </row>
    <row r="2207" spans="1:12">
      <c r="A2207" s="20" t="s">
        <v>2203</v>
      </c>
    </row>
    <row r="2208" spans="1:12">
      <c r="A2208" s="20" t="s">
        <v>1111</v>
      </c>
      <c r="E2208" s="21">
        <f>IF(D2208="?OLD","!!!","")</f>
        <v/>
      </c>
      <c r="F2208" s="22" t="str">
        <f>IF(OR(E2208="",E2208="!!!"),"",IF(NOT(ISNA(VLOOKUP(E2208,E$1:E2207,1,FALSE()))),"OLD",IF(AND(E2208&lt;&gt;"",E2208&lt;&gt;"!!!"),"NEW","")))</f>
        <v> </v>
      </c>
      <c r="G2208" s="23" t="str">
        <f>IF(OR(E2208="",E2208="!!!"),"",IF(OR(J2208=0,AND(J2208=1,K2208=1),AND(J2208=1,I2208="SBJ"),AND(J2208=1,I2208=0)),"?IN_FOCUS",IF(J2208&lt;=2,"?ACTIVATED",IF(J2208&lt;&gt;"","?FAMILIAR",IF(F2208="NEW",IF(ISNA(VLOOKUP(E2208,#REF!,1,FALSE())),"?TYPE_IDENTIFIABLE","?REFERENTIAL"),"_")))))</f>
        <v> </v>
      </c>
      <c r="H2208" s="24" t="str">
        <f>IF(J2208&lt;&gt;1,"",IF(I2208="SBJ","CB","?"))</f>
        <v> </v>
      </c>
      <c r="I2208" s="25" t="str">
        <f>IF(OR(E2208="",E2208="!!!",F2208="NEW"),"",INDEX(B2207:B$2,-1+SUMPRODUCT(MAX(ROW(E2207:E$2)*(E2208=E2207:E$2)))))</f>
        <v> </v>
      </c>
      <c r="J2208" s="25" t="str">
        <f>IF(OR(E2208="",E2208="!!!",F2208="NEW"),"",COUNTBLANK(OFFSET(A$1,,,SUMPRODUCT(MAX(ROW(E$2:E2208)*(E2208=E$2:E2208)))))-COUNTBLANK(OFFSET(A$1,,,SUMPRODUCT(MAX(ROW(E$1:E2207)*(E2=E$1:E2207))))))</f>
        <v> </v>
      </c>
      <c r="K2208" s="25" t="str">
        <f>IF(OR(E2208="",E2208="!!!",F2208="NEW"),"",INDEX(J$1:J2207,SUMPRODUCT(MAX(ROW(E$1:E2207)*(E2208=E$1:E2207)))))</f>
        <v> </v>
      </c>
      <c r="L2208" s="26"/>
    </row>
    <row r="2209" spans="1:12">
      <c r="A2209" s="20" t="s">
        <v>2204</v>
      </c>
      <c r="B2209" s="27" t="s">
        <v>1103</v>
      </c>
      <c r="C2209" s="27" t="s">
        <v>1133</v>
      </c>
      <c r="E2209" s="21">
        <f>IF(D2209="?OLD","!!!","")</f>
        <v/>
      </c>
      <c r="F2209" s="22" t="str">
        <f>IF(OR(E2209="",E2209="!!!"),"",IF(NOT(ISNA(VLOOKUP(E2209,E$1:E2208,1,FALSE()))),"OLD",IF(AND(E2209&lt;&gt;"",E2209&lt;&gt;"!!!"),"NEW","")))</f>
        <v> </v>
      </c>
      <c r="G2209" s="23" t="str">
        <f>IF(OR(E2209="",E2209="!!!"),"",IF(OR(J2209=0,AND(J2209=1,K2209=1),AND(J2209=1,I2209="SBJ"),AND(J2209=1,I2209=0)),"?IN_FOCUS",IF(J2209&lt;=2,"?ACTIVATED",IF(J2209&lt;&gt;"","?FAMILIAR",IF(F2209="NEW",IF(ISNA(VLOOKUP(E2209,#REF!,1,FALSE())),"?TYPE_IDENTIFIABLE","?REFERENTIAL"),"_")))))</f>
        <v> </v>
      </c>
      <c r="H2209" s="24" t="str">
        <f>IF(J2209&lt;&gt;1,"",IF(I2209="SBJ","CB","?"))</f>
        <v> </v>
      </c>
      <c r="I2209" s="25" t="str">
        <f>IF(OR(E2209="",E2209="!!!",F2209="NEW"),"",INDEX(B2208:B$2,-1+SUMPRODUCT(MAX(ROW(E2208:E$2)*(E2209=E2208:E$2)))))</f>
        <v> </v>
      </c>
      <c r="J2209" s="25" t="str">
        <f>IF(OR(E2209="",E2209="!!!",F2209="NEW"),"",COUNTBLANK(OFFSET(A$1,,,SUMPRODUCT(MAX(ROW(E$2:E2209)*(E2209=E$2:E2209)))))-COUNTBLANK(OFFSET(A$1,,,SUMPRODUCT(MAX(ROW(E$1:E2208)*(E2=E$1:E2208))))))</f>
        <v> </v>
      </c>
      <c r="K2209" s="25" t="str">
        <f>IF(OR(E2209="",E2209="!!!",F2209="NEW"),"",INDEX(J$1:J2208,SUMPRODUCT(MAX(ROW(E$1:E2208)*(E2209=E$1:E2208)))))</f>
        <v> </v>
      </c>
      <c r="L2209" s="26"/>
    </row>
    <row r="2210" spans="1:12">
      <c r="A2210" s="20" t="s">
        <v>1173</v>
      </c>
      <c r="E2210" s="21">
        <f>IF(D2210="?OLD","!!!","")</f>
        <v/>
      </c>
      <c r="F2210" s="22" t="str">
        <f>IF(OR(E2210="",E2210="!!!"),"",IF(NOT(ISNA(VLOOKUP(E2210,E$1:E2209,1,FALSE()))),"OLD",IF(AND(E2210&lt;&gt;"",E2210&lt;&gt;"!!!"),"NEW","")))</f>
        <v> </v>
      </c>
      <c r="G2210" s="23" t="str">
        <f>IF(OR(E2210="",E2210="!!!"),"",IF(OR(J2210=0,AND(J2210=1,K2210=1),AND(J2210=1,I2210="SBJ"),AND(J2210=1,I2210=0)),"?IN_FOCUS",IF(J2210&lt;=2,"?ACTIVATED",IF(J2210&lt;&gt;"","?FAMILIAR",IF(F2210="NEW",IF(ISNA(VLOOKUP(E2210,#REF!,1,FALSE())),"?TYPE_IDENTIFIABLE","?REFERENTIAL"),"_")))))</f>
        <v> </v>
      </c>
      <c r="H2210" s="24" t="str">
        <f>IF(J2210&lt;&gt;1,"",IF(I2210="SBJ","CB","?"))</f>
        <v> </v>
      </c>
      <c r="I2210" s="25" t="str">
        <f>IF(OR(E2210="",E2210="!!!",F2210="NEW"),"",INDEX(B2209:B$2,-1+SUMPRODUCT(MAX(ROW(E2209:E$2)*(E2210=E2209:E$2)))))</f>
        <v> </v>
      </c>
      <c r="J2210" s="25" t="str">
        <f>IF(OR(E2210="",E2210="!!!",F2210="NEW"),"",COUNTBLANK(OFFSET(A$1,,,SUMPRODUCT(MAX(ROW(E$2:E2210)*(E2210=E$2:E2210)))))-COUNTBLANK(OFFSET(A$1,,,SUMPRODUCT(MAX(ROW(E$1:E2209)*(E2=E$1:E2209))))))</f>
        <v> </v>
      </c>
      <c r="K2210" s="25" t="str">
        <f>IF(OR(E2210="",E2210="!!!",F2210="NEW"),"",INDEX(J$1:J2209,SUMPRODUCT(MAX(ROW(E$1:E2209)*(E2210=E$1:E2209)))))</f>
        <v> </v>
      </c>
      <c r="L2210" s="26"/>
    </row>
    <row r="2211" spans="1:12">
      <c r="A2211" s="20" t="s">
        <v>1974</v>
      </c>
      <c r="B2211" s="27" t="s">
        <v>1149</v>
      </c>
      <c r="C2211" s="27" t="s">
        <v>1126</v>
      </c>
      <c r="D2211" s="27" t="s">
        <v>1105</v>
      </c>
      <c r="E2211" s="21">
        <f>IF(D2211="?OLD","!!!","")</f>
        <v/>
      </c>
      <c r="F2211" s="22" t="str">
        <f>IF(OR(E2211="",E2211="!!!"),"",IF(NOT(ISNA(VLOOKUP(E2211,E$1:E2210,1,FALSE()))),"OLD",IF(AND(E2211&lt;&gt;"",E2211&lt;&gt;"!!!"),"NEW","")))</f>
        <v> </v>
      </c>
      <c r="G2211" s="23" t="str">
        <f>IF(OR(E2211="",E2211="!!!"),"",IF(OR(J2211=0,AND(J2211=1,K2211=1),AND(J2211=1,I2211="SBJ"),AND(J2211=1,I2211=0)),"?IN_FOCUS",IF(J2211&lt;=2,"?ACTIVATED",IF(J2211&lt;&gt;"","?FAMILIAR",IF(F2211="NEW",IF(ISNA(VLOOKUP(E2211,#REF!,1,FALSE())),"?TYPE_IDENTIFIABLE","?REFERENTIAL"),"_")))))</f>
        <v> </v>
      </c>
      <c r="H2211" s="24" t="str">
        <f>IF(J2211&lt;&gt;1,"",IF(I2211="SBJ","CB","?"))</f>
        <v> </v>
      </c>
      <c r="I2211" s="25" t="str">
        <f>IF(OR(E2211="",E2211="!!!",F2211="NEW"),"",INDEX(B2210:B$2,-1+SUMPRODUCT(MAX(ROW(E2210:E$2)*(E2211=E2210:E$2)))))</f>
        <v> </v>
      </c>
      <c r="J2211" s="25" t="str">
        <f>IF(OR(E2211="",E2211="!!!",F2211="NEW"),"",COUNTBLANK(OFFSET(A$1,,,SUMPRODUCT(MAX(ROW(E$2:E2211)*(E2211=E$2:E2211)))))-COUNTBLANK(OFFSET(A$1,,,SUMPRODUCT(MAX(ROW(E$1:E2210)*(E2=E$1:E2210))))))</f>
        <v> </v>
      </c>
      <c r="K2211" s="25" t="str">
        <f>IF(OR(E2211="",E2211="!!!",F2211="NEW"),"",INDEX(J$1:J2210,SUMPRODUCT(MAX(ROW(E$1:E2210)*(E2211=E$1:E2210)))))</f>
        <v> </v>
      </c>
      <c r="L2211" s="26"/>
    </row>
    <row r="2212" spans="1:12">
      <c r="A2212" s="20" t="s">
        <v>1129</v>
      </c>
      <c r="E2212" s="21">
        <f>IF(D2212="?OLD","!!!","")</f>
        <v/>
      </c>
      <c r="F2212" s="22" t="str">
        <f>IF(OR(E2212="",E2212="!!!"),"",IF(NOT(ISNA(VLOOKUP(E2212,E$1:E2211,1,FALSE()))),"OLD",IF(AND(E2212&lt;&gt;"",E2212&lt;&gt;"!!!"),"NEW","")))</f>
        <v> </v>
      </c>
      <c r="G2212" s="23" t="str">
        <f>IF(OR(E2212="",E2212="!!!"),"",IF(OR(J2212=0,AND(J2212=1,K2212=1),AND(J2212=1,I2212="SBJ"),AND(J2212=1,I2212=0)),"?IN_FOCUS",IF(J2212&lt;=2,"?ACTIVATED",IF(J2212&lt;&gt;"","?FAMILIAR",IF(F2212="NEW",IF(ISNA(VLOOKUP(E2212,#REF!,1,FALSE())),"?TYPE_IDENTIFIABLE","?REFERENTIAL"),"_")))))</f>
        <v> </v>
      </c>
      <c r="H2212" s="24" t="str">
        <f>IF(J2212&lt;&gt;1,"",IF(I2212="SBJ","CB","?"))</f>
        <v> </v>
      </c>
      <c r="I2212" s="25" t="str">
        <f>IF(OR(E2212="",E2212="!!!",F2212="NEW"),"",INDEX(B2211:B$2,-1+SUMPRODUCT(MAX(ROW(E2211:E$2)*(E2212=E2211:E$2)))))</f>
        <v> </v>
      </c>
      <c r="J2212" s="25" t="str">
        <f>IF(OR(E2212="",E2212="!!!",F2212="NEW"),"",COUNTBLANK(OFFSET(A$1,,,SUMPRODUCT(MAX(ROW(E$2:E2212)*(E2212=E$2:E2212)))))-COUNTBLANK(OFFSET(A$1,,,SUMPRODUCT(MAX(ROW(E$1:E2211)*(E2=E$1:E2211))))))</f>
        <v> </v>
      </c>
      <c r="K2212" s="25" t="str">
        <f>IF(OR(E2212="",E2212="!!!",F2212="NEW"),"",INDEX(J$1:J2211,SUMPRODUCT(MAX(ROW(E$1:E2211)*(E2212=E$1:E2211)))))</f>
        <v> </v>
      </c>
      <c r="L2212" s="26"/>
    </row>
    <row r="2213" spans="1:12">
      <c r="A2213" s="20" t="s">
        <v>1120</v>
      </c>
      <c r="E2213" s="21">
        <f>IF(D2213="?OLD","!!!","")</f>
        <v/>
      </c>
      <c r="F2213" s="22" t="str">
        <f>IF(OR(E2213="",E2213="!!!"),"",IF(NOT(ISNA(VLOOKUP(E2213,E$1:E2212,1,FALSE()))),"OLD",IF(AND(E2213&lt;&gt;"",E2213&lt;&gt;"!!!"),"NEW","")))</f>
        <v> </v>
      </c>
      <c r="G2213" s="23" t="str">
        <f>IF(OR(E2213="",E2213="!!!"),"",IF(OR(J2213=0,AND(J2213=1,K2213=1),AND(J2213=1,I2213="SBJ"),AND(J2213=1,I2213=0)),"?IN_FOCUS",IF(J2213&lt;=2,"?ACTIVATED",IF(J2213&lt;&gt;"","?FAMILIAR",IF(F2213="NEW",IF(ISNA(VLOOKUP(E2213,#REF!,1,FALSE())),"?TYPE_IDENTIFIABLE","?REFERENTIAL"),"_")))))</f>
        <v> </v>
      </c>
      <c r="H2213" s="24" t="str">
        <f>IF(J2213&lt;&gt;1,"",IF(I2213="SBJ","CB","?"))</f>
        <v> </v>
      </c>
      <c r="I2213" s="25" t="str">
        <f>IF(OR(E2213="",E2213="!!!",F2213="NEW"),"",INDEX(B2212:B$2,-1+SUMPRODUCT(MAX(ROW(E2212:E$2)*(E2213=E2212:E$2)))))</f>
        <v> </v>
      </c>
      <c r="J2213" s="25" t="str">
        <f>IF(OR(E2213="",E2213="!!!",F2213="NEW"),"",COUNTBLANK(OFFSET(A$1,,,SUMPRODUCT(MAX(ROW(E$2:E2213)*(E2213=E$2:E2213)))))-COUNTBLANK(OFFSET(A$1,,,SUMPRODUCT(MAX(ROW(E$1:E2212)*(E2=E$1:E2212))))))</f>
        <v> </v>
      </c>
      <c r="K2213" s="25" t="str">
        <f>IF(OR(E2213="",E2213="!!!",F2213="NEW"),"",INDEX(J$1:J2212,SUMPRODUCT(MAX(ROW(E$1:E2212)*(E2213=E$1:E2212)))))</f>
        <v> </v>
      </c>
      <c r="L2213" s="26"/>
    </row>
    <row r="2214" spans="1:12">
      <c r="A2214" s="20" t="s">
        <v>1123</v>
      </c>
      <c r="E2214" s="21">
        <f>IF(D2214="?OLD","!!!","")</f>
        <v/>
      </c>
      <c r="F2214" s="22" t="str">
        <f>IF(OR(E2214="",E2214="!!!"),"",IF(NOT(ISNA(VLOOKUP(E2214,E$1:E2213,1,FALSE()))),"OLD",IF(AND(E2214&lt;&gt;"",E2214&lt;&gt;"!!!"),"NEW","")))</f>
        <v> </v>
      </c>
      <c r="G2214" s="23" t="str">
        <f>IF(OR(E2214="",E2214="!!!"),"",IF(OR(J2214=0,AND(J2214=1,K2214=1),AND(J2214=1,I2214="SBJ"),AND(J2214=1,I2214=0)),"?IN_FOCUS",IF(J2214&lt;=2,"?ACTIVATED",IF(J2214&lt;&gt;"","?FAMILIAR",IF(F2214="NEW",IF(ISNA(VLOOKUP(E2214,#REF!,1,FALSE())),"?TYPE_IDENTIFIABLE","?REFERENTIAL"),"_")))))</f>
        <v> </v>
      </c>
      <c r="H2214" s="24" t="str">
        <f>IF(J2214&lt;&gt;1,"",IF(I2214="SBJ","CB","?"))</f>
        <v> </v>
      </c>
      <c r="I2214" s="25" t="str">
        <f>IF(OR(E2214="",E2214="!!!",F2214="NEW"),"",INDEX(B2213:B$2,-1+SUMPRODUCT(MAX(ROW(E2213:E$2)*(E2214=E2213:E$2)))))</f>
        <v> </v>
      </c>
      <c r="J2214" s="25" t="str">
        <f>IF(OR(E2214="",E2214="!!!",F2214="NEW"),"",COUNTBLANK(OFFSET(A$1,,,SUMPRODUCT(MAX(ROW(E$2:E2214)*(E2214=E$2:E2214)))))-COUNTBLANK(OFFSET(A$1,,,SUMPRODUCT(MAX(ROW(E$1:E2213)*(E2=E$1:E2213))))))</f>
        <v> </v>
      </c>
      <c r="K2214" s="25" t="str">
        <f>IF(OR(E2214="",E2214="!!!",F2214="NEW"),"",INDEX(J$1:J2213,SUMPRODUCT(MAX(ROW(E$1:E2213)*(E2214=E$1:E2213)))))</f>
        <v> </v>
      </c>
      <c r="L2214" s="26"/>
    </row>
    <row r="2215" spans="1:12">
      <c r="A2215" s="20" t="s">
        <v>1974</v>
      </c>
      <c r="B2215" s="27" t="s">
        <v>1122</v>
      </c>
      <c r="C2215" s="27" t="s">
        <v>1126</v>
      </c>
      <c r="D2215" s="27" t="s">
        <v>1105</v>
      </c>
      <c r="E2215" s="21">
        <f>IF(D2215="?OLD","!!!","")</f>
        <v/>
      </c>
      <c r="F2215" s="22" t="str">
        <f>IF(OR(E2215="",E2215="!!!"),"",IF(NOT(ISNA(VLOOKUP(E2215,E$1:E2214,1,FALSE()))),"OLD",IF(AND(E2215&lt;&gt;"",E2215&lt;&gt;"!!!"),"NEW","")))</f>
        <v> </v>
      </c>
      <c r="G2215" s="23" t="str">
        <f>IF(OR(E2215="",E2215="!!!"),"",IF(OR(J2215=0,AND(J2215=1,K2215=1),AND(J2215=1,I2215="SBJ"),AND(J2215=1,I2215=0)),"?IN_FOCUS",IF(J2215&lt;=2,"?ACTIVATED",IF(J2215&lt;&gt;"","?FAMILIAR",IF(F2215="NEW",IF(ISNA(VLOOKUP(E2215,#REF!,1,FALSE())),"?TYPE_IDENTIFIABLE","?REFERENTIAL"),"_")))))</f>
        <v> </v>
      </c>
      <c r="H2215" s="24" t="str">
        <f>IF(J2215&lt;&gt;1,"",IF(I2215="SBJ","CB","?"))</f>
        <v> </v>
      </c>
      <c r="I2215" s="25" t="str">
        <f>IF(OR(E2215="",E2215="!!!",F2215="NEW"),"",INDEX(B2214:B$2,-1+SUMPRODUCT(MAX(ROW(E2214:E$2)*(E2215=E2214:E$2)))))</f>
        <v> </v>
      </c>
      <c r="J2215" s="25" t="str">
        <f>IF(OR(E2215="",E2215="!!!",F2215="NEW"),"",COUNTBLANK(OFFSET(A$1,,,SUMPRODUCT(MAX(ROW(E$2:E2215)*(E2215=E$2:E2215)))))-COUNTBLANK(OFFSET(A$1,,,SUMPRODUCT(MAX(ROW(E$1:E2214)*(E2=E$1:E2214))))))</f>
        <v> </v>
      </c>
      <c r="K2215" s="25" t="str">
        <f>IF(OR(E2215="",E2215="!!!",F2215="NEW"),"",INDEX(J$1:J2214,SUMPRODUCT(MAX(ROW(E$1:E2214)*(E2215=E$1:E2214)))))</f>
        <v> </v>
      </c>
      <c r="L2215" s="26"/>
    </row>
    <row r="2216" spans="1:12">
      <c r="A2216" s="20" t="s">
        <v>2205</v>
      </c>
      <c r="E2216" s="21">
        <f>IF(D2216="?OLD","!!!","")</f>
        <v/>
      </c>
      <c r="F2216" s="22" t="str">
        <f>IF(OR(E2216="",E2216="!!!"),"",IF(NOT(ISNA(VLOOKUP(E2216,E$1:E2215,1,FALSE()))),"OLD",IF(AND(E2216&lt;&gt;"",E2216&lt;&gt;"!!!"),"NEW","")))</f>
        <v> </v>
      </c>
      <c r="G2216" s="23" t="str">
        <f>IF(OR(E2216="",E2216="!!!"),"",IF(OR(J2216=0,AND(J2216=1,K2216=1),AND(J2216=1,I2216="SBJ"),AND(J2216=1,I2216=0)),"?IN_FOCUS",IF(J2216&lt;=2,"?ACTIVATED",IF(J2216&lt;&gt;"","?FAMILIAR",IF(F2216="NEW",IF(ISNA(VLOOKUP(E2216,#REF!,1,FALSE())),"?TYPE_IDENTIFIABLE","?REFERENTIAL"),"_")))))</f>
        <v> </v>
      </c>
      <c r="H2216" s="24" t="str">
        <f>IF(J2216&lt;&gt;1,"",IF(I2216="SBJ","CB","?"))</f>
        <v> </v>
      </c>
      <c r="I2216" s="25" t="str">
        <f>IF(OR(E2216="",E2216="!!!",F2216="NEW"),"",INDEX(B2215:B$2,-1+SUMPRODUCT(MAX(ROW(E2215:E$2)*(E2216=E2215:E$2)))))</f>
        <v> </v>
      </c>
      <c r="J2216" s="25" t="str">
        <f>IF(OR(E2216="",E2216="!!!",F2216="NEW"),"",COUNTBLANK(OFFSET(A$1,,,SUMPRODUCT(MAX(ROW(E$2:E2216)*(E2216=E$2:E2216)))))-COUNTBLANK(OFFSET(A$1,,,SUMPRODUCT(MAX(ROW(E$1:E2215)*(E2=E$1:E2215))))))</f>
        <v> </v>
      </c>
      <c r="K2216" s="25" t="str">
        <f>IF(OR(E2216="",E2216="!!!",F2216="NEW"),"",INDEX(J$1:J2215,SUMPRODUCT(MAX(ROW(E$1:E2215)*(E2216=E$1:E2215)))))</f>
        <v> </v>
      </c>
      <c r="L2216" s="26"/>
    </row>
    <row r="2217" spans="1:12">
      <c r="A2217" s="20" t="s">
        <v>1123</v>
      </c>
      <c r="E2217" s="21">
        <f>IF(D2217="?OLD","!!!","")</f>
        <v/>
      </c>
      <c r="F2217" s="22" t="str">
        <f>IF(OR(E2217="",E2217="!!!"),"",IF(NOT(ISNA(VLOOKUP(E2217,E$1:E2216,1,FALSE()))),"OLD",IF(AND(E2217&lt;&gt;"",E2217&lt;&gt;"!!!"),"NEW","")))</f>
        <v> </v>
      </c>
      <c r="G2217" s="23" t="str">
        <f>IF(OR(E2217="",E2217="!!!"),"",IF(OR(J2217=0,AND(J2217=1,K2217=1),AND(J2217=1,I2217="SBJ"),AND(J2217=1,I2217=0)),"?IN_FOCUS",IF(J2217&lt;=2,"?ACTIVATED",IF(J2217&lt;&gt;"","?FAMILIAR",IF(F2217="NEW",IF(ISNA(VLOOKUP(E2217,#REF!,1,FALSE())),"?TYPE_IDENTIFIABLE","?REFERENTIAL"),"_")))))</f>
        <v> </v>
      </c>
      <c r="H2217" s="24" t="str">
        <f>IF(J2217&lt;&gt;1,"",IF(I2217="SBJ","CB","?"))</f>
        <v> </v>
      </c>
      <c r="I2217" s="25" t="str">
        <f>IF(OR(E2217="",E2217="!!!",F2217="NEW"),"",INDEX(B2216:B$2,-1+SUMPRODUCT(MAX(ROW(E2216:E$2)*(E2217=E2216:E$2)))))</f>
        <v> </v>
      </c>
      <c r="J2217" s="25" t="str">
        <f>IF(OR(E2217="",E2217="!!!",F2217="NEW"),"",COUNTBLANK(OFFSET(A$1,,,SUMPRODUCT(MAX(ROW(E$2:E2217)*(E2217=E$2:E2217)))))-COUNTBLANK(OFFSET(A$1,,,SUMPRODUCT(MAX(ROW(E$1:E2216)*(E2=E$1:E2216))))))</f>
        <v> </v>
      </c>
      <c r="K2217" s="25" t="str">
        <f>IF(OR(E2217="",E2217="!!!",F2217="NEW"),"",INDEX(J$1:J2216,SUMPRODUCT(MAX(ROW(E$1:E2216)*(E2217=E$1:E2216)))))</f>
        <v> </v>
      </c>
      <c r="L2217" s="26"/>
    </row>
    <row r="2218" spans="1:12">
      <c r="A2218" s="20" t="s">
        <v>1111</v>
      </c>
      <c r="E2218" s="21">
        <f>IF(D2218="?OLD","!!!","")</f>
        <v/>
      </c>
      <c r="F2218" s="22" t="str">
        <f>IF(OR(E2218="",E2218="!!!"),"",IF(NOT(ISNA(VLOOKUP(E2218,E$1:E2217,1,FALSE()))),"OLD",IF(AND(E2218&lt;&gt;"",E2218&lt;&gt;"!!!"),"NEW","")))</f>
        <v> </v>
      </c>
      <c r="G2218" s="23" t="str">
        <f>IF(OR(E2218="",E2218="!!!"),"",IF(OR(J2218=0,AND(J2218=1,K2218=1),AND(J2218=1,I2218="SBJ"),AND(J2218=1,I2218=0)),"?IN_FOCUS",IF(J2218&lt;=2,"?ACTIVATED",IF(J2218&lt;&gt;"","?FAMILIAR",IF(F2218="NEW",IF(ISNA(VLOOKUP(E2218,#REF!,1,FALSE())),"?TYPE_IDENTIFIABLE","?REFERENTIAL"),"_")))))</f>
        <v> </v>
      </c>
      <c r="H2218" s="24" t="str">
        <f>IF(J2218&lt;&gt;1,"",IF(I2218="SBJ","CB","?"))</f>
        <v> </v>
      </c>
      <c r="I2218" s="25" t="str">
        <f>IF(OR(E2218="",E2218="!!!",F2218="NEW"),"",INDEX(B2217:B$2,-1+SUMPRODUCT(MAX(ROW(E2217:E$2)*(E2218=E2217:E$2)))))</f>
        <v> </v>
      </c>
      <c r="J2218" s="25" t="str">
        <f>IF(OR(E2218="",E2218="!!!",F2218="NEW"),"",COUNTBLANK(OFFSET(A$1,,,SUMPRODUCT(MAX(ROW(E$2:E2218)*(E2218=E$2:E2218)))))-COUNTBLANK(OFFSET(A$1,,,SUMPRODUCT(MAX(ROW(E$1:E2217)*(E2=E$1:E2217))))))</f>
        <v> </v>
      </c>
      <c r="K2218" s="25" t="str">
        <f>IF(OR(E2218="",E2218="!!!",F2218="NEW"),"",INDEX(J$1:J2217,SUMPRODUCT(MAX(ROW(E$1:E2217)*(E2218=E$1:E2217)))))</f>
        <v> </v>
      </c>
      <c r="L2218" s="26"/>
    </row>
    <row r="2219" spans="1:12">
      <c r="A2219" s="20" t="s">
        <v>1425</v>
      </c>
      <c r="E2219" s="21">
        <f>IF(D2219="?OLD","!!!","")</f>
        <v/>
      </c>
      <c r="F2219" s="22" t="str">
        <f>IF(OR(E2219="",E2219="!!!"),"",IF(NOT(ISNA(VLOOKUP(E2219,E$1:E2218,1,FALSE()))),"OLD",IF(AND(E2219&lt;&gt;"",E2219&lt;&gt;"!!!"),"NEW","")))</f>
        <v> </v>
      </c>
      <c r="G2219" s="23" t="str">
        <f>IF(OR(E2219="",E2219="!!!"),"",IF(OR(J2219=0,AND(J2219=1,K2219=1),AND(J2219=1,I2219="SBJ"),AND(J2219=1,I2219=0)),"?IN_FOCUS",IF(J2219&lt;=2,"?ACTIVATED",IF(J2219&lt;&gt;"","?FAMILIAR",IF(F2219="NEW",IF(ISNA(VLOOKUP(E2219,#REF!,1,FALSE())),"?TYPE_IDENTIFIABLE","?REFERENTIAL"),"_")))))</f>
        <v> </v>
      </c>
      <c r="H2219" s="24" t="str">
        <f>IF(J2219&lt;&gt;1,"",IF(I2219="SBJ","CB","?"))</f>
        <v> </v>
      </c>
      <c r="I2219" s="25" t="str">
        <f>IF(OR(E2219="",E2219="!!!",F2219="NEW"),"",INDEX(B2218:B$2,-1+SUMPRODUCT(MAX(ROW(E2218:E$2)*(E2219=E2218:E$2)))))</f>
        <v> </v>
      </c>
      <c r="J2219" s="25" t="str">
        <f>IF(OR(E2219="",E2219="!!!",F2219="NEW"),"",COUNTBLANK(OFFSET(A$1,,,SUMPRODUCT(MAX(ROW(E$2:E2219)*(E2219=E$2:E2219)))))-COUNTBLANK(OFFSET(A$1,,,SUMPRODUCT(MAX(ROW(E$1:E2218)*(E2=E$1:E2218))))))</f>
        <v> </v>
      </c>
      <c r="K2219" s="25" t="str">
        <f>IF(OR(E2219="",E2219="!!!",F2219="NEW"),"",INDEX(J$1:J2218,SUMPRODUCT(MAX(ROW(E$1:E2218)*(E2219=E$1:E2218)))))</f>
        <v> </v>
      </c>
      <c r="L2219" s="26"/>
    </row>
    <row r="2220" spans="1:12">
      <c r="A2220" s="20" t="s">
        <v>1225</v>
      </c>
      <c r="B2220" s="27" t="s">
        <v>1122</v>
      </c>
      <c r="C2220" s="27" t="s">
        <v>1108</v>
      </c>
      <c r="D2220" s="27" t="s">
        <v>1105</v>
      </c>
      <c r="E2220" s="21">
        <f>IF(D2220="?OLD","!!!","")</f>
        <v/>
      </c>
      <c r="F2220" s="22" t="str">
        <f>IF(OR(E2220="",E2220="!!!"),"",IF(NOT(ISNA(VLOOKUP(E2220,E$1:E2219,1,FALSE()))),"OLD",IF(AND(E2220&lt;&gt;"",E2220&lt;&gt;"!!!"),"NEW","")))</f>
        <v> </v>
      </c>
      <c r="G2220" s="23" t="str">
        <f>IF(OR(E2220="",E2220="!!!"),"",IF(OR(J2220=0,AND(J2220=1,K2220=1),AND(J2220=1,I2220="SBJ"),AND(J2220=1,I2220=0)),"?IN_FOCUS",IF(J2220&lt;=2,"?ACTIVATED",IF(J2220&lt;&gt;"","?FAMILIAR",IF(F2220="NEW",IF(ISNA(VLOOKUP(E2220,#REF!,1,FALSE())),"?TYPE_IDENTIFIABLE","?REFERENTIAL"),"_")))))</f>
        <v> </v>
      </c>
      <c r="H2220" s="24" t="str">
        <f>IF(J2220&lt;&gt;1,"",IF(I2220="SBJ","CB","?"))</f>
        <v> </v>
      </c>
      <c r="I2220" s="25" t="str">
        <f>IF(OR(E2220="",E2220="!!!",F2220="NEW"),"",INDEX(B2219:B$2,-1+SUMPRODUCT(MAX(ROW(E2219:E$2)*(E2220=E2219:E$2)))))</f>
        <v> </v>
      </c>
      <c r="J2220" s="25" t="str">
        <f>IF(OR(E2220="",E2220="!!!",F2220="NEW"),"",COUNTBLANK(OFFSET(A$1,,,SUMPRODUCT(MAX(ROW(E$2:E2220)*(E2220=E$2:E2220)))))-COUNTBLANK(OFFSET(A$1,,,SUMPRODUCT(MAX(ROW(E$1:E2219)*(E2=E$1:E2219))))))</f>
        <v> </v>
      </c>
      <c r="K2220" s="25" t="str">
        <f>IF(OR(E2220="",E2220="!!!",F2220="NEW"),"",INDEX(J$1:J2219,SUMPRODUCT(MAX(ROW(E$1:E2219)*(E2220=E$1:E2219)))))</f>
        <v> </v>
      </c>
      <c r="L2220" s="26"/>
    </row>
    <row r="2221" spans="1:12">
      <c r="A2221" s="20" t="s">
        <v>1145</v>
      </c>
      <c r="E2221" s="21">
        <f>IF(D2221="?OLD","!!!","")</f>
        <v/>
      </c>
      <c r="F2221" s="22" t="str">
        <f>IF(OR(E2221="",E2221="!!!"),"",IF(NOT(ISNA(VLOOKUP(E2221,E$1:E2220,1,FALSE()))),"OLD",IF(AND(E2221&lt;&gt;"",E2221&lt;&gt;"!!!"),"NEW","")))</f>
        <v> </v>
      </c>
      <c r="G2221" s="23" t="str">
        <f>IF(OR(E2221="",E2221="!!!"),"",IF(OR(J2221=0,AND(J2221=1,K2221=1),AND(J2221=1,I2221="SBJ"),AND(J2221=1,I2221=0)),"?IN_FOCUS",IF(J2221&lt;=2,"?ACTIVATED",IF(J2221&lt;&gt;"","?FAMILIAR",IF(F2221="NEW",IF(ISNA(VLOOKUP(E2221,#REF!,1,FALSE())),"?TYPE_IDENTIFIABLE","?REFERENTIAL"),"_")))))</f>
        <v> </v>
      </c>
      <c r="H2221" s="24" t="str">
        <f>IF(J2221&lt;&gt;1,"",IF(I2221="SBJ","CB","?"))</f>
        <v> </v>
      </c>
      <c r="I2221" s="25" t="str">
        <f>IF(OR(E2221="",E2221="!!!",F2221="NEW"),"",INDEX(B2220:B$2,-1+SUMPRODUCT(MAX(ROW(E2220:E$2)*(E2221=E2220:E$2)))))</f>
        <v> </v>
      </c>
      <c r="J2221" s="25" t="str">
        <f>IF(OR(E2221="",E2221="!!!",F2221="NEW"),"",COUNTBLANK(OFFSET(A$1,,,SUMPRODUCT(MAX(ROW(E$2:E2221)*(E2221=E$2:E2221)))))-COUNTBLANK(OFFSET(A$1,,,SUMPRODUCT(MAX(ROW(E$1:E2220)*(E2=E$1:E2220))))))</f>
        <v> </v>
      </c>
      <c r="K2221" s="25" t="str">
        <f>IF(OR(E2221="",E2221="!!!",F2221="NEW"),"",INDEX(J$1:J2220,SUMPRODUCT(MAX(ROW(E$1:E2220)*(E2221=E$1:E2220)))))</f>
        <v> </v>
      </c>
      <c r="L2221" s="26"/>
    </row>
    <row r="2222" spans="1:12">
      <c r="A2222" s="20"/>
    </row>
    <row r="2223" spans="1:12">
      <c r="A2223" s="20" t="s">
        <v>2206</v>
      </c>
    </row>
    <row r="2224" spans="1:12">
      <c r="A2224" s="20" t="s">
        <v>1111</v>
      </c>
      <c r="E2224" s="21">
        <f>IF(D2224="?OLD","!!!","")</f>
        <v/>
      </c>
      <c r="F2224" s="22" t="str">
        <f>IF(OR(E2224="",E2224="!!!"),"",IF(NOT(ISNA(VLOOKUP(E2224,E$1:E2223,1,FALSE()))),"OLD",IF(AND(E2224&lt;&gt;"",E2224&lt;&gt;"!!!"),"NEW","")))</f>
        <v> </v>
      </c>
      <c r="G2224" s="23" t="str">
        <f>IF(OR(E2224="",E2224="!!!"),"",IF(OR(J2224=0,AND(J2224=1,K2224=1),AND(J2224=1,I2224="SBJ"),AND(J2224=1,I2224=0)),"?IN_FOCUS",IF(J2224&lt;=2,"?ACTIVATED",IF(J2224&lt;&gt;"","?FAMILIAR",IF(F2224="NEW",IF(ISNA(VLOOKUP(E2224,#REF!,1,FALSE())),"?TYPE_IDENTIFIABLE","?REFERENTIAL"),"_")))))</f>
        <v> </v>
      </c>
      <c r="H2224" s="24" t="str">
        <f>IF(J2224&lt;&gt;1,"",IF(I2224="SBJ","CB","?"))</f>
        <v> </v>
      </c>
      <c r="I2224" s="25" t="str">
        <f>IF(OR(E2224="",E2224="!!!",F2224="NEW"),"",INDEX(B2223:B$2,-1+SUMPRODUCT(MAX(ROW(E2223:E$2)*(E2224=E2223:E$2)))))</f>
        <v> </v>
      </c>
      <c r="J2224" s="25" t="str">
        <f>IF(OR(E2224="",E2224="!!!",F2224="NEW"),"",COUNTBLANK(OFFSET(A$1,,,SUMPRODUCT(MAX(ROW(E$2:E2224)*(E2224=E$2:E2224)))))-COUNTBLANK(OFFSET(A$1,,,SUMPRODUCT(MAX(ROW(E$1:E2223)*(E2=E$1:E2223))))))</f>
        <v> </v>
      </c>
      <c r="K2224" s="25" t="str">
        <f>IF(OR(E2224="",E2224="!!!",F2224="NEW"),"",INDEX(J$1:J2223,SUMPRODUCT(MAX(ROW(E$1:E2223)*(E2224=E$1:E2223)))))</f>
        <v> </v>
      </c>
      <c r="L2224" s="26"/>
    </row>
    <row r="2225" spans="1:12">
      <c r="A2225" s="20" t="s">
        <v>2207</v>
      </c>
      <c r="E2225" s="21">
        <f>IF(D2225="?OLD","!!!","")</f>
        <v/>
      </c>
      <c r="F2225" s="22" t="str">
        <f>IF(OR(E2225="",E2225="!!!"),"",IF(NOT(ISNA(VLOOKUP(E2225,E$1:E2224,1,FALSE()))),"OLD",IF(AND(E2225&lt;&gt;"",E2225&lt;&gt;"!!!"),"NEW","")))</f>
        <v> </v>
      </c>
      <c r="G2225" s="23" t="str">
        <f>IF(OR(E2225="",E2225="!!!"),"",IF(OR(J2225=0,AND(J2225=1,K2225=1),AND(J2225=1,I2225="SBJ"),AND(J2225=1,I2225=0)),"?IN_FOCUS",IF(J2225&lt;=2,"?ACTIVATED",IF(J2225&lt;&gt;"","?FAMILIAR",IF(F2225="NEW",IF(ISNA(VLOOKUP(E2225,#REF!,1,FALSE())),"?TYPE_IDENTIFIABLE","?REFERENTIAL"),"_")))))</f>
        <v> </v>
      </c>
      <c r="H2225" s="24" t="str">
        <f>IF(J2225&lt;&gt;1,"",IF(I2225="SBJ","CB","?"))</f>
        <v> </v>
      </c>
      <c r="I2225" s="25" t="str">
        <f>IF(OR(E2225="",E2225="!!!",F2225="NEW"),"",INDEX(B2224:B$2,-1+SUMPRODUCT(MAX(ROW(E2224:E$2)*(E2225=E2224:E$2)))))</f>
        <v> </v>
      </c>
      <c r="J2225" s="25" t="str">
        <f>IF(OR(E2225="",E2225="!!!",F2225="NEW"),"",COUNTBLANK(OFFSET(A$1,,,SUMPRODUCT(MAX(ROW(E$2:E2225)*(E2225=E$2:E2225)))))-COUNTBLANK(OFFSET(A$1,,,SUMPRODUCT(MAX(ROW(E$1:E2224)*(E2=E$1:E2224))))))</f>
        <v> </v>
      </c>
      <c r="K2225" s="25" t="str">
        <f>IF(OR(E2225="",E2225="!!!",F2225="NEW"),"",INDEX(J$1:J2224,SUMPRODUCT(MAX(ROW(E$1:E2224)*(E2225=E$1:E2224)))))</f>
        <v> </v>
      </c>
      <c r="L2225" s="26"/>
    </row>
    <row r="2226" spans="1:12">
      <c r="A2226" s="20" t="s">
        <v>2208</v>
      </c>
      <c r="E2226" s="21">
        <f>IF(D2226="?OLD","!!!","")</f>
        <v/>
      </c>
      <c r="F2226" s="22" t="str">
        <f>IF(OR(E2226="",E2226="!!!"),"",IF(NOT(ISNA(VLOOKUP(E2226,E$1:E2225,1,FALSE()))),"OLD",IF(AND(E2226&lt;&gt;"",E2226&lt;&gt;"!!!"),"NEW","")))</f>
        <v> </v>
      </c>
      <c r="G2226" s="23" t="str">
        <f>IF(OR(E2226="",E2226="!!!"),"",IF(OR(J2226=0,AND(J2226=1,K2226=1),AND(J2226=1,I2226="SBJ"),AND(J2226=1,I2226=0)),"?IN_FOCUS",IF(J2226&lt;=2,"?ACTIVATED",IF(J2226&lt;&gt;"","?FAMILIAR",IF(F2226="NEW",IF(ISNA(VLOOKUP(E2226,#REF!,1,FALSE())),"?TYPE_IDENTIFIABLE","?REFERENTIAL"),"_")))))</f>
        <v> </v>
      </c>
      <c r="H2226" s="24" t="str">
        <f>IF(J2226&lt;&gt;1,"",IF(I2226="SBJ","CB","?"))</f>
        <v> </v>
      </c>
      <c r="I2226" s="25" t="str">
        <f>IF(OR(E2226="",E2226="!!!",F2226="NEW"),"",INDEX(B2225:B$2,-1+SUMPRODUCT(MAX(ROW(E2225:E$2)*(E2226=E2225:E$2)))))</f>
        <v> </v>
      </c>
      <c r="J2226" s="25" t="str">
        <f>IF(OR(E2226="",E2226="!!!",F2226="NEW"),"",COUNTBLANK(OFFSET(A$1,,,SUMPRODUCT(MAX(ROW(E$2:E2226)*(E2226=E$2:E2226)))))-COUNTBLANK(OFFSET(A$1,,,SUMPRODUCT(MAX(ROW(E$1:E2225)*(E2=E$1:E2225))))))</f>
        <v> </v>
      </c>
      <c r="K2226" s="25" t="str">
        <f>IF(OR(E2226="",E2226="!!!",F2226="NEW"),"",INDEX(J$1:J2225,SUMPRODUCT(MAX(ROW(E$1:E2225)*(E2226=E$1:E2225)))))</f>
        <v> </v>
      </c>
      <c r="L2226" s="26"/>
    </row>
    <row r="2227" spans="1:12">
      <c r="A2227" s="20" t="s">
        <v>1123</v>
      </c>
      <c r="E2227" s="21">
        <f>IF(D2227="?OLD","!!!","")</f>
        <v/>
      </c>
      <c r="F2227" s="22" t="str">
        <f>IF(OR(E2227="",E2227="!!!"),"",IF(NOT(ISNA(VLOOKUP(E2227,E$1:E2226,1,FALSE()))),"OLD",IF(AND(E2227&lt;&gt;"",E2227&lt;&gt;"!!!"),"NEW","")))</f>
        <v> </v>
      </c>
      <c r="G2227" s="23" t="str">
        <f>IF(OR(E2227="",E2227="!!!"),"",IF(OR(J2227=0,AND(J2227=1,K2227=1),AND(J2227=1,I2227="SBJ"),AND(J2227=1,I2227=0)),"?IN_FOCUS",IF(J2227&lt;=2,"?ACTIVATED",IF(J2227&lt;&gt;"","?FAMILIAR",IF(F2227="NEW",IF(ISNA(VLOOKUP(E2227,#REF!,1,FALSE())),"?TYPE_IDENTIFIABLE","?REFERENTIAL"),"_")))))</f>
        <v> </v>
      </c>
      <c r="H2227" s="24" t="str">
        <f>IF(J2227&lt;&gt;1,"",IF(I2227="SBJ","CB","?"))</f>
        <v> </v>
      </c>
      <c r="I2227" s="25" t="str">
        <f>IF(OR(E2227="",E2227="!!!",F2227="NEW"),"",INDEX(B2226:B$2,-1+SUMPRODUCT(MAX(ROW(E2226:E$2)*(E2227=E2226:E$2)))))</f>
        <v> </v>
      </c>
      <c r="J2227" s="25" t="str">
        <f>IF(OR(E2227="",E2227="!!!",F2227="NEW"),"",COUNTBLANK(OFFSET(A$1,,,SUMPRODUCT(MAX(ROW(E$2:E2227)*(E2227=E$2:E2227)))))-COUNTBLANK(OFFSET(A$1,,,SUMPRODUCT(MAX(ROW(E$1:E2226)*(E2=E$1:E2226))))))</f>
        <v> </v>
      </c>
      <c r="K2227" s="25" t="str">
        <f>IF(OR(E2227="",E2227="!!!",F2227="NEW"),"",INDEX(J$1:J2226,SUMPRODUCT(MAX(ROW(E$1:E2226)*(E2227=E$1:E2226)))))</f>
        <v> </v>
      </c>
      <c r="L2227" s="26"/>
    </row>
    <row r="2228" spans="1:12">
      <c r="A2228" s="20" t="s">
        <v>1992</v>
      </c>
      <c r="B2228" s="27" t="s">
        <v>1259</v>
      </c>
      <c r="C2228" s="27" t="s">
        <v>1133</v>
      </c>
      <c r="E2228" s="21">
        <f>IF(D2228="?OLD","!!!","")</f>
        <v/>
      </c>
      <c r="F2228" s="22" t="str">
        <f>IF(OR(E2228="",E2228="!!!"),"",IF(NOT(ISNA(VLOOKUP(E2228,E$1:E2227,1,FALSE()))),"OLD",IF(AND(E2228&lt;&gt;"",E2228&lt;&gt;"!!!"),"NEW","")))</f>
        <v> </v>
      </c>
      <c r="G2228" s="23" t="str">
        <f>IF(OR(E2228="",E2228="!!!"),"",IF(OR(J2228=0,AND(J2228=1,K2228=1),AND(J2228=1,I2228="SBJ"),AND(J2228=1,I2228=0)),"?IN_FOCUS",IF(J2228&lt;=2,"?ACTIVATED",IF(J2228&lt;&gt;"","?FAMILIAR",IF(F2228="NEW",IF(ISNA(VLOOKUP(E2228,#REF!,1,FALSE())),"?TYPE_IDENTIFIABLE","?REFERENTIAL"),"_")))))</f>
        <v> </v>
      </c>
      <c r="H2228" s="24" t="str">
        <f>IF(J2228&lt;&gt;1,"",IF(I2228="SBJ","CB","?"))</f>
        <v> </v>
      </c>
      <c r="I2228" s="25" t="str">
        <f>IF(OR(E2228="",E2228="!!!",F2228="NEW"),"",INDEX(B2227:B$2,-1+SUMPRODUCT(MAX(ROW(E2227:E$2)*(E2228=E2227:E$2)))))</f>
        <v> </v>
      </c>
      <c r="J2228" s="25" t="str">
        <f>IF(OR(E2228="",E2228="!!!",F2228="NEW"),"",COUNTBLANK(OFFSET(A$1,,,SUMPRODUCT(MAX(ROW(E$2:E2228)*(E2228=E$2:E2228)))))-COUNTBLANK(OFFSET(A$1,,,SUMPRODUCT(MAX(ROW(E$1:E2227)*(E2=E$1:E2227))))))</f>
        <v> </v>
      </c>
      <c r="K2228" s="25" t="str">
        <f>IF(OR(E2228="",E2228="!!!",F2228="NEW"),"",INDEX(J$1:J2227,SUMPRODUCT(MAX(ROW(E$1:E2227)*(E2228=E$1:E2227)))))</f>
        <v> </v>
      </c>
      <c r="L2228" s="26"/>
    </row>
    <row r="2229" spans="1:12">
      <c r="A2229" s="20" t="s">
        <v>2209</v>
      </c>
      <c r="E2229" s="21">
        <f>IF(D2229="?OLD","!!!","")</f>
        <v/>
      </c>
      <c r="F2229" s="22" t="str">
        <f>IF(OR(E2229="",E2229="!!!"),"",IF(NOT(ISNA(VLOOKUP(E2229,E$1:E2228,1,FALSE()))),"OLD",IF(AND(E2229&lt;&gt;"",E2229&lt;&gt;"!!!"),"NEW","")))</f>
        <v> </v>
      </c>
      <c r="G2229" s="23" t="str">
        <f>IF(OR(E2229="",E2229="!!!"),"",IF(OR(J2229=0,AND(J2229=1,K2229=1),AND(J2229=1,I2229="SBJ"),AND(J2229=1,I2229=0)),"?IN_FOCUS",IF(J2229&lt;=2,"?ACTIVATED",IF(J2229&lt;&gt;"","?FAMILIAR",IF(F2229="NEW",IF(ISNA(VLOOKUP(E2229,#REF!,1,FALSE())),"?TYPE_IDENTIFIABLE","?REFERENTIAL"),"_")))))</f>
        <v> </v>
      </c>
      <c r="H2229" s="24" t="str">
        <f>IF(J2229&lt;&gt;1,"",IF(I2229="SBJ","CB","?"))</f>
        <v> </v>
      </c>
      <c r="I2229" s="25" t="str">
        <f>IF(OR(E2229="",E2229="!!!",F2229="NEW"),"",INDEX(B2228:B$2,-1+SUMPRODUCT(MAX(ROW(E2228:E$2)*(E2229=E2228:E$2)))))</f>
        <v> </v>
      </c>
      <c r="J2229" s="25" t="str">
        <f>IF(OR(E2229="",E2229="!!!",F2229="NEW"),"",COUNTBLANK(OFFSET(A$1,,,SUMPRODUCT(MAX(ROW(E$2:E2229)*(E2229=E$2:E2229)))))-COUNTBLANK(OFFSET(A$1,,,SUMPRODUCT(MAX(ROW(E$1:E2228)*(E2=E$1:E2228))))))</f>
        <v> </v>
      </c>
      <c r="K2229" s="25" t="str">
        <f>IF(OR(E2229="",E2229="!!!",F2229="NEW"),"",INDEX(J$1:J2228,SUMPRODUCT(MAX(ROW(E$1:E2228)*(E2229=E$1:E2228)))))</f>
        <v> </v>
      </c>
      <c r="L2229" s="26"/>
    </row>
    <row r="2230" spans="1:12">
      <c r="A2230" s="20" t="s">
        <v>2210</v>
      </c>
      <c r="B2230" s="27" t="s">
        <v>1132</v>
      </c>
      <c r="C2230" s="27" t="s">
        <v>1142</v>
      </c>
      <c r="D2230" s="27" t="s">
        <v>1105</v>
      </c>
      <c r="E2230" s="21">
        <f>IF(D2230="?OLD","!!!","")</f>
        <v/>
      </c>
      <c r="F2230" s="22" t="str">
        <f>IF(OR(E2230="",E2230="!!!"),"",IF(NOT(ISNA(VLOOKUP(E2230,E$1:E2229,1,FALSE()))),"OLD",IF(AND(E2230&lt;&gt;"",E2230&lt;&gt;"!!!"),"NEW","")))</f>
        <v> </v>
      </c>
      <c r="G2230" s="23" t="str">
        <f>IF(OR(E2230="",E2230="!!!"),"",IF(OR(J2230=0,AND(J2230=1,K2230=1),AND(J2230=1,I2230="SBJ"),AND(J2230=1,I2230=0)),"?IN_FOCUS",IF(J2230&lt;=2,"?ACTIVATED",IF(J2230&lt;&gt;"","?FAMILIAR",IF(F2230="NEW",IF(ISNA(VLOOKUP(E2230,#REF!,1,FALSE())),"?TYPE_IDENTIFIABLE","?REFERENTIAL"),"_")))))</f>
        <v> </v>
      </c>
      <c r="H2230" s="24" t="str">
        <f>IF(J2230&lt;&gt;1,"",IF(I2230="SBJ","CB","?"))</f>
        <v> </v>
      </c>
      <c r="I2230" s="25" t="str">
        <f>IF(OR(E2230="",E2230="!!!",F2230="NEW"),"",INDEX(B2229:B$2,-1+SUMPRODUCT(MAX(ROW(E2229:E$2)*(E2230=E2229:E$2)))))</f>
        <v> </v>
      </c>
      <c r="J2230" s="25" t="str">
        <f>IF(OR(E2230="",E2230="!!!",F2230="NEW"),"",COUNTBLANK(OFFSET(A$1,,,SUMPRODUCT(MAX(ROW(E$2:E2230)*(E2230=E$2:E2230)))))-COUNTBLANK(OFFSET(A$1,,,SUMPRODUCT(MAX(ROW(E$1:E2229)*(E2=E$1:E2229))))))</f>
        <v> </v>
      </c>
      <c r="K2230" s="25" t="str">
        <f>IF(OR(E2230="",E2230="!!!",F2230="NEW"),"",INDEX(J$1:J2229,SUMPRODUCT(MAX(ROW(E$1:E2229)*(E2230=E$1:E2229)))))</f>
        <v> </v>
      </c>
      <c r="L2230" s="26"/>
    </row>
    <row r="2231" spans="1:12">
      <c r="A2231" s="20" t="s">
        <v>2211</v>
      </c>
      <c r="B2231" s="27" t="s">
        <v>1115</v>
      </c>
      <c r="E2231" s="21">
        <f>IF(D2231="?OLD","!!!","")</f>
        <v/>
      </c>
      <c r="F2231" s="22" t="str">
        <f>IF(OR(E2231="",E2231="!!!"),"",IF(NOT(ISNA(VLOOKUP(E2231,E$1:E2230,1,FALSE()))),"OLD",IF(AND(E2231&lt;&gt;"",E2231&lt;&gt;"!!!"),"NEW","")))</f>
        <v> </v>
      </c>
      <c r="G2231" s="23" t="str">
        <f>IF(OR(E2231="",E2231="!!!"),"",IF(OR(J2231=0,AND(J2231=1,K2231=1),AND(J2231=1,I2231="SBJ"),AND(J2231=1,I2231=0)),"?IN_FOCUS",IF(J2231&lt;=2,"?ACTIVATED",IF(J2231&lt;&gt;"","?FAMILIAR",IF(F2231="NEW",IF(ISNA(VLOOKUP(E2231,#REF!,1,FALSE())),"?TYPE_IDENTIFIABLE","?REFERENTIAL"),"_")))))</f>
        <v> </v>
      </c>
      <c r="H2231" s="24" t="str">
        <f>IF(J2231&lt;&gt;1,"",IF(I2231="SBJ","CB","?"))</f>
        <v> </v>
      </c>
      <c r="I2231" s="25" t="str">
        <f>IF(OR(E2231="",E2231="!!!",F2231="NEW"),"",INDEX(B2230:B$2,-1+SUMPRODUCT(MAX(ROW(E2230:E$2)*(E2231=E2230:E$2)))))</f>
        <v> </v>
      </c>
      <c r="J2231" s="25" t="str">
        <f>IF(OR(E2231="",E2231="!!!",F2231="NEW"),"",COUNTBLANK(OFFSET(A$1,,,SUMPRODUCT(MAX(ROW(E$2:E2231)*(E2231=E$2:E2231)))))-COUNTBLANK(OFFSET(A$1,,,SUMPRODUCT(MAX(ROW(E$1:E2230)*(E2=E$1:E2230))))))</f>
        <v> </v>
      </c>
      <c r="K2231" s="25" t="str">
        <f>IF(OR(E2231="",E2231="!!!",F2231="NEW"),"",INDEX(J$1:J2230,SUMPRODUCT(MAX(ROW(E$1:E2230)*(E2231=E$1:E2230)))))</f>
        <v> </v>
      </c>
      <c r="L2231" s="26"/>
    </row>
    <row r="2232" spans="1:12">
      <c r="A2232" s="20" t="s">
        <v>1123</v>
      </c>
      <c r="E2232" s="21">
        <f>IF(D2232="?OLD","!!!","")</f>
        <v/>
      </c>
      <c r="F2232" s="22" t="str">
        <f>IF(OR(E2232="",E2232="!!!"),"",IF(NOT(ISNA(VLOOKUP(E2232,E$1:E2231,1,FALSE()))),"OLD",IF(AND(E2232&lt;&gt;"",E2232&lt;&gt;"!!!"),"NEW","")))</f>
        <v> </v>
      </c>
      <c r="G2232" s="23" t="str">
        <f>IF(OR(E2232="",E2232="!!!"),"",IF(OR(J2232=0,AND(J2232=1,K2232=1),AND(J2232=1,I2232="SBJ"),AND(J2232=1,I2232=0)),"?IN_FOCUS",IF(J2232&lt;=2,"?ACTIVATED",IF(J2232&lt;&gt;"","?FAMILIAR",IF(F2232="NEW",IF(ISNA(VLOOKUP(E2232,#REF!,1,FALSE())),"?TYPE_IDENTIFIABLE","?REFERENTIAL"),"_")))))</f>
        <v> </v>
      </c>
      <c r="H2232" s="24" t="str">
        <f>IF(J2232&lt;&gt;1,"",IF(I2232="SBJ","CB","?"))</f>
        <v> </v>
      </c>
      <c r="I2232" s="25" t="str">
        <f>IF(OR(E2232="",E2232="!!!",F2232="NEW"),"",INDEX(B2231:B$2,-1+SUMPRODUCT(MAX(ROW(E2231:E$2)*(E2232=E2231:E$2)))))</f>
        <v> </v>
      </c>
      <c r="J2232" s="25" t="str">
        <f>IF(OR(E2232="",E2232="!!!",F2232="NEW"),"",COUNTBLANK(OFFSET(A$1,,,SUMPRODUCT(MAX(ROW(E$2:E2232)*(E2232=E$2:E2232)))))-COUNTBLANK(OFFSET(A$1,,,SUMPRODUCT(MAX(ROW(E$1:E2231)*(E2=E$1:E2231))))))</f>
        <v> </v>
      </c>
      <c r="K2232" s="25" t="str">
        <f>IF(OR(E2232="",E2232="!!!",F2232="NEW"),"",INDEX(J$1:J2231,SUMPRODUCT(MAX(ROW(E$1:E2231)*(E2232=E$1:E2231)))))</f>
        <v> </v>
      </c>
      <c r="L2232" s="26"/>
    </row>
    <row r="2233" spans="1:12">
      <c r="A2233" s="20" t="s">
        <v>2212</v>
      </c>
      <c r="E2233" s="21">
        <f>IF(D2233="?OLD","!!!","")</f>
        <v/>
      </c>
      <c r="F2233" s="22" t="str">
        <f>IF(OR(E2233="",E2233="!!!"),"",IF(NOT(ISNA(VLOOKUP(E2233,E$1:E2232,1,FALSE()))),"OLD",IF(AND(E2233&lt;&gt;"",E2233&lt;&gt;"!!!"),"NEW","")))</f>
        <v> </v>
      </c>
      <c r="G2233" s="23" t="str">
        <f>IF(OR(E2233="",E2233="!!!"),"",IF(OR(J2233=0,AND(J2233=1,K2233=1),AND(J2233=1,I2233="SBJ"),AND(J2233=1,I2233=0)),"?IN_FOCUS",IF(J2233&lt;=2,"?ACTIVATED",IF(J2233&lt;&gt;"","?FAMILIAR",IF(F2233="NEW",IF(ISNA(VLOOKUP(E2233,#REF!,1,FALSE())),"?TYPE_IDENTIFIABLE","?REFERENTIAL"),"_")))))</f>
        <v> </v>
      </c>
      <c r="H2233" s="24" t="str">
        <f>IF(J2233&lt;&gt;1,"",IF(I2233="SBJ","CB","?"))</f>
        <v> </v>
      </c>
      <c r="I2233" s="25" t="str">
        <f>IF(OR(E2233="",E2233="!!!",F2233="NEW"),"",INDEX(B2232:B$2,-1+SUMPRODUCT(MAX(ROW(E2232:E$2)*(E2233=E2232:E$2)))))</f>
        <v> </v>
      </c>
      <c r="J2233" s="25" t="str">
        <f>IF(OR(E2233="",E2233="!!!",F2233="NEW"),"",COUNTBLANK(OFFSET(A$1,,,SUMPRODUCT(MAX(ROW(E$2:E2233)*(E2233=E$2:E2233)))))-COUNTBLANK(OFFSET(A$1,,,SUMPRODUCT(MAX(ROW(E$1:E2232)*(E2=E$1:E2232))))))</f>
        <v> </v>
      </c>
      <c r="K2233" s="25" t="str">
        <f>IF(OR(E2233="",E2233="!!!",F2233="NEW"),"",INDEX(J$1:J2232,SUMPRODUCT(MAX(ROW(E$1:E2232)*(E2233=E$1:E2232)))))</f>
        <v> </v>
      </c>
      <c r="L2233" s="26"/>
    </row>
    <row r="2234" spans="1:12">
      <c r="A2234" s="20" t="s">
        <v>2213</v>
      </c>
      <c r="E2234" s="21">
        <f>IF(D2234="?OLD","!!!","")</f>
        <v/>
      </c>
      <c r="F2234" s="22" t="str">
        <f>IF(OR(E2234="",E2234="!!!"),"",IF(NOT(ISNA(VLOOKUP(E2234,E$1:E2233,1,FALSE()))),"OLD",IF(AND(E2234&lt;&gt;"",E2234&lt;&gt;"!!!"),"NEW","")))</f>
        <v> </v>
      </c>
      <c r="G2234" s="23" t="str">
        <f>IF(OR(E2234="",E2234="!!!"),"",IF(OR(J2234=0,AND(J2234=1,K2234=1),AND(J2234=1,I2234="SBJ"),AND(J2234=1,I2234=0)),"?IN_FOCUS",IF(J2234&lt;=2,"?ACTIVATED",IF(J2234&lt;&gt;"","?FAMILIAR",IF(F2234="NEW",IF(ISNA(VLOOKUP(E2234,#REF!,1,FALSE())),"?TYPE_IDENTIFIABLE","?REFERENTIAL"),"_")))))</f>
        <v> </v>
      </c>
      <c r="H2234" s="24" t="str">
        <f>IF(J2234&lt;&gt;1,"",IF(I2234="SBJ","CB","?"))</f>
        <v> </v>
      </c>
      <c r="I2234" s="25" t="str">
        <f>IF(OR(E2234="",E2234="!!!",F2234="NEW"),"",INDEX(B2233:B$2,-1+SUMPRODUCT(MAX(ROW(E2233:E$2)*(E2234=E2233:E$2)))))</f>
        <v> </v>
      </c>
      <c r="J2234" s="25" t="str">
        <f>IF(OR(E2234="",E2234="!!!",F2234="NEW"),"",COUNTBLANK(OFFSET(A$1,,,SUMPRODUCT(MAX(ROW(E$2:E2234)*(E2234=E$2:E2234)))))-COUNTBLANK(OFFSET(A$1,,,SUMPRODUCT(MAX(ROW(E$1:E2233)*(E2=E$1:E2233))))))</f>
        <v> </v>
      </c>
      <c r="K2234" s="25" t="str">
        <f>IF(OR(E2234="",E2234="!!!",F2234="NEW"),"",INDEX(J$1:J2233,SUMPRODUCT(MAX(ROW(E$1:E2233)*(E2234=E$1:E2233)))))</f>
        <v> </v>
      </c>
      <c r="L2234" s="26"/>
    </row>
    <row r="2235" spans="1:12">
      <c r="A2235" s="20" t="s">
        <v>1145</v>
      </c>
      <c r="E2235" s="21">
        <f>IF(D2235="?OLD","!!!","")</f>
        <v/>
      </c>
      <c r="F2235" s="22" t="str">
        <f>IF(OR(E2235="",E2235="!!!"),"",IF(NOT(ISNA(VLOOKUP(E2235,E$1:E2234,1,FALSE()))),"OLD",IF(AND(E2235&lt;&gt;"",E2235&lt;&gt;"!!!"),"NEW","")))</f>
        <v> </v>
      </c>
      <c r="G2235" s="23" t="str">
        <f>IF(OR(E2235="",E2235="!!!"),"",IF(OR(J2235=0,AND(J2235=1,K2235=1),AND(J2235=1,I2235="SBJ"),AND(J2235=1,I2235=0)),"?IN_FOCUS",IF(J2235&lt;=2,"?ACTIVATED",IF(J2235&lt;&gt;"","?FAMILIAR",IF(F2235="NEW",IF(ISNA(VLOOKUP(E2235,#REF!,1,FALSE())),"?TYPE_IDENTIFIABLE","?REFERENTIAL"),"_")))))</f>
        <v> </v>
      </c>
      <c r="H2235" s="24" t="str">
        <f>IF(J2235&lt;&gt;1,"",IF(I2235="SBJ","CB","?"))</f>
        <v> </v>
      </c>
      <c r="I2235" s="25" t="str">
        <f>IF(OR(E2235="",E2235="!!!",F2235="NEW"),"",INDEX(B2234:B$2,-1+SUMPRODUCT(MAX(ROW(E2234:E$2)*(E2235=E2234:E$2)))))</f>
        <v> </v>
      </c>
      <c r="J2235" s="25" t="str">
        <f>IF(OR(E2235="",E2235="!!!",F2235="NEW"),"",COUNTBLANK(OFFSET(A$1,,,SUMPRODUCT(MAX(ROW(E$2:E2235)*(E2235=E$2:E2235)))))-COUNTBLANK(OFFSET(A$1,,,SUMPRODUCT(MAX(ROW(E$1:E2234)*(E2=E$1:E2234))))))</f>
        <v> </v>
      </c>
      <c r="K2235" s="25" t="str">
        <f>IF(OR(E2235="",E2235="!!!",F2235="NEW"),"",INDEX(J$1:J2234,SUMPRODUCT(MAX(ROW(E$1:E2234)*(E2235=E$1:E2234)))))</f>
        <v> </v>
      </c>
      <c r="L2235" s="26"/>
    </row>
    <row r="2236" spans="1:12">
      <c r="A2236" s="20"/>
    </row>
    <row r="2237" spans="1:12">
      <c r="A2237" s="20" t="s">
        <v>2214</v>
      </c>
    </row>
    <row r="2238" spans="1:12">
      <c r="A2238" s="20" t="s">
        <v>2043</v>
      </c>
      <c r="B2238" s="27" t="s">
        <v>1149</v>
      </c>
      <c r="E2238" s="21">
        <f>IF(D2238="?OLD","!!!","")</f>
        <v/>
      </c>
      <c r="F2238" s="22" t="str">
        <f>IF(OR(E2238="",E2238="!!!"),"",IF(NOT(ISNA(VLOOKUP(E2238,E$1:E2237,1,FALSE()))),"OLD",IF(AND(E2238&lt;&gt;"",E2238&lt;&gt;"!!!"),"NEW","")))</f>
        <v> </v>
      </c>
      <c r="G2238" s="23" t="str">
        <f>IF(OR(E2238="",E2238="!!!"),"",IF(OR(J2238=0,AND(J2238=1,K2238=1),AND(J2238=1,I2238="SBJ"),AND(J2238=1,I2238=0)),"?IN_FOCUS",IF(J2238&lt;=2,"?ACTIVATED",IF(J2238&lt;&gt;"","?FAMILIAR",IF(F2238="NEW",IF(ISNA(VLOOKUP(E2238,#REF!,1,FALSE())),"?TYPE_IDENTIFIABLE","?REFERENTIAL"),"_")))))</f>
        <v> </v>
      </c>
      <c r="H2238" s="24" t="str">
        <f>IF(J2238&lt;&gt;1,"",IF(I2238="SBJ","CB","?"))</f>
        <v> </v>
      </c>
      <c r="I2238" s="25" t="str">
        <f>IF(OR(E2238="",E2238="!!!",F2238="NEW"),"",INDEX(B2237:B$2,-1+SUMPRODUCT(MAX(ROW(E2237:E$2)*(E2238=E2237:E$2)))))</f>
        <v> </v>
      </c>
      <c r="J2238" s="25" t="str">
        <f>IF(OR(E2238="",E2238="!!!",F2238="NEW"),"",COUNTBLANK(OFFSET(A$1,,,SUMPRODUCT(MAX(ROW(E$2:E2238)*(E2238=E$2:E2238)))))-COUNTBLANK(OFFSET(A$1,,,SUMPRODUCT(MAX(ROW(E$1:E2237)*(E2=E$1:E2237))))))</f>
        <v> </v>
      </c>
      <c r="K2238" s="25" t="str">
        <f>IF(OR(E2238="",E2238="!!!",F2238="NEW"),"",INDEX(J$1:J2237,SUMPRODUCT(MAX(ROW(E$1:E2237)*(E2238=E$1:E2237)))))</f>
        <v> </v>
      </c>
      <c r="L2238" s="26"/>
    </row>
    <row r="2239" spans="1:12">
      <c r="A2239" s="20" t="s">
        <v>1123</v>
      </c>
      <c r="E2239" s="21">
        <f>IF(D2239="?OLD","!!!","")</f>
        <v/>
      </c>
      <c r="F2239" s="22" t="str">
        <f>IF(OR(E2239="",E2239="!!!"),"",IF(NOT(ISNA(VLOOKUP(E2239,E$1:E2238,1,FALSE()))),"OLD",IF(AND(E2239&lt;&gt;"",E2239&lt;&gt;"!!!"),"NEW","")))</f>
        <v> </v>
      </c>
      <c r="G2239" s="23" t="str">
        <f>IF(OR(E2239="",E2239="!!!"),"",IF(OR(J2239=0,AND(J2239=1,K2239=1),AND(J2239=1,I2239="SBJ"),AND(J2239=1,I2239=0)),"?IN_FOCUS",IF(J2239&lt;=2,"?ACTIVATED",IF(J2239&lt;&gt;"","?FAMILIAR",IF(F2239="NEW",IF(ISNA(VLOOKUP(E2239,#REF!,1,FALSE())),"?TYPE_IDENTIFIABLE","?REFERENTIAL"),"_")))))</f>
        <v> </v>
      </c>
      <c r="H2239" s="24" t="str">
        <f>IF(J2239&lt;&gt;1,"",IF(I2239="SBJ","CB","?"))</f>
        <v> </v>
      </c>
      <c r="I2239" s="25" t="str">
        <f>IF(OR(E2239="",E2239="!!!",F2239="NEW"),"",INDEX(B2238:B$2,-1+SUMPRODUCT(MAX(ROW(E2238:E$2)*(E2239=E2238:E$2)))))</f>
        <v> </v>
      </c>
      <c r="J2239" s="25" t="str">
        <f>IF(OR(E2239="",E2239="!!!",F2239="NEW"),"",COUNTBLANK(OFFSET(A$1,,,SUMPRODUCT(MAX(ROW(E$2:E2239)*(E2239=E$2:E2239)))))-COUNTBLANK(OFFSET(A$1,,,SUMPRODUCT(MAX(ROW(E$1:E2238)*(E2=E$1:E2238))))))</f>
        <v> </v>
      </c>
      <c r="K2239" s="25" t="str">
        <f>IF(OR(E2239="",E2239="!!!",F2239="NEW"),"",INDEX(J$1:J2238,SUMPRODUCT(MAX(ROW(E$1:E2238)*(E2239=E$1:E2238)))))</f>
        <v> </v>
      </c>
      <c r="L2239" s="26"/>
    </row>
    <row r="2240" spans="1:12">
      <c r="A2240" s="20" t="s">
        <v>2215</v>
      </c>
      <c r="E2240" s="21">
        <f>IF(D2240="?OLD","!!!","")</f>
        <v/>
      </c>
      <c r="F2240" s="22" t="str">
        <f>IF(OR(E2240="",E2240="!!!"),"",IF(NOT(ISNA(VLOOKUP(E2240,E$1:E2239,1,FALSE()))),"OLD",IF(AND(E2240&lt;&gt;"",E2240&lt;&gt;"!!!"),"NEW","")))</f>
        <v> </v>
      </c>
      <c r="G2240" s="23" t="str">
        <f>IF(OR(E2240="",E2240="!!!"),"",IF(OR(J2240=0,AND(J2240=1,K2240=1),AND(J2240=1,I2240="SBJ"),AND(J2240=1,I2240=0)),"?IN_FOCUS",IF(J2240&lt;=2,"?ACTIVATED",IF(J2240&lt;&gt;"","?FAMILIAR",IF(F2240="NEW",IF(ISNA(VLOOKUP(E2240,#REF!,1,FALSE())),"?TYPE_IDENTIFIABLE","?REFERENTIAL"),"_")))))</f>
        <v> </v>
      </c>
      <c r="H2240" s="24" t="str">
        <f>IF(J2240&lt;&gt;1,"",IF(I2240="SBJ","CB","?"))</f>
        <v> </v>
      </c>
      <c r="I2240" s="25" t="str">
        <f>IF(OR(E2240="",E2240="!!!",F2240="NEW"),"",INDEX(B2239:B$2,-1+SUMPRODUCT(MAX(ROW(E2239:E$2)*(E2240=E2239:E$2)))))</f>
        <v> </v>
      </c>
      <c r="J2240" s="25" t="str">
        <f>IF(OR(E2240="",E2240="!!!",F2240="NEW"),"",COUNTBLANK(OFFSET(A$1,,,SUMPRODUCT(MAX(ROW(E$2:E2240)*(E2240=E$2:E2240)))))-COUNTBLANK(OFFSET(A$1,,,SUMPRODUCT(MAX(ROW(E$1:E2239)*(E2=E$1:E2239))))))</f>
        <v> </v>
      </c>
      <c r="K2240" s="25" t="str">
        <f>IF(OR(E2240="",E2240="!!!",F2240="NEW"),"",INDEX(J$1:J2239,SUMPRODUCT(MAX(ROW(E$1:E2239)*(E2240=E$1:E2239)))))</f>
        <v> </v>
      </c>
      <c r="L2240" s="26"/>
    </row>
    <row r="2241" spans="1:12">
      <c r="A2241" s="20" t="s">
        <v>1721</v>
      </c>
      <c r="E2241" s="21">
        <f>IF(D2241="?OLD","!!!","")</f>
        <v/>
      </c>
      <c r="F2241" s="22" t="str">
        <f>IF(OR(E2241="",E2241="!!!"),"",IF(NOT(ISNA(VLOOKUP(E2241,E$1:E2240,1,FALSE()))),"OLD",IF(AND(E2241&lt;&gt;"",E2241&lt;&gt;"!!!"),"NEW","")))</f>
        <v> </v>
      </c>
      <c r="G2241" s="23" t="str">
        <f>IF(OR(E2241="",E2241="!!!"),"",IF(OR(J2241=0,AND(J2241=1,K2241=1),AND(J2241=1,I2241="SBJ"),AND(J2241=1,I2241=0)),"?IN_FOCUS",IF(J2241&lt;=2,"?ACTIVATED",IF(J2241&lt;&gt;"","?FAMILIAR",IF(F2241="NEW",IF(ISNA(VLOOKUP(E2241,#REF!,1,FALSE())),"?TYPE_IDENTIFIABLE","?REFERENTIAL"),"_")))))</f>
        <v> </v>
      </c>
      <c r="H2241" s="24" t="str">
        <f>IF(J2241&lt;&gt;1,"",IF(I2241="SBJ","CB","?"))</f>
        <v> </v>
      </c>
      <c r="I2241" s="25" t="str">
        <f>IF(OR(E2241="",E2241="!!!",F2241="NEW"),"",INDEX(B2240:B$2,-1+SUMPRODUCT(MAX(ROW(E2240:E$2)*(E2241=E2240:E$2)))))</f>
        <v> </v>
      </c>
      <c r="J2241" s="25" t="str">
        <f>IF(OR(E2241="",E2241="!!!",F2241="NEW"),"",COUNTBLANK(OFFSET(A$1,,,SUMPRODUCT(MAX(ROW(E$2:E2241)*(E2241=E$2:E2241)))))-COUNTBLANK(OFFSET(A$1,,,SUMPRODUCT(MAX(ROW(E$1:E2240)*(E2=E$1:E2240))))))</f>
        <v> </v>
      </c>
      <c r="K2241" s="25" t="str">
        <f>IF(OR(E2241="",E2241="!!!",F2241="NEW"),"",INDEX(J$1:J2240,SUMPRODUCT(MAX(ROW(E$1:E2240)*(E2241=E$1:E2240)))))</f>
        <v> </v>
      </c>
      <c r="L2241" s="26"/>
    </row>
    <row r="2242" spans="1:12">
      <c r="A2242" s="20" t="s">
        <v>1722</v>
      </c>
      <c r="B2242" s="27" t="s">
        <v>1110</v>
      </c>
      <c r="C2242" s="27" t="s">
        <v>1126</v>
      </c>
      <c r="D2242" s="27" t="s">
        <v>1105</v>
      </c>
      <c r="E2242" s="21">
        <f>IF(D2242="?OLD","!!!","")</f>
        <v/>
      </c>
      <c r="F2242" s="22" t="str">
        <f>IF(OR(E2242="",E2242="!!!"),"",IF(NOT(ISNA(VLOOKUP(E2242,E$1:E2241,1,FALSE()))),"OLD",IF(AND(E2242&lt;&gt;"",E2242&lt;&gt;"!!!"),"NEW","")))</f>
        <v> </v>
      </c>
      <c r="G2242" s="23" t="str">
        <f>IF(OR(E2242="",E2242="!!!"),"",IF(OR(J2242=0,AND(J2242=1,K2242=1),AND(J2242=1,I2242="SBJ"),AND(J2242=1,I2242=0)),"?IN_FOCUS",IF(J2242&lt;=2,"?ACTIVATED",IF(J2242&lt;&gt;"","?FAMILIAR",IF(F2242="NEW",IF(ISNA(VLOOKUP(E2242,#REF!,1,FALSE())),"?TYPE_IDENTIFIABLE","?REFERENTIAL"),"_")))))</f>
        <v> </v>
      </c>
      <c r="H2242" s="24" t="str">
        <f>IF(J2242&lt;&gt;1,"",IF(I2242="SBJ","CB","?"))</f>
        <v> </v>
      </c>
      <c r="I2242" s="25" t="str">
        <f>IF(OR(E2242="",E2242="!!!",F2242="NEW"),"",INDEX(B2241:B$2,-1+SUMPRODUCT(MAX(ROW(E2241:E$2)*(E2242=E2241:E$2)))))</f>
        <v> </v>
      </c>
      <c r="J2242" s="25" t="str">
        <f>IF(OR(E2242="",E2242="!!!",F2242="NEW"),"",COUNTBLANK(OFFSET(A$1,,,SUMPRODUCT(MAX(ROW(E$2:E2242)*(E2242=E$2:E2242)))))-COUNTBLANK(OFFSET(A$1,,,SUMPRODUCT(MAX(ROW(E$1:E2241)*(E2=E$1:E2241))))))</f>
        <v> </v>
      </c>
      <c r="K2242" s="25" t="str">
        <f>IF(OR(E2242="",E2242="!!!",F2242="NEW"),"",INDEX(J$1:J2241,SUMPRODUCT(MAX(ROW(E$1:E2241)*(E2242=E$1:E2241)))))</f>
        <v> </v>
      </c>
      <c r="L2242" s="26"/>
    </row>
    <row r="2243" spans="1:12">
      <c r="A2243" s="20" t="s">
        <v>1123</v>
      </c>
      <c r="E2243" s="21">
        <f>IF(D2243="?OLD","!!!","")</f>
        <v/>
      </c>
      <c r="F2243" s="22" t="str">
        <f>IF(OR(E2243="",E2243="!!!"),"",IF(NOT(ISNA(VLOOKUP(E2243,E$1:E2242,1,FALSE()))),"OLD",IF(AND(E2243&lt;&gt;"",E2243&lt;&gt;"!!!"),"NEW","")))</f>
        <v> </v>
      </c>
      <c r="G2243" s="23" t="str">
        <f>IF(OR(E2243="",E2243="!!!"),"",IF(OR(J2243=0,AND(J2243=1,K2243=1),AND(J2243=1,I2243="SBJ"),AND(J2243=1,I2243=0)),"?IN_FOCUS",IF(J2243&lt;=2,"?ACTIVATED",IF(J2243&lt;&gt;"","?FAMILIAR",IF(F2243="NEW",IF(ISNA(VLOOKUP(E2243,#REF!,1,FALSE())),"?TYPE_IDENTIFIABLE","?REFERENTIAL"),"_")))))</f>
        <v> </v>
      </c>
      <c r="H2243" s="24" t="str">
        <f>IF(J2243&lt;&gt;1,"",IF(I2243="SBJ","CB","?"))</f>
        <v> </v>
      </c>
      <c r="I2243" s="25" t="str">
        <f>IF(OR(E2243="",E2243="!!!",F2243="NEW"),"",INDEX(B2242:B$2,-1+SUMPRODUCT(MAX(ROW(E2242:E$2)*(E2243=E2242:E$2)))))</f>
        <v> </v>
      </c>
      <c r="J2243" s="25" t="str">
        <f>IF(OR(E2243="",E2243="!!!",F2243="NEW"),"",COUNTBLANK(OFFSET(A$1,,,SUMPRODUCT(MAX(ROW(E$2:E2243)*(E2243=E$2:E2243)))))-COUNTBLANK(OFFSET(A$1,,,SUMPRODUCT(MAX(ROW(E$1:E2242)*(E2=E$1:E2242))))))</f>
        <v> </v>
      </c>
      <c r="K2243" s="25" t="str">
        <f>IF(OR(E2243="",E2243="!!!",F2243="NEW"),"",INDEX(J$1:J2242,SUMPRODUCT(MAX(ROW(E$1:E2242)*(E2243=E$1:E2242)))))</f>
        <v> </v>
      </c>
      <c r="L2243" s="26"/>
    </row>
    <row r="2244" spans="1:12">
      <c r="A2244" s="20" t="s">
        <v>2216</v>
      </c>
      <c r="E2244" s="21">
        <f>IF(D2244="?OLD","!!!","")</f>
        <v/>
      </c>
      <c r="F2244" s="22" t="str">
        <f>IF(OR(E2244="",E2244="!!!"),"",IF(NOT(ISNA(VLOOKUP(E2244,E$1:E2243,1,FALSE()))),"OLD",IF(AND(E2244&lt;&gt;"",E2244&lt;&gt;"!!!"),"NEW","")))</f>
        <v> </v>
      </c>
      <c r="G2244" s="23" t="str">
        <f>IF(OR(E2244="",E2244="!!!"),"",IF(OR(J2244=0,AND(J2244=1,K2244=1),AND(J2244=1,I2244="SBJ"),AND(J2244=1,I2244=0)),"?IN_FOCUS",IF(J2244&lt;=2,"?ACTIVATED",IF(J2244&lt;&gt;"","?FAMILIAR",IF(F2244="NEW",IF(ISNA(VLOOKUP(E2244,#REF!,1,FALSE())),"?TYPE_IDENTIFIABLE","?REFERENTIAL"),"_")))))</f>
        <v> </v>
      </c>
      <c r="H2244" s="24" t="str">
        <f>IF(J2244&lt;&gt;1,"",IF(I2244="SBJ","CB","?"))</f>
        <v> </v>
      </c>
      <c r="I2244" s="25" t="str">
        <f>IF(OR(E2244="",E2244="!!!",F2244="NEW"),"",INDEX(B2243:B$2,-1+SUMPRODUCT(MAX(ROW(E2243:E$2)*(E2244=E2243:E$2)))))</f>
        <v> </v>
      </c>
      <c r="J2244" s="25" t="str">
        <f>IF(OR(E2244="",E2244="!!!",F2244="NEW"),"",COUNTBLANK(OFFSET(A$1,,,SUMPRODUCT(MAX(ROW(E$2:E2244)*(E2244=E$2:E2244)))))-COUNTBLANK(OFFSET(A$1,,,SUMPRODUCT(MAX(ROW(E$1:E2243)*(E2=E$1:E2243))))))</f>
        <v> </v>
      </c>
      <c r="K2244" s="25" t="str">
        <f>IF(OR(E2244="",E2244="!!!",F2244="NEW"),"",INDEX(J$1:J2243,SUMPRODUCT(MAX(ROW(E$1:E2243)*(E2244=E$1:E2243)))))</f>
        <v> </v>
      </c>
      <c r="L2244" s="26"/>
    </row>
    <row r="2245" spans="1:12">
      <c r="A2245" s="20" t="s">
        <v>2032</v>
      </c>
      <c r="E2245" s="21">
        <f>IF(D2245="?OLD","!!!","")</f>
        <v/>
      </c>
      <c r="F2245" s="22" t="str">
        <f>IF(OR(E2245="",E2245="!!!"),"",IF(NOT(ISNA(VLOOKUP(E2245,E$1:E2244,1,FALSE()))),"OLD",IF(AND(E2245&lt;&gt;"",E2245&lt;&gt;"!!!"),"NEW","")))</f>
        <v> </v>
      </c>
      <c r="G2245" s="23" t="str">
        <f>IF(OR(E2245="",E2245="!!!"),"",IF(OR(J2245=0,AND(J2245=1,K2245=1),AND(J2245=1,I2245="SBJ"),AND(J2245=1,I2245=0)),"?IN_FOCUS",IF(J2245&lt;=2,"?ACTIVATED",IF(J2245&lt;&gt;"","?FAMILIAR",IF(F2245="NEW",IF(ISNA(VLOOKUP(E2245,#REF!,1,FALSE())),"?TYPE_IDENTIFIABLE","?REFERENTIAL"),"_")))))</f>
        <v> </v>
      </c>
      <c r="H2245" s="24" t="str">
        <f>IF(J2245&lt;&gt;1,"",IF(I2245="SBJ","CB","?"))</f>
        <v> </v>
      </c>
      <c r="I2245" s="25" t="str">
        <f>IF(OR(E2245="",E2245="!!!",F2245="NEW"),"",INDEX(B2244:B$2,-1+SUMPRODUCT(MAX(ROW(E2244:E$2)*(E2245=E2244:E$2)))))</f>
        <v> </v>
      </c>
      <c r="J2245" s="25" t="str">
        <f>IF(OR(E2245="",E2245="!!!",F2245="NEW"),"",COUNTBLANK(OFFSET(A$1,,,SUMPRODUCT(MAX(ROW(E$2:E2245)*(E2245=E$2:E2245)))))-COUNTBLANK(OFFSET(A$1,,,SUMPRODUCT(MAX(ROW(E$1:E2244)*(E2=E$1:E2244))))))</f>
        <v> </v>
      </c>
      <c r="K2245" s="25" t="str">
        <f>IF(OR(E2245="",E2245="!!!",F2245="NEW"),"",INDEX(J$1:J2244,SUMPRODUCT(MAX(ROW(E$1:E2244)*(E2245=E$1:E2244)))))</f>
        <v> </v>
      </c>
      <c r="L2245" s="26"/>
    </row>
    <row r="2246" spans="1:12">
      <c r="A2246" s="20" t="s">
        <v>1910</v>
      </c>
      <c r="B2246" s="27" t="s">
        <v>1243</v>
      </c>
      <c r="C2246" s="27" t="s">
        <v>1133</v>
      </c>
      <c r="E2246" s="21">
        <f>IF(D2246="?OLD","!!!","")</f>
        <v/>
      </c>
      <c r="F2246" s="22" t="str">
        <f>IF(OR(E2246="",E2246="!!!"),"",IF(NOT(ISNA(VLOOKUP(E2246,E$1:E2245,1,FALSE()))),"OLD",IF(AND(E2246&lt;&gt;"",E2246&lt;&gt;"!!!"),"NEW","")))</f>
        <v> </v>
      </c>
      <c r="G2246" s="23" t="str">
        <f>IF(OR(E2246="",E2246="!!!"),"",IF(OR(J2246=0,AND(J2246=1,K2246=1),AND(J2246=1,I2246="SBJ"),AND(J2246=1,I2246=0)),"?IN_FOCUS",IF(J2246&lt;=2,"?ACTIVATED",IF(J2246&lt;&gt;"","?FAMILIAR",IF(F2246="NEW",IF(ISNA(VLOOKUP(E2246,#REF!,1,FALSE())),"?TYPE_IDENTIFIABLE","?REFERENTIAL"),"_")))))</f>
        <v> </v>
      </c>
      <c r="H2246" s="24" t="str">
        <f>IF(J2246&lt;&gt;1,"",IF(I2246="SBJ","CB","?"))</f>
        <v> </v>
      </c>
      <c r="I2246" s="25" t="str">
        <f>IF(OR(E2246="",E2246="!!!",F2246="NEW"),"",INDEX(B2245:B$2,-1+SUMPRODUCT(MAX(ROW(E2245:E$2)*(E2246=E2245:E$2)))))</f>
        <v> </v>
      </c>
      <c r="J2246" s="25" t="str">
        <f>IF(OR(E2246="",E2246="!!!",F2246="NEW"),"",COUNTBLANK(OFFSET(A$1,,,SUMPRODUCT(MAX(ROW(E$2:E2246)*(E2246=E$2:E2246)))))-COUNTBLANK(OFFSET(A$1,,,SUMPRODUCT(MAX(ROW(E$1:E2245)*(E2=E$1:E2245))))))</f>
        <v> </v>
      </c>
      <c r="K2246" s="25" t="str">
        <f>IF(OR(E2246="",E2246="!!!",F2246="NEW"),"",INDEX(J$1:J2245,SUMPRODUCT(MAX(ROW(E$1:E2245)*(E2246=E$1:E2245)))))</f>
        <v> </v>
      </c>
      <c r="L2246" s="26"/>
    </row>
    <row r="2247" spans="1:12">
      <c r="A2247" s="20" t="s">
        <v>2217</v>
      </c>
      <c r="E2247" s="21">
        <f>IF(D2247="?OLD","!!!","")</f>
        <v/>
      </c>
      <c r="F2247" s="22" t="str">
        <f>IF(OR(E2247="",E2247="!!!"),"",IF(NOT(ISNA(VLOOKUP(E2247,E$1:E2246,1,FALSE()))),"OLD",IF(AND(E2247&lt;&gt;"",E2247&lt;&gt;"!!!"),"NEW","")))</f>
        <v> </v>
      </c>
      <c r="G2247" s="23" t="str">
        <f>IF(OR(E2247="",E2247="!!!"),"",IF(OR(J2247=0,AND(J2247=1,K2247=1),AND(J2247=1,I2247="SBJ"),AND(J2247=1,I2247=0)),"?IN_FOCUS",IF(J2247&lt;=2,"?ACTIVATED",IF(J2247&lt;&gt;"","?FAMILIAR",IF(F2247="NEW",IF(ISNA(VLOOKUP(E2247,#REF!,1,FALSE())),"?TYPE_IDENTIFIABLE","?REFERENTIAL"),"_")))))</f>
        <v> </v>
      </c>
      <c r="H2247" s="24" t="str">
        <f>IF(J2247&lt;&gt;1,"",IF(I2247="SBJ","CB","?"))</f>
        <v> </v>
      </c>
      <c r="I2247" s="25" t="str">
        <f>IF(OR(E2247="",E2247="!!!",F2247="NEW"),"",INDEX(B2246:B$2,-1+SUMPRODUCT(MAX(ROW(E2246:E$2)*(E2247=E2246:E$2)))))</f>
        <v> </v>
      </c>
      <c r="J2247" s="25" t="str">
        <f>IF(OR(E2247="",E2247="!!!",F2247="NEW"),"",COUNTBLANK(OFFSET(A$1,,,SUMPRODUCT(MAX(ROW(E$2:E2247)*(E2247=E$2:E2247)))))-COUNTBLANK(OFFSET(A$1,,,SUMPRODUCT(MAX(ROW(E$1:E2246)*(E2=E$1:E2246))))))</f>
        <v> </v>
      </c>
      <c r="K2247" s="25" t="str">
        <f>IF(OR(E2247="",E2247="!!!",F2247="NEW"),"",INDEX(J$1:J2246,SUMPRODUCT(MAX(ROW(E$1:E2246)*(E2247=E$1:E2246)))))</f>
        <v> </v>
      </c>
      <c r="L2247" s="26"/>
    </row>
    <row r="2248" spans="1:12">
      <c r="A2248" s="20" t="s">
        <v>2218</v>
      </c>
      <c r="E2248" s="21">
        <f>IF(D2248="?OLD","!!!","")</f>
        <v/>
      </c>
      <c r="F2248" s="22" t="str">
        <f>IF(OR(E2248="",E2248="!!!"),"",IF(NOT(ISNA(VLOOKUP(E2248,E$1:E2247,1,FALSE()))),"OLD",IF(AND(E2248&lt;&gt;"",E2248&lt;&gt;"!!!"),"NEW","")))</f>
        <v> </v>
      </c>
      <c r="G2248" s="23" t="str">
        <f>IF(OR(E2248="",E2248="!!!"),"",IF(OR(J2248=0,AND(J2248=1,K2248=1),AND(J2248=1,I2248="SBJ"),AND(J2248=1,I2248=0)),"?IN_FOCUS",IF(J2248&lt;=2,"?ACTIVATED",IF(J2248&lt;&gt;"","?FAMILIAR",IF(F2248="NEW",IF(ISNA(VLOOKUP(E2248,#REF!,1,FALSE())),"?TYPE_IDENTIFIABLE","?REFERENTIAL"),"_")))))</f>
        <v> </v>
      </c>
      <c r="H2248" s="24" t="str">
        <f>IF(J2248&lt;&gt;1,"",IF(I2248="SBJ","CB","?"))</f>
        <v> </v>
      </c>
      <c r="I2248" s="25" t="str">
        <f>IF(OR(E2248="",E2248="!!!",F2248="NEW"),"",INDEX(B2247:B$2,-1+SUMPRODUCT(MAX(ROW(E2247:E$2)*(E2248=E2247:E$2)))))</f>
        <v> </v>
      </c>
      <c r="J2248" s="25" t="str">
        <f>IF(OR(E2248="",E2248="!!!",F2248="NEW"),"",COUNTBLANK(OFFSET(A$1,,,SUMPRODUCT(MAX(ROW(E$2:E2248)*(E2248=E$2:E2248)))))-COUNTBLANK(OFFSET(A$1,,,SUMPRODUCT(MAX(ROW(E$1:E2247)*(E2=E$1:E2247))))))</f>
        <v> </v>
      </c>
      <c r="K2248" s="25" t="str">
        <f>IF(OR(E2248="",E2248="!!!",F2248="NEW"),"",INDEX(J$1:J2247,SUMPRODUCT(MAX(ROW(E$1:E2247)*(E2248=E$1:E2247)))))</f>
        <v> </v>
      </c>
      <c r="L2248" s="26"/>
    </row>
    <row r="2249" spans="1:12">
      <c r="A2249" s="20" t="s">
        <v>1136</v>
      </c>
      <c r="E2249" s="21">
        <f>IF(D2249="?OLD","!!!","")</f>
        <v/>
      </c>
      <c r="F2249" s="22" t="str">
        <f>IF(OR(E2249="",E2249="!!!"),"",IF(NOT(ISNA(VLOOKUP(E2249,E$1:E2248,1,FALSE()))),"OLD",IF(AND(E2249&lt;&gt;"",E2249&lt;&gt;"!!!"),"NEW","")))</f>
        <v> </v>
      </c>
      <c r="G2249" s="23" t="str">
        <f>IF(OR(E2249="",E2249="!!!"),"",IF(OR(J2249=0,AND(J2249=1,K2249=1),AND(J2249=1,I2249="SBJ"),AND(J2249=1,I2249=0)),"?IN_FOCUS",IF(J2249&lt;=2,"?ACTIVATED",IF(J2249&lt;&gt;"","?FAMILIAR",IF(F2249="NEW",IF(ISNA(VLOOKUP(E2249,#REF!,1,FALSE())),"?TYPE_IDENTIFIABLE","?REFERENTIAL"),"_")))))</f>
        <v> </v>
      </c>
      <c r="H2249" s="24" t="str">
        <f>IF(J2249&lt;&gt;1,"",IF(I2249="SBJ","CB","?"))</f>
        <v> </v>
      </c>
      <c r="I2249" s="25" t="str">
        <f>IF(OR(E2249="",E2249="!!!",F2249="NEW"),"",INDEX(B2248:B$2,-1+SUMPRODUCT(MAX(ROW(E2248:E$2)*(E2249=E2248:E$2)))))</f>
        <v> </v>
      </c>
      <c r="J2249" s="25" t="str">
        <f>IF(OR(E2249="",E2249="!!!",F2249="NEW"),"",COUNTBLANK(OFFSET(A$1,,,SUMPRODUCT(MAX(ROW(E$2:E2249)*(E2249=E$2:E2249)))))-COUNTBLANK(OFFSET(A$1,,,SUMPRODUCT(MAX(ROW(E$1:E2248)*(E2=E$1:E2248))))))</f>
        <v> </v>
      </c>
      <c r="K2249" s="25" t="str">
        <f>IF(OR(E2249="",E2249="!!!",F2249="NEW"),"",INDEX(J$1:J2248,SUMPRODUCT(MAX(ROW(E$1:E2248)*(E2249=E$1:E2248)))))</f>
        <v> </v>
      </c>
      <c r="L2249" s="26"/>
    </row>
    <row r="2250" spans="1:12">
      <c r="A2250" s="20" t="s">
        <v>2219</v>
      </c>
      <c r="E2250" s="21">
        <f>IF(D2250="?OLD","!!!","")</f>
        <v/>
      </c>
      <c r="F2250" s="22" t="str">
        <f>IF(OR(E2250="",E2250="!!!"),"",IF(NOT(ISNA(VLOOKUP(E2250,E$1:E2249,1,FALSE()))),"OLD",IF(AND(E2250&lt;&gt;"",E2250&lt;&gt;"!!!"),"NEW","")))</f>
        <v> </v>
      </c>
      <c r="G2250" s="23" t="str">
        <f>IF(OR(E2250="",E2250="!!!"),"",IF(OR(J2250=0,AND(J2250=1,K2250=1),AND(J2250=1,I2250="SBJ"),AND(J2250=1,I2250=0)),"?IN_FOCUS",IF(J2250&lt;=2,"?ACTIVATED",IF(J2250&lt;&gt;"","?FAMILIAR",IF(F2250="NEW",IF(ISNA(VLOOKUP(E2250,#REF!,1,FALSE())),"?TYPE_IDENTIFIABLE","?REFERENTIAL"),"_")))))</f>
        <v> </v>
      </c>
      <c r="H2250" s="24" t="str">
        <f>IF(J2250&lt;&gt;1,"",IF(I2250="SBJ","CB","?"))</f>
        <v> </v>
      </c>
      <c r="I2250" s="25" t="str">
        <f>IF(OR(E2250="",E2250="!!!",F2250="NEW"),"",INDEX(B2249:B$2,-1+SUMPRODUCT(MAX(ROW(E2249:E$2)*(E2250=E2249:E$2)))))</f>
        <v> </v>
      </c>
      <c r="J2250" s="25" t="str">
        <f>IF(OR(E2250="",E2250="!!!",F2250="NEW"),"",COUNTBLANK(OFFSET(A$1,,,SUMPRODUCT(MAX(ROW(E$2:E2250)*(E2250=E$2:E2250)))))-COUNTBLANK(OFFSET(A$1,,,SUMPRODUCT(MAX(ROW(E$1:E2249)*(E2=E$1:E2249))))))</f>
        <v> </v>
      </c>
      <c r="K2250" s="25" t="str">
        <f>IF(OR(E2250="",E2250="!!!",F2250="NEW"),"",INDEX(J$1:J2249,SUMPRODUCT(MAX(ROW(E$1:E2249)*(E2250=E$1:E2249)))))</f>
        <v> </v>
      </c>
      <c r="L2250" s="26"/>
    </row>
    <row r="2251" spans="1:12">
      <c r="A2251" s="20" t="s">
        <v>1128</v>
      </c>
      <c r="E2251" s="21">
        <f>IF(D2251="?OLD","!!!","")</f>
        <v/>
      </c>
      <c r="F2251" s="22" t="str">
        <f>IF(OR(E2251="",E2251="!!!"),"",IF(NOT(ISNA(VLOOKUP(E2251,E$1:E2250,1,FALSE()))),"OLD",IF(AND(E2251&lt;&gt;"",E2251&lt;&gt;"!!!"),"NEW","")))</f>
        <v> </v>
      </c>
      <c r="G2251" s="23" t="str">
        <f>IF(OR(E2251="",E2251="!!!"),"",IF(OR(J2251=0,AND(J2251=1,K2251=1),AND(J2251=1,I2251="SBJ"),AND(J2251=1,I2251=0)),"?IN_FOCUS",IF(J2251&lt;=2,"?ACTIVATED",IF(J2251&lt;&gt;"","?FAMILIAR",IF(F2251="NEW",IF(ISNA(VLOOKUP(E2251,#REF!,1,FALSE())),"?TYPE_IDENTIFIABLE","?REFERENTIAL"),"_")))))</f>
        <v> </v>
      </c>
      <c r="H2251" s="24" t="str">
        <f>IF(J2251&lt;&gt;1,"",IF(I2251="SBJ","CB","?"))</f>
        <v> </v>
      </c>
      <c r="I2251" s="25" t="str">
        <f>IF(OR(E2251="",E2251="!!!",F2251="NEW"),"",INDEX(B2250:B$2,-1+SUMPRODUCT(MAX(ROW(E2250:E$2)*(E2251=E2250:E$2)))))</f>
        <v> </v>
      </c>
      <c r="J2251" s="25" t="str">
        <f>IF(OR(E2251="",E2251="!!!",F2251="NEW"),"",COUNTBLANK(OFFSET(A$1,,,SUMPRODUCT(MAX(ROW(E$2:E2251)*(E2251=E$2:E2251)))))-COUNTBLANK(OFFSET(A$1,,,SUMPRODUCT(MAX(ROW(E$1:E2250)*(E2=E$1:E2250))))))</f>
        <v> </v>
      </c>
      <c r="K2251" s="25" t="str">
        <f>IF(OR(E2251="",E2251="!!!",F2251="NEW"),"",INDEX(J$1:J2250,SUMPRODUCT(MAX(ROW(E$1:E2250)*(E2251=E$1:E2250)))))</f>
        <v> </v>
      </c>
      <c r="L2251" s="26"/>
    </row>
    <row r="2252" spans="1:12">
      <c r="A2252" s="20" t="s">
        <v>2220</v>
      </c>
      <c r="E2252" s="21">
        <f>IF(D2252="?OLD","!!!","")</f>
        <v/>
      </c>
      <c r="F2252" s="22" t="str">
        <f>IF(OR(E2252="",E2252="!!!"),"",IF(NOT(ISNA(VLOOKUP(E2252,E$1:E2251,1,FALSE()))),"OLD",IF(AND(E2252&lt;&gt;"",E2252&lt;&gt;"!!!"),"NEW","")))</f>
        <v> </v>
      </c>
      <c r="G2252" s="23" t="str">
        <f>IF(OR(E2252="",E2252="!!!"),"",IF(OR(J2252=0,AND(J2252=1,K2252=1),AND(J2252=1,I2252="SBJ"),AND(J2252=1,I2252=0)),"?IN_FOCUS",IF(J2252&lt;=2,"?ACTIVATED",IF(J2252&lt;&gt;"","?FAMILIAR",IF(F2252="NEW",IF(ISNA(VLOOKUP(E2252,#REF!,1,FALSE())),"?TYPE_IDENTIFIABLE","?REFERENTIAL"),"_")))))</f>
        <v> </v>
      </c>
      <c r="H2252" s="24" t="str">
        <f>IF(J2252&lt;&gt;1,"",IF(I2252="SBJ","CB","?"))</f>
        <v> </v>
      </c>
      <c r="I2252" s="25" t="str">
        <f>IF(OR(E2252="",E2252="!!!",F2252="NEW"),"",INDEX(B2251:B$2,-1+SUMPRODUCT(MAX(ROW(E2251:E$2)*(E2252=E2251:E$2)))))</f>
        <v> </v>
      </c>
      <c r="J2252" s="25" t="str">
        <f>IF(OR(E2252="",E2252="!!!",F2252="NEW"),"",COUNTBLANK(OFFSET(A$1,,,SUMPRODUCT(MAX(ROW(E$2:E2252)*(E2252=E$2:E2252)))))-COUNTBLANK(OFFSET(A$1,,,SUMPRODUCT(MAX(ROW(E$1:E2251)*(E2=E$1:E2251))))))</f>
        <v> </v>
      </c>
      <c r="K2252" s="25" t="str">
        <f>IF(OR(E2252="",E2252="!!!",F2252="NEW"),"",INDEX(J$1:J2251,SUMPRODUCT(MAX(ROW(E$1:E2251)*(E2252=E$1:E2251)))))</f>
        <v> </v>
      </c>
      <c r="L2252" s="26"/>
    </row>
    <row r="2253" spans="1:12">
      <c r="A2253" s="20" t="s">
        <v>1145</v>
      </c>
      <c r="E2253" s="21">
        <f>IF(D2253="?OLD","!!!","")</f>
        <v/>
      </c>
      <c r="F2253" s="22" t="str">
        <f>IF(OR(E2253="",E2253="!!!"),"",IF(NOT(ISNA(VLOOKUP(E2253,E$1:E2252,1,FALSE()))),"OLD",IF(AND(E2253&lt;&gt;"",E2253&lt;&gt;"!!!"),"NEW","")))</f>
        <v> </v>
      </c>
      <c r="G2253" s="23" t="str">
        <f>IF(OR(E2253="",E2253="!!!"),"",IF(OR(J2253=0,AND(J2253=1,K2253=1),AND(J2253=1,I2253="SBJ"),AND(J2253=1,I2253=0)),"?IN_FOCUS",IF(J2253&lt;=2,"?ACTIVATED",IF(J2253&lt;&gt;"","?FAMILIAR",IF(F2253="NEW",IF(ISNA(VLOOKUP(E2253,#REF!,1,FALSE())),"?TYPE_IDENTIFIABLE","?REFERENTIAL"),"_")))))</f>
        <v> </v>
      </c>
      <c r="H2253" s="24" t="str">
        <f>IF(J2253&lt;&gt;1,"",IF(I2253="SBJ","CB","?"))</f>
        <v> </v>
      </c>
      <c r="I2253" s="25" t="str">
        <f>IF(OR(E2253="",E2253="!!!",F2253="NEW"),"",INDEX(B2252:B$2,-1+SUMPRODUCT(MAX(ROW(E2252:E$2)*(E2253=E2252:E$2)))))</f>
        <v> </v>
      </c>
      <c r="J2253" s="25" t="str">
        <f>IF(OR(E2253="",E2253="!!!",F2253="NEW"),"",COUNTBLANK(OFFSET(A$1,,,SUMPRODUCT(MAX(ROW(E$2:E2253)*(E2253=E$2:E2253)))))-COUNTBLANK(OFFSET(A$1,,,SUMPRODUCT(MAX(ROW(E$1:E2252)*(E2=E$1:E2252))))))</f>
        <v> </v>
      </c>
      <c r="K2253" s="25" t="str">
        <f>IF(OR(E2253="",E2253="!!!",F2253="NEW"),"",INDEX(J$1:J2252,SUMPRODUCT(MAX(ROW(E$1:E2252)*(E2253=E$1:E2252)))))</f>
        <v> </v>
      </c>
      <c r="L2253" s="26"/>
    </row>
    <row r="2254" spans="1:12">
      <c r="A2254" s="20"/>
    </row>
    <row r="2255" spans="1:12">
      <c r="A2255" s="20" t="s">
        <v>2221</v>
      </c>
    </row>
    <row r="2256" spans="1:12">
      <c r="A2256" s="20" t="s">
        <v>1400</v>
      </c>
      <c r="B2256" s="27" t="s">
        <v>1149</v>
      </c>
      <c r="C2256" s="27" t="s">
        <v>1116</v>
      </c>
      <c r="D2256" s="27" t="s">
        <v>1105</v>
      </c>
      <c r="E2256" s="21">
        <f>IF(D2256="?OLD","!!!","")</f>
        <v/>
      </c>
      <c r="F2256" s="22" t="str">
        <f>IF(OR(E2256="",E2256="!!!"),"",IF(NOT(ISNA(VLOOKUP(E2256,E$1:E2255,1,FALSE()))),"OLD",IF(AND(E2256&lt;&gt;"",E2256&lt;&gt;"!!!"),"NEW","")))</f>
        <v> </v>
      </c>
      <c r="G2256" s="23" t="str">
        <f>IF(OR(E2256="",E2256="!!!"),"",IF(OR(J2256=0,AND(J2256=1,K2256=1),AND(J2256=1,I2256="SBJ"),AND(J2256=1,I2256=0)),"?IN_FOCUS",IF(J2256&lt;=2,"?ACTIVATED",IF(J2256&lt;&gt;"","?FAMILIAR",IF(F2256="NEW",IF(ISNA(VLOOKUP(E2256,#REF!,1,FALSE())),"?TYPE_IDENTIFIABLE","?REFERENTIAL"),"_")))))</f>
        <v> </v>
      </c>
      <c r="H2256" s="24" t="str">
        <f>IF(J2256&lt;&gt;1,"",IF(I2256="SBJ","CB","?"))</f>
        <v> </v>
      </c>
      <c r="I2256" s="25" t="str">
        <f>IF(OR(E2256="",E2256="!!!",F2256="NEW"),"",INDEX(B2255:B$2,-1+SUMPRODUCT(MAX(ROW(E2255:E$2)*(E2256=E2255:E$2)))))</f>
        <v> </v>
      </c>
      <c r="J2256" s="25" t="str">
        <f>IF(OR(E2256="",E2256="!!!",F2256="NEW"),"",COUNTBLANK(OFFSET(A$1,,,SUMPRODUCT(MAX(ROW(E$2:E2256)*(E2256=E$2:E2256)))))-COUNTBLANK(OFFSET(A$1,,,SUMPRODUCT(MAX(ROW(E$1:E2255)*(E2=E$1:E2255))))))</f>
        <v> </v>
      </c>
      <c r="K2256" s="25" t="str">
        <f>IF(OR(E2256="",E2256="!!!",F2256="NEW"),"",INDEX(J$1:J2255,SUMPRODUCT(MAX(ROW(E$1:E2255)*(E2256=E$1:E2255)))))</f>
        <v> </v>
      </c>
      <c r="L2256" s="26"/>
    </row>
    <row r="2257" spans="1:12">
      <c r="A2257" s="20" t="s">
        <v>1309</v>
      </c>
      <c r="E2257" s="21">
        <f>IF(D2257="?OLD","!!!","")</f>
        <v/>
      </c>
      <c r="F2257" s="22" t="str">
        <f>IF(OR(E2257="",E2257="!!!"),"",IF(NOT(ISNA(VLOOKUP(E2257,E$1:E2256,1,FALSE()))),"OLD",IF(AND(E2257&lt;&gt;"",E2257&lt;&gt;"!!!"),"NEW","")))</f>
        <v> </v>
      </c>
      <c r="G2257" s="23" t="str">
        <f>IF(OR(E2257="",E2257="!!!"),"",IF(OR(J2257=0,AND(J2257=1,K2257=1),AND(J2257=1,I2257="SBJ"),AND(J2257=1,I2257=0)),"?IN_FOCUS",IF(J2257&lt;=2,"?ACTIVATED",IF(J2257&lt;&gt;"","?FAMILIAR",IF(F2257="NEW",IF(ISNA(VLOOKUP(E2257,#REF!,1,FALSE())),"?TYPE_IDENTIFIABLE","?REFERENTIAL"),"_")))))</f>
        <v> </v>
      </c>
      <c r="H2257" s="24" t="str">
        <f>IF(J2257&lt;&gt;1,"",IF(I2257="SBJ","CB","?"))</f>
        <v> </v>
      </c>
      <c r="I2257" s="25" t="str">
        <f>IF(OR(E2257="",E2257="!!!",F2257="NEW"),"",INDEX(B2256:B$2,-1+SUMPRODUCT(MAX(ROW(E2256:E$2)*(E2257=E2256:E$2)))))</f>
        <v> </v>
      </c>
      <c r="J2257" s="25" t="str">
        <f>IF(OR(E2257="",E2257="!!!",F2257="NEW"),"",COUNTBLANK(OFFSET(A$1,,,SUMPRODUCT(MAX(ROW(E$2:E2257)*(E2257=E$2:E2257)))))-COUNTBLANK(OFFSET(A$1,,,SUMPRODUCT(MAX(ROW(E$1:E2256)*(E2=E$1:E2256))))))</f>
        <v> </v>
      </c>
      <c r="K2257" s="25" t="str">
        <f>IF(OR(E2257="",E2257="!!!",F2257="NEW"),"",INDEX(J$1:J2256,SUMPRODUCT(MAX(ROW(E$1:E2256)*(E2257=E$1:E2256)))))</f>
        <v> </v>
      </c>
      <c r="L2257" s="26"/>
    </row>
    <row r="2258" spans="1:12">
      <c r="A2258" s="20" t="s">
        <v>1134</v>
      </c>
      <c r="E2258" s="21">
        <f>IF(D2258="?OLD","!!!","")</f>
        <v/>
      </c>
      <c r="F2258" s="22" t="str">
        <f>IF(OR(E2258="",E2258="!!!"),"",IF(NOT(ISNA(VLOOKUP(E2258,E$1:E2257,1,FALSE()))),"OLD",IF(AND(E2258&lt;&gt;"",E2258&lt;&gt;"!!!"),"NEW","")))</f>
        <v> </v>
      </c>
      <c r="G2258" s="23" t="str">
        <f>IF(OR(E2258="",E2258="!!!"),"",IF(OR(J2258=0,AND(J2258=1,K2258=1),AND(J2258=1,I2258="SBJ"),AND(J2258=1,I2258=0)),"?IN_FOCUS",IF(J2258&lt;=2,"?ACTIVATED",IF(J2258&lt;&gt;"","?FAMILIAR",IF(F2258="NEW",IF(ISNA(VLOOKUP(E2258,#REF!,1,FALSE())),"?TYPE_IDENTIFIABLE","?REFERENTIAL"),"_")))))</f>
        <v> </v>
      </c>
      <c r="H2258" s="24" t="str">
        <f>IF(J2258&lt;&gt;1,"",IF(I2258="SBJ","CB","?"))</f>
        <v> </v>
      </c>
      <c r="I2258" s="25" t="str">
        <f>IF(OR(E2258="",E2258="!!!",F2258="NEW"),"",INDEX(B2257:B$2,-1+SUMPRODUCT(MAX(ROW(E2257:E$2)*(E2258=E2257:E$2)))))</f>
        <v> </v>
      </c>
      <c r="J2258" s="25" t="str">
        <f>IF(OR(E2258="",E2258="!!!",F2258="NEW"),"",COUNTBLANK(OFFSET(A$1,,,SUMPRODUCT(MAX(ROW(E$2:E2258)*(E2258=E$2:E2258)))))-COUNTBLANK(OFFSET(A$1,,,SUMPRODUCT(MAX(ROW(E$1:E2257)*(E2=E$1:E2257))))))</f>
        <v> </v>
      </c>
      <c r="K2258" s="25" t="str">
        <f>IF(OR(E2258="",E2258="!!!",F2258="NEW"),"",INDEX(J$1:J2257,SUMPRODUCT(MAX(ROW(E$1:E2257)*(E2258=E$1:E2257)))))</f>
        <v> </v>
      </c>
      <c r="L2258" s="26"/>
    </row>
    <row r="2259" spans="1:12">
      <c r="A2259" s="20" t="s">
        <v>2222</v>
      </c>
      <c r="E2259" s="21">
        <f>IF(D2259="?OLD","!!!","")</f>
        <v/>
      </c>
      <c r="F2259" s="22" t="str">
        <f>IF(OR(E2259="",E2259="!!!"),"",IF(NOT(ISNA(VLOOKUP(E2259,E$1:E2258,1,FALSE()))),"OLD",IF(AND(E2259&lt;&gt;"",E2259&lt;&gt;"!!!"),"NEW","")))</f>
        <v> </v>
      </c>
      <c r="G2259" s="23" t="str">
        <f>IF(OR(E2259="",E2259="!!!"),"",IF(OR(J2259=0,AND(J2259=1,K2259=1),AND(J2259=1,I2259="SBJ"),AND(J2259=1,I2259=0)),"?IN_FOCUS",IF(J2259&lt;=2,"?ACTIVATED",IF(J2259&lt;&gt;"","?FAMILIAR",IF(F2259="NEW",IF(ISNA(VLOOKUP(E2259,#REF!,1,FALSE())),"?TYPE_IDENTIFIABLE","?REFERENTIAL"),"_")))))</f>
        <v> </v>
      </c>
      <c r="H2259" s="24" t="str">
        <f>IF(J2259&lt;&gt;1,"",IF(I2259="SBJ","CB","?"))</f>
        <v> </v>
      </c>
      <c r="I2259" s="25" t="str">
        <f>IF(OR(E2259="",E2259="!!!",F2259="NEW"),"",INDEX(B2258:B$2,-1+SUMPRODUCT(MAX(ROW(E2258:E$2)*(E2259=E2258:E$2)))))</f>
        <v> </v>
      </c>
      <c r="J2259" s="25" t="str">
        <f>IF(OR(E2259="",E2259="!!!",F2259="NEW"),"",COUNTBLANK(OFFSET(A$1,,,SUMPRODUCT(MAX(ROW(E$2:E2259)*(E2259=E$2:E2259)))))-COUNTBLANK(OFFSET(A$1,,,SUMPRODUCT(MAX(ROW(E$1:E2258)*(E2=E$1:E2258))))))</f>
        <v> </v>
      </c>
      <c r="K2259" s="25" t="str">
        <f>IF(OR(E2259="",E2259="!!!",F2259="NEW"),"",INDEX(J$1:J2258,SUMPRODUCT(MAX(ROW(E$1:E2258)*(E2259=E$1:E2258)))))</f>
        <v> </v>
      </c>
      <c r="L2259" s="26"/>
    </row>
    <row r="2260" spans="1:12">
      <c r="A2260" s="20" t="s">
        <v>2223</v>
      </c>
      <c r="E2260" s="21">
        <f>IF(D2260="?OLD","!!!","")</f>
        <v/>
      </c>
      <c r="F2260" s="22" t="str">
        <f>IF(OR(E2260="",E2260="!!!"),"",IF(NOT(ISNA(VLOOKUP(E2260,E$1:E2259,1,FALSE()))),"OLD",IF(AND(E2260&lt;&gt;"",E2260&lt;&gt;"!!!"),"NEW","")))</f>
        <v> </v>
      </c>
      <c r="G2260" s="23" t="str">
        <f>IF(OR(E2260="",E2260="!!!"),"",IF(OR(J2260=0,AND(J2260=1,K2260=1),AND(J2260=1,I2260="SBJ"),AND(J2260=1,I2260=0)),"?IN_FOCUS",IF(J2260&lt;=2,"?ACTIVATED",IF(J2260&lt;&gt;"","?FAMILIAR",IF(F2260="NEW",IF(ISNA(VLOOKUP(E2260,#REF!,1,FALSE())),"?TYPE_IDENTIFIABLE","?REFERENTIAL"),"_")))))</f>
        <v> </v>
      </c>
      <c r="H2260" s="24" t="str">
        <f>IF(J2260&lt;&gt;1,"",IF(I2260="SBJ","CB","?"))</f>
        <v> </v>
      </c>
      <c r="I2260" s="25" t="str">
        <f>IF(OR(E2260="",E2260="!!!",F2260="NEW"),"",INDEX(B2259:B$2,-1+SUMPRODUCT(MAX(ROW(E2259:E$2)*(E2260=E2259:E$2)))))</f>
        <v> </v>
      </c>
      <c r="J2260" s="25" t="str">
        <f>IF(OR(E2260="",E2260="!!!",F2260="NEW"),"",COUNTBLANK(OFFSET(A$1,,,SUMPRODUCT(MAX(ROW(E$2:E2260)*(E2260=E$2:E2260)))))-COUNTBLANK(OFFSET(A$1,,,SUMPRODUCT(MAX(ROW(E$1:E2259)*(E2=E$1:E2259))))))</f>
        <v> </v>
      </c>
      <c r="K2260" s="25" t="str">
        <f>IF(OR(E2260="",E2260="!!!",F2260="NEW"),"",INDEX(J$1:J2259,SUMPRODUCT(MAX(ROW(E$1:E2259)*(E2260=E$1:E2259)))))</f>
        <v> </v>
      </c>
      <c r="L2260" s="26"/>
    </row>
    <row r="2261" spans="1:12">
      <c r="A2261" s="20" t="s">
        <v>1128</v>
      </c>
      <c r="E2261" s="21">
        <f>IF(D2261="?OLD","!!!","")</f>
        <v/>
      </c>
      <c r="F2261" s="22" t="str">
        <f>IF(OR(E2261="",E2261="!!!"),"",IF(NOT(ISNA(VLOOKUP(E2261,E$1:E2260,1,FALSE()))),"OLD",IF(AND(E2261&lt;&gt;"",E2261&lt;&gt;"!!!"),"NEW","")))</f>
        <v> </v>
      </c>
      <c r="G2261" s="23" t="str">
        <f>IF(OR(E2261="",E2261="!!!"),"",IF(OR(J2261=0,AND(J2261=1,K2261=1),AND(J2261=1,I2261="SBJ"),AND(J2261=1,I2261=0)),"?IN_FOCUS",IF(J2261&lt;=2,"?ACTIVATED",IF(J2261&lt;&gt;"","?FAMILIAR",IF(F2261="NEW",IF(ISNA(VLOOKUP(E2261,#REF!,1,FALSE())),"?TYPE_IDENTIFIABLE","?REFERENTIAL"),"_")))))</f>
        <v> </v>
      </c>
      <c r="H2261" s="24" t="str">
        <f>IF(J2261&lt;&gt;1,"",IF(I2261="SBJ","CB","?"))</f>
        <v> </v>
      </c>
      <c r="I2261" s="25" t="str">
        <f>IF(OR(E2261="",E2261="!!!",F2261="NEW"),"",INDEX(B2260:B$2,-1+SUMPRODUCT(MAX(ROW(E2260:E$2)*(E2261=E2260:E$2)))))</f>
        <v> </v>
      </c>
      <c r="J2261" s="25" t="str">
        <f>IF(OR(E2261="",E2261="!!!",F2261="NEW"),"",COUNTBLANK(OFFSET(A$1,,,SUMPRODUCT(MAX(ROW(E$2:E2261)*(E2261=E$2:E2261)))))-COUNTBLANK(OFFSET(A$1,,,SUMPRODUCT(MAX(ROW(E$1:E2260)*(E2=E$1:E2260))))))</f>
        <v> </v>
      </c>
      <c r="K2261" s="25" t="str">
        <f>IF(OR(E2261="",E2261="!!!",F2261="NEW"),"",INDEX(J$1:J2260,SUMPRODUCT(MAX(ROW(E$1:E2260)*(E2261=E$1:E2260)))))</f>
        <v> </v>
      </c>
      <c r="L2261" s="26"/>
    </row>
    <row r="2262" spans="1:12">
      <c r="A2262" s="20" t="s">
        <v>1134</v>
      </c>
      <c r="E2262" s="21">
        <f>IF(D2262="?OLD","!!!","")</f>
        <v/>
      </c>
      <c r="F2262" s="22" t="str">
        <f>IF(OR(E2262="",E2262="!!!"),"",IF(NOT(ISNA(VLOOKUP(E2262,E$1:E2261,1,FALSE()))),"OLD",IF(AND(E2262&lt;&gt;"",E2262&lt;&gt;"!!!"),"NEW","")))</f>
        <v> </v>
      </c>
      <c r="G2262" s="23" t="str">
        <f>IF(OR(E2262="",E2262="!!!"),"",IF(OR(J2262=0,AND(J2262=1,K2262=1),AND(J2262=1,I2262="SBJ"),AND(J2262=1,I2262=0)),"?IN_FOCUS",IF(J2262&lt;=2,"?ACTIVATED",IF(J2262&lt;&gt;"","?FAMILIAR",IF(F2262="NEW",IF(ISNA(VLOOKUP(E2262,#REF!,1,FALSE())),"?TYPE_IDENTIFIABLE","?REFERENTIAL"),"_")))))</f>
        <v> </v>
      </c>
      <c r="H2262" s="24" t="str">
        <f>IF(J2262&lt;&gt;1,"",IF(I2262="SBJ","CB","?"))</f>
        <v> </v>
      </c>
      <c r="I2262" s="25" t="str">
        <f>IF(OR(E2262="",E2262="!!!",F2262="NEW"),"",INDEX(B2261:B$2,-1+SUMPRODUCT(MAX(ROW(E2261:E$2)*(E2262=E2261:E$2)))))</f>
        <v> </v>
      </c>
      <c r="J2262" s="25" t="str">
        <f>IF(OR(E2262="",E2262="!!!",F2262="NEW"),"",COUNTBLANK(OFFSET(A$1,,,SUMPRODUCT(MAX(ROW(E$2:E2262)*(E2262=E$2:E2262)))))-COUNTBLANK(OFFSET(A$1,,,SUMPRODUCT(MAX(ROW(E$1:E2261)*(E2=E$1:E2261))))))</f>
        <v> </v>
      </c>
      <c r="K2262" s="25" t="str">
        <f>IF(OR(E2262="",E2262="!!!",F2262="NEW"),"",INDEX(J$1:J2261,SUMPRODUCT(MAX(ROW(E$1:E2261)*(E2262=E$1:E2261)))))</f>
        <v> </v>
      </c>
      <c r="L2262" s="26"/>
    </row>
    <row r="2263" spans="1:12">
      <c r="A2263" s="20" t="s">
        <v>2224</v>
      </c>
      <c r="E2263" s="21">
        <f>IF(D2263="?OLD","!!!","")</f>
        <v/>
      </c>
      <c r="F2263" s="22" t="str">
        <f>IF(OR(E2263="",E2263="!!!"),"",IF(NOT(ISNA(VLOOKUP(E2263,E$1:E2262,1,FALSE()))),"OLD",IF(AND(E2263&lt;&gt;"",E2263&lt;&gt;"!!!"),"NEW","")))</f>
        <v> </v>
      </c>
      <c r="G2263" s="23" t="str">
        <f>IF(OR(E2263="",E2263="!!!"),"",IF(OR(J2263=0,AND(J2263=1,K2263=1),AND(J2263=1,I2263="SBJ"),AND(J2263=1,I2263=0)),"?IN_FOCUS",IF(J2263&lt;=2,"?ACTIVATED",IF(J2263&lt;&gt;"","?FAMILIAR",IF(F2263="NEW",IF(ISNA(VLOOKUP(E2263,#REF!,1,FALSE())),"?TYPE_IDENTIFIABLE","?REFERENTIAL"),"_")))))</f>
        <v> </v>
      </c>
      <c r="H2263" s="24" t="str">
        <f>IF(J2263&lt;&gt;1,"",IF(I2263="SBJ","CB","?"))</f>
        <v> </v>
      </c>
      <c r="I2263" s="25" t="str">
        <f>IF(OR(E2263="",E2263="!!!",F2263="NEW"),"",INDEX(B2262:B$2,-1+SUMPRODUCT(MAX(ROW(E2262:E$2)*(E2263=E2262:E$2)))))</f>
        <v> </v>
      </c>
      <c r="J2263" s="25" t="str">
        <f>IF(OR(E2263="",E2263="!!!",F2263="NEW"),"",COUNTBLANK(OFFSET(A$1,,,SUMPRODUCT(MAX(ROW(E$2:E2263)*(E2263=E$2:E2263)))))-COUNTBLANK(OFFSET(A$1,,,SUMPRODUCT(MAX(ROW(E$1:E2262)*(E2=E$1:E2262))))))</f>
        <v> </v>
      </c>
      <c r="K2263" s="25" t="str">
        <f>IF(OR(E2263="",E2263="!!!",F2263="NEW"),"",INDEX(J$1:J2262,SUMPRODUCT(MAX(ROW(E$1:E2262)*(E2263=E$1:E2262)))))</f>
        <v> </v>
      </c>
      <c r="L2263" s="26"/>
    </row>
    <row r="2264" spans="1:12">
      <c r="A2264" s="20" t="s">
        <v>2225</v>
      </c>
      <c r="E2264" s="21">
        <f>IF(D2264="?OLD","!!!","")</f>
        <v/>
      </c>
      <c r="F2264" s="22" t="str">
        <f>IF(OR(E2264="",E2264="!!!"),"",IF(NOT(ISNA(VLOOKUP(E2264,E$1:E2263,1,FALSE()))),"OLD",IF(AND(E2264&lt;&gt;"",E2264&lt;&gt;"!!!"),"NEW","")))</f>
        <v> </v>
      </c>
      <c r="G2264" s="23" t="str">
        <f>IF(OR(E2264="",E2264="!!!"),"",IF(OR(J2264=0,AND(J2264=1,K2264=1),AND(J2264=1,I2264="SBJ"),AND(J2264=1,I2264=0)),"?IN_FOCUS",IF(J2264&lt;=2,"?ACTIVATED",IF(J2264&lt;&gt;"","?FAMILIAR",IF(F2264="NEW",IF(ISNA(VLOOKUP(E2264,#REF!,1,FALSE())),"?TYPE_IDENTIFIABLE","?REFERENTIAL"),"_")))))</f>
        <v> </v>
      </c>
      <c r="H2264" s="24" t="str">
        <f>IF(J2264&lt;&gt;1,"",IF(I2264="SBJ","CB","?"))</f>
        <v> </v>
      </c>
      <c r="I2264" s="25" t="str">
        <f>IF(OR(E2264="",E2264="!!!",F2264="NEW"),"",INDEX(B2263:B$2,-1+SUMPRODUCT(MAX(ROW(E2263:E$2)*(E2264=E2263:E$2)))))</f>
        <v> </v>
      </c>
      <c r="J2264" s="25" t="str">
        <f>IF(OR(E2264="",E2264="!!!",F2264="NEW"),"",COUNTBLANK(OFFSET(A$1,,,SUMPRODUCT(MAX(ROW(E$2:E2264)*(E2264=E$2:E2264)))))-COUNTBLANK(OFFSET(A$1,,,SUMPRODUCT(MAX(ROW(E$1:E2263)*(E2=E$1:E2263))))))</f>
        <v> </v>
      </c>
      <c r="K2264" s="25" t="str">
        <f>IF(OR(E2264="",E2264="!!!",F2264="NEW"),"",INDEX(J$1:J2263,SUMPRODUCT(MAX(ROW(E$1:E2263)*(E2264=E$1:E2263)))))</f>
        <v> </v>
      </c>
      <c r="L2264" s="26"/>
    </row>
    <row r="2265" spans="1:12">
      <c r="A2265" s="20" t="s">
        <v>1123</v>
      </c>
      <c r="E2265" s="21">
        <f>IF(D2265="?OLD","!!!","")</f>
        <v/>
      </c>
      <c r="F2265" s="22" t="str">
        <f>IF(OR(E2265="",E2265="!!!"),"",IF(NOT(ISNA(VLOOKUP(E2265,E$1:E2264,1,FALSE()))),"OLD",IF(AND(E2265&lt;&gt;"",E2265&lt;&gt;"!!!"),"NEW","")))</f>
        <v> </v>
      </c>
      <c r="G2265" s="23" t="str">
        <f>IF(OR(E2265="",E2265="!!!"),"",IF(OR(J2265=0,AND(J2265=1,K2265=1),AND(J2265=1,I2265="SBJ"),AND(J2265=1,I2265=0)),"?IN_FOCUS",IF(J2265&lt;=2,"?ACTIVATED",IF(J2265&lt;&gt;"","?FAMILIAR",IF(F2265="NEW",IF(ISNA(VLOOKUP(E2265,#REF!,1,FALSE())),"?TYPE_IDENTIFIABLE","?REFERENTIAL"),"_")))))</f>
        <v> </v>
      </c>
      <c r="H2265" s="24" t="str">
        <f>IF(J2265&lt;&gt;1,"",IF(I2265="SBJ","CB","?"))</f>
        <v> </v>
      </c>
      <c r="I2265" s="25" t="str">
        <f>IF(OR(E2265="",E2265="!!!",F2265="NEW"),"",INDEX(B2264:B$2,-1+SUMPRODUCT(MAX(ROW(E2264:E$2)*(E2265=E2264:E$2)))))</f>
        <v> </v>
      </c>
      <c r="J2265" s="25" t="str">
        <f>IF(OR(E2265="",E2265="!!!",F2265="NEW"),"",COUNTBLANK(OFFSET(A$1,,,SUMPRODUCT(MAX(ROW(E$2:E2265)*(E2265=E$2:E2265)))))-COUNTBLANK(OFFSET(A$1,,,SUMPRODUCT(MAX(ROW(E$1:E2264)*(E2=E$1:E2264))))))</f>
        <v> </v>
      </c>
      <c r="K2265" s="25" t="str">
        <f>IF(OR(E2265="",E2265="!!!",F2265="NEW"),"",INDEX(J$1:J2264,SUMPRODUCT(MAX(ROW(E$1:E2264)*(E2265=E$1:E2264)))))</f>
        <v> </v>
      </c>
      <c r="L2265" s="26"/>
    </row>
    <row r="2266" spans="1:12">
      <c r="A2266" s="20" t="s">
        <v>1224</v>
      </c>
      <c r="E2266" s="21">
        <f>IF(D2266="?OLD","!!!","")</f>
        <v/>
      </c>
      <c r="F2266" s="22" t="str">
        <f>IF(OR(E2266="",E2266="!!!"),"",IF(NOT(ISNA(VLOOKUP(E2266,E$1:E2265,1,FALSE()))),"OLD",IF(AND(E2266&lt;&gt;"",E2266&lt;&gt;"!!!"),"NEW","")))</f>
        <v> </v>
      </c>
      <c r="G2266" s="23" t="str">
        <f>IF(OR(E2266="",E2266="!!!"),"",IF(OR(J2266=0,AND(J2266=1,K2266=1),AND(J2266=1,I2266="SBJ"),AND(J2266=1,I2266=0)),"?IN_FOCUS",IF(J2266&lt;=2,"?ACTIVATED",IF(J2266&lt;&gt;"","?FAMILIAR",IF(F2266="NEW",IF(ISNA(VLOOKUP(E2266,#REF!,1,FALSE())),"?TYPE_IDENTIFIABLE","?REFERENTIAL"),"_")))))</f>
        <v> </v>
      </c>
      <c r="H2266" s="24" t="str">
        <f>IF(J2266&lt;&gt;1,"",IF(I2266="SBJ","CB","?"))</f>
        <v> </v>
      </c>
      <c r="I2266" s="25" t="str">
        <f>IF(OR(E2266="",E2266="!!!",F2266="NEW"),"",INDEX(B2265:B$2,-1+SUMPRODUCT(MAX(ROW(E2265:E$2)*(E2266=E2265:E$2)))))</f>
        <v> </v>
      </c>
      <c r="J2266" s="25" t="str">
        <f>IF(OR(E2266="",E2266="!!!",F2266="NEW"),"",COUNTBLANK(OFFSET(A$1,,,SUMPRODUCT(MAX(ROW(E$2:E2266)*(E2266=E$2:E2266)))))-COUNTBLANK(OFFSET(A$1,,,SUMPRODUCT(MAX(ROW(E$1:E2265)*(E2=E$1:E2265))))))</f>
        <v> </v>
      </c>
      <c r="K2266" s="25" t="str">
        <f>IF(OR(E2266="",E2266="!!!",F2266="NEW"),"",INDEX(J$1:J2265,SUMPRODUCT(MAX(ROW(E$1:E2265)*(E2266=E$1:E2265)))))</f>
        <v> </v>
      </c>
      <c r="L2266" s="26"/>
    </row>
    <row r="2267" spans="1:12">
      <c r="A2267" s="20" t="s">
        <v>1123</v>
      </c>
      <c r="E2267" s="21">
        <f>IF(D2267="?OLD","!!!","")</f>
        <v/>
      </c>
      <c r="F2267" s="22" t="str">
        <f>IF(OR(E2267="",E2267="!!!"),"",IF(NOT(ISNA(VLOOKUP(E2267,E$1:E2266,1,FALSE()))),"OLD",IF(AND(E2267&lt;&gt;"",E2267&lt;&gt;"!!!"),"NEW","")))</f>
        <v> </v>
      </c>
      <c r="G2267" s="23" t="str">
        <f>IF(OR(E2267="",E2267="!!!"),"",IF(OR(J2267=0,AND(J2267=1,K2267=1),AND(J2267=1,I2267="SBJ"),AND(J2267=1,I2267=0)),"?IN_FOCUS",IF(J2267&lt;=2,"?ACTIVATED",IF(J2267&lt;&gt;"","?FAMILIAR",IF(F2267="NEW",IF(ISNA(VLOOKUP(E2267,#REF!,1,FALSE())),"?TYPE_IDENTIFIABLE","?REFERENTIAL"),"_")))))</f>
        <v> </v>
      </c>
      <c r="H2267" s="24" t="str">
        <f>IF(J2267&lt;&gt;1,"",IF(I2267="SBJ","CB","?"))</f>
        <v> </v>
      </c>
      <c r="I2267" s="25" t="str">
        <f>IF(OR(E2267="",E2267="!!!",F2267="NEW"),"",INDEX(B2266:B$2,-1+SUMPRODUCT(MAX(ROW(E2266:E$2)*(E2267=E2266:E$2)))))</f>
        <v> </v>
      </c>
      <c r="J2267" s="25" t="str">
        <f>IF(OR(E2267="",E2267="!!!",F2267="NEW"),"",COUNTBLANK(OFFSET(A$1,,,SUMPRODUCT(MAX(ROW(E$2:E2267)*(E2267=E$2:E2267)))))-COUNTBLANK(OFFSET(A$1,,,SUMPRODUCT(MAX(ROW(E$1:E2266)*(E2=E$1:E2266))))))</f>
        <v> </v>
      </c>
      <c r="K2267" s="25" t="str">
        <f>IF(OR(E2267="",E2267="!!!",F2267="NEW"),"",INDEX(J$1:J2266,SUMPRODUCT(MAX(ROW(E$1:E2266)*(E2267=E$1:E2266)))))</f>
        <v> </v>
      </c>
      <c r="L2267" s="26"/>
    </row>
    <row r="2268" spans="1:12">
      <c r="A2268" s="20" t="s">
        <v>1933</v>
      </c>
      <c r="E2268" s="21">
        <f>IF(D2268="?OLD","!!!","")</f>
        <v/>
      </c>
      <c r="F2268" s="22" t="str">
        <f>IF(OR(E2268="",E2268="!!!"),"",IF(NOT(ISNA(VLOOKUP(E2268,E$1:E2267,1,FALSE()))),"OLD",IF(AND(E2268&lt;&gt;"",E2268&lt;&gt;"!!!"),"NEW","")))</f>
        <v> </v>
      </c>
      <c r="G2268" s="23" t="str">
        <f>IF(OR(E2268="",E2268="!!!"),"",IF(OR(J2268=0,AND(J2268=1,K2268=1),AND(J2268=1,I2268="SBJ"),AND(J2268=1,I2268=0)),"?IN_FOCUS",IF(J2268&lt;=2,"?ACTIVATED",IF(J2268&lt;&gt;"","?FAMILIAR",IF(F2268="NEW",IF(ISNA(VLOOKUP(E2268,#REF!,1,FALSE())),"?TYPE_IDENTIFIABLE","?REFERENTIAL"),"_")))))</f>
        <v> </v>
      </c>
      <c r="H2268" s="24" t="str">
        <f>IF(J2268&lt;&gt;1,"",IF(I2268="SBJ","CB","?"))</f>
        <v> </v>
      </c>
      <c r="I2268" s="25" t="str">
        <f>IF(OR(E2268="",E2268="!!!",F2268="NEW"),"",INDEX(B2267:B$2,-1+SUMPRODUCT(MAX(ROW(E2267:E$2)*(E2268=E2267:E$2)))))</f>
        <v> </v>
      </c>
      <c r="J2268" s="25" t="str">
        <f>IF(OR(E2268="",E2268="!!!",F2268="NEW"),"",COUNTBLANK(OFFSET(A$1,,,SUMPRODUCT(MAX(ROW(E$2:E2268)*(E2268=E$2:E2268)))))-COUNTBLANK(OFFSET(A$1,,,SUMPRODUCT(MAX(ROW(E$1:E2267)*(E2=E$1:E2267))))))</f>
        <v> </v>
      </c>
      <c r="K2268" s="25" t="str">
        <f>IF(OR(E2268="",E2268="!!!",F2268="NEW"),"",INDEX(J$1:J2267,SUMPRODUCT(MAX(ROW(E$1:E2267)*(E2268=E$1:E2267)))))</f>
        <v> </v>
      </c>
      <c r="L2268" s="26"/>
    </row>
    <row r="2269" spans="1:12">
      <c r="A2269" s="20" t="s">
        <v>1123</v>
      </c>
      <c r="E2269" s="21">
        <f>IF(D2269="?OLD","!!!","")</f>
        <v/>
      </c>
      <c r="F2269" s="22" t="str">
        <f>IF(OR(E2269="",E2269="!!!"),"",IF(NOT(ISNA(VLOOKUP(E2269,E$1:E2268,1,FALSE()))),"OLD",IF(AND(E2269&lt;&gt;"",E2269&lt;&gt;"!!!"),"NEW","")))</f>
        <v> </v>
      </c>
      <c r="G2269" s="23" t="str">
        <f>IF(OR(E2269="",E2269="!!!"),"",IF(OR(J2269=0,AND(J2269=1,K2269=1),AND(J2269=1,I2269="SBJ"),AND(J2269=1,I2269=0)),"?IN_FOCUS",IF(J2269&lt;=2,"?ACTIVATED",IF(J2269&lt;&gt;"","?FAMILIAR",IF(F2269="NEW",IF(ISNA(VLOOKUP(E2269,#REF!,1,FALSE())),"?TYPE_IDENTIFIABLE","?REFERENTIAL"),"_")))))</f>
        <v> </v>
      </c>
      <c r="H2269" s="24" t="str">
        <f>IF(J2269&lt;&gt;1,"",IF(I2269="SBJ","CB","?"))</f>
        <v> </v>
      </c>
      <c r="I2269" s="25" t="str">
        <f>IF(OR(E2269="",E2269="!!!",F2269="NEW"),"",INDEX(B2268:B$2,-1+SUMPRODUCT(MAX(ROW(E2268:E$2)*(E2269=E2268:E$2)))))</f>
        <v> </v>
      </c>
      <c r="J2269" s="25" t="str">
        <f>IF(OR(E2269="",E2269="!!!",F2269="NEW"),"",COUNTBLANK(OFFSET(A$1,,,SUMPRODUCT(MAX(ROW(E$2:E2269)*(E2269=E$2:E2269)))))-COUNTBLANK(OFFSET(A$1,,,SUMPRODUCT(MAX(ROW(E$1:E2268)*(E2=E$1:E2268))))))</f>
        <v> </v>
      </c>
      <c r="K2269" s="25" t="str">
        <f>IF(OR(E2269="",E2269="!!!",F2269="NEW"),"",INDEX(J$1:J2268,SUMPRODUCT(MAX(ROW(E$1:E2268)*(E2269=E$1:E2268)))))</f>
        <v> </v>
      </c>
      <c r="L2269" s="26"/>
    </row>
    <row r="2270" spans="1:12">
      <c r="A2270" s="20" t="s">
        <v>2226</v>
      </c>
      <c r="E2270" s="21">
        <f>IF(D2270="?OLD","!!!","")</f>
        <v/>
      </c>
      <c r="F2270" s="22" t="str">
        <f>IF(OR(E2270="",E2270="!!!"),"",IF(NOT(ISNA(VLOOKUP(E2270,E$1:E2269,1,FALSE()))),"OLD",IF(AND(E2270&lt;&gt;"",E2270&lt;&gt;"!!!"),"NEW","")))</f>
        <v> </v>
      </c>
      <c r="G2270" s="23" t="str">
        <f>IF(OR(E2270="",E2270="!!!"),"",IF(OR(J2270=0,AND(J2270=1,K2270=1),AND(J2270=1,I2270="SBJ"),AND(J2270=1,I2270=0)),"?IN_FOCUS",IF(J2270&lt;=2,"?ACTIVATED",IF(J2270&lt;&gt;"","?FAMILIAR",IF(F2270="NEW",IF(ISNA(VLOOKUP(E2270,#REF!,1,FALSE())),"?TYPE_IDENTIFIABLE","?REFERENTIAL"),"_")))))</f>
        <v> </v>
      </c>
      <c r="H2270" s="24" t="str">
        <f>IF(J2270&lt;&gt;1,"",IF(I2270="SBJ","CB","?"))</f>
        <v> </v>
      </c>
      <c r="I2270" s="25" t="str">
        <f>IF(OR(E2270="",E2270="!!!",F2270="NEW"),"",INDEX(B2269:B$2,-1+SUMPRODUCT(MAX(ROW(E2269:E$2)*(E2270=E2269:E$2)))))</f>
        <v> </v>
      </c>
      <c r="J2270" s="25" t="str">
        <f>IF(OR(E2270="",E2270="!!!",F2270="NEW"),"",COUNTBLANK(OFFSET(A$1,,,SUMPRODUCT(MAX(ROW(E$2:E2270)*(E2270=E$2:E2270)))))-COUNTBLANK(OFFSET(A$1,,,SUMPRODUCT(MAX(ROW(E$1:E2269)*(E2=E$1:E2269))))))</f>
        <v> </v>
      </c>
      <c r="K2270" s="25" t="str">
        <f>IF(OR(E2270="",E2270="!!!",F2270="NEW"),"",INDEX(J$1:J2269,SUMPRODUCT(MAX(ROW(E$1:E2269)*(E2270=E$1:E2269)))))</f>
        <v> </v>
      </c>
      <c r="L2270" s="26"/>
    </row>
    <row r="2271" spans="1:12">
      <c r="A2271" s="20" t="s">
        <v>1111</v>
      </c>
      <c r="E2271" s="21">
        <f>IF(D2271="?OLD","!!!","")</f>
        <v/>
      </c>
      <c r="F2271" s="22" t="str">
        <f>IF(OR(E2271="",E2271="!!!"),"",IF(NOT(ISNA(VLOOKUP(E2271,E$1:E2270,1,FALSE()))),"OLD",IF(AND(E2271&lt;&gt;"",E2271&lt;&gt;"!!!"),"NEW","")))</f>
        <v> </v>
      </c>
      <c r="G2271" s="23" t="str">
        <f>IF(OR(E2271="",E2271="!!!"),"",IF(OR(J2271=0,AND(J2271=1,K2271=1),AND(J2271=1,I2271="SBJ"),AND(J2271=1,I2271=0)),"?IN_FOCUS",IF(J2271&lt;=2,"?ACTIVATED",IF(J2271&lt;&gt;"","?FAMILIAR",IF(F2271="NEW",IF(ISNA(VLOOKUP(E2271,#REF!,1,FALSE())),"?TYPE_IDENTIFIABLE","?REFERENTIAL"),"_")))))</f>
        <v> </v>
      </c>
      <c r="H2271" s="24" t="str">
        <f>IF(J2271&lt;&gt;1,"",IF(I2271="SBJ","CB","?"))</f>
        <v> </v>
      </c>
      <c r="I2271" s="25" t="str">
        <f>IF(OR(E2271="",E2271="!!!",F2271="NEW"),"",INDEX(B2270:B$2,-1+SUMPRODUCT(MAX(ROW(E2270:E$2)*(E2271=E2270:E$2)))))</f>
        <v> </v>
      </c>
      <c r="J2271" s="25" t="str">
        <f>IF(OR(E2271="",E2271="!!!",F2271="NEW"),"",COUNTBLANK(OFFSET(A$1,,,SUMPRODUCT(MAX(ROW(E$2:E2271)*(E2271=E$2:E2271)))))-COUNTBLANK(OFFSET(A$1,,,SUMPRODUCT(MAX(ROW(E$1:E2270)*(E2=E$1:E2270))))))</f>
        <v> </v>
      </c>
      <c r="K2271" s="25" t="str">
        <f>IF(OR(E2271="",E2271="!!!",F2271="NEW"),"",INDEX(J$1:J2270,SUMPRODUCT(MAX(ROW(E$1:E2270)*(E2271=E$1:E2270)))))</f>
        <v> </v>
      </c>
      <c r="L2271" s="26"/>
    </row>
    <row r="2272" spans="1:12">
      <c r="A2272" s="20" t="s">
        <v>2227</v>
      </c>
      <c r="E2272" s="21">
        <f>IF(D2272="?OLD","!!!","")</f>
        <v/>
      </c>
      <c r="F2272" s="22" t="str">
        <f>IF(OR(E2272="",E2272="!!!"),"",IF(NOT(ISNA(VLOOKUP(E2272,E$1:E2271,1,FALSE()))),"OLD",IF(AND(E2272&lt;&gt;"",E2272&lt;&gt;"!!!"),"NEW","")))</f>
        <v> </v>
      </c>
      <c r="G2272" s="23" t="str">
        <f>IF(OR(E2272="",E2272="!!!"),"",IF(OR(J2272=0,AND(J2272=1,K2272=1),AND(J2272=1,I2272="SBJ"),AND(J2272=1,I2272=0)),"?IN_FOCUS",IF(J2272&lt;=2,"?ACTIVATED",IF(J2272&lt;&gt;"","?FAMILIAR",IF(F2272="NEW",IF(ISNA(VLOOKUP(E2272,#REF!,1,FALSE())),"?TYPE_IDENTIFIABLE","?REFERENTIAL"),"_")))))</f>
        <v> </v>
      </c>
      <c r="H2272" s="24" t="str">
        <f>IF(J2272&lt;&gt;1,"",IF(I2272="SBJ","CB","?"))</f>
        <v> </v>
      </c>
      <c r="I2272" s="25" t="str">
        <f>IF(OR(E2272="",E2272="!!!",F2272="NEW"),"",INDEX(B2271:B$2,-1+SUMPRODUCT(MAX(ROW(E2271:E$2)*(E2272=E2271:E$2)))))</f>
        <v> </v>
      </c>
      <c r="J2272" s="25" t="str">
        <f>IF(OR(E2272="",E2272="!!!",F2272="NEW"),"",COUNTBLANK(OFFSET(A$1,,,SUMPRODUCT(MAX(ROW(E$2:E2272)*(E2272=E$2:E2272)))))-COUNTBLANK(OFFSET(A$1,,,SUMPRODUCT(MAX(ROW(E$1:E2271)*(E2=E$1:E2271))))))</f>
        <v> </v>
      </c>
      <c r="K2272" s="25" t="str">
        <f>IF(OR(E2272="",E2272="!!!",F2272="NEW"),"",INDEX(J$1:J2271,SUMPRODUCT(MAX(ROW(E$1:E2271)*(E2272=E$1:E2271)))))</f>
        <v> </v>
      </c>
      <c r="L2272" s="26"/>
    </row>
    <row r="2273" spans="1:12">
      <c r="A2273" s="20" t="s">
        <v>1123</v>
      </c>
      <c r="E2273" s="21">
        <f>IF(D2273="?OLD","!!!","")</f>
        <v/>
      </c>
      <c r="F2273" s="22" t="str">
        <f>IF(OR(E2273="",E2273="!!!"),"",IF(NOT(ISNA(VLOOKUP(E2273,E$1:E2272,1,FALSE()))),"OLD",IF(AND(E2273&lt;&gt;"",E2273&lt;&gt;"!!!"),"NEW","")))</f>
        <v> </v>
      </c>
      <c r="G2273" s="23" t="str">
        <f>IF(OR(E2273="",E2273="!!!"),"",IF(OR(J2273=0,AND(J2273=1,K2273=1),AND(J2273=1,I2273="SBJ"),AND(J2273=1,I2273=0)),"?IN_FOCUS",IF(J2273&lt;=2,"?ACTIVATED",IF(J2273&lt;&gt;"","?FAMILIAR",IF(F2273="NEW",IF(ISNA(VLOOKUP(E2273,#REF!,1,FALSE())),"?TYPE_IDENTIFIABLE","?REFERENTIAL"),"_")))))</f>
        <v> </v>
      </c>
      <c r="H2273" s="24" t="str">
        <f>IF(J2273&lt;&gt;1,"",IF(I2273="SBJ","CB","?"))</f>
        <v> </v>
      </c>
      <c r="I2273" s="25" t="str">
        <f>IF(OR(E2273="",E2273="!!!",F2273="NEW"),"",INDEX(B2272:B$2,-1+SUMPRODUCT(MAX(ROW(E2272:E$2)*(E2273=E2272:E$2)))))</f>
        <v> </v>
      </c>
      <c r="J2273" s="25" t="str">
        <f>IF(OR(E2273="",E2273="!!!",F2273="NEW"),"",COUNTBLANK(OFFSET(A$1,,,SUMPRODUCT(MAX(ROW(E$2:E2273)*(E2273=E$2:E2273)))))-COUNTBLANK(OFFSET(A$1,,,SUMPRODUCT(MAX(ROW(E$1:E2272)*(E2=E$1:E2272))))))</f>
        <v> </v>
      </c>
      <c r="K2273" s="25" t="str">
        <f>IF(OR(E2273="",E2273="!!!",F2273="NEW"),"",INDEX(J$1:J2272,SUMPRODUCT(MAX(ROW(E$1:E2272)*(E2273=E$1:E2272)))))</f>
        <v> </v>
      </c>
      <c r="L2273" s="26"/>
    </row>
    <row r="2274" spans="1:12">
      <c r="A2274" s="20" t="s">
        <v>2228</v>
      </c>
      <c r="E2274" s="21">
        <f>IF(D2274="?OLD","!!!","")</f>
        <v/>
      </c>
      <c r="F2274" s="22" t="str">
        <f>IF(OR(E2274="",E2274="!!!"),"",IF(NOT(ISNA(VLOOKUP(E2274,E$1:E2273,1,FALSE()))),"OLD",IF(AND(E2274&lt;&gt;"",E2274&lt;&gt;"!!!"),"NEW","")))</f>
        <v> </v>
      </c>
      <c r="G2274" s="23" t="str">
        <f>IF(OR(E2274="",E2274="!!!"),"",IF(OR(J2274=0,AND(J2274=1,K2274=1),AND(J2274=1,I2274="SBJ"),AND(J2274=1,I2274=0)),"?IN_FOCUS",IF(J2274&lt;=2,"?ACTIVATED",IF(J2274&lt;&gt;"","?FAMILIAR",IF(F2274="NEW",IF(ISNA(VLOOKUP(E2274,#REF!,1,FALSE())),"?TYPE_IDENTIFIABLE","?REFERENTIAL"),"_")))))</f>
        <v> </v>
      </c>
      <c r="H2274" s="24" t="str">
        <f>IF(J2274&lt;&gt;1,"",IF(I2274="SBJ","CB","?"))</f>
        <v> </v>
      </c>
      <c r="I2274" s="25" t="str">
        <f>IF(OR(E2274="",E2274="!!!",F2274="NEW"),"",INDEX(B2273:B$2,-1+SUMPRODUCT(MAX(ROW(E2273:E$2)*(E2274=E2273:E$2)))))</f>
        <v> </v>
      </c>
      <c r="J2274" s="25" t="str">
        <f>IF(OR(E2274="",E2274="!!!",F2274="NEW"),"",COUNTBLANK(OFFSET(A$1,,,SUMPRODUCT(MAX(ROW(E$2:E2274)*(E2274=E$2:E2274)))))-COUNTBLANK(OFFSET(A$1,,,SUMPRODUCT(MAX(ROW(E$1:E2273)*(E2=E$1:E2273))))))</f>
        <v> </v>
      </c>
      <c r="K2274" s="25" t="str">
        <f>IF(OR(E2274="",E2274="!!!",F2274="NEW"),"",INDEX(J$1:J2273,SUMPRODUCT(MAX(ROW(E$1:E2273)*(E2274=E$1:E2273)))))</f>
        <v> </v>
      </c>
      <c r="L2274" s="26"/>
    </row>
    <row r="2275" spans="1:12">
      <c r="A2275" s="20" t="s">
        <v>2229</v>
      </c>
      <c r="E2275" s="21">
        <f>IF(D2275="?OLD","!!!","")</f>
        <v/>
      </c>
      <c r="F2275" s="22" t="str">
        <f>IF(OR(E2275="",E2275="!!!"),"",IF(NOT(ISNA(VLOOKUP(E2275,E$1:E2274,1,FALSE()))),"OLD",IF(AND(E2275&lt;&gt;"",E2275&lt;&gt;"!!!"),"NEW","")))</f>
        <v> </v>
      </c>
      <c r="G2275" s="23" t="str">
        <f>IF(OR(E2275="",E2275="!!!"),"",IF(OR(J2275=0,AND(J2275=1,K2275=1),AND(J2275=1,I2275="SBJ"),AND(J2275=1,I2275=0)),"?IN_FOCUS",IF(J2275&lt;=2,"?ACTIVATED",IF(J2275&lt;&gt;"","?FAMILIAR",IF(F2275="NEW",IF(ISNA(VLOOKUP(E2275,#REF!,1,FALSE())),"?TYPE_IDENTIFIABLE","?REFERENTIAL"),"_")))))</f>
        <v> </v>
      </c>
      <c r="H2275" s="24" t="str">
        <f>IF(J2275&lt;&gt;1,"",IF(I2275="SBJ","CB","?"))</f>
        <v> </v>
      </c>
      <c r="I2275" s="25" t="str">
        <f>IF(OR(E2275="",E2275="!!!",F2275="NEW"),"",INDEX(B2274:B$2,-1+SUMPRODUCT(MAX(ROW(E2274:E$2)*(E2275=E2274:E$2)))))</f>
        <v> </v>
      </c>
      <c r="J2275" s="25" t="str">
        <f>IF(OR(E2275="",E2275="!!!",F2275="NEW"),"",COUNTBLANK(OFFSET(A$1,,,SUMPRODUCT(MAX(ROW(E$2:E2275)*(E2275=E$2:E2275)))))-COUNTBLANK(OFFSET(A$1,,,SUMPRODUCT(MAX(ROW(E$1:E2274)*(E2=E$1:E2274))))))</f>
        <v> </v>
      </c>
      <c r="K2275" s="25" t="str">
        <f>IF(OR(E2275="",E2275="!!!",F2275="NEW"),"",INDEX(J$1:J2274,SUMPRODUCT(MAX(ROW(E$1:E2274)*(E2275=E$1:E2274)))))</f>
        <v> </v>
      </c>
      <c r="L2275" s="26"/>
    </row>
    <row r="2276" spans="1:12">
      <c r="A2276" s="20" t="s">
        <v>2230</v>
      </c>
      <c r="E2276" s="21">
        <f>IF(D2276="?OLD","!!!","")</f>
        <v/>
      </c>
      <c r="F2276" s="22" t="str">
        <f>IF(OR(E2276="",E2276="!!!"),"",IF(NOT(ISNA(VLOOKUP(E2276,E$1:E2275,1,FALSE()))),"OLD",IF(AND(E2276&lt;&gt;"",E2276&lt;&gt;"!!!"),"NEW","")))</f>
        <v> </v>
      </c>
      <c r="G2276" s="23" t="str">
        <f>IF(OR(E2276="",E2276="!!!"),"",IF(OR(J2276=0,AND(J2276=1,K2276=1),AND(J2276=1,I2276="SBJ"),AND(J2276=1,I2276=0)),"?IN_FOCUS",IF(J2276&lt;=2,"?ACTIVATED",IF(J2276&lt;&gt;"","?FAMILIAR",IF(F2276="NEW",IF(ISNA(VLOOKUP(E2276,#REF!,1,FALSE())),"?TYPE_IDENTIFIABLE","?REFERENTIAL"),"_")))))</f>
        <v> </v>
      </c>
      <c r="H2276" s="24" t="str">
        <f>IF(J2276&lt;&gt;1,"",IF(I2276="SBJ","CB","?"))</f>
        <v> </v>
      </c>
      <c r="I2276" s="25" t="str">
        <f>IF(OR(E2276="",E2276="!!!",F2276="NEW"),"",INDEX(B2275:B$2,-1+SUMPRODUCT(MAX(ROW(E2275:E$2)*(E2276=E2275:E$2)))))</f>
        <v> </v>
      </c>
      <c r="J2276" s="25" t="str">
        <f>IF(OR(E2276="",E2276="!!!",F2276="NEW"),"",COUNTBLANK(OFFSET(A$1,,,SUMPRODUCT(MAX(ROW(E$2:E2276)*(E2276=E$2:E2276)))))-COUNTBLANK(OFFSET(A$1,,,SUMPRODUCT(MAX(ROW(E$1:E2275)*(E2=E$1:E2275))))))</f>
        <v> </v>
      </c>
      <c r="K2276" s="25" t="str">
        <f>IF(OR(E2276="",E2276="!!!",F2276="NEW"),"",INDEX(J$1:J2275,SUMPRODUCT(MAX(ROW(E$1:E2275)*(E2276=E$1:E2275)))))</f>
        <v> </v>
      </c>
      <c r="L2276" s="26"/>
    </row>
    <row r="2277" spans="1:12">
      <c r="A2277" s="20" t="s">
        <v>1130</v>
      </c>
      <c r="E2277" s="21">
        <f>IF(D2277="?OLD","!!!","")</f>
        <v/>
      </c>
      <c r="F2277" s="22" t="str">
        <f>IF(OR(E2277="",E2277="!!!"),"",IF(NOT(ISNA(VLOOKUP(E2277,E$1:E2276,1,FALSE()))),"OLD",IF(AND(E2277&lt;&gt;"",E2277&lt;&gt;"!!!"),"NEW","")))</f>
        <v> </v>
      </c>
      <c r="G2277" s="23" t="str">
        <f>IF(OR(E2277="",E2277="!!!"),"",IF(OR(J2277=0,AND(J2277=1,K2277=1),AND(J2277=1,I2277="SBJ"),AND(J2277=1,I2277=0)),"?IN_FOCUS",IF(J2277&lt;=2,"?ACTIVATED",IF(J2277&lt;&gt;"","?FAMILIAR",IF(F2277="NEW",IF(ISNA(VLOOKUP(E2277,#REF!,1,FALSE())),"?TYPE_IDENTIFIABLE","?REFERENTIAL"),"_")))))</f>
        <v> </v>
      </c>
      <c r="H2277" s="24" t="str">
        <f>IF(J2277&lt;&gt;1,"",IF(I2277="SBJ","CB","?"))</f>
        <v> </v>
      </c>
      <c r="I2277" s="25" t="str">
        <f>IF(OR(E2277="",E2277="!!!",F2277="NEW"),"",INDEX(B2276:B$2,-1+SUMPRODUCT(MAX(ROW(E2276:E$2)*(E2277=E2276:E$2)))))</f>
        <v> </v>
      </c>
      <c r="J2277" s="25" t="str">
        <f>IF(OR(E2277="",E2277="!!!",F2277="NEW"),"",COUNTBLANK(OFFSET(A$1,,,SUMPRODUCT(MAX(ROW(E$2:E2277)*(E2277=E$2:E2277)))))-COUNTBLANK(OFFSET(A$1,,,SUMPRODUCT(MAX(ROW(E$1:E2276)*(E2=E$1:E2276))))))</f>
        <v> </v>
      </c>
      <c r="K2277" s="25" t="str">
        <f>IF(OR(E2277="",E2277="!!!",F2277="NEW"),"",INDEX(J$1:J2276,SUMPRODUCT(MAX(ROW(E$1:E2276)*(E2277=E$1:E2276)))))</f>
        <v> </v>
      </c>
      <c r="L2277" s="26"/>
    </row>
    <row r="2278" spans="1:12">
      <c r="A2278" s="20" t="s">
        <v>2231</v>
      </c>
      <c r="E2278" s="21">
        <f>IF(D2278="?OLD","!!!","")</f>
        <v/>
      </c>
      <c r="F2278" s="22" t="str">
        <f>IF(OR(E2278="",E2278="!!!"),"",IF(NOT(ISNA(VLOOKUP(E2278,E$1:E2277,1,FALSE()))),"OLD",IF(AND(E2278&lt;&gt;"",E2278&lt;&gt;"!!!"),"NEW","")))</f>
        <v> </v>
      </c>
      <c r="G2278" s="23" t="str">
        <f>IF(OR(E2278="",E2278="!!!"),"",IF(OR(J2278=0,AND(J2278=1,K2278=1),AND(J2278=1,I2278="SBJ"),AND(J2278=1,I2278=0)),"?IN_FOCUS",IF(J2278&lt;=2,"?ACTIVATED",IF(J2278&lt;&gt;"","?FAMILIAR",IF(F2278="NEW",IF(ISNA(VLOOKUP(E2278,#REF!,1,FALSE())),"?TYPE_IDENTIFIABLE","?REFERENTIAL"),"_")))))</f>
        <v> </v>
      </c>
      <c r="H2278" s="24" t="str">
        <f>IF(J2278&lt;&gt;1,"",IF(I2278="SBJ","CB","?"))</f>
        <v> </v>
      </c>
      <c r="I2278" s="25" t="str">
        <f>IF(OR(E2278="",E2278="!!!",F2278="NEW"),"",INDEX(B2277:B$2,-1+SUMPRODUCT(MAX(ROW(E2277:E$2)*(E2278=E2277:E$2)))))</f>
        <v> </v>
      </c>
      <c r="J2278" s="25" t="str">
        <f>IF(OR(E2278="",E2278="!!!",F2278="NEW"),"",COUNTBLANK(OFFSET(A$1,,,SUMPRODUCT(MAX(ROW(E$2:E2278)*(E2278=E$2:E2278)))))-COUNTBLANK(OFFSET(A$1,,,SUMPRODUCT(MAX(ROW(E$1:E2277)*(E2=E$1:E2277))))))</f>
        <v> </v>
      </c>
      <c r="K2278" s="25" t="str">
        <f>IF(OR(E2278="",E2278="!!!",F2278="NEW"),"",INDEX(J$1:J2277,SUMPRODUCT(MAX(ROW(E$1:E2277)*(E2278=E$1:E2277)))))</f>
        <v> </v>
      </c>
      <c r="L2278" s="26"/>
    </row>
    <row r="2279" spans="1:12">
      <c r="A2279" s="20" t="s">
        <v>2232</v>
      </c>
      <c r="E2279" s="21">
        <f>IF(D2279="?OLD","!!!","")</f>
        <v/>
      </c>
      <c r="F2279" s="22" t="str">
        <f>IF(OR(E2279="",E2279="!!!"),"",IF(NOT(ISNA(VLOOKUP(E2279,E$1:E2278,1,FALSE()))),"OLD",IF(AND(E2279&lt;&gt;"",E2279&lt;&gt;"!!!"),"NEW","")))</f>
        <v> </v>
      </c>
      <c r="G2279" s="23" t="str">
        <f>IF(OR(E2279="",E2279="!!!"),"",IF(OR(J2279=0,AND(J2279=1,K2279=1),AND(J2279=1,I2279="SBJ"),AND(J2279=1,I2279=0)),"?IN_FOCUS",IF(J2279&lt;=2,"?ACTIVATED",IF(J2279&lt;&gt;"","?FAMILIAR",IF(F2279="NEW",IF(ISNA(VLOOKUP(E2279,#REF!,1,FALSE())),"?TYPE_IDENTIFIABLE","?REFERENTIAL"),"_")))))</f>
        <v> </v>
      </c>
      <c r="H2279" s="24" t="str">
        <f>IF(J2279&lt;&gt;1,"",IF(I2279="SBJ","CB","?"))</f>
        <v> </v>
      </c>
      <c r="I2279" s="25" t="str">
        <f>IF(OR(E2279="",E2279="!!!",F2279="NEW"),"",INDEX(B2278:B$2,-1+SUMPRODUCT(MAX(ROW(E2278:E$2)*(E2279=E2278:E$2)))))</f>
        <v> </v>
      </c>
      <c r="J2279" s="25" t="str">
        <f>IF(OR(E2279="",E2279="!!!",F2279="NEW"),"",COUNTBLANK(OFFSET(A$1,,,SUMPRODUCT(MAX(ROW(E$2:E2279)*(E2279=E$2:E2279)))))-COUNTBLANK(OFFSET(A$1,,,SUMPRODUCT(MAX(ROW(E$1:E2278)*(E2=E$1:E2278))))))</f>
        <v> </v>
      </c>
      <c r="K2279" s="25" t="str">
        <f>IF(OR(E2279="",E2279="!!!",F2279="NEW"),"",INDEX(J$1:J2278,SUMPRODUCT(MAX(ROW(E$1:E2278)*(E2279=E$1:E2278)))))</f>
        <v> </v>
      </c>
      <c r="L2279" s="26"/>
    </row>
    <row r="2280" spans="1:12">
      <c r="A2280" s="20" t="s">
        <v>1145</v>
      </c>
      <c r="E2280" s="21">
        <f>IF(D2280="?OLD","!!!","")</f>
        <v/>
      </c>
      <c r="F2280" s="22" t="str">
        <f>IF(OR(E2280="",E2280="!!!"),"",IF(NOT(ISNA(VLOOKUP(E2280,E$1:E2279,1,FALSE()))),"OLD",IF(AND(E2280&lt;&gt;"",E2280&lt;&gt;"!!!"),"NEW","")))</f>
        <v> </v>
      </c>
      <c r="G2280" s="23" t="str">
        <f>IF(OR(E2280="",E2280="!!!"),"",IF(OR(J2280=0,AND(J2280=1,K2280=1),AND(J2280=1,I2280="SBJ"),AND(J2280=1,I2280=0)),"?IN_FOCUS",IF(J2280&lt;=2,"?ACTIVATED",IF(J2280&lt;&gt;"","?FAMILIAR",IF(F2280="NEW",IF(ISNA(VLOOKUP(E2280,#REF!,1,FALSE())),"?TYPE_IDENTIFIABLE","?REFERENTIAL"),"_")))))</f>
        <v> </v>
      </c>
      <c r="H2280" s="24" t="str">
        <f>IF(J2280&lt;&gt;1,"",IF(I2280="SBJ","CB","?"))</f>
        <v> </v>
      </c>
      <c r="I2280" s="25" t="str">
        <f>IF(OR(E2280="",E2280="!!!",F2280="NEW"),"",INDEX(B2279:B$2,-1+SUMPRODUCT(MAX(ROW(E2279:E$2)*(E2280=E2279:E$2)))))</f>
        <v> </v>
      </c>
      <c r="J2280" s="25" t="str">
        <f>IF(OR(E2280="",E2280="!!!",F2280="NEW"),"",COUNTBLANK(OFFSET(A$1,,,SUMPRODUCT(MAX(ROW(E$2:E2280)*(E2280=E$2:E2280)))))-COUNTBLANK(OFFSET(A$1,,,SUMPRODUCT(MAX(ROW(E$1:E2279)*(E2=E$1:E2279))))))</f>
        <v> </v>
      </c>
      <c r="K2280" s="25" t="str">
        <f>IF(OR(E2280="",E2280="!!!",F2280="NEW"),"",INDEX(J$1:J2279,SUMPRODUCT(MAX(ROW(E$1:E2279)*(E2280=E$1:E2279)))))</f>
        <v> </v>
      </c>
      <c r="L2280" s="26"/>
    </row>
    <row r="2281" spans="1:12">
      <c r="A2281" s="20"/>
    </row>
    <row r="2282" spans="1:12">
      <c r="A2282" s="20" t="s">
        <v>2233</v>
      </c>
    </row>
    <row r="2283" spans="1:12">
      <c r="A2283" s="20" t="s">
        <v>2234</v>
      </c>
      <c r="E2283" s="21">
        <f>IF(D2283="?OLD","!!!","")</f>
        <v/>
      </c>
      <c r="F2283" s="22" t="str">
        <f>IF(OR(E2283="",E2283="!!!"),"",IF(NOT(ISNA(VLOOKUP(E2283,E$1:E2282,1,FALSE()))),"OLD",IF(AND(E2283&lt;&gt;"",E2283&lt;&gt;"!!!"),"NEW","")))</f>
        <v> </v>
      </c>
      <c r="G2283" s="23" t="str">
        <f>IF(OR(E2283="",E2283="!!!"),"",IF(OR(J2283=0,AND(J2283=1,K2283=1),AND(J2283=1,I2283="SBJ"),AND(J2283=1,I2283=0)),"?IN_FOCUS",IF(J2283&lt;=2,"?ACTIVATED",IF(J2283&lt;&gt;"","?FAMILIAR",IF(F2283="NEW",IF(ISNA(VLOOKUP(E2283,#REF!,1,FALSE())),"?TYPE_IDENTIFIABLE","?REFERENTIAL"),"_")))))</f>
        <v> </v>
      </c>
      <c r="H2283" s="24" t="str">
        <f>IF(J2283&lt;&gt;1,"",IF(I2283="SBJ","CB","?"))</f>
        <v> </v>
      </c>
      <c r="I2283" s="25" t="str">
        <f>IF(OR(E2283="",E2283="!!!",F2283="NEW"),"",INDEX(B2282:B$2,-1+SUMPRODUCT(MAX(ROW(E2282:E$2)*(E2283=E2282:E$2)))))</f>
        <v> </v>
      </c>
      <c r="J2283" s="25" t="str">
        <f>IF(OR(E2283="",E2283="!!!",F2283="NEW"),"",COUNTBLANK(OFFSET(A$1,,,SUMPRODUCT(MAX(ROW(E$2:E2283)*(E2283=E$2:E2283)))))-COUNTBLANK(OFFSET(A$1,,,SUMPRODUCT(MAX(ROW(E$1:E2282)*(E2=E$1:E2282))))))</f>
        <v> </v>
      </c>
      <c r="K2283" s="25" t="str">
        <f>IF(OR(E2283="",E2283="!!!",F2283="NEW"),"",INDEX(J$1:J2282,SUMPRODUCT(MAX(ROW(E$1:E2282)*(E2283=E$1:E2282)))))</f>
        <v> </v>
      </c>
      <c r="L2283" s="26"/>
    </row>
    <row r="2284" spans="1:12">
      <c r="A2284" s="20" t="s">
        <v>2235</v>
      </c>
      <c r="E2284" s="21">
        <f>IF(D2284="?OLD","!!!","")</f>
        <v/>
      </c>
      <c r="F2284" s="22" t="str">
        <f>IF(OR(E2284="",E2284="!!!"),"",IF(NOT(ISNA(VLOOKUP(E2284,E$1:E2283,1,FALSE()))),"OLD",IF(AND(E2284&lt;&gt;"",E2284&lt;&gt;"!!!"),"NEW","")))</f>
        <v> </v>
      </c>
      <c r="G2284" s="23" t="str">
        <f>IF(OR(E2284="",E2284="!!!"),"",IF(OR(J2284=0,AND(J2284=1,K2284=1),AND(J2284=1,I2284="SBJ"),AND(J2284=1,I2284=0)),"?IN_FOCUS",IF(J2284&lt;=2,"?ACTIVATED",IF(J2284&lt;&gt;"","?FAMILIAR",IF(F2284="NEW",IF(ISNA(VLOOKUP(E2284,#REF!,1,FALSE())),"?TYPE_IDENTIFIABLE","?REFERENTIAL"),"_")))))</f>
        <v> </v>
      </c>
      <c r="H2284" s="24" t="str">
        <f>IF(J2284&lt;&gt;1,"",IF(I2284="SBJ","CB","?"))</f>
        <v> </v>
      </c>
      <c r="I2284" s="25" t="str">
        <f>IF(OR(E2284="",E2284="!!!",F2284="NEW"),"",INDEX(B2283:B$2,-1+SUMPRODUCT(MAX(ROW(E2283:E$2)*(E2284=E2283:E$2)))))</f>
        <v> </v>
      </c>
      <c r="J2284" s="25" t="str">
        <f>IF(OR(E2284="",E2284="!!!",F2284="NEW"),"",COUNTBLANK(OFFSET(A$1,,,SUMPRODUCT(MAX(ROW(E$2:E2284)*(E2284=E$2:E2284)))))-COUNTBLANK(OFFSET(A$1,,,SUMPRODUCT(MAX(ROW(E$1:E2283)*(E2=E$1:E2283))))))</f>
        <v> </v>
      </c>
      <c r="K2284" s="25" t="str">
        <f>IF(OR(E2284="",E2284="!!!",F2284="NEW"),"",INDEX(J$1:J2283,SUMPRODUCT(MAX(ROW(E$1:E2283)*(E2284=E$1:E2283)))))</f>
        <v> </v>
      </c>
      <c r="L2284" s="26"/>
    </row>
    <row r="2285" spans="1:12">
      <c r="A2285" s="20" t="s">
        <v>1123</v>
      </c>
      <c r="E2285" s="21">
        <f>IF(D2285="?OLD","!!!","")</f>
        <v/>
      </c>
      <c r="F2285" s="22" t="str">
        <f>IF(OR(E2285="",E2285="!!!"),"",IF(NOT(ISNA(VLOOKUP(E2285,E$1:E2284,1,FALSE()))),"OLD",IF(AND(E2285&lt;&gt;"",E2285&lt;&gt;"!!!"),"NEW","")))</f>
        <v> </v>
      </c>
      <c r="G2285" s="23" t="str">
        <f>IF(OR(E2285="",E2285="!!!"),"",IF(OR(J2285=0,AND(J2285=1,K2285=1),AND(J2285=1,I2285="SBJ"),AND(J2285=1,I2285=0)),"?IN_FOCUS",IF(J2285&lt;=2,"?ACTIVATED",IF(J2285&lt;&gt;"","?FAMILIAR",IF(F2285="NEW",IF(ISNA(VLOOKUP(E2285,#REF!,1,FALSE())),"?TYPE_IDENTIFIABLE","?REFERENTIAL"),"_")))))</f>
        <v> </v>
      </c>
      <c r="H2285" s="24" t="str">
        <f>IF(J2285&lt;&gt;1,"",IF(I2285="SBJ","CB","?"))</f>
        <v> </v>
      </c>
      <c r="I2285" s="25" t="str">
        <f>IF(OR(E2285="",E2285="!!!",F2285="NEW"),"",INDEX(B2284:B$2,-1+SUMPRODUCT(MAX(ROW(E2284:E$2)*(E2285=E2284:E$2)))))</f>
        <v> </v>
      </c>
      <c r="J2285" s="25" t="str">
        <f>IF(OR(E2285="",E2285="!!!",F2285="NEW"),"",COUNTBLANK(OFFSET(A$1,,,SUMPRODUCT(MAX(ROW(E$2:E2285)*(E2285=E$2:E2285)))))-COUNTBLANK(OFFSET(A$1,,,SUMPRODUCT(MAX(ROW(E$1:E2284)*(E2=E$1:E2284))))))</f>
        <v> </v>
      </c>
      <c r="K2285" s="25" t="str">
        <f>IF(OR(E2285="",E2285="!!!",F2285="NEW"),"",INDEX(J$1:J2284,SUMPRODUCT(MAX(ROW(E$1:E2284)*(E2285=E$1:E2284)))))</f>
        <v> </v>
      </c>
      <c r="L2285" s="26"/>
    </row>
    <row r="2286" spans="1:12">
      <c r="A2286" s="20" t="s">
        <v>1283</v>
      </c>
      <c r="E2286" s="21">
        <f>IF(D2286="?OLD","!!!","")</f>
        <v/>
      </c>
      <c r="F2286" s="22" t="str">
        <f>IF(OR(E2286="",E2286="!!!"),"",IF(NOT(ISNA(VLOOKUP(E2286,E$1:E2285,1,FALSE()))),"OLD",IF(AND(E2286&lt;&gt;"",E2286&lt;&gt;"!!!"),"NEW","")))</f>
        <v> </v>
      </c>
      <c r="G2286" s="23" t="str">
        <f>IF(OR(E2286="",E2286="!!!"),"",IF(OR(J2286=0,AND(J2286=1,K2286=1),AND(J2286=1,I2286="SBJ"),AND(J2286=1,I2286=0)),"?IN_FOCUS",IF(J2286&lt;=2,"?ACTIVATED",IF(J2286&lt;&gt;"","?FAMILIAR",IF(F2286="NEW",IF(ISNA(VLOOKUP(E2286,#REF!,1,FALSE())),"?TYPE_IDENTIFIABLE","?REFERENTIAL"),"_")))))</f>
        <v> </v>
      </c>
      <c r="H2286" s="24" t="str">
        <f>IF(J2286&lt;&gt;1,"",IF(I2286="SBJ","CB","?"))</f>
        <v> </v>
      </c>
      <c r="I2286" s="25" t="str">
        <f>IF(OR(E2286="",E2286="!!!",F2286="NEW"),"",INDEX(B2285:B$2,-1+SUMPRODUCT(MAX(ROW(E2285:E$2)*(E2286=E2285:E$2)))))</f>
        <v> </v>
      </c>
      <c r="J2286" s="25" t="str">
        <f>IF(OR(E2286="",E2286="!!!",F2286="NEW"),"",COUNTBLANK(OFFSET(A$1,,,SUMPRODUCT(MAX(ROW(E$2:E2286)*(E2286=E$2:E2286)))))-COUNTBLANK(OFFSET(A$1,,,SUMPRODUCT(MAX(ROW(E$1:E2285)*(E2=E$1:E2285))))))</f>
        <v> </v>
      </c>
      <c r="K2286" s="25" t="str">
        <f>IF(OR(E2286="",E2286="!!!",F2286="NEW"),"",INDEX(J$1:J2285,SUMPRODUCT(MAX(ROW(E$1:E2285)*(E2286=E$1:E2285)))))</f>
        <v> </v>
      </c>
      <c r="L2286" s="26"/>
    </row>
    <row r="2287" spans="1:12">
      <c r="A2287" s="20" t="s">
        <v>1249</v>
      </c>
      <c r="E2287" s="21">
        <f>IF(D2287="?OLD","!!!","")</f>
        <v/>
      </c>
      <c r="F2287" s="22" t="str">
        <f>IF(OR(E2287="",E2287="!!!"),"",IF(NOT(ISNA(VLOOKUP(E2287,E$1:E2286,1,FALSE()))),"OLD",IF(AND(E2287&lt;&gt;"",E2287&lt;&gt;"!!!"),"NEW","")))</f>
        <v> </v>
      </c>
      <c r="G2287" s="23" t="str">
        <f>IF(OR(E2287="",E2287="!!!"),"",IF(OR(J2287=0,AND(J2287=1,K2287=1),AND(J2287=1,I2287="SBJ"),AND(J2287=1,I2287=0)),"?IN_FOCUS",IF(J2287&lt;=2,"?ACTIVATED",IF(J2287&lt;&gt;"","?FAMILIAR",IF(F2287="NEW",IF(ISNA(VLOOKUP(E2287,#REF!,1,FALSE())),"?TYPE_IDENTIFIABLE","?REFERENTIAL"),"_")))))</f>
        <v> </v>
      </c>
      <c r="H2287" s="24" t="str">
        <f>IF(J2287&lt;&gt;1,"",IF(I2287="SBJ","CB","?"))</f>
        <v> </v>
      </c>
      <c r="I2287" s="25" t="str">
        <f>IF(OR(E2287="",E2287="!!!",F2287="NEW"),"",INDEX(B2286:B$2,-1+SUMPRODUCT(MAX(ROW(E2286:E$2)*(E2287=E2286:E$2)))))</f>
        <v> </v>
      </c>
      <c r="J2287" s="25" t="str">
        <f>IF(OR(E2287="",E2287="!!!",F2287="NEW"),"",COUNTBLANK(OFFSET(A$1,,,SUMPRODUCT(MAX(ROW(E$2:E2287)*(E2287=E$2:E2287)))))-COUNTBLANK(OFFSET(A$1,,,SUMPRODUCT(MAX(ROW(E$1:E2286)*(E2=E$1:E2286))))))</f>
        <v> </v>
      </c>
      <c r="K2287" s="25" t="str">
        <f>IF(OR(E2287="",E2287="!!!",F2287="NEW"),"",INDEX(J$1:J2286,SUMPRODUCT(MAX(ROW(E$1:E2286)*(E2287=E$1:E2286)))))</f>
        <v> </v>
      </c>
      <c r="L2287" s="26"/>
    </row>
    <row r="2288" spans="1:12">
      <c r="A2288" s="20" t="s">
        <v>2236</v>
      </c>
      <c r="E2288" s="21">
        <f>IF(D2288="?OLD","!!!","")</f>
        <v/>
      </c>
      <c r="F2288" s="22" t="str">
        <f>IF(OR(E2288="",E2288="!!!"),"",IF(NOT(ISNA(VLOOKUP(E2288,E$1:E2287,1,FALSE()))),"OLD",IF(AND(E2288&lt;&gt;"",E2288&lt;&gt;"!!!"),"NEW","")))</f>
        <v> </v>
      </c>
      <c r="G2288" s="23" t="str">
        <f>IF(OR(E2288="",E2288="!!!"),"",IF(OR(J2288=0,AND(J2288=1,K2288=1),AND(J2288=1,I2288="SBJ"),AND(J2288=1,I2288=0)),"?IN_FOCUS",IF(J2288&lt;=2,"?ACTIVATED",IF(J2288&lt;&gt;"","?FAMILIAR",IF(F2288="NEW",IF(ISNA(VLOOKUP(E2288,#REF!,1,FALSE())),"?TYPE_IDENTIFIABLE","?REFERENTIAL"),"_")))))</f>
        <v> </v>
      </c>
      <c r="H2288" s="24" t="str">
        <f>IF(J2288&lt;&gt;1,"",IF(I2288="SBJ","CB","?"))</f>
        <v> </v>
      </c>
      <c r="I2288" s="25" t="str">
        <f>IF(OR(E2288="",E2288="!!!",F2288="NEW"),"",INDEX(B2287:B$2,-1+SUMPRODUCT(MAX(ROW(E2287:E$2)*(E2288=E2287:E$2)))))</f>
        <v> </v>
      </c>
      <c r="J2288" s="25" t="str">
        <f>IF(OR(E2288="",E2288="!!!",F2288="NEW"),"",COUNTBLANK(OFFSET(A$1,,,SUMPRODUCT(MAX(ROW(E$2:E2288)*(E2288=E$2:E2288)))))-COUNTBLANK(OFFSET(A$1,,,SUMPRODUCT(MAX(ROW(E$1:E2287)*(E2=E$1:E2287))))))</f>
        <v> </v>
      </c>
      <c r="K2288" s="25" t="str">
        <f>IF(OR(E2288="",E2288="!!!",F2288="NEW"),"",INDEX(J$1:J2287,SUMPRODUCT(MAX(ROW(E$1:E2287)*(E2288=E$1:E2287)))))</f>
        <v> </v>
      </c>
      <c r="L2288" s="26"/>
    </row>
    <row r="2289" spans="1:12">
      <c r="A2289" s="20" t="s">
        <v>2237</v>
      </c>
      <c r="E2289" s="21">
        <f>IF(D2289="?OLD","!!!","")</f>
        <v/>
      </c>
      <c r="F2289" s="22" t="str">
        <f>IF(OR(E2289="",E2289="!!!"),"",IF(NOT(ISNA(VLOOKUP(E2289,E$1:E2288,1,FALSE()))),"OLD",IF(AND(E2289&lt;&gt;"",E2289&lt;&gt;"!!!"),"NEW","")))</f>
        <v> </v>
      </c>
      <c r="G2289" s="23" t="str">
        <f>IF(OR(E2289="",E2289="!!!"),"",IF(OR(J2289=0,AND(J2289=1,K2289=1),AND(J2289=1,I2289="SBJ"),AND(J2289=1,I2289=0)),"?IN_FOCUS",IF(J2289&lt;=2,"?ACTIVATED",IF(J2289&lt;&gt;"","?FAMILIAR",IF(F2289="NEW",IF(ISNA(VLOOKUP(E2289,#REF!,1,FALSE())),"?TYPE_IDENTIFIABLE","?REFERENTIAL"),"_")))))</f>
        <v> </v>
      </c>
      <c r="H2289" s="24" t="str">
        <f>IF(J2289&lt;&gt;1,"",IF(I2289="SBJ","CB","?"))</f>
        <v> </v>
      </c>
      <c r="I2289" s="25" t="str">
        <f>IF(OR(E2289="",E2289="!!!",F2289="NEW"),"",INDEX(B2288:B$2,-1+SUMPRODUCT(MAX(ROW(E2288:E$2)*(E2289=E2288:E$2)))))</f>
        <v> </v>
      </c>
      <c r="J2289" s="25" t="str">
        <f>IF(OR(E2289="",E2289="!!!",F2289="NEW"),"",COUNTBLANK(OFFSET(A$1,,,SUMPRODUCT(MAX(ROW(E$2:E2289)*(E2289=E$2:E2289)))))-COUNTBLANK(OFFSET(A$1,,,SUMPRODUCT(MAX(ROW(E$1:E2288)*(E2=E$1:E2288))))))</f>
        <v> </v>
      </c>
      <c r="K2289" s="25" t="str">
        <f>IF(OR(E2289="",E2289="!!!",F2289="NEW"),"",INDEX(J$1:J2288,SUMPRODUCT(MAX(ROW(E$1:E2288)*(E2289=E$1:E2288)))))</f>
        <v> </v>
      </c>
      <c r="L2289" s="26"/>
    </row>
    <row r="2290" spans="1:12">
      <c r="A2290" s="20" t="s">
        <v>1123</v>
      </c>
      <c r="E2290" s="21">
        <f>IF(D2290="?OLD","!!!","")</f>
        <v/>
      </c>
      <c r="F2290" s="22" t="str">
        <f>IF(OR(E2290="",E2290="!!!"),"",IF(NOT(ISNA(VLOOKUP(E2290,E$1:E2289,1,FALSE()))),"OLD",IF(AND(E2290&lt;&gt;"",E2290&lt;&gt;"!!!"),"NEW","")))</f>
        <v> </v>
      </c>
      <c r="G2290" s="23" t="str">
        <f>IF(OR(E2290="",E2290="!!!"),"",IF(OR(J2290=0,AND(J2290=1,K2290=1),AND(J2290=1,I2290="SBJ"),AND(J2290=1,I2290=0)),"?IN_FOCUS",IF(J2290&lt;=2,"?ACTIVATED",IF(J2290&lt;&gt;"","?FAMILIAR",IF(F2290="NEW",IF(ISNA(VLOOKUP(E2290,#REF!,1,FALSE())),"?TYPE_IDENTIFIABLE","?REFERENTIAL"),"_")))))</f>
        <v> </v>
      </c>
      <c r="H2290" s="24" t="str">
        <f>IF(J2290&lt;&gt;1,"",IF(I2290="SBJ","CB","?"))</f>
        <v> </v>
      </c>
      <c r="I2290" s="25" t="str">
        <f>IF(OR(E2290="",E2290="!!!",F2290="NEW"),"",INDEX(B2289:B$2,-1+SUMPRODUCT(MAX(ROW(E2289:E$2)*(E2290=E2289:E$2)))))</f>
        <v> </v>
      </c>
      <c r="J2290" s="25" t="str">
        <f>IF(OR(E2290="",E2290="!!!",F2290="NEW"),"",COUNTBLANK(OFFSET(A$1,,,SUMPRODUCT(MAX(ROW(E$2:E2290)*(E2290=E$2:E2290)))))-COUNTBLANK(OFFSET(A$1,,,SUMPRODUCT(MAX(ROW(E$1:E2289)*(E2=E$1:E2289))))))</f>
        <v> </v>
      </c>
      <c r="K2290" s="25" t="str">
        <f>IF(OR(E2290="",E2290="!!!",F2290="NEW"),"",INDEX(J$1:J2289,SUMPRODUCT(MAX(ROW(E$1:E2289)*(E2290=E$1:E2289)))))</f>
        <v> </v>
      </c>
      <c r="L2290" s="26"/>
    </row>
    <row r="2291" spans="1:12">
      <c r="A2291" s="20" t="s">
        <v>1186</v>
      </c>
      <c r="B2291" s="27" t="s">
        <v>1107</v>
      </c>
      <c r="C2291" s="27" t="s">
        <v>1142</v>
      </c>
      <c r="D2291" s="27" t="s">
        <v>1105</v>
      </c>
      <c r="E2291" s="21">
        <f>IF(D2291="?OLD","!!!","")</f>
        <v/>
      </c>
      <c r="F2291" s="22" t="str">
        <f>IF(OR(E2291="",E2291="!!!"),"",IF(NOT(ISNA(VLOOKUP(E2291,E$1:E2290,1,FALSE()))),"OLD",IF(AND(E2291&lt;&gt;"",E2291&lt;&gt;"!!!"),"NEW","")))</f>
        <v> </v>
      </c>
      <c r="G2291" s="23" t="str">
        <f>IF(OR(E2291="",E2291="!!!"),"",IF(OR(J2291=0,AND(J2291=1,K2291=1),AND(J2291=1,I2291="SBJ"),AND(J2291=1,I2291=0)),"?IN_FOCUS",IF(J2291&lt;=2,"?ACTIVATED",IF(J2291&lt;&gt;"","?FAMILIAR",IF(F2291="NEW",IF(ISNA(VLOOKUP(E2291,#REF!,1,FALSE())),"?TYPE_IDENTIFIABLE","?REFERENTIAL"),"_")))))</f>
        <v> </v>
      </c>
      <c r="H2291" s="24" t="str">
        <f>IF(J2291&lt;&gt;1,"",IF(I2291="SBJ","CB","?"))</f>
        <v> </v>
      </c>
      <c r="I2291" s="25" t="str">
        <f>IF(OR(E2291="",E2291="!!!",F2291="NEW"),"",INDEX(B2290:B$2,-1+SUMPRODUCT(MAX(ROW(E2290:E$2)*(E2291=E2290:E$2)))))</f>
        <v> </v>
      </c>
      <c r="J2291" s="25" t="str">
        <f>IF(OR(E2291="",E2291="!!!",F2291="NEW"),"",COUNTBLANK(OFFSET(A$1,,,SUMPRODUCT(MAX(ROW(E$2:E2291)*(E2291=E$2:E2291)))))-COUNTBLANK(OFFSET(A$1,,,SUMPRODUCT(MAX(ROW(E$1:E2290)*(E2=E$1:E2290))))))</f>
        <v> </v>
      </c>
      <c r="K2291" s="25" t="str">
        <f>IF(OR(E2291="",E2291="!!!",F2291="NEW"),"",INDEX(J$1:J2290,SUMPRODUCT(MAX(ROW(E$1:E2290)*(E2291=E$1:E2290)))))</f>
        <v> </v>
      </c>
      <c r="L2291" s="26"/>
    </row>
    <row r="2292" spans="1:12">
      <c r="A2292" s="20" t="s">
        <v>2003</v>
      </c>
      <c r="E2292" s="21">
        <f>IF(D2292="?OLD","!!!","")</f>
        <v/>
      </c>
      <c r="F2292" s="22" t="str">
        <f>IF(OR(E2292="",E2292="!!!"),"",IF(NOT(ISNA(VLOOKUP(E2292,E$1:E2291,1,FALSE()))),"OLD",IF(AND(E2292&lt;&gt;"",E2292&lt;&gt;"!!!"),"NEW","")))</f>
        <v> </v>
      </c>
      <c r="G2292" s="23" t="str">
        <f>IF(OR(E2292="",E2292="!!!"),"",IF(OR(J2292=0,AND(J2292=1,K2292=1),AND(J2292=1,I2292="SBJ"),AND(J2292=1,I2292=0)),"?IN_FOCUS",IF(J2292&lt;=2,"?ACTIVATED",IF(J2292&lt;&gt;"","?FAMILIAR",IF(F2292="NEW",IF(ISNA(VLOOKUP(E2292,#REF!,1,FALSE())),"?TYPE_IDENTIFIABLE","?REFERENTIAL"),"_")))))</f>
        <v> </v>
      </c>
      <c r="H2292" s="24" t="str">
        <f>IF(J2292&lt;&gt;1,"",IF(I2292="SBJ","CB","?"))</f>
        <v> </v>
      </c>
      <c r="I2292" s="25" t="str">
        <f>IF(OR(E2292="",E2292="!!!",F2292="NEW"),"",INDEX(B2291:B$2,-1+SUMPRODUCT(MAX(ROW(E2291:E$2)*(E2292=E2291:E$2)))))</f>
        <v> </v>
      </c>
      <c r="J2292" s="25" t="str">
        <f>IF(OR(E2292="",E2292="!!!",F2292="NEW"),"",COUNTBLANK(OFFSET(A$1,,,SUMPRODUCT(MAX(ROW(E$2:E2292)*(E2292=E$2:E2292)))))-COUNTBLANK(OFFSET(A$1,,,SUMPRODUCT(MAX(ROW(E$1:E2291)*(E2=E$1:E2291))))))</f>
        <v> </v>
      </c>
      <c r="K2292" s="25" t="str">
        <f>IF(OR(E2292="",E2292="!!!",F2292="NEW"),"",INDEX(J$1:J2291,SUMPRODUCT(MAX(ROW(E$1:E2291)*(E2292=E$1:E2291)))))</f>
        <v> </v>
      </c>
      <c r="L2292" s="26"/>
    </row>
    <row r="2293" spans="1:12">
      <c r="A2293" s="20" t="s">
        <v>2238</v>
      </c>
      <c r="B2293" s="27" t="s">
        <v>1149</v>
      </c>
      <c r="E2293" s="21">
        <f>IF(D2293="?OLD","!!!","")</f>
        <v/>
      </c>
      <c r="F2293" s="22" t="str">
        <f>IF(OR(E2293="",E2293="!!!"),"",IF(NOT(ISNA(VLOOKUP(E2293,E$1:E2292,1,FALSE()))),"OLD",IF(AND(E2293&lt;&gt;"",E2293&lt;&gt;"!!!"),"NEW","")))</f>
        <v> </v>
      </c>
      <c r="G2293" s="23" t="str">
        <f>IF(OR(E2293="",E2293="!!!"),"",IF(OR(J2293=0,AND(J2293=1,K2293=1),AND(J2293=1,I2293="SBJ"),AND(J2293=1,I2293=0)),"?IN_FOCUS",IF(J2293&lt;=2,"?ACTIVATED",IF(J2293&lt;&gt;"","?FAMILIAR",IF(F2293="NEW",IF(ISNA(VLOOKUP(E2293,#REF!,1,FALSE())),"?TYPE_IDENTIFIABLE","?REFERENTIAL"),"_")))))</f>
        <v> </v>
      </c>
      <c r="H2293" s="24" t="str">
        <f>IF(J2293&lt;&gt;1,"",IF(I2293="SBJ","CB","?"))</f>
        <v> </v>
      </c>
      <c r="I2293" s="25" t="str">
        <f>IF(OR(E2293="",E2293="!!!",F2293="NEW"),"",INDEX(B2292:B$2,-1+SUMPRODUCT(MAX(ROW(E2292:E$2)*(E2293=E2292:E$2)))))</f>
        <v> </v>
      </c>
      <c r="J2293" s="25" t="str">
        <f>IF(OR(E2293="",E2293="!!!",F2293="NEW"),"",COUNTBLANK(OFFSET(A$1,,,SUMPRODUCT(MAX(ROW(E$2:E2293)*(E2293=E$2:E2293)))))-COUNTBLANK(OFFSET(A$1,,,SUMPRODUCT(MAX(ROW(E$1:E2292)*(E2=E$1:E2292))))))</f>
        <v> </v>
      </c>
      <c r="K2293" s="25" t="str">
        <f>IF(OR(E2293="",E2293="!!!",F2293="NEW"),"",INDEX(J$1:J2292,SUMPRODUCT(MAX(ROW(E$1:E2292)*(E2293=E$1:E2292)))))</f>
        <v> </v>
      </c>
      <c r="L2293" s="26"/>
    </row>
    <row r="2294" spans="1:12">
      <c r="A2294" s="20" t="s">
        <v>1206</v>
      </c>
      <c r="E2294" s="21">
        <f>IF(D2294="?OLD","!!!","")</f>
        <v/>
      </c>
      <c r="F2294" s="22" t="str">
        <f>IF(OR(E2294="",E2294="!!!"),"",IF(NOT(ISNA(VLOOKUP(E2294,E$1:E2293,1,FALSE()))),"OLD",IF(AND(E2294&lt;&gt;"",E2294&lt;&gt;"!!!"),"NEW","")))</f>
        <v> </v>
      </c>
      <c r="G2294" s="23" t="str">
        <f>IF(OR(E2294="",E2294="!!!"),"",IF(OR(J2294=0,AND(J2294=1,K2294=1),AND(J2294=1,I2294="SBJ"),AND(J2294=1,I2294=0)),"?IN_FOCUS",IF(J2294&lt;=2,"?ACTIVATED",IF(J2294&lt;&gt;"","?FAMILIAR",IF(F2294="NEW",IF(ISNA(VLOOKUP(E2294,#REF!,1,FALSE())),"?TYPE_IDENTIFIABLE","?REFERENTIAL"),"_")))))</f>
        <v> </v>
      </c>
      <c r="H2294" s="24" t="str">
        <f>IF(J2294&lt;&gt;1,"",IF(I2294="SBJ","CB","?"))</f>
        <v> </v>
      </c>
      <c r="I2294" s="25" t="str">
        <f>IF(OR(E2294="",E2294="!!!",F2294="NEW"),"",INDEX(B2293:B$2,-1+SUMPRODUCT(MAX(ROW(E2293:E$2)*(E2294=E2293:E$2)))))</f>
        <v> </v>
      </c>
      <c r="J2294" s="25" t="str">
        <f>IF(OR(E2294="",E2294="!!!",F2294="NEW"),"",COUNTBLANK(OFFSET(A$1,,,SUMPRODUCT(MAX(ROW(E$2:E2294)*(E2294=E$2:E2294)))))-COUNTBLANK(OFFSET(A$1,,,SUMPRODUCT(MAX(ROW(E$1:E2293)*(E2=E$1:E2293))))))</f>
        <v> </v>
      </c>
      <c r="K2294" s="25" t="str">
        <f>IF(OR(E2294="",E2294="!!!",F2294="NEW"),"",INDEX(J$1:J2293,SUMPRODUCT(MAX(ROW(E$1:E2293)*(E2294=E$1:E2293)))))</f>
        <v> </v>
      </c>
      <c r="L2294" s="26"/>
    </row>
    <row r="2295" spans="1:12">
      <c r="A2295" s="20" t="s">
        <v>2009</v>
      </c>
      <c r="E2295" s="21">
        <f>IF(D2295="?OLD","!!!","")</f>
        <v/>
      </c>
      <c r="F2295" s="22" t="str">
        <f>IF(OR(E2295="",E2295="!!!"),"",IF(NOT(ISNA(VLOOKUP(E2295,E$1:E2294,1,FALSE()))),"OLD",IF(AND(E2295&lt;&gt;"",E2295&lt;&gt;"!!!"),"NEW","")))</f>
        <v> </v>
      </c>
      <c r="G2295" s="23" t="str">
        <f>IF(OR(E2295="",E2295="!!!"),"",IF(OR(J2295=0,AND(J2295=1,K2295=1),AND(J2295=1,I2295="SBJ"),AND(J2295=1,I2295=0)),"?IN_FOCUS",IF(J2295&lt;=2,"?ACTIVATED",IF(J2295&lt;&gt;"","?FAMILIAR",IF(F2295="NEW",IF(ISNA(VLOOKUP(E2295,#REF!,1,FALSE())),"?TYPE_IDENTIFIABLE","?REFERENTIAL"),"_")))))</f>
        <v> </v>
      </c>
      <c r="H2295" s="24" t="str">
        <f>IF(J2295&lt;&gt;1,"",IF(I2295="SBJ","CB","?"))</f>
        <v> </v>
      </c>
      <c r="I2295" s="25" t="str">
        <f>IF(OR(E2295="",E2295="!!!",F2295="NEW"),"",INDEX(B2294:B$2,-1+SUMPRODUCT(MAX(ROW(E2294:E$2)*(E2295=E2294:E$2)))))</f>
        <v> </v>
      </c>
      <c r="J2295" s="25" t="str">
        <f>IF(OR(E2295="",E2295="!!!",F2295="NEW"),"",COUNTBLANK(OFFSET(A$1,,,SUMPRODUCT(MAX(ROW(E$2:E2295)*(E2295=E$2:E2295)))))-COUNTBLANK(OFFSET(A$1,,,SUMPRODUCT(MAX(ROW(E$1:E2294)*(E2=E$1:E2294))))))</f>
        <v> </v>
      </c>
      <c r="K2295" s="25" t="str">
        <f>IF(OR(E2295="",E2295="!!!",F2295="NEW"),"",INDEX(J$1:J2294,SUMPRODUCT(MAX(ROW(E$1:E2294)*(E2295=E$1:E2294)))))</f>
        <v> </v>
      </c>
      <c r="L2295" s="26"/>
    </row>
    <row r="2296" spans="1:12">
      <c r="A2296" s="20" t="s">
        <v>2239</v>
      </c>
      <c r="E2296" s="21">
        <f>IF(D2296="?OLD","!!!","")</f>
        <v/>
      </c>
      <c r="F2296" s="22" t="str">
        <f>IF(OR(E2296="",E2296="!!!"),"",IF(NOT(ISNA(VLOOKUP(E2296,E$1:E2295,1,FALSE()))),"OLD",IF(AND(E2296&lt;&gt;"",E2296&lt;&gt;"!!!"),"NEW","")))</f>
        <v> </v>
      </c>
      <c r="G2296" s="23" t="str">
        <f>IF(OR(E2296="",E2296="!!!"),"",IF(OR(J2296=0,AND(J2296=1,K2296=1),AND(J2296=1,I2296="SBJ"),AND(J2296=1,I2296=0)),"?IN_FOCUS",IF(J2296&lt;=2,"?ACTIVATED",IF(J2296&lt;&gt;"","?FAMILIAR",IF(F2296="NEW",IF(ISNA(VLOOKUP(E2296,#REF!,1,FALSE())),"?TYPE_IDENTIFIABLE","?REFERENTIAL"),"_")))))</f>
        <v> </v>
      </c>
      <c r="H2296" s="24" t="str">
        <f>IF(J2296&lt;&gt;1,"",IF(I2296="SBJ","CB","?"))</f>
        <v> </v>
      </c>
      <c r="I2296" s="25" t="str">
        <f>IF(OR(E2296="",E2296="!!!",F2296="NEW"),"",INDEX(B2295:B$2,-1+SUMPRODUCT(MAX(ROW(E2295:E$2)*(E2296=E2295:E$2)))))</f>
        <v> </v>
      </c>
      <c r="J2296" s="25" t="str">
        <f>IF(OR(E2296="",E2296="!!!",F2296="NEW"),"",COUNTBLANK(OFFSET(A$1,,,SUMPRODUCT(MAX(ROW(E$2:E2296)*(E2296=E$2:E2296)))))-COUNTBLANK(OFFSET(A$1,,,SUMPRODUCT(MAX(ROW(E$1:E2295)*(E2=E$1:E2295))))))</f>
        <v> </v>
      </c>
      <c r="K2296" s="25" t="str">
        <f>IF(OR(E2296="",E2296="!!!",F2296="NEW"),"",INDEX(J$1:J2295,SUMPRODUCT(MAX(ROW(E$1:E2295)*(E2296=E$1:E2295)))))</f>
        <v> </v>
      </c>
      <c r="L2296" s="26"/>
    </row>
    <row r="2297" spans="1:12">
      <c r="A2297" s="20" t="s">
        <v>2240</v>
      </c>
      <c r="E2297" s="21">
        <f>IF(D2297="?OLD","!!!","")</f>
        <v/>
      </c>
      <c r="F2297" s="22" t="str">
        <f>IF(OR(E2297="",E2297="!!!"),"",IF(NOT(ISNA(VLOOKUP(E2297,E$1:E2296,1,FALSE()))),"OLD",IF(AND(E2297&lt;&gt;"",E2297&lt;&gt;"!!!"),"NEW","")))</f>
        <v> </v>
      </c>
      <c r="G2297" s="23" t="str">
        <f>IF(OR(E2297="",E2297="!!!"),"",IF(OR(J2297=0,AND(J2297=1,K2297=1),AND(J2297=1,I2297="SBJ"),AND(J2297=1,I2297=0)),"?IN_FOCUS",IF(J2297&lt;=2,"?ACTIVATED",IF(J2297&lt;&gt;"","?FAMILIAR",IF(F2297="NEW",IF(ISNA(VLOOKUP(E2297,#REF!,1,FALSE())),"?TYPE_IDENTIFIABLE","?REFERENTIAL"),"_")))))</f>
        <v> </v>
      </c>
      <c r="H2297" s="24" t="str">
        <f>IF(J2297&lt;&gt;1,"",IF(I2297="SBJ","CB","?"))</f>
        <v> </v>
      </c>
      <c r="I2297" s="25" t="str">
        <f>IF(OR(E2297="",E2297="!!!",F2297="NEW"),"",INDEX(B2296:B$2,-1+SUMPRODUCT(MAX(ROW(E2296:E$2)*(E2297=E2296:E$2)))))</f>
        <v> </v>
      </c>
      <c r="J2297" s="25" t="str">
        <f>IF(OR(E2297="",E2297="!!!",F2297="NEW"),"",COUNTBLANK(OFFSET(A$1,,,SUMPRODUCT(MAX(ROW(E$2:E2297)*(E2297=E$2:E2297)))))-COUNTBLANK(OFFSET(A$1,,,SUMPRODUCT(MAX(ROW(E$1:E2296)*(E2=E$1:E2296))))))</f>
        <v> </v>
      </c>
      <c r="K2297" s="25" t="str">
        <f>IF(OR(E2297="",E2297="!!!",F2297="NEW"),"",INDEX(J$1:J2296,SUMPRODUCT(MAX(ROW(E$1:E2296)*(E2297=E$1:E2296)))))</f>
        <v> </v>
      </c>
      <c r="L2297" s="26"/>
    </row>
    <row r="2298" spans="1:12">
      <c r="A2298" s="20" t="s">
        <v>2241</v>
      </c>
      <c r="E2298" s="21">
        <f>IF(D2298="?OLD","!!!","")</f>
        <v/>
      </c>
      <c r="F2298" s="22" t="str">
        <f>IF(OR(E2298="",E2298="!!!"),"",IF(NOT(ISNA(VLOOKUP(E2298,E$1:E2297,1,FALSE()))),"OLD",IF(AND(E2298&lt;&gt;"",E2298&lt;&gt;"!!!"),"NEW","")))</f>
        <v> </v>
      </c>
      <c r="G2298" s="23" t="str">
        <f>IF(OR(E2298="",E2298="!!!"),"",IF(OR(J2298=0,AND(J2298=1,K2298=1),AND(J2298=1,I2298="SBJ"),AND(J2298=1,I2298=0)),"?IN_FOCUS",IF(J2298&lt;=2,"?ACTIVATED",IF(J2298&lt;&gt;"","?FAMILIAR",IF(F2298="NEW",IF(ISNA(VLOOKUP(E2298,#REF!,1,FALSE())),"?TYPE_IDENTIFIABLE","?REFERENTIAL"),"_")))))</f>
        <v> </v>
      </c>
      <c r="H2298" s="24" t="str">
        <f>IF(J2298&lt;&gt;1,"",IF(I2298="SBJ","CB","?"))</f>
        <v> </v>
      </c>
      <c r="I2298" s="25" t="str">
        <f>IF(OR(E2298="",E2298="!!!",F2298="NEW"),"",INDEX(B2297:B$2,-1+SUMPRODUCT(MAX(ROW(E2297:E$2)*(E2298=E2297:E$2)))))</f>
        <v> </v>
      </c>
      <c r="J2298" s="25" t="str">
        <f>IF(OR(E2298="",E2298="!!!",F2298="NEW"),"",COUNTBLANK(OFFSET(A$1,,,SUMPRODUCT(MAX(ROW(E$2:E2298)*(E2298=E$2:E2298)))))-COUNTBLANK(OFFSET(A$1,,,SUMPRODUCT(MAX(ROW(E$1:E2297)*(E2=E$1:E2297))))))</f>
        <v> </v>
      </c>
      <c r="K2298" s="25" t="str">
        <f>IF(OR(E2298="",E2298="!!!",F2298="NEW"),"",INDEX(J$1:J2297,SUMPRODUCT(MAX(ROW(E$1:E2297)*(E2298=E$1:E2297)))))</f>
        <v> </v>
      </c>
      <c r="L2298" s="26"/>
    </row>
    <row r="2299" spans="1:12">
      <c r="A2299" s="20" t="s">
        <v>1123</v>
      </c>
      <c r="E2299" s="21">
        <f>IF(D2299="?OLD","!!!","")</f>
        <v/>
      </c>
      <c r="F2299" s="22" t="str">
        <f>IF(OR(E2299="",E2299="!!!"),"",IF(NOT(ISNA(VLOOKUP(E2299,E$1:E2298,1,FALSE()))),"OLD",IF(AND(E2299&lt;&gt;"",E2299&lt;&gt;"!!!"),"NEW","")))</f>
        <v> </v>
      </c>
      <c r="G2299" s="23" t="str">
        <f>IF(OR(E2299="",E2299="!!!"),"",IF(OR(J2299=0,AND(J2299=1,K2299=1),AND(J2299=1,I2299="SBJ"),AND(J2299=1,I2299=0)),"?IN_FOCUS",IF(J2299&lt;=2,"?ACTIVATED",IF(J2299&lt;&gt;"","?FAMILIAR",IF(F2299="NEW",IF(ISNA(VLOOKUP(E2299,#REF!,1,FALSE())),"?TYPE_IDENTIFIABLE","?REFERENTIAL"),"_")))))</f>
        <v> </v>
      </c>
      <c r="H2299" s="24" t="str">
        <f>IF(J2299&lt;&gt;1,"",IF(I2299="SBJ","CB","?"))</f>
        <v> </v>
      </c>
      <c r="I2299" s="25" t="str">
        <f>IF(OR(E2299="",E2299="!!!",F2299="NEW"),"",INDEX(B2298:B$2,-1+SUMPRODUCT(MAX(ROW(E2298:E$2)*(E2299=E2298:E$2)))))</f>
        <v> </v>
      </c>
      <c r="J2299" s="25" t="str">
        <f>IF(OR(E2299="",E2299="!!!",F2299="NEW"),"",COUNTBLANK(OFFSET(A$1,,,SUMPRODUCT(MAX(ROW(E$2:E2299)*(E2299=E$2:E2299)))))-COUNTBLANK(OFFSET(A$1,,,SUMPRODUCT(MAX(ROW(E$1:E2298)*(E2=E$1:E2298))))))</f>
        <v> </v>
      </c>
      <c r="K2299" s="25" t="str">
        <f>IF(OR(E2299="",E2299="!!!",F2299="NEW"),"",INDEX(J$1:J2298,SUMPRODUCT(MAX(ROW(E$1:E2298)*(E2299=E$1:E2298)))))</f>
        <v> </v>
      </c>
      <c r="L2299" s="26"/>
    </row>
    <row r="2300" spans="1:12">
      <c r="A2300" s="20" t="s">
        <v>2242</v>
      </c>
      <c r="E2300" s="21">
        <f>IF(D2300="?OLD","!!!","")</f>
        <v/>
      </c>
      <c r="F2300" s="22" t="str">
        <f>IF(OR(E2300="",E2300="!!!"),"",IF(NOT(ISNA(VLOOKUP(E2300,E$1:E2299,1,FALSE()))),"OLD",IF(AND(E2300&lt;&gt;"",E2300&lt;&gt;"!!!"),"NEW","")))</f>
        <v> </v>
      </c>
      <c r="G2300" s="23" t="str">
        <f>IF(OR(E2300="",E2300="!!!"),"",IF(OR(J2300=0,AND(J2300=1,K2300=1),AND(J2300=1,I2300="SBJ"),AND(J2300=1,I2300=0)),"?IN_FOCUS",IF(J2300&lt;=2,"?ACTIVATED",IF(J2300&lt;&gt;"","?FAMILIAR",IF(F2300="NEW",IF(ISNA(VLOOKUP(E2300,#REF!,1,FALSE())),"?TYPE_IDENTIFIABLE","?REFERENTIAL"),"_")))))</f>
        <v> </v>
      </c>
      <c r="H2300" s="24" t="str">
        <f>IF(J2300&lt;&gt;1,"",IF(I2300="SBJ","CB","?"))</f>
        <v> </v>
      </c>
      <c r="I2300" s="25" t="str">
        <f>IF(OR(E2300="",E2300="!!!",F2300="NEW"),"",INDEX(B2299:B$2,-1+SUMPRODUCT(MAX(ROW(E2299:E$2)*(E2300=E2299:E$2)))))</f>
        <v> </v>
      </c>
      <c r="J2300" s="25" t="str">
        <f>IF(OR(E2300="",E2300="!!!",F2300="NEW"),"",COUNTBLANK(OFFSET(A$1,,,SUMPRODUCT(MAX(ROW(E$2:E2300)*(E2300=E$2:E2300)))))-COUNTBLANK(OFFSET(A$1,,,SUMPRODUCT(MAX(ROW(E$1:E2299)*(E2=E$1:E2299))))))</f>
        <v> </v>
      </c>
      <c r="K2300" s="25" t="str">
        <f>IF(OR(E2300="",E2300="!!!",F2300="NEW"),"",INDEX(J$1:J2299,SUMPRODUCT(MAX(ROW(E$1:E2299)*(E2300=E$1:E2299)))))</f>
        <v> </v>
      </c>
      <c r="L2300" s="26"/>
    </row>
    <row r="2301" spans="1:12">
      <c r="A2301" s="20" t="s">
        <v>2243</v>
      </c>
      <c r="E2301" s="21">
        <f>IF(D2301="?OLD","!!!","")</f>
        <v/>
      </c>
      <c r="F2301" s="22" t="str">
        <f>IF(OR(E2301="",E2301="!!!"),"",IF(NOT(ISNA(VLOOKUP(E2301,E$1:E2300,1,FALSE()))),"OLD",IF(AND(E2301&lt;&gt;"",E2301&lt;&gt;"!!!"),"NEW","")))</f>
        <v> </v>
      </c>
      <c r="G2301" s="23" t="str">
        <f>IF(OR(E2301="",E2301="!!!"),"",IF(OR(J2301=0,AND(J2301=1,K2301=1),AND(J2301=1,I2301="SBJ"),AND(J2301=1,I2301=0)),"?IN_FOCUS",IF(J2301&lt;=2,"?ACTIVATED",IF(J2301&lt;&gt;"","?FAMILIAR",IF(F2301="NEW",IF(ISNA(VLOOKUP(E2301,#REF!,1,FALSE())),"?TYPE_IDENTIFIABLE","?REFERENTIAL"),"_")))))</f>
        <v> </v>
      </c>
      <c r="H2301" s="24" t="str">
        <f>IF(J2301&lt;&gt;1,"",IF(I2301="SBJ","CB","?"))</f>
        <v> </v>
      </c>
      <c r="I2301" s="25" t="str">
        <f>IF(OR(E2301="",E2301="!!!",F2301="NEW"),"",INDEX(B2300:B$2,-1+SUMPRODUCT(MAX(ROW(E2300:E$2)*(E2301=E2300:E$2)))))</f>
        <v> </v>
      </c>
      <c r="J2301" s="25" t="str">
        <f>IF(OR(E2301="",E2301="!!!",F2301="NEW"),"",COUNTBLANK(OFFSET(A$1,,,SUMPRODUCT(MAX(ROW(E$2:E2301)*(E2301=E$2:E2301)))))-COUNTBLANK(OFFSET(A$1,,,SUMPRODUCT(MAX(ROW(E$1:E2300)*(E2=E$1:E2300))))))</f>
        <v> </v>
      </c>
      <c r="K2301" s="25" t="str">
        <f>IF(OR(E2301="",E2301="!!!",F2301="NEW"),"",INDEX(J$1:J2300,SUMPRODUCT(MAX(ROW(E$1:E2300)*(E2301=E$1:E2300)))))</f>
        <v> </v>
      </c>
      <c r="L2301" s="26"/>
    </row>
    <row r="2302" spans="1:12">
      <c r="A2302" s="20" t="s">
        <v>2244</v>
      </c>
      <c r="E2302" s="21">
        <f>IF(D2302="?OLD","!!!","")</f>
        <v/>
      </c>
      <c r="F2302" s="22" t="str">
        <f>IF(OR(E2302="",E2302="!!!"),"",IF(NOT(ISNA(VLOOKUP(E2302,E$1:E2301,1,FALSE()))),"OLD",IF(AND(E2302&lt;&gt;"",E2302&lt;&gt;"!!!"),"NEW","")))</f>
        <v> </v>
      </c>
      <c r="G2302" s="23" t="str">
        <f>IF(OR(E2302="",E2302="!!!"),"",IF(OR(J2302=0,AND(J2302=1,K2302=1),AND(J2302=1,I2302="SBJ"),AND(J2302=1,I2302=0)),"?IN_FOCUS",IF(J2302&lt;=2,"?ACTIVATED",IF(J2302&lt;&gt;"","?FAMILIAR",IF(F2302="NEW",IF(ISNA(VLOOKUP(E2302,#REF!,1,FALSE())),"?TYPE_IDENTIFIABLE","?REFERENTIAL"),"_")))))</f>
        <v> </v>
      </c>
      <c r="H2302" s="24" t="str">
        <f>IF(J2302&lt;&gt;1,"",IF(I2302="SBJ","CB","?"))</f>
        <v> </v>
      </c>
      <c r="I2302" s="25" t="str">
        <f>IF(OR(E2302="",E2302="!!!",F2302="NEW"),"",INDEX(B2301:B$2,-1+SUMPRODUCT(MAX(ROW(E2301:E$2)*(E2302=E2301:E$2)))))</f>
        <v> </v>
      </c>
      <c r="J2302" s="25" t="str">
        <f>IF(OR(E2302="",E2302="!!!",F2302="NEW"),"",COUNTBLANK(OFFSET(A$1,,,SUMPRODUCT(MAX(ROW(E$2:E2302)*(E2302=E$2:E2302)))))-COUNTBLANK(OFFSET(A$1,,,SUMPRODUCT(MAX(ROW(E$1:E2301)*(E2=E$1:E2301))))))</f>
        <v> </v>
      </c>
      <c r="K2302" s="25" t="str">
        <f>IF(OR(E2302="",E2302="!!!",F2302="NEW"),"",INDEX(J$1:J2301,SUMPRODUCT(MAX(ROW(E$1:E2301)*(E2302=E$1:E2301)))))</f>
        <v> </v>
      </c>
      <c r="L2302" s="26"/>
    </row>
    <row r="2303" spans="1:12">
      <c r="A2303" s="20" t="s">
        <v>2019</v>
      </c>
      <c r="B2303" s="27" t="s">
        <v>1122</v>
      </c>
      <c r="E2303" s="21">
        <f>IF(D2303="?OLD","!!!","")</f>
        <v/>
      </c>
      <c r="F2303" s="22" t="str">
        <f>IF(OR(E2303="",E2303="!!!"),"",IF(NOT(ISNA(VLOOKUP(E2303,E$1:E2302,1,FALSE()))),"OLD",IF(AND(E2303&lt;&gt;"",E2303&lt;&gt;"!!!"),"NEW","")))</f>
        <v> </v>
      </c>
      <c r="G2303" s="23" t="str">
        <f>IF(OR(E2303="",E2303="!!!"),"",IF(OR(J2303=0,AND(J2303=1,K2303=1),AND(J2303=1,I2303="SBJ"),AND(J2303=1,I2303=0)),"?IN_FOCUS",IF(J2303&lt;=2,"?ACTIVATED",IF(J2303&lt;&gt;"","?FAMILIAR",IF(F2303="NEW",IF(ISNA(VLOOKUP(E2303,#REF!,1,FALSE())),"?TYPE_IDENTIFIABLE","?REFERENTIAL"),"_")))))</f>
        <v> </v>
      </c>
      <c r="H2303" s="24" t="str">
        <f>IF(J2303&lt;&gt;1,"",IF(I2303="SBJ","CB","?"))</f>
        <v> </v>
      </c>
      <c r="I2303" s="25" t="str">
        <f>IF(OR(E2303="",E2303="!!!",F2303="NEW"),"",INDEX(B2302:B$2,-1+SUMPRODUCT(MAX(ROW(E2302:E$2)*(E2303=E2302:E$2)))))</f>
        <v> </v>
      </c>
      <c r="J2303" s="25" t="str">
        <f>IF(OR(E2303="",E2303="!!!",F2303="NEW"),"",COUNTBLANK(OFFSET(A$1,,,SUMPRODUCT(MAX(ROW(E$2:E2303)*(E2303=E$2:E2303)))))-COUNTBLANK(OFFSET(A$1,,,SUMPRODUCT(MAX(ROW(E$1:E2302)*(E2=E$1:E2302))))))</f>
        <v> </v>
      </c>
      <c r="K2303" s="25" t="str">
        <f>IF(OR(E2303="",E2303="!!!",F2303="NEW"),"",INDEX(J$1:J2302,SUMPRODUCT(MAX(ROW(E$1:E2302)*(E2303=E$1:E2302)))))</f>
        <v> </v>
      </c>
      <c r="L2303" s="26"/>
    </row>
    <row r="2304" spans="1:12">
      <c r="A2304" s="20" t="s">
        <v>1218</v>
      </c>
      <c r="E2304" s="21">
        <f>IF(D2304="?OLD","!!!","")</f>
        <v/>
      </c>
      <c r="F2304" s="22" t="str">
        <f>IF(OR(E2304="",E2304="!!!"),"",IF(NOT(ISNA(VLOOKUP(E2304,E$1:E2303,1,FALSE()))),"OLD",IF(AND(E2304&lt;&gt;"",E2304&lt;&gt;"!!!"),"NEW","")))</f>
        <v> </v>
      </c>
      <c r="G2304" s="23" t="str">
        <f>IF(OR(E2304="",E2304="!!!"),"",IF(OR(J2304=0,AND(J2304=1,K2304=1),AND(J2304=1,I2304="SBJ"),AND(J2304=1,I2304=0)),"?IN_FOCUS",IF(J2304&lt;=2,"?ACTIVATED",IF(J2304&lt;&gt;"","?FAMILIAR",IF(F2304="NEW",IF(ISNA(VLOOKUP(E2304,#REF!,1,FALSE())),"?TYPE_IDENTIFIABLE","?REFERENTIAL"),"_")))))</f>
        <v> </v>
      </c>
      <c r="H2304" s="24" t="str">
        <f>IF(J2304&lt;&gt;1,"",IF(I2304="SBJ","CB","?"))</f>
        <v> </v>
      </c>
      <c r="I2304" s="25" t="str">
        <f>IF(OR(E2304="",E2304="!!!",F2304="NEW"),"",INDEX(B2303:B$2,-1+SUMPRODUCT(MAX(ROW(E2303:E$2)*(E2304=E2303:E$2)))))</f>
        <v> </v>
      </c>
      <c r="J2304" s="25" t="str">
        <f>IF(OR(E2304="",E2304="!!!",F2304="NEW"),"",COUNTBLANK(OFFSET(A$1,,,SUMPRODUCT(MAX(ROW(E$2:E2304)*(E2304=E$2:E2304)))))-COUNTBLANK(OFFSET(A$1,,,SUMPRODUCT(MAX(ROW(E$1:E2303)*(E2=E$1:E2303))))))</f>
        <v> </v>
      </c>
      <c r="K2304" s="25" t="str">
        <f>IF(OR(E2304="",E2304="!!!",F2304="NEW"),"",INDEX(J$1:J2303,SUMPRODUCT(MAX(ROW(E$1:E2303)*(E2304=E$1:E2303)))))</f>
        <v> </v>
      </c>
      <c r="L2304" s="26"/>
    </row>
    <row r="2305" spans="1:12">
      <c r="A2305" s="20" t="s">
        <v>2245</v>
      </c>
      <c r="E2305" s="21">
        <f>IF(D2305="?OLD","!!!","")</f>
        <v/>
      </c>
      <c r="F2305" s="22" t="str">
        <f>IF(OR(E2305="",E2305="!!!"),"",IF(NOT(ISNA(VLOOKUP(E2305,E$1:E2304,1,FALSE()))),"OLD",IF(AND(E2305&lt;&gt;"",E2305&lt;&gt;"!!!"),"NEW","")))</f>
        <v> </v>
      </c>
      <c r="G2305" s="23" t="str">
        <f>IF(OR(E2305="",E2305="!!!"),"",IF(OR(J2305=0,AND(J2305=1,K2305=1),AND(J2305=1,I2305="SBJ"),AND(J2305=1,I2305=0)),"?IN_FOCUS",IF(J2305&lt;=2,"?ACTIVATED",IF(J2305&lt;&gt;"","?FAMILIAR",IF(F2305="NEW",IF(ISNA(VLOOKUP(E2305,#REF!,1,FALSE())),"?TYPE_IDENTIFIABLE","?REFERENTIAL"),"_")))))</f>
        <v> </v>
      </c>
      <c r="H2305" s="24" t="str">
        <f>IF(J2305&lt;&gt;1,"",IF(I2305="SBJ","CB","?"))</f>
        <v> </v>
      </c>
      <c r="I2305" s="25" t="str">
        <f>IF(OR(E2305="",E2305="!!!",F2305="NEW"),"",INDEX(B2304:B$2,-1+SUMPRODUCT(MAX(ROW(E2304:E$2)*(E2305=E2304:E$2)))))</f>
        <v> </v>
      </c>
      <c r="J2305" s="25" t="str">
        <f>IF(OR(E2305="",E2305="!!!",F2305="NEW"),"",COUNTBLANK(OFFSET(A$1,,,SUMPRODUCT(MAX(ROW(E$2:E2305)*(E2305=E$2:E2305)))))-COUNTBLANK(OFFSET(A$1,,,SUMPRODUCT(MAX(ROW(E$1:E2304)*(E2=E$1:E2304))))))</f>
        <v> </v>
      </c>
      <c r="K2305" s="25" t="str">
        <f>IF(OR(E2305="",E2305="!!!",F2305="NEW"),"",INDEX(J$1:J2304,SUMPRODUCT(MAX(ROW(E$1:E2304)*(E2305=E$1:E2304)))))</f>
        <v> </v>
      </c>
      <c r="L2305" s="26"/>
    </row>
    <row r="2306" spans="1:12">
      <c r="A2306" s="20" t="s">
        <v>2246</v>
      </c>
      <c r="E2306" s="21">
        <f>IF(D2306="?OLD","!!!","")</f>
        <v/>
      </c>
      <c r="F2306" s="22" t="str">
        <f>IF(OR(E2306="",E2306="!!!"),"",IF(NOT(ISNA(VLOOKUP(E2306,E$1:E2305,1,FALSE()))),"OLD",IF(AND(E2306&lt;&gt;"",E2306&lt;&gt;"!!!"),"NEW","")))</f>
        <v> </v>
      </c>
      <c r="G2306" s="23" t="str">
        <f>IF(OR(E2306="",E2306="!!!"),"",IF(OR(J2306=0,AND(J2306=1,K2306=1),AND(J2306=1,I2306="SBJ"),AND(J2306=1,I2306=0)),"?IN_FOCUS",IF(J2306&lt;=2,"?ACTIVATED",IF(J2306&lt;&gt;"","?FAMILIAR",IF(F2306="NEW",IF(ISNA(VLOOKUP(E2306,#REF!,1,FALSE())),"?TYPE_IDENTIFIABLE","?REFERENTIAL"),"_")))))</f>
        <v> </v>
      </c>
      <c r="H2306" s="24" t="str">
        <f>IF(J2306&lt;&gt;1,"",IF(I2306="SBJ","CB","?"))</f>
        <v> </v>
      </c>
      <c r="I2306" s="25" t="str">
        <f>IF(OR(E2306="",E2306="!!!",F2306="NEW"),"",INDEX(B2305:B$2,-1+SUMPRODUCT(MAX(ROW(E2305:E$2)*(E2306=E2305:E$2)))))</f>
        <v> </v>
      </c>
      <c r="J2306" s="25" t="str">
        <f>IF(OR(E2306="",E2306="!!!",F2306="NEW"),"",COUNTBLANK(OFFSET(A$1,,,SUMPRODUCT(MAX(ROW(E$2:E2306)*(E2306=E$2:E2306)))))-COUNTBLANK(OFFSET(A$1,,,SUMPRODUCT(MAX(ROW(E$1:E2305)*(E2=E$1:E2305))))))</f>
        <v> </v>
      </c>
      <c r="K2306" s="25" t="str">
        <f>IF(OR(E2306="",E2306="!!!",F2306="NEW"),"",INDEX(J$1:J2305,SUMPRODUCT(MAX(ROW(E$1:E2305)*(E2306=E$1:E2305)))))</f>
        <v> </v>
      </c>
      <c r="L2306" s="26"/>
    </row>
    <row r="2307" spans="1:12">
      <c r="A2307" s="20" t="s">
        <v>2247</v>
      </c>
      <c r="E2307" s="21">
        <f>IF(D2307="?OLD","!!!","")</f>
        <v/>
      </c>
      <c r="F2307" s="22" t="str">
        <f>IF(OR(E2307="",E2307="!!!"),"",IF(NOT(ISNA(VLOOKUP(E2307,E$1:E2306,1,FALSE()))),"OLD",IF(AND(E2307&lt;&gt;"",E2307&lt;&gt;"!!!"),"NEW","")))</f>
        <v> </v>
      </c>
      <c r="G2307" s="23" t="str">
        <f>IF(OR(E2307="",E2307="!!!"),"",IF(OR(J2307=0,AND(J2307=1,K2307=1),AND(J2307=1,I2307="SBJ"),AND(J2307=1,I2307=0)),"?IN_FOCUS",IF(J2307&lt;=2,"?ACTIVATED",IF(J2307&lt;&gt;"","?FAMILIAR",IF(F2307="NEW",IF(ISNA(VLOOKUP(E2307,#REF!,1,FALSE())),"?TYPE_IDENTIFIABLE","?REFERENTIAL"),"_")))))</f>
        <v> </v>
      </c>
      <c r="H2307" s="24" t="str">
        <f>IF(J2307&lt;&gt;1,"",IF(I2307="SBJ","CB","?"))</f>
        <v> </v>
      </c>
      <c r="I2307" s="25" t="str">
        <f>IF(OR(E2307="",E2307="!!!",F2307="NEW"),"",INDEX(B2306:B$2,-1+SUMPRODUCT(MAX(ROW(E2306:E$2)*(E2307=E2306:E$2)))))</f>
        <v> </v>
      </c>
      <c r="J2307" s="25" t="str">
        <f>IF(OR(E2307="",E2307="!!!",F2307="NEW"),"",COUNTBLANK(OFFSET(A$1,,,SUMPRODUCT(MAX(ROW(E$2:E2307)*(E2307=E$2:E2307)))))-COUNTBLANK(OFFSET(A$1,,,SUMPRODUCT(MAX(ROW(E$1:E2306)*(E2=E$1:E2306))))))</f>
        <v> </v>
      </c>
      <c r="K2307" s="25" t="str">
        <f>IF(OR(E2307="",E2307="!!!",F2307="NEW"),"",INDEX(J$1:J2306,SUMPRODUCT(MAX(ROW(E$1:E2306)*(E2307=E$1:E2306)))))</f>
        <v> </v>
      </c>
      <c r="L2307" s="26"/>
    </row>
    <row r="2308" spans="1:12">
      <c r="A2308" s="20" t="s">
        <v>1145</v>
      </c>
      <c r="E2308" s="21">
        <f>IF(D2308="?OLD","!!!","")</f>
        <v/>
      </c>
      <c r="F2308" s="22" t="str">
        <f>IF(OR(E2308="",E2308="!!!"),"",IF(NOT(ISNA(VLOOKUP(E2308,E$1:E2307,1,FALSE()))),"OLD",IF(AND(E2308&lt;&gt;"",E2308&lt;&gt;"!!!"),"NEW","")))</f>
        <v> </v>
      </c>
      <c r="G2308" s="23" t="str">
        <f>IF(OR(E2308="",E2308="!!!"),"",IF(OR(J2308=0,AND(J2308=1,K2308=1),AND(J2308=1,I2308="SBJ"),AND(J2308=1,I2308=0)),"?IN_FOCUS",IF(J2308&lt;=2,"?ACTIVATED",IF(J2308&lt;&gt;"","?FAMILIAR",IF(F2308="NEW",IF(ISNA(VLOOKUP(E2308,#REF!,1,FALSE())),"?TYPE_IDENTIFIABLE","?REFERENTIAL"),"_")))))</f>
        <v> </v>
      </c>
      <c r="H2308" s="24" t="str">
        <f>IF(J2308&lt;&gt;1,"",IF(I2308="SBJ","CB","?"))</f>
        <v> </v>
      </c>
      <c r="I2308" s="25" t="str">
        <f>IF(OR(E2308="",E2308="!!!",F2308="NEW"),"",INDEX(B2307:B$2,-1+SUMPRODUCT(MAX(ROW(E2307:E$2)*(E2308=E2307:E$2)))))</f>
        <v> </v>
      </c>
      <c r="J2308" s="25" t="str">
        <f>IF(OR(E2308="",E2308="!!!",F2308="NEW"),"",COUNTBLANK(OFFSET(A$1,,,SUMPRODUCT(MAX(ROW(E$2:E2308)*(E2308=E$2:E2308)))))-COUNTBLANK(OFFSET(A$1,,,SUMPRODUCT(MAX(ROW(E$1:E2307)*(E2=E$1:E2307))))))</f>
        <v> </v>
      </c>
      <c r="K2308" s="25" t="str">
        <f>IF(OR(E2308="",E2308="!!!",F2308="NEW"),"",INDEX(J$1:J2307,SUMPRODUCT(MAX(ROW(E$1:E2307)*(E2308=E$1:E2307)))))</f>
        <v> </v>
      </c>
      <c r="L2308" s="26"/>
    </row>
    <row r="2309" spans="1:12">
      <c r="A2309" s="20"/>
    </row>
    <row r="2310" spans="1:12">
      <c r="A2310" s="20" t="s">
        <v>2248</v>
      </c>
    </row>
    <row r="2311" spans="1:12">
      <c r="A2311" s="20" t="s">
        <v>1191</v>
      </c>
      <c r="B2311" s="27" t="s">
        <v>1149</v>
      </c>
      <c r="C2311" s="27" t="s">
        <v>1126</v>
      </c>
      <c r="D2311" s="27" t="s">
        <v>1105</v>
      </c>
      <c r="E2311" s="21">
        <f>IF(D2311="?OLD","!!!","")</f>
        <v/>
      </c>
      <c r="F2311" s="22" t="str">
        <f>IF(OR(E2311="",E2311="!!!"),"",IF(NOT(ISNA(VLOOKUP(E2311,E$1:E2310,1,FALSE()))),"OLD",IF(AND(E2311&lt;&gt;"",E2311&lt;&gt;"!!!"),"NEW","")))</f>
        <v> </v>
      </c>
      <c r="G2311" s="23" t="str">
        <f>IF(OR(E2311="",E2311="!!!"),"",IF(OR(J2311=0,AND(J2311=1,K2311=1),AND(J2311=1,I2311="SBJ"),AND(J2311=1,I2311=0)),"?IN_FOCUS",IF(J2311&lt;=2,"?ACTIVATED",IF(J2311&lt;&gt;"","?FAMILIAR",IF(F2311="NEW",IF(ISNA(VLOOKUP(E2311,#REF!,1,FALSE())),"?TYPE_IDENTIFIABLE","?REFERENTIAL"),"_")))))</f>
        <v> </v>
      </c>
      <c r="H2311" s="24" t="str">
        <f>IF(J2311&lt;&gt;1,"",IF(I2311="SBJ","CB","?"))</f>
        <v> </v>
      </c>
      <c r="I2311" s="25" t="str">
        <f>IF(OR(E2311="",E2311="!!!",F2311="NEW"),"",INDEX(B2310:B$2,-1+SUMPRODUCT(MAX(ROW(E2310:E$2)*(E2311=E2310:E$2)))))</f>
        <v> </v>
      </c>
      <c r="J2311" s="25" t="str">
        <f>IF(OR(E2311="",E2311="!!!",F2311="NEW"),"",COUNTBLANK(OFFSET(A$1,,,SUMPRODUCT(MAX(ROW(E$2:E2311)*(E2311=E$2:E2311)))))-COUNTBLANK(OFFSET(A$1,,,SUMPRODUCT(MAX(ROW(E$1:E2310)*(E2=E$1:E2310))))))</f>
        <v> </v>
      </c>
      <c r="K2311" s="25" t="str">
        <f>IF(OR(E2311="",E2311="!!!",F2311="NEW"),"",INDEX(J$1:J2310,SUMPRODUCT(MAX(ROW(E$1:E2310)*(E2311=E$1:E2310)))))</f>
        <v> </v>
      </c>
      <c r="L2311" s="26"/>
    </row>
    <row r="2312" spans="1:12">
      <c r="A2312" s="20" t="s">
        <v>2249</v>
      </c>
      <c r="E2312" s="21">
        <f>IF(D2312="?OLD","!!!","")</f>
        <v/>
      </c>
      <c r="F2312" s="22" t="str">
        <f>IF(OR(E2312="",E2312="!!!"),"",IF(NOT(ISNA(VLOOKUP(E2312,E$1:E2311,1,FALSE()))),"OLD",IF(AND(E2312&lt;&gt;"",E2312&lt;&gt;"!!!"),"NEW","")))</f>
        <v> </v>
      </c>
      <c r="G2312" s="23" t="str">
        <f>IF(OR(E2312="",E2312="!!!"),"",IF(OR(J2312=0,AND(J2312=1,K2312=1),AND(J2312=1,I2312="SBJ"),AND(J2312=1,I2312=0)),"?IN_FOCUS",IF(J2312&lt;=2,"?ACTIVATED",IF(J2312&lt;&gt;"","?FAMILIAR",IF(F2312="NEW",IF(ISNA(VLOOKUP(E2312,#REF!,1,FALSE())),"?TYPE_IDENTIFIABLE","?REFERENTIAL"),"_")))))</f>
        <v> </v>
      </c>
      <c r="H2312" s="24" t="str">
        <f>IF(J2312&lt;&gt;1,"",IF(I2312="SBJ","CB","?"))</f>
        <v> </v>
      </c>
      <c r="I2312" s="25" t="str">
        <f>IF(OR(E2312="",E2312="!!!",F2312="NEW"),"",INDEX(B2311:B$2,-1+SUMPRODUCT(MAX(ROW(E2311:E$2)*(E2312=E2311:E$2)))))</f>
        <v> </v>
      </c>
      <c r="J2312" s="25" t="str">
        <f>IF(OR(E2312="",E2312="!!!",F2312="NEW"),"",COUNTBLANK(OFFSET(A$1,,,SUMPRODUCT(MAX(ROW(E$2:E2312)*(E2312=E$2:E2312)))))-COUNTBLANK(OFFSET(A$1,,,SUMPRODUCT(MAX(ROW(E$1:E2311)*(E2=E$1:E2311))))))</f>
        <v> </v>
      </c>
      <c r="K2312" s="25" t="str">
        <f>IF(OR(E2312="",E2312="!!!",F2312="NEW"),"",INDEX(J$1:J2311,SUMPRODUCT(MAX(ROW(E$1:E2311)*(E2312=E$1:E2311)))))</f>
        <v> </v>
      </c>
      <c r="L2312" s="26"/>
    </row>
    <row r="2313" spans="1:12">
      <c r="A2313" s="20" t="s">
        <v>1139</v>
      </c>
      <c r="E2313" s="21">
        <f>IF(D2313="?OLD","!!!","")</f>
        <v/>
      </c>
      <c r="F2313" s="22" t="str">
        <f>IF(OR(E2313="",E2313="!!!"),"",IF(NOT(ISNA(VLOOKUP(E2313,E$1:E2312,1,FALSE()))),"OLD",IF(AND(E2313&lt;&gt;"",E2313&lt;&gt;"!!!"),"NEW","")))</f>
        <v> </v>
      </c>
      <c r="G2313" s="23" t="str">
        <f>IF(OR(E2313="",E2313="!!!"),"",IF(OR(J2313=0,AND(J2313=1,K2313=1),AND(J2313=1,I2313="SBJ"),AND(J2313=1,I2313=0)),"?IN_FOCUS",IF(J2313&lt;=2,"?ACTIVATED",IF(J2313&lt;&gt;"","?FAMILIAR",IF(F2313="NEW",IF(ISNA(VLOOKUP(E2313,#REF!,1,FALSE())),"?TYPE_IDENTIFIABLE","?REFERENTIAL"),"_")))))</f>
        <v> </v>
      </c>
      <c r="H2313" s="24" t="str">
        <f>IF(J2313&lt;&gt;1,"",IF(I2313="SBJ","CB","?"))</f>
        <v> </v>
      </c>
      <c r="I2313" s="25" t="str">
        <f>IF(OR(E2313="",E2313="!!!",F2313="NEW"),"",INDEX(B2312:B$2,-1+SUMPRODUCT(MAX(ROW(E2312:E$2)*(E2313=E2312:E$2)))))</f>
        <v> </v>
      </c>
      <c r="J2313" s="25" t="str">
        <f>IF(OR(E2313="",E2313="!!!",F2313="NEW"),"",COUNTBLANK(OFFSET(A$1,,,SUMPRODUCT(MAX(ROW(E$2:E2313)*(E2313=E$2:E2313)))))-COUNTBLANK(OFFSET(A$1,,,SUMPRODUCT(MAX(ROW(E$1:E2312)*(E2=E$1:E2312))))))</f>
        <v> </v>
      </c>
      <c r="K2313" s="25" t="str">
        <f>IF(OR(E2313="",E2313="!!!",F2313="NEW"),"",INDEX(J$1:J2312,SUMPRODUCT(MAX(ROW(E$1:E2312)*(E2313=E$1:E2312)))))</f>
        <v> </v>
      </c>
      <c r="L2313" s="26"/>
    </row>
    <row r="2314" spans="1:12">
      <c r="A2314" s="20" t="s">
        <v>1371</v>
      </c>
      <c r="E2314" s="21">
        <f>IF(D2314="?OLD","!!!","")</f>
        <v/>
      </c>
      <c r="F2314" s="22" t="str">
        <f>IF(OR(E2314="",E2314="!!!"),"",IF(NOT(ISNA(VLOOKUP(E2314,E$1:E2313,1,FALSE()))),"OLD",IF(AND(E2314&lt;&gt;"",E2314&lt;&gt;"!!!"),"NEW","")))</f>
        <v> </v>
      </c>
      <c r="G2314" s="23" t="str">
        <f>IF(OR(E2314="",E2314="!!!"),"",IF(OR(J2314=0,AND(J2314=1,K2314=1),AND(J2314=1,I2314="SBJ"),AND(J2314=1,I2314=0)),"?IN_FOCUS",IF(J2314&lt;=2,"?ACTIVATED",IF(J2314&lt;&gt;"","?FAMILIAR",IF(F2314="NEW",IF(ISNA(VLOOKUP(E2314,#REF!,1,FALSE())),"?TYPE_IDENTIFIABLE","?REFERENTIAL"),"_")))))</f>
        <v> </v>
      </c>
      <c r="H2314" s="24" t="str">
        <f>IF(J2314&lt;&gt;1,"",IF(I2314="SBJ","CB","?"))</f>
        <v> </v>
      </c>
      <c r="I2314" s="25" t="str">
        <f>IF(OR(E2314="",E2314="!!!",F2314="NEW"),"",INDEX(B2313:B$2,-1+SUMPRODUCT(MAX(ROW(E2313:E$2)*(E2314=E2313:E$2)))))</f>
        <v> </v>
      </c>
      <c r="J2314" s="25" t="str">
        <f>IF(OR(E2314="",E2314="!!!",F2314="NEW"),"",COUNTBLANK(OFFSET(A$1,,,SUMPRODUCT(MAX(ROW(E$2:E2314)*(E2314=E$2:E2314)))))-COUNTBLANK(OFFSET(A$1,,,SUMPRODUCT(MAX(ROW(E$1:E2313)*(E2=E$1:E2313))))))</f>
        <v> </v>
      </c>
      <c r="K2314" s="25" t="str">
        <f>IF(OR(E2314="",E2314="!!!",F2314="NEW"),"",INDEX(J$1:J2313,SUMPRODUCT(MAX(ROW(E$1:E2313)*(E2314=E$1:E2313)))))</f>
        <v> </v>
      </c>
      <c r="L2314" s="26"/>
    </row>
    <row r="2315" spans="1:12">
      <c r="A2315" s="20" t="s">
        <v>2160</v>
      </c>
      <c r="E2315" s="21">
        <f>IF(D2315="?OLD","!!!","")</f>
        <v/>
      </c>
      <c r="F2315" s="22" t="str">
        <f>IF(OR(E2315="",E2315="!!!"),"",IF(NOT(ISNA(VLOOKUP(E2315,E$1:E2314,1,FALSE()))),"OLD",IF(AND(E2315&lt;&gt;"",E2315&lt;&gt;"!!!"),"NEW","")))</f>
        <v> </v>
      </c>
      <c r="G2315" s="23" t="str">
        <f>IF(OR(E2315="",E2315="!!!"),"",IF(OR(J2315=0,AND(J2315=1,K2315=1),AND(J2315=1,I2315="SBJ"),AND(J2315=1,I2315=0)),"?IN_FOCUS",IF(J2315&lt;=2,"?ACTIVATED",IF(J2315&lt;&gt;"","?FAMILIAR",IF(F2315="NEW",IF(ISNA(VLOOKUP(E2315,#REF!,1,FALSE())),"?TYPE_IDENTIFIABLE","?REFERENTIAL"),"_")))))</f>
        <v> </v>
      </c>
      <c r="H2315" s="24" t="str">
        <f>IF(J2315&lt;&gt;1,"",IF(I2315="SBJ","CB","?"))</f>
        <v> </v>
      </c>
      <c r="I2315" s="25" t="str">
        <f>IF(OR(E2315="",E2315="!!!",F2315="NEW"),"",INDEX(B2314:B$2,-1+SUMPRODUCT(MAX(ROW(E2314:E$2)*(E2315=E2314:E$2)))))</f>
        <v> </v>
      </c>
      <c r="J2315" s="25" t="str">
        <f>IF(OR(E2315="",E2315="!!!",F2315="NEW"),"",COUNTBLANK(OFFSET(A$1,,,SUMPRODUCT(MAX(ROW(E$2:E2315)*(E2315=E$2:E2315)))))-COUNTBLANK(OFFSET(A$1,,,SUMPRODUCT(MAX(ROW(E$1:E2314)*(E2=E$1:E2314))))))</f>
        <v> </v>
      </c>
      <c r="K2315" s="25" t="str">
        <f>IF(OR(E2315="",E2315="!!!",F2315="NEW"),"",INDEX(J$1:J2314,SUMPRODUCT(MAX(ROW(E$1:E2314)*(E2315=E$1:E2314)))))</f>
        <v> </v>
      </c>
      <c r="L2315" s="26"/>
    </row>
    <row r="2316" spans="1:12">
      <c r="A2316" s="20" t="s">
        <v>2250</v>
      </c>
      <c r="B2316" s="27" t="s">
        <v>1103</v>
      </c>
      <c r="C2316" s="27" t="s">
        <v>1156</v>
      </c>
      <c r="D2316" s="27" t="s">
        <v>1105</v>
      </c>
      <c r="E2316" s="21">
        <f>IF(D2316="?OLD","!!!","")</f>
        <v/>
      </c>
      <c r="F2316" s="22" t="str">
        <f>IF(OR(E2316="",E2316="!!!"),"",IF(NOT(ISNA(VLOOKUP(E2316,E$1:E2315,1,FALSE()))),"OLD",IF(AND(E2316&lt;&gt;"",E2316&lt;&gt;"!!!"),"NEW","")))</f>
        <v> </v>
      </c>
      <c r="G2316" s="23" t="str">
        <f>IF(OR(E2316="",E2316="!!!"),"",IF(OR(J2316=0,AND(J2316=1,K2316=1),AND(J2316=1,I2316="SBJ"),AND(J2316=1,I2316=0)),"?IN_FOCUS",IF(J2316&lt;=2,"?ACTIVATED",IF(J2316&lt;&gt;"","?FAMILIAR",IF(F2316="NEW",IF(ISNA(VLOOKUP(E2316,#REF!,1,FALSE())),"?TYPE_IDENTIFIABLE","?REFERENTIAL"),"_")))))</f>
        <v> </v>
      </c>
      <c r="H2316" s="24" t="str">
        <f>IF(J2316&lt;&gt;1,"",IF(I2316="SBJ","CB","?"))</f>
        <v> </v>
      </c>
      <c r="I2316" s="25" t="str">
        <f>IF(OR(E2316="",E2316="!!!",F2316="NEW"),"",INDEX(B2315:B$2,-1+SUMPRODUCT(MAX(ROW(E2315:E$2)*(E2316=E2315:E$2)))))</f>
        <v> </v>
      </c>
      <c r="J2316" s="25" t="str">
        <f>IF(OR(E2316="",E2316="!!!",F2316="NEW"),"",COUNTBLANK(OFFSET(A$1,,,SUMPRODUCT(MAX(ROW(E$2:E2316)*(E2316=E$2:E2316)))))-COUNTBLANK(OFFSET(A$1,,,SUMPRODUCT(MAX(ROW(E$1:E2315)*(E2=E$1:E2315))))))</f>
        <v> </v>
      </c>
      <c r="K2316" s="25" t="str">
        <f>IF(OR(E2316="",E2316="!!!",F2316="NEW"),"",INDEX(J$1:J2315,SUMPRODUCT(MAX(ROW(E$1:E2315)*(E2316=E$1:E2315)))))</f>
        <v> </v>
      </c>
      <c r="L2316" s="26"/>
    </row>
    <row r="2317" spans="1:12">
      <c r="A2317" s="20" t="s">
        <v>1128</v>
      </c>
      <c r="E2317" s="21">
        <f>IF(D2317="?OLD","!!!","")</f>
        <v/>
      </c>
      <c r="F2317" s="22" t="str">
        <f>IF(OR(E2317="",E2317="!!!"),"",IF(NOT(ISNA(VLOOKUP(E2317,E$1:E2316,1,FALSE()))),"OLD",IF(AND(E2317&lt;&gt;"",E2317&lt;&gt;"!!!"),"NEW","")))</f>
        <v> </v>
      </c>
      <c r="G2317" s="23" t="str">
        <f>IF(OR(E2317="",E2317="!!!"),"",IF(OR(J2317=0,AND(J2317=1,K2317=1),AND(J2317=1,I2317="SBJ"),AND(J2317=1,I2317=0)),"?IN_FOCUS",IF(J2317&lt;=2,"?ACTIVATED",IF(J2317&lt;&gt;"","?FAMILIAR",IF(F2317="NEW",IF(ISNA(VLOOKUP(E2317,#REF!,1,FALSE())),"?TYPE_IDENTIFIABLE","?REFERENTIAL"),"_")))))</f>
        <v> </v>
      </c>
      <c r="H2317" s="24" t="str">
        <f>IF(J2317&lt;&gt;1,"",IF(I2317="SBJ","CB","?"))</f>
        <v> </v>
      </c>
      <c r="I2317" s="25" t="str">
        <f>IF(OR(E2317="",E2317="!!!",F2317="NEW"),"",INDEX(B2316:B$2,-1+SUMPRODUCT(MAX(ROW(E2316:E$2)*(E2317=E2316:E$2)))))</f>
        <v> </v>
      </c>
      <c r="J2317" s="25" t="str">
        <f>IF(OR(E2317="",E2317="!!!",F2317="NEW"),"",COUNTBLANK(OFFSET(A$1,,,SUMPRODUCT(MAX(ROW(E$2:E2317)*(E2317=E$2:E2317)))))-COUNTBLANK(OFFSET(A$1,,,SUMPRODUCT(MAX(ROW(E$1:E2316)*(E2=E$1:E2316))))))</f>
        <v> </v>
      </c>
      <c r="K2317" s="25" t="str">
        <f>IF(OR(E2317="",E2317="!!!",F2317="NEW"),"",INDEX(J$1:J2316,SUMPRODUCT(MAX(ROW(E$1:E2316)*(E2317=E$1:E2316)))))</f>
        <v> </v>
      </c>
      <c r="L2317" s="26"/>
    </row>
    <row r="2318" spans="1:12">
      <c r="A2318" s="20" t="s">
        <v>1123</v>
      </c>
      <c r="E2318" s="21">
        <f>IF(D2318="?OLD","!!!","")</f>
        <v/>
      </c>
      <c r="F2318" s="22" t="str">
        <f>IF(OR(E2318="",E2318="!!!"),"",IF(NOT(ISNA(VLOOKUP(E2318,E$1:E2317,1,FALSE()))),"OLD",IF(AND(E2318&lt;&gt;"",E2318&lt;&gt;"!!!"),"NEW","")))</f>
        <v> </v>
      </c>
      <c r="G2318" s="23" t="str">
        <f>IF(OR(E2318="",E2318="!!!"),"",IF(OR(J2318=0,AND(J2318=1,K2318=1),AND(J2318=1,I2318="SBJ"),AND(J2318=1,I2318=0)),"?IN_FOCUS",IF(J2318&lt;=2,"?ACTIVATED",IF(J2318&lt;&gt;"","?FAMILIAR",IF(F2318="NEW",IF(ISNA(VLOOKUP(E2318,#REF!,1,FALSE())),"?TYPE_IDENTIFIABLE","?REFERENTIAL"),"_")))))</f>
        <v> </v>
      </c>
      <c r="H2318" s="24" t="str">
        <f>IF(J2318&lt;&gt;1,"",IF(I2318="SBJ","CB","?"))</f>
        <v> </v>
      </c>
      <c r="I2318" s="25" t="str">
        <f>IF(OR(E2318="",E2318="!!!",F2318="NEW"),"",INDEX(B2317:B$2,-1+SUMPRODUCT(MAX(ROW(E2317:E$2)*(E2318=E2317:E$2)))))</f>
        <v> </v>
      </c>
      <c r="J2318" s="25" t="str">
        <f>IF(OR(E2318="",E2318="!!!",F2318="NEW"),"",COUNTBLANK(OFFSET(A$1,,,SUMPRODUCT(MAX(ROW(E$2:E2318)*(E2318=E$2:E2318)))))-COUNTBLANK(OFFSET(A$1,,,SUMPRODUCT(MAX(ROW(E$1:E2317)*(E2=E$1:E2317))))))</f>
        <v> </v>
      </c>
      <c r="K2318" s="25" t="str">
        <f>IF(OR(E2318="",E2318="!!!",F2318="NEW"),"",INDEX(J$1:J2317,SUMPRODUCT(MAX(ROW(E$1:E2317)*(E2318=E$1:E2317)))))</f>
        <v> </v>
      </c>
      <c r="L2318" s="26"/>
    </row>
    <row r="2319" spans="1:12">
      <c r="A2319" s="20" t="s">
        <v>2251</v>
      </c>
      <c r="E2319" s="21">
        <f>IF(D2319="?OLD","!!!","")</f>
        <v/>
      </c>
      <c r="F2319" s="22" t="str">
        <f>IF(OR(E2319="",E2319="!!!"),"",IF(NOT(ISNA(VLOOKUP(E2319,E$1:E2318,1,FALSE()))),"OLD",IF(AND(E2319&lt;&gt;"",E2319&lt;&gt;"!!!"),"NEW","")))</f>
        <v> </v>
      </c>
      <c r="G2319" s="23" t="str">
        <f>IF(OR(E2319="",E2319="!!!"),"",IF(OR(J2319=0,AND(J2319=1,K2319=1),AND(J2319=1,I2319="SBJ"),AND(J2319=1,I2319=0)),"?IN_FOCUS",IF(J2319&lt;=2,"?ACTIVATED",IF(J2319&lt;&gt;"","?FAMILIAR",IF(F2319="NEW",IF(ISNA(VLOOKUP(E2319,#REF!,1,FALSE())),"?TYPE_IDENTIFIABLE","?REFERENTIAL"),"_")))))</f>
        <v> </v>
      </c>
      <c r="H2319" s="24" t="str">
        <f>IF(J2319&lt;&gt;1,"",IF(I2319="SBJ","CB","?"))</f>
        <v> </v>
      </c>
      <c r="I2319" s="25" t="str">
        <f>IF(OR(E2319="",E2319="!!!",F2319="NEW"),"",INDEX(B2318:B$2,-1+SUMPRODUCT(MAX(ROW(E2318:E$2)*(E2319=E2318:E$2)))))</f>
        <v> </v>
      </c>
      <c r="J2319" s="25" t="str">
        <f>IF(OR(E2319="",E2319="!!!",F2319="NEW"),"",COUNTBLANK(OFFSET(A$1,,,SUMPRODUCT(MAX(ROW(E$2:E2319)*(E2319=E$2:E2319)))))-COUNTBLANK(OFFSET(A$1,,,SUMPRODUCT(MAX(ROW(E$1:E2318)*(E2=E$1:E2318))))))</f>
        <v> </v>
      </c>
      <c r="K2319" s="25" t="str">
        <f>IF(OR(E2319="",E2319="!!!",F2319="NEW"),"",INDEX(J$1:J2318,SUMPRODUCT(MAX(ROW(E$1:E2318)*(E2319=E$1:E2318)))))</f>
        <v> </v>
      </c>
      <c r="L2319" s="26"/>
    </row>
    <row r="2320" spans="1:12">
      <c r="A2320" s="20" t="s">
        <v>1833</v>
      </c>
      <c r="B2320" s="27" t="s">
        <v>1115</v>
      </c>
      <c r="E2320" s="21">
        <f>IF(D2320="?OLD","!!!","")</f>
        <v/>
      </c>
      <c r="F2320" s="22" t="str">
        <f>IF(OR(E2320="",E2320="!!!"),"",IF(NOT(ISNA(VLOOKUP(E2320,E$1:E2319,1,FALSE()))),"OLD",IF(AND(E2320&lt;&gt;"",E2320&lt;&gt;"!!!"),"NEW","")))</f>
        <v> </v>
      </c>
      <c r="G2320" s="23" t="str">
        <f>IF(OR(E2320="",E2320="!!!"),"",IF(OR(J2320=0,AND(J2320=1,K2320=1),AND(J2320=1,I2320="SBJ"),AND(J2320=1,I2320=0)),"?IN_FOCUS",IF(J2320&lt;=2,"?ACTIVATED",IF(J2320&lt;&gt;"","?FAMILIAR",IF(F2320="NEW",IF(ISNA(VLOOKUP(E2320,#REF!,1,FALSE())),"?TYPE_IDENTIFIABLE","?REFERENTIAL"),"_")))))</f>
        <v> </v>
      </c>
      <c r="H2320" s="24" t="str">
        <f>IF(J2320&lt;&gt;1,"",IF(I2320="SBJ","CB","?"))</f>
        <v> </v>
      </c>
      <c r="I2320" s="25" t="str">
        <f>IF(OR(E2320="",E2320="!!!",F2320="NEW"),"",INDEX(B2319:B$2,-1+SUMPRODUCT(MAX(ROW(E2319:E$2)*(E2320=E2319:E$2)))))</f>
        <v> </v>
      </c>
      <c r="J2320" s="25" t="str">
        <f>IF(OR(E2320="",E2320="!!!",F2320="NEW"),"",COUNTBLANK(OFFSET(A$1,,,SUMPRODUCT(MAX(ROW(E$2:E2320)*(E2320=E$2:E2320)))))-COUNTBLANK(OFFSET(A$1,,,SUMPRODUCT(MAX(ROW(E$1:E2319)*(E2=E$1:E2319))))))</f>
        <v> </v>
      </c>
      <c r="K2320" s="25" t="str">
        <f>IF(OR(E2320="",E2320="!!!",F2320="NEW"),"",INDEX(J$1:J2319,SUMPRODUCT(MAX(ROW(E$1:E2319)*(E2320=E$1:E2319)))))</f>
        <v> </v>
      </c>
      <c r="L2320" s="26"/>
    </row>
    <row r="2321" spans="1:12">
      <c r="A2321" s="20" t="s">
        <v>1123</v>
      </c>
      <c r="E2321" s="21">
        <f>IF(D2321="?OLD","!!!","")</f>
        <v/>
      </c>
      <c r="F2321" s="22" t="str">
        <f>IF(OR(E2321="",E2321="!!!"),"",IF(NOT(ISNA(VLOOKUP(E2321,E$1:E2320,1,FALSE()))),"OLD",IF(AND(E2321&lt;&gt;"",E2321&lt;&gt;"!!!"),"NEW","")))</f>
        <v> </v>
      </c>
      <c r="G2321" s="23" t="str">
        <f>IF(OR(E2321="",E2321="!!!"),"",IF(OR(J2321=0,AND(J2321=1,K2321=1),AND(J2321=1,I2321="SBJ"),AND(J2321=1,I2321=0)),"?IN_FOCUS",IF(J2321&lt;=2,"?ACTIVATED",IF(J2321&lt;&gt;"","?FAMILIAR",IF(F2321="NEW",IF(ISNA(VLOOKUP(E2321,#REF!,1,FALSE())),"?TYPE_IDENTIFIABLE","?REFERENTIAL"),"_")))))</f>
        <v> </v>
      </c>
      <c r="H2321" s="24" t="str">
        <f>IF(J2321&lt;&gt;1,"",IF(I2321="SBJ","CB","?"))</f>
        <v> </v>
      </c>
      <c r="I2321" s="25" t="str">
        <f>IF(OR(E2321="",E2321="!!!",F2321="NEW"),"",INDEX(B2320:B$2,-1+SUMPRODUCT(MAX(ROW(E2320:E$2)*(E2321=E2320:E$2)))))</f>
        <v> </v>
      </c>
      <c r="J2321" s="25" t="str">
        <f>IF(OR(E2321="",E2321="!!!",F2321="NEW"),"",COUNTBLANK(OFFSET(A$1,,,SUMPRODUCT(MAX(ROW(E$2:E2321)*(E2321=E$2:E2321)))))-COUNTBLANK(OFFSET(A$1,,,SUMPRODUCT(MAX(ROW(E$1:E2320)*(E2=E$1:E2320))))))</f>
        <v> </v>
      </c>
      <c r="K2321" s="25" t="str">
        <f>IF(OR(E2321="",E2321="!!!",F2321="NEW"),"",INDEX(J$1:J2320,SUMPRODUCT(MAX(ROW(E$1:E2320)*(E2321=E$1:E2320)))))</f>
        <v> </v>
      </c>
      <c r="L2321" s="26"/>
    </row>
    <row r="2322" spans="1:12">
      <c r="A2322" s="20" t="s">
        <v>1574</v>
      </c>
      <c r="E2322" s="21">
        <f>IF(D2322="?OLD","!!!","")</f>
        <v/>
      </c>
      <c r="F2322" s="22" t="str">
        <f>IF(OR(E2322="",E2322="!!!"),"",IF(NOT(ISNA(VLOOKUP(E2322,E$1:E2321,1,FALSE()))),"OLD",IF(AND(E2322&lt;&gt;"",E2322&lt;&gt;"!!!"),"NEW","")))</f>
        <v> </v>
      </c>
      <c r="G2322" s="23" t="str">
        <f>IF(OR(E2322="",E2322="!!!"),"",IF(OR(J2322=0,AND(J2322=1,K2322=1),AND(J2322=1,I2322="SBJ"),AND(J2322=1,I2322=0)),"?IN_FOCUS",IF(J2322&lt;=2,"?ACTIVATED",IF(J2322&lt;&gt;"","?FAMILIAR",IF(F2322="NEW",IF(ISNA(VLOOKUP(E2322,#REF!,1,FALSE())),"?TYPE_IDENTIFIABLE","?REFERENTIAL"),"_")))))</f>
        <v> </v>
      </c>
      <c r="H2322" s="24" t="str">
        <f>IF(J2322&lt;&gt;1,"",IF(I2322="SBJ","CB","?"))</f>
        <v> </v>
      </c>
      <c r="I2322" s="25" t="str">
        <f>IF(OR(E2322="",E2322="!!!",F2322="NEW"),"",INDEX(B2321:B$2,-1+SUMPRODUCT(MAX(ROW(E2321:E$2)*(E2322=E2321:E$2)))))</f>
        <v> </v>
      </c>
      <c r="J2322" s="25" t="str">
        <f>IF(OR(E2322="",E2322="!!!",F2322="NEW"),"",COUNTBLANK(OFFSET(A$1,,,SUMPRODUCT(MAX(ROW(E$2:E2322)*(E2322=E$2:E2322)))))-COUNTBLANK(OFFSET(A$1,,,SUMPRODUCT(MAX(ROW(E$1:E2321)*(E2=E$1:E2321))))))</f>
        <v> </v>
      </c>
      <c r="K2322" s="25" t="str">
        <f>IF(OR(E2322="",E2322="!!!",F2322="NEW"),"",INDEX(J$1:J2321,SUMPRODUCT(MAX(ROW(E$1:E2321)*(E2322=E$1:E2321)))))</f>
        <v> </v>
      </c>
      <c r="L2322" s="26"/>
    </row>
    <row r="2323" spans="1:12">
      <c r="A2323" s="20" t="s">
        <v>1123</v>
      </c>
      <c r="E2323" s="21">
        <f>IF(D2323="?OLD","!!!","")</f>
        <v/>
      </c>
      <c r="F2323" s="22" t="str">
        <f>IF(OR(E2323="",E2323="!!!"),"",IF(NOT(ISNA(VLOOKUP(E2323,E$1:E2322,1,FALSE()))),"OLD",IF(AND(E2323&lt;&gt;"",E2323&lt;&gt;"!!!"),"NEW","")))</f>
        <v> </v>
      </c>
      <c r="G2323" s="23" t="str">
        <f>IF(OR(E2323="",E2323="!!!"),"",IF(OR(J2323=0,AND(J2323=1,K2323=1),AND(J2323=1,I2323="SBJ"),AND(J2323=1,I2323=0)),"?IN_FOCUS",IF(J2323&lt;=2,"?ACTIVATED",IF(J2323&lt;&gt;"","?FAMILIAR",IF(F2323="NEW",IF(ISNA(VLOOKUP(E2323,#REF!,1,FALSE())),"?TYPE_IDENTIFIABLE","?REFERENTIAL"),"_")))))</f>
        <v> </v>
      </c>
      <c r="H2323" s="24" t="str">
        <f>IF(J2323&lt;&gt;1,"",IF(I2323="SBJ","CB","?"))</f>
        <v> </v>
      </c>
      <c r="I2323" s="25" t="str">
        <f>IF(OR(E2323="",E2323="!!!",F2323="NEW"),"",INDEX(B2322:B$2,-1+SUMPRODUCT(MAX(ROW(E2322:E$2)*(E2323=E2322:E$2)))))</f>
        <v> </v>
      </c>
      <c r="J2323" s="25" t="str">
        <f>IF(OR(E2323="",E2323="!!!",F2323="NEW"),"",COUNTBLANK(OFFSET(A$1,,,SUMPRODUCT(MAX(ROW(E$2:E2323)*(E2323=E$2:E2323)))))-COUNTBLANK(OFFSET(A$1,,,SUMPRODUCT(MAX(ROW(E$1:E2322)*(E2=E$1:E2322))))))</f>
        <v> </v>
      </c>
      <c r="K2323" s="25" t="str">
        <f>IF(OR(E2323="",E2323="!!!",F2323="NEW"),"",INDEX(J$1:J2322,SUMPRODUCT(MAX(ROW(E$1:E2322)*(E2323=E$1:E2322)))))</f>
        <v> </v>
      </c>
      <c r="L2323" s="26"/>
    </row>
    <row r="2324" spans="1:12">
      <c r="A2324" s="20" t="s">
        <v>135</v>
      </c>
      <c r="E2324" s="21">
        <f>IF(D2324="?OLD","!!!","")</f>
        <v/>
      </c>
      <c r="F2324" s="22" t="str">
        <f>IF(OR(E2324="",E2324="!!!"),"",IF(NOT(ISNA(VLOOKUP(E2324,E$1:E2323,1,FALSE()))),"OLD",IF(AND(E2324&lt;&gt;"",E2324&lt;&gt;"!!!"),"NEW","")))</f>
        <v> </v>
      </c>
      <c r="G2324" s="23" t="str">
        <f>IF(OR(E2324="",E2324="!!!"),"",IF(OR(J2324=0,AND(J2324=1,K2324=1),AND(J2324=1,I2324="SBJ"),AND(J2324=1,I2324=0)),"?IN_FOCUS",IF(J2324&lt;=2,"?ACTIVATED",IF(J2324&lt;&gt;"","?FAMILIAR",IF(F2324="NEW",IF(ISNA(VLOOKUP(E2324,#REF!,1,FALSE())),"?TYPE_IDENTIFIABLE","?REFERENTIAL"),"_")))))</f>
        <v> </v>
      </c>
      <c r="H2324" s="24" t="str">
        <f>IF(J2324&lt;&gt;1,"",IF(I2324="SBJ","CB","?"))</f>
        <v> </v>
      </c>
      <c r="I2324" s="25" t="str">
        <f>IF(OR(E2324="",E2324="!!!",F2324="NEW"),"",INDEX(B2323:B$2,-1+SUMPRODUCT(MAX(ROW(E2323:E$2)*(E2324=E2323:E$2)))))</f>
        <v> </v>
      </c>
      <c r="J2324" s="25" t="str">
        <f>IF(OR(E2324="",E2324="!!!",F2324="NEW"),"",COUNTBLANK(OFFSET(A$1,,,SUMPRODUCT(MAX(ROW(E$2:E2324)*(E2324=E$2:E2324)))))-COUNTBLANK(OFFSET(A$1,,,SUMPRODUCT(MAX(ROW(E$1:E2323)*(E2=E$1:E2323))))))</f>
        <v> </v>
      </c>
      <c r="K2324" s="25" t="str">
        <f>IF(OR(E2324="",E2324="!!!",F2324="NEW"),"",INDEX(J$1:J2323,SUMPRODUCT(MAX(ROW(E$1:E2323)*(E2324=E$1:E2323)))))</f>
        <v> </v>
      </c>
      <c r="L2324" s="26"/>
    </row>
    <row r="2325" spans="1:12">
      <c r="A2325" s="20" t="s">
        <v>1207</v>
      </c>
      <c r="B2325" s="27" t="s">
        <v>1132</v>
      </c>
      <c r="C2325" s="27" t="s">
        <v>1142</v>
      </c>
      <c r="D2325" s="27" t="s">
        <v>1105</v>
      </c>
      <c r="E2325" s="21">
        <f>IF(D2325="?OLD","!!!","")</f>
        <v/>
      </c>
      <c r="F2325" s="22" t="str">
        <f>IF(OR(E2325="",E2325="!!!"),"",IF(NOT(ISNA(VLOOKUP(E2325,E$1:E2324,1,FALSE()))),"OLD",IF(AND(E2325&lt;&gt;"",E2325&lt;&gt;"!!!"),"NEW","")))</f>
        <v> </v>
      </c>
      <c r="G2325" s="23" t="str">
        <f>IF(OR(E2325="",E2325="!!!"),"",IF(OR(J2325=0,AND(J2325=1,K2325=1),AND(J2325=1,I2325="SBJ"),AND(J2325=1,I2325=0)),"?IN_FOCUS",IF(J2325&lt;=2,"?ACTIVATED",IF(J2325&lt;&gt;"","?FAMILIAR",IF(F2325="NEW",IF(ISNA(VLOOKUP(E2325,#REF!,1,FALSE())),"?TYPE_IDENTIFIABLE","?REFERENTIAL"),"_")))))</f>
        <v> </v>
      </c>
      <c r="H2325" s="24" t="str">
        <f>IF(J2325&lt;&gt;1,"",IF(I2325="SBJ","CB","?"))</f>
        <v> </v>
      </c>
      <c r="I2325" s="25" t="str">
        <f>IF(OR(E2325="",E2325="!!!",F2325="NEW"),"",INDEX(B2324:B$2,-1+SUMPRODUCT(MAX(ROW(E2324:E$2)*(E2325=E2324:E$2)))))</f>
        <v> </v>
      </c>
      <c r="J2325" s="25" t="str">
        <f>IF(OR(E2325="",E2325="!!!",F2325="NEW"),"",COUNTBLANK(OFFSET(A$1,,,SUMPRODUCT(MAX(ROW(E$2:E2325)*(E2325=E$2:E2325)))))-COUNTBLANK(OFFSET(A$1,,,SUMPRODUCT(MAX(ROW(E$1:E2324)*(E2=E$1:E2324))))))</f>
        <v> </v>
      </c>
      <c r="K2325" s="25" t="str">
        <f>IF(OR(E2325="",E2325="!!!",F2325="NEW"),"",INDEX(J$1:J2324,SUMPRODUCT(MAX(ROW(E$1:E2324)*(E2325=E$1:E2324)))))</f>
        <v> </v>
      </c>
      <c r="L2325" s="26"/>
    </row>
    <row r="2326" spans="1:12">
      <c r="A2326" s="20" t="s">
        <v>2252</v>
      </c>
      <c r="B2326" s="27" t="s">
        <v>1259</v>
      </c>
      <c r="E2326" s="21">
        <f>IF(D2326="?OLD","!!!","")</f>
        <v/>
      </c>
      <c r="F2326" s="22" t="str">
        <f>IF(OR(E2326="",E2326="!!!"),"",IF(NOT(ISNA(VLOOKUP(E2326,E$1:E2325,1,FALSE()))),"OLD",IF(AND(E2326&lt;&gt;"",E2326&lt;&gt;"!!!"),"NEW","")))</f>
        <v> </v>
      </c>
      <c r="G2326" s="23" t="str">
        <f>IF(OR(E2326="",E2326="!!!"),"",IF(OR(J2326=0,AND(J2326=1,K2326=1),AND(J2326=1,I2326="SBJ"),AND(J2326=1,I2326=0)),"?IN_FOCUS",IF(J2326&lt;=2,"?ACTIVATED",IF(J2326&lt;&gt;"","?FAMILIAR",IF(F2326="NEW",IF(ISNA(VLOOKUP(E2326,#REF!,1,FALSE())),"?TYPE_IDENTIFIABLE","?REFERENTIAL"),"_")))))</f>
        <v> </v>
      </c>
      <c r="H2326" s="24" t="str">
        <f>IF(J2326&lt;&gt;1,"",IF(I2326="SBJ","CB","?"))</f>
        <v> </v>
      </c>
      <c r="I2326" s="25" t="str">
        <f>IF(OR(E2326="",E2326="!!!",F2326="NEW"),"",INDEX(B2325:B$2,-1+SUMPRODUCT(MAX(ROW(E2325:E$2)*(E2326=E2325:E$2)))))</f>
        <v> </v>
      </c>
      <c r="J2326" s="25" t="str">
        <f>IF(OR(E2326="",E2326="!!!",F2326="NEW"),"",COUNTBLANK(OFFSET(A$1,,,SUMPRODUCT(MAX(ROW(E$2:E2326)*(E2326=E$2:E2326)))))-COUNTBLANK(OFFSET(A$1,,,SUMPRODUCT(MAX(ROW(E$1:E2325)*(E2=E$1:E2325))))))</f>
        <v> </v>
      </c>
      <c r="K2326" s="25" t="str">
        <f>IF(OR(E2326="",E2326="!!!",F2326="NEW"),"",INDEX(J$1:J2325,SUMPRODUCT(MAX(ROW(E$1:E2325)*(E2326=E$1:E2325)))))</f>
        <v> </v>
      </c>
      <c r="L2326" s="26"/>
    </row>
    <row r="2327" spans="1:12">
      <c r="A2327" s="20" t="s">
        <v>1355</v>
      </c>
      <c r="E2327" s="21">
        <f>IF(D2327="?OLD","!!!","")</f>
        <v/>
      </c>
      <c r="F2327" s="22" t="str">
        <f>IF(OR(E2327="",E2327="!!!"),"",IF(NOT(ISNA(VLOOKUP(E2327,E$1:E2326,1,FALSE()))),"OLD",IF(AND(E2327&lt;&gt;"",E2327&lt;&gt;"!!!"),"NEW","")))</f>
        <v> </v>
      </c>
      <c r="G2327" s="23" t="str">
        <f>IF(OR(E2327="",E2327="!!!"),"",IF(OR(J2327=0,AND(J2327=1,K2327=1),AND(J2327=1,I2327="SBJ"),AND(J2327=1,I2327=0)),"?IN_FOCUS",IF(J2327&lt;=2,"?ACTIVATED",IF(J2327&lt;&gt;"","?FAMILIAR",IF(F2327="NEW",IF(ISNA(VLOOKUP(E2327,#REF!,1,FALSE())),"?TYPE_IDENTIFIABLE","?REFERENTIAL"),"_")))))</f>
        <v> </v>
      </c>
      <c r="H2327" s="24" t="str">
        <f>IF(J2327&lt;&gt;1,"",IF(I2327="SBJ","CB","?"))</f>
        <v> </v>
      </c>
      <c r="I2327" s="25" t="str">
        <f>IF(OR(E2327="",E2327="!!!",F2327="NEW"),"",INDEX(B2326:B$2,-1+SUMPRODUCT(MAX(ROW(E2326:E$2)*(E2327=E2326:E$2)))))</f>
        <v> </v>
      </c>
      <c r="J2327" s="25" t="str">
        <f>IF(OR(E2327="",E2327="!!!",F2327="NEW"),"",COUNTBLANK(OFFSET(A$1,,,SUMPRODUCT(MAX(ROW(E$2:E2327)*(E2327=E$2:E2327)))))-COUNTBLANK(OFFSET(A$1,,,SUMPRODUCT(MAX(ROW(E$1:E2326)*(E2=E$1:E2326))))))</f>
        <v> </v>
      </c>
      <c r="K2327" s="25" t="str">
        <f>IF(OR(E2327="",E2327="!!!",F2327="NEW"),"",INDEX(J$1:J2326,SUMPRODUCT(MAX(ROW(E$1:E2326)*(E2327=E$1:E2326)))))</f>
        <v> </v>
      </c>
      <c r="L2327" s="26"/>
    </row>
    <row r="2328" spans="1:12">
      <c r="A2328" s="20" t="s">
        <v>2253</v>
      </c>
      <c r="E2328" s="21">
        <f>IF(D2328="?OLD","!!!","")</f>
        <v/>
      </c>
      <c r="F2328" s="22" t="str">
        <f>IF(OR(E2328="",E2328="!!!"),"",IF(NOT(ISNA(VLOOKUP(E2328,E$1:E2327,1,FALSE()))),"OLD",IF(AND(E2328&lt;&gt;"",E2328&lt;&gt;"!!!"),"NEW","")))</f>
        <v> </v>
      </c>
      <c r="G2328" s="23" t="str">
        <f>IF(OR(E2328="",E2328="!!!"),"",IF(OR(J2328=0,AND(J2328=1,K2328=1),AND(J2328=1,I2328="SBJ"),AND(J2328=1,I2328=0)),"?IN_FOCUS",IF(J2328&lt;=2,"?ACTIVATED",IF(J2328&lt;&gt;"","?FAMILIAR",IF(F2328="NEW",IF(ISNA(VLOOKUP(E2328,#REF!,1,FALSE())),"?TYPE_IDENTIFIABLE","?REFERENTIAL"),"_")))))</f>
        <v> </v>
      </c>
      <c r="H2328" s="24" t="str">
        <f>IF(J2328&lt;&gt;1,"",IF(I2328="SBJ","CB","?"))</f>
        <v> </v>
      </c>
      <c r="I2328" s="25" t="str">
        <f>IF(OR(E2328="",E2328="!!!",F2328="NEW"),"",INDEX(B2327:B$2,-1+SUMPRODUCT(MAX(ROW(E2327:E$2)*(E2328=E2327:E$2)))))</f>
        <v> </v>
      </c>
      <c r="J2328" s="25" t="str">
        <f>IF(OR(E2328="",E2328="!!!",F2328="NEW"),"",COUNTBLANK(OFFSET(A$1,,,SUMPRODUCT(MAX(ROW(E$2:E2328)*(E2328=E$2:E2328)))))-COUNTBLANK(OFFSET(A$1,,,SUMPRODUCT(MAX(ROW(E$1:E2327)*(E2=E$1:E2327))))))</f>
        <v> </v>
      </c>
      <c r="K2328" s="25" t="str">
        <f>IF(OR(E2328="",E2328="!!!",F2328="NEW"),"",INDEX(J$1:J2327,SUMPRODUCT(MAX(ROW(E$1:E2327)*(E2328=E$1:E2327)))))</f>
        <v> </v>
      </c>
      <c r="L2328" s="26"/>
    </row>
    <row r="2329" spans="1:12">
      <c r="A2329" s="20" t="s">
        <v>1184</v>
      </c>
      <c r="E2329" s="21">
        <f>IF(D2329="?OLD","!!!","")</f>
        <v/>
      </c>
      <c r="F2329" s="22" t="str">
        <f>IF(OR(E2329="",E2329="!!!"),"",IF(NOT(ISNA(VLOOKUP(E2329,E$1:E2328,1,FALSE()))),"OLD",IF(AND(E2329&lt;&gt;"",E2329&lt;&gt;"!!!"),"NEW","")))</f>
        <v> </v>
      </c>
      <c r="G2329" s="23" t="str">
        <f>IF(OR(E2329="",E2329="!!!"),"",IF(OR(J2329=0,AND(J2329=1,K2329=1),AND(J2329=1,I2329="SBJ"),AND(J2329=1,I2329=0)),"?IN_FOCUS",IF(J2329&lt;=2,"?ACTIVATED",IF(J2329&lt;&gt;"","?FAMILIAR",IF(F2329="NEW",IF(ISNA(VLOOKUP(E2329,#REF!,1,FALSE())),"?TYPE_IDENTIFIABLE","?REFERENTIAL"),"_")))))</f>
        <v> </v>
      </c>
      <c r="H2329" s="24" t="str">
        <f>IF(J2329&lt;&gt;1,"",IF(I2329="SBJ","CB","?"))</f>
        <v> </v>
      </c>
      <c r="I2329" s="25" t="str">
        <f>IF(OR(E2329="",E2329="!!!",F2329="NEW"),"",INDEX(B2328:B$2,-1+SUMPRODUCT(MAX(ROW(E2328:E$2)*(E2329=E2328:E$2)))))</f>
        <v> </v>
      </c>
      <c r="J2329" s="25" t="str">
        <f>IF(OR(E2329="",E2329="!!!",F2329="NEW"),"",COUNTBLANK(OFFSET(A$1,,,SUMPRODUCT(MAX(ROW(E$2:E2329)*(E2329=E$2:E2329)))))-COUNTBLANK(OFFSET(A$1,,,SUMPRODUCT(MAX(ROW(E$1:E2328)*(E2=E$1:E2328))))))</f>
        <v> </v>
      </c>
      <c r="K2329" s="25" t="str">
        <f>IF(OR(E2329="",E2329="!!!",F2329="NEW"),"",INDEX(J$1:J2328,SUMPRODUCT(MAX(ROW(E$1:E2328)*(E2329=E$1:E2328)))))</f>
        <v> </v>
      </c>
      <c r="L2329" s="26"/>
    </row>
    <row r="2330" spans="1:12">
      <c r="A2330" s="20" t="s">
        <v>1204</v>
      </c>
      <c r="E2330" s="21">
        <f>IF(D2330="?OLD","!!!","")</f>
        <v/>
      </c>
      <c r="F2330" s="22" t="str">
        <f>IF(OR(E2330="",E2330="!!!"),"",IF(NOT(ISNA(VLOOKUP(E2330,E$1:E2329,1,FALSE()))),"OLD",IF(AND(E2330&lt;&gt;"",E2330&lt;&gt;"!!!"),"NEW","")))</f>
        <v> </v>
      </c>
      <c r="G2330" s="23" t="str">
        <f>IF(OR(E2330="",E2330="!!!"),"",IF(OR(J2330=0,AND(J2330=1,K2330=1),AND(J2330=1,I2330="SBJ"),AND(J2330=1,I2330=0)),"?IN_FOCUS",IF(J2330&lt;=2,"?ACTIVATED",IF(J2330&lt;&gt;"","?FAMILIAR",IF(F2330="NEW",IF(ISNA(VLOOKUP(E2330,#REF!,1,FALSE())),"?TYPE_IDENTIFIABLE","?REFERENTIAL"),"_")))))</f>
        <v> </v>
      </c>
      <c r="H2330" s="24" t="str">
        <f>IF(J2330&lt;&gt;1,"",IF(I2330="SBJ","CB","?"))</f>
        <v> </v>
      </c>
      <c r="I2330" s="25" t="str">
        <f>IF(OR(E2330="",E2330="!!!",F2330="NEW"),"",INDEX(B2329:B$2,-1+SUMPRODUCT(MAX(ROW(E2329:E$2)*(E2330=E2329:E$2)))))</f>
        <v> </v>
      </c>
      <c r="J2330" s="25" t="str">
        <f>IF(OR(E2330="",E2330="!!!",F2330="NEW"),"",COUNTBLANK(OFFSET(A$1,,,SUMPRODUCT(MAX(ROW(E$2:E2330)*(E2330=E$2:E2330)))))-COUNTBLANK(OFFSET(A$1,,,SUMPRODUCT(MAX(ROW(E$1:E2329)*(E2=E$1:E2329))))))</f>
        <v> </v>
      </c>
      <c r="K2330" s="25" t="str">
        <f>IF(OR(E2330="",E2330="!!!",F2330="NEW"),"",INDEX(J$1:J2329,SUMPRODUCT(MAX(ROW(E$1:E2329)*(E2330=E$1:E2329)))))</f>
        <v> </v>
      </c>
      <c r="L2330" s="26"/>
    </row>
    <row r="2331" spans="1:12">
      <c r="A2331" s="20" t="s">
        <v>1145</v>
      </c>
      <c r="E2331" s="21">
        <f>IF(D2331="?OLD","!!!","")</f>
        <v/>
      </c>
      <c r="F2331" s="22" t="str">
        <f>IF(OR(E2331="",E2331="!!!"),"",IF(NOT(ISNA(VLOOKUP(E2331,E$1:E2330,1,FALSE()))),"OLD",IF(AND(E2331&lt;&gt;"",E2331&lt;&gt;"!!!"),"NEW","")))</f>
        <v> </v>
      </c>
      <c r="G2331" s="23" t="str">
        <f>IF(OR(E2331="",E2331="!!!"),"",IF(OR(J2331=0,AND(J2331=1,K2331=1),AND(J2331=1,I2331="SBJ"),AND(J2331=1,I2331=0)),"?IN_FOCUS",IF(J2331&lt;=2,"?ACTIVATED",IF(J2331&lt;&gt;"","?FAMILIAR",IF(F2331="NEW",IF(ISNA(VLOOKUP(E2331,#REF!,1,FALSE())),"?TYPE_IDENTIFIABLE","?REFERENTIAL"),"_")))))</f>
        <v> </v>
      </c>
      <c r="H2331" s="24" t="str">
        <f>IF(J2331&lt;&gt;1,"",IF(I2331="SBJ","CB","?"))</f>
        <v> </v>
      </c>
      <c r="I2331" s="25" t="str">
        <f>IF(OR(E2331="",E2331="!!!",F2331="NEW"),"",INDEX(B2330:B$2,-1+SUMPRODUCT(MAX(ROW(E2330:E$2)*(E2331=E2330:E$2)))))</f>
        <v> </v>
      </c>
      <c r="J2331" s="25" t="str">
        <f>IF(OR(E2331="",E2331="!!!",F2331="NEW"),"",COUNTBLANK(OFFSET(A$1,,,SUMPRODUCT(MAX(ROW(E$2:E2331)*(E2331=E$2:E2331)))))-COUNTBLANK(OFFSET(A$1,,,SUMPRODUCT(MAX(ROW(E$1:E2330)*(E2=E$1:E2330))))))</f>
        <v> </v>
      </c>
      <c r="K2331" s="25" t="str">
        <f>IF(OR(E2331="",E2331="!!!",F2331="NEW"),"",INDEX(J$1:J2330,SUMPRODUCT(MAX(ROW(E$1:E2330)*(E2331=E$1:E2330)))))</f>
        <v> </v>
      </c>
      <c r="L2331" s="26"/>
    </row>
    <row r="2332" spans="1:12">
      <c r="A2332" s="20"/>
    </row>
    <row r="2333" spans="1:12">
      <c r="A2333" s="20" t="s">
        <v>2254</v>
      </c>
    </row>
    <row r="2334" spans="1:12">
      <c r="A2334" s="20" t="s">
        <v>1111</v>
      </c>
      <c r="E2334" s="21">
        <f>IF(D2334="?OLD","!!!","")</f>
        <v/>
      </c>
      <c r="F2334" s="22" t="str">
        <f>IF(OR(E2334="",E2334="!!!"),"",IF(NOT(ISNA(VLOOKUP(E2334,E$1:E2333,1,FALSE()))),"OLD",IF(AND(E2334&lt;&gt;"",E2334&lt;&gt;"!!!"),"NEW","")))</f>
        <v> </v>
      </c>
      <c r="G2334" s="23" t="str">
        <f>IF(OR(E2334="",E2334="!!!"),"",IF(OR(J2334=0,AND(J2334=1,K2334=1),AND(J2334=1,I2334="SBJ"),AND(J2334=1,I2334=0)),"?IN_FOCUS",IF(J2334&lt;=2,"?ACTIVATED",IF(J2334&lt;&gt;"","?FAMILIAR",IF(F2334="NEW",IF(ISNA(VLOOKUP(E2334,#REF!,1,FALSE())),"?TYPE_IDENTIFIABLE","?REFERENTIAL"),"_")))))</f>
        <v> </v>
      </c>
      <c r="H2334" s="24" t="str">
        <f>IF(J2334&lt;&gt;1,"",IF(I2334="SBJ","CB","?"))</f>
        <v> </v>
      </c>
      <c r="I2334" s="25" t="str">
        <f>IF(OR(E2334="",E2334="!!!",F2334="NEW"),"",INDEX(B2333:B$2,-1+SUMPRODUCT(MAX(ROW(E2333:E$2)*(E2334=E2333:E$2)))))</f>
        <v> </v>
      </c>
      <c r="J2334" s="25" t="str">
        <f>IF(OR(E2334="",E2334="!!!",F2334="NEW"),"",COUNTBLANK(OFFSET(A$1,,,SUMPRODUCT(MAX(ROW(E$2:E2334)*(E2334=E$2:E2334)))))-COUNTBLANK(OFFSET(A$1,,,SUMPRODUCT(MAX(ROW(E$1:E2333)*(E2=E$1:E2333))))))</f>
        <v> </v>
      </c>
      <c r="K2334" s="25" t="str">
        <f>IF(OR(E2334="",E2334="!!!",F2334="NEW"),"",INDEX(J$1:J2333,SUMPRODUCT(MAX(ROW(E$1:E2333)*(E2334=E$1:E2333)))))</f>
        <v> </v>
      </c>
      <c r="L2334" s="26"/>
    </row>
    <row r="2335" spans="1:12">
      <c r="A2335" s="20" t="s">
        <v>2255</v>
      </c>
      <c r="E2335" s="21">
        <f>IF(D2335="?OLD","!!!","")</f>
        <v/>
      </c>
      <c r="F2335" s="22" t="str">
        <f>IF(OR(E2335="",E2335="!!!"),"",IF(NOT(ISNA(VLOOKUP(E2335,E$1:E2334,1,FALSE()))),"OLD",IF(AND(E2335&lt;&gt;"",E2335&lt;&gt;"!!!"),"NEW","")))</f>
        <v> </v>
      </c>
      <c r="G2335" s="23" t="str">
        <f>IF(OR(E2335="",E2335="!!!"),"",IF(OR(J2335=0,AND(J2335=1,K2335=1),AND(J2335=1,I2335="SBJ"),AND(J2335=1,I2335=0)),"?IN_FOCUS",IF(J2335&lt;=2,"?ACTIVATED",IF(J2335&lt;&gt;"","?FAMILIAR",IF(F2335="NEW",IF(ISNA(VLOOKUP(E2335,#REF!,1,FALSE())),"?TYPE_IDENTIFIABLE","?REFERENTIAL"),"_")))))</f>
        <v> </v>
      </c>
      <c r="H2335" s="24" t="str">
        <f>IF(J2335&lt;&gt;1,"",IF(I2335="SBJ","CB","?"))</f>
        <v> </v>
      </c>
      <c r="I2335" s="25" t="str">
        <f>IF(OR(E2335="",E2335="!!!",F2335="NEW"),"",INDEX(B2334:B$2,-1+SUMPRODUCT(MAX(ROW(E2334:E$2)*(E2335=E2334:E$2)))))</f>
        <v> </v>
      </c>
      <c r="J2335" s="25" t="str">
        <f>IF(OR(E2335="",E2335="!!!",F2335="NEW"),"",COUNTBLANK(OFFSET(A$1,,,SUMPRODUCT(MAX(ROW(E$2:E2335)*(E2335=E$2:E2335)))))-COUNTBLANK(OFFSET(A$1,,,SUMPRODUCT(MAX(ROW(E$1:E2334)*(E2=E$1:E2334))))))</f>
        <v> </v>
      </c>
      <c r="K2335" s="25" t="str">
        <f>IF(OR(E2335="",E2335="!!!",F2335="NEW"),"",INDEX(J$1:J2334,SUMPRODUCT(MAX(ROW(E$1:E2334)*(E2335=E$1:E2334)))))</f>
        <v> </v>
      </c>
      <c r="L2335" s="26"/>
    </row>
    <row r="2336" spans="1:12">
      <c r="A2336" s="20" t="s">
        <v>1123</v>
      </c>
      <c r="E2336" s="21">
        <f>IF(D2336="?OLD","!!!","")</f>
        <v/>
      </c>
      <c r="F2336" s="22" t="str">
        <f>IF(OR(E2336="",E2336="!!!"),"",IF(NOT(ISNA(VLOOKUP(E2336,E$1:E2335,1,FALSE()))),"OLD",IF(AND(E2336&lt;&gt;"",E2336&lt;&gt;"!!!"),"NEW","")))</f>
        <v> </v>
      </c>
      <c r="G2336" s="23" t="str">
        <f>IF(OR(E2336="",E2336="!!!"),"",IF(OR(J2336=0,AND(J2336=1,K2336=1),AND(J2336=1,I2336="SBJ"),AND(J2336=1,I2336=0)),"?IN_FOCUS",IF(J2336&lt;=2,"?ACTIVATED",IF(J2336&lt;&gt;"","?FAMILIAR",IF(F2336="NEW",IF(ISNA(VLOOKUP(E2336,#REF!,1,FALSE())),"?TYPE_IDENTIFIABLE","?REFERENTIAL"),"_")))))</f>
        <v> </v>
      </c>
      <c r="H2336" s="24" t="str">
        <f>IF(J2336&lt;&gt;1,"",IF(I2336="SBJ","CB","?"))</f>
        <v> </v>
      </c>
      <c r="I2336" s="25" t="str">
        <f>IF(OR(E2336="",E2336="!!!",F2336="NEW"),"",INDEX(B2335:B$2,-1+SUMPRODUCT(MAX(ROW(E2335:E$2)*(E2336=E2335:E$2)))))</f>
        <v> </v>
      </c>
      <c r="J2336" s="25" t="str">
        <f>IF(OR(E2336="",E2336="!!!",F2336="NEW"),"",COUNTBLANK(OFFSET(A$1,,,SUMPRODUCT(MAX(ROW(E$2:E2336)*(E2336=E$2:E2336)))))-COUNTBLANK(OFFSET(A$1,,,SUMPRODUCT(MAX(ROW(E$1:E2335)*(E2=E$1:E2335))))))</f>
        <v> </v>
      </c>
      <c r="K2336" s="25" t="str">
        <f>IF(OR(E2336="",E2336="!!!",F2336="NEW"),"",INDEX(J$1:J2335,SUMPRODUCT(MAX(ROW(E$1:E2335)*(E2336=E$1:E2335)))))</f>
        <v> </v>
      </c>
      <c r="L2336" s="26"/>
    </row>
    <row r="2337" spans="1:12">
      <c r="A2337" s="20" t="s">
        <v>1111</v>
      </c>
      <c r="E2337" s="21">
        <f>IF(D2337="?OLD","!!!","")</f>
        <v/>
      </c>
      <c r="F2337" s="22" t="str">
        <f>IF(OR(E2337="",E2337="!!!"),"",IF(NOT(ISNA(VLOOKUP(E2337,E$1:E2336,1,FALSE()))),"OLD",IF(AND(E2337&lt;&gt;"",E2337&lt;&gt;"!!!"),"NEW","")))</f>
        <v> </v>
      </c>
      <c r="G2337" s="23" t="str">
        <f>IF(OR(E2337="",E2337="!!!"),"",IF(OR(J2337=0,AND(J2337=1,K2337=1),AND(J2337=1,I2337="SBJ"),AND(J2337=1,I2337=0)),"?IN_FOCUS",IF(J2337&lt;=2,"?ACTIVATED",IF(J2337&lt;&gt;"","?FAMILIAR",IF(F2337="NEW",IF(ISNA(VLOOKUP(E2337,#REF!,1,FALSE())),"?TYPE_IDENTIFIABLE","?REFERENTIAL"),"_")))))</f>
        <v> </v>
      </c>
      <c r="H2337" s="24" t="str">
        <f>IF(J2337&lt;&gt;1,"",IF(I2337="SBJ","CB","?"))</f>
        <v> </v>
      </c>
      <c r="I2337" s="25" t="str">
        <f>IF(OR(E2337="",E2337="!!!",F2337="NEW"),"",INDEX(B2336:B$2,-1+SUMPRODUCT(MAX(ROW(E2336:E$2)*(E2337=E2336:E$2)))))</f>
        <v> </v>
      </c>
      <c r="J2337" s="25" t="str">
        <f>IF(OR(E2337="",E2337="!!!",F2337="NEW"),"",COUNTBLANK(OFFSET(A$1,,,SUMPRODUCT(MAX(ROW(E$2:E2337)*(E2337=E$2:E2337)))))-COUNTBLANK(OFFSET(A$1,,,SUMPRODUCT(MAX(ROW(E$1:E2336)*(E2=E$1:E2336))))))</f>
        <v> </v>
      </c>
      <c r="K2337" s="25" t="str">
        <f>IF(OR(E2337="",E2337="!!!",F2337="NEW"),"",INDEX(J$1:J2336,SUMPRODUCT(MAX(ROW(E$1:E2336)*(E2337=E$1:E2336)))))</f>
        <v> </v>
      </c>
      <c r="L2337" s="26"/>
    </row>
    <row r="2338" spans="1:12">
      <c r="A2338" s="20" t="s">
        <v>1425</v>
      </c>
      <c r="E2338" s="21">
        <f>IF(D2338="?OLD","!!!","")</f>
        <v/>
      </c>
      <c r="F2338" s="22" t="str">
        <f>IF(OR(E2338="",E2338="!!!"),"",IF(NOT(ISNA(VLOOKUP(E2338,E$1:E2337,1,FALSE()))),"OLD",IF(AND(E2338&lt;&gt;"",E2338&lt;&gt;"!!!"),"NEW","")))</f>
        <v> </v>
      </c>
      <c r="G2338" s="23" t="str">
        <f>IF(OR(E2338="",E2338="!!!"),"",IF(OR(J2338=0,AND(J2338=1,K2338=1),AND(J2338=1,I2338="SBJ"),AND(J2338=1,I2338=0)),"?IN_FOCUS",IF(J2338&lt;=2,"?ACTIVATED",IF(J2338&lt;&gt;"","?FAMILIAR",IF(F2338="NEW",IF(ISNA(VLOOKUP(E2338,#REF!,1,FALSE())),"?TYPE_IDENTIFIABLE","?REFERENTIAL"),"_")))))</f>
        <v> </v>
      </c>
      <c r="H2338" s="24" t="str">
        <f>IF(J2338&lt;&gt;1,"",IF(I2338="SBJ","CB","?"))</f>
        <v> </v>
      </c>
      <c r="I2338" s="25" t="str">
        <f>IF(OR(E2338="",E2338="!!!",F2338="NEW"),"",INDEX(B2337:B$2,-1+SUMPRODUCT(MAX(ROW(E2337:E$2)*(E2338=E2337:E$2)))))</f>
        <v> </v>
      </c>
      <c r="J2338" s="25" t="str">
        <f>IF(OR(E2338="",E2338="!!!",F2338="NEW"),"",COUNTBLANK(OFFSET(A$1,,,SUMPRODUCT(MAX(ROW(E$2:E2338)*(E2338=E$2:E2338)))))-COUNTBLANK(OFFSET(A$1,,,SUMPRODUCT(MAX(ROW(E$1:E2337)*(E2=E$1:E2337))))))</f>
        <v> </v>
      </c>
      <c r="K2338" s="25" t="str">
        <f>IF(OR(E2338="",E2338="!!!",F2338="NEW"),"",INDEX(J$1:J2337,SUMPRODUCT(MAX(ROW(E$1:E2337)*(E2338=E$1:E2337)))))</f>
        <v> </v>
      </c>
      <c r="L2338" s="26"/>
    </row>
    <row r="2339" spans="1:12">
      <c r="A2339" s="20" t="s">
        <v>1228</v>
      </c>
      <c r="B2339" s="27" t="s">
        <v>1122</v>
      </c>
      <c r="C2339" s="27" t="s">
        <v>1126</v>
      </c>
      <c r="D2339" s="27" t="s">
        <v>1105</v>
      </c>
      <c r="E2339" s="21">
        <f>IF(D2339="?OLD","!!!","")</f>
        <v/>
      </c>
      <c r="F2339" s="22" t="str">
        <f>IF(OR(E2339="",E2339="!!!"),"",IF(NOT(ISNA(VLOOKUP(E2339,E$1:E2338,1,FALSE()))),"OLD",IF(AND(E2339&lt;&gt;"",E2339&lt;&gt;"!!!"),"NEW","")))</f>
        <v> </v>
      </c>
      <c r="G2339" s="23" t="str">
        <f>IF(OR(E2339="",E2339="!!!"),"",IF(OR(J2339=0,AND(J2339=1,K2339=1),AND(J2339=1,I2339="SBJ"),AND(J2339=1,I2339=0)),"?IN_FOCUS",IF(J2339&lt;=2,"?ACTIVATED",IF(J2339&lt;&gt;"","?FAMILIAR",IF(F2339="NEW",IF(ISNA(VLOOKUP(E2339,#REF!,1,FALSE())),"?TYPE_IDENTIFIABLE","?REFERENTIAL"),"_")))))</f>
        <v> </v>
      </c>
      <c r="H2339" s="24" t="str">
        <f>IF(J2339&lt;&gt;1,"",IF(I2339="SBJ","CB","?"))</f>
        <v> </v>
      </c>
      <c r="I2339" s="25" t="str">
        <f>IF(OR(E2339="",E2339="!!!",F2339="NEW"),"",INDEX(B2338:B$2,-1+SUMPRODUCT(MAX(ROW(E2338:E$2)*(E2339=E2338:E$2)))))</f>
        <v> </v>
      </c>
      <c r="J2339" s="25" t="str">
        <f>IF(OR(E2339="",E2339="!!!",F2339="NEW"),"",COUNTBLANK(OFFSET(A$1,,,SUMPRODUCT(MAX(ROW(E$2:E2339)*(E2339=E$2:E2339)))))-COUNTBLANK(OFFSET(A$1,,,SUMPRODUCT(MAX(ROW(E$1:E2338)*(E2=E$1:E2338))))))</f>
        <v> </v>
      </c>
      <c r="K2339" s="25" t="str">
        <f>IF(OR(E2339="",E2339="!!!",F2339="NEW"),"",INDEX(J$1:J2338,SUMPRODUCT(MAX(ROW(E$1:E2338)*(E2339=E$1:E2338)))))</f>
        <v> </v>
      </c>
      <c r="L2339" s="26"/>
    </row>
    <row r="2340" spans="1:12">
      <c r="A2340" s="20" t="s">
        <v>1145</v>
      </c>
      <c r="E2340" s="21">
        <f>IF(D2340="?OLD","!!!","")</f>
        <v/>
      </c>
      <c r="F2340" s="22" t="str">
        <f>IF(OR(E2340="",E2340="!!!"),"",IF(NOT(ISNA(VLOOKUP(E2340,E$1:E2339,1,FALSE()))),"OLD",IF(AND(E2340&lt;&gt;"",E2340&lt;&gt;"!!!"),"NEW","")))</f>
        <v> </v>
      </c>
      <c r="G2340" s="23" t="str">
        <f>IF(OR(E2340="",E2340="!!!"),"",IF(OR(J2340=0,AND(J2340=1,K2340=1),AND(J2340=1,I2340="SBJ"),AND(J2340=1,I2340=0)),"?IN_FOCUS",IF(J2340&lt;=2,"?ACTIVATED",IF(J2340&lt;&gt;"","?FAMILIAR",IF(F2340="NEW",IF(ISNA(VLOOKUP(E2340,#REF!,1,FALSE())),"?TYPE_IDENTIFIABLE","?REFERENTIAL"),"_")))))</f>
        <v> </v>
      </c>
      <c r="H2340" s="24" t="str">
        <f>IF(J2340&lt;&gt;1,"",IF(I2340="SBJ","CB","?"))</f>
        <v> </v>
      </c>
      <c r="I2340" s="25" t="str">
        <f>IF(OR(E2340="",E2340="!!!",F2340="NEW"),"",INDEX(B2339:B$2,-1+SUMPRODUCT(MAX(ROW(E2339:E$2)*(E2340=E2339:E$2)))))</f>
        <v> </v>
      </c>
      <c r="J2340" s="25" t="str">
        <f>IF(OR(E2340="",E2340="!!!",F2340="NEW"),"",COUNTBLANK(OFFSET(A$1,,,SUMPRODUCT(MAX(ROW(E$2:E2340)*(E2340=E$2:E2340)))))-COUNTBLANK(OFFSET(A$1,,,SUMPRODUCT(MAX(ROW(E$1:E2339)*(E2=E$1:E2339))))))</f>
        <v> </v>
      </c>
      <c r="K2340" s="25" t="str">
        <f>IF(OR(E2340="",E2340="!!!",F2340="NEW"),"",INDEX(J$1:J2339,SUMPRODUCT(MAX(ROW(E$1:E2339)*(E2340=E$1:E2339)))))</f>
        <v> </v>
      </c>
      <c r="L2340" s="26"/>
    </row>
    <row r="2341" spans="1:12">
      <c r="A2341" s="20"/>
    </row>
    <row r="2342" spans="1:12">
      <c r="A2342" s="20" t="s">
        <v>2256</v>
      </c>
    </row>
    <row r="2343" spans="1:12">
      <c r="A2343" s="20" t="s">
        <v>1111</v>
      </c>
      <c r="E2343" s="21">
        <f>IF(D2343="?OLD","!!!","")</f>
        <v/>
      </c>
      <c r="F2343" s="22" t="str">
        <f>IF(OR(E2343="",E2343="!!!"),"",IF(NOT(ISNA(VLOOKUP(E2343,E$1:E2342,1,FALSE()))),"OLD",IF(AND(E2343&lt;&gt;"",E2343&lt;&gt;"!!!"),"NEW","")))</f>
        <v> </v>
      </c>
      <c r="G2343" s="23" t="str">
        <f>IF(OR(E2343="",E2343="!!!"),"",IF(OR(J2343=0,AND(J2343=1,K2343=1),AND(J2343=1,I2343="SBJ"),AND(J2343=1,I2343=0)),"?IN_FOCUS",IF(J2343&lt;=2,"?ACTIVATED",IF(J2343&lt;&gt;"","?FAMILIAR",IF(F2343="NEW",IF(ISNA(VLOOKUP(E2343,#REF!,1,FALSE())),"?TYPE_IDENTIFIABLE","?REFERENTIAL"),"_")))))</f>
        <v> </v>
      </c>
      <c r="H2343" s="24" t="str">
        <f>IF(J2343&lt;&gt;1,"",IF(I2343="SBJ","CB","?"))</f>
        <v> </v>
      </c>
      <c r="I2343" s="25" t="str">
        <f>IF(OR(E2343="",E2343="!!!",F2343="NEW"),"",INDEX(B2342:B$2,-1+SUMPRODUCT(MAX(ROW(E2342:E$2)*(E2343=E2342:E$2)))))</f>
        <v> </v>
      </c>
      <c r="J2343" s="25" t="str">
        <f>IF(OR(E2343="",E2343="!!!",F2343="NEW"),"",COUNTBLANK(OFFSET(A$1,,,SUMPRODUCT(MAX(ROW(E$2:E2343)*(E2343=E$2:E2343)))))-COUNTBLANK(OFFSET(A$1,,,SUMPRODUCT(MAX(ROW(E$1:E2342)*(E2=E$1:E2342))))))</f>
        <v> </v>
      </c>
      <c r="K2343" s="25" t="str">
        <f>IF(OR(E2343="",E2343="!!!",F2343="NEW"),"",INDEX(J$1:J2342,SUMPRODUCT(MAX(ROW(E$1:E2342)*(E2343=E$1:E2342)))))</f>
        <v> </v>
      </c>
      <c r="L2343" s="26"/>
    </row>
    <row r="2344" spans="1:12">
      <c r="A2344" s="20" t="s">
        <v>1436</v>
      </c>
      <c r="E2344" s="21">
        <f>IF(D2344="?OLD","!!!","")</f>
        <v/>
      </c>
      <c r="F2344" s="22" t="str">
        <f>IF(OR(E2344="",E2344="!!!"),"",IF(NOT(ISNA(VLOOKUP(E2344,E$1:E2343,1,FALSE()))),"OLD",IF(AND(E2344&lt;&gt;"",E2344&lt;&gt;"!!!"),"NEW","")))</f>
        <v> </v>
      </c>
      <c r="G2344" s="23" t="str">
        <f>IF(OR(E2344="",E2344="!!!"),"",IF(OR(J2344=0,AND(J2344=1,K2344=1),AND(J2344=1,I2344="SBJ"),AND(J2344=1,I2344=0)),"?IN_FOCUS",IF(J2344&lt;=2,"?ACTIVATED",IF(J2344&lt;&gt;"","?FAMILIAR",IF(F2344="NEW",IF(ISNA(VLOOKUP(E2344,#REF!,1,FALSE())),"?TYPE_IDENTIFIABLE","?REFERENTIAL"),"_")))))</f>
        <v> </v>
      </c>
      <c r="H2344" s="24" t="str">
        <f>IF(J2344&lt;&gt;1,"",IF(I2344="SBJ","CB","?"))</f>
        <v> </v>
      </c>
      <c r="I2344" s="25" t="str">
        <f>IF(OR(E2344="",E2344="!!!",F2344="NEW"),"",INDEX(B2343:B$2,-1+SUMPRODUCT(MAX(ROW(E2343:E$2)*(E2344=E2343:E$2)))))</f>
        <v> </v>
      </c>
      <c r="J2344" s="25" t="str">
        <f>IF(OR(E2344="",E2344="!!!",F2344="NEW"),"",COUNTBLANK(OFFSET(A$1,,,SUMPRODUCT(MAX(ROW(E$2:E2344)*(E2344=E$2:E2344)))))-COUNTBLANK(OFFSET(A$1,,,SUMPRODUCT(MAX(ROW(E$1:E2343)*(E2=E$1:E2343))))))</f>
        <v> </v>
      </c>
      <c r="K2344" s="25" t="str">
        <f>IF(OR(E2344="",E2344="!!!",F2344="NEW"),"",INDEX(J$1:J2343,SUMPRODUCT(MAX(ROW(E$1:E2343)*(E2344=E$1:E2343)))))</f>
        <v> </v>
      </c>
      <c r="L2344" s="26"/>
    </row>
    <row r="2345" spans="1:12">
      <c r="A2345" s="20" t="s">
        <v>1123</v>
      </c>
      <c r="E2345" s="21">
        <f>IF(D2345="?OLD","!!!","")</f>
        <v/>
      </c>
      <c r="F2345" s="22" t="str">
        <f>IF(OR(E2345="",E2345="!!!"),"",IF(NOT(ISNA(VLOOKUP(E2345,E$1:E2344,1,FALSE()))),"OLD",IF(AND(E2345&lt;&gt;"",E2345&lt;&gt;"!!!"),"NEW","")))</f>
        <v> </v>
      </c>
      <c r="G2345" s="23" t="str">
        <f>IF(OR(E2345="",E2345="!!!"),"",IF(OR(J2345=0,AND(J2345=1,K2345=1),AND(J2345=1,I2345="SBJ"),AND(J2345=1,I2345=0)),"?IN_FOCUS",IF(J2345&lt;=2,"?ACTIVATED",IF(J2345&lt;&gt;"","?FAMILIAR",IF(F2345="NEW",IF(ISNA(VLOOKUP(E2345,#REF!,1,FALSE())),"?TYPE_IDENTIFIABLE","?REFERENTIAL"),"_")))))</f>
        <v> </v>
      </c>
      <c r="H2345" s="24" t="str">
        <f>IF(J2345&lt;&gt;1,"",IF(I2345="SBJ","CB","?"))</f>
        <v> </v>
      </c>
      <c r="I2345" s="25" t="str">
        <f>IF(OR(E2345="",E2345="!!!",F2345="NEW"),"",INDEX(B2344:B$2,-1+SUMPRODUCT(MAX(ROW(E2344:E$2)*(E2345=E2344:E$2)))))</f>
        <v> </v>
      </c>
      <c r="J2345" s="25" t="str">
        <f>IF(OR(E2345="",E2345="!!!",F2345="NEW"),"",COUNTBLANK(OFFSET(A$1,,,SUMPRODUCT(MAX(ROW(E$2:E2345)*(E2345=E$2:E2345)))))-COUNTBLANK(OFFSET(A$1,,,SUMPRODUCT(MAX(ROW(E$1:E2344)*(E2=E$1:E2344))))))</f>
        <v> </v>
      </c>
      <c r="K2345" s="25" t="str">
        <f>IF(OR(E2345="",E2345="!!!",F2345="NEW"),"",INDEX(J$1:J2344,SUMPRODUCT(MAX(ROW(E$1:E2344)*(E2345=E$1:E2344)))))</f>
        <v> </v>
      </c>
      <c r="L2345" s="26"/>
    </row>
    <row r="2346" spans="1:12">
      <c r="A2346" s="20" t="s">
        <v>1128</v>
      </c>
      <c r="E2346" s="21">
        <f>IF(D2346="?OLD","!!!","")</f>
        <v/>
      </c>
      <c r="F2346" s="22" t="str">
        <f>IF(OR(E2346="",E2346="!!!"),"",IF(NOT(ISNA(VLOOKUP(E2346,E$1:E2345,1,FALSE()))),"OLD",IF(AND(E2346&lt;&gt;"",E2346&lt;&gt;"!!!"),"NEW","")))</f>
        <v> </v>
      </c>
      <c r="G2346" s="23" t="str">
        <f>IF(OR(E2346="",E2346="!!!"),"",IF(OR(J2346=0,AND(J2346=1,K2346=1),AND(J2346=1,I2346="SBJ"),AND(J2346=1,I2346=0)),"?IN_FOCUS",IF(J2346&lt;=2,"?ACTIVATED",IF(J2346&lt;&gt;"","?FAMILIAR",IF(F2346="NEW",IF(ISNA(VLOOKUP(E2346,#REF!,1,FALSE())),"?TYPE_IDENTIFIABLE","?REFERENTIAL"),"_")))))</f>
        <v> </v>
      </c>
      <c r="H2346" s="24" t="str">
        <f>IF(J2346&lt;&gt;1,"",IF(I2346="SBJ","CB","?"))</f>
        <v> </v>
      </c>
      <c r="I2346" s="25" t="str">
        <f>IF(OR(E2346="",E2346="!!!",F2346="NEW"),"",INDEX(B2345:B$2,-1+SUMPRODUCT(MAX(ROW(E2345:E$2)*(E2346=E2345:E$2)))))</f>
        <v> </v>
      </c>
      <c r="J2346" s="25" t="str">
        <f>IF(OR(E2346="",E2346="!!!",F2346="NEW"),"",COUNTBLANK(OFFSET(A$1,,,SUMPRODUCT(MAX(ROW(E$2:E2346)*(E2346=E$2:E2346)))))-COUNTBLANK(OFFSET(A$1,,,SUMPRODUCT(MAX(ROW(E$1:E2345)*(E2=E$1:E2345))))))</f>
        <v> </v>
      </c>
      <c r="K2346" s="25" t="str">
        <f>IF(OR(E2346="",E2346="!!!",F2346="NEW"),"",INDEX(J$1:J2345,SUMPRODUCT(MAX(ROW(E$1:E2345)*(E2346=E$1:E2345)))))</f>
        <v> </v>
      </c>
      <c r="L2346" s="26"/>
    </row>
    <row r="2347" spans="1:12">
      <c r="A2347" s="20" t="s">
        <v>2257</v>
      </c>
      <c r="E2347" s="21">
        <f>IF(D2347="?OLD","!!!","")</f>
        <v/>
      </c>
      <c r="F2347" s="22" t="str">
        <f>IF(OR(E2347="",E2347="!!!"),"",IF(NOT(ISNA(VLOOKUP(E2347,E$1:E2346,1,FALSE()))),"OLD",IF(AND(E2347&lt;&gt;"",E2347&lt;&gt;"!!!"),"NEW","")))</f>
        <v> </v>
      </c>
      <c r="G2347" s="23" t="str">
        <f>IF(OR(E2347="",E2347="!!!"),"",IF(OR(J2347=0,AND(J2347=1,K2347=1),AND(J2347=1,I2347="SBJ"),AND(J2347=1,I2347=0)),"?IN_FOCUS",IF(J2347&lt;=2,"?ACTIVATED",IF(J2347&lt;&gt;"","?FAMILIAR",IF(F2347="NEW",IF(ISNA(VLOOKUP(E2347,#REF!,1,FALSE())),"?TYPE_IDENTIFIABLE","?REFERENTIAL"),"_")))))</f>
        <v> </v>
      </c>
      <c r="H2347" s="24" t="str">
        <f>IF(J2347&lt;&gt;1,"",IF(I2347="SBJ","CB","?"))</f>
        <v> </v>
      </c>
      <c r="I2347" s="25" t="str">
        <f>IF(OR(E2347="",E2347="!!!",F2347="NEW"),"",INDEX(B2346:B$2,-1+SUMPRODUCT(MAX(ROW(E2346:E$2)*(E2347=E2346:E$2)))))</f>
        <v> </v>
      </c>
      <c r="J2347" s="25" t="str">
        <f>IF(OR(E2347="",E2347="!!!",F2347="NEW"),"",COUNTBLANK(OFFSET(A$1,,,SUMPRODUCT(MAX(ROW(E$2:E2347)*(E2347=E$2:E2347)))))-COUNTBLANK(OFFSET(A$1,,,SUMPRODUCT(MAX(ROW(E$1:E2346)*(E2=E$1:E2346))))))</f>
        <v> </v>
      </c>
      <c r="K2347" s="25" t="str">
        <f>IF(OR(E2347="",E2347="!!!",F2347="NEW"),"",INDEX(J$1:J2346,SUMPRODUCT(MAX(ROW(E$1:E2346)*(E2347=E$1:E2346)))))</f>
        <v> </v>
      </c>
      <c r="L2347" s="26"/>
    </row>
    <row r="2348" spans="1:12">
      <c r="A2348" s="20" t="s">
        <v>2258</v>
      </c>
      <c r="E2348" s="21">
        <f>IF(D2348="?OLD","!!!","")</f>
        <v/>
      </c>
      <c r="F2348" s="22" t="str">
        <f>IF(OR(E2348="",E2348="!!!"),"",IF(NOT(ISNA(VLOOKUP(E2348,E$1:E2347,1,FALSE()))),"OLD",IF(AND(E2348&lt;&gt;"",E2348&lt;&gt;"!!!"),"NEW","")))</f>
        <v> </v>
      </c>
      <c r="G2348" s="23" t="str">
        <f>IF(OR(E2348="",E2348="!!!"),"",IF(OR(J2348=0,AND(J2348=1,K2348=1),AND(J2348=1,I2348="SBJ"),AND(J2348=1,I2348=0)),"?IN_FOCUS",IF(J2348&lt;=2,"?ACTIVATED",IF(J2348&lt;&gt;"","?FAMILIAR",IF(F2348="NEW",IF(ISNA(VLOOKUP(E2348,#REF!,1,FALSE())),"?TYPE_IDENTIFIABLE","?REFERENTIAL"),"_")))))</f>
        <v> </v>
      </c>
      <c r="H2348" s="24" t="str">
        <f>IF(J2348&lt;&gt;1,"",IF(I2348="SBJ","CB","?"))</f>
        <v> </v>
      </c>
      <c r="I2348" s="25" t="str">
        <f>IF(OR(E2348="",E2348="!!!",F2348="NEW"),"",INDEX(B2347:B$2,-1+SUMPRODUCT(MAX(ROW(E2347:E$2)*(E2348=E2347:E$2)))))</f>
        <v> </v>
      </c>
      <c r="J2348" s="25" t="str">
        <f>IF(OR(E2348="",E2348="!!!",F2348="NEW"),"",COUNTBLANK(OFFSET(A$1,,,SUMPRODUCT(MAX(ROW(E$2:E2348)*(E2348=E$2:E2348)))))-COUNTBLANK(OFFSET(A$1,,,SUMPRODUCT(MAX(ROW(E$1:E2347)*(E2=E$1:E2347))))))</f>
        <v> </v>
      </c>
      <c r="K2348" s="25" t="str">
        <f>IF(OR(E2348="",E2348="!!!",F2348="NEW"),"",INDEX(J$1:J2347,SUMPRODUCT(MAX(ROW(E$1:E2347)*(E2348=E$1:E2347)))))</f>
        <v> </v>
      </c>
      <c r="L2348" s="26"/>
    </row>
    <row r="2349" spans="1:12">
      <c r="A2349" s="20" t="s">
        <v>552</v>
      </c>
      <c r="B2349" s="27" t="s">
        <v>1103</v>
      </c>
      <c r="C2349" s="27" t="s">
        <v>1289</v>
      </c>
      <c r="E2349" s="21">
        <f>IF(D2349="?OLD","!!!","")</f>
        <v/>
      </c>
      <c r="F2349" s="22" t="str">
        <f>IF(OR(E2349="",E2349="!!!"),"",IF(NOT(ISNA(VLOOKUP(E2349,E$1:E2348,1,FALSE()))),"OLD",IF(AND(E2349&lt;&gt;"",E2349&lt;&gt;"!!!"),"NEW","")))</f>
        <v> </v>
      </c>
      <c r="G2349" s="23" t="str">
        <f>IF(OR(E2349="",E2349="!!!"),"",IF(OR(J2349=0,AND(J2349=1,K2349=1),AND(J2349=1,I2349="SBJ"),AND(J2349=1,I2349=0)),"?IN_FOCUS",IF(J2349&lt;=2,"?ACTIVATED",IF(J2349&lt;&gt;"","?FAMILIAR",IF(F2349="NEW",IF(ISNA(VLOOKUP(E2349,#REF!,1,FALSE())),"?TYPE_IDENTIFIABLE","?REFERENTIAL"),"_")))))</f>
        <v> </v>
      </c>
      <c r="H2349" s="24" t="str">
        <f>IF(J2349&lt;&gt;1,"",IF(I2349="SBJ","CB","?"))</f>
        <v> </v>
      </c>
      <c r="I2349" s="25" t="str">
        <f>IF(OR(E2349="",E2349="!!!",F2349="NEW"),"",INDEX(B2348:B$2,-1+SUMPRODUCT(MAX(ROW(E2348:E$2)*(E2349=E2348:E$2)))))</f>
        <v> </v>
      </c>
      <c r="J2349" s="25" t="str">
        <f>IF(OR(E2349="",E2349="!!!",F2349="NEW"),"",COUNTBLANK(OFFSET(A$1,,,SUMPRODUCT(MAX(ROW(E$2:E2349)*(E2349=E$2:E2349)))))-COUNTBLANK(OFFSET(A$1,,,SUMPRODUCT(MAX(ROW(E$1:E2348)*(E2=E$1:E2348))))))</f>
        <v> </v>
      </c>
      <c r="K2349" s="25" t="str">
        <f>IF(OR(E2349="",E2349="!!!",F2349="NEW"),"",INDEX(J$1:J2348,SUMPRODUCT(MAX(ROW(E$1:E2348)*(E2349=E$1:E2348)))))</f>
        <v> </v>
      </c>
      <c r="L2349" s="26"/>
    </row>
    <row r="2350" spans="1:12">
      <c r="A2350" s="20" t="s">
        <v>1123</v>
      </c>
      <c r="E2350" s="21">
        <f>IF(D2350="?OLD","!!!","")</f>
        <v/>
      </c>
      <c r="F2350" s="22" t="str">
        <f>IF(OR(E2350="",E2350="!!!"),"",IF(NOT(ISNA(VLOOKUP(E2350,E$1:E2349,1,FALSE()))),"OLD",IF(AND(E2350&lt;&gt;"",E2350&lt;&gt;"!!!"),"NEW","")))</f>
        <v> </v>
      </c>
      <c r="G2350" s="23" t="str">
        <f>IF(OR(E2350="",E2350="!!!"),"",IF(OR(J2350=0,AND(J2350=1,K2350=1),AND(J2350=1,I2350="SBJ"),AND(J2350=1,I2350=0)),"?IN_FOCUS",IF(J2350&lt;=2,"?ACTIVATED",IF(J2350&lt;&gt;"","?FAMILIAR",IF(F2350="NEW",IF(ISNA(VLOOKUP(E2350,#REF!,1,FALSE())),"?TYPE_IDENTIFIABLE","?REFERENTIAL"),"_")))))</f>
        <v> </v>
      </c>
      <c r="H2350" s="24" t="str">
        <f>IF(J2350&lt;&gt;1,"",IF(I2350="SBJ","CB","?"))</f>
        <v> </v>
      </c>
      <c r="I2350" s="25" t="str">
        <f>IF(OR(E2350="",E2350="!!!",F2350="NEW"),"",INDEX(B2349:B$2,-1+SUMPRODUCT(MAX(ROW(E2349:E$2)*(E2350=E2349:E$2)))))</f>
        <v> </v>
      </c>
      <c r="J2350" s="25" t="str">
        <f>IF(OR(E2350="",E2350="!!!",F2350="NEW"),"",COUNTBLANK(OFFSET(A$1,,,SUMPRODUCT(MAX(ROW(E$2:E2350)*(E2350=E$2:E2350)))))-COUNTBLANK(OFFSET(A$1,,,SUMPRODUCT(MAX(ROW(E$1:E2349)*(E2=E$1:E2349))))))</f>
        <v> </v>
      </c>
      <c r="K2350" s="25" t="str">
        <f>IF(OR(E2350="",E2350="!!!",F2350="NEW"),"",INDEX(J$1:J2349,SUMPRODUCT(MAX(ROW(E$1:E2349)*(E2350=E$1:E2349)))))</f>
        <v> </v>
      </c>
      <c r="L2350" s="26"/>
    </row>
    <row r="2351" spans="1:12">
      <c r="A2351" s="20" t="s">
        <v>1111</v>
      </c>
      <c r="E2351" s="21">
        <f>IF(D2351="?OLD","!!!","")</f>
        <v/>
      </c>
      <c r="F2351" s="22" t="str">
        <f>IF(OR(E2351="",E2351="!!!"),"",IF(NOT(ISNA(VLOOKUP(E2351,E$1:E2350,1,FALSE()))),"OLD",IF(AND(E2351&lt;&gt;"",E2351&lt;&gt;"!!!"),"NEW","")))</f>
        <v> </v>
      </c>
      <c r="G2351" s="23" t="str">
        <f>IF(OR(E2351="",E2351="!!!"),"",IF(OR(J2351=0,AND(J2351=1,K2351=1),AND(J2351=1,I2351="SBJ"),AND(J2351=1,I2351=0)),"?IN_FOCUS",IF(J2351&lt;=2,"?ACTIVATED",IF(J2351&lt;&gt;"","?FAMILIAR",IF(F2351="NEW",IF(ISNA(VLOOKUP(E2351,#REF!,1,FALSE())),"?TYPE_IDENTIFIABLE","?REFERENTIAL"),"_")))))</f>
        <v> </v>
      </c>
      <c r="H2351" s="24" t="str">
        <f>IF(J2351&lt;&gt;1,"",IF(I2351="SBJ","CB","?"))</f>
        <v> </v>
      </c>
      <c r="I2351" s="25" t="str">
        <f>IF(OR(E2351="",E2351="!!!",F2351="NEW"),"",INDEX(B2350:B$2,-1+SUMPRODUCT(MAX(ROW(E2350:E$2)*(E2351=E2350:E$2)))))</f>
        <v> </v>
      </c>
      <c r="J2351" s="25" t="str">
        <f>IF(OR(E2351="",E2351="!!!",F2351="NEW"),"",COUNTBLANK(OFFSET(A$1,,,SUMPRODUCT(MAX(ROW(E$2:E2351)*(E2351=E$2:E2351)))))-COUNTBLANK(OFFSET(A$1,,,SUMPRODUCT(MAX(ROW(E$1:E2350)*(E2=E$1:E2350))))))</f>
        <v> </v>
      </c>
      <c r="K2351" s="25" t="str">
        <f>IF(OR(E2351="",E2351="!!!",F2351="NEW"),"",INDEX(J$1:J2350,SUMPRODUCT(MAX(ROW(E$1:E2350)*(E2351=E$1:E2350)))))</f>
        <v> </v>
      </c>
      <c r="L2351" s="26"/>
    </row>
    <row r="2352" spans="1:12">
      <c r="A2352" s="20" t="s">
        <v>2259</v>
      </c>
      <c r="E2352" s="21">
        <f>IF(D2352="?OLD","!!!","")</f>
        <v/>
      </c>
      <c r="F2352" s="22" t="str">
        <f>IF(OR(E2352="",E2352="!!!"),"",IF(NOT(ISNA(VLOOKUP(E2352,E$1:E2351,1,FALSE()))),"OLD",IF(AND(E2352&lt;&gt;"",E2352&lt;&gt;"!!!"),"NEW","")))</f>
        <v> </v>
      </c>
      <c r="G2352" s="23" t="str">
        <f>IF(OR(E2352="",E2352="!!!"),"",IF(OR(J2352=0,AND(J2352=1,K2352=1),AND(J2352=1,I2352="SBJ"),AND(J2352=1,I2352=0)),"?IN_FOCUS",IF(J2352&lt;=2,"?ACTIVATED",IF(J2352&lt;&gt;"","?FAMILIAR",IF(F2352="NEW",IF(ISNA(VLOOKUP(E2352,#REF!,1,FALSE())),"?TYPE_IDENTIFIABLE","?REFERENTIAL"),"_")))))</f>
        <v> </v>
      </c>
      <c r="H2352" s="24" t="str">
        <f>IF(J2352&lt;&gt;1,"",IF(I2352="SBJ","CB","?"))</f>
        <v> </v>
      </c>
      <c r="I2352" s="25" t="str">
        <f>IF(OR(E2352="",E2352="!!!",F2352="NEW"),"",INDEX(B2351:B$2,-1+SUMPRODUCT(MAX(ROW(E2351:E$2)*(E2352=E2351:E$2)))))</f>
        <v> </v>
      </c>
      <c r="J2352" s="25" t="str">
        <f>IF(OR(E2352="",E2352="!!!",F2352="NEW"),"",COUNTBLANK(OFFSET(A$1,,,SUMPRODUCT(MAX(ROW(E$2:E2352)*(E2352=E$2:E2352)))))-COUNTBLANK(OFFSET(A$1,,,SUMPRODUCT(MAX(ROW(E$1:E2351)*(E2=E$1:E2351))))))</f>
        <v> </v>
      </c>
      <c r="K2352" s="25" t="str">
        <f>IF(OR(E2352="",E2352="!!!",F2352="NEW"),"",INDEX(J$1:J2351,SUMPRODUCT(MAX(ROW(E$1:E2351)*(E2352=E$1:E2351)))))</f>
        <v> </v>
      </c>
      <c r="L2352" s="26"/>
    </row>
    <row r="2353" spans="1:12">
      <c r="A2353" s="20" t="s">
        <v>1225</v>
      </c>
      <c r="B2353" s="27" t="s">
        <v>1122</v>
      </c>
      <c r="C2353" s="27" t="s">
        <v>1108</v>
      </c>
      <c r="D2353" s="27" t="s">
        <v>1105</v>
      </c>
      <c r="E2353" s="21">
        <f>IF(D2353="?OLD","!!!","")</f>
        <v/>
      </c>
      <c r="F2353" s="22" t="str">
        <f>IF(OR(E2353="",E2353="!!!"),"",IF(NOT(ISNA(VLOOKUP(E2353,E$1:E2352,1,FALSE()))),"OLD",IF(AND(E2353&lt;&gt;"",E2353&lt;&gt;"!!!"),"NEW","")))</f>
        <v> </v>
      </c>
      <c r="G2353" s="23" t="str">
        <f>IF(OR(E2353="",E2353="!!!"),"",IF(OR(J2353=0,AND(J2353=1,K2353=1),AND(J2353=1,I2353="SBJ"),AND(J2353=1,I2353=0)),"?IN_FOCUS",IF(J2353&lt;=2,"?ACTIVATED",IF(J2353&lt;&gt;"","?FAMILIAR",IF(F2353="NEW",IF(ISNA(VLOOKUP(E2353,#REF!,1,FALSE())),"?TYPE_IDENTIFIABLE","?REFERENTIAL"),"_")))))</f>
        <v> </v>
      </c>
      <c r="H2353" s="24" t="str">
        <f>IF(J2353&lt;&gt;1,"",IF(I2353="SBJ","CB","?"))</f>
        <v> </v>
      </c>
      <c r="I2353" s="25" t="str">
        <f>IF(OR(E2353="",E2353="!!!",F2353="NEW"),"",INDEX(B2352:B$2,-1+SUMPRODUCT(MAX(ROW(E2352:E$2)*(E2353=E2352:E$2)))))</f>
        <v> </v>
      </c>
      <c r="J2353" s="25" t="str">
        <f>IF(OR(E2353="",E2353="!!!",F2353="NEW"),"",COUNTBLANK(OFFSET(A$1,,,SUMPRODUCT(MAX(ROW(E$2:E2353)*(E2353=E$2:E2353)))))-COUNTBLANK(OFFSET(A$1,,,SUMPRODUCT(MAX(ROW(E$1:E2352)*(E2=E$1:E2352))))))</f>
        <v> </v>
      </c>
      <c r="K2353" s="25" t="str">
        <f>IF(OR(E2353="",E2353="!!!",F2353="NEW"),"",INDEX(J$1:J2352,SUMPRODUCT(MAX(ROW(E$1:E2352)*(E2353=E$1:E2352)))))</f>
        <v> </v>
      </c>
      <c r="L2353" s="26"/>
    </row>
    <row r="2354" spans="1:12">
      <c r="A2354" s="20" t="s">
        <v>1123</v>
      </c>
      <c r="E2354" s="21">
        <f>IF(D2354="?OLD","!!!","")</f>
        <v/>
      </c>
      <c r="F2354" s="22" t="str">
        <f>IF(OR(E2354="",E2354="!!!"),"",IF(NOT(ISNA(VLOOKUP(E2354,E$1:E2353,1,FALSE()))),"OLD",IF(AND(E2354&lt;&gt;"",E2354&lt;&gt;"!!!"),"NEW","")))</f>
        <v> </v>
      </c>
      <c r="G2354" s="23" t="str">
        <f>IF(OR(E2354="",E2354="!!!"),"",IF(OR(J2354=0,AND(J2354=1,K2354=1),AND(J2354=1,I2354="SBJ"),AND(J2354=1,I2354=0)),"?IN_FOCUS",IF(J2354&lt;=2,"?ACTIVATED",IF(J2354&lt;&gt;"","?FAMILIAR",IF(F2354="NEW",IF(ISNA(VLOOKUP(E2354,#REF!,1,FALSE())),"?TYPE_IDENTIFIABLE","?REFERENTIAL"),"_")))))</f>
        <v> </v>
      </c>
      <c r="H2354" s="24" t="str">
        <f>IF(J2354&lt;&gt;1,"",IF(I2354="SBJ","CB","?"))</f>
        <v> </v>
      </c>
      <c r="I2354" s="25" t="str">
        <f>IF(OR(E2354="",E2354="!!!",F2354="NEW"),"",INDEX(B2353:B$2,-1+SUMPRODUCT(MAX(ROW(E2353:E$2)*(E2354=E2353:E$2)))))</f>
        <v> </v>
      </c>
      <c r="J2354" s="25" t="str">
        <f>IF(OR(E2354="",E2354="!!!",F2354="NEW"),"",COUNTBLANK(OFFSET(A$1,,,SUMPRODUCT(MAX(ROW(E$2:E2354)*(E2354=E$2:E2354)))))-COUNTBLANK(OFFSET(A$1,,,SUMPRODUCT(MAX(ROW(E$1:E2353)*(E2=E$1:E2353))))))</f>
        <v> </v>
      </c>
      <c r="K2354" s="25" t="str">
        <f>IF(OR(E2354="",E2354="!!!",F2354="NEW"),"",INDEX(J$1:J2353,SUMPRODUCT(MAX(ROW(E$1:E2353)*(E2354=E$1:E2353)))))</f>
        <v> </v>
      </c>
      <c r="L2354" s="26"/>
    </row>
    <row r="2355" spans="1:12">
      <c r="A2355" s="20" t="s">
        <v>2260</v>
      </c>
      <c r="E2355" s="21">
        <f>IF(D2355="?OLD","!!!","")</f>
        <v/>
      </c>
      <c r="F2355" s="22" t="str">
        <f>IF(OR(E2355="",E2355="!!!"),"",IF(NOT(ISNA(VLOOKUP(E2355,E$1:E2354,1,FALSE()))),"OLD",IF(AND(E2355&lt;&gt;"",E2355&lt;&gt;"!!!"),"NEW","")))</f>
        <v> </v>
      </c>
      <c r="G2355" s="23" t="str">
        <f>IF(OR(E2355="",E2355="!!!"),"",IF(OR(J2355=0,AND(J2355=1,K2355=1),AND(J2355=1,I2355="SBJ"),AND(J2355=1,I2355=0)),"?IN_FOCUS",IF(J2355&lt;=2,"?ACTIVATED",IF(J2355&lt;&gt;"","?FAMILIAR",IF(F2355="NEW",IF(ISNA(VLOOKUP(E2355,#REF!,1,FALSE())),"?TYPE_IDENTIFIABLE","?REFERENTIAL"),"_")))))</f>
        <v> </v>
      </c>
      <c r="H2355" s="24" t="str">
        <f>IF(J2355&lt;&gt;1,"",IF(I2355="SBJ","CB","?"))</f>
        <v> </v>
      </c>
      <c r="I2355" s="25" t="str">
        <f>IF(OR(E2355="",E2355="!!!",F2355="NEW"),"",INDEX(B2354:B$2,-1+SUMPRODUCT(MAX(ROW(E2354:E$2)*(E2355=E2354:E$2)))))</f>
        <v> </v>
      </c>
      <c r="J2355" s="25" t="str">
        <f>IF(OR(E2355="",E2355="!!!",F2355="NEW"),"",COUNTBLANK(OFFSET(A$1,,,SUMPRODUCT(MAX(ROW(E$2:E2355)*(E2355=E$2:E2355)))))-COUNTBLANK(OFFSET(A$1,,,SUMPRODUCT(MAX(ROW(E$1:E2354)*(E2=E$1:E2354))))))</f>
        <v> </v>
      </c>
      <c r="K2355" s="25" t="str">
        <f>IF(OR(E2355="",E2355="!!!",F2355="NEW"),"",INDEX(J$1:J2354,SUMPRODUCT(MAX(ROW(E$1:E2354)*(E2355=E$1:E2354)))))</f>
        <v> </v>
      </c>
      <c r="L2355" s="26"/>
    </row>
    <row r="2356" spans="1:12">
      <c r="A2356" s="20" t="s">
        <v>2261</v>
      </c>
      <c r="E2356" s="21">
        <f>IF(D2356="?OLD","!!!","")</f>
        <v/>
      </c>
      <c r="F2356" s="22" t="str">
        <f>IF(OR(E2356="",E2356="!!!"),"",IF(NOT(ISNA(VLOOKUP(E2356,E$1:E2355,1,FALSE()))),"OLD",IF(AND(E2356&lt;&gt;"",E2356&lt;&gt;"!!!"),"NEW","")))</f>
        <v> </v>
      </c>
      <c r="G2356" s="23" t="str">
        <f>IF(OR(E2356="",E2356="!!!"),"",IF(OR(J2356=0,AND(J2356=1,K2356=1),AND(J2356=1,I2356="SBJ"),AND(J2356=1,I2356=0)),"?IN_FOCUS",IF(J2356&lt;=2,"?ACTIVATED",IF(J2356&lt;&gt;"","?FAMILIAR",IF(F2356="NEW",IF(ISNA(VLOOKUP(E2356,#REF!,1,FALSE())),"?TYPE_IDENTIFIABLE","?REFERENTIAL"),"_")))))</f>
        <v> </v>
      </c>
      <c r="H2356" s="24" t="str">
        <f>IF(J2356&lt;&gt;1,"",IF(I2356="SBJ","CB","?"))</f>
        <v> </v>
      </c>
      <c r="I2356" s="25" t="str">
        <f>IF(OR(E2356="",E2356="!!!",F2356="NEW"),"",INDEX(B2355:B$2,-1+SUMPRODUCT(MAX(ROW(E2355:E$2)*(E2356=E2355:E$2)))))</f>
        <v> </v>
      </c>
      <c r="J2356" s="25" t="str">
        <f>IF(OR(E2356="",E2356="!!!",F2356="NEW"),"",COUNTBLANK(OFFSET(A$1,,,SUMPRODUCT(MAX(ROW(E$2:E2356)*(E2356=E$2:E2356)))))-COUNTBLANK(OFFSET(A$1,,,SUMPRODUCT(MAX(ROW(E$1:E2355)*(E2=E$1:E2355))))))</f>
        <v> </v>
      </c>
      <c r="K2356" s="25" t="str">
        <f>IF(OR(E2356="",E2356="!!!",F2356="NEW"),"",INDEX(J$1:J2355,SUMPRODUCT(MAX(ROW(E$1:E2355)*(E2356=E$1:E2355)))))</f>
        <v> </v>
      </c>
      <c r="L2356" s="26"/>
    </row>
    <row r="2357" spans="1:12">
      <c r="A2357" s="20" t="s">
        <v>1145</v>
      </c>
      <c r="E2357" s="21">
        <f>IF(D2357="?OLD","!!!","")</f>
        <v/>
      </c>
      <c r="F2357" s="22" t="str">
        <f>IF(OR(E2357="",E2357="!!!"),"",IF(NOT(ISNA(VLOOKUP(E2357,E$1:E2356,1,FALSE()))),"OLD",IF(AND(E2357&lt;&gt;"",E2357&lt;&gt;"!!!"),"NEW","")))</f>
        <v> </v>
      </c>
      <c r="G2357" s="23" t="str">
        <f>IF(OR(E2357="",E2357="!!!"),"",IF(OR(J2357=0,AND(J2357=1,K2357=1),AND(J2357=1,I2357="SBJ"),AND(J2357=1,I2357=0)),"?IN_FOCUS",IF(J2357&lt;=2,"?ACTIVATED",IF(J2357&lt;&gt;"","?FAMILIAR",IF(F2357="NEW",IF(ISNA(VLOOKUP(E2357,#REF!,1,FALSE())),"?TYPE_IDENTIFIABLE","?REFERENTIAL"),"_")))))</f>
        <v> </v>
      </c>
      <c r="H2357" s="24" t="str">
        <f>IF(J2357&lt;&gt;1,"",IF(I2357="SBJ","CB","?"))</f>
        <v> </v>
      </c>
      <c r="I2357" s="25" t="str">
        <f>IF(OR(E2357="",E2357="!!!",F2357="NEW"),"",INDEX(B2356:B$2,-1+SUMPRODUCT(MAX(ROW(E2356:E$2)*(E2357=E2356:E$2)))))</f>
        <v> </v>
      </c>
      <c r="J2357" s="25" t="str">
        <f>IF(OR(E2357="",E2357="!!!",F2357="NEW"),"",COUNTBLANK(OFFSET(A$1,,,SUMPRODUCT(MAX(ROW(E$2:E2357)*(E2357=E$2:E2357)))))-COUNTBLANK(OFFSET(A$1,,,SUMPRODUCT(MAX(ROW(E$1:E2356)*(E2=E$1:E2356))))))</f>
        <v> </v>
      </c>
      <c r="K2357" s="25" t="str">
        <f>IF(OR(E2357="",E2357="!!!",F2357="NEW"),"",INDEX(J$1:J2356,SUMPRODUCT(MAX(ROW(E$1:E2356)*(E2357=E$1:E2356)))))</f>
        <v> </v>
      </c>
      <c r="L2357" s="26"/>
    </row>
    <row r="2358" spans="1:12">
      <c r="A2358" s="20"/>
    </row>
    <row r="2359" spans="1:12">
      <c r="A2359" s="20" t="s">
        <v>2262</v>
      </c>
    </row>
    <row r="2360" spans="1:12">
      <c r="A2360" s="20" t="s">
        <v>1111</v>
      </c>
      <c r="E2360" s="21">
        <f>IF(D2360="?OLD","!!!","")</f>
        <v/>
      </c>
      <c r="F2360" s="22" t="str">
        <f>IF(OR(E2360="",E2360="!!!"),"",IF(NOT(ISNA(VLOOKUP(E2360,E$1:E2359,1,FALSE()))),"OLD",IF(AND(E2360&lt;&gt;"",E2360&lt;&gt;"!!!"),"NEW","")))</f>
        <v> </v>
      </c>
      <c r="G2360" s="23" t="str">
        <f>IF(OR(E2360="",E2360="!!!"),"",IF(OR(J2360=0,AND(J2360=1,K2360=1),AND(J2360=1,I2360="SBJ"),AND(J2360=1,I2360=0)),"?IN_FOCUS",IF(J2360&lt;=2,"?ACTIVATED",IF(J2360&lt;&gt;"","?FAMILIAR",IF(F2360="NEW",IF(ISNA(VLOOKUP(E2360,#REF!,1,FALSE())),"?TYPE_IDENTIFIABLE","?REFERENTIAL"),"_")))))</f>
        <v> </v>
      </c>
      <c r="H2360" s="24" t="str">
        <f>IF(J2360&lt;&gt;1,"",IF(I2360="SBJ","CB","?"))</f>
        <v> </v>
      </c>
      <c r="I2360" s="25" t="str">
        <f>IF(OR(E2360="",E2360="!!!",F2360="NEW"),"",INDEX(B2359:B$2,-1+SUMPRODUCT(MAX(ROW(E2359:E$2)*(E2360=E2359:E$2)))))</f>
        <v> </v>
      </c>
      <c r="J2360" s="25" t="str">
        <f>IF(OR(E2360="",E2360="!!!",F2360="NEW"),"",COUNTBLANK(OFFSET(A$1,,,SUMPRODUCT(MAX(ROW(E$2:E2360)*(E2360=E$2:E2360)))))-COUNTBLANK(OFFSET(A$1,,,SUMPRODUCT(MAX(ROW(E$1:E2359)*(E2=E$1:E2359))))))</f>
        <v> </v>
      </c>
      <c r="K2360" s="25" t="str">
        <f>IF(OR(E2360="",E2360="!!!",F2360="NEW"),"",INDEX(J$1:J2359,SUMPRODUCT(MAX(ROW(E$1:E2359)*(E2360=E$1:E2359)))))</f>
        <v> </v>
      </c>
      <c r="L2360" s="26"/>
    </row>
    <row r="2361" spans="1:12">
      <c r="A2361" s="20" t="s">
        <v>2263</v>
      </c>
      <c r="E2361" s="21">
        <f>IF(D2361="?OLD","!!!","")</f>
        <v/>
      </c>
      <c r="F2361" s="22" t="str">
        <f>IF(OR(E2361="",E2361="!!!"),"",IF(NOT(ISNA(VLOOKUP(E2361,E$1:E2360,1,FALSE()))),"OLD",IF(AND(E2361&lt;&gt;"",E2361&lt;&gt;"!!!"),"NEW","")))</f>
        <v> </v>
      </c>
      <c r="G2361" s="23" t="str">
        <f>IF(OR(E2361="",E2361="!!!"),"",IF(OR(J2361=0,AND(J2361=1,K2361=1),AND(J2361=1,I2361="SBJ"),AND(J2361=1,I2361=0)),"?IN_FOCUS",IF(J2361&lt;=2,"?ACTIVATED",IF(J2361&lt;&gt;"","?FAMILIAR",IF(F2361="NEW",IF(ISNA(VLOOKUP(E2361,#REF!,1,FALSE())),"?TYPE_IDENTIFIABLE","?REFERENTIAL"),"_")))))</f>
        <v> </v>
      </c>
      <c r="H2361" s="24" t="str">
        <f>IF(J2361&lt;&gt;1,"",IF(I2361="SBJ","CB","?"))</f>
        <v> </v>
      </c>
      <c r="I2361" s="25" t="str">
        <f>IF(OR(E2361="",E2361="!!!",F2361="NEW"),"",INDEX(B2360:B$2,-1+SUMPRODUCT(MAX(ROW(E2360:E$2)*(E2361=E2360:E$2)))))</f>
        <v> </v>
      </c>
      <c r="J2361" s="25" t="str">
        <f>IF(OR(E2361="",E2361="!!!",F2361="NEW"),"",COUNTBLANK(OFFSET(A$1,,,SUMPRODUCT(MAX(ROW(E$2:E2361)*(E2361=E$2:E2361)))))-COUNTBLANK(OFFSET(A$1,,,SUMPRODUCT(MAX(ROW(E$1:E2360)*(E2=E$1:E2360))))))</f>
        <v> </v>
      </c>
      <c r="K2361" s="25" t="str">
        <f>IF(OR(E2361="",E2361="!!!",F2361="NEW"),"",INDEX(J$1:J2360,SUMPRODUCT(MAX(ROW(E$1:E2360)*(E2361=E$1:E2360)))))</f>
        <v> </v>
      </c>
      <c r="L2361" s="26"/>
    </row>
    <row r="2362" spans="1:12">
      <c r="A2362" s="20" t="s">
        <v>2264</v>
      </c>
      <c r="E2362" s="21">
        <f>IF(D2362="?OLD","!!!","")</f>
        <v/>
      </c>
      <c r="F2362" s="22" t="str">
        <f>IF(OR(E2362="",E2362="!!!"),"",IF(NOT(ISNA(VLOOKUP(E2362,E$1:E2361,1,FALSE()))),"OLD",IF(AND(E2362&lt;&gt;"",E2362&lt;&gt;"!!!"),"NEW","")))</f>
        <v> </v>
      </c>
      <c r="G2362" s="23" t="str">
        <f>IF(OR(E2362="",E2362="!!!"),"",IF(OR(J2362=0,AND(J2362=1,K2362=1),AND(J2362=1,I2362="SBJ"),AND(J2362=1,I2362=0)),"?IN_FOCUS",IF(J2362&lt;=2,"?ACTIVATED",IF(J2362&lt;&gt;"","?FAMILIAR",IF(F2362="NEW",IF(ISNA(VLOOKUP(E2362,#REF!,1,FALSE())),"?TYPE_IDENTIFIABLE","?REFERENTIAL"),"_")))))</f>
        <v> </v>
      </c>
      <c r="H2362" s="24" t="str">
        <f>IF(J2362&lt;&gt;1,"",IF(I2362="SBJ","CB","?"))</f>
        <v> </v>
      </c>
      <c r="I2362" s="25" t="str">
        <f>IF(OR(E2362="",E2362="!!!",F2362="NEW"),"",INDEX(B2361:B$2,-1+SUMPRODUCT(MAX(ROW(E2361:E$2)*(E2362=E2361:E$2)))))</f>
        <v> </v>
      </c>
      <c r="J2362" s="25" t="str">
        <f>IF(OR(E2362="",E2362="!!!",F2362="NEW"),"",COUNTBLANK(OFFSET(A$1,,,SUMPRODUCT(MAX(ROW(E$2:E2362)*(E2362=E$2:E2362)))))-COUNTBLANK(OFFSET(A$1,,,SUMPRODUCT(MAX(ROW(E$1:E2361)*(E2=E$1:E2361))))))</f>
        <v> </v>
      </c>
      <c r="K2362" s="25" t="str">
        <f>IF(OR(E2362="",E2362="!!!",F2362="NEW"),"",INDEX(J$1:J2361,SUMPRODUCT(MAX(ROW(E$1:E2361)*(E2362=E$1:E2361)))))</f>
        <v> </v>
      </c>
      <c r="L2362" s="26"/>
    </row>
    <row r="2363" spans="1:12">
      <c r="A2363" s="20" t="s">
        <v>1123</v>
      </c>
      <c r="E2363" s="21">
        <f>IF(D2363="?OLD","!!!","")</f>
        <v/>
      </c>
      <c r="F2363" s="22" t="str">
        <f>IF(OR(E2363="",E2363="!!!"),"",IF(NOT(ISNA(VLOOKUP(E2363,E$1:E2362,1,FALSE()))),"OLD",IF(AND(E2363&lt;&gt;"",E2363&lt;&gt;"!!!"),"NEW","")))</f>
        <v> </v>
      </c>
      <c r="G2363" s="23" t="str">
        <f>IF(OR(E2363="",E2363="!!!"),"",IF(OR(J2363=0,AND(J2363=1,K2363=1),AND(J2363=1,I2363="SBJ"),AND(J2363=1,I2363=0)),"?IN_FOCUS",IF(J2363&lt;=2,"?ACTIVATED",IF(J2363&lt;&gt;"","?FAMILIAR",IF(F2363="NEW",IF(ISNA(VLOOKUP(E2363,#REF!,1,FALSE())),"?TYPE_IDENTIFIABLE","?REFERENTIAL"),"_")))))</f>
        <v> </v>
      </c>
      <c r="H2363" s="24" t="str">
        <f>IF(J2363&lt;&gt;1,"",IF(I2363="SBJ","CB","?"))</f>
        <v> </v>
      </c>
      <c r="I2363" s="25" t="str">
        <f>IF(OR(E2363="",E2363="!!!",F2363="NEW"),"",INDEX(B2362:B$2,-1+SUMPRODUCT(MAX(ROW(E2362:E$2)*(E2363=E2362:E$2)))))</f>
        <v> </v>
      </c>
      <c r="J2363" s="25" t="str">
        <f>IF(OR(E2363="",E2363="!!!",F2363="NEW"),"",COUNTBLANK(OFFSET(A$1,,,SUMPRODUCT(MAX(ROW(E$2:E2363)*(E2363=E$2:E2363)))))-COUNTBLANK(OFFSET(A$1,,,SUMPRODUCT(MAX(ROW(E$1:E2362)*(E2=E$1:E2362))))))</f>
        <v> </v>
      </c>
      <c r="K2363" s="25" t="str">
        <f>IF(OR(E2363="",E2363="!!!",F2363="NEW"),"",INDEX(J$1:J2362,SUMPRODUCT(MAX(ROW(E$1:E2362)*(E2363=E$1:E2362)))))</f>
        <v> </v>
      </c>
      <c r="L2363" s="26"/>
    </row>
    <row r="2364" spans="1:12">
      <c r="A2364" s="20" t="s">
        <v>2265</v>
      </c>
      <c r="E2364" s="21">
        <f>IF(D2364="?OLD","!!!","")</f>
        <v/>
      </c>
      <c r="F2364" s="22" t="str">
        <f>IF(OR(E2364="",E2364="!!!"),"",IF(NOT(ISNA(VLOOKUP(E2364,E$1:E2363,1,FALSE()))),"OLD",IF(AND(E2364&lt;&gt;"",E2364&lt;&gt;"!!!"),"NEW","")))</f>
        <v> </v>
      </c>
      <c r="G2364" s="23" t="str">
        <f>IF(OR(E2364="",E2364="!!!"),"",IF(OR(J2364=0,AND(J2364=1,K2364=1),AND(J2364=1,I2364="SBJ"),AND(J2364=1,I2364=0)),"?IN_FOCUS",IF(J2364&lt;=2,"?ACTIVATED",IF(J2364&lt;&gt;"","?FAMILIAR",IF(F2364="NEW",IF(ISNA(VLOOKUP(E2364,#REF!,1,FALSE())),"?TYPE_IDENTIFIABLE","?REFERENTIAL"),"_")))))</f>
        <v> </v>
      </c>
      <c r="H2364" s="24" t="str">
        <f>IF(J2364&lt;&gt;1,"",IF(I2364="SBJ","CB","?"))</f>
        <v> </v>
      </c>
      <c r="I2364" s="25" t="str">
        <f>IF(OR(E2364="",E2364="!!!",F2364="NEW"),"",INDEX(B2363:B$2,-1+SUMPRODUCT(MAX(ROW(E2363:E$2)*(E2364=E2363:E$2)))))</f>
        <v> </v>
      </c>
      <c r="J2364" s="25" t="str">
        <f>IF(OR(E2364="",E2364="!!!",F2364="NEW"),"",COUNTBLANK(OFFSET(A$1,,,SUMPRODUCT(MAX(ROW(E$2:E2364)*(E2364=E$2:E2364)))))-COUNTBLANK(OFFSET(A$1,,,SUMPRODUCT(MAX(ROW(E$1:E2363)*(E2=E$1:E2363))))))</f>
        <v> </v>
      </c>
      <c r="K2364" s="25" t="str">
        <f>IF(OR(E2364="",E2364="!!!",F2364="NEW"),"",INDEX(J$1:J2363,SUMPRODUCT(MAX(ROW(E$1:E2363)*(E2364=E$1:E2363)))))</f>
        <v> </v>
      </c>
      <c r="L2364" s="26"/>
    </row>
    <row r="2365" spans="1:12">
      <c r="A2365" s="20" t="s">
        <v>1318</v>
      </c>
      <c r="E2365" s="21">
        <f>IF(D2365="?OLD","!!!","")</f>
        <v/>
      </c>
      <c r="F2365" s="22" t="str">
        <f>IF(OR(E2365="",E2365="!!!"),"",IF(NOT(ISNA(VLOOKUP(E2365,E$1:E2364,1,FALSE()))),"OLD",IF(AND(E2365&lt;&gt;"",E2365&lt;&gt;"!!!"),"NEW","")))</f>
        <v> </v>
      </c>
      <c r="G2365" s="23" t="str">
        <f>IF(OR(E2365="",E2365="!!!"),"",IF(OR(J2365=0,AND(J2365=1,K2365=1),AND(J2365=1,I2365="SBJ"),AND(J2365=1,I2365=0)),"?IN_FOCUS",IF(J2365&lt;=2,"?ACTIVATED",IF(J2365&lt;&gt;"","?FAMILIAR",IF(F2365="NEW",IF(ISNA(VLOOKUP(E2365,#REF!,1,FALSE())),"?TYPE_IDENTIFIABLE","?REFERENTIAL"),"_")))))</f>
        <v> </v>
      </c>
      <c r="H2365" s="24" t="str">
        <f>IF(J2365&lt;&gt;1,"",IF(I2365="SBJ","CB","?"))</f>
        <v> </v>
      </c>
      <c r="I2365" s="25" t="str">
        <f>IF(OR(E2365="",E2365="!!!",F2365="NEW"),"",INDEX(B2364:B$2,-1+SUMPRODUCT(MAX(ROW(E2364:E$2)*(E2365=E2364:E$2)))))</f>
        <v> </v>
      </c>
      <c r="J2365" s="25" t="str">
        <f>IF(OR(E2365="",E2365="!!!",F2365="NEW"),"",COUNTBLANK(OFFSET(A$1,,,SUMPRODUCT(MAX(ROW(E$2:E2365)*(E2365=E$2:E2365)))))-COUNTBLANK(OFFSET(A$1,,,SUMPRODUCT(MAX(ROW(E$1:E2364)*(E2=E$1:E2364))))))</f>
        <v> </v>
      </c>
      <c r="K2365" s="25" t="str">
        <f>IF(OR(E2365="",E2365="!!!",F2365="NEW"),"",INDEX(J$1:J2364,SUMPRODUCT(MAX(ROW(E$1:E2364)*(E2365=E$1:E2364)))))</f>
        <v> </v>
      </c>
      <c r="L2365" s="26"/>
    </row>
    <row r="2366" spans="1:12">
      <c r="A2366" s="20" t="s">
        <v>2008</v>
      </c>
      <c r="E2366" s="21">
        <f>IF(D2366="?OLD","!!!","")</f>
        <v/>
      </c>
      <c r="F2366" s="22" t="str">
        <f>IF(OR(E2366="",E2366="!!!"),"",IF(NOT(ISNA(VLOOKUP(E2366,E$1:E2365,1,FALSE()))),"OLD",IF(AND(E2366&lt;&gt;"",E2366&lt;&gt;"!!!"),"NEW","")))</f>
        <v> </v>
      </c>
      <c r="G2366" s="23" t="str">
        <f>IF(OR(E2366="",E2366="!!!"),"",IF(OR(J2366=0,AND(J2366=1,K2366=1),AND(J2366=1,I2366="SBJ"),AND(J2366=1,I2366=0)),"?IN_FOCUS",IF(J2366&lt;=2,"?ACTIVATED",IF(J2366&lt;&gt;"","?FAMILIAR",IF(F2366="NEW",IF(ISNA(VLOOKUP(E2366,#REF!,1,FALSE())),"?TYPE_IDENTIFIABLE","?REFERENTIAL"),"_")))))</f>
        <v> </v>
      </c>
      <c r="H2366" s="24" t="str">
        <f>IF(J2366&lt;&gt;1,"",IF(I2366="SBJ","CB","?"))</f>
        <v> </v>
      </c>
      <c r="I2366" s="25" t="str">
        <f>IF(OR(E2366="",E2366="!!!",F2366="NEW"),"",INDEX(B2365:B$2,-1+SUMPRODUCT(MAX(ROW(E2365:E$2)*(E2366=E2365:E$2)))))</f>
        <v> </v>
      </c>
      <c r="J2366" s="25" t="str">
        <f>IF(OR(E2366="",E2366="!!!",F2366="NEW"),"",COUNTBLANK(OFFSET(A$1,,,SUMPRODUCT(MAX(ROW(E$2:E2366)*(E2366=E$2:E2366)))))-COUNTBLANK(OFFSET(A$1,,,SUMPRODUCT(MAX(ROW(E$1:E2365)*(E2=E$1:E2365))))))</f>
        <v> </v>
      </c>
      <c r="K2366" s="25" t="str">
        <f>IF(OR(E2366="",E2366="!!!",F2366="NEW"),"",INDEX(J$1:J2365,SUMPRODUCT(MAX(ROW(E$1:E2365)*(E2366=E$1:E2365)))))</f>
        <v> </v>
      </c>
      <c r="L2366" s="26"/>
    </row>
    <row r="2367" spans="1:12">
      <c r="A2367" s="20" t="s">
        <v>1134</v>
      </c>
      <c r="E2367" s="21">
        <f>IF(D2367="?OLD","!!!","")</f>
        <v/>
      </c>
      <c r="F2367" s="22" t="str">
        <f>IF(OR(E2367="",E2367="!!!"),"",IF(NOT(ISNA(VLOOKUP(E2367,E$1:E2366,1,FALSE()))),"OLD",IF(AND(E2367&lt;&gt;"",E2367&lt;&gt;"!!!"),"NEW","")))</f>
        <v> </v>
      </c>
      <c r="G2367" s="23" t="str">
        <f>IF(OR(E2367="",E2367="!!!"),"",IF(OR(J2367=0,AND(J2367=1,K2367=1),AND(J2367=1,I2367="SBJ"),AND(J2367=1,I2367=0)),"?IN_FOCUS",IF(J2367&lt;=2,"?ACTIVATED",IF(J2367&lt;&gt;"","?FAMILIAR",IF(F2367="NEW",IF(ISNA(VLOOKUP(E2367,#REF!,1,FALSE())),"?TYPE_IDENTIFIABLE","?REFERENTIAL"),"_")))))</f>
        <v> </v>
      </c>
      <c r="H2367" s="24" t="str">
        <f>IF(J2367&lt;&gt;1,"",IF(I2367="SBJ","CB","?"))</f>
        <v> </v>
      </c>
      <c r="I2367" s="25" t="str">
        <f>IF(OR(E2367="",E2367="!!!",F2367="NEW"),"",INDEX(B2366:B$2,-1+SUMPRODUCT(MAX(ROW(E2366:E$2)*(E2367=E2366:E$2)))))</f>
        <v> </v>
      </c>
      <c r="J2367" s="25" t="str">
        <f>IF(OR(E2367="",E2367="!!!",F2367="NEW"),"",COUNTBLANK(OFFSET(A$1,,,SUMPRODUCT(MAX(ROW(E$2:E2367)*(E2367=E$2:E2367)))))-COUNTBLANK(OFFSET(A$1,,,SUMPRODUCT(MAX(ROW(E$1:E2366)*(E2=E$1:E2366))))))</f>
        <v> </v>
      </c>
      <c r="K2367" s="25" t="str">
        <f>IF(OR(E2367="",E2367="!!!",F2367="NEW"),"",INDEX(J$1:J2366,SUMPRODUCT(MAX(ROW(E$1:E2366)*(E2367=E$1:E2366)))))</f>
        <v> </v>
      </c>
      <c r="L2367" s="26"/>
    </row>
    <row r="2368" spans="1:12">
      <c r="A2368" s="20" t="s">
        <v>2266</v>
      </c>
      <c r="E2368" s="21">
        <f>IF(D2368="?OLD","!!!","")</f>
        <v/>
      </c>
      <c r="F2368" s="22" t="str">
        <f>IF(OR(E2368="",E2368="!!!"),"",IF(NOT(ISNA(VLOOKUP(E2368,E$1:E2367,1,FALSE()))),"OLD",IF(AND(E2368&lt;&gt;"",E2368&lt;&gt;"!!!"),"NEW","")))</f>
        <v> </v>
      </c>
      <c r="G2368" s="23" t="str">
        <f>IF(OR(E2368="",E2368="!!!"),"",IF(OR(J2368=0,AND(J2368=1,K2368=1),AND(J2368=1,I2368="SBJ"),AND(J2368=1,I2368=0)),"?IN_FOCUS",IF(J2368&lt;=2,"?ACTIVATED",IF(J2368&lt;&gt;"","?FAMILIAR",IF(F2368="NEW",IF(ISNA(VLOOKUP(E2368,#REF!,1,FALSE())),"?TYPE_IDENTIFIABLE","?REFERENTIAL"),"_")))))</f>
        <v> </v>
      </c>
      <c r="H2368" s="24" t="str">
        <f>IF(J2368&lt;&gt;1,"",IF(I2368="SBJ","CB","?"))</f>
        <v> </v>
      </c>
      <c r="I2368" s="25" t="str">
        <f>IF(OR(E2368="",E2368="!!!",F2368="NEW"),"",INDEX(B2367:B$2,-1+SUMPRODUCT(MAX(ROW(E2367:E$2)*(E2368=E2367:E$2)))))</f>
        <v> </v>
      </c>
      <c r="J2368" s="25" t="str">
        <f>IF(OR(E2368="",E2368="!!!",F2368="NEW"),"",COUNTBLANK(OFFSET(A$1,,,SUMPRODUCT(MAX(ROW(E$2:E2368)*(E2368=E$2:E2368)))))-COUNTBLANK(OFFSET(A$1,,,SUMPRODUCT(MAX(ROW(E$1:E2367)*(E2=E$1:E2367))))))</f>
        <v> </v>
      </c>
      <c r="K2368" s="25" t="str">
        <f>IF(OR(E2368="",E2368="!!!",F2368="NEW"),"",INDEX(J$1:J2367,SUMPRODUCT(MAX(ROW(E$1:E2367)*(E2368=E$1:E2367)))))</f>
        <v> </v>
      </c>
      <c r="L2368" s="26"/>
    </row>
    <row r="2369" spans="1:12">
      <c r="A2369" s="20" t="s">
        <v>2267</v>
      </c>
      <c r="B2369" s="27" t="s">
        <v>1122</v>
      </c>
      <c r="E2369" s="21">
        <f>IF(D2369="?OLD","!!!","")</f>
        <v/>
      </c>
      <c r="F2369" s="22" t="str">
        <f>IF(OR(E2369="",E2369="!!!"),"",IF(NOT(ISNA(VLOOKUP(E2369,E$1:E2368,1,FALSE()))),"OLD",IF(AND(E2369&lt;&gt;"",E2369&lt;&gt;"!!!"),"NEW","")))</f>
        <v> </v>
      </c>
      <c r="G2369" s="23" t="str">
        <f>IF(OR(E2369="",E2369="!!!"),"",IF(OR(J2369=0,AND(J2369=1,K2369=1),AND(J2369=1,I2369="SBJ"),AND(J2369=1,I2369=0)),"?IN_FOCUS",IF(J2369&lt;=2,"?ACTIVATED",IF(J2369&lt;&gt;"","?FAMILIAR",IF(F2369="NEW",IF(ISNA(VLOOKUP(E2369,#REF!,1,FALSE())),"?TYPE_IDENTIFIABLE","?REFERENTIAL"),"_")))))</f>
        <v> </v>
      </c>
      <c r="H2369" s="24" t="str">
        <f>IF(J2369&lt;&gt;1,"",IF(I2369="SBJ","CB","?"))</f>
        <v> </v>
      </c>
      <c r="I2369" s="25" t="str">
        <f>IF(OR(E2369="",E2369="!!!",F2369="NEW"),"",INDEX(B2368:B$2,-1+SUMPRODUCT(MAX(ROW(E2368:E$2)*(E2369=E2368:E$2)))))</f>
        <v> </v>
      </c>
      <c r="J2369" s="25" t="str">
        <f>IF(OR(E2369="",E2369="!!!",F2369="NEW"),"",COUNTBLANK(OFFSET(A$1,,,SUMPRODUCT(MAX(ROW(E$2:E2369)*(E2369=E$2:E2369)))))-COUNTBLANK(OFFSET(A$1,,,SUMPRODUCT(MAX(ROW(E$1:E2368)*(E2=E$1:E2368))))))</f>
        <v> </v>
      </c>
      <c r="K2369" s="25" t="str">
        <f>IF(OR(E2369="",E2369="!!!",F2369="NEW"),"",INDEX(J$1:J2368,SUMPRODUCT(MAX(ROW(E$1:E2368)*(E2369=E$1:E2368)))))</f>
        <v> </v>
      </c>
      <c r="L2369" s="26"/>
    </row>
    <row r="2370" spans="1:12">
      <c r="A2370" s="20" t="s">
        <v>1145</v>
      </c>
      <c r="E2370" s="21">
        <f>IF(D2370="?OLD","!!!","")</f>
        <v/>
      </c>
      <c r="F2370" s="22" t="str">
        <f>IF(OR(E2370="",E2370="!!!"),"",IF(NOT(ISNA(VLOOKUP(E2370,E$1:E2369,1,FALSE()))),"OLD",IF(AND(E2370&lt;&gt;"",E2370&lt;&gt;"!!!"),"NEW","")))</f>
        <v> </v>
      </c>
      <c r="G2370" s="23" t="str">
        <f>IF(OR(E2370="",E2370="!!!"),"",IF(OR(J2370=0,AND(J2370=1,K2370=1),AND(J2370=1,I2370="SBJ"),AND(J2370=1,I2370=0)),"?IN_FOCUS",IF(J2370&lt;=2,"?ACTIVATED",IF(J2370&lt;&gt;"","?FAMILIAR",IF(F2370="NEW",IF(ISNA(VLOOKUP(E2370,#REF!,1,FALSE())),"?TYPE_IDENTIFIABLE","?REFERENTIAL"),"_")))))</f>
        <v> </v>
      </c>
      <c r="H2370" s="24" t="str">
        <f>IF(J2370&lt;&gt;1,"",IF(I2370="SBJ","CB","?"))</f>
        <v> </v>
      </c>
      <c r="I2370" s="25" t="str">
        <f>IF(OR(E2370="",E2370="!!!",F2370="NEW"),"",INDEX(B2369:B$2,-1+SUMPRODUCT(MAX(ROW(E2369:E$2)*(E2370=E2369:E$2)))))</f>
        <v> </v>
      </c>
      <c r="J2370" s="25" t="str">
        <f>IF(OR(E2370="",E2370="!!!",F2370="NEW"),"",COUNTBLANK(OFFSET(A$1,,,SUMPRODUCT(MAX(ROW(E$2:E2370)*(E2370=E$2:E2370)))))-COUNTBLANK(OFFSET(A$1,,,SUMPRODUCT(MAX(ROW(E$1:E2369)*(E2=E$1:E2369))))))</f>
        <v> </v>
      </c>
      <c r="K2370" s="25" t="str">
        <f>IF(OR(E2370="",E2370="!!!",F2370="NEW"),"",INDEX(J$1:J2369,SUMPRODUCT(MAX(ROW(E$1:E2369)*(E2370=E$1:E2369)))))</f>
        <v> </v>
      </c>
      <c r="L2370" s="26"/>
    </row>
    <row r="2371" spans="1:12">
      <c r="A2371" s="20"/>
    </row>
    <row r="2372" spans="1:12">
      <c r="A2372" s="20" t="s">
        <v>2268</v>
      </c>
    </row>
    <row r="2373" spans="1:12">
      <c r="A2373" s="20" t="s">
        <v>2269</v>
      </c>
      <c r="E2373" s="21">
        <f>IF(D2373="?OLD","!!!","")</f>
        <v/>
      </c>
      <c r="F2373" s="22" t="str">
        <f>IF(OR(E2373="",E2373="!!!"),"",IF(NOT(ISNA(VLOOKUP(E2373,E$1:E2372,1,FALSE()))),"OLD",IF(AND(E2373&lt;&gt;"",E2373&lt;&gt;"!!!"),"NEW","")))</f>
        <v> </v>
      </c>
      <c r="G2373" s="23" t="str">
        <f>IF(OR(E2373="",E2373="!!!"),"",IF(OR(J2373=0,AND(J2373=1,K2373=1),AND(J2373=1,I2373="SBJ"),AND(J2373=1,I2373=0)),"?IN_FOCUS",IF(J2373&lt;=2,"?ACTIVATED",IF(J2373&lt;&gt;"","?FAMILIAR",IF(F2373="NEW",IF(ISNA(VLOOKUP(E2373,#REF!,1,FALSE())),"?TYPE_IDENTIFIABLE","?REFERENTIAL"),"_")))))</f>
        <v> </v>
      </c>
      <c r="H2373" s="24" t="str">
        <f>IF(J2373&lt;&gt;1,"",IF(I2373="SBJ","CB","?"))</f>
        <v> </v>
      </c>
      <c r="I2373" s="25" t="str">
        <f>IF(OR(E2373="",E2373="!!!",F2373="NEW"),"",INDEX(B2372:B$2,-1+SUMPRODUCT(MAX(ROW(E2372:E$2)*(E2373=E2372:E$2)))))</f>
        <v> </v>
      </c>
      <c r="J2373" s="25" t="str">
        <f>IF(OR(E2373="",E2373="!!!",F2373="NEW"),"",COUNTBLANK(OFFSET(A$1,,,SUMPRODUCT(MAX(ROW(E$2:E2373)*(E2373=E$2:E2373)))))-COUNTBLANK(OFFSET(A$1,,,SUMPRODUCT(MAX(ROW(E$1:E2372)*(E2=E$1:E2372))))))</f>
        <v> </v>
      </c>
      <c r="K2373" s="25" t="str">
        <f>IF(OR(E2373="",E2373="!!!",F2373="NEW"),"",INDEX(J$1:J2372,SUMPRODUCT(MAX(ROW(E$1:E2372)*(E2373=E$1:E2372)))))</f>
        <v> </v>
      </c>
      <c r="L2373" s="26"/>
    </row>
    <row r="2374" spans="1:12">
      <c r="A2374" s="20" t="s">
        <v>1270</v>
      </c>
      <c r="B2374" s="27" t="s">
        <v>1213</v>
      </c>
      <c r="C2374" s="27" t="s">
        <v>1126</v>
      </c>
      <c r="D2374" s="27" t="s">
        <v>1105</v>
      </c>
      <c r="E2374" s="21">
        <f>IF(D2374="?OLD","!!!","")</f>
        <v/>
      </c>
      <c r="F2374" s="22" t="str">
        <f>IF(OR(E2374="",E2374="!!!"),"",IF(NOT(ISNA(VLOOKUP(E2374,E$1:E2373,1,FALSE()))),"OLD",IF(AND(E2374&lt;&gt;"",E2374&lt;&gt;"!!!"),"NEW","")))</f>
        <v> </v>
      </c>
      <c r="G2374" s="23" t="str">
        <f>IF(OR(E2374="",E2374="!!!"),"",IF(OR(J2374=0,AND(J2374=1,K2374=1),AND(J2374=1,I2374="SBJ"),AND(J2374=1,I2374=0)),"?IN_FOCUS",IF(J2374&lt;=2,"?ACTIVATED",IF(J2374&lt;&gt;"","?FAMILIAR",IF(F2374="NEW",IF(ISNA(VLOOKUP(E2374,#REF!,1,FALSE())),"?TYPE_IDENTIFIABLE","?REFERENTIAL"),"_")))))</f>
        <v> </v>
      </c>
      <c r="H2374" s="24" t="str">
        <f>IF(J2374&lt;&gt;1,"",IF(I2374="SBJ","CB","?"))</f>
        <v> </v>
      </c>
      <c r="I2374" s="25" t="str">
        <f>IF(OR(E2374="",E2374="!!!",F2374="NEW"),"",INDEX(B2373:B$2,-1+SUMPRODUCT(MAX(ROW(E2373:E$2)*(E2374=E2373:E$2)))))</f>
        <v> </v>
      </c>
      <c r="J2374" s="25" t="str">
        <f>IF(OR(E2374="",E2374="!!!",F2374="NEW"),"",COUNTBLANK(OFFSET(A$1,,,SUMPRODUCT(MAX(ROW(E$2:E2374)*(E2374=E$2:E2374)))))-COUNTBLANK(OFFSET(A$1,,,SUMPRODUCT(MAX(ROW(E$1:E2373)*(E2=E$1:E2373))))))</f>
        <v> </v>
      </c>
      <c r="K2374" s="25" t="str">
        <f>IF(OR(E2374="",E2374="!!!",F2374="NEW"),"",INDEX(J$1:J2373,SUMPRODUCT(MAX(ROW(E$1:E2373)*(E2374=E$1:E2373)))))</f>
        <v> </v>
      </c>
      <c r="L2374" s="26"/>
    </row>
    <row r="2375" spans="1:12">
      <c r="A2375" s="20" t="s">
        <v>1123</v>
      </c>
      <c r="E2375" s="21">
        <f>IF(D2375="?OLD","!!!","")</f>
        <v/>
      </c>
      <c r="F2375" s="22" t="str">
        <f>IF(OR(E2375="",E2375="!!!"),"",IF(NOT(ISNA(VLOOKUP(E2375,E$1:E2374,1,FALSE()))),"OLD",IF(AND(E2375&lt;&gt;"",E2375&lt;&gt;"!!!"),"NEW","")))</f>
        <v> </v>
      </c>
      <c r="G2375" s="23" t="str">
        <f>IF(OR(E2375="",E2375="!!!"),"",IF(OR(J2375=0,AND(J2375=1,K2375=1),AND(J2375=1,I2375="SBJ"),AND(J2375=1,I2375=0)),"?IN_FOCUS",IF(J2375&lt;=2,"?ACTIVATED",IF(J2375&lt;&gt;"","?FAMILIAR",IF(F2375="NEW",IF(ISNA(VLOOKUP(E2375,#REF!,1,FALSE())),"?TYPE_IDENTIFIABLE","?REFERENTIAL"),"_")))))</f>
        <v> </v>
      </c>
      <c r="H2375" s="24" t="str">
        <f>IF(J2375&lt;&gt;1,"",IF(I2375="SBJ","CB","?"))</f>
        <v> </v>
      </c>
      <c r="I2375" s="25" t="str">
        <f>IF(OR(E2375="",E2375="!!!",F2375="NEW"),"",INDEX(B2374:B$2,-1+SUMPRODUCT(MAX(ROW(E2374:E$2)*(E2375=E2374:E$2)))))</f>
        <v> </v>
      </c>
      <c r="J2375" s="25" t="str">
        <f>IF(OR(E2375="",E2375="!!!",F2375="NEW"),"",COUNTBLANK(OFFSET(A$1,,,SUMPRODUCT(MAX(ROW(E$2:E2375)*(E2375=E$2:E2375)))))-COUNTBLANK(OFFSET(A$1,,,SUMPRODUCT(MAX(ROW(E$1:E2374)*(E2=E$1:E2374))))))</f>
        <v> </v>
      </c>
      <c r="K2375" s="25" t="str">
        <f>IF(OR(E2375="",E2375="!!!",F2375="NEW"),"",INDEX(J$1:J2374,SUMPRODUCT(MAX(ROW(E$1:E2374)*(E2375=E$1:E2374)))))</f>
        <v> </v>
      </c>
      <c r="L2375" s="26"/>
    </row>
    <row r="2376" spans="1:12">
      <c r="A2376" s="20" t="s">
        <v>1505</v>
      </c>
      <c r="B2376" s="27" t="s">
        <v>1107</v>
      </c>
      <c r="C2376" s="27" t="s">
        <v>1104</v>
      </c>
      <c r="D2376" s="27" t="s">
        <v>1105</v>
      </c>
      <c r="E2376" s="21">
        <f>IF(D2376="?OLD","!!!","")</f>
        <v/>
      </c>
      <c r="F2376" s="22" t="str">
        <f>IF(OR(E2376="",E2376="!!!"),"",IF(NOT(ISNA(VLOOKUP(E2376,E$1:E2375,1,FALSE()))),"OLD",IF(AND(E2376&lt;&gt;"",E2376&lt;&gt;"!!!"),"NEW","")))</f>
        <v> </v>
      </c>
      <c r="G2376" s="23" t="str">
        <f>IF(OR(E2376="",E2376="!!!"),"",IF(OR(J2376=0,AND(J2376=1,K2376=1),AND(J2376=1,I2376="SBJ"),AND(J2376=1,I2376=0)),"?IN_FOCUS",IF(J2376&lt;=2,"?ACTIVATED",IF(J2376&lt;&gt;"","?FAMILIAR",IF(F2376="NEW",IF(ISNA(VLOOKUP(E2376,#REF!,1,FALSE())),"?TYPE_IDENTIFIABLE","?REFERENTIAL"),"_")))))</f>
        <v> </v>
      </c>
      <c r="H2376" s="24" t="str">
        <f>IF(J2376&lt;&gt;1,"",IF(I2376="SBJ","CB","?"))</f>
        <v> </v>
      </c>
      <c r="I2376" s="25" t="str">
        <f>IF(OR(E2376="",E2376="!!!",F2376="NEW"),"",INDEX(B2375:B$2,-1+SUMPRODUCT(MAX(ROW(E2375:E$2)*(E2376=E2375:E$2)))))</f>
        <v> </v>
      </c>
      <c r="J2376" s="25" t="str">
        <f>IF(OR(E2376="",E2376="!!!",F2376="NEW"),"",COUNTBLANK(OFFSET(A$1,,,SUMPRODUCT(MAX(ROW(E$2:E2376)*(E2376=E$2:E2376)))))-COUNTBLANK(OFFSET(A$1,,,SUMPRODUCT(MAX(ROW(E$1:E2375)*(E2=E$1:E2375))))))</f>
        <v> </v>
      </c>
      <c r="K2376" s="25" t="str">
        <f>IF(OR(E2376="",E2376="!!!",F2376="NEW"),"",INDEX(J$1:J2375,SUMPRODUCT(MAX(ROW(E$1:E2375)*(E2376=E$1:E2375)))))</f>
        <v> </v>
      </c>
      <c r="L2376" s="26"/>
    </row>
    <row r="2377" spans="1:12">
      <c r="A2377" s="20" t="s">
        <v>1506</v>
      </c>
      <c r="B2377" s="27" t="s">
        <v>1110</v>
      </c>
      <c r="C2377" s="27" t="s">
        <v>1108</v>
      </c>
      <c r="D2377" s="27" t="s">
        <v>1105</v>
      </c>
      <c r="E2377" s="21">
        <f>IF(D2377="?OLD","!!!","")</f>
        <v/>
      </c>
      <c r="F2377" s="22" t="str">
        <f>IF(OR(E2377="",E2377="!!!"),"",IF(NOT(ISNA(VLOOKUP(E2377,E$1:E2376,1,FALSE()))),"OLD",IF(AND(E2377&lt;&gt;"",E2377&lt;&gt;"!!!"),"NEW","")))</f>
        <v> </v>
      </c>
      <c r="G2377" s="23" t="str">
        <f>IF(OR(E2377="",E2377="!!!"),"",IF(OR(J2377=0,AND(J2377=1,K2377=1),AND(J2377=1,I2377="SBJ"),AND(J2377=1,I2377=0)),"?IN_FOCUS",IF(J2377&lt;=2,"?ACTIVATED",IF(J2377&lt;&gt;"","?FAMILIAR",IF(F2377="NEW",IF(ISNA(VLOOKUP(E2377,#REF!,1,FALSE())),"?TYPE_IDENTIFIABLE","?REFERENTIAL"),"_")))))</f>
        <v> </v>
      </c>
      <c r="H2377" s="24" t="str">
        <f>IF(J2377&lt;&gt;1,"",IF(I2377="SBJ","CB","?"))</f>
        <v> </v>
      </c>
      <c r="I2377" s="25" t="str">
        <f>IF(OR(E2377="",E2377="!!!",F2377="NEW"),"",INDEX(B2376:B$2,-1+SUMPRODUCT(MAX(ROW(E2376:E$2)*(E2377=E2376:E$2)))))</f>
        <v> </v>
      </c>
      <c r="J2377" s="25" t="str">
        <f>IF(OR(E2377="",E2377="!!!",F2377="NEW"),"",COUNTBLANK(OFFSET(A$1,,,SUMPRODUCT(MAX(ROW(E$2:E2377)*(E2377=E$2:E2377)))))-COUNTBLANK(OFFSET(A$1,,,SUMPRODUCT(MAX(ROW(E$1:E2376)*(E2=E$1:E2376))))))</f>
        <v> </v>
      </c>
      <c r="K2377" s="25" t="str">
        <f>IF(OR(E2377="",E2377="!!!",F2377="NEW"),"",INDEX(J$1:J2376,SUMPRODUCT(MAX(ROW(E$1:E2376)*(E2377=E$1:E2376)))))</f>
        <v> </v>
      </c>
      <c r="L2377" s="26"/>
    </row>
    <row r="2378" spans="1:12">
      <c r="A2378" s="20" t="s">
        <v>1123</v>
      </c>
      <c r="E2378" s="21">
        <f>IF(D2378="?OLD","!!!","")</f>
        <v/>
      </c>
      <c r="F2378" s="22" t="str">
        <f>IF(OR(E2378="",E2378="!!!"),"",IF(NOT(ISNA(VLOOKUP(E2378,E$1:E2377,1,FALSE()))),"OLD",IF(AND(E2378&lt;&gt;"",E2378&lt;&gt;"!!!"),"NEW","")))</f>
        <v> </v>
      </c>
      <c r="G2378" s="23" t="str">
        <f>IF(OR(E2378="",E2378="!!!"),"",IF(OR(J2378=0,AND(J2378=1,K2378=1),AND(J2378=1,I2378="SBJ"),AND(J2378=1,I2378=0)),"?IN_FOCUS",IF(J2378&lt;=2,"?ACTIVATED",IF(J2378&lt;&gt;"","?FAMILIAR",IF(F2378="NEW",IF(ISNA(VLOOKUP(E2378,#REF!,1,FALSE())),"?TYPE_IDENTIFIABLE","?REFERENTIAL"),"_")))))</f>
        <v> </v>
      </c>
      <c r="H2378" s="24" t="str">
        <f>IF(J2378&lt;&gt;1,"",IF(I2378="SBJ","CB","?"))</f>
        <v> </v>
      </c>
      <c r="I2378" s="25" t="str">
        <f>IF(OR(E2378="",E2378="!!!",F2378="NEW"),"",INDEX(B2377:B$2,-1+SUMPRODUCT(MAX(ROW(E2377:E$2)*(E2378=E2377:E$2)))))</f>
        <v> </v>
      </c>
      <c r="J2378" s="25" t="str">
        <f>IF(OR(E2378="",E2378="!!!",F2378="NEW"),"",COUNTBLANK(OFFSET(A$1,,,SUMPRODUCT(MAX(ROW(E$2:E2378)*(E2378=E$2:E2378)))))-COUNTBLANK(OFFSET(A$1,,,SUMPRODUCT(MAX(ROW(E$1:E2377)*(E2=E$1:E2377))))))</f>
        <v> </v>
      </c>
      <c r="K2378" s="25" t="str">
        <f>IF(OR(E2378="",E2378="!!!",F2378="NEW"),"",INDEX(J$1:J2377,SUMPRODUCT(MAX(ROW(E$1:E2377)*(E2378=E$1:E2377)))))</f>
        <v> </v>
      </c>
      <c r="L2378" s="26"/>
    </row>
    <row r="2379" spans="1:12">
      <c r="A2379" s="20" t="s">
        <v>135</v>
      </c>
      <c r="E2379" s="21">
        <f>IF(D2379="?OLD","!!!","")</f>
        <v/>
      </c>
      <c r="F2379" s="22" t="str">
        <f>IF(OR(E2379="",E2379="!!!"),"",IF(NOT(ISNA(VLOOKUP(E2379,E$1:E2378,1,FALSE()))),"OLD",IF(AND(E2379&lt;&gt;"",E2379&lt;&gt;"!!!"),"NEW","")))</f>
        <v> </v>
      </c>
      <c r="G2379" s="23" t="str">
        <f>IF(OR(E2379="",E2379="!!!"),"",IF(OR(J2379=0,AND(J2379=1,K2379=1),AND(J2379=1,I2379="SBJ"),AND(J2379=1,I2379=0)),"?IN_FOCUS",IF(J2379&lt;=2,"?ACTIVATED",IF(J2379&lt;&gt;"","?FAMILIAR",IF(F2379="NEW",IF(ISNA(VLOOKUP(E2379,#REF!,1,FALSE())),"?TYPE_IDENTIFIABLE","?REFERENTIAL"),"_")))))</f>
        <v> </v>
      </c>
      <c r="H2379" s="24" t="str">
        <f>IF(J2379&lt;&gt;1,"",IF(I2379="SBJ","CB","?"))</f>
        <v> </v>
      </c>
      <c r="I2379" s="25" t="str">
        <f>IF(OR(E2379="",E2379="!!!",F2379="NEW"),"",INDEX(B2378:B$2,-1+SUMPRODUCT(MAX(ROW(E2378:E$2)*(E2379=E2378:E$2)))))</f>
        <v> </v>
      </c>
      <c r="J2379" s="25" t="str">
        <f>IF(OR(E2379="",E2379="!!!",F2379="NEW"),"",COUNTBLANK(OFFSET(A$1,,,SUMPRODUCT(MAX(ROW(E$2:E2379)*(E2379=E$2:E2379)))))-COUNTBLANK(OFFSET(A$1,,,SUMPRODUCT(MAX(ROW(E$1:E2378)*(E2=E$1:E2378))))))</f>
        <v> </v>
      </c>
      <c r="K2379" s="25" t="str">
        <f>IF(OR(E2379="",E2379="!!!",F2379="NEW"),"",INDEX(J$1:J2378,SUMPRODUCT(MAX(ROW(E$1:E2378)*(E2379=E$1:E2378)))))</f>
        <v> </v>
      </c>
      <c r="L2379" s="26"/>
    </row>
    <row r="2380" spans="1:12">
      <c r="A2380" s="20" t="s">
        <v>1217</v>
      </c>
      <c r="B2380" s="27" t="s">
        <v>1125</v>
      </c>
      <c r="C2380" s="27" t="s">
        <v>1126</v>
      </c>
      <c r="D2380" s="27" t="s">
        <v>1105</v>
      </c>
      <c r="E2380" s="21">
        <f>IF(D2380="?OLD","!!!","")</f>
        <v/>
      </c>
      <c r="F2380" s="22" t="str">
        <f>IF(OR(E2380="",E2380="!!!"),"",IF(NOT(ISNA(VLOOKUP(E2380,E$1:E2379,1,FALSE()))),"OLD",IF(AND(E2380&lt;&gt;"",E2380&lt;&gt;"!!!"),"NEW","")))</f>
        <v> </v>
      </c>
      <c r="G2380" s="23" t="str">
        <f>IF(OR(E2380="",E2380="!!!"),"",IF(OR(J2380=0,AND(J2380=1,K2380=1),AND(J2380=1,I2380="SBJ"),AND(J2380=1,I2380=0)),"?IN_FOCUS",IF(J2380&lt;=2,"?ACTIVATED",IF(J2380&lt;&gt;"","?FAMILIAR",IF(F2380="NEW",IF(ISNA(VLOOKUP(E2380,#REF!,1,FALSE())),"?TYPE_IDENTIFIABLE","?REFERENTIAL"),"_")))))</f>
        <v> </v>
      </c>
      <c r="H2380" s="24" t="str">
        <f>IF(J2380&lt;&gt;1,"",IF(I2380="SBJ","CB","?"))</f>
        <v> </v>
      </c>
      <c r="I2380" s="25" t="str">
        <f>IF(OR(E2380="",E2380="!!!",F2380="NEW"),"",INDEX(B2379:B$2,-1+SUMPRODUCT(MAX(ROW(E2379:E$2)*(E2380=E2379:E$2)))))</f>
        <v> </v>
      </c>
      <c r="J2380" s="25" t="str">
        <f>IF(OR(E2380="",E2380="!!!",F2380="NEW"),"",COUNTBLANK(OFFSET(A$1,,,SUMPRODUCT(MAX(ROW(E$2:E2380)*(E2380=E$2:E2380)))))-COUNTBLANK(OFFSET(A$1,,,SUMPRODUCT(MAX(ROW(E$1:E2379)*(E2=E$1:E2379))))))</f>
        <v> </v>
      </c>
      <c r="K2380" s="25" t="str">
        <f>IF(OR(E2380="",E2380="!!!",F2380="NEW"),"",INDEX(J$1:J2379,SUMPRODUCT(MAX(ROW(E$1:E2379)*(E2380=E$1:E2379)))))</f>
        <v> </v>
      </c>
      <c r="L2380" s="26"/>
    </row>
    <row r="2381" spans="1:12">
      <c r="A2381" s="20" t="s">
        <v>2270</v>
      </c>
      <c r="E2381" s="21">
        <f>IF(D2381="?OLD","!!!","")</f>
        <v/>
      </c>
      <c r="F2381" s="22" t="str">
        <f>IF(OR(E2381="",E2381="!!!"),"",IF(NOT(ISNA(VLOOKUP(E2381,E$1:E2380,1,FALSE()))),"OLD",IF(AND(E2381&lt;&gt;"",E2381&lt;&gt;"!!!"),"NEW","")))</f>
        <v> </v>
      </c>
      <c r="G2381" s="23" t="str">
        <f>IF(OR(E2381="",E2381="!!!"),"",IF(OR(J2381=0,AND(J2381=1,K2381=1),AND(J2381=1,I2381="SBJ"),AND(J2381=1,I2381=0)),"?IN_FOCUS",IF(J2381&lt;=2,"?ACTIVATED",IF(J2381&lt;&gt;"","?FAMILIAR",IF(F2381="NEW",IF(ISNA(VLOOKUP(E2381,#REF!,1,FALSE())),"?TYPE_IDENTIFIABLE","?REFERENTIAL"),"_")))))</f>
        <v> </v>
      </c>
      <c r="H2381" s="24" t="str">
        <f>IF(J2381&lt;&gt;1,"",IF(I2381="SBJ","CB","?"))</f>
        <v> </v>
      </c>
      <c r="I2381" s="25" t="str">
        <f>IF(OR(E2381="",E2381="!!!",F2381="NEW"),"",INDEX(B2380:B$2,-1+SUMPRODUCT(MAX(ROW(E2380:E$2)*(E2381=E2380:E$2)))))</f>
        <v> </v>
      </c>
      <c r="J2381" s="25" t="str">
        <f>IF(OR(E2381="",E2381="!!!",F2381="NEW"),"",COUNTBLANK(OFFSET(A$1,,,SUMPRODUCT(MAX(ROW(E$2:E2381)*(E2381=E$2:E2381)))))-COUNTBLANK(OFFSET(A$1,,,SUMPRODUCT(MAX(ROW(E$1:E2380)*(E2=E$1:E2380))))))</f>
        <v> </v>
      </c>
      <c r="K2381" s="25" t="str">
        <f>IF(OR(E2381="",E2381="!!!",F2381="NEW"),"",INDEX(J$1:J2380,SUMPRODUCT(MAX(ROW(E$1:E2380)*(E2381=E$1:E2380)))))</f>
        <v> </v>
      </c>
      <c r="L2381" s="26"/>
    </row>
    <row r="2382" spans="1:12">
      <c r="A2382" s="20" t="s">
        <v>1408</v>
      </c>
      <c r="B2382" s="27" t="s">
        <v>1144</v>
      </c>
      <c r="C2382" s="27" t="s">
        <v>1126</v>
      </c>
      <c r="D2382" s="27" t="s">
        <v>1105</v>
      </c>
      <c r="E2382" s="21">
        <f>IF(D2382="?OLD","!!!","")</f>
        <v/>
      </c>
      <c r="F2382" s="22" t="str">
        <f>IF(OR(E2382="",E2382="!!!"),"",IF(NOT(ISNA(VLOOKUP(E2382,E$1:E2381,1,FALSE()))),"OLD",IF(AND(E2382&lt;&gt;"",E2382&lt;&gt;"!!!"),"NEW","")))</f>
        <v> </v>
      </c>
      <c r="G2382" s="23" t="str">
        <f>IF(OR(E2382="",E2382="!!!"),"",IF(OR(J2382=0,AND(J2382=1,K2382=1),AND(J2382=1,I2382="SBJ"),AND(J2382=1,I2382=0)),"?IN_FOCUS",IF(J2382&lt;=2,"?ACTIVATED",IF(J2382&lt;&gt;"","?FAMILIAR",IF(F2382="NEW",IF(ISNA(VLOOKUP(E2382,#REF!,1,FALSE())),"?TYPE_IDENTIFIABLE","?REFERENTIAL"),"_")))))</f>
        <v> </v>
      </c>
      <c r="H2382" s="24" t="str">
        <f>IF(J2382&lt;&gt;1,"",IF(I2382="SBJ","CB","?"))</f>
        <v> </v>
      </c>
      <c r="I2382" s="25" t="str">
        <f>IF(OR(E2382="",E2382="!!!",F2382="NEW"),"",INDEX(B2381:B$2,-1+SUMPRODUCT(MAX(ROW(E2381:E$2)*(E2382=E2381:E$2)))))</f>
        <v> </v>
      </c>
      <c r="J2382" s="25" t="str">
        <f>IF(OR(E2382="",E2382="!!!",F2382="NEW"),"",COUNTBLANK(OFFSET(A$1,,,SUMPRODUCT(MAX(ROW(E$2:E2382)*(E2382=E$2:E2382)))))-COUNTBLANK(OFFSET(A$1,,,SUMPRODUCT(MAX(ROW(E$1:E2381)*(E2=E$1:E2381))))))</f>
        <v> </v>
      </c>
      <c r="K2382" s="25" t="str">
        <f>IF(OR(E2382="",E2382="!!!",F2382="NEW"),"",INDEX(J$1:J2381,SUMPRODUCT(MAX(ROW(E$1:E2381)*(E2382=E$1:E2381)))))</f>
        <v> </v>
      </c>
      <c r="L2382" s="26"/>
    </row>
    <row r="2383" spans="1:12">
      <c r="A2383" s="20" t="s">
        <v>2271</v>
      </c>
      <c r="E2383" s="21">
        <f>IF(D2383="?OLD","!!!","")</f>
        <v/>
      </c>
      <c r="F2383" s="22" t="str">
        <f>IF(OR(E2383="",E2383="!!!"),"",IF(NOT(ISNA(VLOOKUP(E2383,E$1:E2382,1,FALSE()))),"OLD",IF(AND(E2383&lt;&gt;"",E2383&lt;&gt;"!!!"),"NEW","")))</f>
        <v> </v>
      </c>
      <c r="G2383" s="23" t="str">
        <f>IF(OR(E2383="",E2383="!!!"),"",IF(OR(J2383=0,AND(J2383=1,K2383=1),AND(J2383=1,I2383="SBJ"),AND(J2383=1,I2383=0)),"?IN_FOCUS",IF(J2383&lt;=2,"?ACTIVATED",IF(J2383&lt;&gt;"","?FAMILIAR",IF(F2383="NEW",IF(ISNA(VLOOKUP(E2383,#REF!,1,FALSE())),"?TYPE_IDENTIFIABLE","?REFERENTIAL"),"_")))))</f>
        <v> </v>
      </c>
      <c r="H2383" s="24" t="str">
        <f>IF(J2383&lt;&gt;1,"",IF(I2383="SBJ","CB","?"))</f>
        <v> </v>
      </c>
      <c r="I2383" s="25" t="str">
        <f>IF(OR(E2383="",E2383="!!!",F2383="NEW"),"",INDEX(B2382:B$2,-1+SUMPRODUCT(MAX(ROW(E2382:E$2)*(E2383=E2382:E$2)))))</f>
        <v> </v>
      </c>
      <c r="J2383" s="25" t="str">
        <f>IF(OR(E2383="",E2383="!!!",F2383="NEW"),"",COUNTBLANK(OFFSET(A$1,,,SUMPRODUCT(MAX(ROW(E$2:E2383)*(E2383=E$2:E2383)))))-COUNTBLANK(OFFSET(A$1,,,SUMPRODUCT(MAX(ROW(E$1:E2382)*(E2=E$1:E2382))))))</f>
        <v> </v>
      </c>
      <c r="K2383" s="25" t="str">
        <f>IF(OR(E2383="",E2383="!!!",F2383="NEW"),"",INDEX(J$1:J2382,SUMPRODUCT(MAX(ROW(E$1:E2382)*(E2383=E$1:E2382)))))</f>
        <v> </v>
      </c>
      <c r="L2383" s="26"/>
    </row>
    <row r="2384" spans="1:12">
      <c r="A2384" s="20" t="s">
        <v>2272</v>
      </c>
      <c r="E2384" s="21">
        <f>IF(D2384="?OLD","!!!","")</f>
        <v/>
      </c>
      <c r="F2384" s="22" t="str">
        <f>IF(OR(E2384="",E2384="!!!"),"",IF(NOT(ISNA(VLOOKUP(E2384,E$1:E2383,1,FALSE()))),"OLD",IF(AND(E2384&lt;&gt;"",E2384&lt;&gt;"!!!"),"NEW","")))</f>
        <v> </v>
      </c>
      <c r="G2384" s="23" t="str">
        <f>IF(OR(E2384="",E2384="!!!"),"",IF(OR(J2384=0,AND(J2384=1,K2384=1),AND(J2384=1,I2384="SBJ"),AND(J2384=1,I2384=0)),"?IN_FOCUS",IF(J2384&lt;=2,"?ACTIVATED",IF(J2384&lt;&gt;"","?FAMILIAR",IF(F2384="NEW",IF(ISNA(VLOOKUP(E2384,#REF!,1,FALSE())),"?TYPE_IDENTIFIABLE","?REFERENTIAL"),"_")))))</f>
        <v> </v>
      </c>
      <c r="H2384" s="24" t="str">
        <f>IF(J2384&lt;&gt;1,"",IF(I2384="SBJ","CB","?"))</f>
        <v> </v>
      </c>
      <c r="I2384" s="25" t="str">
        <f>IF(OR(E2384="",E2384="!!!",F2384="NEW"),"",INDEX(B2383:B$2,-1+SUMPRODUCT(MAX(ROW(E2383:E$2)*(E2384=E2383:E$2)))))</f>
        <v> </v>
      </c>
      <c r="J2384" s="25" t="str">
        <f>IF(OR(E2384="",E2384="!!!",F2384="NEW"),"",COUNTBLANK(OFFSET(A$1,,,SUMPRODUCT(MAX(ROW(E$2:E2384)*(E2384=E$2:E2384)))))-COUNTBLANK(OFFSET(A$1,,,SUMPRODUCT(MAX(ROW(E$1:E2383)*(E2=E$1:E2383))))))</f>
        <v> </v>
      </c>
      <c r="K2384" s="25" t="str">
        <f>IF(OR(E2384="",E2384="!!!",F2384="NEW"),"",INDEX(J$1:J2383,SUMPRODUCT(MAX(ROW(E$1:E2383)*(E2384=E$1:E2383)))))</f>
        <v> </v>
      </c>
      <c r="L2384" s="26"/>
    </row>
    <row r="2385" spans="1:12">
      <c r="A2385" s="20" t="s">
        <v>2273</v>
      </c>
      <c r="B2385" s="27" t="s">
        <v>1144</v>
      </c>
      <c r="C2385" s="27" t="s">
        <v>1116</v>
      </c>
      <c r="E2385" s="21">
        <f>IF(D2385="?OLD","!!!","")</f>
        <v/>
      </c>
      <c r="F2385" s="22" t="str">
        <f>IF(OR(E2385="",E2385="!!!"),"",IF(NOT(ISNA(VLOOKUP(E2385,E$1:E2384,1,FALSE()))),"OLD",IF(AND(E2385&lt;&gt;"",E2385&lt;&gt;"!!!"),"NEW","")))</f>
        <v> </v>
      </c>
      <c r="G2385" s="23" t="str">
        <f>IF(OR(E2385="",E2385="!!!"),"",IF(OR(J2385=0,AND(J2385=1,K2385=1),AND(J2385=1,I2385="SBJ"),AND(J2385=1,I2385=0)),"?IN_FOCUS",IF(J2385&lt;=2,"?ACTIVATED",IF(J2385&lt;&gt;"","?FAMILIAR",IF(F2385="NEW",IF(ISNA(VLOOKUP(E2385,#REF!,1,FALSE())),"?TYPE_IDENTIFIABLE","?REFERENTIAL"),"_")))))</f>
        <v> </v>
      </c>
      <c r="H2385" s="24" t="str">
        <f>IF(J2385&lt;&gt;1,"",IF(I2385="SBJ","CB","?"))</f>
        <v> </v>
      </c>
      <c r="I2385" s="25" t="str">
        <f>IF(OR(E2385="",E2385="!!!",F2385="NEW"),"",INDEX(B2384:B$2,-1+SUMPRODUCT(MAX(ROW(E2384:E$2)*(E2385=E2384:E$2)))))</f>
        <v> </v>
      </c>
      <c r="J2385" s="25" t="str">
        <f>IF(OR(E2385="",E2385="!!!",F2385="NEW"),"",COUNTBLANK(OFFSET(A$1,,,SUMPRODUCT(MAX(ROW(E$2:E2385)*(E2385=E$2:E2385)))))-COUNTBLANK(OFFSET(A$1,,,SUMPRODUCT(MAX(ROW(E$1:E2384)*(E2=E$1:E2384))))))</f>
        <v> </v>
      </c>
      <c r="K2385" s="25" t="str">
        <f>IF(OR(E2385="",E2385="!!!",F2385="NEW"),"",INDEX(J$1:J2384,SUMPRODUCT(MAX(ROW(E$1:E2384)*(E2385=E$1:E2384)))))</f>
        <v> </v>
      </c>
      <c r="L2385" s="26"/>
    </row>
    <row r="2386" spans="1:12">
      <c r="A2386" s="20" t="s">
        <v>1145</v>
      </c>
      <c r="E2386" s="21">
        <f>IF(D2386="?OLD","!!!","")</f>
        <v/>
      </c>
      <c r="F2386" s="22" t="str">
        <f>IF(OR(E2386="",E2386="!!!"),"",IF(NOT(ISNA(VLOOKUP(E2386,E$1:E2385,1,FALSE()))),"OLD",IF(AND(E2386&lt;&gt;"",E2386&lt;&gt;"!!!"),"NEW","")))</f>
        <v> </v>
      </c>
      <c r="G2386" s="23" t="str">
        <f>IF(OR(E2386="",E2386="!!!"),"",IF(OR(J2386=0,AND(J2386=1,K2386=1),AND(J2386=1,I2386="SBJ"),AND(J2386=1,I2386=0)),"?IN_FOCUS",IF(J2386&lt;=2,"?ACTIVATED",IF(J2386&lt;&gt;"","?FAMILIAR",IF(F2386="NEW",IF(ISNA(VLOOKUP(E2386,#REF!,1,FALSE())),"?TYPE_IDENTIFIABLE","?REFERENTIAL"),"_")))))</f>
        <v> </v>
      </c>
      <c r="H2386" s="24" t="str">
        <f>IF(J2386&lt;&gt;1,"",IF(I2386="SBJ","CB","?"))</f>
        <v> </v>
      </c>
      <c r="I2386" s="25" t="str">
        <f>IF(OR(E2386="",E2386="!!!",F2386="NEW"),"",INDEX(B2385:B$2,-1+SUMPRODUCT(MAX(ROW(E2385:E$2)*(E2386=E2385:E$2)))))</f>
        <v> </v>
      </c>
      <c r="J2386" s="25" t="str">
        <f>IF(OR(E2386="",E2386="!!!",F2386="NEW"),"",COUNTBLANK(OFFSET(A$1,,,SUMPRODUCT(MAX(ROW(E$2:E2386)*(E2386=E$2:E2386)))))-COUNTBLANK(OFFSET(A$1,,,SUMPRODUCT(MAX(ROW(E$1:E2385)*(E2=E$1:E2385))))))</f>
        <v> </v>
      </c>
      <c r="K2386" s="25" t="str">
        <f>IF(OR(E2386="",E2386="!!!",F2386="NEW"),"",INDEX(J$1:J2385,SUMPRODUCT(MAX(ROW(E$1:E2385)*(E2386=E$1:E2385)))))</f>
        <v> </v>
      </c>
      <c r="L2386" s="26"/>
    </row>
    <row r="2387" spans="1:12">
      <c r="A2387" s="20"/>
    </row>
    <row r="2388" spans="1:12">
      <c r="A2388" s="20" t="s">
        <v>2274</v>
      </c>
    </row>
    <row r="2389" spans="1:12">
      <c r="A2389" s="20" t="s">
        <v>1191</v>
      </c>
      <c r="B2389" s="27" t="s">
        <v>1149</v>
      </c>
      <c r="C2389" s="27" t="s">
        <v>1126</v>
      </c>
      <c r="D2389" s="27" t="s">
        <v>1105</v>
      </c>
      <c r="E2389" s="21">
        <f>IF(D2389="?OLD","!!!","")</f>
        <v/>
      </c>
      <c r="F2389" s="22" t="str">
        <f>IF(OR(E2389="",E2389="!!!"),"",IF(NOT(ISNA(VLOOKUP(E2389,E$1:E2388,1,FALSE()))),"OLD",IF(AND(E2389&lt;&gt;"",E2389&lt;&gt;"!!!"),"NEW","")))</f>
        <v> </v>
      </c>
      <c r="G2389" s="23" t="str">
        <f>IF(OR(E2389="",E2389="!!!"),"",IF(OR(J2389=0,AND(J2389=1,K2389=1),AND(J2389=1,I2389="SBJ"),AND(J2389=1,I2389=0)),"?IN_FOCUS",IF(J2389&lt;=2,"?ACTIVATED",IF(J2389&lt;&gt;"","?FAMILIAR",IF(F2389="NEW",IF(ISNA(VLOOKUP(E2389,#REF!,1,FALSE())),"?TYPE_IDENTIFIABLE","?REFERENTIAL"),"_")))))</f>
        <v> </v>
      </c>
      <c r="H2389" s="24" t="str">
        <f>IF(J2389&lt;&gt;1,"",IF(I2389="SBJ","CB","?"))</f>
        <v> </v>
      </c>
      <c r="I2389" s="25" t="str">
        <f>IF(OR(E2389="",E2389="!!!",F2389="NEW"),"",INDEX(B2388:B$2,-1+SUMPRODUCT(MAX(ROW(E2388:E$2)*(E2389=E2388:E$2)))))</f>
        <v> </v>
      </c>
      <c r="J2389" s="25" t="str">
        <f>IF(OR(E2389="",E2389="!!!",F2389="NEW"),"",COUNTBLANK(OFFSET(A$1,,,SUMPRODUCT(MAX(ROW(E$2:E2389)*(E2389=E$2:E2389)))))-COUNTBLANK(OFFSET(A$1,,,SUMPRODUCT(MAX(ROW(E$1:E2388)*(E2=E$1:E2388))))))</f>
        <v> </v>
      </c>
      <c r="K2389" s="25" t="str">
        <f>IF(OR(E2389="",E2389="!!!",F2389="NEW"),"",INDEX(J$1:J2388,SUMPRODUCT(MAX(ROW(E$1:E2388)*(E2389=E$1:E2388)))))</f>
        <v> </v>
      </c>
      <c r="L2389" s="26"/>
    </row>
    <row r="2390" spans="1:12">
      <c r="A2390" s="20" t="s">
        <v>2275</v>
      </c>
      <c r="E2390" s="21">
        <f>IF(D2390="?OLD","!!!","")</f>
        <v/>
      </c>
      <c r="F2390" s="22" t="str">
        <f>IF(OR(E2390="",E2390="!!!"),"",IF(NOT(ISNA(VLOOKUP(E2390,E$1:E2389,1,FALSE()))),"OLD",IF(AND(E2390&lt;&gt;"",E2390&lt;&gt;"!!!"),"NEW","")))</f>
        <v> </v>
      </c>
      <c r="G2390" s="23" t="str">
        <f>IF(OR(E2390="",E2390="!!!"),"",IF(OR(J2390=0,AND(J2390=1,K2390=1),AND(J2390=1,I2390="SBJ"),AND(J2390=1,I2390=0)),"?IN_FOCUS",IF(J2390&lt;=2,"?ACTIVATED",IF(J2390&lt;&gt;"","?FAMILIAR",IF(F2390="NEW",IF(ISNA(VLOOKUP(E2390,#REF!,1,FALSE())),"?TYPE_IDENTIFIABLE","?REFERENTIAL"),"_")))))</f>
        <v> </v>
      </c>
      <c r="H2390" s="24" t="str">
        <f>IF(J2390&lt;&gt;1,"",IF(I2390="SBJ","CB","?"))</f>
        <v> </v>
      </c>
      <c r="I2390" s="25" t="str">
        <f>IF(OR(E2390="",E2390="!!!",F2390="NEW"),"",INDEX(B2389:B$2,-1+SUMPRODUCT(MAX(ROW(E2389:E$2)*(E2390=E2389:E$2)))))</f>
        <v> </v>
      </c>
      <c r="J2390" s="25" t="str">
        <f>IF(OR(E2390="",E2390="!!!",F2390="NEW"),"",COUNTBLANK(OFFSET(A$1,,,SUMPRODUCT(MAX(ROW(E$2:E2390)*(E2390=E$2:E2390)))))-COUNTBLANK(OFFSET(A$1,,,SUMPRODUCT(MAX(ROW(E$1:E2389)*(E2=E$1:E2389))))))</f>
        <v> </v>
      </c>
      <c r="K2390" s="25" t="str">
        <f>IF(OR(E2390="",E2390="!!!",F2390="NEW"),"",INDEX(J$1:J2389,SUMPRODUCT(MAX(ROW(E$1:E2389)*(E2390=E$1:E2389)))))</f>
        <v> </v>
      </c>
      <c r="L2390" s="26"/>
    </row>
    <row r="2391" spans="1:12">
      <c r="A2391" s="20" t="s">
        <v>2276</v>
      </c>
      <c r="E2391" s="21">
        <f>IF(D2391="?OLD","!!!","")</f>
        <v/>
      </c>
      <c r="F2391" s="22" t="str">
        <f>IF(OR(E2391="",E2391="!!!"),"",IF(NOT(ISNA(VLOOKUP(E2391,E$1:E2390,1,FALSE()))),"OLD",IF(AND(E2391&lt;&gt;"",E2391&lt;&gt;"!!!"),"NEW","")))</f>
        <v> </v>
      </c>
      <c r="G2391" s="23" t="str">
        <f>IF(OR(E2391="",E2391="!!!"),"",IF(OR(J2391=0,AND(J2391=1,K2391=1),AND(J2391=1,I2391="SBJ"),AND(J2391=1,I2391=0)),"?IN_FOCUS",IF(J2391&lt;=2,"?ACTIVATED",IF(J2391&lt;&gt;"","?FAMILIAR",IF(F2391="NEW",IF(ISNA(VLOOKUP(E2391,#REF!,1,FALSE())),"?TYPE_IDENTIFIABLE","?REFERENTIAL"),"_")))))</f>
        <v> </v>
      </c>
      <c r="H2391" s="24" t="str">
        <f>IF(J2391&lt;&gt;1,"",IF(I2391="SBJ","CB","?"))</f>
        <v> </v>
      </c>
      <c r="I2391" s="25" t="str">
        <f>IF(OR(E2391="",E2391="!!!",F2391="NEW"),"",INDEX(B2390:B$2,-1+SUMPRODUCT(MAX(ROW(E2390:E$2)*(E2391=E2390:E$2)))))</f>
        <v> </v>
      </c>
      <c r="J2391" s="25" t="str">
        <f>IF(OR(E2391="",E2391="!!!",F2391="NEW"),"",COUNTBLANK(OFFSET(A$1,,,SUMPRODUCT(MAX(ROW(E$2:E2391)*(E2391=E$2:E2391)))))-COUNTBLANK(OFFSET(A$1,,,SUMPRODUCT(MAX(ROW(E$1:E2390)*(E2=E$1:E2390))))))</f>
        <v> </v>
      </c>
      <c r="K2391" s="25" t="str">
        <f>IF(OR(E2391="",E2391="!!!",F2391="NEW"),"",INDEX(J$1:J2390,SUMPRODUCT(MAX(ROW(E$1:E2390)*(E2391=E$1:E2390)))))</f>
        <v> </v>
      </c>
      <c r="L2391" s="26"/>
    </row>
    <row r="2392" spans="1:12">
      <c r="A2392" s="20" t="s">
        <v>2277</v>
      </c>
      <c r="B2392" s="27" t="s">
        <v>1243</v>
      </c>
      <c r="E2392" s="21">
        <f>IF(D2392="?OLD","!!!","")</f>
        <v/>
      </c>
      <c r="F2392" s="22" t="str">
        <f>IF(OR(E2392="",E2392="!!!"),"",IF(NOT(ISNA(VLOOKUP(E2392,E$1:E2391,1,FALSE()))),"OLD",IF(AND(E2392&lt;&gt;"",E2392&lt;&gt;"!!!"),"NEW","")))</f>
        <v> </v>
      </c>
      <c r="G2392" s="23" t="str">
        <f>IF(OR(E2392="",E2392="!!!"),"",IF(OR(J2392=0,AND(J2392=1,K2392=1),AND(J2392=1,I2392="SBJ"),AND(J2392=1,I2392=0)),"?IN_FOCUS",IF(J2392&lt;=2,"?ACTIVATED",IF(J2392&lt;&gt;"","?FAMILIAR",IF(F2392="NEW",IF(ISNA(VLOOKUP(E2392,#REF!,1,FALSE())),"?TYPE_IDENTIFIABLE","?REFERENTIAL"),"_")))))</f>
        <v> </v>
      </c>
      <c r="H2392" s="24" t="str">
        <f>IF(J2392&lt;&gt;1,"",IF(I2392="SBJ","CB","?"))</f>
        <v> </v>
      </c>
      <c r="I2392" s="25" t="str">
        <f>IF(OR(E2392="",E2392="!!!",F2392="NEW"),"",INDEX(B2391:B$2,-1+SUMPRODUCT(MAX(ROW(E2391:E$2)*(E2392=E2391:E$2)))))</f>
        <v> </v>
      </c>
      <c r="J2392" s="25" t="str">
        <f>IF(OR(E2392="",E2392="!!!",F2392="NEW"),"",COUNTBLANK(OFFSET(A$1,,,SUMPRODUCT(MAX(ROW(E$2:E2392)*(E2392=E$2:E2392)))))-COUNTBLANK(OFFSET(A$1,,,SUMPRODUCT(MAX(ROW(E$1:E2391)*(E2=E$1:E2391))))))</f>
        <v> </v>
      </c>
      <c r="K2392" s="25" t="str">
        <f>IF(OR(E2392="",E2392="!!!",F2392="NEW"),"",INDEX(J$1:J2391,SUMPRODUCT(MAX(ROW(E$1:E2391)*(E2392=E$1:E2391)))))</f>
        <v> </v>
      </c>
      <c r="L2392" s="26"/>
    </row>
    <row r="2393" spans="1:12">
      <c r="A2393" s="20" t="s">
        <v>1123</v>
      </c>
      <c r="E2393" s="21">
        <f>IF(D2393="?OLD","!!!","")</f>
        <v/>
      </c>
      <c r="F2393" s="22" t="str">
        <f>IF(OR(E2393="",E2393="!!!"),"",IF(NOT(ISNA(VLOOKUP(E2393,E$1:E2392,1,FALSE()))),"OLD",IF(AND(E2393&lt;&gt;"",E2393&lt;&gt;"!!!"),"NEW","")))</f>
        <v> </v>
      </c>
      <c r="G2393" s="23" t="str">
        <f>IF(OR(E2393="",E2393="!!!"),"",IF(OR(J2393=0,AND(J2393=1,K2393=1),AND(J2393=1,I2393="SBJ"),AND(J2393=1,I2393=0)),"?IN_FOCUS",IF(J2393&lt;=2,"?ACTIVATED",IF(J2393&lt;&gt;"","?FAMILIAR",IF(F2393="NEW",IF(ISNA(VLOOKUP(E2393,#REF!,1,FALSE())),"?TYPE_IDENTIFIABLE","?REFERENTIAL"),"_")))))</f>
        <v> </v>
      </c>
      <c r="H2393" s="24" t="str">
        <f>IF(J2393&lt;&gt;1,"",IF(I2393="SBJ","CB","?"))</f>
        <v> </v>
      </c>
      <c r="I2393" s="25" t="str">
        <f>IF(OR(E2393="",E2393="!!!",F2393="NEW"),"",INDEX(B2392:B$2,-1+SUMPRODUCT(MAX(ROW(E2392:E$2)*(E2393=E2392:E$2)))))</f>
        <v> </v>
      </c>
      <c r="J2393" s="25" t="str">
        <f>IF(OR(E2393="",E2393="!!!",F2393="NEW"),"",COUNTBLANK(OFFSET(A$1,,,SUMPRODUCT(MAX(ROW(E$2:E2393)*(E2393=E$2:E2393)))))-COUNTBLANK(OFFSET(A$1,,,SUMPRODUCT(MAX(ROW(E$1:E2392)*(E2=E$1:E2392))))))</f>
        <v> </v>
      </c>
      <c r="K2393" s="25" t="str">
        <f>IF(OR(E2393="",E2393="!!!",F2393="NEW"),"",INDEX(J$1:J2392,SUMPRODUCT(MAX(ROW(E$1:E2392)*(E2393=E$1:E2392)))))</f>
        <v> </v>
      </c>
      <c r="L2393" s="26"/>
    </row>
    <row r="2394" spans="1:12">
      <c r="A2394" s="20" t="s">
        <v>1197</v>
      </c>
      <c r="E2394" s="21">
        <f>IF(D2394="?OLD","!!!","")</f>
        <v/>
      </c>
      <c r="F2394" s="22" t="str">
        <f>IF(OR(E2394="",E2394="!!!"),"",IF(NOT(ISNA(VLOOKUP(E2394,E$1:E2393,1,FALSE()))),"OLD",IF(AND(E2394&lt;&gt;"",E2394&lt;&gt;"!!!"),"NEW","")))</f>
        <v> </v>
      </c>
      <c r="G2394" s="23" t="str">
        <f>IF(OR(E2394="",E2394="!!!"),"",IF(OR(J2394=0,AND(J2394=1,K2394=1),AND(J2394=1,I2394="SBJ"),AND(J2394=1,I2394=0)),"?IN_FOCUS",IF(J2394&lt;=2,"?ACTIVATED",IF(J2394&lt;&gt;"","?FAMILIAR",IF(F2394="NEW",IF(ISNA(VLOOKUP(E2394,#REF!,1,FALSE())),"?TYPE_IDENTIFIABLE","?REFERENTIAL"),"_")))))</f>
        <v> </v>
      </c>
      <c r="H2394" s="24" t="str">
        <f>IF(J2394&lt;&gt;1,"",IF(I2394="SBJ","CB","?"))</f>
        <v> </v>
      </c>
      <c r="I2394" s="25" t="str">
        <f>IF(OR(E2394="",E2394="!!!",F2394="NEW"),"",INDEX(B2393:B$2,-1+SUMPRODUCT(MAX(ROW(E2393:E$2)*(E2394=E2393:E$2)))))</f>
        <v> </v>
      </c>
      <c r="J2394" s="25" t="str">
        <f>IF(OR(E2394="",E2394="!!!",F2394="NEW"),"",COUNTBLANK(OFFSET(A$1,,,SUMPRODUCT(MAX(ROW(E$2:E2394)*(E2394=E$2:E2394)))))-COUNTBLANK(OFFSET(A$1,,,SUMPRODUCT(MAX(ROW(E$1:E2393)*(E2=E$1:E2393))))))</f>
        <v> </v>
      </c>
      <c r="K2394" s="25" t="str">
        <f>IF(OR(E2394="",E2394="!!!",F2394="NEW"),"",INDEX(J$1:J2393,SUMPRODUCT(MAX(ROW(E$1:E2393)*(E2394=E$1:E2393)))))</f>
        <v> </v>
      </c>
      <c r="L2394" s="26"/>
    </row>
    <row r="2395" spans="1:12">
      <c r="A2395" s="20" t="s">
        <v>2278</v>
      </c>
      <c r="E2395" s="21">
        <f>IF(D2395="?OLD","!!!","")</f>
        <v/>
      </c>
      <c r="F2395" s="22" t="str">
        <f>IF(OR(E2395="",E2395="!!!"),"",IF(NOT(ISNA(VLOOKUP(E2395,E$1:E2394,1,FALSE()))),"OLD",IF(AND(E2395&lt;&gt;"",E2395&lt;&gt;"!!!"),"NEW","")))</f>
        <v> </v>
      </c>
      <c r="G2395" s="23" t="str">
        <f>IF(OR(E2395="",E2395="!!!"),"",IF(OR(J2395=0,AND(J2395=1,K2395=1),AND(J2395=1,I2395="SBJ"),AND(J2395=1,I2395=0)),"?IN_FOCUS",IF(J2395&lt;=2,"?ACTIVATED",IF(J2395&lt;&gt;"","?FAMILIAR",IF(F2395="NEW",IF(ISNA(VLOOKUP(E2395,#REF!,1,FALSE())),"?TYPE_IDENTIFIABLE","?REFERENTIAL"),"_")))))</f>
        <v> </v>
      </c>
      <c r="H2395" s="24" t="str">
        <f>IF(J2395&lt;&gt;1,"",IF(I2395="SBJ","CB","?"))</f>
        <v> </v>
      </c>
      <c r="I2395" s="25" t="str">
        <f>IF(OR(E2395="",E2395="!!!",F2395="NEW"),"",INDEX(B2394:B$2,-1+SUMPRODUCT(MAX(ROW(E2394:E$2)*(E2395=E2394:E$2)))))</f>
        <v> </v>
      </c>
      <c r="J2395" s="25" t="str">
        <f>IF(OR(E2395="",E2395="!!!",F2395="NEW"),"",COUNTBLANK(OFFSET(A$1,,,SUMPRODUCT(MAX(ROW(E$2:E2395)*(E2395=E$2:E2395)))))-COUNTBLANK(OFFSET(A$1,,,SUMPRODUCT(MAX(ROW(E$1:E2394)*(E2=E$1:E2394))))))</f>
        <v> </v>
      </c>
      <c r="K2395" s="25" t="str">
        <f>IF(OR(E2395="",E2395="!!!",F2395="NEW"),"",INDEX(J$1:J2394,SUMPRODUCT(MAX(ROW(E$1:E2394)*(E2395=E$1:E2394)))))</f>
        <v> </v>
      </c>
      <c r="L2395" s="26"/>
    </row>
    <row r="2396" spans="1:12">
      <c r="A2396" s="20" t="s">
        <v>1134</v>
      </c>
      <c r="E2396" s="21">
        <f>IF(D2396="?OLD","!!!","")</f>
        <v/>
      </c>
      <c r="F2396" s="22" t="str">
        <f>IF(OR(E2396="",E2396="!!!"),"",IF(NOT(ISNA(VLOOKUP(E2396,E$1:E2395,1,FALSE()))),"OLD",IF(AND(E2396&lt;&gt;"",E2396&lt;&gt;"!!!"),"NEW","")))</f>
        <v> </v>
      </c>
      <c r="G2396" s="23" t="str">
        <f>IF(OR(E2396="",E2396="!!!"),"",IF(OR(J2396=0,AND(J2396=1,K2396=1),AND(J2396=1,I2396="SBJ"),AND(J2396=1,I2396=0)),"?IN_FOCUS",IF(J2396&lt;=2,"?ACTIVATED",IF(J2396&lt;&gt;"","?FAMILIAR",IF(F2396="NEW",IF(ISNA(VLOOKUP(E2396,#REF!,1,FALSE())),"?TYPE_IDENTIFIABLE","?REFERENTIAL"),"_")))))</f>
        <v> </v>
      </c>
      <c r="H2396" s="24" t="str">
        <f>IF(J2396&lt;&gt;1,"",IF(I2396="SBJ","CB","?"))</f>
        <v> </v>
      </c>
      <c r="I2396" s="25" t="str">
        <f>IF(OR(E2396="",E2396="!!!",F2396="NEW"),"",INDEX(B2395:B$2,-1+SUMPRODUCT(MAX(ROW(E2395:E$2)*(E2396=E2395:E$2)))))</f>
        <v> </v>
      </c>
      <c r="J2396" s="25" t="str">
        <f>IF(OR(E2396="",E2396="!!!",F2396="NEW"),"",COUNTBLANK(OFFSET(A$1,,,SUMPRODUCT(MAX(ROW(E$2:E2396)*(E2396=E$2:E2396)))))-COUNTBLANK(OFFSET(A$1,,,SUMPRODUCT(MAX(ROW(E$1:E2395)*(E2=E$1:E2395))))))</f>
        <v> </v>
      </c>
      <c r="K2396" s="25" t="str">
        <f>IF(OR(E2396="",E2396="!!!",F2396="NEW"),"",INDEX(J$1:J2395,SUMPRODUCT(MAX(ROW(E$1:E2395)*(E2396=E$1:E2395)))))</f>
        <v> </v>
      </c>
      <c r="L2396" s="26"/>
    </row>
    <row r="2397" spans="1:12">
      <c r="A2397" s="20" t="s">
        <v>2279</v>
      </c>
      <c r="E2397" s="21">
        <f>IF(D2397="?OLD","!!!","")</f>
        <v/>
      </c>
      <c r="F2397" s="22" t="str">
        <f>IF(OR(E2397="",E2397="!!!"),"",IF(NOT(ISNA(VLOOKUP(E2397,E$1:E2396,1,FALSE()))),"OLD",IF(AND(E2397&lt;&gt;"",E2397&lt;&gt;"!!!"),"NEW","")))</f>
        <v> </v>
      </c>
      <c r="G2397" s="23" t="str">
        <f>IF(OR(E2397="",E2397="!!!"),"",IF(OR(J2397=0,AND(J2397=1,K2397=1),AND(J2397=1,I2397="SBJ"),AND(J2397=1,I2397=0)),"?IN_FOCUS",IF(J2397&lt;=2,"?ACTIVATED",IF(J2397&lt;&gt;"","?FAMILIAR",IF(F2397="NEW",IF(ISNA(VLOOKUP(E2397,#REF!,1,FALSE())),"?TYPE_IDENTIFIABLE","?REFERENTIAL"),"_")))))</f>
        <v> </v>
      </c>
      <c r="H2397" s="24" t="str">
        <f>IF(J2397&lt;&gt;1,"",IF(I2397="SBJ","CB","?"))</f>
        <v> </v>
      </c>
      <c r="I2397" s="25" t="str">
        <f>IF(OR(E2397="",E2397="!!!",F2397="NEW"),"",INDEX(B2396:B$2,-1+SUMPRODUCT(MAX(ROW(E2396:E$2)*(E2397=E2396:E$2)))))</f>
        <v> </v>
      </c>
      <c r="J2397" s="25" t="str">
        <f>IF(OR(E2397="",E2397="!!!",F2397="NEW"),"",COUNTBLANK(OFFSET(A$1,,,SUMPRODUCT(MAX(ROW(E$2:E2397)*(E2397=E$2:E2397)))))-COUNTBLANK(OFFSET(A$1,,,SUMPRODUCT(MAX(ROW(E$1:E2396)*(E2=E$1:E2396))))))</f>
        <v> </v>
      </c>
      <c r="K2397" s="25" t="str">
        <f>IF(OR(E2397="",E2397="!!!",F2397="NEW"),"",INDEX(J$1:J2396,SUMPRODUCT(MAX(ROW(E$1:E2396)*(E2397=E$1:E2396)))))</f>
        <v> </v>
      </c>
      <c r="L2397" s="26"/>
    </row>
    <row r="2398" spans="1:12">
      <c r="A2398" s="20" t="s">
        <v>1123</v>
      </c>
      <c r="E2398" s="21">
        <f>IF(D2398="?OLD","!!!","")</f>
        <v/>
      </c>
      <c r="F2398" s="22" t="str">
        <f>IF(OR(E2398="",E2398="!!!"),"",IF(NOT(ISNA(VLOOKUP(E2398,E$1:E2397,1,FALSE()))),"OLD",IF(AND(E2398&lt;&gt;"",E2398&lt;&gt;"!!!"),"NEW","")))</f>
        <v> </v>
      </c>
      <c r="G2398" s="23" t="str">
        <f>IF(OR(E2398="",E2398="!!!"),"",IF(OR(J2398=0,AND(J2398=1,K2398=1),AND(J2398=1,I2398="SBJ"),AND(J2398=1,I2398=0)),"?IN_FOCUS",IF(J2398&lt;=2,"?ACTIVATED",IF(J2398&lt;&gt;"","?FAMILIAR",IF(F2398="NEW",IF(ISNA(VLOOKUP(E2398,#REF!,1,FALSE())),"?TYPE_IDENTIFIABLE","?REFERENTIAL"),"_")))))</f>
        <v> </v>
      </c>
      <c r="H2398" s="24" t="str">
        <f>IF(J2398&lt;&gt;1,"",IF(I2398="SBJ","CB","?"))</f>
        <v> </v>
      </c>
      <c r="I2398" s="25" t="str">
        <f>IF(OR(E2398="",E2398="!!!",F2398="NEW"),"",INDEX(B2397:B$2,-1+SUMPRODUCT(MAX(ROW(E2397:E$2)*(E2398=E2397:E$2)))))</f>
        <v> </v>
      </c>
      <c r="J2398" s="25" t="str">
        <f>IF(OR(E2398="",E2398="!!!",F2398="NEW"),"",COUNTBLANK(OFFSET(A$1,,,SUMPRODUCT(MAX(ROW(E$2:E2398)*(E2398=E$2:E2398)))))-COUNTBLANK(OFFSET(A$1,,,SUMPRODUCT(MAX(ROW(E$1:E2397)*(E2=E$1:E2397))))))</f>
        <v> </v>
      </c>
      <c r="K2398" s="25" t="str">
        <f>IF(OR(E2398="",E2398="!!!",F2398="NEW"),"",INDEX(J$1:J2397,SUMPRODUCT(MAX(ROW(E$1:E2397)*(E2398=E$1:E2397)))))</f>
        <v> </v>
      </c>
      <c r="L2398" s="26"/>
    </row>
    <row r="2399" spans="1:12">
      <c r="A2399" s="20" t="s">
        <v>135</v>
      </c>
      <c r="E2399" s="21">
        <f>IF(D2399="?OLD","!!!","")</f>
        <v/>
      </c>
      <c r="F2399" s="22" t="str">
        <f>IF(OR(E2399="",E2399="!!!"),"",IF(NOT(ISNA(VLOOKUP(E2399,E$1:E2398,1,FALSE()))),"OLD",IF(AND(E2399&lt;&gt;"",E2399&lt;&gt;"!!!"),"NEW","")))</f>
        <v> </v>
      </c>
      <c r="G2399" s="23" t="str">
        <f>IF(OR(E2399="",E2399="!!!"),"",IF(OR(J2399=0,AND(J2399=1,K2399=1),AND(J2399=1,I2399="SBJ"),AND(J2399=1,I2399=0)),"?IN_FOCUS",IF(J2399&lt;=2,"?ACTIVATED",IF(J2399&lt;&gt;"","?FAMILIAR",IF(F2399="NEW",IF(ISNA(VLOOKUP(E2399,#REF!,1,FALSE())),"?TYPE_IDENTIFIABLE","?REFERENTIAL"),"_")))))</f>
        <v> </v>
      </c>
      <c r="H2399" s="24" t="str">
        <f>IF(J2399&lt;&gt;1,"",IF(I2399="SBJ","CB","?"))</f>
        <v> </v>
      </c>
      <c r="I2399" s="25" t="str">
        <f>IF(OR(E2399="",E2399="!!!",F2399="NEW"),"",INDEX(B2398:B$2,-1+SUMPRODUCT(MAX(ROW(E2398:E$2)*(E2399=E2398:E$2)))))</f>
        <v> </v>
      </c>
      <c r="J2399" s="25" t="str">
        <f>IF(OR(E2399="",E2399="!!!",F2399="NEW"),"",COUNTBLANK(OFFSET(A$1,,,SUMPRODUCT(MAX(ROW(E$2:E2399)*(E2399=E$2:E2399)))))-COUNTBLANK(OFFSET(A$1,,,SUMPRODUCT(MAX(ROW(E$1:E2398)*(E2=E$1:E2398))))))</f>
        <v> </v>
      </c>
      <c r="K2399" s="25" t="str">
        <f>IF(OR(E2399="",E2399="!!!",F2399="NEW"),"",INDEX(J$1:J2398,SUMPRODUCT(MAX(ROW(E$1:E2398)*(E2399=E$1:E2398)))))</f>
        <v> </v>
      </c>
      <c r="L2399" s="26"/>
    </row>
    <row r="2400" spans="1:12">
      <c r="A2400" s="20" t="s">
        <v>1114</v>
      </c>
      <c r="B2400" s="27" t="s">
        <v>1259</v>
      </c>
      <c r="C2400" s="27" t="s">
        <v>1116</v>
      </c>
      <c r="D2400" s="27" t="s">
        <v>1105</v>
      </c>
      <c r="E2400" s="21">
        <f>IF(D2400="?OLD","!!!","")</f>
        <v/>
      </c>
      <c r="F2400" s="22" t="str">
        <f>IF(OR(E2400="",E2400="!!!"),"",IF(NOT(ISNA(VLOOKUP(E2400,E$1:E2399,1,FALSE()))),"OLD",IF(AND(E2400&lt;&gt;"",E2400&lt;&gt;"!!!"),"NEW","")))</f>
        <v> </v>
      </c>
      <c r="G2400" s="23" t="str">
        <f>IF(OR(E2400="",E2400="!!!"),"",IF(OR(J2400=0,AND(J2400=1,K2400=1),AND(J2400=1,I2400="SBJ"),AND(J2400=1,I2400=0)),"?IN_FOCUS",IF(J2400&lt;=2,"?ACTIVATED",IF(J2400&lt;&gt;"","?FAMILIAR",IF(F2400="NEW",IF(ISNA(VLOOKUP(E2400,#REF!,1,FALSE())),"?TYPE_IDENTIFIABLE","?REFERENTIAL"),"_")))))</f>
        <v> </v>
      </c>
      <c r="H2400" s="24" t="str">
        <f>IF(J2400&lt;&gt;1,"",IF(I2400="SBJ","CB","?"))</f>
        <v> </v>
      </c>
      <c r="I2400" s="25" t="str">
        <f>IF(OR(E2400="",E2400="!!!",F2400="NEW"),"",INDEX(B2399:B$2,-1+SUMPRODUCT(MAX(ROW(E2399:E$2)*(E2400=E2399:E$2)))))</f>
        <v> </v>
      </c>
      <c r="J2400" s="25" t="str">
        <f>IF(OR(E2400="",E2400="!!!",F2400="NEW"),"",COUNTBLANK(OFFSET(A$1,,,SUMPRODUCT(MAX(ROW(E$2:E2400)*(E2400=E$2:E2400)))))-COUNTBLANK(OFFSET(A$1,,,SUMPRODUCT(MAX(ROW(E$1:E2399)*(E2=E$1:E2399))))))</f>
        <v> </v>
      </c>
      <c r="K2400" s="25" t="str">
        <f>IF(OR(E2400="",E2400="!!!",F2400="NEW"),"",INDEX(J$1:J2399,SUMPRODUCT(MAX(ROW(E$1:E2399)*(E2400=E$1:E2399)))))</f>
        <v> </v>
      </c>
      <c r="L2400" s="26"/>
    </row>
    <row r="2401" spans="1:12">
      <c r="A2401" s="20" t="s">
        <v>1875</v>
      </c>
      <c r="E2401" s="21">
        <f>IF(D2401="?OLD","!!!","")</f>
        <v/>
      </c>
      <c r="F2401" s="22" t="str">
        <f>IF(OR(E2401="",E2401="!!!"),"",IF(NOT(ISNA(VLOOKUP(E2401,E$1:E2400,1,FALSE()))),"OLD",IF(AND(E2401&lt;&gt;"",E2401&lt;&gt;"!!!"),"NEW","")))</f>
        <v> </v>
      </c>
      <c r="G2401" s="23" t="str">
        <f>IF(OR(E2401="",E2401="!!!"),"",IF(OR(J2401=0,AND(J2401=1,K2401=1),AND(J2401=1,I2401="SBJ"),AND(J2401=1,I2401=0)),"?IN_FOCUS",IF(J2401&lt;=2,"?ACTIVATED",IF(J2401&lt;&gt;"","?FAMILIAR",IF(F2401="NEW",IF(ISNA(VLOOKUP(E2401,#REF!,1,FALSE())),"?TYPE_IDENTIFIABLE","?REFERENTIAL"),"_")))))</f>
        <v> </v>
      </c>
      <c r="H2401" s="24" t="str">
        <f>IF(J2401&lt;&gt;1,"",IF(I2401="SBJ","CB","?"))</f>
        <v> </v>
      </c>
      <c r="I2401" s="25" t="str">
        <f>IF(OR(E2401="",E2401="!!!",F2401="NEW"),"",INDEX(B2400:B$2,-1+SUMPRODUCT(MAX(ROW(E2400:E$2)*(E2401=E2400:E$2)))))</f>
        <v> </v>
      </c>
      <c r="J2401" s="25" t="str">
        <f>IF(OR(E2401="",E2401="!!!",F2401="NEW"),"",COUNTBLANK(OFFSET(A$1,,,SUMPRODUCT(MAX(ROW(E$2:E2401)*(E2401=E$2:E2401)))))-COUNTBLANK(OFFSET(A$1,,,SUMPRODUCT(MAX(ROW(E$1:E2400)*(E2=E$1:E2400))))))</f>
        <v> </v>
      </c>
      <c r="K2401" s="25" t="str">
        <f>IF(OR(E2401="",E2401="!!!",F2401="NEW"),"",INDEX(J$1:J2400,SUMPRODUCT(MAX(ROW(E$1:E2400)*(E2401=E$1:E2400)))))</f>
        <v> </v>
      </c>
      <c r="L2401" s="26"/>
    </row>
    <row r="2402" spans="1:12">
      <c r="A2402" s="20" t="s">
        <v>2110</v>
      </c>
      <c r="E2402" s="21">
        <f>IF(D2402="?OLD","!!!","")</f>
        <v/>
      </c>
      <c r="F2402" s="22" t="str">
        <f>IF(OR(E2402="",E2402="!!!"),"",IF(NOT(ISNA(VLOOKUP(E2402,E$1:E2401,1,FALSE()))),"OLD",IF(AND(E2402&lt;&gt;"",E2402&lt;&gt;"!!!"),"NEW","")))</f>
        <v> </v>
      </c>
      <c r="G2402" s="23" t="str">
        <f>IF(OR(E2402="",E2402="!!!"),"",IF(OR(J2402=0,AND(J2402=1,K2402=1),AND(J2402=1,I2402="SBJ"),AND(J2402=1,I2402=0)),"?IN_FOCUS",IF(J2402&lt;=2,"?ACTIVATED",IF(J2402&lt;&gt;"","?FAMILIAR",IF(F2402="NEW",IF(ISNA(VLOOKUP(E2402,#REF!,1,FALSE())),"?TYPE_IDENTIFIABLE","?REFERENTIAL"),"_")))))</f>
        <v> </v>
      </c>
      <c r="H2402" s="24" t="str">
        <f>IF(J2402&lt;&gt;1,"",IF(I2402="SBJ","CB","?"))</f>
        <v> </v>
      </c>
      <c r="I2402" s="25" t="str">
        <f>IF(OR(E2402="",E2402="!!!",F2402="NEW"),"",INDEX(B2401:B$2,-1+SUMPRODUCT(MAX(ROW(E2401:E$2)*(E2402=E2401:E$2)))))</f>
        <v> </v>
      </c>
      <c r="J2402" s="25" t="str">
        <f>IF(OR(E2402="",E2402="!!!",F2402="NEW"),"",COUNTBLANK(OFFSET(A$1,,,SUMPRODUCT(MAX(ROW(E$2:E2402)*(E2402=E$2:E2402)))))-COUNTBLANK(OFFSET(A$1,,,SUMPRODUCT(MAX(ROW(E$1:E2401)*(E2=E$1:E2401))))))</f>
        <v> </v>
      </c>
      <c r="K2402" s="25" t="str">
        <f>IF(OR(E2402="",E2402="!!!",F2402="NEW"),"",INDEX(J$1:J2401,SUMPRODUCT(MAX(ROW(E$1:E2401)*(E2402=E$1:E2401)))))</f>
        <v> </v>
      </c>
      <c r="L2402" s="26"/>
    </row>
    <row r="2403" spans="1:12">
      <c r="A2403" s="20" t="s">
        <v>1957</v>
      </c>
      <c r="B2403" s="27" t="s">
        <v>1107</v>
      </c>
      <c r="C2403" s="27" t="s">
        <v>1116</v>
      </c>
      <c r="E2403" s="21">
        <f>IF(D2403="?OLD","!!!","")</f>
        <v/>
      </c>
      <c r="F2403" s="22" t="str">
        <f>IF(OR(E2403="",E2403="!!!"),"",IF(NOT(ISNA(VLOOKUP(E2403,E$1:E2402,1,FALSE()))),"OLD",IF(AND(E2403&lt;&gt;"",E2403&lt;&gt;"!!!"),"NEW","")))</f>
        <v> </v>
      </c>
      <c r="G2403" s="23" t="str">
        <f>IF(OR(E2403="",E2403="!!!"),"",IF(OR(J2403=0,AND(J2403=1,K2403=1),AND(J2403=1,I2403="SBJ"),AND(J2403=1,I2403=0)),"?IN_FOCUS",IF(J2403&lt;=2,"?ACTIVATED",IF(J2403&lt;&gt;"","?FAMILIAR",IF(F2403="NEW",IF(ISNA(VLOOKUP(E2403,#REF!,1,FALSE())),"?TYPE_IDENTIFIABLE","?REFERENTIAL"),"_")))))</f>
        <v> </v>
      </c>
      <c r="H2403" s="24" t="str">
        <f>IF(J2403&lt;&gt;1,"",IF(I2403="SBJ","CB","?"))</f>
        <v> </v>
      </c>
      <c r="I2403" s="25" t="str">
        <f>IF(OR(E2403="",E2403="!!!",F2403="NEW"),"",INDEX(B2402:B$2,-1+SUMPRODUCT(MAX(ROW(E2402:E$2)*(E2403=E2402:E$2)))))</f>
        <v> </v>
      </c>
      <c r="J2403" s="25" t="str">
        <f>IF(OR(E2403="",E2403="!!!",F2403="NEW"),"",COUNTBLANK(OFFSET(A$1,,,SUMPRODUCT(MAX(ROW(E$2:E2403)*(E2403=E$2:E2403)))))-COUNTBLANK(OFFSET(A$1,,,SUMPRODUCT(MAX(ROW(E$1:E2402)*(E2=E$1:E2402))))))</f>
        <v> </v>
      </c>
      <c r="K2403" s="25" t="str">
        <f>IF(OR(E2403="",E2403="!!!",F2403="NEW"),"",INDEX(J$1:J2402,SUMPRODUCT(MAX(ROW(E$1:E2402)*(E2403=E$1:E2402)))))</f>
        <v> </v>
      </c>
      <c r="L2403" s="26"/>
    </row>
    <row r="2404" spans="1:12">
      <c r="A2404" s="20" t="s">
        <v>1145</v>
      </c>
      <c r="E2404" s="21">
        <f>IF(D2404="?OLD","!!!","")</f>
        <v/>
      </c>
      <c r="F2404" s="22" t="str">
        <f>IF(OR(E2404="",E2404="!!!"),"",IF(NOT(ISNA(VLOOKUP(E2404,E$1:E2403,1,FALSE()))),"OLD",IF(AND(E2404&lt;&gt;"",E2404&lt;&gt;"!!!"),"NEW","")))</f>
        <v> </v>
      </c>
      <c r="G2404" s="23" t="str">
        <f>IF(OR(E2404="",E2404="!!!"),"",IF(OR(J2404=0,AND(J2404=1,K2404=1),AND(J2404=1,I2404="SBJ"),AND(J2404=1,I2404=0)),"?IN_FOCUS",IF(J2404&lt;=2,"?ACTIVATED",IF(J2404&lt;&gt;"","?FAMILIAR",IF(F2404="NEW",IF(ISNA(VLOOKUP(E2404,#REF!,1,FALSE())),"?TYPE_IDENTIFIABLE","?REFERENTIAL"),"_")))))</f>
        <v> </v>
      </c>
      <c r="H2404" s="24" t="str">
        <f>IF(J2404&lt;&gt;1,"",IF(I2404="SBJ","CB","?"))</f>
        <v> </v>
      </c>
      <c r="I2404" s="25" t="str">
        <f>IF(OR(E2404="",E2404="!!!",F2404="NEW"),"",INDEX(B2403:B$2,-1+SUMPRODUCT(MAX(ROW(E2403:E$2)*(E2404=E2403:E$2)))))</f>
        <v> </v>
      </c>
      <c r="J2404" s="25" t="str">
        <f>IF(OR(E2404="",E2404="!!!",F2404="NEW"),"",COUNTBLANK(OFFSET(A$1,,,SUMPRODUCT(MAX(ROW(E$2:E2404)*(E2404=E$2:E2404)))))-COUNTBLANK(OFFSET(A$1,,,SUMPRODUCT(MAX(ROW(E$1:E2403)*(E2=E$1:E2403))))))</f>
        <v> </v>
      </c>
      <c r="K2404" s="25" t="str">
        <f>IF(OR(E2404="",E2404="!!!",F2404="NEW"),"",INDEX(J$1:J2403,SUMPRODUCT(MAX(ROW(E$1:E2403)*(E2404=E$1:E2403)))))</f>
        <v> </v>
      </c>
      <c r="L2404" s="26"/>
    </row>
    <row r="2405" spans="1:12">
      <c r="A2405" s="20"/>
    </row>
    <row r="2406" spans="1:12">
      <c r="A2406" s="20" t="s">
        <v>2280</v>
      </c>
    </row>
    <row r="2407" spans="1:12">
      <c r="A2407" s="20" t="s">
        <v>2281</v>
      </c>
      <c r="E2407" s="21">
        <f>IF(D2407="?OLD","!!!","")</f>
        <v/>
      </c>
      <c r="F2407" s="22" t="str">
        <f>IF(OR(E2407="",E2407="!!!"),"",IF(NOT(ISNA(VLOOKUP(E2407,E$1:E2406,1,FALSE()))),"OLD",IF(AND(E2407&lt;&gt;"",E2407&lt;&gt;"!!!"),"NEW","")))</f>
        <v> </v>
      </c>
      <c r="G2407" s="23" t="str">
        <f>IF(OR(E2407="",E2407="!!!"),"",IF(OR(J2407=0,AND(J2407=1,K2407=1),AND(J2407=1,I2407="SBJ"),AND(J2407=1,I2407=0)),"?IN_FOCUS",IF(J2407&lt;=2,"?ACTIVATED",IF(J2407&lt;&gt;"","?FAMILIAR",IF(F2407="NEW",IF(ISNA(VLOOKUP(E2407,#REF!,1,FALSE())),"?TYPE_IDENTIFIABLE","?REFERENTIAL"),"_")))))</f>
        <v> </v>
      </c>
      <c r="H2407" s="24" t="str">
        <f>IF(J2407&lt;&gt;1,"",IF(I2407="SBJ","CB","?"))</f>
        <v> </v>
      </c>
      <c r="I2407" s="25" t="str">
        <f>IF(OR(E2407="",E2407="!!!",F2407="NEW"),"",INDEX(B2406:B$2,-1+SUMPRODUCT(MAX(ROW(E2406:E$2)*(E2407=E2406:E$2)))))</f>
        <v> </v>
      </c>
      <c r="J2407" s="25" t="str">
        <f>IF(OR(E2407="",E2407="!!!",F2407="NEW"),"",COUNTBLANK(OFFSET(A$1,,,SUMPRODUCT(MAX(ROW(E$2:E2407)*(E2407=E$2:E2407)))))-COUNTBLANK(OFFSET(A$1,,,SUMPRODUCT(MAX(ROW(E$1:E2406)*(E2=E$1:E2406))))))</f>
        <v> </v>
      </c>
      <c r="K2407" s="25" t="str">
        <f>IF(OR(E2407="",E2407="!!!",F2407="NEW"),"",INDEX(J$1:J2406,SUMPRODUCT(MAX(ROW(E$1:E2406)*(E2407=E$1:E2406)))))</f>
        <v> </v>
      </c>
      <c r="L2407" s="26"/>
    </row>
    <row r="2408" spans="1:12">
      <c r="A2408" s="20" t="s">
        <v>2282</v>
      </c>
      <c r="B2408" s="27" t="s">
        <v>1103</v>
      </c>
      <c r="C2408" s="27" t="s">
        <v>1116</v>
      </c>
      <c r="D2408" s="27" t="s">
        <v>1105</v>
      </c>
      <c r="E2408" s="21">
        <f>IF(D2408="?OLD","!!!","")</f>
        <v/>
      </c>
      <c r="F2408" s="22" t="str">
        <f>IF(OR(E2408="",E2408="!!!"),"",IF(NOT(ISNA(VLOOKUP(E2408,E$1:E2407,1,FALSE()))),"OLD",IF(AND(E2408&lt;&gt;"",E2408&lt;&gt;"!!!"),"NEW","")))</f>
        <v> </v>
      </c>
      <c r="G2408" s="23" t="str">
        <f>IF(OR(E2408="",E2408="!!!"),"",IF(OR(J2408=0,AND(J2408=1,K2408=1),AND(J2408=1,I2408="SBJ"),AND(J2408=1,I2408=0)),"?IN_FOCUS",IF(J2408&lt;=2,"?ACTIVATED",IF(J2408&lt;&gt;"","?FAMILIAR",IF(F2408="NEW",IF(ISNA(VLOOKUP(E2408,#REF!,1,FALSE())),"?TYPE_IDENTIFIABLE","?REFERENTIAL"),"_")))))</f>
        <v> </v>
      </c>
      <c r="H2408" s="24" t="str">
        <f>IF(J2408&lt;&gt;1,"",IF(I2408="SBJ","CB","?"))</f>
        <v> </v>
      </c>
      <c r="I2408" s="25" t="str">
        <f>IF(OR(E2408="",E2408="!!!",F2408="NEW"),"",INDEX(B2407:B$2,-1+SUMPRODUCT(MAX(ROW(E2407:E$2)*(E2408=E2407:E$2)))))</f>
        <v> </v>
      </c>
      <c r="J2408" s="25" t="str">
        <f>IF(OR(E2408="",E2408="!!!",F2408="NEW"),"",COUNTBLANK(OFFSET(A$1,,,SUMPRODUCT(MAX(ROW(E$2:E2408)*(E2408=E$2:E2408)))))-COUNTBLANK(OFFSET(A$1,,,SUMPRODUCT(MAX(ROW(E$1:E2407)*(E2=E$1:E2407))))))</f>
        <v> </v>
      </c>
      <c r="K2408" s="25" t="str">
        <f>IF(OR(E2408="",E2408="!!!",F2408="NEW"),"",INDEX(J$1:J2407,SUMPRODUCT(MAX(ROW(E$1:E2407)*(E2408=E$1:E2407)))))</f>
        <v> </v>
      </c>
      <c r="L2408" s="26"/>
    </row>
    <row r="2409" spans="1:12">
      <c r="A2409" s="20" t="s">
        <v>1616</v>
      </c>
      <c r="E2409" s="21">
        <f>IF(D2409="?OLD","!!!","")</f>
        <v/>
      </c>
      <c r="F2409" s="22" t="str">
        <f>IF(OR(E2409="",E2409="!!!"),"",IF(NOT(ISNA(VLOOKUP(E2409,E$1:E2408,1,FALSE()))),"OLD",IF(AND(E2409&lt;&gt;"",E2409&lt;&gt;"!!!"),"NEW","")))</f>
        <v> </v>
      </c>
      <c r="G2409" s="23" t="str">
        <f>IF(OR(E2409="",E2409="!!!"),"",IF(OR(J2409=0,AND(J2409=1,K2409=1),AND(J2409=1,I2409="SBJ"),AND(J2409=1,I2409=0)),"?IN_FOCUS",IF(J2409&lt;=2,"?ACTIVATED",IF(J2409&lt;&gt;"","?FAMILIAR",IF(F2409="NEW",IF(ISNA(VLOOKUP(E2409,#REF!,1,FALSE())),"?TYPE_IDENTIFIABLE","?REFERENTIAL"),"_")))))</f>
        <v> </v>
      </c>
      <c r="H2409" s="24" t="str">
        <f>IF(J2409&lt;&gt;1,"",IF(I2409="SBJ","CB","?"))</f>
        <v> </v>
      </c>
      <c r="I2409" s="25" t="str">
        <f>IF(OR(E2409="",E2409="!!!",F2409="NEW"),"",INDEX(B2408:B$2,-1+SUMPRODUCT(MAX(ROW(E2408:E$2)*(E2409=E2408:E$2)))))</f>
        <v> </v>
      </c>
      <c r="J2409" s="25" t="str">
        <f>IF(OR(E2409="",E2409="!!!",F2409="NEW"),"",COUNTBLANK(OFFSET(A$1,,,SUMPRODUCT(MAX(ROW(E$2:E2409)*(E2409=E$2:E2409)))))-COUNTBLANK(OFFSET(A$1,,,SUMPRODUCT(MAX(ROW(E$1:E2408)*(E2=E$1:E2408))))))</f>
        <v> </v>
      </c>
      <c r="K2409" s="25" t="str">
        <f>IF(OR(E2409="",E2409="!!!",F2409="NEW"),"",INDEX(J$1:J2408,SUMPRODUCT(MAX(ROW(E$1:E2408)*(E2409=E$1:E2408)))))</f>
        <v> </v>
      </c>
      <c r="L2409" s="26"/>
    </row>
    <row r="2410" spans="1:12">
      <c r="A2410" s="20" t="s">
        <v>1242</v>
      </c>
      <c r="B2410" s="27" t="s">
        <v>1213</v>
      </c>
      <c r="C2410" s="27" t="s">
        <v>1126</v>
      </c>
      <c r="D2410" s="27" t="s">
        <v>1105</v>
      </c>
      <c r="E2410" s="21">
        <f>IF(D2410="?OLD","!!!","")</f>
        <v/>
      </c>
      <c r="F2410" s="22" t="str">
        <f>IF(OR(E2410="",E2410="!!!"),"",IF(NOT(ISNA(VLOOKUP(E2410,E$1:E2409,1,FALSE()))),"OLD",IF(AND(E2410&lt;&gt;"",E2410&lt;&gt;"!!!"),"NEW","")))</f>
        <v> </v>
      </c>
      <c r="G2410" s="23" t="str">
        <f>IF(OR(E2410="",E2410="!!!"),"",IF(OR(J2410=0,AND(J2410=1,K2410=1),AND(J2410=1,I2410="SBJ"),AND(J2410=1,I2410=0)),"?IN_FOCUS",IF(J2410&lt;=2,"?ACTIVATED",IF(J2410&lt;&gt;"","?FAMILIAR",IF(F2410="NEW",IF(ISNA(VLOOKUP(E2410,#REF!,1,FALSE())),"?TYPE_IDENTIFIABLE","?REFERENTIAL"),"_")))))</f>
        <v> </v>
      </c>
      <c r="H2410" s="24" t="str">
        <f>IF(J2410&lt;&gt;1,"",IF(I2410="SBJ","CB","?"))</f>
        <v> </v>
      </c>
      <c r="I2410" s="25" t="str">
        <f>IF(OR(E2410="",E2410="!!!",F2410="NEW"),"",INDEX(B2409:B$2,-1+SUMPRODUCT(MAX(ROW(E2409:E$2)*(E2410=E2409:E$2)))))</f>
        <v> </v>
      </c>
      <c r="J2410" s="25" t="str">
        <f>IF(OR(E2410="",E2410="!!!",F2410="NEW"),"",COUNTBLANK(OFFSET(A$1,,,SUMPRODUCT(MAX(ROW(E$2:E2410)*(E2410=E$2:E2410)))))-COUNTBLANK(OFFSET(A$1,,,SUMPRODUCT(MAX(ROW(E$1:E2409)*(E2=E$1:E2409))))))</f>
        <v> </v>
      </c>
      <c r="K2410" s="25" t="str">
        <f>IF(OR(E2410="",E2410="!!!",F2410="NEW"),"",INDEX(J$1:J2409,SUMPRODUCT(MAX(ROW(E$1:E2409)*(E2410=E$1:E2409)))))</f>
        <v> </v>
      </c>
      <c r="L2410" s="26"/>
    </row>
    <row r="2411" spans="1:12">
      <c r="A2411" s="20" t="s">
        <v>2283</v>
      </c>
      <c r="E2411" s="21">
        <f>IF(D2411="?OLD","!!!","")</f>
        <v/>
      </c>
      <c r="F2411" s="22" t="str">
        <f>IF(OR(E2411="",E2411="!!!"),"",IF(NOT(ISNA(VLOOKUP(E2411,E$1:E2410,1,FALSE()))),"OLD",IF(AND(E2411&lt;&gt;"",E2411&lt;&gt;"!!!"),"NEW","")))</f>
        <v> </v>
      </c>
      <c r="G2411" s="23" t="str">
        <f>IF(OR(E2411="",E2411="!!!"),"",IF(OR(J2411=0,AND(J2411=1,K2411=1),AND(J2411=1,I2411="SBJ"),AND(J2411=1,I2411=0)),"?IN_FOCUS",IF(J2411&lt;=2,"?ACTIVATED",IF(J2411&lt;&gt;"","?FAMILIAR",IF(F2411="NEW",IF(ISNA(VLOOKUP(E2411,#REF!,1,FALSE())),"?TYPE_IDENTIFIABLE","?REFERENTIAL"),"_")))))</f>
        <v> </v>
      </c>
      <c r="H2411" s="24" t="str">
        <f>IF(J2411&lt;&gt;1,"",IF(I2411="SBJ","CB","?"))</f>
        <v> </v>
      </c>
      <c r="I2411" s="25" t="str">
        <f>IF(OR(E2411="",E2411="!!!",F2411="NEW"),"",INDEX(B2410:B$2,-1+SUMPRODUCT(MAX(ROW(E2410:E$2)*(E2411=E2410:E$2)))))</f>
        <v> </v>
      </c>
      <c r="J2411" s="25" t="str">
        <f>IF(OR(E2411="",E2411="!!!",F2411="NEW"),"",COUNTBLANK(OFFSET(A$1,,,SUMPRODUCT(MAX(ROW(E$2:E2411)*(E2411=E$2:E2411)))))-COUNTBLANK(OFFSET(A$1,,,SUMPRODUCT(MAX(ROW(E$1:E2410)*(E2=E$1:E2410))))))</f>
        <v> </v>
      </c>
      <c r="K2411" s="25" t="str">
        <f>IF(OR(E2411="",E2411="!!!",F2411="NEW"),"",INDEX(J$1:J2410,SUMPRODUCT(MAX(ROW(E$1:E2410)*(E2411=E$1:E2410)))))</f>
        <v> </v>
      </c>
      <c r="L2411" s="26"/>
    </row>
    <row r="2412" spans="1:12">
      <c r="A2412" s="20" t="s">
        <v>263</v>
      </c>
      <c r="B2412" s="27" t="s">
        <v>1149</v>
      </c>
      <c r="E2412" s="21">
        <f>IF(D2412="?OLD","!!!","")</f>
        <v/>
      </c>
      <c r="F2412" s="22" t="str">
        <f>IF(OR(E2412="",E2412="!!!"),"",IF(NOT(ISNA(VLOOKUP(E2412,E$1:E2411,1,FALSE()))),"OLD",IF(AND(E2412&lt;&gt;"",E2412&lt;&gt;"!!!"),"NEW","")))</f>
        <v> </v>
      </c>
      <c r="G2412" s="23" t="str">
        <f>IF(OR(E2412="",E2412="!!!"),"",IF(OR(J2412=0,AND(J2412=1,K2412=1),AND(J2412=1,I2412="SBJ"),AND(J2412=1,I2412=0)),"?IN_FOCUS",IF(J2412&lt;=2,"?ACTIVATED",IF(J2412&lt;&gt;"","?FAMILIAR",IF(F2412="NEW",IF(ISNA(VLOOKUP(E2412,#REF!,1,FALSE())),"?TYPE_IDENTIFIABLE","?REFERENTIAL"),"_")))))</f>
        <v> </v>
      </c>
      <c r="H2412" s="24" t="str">
        <f>IF(J2412&lt;&gt;1,"",IF(I2412="SBJ","CB","?"))</f>
        <v> </v>
      </c>
      <c r="I2412" s="25" t="str">
        <f>IF(OR(E2412="",E2412="!!!",F2412="NEW"),"",INDEX(B2411:B$2,-1+SUMPRODUCT(MAX(ROW(E2411:E$2)*(E2412=E2411:E$2)))))</f>
        <v> </v>
      </c>
      <c r="J2412" s="25" t="str">
        <f>IF(OR(E2412="",E2412="!!!",F2412="NEW"),"",COUNTBLANK(OFFSET(A$1,,,SUMPRODUCT(MAX(ROW(E$2:E2412)*(E2412=E$2:E2412)))))-COUNTBLANK(OFFSET(A$1,,,SUMPRODUCT(MAX(ROW(E$1:E2411)*(E2=E$1:E2411))))))</f>
        <v> </v>
      </c>
      <c r="K2412" s="25" t="str">
        <f>IF(OR(E2412="",E2412="!!!",F2412="NEW"),"",INDEX(J$1:J2411,SUMPRODUCT(MAX(ROW(E$1:E2411)*(E2412=E$1:E2411)))))</f>
        <v> </v>
      </c>
      <c r="L2412" s="26"/>
    </row>
    <row r="2413" spans="1:12">
      <c r="A2413" s="20" t="s">
        <v>1123</v>
      </c>
      <c r="E2413" s="21">
        <f>IF(D2413="?OLD","!!!","")</f>
        <v/>
      </c>
      <c r="F2413" s="22" t="str">
        <f>IF(OR(E2413="",E2413="!!!"),"",IF(NOT(ISNA(VLOOKUP(E2413,E$1:E2412,1,FALSE()))),"OLD",IF(AND(E2413&lt;&gt;"",E2413&lt;&gt;"!!!"),"NEW","")))</f>
        <v> </v>
      </c>
      <c r="G2413" s="23" t="str">
        <f>IF(OR(E2413="",E2413="!!!"),"",IF(OR(J2413=0,AND(J2413=1,K2413=1),AND(J2413=1,I2413="SBJ"),AND(J2413=1,I2413=0)),"?IN_FOCUS",IF(J2413&lt;=2,"?ACTIVATED",IF(J2413&lt;&gt;"","?FAMILIAR",IF(F2413="NEW",IF(ISNA(VLOOKUP(E2413,#REF!,1,FALSE())),"?TYPE_IDENTIFIABLE","?REFERENTIAL"),"_")))))</f>
        <v> </v>
      </c>
      <c r="H2413" s="24" t="str">
        <f>IF(J2413&lt;&gt;1,"",IF(I2413="SBJ","CB","?"))</f>
        <v> </v>
      </c>
      <c r="I2413" s="25" t="str">
        <f>IF(OR(E2413="",E2413="!!!",F2413="NEW"),"",INDEX(B2412:B$2,-1+SUMPRODUCT(MAX(ROW(E2412:E$2)*(E2413=E2412:E$2)))))</f>
        <v> </v>
      </c>
      <c r="J2413" s="25" t="str">
        <f>IF(OR(E2413="",E2413="!!!",F2413="NEW"),"",COUNTBLANK(OFFSET(A$1,,,SUMPRODUCT(MAX(ROW(E$2:E2413)*(E2413=E$2:E2413)))))-COUNTBLANK(OFFSET(A$1,,,SUMPRODUCT(MAX(ROW(E$1:E2412)*(E2=E$1:E2412))))))</f>
        <v> </v>
      </c>
      <c r="K2413" s="25" t="str">
        <f>IF(OR(E2413="",E2413="!!!",F2413="NEW"),"",INDEX(J$1:J2412,SUMPRODUCT(MAX(ROW(E$1:E2412)*(E2413=E$1:E2412)))))</f>
        <v> </v>
      </c>
      <c r="L2413" s="26"/>
    </row>
    <row r="2414" spans="1:12">
      <c r="A2414" s="20" t="s">
        <v>1128</v>
      </c>
      <c r="E2414" s="21">
        <f>IF(D2414="?OLD","!!!","")</f>
        <v/>
      </c>
      <c r="F2414" s="22" t="str">
        <f>IF(OR(E2414="",E2414="!!!"),"",IF(NOT(ISNA(VLOOKUP(E2414,E$1:E2413,1,FALSE()))),"OLD",IF(AND(E2414&lt;&gt;"",E2414&lt;&gt;"!!!"),"NEW","")))</f>
        <v> </v>
      </c>
      <c r="G2414" s="23" t="str">
        <f>IF(OR(E2414="",E2414="!!!"),"",IF(OR(J2414=0,AND(J2414=1,K2414=1),AND(J2414=1,I2414="SBJ"),AND(J2414=1,I2414=0)),"?IN_FOCUS",IF(J2414&lt;=2,"?ACTIVATED",IF(J2414&lt;&gt;"","?FAMILIAR",IF(F2414="NEW",IF(ISNA(VLOOKUP(E2414,#REF!,1,FALSE())),"?TYPE_IDENTIFIABLE","?REFERENTIAL"),"_")))))</f>
        <v> </v>
      </c>
      <c r="H2414" s="24" t="str">
        <f>IF(J2414&lt;&gt;1,"",IF(I2414="SBJ","CB","?"))</f>
        <v> </v>
      </c>
      <c r="I2414" s="25" t="str">
        <f>IF(OR(E2414="",E2414="!!!",F2414="NEW"),"",INDEX(B2413:B$2,-1+SUMPRODUCT(MAX(ROW(E2413:E$2)*(E2414=E2413:E$2)))))</f>
        <v> </v>
      </c>
      <c r="J2414" s="25" t="str">
        <f>IF(OR(E2414="",E2414="!!!",F2414="NEW"),"",COUNTBLANK(OFFSET(A$1,,,SUMPRODUCT(MAX(ROW(E$2:E2414)*(E2414=E$2:E2414)))))-COUNTBLANK(OFFSET(A$1,,,SUMPRODUCT(MAX(ROW(E$1:E2413)*(E2=E$1:E2413))))))</f>
        <v> </v>
      </c>
      <c r="K2414" s="25" t="str">
        <f>IF(OR(E2414="",E2414="!!!",F2414="NEW"),"",INDEX(J$1:J2413,SUMPRODUCT(MAX(ROW(E$1:E2413)*(E2414=E$1:E2413)))))</f>
        <v> </v>
      </c>
      <c r="L2414" s="26"/>
    </row>
    <row r="2415" spans="1:12">
      <c r="A2415" s="20" t="s">
        <v>1217</v>
      </c>
      <c r="B2415" s="27" t="s">
        <v>1122</v>
      </c>
      <c r="C2415" s="27" t="s">
        <v>1126</v>
      </c>
      <c r="D2415" s="27" t="s">
        <v>1105</v>
      </c>
      <c r="E2415" s="21">
        <f>IF(D2415="?OLD","!!!","")</f>
        <v/>
      </c>
      <c r="F2415" s="22" t="str">
        <f>IF(OR(E2415="",E2415="!!!"),"",IF(NOT(ISNA(VLOOKUP(E2415,E$1:E2414,1,FALSE()))),"OLD",IF(AND(E2415&lt;&gt;"",E2415&lt;&gt;"!!!"),"NEW","")))</f>
        <v> </v>
      </c>
      <c r="G2415" s="23" t="str">
        <f>IF(OR(E2415="",E2415="!!!"),"",IF(OR(J2415=0,AND(J2415=1,K2415=1),AND(J2415=1,I2415="SBJ"),AND(J2415=1,I2415=0)),"?IN_FOCUS",IF(J2415&lt;=2,"?ACTIVATED",IF(J2415&lt;&gt;"","?FAMILIAR",IF(F2415="NEW",IF(ISNA(VLOOKUP(E2415,#REF!,1,FALSE())),"?TYPE_IDENTIFIABLE","?REFERENTIAL"),"_")))))</f>
        <v> </v>
      </c>
      <c r="H2415" s="24" t="str">
        <f>IF(J2415&lt;&gt;1,"",IF(I2415="SBJ","CB","?"))</f>
        <v> </v>
      </c>
      <c r="I2415" s="25" t="str">
        <f>IF(OR(E2415="",E2415="!!!",F2415="NEW"),"",INDEX(B2414:B$2,-1+SUMPRODUCT(MAX(ROW(E2414:E$2)*(E2415=E2414:E$2)))))</f>
        <v> </v>
      </c>
      <c r="J2415" s="25" t="str">
        <f>IF(OR(E2415="",E2415="!!!",F2415="NEW"),"",COUNTBLANK(OFFSET(A$1,,,SUMPRODUCT(MAX(ROW(E$2:E2415)*(E2415=E$2:E2415)))))-COUNTBLANK(OFFSET(A$1,,,SUMPRODUCT(MAX(ROW(E$1:E2414)*(E2=E$1:E2414))))))</f>
        <v> </v>
      </c>
      <c r="K2415" s="25" t="str">
        <f>IF(OR(E2415="",E2415="!!!",F2415="NEW"),"",INDEX(J$1:J2414,SUMPRODUCT(MAX(ROW(E$1:E2414)*(E2415=E$1:E2414)))))</f>
        <v> </v>
      </c>
      <c r="L2415" s="26"/>
    </row>
    <row r="2416" spans="1:12">
      <c r="A2416" s="20" t="s">
        <v>1134</v>
      </c>
      <c r="E2416" s="21">
        <f>IF(D2416="?OLD","!!!","")</f>
        <v/>
      </c>
      <c r="F2416" s="22" t="str">
        <f>IF(OR(E2416="",E2416="!!!"),"",IF(NOT(ISNA(VLOOKUP(E2416,E$1:E2415,1,FALSE()))),"OLD",IF(AND(E2416&lt;&gt;"",E2416&lt;&gt;"!!!"),"NEW","")))</f>
        <v> </v>
      </c>
      <c r="G2416" s="23" t="str">
        <f>IF(OR(E2416="",E2416="!!!"),"",IF(OR(J2416=0,AND(J2416=1,K2416=1),AND(J2416=1,I2416="SBJ"),AND(J2416=1,I2416=0)),"?IN_FOCUS",IF(J2416&lt;=2,"?ACTIVATED",IF(J2416&lt;&gt;"","?FAMILIAR",IF(F2416="NEW",IF(ISNA(VLOOKUP(E2416,#REF!,1,FALSE())),"?TYPE_IDENTIFIABLE","?REFERENTIAL"),"_")))))</f>
        <v> </v>
      </c>
      <c r="H2416" s="24" t="str">
        <f>IF(J2416&lt;&gt;1,"",IF(I2416="SBJ","CB","?"))</f>
        <v> </v>
      </c>
      <c r="I2416" s="25" t="str">
        <f>IF(OR(E2416="",E2416="!!!",F2416="NEW"),"",INDEX(B2415:B$2,-1+SUMPRODUCT(MAX(ROW(E2415:E$2)*(E2416=E2415:E$2)))))</f>
        <v> </v>
      </c>
      <c r="J2416" s="25" t="str">
        <f>IF(OR(E2416="",E2416="!!!",F2416="NEW"),"",COUNTBLANK(OFFSET(A$1,,,SUMPRODUCT(MAX(ROW(E$2:E2416)*(E2416=E$2:E2416)))))-COUNTBLANK(OFFSET(A$1,,,SUMPRODUCT(MAX(ROW(E$1:E2415)*(E2=E$1:E2415))))))</f>
        <v> </v>
      </c>
      <c r="K2416" s="25" t="str">
        <f>IF(OR(E2416="",E2416="!!!",F2416="NEW"),"",INDEX(J$1:J2415,SUMPRODUCT(MAX(ROW(E$1:E2415)*(E2416=E$1:E2415)))))</f>
        <v> </v>
      </c>
      <c r="L2416" s="26"/>
    </row>
    <row r="2417" spans="1:12">
      <c r="A2417" s="20" t="s">
        <v>2284</v>
      </c>
      <c r="E2417" s="21">
        <f>IF(D2417="?OLD","!!!","")</f>
        <v/>
      </c>
      <c r="F2417" s="22" t="str">
        <f>IF(OR(E2417="",E2417="!!!"),"",IF(NOT(ISNA(VLOOKUP(E2417,E$1:E2416,1,FALSE()))),"OLD",IF(AND(E2417&lt;&gt;"",E2417&lt;&gt;"!!!"),"NEW","")))</f>
        <v> </v>
      </c>
      <c r="G2417" s="23" t="str">
        <f>IF(OR(E2417="",E2417="!!!"),"",IF(OR(J2417=0,AND(J2417=1,K2417=1),AND(J2417=1,I2417="SBJ"),AND(J2417=1,I2417=0)),"?IN_FOCUS",IF(J2417&lt;=2,"?ACTIVATED",IF(J2417&lt;&gt;"","?FAMILIAR",IF(F2417="NEW",IF(ISNA(VLOOKUP(E2417,#REF!,1,FALSE())),"?TYPE_IDENTIFIABLE","?REFERENTIAL"),"_")))))</f>
        <v> </v>
      </c>
      <c r="H2417" s="24" t="str">
        <f>IF(J2417&lt;&gt;1,"",IF(I2417="SBJ","CB","?"))</f>
        <v> </v>
      </c>
      <c r="I2417" s="25" t="str">
        <f>IF(OR(E2417="",E2417="!!!",F2417="NEW"),"",INDEX(B2416:B$2,-1+SUMPRODUCT(MAX(ROW(E2416:E$2)*(E2417=E2416:E$2)))))</f>
        <v> </v>
      </c>
      <c r="J2417" s="25" t="str">
        <f>IF(OR(E2417="",E2417="!!!",F2417="NEW"),"",COUNTBLANK(OFFSET(A$1,,,SUMPRODUCT(MAX(ROW(E$2:E2417)*(E2417=E$2:E2417)))))-COUNTBLANK(OFFSET(A$1,,,SUMPRODUCT(MAX(ROW(E$1:E2416)*(E2=E$1:E2416))))))</f>
        <v> </v>
      </c>
      <c r="K2417" s="25" t="str">
        <f>IF(OR(E2417="",E2417="!!!",F2417="NEW"),"",INDEX(J$1:J2416,SUMPRODUCT(MAX(ROW(E$1:E2416)*(E2417=E$1:E2416)))))</f>
        <v> </v>
      </c>
      <c r="L2417" s="26"/>
    </row>
    <row r="2418" spans="1:12">
      <c r="A2418" s="20" t="s">
        <v>2285</v>
      </c>
      <c r="E2418" s="21">
        <f>IF(D2418="?OLD","!!!","")</f>
        <v/>
      </c>
      <c r="F2418" s="22" t="str">
        <f>IF(OR(E2418="",E2418="!!!"),"",IF(NOT(ISNA(VLOOKUP(E2418,E$1:E2417,1,FALSE()))),"OLD",IF(AND(E2418&lt;&gt;"",E2418&lt;&gt;"!!!"),"NEW","")))</f>
        <v> </v>
      </c>
      <c r="G2418" s="23" t="str">
        <f>IF(OR(E2418="",E2418="!!!"),"",IF(OR(J2418=0,AND(J2418=1,K2418=1),AND(J2418=1,I2418="SBJ"),AND(J2418=1,I2418=0)),"?IN_FOCUS",IF(J2418&lt;=2,"?ACTIVATED",IF(J2418&lt;&gt;"","?FAMILIAR",IF(F2418="NEW",IF(ISNA(VLOOKUP(E2418,#REF!,1,FALSE())),"?TYPE_IDENTIFIABLE","?REFERENTIAL"),"_")))))</f>
        <v> </v>
      </c>
      <c r="H2418" s="24" t="str">
        <f>IF(J2418&lt;&gt;1,"",IF(I2418="SBJ","CB","?"))</f>
        <v> </v>
      </c>
      <c r="I2418" s="25" t="str">
        <f>IF(OR(E2418="",E2418="!!!",F2418="NEW"),"",INDEX(B2417:B$2,-1+SUMPRODUCT(MAX(ROW(E2417:E$2)*(E2418=E2417:E$2)))))</f>
        <v> </v>
      </c>
      <c r="J2418" s="25" t="str">
        <f>IF(OR(E2418="",E2418="!!!",F2418="NEW"),"",COUNTBLANK(OFFSET(A$1,,,SUMPRODUCT(MAX(ROW(E$2:E2418)*(E2418=E$2:E2418)))))-COUNTBLANK(OFFSET(A$1,,,SUMPRODUCT(MAX(ROW(E$1:E2417)*(E2=E$1:E2417))))))</f>
        <v> </v>
      </c>
      <c r="K2418" s="25" t="str">
        <f>IF(OR(E2418="",E2418="!!!",F2418="NEW"),"",INDEX(J$1:J2417,SUMPRODUCT(MAX(ROW(E$1:E2417)*(E2418=E$1:E2417)))))</f>
        <v> </v>
      </c>
      <c r="L2418" s="26"/>
    </row>
    <row r="2419" spans="1:12">
      <c r="A2419" s="20" t="s">
        <v>2286</v>
      </c>
      <c r="B2419" s="27" t="s">
        <v>1115</v>
      </c>
      <c r="E2419" s="21">
        <f>IF(D2419="?OLD","!!!","")</f>
        <v/>
      </c>
      <c r="F2419" s="22" t="str">
        <f>IF(OR(E2419="",E2419="!!!"),"",IF(NOT(ISNA(VLOOKUP(E2419,E$1:E2418,1,FALSE()))),"OLD",IF(AND(E2419&lt;&gt;"",E2419&lt;&gt;"!!!"),"NEW","")))</f>
        <v> </v>
      </c>
      <c r="G2419" s="23" t="str">
        <f>IF(OR(E2419="",E2419="!!!"),"",IF(OR(J2419=0,AND(J2419=1,K2419=1),AND(J2419=1,I2419="SBJ"),AND(J2419=1,I2419=0)),"?IN_FOCUS",IF(J2419&lt;=2,"?ACTIVATED",IF(J2419&lt;&gt;"","?FAMILIAR",IF(F2419="NEW",IF(ISNA(VLOOKUP(E2419,#REF!,1,FALSE())),"?TYPE_IDENTIFIABLE","?REFERENTIAL"),"_")))))</f>
        <v> </v>
      </c>
      <c r="H2419" s="24" t="str">
        <f>IF(J2419&lt;&gt;1,"",IF(I2419="SBJ","CB","?"))</f>
        <v> </v>
      </c>
      <c r="I2419" s="25" t="str">
        <f>IF(OR(E2419="",E2419="!!!",F2419="NEW"),"",INDEX(B2418:B$2,-1+SUMPRODUCT(MAX(ROW(E2418:E$2)*(E2419=E2418:E$2)))))</f>
        <v> </v>
      </c>
      <c r="J2419" s="25" t="str">
        <f>IF(OR(E2419="",E2419="!!!",F2419="NEW"),"",COUNTBLANK(OFFSET(A$1,,,SUMPRODUCT(MAX(ROW(E$2:E2419)*(E2419=E$2:E2419)))))-COUNTBLANK(OFFSET(A$1,,,SUMPRODUCT(MAX(ROW(E$1:E2418)*(E2=E$1:E2418))))))</f>
        <v> </v>
      </c>
      <c r="K2419" s="25" t="str">
        <f>IF(OR(E2419="",E2419="!!!",F2419="NEW"),"",INDEX(J$1:J2418,SUMPRODUCT(MAX(ROW(E$1:E2418)*(E2419=E$1:E2418)))))</f>
        <v> </v>
      </c>
      <c r="L2419" s="26"/>
    </row>
    <row r="2420" spans="1:12">
      <c r="A2420" s="20" t="s">
        <v>2287</v>
      </c>
      <c r="E2420" s="21">
        <f>IF(D2420="?OLD","!!!","")</f>
        <v/>
      </c>
      <c r="F2420" s="22" t="str">
        <f>IF(OR(E2420="",E2420="!!!"),"",IF(NOT(ISNA(VLOOKUP(E2420,E$1:E2419,1,FALSE()))),"OLD",IF(AND(E2420&lt;&gt;"",E2420&lt;&gt;"!!!"),"NEW","")))</f>
        <v> </v>
      </c>
      <c r="G2420" s="23" t="str">
        <f>IF(OR(E2420="",E2420="!!!"),"",IF(OR(J2420=0,AND(J2420=1,K2420=1),AND(J2420=1,I2420="SBJ"),AND(J2420=1,I2420=0)),"?IN_FOCUS",IF(J2420&lt;=2,"?ACTIVATED",IF(J2420&lt;&gt;"","?FAMILIAR",IF(F2420="NEW",IF(ISNA(VLOOKUP(E2420,#REF!,1,FALSE())),"?TYPE_IDENTIFIABLE","?REFERENTIAL"),"_")))))</f>
        <v> </v>
      </c>
      <c r="H2420" s="24" t="str">
        <f>IF(J2420&lt;&gt;1,"",IF(I2420="SBJ","CB","?"))</f>
        <v> </v>
      </c>
      <c r="I2420" s="25" t="str">
        <f>IF(OR(E2420="",E2420="!!!",F2420="NEW"),"",INDEX(B2419:B$2,-1+SUMPRODUCT(MAX(ROW(E2419:E$2)*(E2420=E2419:E$2)))))</f>
        <v> </v>
      </c>
      <c r="J2420" s="25" t="str">
        <f>IF(OR(E2420="",E2420="!!!",F2420="NEW"),"",COUNTBLANK(OFFSET(A$1,,,SUMPRODUCT(MAX(ROW(E$2:E2420)*(E2420=E$2:E2420)))))-COUNTBLANK(OFFSET(A$1,,,SUMPRODUCT(MAX(ROW(E$1:E2419)*(E2=E$1:E2419))))))</f>
        <v> </v>
      </c>
      <c r="K2420" s="25" t="str">
        <f>IF(OR(E2420="",E2420="!!!",F2420="NEW"),"",INDEX(J$1:J2419,SUMPRODUCT(MAX(ROW(E$1:E2419)*(E2420=E$1:E2419)))))</f>
        <v> </v>
      </c>
      <c r="L2420" s="26"/>
    </row>
    <row r="2421" spans="1:12">
      <c r="A2421" s="20" t="s">
        <v>2288</v>
      </c>
      <c r="B2421" s="27" t="s">
        <v>1115</v>
      </c>
      <c r="E2421" s="21">
        <f>IF(D2421="?OLD","!!!","")</f>
        <v/>
      </c>
      <c r="F2421" s="22" t="str">
        <f>IF(OR(E2421="",E2421="!!!"),"",IF(NOT(ISNA(VLOOKUP(E2421,E$1:E2420,1,FALSE()))),"OLD",IF(AND(E2421&lt;&gt;"",E2421&lt;&gt;"!!!"),"NEW","")))</f>
        <v> </v>
      </c>
      <c r="G2421" s="23" t="str">
        <f>IF(OR(E2421="",E2421="!!!"),"",IF(OR(J2421=0,AND(J2421=1,K2421=1),AND(J2421=1,I2421="SBJ"),AND(J2421=1,I2421=0)),"?IN_FOCUS",IF(J2421&lt;=2,"?ACTIVATED",IF(J2421&lt;&gt;"","?FAMILIAR",IF(F2421="NEW",IF(ISNA(VLOOKUP(E2421,#REF!,1,FALSE())),"?TYPE_IDENTIFIABLE","?REFERENTIAL"),"_")))))</f>
        <v> </v>
      </c>
      <c r="H2421" s="24" t="str">
        <f>IF(J2421&lt;&gt;1,"",IF(I2421="SBJ","CB","?"))</f>
        <v> </v>
      </c>
      <c r="I2421" s="25" t="str">
        <f>IF(OR(E2421="",E2421="!!!",F2421="NEW"),"",INDEX(B2420:B$2,-1+SUMPRODUCT(MAX(ROW(E2420:E$2)*(E2421=E2420:E$2)))))</f>
        <v> </v>
      </c>
      <c r="J2421" s="25" t="str">
        <f>IF(OR(E2421="",E2421="!!!",F2421="NEW"),"",COUNTBLANK(OFFSET(A$1,,,SUMPRODUCT(MAX(ROW(E$2:E2421)*(E2421=E$2:E2421)))))-COUNTBLANK(OFFSET(A$1,,,SUMPRODUCT(MAX(ROW(E$1:E2420)*(E2=E$1:E2420))))))</f>
        <v> </v>
      </c>
      <c r="K2421" s="25" t="str">
        <f>IF(OR(E2421="",E2421="!!!",F2421="NEW"),"",INDEX(J$1:J2420,SUMPRODUCT(MAX(ROW(E$1:E2420)*(E2421=E$1:E2420)))))</f>
        <v> </v>
      </c>
      <c r="L2421" s="26"/>
    </row>
    <row r="2422" spans="1:12">
      <c r="A2422" s="20" t="s">
        <v>1145</v>
      </c>
      <c r="E2422" s="21">
        <f>IF(D2422="?OLD","!!!","")</f>
        <v/>
      </c>
      <c r="F2422" s="22" t="str">
        <f>IF(OR(E2422="",E2422="!!!"),"",IF(NOT(ISNA(VLOOKUP(E2422,E$1:E2421,1,FALSE()))),"OLD",IF(AND(E2422&lt;&gt;"",E2422&lt;&gt;"!!!"),"NEW","")))</f>
        <v> </v>
      </c>
      <c r="G2422" s="23" t="str">
        <f>IF(OR(E2422="",E2422="!!!"),"",IF(OR(J2422=0,AND(J2422=1,K2422=1),AND(J2422=1,I2422="SBJ"),AND(J2422=1,I2422=0)),"?IN_FOCUS",IF(J2422&lt;=2,"?ACTIVATED",IF(J2422&lt;&gt;"","?FAMILIAR",IF(F2422="NEW",IF(ISNA(VLOOKUP(E2422,#REF!,1,FALSE())),"?TYPE_IDENTIFIABLE","?REFERENTIAL"),"_")))))</f>
        <v> </v>
      </c>
      <c r="H2422" s="24" t="str">
        <f>IF(J2422&lt;&gt;1,"",IF(I2422="SBJ","CB","?"))</f>
        <v> </v>
      </c>
      <c r="I2422" s="25" t="str">
        <f>IF(OR(E2422="",E2422="!!!",F2422="NEW"),"",INDEX(B2421:B$2,-1+SUMPRODUCT(MAX(ROW(E2421:E$2)*(E2422=E2421:E$2)))))</f>
        <v> </v>
      </c>
      <c r="J2422" s="25" t="str">
        <f>IF(OR(E2422="",E2422="!!!",F2422="NEW"),"",COUNTBLANK(OFFSET(A$1,,,SUMPRODUCT(MAX(ROW(E$2:E2422)*(E2422=E$2:E2422)))))-COUNTBLANK(OFFSET(A$1,,,SUMPRODUCT(MAX(ROW(E$1:E2421)*(E2=E$1:E2421))))))</f>
        <v> </v>
      </c>
      <c r="K2422" s="25" t="str">
        <f>IF(OR(E2422="",E2422="!!!",F2422="NEW"),"",INDEX(J$1:J2421,SUMPRODUCT(MAX(ROW(E$1:E2421)*(E2422=E$1:E2421)))))</f>
        <v> </v>
      </c>
      <c r="L2422" s="26"/>
    </row>
    <row r="2423" spans="1:12">
      <c r="A2423" s="20"/>
    </row>
    <row r="2424" spans="1:12">
      <c r="A2424" s="20" t="s">
        <v>2289</v>
      </c>
    </row>
    <row r="2425" spans="1:12">
      <c r="A2425" s="20" t="s">
        <v>1111</v>
      </c>
      <c r="E2425" s="21">
        <f>IF(D2425="?OLD","!!!","")</f>
        <v/>
      </c>
      <c r="F2425" s="22" t="str">
        <f>IF(OR(E2425="",E2425="!!!"),"",IF(NOT(ISNA(VLOOKUP(E2425,E$1:E2424,1,FALSE()))),"OLD",IF(AND(E2425&lt;&gt;"",E2425&lt;&gt;"!!!"),"NEW","")))</f>
        <v> </v>
      </c>
      <c r="G2425" s="23" t="str">
        <f>IF(OR(E2425="",E2425="!!!"),"",IF(OR(J2425=0,AND(J2425=1,K2425=1),AND(J2425=1,I2425="SBJ"),AND(J2425=1,I2425=0)),"?IN_FOCUS",IF(J2425&lt;=2,"?ACTIVATED",IF(J2425&lt;&gt;"","?FAMILIAR",IF(F2425="NEW",IF(ISNA(VLOOKUP(E2425,#REF!,1,FALSE())),"?TYPE_IDENTIFIABLE","?REFERENTIAL"),"_")))))</f>
        <v> </v>
      </c>
      <c r="H2425" s="24" t="str">
        <f>IF(J2425&lt;&gt;1,"",IF(I2425="SBJ","CB","?"))</f>
        <v> </v>
      </c>
      <c r="I2425" s="25" t="str">
        <f>IF(OR(E2425="",E2425="!!!",F2425="NEW"),"",INDEX(B2424:B$2,-1+SUMPRODUCT(MAX(ROW(E2424:E$2)*(E2425=E2424:E$2)))))</f>
        <v> </v>
      </c>
      <c r="J2425" s="25" t="str">
        <f>IF(OR(E2425="",E2425="!!!",F2425="NEW"),"",COUNTBLANK(OFFSET(A$1,,,SUMPRODUCT(MAX(ROW(E$2:E2425)*(E2425=E$2:E2425)))))-COUNTBLANK(OFFSET(A$1,,,SUMPRODUCT(MAX(ROW(E$1:E2424)*(E2=E$1:E2424))))))</f>
        <v> </v>
      </c>
      <c r="K2425" s="25" t="str">
        <f>IF(OR(E2425="",E2425="!!!",F2425="NEW"),"",INDEX(J$1:J2424,SUMPRODUCT(MAX(ROW(E$1:E2424)*(E2425=E$1:E2424)))))</f>
        <v> </v>
      </c>
      <c r="L2425" s="26"/>
    </row>
    <row r="2426" spans="1:12">
      <c r="A2426" s="20" t="s">
        <v>1332</v>
      </c>
      <c r="B2426" s="27" t="s">
        <v>1149</v>
      </c>
      <c r="C2426" s="27" t="s">
        <v>1126</v>
      </c>
      <c r="D2426" s="27" t="s">
        <v>1105</v>
      </c>
      <c r="E2426" s="21">
        <f>IF(D2426="?OLD","!!!","")</f>
        <v/>
      </c>
      <c r="F2426" s="22" t="str">
        <f>IF(OR(E2426="",E2426="!!!"),"",IF(NOT(ISNA(VLOOKUP(E2426,E$1:E2425,1,FALSE()))),"OLD",IF(AND(E2426&lt;&gt;"",E2426&lt;&gt;"!!!"),"NEW","")))</f>
        <v> </v>
      </c>
      <c r="G2426" s="23" t="str">
        <f>IF(OR(E2426="",E2426="!!!"),"",IF(OR(J2426=0,AND(J2426=1,K2426=1),AND(J2426=1,I2426="SBJ"),AND(J2426=1,I2426=0)),"?IN_FOCUS",IF(J2426&lt;=2,"?ACTIVATED",IF(J2426&lt;&gt;"","?FAMILIAR",IF(F2426="NEW",IF(ISNA(VLOOKUP(E2426,#REF!,1,FALSE())),"?TYPE_IDENTIFIABLE","?REFERENTIAL"),"_")))))</f>
        <v> </v>
      </c>
      <c r="H2426" s="24" t="str">
        <f>IF(J2426&lt;&gt;1,"",IF(I2426="SBJ","CB","?"))</f>
        <v> </v>
      </c>
      <c r="I2426" s="25" t="str">
        <f>IF(OR(E2426="",E2426="!!!",F2426="NEW"),"",INDEX(B2425:B$2,-1+SUMPRODUCT(MAX(ROW(E2425:E$2)*(E2426=E2425:E$2)))))</f>
        <v> </v>
      </c>
      <c r="J2426" s="25" t="str">
        <f>IF(OR(E2426="",E2426="!!!",F2426="NEW"),"",COUNTBLANK(OFFSET(A$1,,,SUMPRODUCT(MAX(ROW(E$2:E2426)*(E2426=E$2:E2426)))))-COUNTBLANK(OFFSET(A$1,,,SUMPRODUCT(MAX(ROW(E$1:E2425)*(E2=E$1:E2425))))))</f>
        <v> </v>
      </c>
      <c r="K2426" s="25" t="str">
        <f>IF(OR(E2426="",E2426="!!!",F2426="NEW"),"",INDEX(J$1:J2425,SUMPRODUCT(MAX(ROW(E$1:E2425)*(E2426=E$1:E2425)))))</f>
        <v> </v>
      </c>
      <c r="L2426" s="26"/>
    </row>
    <row r="2427" spans="1:12">
      <c r="A2427" s="20" t="s">
        <v>2290</v>
      </c>
      <c r="E2427" s="21">
        <f>IF(D2427="?OLD","!!!","")</f>
        <v/>
      </c>
      <c r="F2427" s="22" t="str">
        <f>IF(OR(E2427="",E2427="!!!"),"",IF(NOT(ISNA(VLOOKUP(E2427,E$1:E2426,1,FALSE()))),"OLD",IF(AND(E2427&lt;&gt;"",E2427&lt;&gt;"!!!"),"NEW","")))</f>
        <v> </v>
      </c>
      <c r="G2427" s="23" t="str">
        <f>IF(OR(E2427="",E2427="!!!"),"",IF(OR(J2427=0,AND(J2427=1,K2427=1),AND(J2427=1,I2427="SBJ"),AND(J2427=1,I2427=0)),"?IN_FOCUS",IF(J2427&lt;=2,"?ACTIVATED",IF(J2427&lt;&gt;"","?FAMILIAR",IF(F2427="NEW",IF(ISNA(VLOOKUP(E2427,#REF!,1,FALSE())),"?TYPE_IDENTIFIABLE","?REFERENTIAL"),"_")))))</f>
        <v> </v>
      </c>
      <c r="H2427" s="24" t="str">
        <f>IF(J2427&lt;&gt;1,"",IF(I2427="SBJ","CB","?"))</f>
        <v> </v>
      </c>
      <c r="I2427" s="25" t="str">
        <f>IF(OR(E2427="",E2427="!!!",F2427="NEW"),"",INDEX(B2426:B$2,-1+SUMPRODUCT(MAX(ROW(E2426:E$2)*(E2427=E2426:E$2)))))</f>
        <v> </v>
      </c>
      <c r="J2427" s="25" t="str">
        <f>IF(OR(E2427="",E2427="!!!",F2427="NEW"),"",COUNTBLANK(OFFSET(A$1,,,SUMPRODUCT(MAX(ROW(E$2:E2427)*(E2427=E$2:E2427)))))-COUNTBLANK(OFFSET(A$1,,,SUMPRODUCT(MAX(ROW(E$1:E2426)*(E2=E$1:E2426))))))</f>
        <v> </v>
      </c>
      <c r="K2427" s="25" t="str">
        <f>IF(OR(E2427="",E2427="!!!",F2427="NEW"),"",INDEX(J$1:J2426,SUMPRODUCT(MAX(ROW(E$1:E2426)*(E2427=E$1:E2426)))))</f>
        <v> </v>
      </c>
      <c r="L2427" s="26"/>
    </row>
    <row r="2428" spans="1:12">
      <c r="A2428" s="20" t="s">
        <v>1198</v>
      </c>
      <c r="B2428" s="27" t="s">
        <v>1213</v>
      </c>
      <c r="C2428" s="27" t="s">
        <v>1126</v>
      </c>
      <c r="D2428" s="27" t="s">
        <v>1105</v>
      </c>
      <c r="E2428" s="21">
        <f>IF(D2428="?OLD","!!!","")</f>
        <v/>
      </c>
      <c r="F2428" s="22" t="str">
        <f>IF(OR(E2428="",E2428="!!!"),"",IF(NOT(ISNA(VLOOKUP(E2428,E$1:E2427,1,FALSE()))),"OLD",IF(AND(E2428&lt;&gt;"",E2428&lt;&gt;"!!!"),"NEW","")))</f>
        <v> </v>
      </c>
      <c r="G2428" s="23" t="str">
        <f>IF(OR(E2428="",E2428="!!!"),"",IF(OR(J2428=0,AND(J2428=1,K2428=1),AND(J2428=1,I2428="SBJ"),AND(J2428=1,I2428=0)),"?IN_FOCUS",IF(J2428&lt;=2,"?ACTIVATED",IF(J2428&lt;&gt;"","?FAMILIAR",IF(F2428="NEW",IF(ISNA(VLOOKUP(E2428,#REF!,1,FALSE())),"?TYPE_IDENTIFIABLE","?REFERENTIAL"),"_")))))</f>
        <v> </v>
      </c>
      <c r="H2428" s="24" t="str">
        <f>IF(J2428&lt;&gt;1,"",IF(I2428="SBJ","CB","?"))</f>
        <v> </v>
      </c>
      <c r="I2428" s="25" t="str">
        <f>IF(OR(E2428="",E2428="!!!",F2428="NEW"),"",INDEX(B2427:B$2,-1+SUMPRODUCT(MAX(ROW(E2427:E$2)*(E2428=E2427:E$2)))))</f>
        <v> </v>
      </c>
      <c r="J2428" s="25" t="str">
        <f>IF(OR(E2428="",E2428="!!!",F2428="NEW"),"",COUNTBLANK(OFFSET(A$1,,,SUMPRODUCT(MAX(ROW(E$2:E2428)*(E2428=E$2:E2428)))))-COUNTBLANK(OFFSET(A$1,,,SUMPRODUCT(MAX(ROW(E$1:E2427)*(E2=E$1:E2427))))))</f>
        <v> </v>
      </c>
      <c r="K2428" s="25" t="str">
        <f>IF(OR(E2428="",E2428="!!!",F2428="NEW"),"",INDEX(J$1:J2427,SUMPRODUCT(MAX(ROW(E$1:E2427)*(E2428=E$1:E2427)))))</f>
        <v> </v>
      </c>
      <c r="L2428" s="26"/>
    </row>
    <row r="2429" spans="1:12">
      <c r="A2429" s="20" t="s">
        <v>1694</v>
      </c>
      <c r="B2429" s="27" t="s">
        <v>1213</v>
      </c>
      <c r="E2429" s="21">
        <f>IF(D2429="?OLD","!!!","")</f>
        <v/>
      </c>
      <c r="F2429" s="22" t="str">
        <f>IF(OR(E2429="",E2429="!!!"),"",IF(NOT(ISNA(VLOOKUP(E2429,E$1:E2428,1,FALSE()))),"OLD",IF(AND(E2429&lt;&gt;"",E2429&lt;&gt;"!!!"),"NEW","")))</f>
        <v> </v>
      </c>
      <c r="G2429" s="23" t="str">
        <f>IF(OR(E2429="",E2429="!!!"),"",IF(OR(J2429=0,AND(J2429=1,K2429=1),AND(J2429=1,I2429="SBJ"),AND(J2429=1,I2429=0)),"?IN_FOCUS",IF(J2429&lt;=2,"?ACTIVATED",IF(J2429&lt;&gt;"","?FAMILIAR",IF(F2429="NEW",IF(ISNA(VLOOKUP(E2429,#REF!,1,FALSE())),"?TYPE_IDENTIFIABLE","?REFERENTIAL"),"_")))))</f>
        <v> </v>
      </c>
      <c r="H2429" s="24" t="str">
        <f>IF(J2429&lt;&gt;1,"",IF(I2429="SBJ","CB","?"))</f>
        <v> </v>
      </c>
      <c r="I2429" s="25" t="str">
        <f>IF(OR(E2429="",E2429="!!!",F2429="NEW"),"",INDEX(B2428:B$2,-1+SUMPRODUCT(MAX(ROW(E2428:E$2)*(E2429=E2428:E$2)))))</f>
        <v> </v>
      </c>
      <c r="J2429" s="25" t="str">
        <f>IF(OR(E2429="",E2429="!!!",F2429="NEW"),"",COUNTBLANK(OFFSET(A$1,,,SUMPRODUCT(MAX(ROW(E$2:E2429)*(E2429=E$2:E2429)))))-COUNTBLANK(OFFSET(A$1,,,SUMPRODUCT(MAX(ROW(E$1:E2428)*(E2=E$1:E2428))))))</f>
        <v> </v>
      </c>
      <c r="K2429" s="25" t="str">
        <f>IF(OR(E2429="",E2429="!!!",F2429="NEW"),"",INDEX(J$1:J2428,SUMPRODUCT(MAX(ROW(E$1:E2428)*(E2429=E$1:E2428)))))</f>
        <v> </v>
      </c>
      <c r="L2429" s="26"/>
    </row>
    <row r="2430" spans="1:12">
      <c r="A2430" s="20" t="s">
        <v>1145</v>
      </c>
      <c r="E2430" s="21">
        <f>IF(D2430="?OLD","!!!","")</f>
        <v/>
      </c>
      <c r="F2430" s="22" t="str">
        <f>IF(OR(E2430="",E2430="!!!"),"",IF(NOT(ISNA(VLOOKUP(E2430,E$1:E2429,1,FALSE()))),"OLD",IF(AND(E2430&lt;&gt;"",E2430&lt;&gt;"!!!"),"NEW","")))</f>
        <v> </v>
      </c>
      <c r="G2430" s="23" t="str">
        <f>IF(OR(E2430="",E2430="!!!"),"",IF(OR(J2430=0,AND(J2430=1,K2430=1),AND(J2430=1,I2430="SBJ"),AND(J2430=1,I2430=0)),"?IN_FOCUS",IF(J2430&lt;=2,"?ACTIVATED",IF(J2430&lt;&gt;"","?FAMILIAR",IF(F2430="NEW",IF(ISNA(VLOOKUP(E2430,#REF!,1,FALSE())),"?TYPE_IDENTIFIABLE","?REFERENTIAL"),"_")))))</f>
        <v> </v>
      </c>
      <c r="H2430" s="24" t="str">
        <f>IF(J2430&lt;&gt;1,"",IF(I2430="SBJ","CB","?"))</f>
        <v> </v>
      </c>
      <c r="I2430" s="25" t="str">
        <f>IF(OR(E2430="",E2430="!!!",F2430="NEW"),"",INDEX(B2429:B$2,-1+SUMPRODUCT(MAX(ROW(E2429:E$2)*(E2430=E2429:E$2)))))</f>
        <v> </v>
      </c>
      <c r="J2430" s="25" t="str">
        <f>IF(OR(E2430="",E2430="!!!",F2430="NEW"),"",COUNTBLANK(OFFSET(A$1,,,SUMPRODUCT(MAX(ROW(E$2:E2430)*(E2430=E$2:E2430)))))-COUNTBLANK(OFFSET(A$1,,,SUMPRODUCT(MAX(ROW(E$1:E2429)*(E2=E$1:E2429))))))</f>
        <v> </v>
      </c>
      <c r="K2430" s="25" t="str">
        <f>IF(OR(E2430="",E2430="!!!",F2430="NEW"),"",INDEX(J$1:J2429,SUMPRODUCT(MAX(ROW(E$1:E2429)*(E2430=E$1:E2429)))))</f>
        <v> </v>
      </c>
      <c r="L2430" s="26"/>
    </row>
    <row r="2431" spans="1:12">
      <c r="A2431" s="20"/>
    </row>
    <row r="2432" spans="1:12">
      <c r="A2432" s="20" t="s">
        <v>2291</v>
      </c>
    </row>
    <row r="2433" spans="1:12">
      <c r="A2433" s="20" t="s">
        <v>1111</v>
      </c>
      <c r="E2433" s="21">
        <f>IF(D2433="?OLD","!!!","")</f>
        <v/>
      </c>
      <c r="F2433" s="22" t="str">
        <f>IF(OR(E2433="",E2433="!!!"),"",IF(NOT(ISNA(VLOOKUP(E2433,E$1:E2432,1,FALSE()))),"OLD",IF(AND(E2433&lt;&gt;"",E2433&lt;&gt;"!!!"),"NEW","")))</f>
        <v> </v>
      </c>
      <c r="G2433" s="23" t="str">
        <f>IF(OR(E2433="",E2433="!!!"),"",IF(OR(J2433=0,AND(J2433=1,K2433=1),AND(J2433=1,I2433="SBJ"),AND(J2433=1,I2433=0)),"?IN_FOCUS",IF(J2433&lt;=2,"?ACTIVATED",IF(J2433&lt;&gt;"","?FAMILIAR",IF(F2433="NEW",IF(ISNA(VLOOKUP(E2433,#REF!,1,FALSE())),"?TYPE_IDENTIFIABLE","?REFERENTIAL"),"_")))))</f>
        <v> </v>
      </c>
      <c r="H2433" s="24" t="str">
        <f>IF(J2433&lt;&gt;1,"",IF(I2433="SBJ","CB","?"))</f>
        <v> </v>
      </c>
      <c r="I2433" s="25" t="str">
        <f>IF(OR(E2433="",E2433="!!!",F2433="NEW"),"",INDEX(B2432:B$2,-1+SUMPRODUCT(MAX(ROW(E2432:E$2)*(E2433=E2432:E$2)))))</f>
        <v> </v>
      </c>
      <c r="J2433" s="25" t="str">
        <f>IF(OR(E2433="",E2433="!!!",F2433="NEW"),"",COUNTBLANK(OFFSET(A$1,,,SUMPRODUCT(MAX(ROW(E$2:E2433)*(E2433=E$2:E2433)))))-COUNTBLANK(OFFSET(A$1,,,SUMPRODUCT(MAX(ROW(E$1:E2432)*(E2=E$1:E2432))))))</f>
        <v> </v>
      </c>
      <c r="K2433" s="25" t="str">
        <f>IF(OR(E2433="",E2433="!!!",F2433="NEW"),"",INDEX(J$1:J2432,SUMPRODUCT(MAX(ROW(E$1:E2432)*(E2433=E$1:E2432)))))</f>
        <v> </v>
      </c>
      <c r="L2433" s="26"/>
    </row>
    <row r="2434" spans="1:12">
      <c r="A2434" s="20" t="s">
        <v>2292</v>
      </c>
      <c r="E2434" s="21">
        <f>IF(D2434="?OLD","!!!","")</f>
        <v/>
      </c>
      <c r="F2434" s="22" t="str">
        <f>IF(OR(E2434="",E2434="!!!"),"",IF(NOT(ISNA(VLOOKUP(E2434,E$1:E2433,1,FALSE()))),"OLD",IF(AND(E2434&lt;&gt;"",E2434&lt;&gt;"!!!"),"NEW","")))</f>
        <v> </v>
      </c>
      <c r="G2434" s="23" t="str">
        <f>IF(OR(E2434="",E2434="!!!"),"",IF(OR(J2434=0,AND(J2434=1,K2434=1),AND(J2434=1,I2434="SBJ"),AND(J2434=1,I2434=0)),"?IN_FOCUS",IF(J2434&lt;=2,"?ACTIVATED",IF(J2434&lt;&gt;"","?FAMILIAR",IF(F2434="NEW",IF(ISNA(VLOOKUP(E2434,#REF!,1,FALSE())),"?TYPE_IDENTIFIABLE","?REFERENTIAL"),"_")))))</f>
        <v> </v>
      </c>
      <c r="H2434" s="24" t="str">
        <f>IF(J2434&lt;&gt;1,"",IF(I2434="SBJ","CB","?"))</f>
        <v> </v>
      </c>
      <c r="I2434" s="25" t="str">
        <f>IF(OR(E2434="",E2434="!!!",F2434="NEW"),"",INDEX(B2433:B$2,-1+SUMPRODUCT(MAX(ROW(E2433:E$2)*(E2434=E2433:E$2)))))</f>
        <v> </v>
      </c>
      <c r="J2434" s="25" t="str">
        <f>IF(OR(E2434="",E2434="!!!",F2434="NEW"),"",COUNTBLANK(OFFSET(A$1,,,SUMPRODUCT(MAX(ROW(E$2:E2434)*(E2434=E$2:E2434)))))-COUNTBLANK(OFFSET(A$1,,,SUMPRODUCT(MAX(ROW(E$1:E2433)*(E2=E$1:E2433))))))</f>
        <v> </v>
      </c>
      <c r="K2434" s="25" t="str">
        <f>IF(OR(E2434="",E2434="!!!",F2434="NEW"),"",INDEX(J$1:J2433,SUMPRODUCT(MAX(ROW(E$1:E2433)*(E2434=E$1:E2433)))))</f>
        <v> </v>
      </c>
      <c r="L2434" s="26"/>
    </row>
    <row r="2435" spans="1:12">
      <c r="A2435" s="20" t="s">
        <v>1494</v>
      </c>
      <c r="B2435" s="27" t="s">
        <v>1213</v>
      </c>
      <c r="C2435" s="27" t="s">
        <v>1126</v>
      </c>
      <c r="D2435" s="27" t="s">
        <v>1105</v>
      </c>
      <c r="E2435" s="21">
        <f>IF(D2435="?OLD","!!!","")</f>
        <v/>
      </c>
      <c r="F2435" s="22" t="str">
        <f>IF(OR(E2435="",E2435="!!!"),"",IF(NOT(ISNA(VLOOKUP(E2435,E$1:E2434,1,FALSE()))),"OLD",IF(AND(E2435&lt;&gt;"",E2435&lt;&gt;"!!!"),"NEW","")))</f>
        <v> </v>
      </c>
      <c r="G2435" s="23" t="str">
        <f>IF(OR(E2435="",E2435="!!!"),"",IF(OR(J2435=0,AND(J2435=1,K2435=1),AND(J2435=1,I2435="SBJ"),AND(J2435=1,I2435=0)),"?IN_FOCUS",IF(J2435&lt;=2,"?ACTIVATED",IF(J2435&lt;&gt;"","?FAMILIAR",IF(F2435="NEW",IF(ISNA(VLOOKUP(E2435,#REF!,1,FALSE())),"?TYPE_IDENTIFIABLE","?REFERENTIAL"),"_")))))</f>
        <v> </v>
      </c>
      <c r="H2435" s="24" t="str">
        <f>IF(J2435&lt;&gt;1,"",IF(I2435="SBJ","CB","?"))</f>
        <v> </v>
      </c>
      <c r="I2435" s="25" t="str">
        <f>IF(OR(E2435="",E2435="!!!",F2435="NEW"),"",INDEX(B2434:B$2,-1+SUMPRODUCT(MAX(ROW(E2434:E$2)*(E2435=E2434:E$2)))))</f>
        <v> </v>
      </c>
      <c r="J2435" s="25" t="str">
        <f>IF(OR(E2435="",E2435="!!!",F2435="NEW"),"",COUNTBLANK(OFFSET(A$1,,,SUMPRODUCT(MAX(ROW(E$2:E2435)*(E2435=E$2:E2435)))))-COUNTBLANK(OFFSET(A$1,,,SUMPRODUCT(MAX(ROW(E$1:E2434)*(E2=E$1:E2434))))))</f>
        <v> </v>
      </c>
      <c r="K2435" s="25" t="str">
        <f>IF(OR(E2435="",E2435="!!!",F2435="NEW"),"",INDEX(J$1:J2434,SUMPRODUCT(MAX(ROW(E$1:E2434)*(E2435=E$1:E2434)))))</f>
        <v> </v>
      </c>
      <c r="L2435" s="26"/>
    </row>
    <row r="2436" spans="1:12">
      <c r="A2436" s="20" t="s">
        <v>2293</v>
      </c>
      <c r="E2436" s="21">
        <f>IF(D2436="?OLD","!!!","")</f>
        <v/>
      </c>
      <c r="F2436" s="22" t="str">
        <f>IF(OR(E2436="",E2436="!!!"),"",IF(NOT(ISNA(VLOOKUP(E2436,E$1:E2435,1,FALSE()))),"OLD",IF(AND(E2436&lt;&gt;"",E2436&lt;&gt;"!!!"),"NEW","")))</f>
        <v> </v>
      </c>
      <c r="G2436" s="23" t="str">
        <f>IF(OR(E2436="",E2436="!!!"),"",IF(OR(J2436=0,AND(J2436=1,K2436=1),AND(J2436=1,I2436="SBJ"),AND(J2436=1,I2436=0)),"?IN_FOCUS",IF(J2436&lt;=2,"?ACTIVATED",IF(J2436&lt;&gt;"","?FAMILIAR",IF(F2436="NEW",IF(ISNA(VLOOKUP(E2436,#REF!,1,FALSE())),"?TYPE_IDENTIFIABLE","?REFERENTIAL"),"_")))))</f>
        <v> </v>
      </c>
      <c r="H2436" s="24" t="str">
        <f>IF(J2436&lt;&gt;1,"",IF(I2436="SBJ","CB","?"))</f>
        <v> </v>
      </c>
      <c r="I2436" s="25" t="str">
        <f>IF(OR(E2436="",E2436="!!!",F2436="NEW"),"",INDEX(B2435:B$2,-1+SUMPRODUCT(MAX(ROW(E2435:E$2)*(E2436=E2435:E$2)))))</f>
        <v> </v>
      </c>
      <c r="J2436" s="25" t="str">
        <f>IF(OR(E2436="",E2436="!!!",F2436="NEW"),"",COUNTBLANK(OFFSET(A$1,,,SUMPRODUCT(MAX(ROW(E$2:E2436)*(E2436=E$2:E2436)))))-COUNTBLANK(OFFSET(A$1,,,SUMPRODUCT(MAX(ROW(E$1:E2435)*(E2=E$1:E2435))))))</f>
        <v> </v>
      </c>
      <c r="K2436" s="25" t="str">
        <f>IF(OR(E2436="",E2436="!!!",F2436="NEW"),"",INDEX(J$1:J2435,SUMPRODUCT(MAX(ROW(E$1:E2435)*(E2436=E$1:E2435)))))</f>
        <v> </v>
      </c>
      <c r="L2436" s="26"/>
    </row>
    <row r="2437" spans="1:12">
      <c r="A2437" s="20" t="s">
        <v>2294</v>
      </c>
      <c r="E2437" s="21">
        <f>IF(D2437="?OLD","!!!","")</f>
        <v/>
      </c>
      <c r="F2437" s="22" t="str">
        <f>IF(OR(E2437="",E2437="!!!"),"",IF(NOT(ISNA(VLOOKUP(E2437,E$1:E2436,1,FALSE()))),"OLD",IF(AND(E2437&lt;&gt;"",E2437&lt;&gt;"!!!"),"NEW","")))</f>
        <v> </v>
      </c>
      <c r="G2437" s="23" t="str">
        <f>IF(OR(E2437="",E2437="!!!"),"",IF(OR(J2437=0,AND(J2437=1,K2437=1),AND(J2437=1,I2437="SBJ"),AND(J2437=1,I2437=0)),"?IN_FOCUS",IF(J2437&lt;=2,"?ACTIVATED",IF(J2437&lt;&gt;"","?FAMILIAR",IF(F2437="NEW",IF(ISNA(VLOOKUP(E2437,#REF!,1,FALSE())),"?TYPE_IDENTIFIABLE","?REFERENTIAL"),"_")))))</f>
        <v> </v>
      </c>
      <c r="H2437" s="24" t="str">
        <f>IF(J2437&lt;&gt;1,"",IF(I2437="SBJ","CB","?"))</f>
        <v> </v>
      </c>
      <c r="I2437" s="25" t="str">
        <f>IF(OR(E2437="",E2437="!!!",F2437="NEW"),"",INDEX(B2436:B$2,-1+SUMPRODUCT(MAX(ROW(E2436:E$2)*(E2437=E2436:E$2)))))</f>
        <v> </v>
      </c>
      <c r="J2437" s="25" t="str">
        <f>IF(OR(E2437="",E2437="!!!",F2437="NEW"),"",COUNTBLANK(OFFSET(A$1,,,SUMPRODUCT(MAX(ROW(E$2:E2437)*(E2437=E$2:E2437)))))-COUNTBLANK(OFFSET(A$1,,,SUMPRODUCT(MAX(ROW(E$1:E2436)*(E2=E$1:E2436))))))</f>
        <v> </v>
      </c>
      <c r="K2437" s="25" t="str">
        <f>IF(OR(E2437="",E2437="!!!",F2437="NEW"),"",INDEX(J$1:J2436,SUMPRODUCT(MAX(ROW(E$1:E2436)*(E2437=E$1:E2436)))))</f>
        <v> </v>
      </c>
      <c r="L2437" s="26"/>
    </row>
    <row r="2438" spans="1:12">
      <c r="A2438" s="20" t="s">
        <v>1145</v>
      </c>
      <c r="E2438" s="21">
        <f>IF(D2438="?OLD","!!!","")</f>
        <v/>
      </c>
      <c r="F2438" s="22" t="str">
        <f>IF(OR(E2438="",E2438="!!!"),"",IF(NOT(ISNA(VLOOKUP(E2438,E$1:E2437,1,FALSE()))),"OLD",IF(AND(E2438&lt;&gt;"",E2438&lt;&gt;"!!!"),"NEW","")))</f>
        <v> </v>
      </c>
      <c r="G2438" s="23" t="str">
        <f>IF(OR(E2438="",E2438="!!!"),"",IF(OR(J2438=0,AND(J2438=1,K2438=1),AND(J2438=1,I2438="SBJ"),AND(J2438=1,I2438=0)),"?IN_FOCUS",IF(J2438&lt;=2,"?ACTIVATED",IF(J2438&lt;&gt;"","?FAMILIAR",IF(F2438="NEW",IF(ISNA(VLOOKUP(E2438,#REF!,1,FALSE())),"?TYPE_IDENTIFIABLE","?REFERENTIAL"),"_")))))</f>
        <v> </v>
      </c>
      <c r="H2438" s="24" t="str">
        <f>IF(J2438&lt;&gt;1,"",IF(I2438="SBJ","CB","?"))</f>
        <v> </v>
      </c>
      <c r="I2438" s="25" t="str">
        <f>IF(OR(E2438="",E2438="!!!",F2438="NEW"),"",INDEX(B2437:B$2,-1+SUMPRODUCT(MAX(ROW(E2437:E$2)*(E2438=E2437:E$2)))))</f>
        <v> </v>
      </c>
      <c r="J2438" s="25" t="str">
        <f>IF(OR(E2438="",E2438="!!!",F2438="NEW"),"",COUNTBLANK(OFFSET(A$1,,,SUMPRODUCT(MAX(ROW(E$2:E2438)*(E2438=E$2:E2438)))))-COUNTBLANK(OFFSET(A$1,,,SUMPRODUCT(MAX(ROW(E$1:E2437)*(E2=E$1:E2437))))))</f>
        <v> </v>
      </c>
      <c r="K2438" s="25" t="str">
        <f>IF(OR(E2438="",E2438="!!!",F2438="NEW"),"",INDEX(J$1:J2437,SUMPRODUCT(MAX(ROW(E$1:E2437)*(E2438=E$1:E2437)))))</f>
        <v> </v>
      </c>
      <c r="L2438" s="26"/>
    </row>
    <row r="2439" spans="1:12">
      <c r="A2439" s="20" t="s">
        <v>1145</v>
      </c>
      <c r="E2439" s="21">
        <f>IF(D2439="?OLD","!!!","")</f>
        <v/>
      </c>
      <c r="F2439" s="22" t="str">
        <f>IF(OR(E2439="",E2439="!!!"),"",IF(NOT(ISNA(VLOOKUP(E2439,E$1:E2438,1,FALSE()))),"OLD",IF(AND(E2439&lt;&gt;"",E2439&lt;&gt;"!!!"),"NEW","")))</f>
        <v> </v>
      </c>
      <c r="G2439" s="23" t="str">
        <f>IF(OR(E2439="",E2439="!!!"),"",IF(OR(J2439=0,AND(J2439=1,K2439=1),AND(J2439=1,I2439="SBJ"),AND(J2439=1,I2439=0)),"?IN_FOCUS",IF(J2439&lt;=2,"?ACTIVATED",IF(J2439&lt;&gt;"","?FAMILIAR",IF(F2439="NEW",IF(ISNA(VLOOKUP(E2439,#REF!,1,FALSE())),"?TYPE_IDENTIFIABLE","?REFERENTIAL"),"_")))))</f>
        <v> </v>
      </c>
      <c r="H2439" s="24" t="str">
        <f>IF(J2439&lt;&gt;1,"",IF(I2439="SBJ","CB","?"))</f>
        <v> </v>
      </c>
      <c r="I2439" s="25" t="str">
        <f>IF(OR(E2439="",E2439="!!!",F2439="NEW"),"",INDEX(B2438:B$2,-1+SUMPRODUCT(MAX(ROW(E2438:E$2)*(E2439=E2438:E$2)))))</f>
        <v> </v>
      </c>
      <c r="J2439" s="25" t="str">
        <f>IF(OR(E2439="",E2439="!!!",F2439="NEW"),"",COUNTBLANK(OFFSET(A$1,,,SUMPRODUCT(MAX(ROW(E$2:E2439)*(E2439=E$2:E2439)))))-COUNTBLANK(OFFSET(A$1,,,SUMPRODUCT(MAX(ROW(E$1:E2438)*(E2=E$1:E2438))))))</f>
        <v> </v>
      </c>
      <c r="K2439" s="25" t="str">
        <f>IF(OR(E2439="",E2439="!!!",F2439="NEW"),"",INDEX(J$1:J2438,SUMPRODUCT(MAX(ROW(E$1:E2438)*(E2439=E$1:E2438)))))</f>
        <v> </v>
      </c>
      <c r="L2439" s="26"/>
    </row>
    <row r="2440" spans="1:12">
      <c r="A2440" s="20" t="s">
        <v>1145</v>
      </c>
      <c r="E2440" s="21">
        <f>IF(D2440="?OLD","!!!","")</f>
        <v/>
      </c>
      <c r="F2440" s="22" t="str">
        <f>IF(OR(E2440="",E2440="!!!"),"",IF(NOT(ISNA(VLOOKUP(E2440,E$1:E2439,1,FALSE()))),"OLD",IF(AND(E2440&lt;&gt;"",E2440&lt;&gt;"!!!"),"NEW","")))</f>
        <v> </v>
      </c>
      <c r="G2440" s="23" t="str">
        <f>IF(OR(E2440="",E2440="!!!"),"",IF(OR(J2440=0,AND(J2440=1,K2440=1),AND(J2440=1,I2440="SBJ"),AND(J2440=1,I2440=0)),"?IN_FOCUS",IF(J2440&lt;=2,"?ACTIVATED",IF(J2440&lt;&gt;"","?FAMILIAR",IF(F2440="NEW",IF(ISNA(VLOOKUP(E2440,#REF!,1,FALSE())),"?TYPE_IDENTIFIABLE","?REFERENTIAL"),"_")))))</f>
        <v> </v>
      </c>
      <c r="H2440" s="24" t="str">
        <f>IF(J2440&lt;&gt;1,"",IF(I2440="SBJ","CB","?"))</f>
        <v> </v>
      </c>
      <c r="I2440" s="25" t="str">
        <f>IF(OR(E2440="",E2440="!!!",F2440="NEW"),"",INDEX(B2439:B$2,-1+SUMPRODUCT(MAX(ROW(E2439:E$2)*(E2440=E2439:E$2)))))</f>
        <v> </v>
      </c>
      <c r="J2440" s="25" t="str">
        <f>IF(OR(E2440="",E2440="!!!",F2440="NEW"),"",COUNTBLANK(OFFSET(A$1,,,SUMPRODUCT(MAX(ROW(E$2:E2440)*(E2440=E$2:E2440)))))-COUNTBLANK(OFFSET(A$1,,,SUMPRODUCT(MAX(ROW(E$1:E2439)*(E2=E$1:E2439))))))</f>
        <v> </v>
      </c>
      <c r="K2440" s="25" t="str">
        <f>IF(OR(E2440="",E2440="!!!",F2440="NEW"),"",INDEX(J$1:J2439,SUMPRODUCT(MAX(ROW(E$1:E2439)*(E2440=E$1:E2439)))))</f>
        <v> </v>
      </c>
      <c r="L2440" s="26"/>
    </row>
    <row r="2441" spans="1:12">
      <c r="A2441" s="20"/>
    </row>
    <row r="2442" spans="1:12">
      <c r="A2442" s="20" t="s">
        <v>2295</v>
      </c>
    </row>
    <row r="2443" spans="1:12">
      <c r="A2443" s="20" t="s">
        <v>1873</v>
      </c>
      <c r="E2443" s="21">
        <f>IF(D2443="?OLD","!!!","")</f>
        <v/>
      </c>
      <c r="F2443" s="22" t="str">
        <f>IF(OR(E2443="",E2443="!!!"),"",IF(NOT(ISNA(VLOOKUP(E2443,E$1:E2442,1,FALSE()))),"OLD",IF(AND(E2443&lt;&gt;"",E2443&lt;&gt;"!!!"),"NEW","")))</f>
        <v> </v>
      </c>
      <c r="G2443" s="23" t="str">
        <f>IF(OR(E2443="",E2443="!!!"),"",IF(OR(J2443=0,AND(J2443=1,K2443=1),AND(J2443=1,I2443="SBJ"),AND(J2443=1,I2443=0)),"?IN_FOCUS",IF(J2443&lt;=2,"?ACTIVATED",IF(J2443&lt;&gt;"","?FAMILIAR",IF(F2443="NEW",IF(ISNA(VLOOKUP(E2443,#REF!,1,FALSE())),"?TYPE_IDENTIFIABLE","?REFERENTIAL"),"_")))))</f>
        <v> </v>
      </c>
      <c r="H2443" s="24" t="str">
        <f>IF(J2443&lt;&gt;1,"",IF(I2443="SBJ","CB","?"))</f>
        <v> </v>
      </c>
      <c r="I2443" s="25" t="str">
        <f>IF(OR(E2443="",E2443="!!!",F2443="NEW"),"",INDEX(B2442:B$2,-1+SUMPRODUCT(MAX(ROW(E2442:E$2)*(E2443=E2442:E$2)))))</f>
        <v> </v>
      </c>
      <c r="J2443" s="25" t="str">
        <f>IF(OR(E2443="",E2443="!!!",F2443="NEW"),"",COUNTBLANK(OFFSET(A$1,,,SUMPRODUCT(MAX(ROW(E$2:E2443)*(E2443=E$2:E2443)))))-COUNTBLANK(OFFSET(A$1,,,SUMPRODUCT(MAX(ROW(E$1:E2442)*(E2=E$1:E2442))))))</f>
        <v> </v>
      </c>
      <c r="K2443" s="25" t="str">
        <f>IF(OR(E2443="",E2443="!!!",F2443="NEW"),"",INDEX(J$1:J2442,SUMPRODUCT(MAX(ROW(E$1:E2442)*(E2443=E$1:E2442)))))</f>
        <v> </v>
      </c>
      <c r="L2443" s="26"/>
    </row>
    <row r="2444" spans="1:12">
      <c r="A2444" s="20" t="s">
        <v>1239</v>
      </c>
      <c r="E2444" s="21">
        <f>IF(D2444="?OLD","!!!","")</f>
        <v/>
      </c>
      <c r="F2444" s="22" t="str">
        <f>IF(OR(E2444="",E2444="!!!"),"",IF(NOT(ISNA(VLOOKUP(E2444,E$1:E2443,1,FALSE()))),"OLD",IF(AND(E2444&lt;&gt;"",E2444&lt;&gt;"!!!"),"NEW","")))</f>
        <v> </v>
      </c>
      <c r="G2444" s="23" t="str">
        <f>IF(OR(E2444="",E2444="!!!"),"",IF(OR(J2444=0,AND(J2444=1,K2444=1),AND(J2444=1,I2444="SBJ"),AND(J2444=1,I2444=0)),"?IN_FOCUS",IF(J2444&lt;=2,"?ACTIVATED",IF(J2444&lt;&gt;"","?FAMILIAR",IF(F2444="NEW",IF(ISNA(VLOOKUP(E2444,#REF!,1,FALSE())),"?TYPE_IDENTIFIABLE","?REFERENTIAL"),"_")))))</f>
        <v> </v>
      </c>
      <c r="H2444" s="24" t="str">
        <f>IF(J2444&lt;&gt;1,"",IF(I2444="SBJ","CB","?"))</f>
        <v> </v>
      </c>
      <c r="I2444" s="25" t="str">
        <f>IF(OR(E2444="",E2444="!!!",F2444="NEW"),"",INDEX(B2443:B$2,-1+SUMPRODUCT(MAX(ROW(E2443:E$2)*(E2444=E2443:E$2)))))</f>
        <v> </v>
      </c>
      <c r="J2444" s="25" t="str">
        <f>IF(OR(E2444="",E2444="!!!",F2444="NEW"),"",COUNTBLANK(OFFSET(A$1,,,SUMPRODUCT(MAX(ROW(E$2:E2444)*(E2444=E$2:E2444)))))-COUNTBLANK(OFFSET(A$1,,,SUMPRODUCT(MAX(ROW(E$1:E2443)*(E2=E$1:E2443))))))</f>
        <v> </v>
      </c>
      <c r="K2444" s="25" t="str">
        <f>IF(OR(E2444="",E2444="!!!",F2444="NEW"),"",INDEX(J$1:J2443,SUMPRODUCT(MAX(ROW(E$1:E2443)*(E2444=E$1:E2443)))))</f>
        <v> </v>
      </c>
      <c r="L2444" s="26"/>
    </row>
    <row r="2445" spans="1:12">
      <c r="A2445" s="20" t="s">
        <v>1123</v>
      </c>
      <c r="E2445" s="21">
        <f>IF(D2445="?OLD","!!!","")</f>
        <v/>
      </c>
      <c r="F2445" s="22" t="str">
        <f>IF(OR(E2445="",E2445="!!!"),"",IF(NOT(ISNA(VLOOKUP(E2445,E$1:E2444,1,FALSE()))),"OLD",IF(AND(E2445&lt;&gt;"",E2445&lt;&gt;"!!!"),"NEW","")))</f>
        <v> </v>
      </c>
      <c r="G2445" s="23" t="str">
        <f>IF(OR(E2445="",E2445="!!!"),"",IF(OR(J2445=0,AND(J2445=1,K2445=1),AND(J2445=1,I2445="SBJ"),AND(J2445=1,I2445=0)),"?IN_FOCUS",IF(J2445&lt;=2,"?ACTIVATED",IF(J2445&lt;&gt;"","?FAMILIAR",IF(F2445="NEW",IF(ISNA(VLOOKUP(E2445,#REF!,1,FALSE())),"?TYPE_IDENTIFIABLE","?REFERENTIAL"),"_")))))</f>
        <v> </v>
      </c>
      <c r="H2445" s="24" t="str">
        <f>IF(J2445&lt;&gt;1,"",IF(I2445="SBJ","CB","?"))</f>
        <v> </v>
      </c>
      <c r="I2445" s="25" t="str">
        <f>IF(OR(E2445="",E2445="!!!",F2445="NEW"),"",INDEX(B2444:B$2,-1+SUMPRODUCT(MAX(ROW(E2444:E$2)*(E2445=E2444:E$2)))))</f>
        <v> </v>
      </c>
      <c r="J2445" s="25" t="str">
        <f>IF(OR(E2445="",E2445="!!!",F2445="NEW"),"",COUNTBLANK(OFFSET(A$1,,,SUMPRODUCT(MAX(ROW(E$2:E2445)*(E2445=E$2:E2445)))))-COUNTBLANK(OFFSET(A$1,,,SUMPRODUCT(MAX(ROW(E$1:E2444)*(E2=E$1:E2444))))))</f>
        <v> </v>
      </c>
      <c r="K2445" s="25" t="str">
        <f>IF(OR(E2445="",E2445="!!!",F2445="NEW"),"",INDEX(J$1:J2444,SUMPRODUCT(MAX(ROW(E$1:E2444)*(E2445=E$1:E2444)))))</f>
        <v> </v>
      </c>
      <c r="L2445" s="26"/>
    </row>
    <row r="2446" spans="1:12">
      <c r="A2446" s="20" t="s">
        <v>2296</v>
      </c>
      <c r="E2446" s="21">
        <f>IF(D2446="?OLD","!!!","")</f>
        <v/>
      </c>
      <c r="F2446" s="22" t="str">
        <f>IF(OR(E2446="",E2446="!!!"),"",IF(NOT(ISNA(VLOOKUP(E2446,E$1:E2445,1,FALSE()))),"OLD",IF(AND(E2446&lt;&gt;"",E2446&lt;&gt;"!!!"),"NEW","")))</f>
        <v> </v>
      </c>
      <c r="G2446" s="23" t="str">
        <f>IF(OR(E2446="",E2446="!!!"),"",IF(OR(J2446=0,AND(J2446=1,K2446=1),AND(J2446=1,I2446="SBJ"),AND(J2446=1,I2446=0)),"?IN_FOCUS",IF(J2446&lt;=2,"?ACTIVATED",IF(J2446&lt;&gt;"","?FAMILIAR",IF(F2446="NEW",IF(ISNA(VLOOKUP(E2446,#REF!,1,FALSE())),"?TYPE_IDENTIFIABLE","?REFERENTIAL"),"_")))))</f>
        <v> </v>
      </c>
      <c r="H2446" s="24" t="str">
        <f>IF(J2446&lt;&gt;1,"",IF(I2446="SBJ","CB","?"))</f>
        <v> </v>
      </c>
      <c r="I2446" s="25" t="str">
        <f>IF(OR(E2446="",E2446="!!!",F2446="NEW"),"",INDEX(B2445:B$2,-1+SUMPRODUCT(MAX(ROW(E2445:E$2)*(E2446=E2445:E$2)))))</f>
        <v> </v>
      </c>
      <c r="J2446" s="25" t="str">
        <f>IF(OR(E2446="",E2446="!!!",F2446="NEW"),"",COUNTBLANK(OFFSET(A$1,,,SUMPRODUCT(MAX(ROW(E$2:E2446)*(E2446=E$2:E2446)))))-COUNTBLANK(OFFSET(A$1,,,SUMPRODUCT(MAX(ROW(E$1:E2445)*(E2=E$1:E2445))))))</f>
        <v> </v>
      </c>
      <c r="K2446" s="25" t="str">
        <f>IF(OR(E2446="",E2446="!!!",F2446="NEW"),"",INDEX(J$1:J2445,SUMPRODUCT(MAX(ROW(E$1:E2445)*(E2446=E$1:E2445)))))</f>
        <v> </v>
      </c>
      <c r="L2446" s="26"/>
    </row>
    <row r="2447" spans="1:12">
      <c r="A2447" s="20" t="s">
        <v>590</v>
      </c>
      <c r="E2447" s="21">
        <f>IF(D2447="?OLD","!!!","")</f>
        <v/>
      </c>
      <c r="F2447" s="22" t="str">
        <f>IF(OR(E2447="",E2447="!!!"),"",IF(NOT(ISNA(VLOOKUP(E2447,E$1:E2446,1,FALSE()))),"OLD",IF(AND(E2447&lt;&gt;"",E2447&lt;&gt;"!!!"),"NEW","")))</f>
        <v> </v>
      </c>
      <c r="G2447" s="23" t="str">
        <f>IF(OR(E2447="",E2447="!!!"),"",IF(OR(J2447=0,AND(J2447=1,K2447=1),AND(J2447=1,I2447="SBJ"),AND(J2447=1,I2447=0)),"?IN_FOCUS",IF(J2447&lt;=2,"?ACTIVATED",IF(J2447&lt;&gt;"","?FAMILIAR",IF(F2447="NEW",IF(ISNA(VLOOKUP(E2447,#REF!,1,FALSE())),"?TYPE_IDENTIFIABLE","?REFERENTIAL"),"_")))))</f>
        <v> </v>
      </c>
      <c r="H2447" s="24" t="str">
        <f>IF(J2447&lt;&gt;1,"",IF(I2447="SBJ","CB","?"))</f>
        <v> </v>
      </c>
      <c r="I2447" s="25" t="str">
        <f>IF(OR(E2447="",E2447="!!!",F2447="NEW"),"",INDEX(B2446:B$2,-1+SUMPRODUCT(MAX(ROW(E2446:E$2)*(E2447=E2446:E$2)))))</f>
        <v> </v>
      </c>
      <c r="J2447" s="25" t="str">
        <f>IF(OR(E2447="",E2447="!!!",F2447="NEW"),"",COUNTBLANK(OFFSET(A$1,,,SUMPRODUCT(MAX(ROW(E$2:E2447)*(E2447=E$2:E2447)))))-COUNTBLANK(OFFSET(A$1,,,SUMPRODUCT(MAX(ROW(E$1:E2446)*(E2=E$1:E2446))))))</f>
        <v> </v>
      </c>
      <c r="K2447" s="25" t="str">
        <f>IF(OR(E2447="",E2447="!!!",F2447="NEW"),"",INDEX(J$1:J2446,SUMPRODUCT(MAX(ROW(E$1:E2446)*(E2447=E$1:E2446)))))</f>
        <v> </v>
      </c>
      <c r="L2447" s="26"/>
    </row>
    <row r="2448" spans="1:12">
      <c r="A2448" s="20" t="s">
        <v>1334</v>
      </c>
      <c r="E2448" s="21">
        <f>IF(D2448="?OLD","!!!","")</f>
        <v/>
      </c>
      <c r="F2448" s="22" t="str">
        <f>IF(OR(E2448="",E2448="!!!"),"",IF(NOT(ISNA(VLOOKUP(E2448,E$1:E2447,1,FALSE()))),"OLD",IF(AND(E2448&lt;&gt;"",E2448&lt;&gt;"!!!"),"NEW","")))</f>
        <v> </v>
      </c>
      <c r="G2448" s="23" t="str">
        <f>IF(OR(E2448="",E2448="!!!"),"",IF(OR(J2448=0,AND(J2448=1,K2448=1),AND(J2448=1,I2448="SBJ"),AND(J2448=1,I2448=0)),"?IN_FOCUS",IF(J2448&lt;=2,"?ACTIVATED",IF(J2448&lt;&gt;"","?FAMILIAR",IF(F2448="NEW",IF(ISNA(VLOOKUP(E2448,#REF!,1,FALSE())),"?TYPE_IDENTIFIABLE","?REFERENTIAL"),"_")))))</f>
        <v> </v>
      </c>
      <c r="H2448" s="24" t="str">
        <f>IF(J2448&lt;&gt;1,"",IF(I2448="SBJ","CB","?"))</f>
        <v> </v>
      </c>
      <c r="I2448" s="25" t="str">
        <f>IF(OR(E2448="",E2448="!!!",F2448="NEW"),"",INDEX(B2447:B$2,-1+SUMPRODUCT(MAX(ROW(E2447:E$2)*(E2448=E2447:E$2)))))</f>
        <v> </v>
      </c>
      <c r="J2448" s="25" t="str">
        <f>IF(OR(E2448="",E2448="!!!",F2448="NEW"),"",COUNTBLANK(OFFSET(A$1,,,SUMPRODUCT(MAX(ROW(E$2:E2448)*(E2448=E$2:E2448)))))-COUNTBLANK(OFFSET(A$1,,,SUMPRODUCT(MAX(ROW(E$1:E2447)*(E2=E$1:E2447))))))</f>
        <v> </v>
      </c>
      <c r="K2448" s="25" t="str">
        <f>IF(OR(E2448="",E2448="!!!",F2448="NEW"),"",INDEX(J$1:J2447,SUMPRODUCT(MAX(ROW(E$1:E2447)*(E2448=E$1:E2447)))))</f>
        <v> </v>
      </c>
      <c r="L2448" s="26"/>
    </row>
    <row r="2449" spans="1:12">
      <c r="A2449" s="20"/>
    </row>
    <row r="2450" spans="1:12">
      <c r="A2450" s="20" t="s">
        <v>2297</v>
      </c>
    </row>
    <row r="2451" spans="1:12">
      <c r="A2451" s="20" t="s">
        <v>1111</v>
      </c>
      <c r="E2451" s="21">
        <f>IF(D2451="?OLD","!!!","")</f>
        <v/>
      </c>
      <c r="F2451" s="22" t="str">
        <f>IF(OR(E2451="",E2451="!!!"),"",IF(NOT(ISNA(VLOOKUP(E2451,E$1:E2450,1,FALSE()))),"OLD",IF(AND(E2451&lt;&gt;"",E2451&lt;&gt;"!!!"),"NEW","")))</f>
        <v> </v>
      </c>
      <c r="G2451" s="23" t="str">
        <f>IF(OR(E2451="",E2451="!!!"),"",IF(OR(J2451=0,AND(J2451=1,K2451=1),AND(J2451=1,I2451="SBJ"),AND(J2451=1,I2451=0)),"?IN_FOCUS",IF(J2451&lt;=2,"?ACTIVATED",IF(J2451&lt;&gt;"","?FAMILIAR",IF(F2451="NEW",IF(ISNA(VLOOKUP(E2451,#REF!,1,FALSE())),"?TYPE_IDENTIFIABLE","?REFERENTIAL"),"_")))))</f>
        <v> </v>
      </c>
      <c r="H2451" s="24" t="str">
        <f>IF(J2451&lt;&gt;1,"",IF(I2451="SBJ","CB","?"))</f>
        <v> </v>
      </c>
      <c r="I2451" s="25" t="str">
        <f>IF(OR(E2451="",E2451="!!!",F2451="NEW"),"",INDEX(B2450:B$2,-1+SUMPRODUCT(MAX(ROW(E2450:E$2)*(E2451=E2450:E$2)))))</f>
        <v> </v>
      </c>
      <c r="J2451" s="25" t="str">
        <f>IF(OR(E2451="",E2451="!!!",F2451="NEW"),"",COUNTBLANK(OFFSET(A$1,,,SUMPRODUCT(MAX(ROW(E$2:E2451)*(E2451=E$2:E2451)))))-COUNTBLANK(OFFSET(A$1,,,SUMPRODUCT(MAX(ROW(E$1:E2450)*(E2=E$1:E2450))))))</f>
        <v> </v>
      </c>
      <c r="K2451" s="25" t="str">
        <f>IF(OR(E2451="",E2451="!!!",F2451="NEW"),"",INDEX(J$1:J2450,SUMPRODUCT(MAX(ROW(E$1:E2450)*(E2451=E$1:E2450)))))</f>
        <v> </v>
      </c>
      <c r="L2451" s="26"/>
    </row>
    <row r="2452" spans="1:12">
      <c r="A2452" s="20" t="s">
        <v>2298</v>
      </c>
      <c r="E2452" s="21">
        <f>IF(D2452="?OLD","!!!","")</f>
        <v/>
      </c>
      <c r="F2452" s="22" t="str">
        <f>IF(OR(E2452="",E2452="!!!"),"",IF(NOT(ISNA(VLOOKUP(E2452,E$1:E2451,1,FALSE()))),"OLD",IF(AND(E2452&lt;&gt;"",E2452&lt;&gt;"!!!"),"NEW","")))</f>
        <v> </v>
      </c>
      <c r="G2452" s="23" t="str">
        <f>IF(OR(E2452="",E2452="!!!"),"",IF(OR(J2452=0,AND(J2452=1,K2452=1),AND(J2452=1,I2452="SBJ"),AND(J2452=1,I2452=0)),"?IN_FOCUS",IF(J2452&lt;=2,"?ACTIVATED",IF(J2452&lt;&gt;"","?FAMILIAR",IF(F2452="NEW",IF(ISNA(VLOOKUP(E2452,#REF!,1,FALSE())),"?TYPE_IDENTIFIABLE","?REFERENTIAL"),"_")))))</f>
        <v> </v>
      </c>
      <c r="H2452" s="24" t="str">
        <f>IF(J2452&lt;&gt;1,"",IF(I2452="SBJ","CB","?"))</f>
        <v> </v>
      </c>
      <c r="I2452" s="25" t="str">
        <f>IF(OR(E2452="",E2452="!!!",F2452="NEW"),"",INDEX(B2451:B$2,-1+SUMPRODUCT(MAX(ROW(E2451:E$2)*(E2452=E2451:E$2)))))</f>
        <v> </v>
      </c>
      <c r="J2452" s="25" t="str">
        <f>IF(OR(E2452="",E2452="!!!",F2452="NEW"),"",COUNTBLANK(OFFSET(A$1,,,SUMPRODUCT(MAX(ROW(E$2:E2452)*(E2452=E$2:E2452)))))-COUNTBLANK(OFFSET(A$1,,,SUMPRODUCT(MAX(ROW(E$1:E2451)*(E2=E$1:E2451))))))</f>
        <v> </v>
      </c>
      <c r="K2452" s="25" t="str">
        <f>IF(OR(E2452="",E2452="!!!",F2452="NEW"),"",INDEX(J$1:J2451,SUMPRODUCT(MAX(ROW(E$1:E2451)*(E2452=E$1:E2451)))))</f>
        <v> </v>
      </c>
      <c r="L2452" s="26"/>
    </row>
    <row r="2453" spans="1:12">
      <c r="A2453" s="20" t="s">
        <v>1198</v>
      </c>
      <c r="B2453" s="27" t="s">
        <v>1213</v>
      </c>
      <c r="C2453" s="27" t="s">
        <v>1126</v>
      </c>
      <c r="D2453" s="27" t="s">
        <v>1105</v>
      </c>
      <c r="E2453" s="21">
        <f>IF(D2453="?OLD","!!!","")</f>
        <v/>
      </c>
      <c r="F2453" s="22" t="str">
        <f>IF(OR(E2453="",E2453="!!!"),"",IF(NOT(ISNA(VLOOKUP(E2453,E$1:E2452,1,FALSE()))),"OLD",IF(AND(E2453&lt;&gt;"",E2453&lt;&gt;"!!!"),"NEW","")))</f>
        <v> </v>
      </c>
      <c r="G2453" s="23" t="str">
        <f>IF(OR(E2453="",E2453="!!!"),"",IF(OR(J2453=0,AND(J2453=1,K2453=1),AND(J2453=1,I2453="SBJ"),AND(J2453=1,I2453=0)),"?IN_FOCUS",IF(J2453&lt;=2,"?ACTIVATED",IF(J2453&lt;&gt;"","?FAMILIAR",IF(F2453="NEW",IF(ISNA(VLOOKUP(E2453,#REF!,1,FALSE())),"?TYPE_IDENTIFIABLE","?REFERENTIAL"),"_")))))</f>
        <v> </v>
      </c>
      <c r="H2453" s="24" t="str">
        <f>IF(J2453&lt;&gt;1,"",IF(I2453="SBJ","CB","?"))</f>
        <v> </v>
      </c>
      <c r="I2453" s="25" t="str">
        <f>IF(OR(E2453="",E2453="!!!",F2453="NEW"),"",INDEX(B2452:B$2,-1+SUMPRODUCT(MAX(ROW(E2452:E$2)*(E2453=E2452:E$2)))))</f>
        <v> </v>
      </c>
      <c r="J2453" s="25" t="str">
        <f>IF(OR(E2453="",E2453="!!!",F2453="NEW"),"",COUNTBLANK(OFFSET(A$1,,,SUMPRODUCT(MAX(ROW(E$2:E2453)*(E2453=E$2:E2453)))))-COUNTBLANK(OFFSET(A$1,,,SUMPRODUCT(MAX(ROW(E$1:E2452)*(E2=E$1:E2452))))))</f>
        <v> </v>
      </c>
      <c r="K2453" s="25" t="str">
        <f>IF(OR(E2453="",E2453="!!!",F2453="NEW"),"",INDEX(J$1:J2452,SUMPRODUCT(MAX(ROW(E$1:E2452)*(E2453=E$1:E2452)))))</f>
        <v> </v>
      </c>
      <c r="L2453" s="26"/>
    </row>
    <row r="2454" spans="1:12">
      <c r="A2454" s="20" t="s">
        <v>2009</v>
      </c>
      <c r="E2454" s="21">
        <f>IF(D2454="?OLD","!!!","")</f>
        <v/>
      </c>
      <c r="F2454" s="22" t="str">
        <f>IF(OR(E2454="",E2454="!!!"),"",IF(NOT(ISNA(VLOOKUP(E2454,E$1:E2453,1,FALSE()))),"OLD",IF(AND(E2454&lt;&gt;"",E2454&lt;&gt;"!!!"),"NEW","")))</f>
        <v> </v>
      </c>
      <c r="G2454" s="23" t="str">
        <f>IF(OR(E2454="",E2454="!!!"),"",IF(OR(J2454=0,AND(J2454=1,K2454=1),AND(J2454=1,I2454="SBJ"),AND(J2454=1,I2454=0)),"?IN_FOCUS",IF(J2454&lt;=2,"?ACTIVATED",IF(J2454&lt;&gt;"","?FAMILIAR",IF(F2454="NEW",IF(ISNA(VLOOKUP(E2454,#REF!,1,FALSE())),"?TYPE_IDENTIFIABLE","?REFERENTIAL"),"_")))))</f>
        <v> </v>
      </c>
      <c r="H2454" s="24" t="str">
        <f>IF(J2454&lt;&gt;1,"",IF(I2454="SBJ","CB","?"))</f>
        <v> </v>
      </c>
      <c r="I2454" s="25" t="str">
        <f>IF(OR(E2454="",E2454="!!!",F2454="NEW"),"",INDEX(B2453:B$2,-1+SUMPRODUCT(MAX(ROW(E2453:E$2)*(E2454=E2453:E$2)))))</f>
        <v> </v>
      </c>
      <c r="J2454" s="25" t="str">
        <f>IF(OR(E2454="",E2454="!!!",F2454="NEW"),"",COUNTBLANK(OFFSET(A$1,,,SUMPRODUCT(MAX(ROW(E$2:E2454)*(E2454=E$2:E2454)))))-COUNTBLANK(OFFSET(A$1,,,SUMPRODUCT(MAX(ROW(E$1:E2453)*(E2=E$1:E2453))))))</f>
        <v> </v>
      </c>
      <c r="K2454" s="25" t="str">
        <f>IF(OR(E2454="",E2454="!!!",F2454="NEW"),"",INDEX(J$1:J2453,SUMPRODUCT(MAX(ROW(E$1:E2453)*(E2454=E$1:E2453)))))</f>
        <v> </v>
      </c>
      <c r="L2454" s="26"/>
    </row>
    <row r="2455" spans="1:12">
      <c r="A2455" s="20" t="s">
        <v>12</v>
      </c>
      <c r="E2455" s="21">
        <f>IF(D2455="?OLD","!!!","")</f>
        <v/>
      </c>
      <c r="F2455" s="22" t="str">
        <f>IF(OR(E2455="",E2455="!!!"),"",IF(NOT(ISNA(VLOOKUP(E2455,E$1:E2454,1,FALSE()))),"OLD",IF(AND(E2455&lt;&gt;"",E2455&lt;&gt;"!!!"),"NEW","")))</f>
        <v> </v>
      </c>
      <c r="G2455" s="23" t="str">
        <f>IF(OR(E2455="",E2455="!!!"),"",IF(OR(J2455=0,AND(J2455=1,K2455=1),AND(J2455=1,I2455="SBJ"),AND(J2455=1,I2455=0)),"?IN_FOCUS",IF(J2455&lt;=2,"?ACTIVATED",IF(J2455&lt;&gt;"","?FAMILIAR",IF(F2455="NEW",IF(ISNA(VLOOKUP(E2455,#REF!,1,FALSE())),"?TYPE_IDENTIFIABLE","?REFERENTIAL"),"_")))))</f>
        <v> </v>
      </c>
      <c r="H2455" s="24" t="str">
        <f>IF(J2455&lt;&gt;1,"",IF(I2455="SBJ","CB","?"))</f>
        <v> </v>
      </c>
      <c r="I2455" s="25" t="str">
        <f>IF(OR(E2455="",E2455="!!!",F2455="NEW"),"",INDEX(B2454:B$2,-1+SUMPRODUCT(MAX(ROW(E2454:E$2)*(E2455=E2454:E$2)))))</f>
        <v> </v>
      </c>
      <c r="J2455" s="25" t="str">
        <f>IF(OR(E2455="",E2455="!!!",F2455="NEW"),"",COUNTBLANK(OFFSET(A$1,,,SUMPRODUCT(MAX(ROW(E$2:E2455)*(E2455=E$2:E2455)))))-COUNTBLANK(OFFSET(A$1,,,SUMPRODUCT(MAX(ROW(E$1:E2454)*(E2=E$1:E2454))))))</f>
        <v> </v>
      </c>
      <c r="K2455" s="25" t="str">
        <f>IF(OR(E2455="",E2455="!!!",F2455="NEW"),"",INDEX(J$1:J2454,SUMPRODUCT(MAX(ROW(E$1:E2454)*(E2455=E$1:E2454)))))</f>
        <v> </v>
      </c>
      <c r="L2455" s="26"/>
    </row>
    <row r="2456" spans="1:12">
      <c r="A2456" s="20" t="s">
        <v>2299</v>
      </c>
      <c r="B2456" s="27" t="s">
        <v>1149</v>
      </c>
      <c r="C2456" s="27" t="s">
        <v>1104</v>
      </c>
      <c r="D2456" s="27" t="s">
        <v>1105</v>
      </c>
      <c r="E2456" s="21">
        <f>IF(D2456="?OLD","!!!","")</f>
        <v/>
      </c>
      <c r="F2456" s="22" t="str">
        <f>IF(OR(E2456="",E2456="!!!"),"",IF(NOT(ISNA(VLOOKUP(E2456,E$1:E2455,1,FALSE()))),"OLD",IF(AND(E2456&lt;&gt;"",E2456&lt;&gt;"!!!"),"NEW","")))</f>
        <v> </v>
      </c>
      <c r="G2456" s="23" t="str">
        <f>IF(OR(E2456="",E2456="!!!"),"",IF(OR(J2456=0,AND(J2456=1,K2456=1),AND(J2456=1,I2456="SBJ"),AND(J2456=1,I2456=0)),"?IN_FOCUS",IF(J2456&lt;=2,"?ACTIVATED",IF(J2456&lt;&gt;"","?FAMILIAR",IF(F2456="NEW",IF(ISNA(VLOOKUP(E2456,#REF!,1,FALSE())),"?TYPE_IDENTIFIABLE","?REFERENTIAL"),"_")))))</f>
        <v> </v>
      </c>
      <c r="H2456" s="24" t="str">
        <f>IF(J2456&lt;&gt;1,"",IF(I2456="SBJ","CB","?"))</f>
        <v> </v>
      </c>
      <c r="I2456" s="25" t="str">
        <f>IF(OR(E2456="",E2456="!!!",F2456="NEW"),"",INDEX(B2455:B$2,-1+SUMPRODUCT(MAX(ROW(E2455:E$2)*(E2456=E2455:E$2)))))</f>
        <v> </v>
      </c>
      <c r="J2456" s="25" t="str">
        <f>IF(OR(E2456="",E2456="!!!",F2456="NEW"),"",COUNTBLANK(OFFSET(A$1,,,SUMPRODUCT(MAX(ROW(E$2:E2456)*(E2456=E$2:E2456)))))-COUNTBLANK(OFFSET(A$1,,,SUMPRODUCT(MAX(ROW(E$1:E2455)*(E2=E$1:E2455))))))</f>
        <v> </v>
      </c>
      <c r="K2456" s="25" t="str">
        <f>IF(OR(E2456="",E2456="!!!",F2456="NEW"),"",INDEX(J$1:J2455,SUMPRODUCT(MAX(ROW(E$1:E2455)*(E2456=E$1:E2455)))))</f>
        <v> </v>
      </c>
      <c r="L2456" s="26"/>
    </row>
    <row r="2457" spans="1:12">
      <c r="A2457" s="20" t="s">
        <v>1154</v>
      </c>
      <c r="E2457" s="21">
        <f>IF(D2457="?OLD","!!!","")</f>
        <v/>
      </c>
      <c r="F2457" s="22" t="str">
        <f>IF(OR(E2457="",E2457="!!!"),"",IF(NOT(ISNA(VLOOKUP(E2457,E$1:E2456,1,FALSE()))),"OLD",IF(AND(E2457&lt;&gt;"",E2457&lt;&gt;"!!!"),"NEW","")))</f>
        <v> </v>
      </c>
      <c r="G2457" s="23" t="str">
        <f>IF(OR(E2457="",E2457="!!!"),"",IF(OR(J2457=0,AND(J2457=1,K2457=1),AND(J2457=1,I2457="SBJ"),AND(J2457=1,I2457=0)),"?IN_FOCUS",IF(J2457&lt;=2,"?ACTIVATED",IF(J2457&lt;&gt;"","?FAMILIAR",IF(F2457="NEW",IF(ISNA(VLOOKUP(E2457,#REF!,1,FALSE())),"?TYPE_IDENTIFIABLE","?REFERENTIAL"),"_")))))</f>
        <v> </v>
      </c>
      <c r="H2457" s="24" t="str">
        <f>IF(J2457&lt;&gt;1,"",IF(I2457="SBJ","CB","?"))</f>
        <v> </v>
      </c>
      <c r="I2457" s="25" t="str">
        <f>IF(OR(E2457="",E2457="!!!",F2457="NEW"),"",INDEX(B2456:B$2,-1+SUMPRODUCT(MAX(ROW(E2456:E$2)*(E2457=E2456:E$2)))))</f>
        <v> </v>
      </c>
      <c r="J2457" s="25" t="str">
        <f>IF(OR(E2457="",E2457="!!!",F2457="NEW"),"",COUNTBLANK(OFFSET(A$1,,,SUMPRODUCT(MAX(ROW(E$2:E2457)*(E2457=E$2:E2457)))))-COUNTBLANK(OFFSET(A$1,,,SUMPRODUCT(MAX(ROW(E$1:E2456)*(E2=E$1:E2456))))))</f>
        <v> </v>
      </c>
      <c r="K2457" s="25" t="str">
        <f>IF(OR(E2457="",E2457="!!!",F2457="NEW"),"",INDEX(J$1:J2456,SUMPRODUCT(MAX(ROW(E$1:E2456)*(E2457=E$1:E2456)))))</f>
        <v> </v>
      </c>
      <c r="L2457" s="26"/>
    </row>
    <row r="2458" spans="1:12">
      <c r="A2458" s="20" t="s">
        <v>2191</v>
      </c>
      <c r="B2458" s="27" t="s">
        <v>1107</v>
      </c>
      <c r="C2458" s="27" t="s">
        <v>1156</v>
      </c>
      <c r="D2458" s="27" t="s">
        <v>1105</v>
      </c>
      <c r="E2458" s="21">
        <f>IF(D2458="?OLD","!!!","")</f>
        <v/>
      </c>
      <c r="F2458" s="22" t="str">
        <f>IF(OR(E2458="",E2458="!!!"),"",IF(NOT(ISNA(VLOOKUP(E2458,E$1:E2457,1,FALSE()))),"OLD",IF(AND(E2458&lt;&gt;"",E2458&lt;&gt;"!!!"),"NEW","")))</f>
        <v> </v>
      </c>
      <c r="G2458" s="23" t="str">
        <f>IF(OR(E2458="",E2458="!!!"),"",IF(OR(J2458=0,AND(J2458=1,K2458=1),AND(J2458=1,I2458="SBJ"),AND(J2458=1,I2458=0)),"?IN_FOCUS",IF(J2458&lt;=2,"?ACTIVATED",IF(J2458&lt;&gt;"","?FAMILIAR",IF(F2458="NEW",IF(ISNA(VLOOKUP(E2458,#REF!,1,FALSE())),"?TYPE_IDENTIFIABLE","?REFERENTIAL"),"_")))))</f>
        <v> </v>
      </c>
      <c r="H2458" s="24" t="str">
        <f>IF(J2458&lt;&gt;1,"",IF(I2458="SBJ","CB","?"))</f>
        <v> </v>
      </c>
      <c r="I2458" s="25" t="str">
        <f>IF(OR(E2458="",E2458="!!!",F2458="NEW"),"",INDEX(B2457:B$2,-1+SUMPRODUCT(MAX(ROW(E2457:E$2)*(E2458=E2457:E$2)))))</f>
        <v> </v>
      </c>
      <c r="J2458" s="25" t="str">
        <f>IF(OR(E2458="",E2458="!!!",F2458="NEW"),"",COUNTBLANK(OFFSET(A$1,,,SUMPRODUCT(MAX(ROW(E$2:E2458)*(E2458=E$2:E2458)))))-COUNTBLANK(OFFSET(A$1,,,SUMPRODUCT(MAX(ROW(E$1:E2457)*(E2=E$1:E2457))))))</f>
        <v> </v>
      </c>
      <c r="K2458" s="25" t="str">
        <f>IF(OR(E2458="",E2458="!!!",F2458="NEW"),"",INDEX(J$1:J2457,SUMPRODUCT(MAX(ROW(E$1:E2457)*(E2458=E$1:E2457)))))</f>
        <v> </v>
      </c>
      <c r="L2458" s="26"/>
    </row>
    <row r="2459" spans="1:12">
      <c r="A2459" s="20" t="s">
        <v>1123</v>
      </c>
      <c r="E2459" s="21">
        <f>IF(D2459="?OLD","!!!","")</f>
        <v/>
      </c>
      <c r="F2459" s="22" t="str">
        <f>IF(OR(E2459="",E2459="!!!"),"",IF(NOT(ISNA(VLOOKUP(E2459,E$1:E2458,1,FALSE()))),"OLD",IF(AND(E2459&lt;&gt;"",E2459&lt;&gt;"!!!"),"NEW","")))</f>
        <v> </v>
      </c>
      <c r="G2459" s="23" t="str">
        <f>IF(OR(E2459="",E2459="!!!"),"",IF(OR(J2459=0,AND(J2459=1,K2459=1),AND(J2459=1,I2459="SBJ"),AND(J2459=1,I2459=0)),"?IN_FOCUS",IF(J2459&lt;=2,"?ACTIVATED",IF(J2459&lt;&gt;"","?FAMILIAR",IF(F2459="NEW",IF(ISNA(VLOOKUP(E2459,#REF!,1,FALSE())),"?TYPE_IDENTIFIABLE","?REFERENTIAL"),"_")))))</f>
        <v> </v>
      </c>
      <c r="H2459" s="24" t="str">
        <f>IF(J2459&lt;&gt;1,"",IF(I2459="SBJ","CB","?"))</f>
        <v> </v>
      </c>
      <c r="I2459" s="25" t="str">
        <f>IF(OR(E2459="",E2459="!!!",F2459="NEW"),"",INDEX(B2458:B$2,-1+SUMPRODUCT(MAX(ROW(E2458:E$2)*(E2459=E2458:E$2)))))</f>
        <v> </v>
      </c>
      <c r="J2459" s="25" t="str">
        <f>IF(OR(E2459="",E2459="!!!",F2459="NEW"),"",COUNTBLANK(OFFSET(A$1,,,SUMPRODUCT(MAX(ROW(E$2:E2459)*(E2459=E$2:E2459)))))-COUNTBLANK(OFFSET(A$1,,,SUMPRODUCT(MAX(ROW(E$1:E2458)*(E2=E$1:E2458))))))</f>
        <v> </v>
      </c>
      <c r="K2459" s="25" t="str">
        <f>IF(OR(E2459="",E2459="!!!",F2459="NEW"),"",INDEX(J$1:J2458,SUMPRODUCT(MAX(ROW(E$1:E2458)*(E2459=E$1:E2458)))))</f>
        <v> </v>
      </c>
      <c r="L2459" s="26"/>
    </row>
    <row r="2460" spans="1:12">
      <c r="A2460" s="20" t="s">
        <v>1128</v>
      </c>
      <c r="E2460" s="21">
        <f>IF(D2460="?OLD","!!!","")</f>
        <v/>
      </c>
      <c r="F2460" s="22" t="str">
        <f>IF(OR(E2460="",E2460="!!!"),"",IF(NOT(ISNA(VLOOKUP(E2460,E$1:E2459,1,FALSE()))),"OLD",IF(AND(E2460&lt;&gt;"",E2460&lt;&gt;"!!!"),"NEW","")))</f>
        <v> </v>
      </c>
      <c r="G2460" s="23" t="str">
        <f>IF(OR(E2460="",E2460="!!!"),"",IF(OR(J2460=0,AND(J2460=1,K2460=1),AND(J2460=1,I2460="SBJ"),AND(J2460=1,I2460=0)),"?IN_FOCUS",IF(J2460&lt;=2,"?ACTIVATED",IF(J2460&lt;&gt;"","?FAMILIAR",IF(F2460="NEW",IF(ISNA(VLOOKUP(E2460,#REF!,1,FALSE())),"?TYPE_IDENTIFIABLE","?REFERENTIAL"),"_")))))</f>
        <v> </v>
      </c>
      <c r="H2460" s="24" t="str">
        <f>IF(J2460&lt;&gt;1,"",IF(I2460="SBJ","CB","?"))</f>
        <v> </v>
      </c>
      <c r="I2460" s="25" t="str">
        <f>IF(OR(E2460="",E2460="!!!",F2460="NEW"),"",INDEX(B2459:B$2,-1+SUMPRODUCT(MAX(ROW(E2459:E$2)*(E2460=E2459:E$2)))))</f>
        <v> </v>
      </c>
      <c r="J2460" s="25" t="str">
        <f>IF(OR(E2460="",E2460="!!!",F2460="NEW"),"",COUNTBLANK(OFFSET(A$1,,,SUMPRODUCT(MAX(ROW(E$2:E2460)*(E2460=E$2:E2460)))))-COUNTBLANK(OFFSET(A$1,,,SUMPRODUCT(MAX(ROW(E$1:E2459)*(E2=E$1:E2459))))))</f>
        <v> </v>
      </c>
      <c r="K2460" s="25" t="str">
        <f>IF(OR(E2460="",E2460="!!!",F2460="NEW"),"",INDEX(J$1:J2459,SUMPRODUCT(MAX(ROW(E$1:E2459)*(E2460=E$1:E2459)))))</f>
        <v> </v>
      </c>
      <c r="L2460" s="26"/>
    </row>
    <row r="2461" spans="1:12">
      <c r="A2461" s="20" t="s">
        <v>2300</v>
      </c>
      <c r="E2461" s="21">
        <f>IF(D2461="?OLD","!!!","")</f>
        <v/>
      </c>
      <c r="F2461" s="22" t="str">
        <f>IF(OR(E2461="",E2461="!!!"),"",IF(NOT(ISNA(VLOOKUP(E2461,E$1:E2460,1,FALSE()))),"OLD",IF(AND(E2461&lt;&gt;"",E2461&lt;&gt;"!!!"),"NEW","")))</f>
        <v> </v>
      </c>
      <c r="G2461" s="23" t="str">
        <f>IF(OR(E2461="",E2461="!!!"),"",IF(OR(J2461=0,AND(J2461=1,K2461=1),AND(J2461=1,I2461="SBJ"),AND(J2461=1,I2461=0)),"?IN_FOCUS",IF(J2461&lt;=2,"?ACTIVATED",IF(J2461&lt;&gt;"","?FAMILIAR",IF(F2461="NEW",IF(ISNA(VLOOKUP(E2461,#REF!,1,FALSE())),"?TYPE_IDENTIFIABLE","?REFERENTIAL"),"_")))))</f>
        <v> </v>
      </c>
      <c r="H2461" s="24" t="str">
        <f>IF(J2461&lt;&gt;1,"",IF(I2461="SBJ","CB","?"))</f>
        <v> </v>
      </c>
      <c r="I2461" s="25" t="str">
        <f>IF(OR(E2461="",E2461="!!!",F2461="NEW"),"",INDEX(B2460:B$2,-1+SUMPRODUCT(MAX(ROW(E2460:E$2)*(E2461=E2460:E$2)))))</f>
        <v> </v>
      </c>
      <c r="J2461" s="25" t="str">
        <f>IF(OR(E2461="",E2461="!!!",F2461="NEW"),"",COUNTBLANK(OFFSET(A$1,,,SUMPRODUCT(MAX(ROW(E$2:E2461)*(E2461=E$2:E2461)))))-COUNTBLANK(OFFSET(A$1,,,SUMPRODUCT(MAX(ROW(E$1:E2460)*(E2=E$1:E2460))))))</f>
        <v> </v>
      </c>
      <c r="K2461" s="25" t="str">
        <f>IF(OR(E2461="",E2461="!!!",F2461="NEW"),"",INDEX(J$1:J2460,SUMPRODUCT(MAX(ROW(E$1:E2460)*(E2461=E$1:E2460)))))</f>
        <v> </v>
      </c>
      <c r="L2461" s="26"/>
    </row>
    <row r="2462" spans="1:12">
      <c r="A2462" s="20" t="s">
        <v>1206</v>
      </c>
      <c r="B2462" s="27" t="s">
        <v>1122</v>
      </c>
      <c r="C2462" s="27" t="s">
        <v>1126</v>
      </c>
      <c r="D2462" s="27" t="s">
        <v>1105</v>
      </c>
      <c r="E2462" s="21">
        <f>IF(D2462="?OLD","!!!","")</f>
        <v/>
      </c>
      <c r="F2462" s="22" t="str">
        <f>IF(OR(E2462="",E2462="!!!"),"",IF(NOT(ISNA(VLOOKUP(E2462,E$1:E2461,1,FALSE()))),"OLD",IF(AND(E2462&lt;&gt;"",E2462&lt;&gt;"!!!"),"NEW","")))</f>
        <v> </v>
      </c>
      <c r="G2462" s="23" t="str">
        <f>IF(OR(E2462="",E2462="!!!"),"",IF(OR(J2462=0,AND(J2462=1,K2462=1),AND(J2462=1,I2462="SBJ"),AND(J2462=1,I2462=0)),"?IN_FOCUS",IF(J2462&lt;=2,"?ACTIVATED",IF(J2462&lt;&gt;"","?FAMILIAR",IF(F2462="NEW",IF(ISNA(VLOOKUP(E2462,#REF!,1,FALSE())),"?TYPE_IDENTIFIABLE","?REFERENTIAL"),"_")))))</f>
        <v> </v>
      </c>
      <c r="H2462" s="24" t="str">
        <f>IF(J2462&lt;&gt;1,"",IF(I2462="SBJ","CB","?"))</f>
        <v> </v>
      </c>
      <c r="I2462" s="25" t="str">
        <f>IF(OR(E2462="",E2462="!!!",F2462="NEW"),"",INDEX(B2461:B$2,-1+SUMPRODUCT(MAX(ROW(E2461:E$2)*(E2462=E2461:E$2)))))</f>
        <v> </v>
      </c>
      <c r="J2462" s="25" t="str">
        <f>IF(OR(E2462="",E2462="!!!",F2462="NEW"),"",COUNTBLANK(OFFSET(A$1,,,SUMPRODUCT(MAX(ROW(E$2:E2462)*(E2462=E$2:E2462)))))-COUNTBLANK(OFFSET(A$1,,,SUMPRODUCT(MAX(ROW(E$1:E2461)*(E2=E$1:E2461))))))</f>
        <v> </v>
      </c>
      <c r="K2462" s="25" t="str">
        <f>IF(OR(E2462="",E2462="!!!",F2462="NEW"),"",INDEX(J$1:J2461,SUMPRODUCT(MAX(ROW(E$1:E2461)*(E2462=E$1:E2461)))))</f>
        <v> </v>
      </c>
      <c r="L2462" s="26"/>
    </row>
    <row r="2463" spans="1:12">
      <c r="A2463" s="20" t="s">
        <v>1875</v>
      </c>
      <c r="E2463" s="21">
        <f>IF(D2463="?OLD","!!!","")</f>
        <v/>
      </c>
      <c r="F2463" s="22" t="str">
        <f>IF(OR(E2463="",E2463="!!!"),"",IF(NOT(ISNA(VLOOKUP(E2463,E$1:E2462,1,FALSE()))),"OLD",IF(AND(E2463&lt;&gt;"",E2463&lt;&gt;"!!!"),"NEW","")))</f>
        <v> </v>
      </c>
      <c r="G2463" s="23" t="str">
        <f>IF(OR(E2463="",E2463="!!!"),"",IF(OR(J2463=0,AND(J2463=1,K2463=1),AND(J2463=1,I2463="SBJ"),AND(J2463=1,I2463=0)),"?IN_FOCUS",IF(J2463&lt;=2,"?ACTIVATED",IF(J2463&lt;&gt;"","?FAMILIAR",IF(F2463="NEW",IF(ISNA(VLOOKUP(E2463,#REF!,1,FALSE())),"?TYPE_IDENTIFIABLE","?REFERENTIAL"),"_")))))</f>
        <v> </v>
      </c>
      <c r="H2463" s="24" t="str">
        <f>IF(J2463&lt;&gt;1,"",IF(I2463="SBJ","CB","?"))</f>
        <v> </v>
      </c>
      <c r="I2463" s="25" t="str">
        <f>IF(OR(E2463="",E2463="!!!",F2463="NEW"),"",INDEX(B2462:B$2,-1+SUMPRODUCT(MAX(ROW(E2462:E$2)*(E2463=E2462:E$2)))))</f>
        <v> </v>
      </c>
      <c r="J2463" s="25" t="str">
        <f>IF(OR(E2463="",E2463="!!!",F2463="NEW"),"",COUNTBLANK(OFFSET(A$1,,,SUMPRODUCT(MAX(ROW(E$2:E2463)*(E2463=E$2:E2463)))))-COUNTBLANK(OFFSET(A$1,,,SUMPRODUCT(MAX(ROW(E$1:E2462)*(E2=E$1:E2462))))))</f>
        <v> </v>
      </c>
      <c r="K2463" s="25" t="str">
        <f>IF(OR(E2463="",E2463="!!!",F2463="NEW"),"",INDEX(J$1:J2462,SUMPRODUCT(MAX(ROW(E$1:E2462)*(E2463=E$1:E2462)))))</f>
        <v> </v>
      </c>
      <c r="L2463" s="26"/>
    </row>
    <row r="2464" spans="1:12">
      <c r="A2464" s="20" t="s">
        <v>1184</v>
      </c>
      <c r="E2464" s="21">
        <f>IF(D2464="?OLD","!!!","")</f>
        <v/>
      </c>
      <c r="F2464" s="22" t="str">
        <f>IF(OR(E2464="",E2464="!!!"),"",IF(NOT(ISNA(VLOOKUP(E2464,E$1:E2463,1,FALSE()))),"OLD",IF(AND(E2464&lt;&gt;"",E2464&lt;&gt;"!!!"),"NEW","")))</f>
        <v> </v>
      </c>
      <c r="G2464" s="23" t="str">
        <f>IF(OR(E2464="",E2464="!!!"),"",IF(OR(J2464=0,AND(J2464=1,K2464=1),AND(J2464=1,I2464="SBJ"),AND(J2464=1,I2464=0)),"?IN_FOCUS",IF(J2464&lt;=2,"?ACTIVATED",IF(J2464&lt;&gt;"","?FAMILIAR",IF(F2464="NEW",IF(ISNA(VLOOKUP(E2464,#REF!,1,FALSE())),"?TYPE_IDENTIFIABLE","?REFERENTIAL"),"_")))))</f>
        <v> </v>
      </c>
      <c r="H2464" s="24" t="str">
        <f>IF(J2464&lt;&gt;1,"",IF(I2464="SBJ","CB","?"))</f>
        <v> </v>
      </c>
      <c r="I2464" s="25" t="str">
        <f>IF(OR(E2464="",E2464="!!!",F2464="NEW"),"",INDEX(B2463:B$2,-1+SUMPRODUCT(MAX(ROW(E2463:E$2)*(E2464=E2463:E$2)))))</f>
        <v> </v>
      </c>
      <c r="J2464" s="25" t="str">
        <f>IF(OR(E2464="",E2464="!!!",F2464="NEW"),"",COUNTBLANK(OFFSET(A$1,,,SUMPRODUCT(MAX(ROW(E$2:E2464)*(E2464=E$2:E2464)))))-COUNTBLANK(OFFSET(A$1,,,SUMPRODUCT(MAX(ROW(E$1:E2463)*(E2=E$1:E2463))))))</f>
        <v> </v>
      </c>
      <c r="K2464" s="25" t="str">
        <f>IF(OR(E2464="",E2464="!!!",F2464="NEW"),"",INDEX(J$1:J2463,SUMPRODUCT(MAX(ROW(E$1:E2463)*(E2464=E$1:E2463)))))</f>
        <v> </v>
      </c>
      <c r="L2464" s="26"/>
    </row>
    <row r="2465" spans="1:12">
      <c r="A2465" s="20" t="s">
        <v>2301</v>
      </c>
      <c r="B2465" s="27" t="s">
        <v>1103</v>
      </c>
      <c r="C2465" s="27" t="s">
        <v>1210</v>
      </c>
      <c r="E2465" s="21">
        <f>IF(D2465="?OLD","!!!","")</f>
        <v/>
      </c>
      <c r="F2465" s="22" t="str">
        <f>IF(OR(E2465="",E2465="!!!"),"",IF(NOT(ISNA(VLOOKUP(E2465,E$1:E2464,1,FALSE()))),"OLD",IF(AND(E2465&lt;&gt;"",E2465&lt;&gt;"!!!"),"NEW","")))</f>
        <v> </v>
      </c>
      <c r="G2465" s="23" t="str">
        <f>IF(OR(E2465="",E2465="!!!"),"",IF(OR(J2465=0,AND(J2465=1,K2465=1),AND(J2465=1,I2465="SBJ"),AND(J2465=1,I2465=0)),"?IN_FOCUS",IF(J2465&lt;=2,"?ACTIVATED",IF(J2465&lt;&gt;"","?FAMILIAR",IF(F2465="NEW",IF(ISNA(VLOOKUP(E2465,#REF!,1,FALSE())),"?TYPE_IDENTIFIABLE","?REFERENTIAL"),"_")))))</f>
        <v> </v>
      </c>
      <c r="H2465" s="24" t="str">
        <f>IF(J2465&lt;&gt;1,"",IF(I2465="SBJ","CB","?"))</f>
        <v> </v>
      </c>
      <c r="I2465" s="25" t="str">
        <f>IF(OR(E2465="",E2465="!!!",F2465="NEW"),"",INDEX(B2464:B$2,-1+SUMPRODUCT(MAX(ROW(E2464:E$2)*(E2465=E2464:E$2)))))</f>
        <v> </v>
      </c>
      <c r="J2465" s="25" t="str">
        <f>IF(OR(E2465="",E2465="!!!",F2465="NEW"),"",COUNTBLANK(OFFSET(A$1,,,SUMPRODUCT(MAX(ROW(E$2:E2465)*(E2465=E$2:E2465)))))-COUNTBLANK(OFFSET(A$1,,,SUMPRODUCT(MAX(ROW(E$1:E2464)*(E2=E$1:E2464))))))</f>
        <v> </v>
      </c>
      <c r="K2465" s="25" t="str">
        <f>IF(OR(E2465="",E2465="!!!",F2465="NEW"),"",INDEX(J$1:J2464,SUMPRODUCT(MAX(ROW(E$1:E2464)*(E2465=E$1:E2464)))))</f>
        <v> </v>
      </c>
      <c r="L2465" s="26"/>
    </row>
    <row r="2466" spans="1:12">
      <c r="A2466" s="20" t="s">
        <v>1145</v>
      </c>
      <c r="E2466" s="21">
        <f>IF(D2466="?OLD","!!!","")</f>
        <v/>
      </c>
      <c r="F2466" s="22" t="str">
        <f>IF(OR(E2466="",E2466="!!!"),"",IF(NOT(ISNA(VLOOKUP(E2466,E$1:E2465,1,FALSE()))),"OLD",IF(AND(E2466&lt;&gt;"",E2466&lt;&gt;"!!!"),"NEW","")))</f>
        <v> </v>
      </c>
      <c r="G2466" s="23" t="str">
        <f>IF(OR(E2466="",E2466="!!!"),"",IF(OR(J2466=0,AND(J2466=1,K2466=1),AND(J2466=1,I2466="SBJ"),AND(J2466=1,I2466=0)),"?IN_FOCUS",IF(J2466&lt;=2,"?ACTIVATED",IF(J2466&lt;&gt;"","?FAMILIAR",IF(F2466="NEW",IF(ISNA(VLOOKUP(E2466,#REF!,1,FALSE())),"?TYPE_IDENTIFIABLE","?REFERENTIAL"),"_")))))</f>
        <v> </v>
      </c>
      <c r="H2466" s="24" t="str">
        <f>IF(J2466&lt;&gt;1,"",IF(I2466="SBJ","CB","?"))</f>
        <v> </v>
      </c>
      <c r="I2466" s="25" t="str">
        <f>IF(OR(E2466="",E2466="!!!",F2466="NEW"),"",INDEX(B2465:B$2,-1+SUMPRODUCT(MAX(ROW(E2465:E$2)*(E2466=E2465:E$2)))))</f>
        <v> </v>
      </c>
      <c r="J2466" s="25" t="str">
        <f>IF(OR(E2466="",E2466="!!!",F2466="NEW"),"",COUNTBLANK(OFFSET(A$1,,,SUMPRODUCT(MAX(ROW(E$2:E2466)*(E2466=E$2:E2466)))))-COUNTBLANK(OFFSET(A$1,,,SUMPRODUCT(MAX(ROW(E$1:E2465)*(E2=E$1:E2465))))))</f>
        <v> </v>
      </c>
      <c r="K2466" s="25" t="str">
        <f>IF(OR(E2466="",E2466="!!!",F2466="NEW"),"",INDEX(J$1:J2465,SUMPRODUCT(MAX(ROW(E$1:E2465)*(E2466=E$1:E2465)))))</f>
        <v> </v>
      </c>
      <c r="L2466" s="26"/>
    </row>
    <row r="2467" spans="1:12">
      <c r="A2467" s="20"/>
    </row>
    <row r="2468" spans="1:12">
      <c r="A2468" s="20" t="s">
        <v>2302</v>
      </c>
    </row>
    <row r="2469" spans="1:12">
      <c r="A2469" s="20" t="s">
        <v>1873</v>
      </c>
      <c r="E2469" s="21">
        <f>IF(D2469="?OLD","!!!","")</f>
        <v/>
      </c>
      <c r="F2469" s="22" t="str">
        <f>IF(OR(E2469="",E2469="!!!"),"",IF(NOT(ISNA(VLOOKUP(E2469,E$1:E2468,1,FALSE()))),"OLD",IF(AND(E2469&lt;&gt;"",E2469&lt;&gt;"!!!"),"NEW","")))</f>
        <v> </v>
      </c>
      <c r="G2469" s="23" t="str">
        <f>IF(OR(E2469="",E2469="!!!"),"",IF(OR(J2469=0,AND(J2469=1,K2469=1),AND(J2469=1,I2469="SBJ"),AND(J2469=1,I2469=0)),"?IN_FOCUS",IF(J2469&lt;=2,"?ACTIVATED",IF(J2469&lt;&gt;"","?FAMILIAR",IF(F2469="NEW",IF(ISNA(VLOOKUP(E2469,#REF!,1,FALSE())),"?TYPE_IDENTIFIABLE","?REFERENTIAL"),"_")))))</f>
        <v> </v>
      </c>
      <c r="H2469" s="24" t="str">
        <f>IF(J2469&lt;&gt;1,"",IF(I2469="SBJ","CB","?"))</f>
        <v> </v>
      </c>
      <c r="I2469" s="25" t="str">
        <f>IF(OR(E2469="",E2469="!!!",F2469="NEW"),"",INDEX(B2468:B$2,-1+SUMPRODUCT(MAX(ROW(E2468:E$2)*(E2469=E2468:E$2)))))</f>
        <v> </v>
      </c>
      <c r="J2469" s="25" t="str">
        <f>IF(OR(E2469="",E2469="!!!",F2469="NEW"),"",COUNTBLANK(OFFSET(A$1,,,SUMPRODUCT(MAX(ROW(E$2:E2469)*(E2469=E$2:E2469)))))-COUNTBLANK(OFFSET(A$1,,,SUMPRODUCT(MAX(ROW(E$1:E2468)*(E2=E$1:E2468))))))</f>
        <v> </v>
      </c>
      <c r="K2469" s="25" t="str">
        <f>IF(OR(E2469="",E2469="!!!",F2469="NEW"),"",INDEX(J$1:J2468,SUMPRODUCT(MAX(ROW(E$1:E2468)*(E2469=E$1:E2468)))))</f>
        <v> </v>
      </c>
      <c r="L2469" s="26"/>
    </row>
    <row r="2470" spans="1:12">
      <c r="A2470" s="20" t="s">
        <v>396</v>
      </c>
      <c r="E2470" s="21">
        <f>IF(D2470="?OLD","!!!","")</f>
        <v/>
      </c>
      <c r="F2470" s="22" t="str">
        <f>IF(OR(E2470="",E2470="!!!"),"",IF(NOT(ISNA(VLOOKUP(E2470,E$1:E2469,1,FALSE()))),"OLD",IF(AND(E2470&lt;&gt;"",E2470&lt;&gt;"!!!"),"NEW","")))</f>
        <v> </v>
      </c>
      <c r="G2470" s="23" t="str">
        <f>IF(OR(E2470="",E2470="!!!"),"",IF(OR(J2470=0,AND(J2470=1,K2470=1),AND(J2470=1,I2470="SBJ"),AND(J2470=1,I2470=0)),"?IN_FOCUS",IF(J2470&lt;=2,"?ACTIVATED",IF(J2470&lt;&gt;"","?FAMILIAR",IF(F2470="NEW",IF(ISNA(VLOOKUP(E2470,#REF!,1,FALSE())),"?TYPE_IDENTIFIABLE","?REFERENTIAL"),"_")))))</f>
        <v> </v>
      </c>
      <c r="H2470" s="24" t="str">
        <f>IF(J2470&lt;&gt;1,"",IF(I2470="SBJ","CB","?"))</f>
        <v> </v>
      </c>
      <c r="I2470" s="25" t="str">
        <f>IF(OR(E2470="",E2470="!!!",F2470="NEW"),"",INDEX(B2469:B$2,-1+SUMPRODUCT(MAX(ROW(E2469:E$2)*(E2470=E2469:E$2)))))</f>
        <v> </v>
      </c>
      <c r="J2470" s="25" t="str">
        <f>IF(OR(E2470="",E2470="!!!",F2470="NEW"),"",COUNTBLANK(OFFSET(A$1,,,SUMPRODUCT(MAX(ROW(E$2:E2470)*(E2470=E$2:E2470)))))-COUNTBLANK(OFFSET(A$1,,,SUMPRODUCT(MAX(ROW(E$1:E2469)*(E2=E$1:E2469))))))</f>
        <v> </v>
      </c>
      <c r="K2470" s="25" t="str">
        <f>IF(OR(E2470="",E2470="!!!",F2470="NEW"),"",INDEX(J$1:J2469,SUMPRODUCT(MAX(ROW(E$1:E2469)*(E2470=E$1:E2469)))))</f>
        <v> </v>
      </c>
      <c r="L2470" s="26"/>
    </row>
    <row r="2471" spans="1:12">
      <c r="A2471" s="20" t="s">
        <v>1351</v>
      </c>
      <c r="E2471" s="21">
        <f>IF(D2471="?OLD","!!!","")</f>
        <v/>
      </c>
      <c r="F2471" s="22" t="str">
        <f>IF(OR(E2471="",E2471="!!!"),"",IF(NOT(ISNA(VLOOKUP(E2471,E$1:E2470,1,FALSE()))),"OLD",IF(AND(E2471&lt;&gt;"",E2471&lt;&gt;"!!!"),"NEW","")))</f>
        <v> </v>
      </c>
      <c r="G2471" s="23" t="str">
        <f>IF(OR(E2471="",E2471="!!!"),"",IF(OR(J2471=0,AND(J2471=1,K2471=1),AND(J2471=1,I2471="SBJ"),AND(J2471=1,I2471=0)),"?IN_FOCUS",IF(J2471&lt;=2,"?ACTIVATED",IF(J2471&lt;&gt;"","?FAMILIAR",IF(F2471="NEW",IF(ISNA(VLOOKUP(E2471,#REF!,1,FALSE())),"?TYPE_IDENTIFIABLE","?REFERENTIAL"),"_")))))</f>
        <v> </v>
      </c>
      <c r="H2471" s="24" t="str">
        <f>IF(J2471&lt;&gt;1,"",IF(I2471="SBJ","CB","?"))</f>
        <v> </v>
      </c>
      <c r="I2471" s="25" t="str">
        <f>IF(OR(E2471="",E2471="!!!",F2471="NEW"),"",INDEX(B2470:B$2,-1+SUMPRODUCT(MAX(ROW(E2470:E$2)*(E2471=E2470:E$2)))))</f>
        <v> </v>
      </c>
      <c r="J2471" s="25" t="str">
        <f>IF(OR(E2471="",E2471="!!!",F2471="NEW"),"",COUNTBLANK(OFFSET(A$1,,,SUMPRODUCT(MAX(ROW(E$2:E2471)*(E2471=E$2:E2471)))))-COUNTBLANK(OFFSET(A$1,,,SUMPRODUCT(MAX(ROW(E$1:E2470)*(E2=E$1:E2470))))))</f>
        <v> </v>
      </c>
      <c r="K2471" s="25" t="str">
        <f>IF(OR(E2471="",E2471="!!!",F2471="NEW"),"",INDEX(J$1:J2470,SUMPRODUCT(MAX(ROW(E$1:E2470)*(E2471=E$1:E2470)))))</f>
        <v> </v>
      </c>
      <c r="L2471" s="26"/>
    </row>
    <row r="2472" spans="1:12">
      <c r="A2472" s="20"/>
    </row>
    <row r="2473" spans="1:12">
      <c r="A2473" s="20" t="s">
        <v>2303</v>
      </c>
    </row>
    <row r="2474" spans="1:12">
      <c r="A2474" s="20" t="s">
        <v>1406</v>
      </c>
      <c r="E2474" s="21">
        <f>IF(D2474="?OLD","!!!","")</f>
        <v/>
      </c>
      <c r="F2474" s="22" t="str">
        <f>IF(OR(E2474="",E2474="!!!"),"",IF(NOT(ISNA(VLOOKUP(E2474,E$1:E2473,1,FALSE()))),"OLD",IF(AND(E2474&lt;&gt;"",E2474&lt;&gt;"!!!"),"NEW","")))</f>
        <v> </v>
      </c>
      <c r="G2474" s="23" t="str">
        <f>IF(OR(E2474="",E2474="!!!"),"",IF(OR(J2474=0,AND(J2474=1,K2474=1),AND(J2474=1,I2474="SBJ"),AND(J2474=1,I2474=0)),"?IN_FOCUS",IF(J2474&lt;=2,"?ACTIVATED",IF(J2474&lt;&gt;"","?FAMILIAR",IF(F2474="NEW",IF(ISNA(VLOOKUP(E2474,#REF!,1,FALSE())),"?TYPE_IDENTIFIABLE","?REFERENTIAL"),"_")))))</f>
        <v> </v>
      </c>
      <c r="H2474" s="24" t="str">
        <f>IF(J2474&lt;&gt;1,"",IF(I2474="SBJ","CB","?"))</f>
        <v> </v>
      </c>
      <c r="I2474" s="25" t="str">
        <f>IF(OR(E2474="",E2474="!!!",F2474="NEW"),"",INDEX(B2473:B$2,-1+SUMPRODUCT(MAX(ROW(E2473:E$2)*(E2474=E2473:E$2)))))</f>
        <v> </v>
      </c>
      <c r="J2474" s="25" t="str">
        <f>IF(OR(E2474="",E2474="!!!",F2474="NEW"),"",COUNTBLANK(OFFSET(A$1,,,SUMPRODUCT(MAX(ROW(E$2:E2474)*(E2474=E$2:E2474)))))-COUNTBLANK(OFFSET(A$1,,,SUMPRODUCT(MAX(ROW(E$1:E2473)*(E2=E$1:E2473))))))</f>
        <v> </v>
      </c>
      <c r="K2474" s="25" t="str">
        <f>IF(OR(E2474="",E2474="!!!",F2474="NEW"),"",INDEX(J$1:J2473,SUMPRODUCT(MAX(ROW(E$1:E2473)*(E2474=E$1:E2473)))))</f>
        <v> </v>
      </c>
      <c r="L2474" s="26"/>
    </row>
    <row r="2475" spans="1:12">
      <c r="A2475" s="20" t="s">
        <v>1130</v>
      </c>
      <c r="E2475" s="21">
        <f>IF(D2475="?OLD","!!!","")</f>
        <v/>
      </c>
      <c r="F2475" s="22" t="str">
        <f>IF(OR(E2475="",E2475="!!!"),"",IF(NOT(ISNA(VLOOKUP(E2475,E$1:E2474,1,FALSE()))),"OLD",IF(AND(E2475&lt;&gt;"",E2475&lt;&gt;"!!!"),"NEW","")))</f>
        <v> </v>
      </c>
      <c r="G2475" s="23" t="str">
        <f>IF(OR(E2475="",E2475="!!!"),"",IF(OR(J2475=0,AND(J2475=1,K2475=1),AND(J2475=1,I2475="SBJ"),AND(J2475=1,I2475=0)),"?IN_FOCUS",IF(J2475&lt;=2,"?ACTIVATED",IF(J2475&lt;&gt;"","?FAMILIAR",IF(F2475="NEW",IF(ISNA(VLOOKUP(E2475,#REF!,1,FALSE())),"?TYPE_IDENTIFIABLE","?REFERENTIAL"),"_")))))</f>
        <v> </v>
      </c>
      <c r="H2475" s="24" t="str">
        <f>IF(J2475&lt;&gt;1,"",IF(I2475="SBJ","CB","?"))</f>
        <v> </v>
      </c>
      <c r="I2475" s="25" t="str">
        <f>IF(OR(E2475="",E2475="!!!",F2475="NEW"),"",INDEX(B2474:B$2,-1+SUMPRODUCT(MAX(ROW(E2474:E$2)*(E2475=E2474:E$2)))))</f>
        <v> </v>
      </c>
      <c r="J2475" s="25" t="str">
        <f>IF(OR(E2475="",E2475="!!!",F2475="NEW"),"",COUNTBLANK(OFFSET(A$1,,,SUMPRODUCT(MAX(ROW(E$2:E2475)*(E2475=E$2:E2475)))))-COUNTBLANK(OFFSET(A$1,,,SUMPRODUCT(MAX(ROW(E$1:E2474)*(E2=E$1:E2474))))))</f>
        <v> </v>
      </c>
      <c r="K2475" s="25" t="str">
        <f>IF(OR(E2475="",E2475="!!!",F2475="NEW"),"",INDEX(J$1:J2474,SUMPRODUCT(MAX(ROW(E$1:E2474)*(E2475=E$1:E2474)))))</f>
        <v> </v>
      </c>
      <c r="L2475" s="26"/>
    </row>
    <row r="2476" spans="1:12">
      <c r="A2476" s="20" t="s">
        <v>2304</v>
      </c>
      <c r="B2476" s="27" t="s">
        <v>1107</v>
      </c>
      <c r="C2476" s="27" t="s">
        <v>1142</v>
      </c>
      <c r="D2476" s="27" t="s">
        <v>1105</v>
      </c>
      <c r="E2476" s="21">
        <f>IF(D2476="?OLD","!!!","")</f>
        <v/>
      </c>
      <c r="F2476" s="22" t="str">
        <f>IF(OR(E2476="",E2476="!!!"),"",IF(NOT(ISNA(VLOOKUP(E2476,E$1:E2475,1,FALSE()))),"OLD",IF(AND(E2476&lt;&gt;"",E2476&lt;&gt;"!!!"),"NEW","")))</f>
        <v> </v>
      </c>
      <c r="G2476" s="23" t="str">
        <f>IF(OR(E2476="",E2476="!!!"),"",IF(OR(J2476=0,AND(J2476=1,K2476=1),AND(J2476=1,I2476="SBJ"),AND(J2476=1,I2476=0)),"?IN_FOCUS",IF(J2476&lt;=2,"?ACTIVATED",IF(J2476&lt;&gt;"","?FAMILIAR",IF(F2476="NEW",IF(ISNA(VLOOKUP(E2476,#REF!,1,FALSE())),"?TYPE_IDENTIFIABLE","?REFERENTIAL"),"_")))))</f>
        <v> </v>
      </c>
      <c r="H2476" s="24" t="str">
        <f>IF(J2476&lt;&gt;1,"",IF(I2476="SBJ","CB","?"))</f>
        <v> </v>
      </c>
      <c r="I2476" s="25" t="str">
        <f>IF(OR(E2476="",E2476="!!!",F2476="NEW"),"",INDEX(B2475:B$2,-1+SUMPRODUCT(MAX(ROW(E2475:E$2)*(E2476=E2475:E$2)))))</f>
        <v> </v>
      </c>
      <c r="J2476" s="25" t="str">
        <f>IF(OR(E2476="",E2476="!!!",F2476="NEW"),"",COUNTBLANK(OFFSET(A$1,,,SUMPRODUCT(MAX(ROW(E$2:E2476)*(E2476=E$2:E2476)))))-COUNTBLANK(OFFSET(A$1,,,SUMPRODUCT(MAX(ROW(E$1:E2475)*(E2=E$1:E2475))))))</f>
        <v> </v>
      </c>
      <c r="K2476" s="25" t="str">
        <f>IF(OR(E2476="",E2476="!!!",F2476="NEW"),"",INDEX(J$1:J2475,SUMPRODUCT(MAX(ROW(E$1:E2475)*(E2476=E$1:E2475)))))</f>
        <v> </v>
      </c>
      <c r="L2476" s="26"/>
    </row>
    <row r="2477" spans="1:12">
      <c r="A2477" s="20" t="s">
        <v>2305</v>
      </c>
      <c r="E2477" s="21">
        <f>IF(D2477="?OLD","!!!","")</f>
        <v/>
      </c>
      <c r="F2477" s="22" t="str">
        <f>IF(OR(E2477="",E2477="!!!"),"",IF(NOT(ISNA(VLOOKUP(E2477,E$1:E2476,1,FALSE()))),"OLD",IF(AND(E2477&lt;&gt;"",E2477&lt;&gt;"!!!"),"NEW","")))</f>
        <v> </v>
      </c>
      <c r="G2477" s="23" t="str">
        <f>IF(OR(E2477="",E2477="!!!"),"",IF(OR(J2477=0,AND(J2477=1,K2477=1),AND(J2477=1,I2477="SBJ"),AND(J2477=1,I2477=0)),"?IN_FOCUS",IF(J2477&lt;=2,"?ACTIVATED",IF(J2477&lt;&gt;"","?FAMILIAR",IF(F2477="NEW",IF(ISNA(VLOOKUP(E2477,#REF!,1,FALSE())),"?TYPE_IDENTIFIABLE","?REFERENTIAL"),"_")))))</f>
        <v> </v>
      </c>
      <c r="H2477" s="24" t="str">
        <f>IF(J2477&lt;&gt;1,"",IF(I2477="SBJ","CB","?"))</f>
        <v> </v>
      </c>
      <c r="I2477" s="25" t="str">
        <f>IF(OR(E2477="",E2477="!!!",F2477="NEW"),"",INDEX(B2476:B$2,-1+SUMPRODUCT(MAX(ROW(E2476:E$2)*(E2477=E2476:E$2)))))</f>
        <v> </v>
      </c>
      <c r="J2477" s="25" t="str">
        <f>IF(OR(E2477="",E2477="!!!",F2477="NEW"),"",COUNTBLANK(OFFSET(A$1,,,SUMPRODUCT(MAX(ROW(E$2:E2477)*(E2477=E$2:E2477)))))-COUNTBLANK(OFFSET(A$1,,,SUMPRODUCT(MAX(ROW(E$1:E2476)*(E2=E$1:E2476))))))</f>
        <v> </v>
      </c>
      <c r="K2477" s="25" t="str">
        <f>IF(OR(E2477="",E2477="!!!",F2477="NEW"),"",INDEX(J$1:J2476,SUMPRODUCT(MAX(ROW(E$1:E2476)*(E2477=E$1:E2476)))))</f>
        <v> </v>
      </c>
      <c r="L2477" s="26"/>
    </row>
    <row r="2478" spans="1:12">
      <c r="A2478" s="20" t="s">
        <v>1228</v>
      </c>
      <c r="B2478" s="27" t="s">
        <v>1149</v>
      </c>
      <c r="C2478" s="27" t="s">
        <v>1126</v>
      </c>
      <c r="D2478" s="27" t="s">
        <v>1105</v>
      </c>
      <c r="E2478" s="21">
        <f>IF(D2478="?OLD","!!!","")</f>
        <v/>
      </c>
      <c r="F2478" s="22" t="str">
        <f>IF(OR(E2478="",E2478="!!!"),"",IF(NOT(ISNA(VLOOKUP(E2478,E$1:E2477,1,FALSE()))),"OLD",IF(AND(E2478&lt;&gt;"",E2478&lt;&gt;"!!!"),"NEW","")))</f>
        <v> </v>
      </c>
      <c r="G2478" s="23" t="str">
        <f>IF(OR(E2478="",E2478="!!!"),"",IF(OR(J2478=0,AND(J2478=1,K2478=1),AND(J2478=1,I2478="SBJ"),AND(J2478=1,I2478=0)),"?IN_FOCUS",IF(J2478&lt;=2,"?ACTIVATED",IF(J2478&lt;&gt;"","?FAMILIAR",IF(F2478="NEW",IF(ISNA(VLOOKUP(E2478,#REF!,1,FALSE())),"?TYPE_IDENTIFIABLE","?REFERENTIAL"),"_")))))</f>
        <v> </v>
      </c>
      <c r="H2478" s="24" t="str">
        <f>IF(J2478&lt;&gt;1,"",IF(I2478="SBJ","CB","?"))</f>
        <v> </v>
      </c>
      <c r="I2478" s="25" t="str">
        <f>IF(OR(E2478="",E2478="!!!",F2478="NEW"),"",INDEX(B2477:B$2,-1+SUMPRODUCT(MAX(ROW(E2477:E$2)*(E2478=E2477:E$2)))))</f>
        <v> </v>
      </c>
      <c r="J2478" s="25" t="str">
        <f>IF(OR(E2478="",E2478="!!!",F2478="NEW"),"",COUNTBLANK(OFFSET(A$1,,,SUMPRODUCT(MAX(ROW(E$2:E2478)*(E2478=E$2:E2478)))))-COUNTBLANK(OFFSET(A$1,,,SUMPRODUCT(MAX(ROW(E$1:E2477)*(E2=E$1:E2477))))))</f>
        <v> </v>
      </c>
      <c r="K2478" s="25" t="str">
        <f>IF(OR(E2478="",E2478="!!!",F2478="NEW"),"",INDEX(J$1:J2477,SUMPRODUCT(MAX(ROW(E$1:E2477)*(E2478=E$1:E2477)))))</f>
        <v> </v>
      </c>
      <c r="L2478" s="26"/>
    </row>
    <row r="2479" spans="1:12">
      <c r="A2479" s="20" t="s">
        <v>2306</v>
      </c>
      <c r="E2479" s="21">
        <f>IF(D2479="?OLD","!!!","")</f>
        <v/>
      </c>
      <c r="F2479" s="22" t="str">
        <f>IF(OR(E2479="",E2479="!!!"),"",IF(NOT(ISNA(VLOOKUP(E2479,E$1:E2478,1,FALSE()))),"OLD",IF(AND(E2479&lt;&gt;"",E2479&lt;&gt;"!!!"),"NEW","")))</f>
        <v> </v>
      </c>
      <c r="G2479" s="23" t="str">
        <f>IF(OR(E2479="",E2479="!!!"),"",IF(OR(J2479=0,AND(J2479=1,K2479=1),AND(J2479=1,I2479="SBJ"),AND(J2479=1,I2479=0)),"?IN_FOCUS",IF(J2479&lt;=2,"?ACTIVATED",IF(J2479&lt;&gt;"","?FAMILIAR",IF(F2479="NEW",IF(ISNA(VLOOKUP(E2479,#REF!,1,FALSE())),"?TYPE_IDENTIFIABLE","?REFERENTIAL"),"_")))))</f>
        <v> </v>
      </c>
      <c r="H2479" s="24" t="str">
        <f>IF(J2479&lt;&gt;1,"",IF(I2479="SBJ","CB","?"))</f>
        <v> </v>
      </c>
      <c r="I2479" s="25" t="str">
        <f>IF(OR(E2479="",E2479="!!!",F2479="NEW"),"",INDEX(B2478:B$2,-1+SUMPRODUCT(MAX(ROW(E2478:E$2)*(E2479=E2478:E$2)))))</f>
        <v> </v>
      </c>
      <c r="J2479" s="25" t="str">
        <f>IF(OR(E2479="",E2479="!!!",F2479="NEW"),"",COUNTBLANK(OFFSET(A$1,,,SUMPRODUCT(MAX(ROW(E$2:E2479)*(E2479=E$2:E2479)))))-COUNTBLANK(OFFSET(A$1,,,SUMPRODUCT(MAX(ROW(E$1:E2478)*(E2=E$1:E2478))))))</f>
        <v> </v>
      </c>
      <c r="K2479" s="25" t="str">
        <f>IF(OR(E2479="",E2479="!!!",F2479="NEW"),"",INDEX(J$1:J2478,SUMPRODUCT(MAX(ROW(E$1:E2478)*(E2479=E$1:E2478)))))</f>
        <v> </v>
      </c>
      <c r="L2479" s="26"/>
    </row>
    <row r="2480" spans="1:12">
      <c r="A2480" s="20" t="s">
        <v>1145</v>
      </c>
      <c r="E2480" s="21">
        <f>IF(D2480="?OLD","!!!","")</f>
        <v/>
      </c>
      <c r="F2480" s="22" t="str">
        <f>IF(OR(E2480="",E2480="!!!"),"",IF(NOT(ISNA(VLOOKUP(E2480,E$1:E2479,1,FALSE()))),"OLD",IF(AND(E2480&lt;&gt;"",E2480&lt;&gt;"!!!"),"NEW","")))</f>
        <v> </v>
      </c>
      <c r="G2480" s="23" t="str">
        <f>IF(OR(E2480="",E2480="!!!"),"",IF(OR(J2480=0,AND(J2480=1,K2480=1),AND(J2480=1,I2480="SBJ"),AND(J2480=1,I2480=0)),"?IN_FOCUS",IF(J2480&lt;=2,"?ACTIVATED",IF(J2480&lt;&gt;"","?FAMILIAR",IF(F2480="NEW",IF(ISNA(VLOOKUP(E2480,#REF!,1,FALSE())),"?TYPE_IDENTIFIABLE","?REFERENTIAL"),"_")))))</f>
        <v> </v>
      </c>
      <c r="H2480" s="24" t="str">
        <f>IF(J2480&lt;&gt;1,"",IF(I2480="SBJ","CB","?"))</f>
        <v> </v>
      </c>
      <c r="I2480" s="25" t="str">
        <f>IF(OR(E2480="",E2480="!!!",F2480="NEW"),"",INDEX(B2479:B$2,-1+SUMPRODUCT(MAX(ROW(E2479:E$2)*(E2480=E2479:E$2)))))</f>
        <v> </v>
      </c>
      <c r="J2480" s="25" t="str">
        <f>IF(OR(E2480="",E2480="!!!",F2480="NEW"),"",COUNTBLANK(OFFSET(A$1,,,SUMPRODUCT(MAX(ROW(E$2:E2480)*(E2480=E$2:E2480)))))-COUNTBLANK(OFFSET(A$1,,,SUMPRODUCT(MAX(ROW(E$1:E2479)*(E2=E$1:E2479))))))</f>
        <v> </v>
      </c>
      <c r="K2480" s="25" t="str">
        <f>IF(OR(E2480="",E2480="!!!",F2480="NEW"),"",INDEX(J$1:J2479,SUMPRODUCT(MAX(ROW(E$1:E2479)*(E2480=E$1:E2479)))))</f>
        <v> </v>
      </c>
      <c r="L2480" s="26"/>
    </row>
    <row r="2481" spans="1:12">
      <c r="A2481" s="20"/>
    </row>
    <row r="2482" spans="1:12">
      <c r="A2482" s="20" t="s">
        <v>2307</v>
      </c>
    </row>
    <row r="2483" spans="1:12">
      <c r="A2483" s="20" t="s">
        <v>1368</v>
      </c>
      <c r="E2483" s="21">
        <f>IF(D2483="?OLD","!!!","")</f>
        <v/>
      </c>
      <c r="F2483" s="22" t="str">
        <f>IF(OR(E2483="",E2483="!!!"),"",IF(NOT(ISNA(VLOOKUP(E2483,E$1:E2482,1,FALSE()))),"OLD",IF(AND(E2483&lt;&gt;"",E2483&lt;&gt;"!!!"),"NEW","")))</f>
        <v> </v>
      </c>
      <c r="G2483" s="23" t="str">
        <f>IF(OR(E2483="",E2483="!!!"),"",IF(OR(J2483=0,AND(J2483=1,K2483=1),AND(J2483=1,I2483="SBJ"),AND(J2483=1,I2483=0)),"?IN_FOCUS",IF(J2483&lt;=2,"?ACTIVATED",IF(J2483&lt;&gt;"","?FAMILIAR",IF(F2483="NEW",IF(ISNA(VLOOKUP(E2483,#REF!,1,FALSE())),"?TYPE_IDENTIFIABLE","?REFERENTIAL"),"_")))))</f>
        <v> </v>
      </c>
      <c r="H2483" s="24" t="str">
        <f>IF(J2483&lt;&gt;1,"",IF(I2483="SBJ","CB","?"))</f>
        <v> </v>
      </c>
      <c r="I2483" s="25" t="str">
        <f>IF(OR(E2483="",E2483="!!!",F2483="NEW"),"",INDEX(B2482:B$2,-1+SUMPRODUCT(MAX(ROW(E2482:E$2)*(E2483=E2482:E$2)))))</f>
        <v> </v>
      </c>
      <c r="J2483" s="25" t="str">
        <f>IF(OR(E2483="",E2483="!!!",F2483="NEW"),"",COUNTBLANK(OFFSET(A$1,,,SUMPRODUCT(MAX(ROW(E$2:E2483)*(E2483=E$2:E2483)))))-COUNTBLANK(OFFSET(A$1,,,SUMPRODUCT(MAX(ROW(E$1:E2482)*(E2=E$1:E2482))))))</f>
        <v> </v>
      </c>
      <c r="K2483" s="25" t="str">
        <f>IF(OR(E2483="",E2483="!!!",F2483="NEW"),"",INDEX(J$1:J2482,SUMPRODUCT(MAX(ROW(E$1:E2482)*(E2483=E$1:E2482)))))</f>
        <v> </v>
      </c>
      <c r="L2483" s="26"/>
    </row>
    <row r="2484" spans="1:12">
      <c r="A2484" s="20" t="s">
        <v>135</v>
      </c>
      <c r="B2484" s="27" t="s">
        <v>1243</v>
      </c>
      <c r="C2484" s="27" t="s">
        <v>1133</v>
      </c>
      <c r="E2484" s="21">
        <f>IF(D2484="?OLD","!!!","")</f>
        <v/>
      </c>
      <c r="F2484" s="22" t="str">
        <f>IF(OR(E2484="",E2484="!!!"),"",IF(NOT(ISNA(VLOOKUP(E2484,E$1:E2483,1,FALSE()))),"OLD",IF(AND(E2484&lt;&gt;"",E2484&lt;&gt;"!!!"),"NEW","")))</f>
        <v> </v>
      </c>
      <c r="G2484" s="23" t="str">
        <f>IF(OR(E2484="",E2484="!!!"),"",IF(OR(J2484=0,AND(J2484=1,K2484=1),AND(J2484=1,I2484="SBJ"),AND(J2484=1,I2484=0)),"?IN_FOCUS",IF(J2484&lt;=2,"?ACTIVATED",IF(J2484&lt;&gt;"","?FAMILIAR",IF(F2484="NEW",IF(ISNA(VLOOKUP(E2484,#REF!,1,FALSE())),"?TYPE_IDENTIFIABLE","?REFERENTIAL"),"_")))))</f>
        <v> </v>
      </c>
      <c r="H2484" s="24" t="str">
        <f>IF(J2484&lt;&gt;1,"",IF(I2484="SBJ","CB","?"))</f>
        <v> </v>
      </c>
      <c r="I2484" s="25" t="str">
        <f>IF(OR(E2484="",E2484="!!!",F2484="NEW"),"",INDEX(B2483:B$2,-1+SUMPRODUCT(MAX(ROW(E2483:E$2)*(E2484=E2483:E$2)))))</f>
        <v> </v>
      </c>
      <c r="J2484" s="25" t="str">
        <f>IF(OR(E2484="",E2484="!!!",F2484="NEW"),"",COUNTBLANK(OFFSET(A$1,,,SUMPRODUCT(MAX(ROW(E$2:E2484)*(E2484=E$2:E2484)))))-COUNTBLANK(OFFSET(A$1,,,SUMPRODUCT(MAX(ROW(E$1:E2483)*(E2=E$1:E2483))))))</f>
        <v> </v>
      </c>
      <c r="K2484" s="25" t="str">
        <f>IF(OR(E2484="",E2484="!!!",F2484="NEW"),"",INDEX(J$1:J2483,SUMPRODUCT(MAX(ROW(E$1:E2483)*(E2484=E$1:E2483)))))</f>
        <v> </v>
      </c>
      <c r="L2484" s="26"/>
    </row>
    <row r="2485" spans="1:12">
      <c r="A2485" s="20" t="s">
        <v>1362</v>
      </c>
      <c r="B2485" s="27" t="s">
        <v>1149</v>
      </c>
      <c r="C2485" s="27" t="s">
        <v>1126</v>
      </c>
      <c r="D2485" s="27" t="s">
        <v>1105</v>
      </c>
      <c r="E2485" s="21">
        <f>IF(D2485="?OLD","!!!","")</f>
        <v/>
      </c>
      <c r="F2485" s="22" t="str">
        <f>IF(OR(E2485="",E2485="!!!"),"",IF(NOT(ISNA(VLOOKUP(E2485,E$1:E2484,1,FALSE()))),"OLD",IF(AND(E2485&lt;&gt;"",E2485&lt;&gt;"!!!"),"NEW","")))</f>
        <v> </v>
      </c>
      <c r="G2485" s="23" t="str">
        <f>IF(OR(E2485="",E2485="!!!"),"",IF(OR(J2485=0,AND(J2485=1,K2485=1),AND(J2485=1,I2485="SBJ"),AND(J2485=1,I2485=0)),"?IN_FOCUS",IF(J2485&lt;=2,"?ACTIVATED",IF(J2485&lt;&gt;"","?FAMILIAR",IF(F2485="NEW",IF(ISNA(VLOOKUP(E2485,#REF!,1,FALSE())),"?TYPE_IDENTIFIABLE","?REFERENTIAL"),"_")))))</f>
        <v> </v>
      </c>
      <c r="H2485" s="24" t="str">
        <f>IF(J2485&lt;&gt;1,"",IF(I2485="SBJ","CB","?"))</f>
        <v> </v>
      </c>
      <c r="I2485" s="25" t="str">
        <f>IF(OR(E2485="",E2485="!!!",F2485="NEW"),"",INDEX(B2484:B$2,-1+SUMPRODUCT(MAX(ROW(E2484:E$2)*(E2485=E2484:E$2)))))</f>
        <v> </v>
      </c>
      <c r="J2485" s="25" t="str">
        <f>IF(OR(E2485="",E2485="!!!",F2485="NEW"),"",COUNTBLANK(OFFSET(A$1,,,SUMPRODUCT(MAX(ROW(E$2:E2485)*(E2485=E$2:E2485)))))-COUNTBLANK(OFFSET(A$1,,,SUMPRODUCT(MAX(ROW(E$1:E2484)*(E2=E$1:E2484))))))</f>
        <v> </v>
      </c>
      <c r="K2485" s="25" t="str">
        <f>IF(OR(E2485="",E2485="!!!",F2485="NEW"),"",INDEX(J$1:J2484,SUMPRODUCT(MAX(ROW(E$1:E2484)*(E2485=E$1:E2484)))))</f>
        <v> </v>
      </c>
      <c r="L2485" s="26"/>
    </row>
    <row r="2486" spans="1:12">
      <c r="A2486" s="20" t="s">
        <v>2308</v>
      </c>
      <c r="E2486" s="21">
        <f>IF(D2486="?OLD","!!!","")</f>
        <v/>
      </c>
      <c r="F2486" s="22" t="str">
        <f>IF(OR(E2486="",E2486="!!!"),"",IF(NOT(ISNA(VLOOKUP(E2486,E$1:E2485,1,FALSE()))),"OLD",IF(AND(E2486&lt;&gt;"",E2486&lt;&gt;"!!!"),"NEW","")))</f>
        <v> </v>
      </c>
      <c r="G2486" s="23" t="str">
        <f>IF(OR(E2486="",E2486="!!!"),"",IF(OR(J2486=0,AND(J2486=1,K2486=1),AND(J2486=1,I2486="SBJ"),AND(J2486=1,I2486=0)),"?IN_FOCUS",IF(J2486&lt;=2,"?ACTIVATED",IF(J2486&lt;&gt;"","?FAMILIAR",IF(F2486="NEW",IF(ISNA(VLOOKUP(E2486,#REF!,1,FALSE())),"?TYPE_IDENTIFIABLE","?REFERENTIAL"),"_")))))</f>
        <v> </v>
      </c>
      <c r="H2486" s="24" t="str">
        <f>IF(J2486&lt;&gt;1,"",IF(I2486="SBJ","CB","?"))</f>
        <v> </v>
      </c>
      <c r="I2486" s="25" t="str">
        <f>IF(OR(E2486="",E2486="!!!",F2486="NEW"),"",INDEX(B2485:B$2,-1+SUMPRODUCT(MAX(ROW(E2485:E$2)*(E2486=E2485:E$2)))))</f>
        <v> </v>
      </c>
      <c r="J2486" s="25" t="str">
        <f>IF(OR(E2486="",E2486="!!!",F2486="NEW"),"",COUNTBLANK(OFFSET(A$1,,,SUMPRODUCT(MAX(ROW(E$2:E2486)*(E2486=E$2:E2486)))))-COUNTBLANK(OFFSET(A$1,,,SUMPRODUCT(MAX(ROW(E$1:E2485)*(E2=E$1:E2485))))))</f>
        <v> </v>
      </c>
      <c r="K2486" s="25" t="str">
        <f>IF(OR(E2486="",E2486="!!!",F2486="NEW"),"",INDEX(J$1:J2485,SUMPRODUCT(MAX(ROW(E$1:E2485)*(E2486=E$1:E2485)))))</f>
        <v> </v>
      </c>
      <c r="L2486" s="26"/>
    </row>
    <row r="2487" spans="1:12">
      <c r="A2487" s="20" t="s">
        <v>334</v>
      </c>
      <c r="E2487" s="21">
        <f>IF(D2487="?OLD","!!!","")</f>
        <v/>
      </c>
      <c r="F2487" s="22" t="str">
        <f>IF(OR(E2487="",E2487="!!!"),"",IF(NOT(ISNA(VLOOKUP(E2487,E$1:E2486,1,FALSE()))),"OLD",IF(AND(E2487&lt;&gt;"",E2487&lt;&gt;"!!!"),"NEW","")))</f>
        <v> </v>
      </c>
      <c r="G2487" s="23" t="str">
        <f>IF(OR(E2487="",E2487="!!!"),"",IF(OR(J2487=0,AND(J2487=1,K2487=1),AND(J2487=1,I2487="SBJ"),AND(J2487=1,I2487=0)),"?IN_FOCUS",IF(J2487&lt;=2,"?ACTIVATED",IF(J2487&lt;&gt;"","?FAMILIAR",IF(F2487="NEW",IF(ISNA(VLOOKUP(E2487,#REF!,1,FALSE())),"?TYPE_IDENTIFIABLE","?REFERENTIAL"),"_")))))</f>
        <v> </v>
      </c>
      <c r="H2487" s="24" t="str">
        <f>IF(J2487&lt;&gt;1,"",IF(I2487="SBJ","CB","?"))</f>
        <v> </v>
      </c>
      <c r="I2487" s="25" t="str">
        <f>IF(OR(E2487="",E2487="!!!",F2487="NEW"),"",INDEX(B2486:B$2,-1+SUMPRODUCT(MAX(ROW(E2486:E$2)*(E2487=E2486:E$2)))))</f>
        <v> </v>
      </c>
      <c r="J2487" s="25" t="str">
        <f>IF(OR(E2487="",E2487="!!!",F2487="NEW"),"",COUNTBLANK(OFFSET(A$1,,,SUMPRODUCT(MAX(ROW(E$2:E2487)*(E2487=E$2:E2487)))))-COUNTBLANK(OFFSET(A$1,,,SUMPRODUCT(MAX(ROW(E$1:E2486)*(E2=E$1:E2486))))))</f>
        <v> </v>
      </c>
      <c r="K2487" s="25" t="str">
        <f>IF(OR(E2487="",E2487="!!!",F2487="NEW"),"",INDEX(J$1:J2486,SUMPRODUCT(MAX(ROW(E$1:E2486)*(E2487=E$1:E2486)))))</f>
        <v> </v>
      </c>
      <c r="L2487" s="26"/>
    </row>
    <row r="2488" spans="1:12">
      <c r="A2488" s="20" t="s">
        <v>1745</v>
      </c>
      <c r="E2488" s="21">
        <f>IF(D2488="?OLD","!!!","")</f>
        <v/>
      </c>
      <c r="F2488" s="22" t="str">
        <f>IF(OR(E2488="",E2488="!!!"),"",IF(NOT(ISNA(VLOOKUP(E2488,E$1:E2487,1,FALSE()))),"OLD",IF(AND(E2488&lt;&gt;"",E2488&lt;&gt;"!!!"),"NEW","")))</f>
        <v> </v>
      </c>
      <c r="G2488" s="23" t="str">
        <f>IF(OR(E2488="",E2488="!!!"),"",IF(OR(J2488=0,AND(J2488=1,K2488=1),AND(J2488=1,I2488="SBJ"),AND(J2488=1,I2488=0)),"?IN_FOCUS",IF(J2488&lt;=2,"?ACTIVATED",IF(J2488&lt;&gt;"","?FAMILIAR",IF(F2488="NEW",IF(ISNA(VLOOKUP(E2488,#REF!,1,FALSE())),"?TYPE_IDENTIFIABLE","?REFERENTIAL"),"_")))))</f>
        <v> </v>
      </c>
      <c r="H2488" s="24" t="str">
        <f>IF(J2488&lt;&gt;1,"",IF(I2488="SBJ","CB","?"))</f>
        <v> </v>
      </c>
      <c r="I2488" s="25" t="str">
        <f>IF(OR(E2488="",E2488="!!!",F2488="NEW"),"",INDEX(B2487:B$2,-1+SUMPRODUCT(MAX(ROW(E2487:E$2)*(E2488=E2487:E$2)))))</f>
        <v> </v>
      </c>
      <c r="J2488" s="25" t="str">
        <f>IF(OR(E2488="",E2488="!!!",F2488="NEW"),"",COUNTBLANK(OFFSET(A$1,,,SUMPRODUCT(MAX(ROW(E$2:E2488)*(E2488=E$2:E2488)))))-COUNTBLANK(OFFSET(A$1,,,SUMPRODUCT(MAX(ROW(E$1:E2487)*(E2=E$1:E2487))))))</f>
        <v> </v>
      </c>
      <c r="K2488" s="25" t="str">
        <f>IF(OR(E2488="",E2488="!!!",F2488="NEW"),"",INDEX(J$1:J2487,SUMPRODUCT(MAX(ROW(E$1:E2487)*(E2488=E$1:E2487)))))</f>
        <v> </v>
      </c>
      <c r="L2488" s="26"/>
    </row>
    <row r="2489" spans="1:12">
      <c r="A2489" s="20" t="s">
        <v>1334</v>
      </c>
      <c r="E2489" s="21">
        <f>IF(D2489="?OLD","!!!","")</f>
        <v/>
      </c>
      <c r="F2489" s="22" t="str">
        <f>IF(OR(E2489="",E2489="!!!"),"",IF(NOT(ISNA(VLOOKUP(E2489,E$1:E2488,1,FALSE()))),"OLD",IF(AND(E2489&lt;&gt;"",E2489&lt;&gt;"!!!"),"NEW","")))</f>
        <v> </v>
      </c>
      <c r="G2489" s="23" t="str">
        <f>IF(OR(E2489="",E2489="!!!"),"",IF(OR(J2489=0,AND(J2489=1,K2489=1),AND(J2489=1,I2489="SBJ"),AND(J2489=1,I2489=0)),"?IN_FOCUS",IF(J2489&lt;=2,"?ACTIVATED",IF(J2489&lt;&gt;"","?FAMILIAR",IF(F2489="NEW",IF(ISNA(VLOOKUP(E2489,#REF!,1,FALSE())),"?TYPE_IDENTIFIABLE","?REFERENTIAL"),"_")))))</f>
        <v> </v>
      </c>
      <c r="H2489" s="24" t="str">
        <f>IF(J2489&lt;&gt;1,"",IF(I2489="SBJ","CB","?"))</f>
        <v> </v>
      </c>
      <c r="I2489" s="25" t="str">
        <f>IF(OR(E2489="",E2489="!!!",F2489="NEW"),"",INDEX(B2488:B$2,-1+SUMPRODUCT(MAX(ROW(E2488:E$2)*(E2489=E2488:E$2)))))</f>
        <v> </v>
      </c>
      <c r="J2489" s="25" t="str">
        <f>IF(OR(E2489="",E2489="!!!",F2489="NEW"),"",COUNTBLANK(OFFSET(A$1,,,SUMPRODUCT(MAX(ROW(E$2:E2489)*(E2489=E$2:E2489)))))-COUNTBLANK(OFFSET(A$1,,,SUMPRODUCT(MAX(ROW(E$1:E2488)*(E2=E$1:E2488))))))</f>
        <v> </v>
      </c>
      <c r="K2489" s="25" t="str">
        <f>IF(OR(E2489="",E2489="!!!",F2489="NEW"),"",INDEX(J$1:J2488,SUMPRODUCT(MAX(ROW(E$1:E2488)*(E2489=E$1:E2488)))))</f>
        <v> </v>
      </c>
      <c r="L2489" s="26"/>
    </row>
    <row r="2490" spans="1:12">
      <c r="A2490" s="20"/>
    </row>
    <row r="2491" spans="1:12">
      <c r="A2491" s="20" t="s">
        <v>2309</v>
      </c>
    </row>
    <row r="2492" spans="1:12">
      <c r="A2492" s="20" t="s">
        <v>1111</v>
      </c>
      <c r="E2492" s="21">
        <f>IF(D2492="?OLD","!!!","")</f>
        <v/>
      </c>
      <c r="F2492" s="22" t="str">
        <f>IF(OR(E2492="",E2492="!!!"),"",IF(NOT(ISNA(VLOOKUP(E2492,E$1:E2491,1,FALSE()))),"OLD",IF(AND(E2492&lt;&gt;"",E2492&lt;&gt;"!!!"),"NEW","")))</f>
        <v> </v>
      </c>
      <c r="G2492" s="23" t="str">
        <f>IF(OR(E2492="",E2492="!!!"),"",IF(OR(J2492=0,AND(J2492=1,K2492=1),AND(J2492=1,I2492="SBJ"),AND(J2492=1,I2492=0)),"?IN_FOCUS",IF(J2492&lt;=2,"?ACTIVATED",IF(J2492&lt;&gt;"","?FAMILIAR",IF(F2492="NEW",IF(ISNA(VLOOKUP(E2492,#REF!,1,FALSE())),"?TYPE_IDENTIFIABLE","?REFERENTIAL"),"_")))))</f>
        <v> </v>
      </c>
      <c r="H2492" s="24" t="str">
        <f>IF(J2492&lt;&gt;1,"",IF(I2492="SBJ","CB","?"))</f>
        <v> </v>
      </c>
      <c r="I2492" s="25" t="str">
        <f>IF(OR(E2492="",E2492="!!!",F2492="NEW"),"",INDEX(B2491:B$2,-1+SUMPRODUCT(MAX(ROW(E2491:E$2)*(E2492=E2491:E$2)))))</f>
        <v> </v>
      </c>
      <c r="J2492" s="25" t="str">
        <f>IF(OR(E2492="",E2492="!!!",F2492="NEW"),"",COUNTBLANK(OFFSET(A$1,,,SUMPRODUCT(MAX(ROW(E$2:E2492)*(E2492=E$2:E2492)))))-COUNTBLANK(OFFSET(A$1,,,SUMPRODUCT(MAX(ROW(E$1:E2491)*(E2=E$1:E2491))))))</f>
        <v> </v>
      </c>
      <c r="K2492" s="25" t="str">
        <f>IF(OR(E2492="",E2492="!!!",F2492="NEW"),"",INDEX(J$1:J2491,SUMPRODUCT(MAX(ROW(E$1:E2491)*(E2492=E$1:E2491)))))</f>
        <v> </v>
      </c>
      <c r="L2492" s="26"/>
    </row>
    <row r="2493" spans="1:12">
      <c r="A2493" s="20" t="s">
        <v>2310</v>
      </c>
      <c r="E2493" s="21">
        <f>IF(D2493="?OLD","!!!","")</f>
        <v/>
      </c>
      <c r="F2493" s="22" t="str">
        <f>IF(OR(E2493="",E2493="!!!"),"",IF(NOT(ISNA(VLOOKUP(E2493,E$1:E2492,1,FALSE()))),"OLD",IF(AND(E2493&lt;&gt;"",E2493&lt;&gt;"!!!"),"NEW","")))</f>
        <v> </v>
      </c>
      <c r="G2493" s="23" t="str">
        <f>IF(OR(E2493="",E2493="!!!"),"",IF(OR(J2493=0,AND(J2493=1,K2493=1),AND(J2493=1,I2493="SBJ"),AND(J2493=1,I2493=0)),"?IN_FOCUS",IF(J2493&lt;=2,"?ACTIVATED",IF(J2493&lt;&gt;"","?FAMILIAR",IF(F2493="NEW",IF(ISNA(VLOOKUP(E2493,#REF!,1,FALSE())),"?TYPE_IDENTIFIABLE","?REFERENTIAL"),"_")))))</f>
        <v> </v>
      </c>
      <c r="H2493" s="24" t="str">
        <f>IF(J2493&lt;&gt;1,"",IF(I2493="SBJ","CB","?"))</f>
        <v> </v>
      </c>
      <c r="I2493" s="25" t="str">
        <f>IF(OR(E2493="",E2493="!!!",F2493="NEW"),"",INDEX(B2492:B$2,-1+SUMPRODUCT(MAX(ROW(E2492:E$2)*(E2493=E2492:E$2)))))</f>
        <v> </v>
      </c>
      <c r="J2493" s="25" t="str">
        <f>IF(OR(E2493="",E2493="!!!",F2493="NEW"),"",COUNTBLANK(OFFSET(A$1,,,SUMPRODUCT(MAX(ROW(E$2:E2493)*(E2493=E$2:E2493)))))-COUNTBLANK(OFFSET(A$1,,,SUMPRODUCT(MAX(ROW(E$1:E2492)*(E2=E$1:E2492))))))</f>
        <v> </v>
      </c>
      <c r="K2493" s="25" t="str">
        <f>IF(OR(E2493="",E2493="!!!",F2493="NEW"),"",INDEX(J$1:J2492,SUMPRODUCT(MAX(ROW(E$1:E2492)*(E2493=E$1:E2492)))))</f>
        <v> </v>
      </c>
      <c r="L2493" s="26"/>
    </row>
    <row r="2494" spans="1:12">
      <c r="A2494" s="20" t="s">
        <v>2311</v>
      </c>
      <c r="E2494" s="21">
        <f>IF(D2494="?OLD","!!!","")</f>
        <v/>
      </c>
      <c r="F2494" s="22" t="str">
        <f>IF(OR(E2494="",E2494="!!!"),"",IF(NOT(ISNA(VLOOKUP(E2494,E$1:E2493,1,FALSE()))),"OLD",IF(AND(E2494&lt;&gt;"",E2494&lt;&gt;"!!!"),"NEW","")))</f>
        <v> </v>
      </c>
      <c r="G2494" s="23" t="str">
        <f>IF(OR(E2494="",E2494="!!!"),"",IF(OR(J2494=0,AND(J2494=1,K2494=1),AND(J2494=1,I2494="SBJ"),AND(J2494=1,I2494=0)),"?IN_FOCUS",IF(J2494&lt;=2,"?ACTIVATED",IF(J2494&lt;&gt;"","?FAMILIAR",IF(F2494="NEW",IF(ISNA(VLOOKUP(E2494,#REF!,1,FALSE())),"?TYPE_IDENTIFIABLE","?REFERENTIAL"),"_")))))</f>
        <v> </v>
      </c>
      <c r="H2494" s="24" t="str">
        <f>IF(J2494&lt;&gt;1,"",IF(I2494="SBJ","CB","?"))</f>
        <v> </v>
      </c>
      <c r="I2494" s="25" t="str">
        <f>IF(OR(E2494="",E2494="!!!",F2494="NEW"),"",INDEX(B2493:B$2,-1+SUMPRODUCT(MAX(ROW(E2493:E$2)*(E2494=E2493:E$2)))))</f>
        <v> </v>
      </c>
      <c r="J2494" s="25" t="str">
        <f>IF(OR(E2494="",E2494="!!!",F2494="NEW"),"",COUNTBLANK(OFFSET(A$1,,,SUMPRODUCT(MAX(ROW(E$2:E2494)*(E2494=E$2:E2494)))))-COUNTBLANK(OFFSET(A$1,,,SUMPRODUCT(MAX(ROW(E$1:E2493)*(E2=E$1:E2493))))))</f>
        <v> </v>
      </c>
      <c r="K2494" s="25" t="str">
        <f>IF(OR(E2494="",E2494="!!!",F2494="NEW"),"",INDEX(J$1:J2493,SUMPRODUCT(MAX(ROW(E$1:E2493)*(E2494=E$1:E2493)))))</f>
        <v> </v>
      </c>
      <c r="L2494" s="26"/>
    </row>
    <row r="2495" spans="1:12">
      <c r="A2495" s="20" t="s">
        <v>1408</v>
      </c>
      <c r="B2495" s="27" t="s">
        <v>1213</v>
      </c>
      <c r="C2495" s="27" t="s">
        <v>1126</v>
      </c>
      <c r="D2495" s="27" t="s">
        <v>1105</v>
      </c>
      <c r="E2495" s="21">
        <f>IF(D2495="?OLD","!!!","")</f>
        <v/>
      </c>
      <c r="F2495" s="22" t="str">
        <f>IF(OR(E2495="",E2495="!!!"),"",IF(NOT(ISNA(VLOOKUP(E2495,E$1:E2494,1,FALSE()))),"OLD",IF(AND(E2495&lt;&gt;"",E2495&lt;&gt;"!!!"),"NEW","")))</f>
        <v> </v>
      </c>
      <c r="G2495" s="23" t="str">
        <f>IF(OR(E2495="",E2495="!!!"),"",IF(OR(J2495=0,AND(J2495=1,K2495=1),AND(J2495=1,I2495="SBJ"),AND(J2495=1,I2495=0)),"?IN_FOCUS",IF(J2495&lt;=2,"?ACTIVATED",IF(J2495&lt;&gt;"","?FAMILIAR",IF(F2495="NEW",IF(ISNA(VLOOKUP(E2495,#REF!,1,FALSE())),"?TYPE_IDENTIFIABLE","?REFERENTIAL"),"_")))))</f>
        <v> </v>
      </c>
      <c r="H2495" s="24" t="str">
        <f>IF(J2495&lt;&gt;1,"",IF(I2495="SBJ","CB","?"))</f>
        <v> </v>
      </c>
      <c r="I2495" s="25" t="str">
        <f>IF(OR(E2495="",E2495="!!!",F2495="NEW"),"",INDEX(B2494:B$2,-1+SUMPRODUCT(MAX(ROW(E2494:E$2)*(E2495=E2494:E$2)))))</f>
        <v> </v>
      </c>
      <c r="J2495" s="25" t="str">
        <f>IF(OR(E2495="",E2495="!!!",F2495="NEW"),"",COUNTBLANK(OFFSET(A$1,,,SUMPRODUCT(MAX(ROW(E$2:E2495)*(E2495=E$2:E2495)))))-COUNTBLANK(OFFSET(A$1,,,SUMPRODUCT(MAX(ROW(E$1:E2494)*(E2=E$1:E2494))))))</f>
        <v> </v>
      </c>
      <c r="K2495" s="25" t="str">
        <f>IF(OR(E2495="",E2495="!!!",F2495="NEW"),"",INDEX(J$1:J2494,SUMPRODUCT(MAX(ROW(E$1:E2494)*(E2495=E$1:E2494)))))</f>
        <v> </v>
      </c>
      <c r="L2495" s="26"/>
    </row>
    <row r="2496" spans="1:12">
      <c r="A2496" s="20" t="s">
        <v>115</v>
      </c>
      <c r="E2496" s="21">
        <f>IF(D2496="?OLD","!!!","")</f>
        <v/>
      </c>
      <c r="F2496" s="22" t="str">
        <f>IF(OR(E2496="",E2496="!!!"),"",IF(NOT(ISNA(VLOOKUP(E2496,E$1:E2495,1,FALSE()))),"OLD",IF(AND(E2496&lt;&gt;"",E2496&lt;&gt;"!!!"),"NEW","")))</f>
        <v> </v>
      </c>
      <c r="G2496" s="23" t="str">
        <f>IF(OR(E2496="",E2496="!!!"),"",IF(OR(J2496=0,AND(J2496=1,K2496=1),AND(J2496=1,I2496="SBJ"),AND(J2496=1,I2496=0)),"?IN_FOCUS",IF(J2496&lt;=2,"?ACTIVATED",IF(J2496&lt;&gt;"","?FAMILIAR",IF(F2496="NEW",IF(ISNA(VLOOKUP(E2496,#REF!,1,FALSE())),"?TYPE_IDENTIFIABLE","?REFERENTIAL"),"_")))))</f>
        <v> </v>
      </c>
      <c r="H2496" s="24" t="str">
        <f>IF(J2496&lt;&gt;1,"",IF(I2496="SBJ","CB","?"))</f>
        <v> </v>
      </c>
      <c r="I2496" s="25" t="str">
        <f>IF(OR(E2496="",E2496="!!!",F2496="NEW"),"",INDEX(B2495:B$2,-1+SUMPRODUCT(MAX(ROW(E2495:E$2)*(E2496=E2495:E$2)))))</f>
        <v> </v>
      </c>
      <c r="J2496" s="25" t="str">
        <f>IF(OR(E2496="",E2496="!!!",F2496="NEW"),"",COUNTBLANK(OFFSET(A$1,,,SUMPRODUCT(MAX(ROW(E$2:E2496)*(E2496=E$2:E2496)))))-COUNTBLANK(OFFSET(A$1,,,SUMPRODUCT(MAX(ROW(E$1:E2495)*(E2=E$1:E2495))))))</f>
        <v> </v>
      </c>
      <c r="K2496" s="25" t="str">
        <f>IF(OR(E2496="",E2496="!!!",F2496="NEW"),"",INDEX(J$1:J2495,SUMPRODUCT(MAX(ROW(E$1:E2495)*(E2496=E$1:E2495)))))</f>
        <v> </v>
      </c>
      <c r="L2496" s="26"/>
    </row>
    <row r="2497" spans="1:12">
      <c r="A2497" s="20" t="s">
        <v>1111</v>
      </c>
      <c r="E2497" s="21">
        <f>IF(D2497="?OLD","!!!","")</f>
        <v/>
      </c>
      <c r="F2497" s="22" t="str">
        <f>IF(OR(E2497="",E2497="!!!"),"",IF(NOT(ISNA(VLOOKUP(E2497,E$1:E2496,1,FALSE()))),"OLD",IF(AND(E2497&lt;&gt;"",E2497&lt;&gt;"!!!"),"NEW","")))</f>
        <v> </v>
      </c>
      <c r="G2497" s="23" t="str">
        <f>IF(OR(E2497="",E2497="!!!"),"",IF(OR(J2497=0,AND(J2497=1,K2497=1),AND(J2497=1,I2497="SBJ"),AND(J2497=1,I2497=0)),"?IN_FOCUS",IF(J2497&lt;=2,"?ACTIVATED",IF(J2497&lt;&gt;"","?FAMILIAR",IF(F2497="NEW",IF(ISNA(VLOOKUP(E2497,#REF!,1,FALSE())),"?TYPE_IDENTIFIABLE","?REFERENTIAL"),"_")))))</f>
        <v> </v>
      </c>
      <c r="H2497" s="24" t="str">
        <f>IF(J2497&lt;&gt;1,"",IF(I2497="SBJ","CB","?"))</f>
        <v> </v>
      </c>
      <c r="I2497" s="25" t="str">
        <f>IF(OR(E2497="",E2497="!!!",F2497="NEW"),"",INDEX(B2496:B$2,-1+SUMPRODUCT(MAX(ROW(E2496:E$2)*(E2497=E2496:E$2)))))</f>
        <v> </v>
      </c>
      <c r="J2497" s="25" t="str">
        <f>IF(OR(E2497="",E2497="!!!",F2497="NEW"),"",COUNTBLANK(OFFSET(A$1,,,SUMPRODUCT(MAX(ROW(E$2:E2497)*(E2497=E$2:E2497)))))-COUNTBLANK(OFFSET(A$1,,,SUMPRODUCT(MAX(ROW(E$1:E2496)*(E2=E$1:E2496))))))</f>
        <v> </v>
      </c>
      <c r="K2497" s="25" t="str">
        <f>IF(OR(E2497="",E2497="!!!",F2497="NEW"),"",INDEX(J$1:J2496,SUMPRODUCT(MAX(ROW(E$1:E2496)*(E2497=E$1:E2496)))))</f>
        <v> </v>
      </c>
      <c r="L2497" s="26"/>
    </row>
    <row r="2498" spans="1:12">
      <c r="A2498" s="20" t="s">
        <v>1362</v>
      </c>
      <c r="B2498" s="27" t="s">
        <v>1122</v>
      </c>
      <c r="C2498" s="27" t="s">
        <v>1126</v>
      </c>
      <c r="D2498" s="27" t="s">
        <v>1105</v>
      </c>
      <c r="E2498" s="21">
        <f>IF(D2498="?OLD","!!!","")</f>
        <v/>
      </c>
      <c r="F2498" s="22" t="str">
        <f>IF(OR(E2498="",E2498="!!!"),"",IF(NOT(ISNA(VLOOKUP(E2498,E$1:E2497,1,FALSE()))),"OLD",IF(AND(E2498&lt;&gt;"",E2498&lt;&gt;"!!!"),"NEW","")))</f>
        <v> </v>
      </c>
      <c r="G2498" s="23" t="str">
        <f>IF(OR(E2498="",E2498="!!!"),"",IF(OR(J2498=0,AND(J2498=1,K2498=1),AND(J2498=1,I2498="SBJ"),AND(J2498=1,I2498=0)),"?IN_FOCUS",IF(J2498&lt;=2,"?ACTIVATED",IF(J2498&lt;&gt;"","?FAMILIAR",IF(F2498="NEW",IF(ISNA(VLOOKUP(E2498,#REF!,1,FALSE())),"?TYPE_IDENTIFIABLE","?REFERENTIAL"),"_")))))</f>
        <v> </v>
      </c>
      <c r="H2498" s="24" t="str">
        <f>IF(J2498&lt;&gt;1,"",IF(I2498="SBJ","CB","?"))</f>
        <v> </v>
      </c>
      <c r="I2498" s="25" t="str">
        <f>IF(OR(E2498="",E2498="!!!",F2498="NEW"),"",INDEX(B2497:B$2,-1+SUMPRODUCT(MAX(ROW(E2497:E$2)*(E2498=E2497:E$2)))))</f>
        <v> </v>
      </c>
      <c r="J2498" s="25" t="str">
        <f>IF(OR(E2498="",E2498="!!!",F2498="NEW"),"",COUNTBLANK(OFFSET(A$1,,,SUMPRODUCT(MAX(ROW(E$2:E2498)*(E2498=E$2:E2498)))))-COUNTBLANK(OFFSET(A$1,,,SUMPRODUCT(MAX(ROW(E$1:E2497)*(E2=E$1:E2497))))))</f>
        <v> </v>
      </c>
      <c r="K2498" s="25" t="str">
        <f>IF(OR(E2498="",E2498="!!!",F2498="NEW"),"",INDEX(J$1:J2497,SUMPRODUCT(MAX(ROW(E$1:E2497)*(E2498=E$1:E2497)))))</f>
        <v> </v>
      </c>
      <c r="L2498" s="26"/>
    </row>
    <row r="2499" spans="1:12">
      <c r="A2499" s="20" t="s">
        <v>1628</v>
      </c>
      <c r="E2499" s="21">
        <f>IF(D2499="?OLD","!!!","")</f>
        <v/>
      </c>
      <c r="F2499" s="22" t="str">
        <f>IF(OR(E2499="",E2499="!!!"),"",IF(NOT(ISNA(VLOOKUP(E2499,E$1:E2498,1,FALSE()))),"OLD",IF(AND(E2499&lt;&gt;"",E2499&lt;&gt;"!!!"),"NEW","")))</f>
        <v> </v>
      </c>
      <c r="G2499" s="23" t="str">
        <f>IF(OR(E2499="",E2499="!!!"),"",IF(OR(J2499=0,AND(J2499=1,K2499=1),AND(J2499=1,I2499="SBJ"),AND(J2499=1,I2499=0)),"?IN_FOCUS",IF(J2499&lt;=2,"?ACTIVATED",IF(J2499&lt;&gt;"","?FAMILIAR",IF(F2499="NEW",IF(ISNA(VLOOKUP(E2499,#REF!,1,FALSE())),"?TYPE_IDENTIFIABLE","?REFERENTIAL"),"_")))))</f>
        <v> </v>
      </c>
      <c r="H2499" s="24" t="str">
        <f>IF(J2499&lt;&gt;1,"",IF(I2499="SBJ","CB","?"))</f>
        <v> </v>
      </c>
      <c r="I2499" s="25" t="str">
        <f>IF(OR(E2499="",E2499="!!!",F2499="NEW"),"",INDEX(B2498:B$2,-1+SUMPRODUCT(MAX(ROW(E2498:E$2)*(E2499=E2498:E$2)))))</f>
        <v> </v>
      </c>
      <c r="J2499" s="25" t="str">
        <f>IF(OR(E2499="",E2499="!!!",F2499="NEW"),"",COUNTBLANK(OFFSET(A$1,,,SUMPRODUCT(MAX(ROW(E$2:E2499)*(E2499=E$2:E2499)))))-COUNTBLANK(OFFSET(A$1,,,SUMPRODUCT(MAX(ROW(E$1:E2498)*(E2=E$1:E2498))))))</f>
        <v> </v>
      </c>
      <c r="K2499" s="25" t="str">
        <f>IF(OR(E2499="",E2499="!!!",F2499="NEW"),"",INDEX(J$1:J2498,SUMPRODUCT(MAX(ROW(E$1:E2498)*(E2499=E$1:E2498)))))</f>
        <v> </v>
      </c>
      <c r="L2499" s="26"/>
    </row>
    <row r="2500" spans="1:12">
      <c r="A2500" s="20" t="s">
        <v>2312</v>
      </c>
      <c r="E2500" s="21">
        <f>IF(D2500="?OLD","!!!","")</f>
        <v/>
      </c>
      <c r="F2500" s="22" t="str">
        <f>IF(OR(E2500="",E2500="!!!"),"",IF(NOT(ISNA(VLOOKUP(E2500,E$1:E2499,1,FALSE()))),"OLD",IF(AND(E2500&lt;&gt;"",E2500&lt;&gt;"!!!"),"NEW","")))</f>
        <v> </v>
      </c>
      <c r="G2500" s="23" t="str">
        <f>IF(OR(E2500="",E2500="!!!"),"",IF(OR(J2500=0,AND(J2500=1,K2500=1),AND(J2500=1,I2500="SBJ"),AND(J2500=1,I2500=0)),"?IN_FOCUS",IF(J2500&lt;=2,"?ACTIVATED",IF(J2500&lt;&gt;"","?FAMILIAR",IF(F2500="NEW",IF(ISNA(VLOOKUP(E2500,#REF!,1,FALSE())),"?TYPE_IDENTIFIABLE","?REFERENTIAL"),"_")))))</f>
        <v> </v>
      </c>
      <c r="H2500" s="24" t="str">
        <f>IF(J2500&lt;&gt;1,"",IF(I2500="SBJ","CB","?"))</f>
        <v> </v>
      </c>
      <c r="I2500" s="25" t="str">
        <f>IF(OR(E2500="",E2500="!!!",F2500="NEW"),"",INDEX(B2499:B$2,-1+SUMPRODUCT(MAX(ROW(E2499:E$2)*(E2500=E2499:E$2)))))</f>
        <v> </v>
      </c>
      <c r="J2500" s="25" t="str">
        <f>IF(OR(E2500="",E2500="!!!",F2500="NEW"),"",COUNTBLANK(OFFSET(A$1,,,SUMPRODUCT(MAX(ROW(E$2:E2500)*(E2500=E$2:E2500)))))-COUNTBLANK(OFFSET(A$1,,,SUMPRODUCT(MAX(ROW(E$1:E2499)*(E2=E$1:E2499))))))</f>
        <v> </v>
      </c>
      <c r="K2500" s="25" t="str">
        <f>IF(OR(E2500="",E2500="!!!",F2500="NEW"),"",INDEX(J$1:J2499,SUMPRODUCT(MAX(ROW(E$1:E2499)*(E2500=E$1:E2499)))))</f>
        <v> </v>
      </c>
      <c r="L2500" s="26"/>
    </row>
    <row r="2501" spans="1:12">
      <c r="A2501" s="20" t="s">
        <v>2313</v>
      </c>
      <c r="E2501" s="21">
        <f>IF(D2501="?OLD","!!!","")</f>
        <v/>
      </c>
      <c r="F2501" s="22" t="str">
        <f>IF(OR(E2501="",E2501="!!!"),"",IF(NOT(ISNA(VLOOKUP(E2501,E$1:E2500,1,FALSE()))),"OLD",IF(AND(E2501&lt;&gt;"",E2501&lt;&gt;"!!!"),"NEW","")))</f>
        <v> </v>
      </c>
      <c r="G2501" s="23" t="str">
        <f>IF(OR(E2501="",E2501="!!!"),"",IF(OR(J2501=0,AND(J2501=1,K2501=1),AND(J2501=1,I2501="SBJ"),AND(J2501=1,I2501=0)),"?IN_FOCUS",IF(J2501&lt;=2,"?ACTIVATED",IF(J2501&lt;&gt;"","?FAMILIAR",IF(F2501="NEW",IF(ISNA(VLOOKUP(E2501,#REF!,1,FALSE())),"?TYPE_IDENTIFIABLE","?REFERENTIAL"),"_")))))</f>
        <v> </v>
      </c>
      <c r="H2501" s="24" t="str">
        <f>IF(J2501&lt;&gt;1,"",IF(I2501="SBJ","CB","?"))</f>
        <v> </v>
      </c>
      <c r="I2501" s="25" t="str">
        <f>IF(OR(E2501="",E2501="!!!",F2501="NEW"),"",INDEX(B2500:B$2,-1+SUMPRODUCT(MAX(ROW(E2500:E$2)*(E2501=E2500:E$2)))))</f>
        <v> </v>
      </c>
      <c r="J2501" s="25" t="str">
        <f>IF(OR(E2501="",E2501="!!!",F2501="NEW"),"",COUNTBLANK(OFFSET(A$1,,,SUMPRODUCT(MAX(ROW(E$2:E2501)*(E2501=E$2:E2501)))))-COUNTBLANK(OFFSET(A$1,,,SUMPRODUCT(MAX(ROW(E$1:E2500)*(E2=E$1:E2500))))))</f>
        <v> </v>
      </c>
      <c r="K2501" s="25" t="str">
        <f>IF(OR(E2501="",E2501="!!!",F2501="NEW"),"",INDEX(J$1:J2500,SUMPRODUCT(MAX(ROW(E$1:E2500)*(E2501=E$1:E2500)))))</f>
        <v> </v>
      </c>
      <c r="L2501" s="26"/>
    </row>
    <row r="2502" spans="1:12">
      <c r="A2502" s="20" t="s">
        <v>1201</v>
      </c>
      <c r="E2502" s="21">
        <f>IF(D2502="?OLD","!!!","")</f>
        <v/>
      </c>
      <c r="F2502" s="22" t="str">
        <f>IF(OR(E2502="",E2502="!!!"),"",IF(NOT(ISNA(VLOOKUP(E2502,E$1:E2501,1,FALSE()))),"OLD",IF(AND(E2502&lt;&gt;"",E2502&lt;&gt;"!!!"),"NEW","")))</f>
        <v> </v>
      </c>
      <c r="G2502" s="23" t="str">
        <f>IF(OR(E2502="",E2502="!!!"),"",IF(OR(J2502=0,AND(J2502=1,K2502=1),AND(J2502=1,I2502="SBJ"),AND(J2502=1,I2502=0)),"?IN_FOCUS",IF(J2502&lt;=2,"?ACTIVATED",IF(J2502&lt;&gt;"","?FAMILIAR",IF(F2502="NEW",IF(ISNA(VLOOKUP(E2502,#REF!,1,FALSE())),"?TYPE_IDENTIFIABLE","?REFERENTIAL"),"_")))))</f>
        <v> </v>
      </c>
      <c r="H2502" s="24" t="str">
        <f>IF(J2502&lt;&gt;1,"",IF(I2502="SBJ","CB","?"))</f>
        <v> </v>
      </c>
      <c r="I2502" s="25" t="str">
        <f>IF(OR(E2502="",E2502="!!!",F2502="NEW"),"",INDEX(B2501:B$2,-1+SUMPRODUCT(MAX(ROW(E2501:E$2)*(E2502=E2501:E$2)))))</f>
        <v> </v>
      </c>
      <c r="J2502" s="25" t="str">
        <f>IF(OR(E2502="",E2502="!!!",F2502="NEW"),"",COUNTBLANK(OFFSET(A$1,,,SUMPRODUCT(MAX(ROW(E$2:E2502)*(E2502=E$2:E2502)))))-COUNTBLANK(OFFSET(A$1,,,SUMPRODUCT(MAX(ROW(E$1:E2501)*(E2=E$1:E2501))))))</f>
        <v> </v>
      </c>
      <c r="K2502" s="25" t="str">
        <f>IF(OR(E2502="",E2502="!!!",F2502="NEW"),"",INDEX(J$1:J2501,SUMPRODUCT(MAX(ROW(E$1:E2501)*(E2502=E$1:E2501)))))</f>
        <v> </v>
      </c>
      <c r="L2502" s="26"/>
    </row>
    <row r="2503" spans="1:12">
      <c r="A2503" s="20" t="s">
        <v>2314</v>
      </c>
      <c r="E2503" s="21">
        <f>IF(D2503="?OLD","!!!","")</f>
        <v/>
      </c>
      <c r="F2503" s="22" t="str">
        <f>IF(OR(E2503="",E2503="!!!"),"",IF(NOT(ISNA(VLOOKUP(E2503,E$1:E2502,1,FALSE()))),"OLD",IF(AND(E2503&lt;&gt;"",E2503&lt;&gt;"!!!"),"NEW","")))</f>
        <v> </v>
      </c>
      <c r="G2503" s="23" t="str">
        <f>IF(OR(E2503="",E2503="!!!"),"",IF(OR(J2503=0,AND(J2503=1,K2503=1),AND(J2503=1,I2503="SBJ"),AND(J2503=1,I2503=0)),"?IN_FOCUS",IF(J2503&lt;=2,"?ACTIVATED",IF(J2503&lt;&gt;"","?FAMILIAR",IF(F2503="NEW",IF(ISNA(VLOOKUP(E2503,#REF!,1,FALSE())),"?TYPE_IDENTIFIABLE","?REFERENTIAL"),"_")))))</f>
        <v> </v>
      </c>
      <c r="H2503" s="24" t="str">
        <f>IF(J2503&lt;&gt;1,"",IF(I2503="SBJ","CB","?"))</f>
        <v> </v>
      </c>
      <c r="I2503" s="25" t="str">
        <f>IF(OR(E2503="",E2503="!!!",F2503="NEW"),"",INDEX(B2502:B$2,-1+SUMPRODUCT(MAX(ROW(E2502:E$2)*(E2503=E2502:E$2)))))</f>
        <v> </v>
      </c>
      <c r="J2503" s="25" t="str">
        <f>IF(OR(E2503="",E2503="!!!",F2503="NEW"),"",COUNTBLANK(OFFSET(A$1,,,SUMPRODUCT(MAX(ROW(E$2:E2503)*(E2503=E$2:E2503)))))-COUNTBLANK(OFFSET(A$1,,,SUMPRODUCT(MAX(ROW(E$1:E2502)*(E2=E$1:E2502))))))</f>
        <v> </v>
      </c>
      <c r="K2503" s="25" t="str">
        <f>IF(OR(E2503="",E2503="!!!",F2503="NEW"),"",INDEX(J$1:J2502,SUMPRODUCT(MAX(ROW(E$1:E2502)*(E2503=E$1:E2502)))))</f>
        <v> </v>
      </c>
      <c r="L2503" s="26"/>
    </row>
    <row r="2504" spans="1:12">
      <c r="A2504" s="20" t="s">
        <v>2103</v>
      </c>
      <c r="E2504" s="21">
        <f>IF(D2504="?OLD","!!!","")</f>
        <v/>
      </c>
      <c r="F2504" s="22" t="str">
        <f>IF(OR(E2504="",E2504="!!!"),"",IF(NOT(ISNA(VLOOKUP(E2504,E$1:E2503,1,FALSE()))),"OLD",IF(AND(E2504&lt;&gt;"",E2504&lt;&gt;"!!!"),"NEW","")))</f>
        <v> </v>
      </c>
      <c r="G2504" s="23" t="str">
        <f>IF(OR(E2504="",E2504="!!!"),"",IF(OR(J2504=0,AND(J2504=1,K2504=1),AND(J2504=1,I2504="SBJ"),AND(J2504=1,I2504=0)),"?IN_FOCUS",IF(J2504&lt;=2,"?ACTIVATED",IF(J2504&lt;&gt;"","?FAMILIAR",IF(F2504="NEW",IF(ISNA(VLOOKUP(E2504,#REF!,1,FALSE())),"?TYPE_IDENTIFIABLE","?REFERENTIAL"),"_")))))</f>
        <v> </v>
      </c>
      <c r="H2504" s="24" t="str">
        <f>IF(J2504&lt;&gt;1,"",IF(I2504="SBJ","CB","?"))</f>
        <v> </v>
      </c>
      <c r="I2504" s="25" t="str">
        <f>IF(OR(E2504="",E2504="!!!",F2504="NEW"),"",INDEX(B2503:B$2,-1+SUMPRODUCT(MAX(ROW(E2503:E$2)*(E2504=E2503:E$2)))))</f>
        <v> </v>
      </c>
      <c r="J2504" s="25" t="str">
        <f>IF(OR(E2504="",E2504="!!!",F2504="NEW"),"",COUNTBLANK(OFFSET(A$1,,,SUMPRODUCT(MAX(ROW(E$2:E2504)*(E2504=E$2:E2504)))))-COUNTBLANK(OFFSET(A$1,,,SUMPRODUCT(MAX(ROW(E$1:E2503)*(E2=E$1:E2503))))))</f>
        <v> </v>
      </c>
      <c r="K2504" s="25" t="str">
        <f>IF(OR(E2504="",E2504="!!!",F2504="NEW"),"",INDEX(J$1:J2503,SUMPRODUCT(MAX(ROW(E$1:E2503)*(E2504=E$1:E2503)))))</f>
        <v> </v>
      </c>
      <c r="L2504" s="26"/>
    </row>
    <row r="2505" spans="1:12">
      <c r="A2505" s="20" t="s">
        <v>1123</v>
      </c>
      <c r="E2505" s="21">
        <f>IF(D2505="?OLD","!!!","")</f>
        <v/>
      </c>
      <c r="F2505" s="22" t="str">
        <f>IF(OR(E2505="",E2505="!!!"),"",IF(NOT(ISNA(VLOOKUP(E2505,E$1:E2504,1,FALSE()))),"OLD",IF(AND(E2505&lt;&gt;"",E2505&lt;&gt;"!!!"),"NEW","")))</f>
        <v> </v>
      </c>
      <c r="G2505" s="23" t="str">
        <f>IF(OR(E2505="",E2505="!!!"),"",IF(OR(J2505=0,AND(J2505=1,K2505=1),AND(J2505=1,I2505="SBJ"),AND(J2505=1,I2505=0)),"?IN_FOCUS",IF(J2505&lt;=2,"?ACTIVATED",IF(J2505&lt;&gt;"","?FAMILIAR",IF(F2505="NEW",IF(ISNA(VLOOKUP(E2505,#REF!,1,FALSE())),"?TYPE_IDENTIFIABLE","?REFERENTIAL"),"_")))))</f>
        <v> </v>
      </c>
      <c r="H2505" s="24" t="str">
        <f>IF(J2505&lt;&gt;1,"",IF(I2505="SBJ","CB","?"))</f>
        <v> </v>
      </c>
      <c r="I2505" s="25" t="str">
        <f>IF(OR(E2505="",E2505="!!!",F2505="NEW"),"",INDEX(B2504:B$2,-1+SUMPRODUCT(MAX(ROW(E2504:E$2)*(E2505=E2504:E$2)))))</f>
        <v> </v>
      </c>
      <c r="J2505" s="25" t="str">
        <f>IF(OR(E2505="",E2505="!!!",F2505="NEW"),"",COUNTBLANK(OFFSET(A$1,,,SUMPRODUCT(MAX(ROW(E$2:E2505)*(E2505=E$2:E2505)))))-COUNTBLANK(OFFSET(A$1,,,SUMPRODUCT(MAX(ROW(E$1:E2504)*(E2=E$1:E2504))))))</f>
        <v> </v>
      </c>
      <c r="K2505" s="25" t="str">
        <f>IF(OR(E2505="",E2505="!!!",F2505="NEW"),"",INDEX(J$1:J2504,SUMPRODUCT(MAX(ROW(E$1:E2504)*(E2505=E$1:E2504)))))</f>
        <v> </v>
      </c>
      <c r="L2505" s="26"/>
    </row>
    <row r="2506" spans="1:12">
      <c r="A2506" s="20" t="s">
        <v>1111</v>
      </c>
      <c r="E2506" s="21">
        <f>IF(D2506="?OLD","!!!","")</f>
        <v/>
      </c>
      <c r="F2506" s="22" t="str">
        <f>IF(OR(E2506="",E2506="!!!"),"",IF(NOT(ISNA(VLOOKUP(E2506,E$1:E2505,1,FALSE()))),"OLD",IF(AND(E2506&lt;&gt;"",E2506&lt;&gt;"!!!"),"NEW","")))</f>
        <v> </v>
      </c>
      <c r="G2506" s="23" t="str">
        <f>IF(OR(E2506="",E2506="!!!"),"",IF(OR(J2506=0,AND(J2506=1,K2506=1),AND(J2506=1,I2506="SBJ"),AND(J2506=1,I2506=0)),"?IN_FOCUS",IF(J2506&lt;=2,"?ACTIVATED",IF(J2506&lt;&gt;"","?FAMILIAR",IF(F2506="NEW",IF(ISNA(VLOOKUP(E2506,#REF!,1,FALSE())),"?TYPE_IDENTIFIABLE","?REFERENTIAL"),"_")))))</f>
        <v> </v>
      </c>
      <c r="H2506" s="24" t="str">
        <f>IF(J2506&lt;&gt;1,"",IF(I2506="SBJ","CB","?"))</f>
        <v> </v>
      </c>
      <c r="I2506" s="25" t="str">
        <f>IF(OR(E2506="",E2506="!!!",F2506="NEW"),"",INDEX(B2505:B$2,-1+SUMPRODUCT(MAX(ROW(E2505:E$2)*(E2506=E2505:E$2)))))</f>
        <v> </v>
      </c>
      <c r="J2506" s="25" t="str">
        <f>IF(OR(E2506="",E2506="!!!",F2506="NEW"),"",COUNTBLANK(OFFSET(A$1,,,SUMPRODUCT(MAX(ROW(E$2:E2506)*(E2506=E$2:E2506)))))-COUNTBLANK(OFFSET(A$1,,,SUMPRODUCT(MAX(ROW(E$1:E2505)*(E2=E$1:E2505))))))</f>
        <v> </v>
      </c>
      <c r="K2506" s="25" t="str">
        <f>IF(OR(E2506="",E2506="!!!",F2506="NEW"),"",INDEX(J$1:J2505,SUMPRODUCT(MAX(ROW(E$1:E2505)*(E2506=E$1:E2505)))))</f>
        <v> </v>
      </c>
      <c r="L2506" s="26"/>
    </row>
    <row r="2507" spans="1:12">
      <c r="A2507" s="20" t="s">
        <v>1224</v>
      </c>
      <c r="E2507" s="21">
        <f>IF(D2507="?OLD","!!!","")</f>
        <v/>
      </c>
      <c r="F2507" s="22" t="str">
        <f>IF(OR(E2507="",E2507="!!!"),"",IF(NOT(ISNA(VLOOKUP(E2507,E$1:E2506,1,FALSE()))),"OLD",IF(AND(E2507&lt;&gt;"",E2507&lt;&gt;"!!!"),"NEW","")))</f>
        <v> </v>
      </c>
      <c r="G2507" s="23" t="str">
        <f>IF(OR(E2507="",E2507="!!!"),"",IF(OR(J2507=0,AND(J2507=1,K2507=1),AND(J2507=1,I2507="SBJ"),AND(J2507=1,I2507=0)),"?IN_FOCUS",IF(J2507&lt;=2,"?ACTIVATED",IF(J2507&lt;&gt;"","?FAMILIAR",IF(F2507="NEW",IF(ISNA(VLOOKUP(E2507,#REF!,1,FALSE())),"?TYPE_IDENTIFIABLE","?REFERENTIAL"),"_")))))</f>
        <v> </v>
      </c>
      <c r="H2507" s="24" t="str">
        <f>IF(J2507&lt;&gt;1,"",IF(I2507="SBJ","CB","?"))</f>
        <v> </v>
      </c>
      <c r="I2507" s="25" t="str">
        <f>IF(OR(E2507="",E2507="!!!",F2507="NEW"),"",INDEX(B2506:B$2,-1+SUMPRODUCT(MAX(ROW(E2506:E$2)*(E2507=E2506:E$2)))))</f>
        <v> </v>
      </c>
      <c r="J2507" s="25" t="str">
        <f>IF(OR(E2507="",E2507="!!!",F2507="NEW"),"",COUNTBLANK(OFFSET(A$1,,,SUMPRODUCT(MAX(ROW(E$2:E2507)*(E2507=E$2:E2507)))))-COUNTBLANK(OFFSET(A$1,,,SUMPRODUCT(MAX(ROW(E$1:E2506)*(E2=E$1:E2506))))))</f>
        <v> </v>
      </c>
      <c r="K2507" s="25" t="str">
        <f>IF(OR(E2507="",E2507="!!!",F2507="NEW"),"",INDEX(J$1:J2506,SUMPRODUCT(MAX(ROW(E$1:E2506)*(E2507=E$1:E2506)))))</f>
        <v> </v>
      </c>
      <c r="L2507" s="26"/>
    </row>
    <row r="2508" spans="1:12">
      <c r="A2508" s="20" t="s">
        <v>1564</v>
      </c>
      <c r="E2508" s="21">
        <f>IF(D2508="?OLD","!!!","")</f>
        <v/>
      </c>
      <c r="F2508" s="22" t="str">
        <f>IF(OR(E2508="",E2508="!!!"),"",IF(NOT(ISNA(VLOOKUP(E2508,E$1:E2507,1,FALSE()))),"OLD",IF(AND(E2508&lt;&gt;"",E2508&lt;&gt;"!!!"),"NEW","")))</f>
        <v> </v>
      </c>
      <c r="G2508" s="23" t="str">
        <f>IF(OR(E2508="",E2508="!!!"),"",IF(OR(J2508=0,AND(J2508=1,K2508=1),AND(J2508=1,I2508="SBJ"),AND(J2508=1,I2508=0)),"?IN_FOCUS",IF(J2508&lt;=2,"?ACTIVATED",IF(J2508&lt;&gt;"","?FAMILIAR",IF(F2508="NEW",IF(ISNA(VLOOKUP(E2508,#REF!,1,FALSE())),"?TYPE_IDENTIFIABLE","?REFERENTIAL"),"_")))))</f>
        <v> </v>
      </c>
      <c r="H2508" s="24" t="str">
        <f>IF(J2508&lt;&gt;1,"",IF(I2508="SBJ","CB","?"))</f>
        <v> </v>
      </c>
      <c r="I2508" s="25" t="str">
        <f>IF(OR(E2508="",E2508="!!!",F2508="NEW"),"",INDEX(B2507:B$2,-1+SUMPRODUCT(MAX(ROW(E2507:E$2)*(E2508=E2507:E$2)))))</f>
        <v> </v>
      </c>
      <c r="J2508" s="25" t="str">
        <f>IF(OR(E2508="",E2508="!!!",F2508="NEW"),"",COUNTBLANK(OFFSET(A$1,,,SUMPRODUCT(MAX(ROW(E$2:E2508)*(E2508=E$2:E2508)))))-COUNTBLANK(OFFSET(A$1,,,SUMPRODUCT(MAX(ROW(E$1:E2507)*(E2=E$1:E2507))))))</f>
        <v> </v>
      </c>
      <c r="K2508" s="25" t="str">
        <f>IF(OR(E2508="",E2508="!!!",F2508="NEW"),"",INDEX(J$1:J2507,SUMPRODUCT(MAX(ROW(E$1:E2507)*(E2508=E$1:E2507)))))</f>
        <v> </v>
      </c>
      <c r="L2508" s="26"/>
    </row>
    <row r="2509" spans="1:12">
      <c r="A2509" s="20" t="s">
        <v>2315</v>
      </c>
      <c r="B2509" s="27" t="s">
        <v>1125</v>
      </c>
      <c r="C2509" s="27" t="s">
        <v>1133</v>
      </c>
      <c r="E2509" s="21">
        <f>IF(D2509="?OLD","!!!","")</f>
        <v/>
      </c>
      <c r="F2509" s="22" t="str">
        <f>IF(OR(E2509="",E2509="!!!"),"",IF(NOT(ISNA(VLOOKUP(E2509,E$1:E2508,1,FALSE()))),"OLD",IF(AND(E2509&lt;&gt;"",E2509&lt;&gt;"!!!"),"NEW","")))</f>
        <v> </v>
      </c>
      <c r="G2509" s="23" t="str">
        <f>IF(OR(E2509="",E2509="!!!"),"",IF(OR(J2509=0,AND(J2509=1,K2509=1),AND(J2509=1,I2509="SBJ"),AND(J2509=1,I2509=0)),"?IN_FOCUS",IF(J2509&lt;=2,"?ACTIVATED",IF(J2509&lt;&gt;"","?FAMILIAR",IF(F2509="NEW",IF(ISNA(VLOOKUP(E2509,#REF!,1,FALSE())),"?TYPE_IDENTIFIABLE","?REFERENTIAL"),"_")))))</f>
        <v> </v>
      </c>
      <c r="H2509" s="24" t="str">
        <f>IF(J2509&lt;&gt;1,"",IF(I2509="SBJ","CB","?"))</f>
        <v> </v>
      </c>
      <c r="I2509" s="25" t="str">
        <f>IF(OR(E2509="",E2509="!!!",F2509="NEW"),"",INDEX(B2508:B$2,-1+SUMPRODUCT(MAX(ROW(E2508:E$2)*(E2509=E2508:E$2)))))</f>
        <v> </v>
      </c>
      <c r="J2509" s="25" t="str">
        <f>IF(OR(E2509="",E2509="!!!",F2509="NEW"),"",COUNTBLANK(OFFSET(A$1,,,SUMPRODUCT(MAX(ROW(E$2:E2509)*(E2509=E$2:E2509)))))-COUNTBLANK(OFFSET(A$1,,,SUMPRODUCT(MAX(ROW(E$1:E2508)*(E2=E$1:E2508))))))</f>
        <v> </v>
      </c>
      <c r="K2509" s="25" t="str">
        <f>IF(OR(E2509="",E2509="!!!",F2509="NEW"),"",INDEX(J$1:J2508,SUMPRODUCT(MAX(ROW(E$1:E2508)*(E2509=E$1:E2508)))))</f>
        <v> </v>
      </c>
      <c r="L2509" s="26"/>
    </row>
    <row r="2510" spans="1:12">
      <c r="A2510" s="20" t="s">
        <v>1101</v>
      </c>
      <c r="E2510" s="21">
        <f>IF(D2510="?OLD","!!!","")</f>
        <v/>
      </c>
      <c r="F2510" s="22" t="str">
        <f>IF(OR(E2510="",E2510="!!!"),"",IF(NOT(ISNA(VLOOKUP(E2510,E$1:E2509,1,FALSE()))),"OLD",IF(AND(E2510&lt;&gt;"",E2510&lt;&gt;"!!!"),"NEW","")))</f>
        <v> </v>
      </c>
      <c r="G2510" s="23" t="str">
        <f>IF(OR(E2510="",E2510="!!!"),"",IF(OR(J2510=0,AND(J2510=1,K2510=1),AND(J2510=1,I2510="SBJ"),AND(J2510=1,I2510=0)),"?IN_FOCUS",IF(J2510&lt;=2,"?ACTIVATED",IF(J2510&lt;&gt;"","?FAMILIAR",IF(F2510="NEW",IF(ISNA(VLOOKUP(E2510,#REF!,1,FALSE())),"?TYPE_IDENTIFIABLE","?REFERENTIAL"),"_")))))</f>
        <v> </v>
      </c>
      <c r="H2510" s="24" t="str">
        <f>IF(J2510&lt;&gt;1,"",IF(I2510="SBJ","CB","?"))</f>
        <v> </v>
      </c>
      <c r="I2510" s="25" t="str">
        <f>IF(OR(E2510="",E2510="!!!",F2510="NEW"),"",INDEX(B2509:B$2,-1+SUMPRODUCT(MAX(ROW(E2509:E$2)*(E2510=E2509:E$2)))))</f>
        <v> </v>
      </c>
      <c r="J2510" s="25" t="str">
        <f>IF(OR(E2510="",E2510="!!!",F2510="NEW"),"",COUNTBLANK(OFFSET(A$1,,,SUMPRODUCT(MAX(ROW(E$2:E2510)*(E2510=E$2:E2510)))))-COUNTBLANK(OFFSET(A$1,,,SUMPRODUCT(MAX(ROW(E$1:E2509)*(E2=E$1:E2509))))))</f>
        <v> </v>
      </c>
      <c r="K2510" s="25" t="str">
        <f>IF(OR(E2510="",E2510="!!!",F2510="NEW"),"",INDEX(J$1:J2509,SUMPRODUCT(MAX(ROW(E$1:E2509)*(E2510=E$1:E2509)))))</f>
        <v> </v>
      </c>
      <c r="L2510" s="26"/>
    </row>
    <row r="2511" spans="1:12">
      <c r="A2511" s="20" t="s">
        <v>1270</v>
      </c>
      <c r="B2511" s="27" t="s">
        <v>1132</v>
      </c>
      <c r="C2511" s="27" t="s">
        <v>1126</v>
      </c>
      <c r="D2511" s="27" t="s">
        <v>1105</v>
      </c>
      <c r="E2511" s="21">
        <f>IF(D2511="?OLD","!!!","")</f>
        <v/>
      </c>
      <c r="F2511" s="22" t="str">
        <f>IF(OR(E2511="",E2511="!!!"),"",IF(NOT(ISNA(VLOOKUP(E2511,E$1:E2510,1,FALSE()))),"OLD",IF(AND(E2511&lt;&gt;"",E2511&lt;&gt;"!!!"),"NEW","")))</f>
        <v> </v>
      </c>
      <c r="G2511" s="23" t="str">
        <f>IF(OR(E2511="",E2511="!!!"),"",IF(OR(J2511=0,AND(J2511=1,K2511=1),AND(J2511=1,I2511="SBJ"),AND(J2511=1,I2511=0)),"?IN_FOCUS",IF(J2511&lt;=2,"?ACTIVATED",IF(J2511&lt;&gt;"","?FAMILIAR",IF(F2511="NEW",IF(ISNA(VLOOKUP(E2511,#REF!,1,FALSE())),"?TYPE_IDENTIFIABLE","?REFERENTIAL"),"_")))))</f>
        <v> </v>
      </c>
      <c r="H2511" s="24" t="str">
        <f>IF(J2511&lt;&gt;1,"",IF(I2511="SBJ","CB","?"))</f>
        <v> </v>
      </c>
      <c r="I2511" s="25" t="str">
        <f>IF(OR(E2511="",E2511="!!!",F2511="NEW"),"",INDEX(B2510:B$2,-1+SUMPRODUCT(MAX(ROW(E2510:E$2)*(E2511=E2510:E$2)))))</f>
        <v> </v>
      </c>
      <c r="J2511" s="25" t="str">
        <f>IF(OR(E2511="",E2511="!!!",F2511="NEW"),"",COUNTBLANK(OFFSET(A$1,,,SUMPRODUCT(MAX(ROW(E$2:E2511)*(E2511=E$2:E2511)))))-COUNTBLANK(OFFSET(A$1,,,SUMPRODUCT(MAX(ROW(E$1:E2510)*(E2=E$1:E2510))))))</f>
        <v> </v>
      </c>
      <c r="K2511" s="25" t="str">
        <f>IF(OR(E2511="",E2511="!!!",F2511="NEW"),"",INDEX(J$1:J2510,SUMPRODUCT(MAX(ROW(E$1:E2510)*(E2511=E$1:E2510)))))</f>
        <v> </v>
      </c>
      <c r="L2511" s="26"/>
    </row>
    <row r="2512" spans="1:12">
      <c r="A2512" s="20" t="s">
        <v>2316</v>
      </c>
      <c r="E2512" s="21">
        <f>IF(D2512="?OLD","!!!","")</f>
        <v/>
      </c>
      <c r="F2512" s="22" t="str">
        <f>IF(OR(E2512="",E2512="!!!"),"",IF(NOT(ISNA(VLOOKUP(E2512,E$1:E2511,1,FALSE()))),"OLD",IF(AND(E2512&lt;&gt;"",E2512&lt;&gt;"!!!"),"NEW","")))</f>
        <v> </v>
      </c>
      <c r="G2512" s="23" t="str">
        <f>IF(OR(E2512="",E2512="!!!"),"",IF(OR(J2512=0,AND(J2512=1,K2512=1),AND(J2512=1,I2512="SBJ"),AND(J2512=1,I2512=0)),"?IN_FOCUS",IF(J2512&lt;=2,"?ACTIVATED",IF(J2512&lt;&gt;"","?FAMILIAR",IF(F2512="NEW",IF(ISNA(VLOOKUP(E2512,#REF!,1,FALSE())),"?TYPE_IDENTIFIABLE","?REFERENTIAL"),"_")))))</f>
        <v> </v>
      </c>
      <c r="H2512" s="24" t="str">
        <f>IF(J2512&lt;&gt;1,"",IF(I2512="SBJ","CB","?"))</f>
        <v> </v>
      </c>
      <c r="I2512" s="25" t="str">
        <f>IF(OR(E2512="",E2512="!!!",F2512="NEW"),"",INDEX(B2511:B$2,-1+SUMPRODUCT(MAX(ROW(E2511:E$2)*(E2512=E2511:E$2)))))</f>
        <v> </v>
      </c>
      <c r="J2512" s="25" t="str">
        <f>IF(OR(E2512="",E2512="!!!",F2512="NEW"),"",COUNTBLANK(OFFSET(A$1,,,SUMPRODUCT(MAX(ROW(E$2:E2512)*(E2512=E$2:E2512)))))-COUNTBLANK(OFFSET(A$1,,,SUMPRODUCT(MAX(ROW(E$1:E2511)*(E2=E$1:E2511))))))</f>
        <v> </v>
      </c>
      <c r="K2512" s="25" t="str">
        <f>IF(OR(E2512="",E2512="!!!",F2512="NEW"),"",INDEX(J$1:J2511,SUMPRODUCT(MAX(ROW(E$1:E2511)*(E2512=E$1:E2511)))))</f>
        <v> </v>
      </c>
      <c r="L2512" s="26"/>
    </row>
    <row r="2513" spans="1:12">
      <c r="A2513" s="20" t="s">
        <v>1130</v>
      </c>
      <c r="E2513" s="21">
        <f>IF(D2513="?OLD","!!!","")</f>
        <v/>
      </c>
      <c r="F2513" s="22" t="str">
        <f>IF(OR(E2513="",E2513="!!!"),"",IF(NOT(ISNA(VLOOKUP(E2513,E$1:E2512,1,FALSE()))),"OLD",IF(AND(E2513&lt;&gt;"",E2513&lt;&gt;"!!!"),"NEW","")))</f>
        <v> </v>
      </c>
      <c r="G2513" s="23" t="str">
        <f>IF(OR(E2513="",E2513="!!!"),"",IF(OR(J2513=0,AND(J2513=1,K2513=1),AND(J2513=1,I2513="SBJ"),AND(J2513=1,I2513=0)),"?IN_FOCUS",IF(J2513&lt;=2,"?ACTIVATED",IF(J2513&lt;&gt;"","?FAMILIAR",IF(F2513="NEW",IF(ISNA(VLOOKUP(E2513,#REF!,1,FALSE())),"?TYPE_IDENTIFIABLE","?REFERENTIAL"),"_")))))</f>
        <v> </v>
      </c>
      <c r="H2513" s="24" t="str">
        <f>IF(J2513&lt;&gt;1,"",IF(I2513="SBJ","CB","?"))</f>
        <v> </v>
      </c>
      <c r="I2513" s="25" t="str">
        <f>IF(OR(E2513="",E2513="!!!",F2513="NEW"),"",INDEX(B2512:B$2,-1+SUMPRODUCT(MAX(ROW(E2512:E$2)*(E2513=E2512:E$2)))))</f>
        <v> </v>
      </c>
      <c r="J2513" s="25" t="str">
        <f>IF(OR(E2513="",E2513="!!!",F2513="NEW"),"",COUNTBLANK(OFFSET(A$1,,,SUMPRODUCT(MAX(ROW(E$2:E2513)*(E2513=E$2:E2513)))))-COUNTBLANK(OFFSET(A$1,,,SUMPRODUCT(MAX(ROW(E$1:E2512)*(E2=E$1:E2512))))))</f>
        <v> </v>
      </c>
      <c r="K2513" s="25" t="str">
        <f>IF(OR(E2513="",E2513="!!!",F2513="NEW"),"",INDEX(J$1:J2512,SUMPRODUCT(MAX(ROW(E$1:E2512)*(E2513=E$1:E2512)))))</f>
        <v> </v>
      </c>
      <c r="L2513" s="26"/>
    </row>
    <row r="2514" spans="1:12">
      <c r="A2514" s="20" t="s">
        <v>2317</v>
      </c>
      <c r="B2514" s="27" t="s">
        <v>1132</v>
      </c>
      <c r="C2514" s="27" t="s">
        <v>1126</v>
      </c>
      <c r="D2514" s="27" t="s">
        <v>1105</v>
      </c>
      <c r="E2514" s="21">
        <f>IF(D2514="?OLD","!!!","")</f>
        <v/>
      </c>
      <c r="F2514" s="22" t="str">
        <f>IF(OR(E2514="",E2514="!!!"),"",IF(NOT(ISNA(VLOOKUP(E2514,E$1:E2513,1,FALSE()))),"OLD",IF(AND(E2514&lt;&gt;"",E2514&lt;&gt;"!!!"),"NEW","")))</f>
        <v> </v>
      </c>
      <c r="G2514" s="23" t="str">
        <f>IF(OR(E2514="",E2514="!!!"),"",IF(OR(J2514=0,AND(J2514=1,K2514=1),AND(J2514=1,I2514="SBJ"),AND(J2514=1,I2514=0)),"?IN_FOCUS",IF(J2514&lt;=2,"?ACTIVATED",IF(J2514&lt;&gt;"","?FAMILIAR",IF(F2514="NEW",IF(ISNA(VLOOKUP(E2514,#REF!,1,FALSE())),"?TYPE_IDENTIFIABLE","?REFERENTIAL"),"_")))))</f>
        <v> </v>
      </c>
      <c r="H2514" s="24" t="str">
        <f>IF(J2514&lt;&gt;1,"",IF(I2514="SBJ","CB","?"))</f>
        <v> </v>
      </c>
      <c r="I2514" s="25" t="str">
        <f>IF(OR(E2514="",E2514="!!!",F2514="NEW"),"",INDEX(B2513:B$2,-1+SUMPRODUCT(MAX(ROW(E2513:E$2)*(E2514=E2513:E$2)))))</f>
        <v> </v>
      </c>
      <c r="J2514" s="25" t="str">
        <f>IF(OR(E2514="",E2514="!!!",F2514="NEW"),"",COUNTBLANK(OFFSET(A$1,,,SUMPRODUCT(MAX(ROW(E$2:E2514)*(E2514=E$2:E2514)))))-COUNTBLANK(OFFSET(A$1,,,SUMPRODUCT(MAX(ROW(E$1:E2513)*(E2=E$1:E2513))))))</f>
        <v> </v>
      </c>
      <c r="K2514" s="25" t="str">
        <f>IF(OR(E2514="",E2514="!!!",F2514="NEW"),"",INDEX(J$1:J2513,SUMPRODUCT(MAX(ROW(E$1:E2513)*(E2514=E$1:E2513)))))</f>
        <v> </v>
      </c>
      <c r="L2514" s="26"/>
    </row>
    <row r="2515" spans="1:12">
      <c r="A2515" s="20" t="s">
        <v>1543</v>
      </c>
      <c r="E2515" s="21">
        <f>IF(D2515="?OLD","!!!","")</f>
        <v/>
      </c>
      <c r="F2515" s="22" t="str">
        <f>IF(OR(E2515="",E2515="!!!"),"",IF(NOT(ISNA(VLOOKUP(E2515,E$1:E2514,1,FALSE()))),"OLD",IF(AND(E2515&lt;&gt;"",E2515&lt;&gt;"!!!"),"NEW","")))</f>
        <v> </v>
      </c>
      <c r="G2515" s="23" t="str">
        <f>IF(OR(E2515="",E2515="!!!"),"",IF(OR(J2515=0,AND(J2515=1,K2515=1),AND(J2515=1,I2515="SBJ"),AND(J2515=1,I2515=0)),"?IN_FOCUS",IF(J2515&lt;=2,"?ACTIVATED",IF(J2515&lt;&gt;"","?FAMILIAR",IF(F2515="NEW",IF(ISNA(VLOOKUP(E2515,#REF!,1,FALSE())),"?TYPE_IDENTIFIABLE","?REFERENTIAL"),"_")))))</f>
        <v> </v>
      </c>
      <c r="H2515" s="24" t="str">
        <f>IF(J2515&lt;&gt;1,"",IF(I2515="SBJ","CB","?"))</f>
        <v> </v>
      </c>
      <c r="I2515" s="25" t="str">
        <f>IF(OR(E2515="",E2515="!!!",F2515="NEW"),"",INDEX(B2514:B$2,-1+SUMPRODUCT(MAX(ROW(E2514:E$2)*(E2515=E2514:E$2)))))</f>
        <v> </v>
      </c>
      <c r="J2515" s="25" t="str">
        <f>IF(OR(E2515="",E2515="!!!",F2515="NEW"),"",COUNTBLANK(OFFSET(A$1,,,SUMPRODUCT(MAX(ROW(E$2:E2515)*(E2515=E$2:E2515)))))-COUNTBLANK(OFFSET(A$1,,,SUMPRODUCT(MAX(ROW(E$1:E2514)*(E2=E$1:E2514))))))</f>
        <v> </v>
      </c>
      <c r="K2515" s="25" t="str">
        <f>IF(OR(E2515="",E2515="!!!",F2515="NEW"),"",INDEX(J$1:J2514,SUMPRODUCT(MAX(ROW(E$1:E2514)*(E2515=E$1:E2514)))))</f>
        <v> </v>
      </c>
      <c r="L2515" s="26"/>
    </row>
    <row r="2516" spans="1:12">
      <c r="A2516" s="20" t="s">
        <v>1145</v>
      </c>
      <c r="E2516" s="21">
        <f>IF(D2516="?OLD","!!!","")</f>
        <v/>
      </c>
      <c r="F2516" s="22" t="str">
        <f>IF(OR(E2516="",E2516="!!!"),"",IF(NOT(ISNA(VLOOKUP(E2516,E$1:E2515,1,FALSE()))),"OLD",IF(AND(E2516&lt;&gt;"",E2516&lt;&gt;"!!!"),"NEW","")))</f>
        <v> </v>
      </c>
      <c r="G2516" s="23" t="str">
        <f>IF(OR(E2516="",E2516="!!!"),"",IF(OR(J2516=0,AND(J2516=1,K2516=1),AND(J2516=1,I2516="SBJ"),AND(J2516=1,I2516=0)),"?IN_FOCUS",IF(J2516&lt;=2,"?ACTIVATED",IF(J2516&lt;&gt;"","?FAMILIAR",IF(F2516="NEW",IF(ISNA(VLOOKUP(E2516,#REF!,1,FALSE())),"?TYPE_IDENTIFIABLE","?REFERENTIAL"),"_")))))</f>
        <v> </v>
      </c>
      <c r="H2516" s="24" t="str">
        <f>IF(J2516&lt;&gt;1,"",IF(I2516="SBJ","CB","?"))</f>
        <v> </v>
      </c>
      <c r="I2516" s="25" t="str">
        <f>IF(OR(E2516="",E2516="!!!",F2516="NEW"),"",INDEX(B2515:B$2,-1+SUMPRODUCT(MAX(ROW(E2515:E$2)*(E2516=E2515:E$2)))))</f>
        <v> </v>
      </c>
      <c r="J2516" s="25" t="str">
        <f>IF(OR(E2516="",E2516="!!!",F2516="NEW"),"",COUNTBLANK(OFFSET(A$1,,,SUMPRODUCT(MAX(ROW(E$2:E2516)*(E2516=E$2:E2516)))))-COUNTBLANK(OFFSET(A$1,,,SUMPRODUCT(MAX(ROW(E$1:E2515)*(E2=E$1:E2515))))))</f>
        <v> </v>
      </c>
      <c r="K2516" s="25" t="str">
        <f>IF(OR(E2516="",E2516="!!!",F2516="NEW"),"",INDEX(J$1:J2515,SUMPRODUCT(MAX(ROW(E$1:E2515)*(E2516=E$1:E2515)))))</f>
        <v> </v>
      </c>
      <c r="L2516" s="26"/>
    </row>
    <row r="2517" spans="1:12">
      <c r="A2517" s="20"/>
    </row>
    <row r="2518" spans="1:12">
      <c r="A2518" s="20" t="s">
        <v>2318</v>
      </c>
    </row>
    <row r="2519" spans="1:12">
      <c r="A2519" s="20" t="s">
        <v>2319</v>
      </c>
      <c r="B2519" s="27" t="s">
        <v>1149</v>
      </c>
      <c r="E2519" s="21">
        <f>IF(D2519="?OLD","!!!","")</f>
        <v/>
      </c>
      <c r="F2519" s="22" t="str">
        <f>IF(OR(E2519="",E2519="!!!"),"",IF(NOT(ISNA(VLOOKUP(E2519,E$1:E2518,1,FALSE()))),"OLD",IF(AND(E2519&lt;&gt;"",E2519&lt;&gt;"!!!"),"NEW","")))</f>
        <v> </v>
      </c>
      <c r="G2519" s="23" t="str">
        <f>IF(OR(E2519="",E2519="!!!"),"",IF(OR(J2519=0,AND(J2519=1,K2519=1),AND(J2519=1,I2519="SBJ"),AND(J2519=1,I2519=0)),"?IN_FOCUS",IF(J2519&lt;=2,"?ACTIVATED",IF(J2519&lt;&gt;"","?FAMILIAR",IF(F2519="NEW",IF(ISNA(VLOOKUP(E2519,#REF!,1,FALSE())),"?TYPE_IDENTIFIABLE","?REFERENTIAL"),"_")))))</f>
        <v> </v>
      </c>
      <c r="H2519" s="24" t="str">
        <f>IF(J2519&lt;&gt;1,"",IF(I2519="SBJ","CB","?"))</f>
        <v> </v>
      </c>
      <c r="I2519" s="25" t="str">
        <f>IF(OR(E2519="",E2519="!!!",F2519="NEW"),"",INDEX(B2518:B$2,-1+SUMPRODUCT(MAX(ROW(E2518:E$2)*(E2519=E2518:E$2)))))</f>
        <v> </v>
      </c>
      <c r="J2519" s="25" t="str">
        <f>IF(OR(E2519="",E2519="!!!",F2519="NEW"),"",COUNTBLANK(OFFSET(A$1,,,SUMPRODUCT(MAX(ROW(E$2:E2519)*(E2519=E$2:E2519)))))-COUNTBLANK(OFFSET(A$1,,,SUMPRODUCT(MAX(ROW(E$1:E2518)*(E2=E$1:E2518))))))</f>
        <v> </v>
      </c>
      <c r="K2519" s="25" t="str">
        <f>IF(OR(E2519="",E2519="!!!",F2519="NEW"),"",INDEX(J$1:J2518,SUMPRODUCT(MAX(ROW(E$1:E2518)*(E2519=E$1:E2518)))))</f>
        <v> </v>
      </c>
      <c r="L2519" s="26"/>
    </row>
    <row r="2520" spans="1:12">
      <c r="A2520" s="20" t="s">
        <v>2320</v>
      </c>
      <c r="E2520" s="21">
        <f>IF(D2520="?OLD","!!!","")</f>
        <v/>
      </c>
      <c r="F2520" s="22" t="str">
        <f>IF(OR(E2520="",E2520="!!!"),"",IF(NOT(ISNA(VLOOKUP(E2520,E$1:E2519,1,FALSE()))),"OLD",IF(AND(E2520&lt;&gt;"",E2520&lt;&gt;"!!!"),"NEW","")))</f>
        <v> </v>
      </c>
      <c r="G2520" s="23" t="str">
        <f>IF(OR(E2520="",E2520="!!!"),"",IF(OR(J2520=0,AND(J2520=1,K2520=1),AND(J2520=1,I2520="SBJ"),AND(J2520=1,I2520=0)),"?IN_FOCUS",IF(J2520&lt;=2,"?ACTIVATED",IF(J2520&lt;&gt;"","?FAMILIAR",IF(F2520="NEW",IF(ISNA(VLOOKUP(E2520,#REF!,1,FALSE())),"?TYPE_IDENTIFIABLE","?REFERENTIAL"),"_")))))</f>
        <v> </v>
      </c>
      <c r="H2520" s="24" t="str">
        <f>IF(J2520&lt;&gt;1,"",IF(I2520="SBJ","CB","?"))</f>
        <v> </v>
      </c>
      <c r="I2520" s="25" t="str">
        <f>IF(OR(E2520="",E2520="!!!",F2520="NEW"),"",INDEX(B2519:B$2,-1+SUMPRODUCT(MAX(ROW(E2519:E$2)*(E2520=E2519:E$2)))))</f>
        <v> </v>
      </c>
      <c r="J2520" s="25" t="str">
        <f>IF(OR(E2520="",E2520="!!!",F2520="NEW"),"",COUNTBLANK(OFFSET(A$1,,,SUMPRODUCT(MAX(ROW(E$2:E2520)*(E2520=E$2:E2520)))))-COUNTBLANK(OFFSET(A$1,,,SUMPRODUCT(MAX(ROW(E$1:E2519)*(E2=E$1:E2519))))))</f>
        <v> </v>
      </c>
      <c r="K2520" s="25" t="str">
        <f>IF(OR(E2520="",E2520="!!!",F2520="NEW"),"",INDEX(J$1:J2519,SUMPRODUCT(MAX(ROW(E$1:E2519)*(E2520=E$1:E2519)))))</f>
        <v> </v>
      </c>
      <c r="L2520" s="26"/>
    </row>
    <row r="2521" spans="1:12">
      <c r="A2521" s="20" t="s">
        <v>2321</v>
      </c>
      <c r="E2521" s="21">
        <f>IF(D2521="?OLD","!!!","")</f>
        <v/>
      </c>
      <c r="F2521" s="22" t="str">
        <f>IF(OR(E2521="",E2521="!!!"),"",IF(NOT(ISNA(VLOOKUP(E2521,E$1:E2520,1,FALSE()))),"OLD",IF(AND(E2521&lt;&gt;"",E2521&lt;&gt;"!!!"),"NEW","")))</f>
        <v> </v>
      </c>
      <c r="G2521" s="23" t="str">
        <f>IF(OR(E2521="",E2521="!!!"),"",IF(OR(J2521=0,AND(J2521=1,K2521=1),AND(J2521=1,I2521="SBJ"),AND(J2521=1,I2521=0)),"?IN_FOCUS",IF(J2521&lt;=2,"?ACTIVATED",IF(J2521&lt;&gt;"","?FAMILIAR",IF(F2521="NEW",IF(ISNA(VLOOKUP(E2521,#REF!,1,FALSE())),"?TYPE_IDENTIFIABLE","?REFERENTIAL"),"_")))))</f>
        <v> </v>
      </c>
      <c r="H2521" s="24" t="str">
        <f>IF(J2521&lt;&gt;1,"",IF(I2521="SBJ","CB","?"))</f>
        <v> </v>
      </c>
      <c r="I2521" s="25" t="str">
        <f>IF(OR(E2521="",E2521="!!!",F2521="NEW"),"",INDEX(B2520:B$2,-1+SUMPRODUCT(MAX(ROW(E2520:E$2)*(E2521=E2520:E$2)))))</f>
        <v> </v>
      </c>
      <c r="J2521" s="25" t="str">
        <f>IF(OR(E2521="",E2521="!!!",F2521="NEW"),"",COUNTBLANK(OFFSET(A$1,,,SUMPRODUCT(MAX(ROW(E$2:E2521)*(E2521=E$2:E2521)))))-COUNTBLANK(OFFSET(A$1,,,SUMPRODUCT(MAX(ROW(E$1:E2520)*(E2=E$1:E2520))))))</f>
        <v> </v>
      </c>
      <c r="K2521" s="25" t="str">
        <f>IF(OR(E2521="",E2521="!!!",F2521="NEW"),"",INDEX(J$1:J2520,SUMPRODUCT(MAX(ROW(E$1:E2520)*(E2521=E$1:E2520)))))</f>
        <v> </v>
      </c>
      <c r="L2521" s="26"/>
    </row>
    <row r="2522" spans="1:12">
      <c r="A2522" s="20" t="s">
        <v>1123</v>
      </c>
      <c r="E2522" s="21">
        <f>IF(D2522="?OLD","!!!","")</f>
        <v/>
      </c>
      <c r="F2522" s="22" t="str">
        <f>IF(OR(E2522="",E2522="!!!"),"",IF(NOT(ISNA(VLOOKUP(E2522,E$1:E2521,1,FALSE()))),"OLD",IF(AND(E2522&lt;&gt;"",E2522&lt;&gt;"!!!"),"NEW","")))</f>
        <v> </v>
      </c>
      <c r="G2522" s="23" t="str">
        <f>IF(OR(E2522="",E2522="!!!"),"",IF(OR(J2522=0,AND(J2522=1,K2522=1),AND(J2522=1,I2522="SBJ"),AND(J2522=1,I2522=0)),"?IN_FOCUS",IF(J2522&lt;=2,"?ACTIVATED",IF(J2522&lt;&gt;"","?FAMILIAR",IF(F2522="NEW",IF(ISNA(VLOOKUP(E2522,#REF!,1,FALSE())),"?TYPE_IDENTIFIABLE","?REFERENTIAL"),"_")))))</f>
        <v> </v>
      </c>
      <c r="H2522" s="24" t="str">
        <f>IF(J2522&lt;&gt;1,"",IF(I2522="SBJ","CB","?"))</f>
        <v> </v>
      </c>
      <c r="I2522" s="25" t="str">
        <f>IF(OR(E2522="",E2522="!!!",F2522="NEW"),"",INDEX(B2521:B$2,-1+SUMPRODUCT(MAX(ROW(E2521:E$2)*(E2522=E2521:E$2)))))</f>
        <v> </v>
      </c>
      <c r="J2522" s="25" t="str">
        <f>IF(OR(E2522="",E2522="!!!",F2522="NEW"),"",COUNTBLANK(OFFSET(A$1,,,SUMPRODUCT(MAX(ROW(E$2:E2522)*(E2522=E$2:E2522)))))-COUNTBLANK(OFFSET(A$1,,,SUMPRODUCT(MAX(ROW(E$1:E2521)*(E2=E$1:E2521))))))</f>
        <v> </v>
      </c>
      <c r="K2522" s="25" t="str">
        <f>IF(OR(E2522="",E2522="!!!",F2522="NEW"),"",INDEX(J$1:J2521,SUMPRODUCT(MAX(ROW(E$1:E2521)*(E2522=E$1:E2521)))))</f>
        <v> </v>
      </c>
      <c r="L2522" s="26"/>
    </row>
    <row r="2523" spans="1:12">
      <c r="A2523" s="20" t="s">
        <v>1197</v>
      </c>
      <c r="E2523" s="21">
        <f>IF(D2523="?OLD","!!!","")</f>
        <v/>
      </c>
      <c r="F2523" s="22" t="str">
        <f>IF(OR(E2523="",E2523="!!!"),"",IF(NOT(ISNA(VLOOKUP(E2523,E$1:E2522,1,FALSE()))),"OLD",IF(AND(E2523&lt;&gt;"",E2523&lt;&gt;"!!!"),"NEW","")))</f>
        <v> </v>
      </c>
      <c r="G2523" s="23" t="str">
        <f>IF(OR(E2523="",E2523="!!!"),"",IF(OR(J2523=0,AND(J2523=1,K2523=1),AND(J2523=1,I2523="SBJ"),AND(J2523=1,I2523=0)),"?IN_FOCUS",IF(J2523&lt;=2,"?ACTIVATED",IF(J2523&lt;&gt;"","?FAMILIAR",IF(F2523="NEW",IF(ISNA(VLOOKUP(E2523,#REF!,1,FALSE())),"?TYPE_IDENTIFIABLE","?REFERENTIAL"),"_")))))</f>
        <v> </v>
      </c>
      <c r="H2523" s="24" t="str">
        <f>IF(J2523&lt;&gt;1,"",IF(I2523="SBJ","CB","?"))</f>
        <v> </v>
      </c>
      <c r="I2523" s="25" t="str">
        <f>IF(OR(E2523="",E2523="!!!",F2523="NEW"),"",INDEX(B2522:B$2,-1+SUMPRODUCT(MAX(ROW(E2522:E$2)*(E2523=E2522:E$2)))))</f>
        <v> </v>
      </c>
      <c r="J2523" s="25" t="str">
        <f>IF(OR(E2523="",E2523="!!!",F2523="NEW"),"",COUNTBLANK(OFFSET(A$1,,,SUMPRODUCT(MAX(ROW(E$2:E2523)*(E2523=E$2:E2523)))))-COUNTBLANK(OFFSET(A$1,,,SUMPRODUCT(MAX(ROW(E$1:E2522)*(E2=E$1:E2522))))))</f>
        <v> </v>
      </c>
      <c r="K2523" s="25" t="str">
        <f>IF(OR(E2523="",E2523="!!!",F2523="NEW"),"",INDEX(J$1:J2522,SUMPRODUCT(MAX(ROW(E$1:E2522)*(E2523=E$1:E2522)))))</f>
        <v> </v>
      </c>
      <c r="L2523" s="26"/>
    </row>
    <row r="2524" spans="1:12">
      <c r="A2524" s="20" t="s">
        <v>1134</v>
      </c>
      <c r="E2524" s="21">
        <f>IF(D2524="?OLD","!!!","")</f>
        <v/>
      </c>
      <c r="F2524" s="22" t="str">
        <f>IF(OR(E2524="",E2524="!!!"),"",IF(NOT(ISNA(VLOOKUP(E2524,E$1:E2523,1,FALSE()))),"OLD",IF(AND(E2524&lt;&gt;"",E2524&lt;&gt;"!!!"),"NEW","")))</f>
        <v> </v>
      </c>
      <c r="G2524" s="23" t="str">
        <f>IF(OR(E2524="",E2524="!!!"),"",IF(OR(J2524=0,AND(J2524=1,K2524=1),AND(J2524=1,I2524="SBJ"),AND(J2524=1,I2524=0)),"?IN_FOCUS",IF(J2524&lt;=2,"?ACTIVATED",IF(J2524&lt;&gt;"","?FAMILIAR",IF(F2524="NEW",IF(ISNA(VLOOKUP(E2524,#REF!,1,FALSE())),"?TYPE_IDENTIFIABLE","?REFERENTIAL"),"_")))))</f>
        <v> </v>
      </c>
      <c r="H2524" s="24" t="str">
        <f>IF(J2524&lt;&gt;1,"",IF(I2524="SBJ","CB","?"))</f>
        <v> </v>
      </c>
      <c r="I2524" s="25" t="str">
        <f>IF(OR(E2524="",E2524="!!!",F2524="NEW"),"",INDEX(B2523:B$2,-1+SUMPRODUCT(MAX(ROW(E2523:E$2)*(E2524=E2523:E$2)))))</f>
        <v> </v>
      </c>
      <c r="J2524" s="25" t="str">
        <f>IF(OR(E2524="",E2524="!!!",F2524="NEW"),"",COUNTBLANK(OFFSET(A$1,,,SUMPRODUCT(MAX(ROW(E$2:E2524)*(E2524=E$2:E2524)))))-COUNTBLANK(OFFSET(A$1,,,SUMPRODUCT(MAX(ROW(E$1:E2523)*(E2=E$1:E2523))))))</f>
        <v> </v>
      </c>
      <c r="K2524" s="25" t="str">
        <f>IF(OR(E2524="",E2524="!!!",F2524="NEW"),"",INDEX(J$1:J2523,SUMPRODUCT(MAX(ROW(E$1:E2523)*(E2524=E$1:E2523)))))</f>
        <v> </v>
      </c>
      <c r="L2524" s="26"/>
    </row>
    <row r="2525" spans="1:12">
      <c r="A2525" s="20" t="s">
        <v>2322</v>
      </c>
      <c r="E2525" s="21">
        <f>IF(D2525="?OLD","!!!","")</f>
        <v/>
      </c>
      <c r="F2525" s="22" t="str">
        <f>IF(OR(E2525="",E2525="!!!"),"",IF(NOT(ISNA(VLOOKUP(E2525,E$1:E2524,1,FALSE()))),"OLD",IF(AND(E2525&lt;&gt;"",E2525&lt;&gt;"!!!"),"NEW","")))</f>
        <v> </v>
      </c>
      <c r="G2525" s="23" t="str">
        <f>IF(OR(E2525="",E2525="!!!"),"",IF(OR(J2525=0,AND(J2525=1,K2525=1),AND(J2525=1,I2525="SBJ"),AND(J2525=1,I2525=0)),"?IN_FOCUS",IF(J2525&lt;=2,"?ACTIVATED",IF(J2525&lt;&gt;"","?FAMILIAR",IF(F2525="NEW",IF(ISNA(VLOOKUP(E2525,#REF!,1,FALSE())),"?TYPE_IDENTIFIABLE","?REFERENTIAL"),"_")))))</f>
        <v> </v>
      </c>
      <c r="H2525" s="24" t="str">
        <f>IF(J2525&lt;&gt;1,"",IF(I2525="SBJ","CB","?"))</f>
        <v> </v>
      </c>
      <c r="I2525" s="25" t="str">
        <f>IF(OR(E2525="",E2525="!!!",F2525="NEW"),"",INDEX(B2524:B$2,-1+SUMPRODUCT(MAX(ROW(E2524:E$2)*(E2525=E2524:E$2)))))</f>
        <v> </v>
      </c>
      <c r="J2525" s="25" t="str">
        <f>IF(OR(E2525="",E2525="!!!",F2525="NEW"),"",COUNTBLANK(OFFSET(A$1,,,SUMPRODUCT(MAX(ROW(E$2:E2525)*(E2525=E$2:E2525)))))-COUNTBLANK(OFFSET(A$1,,,SUMPRODUCT(MAX(ROW(E$1:E2524)*(E2=E$1:E2524))))))</f>
        <v> </v>
      </c>
      <c r="K2525" s="25" t="str">
        <f>IF(OR(E2525="",E2525="!!!",F2525="NEW"),"",INDEX(J$1:J2524,SUMPRODUCT(MAX(ROW(E$1:E2524)*(E2525=E$1:E2524)))))</f>
        <v> </v>
      </c>
      <c r="L2525" s="26"/>
    </row>
    <row r="2526" spans="1:12">
      <c r="A2526" s="20" t="s">
        <v>1145</v>
      </c>
      <c r="E2526" s="21">
        <f>IF(D2526="?OLD","!!!","")</f>
        <v/>
      </c>
      <c r="F2526" s="22" t="str">
        <f>IF(OR(E2526="",E2526="!!!"),"",IF(NOT(ISNA(VLOOKUP(E2526,E$1:E2525,1,FALSE()))),"OLD",IF(AND(E2526&lt;&gt;"",E2526&lt;&gt;"!!!"),"NEW","")))</f>
        <v> </v>
      </c>
      <c r="G2526" s="23" t="str">
        <f>IF(OR(E2526="",E2526="!!!"),"",IF(OR(J2526=0,AND(J2526=1,K2526=1),AND(J2526=1,I2526="SBJ"),AND(J2526=1,I2526=0)),"?IN_FOCUS",IF(J2526&lt;=2,"?ACTIVATED",IF(J2526&lt;&gt;"","?FAMILIAR",IF(F2526="NEW",IF(ISNA(VLOOKUP(E2526,#REF!,1,FALSE())),"?TYPE_IDENTIFIABLE","?REFERENTIAL"),"_")))))</f>
        <v> </v>
      </c>
      <c r="H2526" s="24" t="str">
        <f>IF(J2526&lt;&gt;1,"",IF(I2526="SBJ","CB","?"))</f>
        <v> </v>
      </c>
      <c r="I2526" s="25" t="str">
        <f>IF(OR(E2526="",E2526="!!!",F2526="NEW"),"",INDEX(B2525:B$2,-1+SUMPRODUCT(MAX(ROW(E2525:E$2)*(E2526=E2525:E$2)))))</f>
        <v> </v>
      </c>
      <c r="J2526" s="25" t="str">
        <f>IF(OR(E2526="",E2526="!!!",F2526="NEW"),"",COUNTBLANK(OFFSET(A$1,,,SUMPRODUCT(MAX(ROW(E$2:E2526)*(E2526=E$2:E2526)))))-COUNTBLANK(OFFSET(A$1,,,SUMPRODUCT(MAX(ROW(E$1:E2525)*(E2=E$1:E2525))))))</f>
        <v> </v>
      </c>
      <c r="K2526" s="25" t="str">
        <f>IF(OR(E2526="",E2526="!!!",F2526="NEW"),"",INDEX(J$1:J2525,SUMPRODUCT(MAX(ROW(E$1:E2525)*(E2526=E$1:E2525)))))</f>
        <v> </v>
      </c>
      <c r="L2526" s="26"/>
    </row>
    <row r="2527" spans="1:12">
      <c r="A2527" s="20"/>
    </row>
    <row r="2528" spans="1:12">
      <c r="A2528" s="20" t="s">
        <v>2323</v>
      </c>
    </row>
    <row r="2529" spans="1:12">
      <c r="A2529" s="20" t="s">
        <v>1633</v>
      </c>
      <c r="B2529" s="27" t="s">
        <v>1149</v>
      </c>
      <c r="C2529" s="27" t="s">
        <v>1126</v>
      </c>
      <c r="D2529" s="27" t="s">
        <v>1105</v>
      </c>
      <c r="E2529" s="21">
        <f>IF(D2529="?OLD","!!!","")</f>
        <v/>
      </c>
      <c r="F2529" s="22" t="str">
        <f>IF(OR(E2529="",E2529="!!!"),"",IF(NOT(ISNA(VLOOKUP(E2529,E$1:E2528,1,FALSE()))),"OLD",IF(AND(E2529&lt;&gt;"",E2529&lt;&gt;"!!!"),"NEW","")))</f>
        <v> </v>
      </c>
      <c r="G2529" s="23" t="str">
        <f>IF(OR(E2529="",E2529="!!!"),"",IF(OR(J2529=0,AND(J2529=1,K2529=1),AND(J2529=1,I2529="SBJ"),AND(J2529=1,I2529=0)),"?IN_FOCUS",IF(J2529&lt;=2,"?ACTIVATED",IF(J2529&lt;&gt;"","?FAMILIAR",IF(F2529="NEW",IF(ISNA(VLOOKUP(E2529,#REF!,1,FALSE())),"?TYPE_IDENTIFIABLE","?REFERENTIAL"),"_")))))</f>
        <v> </v>
      </c>
      <c r="H2529" s="24" t="str">
        <f>IF(J2529&lt;&gt;1,"",IF(I2529="SBJ","CB","?"))</f>
        <v> </v>
      </c>
      <c r="I2529" s="25" t="str">
        <f>IF(OR(E2529="",E2529="!!!",F2529="NEW"),"",INDEX(B2528:B$2,-1+SUMPRODUCT(MAX(ROW(E2528:E$2)*(E2529=E2528:E$2)))))</f>
        <v> </v>
      </c>
      <c r="J2529" s="25" t="str">
        <f>IF(OR(E2529="",E2529="!!!",F2529="NEW"),"",COUNTBLANK(OFFSET(A$1,,,SUMPRODUCT(MAX(ROW(E$2:E2529)*(E2529=E$2:E2529)))))-COUNTBLANK(OFFSET(A$1,,,SUMPRODUCT(MAX(ROW(E$1:E2528)*(E2=E$1:E2528))))))</f>
        <v> </v>
      </c>
      <c r="K2529" s="25" t="str">
        <f>IF(OR(E2529="",E2529="!!!",F2529="NEW"),"",INDEX(J$1:J2528,SUMPRODUCT(MAX(ROW(E$1:E2528)*(E2529=E$1:E2528)))))</f>
        <v> </v>
      </c>
      <c r="L2529" s="26"/>
    </row>
    <row r="2530" spans="1:12">
      <c r="A2530" s="20" t="s">
        <v>2324</v>
      </c>
      <c r="E2530" s="21">
        <f>IF(D2530="?OLD","!!!","")</f>
        <v/>
      </c>
      <c r="F2530" s="22" t="str">
        <f>IF(OR(E2530="",E2530="!!!"),"",IF(NOT(ISNA(VLOOKUP(E2530,E$1:E2529,1,FALSE()))),"OLD",IF(AND(E2530&lt;&gt;"",E2530&lt;&gt;"!!!"),"NEW","")))</f>
        <v> </v>
      </c>
      <c r="G2530" s="23" t="str">
        <f>IF(OR(E2530="",E2530="!!!"),"",IF(OR(J2530=0,AND(J2530=1,K2530=1),AND(J2530=1,I2530="SBJ"),AND(J2530=1,I2530=0)),"?IN_FOCUS",IF(J2530&lt;=2,"?ACTIVATED",IF(J2530&lt;&gt;"","?FAMILIAR",IF(F2530="NEW",IF(ISNA(VLOOKUP(E2530,#REF!,1,FALSE())),"?TYPE_IDENTIFIABLE","?REFERENTIAL"),"_")))))</f>
        <v> </v>
      </c>
      <c r="H2530" s="24" t="str">
        <f>IF(J2530&lt;&gt;1,"",IF(I2530="SBJ","CB","?"))</f>
        <v> </v>
      </c>
      <c r="I2530" s="25" t="str">
        <f>IF(OR(E2530="",E2530="!!!",F2530="NEW"),"",INDEX(B2529:B$2,-1+SUMPRODUCT(MAX(ROW(E2529:E$2)*(E2530=E2529:E$2)))))</f>
        <v> </v>
      </c>
      <c r="J2530" s="25" t="str">
        <f>IF(OR(E2530="",E2530="!!!",F2530="NEW"),"",COUNTBLANK(OFFSET(A$1,,,SUMPRODUCT(MAX(ROW(E$2:E2530)*(E2530=E$2:E2530)))))-COUNTBLANK(OFFSET(A$1,,,SUMPRODUCT(MAX(ROW(E$1:E2529)*(E2=E$1:E2529))))))</f>
        <v> </v>
      </c>
      <c r="K2530" s="25" t="str">
        <f>IF(OR(E2530="",E2530="!!!",F2530="NEW"),"",INDEX(J$1:J2529,SUMPRODUCT(MAX(ROW(E$1:E2529)*(E2530=E$1:E2529)))))</f>
        <v> </v>
      </c>
      <c r="L2530" s="26"/>
    </row>
    <row r="2531" spans="1:12">
      <c r="A2531" s="20" t="s">
        <v>2325</v>
      </c>
      <c r="E2531" s="21">
        <f>IF(D2531="?OLD","!!!","")</f>
        <v/>
      </c>
      <c r="F2531" s="22" t="str">
        <f>IF(OR(E2531="",E2531="!!!"),"",IF(NOT(ISNA(VLOOKUP(E2531,E$1:E2530,1,FALSE()))),"OLD",IF(AND(E2531&lt;&gt;"",E2531&lt;&gt;"!!!"),"NEW","")))</f>
        <v> </v>
      </c>
      <c r="G2531" s="23" t="str">
        <f>IF(OR(E2531="",E2531="!!!"),"",IF(OR(J2531=0,AND(J2531=1,K2531=1),AND(J2531=1,I2531="SBJ"),AND(J2531=1,I2531=0)),"?IN_FOCUS",IF(J2531&lt;=2,"?ACTIVATED",IF(J2531&lt;&gt;"","?FAMILIAR",IF(F2531="NEW",IF(ISNA(VLOOKUP(E2531,#REF!,1,FALSE())),"?TYPE_IDENTIFIABLE","?REFERENTIAL"),"_")))))</f>
        <v> </v>
      </c>
      <c r="H2531" s="24" t="str">
        <f>IF(J2531&lt;&gt;1,"",IF(I2531="SBJ","CB","?"))</f>
        <v> </v>
      </c>
      <c r="I2531" s="25" t="str">
        <f>IF(OR(E2531="",E2531="!!!",F2531="NEW"),"",INDEX(B2530:B$2,-1+SUMPRODUCT(MAX(ROW(E2530:E$2)*(E2531=E2530:E$2)))))</f>
        <v> </v>
      </c>
      <c r="J2531" s="25" t="str">
        <f>IF(OR(E2531="",E2531="!!!",F2531="NEW"),"",COUNTBLANK(OFFSET(A$1,,,SUMPRODUCT(MAX(ROW(E$2:E2531)*(E2531=E$2:E2531)))))-COUNTBLANK(OFFSET(A$1,,,SUMPRODUCT(MAX(ROW(E$1:E2530)*(E2=E$1:E2530))))))</f>
        <v> </v>
      </c>
      <c r="K2531" s="25" t="str">
        <f>IF(OR(E2531="",E2531="!!!",F2531="NEW"),"",INDEX(J$1:J2530,SUMPRODUCT(MAX(ROW(E$1:E2530)*(E2531=E$1:E2530)))))</f>
        <v> </v>
      </c>
      <c r="L2531" s="26"/>
    </row>
    <row r="2532" spans="1:12">
      <c r="A2532" s="20" t="s">
        <v>1239</v>
      </c>
      <c r="E2532" s="21">
        <f>IF(D2532="?OLD","!!!","")</f>
        <v/>
      </c>
      <c r="F2532" s="22" t="str">
        <f>IF(OR(E2532="",E2532="!!!"),"",IF(NOT(ISNA(VLOOKUP(E2532,E$1:E2531,1,FALSE()))),"OLD",IF(AND(E2532&lt;&gt;"",E2532&lt;&gt;"!!!"),"NEW","")))</f>
        <v> </v>
      </c>
      <c r="G2532" s="23" t="str">
        <f>IF(OR(E2532="",E2532="!!!"),"",IF(OR(J2532=0,AND(J2532=1,K2532=1),AND(J2532=1,I2532="SBJ"),AND(J2532=1,I2532=0)),"?IN_FOCUS",IF(J2532&lt;=2,"?ACTIVATED",IF(J2532&lt;&gt;"","?FAMILIAR",IF(F2532="NEW",IF(ISNA(VLOOKUP(E2532,#REF!,1,FALSE())),"?TYPE_IDENTIFIABLE","?REFERENTIAL"),"_")))))</f>
        <v> </v>
      </c>
      <c r="H2532" s="24" t="str">
        <f>IF(J2532&lt;&gt;1,"",IF(I2532="SBJ","CB","?"))</f>
        <v> </v>
      </c>
      <c r="I2532" s="25" t="str">
        <f>IF(OR(E2532="",E2532="!!!",F2532="NEW"),"",INDEX(B2531:B$2,-1+SUMPRODUCT(MAX(ROW(E2531:E$2)*(E2532=E2531:E$2)))))</f>
        <v> </v>
      </c>
      <c r="J2532" s="25" t="str">
        <f>IF(OR(E2532="",E2532="!!!",F2532="NEW"),"",COUNTBLANK(OFFSET(A$1,,,SUMPRODUCT(MAX(ROW(E$2:E2532)*(E2532=E$2:E2532)))))-COUNTBLANK(OFFSET(A$1,,,SUMPRODUCT(MAX(ROW(E$1:E2531)*(E2=E$1:E2531))))))</f>
        <v> </v>
      </c>
      <c r="K2532" s="25" t="str">
        <f>IF(OR(E2532="",E2532="!!!",F2532="NEW"),"",INDEX(J$1:J2531,SUMPRODUCT(MAX(ROW(E$1:E2531)*(E2532=E$1:E2531)))))</f>
        <v> </v>
      </c>
      <c r="L2532" s="26"/>
    </row>
    <row r="2533" spans="1:12">
      <c r="A2533" s="20" t="s">
        <v>2326</v>
      </c>
      <c r="E2533" s="21">
        <f>IF(D2533="?OLD","!!!","")</f>
        <v/>
      </c>
      <c r="F2533" s="22" t="str">
        <f>IF(OR(E2533="",E2533="!!!"),"",IF(NOT(ISNA(VLOOKUP(E2533,E$1:E2532,1,FALSE()))),"OLD",IF(AND(E2533&lt;&gt;"",E2533&lt;&gt;"!!!"),"NEW","")))</f>
        <v> </v>
      </c>
      <c r="G2533" s="23" t="str">
        <f>IF(OR(E2533="",E2533="!!!"),"",IF(OR(J2533=0,AND(J2533=1,K2533=1),AND(J2533=1,I2533="SBJ"),AND(J2533=1,I2533=0)),"?IN_FOCUS",IF(J2533&lt;=2,"?ACTIVATED",IF(J2533&lt;&gt;"","?FAMILIAR",IF(F2533="NEW",IF(ISNA(VLOOKUP(E2533,#REF!,1,FALSE())),"?TYPE_IDENTIFIABLE","?REFERENTIAL"),"_")))))</f>
        <v> </v>
      </c>
      <c r="H2533" s="24" t="str">
        <f>IF(J2533&lt;&gt;1,"",IF(I2533="SBJ","CB","?"))</f>
        <v> </v>
      </c>
      <c r="I2533" s="25" t="str">
        <f>IF(OR(E2533="",E2533="!!!",F2533="NEW"),"",INDEX(B2532:B$2,-1+SUMPRODUCT(MAX(ROW(E2532:E$2)*(E2533=E2532:E$2)))))</f>
        <v> </v>
      </c>
      <c r="J2533" s="25" t="str">
        <f>IF(OR(E2533="",E2533="!!!",F2533="NEW"),"",COUNTBLANK(OFFSET(A$1,,,SUMPRODUCT(MAX(ROW(E$2:E2533)*(E2533=E$2:E2533)))))-COUNTBLANK(OFFSET(A$1,,,SUMPRODUCT(MAX(ROW(E$1:E2532)*(E2=E$1:E2532))))))</f>
        <v> </v>
      </c>
      <c r="K2533" s="25" t="str">
        <f>IF(OR(E2533="",E2533="!!!",F2533="NEW"),"",INDEX(J$1:J2532,SUMPRODUCT(MAX(ROW(E$1:E2532)*(E2533=E$1:E2532)))))</f>
        <v> </v>
      </c>
      <c r="L2533" s="26"/>
    </row>
    <row r="2534" spans="1:12">
      <c r="A2534" s="20" t="s">
        <v>1128</v>
      </c>
      <c r="E2534" s="21">
        <f>IF(D2534="?OLD","!!!","")</f>
        <v/>
      </c>
      <c r="F2534" s="22" t="str">
        <f>IF(OR(E2534="",E2534="!!!"),"",IF(NOT(ISNA(VLOOKUP(E2534,E$1:E2533,1,FALSE()))),"OLD",IF(AND(E2534&lt;&gt;"",E2534&lt;&gt;"!!!"),"NEW","")))</f>
        <v> </v>
      </c>
      <c r="G2534" s="23" t="str">
        <f>IF(OR(E2534="",E2534="!!!"),"",IF(OR(J2534=0,AND(J2534=1,K2534=1),AND(J2534=1,I2534="SBJ"),AND(J2534=1,I2534=0)),"?IN_FOCUS",IF(J2534&lt;=2,"?ACTIVATED",IF(J2534&lt;&gt;"","?FAMILIAR",IF(F2534="NEW",IF(ISNA(VLOOKUP(E2534,#REF!,1,FALSE())),"?TYPE_IDENTIFIABLE","?REFERENTIAL"),"_")))))</f>
        <v> </v>
      </c>
      <c r="H2534" s="24" t="str">
        <f>IF(J2534&lt;&gt;1,"",IF(I2534="SBJ","CB","?"))</f>
        <v> </v>
      </c>
      <c r="I2534" s="25" t="str">
        <f>IF(OR(E2534="",E2534="!!!",F2534="NEW"),"",INDEX(B2533:B$2,-1+SUMPRODUCT(MAX(ROW(E2533:E$2)*(E2534=E2533:E$2)))))</f>
        <v> </v>
      </c>
      <c r="J2534" s="25" t="str">
        <f>IF(OR(E2534="",E2534="!!!",F2534="NEW"),"",COUNTBLANK(OFFSET(A$1,,,SUMPRODUCT(MAX(ROW(E$2:E2534)*(E2534=E$2:E2534)))))-COUNTBLANK(OFFSET(A$1,,,SUMPRODUCT(MAX(ROW(E$1:E2533)*(E2=E$1:E2533))))))</f>
        <v> </v>
      </c>
      <c r="K2534" s="25" t="str">
        <f>IF(OR(E2534="",E2534="!!!",F2534="NEW"),"",INDEX(J$1:J2533,SUMPRODUCT(MAX(ROW(E$1:E2533)*(E2534=E$1:E2533)))))</f>
        <v> </v>
      </c>
      <c r="L2534" s="26"/>
    </row>
    <row r="2535" spans="1:12">
      <c r="A2535" s="20" t="s">
        <v>2327</v>
      </c>
      <c r="E2535" s="21">
        <f>IF(D2535="?OLD","!!!","")</f>
        <v/>
      </c>
      <c r="F2535" s="22" t="str">
        <f>IF(OR(E2535="",E2535="!!!"),"",IF(NOT(ISNA(VLOOKUP(E2535,E$1:E2534,1,FALSE()))),"OLD",IF(AND(E2535&lt;&gt;"",E2535&lt;&gt;"!!!"),"NEW","")))</f>
        <v> </v>
      </c>
      <c r="G2535" s="23" t="str">
        <f>IF(OR(E2535="",E2535="!!!"),"",IF(OR(J2535=0,AND(J2535=1,K2535=1),AND(J2535=1,I2535="SBJ"),AND(J2535=1,I2535=0)),"?IN_FOCUS",IF(J2535&lt;=2,"?ACTIVATED",IF(J2535&lt;&gt;"","?FAMILIAR",IF(F2535="NEW",IF(ISNA(VLOOKUP(E2535,#REF!,1,FALSE())),"?TYPE_IDENTIFIABLE","?REFERENTIAL"),"_")))))</f>
        <v> </v>
      </c>
      <c r="H2535" s="24" t="str">
        <f>IF(J2535&lt;&gt;1,"",IF(I2535="SBJ","CB","?"))</f>
        <v> </v>
      </c>
      <c r="I2535" s="25" t="str">
        <f>IF(OR(E2535="",E2535="!!!",F2535="NEW"),"",INDEX(B2534:B$2,-1+SUMPRODUCT(MAX(ROW(E2534:E$2)*(E2535=E2534:E$2)))))</f>
        <v> </v>
      </c>
      <c r="J2535" s="25" t="str">
        <f>IF(OR(E2535="",E2535="!!!",F2535="NEW"),"",COUNTBLANK(OFFSET(A$1,,,SUMPRODUCT(MAX(ROW(E$2:E2535)*(E2535=E$2:E2535)))))-COUNTBLANK(OFFSET(A$1,,,SUMPRODUCT(MAX(ROW(E$1:E2534)*(E2=E$1:E2534))))))</f>
        <v> </v>
      </c>
      <c r="K2535" s="25" t="str">
        <f>IF(OR(E2535="",E2535="!!!",F2535="NEW"),"",INDEX(J$1:J2534,SUMPRODUCT(MAX(ROW(E$1:E2534)*(E2535=E$1:E2534)))))</f>
        <v> </v>
      </c>
      <c r="L2535" s="26"/>
    </row>
    <row r="2536" spans="1:12">
      <c r="A2536" s="20" t="s">
        <v>2328</v>
      </c>
      <c r="E2536" s="21">
        <f>IF(D2536="?OLD","!!!","")</f>
        <v/>
      </c>
      <c r="F2536" s="22" t="str">
        <f>IF(OR(E2536="",E2536="!!!"),"",IF(NOT(ISNA(VLOOKUP(E2536,E$1:E2535,1,FALSE()))),"OLD",IF(AND(E2536&lt;&gt;"",E2536&lt;&gt;"!!!"),"NEW","")))</f>
        <v> </v>
      </c>
      <c r="G2536" s="23" t="str">
        <f>IF(OR(E2536="",E2536="!!!"),"",IF(OR(J2536=0,AND(J2536=1,K2536=1),AND(J2536=1,I2536="SBJ"),AND(J2536=1,I2536=0)),"?IN_FOCUS",IF(J2536&lt;=2,"?ACTIVATED",IF(J2536&lt;&gt;"","?FAMILIAR",IF(F2536="NEW",IF(ISNA(VLOOKUP(E2536,#REF!,1,FALSE())),"?TYPE_IDENTIFIABLE","?REFERENTIAL"),"_")))))</f>
        <v> </v>
      </c>
      <c r="H2536" s="24" t="str">
        <f>IF(J2536&lt;&gt;1,"",IF(I2536="SBJ","CB","?"))</f>
        <v> </v>
      </c>
      <c r="I2536" s="25" t="str">
        <f>IF(OR(E2536="",E2536="!!!",F2536="NEW"),"",INDEX(B2535:B$2,-1+SUMPRODUCT(MAX(ROW(E2535:E$2)*(E2536=E2535:E$2)))))</f>
        <v> </v>
      </c>
      <c r="J2536" s="25" t="str">
        <f>IF(OR(E2536="",E2536="!!!",F2536="NEW"),"",COUNTBLANK(OFFSET(A$1,,,SUMPRODUCT(MAX(ROW(E$2:E2536)*(E2536=E$2:E2536)))))-COUNTBLANK(OFFSET(A$1,,,SUMPRODUCT(MAX(ROW(E$1:E2535)*(E2=E$1:E2535))))))</f>
        <v> </v>
      </c>
      <c r="K2536" s="25" t="str">
        <f>IF(OR(E2536="",E2536="!!!",F2536="NEW"),"",INDEX(J$1:J2535,SUMPRODUCT(MAX(ROW(E$1:E2535)*(E2536=E$1:E2535)))))</f>
        <v> </v>
      </c>
      <c r="L2536" s="26"/>
    </row>
    <row r="2537" spans="1:12">
      <c r="A2537" s="20" t="s">
        <v>2329</v>
      </c>
      <c r="B2537" s="27" t="s">
        <v>1107</v>
      </c>
      <c r="C2537" s="27" t="s">
        <v>1210</v>
      </c>
      <c r="E2537" s="21">
        <f>IF(D2537="?OLD","!!!","")</f>
        <v/>
      </c>
      <c r="F2537" s="22" t="str">
        <f>IF(OR(E2537="",E2537="!!!"),"",IF(NOT(ISNA(VLOOKUP(E2537,E$1:E2536,1,FALSE()))),"OLD",IF(AND(E2537&lt;&gt;"",E2537&lt;&gt;"!!!"),"NEW","")))</f>
        <v> </v>
      </c>
      <c r="G2537" s="23" t="str">
        <f>IF(OR(E2537="",E2537="!!!"),"",IF(OR(J2537=0,AND(J2537=1,K2537=1),AND(J2537=1,I2537="SBJ"),AND(J2537=1,I2537=0)),"?IN_FOCUS",IF(J2537&lt;=2,"?ACTIVATED",IF(J2537&lt;&gt;"","?FAMILIAR",IF(F2537="NEW",IF(ISNA(VLOOKUP(E2537,#REF!,1,FALSE())),"?TYPE_IDENTIFIABLE","?REFERENTIAL"),"_")))))</f>
        <v> </v>
      </c>
      <c r="H2537" s="24" t="str">
        <f>IF(J2537&lt;&gt;1,"",IF(I2537="SBJ","CB","?"))</f>
        <v> </v>
      </c>
      <c r="I2537" s="25" t="str">
        <f>IF(OR(E2537="",E2537="!!!",F2537="NEW"),"",INDEX(B2536:B$2,-1+SUMPRODUCT(MAX(ROW(E2536:E$2)*(E2537=E2536:E$2)))))</f>
        <v> </v>
      </c>
      <c r="J2537" s="25" t="str">
        <f>IF(OR(E2537="",E2537="!!!",F2537="NEW"),"",COUNTBLANK(OFFSET(A$1,,,SUMPRODUCT(MAX(ROW(E$2:E2537)*(E2537=E$2:E2537)))))-COUNTBLANK(OFFSET(A$1,,,SUMPRODUCT(MAX(ROW(E$1:E2536)*(E2=E$1:E2536))))))</f>
        <v> </v>
      </c>
      <c r="K2537" s="25" t="str">
        <f>IF(OR(E2537="",E2537="!!!",F2537="NEW"),"",INDEX(J$1:J2536,SUMPRODUCT(MAX(ROW(E$1:E2536)*(E2537=E$1:E2536)))))</f>
        <v> </v>
      </c>
      <c r="L2537" s="26"/>
    </row>
    <row r="2538" spans="1:12">
      <c r="A2538" s="20" t="s">
        <v>1145</v>
      </c>
      <c r="E2538" s="21">
        <f>IF(D2538="?OLD","!!!","")</f>
        <v/>
      </c>
      <c r="F2538" s="22" t="str">
        <f>IF(OR(E2538="",E2538="!!!"),"",IF(NOT(ISNA(VLOOKUP(E2538,E$1:E2537,1,FALSE()))),"OLD",IF(AND(E2538&lt;&gt;"",E2538&lt;&gt;"!!!"),"NEW","")))</f>
        <v> </v>
      </c>
      <c r="G2538" s="23" t="str">
        <f>IF(OR(E2538="",E2538="!!!"),"",IF(OR(J2538=0,AND(J2538=1,K2538=1),AND(J2538=1,I2538="SBJ"),AND(J2538=1,I2538=0)),"?IN_FOCUS",IF(J2538&lt;=2,"?ACTIVATED",IF(J2538&lt;&gt;"","?FAMILIAR",IF(F2538="NEW",IF(ISNA(VLOOKUP(E2538,#REF!,1,FALSE())),"?TYPE_IDENTIFIABLE","?REFERENTIAL"),"_")))))</f>
        <v> </v>
      </c>
      <c r="H2538" s="24" t="str">
        <f>IF(J2538&lt;&gt;1,"",IF(I2538="SBJ","CB","?"))</f>
        <v> </v>
      </c>
      <c r="I2538" s="25" t="str">
        <f>IF(OR(E2538="",E2538="!!!",F2538="NEW"),"",INDEX(B2537:B$2,-1+SUMPRODUCT(MAX(ROW(E2537:E$2)*(E2538=E2537:E$2)))))</f>
        <v> </v>
      </c>
      <c r="J2538" s="25" t="str">
        <f>IF(OR(E2538="",E2538="!!!",F2538="NEW"),"",COUNTBLANK(OFFSET(A$1,,,SUMPRODUCT(MAX(ROW(E$2:E2538)*(E2538=E$2:E2538)))))-COUNTBLANK(OFFSET(A$1,,,SUMPRODUCT(MAX(ROW(E$1:E2537)*(E2=E$1:E2537))))))</f>
        <v> </v>
      </c>
      <c r="K2538" s="25" t="str">
        <f>IF(OR(E2538="",E2538="!!!",F2538="NEW"),"",INDEX(J$1:J2537,SUMPRODUCT(MAX(ROW(E$1:E2537)*(E2538=E$1:E2537)))))</f>
        <v> </v>
      </c>
      <c r="L2538" s="26"/>
    </row>
    <row r="2539" spans="1:12">
      <c r="A2539" s="20"/>
    </row>
    <row r="2540" spans="1:12">
      <c r="A2540" s="20" t="s">
        <v>2330</v>
      </c>
    </row>
    <row r="2541" spans="1:12">
      <c r="A2541" s="20" t="s">
        <v>1353</v>
      </c>
      <c r="B2541" s="27" t="s">
        <v>1149</v>
      </c>
      <c r="C2541" s="27" t="s">
        <v>1126</v>
      </c>
      <c r="D2541" s="27" t="s">
        <v>1105</v>
      </c>
      <c r="E2541" s="21">
        <f>IF(D2541="?OLD","!!!","")</f>
        <v/>
      </c>
      <c r="F2541" s="22" t="str">
        <f>IF(OR(E2541="",E2541="!!!"),"",IF(NOT(ISNA(VLOOKUP(E2541,E$1:E2540,1,FALSE()))),"OLD",IF(AND(E2541&lt;&gt;"",E2541&lt;&gt;"!!!"),"NEW","")))</f>
        <v> </v>
      </c>
      <c r="G2541" s="23" t="str">
        <f>IF(OR(E2541="",E2541="!!!"),"",IF(OR(J2541=0,AND(J2541=1,K2541=1),AND(J2541=1,I2541="SBJ"),AND(J2541=1,I2541=0)),"?IN_FOCUS",IF(J2541&lt;=2,"?ACTIVATED",IF(J2541&lt;&gt;"","?FAMILIAR",IF(F2541="NEW",IF(ISNA(VLOOKUP(E2541,#REF!,1,FALSE())),"?TYPE_IDENTIFIABLE","?REFERENTIAL"),"_")))))</f>
        <v> </v>
      </c>
      <c r="H2541" s="24" t="str">
        <f>IF(J2541&lt;&gt;1,"",IF(I2541="SBJ","CB","?"))</f>
        <v> </v>
      </c>
      <c r="I2541" s="25" t="str">
        <f>IF(OR(E2541="",E2541="!!!",F2541="NEW"),"",INDEX(B2540:B$2,-1+SUMPRODUCT(MAX(ROW(E2540:E$2)*(E2541=E2540:E$2)))))</f>
        <v> </v>
      </c>
      <c r="J2541" s="25" t="str">
        <f>IF(OR(E2541="",E2541="!!!",F2541="NEW"),"",COUNTBLANK(OFFSET(A$1,,,SUMPRODUCT(MAX(ROW(E$2:E2541)*(E2541=E$2:E2541)))))-COUNTBLANK(OFFSET(A$1,,,SUMPRODUCT(MAX(ROW(E$1:E2540)*(E2=E$1:E2540))))))</f>
        <v> </v>
      </c>
      <c r="K2541" s="25" t="str">
        <f>IF(OR(E2541="",E2541="!!!",F2541="NEW"),"",INDEX(J$1:J2540,SUMPRODUCT(MAX(ROW(E$1:E2540)*(E2541=E$1:E2540)))))</f>
        <v> </v>
      </c>
      <c r="L2541" s="26"/>
    </row>
    <row r="2542" spans="1:12">
      <c r="A2542" s="20" t="s">
        <v>2331</v>
      </c>
      <c r="E2542" s="21">
        <f>IF(D2542="?OLD","!!!","")</f>
        <v/>
      </c>
      <c r="F2542" s="22" t="str">
        <f>IF(OR(E2542="",E2542="!!!"),"",IF(NOT(ISNA(VLOOKUP(E2542,E$1:E2541,1,FALSE()))),"OLD",IF(AND(E2542&lt;&gt;"",E2542&lt;&gt;"!!!"),"NEW","")))</f>
        <v> </v>
      </c>
      <c r="G2542" s="23" t="str">
        <f>IF(OR(E2542="",E2542="!!!"),"",IF(OR(J2542=0,AND(J2542=1,K2542=1),AND(J2542=1,I2542="SBJ"),AND(J2542=1,I2542=0)),"?IN_FOCUS",IF(J2542&lt;=2,"?ACTIVATED",IF(J2542&lt;&gt;"","?FAMILIAR",IF(F2542="NEW",IF(ISNA(VLOOKUP(E2542,#REF!,1,FALSE())),"?TYPE_IDENTIFIABLE","?REFERENTIAL"),"_")))))</f>
        <v> </v>
      </c>
      <c r="H2542" s="24" t="str">
        <f>IF(J2542&lt;&gt;1,"",IF(I2542="SBJ","CB","?"))</f>
        <v> </v>
      </c>
      <c r="I2542" s="25" t="str">
        <f>IF(OR(E2542="",E2542="!!!",F2542="NEW"),"",INDEX(B2541:B$2,-1+SUMPRODUCT(MAX(ROW(E2541:E$2)*(E2542=E2541:E$2)))))</f>
        <v> </v>
      </c>
      <c r="J2542" s="25" t="str">
        <f>IF(OR(E2542="",E2542="!!!",F2542="NEW"),"",COUNTBLANK(OFFSET(A$1,,,SUMPRODUCT(MAX(ROW(E$2:E2542)*(E2542=E$2:E2542)))))-COUNTBLANK(OFFSET(A$1,,,SUMPRODUCT(MAX(ROW(E$1:E2541)*(E2=E$1:E2541))))))</f>
        <v> </v>
      </c>
      <c r="K2542" s="25" t="str">
        <f>IF(OR(E2542="",E2542="!!!",F2542="NEW"),"",INDEX(J$1:J2541,SUMPRODUCT(MAX(ROW(E$1:E2541)*(E2542=E$1:E2541)))))</f>
        <v> </v>
      </c>
      <c r="L2542" s="26"/>
    </row>
    <row r="2543" spans="1:12">
      <c r="A2543" s="20" t="s">
        <v>1186</v>
      </c>
      <c r="B2543" s="27" t="s">
        <v>1213</v>
      </c>
      <c r="C2543" s="27" t="s">
        <v>1126</v>
      </c>
      <c r="D2543" s="27" t="s">
        <v>1105</v>
      </c>
      <c r="E2543" s="21">
        <f>IF(D2543="?OLD","!!!","")</f>
        <v/>
      </c>
      <c r="F2543" s="22" t="str">
        <f>IF(OR(E2543="",E2543="!!!"),"",IF(NOT(ISNA(VLOOKUP(E2543,E$1:E2542,1,FALSE()))),"OLD",IF(AND(E2543&lt;&gt;"",E2543&lt;&gt;"!!!"),"NEW","")))</f>
        <v> </v>
      </c>
      <c r="G2543" s="23" t="str">
        <f>IF(OR(E2543="",E2543="!!!"),"",IF(OR(J2543=0,AND(J2543=1,K2543=1),AND(J2543=1,I2543="SBJ"),AND(J2543=1,I2543=0)),"?IN_FOCUS",IF(J2543&lt;=2,"?ACTIVATED",IF(J2543&lt;&gt;"","?FAMILIAR",IF(F2543="NEW",IF(ISNA(VLOOKUP(E2543,#REF!,1,FALSE())),"?TYPE_IDENTIFIABLE","?REFERENTIAL"),"_")))))</f>
        <v> </v>
      </c>
      <c r="H2543" s="24" t="str">
        <f>IF(J2543&lt;&gt;1,"",IF(I2543="SBJ","CB","?"))</f>
        <v> </v>
      </c>
      <c r="I2543" s="25" t="str">
        <f>IF(OR(E2543="",E2543="!!!",F2543="NEW"),"",INDEX(B2542:B$2,-1+SUMPRODUCT(MAX(ROW(E2542:E$2)*(E2543=E2542:E$2)))))</f>
        <v> </v>
      </c>
      <c r="J2543" s="25" t="str">
        <f>IF(OR(E2543="",E2543="!!!",F2543="NEW"),"",COUNTBLANK(OFFSET(A$1,,,SUMPRODUCT(MAX(ROW(E$2:E2543)*(E2543=E$2:E2543)))))-COUNTBLANK(OFFSET(A$1,,,SUMPRODUCT(MAX(ROW(E$1:E2542)*(E2=E$1:E2542))))))</f>
        <v> </v>
      </c>
      <c r="K2543" s="25" t="str">
        <f>IF(OR(E2543="",E2543="!!!",F2543="NEW"),"",INDEX(J$1:J2542,SUMPRODUCT(MAX(ROW(E$1:E2542)*(E2543=E$1:E2542)))))</f>
        <v> </v>
      </c>
      <c r="L2543" s="26"/>
    </row>
    <row r="2544" spans="1:12">
      <c r="A2544" s="20" t="s">
        <v>1271</v>
      </c>
      <c r="E2544" s="21">
        <f>IF(D2544="?OLD","!!!","")</f>
        <v/>
      </c>
      <c r="F2544" s="22" t="str">
        <f>IF(OR(E2544="",E2544="!!!"),"",IF(NOT(ISNA(VLOOKUP(E2544,E$1:E2543,1,FALSE()))),"OLD",IF(AND(E2544&lt;&gt;"",E2544&lt;&gt;"!!!"),"NEW","")))</f>
        <v> </v>
      </c>
      <c r="G2544" s="23" t="str">
        <f>IF(OR(E2544="",E2544="!!!"),"",IF(OR(J2544=0,AND(J2544=1,K2544=1),AND(J2544=1,I2544="SBJ"),AND(J2544=1,I2544=0)),"?IN_FOCUS",IF(J2544&lt;=2,"?ACTIVATED",IF(J2544&lt;&gt;"","?FAMILIAR",IF(F2544="NEW",IF(ISNA(VLOOKUP(E2544,#REF!,1,FALSE())),"?TYPE_IDENTIFIABLE","?REFERENTIAL"),"_")))))</f>
        <v> </v>
      </c>
      <c r="H2544" s="24" t="str">
        <f>IF(J2544&lt;&gt;1,"",IF(I2544="SBJ","CB","?"))</f>
        <v> </v>
      </c>
      <c r="I2544" s="25" t="str">
        <f>IF(OR(E2544="",E2544="!!!",F2544="NEW"),"",INDEX(B2543:B$2,-1+SUMPRODUCT(MAX(ROW(E2543:E$2)*(E2544=E2543:E$2)))))</f>
        <v> </v>
      </c>
      <c r="J2544" s="25" t="str">
        <f>IF(OR(E2544="",E2544="!!!",F2544="NEW"),"",COUNTBLANK(OFFSET(A$1,,,SUMPRODUCT(MAX(ROW(E$2:E2544)*(E2544=E$2:E2544)))))-COUNTBLANK(OFFSET(A$1,,,SUMPRODUCT(MAX(ROW(E$1:E2543)*(E2=E$1:E2543))))))</f>
        <v> </v>
      </c>
      <c r="K2544" s="25" t="str">
        <f>IF(OR(E2544="",E2544="!!!",F2544="NEW"),"",INDEX(J$1:J2543,SUMPRODUCT(MAX(ROW(E$1:E2543)*(E2544=E$1:E2543)))))</f>
        <v> </v>
      </c>
      <c r="L2544" s="26"/>
    </row>
    <row r="2545" spans="1:12">
      <c r="A2545" s="20" t="s">
        <v>2332</v>
      </c>
      <c r="E2545" s="21">
        <f>IF(D2545="?OLD","!!!","")</f>
        <v/>
      </c>
      <c r="F2545" s="22" t="str">
        <f>IF(OR(E2545="",E2545="!!!"),"",IF(NOT(ISNA(VLOOKUP(E2545,E$1:E2544,1,FALSE()))),"OLD",IF(AND(E2545&lt;&gt;"",E2545&lt;&gt;"!!!"),"NEW","")))</f>
        <v> </v>
      </c>
      <c r="G2545" s="23" t="str">
        <f>IF(OR(E2545="",E2545="!!!"),"",IF(OR(J2545=0,AND(J2545=1,K2545=1),AND(J2545=1,I2545="SBJ"),AND(J2545=1,I2545=0)),"?IN_FOCUS",IF(J2545&lt;=2,"?ACTIVATED",IF(J2545&lt;&gt;"","?FAMILIAR",IF(F2545="NEW",IF(ISNA(VLOOKUP(E2545,#REF!,1,FALSE())),"?TYPE_IDENTIFIABLE","?REFERENTIAL"),"_")))))</f>
        <v> </v>
      </c>
      <c r="H2545" s="24" t="str">
        <f>IF(J2545&lt;&gt;1,"",IF(I2545="SBJ","CB","?"))</f>
        <v> </v>
      </c>
      <c r="I2545" s="25" t="str">
        <f>IF(OR(E2545="",E2545="!!!",F2545="NEW"),"",INDEX(B2544:B$2,-1+SUMPRODUCT(MAX(ROW(E2544:E$2)*(E2545=E2544:E$2)))))</f>
        <v> </v>
      </c>
      <c r="J2545" s="25" t="str">
        <f>IF(OR(E2545="",E2545="!!!",F2545="NEW"),"",COUNTBLANK(OFFSET(A$1,,,SUMPRODUCT(MAX(ROW(E$2:E2545)*(E2545=E$2:E2545)))))-COUNTBLANK(OFFSET(A$1,,,SUMPRODUCT(MAX(ROW(E$1:E2544)*(E2=E$1:E2544))))))</f>
        <v> </v>
      </c>
      <c r="K2545" s="25" t="str">
        <f>IF(OR(E2545="",E2545="!!!",F2545="NEW"),"",INDEX(J$1:J2544,SUMPRODUCT(MAX(ROW(E$1:E2544)*(E2545=E$1:E2544)))))</f>
        <v> </v>
      </c>
      <c r="L2545" s="26"/>
    </row>
    <row r="2546" spans="1:12">
      <c r="A2546" s="20" t="s">
        <v>1145</v>
      </c>
      <c r="E2546" s="21">
        <f>IF(D2546="?OLD","!!!","")</f>
        <v/>
      </c>
      <c r="F2546" s="22" t="str">
        <f>IF(OR(E2546="",E2546="!!!"),"",IF(NOT(ISNA(VLOOKUP(E2546,E$1:E2545,1,FALSE()))),"OLD",IF(AND(E2546&lt;&gt;"",E2546&lt;&gt;"!!!"),"NEW","")))</f>
        <v> </v>
      </c>
      <c r="G2546" s="23" t="str">
        <f>IF(OR(E2546="",E2546="!!!"),"",IF(OR(J2546=0,AND(J2546=1,K2546=1),AND(J2546=1,I2546="SBJ"),AND(J2546=1,I2546=0)),"?IN_FOCUS",IF(J2546&lt;=2,"?ACTIVATED",IF(J2546&lt;&gt;"","?FAMILIAR",IF(F2546="NEW",IF(ISNA(VLOOKUP(E2546,#REF!,1,FALSE())),"?TYPE_IDENTIFIABLE","?REFERENTIAL"),"_")))))</f>
        <v> </v>
      </c>
      <c r="H2546" s="24" t="str">
        <f>IF(J2546&lt;&gt;1,"",IF(I2546="SBJ","CB","?"))</f>
        <v> </v>
      </c>
      <c r="I2546" s="25" t="str">
        <f>IF(OR(E2546="",E2546="!!!",F2546="NEW"),"",INDEX(B2545:B$2,-1+SUMPRODUCT(MAX(ROW(E2545:E$2)*(E2546=E2545:E$2)))))</f>
        <v> </v>
      </c>
      <c r="J2546" s="25" t="str">
        <f>IF(OR(E2546="",E2546="!!!",F2546="NEW"),"",COUNTBLANK(OFFSET(A$1,,,SUMPRODUCT(MAX(ROW(E$2:E2546)*(E2546=E$2:E2546)))))-COUNTBLANK(OFFSET(A$1,,,SUMPRODUCT(MAX(ROW(E$1:E2545)*(E2=E$1:E2545))))))</f>
        <v> </v>
      </c>
      <c r="K2546" s="25" t="str">
        <f>IF(OR(E2546="",E2546="!!!",F2546="NEW"),"",INDEX(J$1:J2545,SUMPRODUCT(MAX(ROW(E$1:E2545)*(E2546=E$1:E2545)))))</f>
        <v> </v>
      </c>
      <c r="L2546" s="26"/>
    </row>
    <row r="2547" spans="1:12">
      <c r="A2547" s="20"/>
    </row>
    <row r="2548" spans="1:12">
      <c r="A2548" s="20" t="s">
        <v>2333</v>
      </c>
    </row>
    <row r="2549" spans="1:12">
      <c r="A2549" s="20" t="s">
        <v>1633</v>
      </c>
      <c r="B2549" s="27" t="s">
        <v>1149</v>
      </c>
      <c r="C2549" s="27" t="s">
        <v>1126</v>
      </c>
      <c r="D2549" s="27" t="s">
        <v>1105</v>
      </c>
      <c r="E2549" s="21">
        <f>IF(D2549="?OLD","!!!","")</f>
        <v/>
      </c>
      <c r="F2549" s="22" t="str">
        <f>IF(OR(E2549="",E2549="!!!"),"",IF(NOT(ISNA(VLOOKUP(E2549,E$1:E2548,1,FALSE()))),"OLD",IF(AND(E2549&lt;&gt;"",E2549&lt;&gt;"!!!"),"NEW","")))</f>
        <v> </v>
      </c>
      <c r="G2549" s="23" t="str">
        <f>IF(OR(E2549="",E2549="!!!"),"",IF(OR(J2549=0,AND(J2549=1,K2549=1),AND(J2549=1,I2549="SBJ"),AND(J2549=1,I2549=0)),"?IN_FOCUS",IF(J2549&lt;=2,"?ACTIVATED",IF(J2549&lt;&gt;"","?FAMILIAR",IF(F2549="NEW",IF(ISNA(VLOOKUP(E2549,#REF!,1,FALSE())),"?TYPE_IDENTIFIABLE","?REFERENTIAL"),"_")))))</f>
        <v> </v>
      </c>
      <c r="H2549" s="24" t="str">
        <f>IF(J2549&lt;&gt;1,"",IF(I2549="SBJ","CB","?"))</f>
        <v> </v>
      </c>
      <c r="I2549" s="25" t="str">
        <f>IF(OR(E2549="",E2549="!!!",F2549="NEW"),"",INDEX(B2548:B$2,-1+SUMPRODUCT(MAX(ROW(E2548:E$2)*(E2549=E2548:E$2)))))</f>
        <v> </v>
      </c>
      <c r="J2549" s="25" t="str">
        <f>IF(OR(E2549="",E2549="!!!",F2549="NEW"),"",COUNTBLANK(OFFSET(A$1,,,SUMPRODUCT(MAX(ROW(E$2:E2549)*(E2549=E$2:E2549)))))-COUNTBLANK(OFFSET(A$1,,,SUMPRODUCT(MAX(ROW(E$1:E2548)*(E2=E$1:E2548))))))</f>
        <v> </v>
      </c>
      <c r="K2549" s="25" t="str">
        <f>IF(OR(E2549="",E2549="!!!",F2549="NEW"),"",INDEX(J$1:J2548,SUMPRODUCT(MAX(ROW(E$1:E2548)*(E2549=E$1:E2548)))))</f>
        <v> </v>
      </c>
      <c r="L2549" s="26"/>
    </row>
    <row r="2550" spans="1:12">
      <c r="A2550" s="20" t="s">
        <v>2334</v>
      </c>
      <c r="E2550" s="21">
        <f>IF(D2550="?OLD","!!!","")</f>
        <v/>
      </c>
      <c r="F2550" s="22" t="str">
        <f>IF(OR(E2550="",E2550="!!!"),"",IF(NOT(ISNA(VLOOKUP(E2550,E$1:E2549,1,FALSE()))),"OLD",IF(AND(E2550&lt;&gt;"",E2550&lt;&gt;"!!!"),"NEW","")))</f>
        <v> </v>
      </c>
      <c r="G2550" s="23" t="str">
        <f>IF(OR(E2550="",E2550="!!!"),"",IF(OR(J2550=0,AND(J2550=1,K2550=1),AND(J2550=1,I2550="SBJ"),AND(J2550=1,I2550=0)),"?IN_FOCUS",IF(J2550&lt;=2,"?ACTIVATED",IF(J2550&lt;&gt;"","?FAMILIAR",IF(F2550="NEW",IF(ISNA(VLOOKUP(E2550,#REF!,1,FALSE())),"?TYPE_IDENTIFIABLE","?REFERENTIAL"),"_")))))</f>
        <v> </v>
      </c>
      <c r="H2550" s="24" t="str">
        <f>IF(J2550&lt;&gt;1,"",IF(I2550="SBJ","CB","?"))</f>
        <v> </v>
      </c>
      <c r="I2550" s="25" t="str">
        <f>IF(OR(E2550="",E2550="!!!",F2550="NEW"),"",INDEX(B2549:B$2,-1+SUMPRODUCT(MAX(ROW(E2549:E$2)*(E2550=E2549:E$2)))))</f>
        <v> </v>
      </c>
      <c r="J2550" s="25" t="str">
        <f>IF(OR(E2550="",E2550="!!!",F2550="NEW"),"",COUNTBLANK(OFFSET(A$1,,,SUMPRODUCT(MAX(ROW(E$2:E2550)*(E2550=E$2:E2550)))))-COUNTBLANK(OFFSET(A$1,,,SUMPRODUCT(MAX(ROW(E$1:E2549)*(E2=E$1:E2549))))))</f>
        <v> </v>
      </c>
      <c r="K2550" s="25" t="str">
        <f>IF(OR(E2550="",E2550="!!!",F2550="NEW"),"",INDEX(J$1:J2549,SUMPRODUCT(MAX(ROW(E$1:E2549)*(E2550=E$1:E2549)))))</f>
        <v> </v>
      </c>
      <c r="L2550" s="26"/>
    </row>
    <row r="2551" spans="1:12">
      <c r="A2551" s="20" t="s">
        <v>1475</v>
      </c>
      <c r="E2551" s="21">
        <f>IF(D2551="?OLD","!!!","")</f>
        <v/>
      </c>
      <c r="F2551" s="22" t="str">
        <f>IF(OR(E2551="",E2551="!!!"),"",IF(NOT(ISNA(VLOOKUP(E2551,E$1:E2550,1,FALSE()))),"OLD",IF(AND(E2551&lt;&gt;"",E2551&lt;&gt;"!!!"),"NEW","")))</f>
        <v> </v>
      </c>
      <c r="G2551" s="23" t="str">
        <f>IF(OR(E2551="",E2551="!!!"),"",IF(OR(J2551=0,AND(J2551=1,K2551=1),AND(J2551=1,I2551="SBJ"),AND(J2551=1,I2551=0)),"?IN_FOCUS",IF(J2551&lt;=2,"?ACTIVATED",IF(J2551&lt;&gt;"","?FAMILIAR",IF(F2551="NEW",IF(ISNA(VLOOKUP(E2551,#REF!,1,FALSE())),"?TYPE_IDENTIFIABLE","?REFERENTIAL"),"_")))))</f>
        <v> </v>
      </c>
      <c r="H2551" s="24" t="str">
        <f>IF(J2551&lt;&gt;1,"",IF(I2551="SBJ","CB","?"))</f>
        <v> </v>
      </c>
      <c r="I2551" s="25" t="str">
        <f>IF(OR(E2551="",E2551="!!!",F2551="NEW"),"",INDEX(B2550:B$2,-1+SUMPRODUCT(MAX(ROW(E2550:E$2)*(E2551=E2550:E$2)))))</f>
        <v> </v>
      </c>
      <c r="J2551" s="25" t="str">
        <f>IF(OR(E2551="",E2551="!!!",F2551="NEW"),"",COUNTBLANK(OFFSET(A$1,,,SUMPRODUCT(MAX(ROW(E$2:E2551)*(E2551=E$2:E2551)))))-COUNTBLANK(OFFSET(A$1,,,SUMPRODUCT(MAX(ROW(E$1:E2550)*(E2=E$1:E2550))))))</f>
        <v> </v>
      </c>
      <c r="K2551" s="25" t="str">
        <f>IF(OR(E2551="",E2551="!!!",F2551="NEW"),"",INDEX(J$1:J2550,SUMPRODUCT(MAX(ROW(E$1:E2550)*(E2551=E$1:E2550)))))</f>
        <v> </v>
      </c>
      <c r="L2551" s="26"/>
    </row>
    <row r="2552" spans="1:12">
      <c r="A2552" s="20" t="s">
        <v>1123</v>
      </c>
      <c r="E2552" s="21">
        <f>IF(D2552="?OLD","!!!","")</f>
        <v/>
      </c>
      <c r="F2552" s="22" t="str">
        <f>IF(OR(E2552="",E2552="!!!"),"",IF(NOT(ISNA(VLOOKUP(E2552,E$1:E2551,1,FALSE()))),"OLD",IF(AND(E2552&lt;&gt;"",E2552&lt;&gt;"!!!"),"NEW","")))</f>
        <v> </v>
      </c>
      <c r="G2552" s="23" t="str">
        <f>IF(OR(E2552="",E2552="!!!"),"",IF(OR(J2552=0,AND(J2552=1,K2552=1),AND(J2552=1,I2552="SBJ"),AND(J2552=1,I2552=0)),"?IN_FOCUS",IF(J2552&lt;=2,"?ACTIVATED",IF(J2552&lt;&gt;"","?FAMILIAR",IF(F2552="NEW",IF(ISNA(VLOOKUP(E2552,#REF!,1,FALSE())),"?TYPE_IDENTIFIABLE","?REFERENTIAL"),"_")))))</f>
        <v> </v>
      </c>
      <c r="H2552" s="24" t="str">
        <f>IF(J2552&lt;&gt;1,"",IF(I2552="SBJ","CB","?"))</f>
        <v> </v>
      </c>
      <c r="I2552" s="25" t="str">
        <f>IF(OR(E2552="",E2552="!!!",F2552="NEW"),"",INDEX(B2551:B$2,-1+SUMPRODUCT(MAX(ROW(E2551:E$2)*(E2552=E2551:E$2)))))</f>
        <v> </v>
      </c>
      <c r="J2552" s="25" t="str">
        <f>IF(OR(E2552="",E2552="!!!",F2552="NEW"),"",COUNTBLANK(OFFSET(A$1,,,SUMPRODUCT(MAX(ROW(E$2:E2552)*(E2552=E$2:E2552)))))-COUNTBLANK(OFFSET(A$1,,,SUMPRODUCT(MAX(ROW(E$1:E2551)*(E2=E$1:E2551))))))</f>
        <v> </v>
      </c>
      <c r="K2552" s="25" t="str">
        <f>IF(OR(E2552="",E2552="!!!",F2552="NEW"),"",INDEX(J$1:J2551,SUMPRODUCT(MAX(ROW(E$1:E2551)*(E2552=E$1:E2551)))))</f>
        <v> </v>
      </c>
      <c r="L2552" s="26"/>
    </row>
    <row r="2553" spans="1:12">
      <c r="A2553" s="20" t="s">
        <v>2335</v>
      </c>
      <c r="E2553" s="21">
        <f>IF(D2553="?OLD","!!!","")</f>
        <v/>
      </c>
      <c r="F2553" s="22" t="str">
        <f>IF(OR(E2553="",E2553="!!!"),"",IF(NOT(ISNA(VLOOKUP(E2553,E$1:E2552,1,FALSE()))),"OLD",IF(AND(E2553&lt;&gt;"",E2553&lt;&gt;"!!!"),"NEW","")))</f>
        <v> </v>
      </c>
      <c r="G2553" s="23" t="str">
        <f>IF(OR(E2553="",E2553="!!!"),"",IF(OR(J2553=0,AND(J2553=1,K2553=1),AND(J2553=1,I2553="SBJ"),AND(J2553=1,I2553=0)),"?IN_FOCUS",IF(J2553&lt;=2,"?ACTIVATED",IF(J2553&lt;&gt;"","?FAMILIAR",IF(F2553="NEW",IF(ISNA(VLOOKUP(E2553,#REF!,1,FALSE())),"?TYPE_IDENTIFIABLE","?REFERENTIAL"),"_")))))</f>
        <v> </v>
      </c>
      <c r="H2553" s="24" t="str">
        <f>IF(J2553&lt;&gt;1,"",IF(I2553="SBJ","CB","?"))</f>
        <v> </v>
      </c>
      <c r="I2553" s="25" t="str">
        <f>IF(OR(E2553="",E2553="!!!",F2553="NEW"),"",INDEX(B2552:B$2,-1+SUMPRODUCT(MAX(ROW(E2552:E$2)*(E2553=E2552:E$2)))))</f>
        <v> </v>
      </c>
      <c r="J2553" s="25" t="str">
        <f>IF(OR(E2553="",E2553="!!!",F2553="NEW"),"",COUNTBLANK(OFFSET(A$1,,,SUMPRODUCT(MAX(ROW(E$2:E2553)*(E2553=E$2:E2553)))))-COUNTBLANK(OFFSET(A$1,,,SUMPRODUCT(MAX(ROW(E$1:E2552)*(E2=E$1:E2552))))))</f>
        <v> </v>
      </c>
      <c r="K2553" s="25" t="str">
        <f>IF(OR(E2553="",E2553="!!!",F2553="NEW"),"",INDEX(J$1:J2552,SUMPRODUCT(MAX(ROW(E$1:E2552)*(E2553=E$1:E2552)))))</f>
        <v> </v>
      </c>
      <c r="L2553" s="26"/>
    </row>
    <row r="2554" spans="1:12">
      <c r="A2554" s="20" t="s">
        <v>2328</v>
      </c>
      <c r="E2554" s="21">
        <f>IF(D2554="?OLD","!!!","")</f>
        <v/>
      </c>
      <c r="F2554" s="22" t="str">
        <f>IF(OR(E2554="",E2554="!!!"),"",IF(NOT(ISNA(VLOOKUP(E2554,E$1:E2553,1,FALSE()))),"OLD",IF(AND(E2554&lt;&gt;"",E2554&lt;&gt;"!!!"),"NEW","")))</f>
        <v> </v>
      </c>
      <c r="G2554" s="23" t="str">
        <f>IF(OR(E2554="",E2554="!!!"),"",IF(OR(J2554=0,AND(J2554=1,K2554=1),AND(J2554=1,I2554="SBJ"),AND(J2554=1,I2554=0)),"?IN_FOCUS",IF(J2554&lt;=2,"?ACTIVATED",IF(J2554&lt;&gt;"","?FAMILIAR",IF(F2554="NEW",IF(ISNA(VLOOKUP(E2554,#REF!,1,FALSE())),"?TYPE_IDENTIFIABLE","?REFERENTIAL"),"_")))))</f>
        <v> </v>
      </c>
      <c r="H2554" s="24" t="str">
        <f>IF(J2554&lt;&gt;1,"",IF(I2554="SBJ","CB","?"))</f>
        <v> </v>
      </c>
      <c r="I2554" s="25" t="str">
        <f>IF(OR(E2554="",E2554="!!!",F2554="NEW"),"",INDEX(B2553:B$2,-1+SUMPRODUCT(MAX(ROW(E2553:E$2)*(E2554=E2553:E$2)))))</f>
        <v> </v>
      </c>
      <c r="J2554" s="25" t="str">
        <f>IF(OR(E2554="",E2554="!!!",F2554="NEW"),"",COUNTBLANK(OFFSET(A$1,,,SUMPRODUCT(MAX(ROW(E$2:E2554)*(E2554=E$2:E2554)))))-COUNTBLANK(OFFSET(A$1,,,SUMPRODUCT(MAX(ROW(E$1:E2553)*(E2=E$1:E2553))))))</f>
        <v> </v>
      </c>
      <c r="K2554" s="25" t="str">
        <f>IF(OR(E2554="",E2554="!!!",F2554="NEW"),"",INDEX(J$1:J2553,SUMPRODUCT(MAX(ROW(E$1:E2553)*(E2554=E$1:E2553)))))</f>
        <v> </v>
      </c>
      <c r="L2554" s="26"/>
    </row>
    <row r="2555" spans="1:12">
      <c r="A2555" s="20" t="s">
        <v>2329</v>
      </c>
      <c r="B2555" s="27" t="s">
        <v>1107</v>
      </c>
      <c r="C2555" s="27" t="s">
        <v>1210</v>
      </c>
      <c r="E2555" s="21">
        <f>IF(D2555="?OLD","!!!","")</f>
        <v/>
      </c>
      <c r="F2555" s="22" t="str">
        <f>IF(OR(E2555="",E2555="!!!"),"",IF(NOT(ISNA(VLOOKUP(E2555,E$1:E2554,1,FALSE()))),"OLD",IF(AND(E2555&lt;&gt;"",E2555&lt;&gt;"!!!"),"NEW","")))</f>
        <v> </v>
      </c>
      <c r="G2555" s="23" t="str">
        <f>IF(OR(E2555="",E2555="!!!"),"",IF(OR(J2555=0,AND(J2555=1,K2555=1),AND(J2555=1,I2555="SBJ"),AND(J2555=1,I2555=0)),"?IN_FOCUS",IF(J2555&lt;=2,"?ACTIVATED",IF(J2555&lt;&gt;"","?FAMILIAR",IF(F2555="NEW",IF(ISNA(VLOOKUP(E2555,#REF!,1,FALSE())),"?TYPE_IDENTIFIABLE","?REFERENTIAL"),"_")))))</f>
        <v> </v>
      </c>
      <c r="H2555" s="24" t="str">
        <f>IF(J2555&lt;&gt;1,"",IF(I2555="SBJ","CB","?"))</f>
        <v> </v>
      </c>
      <c r="I2555" s="25" t="str">
        <f>IF(OR(E2555="",E2555="!!!",F2555="NEW"),"",INDEX(B2554:B$2,-1+SUMPRODUCT(MAX(ROW(E2554:E$2)*(E2555=E2554:E$2)))))</f>
        <v> </v>
      </c>
      <c r="J2555" s="25" t="str">
        <f>IF(OR(E2555="",E2555="!!!",F2555="NEW"),"",COUNTBLANK(OFFSET(A$1,,,SUMPRODUCT(MAX(ROW(E$2:E2555)*(E2555=E$2:E2555)))))-COUNTBLANK(OFFSET(A$1,,,SUMPRODUCT(MAX(ROW(E$1:E2554)*(E2=E$1:E2554))))))</f>
        <v> </v>
      </c>
      <c r="K2555" s="25" t="str">
        <f>IF(OR(E2555="",E2555="!!!",F2555="NEW"),"",INDEX(J$1:J2554,SUMPRODUCT(MAX(ROW(E$1:E2554)*(E2555=E$1:E2554)))))</f>
        <v> </v>
      </c>
      <c r="L2555" s="26"/>
    </row>
    <row r="2556" spans="1:12">
      <c r="A2556" s="20" t="s">
        <v>1123</v>
      </c>
      <c r="E2556" s="21">
        <f>IF(D2556="?OLD","!!!","")</f>
        <v/>
      </c>
      <c r="F2556" s="22" t="str">
        <f>IF(OR(E2556="",E2556="!!!"),"",IF(NOT(ISNA(VLOOKUP(E2556,E$1:E2555,1,FALSE()))),"OLD",IF(AND(E2556&lt;&gt;"",E2556&lt;&gt;"!!!"),"NEW","")))</f>
        <v> </v>
      </c>
      <c r="G2556" s="23" t="str">
        <f>IF(OR(E2556="",E2556="!!!"),"",IF(OR(J2556=0,AND(J2556=1,K2556=1),AND(J2556=1,I2556="SBJ"),AND(J2556=1,I2556=0)),"?IN_FOCUS",IF(J2556&lt;=2,"?ACTIVATED",IF(J2556&lt;&gt;"","?FAMILIAR",IF(F2556="NEW",IF(ISNA(VLOOKUP(E2556,#REF!,1,FALSE())),"?TYPE_IDENTIFIABLE","?REFERENTIAL"),"_")))))</f>
        <v> </v>
      </c>
      <c r="H2556" s="24" t="str">
        <f>IF(J2556&lt;&gt;1,"",IF(I2556="SBJ","CB","?"))</f>
        <v> </v>
      </c>
      <c r="I2556" s="25" t="str">
        <f>IF(OR(E2556="",E2556="!!!",F2556="NEW"),"",INDEX(B2555:B$2,-1+SUMPRODUCT(MAX(ROW(E2555:E$2)*(E2556=E2555:E$2)))))</f>
        <v> </v>
      </c>
      <c r="J2556" s="25" t="str">
        <f>IF(OR(E2556="",E2556="!!!",F2556="NEW"),"",COUNTBLANK(OFFSET(A$1,,,SUMPRODUCT(MAX(ROW(E$2:E2556)*(E2556=E$2:E2556)))))-COUNTBLANK(OFFSET(A$1,,,SUMPRODUCT(MAX(ROW(E$1:E2555)*(E2=E$1:E2555))))))</f>
        <v> </v>
      </c>
      <c r="K2556" s="25" t="str">
        <f>IF(OR(E2556="",E2556="!!!",F2556="NEW"),"",INDEX(J$1:J2555,SUMPRODUCT(MAX(ROW(E$1:E2555)*(E2556=E$1:E2555)))))</f>
        <v> </v>
      </c>
      <c r="L2556" s="26"/>
    </row>
    <row r="2557" spans="1:12">
      <c r="A2557" s="20" t="s">
        <v>1128</v>
      </c>
      <c r="E2557" s="21">
        <f>IF(D2557="?OLD","!!!","")</f>
        <v/>
      </c>
      <c r="F2557" s="22" t="str">
        <f>IF(OR(E2557="",E2557="!!!"),"",IF(NOT(ISNA(VLOOKUP(E2557,E$1:E2556,1,FALSE()))),"OLD",IF(AND(E2557&lt;&gt;"",E2557&lt;&gt;"!!!"),"NEW","")))</f>
        <v> </v>
      </c>
      <c r="G2557" s="23" t="str">
        <f>IF(OR(E2557="",E2557="!!!"),"",IF(OR(J2557=0,AND(J2557=1,K2557=1),AND(J2557=1,I2557="SBJ"),AND(J2557=1,I2557=0)),"?IN_FOCUS",IF(J2557&lt;=2,"?ACTIVATED",IF(J2557&lt;&gt;"","?FAMILIAR",IF(F2557="NEW",IF(ISNA(VLOOKUP(E2557,#REF!,1,FALSE())),"?TYPE_IDENTIFIABLE","?REFERENTIAL"),"_")))))</f>
        <v> </v>
      </c>
      <c r="H2557" s="24" t="str">
        <f>IF(J2557&lt;&gt;1,"",IF(I2557="SBJ","CB","?"))</f>
        <v> </v>
      </c>
      <c r="I2557" s="25" t="str">
        <f>IF(OR(E2557="",E2557="!!!",F2557="NEW"),"",INDEX(B2556:B$2,-1+SUMPRODUCT(MAX(ROW(E2556:E$2)*(E2557=E2556:E$2)))))</f>
        <v> </v>
      </c>
      <c r="J2557" s="25" t="str">
        <f>IF(OR(E2557="",E2557="!!!",F2557="NEW"),"",COUNTBLANK(OFFSET(A$1,,,SUMPRODUCT(MAX(ROW(E$2:E2557)*(E2557=E$2:E2557)))))-COUNTBLANK(OFFSET(A$1,,,SUMPRODUCT(MAX(ROW(E$1:E2556)*(E2=E$1:E2556))))))</f>
        <v> </v>
      </c>
      <c r="K2557" s="25" t="str">
        <f>IF(OR(E2557="",E2557="!!!",F2557="NEW"),"",INDEX(J$1:J2556,SUMPRODUCT(MAX(ROW(E$1:E2556)*(E2557=E$1:E2556)))))</f>
        <v> </v>
      </c>
      <c r="L2557" s="26"/>
    </row>
    <row r="2558" spans="1:12">
      <c r="A2558" s="20" t="s">
        <v>2336</v>
      </c>
      <c r="E2558" s="21">
        <f>IF(D2558="?OLD","!!!","")</f>
        <v/>
      </c>
      <c r="F2558" s="22" t="str">
        <f>IF(OR(E2558="",E2558="!!!"),"",IF(NOT(ISNA(VLOOKUP(E2558,E$1:E2557,1,FALSE()))),"OLD",IF(AND(E2558&lt;&gt;"",E2558&lt;&gt;"!!!"),"NEW","")))</f>
        <v> </v>
      </c>
      <c r="G2558" s="23" t="str">
        <f>IF(OR(E2558="",E2558="!!!"),"",IF(OR(J2558=0,AND(J2558=1,K2558=1),AND(J2558=1,I2558="SBJ"),AND(J2558=1,I2558=0)),"?IN_FOCUS",IF(J2558&lt;=2,"?ACTIVATED",IF(J2558&lt;&gt;"","?FAMILIAR",IF(F2558="NEW",IF(ISNA(VLOOKUP(E2558,#REF!,1,FALSE())),"?TYPE_IDENTIFIABLE","?REFERENTIAL"),"_")))))</f>
        <v> </v>
      </c>
      <c r="H2558" s="24" t="str">
        <f>IF(J2558&lt;&gt;1,"",IF(I2558="SBJ","CB","?"))</f>
        <v> </v>
      </c>
      <c r="I2558" s="25" t="str">
        <f>IF(OR(E2558="",E2558="!!!",F2558="NEW"),"",INDEX(B2557:B$2,-1+SUMPRODUCT(MAX(ROW(E2557:E$2)*(E2558=E2557:E$2)))))</f>
        <v> </v>
      </c>
      <c r="J2558" s="25" t="str">
        <f>IF(OR(E2558="",E2558="!!!",F2558="NEW"),"",COUNTBLANK(OFFSET(A$1,,,SUMPRODUCT(MAX(ROW(E$2:E2558)*(E2558=E$2:E2558)))))-COUNTBLANK(OFFSET(A$1,,,SUMPRODUCT(MAX(ROW(E$1:E2557)*(E2=E$1:E2557))))))</f>
        <v> </v>
      </c>
      <c r="K2558" s="25" t="str">
        <f>IF(OR(E2558="",E2558="!!!",F2558="NEW"),"",INDEX(J$1:J2557,SUMPRODUCT(MAX(ROW(E$1:E2557)*(E2558=E$1:E2557)))))</f>
        <v> </v>
      </c>
      <c r="L2558" s="26"/>
    </row>
    <row r="2559" spans="1:12">
      <c r="A2559" s="20" t="s">
        <v>1241</v>
      </c>
      <c r="B2559" s="27" t="s">
        <v>1243</v>
      </c>
      <c r="E2559" s="21">
        <f>IF(D2559="?OLD","!!!","")</f>
        <v/>
      </c>
      <c r="F2559" s="22" t="str">
        <f>IF(OR(E2559="",E2559="!!!"),"",IF(NOT(ISNA(VLOOKUP(E2559,E$1:E2558,1,FALSE()))),"OLD",IF(AND(E2559&lt;&gt;"",E2559&lt;&gt;"!!!"),"NEW","")))</f>
        <v> </v>
      </c>
      <c r="G2559" s="23" t="str">
        <f>IF(OR(E2559="",E2559="!!!"),"",IF(OR(J2559=0,AND(J2559=1,K2559=1),AND(J2559=1,I2559="SBJ"),AND(J2559=1,I2559=0)),"?IN_FOCUS",IF(J2559&lt;=2,"?ACTIVATED",IF(J2559&lt;&gt;"","?FAMILIAR",IF(F2559="NEW",IF(ISNA(VLOOKUP(E2559,#REF!,1,FALSE())),"?TYPE_IDENTIFIABLE","?REFERENTIAL"),"_")))))</f>
        <v> </v>
      </c>
      <c r="H2559" s="24" t="str">
        <f>IF(J2559&lt;&gt;1,"",IF(I2559="SBJ","CB","?"))</f>
        <v> </v>
      </c>
      <c r="I2559" s="25" t="str">
        <f>IF(OR(E2559="",E2559="!!!",F2559="NEW"),"",INDEX(B2558:B$2,-1+SUMPRODUCT(MAX(ROW(E2558:E$2)*(E2559=E2558:E$2)))))</f>
        <v> </v>
      </c>
      <c r="J2559" s="25" t="str">
        <f>IF(OR(E2559="",E2559="!!!",F2559="NEW"),"",COUNTBLANK(OFFSET(A$1,,,SUMPRODUCT(MAX(ROW(E$2:E2559)*(E2559=E$2:E2559)))))-COUNTBLANK(OFFSET(A$1,,,SUMPRODUCT(MAX(ROW(E$1:E2558)*(E2=E$1:E2558))))))</f>
        <v> </v>
      </c>
      <c r="K2559" s="25" t="str">
        <f>IF(OR(E2559="",E2559="!!!",F2559="NEW"),"",INDEX(J$1:J2558,SUMPRODUCT(MAX(ROW(E$1:E2558)*(E2559=E$1:E2558)))))</f>
        <v> </v>
      </c>
      <c r="L2559" s="26"/>
    </row>
    <row r="2560" spans="1:12">
      <c r="A2560" s="20" t="s">
        <v>2337</v>
      </c>
      <c r="E2560" s="21">
        <f>IF(D2560="?OLD","!!!","")</f>
        <v/>
      </c>
      <c r="F2560" s="22" t="str">
        <f>IF(OR(E2560="",E2560="!!!"),"",IF(NOT(ISNA(VLOOKUP(E2560,E$1:E2559,1,FALSE()))),"OLD",IF(AND(E2560&lt;&gt;"",E2560&lt;&gt;"!!!"),"NEW","")))</f>
        <v> </v>
      </c>
      <c r="G2560" s="23" t="str">
        <f>IF(OR(E2560="",E2560="!!!"),"",IF(OR(J2560=0,AND(J2560=1,K2560=1),AND(J2560=1,I2560="SBJ"),AND(J2560=1,I2560=0)),"?IN_FOCUS",IF(J2560&lt;=2,"?ACTIVATED",IF(J2560&lt;&gt;"","?FAMILIAR",IF(F2560="NEW",IF(ISNA(VLOOKUP(E2560,#REF!,1,FALSE())),"?TYPE_IDENTIFIABLE","?REFERENTIAL"),"_")))))</f>
        <v> </v>
      </c>
      <c r="H2560" s="24" t="str">
        <f>IF(J2560&lt;&gt;1,"",IF(I2560="SBJ","CB","?"))</f>
        <v> </v>
      </c>
      <c r="I2560" s="25" t="str">
        <f>IF(OR(E2560="",E2560="!!!",F2560="NEW"),"",INDEX(B2559:B$2,-1+SUMPRODUCT(MAX(ROW(E2559:E$2)*(E2560=E2559:E$2)))))</f>
        <v> </v>
      </c>
      <c r="J2560" s="25" t="str">
        <f>IF(OR(E2560="",E2560="!!!",F2560="NEW"),"",COUNTBLANK(OFFSET(A$1,,,SUMPRODUCT(MAX(ROW(E$2:E2560)*(E2560=E$2:E2560)))))-COUNTBLANK(OFFSET(A$1,,,SUMPRODUCT(MAX(ROW(E$1:E2559)*(E2=E$1:E2559))))))</f>
        <v> </v>
      </c>
      <c r="K2560" s="25" t="str">
        <f>IF(OR(E2560="",E2560="!!!",F2560="NEW"),"",INDEX(J$1:J2559,SUMPRODUCT(MAX(ROW(E$1:E2559)*(E2560=E$1:E2559)))))</f>
        <v> </v>
      </c>
      <c r="L2560" s="26"/>
    </row>
    <row r="2561" spans="1:12">
      <c r="A2561" s="20" t="s">
        <v>1145</v>
      </c>
      <c r="E2561" s="21">
        <f>IF(D2561="?OLD","!!!","")</f>
        <v/>
      </c>
      <c r="F2561" s="22" t="str">
        <f>IF(OR(E2561="",E2561="!!!"),"",IF(NOT(ISNA(VLOOKUP(E2561,E$1:E2560,1,FALSE()))),"OLD",IF(AND(E2561&lt;&gt;"",E2561&lt;&gt;"!!!"),"NEW","")))</f>
        <v> </v>
      </c>
      <c r="G2561" s="23" t="str">
        <f>IF(OR(E2561="",E2561="!!!"),"",IF(OR(J2561=0,AND(J2561=1,K2561=1),AND(J2561=1,I2561="SBJ"),AND(J2561=1,I2561=0)),"?IN_FOCUS",IF(J2561&lt;=2,"?ACTIVATED",IF(J2561&lt;&gt;"","?FAMILIAR",IF(F2561="NEW",IF(ISNA(VLOOKUP(E2561,#REF!,1,FALSE())),"?TYPE_IDENTIFIABLE","?REFERENTIAL"),"_")))))</f>
        <v> </v>
      </c>
      <c r="H2561" s="24" t="str">
        <f>IF(J2561&lt;&gt;1,"",IF(I2561="SBJ","CB","?"))</f>
        <v> </v>
      </c>
      <c r="I2561" s="25" t="str">
        <f>IF(OR(E2561="",E2561="!!!",F2561="NEW"),"",INDEX(B2560:B$2,-1+SUMPRODUCT(MAX(ROW(E2560:E$2)*(E2561=E2560:E$2)))))</f>
        <v> </v>
      </c>
      <c r="J2561" s="25" t="str">
        <f>IF(OR(E2561="",E2561="!!!",F2561="NEW"),"",COUNTBLANK(OFFSET(A$1,,,SUMPRODUCT(MAX(ROW(E$2:E2561)*(E2561=E$2:E2561)))))-COUNTBLANK(OFFSET(A$1,,,SUMPRODUCT(MAX(ROW(E$1:E2560)*(E2=E$1:E2560))))))</f>
        <v> </v>
      </c>
      <c r="K2561" s="25" t="str">
        <f>IF(OR(E2561="",E2561="!!!",F2561="NEW"),"",INDEX(J$1:J2560,SUMPRODUCT(MAX(ROW(E$1:E2560)*(E2561=E$1:E2560)))))</f>
        <v> </v>
      </c>
      <c r="L2561" s="26"/>
    </row>
    <row r="2562" spans="1:12">
      <c r="A2562" s="20"/>
    </row>
    <row r="2563" spans="1:12">
      <c r="A2563" s="20" t="s">
        <v>2338</v>
      </c>
    </row>
    <row r="2564" spans="1:12">
      <c r="A2564" s="20" t="s">
        <v>1111</v>
      </c>
      <c r="E2564" s="21">
        <f>IF(D2564="?OLD","!!!","")</f>
        <v/>
      </c>
      <c r="F2564" s="22" t="str">
        <f>IF(OR(E2564="",E2564="!!!"),"",IF(NOT(ISNA(VLOOKUP(E2564,E$1:E2563,1,FALSE()))),"OLD",IF(AND(E2564&lt;&gt;"",E2564&lt;&gt;"!!!"),"NEW","")))</f>
        <v> </v>
      </c>
      <c r="G2564" s="23" t="str">
        <f>IF(OR(E2564="",E2564="!!!"),"",IF(OR(J2564=0,AND(J2564=1,K2564=1),AND(J2564=1,I2564="SBJ"),AND(J2564=1,I2564=0)),"?IN_FOCUS",IF(J2564&lt;=2,"?ACTIVATED",IF(J2564&lt;&gt;"","?FAMILIAR",IF(F2564="NEW",IF(ISNA(VLOOKUP(E2564,#REF!,1,FALSE())),"?TYPE_IDENTIFIABLE","?REFERENTIAL"),"_")))))</f>
        <v> </v>
      </c>
      <c r="H2564" s="24" t="str">
        <f>IF(J2564&lt;&gt;1,"",IF(I2564="SBJ","CB","?"))</f>
        <v> </v>
      </c>
      <c r="I2564" s="25" t="str">
        <f>IF(OR(E2564="",E2564="!!!",F2564="NEW"),"",INDEX(B2563:B$2,-1+SUMPRODUCT(MAX(ROW(E2563:E$2)*(E2564=E2563:E$2)))))</f>
        <v> </v>
      </c>
      <c r="J2564" s="25" t="str">
        <f>IF(OR(E2564="",E2564="!!!",F2564="NEW"),"",COUNTBLANK(OFFSET(A$1,,,SUMPRODUCT(MAX(ROW(E$2:E2564)*(E2564=E$2:E2564)))))-COUNTBLANK(OFFSET(A$1,,,SUMPRODUCT(MAX(ROW(E$1:E2563)*(E2=E$1:E2563))))))</f>
        <v> </v>
      </c>
      <c r="K2564" s="25" t="str">
        <f>IF(OR(E2564="",E2564="!!!",F2564="NEW"),"",INDEX(J$1:J2563,SUMPRODUCT(MAX(ROW(E$1:E2563)*(E2564=E$1:E2563)))))</f>
        <v> </v>
      </c>
      <c r="L2564" s="26"/>
    </row>
    <row r="2565" spans="1:12">
      <c r="A2565" s="20" t="s">
        <v>1368</v>
      </c>
      <c r="E2565" s="21">
        <f>IF(D2565="?OLD","!!!","")</f>
        <v/>
      </c>
      <c r="F2565" s="22" t="str">
        <f>IF(OR(E2565="",E2565="!!!"),"",IF(NOT(ISNA(VLOOKUP(E2565,E$1:E2564,1,FALSE()))),"OLD",IF(AND(E2565&lt;&gt;"",E2565&lt;&gt;"!!!"),"NEW","")))</f>
        <v> </v>
      </c>
      <c r="G2565" s="23" t="str">
        <f>IF(OR(E2565="",E2565="!!!"),"",IF(OR(J2565=0,AND(J2565=1,K2565=1),AND(J2565=1,I2565="SBJ"),AND(J2565=1,I2565=0)),"?IN_FOCUS",IF(J2565&lt;=2,"?ACTIVATED",IF(J2565&lt;&gt;"","?FAMILIAR",IF(F2565="NEW",IF(ISNA(VLOOKUP(E2565,#REF!,1,FALSE())),"?TYPE_IDENTIFIABLE","?REFERENTIAL"),"_")))))</f>
        <v> </v>
      </c>
      <c r="H2565" s="24" t="str">
        <f>IF(J2565&lt;&gt;1,"",IF(I2565="SBJ","CB","?"))</f>
        <v> </v>
      </c>
      <c r="I2565" s="25" t="str">
        <f>IF(OR(E2565="",E2565="!!!",F2565="NEW"),"",INDEX(B2564:B$2,-1+SUMPRODUCT(MAX(ROW(E2564:E$2)*(E2565=E2564:E$2)))))</f>
        <v> </v>
      </c>
      <c r="J2565" s="25" t="str">
        <f>IF(OR(E2565="",E2565="!!!",F2565="NEW"),"",COUNTBLANK(OFFSET(A$1,,,SUMPRODUCT(MAX(ROW(E$2:E2565)*(E2565=E$2:E2565)))))-COUNTBLANK(OFFSET(A$1,,,SUMPRODUCT(MAX(ROW(E$1:E2564)*(E2=E$1:E2564))))))</f>
        <v> </v>
      </c>
      <c r="K2565" s="25" t="str">
        <f>IF(OR(E2565="",E2565="!!!",F2565="NEW"),"",INDEX(J$1:J2564,SUMPRODUCT(MAX(ROW(E$1:E2564)*(E2565=E$1:E2564)))))</f>
        <v> </v>
      </c>
      <c r="L2565" s="26"/>
    </row>
    <row r="2566" spans="1:12">
      <c r="A2566" s="20" t="s">
        <v>1369</v>
      </c>
      <c r="E2566" s="21">
        <f>IF(D2566="?OLD","!!!","")</f>
        <v/>
      </c>
      <c r="F2566" s="22" t="str">
        <f>IF(OR(E2566="",E2566="!!!"),"",IF(NOT(ISNA(VLOOKUP(E2566,E$1:E2565,1,FALSE()))),"OLD",IF(AND(E2566&lt;&gt;"",E2566&lt;&gt;"!!!"),"NEW","")))</f>
        <v> </v>
      </c>
      <c r="G2566" s="23" t="str">
        <f>IF(OR(E2566="",E2566="!!!"),"",IF(OR(J2566=0,AND(J2566=1,K2566=1),AND(J2566=1,I2566="SBJ"),AND(J2566=1,I2566=0)),"?IN_FOCUS",IF(J2566&lt;=2,"?ACTIVATED",IF(J2566&lt;&gt;"","?FAMILIAR",IF(F2566="NEW",IF(ISNA(VLOOKUP(E2566,#REF!,1,FALSE())),"?TYPE_IDENTIFIABLE","?REFERENTIAL"),"_")))))</f>
        <v> </v>
      </c>
      <c r="H2566" s="24" t="str">
        <f>IF(J2566&lt;&gt;1,"",IF(I2566="SBJ","CB","?"))</f>
        <v> </v>
      </c>
      <c r="I2566" s="25" t="str">
        <f>IF(OR(E2566="",E2566="!!!",F2566="NEW"),"",INDEX(B2565:B$2,-1+SUMPRODUCT(MAX(ROW(E2565:E$2)*(E2566=E2565:E$2)))))</f>
        <v> </v>
      </c>
      <c r="J2566" s="25" t="str">
        <f>IF(OR(E2566="",E2566="!!!",F2566="NEW"),"",COUNTBLANK(OFFSET(A$1,,,SUMPRODUCT(MAX(ROW(E$2:E2566)*(E2566=E$2:E2566)))))-COUNTBLANK(OFFSET(A$1,,,SUMPRODUCT(MAX(ROW(E$1:E2565)*(E2=E$1:E2565))))))</f>
        <v> </v>
      </c>
      <c r="K2566" s="25" t="str">
        <f>IF(OR(E2566="",E2566="!!!",F2566="NEW"),"",INDEX(J$1:J2565,SUMPRODUCT(MAX(ROW(E$1:E2565)*(E2566=E$1:E2565)))))</f>
        <v> </v>
      </c>
      <c r="L2566" s="26"/>
    </row>
    <row r="2567" spans="1:12">
      <c r="A2567" s="20" t="s">
        <v>1242</v>
      </c>
      <c r="B2567" s="27" t="s">
        <v>1213</v>
      </c>
      <c r="C2567" s="27" t="s">
        <v>1126</v>
      </c>
      <c r="D2567" s="27" t="s">
        <v>1105</v>
      </c>
      <c r="E2567" s="21">
        <f>IF(D2567="?OLD","!!!","")</f>
        <v/>
      </c>
      <c r="F2567" s="22" t="str">
        <f>IF(OR(E2567="",E2567="!!!"),"",IF(NOT(ISNA(VLOOKUP(E2567,E$1:E2566,1,FALSE()))),"OLD",IF(AND(E2567&lt;&gt;"",E2567&lt;&gt;"!!!"),"NEW","")))</f>
        <v> </v>
      </c>
      <c r="G2567" s="23" t="str">
        <f>IF(OR(E2567="",E2567="!!!"),"",IF(OR(J2567=0,AND(J2567=1,K2567=1),AND(J2567=1,I2567="SBJ"),AND(J2567=1,I2567=0)),"?IN_FOCUS",IF(J2567&lt;=2,"?ACTIVATED",IF(J2567&lt;&gt;"","?FAMILIAR",IF(F2567="NEW",IF(ISNA(VLOOKUP(E2567,#REF!,1,FALSE())),"?TYPE_IDENTIFIABLE","?REFERENTIAL"),"_")))))</f>
        <v> </v>
      </c>
      <c r="H2567" s="24" t="str">
        <f>IF(J2567&lt;&gt;1,"",IF(I2567="SBJ","CB","?"))</f>
        <v> </v>
      </c>
      <c r="I2567" s="25" t="str">
        <f>IF(OR(E2567="",E2567="!!!",F2567="NEW"),"",INDEX(B2566:B$2,-1+SUMPRODUCT(MAX(ROW(E2566:E$2)*(E2567=E2566:E$2)))))</f>
        <v> </v>
      </c>
      <c r="J2567" s="25" t="str">
        <f>IF(OR(E2567="",E2567="!!!",F2567="NEW"),"",COUNTBLANK(OFFSET(A$1,,,SUMPRODUCT(MAX(ROW(E$2:E2567)*(E2567=E$2:E2567)))))-COUNTBLANK(OFFSET(A$1,,,SUMPRODUCT(MAX(ROW(E$1:E2566)*(E2=E$1:E2566))))))</f>
        <v> </v>
      </c>
      <c r="K2567" s="25" t="str">
        <f>IF(OR(E2567="",E2567="!!!",F2567="NEW"),"",INDEX(J$1:J2566,SUMPRODUCT(MAX(ROW(E$1:E2566)*(E2567=E$1:E2566)))))</f>
        <v> </v>
      </c>
      <c r="L2567" s="26"/>
    </row>
    <row r="2568" spans="1:12">
      <c r="A2568" s="20" t="s">
        <v>2339</v>
      </c>
      <c r="E2568" s="21">
        <f>IF(D2568="?OLD","!!!","")</f>
        <v/>
      </c>
      <c r="F2568" s="22" t="str">
        <f>IF(OR(E2568="",E2568="!!!"),"",IF(NOT(ISNA(VLOOKUP(E2568,E$1:E2567,1,FALSE()))),"OLD",IF(AND(E2568&lt;&gt;"",E2568&lt;&gt;"!!!"),"NEW","")))</f>
        <v> </v>
      </c>
      <c r="G2568" s="23" t="str">
        <f>IF(OR(E2568="",E2568="!!!"),"",IF(OR(J2568=0,AND(J2568=1,K2568=1),AND(J2568=1,I2568="SBJ"),AND(J2568=1,I2568=0)),"?IN_FOCUS",IF(J2568&lt;=2,"?ACTIVATED",IF(J2568&lt;&gt;"","?FAMILIAR",IF(F2568="NEW",IF(ISNA(VLOOKUP(E2568,#REF!,1,FALSE())),"?TYPE_IDENTIFIABLE","?REFERENTIAL"),"_")))))</f>
        <v> </v>
      </c>
      <c r="H2568" s="24" t="str">
        <f>IF(J2568&lt;&gt;1,"",IF(I2568="SBJ","CB","?"))</f>
        <v> </v>
      </c>
      <c r="I2568" s="25" t="str">
        <f>IF(OR(E2568="",E2568="!!!",F2568="NEW"),"",INDEX(B2567:B$2,-1+SUMPRODUCT(MAX(ROW(E2567:E$2)*(E2568=E2567:E$2)))))</f>
        <v> </v>
      </c>
      <c r="J2568" s="25" t="str">
        <f>IF(OR(E2568="",E2568="!!!",F2568="NEW"),"",COUNTBLANK(OFFSET(A$1,,,SUMPRODUCT(MAX(ROW(E$2:E2568)*(E2568=E$2:E2568)))))-COUNTBLANK(OFFSET(A$1,,,SUMPRODUCT(MAX(ROW(E$1:E2567)*(E2=E$1:E2567))))))</f>
        <v> </v>
      </c>
      <c r="K2568" s="25" t="str">
        <f>IF(OR(E2568="",E2568="!!!",F2568="NEW"),"",INDEX(J$1:J2567,SUMPRODUCT(MAX(ROW(E$1:E2567)*(E2568=E$1:E2567)))))</f>
        <v> </v>
      </c>
      <c r="L2568" s="26"/>
    </row>
    <row r="2569" spans="1:12">
      <c r="A2569" s="20" t="s">
        <v>948</v>
      </c>
      <c r="E2569" s="21">
        <f>IF(D2569="?OLD","!!!","")</f>
        <v/>
      </c>
      <c r="F2569" s="22" t="str">
        <f>IF(OR(E2569="",E2569="!!!"),"",IF(NOT(ISNA(VLOOKUP(E2569,E$1:E2568,1,FALSE()))),"OLD",IF(AND(E2569&lt;&gt;"",E2569&lt;&gt;"!!!"),"NEW","")))</f>
        <v> </v>
      </c>
      <c r="G2569" s="23" t="str">
        <f>IF(OR(E2569="",E2569="!!!"),"",IF(OR(J2569=0,AND(J2569=1,K2569=1),AND(J2569=1,I2569="SBJ"),AND(J2569=1,I2569=0)),"?IN_FOCUS",IF(J2569&lt;=2,"?ACTIVATED",IF(J2569&lt;&gt;"","?FAMILIAR",IF(F2569="NEW",IF(ISNA(VLOOKUP(E2569,#REF!,1,FALSE())),"?TYPE_IDENTIFIABLE","?REFERENTIAL"),"_")))))</f>
        <v> </v>
      </c>
      <c r="H2569" s="24" t="str">
        <f>IF(J2569&lt;&gt;1,"",IF(I2569="SBJ","CB","?"))</f>
        <v> </v>
      </c>
      <c r="I2569" s="25" t="str">
        <f>IF(OR(E2569="",E2569="!!!",F2569="NEW"),"",INDEX(B2568:B$2,-1+SUMPRODUCT(MAX(ROW(E2568:E$2)*(E2569=E2568:E$2)))))</f>
        <v> </v>
      </c>
      <c r="J2569" s="25" t="str">
        <f>IF(OR(E2569="",E2569="!!!",F2569="NEW"),"",COUNTBLANK(OFFSET(A$1,,,SUMPRODUCT(MAX(ROW(E$2:E2569)*(E2569=E$2:E2569)))))-COUNTBLANK(OFFSET(A$1,,,SUMPRODUCT(MAX(ROW(E$1:E2568)*(E2=E$1:E2568))))))</f>
        <v> </v>
      </c>
      <c r="K2569" s="25" t="str">
        <f>IF(OR(E2569="",E2569="!!!",F2569="NEW"),"",INDEX(J$1:J2568,SUMPRODUCT(MAX(ROW(E$1:E2568)*(E2569=E$1:E2568)))))</f>
        <v> </v>
      </c>
      <c r="L2569" s="26"/>
    </row>
    <row r="2570" spans="1:12">
      <c r="A2570" s="20" t="s">
        <v>1123</v>
      </c>
      <c r="E2570" s="21">
        <f>IF(D2570="?OLD","!!!","")</f>
        <v/>
      </c>
      <c r="F2570" s="22" t="str">
        <f>IF(OR(E2570="",E2570="!!!"),"",IF(NOT(ISNA(VLOOKUP(E2570,E$1:E2569,1,FALSE()))),"OLD",IF(AND(E2570&lt;&gt;"",E2570&lt;&gt;"!!!"),"NEW","")))</f>
        <v> </v>
      </c>
      <c r="G2570" s="23" t="str">
        <f>IF(OR(E2570="",E2570="!!!"),"",IF(OR(J2570=0,AND(J2570=1,K2570=1),AND(J2570=1,I2570="SBJ"),AND(J2570=1,I2570=0)),"?IN_FOCUS",IF(J2570&lt;=2,"?ACTIVATED",IF(J2570&lt;&gt;"","?FAMILIAR",IF(F2570="NEW",IF(ISNA(VLOOKUP(E2570,#REF!,1,FALSE())),"?TYPE_IDENTIFIABLE","?REFERENTIAL"),"_")))))</f>
        <v> </v>
      </c>
      <c r="H2570" s="24" t="str">
        <f>IF(J2570&lt;&gt;1,"",IF(I2570="SBJ","CB","?"))</f>
        <v> </v>
      </c>
      <c r="I2570" s="25" t="str">
        <f>IF(OR(E2570="",E2570="!!!",F2570="NEW"),"",INDEX(B2569:B$2,-1+SUMPRODUCT(MAX(ROW(E2569:E$2)*(E2570=E2569:E$2)))))</f>
        <v> </v>
      </c>
      <c r="J2570" s="25" t="str">
        <f>IF(OR(E2570="",E2570="!!!",F2570="NEW"),"",COUNTBLANK(OFFSET(A$1,,,SUMPRODUCT(MAX(ROW(E$2:E2570)*(E2570=E$2:E2570)))))-COUNTBLANK(OFFSET(A$1,,,SUMPRODUCT(MAX(ROW(E$1:E2569)*(E2=E$1:E2569))))))</f>
        <v> </v>
      </c>
      <c r="K2570" s="25" t="str">
        <f>IF(OR(E2570="",E2570="!!!",F2570="NEW"),"",INDEX(J$1:J2569,SUMPRODUCT(MAX(ROW(E$1:E2569)*(E2570=E$1:E2569)))))</f>
        <v> </v>
      </c>
      <c r="L2570" s="26"/>
    </row>
    <row r="2571" spans="1:12">
      <c r="A2571" s="20" t="s">
        <v>1111</v>
      </c>
      <c r="E2571" s="21">
        <f>IF(D2571="?OLD","!!!","")</f>
        <v/>
      </c>
      <c r="F2571" s="22" t="str">
        <f>IF(OR(E2571="",E2571="!!!"),"",IF(NOT(ISNA(VLOOKUP(E2571,E$1:E2570,1,FALSE()))),"OLD",IF(AND(E2571&lt;&gt;"",E2571&lt;&gt;"!!!"),"NEW","")))</f>
        <v> </v>
      </c>
      <c r="G2571" s="23" t="str">
        <f>IF(OR(E2571="",E2571="!!!"),"",IF(OR(J2571=0,AND(J2571=1,K2571=1),AND(J2571=1,I2571="SBJ"),AND(J2571=1,I2571=0)),"?IN_FOCUS",IF(J2571&lt;=2,"?ACTIVATED",IF(J2571&lt;&gt;"","?FAMILIAR",IF(F2571="NEW",IF(ISNA(VLOOKUP(E2571,#REF!,1,FALSE())),"?TYPE_IDENTIFIABLE","?REFERENTIAL"),"_")))))</f>
        <v> </v>
      </c>
      <c r="H2571" s="24" t="str">
        <f>IF(J2571&lt;&gt;1,"",IF(I2571="SBJ","CB","?"))</f>
        <v> </v>
      </c>
      <c r="I2571" s="25" t="str">
        <f>IF(OR(E2571="",E2571="!!!",F2571="NEW"),"",INDEX(B2570:B$2,-1+SUMPRODUCT(MAX(ROW(E2570:E$2)*(E2571=E2570:E$2)))))</f>
        <v> </v>
      </c>
      <c r="J2571" s="25" t="str">
        <f>IF(OR(E2571="",E2571="!!!",F2571="NEW"),"",COUNTBLANK(OFFSET(A$1,,,SUMPRODUCT(MAX(ROW(E$2:E2571)*(E2571=E$2:E2571)))))-COUNTBLANK(OFFSET(A$1,,,SUMPRODUCT(MAX(ROW(E$1:E2570)*(E2=E$1:E2570))))))</f>
        <v> </v>
      </c>
      <c r="K2571" s="25" t="str">
        <f>IF(OR(E2571="",E2571="!!!",F2571="NEW"),"",INDEX(J$1:J2570,SUMPRODUCT(MAX(ROW(E$1:E2570)*(E2571=E$1:E2570)))))</f>
        <v> </v>
      </c>
      <c r="L2571" s="26"/>
    </row>
    <row r="2572" spans="1:12">
      <c r="A2572" s="20" t="s">
        <v>1425</v>
      </c>
      <c r="E2572" s="21">
        <f>IF(D2572="?OLD","!!!","")</f>
        <v/>
      </c>
      <c r="F2572" s="22" t="str">
        <f>IF(OR(E2572="",E2572="!!!"),"",IF(NOT(ISNA(VLOOKUP(E2572,E$1:E2571,1,FALSE()))),"OLD",IF(AND(E2572&lt;&gt;"",E2572&lt;&gt;"!!!"),"NEW","")))</f>
        <v> </v>
      </c>
      <c r="G2572" s="23" t="str">
        <f>IF(OR(E2572="",E2572="!!!"),"",IF(OR(J2572=0,AND(J2572=1,K2572=1),AND(J2572=1,I2572="SBJ"),AND(J2572=1,I2572=0)),"?IN_FOCUS",IF(J2572&lt;=2,"?ACTIVATED",IF(J2572&lt;&gt;"","?FAMILIAR",IF(F2572="NEW",IF(ISNA(VLOOKUP(E2572,#REF!,1,FALSE())),"?TYPE_IDENTIFIABLE","?REFERENTIAL"),"_")))))</f>
        <v> </v>
      </c>
      <c r="H2572" s="24" t="str">
        <f>IF(J2572&lt;&gt;1,"",IF(I2572="SBJ","CB","?"))</f>
        <v> </v>
      </c>
      <c r="I2572" s="25" t="str">
        <f>IF(OR(E2572="",E2572="!!!",F2572="NEW"),"",INDEX(B2571:B$2,-1+SUMPRODUCT(MAX(ROW(E2571:E$2)*(E2572=E2571:E$2)))))</f>
        <v> </v>
      </c>
      <c r="J2572" s="25" t="str">
        <f>IF(OR(E2572="",E2572="!!!",F2572="NEW"),"",COUNTBLANK(OFFSET(A$1,,,SUMPRODUCT(MAX(ROW(E$2:E2572)*(E2572=E$2:E2572)))))-COUNTBLANK(OFFSET(A$1,,,SUMPRODUCT(MAX(ROW(E$1:E2571)*(E2=E$1:E2571))))))</f>
        <v> </v>
      </c>
      <c r="K2572" s="25" t="str">
        <f>IF(OR(E2572="",E2572="!!!",F2572="NEW"),"",INDEX(J$1:J2571,SUMPRODUCT(MAX(ROW(E$1:E2571)*(E2572=E$1:E2571)))))</f>
        <v> </v>
      </c>
      <c r="L2572" s="26"/>
    </row>
    <row r="2573" spans="1:12">
      <c r="A2573" s="20" t="s">
        <v>1225</v>
      </c>
      <c r="B2573" s="27" t="s">
        <v>1259</v>
      </c>
      <c r="C2573" s="27" t="s">
        <v>1108</v>
      </c>
      <c r="D2573" s="27" t="s">
        <v>1105</v>
      </c>
      <c r="E2573" s="21">
        <f>IF(D2573="?OLD","!!!","")</f>
        <v/>
      </c>
      <c r="F2573" s="22" t="str">
        <f>IF(OR(E2573="",E2573="!!!"),"",IF(NOT(ISNA(VLOOKUP(E2573,E$1:E2572,1,FALSE()))),"OLD",IF(AND(E2573&lt;&gt;"",E2573&lt;&gt;"!!!"),"NEW","")))</f>
        <v> </v>
      </c>
      <c r="G2573" s="23" t="str">
        <f>IF(OR(E2573="",E2573="!!!"),"",IF(OR(J2573=0,AND(J2573=1,K2573=1),AND(J2573=1,I2573="SBJ"),AND(J2573=1,I2573=0)),"?IN_FOCUS",IF(J2573&lt;=2,"?ACTIVATED",IF(J2573&lt;&gt;"","?FAMILIAR",IF(F2573="NEW",IF(ISNA(VLOOKUP(E2573,#REF!,1,FALSE())),"?TYPE_IDENTIFIABLE","?REFERENTIAL"),"_")))))</f>
        <v> </v>
      </c>
      <c r="H2573" s="24" t="str">
        <f>IF(J2573&lt;&gt;1,"",IF(I2573="SBJ","CB","?"))</f>
        <v> </v>
      </c>
      <c r="I2573" s="25" t="str">
        <f>IF(OR(E2573="",E2573="!!!",F2573="NEW"),"",INDEX(B2572:B$2,-1+SUMPRODUCT(MAX(ROW(E2572:E$2)*(E2573=E2572:E$2)))))</f>
        <v> </v>
      </c>
      <c r="J2573" s="25" t="str">
        <f>IF(OR(E2573="",E2573="!!!",F2573="NEW"),"",COUNTBLANK(OFFSET(A$1,,,SUMPRODUCT(MAX(ROW(E$2:E2573)*(E2573=E$2:E2573)))))-COUNTBLANK(OFFSET(A$1,,,SUMPRODUCT(MAX(ROW(E$1:E2572)*(E2=E$1:E2572))))))</f>
        <v> </v>
      </c>
      <c r="K2573" s="25" t="str">
        <f>IF(OR(E2573="",E2573="!!!",F2573="NEW"),"",INDEX(J$1:J2572,SUMPRODUCT(MAX(ROW(E$1:E2572)*(E2573=E$1:E2572)))))</f>
        <v> </v>
      </c>
      <c r="L2573" s="26"/>
    </row>
    <row r="2574" spans="1:12">
      <c r="A2574" s="20" t="s">
        <v>1145</v>
      </c>
      <c r="E2574" s="21">
        <f>IF(D2574="?OLD","!!!","")</f>
        <v/>
      </c>
      <c r="F2574" s="22" t="str">
        <f>IF(OR(E2574="",E2574="!!!"),"",IF(NOT(ISNA(VLOOKUP(E2574,E$1:E2573,1,FALSE()))),"OLD",IF(AND(E2574&lt;&gt;"",E2574&lt;&gt;"!!!"),"NEW","")))</f>
        <v> </v>
      </c>
      <c r="G2574" s="23" t="str">
        <f>IF(OR(E2574="",E2574="!!!"),"",IF(OR(J2574=0,AND(J2574=1,K2574=1),AND(J2574=1,I2574="SBJ"),AND(J2574=1,I2574=0)),"?IN_FOCUS",IF(J2574&lt;=2,"?ACTIVATED",IF(J2574&lt;&gt;"","?FAMILIAR",IF(F2574="NEW",IF(ISNA(VLOOKUP(E2574,#REF!,1,FALSE())),"?TYPE_IDENTIFIABLE","?REFERENTIAL"),"_")))))</f>
        <v> </v>
      </c>
      <c r="H2574" s="24" t="str">
        <f>IF(J2574&lt;&gt;1,"",IF(I2574="SBJ","CB","?"))</f>
        <v> </v>
      </c>
      <c r="I2574" s="25" t="str">
        <f>IF(OR(E2574="",E2574="!!!",F2574="NEW"),"",INDEX(B2573:B$2,-1+SUMPRODUCT(MAX(ROW(E2573:E$2)*(E2574=E2573:E$2)))))</f>
        <v> </v>
      </c>
      <c r="J2574" s="25" t="str">
        <f>IF(OR(E2574="",E2574="!!!",F2574="NEW"),"",COUNTBLANK(OFFSET(A$1,,,SUMPRODUCT(MAX(ROW(E$2:E2574)*(E2574=E$2:E2574)))))-COUNTBLANK(OFFSET(A$1,,,SUMPRODUCT(MAX(ROW(E$1:E2573)*(E2=E$1:E2573))))))</f>
        <v> </v>
      </c>
      <c r="K2574" s="25" t="str">
        <f>IF(OR(E2574="",E2574="!!!",F2574="NEW"),"",INDEX(J$1:J2573,SUMPRODUCT(MAX(ROW(E$1:E2573)*(E2574=E$1:E2573)))))</f>
        <v> </v>
      </c>
      <c r="L2574" s="26"/>
    </row>
    <row r="2575" spans="1:12">
      <c r="A2575" s="20"/>
    </row>
    <row r="2576" spans="1:12">
      <c r="A2576" s="20" t="s">
        <v>2340</v>
      </c>
    </row>
    <row r="2577" spans="1:12">
      <c r="A2577" s="20" t="s">
        <v>1111</v>
      </c>
      <c r="E2577" s="21">
        <f>IF(D2577="?OLD","!!!","")</f>
        <v/>
      </c>
      <c r="F2577" s="22" t="str">
        <f>IF(OR(E2577="",E2577="!!!"),"",IF(NOT(ISNA(VLOOKUP(E2577,E$1:E2576,1,FALSE()))),"OLD",IF(AND(E2577&lt;&gt;"",E2577&lt;&gt;"!!!"),"NEW","")))</f>
        <v> </v>
      </c>
      <c r="G2577" s="23" t="str">
        <f>IF(OR(E2577="",E2577="!!!"),"",IF(OR(J2577=0,AND(J2577=1,K2577=1),AND(J2577=1,I2577="SBJ"),AND(J2577=1,I2577=0)),"?IN_FOCUS",IF(J2577&lt;=2,"?ACTIVATED",IF(J2577&lt;&gt;"","?FAMILIAR",IF(F2577="NEW",IF(ISNA(VLOOKUP(E2577,#REF!,1,FALSE())),"?TYPE_IDENTIFIABLE","?REFERENTIAL"),"_")))))</f>
        <v> </v>
      </c>
      <c r="H2577" s="24" t="str">
        <f>IF(J2577&lt;&gt;1,"",IF(I2577="SBJ","CB","?"))</f>
        <v> </v>
      </c>
      <c r="I2577" s="25" t="str">
        <f>IF(OR(E2577="",E2577="!!!",F2577="NEW"),"",INDEX(B2576:B$2,-1+SUMPRODUCT(MAX(ROW(E2576:E$2)*(E2577=E2576:E$2)))))</f>
        <v> </v>
      </c>
      <c r="J2577" s="25" t="str">
        <f>IF(OR(E2577="",E2577="!!!",F2577="NEW"),"",COUNTBLANK(OFFSET(A$1,,,SUMPRODUCT(MAX(ROW(E$2:E2577)*(E2577=E$2:E2577)))))-COUNTBLANK(OFFSET(A$1,,,SUMPRODUCT(MAX(ROW(E$1:E2576)*(E2=E$1:E2576))))))</f>
        <v> </v>
      </c>
      <c r="K2577" s="25" t="str">
        <f>IF(OR(E2577="",E2577="!!!",F2577="NEW"),"",INDEX(J$1:J2576,SUMPRODUCT(MAX(ROW(E$1:E2576)*(E2577=E$1:E2576)))))</f>
        <v> </v>
      </c>
      <c r="L2577" s="26"/>
    </row>
    <row r="2578" spans="1:12">
      <c r="A2578" s="20" t="s">
        <v>2341</v>
      </c>
      <c r="E2578" s="21">
        <f>IF(D2578="?OLD","!!!","")</f>
        <v/>
      </c>
      <c r="F2578" s="22" t="str">
        <f>IF(OR(E2578="",E2578="!!!"),"",IF(NOT(ISNA(VLOOKUP(E2578,E$1:E2577,1,FALSE()))),"OLD",IF(AND(E2578&lt;&gt;"",E2578&lt;&gt;"!!!"),"NEW","")))</f>
        <v> </v>
      </c>
      <c r="G2578" s="23" t="str">
        <f>IF(OR(E2578="",E2578="!!!"),"",IF(OR(J2578=0,AND(J2578=1,K2578=1),AND(J2578=1,I2578="SBJ"),AND(J2578=1,I2578=0)),"?IN_FOCUS",IF(J2578&lt;=2,"?ACTIVATED",IF(J2578&lt;&gt;"","?FAMILIAR",IF(F2578="NEW",IF(ISNA(VLOOKUP(E2578,#REF!,1,FALSE())),"?TYPE_IDENTIFIABLE","?REFERENTIAL"),"_")))))</f>
        <v> </v>
      </c>
      <c r="H2578" s="24" t="str">
        <f>IF(J2578&lt;&gt;1,"",IF(I2578="SBJ","CB","?"))</f>
        <v> </v>
      </c>
      <c r="I2578" s="25" t="str">
        <f>IF(OR(E2578="",E2578="!!!",F2578="NEW"),"",INDEX(B2577:B$2,-1+SUMPRODUCT(MAX(ROW(E2577:E$2)*(E2578=E2577:E$2)))))</f>
        <v> </v>
      </c>
      <c r="J2578" s="25" t="str">
        <f>IF(OR(E2578="",E2578="!!!",F2578="NEW"),"",COUNTBLANK(OFFSET(A$1,,,SUMPRODUCT(MAX(ROW(E$2:E2578)*(E2578=E$2:E2578)))))-COUNTBLANK(OFFSET(A$1,,,SUMPRODUCT(MAX(ROW(E$1:E2577)*(E2=E$1:E2577))))))</f>
        <v> </v>
      </c>
      <c r="K2578" s="25" t="str">
        <f>IF(OR(E2578="",E2578="!!!",F2578="NEW"),"",INDEX(J$1:J2577,SUMPRODUCT(MAX(ROW(E$1:E2577)*(E2578=E$1:E2577)))))</f>
        <v> </v>
      </c>
      <c r="L2578" s="26"/>
    </row>
    <row r="2579" spans="1:12">
      <c r="A2579" s="20" t="s">
        <v>2342</v>
      </c>
      <c r="E2579" s="21">
        <f>IF(D2579="?OLD","!!!","")</f>
        <v/>
      </c>
      <c r="F2579" s="22" t="str">
        <f>IF(OR(E2579="",E2579="!!!"),"",IF(NOT(ISNA(VLOOKUP(E2579,E$1:E2578,1,FALSE()))),"OLD",IF(AND(E2579&lt;&gt;"",E2579&lt;&gt;"!!!"),"NEW","")))</f>
        <v> </v>
      </c>
      <c r="G2579" s="23" t="str">
        <f>IF(OR(E2579="",E2579="!!!"),"",IF(OR(J2579=0,AND(J2579=1,K2579=1),AND(J2579=1,I2579="SBJ"),AND(J2579=1,I2579=0)),"?IN_FOCUS",IF(J2579&lt;=2,"?ACTIVATED",IF(J2579&lt;&gt;"","?FAMILIAR",IF(F2579="NEW",IF(ISNA(VLOOKUP(E2579,#REF!,1,FALSE())),"?TYPE_IDENTIFIABLE","?REFERENTIAL"),"_")))))</f>
        <v> </v>
      </c>
      <c r="H2579" s="24" t="str">
        <f>IF(J2579&lt;&gt;1,"",IF(I2579="SBJ","CB","?"))</f>
        <v> </v>
      </c>
      <c r="I2579" s="25" t="str">
        <f>IF(OR(E2579="",E2579="!!!",F2579="NEW"),"",INDEX(B2578:B$2,-1+SUMPRODUCT(MAX(ROW(E2578:E$2)*(E2579=E2578:E$2)))))</f>
        <v> </v>
      </c>
      <c r="J2579" s="25" t="str">
        <f>IF(OR(E2579="",E2579="!!!",F2579="NEW"),"",COUNTBLANK(OFFSET(A$1,,,SUMPRODUCT(MAX(ROW(E$2:E2579)*(E2579=E$2:E2579)))))-COUNTBLANK(OFFSET(A$1,,,SUMPRODUCT(MAX(ROW(E$1:E2578)*(E2=E$1:E2578))))))</f>
        <v> </v>
      </c>
      <c r="K2579" s="25" t="str">
        <f>IF(OR(E2579="",E2579="!!!",F2579="NEW"),"",INDEX(J$1:J2578,SUMPRODUCT(MAX(ROW(E$1:E2578)*(E2579=E$1:E2578)))))</f>
        <v> </v>
      </c>
      <c r="L2579" s="26"/>
    </row>
    <row r="2580" spans="1:12">
      <c r="A2580" s="20" t="s">
        <v>2343</v>
      </c>
      <c r="E2580" s="21">
        <f>IF(D2580="?OLD","!!!","")</f>
        <v/>
      </c>
      <c r="F2580" s="22" t="str">
        <f>IF(OR(E2580="",E2580="!!!"),"",IF(NOT(ISNA(VLOOKUP(E2580,E$1:E2579,1,FALSE()))),"OLD",IF(AND(E2580&lt;&gt;"",E2580&lt;&gt;"!!!"),"NEW","")))</f>
        <v> </v>
      </c>
      <c r="G2580" s="23" t="str">
        <f>IF(OR(E2580="",E2580="!!!"),"",IF(OR(J2580=0,AND(J2580=1,K2580=1),AND(J2580=1,I2580="SBJ"),AND(J2580=1,I2580=0)),"?IN_FOCUS",IF(J2580&lt;=2,"?ACTIVATED",IF(J2580&lt;&gt;"","?FAMILIAR",IF(F2580="NEW",IF(ISNA(VLOOKUP(E2580,#REF!,1,FALSE())),"?TYPE_IDENTIFIABLE","?REFERENTIAL"),"_")))))</f>
        <v> </v>
      </c>
      <c r="H2580" s="24" t="str">
        <f>IF(J2580&lt;&gt;1,"",IF(I2580="SBJ","CB","?"))</f>
        <v> </v>
      </c>
      <c r="I2580" s="25" t="str">
        <f>IF(OR(E2580="",E2580="!!!",F2580="NEW"),"",INDEX(B2579:B$2,-1+SUMPRODUCT(MAX(ROW(E2579:E$2)*(E2580=E2579:E$2)))))</f>
        <v> </v>
      </c>
      <c r="J2580" s="25" t="str">
        <f>IF(OR(E2580="",E2580="!!!",F2580="NEW"),"",COUNTBLANK(OFFSET(A$1,,,SUMPRODUCT(MAX(ROW(E$2:E2580)*(E2580=E$2:E2580)))))-COUNTBLANK(OFFSET(A$1,,,SUMPRODUCT(MAX(ROW(E$1:E2579)*(E2=E$1:E2579))))))</f>
        <v> </v>
      </c>
      <c r="K2580" s="25" t="str">
        <f>IF(OR(E2580="",E2580="!!!",F2580="NEW"),"",INDEX(J$1:J2579,SUMPRODUCT(MAX(ROW(E$1:E2579)*(E2580=E$1:E2579)))))</f>
        <v> </v>
      </c>
      <c r="L2580" s="26"/>
    </row>
    <row r="2581" spans="1:12">
      <c r="A2581" s="20" t="s">
        <v>1930</v>
      </c>
      <c r="B2581" s="27" t="s">
        <v>1243</v>
      </c>
      <c r="E2581" s="21">
        <f>IF(D2581="?OLD","!!!","")</f>
        <v/>
      </c>
      <c r="F2581" s="22" t="str">
        <f>IF(OR(E2581="",E2581="!!!"),"",IF(NOT(ISNA(VLOOKUP(E2581,E$1:E2580,1,FALSE()))),"OLD",IF(AND(E2581&lt;&gt;"",E2581&lt;&gt;"!!!"),"NEW","")))</f>
        <v> </v>
      </c>
      <c r="G2581" s="23" t="str">
        <f>IF(OR(E2581="",E2581="!!!"),"",IF(OR(J2581=0,AND(J2581=1,K2581=1),AND(J2581=1,I2581="SBJ"),AND(J2581=1,I2581=0)),"?IN_FOCUS",IF(J2581&lt;=2,"?ACTIVATED",IF(J2581&lt;&gt;"","?FAMILIAR",IF(F2581="NEW",IF(ISNA(VLOOKUP(E2581,#REF!,1,FALSE())),"?TYPE_IDENTIFIABLE","?REFERENTIAL"),"_")))))</f>
        <v> </v>
      </c>
      <c r="H2581" s="24" t="str">
        <f>IF(J2581&lt;&gt;1,"",IF(I2581="SBJ","CB","?"))</f>
        <v> </v>
      </c>
      <c r="I2581" s="25" t="str">
        <f>IF(OR(E2581="",E2581="!!!",F2581="NEW"),"",INDEX(B2580:B$2,-1+SUMPRODUCT(MAX(ROW(E2580:E$2)*(E2581=E2580:E$2)))))</f>
        <v> </v>
      </c>
      <c r="J2581" s="25" t="str">
        <f>IF(OR(E2581="",E2581="!!!",F2581="NEW"),"",COUNTBLANK(OFFSET(A$1,,,SUMPRODUCT(MAX(ROW(E$2:E2581)*(E2581=E$2:E2581)))))-COUNTBLANK(OFFSET(A$1,,,SUMPRODUCT(MAX(ROW(E$1:E2580)*(E2=E$1:E2580))))))</f>
        <v> </v>
      </c>
      <c r="K2581" s="25" t="str">
        <f>IF(OR(E2581="",E2581="!!!",F2581="NEW"),"",INDEX(J$1:J2580,SUMPRODUCT(MAX(ROW(E$1:E2580)*(E2581=E$1:E2580)))))</f>
        <v> </v>
      </c>
      <c r="L2581" s="26"/>
    </row>
    <row r="2582" spans="1:12">
      <c r="A2582" s="20" t="s">
        <v>1145</v>
      </c>
      <c r="E2582" s="21">
        <f>IF(D2582="?OLD","!!!","")</f>
        <v/>
      </c>
      <c r="F2582" s="22" t="str">
        <f>IF(OR(E2582="",E2582="!!!"),"",IF(NOT(ISNA(VLOOKUP(E2582,E$1:E2581,1,FALSE()))),"OLD",IF(AND(E2582&lt;&gt;"",E2582&lt;&gt;"!!!"),"NEW","")))</f>
        <v> </v>
      </c>
      <c r="G2582" s="23" t="str">
        <f>IF(OR(E2582="",E2582="!!!"),"",IF(OR(J2582=0,AND(J2582=1,K2582=1),AND(J2582=1,I2582="SBJ"),AND(J2582=1,I2582=0)),"?IN_FOCUS",IF(J2582&lt;=2,"?ACTIVATED",IF(J2582&lt;&gt;"","?FAMILIAR",IF(F2582="NEW",IF(ISNA(VLOOKUP(E2582,#REF!,1,FALSE())),"?TYPE_IDENTIFIABLE","?REFERENTIAL"),"_")))))</f>
        <v> </v>
      </c>
      <c r="H2582" s="24" t="str">
        <f>IF(J2582&lt;&gt;1,"",IF(I2582="SBJ","CB","?"))</f>
        <v> </v>
      </c>
      <c r="I2582" s="25" t="str">
        <f>IF(OR(E2582="",E2582="!!!",F2582="NEW"),"",INDEX(B2581:B$2,-1+SUMPRODUCT(MAX(ROW(E2581:E$2)*(E2582=E2581:E$2)))))</f>
        <v> </v>
      </c>
      <c r="J2582" s="25" t="str">
        <f>IF(OR(E2582="",E2582="!!!",F2582="NEW"),"",COUNTBLANK(OFFSET(A$1,,,SUMPRODUCT(MAX(ROW(E$2:E2582)*(E2582=E$2:E2582)))))-COUNTBLANK(OFFSET(A$1,,,SUMPRODUCT(MAX(ROW(E$1:E2581)*(E2=E$1:E2581))))))</f>
        <v> </v>
      </c>
      <c r="K2582" s="25" t="str">
        <f>IF(OR(E2582="",E2582="!!!",F2582="NEW"),"",INDEX(J$1:J2581,SUMPRODUCT(MAX(ROW(E$1:E2581)*(E2582=E$1:E2581)))))</f>
        <v> </v>
      </c>
      <c r="L2582" s="26"/>
    </row>
    <row r="2583" spans="1:12">
      <c r="A2583" s="20"/>
    </row>
    <row r="2584" spans="1:12">
      <c r="A2584" s="20" t="s">
        <v>2344</v>
      </c>
    </row>
    <row r="2585" spans="1:12">
      <c r="A2585" s="20" t="s">
        <v>2345</v>
      </c>
      <c r="B2585" s="27" t="s">
        <v>1149</v>
      </c>
      <c r="E2585" s="21">
        <f>IF(D2585="?OLD","!!!","")</f>
        <v/>
      </c>
      <c r="F2585" s="22" t="str">
        <f>IF(OR(E2585="",E2585="!!!"),"",IF(NOT(ISNA(VLOOKUP(E2585,E$1:E2584,1,FALSE()))),"OLD",IF(AND(E2585&lt;&gt;"",E2585&lt;&gt;"!!!"),"NEW","")))</f>
        <v> </v>
      </c>
      <c r="G2585" s="23" t="str">
        <f>IF(OR(E2585="",E2585="!!!"),"",IF(OR(J2585=0,AND(J2585=1,K2585=1),AND(J2585=1,I2585="SBJ"),AND(J2585=1,I2585=0)),"?IN_FOCUS",IF(J2585&lt;=2,"?ACTIVATED",IF(J2585&lt;&gt;"","?FAMILIAR",IF(F2585="NEW",IF(ISNA(VLOOKUP(E2585,#REF!,1,FALSE())),"?TYPE_IDENTIFIABLE","?REFERENTIAL"),"_")))))</f>
        <v> </v>
      </c>
      <c r="H2585" s="24" t="str">
        <f>IF(J2585&lt;&gt;1,"",IF(I2585="SBJ","CB","?"))</f>
        <v> </v>
      </c>
      <c r="I2585" s="25" t="str">
        <f>IF(OR(E2585="",E2585="!!!",F2585="NEW"),"",INDEX(B2584:B$2,-1+SUMPRODUCT(MAX(ROW(E2584:E$2)*(E2585=E2584:E$2)))))</f>
        <v> </v>
      </c>
      <c r="J2585" s="25" t="str">
        <f>IF(OR(E2585="",E2585="!!!",F2585="NEW"),"",COUNTBLANK(OFFSET(A$1,,,SUMPRODUCT(MAX(ROW(E$2:E2585)*(E2585=E$2:E2585)))))-COUNTBLANK(OFFSET(A$1,,,SUMPRODUCT(MAX(ROW(E$1:E2584)*(E2=E$1:E2584))))))</f>
        <v> </v>
      </c>
      <c r="K2585" s="25" t="str">
        <f>IF(OR(E2585="",E2585="!!!",F2585="NEW"),"",INDEX(J$1:J2584,SUMPRODUCT(MAX(ROW(E$1:E2584)*(E2585=E$1:E2584)))))</f>
        <v> </v>
      </c>
      <c r="L2585" s="26"/>
    </row>
    <row r="2586" spans="1:12">
      <c r="A2586" s="20" t="s">
        <v>2346</v>
      </c>
      <c r="E2586" s="21">
        <f>IF(D2586="?OLD","!!!","")</f>
        <v/>
      </c>
      <c r="F2586" s="22" t="str">
        <f>IF(OR(E2586="",E2586="!!!"),"",IF(NOT(ISNA(VLOOKUP(E2586,E$1:E2585,1,FALSE()))),"OLD",IF(AND(E2586&lt;&gt;"",E2586&lt;&gt;"!!!"),"NEW","")))</f>
        <v> </v>
      </c>
      <c r="G2586" s="23" t="str">
        <f>IF(OR(E2586="",E2586="!!!"),"",IF(OR(J2586=0,AND(J2586=1,K2586=1),AND(J2586=1,I2586="SBJ"),AND(J2586=1,I2586=0)),"?IN_FOCUS",IF(J2586&lt;=2,"?ACTIVATED",IF(J2586&lt;&gt;"","?FAMILIAR",IF(F2586="NEW",IF(ISNA(VLOOKUP(E2586,#REF!,1,FALSE())),"?TYPE_IDENTIFIABLE","?REFERENTIAL"),"_")))))</f>
        <v> </v>
      </c>
      <c r="H2586" s="24" t="str">
        <f>IF(J2586&lt;&gt;1,"",IF(I2586="SBJ","CB","?"))</f>
        <v> </v>
      </c>
      <c r="I2586" s="25" t="str">
        <f>IF(OR(E2586="",E2586="!!!",F2586="NEW"),"",INDEX(B2585:B$2,-1+SUMPRODUCT(MAX(ROW(E2585:E$2)*(E2586=E2585:E$2)))))</f>
        <v> </v>
      </c>
      <c r="J2586" s="25" t="str">
        <f>IF(OR(E2586="",E2586="!!!",F2586="NEW"),"",COUNTBLANK(OFFSET(A$1,,,SUMPRODUCT(MAX(ROW(E$2:E2586)*(E2586=E$2:E2586)))))-COUNTBLANK(OFFSET(A$1,,,SUMPRODUCT(MAX(ROW(E$1:E2585)*(E2=E$1:E2585))))))</f>
        <v> </v>
      </c>
      <c r="K2586" s="25" t="str">
        <f>IF(OR(E2586="",E2586="!!!",F2586="NEW"),"",INDEX(J$1:J2585,SUMPRODUCT(MAX(ROW(E$1:E2585)*(E2586=E$1:E2585)))))</f>
        <v> </v>
      </c>
      <c r="L2586" s="26"/>
    </row>
    <row r="2587" spans="1:12">
      <c r="A2587" s="20" t="s">
        <v>626</v>
      </c>
      <c r="B2587" s="27" t="s">
        <v>1103</v>
      </c>
      <c r="C2587" s="27" t="s">
        <v>1210</v>
      </c>
      <c r="E2587" s="21">
        <f>IF(D2587="?OLD","!!!","")</f>
        <v/>
      </c>
      <c r="F2587" s="22" t="str">
        <f>IF(OR(E2587="",E2587="!!!"),"",IF(NOT(ISNA(VLOOKUP(E2587,E$1:E2586,1,FALSE()))),"OLD",IF(AND(E2587&lt;&gt;"",E2587&lt;&gt;"!!!"),"NEW","")))</f>
        <v> </v>
      </c>
      <c r="G2587" s="23" t="str">
        <f>IF(OR(E2587="",E2587="!!!"),"",IF(OR(J2587=0,AND(J2587=1,K2587=1),AND(J2587=1,I2587="SBJ"),AND(J2587=1,I2587=0)),"?IN_FOCUS",IF(J2587&lt;=2,"?ACTIVATED",IF(J2587&lt;&gt;"","?FAMILIAR",IF(F2587="NEW",IF(ISNA(VLOOKUP(E2587,#REF!,1,FALSE())),"?TYPE_IDENTIFIABLE","?REFERENTIAL"),"_")))))</f>
        <v> </v>
      </c>
      <c r="H2587" s="24" t="str">
        <f>IF(J2587&lt;&gt;1,"",IF(I2587="SBJ","CB","?"))</f>
        <v> </v>
      </c>
      <c r="I2587" s="25" t="str">
        <f>IF(OR(E2587="",E2587="!!!",F2587="NEW"),"",INDEX(B2586:B$2,-1+SUMPRODUCT(MAX(ROW(E2586:E$2)*(E2587=E2586:E$2)))))</f>
        <v> </v>
      </c>
      <c r="J2587" s="25" t="str">
        <f>IF(OR(E2587="",E2587="!!!",F2587="NEW"),"",COUNTBLANK(OFFSET(A$1,,,SUMPRODUCT(MAX(ROW(E$2:E2587)*(E2587=E$2:E2587)))))-COUNTBLANK(OFFSET(A$1,,,SUMPRODUCT(MAX(ROW(E$1:E2586)*(E2=E$1:E2586))))))</f>
        <v> </v>
      </c>
      <c r="K2587" s="25" t="str">
        <f>IF(OR(E2587="",E2587="!!!",F2587="NEW"),"",INDEX(J$1:J2586,SUMPRODUCT(MAX(ROW(E$1:E2586)*(E2587=E$1:E2586)))))</f>
        <v> </v>
      </c>
      <c r="L2587" s="26"/>
    </row>
    <row r="2588" spans="1:12">
      <c r="A2588" s="20" t="s">
        <v>1145</v>
      </c>
      <c r="E2588" s="21">
        <f>IF(D2588="?OLD","!!!","")</f>
        <v/>
      </c>
      <c r="F2588" s="22" t="str">
        <f>IF(OR(E2588="",E2588="!!!"),"",IF(NOT(ISNA(VLOOKUP(E2588,E$1:E2587,1,FALSE()))),"OLD",IF(AND(E2588&lt;&gt;"",E2588&lt;&gt;"!!!"),"NEW","")))</f>
        <v> </v>
      </c>
      <c r="G2588" s="23" t="str">
        <f>IF(OR(E2588="",E2588="!!!"),"",IF(OR(J2588=0,AND(J2588=1,K2588=1),AND(J2588=1,I2588="SBJ"),AND(J2588=1,I2588=0)),"?IN_FOCUS",IF(J2588&lt;=2,"?ACTIVATED",IF(J2588&lt;&gt;"","?FAMILIAR",IF(F2588="NEW",IF(ISNA(VLOOKUP(E2588,#REF!,1,FALSE())),"?TYPE_IDENTIFIABLE","?REFERENTIAL"),"_")))))</f>
        <v> </v>
      </c>
      <c r="H2588" s="24" t="str">
        <f>IF(J2588&lt;&gt;1,"",IF(I2588="SBJ","CB","?"))</f>
        <v> </v>
      </c>
      <c r="I2588" s="25" t="str">
        <f>IF(OR(E2588="",E2588="!!!",F2588="NEW"),"",INDEX(B2587:B$2,-1+SUMPRODUCT(MAX(ROW(E2587:E$2)*(E2588=E2587:E$2)))))</f>
        <v> </v>
      </c>
      <c r="J2588" s="25" t="str">
        <f>IF(OR(E2588="",E2588="!!!",F2588="NEW"),"",COUNTBLANK(OFFSET(A$1,,,SUMPRODUCT(MAX(ROW(E$2:E2588)*(E2588=E$2:E2588)))))-COUNTBLANK(OFFSET(A$1,,,SUMPRODUCT(MAX(ROW(E$1:E2587)*(E2=E$1:E2587))))))</f>
        <v> </v>
      </c>
      <c r="K2588" s="25" t="str">
        <f>IF(OR(E2588="",E2588="!!!",F2588="NEW"),"",INDEX(J$1:J2587,SUMPRODUCT(MAX(ROW(E$1:E2587)*(E2588=E$1:E2587)))))</f>
        <v> </v>
      </c>
      <c r="L2588" s="26"/>
    </row>
    <row r="2589" spans="1:12">
      <c r="A2589" s="20"/>
    </row>
    <row r="2590" spans="1:12">
      <c r="A2590" s="20" t="s">
        <v>2347</v>
      </c>
    </row>
    <row r="2591" spans="1:12">
      <c r="A2591" s="20" t="s">
        <v>2348</v>
      </c>
      <c r="B2591" s="27" t="s">
        <v>1149</v>
      </c>
      <c r="E2591" s="21">
        <f>IF(D2591="?OLD","!!!","")</f>
        <v/>
      </c>
      <c r="F2591" s="22" t="str">
        <f>IF(OR(E2591="",E2591="!!!"),"",IF(NOT(ISNA(VLOOKUP(E2591,E$1:E2590,1,FALSE()))),"OLD",IF(AND(E2591&lt;&gt;"",E2591&lt;&gt;"!!!"),"NEW","")))</f>
        <v> </v>
      </c>
      <c r="G2591" s="23" t="str">
        <f>IF(OR(E2591="",E2591="!!!"),"",IF(OR(J2591=0,AND(J2591=1,K2591=1),AND(J2591=1,I2591="SBJ"),AND(J2591=1,I2591=0)),"?IN_FOCUS",IF(J2591&lt;=2,"?ACTIVATED",IF(J2591&lt;&gt;"","?FAMILIAR",IF(F2591="NEW",IF(ISNA(VLOOKUP(E2591,#REF!,1,FALSE())),"?TYPE_IDENTIFIABLE","?REFERENTIAL"),"_")))))</f>
        <v> </v>
      </c>
      <c r="H2591" s="24" t="str">
        <f>IF(J2591&lt;&gt;1,"",IF(I2591="SBJ","CB","?"))</f>
        <v> </v>
      </c>
      <c r="I2591" s="25" t="str">
        <f>IF(OR(E2591="",E2591="!!!",F2591="NEW"),"",INDEX(B2590:B$2,-1+SUMPRODUCT(MAX(ROW(E2590:E$2)*(E2591=E2590:E$2)))))</f>
        <v> </v>
      </c>
      <c r="J2591" s="25" t="str">
        <f>IF(OR(E2591="",E2591="!!!",F2591="NEW"),"",COUNTBLANK(OFFSET(A$1,,,SUMPRODUCT(MAX(ROW(E$2:E2591)*(E2591=E$2:E2591)))))-COUNTBLANK(OFFSET(A$1,,,SUMPRODUCT(MAX(ROW(E$1:E2590)*(E2=E$1:E2590))))))</f>
        <v> </v>
      </c>
      <c r="K2591" s="25" t="str">
        <f>IF(OR(E2591="",E2591="!!!",F2591="NEW"),"",INDEX(J$1:J2590,SUMPRODUCT(MAX(ROW(E$1:E2590)*(E2591=E$1:E2590)))))</f>
        <v> </v>
      </c>
      <c r="L2591" s="26"/>
    </row>
    <row r="2592" spans="1:12">
      <c r="A2592" s="20" t="s">
        <v>2349</v>
      </c>
      <c r="E2592" s="21">
        <f>IF(D2592="?OLD","!!!","")</f>
        <v/>
      </c>
      <c r="F2592" s="22" t="str">
        <f>IF(OR(E2592="",E2592="!!!"),"",IF(NOT(ISNA(VLOOKUP(E2592,E$1:E2591,1,FALSE()))),"OLD",IF(AND(E2592&lt;&gt;"",E2592&lt;&gt;"!!!"),"NEW","")))</f>
        <v> </v>
      </c>
      <c r="G2592" s="23" t="str">
        <f>IF(OR(E2592="",E2592="!!!"),"",IF(OR(J2592=0,AND(J2592=1,K2592=1),AND(J2592=1,I2592="SBJ"),AND(J2592=1,I2592=0)),"?IN_FOCUS",IF(J2592&lt;=2,"?ACTIVATED",IF(J2592&lt;&gt;"","?FAMILIAR",IF(F2592="NEW",IF(ISNA(VLOOKUP(E2592,#REF!,1,FALSE())),"?TYPE_IDENTIFIABLE","?REFERENTIAL"),"_")))))</f>
        <v> </v>
      </c>
      <c r="H2592" s="24" t="str">
        <f>IF(J2592&lt;&gt;1,"",IF(I2592="SBJ","CB","?"))</f>
        <v> </v>
      </c>
      <c r="I2592" s="25" t="str">
        <f>IF(OR(E2592="",E2592="!!!",F2592="NEW"),"",INDEX(B2591:B$2,-1+SUMPRODUCT(MAX(ROW(E2591:E$2)*(E2592=E2591:E$2)))))</f>
        <v> </v>
      </c>
      <c r="J2592" s="25" t="str">
        <f>IF(OR(E2592="",E2592="!!!",F2592="NEW"),"",COUNTBLANK(OFFSET(A$1,,,SUMPRODUCT(MAX(ROW(E$2:E2592)*(E2592=E$2:E2592)))))-COUNTBLANK(OFFSET(A$1,,,SUMPRODUCT(MAX(ROW(E$1:E2591)*(E2=E$1:E2591))))))</f>
        <v> </v>
      </c>
      <c r="K2592" s="25" t="str">
        <f>IF(OR(E2592="",E2592="!!!",F2592="NEW"),"",INDEX(J$1:J2591,SUMPRODUCT(MAX(ROW(E$1:E2591)*(E2592=E$1:E2591)))))</f>
        <v> </v>
      </c>
      <c r="L2592" s="26"/>
    </row>
    <row r="2593" spans="1:12">
      <c r="A2593" s="20" t="s">
        <v>1369</v>
      </c>
      <c r="E2593" s="21">
        <f>IF(D2593="?OLD","!!!","")</f>
        <v/>
      </c>
      <c r="F2593" s="22" t="str">
        <f>IF(OR(E2593="",E2593="!!!"),"",IF(NOT(ISNA(VLOOKUP(E2593,E$1:E2592,1,FALSE()))),"OLD",IF(AND(E2593&lt;&gt;"",E2593&lt;&gt;"!!!"),"NEW","")))</f>
        <v> </v>
      </c>
      <c r="G2593" s="23" t="str">
        <f>IF(OR(E2593="",E2593="!!!"),"",IF(OR(J2593=0,AND(J2593=1,K2593=1),AND(J2593=1,I2593="SBJ"),AND(J2593=1,I2593=0)),"?IN_FOCUS",IF(J2593&lt;=2,"?ACTIVATED",IF(J2593&lt;&gt;"","?FAMILIAR",IF(F2593="NEW",IF(ISNA(VLOOKUP(E2593,#REF!,1,FALSE())),"?TYPE_IDENTIFIABLE","?REFERENTIAL"),"_")))))</f>
        <v> </v>
      </c>
      <c r="H2593" s="24" t="str">
        <f>IF(J2593&lt;&gt;1,"",IF(I2593="SBJ","CB","?"))</f>
        <v> </v>
      </c>
      <c r="I2593" s="25" t="str">
        <f>IF(OR(E2593="",E2593="!!!",F2593="NEW"),"",INDEX(B2592:B$2,-1+SUMPRODUCT(MAX(ROW(E2592:E$2)*(E2593=E2592:E$2)))))</f>
        <v> </v>
      </c>
      <c r="J2593" s="25" t="str">
        <f>IF(OR(E2593="",E2593="!!!",F2593="NEW"),"",COUNTBLANK(OFFSET(A$1,,,SUMPRODUCT(MAX(ROW(E$2:E2593)*(E2593=E$2:E2593)))))-COUNTBLANK(OFFSET(A$1,,,SUMPRODUCT(MAX(ROW(E$1:E2592)*(E2=E$1:E2592))))))</f>
        <v> </v>
      </c>
      <c r="K2593" s="25" t="str">
        <f>IF(OR(E2593="",E2593="!!!",F2593="NEW"),"",INDEX(J$1:J2592,SUMPRODUCT(MAX(ROW(E$1:E2592)*(E2593=E$1:E2592)))))</f>
        <v> </v>
      </c>
      <c r="L2593" s="26"/>
    </row>
    <row r="2594" spans="1:12">
      <c r="A2594" s="20" t="s">
        <v>630</v>
      </c>
      <c r="E2594" s="21">
        <f>IF(D2594="?OLD","!!!","")</f>
        <v/>
      </c>
      <c r="F2594" s="22" t="str">
        <f>IF(OR(E2594="",E2594="!!!"),"",IF(NOT(ISNA(VLOOKUP(E2594,E$1:E2593,1,FALSE()))),"OLD",IF(AND(E2594&lt;&gt;"",E2594&lt;&gt;"!!!"),"NEW","")))</f>
        <v> </v>
      </c>
      <c r="G2594" s="23" t="str">
        <f>IF(OR(E2594="",E2594="!!!"),"",IF(OR(J2594=0,AND(J2594=1,K2594=1),AND(J2594=1,I2594="SBJ"),AND(J2594=1,I2594=0)),"?IN_FOCUS",IF(J2594&lt;=2,"?ACTIVATED",IF(J2594&lt;&gt;"","?FAMILIAR",IF(F2594="NEW",IF(ISNA(VLOOKUP(E2594,#REF!,1,FALSE())),"?TYPE_IDENTIFIABLE","?REFERENTIAL"),"_")))))</f>
        <v> </v>
      </c>
      <c r="H2594" s="24" t="str">
        <f>IF(J2594&lt;&gt;1,"",IF(I2594="SBJ","CB","?"))</f>
        <v> </v>
      </c>
      <c r="I2594" s="25" t="str">
        <f>IF(OR(E2594="",E2594="!!!",F2594="NEW"),"",INDEX(B2593:B$2,-1+SUMPRODUCT(MAX(ROW(E2593:E$2)*(E2594=E2593:E$2)))))</f>
        <v> </v>
      </c>
      <c r="J2594" s="25" t="str">
        <f>IF(OR(E2594="",E2594="!!!",F2594="NEW"),"",COUNTBLANK(OFFSET(A$1,,,SUMPRODUCT(MAX(ROW(E$2:E2594)*(E2594=E$2:E2594)))))-COUNTBLANK(OFFSET(A$1,,,SUMPRODUCT(MAX(ROW(E$1:E2593)*(E2=E$1:E2593))))))</f>
        <v> </v>
      </c>
      <c r="K2594" s="25" t="str">
        <f>IF(OR(E2594="",E2594="!!!",F2594="NEW"),"",INDEX(J$1:J2593,SUMPRODUCT(MAX(ROW(E$1:E2593)*(E2594=E$1:E2593)))))</f>
        <v> </v>
      </c>
      <c r="L2594" s="26"/>
    </row>
    <row r="2595" spans="1:12">
      <c r="A2595" s="20" t="s">
        <v>1123</v>
      </c>
      <c r="E2595" s="21">
        <f>IF(D2595="?OLD","!!!","")</f>
        <v/>
      </c>
      <c r="F2595" s="22" t="str">
        <f>IF(OR(E2595="",E2595="!!!"),"",IF(NOT(ISNA(VLOOKUP(E2595,E$1:E2594,1,FALSE()))),"OLD",IF(AND(E2595&lt;&gt;"",E2595&lt;&gt;"!!!"),"NEW","")))</f>
        <v> </v>
      </c>
      <c r="G2595" s="23" t="str">
        <f>IF(OR(E2595="",E2595="!!!"),"",IF(OR(J2595=0,AND(J2595=1,K2595=1),AND(J2595=1,I2595="SBJ"),AND(J2595=1,I2595=0)),"?IN_FOCUS",IF(J2595&lt;=2,"?ACTIVATED",IF(J2595&lt;&gt;"","?FAMILIAR",IF(F2595="NEW",IF(ISNA(VLOOKUP(E2595,#REF!,1,FALSE())),"?TYPE_IDENTIFIABLE","?REFERENTIAL"),"_")))))</f>
        <v> </v>
      </c>
      <c r="H2595" s="24" t="str">
        <f>IF(J2595&lt;&gt;1,"",IF(I2595="SBJ","CB","?"))</f>
        <v> </v>
      </c>
      <c r="I2595" s="25" t="str">
        <f>IF(OR(E2595="",E2595="!!!",F2595="NEW"),"",INDEX(B2594:B$2,-1+SUMPRODUCT(MAX(ROW(E2594:E$2)*(E2595=E2594:E$2)))))</f>
        <v> </v>
      </c>
      <c r="J2595" s="25" t="str">
        <f>IF(OR(E2595="",E2595="!!!",F2595="NEW"),"",COUNTBLANK(OFFSET(A$1,,,SUMPRODUCT(MAX(ROW(E$2:E2595)*(E2595=E$2:E2595)))))-COUNTBLANK(OFFSET(A$1,,,SUMPRODUCT(MAX(ROW(E$1:E2594)*(E2=E$1:E2594))))))</f>
        <v> </v>
      </c>
      <c r="K2595" s="25" t="str">
        <f>IF(OR(E2595="",E2595="!!!",F2595="NEW"),"",INDEX(J$1:J2594,SUMPRODUCT(MAX(ROW(E$1:E2594)*(E2595=E$1:E2594)))))</f>
        <v> </v>
      </c>
      <c r="L2595" s="26"/>
    </row>
    <row r="2596" spans="1:12">
      <c r="A2596" s="20" t="s">
        <v>2350</v>
      </c>
      <c r="E2596" s="21">
        <f>IF(D2596="?OLD","!!!","")</f>
        <v/>
      </c>
      <c r="F2596" s="22" t="str">
        <f>IF(OR(E2596="",E2596="!!!"),"",IF(NOT(ISNA(VLOOKUP(E2596,E$1:E2595,1,FALSE()))),"OLD",IF(AND(E2596&lt;&gt;"",E2596&lt;&gt;"!!!"),"NEW","")))</f>
        <v> </v>
      </c>
      <c r="G2596" s="23" t="str">
        <f>IF(OR(E2596="",E2596="!!!"),"",IF(OR(J2596=0,AND(J2596=1,K2596=1),AND(J2596=1,I2596="SBJ"),AND(J2596=1,I2596=0)),"?IN_FOCUS",IF(J2596&lt;=2,"?ACTIVATED",IF(J2596&lt;&gt;"","?FAMILIAR",IF(F2596="NEW",IF(ISNA(VLOOKUP(E2596,#REF!,1,FALSE())),"?TYPE_IDENTIFIABLE","?REFERENTIAL"),"_")))))</f>
        <v> </v>
      </c>
      <c r="H2596" s="24" t="str">
        <f>IF(J2596&lt;&gt;1,"",IF(I2596="SBJ","CB","?"))</f>
        <v> </v>
      </c>
      <c r="I2596" s="25" t="str">
        <f>IF(OR(E2596="",E2596="!!!",F2596="NEW"),"",INDEX(B2595:B$2,-1+SUMPRODUCT(MAX(ROW(E2595:E$2)*(E2596=E2595:E$2)))))</f>
        <v> </v>
      </c>
      <c r="J2596" s="25" t="str">
        <f>IF(OR(E2596="",E2596="!!!",F2596="NEW"),"",COUNTBLANK(OFFSET(A$1,,,SUMPRODUCT(MAX(ROW(E$2:E2596)*(E2596=E$2:E2596)))))-COUNTBLANK(OFFSET(A$1,,,SUMPRODUCT(MAX(ROW(E$1:E2595)*(E2=E$1:E2595))))))</f>
        <v> </v>
      </c>
      <c r="K2596" s="25" t="str">
        <f>IF(OR(E2596="",E2596="!!!",F2596="NEW"),"",INDEX(J$1:J2595,SUMPRODUCT(MAX(ROW(E$1:E2595)*(E2596=E$1:E2595)))))</f>
        <v> </v>
      </c>
      <c r="L2596" s="26"/>
    </row>
    <row r="2597" spans="1:12">
      <c r="A2597" s="20" t="s">
        <v>1113</v>
      </c>
      <c r="E2597" s="21">
        <f>IF(D2597="?OLD","!!!","")</f>
        <v/>
      </c>
      <c r="F2597" s="22" t="str">
        <f>IF(OR(E2597="",E2597="!!!"),"",IF(NOT(ISNA(VLOOKUP(E2597,E$1:E2596,1,FALSE()))),"OLD",IF(AND(E2597&lt;&gt;"",E2597&lt;&gt;"!!!"),"NEW","")))</f>
        <v> </v>
      </c>
      <c r="G2597" s="23" t="str">
        <f>IF(OR(E2597="",E2597="!!!"),"",IF(OR(J2597=0,AND(J2597=1,K2597=1),AND(J2597=1,I2597="SBJ"),AND(J2597=1,I2597=0)),"?IN_FOCUS",IF(J2597&lt;=2,"?ACTIVATED",IF(J2597&lt;&gt;"","?FAMILIAR",IF(F2597="NEW",IF(ISNA(VLOOKUP(E2597,#REF!,1,FALSE())),"?TYPE_IDENTIFIABLE","?REFERENTIAL"),"_")))))</f>
        <v> </v>
      </c>
      <c r="H2597" s="24" t="str">
        <f>IF(J2597&lt;&gt;1,"",IF(I2597="SBJ","CB","?"))</f>
        <v> </v>
      </c>
      <c r="I2597" s="25" t="str">
        <f>IF(OR(E2597="",E2597="!!!",F2597="NEW"),"",INDEX(B2596:B$2,-1+SUMPRODUCT(MAX(ROW(E2596:E$2)*(E2597=E2596:E$2)))))</f>
        <v> </v>
      </c>
      <c r="J2597" s="25" t="str">
        <f>IF(OR(E2597="",E2597="!!!",F2597="NEW"),"",COUNTBLANK(OFFSET(A$1,,,SUMPRODUCT(MAX(ROW(E$2:E2597)*(E2597=E$2:E2597)))))-COUNTBLANK(OFFSET(A$1,,,SUMPRODUCT(MAX(ROW(E$1:E2596)*(E2=E$1:E2596))))))</f>
        <v> </v>
      </c>
      <c r="K2597" s="25" t="str">
        <f>IF(OR(E2597="",E2597="!!!",F2597="NEW"),"",INDEX(J$1:J2596,SUMPRODUCT(MAX(ROW(E$1:E2596)*(E2597=E$1:E2596)))))</f>
        <v> </v>
      </c>
      <c r="L2597" s="26"/>
    </row>
    <row r="2598" spans="1:12">
      <c r="A2598" s="20" t="s">
        <v>2129</v>
      </c>
      <c r="E2598" s="21">
        <f>IF(D2598="?OLD","!!!","")</f>
        <v/>
      </c>
      <c r="F2598" s="22" t="str">
        <f>IF(OR(E2598="",E2598="!!!"),"",IF(NOT(ISNA(VLOOKUP(E2598,E$1:E2597,1,FALSE()))),"OLD",IF(AND(E2598&lt;&gt;"",E2598&lt;&gt;"!!!"),"NEW","")))</f>
        <v> </v>
      </c>
      <c r="G2598" s="23" t="str">
        <f>IF(OR(E2598="",E2598="!!!"),"",IF(OR(J2598=0,AND(J2598=1,K2598=1),AND(J2598=1,I2598="SBJ"),AND(J2598=1,I2598=0)),"?IN_FOCUS",IF(J2598&lt;=2,"?ACTIVATED",IF(J2598&lt;&gt;"","?FAMILIAR",IF(F2598="NEW",IF(ISNA(VLOOKUP(E2598,#REF!,1,FALSE())),"?TYPE_IDENTIFIABLE","?REFERENTIAL"),"_")))))</f>
        <v> </v>
      </c>
      <c r="H2598" s="24" t="str">
        <f>IF(J2598&lt;&gt;1,"",IF(I2598="SBJ","CB","?"))</f>
        <v> </v>
      </c>
      <c r="I2598" s="25" t="str">
        <f>IF(OR(E2598="",E2598="!!!",F2598="NEW"),"",INDEX(B2597:B$2,-1+SUMPRODUCT(MAX(ROW(E2597:E$2)*(E2598=E2597:E$2)))))</f>
        <v> </v>
      </c>
      <c r="J2598" s="25" t="str">
        <f>IF(OR(E2598="",E2598="!!!",F2598="NEW"),"",COUNTBLANK(OFFSET(A$1,,,SUMPRODUCT(MAX(ROW(E$2:E2598)*(E2598=E$2:E2598)))))-COUNTBLANK(OFFSET(A$1,,,SUMPRODUCT(MAX(ROW(E$1:E2597)*(E2=E$1:E2597))))))</f>
        <v> </v>
      </c>
      <c r="K2598" s="25" t="str">
        <f>IF(OR(E2598="",E2598="!!!",F2598="NEW"),"",INDEX(J$1:J2597,SUMPRODUCT(MAX(ROW(E$1:E2597)*(E2598=E$1:E2597)))))</f>
        <v> </v>
      </c>
      <c r="L2598" s="26"/>
    </row>
    <row r="2599" spans="1:12">
      <c r="A2599" s="20" t="s">
        <v>2351</v>
      </c>
      <c r="B2599" s="27" t="s">
        <v>1115</v>
      </c>
      <c r="E2599" s="21">
        <f>IF(D2599="?OLD","!!!","")</f>
        <v/>
      </c>
      <c r="F2599" s="22" t="str">
        <f>IF(OR(E2599="",E2599="!!!"),"",IF(NOT(ISNA(VLOOKUP(E2599,E$1:E2598,1,FALSE()))),"OLD",IF(AND(E2599&lt;&gt;"",E2599&lt;&gt;"!!!"),"NEW","")))</f>
        <v> </v>
      </c>
      <c r="G2599" s="23" t="str">
        <f>IF(OR(E2599="",E2599="!!!"),"",IF(OR(J2599=0,AND(J2599=1,K2599=1),AND(J2599=1,I2599="SBJ"),AND(J2599=1,I2599=0)),"?IN_FOCUS",IF(J2599&lt;=2,"?ACTIVATED",IF(J2599&lt;&gt;"","?FAMILIAR",IF(F2599="NEW",IF(ISNA(VLOOKUP(E2599,#REF!,1,FALSE())),"?TYPE_IDENTIFIABLE","?REFERENTIAL"),"_")))))</f>
        <v> </v>
      </c>
      <c r="H2599" s="24" t="str">
        <f>IF(J2599&lt;&gt;1,"",IF(I2599="SBJ","CB","?"))</f>
        <v> </v>
      </c>
      <c r="I2599" s="25" t="str">
        <f>IF(OR(E2599="",E2599="!!!",F2599="NEW"),"",INDEX(B2598:B$2,-1+SUMPRODUCT(MAX(ROW(E2598:E$2)*(E2599=E2598:E$2)))))</f>
        <v> </v>
      </c>
      <c r="J2599" s="25" t="str">
        <f>IF(OR(E2599="",E2599="!!!",F2599="NEW"),"",COUNTBLANK(OFFSET(A$1,,,SUMPRODUCT(MAX(ROW(E$2:E2599)*(E2599=E$2:E2599)))))-COUNTBLANK(OFFSET(A$1,,,SUMPRODUCT(MAX(ROW(E$1:E2598)*(E2=E$1:E2598))))))</f>
        <v> </v>
      </c>
      <c r="K2599" s="25" t="str">
        <f>IF(OR(E2599="",E2599="!!!",F2599="NEW"),"",INDEX(J$1:J2598,SUMPRODUCT(MAX(ROW(E$1:E2598)*(E2599=E$1:E2598)))))</f>
        <v> </v>
      </c>
      <c r="L2599" s="26"/>
    </row>
    <row r="2600" spans="1:12">
      <c r="A2600" s="20" t="s">
        <v>1145</v>
      </c>
      <c r="E2600" s="21">
        <f>IF(D2600="?OLD","!!!","")</f>
        <v/>
      </c>
      <c r="F2600" s="22" t="str">
        <f>IF(OR(E2600="",E2600="!!!"),"",IF(NOT(ISNA(VLOOKUP(E2600,E$1:E2599,1,FALSE()))),"OLD",IF(AND(E2600&lt;&gt;"",E2600&lt;&gt;"!!!"),"NEW","")))</f>
        <v> </v>
      </c>
      <c r="G2600" s="23" t="str">
        <f>IF(OR(E2600="",E2600="!!!"),"",IF(OR(J2600=0,AND(J2600=1,K2600=1),AND(J2600=1,I2600="SBJ"),AND(J2600=1,I2600=0)),"?IN_FOCUS",IF(J2600&lt;=2,"?ACTIVATED",IF(J2600&lt;&gt;"","?FAMILIAR",IF(F2600="NEW",IF(ISNA(VLOOKUP(E2600,#REF!,1,FALSE())),"?TYPE_IDENTIFIABLE","?REFERENTIAL"),"_")))))</f>
        <v> </v>
      </c>
      <c r="H2600" s="24" t="str">
        <f>IF(J2600&lt;&gt;1,"",IF(I2600="SBJ","CB","?"))</f>
        <v> </v>
      </c>
      <c r="I2600" s="25" t="str">
        <f>IF(OR(E2600="",E2600="!!!",F2600="NEW"),"",INDEX(B2599:B$2,-1+SUMPRODUCT(MAX(ROW(E2599:E$2)*(E2600=E2599:E$2)))))</f>
        <v> </v>
      </c>
      <c r="J2600" s="25" t="str">
        <f>IF(OR(E2600="",E2600="!!!",F2600="NEW"),"",COUNTBLANK(OFFSET(A$1,,,SUMPRODUCT(MAX(ROW(E$2:E2600)*(E2600=E$2:E2600)))))-COUNTBLANK(OFFSET(A$1,,,SUMPRODUCT(MAX(ROW(E$1:E2599)*(E2=E$1:E2599))))))</f>
        <v> </v>
      </c>
      <c r="K2600" s="25" t="str">
        <f>IF(OR(E2600="",E2600="!!!",F2600="NEW"),"",INDEX(J$1:J2599,SUMPRODUCT(MAX(ROW(E$1:E2599)*(E2600=E$1:E2599)))))</f>
        <v> </v>
      </c>
      <c r="L2600" s="26"/>
    </row>
    <row r="2601" spans="1:12">
      <c r="A2601" s="20" t="s">
        <v>1145</v>
      </c>
      <c r="E2601" s="21">
        <f>IF(D2601="?OLD","!!!","")</f>
        <v/>
      </c>
      <c r="F2601" s="22" t="str">
        <f>IF(OR(E2601="",E2601="!!!"),"",IF(NOT(ISNA(VLOOKUP(E2601,E$1:E2600,1,FALSE()))),"OLD",IF(AND(E2601&lt;&gt;"",E2601&lt;&gt;"!!!"),"NEW","")))</f>
        <v> </v>
      </c>
      <c r="G2601" s="23" t="str">
        <f>IF(OR(E2601="",E2601="!!!"),"",IF(OR(J2601=0,AND(J2601=1,K2601=1),AND(J2601=1,I2601="SBJ"),AND(J2601=1,I2601=0)),"?IN_FOCUS",IF(J2601&lt;=2,"?ACTIVATED",IF(J2601&lt;&gt;"","?FAMILIAR",IF(F2601="NEW",IF(ISNA(VLOOKUP(E2601,#REF!,1,FALSE())),"?TYPE_IDENTIFIABLE","?REFERENTIAL"),"_")))))</f>
        <v> </v>
      </c>
      <c r="H2601" s="24" t="str">
        <f>IF(J2601&lt;&gt;1,"",IF(I2601="SBJ","CB","?"))</f>
        <v> </v>
      </c>
      <c r="I2601" s="25" t="str">
        <f>IF(OR(E2601="",E2601="!!!",F2601="NEW"),"",INDEX(B2600:B$2,-1+SUMPRODUCT(MAX(ROW(E2600:E$2)*(E2601=E2600:E$2)))))</f>
        <v> </v>
      </c>
      <c r="J2601" s="25" t="str">
        <f>IF(OR(E2601="",E2601="!!!",F2601="NEW"),"",COUNTBLANK(OFFSET(A$1,,,SUMPRODUCT(MAX(ROW(E$2:E2601)*(E2601=E$2:E2601)))))-COUNTBLANK(OFFSET(A$1,,,SUMPRODUCT(MAX(ROW(E$1:E2600)*(E2=E$1:E2600))))))</f>
        <v> </v>
      </c>
      <c r="K2601" s="25" t="str">
        <f>IF(OR(E2601="",E2601="!!!",F2601="NEW"),"",INDEX(J$1:J2600,SUMPRODUCT(MAX(ROW(E$1:E2600)*(E2601=E$1:E2600)))))</f>
        <v> </v>
      </c>
      <c r="L2601" s="26"/>
    </row>
    <row r="2602" spans="1:12">
      <c r="A2602" s="20" t="s">
        <v>1145</v>
      </c>
      <c r="E2602" s="21">
        <f>IF(D2602="?OLD","!!!","")</f>
        <v/>
      </c>
      <c r="F2602" s="22" t="str">
        <f>IF(OR(E2602="",E2602="!!!"),"",IF(NOT(ISNA(VLOOKUP(E2602,E$1:E2601,1,FALSE()))),"OLD",IF(AND(E2602&lt;&gt;"",E2602&lt;&gt;"!!!"),"NEW","")))</f>
        <v> </v>
      </c>
      <c r="G2602" s="23" t="str">
        <f>IF(OR(E2602="",E2602="!!!"),"",IF(OR(J2602=0,AND(J2602=1,K2602=1),AND(J2602=1,I2602="SBJ"),AND(J2602=1,I2602=0)),"?IN_FOCUS",IF(J2602&lt;=2,"?ACTIVATED",IF(J2602&lt;&gt;"","?FAMILIAR",IF(F2602="NEW",IF(ISNA(VLOOKUP(E2602,#REF!,1,FALSE())),"?TYPE_IDENTIFIABLE","?REFERENTIAL"),"_")))))</f>
        <v> </v>
      </c>
      <c r="H2602" s="24" t="str">
        <f>IF(J2602&lt;&gt;1,"",IF(I2602="SBJ","CB","?"))</f>
        <v> </v>
      </c>
      <c r="I2602" s="25" t="str">
        <f>IF(OR(E2602="",E2602="!!!",F2602="NEW"),"",INDEX(B2601:B$2,-1+SUMPRODUCT(MAX(ROW(E2601:E$2)*(E2602=E2601:E$2)))))</f>
        <v> </v>
      </c>
      <c r="J2602" s="25" t="str">
        <f>IF(OR(E2602="",E2602="!!!",F2602="NEW"),"",COUNTBLANK(OFFSET(A$1,,,SUMPRODUCT(MAX(ROW(E$2:E2602)*(E2602=E$2:E2602)))))-COUNTBLANK(OFFSET(A$1,,,SUMPRODUCT(MAX(ROW(E$1:E2601)*(E2=E$1:E2601))))))</f>
        <v> </v>
      </c>
      <c r="K2602" s="25" t="str">
        <f>IF(OR(E2602="",E2602="!!!",F2602="NEW"),"",INDEX(J$1:J2601,SUMPRODUCT(MAX(ROW(E$1:E2601)*(E2602=E$1:E2601)))))</f>
        <v> </v>
      </c>
      <c r="L2602" s="26"/>
    </row>
    <row r="2603" spans="1:12">
      <c r="A2603" s="20"/>
    </row>
    <row r="2604" spans="1:12">
      <c r="A2604" s="20" t="s">
        <v>2352</v>
      </c>
    </row>
    <row r="2605" spans="1:12">
      <c r="A2605" s="20" t="s">
        <v>2353</v>
      </c>
      <c r="E2605" s="21">
        <f>IF(D2605="?OLD","!!!","")</f>
        <v/>
      </c>
      <c r="F2605" s="22" t="str">
        <f>IF(OR(E2605="",E2605="!!!"),"",IF(NOT(ISNA(VLOOKUP(E2605,E$1:E2604,1,FALSE()))),"OLD",IF(AND(E2605&lt;&gt;"",E2605&lt;&gt;"!!!"),"NEW","")))</f>
        <v> </v>
      </c>
      <c r="G2605" s="23" t="str">
        <f>IF(OR(E2605="",E2605="!!!"),"",IF(OR(J2605=0,AND(J2605=1,K2605=1),AND(J2605=1,I2605="SBJ"),AND(J2605=1,I2605=0)),"?IN_FOCUS",IF(J2605&lt;=2,"?ACTIVATED",IF(J2605&lt;&gt;"","?FAMILIAR",IF(F2605="NEW",IF(ISNA(VLOOKUP(E2605,#REF!,1,FALSE())),"?TYPE_IDENTIFIABLE","?REFERENTIAL"),"_")))))</f>
        <v> </v>
      </c>
      <c r="H2605" s="24" t="str">
        <f>IF(J2605&lt;&gt;1,"",IF(I2605="SBJ","CB","?"))</f>
        <v> </v>
      </c>
      <c r="I2605" s="25" t="str">
        <f>IF(OR(E2605="",E2605="!!!",F2605="NEW"),"",INDEX(B2604:B$2,-1+SUMPRODUCT(MAX(ROW(E2604:E$2)*(E2605=E2604:E$2)))))</f>
        <v> </v>
      </c>
      <c r="J2605" s="25" t="str">
        <f>IF(OR(E2605="",E2605="!!!",F2605="NEW"),"",COUNTBLANK(OFFSET(A$1,,,SUMPRODUCT(MAX(ROW(E$2:E2605)*(E2605=E$2:E2605)))))-COUNTBLANK(OFFSET(A$1,,,SUMPRODUCT(MAX(ROW(E$1:E2604)*(E2=E$1:E2604))))))</f>
        <v> </v>
      </c>
      <c r="K2605" s="25" t="str">
        <f>IF(OR(E2605="",E2605="!!!",F2605="NEW"),"",INDEX(J$1:J2604,SUMPRODUCT(MAX(ROW(E$1:E2604)*(E2605=E$1:E2604)))))</f>
        <v> </v>
      </c>
      <c r="L2605" s="26"/>
    </row>
    <row r="2606" spans="1:12">
      <c r="A2606" s="20" t="s">
        <v>2354</v>
      </c>
      <c r="B2606" s="27" t="s">
        <v>1149</v>
      </c>
      <c r="E2606" s="21">
        <f>IF(D2606="?OLD","!!!","")</f>
        <v/>
      </c>
      <c r="F2606" s="22" t="str">
        <f>IF(OR(E2606="",E2606="!!!"),"",IF(NOT(ISNA(VLOOKUP(E2606,E$1:E2605,1,FALSE()))),"OLD",IF(AND(E2606&lt;&gt;"",E2606&lt;&gt;"!!!"),"NEW","")))</f>
        <v> </v>
      </c>
      <c r="G2606" s="23" t="str">
        <f>IF(OR(E2606="",E2606="!!!"),"",IF(OR(J2606=0,AND(J2606=1,K2606=1),AND(J2606=1,I2606="SBJ"),AND(J2606=1,I2606=0)),"?IN_FOCUS",IF(J2606&lt;=2,"?ACTIVATED",IF(J2606&lt;&gt;"","?FAMILIAR",IF(F2606="NEW",IF(ISNA(VLOOKUP(E2606,#REF!,1,FALSE())),"?TYPE_IDENTIFIABLE","?REFERENTIAL"),"_")))))</f>
        <v> </v>
      </c>
      <c r="H2606" s="24" t="str">
        <f>IF(J2606&lt;&gt;1,"",IF(I2606="SBJ","CB","?"))</f>
        <v> </v>
      </c>
      <c r="I2606" s="25" t="str">
        <f>IF(OR(E2606="",E2606="!!!",F2606="NEW"),"",INDEX(B2605:B$2,-1+SUMPRODUCT(MAX(ROW(E2605:E$2)*(E2606=E2605:E$2)))))</f>
        <v> </v>
      </c>
      <c r="J2606" s="25" t="str">
        <f>IF(OR(E2606="",E2606="!!!",F2606="NEW"),"",COUNTBLANK(OFFSET(A$1,,,SUMPRODUCT(MAX(ROW(E$2:E2606)*(E2606=E$2:E2606)))))-COUNTBLANK(OFFSET(A$1,,,SUMPRODUCT(MAX(ROW(E$1:E2605)*(E2=E$1:E2605))))))</f>
        <v> </v>
      </c>
      <c r="K2606" s="25" t="str">
        <f>IF(OR(E2606="",E2606="!!!",F2606="NEW"),"",INDEX(J$1:J2605,SUMPRODUCT(MAX(ROW(E$1:E2605)*(E2606=E$1:E2605)))))</f>
        <v> </v>
      </c>
      <c r="L2606" s="26"/>
    </row>
    <row r="2607" spans="1:12">
      <c r="A2607" s="20" t="s">
        <v>1123</v>
      </c>
      <c r="E2607" s="21">
        <f>IF(D2607="?OLD","!!!","")</f>
        <v/>
      </c>
      <c r="F2607" s="22" t="str">
        <f>IF(OR(E2607="",E2607="!!!"),"",IF(NOT(ISNA(VLOOKUP(E2607,E$1:E2606,1,FALSE()))),"OLD",IF(AND(E2607&lt;&gt;"",E2607&lt;&gt;"!!!"),"NEW","")))</f>
        <v> </v>
      </c>
      <c r="G2607" s="23" t="str">
        <f>IF(OR(E2607="",E2607="!!!"),"",IF(OR(J2607=0,AND(J2607=1,K2607=1),AND(J2607=1,I2607="SBJ"),AND(J2607=1,I2607=0)),"?IN_FOCUS",IF(J2607&lt;=2,"?ACTIVATED",IF(J2607&lt;&gt;"","?FAMILIAR",IF(F2607="NEW",IF(ISNA(VLOOKUP(E2607,#REF!,1,FALSE())),"?TYPE_IDENTIFIABLE","?REFERENTIAL"),"_")))))</f>
        <v> </v>
      </c>
      <c r="H2607" s="24" t="str">
        <f>IF(J2607&lt;&gt;1,"",IF(I2607="SBJ","CB","?"))</f>
        <v> </v>
      </c>
      <c r="I2607" s="25" t="str">
        <f>IF(OR(E2607="",E2607="!!!",F2607="NEW"),"",INDEX(B2606:B$2,-1+SUMPRODUCT(MAX(ROW(E2606:E$2)*(E2607=E2606:E$2)))))</f>
        <v> </v>
      </c>
      <c r="J2607" s="25" t="str">
        <f>IF(OR(E2607="",E2607="!!!",F2607="NEW"),"",COUNTBLANK(OFFSET(A$1,,,SUMPRODUCT(MAX(ROW(E$2:E2607)*(E2607=E$2:E2607)))))-COUNTBLANK(OFFSET(A$1,,,SUMPRODUCT(MAX(ROW(E$1:E2606)*(E2=E$1:E2606))))))</f>
        <v> </v>
      </c>
      <c r="K2607" s="25" t="str">
        <f>IF(OR(E2607="",E2607="!!!",F2607="NEW"),"",INDEX(J$1:J2606,SUMPRODUCT(MAX(ROW(E$1:E2606)*(E2607=E$1:E2606)))))</f>
        <v> </v>
      </c>
      <c r="L2607" s="26"/>
    </row>
    <row r="2608" spans="1:12">
      <c r="A2608" s="20" t="s">
        <v>1184</v>
      </c>
      <c r="E2608" s="21">
        <f>IF(D2608="?OLD","!!!","")</f>
        <v/>
      </c>
      <c r="F2608" s="22" t="str">
        <f>IF(OR(E2608="",E2608="!!!"),"",IF(NOT(ISNA(VLOOKUP(E2608,E$1:E2607,1,FALSE()))),"OLD",IF(AND(E2608&lt;&gt;"",E2608&lt;&gt;"!!!"),"NEW","")))</f>
        <v> </v>
      </c>
      <c r="G2608" s="23" t="str">
        <f>IF(OR(E2608="",E2608="!!!"),"",IF(OR(J2608=0,AND(J2608=1,K2608=1),AND(J2608=1,I2608="SBJ"),AND(J2608=1,I2608=0)),"?IN_FOCUS",IF(J2608&lt;=2,"?ACTIVATED",IF(J2608&lt;&gt;"","?FAMILIAR",IF(F2608="NEW",IF(ISNA(VLOOKUP(E2608,#REF!,1,FALSE())),"?TYPE_IDENTIFIABLE","?REFERENTIAL"),"_")))))</f>
        <v> </v>
      </c>
      <c r="H2608" s="24" t="str">
        <f>IF(J2608&lt;&gt;1,"",IF(I2608="SBJ","CB","?"))</f>
        <v> </v>
      </c>
      <c r="I2608" s="25" t="str">
        <f>IF(OR(E2608="",E2608="!!!",F2608="NEW"),"",INDEX(B2607:B$2,-1+SUMPRODUCT(MAX(ROW(E2607:E$2)*(E2608=E2607:E$2)))))</f>
        <v> </v>
      </c>
      <c r="J2608" s="25" t="str">
        <f>IF(OR(E2608="",E2608="!!!",F2608="NEW"),"",COUNTBLANK(OFFSET(A$1,,,SUMPRODUCT(MAX(ROW(E$2:E2608)*(E2608=E$2:E2608)))))-COUNTBLANK(OFFSET(A$1,,,SUMPRODUCT(MAX(ROW(E$1:E2607)*(E2=E$1:E2607))))))</f>
        <v> </v>
      </c>
      <c r="K2608" s="25" t="str">
        <f>IF(OR(E2608="",E2608="!!!",F2608="NEW"),"",INDEX(J$1:J2607,SUMPRODUCT(MAX(ROW(E$1:E2607)*(E2608=E$1:E2607)))))</f>
        <v> </v>
      </c>
      <c r="L2608" s="26"/>
    </row>
    <row r="2609" spans="1:12">
      <c r="A2609" s="20" t="s">
        <v>1446</v>
      </c>
      <c r="E2609" s="21">
        <f>IF(D2609="?OLD","!!!","")</f>
        <v/>
      </c>
      <c r="F2609" s="22" t="str">
        <f>IF(OR(E2609="",E2609="!!!"),"",IF(NOT(ISNA(VLOOKUP(E2609,E$1:E2608,1,FALSE()))),"OLD",IF(AND(E2609&lt;&gt;"",E2609&lt;&gt;"!!!"),"NEW","")))</f>
        <v> </v>
      </c>
      <c r="G2609" s="23" t="str">
        <f>IF(OR(E2609="",E2609="!!!"),"",IF(OR(J2609=0,AND(J2609=1,K2609=1),AND(J2609=1,I2609="SBJ"),AND(J2609=1,I2609=0)),"?IN_FOCUS",IF(J2609&lt;=2,"?ACTIVATED",IF(J2609&lt;&gt;"","?FAMILIAR",IF(F2609="NEW",IF(ISNA(VLOOKUP(E2609,#REF!,1,FALSE())),"?TYPE_IDENTIFIABLE","?REFERENTIAL"),"_")))))</f>
        <v> </v>
      </c>
      <c r="H2609" s="24" t="str">
        <f>IF(J2609&lt;&gt;1,"",IF(I2609="SBJ","CB","?"))</f>
        <v> </v>
      </c>
      <c r="I2609" s="25" t="str">
        <f>IF(OR(E2609="",E2609="!!!",F2609="NEW"),"",INDEX(B2608:B$2,-1+SUMPRODUCT(MAX(ROW(E2608:E$2)*(E2609=E2608:E$2)))))</f>
        <v> </v>
      </c>
      <c r="J2609" s="25" t="str">
        <f>IF(OR(E2609="",E2609="!!!",F2609="NEW"),"",COUNTBLANK(OFFSET(A$1,,,SUMPRODUCT(MAX(ROW(E$2:E2609)*(E2609=E$2:E2609)))))-COUNTBLANK(OFFSET(A$1,,,SUMPRODUCT(MAX(ROW(E$1:E2608)*(E2=E$1:E2608))))))</f>
        <v> </v>
      </c>
      <c r="K2609" s="25" t="str">
        <f>IF(OR(E2609="",E2609="!!!",F2609="NEW"),"",INDEX(J$1:J2608,SUMPRODUCT(MAX(ROW(E$1:E2608)*(E2609=E$1:E2608)))))</f>
        <v> </v>
      </c>
      <c r="L2609" s="26"/>
    </row>
    <row r="2610" spans="1:12">
      <c r="A2610" s="20" t="s">
        <v>1186</v>
      </c>
      <c r="B2610" s="27" t="s">
        <v>1122</v>
      </c>
      <c r="C2610" s="27" t="s">
        <v>1126</v>
      </c>
      <c r="D2610" s="27" t="s">
        <v>1105</v>
      </c>
      <c r="E2610" s="21">
        <f>IF(D2610="?OLD","!!!","")</f>
        <v/>
      </c>
      <c r="F2610" s="22" t="str">
        <f>IF(OR(E2610="",E2610="!!!"),"",IF(NOT(ISNA(VLOOKUP(E2610,E$1:E2609,1,FALSE()))),"OLD",IF(AND(E2610&lt;&gt;"",E2610&lt;&gt;"!!!"),"NEW","")))</f>
        <v> </v>
      </c>
      <c r="G2610" s="23" t="str">
        <f>IF(OR(E2610="",E2610="!!!"),"",IF(OR(J2610=0,AND(J2610=1,K2610=1),AND(J2610=1,I2610="SBJ"),AND(J2610=1,I2610=0)),"?IN_FOCUS",IF(J2610&lt;=2,"?ACTIVATED",IF(J2610&lt;&gt;"","?FAMILIAR",IF(F2610="NEW",IF(ISNA(VLOOKUP(E2610,#REF!,1,FALSE())),"?TYPE_IDENTIFIABLE","?REFERENTIAL"),"_")))))</f>
        <v> </v>
      </c>
      <c r="H2610" s="24" t="str">
        <f>IF(J2610&lt;&gt;1,"",IF(I2610="SBJ","CB","?"))</f>
        <v> </v>
      </c>
      <c r="I2610" s="25" t="str">
        <f>IF(OR(E2610="",E2610="!!!",F2610="NEW"),"",INDEX(B2609:B$2,-1+SUMPRODUCT(MAX(ROW(E2609:E$2)*(E2610=E2609:E$2)))))</f>
        <v> </v>
      </c>
      <c r="J2610" s="25" t="str">
        <f>IF(OR(E2610="",E2610="!!!",F2610="NEW"),"",COUNTBLANK(OFFSET(A$1,,,SUMPRODUCT(MAX(ROW(E$2:E2610)*(E2610=E$2:E2610)))))-COUNTBLANK(OFFSET(A$1,,,SUMPRODUCT(MAX(ROW(E$1:E2609)*(E2=E$1:E2609))))))</f>
        <v> </v>
      </c>
      <c r="K2610" s="25" t="str">
        <f>IF(OR(E2610="",E2610="!!!",F2610="NEW"),"",INDEX(J$1:J2609,SUMPRODUCT(MAX(ROW(E$1:E2609)*(E2610=E$1:E2609)))))</f>
        <v> </v>
      </c>
      <c r="L2610" s="26"/>
    </row>
    <row r="2611" spans="1:12">
      <c r="A2611" s="20" t="s">
        <v>1628</v>
      </c>
      <c r="E2611" s="21">
        <f>IF(D2611="?OLD","!!!","")</f>
        <v/>
      </c>
      <c r="F2611" s="22" t="str">
        <f>IF(OR(E2611="",E2611="!!!"),"",IF(NOT(ISNA(VLOOKUP(E2611,E$1:E2610,1,FALSE()))),"OLD",IF(AND(E2611&lt;&gt;"",E2611&lt;&gt;"!!!"),"NEW","")))</f>
        <v> </v>
      </c>
      <c r="G2611" s="23" t="str">
        <f>IF(OR(E2611="",E2611="!!!"),"",IF(OR(J2611=0,AND(J2611=1,K2611=1),AND(J2611=1,I2611="SBJ"),AND(J2611=1,I2611=0)),"?IN_FOCUS",IF(J2611&lt;=2,"?ACTIVATED",IF(J2611&lt;&gt;"","?FAMILIAR",IF(F2611="NEW",IF(ISNA(VLOOKUP(E2611,#REF!,1,FALSE())),"?TYPE_IDENTIFIABLE","?REFERENTIAL"),"_")))))</f>
        <v> </v>
      </c>
      <c r="H2611" s="24" t="str">
        <f>IF(J2611&lt;&gt;1,"",IF(I2611="SBJ","CB","?"))</f>
        <v> </v>
      </c>
      <c r="I2611" s="25" t="str">
        <f>IF(OR(E2611="",E2611="!!!",F2611="NEW"),"",INDEX(B2610:B$2,-1+SUMPRODUCT(MAX(ROW(E2610:E$2)*(E2611=E2610:E$2)))))</f>
        <v> </v>
      </c>
      <c r="J2611" s="25" t="str">
        <f>IF(OR(E2611="",E2611="!!!",F2611="NEW"),"",COUNTBLANK(OFFSET(A$1,,,SUMPRODUCT(MAX(ROW(E$2:E2611)*(E2611=E$2:E2611)))))-COUNTBLANK(OFFSET(A$1,,,SUMPRODUCT(MAX(ROW(E$1:E2610)*(E2=E$1:E2610))))))</f>
        <v> </v>
      </c>
      <c r="K2611" s="25" t="str">
        <f>IF(OR(E2611="",E2611="!!!",F2611="NEW"),"",INDEX(J$1:J2610,SUMPRODUCT(MAX(ROW(E$1:E2610)*(E2611=E$1:E2610)))))</f>
        <v> </v>
      </c>
      <c r="L2611" s="26"/>
    </row>
    <row r="2612" spans="1:12">
      <c r="A2612" s="20" t="s">
        <v>1134</v>
      </c>
      <c r="E2612" s="21">
        <f>IF(D2612="?OLD","!!!","")</f>
        <v/>
      </c>
      <c r="F2612" s="22" t="str">
        <f>IF(OR(E2612="",E2612="!!!"),"",IF(NOT(ISNA(VLOOKUP(E2612,E$1:E2611,1,FALSE()))),"OLD",IF(AND(E2612&lt;&gt;"",E2612&lt;&gt;"!!!"),"NEW","")))</f>
        <v> </v>
      </c>
      <c r="G2612" s="23" t="str">
        <f>IF(OR(E2612="",E2612="!!!"),"",IF(OR(J2612=0,AND(J2612=1,K2612=1),AND(J2612=1,I2612="SBJ"),AND(J2612=1,I2612=0)),"?IN_FOCUS",IF(J2612&lt;=2,"?ACTIVATED",IF(J2612&lt;&gt;"","?FAMILIAR",IF(F2612="NEW",IF(ISNA(VLOOKUP(E2612,#REF!,1,FALSE())),"?TYPE_IDENTIFIABLE","?REFERENTIAL"),"_")))))</f>
        <v> </v>
      </c>
      <c r="H2612" s="24" t="str">
        <f>IF(J2612&lt;&gt;1,"",IF(I2612="SBJ","CB","?"))</f>
        <v> </v>
      </c>
      <c r="I2612" s="25" t="str">
        <f>IF(OR(E2612="",E2612="!!!",F2612="NEW"),"",INDEX(B2611:B$2,-1+SUMPRODUCT(MAX(ROW(E2611:E$2)*(E2612=E2611:E$2)))))</f>
        <v> </v>
      </c>
      <c r="J2612" s="25" t="str">
        <f>IF(OR(E2612="",E2612="!!!",F2612="NEW"),"",COUNTBLANK(OFFSET(A$1,,,SUMPRODUCT(MAX(ROW(E$2:E2612)*(E2612=E$2:E2612)))))-COUNTBLANK(OFFSET(A$1,,,SUMPRODUCT(MAX(ROW(E$1:E2611)*(E2=E$1:E2611))))))</f>
        <v> </v>
      </c>
      <c r="K2612" s="25" t="str">
        <f>IF(OR(E2612="",E2612="!!!",F2612="NEW"),"",INDEX(J$1:J2611,SUMPRODUCT(MAX(ROW(E$1:E2611)*(E2612=E$1:E2611)))))</f>
        <v> </v>
      </c>
      <c r="L2612" s="26"/>
    </row>
    <row r="2613" spans="1:12">
      <c r="A2613" s="20" t="s">
        <v>2355</v>
      </c>
      <c r="E2613" s="21">
        <f>IF(D2613="?OLD","!!!","")</f>
        <v/>
      </c>
      <c r="F2613" s="22" t="str">
        <f>IF(OR(E2613="",E2613="!!!"),"",IF(NOT(ISNA(VLOOKUP(E2613,E$1:E2612,1,FALSE()))),"OLD",IF(AND(E2613&lt;&gt;"",E2613&lt;&gt;"!!!"),"NEW","")))</f>
        <v> </v>
      </c>
      <c r="G2613" s="23" t="str">
        <f>IF(OR(E2613="",E2613="!!!"),"",IF(OR(J2613=0,AND(J2613=1,K2613=1),AND(J2613=1,I2613="SBJ"),AND(J2613=1,I2613=0)),"?IN_FOCUS",IF(J2613&lt;=2,"?ACTIVATED",IF(J2613&lt;&gt;"","?FAMILIAR",IF(F2613="NEW",IF(ISNA(VLOOKUP(E2613,#REF!,1,FALSE())),"?TYPE_IDENTIFIABLE","?REFERENTIAL"),"_")))))</f>
        <v> </v>
      </c>
      <c r="H2613" s="24" t="str">
        <f>IF(J2613&lt;&gt;1,"",IF(I2613="SBJ","CB","?"))</f>
        <v> </v>
      </c>
      <c r="I2613" s="25" t="str">
        <f>IF(OR(E2613="",E2613="!!!",F2613="NEW"),"",INDEX(B2612:B$2,-1+SUMPRODUCT(MAX(ROW(E2612:E$2)*(E2613=E2612:E$2)))))</f>
        <v> </v>
      </c>
      <c r="J2613" s="25" t="str">
        <f>IF(OR(E2613="",E2613="!!!",F2613="NEW"),"",COUNTBLANK(OFFSET(A$1,,,SUMPRODUCT(MAX(ROW(E$2:E2613)*(E2613=E$2:E2613)))))-COUNTBLANK(OFFSET(A$1,,,SUMPRODUCT(MAX(ROW(E$1:E2612)*(E2=E$1:E2612))))))</f>
        <v> </v>
      </c>
      <c r="K2613" s="25" t="str">
        <f>IF(OR(E2613="",E2613="!!!",F2613="NEW"),"",INDEX(J$1:J2612,SUMPRODUCT(MAX(ROW(E$1:E2612)*(E2613=E$1:E2612)))))</f>
        <v> </v>
      </c>
      <c r="L2613" s="26"/>
    </row>
    <row r="2614" spans="1:12">
      <c r="A2614" s="20" t="s">
        <v>1123</v>
      </c>
      <c r="E2614" s="21">
        <f>IF(D2614="?OLD","!!!","")</f>
        <v/>
      </c>
      <c r="F2614" s="22" t="str">
        <f>IF(OR(E2614="",E2614="!!!"),"",IF(NOT(ISNA(VLOOKUP(E2614,E$1:E2613,1,FALSE()))),"OLD",IF(AND(E2614&lt;&gt;"",E2614&lt;&gt;"!!!"),"NEW","")))</f>
        <v> </v>
      </c>
      <c r="G2614" s="23" t="str">
        <f>IF(OR(E2614="",E2614="!!!"),"",IF(OR(J2614=0,AND(J2614=1,K2614=1),AND(J2614=1,I2614="SBJ"),AND(J2614=1,I2614=0)),"?IN_FOCUS",IF(J2614&lt;=2,"?ACTIVATED",IF(J2614&lt;&gt;"","?FAMILIAR",IF(F2614="NEW",IF(ISNA(VLOOKUP(E2614,#REF!,1,FALSE())),"?TYPE_IDENTIFIABLE","?REFERENTIAL"),"_")))))</f>
        <v> </v>
      </c>
      <c r="H2614" s="24" t="str">
        <f>IF(J2614&lt;&gt;1,"",IF(I2614="SBJ","CB","?"))</f>
        <v> </v>
      </c>
      <c r="I2614" s="25" t="str">
        <f>IF(OR(E2614="",E2614="!!!",F2614="NEW"),"",INDEX(B2613:B$2,-1+SUMPRODUCT(MAX(ROW(E2613:E$2)*(E2614=E2613:E$2)))))</f>
        <v> </v>
      </c>
      <c r="J2614" s="25" t="str">
        <f>IF(OR(E2614="",E2614="!!!",F2614="NEW"),"",COUNTBLANK(OFFSET(A$1,,,SUMPRODUCT(MAX(ROW(E$2:E2614)*(E2614=E$2:E2614)))))-COUNTBLANK(OFFSET(A$1,,,SUMPRODUCT(MAX(ROW(E$1:E2613)*(E2=E$1:E2613))))))</f>
        <v> </v>
      </c>
      <c r="K2614" s="25" t="str">
        <f>IF(OR(E2614="",E2614="!!!",F2614="NEW"),"",INDEX(J$1:J2613,SUMPRODUCT(MAX(ROW(E$1:E2613)*(E2614=E$1:E2613)))))</f>
        <v> </v>
      </c>
      <c r="L2614" s="26"/>
    </row>
    <row r="2615" spans="1:12">
      <c r="A2615" s="20" t="s">
        <v>1111</v>
      </c>
      <c r="E2615" s="21">
        <f>IF(D2615="?OLD","!!!","")</f>
        <v/>
      </c>
      <c r="F2615" s="22" t="str">
        <f>IF(OR(E2615="",E2615="!!!"),"",IF(NOT(ISNA(VLOOKUP(E2615,E$1:E2614,1,FALSE()))),"OLD",IF(AND(E2615&lt;&gt;"",E2615&lt;&gt;"!!!"),"NEW","")))</f>
        <v> </v>
      </c>
      <c r="G2615" s="23" t="str">
        <f>IF(OR(E2615="",E2615="!!!"),"",IF(OR(J2615=0,AND(J2615=1,K2615=1),AND(J2615=1,I2615="SBJ"),AND(J2615=1,I2615=0)),"?IN_FOCUS",IF(J2615&lt;=2,"?ACTIVATED",IF(J2615&lt;&gt;"","?FAMILIAR",IF(F2615="NEW",IF(ISNA(VLOOKUP(E2615,#REF!,1,FALSE())),"?TYPE_IDENTIFIABLE","?REFERENTIAL"),"_")))))</f>
        <v> </v>
      </c>
      <c r="H2615" s="24" t="str">
        <f>IF(J2615&lt;&gt;1,"",IF(I2615="SBJ","CB","?"))</f>
        <v> </v>
      </c>
      <c r="I2615" s="25" t="str">
        <f>IF(OR(E2615="",E2615="!!!",F2615="NEW"),"",INDEX(B2614:B$2,-1+SUMPRODUCT(MAX(ROW(E2614:E$2)*(E2615=E2614:E$2)))))</f>
        <v> </v>
      </c>
      <c r="J2615" s="25" t="str">
        <f>IF(OR(E2615="",E2615="!!!",F2615="NEW"),"",COUNTBLANK(OFFSET(A$1,,,SUMPRODUCT(MAX(ROW(E$2:E2615)*(E2615=E$2:E2615)))))-COUNTBLANK(OFFSET(A$1,,,SUMPRODUCT(MAX(ROW(E$1:E2614)*(E2=E$1:E2614))))))</f>
        <v> </v>
      </c>
      <c r="K2615" s="25" t="str">
        <f>IF(OR(E2615="",E2615="!!!",F2615="NEW"),"",INDEX(J$1:J2614,SUMPRODUCT(MAX(ROW(E$1:E2614)*(E2615=E$1:E2614)))))</f>
        <v> </v>
      </c>
      <c r="L2615" s="26"/>
    </row>
    <row r="2616" spans="1:12">
      <c r="A2616" s="20" t="s">
        <v>2356</v>
      </c>
      <c r="E2616" s="21">
        <f>IF(D2616="?OLD","!!!","")</f>
        <v/>
      </c>
      <c r="F2616" s="22" t="str">
        <f>IF(OR(E2616="",E2616="!!!"),"",IF(NOT(ISNA(VLOOKUP(E2616,E$1:E2615,1,FALSE()))),"OLD",IF(AND(E2616&lt;&gt;"",E2616&lt;&gt;"!!!"),"NEW","")))</f>
        <v> </v>
      </c>
      <c r="G2616" s="23" t="str">
        <f>IF(OR(E2616="",E2616="!!!"),"",IF(OR(J2616=0,AND(J2616=1,K2616=1),AND(J2616=1,I2616="SBJ"),AND(J2616=1,I2616=0)),"?IN_FOCUS",IF(J2616&lt;=2,"?ACTIVATED",IF(J2616&lt;&gt;"","?FAMILIAR",IF(F2616="NEW",IF(ISNA(VLOOKUP(E2616,#REF!,1,FALSE())),"?TYPE_IDENTIFIABLE","?REFERENTIAL"),"_")))))</f>
        <v> </v>
      </c>
      <c r="H2616" s="24" t="str">
        <f>IF(J2616&lt;&gt;1,"",IF(I2616="SBJ","CB","?"))</f>
        <v> </v>
      </c>
      <c r="I2616" s="25" t="str">
        <f>IF(OR(E2616="",E2616="!!!",F2616="NEW"),"",INDEX(B2615:B$2,-1+SUMPRODUCT(MAX(ROW(E2615:E$2)*(E2616=E2615:E$2)))))</f>
        <v> </v>
      </c>
      <c r="J2616" s="25" t="str">
        <f>IF(OR(E2616="",E2616="!!!",F2616="NEW"),"",COUNTBLANK(OFFSET(A$1,,,SUMPRODUCT(MAX(ROW(E$2:E2616)*(E2616=E$2:E2616)))))-COUNTBLANK(OFFSET(A$1,,,SUMPRODUCT(MAX(ROW(E$1:E2615)*(E2=E$1:E2615))))))</f>
        <v> </v>
      </c>
      <c r="K2616" s="25" t="str">
        <f>IF(OR(E2616="",E2616="!!!",F2616="NEW"),"",INDEX(J$1:J2615,SUMPRODUCT(MAX(ROW(E$1:E2615)*(E2616=E$1:E2615)))))</f>
        <v> </v>
      </c>
      <c r="L2616" s="26"/>
    </row>
    <row r="2617" spans="1:12">
      <c r="A2617" s="20" t="s">
        <v>1225</v>
      </c>
      <c r="B2617" s="27" t="s">
        <v>1259</v>
      </c>
      <c r="C2617" s="27" t="s">
        <v>1108</v>
      </c>
      <c r="D2617" s="27" t="s">
        <v>1105</v>
      </c>
      <c r="E2617" s="21">
        <f>IF(D2617="?OLD","!!!","")</f>
        <v/>
      </c>
      <c r="F2617" s="22" t="str">
        <f>IF(OR(E2617="",E2617="!!!"),"",IF(NOT(ISNA(VLOOKUP(E2617,E$1:E2616,1,FALSE()))),"OLD",IF(AND(E2617&lt;&gt;"",E2617&lt;&gt;"!!!"),"NEW","")))</f>
        <v> </v>
      </c>
      <c r="G2617" s="23" t="str">
        <f>IF(OR(E2617="",E2617="!!!"),"",IF(OR(J2617=0,AND(J2617=1,K2617=1),AND(J2617=1,I2617="SBJ"),AND(J2617=1,I2617=0)),"?IN_FOCUS",IF(J2617&lt;=2,"?ACTIVATED",IF(J2617&lt;&gt;"","?FAMILIAR",IF(F2617="NEW",IF(ISNA(VLOOKUP(E2617,#REF!,1,FALSE())),"?TYPE_IDENTIFIABLE","?REFERENTIAL"),"_")))))</f>
        <v> </v>
      </c>
      <c r="H2617" s="24" t="str">
        <f>IF(J2617&lt;&gt;1,"",IF(I2617="SBJ","CB","?"))</f>
        <v> </v>
      </c>
      <c r="I2617" s="25" t="str">
        <f>IF(OR(E2617="",E2617="!!!",F2617="NEW"),"",INDEX(B2616:B$2,-1+SUMPRODUCT(MAX(ROW(E2616:E$2)*(E2617=E2616:E$2)))))</f>
        <v> </v>
      </c>
      <c r="J2617" s="25" t="str">
        <f>IF(OR(E2617="",E2617="!!!",F2617="NEW"),"",COUNTBLANK(OFFSET(A$1,,,SUMPRODUCT(MAX(ROW(E$2:E2617)*(E2617=E$2:E2617)))))-COUNTBLANK(OFFSET(A$1,,,SUMPRODUCT(MAX(ROW(E$1:E2616)*(E2=E$1:E2616))))))</f>
        <v> </v>
      </c>
      <c r="K2617" s="25" t="str">
        <f>IF(OR(E2617="",E2617="!!!",F2617="NEW"),"",INDEX(J$1:J2616,SUMPRODUCT(MAX(ROW(E$1:E2616)*(E2617=E$1:E2616)))))</f>
        <v> </v>
      </c>
      <c r="L2617" s="26"/>
    </row>
    <row r="2618" spans="1:12">
      <c r="A2618" s="20" t="s">
        <v>1123</v>
      </c>
      <c r="E2618" s="21">
        <f>IF(D2618="?OLD","!!!","")</f>
        <v/>
      </c>
      <c r="F2618" s="22" t="str">
        <f>IF(OR(E2618="",E2618="!!!"),"",IF(NOT(ISNA(VLOOKUP(E2618,E$1:E2617,1,FALSE()))),"OLD",IF(AND(E2618&lt;&gt;"",E2618&lt;&gt;"!!!"),"NEW","")))</f>
        <v> </v>
      </c>
      <c r="G2618" s="23" t="str">
        <f>IF(OR(E2618="",E2618="!!!"),"",IF(OR(J2618=0,AND(J2618=1,K2618=1),AND(J2618=1,I2618="SBJ"),AND(J2618=1,I2618=0)),"?IN_FOCUS",IF(J2618&lt;=2,"?ACTIVATED",IF(J2618&lt;&gt;"","?FAMILIAR",IF(F2618="NEW",IF(ISNA(VLOOKUP(E2618,#REF!,1,FALSE())),"?TYPE_IDENTIFIABLE","?REFERENTIAL"),"_")))))</f>
        <v> </v>
      </c>
      <c r="H2618" s="24" t="str">
        <f>IF(J2618&lt;&gt;1,"",IF(I2618="SBJ","CB","?"))</f>
        <v> </v>
      </c>
      <c r="I2618" s="25" t="str">
        <f>IF(OR(E2618="",E2618="!!!",F2618="NEW"),"",INDEX(B2617:B$2,-1+SUMPRODUCT(MAX(ROW(E2617:E$2)*(E2618=E2617:E$2)))))</f>
        <v> </v>
      </c>
      <c r="J2618" s="25" t="str">
        <f>IF(OR(E2618="",E2618="!!!",F2618="NEW"),"",COUNTBLANK(OFFSET(A$1,,,SUMPRODUCT(MAX(ROW(E$2:E2618)*(E2618=E$2:E2618)))))-COUNTBLANK(OFFSET(A$1,,,SUMPRODUCT(MAX(ROW(E$1:E2617)*(E2=E$1:E2617))))))</f>
        <v> </v>
      </c>
      <c r="K2618" s="25" t="str">
        <f>IF(OR(E2618="",E2618="!!!",F2618="NEW"),"",INDEX(J$1:J2617,SUMPRODUCT(MAX(ROW(E$1:E2617)*(E2618=E$1:E2617)))))</f>
        <v> </v>
      </c>
      <c r="L2618" s="26"/>
    </row>
    <row r="2619" spans="1:12">
      <c r="A2619" s="20" t="s">
        <v>1919</v>
      </c>
      <c r="E2619" s="21">
        <f>IF(D2619="?OLD","!!!","")</f>
        <v/>
      </c>
      <c r="F2619" s="22" t="str">
        <f>IF(OR(E2619="",E2619="!!!"),"",IF(NOT(ISNA(VLOOKUP(E2619,E$1:E2618,1,FALSE()))),"OLD",IF(AND(E2619&lt;&gt;"",E2619&lt;&gt;"!!!"),"NEW","")))</f>
        <v> </v>
      </c>
      <c r="G2619" s="23" t="str">
        <f>IF(OR(E2619="",E2619="!!!"),"",IF(OR(J2619=0,AND(J2619=1,K2619=1),AND(J2619=1,I2619="SBJ"),AND(J2619=1,I2619=0)),"?IN_FOCUS",IF(J2619&lt;=2,"?ACTIVATED",IF(J2619&lt;&gt;"","?FAMILIAR",IF(F2619="NEW",IF(ISNA(VLOOKUP(E2619,#REF!,1,FALSE())),"?TYPE_IDENTIFIABLE","?REFERENTIAL"),"_")))))</f>
        <v> </v>
      </c>
      <c r="H2619" s="24" t="str">
        <f>IF(J2619&lt;&gt;1,"",IF(I2619="SBJ","CB","?"))</f>
        <v> </v>
      </c>
      <c r="I2619" s="25" t="str">
        <f>IF(OR(E2619="",E2619="!!!",F2619="NEW"),"",INDEX(B2618:B$2,-1+SUMPRODUCT(MAX(ROW(E2618:E$2)*(E2619=E2618:E$2)))))</f>
        <v> </v>
      </c>
      <c r="J2619" s="25" t="str">
        <f>IF(OR(E2619="",E2619="!!!",F2619="NEW"),"",COUNTBLANK(OFFSET(A$1,,,SUMPRODUCT(MAX(ROW(E$2:E2619)*(E2619=E$2:E2619)))))-COUNTBLANK(OFFSET(A$1,,,SUMPRODUCT(MAX(ROW(E$1:E2618)*(E2=E$1:E2618))))))</f>
        <v> </v>
      </c>
      <c r="K2619" s="25" t="str">
        <f>IF(OR(E2619="",E2619="!!!",F2619="NEW"),"",INDEX(J$1:J2618,SUMPRODUCT(MAX(ROW(E$1:E2618)*(E2619=E$1:E2618)))))</f>
        <v> </v>
      </c>
      <c r="L2619" s="26"/>
    </row>
    <row r="2620" spans="1:12">
      <c r="A2620" s="20" t="s">
        <v>2357</v>
      </c>
      <c r="E2620" s="21">
        <f>IF(D2620="?OLD","!!!","")</f>
        <v/>
      </c>
      <c r="F2620" s="22" t="str">
        <f>IF(OR(E2620="",E2620="!!!"),"",IF(NOT(ISNA(VLOOKUP(E2620,E$1:E2619,1,FALSE()))),"OLD",IF(AND(E2620&lt;&gt;"",E2620&lt;&gt;"!!!"),"NEW","")))</f>
        <v> </v>
      </c>
      <c r="G2620" s="23" t="str">
        <f>IF(OR(E2620="",E2620="!!!"),"",IF(OR(J2620=0,AND(J2620=1,K2620=1),AND(J2620=1,I2620="SBJ"),AND(J2620=1,I2620=0)),"?IN_FOCUS",IF(J2620&lt;=2,"?ACTIVATED",IF(J2620&lt;&gt;"","?FAMILIAR",IF(F2620="NEW",IF(ISNA(VLOOKUP(E2620,#REF!,1,FALSE())),"?TYPE_IDENTIFIABLE","?REFERENTIAL"),"_")))))</f>
        <v> </v>
      </c>
      <c r="H2620" s="24" t="str">
        <f>IF(J2620&lt;&gt;1,"",IF(I2620="SBJ","CB","?"))</f>
        <v> </v>
      </c>
      <c r="I2620" s="25" t="str">
        <f>IF(OR(E2620="",E2620="!!!",F2620="NEW"),"",INDEX(B2619:B$2,-1+SUMPRODUCT(MAX(ROW(E2619:E$2)*(E2620=E2619:E$2)))))</f>
        <v> </v>
      </c>
      <c r="J2620" s="25" t="str">
        <f>IF(OR(E2620="",E2620="!!!",F2620="NEW"),"",COUNTBLANK(OFFSET(A$1,,,SUMPRODUCT(MAX(ROW(E$2:E2620)*(E2620=E$2:E2620)))))-COUNTBLANK(OFFSET(A$1,,,SUMPRODUCT(MAX(ROW(E$1:E2619)*(E2=E$1:E2619))))))</f>
        <v> </v>
      </c>
      <c r="K2620" s="25" t="str">
        <f>IF(OR(E2620="",E2620="!!!",F2620="NEW"),"",INDEX(J$1:J2619,SUMPRODUCT(MAX(ROW(E$1:E2619)*(E2620=E$1:E2619)))))</f>
        <v> </v>
      </c>
      <c r="L2620" s="26"/>
    </row>
    <row r="2621" spans="1:12">
      <c r="A2621" s="20" t="s">
        <v>1961</v>
      </c>
      <c r="E2621" s="21">
        <f>IF(D2621="?OLD","!!!","")</f>
        <v/>
      </c>
      <c r="F2621" s="22" t="str">
        <f>IF(OR(E2621="",E2621="!!!"),"",IF(NOT(ISNA(VLOOKUP(E2621,E$1:E2620,1,FALSE()))),"OLD",IF(AND(E2621&lt;&gt;"",E2621&lt;&gt;"!!!"),"NEW","")))</f>
        <v> </v>
      </c>
      <c r="G2621" s="23" t="str">
        <f>IF(OR(E2621="",E2621="!!!"),"",IF(OR(J2621=0,AND(J2621=1,K2621=1),AND(J2621=1,I2621="SBJ"),AND(J2621=1,I2621=0)),"?IN_FOCUS",IF(J2621&lt;=2,"?ACTIVATED",IF(J2621&lt;&gt;"","?FAMILIAR",IF(F2621="NEW",IF(ISNA(VLOOKUP(E2621,#REF!,1,FALSE())),"?TYPE_IDENTIFIABLE","?REFERENTIAL"),"_")))))</f>
        <v> </v>
      </c>
      <c r="H2621" s="24" t="str">
        <f>IF(J2621&lt;&gt;1,"",IF(I2621="SBJ","CB","?"))</f>
        <v> </v>
      </c>
      <c r="I2621" s="25" t="str">
        <f>IF(OR(E2621="",E2621="!!!",F2621="NEW"),"",INDEX(B2620:B$2,-1+SUMPRODUCT(MAX(ROW(E2620:E$2)*(E2621=E2620:E$2)))))</f>
        <v> </v>
      </c>
      <c r="J2621" s="25" t="str">
        <f>IF(OR(E2621="",E2621="!!!",F2621="NEW"),"",COUNTBLANK(OFFSET(A$1,,,SUMPRODUCT(MAX(ROW(E$2:E2621)*(E2621=E$2:E2621)))))-COUNTBLANK(OFFSET(A$1,,,SUMPRODUCT(MAX(ROW(E$1:E2620)*(E2=E$1:E2620))))))</f>
        <v> </v>
      </c>
      <c r="K2621" s="25" t="str">
        <f>IF(OR(E2621="",E2621="!!!",F2621="NEW"),"",INDEX(J$1:J2620,SUMPRODUCT(MAX(ROW(E$1:E2620)*(E2621=E$1:E2620)))))</f>
        <v> </v>
      </c>
      <c r="L2621" s="26"/>
    </row>
    <row r="2622" spans="1:12">
      <c r="A2622" s="20" t="s">
        <v>1130</v>
      </c>
      <c r="E2622" s="21">
        <f>IF(D2622="?OLD","!!!","")</f>
        <v/>
      </c>
      <c r="F2622" s="22" t="str">
        <f>IF(OR(E2622="",E2622="!!!"),"",IF(NOT(ISNA(VLOOKUP(E2622,E$1:E2621,1,FALSE()))),"OLD",IF(AND(E2622&lt;&gt;"",E2622&lt;&gt;"!!!"),"NEW","")))</f>
        <v> </v>
      </c>
      <c r="G2622" s="23" t="str">
        <f>IF(OR(E2622="",E2622="!!!"),"",IF(OR(J2622=0,AND(J2622=1,K2622=1),AND(J2622=1,I2622="SBJ"),AND(J2622=1,I2622=0)),"?IN_FOCUS",IF(J2622&lt;=2,"?ACTIVATED",IF(J2622&lt;&gt;"","?FAMILIAR",IF(F2622="NEW",IF(ISNA(VLOOKUP(E2622,#REF!,1,FALSE())),"?TYPE_IDENTIFIABLE","?REFERENTIAL"),"_")))))</f>
        <v> </v>
      </c>
      <c r="H2622" s="24" t="str">
        <f>IF(J2622&lt;&gt;1,"",IF(I2622="SBJ","CB","?"))</f>
        <v> </v>
      </c>
      <c r="I2622" s="25" t="str">
        <f>IF(OR(E2622="",E2622="!!!",F2622="NEW"),"",INDEX(B2621:B$2,-1+SUMPRODUCT(MAX(ROW(E2621:E$2)*(E2622=E2621:E$2)))))</f>
        <v> </v>
      </c>
      <c r="J2622" s="25" t="str">
        <f>IF(OR(E2622="",E2622="!!!",F2622="NEW"),"",COUNTBLANK(OFFSET(A$1,,,SUMPRODUCT(MAX(ROW(E$2:E2622)*(E2622=E$2:E2622)))))-COUNTBLANK(OFFSET(A$1,,,SUMPRODUCT(MAX(ROW(E$1:E2621)*(E2=E$1:E2621))))))</f>
        <v> </v>
      </c>
      <c r="K2622" s="25" t="str">
        <f>IF(OR(E2622="",E2622="!!!",F2622="NEW"),"",INDEX(J$1:J2621,SUMPRODUCT(MAX(ROW(E$1:E2621)*(E2622=E$1:E2621)))))</f>
        <v> </v>
      </c>
      <c r="L2622" s="26"/>
    </row>
    <row r="2623" spans="1:12">
      <c r="A2623" s="20" t="s">
        <v>1722</v>
      </c>
      <c r="B2623" s="27" t="s">
        <v>1141</v>
      </c>
      <c r="C2623" s="27" t="s">
        <v>1126</v>
      </c>
      <c r="D2623" s="27" t="s">
        <v>1105</v>
      </c>
      <c r="E2623" s="21">
        <f>IF(D2623="?OLD","!!!","")</f>
        <v/>
      </c>
      <c r="F2623" s="22" t="str">
        <f>IF(OR(E2623="",E2623="!!!"),"",IF(NOT(ISNA(VLOOKUP(E2623,E$1:E2622,1,FALSE()))),"OLD",IF(AND(E2623&lt;&gt;"",E2623&lt;&gt;"!!!"),"NEW","")))</f>
        <v> </v>
      </c>
      <c r="G2623" s="23" t="str">
        <f>IF(OR(E2623="",E2623="!!!"),"",IF(OR(J2623=0,AND(J2623=1,K2623=1),AND(J2623=1,I2623="SBJ"),AND(J2623=1,I2623=0)),"?IN_FOCUS",IF(J2623&lt;=2,"?ACTIVATED",IF(J2623&lt;&gt;"","?FAMILIAR",IF(F2623="NEW",IF(ISNA(VLOOKUP(E2623,#REF!,1,FALSE())),"?TYPE_IDENTIFIABLE","?REFERENTIAL"),"_")))))</f>
        <v> </v>
      </c>
      <c r="H2623" s="24" t="str">
        <f>IF(J2623&lt;&gt;1,"",IF(I2623="SBJ","CB","?"))</f>
        <v> </v>
      </c>
      <c r="I2623" s="25" t="str">
        <f>IF(OR(E2623="",E2623="!!!",F2623="NEW"),"",INDEX(B2622:B$2,-1+SUMPRODUCT(MAX(ROW(E2622:E$2)*(E2623=E2622:E$2)))))</f>
        <v> </v>
      </c>
      <c r="J2623" s="25" t="str">
        <f>IF(OR(E2623="",E2623="!!!",F2623="NEW"),"",COUNTBLANK(OFFSET(A$1,,,SUMPRODUCT(MAX(ROW(E$2:E2623)*(E2623=E$2:E2623)))))-COUNTBLANK(OFFSET(A$1,,,SUMPRODUCT(MAX(ROW(E$1:E2622)*(E2=E$1:E2622))))))</f>
        <v> </v>
      </c>
      <c r="K2623" s="25" t="str">
        <f>IF(OR(E2623="",E2623="!!!",F2623="NEW"),"",INDEX(J$1:J2622,SUMPRODUCT(MAX(ROW(E$1:E2622)*(E2623=E$1:E2622)))))</f>
        <v> </v>
      </c>
      <c r="L2623" s="26"/>
    </row>
    <row r="2624" spans="1:12">
      <c r="A2624" s="20" t="s">
        <v>1253</v>
      </c>
      <c r="E2624" s="21">
        <f>IF(D2624="?OLD","!!!","")</f>
        <v/>
      </c>
      <c r="F2624" s="22" t="str">
        <f>IF(OR(E2624="",E2624="!!!"),"",IF(NOT(ISNA(VLOOKUP(E2624,E$1:E2623,1,FALSE()))),"OLD",IF(AND(E2624&lt;&gt;"",E2624&lt;&gt;"!!!"),"NEW","")))</f>
        <v> </v>
      </c>
      <c r="G2624" s="23" t="str">
        <f>IF(OR(E2624="",E2624="!!!"),"",IF(OR(J2624=0,AND(J2624=1,K2624=1),AND(J2624=1,I2624="SBJ"),AND(J2624=1,I2624=0)),"?IN_FOCUS",IF(J2624&lt;=2,"?ACTIVATED",IF(J2624&lt;&gt;"","?FAMILIAR",IF(F2624="NEW",IF(ISNA(VLOOKUP(E2624,#REF!,1,FALSE())),"?TYPE_IDENTIFIABLE","?REFERENTIAL"),"_")))))</f>
        <v> </v>
      </c>
      <c r="H2624" s="24" t="str">
        <f>IF(J2624&lt;&gt;1,"",IF(I2624="SBJ","CB","?"))</f>
        <v> </v>
      </c>
      <c r="I2624" s="25" t="str">
        <f>IF(OR(E2624="",E2624="!!!",F2624="NEW"),"",INDEX(B2623:B$2,-1+SUMPRODUCT(MAX(ROW(E2623:E$2)*(E2624=E2623:E$2)))))</f>
        <v> </v>
      </c>
      <c r="J2624" s="25" t="str">
        <f>IF(OR(E2624="",E2624="!!!",F2624="NEW"),"",COUNTBLANK(OFFSET(A$1,,,SUMPRODUCT(MAX(ROW(E$2:E2624)*(E2624=E$2:E2624)))))-COUNTBLANK(OFFSET(A$1,,,SUMPRODUCT(MAX(ROW(E$1:E2623)*(E2=E$1:E2623))))))</f>
        <v> </v>
      </c>
      <c r="K2624" s="25" t="str">
        <f>IF(OR(E2624="",E2624="!!!",F2624="NEW"),"",INDEX(J$1:J2623,SUMPRODUCT(MAX(ROW(E$1:E2623)*(E2624=E$1:E2623)))))</f>
        <v> </v>
      </c>
      <c r="L2624" s="26"/>
    </row>
    <row r="2625" spans="1:12">
      <c r="A2625" s="20" t="s">
        <v>1415</v>
      </c>
      <c r="E2625" s="21">
        <f>IF(D2625="?OLD","!!!","")</f>
        <v/>
      </c>
      <c r="F2625" s="22" t="str">
        <f>IF(OR(E2625="",E2625="!!!"),"",IF(NOT(ISNA(VLOOKUP(E2625,E$1:E2624,1,FALSE()))),"OLD",IF(AND(E2625&lt;&gt;"",E2625&lt;&gt;"!!!"),"NEW","")))</f>
        <v> </v>
      </c>
      <c r="G2625" s="23" t="str">
        <f>IF(OR(E2625="",E2625="!!!"),"",IF(OR(J2625=0,AND(J2625=1,K2625=1),AND(J2625=1,I2625="SBJ"),AND(J2625=1,I2625=0)),"?IN_FOCUS",IF(J2625&lt;=2,"?ACTIVATED",IF(J2625&lt;&gt;"","?FAMILIAR",IF(F2625="NEW",IF(ISNA(VLOOKUP(E2625,#REF!,1,FALSE())),"?TYPE_IDENTIFIABLE","?REFERENTIAL"),"_")))))</f>
        <v> </v>
      </c>
      <c r="H2625" s="24" t="str">
        <f>IF(J2625&lt;&gt;1,"",IF(I2625="SBJ","CB","?"))</f>
        <v> </v>
      </c>
      <c r="I2625" s="25" t="str">
        <f>IF(OR(E2625="",E2625="!!!",F2625="NEW"),"",INDEX(B2624:B$2,-1+SUMPRODUCT(MAX(ROW(E2624:E$2)*(E2625=E2624:E$2)))))</f>
        <v> </v>
      </c>
      <c r="J2625" s="25" t="str">
        <f>IF(OR(E2625="",E2625="!!!",F2625="NEW"),"",COUNTBLANK(OFFSET(A$1,,,SUMPRODUCT(MAX(ROW(E$2:E2625)*(E2625=E$2:E2625)))))-COUNTBLANK(OFFSET(A$1,,,SUMPRODUCT(MAX(ROW(E$1:E2624)*(E2=E$1:E2624))))))</f>
        <v> </v>
      </c>
      <c r="K2625" s="25" t="str">
        <f>IF(OR(E2625="",E2625="!!!",F2625="NEW"),"",INDEX(J$1:J2624,SUMPRODUCT(MAX(ROW(E$1:E2624)*(E2625=E$1:E2624)))))</f>
        <v> </v>
      </c>
      <c r="L2625" s="26"/>
    </row>
    <row r="2626" spans="1:12">
      <c r="A2626" s="20" t="s">
        <v>1145</v>
      </c>
      <c r="E2626" s="21">
        <f>IF(D2626="?OLD","!!!","")</f>
        <v/>
      </c>
      <c r="F2626" s="22" t="str">
        <f>IF(OR(E2626="",E2626="!!!"),"",IF(NOT(ISNA(VLOOKUP(E2626,E$1:E2625,1,FALSE()))),"OLD",IF(AND(E2626&lt;&gt;"",E2626&lt;&gt;"!!!"),"NEW","")))</f>
        <v> </v>
      </c>
      <c r="G2626" s="23" t="str">
        <f>IF(OR(E2626="",E2626="!!!"),"",IF(OR(J2626=0,AND(J2626=1,K2626=1),AND(J2626=1,I2626="SBJ"),AND(J2626=1,I2626=0)),"?IN_FOCUS",IF(J2626&lt;=2,"?ACTIVATED",IF(J2626&lt;&gt;"","?FAMILIAR",IF(F2626="NEW",IF(ISNA(VLOOKUP(E2626,#REF!,1,FALSE())),"?TYPE_IDENTIFIABLE","?REFERENTIAL"),"_")))))</f>
        <v> </v>
      </c>
      <c r="H2626" s="24" t="str">
        <f>IF(J2626&lt;&gt;1,"",IF(I2626="SBJ","CB","?"))</f>
        <v> </v>
      </c>
      <c r="I2626" s="25" t="str">
        <f>IF(OR(E2626="",E2626="!!!",F2626="NEW"),"",INDEX(B2625:B$2,-1+SUMPRODUCT(MAX(ROW(E2625:E$2)*(E2626=E2625:E$2)))))</f>
        <v> </v>
      </c>
      <c r="J2626" s="25" t="str">
        <f>IF(OR(E2626="",E2626="!!!",F2626="NEW"),"",COUNTBLANK(OFFSET(A$1,,,SUMPRODUCT(MAX(ROW(E$2:E2626)*(E2626=E$2:E2626)))))-COUNTBLANK(OFFSET(A$1,,,SUMPRODUCT(MAX(ROW(E$1:E2625)*(E2=E$1:E2625))))))</f>
        <v> </v>
      </c>
      <c r="K2626" s="25" t="str">
        <f>IF(OR(E2626="",E2626="!!!",F2626="NEW"),"",INDEX(J$1:J2625,SUMPRODUCT(MAX(ROW(E$1:E2625)*(E2626=E$1:E2625)))))</f>
        <v> </v>
      </c>
      <c r="L2626" s="26"/>
    </row>
    <row r="2627" spans="1:12">
      <c r="A2627" s="20"/>
    </row>
    <row r="2628" spans="1:12">
      <c r="A2628" s="20" t="s">
        <v>2358</v>
      </c>
    </row>
    <row r="2629" spans="1:12">
      <c r="A2629" s="20" t="s">
        <v>1111</v>
      </c>
      <c r="E2629" s="21">
        <f>IF(D2629="?OLD","!!!","")</f>
        <v/>
      </c>
      <c r="F2629" s="22" t="str">
        <f>IF(OR(E2629="",E2629="!!!"),"",IF(NOT(ISNA(VLOOKUP(E2629,E$1:E2628,1,FALSE()))),"OLD",IF(AND(E2629&lt;&gt;"",E2629&lt;&gt;"!!!"),"NEW","")))</f>
        <v> </v>
      </c>
      <c r="G2629" s="23" t="str">
        <f>IF(OR(E2629="",E2629="!!!"),"",IF(OR(J2629=0,AND(J2629=1,K2629=1),AND(J2629=1,I2629="SBJ"),AND(J2629=1,I2629=0)),"?IN_FOCUS",IF(J2629&lt;=2,"?ACTIVATED",IF(J2629&lt;&gt;"","?FAMILIAR",IF(F2629="NEW",IF(ISNA(VLOOKUP(E2629,#REF!,1,FALSE())),"?TYPE_IDENTIFIABLE","?REFERENTIAL"),"_")))))</f>
        <v> </v>
      </c>
      <c r="H2629" s="24" t="str">
        <f>IF(J2629&lt;&gt;1,"",IF(I2629="SBJ","CB","?"))</f>
        <v> </v>
      </c>
      <c r="I2629" s="25" t="str">
        <f>IF(OR(E2629="",E2629="!!!",F2629="NEW"),"",INDEX(B2628:B$2,-1+SUMPRODUCT(MAX(ROW(E2628:E$2)*(E2629=E2628:E$2)))))</f>
        <v> </v>
      </c>
      <c r="J2629" s="25" t="str">
        <f>IF(OR(E2629="",E2629="!!!",F2629="NEW"),"",COUNTBLANK(OFFSET(A$1,,,SUMPRODUCT(MAX(ROW(E$2:E2629)*(E2629=E$2:E2629)))))-COUNTBLANK(OFFSET(A$1,,,SUMPRODUCT(MAX(ROW(E$1:E2628)*(E2=E$1:E2628))))))</f>
        <v> </v>
      </c>
      <c r="K2629" s="25" t="str">
        <f>IF(OR(E2629="",E2629="!!!",F2629="NEW"),"",INDEX(J$1:J2628,SUMPRODUCT(MAX(ROW(E$1:E2628)*(E2629=E$1:E2628)))))</f>
        <v> </v>
      </c>
      <c r="L2629" s="26"/>
    </row>
    <row r="2630" spans="1:12">
      <c r="A2630" s="20" t="s">
        <v>1633</v>
      </c>
      <c r="B2630" s="27" t="s">
        <v>1149</v>
      </c>
      <c r="C2630" s="27" t="s">
        <v>1126</v>
      </c>
      <c r="D2630" s="27" t="s">
        <v>1105</v>
      </c>
      <c r="E2630" s="21">
        <f>IF(D2630="?OLD","!!!","")</f>
        <v/>
      </c>
      <c r="F2630" s="22" t="str">
        <f>IF(OR(E2630="",E2630="!!!"),"",IF(NOT(ISNA(VLOOKUP(E2630,E$1:E2629,1,FALSE()))),"OLD",IF(AND(E2630&lt;&gt;"",E2630&lt;&gt;"!!!"),"NEW","")))</f>
        <v> </v>
      </c>
      <c r="G2630" s="23" t="str">
        <f>IF(OR(E2630="",E2630="!!!"),"",IF(OR(J2630=0,AND(J2630=1,K2630=1),AND(J2630=1,I2630="SBJ"),AND(J2630=1,I2630=0)),"?IN_FOCUS",IF(J2630&lt;=2,"?ACTIVATED",IF(J2630&lt;&gt;"","?FAMILIAR",IF(F2630="NEW",IF(ISNA(VLOOKUP(E2630,#REF!,1,FALSE())),"?TYPE_IDENTIFIABLE","?REFERENTIAL"),"_")))))</f>
        <v> </v>
      </c>
      <c r="H2630" s="24" t="str">
        <f>IF(J2630&lt;&gt;1,"",IF(I2630="SBJ","CB","?"))</f>
        <v> </v>
      </c>
      <c r="I2630" s="25" t="str">
        <f>IF(OR(E2630="",E2630="!!!",F2630="NEW"),"",INDEX(B2629:B$2,-1+SUMPRODUCT(MAX(ROW(E2629:E$2)*(E2630=E2629:E$2)))))</f>
        <v> </v>
      </c>
      <c r="J2630" s="25" t="str">
        <f>IF(OR(E2630="",E2630="!!!",F2630="NEW"),"",COUNTBLANK(OFFSET(A$1,,,SUMPRODUCT(MAX(ROW(E$2:E2630)*(E2630=E$2:E2630)))))-COUNTBLANK(OFFSET(A$1,,,SUMPRODUCT(MAX(ROW(E$1:E2629)*(E2=E$1:E2629))))))</f>
        <v> </v>
      </c>
      <c r="K2630" s="25" t="str">
        <f>IF(OR(E2630="",E2630="!!!",F2630="NEW"),"",INDEX(J$1:J2629,SUMPRODUCT(MAX(ROW(E$1:E2629)*(E2630=E$1:E2629)))))</f>
        <v> </v>
      </c>
      <c r="L2630" s="26"/>
    </row>
    <row r="2631" spans="1:12">
      <c r="A2631" s="20" t="s">
        <v>1134</v>
      </c>
      <c r="E2631" s="21">
        <f>IF(D2631="?OLD","!!!","")</f>
        <v/>
      </c>
      <c r="F2631" s="22" t="str">
        <f>IF(OR(E2631="",E2631="!!!"),"",IF(NOT(ISNA(VLOOKUP(E2631,E$1:E2630,1,FALSE()))),"OLD",IF(AND(E2631&lt;&gt;"",E2631&lt;&gt;"!!!"),"NEW","")))</f>
        <v> </v>
      </c>
      <c r="G2631" s="23" t="str">
        <f>IF(OR(E2631="",E2631="!!!"),"",IF(OR(J2631=0,AND(J2631=1,K2631=1),AND(J2631=1,I2631="SBJ"),AND(J2631=1,I2631=0)),"?IN_FOCUS",IF(J2631&lt;=2,"?ACTIVATED",IF(J2631&lt;&gt;"","?FAMILIAR",IF(F2631="NEW",IF(ISNA(VLOOKUP(E2631,#REF!,1,FALSE())),"?TYPE_IDENTIFIABLE","?REFERENTIAL"),"_")))))</f>
        <v> </v>
      </c>
      <c r="H2631" s="24" t="str">
        <f>IF(J2631&lt;&gt;1,"",IF(I2631="SBJ","CB","?"))</f>
        <v> </v>
      </c>
      <c r="I2631" s="25" t="str">
        <f>IF(OR(E2631="",E2631="!!!",F2631="NEW"),"",INDEX(B2630:B$2,-1+SUMPRODUCT(MAX(ROW(E2630:E$2)*(E2631=E2630:E$2)))))</f>
        <v> </v>
      </c>
      <c r="J2631" s="25" t="str">
        <f>IF(OR(E2631="",E2631="!!!",F2631="NEW"),"",COUNTBLANK(OFFSET(A$1,,,SUMPRODUCT(MAX(ROW(E$2:E2631)*(E2631=E$2:E2631)))))-COUNTBLANK(OFFSET(A$1,,,SUMPRODUCT(MAX(ROW(E$1:E2630)*(E2=E$1:E2630))))))</f>
        <v> </v>
      </c>
      <c r="K2631" s="25" t="str">
        <f>IF(OR(E2631="",E2631="!!!",F2631="NEW"),"",INDEX(J$1:J2630,SUMPRODUCT(MAX(ROW(E$1:E2630)*(E2631=E$1:E2630)))))</f>
        <v> </v>
      </c>
      <c r="L2631" s="26"/>
    </row>
    <row r="2632" spans="1:12">
      <c r="A2632" s="20" t="s">
        <v>1229</v>
      </c>
      <c r="E2632" s="21">
        <f>IF(D2632="?OLD","!!!","")</f>
        <v/>
      </c>
      <c r="F2632" s="22" t="str">
        <f>IF(OR(E2632="",E2632="!!!"),"",IF(NOT(ISNA(VLOOKUP(E2632,E$1:E2631,1,FALSE()))),"OLD",IF(AND(E2632&lt;&gt;"",E2632&lt;&gt;"!!!"),"NEW","")))</f>
        <v> </v>
      </c>
      <c r="G2632" s="23" t="str">
        <f>IF(OR(E2632="",E2632="!!!"),"",IF(OR(J2632=0,AND(J2632=1,K2632=1),AND(J2632=1,I2632="SBJ"),AND(J2632=1,I2632=0)),"?IN_FOCUS",IF(J2632&lt;=2,"?ACTIVATED",IF(J2632&lt;&gt;"","?FAMILIAR",IF(F2632="NEW",IF(ISNA(VLOOKUP(E2632,#REF!,1,FALSE())),"?TYPE_IDENTIFIABLE","?REFERENTIAL"),"_")))))</f>
        <v> </v>
      </c>
      <c r="H2632" s="24" t="str">
        <f>IF(J2632&lt;&gt;1,"",IF(I2632="SBJ","CB","?"))</f>
        <v> </v>
      </c>
      <c r="I2632" s="25" t="str">
        <f>IF(OR(E2632="",E2632="!!!",F2632="NEW"),"",INDEX(B2631:B$2,-1+SUMPRODUCT(MAX(ROW(E2631:E$2)*(E2632=E2631:E$2)))))</f>
        <v> </v>
      </c>
      <c r="J2632" s="25" t="str">
        <f>IF(OR(E2632="",E2632="!!!",F2632="NEW"),"",COUNTBLANK(OFFSET(A$1,,,SUMPRODUCT(MAX(ROW(E$2:E2632)*(E2632=E$2:E2632)))))-COUNTBLANK(OFFSET(A$1,,,SUMPRODUCT(MAX(ROW(E$1:E2631)*(E2=E$1:E2631))))))</f>
        <v> </v>
      </c>
      <c r="K2632" s="25" t="str">
        <f>IF(OR(E2632="",E2632="!!!",F2632="NEW"),"",INDEX(J$1:J2631,SUMPRODUCT(MAX(ROW(E$1:E2631)*(E2632=E$1:E2631)))))</f>
        <v> </v>
      </c>
      <c r="L2632" s="26"/>
    </row>
    <row r="2633" spans="1:12">
      <c r="A2633" s="20" t="s">
        <v>1134</v>
      </c>
      <c r="E2633" s="21">
        <f>IF(D2633="?OLD","!!!","")</f>
        <v/>
      </c>
      <c r="F2633" s="22" t="str">
        <f>IF(OR(E2633="",E2633="!!!"),"",IF(NOT(ISNA(VLOOKUP(E2633,E$1:E2632,1,FALSE()))),"OLD",IF(AND(E2633&lt;&gt;"",E2633&lt;&gt;"!!!"),"NEW","")))</f>
        <v> </v>
      </c>
      <c r="G2633" s="23" t="str">
        <f>IF(OR(E2633="",E2633="!!!"),"",IF(OR(J2633=0,AND(J2633=1,K2633=1),AND(J2633=1,I2633="SBJ"),AND(J2633=1,I2633=0)),"?IN_FOCUS",IF(J2633&lt;=2,"?ACTIVATED",IF(J2633&lt;&gt;"","?FAMILIAR",IF(F2633="NEW",IF(ISNA(VLOOKUP(E2633,#REF!,1,FALSE())),"?TYPE_IDENTIFIABLE","?REFERENTIAL"),"_")))))</f>
        <v> </v>
      </c>
      <c r="H2633" s="24" t="str">
        <f>IF(J2633&lt;&gt;1,"",IF(I2633="SBJ","CB","?"))</f>
        <v> </v>
      </c>
      <c r="I2633" s="25" t="str">
        <f>IF(OR(E2633="",E2633="!!!",F2633="NEW"),"",INDEX(B2632:B$2,-1+SUMPRODUCT(MAX(ROW(E2632:E$2)*(E2633=E2632:E$2)))))</f>
        <v> </v>
      </c>
      <c r="J2633" s="25" t="str">
        <f>IF(OR(E2633="",E2633="!!!",F2633="NEW"),"",COUNTBLANK(OFFSET(A$1,,,SUMPRODUCT(MAX(ROW(E$2:E2633)*(E2633=E$2:E2633)))))-COUNTBLANK(OFFSET(A$1,,,SUMPRODUCT(MAX(ROW(E$1:E2632)*(E2=E$1:E2632))))))</f>
        <v> </v>
      </c>
      <c r="K2633" s="25" t="str">
        <f>IF(OR(E2633="",E2633="!!!",F2633="NEW"),"",INDEX(J$1:J2632,SUMPRODUCT(MAX(ROW(E$1:E2632)*(E2633=E$1:E2632)))))</f>
        <v> </v>
      </c>
      <c r="L2633" s="26"/>
    </row>
    <row r="2634" spans="1:12">
      <c r="A2634" s="20" t="s">
        <v>167</v>
      </c>
      <c r="E2634" s="21">
        <f>IF(D2634="?OLD","!!!","")</f>
        <v/>
      </c>
      <c r="F2634" s="22" t="str">
        <f>IF(OR(E2634="",E2634="!!!"),"",IF(NOT(ISNA(VLOOKUP(E2634,E$1:E2633,1,FALSE()))),"OLD",IF(AND(E2634&lt;&gt;"",E2634&lt;&gt;"!!!"),"NEW","")))</f>
        <v> </v>
      </c>
      <c r="G2634" s="23" t="str">
        <f>IF(OR(E2634="",E2634="!!!"),"",IF(OR(J2634=0,AND(J2634=1,K2634=1),AND(J2634=1,I2634="SBJ"),AND(J2634=1,I2634=0)),"?IN_FOCUS",IF(J2634&lt;=2,"?ACTIVATED",IF(J2634&lt;&gt;"","?FAMILIAR",IF(F2634="NEW",IF(ISNA(VLOOKUP(E2634,#REF!,1,FALSE())),"?TYPE_IDENTIFIABLE","?REFERENTIAL"),"_")))))</f>
        <v> </v>
      </c>
      <c r="H2634" s="24" t="str">
        <f>IF(J2634&lt;&gt;1,"",IF(I2634="SBJ","CB","?"))</f>
        <v> </v>
      </c>
      <c r="I2634" s="25" t="str">
        <f>IF(OR(E2634="",E2634="!!!",F2634="NEW"),"",INDEX(B2633:B$2,-1+SUMPRODUCT(MAX(ROW(E2633:E$2)*(E2634=E2633:E$2)))))</f>
        <v> </v>
      </c>
      <c r="J2634" s="25" t="str">
        <f>IF(OR(E2634="",E2634="!!!",F2634="NEW"),"",COUNTBLANK(OFFSET(A$1,,,SUMPRODUCT(MAX(ROW(E$2:E2634)*(E2634=E$2:E2634)))))-COUNTBLANK(OFFSET(A$1,,,SUMPRODUCT(MAX(ROW(E$1:E2633)*(E2=E$1:E2633))))))</f>
        <v> </v>
      </c>
      <c r="K2634" s="25" t="str">
        <f>IF(OR(E2634="",E2634="!!!",F2634="NEW"),"",INDEX(J$1:J2633,SUMPRODUCT(MAX(ROW(E$1:E2633)*(E2634=E$1:E2633)))))</f>
        <v> </v>
      </c>
      <c r="L2634" s="26"/>
    </row>
    <row r="2635" spans="1:12">
      <c r="A2635" s="20" t="s">
        <v>2359</v>
      </c>
      <c r="E2635" s="21">
        <f>IF(D2635="?OLD","!!!","")</f>
        <v/>
      </c>
      <c r="F2635" s="22" t="str">
        <f>IF(OR(E2635="",E2635="!!!"),"",IF(NOT(ISNA(VLOOKUP(E2635,E$1:E2634,1,FALSE()))),"OLD",IF(AND(E2635&lt;&gt;"",E2635&lt;&gt;"!!!"),"NEW","")))</f>
        <v> </v>
      </c>
      <c r="G2635" s="23" t="str">
        <f>IF(OR(E2635="",E2635="!!!"),"",IF(OR(J2635=0,AND(J2635=1,K2635=1),AND(J2635=1,I2635="SBJ"),AND(J2635=1,I2635=0)),"?IN_FOCUS",IF(J2635&lt;=2,"?ACTIVATED",IF(J2635&lt;&gt;"","?FAMILIAR",IF(F2635="NEW",IF(ISNA(VLOOKUP(E2635,#REF!,1,FALSE())),"?TYPE_IDENTIFIABLE","?REFERENTIAL"),"_")))))</f>
        <v> </v>
      </c>
      <c r="H2635" s="24" t="str">
        <f>IF(J2635&lt;&gt;1,"",IF(I2635="SBJ","CB","?"))</f>
        <v> </v>
      </c>
      <c r="I2635" s="25" t="str">
        <f>IF(OR(E2635="",E2635="!!!",F2635="NEW"),"",INDEX(B2634:B$2,-1+SUMPRODUCT(MAX(ROW(E2634:E$2)*(E2635=E2634:E$2)))))</f>
        <v> </v>
      </c>
      <c r="J2635" s="25" t="str">
        <f>IF(OR(E2635="",E2635="!!!",F2635="NEW"),"",COUNTBLANK(OFFSET(A$1,,,SUMPRODUCT(MAX(ROW(E$2:E2635)*(E2635=E$2:E2635)))))-COUNTBLANK(OFFSET(A$1,,,SUMPRODUCT(MAX(ROW(E$1:E2634)*(E2=E$1:E2634))))))</f>
        <v> </v>
      </c>
      <c r="K2635" s="25" t="str">
        <f>IF(OR(E2635="",E2635="!!!",F2635="NEW"),"",INDEX(J$1:J2634,SUMPRODUCT(MAX(ROW(E$1:E2634)*(E2635=E$1:E2634)))))</f>
        <v> </v>
      </c>
      <c r="L2635" s="26"/>
    </row>
    <row r="2636" spans="1:12">
      <c r="A2636" s="20" t="s">
        <v>1128</v>
      </c>
      <c r="E2636" s="21">
        <f>IF(D2636="?OLD","!!!","")</f>
        <v/>
      </c>
      <c r="F2636" s="22" t="str">
        <f>IF(OR(E2636="",E2636="!!!"),"",IF(NOT(ISNA(VLOOKUP(E2636,E$1:E2635,1,FALSE()))),"OLD",IF(AND(E2636&lt;&gt;"",E2636&lt;&gt;"!!!"),"NEW","")))</f>
        <v> </v>
      </c>
      <c r="G2636" s="23" t="str">
        <f>IF(OR(E2636="",E2636="!!!"),"",IF(OR(J2636=0,AND(J2636=1,K2636=1),AND(J2636=1,I2636="SBJ"),AND(J2636=1,I2636=0)),"?IN_FOCUS",IF(J2636&lt;=2,"?ACTIVATED",IF(J2636&lt;&gt;"","?FAMILIAR",IF(F2636="NEW",IF(ISNA(VLOOKUP(E2636,#REF!,1,FALSE())),"?TYPE_IDENTIFIABLE","?REFERENTIAL"),"_")))))</f>
        <v> </v>
      </c>
      <c r="H2636" s="24" t="str">
        <f>IF(J2636&lt;&gt;1,"",IF(I2636="SBJ","CB","?"))</f>
        <v> </v>
      </c>
      <c r="I2636" s="25" t="str">
        <f>IF(OR(E2636="",E2636="!!!",F2636="NEW"),"",INDEX(B2635:B$2,-1+SUMPRODUCT(MAX(ROW(E2635:E$2)*(E2636=E2635:E$2)))))</f>
        <v> </v>
      </c>
      <c r="J2636" s="25" t="str">
        <f>IF(OR(E2636="",E2636="!!!",F2636="NEW"),"",COUNTBLANK(OFFSET(A$1,,,SUMPRODUCT(MAX(ROW(E$2:E2636)*(E2636=E$2:E2636)))))-COUNTBLANK(OFFSET(A$1,,,SUMPRODUCT(MAX(ROW(E$1:E2635)*(E2=E$1:E2635))))))</f>
        <v> </v>
      </c>
      <c r="K2636" s="25" t="str">
        <f>IF(OR(E2636="",E2636="!!!",F2636="NEW"),"",INDEX(J$1:J2635,SUMPRODUCT(MAX(ROW(E$1:E2635)*(E2636=E$1:E2635)))))</f>
        <v> </v>
      </c>
      <c r="L2636" s="26"/>
    </row>
    <row r="2637" spans="1:12">
      <c r="A2637" s="20" t="s">
        <v>1258</v>
      </c>
      <c r="E2637" s="21">
        <f>IF(D2637="?OLD","!!!","")</f>
        <v/>
      </c>
      <c r="F2637" s="22" t="str">
        <f>IF(OR(E2637="",E2637="!!!"),"",IF(NOT(ISNA(VLOOKUP(E2637,E$1:E2636,1,FALSE()))),"OLD",IF(AND(E2637&lt;&gt;"",E2637&lt;&gt;"!!!"),"NEW","")))</f>
        <v> </v>
      </c>
      <c r="G2637" s="23" t="str">
        <f>IF(OR(E2637="",E2637="!!!"),"",IF(OR(J2637=0,AND(J2637=1,K2637=1),AND(J2637=1,I2637="SBJ"),AND(J2637=1,I2637=0)),"?IN_FOCUS",IF(J2637&lt;=2,"?ACTIVATED",IF(J2637&lt;&gt;"","?FAMILIAR",IF(F2637="NEW",IF(ISNA(VLOOKUP(E2637,#REF!,1,FALSE())),"?TYPE_IDENTIFIABLE","?REFERENTIAL"),"_")))))</f>
        <v> </v>
      </c>
      <c r="H2637" s="24" t="str">
        <f>IF(J2637&lt;&gt;1,"",IF(I2637="SBJ","CB","?"))</f>
        <v> </v>
      </c>
      <c r="I2637" s="25" t="str">
        <f>IF(OR(E2637="",E2637="!!!",F2637="NEW"),"",INDEX(B2636:B$2,-1+SUMPRODUCT(MAX(ROW(E2636:E$2)*(E2637=E2636:E$2)))))</f>
        <v> </v>
      </c>
      <c r="J2637" s="25" t="str">
        <f>IF(OR(E2637="",E2637="!!!",F2637="NEW"),"",COUNTBLANK(OFFSET(A$1,,,SUMPRODUCT(MAX(ROW(E$2:E2637)*(E2637=E$2:E2637)))))-COUNTBLANK(OFFSET(A$1,,,SUMPRODUCT(MAX(ROW(E$1:E2636)*(E2=E$1:E2636))))))</f>
        <v> </v>
      </c>
      <c r="K2637" s="25" t="str">
        <f>IF(OR(E2637="",E2637="!!!",F2637="NEW"),"",INDEX(J$1:J2636,SUMPRODUCT(MAX(ROW(E$1:E2636)*(E2637=E$1:E2636)))))</f>
        <v> </v>
      </c>
      <c r="L2637" s="26"/>
    </row>
    <row r="2638" spans="1:12">
      <c r="A2638" s="20" t="s">
        <v>1123</v>
      </c>
      <c r="E2638" s="21">
        <f>IF(D2638="?OLD","!!!","")</f>
        <v/>
      </c>
      <c r="F2638" s="22" t="str">
        <f>IF(OR(E2638="",E2638="!!!"),"",IF(NOT(ISNA(VLOOKUP(E2638,E$1:E2637,1,FALSE()))),"OLD",IF(AND(E2638&lt;&gt;"",E2638&lt;&gt;"!!!"),"NEW","")))</f>
        <v> </v>
      </c>
      <c r="G2638" s="23" t="str">
        <f>IF(OR(E2638="",E2638="!!!"),"",IF(OR(J2638=0,AND(J2638=1,K2638=1),AND(J2638=1,I2638="SBJ"),AND(J2638=1,I2638=0)),"?IN_FOCUS",IF(J2638&lt;=2,"?ACTIVATED",IF(J2638&lt;&gt;"","?FAMILIAR",IF(F2638="NEW",IF(ISNA(VLOOKUP(E2638,#REF!,1,FALSE())),"?TYPE_IDENTIFIABLE","?REFERENTIAL"),"_")))))</f>
        <v> </v>
      </c>
      <c r="H2638" s="24" t="str">
        <f>IF(J2638&lt;&gt;1,"",IF(I2638="SBJ","CB","?"))</f>
        <v> </v>
      </c>
      <c r="I2638" s="25" t="str">
        <f>IF(OR(E2638="",E2638="!!!",F2638="NEW"),"",INDEX(B2637:B$2,-1+SUMPRODUCT(MAX(ROW(E2637:E$2)*(E2638=E2637:E$2)))))</f>
        <v> </v>
      </c>
      <c r="J2638" s="25" t="str">
        <f>IF(OR(E2638="",E2638="!!!",F2638="NEW"),"",COUNTBLANK(OFFSET(A$1,,,SUMPRODUCT(MAX(ROW(E$2:E2638)*(E2638=E$2:E2638)))))-COUNTBLANK(OFFSET(A$1,,,SUMPRODUCT(MAX(ROW(E$1:E2637)*(E2=E$1:E2637))))))</f>
        <v> </v>
      </c>
      <c r="K2638" s="25" t="str">
        <f>IF(OR(E2638="",E2638="!!!",F2638="NEW"),"",INDEX(J$1:J2637,SUMPRODUCT(MAX(ROW(E$1:E2637)*(E2638=E$1:E2637)))))</f>
        <v> </v>
      </c>
      <c r="L2638" s="26"/>
    </row>
    <row r="2639" spans="1:12">
      <c r="A2639" s="20" t="s">
        <v>135</v>
      </c>
      <c r="E2639" s="21">
        <f>IF(D2639="?OLD","!!!","")</f>
        <v/>
      </c>
      <c r="F2639" s="22" t="str">
        <f>IF(OR(E2639="",E2639="!!!"),"",IF(NOT(ISNA(VLOOKUP(E2639,E$1:E2638,1,FALSE()))),"OLD",IF(AND(E2639&lt;&gt;"",E2639&lt;&gt;"!!!"),"NEW","")))</f>
        <v> </v>
      </c>
      <c r="G2639" s="23" t="str">
        <f>IF(OR(E2639="",E2639="!!!"),"",IF(OR(J2639=0,AND(J2639=1,K2639=1),AND(J2639=1,I2639="SBJ"),AND(J2639=1,I2639=0)),"?IN_FOCUS",IF(J2639&lt;=2,"?ACTIVATED",IF(J2639&lt;&gt;"","?FAMILIAR",IF(F2639="NEW",IF(ISNA(VLOOKUP(E2639,#REF!,1,FALSE())),"?TYPE_IDENTIFIABLE","?REFERENTIAL"),"_")))))</f>
        <v> </v>
      </c>
      <c r="H2639" s="24" t="str">
        <f>IF(J2639&lt;&gt;1,"",IF(I2639="SBJ","CB","?"))</f>
        <v> </v>
      </c>
      <c r="I2639" s="25" t="str">
        <f>IF(OR(E2639="",E2639="!!!",F2639="NEW"),"",INDEX(B2638:B$2,-1+SUMPRODUCT(MAX(ROW(E2638:E$2)*(E2639=E2638:E$2)))))</f>
        <v> </v>
      </c>
      <c r="J2639" s="25" t="str">
        <f>IF(OR(E2639="",E2639="!!!",F2639="NEW"),"",COUNTBLANK(OFFSET(A$1,,,SUMPRODUCT(MAX(ROW(E$2:E2639)*(E2639=E$2:E2639)))))-COUNTBLANK(OFFSET(A$1,,,SUMPRODUCT(MAX(ROW(E$1:E2638)*(E2=E$1:E2638))))))</f>
        <v> </v>
      </c>
      <c r="K2639" s="25" t="str">
        <f>IF(OR(E2639="",E2639="!!!",F2639="NEW"),"",INDEX(J$1:J2638,SUMPRODUCT(MAX(ROW(E$1:E2638)*(E2639=E$1:E2638)))))</f>
        <v> </v>
      </c>
      <c r="L2639" s="26"/>
    </row>
    <row r="2640" spans="1:12">
      <c r="A2640" s="20" t="s">
        <v>2360</v>
      </c>
      <c r="B2640" s="27" t="s">
        <v>1259</v>
      </c>
      <c r="E2640" s="21">
        <f>IF(D2640="?OLD","!!!","")</f>
        <v/>
      </c>
      <c r="F2640" s="22" t="str">
        <f>IF(OR(E2640="",E2640="!!!"),"",IF(NOT(ISNA(VLOOKUP(E2640,E$1:E2639,1,FALSE()))),"OLD",IF(AND(E2640&lt;&gt;"",E2640&lt;&gt;"!!!"),"NEW","")))</f>
        <v> </v>
      </c>
      <c r="G2640" s="23" t="str">
        <f>IF(OR(E2640="",E2640="!!!"),"",IF(OR(J2640=0,AND(J2640=1,K2640=1),AND(J2640=1,I2640="SBJ"),AND(J2640=1,I2640=0)),"?IN_FOCUS",IF(J2640&lt;=2,"?ACTIVATED",IF(J2640&lt;&gt;"","?FAMILIAR",IF(F2640="NEW",IF(ISNA(VLOOKUP(E2640,#REF!,1,FALSE())),"?TYPE_IDENTIFIABLE","?REFERENTIAL"),"_")))))</f>
        <v> </v>
      </c>
      <c r="H2640" s="24" t="str">
        <f>IF(J2640&lt;&gt;1,"",IF(I2640="SBJ","CB","?"))</f>
        <v> </v>
      </c>
      <c r="I2640" s="25" t="str">
        <f>IF(OR(E2640="",E2640="!!!",F2640="NEW"),"",INDEX(B2639:B$2,-1+SUMPRODUCT(MAX(ROW(E2639:E$2)*(E2640=E2639:E$2)))))</f>
        <v> </v>
      </c>
      <c r="J2640" s="25" t="str">
        <f>IF(OR(E2640="",E2640="!!!",F2640="NEW"),"",COUNTBLANK(OFFSET(A$1,,,SUMPRODUCT(MAX(ROW(E$2:E2640)*(E2640=E$2:E2640)))))-COUNTBLANK(OFFSET(A$1,,,SUMPRODUCT(MAX(ROW(E$1:E2639)*(E2=E$1:E2639))))))</f>
        <v> </v>
      </c>
      <c r="K2640" s="25" t="str">
        <f>IF(OR(E2640="",E2640="!!!",F2640="NEW"),"",INDEX(J$1:J2639,SUMPRODUCT(MAX(ROW(E$1:E2639)*(E2640=E$1:E2639)))))</f>
        <v> </v>
      </c>
      <c r="L2640" s="26"/>
    </row>
    <row r="2641" spans="1:12">
      <c r="A2641" s="20" t="s">
        <v>2361</v>
      </c>
      <c r="E2641" s="21">
        <f>IF(D2641="?OLD","!!!","")</f>
        <v/>
      </c>
      <c r="F2641" s="22" t="str">
        <f>IF(OR(E2641="",E2641="!!!"),"",IF(NOT(ISNA(VLOOKUP(E2641,E$1:E2640,1,FALSE()))),"OLD",IF(AND(E2641&lt;&gt;"",E2641&lt;&gt;"!!!"),"NEW","")))</f>
        <v> </v>
      </c>
      <c r="G2641" s="23" t="str">
        <f>IF(OR(E2641="",E2641="!!!"),"",IF(OR(J2641=0,AND(J2641=1,K2641=1),AND(J2641=1,I2641="SBJ"),AND(J2641=1,I2641=0)),"?IN_FOCUS",IF(J2641&lt;=2,"?ACTIVATED",IF(J2641&lt;&gt;"","?FAMILIAR",IF(F2641="NEW",IF(ISNA(VLOOKUP(E2641,#REF!,1,FALSE())),"?TYPE_IDENTIFIABLE","?REFERENTIAL"),"_")))))</f>
        <v> </v>
      </c>
      <c r="H2641" s="24" t="str">
        <f>IF(J2641&lt;&gt;1,"",IF(I2641="SBJ","CB","?"))</f>
        <v> </v>
      </c>
      <c r="I2641" s="25" t="str">
        <f>IF(OR(E2641="",E2641="!!!",F2641="NEW"),"",INDEX(B2640:B$2,-1+SUMPRODUCT(MAX(ROW(E2640:E$2)*(E2641=E2640:E$2)))))</f>
        <v> </v>
      </c>
      <c r="J2641" s="25" t="str">
        <f>IF(OR(E2641="",E2641="!!!",F2641="NEW"),"",COUNTBLANK(OFFSET(A$1,,,SUMPRODUCT(MAX(ROW(E$2:E2641)*(E2641=E$2:E2641)))))-COUNTBLANK(OFFSET(A$1,,,SUMPRODUCT(MAX(ROW(E$1:E2640)*(E2=E$1:E2640))))))</f>
        <v> </v>
      </c>
      <c r="K2641" s="25" t="str">
        <f>IF(OR(E2641="",E2641="!!!",F2641="NEW"),"",INDEX(J$1:J2640,SUMPRODUCT(MAX(ROW(E$1:E2640)*(E2641=E$1:E2640)))))</f>
        <v> </v>
      </c>
      <c r="L2641" s="26"/>
    </row>
    <row r="2642" spans="1:12">
      <c r="A2642" s="20" t="s">
        <v>1145</v>
      </c>
      <c r="E2642" s="21">
        <f>IF(D2642="?OLD","!!!","")</f>
        <v/>
      </c>
      <c r="F2642" s="22" t="str">
        <f>IF(OR(E2642="",E2642="!!!"),"",IF(NOT(ISNA(VLOOKUP(E2642,E$1:E2641,1,FALSE()))),"OLD",IF(AND(E2642&lt;&gt;"",E2642&lt;&gt;"!!!"),"NEW","")))</f>
        <v> </v>
      </c>
      <c r="G2642" s="23" t="str">
        <f>IF(OR(E2642="",E2642="!!!"),"",IF(OR(J2642=0,AND(J2642=1,K2642=1),AND(J2642=1,I2642="SBJ"),AND(J2642=1,I2642=0)),"?IN_FOCUS",IF(J2642&lt;=2,"?ACTIVATED",IF(J2642&lt;&gt;"","?FAMILIAR",IF(F2642="NEW",IF(ISNA(VLOOKUP(E2642,#REF!,1,FALSE())),"?TYPE_IDENTIFIABLE","?REFERENTIAL"),"_")))))</f>
        <v> </v>
      </c>
      <c r="H2642" s="24" t="str">
        <f>IF(J2642&lt;&gt;1,"",IF(I2642="SBJ","CB","?"))</f>
        <v> </v>
      </c>
      <c r="I2642" s="25" t="str">
        <f>IF(OR(E2642="",E2642="!!!",F2642="NEW"),"",INDEX(B2641:B$2,-1+SUMPRODUCT(MAX(ROW(E2641:E$2)*(E2642=E2641:E$2)))))</f>
        <v> </v>
      </c>
      <c r="J2642" s="25" t="str">
        <f>IF(OR(E2642="",E2642="!!!",F2642="NEW"),"",COUNTBLANK(OFFSET(A$1,,,SUMPRODUCT(MAX(ROW(E$2:E2642)*(E2642=E$2:E2642)))))-COUNTBLANK(OFFSET(A$1,,,SUMPRODUCT(MAX(ROW(E$1:E2641)*(E2=E$1:E2641))))))</f>
        <v> </v>
      </c>
      <c r="K2642" s="25" t="str">
        <f>IF(OR(E2642="",E2642="!!!",F2642="NEW"),"",INDEX(J$1:J2641,SUMPRODUCT(MAX(ROW(E$1:E2641)*(E2642=E$1:E2641)))))</f>
        <v> </v>
      </c>
      <c r="L2642" s="26"/>
    </row>
    <row r="2643" spans="1:12">
      <c r="A2643" s="20"/>
    </row>
    <row r="2644" spans="1:12">
      <c r="A2644" s="20" t="s">
        <v>2362</v>
      </c>
    </row>
    <row r="2645" spans="1:12">
      <c r="A2645" s="20" t="s">
        <v>1111</v>
      </c>
      <c r="E2645" s="21">
        <f>IF(D2645="?OLD","!!!","")</f>
        <v/>
      </c>
      <c r="F2645" s="22" t="str">
        <f>IF(OR(E2645="",E2645="!!!"),"",IF(NOT(ISNA(VLOOKUP(E2645,E$1:E2644,1,FALSE()))),"OLD",IF(AND(E2645&lt;&gt;"",E2645&lt;&gt;"!!!"),"NEW","")))</f>
        <v> </v>
      </c>
      <c r="G2645" s="23" t="str">
        <f>IF(OR(E2645="",E2645="!!!"),"",IF(OR(J2645=0,AND(J2645=1,K2645=1),AND(J2645=1,I2645="SBJ"),AND(J2645=1,I2645=0)),"?IN_FOCUS",IF(J2645&lt;=2,"?ACTIVATED",IF(J2645&lt;&gt;"","?FAMILIAR",IF(F2645="NEW",IF(ISNA(VLOOKUP(E2645,#REF!,1,FALSE())),"?TYPE_IDENTIFIABLE","?REFERENTIAL"),"_")))))</f>
        <v> </v>
      </c>
      <c r="H2645" s="24" t="str">
        <f>IF(J2645&lt;&gt;1,"",IF(I2645="SBJ","CB","?"))</f>
        <v> </v>
      </c>
      <c r="I2645" s="25" t="str">
        <f>IF(OR(E2645="",E2645="!!!",F2645="NEW"),"",INDEX(B2644:B$2,-1+SUMPRODUCT(MAX(ROW(E2644:E$2)*(E2645=E2644:E$2)))))</f>
        <v> </v>
      </c>
      <c r="J2645" s="25" t="str">
        <f>IF(OR(E2645="",E2645="!!!",F2645="NEW"),"",COUNTBLANK(OFFSET(A$1,,,SUMPRODUCT(MAX(ROW(E$2:E2645)*(E2645=E$2:E2645)))))-COUNTBLANK(OFFSET(A$1,,,SUMPRODUCT(MAX(ROW(E$1:E2644)*(E2=E$1:E2644))))))</f>
        <v> </v>
      </c>
      <c r="K2645" s="25" t="str">
        <f>IF(OR(E2645="",E2645="!!!",F2645="NEW"),"",INDEX(J$1:J2644,SUMPRODUCT(MAX(ROW(E$1:E2644)*(E2645=E$1:E2644)))))</f>
        <v> </v>
      </c>
      <c r="L2645" s="26"/>
    </row>
    <row r="2646" spans="1:12">
      <c r="A2646" s="20" t="s">
        <v>1873</v>
      </c>
      <c r="E2646" s="21">
        <f>IF(D2646="?OLD","!!!","")</f>
        <v/>
      </c>
      <c r="F2646" s="22" t="str">
        <f>IF(OR(E2646="",E2646="!!!"),"",IF(NOT(ISNA(VLOOKUP(E2646,E$1:E2645,1,FALSE()))),"OLD",IF(AND(E2646&lt;&gt;"",E2646&lt;&gt;"!!!"),"NEW","")))</f>
        <v> </v>
      </c>
      <c r="G2646" s="23" t="str">
        <f>IF(OR(E2646="",E2646="!!!"),"",IF(OR(J2646=0,AND(J2646=1,K2646=1),AND(J2646=1,I2646="SBJ"),AND(J2646=1,I2646=0)),"?IN_FOCUS",IF(J2646&lt;=2,"?ACTIVATED",IF(J2646&lt;&gt;"","?FAMILIAR",IF(F2646="NEW",IF(ISNA(VLOOKUP(E2646,#REF!,1,FALSE())),"?TYPE_IDENTIFIABLE","?REFERENTIAL"),"_")))))</f>
        <v> </v>
      </c>
      <c r="H2646" s="24" t="str">
        <f>IF(J2646&lt;&gt;1,"",IF(I2646="SBJ","CB","?"))</f>
        <v> </v>
      </c>
      <c r="I2646" s="25" t="str">
        <f>IF(OR(E2646="",E2646="!!!",F2646="NEW"),"",INDEX(B2645:B$2,-1+SUMPRODUCT(MAX(ROW(E2645:E$2)*(E2646=E2645:E$2)))))</f>
        <v> </v>
      </c>
      <c r="J2646" s="25" t="str">
        <f>IF(OR(E2646="",E2646="!!!",F2646="NEW"),"",COUNTBLANK(OFFSET(A$1,,,SUMPRODUCT(MAX(ROW(E$2:E2646)*(E2646=E$2:E2646)))))-COUNTBLANK(OFFSET(A$1,,,SUMPRODUCT(MAX(ROW(E$1:E2645)*(E2=E$1:E2645))))))</f>
        <v> </v>
      </c>
      <c r="K2646" s="25" t="str">
        <f>IF(OR(E2646="",E2646="!!!",F2646="NEW"),"",INDEX(J$1:J2645,SUMPRODUCT(MAX(ROW(E$1:E2645)*(E2646=E$1:E2645)))))</f>
        <v> </v>
      </c>
      <c r="L2646" s="26"/>
    </row>
    <row r="2647" spans="1:12">
      <c r="A2647" s="20" t="s">
        <v>135</v>
      </c>
      <c r="B2647" s="27" t="s">
        <v>1103</v>
      </c>
      <c r="C2647" s="27" t="s">
        <v>1133</v>
      </c>
      <c r="E2647" s="21">
        <f>IF(D2647="?OLD","!!!","")</f>
        <v/>
      </c>
      <c r="F2647" s="22" t="str">
        <f>IF(OR(E2647="",E2647="!!!"),"",IF(NOT(ISNA(VLOOKUP(E2647,E$1:E2646,1,FALSE()))),"OLD",IF(AND(E2647&lt;&gt;"",E2647&lt;&gt;"!!!"),"NEW","")))</f>
        <v> </v>
      </c>
      <c r="G2647" s="23" t="str">
        <f>IF(OR(E2647="",E2647="!!!"),"",IF(OR(J2647=0,AND(J2647=1,K2647=1),AND(J2647=1,I2647="SBJ"),AND(J2647=1,I2647=0)),"?IN_FOCUS",IF(J2647&lt;=2,"?ACTIVATED",IF(J2647&lt;&gt;"","?FAMILIAR",IF(F2647="NEW",IF(ISNA(VLOOKUP(E2647,#REF!,1,FALSE())),"?TYPE_IDENTIFIABLE","?REFERENTIAL"),"_")))))</f>
        <v> </v>
      </c>
      <c r="H2647" s="24" t="str">
        <f>IF(J2647&lt;&gt;1,"",IF(I2647="SBJ","CB","?"))</f>
        <v> </v>
      </c>
      <c r="I2647" s="25" t="str">
        <f>IF(OR(E2647="",E2647="!!!",F2647="NEW"),"",INDEX(B2646:B$2,-1+SUMPRODUCT(MAX(ROW(E2646:E$2)*(E2647=E2646:E$2)))))</f>
        <v> </v>
      </c>
      <c r="J2647" s="25" t="str">
        <f>IF(OR(E2647="",E2647="!!!",F2647="NEW"),"",COUNTBLANK(OFFSET(A$1,,,SUMPRODUCT(MAX(ROW(E$2:E2647)*(E2647=E$2:E2647)))))-COUNTBLANK(OFFSET(A$1,,,SUMPRODUCT(MAX(ROW(E$1:E2646)*(E2=E$1:E2646))))))</f>
        <v> </v>
      </c>
      <c r="K2647" s="25" t="str">
        <f>IF(OR(E2647="",E2647="!!!",F2647="NEW"),"",INDEX(J$1:J2646,SUMPRODUCT(MAX(ROW(E$1:E2646)*(E2647=E$1:E2646)))))</f>
        <v> </v>
      </c>
      <c r="L2647" s="26"/>
    </row>
    <row r="2648" spans="1:12">
      <c r="A2648" s="20" t="s">
        <v>1362</v>
      </c>
      <c r="B2648" s="27" t="s">
        <v>1149</v>
      </c>
      <c r="C2648" s="27" t="s">
        <v>1126</v>
      </c>
      <c r="D2648" s="27" t="s">
        <v>1105</v>
      </c>
      <c r="E2648" s="21">
        <f>IF(D2648="?OLD","!!!","")</f>
        <v/>
      </c>
      <c r="F2648" s="22" t="str">
        <f>IF(OR(E2648="",E2648="!!!"),"",IF(NOT(ISNA(VLOOKUP(E2648,E$1:E2647,1,FALSE()))),"OLD",IF(AND(E2648&lt;&gt;"",E2648&lt;&gt;"!!!"),"NEW","")))</f>
        <v> </v>
      </c>
      <c r="G2648" s="23" t="str">
        <f>IF(OR(E2648="",E2648="!!!"),"",IF(OR(J2648=0,AND(J2648=1,K2648=1),AND(J2648=1,I2648="SBJ"),AND(J2648=1,I2648=0)),"?IN_FOCUS",IF(J2648&lt;=2,"?ACTIVATED",IF(J2648&lt;&gt;"","?FAMILIAR",IF(F2648="NEW",IF(ISNA(VLOOKUP(E2648,#REF!,1,FALSE())),"?TYPE_IDENTIFIABLE","?REFERENTIAL"),"_")))))</f>
        <v> </v>
      </c>
      <c r="H2648" s="24" t="str">
        <f>IF(J2648&lt;&gt;1,"",IF(I2648="SBJ","CB","?"))</f>
        <v> </v>
      </c>
      <c r="I2648" s="25" t="str">
        <f>IF(OR(E2648="",E2648="!!!",F2648="NEW"),"",INDEX(B2647:B$2,-1+SUMPRODUCT(MAX(ROW(E2647:E$2)*(E2648=E2647:E$2)))))</f>
        <v> </v>
      </c>
      <c r="J2648" s="25" t="str">
        <f>IF(OR(E2648="",E2648="!!!",F2648="NEW"),"",COUNTBLANK(OFFSET(A$1,,,SUMPRODUCT(MAX(ROW(E$2:E2648)*(E2648=E$2:E2648)))))-COUNTBLANK(OFFSET(A$1,,,SUMPRODUCT(MAX(ROW(E$1:E2647)*(E2=E$1:E2647))))))</f>
        <v> </v>
      </c>
      <c r="K2648" s="25" t="str">
        <f>IF(OR(E2648="",E2648="!!!",F2648="NEW"),"",INDEX(J$1:J2647,SUMPRODUCT(MAX(ROW(E$1:E2647)*(E2648=E$1:E2647)))))</f>
        <v> </v>
      </c>
      <c r="L2648" s="26"/>
    </row>
    <row r="2649" spans="1:12">
      <c r="A2649" s="20" t="s">
        <v>1351</v>
      </c>
      <c r="E2649" s="21">
        <f>IF(D2649="?OLD","!!!","")</f>
        <v/>
      </c>
      <c r="F2649" s="22" t="str">
        <f>IF(OR(E2649="",E2649="!!!"),"",IF(NOT(ISNA(VLOOKUP(E2649,E$1:E2648,1,FALSE()))),"OLD",IF(AND(E2649&lt;&gt;"",E2649&lt;&gt;"!!!"),"NEW","")))</f>
        <v> </v>
      </c>
      <c r="G2649" s="23" t="str">
        <f>IF(OR(E2649="",E2649="!!!"),"",IF(OR(J2649=0,AND(J2649=1,K2649=1),AND(J2649=1,I2649="SBJ"),AND(J2649=1,I2649=0)),"?IN_FOCUS",IF(J2649&lt;=2,"?ACTIVATED",IF(J2649&lt;&gt;"","?FAMILIAR",IF(F2649="NEW",IF(ISNA(VLOOKUP(E2649,#REF!,1,FALSE())),"?TYPE_IDENTIFIABLE","?REFERENTIAL"),"_")))))</f>
        <v> </v>
      </c>
      <c r="H2649" s="24" t="str">
        <f>IF(J2649&lt;&gt;1,"",IF(I2649="SBJ","CB","?"))</f>
        <v> </v>
      </c>
      <c r="I2649" s="25" t="str">
        <f>IF(OR(E2649="",E2649="!!!",F2649="NEW"),"",INDEX(B2648:B$2,-1+SUMPRODUCT(MAX(ROW(E2648:E$2)*(E2649=E2648:E$2)))))</f>
        <v> </v>
      </c>
      <c r="J2649" s="25" t="str">
        <f>IF(OR(E2649="",E2649="!!!",F2649="NEW"),"",COUNTBLANK(OFFSET(A$1,,,SUMPRODUCT(MAX(ROW(E$2:E2649)*(E2649=E$2:E2649)))))-COUNTBLANK(OFFSET(A$1,,,SUMPRODUCT(MAX(ROW(E$1:E2648)*(E2=E$1:E2648))))))</f>
        <v> </v>
      </c>
      <c r="K2649" s="25" t="str">
        <f>IF(OR(E2649="",E2649="!!!",F2649="NEW"),"",INDEX(J$1:J2648,SUMPRODUCT(MAX(ROW(E$1:E2648)*(E2649=E$1:E2648)))))</f>
        <v> </v>
      </c>
      <c r="L2649" s="26"/>
    </row>
    <row r="2650" spans="1:12">
      <c r="A2650" s="20"/>
    </row>
    <row r="2651" spans="1:12">
      <c r="A2651" s="20" t="s">
        <v>2363</v>
      </c>
    </row>
    <row r="2652" spans="1:12">
      <c r="A2652" s="20" t="s">
        <v>1400</v>
      </c>
      <c r="B2652" s="27" t="s">
        <v>1149</v>
      </c>
      <c r="C2652" s="27" t="s">
        <v>1116</v>
      </c>
      <c r="D2652" s="27" t="s">
        <v>1105</v>
      </c>
      <c r="E2652" s="21">
        <f>IF(D2652="?OLD","!!!","")</f>
        <v/>
      </c>
      <c r="F2652" s="22" t="str">
        <f>IF(OR(E2652="",E2652="!!!"),"",IF(NOT(ISNA(VLOOKUP(E2652,E$1:E2651,1,FALSE()))),"OLD",IF(AND(E2652&lt;&gt;"",E2652&lt;&gt;"!!!"),"NEW","")))</f>
        <v> </v>
      </c>
      <c r="G2652" s="23" t="str">
        <f>IF(OR(E2652="",E2652="!!!"),"",IF(OR(J2652=0,AND(J2652=1,K2652=1),AND(J2652=1,I2652="SBJ"),AND(J2652=1,I2652=0)),"?IN_FOCUS",IF(J2652&lt;=2,"?ACTIVATED",IF(J2652&lt;&gt;"","?FAMILIAR",IF(F2652="NEW",IF(ISNA(VLOOKUP(E2652,#REF!,1,FALSE())),"?TYPE_IDENTIFIABLE","?REFERENTIAL"),"_")))))</f>
        <v> </v>
      </c>
      <c r="H2652" s="24" t="str">
        <f>IF(J2652&lt;&gt;1,"",IF(I2652="SBJ","CB","?"))</f>
        <v> </v>
      </c>
      <c r="I2652" s="25" t="str">
        <f>IF(OR(E2652="",E2652="!!!",F2652="NEW"),"",INDEX(B2651:B$2,-1+SUMPRODUCT(MAX(ROW(E2651:E$2)*(E2652=E2651:E$2)))))</f>
        <v> </v>
      </c>
      <c r="J2652" s="25" t="str">
        <f>IF(OR(E2652="",E2652="!!!",F2652="NEW"),"",COUNTBLANK(OFFSET(A$1,,,SUMPRODUCT(MAX(ROW(E$2:E2652)*(E2652=E$2:E2652)))))-COUNTBLANK(OFFSET(A$1,,,SUMPRODUCT(MAX(ROW(E$1:E2651)*(E2=E$1:E2651))))))</f>
        <v> </v>
      </c>
      <c r="K2652" s="25" t="str">
        <f>IF(OR(E2652="",E2652="!!!",F2652="NEW"),"",INDEX(J$1:J2651,SUMPRODUCT(MAX(ROW(E$1:E2651)*(E2652=E$1:E2651)))))</f>
        <v> </v>
      </c>
      <c r="L2652" s="26"/>
    </row>
    <row r="2653" spans="1:12">
      <c r="A2653" s="20" t="s">
        <v>1120</v>
      </c>
      <c r="E2653" s="21">
        <f>IF(D2653="?OLD","!!!","")</f>
        <v/>
      </c>
      <c r="F2653" s="22" t="str">
        <f>IF(OR(E2653="",E2653="!!!"),"",IF(NOT(ISNA(VLOOKUP(E2653,E$1:E2652,1,FALSE()))),"OLD",IF(AND(E2653&lt;&gt;"",E2653&lt;&gt;"!!!"),"NEW","")))</f>
        <v> </v>
      </c>
      <c r="G2653" s="23" t="str">
        <f>IF(OR(E2653="",E2653="!!!"),"",IF(OR(J2653=0,AND(J2653=1,K2653=1),AND(J2653=1,I2653="SBJ"),AND(J2653=1,I2653=0)),"?IN_FOCUS",IF(J2653&lt;=2,"?ACTIVATED",IF(J2653&lt;&gt;"","?FAMILIAR",IF(F2653="NEW",IF(ISNA(VLOOKUP(E2653,#REF!,1,FALSE())),"?TYPE_IDENTIFIABLE","?REFERENTIAL"),"_")))))</f>
        <v> </v>
      </c>
      <c r="H2653" s="24" t="str">
        <f>IF(J2653&lt;&gt;1,"",IF(I2653="SBJ","CB","?"))</f>
        <v> </v>
      </c>
      <c r="I2653" s="25" t="str">
        <f>IF(OR(E2653="",E2653="!!!",F2653="NEW"),"",INDEX(B2652:B$2,-1+SUMPRODUCT(MAX(ROW(E2652:E$2)*(E2653=E2652:E$2)))))</f>
        <v> </v>
      </c>
      <c r="J2653" s="25" t="str">
        <f>IF(OR(E2653="",E2653="!!!",F2653="NEW"),"",COUNTBLANK(OFFSET(A$1,,,SUMPRODUCT(MAX(ROW(E$2:E2653)*(E2653=E$2:E2653)))))-COUNTBLANK(OFFSET(A$1,,,SUMPRODUCT(MAX(ROW(E$1:E2652)*(E2=E$1:E2652))))))</f>
        <v> </v>
      </c>
      <c r="K2653" s="25" t="str">
        <f>IF(OR(E2653="",E2653="!!!",F2653="NEW"),"",INDEX(J$1:J2652,SUMPRODUCT(MAX(ROW(E$1:E2652)*(E2653=E$1:E2652)))))</f>
        <v> </v>
      </c>
      <c r="L2653" s="26"/>
    </row>
    <row r="2654" spans="1:12">
      <c r="A2654" s="20" t="s">
        <v>1864</v>
      </c>
      <c r="E2654" s="21">
        <f>IF(D2654="?OLD","!!!","")</f>
        <v/>
      </c>
      <c r="F2654" s="22" t="str">
        <f>IF(OR(E2654="",E2654="!!!"),"",IF(NOT(ISNA(VLOOKUP(E2654,E$1:E2653,1,FALSE()))),"OLD",IF(AND(E2654&lt;&gt;"",E2654&lt;&gt;"!!!"),"NEW","")))</f>
        <v> </v>
      </c>
      <c r="G2654" s="23" t="str">
        <f>IF(OR(E2654="",E2654="!!!"),"",IF(OR(J2654=0,AND(J2654=1,K2654=1),AND(J2654=1,I2654="SBJ"),AND(J2654=1,I2654=0)),"?IN_FOCUS",IF(J2654&lt;=2,"?ACTIVATED",IF(J2654&lt;&gt;"","?FAMILIAR",IF(F2654="NEW",IF(ISNA(VLOOKUP(E2654,#REF!,1,FALSE())),"?TYPE_IDENTIFIABLE","?REFERENTIAL"),"_")))))</f>
        <v> </v>
      </c>
      <c r="H2654" s="24" t="str">
        <f>IF(J2654&lt;&gt;1,"",IF(I2654="SBJ","CB","?"))</f>
        <v> </v>
      </c>
      <c r="I2654" s="25" t="str">
        <f>IF(OR(E2654="",E2654="!!!",F2654="NEW"),"",INDEX(B2653:B$2,-1+SUMPRODUCT(MAX(ROW(E2653:E$2)*(E2654=E2653:E$2)))))</f>
        <v> </v>
      </c>
      <c r="J2654" s="25" t="str">
        <f>IF(OR(E2654="",E2654="!!!",F2654="NEW"),"",COUNTBLANK(OFFSET(A$1,,,SUMPRODUCT(MAX(ROW(E$2:E2654)*(E2654=E$2:E2654)))))-COUNTBLANK(OFFSET(A$1,,,SUMPRODUCT(MAX(ROW(E$1:E2653)*(E2=E$1:E2653))))))</f>
        <v> </v>
      </c>
      <c r="K2654" s="25" t="str">
        <f>IF(OR(E2654="",E2654="!!!",F2654="NEW"),"",INDEX(J$1:J2653,SUMPRODUCT(MAX(ROW(E$1:E2653)*(E2654=E$1:E2653)))))</f>
        <v> </v>
      </c>
      <c r="L2654" s="26"/>
    </row>
    <row r="2655" spans="1:12">
      <c r="A2655" s="20" t="s">
        <v>1195</v>
      </c>
      <c r="E2655" s="21">
        <f>IF(D2655="?OLD","!!!","")</f>
        <v/>
      </c>
      <c r="F2655" s="22" t="str">
        <f>IF(OR(E2655="",E2655="!!!"),"",IF(NOT(ISNA(VLOOKUP(E2655,E$1:E2654,1,FALSE()))),"OLD",IF(AND(E2655&lt;&gt;"",E2655&lt;&gt;"!!!"),"NEW","")))</f>
        <v> </v>
      </c>
      <c r="G2655" s="23" t="str">
        <f>IF(OR(E2655="",E2655="!!!"),"",IF(OR(J2655=0,AND(J2655=1,K2655=1),AND(J2655=1,I2655="SBJ"),AND(J2655=1,I2655=0)),"?IN_FOCUS",IF(J2655&lt;=2,"?ACTIVATED",IF(J2655&lt;&gt;"","?FAMILIAR",IF(F2655="NEW",IF(ISNA(VLOOKUP(E2655,#REF!,1,FALSE())),"?TYPE_IDENTIFIABLE","?REFERENTIAL"),"_")))))</f>
        <v> </v>
      </c>
      <c r="H2655" s="24" t="str">
        <f>IF(J2655&lt;&gt;1,"",IF(I2655="SBJ","CB","?"))</f>
        <v> </v>
      </c>
      <c r="I2655" s="25" t="str">
        <f>IF(OR(E2655="",E2655="!!!",F2655="NEW"),"",INDEX(B2654:B$2,-1+SUMPRODUCT(MAX(ROW(E2654:E$2)*(E2655=E2654:E$2)))))</f>
        <v> </v>
      </c>
      <c r="J2655" s="25" t="str">
        <f>IF(OR(E2655="",E2655="!!!",F2655="NEW"),"",COUNTBLANK(OFFSET(A$1,,,SUMPRODUCT(MAX(ROW(E$2:E2655)*(E2655=E$2:E2655)))))-COUNTBLANK(OFFSET(A$1,,,SUMPRODUCT(MAX(ROW(E$1:E2654)*(E2=E$1:E2654))))))</f>
        <v> </v>
      </c>
      <c r="K2655" s="25" t="str">
        <f>IF(OR(E2655="",E2655="!!!",F2655="NEW"),"",INDEX(J$1:J2654,SUMPRODUCT(MAX(ROW(E$1:E2654)*(E2655=E$1:E2654)))))</f>
        <v> </v>
      </c>
      <c r="L2655" s="26"/>
    </row>
    <row r="2656" spans="1:12">
      <c r="A2656" s="20" t="s">
        <v>1726</v>
      </c>
      <c r="E2656" s="21">
        <f>IF(D2656="?OLD","!!!","")</f>
        <v/>
      </c>
      <c r="F2656" s="22" t="str">
        <f>IF(OR(E2656="",E2656="!!!"),"",IF(NOT(ISNA(VLOOKUP(E2656,E$1:E2655,1,FALSE()))),"OLD",IF(AND(E2656&lt;&gt;"",E2656&lt;&gt;"!!!"),"NEW","")))</f>
        <v> </v>
      </c>
      <c r="G2656" s="23" t="str">
        <f>IF(OR(E2656="",E2656="!!!"),"",IF(OR(J2656=0,AND(J2656=1,K2656=1),AND(J2656=1,I2656="SBJ"),AND(J2656=1,I2656=0)),"?IN_FOCUS",IF(J2656&lt;=2,"?ACTIVATED",IF(J2656&lt;&gt;"","?FAMILIAR",IF(F2656="NEW",IF(ISNA(VLOOKUP(E2656,#REF!,1,FALSE())),"?TYPE_IDENTIFIABLE","?REFERENTIAL"),"_")))))</f>
        <v> </v>
      </c>
      <c r="H2656" s="24" t="str">
        <f>IF(J2656&lt;&gt;1,"",IF(I2656="SBJ","CB","?"))</f>
        <v> </v>
      </c>
      <c r="I2656" s="25" t="str">
        <f>IF(OR(E2656="",E2656="!!!",F2656="NEW"),"",INDEX(B2655:B$2,-1+SUMPRODUCT(MAX(ROW(E2655:E$2)*(E2656=E2655:E$2)))))</f>
        <v> </v>
      </c>
      <c r="J2656" s="25" t="str">
        <f>IF(OR(E2656="",E2656="!!!",F2656="NEW"),"",COUNTBLANK(OFFSET(A$1,,,SUMPRODUCT(MAX(ROW(E$2:E2656)*(E2656=E$2:E2656)))))-COUNTBLANK(OFFSET(A$1,,,SUMPRODUCT(MAX(ROW(E$1:E2655)*(E2=E$1:E2655))))))</f>
        <v> </v>
      </c>
      <c r="K2656" s="25" t="str">
        <f>IF(OR(E2656="",E2656="!!!",F2656="NEW"),"",INDEX(J$1:J2655,SUMPRODUCT(MAX(ROW(E$1:E2655)*(E2656=E$1:E2655)))))</f>
        <v> </v>
      </c>
      <c r="L2656" s="26"/>
    </row>
    <row r="2657" spans="1:12">
      <c r="A2657" s="20" t="s">
        <v>1123</v>
      </c>
      <c r="E2657" s="21">
        <f>IF(D2657="?OLD","!!!","")</f>
        <v/>
      </c>
      <c r="F2657" s="22" t="str">
        <f>IF(OR(E2657="",E2657="!!!"),"",IF(NOT(ISNA(VLOOKUP(E2657,E$1:E2656,1,FALSE()))),"OLD",IF(AND(E2657&lt;&gt;"",E2657&lt;&gt;"!!!"),"NEW","")))</f>
        <v> </v>
      </c>
      <c r="G2657" s="23" t="str">
        <f>IF(OR(E2657="",E2657="!!!"),"",IF(OR(J2657=0,AND(J2657=1,K2657=1),AND(J2657=1,I2657="SBJ"),AND(J2657=1,I2657=0)),"?IN_FOCUS",IF(J2657&lt;=2,"?ACTIVATED",IF(J2657&lt;&gt;"","?FAMILIAR",IF(F2657="NEW",IF(ISNA(VLOOKUP(E2657,#REF!,1,FALSE())),"?TYPE_IDENTIFIABLE","?REFERENTIAL"),"_")))))</f>
        <v> </v>
      </c>
      <c r="H2657" s="24" t="str">
        <f>IF(J2657&lt;&gt;1,"",IF(I2657="SBJ","CB","?"))</f>
        <v> </v>
      </c>
      <c r="I2657" s="25" t="str">
        <f>IF(OR(E2657="",E2657="!!!",F2657="NEW"),"",INDEX(B2656:B$2,-1+SUMPRODUCT(MAX(ROW(E2656:E$2)*(E2657=E2656:E$2)))))</f>
        <v> </v>
      </c>
      <c r="J2657" s="25" t="str">
        <f>IF(OR(E2657="",E2657="!!!",F2657="NEW"),"",COUNTBLANK(OFFSET(A$1,,,SUMPRODUCT(MAX(ROW(E$2:E2657)*(E2657=E$2:E2657)))))-COUNTBLANK(OFFSET(A$1,,,SUMPRODUCT(MAX(ROW(E$1:E2656)*(E2=E$1:E2656))))))</f>
        <v> </v>
      </c>
      <c r="K2657" s="25" t="str">
        <f>IF(OR(E2657="",E2657="!!!",F2657="NEW"),"",INDEX(J$1:J2656,SUMPRODUCT(MAX(ROW(E$1:E2656)*(E2657=E$1:E2656)))))</f>
        <v> </v>
      </c>
      <c r="L2657" s="26"/>
    </row>
    <row r="2658" spans="1:12">
      <c r="A2658" s="20" t="s">
        <v>1271</v>
      </c>
      <c r="E2658" s="21">
        <f>IF(D2658="?OLD","!!!","")</f>
        <v/>
      </c>
      <c r="F2658" s="22" t="str">
        <f>IF(OR(E2658="",E2658="!!!"),"",IF(NOT(ISNA(VLOOKUP(E2658,E$1:E2657,1,FALSE()))),"OLD",IF(AND(E2658&lt;&gt;"",E2658&lt;&gt;"!!!"),"NEW","")))</f>
        <v> </v>
      </c>
      <c r="G2658" s="23" t="str">
        <f>IF(OR(E2658="",E2658="!!!"),"",IF(OR(J2658=0,AND(J2658=1,K2658=1),AND(J2658=1,I2658="SBJ"),AND(J2658=1,I2658=0)),"?IN_FOCUS",IF(J2658&lt;=2,"?ACTIVATED",IF(J2658&lt;&gt;"","?FAMILIAR",IF(F2658="NEW",IF(ISNA(VLOOKUP(E2658,#REF!,1,FALSE())),"?TYPE_IDENTIFIABLE","?REFERENTIAL"),"_")))))</f>
        <v> </v>
      </c>
      <c r="H2658" s="24" t="str">
        <f>IF(J2658&lt;&gt;1,"",IF(I2658="SBJ","CB","?"))</f>
        <v> </v>
      </c>
      <c r="I2658" s="25" t="str">
        <f>IF(OR(E2658="",E2658="!!!",F2658="NEW"),"",INDEX(B2657:B$2,-1+SUMPRODUCT(MAX(ROW(E2657:E$2)*(E2658=E2657:E$2)))))</f>
        <v> </v>
      </c>
      <c r="J2658" s="25" t="str">
        <f>IF(OR(E2658="",E2658="!!!",F2658="NEW"),"",COUNTBLANK(OFFSET(A$1,,,SUMPRODUCT(MAX(ROW(E$2:E2658)*(E2658=E$2:E2658)))))-COUNTBLANK(OFFSET(A$1,,,SUMPRODUCT(MAX(ROW(E$1:E2657)*(E2=E$1:E2657))))))</f>
        <v> </v>
      </c>
      <c r="K2658" s="25" t="str">
        <f>IF(OR(E2658="",E2658="!!!",F2658="NEW"),"",INDEX(J$1:J2657,SUMPRODUCT(MAX(ROW(E$1:E2657)*(E2658=E$1:E2657)))))</f>
        <v> </v>
      </c>
      <c r="L2658" s="26"/>
    </row>
    <row r="2659" spans="1:12">
      <c r="A2659" s="20" t="s">
        <v>2282</v>
      </c>
      <c r="B2659" s="27" t="s">
        <v>1107</v>
      </c>
      <c r="C2659" s="27" t="s">
        <v>1116</v>
      </c>
      <c r="D2659" s="27" t="s">
        <v>1105</v>
      </c>
      <c r="E2659" s="21">
        <f>IF(D2659="?OLD","!!!","")</f>
        <v/>
      </c>
      <c r="F2659" s="22" t="str">
        <f>IF(OR(E2659="",E2659="!!!"),"",IF(NOT(ISNA(VLOOKUP(E2659,E$1:E2658,1,FALSE()))),"OLD",IF(AND(E2659&lt;&gt;"",E2659&lt;&gt;"!!!"),"NEW","")))</f>
        <v> </v>
      </c>
      <c r="G2659" s="23" t="str">
        <f>IF(OR(E2659="",E2659="!!!"),"",IF(OR(J2659=0,AND(J2659=1,K2659=1),AND(J2659=1,I2659="SBJ"),AND(J2659=1,I2659=0)),"?IN_FOCUS",IF(J2659&lt;=2,"?ACTIVATED",IF(J2659&lt;&gt;"","?FAMILIAR",IF(F2659="NEW",IF(ISNA(VLOOKUP(E2659,#REF!,1,FALSE())),"?TYPE_IDENTIFIABLE","?REFERENTIAL"),"_")))))</f>
        <v> </v>
      </c>
      <c r="H2659" s="24" t="str">
        <f>IF(J2659&lt;&gt;1,"",IF(I2659="SBJ","CB","?"))</f>
        <v> </v>
      </c>
      <c r="I2659" s="25" t="str">
        <f>IF(OR(E2659="",E2659="!!!",F2659="NEW"),"",INDEX(B2658:B$2,-1+SUMPRODUCT(MAX(ROW(E2658:E$2)*(E2659=E2658:E$2)))))</f>
        <v> </v>
      </c>
      <c r="J2659" s="25" t="str">
        <f>IF(OR(E2659="",E2659="!!!",F2659="NEW"),"",COUNTBLANK(OFFSET(A$1,,,SUMPRODUCT(MAX(ROW(E$2:E2659)*(E2659=E$2:E2659)))))-COUNTBLANK(OFFSET(A$1,,,SUMPRODUCT(MAX(ROW(E$1:E2658)*(E2=E$1:E2658))))))</f>
        <v> </v>
      </c>
      <c r="K2659" s="25" t="str">
        <f>IF(OR(E2659="",E2659="!!!",F2659="NEW"),"",INDEX(J$1:J2658,SUMPRODUCT(MAX(ROW(E$1:E2658)*(E2659=E$1:E2658)))))</f>
        <v> </v>
      </c>
      <c r="L2659" s="26"/>
    </row>
    <row r="2660" spans="1:12">
      <c r="A2660" s="20" t="s">
        <v>1616</v>
      </c>
      <c r="E2660" s="21">
        <f>IF(D2660="?OLD","!!!","")</f>
        <v/>
      </c>
      <c r="F2660" s="22" t="str">
        <f>IF(OR(E2660="",E2660="!!!"),"",IF(NOT(ISNA(VLOOKUP(E2660,E$1:E2659,1,FALSE()))),"OLD",IF(AND(E2660&lt;&gt;"",E2660&lt;&gt;"!!!"),"NEW","")))</f>
        <v> </v>
      </c>
      <c r="G2660" s="23" t="str">
        <f>IF(OR(E2660="",E2660="!!!"),"",IF(OR(J2660=0,AND(J2660=1,K2660=1),AND(J2660=1,I2660="SBJ"),AND(J2660=1,I2660=0)),"?IN_FOCUS",IF(J2660&lt;=2,"?ACTIVATED",IF(J2660&lt;&gt;"","?FAMILIAR",IF(F2660="NEW",IF(ISNA(VLOOKUP(E2660,#REF!,1,FALSE())),"?TYPE_IDENTIFIABLE","?REFERENTIAL"),"_")))))</f>
        <v> </v>
      </c>
      <c r="H2660" s="24" t="str">
        <f>IF(J2660&lt;&gt;1,"",IF(I2660="SBJ","CB","?"))</f>
        <v> </v>
      </c>
      <c r="I2660" s="25" t="str">
        <f>IF(OR(E2660="",E2660="!!!",F2660="NEW"),"",INDEX(B2659:B$2,-1+SUMPRODUCT(MAX(ROW(E2659:E$2)*(E2660=E2659:E$2)))))</f>
        <v> </v>
      </c>
      <c r="J2660" s="25" t="str">
        <f>IF(OR(E2660="",E2660="!!!",F2660="NEW"),"",COUNTBLANK(OFFSET(A$1,,,SUMPRODUCT(MAX(ROW(E$2:E2660)*(E2660=E$2:E2660)))))-COUNTBLANK(OFFSET(A$1,,,SUMPRODUCT(MAX(ROW(E$1:E2659)*(E2=E$1:E2659))))))</f>
        <v> </v>
      </c>
      <c r="K2660" s="25" t="str">
        <f>IF(OR(E2660="",E2660="!!!",F2660="NEW"),"",INDEX(J$1:J2659,SUMPRODUCT(MAX(ROW(E$1:E2659)*(E2660=E$1:E2659)))))</f>
        <v> </v>
      </c>
      <c r="L2660" s="26"/>
    </row>
    <row r="2661" spans="1:12">
      <c r="A2661" s="20" t="s">
        <v>263</v>
      </c>
      <c r="B2661" s="27" t="s">
        <v>1122</v>
      </c>
      <c r="E2661" s="21">
        <f>IF(D2661="?OLD","!!!","")</f>
        <v/>
      </c>
      <c r="F2661" s="22" t="str">
        <f>IF(OR(E2661="",E2661="!!!"),"",IF(NOT(ISNA(VLOOKUP(E2661,E$1:E2660,1,FALSE()))),"OLD",IF(AND(E2661&lt;&gt;"",E2661&lt;&gt;"!!!"),"NEW","")))</f>
        <v> </v>
      </c>
      <c r="G2661" s="23" t="str">
        <f>IF(OR(E2661="",E2661="!!!"),"",IF(OR(J2661=0,AND(J2661=1,K2661=1),AND(J2661=1,I2661="SBJ"),AND(J2661=1,I2661=0)),"?IN_FOCUS",IF(J2661&lt;=2,"?ACTIVATED",IF(J2661&lt;&gt;"","?FAMILIAR",IF(F2661="NEW",IF(ISNA(VLOOKUP(E2661,#REF!,1,FALSE())),"?TYPE_IDENTIFIABLE","?REFERENTIAL"),"_")))))</f>
        <v> </v>
      </c>
      <c r="H2661" s="24" t="str">
        <f>IF(J2661&lt;&gt;1,"",IF(I2661="SBJ","CB","?"))</f>
        <v> </v>
      </c>
      <c r="I2661" s="25" t="str">
        <f>IF(OR(E2661="",E2661="!!!",F2661="NEW"),"",INDEX(B2660:B$2,-1+SUMPRODUCT(MAX(ROW(E2660:E$2)*(E2661=E2660:E$2)))))</f>
        <v> </v>
      </c>
      <c r="J2661" s="25" t="str">
        <f>IF(OR(E2661="",E2661="!!!",F2661="NEW"),"",COUNTBLANK(OFFSET(A$1,,,SUMPRODUCT(MAX(ROW(E$2:E2661)*(E2661=E$2:E2661)))))-COUNTBLANK(OFFSET(A$1,,,SUMPRODUCT(MAX(ROW(E$1:E2660)*(E2=E$1:E2660))))))</f>
        <v> </v>
      </c>
      <c r="K2661" s="25" t="str">
        <f>IF(OR(E2661="",E2661="!!!",F2661="NEW"),"",INDEX(J$1:J2660,SUMPRODUCT(MAX(ROW(E$1:E2660)*(E2661=E$1:E2660)))))</f>
        <v> </v>
      </c>
      <c r="L2661" s="26"/>
    </row>
    <row r="2662" spans="1:12">
      <c r="A2662" s="20" t="s">
        <v>2364</v>
      </c>
      <c r="E2662" s="21">
        <f>IF(D2662="?OLD","!!!","")</f>
        <v/>
      </c>
      <c r="F2662" s="22" t="str">
        <f>IF(OR(E2662="",E2662="!!!"),"",IF(NOT(ISNA(VLOOKUP(E2662,E$1:E2661,1,FALSE()))),"OLD",IF(AND(E2662&lt;&gt;"",E2662&lt;&gt;"!!!"),"NEW","")))</f>
        <v> </v>
      </c>
      <c r="G2662" s="23" t="str">
        <f>IF(OR(E2662="",E2662="!!!"),"",IF(OR(J2662=0,AND(J2662=1,K2662=1),AND(J2662=1,I2662="SBJ"),AND(J2662=1,I2662=0)),"?IN_FOCUS",IF(J2662&lt;=2,"?ACTIVATED",IF(J2662&lt;&gt;"","?FAMILIAR",IF(F2662="NEW",IF(ISNA(VLOOKUP(E2662,#REF!,1,FALSE())),"?TYPE_IDENTIFIABLE","?REFERENTIAL"),"_")))))</f>
        <v> </v>
      </c>
      <c r="H2662" s="24" t="str">
        <f>IF(J2662&lt;&gt;1,"",IF(I2662="SBJ","CB","?"))</f>
        <v> </v>
      </c>
      <c r="I2662" s="25" t="str">
        <f>IF(OR(E2662="",E2662="!!!",F2662="NEW"),"",INDEX(B2661:B$2,-1+SUMPRODUCT(MAX(ROW(E2661:E$2)*(E2662=E2661:E$2)))))</f>
        <v> </v>
      </c>
      <c r="J2662" s="25" t="str">
        <f>IF(OR(E2662="",E2662="!!!",F2662="NEW"),"",COUNTBLANK(OFFSET(A$1,,,SUMPRODUCT(MAX(ROW(E$2:E2662)*(E2662=E$2:E2662)))))-COUNTBLANK(OFFSET(A$1,,,SUMPRODUCT(MAX(ROW(E$1:E2661)*(E2=E$1:E2661))))))</f>
        <v> </v>
      </c>
      <c r="K2662" s="25" t="str">
        <f>IF(OR(E2662="",E2662="!!!",F2662="NEW"),"",INDEX(J$1:J2661,SUMPRODUCT(MAX(ROW(E$1:E2661)*(E2662=E$1:E2661)))))</f>
        <v> </v>
      </c>
      <c r="L2662" s="26"/>
    </row>
    <row r="2663" spans="1:12">
      <c r="A2663" s="20" t="s">
        <v>2365</v>
      </c>
      <c r="E2663" s="21">
        <f>IF(D2663="?OLD","!!!","")</f>
        <v/>
      </c>
      <c r="F2663" s="22" t="str">
        <f>IF(OR(E2663="",E2663="!!!"),"",IF(NOT(ISNA(VLOOKUP(E2663,E$1:E2662,1,FALSE()))),"OLD",IF(AND(E2663&lt;&gt;"",E2663&lt;&gt;"!!!"),"NEW","")))</f>
        <v> </v>
      </c>
      <c r="G2663" s="23" t="str">
        <f>IF(OR(E2663="",E2663="!!!"),"",IF(OR(J2663=0,AND(J2663=1,K2663=1),AND(J2663=1,I2663="SBJ"),AND(J2663=1,I2663=0)),"?IN_FOCUS",IF(J2663&lt;=2,"?ACTIVATED",IF(J2663&lt;&gt;"","?FAMILIAR",IF(F2663="NEW",IF(ISNA(VLOOKUP(E2663,#REF!,1,FALSE())),"?TYPE_IDENTIFIABLE","?REFERENTIAL"),"_")))))</f>
        <v> </v>
      </c>
      <c r="H2663" s="24" t="str">
        <f>IF(J2663&lt;&gt;1,"",IF(I2663="SBJ","CB","?"))</f>
        <v> </v>
      </c>
      <c r="I2663" s="25" t="str">
        <f>IF(OR(E2663="",E2663="!!!",F2663="NEW"),"",INDEX(B2662:B$2,-1+SUMPRODUCT(MAX(ROW(E2662:E$2)*(E2663=E2662:E$2)))))</f>
        <v> </v>
      </c>
      <c r="J2663" s="25" t="str">
        <f>IF(OR(E2663="",E2663="!!!",F2663="NEW"),"",COUNTBLANK(OFFSET(A$1,,,SUMPRODUCT(MAX(ROW(E$2:E2663)*(E2663=E$2:E2663)))))-COUNTBLANK(OFFSET(A$1,,,SUMPRODUCT(MAX(ROW(E$1:E2662)*(E2=E$1:E2662))))))</f>
        <v> </v>
      </c>
      <c r="K2663" s="25" t="str">
        <f>IF(OR(E2663="",E2663="!!!",F2663="NEW"),"",INDEX(J$1:J2662,SUMPRODUCT(MAX(ROW(E$1:E2662)*(E2663=E$1:E2662)))))</f>
        <v> </v>
      </c>
      <c r="L2663" s="26"/>
    </row>
    <row r="2664" spans="1:12">
      <c r="A2664" s="20" t="s">
        <v>1145</v>
      </c>
      <c r="E2664" s="21">
        <f>IF(D2664="?OLD","!!!","")</f>
        <v/>
      </c>
      <c r="F2664" s="22" t="str">
        <f>IF(OR(E2664="",E2664="!!!"),"",IF(NOT(ISNA(VLOOKUP(E2664,E$1:E2663,1,FALSE()))),"OLD",IF(AND(E2664&lt;&gt;"",E2664&lt;&gt;"!!!"),"NEW","")))</f>
        <v> </v>
      </c>
      <c r="G2664" s="23" t="str">
        <f>IF(OR(E2664="",E2664="!!!"),"",IF(OR(J2664=0,AND(J2664=1,K2664=1),AND(J2664=1,I2664="SBJ"),AND(J2664=1,I2664=0)),"?IN_FOCUS",IF(J2664&lt;=2,"?ACTIVATED",IF(J2664&lt;&gt;"","?FAMILIAR",IF(F2664="NEW",IF(ISNA(VLOOKUP(E2664,#REF!,1,FALSE())),"?TYPE_IDENTIFIABLE","?REFERENTIAL"),"_")))))</f>
        <v> </v>
      </c>
      <c r="H2664" s="24" t="str">
        <f>IF(J2664&lt;&gt;1,"",IF(I2664="SBJ","CB","?"))</f>
        <v> </v>
      </c>
      <c r="I2664" s="25" t="str">
        <f>IF(OR(E2664="",E2664="!!!",F2664="NEW"),"",INDEX(B2663:B$2,-1+SUMPRODUCT(MAX(ROW(E2663:E$2)*(E2664=E2663:E$2)))))</f>
        <v> </v>
      </c>
      <c r="J2664" s="25" t="str">
        <f>IF(OR(E2664="",E2664="!!!",F2664="NEW"),"",COUNTBLANK(OFFSET(A$1,,,SUMPRODUCT(MAX(ROW(E$2:E2664)*(E2664=E$2:E2664)))))-COUNTBLANK(OFFSET(A$1,,,SUMPRODUCT(MAX(ROW(E$1:E2663)*(E2=E$1:E2663))))))</f>
        <v> </v>
      </c>
      <c r="K2664" s="25" t="str">
        <f>IF(OR(E2664="",E2664="!!!",F2664="NEW"),"",INDEX(J$1:J2663,SUMPRODUCT(MAX(ROW(E$1:E2663)*(E2664=E$1:E2663)))))</f>
        <v> </v>
      </c>
      <c r="L2664" s="26"/>
    </row>
    <row r="2665" spans="1:12">
      <c r="A2665" s="20"/>
    </row>
    <row r="2666" spans="1:12">
      <c r="A2666" s="20" t="s">
        <v>2366</v>
      </c>
    </row>
    <row r="2667" spans="1:12">
      <c r="A2667" s="20" t="s">
        <v>1111</v>
      </c>
      <c r="E2667" s="21">
        <f>IF(D2667="?OLD","!!!","")</f>
        <v/>
      </c>
      <c r="F2667" s="22" t="str">
        <f>IF(OR(E2667="",E2667="!!!"),"",IF(NOT(ISNA(VLOOKUP(E2667,E$1:E2666,1,FALSE()))),"OLD",IF(AND(E2667&lt;&gt;"",E2667&lt;&gt;"!!!"),"NEW","")))</f>
        <v> </v>
      </c>
      <c r="G2667" s="23" t="str">
        <f>IF(OR(E2667="",E2667="!!!"),"",IF(OR(J2667=0,AND(J2667=1,K2667=1),AND(J2667=1,I2667="SBJ"),AND(J2667=1,I2667=0)),"?IN_FOCUS",IF(J2667&lt;=2,"?ACTIVATED",IF(J2667&lt;&gt;"","?FAMILIAR",IF(F2667="NEW",IF(ISNA(VLOOKUP(E2667,#REF!,1,FALSE())),"?TYPE_IDENTIFIABLE","?REFERENTIAL"),"_")))))</f>
        <v> </v>
      </c>
      <c r="H2667" s="24" t="str">
        <f>IF(J2667&lt;&gt;1,"",IF(I2667="SBJ","CB","?"))</f>
        <v> </v>
      </c>
      <c r="I2667" s="25" t="str">
        <f>IF(OR(E2667="",E2667="!!!",F2667="NEW"),"",INDEX(B2666:B$2,-1+SUMPRODUCT(MAX(ROW(E2666:E$2)*(E2667=E2666:E$2)))))</f>
        <v> </v>
      </c>
      <c r="J2667" s="25" t="str">
        <f>IF(OR(E2667="",E2667="!!!",F2667="NEW"),"",COUNTBLANK(OFFSET(A$1,,,SUMPRODUCT(MAX(ROW(E$2:E2667)*(E2667=E$2:E2667)))))-COUNTBLANK(OFFSET(A$1,,,SUMPRODUCT(MAX(ROW(E$1:E2666)*(E2=E$1:E2666))))))</f>
        <v> </v>
      </c>
      <c r="K2667" s="25" t="str">
        <f>IF(OR(E2667="",E2667="!!!",F2667="NEW"),"",INDEX(J$1:J2666,SUMPRODUCT(MAX(ROW(E$1:E2666)*(E2667=E$1:E2666)))))</f>
        <v> </v>
      </c>
      <c r="L2667" s="26"/>
    </row>
    <row r="2668" spans="1:12">
      <c r="A2668" s="20" t="s">
        <v>2367</v>
      </c>
      <c r="E2668" s="21">
        <f>IF(D2668="?OLD","!!!","")</f>
        <v/>
      </c>
      <c r="F2668" s="22" t="str">
        <f>IF(OR(E2668="",E2668="!!!"),"",IF(NOT(ISNA(VLOOKUP(E2668,E$1:E2667,1,FALSE()))),"OLD",IF(AND(E2668&lt;&gt;"",E2668&lt;&gt;"!!!"),"NEW","")))</f>
        <v> </v>
      </c>
      <c r="G2668" s="23" t="str">
        <f>IF(OR(E2668="",E2668="!!!"),"",IF(OR(J2668=0,AND(J2668=1,K2668=1),AND(J2668=1,I2668="SBJ"),AND(J2668=1,I2668=0)),"?IN_FOCUS",IF(J2668&lt;=2,"?ACTIVATED",IF(J2668&lt;&gt;"","?FAMILIAR",IF(F2668="NEW",IF(ISNA(VLOOKUP(E2668,#REF!,1,FALSE())),"?TYPE_IDENTIFIABLE","?REFERENTIAL"),"_")))))</f>
        <v> </v>
      </c>
      <c r="H2668" s="24" t="str">
        <f>IF(J2668&lt;&gt;1,"",IF(I2668="SBJ","CB","?"))</f>
        <v> </v>
      </c>
      <c r="I2668" s="25" t="str">
        <f>IF(OR(E2668="",E2668="!!!",F2668="NEW"),"",INDEX(B2667:B$2,-1+SUMPRODUCT(MAX(ROW(E2667:E$2)*(E2668=E2667:E$2)))))</f>
        <v> </v>
      </c>
      <c r="J2668" s="25" t="str">
        <f>IF(OR(E2668="",E2668="!!!",F2668="NEW"),"",COUNTBLANK(OFFSET(A$1,,,SUMPRODUCT(MAX(ROW(E$2:E2668)*(E2668=E$2:E2668)))))-COUNTBLANK(OFFSET(A$1,,,SUMPRODUCT(MAX(ROW(E$1:E2667)*(E2=E$1:E2667))))))</f>
        <v> </v>
      </c>
      <c r="K2668" s="25" t="str">
        <f>IF(OR(E2668="",E2668="!!!",F2668="NEW"),"",INDEX(J$1:J2667,SUMPRODUCT(MAX(ROW(E$1:E2667)*(E2668=E$1:E2667)))))</f>
        <v> </v>
      </c>
      <c r="L2668" s="26"/>
    </row>
    <row r="2669" spans="1:12">
      <c r="A2669" s="20" t="s">
        <v>1134</v>
      </c>
      <c r="E2669" s="21">
        <f>IF(D2669="?OLD","!!!","")</f>
        <v/>
      </c>
      <c r="F2669" s="22" t="str">
        <f>IF(OR(E2669="",E2669="!!!"),"",IF(NOT(ISNA(VLOOKUP(E2669,E$1:E2668,1,FALSE()))),"OLD",IF(AND(E2669&lt;&gt;"",E2669&lt;&gt;"!!!"),"NEW","")))</f>
        <v> </v>
      </c>
      <c r="G2669" s="23" t="str">
        <f>IF(OR(E2669="",E2669="!!!"),"",IF(OR(J2669=0,AND(J2669=1,K2669=1),AND(J2669=1,I2669="SBJ"),AND(J2669=1,I2669=0)),"?IN_FOCUS",IF(J2669&lt;=2,"?ACTIVATED",IF(J2669&lt;&gt;"","?FAMILIAR",IF(F2669="NEW",IF(ISNA(VLOOKUP(E2669,#REF!,1,FALSE())),"?TYPE_IDENTIFIABLE","?REFERENTIAL"),"_")))))</f>
        <v> </v>
      </c>
      <c r="H2669" s="24" t="str">
        <f>IF(J2669&lt;&gt;1,"",IF(I2669="SBJ","CB","?"))</f>
        <v> </v>
      </c>
      <c r="I2669" s="25" t="str">
        <f>IF(OR(E2669="",E2669="!!!",F2669="NEW"),"",INDEX(B2668:B$2,-1+SUMPRODUCT(MAX(ROW(E2668:E$2)*(E2669=E2668:E$2)))))</f>
        <v> </v>
      </c>
      <c r="J2669" s="25" t="str">
        <f>IF(OR(E2669="",E2669="!!!",F2669="NEW"),"",COUNTBLANK(OFFSET(A$1,,,SUMPRODUCT(MAX(ROW(E$2:E2669)*(E2669=E$2:E2669)))))-COUNTBLANK(OFFSET(A$1,,,SUMPRODUCT(MAX(ROW(E$1:E2668)*(E2=E$1:E2668))))))</f>
        <v> </v>
      </c>
      <c r="K2669" s="25" t="str">
        <f>IF(OR(E2669="",E2669="!!!",F2669="NEW"),"",INDEX(J$1:J2668,SUMPRODUCT(MAX(ROW(E$1:E2668)*(E2669=E$1:E2668)))))</f>
        <v> </v>
      </c>
      <c r="L2669" s="26"/>
    </row>
    <row r="2670" spans="1:12">
      <c r="A2670" s="20" t="s">
        <v>2368</v>
      </c>
      <c r="E2670" s="21">
        <f>IF(D2670="?OLD","!!!","")</f>
        <v/>
      </c>
      <c r="F2670" s="22" t="str">
        <f>IF(OR(E2670="",E2670="!!!"),"",IF(NOT(ISNA(VLOOKUP(E2670,E$1:E2669,1,FALSE()))),"OLD",IF(AND(E2670&lt;&gt;"",E2670&lt;&gt;"!!!"),"NEW","")))</f>
        <v> </v>
      </c>
      <c r="G2670" s="23" t="str">
        <f>IF(OR(E2670="",E2670="!!!"),"",IF(OR(J2670=0,AND(J2670=1,K2670=1),AND(J2670=1,I2670="SBJ"),AND(J2670=1,I2670=0)),"?IN_FOCUS",IF(J2670&lt;=2,"?ACTIVATED",IF(J2670&lt;&gt;"","?FAMILIAR",IF(F2670="NEW",IF(ISNA(VLOOKUP(E2670,#REF!,1,FALSE())),"?TYPE_IDENTIFIABLE","?REFERENTIAL"),"_")))))</f>
        <v> </v>
      </c>
      <c r="H2670" s="24" t="str">
        <f>IF(J2670&lt;&gt;1,"",IF(I2670="SBJ","CB","?"))</f>
        <v> </v>
      </c>
      <c r="I2670" s="25" t="str">
        <f>IF(OR(E2670="",E2670="!!!",F2670="NEW"),"",INDEX(B2669:B$2,-1+SUMPRODUCT(MAX(ROW(E2669:E$2)*(E2670=E2669:E$2)))))</f>
        <v> </v>
      </c>
      <c r="J2670" s="25" t="str">
        <f>IF(OR(E2670="",E2670="!!!",F2670="NEW"),"",COUNTBLANK(OFFSET(A$1,,,SUMPRODUCT(MAX(ROW(E$2:E2670)*(E2670=E$2:E2670)))))-COUNTBLANK(OFFSET(A$1,,,SUMPRODUCT(MAX(ROW(E$1:E2669)*(E2=E$1:E2669))))))</f>
        <v> </v>
      </c>
      <c r="K2670" s="25" t="str">
        <f>IF(OR(E2670="",E2670="!!!",F2670="NEW"),"",INDEX(J$1:J2669,SUMPRODUCT(MAX(ROW(E$1:E2669)*(E2670=E$1:E2669)))))</f>
        <v> </v>
      </c>
      <c r="L2670" s="26"/>
    </row>
    <row r="2671" spans="1:12">
      <c r="A2671" s="20" t="s">
        <v>1123</v>
      </c>
      <c r="E2671" s="21">
        <f>IF(D2671="?OLD","!!!","")</f>
        <v/>
      </c>
      <c r="F2671" s="22" t="str">
        <f>IF(OR(E2671="",E2671="!!!"),"",IF(NOT(ISNA(VLOOKUP(E2671,E$1:E2670,1,FALSE()))),"OLD",IF(AND(E2671&lt;&gt;"",E2671&lt;&gt;"!!!"),"NEW","")))</f>
        <v> </v>
      </c>
      <c r="G2671" s="23" t="str">
        <f>IF(OR(E2671="",E2671="!!!"),"",IF(OR(J2671=0,AND(J2671=1,K2671=1),AND(J2671=1,I2671="SBJ"),AND(J2671=1,I2671=0)),"?IN_FOCUS",IF(J2671&lt;=2,"?ACTIVATED",IF(J2671&lt;&gt;"","?FAMILIAR",IF(F2671="NEW",IF(ISNA(VLOOKUP(E2671,#REF!,1,FALSE())),"?TYPE_IDENTIFIABLE","?REFERENTIAL"),"_")))))</f>
        <v> </v>
      </c>
      <c r="H2671" s="24" t="str">
        <f>IF(J2671&lt;&gt;1,"",IF(I2671="SBJ","CB","?"))</f>
        <v> </v>
      </c>
      <c r="I2671" s="25" t="str">
        <f>IF(OR(E2671="",E2671="!!!",F2671="NEW"),"",INDEX(B2670:B$2,-1+SUMPRODUCT(MAX(ROW(E2670:E$2)*(E2671=E2670:E$2)))))</f>
        <v> </v>
      </c>
      <c r="J2671" s="25" t="str">
        <f>IF(OR(E2671="",E2671="!!!",F2671="NEW"),"",COUNTBLANK(OFFSET(A$1,,,SUMPRODUCT(MAX(ROW(E$2:E2671)*(E2671=E$2:E2671)))))-COUNTBLANK(OFFSET(A$1,,,SUMPRODUCT(MAX(ROW(E$1:E2670)*(E2=E$1:E2670))))))</f>
        <v> </v>
      </c>
      <c r="K2671" s="25" t="str">
        <f>IF(OR(E2671="",E2671="!!!",F2671="NEW"),"",INDEX(J$1:J2670,SUMPRODUCT(MAX(ROW(E$1:E2670)*(E2671=E$1:E2670)))))</f>
        <v> </v>
      </c>
      <c r="L2671" s="26"/>
    </row>
    <row r="2672" spans="1:12">
      <c r="A2672" s="20" t="s">
        <v>135</v>
      </c>
      <c r="E2672" s="21">
        <f>IF(D2672="?OLD","!!!","")</f>
        <v/>
      </c>
      <c r="F2672" s="22" t="str">
        <f>IF(OR(E2672="",E2672="!!!"),"",IF(NOT(ISNA(VLOOKUP(E2672,E$1:E2671,1,FALSE()))),"OLD",IF(AND(E2672&lt;&gt;"",E2672&lt;&gt;"!!!"),"NEW","")))</f>
        <v> </v>
      </c>
      <c r="G2672" s="23" t="str">
        <f>IF(OR(E2672="",E2672="!!!"),"",IF(OR(J2672=0,AND(J2672=1,K2672=1),AND(J2672=1,I2672="SBJ"),AND(J2672=1,I2672=0)),"?IN_FOCUS",IF(J2672&lt;=2,"?ACTIVATED",IF(J2672&lt;&gt;"","?FAMILIAR",IF(F2672="NEW",IF(ISNA(VLOOKUP(E2672,#REF!,1,FALSE())),"?TYPE_IDENTIFIABLE","?REFERENTIAL"),"_")))))</f>
        <v> </v>
      </c>
      <c r="H2672" s="24" t="str">
        <f>IF(J2672&lt;&gt;1,"",IF(I2672="SBJ","CB","?"))</f>
        <v> </v>
      </c>
      <c r="I2672" s="25" t="str">
        <f>IF(OR(E2672="",E2672="!!!",F2672="NEW"),"",INDEX(B2671:B$2,-1+SUMPRODUCT(MAX(ROW(E2671:E$2)*(E2672=E2671:E$2)))))</f>
        <v> </v>
      </c>
      <c r="J2672" s="25" t="str">
        <f>IF(OR(E2672="",E2672="!!!",F2672="NEW"),"",COUNTBLANK(OFFSET(A$1,,,SUMPRODUCT(MAX(ROW(E$2:E2672)*(E2672=E$2:E2672)))))-COUNTBLANK(OFFSET(A$1,,,SUMPRODUCT(MAX(ROW(E$1:E2671)*(E2=E$1:E2671))))))</f>
        <v> </v>
      </c>
      <c r="K2672" s="25" t="str">
        <f>IF(OR(E2672="",E2672="!!!",F2672="NEW"),"",INDEX(J$1:J2671,SUMPRODUCT(MAX(ROW(E$1:E2671)*(E2672=E$1:E2671)))))</f>
        <v> </v>
      </c>
      <c r="L2672" s="26"/>
    </row>
    <row r="2673" spans="1:12">
      <c r="A2673" s="20" t="s">
        <v>1124</v>
      </c>
      <c r="B2673" s="27" t="s">
        <v>1259</v>
      </c>
      <c r="C2673" s="27" t="s">
        <v>1126</v>
      </c>
      <c r="D2673" s="27" t="s">
        <v>1105</v>
      </c>
      <c r="E2673" s="21">
        <f>IF(D2673="?OLD","!!!","")</f>
        <v/>
      </c>
      <c r="F2673" s="22" t="str">
        <f>IF(OR(E2673="",E2673="!!!"),"",IF(NOT(ISNA(VLOOKUP(E2673,E$1:E2672,1,FALSE()))),"OLD",IF(AND(E2673&lt;&gt;"",E2673&lt;&gt;"!!!"),"NEW","")))</f>
        <v> </v>
      </c>
      <c r="G2673" s="23" t="str">
        <f>IF(OR(E2673="",E2673="!!!"),"",IF(OR(J2673=0,AND(J2673=1,K2673=1),AND(J2673=1,I2673="SBJ"),AND(J2673=1,I2673=0)),"?IN_FOCUS",IF(J2673&lt;=2,"?ACTIVATED",IF(J2673&lt;&gt;"","?FAMILIAR",IF(F2673="NEW",IF(ISNA(VLOOKUP(E2673,#REF!,1,FALSE())),"?TYPE_IDENTIFIABLE","?REFERENTIAL"),"_")))))</f>
        <v> </v>
      </c>
      <c r="H2673" s="24" t="str">
        <f>IF(J2673&lt;&gt;1,"",IF(I2673="SBJ","CB","?"))</f>
        <v> </v>
      </c>
      <c r="I2673" s="25" t="str">
        <f>IF(OR(E2673="",E2673="!!!",F2673="NEW"),"",INDEX(B2672:B$2,-1+SUMPRODUCT(MAX(ROW(E2672:E$2)*(E2673=E2672:E$2)))))</f>
        <v> </v>
      </c>
      <c r="J2673" s="25" t="str">
        <f>IF(OR(E2673="",E2673="!!!",F2673="NEW"),"",COUNTBLANK(OFFSET(A$1,,,SUMPRODUCT(MAX(ROW(E$2:E2673)*(E2673=E$2:E2673)))))-COUNTBLANK(OFFSET(A$1,,,SUMPRODUCT(MAX(ROW(E$1:E2672)*(E2=E$1:E2672))))))</f>
        <v> </v>
      </c>
      <c r="K2673" s="25" t="str">
        <f>IF(OR(E2673="",E2673="!!!",F2673="NEW"),"",INDEX(J$1:J2672,SUMPRODUCT(MAX(ROW(E$1:E2672)*(E2673=E$1:E2672)))))</f>
        <v> </v>
      </c>
      <c r="L2673" s="26"/>
    </row>
    <row r="2674" spans="1:12">
      <c r="A2674" s="20" t="s">
        <v>2369</v>
      </c>
      <c r="E2674" s="21">
        <f>IF(D2674="?OLD","!!!","")</f>
        <v/>
      </c>
      <c r="F2674" s="22" t="str">
        <f>IF(OR(E2674="",E2674="!!!"),"",IF(NOT(ISNA(VLOOKUP(E2674,E$1:E2673,1,FALSE()))),"OLD",IF(AND(E2674&lt;&gt;"",E2674&lt;&gt;"!!!"),"NEW","")))</f>
        <v> </v>
      </c>
      <c r="G2674" s="23" t="str">
        <f>IF(OR(E2674="",E2674="!!!"),"",IF(OR(J2674=0,AND(J2674=1,K2674=1),AND(J2674=1,I2674="SBJ"),AND(J2674=1,I2674=0)),"?IN_FOCUS",IF(J2674&lt;=2,"?ACTIVATED",IF(J2674&lt;&gt;"","?FAMILIAR",IF(F2674="NEW",IF(ISNA(VLOOKUP(E2674,#REF!,1,FALSE())),"?TYPE_IDENTIFIABLE","?REFERENTIAL"),"_")))))</f>
        <v> </v>
      </c>
      <c r="H2674" s="24" t="str">
        <f>IF(J2674&lt;&gt;1,"",IF(I2674="SBJ","CB","?"))</f>
        <v> </v>
      </c>
      <c r="I2674" s="25" t="str">
        <f>IF(OR(E2674="",E2674="!!!",F2674="NEW"),"",INDEX(B2673:B$2,-1+SUMPRODUCT(MAX(ROW(E2673:E$2)*(E2674=E2673:E$2)))))</f>
        <v> </v>
      </c>
      <c r="J2674" s="25" t="str">
        <f>IF(OR(E2674="",E2674="!!!",F2674="NEW"),"",COUNTBLANK(OFFSET(A$1,,,SUMPRODUCT(MAX(ROW(E$2:E2674)*(E2674=E$2:E2674)))))-COUNTBLANK(OFFSET(A$1,,,SUMPRODUCT(MAX(ROW(E$1:E2673)*(E2=E$1:E2673))))))</f>
        <v> </v>
      </c>
      <c r="K2674" s="25" t="str">
        <f>IF(OR(E2674="",E2674="!!!",F2674="NEW"),"",INDEX(J$1:J2673,SUMPRODUCT(MAX(ROW(E$1:E2673)*(E2674=E$1:E2673)))))</f>
        <v> </v>
      </c>
      <c r="L2674" s="26"/>
    </row>
    <row r="2675" spans="1:12">
      <c r="A2675" s="20" t="s">
        <v>2370</v>
      </c>
      <c r="E2675" s="21">
        <f>IF(D2675="?OLD","!!!","")</f>
        <v/>
      </c>
      <c r="F2675" s="22" t="str">
        <f>IF(OR(E2675="",E2675="!!!"),"",IF(NOT(ISNA(VLOOKUP(E2675,E$1:E2674,1,FALSE()))),"OLD",IF(AND(E2675&lt;&gt;"",E2675&lt;&gt;"!!!"),"NEW","")))</f>
        <v> </v>
      </c>
      <c r="G2675" s="23" t="str">
        <f>IF(OR(E2675="",E2675="!!!"),"",IF(OR(J2675=0,AND(J2675=1,K2675=1),AND(J2675=1,I2675="SBJ"),AND(J2675=1,I2675=0)),"?IN_FOCUS",IF(J2675&lt;=2,"?ACTIVATED",IF(J2675&lt;&gt;"","?FAMILIAR",IF(F2675="NEW",IF(ISNA(VLOOKUP(E2675,#REF!,1,FALSE())),"?TYPE_IDENTIFIABLE","?REFERENTIAL"),"_")))))</f>
        <v> </v>
      </c>
      <c r="H2675" s="24" t="str">
        <f>IF(J2675&lt;&gt;1,"",IF(I2675="SBJ","CB","?"))</f>
        <v> </v>
      </c>
      <c r="I2675" s="25" t="str">
        <f>IF(OR(E2675="",E2675="!!!",F2675="NEW"),"",INDEX(B2674:B$2,-1+SUMPRODUCT(MAX(ROW(E2674:E$2)*(E2675=E2674:E$2)))))</f>
        <v> </v>
      </c>
      <c r="J2675" s="25" t="str">
        <f>IF(OR(E2675="",E2675="!!!",F2675="NEW"),"",COUNTBLANK(OFFSET(A$1,,,SUMPRODUCT(MAX(ROW(E$2:E2675)*(E2675=E$2:E2675)))))-COUNTBLANK(OFFSET(A$1,,,SUMPRODUCT(MAX(ROW(E$1:E2674)*(E2=E$1:E2674))))))</f>
        <v> </v>
      </c>
      <c r="K2675" s="25" t="str">
        <f>IF(OR(E2675="",E2675="!!!",F2675="NEW"),"",INDEX(J$1:J2674,SUMPRODUCT(MAX(ROW(E$1:E2674)*(E2675=E$1:E2674)))))</f>
        <v> </v>
      </c>
      <c r="L2675" s="26"/>
    </row>
    <row r="2676" spans="1:12">
      <c r="A2676" s="20" t="s">
        <v>1201</v>
      </c>
      <c r="E2676" s="21">
        <f>IF(D2676="?OLD","!!!","")</f>
        <v/>
      </c>
      <c r="F2676" s="22" t="str">
        <f>IF(OR(E2676="",E2676="!!!"),"",IF(NOT(ISNA(VLOOKUP(E2676,E$1:E2675,1,FALSE()))),"OLD",IF(AND(E2676&lt;&gt;"",E2676&lt;&gt;"!!!"),"NEW","")))</f>
        <v> </v>
      </c>
      <c r="G2676" s="23" t="str">
        <f>IF(OR(E2676="",E2676="!!!"),"",IF(OR(J2676=0,AND(J2676=1,K2676=1),AND(J2676=1,I2676="SBJ"),AND(J2676=1,I2676=0)),"?IN_FOCUS",IF(J2676&lt;=2,"?ACTIVATED",IF(J2676&lt;&gt;"","?FAMILIAR",IF(F2676="NEW",IF(ISNA(VLOOKUP(E2676,#REF!,1,FALSE())),"?TYPE_IDENTIFIABLE","?REFERENTIAL"),"_")))))</f>
        <v> </v>
      </c>
      <c r="H2676" s="24" t="str">
        <f>IF(J2676&lt;&gt;1,"",IF(I2676="SBJ","CB","?"))</f>
        <v> </v>
      </c>
      <c r="I2676" s="25" t="str">
        <f>IF(OR(E2676="",E2676="!!!",F2676="NEW"),"",INDEX(B2675:B$2,-1+SUMPRODUCT(MAX(ROW(E2675:E$2)*(E2676=E2675:E$2)))))</f>
        <v> </v>
      </c>
      <c r="J2676" s="25" t="str">
        <f>IF(OR(E2676="",E2676="!!!",F2676="NEW"),"",COUNTBLANK(OFFSET(A$1,,,SUMPRODUCT(MAX(ROW(E$2:E2676)*(E2676=E$2:E2676)))))-COUNTBLANK(OFFSET(A$1,,,SUMPRODUCT(MAX(ROW(E$1:E2675)*(E2=E$1:E2675))))))</f>
        <v> </v>
      </c>
      <c r="K2676" s="25" t="str">
        <f>IF(OR(E2676="",E2676="!!!",F2676="NEW"),"",INDEX(J$1:J2675,SUMPRODUCT(MAX(ROW(E$1:E2675)*(E2676=E$1:E2675)))))</f>
        <v> </v>
      </c>
      <c r="L2676" s="26"/>
    </row>
    <row r="2677" spans="1:12">
      <c r="A2677" s="20" t="s">
        <v>2371</v>
      </c>
      <c r="E2677" s="21">
        <f>IF(D2677="?OLD","!!!","")</f>
        <v/>
      </c>
      <c r="F2677" s="22" t="str">
        <f>IF(OR(E2677="",E2677="!!!"),"",IF(NOT(ISNA(VLOOKUP(E2677,E$1:E2676,1,FALSE()))),"OLD",IF(AND(E2677&lt;&gt;"",E2677&lt;&gt;"!!!"),"NEW","")))</f>
        <v> </v>
      </c>
      <c r="G2677" s="23" t="str">
        <f>IF(OR(E2677="",E2677="!!!"),"",IF(OR(J2677=0,AND(J2677=1,K2677=1),AND(J2677=1,I2677="SBJ"),AND(J2677=1,I2677=0)),"?IN_FOCUS",IF(J2677&lt;=2,"?ACTIVATED",IF(J2677&lt;&gt;"","?FAMILIAR",IF(F2677="NEW",IF(ISNA(VLOOKUP(E2677,#REF!,1,FALSE())),"?TYPE_IDENTIFIABLE","?REFERENTIAL"),"_")))))</f>
        <v> </v>
      </c>
      <c r="H2677" s="24" t="str">
        <f>IF(J2677&lt;&gt;1,"",IF(I2677="SBJ","CB","?"))</f>
        <v> </v>
      </c>
      <c r="I2677" s="25" t="str">
        <f>IF(OR(E2677="",E2677="!!!",F2677="NEW"),"",INDEX(B2676:B$2,-1+SUMPRODUCT(MAX(ROW(E2676:E$2)*(E2677=E2676:E$2)))))</f>
        <v> </v>
      </c>
      <c r="J2677" s="25" t="str">
        <f>IF(OR(E2677="",E2677="!!!",F2677="NEW"),"",COUNTBLANK(OFFSET(A$1,,,SUMPRODUCT(MAX(ROW(E$2:E2677)*(E2677=E$2:E2677)))))-COUNTBLANK(OFFSET(A$1,,,SUMPRODUCT(MAX(ROW(E$1:E2676)*(E2=E$1:E2676))))))</f>
        <v> </v>
      </c>
      <c r="K2677" s="25" t="str">
        <f>IF(OR(E2677="",E2677="!!!",F2677="NEW"),"",INDEX(J$1:J2676,SUMPRODUCT(MAX(ROW(E$1:E2676)*(E2677=E$1:E2676)))))</f>
        <v> </v>
      </c>
      <c r="L2677" s="26"/>
    </row>
    <row r="2678" spans="1:12">
      <c r="A2678" s="20" t="s">
        <v>1123</v>
      </c>
      <c r="E2678" s="21">
        <f>IF(D2678="?OLD","!!!","")</f>
        <v/>
      </c>
      <c r="F2678" s="22" t="str">
        <f>IF(OR(E2678="",E2678="!!!"),"",IF(NOT(ISNA(VLOOKUP(E2678,E$1:E2677,1,FALSE()))),"OLD",IF(AND(E2678&lt;&gt;"",E2678&lt;&gt;"!!!"),"NEW","")))</f>
        <v> </v>
      </c>
      <c r="G2678" s="23" t="str">
        <f>IF(OR(E2678="",E2678="!!!"),"",IF(OR(J2678=0,AND(J2678=1,K2678=1),AND(J2678=1,I2678="SBJ"),AND(J2678=1,I2678=0)),"?IN_FOCUS",IF(J2678&lt;=2,"?ACTIVATED",IF(J2678&lt;&gt;"","?FAMILIAR",IF(F2678="NEW",IF(ISNA(VLOOKUP(E2678,#REF!,1,FALSE())),"?TYPE_IDENTIFIABLE","?REFERENTIAL"),"_")))))</f>
        <v> </v>
      </c>
      <c r="H2678" s="24" t="str">
        <f>IF(J2678&lt;&gt;1,"",IF(I2678="SBJ","CB","?"))</f>
        <v> </v>
      </c>
      <c r="I2678" s="25" t="str">
        <f>IF(OR(E2678="",E2678="!!!",F2678="NEW"),"",INDEX(B2677:B$2,-1+SUMPRODUCT(MAX(ROW(E2677:E$2)*(E2678=E2677:E$2)))))</f>
        <v> </v>
      </c>
      <c r="J2678" s="25" t="str">
        <f>IF(OR(E2678="",E2678="!!!",F2678="NEW"),"",COUNTBLANK(OFFSET(A$1,,,SUMPRODUCT(MAX(ROW(E$2:E2678)*(E2678=E$2:E2678)))))-COUNTBLANK(OFFSET(A$1,,,SUMPRODUCT(MAX(ROW(E$1:E2677)*(E2=E$1:E2677))))))</f>
        <v> </v>
      </c>
      <c r="K2678" s="25" t="str">
        <f>IF(OR(E2678="",E2678="!!!",F2678="NEW"),"",INDEX(J$1:J2677,SUMPRODUCT(MAX(ROW(E$1:E2677)*(E2678=E$1:E2677)))))</f>
        <v> </v>
      </c>
      <c r="L2678" s="26"/>
    </row>
    <row r="2679" spans="1:12">
      <c r="A2679" s="20" t="s">
        <v>1444</v>
      </c>
      <c r="E2679" s="21">
        <f>IF(D2679="?OLD","!!!","")</f>
        <v/>
      </c>
      <c r="F2679" s="22" t="str">
        <f>IF(OR(E2679="",E2679="!!!"),"",IF(NOT(ISNA(VLOOKUP(E2679,E$1:E2678,1,FALSE()))),"OLD",IF(AND(E2679&lt;&gt;"",E2679&lt;&gt;"!!!"),"NEW","")))</f>
        <v> </v>
      </c>
      <c r="G2679" s="23" t="str">
        <f>IF(OR(E2679="",E2679="!!!"),"",IF(OR(J2679=0,AND(J2679=1,K2679=1),AND(J2679=1,I2679="SBJ"),AND(J2679=1,I2679=0)),"?IN_FOCUS",IF(J2679&lt;=2,"?ACTIVATED",IF(J2679&lt;&gt;"","?FAMILIAR",IF(F2679="NEW",IF(ISNA(VLOOKUP(E2679,#REF!,1,FALSE())),"?TYPE_IDENTIFIABLE","?REFERENTIAL"),"_")))))</f>
        <v> </v>
      </c>
      <c r="H2679" s="24" t="str">
        <f>IF(J2679&lt;&gt;1,"",IF(I2679="SBJ","CB","?"))</f>
        <v> </v>
      </c>
      <c r="I2679" s="25" t="str">
        <f>IF(OR(E2679="",E2679="!!!",F2679="NEW"),"",INDEX(B2678:B$2,-1+SUMPRODUCT(MAX(ROW(E2678:E$2)*(E2679=E2678:E$2)))))</f>
        <v> </v>
      </c>
      <c r="J2679" s="25" t="str">
        <f>IF(OR(E2679="",E2679="!!!",F2679="NEW"),"",COUNTBLANK(OFFSET(A$1,,,SUMPRODUCT(MAX(ROW(E$2:E2679)*(E2679=E$2:E2679)))))-COUNTBLANK(OFFSET(A$1,,,SUMPRODUCT(MAX(ROW(E$1:E2678)*(E2=E$1:E2678))))))</f>
        <v> </v>
      </c>
      <c r="K2679" s="25" t="str">
        <f>IF(OR(E2679="",E2679="!!!",F2679="NEW"),"",INDEX(J$1:J2678,SUMPRODUCT(MAX(ROW(E$1:E2678)*(E2679=E$1:E2678)))))</f>
        <v> </v>
      </c>
      <c r="L2679" s="26"/>
    </row>
    <row r="2680" spans="1:12">
      <c r="A2680" s="20" t="s">
        <v>1494</v>
      </c>
      <c r="B2680" s="27" t="s">
        <v>2162</v>
      </c>
      <c r="C2680" s="27" t="s">
        <v>1126</v>
      </c>
      <c r="D2680" s="27" t="s">
        <v>1105</v>
      </c>
      <c r="E2680" s="21">
        <f>IF(D2680="?OLD","!!!","")</f>
        <v/>
      </c>
      <c r="F2680" s="22" t="str">
        <f>IF(OR(E2680="",E2680="!!!"),"",IF(NOT(ISNA(VLOOKUP(E2680,E$1:E2679,1,FALSE()))),"OLD",IF(AND(E2680&lt;&gt;"",E2680&lt;&gt;"!!!"),"NEW","")))</f>
        <v> </v>
      </c>
      <c r="G2680" s="23" t="str">
        <f>IF(OR(E2680="",E2680="!!!"),"",IF(OR(J2680=0,AND(J2680=1,K2680=1),AND(J2680=1,I2680="SBJ"),AND(J2680=1,I2680=0)),"?IN_FOCUS",IF(J2680&lt;=2,"?ACTIVATED",IF(J2680&lt;&gt;"","?FAMILIAR",IF(F2680="NEW",IF(ISNA(VLOOKUP(E2680,#REF!,1,FALSE())),"?TYPE_IDENTIFIABLE","?REFERENTIAL"),"_")))))</f>
        <v> </v>
      </c>
      <c r="H2680" s="24" t="str">
        <f>IF(J2680&lt;&gt;1,"",IF(I2680="SBJ","CB","?"))</f>
        <v> </v>
      </c>
      <c r="I2680" s="25" t="str">
        <f>IF(OR(E2680="",E2680="!!!",F2680="NEW"),"",INDEX(B2679:B$2,-1+SUMPRODUCT(MAX(ROW(E2679:E$2)*(E2680=E2679:E$2)))))</f>
        <v> </v>
      </c>
      <c r="J2680" s="25" t="str">
        <f>IF(OR(E2680="",E2680="!!!",F2680="NEW"),"",COUNTBLANK(OFFSET(A$1,,,SUMPRODUCT(MAX(ROW(E$2:E2680)*(E2680=E$2:E2680)))))-COUNTBLANK(OFFSET(A$1,,,SUMPRODUCT(MAX(ROW(E$1:E2679)*(E2=E$1:E2679))))))</f>
        <v> </v>
      </c>
      <c r="K2680" s="25" t="str">
        <f>IF(OR(E2680="",E2680="!!!",F2680="NEW"),"",INDEX(J$1:J2679,SUMPRODUCT(MAX(ROW(E$1:E2679)*(E2680=E$1:E2679)))))</f>
        <v> </v>
      </c>
      <c r="L2680" s="26"/>
    </row>
    <row r="2681" spans="1:12">
      <c r="A2681" s="20" t="s">
        <v>107</v>
      </c>
      <c r="E2681" s="21">
        <f>IF(D2681="?OLD","!!!","")</f>
        <v/>
      </c>
      <c r="F2681" s="22" t="str">
        <f>IF(OR(E2681="",E2681="!!!"),"",IF(NOT(ISNA(VLOOKUP(E2681,E$1:E2680,1,FALSE()))),"OLD",IF(AND(E2681&lt;&gt;"",E2681&lt;&gt;"!!!"),"NEW","")))</f>
        <v> </v>
      </c>
      <c r="G2681" s="23" t="str">
        <f>IF(OR(E2681="",E2681="!!!"),"",IF(OR(J2681=0,AND(J2681=1,K2681=1),AND(J2681=1,I2681="SBJ"),AND(J2681=1,I2681=0)),"?IN_FOCUS",IF(J2681&lt;=2,"?ACTIVATED",IF(J2681&lt;&gt;"","?FAMILIAR",IF(F2681="NEW",IF(ISNA(VLOOKUP(E2681,#REF!,1,FALSE())),"?TYPE_IDENTIFIABLE","?REFERENTIAL"),"_")))))</f>
        <v> </v>
      </c>
      <c r="H2681" s="24" t="str">
        <f>IF(J2681&lt;&gt;1,"",IF(I2681="SBJ","CB","?"))</f>
        <v> </v>
      </c>
      <c r="I2681" s="25" t="str">
        <f>IF(OR(E2681="",E2681="!!!",F2681="NEW"),"",INDEX(B2680:B$2,-1+SUMPRODUCT(MAX(ROW(E2680:E$2)*(E2681=E2680:E$2)))))</f>
        <v> </v>
      </c>
      <c r="J2681" s="25" t="str">
        <f>IF(OR(E2681="",E2681="!!!",F2681="NEW"),"",COUNTBLANK(OFFSET(A$1,,,SUMPRODUCT(MAX(ROW(E$2:E2681)*(E2681=E$2:E2681)))))-COUNTBLANK(OFFSET(A$1,,,SUMPRODUCT(MAX(ROW(E$1:E2680)*(E2=E$1:E2680))))))</f>
        <v> </v>
      </c>
      <c r="K2681" s="25" t="str">
        <f>IF(OR(E2681="",E2681="!!!",F2681="NEW"),"",INDEX(J$1:J2680,SUMPRODUCT(MAX(ROW(E$1:E2680)*(E2681=E$1:E2680)))))</f>
        <v> </v>
      </c>
      <c r="L2681" s="26"/>
    </row>
    <row r="2682" spans="1:12">
      <c r="A2682" s="20" t="s">
        <v>1120</v>
      </c>
      <c r="E2682" s="21">
        <f>IF(D2682="?OLD","!!!","")</f>
        <v/>
      </c>
      <c r="F2682" s="22" t="str">
        <f>IF(OR(E2682="",E2682="!!!"),"",IF(NOT(ISNA(VLOOKUP(E2682,E$1:E2681,1,FALSE()))),"OLD",IF(AND(E2682&lt;&gt;"",E2682&lt;&gt;"!!!"),"NEW","")))</f>
        <v> </v>
      </c>
      <c r="G2682" s="23" t="str">
        <f>IF(OR(E2682="",E2682="!!!"),"",IF(OR(J2682=0,AND(J2682=1,K2682=1),AND(J2682=1,I2682="SBJ"),AND(J2682=1,I2682=0)),"?IN_FOCUS",IF(J2682&lt;=2,"?ACTIVATED",IF(J2682&lt;&gt;"","?FAMILIAR",IF(F2682="NEW",IF(ISNA(VLOOKUP(E2682,#REF!,1,FALSE())),"?TYPE_IDENTIFIABLE","?REFERENTIAL"),"_")))))</f>
        <v> </v>
      </c>
      <c r="H2682" s="24" t="str">
        <f>IF(J2682&lt;&gt;1,"",IF(I2682="SBJ","CB","?"))</f>
        <v> </v>
      </c>
      <c r="I2682" s="25" t="str">
        <f>IF(OR(E2682="",E2682="!!!",F2682="NEW"),"",INDEX(B2681:B$2,-1+SUMPRODUCT(MAX(ROW(E2681:E$2)*(E2682=E2681:E$2)))))</f>
        <v> </v>
      </c>
      <c r="J2682" s="25" t="str">
        <f>IF(OR(E2682="",E2682="!!!",F2682="NEW"),"",COUNTBLANK(OFFSET(A$1,,,SUMPRODUCT(MAX(ROW(E$2:E2682)*(E2682=E$2:E2682)))))-COUNTBLANK(OFFSET(A$1,,,SUMPRODUCT(MAX(ROW(E$1:E2681)*(E2=E$1:E2681))))))</f>
        <v> </v>
      </c>
      <c r="K2682" s="25" t="str">
        <f>IF(OR(E2682="",E2682="!!!",F2682="NEW"),"",INDEX(J$1:J2681,SUMPRODUCT(MAX(ROW(E$1:E2681)*(E2682=E$1:E2681)))))</f>
        <v> </v>
      </c>
      <c r="L2682" s="26"/>
    </row>
    <row r="2683" spans="1:12">
      <c r="A2683" s="20" t="s">
        <v>2372</v>
      </c>
      <c r="E2683" s="21">
        <f>IF(D2683="?OLD","!!!","")</f>
        <v/>
      </c>
      <c r="F2683" s="22" t="str">
        <f>IF(OR(E2683="",E2683="!!!"),"",IF(NOT(ISNA(VLOOKUP(E2683,E$1:E2682,1,FALSE()))),"OLD",IF(AND(E2683&lt;&gt;"",E2683&lt;&gt;"!!!"),"NEW","")))</f>
        <v> </v>
      </c>
      <c r="G2683" s="23" t="str">
        <f>IF(OR(E2683="",E2683="!!!"),"",IF(OR(J2683=0,AND(J2683=1,K2683=1),AND(J2683=1,I2683="SBJ"),AND(J2683=1,I2683=0)),"?IN_FOCUS",IF(J2683&lt;=2,"?ACTIVATED",IF(J2683&lt;&gt;"","?FAMILIAR",IF(F2683="NEW",IF(ISNA(VLOOKUP(E2683,#REF!,1,FALSE())),"?TYPE_IDENTIFIABLE","?REFERENTIAL"),"_")))))</f>
        <v> </v>
      </c>
      <c r="H2683" s="24" t="str">
        <f>IF(J2683&lt;&gt;1,"",IF(I2683="SBJ","CB","?"))</f>
        <v> </v>
      </c>
      <c r="I2683" s="25" t="str">
        <f>IF(OR(E2683="",E2683="!!!",F2683="NEW"),"",INDEX(B2682:B$2,-1+SUMPRODUCT(MAX(ROW(E2682:E$2)*(E2683=E2682:E$2)))))</f>
        <v> </v>
      </c>
      <c r="J2683" s="25" t="str">
        <f>IF(OR(E2683="",E2683="!!!",F2683="NEW"),"",COUNTBLANK(OFFSET(A$1,,,SUMPRODUCT(MAX(ROW(E$2:E2683)*(E2683=E$2:E2683)))))-COUNTBLANK(OFFSET(A$1,,,SUMPRODUCT(MAX(ROW(E$1:E2682)*(E2=E$1:E2682))))))</f>
        <v> </v>
      </c>
      <c r="K2683" s="25" t="str">
        <f>IF(OR(E2683="",E2683="!!!",F2683="NEW"),"",INDEX(J$1:J2682,SUMPRODUCT(MAX(ROW(E$1:E2682)*(E2683=E$1:E2682)))))</f>
        <v> </v>
      </c>
      <c r="L2683" s="26"/>
    </row>
    <row r="2684" spans="1:12">
      <c r="A2684" s="20" t="s">
        <v>1195</v>
      </c>
      <c r="E2684" s="21">
        <f>IF(D2684="?OLD","!!!","")</f>
        <v/>
      </c>
      <c r="F2684" s="22" t="str">
        <f>IF(OR(E2684="",E2684="!!!"),"",IF(NOT(ISNA(VLOOKUP(E2684,E$1:E2683,1,FALSE()))),"OLD",IF(AND(E2684&lt;&gt;"",E2684&lt;&gt;"!!!"),"NEW","")))</f>
        <v> </v>
      </c>
      <c r="G2684" s="23" t="str">
        <f>IF(OR(E2684="",E2684="!!!"),"",IF(OR(J2684=0,AND(J2684=1,K2684=1),AND(J2684=1,I2684="SBJ"),AND(J2684=1,I2684=0)),"?IN_FOCUS",IF(J2684&lt;=2,"?ACTIVATED",IF(J2684&lt;&gt;"","?FAMILIAR",IF(F2684="NEW",IF(ISNA(VLOOKUP(E2684,#REF!,1,FALSE())),"?TYPE_IDENTIFIABLE","?REFERENTIAL"),"_")))))</f>
        <v> </v>
      </c>
      <c r="H2684" s="24" t="str">
        <f>IF(J2684&lt;&gt;1,"",IF(I2684="SBJ","CB","?"))</f>
        <v> </v>
      </c>
      <c r="I2684" s="25" t="str">
        <f>IF(OR(E2684="",E2684="!!!",F2684="NEW"),"",INDEX(B2683:B$2,-1+SUMPRODUCT(MAX(ROW(E2683:E$2)*(E2684=E2683:E$2)))))</f>
        <v> </v>
      </c>
      <c r="J2684" s="25" t="str">
        <f>IF(OR(E2684="",E2684="!!!",F2684="NEW"),"",COUNTBLANK(OFFSET(A$1,,,SUMPRODUCT(MAX(ROW(E$2:E2684)*(E2684=E$2:E2684)))))-COUNTBLANK(OFFSET(A$1,,,SUMPRODUCT(MAX(ROW(E$1:E2683)*(E2=E$1:E2683))))))</f>
        <v> </v>
      </c>
      <c r="K2684" s="25" t="str">
        <f>IF(OR(E2684="",E2684="!!!",F2684="NEW"),"",INDEX(J$1:J2683,SUMPRODUCT(MAX(ROW(E$1:E2683)*(E2684=E$1:E2683)))))</f>
        <v> </v>
      </c>
      <c r="L2684" s="26"/>
    </row>
    <row r="2685" spans="1:12">
      <c r="A2685" s="20" t="s">
        <v>2373</v>
      </c>
      <c r="E2685" s="21">
        <f>IF(D2685="?OLD","!!!","")</f>
        <v/>
      </c>
      <c r="F2685" s="22" t="str">
        <f>IF(OR(E2685="",E2685="!!!"),"",IF(NOT(ISNA(VLOOKUP(E2685,E$1:E2684,1,FALSE()))),"OLD",IF(AND(E2685&lt;&gt;"",E2685&lt;&gt;"!!!"),"NEW","")))</f>
        <v> </v>
      </c>
      <c r="G2685" s="23" t="str">
        <f>IF(OR(E2685="",E2685="!!!"),"",IF(OR(J2685=0,AND(J2685=1,K2685=1),AND(J2685=1,I2685="SBJ"),AND(J2685=1,I2685=0)),"?IN_FOCUS",IF(J2685&lt;=2,"?ACTIVATED",IF(J2685&lt;&gt;"","?FAMILIAR",IF(F2685="NEW",IF(ISNA(VLOOKUP(E2685,#REF!,1,FALSE())),"?TYPE_IDENTIFIABLE","?REFERENTIAL"),"_")))))</f>
        <v> </v>
      </c>
      <c r="H2685" s="24" t="str">
        <f>IF(J2685&lt;&gt;1,"",IF(I2685="SBJ","CB","?"))</f>
        <v> </v>
      </c>
      <c r="I2685" s="25" t="str">
        <f>IF(OR(E2685="",E2685="!!!",F2685="NEW"),"",INDEX(B2684:B$2,-1+SUMPRODUCT(MAX(ROW(E2684:E$2)*(E2685=E2684:E$2)))))</f>
        <v> </v>
      </c>
      <c r="J2685" s="25" t="str">
        <f>IF(OR(E2685="",E2685="!!!",F2685="NEW"),"",COUNTBLANK(OFFSET(A$1,,,SUMPRODUCT(MAX(ROW(E$2:E2685)*(E2685=E$2:E2685)))))-COUNTBLANK(OFFSET(A$1,,,SUMPRODUCT(MAX(ROW(E$1:E2684)*(E2=E$1:E2684))))))</f>
        <v> </v>
      </c>
      <c r="K2685" s="25" t="str">
        <f>IF(OR(E2685="",E2685="!!!",F2685="NEW"),"",INDEX(J$1:J2684,SUMPRODUCT(MAX(ROW(E$1:E2684)*(E2685=E$1:E2684)))))</f>
        <v> </v>
      </c>
      <c r="L2685" s="26"/>
    </row>
    <row r="2686" spans="1:12">
      <c r="A2686" s="20" t="s">
        <v>1145</v>
      </c>
      <c r="E2686" s="21">
        <f>IF(D2686="?OLD","!!!","")</f>
        <v/>
      </c>
      <c r="F2686" s="22" t="str">
        <f>IF(OR(E2686="",E2686="!!!"),"",IF(NOT(ISNA(VLOOKUP(E2686,E$1:E2685,1,FALSE()))),"OLD",IF(AND(E2686&lt;&gt;"",E2686&lt;&gt;"!!!"),"NEW","")))</f>
        <v> </v>
      </c>
      <c r="G2686" s="23" t="str">
        <f>IF(OR(E2686="",E2686="!!!"),"",IF(OR(J2686=0,AND(J2686=1,K2686=1),AND(J2686=1,I2686="SBJ"),AND(J2686=1,I2686=0)),"?IN_FOCUS",IF(J2686&lt;=2,"?ACTIVATED",IF(J2686&lt;&gt;"","?FAMILIAR",IF(F2686="NEW",IF(ISNA(VLOOKUP(E2686,#REF!,1,FALSE())),"?TYPE_IDENTIFIABLE","?REFERENTIAL"),"_")))))</f>
        <v> </v>
      </c>
      <c r="H2686" s="24" t="str">
        <f>IF(J2686&lt;&gt;1,"",IF(I2686="SBJ","CB","?"))</f>
        <v> </v>
      </c>
      <c r="I2686" s="25" t="str">
        <f>IF(OR(E2686="",E2686="!!!",F2686="NEW"),"",INDEX(B2685:B$2,-1+SUMPRODUCT(MAX(ROW(E2685:E$2)*(E2686=E2685:E$2)))))</f>
        <v> </v>
      </c>
      <c r="J2686" s="25" t="str">
        <f>IF(OR(E2686="",E2686="!!!",F2686="NEW"),"",COUNTBLANK(OFFSET(A$1,,,SUMPRODUCT(MAX(ROW(E$2:E2686)*(E2686=E$2:E2686)))))-COUNTBLANK(OFFSET(A$1,,,SUMPRODUCT(MAX(ROW(E$1:E2685)*(E2=E$1:E2685))))))</f>
        <v> </v>
      </c>
      <c r="K2686" s="25" t="str">
        <f>IF(OR(E2686="",E2686="!!!",F2686="NEW"),"",INDEX(J$1:J2685,SUMPRODUCT(MAX(ROW(E$1:E2685)*(E2686=E$1:E2685)))))</f>
        <v> </v>
      </c>
      <c r="L2686" s="26"/>
    </row>
    <row r="2687" spans="1:12">
      <c r="A2687" s="20"/>
    </row>
    <row r="2688" spans="1:12">
      <c r="A2688" s="20" t="s">
        <v>2374</v>
      </c>
    </row>
    <row r="2689" spans="1:12">
      <c r="A2689" s="20" t="s">
        <v>1613</v>
      </c>
      <c r="E2689" s="21">
        <f>IF(D2689="?OLD","!!!","")</f>
        <v/>
      </c>
      <c r="F2689" s="22" t="str">
        <f>IF(OR(E2689="",E2689="!!!"),"",IF(NOT(ISNA(VLOOKUP(E2689,E$1:E2688,1,FALSE()))),"OLD",IF(AND(E2689&lt;&gt;"",E2689&lt;&gt;"!!!"),"NEW","")))</f>
        <v> </v>
      </c>
      <c r="G2689" s="23" t="str">
        <f>IF(OR(E2689="",E2689="!!!"),"",IF(OR(J2689=0,AND(J2689=1,K2689=1),AND(J2689=1,I2689="SBJ"),AND(J2689=1,I2689=0)),"?IN_FOCUS",IF(J2689&lt;=2,"?ACTIVATED",IF(J2689&lt;&gt;"","?FAMILIAR",IF(F2689="NEW",IF(ISNA(VLOOKUP(E2689,#REF!,1,FALSE())),"?TYPE_IDENTIFIABLE","?REFERENTIAL"),"_")))))</f>
        <v> </v>
      </c>
      <c r="H2689" s="24" t="str">
        <f>IF(J2689&lt;&gt;1,"",IF(I2689="SBJ","CB","?"))</f>
        <v> </v>
      </c>
      <c r="I2689" s="25" t="str">
        <f>IF(OR(E2689="",E2689="!!!",F2689="NEW"),"",INDEX(B2688:B$2,-1+SUMPRODUCT(MAX(ROW(E2688:E$2)*(E2689=E2688:E$2)))))</f>
        <v> </v>
      </c>
      <c r="J2689" s="25" t="str">
        <f>IF(OR(E2689="",E2689="!!!",F2689="NEW"),"",COUNTBLANK(OFFSET(A$1,,,SUMPRODUCT(MAX(ROW(E$2:E2689)*(E2689=E$2:E2689)))))-COUNTBLANK(OFFSET(A$1,,,SUMPRODUCT(MAX(ROW(E$1:E2688)*(E2=E$1:E2688))))))</f>
        <v> </v>
      </c>
      <c r="K2689" s="25" t="str">
        <f>IF(OR(E2689="",E2689="!!!",F2689="NEW"),"",INDEX(J$1:J2688,SUMPRODUCT(MAX(ROW(E$1:E2688)*(E2689=E$1:E2688)))))</f>
        <v> </v>
      </c>
      <c r="L2689" s="26"/>
    </row>
    <row r="2690" spans="1:12">
      <c r="A2690" s="20" t="s">
        <v>1123</v>
      </c>
      <c r="E2690" s="21">
        <f>IF(D2690="?OLD","!!!","")</f>
        <v/>
      </c>
      <c r="F2690" s="22" t="str">
        <f>IF(OR(E2690="",E2690="!!!"),"",IF(NOT(ISNA(VLOOKUP(E2690,E$1:E2689,1,FALSE()))),"OLD",IF(AND(E2690&lt;&gt;"",E2690&lt;&gt;"!!!"),"NEW","")))</f>
        <v> </v>
      </c>
      <c r="G2690" s="23" t="str">
        <f>IF(OR(E2690="",E2690="!!!"),"",IF(OR(J2690=0,AND(J2690=1,K2690=1),AND(J2690=1,I2690="SBJ"),AND(J2690=1,I2690=0)),"?IN_FOCUS",IF(J2690&lt;=2,"?ACTIVATED",IF(J2690&lt;&gt;"","?FAMILIAR",IF(F2690="NEW",IF(ISNA(VLOOKUP(E2690,#REF!,1,FALSE())),"?TYPE_IDENTIFIABLE","?REFERENTIAL"),"_")))))</f>
        <v> </v>
      </c>
      <c r="H2690" s="24" t="str">
        <f>IF(J2690&lt;&gt;1,"",IF(I2690="SBJ","CB","?"))</f>
        <v> </v>
      </c>
      <c r="I2690" s="25" t="str">
        <f>IF(OR(E2690="",E2690="!!!",F2690="NEW"),"",INDEX(B2689:B$2,-1+SUMPRODUCT(MAX(ROW(E2689:E$2)*(E2690=E2689:E$2)))))</f>
        <v> </v>
      </c>
      <c r="J2690" s="25" t="str">
        <f>IF(OR(E2690="",E2690="!!!",F2690="NEW"),"",COUNTBLANK(OFFSET(A$1,,,SUMPRODUCT(MAX(ROW(E$2:E2690)*(E2690=E$2:E2690)))))-COUNTBLANK(OFFSET(A$1,,,SUMPRODUCT(MAX(ROW(E$1:E2689)*(E2=E$1:E2689))))))</f>
        <v> </v>
      </c>
      <c r="K2690" s="25" t="str">
        <f>IF(OR(E2690="",E2690="!!!",F2690="NEW"),"",INDEX(J$1:J2689,SUMPRODUCT(MAX(ROW(E$1:E2689)*(E2690=E$1:E2689)))))</f>
        <v> </v>
      </c>
      <c r="L2690" s="26"/>
    </row>
    <row r="2691" spans="1:12">
      <c r="A2691" s="20" t="s">
        <v>1217</v>
      </c>
      <c r="B2691" s="27" t="s">
        <v>1149</v>
      </c>
      <c r="C2691" s="27" t="s">
        <v>1126</v>
      </c>
      <c r="D2691" s="27" t="s">
        <v>1105</v>
      </c>
      <c r="E2691" s="21">
        <f>IF(D2691="?OLD","!!!","")</f>
        <v/>
      </c>
      <c r="F2691" s="22" t="str">
        <f>IF(OR(E2691="",E2691="!!!"),"",IF(NOT(ISNA(VLOOKUP(E2691,E$1:E2690,1,FALSE()))),"OLD",IF(AND(E2691&lt;&gt;"",E2691&lt;&gt;"!!!"),"NEW","")))</f>
        <v> </v>
      </c>
      <c r="G2691" s="23" t="str">
        <f>IF(OR(E2691="",E2691="!!!"),"",IF(OR(J2691=0,AND(J2691=1,K2691=1),AND(J2691=1,I2691="SBJ"),AND(J2691=1,I2691=0)),"?IN_FOCUS",IF(J2691&lt;=2,"?ACTIVATED",IF(J2691&lt;&gt;"","?FAMILIAR",IF(F2691="NEW",IF(ISNA(VLOOKUP(E2691,#REF!,1,FALSE())),"?TYPE_IDENTIFIABLE","?REFERENTIAL"),"_")))))</f>
        <v> </v>
      </c>
      <c r="H2691" s="24" t="str">
        <f>IF(J2691&lt;&gt;1,"",IF(I2691="SBJ","CB","?"))</f>
        <v> </v>
      </c>
      <c r="I2691" s="25" t="str">
        <f>IF(OR(E2691="",E2691="!!!",F2691="NEW"),"",INDEX(B2690:B$2,-1+SUMPRODUCT(MAX(ROW(E2690:E$2)*(E2691=E2690:E$2)))))</f>
        <v> </v>
      </c>
      <c r="J2691" s="25" t="str">
        <f>IF(OR(E2691="",E2691="!!!",F2691="NEW"),"",COUNTBLANK(OFFSET(A$1,,,SUMPRODUCT(MAX(ROW(E$2:E2691)*(E2691=E$2:E2691)))))-COUNTBLANK(OFFSET(A$1,,,SUMPRODUCT(MAX(ROW(E$1:E2690)*(E2=E$1:E2690))))))</f>
        <v> </v>
      </c>
      <c r="K2691" s="25" t="str">
        <f>IF(OR(E2691="",E2691="!!!",F2691="NEW"),"",INDEX(J$1:J2690,SUMPRODUCT(MAX(ROW(E$1:E2690)*(E2691=E$1:E2690)))))</f>
        <v> </v>
      </c>
      <c r="L2691" s="26"/>
    </row>
    <row r="2692" spans="1:12">
      <c r="A2692" s="20" t="s">
        <v>1186</v>
      </c>
      <c r="B2692" s="27" t="s">
        <v>1213</v>
      </c>
      <c r="C2692" s="27" t="s">
        <v>1126</v>
      </c>
      <c r="D2692" s="27" t="s">
        <v>1105</v>
      </c>
      <c r="E2692" s="21">
        <f>IF(D2692="?OLD","!!!","")</f>
        <v/>
      </c>
      <c r="F2692" s="22" t="str">
        <f>IF(OR(E2692="",E2692="!!!"),"",IF(NOT(ISNA(VLOOKUP(E2692,E$1:E2691,1,FALSE()))),"OLD",IF(AND(E2692&lt;&gt;"",E2692&lt;&gt;"!!!"),"NEW","")))</f>
        <v> </v>
      </c>
      <c r="G2692" s="23" t="str">
        <f>IF(OR(E2692="",E2692="!!!"),"",IF(OR(J2692=0,AND(J2692=1,K2692=1),AND(J2692=1,I2692="SBJ"),AND(J2692=1,I2692=0)),"?IN_FOCUS",IF(J2692&lt;=2,"?ACTIVATED",IF(J2692&lt;&gt;"","?FAMILIAR",IF(F2692="NEW",IF(ISNA(VLOOKUP(E2692,#REF!,1,FALSE())),"?TYPE_IDENTIFIABLE","?REFERENTIAL"),"_")))))</f>
        <v> </v>
      </c>
      <c r="H2692" s="24" t="str">
        <f>IF(J2692&lt;&gt;1,"",IF(I2692="SBJ","CB","?"))</f>
        <v> </v>
      </c>
      <c r="I2692" s="25" t="str">
        <f>IF(OR(E2692="",E2692="!!!",F2692="NEW"),"",INDEX(B2691:B$2,-1+SUMPRODUCT(MAX(ROW(E2691:E$2)*(E2692=E2691:E$2)))))</f>
        <v> </v>
      </c>
      <c r="J2692" s="25" t="str">
        <f>IF(OR(E2692="",E2692="!!!",F2692="NEW"),"",COUNTBLANK(OFFSET(A$1,,,SUMPRODUCT(MAX(ROW(E$2:E2692)*(E2692=E$2:E2692)))))-COUNTBLANK(OFFSET(A$1,,,SUMPRODUCT(MAX(ROW(E$1:E2691)*(E2=E$1:E2691))))))</f>
        <v> </v>
      </c>
      <c r="K2692" s="25" t="str">
        <f>IF(OR(E2692="",E2692="!!!",F2692="NEW"),"",INDEX(J$1:J2691,SUMPRODUCT(MAX(ROW(E$1:E2691)*(E2692=E$1:E2691)))))</f>
        <v> </v>
      </c>
      <c r="L2692" s="26"/>
    </row>
    <row r="2693" spans="1:12">
      <c r="A2693" s="20" t="s">
        <v>1628</v>
      </c>
      <c r="E2693" s="21">
        <f>IF(D2693="?OLD","!!!","")</f>
        <v/>
      </c>
      <c r="F2693" s="22" t="str">
        <f>IF(OR(E2693="",E2693="!!!"),"",IF(NOT(ISNA(VLOOKUP(E2693,E$1:E2692,1,FALSE()))),"OLD",IF(AND(E2693&lt;&gt;"",E2693&lt;&gt;"!!!"),"NEW","")))</f>
        <v> </v>
      </c>
      <c r="G2693" s="23" t="str">
        <f>IF(OR(E2693="",E2693="!!!"),"",IF(OR(J2693=0,AND(J2693=1,K2693=1),AND(J2693=1,I2693="SBJ"),AND(J2693=1,I2693=0)),"?IN_FOCUS",IF(J2693&lt;=2,"?ACTIVATED",IF(J2693&lt;&gt;"","?FAMILIAR",IF(F2693="NEW",IF(ISNA(VLOOKUP(E2693,#REF!,1,FALSE())),"?TYPE_IDENTIFIABLE","?REFERENTIAL"),"_")))))</f>
        <v> </v>
      </c>
      <c r="H2693" s="24" t="str">
        <f>IF(J2693&lt;&gt;1,"",IF(I2693="SBJ","CB","?"))</f>
        <v> </v>
      </c>
      <c r="I2693" s="25" t="str">
        <f>IF(OR(E2693="",E2693="!!!",F2693="NEW"),"",INDEX(B2692:B$2,-1+SUMPRODUCT(MAX(ROW(E2692:E$2)*(E2693=E2692:E$2)))))</f>
        <v> </v>
      </c>
      <c r="J2693" s="25" t="str">
        <f>IF(OR(E2693="",E2693="!!!",F2693="NEW"),"",COUNTBLANK(OFFSET(A$1,,,SUMPRODUCT(MAX(ROW(E$2:E2693)*(E2693=E$2:E2693)))))-COUNTBLANK(OFFSET(A$1,,,SUMPRODUCT(MAX(ROW(E$1:E2692)*(E2=E$1:E2692))))))</f>
        <v> </v>
      </c>
      <c r="K2693" s="25" t="str">
        <f>IF(OR(E2693="",E2693="!!!",F2693="NEW"),"",INDEX(J$1:J2692,SUMPRODUCT(MAX(ROW(E$1:E2692)*(E2693=E$1:E2692)))))</f>
        <v> </v>
      </c>
      <c r="L2693" s="26"/>
    </row>
    <row r="2694" spans="1:12">
      <c r="A2694" s="20" t="s">
        <v>1134</v>
      </c>
      <c r="E2694" s="21">
        <f>IF(D2694="?OLD","!!!","")</f>
        <v/>
      </c>
      <c r="F2694" s="22" t="str">
        <f>IF(OR(E2694="",E2694="!!!"),"",IF(NOT(ISNA(VLOOKUP(E2694,E$1:E2693,1,FALSE()))),"OLD",IF(AND(E2694&lt;&gt;"",E2694&lt;&gt;"!!!"),"NEW","")))</f>
        <v> </v>
      </c>
      <c r="G2694" s="23" t="str">
        <f>IF(OR(E2694="",E2694="!!!"),"",IF(OR(J2694=0,AND(J2694=1,K2694=1),AND(J2694=1,I2694="SBJ"),AND(J2694=1,I2694=0)),"?IN_FOCUS",IF(J2694&lt;=2,"?ACTIVATED",IF(J2694&lt;&gt;"","?FAMILIAR",IF(F2694="NEW",IF(ISNA(VLOOKUP(E2694,#REF!,1,FALSE())),"?TYPE_IDENTIFIABLE","?REFERENTIAL"),"_")))))</f>
        <v> </v>
      </c>
      <c r="H2694" s="24" t="str">
        <f>IF(J2694&lt;&gt;1,"",IF(I2694="SBJ","CB","?"))</f>
        <v> </v>
      </c>
      <c r="I2694" s="25" t="str">
        <f>IF(OR(E2694="",E2694="!!!",F2694="NEW"),"",INDEX(B2693:B$2,-1+SUMPRODUCT(MAX(ROW(E2693:E$2)*(E2694=E2693:E$2)))))</f>
        <v> </v>
      </c>
      <c r="J2694" s="25" t="str">
        <f>IF(OR(E2694="",E2694="!!!",F2694="NEW"),"",COUNTBLANK(OFFSET(A$1,,,SUMPRODUCT(MAX(ROW(E$2:E2694)*(E2694=E$2:E2694)))))-COUNTBLANK(OFFSET(A$1,,,SUMPRODUCT(MAX(ROW(E$1:E2693)*(E2=E$1:E2693))))))</f>
        <v> </v>
      </c>
      <c r="K2694" s="25" t="str">
        <f>IF(OR(E2694="",E2694="!!!",F2694="NEW"),"",INDEX(J$1:J2693,SUMPRODUCT(MAX(ROW(E$1:E2693)*(E2694=E$1:E2693)))))</f>
        <v> </v>
      </c>
      <c r="L2694" s="26"/>
    </row>
    <row r="2695" spans="1:12">
      <c r="A2695" s="20" t="s">
        <v>2375</v>
      </c>
      <c r="E2695" s="21">
        <f>IF(D2695="?OLD","!!!","")</f>
        <v/>
      </c>
      <c r="F2695" s="22" t="str">
        <f>IF(OR(E2695="",E2695="!!!"),"",IF(NOT(ISNA(VLOOKUP(E2695,E$1:E2694,1,FALSE()))),"OLD",IF(AND(E2695&lt;&gt;"",E2695&lt;&gt;"!!!"),"NEW","")))</f>
        <v> </v>
      </c>
      <c r="G2695" s="23" t="str">
        <f>IF(OR(E2695="",E2695="!!!"),"",IF(OR(J2695=0,AND(J2695=1,K2695=1),AND(J2695=1,I2695="SBJ"),AND(J2695=1,I2695=0)),"?IN_FOCUS",IF(J2695&lt;=2,"?ACTIVATED",IF(J2695&lt;&gt;"","?FAMILIAR",IF(F2695="NEW",IF(ISNA(VLOOKUP(E2695,#REF!,1,FALSE())),"?TYPE_IDENTIFIABLE","?REFERENTIAL"),"_")))))</f>
        <v> </v>
      </c>
      <c r="H2695" s="24" t="str">
        <f>IF(J2695&lt;&gt;1,"",IF(I2695="SBJ","CB","?"))</f>
        <v> </v>
      </c>
      <c r="I2695" s="25" t="str">
        <f>IF(OR(E2695="",E2695="!!!",F2695="NEW"),"",INDEX(B2694:B$2,-1+SUMPRODUCT(MAX(ROW(E2694:E$2)*(E2695=E2694:E$2)))))</f>
        <v> </v>
      </c>
      <c r="J2695" s="25" t="str">
        <f>IF(OR(E2695="",E2695="!!!",F2695="NEW"),"",COUNTBLANK(OFFSET(A$1,,,SUMPRODUCT(MAX(ROW(E$2:E2695)*(E2695=E$2:E2695)))))-COUNTBLANK(OFFSET(A$1,,,SUMPRODUCT(MAX(ROW(E$1:E2694)*(E2=E$1:E2694))))))</f>
        <v> </v>
      </c>
      <c r="K2695" s="25" t="str">
        <f>IF(OR(E2695="",E2695="!!!",F2695="NEW"),"",INDEX(J$1:J2694,SUMPRODUCT(MAX(ROW(E$1:E2694)*(E2695=E$1:E2694)))))</f>
        <v> </v>
      </c>
      <c r="L2695" s="26"/>
    </row>
    <row r="2696" spans="1:12">
      <c r="A2696" s="20" t="s">
        <v>1351</v>
      </c>
      <c r="E2696" s="21">
        <f>IF(D2696="?OLD","!!!","")</f>
        <v/>
      </c>
      <c r="F2696" s="22" t="str">
        <f>IF(OR(E2696="",E2696="!!!"),"",IF(NOT(ISNA(VLOOKUP(E2696,E$1:E2695,1,FALSE()))),"OLD",IF(AND(E2696&lt;&gt;"",E2696&lt;&gt;"!!!"),"NEW","")))</f>
        <v> </v>
      </c>
      <c r="G2696" s="23" t="str">
        <f>IF(OR(E2696="",E2696="!!!"),"",IF(OR(J2696=0,AND(J2696=1,K2696=1),AND(J2696=1,I2696="SBJ"),AND(J2696=1,I2696=0)),"?IN_FOCUS",IF(J2696&lt;=2,"?ACTIVATED",IF(J2696&lt;&gt;"","?FAMILIAR",IF(F2696="NEW",IF(ISNA(VLOOKUP(E2696,#REF!,1,FALSE())),"?TYPE_IDENTIFIABLE","?REFERENTIAL"),"_")))))</f>
        <v> </v>
      </c>
      <c r="H2696" s="24" t="str">
        <f>IF(J2696&lt;&gt;1,"",IF(I2696="SBJ","CB","?"))</f>
        <v> </v>
      </c>
      <c r="I2696" s="25" t="str">
        <f>IF(OR(E2696="",E2696="!!!",F2696="NEW"),"",INDEX(B2695:B$2,-1+SUMPRODUCT(MAX(ROW(E2695:E$2)*(E2696=E2695:E$2)))))</f>
        <v> </v>
      </c>
      <c r="J2696" s="25" t="str">
        <f>IF(OR(E2696="",E2696="!!!",F2696="NEW"),"",COUNTBLANK(OFFSET(A$1,,,SUMPRODUCT(MAX(ROW(E$2:E2696)*(E2696=E$2:E2696)))))-COUNTBLANK(OFFSET(A$1,,,SUMPRODUCT(MAX(ROW(E$1:E2695)*(E2=E$1:E2695))))))</f>
        <v> </v>
      </c>
      <c r="K2696" s="25" t="str">
        <f>IF(OR(E2696="",E2696="!!!",F2696="NEW"),"",INDEX(J$1:J2695,SUMPRODUCT(MAX(ROW(E$1:E2695)*(E2696=E$1:E2695)))))</f>
        <v> </v>
      </c>
      <c r="L2696" s="26"/>
    </row>
    <row r="2697" spans="1:12">
      <c r="A2697" s="20"/>
    </row>
    <row r="2698" spans="1:12">
      <c r="A2698" s="20" t="s">
        <v>2376</v>
      </c>
    </row>
    <row r="2699" spans="1:12">
      <c r="A2699" s="20" t="s">
        <v>1547</v>
      </c>
      <c r="E2699" s="21">
        <f>IF(D2699="?OLD","!!!","")</f>
        <v/>
      </c>
      <c r="F2699" s="22" t="str">
        <f>IF(OR(E2699="",E2699="!!!"),"",IF(NOT(ISNA(VLOOKUP(E2699,E$1:E2698,1,FALSE()))),"OLD",IF(AND(E2699&lt;&gt;"",E2699&lt;&gt;"!!!"),"NEW","")))</f>
        <v> </v>
      </c>
      <c r="G2699" s="23" t="str">
        <f>IF(OR(E2699="",E2699="!!!"),"",IF(OR(J2699=0,AND(J2699=1,K2699=1),AND(J2699=1,I2699="SBJ"),AND(J2699=1,I2699=0)),"?IN_FOCUS",IF(J2699&lt;=2,"?ACTIVATED",IF(J2699&lt;&gt;"","?FAMILIAR",IF(F2699="NEW",IF(ISNA(VLOOKUP(E2699,#REF!,1,FALSE())),"?TYPE_IDENTIFIABLE","?REFERENTIAL"),"_")))))</f>
        <v> </v>
      </c>
      <c r="H2699" s="24" t="str">
        <f>IF(J2699&lt;&gt;1,"",IF(I2699="SBJ","CB","?"))</f>
        <v> </v>
      </c>
      <c r="I2699" s="25" t="str">
        <f>IF(OR(E2699="",E2699="!!!",F2699="NEW"),"",INDEX(B2698:B$2,-1+SUMPRODUCT(MAX(ROW(E2698:E$2)*(E2699=E2698:E$2)))))</f>
        <v> </v>
      </c>
      <c r="J2699" s="25" t="str">
        <f>IF(OR(E2699="",E2699="!!!",F2699="NEW"),"",COUNTBLANK(OFFSET(A$1,,,SUMPRODUCT(MAX(ROW(E$2:E2699)*(E2699=E$2:E2699)))))-COUNTBLANK(OFFSET(A$1,,,SUMPRODUCT(MAX(ROW(E$1:E2698)*(E2=E$1:E2698))))))</f>
        <v> </v>
      </c>
      <c r="K2699" s="25" t="str">
        <f>IF(OR(E2699="",E2699="!!!",F2699="NEW"),"",INDEX(J$1:J2698,SUMPRODUCT(MAX(ROW(E$1:E2698)*(E2699=E$1:E2698)))))</f>
        <v> </v>
      </c>
      <c r="L2699" s="26"/>
    </row>
    <row r="2700" spans="1:12">
      <c r="A2700" s="20" t="s">
        <v>1249</v>
      </c>
      <c r="E2700" s="21">
        <f>IF(D2700="?OLD","!!!","")</f>
        <v/>
      </c>
      <c r="F2700" s="22" t="str">
        <f>IF(OR(E2700="",E2700="!!!"),"",IF(NOT(ISNA(VLOOKUP(E2700,E$1:E2699,1,FALSE()))),"OLD",IF(AND(E2700&lt;&gt;"",E2700&lt;&gt;"!!!"),"NEW","")))</f>
        <v> </v>
      </c>
      <c r="G2700" s="23" t="str">
        <f>IF(OR(E2700="",E2700="!!!"),"",IF(OR(J2700=0,AND(J2700=1,K2700=1),AND(J2700=1,I2700="SBJ"),AND(J2700=1,I2700=0)),"?IN_FOCUS",IF(J2700&lt;=2,"?ACTIVATED",IF(J2700&lt;&gt;"","?FAMILIAR",IF(F2700="NEW",IF(ISNA(VLOOKUP(E2700,#REF!,1,FALSE())),"?TYPE_IDENTIFIABLE","?REFERENTIAL"),"_")))))</f>
        <v> </v>
      </c>
      <c r="H2700" s="24" t="str">
        <f>IF(J2700&lt;&gt;1,"",IF(I2700="SBJ","CB","?"))</f>
        <v> </v>
      </c>
      <c r="I2700" s="25" t="str">
        <f>IF(OR(E2700="",E2700="!!!",F2700="NEW"),"",INDEX(B2699:B$2,-1+SUMPRODUCT(MAX(ROW(E2699:E$2)*(E2700=E2699:E$2)))))</f>
        <v> </v>
      </c>
      <c r="J2700" s="25" t="str">
        <f>IF(OR(E2700="",E2700="!!!",F2700="NEW"),"",COUNTBLANK(OFFSET(A$1,,,SUMPRODUCT(MAX(ROW(E$2:E2700)*(E2700=E$2:E2700)))))-COUNTBLANK(OFFSET(A$1,,,SUMPRODUCT(MAX(ROW(E$1:E2699)*(E2=E$1:E2699))))))</f>
        <v> </v>
      </c>
      <c r="K2700" s="25" t="str">
        <f>IF(OR(E2700="",E2700="!!!",F2700="NEW"),"",INDEX(J$1:J2699,SUMPRODUCT(MAX(ROW(E$1:E2699)*(E2700=E$1:E2699)))))</f>
        <v> </v>
      </c>
      <c r="L2700" s="26"/>
    </row>
    <row r="2701" spans="1:12">
      <c r="A2701" s="20" t="s">
        <v>2377</v>
      </c>
      <c r="E2701" s="21">
        <f>IF(D2701="?OLD","!!!","")</f>
        <v/>
      </c>
      <c r="F2701" s="22" t="str">
        <f>IF(OR(E2701="",E2701="!!!"),"",IF(NOT(ISNA(VLOOKUP(E2701,E$1:E2700,1,FALSE()))),"OLD",IF(AND(E2701&lt;&gt;"",E2701&lt;&gt;"!!!"),"NEW","")))</f>
        <v> </v>
      </c>
      <c r="G2701" s="23" t="str">
        <f>IF(OR(E2701="",E2701="!!!"),"",IF(OR(J2701=0,AND(J2701=1,K2701=1),AND(J2701=1,I2701="SBJ"),AND(J2701=1,I2701=0)),"?IN_FOCUS",IF(J2701&lt;=2,"?ACTIVATED",IF(J2701&lt;&gt;"","?FAMILIAR",IF(F2701="NEW",IF(ISNA(VLOOKUP(E2701,#REF!,1,FALSE())),"?TYPE_IDENTIFIABLE","?REFERENTIAL"),"_")))))</f>
        <v> </v>
      </c>
      <c r="H2701" s="24" t="str">
        <f>IF(J2701&lt;&gt;1,"",IF(I2701="SBJ","CB","?"))</f>
        <v> </v>
      </c>
      <c r="I2701" s="25" t="str">
        <f>IF(OR(E2701="",E2701="!!!",F2701="NEW"),"",INDEX(B2700:B$2,-1+SUMPRODUCT(MAX(ROW(E2700:E$2)*(E2701=E2700:E$2)))))</f>
        <v> </v>
      </c>
      <c r="J2701" s="25" t="str">
        <f>IF(OR(E2701="",E2701="!!!",F2701="NEW"),"",COUNTBLANK(OFFSET(A$1,,,SUMPRODUCT(MAX(ROW(E$2:E2701)*(E2701=E$2:E2701)))))-COUNTBLANK(OFFSET(A$1,,,SUMPRODUCT(MAX(ROW(E$1:E2700)*(E2=E$1:E2700))))))</f>
        <v> </v>
      </c>
      <c r="K2701" s="25" t="str">
        <f>IF(OR(E2701="",E2701="!!!",F2701="NEW"),"",INDEX(J$1:J2700,SUMPRODUCT(MAX(ROW(E$1:E2700)*(E2701=E$1:E2700)))))</f>
        <v> </v>
      </c>
      <c r="L2701" s="26"/>
    </row>
    <row r="2702" spans="1:12">
      <c r="A2702" s="20" t="s">
        <v>2378</v>
      </c>
      <c r="E2702" s="21">
        <f>IF(D2702="?OLD","!!!","")</f>
        <v/>
      </c>
      <c r="F2702" s="22" t="str">
        <f>IF(OR(E2702="",E2702="!!!"),"",IF(NOT(ISNA(VLOOKUP(E2702,E$1:E2701,1,FALSE()))),"OLD",IF(AND(E2702&lt;&gt;"",E2702&lt;&gt;"!!!"),"NEW","")))</f>
        <v> </v>
      </c>
      <c r="G2702" s="23" t="str">
        <f>IF(OR(E2702="",E2702="!!!"),"",IF(OR(J2702=0,AND(J2702=1,K2702=1),AND(J2702=1,I2702="SBJ"),AND(J2702=1,I2702=0)),"?IN_FOCUS",IF(J2702&lt;=2,"?ACTIVATED",IF(J2702&lt;&gt;"","?FAMILIAR",IF(F2702="NEW",IF(ISNA(VLOOKUP(E2702,#REF!,1,FALSE())),"?TYPE_IDENTIFIABLE","?REFERENTIAL"),"_")))))</f>
        <v> </v>
      </c>
      <c r="H2702" s="24" t="str">
        <f>IF(J2702&lt;&gt;1,"",IF(I2702="SBJ","CB","?"))</f>
        <v> </v>
      </c>
      <c r="I2702" s="25" t="str">
        <f>IF(OR(E2702="",E2702="!!!",F2702="NEW"),"",INDEX(B2701:B$2,-1+SUMPRODUCT(MAX(ROW(E2701:E$2)*(E2702=E2701:E$2)))))</f>
        <v> </v>
      </c>
      <c r="J2702" s="25" t="str">
        <f>IF(OR(E2702="",E2702="!!!",F2702="NEW"),"",COUNTBLANK(OFFSET(A$1,,,SUMPRODUCT(MAX(ROW(E$2:E2702)*(E2702=E$2:E2702)))))-COUNTBLANK(OFFSET(A$1,,,SUMPRODUCT(MAX(ROW(E$1:E2701)*(E2=E$1:E2701))))))</f>
        <v> </v>
      </c>
      <c r="K2702" s="25" t="str">
        <f>IF(OR(E2702="",E2702="!!!",F2702="NEW"),"",INDEX(J$1:J2701,SUMPRODUCT(MAX(ROW(E$1:E2701)*(E2702=E$1:E2701)))))</f>
        <v> </v>
      </c>
      <c r="L2702" s="26"/>
    </row>
    <row r="2703" spans="1:12">
      <c r="A2703" s="20" t="s">
        <v>107</v>
      </c>
      <c r="E2703" s="21">
        <f>IF(D2703="?OLD","!!!","")</f>
        <v/>
      </c>
      <c r="F2703" s="22" t="str">
        <f>IF(OR(E2703="",E2703="!!!"),"",IF(NOT(ISNA(VLOOKUP(E2703,E$1:E2702,1,FALSE()))),"OLD",IF(AND(E2703&lt;&gt;"",E2703&lt;&gt;"!!!"),"NEW","")))</f>
        <v> </v>
      </c>
      <c r="G2703" s="23" t="str">
        <f>IF(OR(E2703="",E2703="!!!"),"",IF(OR(J2703=0,AND(J2703=1,K2703=1),AND(J2703=1,I2703="SBJ"),AND(J2703=1,I2703=0)),"?IN_FOCUS",IF(J2703&lt;=2,"?ACTIVATED",IF(J2703&lt;&gt;"","?FAMILIAR",IF(F2703="NEW",IF(ISNA(VLOOKUP(E2703,#REF!,1,FALSE())),"?TYPE_IDENTIFIABLE","?REFERENTIAL"),"_")))))</f>
        <v> </v>
      </c>
      <c r="H2703" s="24" t="str">
        <f>IF(J2703&lt;&gt;1,"",IF(I2703="SBJ","CB","?"))</f>
        <v> </v>
      </c>
      <c r="I2703" s="25" t="str">
        <f>IF(OR(E2703="",E2703="!!!",F2703="NEW"),"",INDEX(B2702:B$2,-1+SUMPRODUCT(MAX(ROW(E2702:E$2)*(E2703=E2702:E$2)))))</f>
        <v> </v>
      </c>
      <c r="J2703" s="25" t="str">
        <f>IF(OR(E2703="",E2703="!!!",F2703="NEW"),"",COUNTBLANK(OFFSET(A$1,,,SUMPRODUCT(MAX(ROW(E$2:E2703)*(E2703=E$2:E2703)))))-COUNTBLANK(OFFSET(A$1,,,SUMPRODUCT(MAX(ROW(E$1:E2702)*(E2=E$1:E2702))))))</f>
        <v> </v>
      </c>
      <c r="K2703" s="25" t="str">
        <f>IF(OR(E2703="",E2703="!!!",F2703="NEW"),"",INDEX(J$1:J2702,SUMPRODUCT(MAX(ROW(E$1:E2702)*(E2703=E$1:E2702)))))</f>
        <v> </v>
      </c>
      <c r="L2703" s="26"/>
    </row>
    <row r="2704" spans="1:12">
      <c r="A2704" s="20" t="s">
        <v>2379</v>
      </c>
      <c r="E2704" s="21">
        <f>IF(D2704="?OLD","!!!","")</f>
        <v/>
      </c>
      <c r="F2704" s="22" t="str">
        <f>IF(OR(E2704="",E2704="!!!"),"",IF(NOT(ISNA(VLOOKUP(E2704,E$1:E2703,1,FALSE()))),"OLD",IF(AND(E2704&lt;&gt;"",E2704&lt;&gt;"!!!"),"NEW","")))</f>
        <v> </v>
      </c>
      <c r="G2704" s="23" t="str">
        <f>IF(OR(E2704="",E2704="!!!"),"",IF(OR(J2704=0,AND(J2704=1,K2704=1),AND(J2704=1,I2704="SBJ"),AND(J2704=1,I2704=0)),"?IN_FOCUS",IF(J2704&lt;=2,"?ACTIVATED",IF(J2704&lt;&gt;"","?FAMILIAR",IF(F2704="NEW",IF(ISNA(VLOOKUP(E2704,#REF!,1,FALSE())),"?TYPE_IDENTIFIABLE","?REFERENTIAL"),"_")))))</f>
        <v> </v>
      </c>
      <c r="H2704" s="24" t="str">
        <f>IF(J2704&lt;&gt;1,"",IF(I2704="SBJ","CB","?"))</f>
        <v> </v>
      </c>
      <c r="I2704" s="25" t="str">
        <f>IF(OR(E2704="",E2704="!!!",F2704="NEW"),"",INDEX(B2703:B$2,-1+SUMPRODUCT(MAX(ROW(E2703:E$2)*(E2704=E2703:E$2)))))</f>
        <v> </v>
      </c>
      <c r="J2704" s="25" t="str">
        <f>IF(OR(E2704="",E2704="!!!",F2704="NEW"),"",COUNTBLANK(OFFSET(A$1,,,SUMPRODUCT(MAX(ROW(E$2:E2704)*(E2704=E$2:E2704)))))-COUNTBLANK(OFFSET(A$1,,,SUMPRODUCT(MAX(ROW(E$1:E2703)*(E2=E$1:E2703))))))</f>
        <v> </v>
      </c>
      <c r="K2704" s="25" t="str">
        <f>IF(OR(E2704="",E2704="!!!",F2704="NEW"),"",INDEX(J$1:J2703,SUMPRODUCT(MAX(ROW(E$1:E2703)*(E2704=E$1:E2703)))))</f>
        <v> </v>
      </c>
      <c r="L2704" s="26"/>
    </row>
    <row r="2705" spans="1:12">
      <c r="A2705" s="20" t="s">
        <v>1206</v>
      </c>
      <c r="E2705" s="21">
        <f>IF(D2705="?OLD","!!!","")</f>
        <v/>
      </c>
      <c r="F2705" s="22" t="str">
        <f>IF(OR(E2705="",E2705="!!!"),"",IF(NOT(ISNA(VLOOKUP(E2705,E$1:E2704,1,FALSE()))),"OLD",IF(AND(E2705&lt;&gt;"",E2705&lt;&gt;"!!!"),"NEW","")))</f>
        <v> </v>
      </c>
      <c r="G2705" s="23" t="str">
        <f>IF(OR(E2705="",E2705="!!!"),"",IF(OR(J2705=0,AND(J2705=1,K2705=1),AND(J2705=1,I2705="SBJ"),AND(J2705=1,I2705=0)),"?IN_FOCUS",IF(J2705&lt;=2,"?ACTIVATED",IF(J2705&lt;&gt;"","?FAMILIAR",IF(F2705="NEW",IF(ISNA(VLOOKUP(E2705,#REF!,1,FALSE())),"?TYPE_IDENTIFIABLE","?REFERENTIAL"),"_")))))</f>
        <v> </v>
      </c>
      <c r="H2705" s="24" t="str">
        <f>IF(J2705&lt;&gt;1,"",IF(I2705="SBJ","CB","?"))</f>
        <v> </v>
      </c>
      <c r="I2705" s="25" t="str">
        <f>IF(OR(E2705="",E2705="!!!",F2705="NEW"),"",INDEX(B2704:B$2,-1+SUMPRODUCT(MAX(ROW(E2704:E$2)*(E2705=E2704:E$2)))))</f>
        <v> </v>
      </c>
      <c r="J2705" s="25" t="str">
        <f>IF(OR(E2705="",E2705="!!!",F2705="NEW"),"",COUNTBLANK(OFFSET(A$1,,,SUMPRODUCT(MAX(ROW(E$2:E2705)*(E2705=E$2:E2705)))))-COUNTBLANK(OFFSET(A$1,,,SUMPRODUCT(MAX(ROW(E$1:E2704)*(E2=E$1:E2704))))))</f>
        <v> </v>
      </c>
      <c r="K2705" s="25" t="str">
        <f>IF(OR(E2705="",E2705="!!!",F2705="NEW"),"",INDEX(J$1:J2704,SUMPRODUCT(MAX(ROW(E$1:E2704)*(E2705=E$1:E2704)))))</f>
        <v> </v>
      </c>
      <c r="L2705" s="26"/>
    </row>
    <row r="2706" spans="1:12">
      <c r="A2706" s="20" t="s">
        <v>2380</v>
      </c>
      <c r="B2706" s="27" t="s">
        <v>1243</v>
      </c>
      <c r="C2706" s="27" t="s">
        <v>1210</v>
      </c>
      <c r="E2706" s="21">
        <f>IF(D2706="?OLD","!!!","")</f>
        <v/>
      </c>
      <c r="F2706" s="22" t="str">
        <f>IF(OR(E2706="",E2706="!!!"),"",IF(NOT(ISNA(VLOOKUP(E2706,E$1:E2705,1,FALSE()))),"OLD",IF(AND(E2706&lt;&gt;"",E2706&lt;&gt;"!!!"),"NEW","")))</f>
        <v> </v>
      </c>
      <c r="G2706" s="23" t="str">
        <f>IF(OR(E2706="",E2706="!!!"),"",IF(OR(J2706=0,AND(J2706=1,K2706=1),AND(J2706=1,I2706="SBJ"),AND(J2706=1,I2706=0)),"?IN_FOCUS",IF(J2706&lt;=2,"?ACTIVATED",IF(J2706&lt;&gt;"","?FAMILIAR",IF(F2706="NEW",IF(ISNA(VLOOKUP(E2706,#REF!,1,FALSE())),"?TYPE_IDENTIFIABLE","?REFERENTIAL"),"_")))))</f>
        <v> </v>
      </c>
      <c r="H2706" s="24" t="str">
        <f>IF(J2706&lt;&gt;1,"",IF(I2706="SBJ","CB","?"))</f>
        <v> </v>
      </c>
      <c r="I2706" s="25" t="str">
        <f>IF(OR(E2706="",E2706="!!!",F2706="NEW"),"",INDEX(B2705:B$2,-1+SUMPRODUCT(MAX(ROW(E2705:E$2)*(E2706=E2705:E$2)))))</f>
        <v> </v>
      </c>
      <c r="J2706" s="25" t="str">
        <f>IF(OR(E2706="",E2706="!!!",F2706="NEW"),"",COUNTBLANK(OFFSET(A$1,,,SUMPRODUCT(MAX(ROW(E$2:E2706)*(E2706=E$2:E2706)))))-COUNTBLANK(OFFSET(A$1,,,SUMPRODUCT(MAX(ROW(E$1:E2705)*(E2=E$1:E2705))))))</f>
        <v> </v>
      </c>
      <c r="K2706" s="25" t="str">
        <f>IF(OR(E2706="",E2706="!!!",F2706="NEW"),"",INDEX(J$1:J2705,SUMPRODUCT(MAX(ROW(E$1:E2705)*(E2706=E$1:E2705)))))</f>
        <v> </v>
      </c>
      <c r="L2706" s="26"/>
    </row>
    <row r="2707" spans="1:12">
      <c r="A2707" s="20" t="s">
        <v>1145</v>
      </c>
      <c r="E2707" s="21">
        <f>IF(D2707="?OLD","!!!","")</f>
        <v/>
      </c>
      <c r="F2707" s="22" t="str">
        <f>IF(OR(E2707="",E2707="!!!"),"",IF(NOT(ISNA(VLOOKUP(E2707,E$1:E2706,1,FALSE()))),"OLD",IF(AND(E2707&lt;&gt;"",E2707&lt;&gt;"!!!"),"NEW","")))</f>
        <v> </v>
      </c>
      <c r="G2707" s="23" t="str">
        <f>IF(OR(E2707="",E2707="!!!"),"",IF(OR(J2707=0,AND(J2707=1,K2707=1),AND(J2707=1,I2707="SBJ"),AND(J2707=1,I2707=0)),"?IN_FOCUS",IF(J2707&lt;=2,"?ACTIVATED",IF(J2707&lt;&gt;"","?FAMILIAR",IF(F2707="NEW",IF(ISNA(VLOOKUP(E2707,#REF!,1,FALSE())),"?TYPE_IDENTIFIABLE","?REFERENTIAL"),"_")))))</f>
        <v> </v>
      </c>
      <c r="H2707" s="24" t="str">
        <f>IF(J2707&lt;&gt;1,"",IF(I2707="SBJ","CB","?"))</f>
        <v> </v>
      </c>
      <c r="I2707" s="25" t="str">
        <f>IF(OR(E2707="",E2707="!!!",F2707="NEW"),"",INDEX(B2706:B$2,-1+SUMPRODUCT(MAX(ROW(E2706:E$2)*(E2707=E2706:E$2)))))</f>
        <v> </v>
      </c>
      <c r="J2707" s="25" t="str">
        <f>IF(OR(E2707="",E2707="!!!",F2707="NEW"),"",COUNTBLANK(OFFSET(A$1,,,SUMPRODUCT(MAX(ROW(E$2:E2707)*(E2707=E$2:E2707)))))-COUNTBLANK(OFFSET(A$1,,,SUMPRODUCT(MAX(ROW(E$1:E2706)*(E2=E$1:E2706))))))</f>
        <v> </v>
      </c>
      <c r="K2707" s="25" t="str">
        <f>IF(OR(E2707="",E2707="!!!",F2707="NEW"),"",INDEX(J$1:J2706,SUMPRODUCT(MAX(ROW(E$1:E2706)*(E2707=E$1:E2706)))))</f>
        <v> </v>
      </c>
      <c r="L2707" s="26"/>
    </row>
    <row r="2708" spans="1:12">
      <c r="A2708" s="20"/>
    </row>
    <row r="2709" spans="1:12">
      <c r="A2709" s="20" t="s">
        <v>2381</v>
      </c>
    </row>
    <row r="2710" spans="1:12">
      <c r="A2710" s="20" t="s">
        <v>2382</v>
      </c>
      <c r="E2710" s="21">
        <f>IF(D2710="?OLD","!!!","")</f>
        <v/>
      </c>
      <c r="F2710" s="22" t="str">
        <f>IF(OR(E2710="",E2710="!!!"),"",IF(NOT(ISNA(VLOOKUP(E2710,E$1:E2709,1,FALSE()))),"OLD",IF(AND(E2710&lt;&gt;"",E2710&lt;&gt;"!!!"),"NEW","")))</f>
        <v> </v>
      </c>
      <c r="G2710" s="23" t="str">
        <f>IF(OR(E2710="",E2710="!!!"),"",IF(OR(J2710=0,AND(J2710=1,K2710=1),AND(J2710=1,I2710="SBJ"),AND(J2710=1,I2710=0)),"?IN_FOCUS",IF(J2710&lt;=2,"?ACTIVATED",IF(J2710&lt;&gt;"","?FAMILIAR",IF(F2710="NEW",IF(ISNA(VLOOKUP(E2710,#REF!,1,FALSE())),"?TYPE_IDENTIFIABLE","?REFERENTIAL"),"_")))))</f>
        <v> </v>
      </c>
      <c r="H2710" s="24" t="str">
        <f>IF(J2710&lt;&gt;1,"",IF(I2710="SBJ","CB","?"))</f>
        <v> </v>
      </c>
      <c r="I2710" s="25" t="str">
        <f>IF(OR(E2710="",E2710="!!!",F2710="NEW"),"",INDEX(B2709:B$2,-1+SUMPRODUCT(MAX(ROW(E2709:E$2)*(E2710=E2709:E$2)))))</f>
        <v> </v>
      </c>
      <c r="J2710" s="25" t="str">
        <f>IF(OR(E2710="",E2710="!!!",F2710="NEW"),"",COUNTBLANK(OFFSET(A$1,,,SUMPRODUCT(MAX(ROW(E$2:E2710)*(E2710=E$2:E2710)))))-COUNTBLANK(OFFSET(A$1,,,SUMPRODUCT(MAX(ROW(E$1:E2709)*(E2=E$1:E2709))))))</f>
        <v> </v>
      </c>
      <c r="K2710" s="25" t="str">
        <f>IF(OR(E2710="",E2710="!!!",F2710="NEW"),"",INDEX(J$1:J2709,SUMPRODUCT(MAX(ROW(E$1:E2709)*(E2710=E$1:E2709)))))</f>
        <v> </v>
      </c>
      <c r="L2710" s="26"/>
    </row>
    <row r="2711" spans="1:12">
      <c r="A2711" s="20" t="s">
        <v>2383</v>
      </c>
      <c r="B2711" s="27" t="s">
        <v>1149</v>
      </c>
      <c r="E2711" s="21">
        <f>IF(D2711="?OLD","!!!","")</f>
        <v/>
      </c>
      <c r="F2711" s="22" t="str">
        <f>IF(OR(E2711="",E2711="!!!"),"",IF(NOT(ISNA(VLOOKUP(E2711,E$1:E2710,1,FALSE()))),"OLD",IF(AND(E2711&lt;&gt;"",E2711&lt;&gt;"!!!"),"NEW","")))</f>
        <v> </v>
      </c>
      <c r="G2711" s="23" t="str">
        <f>IF(OR(E2711="",E2711="!!!"),"",IF(OR(J2711=0,AND(J2711=1,K2711=1),AND(J2711=1,I2711="SBJ"),AND(J2711=1,I2711=0)),"?IN_FOCUS",IF(J2711&lt;=2,"?ACTIVATED",IF(J2711&lt;&gt;"","?FAMILIAR",IF(F2711="NEW",IF(ISNA(VLOOKUP(E2711,#REF!,1,FALSE())),"?TYPE_IDENTIFIABLE","?REFERENTIAL"),"_")))))</f>
        <v> </v>
      </c>
      <c r="H2711" s="24" t="str">
        <f>IF(J2711&lt;&gt;1,"",IF(I2711="SBJ","CB","?"))</f>
        <v> </v>
      </c>
      <c r="I2711" s="25" t="str">
        <f>IF(OR(E2711="",E2711="!!!",F2711="NEW"),"",INDEX(B2710:B$2,-1+SUMPRODUCT(MAX(ROW(E2710:E$2)*(E2711=E2710:E$2)))))</f>
        <v> </v>
      </c>
      <c r="J2711" s="25" t="str">
        <f>IF(OR(E2711="",E2711="!!!",F2711="NEW"),"",COUNTBLANK(OFFSET(A$1,,,SUMPRODUCT(MAX(ROW(E$2:E2711)*(E2711=E$2:E2711)))))-COUNTBLANK(OFFSET(A$1,,,SUMPRODUCT(MAX(ROW(E$1:E2710)*(E2=E$1:E2710))))))</f>
        <v> </v>
      </c>
      <c r="K2711" s="25" t="str">
        <f>IF(OR(E2711="",E2711="!!!",F2711="NEW"),"",INDEX(J$1:J2710,SUMPRODUCT(MAX(ROW(E$1:E2710)*(E2711=E$1:E2710)))))</f>
        <v> </v>
      </c>
      <c r="L2711" s="26"/>
    </row>
    <row r="2712" spans="1:12">
      <c r="A2712" s="20" t="s">
        <v>1309</v>
      </c>
      <c r="E2712" s="21">
        <f>IF(D2712="?OLD","!!!","")</f>
        <v/>
      </c>
      <c r="F2712" s="22" t="str">
        <f>IF(OR(E2712="",E2712="!!!"),"",IF(NOT(ISNA(VLOOKUP(E2712,E$1:E2711,1,FALSE()))),"OLD",IF(AND(E2712&lt;&gt;"",E2712&lt;&gt;"!!!"),"NEW","")))</f>
        <v> </v>
      </c>
      <c r="G2712" s="23" t="str">
        <f>IF(OR(E2712="",E2712="!!!"),"",IF(OR(J2712=0,AND(J2712=1,K2712=1),AND(J2712=1,I2712="SBJ"),AND(J2712=1,I2712=0)),"?IN_FOCUS",IF(J2712&lt;=2,"?ACTIVATED",IF(J2712&lt;&gt;"","?FAMILIAR",IF(F2712="NEW",IF(ISNA(VLOOKUP(E2712,#REF!,1,FALSE())),"?TYPE_IDENTIFIABLE","?REFERENTIAL"),"_")))))</f>
        <v> </v>
      </c>
      <c r="H2712" s="24" t="str">
        <f>IF(J2712&lt;&gt;1,"",IF(I2712="SBJ","CB","?"))</f>
        <v> </v>
      </c>
      <c r="I2712" s="25" t="str">
        <f>IF(OR(E2712="",E2712="!!!",F2712="NEW"),"",INDEX(B2711:B$2,-1+SUMPRODUCT(MAX(ROW(E2711:E$2)*(E2712=E2711:E$2)))))</f>
        <v> </v>
      </c>
      <c r="J2712" s="25" t="str">
        <f>IF(OR(E2712="",E2712="!!!",F2712="NEW"),"",COUNTBLANK(OFFSET(A$1,,,SUMPRODUCT(MAX(ROW(E$2:E2712)*(E2712=E$2:E2712)))))-COUNTBLANK(OFFSET(A$1,,,SUMPRODUCT(MAX(ROW(E$1:E2711)*(E2=E$1:E2711))))))</f>
        <v> </v>
      </c>
      <c r="K2712" s="25" t="str">
        <f>IF(OR(E2712="",E2712="!!!",F2712="NEW"),"",INDEX(J$1:J2711,SUMPRODUCT(MAX(ROW(E$1:E2711)*(E2712=E$1:E2711)))))</f>
        <v> </v>
      </c>
      <c r="L2712" s="26"/>
    </row>
    <row r="2713" spans="1:12">
      <c r="A2713" s="20" t="s">
        <v>2384</v>
      </c>
      <c r="E2713" s="21">
        <f>IF(D2713="?OLD","!!!","")</f>
        <v/>
      </c>
      <c r="F2713" s="22" t="str">
        <f>IF(OR(E2713="",E2713="!!!"),"",IF(NOT(ISNA(VLOOKUP(E2713,E$1:E2712,1,FALSE()))),"OLD",IF(AND(E2713&lt;&gt;"",E2713&lt;&gt;"!!!"),"NEW","")))</f>
        <v> </v>
      </c>
      <c r="G2713" s="23" t="str">
        <f>IF(OR(E2713="",E2713="!!!"),"",IF(OR(J2713=0,AND(J2713=1,K2713=1),AND(J2713=1,I2713="SBJ"),AND(J2713=1,I2713=0)),"?IN_FOCUS",IF(J2713&lt;=2,"?ACTIVATED",IF(J2713&lt;&gt;"","?FAMILIAR",IF(F2713="NEW",IF(ISNA(VLOOKUP(E2713,#REF!,1,FALSE())),"?TYPE_IDENTIFIABLE","?REFERENTIAL"),"_")))))</f>
        <v> </v>
      </c>
      <c r="H2713" s="24" t="str">
        <f>IF(J2713&lt;&gt;1,"",IF(I2713="SBJ","CB","?"))</f>
        <v> </v>
      </c>
      <c r="I2713" s="25" t="str">
        <f>IF(OR(E2713="",E2713="!!!",F2713="NEW"),"",INDEX(B2712:B$2,-1+SUMPRODUCT(MAX(ROW(E2712:E$2)*(E2713=E2712:E$2)))))</f>
        <v> </v>
      </c>
      <c r="J2713" s="25" t="str">
        <f>IF(OR(E2713="",E2713="!!!",F2713="NEW"),"",COUNTBLANK(OFFSET(A$1,,,SUMPRODUCT(MAX(ROW(E$2:E2713)*(E2713=E$2:E2713)))))-COUNTBLANK(OFFSET(A$1,,,SUMPRODUCT(MAX(ROW(E$1:E2712)*(E2=E$1:E2712))))))</f>
        <v> </v>
      </c>
      <c r="K2713" s="25" t="str">
        <f>IF(OR(E2713="",E2713="!!!",F2713="NEW"),"",INDEX(J$1:J2712,SUMPRODUCT(MAX(ROW(E$1:E2712)*(E2713=E$1:E2712)))))</f>
        <v> </v>
      </c>
      <c r="L2713" s="26"/>
    </row>
    <row r="2714" spans="1:12">
      <c r="A2714" s="20" t="s">
        <v>2385</v>
      </c>
      <c r="E2714" s="21">
        <f>IF(D2714="?OLD","!!!","")</f>
        <v/>
      </c>
      <c r="F2714" s="22" t="str">
        <f>IF(OR(E2714="",E2714="!!!"),"",IF(NOT(ISNA(VLOOKUP(E2714,E$1:E2713,1,FALSE()))),"OLD",IF(AND(E2714&lt;&gt;"",E2714&lt;&gt;"!!!"),"NEW","")))</f>
        <v> </v>
      </c>
      <c r="G2714" s="23" t="str">
        <f>IF(OR(E2714="",E2714="!!!"),"",IF(OR(J2714=0,AND(J2714=1,K2714=1),AND(J2714=1,I2714="SBJ"),AND(J2714=1,I2714=0)),"?IN_FOCUS",IF(J2714&lt;=2,"?ACTIVATED",IF(J2714&lt;&gt;"","?FAMILIAR",IF(F2714="NEW",IF(ISNA(VLOOKUP(E2714,#REF!,1,FALSE())),"?TYPE_IDENTIFIABLE","?REFERENTIAL"),"_")))))</f>
        <v> </v>
      </c>
      <c r="H2714" s="24" t="str">
        <f>IF(J2714&lt;&gt;1,"",IF(I2714="SBJ","CB","?"))</f>
        <v> </v>
      </c>
      <c r="I2714" s="25" t="str">
        <f>IF(OR(E2714="",E2714="!!!",F2714="NEW"),"",INDEX(B2713:B$2,-1+SUMPRODUCT(MAX(ROW(E2713:E$2)*(E2714=E2713:E$2)))))</f>
        <v> </v>
      </c>
      <c r="J2714" s="25" t="str">
        <f>IF(OR(E2714="",E2714="!!!",F2714="NEW"),"",COUNTBLANK(OFFSET(A$1,,,SUMPRODUCT(MAX(ROW(E$2:E2714)*(E2714=E$2:E2714)))))-COUNTBLANK(OFFSET(A$1,,,SUMPRODUCT(MAX(ROW(E$1:E2713)*(E2=E$1:E2713))))))</f>
        <v> </v>
      </c>
      <c r="K2714" s="25" t="str">
        <f>IF(OR(E2714="",E2714="!!!",F2714="NEW"),"",INDEX(J$1:J2713,SUMPRODUCT(MAX(ROW(E$1:E2713)*(E2714=E$1:E2713)))))</f>
        <v> </v>
      </c>
      <c r="L2714" s="26"/>
    </row>
    <row r="2715" spans="1:12">
      <c r="A2715" s="20" t="s">
        <v>1123</v>
      </c>
      <c r="E2715" s="21">
        <f>IF(D2715="?OLD","!!!","")</f>
        <v/>
      </c>
      <c r="F2715" s="22" t="str">
        <f>IF(OR(E2715="",E2715="!!!"),"",IF(NOT(ISNA(VLOOKUP(E2715,E$1:E2714,1,FALSE()))),"OLD",IF(AND(E2715&lt;&gt;"",E2715&lt;&gt;"!!!"),"NEW","")))</f>
        <v> </v>
      </c>
      <c r="G2715" s="23" t="str">
        <f>IF(OR(E2715="",E2715="!!!"),"",IF(OR(J2715=0,AND(J2715=1,K2715=1),AND(J2715=1,I2715="SBJ"),AND(J2715=1,I2715=0)),"?IN_FOCUS",IF(J2715&lt;=2,"?ACTIVATED",IF(J2715&lt;&gt;"","?FAMILIAR",IF(F2715="NEW",IF(ISNA(VLOOKUP(E2715,#REF!,1,FALSE())),"?TYPE_IDENTIFIABLE","?REFERENTIAL"),"_")))))</f>
        <v> </v>
      </c>
      <c r="H2715" s="24" t="str">
        <f>IF(J2715&lt;&gt;1,"",IF(I2715="SBJ","CB","?"))</f>
        <v> </v>
      </c>
      <c r="I2715" s="25" t="str">
        <f>IF(OR(E2715="",E2715="!!!",F2715="NEW"),"",INDEX(B2714:B$2,-1+SUMPRODUCT(MAX(ROW(E2714:E$2)*(E2715=E2714:E$2)))))</f>
        <v> </v>
      </c>
      <c r="J2715" s="25" t="str">
        <f>IF(OR(E2715="",E2715="!!!",F2715="NEW"),"",COUNTBLANK(OFFSET(A$1,,,SUMPRODUCT(MAX(ROW(E$2:E2715)*(E2715=E$2:E2715)))))-COUNTBLANK(OFFSET(A$1,,,SUMPRODUCT(MAX(ROW(E$1:E2714)*(E2=E$1:E2714))))))</f>
        <v> </v>
      </c>
      <c r="K2715" s="25" t="str">
        <f>IF(OR(E2715="",E2715="!!!",F2715="NEW"),"",INDEX(J$1:J2714,SUMPRODUCT(MAX(ROW(E$1:E2714)*(E2715=E$1:E2714)))))</f>
        <v> </v>
      </c>
      <c r="L2715" s="26"/>
    </row>
    <row r="2716" spans="1:12">
      <c r="A2716" s="20" t="s">
        <v>1128</v>
      </c>
      <c r="E2716" s="21">
        <f>IF(D2716="?OLD","!!!","")</f>
        <v/>
      </c>
      <c r="F2716" s="22" t="str">
        <f>IF(OR(E2716="",E2716="!!!"),"",IF(NOT(ISNA(VLOOKUP(E2716,E$1:E2715,1,FALSE()))),"OLD",IF(AND(E2716&lt;&gt;"",E2716&lt;&gt;"!!!"),"NEW","")))</f>
        <v> </v>
      </c>
      <c r="G2716" s="23" t="str">
        <f>IF(OR(E2716="",E2716="!!!"),"",IF(OR(J2716=0,AND(J2716=1,K2716=1),AND(J2716=1,I2716="SBJ"),AND(J2716=1,I2716=0)),"?IN_FOCUS",IF(J2716&lt;=2,"?ACTIVATED",IF(J2716&lt;&gt;"","?FAMILIAR",IF(F2716="NEW",IF(ISNA(VLOOKUP(E2716,#REF!,1,FALSE())),"?TYPE_IDENTIFIABLE","?REFERENTIAL"),"_")))))</f>
        <v> </v>
      </c>
      <c r="H2716" s="24" t="str">
        <f>IF(J2716&lt;&gt;1,"",IF(I2716="SBJ","CB","?"))</f>
        <v> </v>
      </c>
      <c r="I2716" s="25" t="str">
        <f>IF(OR(E2716="",E2716="!!!",F2716="NEW"),"",INDEX(B2715:B$2,-1+SUMPRODUCT(MAX(ROW(E2715:E$2)*(E2716=E2715:E$2)))))</f>
        <v> </v>
      </c>
      <c r="J2716" s="25" t="str">
        <f>IF(OR(E2716="",E2716="!!!",F2716="NEW"),"",COUNTBLANK(OFFSET(A$1,,,SUMPRODUCT(MAX(ROW(E$2:E2716)*(E2716=E$2:E2716)))))-COUNTBLANK(OFFSET(A$1,,,SUMPRODUCT(MAX(ROW(E$1:E2715)*(E2=E$1:E2715))))))</f>
        <v> </v>
      </c>
      <c r="K2716" s="25" t="str">
        <f>IF(OR(E2716="",E2716="!!!",F2716="NEW"),"",INDEX(J$1:J2715,SUMPRODUCT(MAX(ROW(E$1:E2715)*(E2716=E$1:E2715)))))</f>
        <v> </v>
      </c>
      <c r="L2716" s="26"/>
    </row>
    <row r="2717" spans="1:12">
      <c r="A2717" s="20" t="s">
        <v>1123</v>
      </c>
      <c r="E2717" s="21">
        <f>IF(D2717="?OLD","!!!","")</f>
        <v/>
      </c>
      <c r="F2717" s="22" t="str">
        <f>IF(OR(E2717="",E2717="!!!"),"",IF(NOT(ISNA(VLOOKUP(E2717,E$1:E2716,1,FALSE()))),"OLD",IF(AND(E2717&lt;&gt;"",E2717&lt;&gt;"!!!"),"NEW","")))</f>
        <v> </v>
      </c>
      <c r="G2717" s="23" t="str">
        <f>IF(OR(E2717="",E2717="!!!"),"",IF(OR(J2717=0,AND(J2717=1,K2717=1),AND(J2717=1,I2717="SBJ"),AND(J2717=1,I2717=0)),"?IN_FOCUS",IF(J2717&lt;=2,"?ACTIVATED",IF(J2717&lt;&gt;"","?FAMILIAR",IF(F2717="NEW",IF(ISNA(VLOOKUP(E2717,#REF!,1,FALSE())),"?TYPE_IDENTIFIABLE","?REFERENTIAL"),"_")))))</f>
        <v> </v>
      </c>
      <c r="H2717" s="24" t="str">
        <f>IF(J2717&lt;&gt;1,"",IF(I2717="SBJ","CB","?"))</f>
        <v> </v>
      </c>
      <c r="I2717" s="25" t="str">
        <f>IF(OR(E2717="",E2717="!!!",F2717="NEW"),"",INDEX(B2716:B$2,-1+SUMPRODUCT(MAX(ROW(E2716:E$2)*(E2717=E2716:E$2)))))</f>
        <v> </v>
      </c>
      <c r="J2717" s="25" t="str">
        <f>IF(OR(E2717="",E2717="!!!",F2717="NEW"),"",COUNTBLANK(OFFSET(A$1,,,SUMPRODUCT(MAX(ROW(E$2:E2717)*(E2717=E$2:E2717)))))-COUNTBLANK(OFFSET(A$1,,,SUMPRODUCT(MAX(ROW(E$1:E2716)*(E2=E$1:E2716))))))</f>
        <v> </v>
      </c>
      <c r="K2717" s="25" t="str">
        <f>IF(OR(E2717="",E2717="!!!",F2717="NEW"),"",INDEX(J$1:J2716,SUMPRODUCT(MAX(ROW(E$1:E2716)*(E2717=E$1:E2716)))))</f>
        <v> </v>
      </c>
      <c r="L2717" s="26"/>
    </row>
    <row r="2718" spans="1:12">
      <c r="A2718" s="20" t="s">
        <v>2386</v>
      </c>
      <c r="E2718" s="21">
        <f>IF(D2718="?OLD","!!!","")</f>
        <v/>
      </c>
      <c r="F2718" s="22" t="str">
        <f>IF(OR(E2718="",E2718="!!!"),"",IF(NOT(ISNA(VLOOKUP(E2718,E$1:E2717,1,FALSE()))),"OLD",IF(AND(E2718&lt;&gt;"",E2718&lt;&gt;"!!!"),"NEW","")))</f>
        <v> </v>
      </c>
      <c r="G2718" s="23" t="str">
        <f>IF(OR(E2718="",E2718="!!!"),"",IF(OR(J2718=0,AND(J2718=1,K2718=1),AND(J2718=1,I2718="SBJ"),AND(J2718=1,I2718=0)),"?IN_FOCUS",IF(J2718&lt;=2,"?ACTIVATED",IF(J2718&lt;&gt;"","?FAMILIAR",IF(F2718="NEW",IF(ISNA(VLOOKUP(E2718,#REF!,1,FALSE())),"?TYPE_IDENTIFIABLE","?REFERENTIAL"),"_")))))</f>
        <v> </v>
      </c>
      <c r="H2718" s="24" t="str">
        <f>IF(J2718&lt;&gt;1,"",IF(I2718="SBJ","CB","?"))</f>
        <v> </v>
      </c>
      <c r="I2718" s="25" t="str">
        <f>IF(OR(E2718="",E2718="!!!",F2718="NEW"),"",INDEX(B2717:B$2,-1+SUMPRODUCT(MAX(ROW(E2717:E$2)*(E2718=E2717:E$2)))))</f>
        <v> </v>
      </c>
      <c r="J2718" s="25" t="str">
        <f>IF(OR(E2718="",E2718="!!!",F2718="NEW"),"",COUNTBLANK(OFFSET(A$1,,,SUMPRODUCT(MAX(ROW(E$2:E2718)*(E2718=E$2:E2718)))))-COUNTBLANK(OFFSET(A$1,,,SUMPRODUCT(MAX(ROW(E$1:E2717)*(E2=E$1:E2717))))))</f>
        <v> </v>
      </c>
      <c r="K2718" s="25" t="str">
        <f>IF(OR(E2718="",E2718="!!!",F2718="NEW"),"",INDEX(J$1:J2717,SUMPRODUCT(MAX(ROW(E$1:E2717)*(E2718=E$1:E2717)))))</f>
        <v> </v>
      </c>
      <c r="L2718" s="26"/>
    </row>
    <row r="2719" spans="1:12">
      <c r="A2719" s="20" t="s">
        <v>1184</v>
      </c>
      <c r="E2719" s="21">
        <f>IF(D2719="?OLD","!!!","")</f>
        <v/>
      </c>
      <c r="F2719" s="22" t="str">
        <f>IF(OR(E2719="",E2719="!!!"),"",IF(NOT(ISNA(VLOOKUP(E2719,E$1:E2718,1,FALSE()))),"OLD",IF(AND(E2719&lt;&gt;"",E2719&lt;&gt;"!!!"),"NEW","")))</f>
        <v> </v>
      </c>
      <c r="G2719" s="23" t="str">
        <f>IF(OR(E2719="",E2719="!!!"),"",IF(OR(J2719=0,AND(J2719=1,K2719=1),AND(J2719=1,I2719="SBJ"),AND(J2719=1,I2719=0)),"?IN_FOCUS",IF(J2719&lt;=2,"?ACTIVATED",IF(J2719&lt;&gt;"","?FAMILIAR",IF(F2719="NEW",IF(ISNA(VLOOKUP(E2719,#REF!,1,FALSE())),"?TYPE_IDENTIFIABLE","?REFERENTIAL"),"_")))))</f>
        <v> </v>
      </c>
      <c r="H2719" s="24" t="str">
        <f>IF(J2719&lt;&gt;1,"",IF(I2719="SBJ","CB","?"))</f>
        <v> </v>
      </c>
      <c r="I2719" s="25" t="str">
        <f>IF(OR(E2719="",E2719="!!!",F2719="NEW"),"",INDEX(B2718:B$2,-1+SUMPRODUCT(MAX(ROW(E2718:E$2)*(E2719=E2718:E$2)))))</f>
        <v> </v>
      </c>
      <c r="J2719" s="25" t="str">
        <f>IF(OR(E2719="",E2719="!!!",F2719="NEW"),"",COUNTBLANK(OFFSET(A$1,,,SUMPRODUCT(MAX(ROW(E$2:E2719)*(E2719=E$2:E2719)))))-COUNTBLANK(OFFSET(A$1,,,SUMPRODUCT(MAX(ROW(E$1:E2718)*(E2=E$1:E2718))))))</f>
        <v> </v>
      </c>
      <c r="K2719" s="25" t="str">
        <f>IF(OR(E2719="",E2719="!!!",F2719="NEW"),"",INDEX(J$1:J2718,SUMPRODUCT(MAX(ROW(E$1:E2718)*(E2719=E$1:E2718)))))</f>
        <v> </v>
      </c>
      <c r="L2719" s="26"/>
    </row>
    <row r="2720" spans="1:12">
      <c r="A2720" s="20" t="s">
        <v>2387</v>
      </c>
      <c r="E2720" s="21">
        <f>IF(D2720="?OLD","!!!","")</f>
        <v/>
      </c>
      <c r="F2720" s="22" t="str">
        <f>IF(OR(E2720="",E2720="!!!"),"",IF(NOT(ISNA(VLOOKUP(E2720,E$1:E2719,1,FALSE()))),"OLD",IF(AND(E2720&lt;&gt;"",E2720&lt;&gt;"!!!"),"NEW","")))</f>
        <v> </v>
      </c>
      <c r="G2720" s="23" t="str">
        <f>IF(OR(E2720="",E2720="!!!"),"",IF(OR(J2720=0,AND(J2720=1,K2720=1),AND(J2720=1,I2720="SBJ"),AND(J2720=1,I2720=0)),"?IN_FOCUS",IF(J2720&lt;=2,"?ACTIVATED",IF(J2720&lt;&gt;"","?FAMILIAR",IF(F2720="NEW",IF(ISNA(VLOOKUP(E2720,#REF!,1,FALSE())),"?TYPE_IDENTIFIABLE","?REFERENTIAL"),"_")))))</f>
        <v> </v>
      </c>
      <c r="H2720" s="24" t="str">
        <f>IF(J2720&lt;&gt;1,"",IF(I2720="SBJ","CB","?"))</f>
        <v> </v>
      </c>
      <c r="I2720" s="25" t="str">
        <f>IF(OR(E2720="",E2720="!!!",F2720="NEW"),"",INDEX(B2719:B$2,-1+SUMPRODUCT(MAX(ROW(E2719:E$2)*(E2720=E2719:E$2)))))</f>
        <v> </v>
      </c>
      <c r="J2720" s="25" t="str">
        <f>IF(OR(E2720="",E2720="!!!",F2720="NEW"),"",COUNTBLANK(OFFSET(A$1,,,SUMPRODUCT(MAX(ROW(E$2:E2720)*(E2720=E$2:E2720)))))-COUNTBLANK(OFFSET(A$1,,,SUMPRODUCT(MAX(ROW(E$1:E2719)*(E2=E$1:E2719))))))</f>
        <v> </v>
      </c>
      <c r="K2720" s="25" t="str">
        <f>IF(OR(E2720="",E2720="!!!",F2720="NEW"),"",INDEX(J$1:J2719,SUMPRODUCT(MAX(ROW(E$1:E2719)*(E2720=E$1:E2719)))))</f>
        <v> </v>
      </c>
      <c r="L2720" s="26"/>
    </row>
    <row r="2721" spans="1:12">
      <c r="A2721" s="20" t="s">
        <v>1123</v>
      </c>
      <c r="E2721" s="21">
        <f>IF(D2721="?OLD","!!!","")</f>
        <v/>
      </c>
      <c r="F2721" s="22" t="str">
        <f>IF(OR(E2721="",E2721="!!!"),"",IF(NOT(ISNA(VLOOKUP(E2721,E$1:E2720,1,FALSE()))),"OLD",IF(AND(E2721&lt;&gt;"",E2721&lt;&gt;"!!!"),"NEW","")))</f>
        <v> </v>
      </c>
      <c r="G2721" s="23" t="str">
        <f>IF(OR(E2721="",E2721="!!!"),"",IF(OR(J2721=0,AND(J2721=1,K2721=1),AND(J2721=1,I2721="SBJ"),AND(J2721=1,I2721=0)),"?IN_FOCUS",IF(J2721&lt;=2,"?ACTIVATED",IF(J2721&lt;&gt;"","?FAMILIAR",IF(F2721="NEW",IF(ISNA(VLOOKUP(E2721,#REF!,1,FALSE())),"?TYPE_IDENTIFIABLE","?REFERENTIAL"),"_")))))</f>
        <v> </v>
      </c>
      <c r="H2721" s="24" t="str">
        <f>IF(J2721&lt;&gt;1,"",IF(I2721="SBJ","CB","?"))</f>
        <v> </v>
      </c>
      <c r="I2721" s="25" t="str">
        <f>IF(OR(E2721="",E2721="!!!",F2721="NEW"),"",INDEX(B2720:B$2,-1+SUMPRODUCT(MAX(ROW(E2720:E$2)*(E2721=E2720:E$2)))))</f>
        <v> </v>
      </c>
      <c r="J2721" s="25" t="str">
        <f>IF(OR(E2721="",E2721="!!!",F2721="NEW"),"",COUNTBLANK(OFFSET(A$1,,,SUMPRODUCT(MAX(ROW(E$2:E2721)*(E2721=E$2:E2721)))))-COUNTBLANK(OFFSET(A$1,,,SUMPRODUCT(MAX(ROW(E$1:E2720)*(E2=E$1:E2720))))))</f>
        <v> </v>
      </c>
      <c r="K2721" s="25" t="str">
        <f>IF(OR(E2721="",E2721="!!!",F2721="NEW"),"",INDEX(J$1:J2720,SUMPRODUCT(MAX(ROW(E$1:E2720)*(E2721=E$1:E2720)))))</f>
        <v> </v>
      </c>
      <c r="L2721" s="26"/>
    </row>
    <row r="2722" spans="1:12">
      <c r="A2722" s="20" t="s">
        <v>1217</v>
      </c>
      <c r="B2722" s="27" t="s">
        <v>1122</v>
      </c>
      <c r="C2722" s="27" t="s">
        <v>1126</v>
      </c>
      <c r="D2722" s="27" t="s">
        <v>1105</v>
      </c>
      <c r="E2722" s="21">
        <f>IF(D2722="?OLD","!!!","")</f>
        <v/>
      </c>
      <c r="F2722" s="22" t="str">
        <f>IF(OR(E2722="",E2722="!!!"),"",IF(NOT(ISNA(VLOOKUP(E2722,E$1:E2721,1,FALSE()))),"OLD",IF(AND(E2722&lt;&gt;"",E2722&lt;&gt;"!!!"),"NEW","")))</f>
        <v> </v>
      </c>
      <c r="G2722" s="23" t="str">
        <f>IF(OR(E2722="",E2722="!!!"),"",IF(OR(J2722=0,AND(J2722=1,K2722=1),AND(J2722=1,I2722="SBJ"),AND(J2722=1,I2722=0)),"?IN_FOCUS",IF(J2722&lt;=2,"?ACTIVATED",IF(J2722&lt;&gt;"","?FAMILIAR",IF(F2722="NEW",IF(ISNA(VLOOKUP(E2722,#REF!,1,FALSE())),"?TYPE_IDENTIFIABLE","?REFERENTIAL"),"_")))))</f>
        <v> </v>
      </c>
      <c r="H2722" s="24" t="str">
        <f>IF(J2722&lt;&gt;1,"",IF(I2722="SBJ","CB","?"))</f>
        <v> </v>
      </c>
      <c r="I2722" s="25" t="str">
        <f>IF(OR(E2722="",E2722="!!!",F2722="NEW"),"",INDEX(B2721:B$2,-1+SUMPRODUCT(MAX(ROW(E2721:E$2)*(E2722=E2721:E$2)))))</f>
        <v> </v>
      </c>
      <c r="J2722" s="25" t="str">
        <f>IF(OR(E2722="",E2722="!!!",F2722="NEW"),"",COUNTBLANK(OFFSET(A$1,,,SUMPRODUCT(MAX(ROW(E$2:E2722)*(E2722=E$2:E2722)))))-COUNTBLANK(OFFSET(A$1,,,SUMPRODUCT(MAX(ROW(E$1:E2721)*(E2=E$1:E2721))))))</f>
        <v> </v>
      </c>
      <c r="K2722" s="25" t="str">
        <f>IF(OR(E2722="",E2722="!!!",F2722="NEW"),"",INDEX(J$1:J2721,SUMPRODUCT(MAX(ROW(E$1:E2721)*(E2722=E$1:E2721)))))</f>
        <v> </v>
      </c>
      <c r="L2722" s="26"/>
    </row>
    <row r="2723" spans="1:12">
      <c r="A2723" s="20" t="s">
        <v>1919</v>
      </c>
      <c r="E2723" s="21">
        <f>IF(D2723="?OLD","!!!","")</f>
        <v/>
      </c>
      <c r="F2723" s="22" t="str">
        <f>IF(OR(E2723="",E2723="!!!"),"",IF(NOT(ISNA(VLOOKUP(E2723,E$1:E2722,1,FALSE()))),"OLD",IF(AND(E2723&lt;&gt;"",E2723&lt;&gt;"!!!"),"NEW","")))</f>
        <v> </v>
      </c>
      <c r="G2723" s="23" t="str">
        <f>IF(OR(E2723="",E2723="!!!"),"",IF(OR(J2723=0,AND(J2723=1,K2723=1),AND(J2723=1,I2723="SBJ"),AND(J2723=1,I2723=0)),"?IN_FOCUS",IF(J2723&lt;=2,"?ACTIVATED",IF(J2723&lt;&gt;"","?FAMILIAR",IF(F2723="NEW",IF(ISNA(VLOOKUP(E2723,#REF!,1,FALSE())),"?TYPE_IDENTIFIABLE","?REFERENTIAL"),"_")))))</f>
        <v> </v>
      </c>
      <c r="H2723" s="24" t="str">
        <f>IF(J2723&lt;&gt;1,"",IF(I2723="SBJ","CB","?"))</f>
        <v> </v>
      </c>
      <c r="I2723" s="25" t="str">
        <f>IF(OR(E2723="",E2723="!!!",F2723="NEW"),"",INDEX(B2722:B$2,-1+SUMPRODUCT(MAX(ROW(E2722:E$2)*(E2723=E2722:E$2)))))</f>
        <v> </v>
      </c>
      <c r="J2723" s="25" t="str">
        <f>IF(OR(E2723="",E2723="!!!",F2723="NEW"),"",COUNTBLANK(OFFSET(A$1,,,SUMPRODUCT(MAX(ROW(E$2:E2723)*(E2723=E$2:E2723)))))-COUNTBLANK(OFFSET(A$1,,,SUMPRODUCT(MAX(ROW(E$1:E2722)*(E2=E$1:E2722))))))</f>
        <v> </v>
      </c>
      <c r="K2723" s="25" t="str">
        <f>IF(OR(E2723="",E2723="!!!",F2723="NEW"),"",INDEX(J$1:J2722,SUMPRODUCT(MAX(ROW(E$1:E2722)*(E2723=E$1:E2722)))))</f>
        <v> </v>
      </c>
      <c r="L2723" s="26"/>
    </row>
    <row r="2724" spans="1:12">
      <c r="A2724" s="20" t="s">
        <v>2388</v>
      </c>
      <c r="E2724" s="21">
        <f>IF(D2724="?OLD","!!!","")</f>
        <v/>
      </c>
      <c r="F2724" s="22" t="str">
        <f>IF(OR(E2724="",E2724="!!!"),"",IF(NOT(ISNA(VLOOKUP(E2724,E$1:E2723,1,FALSE()))),"OLD",IF(AND(E2724&lt;&gt;"",E2724&lt;&gt;"!!!"),"NEW","")))</f>
        <v> </v>
      </c>
      <c r="G2724" s="23" t="str">
        <f>IF(OR(E2724="",E2724="!!!"),"",IF(OR(J2724=0,AND(J2724=1,K2724=1),AND(J2724=1,I2724="SBJ"),AND(J2724=1,I2724=0)),"?IN_FOCUS",IF(J2724&lt;=2,"?ACTIVATED",IF(J2724&lt;&gt;"","?FAMILIAR",IF(F2724="NEW",IF(ISNA(VLOOKUP(E2724,#REF!,1,FALSE())),"?TYPE_IDENTIFIABLE","?REFERENTIAL"),"_")))))</f>
        <v> </v>
      </c>
      <c r="H2724" s="24" t="str">
        <f>IF(J2724&lt;&gt;1,"",IF(I2724="SBJ","CB","?"))</f>
        <v> </v>
      </c>
      <c r="I2724" s="25" t="str">
        <f>IF(OR(E2724="",E2724="!!!",F2724="NEW"),"",INDEX(B2723:B$2,-1+SUMPRODUCT(MAX(ROW(E2723:E$2)*(E2724=E2723:E$2)))))</f>
        <v> </v>
      </c>
      <c r="J2724" s="25" t="str">
        <f>IF(OR(E2724="",E2724="!!!",F2724="NEW"),"",COUNTBLANK(OFFSET(A$1,,,SUMPRODUCT(MAX(ROW(E$2:E2724)*(E2724=E$2:E2724)))))-COUNTBLANK(OFFSET(A$1,,,SUMPRODUCT(MAX(ROW(E$1:E2723)*(E2=E$1:E2723))))))</f>
        <v> </v>
      </c>
      <c r="K2724" s="25" t="str">
        <f>IF(OR(E2724="",E2724="!!!",F2724="NEW"),"",INDEX(J$1:J2723,SUMPRODUCT(MAX(ROW(E$1:E2723)*(E2724=E$1:E2723)))))</f>
        <v> </v>
      </c>
      <c r="L2724" s="26"/>
    </row>
    <row r="2725" spans="1:12">
      <c r="A2725" s="20" t="s">
        <v>2389</v>
      </c>
      <c r="B2725" s="27" t="s">
        <v>1243</v>
      </c>
      <c r="E2725" s="21">
        <f>IF(D2725="?OLD","!!!","")</f>
        <v/>
      </c>
      <c r="F2725" s="22" t="str">
        <f>IF(OR(E2725="",E2725="!!!"),"",IF(NOT(ISNA(VLOOKUP(E2725,E$1:E2724,1,FALSE()))),"OLD",IF(AND(E2725&lt;&gt;"",E2725&lt;&gt;"!!!"),"NEW","")))</f>
        <v> </v>
      </c>
      <c r="G2725" s="23" t="str">
        <f>IF(OR(E2725="",E2725="!!!"),"",IF(OR(J2725=0,AND(J2725=1,K2725=1),AND(J2725=1,I2725="SBJ"),AND(J2725=1,I2725=0)),"?IN_FOCUS",IF(J2725&lt;=2,"?ACTIVATED",IF(J2725&lt;&gt;"","?FAMILIAR",IF(F2725="NEW",IF(ISNA(VLOOKUP(E2725,#REF!,1,FALSE())),"?TYPE_IDENTIFIABLE","?REFERENTIAL"),"_")))))</f>
        <v> </v>
      </c>
      <c r="H2725" s="24" t="str">
        <f>IF(J2725&lt;&gt;1,"",IF(I2725="SBJ","CB","?"))</f>
        <v> </v>
      </c>
      <c r="I2725" s="25" t="str">
        <f>IF(OR(E2725="",E2725="!!!",F2725="NEW"),"",INDEX(B2724:B$2,-1+SUMPRODUCT(MAX(ROW(E2724:E$2)*(E2725=E2724:E$2)))))</f>
        <v> </v>
      </c>
      <c r="J2725" s="25" t="str">
        <f>IF(OR(E2725="",E2725="!!!",F2725="NEW"),"",COUNTBLANK(OFFSET(A$1,,,SUMPRODUCT(MAX(ROW(E$2:E2725)*(E2725=E$2:E2725)))))-COUNTBLANK(OFFSET(A$1,,,SUMPRODUCT(MAX(ROW(E$1:E2724)*(E2=E$1:E2724))))))</f>
        <v> </v>
      </c>
      <c r="K2725" s="25" t="str">
        <f>IF(OR(E2725="",E2725="!!!",F2725="NEW"),"",INDEX(J$1:J2724,SUMPRODUCT(MAX(ROW(E$1:E2724)*(E2725=E$1:E2724)))))</f>
        <v> </v>
      </c>
      <c r="L2725" s="26"/>
    </row>
    <row r="2726" spans="1:12">
      <c r="A2726" s="20" t="s">
        <v>1201</v>
      </c>
      <c r="E2726" s="21">
        <f>IF(D2726="?OLD","!!!","")</f>
        <v/>
      </c>
      <c r="F2726" s="22" t="str">
        <f>IF(OR(E2726="",E2726="!!!"),"",IF(NOT(ISNA(VLOOKUP(E2726,E$1:E2725,1,FALSE()))),"OLD",IF(AND(E2726&lt;&gt;"",E2726&lt;&gt;"!!!"),"NEW","")))</f>
        <v> </v>
      </c>
      <c r="G2726" s="23" t="str">
        <f>IF(OR(E2726="",E2726="!!!"),"",IF(OR(J2726=0,AND(J2726=1,K2726=1),AND(J2726=1,I2726="SBJ"),AND(J2726=1,I2726=0)),"?IN_FOCUS",IF(J2726&lt;=2,"?ACTIVATED",IF(J2726&lt;&gt;"","?FAMILIAR",IF(F2726="NEW",IF(ISNA(VLOOKUP(E2726,#REF!,1,FALSE())),"?TYPE_IDENTIFIABLE","?REFERENTIAL"),"_")))))</f>
        <v> </v>
      </c>
      <c r="H2726" s="24" t="str">
        <f>IF(J2726&lt;&gt;1,"",IF(I2726="SBJ","CB","?"))</f>
        <v> </v>
      </c>
      <c r="I2726" s="25" t="str">
        <f>IF(OR(E2726="",E2726="!!!",F2726="NEW"),"",INDEX(B2725:B$2,-1+SUMPRODUCT(MAX(ROW(E2725:E$2)*(E2726=E2725:E$2)))))</f>
        <v> </v>
      </c>
      <c r="J2726" s="25" t="str">
        <f>IF(OR(E2726="",E2726="!!!",F2726="NEW"),"",COUNTBLANK(OFFSET(A$1,,,SUMPRODUCT(MAX(ROW(E$2:E2726)*(E2726=E$2:E2726)))))-COUNTBLANK(OFFSET(A$1,,,SUMPRODUCT(MAX(ROW(E$1:E2725)*(E2=E$1:E2725))))))</f>
        <v> </v>
      </c>
      <c r="K2726" s="25" t="str">
        <f>IF(OR(E2726="",E2726="!!!",F2726="NEW"),"",INDEX(J$1:J2725,SUMPRODUCT(MAX(ROW(E$1:E2725)*(E2726=E$1:E2725)))))</f>
        <v> </v>
      </c>
      <c r="L2726" s="26"/>
    </row>
    <row r="2727" spans="1:12">
      <c r="A2727" s="20" t="s">
        <v>2390</v>
      </c>
      <c r="E2727" s="21">
        <f>IF(D2727="?OLD","!!!","")</f>
        <v/>
      </c>
      <c r="F2727" s="22" t="str">
        <f>IF(OR(E2727="",E2727="!!!"),"",IF(NOT(ISNA(VLOOKUP(E2727,E$1:E2726,1,FALSE()))),"OLD",IF(AND(E2727&lt;&gt;"",E2727&lt;&gt;"!!!"),"NEW","")))</f>
        <v> </v>
      </c>
      <c r="G2727" s="23" t="str">
        <f>IF(OR(E2727="",E2727="!!!"),"",IF(OR(J2727=0,AND(J2727=1,K2727=1),AND(J2727=1,I2727="SBJ"),AND(J2727=1,I2727=0)),"?IN_FOCUS",IF(J2727&lt;=2,"?ACTIVATED",IF(J2727&lt;&gt;"","?FAMILIAR",IF(F2727="NEW",IF(ISNA(VLOOKUP(E2727,#REF!,1,FALSE())),"?TYPE_IDENTIFIABLE","?REFERENTIAL"),"_")))))</f>
        <v> </v>
      </c>
      <c r="H2727" s="24" t="str">
        <f>IF(J2727&lt;&gt;1,"",IF(I2727="SBJ","CB","?"))</f>
        <v> </v>
      </c>
      <c r="I2727" s="25" t="str">
        <f>IF(OR(E2727="",E2727="!!!",F2727="NEW"),"",INDEX(B2726:B$2,-1+SUMPRODUCT(MAX(ROW(E2726:E$2)*(E2727=E2726:E$2)))))</f>
        <v> </v>
      </c>
      <c r="J2727" s="25" t="str">
        <f>IF(OR(E2727="",E2727="!!!",F2727="NEW"),"",COUNTBLANK(OFFSET(A$1,,,SUMPRODUCT(MAX(ROW(E$2:E2727)*(E2727=E$2:E2727)))))-COUNTBLANK(OFFSET(A$1,,,SUMPRODUCT(MAX(ROW(E$1:E2726)*(E2=E$1:E2726))))))</f>
        <v> </v>
      </c>
      <c r="K2727" s="25" t="str">
        <f>IF(OR(E2727="",E2727="!!!",F2727="NEW"),"",INDEX(J$1:J2726,SUMPRODUCT(MAX(ROW(E$1:E2726)*(E2727=E$1:E2726)))))</f>
        <v> </v>
      </c>
      <c r="L2727" s="26"/>
    </row>
    <row r="2728" spans="1:12">
      <c r="A2728" s="20" t="s">
        <v>1123</v>
      </c>
      <c r="E2728" s="21">
        <f>IF(D2728="?OLD","!!!","")</f>
        <v/>
      </c>
      <c r="F2728" s="22" t="str">
        <f>IF(OR(E2728="",E2728="!!!"),"",IF(NOT(ISNA(VLOOKUP(E2728,E$1:E2727,1,FALSE()))),"OLD",IF(AND(E2728&lt;&gt;"",E2728&lt;&gt;"!!!"),"NEW","")))</f>
        <v> </v>
      </c>
      <c r="G2728" s="23" t="str">
        <f>IF(OR(E2728="",E2728="!!!"),"",IF(OR(J2728=0,AND(J2728=1,K2728=1),AND(J2728=1,I2728="SBJ"),AND(J2728=1,I2728=0)),"?IN_FOCUS",IF(J2728&lt;=2,"?ACTIVATED",IF(J2728&lt;&gt;"","?FAMILIAR",IF(F2728="NEW",IF(ISNA(VLOOKUP(E2728,#REF!,1,FALSE())),"?TYPE_IDENTIFIABLE","?REFERENTIAL"),"_")))))</f>
        <v> </v>
      </c>
      <c r="H2728" s="24" t="str">
        <f>IF(J2728&lt;&gt;1,"",IF(I2728="SBJ","CB","?"))</f>
        <v> </v>
      </c>
      <c r="I2728" s="25" t="str">
        <f>IF(OR(E2728="",E2728="!!!",F2728="NEW"),"",INDEX(B2727:B$2,-1+SUMPRODUCT(MAX(ROW(E2727:E$2)*(E2728=E2727:E$2)))))</f>
        <v> </v>
      </c>
      <c r="J2728" s="25" t="str">
        <f>IF(OR(E2728="",E2728="!!!",F2728="NEW"),"",COUNTBLANK(OFFSET(A$1,,,SUMPRODUCT(MAX(ROW(E$2:E2728)*(E2728=E$2:E2728)))))-COUNTBLANK(OFFSET(A$1,,,SUMPRODUCT(MAX(ROW(E$1:E2727)*(E2=E$1:E2727))))))</f>
        <v> </v>
      </c>
      <c r="K2728" s="25" t="str">
        <f>IF(OR(E2728="",E2728="!!!",F2728="NEW"),"",INDEX(J$1:J2727,SUMPRODUCT(MAX(ROW(E$1:E2727)*(E2728=E$1:E2727)))))</f>
        <v> </v>
      </c>
      <c r="L2728" s="26"/>
    </row>
    <row r="2729" spans="1:12">
      <c r="A2729" s="20" t="s">
        <v>1271</v>
      </c>
      <c r="E2729" s="21">
        <f>IF(D2729="?OLD","!!!","")</f>
        <v/>
      </c>
      <c r="F2729" s="22" t="str">
        <f>IF(OR(E2729="",E2729="!!!"),"",IF(NOT(ISNA(VLOOKUP(E2729,E$1:E2728,1,FALSE()))),"OLD",IF(AND(E2729&lt;&gt;"",E2729&lt;&gt;"!!!"),"NEW","")))</f>
        <v> </v>
      </c>
      <c r="G2729" s="23" t="str">
        <f>IF(OR(E2729="",E2729="!!!"),"",IF(OR(J2729=0,AND(J2729=1,K2729=1),AND(J2729=1,I2729="SBJ"),AND(J2729=1,I2729=0)),"?IN_FOCUS",IF(J2729&lt;=2,"?ACTIVATED",IF(J2729&lt;&gt;"","?FAMILIAR",IF(F2729="NEW",IF(ISNA(VLOOKUP(E2729,#REF!,1,FALSE())),"?TYPE_IDENTIFIABLE","?REFERENTIAL"),"_")))))</f>
        <v> </v>
      </c>
      <c r="H2729" s="24" t="str">
        <f>IF(J2729&lt;&gt;1,"",IF(I2729="SBJ","CB","?"))</f>
        <v> </v>
      </c>
      <c r="I2729" s="25" t="str">
        <f>IF(OR(E2729="",E2729="!!!",F2729="NEW"),"",INDEX(B2728:B$2,-1+SUMPRODUCT(MAX(ROW(E2728:E$2)*(E2729=E2728:E$2)))))</f>
        <v> </v>
      </c>
      <c r="J2729" s="25" t="str">
        <f>IF(OR(E2729="",E2729="!!!",F2729="NEW"),"",COUNTBLANK(OFFSET(A$1,,,SUMPRODUCT(MAX(ROW(E$2:E2729)*(E2729=E$2:E2729)))))-COUNTBLANK(OFFSET(A$1,,,SUMPRODUCT(MAX(ROW(E$1:E2728)*(E2=E$1:E2728))))))</f>
        <v> </v>
      </c>
      <c r="K2729" s="25" t="str">
        <f>IF(OR(E2729="",E2729="!!!",F2729="NEW"),"",INDEX(J$1:J2728,SUMPRODUCT(MAX(ROW(E$1:E2728)*(E2729=E$1:E2728)))))</f>
        <v> </v>
      </c>
      <c r="L2729" s="26"/>
    </row>
    <row r="2730" spans="1:12">
      <c r="A2730" s="20" t="s">
        <v>2391</v>
      </c>
      <c r="E2730" s="21">
        <f>IF(D2730="?OLD","!!!","")</f>
        <v/>
      </c>
      <c r="F2730" s="22" t="str">
        <f>IF(OR(E2730="",E2730="!!!"),"",IF(NOT(ISNA(VLOOKUP(E2730,E$1:E2729,1,FALSE()))),"OLD",IF(AND(E2730&lt;&gt;"",E2730&lt;&gt;"!!!"),"NEW","")))</f>
        <v> </v>
      </c>
      <c r="G2730" s="23" t="str">
        <f>IF(OR(E2730="",E2730="!!!"),"",IF(OR(J2730=0,AND(J2730=1,K2730=1),AND(J2730=1,I2730="SBJ"),AND(J2730=1,I2730=0)),"?IN_FOCUS",IF(J2730&lt;=2,"?ACTIVATED",IF(J2730&lt;&gt;"","?FAMILIAR",IF(F2730="NEW",IF(ISNA(VLOOKUP(E2730,#REF!,1,FALSE())),"?TYPE_IDENTIFIABLE","?REFERENTIAL"),"_")))))</f>
        <v> </v>
      </c>
      <c r="H2730" s="24" t="str">
        <f>IF(J2730&lt;&gt;1,"",IF(I2730="SBJ","CB","?"))</f>
        <v> </v>
      </c>
      <c r="I2730" s="25" t="str">
        <f>IF(OR(E2730="",E2730="!!!",F2730="NEW"),"",INDEX(B2729:B$2,-1+SUMPRODUCT(MAX(ROW(E2729:E$2)*(E2730=E2729:E$2)))))</f>
        <v> </v>
      </c>
      <c r="J2730" s="25" t="str">
        <f>IF(OR(E2730="",E2730="!!!",F2730="NEW"),"",COUNTBLANK(OFFSET(A$1,,,SUMPRODUCT(MAX(ROW(E$2:E2730)*(E2730=E$2:E2730)))))-COUNTBLANK(OFFSET(A$1,,,SUMPRODUCT(MAX(ROW(E$1:E2729)*(E2=E$1:E2729))))))</f>
        <v> </v>
      </c>
      <c r="K2730" s="25" t="str">
        <f>IF(OR(E2730="",E2730="!!!",F2730="NEW"),"",INDEX(J$1:J2729,SUMPRODUCT(MAX(ROW(E$1:E2729)*(E2730=E$1:E2729)))))</f>
        <v> </v>
      </c>
      <c r="L2730" s="26"/>
    </row>
    <row r="2731" spans="1:12">
      <c r="A2731" s="20" t="s">
        <v>2392</v>
      </c>
      <c r="E2731" s="21">
        <f>IF(D2731="?OLD","!!!","")</f>
        <v/>
      </c>
      <c r="F2731" s="22" t="str">
        <f>IF(OR(E2731="",E2731="!!!"),"",IF(NOT(ISNA(VLOOKUP(E2731,E$1:E2730,1,FALSE()))),"OLD",IF(AND(E2731&lt;&gt;"",E2731&lt;&gt;"!!!"),"NEW","")))</f>
        <v> </v>
      </c>
      <c r="G2731" s="23" t="str">
        <f>IF(OR(E2731="",E2731="!!!"),"",IF(OR(J2731=0,AND(J2731=1,K2731=1),AND(J2731=1,I2731="SBJ"),AND(J2731=1,I2731=0)),"?IN_FOCUS",IF(J2731&lt;=2,"?ACTIVATED",IF(J2731&lt;&gt;"","?FAMILIAR",IF(F2731="NEW",IF(ISNA(VLOOKUP(E2731,#REF!,1,FALSE())),"?TYPE_IDENTIFIABLE","?REFERENTIAL"),"_")))))</f>
        <v> </v>
      </c>
      <c r="H2731" s="24" t="str">
        <f>IF(J2731&lt;&gt;1,"",IF(I2731="SBJ","CB","?"))</f>
        <v> </v>
      </c>
      <c r="I2731" s="25" t="str">
        <f>IF(OR(E2731="",E2731="!!!",F2731="NEW"),"",INDEX(B2730:B$2,-1+SUMPRODUCT(MAX(ROW(E2730:E$2)*(E2731=E2730:E$2)))))</f>
        <v> </v>
      </c>
      <c r="J2731" s="25" t="str">
        <f>IF(OR(E2731="",E2731="!!!",F2731="NEW"),"",COUNTBLANK(OFFSET(A$1,,,SUMPRODUCT(MAX(ROW(E$2:E2731)*(E2731=E$2:E2731)))))-COUNTBLANK(OFFSET(A$1,,,SUMPRODUCT(MAX(ROW(E$1:E2730)*(E2=E$1:E2730))))))</f>
        <v> </v>
      </c>
      <c r="K2731" s="25" t="str">
        <f>IF(OR(E2731="",E2731="!!!",F2731="NEW"),"",INDEX(J$1:J2730,SUMPRODUCT(MAX(ROW(E$1:E2730)*(E2731=E$1:E2730)))))</f>
        <v> </v>
      </c>
      <c r="L2731" s="26"/>
    </row>
    <row r="2732" spans="1:12">
      <c r="A2732" s="20" t="s">
        <v>2393</v>
      </c>
      <c r="E2732" s="21">
        <f>IF(D2732="?OLD","!!!","")</f>
        <v/>
      </c>
      <c r="F2732" s="22" t="str">
        <f>IF(OR(E2732="",E2732="!!!"),"",IF(NOT(ISNA(VLOOKUP(E2732,E$1:E2731,1,FALSE()))),"OLD",IF(AND(E2732&lt;&gt;"",E2732&lt;&gt;"!!!"),"NEW","")))</f>
        <v> </v>
      </c>
      <c r="G2732" s="23" t="str">
        <f>IF(OR(E2732="",E2732="!!!"),"",IF(OR(J2732=0,AND(J2732=1,K2732=1),AND(J2732=1,I2732="SBJ"),AND(J2732=1,I2732=0)),"?IN_FOCUS",IF(J2732&lt;=2,"?ACTIVATED",IF(J2732&lt;&gt;"","?FAMILIAR",IF(F2732="NEW",IF(ISNA(VLOOKUP(E2732,#REF!,1,FALSE())),"?TYPE_IDENTIFIABLE","?REFERENTIAL"),"_")))))</f>
        <v> </v>
      </c>
      <c r="H2732" s="24" t="str">
        <f>IF(J2732&lt;&gt;1,"",IF(I2732="SBJ","CB","?"))</f>
        <v> </v>
      </c>
      <c r="I2732" s="25" t="str">
        <f>IF(OR(E2732="",E2732="!!!",F2732="NEW"),"",INDEX(B2731:B$2,-1+SUMPRODUCT(MAX(ROW(E2731:E$2)*(E2732=E2731:E$2)))))</f>
        <v> </v>
      </c>
      <c r="J2732" s="25" t="str">
        <f>IF(OR(E2732="",E2732="!!!",F2732="NEW"),"",COUNTBLANK(OFFSET(A$1,,,SUMPRODUCT(MAX(ROW(E$2:E2732)*(E2732=E$2:E2732)))))-COUNTBLANK(OFFSET(A$1,,,SUMPRODUCT(MAX(ROW(E$1:E2731)*(E2=E$1:E2731))))))</f>
        <v> </v>
      </c>
      <c r="K2732" s="25" t="str">
        <f>IF(OR(E2732="",E2732="!!!",F2732="NEW"),"",INDEX(J$1:J2731,SUMPRODUCT(MAX(ROW(E$1:E2731)*(E2732=E$1:E2731)))))</f>
        <v> </v>
      </c>
      <c r="L2732" s="26"/>
    </row>
    <row r="2733" spans="1:12">
      <c r="A2733" s="20" t="s">
        <v>1123</v>
      </c>
      <c r="E2733" s="21">
        <f>IF(D2733="?OLD","!!!","")</f>
        <v/>
      </c>
      <c r="F2733" s="22" t="str">
        <f>IF(OR(E2733="",E2733="!!!"),"",IF(NOT(ISNA(VLOOKUP(E2733,E$1:E2732,1,FALSE()))),"OLD",IF(AND(E2733&lt;&gt;"",E2733&lt;&gt;"!!!"),"NEW","")))</f>
        <v> </v>
      </c>
      <c r="G2733" s="23" t="str">
        <f>IF(OR(E2733="",E2733="!!!"),"",IF(OR(J2733=0,AND(J2733=1,K2733=1),AND(J2733=1,I2733="SBJ"),AND(J2733=1,I2733=0)),"?IN_FOCUS",IF(J2733&lt;=2,"?ACTIVATED",IF(J2733&lt;&gt;"","?FAMILIAR",IF(F2733="NEW",IF(ISNA(VLOOKUP(E2733,#REF!,1,FALSE())),"?TYPE_IDENTIFIABLE","?REFERENTIAL"),"_")))))</f>
        <v> </v>
      </c>
      <c r="H2733" s="24" t="str">
        <f>IF(J2733&lt;&gt;1,"",IF(I2733="SBJ","CB","?"))</f>
        <v> </v>
      </c>
      <c r="I2733" s="25" t="str">
        <f>IF(OR(E2733="",E2733="!!!",F2733="NEW"),"",INDEX(B2732:B$2,-1+SUMPRODUCT(MAX(ROW(E2732:E$2)*(E2733=E2732:E$2)))))</f>
        <v> </v>
      </c>
      <c r="J2733" s="25" t="str">
        <f>IF(OR(E2733="",E2733="!!!",F2733="NEW"),"",COUNTBLANK(OFFSET(A$1,,,SUMPRODUCT(MAX(ROW(E$2:E2733)*(E2733=E$2:E2733)))))-COUNTBLANK(OFFSET(A$1,,,SUMPRODUCT(MAX(ROW(E$1:E2732)*(E2=E$1:E2732))))))</f>
        <v> </v>
      </c>
      <c r="K2733" s="25" t="str">
        <f>IF(OR(E2733="",E2733="!!!",F2733="NEW"),"",INDEX(J$1:J2732,SUMPRODUCT(MAX(ROW(E$1:E2732)*(E2733=E$1:E2732)))))</f>
        <v> </v>
      </c>
      <c r="L2733" s="26"/>
    </row>
    <row r="2734" spans="1:12">
      <c r="A2734" s="20" t="s">
        <v>2394</v>
      </c>
      <c r="E2734" s="21">
        <f>IF(D2734="?OLD","!!!","")</f>
        <v/>
      </c>
      <c r="F2734" s="22" t="str">
        <f>IF(OR(E2734="",E2734="!!!"),"",IF(NOT(ISNA(VLOOKUP(E2734,E$1:E2733,1,FALSE()))),"OLD",IF(AND(E2734&lt;&gt;"",E2734&lt;&gt;"!!!"),"NEW","")))</f>
        <v> </v>
      </c>
      <c r="G2734" s="23" t="str">
        <f>IF(OR(E2734="",E2734="!!!"),"",IF(OR(J2734=0,AND(J2734=1,K2734=1),AND(J2734=1,I2734="SBJ"),AND(J2734=1,I2734=0)),"?IN_FOCUS",IF(J2734&lt;=2,"?ACTIVATED",IF(J2734&lt;&gt;"","?FAMILIAR",IF(F2734="NEW",IF(ISNA(VLOOKUP(E2734,#REF!,1,FALSE())),"?TYPE_IDENTIFIABLE","?REFERENTIAL"),"_")))))</f>
        <v> </v>
      </c>
      <c r="H2734" s="24" t="str">
        <f>IF(J2734&lt;&gt;1,"",IF(I2734="SBJ","CB","?"))</f>
        <v> </v>
      </c>
      <c r="I2734" s="25" t="str">
        <f>IF(OR(E2734="",E2734="!!!",F2734="NEW"),"",INDEX(B2733:B$2,-1+SUMPRODUCT(MAX(ROW(E2733:E$2)*(E2734=E2733:E$2)))))</f>
        <v> </v>
      </c>
      <c r="J2734" s="25" t="str">
        <f>IF(OR(E2734="",E2734="!!!",F2734="NEW"),"",COUNTBLANK(OFFSET(A$1,,,SUMPRODUCT(MAX(ROW(E$2:E2734)*(E2734=E$2:E2734)))))-COUNTBLANK(OFFSET(A$1,,,SUMPRODUCT(MAX(ROW(E$1:E2733)*(E2=E$1:E2733))))))</f>
        <v> </v>
      </c>
      <c r="K2734" s="25" t="str">
        <f>IF(OR(E2734="",E2734="!!!",F2734="NEW"),"",INDEX(J$1:J2733,SUMPRODUCT(MAX(ROW(E$1:E2733)*(E2734=E$1:E2733)))))</f>
        <v> </v>
      </c>
      <c r="L2734" s="26"/>
    </row>
    <row r="2735" spans="1:12">
      <c r="A2735" s="20" t="s">
        <v>1270</v>
      </c>
      <c r="B2735" s="27" t="s">
        <v>1144</v>
      </c>
      <c r="C2735" s="27" t="s">
        <v>1126</v>
      </c>
      <c r="D2735" s="27" t="s">
        <v>1105</v>
      </c>
      <c r="E2735" s="21">
        <f>IF(D2735="?OLD","!!!","")</f>
        <v/>
      </c>
      <c r="F2735" s="22" t="str">
        <f>IF(OR(E2735="",E2735="!!!"),"",IF(NOT(ISNA(VLOOKUP(E2735,E$1:E2734,1,FALSE()))),"OLD",IF(AND(E2735&lt;&gt;"",E2735&lt;&gt;"!!!"),"NEW","")))</f>
        <v> </v>
      </c>
      <c r="G2735" s="23" t="str">
        <f>IF(OR(E2735="",E2735="!!!"),"",IF(OR(J2735=0,AND(J2735=1,K2735=1),AND(J2735=1,I2735="SBJ"),AND(J2735=1,I2735=0)),"?IN_FOCUS",IF(J2735&lt;=2,"?ACTIVATED",IF(J2735&lt;&gt;"","?FAMILIAR",IF(F2735="NEW",IF(ISNA(VLOOKUP(E2735,#REF!,1,FALSE())),"?TYPE_IDENTIFIABLE","?REFERENTIAL"),"_")))))</f>
        <v> </v>
      </c>
      <c r="H2735" s="24" t="str">
        <f>IF(J2735&lt;&gt;1,"",IF(I2735="SBJ","CB","?"))</f>
        <v> </v>
      </c>
      <c r="I2735" s="25" t="str">
        <f>IF(OR(E2735="",E2735="!!!",F2735="NEW"),"",INDEX(B2734:B$2,-1+SUMPRODUCT(MAX(ROW(E2734:E$2)*(E2735=E2734:E$2)))))</f>
        <v> </v>
      </c>
      <c r="J2735" s="25" t="str">
        <f>IF(OR(E2735="",E2735="!!!",F2735="NEW"),"",COUNTBLANK(OFFSET(A$1,,,SUMPRODUCT(MAX(ROW(E$2:E2735)*(E2735=E$2:E2735)))))-COUNTBLANK(OFFSET(A$1,,,SUMPRODUCT(MAX(ROW(E$1:E2734)*(E2=E$1:E2734))))))</f>
        <v> </v>
      </c>
      <c r="K2735" s="25" t="str">
        <f>IF(OR(E2735="",E2735="!!!",F2735="NEW"),"",INDEX(J$1:J2734,SUMPRODUCT(MAX(ROW(E$1:E2734)*(E2735=E$1:E2734)))))</f>
        <v> </v>
      </c>
      <c r="L2735" s="26"/>
    </row>
    <row r="2736" spans="1:12">
      <c r="A2736" s="20" t="s">
        <v>1184</v>
      </c>
      <c r="E2736" s="21">
        <f>IF(D2736="?OLD","!!!","")</f>
        <v/>
      </c>
      <c r="F2736" s="22" t="str">
        <f>IF(OR(E2736="",E2736="!!!"),"",IF(NOT(ISNA(VLOOKUP(E2736,E$1:E2735,1,FALSE()))),"OLD",IF(AND(E2736&lt;&gt;"",E2736&lt;&gt;"!!!"),"NEW","")))</f>
        <v> </v>
      </c>
      <c r="G2736" s="23" t="str">
        <f>IF(OR(E2736="",E2736="!!!"),"",IF(OR(J2736=0,AND(J2736=1,K2736=1),AND(J2736=1,I2736="SBJ"),AND(J2736=1,I2736=0)),"?IN_FOCUS",IF(J2736&lt;=2,"?ACTIVATED",IF(J2736&lt;&gt;"","?FAMILIAR",IF(F2736="NEW",IF(ISNA(VLOOKUP(E2736,#REF!,1,FALSE())),"?TYPE_IDENTIFIABLE","?REFERENTIAL"),"_")))))</f>
        <v> </v>
      </c>
      <c r="H2736" s="24" t="str">
        <f>IF(J2736&lt;&gt;1,"",IF(I2736="SBJ","CB","?"))</f>
        <v> </v>
      </c>
      <c r="I2736" s="25" t="str">
        <f>IF(OR(E2736="",E2736="!!!",F2736="NEW"),"",INDEX(B2735:B$2,-1+SUMPRODUCT(MAX(ROW(E2735:E$2)*(E2736=E2735:E$2)))))</f>
        <v> </v>
      </c>
      <c r="J2736" s="25" t="str">
        <f>IF(OR(E2736="",E2736="!!!",F2736="NEW"),"",COUNTBLANK(OFFSET(A$1,,,SUMPRODUCT(MAX(ROW(E$2:E2736)*(E2736=E$2:E2736)))))-COUNTBLANK(OFFSET(A$1,,,SUMPRODUCT(MAX(ROW(E$1:E2735)*(E2=E$1:E2735))))))</f>
        <v> </v>
      </c>
      <c r="K2736" s="25" t="str">
        <f>IF(OR(E2736="",E2736="!!!",F2736="NEW"),"",INDEX(J$1:J2735,SUMPRODUCT(MAX(ROW(E$1:E2735)*(E2736=E$1:E2735)))))</f>
        <v> </v>
      </c>
      <c r="L2736" s="26"/>
    </row>
    <row r="2737" spans="1:12">
      <c r="A2737" s="20" t="s">
        <v>2395</v>
      </c>
      <c r="E2737" s="21">
        <f>IF(D2737="?OLD","!!!","")</f>
        <v/>
      </c>
      <c r="F2737" s="22" t="str">
        <f>IF(OR(E2737="",E2737="!!!"),"",IF(NOT(ISNA(VLOOKUP(E2737,E$1:E2736,1,FALSE()))),"OLD",IF(AND(E2737&lt;&gt;"",E2737&lt;&gt;"!!!"),"NEW","")))</f>
        <v> </v>
      </c>
      <c r="G2737" s="23" t="str">
        <f>IF(OR(E2737="",E2737="!!!"),"",IF(OR(J2737=0,AND(J2737=1,K2737=1),AND(J2737=1,I2737="SBJ"),AND(J2737=1,I2737=0)),"?IN_FOCUS",IF(J2737&lt;=2,"?ACTIVATED",IF(J2737&lt;&gt;"","?FAMILIAR",IF(F2737="NEW",IF(ISNA(VLOOKUP(E2737,#REF!,1,FALSE())),"?TYPE_IDENTIFIABLE","?REFERENTIAL"),"_")))))</f>
        <v> </v>
      </c>
      <c r="H2737" s="24" t="str">
        <f>IF(J2737&lt;&gt;1,"",IF(I2737="SBJ","CB","?"))</f>
        <v> </v>
      </c>
      <c r="I2737" s="25" t="str">
        <f>IF(OR(E2737="",E2737="!!!",F2737="NEW"),"",INDEX(B2736:B$2,-1+SUMPRODUCT(MAX(ROW(E2736:E$2)*(E2737=E2736:E$2)))))</f>
        <v> </v>
      </c>
      <c r="J2737" s="25" t="str">
        <f>IF(OR(E2737="",E2737="!!!",F2737="NEW"),"",COUNTBLANK(OFFSET(A$1,,,SUMPRODUCT(MAX(ROW(E$2:E2737)*(E2737=E$2:E2737)))))-COUNTBLANK(OFFSET(A$1,,,SUMPRODUCT(MAX(ROW(E$1:E2736)*(E2=E$1:E2736))))))</f>
        <v> </v>
      </c>
      <c r="K2737" s="25" t="str">
        <f>IF(OR(E2737="",E2737="!!!",F2737="NEW"),"",INDEX(J$1:J2736,SUMPRODUCT(MAX(ROW(E$1:E2736)*(E2737=E$1:E2736)))))</f>
        <v> </v>
      </c>
      <c r="L2737" s="26"/>
    </row>
    <row r="2738" spans="1:12">
      <c r="A2738" s="20" t="s">
        <v>1145</v>
      </c>
      <c r="E2738" s="21">
        <f>IF(D2738="?OLD","!!!","")</f>
        <v/>
      </c>
      <c r="F2738" s="22" t="str">
        <f>IF(OR(E2738="",E2738="!!!"),"",IF(NOT(ISNA(VLOOKUP(E2738,E$1:E2737,1,FALSE()))),"OLD",IF(AND(E2738&lt;&gt;"",E2738&lt;&gt;"!!!"),"NEW","")))</f>
        <v> </v>
      </c>
      <c r="G2738" s="23" t="str">
        <f>IF(OR(E2738="",E2738="!!!"),"",IF(OR(J2738=0,AND(J2738=1,K2738=1),AND(J2738=1,I2738="SBJ"),AND(J2738=1,I2738=0)),"?IN_FOCUS",IF(J2738&lt;=2,"?ACTIVATED",IF(J2738&lt;&gt;"","?FAMILIAR",IF(F2738="NEW",IF(ISNA(VLOOKUP(E2738,#REF!,1,FALSE())),"?TYPE_IDENTIFIABLE","?REFERENTIAL"),"_")))))</f>
        <v> </v>
      </c>
      <c r="H2738" s="24" t="str">
        <f>IF(J2738&lt;&gt;1,"",IF(I2738="SBJ","CB","?"))</f>
        <v> </v>
      </c>
      <c r="I2738" s="25" t="str">
        <f>IF(OR(E2738="",E2738="!!!",F2738="NEW"),"",INDEX(B2737:B$2,-1+SUMPRODUCT(MAX(ROW(E2737:E$2)*(E2738=E2737:E$2)))))</f>
        <v> </v>
      </c>
      <c r="J2738" s="25" t="str">
        <f>IF(OR(E2738="",E2738="!!!",F2738="NEW"),"",COUNTBLANK(OFFSET(A$1,,,SUMPRODUCT(MAX(ROW(E$2:E2738)*(E2738=E$2:E2738)))))-COUNTBLANK(OFFSET(A$1,,,SUMPRODUCT(MAX(ROW(E$1:E2737)*(E2=E$1:E2737))))))</f>
        <v> </v>
      </c>
      <c r="K2738" s="25" t="str">
        <f>IF(OR(E2738="",E2738="!!!",F2738="NEW"),"",INDEX(J$1:J2737,SUMPRODUCT(MAX(ROW(E$1:E2737)*(E2738=E$1:E2737)))))</f>
        <v> </v>
      </c>
      <c r="L2738" s="26"/>
    </row>
    <row r="2739" spans="1:12">
      <c r="A2739" s="20"/>
    </row>
    <row r="2740" spans="1:12">
      <c r="A2740" s="20" t="s">
        <v>2396</v>
      </c>
    </row>
    <row r="2741" spans="1:12">
      <c r="A2741" s="20" t="s">
        <v>2397</v>
      </c>
      <c r="B2741" s="27" t="s">
        <v>1149</v>
      </c>
      <c r="E2741" s="21">
        <f>IF(D2741="?OLD","!!!","")</f>
        <v/>
      </c>
      <c r="F2741" s="22" t="str">
        <f>IF(OR(E2741="",E2741="!!!"),"",IF(NOT(ISNA(VLOOKUP(E2741,E$1:E2740,1,FALSE()))),"OLD",IF(AND(E2741&lt;&gt;"",E2741&lt;&gt;"!!!"),"NEW","")))</f>
        <v> </v>
      </c>
      <c r="G2741" s="23" t="str">
        <f>IF(OR(E2741="",E2741="!!!"),"",IF(OR(J2741=0,AND(J2741=1,K2741=1),AND(J2741=1,I2741="SBJ"),AND(J2741=1,I2741=0)),"?IN_FOCUS",IF(J2741&lt;=2,"?ACTIVATED",IF(J2741&lt;&gt;"","?FAMILIAR",IF(F2741="NEW",IF(ISNA(VLOOKUP(E2741,#REF!,1,FALSE())),"?TYPE_IDENTIFIABLE","?REFERENTIAL"),"_")))))</f>
        <v> </v>
      </c>
      <c r="H2741" s="24" t="str">
        <f>IF(J2741&lt;&gt;1,"",IF(I2741="SBJ","CB","?"))</f>
        <v> </v>
      </c>
      <c r="I2741" s="25" t="str">
        <f>IF(OR(E2741="",E2741="!!!",F2741="NEW"),"",INDEX(B2740:B$2,-1+SUMPRODUCT(MAX(ROW(E2740:E$2)*(E2741=E2740:E$2)))))</f>
        <v> </v>
      </c>
      <c r="J2741" s="25" t="str">
        <f>IF(OR(E2741="",E2741="!!!",F2741="NEW"),"",COUNTBLANK(OFFSET(A$1,,,SUMPRODUCT(MAX(ROW(E$2:E2741)*(E2741=E$2:E2741)))))-COUNTBLANK(OFFSET(A$1,,,SUMPRODUCT(MAX(ROW(E$1:E2740)*(E2=E$1:E2740))))))</f>
        <v> </v>
      </c>
      <c r="K2741" s="25" t="str">
        <f>IF(OR(E2741="",E2741="!!!",F2741="NEW"),"",INDEX(J$1:J2740,SUMPRODUCT(MAX(ROW(E$1:E2740)*(E2741=E$1:E2740)))))</f>
        <v> </v>
      </c>
      <c r="L2741" s="26"/>
    </row>
    <row r="2742" spans="1:12">
      <c r="A2742" s="20" t="s">
        <v>2398</v>
      </c>
      <c r="E2742" s="21">
        <f>IF(D2742="?OLD","!!!","")</f>
        <v/>
      </c>
      <c r="F2742" s="22" t="str">
        <f>IF(OR(E2742="",E2742="!!!"),"",IF(NOT(ISNA(VLOOKUP(E2742,E$1:E2741,1,FALSE()))),"OLD",IF(AND(E2742&lt;&gt;"",E2742&lt;&gt;"!!!"),"NEW","")))</f>
        <v> </v>
      </c>
      <c r="G2742" s="23" t="str">
        <f>IF(OR(E2742="",E2742="!!!"),"",IF(OR(J2742=0,AND(J2742=1,K2742=1),AND(J2742=1,I2742="SBJ"),AND(J2742=1,I2742=0)),"?IN_FOCUS",IF(J2742&lt;=2,"?ACTIVATED",IF(J2742&lt;&gt;"","?FAMILIAR",IF(F2742="NEW",IF(ISNA(VLOOKUP(E2742,#REF!,1,FALSE())),"?TYPE_IDENTIFIABLE","?REFERENTIAL"),"_")))))</f>
        <v> </v>
      </c>
      <c r="H2742" s="24" t="str">
        <f>IF(J2742&lt;&gt;1,"",IF(I2742="SBJ","CB","?"))</f>
        <v> </v>
      </c>
      <c r="I2742" s="25" t="str">
        <f>IF(OR(E2742="",E2742="!!!",F2742="NEW"),"",INDEX(B2741:B$2,-1+SUMPRODUCT(MAX(ROW(E2741:E$2)*(E2742=E2741:E$2)))))</f>
        <v> </v>
      </c>
      <c r="J2742" s="25" t="str">
        <f>IF(OR(E2742="",E2742="!!!",F2742="NEW"),"",COUNTBLANK(OFFSET(A$1,,,SUMPRODUCT(MAX(ROW(E$2:E2742)*(E2742=E$2:E2742)))))-COUNTBLANK(OFFSET(A$1,,,SUMPRODUCT(MAX(ROW(E$1:E2741)*(E2=E$1:E2741))))))</f>
        <v> </v>
      </c>
      <c r="K2742" s="25" t="str">
        <f>IF(OR(E2742="",E2742="!!!",F2742="NEW"),"",INDEX(J$1:J2741,SUMPRODUCT(MAX(ROW(E$1:E2741)*(E2742=E$1:E2741)))))</f>
        <v> </v>
      </c>
      <c r="L2742" s="26"/>
    </row>
    <row r="2743" spans="1:12">
      <c r="A2743" s="20" t="s">
        <v>1113</v>
      </c>
      <c r="E2743" s="21">
        <f>IF(D2743="?OLD","!!!","")</f>
        <v/>
      </c>
      <c r="F2743" s="22" t="str">
        <f>IF(OR(E2743="",E2743="!!!"),"",IF(NOT(ISNA(VLOOKUP(E2743,E$1:E2742,1,FALSE()))),"OLD",IF(AND(E2743&lt;&gt;"",E2743&lt;&gt;"!!!"),"NEW","")))</f>
        <v> </v>
      </c>
      <c r="G2743" s="23" t="str">
        <f>IF(OR(E2743="",E2743="!!!"),"",IF(OR(J2743=0,AND(J2743=1,K2743=1),AND(J2743=1,I2743="SBJ"),AND(J2743=1,I2743=0)),"?IN_FOCUS",IF(J2743&lt;=2,"?ACTIVATED",IF(J2743&lt;&gt;"","?FAMILIAR",IF(F2743="NEW",IF(ISNA(VLOOKUP(E2743,#REF!,1,FALSE())),"?TYPE_IDENTIFIABLE","?REFERENTIAL"),"_")))))</f>
        <v> </v>
      </c>
      <c r="H2743" s="24" t="str">
        <f>IF(J2743&lt;&gt;1,"",IF(I2743="SBJ","CB","?"))</f>
        <v> </v>
      </c>
      <c r="I2743" s="25" t="str">
        <f>IF(OR(E2743="",E2743="!!!",F2743="NEW"),"",INDEX(B2742:B$2,-1+SUMPRODUCT(MAX(ROW(E2742:E$2)*(E2743=E2742:E$2)))))</f>
        <v> </v>
      </c>
      <c r="J2743" s="25" t="str">
        <f>IF(OR(E2743="",E2743="!!!",F2743="NEW"),"",COUNTBLANK(OFFSET(A$1,,,SUMPRODUCT(MAX(ROW(E$2:E2743)*(E2743=E$2:E2743)))))-COUNTBLANK(OFFSET(A$1,,,SUMPRODUCT(MAX(ROW(E$1:E2742)*(E2=E$1:E2742))))))</f>
        <v> </v>
      </c>
      <c r="K2743" s="25" t="str">
        <f>IF(OR(E2743="",E2743="!!!",F2743="NEW"),"",INDEX(J$1:J2742,SUMPRODUCT(MAX(ROW(E$1:E2742)*(E2743=E$1:E2742)))))</f>
        <v> </v>
      </c>
      <c r="L2743" s="26"/>
    </row>
    <row r="2744" spans="1:12">
      <c r="A2744" s="20" t="s">
        <v>1184</v>
      </c>
      <c r="E2744" s="21">
        <f>IF(D2744="?OLD","!!!","")</f>
        <v/>
      </c>
      <c r="F2744" s="22" t="str">
        <f>IF(OR(E2744="",E2744="!!!"),"",IF(NOT(ISNA(VLOOKUP(E2744,E$1:E2743,1,FALSE()))),"OLD",IF(AND(E2744&lt;&gt;"",E2744&lt;&gt;"!!!"),"NEW","")))</f>
        <v> </v>
      </c>
      <c r="G2744" s="23" t="str">
        <f>IF(OR(E2744="",E2744="!!!"),"",IF(OR(J2744=0,AND(J2744=1,K2744=1),AND(J2744=1,I2744="SBJ"),AND(J2744=1,I2744=0)),"?IN_FOCUS",IF(J2744&lt;=2,"?ACTIVATED",IF(J2744&lt;&gt;"","?FAMILIAR",IF(F2744="NEW",IF(ISNA(VLOOKUP(E2744,#REF!,1,FALSE())),"?TYPE_IDENTIFIABLE","?REFERENTIAL"),"_")))))</f>
        <v> </v>
      </c>
      <c r="H2744" s="24" t="str">
        <f>IF(J2744&lt;&gt;1,"",IF(I2744="SBJ","CB","?"))</f>
        <v> </v>
      </c>
      <c r="I2744" s="25" t="str">
        <f>IF(OR(E2744="",E2744="!!!",F2744="NEW"),"",INDEX(B2743:B$2,-1+SUMPRODUCT(MAX(ROW(E2743:E$2)*(E2744=E2743:E$2)))))</f>
        <v> </v>
      </c>
      <c r="J2744" s="25" t="str">
        <f>IF(OR(E2744="",E2744="!!!",F2744="NEW"),"",COUNTBLANK(OFFSET(A$1,,,SUMPRODUCT(MAX(ROW(E$2:E2744)*(E2744=E$2:E2744)))))-COUNTBLANK(OFFSET(A$1,,,SUMPRODUCT(MAX(ROW(E$1:E2743)*(E2=E$1:E2743))))))</f>
        <v> </v>
      </c>
      <c r="K2744" s="25" t="str">
        <f>IF(OR(E2744="",E2744="!!!",F2744="NEW"),"",INDEX(J$1:J2743,SUMPRODUCT(MAX(ROW(E$1:E2743)*(E2744=E$1:E2743)))))</f>
        <v> </v>
      </c>
      <c r="L2744" s="26"/>
    </row>
    <row r="2745" spans="1:12">
      <c r="A2745" s="20" t="s">
        <v>1622</v>
      </c>
      <c r="E2745" s="21">
        <f>IF(D2745="?OLD","!!!","")</f>
        <v/>
      </c>
      <c r="F2745" s="22" t="str">
        <f>IF(OR(E2745="",E2745="!!!"),"",IF(NOT(ISNA(VLOOKUP(E2745,E$1:E2744,1,FALSE()))),"OLD",IF(AND(E2745&lt;&gt;"",E2745&lt;&gt;"!!!"),"NEW","")))</f>
        <v> </v>
      </c>
      <c r="G2745" s="23" t="str">
        <f>IF(OR(E2745="",E2745="!!!"),"",IF(OR(J2745=0,AND(J2745=1,K2745=1),AND(J2745=1,I2745="SBJ"),AND(J2745=1,I2745=0)),"?IN_FOCUS",IF(J2745&lt;=2,"?ACTIVATED",IF(J2745&lt;&gt;"","?FAMILIAR",IF(F2745="NEW",IF(ISNA(VLOOKUP(E2745,#REF!,1,FALSE())),"?TYPE_IDENTIFIABLE","?REFERENTIAL"),"_")))))</f>
        <v> </v>
      </c>
      <c r="H2745" s="24" t="str">
        <f>IF(J2745&lt;&gt;1,"",IF(I2745="SBJ","CB","?"))</f>
        <v> </v>
      </c>
      <c r="I2745" s="25" t="str">
        <f>IF(OR(E2745="",E2745="!!!",F2745="NEW"),"",INDEX(B2744:B$2,-1+SUMPRODUCT(MAX(ROW(E2744:E$2)*(E2745=E2744:E$2)))))</f>
        <v> </v>
      </c>
      <c r="J2745" s="25" t="str">
        <f>IF(OR(E2745="",E2745="!!!",F2745="NEW"),"",COUNTBLANK(OFFSET(A$1,,,SUMPRODUCT(MAX(ROW(E$2:E2745)*(E2745=E$2:E2745)))))-COUNTBLANK(OFFSET(A$1,,,SUMPRODUCT(MAX(ROW(E$1:E2744)*(E2=E$1:E2744))))))</f>
        <v> </v>
      </c>
      <c r="K2745" s="25" t="str">
        <f>IF(OR(E2745="",E2745="!!!",F2745="NEW"),"",INDEX(J$1:J2744,SUMPRODUCT(MAX(ROW(E$1:E2744)*(E2745=E$1:E2744)))))</f>
        <v> </v>
      </c>
      <c r="L2745" s="26"/>
    </row>
    <row r="2746" spans="1:12">
      <c r="A2746" s="20" t="s">
        <v>1123</v>
      </c>
      <c r="E2746" s="21">
        <f>IF(D2746="?OLD","!!!","")</f>
        <v/>
      </c>
      <c r="F2746" s="22" t="str">
        <f>IF(OR(E2746="",E2746="!!!"),"",IF(NOT(ISNA(VLOOKUP(E2746,E$1:E2745,1,FALSE()))),"OLD",IF(AND(E2746&lt;&gt;"",E2746&lt;&gt;"!!!"),"NEW","")))</f>
        <v> </v>
      </c>
      <c r="G2746" s="23" t="str">
        <f>IF(OR(E2746="",E2746="!!!"),"",IF(OR(J2746=0,AND(J2746=1,K2746=1),AND(J2746=1,I2746="SBJ"),AND(J2746=1,I2746=0)),"?IN_FOCUS",IF(J2746&lt;=2,"?ACTIVATED",IF(J2746&lt;&gt;"","?FAMILIAR",IF(F2746="NEW",IF(ISNA(VLOOKUP(E2746,#REF!,1,FALSE())),"?TYPE_IDENTIFIABLE","?REFERENTIAL"),"_")))))</f>
        <v> </v>
      </c>
      <c r="H2746" s="24" t="str">
        <f>IF(J2746&lt;&gt;1,"",IF(I2746="SBJ","CB","?"))</f>
        <v> </v>
      </c>
      <c r="I2746" s="25" t="str">
        <f>IF(OR(E2746="",E2746="!!!",F2746="NEW"),"",INDEX(B2745:B$2,-1+SUMPRODUCT(MAX(ROW(E2745:E$2)*(E2746=E2745:E$2)))))</f>
        <v> </v>
      </c>
      <c r="J2746" s="25" t="str">
        <f>IF(OR(E2746="",E2746="!!!",F2746="NEW"),"",COUNTBLANK(OFFSET(A$1,,,SUMPRODUCT(MAX(ROW(E$2:E2746)*(E2746=E$2:E2746)))))-COUNTBLANK(OFFSET(A$1,,,SUMPRODUCT(MAX(ROW(E$1:E2745)*(E2=E$1:E2745))))))</f>
        <v> </v>
      </c>
      <c r="K2746" s="25" t="str">
        <f>IF(OR(E2746="",E2746="!!!",F2746="NEW"),"",INDEX(J$1:J2745,SUMPRODUCT(MAX(ROW(E$1:E2745)*(E2746=E$1:E2745)))))</f>
        <v> </v>
      </c>
      <c r="L2746" s="26"/>
    </row>
    <row r="2747" spans="1:12">
      <c r="A2747" s="20" t="s">
        <v>1197</v>
      </c>
      <c r="E2747" s="21">
        <f>IF(D2747="?OLD","!!!","")</f>
        <v/>
      </c>
      <c r="F2747" s="22" t="str">
        <f>IF(OR(E2747="",E2747="!!!"),"",IF(NOT(ISNA(VLOOKUP(E2747,E$1:E2746,1,FALSE()))),"OLD",IF(AND(E2747&lt;&gt;"",E2747&lt;&gt;"!!!"),"NEW","")))</f>
        <v> </v>
      </c>
      <c r="G2747" s="23" t="str">
        <f>IF(OR(E2747="",E2747="!!!"),"",IF(OR(J2747=0,AND(J2747=1,K2747=1),AND(J2747=1,I2747="SBJ"),AND(J2747=1,I2747=0)),"?IN_FOCUS",IF(J2747&lt;=2,"?ACTIVATED",IF(J2747&lt;&gt;"","?FAMILIAR",IF(F2747="NEW",IF(ISNA(VLOOKUP(E2747,#REF!,1,FALSE())),"?TYPE_IDENTIFIABLE","?REFERENTIAL"),"_")))))</f>
        <v> </v>
      </c>
      <c r="H2747" s="24" t="str">
        <f>IF(J2747&lt;&gt;1,"",IF(I2747="SBJ","CB","?"))</f>
        <v> </v>
      </c>
      <c r="I2747" s="25" t="str">
        <f>IF(OR(E2747="",E2747="!!!",F2747="NEW"),"",INDEX(B2746:B$2,-1+SUMPRODUCT(MAX(ROW(E2746:E$2)*(E2747=E2746:E$2)))))</f>
        <v> </v>
      </c>
      <c r="J2747" s="25" t="str">
        <f>IF(OR(E2747="",E2747="!!!",F2747="NEW"),"",COUNTBLANK(OFFSET(A$1,,,SUMPRODUCT(MAX(ROW(E$2:E2747)*(E2747=E$2:E2747)))))-COUNTBLANK(OFFSET(A$1,,,SUMPRODUCT(MAX(ROW(E$1:E2746)*(E2=E$1:E2746))))))</f>
        <v> </v>
      </c>
      <c r="K2747" s="25" t="str">
        <f>IF(OR(E2747="",E2747="!!!",F2747="NEW"),"",INDEX(J$1:J2746,SUMPRODUCT(MAX(ROW(E$1:E2746)*(E2747=E$1:E2746)))))</f>
        <v> </v>
      </c>
      <c r="L2747" s="26"/>
    </row>
    <row r="2748" spans="1:12">
      <c r="A2748" s="20" t="s">
        <v>1225</v>
      </c>
      <c r="B2748" s="27" t="s">
        <v>1122</v>
      </c>
      <c r="C2748" s="27" t="s">
        <v>1108</v>
      </c>
      <c r="D2748" s="27" t="s">
        <v>1105</v>
      </c>
      <c r="E2748" s="21">
        <f>IF(D2748="?OLD","!!!","")</f>
        <v/>
      </c>
      <c r="F2748" s="22" t="str">
        <f>IF(OR(E2748="",E2748="!!!"),"",IF(NOT(ISNA(VLOOKUP(E2748,E$1:E2747,1,FALSE()))),"OLD",IF(AND(E2748&lt;&gt;"",E2748&lt;&gt;"!!!"),"NEW","")))</f>
        <v> </v>
      </c>
      <c r="G2748" s="23" t="str">
        <f>IF(OR(E2748="",E2748="!!!"),"",IF(OR(J2748=0,AND(J2748=1,K2748=1),AND(J2748=1,I2748="SBJ"),AND(J2748=1,I2748=0)),"?IN_FOCUS",IF(J2748&lt;=2,"?ACTIVATED",IF(J2748&lt;&gt;"","?FAMILIAR",IF(F2748="NEW",IF(ISNA(VLOOKUP(E2748,#REF!,1,FALSE())),"?TYPE_IDENTIFIABLE","?REFERENTIAL"),"_")))))</f>
        <v> </v>
      </c>
      <c r="H2748" s="24" t="str">
        <f>IF(J2748&lt;&gt;1,"",IF(I2748="SBJ","CB","?"))</f>
        <v> </v>
      </c>
      <c r="I2748" s="25" t="str">
        <f>IF(OR(E2748="",E2748="!!!",F2748="NEW"),"",INDEX(B2747:B$2,-1+SUMPRODUCT(MAX(ROW(E2747:E$2)*(E2748=E2747:E$2)))))</f>
        <v> </v>
      </c>
      <c r="J2748" s="25" t="str">
        <f>IF(OR(E2748="",E2748="!!!",F2748="NEW"),"",COUNTBLANK(OFFSET(A$1,,,SUMPRODUCT(MAX(ROW(E$2:E2748)*(E2748=E$2:E2748)))))-COUNTBLANK(OFFSET(A$1,,,SUMPRODUCT(MAX(ROW(E$1:E2747)*(E2=E$1:E2747))))))</f>
        <v> </v>
      </c>
      <c r="K2748" s="25" t="str">
        <f>IF(OR(E2748="",E2748="!!!",F2748="NEW"),"",INDEX(J$1:J2747,SUMPRODUCT(MAX(ROW(E$1:E2747)*(E2748=E$1:E2747)))))</f>
        <v> </v>
      </c>
      <c r="L2748" s="26"/>
    </row>
    <row r="2749" spans="1:12">
      <c r="A2749" s="20" t="s">
        <v>2399</v>
      </c>
      <c r="E2749" s="21">
        <f>IF(D2749="?OLD","!!!","")</f>
        <v/>
      </c>
      <c r="F2749" s="22" t="str">
        <f>IF(OR(E2749="",E2749="!!!"),"",IF(NOT(ISNA(VLOOKUP(E2749,E$1:E2748,1,FALSE()))),"OLD",IF(AND(E2749&lt;&gt;"",E2749&lt;&gt;"!!!"),"NEW","")))</f>
        <v> </v>
      </c>
      <c r="G2749" s="23" t="str">
        <f>IF(OR(E2749="",E2749="!!!"),"",IF(OR(J2749=0,AND(J2749=1,K2749=1),AND(J2749=1,I2749="SBJ"),AND(J2749=1,I2749=0)),"?IN_FOCUS",IF(J2749&lt;=2,"?ACTIVATED",IF(J2749&lt;&gt;"","?FAMILIAR",IF(F2749="NEW",IF(ISNA(VLOOKUP(E2749,#REF!,1,FALSE())),"?TYPE_IDENTIFIABLE","?REFERENTIAL"),"_")))))</f>
        <v> </v>
      </c>
      <c r="H2749" s="24" t="str">
        <f>IF(J2749&lt;&gt;1,"",IF(I2749="SBJ","CB","?"))</f>
        <v> </v>
      </c>
      <c r="I2749" s="25" t="str">
        <f>IF(OR(E2749="",E2749="!!!",F2749="NEW"),"",INDEX(B2748:B$2,-1+SUMPRODUCT(MAX(ROW(E2748:E$2)*(E2749=E2748:E$2)))))</f>
        <v> </v>
      </c>
      <c r="J2749" s="25" t="str">
        <f>IF(OR(E2749="",E2749="!!!",F2749="NEW"),"",COUNTBLANK(OFFSET(A$1,,,SUMPRODUCT(MAX(ROW(E$2:E2749)*(E2749=E$2:E2749)))))-COUNTBLANK(OFFSET(A$1,,,SUMPRODUCT(MAX(ROW(E$1:E2748)*(E2=E$1:E2748))))))</f>
        <v> </v>
      </c>
      <c r="K2749" s="25" t="str">
        <f>IF(OR(E2749="",E2749="!!!",F2749="NEW"),"",INDEX(J$1:J2748,SUMPRODUCT(MAX(ROW(E$1:E2748)*(E2749=E$1:E2748)))))</f>
        <v> </v>
      </c>
      <c r="L2749" s="26"/>
    </row>
    <row r="2750" spans="1:12">
      <c r="A2750" s="20" t="s">
        <v>1958</v>
      </c>
      <c r="E2750" s="21">
        <f>IF(D2750="?OLD","!!!","")</f>
        <v/>
      </c>
      <c r="F2750" s="22" t="str">
        <f>IF(OR(E2750="",E2750="!!!"),"",IF(NOT(ISNA(VLOOKUP(E2750,E$1:E2749,1,FALSE()))),"OLD",IF(AND(E2750&lt;&gt;"",E2750&lt;&gt;"!!!"),"NEW","")))</f>
        <v> </v>
      </c>
      <c r="G2750" s="23" t="str">
        <f>IF(OR(E2750="",E2750="!!!"),"",IF(OR(J2750=0,AND(J2750=1,K2750=1),AND(J2750=1,I2750="SBJ"),AND(J2750=1,I2750=0)),"?IN_FOCUS",IF(J2750&lt;=2,"?ACTIVATED",IF(J2750&lt;&gt;"","?FAMILIAR",IF(F2750="NEW",IF(ISNA(VLOOKUP(E2750,#REF!,1,FALSE())),"?TYPE_IDENTIFIABLE","?REFERENTIAL"),"_")))))</f>
        <v> </v>
      </c>
      <c r="H2750" s="24" t="str">
        <f>IF(J2750&lt;&gt;1,"",IF(I2750="SBJ","CB","?"))</f>
        <v> </v>
      </c>
      <c r="I2750" s="25" t="str">
        <f>IF(OR(E2750="",E2750="!!!",F2750="NEW"),"",INDEX(B2749:B$2,-1+SUMPRODUCT(MAX(ROW(E2749:E$2)*(E2750=E2749:E$2)))))</f>
        <v> </v>
      </c>
      <c r="J2750" s="25" t="str">
        <f>IF(OR(E2750="",E2750="!!!",F2750="NEW"),"",COUNTBLANK(OFFSET(A$1,,,SUMPRODUCT(MAX(ROW(E$2:E2750)*(E2750=E$2:E2750)))))-COUNTBLANK(OFFSET(A$1,,,SUMPRODUCT(MAX(ROW(E$1:E2749)*(E2=E$1:E2749))))))</f>
        <v> </v>
      </c>
      <c r="K2750" s="25" t="str">
        <f>IF(OR(E2750="",E2750="!!!",F2750="NEW"),"",INDEX(J$1:J2749,SUMPRODUCT(MAX(ROW(E$1:E2749)*(E2750=E$1:E2749)))))</f>
        <v> </v>
      </c>
      <c r="L2750" s="26"/>
    </row>
    <row r="2751" spans="1:12">
      <c r="A2751" s="20" t="s">
        <v>2400</v>
      </c>
      <c r="B2751" s="27" t="s">
        <v>1243</v>
      </c>
      <c r="E2751" s="21">
        <f>IF(D2751="?OLD","!!!","")</f>
        <v/>
      </c>
      <c r="F2751" s="22" t="str">
        <f>IF(OR(E2751="",E2751="!!!"),"",IF(NOT(ISNA(VLOOKUP(E2751,E$1:E2750,1,FALSE()))),"OLD",IF(AND(E2751&lt;&gt;"",E2751&lt;&gt;"!!!"),"NEW","")))</f>
        <v> </v>
      </c>
      <c r="G2751" s="23" t="str">
        <f>IF(OR(E2751="",E2751="!!!"),"",IF(OR(J2751=0,AND(J2751=1,K2751=1),AND(J2751=1,I2751="SBJ"),AND(J2751=1,I2751=0)),"?IN_FOCUS",IF(J2751&lt;=2,"?ACTIVATED",IF(J2751&lt;&gt;"","?FAMILIAR",IF(F2751="NEW",IF(ISNA(VLOOKUP(E2751,#REF!,1,FALSE())),"?TYPE_IDENTIFIABLE","?REFERENTIAL"),"_")))))</f>
        <v> </v>
      </c>
      <c r="H2751" s="24" t="str">
        <f>IF(J2751&lt;&gt;1,"",IF(I2751="SBJ","CB","?"))</f>
        <v> </v>
      </c>
      <c r="I2751" s="25" t="str">
        <f>IF(OR(E2751="",E2751="!!!",F2751="NEW"),"",INDEX(B2750:B$2,-1+SUMPRODUCT(MAX(ROW(E2750:E$2)*(E2751=E2750:E$2)))))</f>
        <v> </v>
      </c>
      <c r="J2751" s="25" t="str">
        <f>IF(OR(E2751="",E2751="!!!",F2751="NEW"),"",COUNTBLANK(OFFSET(A$1,,,SUMPRODUCT(MAX(ROW(E$2:E2751)*(E2751=E$2:E2751)))))-COUNTBLANK(OFFSET(A$1,,,SUMPRODUCT(MAX(ROW(E$1:E2750)*(E2=E$1:E2750))))))</f>
        <v> </v>
      </c>
      <c r="K2751" s="25" t="str">
        <f>IF(OR(E2751="",E2751="!!!",F2751="NEW"),"",INDEX(J$1:J2750,SUMPRODUCT(MAX(ROW(E$1:E2750)*(E2751=E$1:E2750)))))</f>
        <v> </v>
      </c>
      <c r="L2751" s="26"/>
    </row>
    <row r="2752" spans="1:12">
      <c r="A2752" s="20" t="s">
        <v>1128</v>
      </c>
      <c r="E2752" s="21">
        <f>IF(D2752="?OLD","!!!","")</f>
        <v/>
      </c>
      <c r="F2752" s="22" t="str">
        <f>IF(OR(E2752="",E2752="!!!"),"",IF(NOT(ISNA(VLOOKUP(E2752,E$1:E2751,1,FALSE()))),"OLD",IF(AND(E2752&lt;&gt;"",E2752&lt;&gt;"!!!"),"NEW","")))</f>
        <v> </v>
      </c>
      <c r="G2752" s="23" t="str">
        <f>IF(OR(E2752="",E2752="!!!"),"",IF(OR(J2752=0,AND(J2752=1,K2752=1),AND(J2752=1,I2752="SBJ"),AND(J2752=1,I2752=0)),"?IN_FOCUS",IF(J2752&lt;=2,"?ACTIVATED",IF(J2752&lt;&gt;"","?FAMILIAR",IF(F2752="NEW",IF(ISNA(VLOOKUP(E2752,#REF!,1,FALSE())),"?TYPE_IDENTIFIABLE","?REFERENTIAL"),"_")))))</f>
        <v> </v>
      </c>
      <c r="H2752" s="24" t="str">
        <f>IF(J2752&lt;&gt;1,"",IF(I2752="SBJ","CB","?"))</f>
        <v> </v>
      </c>
      <c r="I2752" s="25" t="str">
        <f>IF(OR(E2752="",E2752="!!!",F2752="NEW"),"",INDEX(B2751:B$2,-1+SUMPRODUCT(MAX(ROW(E2751:E$2)*(E2752=E2751:E$2)))))</f>
        <v> </v>
      </c>
      <c r="J2752" s="25" t="str">
        <f>IF(OR(E2752="",E2752="!!!",F2752="NEW"),"",COUNTBLANK(OFFSET(A$1,,,SUMPRODUCT(MAX(ROW(E$2:E2752)*(E2752=E$2:E2752)))))-COUNTBLANK(OFFSET(A$1,,,SUMPRODUCT(MAX(ROW(E$1:E2751)*(E2=E$1:E2751))))))</f>
        <v> </v>
      </c>
      <c r="K2752" s="25" t="str">
        <f>IF(OR(E2752="",E2752="!!!",F2752="NEW"),"",INDEX(J$1:J2751,SUMPRODUCT(MAX(ROW(E$1:E2751)*(E2752=E$1:E2751)))))</f>
        <v> </v>
      </c>
      <c r="L2752" s="26"/>
    </row>
    <row r="2753" spans="1:12">
      <c r="A2753" s="20" t="s">
        <v>2401</v>
      </c>
      <c r="E2753" s="21">
        <f>IF(D2753="?OLD","!!!","")</f>
        <v/>
      </c>
      <c r="F2753" s="22" t="str">
        <f>IF(OR(E2753="",E2753="!!!"),"",IF(NOT(ISNA(VLOOKUP(E2753,E$1:E2752,1,FALSE()))),"OLD",IF(AND(E2753&lt;&gt;"",E2753&lt;&gt;"!!!"),"NEW","")))</f>
        <v> </v>
      </c>
      <c r="G2753" s="23" t="str">
        <f>IF(OR(E2753="",E2753="!!!"),"",IF(OR(J2753=0,AND(J2753=1,K2753=1),AND(J2753=1,I2753="SBJ"),AND(J2753=1,I2753=0)),"?IN_FOCUS",IF(J2753&lt;=2,"?ACTIVATED",IF(J2753&lt;&gt;"","?FAMILIAR",IF(F2753="NEW",IF(ISNA(VLOOKUP(E2753,#REF!,1,FALSE())),"?TYPE_IDENTIFIABLE","?REFERENTIAL"),"_")))))</f>
        <v> </v>
      </c>
      <c r="H2753" s="24" t="str">
        <f>IF(J2753&lt;&gt;1,"",IF(I2753="SBJ","CB","?"))</f>
        <v> </v>
      </c>
      <c r="I2753" s="25" t="str">
        <f>IF(OR(E2753="",E2753="!!!",F2753="NEW"),"",INDEX(B2752:B$2,-1+SUMPRODUCT(MAX(ROW(E2752:E$2)*(E2753=E2752:E$2)))))</f>
        <v> </v>
      </c>
      <c r="J2753" s="25" t="str">
        <f>IF(OR(E2753="",E2753="!!!",F2753="NEW"),"",COUNTBLANK(OFFSET(A$1,,,SUMPRODUCT(MAX(ROW(E$2:E2753)*(E2753=E$2:E2753)))))-COUNTBLANK(OFFSET(A$1,,,SUMPRODUCT(MAX(ROW(E$1:E2752)*(E2=E$1:E2752))))))</f>
        <v> </v>
      </c>
      <c r="K2753" s="25" t="str">
        <f>IF(OR(E2753="",E2753="!!!",F2753="NEW"),"",INDEX(J$1:J2752,SUMPRODUCT(MAX(ROW(E$1:E2752)*(E2753=E$1:E2752)))))</f>
        <v> </v>
      </c>
      <c r="L2753" s="26"/>
    </row>
    <row r="2754" spans="1:12">
      <c r="A2754" s="20" t="s">
        <v>1130</v>
      </c>
      <c r="E2754" s="21">
        <f>IF(D2754="?OLD","!!!","")</f>
        <v/>
      </c>
      <c r="F2754" s="22" t="str">
        <f>IF(OR(E2754="",E2754="!!!"),"",IF(NOT(ISNA(VLOOKUP(E2754,E$1:E2753,1,FALSE()))),"OLD",IF(AND(E2754&lt;&gt;"",E2754&lt;&gt;"!!!"),"NEW","")))</f>
        <v> </v>
      </c>
      <c r="G2754" s="23" t="str">
        <f>IF(OR(E2754="",E2754="!!!"),"",IF(OR(J2754=0,AND(J2754=1,K2754=1),AND(J2754=1,I2754="SBJ"),AND(J2754=1,I2754=0)),"?IN_FOCUS",IF(J2754&lt;=2,"?ACTIVATED",IF(J2754&lt;&gt;"","?FAMILIAR",IF(F2754="NEW",IF(ISNA(VLOOKUP(E2754,#REF!,1,FALSE())),"?TYPE_IDENTIFIABLE","?REFERENTIAL"),"_")))))</f>
        <v> </v>
      </c>
      <c r="H2754" s="24" t="str">
        <f>IF(J2754&lt;&gt;1,"",IF(I2754="SBJ","CB","?"))</f>
        <v> </v>
      </c>
      <c r="I2754" s="25" t="str">
        <f>IF(OR(E2754="",E2754="!!!",F2754="NEW"),"",INDEX(B2753:B$2,-1+SUMPRODUCT(MAX(ROW(E2753:E$2)*(E2754=E2753:E$2)))))</f>
        <v> </v>
      </c>
      <c r="J2754" s="25" t="str">
        <f>IF(OR(E2754="",E2754="!!!",F2754="NEW"),"",COUNTBLANK(OFFSET(A$1,,,SUMPRODUCT(MAX(ROW(E$2:E2754)*(E2754=E$2:E2754)))))-COUNTBLANK(OFFSET(A$1,,,SUMPRODUCT(MAX(ROW(E$1:E2753)*(E2=E$1:E2753))))))</f>
        <v> </v>
      </c>
      <c r="K2754" s="25" t="str">
        <f>IF(OR(E2754="",E2754="!!!",F2754="NEW"),"",INDEX(J$1:J2753,SUMPRODUCT(MAX(ROW(E$1:E2753)*(E2754=E$1:E2753)))))</f>
        <v> </v>
      </c>
      <c r="L2754" s="26"/>
    </row>
    <row r="2755" spans="1:12">
      <c r="A2755" s="20" t="s">
        <v>2153</v>
      </c>
      <c r="B2755" s="27" t="s">
        <v>1107</v>
      </c>
      <c r="C2755" s="27" t="s">
        <v>1126</v>
      </c>
      <c r="D2755" s="27" t="s">
        <v>1105</v>
      </c>
      <c r="E2755" s="21">
        <f>IF(D2755="?OLD","!!!","")</f>
        <v/>
      </c>
      <c r="F2755" s="22" t="str">
        <f>IF(OR(E2755="",E2755="!!!"),"",IF(NOT(ISNA(VLOOKUP(E2755,E$1:E2754,1,FALSE()))),"OLD",IF(AND(E2755&lt;&gt;"",E2755&lt;&gt;"!!!"),"NEW","")))</f>
        <v> </v>
      </c>
      <c r="G2755" s="23" t="str">
        <f>IF(OR(E2755="",E2755="!!!"),"",IF(OR(J2755=0,AND(J2755=1,K2755=1),AND(J2755=1,I2755="SBJ"),AND(J2755=1,I2755=0)),"?IN_FOCUS",IF(J2755&lt;=2,"?ACTIVATED",IF(J2755&lt;&gt;"","?FAMILIAR",IF(F2755="NEW",IF(ISNA(VLOOKUP(E2755,#REF!,1,FALSE())),"?TYPE_IDENTIFIABLE","?REFERENTIAL"),"_")))))</f>
        <v> </v>
      </c>
      <c r="H2755" s="24" t="str">
        <f>IF(J2755&lt;&gt;1,"",IF(I2755="SBJ","CB","?"))</f>
        <v> </v>
      </c>
      <c r="I2755" s="25" t="str">
        <f>IF(OR(E2755="",E2755="!!!",F2755="NEW"),"",INDEX(B2754:B$2,-1+SUMPRODUCT(MAX(ROW(E2754:E$2)*(E2755=E2754:E$2)))))</f>
        <v> </v>
      </c>
      <c r="J2755" s="25" t="str">
        <f>IF(OR(E2755="",E2755="!!!",F2755="NEW"),"",COUNTBLANK(OFFSET(A$1,,,SUMPRODUCT(MAX(ROW(E$2:E2755)*(E2755=E$2:E2755)))))-COUNTBLANK(OFFSET(A$1,,,SUMPRODUCT(MAX(ROW(E$1:E2754)*(E2=E$1:E2754))))))</f>
        <v> </v>
      </c>
      <c r="K2755" s="25" t="str">
        <f>IF(OR(E2755="",E2755="!!!",F2755="NEW"),"",INDEX(J$1:J2754,SUMPRODUCT(MAX(ROW(E$1:E2754)*(E2755=E$1:E2754)))))</f>
        <v> </v>
      </c>
      <c r="L2755" s="26"/>
    </row>
    <row r="2756" spans="1:12">
      <c r="A2756" s="20" t="s">
        <v>1206</v>
      </c>
      <c r="E2756" s="21">
        <f>IF(D2756="?OLD","!!!","")</f>
        <v/>
      </c>
      <c r="F2756" s="22" t="str">
        <f>IF(OR(E2756="",E2756="!!!"),"",IF(NOT(ISNA(VLOOKUP(E2756,E$1:E2755,1,FALSE()))),"OLD",IF(AND(E2756&lt;&gt;"",E2756&lt;&gt;"!!!"),"NEW","")))</f>
        <v> </v>
      </c>
      <c r="G2756" s="23" t="str">
        <f>IF(OR(E2756="",E2756="!!!"),"",IF(OR(J2756=0,AND(J2756=1,K2756=1),AND(J2756=1,I2756="SBJ"),AND(J2756=1,I2756=0)),"?IN_FOCUS",IF(J2756&lt;=2,"?ACTIVATED",IF(J2756&lt;&gt;"","?FAMILIAR",IF(F2756="NEW",IF(ISNA(VLOOKUP(E2756,#REF!,1,FALSE())),"?TYPE_IDENTIFIABLE","?REFERENTIAL"),"_")))))</f>
        <v> </v>
      </c>
      <c r="H2756" s="24" t="str">
        <f>IF(J2756&lt;&gt;1,"",IF(I2756="SBJ","CB","?"))</f>
        <v> </v>
      </c>
      <c r="I2756" s="25" t="str">
        <f>IF(OR(E2756="",E2756="!!!",F2756="NEW"),"",INDEX(B2755:B$2,-1+SUMPRODUCT(MAX(ROW(E2755:E$2)*(E2756=E2755:E$2)))))</f>
        <v> </v>
      </c>
      <c r="J2756" s="25" t="str">
        <f>IF(OR(E2756="",E2756="!!!",F2756="NEW"),"",COUNTBLANK(OFFSET(A$1,,,SUMPRODUCT(MAX(ROW(E$2:E2756)*(E2756=E$2:E2756)))))-COUNTBLANK(OFFSET(A$1,,,SUMPRODUCT(MAX(ROW(E$1:E2755)*(E2=E$1:E2755))))))</f>
        <v> </v>
      </c>
      <c r="K2756" s="25" t="str">
        <f>IF(OR(E2756="",E2756="!!!",F2756="NEW"),"",INDEX(J$1:J2755,SUMPRODUCT(MAX(ROW(E$1:E2755)*(E2756=E$1:E2755)))))</f>
        <v> </v>
      </c>
      <c r="L2756" s="26"/>
    </row>
    <row r="2757" spans="1:12">
      <c r="A2757" s="20" t="s">
        <v>2402</v>
      </c>
      <c r="B2757" s="27" t="s">
        <v>1122</v>
      </c>
      <c r="C2757" s="27" t="s">
        <v>1210</v>
      </c>
      <c r="E2757" s="21">
        <f>IF(D2757="?OLD","!!!","")</f>
        <v/>
      </c>
      <c r="F2757" s="22" t="str">
        <f>IF(OR(E2757="",E2757="!!!"),"",IF(NOT(ISNA(VLOOKUP(E2757,E$1:E2756,1,FALSE()))),"OLD",IF(AND(E2757&lt;&gt;"",E2757&lt;&gt;"!!!"),"NEW","")))</f>
        <v> </v>
      </c>
      <c r="G2757" s="23" t="str">
        <f>IF(OR(E2757="",E2757="!!!"),"",IF(OR(J2757=0,AND(J2757=1,K2757=1),AND(J2757=1,I2757="SBJ"),AND(J2757=1,I2757=0)),"?IN_FOCUS",IF(J2757&lt;=2,"?ACTIVATED",IF(J2757&lt;&gt;"","?FAMILIAR",IF(F2757="NEW",IF(ISNA(VLOOKUP(E2757,#REF!,1,FALSE())),"?TYPE_IDENTIFIABLE","?REFERENTIAL"),"_")))))</f>
        <v> </v>
      </c>
      <c r="H2757" s="24" t="str">
        <f>IF(J2757&lt;&gt;1,"",IF(I2757="SBJ","CB","?"))</f>
        <v> </v>
      </c>
      <c r="I2757" s="25" t="str">
        <f>IF(OR(E2757="",E2757="!!!",F2757="NEW"),"",INDEX(B2756:B$2,-1+SUMPRODUCT(MAX(ROW(E2756:E$2)*(E2757=E2756:E$2)))))</f>
        <v> </v>
      </c>
      <c r="J2757" s="25" t="str">
        <f>IF(OR(E2757="",E2757="!!!",F2757="NEW"),"",COUNTBLANK(OFFSET(A$1,,,SUMPRODUCT(MAX(ROW(E$2:E2757)*(E2757=E$2:E2757)))))-COUNTBLANK(OFFSET(A$1,,,SUMPRODUCT(MAX(ROW(E$1:E2756)*(E2=E$1:E2756))))))</f>
        <v> </v>
      </c>
      <c r="K2757" s="25" t="str">
        <f>IF(OR(E2757="",E2757="!!!",F2757="NEW"),"",INDEX(J$1:J2756,SUMPRODUCT(MAX(ROW(E$1:E2756)*(E2757=E$1:E2756)))))</f>
        <v> </v>
      </c>
      <c r="L2757" s="26"/>
    </row>
    <row r="2758" spans="1:12">
      <c r="A2758" s="20" t="s">
        <v>1184</v>
      </c>
      <c r="E2758" s="21">
        <f>IF(D2758="?OLD","!!!","")</f>
        <v/>
      </c>
      <c r="F2758" s="22" t="str">
        <f>IF(OR(E2758="",E2758="!!!"),"",IF(NOT(ISNA(VLOOKUP(E2758,E$1:E2757,1,FALSE()))),"OLD",IF(AND(E2758&lt;&gt;"",E2758&lt;&gt;"!!!"),"NEW","")))</f>
        <v> </v>
      </c>
      <c r="G2758" s="23" t="str">
        <f>IF(OR(E2758="",E2758="!!!"),"",IF(OR(J2758=0,AND(J2758=1,K2758=1),AND(J2758=1,I2758="SBJ"),AND(J2758=1,I2758=0)),"?IN_FOCUS",IF(J2758&lt;=2,"?ACTIVATED",IF(J2758&lt;&gt;"","?FAMILIAR",IF(F2758="NEW",IF(ISNA(VLOOKUP(E2758,#REF!,1,FALSE())),"?TYPE_IDENTIFIABLE","?REFERENTIAL"),"_")))))</f>
        <v> </v>
      </c>
      <c r="H2758" s="24" t="str">
        <f>IF(J2758&lt;&gt;1,"",IF(I2758="SBJ","CB","?"))</f>
        <v> </v>
      </c>
      <c r="I2758" s="25" t="str">
        <f>IF(OR(E2758="",E2758="!!!",F2758="NEW"),"",INDEX(B2757:B$2,-1+SUMPRODUCT(MAX(ROW(E2757:E$2)*(E2758=E2757:E$2)))))</f>
        <v> </v>
      </c>
      <c r="J2758" s="25" t="str">
        <f>IF(OR(E2758="",E2758="!!!",F2758="NEW"),"",COUNTBLANK(OFFSET(A$1,,,SUMPRODUCT(MAX(ROW(E$2:E2758)*(E2758=E$2:E2758)))))-COUNTBLANK(OFFSET(A$1,,,SUMPRODUCT(MAX(ROW(E$1:E2757)*(E2=E$1:E2757))))))</f>
        <v> </v>
      </c>
      <c r="K2758" s="25" t="str">
        <f>IF(OR(E2758="",E2758="!!!",F2758="NEW"),"",INDEX(J$1:J2757,SUMPRODUCT(MAX(ROW(E$1:E2757)*(E2758=E$1:E2757)))))</f>
        <v> </v>
      </c>
      <c r="L2758" s="26"/>
    </row>
    <row r="2759" spans="1:12">
      <c r="A2759" s="20" t="s">
        <v>1446</v>
      </c>
      <c r="E2759" s="21">
        <f>IF(D2759="?OLD","!!!","")</f>
        <v/>
      </c>
      <c r="F2759" s="22" t="str">
        <f>IF(OR(E2759="",E2759="!!!"),"",IF(NOT(ISNA(VLOOKUP(E2759,E$1:E2758,1,FALSE()))),"OLD",IF(AND(E2759&lt;&gt;"",E2759&lt;&gt;"!!!"),"NEW","")))</f>
        <v> </v>
      </c>
      <c r="G2759" s="23" t="str">
        <f>IF(OR(E2759="",E2759="!!!"),"",IF(OR(J2759=0,AND(J2759=1,K2759=1),AND(J2759=1,I2759="SBJ"),AND(J2759=1,I2759=0)),"?IN_FOCUS",IF(J2759&lt;=2,"?ACTIVATED",IF(J2759&lt;&gt;"","?FAMILIAR",IF(F2759="NEW",IF(ISNA(VLOOKUP(E2759,#REF!,1,FALSE())),"?TYPE_IDENTIFIABLE","?REFERENTIAL"),"_")))))</f>
        <v> </v>
      </c>
      <c r="H2759" s="24" t="str">
        <f>IF(J2759&lt;&gt;1,"",IF(I2759="SBJ","CB","?"))</f>
        <v> </v>
      </c>
      <c r="I2759" s="25" t="str">
        <f>IF(OR(E2759="",E2759="!!!",F2759="NEW"),"",INDEX(B2758:B$2,-1+SUMPRODUCT(MAX(ROW(E2758:E$2)*(E2759=E2758:E$2)))))</f>
        <v> </v>
      </c>
      <c r="J2759" s="25" t="str">
        <f>IF(OR(E2759="",E2759="!!!",F2759="NEW"),"",COUNTBLANK(OFFSET(A$1,,,SUMPRODUCT(MAX(ROW(E$2:E2759)*(E2759=E$2:E2759)))))-COUNTBLANK(OFFSET(A$1,,,SUMPRODUCT(MAX(ROW(E$1:E2758)*(E2=E$1:E2758))))))</f>
        <v> </v>
      </c>
      <c r="K2759" s="25" t="str">
        <f>IF(OR(E2759="",E2759="!!!",F2759="NEW"),"",INDEX(J$1:J2758,SUMPRODUCT(MAX(ROW(E$1:E2758)*(E2759=E$1:E2758)))))</f>
        <v> </v>
      </c>
      <c r="L2759" s="26"/>
    </row>
    <row r="2760" spans="1:12">
      <c r="A2760" s="20" t="s">
        <v>1145</v>
      </c>
      <c r="E2760" s="21">
        <f>IF(D2760="?OLD","!!!","")</f>
        <v/>
      </c>
      <c r="F2760" s="22" t="str">
        <f>IF(OR(E2760="",E2760="!!!"),"",IF(NOT(ISNA(VLOOKUP(E2760,E$1:E2759,1,FALSE()))),"OLD",IF(AND(E2760&lt;&gt;"",E2760&lt;&gt;"!!!"),"NEW","")))</f>
        <v> </v>
      </c>
      <c r="G2760" s="23" t="str">
        <f>IF(OR(E2760="",E2760="!!!"),"",IF(OR(J2760=0,AND(J2760=1,K2760=1),AND(J2760=1,I2760="SBJ"),AND(J2760=1,I2760=0)),"?IN_FOCUS",IF(J2760&lt;=2,"?ACTIVATED",IF(J2760&lt;&gt;"","?FAMILIAR",IF(F2760="NEW",IF(ISNA(VLOOKUP(E2760,#REF!,1,FALSE())),"?TYPE_IDENTIFIABLE","?REFERENTIAL"),"_")))))</f>
        <v> </v>
      </c>
      <c r="H2760" s="24" t="str">
        <f>IF(J2760&lt;&gt;1,"",IF(I2760="SBJ","CB","?"))</f>
        <v> </v>
      </c>
      <c r="I2760" s="25" t="str">
        <f>IF(OR(E2760="",E2760="!!!",F2760="NEW"),"",INDEX(B2759:B$2,-1+SUMPRODUCT(MAX(ROW(E2759:E$2)*(E2760=E2759:E$2)))))</f>
        <v> </v>
      </c>
      <c r="J2760" s="25" t="str">
        <f>IF(OR(E2760="",E2760="!!!",F2760="NEW"),"",COUNTBLANK(OFFSET(A$1,,,SUMPRODUCT(MAX(ROW(E$2:E2760)*(E2760=E$2:E2760)))))-COUNTBLANK(OFFSET(A$1,,,SUMPRODUCT(MAX(ROW(E$1:E2759)*(E2=E$1:E2759))))))</f>
        <v> </v>
      </c>
      <c r="K2760" s="25" t="str">
        <f>IF(OR(E2760="",E2760="!!!",F2760="NEW"),"",INDEX(J$1:J2759,SUMPRODUCT(MAX(ROW(E$1:E2759)*(E2760=E$1:E2759)))))</f>
        <v> </v>
      </c>
      <c r="L2760" s="26"/>
    </row>
    <row r="2761" spans="1:12">
      <c r="A2761" s="20"/>
    </row>
    <row r="2762" spans="1:12">
      <c r="A2762" s="20" t="s">
        <v>2403</v>
      </c>
    </row>
    <row r="2763" spans="1:12">
      <c r="A2763" s="20" t="s">
        <v>2404</v>
      </c>
      <c r="B2763" s="27" t="s">
        <v>1149</v>
      </c>
      <c r="E2763" s="21">
        <f>IF(D2763="?OLD","!!!","")</f>
        <v/>
      </c>
      <c r="F2763" s="22" t="str">
        <f>IF(OR(E2763="",E2763="!!!"),"",IF(NOT(ISNA(VLOOKUP(E2763,E$1:E2762,1,FALSE()))),"OLD",IF(AND(E2763&lt;&gt;"",E2763&lt;&gt;"!!!"),"NEW","")))</f>
        <v> </v>
      </c>
      <c r="G2763" s="23" t="str">
        <f>IF(OR(E2763="",E2763="!!!"),"",IF(OR(J2763=0,AND(J2763=1,K2763=1),AND(J2763=1,I2763="SBJ"),AND(J2763=1,I2763=0)),"?IN_FOCUS",IF(J2763&lt;=2,"?ACTIVATED",IF(J2763&lt;&gt;"","?FAMILIAR",IF(F2763="NEW",IF(ISNA(VLOOKUP(E2763,#REF!,1,FALSE())),"?TYPE_IDENTIFIABLE","?REFERENTIAL"),"_")))))</f>
        <v> </v>
      </c>
      <c r="H2763" s="24" t="str">
        <f>IF(J2763&lt;&gt;1,"",IF(I2763="SBJ","CB","?"))</f>
        <v> </v>
      </c>
      <c r="I2763" s="25" t="str">
        <f>IF(OR(E2763="",E2763="!!!",F2763="NEW"),"",INDEX(B2762:B$2,-1+SUMPRODUCT(MAX(ROW(E2762:E$2)*(E2763=E2762:E$2)))))</f>
        <v> </v>
      </c>
      <c r="J2763" s="25" t="str">
        <f>IF(OR(E2763="",E2763="!!!",F2763="NEW"),"",COUNTBLANK(OFFSET(A$1,,,SUMPRODUCT(MAX(ROW(E$2:E2763)*(E2763=E$2:E2763)))))-COUNTBLANK(OFFSET(A$1,,,SUMPRODUCT(MAX(ROW(E$1:E2762)*(E2=E$1:E2762))))))</f>
        <v> </v>
      </c>
      <c r="K2763" s="25" t="str">
        <f>IF(OR(E2763="",E2763="!!!",F2763="NEW"),"",INDEX(J$1:J2762,SUMPRODUCT(MAX(ROW(E$1:E2762)*(E2763=E$1:E2762)))))</f>
        <v> </v>
      </c>
      <c r="L2763" s="26"/>
    </row>
    <row r="2764" spans="1:12">
      <c r="A2764" s="20" t="s">
        <v>1123</v>
      </c>
      <c r="E2764" s="21">
        <f>IF(D2764="?OLD","!!!","")</f>
        <v/>
      </c>
      <c r="F2764" s="22" t="str">
        <f>IF(OR(E2764="",E2764="!!!"),"",IF(NOT(ISNA(VLOOKUP(E2764,E$1:E2763,1,FALSE()))),"OLD",IF(AND(E2764&lt;&gt;"",E2764&lt;&gt;"!!!"),"NEW","")))</f>
        <v> </v>
      </c>
      <c r="G2764" s="23" t="str">
        <f>IF(OR(E2764="",E2764="!!!"),"",IF(OR(J2764=0,AND(J2764=1,K2764=1),AND(J2764=1,I2764="SBJ"),AND(J2764=1,I2764=0)),"?IN_FOCUS",IF(J2764&lt;=2,"?ACTIVATED",IF(J2764&lt;&gt;"","?FAMILIAR",IF(F2764="NEW",IF(ISNA(VLOOKUP(E2764,#REF!,1,FALSE())),"?TYPE_IDENTIFIABLE","?REFERENTIAL"),"_")))))</f>
        <v> </v>
      </c>
      <c r="H2764" s="24" t="str">
        <f>IF(J2764&lt;&gt;1,"",IF(I2764="SBJ","CB","?"))</f>
        <v> </v>
      </c>
      <c r="I2764" s="25" t="str">
        <f>IF(OR(E2764="",E2764="!!!",F2764="NEW"),"",INDEX(B2763:B$2,-1+SUMPRODUCT(MAX(ROW(E2763:E$2)*(E2764=E2763:E$2)))))</f>
        <v> </v>
      </c>
      <c r="J2764" s="25" t="str">
        <f>IF(OR(E2764="",E2764="!!!",F2764="NEW"),"",COUNTBLANK(OFFSET(A$1,,,SUMPRODUCT(MAX(ROW(E$2:E2764)*(E2764=E$2:E2764)))))-COUNTBLANK(OFFSET(A$1,,,SUMPRODUCT(MAX(ROW(E$1:E2763)*(E2=E$1:E2763))))))</f>
        <v> </v>
      </c>
      <c r="K2764" s="25" t="str">
        <f>IF(OR(E2764="",E2764="!!!",F2764="NEW"),"",INDEX(J$1:J2763,SUMPRODUCT(MAX(ROW(E$1:E2763)*(E2764=E$1:E2763)))))</f>
        <v> </v>
      </c>
      <c r="L2764" s="26"/>
    </row>
    <row r="2765" spans="1:12">
      <c r="A2765" s="20" t="s">
        <v>1298</v>
      </c>
      <c r="B2765" s="27" t="s">
        <v>1115</v>
      </c>
      <c r="C2765" s="27" t="s">
        <v>1133</v>
      </c>
      <c r="E2765" s="21">
        <f>IF(D2765="?OLD","!!!","")</f>
        <v/>
      </c>
      <c r="F2765" s="22" t="str">
        <f>IF(OR(E2765="",E2765="!!!"),"",IF(NOT(ISNA(VLOOKUP(E2765,E$1:E2764,1,FALSE()))),"OLD",IF(AND(E2765&lt;&gt;"",E2765&lt;&gt;"!!!"),"NEW","")))</f>
        <v> </v>
      </c>
      <c r="G2765" s="23" t="str">
        <f>IF(OR(E2765="",E2765="!!!"),"",IF(OR(J2765=0,AND(J2765=1,K2765=1),AND(J2765=1,I2765="SBJ"),AND(J2765=1,I2765=0)),"?IN_FOCUS",IF(J2765&lt;=2,"?ACTIVATED",IF(J2765&lt;&gt;"","?FAMILIAR",IF(F2765="NEW",IF(ISNA(VLOOKUP(E2765,#REF!,1,FALSE())),"?TYPE_IDENTIFIABLE","?REFERENTIAL"),"_")))))</f>
        <v> </v>
      </c>
      <c r="H2765" s="24" t="str">
        <f>IF(J2765&lt;&gt;1,"",IF(I2765="SBJ","CB","?"))</f>
        <v> </v>
      </c>
      <c r="I2765" s="25" t="str">
        <f>IF(OR(E2765="",E2765="!!!",F2765="NEW"),"",INDEX(B2764:B$2,-1+SUMPRODUCT(MAX(ROW(E2764:E$2)*(E2765=E2764:E$2)))))</f>
        <v> </v>
      </c>
      <c r="J2765" s="25" t="str">
        <f>IF(OR(E2765="",E2765="!!!",F2765="NEW"),"",COUNTBLANK(OFFSET(A$1,,,SUMPRODUCT(MAX(ROW(E$2:E2765)*(E2765=E$2:E2765)))))-COUNTBLANK(OFFSET(A$1,,,SUMPRODUCT(MAX(ROW(E$1:E2764)*(E2=E$1:E2764))))))</f>
        <v> </v>
      </c>
      <c r="K2765" s="25" t="str">
        <f>IF(OR(E2765="",E2765="!!!",F2765="NEW"),"",INDEX(J$1:J2764,SUMPRODUCT(MAX(ROW(E$1:E2764)*(E2765=E$1:E2764)))))</f>
        <v> </v>
      </c>
      <c r="L2765" s="26"/>
    </row>
    <row r="2766" spans="1:12">
      <c r="A2766" s="20" t="s">
        <v>1217</v>
      </c>
      <c r="B2766" s="27" t="s">
        <v>1259</v>
      </c>
      <c r="C2766" s="27" t="s">
        <v>1126</v>
      </c>
      <c r="D2766" s="27" t="s">
        <v>1105</v>
      </c>
      <c r="E2766" s="21">
        <f>IF(D2766="?OLD","!!!","")</f>
        <v/>
      </c>
      <c r="F2766" s="22" t="str">
        <f>IF(OR(E2766="",E2766="!!!"),"",IF(NOT(ISNA(VLOOKUP(E2766,E$1:E2765,1,FALSE()))),"OLD",IF(AND(E2766&lt;&gt;"",E2766&lt;&gt;"!!!"),"NEW","")))</f>
        <v> </v>
      </c>
      <c r="G2766" s="23" t="str">
        <f>IF(OR(E2766="",E2766="!!!"),"",IF(OR(J2766=0,AND(J2766=1,K2766=1),AND(J2766=1,I2766="SBJ"),AND(J2766=1,I2766=0)),"?IN_FOCUS",IF(J2766&lt;=2,"?ACTIVATED",IF(J2766&lt;&gt;"","?FAMILIAR",IF(F2766="NEW",IF(ISNA(VLOOKUP(E2766,#REF!,1,FALSE())),"?TYPE_IDENTIFIABLE","?REFERENTIAL"),"_")))))</f>
        <v> </v>
      </c>
      <c r="H2766" s="24" t="str">
        <f>IF(J2766&lt;&gt;1,"",IF(I2766="SBJ","CB","?"))</f>
        <v> </v>
      </c>
      <c r="I2766" s="25" t="str">
        <f>IF(OR(E2766="",E2766="!!!",F2766="NEW"),"",INDEX(B2765:B$2,-1+SUMPRODUCT(MAX(ROW(E2765:E$2)*(E2766=E2765:E$2)))))</f>
        <v> </v>
      </c>
      <c r="J2766" s="25" t="str">
        <f>IF(OR(E2766="",E2766="!!!",F2766="NEW"),"",COUNTBLANK(OFFSET(A$1,,,SUMPRODUCT(MAX(ROW(E$2:E2766)*(E2766=E$2:E2766)))))-COUNTBLANK(OFFSET(A$1,,,SUMPRODUCT(MAX(ROW(E$1:E2765)*(E2=E$1:E2765))))))</f>
        <v> </v>
      </c>
      <c r="K2766" s="25" t="str">
        <f>IF(OR(E2766="",E2766="!!!",F2766="NEW"),"",INDEX(J$1:J2765,SUMPRODUCT(MAX(ROW(E$1:E2765)*(E2766=E$1:E2765)))))</f>
        <v> </v>
      </c>
      <c r="L2766" s="26"/>
    </row>
    <row r="2767" spans="1:12">
      <c r="A2767" s="20" t="s">
        <v>2405</v>
      </c>
      <c r="E2767" s="21">
        <f>IF(D2767="?OLD","!!!","")</f>
        <v/>
      </c>
      <c r="F2767" s="22" t="str">
        <f>IF(OR(E2767="",E2767="!!!"),"",IF(NOT(ISNA(VLOOKUP(E2767,E$1:E2766,1,FALSE()))),"OLD",IF(AND(E2767&lt;&gt;"",E2767&lt;&gt;"!!!"),"NEW","")))</f>
        <v> </v>
      </c>
      <c r="G2767" s="23" t="str">
        <f>IF(OR(E2767="",E2767="!!!"),"",IF(OR(J2767=0,AND(J2767=1,K2767=1),AND(J2767=1,I2767="SBJ"),AND(J2767=1,I2767=0)),"?IN_FOCUS",IF(J2767&lt;=2,"?ACTIVATED",IF(J2767&lt;&gt;"","?FAMILIAR",IF(F2767="NEW",IF(ISNA(VLOOKUP(E2767,#REF!,1,FALSE())),"?TYPE_IDENTIFIABLE","?REFERENTIAL"),"_")))))</f>
        <v> </v>
      </c>
      <c r="H2767" s="24" t="str">
        <f>IF(J2767&lt;&gt;1,"",IF(I2767="SBJ","CB","?"))</f>
        <v> </v>
      </c>
      <c r="I2767" s="25" t="str">
        <f>IF(OR(E2767="",E2767="!!!",F2767="NEW"),"",INDEX(B2766:B$2,-1+SUMPRODUCT(MAX(ROW(E2766:E$2)*(E2767=E2766:E$2)))))</f>
        <v> </v>
      </c>
      <c r="J2767" s="25" t="str">
        <f>IF(OR(E2767="",E2767="!!!",F2767="NEW"),"",COUNTBLANK(OFFSET(A$1,,,SUMPRODUCT(MAX(ROW(E$2:E2767)*(E2767=E$2:E2767)))))-COUNTBLANK(OFFSET(A$1,,,SUMPRODUCT(MAX(ROW(E$1:E2766)*(E2=E$1:E2766))))))</f>
        <v> </v>
      </c>
      <c r="K2767" s="25" t="str">
        <f>IF(OR(E2767="",E2767="!!!",F2767="NEW"),"",INDEX(J$1:J2766,SUMPRODUCT(MAX(ROW(E$1:E2766)*(E2767=E$1:E2766)))))</f>
        <v> </v>
      </c>
      <c r="L2767" s="26"/>
    </row>
    <row r="2768" spans="1:12">
      <c r="A2768" s="20" t="s">
        <v>1123</v>
      </c>
      <c r="E2768" s="21">
        <f>IF(D2768="?OLD","!!!","")</f>
        <v/>
      </c>
      <c r="F2768" s="22" t="str">
        <f>IF(OR(E2768="",E2768="!!!"),"",IF(NOT(ISNA(VLOOKUP(E2768,E$1:E2767,1,FALSE()))),"OLD",IF(AND(E2768&lt;&gt;"",E2768&lt;&gt;"!!!"),"NEW","")))</f>
        <v> </v>
      </c>
      <c r="G2768" s="23" t="str">
        <f>IF(OR(E2768="",E2768="!!!"),"",IF(OR(J2768=0,AND(J2768=1,K2768=1),AND(J2768=1,I2768="SBJ"),AND(J2768=1,I2768=0)),"?IN_FOCUS",IF(J2768&lt;=2,"?ACTIVATED",IF(J2768&lt;&gt;"","?FAMILIAR",IF(F2768="NEW",IF(ISNA(VLOOKUP(E2768,#REF!,1,FALSE())),"?TYPE_IDENTIFIABLE","?REFERENTIAL"),"_")))))</f>
        <v> </v>
      </c>
      <c r="H2768" s="24" t="str">
        <f>IF(J2768&lt;&gt;1,"",IF(I2768="SBJ","CB","?"))</f>
        <v> </v>
      </c>
      <c r="I2768" s="25" t="str">
        <f>IF(OR(E2768="",E2768="!!!",F2768="NEW"),"",INDEX(B2767:B$2,-1+SUMPRODUCT(MAX(ROW(E2767:E$2)*(E2768=E2767:E$2)))))</f>
        <v> </v>
      </c>
      <c r="J2768" s="25" t="str">
        <f>IF(OR(E2768="",E2768="!!!",F2768="NEW"),"",COUNTBLANK(OFFSET(A$1,,,SUMPRODUCT(MAX(ROW(E$2:E2768)*(E2768=E$2:E2768)))))-COUNTBLANK(OFFSET(A$1,,,SUMPRODUCT(MAX(ROW(E$1:E2767)*(E2=E$1:E2767))))))</f>
        <v> </v>
      </c>
      <c r="K2768" s="25" t="str">
        <f>IF(OR(E2768="",E2768="!!!",F2768="NEW"),"",INDEX(J$1:J2767,SUMPRODUCT(MAX(ROW(E$1:E2767)*(E2768=E$1:E2767)))))</f>
        <v> </v>
      </c>
      <c r="L2768" s="26"/>
    </row>
    <row r="2769" spans="1:12">
      <c r="A2769" s="20" t="s">
        <v>1597</v>
      </c>
      <c r="E2769" s="21">
        <f>IF(D2769="?OLD","!!!","")</f>
        <v/>
      </c>
      <c r="F2769" s="22" t="str">
        <f>IF(OR(E2769="",E2769="!!!"),"",IF(NOT(ISNA(VLOOKUP(E2769,E$1:E2768,1,FALSE()))),"OLD",IF(AND(E2769&lt;&gt;"",E2769&lt;&gt;"!!!"),"NEW","")))</f>
        <v> </v>
      </c>
      <c r="G2769" s="23" t="str">
        <f>IF(OR(E2769="",E2769="!!!"),"",IF(OR(J2769=0,AND(J2769=1,K2769=1),AND(J2769=1,I2769="SBJ"),AND(J2769=1,I2769=0)),"?IN_FOCUS",IF(J2769&lt;=2,"?ACTIVATED",IF(J2769&lt;&gt;"","?FAMILIAR",IF(F2769="NEW",IF(ISNA(VLOOKUP(E2769,#REF!,1,FALSE())),"?TYPE_IDENTIFIABLE","?REFERENTIAL"),"_")))))</f>
        <v> </v>
      </c>
      <c r="H2769" s="24" t="str">
        <f>IF(J2769&lt;&gt;1,"",IF(I2769="SBJ","CB","?"))</f>
        <v> </v>
      </c>
      <c r="I2769" s="25" t="str">
        <f>IF(OR(E2769="",E2769="!!!",F2769="NEW"),"",INDEX(B2768:B$2,-1+SUMPRODUCT(MAX(ROW(E2768:E$2)*(E2769=E2768:E$2)))))</f>
        <v> </v>
      </c>
      <c r="J2769" s="25" t="str">
        <f>IF(OR(E2769="",E2769="!!!",F2769="NEW"),"",COUNTBLANK(OFFSET(A$1,,,SUMPRODUCT(MAX(ROW(E$2:E2769)*(E2769=E$2:E2769)))))-COUNTBLANK(OFFSET(A$1,,,SUMPRODUCT(MAX(ROW(E$1:E2768)*(E2=E$1:E2768))))))</f>
        <v> </v>
      </c>
      <c r="K2769" s="25" t="str">
        <f>IF(OR(E2769="",E2769="!!!",F2769="NEW"),"",INDEX(J$1:J2768,SUMPRODUCT(MAX(ROW(E$1:E2768)*(E2769=E$1:E2768)))))</f>
        <v> </v>
      </c>
      <c r="L2769" s="26"/>
    </row>
    <row r="2770" spans="1:12">
      <c r="A2770" s="20" t="s">
        <v>2406</v>
      </c>
      <c r="E2770" s="21">
        <f>IF(D2770="?OLD","!!!","")</f>
        <v/>
      </c>
      <c r="F2770" s="22" t="str">
        <f>IF(OR(E2770="",E2770="!!!"),"",IF(NOT(ISNA(VLOOKUP(E2770,E$1:E2769,1,FALSE()))),"OLD",IF(AND(E2770&lt;&gt;"",E2770&lt;&gt;"!!!"),"NEW","")))</f>
        <v> </v>
      </c>
      <c r="G2770" s="23" t="str">
        <f>IF(OR(E2770="",E2770="!!!"),"",IF(OR(J2770=0,AND(J2770=1,K2770=1),AND(J2770=1,I2770="SBJ"),AND(J2770=1,I2770=0)),"?IN_FOCUS",IF(J2770&lt;=2,"?ACTIVATED",IF(J2770&lt;&gt;"","?FAMILIAR",IF(F2770="NEW",IF(ISNA(VLOOKUP(E2770,#REF!,1,FALSE())),"?TYPE_IDENTIFIABLE","?REFERENTIAL"),"_")))))</f>
        <v> </v>
      </c>
      <c r="H2770" s="24" t="str">
        <f>IF(J2770&lt;&gt;1,"",IF(I2770="SBJ","CB","?"))</f>
        <v> </v>
      </c>
      <c r="I2770" s="25" t="str">
        <f>IF(OR(E2770="",E2770="!!!",F2770="NEW"),"",INDEX(B2769:B$2,-1+SUMPRODUCT(MAX(ROW(E2769:E$2)*(E2770=E2769:E$2)))))</f>
        <v> </v>
      </c>
      <c r="J2770" s="25" t="str">
        <f>IF(OR(E2770="",E2770="!!!",F2770="NEW"),"",COUNTBLANK(OFFSET(A$1,,,SUMPRODUCT(MAX(ROW(E$2:E2770)*(E2770=E$2:E2770)))))-COUNTBLANK(OFFSET(A$1,,,SUMPRODUCT(MAX(ROW(E$1:E2769)*(E2=E$1:E2769))))))</f>
        <v> </v>
      </c>
      <c r="K2770" s="25" t="str">
        <f>IF(OR(E2770="",E2770="!!!",F2770="NEW"),"",INDEX(J$1:J2769,SUMPRODUCT(MAX(ROW(E$1:E2769)*(E2770=E$1:E2769)))))</f>
        <v> </v>
      </c>
      <c r="L2770" s="26"/>
    </row>
    <row r="2771" spans="1:12">
      <c r="A2771" s="20" t="s">
        <v>1145</v>
      </c>
      <c r="E2771" s="21">
        <f>IF(D2771="?OLD","!!!","")</f>
        <v/>
      </c>
      <c r="F2771" s="22" t="str">
        <f>IF(OR(E2771="",E2771="!!!"),"",IF(NOT(ISNA(VLOOKUP(E2771,E$1:E2770,1,FALSE()))),"OLD",IF(AND(E2771&lt;&gt;"",E2771&lt;&gt;"!!!"),"NEW","")))</f>
        <v> </v>
      </c>
      <c r="G2771" s="23" t="str">
        <f>IF(OR(E2771="",E2771="!!!"),"",IF(OR(J2771=0,AND(J2771=1,K2771=1),AND(J2771=1,I2771="SBJ"),AND(J2771=1,I2771=0)),"?IN_FOCUS",IF(J2771&lt;=2,"?ACTIVATED",IF(J2771&lt;&gt;"","?FAMILIAR",IF(F2771="NEW",IF(ISNA(VLOOKUP(E2771,#REF!,1,FALSE())),"?TYPE_IDENTIFIABLE","?REFERENTIAL"),"_")))))</f>
        <v> </v>
      </c>
      <c r="H2771" s="24" t="str">
        <f>IF(J2771&lt;&gt;1,"",IF(I2771="SBJ","CB","?"))</f>
        <v> </v>
      </c>
      <c r="I2771" s="25" t="str">
        <f>IF(OR(E2771="",E2771="!!!",F2771="NEW"),"",INDEX(B2770:B$2,-1+SUMPRODUCT(MAX(ROW(E2770:E$2)*(E2771=E2770:E$2)))))</f>
        <v> </v>
      </c>
      <c r="J2771" s="25" t="str">
        <f>IF(OR(E2771="",E2771="!!!",F2771="NEW"),"",COUNTBLANK(OFFSET(A$1,,,SUMPRODUCT(MAX(ROW(E$2:E2771)*(E2771=E$2:E2771)))))-COUNTBLANK(OFFSET(A$1,,,SUMPRODUCT(MAX(ROW(E$1:E2770)*(E2=E$1:E2770))))))</f>
        <v> </v>
      </c>
      <c r="K2771" s="25" t="str">
        <f>IF(OR(E2771="",E2771="!!!",F2771="NEW"),"",INDEX(J$1:J2770,SUMPRODUCT(MAX(ROW(E$1:E2770)*(E2771=E$1:E2770)))))</f>
        <v> </v>
      </c>
      <c r="L2771" s="26"/>
    </row>
    <row r="2772" spans="1:12">
      <c r="A2772" s="20"/>
    </row>
    <row r="2773" spans="1:12">
      <c r="A2773" s="20" t="s">
        <v>2407</v>
      </c>
    </row>
    <row r="2774" spans="1:12">
      <c r="A2774" s="20" t="s">
        <v>2408</v>
      </c>
      <c r="E2774" s="21">
        <f>IF(D2774="?OLD","!!!","")</f>
        <v/>
      </c>
      <c r="F2774" s="22" t="str">
        <f>IF(OR(E2774="",E2774="!!!"),"",IF(NOT(ISNA(VLOOKUP(E2774,E$1:E2773,1,FALSE()))),"OLD",IF(AND(E2774&lt;&gt;"",E2774&lt;&gt;"!!!"),"NEW","")))</f>
        <v> </v>
      </c>
      <c r="G2774" s="23" t="str">
        <f>IF(OR(E2774="",E2774="!!!"),"",IF(OR(J2774=0,AND(J2774=1,K2774=1),AND(J2774=1,I2774="SBJ"),AND(J2774=1,I2774=0)),"?IN_FOCUS",IF(J2774&lt;=2,"?ACTIVATED",IF(J2774&lt;&gt;"","?FAMILIAR",IF(F2774="NEW",IF(ISNA(VLOOKUP(E2774,#REF!,1,FALSE())),"?TYPE_IDENTIFIABLE","?REFERENTIAL"),"_")))))</f>
        <v> </v>
      </c>
      <c r="H2774" s="24" t="str">
        <f>IF(J2774&lt;&gt;1,"",IF(I2774="SBJ","CB","?"))</f>
        <v> </v>
      </c>
      <c r="I2774" s="25" t="str">
        <f>IF(OR(E2774="",E2774="!!!",F2774="NEW"),"",INDEX(B2773:B$2,-1+SUMPRODUCT(MAX(ROW(E2773:E$2)*(E2774=E2773:E$2)))))</f>
        <v> </v>
      </c>
      <c r="J2774" s="25" t="str">
        <f>IF(OR(E2774="",E2774="!!!",F2774="NEW"),"",COUNTBLANK(OFFSET(A$1,,,SUMPRODUCT(MAX(ROW(E$2:E2774)*(E2774=E$2:E2774)))))-COUNTBLANK(OFFSET(A$1,,,SUMPRODUCT(MAX(ROW(E$1:E2773)*(E2=E$1:E2773))))))</f>
        <v> </v>
      </c>
      <c r="K2774" s="25" t="str">
        <f>IF(OR(E2774="",E2774="!!!",F2774="NEW"),"",INDEX(J$1:J2773,SUMPRODUCT(MAX(ROW(E$1:E2773)*(E2774=E$1:E2773)))))</f>
        <v> </v>
      </c>
      <c r="L2774" s="26"/>
    </row>
    <row r="2775" spans="1:12">
      <c r="A2775" s="20" t="s">
        <v>1249</v>
      </c>
      <c r="E2775" s="21">
        <f>IF(D2775="?OLD","!!!","")</f>
        <v/>
      </c>
      <c r="F2775" s="22" t="str">
        <f>IF(OR(E2775="",E2775="!!!"),"",IF(NOT(ISNA(VLOOKUP(E2775,E$1:E2774,1,FALSE()))),"OLD",IF(AND(E2775&lt;&gt;"",E2775&lt;&gt;"!!!"),"NEW","")))</f>
        <v> </v>
      </c>
      <c r="G2775" s="23" t="str">
        <f>IF(OR(E2775="",E2775="!!!"),"",IF(OR(J2775=0,AND(J2775=1,K2775=1),AND(J2775=1,I2775="SBJ"),AND(J2775=1,I2775=0)),"?IN_FOCUS",IF(J2775&lt;=2,"?ACTIVATED",IF(J2775&lt;&gt;"","?FAMILIAR",IF(F2775="NEW",IF(ISNA(VLOOKUP(E2775,#REF!,1,FALSE())),"?TYPE_IDENTIFIABLE","?REFERENTIAL"),"_")))))</f>
        <v> </v>
      </c>
      <c r="H2775" s="24" t="str">
        <f>IF(J2775&lt;&gt;1,"",IF(I2775="SBJ","CB","?"))</f>
        <v> </v>
      </c>
      <c r="I2775" s="25" t="str">
        <f>IF(OR(E2775="",E2775="!!!",F2775="NEW"),"",INDEX(B2774:B$2,-1+SUMPRODUCT(MAX(ROW(E2774:E$2)*(E2775=E2774:E$2)))))</f>
        <v> </v>
      </c>
      <c r="J2775" s="25" t="str">
        <f>IF(OR(E2775="",E2775="!!!",F2775="NEW"),"",COUNTBLANK(OFFSET(A$1,,,SUMPRODUCT(MAX(ROW(E$2:E2775)*(E2775=E$2:E2775)))))-COUNTBLANK(OFFSET(A$1,,,SUMPRODUCT(MAX(ROW(E$1:E2774)*(E2=E$1:E2774))))))</f>
        <v> </v>
      </c>
      <c r="K2775" s="25" t="str">
        <f>IF(OR(E2775="",E2775="!!!",F2775="NEW"),"",INDEX(J$1:J2774,SUMPRODUCT(MAX(ROW(E$1:E2774)*(E2775=E$1:E2774)))))</f>
        <v> </v>
      </c>
      <c r="L2775" s="26"/>
    </row>
    <row r="2776" spans="1:12">
      <c r="A2776" s="20" t="s">
        <v>2409</v>
      </c>
      <c r="E2776" s="21">
        <f>IF(D2776="?OLD","!!!","")</f>
        <v/>
      </c>
      <c r="F2776" s="22" t="str">
        <f>IF(OR(E2776="",E2776="!!!"),"",IF(NOT(ISNA(VLOOKUP(E2776,E$1:E2775,1,FALSE()))),"OLD",IF(AND(E2776&lt;&gt;"",E2776&lt;&gt;"!!!"),"NEW","")))</f>
        <v> </v>
      </c>
      <c r="G2776" s="23" t="str">
        <f>IF(OR(E2776="",E2776="!!!"),"",IF(OR(J2776=0,AND(J2776=1,K2776=1),AND(J2776=1,I2776="SBJ"),AND(J2776=1,I2776=0)),"?IN_FOCUS",IF(J2776&lt;=2,"?ACTIVATED",IF(J2776&lt;&gt;"","?FAMILIAR",IF(F2776="NEW",IF(ISNA(VLOOKUP(E2776,#REF!,1,FALSE())),"?TYPE_IDENTIFIABLE","?REFERENTIAL"),"_")))))</f>
        <v> </v>
      </c>
      <c r="H2776" s="24" t="str">
        <f>IF(J2776&lt;&gt;1,"",IF(I2776="SBJ","CB","?"))</f>
        <v> </v>
      </c>
      <c r="I2776" s="25" t="str">
        <f>IF(OR(E2776="",E2776="!!!",F2776="NEW"),"",INDEX(B2775:B$2,-1+SUMPRODUCT(MAX(ROW(E2775:E$2)*(E2776=E2775:E$2)))))</f>
        <v> </v>
      </c>
      <c r="J2776" s="25" t="str">
        <f>IF(OR(E2776="",E2776="!!!",F2776="NEW"),"",COUNTBLANK(OFFSET(A$1,,,SUMPRODUCT(MAX(ROW(E$2:E2776)*(E2776=E$2:E2776)))))-COUNTBLANK(OFFSET(A$1,,,SUMPRODUCT(MAX(ROW(E$1:E2775)*(E2=E$1:E2775))))))</f>
        <v> </v>
      </c>
      <c r="K2776" s="25" t="str">
        <f>IF(OR(E2776="",E2776="!!!",F2776="NEW"),"",INDEX(J$1:J2775,SUMPRODUCT(MAX(ROW(E$1:E2775)*(E2776=E$1:E2775)))))</f>
        <v> </v>
      </c>
      <c r="L2776" s="26"/>
    </row>
    <row r="2777" spans="1:12">
      <c r="A2777" s="20" t="s">
        <v>2410</v>
      </c>
      <c r="E2777" s="21">
        <f>IF(D2777="?OLD","!!!","")</f>
        <v/>
      </c>
      <c r="F2777" s="22" t="str">
        <f>IF(OR(E2777="",E2777="!!!"),"",IF(NOT(ISNA(VLOOKUP(E2777,E$1:E2776,1,FALSE()))),"OLD",IF(AND(E2777&lt;&gt;"",E2777&lt;&gt;"!!!"),"NEW","")))</f>
        <v> </v>
      </c>
      <c r="G2777" s="23" t="str">
        <f>IF(OR(E2777="",E2777="!!!"),"",IF(OR(J2777=0,AND(J2777=1,K2777=1),AND(J2777=1,I2777="SBJ"),AND(J2777=1,I2777=0)),"?IN_FOCUS",IF(J2777&lt;=2,"?ACTIVATED",IF(J2777&lt;&gt;"","?FAMILIAR",IF(F2777="NEW",IF(ISNA(VLOOKUP(E2777,#REF!,1,FALSE())),"?TYPE_IDENTIFIABLE","?REFERENTIAL"),"_")))))</f>
        <v> </v>
      </c>
      <c r="H2777" s="24" t="str">
        <f>IF(J2777&lt;&gt;1,"",IF(I2777="SBJ","CB","?"))</f>
        <v> </v>
      </c>
      <c r="I2777" s="25" t="str">
        <f>IF(OR(E2777="",E2777="!!!",F2777="NEW"),"",INDEX(B2776:B$2,-1+SUMPRODUCT(MAX(ROW(E2776:E$2)*(E2777=E2776:E$2)))))</f>
        <v> </v>
      </c>
      <c r="J2777" s="25" t="str">
        <f>IF(OR(E2777="",E2777="!!!",F2777="NEW"),"",COUNTBLANK(OFFSET(A$1,,,SUMPRODUCT(MAX(ROW(E$2:E2777)*(E2777=E$2:E2777)))))-COUNTBLANK(OFFSET(A$1,,,SUMPRODUCT(MAX(ROW(E$1:E2776)*(E2=E$1:E2776))))))</f>
        <v> </v>
      </c>
      <c r="K2777" s="25" t="str">
        <f>IF(OR(E2777="",E2777="!!!",F2777="NEW"),"",INDEX(J$1:J2776,SUMPRODUCT(MAX(ROW(E$1:E2776)*(E2777=E$1:E2776)))))</f>
        <v> </v>
      </c>
      <c r="L2777" s="26"/>
    </row>
    <row r="2778" spans="1:12">
      <c r="A2778" s="20" t="s">
        <v>2383</v>
      </c>
      <c r="B2778" s="27" t="s">
        <v>1149</v>
      </c>
      <c r="E2778" s="21">
        <f>IF(D2778="?OLD","!!!","")</f>
        <v/>
      </c>
      <c r="F2778" s="22" t="str">
        <f>IF(OR(E2778="",E2778="!!!"),"",IF(NOT(ISNA(VLOOKUP(E2778,E$1:E2777,1,FALSE()))),"OLD",IF(AND(E2778&lt;&gt;"",E2778&lt;&gt;"!!!"),"NEW","")))</f>
        <v> </v>
      </c>
      <c r="G2778" s="23" t="str">
        <f>IF(OR(E2778="",E2778="!!!"),"",IF(OR(J2778=0,AND(J2778=1,K2778=1),AND(J2778=1,I2778="SBJ"),AND(J2778=1,I2778=0)),"?IN_FOCUS",IF(J2778&lt;=2,"?ACTIVATED",IF(J2778&lt;&gt;"","?FAMILIAR",IF(F2778="NEW",IF(ISNA(VLOOKUP(E2778,#REF!,1,FALSE())),"?TYPE_IDENTIFIABLE","?REFERENTIAL"),"_")))))</f>
        <v> </v>
      </c>
      <c r="H2778" s="24" t="str">
        <f>IF(J2778&lt;&gt;1,"",IF(I2778="SBJ","CB","?"))</f>
        <v> </v>
      </c>
      <c r="I2778" s="25" t="str">
        <f>IF(OR(E2778="",E2778="!!!",F2778="NEW"),"",INDEX(B2777:B$2,-1+SUMPRODUCT(MAX(ROW(E2777:E$2)*(E2778=E2777:E$2)))))</f>
        <v> </v>
      </c>
      <c r="J2778" s="25" t="str">
        <f>IF(OR(E2778="",E2778="!!!",F2778="NEW"),"",COUNTBLANK(OFFSET(A$1,,,SUMPRODUCT(MAX(ROW(E$2:E2778)*(E2778=E$2:E2778)))))-COUNTBLANK(OFFSET(A$1,,,SUMPRODUCT(MAX(ROW(E$1:E2777)*(E2=E$1:E2777))))))</f>
        <v> </v>
      </c>
      <c r="K2778" s="25" t="str">
        <f>IF(OR(E2778="",E2778="!!!",F2778="NEW"),"",INDEX(J$1:J2777,SUMPRODUCT(MAX(ROW(E$1:E2777)*(E2778=E$1:E2777)))))</f>
        <v> </v>
      </c>
      <c r="L2778" s="26"/>
    </row>
    <row r="2779" spans="1:12">
      <c r="A2779" s="20" t="s">
        <v>2411</v>
      </c>
      <c r="E2779" s="21">
        <f>IF(D2779="?OLD","!!!","")</f>
        <v/>
      </c>
      <c r="F2779" s="22" t="str">
        <f>IF(OR(E2779="",E2779="!!!"),"",IF(NOT(ISNA(VLOOKUP(E2779,E$1:E2778,1,FALSE()))),"OLD",IF(AND(E2779&lt;&gt;"",E2779&lt;&gt;"!!!"),"NEW","")))</f>
        <v> </v>
      </c>
      <c r="G2779" s="23" t="str">
        <f>IF(OR(E2779="",E2779="!!!"),"",IF(OR(J2779=0,AND(J2779=1,K2779=1),AND(J2779=1,I2779="SBJ"),AND(J2779=1,I2779=0)),"?IN_FOCUS",IF(J2779&lt;=2,"?ACTIVATED",IF(J2779&lt;&gt;"","?FAMILIAR",IF(F2779="NEW",IF(ISNA(VLOOKUP(E2779,#REF!,1,FALSE())),"?TYPE_IDENTIFIABLE","?REFERENTIAL"),"_")))))</f>
        <v> </v>
      </c>
      <c r="H2779" s="24" t="str">
        <f>IF(J2779&lt;&gt;1,"",IF(I2779="SBJ","CB","?"))</f>
        <v> </v>
      </c>
      <c r="I2779" s="25" t="str">
        <f>IF(OR(E2779="",E2779="!!!",F2779="NEW"),"",INDEX(B2778:B$2,-1+SUMPRODUCT(MAX(ROW(E2778:E$2)*(E2779=E2778:E$2)))))</f>
        <v> </v>
      </c>
      <c r="J2779" s="25" t="str">
        <f>IF(OR(E2779="",E2779="!!!",F2779="NEW"),"",COUNTBLANK(OFFSET(A$1,,,SUMPRODUCT(MAX(ROW(E$2:E2779)*(E2779=E$2:E2779)))))-COUNTBLANK(OFFSET(A$1,,,SUMPRODUCT(MAX(ROW(E$1:E2778)*(E2=E$1:E2778))))))</f>
        <v> </v>
      </c>
      <c r="K2779" s="25" t="str">
        <f>IF(OR(E2779="",E2779="!!!",F2779="NEW"),"",INDEX(J$1:J2778,SUMPRODUCT(MAX(ROW(E$1:E2778)*(E2779=E$1:E2778)))))</f>
        <v> </v>
      </c>
      <c r="L2779" s="26"/>
    </row>
    <row r="2780" spans="1:12">
      <c r="A2780" s="20" t="s">
        <v>1101</v>
      </c>
      <c r="E2780" s="21">
        <f>IF(D2780="?OLD","!!!","")</f>
        <v/>
      </c>
      <c r="F2780" s="22" t="str">
        <f>IF(OR(E2780="",E2780="!!!"),"",IF(NOT(ISNA(VLOOKUP(E2780,E$1:E2779,1,FALSE()))),"OLD",IF(AND(E2780&lt;&gt;"",E2780&lt;&gt;"!!!"),"NEW","")))</f>
        <v> </v>
      </c>
      <c r="G2780" s="23" t="str">
        <f>IF(OR(E2780="",E2780="!!!"),"",IF(OR(J2780=0,AND(J2780=1,K2780=1),AND(J2780=1,I2780="SBJ"),AND(J2780=1,I2780=0)),"?IN_FOCUS",IF(J2780&lt;=2,"?ACTIVATED",IF(J2780&lt;&gt;"","?FAMILIAR",IF(F2780="NEW",IF(ISNA(VLOOKUP(E2780,#REF!,1,FALSE())),"?TYPE_IDENTIFIABLE","?REFERENTIAL"),"_")))))</f>
        <v> </v>
      </c>
      <c r="H2780" s="24" t="str">
        <f>IF(J2780&lt;&gt;1,"",IF(I2780="SBJ","CB","?"))</f>
        <v> </v>
      </c>
      <c r="I2780" s="25" t="str">
        <f>IF(OR(E2780="",E2780="!!!",F2780="NEW"),"",INDEX(B2779:B$2,-1+SUMPRODUCT(MAX(ROW(E2779:E$2)*(E2780=E2779:E$2)))))</f>
        <v> </v>
      </c>
      <c r="J2780" s="25" t="str">
        <f>IF(OR(E2780="",E2780="!!!",F2780="NEW"),"",COUNTBLANK(OFFSET(A$1,,,SUMPRODUCT(MAX(ROW(E$2:E2780)*(E2780=E$2:E2780)))))-COUNTBLANK(OFFSET(A$1,,,SUMPRODUCT(MAX(ROW(E$1:E2779)*(E2=E$1:E2779))))))</f>
        <v> </v>
      </c>
      <c r="K2780" s="25" t="str">
        <f>IF(OR(E2780="",E2780="!!!",F2780="NEW"),"",INDEX(J$1:J2779,SUMPRODUCT(MAX(ROW(E$1:E2779)*(E2780=E$1:E2779)))))</f>
        <v> </v>
      </c>
      <c r="L2780" s="26"/>
    </row>
    <row r="2781" spans="1:12">
      <c r="A2781" s="20" t="s">
        <v>2412</v>
      </c>
      <c r="E2781" s="21">
        <f>IF(D2781="?OLD","!!!","")</f>
        <v/>
      </c>
      <c r="F2781" s="22" t="str">
        <f>IF(OR(E2781="",E2781="!!!"),"",IF(NOT(ISNA(VLOOKUP(E2781,E$1:E2780,1,FALSE()))),"OLD",IF(AND(E2781&lt;&gt;"",E2781&lt;&gt;"!!!"),"NEW","")))</f>
        <v> </v>
      </c>
      <c r="G2781" s="23" t="str">
        <f>IF(OR(E2781="",E2781="!!!"),"",IF(OR(J2781=0,AND(J2781=1,K2781=1),AND(J2781=1,I2781="SBJ"),AND(J2781=1,I2781=0)),"?IN_FOCUS",IF(J2781&lt;=2,"?ACTIVATED",IF(J2781&lt;&gt;"","?FAMILIAR",IF(F2781="NEW",IF(ISNA(VLOOKUP(E2781,#REF!,1,FALSE())),"?TYPE_IDENTIFIABLE","?REFERENTIAL"),"_")))))</f>
        <v> </v>
      </c>
      <c r="H2781" s="24" t="str">
        <f>IF(J2781&lt;&gt;1,"",IF(I2781="SBJ","CB","?"))</f>
        <v> </v>
      </c>
      <c r="I2781" s="25" t="str">
        <f>IF(OR(E2781="",E2781="!!!",F2781="NEW"),"",INDEX(B2780:B$2,-1+SUMPRODUCT(MAX(ROW(E2780:E$2)*(E2781=E2780:E$2)))))</f>
        <v> </v>
      </c>
      <c r="J2781" s="25" t="str">
        <f>IF(OR(E2781="",E2781="!!!",F2781="NEW"),"",COUNTBLANK(OFFSET(A$1,,,SUMPRODUCT(MAX(ROW(E$2:E2781)*(E2781=E$2:E2781)))))-COUNTBLANK(OFFSET(A$1,,,SUMPRODUCT(MAX(ROW(E$1:E2780)*(E2=E$1:E2780))))))</f>
        <v> </v>
      </c>
      <c r="K2781" s="25" t="str">
        <f>IF(OR(E2781="",E2781="!!!",F2781="NEW"),"",INDEX(J$1:J2780,SUMPRODUCT(MAX(ROW(E$1:E2780)*(E2781=E$1:E2780)))))</f>
        <v> </v>
      </c>
      <c r="L2781" s="26"/>
    </row>
    <row r="2782" spans="1:12">
      <c r="A2782" s="20" t="s">
        <v>2413</v>
      </c>
      <c r="E2782" s="21">
        <f>IF(D2782="?OLD","!!!","")</f>
        <v/>
      </c>
      <c r="F2782" s="22" t="str">
        <f>IF(OR(E2782="",E2782="!!!"),"",IF(NOT(ISNA(VLOOKUP(E2782,E$1:E2781,1,FALSE()))),"OLD",IF(AND(E2782&lt;&gt;"",E2782&lt;&gt;"!!!"),"NEW","")))</f>
        <v> </v>
      </c>
      <c r="G2782" s="23" t="str">
        <f>IF(OR(E2782="",E2782="!!!"),"",IF(OR(J2782=0,AND(J2782=1,K2782=1),AND(J2782=1,I2782="SBJ"),AND(J2782=1,I2782=0)),"?IN_FOCUS",IF(J2782&lt;=2,"?ACTIVATED",IF(J2782&lt;&gt;"","?FAMILIAR",IF(F2782="NEW",IF(ISNA(VLOOKUP(E2782,#REF!,1,FALSE())),"?TYPE_IDENTIFIABLE","?REFERENTIAL"),"_")))))</f>
        <v> </v>
      </c>
      <c r="H2782" s="24" t="str">
        <f>IF(J2782&lt;&gt;1,"",IF(I2782="SBJ","CB","?"))</f>
        <v> </v>
      </c>
      <c r="I2782" s="25" t="str">
        <f>IF(OR(E2782="",E2782="!!!",F2782="NEW"),"",INDEX(B2781:B$2,-1+SUMPRODUCT(MAX(ROW(E2781:E$2)*(E2782=E2781:E$2)))))</f>
        <v> </v>
      </c>
      <c r="J2782" s="25" t="str">
        <f>IF(OR(E2782="",E2782="!!!",F2782="NEW"),"",COUNTBLANK(OFFSET(A$1,,,SUMPRODUCT(MAX(ROW(E$2:E2782)*(E2782=E$2:E2782)))))-COUNTBLANK(OFFSET(A$1,,,SUMPRODUCT(MAX(ROW(E$1:E2781)*(E2=E$1:E2781))))))</f>
        <v> </v>
      </c>
      <c r="K2782" s="25" t="str">
        <f>IF(OR(E2782="",E2782="!!!",F2782="NEW"),"",INDEX(J$1:J2781,SUMPRODUCT(MAX(ROW(E$1:E2781)*(E2782=E$1:E2781)))))</f>
        <v> </v>
      </c>
      <c r="L2782" s="26"/>
    </row>
    <row r="2783" spans="1:12">
      <c r="A2783" s="20" t="s">
        <v>2414</v>
      </c>
      <c r="E2783" s="21">
        <f>IF(D2783="?OLD","!!!","")</f>
        <v/>
      </c>
      <c r="F2783" s="22" t="str">
        <f>IF(OR(E2783="",E2783="!!!"),"",IF(NOT(ISNA(VLOOKUP(E2783,E$1:E2782,1,FALSE()))),"OLD",IF(AND(E2783&lt;&gt;"",E2783&lt;&gt;"!!!"),"NEW","")))</f>
        <v> </v>
      </c>
      <c r="G2783" s="23" t="str">
        <f>IF(OR(E2783="",E2783="!!!"),"",IF(OR(J2783=0,AND(J2783=1,K2783=1),AND(J2783=1,I2783="SBJ"),AND(J2783=1,I2783=0)),"?IN_FOCUS",IF(J2783&lt;=2,"?ACTIVATED",IF(J2783&lt;&gt;"","?FAMILIAR",IF(F2783="NEW",IF(ISNA(VLOOKUP(E2783,#REF!,1,FALSE())),"?TYPE_IDENTIFIABLE","?REFERENTIAL"),"_")))))</f>
        <v> </v>
      </c>
      <c r="H2783" s="24" t="str">
        <f>IF(J2783&lt;&gt;1,"",IF(I2783="SBJ","CB","?"))</f>
        <v> </v>
      </c>
      <c r="I2783" s="25" t="str">
        <f>IF(OR(E2783="",E2783="!!!",F2783="NEW"),"",INDEX(B2782:B$2,-1+SUMPRODUCT(MAX(ROW(E2782:E$2)*(E2783=E2782:E$2)))))</f>
        <v> </v>
      </c>
      <c r="J2783" s="25" t="str">
        <f>IF(OR(E2783="",E2783="!!!",F2783="NEW"),"",COUNTBLANK(OFFSET(A$1,,,SUMPRODUCT(MAX(ROW(E$2:E2783)*(E2783=E$2:E2783)))))-COUNTBLANK(OFFSET(A$1,,,SUMPRODUCT(MAX(ROW(E$1:E2782)*(E2=E$1:E2782))))))</f>
        <v> </v>
      </c>
      <c r="K2783" s="25" t="str">
        <f>IF(OR(E2783="",E2783="!!!",F2783="NEW"),"",INDEX(J$1:J2782,SUMPRODUCT(MAX(ROW(E$1:E2782)*(E2783=E$1:E2782)))))</f>
        <v> </v>
      </c>
      <c r="L2783" s="26"/>
    </row>
    <row r="2784" spans="1:12">
      <c r="A2784" s="20" t="s">
        <v>1145</v>
      </c>
      <c r="E2784" s="21">
        <f>IF(D2784="?OLD","!!!","")</f>
        <v/>
      </c>
      <c r="F2784" s="22" t="str">
        <f>IF(OR(E2784="",E2784="!!!"),"",IF(NOT(ISNA(VLOOKUP(E2784,E$1:E2783,1,FALSE()))),"OLD",IF(AND(E2784&lt;&gt;"",E2784&lt;&gt;"!!!"),"NEW","")))</f>
        <v> </v>
      </c>
      <c r="G2784" s="23" t="str">
        <f>IF(OR(E2784="",E2784="!!!"),"",IF(OR(J2784=0,AND(J2784=1,K2784=1),AND(J2784=1,I2784="SBJ"),AND(J2784=1,I2784=0)),"?IN_FOCUS",IF(J2784&lt;=2,"?ACTIVATED",IF(J2784&lt;&gt;"","?FAMILIAR",IF(F2784="NEW",IF(ISNA(VLOOKUP(E2784,#REF!,1,FALSE())),"?TYPE_IDENTIFIABLE","?REFERENTIAL"),"_")))))</f>
        <v> </v>
      </c>
      <c r="H2784" s="24" t="str">
        <f>IF(J2784&lt;&gt;1,"",IF(I2784="SBJ","CB","?"))</f>
        <v> </v>
      </c>
      <c r="I2784" s="25" t="str">
        <f>IF(OR(E2784="",E2784="!!!",F2784="NEW"),"",INDEX(B2783:B$2,-1+SUMPRODUCT(MAX(ROW(E2783:E$2)*(E2784=E2783:E$2)))))</f>
        <v> </v>
      </c>
      <c r="J2784" s="25" t="str">
        <f>IF(OR(E2784="",E2784="!!!",F2784="NEW"),"",COUNTBLANK(OFFSET(A$1,,,SUMPRODUCT(MAX(ROW(E$2:E2784)*(E2784=E$2:E2784)))))-COUNTBLANK(OFFSET(A$1,,,SUMPRODUCT(MAX(ROW(E$1:E2783)*(E2=E$1:E2783))))))</f>
        <v> </v>
      </c>
      <c r="K2784" s="25" t="str">
        <f>IF(OR(E2784="",E2784="!!!",F2784="NEW"),"",INDEX(J$1:J2783,SUMPRODUCT(MAX(ROW(E$1:E2783)*(E2784=E$1:E2783)))))</f>
        <v> </v>
      </c>
      <c r="L2784" s="26"/>
    </row>
    <row r="2785" spans="1:12">
      <c r="A2785" s="20"/>
    </row>
    <row r="2786" spans="1:12">
      <c r="A2786" s="20" t="s">
        <v>2415</v>
      </c>
    </row>
    <row r="2787" spans="1:12">
      <c r="A2787" s="20" t="s">
        <v>1111</v>
      </c>
      <c r="E2787" s="21">
        <f>IF(D2787="?OLD","!!!","")</f>
        <v/>
      </c>
      <c r="F2787" s="22" t="str">
        <f>IF(OR(E2787="",E2787="!!!"),"",IF(NOT(ISNA(VLOOKUP(E2787,E$1:E2786,1,FALSE()))),"OLD",IF(AND(E2787&lt;&gt;"",E2787&lt;&gt;"!!!"),"NEW","")))</f>
        <v> </v>
      </c>
      <c r="G2787" s="23" t="str">
        <f>IF(OR(E2787="",E2787="!!!"),"",IF(OR(J2787=0,AND(J2787=1,K2787=1),AND(J2787=1,I2787="SBJ"),AND(J2787=1,I2787=0)),"?IN_FOCUS",IF(J2787&lt;=2,"?ACTIVATED",IF(J2787&lt;&gt;"","?FAMILIAR",IF(F2787="NEW",IF(ISNA(VLOOKUP(E2787,#REF!,1,FALSE())),"?TYPE_IDENTIFIABLE","?REFERENTIAL"),"_")))))</f>
        <v> </v>
      </c>
      <c r="H2787" s="24" t="str">
        <f>IF(J2787&lt;&gt;1,"",IF(I2787="SBJ","CB","?"))</f>
        <v> </v>
      </c>
      <c r="I2787" s="25" t="str">
        <f>IF(OR(E2787="",E2787="!!!",F2787="NEW"),"",INDEX(B2786:B$2,-1+SUMPRODUCT(MAX(ROW(E2786:E$2)*(E2787=E2786:E$2)))))</f>
        <v> </v>
      </c>
      <c r="J2787" s="25" t="str">
        <f>IF(OR(E2787="",E2787="!!!",F2787="NEW"),"",COUNTBLANK(OFFSET(A$1,,,SUMPRODUCT(MAX(ROW(E$2:E2787)*(E2787=E$2:E2787)))))-COUNTBLANK(OFFSET(A$1,,,SUMPRODUCT(MAX(ROW(E$1:E2786)*(E2=E$1:E2786))))))</f>
        <v> </v>
      </c>
      <c r="K2787" s="25" t="str">
        <f>IF(OR(E2787="",E2787="!!!",F2787="NEW"),"",INDEX(J$1:J2786,SUMPRODUCT(MAX(ROW(E$1:E2786)*(E2787=E$1:E2786)))))</f>
        <v> </v>
      </c>
      <c r="L2787" s="26"/>
    </row>
    <row r="2788" spans="1:12">
      <c r="A2788" s="20" t="s">
        <v>2416</v>
      </c>
      <c r="E2788" s="21">
        <f>IF(D2788="?OLD","!!!","")</f>
        <v/>
      </c>
      <c r="F2788" s="22" t="str">
        <f>IF(OR(E2788="",E2788="!!!"),"",IF(NOT(ISNA(VLOOKUP(E2788,E$1:E2787,1,FALSE()))),"OLD",IF(AND(E2788&lt;&gt;"",E2788&lt;&gt;"!!!"),"NEW","")))</f>
        <v> </v>
      </c>
      <c r="G2788" s="23" t="str">
        <f>IF(OR(E2788="",E2788="!!!"),"",IF(OR(J2788=0,AND(J2788=1,K2788=1),AND(J2788=1,I2788="SBJ"),AND(J2788=1,I2788=0)),"?IN_FOCUS",IF(J2788&lt;=2,"?ACTIVATED",IF(J2788&lt;&gt;"","?FAMILIAR",IF(F2788="NEW",IF(ISNA(VLOOKUP(E2788,#REF!,1,FALSE())),"?TYPE_IDENTIFIABLE","?REFERENTIAL"),"_")))))</f>
        <v> </v>
      </c>
      <c r="H2788" s="24" t="str">
        <f>IF(J2788&lt;&gt;1,"",IF(I2788="SBJ","CB","?"))</f>
        <v> </v>
      </c>
      <c r="I2788" s="25" t="str">
        <f>IF(OR(E2788="",E2788="!!!",F2788="NEW"),"",INDEX(B2787:B$2,-1+SUMPRODUCT(MAX(ROW(E2787:E$2)*(E2788=E2787:E$2)))))</f>
        <v> </v>
      </c>
      <c r="J2788" s="25" t="str">
        <f>IF(OR(E2788="",E2788="!!!",F2788="NEW"),"",COUNTBLANK(OFFSET(A$1,,,SUMPRODUCT(MAX(ROW(E$2:E2788)*(E2788=E$2:E2788)))))-COUNTBLANK(OFFSET(A$1,,,SUMPRODUCT(MAX(ROW(E$1:E2787)*(E2=E$1:E2787))))))</f>
        <v> </v>
      </c>
      <c r="K2788" s="25" t="str">
        <f>IF(OR(E2788="",E2788="!!!",F2788="NEW"),"",INDEX(J$1:J2787,SUMPRODUCT(MAX(ROW(E$1:E2787)*(E2788=E$1:E2787)))))</f>
        <v> </v>
      </c>
      <c r="L2788" s="26"/>
    </row>
    <row r="2789" spans="1:12">
      <c r="A2789" s="20" t="s">
        <v>2417</v>
      </c>
      <c r="B2789" s="27" t="s">
        <v>1149</v>
      </c>
      <c r="C2789" s="27" t="s">
        <v>1133</v>
      </c>
      <c r="E2789" s="21">
        <f>IF(D2789="?OLD","!!!","")</f>
        <v/>
      </c>
      <c r="F2789" s="22" t="str">
        <f>IF(OR(E2789="",E2789="!!!"),"",IF(NOT(ISNA(VLOOKUP(E2789,E$1:E2788,1,FALSE()))),"OLD",IF(AND(E2789&lt;&gt;"",E2789&lt;&gt;"!!!"),"NEW","")))</f>
        <v> </v>
      </c>
      <c r="G2789" s="23" t="str">
        <f>IF(OR(E2789="",E2789="!!!"),"",IF(OR(J2789=0,AND(J2789=1,K2789=1),AND(J2789=1,I2789="SBJ"),AND(J2789=1,I2789=0)),"?IN_FOCUS",IF(J2789&lt;=2,"?ACTIVATED",IF(J2789&lt;&gt;"","?FAMILIAR",IF(F2789="NEW",IF(ISNA(VLOOKUP(E2789,#REF!,1,FALSE())),"?TYPE_IDENTIFIABLE","?REFERENTIAL"),"_")))))</f>
        <v> </v>
      </c>
      <c r="H2789" s="24" t="str">
        <f>IF(J2789&lt;&gt;1,"",IF(I2789="SBJ","CB","?"))</f>
        <v> </v>
      </c>
      <c r="I2789" s="25" t="str">
        <f>IF(OR(E2789="",E2789="!!!",F2789="NEW"),"",INDEX(B2788:B$2,-1+SUMPRODUCT(MAX(ROW(E2788:E$2)*(E2789=E2788:E$2)))))</f>
        <v> </v>
      </c>
      <c r="J2789" s="25" t="str">
        <f>IF(OR(E2789="",E2789="!!!",F2789="NEW"),"",COUNTBLANK(OFFSET(A$1,,,SUMPRODUCT(MAX(ROW(E$2:E2789)*(E2789=E$2:E2789)))))-COUNTBLANK(OFFSET(A$1,,,SUMPRODUCT(MAX(ROW(E$1:E2788)*(E2=E$1:E2788))))))</f>
        <v> </v>
      </c>
      <c r="K2789" s="25" t="str">
        <f>IF(OR(E2789="",E2789="!!!",F2789="NEW"),"",INDEX(J$1:J2788,SUMPRODUCT(MAX(ROW(E$1:E2788)*(E2789=E$1:E2788)))))</f>
        <v> </v>
      </c>
      <c r="L2789" s="26"/>
    </row>
    <row r="2790" spans="1:12">
      <c r="A2790" s="20" t="s">
        <v>1346</v>
      </c>
      <c r="E2790" s="21">
        <f>IF(D2790="?OLD","!!!","")</f>
        <v/>
      </c>
      <c r="F2790" s="22" t="str">
        <f>IF(OR(E2790="",E2790="!!!"),"",IF(NOT(ISNA(VLOOKUP(E2790,E$1:E2789,1,FALSE()))),"OLD",IF(AND(E2790&lt;&gt;"",E2790&lt;&gt;"!!!"),"NEW","")))</f>
        <v> </v>
      </c>
      <c r="G2790" s="23" t="str">
        <f>IF(OR(E2790="",E2790="!!!"),"",IF(OR(J2790=0,AND(J2790=1,K2790=1),AND(J2790=1,I2790="SBJ"),AND(J2790=1,I2790=0)),"?IN_FOCUS",IF(J2790&lt;=2,"?ACTIVATED",IF(J2790&lt;&gt;"","?FAMILIAR",IF(F2790="NEW",IF(ISNA(VLOOKUP(E2790,#REF!,1,FALSE())),"?TYPE_IDENTIFIABLE","?REFERENTIAL"),"_")))))</f>
        <v> </v>
      </c>
      <c r="H2790" s="24" t="str">
        <f>IF(J2790&lt;&gt;1,"",IF(I2790="SBJ","CB","?"))</f>
        <v> </v>
      </c>
      <c r="I2790" s="25" t="str">
        <f>IF(OR(E2790="",E2790="!!!",F2790="NEW"),"",INDEX(B2789:B$2,-1+SUMPRODUCT(MAX(ROW(E2789:E$2)*(E2790=E2789:E$2)))))</f>
        <v> </v>
      </c>
      <c r="J2790" s="25" t="str">
        <f>IF(OR(E2790="",E2790="!!!",F2790="NEW"),"",COUNTBLANK(OFFSET(A$1,,,SUMPRODUCT(MAX(ROW(E$2:E2790)*(E2790=E$2:E2790)))))-COUNTBLANK(OFFSET(A$1,,,SUMPRODUCT(MAX(ROW(E$1:E2789)*(E2=E$1:E2789))))))</f>
        <v> </v>
      </c>
      <c r="K2790" s="25" t="str">
        <f>IF(OR(E2790="",E2790="!!!",F2790="NEW"),"",INDEX(J$1:J2789,SUMPRODUCT(MAX(ROW(E$1:E2789)*(E2790=E$1:E2789)))))</f>
        <v> </v>
      </c>
      <c r="L2790" s="26"/>
    </row>
    <row r="2791" spans="1:12">
      <c r="A2791" s="20" t="s">
        <v>1351</v>
      </c>
      <c r="E2791" s="21">
        <f>IF(D2791="?OLD","!!!","")</f>
        <v/>
      </c>
      <c r="F2791" s="22" t="str">
        <f>IF(OR(E2791="",E2791="!!!"),"",IF(NOT(ISNA(VLOOKUP(E2791,E$1:E2790,1,FALSE()))),"OLD",IF(AND(E2791&lt;&gt;"",E2791&lt;&gt;"!!!"),"NEW","")))</f>
        <v> </v>
      </c>
      <c r="G2791" s="23" t="str">
        <f>IF(OR(E2791="",E2791="!!!"),"",IF(OR(J2791=0,AND(J2791=1,K2791=1),AND(J2791=1,I2791="SBJ"),AND(J2791=1,I2791=0)),"?IN_FOCUS",IF(J2791&lt;=2,"?ACTIVATED",IF(J2791&lt;&gt;"","?FAMILIAR",IF(F2791="NEW",IF(ISNA(VLOOKUP(E2791,#REF!,1,FALSE())),"?TYPE_IDENTIFIABLE","?REFERENTIAL"),"_")))))</f>
        <v> </v>
      </c>
      <c r="H2791" s="24" t="str">
        <f>IF(J2791&lt;&gt;1,"",IF(I2791="SBJ","CB","?"))</f>
        <v> </v>
      </c>
      <c r="I2791" s="25" t="str">
        <f>IF(OR(E2791="",E2791="!!!",F2791="NEW"),"",INDEX(B2790:B$2,-1+SUMPRODUCT(MAX(ROW(E2790:E$2)*(E2791=E2790:E$2)))))</f>
        <v> </v>
      </c>
      <c r="J2791" s="25" t="str">
        <f>IF(OR(E2791="",E2791="!!!",F2791="NEW"),"",COUNTBLANK(OFFSET(A$1,,,SUMPRODUCT(MAX(ROW(E$2:E2791)*(E2791=E$2:E2791)))))-COUNTBLANK(OFFSET(A$1,,,SUMPRODUCT(MAX(ROW(E$1:E2790)*(E2=E$1:E2790))))))</f>
        <v> </v>
      </c>
      <c r="K2791" s="25" t="str">
        <f>IF(OR(E2791="",E2791="!!!",F2791="NEW"),"",INDEX(J$1:J2790,SUMPRODUCT(MAX(ROW(E$1:E2790)*(E2791=E$1:E2790)))))</f>
        <v> </v>
      </c>
      <c r="L2791" s="26"/>
    </row>
    <row r="2792" spans="1:12">
      <c r="A2792" s="20" t="s">
        <v>1111</v>
      </c>
      <c r="E2792" s="21">
        <f>IF(D2792="?OLD","!!!","")</f>
        <v/>
      </c>
      <c r="F2792" s="22" t="str">
        <f>IF(OR(E2792="",E2792="!!!"),"",IF(NOT(ISNA(VLOOKUP(E2792,E$1:E2791,1,FALSE()))),"OLD",IF(AND(E2792&lt;&gt;"",E2792&lt;&gt;"!!!"),"NEW","")))</f>
        <v> </v>
      </c>
      <c r="G2792" s="23" t="str">
        <f>IF(OR(E2792="",E2792="!!!"),"",IF(OR(J2792=0,AND(J2792=1,K2792=1),AND(J2792=1,I2792="SBJ"),AND(J2792=1,I2792=0)),"?IN_FOCUS",IF(J2792&lt;=2,"?ACTIVATED",IF(J2792&lt;&gt;"","?FAMILIAR",IF(F2792="NEW",IF(ISNA(VLOOKUP(E2792,#REF!,1,FALSE())),"?TYPE_IDENTIFIABLE","?REFERENTIAL"),"_")))))</f>
        <v> </v>
      </c>
      <c r="H2792" s="24" t="str">
        <f>IF(J2792&lt;&gt;1,"",IF(I2792="SBJ","CB","?"))</f>
        <v> </v>
      </c>
      <c r="I2792" s="25" t="str">
        <f>IF(OR(E2792="",E2792="!!!",F2792="NEW"),"",INDEX(B2791:B$2,-1+SUMPRODUCT(MAX(ROW(E2791:E$2)*(E2792=E2791:E$2)))))</f>
        <v> </v>
      </c>
      <c r="J2792" s="25" t="str">
        <f>IF(OR(E2792="",E2792="!!!",F2792="NEW"),"",COUNTBLANK(OFFSET(A$1,,,SUMPRODUCT(MAX(ROW(E$2:E2792)*(E2792=E$2:E2792)))))-COUNTBLANK(OFFSET(A$1,,,SUMPRODUCT(MAX(ROW(E$1:E2791)*(E2=E$1:E2791))))))</f>
        <v> </v>
      </c>
      <c r="K2792" s="25" t="str">
        <f>IF(OR(E2792="",E2792="!!!",F2792="NEW"),"",INDEX(J$1:J2791,SUMPRODUCT(MAX(ROW(E$1:E2791)*(E2792=E$1:E2791)))))</f>
        <v> </v>
      </c>
      <c r="L2792" s="26"/>
    </row>
    <row r="2793" spans="1:12">
      <c r="A2793" s="20" t="s">
        <v>2418</v>
      </c>
      <c r="E2793" s="21">
        <f>IF(D2793="?OLD","!!!","")</f>
        <v/>
      </c>
      <c r="F2793" s="22" t="str">
        <f>IF(OR(E2793="",E2793="!!!"),"",IF(NOT(ISNA(VLOOKUP(E2793,E$1:E2792,1,FALSE()))),"OLD",IF(AND(E2793&lt;&gt;"",E2793&lt;&gt;"!!!"),"NEW","")))</f>
        <v> </v>
      </c>
      <c r="G2793" s="23" t="str">
        <f>IF(OR(E2793="",E2793="!!!"),"",IF(OR(J2793=0,AND(J2793=1,K2793=1),AND(J2793=1,I2793="SBJ"),AND(J2793=1,I2793=0)),"?IN_FOCUS",IF(J2793&lt;=2,"?ACTIVATED",IF(J2793&lt;&gt;"","?FAMILIAR",IF(F2793="NEW",IF(ISNA(VLOOKUP(E2793,#REF!,1,FALSE())),"?TYPE_IDENTIFIABLE","?REFERENTIAL"),"_")))))</f>
        <v> </v>
      </c>
      <c r="H2793" s="24" t="str">
        <f>IF(J2793&lt;&gt;1,"",IF(I2793="SBJ","CB","?"))</f>
        <v> </v>
      </c>
      <c r="I2793" s="25" t="str">
        <f>IF(OR(E2793="",E2793="!!!",F2793="NEW"),"",INDEX(B2792:B$2,-1+SUMPRODUCT(MAX(ROW(E2792:E$2)*(E2793=E2792:E$2)))))</f>
        <v> </v>
      </c>
      <c r="J2793" s="25" t="str">
        <f>IF(OR(E2793="",E2793="!!!",F2793="NEW"),"",COUNTBLANK(OFFSET(A$1,,,SUMPRODUCT(MAX(ROW(E$2:E2793)*(E2793=E$2:E2793)))))-COUNTBLANK(OFFSET(A$1,,,SUMPRODUCT(MAX(ROW(E$1:E2792)*(E2=E$1:E2792))))))</f>
        <v> </v>
      </c>
      <c r="K2793" s="25" t="str">
        <f>IF(OR(E2793="",E2793="!!!",F2793="NEW"),"",INDEX(J$1:J2792,SUMPRODUCT(MAX(ROW(E$1:E2792)*(E2793=E$1:E2792)))))</f>
        <v> </v>
      </c>
      <c r="L2793" s="26"/>
    </row>
    <row r="2794" spans="1:12">
      <c r="A2794" s="20" t="s">
        <v>727</v>
      </c>
      <c r="B2794" s="27" t="s">
        <v>1122</v>
      </c>
      <c r="C2794" s="27" t="s">
        <v>1108</v>
      </c>
      <c r="D2794" s="27" t="s">
        <v>1105</v>
      </c>
      <c r="E2794" s="21">
        <f>IF(D2794="?OLD","!!!","")</f>
        <v/>
      </c>
      <c r="F2794" s="22" t="str">
        <f>IF(OR(E2794="",E2794="!!!"),"",IF(NOT(ISNA(VLOOKUP(E2794,E$1:E2793,1,FALSE()))),"OLD",IF(AND(E2794&lt;&gt;"",E2794&lt;&gt;"!!!"),"NEW","")))</f>
        <v> </v>
      </c>
      <c r="G2794" s="23" t="str">
        <f>IF(OR(E2794="",E2794="!!!"),"",IF(OR(J2794=0,AND(J2794=1,K2794=1),AND(J2794=1,I2794="SBJ"),AND(J2794=1,I2794=0)),"?IN_FOCUS",IF(J2794&lt;=2,"?ACTIVATED",IF(J2794&lt;&gt;"","?FAMILIAR",IF(F2794="NEW",IF(ISNA(VLOOKUP(E2794,#REF!,1,FALSE())),"?TYPE_IDENTIFIABLE","?REFERENTIAL"),"_")))))</f>
        <v> </v>
      </c>
      <c r="H2794" s="24" t="str">
        <f>IF(J2794&lt;&gt;1,"",IF(I2794="SBJ","CB","?"))</f>
        <v> </v>
      </c>
      <c r="I2794" s="25" t="str">
        <f>IF(OR(E2794="",E2794="!!!",F2794="NEW"),"",INDEX(B2793:B$2,-1+SUMPRODUCT(MAX(ROW(E2793:E$2)*(E2794=E2793:E$2)))))</f>
        <v> </v>
      </c>
      <c r="J2794" s="25" t="str">
        <f>IF(OR(E2794="",E2794="!!!",F2794="NEW"),"",COUNTBLANK(OFFSET(A$1,,,SUMPRODUCT(MAX(ROW(E$2:E2794)*(E2794=E$2:E2794)))))-COUNTBLANK(OFFSET(A$1,,,SUMPRODUCT(MAX(ROW(E$1:E2793)*(E2=E$1:E2793))))))</f>
        <v> </v>
      </c>
      <c r="K2794" s="25" t="str">
        <f>IF(OR(E2794="",E2794="!!!",F2794="NEW"),"",INDEX(J$1:J2793,SUMPRODUCT(MAX(ROW(E$1:E2793)*(E2794=E$1:E2793)))))</f>
        <v> </v>
      </c>
      <c r="L2794" s="26"/>
    </row>
    <row r="2795" spans="1:12">
      <c r="A2795" s="20" t="s">
        <v>1145</v>
      </c>
      <c r="E2795" s="21">
        <f>IF(D2795="?OLD","!!!","")</f>
        <v/>
      </c>
      <c r="F2795" s="22" t="str">
        <f>IF(OR(E2795="",E2795="!!!"),"",IF(NOT(ISNA(VLOOKUP(E2795,E$1:E2794,1,FALSE()))),"OLD",IF(AND(E2795&lt;&gt;"",E2795&lt;&gt;"!!!"),"NEW","")))</f>
        <v> </v>
      </c>
      <c r="G2795" s="23" t="str">
        <f>IF(OR(E2795="",E2795="!!!"),"",IF(OR(J2795=0,AND(J2795=1,K2795=1),AND(J2795=1,I2795="SBJ"),AND(J2795=1,I2795=0)),"?IN_FOCUS",IF(J2795&lt;=2,"?ACTIVATED",IF(J2795&lt;&gt;"","?FAMILIAR",IF(F2795="NEW",IF(ISNA(VLOOKUP(E2795,#REF!,1,FALSE())),"?TYPE_IDENTIFIABLE","?REFERENTIAL"),"_")))))</f>
        <v> </v>
      </c>
      <c r="H2795" s="24" t="str">
        <f>IF(J2795&lt;&gt;1,"",IF(I2795="SBJ","CB","?"))</f>
        <v> </v>
      </c>
      <c r="I2795" s="25" t="str">
        <f>IF(OR(E2795="",E2795="!!!",F2795="NEW"),"",INDEX(B2794:B$2,-1+SUMPRODUCT(MAX(ROW(E2794:E$2)*(E2795=E2794:E$2)))))</f>
        <v> </v>
      </c>
      <c r="J2795" s="25" t="str">
        <f>IF(OR(E2795="",E2795="!!!",F2795="NEW"),"",COUNTBLANK(OFFSET(A$1,,,SUMPRODUCT(MAX(ROW(E$2:E2795)*(E2795=E$2:E2795)))))-COUNTBLANK(OFFSET(A$1,,,SUMPRODUCT(MAX(ROW(E$1:E2794)*(E2=E$1:E2794))))))</f>
        <v> </v>
      </c>
      <c r="K2795" s="25" t="str">
        <f>IF(OR(E2795="",E2795="!!!",F2795="NEW"),"",INDEX(J$1:J2794,SUMPRODUCT(MAX(ROW(E$1:E2794)*(E2795=E$1:E2794)))))</f>
        <v> </v>
      </c>
      <c r="L2795" s="26"/>
    </row>
    <row r="2796" spans="1:12">
      <c r="A2796" s="20"/>
    </row>
    <row r="2797" spans="1:12">
      <c r="A2797" s="20" t="s">
        <v>2419</v>
      </c>
    </row>
    <row r="2798" spans="1:12">
      <c r="A2798" s="20" t="s">
        <v>1111</v>
      </c>
      <c r="E2798" s="21">
        <f>IF(D2798="?OLD","!!!","")</f>
        <v/>
      </c>
      <c r="F2798" s="22" t="str">
        <f>IF(OR(E2798="",E2798="!!!"),"",IF(NOT(ISNA(VLOOKUP(E2798,E$1:E2797,1,FALSE()))),"OLD",IF(AND(E2798&lt;&gt;"",E2798&lt;&gt;"!!!"),"NEW","")))</f>
        <v> </v>
      </c>
      <c r="G2798" s="23" t="str">
        <f>IF(OR(E2798="",E2798="!!!"),"",IF(OR(J2798=0,AND(J2798=1,K2798=1),AND(J2798=1,I2798="SBJ"),AND(J2798=1,I2798=0)),"?IN_FOCUS",IF(J2798&lt;=2,"?ACTIVATED",IF(J2798&lt;&gt;"","?FAMILIAR",IF(F2798="NEW",IF(ISNA(VLOOKUP(E2798,#REF!,1,FALSE())),"?TYPE_IDENTIFIABLE","?REFERENTIAL"),"_")))))</f>
        <v> </v>
      </c>
      <c r="H2798" s="24" t="str">
        <f>IF(J2798&lt;&gt;1,"",IF(I2798="SBJ","CB","?"))</f>
        <v> </v>
      </c>
      <c r="I2798" s="25" t="str">
        <f>IF(OR(E2798="",E2798="!!!",F2798="NEW"),"",INDEX(B2797:B$2,-1+SUMPRODUCT(MAX(ROW(E2797:E$2)*(E2798=E2797:E$2)))))</f>
        <v> </v>
      </c>
      <c r="J2798" s="25" t="str">
        <f>IF(OR(E2798="",E2798="!!!",F2798="NEW"),"",COUNTBLANK(OFFSET(A$1,,,SUMPRODUCT(MAX(ROW(E$2:E2798)*(E2798=E$2:E2798)))))-COUNTBLANK(OFFSET(A$1,,,SUMPRODUCT(MAX(ROW(E$1:E2797)*(E2=E$1:E2797))))))</f>
        <v> </v>
      </c>
      <c r="K2798" s="25" t="str">
        <f>IF(OR(E2798="",E2798="!!!",F2798="NEW"),"",INDEX(J$1:J2797,SUMPRODUCT(MAX(ROW(E$1:E2797)*(E2798=E$1:E2797)))))</f>
        <v> </v>
      </c>
      <c r="L2798" s="26"/>
    </row>
    <row r="2799" spans="1:12">
      <c r="A2799" s="20" t="s">
        <v>1191</v>
      </c>
      <c r="B2799" s="27" t="s">
        <v>1149</v>
      </c>
      <c r="C2799" s="27" t="s">
        <v>1126</v>
      </c>
      <c r="D2799" s="27" t="s">
        <v>1105</v>
      </c>
      <c r="E2799" s="21">
        <f>IF(D2799="?OLD","!!!","")</f>
        <v/>
      </c>
      <c r="F2799" s="22" t="str">
        <f>IF(OR(E2799="",E2799="!!!"),"",IF(NOT(ISNA(VLOOKUP(E2799,E$1:E2798,1,FALSE()))),"OLD",IF(AND(E2799&lt;&gt;"",E2799&lt;&gt;"!!!"),"NEW","")))</f>
        <v> </v>
      </c>
      <c r="G2799" s="23" t="str">
        <f>IF(OR(E2799="",E2799="!!!"),"",IF(OR(J2799=0,AND(J2799=1,K2799=1),AND(J2799=1,I2799="SBJ"),AND(J2799=1,I2799=0)),"?IN_FOCUS",IF(J2799&lt;=2,"?ACTIVATED",IF(J2799&lt;&gt;"","?FAMILIAR",IF(F2799="NEW",IF(ISNA(VLOOKUP(E2799,#REF!,1,FALSE())),"?TYPE_IDENTIFIABLE","?REFERENTIAL"),"_")))))</f>
        <v> </v>
      </c>
      <c r="H2799" s="24" t="str">
        <f>IF(J2799&lt;&gt;1,"",IF(I2799="SBJ","CB","?"))</f>
        <v> </v>
      </c>
      <c r="I2799" s="25" t="str">
        <f>IF(OR(E2799="",E2799="!!!",F2799="NEW"),"",INDEX(B2798:B$2,-1+SUMPRODUCT(MAX(ROW(E2798:E$2)*(E2799=E2798:E$2)))))</f>
        <v> </v>
      </c>
      <c r="J2799" s="25" t="str">
        <f>IF(OR(E2799="",E2799="!!!",F2799="NEW"),"",COUNTBLANK(OFFSET(A$1,,,SUMPRODUCT(MAX(ROW(E$2:E2799)*(E2799=E$2:E2799)))))-COUNTBLANK(OFFSET(A$1,,,SUMPRODUCT(MAX(ROW(E$1:E2798)*(E2=E$1:E2798))))))</f>
        <v> </v>
      </c>
      <c r="K2799" s="25" t="str">
        <f>IF(OR(E2799="",E2799="!!!",F2799="NEW"),"",INDEX(J$1:J2798,SUMPRODUCT(MAX(ROW(E$1:E2798)*(E2799=E$1:E2798)))))</f>
        <v> </v>
      </c>
      <c r="L2799" s="26"/>
    </row>
    <row r="2800" spans="1:12">
      <c r="A2800" s="20" t="s">
        <v>2420</v>
      </c>
      <c r="E2800" s="21">
        <f>IF(D2800="?OLD","!!!","")</f>
        <v/>
      </c>
      <c r="F2800" s="22" t="str">
        <f>IF(OR(E2800="",E2800="!!!"),"",IF(NOT(ISNA(VLOOKUP(E2800,E$1:E2799,1,FALSE()))),"OLD",IF(AND(E2800&lt;&gt;"",E2800&lt;&gt;"!!!"),"NEW","")))</f>
        <v> </v>
      </c>
      <c r="G2800" s="23" t="str">
        <f>IF(OR(E2800="",E2800="!!!"),"",IF(OR(J2800=0,AND(J2800=1,K2800=1),AND(J2800=1,I2800="SBJ"),AND(J2800=1,I2800=0)),"?IN_FOCUS",IF(J2800&lt;=2,"?ACTIVATED",IF(J2800&lt;&gt;"","?FAMILIAR",IF(F2800="NEW",IF(ISNA(VLOOKUP(E2800,#REF!,1,FALSE())),"?TYPE_IDENTIFIABLE","?REFERENTIAL"),"_")))))</f>
        <v> </v>
      </c>
      <c r="H2800" s="24" t="str">
        <f>IF(J2800&lt;&gt;1,"",IF(I2800="SBJ","CB","?"))</f>
        <v> </v>
      </c>
      <c r="I2800" s="25" t="str">
        <f>IF(OR(E2800="",E2800="!!!",F2800="NEW"),"",INDEX(B2799:B$2,-1+SUMPRODUCT(MAX(ROW(E2799:E$2)*(E2800=E2799:E$2)))))</f>
        <v> </v>
      </c>
      <c r="J2800" s="25" t="str">
        <f>IF(OR(E2800="",E2800="!!!",F2800="NEW"),"",COUNTBLANK(OFFSET(A$1,,,SUMPRODUCT(MAX(ROW(E$2:E2800)*(E2800=E$2:E2800)))))-COUNTBLANK(OFFSET(A$1,,,SUMPRODUCT(MAX(ROW(E$1:E2799)*(E2=E$1:E2799))))))</f>
        <v> </v>
      </c>
      <c r="K2800" s="25" t="str">
        <f>IF(OR(E2800="",E2800="!!!",F2800="NEW"),"",INDEX(J$1:J2799,SUMPRODUCT(MAX(ROW(E$1:E2799)*(E2800=E$1:E2799)))))</f>
        <v> </v>
      </c>
      <c r="L2800" s="26"/>
    </row>
    <row r="2801" spans="1:12">
      <c r="A2801" s="20" t="s">
        <v>1123</v>
      </c>
      <c r="E2801" s="21">
        <f>IF(D2801="?OLD","!!!","")</f>
        <v/>
      </c>
      <c r="F2801" s="22" t="str">
        <f>IF(OR(E2801="",E2801="!!!"),"",IF(NOT(ISNA(VLOOKUP(E2801,E$1:E2800,1,FALSE()))),"OLD",IF(AND(E2801&lt;&gt;"",E2801&lt;&gt;"!!!"),"NEW","")))</f>
        <v> </v>
      </c>
      <c r="G2801" s="23" t="str">
        <f>IF(OR(E2801="",E2801="!!!"),"",IF(OR(J2801=0,AND(J2801=1,K2801=1),AND(J2801=1,I2801="SBJ"),AND(J2801=1,I2801=0)),"?IN_FOCUS",IF(J2801&lt;=2,"?ACTIVATED",IF(J2801&lt;&gt;"","?FAMILIAR",IF(F2801="NEW",IF(ISNA(VLOOKUP(E2801,#REF!,1,FALSE())),"?TYPE_IDENTIFIABLE","?REFERENTIAL"),"_")))))</f>
        <v> </v>
      </c>
      <c r="H2801" s="24" t="str">
        <f>IF(J2801&lt;&gt;1,"",IF(I2801="SBJ","CB","?"))</f>
        <v> </v>
      </c>
      <c r="I2801" s="25" t="str">
        <f>IF(OR(E2801="",E2801="!!!",F2801="NEW"),"",INDEX(B2800:B$2,-1+SUMPRODUCT(MAX(ROW(E2800:E$2)*(E2801=E2800:E$2)))))</f>
        <v> </v>
      </c>
      <c r="J2801" s="25" t="str">
        <f>IF(OR(E2801="",E2801="!!!",F2801="NEW"),"",COUNTBLANK(OFFSET(A$1,,,SUMPRODUCT(MAX(ROW(E$2:E2801)*(E2801=E$2:E2801)))))-COUNTBLANK(OFFSET(A$1,,,SUMPRODUCT(MAX(ROW(E$1:E2800)*(E2=E$1:E2800))))))</f>
        <v> </v>
      </c>
      <c r="K2801" s="25" t="str">
        <f>IF(OR(E2801="",E2801="!!!",F2801="NEW"),"",INDEX(J$1:J2800,SUMPRODUCT(MAX(ROW(E$1:E2800)*(E2801=E$1:E2800)))))</f>
        <v> </v>
      </c>
      <c r="L2801" s="26"/>
    </row>
    <row r="2802" spans="1:12">
      <c r="A2802" s="20" t="s">
        <v>135</v>
      </c>
      <c r="E2802" s="21">
        <f>IF(D2802="?OLD","!!!","")</f>
        <v/>
      </c>
      <c r="F2802" s="22" t="str">
        <f>IF(OR(E2802="",E2802="!!!"),"",IF(NOT(ISNA(VLOOKUP(E2802,E$1:E2801,1,FALSE()))),"OLD",IF(AND(E2802&lt;&gt;"",E2802&lt;&gt;"!!!"),"NEW","")))</f>
        <v> </v>
      </c>
      <c r="G2802" s="23" t="str">
        <f>IF(OR(E2802="",E2802="!!!"),"",IF(OR(J2802=0,AND(J2802=1,K2802=1),AND(J2802=1,I2802="SBJ"),AND(J2802=1,I2802=0)),"?IN_FOCUS",IF(J2802&lt;=2,"?ACTIVATED",IF(J2802&lt;&gt;"","?FAMILIAR",IF(F2802="NEW",IF(ISNA(VLOOKUP(E2802,#REF!,1,FALSE())),"?TYPE_IDENTIFIABLE","?REFERENTIAL"),"_")))))</f>
        <v> </v>
      </c>
      <c r="H2802" s="24" t="str">
        <f>IF(J2802&lt;&gt;1,"",IF(I2802="SBJ","CB","?"))</f>
        <v> </v>
      </c>
      <c r="I2802" s="25" t="str">
        <f>IF(OR(E2802="",E2802="!!!",F2802="NEW"),"",INDEX(B2801:B$2,-1+SUMPRODUCT(MAX(ROW(E2801:E$2)*(E2802=E2801:E$2)))))</f>
        <v> </v>
      </c>
      <c r="J2802" s="25" t="str">
        <f>IF(OR(E2802="",E2802="!!!",F2802="NEW"),"",COUNTBLANK(OFFSET(A$1,,,SUMPRODUCT(MAX(ROW(E$2:E2802)*(E2802=E$2:E2802)))))-COUNTBLANK(OFFSET(A$1,,,SUMPRODUCT(MAX(ROW(E$1:E2801)*(E2=E$1:E2801))))))</f>
        <v> </v>
      </c>
      <c r="K2802" s="25" t="str">
        <f>IF(OR(E2802="",E2802="!!!",F2802="NEW"),"",INDEX(J$1:J2801,SUMPRODUCT(MAX(ROW(E$1:E2801)*(E2802=E$1:E2801)))))</f>
        <v> </v>
      </c>
      <c r="L2802" s="26"/>
    </row>
    <row r="2803" spans="1:12">
      <c r="A2803" s="20" t="s">
        <v>2417</v>
      </c>
      <c r="B2803" s="27" t="s">
        <v>1122</v>
      </c>
      <c r="C2803" s="27" t="s">
        <v>1133</v>
      </c>
      <c r="E2803" s="21">
        <f>IF(D2803="?OLD","!!!","")</f>
        <v/>
      </c>
      <c r="F2803" s="22" t="str">
        <f>IF(OR(E2803="",E2803="!!!"),"",IF(NOT(ISNA(VLOOKUP(E2803,E$1:E2802,1,FALSE()))),"OLD",IF(AND(E2803&lt;&gt;"",E2803&lt;&gt;"!!!"),"NEW","")))</f>
        <v> </v>
      </c>
      <c r="G2803" s="23" t="str">
        <f>IF(OR(E2803="",E2803="!!!"),"",IF(OR(J2803=0,AND(J2803=1,K2803=1),AND(J2803=1,I2803="SBJ"),AND(J2803=1,I2803=0)),"?IN_FOCUS",IF(J2803&lt;=2,"?ACTIVATED",IF(J2803&lt;&gt;"","?FAMILIAR",IF(F2803="NEW",IF(ISNA(VLOOKUP(E2803,#REF!,1,FALSE())),"?TYPE_IDENTIFIABLE","?REFERENTIAL"),"_")))))</f>
        <v> </v>
      </c>
      <c r="H2803" s="24" t="str">
        <f>IF(J2803&lt;&gt;1,"",IF(I2803="SBJ","CB","?"))</f>
        <v> </v>
      </c>
      <c r="I2803" s="25" t="str">
        <f>IF(OR(E2803="",E2803="!!!",F2803="NEW"),"",INDEX(B2802:B$2,-1+SUMPRODUCT(MAX(ROW(E2802:E$2)*(E2803=E2802:E$2)))))</f>
        <v> </v>
      </c>
      <c r="J2803" s="25" t="str">
        <f>IF(OR(E2803="",E2803="!!!",F2803="NEW"),"",COUNTBLANK(OFFSET(A$1,,,SUMPRODUCT(MAX(ROW(E$2:E2803)*(E2803=E$2:E2803)))))-COUNTBLANK(OFFSET(A$1,,,SUMPRODUCT(MAX(ROW(E$1:E2802)*(E2=E$1:E2802))))))</f>
        <v> </v>
      </c>
      <c r="K2803" s="25" t="str">
        <f>IF(OR(E2803="",E2803="!!!",F2803="NEW"),"",INDEX(J$1:J2802,SUMPRODUCT(MAX(ROW(E$1:E2802)*(E2803=E$1:E2802)))))</f>
        <v> </v>
      </c>
      <c r="L2803" s="26"/>
    </row>
    <row r="2804" spans="1:12">
      <c r="A2804" s="20" t="s">
        <v>2421</v>
      </c>
      <c r="E2804" s="21">
        <f>IF(D2804="?OLD","!!!","")</f>
        <v/>
      </c>
      <c r="F2804" s="22" t="str">
        <f>IF(OR(E2804="",E2804="!!!"),"",IF(NOT(ISNA(VLOOKUP(E2804,E$1:E2803,1,FALSE()))),"OLD",IF(AND(E2804&lt;&gt;"",E2804&lt;&gt;"!!!"),"NEW","")))</f>
        <v> </v>
      </c>
      <c r="G2804" s="23" t="str">
        <f>IF(OR(E2804="",E2804="!!!"),"",IF(OR(J2804=0,AND(J2804=1,K2804=1),AND(J2804=1,I2804="SBJ"),AND(J2804=1,I2804=0)),"?IN_FOCUS",IF(J2804&lt;=2,"?ACTIVATED",IF(J2804&lt;&gt;"","?FAMILIAR",IF(F2804="NEW",IF(ISNA(VLOOKUP(E2804,#REF!,1,FALSE())),"?TYPE_IDENTIFIABLE","?REFERENTIAL"),"_")))))</f>
        <v> </v>
      </c>
      <c r="H2804" s="24" t="str">
        <f>IF(J2804&lt;&gt;1,"",IF(I2804="SBJ","CB","?"))</f>
        <v> </v>
      </c>
      <c r="I2804" s="25" t="str">
        <f>IF(OR(E2804="",E2804="!!!",F2804="NEW"),"",INDEX(B2803:B$2,-1+SUMPRODUCT(MAX(ROW(E2803:E$2)*(E2804=E2803:E$2)))))</f>
        <v> </v>
      </c>
      <c r="J2804" s="25" t="str">
        <f>IF(OR(E2804="",E2804="!!!",F2804="NEW"),"",COUNTBLANK(OFFSET(A$1,,,SUMPRODUCT(MAX(ROW(E$2:E2804)*(E2804=E$2:E2804)))))-COUNTBLANK(OFFSET(A$1,,,SUMPRODUCT(MAX(ROW(E$1:E2803)*(E2=E$1:E2803))))))</f>
        <v> </v>
      </c>
      <c r="K2804" s="25" t="str">
        <f>IF(OR(E2804="",E2804="!!!",F2804="NEW"),"",INDEX(J$1:J2803,SUMPRODUCT(MAX(ROW(E$1:E2803)*(E2804=E$1:E2803)))))</f>
        <v> </v>
      </c>
      <c r="L2804" s="26"/>
    </row>
    <row r="2805" spans="1:12">
      <c r="A2805" s="20" t="s">
        <v>1145</v>
      </c>
      <c r="E2805" s="21">
        <f>IF(D2805="?OLD","!!!","")</f>
        <v/>
      </c>
      <c r="F2805" s="22" t="str">
        <f>IF(OR(E2805="",E2805="!!!"),"",IF(NOT(ISNA(VLOOKUP(E2805,E$1:E2804,1,FALSE()))),"OLD",IF(AND(E2805&lt;&gt;"",E2805&lt;&gt;"!!!"),"NEW","")))</f>
        <v> </v>
      </c>
      <c r="G2805" s="23" t="str">
        <f>IF(OR(E2805="",E2805="!!!"),"",IF(OR(J2805=0,AND(J2805=1,K2805=1),AND(J2805=1,I2805="SBJ"),AND(J2805=1,I2805=0)),"?IN_FOCUS",IF(J2805&lt;=2,"?ACTIVATED",IF(J2805&lt;&gt;"","?FAMILIAR",IF(F2805="NEW",IF(ISNA(VLOOKUP(E2805,#REF!,1,FALSE())),"?TYPE_IDENTIFIABLE","?REFERENTIAL"),"_")))))</f>
        <v> </v>
      </c>
      <c r="H2805" s="24" t="str">
        <f>IF(J2805&lt;&gt;1,"",IF(I2805="SBJ","CB","?"))</f>
        <v> </v>
      </c>
      <c r="I2805" s="25" t="str">
        <f>IF(OR(E2805="",E2805="!!!",F2805="NEW"),"",INDEX(B2804:B$2,-1+SUMPRODUCT(MAX(ROW(E2804:E$2)*(E2805=E2804:E$2)))))</f>
        <v> </v>
      </c>
      <c r="J2805" s="25" t="str">
        <f>IF(OR(E2805="",E2805="!!!",F2805="NEW"),"",COUNTBLANK(OFFSET(A$1,,,SUMPRODUCT(MAX(ROW(E$2:E2805)*(E2805=E$2:E2805)))))-COUNTBLANK(OFFSET(A$1,,,SUMPRODUCT(MAX(ROW(E$1:E2804)*(E2=E$1:E2804))))))</f>
        <v> </v>
      </c>
      <c r="K2805" s="25" t="str">
        <f>IF(OR(E2805="",E2805="!!!",F2805="NEW"),"",INDEX(J$1:J2804,SUMPRODUCT(MAX(ROW(E$1:E2804)*(E2805=E$1:E2804)))))</f>
        <v> </v>
      </c>
      <c r="L2805" s="26"/>
    </row>
    <row r="2806" spans="1:12">
      <c r="A2806" s="20"/>
    </row>
    <row r="2807" spans="1:12">
      <c r="A2807" s="20" t="s">
        <v>2422</v>
      </c>
    </row>
    <row r="2808" spans="1:12">
      <c r="A2808" s="20" t="s">
        <v>2423</v>
      </c>
      <c r="E2808" s="21">
        <f>IF(D2808="?OLD","!!!","")</f>
        <v/>
      </c>
      <c r="F2808" s="22" t="str">
        <f>IF(OR(E2808="",E2808="!!!"),"",IF(NOT(ISNA(VLOOKUP(E2808,E$1:E2807,1,FALSE()))),"OLD",IF(AND(E2808&lt;&gt;"",E2808&lt;&gt;"!!!"),"NEW","")))</f>
        <v> </v>
      </c>
      <c r="G2808" s="23" t="str">
        <f>IF(OR(E2808="",E2808="!!!"),"",IF(OR(J2808=0,AND(J2808=1,K2808=1),AND(J2808=1,I2808="SBJ"),AND(J2808=1,I2808=0)),"?IN_FOCUS",IF(J2808&lt;=2,"?ACTIVATED",IF(J2808&lt;&gt;"","?FAMILIAR",IF(F2808="NEW",IF(ISNA(VLOOKUP(E2808,#REF!,1,FALSE())),"?TYPE_IDENTIFIABLE","?REFERENTIAL"),"_")))))</f>
        <v> </v>
      </c>
      <c r="H2808" s="24" t="str">
        <f>IF(J2808&lt;&gt;1,"",IF(I2808="SBJ","CB","?"))</f>
        <v> </v>
      </c>
      <c r="I2808" s="25" t="str">
        <f>IF(OR(E2808="",E2808="!!!",F2808="NEW"),"",INDEX(B2807:B$2,-1+SUMPRODUCT(MAX(ROW(E2807:E$2)*(E2808=E2807:E$2)))))</f>
        <v> </v>
      </c>
      <c r="J2808" s="25" t="str">
        <f>IF(OR(E2808="",E2808="!!!",F2808="NEW"),"",COUNTBLANK(OFFSET(A$1,,,SUMPRODUCT(MAX(ROW(E$2:E2808)*(E2808=E$2:E2808)))))-COUNTBLANK(OFFSET(A$1,,,SUMPRODUCT(MAX(ROW(E$1:E2807)*(E2=E$1:E2807))))))</f>
        <v> </v>
      </c>
      <c r="K2808" s="25" t="str">
        <f>IF(OR(E2808="",E2808="!!!",F2808="NEW"),"",INDEX(J$1:J2807,SUMPRODUCT(MAX(ROW(E$1:E2807)*(E2808=E$1:E2807)))))</f>
        <v> </v>
      </c>
      <c r="L2808" s="26"/>
    </row>
    <row r="2809" spans="1:12">
      <c r="A2809" s="20" t="s">
        <v>1665</v>
      </c>
      <c r="E2809" s="21">
        <f>IF(D2809="?OLD","!!!","")</f>
        <v/>
      </c>
      <c r="F2809" s="22" t="str">
        <f>IF(OR(E2809="",E2809="!!!"),"",IF(NOT(ISNA(VLOOKUP(E2809,E$1:E2808,1,FALSE()))),"OLD",IF(AND(E2809&lt;&gt;"",E2809&lt;&gt;"!!!"),"NEW","")))</f>
        <v> </v>
      </c>
      <c r="G2809" s="23" t="str">
        <f>IF(OR(E2809="",E2809="!!!"),"",IF(OR(J2809=0,AND(J2809=1,K2809=1),AND(J2809=1,I2809="SBJ"),AND(J2809=1,I2809=0)),"?IN_FOCUS",IF(J2809&lt;=2,"?ACTIVATED",IF(J2809&lt;&gt;"","?FAMILIAR",IF(F2809="NEW",IF(ISNA(VLOOKUP(E2809,#REF!,1,FALSE())),"?TYPE_IDENTIFIABLE","?REFERENTIAL"),"_")))))</f>
        <v> </v>
      </c>
      <c r="H2809" s="24" t="str">
        <f>IF(J2809&lt;&gt;1,"",IF(I2809="SBJ","CB","?"))</f>
        <v> </v>
      </c>
      <c r="I2809" s="25" t="str">
        <f>IF(OR(E2809="",E2809="!!!",F2809="NEW"),"",INDEX(B2808:B$2,-1+SUMPRODUCT(MAX(ROW(E2808:E$2)*(E2809=E2808:E$2)))))</f>
        <v> </v>
      </c>
      <c r="J2809" s="25" t="str">
        <f>IF(OR(E2809="",E2809="!!!",F2809="NEW"),"",COUNTBLANK(OFFSET(A$1,,,SUMPRODUCT(MAX(ROW(E$2:E2809)*(E2809=E$2:E2809)))))-COUNTBLANK(OFFSET(A$1,,,SUMPRODUCT(MAX(ROW(E$1:E2808)*(E2=E$1:E2808))))))</f>
        <v> </v>
      </c>
      <c r="K2809" s="25" t="str">
        <f>IF(OR(E2809="",E2809="!!!",F2809="NEW"),"",INDEX(J$1:J2808,SUMPRODUCT(MAX(ROW(E$1:E2808)*(E2809=E$1:E2808)))))</f>
        <v> </v>
      </c>
      <c r="L2809" s="26"/>
    </row>
    <row r="2810" spans="1:12">
      <c r="A2810" s="20" t="s">
        <v>2383</v>
      </c>
      <c r="B2810" s="27" t="s">
        <v>1213</v>
      </c>
      <c r="C2810" s="27" t="s">
        <v>1156</v>
      </c>
      <c r="D2810" s="27" t="s">
        <v>1105</v>
      </c>
      <c r="E2810" s="21">
        <f>IF(D2810="?OLD","!!!","")</f>
        <v/>
      </c>
      <c r="F2810" s="22" t="str">
        <f>IF(OR(E2810="",E2810="!!!"),"",IF(NOT(ISNA(VLOOKUP(E2810,E$1:E2809,1,FALSE()))),"OLD",IF(AND(E2810&lt;&gt;"",E2810&lt;&gt;"!!!"),"NEW","")))</f>
        <v> </v>
      </c>
      <c r="G2810" s="23" t="str">
        <f>IF(OR(E2810="",E2810="!!!"),"",IF(OR(J2810=0,AND(J2810=1,K2810=1),AND(J2810=1,I2810="SBJ"),AND(J2810=1,I2810=0)),"?IN_FOCUS",IF(J2810&lt;=2,"?ACTIVATED",IF(J2810&lt;&gt;"","?FAMILIAR",IF(F2810="NEW",IF(ISNA(VLOOKUP(E2810,#REF!,1,FALSE())),"?TYPE_IDENTIFIABLE","?REFERENTIAL"),"_")))))</f>
        <v> </v>
      </c>
      <c r="H2810" s="24" t="str">
        <f>IF(J2810&lt;&gt;1,"",IF(I2810="SBJ","CB","?"))</f>
        <v> </v>
      </c>
      <c r="I2810" s="25" t="str">
        <f>IF(OR(E2810="",E2810="!!!",F2810="NEW"),"",INDEX(B2809:B$2,-1+SUMPRODUCT(MAX(ROW(E2809:E$2)*(E2810=E2809:E$2)))))</f>
        <v> </v>
      </c>
      <c r="J2810" s="25" t="str">
        <f>IF(OR(E2810="",E2810="!!!",F2810="NEW"),"",COUNTBLANK(OFFSET(A$1,,,SUMPRODUCT(MAX(ROW(E$2:E2810)*(E2810=E$2:E2810)))))-COUNTBLANK(OFFSET(A$1,,,SUMPRODUCT(MAX(ROW(E$1:E2809)*(E2=E$1:E2809))))))</f>
        <v> </v>
      </c>
      <c r="K2810" s="25" t="str">
        <f>IF(OR(E2810="",E2810="!!!",F2810="NEW"),"",INDEX(J$1:J2809,SUMPRODUCT(MAX(ROW(E$1:E2809)*(E2810=E$1:E2809)))))</f>
        <v> </v>
      </c>
      <c r="L2810" s="26"/>
    </row>
    <row r="2811" spans="1:12">
      <c r="A2811" s="20" t="s">
        <v>1351</v>
      </c>
      <c r="E2811" s="21">
        <f>IF(D2811="?OLD","!!!","")</f>
        <v/>
      </c>
      <c r="F2811" s="22" t="str">
        <f>IF(OR(E2811="",E2811="!!!"),"",IF(NOT(ISNA(VLOOKUP(E2811,E$1:E2810,1,FALSE()))),"OLD",IF(AND(E2811&lt;&gt;"",E2811&lt;&gt;"!!!"),"NEW","")))</f>
        <v> </v>
      </c>
      <c r="G2811" s="23" t="str">
        <f>IF(OR(E2811="",E2811="!!!"),"",IF(OR(J2811=0,AND(J2811=1,K2811=1),AND(J2811=1,I2811="SBJ"),AND(J2811=1,I2811=0)),"?IN_FOCUS",IF(J2811&lt;=2,"?ACTIVATED",IF(J2811&lt;&gt;"","?FAMILIAR",IF(F2811="NEW",IF(ISNA(VLOOKUP(E2811,#REF!,1,FALSE())),"?TYPE_IDENTIFIABLE","?REFERENTIAL"),"_")))))</f>
        <v> </v>
      </c>
      <c r="H2811" s="24" t="str">
        <f>IF(J2811&lt;&gt;1,"",IF(I2811="SBJ","CB","?"))</f>
        <v> </v>
      </c>
      <c r="I2811" s="25" t="str">
        <f>IF(OR(E2811="",E2811="!!!",F2811="NEW"),"",INDEX(B2810:B$2,-1+SUMPRODUCT(MAX(ROW(E2810:E$2)*(E2811=E2810:E$2)))))</f>
        <v> </v>
      </c>
      <c r="J2811" s="25" t="str">
        <f>IF(OR(E2811="",E2811="!!!",F2811="NEW"),"",COUNTBLANK(OFFSET(A$1,,,SUMPRODUCT(MAX(ROW(E$2:E2811)*(E2811=E$2:E2811)))))-COUNTBLANK(OFFSET(A$1,,,SUMPRODUCT(MAX(ROW(E$1:E2810)*(E2=E$1:E2810))))))</f>
        <v> </v>
      </c>
      <c r="K2811" s="25" t="str">
        <f>IF(OR(E2811="",E2811="!!!",F2811="NEW"),"",INDEX(J$1:J2810,SUMPRODUCT(MAX(ROW(E$1:E2810)*(E2811=E$1:E2810)))))</f>
        <v> </v>
      </c>
      <c r="L2811" s="26"/>
    </row>
    <row r="2812" spans="1:12">
      <c r="A2812" s="20"/>
    </row>
    <row r="2813" spans="1:12">
      <c r="A2813" s="20" t="s">
        <v>2424</v>
      </c>
    </row>
    <row r="2814" spans="1:12">
      <c r="A2814" s="20" t="s">
        <v>1277</v>
      </c>
      <c r="E2814" s="21">
        <f>IF(D2814="?OLD","!!!","")</f>
        <v/>
      </c>
      <c r="F2814" s="22" t="str">
        <f>IF(OR(E2814="",E2814="!!!"),"",IF(NOT(ISNA(VLOOKUP(E2814,E$1:E2813,1,FALSE()))),"OLD",IF(AND(E2814&lt;&gt;"",E2814&lt;&gt;"!!!"),"NEW","")))</f>
        <v> </v>
      </c>
      <c r="G2814" s="23" t="str">
        <f>IF(OR(E2814="",E2814="!!!"),"",IF(OR(J2814=0,AND(J2814=1,K2814=1),AND(J2814=1,I2814="SBJ"),AND(J2814=1,I2814=0)),"?IN_FOCUS",IF(J2814&lt;=2,"?ACTIVATED",IF(J2814&lt;&gt;"","?FAMILIAR",IF(F2814="NEW",IF(ISNA(VLOOKUP(E2814,#REF!,1,FALSE())),"?TYPE_IDENTIFIABLE","?REFERENTIAL"),"_")))))</f>
        <v> </v>
      </c>
      <c r="H2814" s="24" t="str">
        <f>IF(J2814&lt;&gt;1,"",IF(I2814="SBJ","CB","?"))</f>
        <v> </v>
      </c>
      <c r="I2814" s="25" t="str">
        <f>IF(OR(E2814="",E2814="!!!",F2814="NEW"),"",INDEX(B2813:B$2,-1+SUMPRODUCT(MAX(ROW(E2813:E$2)*(E2814=E2813:E$2)))))</f>
        <v> </v>
      </c>
      <c r="J2814" s="25" t="str">
        <f>IF(OR(E2814="",E2814="!!!",F2814="NEW"),"",COUNTBLANK(OFFSET(A$1,,,SUMPRODUCT(MAX(ROW(E$2:E2814)*(E2814=E$2:E2814)))))-COUNTBLANK(OFFSET(A$1,,,SUMPRODUCT(MAX(ROW(E$1:E2813)*(E2=E$1:E2813))))))</f>
        <v> </v>
      </c>
      <c r="K2814" s="25" t="str">
        <f>IF(OR(E2814="",E2814="!!!",F2814="NEW"),"",INDEX(J$1:J2813,SUMPRODUCT(MAX(ROW(E$1:E2813)*(E2814=E$1:E2813)))))</f>
        <v> </v>
      </c>
      <c r="L2814" s="26"/>
    </row>
    <row r="2815" spans="1:12">
      <c r="A2815" s="20" t="s">
        <v>1502</v>
      </c>
      <c r="E2815" s="21">
        <f>IF(D2815="?OLD","!!!","")</f>
        <v/>
      </c>
      <c r="F2815" s="22" t="str">
        <f>IF(OR(E2815="",E2815="!!!"),"",IF(NOT(ISNA(VLOOKUP(E2815,E$1:E2814,1,FALSE()))),"OLD",IF(AND(E2815&lt;&gt;"",E2815&lt;&gt;"!!!"),"NEW","")))</f>
        <v> </v>
      </c>
      <c r="G2815" s="23" t="str">
        <f>IF(OR(E2815="",E2815="!!!"),"",IF(OR(J2815=0,AND(J2815=1,K2815=1),AND(J2815=1,I2815="SBJ"),AND(J2815=1,I2815=0)),"?IN_FOCUS",IF(J2815&lt;=2,"?ACTIVATED",IF(J2815&lt;&gt;"","?FAMILIAR",IF(F2815="NEW",IF(ISNA(VLOOKUP(E2815,#REF!,1,FALSE())),"?TYPE_IDENTIFIABLE","?REFERENTIAL"),"_")))))</f>
        <v> </v>
      </c>
      <c r="H2815" s="24" t="str">
        <f>IF(J2815&lt;&gt;1,"",IF(I2815="SBJ","CB","?"))</f>
        <v> </v>
      </c>
      <c r="I2815" s="25" t="str">
        <f>IF(OR(E2815="",E2815="!!!",F2815="NEW"),"",INDEX(B2814:B$2,-1+SUMPRODUCT(MAX(ROW(E2814:E$2)*(E2815=E2814:E$2)))))</f>
        <v> </v>
      </c>
      <c r="J2815" s="25" t="str">
        <f>IF(OR(E2815="",E2815="!!!",F2815="NEW"),"",COUNTBLANK(OFFSET(A$1,,,SUMPRODUCT(MAX(ROW(E$2:E2815)*(E2815=E$2:E2815)))))-COUNTBLANK(OFFSET(A$1,,,SUMPRODUCT(MAX(ROW(E$1:E2814)*(E2=E$1:E2814))))))</f>
        <v> </v>
      </c>
      <c r="K2815" s="25" t="str">
        <f>IF(OR(E2815="",E2815="!!!",F2815="NEW"),"",INDEX(J$1:J2814,SUMPRODUCT(MAX(ROW(E$1:E2814)*(E2815=E$1:E2814)))))</f>
        <v> </v>
      </c>
      <c r="L2815" s="26"/>
    </row>
    <row r="2816" spans="1:12">
      <c r="A2816" s="20" t="s">
        <v>1945</v>
      </c>
      <c r="E2816" s="21">
        <f>IF(D2816="?OLD","!!!","")</f>
        <v/>
      </c>
      <c r="F2816" s="22" t="str">
        <f>IF(OR(E2816="",E2816="!!!"),"",IF(NOT(ISNA(VLOOKUP(E2816,E$1:E2815,1,FALSE()))),"OLD",IF(AND(E2816&lt;&gt;"",E2816&lt;&gt;"!!!"),"NEW","")))</f>
        <v> </v>
      </c>
      <c r="G2816" s="23" t="str">
        <f>IF(OR(E2816="",E2816="!!!"),"",IF(OR(J2816=0,AND(J2816=1,K2816=1),AND(J2816=1,I2816="SBJ"),AND(J2816=1,I2816=0)),"?IN_FOCUS",IF(J2816&lt;=2,"?ACTIVATED",IF(J2816&lt;&gt;"","?FAMILIAR",IF(F2816="NEW",IF(ISNA(VLOOKUP(E2816,#REF!,1,FALSE())),"?TYPE_IDENTIFIABLE","?REFERENTIAL"),"_")))))</f>
        <v> </v>
      </c>
      <c r="H2816" s="24" t="str">
        <f>IF(J2816&lt;&gt;1,"",IF(I2816="SBJ","CB","?"))</f>
        <v> </v>
      </c>
      <c r="I2816" s="25" t="str">
        <f>IF(OR(E2816="",E2816="!!!",F2816="NEW"),"",INDEX(B2815:B$2,-1+SUMPRODUCT(MAX(ROW(E2815:E$2)*(E2816=E2815:E$2)))))</f>
        <v> </v>
      </c>
      <c r="J2816" s="25" t="str">
        <f>IF(OR(E2816="",E2816="!!!",F2816="NEW"),"",COUNTBLANK(OFFSET(A$1,,,SUMPRODUCT(MAX(ROW(E$2:E2816)*(E2816=E$2:E2816)))))-COUNTBLANK(OFFSET(A$1,,,SUMPRODUCT(MAX(ROW(E$1:E2815)*(E2=E$1:E2815))))))</f>
        <v> </v>
      </c>
      <c r="K2816" s="25" t="str">
        <f>IF(OR(E2816="",E2816="!!!",F2816="NEW"),"",INDEX(J$1:J2815,SUMPRODUCT(MAX(ROW(E$1:E2815)*(E2816=E$1:E2815)))))</f>
        <v> </v>
      </c>
      <c r="L2816" s="26"/>
    </row>
    <row r="2817" spans="1:12">
      <c r="A2817" s="20" t="s">
        <v>2425</v>
      </c>
      <c r="E2817" s="21">
        <f>IF(D2817="?OLD","!!!","")</f>
        <v/>
      </c>
      <c r="F2817" s="22" t="str">
        <f>IF(OR(E2817="",E2817="!!!"),"",IF(NOT(ISNA(VLOOKUP(E2817,E$1:E2816,1,FALSE()))),"OLD",IF(AND(E2817&lt;&gt;"",E2817&lt;&gt;"!!!"),"NEW","")))</f>
        <v> </v>
      </c>
      <c r="G2817" s="23" t="str">
        <f>IF(OR(E2817="",E2817="!!!"),"",IF(OR(J2817=0,AND(J2817=1,K2817=1),AND(J2817=1,I2817="SBJ"),AND(J2817=1,I2817=0)),"?IN_FOCUS",IF(J2817&lt;=2,"?ACTIVATED",IF(J2817&lt;&gt;"","?FAMILIAR",IF(F2817="NEW",IF(ISNA(VLOOKUP(E2817,#REF!,1,FALSE())),"?TYPE_IDENTIFIABLE","?REFERENTIAL"),"_")))))</f>
        <v> </v>
      </c>
      <c r="H2817" s="24" t="str">
        <f>IF(J2817&lt;&gt;1,"",IF(I2817="SBJ","CB","?"))</f>
        <v> </v>
      </c>
      <c r="I2817" s="25" t="str">
        <f>IF(OR(E2817="",E2817="!!!",F2817="NEW"),"",INDEX(B2816:B$2,-1+SUMPRODUCT(MAX(ROW(E2816:E$2)*(E2817=E2816:E$2)))))</f>
        <v> </v>
      </c>
      <c r="J2817" s="25" t="str">
        <f>IF(OR(E2817="",E2817="!!!",F2817="NEW"),"",COUNTBLANK(OFFSET(A$1,,,SUMPRODUCT(MAX(ROW(E$2:E2817)*(E2817=E$2:E2817)))))-COUNTBLANK(OFFSET(A$1,,,SUMPRODUCT(MAX(ROW(E$1:E2816)*(E2=E$1:E2816))))))</f>
        <v> </v>
      </c>
      <c r="K2817" s="25" t="str">
        <f>IF(OR(E2817="",E2817="!!!",F2817="NEW"),"",INDEX(J$1:J2816,SUMPRODUCT(MAX(ROW(E$1:E2816)*(E2817=E$1:E2816)))))</f>
        <v> </v>
      </c>
      <c r="L2817" s="26"/>
    </row>
    <row r="2818" spans="1:12">
      <c r="A2818" s="20" t="s">
        <v>2426</v>
      </c>
      <c r="B2818" s="27" t="s">
        <v>1149</v>
      </c>
      <c r="E2818" s="21">
        <f>IF(D2818="?OLD","!!!","")</f>
        <v/>
      </c>
      <c r="F2818" s="22" t="str">
        <f>IF(OR(E2818="",E2818="!!!"),"",IF(NOT(ISNA(VLOOKUP(E2818,E$1:E2817,1,FALSE()))),"OLD",IF(AND(E2818&lt;&gt;"",E2818&lt;&gt;"!!!"),"NEW","")))</f>
        <v> </v>
      </c>
      <c r="G2818" s="23" t="str">
        <f>IF(OR(E2818="",E2818="!!!"),"",IF(OR(J2818=0,AND(J2818=1,K2818=1),AND(J2818=1,I2818="SBJ"),AND(J2818=1,I2818=0)),"?IN_FOCUS",IF(J2818&lt;=2,"?ACTIVATED",IF(J2818&lt;&gt;"","?FAMILIAR",IF(F2818="NEW",IF(ISNA(VLOOKUP(E2818,#REF!,1,FALSE())),"?TYPE_IDENTIFIABLE","?REFERENTIAL"),"_")))))</f>
        <v> </v>
      </c>
      <c r="H2818" s="24" t="str">
        <f>IF(J2818&lt;&gt;1,"",IF(I2818="SBJ","CB","?"))</f>
        <v> </v>
      </c>
      <c r="I2818" s="25" t="str">
        <f>IF(OR(E2818="",E2818="!!!",F2818="NEW"),"",INDEX(B2817:B$2,-1+SUMPRODUCT(MAX(ROW(E2817:E$2)*(E2818=E2817:E$2)))))</f>
        <v> </v>
      </c>
      <c r="J2818" s="25" t="str">
        <f>IF(OR(E2818="",E2818="!!!",F2818="NEW"),"",COUNTBLANK(OFFSET(A$1,,,SUMPRODUCT(MAX(ROW(E$2:E2818)*(E2818=E$2:E2818)))))-COUNTBLANK(OFFSET(A$1,,,SUMPRODUCT(MAX(ROW(E$1:E2817)*(E2=E$1:E2817))))))</f>
        <v> </v>
      </c>
      <c r="K2818" s="25" t="str">
        <f>IF(OR(E2818="",E2818="!!!",F2818="NEW"),"",INDEX(J$1:J2817,SUMPRODUCT(MAX(ROW(E$1:E2817)*(E2818=E$1:E2817)))))</f>
        <v> </v>
      </c>
      <c r="L2818" s="26"/>
    </row>
    <row r="2819" spans="1:12">
      <c r="A2819" s="20" t="s">
        <v>1128</v>
      </c>
      <c r="E2819" s="21">
        <f>IF(D2819="?OLD","!!!","")</f>
        <v/>
      </c>
      <c r="F2819" s="22" t="str">
        <f>IF(OR(E2819="",E2819="!!!"),"",IF(NOT(ISNA(VLOOKUP(E2819,E$1:E2818,1,FALSE()))),"OLD",IF(AND(E2819&lt;&gt;"",E2819&lt;&gt;"!!!"),"NEW","")))</f>
        <v> </v>
      </c>
      <c r="G2819" s="23" t="str">
        <f>IF(OR(E2819="",E2819="!!!"),"",IF(OR(J2819=0,AND(J2819=1,K2819=1),AND(J2819=1,I2819="SBJ"),AND(J2819=1,I2819=0)),"?IN_FOCUS",IF(J2819&lt;=2,"?ACTIVATED",IF(J2819&lt;&gt;"","?FAMILIAR",IF(F2819="NEW",IF(ISNA(VLOOKUP(E2819,#REF!,1,FALSE())),"?TYPE_IDENTIFIABLE","?REFERENTIAL"),"_")))))</f>
        <v> </v>
      </c>
      <c r="H2819" s="24" t="str">
        <f>IF(J2819&lt;&gt;1,"",IF(I2819="SBJ","CB","?"))</f>
        <v> </v>
      </c>
      <c r="I2819" s="25" t="str">
        <f>IF(OR(E2819="",E2819="!!!",F2819="NEW"),"",INDEX(B2818:B$2,-1+SUMPRODUCT(MAX(ROW(E2818:E$2)*(E2819=E2818:E$2)))))</f>
        <v> </v>
      </c>
      <c r="J2819" s="25" t="str">
        <f>IF(OR(E2819="",E2819="!!!",F2819="NEW"),"",COUNTBLANK(OFFSET(A$1,,,SUMPRODUCT(MAX(ROW(E$2:E2819)*(E2819=E$2:E2819)))))-COUNTBLANK(OFFSET(A$1,,,SUMPRODUCT(MAX(ROW(E$1:E2818)*(E2=E$1:E2818))))))</f>
        <v> </v>
      </c>
      <c r="K2819" s="25" t="str">
        <f>IF(OR(E2819="",E2819="!!!",F2819="NEW"),"",INDEX(J$1:J2818,SUMPRODUCT(MAX(ROW(E$1:E2818)*(E2819=E$1:E2818)))))</f>
        <v> </v>
      </c>
      <c r="L2819" s="26"/>
    </row>
    <row r="2820" spans="1:12">
      <c r="A2820" s="20" t="s">
        <v>2427</v>
      </c>
      <c r="E2820" s="21">
        <f>IF(D2820="?OLD","!!!","")</f>
        <v/>
      </c>
      <c r="F2820" s="22" t="str">
        <f>IF(OR(E2820="",E2820="!!!"),"",IF(NOT(ISNA(VLOOKUP(E2820,E$1:E2819,1,FALSE()))),"OLD",IF(AND(E2820&lt;&gt;"",E2820&lt;&gt;"!!!"),"NEW","")))</f>
        <v> </v>
      </c>
      <c r="G2820" s="23" t="str">
        <f>IF(OR(E2820="",E2820="!!!"),"",IF(OR(J2820=0,AND(J2820=1,K2820=1),AND(J2820=1,I2820="SBJ"),AND(J2820=1,I2820=0)),"?IN_FOCUS",IF(J2820&lt;=2,"?ACTIVATED",IF(J2820&lt;&gt;"","?FAMILIAR",IF(F2820="NEW",IF(ISNA(VLOOKUP(E2820,#REF!,1,FALSE())),"?TYPE_IDENTIFIABLE","?REFERENTIAL"),"_")))))</f>
        <v> </v>
      </c>
      <c r="H2820" s="24" t="str">
        <f>IF(J2820&lt;&gt;1,"",IF(I2820="SBJ","CB","?"))</f>
        <v> </v>
      </c>
      <c r="I2820" s="25" t="str">
        <f>IF(OR(E2820="",E2820="!!!",F2820="NEW"),"",INDEX(B2819:B$2,-1+SUMPRODUCT(MAX(ROW(E2819:E$2)*(E2820=E2819:E$2)))))</f>
        <v> </v>
      </c>
      <c r="J2820" s="25" t="str">
        <f>IF(OR(E2820="",E2820="!!!",F2820="NEW"),"",COUNTBLANK(OFFSET(A$1,,,SUMPRODUCT(MAX(ROW(E$2:E2820)*(E2820=E$2:E2820)))))-COUNTBLANK(OFFSET(A$1,,,SUMPRODUCT(MAX(ROW(E$1:E2819)*(E2=E$1:E2819))))))</f>
        <v> </v>
      </c>
      <c r="K2820" s="25" t="str">
        <f>IF(OR(E2820="",E2820="!!!",F2820="NEW"),"",INDEX(J$1:J2819,SUMPRODUCT(MAX(ROW(E$1:E2819)*(E2820=E$1:E2819)))))</f>
        <v> </v>
      </c>
      <c r="L2820" s="26"/>
    </row>
    <row r="2821" spans="1:12">
      <c r="A2821" s="20" t="s">
        <v>1145</v>
      </c>
      <c r="E2821" s="21">
        <f>IF(D2821="?OLD","!!!","")</f>
        <v/>
      </c>
      <c r="F2821" s="22" t="str">
        <f>IF(OR(E2821="",E2821="!!!"),"",IF(NOT(ISNA(VLOOKUP(E2821,E$1:E2820,1,FALSE()))),"OLD",IF(AND(E2821&lt;&gt;"",E2821&lt;&gt;"!!!"),"NEW","")))</f>
        <v> </v>
      </c>
      <c r="G2821" s="23" t="str">
        <f>IF(OR(E2821="",E2821="!!!"),"",IF(OR(J2821=0,AND(J2821=1,K2821=1),AND(J2821=1,I2821="SBJ"),AND(J2821=1,I2821=0)),"?IN_FOCUS",IF(J2821&lt;=2,"?ACTIVATED",IF(J2821&lt;&gt;"","?FAMILIAR",IF(F2821="NEW",IF(ISNA(VLOOKUP(E2821,#REF!,1,FALSE())),"?TYPE_IDENTIFIABLE","?REFERENTIAL"),"_")))))</f>
        <v> </v>
      </c>
      <c r="H2821" s="24" t="str">
        <f>IF(J2821&lt;&gt;1,"",IF(I2821="SBJ","CB","?"))</f>
        <v> </v>
      </c>
      <c r="I2821" s="25" t="str">
        <f>IF(OR(E2821="",E2821="!!!",F2821="NEW"),"",INDEX(B2820:B$2,-1+SUMPRODUCT(MAX(ROW(E2820:E$2)*(E2821=E2820:E$2)))))</f>
        <v> </v>
      </c>
      <c r="J2821" s="25" t="str">
        <f>IF(OR(E2821="",E2821="!!!",F2821="NEW"),"",COUNTBLANK(OFFSET(A$1,,,SUMPRODUCT(MAX(ROW(E$2:E2821)*(E2821=E$2:E2821)))))-COUNTBLANK(OFFSET(A$1,,,SUMPRODUCT(MAX(ROW(E$1:E2820)*(E2=E$1:E2820))))))</f>
        <v> </v>
      </c>
      <c r="K2821" s="25" t="str">
        <f>IF(OR(E2821="",E2821="!!!",F2821="NEW"),"",INDEX(J$1:J2820,SUMPRODUCT(MAX(ROW(E$1:E2820)*(E2821=E$1:E2820)))))</f>
        <v> </v>
      </c>
      <c r="L2821" s="26"/>
    </row>
    <row r="2822" spans="1:12">
      <c r="A2822" s="20"/>
    </row>
    <row r="2823" spans="1:12">
      <c r="A2823" s="20" t="s">
        <v>2428</v>
      </c>
    </row>
    <row r="2824" spans="1:12">
      <c r="A2824" s="20" t="s">
        <v>1225</v>
      </c>
      <c r="B2824" s="27" t="s">
        <v>1149</v>
      </c>
      <c r="E2824" s="21">
        <f>IF(D2824="?OLD","!!!","")</f>
        <v/>
      </c>
      <c r="F2824" s="22" t="str">
        <f>IF(OR(E2824="",E2824="!!!"),"",IF(NOT(ISNA(VLOOKUP(E2824,E$1:E2823,1,FALSE()))),"OLD",IF(AND(E2824&lt;&gt;"",E2824&lt;&gt;"!!!"),"NEW","")))</f>
        <v> </v>
      </c>
      <c r="G2824" s="23" t="str">
        <f>IF(OR(E2824="",E2824="!!!"),"",IF(OR(J2824=0,AND(J2824=1,K2824=1),AND(J2824=1,I2824="SBJ"),AND(J2824=1,I2824=0)),"?IN_FOCUS",IF(J2824&lt;=2,"?ACTIVATED",IF(J2824&lt;&gt;"","?FAMILIAR",IF(F2824="NEW",IF(ISNA(VLOOKUP(E2824,#REF!,1,FALSE())),"?TYPE_IDENTIFIABLE","?REFERENTIAL"),"_")))))</f>
        <v> </v>
      </c>
      <c r="H2824" s="24" t="str">
        <f>IF(J2824&lt;&gt;1,"",IF(I2824="SBJ","CB","?"))</f>
        <v> </v>
      </c>
      <c r="I2824" s="25" t="str">
        <f>IF(OR(E2824="",E2824="!!!",F2824="NEW"),"",INDEX(B2823:B$2,-1+SUMPRODUCT(MAX(ROW(E2823:E$2)*(E2824=E2823:E$2)))))</f>
        <v> </v>
      </c>
      <c r="J2824" s="25" t="str">
        <f>IF(OR(E2824="",E2824="!!!",F2824="NEW"),"",COUNTBLANK(OFFSET(A$1,,,SUMPRODUCT(MAX(ROW(E$2:E2824)*(E2824=E$2:E2824)))))-COUNTBLANK(OFFSET(A$1,,,SUMPRODUCT(MAX(ROW(E$1:E2823)*(E2=E$1:E2823))))))</f>
        <v> </v>
      </c>
      <c r="K2824" s="25" t="str">
        <f>IF(OR(E2824="",E2824="!!!",F2824="NEW"),"",INDEX(J$1:J2823,SUMPRODUCT(MAX(ROW(E$1:E2823)*(E2824=E$1:E2823)))))</f>
        <v> </v>
      </c>
      <c r="L2824" s="26"/>
    </row>
    <row r="2825" spans="1:12">
      <c r="A2825" s="20" t="s">
        <v>1813</v>
      </c>
      <c r="E2825" s="21">
        <f>IF(D2825="?OLD","!!!","")</f>
        <v/>
      </c>
      <c r="F2825" s="22" t="str">
        <f>IF(OR(E2825="",E2825="!!!"),"",IF(NOT(ISNA(VLOOKUP(E2825,E$1:E2824,1,FALSE()))),"OLD",IF(AND(E2825&lt;&gt;"",E2825&lt;&gt;"!!!"),"NEW","")))</f>
        <v> </v>
      </c>
      <c r="G2825" s="23" t="str">
        <f>IF(OR(E2825="",E2825="!!!"),"",IF(OR(J2825=0,AND(J2825=1,K2825=1),AND(J2825=1,I2825="SBJ"),AND(J2825=1,I2825=0)),"?IN_FOCUS",IF(J2825&lt;=2,"?ACTIVATED",IF(J2825&lt;&gt;"","?FAMILIAR",IF(F2825="NEW",IF(ISNA(VLOOKUP(E2825,#REF!,1,FALSE())),"?TYPE_IDENTIFIABLE","?REFERENTIAL"),"_")))))</f>
        <v> </v>
      </c>
      <c r="H2825" s="24" t="str">
        <f>IF(J2825&lt;&gt;1,"",IF(I2825="SBJ","CB","?"))</f>
        <v> </v>
      </c>
      <c r="I2825" s="25" t="str">
        <f>IF(OR(E2825="",E2825="!!!",F2825="NEW"),"",INDEX(B2824:B$2,-1+SUMPRODUCT(MAX(ROW(E2824:E$2)*(E2825=E2824:E$2)))))</f>
        <v> </v>
      </c>
      <c r="J2825" s="25" t="str">
        <f>IF(OR(E2825="",E2825="!!!",F2825="NEW"),"",COUNTBLANK(OFFSET(A$1,,,SUMPRODUCT(MAX(ROW(E$2:E2825)*(E2825=E$2:E2825)))))-COUNTBLANK(OFFSET(A$1,,,SUMPRODUCT(MAX(ROW(E$1:E2824)*(E2=E$1:E2824))))))</f>
        <v> </v>
      </c>
      <c r="K2825" s="25" t="str">
        <f>IF(OR(E2825="",E2825="!!!",F2825="NEW"),"",INDEX(J$1:J2824,SUMPRODUCT(MAX(ROW(E$1:E2824)*(E2825=E$1:E2824)))))</f>
        <v> </v>
      </c>
      <c r="L2825" s="26"/>
    </row>
    <row r="2826" spans="1:12">
      <c r="A2826" s="20" t="s">
        <v>1820</v>
      </c>
      <c r="E2826" s="21">
        <f>IF(D2826="?OLD","!!!","")</f>
        <v/>
      </c>
      <c r="F2826" s="22" t="str">
        <f>IF(OR(E2826="",E2826="!!!"),"",IF(NOT(ISNA(VLOOKUP(E2826,E$1:E2825,1,FALSE()))),"OLD",IF(AND(E2826&lt;&gt;"",E2826&lt;&gt;"!!!"),"NEW","")))</f>
        <v> </v>
      </c>
      <c r="G2826" s="23" t="str">
        <f>IF(OR(E2826="",E2826="!!!"),"",IF(OR(J2826=0,AND(J2826=1,K2826=1),AND(J2826=1,I2826="SBJ"),AND(J2826=1,I2826=0)),"?IN_FOCUS",IF(J2826&lt;=2,"?ACTIVATED",IF(J2826&lt;&gt;"","?FAMILIAR",IF(F2826="NEW",IF(ISNA(VLOOKUP(E2826,#REF!,1,FALSE())),"?TYPE_IDENTIFIABLE","?REFERENTIAL"),"_")))))</f>
        <v> </v>
      </c>
      <c r="H2826" s="24" t="str">
        <f>IF(J2826&lt;&gt;1,"",IF(I2826="SBJ","CB","?"))</f>
        <v> </v>
      </c>
      <c r="I2826" s="25" t="str">
        <f>IF(OR(E2826="",E2826="!!!",F2826="NEW"),"",INDEX(B2825:B$2,-1+SUMPRODUCT(MAX(ROW(E2825:E$2)*(E2826=E2825:E$2)))))</f>
        <v> </v>
      </c>
      <c r="J2826" s="25" t="str">
        <f>IF(OR(E2826="",E2826="!!!",F2826="NEW"),"",COUNTBLANK(OFFSET(A$1,,,SUMPRODUCT(MAX(ROW(E$2:E2826)*(E2826=E$2:E2826)))))-COUNTBLANK(OFFSET(A$1,,,SUMPRODUCT(MAX(ROW(E$1:E2825)*(E2=E$1:E2825))))))</f>
        <v> </v>
      </c>
      <c r="K2826" s="25" t="str">
        <f>IF(OR(E2826="",E2826="!!!",F2826="NEW"),"",INDEX(J$1:J2825,SUMPRODUCT(MAX(ROW(E$1:E2825)*(E2826=E$1:E2825)))))</f>
        <v> </v>
      </c>
      <c r="L2826" s="26"/>
    </row>
    <row r="2827" spans="1:12">
      <c r="A2827" s="20" t="s">
        <v>2429</v>
      </c>
      <c r="E2827" s="21">
        <f>IF(D2827="?OLD","!!!","")</f>
        <v/>
      </c>
      <c r="F2827" s="22" t="str">
        <f>IF(OR(E2827="",E2827="!!!"),"",IF(NOT(ISNA(VLOOKUP(E2827,E$1:E2826,1,FALSE()))),"OLD",IF(AND(E2827&lt;&gt;"",E2827&lt;&gt;"!!!"),"NEW","")))</f>
        <v> </v>
      </c>
      <c r="G2827" s="23" t="str">
        <f>IF(OR(E2827="",E2827="!!!"),"",IF(OR(J2827=0,AND(J2827=1,K2827=1),AND(J2827=1,I2827="SBJ"),AND(J2827=1,I2827=0)),"?IN_FOCUS",IF(J2827&lt;=2,"?ACTIVATED",IF(J2827&lt;&gt;"","?FAMILIAR",IF(F2827="NEW",IF(ISNA(VLOOKUP(E2827,#REF!,1,FALSE())),"?TYPE_IDENTIFIABLE","?REFERENTIAL"),"_")))))</f>
        <v> </v>
      </c>
      <c r="H2827" s="24" t="str">
        <f>IF(J2827&lt;&gt;1,"",IF(I2827="SBJ","CB","?"))</f>
        <v> </v>
      </c>
      <c r="I2827" s="25" t="str">
        <f>IF(OR(E2827="",E2827="!!!",F2827="NEW"),"",INDEX(B2826:B$2,-1+SUMPRODUCT(MAX(ROW(E2826:E$2)*(E2827=E2826:E$2)))))</f>
        <v> </v>
      </c>
      <c r="J2827" s="25" t="str">
        <f>IF(OR(E2827="",E2827="!!!",F2827="NEW"),"",COUNTBLANK(OFFSET(A$1,,,SUMPRODUCT(MAX(ROW(E$2:E2827)*(E2827=E$2:E2827)))))-COUNTBLANK(OFFSET(A$1,,,SUMPRODUCT(MAX(ROW(E$1:E2826)*(E2=E$1:E2826))))))</f>
        <v> </v>
      </c>
      <c r="K2827" s="25" t="str">
        <f>IF(OR(E2827="",E2827="!!!",F2827="NEW"),"",INDEX(J$1:J2826,SUMPRODUCT(MAX(ROW(E$1:E2826)*(E2827=E$1:E2826)))))</f>
        <v> </v>
      </c>
      <c r="L2827" s="26"/>
    </row>
    <row r="2828" spans="1:12">
      <c r="A2828" s="20" t="s">
        <v>2430</v>
      </c>
      <c r="E2828" s="21">
        <f>IF(D2828="?OLD","!!!","")</f>
        <v/>
      </c>
      <c r="F2828" s="22" t="str">
        <f>IF(OR(E2828="",E2828="!!!"),"",IF(NOT(ISNA(VLOOKUP(E2828,E$1:E2827,1,FALSE()))),"OLD",IF(AND(E2828&lt;&gt;"",E2828&lt;&gt;"!!!"),"NEW","")))</f>
        <v> </v>
      </c>
      <c r="G2828" s="23" t="str">
        <f>IF(OR(E2828="",E2828="!!!"),"",IF(OR(J2828=0,AND(J2828=1,K2828=1),AND(J2828=1,I2828="SBJ"),AND(J2828=1,I2828=0)),"?IN_FOCUS",IF(J2828&lt;=2,"?ACTIVATED",IF(J2828&lt;&gt;"","?FAMILIAR",IF(F2828="NEW",IF(ISNA(VLOOKUP(E2828,#REF!,1,FALSE())),"?TYPE_IDENTIFIABLE","?REFERENTIAL"),"_")))))</f>
        <v> </v>
      </c>
      <c r="H2828" s="24" t="str">
        <f>IF(J2828&lt;&gt;1,"",IF(I2828="SBJ","CB","?"))</f>
        <v> </v>
      </c>
      <c r="I2828" s="25" t="str">
        <f>IF(OR(E2828="",E2828="!!!",F2828="NEW"),"",INDEX(B2827:B$2,-1+SUMPRODUCT(MAX(ROW(E2827:E$2)*(E2828=E2827:E$2)))))</f>
        <v> </v>
      </c>
      <c r="J2828" s="25" t="str">
        <f>IF(OR(E2828="",E2828="!!!",F2828="NEW"),"",COUNTBLANK(OFFSET(A$1,,,SUMPRODUCT(MAX(ROW(E$2:E2828)*(E2828=E$2:E2828)))))-COUNTBLANK(OFFSET(A$1,,,SUMPRODUCT(MAX(ROW(E$1:E2827)*(E2=E$1:E2827))))))</f>
        <v> </v>
      </c>
      <c r="K2828" s="25" t="str">
        <f>IF(OR(E2828="",E2828="!!!",F2828="NEW"),"",INDEX(J$1:J2827,SUMPRODUCT(MAX(ROW(E$1:E2827)*(E2828=E$1:E2827)))))</f>
        <v> </v>
      </c>
      <c r="L2828" s="26"/>
    </row>
    <row r="2829" spans="1:12">
      <c r="A2829" s="20" t="s">
        <v>2431</v>
      </c>
      <c r="B2829" s="27" t="s">
        <v>1149</v>
      </c>
      <c r="E2829" s="21">
        <f>IF(D2829="?OLD","!!!","")</f>
        <v/>
      </c>
      <c r="F2829" s="22" t="str">
        <f>IF(OR(E2829="",E2829="!!!"),"",IF(NOT(ISNA(VLOOKUP(E2829,E$1:E2828,1,FALSE()))),"OLD",IF(AND(E2829&lt;&gt;"",E2829&lt;&gt;"!!!"),"NEW","")))</f>
        <v> </v>
      </c>
      <c r="G2829" s="23" t="str">
        <f>IF(OR(E2829="",E2829="!!!"),"",IF(OR(J2829=0,AND(J2829=1,K2829=1),AND(J2829=1,I2829="SBJ"),AND(J2829=1,I2829=0)),"?IN_FOCUS",IF(J2829&lt;=2,"?ACTIVATED",IF(J2829&lt;&gt;"","?FAMILIAR",IF(F2829="NEW",IF(ISNA(VLOOKUP(E2829,#REF!,1,FALSE())),"?TYPE_IDENTIFIABLE","?REFERENTIAL"),"_")))))</f>
        <v> </v>
      </c>
      <c r="H2829" s="24" t="str">
        <f>IF(J2829&lt;&gt;1,"",IF(I2829="SBJ","CB","?"))</f>
        <v> </v>
      </c>
      <c r="I2829" s="25" t="str">
        <f>IF(OR(E2829="",E2829="!!!",F2829="NEW"),"",INDEX(B2828:B$2,-1+SUMPRODUCT(MAX(ROW(E2828:E$2)*(E2829=E2828:E$2)))))</f>
        <v> </v>
      </c>
      <c r="J2829" s="25" t="str">
        <f>IF(OR(E2829="",E2829="!!!",F2829="NEW"),"",COUNTBLANK(OFFSET(A$1,,,SUMPRODUCT(MAX(ROW(E$2:E2829)*(E2829=E$2:E2829)))))-COUNTBLANK(OFFSET(A$1,,,SUMPRODUCT(MAX(ROW(E$1:E2828)*(E2=E$1:E2828))))))</f>
        <v> </v>
      </c>
      <c r="K2829" s="25" t="str">
        <f>IF(OR(E2829="",E2829="!!!",F2829="NEW"),"",INDEX(J$1:J2828,SUMPRODUCT(MAX(ROW(E$1:E2828)*(E2829=E$1:E2828)))))</f>
        <v> </v>
      </c>
      <c r="L2829" s="26"/>
    </row>
    <row r="2830" spans="1:12">
      <c r="A2830" s="20" t="s">
        <v>1123</v>
      </c>
      <c r="E2830" s="21">
        <f>IF(D2830="?OLD","!!!","")</f>
        <v/>
      </c>
      <c r="F2830" s="22" t="str">
        <f>IF(OR(E2830="",E2830="!!!"),"",IF(NOT(ISNA(VLOOKUP(E2830,E$1:E2829,1,FALSE()))),"OLD",IF(AND(E2830&lt;&gt;"",E2830&lt;&gt;"!!!"),"NEW","")))</f>
        <v> </v>
      </c>
      <c r="G2830" s="23" t="str">
        <f>IF(OR(E2830="",E2830="!!!"),"",IF(OR(J2830=0,AND(J2830=1,K2830=1),AND(J2830=1,I2830="SBJ"),AND(J2830=1,I2830=0)),"?IN_FOCUS",IF(J2830&lt;=2,"?ACTIVATED",IF(J2830&lt;&gt;"","?FAMILIAR",IF(F2830="NEW",IF(ISNA(VLOOKUP(E2830,#REF!,1,FALSE())),"?TYPE_IDENTIFIABLE","?REFERENTIAL"),"_")))))</f>
        <v> </v>
      </c>
      <c r="H2830" s="24" t="str">
        <f>IF(J2830&lt;&gt;1,"",IF(I2830="SBJ","CB","?"))</f>
        <v> </v>
      </c>
      <c r="I2830" s="25" t="str">
        <f>IF(OR(E2830="",E2830="!!!",F2830="NEW"),"",INDEX(B2829:B$2,-1+SUMPRODUCT(MAX(ROW(E2829:E$2)*(E2830=E2829:E$2)))))</f>
        <v> </v>
      </c>
      <c r="J2830" s="25" t="str">
        <f>IF(OR(E2830="",E2830="!!!",F2830="NEW"),"",COUNTBLANK(OFFSET(A$1,,,SUMPRODUCT(MAX(ROW(E$2:E2830)*(E2830=E$2:E2830)))))-COUNTBLANK(OFFSET(A$1,,,SUMPRODUCT(MAX(ROW(E$1:E2829)*(E2=E$1:E2829))))))</f>
        <v> </v>
      </c>
      <c r="K2830" s="25" t="str">
        <f>IF(OR(E2830="",E2830="!!!",F2830="NEW"),"",INDEX(J$1:J2829,SUMPRODUCT(MAX(ROW(E$1:E2829)*(E2830=E$1:E2829)))))</f>
        <v> </v>
      </c>
      <c r="L2830" s="26"/>
    </row>
    <row r="2831" spans="1:12">
      <c r="A2831" s="20" t="s">
        <v>1128</v>
      </c>
      <c r="E2831" s="21">
        <f>IF(D2831="?OLD","!!!","")</f>
        <v/>
      </c>
      <c r="F2831" s="22" t="str">
        <f>IF(OR(E2831="",E2831="!!!"),"",IF(NOT(ISNA(VLOOKUP(E2831,E$1:E2830,1,FALSE()))),"OLD",IF(AND(E2831&lt;&gt;"",E2831&lt;&gt;"!!!"),"NEW","")))</f>
        <v> </v>
      </c>
      <c r="G2831" s="23" t="str">
        <f>IF(OR(E2831="",E2831="!!!"),"",IF(OR(J2831=0,AND(J2831=1,K2831=1),AND(J2831=1,I2831="SBJ"),AND(J2831=1,I2831=0)),"?IN_FOCUS",IF(J2831&lt;=2,"?ACTIVATED",IF(J2831&lt;&gt;"","?FAMILIAR",IF(F2831="NEW",IF(ISNA(VLOOKUP(E2831,#REF!,1,FALSE())),"?TYPE_IDENTIFIABLE","?REFERENTIAL"),"_")))))</f>
        <v> </v>
      </c>
      <c r="H2831" s="24" t="str">
        <f>IF(J2831&lt;&gt;1,"",IF(I2831="SBJ","CB","?"))</f>
        <v> </v>
      </c>
      <c r="I2831" s="25" t="str">
        <f>IF(OR(E2831="",E2831="!!!",F2831="NEW"),"",INDEX(B2830:B$2,-1+SUMPRODUCT(MAX(ROW(E2830:E$2)*(E2831=E2830:E$2)))))</f>
        <v> </v>
      </c>
      <c r="J2831" s="25" t="str">
        <f>IF(OR(E2831="",E2831="!!!",F2831="NEW"),"",COUNTBLANK(OFFSET(A$1,,,SUMPRODUCT(MAX(ROW(E$2:E2831)*(E2831=E$2:E2831)))))-COUNTBLANK(OFFSET(A$1,,,SUMPRODUCT(MAX(ROW(E$1:E2830)*(E2=E$1:E2830))))))</f>
        <v> </v>
      </c>
      <c r="K2831" s="25" t="str">
        <f>IF(OR(E2831="",E2831="!!!",F2831="NEW"),"",INDEX(J$1:J2830,SUMPRODUCT(MAX(ROW(E$1:E2830)*(E2831=E$1:E2830)))))</f>
        <v> </v>
      </c>
      <c r="L2831" s="26"/>
    </row>
    <row r="2832" spans="1:12">
      <c r="A2832" s="20" t="s">
        <v>2383</v>
      </c>
      <c r="B2832" s="27" t="s">
        <v>1122</v>
      </c>
      <c r="E2832" s="21">
        <f>IF(D2832="?OLD","!!!","")</f>
        <v/>
      </c>
      <c r="F2832" s="22" t="str">
        <f>IF(OR(E2832="",E2832="!!!"),"",IF(NOT(ISNA(VLOOKUP(E2832,E$1:E2831,1,FALSE()))),"OLD",IF(AND(E2832&lt;&gt;"",E2832&lt;&gt;"!!!"),"NEW","")))</f>
        <v> </v>
      </c>
      <c r="G2832" s="23" t="str">
        <f>IF(OR(E2832="",E2832="!!!"),"",IF(OR(J2832=0,AND(J2832=1,K2832=1),AND(J2832=1,I2832="SBJ"),AND(J2832=1,I2832=0)),"?IN_FOCUS",IF(J2832&lt;=2,"?ACTIVATED",IF(J2832&lt;&gt;"","?FAMILIAR",IF(F2832="NEW",IF(ISNA(VLOOKUP(E2832,#REF!,1,FALSE())),"?TYPE_IDENTIFIABLE","?REFERENTIAL"),"_")))))</f>
        <v> </v>
      </c>
      <c r="H2832" s="24" t="str">
        <f>IF(J2832&lt;&gt;1,"",IF(I2832="SBJ","CB","?"))</f>
        <v> </v>
      </c>
      <c r="I2832" s="25" t="str">
        <f>IF(OR(E2832="",E2832="!!!",F2832="NEW"),"",INDEX(B2831:B$2,-1+SUMPRODUCT(MAX(ROW(E2831:E$2)*(E2832=E2831:E$2)))))</f>
        <v> </v>
      </c>
      <c r="J2832" s="25" t="str">
        <f>IF(OR(E2832="",E2832="!!!",F2832="NEW"),"",COUNTBLANK(OFFSET(A$1,,,SUMPRODUCT(MAX(ROW(E$2:E2832)*(E2832=E$2:E2832)))))-COUNTBLANK(OFFSET(A$1,,,SUMPRODUCT(MAX(ROW(E$1:E2831)*(E2=E$1:E2831))))))</f>
        <v> </v>
      </c>
      <c r="K2832" s="25" t="str">
        <f>IF(OR(E2832="",E2832="!!!",F2832="NEW"),"",INDEX(J$1:J2831,SUMPRODUCT(MAX(ROW(E$1:E2831)*(E2832=E$1:E2831)))))</f>
        <v> </v>
      </c>
      <c r="L2832" s="26"/>
    </row>
    <row r="2833" spans="1:12">
      <c r="A2833" s="20" t="s">
        <v>2432</v>
      </c>
      <c r="E2833" s="21">
        <f>IF(D2833="?OLD","!!!","")</f>
        <v/>
      </c>
      <c r="F2833" s="22" t="str">
        <f>IF(OR(E2833="",E2833="!!!"),"",IF(NOT(ISNA(VLOOKUP(E2833,E$1:E2832,1,FALSE()))),"OLD",IF(AND(E2833&lt;&gt;"",E2833&lt;&gt;"!!!"),"NEW","")))</f>
        <v> </v>
      </c>
      <c r="G2833" s="23" t="str">
        <f>IF(OR(E2833="",E2833="!!!"),"",IF(OR(J2833=0,AND(J2833=1,K2833=1),AND(J2833=1,I2833="SBJ"),AND(J2833=1,I2833=0)),"?IN_FOCUS",IF(J2833&lt;=2,"?ACTIVATED",IF(J2833&lt;&gt;"","?FAMILIAR",IF(F2833="NEW",IF(ISNA(VLOOKUP(E2833,#REF!,1,FALSE())),"?TYPE_IDENTIFIABLE","?REFERENTIAL"),"_")))))</f>
        <v> </v>
      </c>
      <c r="H2833" s="24" t="str">
        <f>IF(J2833&lt;&gt;1,"",IF(I2833="SBJ","CB","?"))</f>
        <v> </v>
      </c>
      <c r="I2833" s="25" t="str">
        <f>IF(OR(E2833="",E2833="!!!",F2833="NEW"),"",INDEX(B2832:B$2,-1+SUMPRODUCT(MAX(ROW(E2832:E$2)*(E2833=E2832:E$2)))))</f>
        <v> </v>
      </c>
      <c r="J2833" s="25" t="str">
        <f>IF(OR(E2833="",E2833="!!!",F2833="NEW"),"",COUNTBLANK(OFFSET(A$1,,,SUMPRODUCT(MAX(ROW(E$2:E2833)*(E2833=E$2:E2833)))))-COUNTBLANK(OFFSET(A$1,,,SUMPRODUCT(MAX(ROW(E$1:E2832)*(E2=E$1:E2832))))))</f>
        <v> </v>
      </c>
      <c r="K2833" s="25" t="str">
        <f>IF(OR(E2833="",E2833="!!!",F2833="NEW"),"",INDEX(J$1:J2832,SUMPRODUCT(MAX(ROW(E$1:E2832)*(E2833=E$1:E2832)))))</f>
        <v> </v>
      </c>
      <c r="L2833" s="26"/>
    </row>
    <row r="2834" spans="1:12">
      <c r="A2834" s="20" t="s">
        <v>2385</v>
      </c>
      <c r="E2834" s="21">
        <f>IF(D2834="?OLD","!!!","")</f>
        <v/>
      </c>
      <c r="F2834" s="22" t="str">
        <f>IF(OR(E2834="",E2834="!!!"),"",IF(NOT(ISNA(VLOOKUP(E2834,E$1:E2833,1,FALSE()))),"OLD",IF(AND(E2834&lt;&gt;"",E2834&lt;&gt;"!!!"),"NEW","")))</f>
        <v> </v>
      </c>
      <c r="G2834" s="23" t="str">
        <f>IF(OR(E2834="",E2834="!!!"),"",IF(OR(J2834=0,AND(J2834=1,K2834=1),AND(J2834=1,I2834="SBJ"),AND(J2834=1,I2834=0)),"?IN_FOCUS",IF(J2834&lt;=2,"?ACTIVATED",IF(J2834&lt;&gt;"","?FAMILIAR",IF(F2834="NEW",IF(ISNA(VLOOKUP(E2834,#REF!,1,FALSE())),"?TYPE_IDENTIFIABLE","?REFERENTIAL"),"_")))))</f>
        <v> </v>
      </c>
      <c r="H2834" s="24" t="str">
        <f>IF(J2834&lt;&gt;1,"",IF(I2834="SBJ","CB","?"))</f>
        <v> </v>
      </c>
      <c r="I2834" s="25" t="str">
        <f>IF(OR(E2834="",E2834="!!!",F2834="NEW"),"",INDEX(B2833:B$2,-1+SUMPRODUCT(MAX(ROW(E2833:E$2)*(E2834=E2833:E$2)))))</f>
        <v> </v>
      </c>
      <c r="J2834" s="25" t="str">
        <f>IF(OR(E2834="",E2834="!!!",F2834="NEW"),"",COUNTBLANK(OFFSET(A$1,,,SUMPRODUCT(MAX(ROW(E$2:E2834)*(E2834=E$2:E2834)))))-COUNTBLANK(OFFSET(A$1,,,SUMPRODUCT(MAX(ROW(E$1:E2833)*(E2=E$1:E2833))))))</f>
        <v> </v>
      </c>
      <c r="K2834" s="25" t="str">
        <f>IF(OR(E2834="",E2834="!!!",F2834="NEW"),"",INDEX(J$1:J2833,SUMPRODUCT(MAX(ROW(E$1:E2833)*(E2834=E$1:E2833)))))</f>
        <v> </v>
      </c>
      <c r="L2834" s="26"/>
    </row>
    <row r="2835" spans="1:12">
      <c r="A2835" s="20" t="s">
        <v>1145</v>
      </c>
      <c r="E2835" s="21">
        <f>IF(D2835="?OLD","!!!","")</f>
        <v/>
      </c>
      <c r="F2835" s="22" t="str">
        <f>IF(OR(E2835="",E2835="!!!"),"",IF(NOT(ISNA(VLOOKUP(E2835,E$1:E2834,1,FALSE()))),"OLD",IF(AND(E2835&lt;&gt;"",E2835&lt;&gt;"!!!"),"NEW","")))</f>
        <v> </v>
      </c>
      <c r="G2835" s="23" t="str">
        <f>IF(OR(E2835="",E2835="!!!"),"",IF(OR(J2835=0,AND(J2835=1,K2835=1),AND(J2835=1,I2835="SBJ"),AND(J2835=1,I2835=0)),"?IN_FOCUS",IF(J2835&lt;=2,"?ACTIVATED",IF(J2835&lt;&gt;"","?FAMILIAR",IF(F2835="NEW",IF(ISNA(VLOOKUP(E2835,#REF!,1,FALSE())),"?TYPE_IDENTIFIABLE","?REFERENTIAL"),"_")))))</f>
        <v> </v>
      </c>
      <c r="H2835" s="24" t="str">
        <f>IF(J2835&lt;&gt;1,"",IF(I2835="SBJ","CB","?"))</f>
        <v> </v>
      </c>
      <c r="I2835" s="25" t="str">
        <f>IF(OR(E2835="",E2835="!!!",F2835="NEW"),"",INDEX(B2834:B$2,-1+SUMPRODUCT(MAX(ROW(E2834:E$2)*(E2835=E2834:E$2)))))</f>
        <v> </v>
      </c>
      <c r="J2835" s="25" t="str">
        <f>IF(OR(E2835="",E2835="!!!",F2835="NEW"),"",COUNTBLANK(OFFSET(A$1,,,SUMPRODUCT(MAX(ROW(E$2:E2835)*(E2835=E$2:E2835)))))-COUNTBLANK(OFFSET(A$1,,,SUMPRODUCT(MAX(ROW(E$1:E2834)*(E2=E$1:E2834))))))</f>
        <v> </v>
      </c>
      <c r="K2835" s="25" t="str">
        <f>IF(OR(E2835="",E2835="!!!",F2835="NEW"),"",INDEX(J$1:J2834,SUMPRODUCT(MAX(ROW(E$1:E2834)*(E2835=E$1:E2834)))))</f>
        <v> </v>
      </c>
      <c r="L2835" s="26"/>
    </row>
    <row r="2836" spans="1:12">
      <c r="A2836" s="20"/>
    </row>
    <row r="2837" spans="1:12">
      <c r="A2837" s="20" t="s">
        <v>2433</v>
      </c>
    </row>
    <row r="2838" spans="1:12">
      <c r="A2838" s="20" t="s">
        <v>2434</v>
      </c>
      <c r="E2838" s="21">
        <f>IF(D2838="?OLD","!!!","")</f>
        <v/>
      </c>
      <c r="F2838" s="22" t="str">
        <f>IF(OR(E2838="",E2838="!!!"),"",IF(NOT(ISNA(VLOOKUP(E2838,E$1:E2837,1,FALSE()))),"OLD",IF(AND(E2838&lt;&gt;"",E2838&lt;&gt;"!!!"),"NEW","")))</f>
        <v> </v>
      </c>
      <c r="G2838" s="23" t="str">
        <f>IF(OR(E2838="",E2838="!!!"),"",IF(OR(J2838=0,AND(J2838=1,K2838=1),AND(J2838=1,I2838="SBJ"),AND(J2838=1,I2838=0)),"?IN_FOCUS",IF(J2838&lt;=2,"?ACTIVATED",IF(J2838&lt;&gt;"","?FAMILIAR",IF(F2838="NEW",IF(ISNA(VLOOKUP(E2838,#REF!,1,FALSE())),"?TYPE_IDENTIFIABLE","?REFERENTIAL"),"_")))))</f>
        <v> </v>
      </c>
      <c r="H2838" s="24" t="str">
        <f>IF(J2838&lt;&gt;1,"",IF(I2838="SBJ","CB","?"))</f>
        <v> </v>
      </c>
      <c r="I2838" s="25" t="str">
        <f>IF(OR(E2838="",E2838="!!!",F2838="NEW"),"",INDEX(B2837:B$2,-1+SUMPRODUCT(MAX(ROW(E2837:E$2)*(E2838=E2837:E$2)))))</f>
        <v> </v>
      </c>
      <c r="J2838" s="25" t="str">
        <f>IF(OR(E2838="",E2838="!!!",F2838="NEW"),"",COUNTBLANK(OFFSET(A$1,,,SUMPRODUCT(MAX(ROW(E$2:E2838)*(E2838=E$2:E2838)))))-COUNTBLANK(OFFSET(A$1,,,SUMPRODUCT(MAX(ROW(E$1:E2837)*(E2=E$1:E2837))))))</f>
        <v> </v>
      </c>
      <c r="K2838" s="25" t="str">
        <f>IF(OR(E2838="",E2838="!!!",F2838="NEW"),"",INDEX(J$1:J2837,SUMPRODUCT(MAX(ROW(E$1:E2837)*(E2838=E$1:E2837)))))</f>
        <v> </v>
      </c>
      <c r="L2838" s="26"/>
    </row>
    <row r="2839" spans="1:12">
      <c r="A2839" s="20" t="s">
        <v>2435</v>
      </c>
      <c r="B2839" s="27" t="s">
        <v>1243</v>
      </c>
      <c r="E2839" s="21">
        <f>IF(D2839="?OLD","!!!","")</f>
        <v/>
      </c>
      <c r="F2839" s="22" t="str">
        <f>IF(OR(E2839="",E2839="!!!"),"",IF(NOT(ISNA(VLOOKUP(E2839,E$1:E2838,1,FALSE()))),"OLD",IF(AND(E2839&lt;&gt;"",E2839&lt;&gt;"!!!"),"NEW","")))</f>
        <v> </v>
      </c>
      <c r="G2839" s="23" t="str">
        <f>IF(OR(E2839="",E2839="!!!"),"",IF(OR(J2839=0,AND(J2839=1,K2839=1),AND(J2839=1,I2839="SBJ"),AND(J2839=1,I2839=0)),"?IN_FOCUS",IF(J2839&lt;=2,"?ACTIVATED",IF(J2839&lt;&gt;"","?FAMILIAR",IF(F2839="NEW",IF(ISNA(VLOOKUP(E2839,#REF!,1,FALSE())),"?TYPE_IDENTIFIABLE","?REFERENTIAL"),"_")))))</f>
        <v> </v>
      </c>
      <c r="H2839" s="24" t="str">
        <f>IF(J2839&lt;&gt;1,"",IF(I2839="SBJ","CB","?"))</f>
        <v> </v>
      </c>
      <c r="I2839" s="25" t="str">
        <f>IF(OR(E2839="",E2839="!!!",F2839="NEW"),"",INDEX(B2838:B$2,-1+SUMPRODUCT(MAX(ROW(E2838:E$2)*(E2839=E2838:E$2)))))</f>
        <v> </v>
      </c>
      <c r="J2839" s="25" t="str">
        <f>IF(OR(E2839="",E2839="!!!",F2839="NEW"),"",COUNTBLANK(OFFSET(A$1,,,SUMPRODUCT(MAX(ROW(E$2:E2839)*(E2839=E$2:E2839)))))-COUNTBLANK(OFFSET(A$1,,,SUMPRODUCT(MAX(ROW(E$1:E2838)*(E2=E$1:E2838))))))</f>
        <v> </v>
      </c>
      <c r="K2839" s="25" t="str">
        <f>IF(OR(E2839="",E2839="!!!",F2839="NEW"),"",INDEX(J$1:J2838,SUMPRODUCT(MAX(ROW(E$1:E2838)*(E2839=E$1:E2838)))))</f>
        <v> </v>
      </c>
      <c r="L2839" s="26"/>
    </row>
    <row r="2840" spans="1:12">
      <c r="A2840" s="20" t="s">
        <v>2436</v>
      </c>
      <c r="E2840" s="21">
        <f>IF(D2840="?OLD","!!!","")</f>
        <v/>
      </c>
      <c r="F2840" s="22" t="str">
        <f>IF(OR(E2840="",E2840="!!!"),"",IF(NOT(ISNA(VLOOKUP(E2840,E$1:E2839,1,FALSE()))),"OLD",IF(AND(E2840&lt;&gt;"",E2840&lt;&gt;"!!!"),"NEW","")))</f>
        <v> </v>
      </c>
      <c r="G2840" s="23" t="str">
        <f>IF(OR(E2840="",E2840="!!!"),"",IF(OR(J2840=0,AND(J2840=1,K2840=1),AND(J2840=1,I2840="SBJ"),AND(J2840=1,I2840=0)),"?IN_FOCUS",IF(J2840&lt;=2,"?ACTIVATED",IF(J2840&lt;&gt;"","?FAMILIAR",IF(F2840="NEW",IF(ISNA(VLOOKUP(E2840,#REF!,1,FALSE())),"?TYPE_IDENTIFIABLE","?REFERENTIAL"),"_")))))</f>
        <v> </v>
      </c>
      <c r="H2840" s="24" t="str">
        <f>IF(J2840&lt;&gt;1,"",IF(I2840="SBJ","CB","?"))</f>
        <v> </v>
      </c>
      <c r="I2840" s="25" t="str">
        <f>IF(OR(E2840="",E2840="!!!",F2840="NEW"),"",INDEX(B2839:B$2,-1+SUMPRODUCT(MAX(ROW(E2839:E$2)*(E2840=E2839:E$2)))))</f>
        <v> </v>
      </c>
      <c r="J2840" s="25" t="str">
        <f>IF(OR(E2840="",E2840="!!!",F2840="NEW"),"",COUNTBLANK(OFFSET(A$1,,,SUMPRODUCT(MAX(ROW(E$2:E2840)*(E2840=E$2:E2840)))))-COUNTBLANK(OFFSET(A$1,,,SUMPRODUCT(MAX(ROW(E$1:E2839)*(E2=E$1:E2839))))))</f>
        <v> </v>
      </c>
      <c r="K2840" s="25" t="str">
        <f>IF(OR(E2840="",E2840="!!!",F2840="NEW"),"",INDEX(J$1:J2839,SUMPRODUCT(MAX(ROW(E$1:E2839)*(E2840=E$1:E2839)))))</f>
        <v> </v>
      </c>
      <c r="L2840" s="26"/>
    </row>
    <row r="2841" spans="1:12">
      <c r="A2841" s="20" t="s">
        <v>1123</v>
      </c>
      <c r="E2841" s="21">
        <f>IF(D2841="?OLD","!!!","")</f>
        <v/>
      </c>
      <c r="F2841" s="22" t="str">
        <f>IF(OR(E2841="",E2841="!!!"),"",IF(NOT(ISNA(VLOOKUP(E2841,E$1:E2840,1,FALSE()))),"OLD",IF(AND(E2841&lt;&gt;"",E2841&lt;&gt;"!!!"),"NEW","")))</f>
        <v> </v>
      </c>
      <c r="G2841" s="23" t="str">
        <f>IF(OR(E2841="",E2841="!!!"),"",IF(OR(J2841=0,AND(J2841=1,K2841=1),AND(J2841=1,I2841="SBJ"),AND(J2841=1,I2841=0)),"?IN_FOCUS",IF(J2841&lt;=2,"?ACTIVATED",IF(J2841&lt;&gt;"","?FAMILIAR",IF(F2841="NEW",IF(ISNA(VLOOKUP(E2841,#REF!,1,FALSE())),"?TYPE_IDENTIFIABLE","?REFERENTIAL"),"_")))))</f>
        <v> </v>
      </c>
      <c r="H2841" s="24" t="str">
        <f>IF(J2841&lt;&gt;1,"",IF(I2841="SBJ","CB","?"))</f>
        <v> </v>
      </c>
      <c r="I2841" s="25" t="str">
        <f>IF(OR(E2841="",E2841="!!!",F2841="NEW"),"",INDEX(B2840:B$2,-1+SUMPRODUCT(MAX(ROW(E2840:E$2)*(E2841=E2840:E$2)))))</f>
        <v> </v>
      </c>
      <c r="J2841" s="25" t="str">
        <f>IF(OR(E2841="",E2841="!!!",F2841="NEW"),"",COUNTBLANK(OFFSET(A$1,,,SUMPRODUCT(MAX(ROW(E$2:E2841)*(E2841=E$2:E2841)))))-COUNTBLANK(OFFSET(A$1,,,SUMPRODUCT(MAX(ROW(E$1:E2840)*(E2=E$1:E2840))))))</f>
        <v> </v>
      </c>
      <c r="K2841" s="25" t="str">
        <f>IF(OR(E2841="",E2841="!!!",F2841="NEW"),"",INDEX(J$1:J2840,SUMPRODUCT(MAX(ROW(E$1:E2840)*(E2841=E$1:E2840)))))</f>
        <v> </v>
      </c>
      <c r="L2841" s="26"/>
    </row>
    <row r="2842" spans="1:12">
      <c r="A2842" s="20" t="s">
        <v>1217</v>
      </c>
      <c r="B2842" s="27" t="s">
        <v>1149</v>
      </c>
      <c r="C2842" s="27" t="s">
        <v>1126</v>
      </c>
      <c r="D2842" s="27" t="s">
        <v>1105</v>
      </c>
      <c r="E2842" s="21">
        <f>IF(D2842="?OLD","!!!","")</f>
        <v/>
      </c>
      <c r="F2842" s="22" t="str">
        <f>IF(OR(E2842="",E2842="!!!"),"",IF(NOT(ISNA(VLOOKUP(E2842,E$1:E2841,1,FALSE()))),"OLD",IF(AND(E2842&lt;&gt;"",E2842&lt;&gt;"!!!"),"NEW","")))</f>
        <v> </v>
      </c>
      <c r="G2842" s="23" t="str">
        <f>IF(OR(E2842="",E2842="!!!"),"",IF(OR(J2842=0,AND(J2842=1,K2842=1),AND(J2842=1,I2842="SBJ"),AND(J2842=1,I2842=0)),"?IN_FOCUS",IF(J2842&lt;=2,"?ACTIVATED",IF(J2842&lt;&gt;"","?FAMILIAR",IF(F2842="NEW",IF(ISNA(VLOOKUP(E2842,#REF!,1,FALSE())),"?TYPE_IDENTIFIABLE","?REFERENTIAL"),"_")))))</f>
        <v> </v>
      </c>
      <c r="H2842" s="24" t="str">
        <f>IF(J2842&lt;&gt;1,"",IF(I2842="SBJ","CB","?"))</f>
        <v> </v>
      </c>
      <c r="I2842" s="25" t="str">
        <f>IF(OR(E2842="",E2842="!!!",F2842="NEW"),"",INDEX(B2841:B$2,-1+SUMPRODUCT(MAX(ROW(E2841:E$2)*(E2842=E2841:E$2)))))</f>
        <v> </v>
      </c>
      <c r="J2842" s="25" t="str">
        <f>IF(OR(E2842="",E2842="!!!",F2842="NEW"),"",COUNTBLANK(OFFSET(A$1,,,SUMPRODUCT(MAX(ROW(E$2:E2842)*(E2842=E$2:E2842)))))-COUNTBLANK(OFFSET(A$1,,,SUMPRODUCT(MAX(ROW(E$1:E2841)*(E2=E$1:E2841))))))</f>
        <v> </v>
      </c>
      <c r="K2842" s="25" t="str">
        <f>IF(OR(E2842="",E2842="!!!",F2842="NEW"),"",INDEX(J$1:J2841,SUMPRODUCT(MAX(ROW(E$1:E2841)*(E2842=E$1:E2841)))))</f>
        <v> </v>
      </c>
      <c r="L2842" s="26"/>
    </row>
    <row r="2843" spans="1:12">
      <c r="A2843" s="20" t="s">
        <v>2437</v>
      </c>
      <c r="E2843" s="21">
        <f>IF(D2843="?OLD","!!!","")</f>
        <v/>
      </c>
      <c r="F2843" s="22" t="str">
        <f>IF(OR(E2843="",E2843="!!!"),"",IF(NOT(ISNA(VLOOKUP(E2843,E$1:E2842,1,FALSE()))),"OLD",IF(AND(E2843&lt;&gt;"",E2843&lt;&gt;"!!!"),"NEW","")))</f>
        <v> </v>
      </c>
      <c r="G2843" s="23" t="str">
        <f>IF(OR(E2843="",E2843="!!!"),"",IF(OR(J2843=0,AND(J2843=1,K2843=1),AND(J2843=1,I2843="SBJ"),AND(J2843=1,I2843=0)),"?IN_FOCUS",IF(J2843&lt;=2,"?ACTIVATED",IF(J2843&lt;&gt;"","?FAMILIAR",IF(F2843="NEW",IF(ISNA(VLOOKUP(E2843,#REF!,1,FALSE())),"?TYPE_IDENTIFIABLE","?REFERENTIAL"),"_")))))</f>
        <v> </v>
      </c>
      <c r="H2843" s="24" t="str">
        <f>IF(J2843&lt;&gt;1,"",IF(I2843="SBJ","CB","?"))</f>
        <v> </v>
      </c>
      <c r="I2843" s="25" t="str">
        <f>IF(OR(E2843="",E2843="!!!",F2843="NEW"),"",INDEX(B2842:B$2,-1+SUMPRODUCT(MAX(ROW(E2842:E$2)*(E2843=E2842:E$2)))))</f>
        <v> </v>
      </c>
      <c r="J2843" s="25" t="str">
        <f>IF(OR(E2843="",E2843="!!!",F2843="NEW"),"",COUNTBLANK(OFFSET(A$1,,,SUMPRODUCT(MAX(ROW(E$2:E2843)*(E2843=E$2:E2843)))))-COUNTBLANK(OFFSET(A$1,,,SUMPRODUCT(MAX(ROW(E$1:E2842)*(E2=E$1:E2842))))))</f>
        <v> </v>
      </c>
      <c r="K2843" s="25" t="str">
        <f>IF(OR(E2843="",E2843="!!!",F2843="NEW"),"",INDEX(J$1:J2842,SUMPRODUCT(MAX(ROW(E$1:E2842)*(E2843=E$1:E2842)))))</f>
        <v> </v>
      </c>
      <c r="L2843" s="26"/>
    </row>
    <row r="2844" spans="1:12">
      <c r="A2844" s="20" t="s">
        <v>1470</v>
      </c>
      <c r="E2844" s="21">
        <f>IF(D2844="?OLD","!!!","")</f>
        <v/>
      </c>
      <c r="F2844" s="22" t="str">
        <f>IF(OR(E2844="",E2844="!!!"),"",IF(NOT(ISNA(VLOOKUP(E2844,E$1:E2843,1,FALSE()))),"OLD",IF(AND(E2844&lt;&gt;"",E2844&lt;&gt;"!!!"),"NEW","")))</f>
        <v> </v>
      </c>
      <c r="G2844" s="23" t="str">
        <f>IF(OR(E2844="",E2844="!!!"),"",IF(OR(J2844=0,AND(J2844=1,K2844=1),AND(J2844=1,I2844="SBJ"),AND(J2844=1,I2844=0)),"?IN_FOCUS",IF(J2844&lt;=2,"?ACTIVATED",IF(J2844&lt;&gt;"","?FAMILIAR",IF(F2844="NEW",IF(ISNA(VLOOKUP(E2844,#REF!,1,FALSE())),"?TYPE_IDENTIFIABLE","?REFERENTIAL"),"_")))))</f>
        <v> </v>
      </c>
      <c r="H2844" s="24" t="str">
        <f>IF(J2844&lt;&gt;1,"",IF(I2844="SBJ","CB","?"))</f>
        <v> </v>
      </c>
      <c r="I2844" s="25" t="str">
        <f>IF(OR(E2844="",E2844="!!!",F2844="NEW"),"",INDEX(B2843:B$2,-1+SUMPRODUCT(MAX(ROW(E2843:E$2)*(E2844=E2843:E$2)))))</f>
        <v> </v>
      </c>
      <c r="J2844" s="25" t="str">
        <f>IF(OR(E2844="",E2844="!!!",F2844="NEW"),"",COUNTBLANK(OFFSET(A$1,,,SUMPRODUCT(MAX(ROW(E$2:E2844)*(E2844=E$2:E2844)))))-COUNTBLANK(OFFSET(A$1,,,SUMPRODUCT(MAX(ROW(E$1:E2843)*(E2=E$1:E2843))))))</f>
        <v> </v>
      </c>
      <c r="K2844" s="25" t="str">
        <f>IF(OR(E2844="",E2844="!!!",F2844="NEW"),"",INDEX(J$1:J2843,SUMPRODUCT(MAX(ROW(E$1:E2843)*(E2844=E$1:E2843)))))</f>
        <v> </v>
      </c>
      <c r="L2844" s="26"/>
    </row>
    <row r="2845" spans="1:12">
      <c r="A2845" s="20" t="s">
        <v>1145</v>
      </c>
      <c r="E2845" s="21">
        <f>IF(D2845="?OLD","!!!","")</f>
        <v/>
      </c>
      <c r="F2845" s="22" t="str">
        <f>IF(OR(E2845="",E2845="!!!"),"",IF(NOT(ISNA(VLOOKUP(E2845,E$1:E2844,1,FALSE()))),"OLD",IF(AND(E2845&lt;&gt;"",E2845&lt;&gt;"!!!"),"NEW","")))</f>
        <v> </v>
      </c>
      <c r="G2845" s="23" t="str">
        <f>IF(OR(E2845="",E2845="!!!"),"",IF(OR(J2845=0,AND(J2845=1,K2845=1),AND(J2845=1,I2845="SBJ"),AND(J2845=1,I2845=0)),"?IN_FOCUS",IF(J2845&lt;=2,"?ACTIVATED",IF(J2845&lt;&gt;"","?FAMILIAR",IF(F2845="NEW",IF(ISNA(VLOOKUP(E2845,#REF!,1,FALSE())),"?TYPE_IDENTIFIABLE","?REFERENTIAL"),"_")))))</f>
        <v> </v>
      </c>
      <c r="H2845" s="24" t="str">
        <f>IF(J2845&lt;&gt;1,"",IF(I2845="SBJ","CB","?"))</f>
        <v> </v>
      </c>
      <c r="I2845" s="25" t="str">
        <f>IF(OR(E2845="",E2845="!!!",F2845="NEW"),"",INDEX(B2844:B$2,-1+SUMPRODUCT(MAX(ROW(E2844:E$2)*(E2845=E2844:E$2)))))</f>
        <v> </v>
      </c>
      <c r="J2845" s="25" t="str">
        <f>IF(OR(E2845="",E2845="!!!",F2845="NEW"),"",COUNTBLANK(OFFSET(A$1,,,SUMPRODUCT(MAX(ROW(E$2:E2845)*(E2845=E$2:E2845)))))-COUNTBLANK(OFFSET(A$1,,,SUMPRODUCT(MAX(ROW(E$1:E2844)*(E2=E$1:E2844))))))</f>
        <v> </v>
      </c>
      <c r="K2845" s="25" t="str">
        <f>IF(OR(E2845="",E2845="!!!",F2845="NEW"),"",INDEX(J$1:J2844,SUMPRODUCT(MAX(ROW(E$1:E2844)*(E2845=E$1:E2844)))))</f>
        <v> </v>
      </c>
      <c r="L2845" s="26"/>
    </row>
    <row r="2846" spans="1:12">
      <c r="A2846" s="20"/>
    </row>
    <row r="2847" spans="1:12">
      <c r="A2847" s="20" t="s">
        <v>2438</v>
      </c>
    </row>
    <row r="2848" spans="1:12">
      <c r="A2848" s="20" t="s">
        <v>1547</v>
      </c>
      <c r="E2848" s="21">
        <f>IF(D2848="?OLD","!!!","")</f>
        <v/>
      </c>
      <c r="F2848" s="22" t="str">
        <f>IF(OR(E2848="",E2848="!!!"),"",IF(NOT(ISNA(VLOOKUP(E2848,E$1:E2847,1,FALSE()))),"OLD",IF(AND(E2848&lt;&gt;"",E2848&lt;&gt;"!!!"),"NEW","")))</f>
        <v> </v>
      </c>
      <c r="G2848" s="23" t="str">
        <f>IF(OR(E2848="",E2848="!!!"),"",IF(OR(J2848=0,AND(J2848=1,K2848=1),AND(J2848=1,I2848="SBJ"),AND(J2848=1,I2848=0)),"?IN_FOCUS",IF(J2848&lt;=2,"?ACTIVATED",IF(J2848&lt;&gt;"","?FAMILIAR",IF(F2848="NEW",IF(ISNA(VLOOKUP(E2848,#REF!,1,FALSE())),"?TYPE_IDENTIFIABLE","?REFERENTIAL"),"_")))))</f>
        <v> </v>
      </c>
      <c r="H2848" s="24" t="str">
        <f>IF(J2848&lt;&gt;1,"",IF(I2848="SBJ","CB","?"))</f>
        <v> </v>
      </c>
      <c r="I2848" s="25" t="str">
        <f>IF(OR(E2848="",E2848="!!!",F2848="NEW"),"",INDEX(B2847:B$2,-1+SUMPRODUCT(MAX(ROW(E2847:E$2)*(E2848=E2847:E$2)))))</f>
        <v> </v>
      </c>
      <c r="J2848" s="25" t="str">
        <f>IF(OR(E2848="",E2848="!!!",F2848="NEW"),"",COUNTBLANK(OFFSET(A$1,,,SUMPRODUCT(MAX(ROW(E$2:E2848)*(E2848=E$2:E2848)))))-COUNTBLANK(OFFSET(A$1,,,SUMPRODUCT(MAX(ROW(E$1:E2847)*(E2=E$1:E2847))))))</f>
        <v> </v>
      </c>
      <c r="K2848" s="25" t="str">
        <f>IF(OR(E2848="",E2848="!!!",F2848="NEW"),"",INDEX(J$1:J2847,SUMPRODUCT(MAX(ROW(E$1:E2847)*(E2848=E$1:E2847)))))</f>
        <v> </v>
      </c>
      <c r="L2848" s="26"/>
    </row>
    <row r="2849" spans="1:12">
      <c r="A2849" s="20" t="s">
        <v>2439</v>
      </c>
      <c r="E2849" s="21">
        <f>IF(D2849="?OLD","!!!","")</f>
        <v/>
      </c>
      <c r="F2849" s="22" t="str">
        <f>IF(OR(E2849="",E2849="!!!"),"",IF(NOT(ISNA(VLOOKUP(E2849,E$1:E2848,1,FALSE()))),"OLD",IF(AND(E2849&lt;&gt;"",E2849&lt;&gt;"!!!"),"NEW","")))</f>
        <v> </v>
      </c>
      <c r="G2849" s="23" t="str">
        <f>IF(OR(E2849="",E2849="!!!"),"",IF(OR(J2849=0,AND(J2849=1,K2849=1),AND(J2849=1,I2849="SBJ"),AND(J2849=1,I2849=0)),"?IN_FOCUS",IF(J2849&lt;=2,"?ACTIVATED",IF(J2849&lt;&gt;"","?FAMILIAR",IF(F2849="NEW",IF(ISNA(VLOOKUP(E2849,#REF!,1,FALSE())),"?TYPE_IDENTIFIABLE","?REFERENTIAL"),"_")))))</f>
        <v> </v>
      </c>
      <c r="H2849" s="24" t="str">
        <f>IF(J2849&lt;&gt;1,"",IF(I2849="SBJ","CB","?"))</f>
        <v> </v>
      </c>
      <c r="I2849" s="25" t="str">
        <f>IF(OR(E2849="",E2849="!!!",F2849="NEW"),"",INDEX(B2848:B$2,-1+SUMPRODUCT(MAX(ROW(E2848:E$2)*(E2849=E2848:E$2)))))</f>
        <v> </v>
      </c>
      <c r="J2849" s="25" t="str">
        <f>IF(OR(E2849="",E2849="!!!",F2849="NEW"),"",COUNTBLANK(OFFSET(A$1,,,SUMPRODUCT(MAX(ROW(E$2:E2849)*(E2849=E$2:E2849)))))-COUNTBLANK(OFFSET(A$1,,,SUMPRODUCT(MAX(ROW(E$1:E2848)*(E2=E$1:E2848))))))</f>
        <v> </v>
      </c>
      <c r="K2849" s="25" t="str">
        <f>IF(OR(E2849="",E2849="!!!",F2849="NEW"),"",INDEX(J$1:J2848,SUMPRODUCT(MAX(ROW(E$1:E2848)*(E2849=E$1:E2848)))))</f>
        <v> </v>
      </c>
      <c r="L2849" s="26"/>
    </row>
    <row r="2850" spans="1:12">
      <c r="A2850" s="20" t="s">
        <v>2440</v>
      </c>
      <c r="B2850" s="27" t="s">
        <v>1149</v>
      </c>
      <c r="E2850" s="21">
        <f>IF(D2850="?OLD","!!!","")</f>
        <v/>
      </c>
      <c r="F2850" s="22" t="str">
        <f>IF(OR(E2850="",E2850="!!!"),"",IF(NOT(ISNA(VLOOKUP(E2850,E$1:E2849,1,FALSE()))),"OLD",IF(AND(E2850&lt;&gt;"",E2850&lt;&gt;"!!!"),"NEW","")))</f>
        <v> </v>
      </c>
      <c r="G2850" s="23" t="str">
        <f>IF(OR(E2850="",E2850="!!!"),"",IF(OR(J2850=0,AND(J2850=1,K2850=1),AND(J2850=1,I2850="SBJ"),AND(J2850=1,I2850=0)),"?IN_FOCUS",IF(J2850&lt;=2,"?ACTIVATED",IF(J2850&lt;&gt;"","?FAMILIAR",IF(F2850="NEW",IF(ISNA(VLOOKUP(E2850,#REF!,1,FALSE())),"?TYPE_IDENTIFIABLE","?REFERENTIAL"),"_")))))</f>
        <v> </v>
      </c>
      <c r="H2850" s="24" t="str">
        <f>IF(J2850&lt;&gt;1,"",IF(I2850="SBJ","CB","?"))</f>
        <v> </v>
      </c>
      <c r="I2850" s="25" t="str">
        <f>IF(OR(E2850="",E2850="!!!",F2850="NEW"),"",INDEX(B2849:B$2,-1+SUMPRODUCT(MAX(ROW(E2849:E$2)*(E2850=E2849:E$2)))))</f>
        <v> </v>
      </c>
      <c r="J2850" s="25" t="str">
        <f>IF(OR(E2850="",E2850="!!!",F2850="NEW"),"",COUNTBLANK(OFFSET(A$1,,,SUMPRODUCT(MAX(ROW(E$2:E2850)*(E2850=E$2:E2850)))))-COUNTBLANK(OFFSET(A$1,,,SUMPRODUCT(MAX(ROW(E$1:E2849)*(E2=E$1:E2849))))))</f>
        <v> </v>
      </c>
      <c r="K2850" s="25" t="str">
        <f>IF(OR(E2850="",E2850="!!!",F2850="NEW"),"",INDEX(J$1:J2849,SUMPRODUCT(MAX(ROW(E$1:E2849)*(E2850=E$1:E2849)))))</f>
        <v> </v>
      </c>
      <c r="L2850" s="26"/>
    </row>
    <row r="2851" spans="1:12">
      <c r="A2851" s="20" t="s">
        <v>1123</v>
      </c>
      <c r="E2851" s="21">
        <f>IF(D2851="?OLD","!!!","")</f>
        <v/>
      </c>
      <c r="F2851" s="22" t="str">
        <f>IF(OR(E2851="",E2851="!!!"),"",IF(NOT(ISNA(VLOOKUP(E2851,E$1:E2850,1,FALSE()))),"OLD",IF(AND(E2851&lt;&gt;"",E2851&lt;&gt;"!!!"),"NEW","")))</f>
        <v> </v>
      </c>
      <c r="G2851" s="23" t="str">
        <f>IF(OR(E2851="",E2851="!!!"),"",IF(OR(J2851=0,AND(J2851=1,K2851=1),AND(J2851=1,I2851="SBJ"),AND(J2851=1,I2851=0)),"?IN_FOCUS",IF(J2851&lt;=2,"?ACTIVATED",IF(J2851&lt;&gt;"","?FAMILIAR",IF(F2851="NEW",IF(ISNA(VLOOKUP(E2851,#REF!,1,FALSE())),"?TYPE_IDENTIFIABLE","?REFERENTIAL"),"_")))))</f>
        <v> </v>
      </c>
      <c r="H2851" s="24" t="str">
        <f>IF(J2851&lt;&gt;1,"",IF(I2851="SBJ","CB","?"))</f>
        <v> </v>
      </c>
      <c r="I2851" s="25" t="str">
        <f>IF(OR(E2851="",E2851="!!!",F2851="NEW"),"",INDEX(B2850:B$2,-1+SUMPRODUCT(MAX(ROW(E2850:E$2)*(E2851=E2850:E$2)))))</f>
        <v> </v>
      </c>
      <c r="J2851" s="25" t="str">
        <f>IF(OR(E2851="",E2851="!!!",F2851="NEW"),"",COUNTBLANK(OFFSET(A$1,,,SUMPRODUCT(MAX(ROW(E$2:E2851)*(E2851=E$2:E2851)))))-COUNTBLANK(OFFSET(A$1,,,SUMPRODUCT(MAX(ROW(E$1:E2850)*(E2=E$1:E2850))))))</f>
        <v> </v>
      </c>
      <c r="K2851" s="25" t="str">
        <f>IF(OR(E2851="",E2851="!!!",F2851="NEW"),"",INDEX(J$1:J2850,SUMPRODUCT(MAX(ROW(E$1:E2850)*(E2851=E$1:E2850)))))</f>
        <v> </v>
      </c>
      <c r="L2851" s="26"/>
    </row>
    <row r="2852" spans="1:12">
      <c r="A2852" s="20" t="s">
        <v>1201</v>
      </c>
      <c r="E2852" s="21">
        <f>IF(D2852="?OLD","!!!","")</f>
        <v/>
      </c>
      <c r="F2852" s="22" t="str">
        <f>IF(OR(E2852="",E2852="!!!"),"",IF(NOT(ISNA(VLOOKUP(E2852,E$1:E2851,1,FALSE()))),"OLD",IF(AND(E2852&lt;&gt;"",E2852&lt;&gt;"!!!"),"NEW","")))</f>
        <v> </v>
      </c>
      <c r="G2852" s="23" t="str">
        <f>IF(OR(E2852="",E2852="!!!"),"",IF(OR(J2852=0,AND(J2852=1,K2852=1),AND(J2852=1,I2852="SBJ"),AND(J2852=1,I2852=0)),"?IN_FOCUS",IF(J2852&lt;=2,"?ACTIVATED",IF(J2852&lt;&gt;"","?FAMILIAR",IF(F2852="NEW",IF(ISNA(VLOOKUP(E2852,#REF!,1,FALSE())),"?TYPE_IDENTIFIABLE","?REFERENTIAL"),"_")))))</f>
        <v> </v>
      </c>
      <c r="H2852" s="24" t="str">
        <f>IF(J2852&lt;&gt;1,"",IF(I2852="SBJ","CB","?"))</f>
        <v> </v>
      </c>
      <c r="I2852" s="25" t="str">
        <f>IF(OR(E2852="",E2852="!!!",F2852="NEW"),"",INDEX(B2851:B$2,-1+SUMPRODUCT(MAX(ROW(E2851:E$2)*(E2852=E2851:E$2)))))</f>
        <v> </v>
      </c>
      <c r="J2852" s="25" t="str">
        <f>IF(OR(E2852="",E2852="!!!",F2852="NEW"),"",COUNTBLANK(OFFSET(A$1,,,SUMPRODUCT(MAX(ROW(E$2:E2852)*(E2852=E$2:E2852)))))-COUNTBLANK(OFFSET(A$1,,,SUMPRODUCT(MAX(ROW(E$1:E2851)*(E2=E$1:E2851))))))</f>
        <v> </v>
      </c>
      <c r="K2852" s="25" t="str">
        <f>IF(OR(E2852="",E2852="!!!",F2852="NEW"),"",INDEX(J$1:J2851,SUMPRODUCT(MAX(ROW(E$1:E2851)*(E2852=E$1:E2851)))))</f>
        <v> </v>
      </c>
      <c r="L2852" s="26"/>
    </row>
    <row r="2853" spans="1:12">
      <c r="A2853" s="20" t="s">
        <v>1653</v>
      </c>
      <c r="B2853" s="27" t="s">
        <v>1110</v>
      </c>
      <c r="C2853" s="27" t="s">
        <v>1133</v>
      </c>
      <c r="E2853" s="21">
        <f>IF(D2853="?OLD","!!!","")</f>
        <v/>
      </c>
      <c r="F2853" s="22" t="str">
        <f>IF(OR(E2853="",E2853="!!!"),"",IF(NOT(ISNA(VLOOKUP(E2853,E$1:E2852,1,FALSE()))),"OLD",IF(AND(E2853&lt;&gt;"",E2853&lt;&gt;"!!!"),"NEW","")))</f>
        <v> </v>
      </c>
      <c r="G2853" s="23" t="str">
        <f>IF(OR(E2853="",E2853="!!!"),"",IF(OR(J2853=0,AND(J2853=1,K2853=1),AND(J2853=1,I2853="SBJ"),AND(J2853=1,I2853=0)),"?IN_FOCUS",IF(J2853&lt;=2,"?ACTIVATED",IF(J2853&lt;&gt;"","?FAMILIAR",IF(F2853="NEW",IF(ISNA(VLOOKUP(E2853,#REF!,1,FALSE())),"?TYPE_IDENTIFIABLE","?REFERENTIAL"),"_")))))</f>
        <v> </v>
      </c>
      <c r="H2853" s="24" t="str">
        <f>IF(J2853&lt;&gt;1,"",IF(I2853="SBJ","CB","?"))</f>
        <v> </v>
      </c>
      <c r="I2853" s="25" t="str">
        <f>IF(OR(E2853="",E2853="!!!",F2853="NEW"),"",INDEX(B2852:B$2,-1+SUMPRODUCT(MAX(ROW(E2852:E$2)*(E2853=E2852:E$2)))))</f>
        <v> </v>
      </c>
      <c r="J2853" s="25" t="str">
        <f>IF(OR(E2853="",E2853="!!!",F2853="NEW"),"",COUNTBLANK(OFFSET(A$1,,,SUMPRODUCT(MAX(ROW(E$2:E2853)*(E2853=E$2:E2853)))))-COUNTBLANK(OFFSET(A$1,,,SUMPRODUCT(MAX(ROW(E$1:E2852)*(E2=E$1:E2852))))))</f>
        <v> </v>
      </c>
      <c r="K2853" s="25" t="str">
        <f>IF(OR(E2853="",E2853="!!!",F2853="NEW"),"",INDEX(J$1:J2852,SUMPRODUCT(MAX(ROW(E$1:E2852)*(E2853=E$1:E2852)))))</f>
        <v> </v>
      </c>
      <c r="L2853" s="26"/>
    </row>
    <row r="2854" spans="1:12">
      <c r="A2854" s="20" t="s">
        <v>1217</v>
      </c>
      <c r="B2854" s="27" t="s">
        <v>1259</v>
      </c>
      <c r="C2854" s="27" t="s">
        <v>1126</v>
      </c>
      <c r="D2854" s="27" t="s">
        <v>1105</v>
      </c>
      <c r="E2854" s="21">
        <f>IF(D2854="?OLD","!!!","")</f>
        <v/>
      </c>
      <c r="F2854" s="22" t="str">
        <f>IF(OR(E2854="",E2854="!!!"),"",IF(NOT(ISNA(VLOOKUP(E2854,E$1:E2853,1,FALSE()))),"OLD",IF(AND(E2854&lt;&gt;"",E2854&lt;&gt;"!!!"),"NEW","")))</f>
        <v> </v>
      </c>
      <c r="G2854" s="23" t="str">
        <f>IF(OR(E2854="",E2854="!!!"),"",IF(OR(J2854=0,AND(J2854=1,K2854=1),AND(J2854=1,I2854="SBJ"),AND(J2854=1,I2854=0)),"?IN_FOCUS",IF(J2854&lt;=2,"?ACTIVATED",IF(J2854&lt;&gt;"","?FAMILIAR",IF(F2854="NEW",IF(ISNA(VLOOKUP(E2854,#REF!,1,FALSE())),"?TYPE_IDENTIFIABLE","?REFERENTIAL"),"_")))))</f>
        <v> </v>
      </c>
      <c r="H2854" s="24" t="str">
        <f>IF(J2854&lt;&gt;1,"",IF(I2854="SBJ","CB","?"))</f>
        <v> </v>
      </c>
      <c r="I2854" s="25" t="str">
        <f>IF(OR(E2854="",E2854="!!!",F2854="NEW"),"",INDEX(B2853:B$2,-1+SUMPRODUCT(MAX(ROW(E2853:E$2)*(E2854=E2853:E$2)))))</f>
        <v> </v>
      </c>
      <c r="J2854" s="25" t="str">
        <f>IF(OR(E2854="",E2854="!!!",F2854="NEW"),"",COUNTBLANK(OFFSET(A$1,,,SUMPRODUCT(MAX(ROW(E$2:E2854)*(E2854=E$2:E2854)))))-COUNTBLANK(OFFSET(A$1,,,SUMPRODUCT(MAX(ROW(E$1:E2853)*(E2=E$1:E2853))))))</f>
        <v> </v>
      </c>
      <c r="K2854" s="25" t="str">
        <f>IF(OR(E2854="",E2854="!!!",F2854="NEW"),"",INDEX(J$1:J2853,SUMPRODUCT(MAX(ROW(E$1:E2853)*(E2854=E$1:E2853)))))</f>
        <v> </v>
      </c>
      <c r="L2854" s="26"/>
    </row>
    <row r="2855" spans="1:12">
      <c r="A2855" s="20" t="s">
        <v>2441</v>
      </c>
      <c r="E2855" s="21">
        <f>IF(D2855="?OLD","!!!","")</f>
        <v/>
      </c>
      <c r="F2855" s="22" t="str">
        <f>IF(OR(E2855="",E2855="!!!"),"",IF(NOT(ISNA(VLOOKUP(E2855,E$1:E2854,1,FALSE()))),"OLD",IF(AND(E2855&lt;&gt;"",E2855&lt;&gt;"!!!"),"NEW","")))</f>
        <v> </v>
      </c>
      <c r="G2855" s="23" t="str">
        <f>IF(OR(E2855="",E2855="!!!"),"",IF(OR(J2855=0,AND(J2855=1,K2855=1),AND(J2855=1,I2855="SBJ"),AND(J2855=1,I2855=0)),"?IN_FOCUS",IF(J2855&lt;=2,"?ACTIVATED",IF(J2855&lt;&gt;"","?FAMILIAR",IF(F2855="NEW",IF(ISNA(VLOOKUP(E2855,#REF!,1,FALSE())),"?TYPE_IDENTIFIABLE","?REFERENTIAL"),"_")))))</f>
        <v> </v>
      </c>
      <c r="H2855" s="24" t="str">
        <f>IF(J2855&lt;&gt;1,"",IF(I2855="SBJ","CB","?"))</f>
        <v> </v>
      </c>
      <c r="I2855" s="25" t="str">
        <f>IF(OR(E2855="",E2855="!!!",F2855="NEW"),"",INDEX(B2854:B$2,-1+SUMPRODUCT(MAX(ROW(E2854:E$2)*(E2855=E2854:E$2)))))</f>
        <v> </v>
      </c>
      <c r="J2855" s="25" t="str">
        <f>IF(OR(E2855="",E2855="!!!",F2855="NEW"),"",COUNTBLANK(OFFSET(A$1,,,SUMPRODUCT(MAX(ROW(E$2:E2855)*(E2855=E$2:E2855)))))-COUNTBLANK(OFFSET(A$1,,,SUMPRODUCT(MAX(ROW(E$1:E2854)*(E2=E$1:E2854))))))</f>
        <v> </v>
      </c>
      <c r="K2855" s="25" t="str">
        <f>IF(OR(E2855="",E2855="!!!",F2855="NEW"),"",INDEX(J$1:J2854,SUMPRODUCT(MAX(ROW(E$1:E2854)*(E2855=E$1:E2854)))))</f>
        <v> </v>
      </c>
      <c r="L2855" s="26"/>
    </row>
    <row r="2856" spans="1:12">
      <c r="A2856" s="20" t="s">
        <v>1123</v>
      </c>
      <c r="E2856" s="21">
        <f>IF(D2856="?OLD","!!!","")</f>
        <v/>
      </c>
      <c r="F2856" s="22" t="str">
        <f>IF(OR(E2856="",E2856="!!!"),"",IF(NOT(ISNA(VLOOKUP(E2856,E$1:E2855,1,FALSE()))),"OLD",IF(AND(E2856&lt;&gt;"",E2856&lt;&gt;"!!!"),"NEW","")))</f>
        <v> </v>
      </c>
      <c r="G2856" s="23" t="str">
        <f>IF(OR(E2856="",E2856="!!!"),"",IF(OR(J2856=0,AND(J2856=1,K2856=1),AND(J2856=1,I2856="SBJ"),AND(J2856=1,I2856=0)),"?IN_FOCUS",IF(J2856&lt;=2,"?ACTIVATED",IF(J2856&lt;&gt;"","?FAMILIAR",IF(F2856="NEW",IF(ISNA(VLOOKUP(E2856,#REF!,1,FALSE())),"?TYPE_IDENTIFIABLE","?REFERENTIAL"),"_")))))</f>
        <v> </v>
      </c>
      <c r="H2856" s="24" t="str">
        <f>IF(J2856&lt;&gt;1,"",IF(I2856="SBJ","CB","?"))</f>
        <v> </v>
      </c>
      <c r="I2856" s="25" t="str">
        <f>IF(OR(E2856="",E2856="!!!",F2856="NEW"),"",INDEX(B2855:B$2,-1+SUMPRODUCT(MAX(ROW(E2855:E$2)*(E2856=E2855:E$2)))))</f>
        <v> </v>
      </c>
      <c r="J2856" s="25" t="str">
        <f>IF(OR(E2856="",E2856="!!!",F2856="NEW"),"",COUNTBLANK(OFFSET(A$1,,,SUMPRODUCT(MAX(ROW(E$2:E2856)*(E2856=E$2:E2856)))))-COUNTBLANK(OFFSET(A$1,,,SUMPRODUCT(MAX(ROW(E$1:E2855)*(E2=E$1:E2855))))))</f>
        <v> </v>
      </c>
      <c r="K2856" s="25" t="str">
        <f>IF(OR(E2856="",E2856="!!!",F2856="NEW"),"",INDEX(J$1:J2855,SUMPRODUCT(MAX(ROW(E$1:E2855)*(E2856=E$1:E2855)))))</f>
        <v> </v>
      </c>
      <c r="L2856" s="26"/>
    </row>
    <row r="2857" spans="1:12">
      <c r="A2857" s="20" t="s">
        <v>1134</v>
      </c>
      <c r="E2857" s="21">
        <f>IF(D2857="?OLD","!!!","")</f>
        <v/>
      </c>
      <c r="F2857" s="22" t="str">
        <f>IF(OR(E2857="",E2857="!!!"),"",IF(NOT(ISNA(VLOOKUP(E2857,E$1:E2856,1,FALSE()))),"OLD",IF(AND(E2857&lt;&gt;"",E2857&lt;&gt;"!!!"),"NEW","")))</f>
        <v> </v>
      </c>
      <c r="G2857" s="23" t="str">
        <f>IF(OR(E2857="",E2857="!!!"),"",IF(OR(J2857=0,AND(J2857=1,K2857=1),AND(J2857=1,I2857="SBJ"),AND(J2857=1,I2857=0)),"?IN_FOCUS",IF(J2857&lt;=2,"?ACTIVATED",IF(J2857&lt;&gt;"","?FAMILIAR",IF(F2857="NEW",IF(ISNA(VLOOKUP(E2857,#REF!,1,FALSE())),"?TYPE_IDENTIFIABLE","?REFERENTIAL"),"_")))))</f>
        <v> </v>
      </c>
      <c r="H2857" s="24" t="str">
        <f>IF(J2857&lt;&gt;1,"",IF(I2857="SBJ","CB","?"))</f>
        <v> </v>
      </c>
      <c r="I2857" s="25" t="str">
        <f>IF(OR(E2857="",E2857="!!!",F2857="NEW"),"",INDEX(B2856:B$2,-1+SUMPRODUCT(MAX(ROW(E2856:E$2)*(E2857=E2856:E$2)))))</f>
        <v> </v>
      </c>
      <c r="J2857" s="25" t="str">
        <f>IF(OR(E2857="",E2857="!!!",F2857="NEW"),"",COUNTBLANK(OFFSET(A$1,,,SUMPRODUCT(MAX(ROW(E$2:E2857)*(E2857=E$2:E2857)))))-COUNTBLANK(OFFSET(A$1,,,SUMPRODUCT(MAX(ROW(E$1:E2856)*(E2=E$1:E2856))))))</f>
        <v> </v>
      </c>
      <c r="K2857" s="25" t="str">
        <f>IF(OR(E2857="",E2857="!!!",F2857="NEW"),"",INDEX(J$1:J2856,SUMPRODUCT(MAX(ROW(E$1:E2856)*(E2857=E$1:E2856)))))</f>
        <v> </v>
      </c>
      <c r="L2857" s="26"/>
    </row>
    <row r="2858" spans="1:12">
      <c r="A2858" s="20" t="s">
        <v>2442</v>
      </c>
      <c r="E2858" s="21">
        <f>IF(D2858="?OLD","!!!","")</f>
        <v/>
      </c>
      <c r="F2858" s="22" t="str">
        <f>IF(OR(E2858="",E2858="!!!"),"",IF(NOT(ISNA(VLOOKUP(E2858,E$1:E2857,1,FALSE()))),"OLD",IF(AND(E2858&lt;&gt;"",E2858&lt;&gt;"!!!"),"NEW","")))</f>
        <v> </v>
      </c>
      <c r="G2858" s="23" t="str">
        <f>IF(OR(E2858="",E2858="!!!"),"",IF(OR(J2858=0,AND(J2858=1,K2858=1),AND(J2858=1,I2858="SBJ"),AND(J2858=1,I2858=0)),"?IN_FOCUS",IF(J2858&lt;=2,"?ACTIVATED",IF(J2858&lt;&gt;"","?FAMILIAR",IF(F2858="NEW",IF(ISNA(VLOOKUP(E2858,#REF!,1,FALSE())),"?TYPE_IDENTIFIABLE","?REFERENTIAL"),"_")))))</f>
        <v> </v>
      </c>
      <c r="H2858" s="24" t="str">
        <f>IF(J2858&lt;&gt;1,"",IF(I2858="SBJ","CB","?"))</f>
        <v> </v>
      </c>
      <c r="I2858" s="25" t="str">
        <f>IF(OR(E2858="",E2858="!!!",F2858="NEW"),"",INDEX(B2857:B$2,-1+SUMPRODUCT(MAX(ROW(E2857:E$2)*(E2858=E2857:E$2)))))</f>
        <v> </v>
      </c>
      <c r="J2858" s="25" t="str">
        <f>IF(OR(E2858="",E2858="!!!",F2858="NEW"),"",COUNTBLANK(OFFSET(A$1,,,SUMPRODUCT(MAX(ROW(E$2:E2858)*(E2858=E$2:E2858)))))-COUNTBLANK(OFFSET(A$1,,,SUMPRODUCT(MAX(ROW(E$1:E2857)*(E2=E$1:E2857))))))</f>
        <v> </v>
      </c>
      <c r="K2858" s="25" t="str">
        <f>IF(OR(E2858="",E2858="!!!",F2858="NEW"),"",INDEX(J$1:J2857,SUMPRODUCT(MAX(ROW(E$1:E2857)*(E2858=E$1:E2857)))))</f>
        <v> </v>
      </c>
      <c r="L2858" s="26"/>
    </row>
    <row r="2859" spans="1:12">
      <c r="A2859" s="20" t="s">
        <v>1128</v>
      </c>
      <c r="E2859" s="21">
        <f>IF(D2859="?OLD","!!!","")</f>
        <v/>
      </c>
      <c r="F2859" s="22" t="str">
        <f>IF(OR(E2859="",E2859="!!!"),"",IF(NOT(ISNA(VLOOKUP(E2859,E$1:E2858,1,FALSE()))),"OLD",IF(AND(E2859&lt;&gt;"",E2859&lt;&gt;"!!!"),"NEW","")))</f>
        <v> </v>
      </c>
      <c r="G2859" s="23" t="str">
        <f>IF(OR(E2859="",E2859="!!!"),"",IF(OR(J2859=0,AND(J2859=1,K2859=1),AND(J2859=1,I2859="SBJ"),AND(J2859=1,I2859=0)),"?IN_FOCUS",IF(J2859&lt;=2,"?ACTIVATED",IF(J2859&lt;&gt;"","?FAMILIAR",IF(F2859="NEW",IF(ISNA(VLOOKUP(E2859,#REF!,1,FALSE())),"?TYPE_IDENTIFIABLE","?REFERENTIAL"),"_")))))</f>
        <v> </v>
      </c>
      <c r="H2859" s="24" t="str">
        <f>IF(J2859&lt;&gt;1,"",IF(I2859="SBJ","CB","?"))</f>
        <v> </v>
      </c>
      <c r="I2859" s="25" t="str">
        <f>IF(OR(E2859="",E2859="!!!",F2859="NEW"),"",INDEX(B2858:B$2,-1+SUMPRODUCT(MAX(ROW(E2858:E$2)*(E2859=E2858:E$2)))))</f>
        <v> </v>
      </c>
      <c r="J2859" s="25" t="str">
        <f>IF(OR(E2859="",E2859="!!!",F2859="NEW"),"",COUNTBLANK(OFFSET(A$1,,,SUMPRODUCT(MAX(ROW(E$2:E2859)*(E2859=E$2:E2859)))))-COUNTBLANK(OFFSET(A$1,,,SUMPRODUCT(MAX(ROW(E$1:E2858)*(E2=E$1:E2858))))))</f>
        <v> </v>
      </c>
      <c r="K2859" s="25" t="str">
        <f>IF(OR(E2859="",E2859="!!!",F2859="NEW"),"",INDEX(J$1:J2858,SUMPRODUCT(MAX(ROW(E$1:E2858)*(E2859=E$1:E2858)))))</f>
        <v> </v>
      </c>
      <c r="L2859" s="26"/>
    </row>
    <row r="2860" spans="1:12">
      <c r="A2860" s="20" t="s">
        <v>2443</v>
      </c>
      <c r="E2860" s="21">
        <f>IF(D2860="?OLD","!!!","")</f>
        <v/>
      </c>
      <c r="F2860" s="22" t="str">
        <f>IF(OR(E2860="",E2860="!!!"),"",IF(NOT(ISNA(VLOOKUP(E2860,E$1:E2859,1,FALSE()))),"OLD",IF(AND(E2860&lt;&gt;"",E2860&lt;&gt;"!!!"),"NEW","")))</f>
        <v> </v>
      </c>
      <c r="G2860" s="23" t="str">
        <f>IF(OR(E2860="",E2860="!!!"),"",IF(OR(J2860=0,AND(J2860=1,K2860=1),AND(J2860=1,I2860="SBJ"),AND(J2860=1,I2860=0)),"?IN_FOCUS",IF(J2860&lt;=2,"?ACTIVATED",IF(J2860&lt;&gt;"","?FAMILIAR",IF(F2860="NEW",IF(ISNA(VLOOKUP(E2860,#REF!,1,FALSE())),"?TYPE_IDENTIFIABLE","?REFERENTIAL"),"_")))))</f>
        <v> </v>
      </c>
      <c r="H2860" s="24" t="str">
        <f>IF(J2860&lt;&gt;1,"",IF(I2860="SBJ","CB","?"))</f>
        <v> </v>
      </c>
      <c r="I2860" s="25" t="str">
        <f>IF(OR(E2860="",E2860="!!!",F2860="NEW"),"",INDEX(B2859:B$2,-1+SUMPRODUCT(MAX(ROW(E2859:E$2)*(E2860=E2859:E$2)))))</f>
        <v> </v>
      </c>
      <c r="J2860" s="25" t="str">
        <f>IF(OR(E2860="",E2860="!!!",F2860="NEW"),"",COUNTBLANK(OFFSET(A$1,,,SUMPRODUCT(MAX(ROW(E$2:E2860)*(E2860=E$2:E2860)))))-COUNTBLANK(OFFSET(A$1,,,SUMPRODUCT(MAX(ROW(E$1:E2859)*(E2=E$1:E2859))))))</f>
        <v> </v>
      </c>
      <c r="K2860" s="25" t="str">
        <f>IF(OR(E2860="",E2860="!!!",F2860="NEW"),"",INDEX(J$1:J2859,SUMPRODUCT(MAX(ROW(E$1:E2859)*(E2860=E$1:E2859)))))</f>
        <v> </v>
      </c>
      <c r="L2860" s="26"/>
    </row>
    <row r="2861" spans="1:12">
      <c r="A2861" s="20" t="s">
        <v>1145</v>
      </c>
      <c r="E2861" s="21">
        <f>IF(D2861="?OLD","!!!","")</f>
        <v/>
      </c>
      <c r="F2861" s="22" t="str">
        <f>IF(OR(E2861="",E2861="!!!"),"",IF(NOT(ISNA(VLOOKUP(E2861,E$1:E2860,1,FALSE()))),"OLD",IF(AND(E2861&lt;&gt;"",E2861&lt;&gt;"!!!"),"NEW","")))</f>
        <v> </v>
      </c>
      <c r="G2861" s="23" t="str">
        <f>IF(OR(E2861="",E2861="!!!"),"",IF(OR(J2861=0,AND(J2861=1,K2861=1),AND(J2861=1,I2861="SBJ"),AND(J2861=1,I2861=0)),"?IN_FOCUS",IF(J2861&lt;=2,"?ACTIVATED",IF(J2861&lt;&gt;"","?FAMILIAR",IF(F2861="NEW",IF(ISNA(VLOOKUP(E2861,#REF!,1,FALSE())),"?TYPE_IDENTIFIABLE","?REFERENTIAL"),"_")))))</f>
        <v> </v>
      </c>
      <c r="H2861" s="24" t="str">
        <f>IF(J2861&lt;&gt;1,"",IF(I2861="SBJ","CB","?"))</f>
        <v> </v>
      </c>
      <c r="I2861" s="25" t="str">
        <f>IF(OR(E2861="",E2861="!!!",F2861="NEW"),"",INDEX(B2860:B$2,-1+SUMPRODUCT(MAX(ROW(E2860:E$2)*(E2861=E2860:E$2)))))</f>
        <v> </v>
      </c>
      <c r="J2861" s="25" t="str">
        <f>IF(OR(E2861="",E2861="!!!",F2861="NEW"),"",COUNTBLANK(OFFSET(A$1,,,SUMPRODUCT(MAX(ROW(E$2:E2861)*(E2861=E$2:E2861)))))-COUNTBLANK(OFFSET(A$1,,,SUMPRODUCT(MAX(ROW(E$1:E2860)*(E2=E$1:E2860))))))</f>
        <v> </v>
      </c>
      <c r="K2861" s="25" t="str">
        <f>IF(OR(E2861="",E2861="!!!",F2861="NEW"),"",INDEX(J$1:J2860,SUMPRODUCT(MAX(ROW(E$1:E2860)*(E2861=E$1:E2860)))))</f>
        <v> </v>
      </c>
      <c r="L2861" s="26"/>
    </row>
    <row r="2862" spans="1:12">
      <c r="A2862" s="20"/>
    </row>
    <row r="2863" spans="1:12">
      <c r="A2863" s="20" t="s">
        <v>2444</v>
      </c>
    </row>
    <row r="2864" spans="1:12">
      <c r="A2864" s="20" t="s">
        <v>2445</v>
      </c>
      <c r="E2864" s="21">
        <f>IF(D2864="?OLD","!!!","")</f>
        <v/>
      </c>
      <c r="F2864" s="22" t="str">
        <f>IF(OR(E2864="",E2864="!!!"),"",IF(NOT(ISNA(VLOOKUP(E2864,E$1:E2863,1,FALSE()))),"OLD",IF(AND(E2864&lt;&gt;"",E2864&lt;&gt;"!!!"),"NEW","")))</f>
        <v> </v>
      </c>
      <c r="G2864" s="23" t="str">
        <f>IF(OR(E2864="",E2864="!!!"),"",IF(OR(J2864=0,AND(J2864=1,K2864=1),AND(J2864=1,I2864="SBJ"),AND(J2864=1,I2864=0)),"?IN_FOCUS",IF(J2864&lt;=2,"?ACTIVATED",IF(J2864&lt;&gt;"","?FAMILIAR",IF(F2864="NEW",IF(ISNA(VLOOKUP(E2864,#REF!,1,FALSE())),"?TYPE_IDENTIFIABLE","?REFERENTIAL"),"_")))))</f>
        <v> </v>
      </c>
      <c r="H2864" s="24" t="str">
        <f>IF(J2864&lt;&gt;1,"",IF(I2864="SBJ","CB","?"))</f>
        <v> </v>
      </c>
      <c r="I2864" s="25" t="str">
        <f>IF(OR(E2864="",E2864="!!!",F2864="NEW"),"",INDEX(B2863:B$2,-1+SUMPRODUCT(MAX(ROW(E2863:E$2)*(E2864=E2863:E$2)))))</f>
        <v> </v>
      </c>
      <c r="J2864" s="25" t="str">
        <f>IF(OR(E2864="",E2864="!!!",F2864="NEW"),"",COUNTBLANK(OFFSET(A$1,,,SUMPRODUCT(MAX(ROW(E$2:E2864)*(E2864=E$2:E2864)))))-COUNTBLANK(OFFSET(A$1,,,SUMPRODUCT(MAX(ROW(E$1:E2863)*(E2=E$1:E2863))))))</f>
        <v> </v>
      </c>
      <c r="K2864" s="25" t="str">
        <f>IF(OR(E2864="",E2864="!!!",F2864="NEW"),"",INDEX(J$1:J2863,SUMPRODUCT(MAX(ROW(E$1:E2863)*(E2864=E$1:E2863)))))</f>
        <v> </v>
      </c>
      <c r="L2864" s="26"/>
    </row>
    <row r="2865" spans="1:12">
      <c r="A2865" s="20" t="s">
        <v>1421</v>
      </c>
      <c r="B2865" s="27" t="s">
        <v>1103</v>
      </c>
      <c r="C2865" s="27" t="s">
        <v>1126</v>
      </c>
      <c r="D2865" s="27" t="s">
        <v>1105</v>
      </c>
      <c r="E2865" s="21">
        <f>IF(D2865="?OLD","!!!","")</f>
        <v/>
      </c>
      <c r="F2865" s="22" t="str">
        <f>IF(OR(E2865="",E2865="!!!"),"",IF(NOT(ISNA(VLOOKUP(E2865,E$1:E2864,1,FALSE()))),"OLD",IF(AND(E2865&lt;&gt;"",E2865&lt;&gt;"!!!"),"NEW","")))</f>
        <v> </v>
      </c>
      <c r="G2865" s="23" t="str">
        <f>IF(OR(E2865="",E2865="!!!"),"",IF(OR(J2865=0,AND(J2865=1,K2865=1),AND(J2865=1,I2865="SBJ"),AND(J2865=1,I2865=0)),"?IN_FOCUS",IF(J2865&lt;=2,"?ACTIVATED",IF(J2865&lt;&gt;"","?FAMILIAR",IF(F2865="NEW",IF(ISNA(VLOOKUP(E2865,#REF!,1,FALSE())),"?TYPE_IDENTIFIABLE","?REFERENTIAL"),"_")))))</f>
        <v> </v>
      </c>
      <c r="H2865" s="24" t="str">
        <f>IF(J2865&lt;&gt;1,"",IF(I2865="SBJ","CB","?"))</f>
        <v> </v>
      </c>
      <c r="I2865" s="25" t="str">
        <f>IF(OR(E2865="",E2865="!!!",F2865="NEW"),"",INDEX(B2864:B$2,-1+SUMPRODUCT(MAX(ROW(E2864:E$2)*(E2865=E2864:E$2)))))</f>
        <v> </v>
      </c>
      <c r="J2865" s="25" t="str">
        <f>IF(OR(E2865="",E2865="!!!",F2865="NEW"),"",COUNTBLANK(OFFSET(A$1,,,SUMPRODUCT(MAX(ROW(E$2:E2865)*(E2865=E$2:E2865)))))-COUNTBLANK(OFFSET(A$1,,,SUMPRODUCT(MAX(ROW(E$1:E2864)*(E2=E$1:E2864))))))</f>
        <v> </v>
      </c>
      <c r="K2865" s="25" t="str">
        <f>IF(OR(E2865="",E2865="!!!",F2865="NEW"),"",INDEX(J$1:J2864,SUMPRODUCT(MAX(ROW(E$1:E2864)*(E2865=E$1:E2864)))))</f>
        <v> </v>
      </c>
      <c r="L2865" s="26"/>
    </row>
    <row r="2866" spans="1:12">
      <c r="A2866" s="20" t="s">
        <v>1996</v>
      </c>
      <c r="B2866" s="27" t="s">
        <v>1213</v>
      </c>
      <c r="E2866" s="21">
        <f>IF(D2866="?OLD","!!!","")</f>
        <v/>
      </c>
      <c r="F2866" s="22" t="str">
        <f>IF(OR(E2866="",E2866="!!!"),"",IF(NOT(ISNA(VLOOKUP(E2866,E$1:E2865,1,FALSE()))),"OLD",IF(AND(E2866&lt;&gt;"",E2866&lt;&gt;"!!!"),"NEW","")))</f>
        <v> </v>
      </c>
      <c r="G2866" s="23" t="str">
        <f>IF(OR(E2866="",E2866="!!!"),"",IF(OR(J2866=0,AND(J2866=1,K2866=1),AND(J2866=1,I2866="SBJ"),AND(J2866=1,I2866=0)),"?IN_FOCUS",IF(J2866&lt;=2,"?ACTIVATED",IF(J2866&lt;&gt;"","?FAMILIAR",IF(F2866="NEW",IF(ISNA(VLOOKUP(E2866,#REF!,1,FALSE())),"?TYPE_IDENTIFIABLE","?REFERENTIAL"),"_")))))</f>
        <v> </v>
      </c>
      <c r="H2866" s="24" t="str">
        <f>IF(J2866&lt;&gt;1,"",IF(I2866="SBJ","CB","?"))</f>
        <v> </v>
      </c>
      <c r="I2866" s="25" t="str">
        <f>IF(OR(E2866="",E2866="!!!",F2866="NEW"),"",INDEX(B2865:B$2,-1+SUMPRODUCT(MAX(ROW(E2865:E$2)*(E2866=E2865:E$2)))))</f>
        <v> </v>
      </c>
      <c r="J2866" s="25" t="str">
        <f>IF(OR(E2866="",E2866="!!!",F2866="NEW"),"",COUNTBLANK(OFFSET(A$1,,,SUMPRODUCT(MAX(ROW(E$2:E2866)*(E2866=E$2:E2866)))))-COUNTBLANK(OFFSET(A$1,,,SUMPRODUCT(MAX(ROW(E$1:E2865)*(E2=E$1:E2865))))))</f>
        <v> </v>
      </c>
      <c r="K2866" s="25" t="str">
        <f>IF(OR(E2866="",E2866="!!!",F2866="NEW"),"",INDEX(J$1:J2865,SUMPRODUCT(MAX(ROW(E$1:E2865)*(E2866=E$1:E2865)))))</f>
        <v> </v>
      </c>
      <c r="L2866" s="26"/>
    </row>
    <row r="2867" spans="1:12">
      <c r="A2867" s="20" t="s">
        <v>2446</v>
      </c>
      <c r="B2867" s="27" t="s">
        <v>1107</v>
      </c>
      <c r="C2867" s="27" t="s">
        <v>1142</v>
      </c>
      <c r="D2867" s="27" t="s">
        <v>1105</v>
      </c>
      <c r="E2867" s="21">
        <f>IF(D2867="?OLD","!!!","")</f>
        <v/>
      </c>
      <c r="F2867" s="22" t="str">
        <f>IF(OR(E2867="",E2867="!!!"),"",IF(NOT(ISNA(VLOOKUP(E2867,E$1:E2866,1,FALSE()))),"OLD",IF(AND(E2867&lt;&gt;"",E2867&lt;&gt;"!!!"),"NEW","")))</f>
        <v> </v>
      </c>
      <c r="G2867" s="23" t="str">
        <f>IF(OR(E2867="",E2867="!!!"),"",IF(OR(J2867=0,AND(J2867=1,K2867=1),AND(J2867=1,I2867="SBJ"),AND(J2867=1,I2867=0)),"?IN_FOCUS",IF(J2867&lt;=2,"?ACTIVATED",IF(J2867&lt;&gt;"","?FAMILIAR",IF(F2867="NEW",IF(ISNA(VLOOKUP(E2867,#REF!,1,FALSE())),"?TYPE_IDENTIFIABLE","?REFERENTIAL"),"_")))))</f>
        <v> </v>
      </c>
      <c r="H2867" s="24" t="str">
        <f>IF(J2867&lt;&gt;1,"",IF(I2867="SBJ","CB","?"))</f>
        <v> </v>
      </c>
      <c r="I2867" s="25" t="str">
        <f>IF(OR(E2867="",E2867="!!!",F2867="NEW"),"",INDEX(B2866:B$2,-1+SUMPRODUCT(MAX(ROW(E2866:E$2)*(E2867=E2866:E$2)))))</f>
        <v> </v>
      </c>
      <c r="J2867" s="25" t="str">
        <f>IF(OR(E2867="",E2867="!!!",F2867="NEW"),"",COUNTBLANK(OFFSET(A$1,,,SUMPRODUCT(MAX(ROW(E$2:E2867)*(E2867=E$2:E2867)))))-COUNTBLANK(OFFSET(A$1,,,SUMPRODUCT(MAX(ROW(E$1:E2866)*(E2=E$1:E2866))))))</f>
        <v> </v>
      </c>
      <c r="K2867" s="25" t="str">
        <f>IF(OR(E2867="",E2867="!!!",F2867="NEW"),"",INDEX(J$1:J2866,SUMPRODUCT(MAX(ROW(E$1:E2866)*(E2867=E$1:E2866)))))</f>
        <v> </v>
      </c>
      <c r="L2867" s="26"/>
    </row>
    <row r="2868" spans="1:12">
      <c r="A2868" s="20" t="s">
        <v>2447</v>
      </c>
      <c r="E2868" s="21">
        <f>IF(D2868="?OLD","!!!","")</f>
        <v/>
      </c>
      <c r="F2868" s="22" t="str">
        <f>IF(OR(E2868="",E2868="!!!"),"",IF(NOT(ISNA(VLOOKUP(E2868,E$1:E2867,1,FALSE()))),"OLD",IF(AND(E2868&lt;&gt;"",E2868&lt;&gt;"!!!"),"NEW","")))</f>
        <v> </v>
      </c>
      <c r="G2868" s="23" t="str">
        <f>IF(OR(E2868="",E2868="!!!"),"",IF(OR(J2868=0,AND(J2868=1,K2868=1),AND(J2868=1,I2868="SBJ"),AND(J2868=1,I2868=0)),"?IN_FOCUS",IF(J2868&lt;=2,"?ACTIVATED",IF(J2868&lt;&gt;"","?FAMILIAR",IF(F2868="NEW",IF(ISNA(VLOOKUP(E2868,#REF!,1,FALSE())),"?TYPE_IDENTIFIABLE","?REFERENTIAL"),"_")))))</f>
        <v> </v>
      </c>
      <c r="H2868" s="24" t="str">
        <f>IF(J2868&lt;&gt;1,"",IF(I2868="SBJ","CB","?"))</f>
        <v> </v>
      </c>
      <c r="I2868" s="25" t="str">
        <f>IF(OR(E2868="",E2868="!!!",F2868="NEW"),"",INDEX(B2867:B$2,-1+SUMPRODUCT(MAX(ROW(E2867:E$2)*(E2868=E2867:E$2)))))</f>
        <v> </v>
      </c>
      <c r="J2868" s="25" t="str">
        <f>IF(OR(E2868="",E2868="!!!",F2868="NEW"),"",COUNTBLANK(OFFSET(A$1,,,SUMPRODUCT(MAX(ROW(E$2:E2868)*(E2868=E$2:E2868)))))-COUNTBLANK(OFFSET(A$1,,,SUMPRODUCT(MAX(ROW(E$1:E2867)*(E2=E$1:E2867))))))</f>
        <v> </v>
      </c>
      <c r="K2868" s="25" t="str">
        <f>IF(OR(E2868="",E2868="!!!",F2868="NEW"),"",INDEX(J$1:J2867,SUMPRODUCT(MAX(ROW(E$1:E2867)*(E2868=E$1:E2867)))))</f>
        <v> </v>
      </c>
      <c r="L2868" s="26"/>
    </row>
    <row r="2869" spans="1:12">
      <c r="A2869" s="20" t="s">
        <v>2448</v>
      </c>
      <c r="B2869" s="27" t="s">
        <v>1149</v>
      </c>
      <c r="C2869" s="27" t="s">
        <v>1116</v>
      </c>
      <c r="D2869" s="27" t="s">
        <v>1105</v>
      </c>
      <c r="E2869" s="21">
        <f>IF(D2869="?OLD","!!!","")</f>
        <v/>
      </c>
      <c r="F2869" s="22" t="str">
        <f>IF(OR(E2869="",E2869="!!!"),"",IF(NOT(ISNA(VLOOKUP(E2869,E$1:E2868,1,FALSE()))),"OLD",IF(AND(E2869&lt;&gt;"",E2869&lt;&gt;"!!!"),"NEW","")))</f>
        <v> </v>
      </c>
      <c r="G2869" s="23" t="str">
        <f>IF(OR(E2869="",E2869="!!!"),"",IF(OR(J2869=0,AND(J2869=1,K2869=1),AND(J2869=1,I2869="SBJ"),AND(J2869=1,I2869=0)),"?IN_FOCUS",IF(J2869&lt;=2,"?ACTIVATED",IF(J2869&lt;&gt;"","?FAMILIAR",IF(F2869="NEW",IF(ISNA(VLOOKUP(E2869,#REF!,1,FALSE())),"?TYPE_IDENTIFIABLE","?REFERENTIAL"),"_")))))</f>
        <v> </v>
      </c>
      <c r="H2869" s="24" t="str">
        <f>IF(J2869&lt;&gt;1,"",IF(I2869="SBJ","CB","?"))</f>
        <v> </v>
      </c>
      <c r="I2869" s="25" t="str">
        <f>IF(OR(E2869="",E2869="!!!",F2869="NEW"),"",INDEX(B2868:B$2,-1+SUMPRODUCT(MAX(ROW(E2868:E$2)*(E2869=E2868:E$2)))))</f>
        <v> </v>
      </c>
      <c r="J2869" s="25" t="str">
        <f>IF(OR(E2869="",E2869="!!!",F2869="NEW"),"",COUNTBLANK(OFFSET(A$1,,,SUMPRODUCT(MAX(ROW(E$2:E2869)*(E2869=E$2:E2869)))))-COUNTBLANK(OFFSET(A$1,,,SUMPRODUCT(MAX(ROW(E$1:E2868)*(E2=E$1:E2868))))))</f>
        <v> </v>
      </c>
      <c r="K2869" s="25" t="str">
        <f>IF(OR(E2869="",E2869="!!!",F2869="NEW"),"",INDEX(J$1:J2868,SUMPRODUCT(MAX(ROW(E$1:E2868)*(E2869=E$1:E2868)))))</f>
        <v> </v>
      </c>
      <c r="L2869" s="26"/>
    </row>
    <row r="2870" spans="1:12">
      <c r="A2870" s="20" t="s">
        <v>1139</v>
      </c>
      <c r="E2870" s="21">
        <f>IF(D2870="?OLD","!!!","")</f>
        <v/>
      </c>
      <c r="F2870" s="22" t="str">
        <f>IF(OR(E2870="",E2870="!!!"),"",IF(NOT(ISNA(VLOOKUP(E2870,E$1:E2869,1,FALSE()))),"OLD",IF(AND(E2870&lt;&gt;"",E2870&lt;&gt;"!!!"),"NEW","")))</f>
        <v> </v>
      </c>
      <c r="G2870" s="23" t="str">
        <f>IF(OR(E2870="",E2870="!!!"),"",IF(OR(J2870=0,AND(J2870=1,K2870=1),AND(J2870=1,I2870="SBJ"),AND(J2870=1,I2870=0)),"?IN_FOCUS",IF(J2870&lt;=2,"?ACTIVATED",IF(J2870&lt;&gt;"","?FAMILIAR",IF(F2870="NEW",IF(ISNA(VLOOKUP(E2870,#REF!,1,FALSE())),"?TYPE_IDENTIFIABLE","?REFERENTIAL"),"_")))))</f>
        <v> </v>
      </c>
      <c r="H2870" s="24" t="str">
        <f>IF(J2870&lt;&gt;1,"",IF(I2870="SBJ","CB","?"))</f>
        <v> </v>
      </c>
      <c r="I2870" s="25" t="str">
        <f>IF(OR(E2870="",E2870="!!!",F2870="NEW"),"",INDEX(B2869:B$2,-1+SUMPRODUCT(MAX(ROW(E2869:E$2)*(E2870=E2869:E$2)))))</f>
        <v> </v>
      </c>
      <c r="J2870" s="25" t="str">
        <f>IF(OR(E2870="",E2870="!!!",F2870="NEW"),"",COUNTBLANK(OFFSET(A$1,,,SUMPRODUCT(MAX(ROW(E$2:E2870)*(E2870=E$2:E2870)))))-COUNTBLANK(OFFSET(A$1,,,SUMPRODUCT(MAX(ROW(E$1:E2869)*(E2=E$1:E2869))))))</f>
        <v> </v>
      </c>
      <c r="K2870" s="25" t="str">
        <f>IF(OR(E2870="",E2870="!!!",F2870="NEW"),"",INDEX(J$1:J2869,SUMPRODUCT(MAX(ROW(E$1:E2869)*(E2870=E$1:E2869)))))</f>
        <v> </v>
      </c>
      <c r="L2870" s="26"/>
    </row>
    <row r="2871" spans="1:12">
      <c r="A2871" s="20" t="s">
        <v>2007</v>
      </c>
      <c r="E2871" s="21">
        <f>IF(D2871="?OLD","!!!","")</f>
        <v/>
      </c>
      <c r="F2871" s="22" t="str">
        <f>IF(OR(E2871="",E2871="!!!"),"",IF(NOT(ISNA(VLOOKUP(E2871,E$1:E2870,1,FALSE()))),"OLD",IF(AND(E2871&lt;&gt;"",E2871&lt;&gt;"!!!"),"NEW","")))</f>
        <v> </v>
      </c>
      <c r="G2871" s="23" t="str">
        <f>IF(OR(E2871="",E2871="!!!"),"",IF(OR(J2871=0,AND(J2871=1,K2871=1),AND(J2871=1,I2871="SBJ"),AND(J2871=1,I2871=0)),"?IN_FOCUS",IF(J2871&lt;=2,"?ACTIVATED",IF(J2871&lt;&gt;"","?FAMILIAR",IF(F2871="NEW",IF(ISNA(VLOOKUP(E2871,#REF!,1,FALSE())),"?TYPE_IDENTIFIABLE","?REFERENTIAL"),"_")))))</f>
        <v> </v>
      </c>
      <c r="H2871" s="24" t="str">
        <f>IF(J2871&lt;&gt;1,"",IF(I2871="SBJ","CB","?"))</f>
        <v> </v>
      </c>
      <c r="I2871" s="25" t="str">
        <f>IF(OR(E2871="",E2871="!!!",F2871="NEW"),"",INDEX(B2870:B$2,-1+SUMPRODUCT(MAX(ROW(E2870:E$2)*(E2871=E2870:E$2)))))</f>
        <v> </v>
      </c>
      <c r="J2871" s="25" t="str">
        <f>IF(OR(E2871="",E2871="!!!",F2871="NEW"),"",COUNTBLANK(OFFSET(A$1,,,SUMPRODUCT(MAX(ROW(E$2:E2871)*(E2871=E$2:E2871)))))-COUNTBLANK(OFFSET(A$1,,,SUMPRODUCT(MAX(ROW(E$1:E2870)*(E2=E$1:E2870))))))</f>
        <v> </v>
      </c>
      <c r="K2871" s="25" t="str">
        <f>IF(OR(E2871="",E2871="!!!",F2871="NEW"),"",INDEX(J$1:J2870,SUMPRODUCT(MAX(ROW(E$1:E2870)*(E2871=E$1:E2870)))))</f>
        <v> </v>
      </c>
      <c r="L2871" s="26"/>
    </row>
    <row r="2872" spans="1:12">
      <c r="A2872" s="20" t="s">
        <v>2449</v>
      </c>
      <c r="B2872" s="27" t="s">
        <v>1103</v>
      </c>
      <c r="C2872" s="27" t="s">
        <v>1116</v>
      </c>
      <c r="E2872" s="21">
        <f>IF(D2872="?OLD","!!!","")</f>
        <v/>
      </c>
      <c r="F2872" s="22" t="str">
        <f>IF(OR(E2872="",E2872="!!!"),"",IF(NOT(ISNA(VLOOKUP(E2872,E$1:E2871,1,FALSE()))),"OLD",IF(AND(E2872&lt;&gt;"",E2872&lt;&gt;"!!!"),"NEW","")))</f>
        <v> </v>
      </c>
      <c r="G2872" s="23" t="str">
        <f>IF(OR(E2872="",E2872="!!!"),"",IF(OR(J2872=0,AND(J2872=1,K2872=1),AND(J2872=1,I2872="SBJ"),AND(J2872=1,I2872=0)),"?IN_FOCUS",IF(J2872&lt;=2,"?ACTIVATED",IF(J2872&lt;&gt;"","?FAMILIAR",IF(F2872="NEW",IF(ISNA(VLOOKUP(E2872,#REF!,1,FALSE())),"?TYPE_IDENTIFIABLE","?REFERENTIAL"),"_")))))</f>
        <v> </v>
      </c>
      <c r="H2872" s="24" t="str">
        <f>IF(J2872&lt;&gt;1,"",IF(I2872="SBJ","CB","?"))</f>
        <v> </v>
      </c>
      <c r="I2872" s="25" t="str">
        <f>IF(OR(E2872="",E2872="!!!",F2872="NEW"),"",INDEX(B2871:B$2,-1+SUMPRODUCT(MAX(ROW(E2871:E$2)*(E2872=E2871:E$2)))))</f>
        <v> </v>
      </c>
      <c r="J2872" s="25" t="str">
        <f>IF(OR(E2872="",E2872="!!!",F2872="NEW"),"",COUNTBLANK(OFFSET(A$1,,,SUMPRODUCT(MAX(ROW(E$2:E2872)*(E2872=E$2:E2872)))))-COUNTBLANK(OFFSET(A$1,,,SUMPRODUCT(MAX(ROW(E$1:E2871)*(E2=E$1:E2871))))))</f>
        <v> </v>
      </c>
      <c r="K2872" s="25" t="str">
        <f>IF(OR(E2872="",E2872="!!!",F2872="NEW"),"",INDEX(J$1:J2871,SUMPRODUCT(MAX(ROW(E$1:E2871)*(E2872=E$1:E2871)))))</f>
        <v> </v>
      </c>
      <c r="L2872" s="26"/>
    </row>
    <row r="2873" spans="1:12">
      <c r="A2873" s="20" t="s">
        <v>2450</v>
      </c>
      <c r="E2873" s="21">
        <f>IF(D2873="?OLD","!!!","")</f>
        <v/>
      </c>
      <c r="F2873" s="22" t="str">
        <f>IF(OR(E2873="",E2873="!!!"),"",IF(NOT(ISNA(VLOOKUP(E2873,E$1:E2872,1,FALSE()))),"OLD",IF(AND(E2873&lt;&gt;"",E2873&lt;&gt;"!!!"),"NEW","")))</f>
        <v> </v>
      </c>
      <c r="G2873" s="23" t="str">
        <f>IF(OR(E2873="",E2873="!!!"),"",IF(OR(J2873=0,AND(J2873=1,K2873=1),AND(J2873=1,I2873="SBJ"),AND(J2873=1,I2873=0)),"?IN_FOCUS",IF(J2873&lt;=2,"?ACTIVATED",IF(J2873&lt;&gt;"","?FAMILIAR",IF(F2873="NEW",IF(ISNA(VLOOKUP(E2873,#REF!,1,FALSE())),"?TYPE_IDENTIFIABLE","?REFERENTIAL"),"_")))))</f>
        <v> </v>
      </c>
      <c r="H2873" s="24" t="str">
        <f>IF(J2873&lt;&gt;1,"",IF(I2873="SBJ","CB","?"))</f>
        <v> </v>
      </c>
      <c r="I2873" s="25" t="str">
        <f>IF(OR(E2873="",E2873="!!!",F2873="NEW"),"",INDEX(B2872:B$2,-1+SUMPRODUCT(MAX(ROW(E2872:E$2)*(E2873=E2872:E$2)))))</f>
        <v> </v>
      </c>
      <c r="J2873" s="25" t="str">
        <f>IF(OR(E2873="",E2873="!!!",F2873="NEW"),"",COUNTBLANK(OFFSET(A$1,,,SUMPRODUCT(MAX(ROW(E$2:E2873)*(E2873=E$2:E2873)))))-COUNTBLANK(OFFSET(A$1,,,SUMPRODUCT(MAX(ROW(E$1:E2872)*(E2=E$1:E2872))))))</f>
        <v> </v>
      </c>
      <c r="K2873" s="25" t="str">
        <f>IF(OR(E2873="",E2873="!!!",F2873="NEW"),"",INDEX(J$1:J2872,SUMPRODUCT(MAX(ROW(E$1:E2872)*(E2873=E$1:E2872)))))</f>
        <v> </v>
      </c>
      <c r="L2873" s="26"/>
    </row>
    <row r="2874" spans="1:12">
      <c r="A2874" s="20" t="s">
        <v>1128</v>
      </c>
      <c r="E2874" s="21">
        <f>IF(D2874="?OLD","!!!","")</f>
        <v/>
      </c>
      <c r="F2874" s="22" t="str">
        <f>IF(OR(E2874="",E2874="!!!"),"",IF(NOT(ISNA(VLOOKUP(E2874,E$1:E2873,1,FALSE()))),"OLD",IF(AND(E2874&lt;&gt;"",E2874&lt;&gt;"!!!"),"NEW","")))</f>
        <v> </v>
      </c>
      <c r="G2874" s="23" t="str">
        <f>IF(OR(E2874="",E2874="!!!"),"",IF(OR(J2874=0,AND(J2874=1,K2874=1),AND(J2874=1,I2874="SBJ"),AND(J2874=1,I2874=0)),"?IN_FOCUS",IF(J2874&lt;=2,"?ACTIVATED",IF(J2874&lt;&gt;"","?FAMILIAR",IF(F2874="NEW",IF(ISNA(VLOOKUP(E2874,#REF!,1,FALSE())),"?TYPE_IDENTIFIABLE","?REFERENTIAL"),"_")))))</f>
        <v> </v>
      </c>
      <c r="H2874" s="24" t="str">
        <f>IF(J2874&lt;&gt;1,"",IF(I2874="SBJ","CB","?"))</f>
        <v> </v>
      </c>
      <c r="I2874" s="25" t="str">
        <f>IF(OR(E2874="",E2874="!!!",F2874="NEW"),"",INDEX(B2873:B$2,-1+SUMPRODUCT(MAX(ROW(E2873:E$2)*(E2874=E2873:E$2)))))</f>
        <v> </v>
      </c>
      <c r="J2874" s="25" t="str">
        <f>IF(OR(E2874="",E2874="!!!",F2874="NEW"),"",COUNTBLANK(OFFSET(A$1,,,SUMPRODUCT(MAX(ROW(E$2:E2874)*(E2874=E$2:E2874)))))-COUNTBLANK(OFFSET(A$1,,,SUMPRODUCT(MAX(ROW(E$1:E2873)*(E2=E$1:E2873))))))</f>
        <v> </v>
      </c>
      <c r="K2874" s="25" t="str">
        <f>IF(OR(E2874="",E2874="!!!",F2874="NEW"),"",INDEX(J$1:J2873,SUMPRODUCT(MAX(ROW(E$1:E2873)*(E2874=E$1:E2873)))))</f>
        <v> </v>
      </c>
      <c r="L2874" s="26"/>
    </row>
    <row r="2875" spans="1:12">
      <c r="A2875" s="20" t="s">
        <v>2451</v>
      </c>
      <c r="E2875" s="21">
        <f>IF(D2875="?OLD","!!!","")</f>
        <v/>
      </c>
      <c r="F2875" s="22" t="str">
        <f>IF(OR(E2875="",E2875="!!!"),"",IF(NOT(ISNA(VLOOKUP(E2875,E$1:E2874,1,FALSE()))),"OLD",IF(AND(E2875&lt;&gt;"",E2875&lt;&gt;"!!!"),"NEW","")))</f>
        <v> </v>
      </c>
      <c r="G2875" s="23" t="str">
        <f>IF(OR(E2875="",E2875="!!!"),"",IF(OR(J2875=0,AND(J2875=1,K2875=1),AND(J2875=1,I2875="SBJ"),AND(J2875=1,I2875=0)),"?IN_FOCUS",IF(J2875&lt;=2,"?ACTIVATED",IF(J2875&lt;&gt;"","?FAMILIAR",IF(F2875="NEW",IF(ISNA(VLOOKUP(E2875,#REF!,1,FALSE())),"?TYPE_IDENTIFIABLE","?REFERENTIAL"),"_")))))</f>
        <v> </v>
      </c>
      <c r="H2875" s="24" t="str">
        <f>IF(J2875&lt;&gt;1,"",IF(I2875="SBJ","CB","?"))</f>
        <v> </v>
      </c>
      <c r="I2875" s="25" t="str">
        <f>IF(OR(E2875="",E2875="!!!",F2875="NEW"),"",INDEX(B2874:B$2,-1+SUMPRODUCT(MAX(ROW(E2874:E$2)*(E2875=E2874:E$2)))))</f>
        <v> </v>
      </c>
      <c r="J2875" s="25" t="str">
        <f>IF(OR(E2875="",E2875="!!!",F2875="NEW"),"",COUNTBLANK(OFFSET(A$1,,,SUMPRODUCT(MAX(ROW(E$2:E2875)*(E2875=E$2:E2875)))))-COUNTBLANK(OFFSET(A$1,,,SUMPRODUCT(MAX(ROW(E$1:E2874)*(E2=E$1:E2874))))))</f>
        <v> </v>
      </c>
      <c r="K2875" s="25" t="str">
        <f>IF(OR(E2875="",E2875="!!!",F2875="NEW"),"",INDEX(J$1:J2874,SUMPRODUCT(MAX(ROW(E$1:E2874)*(E2875=E$1:E2874)))))</f>
        <v> </v>
      </c>
      <c r="L2875" s="26"/>
    </row>
    <row r="2876" spans="1:12">
      <c r="A2876" s="20" t="s">
        <v>1123</v>
      </c>
      <c r="E2876" s="21">
        <f>IF(D2876="?OLD","!!!","")</f>
        <v/>
      </c>
      <c r="F2876" s="22" t="str">
        <f>IF(OR(E2876="",E2876="!!!"),"",IF(NOT(ISNA(VLOOKUP(E2876,E$1:E2875,1,FALSE()))),"OLD",IF(AND(E2876&lt;&gt;"",E2876&lt;&gt;"!!!"),"NEW","")))</f>
        <v> </v>
      </c>
      <c r="G2876" s="23" t="str">
        <f>IF(OR(E2876="",E2876="!!!"),"",IF(OR(J2876=0,AND(J2876=1,K2876=1),AND(J2876=1,I2876="SBJ"),AND(J2876=1,I2876=0)),"?IN_FOCUS",IF(J2876&lt;=2,"?ACTIVATED",IF(J2876&lt;&gt;"","?FAMILIAR",IF(F2876="NEW",IF(ISNA(VLOOKUP(E2876,#REF!,1,FALSE())),"?TYPE_IDENTIFIABLE","?REFERENTIAL"),"_")))))</f>
        <v> </v>
      </c>
      <c r="H2876" s="24" t="str">
        <f>IF(J2876&lt;&gt;1,"",IF(I2876="SBJ","CB","?"))</f>
        <v> </v>
      </c>
      <c r="I2876" s="25" t="str">
        <f>IF(OR(E2876="",E2876="!!!",F2876="NEW"),"",INDEX(B2875:B$2,-1+SUMPRODUCT(MAX(ROW(E2875:E$2)*(E2876=E2875:E$2)))))</f>
        <v> </v>
      </c>
      <c r="J2876" s="25" t="str">
        <f>IF(OR(E2876="",E2876="!!!",F2876="NEW"),"",COUNTBLANK(OFFSET(A$1,,,SUMPRODUCT(MAX(ROW(E$2:E2876)*(E2876=E$2:E2876)))))-COUNTBLANK(OFFSET(A$1,,,SUMPRODUCT(MAX(ROW(E$1:E2875)*(E2=E$1:E2875))))))</f>
        <v> </v>
      </c>
      <c r="K2876" s="25" t="str">
        <f>IF(OR(E2876="",E2876="!!!",F2876="NEW"),"",INDEX(J$1:J2875,SUMPRODUCT(MAX(ROW(E$1:E2875)*(E2876=E$1:E2875)))))</f>
        <v> </v>
      </c>
      <c r="L2876" s="26"/>
    </row>
    <row r="2877" spans="1:12">
      <c r="A2877" s="20" t="s">
        <v>135</v>
      </c>
      <c r="B2877" s="27" t="s">
        <v>1243</v>
      </c>
      <c r="C2877" s="27" t="s">
        <v>1133</v>
      </c>
      <c r="E2877" s="21">
        <f>IF(D2877="?OLD","!!!","")</f>
        <v/>
      </c>
      <c r="F2877" s="22" t="str">
        <f>IF(OR(E2877="",E2877="!!!"),"",IF(NOT(ISNA(VLOOKUP(E2877,E$1:E2876,1,FALSE()))),"OLD",IF(AND(E2877&lt;&gt;"",E2877&lt;&gt;"!!!"),"NEW","")))</f>
        <v> </v>
      </c>
      <c r="G2877" s="23" t="str">
        <f>IF(OR(E2877="",E2877="!!!"),"",IF(OR(J2877=0,AND(J2877=1,K2877=1),AND(J2877=1,I2877="SBJ"),AND(J2877=1,I2877=0)),"?IN_FOCUS",IF(J2877&lt;=2,"?ACTIVATED",IF(J2877&lt;&gt;"","?FAMILIAR",IF(F2877="NEW",IF(ISNA(VLOOKUP(E2877,#REF!,1,FALSE())),"?TYPE_IDENTIFIABLE","?REFERENTIAL"),"_")))))</f>
        <v> </v>
      </c>
      <c r="H2877" s="24" t="str">
        <f>IF(J2877&lt;&gt;1,"",IF(I2877="SBJ","CB","?"))</f>
        <v> </v>
      </c>
      <c r="I2877" s="25" t="str">
        <f>IF(OR(E2877="",E2877="!!!",F2877="NEW"),"",INDEX(B2876:B$2,-1+SUMPRODUCT(MAX(ROW(E2876:E$2)*(E2877=E2876:E$2)))))</f>
        <v> </v>
      </c>
      <c r="J2877" s="25" t="str">
        <f>IF(OR(E2877="",E2877="!!!",F2877="NEW"),"",COUNTBLANK(OFFSET(A$1,,,SUMPRODUCT(MAX(ROW(E$2:E2877)*(E2877=E$2:E2877)))))-COUNTBLANK(OFFSET(A$1,,,SUMPRODUCT(MAX(ROW(E$1:E2876)*(E2=E$1:E2876))))))</f>
        <v> </v>
      </c>
      <c r="K2877" s="25" t="str">
        <f>IF(OR(E2877="",E2877="!!!",F2877="NEW"),"",INDEX(J$1:J2876,SUMPRODUCT(MAX(ROW(E$1:E2876)*(E2877=E$1:E2876)))))</f>
        <v> </v>
      </c>
      <c r="L2877" s="26"/>
    </row>
    <row r="2878" spans="1:12">
      <c r="A2878" s="20" t="s">
        <v>1217</v>
      </c>
      <c r="B2878" s="27" t="s">
        <v>1122</v>
      </c>
      <c r="C2878" s="27" t="s">
        <v>1126</v>
      </c>
      <c r="D2878" s="27" t="s">
        <v>1105</v>
      </c>
      <c r="E2878" s="21">
        <f>IF(D2878="?OLD","!!!","")</f>
        <v/>
      </c>
      <c r="F2878" s="22" t="str">
        <f>IF(OR(E2878="",E2878="!!!"),"",IF(NOT(ISNA(VLOOKUP(E2878,E$1:E2877,1,FALSE()))),"OLD",IF(AND(E2878&lt;&gt;"",E2878&lt;&gt;"!!!"),"NEW","")))</f>
        <v> </v>
      </c>
      <c r="G2878" s="23" t="str">
        <f>IF(OR(E2878="",E2878="!!!"),"",IF(OR(J2878=0,AND(J2878=1,K2878=1),AND(J2878=1,I2878="SBJ"),AND(J2878=1,I2878=0)),"?IN_FOCUS",IF(J2878&lt;=2,"?ACTIVATED",IF(J2878&lt;&gt;"","?FAMILIAR",IF(F2878="NEW",IF(ISNA(VLOOKUP(E2878,#REF!,1,FALSE())),"?TYPE_IDENTIFIABLE","?REFERENTIAL"),"_")))))</f>
        <v> </v>
      </c>
      <c r="H2878" s="24" t="str">
        <f>IF(J2878&lt;&gt;1,"",IF(I2878="SBJ","CB","?"))</f>
        <v> </v>
      </c>
      <c r="I2878" s="25" t="str">
        <f>IF(OR(E2878="",E2878="!!!",F2878="NEW"),"",INDEX(B2877:B$2,-1+SUMPRODUCT(MAX(ROW(E2877:E$2)*(E2878=E2877:E$2)))))</f>
        <v> </v>
      </c>
      <c r="J2878" s="25" t="str">
        <f>IF(OR(E2878="",E2878="!!!",F2878="NEW"),"",COUNTBLANK(OFFSET(A$1,,,SUMPRODUCT(MAX(ROW(E$2:E2878)*(E2878=E$2:E2878)))))-COUNTBLANK(OFFSET(A$1,,,SUMPRODUCT(MAX(ROW(E$1:E2877)*(E2=E$1:E2877))))))</f>
        <v> </v>
      </c>
      <c r="K2878" s="25" t="str">
        <f>IF(OR(E2878="",E2878="!!!",F2878="NEW"),"",INDEX(J$1:J2877,SUMPRODUCT(MAX(ROW(E$1:E2877)*(E2878=E$1:E2877)))))</f>
        <v> </v>
      </c>
      <c r="L2878" s="26"/>
    </row>
    <row r="2879" spans="1:12">
      <c r="A2879" s="20" t="s">
        <v>2452</v>
      </c>
      <c r="E2879" s="21">
        <f>IF(D2879="?OLD","!!!","")</f>
        <v/>
      </c>
      <c r="F2879" s="22" t="str">
        <f>IF(OR(E2879="",E2879="!!!"),"",IF(NOT(ISNA(VLOOKUP(E2879,E$1:E2878,1,FALSE()))),"OLD",IF(AND(E2879&lt;&gt;"",E2879&lt;&gt;"!!!"),"NEW","")))</f>
        <v> </v>
      </c>
      <c r="G2879" s="23" t="str">
        <f>IF(OR(E2879="",E2879="!!!"),"",IF(OR(J2879=0,AND(J2879=1,K2879=1),AND(J2879=1,I2879="SBJ"),AND(J2879=1,I2879=0)),"?IN_FOCUS",IF(J2879&lt;=2,"?ACTIVATED",IF(J2879&lt;&gt;"","?FAMILIAR",IF(F2879="NEW",IF(ISNA(VLOOKUP(E2879,#REF!,1,FALSE())),"?TYPE_IDENTIFIABLE","?REFERENTIAL"),"_")))))</f>
        <v> </v>
      </c>
      <c r="H2879" s="24" t="str">
        <f>IF(J2879&lt;&gt;1,"",IF(I2879="SBJ","CB","?"))</f>
        <v> </v>
      </c>
      <c r="I2879" s="25" t="str">
        <f>IF(OR(E2879="",E2879="!!!",F2879="NEW"),"",INDEX(B2878:B$2,-1+SUMPRODUCT(MAX(ROW(E2878:E$2)*(E2879=E2878:E$2)))))</f>
        <v> </v>
      </c>
      <c r="J2879" s="25" t="str">
        <f>IF(OR(E2879="",E2879="!!!",F2879="NEW"),"",COUNTBLANK(OFFSET(A$1,,,SUMPRODUCT(MAX(ROW(E$2:E2879)*(E2879=E$2:E2879)))))-COUNTBLANK(OFFSET(A$1,,,SUMPRODUCT(MAX(ROW(E$1:E2878)*(E2=E$1:E2878))))))</f>
        <v> </v>
      </c>
      <c r="K2879" s="25" t="str">
        <f>IF(OR(E2879="",E2879="!!!",F2879="NEW"),"",INDEX(J$1:J2878,SUMPRODUCT(MAX(ROW(E$1:E2878)*(E2879=E$1:E2878)))))</f>
        <v> </v>
      </c>
      <c r="L2879" s="26"/>
    </row>
    <row r="2880" spans="1:12">
      <c r="A2880" s="20" t="s">
        <v>1249</v>
      </c>
      <c r="E2880" s="21">
        <f>IF(D2880="?OLD","!!!","")</f>
        <v/>
      </c>
      <c r="F2880" s="22" t="str">
        <f>IF(OR(E2880="",E2880="!!!"),"",IF(NOT(ISNA(VLOOKUP(E2880,E$1:E2879,1,FALSE()))),"OLD",IF(AND(E2880&lt;&gt;"",E2880&lt;&gt;"!!!"),"NEW","")))</f>
        <v> </v>
      </c>
      <c r="G2880" s="23" t="str">
        <f>IF(OR(E2880="",E2880="!!!"),"",IF(OR(J2880=0,AND(J2880=1,K2880=1),AND(J2880=1,I2880="SBJ"),AND(J2880=1,I2880=0)),"?IN_FOCUS",IF(J2880&lt;=2,"?ACTIVATED",IF(J2880&lt;&gt;"","?FAMILIAR",IF(F2880="NEW",IF(ISNA(VLOOKUP(E2880,#REF!,1,FALSE())),"?TYPE_IDENTIFIABLE","?REFERENTIAL"),"_")))))</f>
        <v> </v>
      </c>
      <c r="H2880" s="24" t="str">
        <f>IF(J2880&lt;&gt;1,"",IF(I2880="SBJ","CB","?"))</f>
        <v> </v>
      </c>
      <c r="I2880" s="25" t="str">
        <f>IF(OR(E2880="",E2880="!!!",F2880="NEW"),"",INDEX(B2879:B$2,-1+SUMPRODUCT(MAX(ROW(E2879:E$2)*(E2880=E2879:E$2)))))</f>
        <v> </v>
      </c>
      <c r="J2880" s="25" t="str">
        <f>IF(OR(E2880="",E2880="!!!",F2880="NEW"),"",COUNTBLANK(OFFSET(A$1,,,SUMPRODUCT(MAX(ROW(E$2:E2880)*(E2880=E$2:E2880)))))-COUNTBLANK(OFFSET(A$1,,,SUMPRODUCT(MAX(ROW(E$1:E2879)*(E2=E$1:E2879))))))</f>
        <v> </v>
      </c>
      <c r="K2880" s="25" t="str">
        <f>IF(OR(E2880="",E2880="!!!",F2880="NEW"),"",INDEX(J$1:J2879,SUMPRODUCT(MAX(ROW(E$1:E2879)*(E2880=E$1:E2879)))))</f>
        <v> </v>
      </c>
      <c r="L2880" s="26"/>
    </row>
    <row r="2881" spans="1:12">
      <c r="A2881" s="20" t="s">
        <v>2453</v>
      </c>
      <c r="E2881" s="21">
        <f>IF(D2881="?OLD","!!!","")</f>
        <v/>
      </c>
      <c r="F2881" s="22" t="str">
        <f>IF(OR(E2881="",E2881="!!!"),"",IF(NOT(ISNA(VLOOKUP(E2881,E$1:E2880,1,FALSE()))),"OLD",IF(AND(E2881&lt;&gt;"",E2881&lt;&gt;"!!!"),"NEW","")))</f>
        <v> </v>
      </c>
      <c r="G2881" s="23" t="str">
        <f>IF(OR(E2881="",E2881="!!!"),"",IF(OR(J2881=0,AND(J2881=1,K2881=1),AND(J2881=1,I2881="SBJ"),AND(J2881=1,I2881=0)),"?IN_FOCUS",IF(J2881&lt;=2,"?ACTIVATED",IF(J2881&lt;&gt;"","?FAMILIAR",IF(F2881="NEW",IF(ISNA(VLOOKUP(E2881,#REF!,1,FALSE())),"?TYPE_IDENTIFIABLE","?REFERENTIAL"),"_")))))</f>
        <v> </v>
      </c>
      <c r="H2881" s="24" t="str">
        <f>IF(J2881&lt;&gt;1,"",IF(I2881="SBJ","CB","?"))</f>
        <v> </v>
      </c>
      <c r="I2881" s="25" t="str">
        <f>IF(OR(E2881="",E2881="!!!",F2881="NEW"),"",INDEX(B2880:B$2,-1+SUMPRODUCT(MAX(ROW(E2880:E$2)*(E2881=E2880:E$2)))))</f>
        <v> </v>
      </c>
      <c r="J2881" s="25" t="str">
        <f>IF(OR(E2881="",E2881="!!!",F2881="NEW"),"",COUNTBLANK(OFFSET(A$1,,,SUMPRODUCT(MAX(ROW(E$2:E2881)*(E2881=E$2:E2881)))))-COUNTBLANK(OFFSET(A$1,,,SUMPRODUCT(MAX(ROW(E$1:E2880)*(E2=E$1:E2880))))))</f>
        <v> </v>
      </c>
      <c r="K2881" s="25" t="str">
        <f>IF(OR(E2881="",E2881="!!!",F2881="NEW"),"",INDEX(J$1:J2880,SUMPRODUCT(MAX(ROW(E$1:E2880)*(E2881=E$1:E2880)))))</f>
        <v> </v>
      </c>
      <c r="L2881" s="26"/>
    </row>
    <row r="2882" spans="1:12">
      <c r="A2882" s="20" t="s">
        <v>1145</v>
      </c>
      <c r="E2882" s="21">
        <f>IF(D2882="?OLD","!!!","")</f>
        <v/>
      </c>
      <c r="F2882" s="22" t="str">
        <f>IF(OR(E2882="",E2882="!!!"),"",IF(NOT(ISNA(VLOOKUP(E2882,E$1:E2881,1,FALSE()))),"OLD",IF(AND(E2882&lt;&gt;"",E2882&lt;&gt;"!!!"),"NEW","")))</f>
        <v> </v>
      </c>
      <c r="G2882" s="23" t="str">
        <f>IF(OR(E2882="",E2882="!!!"),"",IF(OR(J2882=0,AND(J2882=1,K2882=1),AND(J2882=1,I2882="SBJ"),AND(J2882=1,I2882=0)),"?IN_FOCUS",IF(J2882&lt;=2,"?ACTIVATED",IF(J2882&lt;&gt;"","?FAMILIAR",IF(F2882="NEW",IF(ISNA(VLOOKUP(E2882,#REF!,1,FALSE())),"?TYPE_IDENTIFIABLE","?REFERENTIAL"),"_")))))</f>
        <v> </v>
      </c>
      <c r="H2882" s="24" t="str">
        <f>IF(J2882&lt;&gt;1,"",IF(I2882="SBJ","CB","?"))</f>
        <v> </v>
      </c>
      <c r="I2882" s="25" t="str">
        <f>IF(OR(E2882="",E2882="!!!",F2882="NEW"),"",INDEX(B2881:B$2,-1+SUMPRODUCT(MAX(ROW(E2881:E$2)*(E2882=E2881:E$2)))))</f>
        <v> </v>
      </c>
      <c r="J2882" s="25" t="str">
        <f>IF(OR(E2882="",E2882="!!!",F2882="NEW"),"",COUNTBLANK(OFFSET(A$1,,,SUMPRODUCT(MAX(ROW(E$2:E2882)*(E2882=E$2:E2882)))))-COUNTBLANK(OFFSET(A$1,,,SUMPRODUCT(MAX(ROW(E$1:E2881)*(E2=E$1:E2881))))))</f>
        <v> </v>
      </c>
      <c r="K2882" s="25" t="str">
        <f>IF(OR(E2882="",E2882="!!!",F2882="NEW"),"",INDEX(J$1:J2881,SUMPRODUCT(MAX(ROW(E$1:E2881)*(E2882=E$1:E2881)))))</f>
        <v> </v>
      </c>
      <c r="L2882" s="26"/>
    </row>
    <row r="2883" spans="1:12">
      <c r="A2883" s="20"/>
    </row>
    <row r="2884" spans="1:12">
      <c r="A2884" s="20" t="s">
        <v>2454</v>
      </c>
    </row>
    <row r="2885" spans="1:12">
      <c r="A2885" s="20" t="s">
        <v>2455</v>
      </c>
      <c r="E2885" s="21">
        <f>IF(D2885="?OLD","!!!","")</f>
        <v/>
      </c>
      <c r="F2885" s="22" t="str">
        <f>IF(OR(E2885="",E2885="!!!"),"",IF(NOT(ISNA(VLOOKUP(E2885,E$1:E2884,1,FALSE()))),"OLD",IF(AND(E2885&lt;&gt;"",E2885&lt;&gt;"!!!"),"NEW","")))</f>
        <v> </v>
      </c>
      <c r="G2885" s="23" t="str">
        <f>IF(OR(E2885="",E2885="!!!"),"",IF(OR(J2885=0,AND(J2885=1,K2885=1),AND(J2885=1,I2885="SBJ"),AND(J2885=1,I2885=0)),"?IN_FOCUS",IF(J2885&lt;=2,"?ACTIVATED",IF(J2885&lt;&gt;"","?FAMILIAR",IF(F2885="NEW",IF(ISNA(VLOOKUP(E2885,#REF!,1,FALSE())),"?TYPE_IDENTIFIABLE","?REFERENTIAL"),"_")))))</f>
        <v> </v>
      </c>
      <c r="H2885" s="24" t="str">
        <f>IF(J2885&lt;&gt;1,"",IF(I2885="SBJ","CB","?"))</f>
        <v> </v>
      </c>
      <c r="I2885" s="25" t="str">
        <f>IF(OR(E2885="",E2885="!!!",F2885="NEW"),"",INDEX(B2884:B$2,-1+SUMPRODUCT(MAX(ROW(E2884:E$2)*(E2885=E2884:E$2)))))</f>
        <v> </v>
      </c>
      <c r="J2885" s="25" t="str">
        <f>IF(OR(E2885="",E2885="!!!",F2885="NEW"),"",COUNTBLANK(OFFSET(A$1,,,SUMPRODUCT(MAX(ROW(E$2:E2885)*(E2885=E$2:E2885)))))-COUNTBLANK(OFFSET(A$1,,,SUMPRODUCT(MAX(ROW(E$1:E2884)*(E2=E$1:E2884))))))</f>
        <v> </v>
      </c>
      <c r="K2885" s="25" t="str">
        <f>IF(OR(E2885="",E2885="!!!",F2885="NEW"),"",INDEX(J$1:J2884,SUMPRODUCT(MAX(ROW(E$1:E2884)*(E2885=E$1:E2884)))))</f>
        <v> </v>
      </c>
      <c r="L2885" s="26"/>
    </row>
    <row r="2886" spans="1:12">
      <c r="A2886" s="20" t="s">
        <v>2456</v>
      </c>
      <c r="B2886" s="27" t="s">
        <v>1149</v>
      </c>
      <c r="C2886" s="27" t="s">
        <v>1156</v>
      </c>
      <c r="D2886" s="27" t="s">
        <v>1105</v>
      </c>
      <c r="E2886" s="21">
        <f>IF(D2886="?OLD","!!!","")</f>
        <v/>
      </c>
      <c r="F2886" s="22" t="str">
        <f>IF(OR(E2886="",E2886="!!!"),"",IF(NOT(ISNA(VLOOKUP(E2886,E$1:E2885,1,FALSE()))),"OLD",IF(AND(E2886&lt;&gt;"",E2886&lt;&gt;"!!!"),"NEW","")))</f>
        <v> </v>
      </c>
      <c r="G2886" s="23" t="str">
        <f>IF(OR(E2886="",E2886="!!!"),"",IF(OR(J2886=0,AND(J2886=1,K2886=1),AND(J2886=1,I2886="SBJ"),AND(J2886=1,I2886=0)),"?IN_FOCUS",IF(J2886&lt;=2,"?ACTIVATED",IF(J2886&lt;&gt;"","?FAMILIAR",IF(F2886="NEW",IF(ISNA(VLOOKUP(E2886,#REF!,1,FALSE())),"?TYPE_IDENTIFIABLE","?REFERENTIAL"),"_")))))</f>
        <v> </v>
      </c>
      <c r="H2886" s="24" t="str">
        <f>IF(J2886&lt;&gt;1,"",IF(I2886="SBJ","CB","?"))</f>
        <v> </v>
      </c>
      <c r="I2886" s="25" t="str">
        <f>IF(OR(E2886="",E2886="!!!",F2886="NEW"),"",INDEX(B2885:B$2,-1+SUMPRODUCT(MAX(ROW(E2885:E$2)*(E2886=E2885:E$2)))))</f>
        <v> </v>
      </c>
      <c r="J2886" s="25" t="str">
        <f>IF(OR(E2886="",E2886="!!!",F2886="NEW"),"",COUNTBLANK(OFFSET(A$1,,,SUMPRODUCT(MAX(ROW(E$2:E2886)*(E2886=E$2:E2886)))))-COUNTBLANK(OFFSET(A$1,,,SUMPRODUCT(MAX(ROW(E$1:E2885)*(E2=E$1:E2885))))))</f>
        <v> </v>
      </c>
      <c r="K2886" s="25" t="str">
        <f>IF(OR(E2886="",E2886="!!!",F2886="NEW"),"",INDEX(J$1:J2885,SUMPRODUCT(MAX(ROW(E$1:E2885)*(E2886=E$1:E2885)))))</f>
        <v> </v>
      </c>
      <c r="L2886" s="26"/>
    </row>
    <row r="2887" spans="1:12">
      <c r="A2887" s="20" t="s">
        <v>2457</v>
      </c>
      <c r="E2887" s="21">
        <f>IF(D2887="?OLD","!!!","")</f>
        <v/>
      </c>
      <c r="F2887" s="22" t="str">
        <f>IF(OR(E2887="",E2887="!!!"),"",IF(NOT(ISNA(VLOOKUP(E2887,E$1:E2886,1,FALSE()))),"OLD",IF(AND(E2887&lt;&gt;"",E2887&lt;&gt;"!!!"),"NEW","")))</f>
        <v> </v>
      </c>
      <c r="G2887" s="23" t="str">
        <f>IF(OR(E2887="",E2887="!!!"),"",IF(OR(J2887=0,AND(J2887=1,K2887=1),AND(J2887=1,I2887="SBJ"),AND(J2887=1,I2887=0)),"?IN_FOCUS",IF(J2887&lt;=2,"?ACTIVATED",IF(J2887&lt;&gt;"","?FAMILIAR",IF(F2887="NEW",IF(ISNA(VLOOKUP(E2887,#REF!,1,FALSE())),"?TYPE_IDENTIFIABLE","?REFERENTIAL"),"_")))))</f>
        <v> </v>
      </c>
      <c r="H2887" s="24" t="str">
        <f>IF(J2887&lt;&gt;1,"",IF(I2887="SBJ","CB","?"))</f>
        <v> </v>
      </c>
      <c r="I2887" s="25" t="str">
        <f>IF(OR(E2887="",E2887="!!!",F2887="NEW"),"",INDEX(B2886:B$2,-1+SUMPRODUCT(MAX(ROW(E2886:E$2)*(E2887=E2886:E$2)))))</f>
        <v> </v>
      </c>
      <c r="J2887" s="25" t="str">
        <f>IF(OR(E2887="",E2887="!!!",F2887="NEW"),"",COUNTBLANK(OFFSET(A$1,,,SUMPRODUCT(MAX(ROW(E$2:E2887)*(E2887=E$2:E2887)))))-COUNTBLANK(OFFSET(A$1,,,SUMPRODUCT(MAX(ROW(E$1:E2886)*(E2=E$1:E2886))))))</f>
        <v> </v>
      </c>
      <c r="K2887" s="25" t="str">
        <f>IF(OR(E2887="",E2887="!!!",F2887="NEW"),"",INDEX(J$1:J2886,SUMPRODUCT(MAX(ROW(E$1:E2886)*(E2887=E$1:E2886)))))</f>
        <v> </v>
      </c>
      <c r="L2887" s="26"/>
    </row>
    <row r="2888" spans="1:12">
      <c r="A2888" s="20" t="s">
        <v>1906</v>
      </c>
      <c r="E2888" s="21">
        <f>IF(D2888="?OLD","!!!","")</f>
        <v/>
      </c>
      <c r="F2888" s="22" t="str">
        <f>IF(OR(E2888="",E2888="!!!"),"",IF(NOT(ISNA(VLOOKUP(E2888,E$1:E2887,1,FALSE()))),"OLD",IF(AND(E2888&lt;&gt;"",E2888&lt;&gt;"!!!"),"NEW","")))</f>
        <v> </v>
      </c>
      <c r="G2888" s="23" t="str">
        <f>IF(OR(E2888="",E2888="!!!"),"",IF(OR(J2888=0,AND(J2888=1,K2888=1),AND(J2888=1,I2888="SBJ"),AND(J2888=1,I2888=0)),"?IN_FOCUS",IF(J2888&lt;=2,"?ACTIVATED",IF(J2888&lt;&gt;"","?FAMILIAR",IF(F2888="NEW",IF(ISNA(VLOOKUP(E2888,#REF!,1,FALSE())),"?TYPE_IDENTIFIABLE","?REFERENTIAL"),"_")))))</f>
        <v> </v>
      </c>
      <c r="H2888" s="24" t="str">
        <f>IF(J2888&lt;&gt;1,"",IF(I2888="SBJ","CB","?"))</f>
        <v> </v>
      </c>
      <c r="I2888" s="25" t="str">
        <f>IF(OR(E2888="",E2888="!!!",F2888="NEW"),"",INDEX(B2887:B$2,-1+SUMPRODUCT(MAX(ROW(E2887:E$2)*(E2888=E2887:E$2)))))</f>
        <v> </v>
      </c>
      <c r="J2888" s="25" t="str">
        <f>IF(OR(E2888="",E2888="!!!",F2888="NEW"),"",COUNTBLANK(OFFSET(A$1,,,SUMPRODUCT(MAX(ROW(E$2:E2888)*(E2888=E$2:E2888)))))-COUNTBLANK(OFFSET(A$1,,,SUMPRODUCT(MAX(ROW(E$1:E2887)*(E2=E$1:E2887))))))</f>
        <v> </v>
      </c>
      <c r="K2888" s="25" t="str">
        <f>IF(OR(E2888="",E2888="!!!",F2888="NEW"),"",INDEX(J$1:J2887,SUMPRODUCT(MAX(ROW(E$1:E2887)*(E2888=E$1:E2887)))))</f>
        <v> </v>
      </c>
      <c r="L2888" s="26"/>
    </row>
    <row r="2889" spans="1:12">
      <c r="A2889" s="20" t="s">
        <v>2458</v>
      </c>
      <c r="E2889" s="21">
        <f>IF(D2889="?OLD","!!!","")</f>
        <v/>
      </c>
      <c r="F2889" s="22" t="str">
        <f>IF(OR(E2889="",E2889="!!!"),"",IF(NOT(ISNA(VLOOKUP(E2889,E$1:E2888,1,FALSE()))),"OLD",IF(AND(E2889&lt;&gt;"",E2889&lt;&gt;"!!!"),"NEW","")))</f>
        <v> </v>
      </c>
      <c r="G2889" s="23" t="str">
        <f>IF(OR(E2889="",E2889="!!!"),"",IF(OR(J2889=0,AND(J2889=1,K2889=1),AND(J2889=1,I2889="SBJ"),AND(J2889=1,I2889=0)),"?IN_FOCUS",IF(J2889&lt;=2,"?ACTIVATED",IF(J2889&lt;&gt;"","?FAMILIAR",IF(F2889="NEW",IF(ISNA(VLOOKUP(E2889,#REF!,1,FALSE())),"?TYPE_IDENTIFIABLE","?REFERENTIAL"),"_")))))</f>
        <v> </v>
      </c>
      <c r="H2889" s="24" t="str">
        <f>IF(J2889&lt;&gt;1,"",IF(I2889="SBJ","CB","?"))</f>
        <v> </v>
      </c>
      <c r="I2889" s="25" t="str">
        <f>IF(OR(E2889="",E2889="!!!",F2889="NEW"),"",INDEX(B2888:B$2,-1+SUMPRODUCT(MAX(ROW(E2888:E$2)*(E2889=E2888:E$2)))))</f>
        <v> </v>
      </c>
      <c r="J2889" s="25" t="str">
        <f>IF(OR(E2889="",E2889="!!!",F2889="NEW"),"",COUNTBLANK(OFFSET(A$1,,,SUMPRODUCT(MAX(ROW(E$2:E2889)*(E2889=E$2:E2889)))))-COUNTBLANK(OFFSET(A$1,,,SUMPRODUCT(MAX(ROW(E$1:E2888)*(E2=E$1:E2888))))))</f>
        <v> </v>
      </c>
      <c r="K2889" s="25" t="str">
        <f>IF(OR(E2889="",E2889="!!!",F2889="NEW"),"",INDEX(J$1:J2888,SUMPRODUCT(MAX(ROW(E$1:E2888)*(E2889=E$1:E2888)))))</f>
        <v> </v>
      </c>
      <c r="L2889" s="26"/>
    </row>
    <row r="2890" spans="1:12">
      <c r="A2890" s="20" t="s">
        <v>2459</v>
      </c>
      <c r="B2890" s="27" t="s">
        <v>1213</v>
      </c>
      <c r="E2890" s="21">
        <f>IF(D2890="?OLD","!!!","")</f>
        <v/>
      </c>
      <c r="F2890" s="22" t="str">
        <f>IF(OR(E2890="",E2890="!!!"),"",IF(NOT(ISNA(VLOOKUP(E2890,E$1:E2889,1,FALSE()))),"OLD",IF(AND(E2890&lt;&gt;"",E2890&lt;&gt;"!!!"),"NEW","")))</f>
        <v> </v>
      </c>
      <c r="G2890" s="23" t="str">
        <f>IF(OR(E2890="",E2890="!!!"),"",IF(OR(J2890=0,AND(J2890=1,K2890=1),AND(J2890=1,I2890="SBJ"),AND(J2890=1,I2890=0)),"?IN_FOCUS",IF(J2890&lt;=2,"?ACTIVATED",IF(J2890&lt;&gt;"","?FAMILIAR",IF(F2890="NEW",IF(ISNA(VLOOKUP(E2890,#REF!,1,FALSE())),"?TYPE_IDENTIFIABLE","?REFERENTIAL"),"_")))))</f>
        <v> </v>
      </c>
      <c r="H2890" s="24" t="str">
        <f>IF(J2890&lt;&gt;1,"",IF(I2890="SBJ","CB","?"))</f>
        <v> </v>
      </c>
      <c r="I2890" s="25" t="str">
        <f>IF(OR(E2890="",E2890="!!!",F2890="NEW"),"",INDEX(B2889:B$2,-1+SUMPRODUCT(MAX(ROW(E2889:E$2)*(E2890=E2889:E$2)))))</f>
        <v> </v>
      </c>
      <c r="J2890" s="25" t="str">
        <f>IF(OR(E2890="",E2890="!!!",F2890="NEW"),"",COUNTBLANK(OFFSET(A$1,,,SUMPRODUCT(MAX(ROW(E$2:E2890)*(E2890=E$2:E2890)))))-COUNTBLANK(OFFSET(A$1,,,SUMPRODUCT(MAX(ROW(E$1:E2889)*(E2=E$1:E2889))))))</f>
        <v> </v>
      </c>
      <c r="K2890" s="25" t="str">
        <f>IF(OR(E2890="",E2890="!!!",F2890="NEW"),"",INDEX(J$1:J2889,SUMPRODUCT(MAX(ROW(E$1:E2889)*(E2890=E$1:E2889)))))</f>
        <v> </v>
      </c>
      <c r="L2890" s="26"/>
    </row>
    <row r="2891" spans="1:12">
      <c r="A2891" s="20" t="s">
        <v>1145</v>
      </c>
      <c r="E2891" s="21">
        <f>IF(D2891="?OLD","!!!","")</f>
        <v/>
      </c>
      <c r="F2891" s="22" t="str">
        <f>IF(OR(E2891="",E2891="!!!"),"",IF(NOT(ISNA(VLOOKUP(E2891,E$1:E2890,1,FALSE()))),"OLD",IF(AND(E2891&lt;&gt;"",E2891&lt;&gt;"!!!"),"NEW","")))</f>
        <v> </v>
      </c>
      <c r="G2891" s="23" t="str">
        <f>IF(OR(E2891="",E2891="!!!"),"",IF(OR(J2891=0,AND(J2891=1,K2891=1),AND(J2891=1,I2891="SBJ"),AND(J2891=1,I2891=0)),"?IN_FOCUS",IF(J2891&lt;=2,"?ACTIVATED",IF(J2891&lt;&gt;"","?FAMILIAR",IF(F2891="NEW",IF(ISNA(VLOOKUP(E2891,#REF!,1,FALSE())),"?TYPE_IDENTIFIABLE","?REFERENTIAL"),"_")))))</f>
        <v> </v>
      </c>
      <c r="H2891" s="24" t="str">
        <f>IF(J2891&lt;&gt;1,"",IF(I2891="SBJ","CB","?"))</f>
        <v> </v>
      </c>
      <c r="I2891" s="25" t="str">
        <f>IF(OR(E2891="",E2891="!!!",F2891="NEW"),"",INDEX(B2890:B$2,-1+SUMPRODUCT(MAX(ROW(E2890:E$2)*(E2891=E2890:E$2)))))</f>
        <v> </v>
      </c>
      <c r="J2891" s="25" t="str">
        <f>IF(OR(E2891="",E2891="!!!",F2891="NEW"),"",COUNTBLANK(OFFSET(A$1,,,SUMPRODUCT(MAX(ROW(E$2:E2891)*(E2891=E$2:E2891)))))-COUNTBLANK(OFFSET(A$1,,,SUMPRODUCT(MAX(ROW(E$1:E2890)*(E2=E$1:E2890))))))</f>
        <v> </v>
      </c>
      <c r="K2891" s="25" t="str">
        <f>IF(OR(E2891="",E2891="!!!",F2891="NEW"),"",INDEX(J$1:J2890,SUMPRODUCT(MAX(ROW(E$1:E2890)*(E2891=E$1:E2890)))))</f>
        <v> </v>
      </c>
      <c r="L2891" s="26"/>
    </row>
    <row r="2892" spans="1:12">
      <c r="A2892" s="20"/>
    </row>
    <row r="2893" spans="1:12">
      <c r="A2893" s="20" t="s">
        <v>2460</v>
      </c>
    </row>
    <row r="2894" spans="1:12">
      <c r="A2894" s="20" t="s">
        <v>2461</v>
      </c>
      <c r="B2894" s="27" t="s">
        <v>1107</v>
      </c>
      <c r="C2894" s="27" t="s">
        <v>1142</v>
      </c>
      <c r="D2894" s="27" t="s">
        <v>1105</v>
      </c>
      <c r="E2894" s="21">
        <f>IF(D2894="?OLD","!!!","")</f>
        <v/>
      </c>
      <c r="F2894" s="22" t="str">
        <f>IF(OR(E2894="",E2894="!!!"),"",IF(NOT(ISNA(VLOOKUP(E2894,E$1:E2893,1,FALSE()))),"OLD",IF(AND(E2894&lt;&gt;"",E2894&lt;&gt;"!!!"),"NEW","")))</f>
        <v> </v>
      </c>
      <c r="G2894" s="23" t="str">
        <f>IF(OR(E2894="",E2894="!!!"),"",IF(OR(J2894=0,AND(J2894=1,K2894=1),AND(J2894=1,I2894="SBJ"),AND(J2894=1,I2894=0)),"?IN_FOCUS",IF(J2894&lt;=2,"?ACTIVATED",IF(J2894&lt;&gt;"","?FAMILIAR",IF(F2894="NEW",IF(ISNA(VLOOKUP(E2894,#REF!,1,FALSE())),"?TYPE_IDENTIFIABLE","?REFERENTIAL"),"_")))))</f>
        <v> </v>
      </c>
      <c r="H2894" s="24" t="str">
        <f>IF(J2894&lt;&gt;1,"",IF(I2894="SBJ","CB","?"))</f>
        <v> </v>
      </c>
      <c r="I2894" s="25" t="str">
        <f>IF(OR(E2894="",E2894="!!!",F2894="NEW"),"",INDEX(B2893:B$2,-1+SUMPRODUCT(MAX(ROW(E2893:E$2)*(E2894=E2893:E$2)))))</f>
        <v> </v>
      </c>
      <c r="J2894" s="25" t="str">
        <f>IF(OR(E2894="",E2894="!!!",F2894="NEW"),"",COUNTBLANK(OFFSET(A$1,,,SUMPRODUCT(MAX(ROW(E$2:E2894)*(E2894=E$2:E2894)))))-COUNTBLANK(OFFSET(A$1,,,SUMPRODUCT(MAX(ROW(E$1:E2893)*(E2=E$1:E2893))))))</f>
        <v> </v>
      </c>
      <c r="K2894" s="25" t="str">
        <f>IF(OR(E2894="",E2894="!!!",F2894="NEW"),"",INDEX(J$1:J2893,SUMPRODUCT(MAX(ROW(E$1:E2893)*(E2894=E$1:E2893)))))</f>
        <v> </v>
      </c>
      <c r="L2894" s="26"/>
    </row>
    <row r="2895" spans="1:12">
      <c r="A2895" s="20" t="s">
        <v>1573</v>
      </c>
      <c r="B2895" s="27" t="s">
        <v>1149</v>
      </c>
      <c r="E2895" s="21">
        <f>IF(D2895="?OLD","!!!","")</f>
        <v/>
      </c>
      <c r="F2895" s="22" t="str">
        <f>IF(OR(E2895="",E2895="!!!"),"",IF(NOT(ISNA(VLOOKUP(E2895,E$1:E2894,1,FALSE()))),"OLD",IF(AND(E2895&lt;&gt;"",E2895&lt;&gt;"!!!"),"NEW","")))</f>
        <v> </v>
      </c>
      <c r="G2895" s="23" t="str">
        <f>IF(OR(E2895="",E2895="!!!"),"",IF(OR(J2895=0,AND(J2895=1,K2895=1),AND(J2895=1,I2895="SBJ"),AND(J2895=1,I2895=0)),"?IN_FOCUS",IF(J2895&lt;=2,"?ACTIVATED",IF(J2895&lt;&gt;"","?FAMILIAR",IF(F2895="NEW",IF(ISNA(VLOOKUP(E2895,#REF!,1,FALSE())),"?TYPE_IDENTIFIABLE","?REFERENTIAL"),"_")))))</f>
        <v> </v>
      </c>
      <c r="H2895" s="24" t="str">
        <f>IF(J2895&lt;&gt;1,"",IF(I2895="SBJ","CB","?"))</f>
        <v> </v>
      </c>
      <c r="I2895" s="25" t="str">
        <f>IF(OR(E2895="",E2895="!!!",F2895="NEW"),"",INDEX(B2894:B$2,-1+SUMPRODUCT(MAX(ROW(E2894:E$2)*(E2895=E2894:E$2)))))</f>
        <v> </v>
      </c>
      <c r="J2895" s="25" t="str">
        <f>IF(OR(E2895="",E2895="!!!",F2895="NEW"),"",COUNTBLANK(OFFSET(A$1,,,SUMPRODUCT(MAX(ROW(E$2:E2895)*(E2895=E$2:E2895)))))-COUNTBLANK(OFFSET(A$1,,,SUMPRODUCT(MAX(ROW(E$1:E2894)*(E2=E$1:E2894))))))</f>
        <v> </v>
      </c>
      <c r="K2895" s="25" t="str">
        <f>IF(OR(E2895="",E2895="!!!",F2895="NEW"),"",INDEX(J$1:J2894,SUMPRODUCT(MAX(ROW(E$1:E2894)*(E2895=E$1:E2894)))))</f>
        <v> </v>
      </c>
      <c r="L2895" s="26"/>
    </row>
    <row r="2896" spans="1:12">
      <c r="A2896" s="20" t="s">
        <v>1218</v>
      </c>
      <c r="E2896" s="21">
        <f>IF(D2896="?OLD","!!!","")</f>
        <v/>
      </c>
      <c r="F2896" s="22" t="str">
        <f>IF(OR(E2896="",E2896="!!!"),"",IF(NOT(ISNA(VLOOKUP(E2896,E$1:E2895,1,FALSE()))),"OLD",IF(AND(E2896&lt;&gt;"",E2896&lt;&gt;"!!!"),"NEW","")))</f>
        <v> </v>
      </c>
      <c r="G2896" s="23" t="str">
        <f>IF(OR(E2896="",E2896="!!!"),"",IF(OR(J2896=0,AND(J2896=1,K2896=1),AND(J2896=1,I2896="SBJ"),AND(J2896=1,I2896=0)),"?IN_FOCUS",IF(J2896&lt;=2,"?ACTIVATED",IF(J2896&lt;&gt;"","?FAMILIAR",IF(F2896="NEW",IF(ISNA(VLOOKUP(E2896,#REF!,1,FALSE())),"?TYPE_IDENTIFIABLE","?REFERENTIAL"),"_")))))</f>
        <v> </v>
      </c>
      <c r="H2896" s="24" t="str">
        <f>IF(J2896&lt;&gt;1,"",IF(I2896="SBJ","CB","?"))</f>
        <v> </v>
      </c>
      <c r="I2896" s="25" t="str">
        <f>IF(OR(E2896="",E2896="!!!",F2896="NEW"),"",INDEX(B2895:B$2,-1+SUMPRODUCT(MAX(ROW(E2895:E$2)*(E2896=E2895:E$2)))))</f>
        <v> </v>
      </c>
      <c r="J2896" s="25" t="str">
        <f>IF(OR(E2896="",E2896="!!!",F2896="NEW"),"",COUNTBLANK(OFFSET(A$1,,,SUMPRODUCT(MAX(ROW(E$2:E2896)*(E2896=E$2:E2896)))))-COUNTBLANK(OFFSET(A$1,,,SUMPRODUCT(MAX(ROW(E$1:E2895)*(E2=E$1:E2895))))))</f>
        <v> </v>
      </c>
      <c r="K2896" s="25" t="str">
        <f>IF(OR(E2896="",E2896="!!!",F2896="NEW"),"",INDEX(J$1:J2895,SUMPRODUCT(MAX(ROW(E$1:E2895)*(E2896=E$1:E2895)))))</f>
        <v> </v>
      </c>
      <c r="L2896" s="26"/>
    </row>
    <row r="2897" spans="1:12">
      <c r="A2897" s="20" t="s">
        <v>2462</v>
      </c>
      <c r="E2897" s="21">
        <f>IF(D2897="?OLD","!!!","")</f>
        <v/>
      </c>
      <c r="F2897" s="22" t="str">
        <f>IF(OR(E2897="",E2897="!!!"),"",IF(NOT(ISNA(VLOOKUP(E2897,E$1:E2896,1,FALSE()))),"OLD",IF(AND(E2897&lt;&gt;"",E2897&lt;&gt;"!!!"),"NEW","")))</f>
        <v> </v>
      </c>
      <c r="G2897" s="23" t="str">
        <f>IF(OR(E2897="",E2897="!!!"),"",IF(OR(J2897=0,AND(J2897=1,K2897=1),AND(J2897=1,I2897="SBJ"),AND(J2897=1,I2897=0)),"?IN_FOCUS",IF(J2897&lt;=2,"?ACTIVATED",IF(J2897&lt;&gt;"","?FAMILIAR",IF(F2897="NEW",IF(ISNA(VLOOKUP(E2897,#REF!,1,FALSE())),"?TYPE_IDENTIFIABLE","?REFERENTIAL"),"_")))))</f>
        <v> </v>
      </c>
      <c r="H2897" s="24" t="str">
        <f>IF(J2897&lt;&gt;1,"",IF(I2897="SBJ","CB","?"))</f>
        <v> </v>
      </c>
      <c r="I2897" s="25" t="str">
        <f>IF(OR(E2897="",E2897="!!!",F2897="NEW"),"",INDEX(B2896:B$2,-1+SUMPRODUCT(MAX(ROW(E2896:E$2)*(E2897=E2896:E$2)))))</f>
        <v> </v>
      </c>
      <c r="J2897" s="25" t="str">
        <f>IF(OR(E2897="",E2897="!!!",F2897="NEW"),"",COUNTBLANK(OFFSET(A$1,,,SUMPRODUCT(MAX(ROW(E$2:E2897)*(E2897=E$2:E2897)))))-COUNTBLANK(OFFSET(A$1,,,SUMPRODUCT(MAX(ROW(E$1:E2896)*(E2=E$1:E2896))))))</f>
        <v> </v>
      </c>
      <c r="K2897" s="25" t="str">
        <f>IF(OR(E2897="",E2897="!!!",F2897="NEW"),"",INDEX(J$1:J2896,SUMPRODUCT(MAX(ROW(E$1:E2896)*(E2897=E$1:E2896)))))</f>
        <v> </v>
      </c>
      <c r="L2897" s="26"/>
    </row>
    <row r="2898" spans="1:12">
      <c r="A2898" s="20" t="s">
        <v>2463</v>
      </c>
      <c r="E2898" s="21">
        <f>IF(D2898="?OLD","!!!","")</f>
        <v/>
      </c>
      <c r="F2898" s="22" t="str">
        <f>IF(OR(E2898="",E2898="!!!"),"",IF(NOT(ISNA(VLOOKUP(E2898,E$1:E2897,1,FALSE()))),"OLD",IF(AND(E2898&lt;&gt;"",E2898&lt;&gt;"!!!"),"NEW","")))</f>
        <v> </v>
      </c>
      <c r="G2898" s="23" t="str">
        <f>IF(OR(E2898="",E2898="!!!"),"",IF(OR(J2898=0,AND(J2898=1,K2898=1),AND(J2898=1,I2898="SBJ"),AND(J2898=1,I2898=0)),"?IN_FOCUS",IF(J2898&lt;=2,"?ACTIVATED",IF(J2898&lt;&gt;"","?FAMILIAR",IF(F2898="NEW",IF(ISNA(VLOOKUP(E2898,#REF!,1,FALSE())),"?TYPE_IDENTIFIABLE","?REFERENTIAL"),"_")))))</f>
        <v> </v>
      </c>
      <c r="H2898" s="24" t="str">
        <f>IF(J2898&lt;&gt;1,"",IF(I2898="SBJ","CB","?"))</f>
        <v> </v>
      </c>
      <c r="I2898" s="25" t="str">
        <f>IF(OR(E2898="",E2898="!!!",F2898="NEW"),"",INDEX(B2897:B$2,-1+SUMPRODUCT(MAX(ROW(E2897:E$2)*(E2898=E2897:E$2)))))</f>
        <v> </v>
      </c>
      <c r="J2898" s="25" t="str">
        <f>IF(OR(E2898="",E2898="!!!",F2898="NEW"),"",COUNTBLANK(OFFSET(A$1,,,SUMPRODUCT(MAX(ROW(E$2:E2898)*(E2898=E$2:E2898)))))-COUNTBLANK(OFFSET(A$1,,,SUMPRODUCT(MAX(ROW(E$1:E2897)*(E2=E$1:E2897))))))</f>
        <v> </v>
      </c>
      <c r="K2898" s="25" t="str">
        <f>IF(OR(E2898="",E2898="!!!",F2898="NEW"),"",INDEX(J$1:J2897,SUMPRODUCT(MAX(ROW(E$1:E2897)*(E2898=E$1:E2897)))))</f>
        <v> </v>
      </c>
      <c r="L2898" s="26"/>
    </row>
    <row r="2899" spans="1:12">
      <c r="A2899" s="20" t="s">
        <v>2464</v>
      </c>
      <c r="E2899" s="21">
        <f>IF(D2899="?OLD","!!!","")</f>
        <v/>
      </c>
      <c r="F2899" s="22" t="str">
        <f>IF(OR(E2899="",E2899="!!!"),"",IF(NOT(ISNA(VLOOKUP(E2899,E$1:E2898,1,FALSE()))),"OLD",IF(AND(E2899&lt;&gt;"",E2899&lt;&gt;"!!!"),"NEW","")))</f>
        <v> </v>
      </c>
      <c r="G2899" s="23" t="str">
        <f>IF(OR(E2899="",E2899="!!!"),"",IF(OR(J2899=0,AND(J2899=1,K2899=1),AND(J2899=1,I2899="SBJ"),AND(J2899=1,I2899=0)),"?IN_FOCUS",IF(J2899&lt;=2,"?ACTIVATED",IF(J2899&lt;&gt;"","?FAMILIAR",IF(F2899="NEW",IF(ISNA(VLOOKUP(E2899,#REF!,1,FALSE())),"?TYPE_IDENTIFIABLE","?REFERENTIAL"),"_")))))</f>
        <v> </v>
      </c>
      <c r="H2899" s="24" t="str">
        <f>IF(J2899&lt;&gt;1,"",IF(I2899="SBJ","CB","?"))</f>
        <v> </v>
      </c>
      <c r="I2899" s="25" t="str">
        <f>IF(OR(E2899="",E2899="!!!",F2899="NEW"),"",INDEX(B2898:B$2,-1+SUMPRODUCT(MAX(ROW(E2898:E$2)*(E2899=E2898:E$2)))))</f>
        <v> </v>
      </c>
      <c r="J2899" s="25" t="str">
        <f>IF(OR(E2899="",E2899="!!!",F2899="NEW"),"",COUNTBLANK(OFFSET(A$1,,,SUMPRODUCT(MAX(ROW(E$2:E2899)*(E2899=E$2:E2899)))))-COUNTBLANK(OFFSET(A$1,,,SUMPRODUCT(MAX(ROW(E$1:E2898)*(E2=E$1:E2898))))))</f>
        <v> </v>
      </c>
      <c r="K2899" s="25" t="str">
        <f>IF(OR(E2899="",E2899="!!!",F2899="NEW"),"",INDEX(J$1:J2898,SUMPRODUCT(MAX(ROW(E$1:E2898)*(E2899=E$1:E2898)))))</f>
        <v> </v>
      </c>
      <c r="L2899" s="26"/>
    </row>
    <row r="2900" spans="1:12">
      <c r="A2900" s="20" t="s">
        <v>2465</v>
      </c>
      <c r="E2900" s="21">
        <f>IF(D2900="?OLD","!!!","")</f>
        <v/>
      </c>
      <c r="F2900" s="22" t="str">
        <f>IF(OR(E2900="",E2900="!!!"),"",IF(NOT(ISNA(VLOOKUP(E2900,E$1:E2899,1,FALSE()))),"OLD",IF(AND(E2900&lt;&gt;"",E2900&lt;&gt;"!!!"),"NEW","")))</f>
        <v> </v>
      </c>
      <c r="G2900" s="23" t="str">
        <f>IF(OR(E2900="",E2900="!!!"),"",IF(OR(J2900=0,AND(J2900=1,K2900=1),AND(J2900=1,I2900="SBJ"),AND(J2900=1,I2900=0)),"?IN_FOCUS",IF(J2900&lt;=2,"?ACTIVATED",IF(J2900&lt;&gt;"","?FAMILIAR",IF(F2900="NEW",IF(ISNA(VLOOKUP(E2900,#REF!,1,FALSE())),"?TYPE_IDENTIFIABLE","?REFERENTIAL"),"_")))))</f>
        <v> </v>
      </c>
      <c r="H2900" s="24" t="str">
        <f>IF(J2900&lt;&gt;1,"",IF(I2900="SBJ","CB","?"))</f>
        <v> </v>
      </c>
      <c r="I2900" s="25" t="str">
        <f>IF(OR(E2900="",E2900="!!!",F2900="NEW"),"",INDEX(B2899:B$2,-1+SUMPRODUCT(MAX(ROW(E2899:E$2)*(E2900=E2899:E$2)))))</f>
        <v> </v>
      </c>
      <c r="J2900" s="25" t="str">
        <f>IF(OR(E2900="",E2900="!!!",F2900="NEW"),"",COUNTBLANK(OFFSET(A$1,,,SUMPRODUCT(MAX(ROW(E$2:E2900)*(E2900=E$2:E2900)))))-COUNTBLANK(OFFSET(A$1,,,SUMPRODUCT(MAX(ROW(E$1:E2899)*(E2=E$1:E2899))))))</f>
        <v> </v>
      </c>
      <c r="K2900" s="25" t="str">
        <f>IF(OR(E2900="",E2900="!!!",F2900="NEW"),"",INDEX(J$1:J2899,SUMPRODUCT(MAX(ROW(E$1:E2899)*(E2900=E$1:E2899)))))</f>
        <v> </v>
      </c>
      <c r="L2900" s="26"/>
    </row>
    <row r="2901" spans="1:12">
      <c r="A2901" s="20" t="s">
        <v>1123</v>
      </c>
      <c r="E2901" s="21">
        <f>IF(D2901="?OLD","!!!","")</f>
        <v/>
      </c>
      <c r="F2901" s="22" t="str">
        <f>IF(OR(E2901="",E2901="!!!"),"",IF(NOT(ISNA(VLOOKUP(E2901,E$1:E2900,1,FALSE()))),"OLD",IF(AND(E2901&lt;&gt;"",E2901&lt;&gt;"!!!"),"NEW","")))</f>
        <v> </v>
      </c>
      <c r="G2901" s="23" t="str">
        <f>IF(OR(E2901="",E2901="!!!"),"",IF(OR(J2901=0,AND(J2901=1,K2901=1),AND(J2901=1,I2901="SBJ"),AND(J2901=1,I2901=0)),"?IN_FOCUS",IF(J2901&lt;=2,"?ACTIVATED",IF(J2901&lt;&gt;"","?FAMILIAR",IF(F2901="NEW",IF(ISNA(VLOOKUP(E2901,#REF!,1,FALSE())),"?TYPE_IDENTIFIABLE","?REFERENTIAL"),"_")))))</f>
        <v> </v>
      </c>
      <c r="H2901" s="24" t="str">
        <f>IF(J2901&lt;&gt;1,"",IF(I2901="SBJ","CB","?"))</f>
        <v> </v>
      </c>
      <c r="I2901" s="25" t="str">
        <f>IF(OR(E2901="",E2901="!!!",F2901="NEW"),"",INDEX(B2900:B$2,-1+SUMPRODUCT(MAX(ROW(E2900:E$2)*(E2901=E2900:E$2)))))</f>
        <v> </v>
      </c>
      <c r="J2901" s="25" t="str">
        <f>IF(OR(E2901="",E2901="!!!",F2901="NEW"),"",COUNTBLANK(OFFSET(A$1,,,SUMPRODUCT(MAX(ROW(E$2:E2901)*(E2901=E$2:E2901)))))-COUNTBLANK(OFFSET(A$1,,,SUMPRODUCT(MAX(ROW(E$1:E2900)*(E2=E$1:E2900))))))</f>
        <v> </v>
      </c>
      <c r="K2901" s="25" t="str">
        <f>IF(OR(E2901="",E2901="!!!",F2901="NEW"),"",INDEX(J$1:J2900,SUMPRODUCT(MAX(ROW(E$1:E2900)*(E2901=E$1:E2900)))))</f>
        <v> </v>
      </c>
      <c r="L2901" s="26"/>
    </row>
    <row r="2902" spans="1:12">
      <c r="A2902" s="20" t="s">
        <v>228</v>
      </c>
      <c r="E2902" s="21">
        <f>IF(D2902="?OLD","!!!","")</f>
        <v/>
      </c>
      <c r="F2902" s="22" t="str">
        <f>IF(OR(E2902="",E2902="!!!"),"",IF(NOT(ISNA(VLOOKUP(E2902,E$1:E2901,1,FALSE()))),"OLD",IF(AND(E2902&lt;&gt;"",E2902&lt;&gt;"!!!"),"NEW","")))</f>
        <v> </v>
      </c>
      <c r="G2902" s="23" t="str">
        <f>IF(OR(E2902="",E2902="!!!"),"",IF(OR(J2902=0,AND(J2902=1,K2902=1),AND(J2902=1,I2902="SBJ"),AND(J2902=1,I2902=0)),"?IN_FOCUS",IF(J2902&lt;=2,"?ACTIVATED",IF(J2902&lt;&gt;"","?FAMILIAR",IF(F2902="NEW",IF(ISNA(VLOOKUP(E2902,#REF!,1,FALSE())),"?TYPE_IDENTIFIABLE","?REFERENTIAL"),"_")))))</f>
        <v> </v>
      </c>
      <c r="H2902" s="24" t="str">
        <f>IF(J2902&lt;&gt;1,"",IF(I2902="SBJ","CB","?"))</f>
        <v> </v>
      </c>
      <c r="I2902" s="25" t="str">
        <f>IF(OR(E2902="",E2902="!!!",F2902="NEW"),"",INDEX(B2901:B$2,-1+SUMPRODUCT(MAX(ROW(E2901:E$2)*(E2902=E2901:E$2)))))</f>
        <v> </v>
      </c>
      <c r="J2902" s="25" t="str">
        <f>IF(OR(E2902="",E2902="!!!",F2902="NEW"),"",COUNTBLANK(OFFSET(A$1,,,SUMPRODUCT(MAX(ROW(E$2:E2902)*(E2902=E$2:E2902)))))-COUNTBLANK(OFFSET(A$1,,,SUMPRODUCT(MAX(ROW(E$1:E2901)*(E2=E$1:E2901))))))</f>
        <v> </v>
      </c>
      <c r="K2902" s="25" t="str">
        <f>IF(OR(E2902="",E2902="!!!",F2902="NEW"),"",INDEX(J$1:J2901,SUMPRODUCT(MAX(ROW(E$1:E2901)*(E2902=E$1:E2901)))))</f>
        <v> </v>
      </c>
      <c r="L2902" s="26"/>
    </row>
    <row r="2903" spans="1:12">
      <c r="A2903" s="20" t="s">
        <v>2466</v>
      </c>
      <c r="E2903" s="21">
        <f>IF(D2903="?OLD","!!!","")</f>
        <v/>
      </c>
      <c r="F2903" s="22" t="str">
        <f>IF(OR(E2903="",E2903="!!!"),"",IF(NOT(ISNA(VLOOKUP(E2903,E$1:E2902,1,FALSE()))),"OLD",IF(AND(E2903&lt;&gt;"",E2903&lt;&gt;"!!!"),"NEW","")))</f>
        <v> </v>
      </c>
      <c r="G2903" s="23" t="str">
        <f>IF(OR(E2903="",E2903="!!!"),"",IF(OR(J2903=0,AND(J2903=1,K2903=1),AND(J2903=1,I2903="SBJ"),AND(J2903=1,I2903=0)),"?IN_FOCUS",IF(J2903&lt;=2,"?ACTIVATED",IF(J2903&lt;&gt;"","?FAMILIAR",IF(F2903="NEW",IF(ISNA(VLOOKUP(E2903,#REF!,1,FALSE())),"?TYPE_IDENTIFIABLE","?REFERENTIAL"),"_")))))</f>
        <v> </v>
      </c>
      <c r="H2903" s="24" t="str">
        <f>IF(J2903&lt;&gt;1,"",IF(I2903="SBJ","CB","?"))</f>
        <v> </v>
      </c>
      <c r="I2903" s="25" t="str">
        <f>IF(OR(E2903="",E2903="!!!",F2903="NEW"),"",INDEX(B2902:B$2,-1+SUMPRODUCT(MAX(ROW(E2902:E$2)*(E2903=E2902:E$2)))))</f>
        <v> </v>
      </c>
      <c r="J2903" s="25" t="str">
        <f>IF(OR(E2903="",E2903="!!!",F2903="NEW"),"",COUNTBLANK(OFFSET(A$1,,,SUMPRODUCT(MAX(ROW(E$2:E2903)*(E2903=E$2:E2903)))))-COUNTBLANK(OFFSET(A$1,,,SUMPRODUCT(MAX(ROW(E$1:E2902)*(E2=E$1:E2902))))))</f>
        <v> </v>
      </c>
      <c r="K2903" s="25" t="str">
        <f>IF(OR(E2903="",E2903="!!!",F2903="NEW"),"",INDEX(J$1:J2902,SUMPRODUCT(MAX(ROW(E$1:E2902)*(E2903=E$1:E2902)))))</f>
        <v> </v>
      </c>
      <c r="L2903" s="26"/>
    </row>
    <row r="2904" spans="1:12">
      <c r="A2904" s="20" t="s">
        <v>2467</v>
      </c>
      <c r="B2904" s="27" t="s">
        <v>1259</v>
      </c>
      <c r="E2904" s="21">
        <f>IF(D2904="?OLD","!!!","")</f>
        <v/>
      </c>
      <c r="F2904" s="22" t="str">
        <f>IF(OR(E2904="",E2904="!!!"),"",IF(NOT(ISNA(VLOOKUP(E2904,E$1:E2903,1,FALSE()))),"OLD",IF(AND(E2904&lt;&gt;"",E2904&lt;&gt;"!!!"),"NEW","")))</f>
        <v> </v>
      </c>
      <c r="G2904" s="23" t="str">
        <f>IF(OR(E2904="",E2904="!!!"),"",IF(OR(J2904=0,AND(J2904=1,K2904=1),AND(J2904=1,I2904="SBJ"),AND(J2904=1,I2904=0)),"?IN_FOCUS",IF(J2904&lt;=2,"?ACTIVATED",IF(J2904&lt;&gt;"","?FAMILIAR",IF(F2904="NEW",IF(ISNA(VLOOKUP(E2904,#REF!,1,FALSE())),"?TYPE_IDENTIFIABLE","?REFERENTIAL"),"_")))))</f>
        <v> </v>
      </c>
      <c r="H2904" s="24" t="str">
        <f>IF(J2904&lt;&gt;1,"",IF(I2904="SBJ","CB","?"))</f>
        <v> </v>
      </c>
      <c r="I2904" s="25" t="str">
        <f>IF(OR(E2904="",E2904="!!!",F2904="NEW"),"",INDEX(B2903:B$2,-1+SUMPRODUCT(MAX(ROW(E2903:E$2)*(E2904=E2903:E$2)))))</f>
        <v> </v>
      </c>
      <c r="J2904" s="25" t="str">
        <f>IF(OR(E2904="",E2904="!!!",F2904="NEW"),"",COUNTBLANK(OFFSET(A$1,,,SUMPRODUCT(MAX(ROW(E$2:E2904)*(E2904=E$2:E2904)))))-COUNTBLANK(OFFSET(A$1,,,SUMPRODUCT(MAX(ROW(E$1:E2903)*(E2=E$1:E2903))))))</f>
        <v> </v>
      </c>
      <c r="K2904" s="25" t="str">
        <f>IF(OR(E2904="",E2904="!!!",F2904="NEW"),"",INDEX(J$1:J2903,SUMPRODUCT(MAX(ROW(E$1:E2903)*(E2904=E$1:E2903)))))</f>
        <v> </v>
      </c>
      <c r="L2904" s="26"/>
    </row>
    <row r="2905" spans="1:12">
      <c r="A2905" s="20" t="s">
        <v>2468</v>
      </c>
      <c r="E2905" s="21">
        <f>IF(D2905="?OLD","!!!","")</f>
        <v/>
      </c>
      <c r="F2905" s="22" t="str">
        <f>IF(OR(E2905="",E2905="!!!"),"",IF(NOT(ISNA(VLOOKUP(E2905,E$1:E2904,1,FALSE()))),"OLD",IF(AND(E2905&lt;&gt;"",E2905&lt;&gt;"!!!"),"NEW","")))</f>
        <v> </v>
      </c>
      <c r="G2905" s="23" t="str">
        <f>IF(OR(E2905="",E2905="!!!"),"",IF(OR(J2905=0,AND(J2905=1,K2905=1),AND(J2905=1,I2905="SBJ"),AND(J2905=1,I2905=0)),"?IN_FOCUS",IF(J2905&lt;=2,"?ACTIVATED",IF(J2905&lt;&gt;"","?FAMILIAR",IF(F2905="NEW",IF(ISNA(VLOOKUP(E2905,#REF!,1,FALSE())),"?TYPE_IDENTIFIABLE","?REFERENTIAL"),"_")))))</f>
        <v> </v>
      </c>
      <c r="H2905" s="24" t="str">
        <f>IF(J2905&lt;&gt;1,"",IF(I2905="SBJ","CB","?"))</f>
        <v> </v>
      </c>
      <c r="I2905" s="25" t="str">
        <f>IF(OR(E2905="",E2905="!!!",F2905="NEW"),"",INDEX(B2904:B$2,-1+SUMPRODUCT(MAX(ROW(E2904:E$2)*(E2905=E2904:E$2)))))</f>
        <v> </v>
      </c>
      <c r="J2905" s="25" t="str">
        <f>IF(OR(E2905="",E2905="!!!",F2905="NEW"),"",COUNTBLANK(OFFSET(A$1,,,SUMPRODUCT(MAX(ROW(E$2:E2905)*(E2905=E$2:E2905)))))-COUNTBLANK(OFFSET(A$1,,,SUMPRODUCT(MAX(ROW(E$1:E2904)*(E2=E$1:E2904))))))</f>
        <v> </v>
      </c>
      <c r="K2905" s="25" t="str">
        <f>IF(OR(E2905="",E2905="!!!",F2905="NEW"),"",INDEX(J$1:J2904,SUMPRODUCT(MAX(ROW(E$1:E2904)*(E2905=E$1:E2904)))))</f>
        <v> </v>
      </c>
      <c r="L2905" s="26"/>
    </row>
    <row r="2906" spans="1:12">
      <c r="A2906" s="20" t="s">
        <v>1128</v>
      </c>
      <c r="E2906" s="21">
        <f>IF(D2906="?OLD","!!!","")</f>
        <v/>
      </c>
      <c r="F2906" s="22" t="str">
        <f>IF(OR(E2906="",E2906="!!!"),"",IF(NOT(ISNA(VLOOKUP(E2906,E$1:E2905,1,FALSE()))),"OLD",IF(AND(E2906&lt;&gt;"",E2906&lt;&gt;"!!!"),"NEW","")))</f>
        <v> </v>
      </c>
      <c r="G2906" s="23" t="str">
        <f>IF(OR(E2906="",E2906="!!!"),"",IF(OR(J2906=0,AND(J2906=1,K2906=1),AND(J2906=1,I2906="SBJ"),AND(J2906=1,I2906=0)),"?IN_FOCUS",IF(J2906&lt;=2,"?ACTIVATED",IF(J2906&lt;&gt;"","?FAMILIAR",IF(F2906="NEW",IF(ISNA(VLOOKUP(E2906,#REF!,1,FALSE())),"?TYPE_IDENTIFIABLE","?REFERENTIAL"),"_")))))</f>
        <v> </v>
      </c>
      <c r="H2906" s="24" t="str">
        <f>IF(J2906&lt;&gt;1,"",IF(I2906="SBJ","CB","?"))</f>
        <v> </v>
      </c>
      <c r="I2906" s="25" t="str">
        <f>IF(OR(E2906="",E2906="!!!",F2906="NEW"),"",INDEX(B2905:B$2,-1+SUMPRODUCT(MAX(ROW(E2905:E$2)*(E2906=E2905:E$2)))))</f>
        <v> </v>
      </c>
      <c r="J2906" s="25" t="str">
        <f>IF(OR(E2906="",E2906="!!!",F2906="NEW"),"",COUNTBLANK(OFFSET(A$1,,,SUMPRODUCT(MAX(ROW(E$2:E2906)*(E2906=E$2:E2906)))))-COUNTBLANK(OFFSET(A$1,,,SUMPRODUCT(MAX(ROW(E$1:E2905)*(E2=E$1:E2905))))))</f>
        <v> </v>
      </c>
      <c r="K2906" s="25" t="str">
        <f>IF(OR(E2906="",E2906="!!!",F2906="NEW"),"",INDEX(J$1:J2905,SUMPRODUCT(MAX(ROW(E$1:E2905)*(E2906=E$1:E2905)))))</f>
        <v> </v>
      </c>
      <c r="L2906" s="26"/>
    </row>
    <row r="2907" spans="1:12">
      <c r="A2907" s="20" t="s">
        <v>2469</v>
      </c>
      <c r="E2907" s="21">
        <f>IF(D2907="?OLD","!!!","")</f>
        <v/>
      </c>
      <c r="F2907" s="22" t="str">
        <f>IF(OR(E2907="",E2907="!!!"),"",IF(NOT(ISNA(VLOOKUP(E2907,E$1:E2906,1,FALSE()))),"OLD",IF(AND(E2907&lt;&gt;"",E2907&lt;&gt;"!!!"),"NEW","")))</f>
        <v> </v>
      </c>
      <c r="G2907" s="23" t="str">
        <f>IF(OR(E2907="",E2907="!!!"),"",IF(OR(J2907=0,AND(J2907=1,K2907=1),AND(J2907=1,I2907="SBJ"),AND(J2907=1,I2907=0)),"?IN_FOCUS",IF(J2907&lt;=2,"?ACTIVATED",IF(J2907&lt;&gt;"","?FAMILIAR",IF(F2907="NEW",IF(ISNA(VLOOKUP(E2907,#REF!,1,FALSE())),"?TYPE_IDENTIFIABLE","?REFERENTIAL"),"_")))))</f>
        <v> </v>
      </c>
      <c r="H2907" s="24" t="str">
        <f>IF(J2907&lt;&gt;1,"",IF(I2907="SBJ","CB","?"))</f>
        <v> </v>
      </c>
      <c r="I2907" s="25" t="str">
        <f>IF(OR(E2907="",E2907="!!!",F2907="NEW"),"",INDEX(B2906:B$2,-1+SUMPRODUCT(MAX(ROW(E2906:E$2)*(E2907=E2906:E$2)))))</f>
        <v> </v>
      </c>
      <c r="J2907" s="25" t="str">
        <f>IF(OR(E2907="",E2907="!!!",F2907="NEW"),"",COUNTBLANK(OFFSET(A$1,,,SUMPRODUCT(MAX(ROW(E$2:E2907)*(E2907=E$2:E2907)))))-COUNTBLANK(OFFSET(A$1,,,SUMPRODUCT(MAX(ROW(E$1:E2906)*(E2=E$1:E2906))))))</f>
        <v> </v>
      </c>
      <c r="K2907" s="25" t="str">
        <f>IF(OR(E2907="",E2907="!!!",F2907="NEW"),"",INDEX(J$1:J2906,SUMPRODUCT(MAX(ROW(E$1:E2906)*(E2907=E$1:E2906)))))</f>
        <v> </v>
      </c>
      <c r="L2907" s="26"/>
    </row>
    <row r="2908" spans="1:12">
      <c r="A2908" s="20" t="s">
        <v>1111</v>
      </c>
      <c r="E2908" s="21">
        <f>IF(D2908="?OLD","!!!","")</f>
        <v/>
      </c>
      <c r="F2908" s="22" t="str">
        <f>IF(OR(E2908="",E2908="!!!"),"",IF(NOT(ISNA(VLOOKUP(E2908,E$1:E2907,1,FALSE()))),"OLD",IF(AND(E2908&lt;&gt;"",E2908&lt;&gt;"!!!"),"NEW","")))</f>
        <v> </v>
      </c>
      <c r="G2908" s="23" t="str">
        <f>IF(OR(E2908="",E2908="!!!"),"",IF(OR(J2908=0,AND(J2908=1,K2908=1),AND(J2908=1,I2908="SBJ"),AND(J2908=1,I2908=0)),"?IN_FOCUS",IF(J2908&lt;=2,"?ACTIVATED",IF(J2908&lt;&gt;"","?FAMILIAR",IF(F2908="NEW",IF(ISNA(VLOOKUP(E2908,#REF!,1,FALSE())),"?TYPE_IDENTIFIABLE","?REFERENTIAL"),"_")))))</f>
        <v> </v>
      </c>
      <c r="H2908" s="24" t="str">
        <f>IF(J2908&lt;&gt;1,"",IF(I2908="SBJ","CB","?"))</f>
        <v> </v>
      </c>
      <c r="I2908" s="25" t="str">
        <f>IF(OR(E2908="",E2908="!!!",F2908="NEW"),"",INDEX(B2907:B$2,-1+SUMPRODUCT(MAX(ROW(E2907:E$2)*(E2908=E2907:E$2)))))</f>
        <v> </v>
      </c>
      <c r="J2908" s="25" t="str">
        <f>IF(OR(E2908="",E2908="!!!",F2908="NEW"),"",COUNTBLANK(OFFSET(A$1,,,SUMPRODUCT(MAX(ROW(E$2:E2908)*(E2908=E$2:E2908)))))-COUNTBLANK(OFFSET(A$1,,,SUMPRODUCT(MAX(ROW(E$1:E2907)*(E2=E$1:E2907))))))</f>
        <v> </v>
      </c>
      <c r="K2908" s="25" t="str">
        <f>IF(OR(E2908="",E2908="!!!",F2908="NEW"),"",INDEX(J$1:J2907,SUMPRODUCT(MAX(ROW(E$1:E2907)*(E2908=E$1:E2907)))))</f>
        <v> </v>
      </c>
      <c r="L2908" s="26"/>
    </row>
    <row r="2909" spans="1:12">
      <c r="A2909" s="20" t="s">
        <v>2470</v>
      </c>
      <c r="E2909" s="21">
        <f>IF(D2909="?OLD","!!!","")</f>
        <v/>
      </c>
      <c r="F2909" s="22" t="str">
        <f>IF(OR(E2909="",E2909="!!!"),"",IF(NOT(ISNA(VLOOKUP(E2909,E$1:E2908,1,FALSE()))),"OLD",IF(AND(E2909&lt;&gt;"",E2909&lt;&gt;"!!!"),"NEW","")))</f>
        <v> </v>
      </c>
      <c r="G2909" s="23" t="str">
        <f>IF(OR(E2909="",E2909="!!!"),"",IF(OR(J2909=0,AND(J2909=1,K2909=1),AND(J2909=1,I2909="SBJ"),AND(J2909=1,I2909=0)),"?IN_FOCUS",IF(J2909&lt;=2,"?ACTIVATED",IF(J2909&lt;&gt;"","?FAMILIAR",IF(F2909="NEW",IF(ISNA(VLOOKUP(E2909,#REF!,1,FALSE())),"?TYPE_IDENTIFIABLE","?REFERENTIAL"),"_")))))</f>
        <v> </v>
      </c>
      <c r="H2909" s="24" t="str">
        <f>IF(J2909&lt;&gt;1,"",IF(I2909="SBJ","CB","?"))</f>
        <v> </v>
      </c>
      <c r="I2909" s="25" t="str">
        <f>IF(OR(E2909="",E2909="!!!",F2909="NEW"),"",INDEX(B2908:B$2,-1+SUMPRODUCT(MAX(ROW(E2908:E$2)*(E2909=E2908:E$2)))))</f>
        <v> </v>
      </c>
      <c r="J2909" s="25" t="str">
        <f>IF(OR(E2909="",E2909="!!!",F2909="NEW"),"",COUNTBLANK(OFFSET(A$1,,,SUMPRODUCT(MAX(ROW(E$2:E2909)*(E2909=E$2:E2909)))))-COUNTBLANK(OFFSET(A$1,,,SUMPRODUCT(MAX(ROW(E$1:E2908)*(E2=E$1:E2908))))))</f>
        <v> </v>
      </c>
      <c r="K2909" s="25" t="str">
        <f>IF(OR(E2909="",E2909="!!!",F2909="NEW"),"",INDEX(J$1:J2908,SUMPRODUCT(MAX(ROW(E$1:E2908)*(E2909=E$1:E2908)))))</f>
        <v> </v>
      </c>
      <c r="L2909" s="26"/>
    </row>
    <row r="2910" spans="1:12">
      <c r="A2910" s="20" t="s">
        <v>2471</v>
      </c>
      <c r="B2910" s="27" t="s">
        <v>1132</v>
      </c>
      <c r="C2910" s="27" t="s">
        <v>1104</v>
      </c>
      <c r="D2910" s="27" t="s">
        <v>1105</v>
      </c>
      <c r="E2910" s="21">
        <f>IF(D2910="?OLD","!!!","")</f>
        <v/>
      </c>
      <c r="F2910" s="22" t="str">
        <f>IF(OR(E2910="",E2910="!!!"),"",IF(NOT(ISNA(VLOOKUP(E2910,E$1:E2909,1,FALSE()))),"OLD",IF(AND(E2910&lt;&gt;"",E2910&lt;&gt;"!!!"),"NEW","")))</f>
        <v> </v>
      </c>
      <c r="G2910" s="23" t="str">
        <f>IF(OR(E2910="",E2910="!!!"),"",IF(OR(J2910=0,AND(J2910=1,K2910=1),AND(J2910=1,I2910="SBJ"),AND(J2910=1,I2910=0)),"?IN_FOCUS",IF(J2910&lt;=2,"?ACTIVATED",IF(J2910&lt;&gt;"","?FAMILIAR",IF(F2910="NEW",IF(ISNA(VLOOKUP(E2910,#REF!,1,FALSE())),"?TYPE_IDENTIFIABLE","?REFERENTIAL"),"_")))))</f>
        <v> </v>
      </c>
      <c r="H2910" s="24" t="str">
        <f>IF(J2910&lt;&gt;1,"",IF(I2910="SBJ","CB","?"))</f>
        <v> </v>
      </c>
      <c r="I2910" s="25" t="str">
        <f>IF(OR(E2910="",E2910="!!!",F2910="NEW"),"",INDEX(B2909:B$2,-1+SUMPRODUCT(MAX(ROW(E2909:E$2)*(E2910=E2909:E$2)))))</f>
        <v> </v>
      </c>
      <c r="J2910" s="25" t="str">
        <f>IF(OR(E2910="",E2910="!!!",F2910="NEW"),"",COUNTBLANK(OFFSET(A$1,,,SUMPRODUCT(MAX(ROW(E$2:E2910)*(E2910=E$2:E2910)))))-COUNTBLANK(OFFSET(A$1,,,SUMPRODUCT(MAX(ROW(E$1:E2909)*(E2=E$1:E2909))))))</f>
        <v> </v>
      </c>
      <c r="K2910" s="25" t="str">
        <f>IF(OR(E2910="",E2910="!!!",F2910="NEW"),"",INDEX(J$1:J2909,SUMPRODUCT(MAX(ROW(E$1:E2909)*(E2910=E$1:E2909)))))</f>
        <v> </v>
      </c>
      <c r="L2910" s="26"/>
    </row>
    <row r="2911" spans="1:12">
      <c r="A2911" s="20" t="s">
        <v>1371</v>
      </c>
      <c r="E2911" s="21">
        <f>IF(D2911="?OLD","!!!","")</f>
        <v/>
      </c>
      <c r="F2911" s="22" t="str">
        <f>IF(OR(E2911="",E2911="!!!"),"",IF(NOT(ISNA(VLOOKUP(E2911,E$1:E2910,1,FALSE()))),"OLD",IF(AND(E2911&lt;&gt;"",E2911&lt;&gt;"!!!"),"NEW","")))</f>
        <v> </v>
      </c>
      <c r="G2911" s="23" t="str">
        <f>IF(OR(E2911="",E2911="!!!"),"",IF(OR(J2911=0,AND(J2911=1,K2911=1),AND(J2911=1,I2911="SBJ"),AND(J2911=1,I2911=0)),"?IN_FOCUS",IF(J2911&lt;=2,"?ACTIVATED",IF(J2911&lt;&gt;"","?FAMILIAR",IF(F2911="NEW",IF(ISNA(VLOOKUP(E2911,#REF!,1,FALSE())),"?TYPE_IDENTIFIABLE","?REFERENTIAL"),"_")))))</f>
        <v> </v>
      </c>
      <c r="H2911" s="24" t="str">
        <f>IF(J2911&lt;&gt;1,"",IF(I2911="SBJ","CB","?"))</f>
        <v> </v>
      </c>
      <c r="I2911" s="25" t="str">
        <f>IF(OR(E2911="",E2911="!!!",F2911="NEW"),"",INDEX(B2910:B$2,-1+SUMPRODUCT(MAX(ROW(E2910:E$2)*(E2911=E2910:E$2)))))</f>
        <v> </v>
      </c>
      <c r="J2911" s="25" t="str">
        <f>IF(OR(E2911="",E2911="!!!",F2911="NEW"),"",COUNTBLANK(OFFSET(A$1,,,SUMPRODUCT(MAX(ROW(E$2:E2911)*(E2911=E$2:E2911)))))-COUNTBLANK(OFFSET(A$1,,,SUMPRODUCT(MAX(ROW(E$1:E2910)*(E2=E$1:E2910))))))</f>
        <v> </v>
      </c>
      <c r="K2911" s="25" t="str">
        <f>IF(OR(E2911="",E2911="!!!",F2911="NEW"),"",INDEX(J$1:J2910,SUMPRODUCT(MAX(ROW(E$1:E2910)*(E2911=E$1:E2910)))))</f>
        <v> </v>
      </c>
      <c r="L2911" s="26"/>
    </row>
    <row r="2912" spans="1:12">
      <c r="A2912" s="20" t="s">
        <v>2472</v>
      </c>
      <c r="E2912" s="21">
        <f>IF(D2912="?OLD","!!!","")</f>
        <v/>
      </c>
      <c r="F2912" s="22" t="str">
        <f>IF(OR(E2912="",E2912="!!!"),"",IF(NOT(ISNA(VLOOKUP(E2912,E$1:E2911,1,FALSE()))),"OLD",IF(AND(E2912&lt;&gt;"",E2912&lt;&gt;"!!!"),"NEW","")))</f>
        <v> </v>
      </c>
      <c r="G2912" s="23" t="str">
        <f>IF(OR(E2912="",E2912="!!!"),"",IF(OR(J2912=0,AND(J2912=1,K2912=1),AND(J2912=1,I2912="SBJ"),AND(J2912=1,I2912=0)),"?IN_FOCUS",IF(J2912&lt;=2,"?ACTIVATED",IF(J2912&lt;&gt;"","?FAMILIAR",IF(F2912="NEW",IF(ISNA(VLOOKUP(E2912,#REF!,1,FALSE())),"?TYPE_IDENTIFIABLE","?REFERENTIAL"),"_")))))</f>
        <v> </v>
      </c>
      <c r="H2912" s="24" t="str">
        <f>IF(J2912&lt;&gt;1,"",IF(I2912="SBJ","CB","?"))</f>
        <v> </v>
      </c>
      <c r="I2912" s="25" t="str">
        <f>IF(OR(E2912="",E2912="!!!",F2912="NEW"),"",INDEX(B2911:B$2,-1+SUMPRODUCT(MAX(ROW(E2911:E$2)*(E2912=E2911:E$2)))))</f>
        <v> </v>
      </c>
      <c r="J2912" s="25" t="str">
        <f>IF(OR(E2912="",E2912="!!!",F2912="NEW"),"",COUNTBLANK(OFFSET(A$1,,,SUMPRODUCT(MAX(ROW(E$2:E2912)*(E2912=E$2:E2912)))))-COUNTBLANK(OFFSET(A$1,,,SUMPRODUCT(MAX(ROW(E$1:E2911)*(E2=E$1:E2911))))))</f>
        <v> </v>
      </c>
      <c r="K2912" s="25" t="str">
        <f>IF(OR(E2912="",E2912="!!!",F2912="NEW"),"",INDEX(J$1:J2911,SUMPRODUCT(MAX(ROW(E$1:E2911)*(E2912=E$1:E2911)))))</f>
        <v> </v>
      </c>
      <c r="L2912" s="26"/>
    </row>
    <row r="2913" spans="1:12">
      <c r="A2913" s="20" t="s">
        <v>1128</v>
      </c>
      <c r="E2913" s="21">
        <f>IF(D2913="?OLD","!!!","")</f>
        <v/>
      </c>
      <c r="F2913" s="22" t="str">
        <f>IF(OR(E2913="",E2913="!!!"),"",IF(NOT(ISNA(VLOOKUP(E2913,E$1:E2912,1,FALSE()))),"OLD",IF(AND(E2913&lt;&gt;"",E2913&lt;&gt;"!!!"),"NEW","")))</f>
        <v> </v>
      </c>
      <c r="G2913" s="23" t="str">
        <f>IF(OR(E2913="",E2913="!!!"),"",IF(OR(J2913=0,AND(J2913=1,K2913=1),AND(J2913=1,I2913="SBJ"),AND(J2913=1,I2913=0)),"?IN_FOCUS",IF(J2913&lt;=2,"?ACTIVATED",IF(J2913&lt;&gt;"","?FAMILIAR",IF(F2913="NEW",IF(ISNA(VLOOKUP(E2913,#REF!,1,FALSE())),"?TYPE_IDENTIFIABLE","?REFERENTIAL"),"_")))))</f>
        <v> </v>
      </c>
      <c r="H2913" s="24" t="str">
        <f>IF(J2913&lt;&gt;1,"",IF(I2913="SBJ","CB","?"))</f>
        <v> </v>
      </c>
      <c r="I2913" s="25" t="str">
        <f>IF(OR(E2913="",E2913="!!!",F2913="NEW"),"",INDEX(B2912:B$2,-1+SUMPRODUCT(MAX(ROW(E2912:E$2)*(E2913=E2912:E$2)))))</f>
        <v> </v>
      </c>
      <c r="J2913" s="25" t="str">
        <f>IF(OR(E2913="",E2913="!!!",F2913="NEW"),"",COUNTBLANK(OFFSET(A$1,,,SUMPRODUCT(MAX(ROW(E$2:E2913)*(E2913=E$2:E2913)))))-COUNTBLANK(OFFSET(A$1,,,SUMPRODUCT(MAX(ROW(E$1:E2912)*(E2=E$1:E2912))))))</f>
        <v> </v>
      </c>
      <c r="K2913" s="25" t="str">
        <f>IF(OR(E2913="",E2913="!!!",F2913="NEW"),"",INDEX(J$1:J2912,SUMPRODUCT(MAX(ROW(E$1:E2912)*(E2913=E$1:E2912)))))</f>
        <v> </v>
      </c>
      <c r="L2913" s="26"/>
    </row>
    <row r="2914" spans="1:12">
      <c r="A2914" s="20" t="s">
        <v>2473</v>
      </c>
      <c r="E2914" s="21">
        <f>IF(D2914="?OLD","!!!","")</f>
        <v/>
      </c>
      <c r="F2914" s="22" t="str">
        <f>IF(OR(E2914="",E2914="!!!"),"",IF(NOT(ISNA(VLOOKUP(E2914,E$1:E2913,1,FALSE()))),"OLD",IF(AND(E2914&lt;&gt;"",E2914&lt;&gt;"!!!"),"NEW","")))</f>
        <v> </v>
      </c>
      <c r="G2914" s="23" t="str">
        <f>IF(OR(E2914="",E2914="!!!"),"",IF(OR(J2914=0,AND(J2914=1,K2914=1),AND(J2914=1,I2914="SBJ"),AND(J2914=1,I2914=0)),"?IN_FOCUS",IF(J2914&lt;=2,"?ACTIVATED",IF(J2914&lt;&gt;"","?FAMILIAR",IF(F2914="NEW",IF(ISNA(VLOOKUP(E2914,#REF!,1,FALSE())),"?TYPE_IDENTIFIABLE","?REFERENTIAL"),"_")))))</f>
        <v> </v>
      </c>
      <c r="H2914" s="24" t="str">
        <f>IF(J2914&lt;&gt;1,"",IF(I2914="SBJ","CB","?"))</f>
        <v> </v>
      </c>
      <c r="I2914" s="25" t="str">
        <f>IF(OR(E2914="",E2914="!!!",F2914="NEW"),"",INDEX(B2913:B$2,-1+SUMPRODUCT(MAX(ROW(E2913:E$2)*(E2914=E2913:E$2)))))</f>
        <v> </v>
      </c>
      <c r="J2914" s="25" t="str">
        <f>IF(OR(E2914="",E2914="!!!",F2914="NEW"),"",COUNTBLANK(OFFSET(A$1,,,SUMPRODUCT(MAX(ROW(E$2:E2914)*(E2914=E$2:E2914)))))-COUNTBLANK(OFFSET(A$1,,,SUMPRODUCT(MAX(ROW(E$1:E2913)*(E2=E$1:E2913))))))</f>
        <v> </v>
      </c>
      <c r="K2914" s="25" t="str">
        <f>IF(OR(E2914="",E2914="!!!",F2914="NEW"),"",INDEX(J$1:J2913,SUMPRODUCT(MAX(ROW(E$1:E2913)*(E2914=E$1:E2913)))))</f>
        <v> </v>
      </c>
      <c r="L2914" s="26"/>
    </row>
    <row r="2915" spans="1:12">
      <c r="A2915" s="20" t="s">
        <v>2474</v>
      </c>
      <c r="B2915" s="27" t="s">
        <v>1141</v>
      </c>
      <c r="C2915" s="27" t="s">
        <v>1156</v>
      </c>
      <c r="D2915" s="27" t="s">
        <v>1105</v>
      </c>
      <c r="E2915" s="21">
        <f>IF(D2915="?OLD","!!!","")</f>
        <v/>
      </c>
      <c r="F2915" s="22" t="str">
        <f>IF(OR(E2915="",E2915="!!!"),"",IF(NOT(ISNA(VLOOKUP(E2915,E$1:E2914,1,FALSE()))),"OLD",IF(AND(E2915&lt;&gt;"",E2915&lt;&gt;"!!!"),"NEW","")))</f>
        <v> </v>
      </c>
      <c r="G2915" s="23" t="str">
        <f>IF(OR(E2915="",E2915="!!!"),"",IF(OR(J2915=0,AND(J2915=1,K2915=1),AND(J2915=1,I2915="SBJ"),AND(J2915=1,I2915=0)),"?IN_FOCUS",IF(J2915&lt;=2,"?ACTIVATED",IF(J2915&lt;&gt;"","?FAMILIAR",IF(F2915="NEW",IF(ISNA(VLOOKUP(E2915,#REF!,1,FALSE())),"?TYPE_IDENTIFIABLE","?REFERENTIAL"),"_")))))</f>
        <v> </v>
      </c>
      <c r="H2915" s="24" t="str">
        <f>IF(J2915&lt;&gt;1,"",IF(I2915="SBJ","CB","?"))</f>
        <v> </v>
      </c>
      <c r="I2915" s="25" t="str">
        <f>IF(OR(E2915="",E2915="!!!",F2915="NEW"),"",INDEX(B2914:B$2,-1+SUMPRODUCT(MAX(ROW(E2914:E$2)*(E2915=E2914:E$2)))))</f>
        <v> </v>
      </c>
      <c r="J2915" s="25" t="str">
        <f>IF(OR(E2915="",E2915="!!!",F2915="NEW"),"",COUNTBLANK(OFFSET(A$1,,,SUMPRODUCT(MAX(ROW(E$2:E2915)*(E2915=E$2:E2915)))))-COUNTBLANK(OFFSET(A$1,,,SUMPRODUCT(MAX(ROW(E$1:E2914)*(E2=E$1:E2914))))))</f>
        <v> </v>
      </c>
      <c r="K2915" s="25" t="str">
        <f>IF(OR(E2915="",E2915="!!!",F2915="NEW"),"",INDEX(J$1:J2914,SUMPRODUCT(MAX(ROW(E$1:E2914)*(E2915=E$1:E2914)))))</f>
        <v> </v>
      </c>
      <c r="L2915" s="26"/>
    </row>
    <row r="2916" spans="1:12">
      <c r="A2916" s="20" t="s">
        <v>1145</v>
      </c>
      <c r="E2916" s="21">
        <f>IF(D2916="?OLD","!!!","")</f>
        <v/>
      </c>
      <c r="F2916" s="22" t="str">
        <f>IF(OR(E2916="",E2916="!!!"),"",IF(NOT(ISNA(VLOOKUP(E2916,E$1:E2915,1,FALSE()))),"OLD",IF(AND(E2916&lt;&gt;"",E2916&lt;&gt;"!!!"),"NEW","")))</f>
        <v> </v>
      </c>
      <c r="G2916" s="23" t="str">
        <f>IF(OR(E2916="",E2916="!!!"),"",IF(OR(J2916=0,AND(J2916=1,K2916=1),AND(J2916=1,I2916="SBJ"),AND(J2916=1,I2916=0)),"?IN_FOCUS",IF(J2916&lt;=2,"?ACTIVATED",IF(J2916&lt;&gt;"","?FAMILIAR",IF(F2916="NEW",IF(ISNA(VLOOKUP(E2916,#REF!,1,FALSE())),"?TYPE_IDENTIFIABLE","?REFERENTIAL"),"_")))))</f>
        <v> </v>
      </c>
      <c r="H2916" s="24" t="str">
        <f>IF(J2916&lt;&gt;1,"",IF(I2916="SBJ","CB","?"))</f>
        <v> </v>
      </c>
      <c r="I2916" s="25" t="str">
        <f>IF(OR(E2916="",E2916="!!!",F2916="NEW"),"",INDEX(B2915:B$2,-1+SUMPRODUCT(MAX(ROW(E2915:E$2)*(E2916=E2915:E$2)))))</f>
        <v> </v>
      </c>
      <c r="J2916" s="25" t="str">
        <f>IF(OR(E2916="",E2916="!!!",F2916="NEW"),"",COUNTBLANK(OFFSET(A$1,,,SUMPRODUCT(MAX(ROW(E$2:E2916)*(E2916=E$2:E2916)))))-COUNTBLANK(OFFSET(A$1,,,SUMPRODUCT(MAX(ROW(E$1:E2915)*(E2=E$1:E2915))))))</f>
        <v> </v>
      </c>
      <c r="K2916" s="25" t="str">
        <f>IF(OR(E2916="",E2916="!!!",F2916="NEW"),"",INDEX(J$1:J2915,SUMPRODUCT(MAX(ROW(E$1:E2915)*(E2916=E$1:E2915)))))</f>
        <v> </v>
      </c>
      <c r="L2916" s="26"/>
    </row>
    <row r="2917" spans="1:12">
      <c r="A2917" s="20"/>
    </row>
    <row r="2918" spans="1:12">
      <c r="A2918" s="20" t="s">
        <v>2475</v>
      </c>
    </row>
    <row r="2919" spans="1:12">
      <c r="A2919" s="20" t="s">
        <v>2476</v>
      </c>
      <c r="E2919" s="21">
        <f>IF(D2919="?OLD","!!!","")</f>
        <v/>
      </c>
      <c r="F2919" s="22" t="str">
        <f>IF(OR(E2919="",E2919="!!!"),"",IF(NOT(ISNA(VLOOKUP(E2919,E$1:E2918,1,FALSE()))),"OLD",IF(AND(E2919&lt;&gt;"",E2919&lt;&gt;"!!!"),"NEW","")))</f>
        <v> </v>
      </c>
      <c r="G2919" s="23" t="str">
        <f>IF(OR(E2919="",E2919="!!!"),"",IF(OR(J2919=0,AND(J2919=1,K2919=1),AND(J2919=1,I2919="SBJ"),AND(J2919=1,I2919=0)),"?IN_FOCUS",IF(J2919&lt;=2,"?ACTIVATED",IF(J2919&lt;&gt;"","?FAMILIAR",IF(F2919="NEW",IF(ISNA(VLOOKUP(E2919,#REF!,1,FALSE())),"?TYPE_IDENTIFIABLE","?REFERENTIAL"),"_")))))</f>
        <v> </v>
      </c>
      <c r="H2919" s="24" t="str">
        <f>IF(J2919&lt;&gt;1,"",IF(I2919="SBJ","CB","?"))</f>
        <v> </v>
      </c>
      <c r="I2919" s="25" t="str">
        <f>IF(OR(E2919="",E2919="!!!",F2919="NEW"),"",INDEX(B2918:B$2,-1+SUMPRODUCT(MAX(ROW(E2918:E$2)*(E2919=E2918:E$2)))))</f>
        <v> </v>
      </c>
      <c r="J2919" s="25" t="str">
        <f>IF(OR(E2919="",E2919="!!!",F2919="NEW"),"",COUNTBLANK(OFFSET(A$1,,,SUMPRODUCT(MAX(ROW(E$2:E2919)*(E2919=E$2:E2919)))))-COUNTBLANK(OFFSET(A$1,,,SUMPRODUCT(MAX(ROW(E$1:E2918)*(E2=E$1:E2918))))))</f>
        <v> </v>
      </c>
      <c r="K2919" s="25" t="str">
        <f>IF(OR(E2919="",E2919="!!!",F2919="NEW"),"",INDEX(J$1:J2918,SUMPRODUCT(MAX(ROW(E$1:E2918)*(E2919=E$1:E2918)))))</f>
        <v> </v>
      </c>
      <c r="L2919" s="26"/>
    </row>
    <row r="2920" spans="1:12">
      <c r="A2920" s="20" t="s">
        <v>2477</v>
      </c>
      <c r="E2920" s="21">
        <f>IF(D2920="?OLD","!!!","")</f>
        <v/>
      </c>
      <c r="F2920" s="22" t="str">
        <f>IF(OR(E2920="",E2920="!!!"),"",IF(NOT(ISNA(VLOOKUP(E2920,E$1:E2919,1,FALSE()))),"OLD",IF(AND(E2920&lt;&gt;"",E2920&lt;&gt;"!!!"),"NEW","")))</f>
        <v> </v>
      </c>
      <c r="G2920" s="23" t="str">
        <f>IF(OR(E2920="",E2920="!!!"),"",IF(OR(J2920=0,AND(J2920=1,K2920=1),AND(J2920=1,I2920="SBJ"),AND(J2920=1,I2920=0)),"?IN_FOCUS",IF(J2920&lt;=2,"?ACTIVATED",IF(J2920&lt;&gt;"","?FAMILIAR",IF(F2920="NEW",IF(ISNA(VLOOKUP(E2920,#REF!,1,FALSE())),"?TYPE_IDENTIFIABLE","?REFERENTIAL"),"_")))))</f>
        <v> </v>
      </c>
      <c r="H2920" s="24" t="str">
        <f>IF(J2920&lt;&gt;1,"",IF(I2920="SBJ","CB","?"))</f>
        <v> </v>
      </c>
      <c r="I2920" s="25" t="str">
        <f>IF(OR(E2920="",E2920="!!!",F2920="NEW"),"",INDEX(B2919:B$2,-1+SUMPRODUCT(MAX(ROW(E2919:E$2)*(E2920=E2919:E$2)))))</f>
        <v> </v>
      </c>
      <c r="J2920" s="25" t="str">
        <f>IF(OR(E2920="",E2920="!!!",F2920="NEW"),"",COUNTBLANK(OFFSET(A$1,,,SUMPRODUCT(MAX(ROW(E$2:E2920)*(E2920=E$2:E2920)))))-COUNTBLANK(OFFSET(A$1,,,SUMPRODUCT(MAX(ROW(E$1:E2919)*(E2=E$1:E2919))))))</f>
        <v> </v>
      </c>
      <c r="K2920" s="25" t="str">
        <f>IF(OR(E2920="",E2920="!!!",F2920="NEW"),"",INDEX(J$1:J2919,SUMPRODUCT(MAX(ROW(E$1:E2919)*(E2920=E$1:E2919)))))</f>
        <v> </v>
      </c>
      <c r="L2920" s="26"/>
    </row>
    <row r="2921" spans="1:12">
      <c r="A2921" s="20" t="s">
        <v>2478</v>
      </c>
      <c r="E2921" s="21">
        <f>IF(D2921="?OLD","!!!","")</f>
        <v/>
      </c>
      <c r="F2921" s="22" t="str">
        <f>IF(OR(E2921="",E2921="!!!"),"",IF(NOT(ISNA(VLOOKUP(E2921,E$1:E2920,1,FALSE()))),"OLD",IF(AND(E2921&lt;&gt;"",E2921&lt;&gt;"!!!"),"NEW","")))</f>
        <v> </v>
      </c>
      <c r="G2921" s="23" t="str">
        <f>IF(OR(E2921="",E2921="!!!"),"",IF(OR(J2921=0,AND(J2921=1,K2921=1),AND(J2921=1,I2921="SBJ"),AND(J2921=1,I2921=0)),"?IN_FOCUS",IF(J2921&lt;=2,"?ACTIVATED",IF(J2921&lt;&gt;"","?FAMILIAR",IF(F2921="NEW",IF(ISNA(VLOOKUP(E2921,#REF!,1,FALSE())),"?TYPE_IDENTIFIABLE","?REFERENTIAL"),"_")))))</f>
        <v> </v>
      </c>
      <c r="H2921" s="24" t="str">
        <f>IF(J2921&lt;&gt;1,"",IF(I2921="SBJ","CB","?"))</f>
        <v> </v>
      </c>
      <c r="I2921" s="25" t="str">
        <f>IF(OR(E2921="",E2921="!!!",F2921="NEW"),"",INDEX(B2920:B$2,-1+SUMPRODUCT(MAX(ROW(E2920:E$2)*(E2921=E2920:E$2)))))</f>
        <v> </v>
      </c>
      <c r="J2921" s="25" t="str">
        <f>IF(OR(E2921="",E2921="!!!",F2921="NEW"),"",COUNTBLANK(OFFSET(A$1,,,SUMPRODUCT(MAX(ROW(E$2:E2921)*(E2921=E$2:E2921)))))-COUNTBLANK(OFFSET(A$1,,,SUMPRODUCT(MAX(ROW(E$1:E2920)*(E2=E$1:E2920))))))</f>
        <v> </v>
      </c>
      <c r="K2921" s="25" t="str">
        <f>IF(OR(E2921="",E2921="!!!",F2921="NEW"),"",INDEX(J$1:J2920,SUMPRODUCT(MAX(ROW(E$1:E2920)*(E2921=E$1:E2920)))))</f>
        <v> </v>
      </c>
      <c r="L2921" s="26"/>
    </row>
    <row r="2922" spans="1:12">
      <c r="A2922" s="20" t="s">
        <v>2479</v>
      </c>
      <c r="B2922" s="27" t="s">
        <v>1149</v>
      </c>
      <c r="E2922" s="21">
        <f>IF(D2922="?OLD","!!!","")</f>
        <v/>
      </c>
      <c r="F2922" s="22" t="str">
        <f>IF(OR(E2922="",E2922="!!!"),"",IF(NOT(ISNA(VLOOKUP(E2922,E$1:E2921,1,FALSE()))),"OLD",IF(AND(E2922&lt;&gt;"",E2922&lt;&gt;"!!!"),"NEW","")))</f>
        <v> </v>
      </c>
      <c r="G2922" s="23" t="str">
        <f>IF(OR(E2922="",E2922="!!!"),"",IF(OR(J2922=0,AND(J2922=1,K2922=1),AND(J2922=1,I2922="SBJ"),AND(J2922=1,I2922=0)),"?IN_FOCUS",IF(J2922&lt;=2,"?ACTIVATED",IF(J2922&lt;&gt;"","?FAMILIAR",IF(F2922="NEW",IF(ISNA(VLOOKUP(E2922,#REF!,1,FALSE())),"?TYPE_IDENTIFIABLE","?REFERENTIAL"),"_")))))</f>
        <v> </v>
      </c>
      <c r="H2922" s="24" t="str">
        <f>IF(J2922&lt;&gt;1,"",IF(I2922="SBJ","CB","?"))</f>
        <v> </v>
      </c>
      <c r="I2922" s="25" t="str">
        <f>IF(OR(E2922="",E2922="!!!",F2922="NEW"),"",INDEX(B2921:B$2,-1+SUMPRODUCT(MAX(ROW(E2921:E$2)*(E2922=E2921:E$2)))))</f>
        <v> </v>
      </c>
      <c r="J2922" s="25" t="str">
        <f>IF(OR(E2922="",E2922="!!!",F2922="NEW"),"",COUNTBLANK(OFFSET(A$1,,,SUMPRODUCT(MAX(ROW(E$2:E2922)*(E2922=E$2:E2922)))))-COUNTBLANK(OFFSET(A$1,,,SUMPRODUCT(MAX(ROW(E$1:E2921)*(E2=E$1:E2921))))))</f>
        <v> </v>
      </c>
      <c r="K2922" s="25" t="str">
        <f>IF(OR(E2922="",E2922="!!!",F2922="NEW"),"",INDEX(J$1:J2921,SUMPRODUCT(MAX(ROW(E$1:E2921)*(E2922=E$1:E2921)))))</f>
        <v> </v>
      </c>
      <c r="L2922" s="26"/>
    </row>
    <row r="2923" spans="1:12">
      <c r="A2923" s="20" t="s">
        <v>1123</v>
      </c>
      <c r="E2923" s="21">
        <f>IF(D2923="?OLD","!!!","")</f>
        <v/>
      </c>
      <c r="F2923" s="22" t="str">
        <f>IF(OR(E2923="",E2923="!!!"),"",IF(NOT(ISNA(VLOOKUP(E2923,E$1:E2922,1,FALSE()))),"OLD",IF(AND(E2923&lt;&gt;"",E2923&lt;&gt;"!!!"),"NEW","")))</f>
        <v> </v>
      </c>
      <c r="G2923" s="23" t="str">
        <f>IF(OR(E2923="",E2923="!!!"),"",IF(OR(J2923=0,AND(J2923=1,K2923=1),AND(J2923=1,I2923="SBJ"),AND(J2923=1,I2923=0)),"?IN_FOCUS",IF(J2923&lt;=2,"?ACTIVATED",IF(J2923&lt;&gt;"","?FAMILIAR",IF(F2923="NEW",IF(ISNA(VLOOKUP(E2923,#REF!,1,FALSE())),"?TYPE_IDENTIFIABLE","?REFERENTIAL"),"_")))))</f>
        <v> </v>
      </c>
      <c r="H2923" s="24" t="str">
        <f>IF(J2923&lt;&gt;1,"",IF(I2923="SBJ","CB","?"))</f>
        <v> </v>
      </c>
      <c r="I2923" s="25" t="str">
        <f>IF(OR(E2923="",E2923="!!!",F2923="NEW"),"",INDEX(B2922:B$2,-1+SUMPRODUCT(MAX(ROW(E2922:E$2)*(E2923=E2922:E$2)))))</f>
        <v> </v>
      </c>
      <c r="J2923" s="25" t="str">
        <f>IF(OR(E2923="",E2923="!!!",F2923="NEW"),"",COUNTBLANK(OFFSET(A$1,,,SUMPRODUCT(MAX(ROW(E$2:E2923)*(E2923=E$2:E2923)))))-COUNTBLANK(OFFSET(A$1,,,SUMPRODUCT(MAX(ROW(E$1:E2922)*(E2=E$1:E2922))))))</f>
        <v> </v>
      </c>
      <c r="K2923" s="25" t="str">
        <f>IF(OR(E2923="",E2923="!!!",F2923="NEW"),"",INDEX(J$1:J2922,SUMPRODUCT(MAX(ROW(E$1:E2922)*(E2923=E$1:E2922)))))</f>
        <v> </v>
      </c>
      <c r="L2923" s="26"/>
    </row>
    <row r="2924" spans="1:12">
      <c r="A2924" s="20" t="s">
        <v>2480</v>
      </c>
      <c r="E2924" s="21">
        <f>IF(D2924="?OLD","!!!","")</f>
        <v/>
      </c>
      <c r="F2924" s="22" t="str">
        <f>IF(OR(E2924="",E2924="!!!"),"",IF(NOT(ISNA(VLOOKUP(E2924,E$1:E2923,1,FALSE()))),"OLD",IF(AND(E2924&lt;&gt;"",E2924&lt;&gt;"!!!"),"NEW","")))</f>
        <v> </v>
      </c>
      <c r="G2924" s="23" t="str">
        <f>IF(OR(E2924="",E2924="!!!"),"",IF(OR(J2924=0,AND(J2924=1,K2924=1),AND(J2924=1,I2924="SBJ"),AND(J2924=1,I2924=0)),"?IN_FOCUS",IF(J2924&lt;=2,"?ACTIVATED",IF(J2924&lt;&gt;"","?FAMILIAR",IF(F2924="NEW",IF(ISNA(VLOOKUP(E2924,#REF!,1,FALSE())),"?TYPE_IDENTIFIABLE","?REFERENTIAL"),"_")))))</f>
        <v> </v>
      </c>
      <c r="H2924" s="24" t="str">
        <f>IF(J2924&lt;&gt;1,"",IF(I2924="SBJ","CB","?"))</f>
        <v> </v>
      </c>
      <c r="I2924" s="25" t="str">
        <f>IF(OR(E2924="",E2924="!!!",F2924="NEW"),"",INDEX(B2923:B$2,-1+SUMPRODUCT(MAX(ROW(E2923:E$2)*(E2924=E2923:E$2)))))</f>
        <v> </v>
      </c>
      <c r="J2924" s="25" t="str">
        <f>IF(OR(E2924="",E2924="!!!",F2924="NEW"),"",COUNTBLANK(OFFSET(A$1,,,SUMPRODUCT(MAX(ROW(E$2:E2924)*(E2924=E$2:E2924)))))-COUNTBLANK(OFFSET(A$1,,,SUMPRODUCT(MAX(ROW(E$1:E2923)*(E2=E$1:E2923))))))</f>
        <v> </v>
      </c>
      <c r="K2924" s="25" t="str">
        <f>IF(OR(E2924="",E2924="!!!",F2924="NEW"),"",INDEX(J$1:J2923,SUMPRODUCT(MAX(ROW(E$1:E2923)*(E2924=E$1:E2923)))))</f>
        <v> </v>
      </c>
      <c r="L2924" s="26"/>
    </row>
    <row r="2925" spans="1:12">
      <c r="A2925" s="20" t="s">
        <v>2481</v>
      </c>
      <c r="E2925" s="21">
        <f>IF(D2925="?OLD","!!!","")</f>
        <v/>
      </c>
      <c r="F2925" s="22" t="str">
        <f>IF(OR(E2925="",E2925="!!!"),"",IF(NOT(ISNA(VLOOKUP(E2925,E$1:E2924,1,FALSE()))),"OLD",IF(AND(E2925&lt;&gt;"",E2925&lt;&gt;"!!!"),"NEW","")))</f>
        <v> </v>
      </c>
      <c r="G2925" s="23" t="str">
        <f>IF(OR(E2925="",E2925="!!!"),"",IF(OR(J2925=0,AND(J2925=1,K2925=1),AND(J2925=1,I2925="SBJ"),AND(J2925=1,I2925=0)),"?IN_FOCUS",IF(J2925&lt;=2,"?ACTIVATED",IF(J2925&lt;&gt;"","?FAMILIAR",IF(F2925="NEW",IF(ISNA(VLOOKUP(E2925,#REF!,1,FALSE())),"?TYPE_IDENTIFIABLE","?REFERENTIAL"),"_")))))</f>
        <v> </v>
      </c>
      <c r="H2925" s="24" t="str">
        <f>IF(J2925&lt;&gt;1,"",IF(I2925="SBJ","CB","?"))</f>
        <v> </v>
      </c>
      <c r="I2925" s="25" t="str">
        <f>IF(OR(E2925="",E2925="!!!",F2925="NEW"),"",INDEX(B2924:B$2,-1+SUMPRODUCT(MAX(ROW(E2924:E$2)*(E2925=E2924:E$2)))))</f>
        <v> </v>
      </c>
      <c r="J2925" s="25" t="str">
        <f>IF(OR(E2925="",E2925="!!!",F2925="NEW"),"",COUNTBLANK(OFFSET(A$1,,,SUMPRODUCT(MAX(ROW(E$2:E2925)*(E2925=E$2:E2925)))))-COUNTBLANK(OFFSET(A$1,,,SUMPRODUCT(MAX(ROW(E$1:E2924)*(E2=E$1:E2924))))))</f>
        <v> </v>
      </c>
      <c r="K2925" s="25" t="str">
        <f>IF(OR(E2925="",E2925="!!!",F2925="NEW"),"",INDEX(J$1:J2924,SUMPRODUCT(MAX(ROW(E$1:E2924)*(E2925=E$1:E2924)))))</f>
        <v> </v>
      </c>
      <c r="L2925" s="26"/>
    </row>
    <row r="2926" spans="1:12">
      <c r="A2926" s="20" t="s">
        <v>2482</v>
      </c>
      <c r="E2926" s="21">
        <f>IF(D2926="?OLD","!!!","")</f>
        <v/>
      </c>
      <c r="F2926" s="22" t="str">
        <f>IF(OR(E2926="",E2926="!!!"),"",IF(NOT(ISNA(VLOOKUP(E2926,E$1:E2925,1,FALSE()))),"OLD",IF(AND(E2926&lt;&gt;"",E2926&lt;&gt;"!!!"),"NEW","")))</f>
        <v> </v>
      </c>
      <c r="G2926" s="23" t="str">
        <f>IF(OR(E2926="",E2926="!!!"),"",IF(OR(J2926=0,AND(J2926=1,K2926=1),AND(J2926=1,I2926="SBJ"),AND(J2926=1,I2926=0)),"?IN_FOCUS",IF(J2926&lt;=2,"?ACTIVATED",IF(J2926&lt;&gt;"","?FAMILIAR",IF(F2926="NEW",IF(ISNA(VLOOKUP(E2926,#REF!,1,FALSE())),"?TYPE_IDENTIFIABLE","?REFERENTIAL"),"_")))))</f>
        <v> </v>
      </c>
      <c r="H2926" s="24" t="str">
        <f>IF(J2926&lt;&gt;1,"",IF(I2926="SBJ","CB","?"))</f>
        <v> </v>
      </c>
      <c r="I2926" s="25" t="str">
        <f>IF(OR(E2926="",E2926="!!!",F2926="NEW"),"",INDEX(B2925:B$2,-1+SUMPRODUCT(MAX(ROW(E2925:E$2)*(E2926=E2925:E$2)))))</f>
        <v> </v>
      </c>
      <c r="J2926" s="25" t="str">
        <f>IF(OR(E2926="",E2926="!!!",F2926="NEW"),"",COUNTBLANK(OFFSET(A$1,,,SUMPRODUCT(MAX(ROW(E$2:E2926)*(E2926=E$2:E2926)))))-COUNTBLANK(OFFSET(A$1,,,SUMPRODUCT(MAX(ROW(E$1:E2925)*(E2=E$1:E2925))))))</f>
        <v> </v>
      </c>
      <c r="K2926" s="25" t="str">
        <f>IF(OR(E2926="",E2926="!!!",F2926="NEW"),"",INDEX(J$1:J2925,SUMPRODUCT(MAX(ROW(E$1:E2925)*(E2926=E$1:E2925)))))</f>
        <v> </v>
      </c>
      <c r="L2926" s="26"/>
    </row>
    <row r="2927" spans="1:12">
      <c r="A2927" s="20" t="s">
        <v>2483</v>
      </c>
      <c r="E2927" s="21">
        <f>IF(D2927="?OLD","!!!","")</f>
        <v/>
      </c>
      <c r="F2927" s="22" t="str">
        <f>IF(OR(E2927="",E2927="!!!"),"",IF(NOT(ISNA(VLOOKUP(E2927,E$1:E2926,1,FALSE()))),"OLD",IF(AND(E2927&lt;&gt;"",E2927&lt;&gt;"!!!"),"NEW","")))</f>
        <v> </v>
      </c>
      <c r="G2927" s="23" t="str">
        <f>IF(OR(E2927="",E2927="!!!"),"",IF(OR(J2927=0,AND(J2927=1,K2927=1),AND(J2927=1,I2927="SBJ"),AND(J2927=1,I2927=0)),"?IN_FOCUS",IF(J2927&lt;=2,"?ACTIVATED",IF(J2927&lt;&gt;"","?FAMILIAR",IF(F2927="NEW",IF(ISNA(VLOOKUP(E2927,#REF!,1,FALSE())),"?TYPE_IDENTIFIABLE","?REFERENTIAL"),"_")))))</f>
        <v> </v>
      </c>
      <c r="H2927" s="24" t="str">
        <f>IF(J2927&lt;&gt;1,"",IF(I2927="SBJ","CB","?"))</f>
        <v> </v>
      </c>
      <c r="I2927" s="25" t="str">
        <f>IF(OR(E2927="",E2927="!!!",F2927="NEW"),"",INDEX(B2926:B$2,-1+SUMPRODUCT(MAX(ROW(E2926:E$2)*(E2927=E2926:E$2)))))</f>
        <v> </v>
      </c>
      <c r="J2927" s="25" t="str">
        <f>IF(OR(E2927="",E2927="!!!",F2927="NEW"),"",COUNTBLANK(OFFSET(A$1,,,SUMPRODUCT(MAX(ROW(E$2:E2927)*(E2927=E$2:E2927)))))-COUNTBLANK(OFFSET(A$1,,,SUMPRODUCT(MAX(ROW(E$1:E2926)*(E2=E$1:E2926))))))</f>
        <v> </v>
      </c>
      <c r="K2927" s="25" t="str">
        <f>IF(OR(E2927="",E2927="!!!",F2927="NEW"),"",INDEX(J$1:J2926,SUMPRODUCT(MAX(ROW(E$1:E2926)*(E2927=E$1:E2926)))))</f>
        <v> </v>
      </c>
      <c r="L2927" s="26"/>
    </row>
    <row r="2928" spans="1:12">
      <c r="A2928" s="20" t="s">
        <v>2484</v>
      </c>
      <c r="E2928" s="21">
        <f>IF(D2928="?OLD","!!!","")</f>
        <v/>
      </c>
      <c r="F2928" s="22" t="str">
        <f>IF(OR(E2928="",E2928="!!!"),"",IF(NOT(ISNA(VLOOKUP(E2928,E$1:E2927,1,FALSE()))),"OLD",IF(AND(E2928&lt;&gt;"",E2928&lt;&gt;"!!!"),"NEW","")))</f>
        <v> </v>
      </c>
      <c r="G2928" s="23" t="str">
        <f>IF(OR(E2928="",E2928="!!!"),"",IF(OR(J2928=0,AND(J2928=1,K2928=1),AND(J2928=1,I2928="SBJ"),AND(J2928=1,I2928=0)),"?IN_FOCUS",IF(J2928&lt;=2,"?ACTIVATED",IF(J2928&lt;&gt;"","?FAMILIAR",IF(F2928="NEW",IF(ISNA(VLOOKUP(E2928,#REF!,1,FALSE())),"?TYPE_IDENTIFIABLE","?REFERENTIAL"),"_")))))</f>
        <v> </v>
      </c>
      <c r="H2928" s="24" t="str">
        <f>IF(J2928&lt;&gt;1,"",IF(I2928="SBJ","CB","?"))</f>
        <v> </v>
      </c>
      <c r="I2928" s="25" t="str">
        <f>IF(OR(E2928="",E2928="!!!",F2928="NEW"),"",INDEX(B2927:B$2,-1+SUMPRODUCT(MAX(ROW(E2927:E$2)*(E2928=E2927:E$2)))))</f>
        <v> </v>
      </c>
      <c r="J2928" s="25" t="str">
        <f>IF(OR(E2928="",E2928="!!!",F2928="NEW"),"",COUNTBLANK(OFFSET(A$1,,,SUMPRODUCT(MAX(ROW(E$2:E2928)*(E2928=E$2:E2928)))))-COUNTBLANK(OFFSET(A$1,,,SUMPRODUCT(MAX(ROW(E$1:E2927)*(E2=E$1:E2927))))))</f>
        <v> </v>
      </c>
      <c r="K2928" s="25" t="str">
        <f>IF(OR(E2928="",E2928="!!!",F2928="NEW"),"",INDEX(J$1:J2927,SUMPRODUCT(MAX(ROW(E$1:E2927)*(E2928=E$1:E2927)))))</f>
        <v> </v>
      </c>
      <c r="L2928" s="26"/>
    </row>
    <row r="2929" spans="1:12">
      <c r="A2929" s="20" t="s">
        <v>1145</v>
      </c>
      <c r="E2929" s="21">
        <f>IF(D2929="?OLD","!!!","")</f>
        <v/>
      </c>
      <c r="F2929" s="22" t="str">
        <f>IF(OR(E2929="",E2929="!!!"),"",IF(NOT(ISNA(VLOOKUP(E2929,E$1:E2928,1,FALSE()))),"OLD",IF(AND(E2929&lt;&gt;"",E2929&lt;&gt;"!!!"),"NEW","")))</f>
        <v> </v>
      </c>
      <c r="G2929" s="23" t="str">
        <f>IF(OR(E2929="",E2929="!!!"),"",IF(OR(J2929=0,AND(J2929=1,K2929=1),AND(J2929=1,I2929="SBJ"),AND(J2929=1,I2929=0)),"?IN_FOCUS",IF(J2929&lt;=2,"?ACTIVATED",IF(J2929&lt;&gt;"","?FAMILIAR",IF(F2929="NEW",IF(ISNA(VLOOKUP(E2929,#REF!,1,FALSE())),"?TYPE_IDENTIFIABLE","?REFERENTIAL"),"_")))))</f>
        <v> </v>
      </c>
      <c r="H2929" s="24" t="str">
        <f>IF(J2929&lt;&gt;1,"",IF(I2929="SBJ","CB","?"))</f>
        <v> </v>
      </c>
      <c r="I2929" s="25" t="str">
        <f>IF(OR(E2929="",E2929="!!!",F2929="NEW"),"",INDEX(B2928:B$2,-1+SUMPRODUCT(MAX(ROW(E2928:E$2)*(E2929=E2928:E$2)))))</f>
        <v> </v>
      </c>
      <c r="J2929" s="25" t="str">
        <f>IF(OR(E2929="",E2929="!!!",F2929="NEW"),"",COUNTBLANK(OFFSET(A$1,,,SUMPRODUCT(MAX(ROW(E$2:E2929)*(E2929=E$2:E2929)))))-COUNTBLANK(OFFSET(A$1,,,SUMPRODUCT(MAX(ROW(E$1:E2928)*(E2=E$1:E2928))))))</f>
        <v> </v>
      </c>
      <c r="K2929" s="25" t="str">
        <f>IF(OR(E2929="",E2929="!!!",F2929="NEW"),"",INDEX(J$1:J2928,SUMPRODUCT(MAX(ROW(E$1:E2928)*(E2929=E$1:E2928)))))</f>
        <v> </v>
      </c>
      <c r="L2929" s="26"/>
    </row>
    <row r="2930" spans="1:12">
      <c r="A2930" s="20"/>
    </row>
    <row r="2931" spans="1:12">
      <c r="A2931" s="20" t="s">
        <v>2485</v>
      </c>
    </row>
    <row r="2932" spans="1:12">
      <c r="A2932" s="20" t="s">
        <v>1973</v>
      </c>
      <c r="E2932" s="21">
        <f>IF(D2932="?OLD","!!!","")</f>
        <v/>
      </c>
      <c r="F2932" s="22" t="str">
        <f>IF(OR(E2932="",E2932="!!!"),"",IF(NOT(ISNA(VLOOKUP(E2932,E$1:E2931,1,FALSE()))),"OLD",IF(AND(E2932&lt;&gt;"",E2932&lt;&gt;"!!!"),"NEW","")))</f>
        <v> </v>
      </c>
      <c r="G2932" s="23" t="str">
        <f>IF(OR(E2932="",E2932="!!!"),"",IF(OR(J2932=0,AND(J2932=1,K2932=1),AND(J2932=1,I2932="SBJ"),AND(J2932=1,I2932=0)),"?IN_FOCUS",IF(J2932&lt;=2,"?ACTIVATED",IF(J2932&lt;&gt;"","?FAMILIAR",IF(F2932="NEW",IF(ISNA(VLOOKUP(E2932,#REF!,1,FALSE())),"?TYPE_IDENTIFIABLE","?REFERENTIAL"),"_")))))</f>
        <v> </v>
      </c>
      <c r="H2932" s="24" t="str">
        <f>IF(J2932&lt;&gt;1,"",IF(I2932="SBJ","CB","?"))</f>
        <v> </v>
      </c>
      <c r="I2932" s="25" t="str">
        <f>IF(OR(E2932="",E2932="!!!",F2932="NEW"),"",INDEX(B2931:B$2,-1+SUMPRODUCT(MAX(ROW(E2931:E$2)*(E2932=E2931:E$2)))))</f>
        <v> </v>
      </c>
      <c r="J2932" s="25" t="str">
        <f>IF(OR(E2932="",E2932="!!!",F2932="NEW"),"",COUNTBLANK(OFFSET(A$1,,,SUMPRODUCT(MAX(ROW(E$2:E2932)*(E2932=E$2:E2932)))))-COUNTBLANK(OFFSET(A$1,,,SUMPRODUCT(MAX(ROW(E$1:E2931)*(E2=E$1:E2931))))))</f>
        <v> </v>
      </c>
      <c r="K2932" s="25" t="str">
        <f>IF(OR(E2932="",E2932="!!!",F2932="NEW"),"",INDEX(J$1:J2931,SUMPRODUCT(MAX(ROW(E$1:E2931)*(E2932=E$1:E2931)))))</f>
        <v> </v>
      </c>
      <c r="L2932" s="26"/>
    </row>
    <row r="2933" spans="1:12">
      <c r="A2933" s="20" t="s">
        <v>1318</v>
      </c>
      <c r="E2933" s="21">
        <f>IF(D2933="?OLD","!!!","")</f>
        <v/>
      </c>
      <c r="F2933" s="22" t="str">
        <f>IF(OR(E2933="",E2933="!!!"),"",IF(NOT(ISNA(VLOOKUP(E2933,E$1:E2932,1,FALSE()))),"OLD",IF(AND(E2933&lt;&gt;"",E2933&lt;&gt;"!!!"),"NEW","")))</f>
        <v> </v>
      </c>
      <c r="G2933" s="23" t="str">
        <f>IF(OR(E2933="",E2933="!!!"),"",IF(OR(J2933=0,AND(J2933=1,K2933=1),AND(J2933=1,I2933="SBJ"),AND(J2933=1,I2933=0)),"?IN_FOCUS",IF(J2933&lt;=2,"?ACTIVATED",IF(J2933&lt;&gt;"","?FAMILIAR",IF(F2933="NEW",IF(ISNA(VLOOKUP(E2933,#REF!,1,FALSE())),"?TYPE_IDENTIFIABLE","?REFERENTIAL"),"_")))))</f>
        <v> </v>
      </c>
      <c r="H2933" s="24" t="str">
        <f>IF(J2933&lt;&gt;1,"",IF(I2933="SBJ","CB","?"))</f>
        <v> </v>
      </c>
      <c r="I2933" s="25" t="str">
        <f>IF(OR(E2933="",E2933="!!!",F2933="NEW"),"",INDEX(B2932:B$2,-1+SUMPRODUCT(MAX(ROW(E2932:E$2)*(E2933=E2932:E$2)))))</f>
        <v> </v>
      </c>
      <c r="J2933" s="25" t="str">
        <f>IF(OR(E2933="",E2933="!!!",F2933="NEW"),"",COUNTBLANK(OFFSET(A$1,,,SUMPRODUCT(MAX(ROW(E$2:E2933)*(E2933=E$2:E2933)))))-COUNTBLANK(OFFSET(A$1,,,SUMPRODUCT(MAX(ROW(E$1:E2932)*(E2=E$1:E2932))))))</f>
        <v> </v>
      </c>
      <c r="K2933" s="25" t="str">
        <f>IF(OR(E2933="",E2933="!!!",F2933="NEW"),"",INDEX(J$1:J2932,SUMPRODUCT(MAX(ROW(E$1:E2932)*(E2933=E$1:E2932)))))</f>
        <v> </v>
      </c>
      <c r="L2933" s="26"/>
    </row>
    <row r="2934" spans="1:12">
      <c r="A2934" s="20" t="s">
        <v>1371</v>
      </c>
      <c r="E2934" s="21">
        <f>IF(D2934="?OLD","!!!","")</f>
        <v/>
      </c>
      <c r="F2934" s="22" t="str">
        <f>IF(OR(E2934="",E2934="!!!"),"",IF(NOT(ISNA(VLOOKUP(E2934,E$1:E2933,1,FALSE()))),"OLD",IF(AND(E2934&lt;&gt;"",E2934&lt;&gt;"!!!"),"NEW","")))</f>
        <v> </v>
      </c>
      <c r="G2934" s="23" t="str">
        <f>IF(OR(E2934="",E2934="!!!"),"",IF(OR(J2934=0,AND(J2934=1,K2934=1),AND(J2934=1,I2934="SBJ"),AND(J2934=1,I2934=0)),"?IN_FOCUS",IF(J2934&lt;=2,"?ACTIVATED",IF(J2934&lt;&gt;"","?FAMILIAR",IF(F2934="NEW",IF(ISNA(VLOOKUP(E2934,#REF!,1,FALSE())),"?TYPE_IDENTIFIABLE","?REFERENTIAL"),"_")))))</f>
        <v> </v>
      </c>
      <c r="H2934" s="24" t="str">
        <f>IF(J2934&lt;&gt;1,"",IF(I2934="SBJ","CB","?"))</f>
        <v> </v>
      </c>
      <c r="I2934" s="25" t="str">
        <f>IF(OR(E2934="",E2934="!!!",F2934="NEW"),"",INDEX(B2933:B$2,-1+SUMPRODUCT(MAX(ROW(E2933:E$2)*(E2934=E2933:E$2)))))</f>
        <v> </v>
      </c>
      <c r="J2934" s="25" t="str">
        <f>IF(OR(E2934="",E2934="!!!",F2934="NEW"),"",COUNTBLANK(OFFSET(A$1,,,SUMPRODUCT(MAX(ROW(E$2:E2934)*(E2934=E$2:E2934)))))-COUNTBLANK(OFFSET(A$1,,,SUMPRODUCT(MAX(ROW(E$1:E2933)*(E2=E$1:E2933))))))</f>
        <v> </v>
      </c>
      <c r="K2934" s="25" t="str">
        <f>IF(OR(E2934="",E2934="!!!",F2934="NEW"),"",INDEX(J$1:J2933,SUMPRODUCT(MAX(ROW(E$1:E2933)*(E2934=E$1:E2933)))))</f>
        <v> </v>
      </c>
      <c r="L2934" s="26"/>
    </row>
    <row r="2935" spans="1:12">
      <c r="A2935" s="20" t="s">
        <v>2486</v>
      </c>
      <c r="B2935" s="27" t="s">
        <v>1103</v>
      </c>
      <c r="C2935" s="27" t="s">
        <v>1156</v>
      </c>
      <c r="D2935" s="27" t="s">
        <v>1105</v>
      </c>
      <c r="E2935" s="21">
        <f>IF(D2935="?OLD","!!!","")</f>
        <v/>
      </c>
      <c r="F2935" s="22" t="str">
        <f>IF(OR(E2935="",E2935="!!!"),"",IF(NOT(ISNA(VLOOKUP(E2935,E$1:E2934,1,FALSE()))),"OLD",IF(AND(E2935&lt;&gt;"",E2935&lt;&gt;"!!!"),"NEW","")))</f>
        <v> </v>
      </c>
      <c r="G2935" s="23" t="str">
        <f>IF(OR(E2935="",E2935="!!!"),"",IF(OR(J2935=0,AND(J2935=1,K2935=1),AND(J2935=1,I2935="SBJ"),AND(J2935=1,I2935=0)),"?IN_FOCUS",IF(J2935&lt;=2,"?ACTIVATED",IF(J2935&lt;&gt;"","?FAMILIAR",IF(F2935="NEW",IF(ISNA(VLOOKUP(E2935,#REF!,1,FALSE())),"?TYPE_IDENTIFIABLE","?REFERENTIAL"),"_")))))</f>
        <v> </v>
      </c>
      <c r="H2935" s="24" t="str">
        <f>IF(J2935&lt;&gt;1,"",IF(I2935="SBJ","CB","?"))</f>
        <v> </v>
      </c>
      <c r="I2935" s="25" t="str">
        <f>IF(OR(E2935="",E2935="!!!",F2935="NEW"),"",INDEX(B2934:B$2,-1+SUMPRODUCT(MAX(ROW(E2934:E$2)*(E2935=E2934:E$2)))))</f>
        <v> </v>
      </c>
      <c r="J2935" s="25" t="str">
        <f>IF(OR(E2935="",E2935="!!!",F2935="NEW"),"",COUNTBLANK(OFFSET(A$1,,,SUMPRODUCT(MAX(ROW(E$2:E2935)*(E2935=E$2:E2935)))))-COUNTBLANK(OFFSET(A$1,,,SUMPRODUCT(MAX(ROW(E$1:E2934)*(E2=E$1:E2934))))))</f>
        <v> </v>
      </c>
      <c r="K2935" s="25" t="str">
        <f>IF(OR(E2935="",E2935="!!!",F2935="NEW"),"",INDEX(J$1:J2934,SUMPRODUCT(MAX(ROW(E$1:E2934)*(E2935=E$1:E2934)))))</f>
        <v> </v>
      </c>
      <c r="L2935" s="26"/>
    </row>
    <row r="2936" spans="1:12">
      <c r="A2936" s="20" t="s">
        <v>2487</v>
      </c>
      <c r="E2936" s="21">
        <f>IF(D2936="?OLD","!!!","")</f>
        <v/>
      </c>
      <c r="F2936" s="22" t="str">
        <f>IF(OR(E2936="",E2936="!!!"),"",IF(NOT(ISNA(VLOOKUP(E2936,E$1:E2935,1,FALSE()))),"OLD",IF(AND(E2936&lt;&gt;"",E2936&lt;&gt;"!!!"),"NEW","")))</f>
        <v> </v>
      </c>
      <c r="G2936" s="23" t="str">
        <f>IF(OR(E2936="",E2936="!!!"),"",IF(OR(J2936=0,AND(J2936=1,K2936=1),AND(J2936=1,I2936="SBJ"),AND(J2936=1,I2936=0)),"?IN_FOCUS",IF(J2936&lt;=2,"?ACTIVATED",IF(J2936&lt;&gt;"","?FAMILIAR",IF(F2936="NEW",IF(ISNA(VLOOKUP(E2936,#REF!,1,FALSE())),"?TYPE_IDENTIFIABLE","?REFERENTIAL"),"_")))))</f>
        <v> </v>
      </c>
      <c r="H2936" s="24" t="str">
        <f>IF(J2936&lt;&gt;1,"",IF(I2936="SBJ","CB","?"))</f>
        <v> </v>
      </c>
      <c r="I2936" s="25" t="str">
        <f>IF(OR(E2936="",E2936="!!!",F2936="NEW"),"",INDEX(B2935:B$2,-1+SUMPRODUCT(MAX(ROW(E2935:E$2)*(E2936=E2935:E$2)))))</f>
        <v> </v>
      </c>
      <c r="J2936" s="25" t="str">
        <f>IF(OR(E2936="",E2936="!!!",F2936="NEW"),"",COUNTBLANK(OFFSET(A$1,,,SUMPRODUCT(MAX(ROW(E$2:E2936)*(E2936=E$2:E2936)))))-COUNTBLANK(OFFSET(A$1,,,SUMPRODUCT(MAX(ROW(E$1:E2935)*(E2=E$1:E2935))))))</f>
        <v> </v>
      </c>
      <c r="K2936" s="25" t="str">
        <f>IF(OR(E2936="",E2936="!!!",F2936="NEW"),"",INDEX(J$1:J2935,SUMPRODUCT(MAX(ROW(E$1:E2935)*(E2936=E$1:E2935)))))</f>
        <v> </v>
      </c>
      <c r="L2936" s="26"/>
    </row>
    <row r="2937" spans="1:12">
      <c r="A2937" s="20" t="s">
        <v>2488</v>
      </c>
      <c r="B2937" s="27" t="s">
        <v>1149</v>
      </c>
      <c r="E2937" s="21">
        <f>IF(D2937="?OLD","!!!","")</f>
        <v/>
      </c>
      <c r="F2937" s="22" t="str">
        <f>IF(OR(E2937="",E2937="!!!"),"",IF(NOT(ISNA(VLOOKUP(E2937,E$1:E2936,1,FALSE()))),"OLD",IF(AND(E2937&lt;&gt;"",E2937&lt;&gt;"!!!"),"NEW","")))</f>
        <v> </v>
      </c>
      <c r="G2937" s="23" t="str">
        <f>IF(OR(E2937="",E2937="!!!"),"",IF(OR(J2937=0,AND(J2937=1,K2937=1),AND(J2937=1,I2937="SBJ"),AND(J2937=1,I2937=0)),"?IN_FOCUS",IF(J2937&lt;=2,"?ACTIVATED",IF(J2937&lt;&gt;"","?FAMILIAR",IF(F2937="NEW",IF(ISNA(VLOOKUP(E2937,#REF!,1,FALSE())),"?TYPE_IDENTIFIABLE","?REFERENTIAL"),"_")))))</f>
        <v> </v>
      </c>
      <c r="H2937" s="24" t="str">
        <f>IF(J2937&lt;&gt;1,"",IF(I2937="SBJ","CB","?"))</f>
        <v> </v>
      </c>
      <c r="I2937" s="25" t="str">
        <f>IF(OR(E2937="",E2937="!!!",F2937="NEW"),"",INDEX(B2936:B$2,-1+SUMPRODUCT(MAX(ROW(E2936:E$2)*(E2937=E2936:E$2)))))</f>
        <v> </v>
      </c>
      <c r="J2937" s="25" t="str">
        <f>IF(OR(E2937="",E2937="!!!",F2937="NEW"),"",COUNTBLANK(OFFSET(A$1,,,SUMPRODUCT(MAX(ROW(E$2:E2937)*(E2937=E$2:E2937)))))-COUNTBLANK(OFFSET(A$1,,,SUMPRODUCT(MAX(ROW(E$1:E2936)*(E2=E$1:E2936))))))</f>
        <v> </v>
      </c>
      <c r="K2937" s="25" t="str">
        <f>IF(OR(E2937="",E2937="!!!",F2937="NEW"),"",INDEX(J$1:J2936,SUMPRODUCT(MAX(ROW(E$1:E2936)*(E2937=E$1:E2936)))))</f>
        <v> </v>
      </c>
      <c r="L2937" s="26"/>
    </row>
    <row r="2938" spans="1:12">
      <c r="A2938" s="20" t="s">
        <v>1123</v>
      </c>
      <c r="E2938" s="21">
        <f>IF(D2938="?OLD","!!!","")</f>
        <v/>
      </c>
      <c r="F2938" s="22" t="str">
        <f>IF(OR(E2938="",E2938="!!!"),"",IF(NOT(ISNA(VLOOKUP(E2938,E$1:E2937,1,FALSE()))),"OLD",IF(AND(E2938&lt;&gt;"",E2938&lt;&gt;"!!!"),"NEW","")))</f>
        <v> </v>
      </c>
      <c r="G2938" s="23" t="str">
        <f>IF(OR(E2938="",E2938="!!!"),"",IF(OR(J2938=0,AND(J2938=1,K2938=1),AND(J2938=1,I2938="SBJ"),AND(J2938=1,I2938=0)),"?IN_FOCUS",IF(J2938&lt;=2,"?ACTIVATED",IF(J2938&lt;&gt;"","?FAMILIAR",IF(F2938="NEW",IF(ISNA(VLOOKUP(E2938,#REF!,1,FALSE())),"?TYPE_IDENTIFIABLE","?REFERENTIAL"),"_")))))</f>
        <v> </v>
      </c>
      <c r="H2938" s="24" t="str">
        <f>IF(J2938&lt;&gt;1,"",IF(I2938="SBJ","CB","?"))</f>
        <v> </v>
      </c>
      <c r="I2938" s="25" t="str">
        <f>IF(OR(E2938="",E2938="!!!",F2938="NEW"),"",INDEX(B2937:B$2,-1+SUMPRODUCT(MAX(ROW(E2937:E$2)*(E2938=E2937:E$2)))))</f>
        <v> </v>
      </c>
      <c r="J2938" s="25" t="str">
        <f>IF(OR(E2938="",E2938="!!!",F2938="NEW"),"",COUNTBLANK(OFFSET(A$1,,,SUMPRODUCT(MAX(ROW(E$2:E2938)*(E2938=E$2:E2938)))))-COUNTBLANK(OFFSET(A$1,,,SUMPRODUCT(MAX(ROW(E$1:E2937)*(E2=E$1:E2937))))))</f>
        <v> </v>
      </c>
      <c r="K2938" s="25" t="str">
        <f>IF(OR(E2938="",E2938="!!!",F2938="NEW"),"",INDEX(J$1:J2937,SUMPRODUCT(MAX(ROW(E$1:E2937)*(E2938=E$1:E2937)))))</f>
        <v> </v>
      </c>
      <c r="L2938" s="26"/>
    </row>
    <row r="2939" spans="1:12">
      <c r="A2939" s="20" t="s">
        <v>2489</v>
      </c>
      <c r="E2939" s="21">
        <f>IF(D2939="?OLD","!!!","")</f>
        <v/>
      </c>
      <c r="F2939" s="22" t="str">
        <f>IF(OR(E2939="",E2939="!!!"),"",IF(NOT(ISNA(VLOOKUP(E2939,E$1:E2938,1,FALSE()))),"OLD",IF(AND(E2939&lt;&gt;"",E2939&lt;&gt;"!!!"),"NEW","")))</f>
        <v> </v>
      </c>
      <c r="G2939" s="23" t="str">
        <f>IF(OR(E2939="",E2939="!!!"),"",IF(OR(J2939=0,AND(J2939=1,K2939=1),AND(J2939=1,I2939="SBJ"),AND(J2939=1,I2939=0)),"?IN_FOCUS",IF(J2939&lt;=2,"?ACTIVATED",IF(J2939&lt;&gt;"","?FAMILIAR",IF(F2939="NEW",IF(ISNA(VLOOKUP(E2939,#REF!,1,FALSE())),"?TYPE_IDENTIFIABLE","?REFERENTIAL"),"_")))))</f>
        <v> </v>
      </c>
      <c r="H2939" s="24" t="str">
        <f>IF(J2939&lt;&gt;1,"",IF(I2939="SBJ","CB","?"))</f>
        <v> </v>
      </c>
      <c r="I2939" s="25" t="str">
        <f>IF(OR(E2939="",E2939="!!!",F2939="NEW"),"",INDEX(B2938:B$2,-1+SUMPRODUCT(MAX(ROW(E2938:E$2)*(E2939=E2938:E$2)))))</f>
        <v> </v>
      </c>
      <c r="J2939" s="25" t="str">
        <f>IF(OR(E2939="",E2939="!!!",F2939="NEW"),"",COUNTBLANK(OFFSET(A$1,,,SUMPRODUCT(MAX(ROW(E$2:E2939)*(E2939=E$2:E2939)))))-COUNTBLANK(OFFSET(A$1,,,SUMPRODUCT(MAX(ROW(E$1:E2938)*(E2=E$1:E2938))))))</f>
        <v> </v>
      </c>
      <c r="K2939" s="25" t="str">
        <f>IF(OR(E2939="",E2939="!!!",F2939="NEW"),"",INDEX(J$1:J2938,SUMPRODUCT(MAX(ROW(E$1:E2938)*(E2939=E$1:E2938)))))</f>
        <v> </v>
      </c>
      <c r="L2939" s="26"/>
    </row>
    <row r="2940" spans="1:12">
      <c r="A2940" s="20" t="s">
        <v>1271</v>
      </c>
      <c r="E2940" s="21">
        <f>IF(D2940="?OLD","!!!","")</f>
        <v/>
      </c>
      <c r="F2940" s="22" t="str">
        <f>IF(OR(E2940="",E2940="!!!"),"",IF(NOT(ISNA(VLOOKUP(E2940,E$1:E2939,1,FALSE()))),"OLD",IF(AND(E2940&lt;&gt;"",E2940&lt;&gt;"!!!"),"NEW","")))</f>
        <v> </v>
      </c>
      <c r="G2940" s="23" t="str">
        <f>IF(OR(E2940="",E2940="!!!"),"",IF(OR(J2940=0,AND(J2940=1,K2940=1),AND(J2940=1,I2940="SBJ"),AND(J2940=1,I2940=0)),"?IN_FOCUS",IF(J2940&lt;=2,"?ACTIVATED",IF(J2940&lt;&gt;"","?FAMILIAR",IF(F2940="NEW",IF(ISNA(VLOOKUP(E2940,#REF!,1,FALSE())),"?TYPE_IDENTIFIABLE","?REFERENTIAL"),"_")))))</f>
        <v> </v>
      </c>
      <c r="H2940" s="24" t="str">
        <f>IF(J2940&lt;&gt;1,"",IF(I2940="SBJ","CB","?"))</f>
        <v> </v>
      </c>
      <c r="I2940" s="25" t="str">
        <f>IF(OR(E2940="",E2940="!!!",F2940="NEW"),"",INDEX(B2939:B$2,-1+SUMPRODUCT(MAX(ROW(E2939:E$2)*(E2940=E2939:E$2)))))</f>
        <v> </v>
      </c>
      <c r="J2940" s="25" t="str">
        <f>IF(OR(E2940="",E2940="!!!",F2940="NEW"),"",COUNTBLANK(OFFSET(A$1,,,SUMPRODUCT(MAX(ROW(E$2:E2940)*(E2940=E$2:E2940)))))-COUNTBLANK(OFFSET(A$1,,,SUMPRODUCT(MAX(ROW(E$1:E2939)*(E2=E$1:E2939))))))</f>
        <v> </v>
      </c>
      <c r="K2940" s="25" t="str">
        <f>IF(OR(E2940="",E2940="!!!",F2940="NEW"),"",INDEX(J$1:J2939,SUMPRODUCT(MAX(ROW(E$1:E2939)*(E2940=E$1:E2939)))))</f>
        <v> </v>
      </c>
      <c r="L2940" s="26"/>
    </row>
    <row r="2941" spans="1:12">
      <c r="A2941" s="20" t="s">
        <v>2153</v>
      </c>
      <c r="B2941" s="27" t="s">
        <v>1110</v>
      </c>
      <c r="C2941" s="27" t="s">
        <v>1126</v>
      </c>
      <c r="D2941" s="27" t="s">
        <v>1105</v>
      </c>
      <c r="E2941" s="21">
        <f>IF(D2941="?OLD","!!!","")</f>
        <v/>
      </c>
      <c r="F2941" s="22" t="str">
        <f>IF(OR(E2941="",E2941="!!!"),"",IF(NOT(ISNA(VLOOKUP(E2941,E$1:E2940,1,FALSE()))),"OLD",IF(AND(E2941&lt;&gt;"",E2941&lt;&gt;"!!!"),"NEW","")))</f>
        <v> </v>
      </c>
      <c r="G2941" s="23" t="str">
        <f>IF(OR(E2941="",E2941="!!!"),"",IF(OR(J2941=0,AND(J2941=1,K2941=1),AND(J2941=1,I2941="SBJ"),AND(J2941=1,I2941=0)),"?IN_FOCUS",IF(J2941&lt;=2,"?ACTIVATED",IF(J2941&lt;&gt;"","?FAMILIAR",IF(F2941="NEW",IF(ISNA(VLOOKUP(E2941,#REF!,1,FALSE())),"?TYPE_IDENTIFIABLE","?REFERENTIAL"),"_")))))</f>
        <v> </v>
      </c>
      <c r="H2941" s="24" t="str">
        <f>IF(J2941&lt;&gt;1,"",IF(I2941="SBJ","CB","?"))</f>
        <v> </v>
      </c>
      <c r="I2941" s="25" t="str">
        <f>IF(OR(E2941="",E2941="!!!",F2941="NEW"),"",INDEX(B2940:B$2,-1+SUMPRODUCT(MAX(ROW(E2940:E$2)*(E2941=E2940:E$2)))))</f>
        <v> </v>
      </c>
      <c r="J2941" s="25" t="str">
        <f>IF(OR(E2941="",E2941="!!!",F2941="NEW"),"",COUNTBLANK(OFFSET(A$1,,,SUMPRODUCT(MAX(ROW(E$2:E2941)*(E2941=E$2:E2941)))))-COUNTBLANK(OFFSET(A$1,,,SUMPRODUCT(MAX(ROW(E$1:E2940)*(E2=E$1:E2940))))))</f>
        <v> </v>
      </c>
      <c r="K2941" s="25" t="str">
        <f>IF(OR(E2941="",E2941="!!!",F2941="NEW"),"",INDEX(J$1:J2940,SUMPRODUCT(MAX(ROW(E$1:E2940)*(E2941=E$1:E2940)))))</f>
        <v> </v>
      </c>
      <c r="L2941" s="26"/>
    </row>
    <row r="2942" spans="1:12">
      <c r="A2942" s="20" t="s">
        <v>2490</v>
      </c>
      <c r="E2942" s="21">
        <f>IF(D2942="?OLD","!!!","")</f>
        <v/>
      </c>
      <c r="F2942" s="22" t="str">
        <f>IF(OR(E2942="",E2942="!!!"),"",IF(NOT(ISNA(VLOOKUP(E2942,E$1:E2941,1,FALSE()))),"OLD",IF(AND(E2942&lt;&gt;"",E2942&lt;&gt;"!!!"),"NEW","")))</f>
        <v> </v>
      </c>
      <c r="G2942" s="23" t="str">
        <f>IF(OR(E2942="",E2942="!!!"),"",IF(OR(J2942=0,AND(J2942=1,K2942=1),AND(J2942=1,I2942="SBJ"),AND(J2942=1,I2942=0)),"?IN_FOCUS",IF(J2942&lt;=2,"?ACTIVATED",IF(J2942&lt;&gt;"","?FAMILIAR",IF(F2942="NEW",IF(ISNA(VLOOKUP(E2942,#REF!,1,FALSE())),"?TYPE_IDENTIFIABLE","?REFERENTIAL"),"_")))))</f>
        <v> </v>
      </c>
      <c r="H2942" s="24" t="str">
        <f>IF(J2942&lt;&gt;1,"",IF(I2942="SBJ","CB","?"))</f>
        <v> </v>
      </c>
      <c r="I2942" s="25" t="str">
        <f>IF(OR(E2942="",E2942="!!!",F2942="NEW"),"",INDEX(B2941:B$2,-1+SUMPRODUCT(MAX(ROW(E2941:E$2)*(E2942=E2941:E$2)))))</f>
        <v> </v>
      </c>
      <c r="J2942" s="25" t="str">
        <f>IF(OR(E2942="",E2942="!!!",F2942="NEW"),"",COUNTBLANK(OFFSET(A$1,,,SUMPRODUCT(MAX(ROW(E$2:E2942)*(E2942=E$2:E2942)))))-COUNTBLANK(OFFSET(A$1,,,SUMPRODUCT(MAX(ROW(E$1:E2941)*(E2=E$1:E2941))))))</f>
        <v> </v>
      </c>
      <c r="K2942" s="25" t="str">
        <f>IF(OR(E2942="",E2942="!!!",F2942="NEW"),"",INDEX(J$1:J2941,SUMPRODUCT(MAX(ROW(E$1:E2941)*(E2942=E$1:E2941)))))</f>
        <v> </v>
      </c>
      <c r="L2942" s="26"/>
    </row>
    <row r="2943" spans="1:12">
      <c r="A2943" s="20" t="s">
        <v>1123</v>
      </c>
      <c r="E2943" s="21">
        <f>IF(D2943="?OLD","!!!","")</f>
        <v/>
      </c>
      <c r="F2943" s="22" t="str">
        <f>IF(OR(E2943="",E2943="!!!"),"",IF(NOT(ISNA(VLOOKUP(E2943,E$1:E2942,1,FALSE()))),"OLD",IF(AND(E2943&lt;&gt;"",E2943&lt;&gt;"!!!"),"NEW","")))</f>
        <v> </v>
      </c>
      <c r="G2943" s="23" t="str">
        <f>IF(OR(E2943="",E2943="!!!"),"",IF(OR(J2943=0,AND(J2943=1,K2943=1),AND(J2943=1,I2943="SBJ"),AND(J2943=1,I2943=0)),"?IN_FOCUS",IF(J2943&lt;=2,"?ACTIVATED",IF(J2943&lt;&gt;"","?FAMILIAR",IF(F2943="NEW",IF(ISNA(VLOOKUP(E2943,#REF!,1,FALSE())),"?TYPE_IDENTIFIABLE","?REFERENTIAL"),"_")))))</f>
        <v> </v>
      </c>
      <c r="H2943" s="24" t="str">
        <f>IF(J2943&lt;&gt;1,"",IF(I2943="SBJ","CB","?"))</f>
        <v> </v>
      </c>
      <c r="I2943" s="25" t="str">
        <f>IF(OR(E2943="",E2943="!!!",F2943="NEW"),"",INDEX(B2942:B$2,-1+SUMPRODUCT(MAX(ROW(E2942:E$2)*(E2943=E2942:E$2)))))</f>
        <v> </v>
      </c>
      <c r="J2943" s="25" t="str">
        <f>IF(OR(E2943="",E2943="!!!",F2943="NEW"),"",COUNTBLANK(OFFSET(A$1,,,SUMPRODUCT(MAX(ROW(E$2:E2943)*(E2943=E$2:E2943)))))-COUNTBLANK(OFFSET(A$1,,,SUMPRODUCT(MAX(ROW(E$1:E2942)*(E2=E$1:E2942))))))</f>
        <v> </v>
      </c>
      <c r="K2943" s="25" t="str">
        <f>IF(OR(E2943="",E2943="!!!",F2943="NEW"),"",INDEX(J$1:J2942,SUMPRODUCT(MAX(ROW(E$1:E2942)*(E2943=E$1:E2942)))))</f>
        <v> </v>
      </c>
      <c r="L2943" s="26"/>
    </row>
    <row r="2944" spans="1:12">
      <c r="A2944" s="20" t="s">
        <v>1731</v>
      </c>
      <c r="B2944" s="27" t="s">
        <v>1870</v>
      </c>
      <c r="C2944" s="27" t="s">
        <v>1133</v>
      </c>
      <c r="E2944" s="21">
        <f>IF(D2944="?OLD","!!!","")</f>
        <v/>
      </c>
      <c r="F2944" s="22" t="str">
        <f>IF(OR(E2944="",E2944="!!!"),"",IF(NOT(ISNA(VLOOKUP(E2944,E$1:E2943,1,FALSE()))),"OLD",IF(AND(E2944&lt;&gt;"",E2944&lt;&gt;"!!!"),"NEW","")))</f>
        <v> </v>
      </c>
      <c r="G2944" s="23" t="str">
        <f>IF(OR(E2944="",E2944="!!!"),"",IF(OR(J2944=0,AND(J2944=1,K2944=1),AND(J2944=1,I2944="SBJ"),AND(J2944=1,I2944=0)),"?IN_FOCUS",IF(J2944&lt;=2,"?ACTIVATED",IF(J2944&lt;&gt;"","?FAMILIAR",IF(F2944="NEW",IF(ISNA(VLOOKUP(E2944,#REF!,1,FALSE())),"?TYPE_IDENTIFIABLE","?REFERENTIAL"),"_")))))</f>
        <v> </v>
      </c>
      <c r="H2944" s="24" t="str">
        <f>IF(J2944&lt;&gt;1,"",IF(I2944="SBJ","CB","?"))</f>
        <v> </v>
      </c>
      <c r="I2944" s="25" t="str">
        <f>IF(OR(E2944="",E2944="!!!",F2944="NEW"),"",INDEX(B2943:B$2,-1+SUMPRODUCT(MAX(ROW(E2943:E$2)*(E2944=E2943:E$2)))))</f>
        <v> </v>
      </c>
      <c r="J2944" s="25" t="str">
        <f>IF(OR(E2944="",E2944="!!!",F2944="NEW"),"",COUNTBLANK(OFFSET(A$1,,,SUMPRODUCT(MAX(ROW(E$2:E2944)*(E2944=E$2:E2944)))))-COUNTBLANK(OFFSET(A$1,,,SUMPRODUCT(MAX(ROW(E$1:E2943)*(E2=E$1:E2943))))))</f>
        <v> </v>
      </c>
      <c r="K2944" s="25" t="str">
        <f>IF(OR(E2944="",E2944="!!!",F2944="NEW"),"",INDEX(J$1:J2943,SUMPRODUCT(MAX(ROW(E$1:E2943)*(E2944=E$1:E2943)))))</f>
        <v> </v>
      </c>
      <c r="L2944" s="26"/>
    </row>
    <row r="2945" spans="1:12">
      <c r="A2945" s="20" t="s">
        <v>2491</v>
      </c>
      <c r="E2945" s="21">
        <f>IF(D2945="?OLD","!!!","")</f>
        <v/>
      </c>
      <c r="F2945" s="22" t="str">
        <f>IF(OR(E2945="",E2945="!!!"),"",IF(NOT(ISNA(VLOOKUP(E2945,E$1:E2944,1,FALSE()))),"OLD",IF(AND(E2945&lt;&gt;"",E2945&lt;&gt;"!!!"),"NEW","")))</f>
        <v> </v>
      </c>
      <c r="G2945" s="23" t="str">
        <f>IF(OR(E2945="",E2945="!!!"),"",IF(OR(J2945=0,AND(J2945=1,K2945=1),AND(J2945=1,I2945="SBJ"),AND(J2945=1,I2945=0)),"?IN_FOCUS",IF(J2945&lt;=2,"?ACTIVATED",IF(J2945&lt;&gt;"","?FAMILIAR",IF(F2945="NEW",IF(ISNA(VLOOKUP(E2945,#REF!,1,FALSE())),"?TYPE_IDENTIFIABLE","?REFERENTIAL"),"_")))))</f>
        <v> </v>
      </c>
      <c r="H2945" s="24" t="str">
        <f>IF(J2945&lt;&gt;1,"",IF(I2945="SBJ","CB","?"))</f>
        <v> </v>
      </c>
      <c r="I2945" s="25" t="str">
        <f>IF(OR(E2945="",E2945="!!!",F2945="NEW"),"",INDEX(B2944:B$2,-1+SUMPRODUCT(MAX(ROW(E2944:E$2)*(E2945=E2944:E$2)))))</f>
        <v> </v>
      </c>
      <c r="J2945" s="25" t="str">
        <f>IF(OR(E2945="",E2945="!!!",F2945="NEW"),"",COUNTBLANK(OFFSET(A$1,,,SUMPRODUCT(MAX(ROW(E$2:E2945)*(E2945=E$2:E2945)))))-COUNTBLANK(OFFSET(A$1,,,SUMPRODUCT(MAX(ROW(E$1:E2944)*(E2=E$1:E2944))))))</f>
        <v> </v>
      </c>
      <c r="K2945" s="25" t="str">
        <f>IF(OR(E2945="",E2945="!!!",F2945="NEW"),"",INDEX(J$1:J2944,SUMPRODUCT(MAX(ROW(E$1:E2944)*(E2945=E$1:E2944)))))</f>
        <v> </v>
      </c>
      <c r="L2945" s="26"/>
    </row>
    <row r="2946" spans="1:12">
      <c r="A2946" s="20" t="s">
        <v>1186</v>
      </c>
      <c r="B2946" s="27" t="s">
        <v>2162</v>
      </c>
      <c r="C2946" s="27" t="s">
        <v>1126</v>
      </c>
      <c r="D2946" s="27" t="s">
        <v>1105</v>
      </c>
      <c r="E2946" s="21">
        <f>IF(D2946="?OLD","!!!","")</f>
        <v/>
      </c>
      <c r="F2946" s="22" t="str">
        <f>IF(OR(E2946="",E2946="!!!"),"",IF(NOT(ISNA(VLOOKUP(E2946,E$1:E2945,1,FALSE()))),"OLD",IF(AND(E2946&lt;&gt;"",E2946&lt;&gt;"!!!"),"NEW","")))</f>
        <v> </v>
      </c>
      <c r="G2946" s="23" t="str">
        <f>IF(OR(E2946="",E2946="!!!"),"",IF(OR(J2946=0,AND(J2946=1,K2946=1),AND(J2946=1,I2946="SBJ"),AND(J2946=1,I2946=0)),"?IN_FOCUS",IF(J2946&lt;=2,"?ACTIVATED",IF(J2946&lt;&gt;"","?FAMILIAR",IF(F2946="NEW",IF(ISNA(VLOOKUP(E2946,#REF!,1,FALSE())),"?TYPE_IDENTIFIABLE","?REFERENTIAL"),"_")))))</f>
        <v> </v>
      </c>
      <c r="H2946" s="24" t="str">
        <f>IF(J2946&lt;&gt;1,"",IF(I2946="SBJ","CB","?"))</f>
        <v> </v>
      </c>
      <c r="I2946" s="25" t="str">
        <f>IF(OR(E2946="",E2946="!!!",F2946="NEW"),"",INDEX(B2945:B$2,-1+SUMPRODUCT(MAX(ROW(E2945:E$2)*(E2946=E2945:E$2)))))</f>
        <v> </v>
      </c>
      <c r="J2946" s="25" t="str">
        <f>IF(OR(E2946="",E2946="!!!",F2946="NEW"),"",COUNTBLANK(OFFSET(A$1,,,SUMPRODUCT(MAX(ROW(E$2:E2946)*(E2946=E$2:E2946)))))-COUNTBLANK(OFFSET(A$1,,,SUMPRODUCT(MAX(ROW(E$1:E2945)*(E2=E$1:E2945))))))</f>
        <v> </v>
      </c>
      <c r="K2946" s="25" t="str">
        <f>IF(OR(E2946="",E2946="!!!",F2946="NEW"),"",INDEX(J$1:J2945,SUMPRODUCT(MAX(ROW(E$1:E2945)*(E2946=E$1:E2945)))))</f>
        <v> </v>
      </c>
      <c r="L2946" s="26"/>
    </row>
    <row r="2947" spans="1:12">
      <c r="A2947" s="20" t="s">
        <v>1130</v>
      </c>
      <c r="E2947" s="21">
        <f>IF(D2947="?OLD","!!!","")</f>
        <v/>
      </c>
      <c r="F2947" s="22" t="str">
        <f>IF(OR(E2947="",E2947="!!!"),"",IF(NOT(ISNA(VLOOKUP(E2947,E$1:E2946,1,FALSE()))),"OLD",IF(AND(E2947&lt;&gt;"",E2947&lt;&gt;"!!!"),"NEW","")))</f>
        <v> </v>
      </c>
      <c r="G2947" s="23" t="str">
        <f>IF(OR(E2947="",E2947="!!!"),"",IF(OR(J2947=0,AND(J2947=1,K2947=1),AND(J2947=1,I2947="SBJ"),AND(J2947=1,I2947=0)),"?IN_FOCUS",IF(J2947&lt;=2,"?ACTIVATED",IF(J2947&lt;&gt;"","?FAMILIAR",IF(F2947="NEW",IF(ISNA(VLOOKUP(E2947,#REF!,1,FALSE())),"?TYPE_IDENTIFIABLE","?REFERENTIAL"),"_")))))</f>
        <v> </v>
      </c>
      <c r="H2947" s="24" t="str">
        <f>IF(J2947&lt;&gt;1,"",IF(I2947="SBJ","CB","?"))</f>
        <v> </v>
      </c>
      <c r="I2947" s="25" t="str">
        <f>IF(OR(E2947="",E2947="!!!",F2947="NEW"),"",INDEX(B2946:B$2,-1+SUMPRODUCT(MAX(ROW(E2946:E$2)*(E2947=E2946:E$2)))))</f>
        <v> </v>
      </c>
      <c r="J2947" s="25" t="str">
        <f>IF(OR(E2947="",E2947="!!!",F2947="NEW"),"",COUNTBLANK(OFFSET(A$1,,,SUMPRODUCT(MAX(ROW(E$2:E2947)*(E2947=E$2:E2947)))))-COUNTBLANK(OFFSET(A$1,,,SUMPRODUCT(MAX(ROW(E$1:E2946)*(E2=E$1:E2946))))))</f>
        <v> </v>
      </c>
      <c r="K2947" s="25" t="str">
        <f>IF(OR(E2947="",E2947="!!!",F2947="NEW"),"",INDEX(J$1:J2946,SUMPRODUCT(MAX(ROW(E$1:E2946)*(E2947=E$1:E2946)))))</f>
        <v> </v>
      </c>
      <c r="L2947" s="26"/>
    </row>
    <row r="2948" spans="1:12">
      <c r="A2948" s="20" t="s">
        <v>2250</v>
      </c>
      <c r="E2948" s="21">
        <f>IF(D2948="?OLD","!!!","")</f>
        <v/>
      </c>
      <c r="F2948" s="22" t="str">
        <f>IF(OR(E2948="",E2948="!!!"),"",IF(NOT(ISNA(VLOOKUP(E2948,E$1:E2947,1,FALSE()))),"OLD",IF(AND(E2948&lt;&gt;"",E2948&lt;&gt;"!!!"),"NEW","")))</f>
        <v> </v>
      </c>
      <c r="G2948" s="23" t="str">
        <f>IF(OR(E2948="",E2948="!!!"),"",IF(OR(J2948=0,AND(J2948=1,K2948=1),AND(J2948=1,I2948="SBJ"),AND(J2948=1,I2948=0)),"?IN_FOCUS",IF(J2948&lt;=2,"?ACTIVATED",IF(J2948&lt;&gt;"","?FAMILIAR",IF(F2948="NEW",IF(ISNA(VLOOKUP(E2948,#REF!,1,FALSE())),"?TYPE_IDENTIFIABLE","?REFERENTIAL"),"_")))))</f>
        <v> </v>
      </c>
      <c r="H2948" s="24" t="str">
        <f>IF(J2948&lt;&gt;1,"",IF(I2948="SBJ","CB","?"))</f>
        <v> </v>
      </c>
      <c r="I2948" s="25" t="str">
        <f>IF(OR(E2948="",E2948="!!!",F2948="NEW"),"",INDEX(B2947:B$2,-1+SUMPRODUCT(MAX(ROW(E2947:E$2)*(E2948=E2947:E$2)))))</f>
        <v> </v>
      </c>
      <c r="J2948" s="25" t="str">
        <f>IF(OR(E2948="",E2948="!!!",F2948="NEW"),"",COUNTBLANK(OFFSET(A$1,,,SUMPRODUCT(MAX(ROW(E$2:E2948)*(E2948=E$2:E2948)))))-COUNTBLANK(OFFSET(A$1,,,SUMPRODUCT(MAX(ROW(E$1:E2947)*(E2=E$1:E2947))))))</f>
        <v> </v>
      </c>
      <c r="K2948" s="25" t="str">
        <f>IF(OR(E2948="",E2948="!!!",F2948="NEW"),"",INDEX(J$1:J2947,SUMPRODUCT(MAX(ROW(E$1:E2947)*(E2948=E$1:E2947)))))</f>
        <v> </v>
      </c>
      <c r="L2948" s="26"/>
    </row>
    <row r="2949" spans="1:12">
      <c r="A2949" s="20" t="s">
        <v>1139</v>
      </c>
      <c r="E2949" s="21">
        <f>IF(D2949="?OLD","!!!","")</f>
        <v/>
      </c>
      <c r="F2949" s="22" t="str">
        <f>IF(OR(E2949="",E2949="!!!"),"",IF(NOT(ISNA(VLOOKUP(E2949,E$1:E2948,1,FALSE()))),"OLD",IF(AND(E2949&lt;&gt;"",E2949&lt;&gt;"!!!"),"NEW","")))</f>
        <v> </v>
      </c>
      <c r="G2949" s="23" t="str">
        <f>IF(OR(E2949="",E2949="!!!"),"",IF(OR(J2949=0,AND(J2949=1,K2949=1),AND(J2949=1,I2949="SBJ"),AND(J2949=1,I2949=0)),"?IN_FOCUS",IF(J2949&lt;=2,"?ACTIVATED",IF(J2949&lt;&gt;"","?FAMILIAR",IF(F2949="NEW",IF(ISNA(VLOOKUP(E2949,#REF!,1,FALSE())),"?TYPE_IDENTIFIABLE","?REFERENTIAL"),"_")))))</f>
        <v> </v>
      </c>
      <c r="H2949" s="24" t="str">
        <f>IF(J2949&lt;&gt;1,"",IF(I2949="SBJ","CB","?"))</f>
        <v> </v>
      </c>
      <c r="I2949" s="25" t="str">
        <f>IF(OR(E2949="",E2949="!!!",F2949="NEW"),"",INDEX(B2948:B$2,-1+SUMPRODUCT(MAX(ROW(E2948:E$2)*(E2949=E2948:E$2)))))</f>
        <v> </v>
      </c>
      <c r="J2949" s="25" t="str">
        <f>IF(OR(E2949="",E2949="!!!",F2949="NEW"),"",COUNTBLANK(OFFSET(A$1,,,SUMPRODUCT(MAX(ROW(E$2:E2949)*(E2949=E$2:E2949)))))-COUNTBLANK(OFFSET(A$1,,,SUMPRODUCT(MAX(ROW(E$1:E2948)*(E2=E$1:E2948))))))</f>
        <v> </v>
      </c>
      <c r="K2949" s="25" t="str">
        <f>IF(OR(E2949="",E2949="!!!",F2949="NEW"),"",INDEX(J$1:J2948,SUMPRODUCT(MAX(ROW(E$1:E2948)*(E2949=E$1:E2948)))))</f>
        <v> </v>
      </c>
      <c r="L2949" s="26"/>
    </row>
    <row r="2950" spans="1:12">
      <c r="A2950" s="20" t="s">
        <v>2492</v>
      </c>
      <c r="E2950" s="21">
        <f>IF(D2950="?OLD","!!!","")</f>
        <v/>
      </c>
      <c r="F2950" s="22" t="str">
        <f>IF(OR(E2950="",E2950="!!!"),"",IF(NOT(ISNA(VLOOKUP(E2950,E$1:E2949,1,FALSE()))),"OLD",IF(AND(E2950&lt;&gt;"",E2950&lt;&gt;"!!!"),"NEW","")))</f>
        <v> </v>
      </c>
      <c r="G2950" s="23" t="str">
        <f>IF(OR(E2950="",E2950="!!!"),"",IF(OR(J2950=0,AND(J2950=1,K2950=1),AND(J2950=1,I2950="SBJ"),AND(J2950=1,I2950=0)),"?IN_FOCUS",IF(J2950&lt;=2,"?ACTIVATED",IF(J2950&lt;&gt;"","?FAMILIAR",IF(F2950="NEW",IF(ISNA(VLOOKUP(E2950,#REF!,1,FALSE())),"?TYPE_IDENTIFIABLE","?REFERENTIAL"),"_")))))</f>
        <v> </v>
      </c>
      <c r="H2950" s="24" t="str">
        <f>IF(J2950&lt;&gt;1,"",IF(I2950="SBJ","CB","?"))</f>
        <v> </v>
      </c>
      <c r="I2950" s="25" t="str">
        <f>IF(OR(E2950="",E2950="!!!",F2950="NEW"),"",INDEX(B2949:B$2,-1+SUMPRODUCT(MAX(ROW(E2949:E$2)*(E2950=E2949:E$2)))))</f>
        <v> </v>
      </c>
      <c r="J2950" s="25" t="str">
        <f>IF(OR(E2950="",E2950="!!!",F2950="NEW"),"",COUNTBLANK(OFFSET(A$1,,,SUMPRODUCT(MAX(ROW(E$2:E2950)*(E2950=E$2:E2950)))))-COUNTBLANK(OFFSET(A$1,,,SUMPRODUCT(MAX(ROW(E$1:E2949)*(E2=E$1:E2949))))))</f>
        <v> </v>
      </c>
      <c r="K2950" s="25" t="str">
        <f>IF(OR(E2950="",E2950="!!!",F2950="NEW"),"",INDEX(J$1:J2949,SUMPRODUCT(MAX(ROW(E$1:E2949)*(E2950=E$1:E2949)))))</f>
        <v> </v>
      </c>
      <c r="L2950" s="26"/>
    </row>
    <row r="2951" spans="1:12">
      <c r="A2951" s="20" t="s">
        <v>1123</v>
      </c>
      <c r="E2951" s="21">
        <f>IF(D2951="?OLD","!!!","")</f>
        <v/>
      </c>
      <c r="F2951" s="22" t="str">
        <f>IF(OR(E2951="",E2951="!!!"),"",IF(NOT(ISNA(VLOOKUP(E2951,E$1:E2950,1,FALSE()))),"OLD",IF(AND(E2951&lt;&gt;"",E2951&lt;&gt;"!!!"),"NEW","")))</f>
        <v> </v>
      </c>
      <c r="G2951" s="23" t="str">
        <f>IF(OR(E2951="",E2951="!!!"),"",IF(OR(J2951=0,AND(J2951=1,K2951=1),AND(J2951=1,I2951="SBJ"),AND(J2951=1,I2951=0)),"?IN_FOCUS",IF(J2951&lt;=2,"?ACTIVATED",IF(J2951&lt;&gt;"","?FAMILIAR",IF(F2951="NEW",IF(ISNA(VLOOKUP(E2951,#REF!,1,FALSE())),"?TYPE_IDENTIFIABLE","?REFERENTIAL"),"_")))))</f>
        <v> </v>
      </c>
      <c r="H2951" s="24" t="str">
        <f>IF(J2951&lt;&gt;1,"",IF(I2951="SBJ","CB","?"))</f>
        <v> </v>
      </c>
      <c r="I2951" s="25" t="str">
        <f>IF(OR(E2951="",E2951="!!!",F2951="NEW"),"",INDEX(B2950:B$2,-1+SUMPRODUCT(MAX(ROW(E2950:E$2)*(E2951=E2950:E$2)))))</f>
        <v> </v>
      </c>
      <c r="J2951" s="25" t="str">
        <f>IF(OR(E2951="",E2951="!!!",F2951="NEW"),"",COUNTBLANK(OFFSET(A$1,,,SUMPRODUCT(MAX(ROW(E$2:E2951)*(E2951=E$2:E2951)))))-COUNTBLANK(OFFSET(A$1,,,SUMPRODUCT(MAX(ROW(E$1:E2950)*(E2=E$1:E2950))))))</f>
        <v> </v>
      </c>
      <c r="K2951" s="25" t="str">
        <f>IF(OR(E2951="",E2951="!!!",F2951="NEW"),"",INDEX(J$1:J2950,SUMPRODUCT(MAX(ROW(E$1:E2950)*(E2951=E$1:E2950)))))</f>
        <v> </v>
      </c>
      <c r="L2951" s="26"/>
    </row>
    <row r="2952" spans="1:12">
      <c r="A2952" s="20" t="s">
        <v>1842</v>
      </c>
      <c r="E2952" s="21">
        <f>IF(D2952="?OLD","!!!","")</f>
        <v/>
      </c>
      <c r="F2952" s="22" t="str">
        <f>IF(OR(E2952="",E2952="!!!"),"",IF(NOT(ISNA(VLOOKUP(E2952,E$1:E2951,1,FALSE()))),"OLD",IF(AND(E2952&lt;&gt;"",E2952&lt;&gt;"!!!"),"NEW","")))</f>
        <v> </v>
      </c>
      <c r="G2952" s="23" t="str">
        <f>IF(OR(E2952="",E2952="!!!"),"",IF(OR(J2952=0,AND(J2952=1,K2952=1),AND(J2952=1,I2952="SBJ"),AND(J2952=1,I2952=0)),"?IN_FOCUS",IF(J2952&lt;=2,"?ACTIVATED",IF(J2952&lt;&gt;"","?FAMILIAR",IF(F2952="NEW",IF(ISNA(VLOOKUP(E2952,#REF!,1,FALSE())),"?TYPE_IDENTIFIABLE","?REFERENTIAL"),"_")))))</f>
        <v> </v>
      </c>
      <c r="H2952" s="24" t="str">
        <f>IF(J2952&lt;&gt;1,"",IF(I2952="SBJ","CB","?"))</f>
        <v> </v>
      </c>
      <c r="I2952" s="25" t="str">
        <f>IF(OR(E2952="",E2952="!!!",F2952="NEW"),"",INDEX(B2951:B$2,-1+SUMPRODUCT(MAX(ROW(E2951:E$2)*(E2952=E2951:E$2)))))</f>
        <v> </v>
      </c>
      <c r="J2952" s="25" t="str">
        <f>IF(OR(E2952="",E2952="!!!",F2952="NEW"),"",COUNTBLANK(OFFSET(A$1,,,SUMPRODUCT(MAX(ROW(E$2:E2952)*(E2952=E$2:E2952)))))-COUNTBLANK(OFFSET(A$1,,,SUMPRODUCT(MAX(ROW(E$1:E2951)*(E2=E$1:E2951))))))</f>
        <v> </v>
      </c>
      <c r="K2952" s="25" t="str">
        <f>IF(OR(E2952="",E2952="!!!",F2952="NEW"),"",INDEX(J$1:J2951,SUMPRODUCT(MAX(ROW(E$1:E2951)*(E2952=E$1:E2951)))))</f>
        <v> </v>
      </c>
      <c r="L2952" s="26"/>
    </row>
    <row r="2953" spans="1:12">
      <c r="A2953" s="20" t="s">
        <v>135</v>
      </c>
      <c r="E2953" s="21">
        <f>IF(D2953="?OLD","!!!","")</f>
        <v/>
      </c>
      <c r="F2953" s="22" t="str">
        <f>IF(OR(E2953="",E2953="!!!"),"",IF(NOT(ISNA(VLOOKUP(E2953,E$1:E2952,1,FALSE()))),"OLD",IF(AND(E2953&lt;&gt;"",E2953&lt;&gt;"!!!"),"NEW","")))</f>
        <v> </v>
      </c>
      <c r="G2953" s="23" t="str">
        <f>IF(OR(E2953="",E2953="!!!"),"",IF(OR(J2953=0,AND(J2953=1,K2953=1),AND(J2953=1,I2953="SBJ"),AND(J2953=1,I2953=0)),"?IN_FOCUS",IF(J2953&lt;=2,"?ACTIVATED",IF(J2953&lt;&gt;"","?FAMILIAR",IF(F2953="NEW",IF(ISNA(VLOOKUP(E2953,#REF!,1,FALSE())),"?TYPE_IDENTIFIABLE","?REFERENTIAL"),"_")))))</f>
        <v> </v>
      </c>
      <c r="H2953" s="24" t="str">
        <f>IF(J2953&lt;&gt;1,"",IF(I2953="SBJ","CB","?"))</f>
        <v> </v>
      </c>
      <c r="I2953" s="25" t="str">
        <f>IF(OR(E2953="",E2953="!!!",F2953="NEW"),"",INDEX(B2952:B$2,-1+SUMPRODUCT(MAX(ROW(E2952:E$2)*(E2953=E2952:E$2)))))</f>
        <v> </v>
      </c>
      <c r="J2953" s="25" t="str">
        <f>IF(OR(E2953="",E2953="!!!",F2953="NEW"),"",COUNTBLANK(OFFSET(A$1,,,SUMPRODUCT(MAX(ROW(E$2:E2953)*(E2953=E$2:E2953)))))-COUNTBLANK(OFFSET(A$1,,,SUMPRODUCT(MAX(ROW(E$1:E2952)*(E2=E$1:E2952))))))</f>
        <v> </v>
      </c>
      <c r="K2953" s="25" t="str">
        <f>IF(OR(E2953="",E2953="!!!",F2953="NEW"),"",INDEX(J$1:J2952,SUMPRODUCT(MAX(ROW(E$1:E2952)*(E2953=E$1:E2952)))))</f>
        <v> </v>
      </c>
      <c r="L2953" s="26"/>
    </row>
    <row r="2954" spans="1:12">
      <c r="A2954" s="20" t="s">
        <v>1184</v>
      </c>
      <c r="E2954" s="21">
        <f>IF(D2954="?OLD","!!!","")</f>
        <v/>
      </c>
      <c r="F2954" s="22" t="str">
        <f>IF(OR(E2954="",E2954="!!!"),"",IF(NOT(ISNA(VLOOKUP(E2954,E$1:E2953,1,FALSE()))),"OLD",IF(AND(E2954&lt;&gt;"",E2954&lt;&gt;"!!!"),"NEW","")))</f>
        <v> </v>
      </c>
      <c r="G2954" s="23" t="str">
        <f>IF(OR(E2954="",E2954="!!!"),"",IF(OR(J2954=0,AND(J2954=1,K2954=1),AND(J2954=1,I2954="SBJ"),AND(J2954=1,I2954=0)),"?IN_FOCUS",IF(J2954&lt;=2,"?ACTIVATED",IF(J2954&lt;&gt;"","?FAMILIAR",IF(F2954="NEW",IF(ISNA(VLOOKUP(E2954,#REF!,1,FALSE())),"?TYPE_IDENTIFIABLE","?REFERENTIAL"),"_")))))</f>
        <v> </v>
      </c>
      <c r="H2954" s="24" t="str">
        <f>IF(J2954&lt;&gt;1,"",IF(I2954="SBJ","CB","?"))</f>
        <v> </v>
      </c>
      <c r="I2954" s="25" t="str">
        <f>IF(OR(E2954="",E2954="!!!",F2954="NEW"),"",INDEX(B2953:B$2,-1+SUMPRODUCT(MAX(ROW(E2953:E$2)*(E2954=E2953:E$2)))))</f>
        <v> </v>
      </c>
      <c r="J2954" s="25" t="str">
        <f>IF(OR(E2954="",E2954="!!!",F2954="NEW"),"",COUNTBLANK(OFFSET(A$1,,,SUMPRODUCT(MAX(ROW(E$2:E2954)*(E2954=E$2:E2954)))))-COUNTBLANK(OFFSET(A$1,,,SUMPRODUCT(MAX(ROW(E$1:E2953)*(E2=E$1:E2953))))))</f>
        <v> </v>
      </c>
      <c r="K2954" s="25" t="str">
        <f>IF(OR(E2954="",E2954="!!!",F2954="NEW"),"",INDEX(J$1:J2953,SUMPRODUCT(MAX(ROW(E$1:E2953)*(E2954=E$1:E2953)))))</f>
        <v> </v>
      </c>
      <c r="L2954" s="26"/>
    </row>
    <row r="2955" spans="1:12">
      <c r="A2955" s="20" t="s">
        <v>2493</v>
      </c>
      <c r="E2955" s="21">
        <f>IF(D2955="?OLD","!!!","")</f>
        <v/>
      </c>
      <c r="F2955" s="22" t="str">
        <f>IF(OR(E2955="",E2955="!!!"),"",IF(NOT(ISNA(VLOOKUP(E2955,E$1:E2954,1,FALSE()))),"OLD",IF(AND(E2955&lt;&gt;"",E2955&lt;&gt;"!!!"),"NEW","")))</f>
        <v> </v>
      </c>
      <c r="G2955" s="23" t="str">
        <f>IF(OR(E2955="",E2955="!!!"),"",IF(OR(J2955=0,AND(J2955=1,K2955=1),AND(J2955=1,I2955="SBJ"),AND(J2955=1,I2955=0)),"?IN_FOCUS",IF(J2955&lt;=2,"?ACTIVATED",IF(J2955&lt;&gt;"","?FAMILIAR",IF(F2955="NEW",IF(ISNA(VLOOKUP(E2955,#REF!,1,FALSE())),"?TYPE_IDENTIFIABLE","?REFERENTIAL"),"_")))))</f>
        <v> </v>
      </c>
      <c r="H2955" s="24" t="str">
        <f>IF(J2955&lt;&gt;1,"",IF(I2955="SBJ","CB","?"))</f>
        <v> </v>
      </c>
      <c r="I2955" s="25" t="str">
        <f>IF(OR(E2955="",E2955="!!!",F2955="NEW"),"",INDEX(B2954:B$2,-1+SUMPRODUCT(MAX(ROW(E2954:E$2)*(E2955=E2954:E$2)))))</f>
        <v> </v>
      </c>
      <c r="J2955" s="25" t="str">
        <f>IF(OR(E2955="",E2955="!!!",F2955="NEW"),"",COUNTBLANK(OFFSET(A$1,,,SUMPRODUCT(MAX(ROW(E$2:E2955)*(E2955=E$2:E2955)))))-COUNTBLANK(OFFSET(A$1,,,SUMPRODUCT(MAX(ROW(E$1:E2954)*(E2=E$1:E2954))))))</f>
        <v> </v>
      </c>
      <c r="K2955" s="25" t="str">
        <f>IF(OR(E2955="",E2955="!!!",F2955="NEW"),"",INDEX(J$1:J2954,SUMPRODUCT(MAX(ROW(E$1:E2954)*(E2955=E$1:E2954)))))</f>
        <v> </v>
      </c>
      <c r="L2955" s="26"/>
    </row>
    <row r="2956" spans="1:12">
      <c r="A2956" s="20" t="s">
        <v>2123</v>
      </c>
      <c r="E2956" s="21">
        <f>IF(D2956="?OLD","!!!","")</f>
        <v/>
      </c>
      <c r="F2956" s="22" t="str">
        <f>IF(OR(E2956="",E2956="!!!"),"",IF(NOT(ISNA(VLOOKUP(E2956,E$1:E2955,1,FALSE()))),"OLD",IF(AND(E2956&lt;&gt;"",E2956&lt;&gt;"!!!"),"NEW","")))</f>
        <v> </v>
      </c>
      <c r="G2956" s="23" t="str">
        <f>IF(OR(E2956="",E2956="!!!"),"",IF(OR(J2956=0,AND(J2956=1,K2956=1),AND(J2956=1,I2956="SBJ"),AND(J2956=1,I2956=0)),"?IN_FOCUS",IF(J2956&lt;=2,"?ACTIVATED",IF(J2956&lt;&gt;"","?FAMILIAR",IF(F2956="NEW",IF(ISNA(VLOOKUP(E2956,#REF!,1,FALSE())),"?TYPE_IDENTIFIABLE","?REFERENTIAL"),"_")))))</f>
        <v> </v>
      </c>
      <c r="H2956" s="24" t="str">
        <f>IF(J2956&lt;&gt;1,"",IF(I2956="SBJ","CB","?"))</f>
        <v> </v>
      </c>
      <c r="I2956" s="25" t="str">
        <f>IF(OR(E2956="",E2956="!!!",F2956="NEW"),"",INDEX(B2955:B$2,-1+SUMPRODUCT(MAX(ROW(E2955:E$2)*(E2956=E2955:E$2)))))</f>
        <v> </v>
      </c>
      <c r="J2956" s="25" t="str">
        <f>IF(OR(E2956="",E2956="!!!",F2956="NEW"),"",COUNTBLANK(OFFSET(A$1,,,SUMPRODUCT(MAX(ROW(E$2:E2956)*(E2956=E$2:E2956)))))-COUNTBLANK(OFFSET(A$1,,,SUMPRODUCT(MAX(ROW(E$1:E2955)*(E2=E$1:E2955))))))</f>
        <v> </v>
      </c>
      <c r="K2956" s="25" t="str">
        <f>IF(OR(E2956="",E2956="!!!",F2956="NEW"),"",INDEX(J$1:J2955,SUMPRODUCT(MAX(ROW(E$1:E2955)*(E2956=E$1:E2955)))))</f>
        <v> </v>
      </c>
      <c r="L2956" s="26"/>
    </row>
    <row r="2957" spans="1:12">
      <c r="A2957" s="20" t="s">
        <v>1693</v>
      </c>
      <c r="E2957" s="21">
        <f>IF(D2957="?OLD","!!!","")</f>
        <v/>
      </c>
      <c r="F2957" s="22" t="str">
        <f>IF(OR(E2957="",E2957="!!!"),"",IF(NOT(ISNA(VLOOKUP(E2957,E$1:E2956,1,FALSE()))),"OLD",IF(AND(E2957&lt;&gt;"",E2957&lt;&gt;"!!!"),"NEW","")))</f>
        <v> </v>
      </c>
      <c r="G2957" s="23" t="str">
        <f>IF(OR(E2957="",E2957="!!!"),"",IF(OR(J2957=0,AND(J2957=1,K2957=1),AND(J2957=1,I2957="SBJ"),AND(J2957=1,I2957=0)),"?IN_FOCUS",IF(J2957&lt;=2,"?ACTIVATED",IF(J2957&lt;&gt;"","?FAMILIAR",IF(F2957="NEW",IF(ISNA(VLOOKUP(E2957,#REF!,1,FALSE())),"?TYPE_IDENTIFIABLE","?REFERENTIAL"),"_")))))</f>
        <v> </v>
      </c>
      <c r="H2957" s="24" t="str">
        <f>IF(J2957&lt;&gt;1,"",IF(I2957="SBJ","CB","?"))</f>
        <v> </v>
      </c>
      <c r="I2957" s="25" t="str">
        <f>IF(OR(E2957="",E2957="!!!",F2957="NEW"),"",INDEX(B2956:B$2,-1+SUMPRODUCT(MAX(ROW(E2956:E$2)*(E2957=E2956:E$2)))))</f>
        <v> </v>
      </c>
      <c r="J2957" s="25" t="str">
        <f>IF(OR(E2957="",E2957="!!!",F2957="NEW"),"",COUNTBLANK(OFFSET(A$1,,,SUMPRODUCT(MAX(ROW(E$2:E2957)*(E2957=E$2:E2957)))))-COUNTBLANK(OFFSET(A$1,,,SUMPRODUCT(MAX(ROW(E$1:E2956)*(E2=E$1:E2956))))))</f>
        <v> </v>
      </c>
      <c r="K2957" s="25" t="str">
        <f>IF(OR(E2957="",E2957="!!!",F2957="NEW"),"",INDEX(J$1:J2956,SUMPRODUCT(MAX(ROW(E$1:E2956)*(E2957=E$1:E2956)))))</f>
        <v> </v>
      </c>
      <c r="L2957" s="26"/>
    </row>
    <row r="2958" spans="1:12">
      <c r="A2958" s="20" t="s">
        <v>883</v>
      </c>
      <c r="E2958" s="21">
        <f>IF(D2958="?OLD","!!!","")</f>
        <v/>
      </c>
      <c r="F2958" s="22" t="str">
        <f>IF(OR(E2958="",E2958="!!!"),"",IF(NOT(ISNA(VLOOKUP(E2958,E$1:E2957,1,FALSE()))),"OLD",IF(AND(E2958&lt;&gt;"",E2958&lt;&gt;"!!!"),"NEW","")))</f>
        <v> </v>
      </c>
      <c r="G2958" s="23" t="str">
        <f>IF(OR(E2958="",E2958="!!!"),"",IF(OR(J2958=0,AND(J2958=1,K2958=1),AND(J2958=1,I2958="SBJ"),AND(J2958=1,I2958=0)),"?IN_FOCUS",IF(J2958&lt;=2,"?ACTIVATED",IF(J2958&lt;&gt;"","?FAMILIAR",IF(F2958="NEW",IF(ISNA(VLOOKUP(E2958,#REF!,1,FALSE())),"?TYPE_IDENTIFIABLE","?REFERENTIAL"),"_")))))</f>
        <v> </v>
      </c>
      <c r="H2958" s="24" t="str">
        <f>IF(J2958&lt;&gt;1,"",IF(I2958="SBJ","CB","?"))</f>
        <v> </v>
      </c>
      <c r="I2958" s="25" t="str">
        <f>IF(OR(E2958="",E2958="!!!",F2958="NEW"),"",INDEX(B2957:B$2,-1+SUMPRODUCT(MAX(ROW(E2957:E$2)*(E2958=E2957:E$2)))))</f>
        <v> </v>
      </c>
      <c r="J2958" s="25" t="str">
        <f>IF(OR(E2958="",E2958="!!!",F2958="NEW"),"",COUNTBLANK(OFFSET(A$1,,,SUMPRODUCT(MAX(ROW(E$2:E2958)*(E2958=E$2:E2958)))))-COUNTBLANK(OFFSET(A$1,,,SUMPRODUCT(MAX(ROW(E$1:E2957)*(E2=E$1:E2957))))))</f>
        <v> </v>
      </c>
      <c r="K2958" s="25" t="str">
        <f>IF(OR(E2958="",E2958="!!!",F2958="NEW"),"",INDEX(J$1:J2957,SUMPRODUCT(MAX(ROW(E$1:E2957)*(E2958=E$1:E2957)))))</f>
        <v> </v>
      </c>
      <c r="L2958" s="26"/>
    </row>
    <row r="2959" spans="1:12">
      <c r="A2959" s="20" t="s">
        <v>1120</v>
      </c>
      <c r="E2959" s="21">
        <f>IF(D2959="?OLD","!!!","")</f>
        <v/>
      </c>
      <c r="F2959" s="22" t="str">
        <f>IF(OR(E2959="",E2959="!!!"),"",IF(NOT(ISNA(VLOOKUP(E2959,E$1:E2958,1,FALSE()))),"OLD",IF(AND(E2959&lt;&gt;"",E2959&lt;&gt;"!!!"),"NEW","")))</f>
        <v> </v>
      </c>
      <c r="G2959" s="23" t="str">
        <f>IF(OR(E2959="",E2959="!!!"),"",IF(OR(J2959=0,AND(J2959=1,K2959=1),AND(J2959=1,I2959="SBJ"),AND(J2959=1,I2959=0)),"?IN_FOCUS",IF(J2959&lt;=2,"?ACTIVATED",IF(J2959&lt;&gt;"","?FAMILIAR",IF(F2959="NEW",IF(ISNA(VLOOKUP(E2959,#REF!,1,FALSE())),"?TYPE_IDENTIFIABLE","?REFERENTIAL"),"_")))))</f>
        <v> </v>
      </c>
      <c r="H2959" s="24" t="str">
        <f>IF(J2959&lt;&gt;1,"",IF(I2959="SBJ","CB","?"))</f>
        <v> </v>
      </c>
      <c r="I2959" s="25" t="str">
        <f>IF(OR(E2959="",E2959="!!!",F2959="NEW"),"",INDEX(B2958:B$2,-1+SUMPRODUCT(MAX(ROW(E2958:E$2)*(E2959=E2958:E$2)))))</f>
        <v> </v>
      </c>
      <c r="J2959" s="25" t="str">
        <f>IF(OR(E2959="",E2959="!!!",F2959="NEW"),"",COUNTBLANK(OFFSET(A$1,,,SUMPRODUCT(MAX(ROW(E$2:E2959)*(E2959=E$2:E2959)))))-COUNTBLANK(OFFSET(A$1,,,SUMPRODUCT(MAX(ROW(E$1:E2958)*(E2=E$1:E2958))))))</f>
        <v> </v>
      </c>
      <c r="K2959" s="25" t="str">
        <f>IF(OR(E2959="",E2959="!!!",F2959="NEW"),"",INDEX(J$1:J2958,SUMPRODUCT(MAX(ROW(E$1:E2958)*(E2959=E$1:E2958)))))</f>
        <v> </v>
      </c>
      <c r="L2959" s="26"/>
    </row>
    <row r="2960" spans="1:12">
      <c r="A2960" s="20" t="s">
        <v>2494</v>
      </c>
      <c r="E2960" s="21">
        <f>IF(D2960="?OLD","!!!","")</f>
        <v/>
      </c>
      <c r="F2960" s="22" t="str">
        <f>IF(OR(E2960="",E2960="!!!"),"",IF(NOT(ISNA(VLOOKUP(E2960,E$1:E2959,1,FALSE()))),"OLD",IF(AND(E2960&lt;&gt;"",E2960&lt;&gt;"!!!"),"NEW","")))</f>
        <v> </v>
      </c>
      <c r="G2960" s="23" t="str">
        <f>IF(OR(E2960="",E2960="!!!"),"",IF(OR(J2960=0,AND(J2960=1,K2960=1),AND(J2960=1,I2960="SBJ"),AND(J2960=1,I2960=0)),"?IN_FOCUS",IF(J2960&lt;=2,"?ACTIVATED",IF(J2960&lt;&gt;"","?FAMILIAR",IF(F2960="NEW",IF(ISNA(VLOOKUP(E2960,#REF!,1,FALSE())),"?TYPE_IDENTIFIABLE","?REFERENTIAL"),"_")))))</f>
        <v> </v>
      </c>
      <c r="H2960" s="24" t="str">
        <f>IF(J2960&lt;&gt;1,"",IF(I2960="SBJ","CB","?"))</f>
        <v> </v>
      </c>
      <c r="I2960" s="25" t="str">
        <f>IF(OR(E2960="",E2960="!!!",F2960="NEW"),"",INDEX(B2959:B$2,-1+SUMPRODUCT(MAX(ROW(E2959:E$2)*(E2960=E2959:E$2)))))</f>
        <v> </v>
      </c>
      <c r="J2960" s="25" t="str">
        <f>IF(OR(E2960="",E2960="!!!",F2960="NEW"),"",COUNTBLANK(OFFSET(A$1,,,SUMPRODUCT(MAX(ROW(E$2:E2960)*(E2960=E$2:E2960)))))-COUNTBLANK(OFFSET(A$1,,,SUMPRODUCT(MAX(ROW(E$1:E2959)*(E2=E$1:E2959))))))</f>
        <v> </v>
      </c>
      <c r="K2960" s="25" t="str">
        <f>IF(OR(E2960="",E2960="!!!",F2960="NEW"),"",INDEX(J$1:J2959,SUMPRODUCT(MAX(ROW(E$1:E2959)*(E2960=E$1:E2959)))))</f>
        <v> </v>
      </c>
      <c r="L2960" s="26"/>
    </row>
    <row r="2961" spans="1:12">
      <c r="A2961" s="20" t="s">
        <v>1123</v>
      </c>
      <c r="E2961" s="21">
        <f>IF(D2961="?OLD","!!!","")</f>
        <v/>
      </c>
      <c r="F2961" s="22" t="str">
        <f>IF(OR(E2961="",E2961="!!!"),"",IF(NOT(ISNA(VLOOKUP(E2961,E$1:E2960,1,FALSE()))),"OLD",IF(AND(E2961&lt;&gt;"",E2961&lt;&gt;"!!!"),"NEW","")))</f>
        <v> </v>
      </c>
      <c r="G2961" s="23" t="str">
        <f>IF(OR(E2961="",E2961="!!!"),"",IF(OR(J2961=0,AND(J2961=1,K2961=1),AND(J2961=1,I2961="SBJ"),AND(J2961=1,I2961=0)),"?IN_FOCUS",IF(J2961&lt;=2,"?ACTIVATED",IF(J2961&lt;&gt;"","?FAMILIAR",IF(F2961="NEW",IF(ISNA(VLOOKUP(E2961,#REF!,1,FALSE())),"?TYPE_IDENTIFIABLE","?REFERENTIAL"),"_")))))</f>
        <v> </v>
      </c>
      <c r="H2961" s="24" t="str">
        <f>IF(J2961&lt;&gt;1,"",IF(I2961="SBJ","CB","?"))</f>
        <v> </v>
      </c>
      <c r="I2961" s="25" t="str">
        <f>IF(OR(E2961="",E2961="!!!",F2961="NEW"),"",INDEX(B2960:B$2,-1+SUMPRODUCT(MAX(ROW(E2960:E$2)*(E2961=E2960:E$2)))))</f>
        <v> </v>
      </c>
      <c r="J2961" s="25" t="str">
        <f>IF(OR(E2961="",E2961="!!!",F2961="NEW"),"",COUNTBLANK(OFFSET(A$1,,,SUMPRODUCT(MAX(ROW(E$2:E2961)*(E2961=E$2:E2961)))))-COUNTBLANK(OFFSET(A$1,,,SUMPRODUCT(MAX(ROW(E$1:E2960)*(E2=E$1:E2960))))))</f>
        <v> </v>
      </c>
      <c r="K2961" s="25" t="str">
        <f>IF(OR(E2961="",E2961="!!!",F2961="NEW"),"",INDEX(J$1:J2960,SUMPRODUCT(MAX(ROW(E$1:E2960)*(E2961=E$1:E2960)))))</f>
        <v> </v>
      </c>
      <c r="L2961" s="26"/>
    </row>
    <row r="2962" spans="1:12">
      <c r="A2962" s="20" t="s">
        <v>1181</v>
      </c>
      <c r="B2962" s="27" t="s">
        <v>1495</v>
      </c>
      <c r="C2962" s="27" t="s">
        <v>1133</v>
      </c>
      <c r="E2962" s="21">
        <f>IF(D2962="?OLD","!!!","")</f>
        <v/>
      </c>
      <c r="F2962" s="22" t="str">
        <f>IF(OR(E2962="",E2962="!!!"),"",IF(NOT(ISNA(VLOOKUP(E2962,E$1:E2961,1,FALSE()))),"OLD",IF(AND(E2962&lt;&gt;"",E2962&lt;&gt;"!!!"),"NEW","")))</f>
        <v> </v>
      </c>
      <c r="G2962" s="23" t="str">
        <f>IF(OR(E2962="",E2962="!!!"),"",IF(OR(J2962=0,AND(J2962=1,K2962=1),AND(J2962=1,I2962="SBJ"),AND(J2962=1,I2962=0)),"?IN_FOCUS",IF(J2962&lt;=2,"?ACTIVATED",IF(J2962&lt;&gt;"","?FAMILIAR",IF(F2962="NEW",IF(ISNA(VLOOKUP(E2962,#REF!,1,FALSE())),"?TYPE_IDENTIFIABLE","?REFERENTIAL"),"_")))))</f>
        <v> </v>
      </c>
      <c r="H2962" s="24" t="str">
        <f>IF(J2962&lt;&gt;1,"",IF(I2962="SBJ","CB","?"))</f>
        <v> </v>
      </c>
      <c r="I2962" s="25" t="str">
        <f>IF(OR(E2962="",E2962="!!!",F2962="NEW"),"",INDEX(B2961:B$2,-1+SUMPRODUCT(MAX(ROW(E2961:E$2)*(E2962=E2961:E$2)))))</f>
        <v> </v>
      </c>
      <c r="J2962" s="25" t="str">
        <f>IF(OR(E2962="",E2962="!!!",F2962="NEW"),"",COUNTBLANK(OFFSET(A$1,,,SUMPRODUCT(MAX(ROW(E$2:E2962)*(E2962=E$2:E2962)))))-COUNTBLANK(OFFSET(A$1,,,SUMPRODUCT(MAX(ROW(E$1:E2961)*(E2=E$1:E2961))))))</f>
        <v> </v>
      </c>
      <c r="K2962" s="25" t="str">
        <f>IF(OR(E2962="",E2962="!!!",F2962="NEW"),"",INDEX(J$1:J2961,SUMPRODUCT(MAX(ROW(E$1:E2961)*(E2962=E$1:E2961)))))</f>
        <v> </v>
      </c>
      <c r="L2962" s="26"/>
    </row>
    <row r="2963" spans="1:12">
      <c r="A2963" s="20" t="s">
        <v>1114</v>
      </c>
      <c r="B2963" s="27" t="s">
        <v>2041</v>
      </c>
      <c r="C2963" s="27" t="s">
        <v>1116</v>
      </c>
      <c r="D2963" s="27" t="s">
        <v>1105</v>
      </c>
      <c r="E2963" s="21">
        <f>IF(D2963="?OLD","!!!","")</f>
        <v/>
      </c>
      <c r="F2963" s="22" t="str">
        <f>IF(OR(E2963="",E2963="!!!"),"",IF(NOT(ISNA(VLOOKUP(E2963,E$1:E2962,1,FALSE()))),"OLD",IF(AND(E2963&lt;&gt;"",E2963&lt;&gt;"!!!"),"NEW","")))</f>
        <v> </v>
      </c>
      <c r="G2963" s="23" t="str">
        <f>IF(OR(E2963="",E2963="!!!"),"",IF(OR(J2963=0,AND(J2963=1,K2963=1),AND(J2963=1,I2963="SBJ"),AND(J2963=1,I2963=0)),"?IN_FOCUS",IF(J2963&lt;=2,"?ACTIVATED",IF(J2963&lt;&gt;"","?FAMILIAR",IF(F2963="NEW",IF(ISNA(VLOOKUP(E2963,#REF!,1,FALSE())),"?TYPE_IDENTIFIABLE","?REFERENTIAL"),"_")))))</f>
        <v> </v>
      </c>
      <c r="H2963" s="24" t="str">
        <f>IF(J2963&lt;&gt;1,"",IF(I2963="SBJ","CB","?"))</f>
        <v> </v>
      </c>
      <c r="I2963" s="25" t="str">
        <f>IF(OR(E2963="",E2963="!!!",F2963="NEW"),"",INDEX(B2962:B$2,-1+SUMPRODUCT(MAX(ROW(E2962:E$2)*(E2963=E2962:E$2)))))</f>
        <v> </v>
      </c>
      <c r="J2963" s="25" t="str">
        <f>IF(OR(E2963="",E2963="!!!",F2963="NEW"),"",COUNTBLANK(OFFSET(A$1,,,SUMPRODUCT(MAX(ROW(E$2:E2963)*(E2963=E$2:E2963)))))-COUNTBLANK(OFFSET(A$1,,,SUMPRODUCT(MAX(ROW(E$1:E2962)*(E2=E$1:E2962))))))</f>
        <v> </v>
      </c>
      <c r="K2963" s="25" t="str">
        <f>IF(OR(E2963="",E2963="!!!",F2963="NEW"),"",INDEX(J$1:J2962,SUMPRODUCT(MAX(ROW(E$1:E2962)*(E2963=E$1:E2962)))))</f>
        <v> </v>
      </c>
      <c r="L2963" s="26"/>
    </row>
    <row r="2964" spans="1:12">
      <c r="A2964" s="20" t="s">
        <v>1111</v>
      </c>
      <c r="E2964" s="21">
        <f>IF(D2964="?OLD","!!!","")</f>
        <v/>
      </c>
      <c r="F2964" s="22" t="str">
        <f>IF(OR(E2964="",E2964="!!!"),"",IF(NOT(ISNA(VLOOKUP(E2964,E$1:E2963,1,FALSE()))),"OLD",IF(AND(E2964&lt;&gt;"",E2964&lt;&gt;"!!!"),"NEW","")))</f>
        <v> </v>
      </c>
      <c r="G2964" s="23" t="str">
        <f>IF(OR(E2964="",E2964="!!!"),"",IF(OR(J2964=0,AND(J2964=1,K2964=1),AND(J2964=1,I2964="SBJ"),AND(J2964=1,I2964=0)),"?IN_FOCUS",IF(J2964&lt;=2,"?ACTIVATED",IF(J2964&lt;&gt;"","?FAMILIAR",IF(F2964="NEW",IF(ISNA(VLOOKUP(E2964,#REF!,1,FALSE())),"?TYPE_IDENTIFIABLE","?REFERENTIAL"),"_")))))</f>
        <v> </v>
      </c>
      <c r="H2964" s="24" t="str">
        <f>IF(J2964&lt;&gt;1,"",IF(I2964="SBJ","CB","?"))</f>
        <v> </v>
      </c>
      <c r="I2964" s="25" t="str">
        <f>IF(OR(E2964="",E2964="!!!",F2964="NEW"),"",INDEX(B2963:B$2,-1+SUMPRODUCT(MAX(ROW(E2963:E$2)*(E2964=E2963:E$2)))))</f>
        <v> </v>
      </c>
      <c r="J2964" s="25" t="str">
        <f>IF(OR(E2964="",E2964="!!!",F2964="NEW"),"",COUNTBLANK(OFFSET(A$1,,,SUMPRODUCT(MAX(ROW(E$2:E2964)*(E2964=E$2:E2964)))))-COUNTBLANK(OFFSET(A$1,,,SUMPRODUCT(MAX(ROW(E$1:E2963)*(E2=E$1:E2963))))))</f>
        <v> </v>
      </c>
      <c r="K2964" s="25" t="str">
        <f>IF(OR(E2964="",E2964="!!!",F2964="NEW"),"",INDEX(J$1:J2963,SUMPRODUCT(MAX(ROW(E$1:E2963)*(E2964=E$1:E2963)))))</f>
        <v> </v>
      </c>
      <c r="L2964" s="26"/>
    </row>
    <row r="2965" spans="1:12">
      <c r="A2965" s="20" t="s">
        <v>2495</v>
      </c>
      <c r="B2965" s="27" t="s">
        <v>2496</v>
      </c>
      <c r="E2965" s="21">
        <f>IF(D2965="?OLD","!!!","")</f>
        <v/>
      </c>
      <c r="F2965" s="22" t="str">
        <f>IF(OR(E2965="",E2965="!!!"),"",IF(NOT(ISNA(VLOOKUP(E2965,E$1:E2964,1,FALSE()))),"OLD",IF(AND(E2965&lt;&gt;"",E2965&lt;&gt;"!!!"),"NEW","")))</f>
        <v> </v>
      </c>
      <c r="G2965" s="23" t="str">
        <f>IF(OR(E2965="",E2965="!!!"),"",IF(OR(J2965=0,AND(J2965=1,K2965=1),AND(J2965=1,I2965="SBJ"),AND(J2965=1,I2965=0)),"?IN_FOCUS",IF(J2965&lt;=2,"?ACTIVATED",IF(J2965&lt;&gt;"","?FAMILIAR",IF(F2965="NEW",IF(ISNA(VLOOKUP(E2965,#REF!,1,FALSE())),"?TYPE_IDENTIFIABLE","?REFERENTIAL"),"_")))))</f>
        <v> </v>
      </c>
      <c r="H2965" s="24" t="str">
        <f>IF(J2965&lt;&gt;1,"",IF(I2965="SBJ","CB","?"))</f>
        <v> </v>
      </c>
      <c r="I2965" s="25" t="str">
        <f>IF(OR(E2965="",E2965="!!!",F2965="NEW"),"",INDEX(B2964:B$2,-1+SUMPRODUCT(MAX(ROW(E2964:E$2)*(E2965=E2964:E$2)))))</f>
        <v> </v>
      </c>
      <c r="J2965" s="25" t="str">
        <f>IF(OR(E2965="",E2965="!!!",F2965="NEW"),"",COUNTBLANK(OFFSET(A$1,,,SUMPRODUCT(MAX(ROW(E$2:E2965)*(E2965=E$2:E2965)))))-COUNTBLANK(OFFSET(A$1,,,SUMPRODUCT(MAX(ROW(E$1:E2964)*(E2=E$1:E2964))))))</f>
        <v> </v>
      </c>
      <c r="K2965" s="25" t="str">
        <f>IF(OR(E2965="",E2965="!!!",F2965="NEW"),"",INDEX(J$1:J2964,SUMPRODUCT(MAX(ROW(E$1:E2964)*(E2965=E$1:E2964)))))</f>
        <v> </v>
      </c>
      <c r="L2965" s="26"/>
    </row>
    <row r="2966" spans="1:12">
      <c r="A2966" s="20" t="s">
        <v>1188</v>
      </c>
      <c r="E2966" s="21">
        <f>IF(D2966="?OLD","!!!","")</f>
        <v/>
      </c>
      <c r="F2966" s="22" t="str">
        <f>IF(OR(E2966="",E2966="!!!"),"",IF(NOT(ISNA(VLOOKUP(E2966,E$1:E2965,1,FALSE()))),"OLD",IF(AND(E2966&lt;&gt;"",E2966&lt;&gt;"!!!"),"NEW","")))</f>
        <v> </v>
      </c>
      <c r="G2966" s="23" t="str">
        <f>IF(OR(E2966="",E2966="!!!"),"",IF(OR(J2966=0,AND(J2966=1,K2966=1),AND(J2966=1,I2966="SBJ"),AND(J2966=1,I2966=0)),"?IN_FOCUS",IF(J2966&lt;=2,"?ACTIVATED",IF(J2966&lt;&gt;"","?FAMILIAR",IF(F2966="NEW",IF(ISNA(VLOOKUP(E2966,#REF!,1,FALSE())),"?TYPE_IDENTIFIABLE","?REFERENTIAL"),"_")))))</f>
        <v> </v>
      </c>
      <c r="H2966" s="24" t="str">
        <f>IF(J2966&lt;&gt;1,"",IF(I2966="SBJ","CB","?"))</f>
        <v> </v>
      </c>
      <c r="I2966" s="25" t="str">
        <f>IF(OR(E2966="",E2966="!!!",F2966="NEW"),"",INDEX(B2965:B$2,-1+SUMPRODUCT(MAX(ROW(E2965:E$2)*(E2966=E2965:E$2)))))</f>
        <v> </v>
      </c>
      <c r="J2966" s="25" t="str">
        <f>IF(OR(E2966="",E2966="!!!",F2966="NEW"),"",COUNTBLANK(OFFSET(A$1,,,SUMPRODUCT(MAX(ROW(E$2:E2966)*(E2966=E$2:E2966)))))-COUNTBLANK(OFFSET(A$1,,,SUMPRODUCT(MAX(ROW(E$1:E2965)*(E2=E$1:E2965))))))</f>
        <v> </v>
      </c>
      <c r="K2966" s="25" t="str">
        <f>IF(OR(E2966="",E2966="!!!",F2966="NEW"),"",INDEX(J$1:J2965,SUMPRODUCT(MAX(ROW(E$1:E2965)*(E2966=E$1:E2965)))))</f>
        <v> </v>
      </c>
      <c r="L2966" s="26"/>
    </row>
    <row r="2967" spans="1:12">
      <c r="A2967" s="20" t="s">
        <v>1609</v>
      </c>
      <c r="E2967" s="21">
        <f>IF(D2967="?OLD","!!!","")</f>
        <v/>
      </c>
      <c r="F2967" s="22" t="str">
        <f>IF(OR(E2967="",E2967="!!!"),"",IF(NOT(ISNA(VLOOKUP(E2967,E$1:E2966,1,FALSE()))),"OLD",IF(AND(E2967&lt;&gt;"",E2967&lt;&gt;"!!!"),"NEW","")))</f>
        <v> </v>
      </c>
      <c r="G2967" s="23" t="str">
        <f>IF(OR(E2967="",E2967="!!!"),"",IF(OR(J2967=0,AND(J2967=1,K2967=1),AND(J2967=1,I2967="SBJ"),AND(J2967=1,I2967=0)),"?IN_FOCUS",IF(J2967&lt;=2,"?ACTIVATED",IF(J2967&lt;&gt;"","?FAMILIAR",IF(F2967="NEW",IF(ISNA(VLOOKUP(E2967,#REF!,1,FALSE())),"?TYPE_IDENTIFIABLE","?REFERENTIAL"),"_")))))</f>
        <v> </v>
      </c>
      <c r="H2967" s="24" t="str">
        <f>IF(J2967&lt;&gt;1,"",IF(I2967="SBJ","CB","?"))</f>
        <v> </v>
      </c>
      <c r="I2967" s="25" t="str">
        <f>IF(OR(E2967="",E2967="!!!",F2967="NEW"),"",INDEX(B2966:B$2,-1+SUMPRODUCT(MAX(ROW(E2966:E$2)*(E2967=E2966:E$2)))))</f>
        <v> </v>
      </c>
      <c r="J2967" s="25" t="str">
        <f>IF(OR(E2967="",E2967="!!!",F2967="NEW"),"",COUNTBLANK(OFFSET(A$1,,,SUMPRODUCT(MAX(ROW(E$2:E2967)*(E2967=E$2:E2967)))))-COUNTBLANK(OFFSET(A$1,,,SUMPRODUCT(MAX(ROW(E$1:E2966)*(E2=E$1:E2966))))))</f>
        <v> </v>
      </c>
      <c r="K2967" s="25" t="str">
        <f>IF(OR(E2967="",E2967="!!!",F2967="NEW"),"",INDEX(J$1:J2966,SUMPRODUCT(MAX(ROW(E$1:E2966)*(E2967=E$1:E2966)))))</f>
        <v> </v>
      </c>
      <c r="L2967" s="26"/>
    </row>
    <row r="2968" spans="1:12">
      <c r="A2968" s="20" t="s">
        <v>1145</v>
      </c>
      <c r="E2968" s="21">
        <f>IF(D2968="?OLD","!!!","")</f>
        <v/>
      </c>
      <c r="F2968" s="22" t="str">
        <f>IF(OR(E2968="",E2968="!!!"),"",IF(NOT(ISNA(VLOOKUP(E2968,E$1:E2967,1,FALSE()))),"OLD",IF(AND(E2968&lt;&gt;"",E2968&lt;&gt;"!!!"),"NEW","")))</f>
        <v> </v>
      </c>
      <c r="G2968" s="23" t="str">
        <f>IF(OR(E2968="",E2968="!!!"),"",IF(OR(J2968=0,AND(J2968=1,K2968=1),AND(J2968=1,I2968="SBJ"),AND(J2968=1,I2968=0)),"?IN_FOCUS",IF(J2968&lt;=2,"?ACTIVATED",IF(J2968&lt;&gt;"","?FAMILIAR",IF(F2968="NEW",IF(ISNA(VLOOKUP(E2968,#REF!,1,FALSE())),"?TYPE_IDENTIFIABLE","?REFERENTIAL"),"_")))))</f>
        <v> </v>
      </c>
      <c r="H2968" s="24" t="str">
        <f>IF(J2968&lt;&gt;1,"",IF(I2968="SBJ","CB","?"))</f>
        <v> </v>
      </c>
      <c r="I2968" s="25" t="str">
        <f>IF(OR(E2968="",E2968="!!!",F2968="NEW"),"",INDEX(B2967:B$2,-1+SUMPRODUCT(MAX(ROW(E2967:E$2)*(E2968=E2967:E$2)))))</f>
        <v> </v>
      </c>
      <c r="J2968" s="25" t="str">
        <f>IF(OR(E2968="",E2968="!!!",F2968="NEW"),"",COUNTBLANK(OFFSET(A$1,,,SUMPRODUCT(MAX(ROW(E$2:E2968)*(E2968=E$2:E2968)))))-COUNTBLANK(OFFSET(A$1,,,SUMPRODUCT(MAX(ROW(E$1:E2967)*(E2=E$1:E2967))))))</f>
        <v> </v>
      </c>
      <c r="K2968" s="25" t="str">
        <f>IF(OR(E2968="",E2968="!!!",F2968="NEW"),"",INDEX(J$1:J2967,SUMPRODUCT(MAX(ROW(E$1:E2967)*(E2968=E$1:E2967)))))</f>
        <v> </v>
      </c>
      <c r="L2968" s="26"/>
    </row>
    <row r="2969" spans="1:12">
      <c r="A2969" s="20"/>
    </row>
    <row r="2970" spans="1:12">
      <c r="A2970" s="20" t="s">
        <v>2497</v>
      </c>
    </row>
    <row r="2971" spans="1:12">
      <c r="A2971" s="20" t="s">
        <v>2498</v>
      </c>
      <c r="E2971" s="21">
        <f>IF(D2971="?OLD","!!!","")</f>
        <v/>
      </c>
      <c r="F2971" s="22" t="str">
        <f>IF(OR(E2971="",E2971="!!!"),"",IF(NOT(ISNA(VLOOKUP(E2971,E$1:E2970,1,FALSE()))),"OLD",IF(AND(E2971&lt;&gt;"",E2971&lt;&gt;"!!!"),"NEW","")))</f>
        <v> </v>
      </c>
      <c r="G2971" s="23" t="str">
        <f>IF(OR(E2971="",E2971="!!!"),"",IF(OR(J2971=0,AND(J2971=1,K2971=1),AND(J2971=1,I2971="SBJ"),AND(J2971=1,I2971=0)),"?IN_FOCUS",IF(J2971&lt;=2,"?ACTIVATED",IF(J2971&lt;&gt;"","?FAMILIAR",IF(F2971="NEW",IF(ISNA(VLOOKUP(E2971,#REF!,1,FALSE())),"?TYPE_IDENTIFIABLE","?REFERENTIAL"),"_")))))</f>
        <v> </v>
      </c>
      <c r="H2971" s="24" t="str">
        <f>IF(J2971&lt;&gt;1,"",IF(I2971="SBJ","CB","?"))</f>
        <v> </v>
      </c>
      <c r="I2971" s="25" t="str">
        <f>IF(OR(E2971="",E2971="!!!",F2971="NEW"),"",INDEX(B2970:B$2,-1+SUMPRODUCT(MAX(ROW(E2970:E$2)*(E2971=E2970:E$2)))))</f>
        <v> </v>
      </c>
      <c r="J2971" s="25" t="str">
        <f>IF(OR(E2971="",E2971="!!!",F2971="NEW"),"",COUNTBLANK(OFFSET(A$1,,,SUMPRODUCT(MAX(ROW(E$2:E2971)*(E2971=E$2:E2971)))))-COUNTBLANK(OFFSET(A$1,,,SUMPRODUCT(MAX(ROW(E$1:E2970)*(E2=E$1:E2970))))))</f>
        <v> </v>
      </c>
      <c r="K2971" s="25" t="str">
        <f>IF(OR(E2971="",E2971="!!!",F2971="NEW"),"",INDEX(J$1:J2970,SUMPRODUCT(MAX(ROW(E$1:E2970)*(E2971=E$1:E2970)))))</f>
        <v> </v>
      </c>
      <c r="L2971" s="26"/>
    </row>
    <row r="2972" spans="1:12">
      <c r="A2972" s="20" t="s">
        <v>2499</v>
      </c>
      <c r="B2972" s="27" t="s">
        <v>1149</v>
      </c>
      <c r="C2972" s="27" t="s">
        <v>1210</v>
      </c>
      <c r="E2972" s="21">
        <f>IF(D2972="?OLD","!!!","")</f>
        <v/>
      </c>
      <c r="F2972" s="22" t="str">
        <f>IF(OR(E2972="",E2972="!!!"),"",IF(NOT(ISNA(VLOOKUP(E2972,E$1:E2971,1,FALSE()))),"OLD",IF(AND(E2972&lt;&gt;"",E2972&lt;&gt;"!!!"),"NEW","")))</f>
        <v> </v>
      </c>
      <c r="G2972" s="23" t="str">
        <f>IF(OR(E2972="",E2972="!!!"),"",IF(OR(J2972=0,AND(J2972=1,K2972=1),AND(J2972=1,I2972="SBJ"),AND(J2972=1,I2972=0)),"?IN_FOCUS",IF(J2972&lt;=2,"?ACTIVATED",IF(J2972&lt;&gt;"","?FAMILIAR",IF(F2972="NEW",IF(ISNA(VLOOKUP(E2972,#REF!,1,FALSE())),"?TYPE_IDENTIFIABLE","?REFERENTIAL"),"_")))))</f>
        <v> </v>
      </c>
      <c r="H2972" s="24" t="str">
        <f>IF(J2972&lt;&gt;1,"",IF(I2972="SBJ","CB","?"))</f>
        <v> </v>
      </c>
      <c r="I2972" s="25" t="str">
        <f>IF(OR(E2972="",E2972="!!!",F2972="NEW"),"",INDEX(B2971:B$2,-1+SUMPRODUCT(MAX(ROW(E2971:E$2)*(E2972=E2971:E$2)))))</f>
        <v> </v>
      </c>
      <c r="J2972" s="25" t="str">
        <f>IF(OR(E2972="",E2972="!!!",F2972="NEW"),"",COUNTBLANK(OFFSET(A$1,,,SUMPRODUCT(MAX(ROW(E$2:E2972)*(E2972=E$2:E2972)))))-COUNTBLANK(OFFSET(A$1,,,SUMPRODUCT(MAX(ROW(E$1:E2971)*(E2=E$1:E2971))))))</f>
        <v> </v>
      </c>
      <c r="K2972" s="25" t="str">
        <f>IF(OR(E2972="",E2972="!!!",F2972="NEW"),"",INDEX(J$1:J2971,SUMPRODUCT(MAX(ROW(E$1:E2971)*(E2972=E$1:E2971)))))</f>
        <v> </v>
      </c>
      <c r="L2972" s="26"/>
    </row>
    <row r="2973" spans="1:12">
      <c r="A2973" s="20" t="s">
        <v>2500</v>
      </c>
      <c r="E2973" s="21">
        <f>IF(D2973="?OLD","!!!","")</f>
        <v/>
      </c>
      <c r="F2973" s="22" t="str">
        <f>IF(OR(E2973="",E2973="!!!"),"",IF(NOT(ISNA(VLOOKUP(E2973,E$1:E2972,1,FALSE()))),"OLD",IF(AND(E2973&lt;&gt;"",E2973&lt;&gt;"!!!"),"NEW","")))</f>
        <v> </v>
      </c>
      <c r="G2973" s="23" t="str">
        <f>IF(OR(E2973="",E2973="!!!"),"",IF(OR(J2973=0,AND(J2973=1,K2973=1),AND(J2973=1,I2973="SBJ"),AND(J2973=1,I2973=0)),"?IN_FOCUS",IF(J2973&lt;=2,"?ACTIVATED",IF(J2973&lt;&gt;"","?FAMILIAR",IF(F2973="NEW",IF(ISNA(VLOOKUP(E2973,#REF!,1,FALSE())),"?TYPE_IDENTIFIABLE","?REFERENTIAL"),"_")))))</f>
        <v> </v>
      </c>
      <c r="H2973" s="24" t="str">
        <f>IF(J2973&lt;&gt;1,"",IF(I2973="SBJ","CB","?"))</f>
        <v> </v>
      </c>
      <c r="I2973" s="25" t="str">
        <f>IF(OR(E2973="",E2973="!!!",F2973="NEW"),"",INDEX(B2972:B$2,-1+SUMPRODUCT(MAX(ROW(E2972:E$2)*(E2973=E2972:E$2)))))</f>
        <v> </v>
      </c>
      <c r="J2973" s="25" t="str">
        <f>IF(OR(E2973="",E2973="!!!",F2973="NEW"),"",COUNTBLANK(OFFSET(A$1,,,SUMPRODUCT(MAX(ROW(E$2:E2973)*(E2973=E$2:E2973)))))-COUNTBLANK(OFFSET(A$1,,,SUMPRODUCT(MAX(ROW(E$1:E2972)*(E2=E$1:E2972))))))</f>
        <v> </v>
      </c>
      <c r="K2973" s="25" t="str">
        <f>IF(OR(E2973="",E2973="!!!",F2973="NEW"),"",INDEX(J$1:J2972,SUMPRODUCT(MAX(ROW(E$1:E2972)*(E2973=E$1:E2972)))))</f>
        <v> </v>
      </c>
      <c r="L2973" s="26"/>
    </row>
    <row r="2974" spans="1:12">
      <c r="A2974" s="20" t="s">
        <v>2501</v>
      </c>
      <c r="E2974" s="21">
        <f>IF(D2974="?OLD","!!!","")</f>
        <v/>
      </c>
      <c r="F2974" s="22" t="str">
        <f>IF(OR(E2974="",E2974="!!!"),"",IF(NOT(ISNA(VLOOKUP(E2974,E$1:E2973,1,FALSE()))),"OLD",IF(AND(E2974&lt;&gt;"",E2974&lt;&gt;"!!!"),"NEW","")))</f>
        <v> </v>
      </c>
      <c r="G2974" s="23" t="str">
        <f>IF(OR(E2974="",E2974="!!!"),"",IF(OR(J2974=0,AND(J2974=1,K2974=1),AND(J2974=1,I2974="SBJ"),AND(J2974=1,I2974=0)),"?IN_FOCUS",IF(J2974&lt;=2,"?ACTIVATED",IF(J2974&lt;&gt;"","?FAMILIAR",IF(F2974="NEW",IF(ISNA(VLOOKUP(E2974,#REF!,1,FALSE())),"?TYPE_IDENTIFIABLE","?REFERENTIAL"),"_")))))</f>
        <v> </v>
      </c>
      <c r="H2974" s="24" t="str">
        <f>IF(J2974&lt;&gt;1,"",IF(I2974="SBJ","CB","?"))</f>
        <v> </v>
      </c>
      <c r="I2974" s="25" t="str">
        <f>IF(OR(E2974="",E2974="!!!",F2974="NEW"),"",INDEX(B2973:B$2,-1+SUMPRODUCT(MAX(ROW(E2973:E$2)*(E2974=E2973:E$2)))))</f>
        <v> </v>
      </c>
      <c r="J2974" s="25" t="str">
        <f>IF(OR(E2974="",E2974="!!!",F2974="NEW"),"",COUNTBLANK(OFFSET(A$1,,,SUMPRODUCT(MAX(ROW(E$2:E2974)*(E2974=E$2:E2974)))))-COUNTBLANK(OFFSET(A$1,,,SUMPRODUCT(MAX(ROW(E$1:E2973)*(E2=E$1:E2973))))))</f>
        <v> </v>
      </c>
      <c r="K2974" s="25" t="str">
        <f>IF(OR(E2974="",E2974="!!!",F2974="NEW"),"",INDEX(J$1:J2973,SUMPRODUCT(MAX(ROW(E$1:E2973)*(E2974=E$1:E2973)))))</f>
        <v> </v>
      </c>
      <c r="L2974" s="26"/>
    </row>
    <row r="2975" spans="1:12">
      <c r="A2975" s="20" t="s">
        <v>2502</v>
      </c>
      <c r="E2975" s="21">
        <f>IF(D2975="?OLD","!!!","")</f>
        <v/>
      </c>
      <c r="F2975" s="22" t="str">
        <f>IF(OR(E2975="",E2975="!!!"),"",IF(NOT(ISNA(VLOOKUP(E2975,E$1:E2974,1,FALSE()))),"OLD",IF(AND(E2975&lt;&gt;"",E2975&lt;&gt;"!!!"),"NEW","")))</f>
        <v> </v>
      </c>
      <c r="G2975" s="23" t="str">
        <f>IF(OR(E2975="",E2975="!!!"),"",IF(OR(J2975=0,AND(J2975=1,K2975=1),AND(J2975=1,I2975="SBJ"),AND(J2975=1,I2975=0)),"?IN_FOCUS",IF(J2975&lt;=2,"?ACTIVATED",IF(J2975&lt;&gt;"","?FAMILIAR",IF(F2975="NEW",IF(ISNA(VLOOKUP(E2975,#REF!,1,FALSE())),"?TYPE_IDENTIFIABLE","?REFERENTIAL"),"_")))))</f>
        <v> </v>
      </c>
      <c r="H2975" s="24" t="str">
        <f>IF(J2975&lt;&gt;1,"",IF(I2975="SBJ","CB","?"))</f>
        <v> </v>
      </c>
      <c r="I2975" s="25" t="str">
        <f>IF(OR(E2975="",E2975="!!!",F2975="NEW"),"",INDEX(B2974:B$2,-1+SUMPRODUCT(MAX(ROW(E2974:E$2)*(E2975=E2974:E$2)))))</f>
        <v> </v>
      </c>
      <c r="J2975" s="25" t="str">
        <f>IF(OR(E2975="",E2975="!!!",F2975="NEW"),"",COUNTBLANK(OFFSET(A$1,,,SUMPRODUCT(MAX(ROW(E$2:E2975)*(E2975=E$2:E2975)))))-COUNTBLANK(OFFSET(A$1,,,SUMPRODUCT(MAX(ROW(E$1:E2974)*(E2=E$1:E2974))))))</f>
        <v> </v>
      </c>
      <c r="K2975" s="25" t="str">
        <f>IF(OR(E2975="",E2975="!!!",F2975="NEW"),"",INDEX(J$1:J2974,SUMPRODUCT(MAX(ROW(E$1:E2974)*(E2975=E$1:E2974)))))</f>
        <v> </v>
      </c>
      <c r="L2975" s="26"/>
    </row>
    <row r="2976" spans="1:12">
      <c r="A2976" s="20" t="s">
        <v>1123</v>
      </c>
      <c r="E2976" s="21">
        <f>IF(D2976="?OLD","!!!","")</f>
        <v/>
      </c>
      <c r="F2976" s="22" t="str">
        <f>IF(OR(E2976="",E2976="!!!"),"",IF(NOT(ISNA(VLOOKUP(E2976,E$1:E2975,1,FALSE()))),"OLD",IF(AND(E2976&lt;&gt;"",E2976&lt;&gt;"!!!"),"NEW","")))</f>
        <v> </v>
      </c>
      <c r="G2976" s="23" t="str">
        <f>IF(OR(E2976="",E2976="!!!"),"",IF(OR(J2976=0,AND(J2976=1,K2976=1),AND(J2976=1,I2976="SBJ"),AND(J2976=1,I2976=0)),"?IN_FOCUS",IF(J2976&lt;=2,"?ACTIVATED",IF(J2976&lt;&gt;"","?FAMILIAR",IF(F2976="NEW",IF(ISNA(VLOOKUP(E2976,#REF!,1,FALSE())),"?TYPE_IDENTIFIABLE","?REFERENTIAL"),"_")))))</f>
        <v> </v>
      </c>
      <c r="H2976" s="24" t="str">
        <f>IF(J2976&lt;&gt;1,"",IF(I2976="SBJ","CB","?"))</f>
        <v> </v>
      </c>
      <c r="I2976" s="25" t="str">
        <f>IF(OR(E2976="",E2976="!!!",F2976="NEW"),"",INDEX(B2975:B$2,-1+SUMPRODUCT(MAX(ROW(E2975:E$2)*(E2976=E2975:E$2)))))</f>
        <v> </v>
      </c>
      <c r="J2976" s="25" t="str">
        <f>IF(OR(E2976="",E2976="!!!",F2976="NEW"),"",COUNTBLANK(OFFSET(A$1,,,SUMPRODUCT(MAX(ROW(E$2:E2976)*(E2976=E$2:E2976)))))-COUNTBLANK(OFFSET(A$1,,,SUMPRODUCT(MAX(ROW(E$1:E2975)*(E2=E$1:E2975))))))</f>
        <v> </v>
      </c>
      <c r="K2976" s="25" t="str">
        <f>IF(OR(E2976="",E2976="!!!",F2976="NEW"),"",INDEX(J$1:J2975,SUMPRODUCT(MAX(ROW(E$1:E2975)*(E2976=E$1:E2975)))))</f>
        <v> </v>
      </c>
      <c r="L2976" s="26"/>
    </row>
    <row r="2977" spans="1:12">
      <c r="A2977" s="20" t="s">
        <v>2503</v>
      </c>
      <c r="B2977" s="27" t="s">
        <v>1122</v>
      </c>
      <c r="E2977" s="21">
        <f>IF(D2977="?OLD","!!!","")</f>
        <v/>
      </c>
      <c r="F2977" s="22" t="str">
        <f>IF(OR(E2977="",E2977="!!!"),"",IF(NOT(ISNA(VLOOKUP(E2977,E$1:E2976,1,FALSE()))),"OLD",IF(AND(E2977&lt;&gt;"",E2977&lt;&gt;"!!!"),"NEW","")))</f>
        <v> </v>
      </c>
      <c r="G2977" s="23" t="str">
        <f>IF(OR(E2977="",E2977="!!!"),"",IF(OR(J2977=0,AND(J2977=1,K2977=1),AND(J2977=1,I2977="SBJ"),AND(J2977=1,I2977=0)),"?IN_FOCUS",IF(J2977&lt;=2,"?ACTIVATED",IF(J2977&lt;&gt;"","?FAMILIAR",IF(F2977="NEW",IF(ISNA(VLOOKUP(E2977,#REF!,1,FALSE())),"?TYPE_IDENTIFIABLE","?REFERENTIAL"),"_")))))</f>
        <v> </v>
      </c>
      <c r="H2977" s="24" t="str">
        <f>IF(J2977&lt;&gt;1,"",IF(I2977="SBJ","CB","?"))</f>
        <v> </v>
      </c>
      <c r="I2977" s="25" t="str">
        <f>IF(OR(E2977="",E2977="!!!",F2977="NEW"),"",INDEX(B2976:B$2,-1+SUMPRODUCT(MAX(ROW(E2976:E$2)*(E2977=E2976:E$2)))))</f>
        <v> </v>
      </c>
      <c r="J2977" s="25" t="str">
        <f>IF(OR(E2977="",E2977="!!!",F2977="NEW"),"",COUNTBLANK(OFFSET(A$1,,,SUMPRODUCT(MAX(ROW(E$2:E2977)*(E2977=E$2:E2977)))))-COUNTBLANK(OFFSET(A$1,,,SUMPRODUCT(MAX(ROW(E$1:E2976)*(E2=E$1:E2976))))))</f>
        <v> </v>
      </c>
      <c r="K2977" s="25" t="str">
        <f>IF(OR(E2977="",E2977="!!!",F2977="NEW"),"",INDEX(J$1:J2976,SUMPRODUCT(MAX(ROW(E$1:E2976)*(E2977=E$1:E2976)))))</f>
        <v> </v>
      </c>
      <c r="L2977" s="26"/>
    </row>
    <row r="2978" spans="1:12">
      <c r="A2978" s="20" t="s">
        <v>2504</v>
      </c>
      <c r="E2978" s="21">
        <f>IF(D2978="?OLD","!!!","")</f>
        <v/>
      </c>
      <c r="F2978" s="22" t="str">
        <f>IF(OR(E2978="",E2978="!!!"),"",IF(NOT(ISNA(VLOOKUP(E2978,E$1:E2977,1,FALSE()))),"OLD",IF(AND(E2978&lt;&gt;"",E2978&lt;&gt;"!!!"),"NEW","")))</f>
        <v> </v>
      </c>
      <c r="G2978" s="23" t="str">
        <f>IF(OR(E2978="",E2978="!!!"),"",IF(OR(J2978=0,AND(J2978=1,K2978=1),AND(J2978=1,I2978="SBJ"),AND(J2978=1,I2978=0)),"?IN_FOCUS",IF(J2978&lt;=2,"?ACTIVATED",IF(J2978&lt;&gt;"","?FAMILIAR",IF(F2978="NEW",IF(ISNA(VLOOKUP(E2978,#REF!,1,FALSE())),"?TYPE_IDENTIFIABLE","?REFERENTIAL"),"_")))))</f>
        <v> </v>
      </c>
      <c r="H2978" s="24" t="str">
        <f>IF(J2978&lt;&gt;1,"",IF(I2978="SBJ","CB","?"))</f>
        <v> </v>
      </c>
      <c r="I2978" s="25" t="str">
        <f>IF(OR(E2978="",E2978="!!!",F2978="NEW"),"",INDEX(B2977:B$2,-1+SUMPRODUCT(MAX(ROW(E2977:E$2)*(E2978=E2977:E$2)))))</f>
        <v> </v>
      </c>
      <c r="J2978" s="25" t="str">
        <f>IF(OR(E2978="",E2978="!!!",F2978="NEW"),"",COUNTBLANK(OFFSET(A$1,,,SUMPRODUCT(MAX(ROW(E$2:E2978)*(E2978=E$2:E2978)))))-COUNTBLANK(OFFSET(A$1,,,SUMPRODUCT(MAX(ROW(E$1:E2977)*(E2=E$1:E2977))))))</f>
        <v> </v>
      </c>
      <c r="K2978" s="25" t="str">
        <f>IF(OR(E2978="",E2978="!!!",F2978="NEW"),"",INDEX(J$1:J2977,SUMPRODUCT(MAX(ROW(E$1:E2977)*(E2978=E$1:E2977)))))</f>
        <v> </v>
      </c>
      <c r="L2978" s="26"/>
    </row>
    <row r="2979" spans="1:12">
      <c r="A2979" s="20" t="s">
        <v>2505</v>
      </c>
      <c r="E2979" s="21">
        <f>IF(D2979="?OLD","!!!","")</f>
        <v/>
      </c>
      <c r="F2979" s="22" t="str">
        <f>IF(OR(E2979="",E2979="!!!"),"",IF(NOT(ISNA(VLOOKUP(E2979,E$1:E2978,1,FALSE()))),"OLD",IF(AND(E2979&lt;&gt;"",E2979&lt;&gt;"!!!"),"NEW","")))</f>
        <v> </v>
      </c>
      <c r="G2979" s="23" t="str">
        <f>IF(OR(E2979="",E2979="!!!"),"",IF(OR(J2979=0,AND(J2979=1,K2979=1),AND(J2979=1,I2979="SBJ"),AND(J2979=1,I2979=0)),"?IN_FOCUS",IF(J2979&lt;=2,"?ACTIVATED",IF(J2979&lt;&gt;"","?FAMILIAR",IF(F2979="NEW",IF(ISNA(VLOOKUP(E2979,#REF!,1,FALSE())),"?TYPE_IDENTIFIABLE","?REFERENTIAL"),"_")))))</f>
        <v> </v>
      </c>
      <c r="H2979" s="24" t="str">
        <f>IF(J2979&lt;&gt;1,"",IF(I2979="SBJ","CB","?"))</f>
        <v> </v>
      </c>
      <c r="I2979" s="25" t="str">
        <f>IF(OR(E2979="",E2979="!!!",F2979="NEW"),"",INDEX(B2978:B$2,-1+SUMPRODUCT(MAX(ROW(E2978:E$2)*(E2979=E2978:E$2)))))</f>
        <v> </v>
      </c>
      <c r="J2979" s="25" t="str">
        <f>IF(OR(E2979="",E2979="!!!",F2979="NEW"),"",COUNTBLANK(OFFSET(A$1,,,SUMPRODUCT(MAX(ROW(E$2:E2979)*(E2979=E$2:E2979)))))-COUNTBLANK(OFFSET(A$1,,,SUMPRODUCT(MAX(ROW(E$1:E2978)*(E2=E$1:E2978))))))</f>
        <v> </v>
      </c>
      <c r="K2979" s="25" t="str">
        <f>IF(OR(E2979="",E2979="!!!",F2979="NEW"),"",INDEX(J$1:J2978,SUMPRODUCT(MAX(ROW(E$1:E2978)*(E2979=E$1:E2978)))))</f>
        <v> </v>
      </c>
      <c r="L2979" s="26"/>
    </row>
    <row r="2980" spans="1:12">
      <c r="A2980" s="20" t="s">
        <v>2506</v>
      </c>
      <c r="B2980" s="27" t="s">
        <v>1243</v>
      </c>
      <c r="E2980" s="21">
        <f>IF(D2980="?OLD","!!!","")</f>
        <v/>
      </c>
      <c r="F2980" s="22" t="str">
        <f>IF(OR(E2980="",E2980="!!!"),"",IF(NOT(ISNA(VLOOKUP(E2980,E$1:E2979,1,FALSE()))),"OLD",IF(AND(E2980&lt;&gt;"",E2980&lt;&gt;"!!!"),"NEW","")))</f>
        <v> </v>
      </c>
      <c r="G2980" s="23" t="str">
        <f>IF(OR(E2980="",E2980="!!!"),"",IF(OR(J2980=0,AND(J2980=1,K2980=1),AND(J2980=1,I2980="SBJ"),AND(J2980=1,I2980=0)),"?IN_FOCUS",IF(J2980&lt;=2,"?ACTIVATED",IF(J2980&lt;&gt;"","?FAMILIAR",IF(F2980="NEW",IF(ISNA(VLOOKUP(E2980,#REF!,1,FALSE())),"?TYPE_IDENTIFIABLE","?REFERENTIAL"),"_")))))</f>
        <v> </v>
      </c>
      <c r="H2980" s="24" t="str">
        <f>IF(J2980&lt;&gt;1,"",IF(I2980="SBJ","CB","?"))</f>
        <v> </v>
      </c>
      <c r="I2980" s="25" t="str">
        <f>IF(OR(E2980="",E2980="!!!",F2980="NEW"),"",INDEX(B2979:B$2,-1+SUMPRODUCT(MAX(ROW(E2979:E$2)*(E2980=E2979:E$2)))))</f>
        <v> </v>
      </c>
      <c r="J2980" s="25" t="str">
        <f>IF(OR(E2980="",E2980="!!!",F2980="NEW"),"",COUNTBLANK(OFFSET(A$1,,,SUMPRODUCT(MAX(ROW(E$2:E2980)*(E2980=E$2:E2980)))))-COUNTBLANK(OFFSET(A$1,,,SUMPRODUCT(MAX(ROW(E$1:E2979)*(E2=E$1:E2979))))))</f>
        <v> </v>
      </c>
      <c r="K2980" s="25" t="str">
        <f>IF(OR(E2980="",E2980="!!!",F2980="NEW"),"",INDEX(J$1:J2979,SUMPRODUCT(MAX(ROW(E$1:E2979)*(E2980=E$1:E2979)))))</f>
        <v> </v>
      </c>
      <c r="L2980" s="26"/>
    </row>
    <row r="2981" spans="1:12">
      <c r="A2981" s="20" t="s">
        <v>2507</v>
      </c>
      <c r="E2981" s="21">
        <f>IF(D2981="?OLD","!!!","")</f>
        <v/>
      </c>
      <c r="F2981" s="22" t="str">
        <f>IF(OR(E2981="",E2981="!!!"),"",IF(NOT(ISNA(VLOOKUP(E2981,E$1:E2980,1,FALSE()))),"OLD",IF(AND(E2981&lt;&gt;"",E2981&lt;&gt;"!!!"),"NEW","")))</f>
        <v> </v>
      </c>
      <c r="G2981" s="23" t="str">
        <f>IF(OR(E2981="",E2981="!!!"),"",IF(OR(J2981=0,AND(J2981=1,K2981=1),AND(J2981=1,I2981="SBJ"),AND(J2981=1,I2981=0)),"?IN_FOCUS",IF(J2981&lt;=2,"?ACTIVATED",IF(J2981&lt;&gt;"","?FAMILIAR",IF(F2981="NEW",IF(ISNA(VLOOKUP(E2981,#REF!,1,FALSE())),"?TYPE_IDENTIFIABLE","?REFERENTIAL"),"_")))))</f>
        <v> </v>
      </c>
      <c r="H2981" s="24" t="str">
        <f>IF(J2981&lt;&gt;1,"",IF(I2981="SBJ","CB","?"))</f>
        <v> </v>
      </c>
      <c r="I2981" s="25" t="str">
        <f>IF(OR(E2981="",E2981="!!!",F2981="NEW"),"",INDEX(B2980:B$2,-1+SUMPRODUCT(MAX(ROW(E2980:E$2)*(E2981=E2980:E$2)))))</f>
        <v> </v>
      </c>
      <c r="J2981" s="25" t="str">
        <f>IF(OR(E2981="",E2981="!!!",F2981="NEW"),"",COUNTBLANK(OFFSET(A$1,,,SUMPRODUCT(MAX(ROW(E$2:E2981)*(E2981=E$2:E2981)))))-COUNTBLANK(OFFSET(A$1,,,SUMPRODUCT(MAX(ROW(E$1:E2980)*(E2=E$1:E2980))))))</f>
        <v> </v>
      </c>
      <c r="K2981" s="25" t="str">
        <f>IF(OR(E2981="",E2981="!!!",F2981="NEW"),"",INDEX(J$1:J2980,SUMPRODUCT(MAX(ROW(E$1:E2980)*(E2981=E$1:E2980)))))</f>
        <v> </v>
      </c>
      <c r="L2981" s="26"/>
    </row>
    <row r="2982" spans="1:12">
      <c r="A2982" s="20" t="s">
        <v>1123</v>
      </c>
      <c r="E2982" s="21">
        <f>IF(D2982="?OLD","!!!","")</f>
        <v/>
      </c>
      <c r="F2982" s="22" t="str">
        <f>IF(OR(E2982="",E2982="!!!"),"",IF(NOT(ISNA(VLOOKUP(E2982,E$1:E2981,1,FALSE()))),"OLD",IF(AND(E2982&lt;&gt;"",E2982&lt;&gt;"!!!"),"NEW","")))</f>
        <v> </v>
      </c>
      <c r="G2982" s="23" t="str">
        <f>IF(OR(E2982="",E2982="!!!"),"",IF(OR(J2982=0,AND(J2982=1,K2982=1),AND(J2982=1,I2982="SBJ"),AND(J2982=1,I2982=0)),"?IN_FOCUS",IF(J2982&lt;=2,"?ACTIVATED",IF(J2982&lt;&gt;"","?FAMILIAR",IF(F2982="NEW",IF(ISNA(VLOOKUP(E2982,#REF!,1,FALSE())),"?TYPE_IDENTIFIABLE","?REFERENTIAL"),"_")))))</f>
        <v> </v>
      </c>
      <c r="H2982" s="24" t="str">
        <f>IF(J2982&lt;&gt;1,"",IF(I2982="SBJ","CB","?"))</f>
        <v> </v>
      </c>
      <c r="I2982" s="25" t="str">
        <f>IF(OR(E2982="",E2982="!!!",F2982="NEW"),"",INDEX(B2981:B$2,-1+SUMPRODUCT(MAX(ROW(E2981:E$2)*(E2982=E2981:E$2)))))</f>
        <v> </v>
      </c>
      <c r="J2982" s="25" t="str">
        <f>IF(OR(E2982="",E2982="!!!",F2982="NEW"),"",COUNTBLANK(OFFSET(A$1,,,SUMPRODUCT(MAX(ROW(E$2:E2982)*(E2982=E$2:E2982)))))-COUNTBLANK(OFFSET(A$1,,,SUMPRODUCT(MAX(ROW(E$1:E2981)*(E2=E$1:E2981))))))</f>
        <v> </v>
      </c>
      <c r="K2982" s="25" t="str">
        <f>IF(OR(E2982="",E2982="!!!",F2982="NEW"),"",INDEX(J$1:J2981,SUMPRODUCT(MAX(ROW(E$1:E2981)*(E2982=E$1:E2981)))))</f>
        <v> </v>
      </c>
      <c r="L2982" s="26"/>
    </row>
    <row r="2983" spans="1:12">
      <c r="A2983" s="20" t="s">
        <v>2508</v>
      </c>
      <c r="E2983" s="21">
        <f>IF(D2983="?OLD","!!!","")</f>
        <v/>
      </c>
      <c r="F2983" s="22" t="str">
        <f>IF(OR(E2983="",E2983="!!!"),"",IF(NOT(ISNA(VLOOKUP(E2983,E$1:E2982,1,FALSE()))),"OLD",IF(AND(E2983&lt;&gt;"",E2983&lt;&gt;"!!!"),"NEW","")))</f>
        <v> </v>
      </c>
      <c r="G2983" s="23" t="str">
        <f>IF(OR(E2983="",E2983="!!!"),"",IF(OR(J2983=0,AND(J2983=1,K2983=1),AND(J2983=1,I2983="SBJ"),AND(J2983=1,I2983=0)),"?IN_FOCUS",IF(J2983&lt;=2,"?ACTIVATED",IF(J2983&lt;&gt;"","?FAMILIAR",IF(F2983="NEW",IF(ISNA(VLOOKUP(E2983,#REF!,1,FALSE())),"?TYPE_IDENTIFIABLE","?REFERENTIAL"),"_")))))</f>
        <v> </v>
      </c>
      <c r="H2983" s="24" t="str">
        <f>IF(J2983&lt;&gt;1,"",IF(I2983="SBJ","CB","?"))</f>
        <v> </v>
      </c>
      <c r="I2983" s="25" t="str">
        <f>IF(OR(E2983="",E2983="!!!",F2983="NEW"),"",INDEX(B2982:B$2,-1+SUMPRODUCT(MAX(ROW(E2982:E$2)*(E2983=E2982:E$2)))))</f>
        <v> </v>
      </c>
      <c r="J2983" s="25" t="str">
        <f>IF(OR(E2983="",E2983="!!!",F2983="NEW"),"",COUNTBLANK(OFFSET(A$1,,,SUMPRODUCT(MAX(ROW(E$2:E2983)*(E2983=E$2:E2983)))))-COUNTBLANK(OFFSET(A$1,,,SUMPRODUCT(MAX(ROW(E$1:E2982)*(E2=E$1:E2982))))))</f>
        <v> </v>
      </c>
      <c r="K2983" s="25" t="str">
        <f>IF(OR(E2983="",E2983="!!!",F2983="NEW"),"",INDEX(J$1:J2982,SUMPRODUCT(MAX(ROW(E$1:E2982)*(E2983=E$1:E2982)))))</f>
        <v> </v>
      </c>
      <c r="L2983" s="26"/>
    </row>
    <row r="2984" spans="1:12">
      <c r="A2984" s="20" t="s">
        <v>2509</v>
      </c>
      <c r="E2984" s="21">
        <f>IF(D2984="?OLD","!!!","")</f>
        <v/>
      </c>
      <c r="F2984" s="22" t="str">
        <f>IF(OR(E2984="",E2984="!!!"),"",IF(NOT(ISNA(VLOOKUP(E2984,E$1:E2983,1,FALSE()))),"OLD",IF(AND(E2984&lt;&gt;"",E2984&lt;&gt;"!!!"),"NEW","")))</f>
        <v> </v>
      </c>
      <c r="G2984" s="23" t="str">
        <f>IF(OR(E2984="",E2984="!!!"),"",IF(OR(J2984=0,AND(J2984=1,K2984=1),AND(J2984=1,I2984="SBJ"),AND(J2984=1,I2984=0)),"?IN_FOCUS",IF(J2984&lt;=2,"?ACTIVATED",IF(J2984&lt;&gt;"","?FAMILIAR",IF(F2984="NEW",IF(ISNA(VLOOKUP(E2984,#REF!,1,FALSE())),"?TYPE_IDENTIFIABLE","?REFERENTIAL"),"_")))))</f>
        <v> </v>
      </c>
      <c r="H2984" s="24" t="str">
        <f>IF(J2984&lt;&gt;1,"",IF(I2984="SBJ","CB","?"))</f>
        <v> </v>
      </c>
      <c r="I2984" s="25" t="str">
        <f>IF(OR(E2984="",E2984="!!!",F2984="NEW"),"",INDEX(B2983:B$2,-1+SUMPRODUCT(MAX(ROW(E2983:E$2)*(E2984=E2983:E$2)))))</f>
        <v> </v>
      </c>
      <c r="J2984" s="25" t="str">
        <f>IF(OR(E2984="",E2984="!!!",F2984="NEW"),"",COUNTBLANK(OFFSET(A$1,,,SUMPRODUCT(MAX(ROW(E$2:E2984)*(E2984=E$2:E2984)))))-COUNTBLANK(OFFSET(A$1,,,SUMPRODUCT(MAX(ROW(E$1:E2983)*(E2=E$1:E2983))))))</f>
        <v> </v>
      </c>
      <c r="K2984" s="25" t="str">
        <f>IF(OR(E2984="",E2984="!!!",F2984="NEW"),"",INDEX(J$1:J2983,SUMPRODUCT(MAX(ROW(E$1:E2983)*(E2984=E$1:E2983)))))</f>
        <v> </v>
      </c>
      <c r="L2984" s="26"/>
    </row>
    <row r="2985" spans="1:12">
      <c r="A2985" s="20" t="s">
        <v>1113</v>
      </c>
      <c r="E2985" s="21">
        <f>IF(D2985="?OLD","!!!","")</f>
        <v/>
      </c>
      <c r="F2985" s="22" t="str">
        <f>IF(OR(E2985="",E2985="!!!"),"",IF(NOT(ISNA(VLOOKUP(E2985,E$1:E2984,1,FALSE()))),"OLD",IF(AND(E2985&lt;&gt;"",E2985&lt;&gt;"!!!"),"NEW","")))</f>
        <v> </v>
      </c>
      <c r="G2985" s="23" t="str">
        <f>IF(OR(E2985="",E2985="!!!"),"",IF(OR(J2985=0,AND(J2985=1,K2985=1),AND(J2985=1,I2985="SBJ"),AND(J2985=1,I2985=0)),"?IN_FOCUS",IF(J2985&lt;=2,"?ACTIVATED",IF(J2985&lt;&gt;"","?FAMILIAR",IF(F2985="NEW",IF(ISNA(VLOOKUP(E2985,#REF!,1,FALSE())),"?TYPE_IDENTIFIABLE","?REFERENTIAL"),"_")))))</f>
        <v> </v>
      </c>
      <c r="H2985" s="24" t="str">
        <f>IF(J2985&lt;&gt;1,"",IF(I2985="SBJ","CB","?"))</f>
        <v> </v>
      </c>
      <c r="I2985" s="25" t="str">
        <f>IF(OR(E2985="",E2985="!!!",F2985="NEW"),"",INDEX(B2984:B$2,-1+SUMPRODUCT(MAX(ROW(E2984:E$2)*(E2985=E2984:E$2)))))</f>
        <v> </v>
      </c>
      <c r="J2985" s="25" t="str">
        <f>IF(OR(E2985="",E2985="!!!",F2985="NEW"),"",COUNTBLANK(OFFSET(A$1,,,SUMPRODUCT(MAX(ROW(E$2:E2985)*(E2985=E$2:E2985)))))-COUNTBLANK(OFFSET(A$1,,,SUMPRODUCT(MAX(ROW(E$1:E2984)*(E2=E$1:E2984))))))</f>
        <v> </v>
      </c>
      <c r="K2985" s="25" t="str">
        <f>IF(OR(E2985="",E2985="!!!",F2985="NEW"),"",INDEX(J$1:J2984,SUMPRODUCT(MAX(ROW(E$1:E2984)*(E2985=E$1:E2984)))))</f>
        <v> </v>
      </c>
      <c r="L2985" s="26"/>
    </row>
    <row r="2986" spans="1:12">
      <c r="A2986" s="20" t="s">
        <v>2019</v>
      </c>
      <c r="B2986" s="27" t="s">
        <v>1115</v>
      </c>
      <c r="E2986" s="21">
        <f>IF(D2986="?OLD","!!!","")</f>
        <v/>
      </c>
      <c r="F2986" s="22" t="str">
        <f>IF(OR(E2986="",E2986="!!!"),"",IF(NOT(ISNA(VLOOKUP(E2986,E$1:E2985,1,FALSE()))),"OLD",IF(AND(E2986&lt;&gt;"",E2986&lt;&gt;"!!!"),"NEW","")))</f>
        <v> </v>
      </c>
      <c r="G2986" s="23" t="str">
        <f>IF(OR(E2986="",E2986="!!!"),"",IF(OR(J2986=0,AND(J2986=1,K2986=1),AND(J2986=1,I2986="SBJ"),AND(J2986=1,I2986=0)),"?IN_FOCUS",IF(J2986&lt;=2,"?ACTIVATED",IF(J2986&lt;&gt;"","?FAMILIAR",IF(F2986="NEW",IF(ISNA(VLOOKUP(E2986,#REF!,1,FALSE())),"?TYPE_IDENTIFIABLE","?REFERENTIAL"),"_")))))</f>
        <v> </v>
      </c>
      <c r="H2986" s="24" t="str">
        <f>IF(J2986&lt;&gt;1,"",IF(I2986="SBJ","CB","?"))</f>
        <v> </v>
      </c>
      <c r="I2986" s="25" t="str">
        <f>IF(OR(E2986="",E2986="!!!",F2986="NEW"),"",INDEX(B2985:B$2,-1+SUMPRODUCT(MAX(ROW(E2985:E$2)*(E2986=E2985:E$2)))))</f>
        <v> </v>
      </c>
      <c r="J2986" s="25" t="str">
        <f>IF(OR(E2986="",E2986="!!!",F2986="NEW"),"",COUNTBLANK(OFFSET(A$1,,,SUMPRODUCT(MAX(ROW(E$2:E2986)*(E2986=E$2:E2986)))))-COUNTBLANK(OFFSET(A$1,,,SUMPRODUCT(MAX(ROW(E$1:E2985)*(E2=E$1:E2985))))))</f>
        <v> </v>
      </c>
      <c r="K2986" s="25" t="str">
        <f>IF(OR(E2986="",E2986="!!!",F2986="NEW"),"",INDEX(J$1:J2985,SUMPRODUCT(MAX(ROW(E$1:E2985)*(E2986=E$1:E2985)))))</f>
        <v> </v>
      </c>
      <c r="L2986" s="26"/>
    </row>
    <row r="2987" spans="1:12">
      <c r="A2987" s="20" t="s">
        <v>1123</v>
      </c>
      <c r="E2987" s="21">
        <f>IF(D2987="?OLD","!!!","")</f>
        <v/>
      </c>
      <c r="F2987" s="22" t="str">
        <f>IF(OR(E2987="",E2987="!!!"),"",IF(NOT(ISNA(VLOOKUP(E2987,E$1:E2986,1,FALSE()))),"OLD",IF(AND(E2987&lt;&gt;"",E2987&lt;&gt;"!!!"),"NEW","")))</f>
        <v> </v>
      </c>
      <c r="G2987" s="23" t="str">
        <f>IF(OR(E2987="",E2987="!!!"),"",IF(OR(J2987=0,AND(J2987=1,K2987=1),AND(J2987=1,I2987="SBJ"),AND(J2987=1,I2987=0)),"?IN_FOCUS",IF(J2987&lt;=2,"?ACTIVATED",IF(J2987&lt;&gt;"","?FAMILIAR",IF(F2987="NEW",IF(ISNA(VLOOKUP(E2987,#REF!,1,FALSE())),"?TYPE_IDENTIFIABLE","?REFERENTIAL"),"_")))))</f>
        <v> </v>
      </c>
      <c r="H2987" s="24" t="str">
        <f>IF(J2987&lt;&gt;1,"",IF(I2987="SBJ","CB","?"))</f>
        <v> </v>
      </c>
      <c r="I2987" s="25" t="str">
        <f>IF(OR(E2987="",E2987="!!!",F2987="NEW"),"",INDEX(B2986:B$2,-1+SUMPRODUCT(MAX(ROW(E2986:E$2)*(E2987=E2986:E$2)))))</f>
        <v> </v>
      </c>
      <c r="J2987" s="25" t="str">
        <f>IF(OR(E2987="",E2987="!!!",F2987="NEW"),"",COUNTBLANK(OFFSET(A$1,,,SUMPRODUCT(MAX(ROW(E$2:E2987)*(E2987=E$2:E2987)))))-COUNTBLANK(OFFSET(A$1,,,SUMPRODUCT(MAX(ROW(E$1:E2986)*(E2=E$1:E2986))))))</f>
        <v> </v>
      </c>
      <c r="K2987" s="25" t="str">
        <f>IF(OR(E2987="",E2987="!!!",F2987="NEW"),"",INDEX(J$1:J2986,SUMPRODUCT(MAX(ROW(E$1:E2986)*(E2987=E$1:E2986)))))</f>
        <v> </v>
      </c>
      <c r="L2987" s="26"/>
    </row>
    <row r="2988" spans="1:12">
      <c r="A2988" s="20" t="s">
        <v>1731</v>
      </c>
      <c r="B2988" s="27" t="s">
        <v>1870</v>
      </c>
      <c r="C2988" s="27" t="s">
        <v>1133</v>
      </c>
      <c r="E2988" s="21">
        <f>IF(D2988="?OLD","!!!","")</f>
        <v/>
      </c>
      <c r="F2988" s="22" t="str">
        <f>IF(OR(E2988="",E2988="!!!"),"",IF(NOT(ISNA(VLOOKUP(E2988,E$1:E2987,1,FALSE()))),"OLD",IF(AND(E2988&lt;&gt;"",E2988&lt;&gt;"!!!"),"NEW","")))</f>
        <v> </v>
      </c>
      <c r="G2988" s="23" t="str">
        <f>IF(OR(E2988="",E2988="!!!"),"",IF(OR(J2988=0,AND(J2988=1,K2988=1),AND(J2988=1,I2988="SBJ"),AND(J2988=1,I2988=0)),"?IN_FOCUS",IF(J2988&lt;=2,"?ACTIVATED",IF(J2988&lt;&gt;"","?FAMILIAR",IF(F2988="NEW",IF(ISNA(VLOOKUP(E2988,#REF!,1,FALSE())),"?TYPE_IDENTIFIABLE","?REFERENTIAL"),"_")))))</f>
        <v> </v>
      </c>
      <c r="H2988" s="24" t="str">
        <f>IF(J2988&lt;&gt;1,"",IF(I2988="SBJ","CB","?"))</f>
        <v> </v>
      </c>
      <c r="I2988" s="25" t="str">
        <f>IF(OR(E2988="",E2988="!!!",F2988="NEW"),"",INDEX(B2987:B$2,-1+SUMPRODUCT(MAX(ROW(E2987:E$2)*(E2988=E2987:E$2)))))</f>
        <v> </v>
      </c>
      <c r="J2988" s="25" t="str">
        <f>IF(OR(E2988="",E2988="!!!",F2988="NEW"),"",COUNTBLANK(OFFSET(A$1,,,SUMPRODUCT(MAX(ROW(E$2:E2988)*(E2988=E$2:E2988)))))-COUNTBLANK(OFFSET(A$1,,,SUMPRODUCT(MAX(ROW(E$1:E2987)*(E2=E$1:E2987))))))</f>
        <v> </v>
      </c>
      <c r="K2988" s="25" t="str">
        <f>IF(OR(E2988="",E2988="!!!",F2988="NEW"),"",INDEX(J$1:J2987,SUMPRODUCT(MAX(ROW(E$1:E2987)*(E2988=E$1:E2987)))))</f>
        <v> </v>
      </c>
      <c r="L2988" s="26"/>
    </row>
    <row r="2989" spans="1:12">
      <c r="A2989" s="20" t="s">
        <v>1130</v>
      </c>
      <c r="E2989" s="21">
        <f>IF(D2989="?OLD","!!!","")</f>
        <v/>
      </c>
      <c r="F2989" s="22" t="str">
        <f>IF(OR(E2989="",E2989="!!!"),"",IF(NOT(ISNA(VLOOKUP(E2989,E$1:E2988,1,FALSE()))),"OLD",IF(AND(E2989&lt;&gt;"",E2989&lt;&gt;"!!!"),"NEW","")))</f>
        <v> </v>
      </c>
      <c r="G2989" s="23" t="str">
        <f>IF(OR(E2989="",E2989="!!!"),"",IF(OR(J2989=0,AND(J2989=1,K2989=1),AND(J2989=1,I2989="SBJ"),AND(J2989=1,I2989=0)),"?IN_FOCUS",IF(J2989&lt;=2,"?ACTIVATED",IF(J2989&lt;&gt;"","?FAMILIAR",IF(F2989="NEW",IF(ISNA(VLOOKUP(E2989,#REF!,1,FALSE())),"?TYPE_IDENTIFIABLE","?REFERENTIAL"),"_")))))</f>
        <v> </v>
      </c>
      <c r="H2989" s="24" t="str">
        <f>IF(J2989&lt;&gt;1,"",IF(I2989="SBJ","CB","?"))</f>
        <v> </v>
      </c>
      <c r="I2989" s="25" t="str">
        <f>IF(OR(E2989="",E2989="!!!",F2989="NEW"),"",INDEX(B2988:B$2,-1+SUMPRODUCT(MAX(ROW(E2988:E$2)*(E2989=E2988:E$2)))))</f>
        <v> </v>
      </c>
      <c r="J2989" s="25" t="str">
        <f>IF(OR(E2989="",E2989="!!!",F2989="NEW"),"",COUNTBLANK(OFFSET(A$1,,,SUMPRODUCT(MAX(ROW(E$2:E2989)*(E2989=E$2:E2989)))))-COUNTBLANK(OFFSET(A$1,,,SUMPRODUCT(MAX(ROW(E$1:E2988)*(E2=E$1:E2988))))))</f>
        <v> </v>
      </c>
      <c r="K2989" s="25" t="str">
        <f>IF(OR(E2989="",E2989="!!!",F2989="NEW"),"",INDEX(J$1:J2988,SUMPRODUCT(MAX(ROW(E$1:E2988)*(E2989=E$1:E2988)))))</f>
        <v> </v>
      </c>
      <c r="L2989" s="26"/>
    </row>
    <row r="2990" spans="1:12">
      <c r="A2990" s="20" t="s">
        <v>2510</v>
      </c>
      <c r="E2990" s="21">
        <f>IF(D2990="?OLD","!!!","")</f>
        <v/>
      </c>
      <c r="F2990" s="22" t="str">
        <f>IF(OR(E2990="",E2990="!!!"),"",IF(NOT(ISNA(VLOOKUP(E2990,E$1:E2989,1,FALSE()))),"OLD",IF(AND(E2990&lt;&gt;"",E2990&lt;&gt;"!!!"),"NEW","")))</f>
        <v> </v>
      </c>
      <c r="G2990" s="23" t="str">
        <f>IF(OR(E2990="",E2990="!!!"),"",IF(OR(J2990=0,AND(J2990=1,K2990=1),AND(J2990=1,I2990="SBJ"),AND(J2990=1,I2990=0)),"?IN_FOCUS",IF(J2990&lt;=2,"?ACTIVATED",IF(J2990&lt;&gt;"","?FAMILIAR",IF(F2990="NEW",IF(ISNA(VLOOKUP(E2990,#REF!,1,FALSE())),"?TYPE_IDENTIFIABLE","?REFERENTIAL"),"_")))))</f>
        <v> </v>
      </c>
      <c r="H2990" s="24" t="str">
        <f>IF(J2990&lt;&gt;1,"",IF(I2990="SBJ","CB","?"))</f>
        <v> </v>
      </c>
      <c r="I2990" s="25" t="str">
        <f>IF(OR(E2990="",E2990="!!!",F2990="NEW"),"",INDEX(B2989:B$2,-1+SUMPRODUCT(MAX(ROW(E2989:E$2)*(E2990=E2989:E$2)))))</f>
        <v> </v>
      </c>
      <c r="J2990" s="25" t="str">
        <f>IF(OR(E2990="",E2990="!!!",F2990="NEW"),"",COUNTBLANK(OFFSET(A$1,,,SUMPRODUCT(MAX(ROW(E$2:E2990)*(E2990=E$2:E2990)))))-COUNTBLANK(OFFSET(A$1,,,SUMPRODUCT(MAX(ROW(E$1:E2989)*(E2=E$1:E2989))))))</f>
        <v> </v>
      </c>
      <c r="K2990" s="25" t="str">
        <f>IF(OR(E2990="",E2990="!!!",F2990="NEW"),"",INDEX(J$1:J2989,SUMPRODUCT(MAX(ROW(E$1:E2989)*(E2990=E$1:E2989)))))</f>
        <v> </v>
      </c>
      <c r="L2990" s="26"/>
    </row>
    <row r="2991" spans="1:12">
      <c r="A2991" s="20" t="s">
        <v>2511</v>
      </c>
      <c r="E2991" s="21">
        <f>IF(D2991="?OLD","!!!","")</f>
        <v/>
      </c>
      <c r="F2991" s="22" t="str">
        <f>IF(OR(E2991="",E2991="!!!"),"",IF(NOT(ISNA(VLOOKUP(E2991,E$1:E2990,1,FALSE()))),"OLD",IF(AND(E2991&lt;&gt;"",E2991&lt;&gt;"!!!"),"NEW","")))</f>
        <v> </v>
      </c>
      <c r="G2991" s="23" t="str">
        <f>IF(OR(E2991="",E2991="!!!"),"",IF(OR(J2991=0,AND(J2991=1,K2991=1),AND(J2991=1,I2991="SBJ"),AND(J2991=1,I2991=0)),"?IN_FOCUS",IF(J2991&lt;=2,"?ACTIVATED",IF(J2991&lt;&gt;"","?FAMILIAR",IF(F2991="NEW",IF(ISNA(VLOOKUP(E2991,#REF!,1,FALSE())),"?TYPE_IDENTIFIABLE","?REFERENTIAL"),"_")))))</f>
        <v> </v>
      </c>
      <c r="H2991" s="24" t="str">
        <f>IF(J2991&lt;&gt;1,"",IF(I2991="SBJ","CB","?"))</f>
        <v> </v>
      </c>
      <c r="I2991" s="25" t="str">
        <f>IF(OR(E2991="",E2991="!!!",F2991="NEW"),"",INDEX(B2990:B$2,-1+SUMPRODUCT(MAX(ROW(E2990:E$2)*(E2991=E2990:E$2)))))</f>
        <v> </v>
      </c>
      <c r="J2991" s="25" t="str">
        <f>IF(OR(E2991="",E2991="!!!",F2991="NEW"),"",COUNTBLANK(OFFSET(A$1,,,SUMPRODUCT(MAX(ROW(E$2:E2991)*(E2991=E$2:E2991)))))-COUNTBLANK(OFFSET(A$1,,,SUMPRODUCT(MAX(ROW(E$1:E2990)*(E2=E$1:E2990))))))</f>
        <v> </v>
      </c>
      <c r="K2991" s="25" t="str">
        <f>IF(OR(E2991="",E2991="!!!",F2991="NEW"),"",INDEX(J$1:J2990,SUMPRODUCT(MAX(ROW(E$1:E2990)*(E2991=E$1:E2990)))))</f>
        <v> </v>
      </c>
      <c r="L2991" s="26"/>
    </row>
    <row r="2992" spans="1:12">
      <c r="A2992" s="20" t="s">
        <v>2512</v>
      </c>
      <c r="E2992" s="21">
        <f>IF(D2992="?OLD","!!!","")</f>
        <v/>
      </c>
      <c r="F2992" s="22" t="str">
        <f>IF(OR(E2992="",E2992="!!!"),"",IF(NOT(ISNA(VLOOKUP(E2992,E$1:E2991,1,FALSE()))),"OLD",IF(AND(E2992&lt;&gt;"",E2992&lt;&gt;"!!!"),"NEW","")))</f>
        <v> </v>
      </c>
      <c r="G2992" s="23" t="str">
        <f>IF(OR(E2992="",E2992="!!!"),"",IF(OR(J2992=0,AND(J2992=1,K2992=1),AND(J2992=1,I2992="SBJ"),AND(J2992=1,I2992=0)),"?IN_FOCUS",IF(J2992&lt;=2,"?ACTIVATED",IF(J2992&lt;&gt;"","?FAMILIAR",IF(F2992="NEW",IF(ISNA(VLOOKUP(E2992,#REF!,1,FALSE())),"?TYPE_IDENTIFIABLE","?REFERENTIAL"),"_")))))</f>
        <v> </v>
      </c>
      <c r="H2992" s="24" t="str">
        <f>IF(J2992&lt;&gt;1,"",IF(I2992="SBJ","CB","?"))</f>
        <v> </v>
      </c>
      <c r="I2992" s="25" t="str">
        <f>IF(OR(E2992="",E2992="!!!",F2992="NEW"),"",INDEX(B2991:B$2,-1+SUMPRODUCT(MAX(ROW(E2991:E$2)*(E2992=E2991:E$2)))))</f>
        <v> </v>
      </c>
      <c r="J2992" s="25" t="str">
        <f>IF(OR(E2992="",E2992="!!!",F2992="NEW"),"",COUNTBLANK(OFFSET(A$1,,,SUMPRODUCT(MAX(ROW(E$2:E2992)*(E2992=E$2:E2992)))))-COUNTBLANK(OFFSET(A$1,,,SUMPRODUCT(MAX(ROW(E$1:E2991)*(E2=E$1:E2991))))))</f>
        <v> </v>
      </c>
      <c r="K2992" s="25" t="str">
        <f>IF(OR(E2992="",E2992="!!!",F2992="NEW"),"",INDEX(J$1:J2991,SUMPRODUCT(MAX(ROW(E$1:E2991)*(E2992=E$1:E2991)))))</f>
        <v> </v>
      </c>
      <c r="L2992" s="26"/>
    </row>
    <row r="2993" spans="1:12">
      <c r="A2993" s="20" t="s">
        <v>1249</v>
      </c>
      <c r="E2993" s="21">
        <f>IF(D2993="?OLD","!!!","")</f>
        <v/>
      </c>
      <c r="F2993" s="22" t="str">
        <f>IF(OR(E2993="",E2993="!!!"),"",IF(NOT(ISNA(VLOOKUP(E2993,E$1:E2992,1,FALSE()))),"OLD",IF(AND(E2993&lt;&gt;"",E2993&lt;&gt;"!!!"),"NEW","")))</f>
        <v> </v>
      </c>
      <c r="G2993" s="23" t="str">
        <f>IF(OR(E2993="",E2993="!!!"),"",IF(OR(J2993=0,AND(J2993=1,K2993=1),AND(J2993=1,I2993="SBJ"),AND(J2993=1,I2993=0)),"?IN_FOCUS",IF(J2993&lt;=2,"?ACTIVATED",IF(J2993&lt;&gt;"","?FAMILIAR",IF(F2993="NEW",IF(ISNA(VLOOKUP(E2993,#REF!,1,FALSE())),"?TYPE_IDENTIFIABLE","?REFERENTIAL"),"_")))))</f>
        <v> </v>
      </c>
      <c r="H2993" s="24" t="str">
        <f>IF(J2993&lt;&gt;1,"",IF(I2993="SBJ","CB","?"))</f>
        <v> </v>
      </c>
      <c r="I2993" s="25" t="str">
        <f>IF(OR(E2993="",E2993="!!!",F2993="NEW"),"",INDEX(B2992:B$2,-1+SUMPRODUCT(MAX(ROW(E2992:E$2)*(E2993=E2992:E$2)))))</f>
        <v> </v>
      </c>
      <c r="J2993" s="25" t="str">
        <f>IF(OR(E2993="",E2993="!!!",F2993="NEW"),"",COUNTBLANK(OFFSET(A$1,,,SUMPRODUCT(MAX(ROW(E$2:E2993)*(E2993=E$2:E2993)))))-COUNTBLANK(OFFSET(A$1,,,SUMPRODUCT(MAX(ROW(E$1:E2992)*(E2=E$1:E2992))))))</f>
        <v> </v>
      </c>
      <c r="K2993" s="25" t="str">
        <f>IF(OR(E2993="",E2993="!!!",F2993="NEW"),"",INDEX(J$1:J2992,SUMPRODUCT(MAX(ROW(E$1:E2992)*(E2993=E$1:E2992)))))</f>
        <v> </v>
      </c>
      <c r="L2993" s="26"/>
    </row>
    <row r="2994" spans="1:12">
      <c r="A2994" s="20" t="s">
        <v>1270</v>
      </c>
      <c r="B2994" s="27" t="s">
        <v>1141</v>
      </c>
      <c r="C2994" s="27" t="s">
        <v>1126</v>
      </c>
      <c r="D2994" s="27" t="s">
        <v>1105</v>
      </c>
      <c r="E2994" s="21">
        <f>IF(D2994="?OLD","!!!","")</f>
        <v/>
      </c>
      <c r="F2994" s="22" t="str">
        <f>IF(OR(E2994="",E2994="!!!"),"",IF(NOT(ISNA(VLOOKUP(E2994,E$1:E2993,1,FALSE()))),"OLD",IF(AND(E2994&lt;&gt;"",E2994&lt;&gt;"!!!"),"NEW","")))</f>
        <v> </v>
      </c>
      <c r="G2994" s="23" t="str">
        <f>IF(OR(E2994="",E2994="!!!"),"",IF(OR(J2994=0,AND(J2994=1,K2994=1),AND(J2994=1,I2994="SBJ"),AND(J2994=1,I2994=0)),"?IN_FOCUS",IF(J2994&lt;=2,"?ACTIVATED",IF(J2994&lt;&gt;"","?FAMILIAR",IF(F2994="NEW",IF(ISNA(VLOOKUP(E2994,#REF!,1,FALSE())),"?TYPE_IDENTIFIABLE","?REFERENTIAL"),"_")))))</f>
        <v> </v>
      </c>
      <c r="H2994" s="24" t="str">
        <f>IF(J2994&lt;&gt;1,"",IF(I2994="SBJ","CB","?"))</f>
        <v> </v>
      </c>
      <c r="I2994" s="25" t="str">
        <f>IF(OR(E2994="",E2994="!!!",F2994="NEW"),"",INDEX(B2993:B$2,-1+SUMPRODUCT(MAX(ROW(E2993:E$2)*(E2994=E2993:E$2)))))</f>
        <v> </v>
      </c>
      <c r="J2994" s="25" t="str">
        <f>IF(OR(E2994="",E2994="!!!",F2994="NEW"),"",COUNTBLANK(OFFSET(A$1,,,SUMPRODUCT(MAX(ROW(E$2:E2994)*(E2994=E$2:E2994)))))-COUNTBLANK(OFFSET(A$1,,,SUMPRODUCT(MAX(ROW(E$1:E2993)*(E2=E$1:E2993))))))</f>
        <v> </v>
      </c>
      <c r="K2994" s="25" t="str">
        <f>IF(OR(E2994="",E2994="!!!",F2994="NEW"),"",INDEX(J$1:J2993,SUMPRODUCT(MAX(ROW(E$1:E2993)*(E2994=E$1:E2993)))))</f>
        <v> </v>
      </c>
      <c r="L2994" s="26"/>
    </row>
    <row r="2995" spans="1:12">
      <c r="A2995" s="20" t="s">
        <v>1123</v>
      </c>
      <c r="E2995" s="21">
        <f>IF(D2995="?OLD","!!!","")</f>
        <v/>
      </c>
      <c r="F2995" s="22" t="str">
        <f>IF(OR(E2995="",E2995="!!!"),"",IF(NOT(ISNA(VLOOKUP(E2995,E$1:E2994,1,FALSE()))),"OLD",IF(AND(E2995&lt;&gt;"",E2995&lt;&gt;"!!!"),"NEW","")))</f>
        <v> </v>
      </c>
      <c r="G2995" s="23" t="str">
        <f>IF(OR(E2995="",E2995="!!!"),"",IF(OR(J2995=0,AND(J2995=1,K2995=1),AND(J2995=1,I2995="SBJ"),AND(J2995=1,I2995=0)),"?IN_FOCUS",IF(J2995&lt;=2,"?ACTIVATED",IF(J2995&lt;&gt;"","?FAMILIAR",IF(F2995="NEW",IF(ISNA(VLOOKUP(E2995,#REF!,1,FALSE())),"?TYPE_IDENTIFIABLE","?REFERENTIAL"),"_")))))</f>
        <v> </v>
      </c>
      <c r="H2995" s="24" t="str">
        <f>IF(J2995&lt;&gt;1,"",IF(I2995="SBJ","CB","?"))</f>
        <v> </v>
      </c>
      <c r="I2995" s="25" t="str">
        <f>IF(OR(E2995="",E2995="!!!",F2995="NEW"),"",INDEX(B2994:B$2,-1+SUMPRODUCT(MAX(ROW(E2994:E$2)*(E2995=E2994:E$2)))))</f>
        <v> </v>
      </c>
      <c r="J2995" s="25" t="str">
        <f>IF(OR(E2995="",E2995="!!!",F2995="NEW"),"",COUNTBLANK(OFFSET(A$1,,,SUMPRODUCT(MAX(ROW(E$2:E2995)*(E2995=E$2:E2995)))))-COUNTBLANK(OFFSET(A$1,,,SUMPRODUCT(MAX(ROW(E$1:E2994)*(E2=E$1:E2994))))))</f>
        <v> </v>
      </c>
      <c r="K2995" s="25" t="str">
        <f>IF(OR(E2995="",E2995="!!!",F2995="NEW"),"",INDEX(J$1:J2994,SUMPRODUCT(MAX(ROW(E$1:E2994)*(E2995=E$1:E2994)))))</f>
        <v> </v>
      </c>
      <c r="L2995" s="26"/>
    </row>
    <row r="2996" spans="1:12">
      <c r="A2996" s="20" t="s">
        <v>2513</v>
      </c>
      <c r="E2996" s="21">
        <f>IF(D2996="?OLD","!!!","")</f>
        <v/>
      </c>
      <c r="F2996" s="22" t="str">
        <f>IF(OR(E2996="",E2996="!!!"),"",IF(NOT(ISNA(VLOOKUP(E2996,E$1:E2995,1,FALSE()))),"OLD",IF(AND(E2996&lt;&gt;"",E2996&lt;&gt;"!!!"),"NEW","")))</f>
        <v> </v>
      </c>
      <c r="G2996" s="23" t="str">
        <f>IF(OR(E2996="",E2996="!!!"),"",IF(OR(J2996=0,AND(J2996=1,K2996=1),AND(J2996=1,I2996="SBJ"),AND(J2996=1,I2996=0)),"?IN_FOCUS",IF(J2996&lt;=2,"?ACTIVATED",IF(J2996&lt;&gt;"","?FAMILIAR",IF(F2996="NEW",IF(ISNA(VLOOKUP(E2996,#REF!,1,FALSE())),"?TYPE_IDENTIFIABLE","?REFERENTIAL"),"_")))))</f>
        <v> </v>
      </c>
      <c r="H2996" s="24" t="str">
        <f>IF(J2996&lt;&gt;1,"",IF(I2996="SBJ","CB","?"))</f>
        <v> </v>
      </c>
      <c r="I2996" s="25" t="str">
        <f>IF(OR(E2996="",E2996="!!!",F2996="NEW"),"",INDEX(B2995:B$2,-1+SUMPRODUCT(MAX(ROW(E2995:E$2)*(E2996=E2995:E$2)))))</f>
        <v> </v>
      </c>
      <c r="J2996" s="25" t="str">
        <f>IF(OR(E2996="",E2996="!!!",F2996="NEW"),"",COUNTBLANK(OFFSET(A$1,,,SUMPRODUCT(MAX(ROW(E$2:E2996)*(E2996=E$2:E2996)))))-COUNTBLANK(OFFSET(A$1,,,SUMPRODUCT(MAX(ROW(E$1:E2995)*(E2=E$1:E2995))))))</f>
        <v> </v>
      </c>
      <c r="K2996" s="25" t="str">
        <f>IF(OR(E2996="",E2996="!!!",F2996="NEW"),"",INDEX(J$1:J2995,SUMPRODUCT(MAX(ROW(E$1:E2995)*(E2996=E$1:E2995)))))</f>
        <v> </v>
      </c>
      <c r="L2996" s="26"/>
    </row>
    <row r="2997" spans="1:12">
      <c r="A2997" s="20" t="s">
        <v>1984</v>
      </c>
      <c r="E2997" s="21">
        <f>IF(D2997="?OLD","!!!","")</f>
        <v/>
      </c>
      <c r="F2997" s="22" t="str">
        <f>IF(OR(E2997="",E2997="!!!"),"",IF(NOT(ISNA(VLOOKUP(E2997,E$1:E2996,1,FALSE()))),"OLD",IF(AND(E2997&lt;&gt;"",E2997&lt;&gt;"!!!"),"NEW","")))</f>
        <v> </v>
      </c>
      <c r="G2997" s="23" t="str">
        <f>IF(OR(E2997="",E2997="!!!"),"",IF(OR(J2997=0,AND(J2997=1,K2997=1),AND(J2997=1,I2997="SBJ"),AND(J2997=1,I2997=0)),"?IN_FOCUS",IF(J2997&lt;=2,"?ACTIVATED",IF(J2997&lt;&gt;"","?FAMILIAR",IF(F2997="NEW",IF(ISNA(VLOOKUP(E2997,#REF!,1,FALSE())),"?TYPE_IDENTIFIABLE","?REFERENTIAL"),"_")))))</f>
        <v> </v>
      </c>
      <c r="H2997" s="24" t="str">
        <f>IF(J2997&lt;&gt;1,"",IF(I2997="SBJ","CB","?"))</f>
        <v> </v>
      </c>
      <c r="I2997" s="25" t="str">
        <f>IF(OR(E2997="",E2997="!!!",F2997="NEW"),"",INDEX(B2996:B$2,-1+SUMPRODUCT(MAX(ROW(E2996:E$2)*(E2997=E2996:E$2)))))</f>
        <v> </v>
      </c>
      <c r="J2997" s="25" t="str">
        <f>IF(OR(E2997="",E2997="!!!",F2997="NEW"),"",COUNTBLANK(OFFSET(A$1,,,SUMPRODUCT(MAX(ROW(E$2:E2997)*(E2997=E$2:E2997)))))-COUNTBLANK(OFFSET(A$1,,,SUMPRODUCT(MAX(ROW(E$1:E2996)*(E2=E$1:E2996))))))</f>
        <v> </v>
      </c>
      <c r="K2997" s="25" t="str">
        <f>IF(OR(E2997="",E2997="!!!",F2997="NEW"),"",INDEX(J$1:J2996,SUMPRODUCT(MAX(ROW(E$1:E2996)*(E2997=E$1:E2996)))))</f>
        <v> </v>
      </c>
      <c r="L2997" s="26"/>
    </row>
    <row r="2998" spans="1:12">
      <c r="A2998" s="20" t="s">
        <v>1128</v>
      </c>
      <c r="E2998" s="21">
        <f>IF(D2998="?OLD","!!!","")</f>
        <v/>
      </c>
      <c r="F2998" s="22" t="str">
        <f>IF(OR(E2998="",E2998="!!!"),"",IF(NOT(ISNA(VLOOKUP(E2998,E$1:E2997,1,FALSE()))),"OLD",IF(AND(E2998&lt;&gt;"",E2998&lt;&gt;"!!!"),"NEW","")))</f>
        <v> </v>
      </c>
      <c r="G2998" s="23" t="str">
        <f>IF(OR(E2998="",E2998="!!!"),"",IF(OR(J2998=0,AND(J2998=1,K2998=1),AND(J2998=1,I2998="SBJ"),AND(J2998=1,I2998=0)),"?IN_FOCUS",IF(J2998&lt;=2,"?ACTIVATED",IF(J2998&lt;&gt;"","?FAMILIAR",IF(F2998="NEW",IF(ISNA(VLOOKUP(E2998,#REF!,1,FALSE())),"?TYPE_IDENTIFIABLE","?REFERENTIAL"),"_")))))</f>
        <v> </v>
      </c>
      <c r="H2998" s="24" t="str">
        <f>IF(J2998&lt;&gt;1,"",IF(I2998="SBJ","CB","?"))</f>
        <v> </v>
      </c>
      <c r="I2998" s="25" t="str">
        <f>IF(OR(E2998="",E2998="!!!",F2998="NEW"),"",INDEX(B2997:B$2,-1+SUMPRODUCT(MAX(ROW(E2997:E$2)*(E2998=E2997:E$2)))))</f>
        <v> </v>
      </c>
      <c r="J2998" s="25" t="str">
        <f>IF(OR(E2998="",E2998="!!!",F2998="NEW"),"",COUNTBLANK(OFFSET(A$1,,,SUMPRODUCT(MAX(ROW(E$2:E2998)*(E2998=E$2:E2998)))))-COUNTBLANK(OFFSET(A$1,,,SUMPRODUCT(MAX(ROW(E$1:E2997)*(E2=E$1:E2997))))))</f>
        <v> </v>
      </c>
      <c r="K2998" s="25" t="str">
        <f>IF(OR(E2998="",E2998="!!!",F2998="NEW"),"",INDEX(J$1:J2997,SUMPRODUCT(MAX(ROW(E$1:E2997)*(E2998=E$1:E2997)))))</f>
        <v> </v>
      </c>
      <c r="L2998" s="26"/>
    </row>
    <row r="2999" spans="1:12">
      <c r="A2999" s="20" t="s">
        <v>2514</v>
      </c>
      <c r="E2999" s="21">
        <f>IF(D2999="?OLD","!!!","")</f>
        <v/>
      </c>
      <c r="F2999" s="22" t="str">
        <f>IF(OR(E2999="",E2999="!!!"),"",IF(NOT(ISNA(VLOOKUP(E2999,E$1:E2998,1,FALSE()))),"OLD",IF(AND(E2999&lt;&gt;"",E2999&lt;&gt;"!!!"),"NEW","")))</f>
        <v> </v>
      </c>
      <c r="G2999" s="23" t="str">
        <f>IF(OR(E2999="",E2999="!!!"),"",IF(OR(J2999=0,AND(J2999=1,K2999=1),AND(J2999=1,I2999="SBJ"),AND(J2999=1,I2999=0)),"?IN_FOCUS",IF(J2999&lt;=2,"?ACTIVATED",IF(J2999&lt;&gt;"","?FAMILIAR",IF(F2999="NEW",IF(ISNA(VLOOKUP(E2999,#REF!,1,FALSE())),"?TYPE_IDENTIFIABLE","?REFERENTIAL"),"_")))))</f>
        <v> </v>
      </c>
      <c r="H2999" s="24" t="str">
        <f>IF(J2999&lt;&gt;1,"",IF(I2999="SBJ","CB","?"))</f>
        <v> </v>
      </c>
      <c r="I2999" s="25" t="str">
        <f>IF(OR(E2999="",E2999="!!!",F2999="NEW"),"",INDEX(B2998:B$2,-1+SUMPRODUCT(MAX(ROW(E2998:E$2)*(E2999=E2998:E$2)))))</f>
        <v> </v>
      </c>
      <c r="J2999" s="25" t="str">
        <f>IF(OR(E2999="",E2999="!!!",F2999="NEW"),"",COUNTBLANK(OFFSET(A$1,,,SUMPRODUCT(MAX(ROW(E$2:E2999)*(E2999=E$2:E2999)))))-COUNTBLANK(OFFSET(A$1,,,SUMPRODUCT(MAX(ROW(E$1:E2998)*(E2=E$1:E2998))))))</f>
        <v> </v>
      </c>
      <c r="K2999" s="25" t="str">
        <f>IF(OR(E2999="",E2999="!!!",F2999="NEW"),"",INDEX(J$1:J2998,SUMPRODUCT(MAX(ROW(E$1:E2998)*(E2999=E$1:E2998)))))</f>
        <v> </v>
      </c>
      <c r="L2999" s="26"/>
    </row>
    <row r="3000" spans="1:12">
      <c r="A3000" s="20" t="s">
        <v>1145</v>
      </c>
      <c r="E3000" s="21">
        <f>IF(D3000="?OLD","!!!","")</f>
        <v/>
      </c>
      <c r="F3000" s="22" t="str">
        <f>IF(OR(E3000="",E3000="!!!"),"",IF(NOT(ISNA(VLOOKUP(E3000,E$1:E2999,1,FALSE()))),"OLD",IF(AND(E3000&lt;&gt;"",E3000&lt;&gt;"!!!"),"NEW","")))</f>
        <v> </v>
      </c>
      <c r="G3000" s="23" t="str">
        <f>IF(OR(E3000="",E3000="!!!"),"",IF(OR(J3000=0,AND(J3000=1,K3000=1),AND(J3000=1,I3000="SBJ"),AND(J3000=1,I3000=0)),"?IN_FOCUS",IF(J3000&lt;=2,"?ACTIVATED",IF(J3000&lt;&gt;"","?FAMILIAR",IF(F3000="NEW",IF(ISNA(VLOOKUP(E3000,#REF!,1,FALSE())),"?TYPE_IDENTIFIABLE","?REFERENTIAL"),"_")))))</f>
        <v> </v>
      </c>
      <c r="H3000" s="24" t="str">
        <f>IF(J3000&lt;&gt;1,"",IF(I3000="SBJ","CB","?"))</f>
        <v> </v>
      </c>
      <c r="I3000" s="25" t="str">
        <f>IF(OR(E3000="",E3000="!!!",F3000="NEW"),"",INDEX(B2999:B$2,-1+SUMPRODUCT(MAX(ROW(E2999:E$2)*(E3000=E2999:E$2)))))</f>
        <v> </v>
      </c>
      <c r="J3000" s="25" t="str">
        <f>IF(OR(E3000="",E3000="!!!",F3000="NEW"),"",COUNTBLANK(OFFSET(A$1,,,SUMPRODUCT(MAX(ROW(E$2:E3000)*(E3000=E$2:E3000)))))-COUNTBLANK(OFFSET(A$1,,,SUMPRODUCT(MAX(ROW(E$1:E2999)*(E2=E$1:E2999))))))</f>
        <v> </v>
      </c>
      <c r="K3000" s="25" t="str">
        <f>IF(OR(E3000="",E3000="!!!",F3000="NEW"),"",INDEX(J$1:J2999,SUMPRODUCT(MAX(ROW(E$1:E2999)*(E3000=E$1:E2999)))))</f>
        <v> </v>
      </c>
      <c r="L3000" s="26"/>
    </row>
    <row r="3001" spans="1:12">
      <c r="A3001" s="20"/>
    </row>
    <row r="3002" spans="1:12">
      <c r="A3002" s="20" t="s">
        <v>2515</v>
      </c>
    </row>
    <row r="3003" spans="1:12">
      <c r="A3003" s="20" t="s">
        <v>1277</v>
      </c>
      <c r="E3003" s="21">
        <f>IF(D3003="?OLD","!!!","")</f>
        <v/>
      </c>
      <c r="F3003" s="22" t="str">
        <f>IF(OR(E3003="",E3003="!!!"),"",IF(NOT(ISNA(VLOOKUP(E3003,E$1:E3002,1,FALSE()))),"OLD",IF(AND(E3003&lt;&gt;"",E3003&lt;&gt;"!!!"),"NEW","")))</f>
        <v> </v>
      </c>
      <c r="G3003" s="23" t="str">
        <f>IF(OR(E3003="",E3003="!!!"),"",IF(OR(J3003=0,AND(J3003=1,K3003=1),AND(J3003=1,I3003="SBJ"),AND(J3003=1,I3003=0)),"?IN_FOCUS",IF(J3003&lt;=2,"?ACTIVATED",IF(J3003&lt;&gt;"","?FAMILIAR",IF(F3003="NEW",IF(ISNA(VLOOKUP(E3003,#REF!,1,FALSE())),"?TYPE_IDENTIFIABLE","?REFERENTIAL"),"_")))))</f>
        <v> </v>
      </c>
      <c r="H3003" s="24" t="str">
        <f>IF(J3003&lt;&gt;1,"",IF(I3003="SBJ","CB","?"))</f>
        <v> </v>
      </c>
      <c r="I3003" s="25" t="str">
        <f>IF(OR(E3003="",E3003="!!!",F3003="NEW"),"",INDEX(B3002:B$2,-1+SUMPRODUCT(MAX(ROW(E3002:E$2)*(E3003=E3002:E$2)))))</f>
        <v> </v>
      </c>
      <c r="J3003" s="25" t="str">
        <f>IF(OR(E3003="",E3003="!!!",F3003="NEW"),"",COUNTBLANK(OFFSET(A$1,,,SUMPRODUCT(MAX(ROW(E$2:E3003)*(E3003=E$2:E3003)))))-COUNTBLANK(OFFSET(A$1,,,SUMPRODUCT(MAX(ROW(E$1:E3002)*(E2=E$1:E3002))))))</f>
        <v> </v>
      </c>
      <c r="K3003" s="25" t="str">
        <f>IF(OR(E3003="",E3003="!!!",F3003="NEW"),"",INDEX(J$1:J3002,SUMPRODUCT(MAX(ROW(E$1:E3002)*(E3003=E$1:E3002)))))</f>
        <v> </v>
      </c>
      <c r="L3003" s="26"/>
    </row>
    <row r="3004" spans="1:12">
      <c r="A3004" s="20" t="s">
        <v>2516</v>
      </c>
      <c r="E3004" s="21">
        <f>IF(D3004="?OLD","!!!","")</f>
        <v/>
      </c>
      <c r="F3004" s="22" t="str">
        <f>IF(OR(E3004="",E3004="!!!"),"",IF(NOT(ISNA(VLOOKUP(E3004,E$1:E3003,1,FALSE()))),"OLD",IF(AND(E3004&lt;&gt;"",E3004&lt;&gt;"!!!"),"NEW","")))</f>
        <v> </v>
      </c>
      <c r="G3004" s="23" t="str">
        <f>IF(OR(E3004="",E3004="!!!"),"",IF(OR(J3004=0,AND(J3004=1,K3004=1),AND(J3004=1,I3004="SBJ"),AND(J3004=1,I3004=0)),"?IN_FOCUS",IF(J3004&lt;=2,"?ACTIVATED",IF(J3004&lt;&gt;"","?FAMILIAR",IF(F3004="NEW",IF(ISNA(VLOOKUP(E3004,#REF!,1,FALSE())),"?TYPE_IDENTIFIABLE","?REFERENTIAL"),"_")))))</f>
        <v> </v>
      </c>
      <c r="H3004" s="24" t="str">
        <f>IF(J3004&lt;&gt;1,"",IF(I3004="SBJ","CB","?"))</f>
        <v> </v>
      </c>
      <c r="I3004" s="25" t="str">
        <f>IF(OR(E3004="",E3004="!!!",F3004="NEW"),"",INDEX(B3003:B$2,-1+SUMPRODUCT(MAX(ROW(E3003:E$2)*(E3004=E3003:E$2)))))</f>
        <v> </v>
      </c>
      <c r="J3004" s="25" t="str">
        <f>IF(OR(E3004="",E3004="!!!",F3004="NEW"),"",COUNTBLANK(OFFSET(A$1,,,SUMPRODUCT(MAX(ROW(E$2:E3004)*(E3004=E$2:E3004)))))-COUNTBLANK(OFFSET(A$1,,,SUMPRODUCT(MAX(ROW(E$1:E3003)*(E2=E$1:E3003))))))</f>
        <v> </v>
      </c>
      <c r="K3004" s="25" t="str">
        <f>IF(OR(E3004="",E3004="!!!",F3004="NEW"),"",INDEX(J$1:J3003,SUMPRODUCT(MAX(ROW(E$1:E3003)*(E3004=E$1:E3003)))))</f>
        <v> </v>
      </c>
      <c r="L3004" s="26"/>
    </row>
    <row r="3005" spans="1:12">
      <c r="A3005" s="20" t="s">
        <v>2517</v>
      </c>
      <c r="E3005" s="21">
        <f>IF(D3005="?OLD","!!!","")</f>
        <v/>
      </c>
      <c r="F3005" s="22" t="str">
        <f>IF(OR(E3005="",E3005="!!!"),"",IF(NOT(ISNA(VLOOKUP(E3005,E$1:E3004,1,FALSE()))),"OLD",IF(AND(E3005&lt;&gt;"",E3005&lt;&gt;"!!!"),"NEW","")))</f>
        <v> </v>
      </c>
      <c r="G3005" s="23" t="str">
        <f>IF(OR(E3005="",E3005="!!!"),"",IF(OR(J3005=0,AND(J3005=1,K3005=1),AND(J3005=1,I3005="SBJ"),AND(J3005=1,I3005=0)),"?IN_FOCUS",IF(J3005&lt;=2,"?ACTIVATED",IF(J3005&lt;&gt;"","?FAMILIAR",IF(F3005="NEW",IF(ISNA(VLOOKUP(E3005,#REF!,1,FALSE())),"?TYPE_IDENTIFIABLE","?REFERENTIAL"),"_")))))</f>
        <v> </v>
      </c>
      <c r="H3005" s="24" t="str">
        <f>IF(J3005&lt;&gt;1,"",IF(I3005="SBJ","CB","?"))</f>
        <v> </v>
      </c>
      <c r="I3005" s="25" t="str">
        <f>IF(OR(E3005="",E3005="!!!",F3005="NEW"),"",INDEX(B3004:B$2,-1+SUMPRODUCT(MAX(ROW(E3004:E$2)*(E3005=E3004:E$2)))))</f>
        <v> </v>
      </c>
      <c r="J3005" s="25" t="str">
        <f>IF(OR(E3005="",E3005="!!!",F3005="NEW"),"",COUNTBLANK(OFFSET(A$1,,,SUMPRODUCT(MAX(ROW(E$2:E3005)*(E3005=E$2:E3005)))))-COUNTBLANK(OFFSET(A$1,,,SUMPRODUCT(MAX(ROW(E$1:E3004)*(E2=E$1:E3004))))))</f>
        <v> </v>
      </c>
      <c r="K3005" s="25" t="str">
        <f>IF(OR(E3005="",E3005="!!!",F3005="NEW"),"",INDEX(J$1:J3004,SUMPRODUCT(MAX(ROW(E$1:E3004)*(E3005=E$1:E3004)))))</f>
        <v> </v>
      </c>
      <c r="L3005" s="26"/>
    </row>
    <row r="3006" spans="1:12">
      <c r="A3006" s="20" t="s">
        <v>1217</v>
      </c>
      <c r="B3006" s="27" t="s">
        <v>1149</v>
      </c>
      <c r="C3006" s="27" t="s">
        <v>1126</v>
      </c>
      <c r="D3006" s="27" t="s">
        <v>1105</v>
      </c>
      <c r="E3006" s="21">
        <f>IF(D3006="?OLD","!!!","")</f>
        <v/>
      </c>
      <c r="F3006" s="22" t="str">
        <f>IF(OR(E3006="",E3006="!!!"),"",IF(NOT(ISNA(VLOOKUP(E3006,E$1:E3005,1,FALSE()))),"OLD",IF(AND(E3006&lt;&gt;"",E3006&lt;&gt;"!!!"),"NEW","")))</f>
        <v> </v>
      </c>
      <c r="G3006" s="23" t="str">
        <f>IF(OR(E3006="",E3006="!!!"),"",IF(OR(J3006=0,AND(J3006=1,K3006=1),AND(J3006=1,I3006="SBJ"),AND(J3006=1,I3006=0)),"?IN_FOCUS",IF(J3006&lt;=2,"?ACTIVATED",IF(J3006&lt;&gt;"","?FAMILIAR",IF(F3006="NEW",IF(ISNA(VLOOKUP(E3006,#REF!,1,FALSE())),"?TYPE_IDENTIFIABLE","?REFERENTIAL"),"_")))))</f>
        <v> </v>
      </c>
      <c r="H3006" s="24" t="str">
        <f>IF(J3006&lt;&gt;1,"",IF(I3006="SBJ","CB","?"))</f>
        <v> </v>
      </c>
      <c r="I3006" s="25" t="str">
        <f>IF(OR(E3006="",E3006="!!!",F3006="NEW"),"",INDEX(B3005:B$2,-1+SUMPRODUCT(MAX(ROW(E3005:E$2)*(E3006=E3005:E$2)))))</f>
        <v> </v>
      </c>
      <c r="J3006" s="25" t="str">
        <f>IF(OR(E3006="",E3006="!!!",F3006="NEW"),"",COUNTBLANK(OFFSET(A$1,,,SUMPRODUCT(MAX(ROW(E$2:E3006)*(E3006=E$2:E3006)))))-COUNTBLANK(OFFSET(A$1,,,SUMPRODUCT(MAX(ROW(E$1:E3005)*(E2=E$1:E3005))))))</f>
        <v> </v>
      </c>
      <c r="K3006" s="25" t="str">
        <f>IF(OR(E3006="",E3006="!!!",F3006="NEW"),"",INDEX(J$1:J3005,SUMPRODUCT(MAX(ROW(E$1:E3005)*(E3006=E$1:E3005)))))</f>
        <v> </v>
      </c>
      <c r="L3006" s="26"/>
    </row>
    <row r="3007" spans="1:12">
      <c r="A3007" s="20" t="s">
        <v>2171</v>
      </c>
      <c r="E3007" s="21">
        <f>IF(D3007="?OLD","!!!","")</f>
        <v/>
      </c>
      <c r="F3007" s="22" t="str">
        <f>IF(OR(E3007="",E3007="!!!"),"",IF(NOT(ISNA(VLOOKUP(E3007,E$1:E3006,1,FALSE()))),"OLD",IF(AND(E3007&lt;&gt;"",E3007&lt;&gt;"!!!"),"NEW","")))</f>
        <v> </v>
      </c>
      <c r="G3007" s="23" t="str">
        <f>IF(OR(E3007="",E3007="!!!"),"",IF(OR(J3007=0,AND(J3007=1,K3007=1),AND(J3007=1,I3007="SBJ"),AND(J3007=1,I3007=0)),"?IN_FOCUS",IF(J3007&lt;=2,"?ACTIVATED",IF(J3007&lt;&gt;"","?FAMILIAR",IF(F3007="NEW",IF(ISNA(VLOOKUP(E3007,#REF!,1,FALSE())),"?TYPE_IDENTIFIABLE","?REFERENTIAL"),"_")))))</f>
        <v> </v>
      </c>
      <c r="H3007" s="24" t="str">
        <f>IF(J3007&lt;&gt;1,"",IF(I3007="SBJ","CB","?"))</f>
        <v> </v>
      </c>
      <c r="I3007" s="25" t="str">
        <f>IF(OR(E3007="",E3007="!!!",F3007="NEW"),"",INDEX(B3006:B$2,-1+SUMPRODUCT(MAX(ROW(E3006:E$2)*(E3007=E3006:E$2)))))</f>
        <v> </v>
      </c>
      <c r="J3007" s="25" t="str">
        <f>IF(OR(E3007="",E3007="!!!",F3007="NEW"),"",COUNTBLANK(OFFSET(A$1,,,SUMPRODUCT(MAX(ROW(E$2:E3007)*(E3007=E$2:E3007)))))-COUNTBLANK(OFFSET(A$1,,,SUMPRODUCT(MAX(ROW(E$1:E3006)*(E2=E$1:E3006))))))</f>
        <v> </v>
      </c>
      <c r="K3007" s="25" t="str">
        <f>IF(OR(E3007="",E3007="!!!",F3007="NEW"),"",INDEX(J$1:J3006,SUMPRODUCT(MAX(ROW(E$1:E3006)*(E3007=E$1:E3006)))))</f>
        <v> </v>
      </c>
      <c r="L3007" s="26"/>
    </row>
    <row r="3008" spans="1:12">
      <c r="A3008" s="20" t="s">
        <v>1427</v>
      </c>
      <c r="E3008" s="21">
        <f>IF(D3008="?OLD","!!!","")</f>
        <v/>
      </c>
      <c r="F3008" s="22" t="str">
        <f>IF(OR(E3008="",E3008="!!!"),"",IF(NOT(ISNA(VLOOKUP(E3008,E$1:E3007,1,FALSE()))),"OLD",IF(AND(E3008&lt;&gt;"",E3008&lt;&gt;"!!!"),"NEW","")))</f>
        <v> </v>
      </c>
      <c r="G3008" s="23" t="str">
        <f>IF(OR(E3008="",E3008="!!!"),"",IF(OR(J3008=0,AND(J3008=1,K3008=1),AND(J3008=1,I3008="SBJ"),AND(J3008=1,I3008=0)),"?IN_FOCUS",IF(J3008&lt;=2,"?ACTIVATED",IF(J3008&lt;&gt;"","?FAMILIAR",IF(F3008="NEW",IF(ISNA(VLOOKUP(E3008,#REF!,1,FALSE())),"?TYPE_IDENTIFIABLE","?REFERENTIAL"),"_")))))</f>
        <v> </v>
      </c>
      <c r="H3008" s="24" t="str">
        <f>IF(J3008&lt;&gt;1,"",IF(I3008="SBJ","CB","?"))</f>
        <v> </v>
      </c>
      <c r="I3008" s="25" t="str">
        <f>IF(OR(E3008="",E3008="!!!",F3008="NEW"),"",INDEX(B3007:B$2,-1+SUMPRODUCT(MAX(ROW(E3007:E$2)*(E3008=E3007:E$2)))))</f>
        <v> </v>
      </c>
      <c r="J3008" s="25" t="str">
        <f>IF(OR(E3008="",E3008="!!!",F3008="NEW"),"",COUNTBLANK(OFFSET(A$1,,,SUMPRODUCT(MAX(ROW(E$2:E3008)*(E3008=E$2:E3008)))))-COUNTBLANK(OFFSET(A$1,,,SUMPRODUCT(MAX(ROW(E$1:E3007)*(E2=E$1:E3007))))))</f>
        <v> </v>
      </c>
      <c r="K3008" s="25" t="str">
        <f>IF(OR(E3008="",E3008="!!!",F3008="NEW"),"",INDEX(J$1:J3007,SUMPRODUCT(MAX(ROW(E$1:E3007)*(E3008=E$1:E3007)))))</f>
        <v> </v>
      </c>
      <c r="L3008" s="26"/>
    </row>
    <row r="3009" spans="1:12">
      <c r="A3009" s="20" t="s">
        <v>2518</v>
      </c>
      <c r="B3009" s="27" t="s">
        <v>1213</v>
      </c>
      <c r="C3009" s="27" t="s">
        <v>1156</v>
      </c>
      <c r="D3009" s="27" t="s">
        <v>1105</v>
      </c>
      <c r="E3009" s="21">
        <f>IF(D3009="?OLD","!!!","")</f>
        <v/>
      </c>
      <c r="F3009" s="22" t="str">
        <f>IF(OR(E3009="",E3009="!!!"),"",IF(NOT(ISNA(VLOOKUP(E3009,E$1:E3008,1,FALSE()))),"OLD",IF(AND(E3009&lt;&gt;"",E3009&lt;&gt;"!!!"),"NEW","")))</f>
        <v> </v>
      </c>
      <c r="G3009" s="23" t="str">
        <f>IF(OR(E3009="",E3009="!!!"),"",IF(OR(J3009=0,AND(J3009=1,K3009=1),AND(J3009=1,I3009="SBJ"),AND(J3009=1,I3009=0)),"?IN_FOCUS",IF(J3009&lt;=2,"?ACTIVATED",IF(J3009&lt;&gt;"","?FAMILIAR",IF(F3009="NEW",IF(ISNA(VLOOKUP(E3009,#REF!,1,FALSE())),"?TYPE_IDENTIFIABLE","?REFERENTIAL"),"_")))))</f>
        <v> </v>
      </c>
      <c r="H3009" s="24" t="str">
        <f>IF(J3009&lt;&gt;1,"",IF(I3009="SBJ","CB","?"))</f>
        <v> </v>
      </c>
      <c r="I3009" s="25" t="str">
        <f>IF(OR(E3009="",E3009="!!!",F3009="NEW"),"",INDEX(B3008:B$2,-1+SUMPRODUCT(MAX(ROW(E3008:E$2)*(E3009=E3008:E$2)))))</f>
        <v> </v>
      </c>
      <c r="J3009" s="25" t="str">
        <f>IF(OR(E3009="",E3009="!!!",F3009="NEW"),"",COUNTBLANK(OFFSET(A$1,,,SUMPRODUCT(MAX(ROW(E$2:E3009)*(E3009=E$2:E3009)))))-COUNTBLANK(OFFSET(A$1,,,SUMPRODUCT(MAX(ROW(E$1:E3008)*(E2=E$1:E3008))))))</f>
        <v> </v>
      </c>
      <c r="K3009" s="25" t="str">
        <f>IF(OR(E3009="",E3009="!!!",F3009="NEW"),"",INDEX(J$1:J3008,SUMPRODUCT(MAX(ROW(E$1:E3008)*(E3009=E$1:E3008)))))</f>
        <v> </v>
      </c>
      <c r="L3009" s="26"/>
    </row>
    <row r="3010" spans="1:12">
      <c r="A3010" s="20" t="s">
        <v>1123</v>
      </c>
      <c r="E3010" s="21">
        <f>IF(D3010="?OLD","!!!","")</f>
        <v/>
      </c>
      <c r="F3010" s="22" t="str">
        <f>IF(OR(E3010="",E3010="!!!"),"",IF(NOT(ISNA(VLOOKUP(E3010,E$1:E3009,1,FALSE()))),"OLD",IF(AND(E3010&lt;&gt;"",E3010&lt;&gt;"!!!"),"NEW","")))</f>
        <v> </v>
      </c>
      <c r="G3010" s="23" t="str">
        <f>IF(OR(E3010="",E3010="!!!"),"",IF(OR(J3010=0,AND(J3010=1,K3010=1),AND(J3010=1,I3010="SBJ"),AND(J3010=1,I3010=0)),"?IN_FOCUS",IF(J3010&lt;=2,"?ACTIVATED",IF(J3010&lt;&gt;"","?FAMILIAR",IF(F3010="NEW",IF(ISNA(VLOOKUP(E3010,#REF!,1,FALSE())),"?TYPE_IDENTIFIABLE","?REFERENTIAL"),"_")))))</f>
        <v> </v>
      </c>
      <c r="H3010" s="24" t="str">
        <f>IF(J3010&lt;&gt;1,"",IF(I3010="SBJ","CB","?"))</f>
        <v> </v>
      </c>
      <c r="I3010" s="25" t="str">
        <f>IF(OR(E3010="",E3010="!!!",F3010="NEW"),"",INDEX(B3009:B$2,-1+SUMPRODUCT(MAX(ROW(E3009:E$2)*(E3010=E3009:E$2)))))</f>
        <v> </v>
      </c>
      <c r="J3010" s="25" t="str">
        <f>IF(OR(E3010="",E3010="!!!",F3010="NEW"),"",COUNTBLANK(OFFSET(A$1,,,SUMPRODUCT(MAX(ROW(E$2:E3010)*(E3010=E$2:E3010)))))-COUNTBLANK(OFFSET(A$1,,,SUMPRODUCT(MAX(ROW(E$1:E3009)*(E2=E$1:E3009))))))</f>
        <v> </v>
      </c>
      <c r="K3010" s="25" t="str">
        <f>IF(OR(E3010="",E3010="!!!",F3010="NEW"),"",INDEX(J$1:J3009,SUMPRODUCT(MAX(ROW(E$1:E3009)*(E3010=E$1:E3009)))))</f>
        <v> </v>
      </c>
      <c r="L3010" s="26"/>
    </row>
    <row r="3011" spans="1:12">
      <c r="A3011" s="20" t="s">
        <v>2519</v>
      </c>
      <c r="E3011" s="21">
        <f>IF(D3011="?OLD","!!!","")</f>
        <v/>
      </c>
      <c r="F3011" s="22" t="str">
        <f>IF(OR(E3011="",E3011="!!!"),"",IF(NOT(ISNA(VLOOKUP(E3011,E$1:E3010,1,FALSE()))),"OLD",IF(AND(E3011&lt;&gt;"",E3011&lt;&gt;"!!!"),"NEW","")))</f>
        <v> </v>
      </c>
      <c r="G3011" s="23" t="str">
        <f>IF(OR(E3011="",E3011="!!!"),"",IF(OR(J3011=0,AND(J3011=1,K3011=1),AND(J3011=1,I3011="SBJ"),AND(J3011=1,I3011=0)),"?IN_FOCUS",IF(J3011&lt;=2,"?ACTIVATED",IF(J3011&lt;&gt;"","?FAMILIAR",IF(F3011="NEW",IF(ISNA(VLOOKUP(E3011,#REF!,1,FALSE())),"?TYPE_IDENTIFIABLE","?REFERENTIAL"),"_")))))</f>
        <v> </v>
      </c>
      <c r="H3011" s="24" t="str">
        <f>IF(J3011&lt;&gt;1,"",IF(I3011="SBJ","CB","?"))</f>
        <v> </v>
      </c>
      <c r="I3011" s="25" t="str">
        <f>IF(OR(E3011="",E3011="!!!",F3011="NEW"),"",INDEX(B3010:B$2,-1+SUMPRODUCT(MAX(ROW(E3010:E$2)*(E3011=E3010:E$2)))))</f>
        <v> </v>
      </c>
      <c r="J3011" s="25" t="str">
        <f>IF(OR(E3011="",E3011="!!!",F3011="NEW"),"",COUNTBLANK(OFFSET(A$1,,,SUMPRODUCT(MAX(ROW(E$2:E3011)*(E3011=E$2:E3011)))))-COUNTBLANK(OFFSET(A$1,,,SUMPRODUCT(MAX(ROW(E$1:E3010)*(E2=E$1:E3010))))))</f>
        <v> </v>
      </c>
      <c r="K3011" s="25" t="str">
        <f>IF(OR(E3011="",E3011="!!!",F3011="NEW"),"",INDEX(J$1:J3010,SUMPRODUCT(MAX(ROW(E$1:E3010)*(E3011=E$1:E3010)))))</f>
        <v> </v>
      </c>
      <c r="L3011" s="26"/>
    </row>
    <row r="3012" spans="1:12">
      <c r="A3012" s="20" t="s">
        <v>2520</v>
      </c>
      <c r="B3012" s="27" t="s">
        <v>1243</v>
      </c>
      <c r="E3012" s="21">
        <f>IF(D3012="?OLD","!!!","")</f>
        <v/>
      </c>
      <c r="F3012" s="22" t="str">
        <f>IF(OR(E3012="",E3012="!!!"),"",IF(NOT(ISNA(VLOOKUP(E3012,E$1:E3011,1,FALSE()))),"OLD",IF(AND(E3012&lt;&gt;"",E3012&lt;&gt;"!!!"),"NEW","")))</f>
        <v> </v>
      </c>
      <c r="G3012" s="23" t="str">
        <f>IF(OR(E3012="",E3012="!!!"),"",IF(OR(J3012=0,AND(J3012=1,K3012=1),AND(J3012=1,I3012="SBJ"),AND(J3012=1,I3012=0)),"?IN_FOCUS",IF(J3012&lt;=2,"?ACTIVATED",IF(J3012&lt;&gt;"","?FAMILIAR",IF(F3012="NEW",IF(ISNA(VLOOKUP(E3012,#REF!,1,FALSE())),"?TYPE_IDENTIFIABLE","?REFERENTIAL"),"_")))))</f>
        <v> </v>
      </c>
      <c r="H3012" s="24" t="str">
        <f>IF(J3012&lt;&gt;1,"",IF(I3012="SBJ","CB","?"))</f>
        <v> </v>
      </c>
      <c r="I3012" s="25" t="str">
        <f>IF(OR(E3012="",E3012="!!!",F3012="NEW"),"",INDEX(B3011:B$2,-1+SUMPRODUCT(MAX(ROW(E3011:E$2)*(E3012=E3011:E$2)))))</f>
        <v> </v>
      </c>
      <c r="J3012" s="25" t="str">
        <f>IF(OR(E3012="",E3012="!!!",F3012="NEW"),"",COUNTBLANK(OFFSET(A$1,,,SUMPRODUCT(MAX(ROW(E$2:E3012)*(E3012=E$2:E3012)))))-COUNTBLANK(OFFSET(A$1,,,SUMPRODUCT(MAX(ROW(E$1:E3011)*(E2=E$1:E3011))))))</f>
        <v> </v>
      </c>
      <c r="K3012" s="25" t="str">
        <f>IF(OR(E3012="",E3012="!!!",F3012="NEW"),"",INDEX(J$1:J3011,SUMPRODUCT(MAX(ROW(E$1:E3011)*(E3012=E$1:E3011)))))</f>
        <v> </v>
      </c>
      <c r="L3012" s="26"/>
    </row>
    <row r="3013" spans="1:12">
      <c r="A3013" s="20" t="s">
        <v>1123</v>
      </c>
      <c r="E3013" s="21">
        <f>IF(D3013="?OLD","!!!","")</f>
        <v/>
      </c>
      <c r="F3013" s="22" t="str">
        <f>IF(OR(E3013="",E3013="!!!"),"",IF(NOT(ISNA(VLOOKUP(E3013,E$1:E3012,1,FALSE()))),"OLD",IF(AND(E3013&lt;&gt;"",E3013&lt;&gt;"!!!"),"NEW","")))</f>
        <v> </v>
      </c>
      <c r="G3013" s="23" t="str">
        <f>IF(OR(E3013="",E3013="!!!"),"",IF(OR(J3013=0,AND(J3013=1,K3013=1),AND(J3013=1,I3013="SBJ"),AND(J3013=1,I3013=0)),"?IN_FOCUS",IF(J3013&lt;=2,"?ACTIVATED",IF(J3013&lt;&gt;"","?FAMILIAR",IF(F3013="NEW",IF(ISNA(VLOOKUP(E3013,#REF!,1,FALSE())),"?TYPE_IDENTIFIABLE","?REFERENTIAL"),"_")))))</f>
        <v> </v>
      </c>
      <c r="H3013" s="24" t="str">
        <f>IF(J3013&lt;&gt;1,"",IF(I3013="SBJ","CB","?"))</f>
        <v> </v>
      </c>
      <c r="I3013" s="25" t="str">
        <f>IF(OR(E3013="",E3013="!!!",F3013="NEW"),"",INDEX(B3012:B$2,-1+SUMPRODUCT(MAX(ROW(E3012:E$2)*(E3013=E3012:E$2)))))</f>
        <v> </v>
      </c>
      <c r="J3013" s="25" t="str">
        <f>IF(OR(E3013="",E3013="!!!",F3013="NEW"),"",COUNTBLANK(OFFSET(A$1,,,SUMPRODUCT(MAX(ROW(E$2:E3013)*(E3013=E$2:E3013)))))-COUNTBLANK(OFFSET(A$1,,,SUMPRODUCT(MAX(ROW(E$1:E3012)*(E2=E$1:E3012))))))</f>
        <v> </v>
      </c>
      <c r="K3013" s="25" t="str">
        <f>IF(OR(E3013="",E3013="!!!",F3013="NEW"),"",INDEX(J$1:J3012,SUMPRODUCT(MAX(ROW(E$1:E3012)*(E3013=E$1:E3012)))))</f>
        <v> </v>
      </c>
      <c r="L3013" s="26"/>
    </row>
    <row r="3014" spans="1:12">
      <c r="A3014" s="20" t="s">
        <v>1128</v>
      </c>
      <c r="E3014" s="21">
        <f>IF(D3014="?OLD","!!!","")</f>
        <v/>
      </c>
      <c r="F3014" s="22" t="str">
        <f>IF(OR(E3014="",E3014="!!!"),"",IF(NOT(ISNA(VLOOKUP(E3014,E$1:E3013,1,FALSE()))),"OLD",IF(AND(E3014&lt;&gt;"",E3014&lt;&gt;"!!!"),"NEW","")))</f>
        <v> </v>
      </c>
      <c r="G3014" s="23" t="str">
        <f>IF(OR(E3014="",E3014="!!!"),"",IF(OR(J3014=0,AND(J3014=1,K3014=1),AND(J3014=1,I3014="SBJ"),AND(J3014=1,I3014=0)),"?IN_FOCUS",IF(J3014&lt;=2,"?ACTIVATED",IF(J3014&lt;&gt;"","?FAMILIAR",IF(F3014="NEW",IF(ISNA(VLOOKUP(E3014,#REF!,1,FALSE())),"?TYPE_IDENTIFIABLE","?REFERENTIAL"),"_")))))</f>
        <v> </v>
      </c>
      <c r="H3014" s="24" t="str">
        <f>IF(J3014&lt;&gt;1,"",IF(I3014="SBJ","CB","?"))</f>
        <v> </v>
      </c>
      <c r="I3014" s="25" t="str">
        <f>IF(OR(E3014="",E3014="!!!",F3014="NEW"),"",INDEX(B3013:B$2,-1+SUMPRODUCT(MAX(ROW(E3013:E$2)*(E3014=E3013:E$2)))))</f>
        <v> </v>
      </c>
      <c r="J3014" s="25" t="str">
        <f>IF(OR(E3014="",E3014="!!!",F3014="NEW"),"",COUNTBLANK(OFFSET(A$1,,,SUMPRODUCT(MAX(ROW(E$2:E3014)*(E3014=E$2:E3014)))))-COUNTBLANK(OFFSET(A$1,,,SUMPRODUCT(MAX(ROW(E$1:E3013)*(E2=E$1:E3013))))))</f>
        <v> </v>
      </c>
      <c r="K3014" s="25" t="str">
        <f>IF(OR(E3014="",E3014="!!!",F3014="NEW"),"",INDEX(J$1:J3013,SUMPRODUCT(MAX(ROW(E$1:E3013)*(E3014=E$1:E3013)))))</f>
        <v> </v>
      </c>
      <c r="L3014" s="26"/>
    </row>
    <row r="3015" spans="1:12">
      <c r="A3015" s="20" t="s">
        <v>1271</v>
      </c>
      <c r="E3015" s="21">
        <f>IF(D3015="?OLD","!!!","")</f>
        <v/>
      </c>
      <c r="F3015" s="22" t="str">
        <f>IF(OR(E3015="",E3015="!!!"),"",IF(NOT(ISNA(VLOOKUP(E3015,E$1:E3014,1,FALSE()))),"OLD",IF(AND(E3015&lt;&gt;"",E3015&lt;&gt;"!!!"),"NEW","")))</f>
        <v> </v>
      </c>
      <c r="G3015" s="23" t="str">
        <f>IF(OR(E3015="",E3015="!!!"),"",IF(OR(J3015=0,AND(J3015=1,K3015=1),AND(J3015=1,I3015="SBJ"),AND(J3015=1,I3015=0)),"?IN_FOCUS",IF(J3015&lt;=2,"?ACTIVATED",IF(J3015&lt;&gt;"","?FAMILIAR",IF(F3015="NEW",IF(ISNA(VLOOKUP(E3015,#REF!,1,FALSE())),"?TYPE_IDENTIFIABLE","?REFERENTIAL"),"_")))))</f>
        <v> </v>
      </c>
      <c r="H3015" s="24" t="str">
        <f>IF(J3015&lt;&gt;1,"",IF(I3015="SBJ","CB","?"))</f>
        <v> </v>
      </c>
      <c r="I3015" s="25" t="str">
        <f>IF(OR(E3015="",E3015="!!!",F3015="NEW"),"",INDEX(B3014:B$2,-1+SUMPRODUCT(MAX(ROW(E3014:E$2)*(E3015=E3014:E$2)))))</f>
        <v> </v>
      </c>
      <c r="J3015" s="25" t="str">
        <f>IF(OR(E3015="",E3015="!!!",F3015="NEW"),"",COUNTBLANK(OFFSET(A$1,,,SUMPRODUCT(MAX(ROW(E$2:E3015)*(E3015=E$2:E3015)))))-COUNTBLANK(OFFSET(A$1,,,SUMPRODUCT(MAX(ROW(E$1:E3014)*(E2=E$1:E3014))))))</f>
        <v> </v>
      </c>
      <c r="K3015" s="25" t="str">
        <f>IF(OR(E3015="",E3015="!!!",F3015="NEW"),"",INDEX(J$1:J3014,SUMPRODUCT(MAX(ROW(E$1:E3014)*(E3015=E$1:E3014)))))</f>
        <v> </v>
      </c>
      <c r="L3015" s="26"/>
    </row>
    <row r="3016" spans="1:12">
      <c r="A3016" s="20" t="s">
        <v>2446</v>
      </c>
      <c r="B3016" s="27" t="s">
        <v>1110</v>
      </c>
      <c r="C3016" s="27" t="s">
        <v>1142</v>
      </c>
      <c r="D3016" s="27" t="s">
        <v>1105</v>
      </c>
      <c r="E3016" s="21">
        <f>IF(D3016="?OLD","!!!","")</f>
        <v/>
      </c>
      <c r="F3016" s="22" t="str">
        <f>IF(OR(E3016="",E3016="!!!"),"",IF(NOT(ISNA(VLOOKUP(E3016,E$1:E3015,1,FALSE()))),"OLD",IF(AND(E3016&lt;&gt;"",E3016&lt;&gt;"!!!"),"NEW","")))</f>
        <v> </v>
      </c>
      <c r="G3016" s="23" t="str">
        <f>IF(OR(E3016="",E3016="!!!"),"",IF(OR(J3016=0,AND(J3016=1,K3016=1),AND(J3016=1,I3016="SBJ"),AND(J3016=1,I3016=0)),"?IN_FOCUS",IF(J3016&lt;=2,"?ACTIVATED",IF(J3016&lt;&gt;"","?FAMILIAR",IF(F3016="NEW",IF(ISNA(VLOOKUP(E3016,#REF!,1,FALSE())),"?TYPE_IDENTIFIABLE","?REFERENTIAL"),"_")))))</f>
        <v> </v>
      </c>
      <c r="H3016" s="24" t="str">
        <f>IF(J3016&lt;&gt;1,"",IF(I3016="SBJ","CB","?"))</f>
        <v> </v>
      </c>
      <c r="I3016" s="25" t="str">
        <f>IF(OR(E3016="",E3016="!!!",F3016="NEW"),"",INDEX(B3015:B$2,-1+SUMPRODUCT(MAX(ROW(E3015:E$2)*(E3016=E3015:E$2)))))</f>
        <v> </v>
      </c>
      <c r="J3016" s="25" t="str">
        <f>IF(OR(E3016="",E3016="!!!",F3016="NEW"),"",COUNTBLANK(OFFSET(A$1,,,SUMPRODUCT(MAX(ROW(E$2:E3016)*(E3016=E$2:E3016)))))-COUNTBLANK(OFFSET(A$1,,,SUMPRODUCT(MAX(ROW(E$1:E3015)*(E2=E$1:E3015))))))</f>
        <v> </v>
      </c>
      <c r="K3016" s="25" t="str">
        <f>IF(OR(E3016="",E3016="!!!",F3016="NEW"),"",INDEX(J$1:J3015,SUMPRODUCT(MAX(ROW(E$1:E3015)*(E3016=E$1:E3015)))))</f>
        <v> </v>
      </c>
      <c r="L3016" s="26"/>
    </row>
    <row r="3017" spans="1:12">
      <c r="A3017" s="20" t="s">
        <v>2521</v>
      </c>
      <c r="E3017" s="21">
        <f>IF(D3017="?OLD","!!!","")</f>
        <v/>
      </c>
      <c r="F3017" s="22" t="str">
        <f>IF(OR(E3017="",E3017="!!!"),"",IF(NOT(ISNA(VLOOKUP(E3017,E$1:E3016,1,FALSE()))),"OLD",IF(AND(E3017&lt;&gt;"",E3017&lt;&gt;"!!!"),"NEW","")))</f>
        <v> </v>
      </c>
      <c r="G3017" s="23" t="str">
        <f>IF(OR(E3017="",E3017="!!!"),"",IF(OR(J3017=0,AND(J3017=1,K3017=1),AND(J3017=1,I3017="SBJ"),AND(J3017=1,I3017=0)),"?IN_FOCUS",IF(J3017&lt;=2,"?ACTIVATED",IF(J3017&lt;&gt;"","?FAMILIAR",IF(F3017="NEW",IF(ISNA(VLOOKUP(E3017,#REF!,1,FALSE())),"?TYPE_IDENTIFIABLE","?REFERENTIAL"),"_")))))</f>
        <v> </v>
      </c>
      <c r="H3017" s="24" t="str">
        <f>IF(J3017&lt;&gt;1,"",IF(I3017="SBJ","CB","?"))</f>
        <v> </v>
      </c>
      <c r="I3017" s="25" t="str">
        <f>IF(OR(E3017="",E3017="!!!",F3017="NEW"),"",INDEX(B3016:B$2,-1+SUMPRODUCT(MAX(ROW(E3016:E$2)*(E3017=E3016:E$2)))))</f>
        <v> </v>
      </c>
      <c r="J3017" s="25" t="str">
        <f>IF(OR(E3017="",E3017="!!!",F3017="NEW"),"",COUNTBLANK(OFFSET(A$1,,,SUMPRODUCT(MAX(ROW(E$2:E3017)*(E3017=E$2:E3017)))))-COUNTBLANK(OFFSET(A$1,,,SUMPRODUCT(MAX(ROW(E$1:E3016)*(E2=E$1:E3016))))))</f>
        <v> </v>
      </c>
      <c r="K3017" s="25" t="str">
        <f>IF(OR(E3017="",E3017="!!!",F3017="NEW"),"",INDEX(J$1:J3016,SUMPRODUCT(MAX(ROW(E$1:E3016)*(E3017=E$1:E3016)))))</f>
        <v> </v>
      </c>
      <c r="L3017" s="26"/>
    </row>
    <row r="3018" spans="1:12">
      <c r="A3018" s="20" t="s">
        <v>2522</v>
      </c>
      <c r="E3018" s="21">
        <f>IF(D3018="?OLD","!!!","")</f>
        <v/>
      </c>
      <c r="F3018" s="22" t="str">
        <f>IF(OR(E3018="",E3018="!!!"),"",IF(NOT(ISNA(VLOOKUP(E3018,E$1:E3017,1,FALSE()))),"OLD",IF(AND(E3018&lt;&gt;"",E3018&lt;&gt;"!!!"),"NEW","")))</f>
        <v> </v>
      </c>
      <c r="G3018" s="23" t="str">
        <f>IF(OR(E3018="",E3018="!!!"),"",IF(OR(J3018=0,AND(J3018=1,K3018=1),AND(J3018=1,I3018="SBJ"),AND(J3018=1,I3018=0)),"?IN_FOCUS",IF(J3018&lt;=2,"?ACTIVATED",IF(J3018&lt;&gt;"","?FAMILIAR",IF(F3018="NEW",IF(ISNA(VLOOKUP(E3018,#REF!,1,FALSE())),"?TYPE_IDENTIFIABLE","?REFERENTIAL"),"_")))))</f>
        <v> </v>
      </c>
      <c r="H3018" s="24" t="str">
        <f>IF(J3018&lt;&gt;1,"",IF(I3018="SBJ","CB","?"))</f>
        <v> </v>
      </c>
      <c r="I3018" s="25" t="str">
        <f>IF(OR(E3018="",E3018="!!!",F3018="NEW"),"",INDEX(B3017:B$2,-1+SUMPRODUCT(MAX(ROW(E3017:E$2)*(E3018=E3017:E$2)))))</f>
        <v> </v>
      </c>
      <c r="J3018" s="25" t="str">
        <f>IF(OR(E3018="",E3018="!!!",F3018="NEW"),"",COUNTBLANK(OFFSET(A$1,,,SUMPRODUCT(MAX(ROW(E$2:E3018)*(E3018=E$2:E3018)))))-COUNTBLANK(OFFSET(A$1,,,SUMPRODUCT(MAX(ROW(E$1:E3017)*(E2=E$1:E3017))))))</f>
        <v> </v>
      </c>
      <c r="K3018" s="25" t="str">
        <f>IF(OR(E3018="",E3018="!!!",F3018="NEW"),"",INDEX(J$1:J3017,SUMPRODUCT(MAX(ROW(E$1:E3017)*(E3018=E$1:E3017)))))</f>
        <v> </v>
      </c>
      <c r="L3018" s="26"/>
    </row>
    <row r="3019" spans="1:12">
      <c r="A3019" s="20" t="s">
        <v>1134</v>
      </c>
      <c r="E3019" s="21">
        <f>IF(D3019="?OLD","!!!","")</f>
        <v/>
      </c>
      <c r="F3019" s="22" t="str">
        <f>IF(OR(E3019="",E3019="!!!"),"",IF(NOT(ISNA(VLOOKUP(E3019,E$1:E3018,1,FALSE()))),"OLD",IF(AND(E3019&lt;&gt;"",E3019&lt;&gt;"!!!"),"NEW","")))</f>
        <v> </v>
      </c>
      <c r="G3019" s="23" t="str">
        <f>IF(OR(E3019="",E3019="!!!"),"",IF(OR(J3019=0,AND(J3019=1,K3019=1),AND(J3019=1,I3019="SBJ"),AND(J3019=1,I3019=0)),"?IN_FOCUS",IF(J3019&lt;=2,"?ACTIVATED",IF(J3019&lt;&gt;"","?FAMILIAR",IF(F3019="NEW",IF(ISNA(VLOOKUP(E3019,#REF!,1,FALSE())),"?TYPE_IDENTIFIABLE","?REFERENTIAL"),"_")))))</f>
        <v> </v>
      </c>
      <c r="H3019" s="24" t="str">
        <f>IF(J3019&lt;&gt;1,"",IF(I3019="SBJ","CB","?"))</f>
        <v> </v>
      </c>
      <c r="I3019" s="25" t="str">
        <f>IF(OR(E3019="",E3019="!!!",F3019="NEW"),"",INDEX(B3018:B$2,-1+SUMPRODUCT(MAX(ROW(E3018:E$2)*(E3019=E3018:E$2)))))</f>
        <v> </v>
      </c>
      <c r="J3019" s="25" t="str">
        <f>IF(OR(E3019="",E3019="!!!",F3019="NEW"),"",COUNTBLANK(OFFSET(A$1,,,SUMPRODUCT(MAX(ROW(E$2:E3019)*(E3019=E$2:E3019)))))-COUNTBLANK(OFFSET(A$1,,,SUMPRODUCT(MAX(ROW(E$1:E3018)*(E2=E$1:E3018))))))</f>
        <v> </v>
      </c>
      <c r="K3019" s="25" t="str">
        <f>IF(OR(E3019="",E3019="!!!",F3019="NEW"),"",INDEX(J$1:J3018,SUMPRODUCT(MAX(ROW(E$1:E3018)*(E3019=E$1:E3018)))))</f>
        <v> </v>
      </c>
      <c r="L3019" s="26"/>
    </row>
    <row r="3020" spans="1:12">
      <c r="A3020" s="20" t="s">
        <v>1181</v>
      </c>
      <c r="B3020" s="27" t="s">
        <v>1122</v>
      </c>
      <c r="C3020" s="27" t="s">
        <v>1133</v>
      </c>
      <c r="E3020" s="21">
        <f>IF(D3020="?OLD","!!!","")</f>
        <v/>
      </c>
      <c r="F3020" s="22" t="str">
        <f>IF(OR(E3020="",E3020="!!!"),"",IF(NOT(ISNA(VLOOKUP(E3020,E$1:E3019,1,FALSE()))),"OLD",IF(AND(E3020&lt;&gt;"",E3020&lt;&gt;"!!!"),"NEW","")))</f>
        <v> </v>
      </c>
      <c r="G3020" s="23" t="str">
        <f>IF(OR(E3020="",E3020="!!!"),"",IF(OR(J3020=0,AND(J3020=1,K3020=1),AND(J3020=1,I3020="SBJ"),AND(J3020=1,I3020=0)),"?IN_FOCUS",IF(J3020&lt;=2,"?ACTIVATED",IF(J3020&lt;&gt;"","?FAMILIAR",IF(F3020="NEW",IF(ISNA(VLOOKUP(E3020,#REF!,1,FALSE())),"?TYPE_IDENTIFIABLE","?REFERENTIAL"),"_")))))</f>
        <v> </v>
      </c>
      <c r="H3020" s="24" t="str">
        <f>IF(J3020&lt;&gt;1,"",IF(I3020="SBJ","CB","?"))</f>
        <v> </v>
      </c>
      <c r="I3020" s="25" t="str">
        <f>IF(OR(E3020="",E3020="!!!",F3020="NEW"),"",INDEX(B3019:B$2,-1+SUMPRODUCT(MAX(ROW(E3019:E$2)*(E3020=E3019:E$2)))))</f>
        <v> </v>
      </c>
      <c r="J3020" s="25" t="str">
        <f>IF(OR(E3020="",E3020="!!!",F3020="NEW"),"",COUNTBLANK(OFFSET(A$1,,,SUMPRODUCT(MAX(ROW(E$2:E3020)*(E3020=E$2:E3020)))))-COUNTBLANK(OFFSET(A$1,,,SUMPRODUCT(MAX(ROW(E$1:E3019)*(E2=E$1:E3019))))))</f>
        <v> </v>
      </c>
      <c r="K3020" s="25" t="str">
        <f>IF(OR(E3020="",E3020="!!!",F3020="NEW"),"",INDEX(J$1:J3019,SUMPRODUCT(MAX(ROW(E$1:E3019)*(E3020=E$1:E3019)))))</f>
        <v> </v>
      </c>
      <c r="L3020" s="26"/>
    </row>
    <row r="3021" spans="1:12">
      <c r="A3021" s="20" t="s">
        <v>2523</v>
      </c>
      <c r="E3021" s="21">
        <f>IF(D3021="?OLD","!!!","")</f>
        <v/>
      </c>
      <c r="F3021" s="22" t="str">
        <f>IF(OR(E3021="",E3021="!!!"),"",IF(NOT(ISNA(VLOOKUP(E3021,E$1:E3020,1,FALSE()))),"OLD",IF(AND(E3021&lt;&gt;"",E3021&lt;&gt;"!!!"),"NEW","")))</f>
        <v> </v>
      </c>
      <c r="G3021" s="23" t="str">
        <f>IF(OR(E3021="",E3021="!!!"),"",IF(OR(J3021=0,AND(J3021=1,K3021=1),AND(J3021=1,I3021="SBJ"),AND(J3021=1,I3021=0)),"?IN_FOCUS",IF(J3021&lt;=2,"?ACTIVATED",IF(J3021&lt;&gt;"","?FAMILIAR",IF(F3021="NEW",IF(ISNA(VLOOKUP(E3021,#REF!,1,FALSE())),"?TYPE_IDENTIFIABLE","?REFERENTIAL"),"_")))))</f>
        <v> </v>
      </c>
      <c r="H3021" s="24" t="str">
        <f>IF(J3021&lt;&gt;1,"",IF(I3021="SBJ","CB","?"))</f>
        <v> </v>
      </c>
      <c r="I3021" s="25" t="str">
        <f>IF(OR(E3021="",E3021="!!!",F3021="NEW"),"",INDEX(B3020:B$2,-1+SUMPRODUCT(MAX(ROW(E3020:E$2)*(E3021=E3020:E$2)))))</f>
        <v> </v>
      </c>
      <c r="J3021" s="25" t="str">
        <f>IF(OR(E3021="",E3021="!!!",F3021="NEW"),"",COUNTBLANK(OFFSET(A$1,,,SUMPRODUCT(MAX(ROW(E$2:E3021)*(E3021=E$2:E3021)))))-COUNTBLANK(OFFSET(A$1,,,SUMPRODUCT(MAX(ROW(E$1:E3020)*(E2=E$1:E3020))))))</f>
        <v> </v>
      </c>
      <c r="K3021" s="25" t="str">
        <f>IF(OR(E3021="",E3021="!!!",F3021="NEW"),"",INDEX(J$1:J3020,SUMPRODUCT(MAX(ROW(E$1:E3020)*(E3021=E$1:E3020)))))</f>
        <v> </v>
      </c>
      <c r="L3021" s="26"/>
    </row>
    <row r="3022" spans="1:12">
      <c r="A3022" s="20" t="s">
        <v>1123</v>
      </c>
      <c r="E3022" s="21">
        <f>IF(D3022="?OLD","!!!","")</f>
        <v/>
      </c>
      <c r="F3022" s="22" t="str">
        <f>IF(OR(E3022="",E3022="!!!"),"",IF(NOT(ISNA(VLOOKUP(E3022,E$1:E3021,1,FALSE()))),"OLD",IF(AND(E3022&lt;&gt;"",E3022&lt;&gt;"!!!"),"NEW","")))</f>
        <v> </v>
      </c>
      <c r="G3022" s="23" t="str">
        <f>IF(OR(E3022="",E3022="!!!"),"",IF(OR(J3022=0,AND(J3022=1,K3022=1),AND(J3022=1,I3022="SBJ"),AND(J3022=1,I3022=0)),"?IN_FOCUS",IF(J3022&lt;=2,"?ACTIVATED",IF(J3022&lt;&gt;"","?FAMILIAR",IF(F3022="NEW",IF(ISNA(VLOOKUP(E3022,#REF!,1,FALSE())),"?TYPE_IDENTIFIABLE","?REFERENTIAL"),"_")))))</f>
        <v> </v>
      </c>
      <c r="H3022" s="24" t="str">
        <f>IF(J3022&lt;&gt;1,"",IF(I3022="SBJ","CB","?"))</f>
        <v> </v>
      </c>
      <c r="I3022" s="25" t="str">
        <f>IF(OR(E3022="",E3022="!!!",F3022="NEW"),"",INDEX(B3021:B$2,-1+SUMPRODUCT(MAX(ROW(E3021:E$2)*(E3022=E3021:E$2)))))</f>
        <v> </v>
      </c>
      <c r="J3022" s="25" t="str">
        <f>IF(OR(E3022="",E3022="!!!",F3022="NEW"),"",COUNTBLANK(OFFSET(A$1,,,SUMPRODUCT(MAX(ROW(E$2:E3022)*(E3022=E$2:E3022)))))-COUNTBLANK(OFFSET(A$1,,,SUMPRODUCT(MAX(ROW(E$1:E3021)*(E2=E$1:E3021))))))</f>
        <v> </v>
      </c>
      <c r="K3022" s="25" t="str">
        <f>IF(OR(E3022="",E3022="!!!",F3022="NEW"),"",INDEX(J$1:J3021,SUMPRODUCT(MAX(ROW(E$1:E3021)*(E3022=E$1:E3021)))))</f>
        <v> </v>
      </c>
      <c r="L3022" s="26"/>
    </row>
    <row r="3023" spans="1:12">
      <c r="A3023" s="20" t="s">
        <v>1239</v>
      </c>
      <c r="E3023" s="21">
        <f>IF(D3023="?OLD","!!!","")</f>
        <v/>
      </c>
      <c r="F3023" s="22" t="str">
        <f>IF(OR(E3023="",E3023="!!!"),"",IF(NOT(ISNA(VLOOKUP(E3023,E$1:E3022,1,FALSE()))),"OLD",IF(AND(E3023&lt;&gt;"",E3023&lt;&gt;"!!!"),"NEW","")))</f>
        <v> </v>
      </c>
      <c r="G3023" s="23" t="str">
        <f>IF(OR(E3023="",E3023="!!!"),"",IF(OR(J3023=0,AND(J3023=1,K3023=1),AND(J3023=1,I3023="SBJ"),AND(J3023=1,I3023=0)),"?IN_FOCUS",IF(J3023&lt;=2,"?ACTIVATED",IF(J3023&lt;&gt;"","?FAMILIAR",IF(F3023="NEW",IF(ISNA(VLOOKUP(E3023,#REF!,1,FALSE())),"?TYPE_IDENTIFIABLE","?REFERENTIAL"),"_")))))</f>
        <v> </v>
      </c>
      <c r="H3023" s="24" t="str">
        <f>IF(J3023&lt;&gt;1,"",IF(I3023="SBJ","CB","?"))</f>
        <v> </v>
      </c>
      <c r="I3023" s="25" t="str">
        <f>IF(OR(E3023="",E3023="!!!",F3023="NEW"),"",INDEX(B3022:B$2,-1+SUMPRODUCT(MAX(ROW(E3022:E$2)*(E3023=E3022:E$2)))))</f>
        <v> </v>
      </c>
      <c r="J3023" s="25" t="str">
        <f>IF(OR(E3023="",E3023="!!!",F3023="NEW"),"",COUNTBLANK(OFFSET(A$1,,,SUMPRODUCT(MAX(ROW(E$2:E3023)*(E3023=E$2:E3023)))))-COUNTBLANK(OFFSET(A$1,,,SUMPRODUCT(MAX(ROW(E$1:E3022)*(E2=E$1:E3022))))))</f>
        <v> </v>
      </c>
      <c r="K3023" s="25" t="str">
        <f>IF(OR(E3023="",E3023="!!!",F3023="NEW"),"",INDEX(J$1:J3022,SUMPRODUCT(MAX(ROW(E$1:E3022)*(E3023=E$1:E3022)))))</f>
        <v> </v>
      </c>
      <c r="L3023" s="26"/>
    </row>
    <row r="3024" spans="1:12">
      <c r="A3024" s="20" t="s">
        <v>2524</v>
      </c>
      <c r="E3024" s="21">
        <f>IF(D3024="?OLD","!!!","")</f>
        <v/>
      </c>
      <c r="F3024" s="22" t="str">
        <f>IF(OR(E3024="",E3024="!!!"),"",IF(NOT(ISNA(VLOOKUP(E3024,E$1:E3023,1,FALSE()))),"OLD",IF(AND(E3024&lt;&gt;"",E3024&lt;&gt;"!!!"),"NEW","")))</f>
        <v> </v>
      </c>
      <c r="G3024" s="23" t="str">
        <f>IF(OR(E3024="",E3024="!!!"),"",IF(OR(J3024=0,AND(J3024=1,K3024=1),AND(J3024=1,I3024="SBJ"),AND(J3024=1,I3024=0)),"?IN_FOCUS",IF(J3024&lt;=2,"?ACTIVATED",IF(J3024&lt;&gt;"","?FAMILIAR",IF(F3024="NEW",IF(ISNA(VLOOKUP(E3024,#REF!,1,FALSE())),"?TYPE_IDENTIFIABLE","?REFERENTIAL"),"_")))))</f>
        <v> </v>
      </c>
      <c r="H3024" s="24" t="str">
        <f>IF(J3024&lt;&gt;1,"",IF(I3024="SBJ","CB","?"))</f>
        <v> </v>
      </c>
      <c r="I3024" s="25" t="str">
        <f>IF(OR(E3024="",E3024="!!!",F3024="NEW"),"",INDEX(B3023:B$2,-1+SUMPRODUCT(MAX(ROW(E3023:E$2)*(E3024=E3023:E$2)))))</f>
        <v> </v>
      </c>
      <c r="J3024" s="25" t="str">
        <f>IF(OR(E3024="",E3024="!!!",F3024="NEW"),"",COUNTBLANK(OFFSET(A$1,,,SUMPRODUCT(MAX(ROW(E$2:E3024)*(E3024=E$2:E3024)))))-COUNTBLANK(OFFSET(A$1,,,SUMPRODUCT(MAX(ROW(E$1:E3023)*(E2=E$1:E3023))))))</f>
        <v> </v>
      </c>
      <c r="K3024" s="25" t="str">
        <f>IF(OR(E3024="",E3024="!!!",F3024="NEW"),"",INDEX(J$1:J3023,SUMPRODUCT(MAX(ROW(E$1:E3023)*(E3024=E$1:E3023)))))</f>
        <v> </v>
      </c>
      <c r="L3024" s="26"/>
    </row>
    <row r="3025" spans="1:12">
      <c r="A3025" s="20" t="s">
        <v>1507</v>
      </c>
      <c r="B3025" s="27" t="s">
        <v>1132</v>
      </c>
      <c r="C3025" s="27" t="s">
        <v>1108</v>
      </c>
      <c r="D3025" s="27" t="s">
        <v>1105</v>
      </c>
      <c r="E3025" s="21">
        <f>IF(D3025="?OLD","!!!","")</f>
        <v/>
      </c>
      <c r="F3025" s="22" t="str">
        <f>IF(OR(E3025="",E3025="!!!"),"",IF(NOT(ISNA(VLOOKUP(E3025,E$1:E3024,1,FALSE()))),"OLD",IF(AND(E3025&lt;&gt;"",E3025&lt;&gt;"!!!"),"NEW","")))</f>
        <v> </v>
      </c>
      <c r="G3025" s="23" t="str">
        <f>IF(OR(E3025="",E3025="!!!"),"",IF(OR(J3025=0,AND(J3025=1,K3025=1),AND(J3025=1,I3025="SBJ"),AND(J3025=1,I3025=0)),"?IN_FOCUS",IF(J3025&lt;=2,"?ACTIVATED",IF(J3025&lt;&gt;"","?FAMILIAR",IF(F3025="NEW",IF(ISNA(VLOOKUP(E3025,#REF!,1,FALSE())),"?TYPE_IDENTIFIABLE","?REFERENTIAL"),"_")))))</f>
        <v> </v>
      </c>
      <c r="H3025" s="24" t="str">
        <f>IF(J3025&lt;&gt;1,"",IF(I3025="SBJ","CB","?"))</f>
        <v> </v>
      </c>
      <c r="I3025" s="25" t="str">
        <f>IF(OR(E3025="",E3025="!!!",F3025="NEW"),"",INDEX(B3024:B$2,-1+SUMPRODUCT(MAX(ROW(E3024:E$2)*(E3025=E3024:E$2)))))</f>
        <v> </v>
      </c>
      <c r="J3025" s="25" t="str">
        <f>IF(OR(E3025="",E3025="!!!",F3025="NEW"),"",COUNTBLANK(OFFSET(A$1,,,SUMPRODUCT(MAX(ROW(E$2:E3025)*(E3025=E$2:E3025)))))-COUNTBLANK(OFFSET(A$1,,,SUMPRODUCT(MAX(ROW(E$1:E3024)*(E2=E$1:E3024))))))</f>
        <v> </v>
      </c>
      <c r="K3025" s="25" t="str">
        <f>IF(OR(E3025="",E3025="!!!",F3025="NEW"),"",INDEX(J$1:J3024,SUMPRODUCT(MAX(ROW(E$1:E3024)*(E3025=E$1:E3024)))))</f>
        <v> </v>
      </c>
      <c r="L3025" s="26"/>
    </row>
    <row r="3026" spans="1:12">
      <c r="A3026" s="20" t="s">
        <v>1145</v>
      </c>
      <c r="E3026" s="21">
        <f>IF(D3026="?OLD","!!!","")</f>
        <v/>
      </c>
      <c r="F3026" s="22" t="str">
        <f>IF(OR(E3026="",E3026="!!!"),"",IF(NOT(ISNA(VLOOKUP(E3026,E$1:E3025,1,FALSE()))),"OLD",IF(AND(E3026&lt;&gt;"",E3026&lt;&gt;"!!!"),"NEW","")))</f>
        <v> </v>
      </c>
      <c r="G3026" s="23" t="str">
        <f>IF(OR(E3026="",E3026="!!!"),"",IF(OR(J3026=0,AND(J3026=1,K3026=1),AND(J3026=1,I3026="SBJ"),AND(J3026=1,I3026=0)),"?IN_FOCUS",IF(J3026&lt;=2,"?ACTIVATED",IF(J3026&lt;&gt;"","?FAMILIAR",IF(F3026="NEW",IF(ISNA(VLOOKUP(E3026,#REF!,1,FALSE())),"?TYPE_IDENTIFIABLE","?REFERENTIAL"),"_")))))</f>
        <v> </v>
      </c>
      <c r="H3026" s="24" t="str">
        <f>IF(J3026&lt;&gt;1,"",IF(I3026="SBJ","CB","?"))</f>
        <v> </v>
      </c>
      <c r="I3026" s="25" t="str">
        <f>IF(OR(E3026="",E3026="!!!",F3026="NEW"),"",INDEX(B3025:B$2,-1+SUMPRODUCT(MAX(ROW(E3025:E$2)*(E3026=E3025:E$2)))))</f>
        <v> </v>
      </c>
      <c r="J3026" s="25" t="str">
        <f>IF(OR(E3026="",E3026="!!!",F3026="NEW"),"",COUNTBLANK(OFFSET(A$1,,,SUMPRODUCT(MAX(ROW(E$2:E3026)*(E3026=E$2:E3026)))))-COUNTBLANK(OFFSET(A$1,,,SUMPRODUCT(MAX(ROW(E$1:E3025)*(E2=E$1:E3025))))))</f>
        <v> </v>
      </c>
      <c r="K3026" s="25" t="str">
        <f>IF(OR(E3026="",E3026="!!!",F3026="NEW"),"",INDEX(J$1:J3025,SUMPRODUCT(MAX(ROW(E$1:E3025)*(E3026=E$1:E3025)))))</f>
        <v> </v>
      </c>
      <c r="L3026" s="26"/>
    </row>
    <row r="3027" spans="1:12">
      <c r="A3027" s="20"/>
    </row>
    <row r="3028" spans="1:12">
      <c r="A3028" s="20" t="s">
        <v>2525</v>
      </c>
    </row>
    <row r="3029" spans="1:12">
      <c r="A3029" s="20" t="s">
        <v>2526</v>
      </c>
      <c r="B3029" s="27" t="s">
        <v>1149</v>
      </c>
      <c r="E3029" s="21">
        <f>IF(D3029="?OLD","!!!","")</f>
        <v/>
      </c>
      <c r="F3029" s="22" t="str">
        <f>IF(OR(E3029="",E3029="!!!"),"",IF(NOT(ISNA(VLOOKUP(E3029,E$1:E3028,1,FALSE()))),"OLD",IF(AND(E3029&lt;&gt;"",E3029&lt;&gt;"!!!"),"NEW","")))</f>
        <v> </v>
      </c>
      <c r="G3029" s="23" t="str">
        <f>IF(OR(E3029="",E3029="!!!"),"",IF(OR(J3029=0,AND(J3029=1,K3029=1),AND(J3029=1,I3029="SBJ"),AND(J3029=1,I3029=0)),"?IN_FOCUS",IF(J3029&lt;=2,"?ACTIVATED",IF(J3029&lt;&gt;"","?FAMILIAR",IF(F3029="NEW",IF(ISNA(VLOOKUP(E3029,#REF!,1,FALSE())),"?TYPE_IDENTIFIABLE","?REFERENTIAL"),"_")))))</f>
        <v> </v>
      </c>
      <c r="H3029" s="24" t="str">
        <f>IF(J3029&lt;&gt;1,"",IF(I3029="SBJ","CB","?"))</f>
        <v> </v>
      </c>
      <c r="I3029" s="25" t="str">
        <f>IF(OR(E3029="",E3029="!!!",F3029="NEW"),"",INDEX(B3028:B$2,-1+SUMPRODUCT(MAX(ROW(E3028:E$2)*(E3029=E3028:E$2)))))</f>
        <v> </v>
      </c>
      <c r="J3029" s="25" t="str">
        <f>IF(OR(E3029="",E3029="!!!",F3029="NEW"),"",COUNTBLANK(OFFSET(A$1,,,SUMPRODUCT(MAX(ROW(E$2:E3029)*(E3029=E$2:E3029)))))-COUNTBLANK(OFFSET(A$1,,,SUMPRODUCT(MAX(ROW(E$1:E3028)*(E2=E$1:E3028))))))</f>
        <v> </v>
      </c>
      <c r="K3029" s="25" t="str">
        <f>IF(OR(E3029="",E3029="!!!",F3029="NEW"),"",INDEX(J$1:J3028,SUMPRODUCT(MAX(ROW(E$1:E3028)*(E3029=E$1:E3028)))))</f>
        <v> </v>
      </c>
      <c r="L3029" s="26"/>
    </row>
    <row r="3030" spans="1:12">
      <c r="A3030" s="20" t="s">
        <v>1494</v>
      </c>
      <c r="B3030" s="27" t="s">
        <v>1107</v>
      </c>
      <c r="C3030" s="27" t="s">
        <v>1142</v>
      </c>
      <c r="D3030" s="27" t="s">
        <v>1105</v>
      </c>
      <c r="E3030" s="21">
        <f>IF(D3030="?OLD","!!!","")</f>
        <v/>
      </c>
      <c r="F3030" s="22" t="str">
        <f>IF(OR(E3030="",E3030="!!!"),"",IF(NOT(ISNA(VLOOKUP(E3030,E$1:E3029,1,FALSE()))),"OLD",IF(AND(E3030&lt;&gt;"",E3030&lt;&gt;"!!!"),"NEW","")))</f>
        <v> </v>
      </c>
      <c r="G3030" s="23" t="str">
        <f>IF(OR(E3030="",E3030="!!!"),"",IF(OR(J3030=0,AND(J3030=1,K3030=1),AND(J3030=1,I3030="SBJ"),AND(J3030=1,I3030=0)),"?IN_FOCUS",IF(J3030&lt;=2,"?ACTIVATED",IF(J3030&lt;&gt;"","?FAMILIAR",IF(F3030="NEW",IF(ISNA(VLOOKUP(E3030,#REF!,1,FALSE())),"?TYPE_IDENTIFIABLE","?REFERENTIAL"),"_")))))</f>
        <v> </v>
      </c>
      <c r="H3030" s="24" t="str">
        <f>IF(J3030&lt;&gt;1,"",IF(I3030="SBJ","CB","?"))</f>
        <v> </v>
      </c>
      <c r="I3030" s="25" t="str">
        <f>IF(OR(E3030="",E3030="!!!",F3030="NEW"),"",INDEX(B3029:B$2,-1+SUMPRODUCT(MAX(ROW(E3029:E$2)*(E3030=E3029:E$2)))))</f>
        <v> </v>
      </c>
      <c r="J3030" s="25" t="str">
        <f>IF(OR(E3030="",E3030="!!!",F3030="NEW"),"",COUNTBLANK(OFFSET(A$1,,,SUMPRODUCT(MAX(ROW(E$2:E3030)*(E3030=E$2:E3030)))))-COUNTBLANK(OFFSET(A$1,,,SUMPRODUCT(MAX(ROW(E$1:E3029)*(E2=E$1:E3029))))))</f>
        <v> </v>
      </c>
      <c r="K3030" s="25" t="str">
        <f>IF(OR(E3030="",E3030="!!!",F3030="NEW"),"",INDEX(J$1:J3029,SUMPRODUCT(MAX(ROW(E$1:E3029)*(E3030=E$1:E3029)))))</f>
        <v> </v>
      </c>
      <c r="L3030" s="26"/>
    </row>
    <row r="3031" spans="1:12">
      <c r="A3031" s="20" t="s">
        <v>2527</v>
      </c>
      <c r="E3031" s="21">
        <f>IF(D3031="?OLD","!!!","")</f>
        <v/>
      </c>
      <c r="F3031" s="22" t="str">
        <f>IF(OR(E3031="",E3031="!!!"),"",IF(NOT(ISNA(VLOOKUP(E3031,E$1:E3030,1,FALSE()))),"OLD",IF(AND(E3031&lt;&gt;"",E3031&lt;&gt;"!!!"),"NEW","")))</f>
        <v> </v>
      </c>
      <c r="G3031" s="23" t="str">
        <f>IF(OR(E3031="",E3031="!!!"),"",IF(OR(J3031=0,AND(J3031=1,K3031=1),AND(J3031=1,I3031="SBJ"),AND(J3031=1,I3031=0)),"?IN_FOCUS",IF(J3031&lt;=2,"?ACTIVATED",IF(J3031&lt;&gt;"","?FAMILIAR",IF(F3031="NEW",IF(ISNA(VLOOKUP(E3031,#REF!,1,FALSE())),"?TYPE_IDENTIFIABLE","?REFERENTIAL"),"_")))))</f>
        <v> </v>
      </c>
      <c r="H3031" s="24" t="str">
        <f>IF(J3031&lt;&gt;1,"",IF(I3031="SBJ","CB","?"))</f>
        <v> </v>
      </c>
      <c r="I3031" s="25" t="str">
        <f>IF(OR(E3031="",E3031="!!!",F3031="NEW"),"",INDEX(B3030:B$2,-1+SUMPRODUCT(MAX(ROW(E3030:E$2)*(E3031=E3030:E$2)))))</f>
        <v> </v>
      </c>
      <c r="J3031" s="25" t="str">
        <f>IF(OR(E3031="",E3031="!!!",F3031="NEW"),"",COUNTBLANK(OFFSET(A$1,,,SUMPRODUCT(MAX(ROW(E$2:E3031)*(E3031=E$2:E3031)))))-COUNTBLANK(OFFSET(A$1,,,SUMPRODUCT(MAX(ROW(E$1:E3030)*(E2=E$1:E3030))))))</f>
        <v> </v>
      </c>
      <c r="K3031" s="25" t="str">
        <f>IF(OR(E3031="",E3031="!!!",F3031="NEW"),"",INDEX(J$1:J3030,SUMPRODUCT(MAX(ROW(E$1:E3030)*(E3031=E$1:E3030)))))</f>
        <v> </v>
      </c>
      <c r="L3031" s="26"/>
    </row>
    <row r="3032" spans="1:12">
      <c r="A3032" s="20" t="s">
        <v>1249</v>
      </c>
      <c r="E3032" s="21">
        <f>IF(D3032="?OLD","!!!","")</f>
        <v/>
      </c>
      <c r="F3032" s="22" t="str">
        <f>IF(OR(E3032="",E3032="!!!"),"",IF(NOT(ISNA(VLOOKUP(E3032,E$1:E3031,1,FALSE()))),"OLD",IF(AND(E3032&lt;&gt;"",E3032&lt;&gt;"!!!"),"NEW","")))</f>
        <v> </v>
      </c>
      <c r="G3032" s="23" t="str">
        <f>IF(OR(E3032="",E3032="!!!"),"",IF(OR(J3032=0,AND(J3032=1,K3032=1),AND(J3032=1,I3032="SBJ"),AND(J3032=1,I3032=0)),"?IN_FOCUS",IF(J3032&lt;=2,"?ACTIVATED",IF(J3032&lt;&gt;"","?FAMILIAR",IF(F3032="NEW",IF(ISNA(VLOOKUP(E3032,#REF!,1,FALSE())),"?TYPE_IDENTIFIABLE","?REFERENTIAL"),"_")))))</f>
        <v> </v>
      </c>
      <c r="H3032" s="24" t="str">
        <f>IF(J3032&lt;&gt;1,"",IF(I3032="SBJ","CB","?"))</f>
        <v> </v>
      </c>
      <c r="I3032" s="25" t="str">
        <f>IF(OR(E3032="",E3032="!!!",F3032="NEW"),"",INDEX(B3031:B$2,-1+SUMPRODUCT(MAX(ROW(E3031:E$2)*(E3032=E3031:E$2)))))</f>
        <v> </v>
      </c>
      <c r="J3032" s="25" t="str">
        <f>IF(OR(E3032="",E3032="!!!",F3032="NEW"),"",COUNTBLANK(OFFSET(A$1,,,SUMPRODUCT(MAX(ROW(E$2:E3032)*(E3032=E$2:E3032)))))-COUNTBLANK(OFFSET(A$1,,,SUMPRODUCT(MAX(ROW(E$1:E3031)*(E2=E$1:E3031))))))</f>
        <v> </v>
      </c>
      <c r="K3032" s="25" t="str">
        <f>IF(OR(E3032="",E3032="!!!",F3032="NEW"),"",INDEX(J$1:J3031,SUMPRODUCT(MAX(ROW(E$1:E3031)*(E3032=E$1:E3031)))))</f>
        <v> </v>
      </c>
      <c r="L3032" s="26"/>
    </row>
    <row r="3033" spans="1:12">
      <c r="A3033" s="20" t="s">
        <v>2528</v>
      </c>
      <c r="E3033" s="21">
        <f>IF(D3033="?OLD","!!!","")</f>
        <v/>
      </c>
      <c r="F3033" s="22" t="str">
        <f>IF(OR(E3033="",E3033="!!!"),"",IF(NOT(ISNA(VLOOKUP(E3033,E$1:E3032,1,FALSE()))),"OLD",IF(AND(E3033&lt;&gt;"",E3033&lt;&gt;"!!!"),"NEW","")))</f>
        <v> </v>
      </c>
      <c r="G3033" s="23" t="str">
        <f>IF(OR(E3033="",E3033="!!!"),"",IF(OR(J3033=0,AND(J3033=1,K3033=1),AND(J3033=1,I3033="SBJ"),AND(J3033=1,I3033=0)),"?IN_FOCUS",IF(J3033&lt;=2,"?ACTIVATED",IF(J3033&lt;&gt;"","?FAMILIAR",IF(F3033="NEW",IF(ISNA(VLOOKUP(E3033,#REF!,1,FALSE())),"?TYPE_IDENTIFIABLE","?REFERENTIAL"),"_")))))</f>
        <v> </v>
      </c>
      <c r="H3033" s="24" t="str">
        <f>IF(J3033&lt;&gt;1,"",IF(I3033="SBJ","CB","?"))</f>
        <v> </v>
      </c>
      <c r="I3033" s="25" t="str">
        <f>IF(OR(E3033="",E3033="!!!",F3033="NEW"),"",INDEX(B3032:B$2,-1+SUMPRODUCT(MAX(ROW(E3032:E$2)*(E3033=E3032:E$2)))))</f>
        <v> </v>
      </c>
      <c r="J3033" s="25" t="str">
        <f>IF(OR(E3033="",E3033="!!!",F3033="NEW"),"",COUNTBLANK(OFFSET(A$1,,,SUMPRODUCT(MAX(ROW(E$2:E3033)*(E3033=E$2:E3033)))))-COUNTBLANK(OFFSET(A$1,,,SUMPRODUCT(MAX(ROW(E$1:E3032)*(E2=E$1:E3032))))))</f>
        <v> </v>
      </c>
      <c r="K3033" s="25" t="str">
        <f>IF(OR(E3033="",E3033="!!!",F3033="NEW"),"",INDEX(J$1:J3032,SUMPRODUCT(MAX(ROW(E$1:E3032)*(E3033=E$1:E3032)))))</f>
        <v> </v>
      </c>
      <c r="L3033" s="26"/>
    </row>
    <row r="3034" spans="1:12">
      <c r="A3034" s="20" t="s">
        <v>1123</v>
      </c>
      <c r="E3034" s="21">
        <f>IF(D3034="?OLD","!!!","")</f>
        <v/>
      </c>
      <c r="F3034" s="22" t="str">
        <f>IF(OR(E3034="",E3034="!!!"),"",IF(NOT(ISNA(VLOOKUP(E3034,E$1:E3033,1,FALSE()))),"OLD",IF(AND(E3034&lt;&gt;"",E3034&lt;&gt;"!!!"),"NEW","")))</f>
        <v> </v>
      </c>
      <c r="G3034" s="23" t="str">
        <f>IF(OR(E3034="",E3034="!!!"),"",IF(OR(J3034=0,AND(J3034=1,K3034=1),AND(J3034=1,I3034="SBJ"),AND(J3034=1,I3034=0)),"?IN_FOCUS",IF(J3034&lt;=2,"?ACTIVATED",IF(J3034&lt;&gt;"","?FAMILIAR",IF(F3034="NEW",IF(ISNA(VLOOKUP(E3034,#REF!,1,FALSE())),"?TYPE_IDENTIFIABLE","?REFERENTIAL"),"_")))))</f>
        <v> </v>
      </c>
      <c r="H3034" s="24" t="str">
        <f>IF(J3034&lt;&gt;1,"",IF(I3034="SBJ","CB","?"))</f>
        <v> </v>
      </c>
      <c r="I3034" s="25" t="str">
        <f>IF(OR(E3034="",E3034="!!!",F3034="NEW"),"",INDEX(B3033:B$2,-1+SUMPRODUCT(MAX(ROW(E3033:E$2)*(E3034=E3033:E$2)))))</f>
        <v> </v>
      </c>
      <c r="J3034" s="25" t="str">
        <f>IF(OR(E3034="",E3034="!!!",F3034="NEW"),"",COUNTBLANK(OFFSET(A$1,,,SUMPRODUCT(MAX(ROW(E$2:E3034)*(E3034=E$2:E3034)))))-COUNTBLANK(OFFSET(A$1,,,SUMPRODUCT(MAX(ROW(E$1:E3033)*(E2=E$1:E3033))))))</f>
        <v> </v>
      </c>
      <c r="K3034" s="25" t="str">
        <f>IF(OR(E3034="",E3034="!!!",F3034="NEW"),"",INDEX(J$1:J3033,SUMPRODUCT(MAX(ROW(E$1:E3033)*(E3034=E$1:E3033)))))</f>
        <v> </v>
      </c>
      <c r="L3034" s="26"/>
    </row>
    <row r="3035" spans="1:12">
      <c r="A3035" s="20" t="s">
        <v>1128</v>
      </c>
      <c r="E3035" s="21">
        <f>IF(D3035="?OLD","!!!","")</f>
        <v/>
      </c>
      <c r="F3035" s="22" t="str">
        <f>IF(OR(E3035="",E3035="!!!"),"",IF(NOT(ISNA(VLOOKUP(E3035,E$1:E3034,1,FALSE()))),"OLD",IF(AND(E3035&lt;&gt;"",E3035&lt;&gt;"!!!"),"NEW","")))</f>
        <v> </v>
      </c>
      <c r="G3035" s="23" t="str">
        <f>IF(OR(E3035="",E3035="!!!"),"",IF(OR(J3035=0,AND(J3035=1,K3035=1),AND(J3035=1,I3035="SBJ"),AND(J3035=1,I3035=0)),"?IN_FOCUS",IF(J3035&lt;=2,"?ACTIVATED",IF(J3035&lt;&gt;"","?FAMILIAR",IF(F3035="NEW",IF(ISNA(VLOOKUP(E3035,#REF!,1,FALSE())),"?TYPE_IDENTIFIABLE","?REFERENTIAL"),"_")))))</f>
        <v> </v>
      </c>
      <c r="H3035" s="24" t="str">
        <f>IF(J3035&lt;&gt;1,"",IF(I3035="SBJ","CB","?"))</f>
        <v> </v>
      </c>
      <c r="I3035" s="25" t="str">
        <f>IF(OR(E3035="",E3035="!!!",F3035="NEW"),"",INDEX(B3034:B$2,-1+SUMPRODUCT(MAX(ROW(E3034:E$2)*(E3035=E3034:E$2)))))</f>
        <v> </v>
      </c>
      <c r="J3035" s="25" t="str">
        <f>IF(OR(E3035="",E3035="!!!",F3035="NEW"),"",COUNTBLANK(OFFSET(A$1,,,SUMPRODUCT(MAX(ROW(E$2:E3035)*(E3035=E$2:E3035)))))-COUNTBLANK(OFFSET(A$1,,,SUMPRODUCT(MAX(ROW(E$1:E3034)*(E2=E$1:E3034))))))</f>
        <v> </v>
      </c>
      <c r="K3035" s="25" t="str">
        <f>IF(OR(E3035="",E3035="!!!",F3035="NEW"),"",INDEX(J$1:J3034,SUMPRODUCT(MAX(ROW(E$1:E3034)*(E3035=E$1:E3034)))))</f>
        <v> </v>
      </c>
      <c r="L3035" s="26"/>
    </row>
    <row r="3036" spans="1:12">
      <c r="A3036" s="20" t="s">
        <v>1228</v>
      </c>
      <c r="B3036" s="27" t="s">
        <v>1122</v>
      </c>
      <c r="C3036" s="27" t="s">
        <v>1126</v>
      </c>
      <c r="D3036" s="27" t="s">
        <v>1105</v>
      </c>
      <c r="E3036" s="21">
        <f>IF(D3036="?OLD","!!!","")</f>
        <v/>
      </c>
      <c r="F3036" s="22" t="str">
        <f>IF(OR(E3036="",E3036="!!!"),"",IF(NOT(ISNA(VLOOKUP(E3036,E$1:E3035,1,FALSE()))),"OLD",IF(AND(E3036&lt;&gt;"",E3036&lt;&gt;"!!!"),"NEW","")))</f>
        <v> </v>
      </c>
      <c r="G3036" s="23" t="str">
        <f>IF(OR(E3036="",E3036="!!!"),"",IF(OR(J3036=0,AND(J3036=1,K3036=1),AND(J3036=1,I3036="SBJ"),AND(J3036=1,I3036=0)),"?IN_FOCUS",IF(J3036&lt;=2,"?ACTIVATED",IF(J3036&lt;&gt;"","?FAMILIAR",IF(F3036="NEW",IF(ISNA(VLOOKUP(E3036,#REF!,1,FALSE())),"?TYPE_IDENTIFIABLE","?REFERENTIAL"),"_")))))</f>
        <v> </v>
      </c>
      <c r="H3036" s="24" t="str">
        <f>IF(J3036&lt;&gt;1,"",IF(I3036="SBJ","CB","?"))</f>
        <v> </v>
      </c>
      <c r="I3036" s="25" t="str">
        <f>IF(OR(E3036="",E3036="!!!",F3036="NEW"),"",INDEX(B3035:B$2,-1+SUMPRODUCT(MAX(ROW(E3035:E$2)*(E3036=E3035:E$2)))))</f>
        <v> </v>
      </c>
      <c r="J3036" s="25" t="str">
        <f>IF(OR(E3036="",E3036="!!!",F3036="NEW"),"",COUNTBLANK(OFFSET(A$1,,,SUMPRODUCT(MAX(ROW(E$2:E3036)*(E3036=E$2:E3036)))))-COUNTBLANK(OFFSET(A$1,,,SUMPRODUCT(MAX(ROW(E$1:E3035)*(E2=E$1:E3035))))))</f>
        <v> </v>
      </c>
      <c r="K3036" s="25" t="str">
        <f>IF(OR(E3036="",E3036="!!!",F3036="NEW"),"",INDEX(J$1:J3035,SUMPRODUCT(MAX(ROW(E$1:E3035)*(E3036=E$1:E3035)))))</f>
        <v> </v>
      </c>
      <c r="L3036" s="26"/>
    </row>
    <row r="3037" spans="1:12">
      <c r="A3037" s="20" t="s">
        <v>1574</v>
      </c>
      <c r="E3037" s="21">
        <f>IF(D3037="?OLD","!!!","")</f>
        <v/>
      </c>
      <c r="F3037" s="22" t="str">
        <f>IF(OR(E3037="",E3037="!!!"),"",IF(NOT(ISNA(VLOOKUP(E3037,E$1:E3036,1,FALSE()))),"OLD",IF(AND(E3037&lt;&gt;"",E3037&lt;&gt;"!!!"),"NEW","")))</f>
        <v> </v>
      </c>
      <c r="G3037" s="23" t="str">
        <f>IF(OR(E3037="",E3037="!!!"),"",IF(OR(J3037=0,AND(J3037=1,K3037=1),AND(J3037=1,I3037="SBJ"),AND(J3037=1,I3037=0)),"?IN_FOCUS",IF(J3037&lt;=2,"?ACTIVATED",IF(J3037&lt;&gt;"","?FAMILIAR",IF(F3037="NEW",IF(ISNA(VLOOKUP(E3037,#REF!,1,FALSE())),"?TYPE_IDENTIFIABLE","?REFERENTIAL"),"_")))))</f>
        <v> </v>
      </c>
      <c r="H3037" s="24" t="str">
        <f>IF(J3037&lt;&gt;1,"",IF(I3037="SBJ","CB","?"))</f>
        <v> </v>
      </c>
      <c r="I3037" s="25" t="str">
        <f>IF(OR(E3037="",E3037="!!!",F3037="NEW"),"",INDEX(B3036:B$2,-1+SUMPRODUCT(MAX(ROW(E3036:E$2)*(E3037=E3036:E$2)))))</f>
        <v> </v>
      </c>
      <c r="J3037" s="25" t="str">
        <f>IF(OR(E3037="",E3037="!!!",F3037="NEW"),"",COUNTBLANK(OFFSET(A$1,,,SUMPRODUCT(MAX(ROW(E$2:E3037)*(E3037=E$2:E3037)))))-COUNTBLANK(OFFSET(A$1,,,SUMPRODUCT(MAX(ROW(E$1:E3036)*(E2=E$1:E3036))))))</f>
        <v> </v>
      </c>
      <c r="K3037" s="25" t="str">
        <f>IF(OR(E3037="",E3037="!!!",F3037="NEW"),"",INDEX(J$1:J3036,SUMPRODUCT(MAX(ROW(E$1:E3036)*(E3037=E$1:E3036)))))</f>
        <v> </v>
      </c>
      <c r="L3037" s="26"/>
    </row>
    <row r="3038" spans="1:12">
      <c r="A3038" s="20" t="s">
        <v>2529</v>
      </c>
      <c r="E3038" s="21">
        <f>IF(D3038="?OLD","!!!","")</f>
        <v/>
      </c>
      <c r="F3038" s="22" t="str">
        <f>IF(OR(E3038="",E3038="!!!"),"",IF(NOT(ISNA(VLOOKUP(E3038,E$1:E3037,1,FALSE()))),"OLD",IF(AND(E3038&lt;&gt;"",E3038&lt;&gt;"!!!"),"NEW","")))</f>
        <v> </v>
      </c>
      <c r="G3038" s="23" t="str">
        <f>IF(OR(E3038="",E3038="!!!"),"",IF(OR(J3038=0,AND(J3038=1,K3038=1),AND(J3038=1,I3038="SBJ"),AND(J3038=1,I3038=0)),"?IN_FOCUS",IF(J3038&lt;=2,"?ACTIVATED",IF(J3038&lt;&gt;"","?FAMILIAR",IF(F3038="NEW",IF(ISNA(VLOOKUP(E3038,#REF!,1,FALSE())),"?TYPE_IDENTIFIABLE","?REFERENTIAL"),"_")))))</f>
        <v> </v>
      </c>
      <c r="H3038" s="24" t="str">
        <f>IF(J3038&lt;&gt;1,"",IF(I3038="SBJ","CB","?"))</f>
        <v> </v>
      </c>
      <c r="I3038" s="25" t="str">
        <f>IF(OR(E3038="",E3038="!!!",F3038="NEW"),"",INDEX(B3037:B$2,-1+SUMPRODUCT(MAX(ROW(E3037:E$2)*(E3038=E3037:E$2)))))</f>
        <v> </v>
      </c>
      <c r="J3038" s="25" t="str">
        <f>IF(OR(E3038="",E3038="!!!",F3038="NEW"),"",COUNTBLANK(OFFSET(A$1,,,SUMPRODUCT(MAX(ROW(E$2:E3038)*(E3038=E$2:E3038)))))-COUNTBLANK(OFFSET(A$1,,,SUMPRODUCT(MAX(ROW(E$1:E3037)*(E2=E$1:E3037))))))</f>
        <v> </v>
      </c>
      <c r="K3038" s="25" t="str">
        <f>IF(OR(E3038="",E3038="!!!",F3038="NEW"),"",INDEX(J$1:J3037,SUMPRODUCT(MAX(ROW(E$1:E3037)*(E3038=E$1:E3037)))))</f>
        <v> </v>
      </c>
      <c r="L3038" s="26"/>
    </row>
    <row r="3039" spans="1:12">
      <c r="A3039" s="20" t="s">
        <v>2530</v>
      </c>
      <c r="B3039" s="27" t="s">
        <v>1243</v>
      </c>
      <c r="E3039" s="21">
        <f>IF(D3039="?OLD","!!!","")</f>
        <v/>
      </c>
      <c r="F3039" s="22" t="str">
        <f>IF(OR(E3039="",E3039="!!!"),"",IF(NOT(ISNA(VLOOKUP(E3039,E$1:E3038,1,FALSE()))),"OLD",IF(AND(E3039&lt;&gt;"",E3039&lt;&gt;"!!!"),"NEW","")))</f>
        <v> </v>
      </c>
      <c r="G3039" s="23" t="str">
        <f>IF(OR(E3039="",E3039="!!!"),"",IF(OR(J3039=0,AND(J3039=1,K3039=1),AND(J3039=1,I3039="SBJ"),AND(J3039=1,I3039=0)),"?IN_FOCUS",IF(J3039&lt;=2,"?ACTIVATED",IF(J3039&lt;&gt;"","?FAMILIAR",IF(F3039="NEW",IF(ISNA(VLOOKUP(E3039,#REF!,1,FALSE())),"?TYPE_IDENTIFIABLE","?REFERENTIAL"),"_")))))</f>
        <v> </v>
      </c>
      <c r="H3039" s="24" t="str">
        <f>IF(J3039&lt;&gt;1,"",IF(I3039="SBJ","CB","?"))</f>
        <v> </v>
      </c>
      <c r="I3039" s="25" t="str">
        <f>IF(OR(E3039="",E3039="!!!",F3039="NEW"),"",INDEX(B3038:B$2,-1+SUMPRODUCT(MAX(ROW(E3038:E$2)*(E3039=E3038:E$2)))))</f>
        <v> </v>
      </c>
      <c r="J3039" s="25" t="str">
        <f>IF(OR(E3039="",E3039="!!!",F3039="NEW"),"",COUNTBLANK(OFFSET(A$1,,,SUMPRODUCT(MAX(ROW(E$2:E3039)*(E3039=E$2:E3039)))))-COUNTBLANK(OFFSET(A$1,,,SUMPRODUCT(MAX(ROW(E$1:E3038)*(E2=E$1:E3038))))))</f>
        <v> </v>
      </c>
      <c r="K3039" s="25" t="str">
        <f>IF(OR(E3039="",E3039="!!!",F3039="NEW"),"",INDEX(J$1:J3038,SUMPRODUCT(MAX(ROW(E$1:E3038)*(E3039=E$1:E3038)))))</f>
        <v> </v>
      </c>
      <c r="L3039" s="26"/>
    </row>
    <row r="3040" spans="1:12">
      <c r="A3040" s="20" t="s">
        <v>1318</v>
      </c>
      <c r="E3040" s="21">
        <f>IF(D3040="?OLD","!!!","")</f>
        <v/>
      </c>
      <c r="F3040" s="22" t="str">
        <f>IF(OR(E3040="",E3040="!!!"),"",IF(NOT(ISNA(VLOOKUP(E3040,E$1:E3039,1,FALSE()))),"OLD",IF(AND(E3040&lt;&gt;"",E3040&lt;&gt;"!!!"),"NEW","")))</f>
        <v> </v>
      </c>
      <c r="G3040" s="23" t="str">
        <f>IF(OR(E3040="",E3040="!!!"),"",IF(OR(J3040=0,AND(J3040=1,K3040=1),AND(J3040=1,I3040="SBJ"),AND(J3040=1,I3040=0)),"?IN_FOCUS",IF(J3040&lt;=2,"?ACTIVATED",IF(J3040&lt;&gt;"","?FAMILIAR",IF(F3040="NEW",IF(ISNA(VLOOKUP(E3040,#REF!,1,FALSE())),"?TYPE_IDENTIFIABLE","?REFERENTIAL"),"_")))))</f>
        <v> </v>
      </c>
      <c r="H3040" s="24" t="str">
        <f>IF(J3040&lt;&gt;1,"",IF(I3040="SBJ","CB","?"))</f>
        <v> </v>
      </c>
      <c r="I3040" s="25" t="str">
        <f>IF(OR(E3040="",E3040="!!!",F3040="NEW"),"",INDEX(B3039:B$2,-1+SUMPRODUCT(MAX(ROW(E3039:E$2)*(E3040=E3039:E$2)))))</f>
        <v> </v>
      </c>
      <c r="J3040" s="25" t="str">
        <f>IF(OR(E3040="",E3040="!!!",F3040="NEW"),"",COUNTBLANK(OFFSET(A$1,,,SUMPRODUCT(MAX(ROW(E$2:E3040)*(E3040=E$2:E3040)))))-COUNTBLANK(OFFSET(A$1,,,SUMPRODUCT(MAX(ROW(E$1:E3039)*(E2=E$1:E3039))))))</f>
        <v> </v>
      </c>
      <c r="K3040" s="25" t="str">
        <f>IF(OR(E3040="",E3040="!!!",F3040="NEW"),"",INDEX(J$1:J3039,SUMPRODUCT(MAX(ROW(E$1:E3039)*(E3040=E$1:E3039)))))</f>
        <v> </v>
      </c>
      <c r="L3040" s="26"/>
    </row>
    <row r="3041" spans="1:12">
      <c r="A3041" s="20" t="s">
        <v>1196</v>
      </c>
      <c r="B3041" s="27" t="s">
        <v>1107</v>
      </c>
      <c r="C3041" s="27" t="s">
        <v>1126</v>
      </c>
      <c r="D3041" s="27" t="s">
        <v>1105</v>
      </c>
      <c r="E3041" s="21">
        <f>IF(D3041="?OLD","!!!","")</f>
        <v/>
      </c>
      <c r="F3041" s="22" t="str">
        <f>IF(OR(E3041="",E3041="!!!"),"",IF(NOT(ISNA(VLOOKUP(E3041,E$1:E3040,1,FALSE()))),"OLD",IF(AND(E3041&lt;&gt;"",E3041&lt;&gt;"!!!"),"NEW","")))</f>
        <v> </v>
      </c>
      <c r="G3041" s="23" t="str">
        <f>IF(OR(E3041="",E3041="!!!"),"",IF(OR(J3041=0,AND(J3041=1,K3041=1),AND(J3041=1,I3041="SBJ"),AND(J3041=1,I3041=0)),"?IN_FOCUS",IF(J3041&lt;=2,"?ACTIVATED",IF(J3041&lt;&gt;"","?FAMILIAR",IF(F3041="NEW",IF(ISNA(VLOOKUP(E3041,#REF!,1,FALSE())),"?TYPE_IDENTIFIABLE","?REFERENTIAL"),"_")))))</f>
        <v> </v>
      </c>
      <c r="H3041" s="24" t="str">
        <f>IF(J3041&lt;&gt;1,"",IF(I3041="SBJ","CB","?"))</f>
        <v> </v>
      </c>
      <c r="I3041" s="25" t="str">
        <f>IF(OR(E3041="",E3041="!!!",F3041="NEW"),"",INDEX(B3040:B$2,-1+SUMPRODUCT(MAX(ROW(E3040:E$2)*(E3041=E3040:E$2)))))</f>
        <v> </v>
      </c>
      <c r="J3041" s="25" t="str">
        <f>IF(OR(E3041="",E3041="!!!",F3041="NEW"),"",COUNTBLANK(OFFSET(A$1,,,SUMPRODUCT(MAX(ROW(E$2:E3041)*(E3041=E$2:E3041)))))-COUNTBLANK(OFFSET(A$1,,,SUMPRODUCT(MAX(ROW(E$1:E3040)*(E2=E$1:E3040))))))</f>
        <v> </v>
      </c>
      <c r="K3041" s="25" t="str">
        <f>IF(OR(E3041="",E3041="!!!",F3041="NEW"),"",INDEX(J$1:J3040,SUMPRODUCT(MAX(ROW(E$1:E3040)*(E3041=E$1:E3040)))))</f>
        <v> </v>
      </c>
      <c r="L3041" s="26"/>
    </row>
    <row r="3042" spans="1:12">
      <c r="A3042" s="20" t="s">
        <v>1249</v>
      </c>
      <c r="E3042" s="21">
        <f>IF(D3042="?OLD","!!!","")</f>
        <v/>
      </c>
      <c r="F3042" s="22" t="str">
        <f>IF(OR(E3042="",E3042="!!!"),"",IF(NOT(ISNA(VLOOKUP(E3042,E$1:E3041,1,FALSE()))),"OLD",IF(AND(E3042&lt;&gt;"",E3042&lt;&gt;"!!!"),"NEW","")))</f>
        <v> </v>
      </c>
      <c r="G3042" s="23" t="str">
        <f>IF(OR(E3042="",E3042="!!!"),"",IF(OR(J3042=0,AND(J3042=1,K3042=1),AND(J3042=1,I3042="SBJ"),AND(J3042=1,I3042=0)),"?IN_FOCUS",IF(J3042&lt;=2,"?ACTIVATED",IF(J3042&lt;&gt;"","?FAMILIAR",IF(F3042="NEW",IF(ISNA(VLOOKUP(E3042,#REF!,1,FALSE())),"?TYPE_IDENTIFIABLE","?REFERENTIAL"),"_")))))</f>
        <v> </v>
      </c>
      <c r="H3042" s="24" t="str">
        <f>IF(J3042&lt;&gt;1,"",IF(I3042="SBJ","CB","?"))</f>
        <v> </v>
      </c>
      <c r="I3042" s="25" t="str">
        <f>IF(OR(E3042="",E3042="!!!",F3042="NEW"),"",INDEX(B3041:B$2,-1+SUMPRODUCT(MAX(ROW(E3041:E$2)*(E3042=E3041:E$2)))))</f>
        <v> </v>
      </c>
      <c r="J3042" s="25" t="str">
        <f>IF(OR(E3042="",E3042="!!!",F3042="NEW"),"",COUNTBLANK(OFFSET(A$1,,,SUMPRODUCT(MAX(ROW(E$2:E3042)*(E3042=E$2:E3042)))))-COUNTBLANK(OFFSET(A$1,,,SUMPRODUCT(MAX(ROW(E$1:E3041)*(E2=E$1:E3041))))))</f>
        <v> </v>
      </c>
      <c r="K3042" s="25" t="str">
        <f>IF(OR(E3042="",E3042="!!!",F3042="NEW"),"",INDEX(J$1:J3041,SUMPRODUCT(MAX(ROW(E$1:E3041)*(E3042=E$1:E3041)))))</f>
        <v> </v>
      </c>
      <c r="L3042" s="26"/>
    </row>
    <row r="3043" spans="1:12">
      <c r="A3043" s="20" t="s">
        <v>2531</v>
      </c>
      <c r="E3043" s="21">
        <f>IF(D3043="?OLD","!!!","")</f>
        <v/>
      </c>
      <c r="F3043" s="22" t="str">
        <f>IF(OR(E3043="",E3043="!!!"),"",IF(NOT(ISNA(VLOOKUP(E3043,E$1:E3042,1,FALSE()))),"OLD",IF(AND(E3043&lt;&gt;"",E3043&lt;&gt;"!!!"),"NEW","")))</f>
        <v> </v>
      </c>
      <c r="G3043" s="23" t="str">
        <f>IF(OR(E3043="",E3043="!!!"),"",IF(OR(J3043=0,AND(J3043=1,K3043=1),AND(J3043=1,I3043="SBJ"),AND(J3043=1,I3043=0)),"?IN_FOCUS",IF(J3043&lt;=2,"?ACTIVATED",IF(J3043&lt;&gt;"","?FAMILIAR",IF(F3043="NEW",IF(ISNA(VLOOKUP(E3043,#REF!,1,FALSE())),"?TYPE_IDENTIFIABLE","?REFERENTIAL"),"_")))))</f>
        <v> </v>
      </c>
      <c r="H3043" s="24" t="str">
        <f>IF(J3043&lt;&gt;1,"",IF(I3043="SBJ","CB","?"))</f>
        <v> </v>
      </c>
      <c r="I3043" s="25" t="str">
        <f>IF(OR(E3043="",E3043="!!!",F3043="NEW"),"",INDEX(B3042:B$2,-1+SUMPRODUCT(MAX(ROW(E3042:E$2)*(E3043=E3042:E$2)))))</f>
        <v> </v>
      </c>
      <c r="J3043" s="25" t="str">
        <f>IF(OR(E3043="",E3043="!!!",F3043="NEW"),"",COUNTBLANK(OFFSET(A$1,,,SUMPRODUCT(MAX(ROW(E$2:E3043)*(E3043=E$2:E3043)))))-COUNTBLANK(OFFSET(A$1,,,SUMPRODUCT(MAX(ROW(E$1:E3042)*(E2=E$1:E3042))))))</f>
        <v> </v>
      </c>
      <c r="K3043" s="25" t="str">
        <f>IF(OR(E3043="",E3043="!!!",F3043="NEW"),"",INDEX(J$1:J3042,SUMPRODUCT(MAX(ROW(E$1:E3042)*(E3043=E$1:E3042)))))</f>
        <v> </v>
      </c>
      <c r="L3043" s="26"/>
    </row>
    <row r="3044" spans="1:12">
      <c r="A3044" s="20" t="s">
        <v>1195</v>
      </c>
      <c r="E3044" s="21">
        <f>IF(D3044="?OLD","!!!","")</f>
        <v/>
      </c>
      <c r="F3044" s="22" t="str">
        <f>IF(OR(E3044="",E3044="!!!"),"",IF(NOT(ISNA(VLOOKUP(E3044,E$1:E3043,1,FALSE()))),"OLD",IF(AND(E3044&lt;&gt;"",E3044&lt;&gt;"!!!"),"NEW","")))</f>
        <v> </v>
      </c>
      <c r="G3044" s="23" t="str">
        <f>IF(OR(E3044="",E3044="!!!"),"",IF(OR(J3044=0,AND(J3044=1,K3044=1),AND(J3044=1,I3044="SBJ"),AND(J3044=1,I3044=0)),"?IN_FOCUS",IF(J3044&lt;=2,"?ACTIVATED",IF(J3044&lt;&gt;"","?FAMILIAR",IF(F3044="NEW",IF(ISNA(VLOOKUP(E3044,#REF!,1,FALSE())),"?TYPE_IDENTIFIABLE","?REFERENTIAL"),"_")))))</f>
        <v> </v>
      </c>
      <c r="H3044" s="24" t="str">
        <f>IF(J3044&lt;&gt;1,"",IF(I3044="SBJ","CB","?"))</f>
        <v> </v>
      </c>
      <c r="I3044" s="25" t="str">
        <f>IF(OR(E3044="",E3044="!!!",F3044="NEW"),"",INDEX(B3043:B$2,-1+SUMPRODUCT(MAX(ROW(E3043:E$2)*(E3044=E3043:E$2)))))</f>
        <v> </v>
      </c>
      <c r="J3044" s="25" t="str">
        <f>IF(OR(E3044="",E3044="!!!",F3044="NEW"),"",COUNTBLANK(OFFSET(A$1,,,SUMPRODUCT(MAX(ROW(E$2:E3044)*(E3044=E$2:E3044)))))-COUNTBLANK(OFFSET(A$1,,,SUMPRODUCT(MAX(ROW(E$1:E3043)*(E2=E$1:E3043))))))</f>
        <v> </v>
      </c>
      <c r="K3044" s="25" t="str">
        <f>IF(OR(E3044="",E3044="!!!",F3044="NEW"),"",INDEX(J$1:J3043,SUMPRODUCT(MAX(ROW(E$1:E3043)*(E3044=E$1:E3043)))))</f>
        <v> </v>
      </c>
      <c r="L3044" s="26"/>
    </row>
    <row r="3045" spans="1:12">
      <c r="A3045" s="20" t="s">
        <v>2532</v>
      </c>
      <c r="E3045" s="21">
        <f>IF(D3045="?OLD","!!!","")</f>
        <v/>
      </c>
      <c r="F3045" s="22" t="str">
        <f>IF(OR(E3045="",E3045="!!!"),"",IF(NOT(ISNA(VLOOKUP(E3045,E$1:E3044,1,FALSE()))),"OLD",IF(AND(E3045&lt;&gt;"",E3045&lt;&gt;"!!!"),"NEW","")))</f>
        <v> </v>
      </c>
      <c r="G3045" s="23" t="str">
        <f>IF(OR(E3045="",E3045="!!!"),"",IF(OR(J3045=0,AND(J3045=1,K3045=1),AND(J3045=1,I3045="SBJ"),AND(J3045=1,I3045=0)),"?IN_FOCUS",IF(J3045&lt;=2,"?ACTIVATED",IF(J3045&lt;&gt;"","?FAMILIAR",IF(F3045="NEW",IF(ISNA(VLOOKUP(E3045,#REF!,1,FALSE())),"?TYPE_IDENTIFIABLE","?REFERENTIAL"),"_")))))</f>
        <v> </v>
      </c>
      <c r="H3045" s="24" t="str">
        <f>IF(J3045&lt;&gt;1,"",IF(I3045="SBJ","CB","?"))</f>
        <v> </v>
      </c>
      <c r="I3045" s="25" t="str">
        <f>IF(OR(E3045="",E3045="!!!",F3045="NEW"),"",INDEX(B3044:B$2,-1+SUMPRODUCT(MAX(ROW(E3044:E$2)*(E3045=E3044:E$2)))))</f>
        <v> </v>
      </c>
      <c r="J3045" s="25" t="str">
        <f>IF(OR(E3045="",E3045="!!!",F3045="NEW"),"",COUNTBLANK(OFFSET(A$1,,,SUMPRODUCT(MAX(ROW(E$2:E3045)*(E3045=E$2:E3045)))))-COUNTBLANK(OFFSET(A$1,,,SUMPRODUCT(MAX(ROW(E$1:E3044)*(E2=E$1:E3044))))))</f>
        <v> </v>
      </c>
      <c r="K3045" s="25" t="str">
        <f>IF(OR(E3045="",E3045="!!!",F3045="NEW"),"",INDEX(J$1:J3044,SUMPRODUCT(MAX(ROW(E$1:E3044)*(E3045=E$1:E3044)))))</f>
        <v> </v>
      </c>
      <c r="L3045" s="26"/>
    </row>
    <row r="3046" spans="1:12">
      <c r="A3046" s="20" t="s">
        <v>2533</v>
      </c>
      <c r="E3046" s="21">
        <f>IF(D3046="?OLD","!!!","")</f>
        <v/>
      </c>
      <c r="F3046" s="22" t="str">
        <f>IF(OR(E3046="",E3046="!!!"),"",IF(NOT(ISNA(VLOOKUP(E3046,E$1:E3045,1,FALSE()))),"OLD",IF(AND(E3046&lt;&gt;"",E3046&lt;&gt;"!!!"),"NEW","")))</f>
        <v> </v>
      </c>
      <c r="G3046" s="23" t="str">
        <f>IF(OR(E3046="",E3046="!!!"),"",IF(OR(J3046=0,AND(J3046=1,K3046=1),AND(J3046=1,I3046="SBJ"),AND(J3046=1,I3046=0)),"?IN_FOCUS",IF(J3046&lt;=2,"?ACTIVATED",IF(J3046&lt;&gt;"","?FAMILIAR",IF(F3046="NEW",IF(ISNA(VLOOKUP(E3046,#REF!,1,FALSE())),"?TYPE_IDENTIFIABLE","?REFERENTIAL"),"_")))))</f>
        <v> </v>
      </c>
      <c r="H3046" s="24" t="str">
        <f>IF(J3046&lt;&gt;1,"",IF(I3046="SBJ","CB","?"))</f>
        <v> </v>
      </c>
      <c r="I3046" s="25" t="str">
        <f>IF(OR(E3046="",E3046="!!!",F3046="NEW"),"",INDEX(B3045:B$2,-1+SUMPRODUCT(MAX(ROW(E3045:E$2)*(E3046=E3045:E$2)))))</f>
        <v> </v>
      </c>
      <c r="J3046" s="25" t="str">
        <f>IF(OR(E3046="",E3046="!!!",F3046="NEW"),"",COUNTBLANK(OFFSET(A$1,,,SUMPRODUCT(MAX(ROW(E$2:E3046)*(E3046=E$2:E3046)))))-COUNTBLANK(OFFSET(A$1,,,SUMPRODUCT(MAX(ROW(E$1:E3045)*(E2=E$1:E3045))))))</f>
        <v> </v>
      </c>
      <c r="K3046" s="25" t="str">
        <f>IF(OR(E3046="",E3046="!!!",F3046="NEW"),"",INDEX(J$1:J3045,SUMPRODUCT(MAX(ROW(E$1:E3045)*(E3046=E$1:E3045)))))</f>
        <v> </v>
      </c>
      <c r="L3046" s="26"/>
    </row>
    <row r="3047" spans="1:12">
      <c r="A3047" s="20" t="s">
        <v>1145</v>
      </c>
      <c r="E3047" s="21">
        <f>IF(D3047="?OLD","!!!","")</f>
        <v/>
      </c>
      <c r="F3047" s="22" t="str">
        <f>IF(OR(E3047="",E3047="!!!"),"",IF(NOT(ISNA(VLOOKUP(E3047,E$1:E3046,1,FALSE()))),"OLD",IF(AND(E3047&lt;&gt;"",E3047&lt;&gt;"!!!"),"NEW","")))</f>
        <v> </v>
      </c>
      <c r="G3047" s="23" t="str">
        <f>IF(OR(E3047="",E3047="!!!"),"",IF(OR(J3047=0,AND(J3047=1,K3047=1),AND(J3047=1,I3047="SBJ"),AND(J3047=1,I3047=0)),"?IN_FOCUS",IF(J3047&lt;=2,"?ACTIVATED",IF(J3047&lt;&gt;"","?FAMILIAR",IF(F3047="NEW",IF(ISNA(VLOOKUP(E3047,#REF!,1,FALSE())),"?TYPE_IDENTIFIABLE","?REFERENTIAL"),"_")))))</f>
        <v> </v>
      </c>
      <c r="H3047" s="24" t="str">
        <f>IF(J3047&lt;&gt;1,"",IF(I3047="SBJ","CB","?"))</f>
        <v> </v>
      </c>
      <c r="I3047" s="25" t="str">
        <f>IF(OR(E3047="",E3047="!!!",F3047="NEW"),"",INDEX(B3046:B$2,-1+SUMPRODUCT(MAX(ROW(E3046:E$2)*(E3047=E3046:E$2)))))</f>
        <v> </v>
      </c>
      <c r="J3047" s="25" t="str">
        <f>IF(OR(E3047="",E3047="!!!",F3047="NEW"),"",COUNTBLANK(OFFSET(A$1,,,SUMPRODUCT(MAX(ROW(E$2:E3047)*(E3047=E$2:E3047)))))-COUNTBLANK(OFFSET(A$1,,,SUMPRODUCT(MAX(ROW(E$1:E3046)*(E2=E$1:E3046))))))</f>
        <v> </v>
      </c>
      <c r="K3047" s="25" t="str">
        <f>IF(OR(E3047="",E3047="!!!",F3047="NEW"),"",INDEX(J$1:J3046,SUMPRODUCT(MAX(ROW(E$1:E3046)*(E3047=E$1:E3046)))))</f>
        <v> </v>
      </c>
      <c r="L3047" s="26"/>
    </row>
    <row r="3048" spans="1:12">
      <c r="A3048" s="20"/>
    </row>
    <row r="3049" spans="1:12">
      <c r="A3049" s="20" t="s">
        <v>2534</v>
      </c>
    </row>
    <row r="3050" spans="1:12">
      <c r="A3050" s="20" t="s">
        <v>1111</v>
      </c>
      <c r="E3050" s="21">
        <f>IF(D3050="?OLD","!!!","")</f>
        <v/>
      </c>
      <c r="F3050" s="22" t="str">
        <f>IF(OR(E3050="",E3050="!!!"),"",IF(NOT(ISNA(VLOOKUP(E3050,E$1:E3049,1,FALSE()))),"OLD",IF(AND(E3050&lt;&gt;"",E3050&lt;&gt;"!!!"),"NEW","")))</f>
        <v> </v>
      </c>
      <c r="G3050" s="23" t="str">
        <f>IF(OR(E3050="",E3050="!!!"),"",IF(OR(J3050=0,AND(J3050=1,K3050=1),AND(J3050=1,I3050="SBJ"),AND(J3050=1,I3050=0)),"?IN_FOCUS",IF(J3050&lt;=2,"?ACTIVATED",IF(J3050&lt;&gt;"","?FAMILIAR",IF(F3050="NEW",IF(ISNA(VLOOKUP(E3050,#REF!,1,FALSE())),"?TYPE_IDENTIFIABLE","?REFERENTIAL"),"_")))))</f>
        <v> </v>
      </c>
      <c r="H3050" s="24" t="str">
        <f>IF(J3050&lt;&gt;1,"",IF(I3050="SBJ","CB","?"))</f>
        <v> </v>
      </c>
      <c r="I3050" s="25" t="str">
        <f>IF(OR(E3050="",E3050="!!!",F3050="NEW"),"",INDEX(B3049:B$2,-1+SUMPRODUCT(MAX(ROW(E3049:E$2)*(E3050=E3049:E$2)))))</f>
        <v> </v>
      </c>
      <c r="J3050" s="25" t="str">
        <f>IF(OR(E3050="",E3050="!!!",F3050="NEW"),"",COUNTBLANK(OFFSET(A$1,,,SUMPRODUCT(MAX(ROW(E$2:E3050)*(E3050=E$2:E3050)))))-COUNTBLANK(OFFSET(A$1,,,SUMPRODUCT(MAX(ROW(E$1:E3049)*(E2=E$1:E3049))))))</f>
        <v> </v>
      </c>
      <c r="K3050" s="25" t="str">
        <f>IF(OR(E3050="",E3050="!!!",F3050="NEW"),"",INDEX(J$1:J3049,SUMPRODUCT(MAX(ROW(E$1:E3049)*(E3050=E$1:E3049)))))</f>
        <v> </v>
      </c>
      <c r="L3050" s="26"/>
    </row>
    <row r="3051" spans="1:12">
      <c r="A3051" s="20" t="s">
        <v>723</v>
      </c>
      <c r="E3051" s="21">
        <f>IF(D3051="?OLD","!!!","")</f>
        <v/>
      </c>
      <c r="F3051" s="22" t="str">
        <f>IF(OR(E3051="",E3051="!!!"),"",IF(NOT(ISNA(VLOOKUP(E3051,E$1:E3050,1,FALSE()))),"OLD",IF(AND(E3051&lt;&gt;"",E3051&lt;&gt;"!!!"),"NEW","")))</f>
        <v> </v>
      </c>
      <c r="G3051" s="23" t="str">
        <f>IF(OR(E3051="",E3051="!!!"),"",IF(OR(J3051=0,AND(J3051=1,K3051=1),AND(J3051=1,I3051="SBJ"),AND(J3051=1,I3051=0)),"?IN_FOCUS",IF(J3051&lt;=2,"?ACTIVATED",IF(J3051&lt;&gt;"","?FAMILIAR",IF(F3051="NEW",IF(ISNA(VLOOKUP(E3051,#REF!,1,FALSE())),"?TYPE_IDENTIFIABLE","?REFERENTIAL"),"_")))))</f>
        <v> </v>
      </c>
      <c r="H3051" s="24" t="str">
        <f>IF(J3051&lt;&gt;1,"",IF(I3051="SBJ","CB","?"))</f>
        <v> </v>
      </c>
      <c r="I3051" s="25" t="str">
        <f>IF(OR(E3051="",E3051="!!!",F3051="NEW"),"",INDEX(B3050:B$2,-1+SUMPRODUCT(MAX(ROW(E3050:E$2)*(E3051=E3050:E$2)))))</f>
        <v> </v>
      </c>
      <c r="J3051" s="25" t="str">
        <f>IF(OR(E3051="",E3051="!!!",F3051="NEW"),"",COUNTBLANK(OFFSET(A$1,,,SUMPRODUCT(MAX(ROW(E$2:E3051)*(E3051=E$2:E3051)))))-COUNTBLANK(OFFSET(A$1,,,SUMPRODUCT(MAX(ROW(E$1:E3050)*(E2=E$1:E3050))))))</f>
        <v> </v>
      </c>
      <c r="K3051" s="25" t="str">
        <f>IF(OR(E3051="",E3051="!!!",F3051="NEW"),"",INDEX(J$1:J3050,SUMPRODUCT(MAX(ROW(E$1:E3050)*(E3051=E$1:E3050)))))</f>
        <v> </v>
      </c>
      <c r="L3051" s="26"/>
    </row>
    <row r="3052" spans="1:12">
      <c r="A3052" s="20" t="s">
        <v>1351</v>
      </c>
      <c r="E3052" s="21">
        <f>IF(D3052="?OLD","!!!","")</f>
        <v/>
      </c>
      <c r="F3052" s="22" t="str">
        <f>IF(OR(E3052="",E3052="!!!"),"",IF(NOT(ISNA(VLOOKUP(E3052,E$1:E3051,1,FALSE()))),"OLD",IF(AND(E3052&lt;&gt;"",E3052&lt;&gt;"!!!"),"NEW","")))</f>
        <v> </v>
      </c>
      <c r="G3052" s="23" t="str">
        <f>IF(OR(E3052="",E3052="!!!"),"",IF(OR(J3052=0,AND(J3052=1,K3052=1),AND(J3052=1,I3052="SBJ"),AND(J3052=1,I3052=0)),"?IN_FOCUS",IF(J3052&lt;=2,"?ACTIVATED",IF(J3052&lt;&gt;"","?FAMILIAR",IF(F3052="NEW",IF(ISNA(VLOOKUP(E3052,#REF!,1,FALSE())),"?TYPE_IDENTIFIABLE","?REFERENTIAL"),"_")))))</f>
        <v> </v>
      </c>
      <c r="H3052" s="24" t="str">
        <f>IF(J3052&lt;&gt;1,"",IF(I3052="SBJ","CB","?"))</f>
        <v> </v>
      </c>
      <c r="I3052" s="25" t="str">
        <f>IF(OR(E3052="",E3052="!!!",F3052="NEW"),"",INDEX(B3051:B$2,-1+SUMPRODUCT(MAX(ROW(E3051:E$2)*(E3052=E3051:E$2)))))</f>
        <v> </v>
      </c>
      <c r="J3052" s="25" t="str">
        <f>IF(OR(E3052="",E3052="!!!",F3052="NEW"),"",COUNTBLANK(OFFSET(A$1,,,SUMPRODUCT(MAX(ROW(E$2:E3052)*(E3052=E$2:E3052)))))-COUNTBLANK(OFFSET(A$1,,,SUMPRODUCT(MAX(ROW(E$1:E3051)*(E2=E$1:E3051))))))</f>
        <v> </v>
      </c>
      <c r="K3052" s="25" t="str">
        <f>IF(OR(E3052="",E3052="!!!",F3052="NEW"),"",INDEX(J$1:J3051,SUMPRODUCT(MAX(ROW(E$1:E3051)*(E3052=E$1:E3051)))))</f>
        <v> </v>
      </c>
      <c r="L3052" s="26"/>
    </row>
    <row r="3053" spans="1:12">
      <c r="A3053" s="20" t="s">
        <v>1111</v>
      </c>
      <c r="E3053" s="21">
        <f>IF(D3053="?OLD","!!!","")</f>
        <v/>
      </c>
      <c r="F3053" s="22" t="str">
        <f>IF(OR(E3053="",E3053="!!!"),"",IF(NOT(ISNA(VLOOKUP(E3053,E$1:E3052,1,FALSE()))),"OLD",IF(AND(E3053&lt;&gt;"",E3053&lt;&gt;"!!!"),"NEW","")))</f>
        <v> </v>
      </c>
      <c r="G3053" s="23" t="str">
        <f>IF(OR(E3053="",E3053="!!!"),"",IF(OR(J3053=0,AND(J3053=1,K3053=1),AND(J3053=1,I3053="SBJ"),AND(J3053=1,I3053=0)),"?IN_FOCUS",IF(J3053&lt;=2,"?ACTIVATED",IF(J3053&lt;&gt;"","?FAMILIAR",IF(F3053="NEW",IF(ISNA(VLOOKUP(E3053,#REF!,1,FALSE())),"?TYPE_IDENTIFIABLE","?REFERENTIAL"),"_")))))</f>
        <v> </v>
      </c>
      <c r="H3053" s="24" t="str">
        <f>IF(J3053&lt;&gt;1,"",IF(I3053="SBJ","CB","?"))</f>
        <v> </v>
      </c>
      <c r="I3053" s="25" t="str">
        <f>IF(OR(E3053="",E3053="!!!",F3053="NEW"),"",INDEX(B3052:B$2,-1+SUMPRODUCT(MAX(ROW(E3052:E$2)*(E3053=E3052:E$2)))))</f>
        <v> </v>
      </c>
      <c r="J3053" s="25" t="str">
        <f>IF(OR(E3053="",E3053="!!!",F3053="NEW"),"",COUNTBLANK(OFFSET(A$1,,,SUMPRODUCT(MAX(ROW(E$2:E3053)*(E3053=E$2:E3053)))))-COUNTBLANK(OFFSET(A$1,,,SUMPRODUCT(MAX(ROW(E$1:E3052)*(E2=E$1:E3052))))))</f>
        <v> </v>
      </c>
      <c r="K3053" s="25" t="str">
        <f>IF(OR(E3053="",E3053="!!!",F3053="NEW"),"",INDEX(J$1:J3052,SUMPRODUCT(MAX(ROW(E$1:E3052)*(E3053=E$1:E3052)))))</f>
        <v> </v>
      </c>
      <c r="L3053" s="26"/>
    </row>
    <row r="3054" spans="1:12">
      <c r="A3054" s="20" t="s">
        <v>2418</v>
      </c>
      <c r="E3054" s="21">
        <f>IF(D3054="?OLD","!!!","")</f>
        <v/>
      </c>
      <c r="F3054" s="22" t="str">
        <f>IF(OR(E3054="",E3054="!!!"),"",IF(NOT(ISNA(VLOOKUP(E3054,E$1:E3053,1,FALSE()))),"OLD",IF(AND(E3054&lt;&gt;"",E3054&lt;&gt;"!!!"),"NEW","")))</f>
        <v> </v>
      </c>
      <c r="G3054" s="23" t="str">
        <f>IF(OR(E3054="",E3054="!!!"),"",IF(OR(J3054=0,AND(J3054=1,K3054=1),AND(J3054=1,I3054="SBJ"),AND(J3054=1,I3054=0)),"?IN_FOCUS",IF(J3054&lt;=2,"?ACTIVATED",IF(J3054&lt;&gt;"","?FAMILIAR",IF(F3054="NEW",IF(ISNA(VLOOKUP(E3054,#REF!,1,FALSE())),"?TYPE_IDENTIFIABLE","?REFERENTIAL"),"_")))))</f>
        <v> </v>
      </c>
      <c r="H3054" s="24" t="str">
        <f>IF(J3054&lt;&gt;1,"",IF(I3054="SBJ","CB","?"))</f>
        <v> </v>
      </c>
      <c r="I3054" s="25" t="str">
        <f>IF(OR(E3054="",E3054="!!!",F3054="NEW"),"",INDEX(B3053:B$2,-1+SUMPRODUCT(MAX(ROW(E3053:E$2)*(E3054=E3053:E$2)))))</f>
        <v> </v>
      </c>
      <c r="J3054" s="25" t="str">
        <f>IF(OR(E3054="",E3054="!!!",F3054="NEW"),"",COUNTBLANK(OFFSET(A$1,,,SUMPRODUCT(MAX(ROW(E$2:E3054)*(E3054=E$2:E3054)))))-COUNTBLANK(OFFSET(A$1,,,SUMPRODUCT(MAX(ROW(E$1:E3053)*(E2=E$1:E3053))))))</f>
        <v> </v>
      </c>
      <c r="K3054" s="25" t="str">
        <f>IF(OR(E3054="",E3054="!!!",F3054="NEW"),"",INDEX(J$1:J3053,SUMPRODUCT(MAX(ROW(E$1:E3053)*(E3054=E$1:E3053)))))</f>
        <v> </v>
      </c>
      <c r="L3054" s="26"/>
    </row>
    <row r="3055" spans="1:12">
      <c r="A3055" s="20" t="s">
        <v>1225</v>
      </c>
      <c r="B3055" s="27" t="s">
        <v>1122</v>
      </c>
      <c r="C3055" s="27" t="s">
        <v>1108</v>
      </c>
      <c r="D3055" s="27" t="s">
        <v>1105</v>
      </c>
      <c r="E3055" s="21">
        <f>IF(D3055="?OLD","!!!","")</f>
        <v/>
      </c>
      <c r="F3055" s="22" t="str">
        <f>IF(OR(E3055="",E3055="!!!"),"",IF(NOT(ISNA(VLOOKUP(E3055,E$1:E3054,1,FALSE()))),"OLD",IF(AND(E3055&lt;&gt;"",E3055&lt;&gt;"!!!"),"NEW","")))</f>
        <v> </v>
      </c>
      <c r="G3055" s="23" t="str">
        <f>IF(OR(E3055="",E3055="!!!"),"",IF(OR(J3055=0,AND(J3055=1,K3055=1),AND(J3055=1,I3055="SBJ"),AND(J3055=1,I3055=0)),"?IN_FOCUS",IF(J3055&lt;=2,"?ACTIVATED",IF(J3055&lt;&gt;"","?FAMILIAR",IF(F3055="NEW",IF(ISNA(VLOOKUP(E3055,#REF!,1,FALSE())),"?TYPE_IDENTIFIABLE","?REFERENTIAL"),"_")))))</f>
        <v> </v>
      </c>
      <c r="H3055" s="24" t="str">
        <f>IF(J3055&lt;&gt;1,"",IF(I3055="SBJ","CB","?"))</f>
        <v> </v>
      </c>
      <c r="I3055" s="25" t="str">
        <f>IF(OR(E3055="",E3055="!!!",F3055="NEW"),"",INDEX(B3054:B$2,-1+SUMPRODUCT(MAX(ROW(E3054:E$2)*(E3055=E3054:E$2)))))</f>
        <v> </v>
      </c>
      <c r="J3055" s="25" t="str">
        <f>IF(OR(E3055="",E3055="!!!",F3055="NEW"),"",COUNTBLANK(OFFSET(A$1,,,SUMPRODUCT(MAX(ROW(E$2:E3055)*(E3055=E$2:E3055)))))-COUNTBLANK(OFFSET(A$1,,,SUMPRODUCT(MAX(ROW(E$1:E3054)*(E2=E$1:E3054))))))</f>
        <v> </v>
      </c>
      <c r="K3055" s="25" t="str">
        <f>IF(OR(E3055="",E3055="!!!",F3055="NEW"),"",INDEX(J$1:J3054,SUMPRODUCT(MAX(ROW(E$1:E3054)*(E3055=E$1:E3054)))))</f>
        <v> </v>
      </c>
      <c r="L3055" s="26"/>
    </row>
    <row r="3056" spans="1:12">
      <c r="A3056" s="20" t="s">
        <v>1145</v>
      </c>
      <c r="E3056" s="21">
        <f>IF(D3056="?OLD","!!!","")</f>
        <v/>
      </c>
      <c r="F3056" s="22" t="str">
        <f>IF(OR(E3056="",E3056="!!!"),"",IF(NOT(ISNA(VLOOKUP(E3056,E$1:E3055,1,FALSE()))),"OLD",IF(AND(E3056&lt;&gt;"",E3056&lt;&gt;"!!!"),"NEW","")))</f>
        <v> </v>
      </c>
      <c r="G3056" s="23" t="str">
        <f>IF(OR(E3056="",E3056="!!!"),"",IF(OR(J3056=0,AND(J3056=1,K3056=1),AND(J3056=1,I3056="SBJ"),AND(J3056=1,I3056=0)),"?IN_FOCUS",IF(J3056&lt;=2,"?ACTIVATED",IF(J3056&lt;&gt;"","?FAMILIAR",IF(F3056="NEW",IF(ISNA(VLOOKUP(E3056,#REF!,1,FALSE())),"?TYPE_IDENTIFIABLE","?REFERENTIAL"),"_")))))</f>
        <v> </v>
      </c>
      <c r="H3056" s="24" t="str">
        <f>IF(J3056&lt;&gt;1,"",IF(I3056="SBJ","CB","?"))</f>
        <v> </v>
      </c>
      <c r="I3056" s="25" t="str">
        <f>IF(OR(E3056="",E3056="!!!",F3056="NEW"),"",INDEX(B3055:B$2,-1+SUMPRODUCT(MAX(ROW(E3055:E$2)*(E3056=E3055:E$2)))))</f>
        <v> </v>
      </c>
      <c r="J3056" s="25" t="str">
        <f>IF(OR(E3056="",E3056="!!!",F3056="NEW"),"",COUNTBLANK(OFFSET(A$1,,,SUMPRODUCT(MAX(ROW(E$2:E3056)*(E3056=E$2:E3056)))))-COUNTBLANK(OFFSET(A$1,,,SUMPRODUCT(MAX(ROW(E$1:E3055)*(E2=E$1:E3055))))))</f>
        <v> </v>
      </c>
      <c r="K3056" s="25" t="str">
        <f>IF(OR(E3056="",E3056="!!!",F3056="NEW"),"",INDEX(J$1:J3055,SUMPRODUCT(MAX(ROW(E$1:E3055)*(E3056=E$1:E3055)))))</f>
        <v> </v>
      </c>
      <c r="L3056" s="26"/>
    </row>
    <row r="3057" spans="1:12">
      <c r="A3057" s="20"/>
    </row>
    <row r="3058" spans="1:12">
      <c r="A3058" s="20" t="s">
        <v>2535</v>
      </c>
    </row>
    <row r="3059" spans="1:12">
      <c r="A3059" s="20" t="s">
        <v>1111</v>
      </c>
      <c r="E3059" s="21">
        <f>IF(D3059="?OLD","!!!","")</f>
        <v/>
      </c>
      <c r="F3059" s="22" t="str">
        <f>IF(OR(E3059="",E3059="!!!"),"",IF(NOT(ISNA(VLOOKUP(E3059,E$1:E3058,1,FALSE()))),"OLD",IF(AND(E3059&lt;&gt;"",E3059&lt;&gt;"!!!"),"NEW","")))</f>
        <v> </v>
      </c>
      <c r="G3059" s="23" t="str">
        <f>IF(OR(E3059="",E3059="!!!"),"",IF(OR(J3059=0,AND(J3059=1,K3059=1),AND(J3059=1,I3059="SBJ"),AND(J3059=1,I3059=0)),"?IN_FOCUS",IF(J3059&lt;=2,"?ACTIVATED",IF(J3059&lt;&gt;"","?FAMILIAR",IF(F3059="NEW",IF(ISNA(VLOOKUP(E3059,#REF!,1,FALSE())),"?TYPE_IDENTIFIABLE","?REFERENTIAL"),"_")))))</f>
        <v> </v>
      </c>
      <c r="H3059" s="24" t="str">
        <f>IF(J3059&lt;&gt;1,"",IF(I3059="SBJ","CB","?"))</f>
        <v> </v>
      </c>
      <c r="I3059" s="25" t="str">
        <f>IF(OR(E3059="",E3059="!!!",F3059="NEW"),"",INDEX(B3058:B$2,-1+SUMPRODUCT(MAX(ROW(E3058:E$2)*(E3059=E3058:E$2)))))</f>
        <v> </v>
      </c>
      <c r="J3059" s="25" t="str">
        <f>IF(OR(E3059="",E3059="!!!",F3059="NEW"),"",COUNTBLANK(OFFSET(A$1,,,SUMPRODUCT(MAX(ROW(E$2:E3059)*(E3059=E$2:E3059)))))-COUNTBLANK(OFFSET(A$1,,,SUMPRODUCT(MAX(ROW(E$1:E3058)*(E2=E$1:E3058))))))</f>
        <v> </v>
      </c>
      <c r="K3059" s="25" t="str">
        <f>IF(OR(E3059="",E3059="!!!",F3059="NEW"),"",INDEX(J$1:J3058,SUMPRODUCT(MAX(ROW(E$1:E3058)*(E3059=E$1:E3058)))))</f>
        <v> </v>
      </c>
      <c r="L3059" s="26"/>
    </row>
    <row r="3060" spans="1:12">
      <c r="A3060" s="20" t="s">
        <v>727</v>
      </c>
      <c r="E3060" s="21">
        <f>IF(D3060="?OLD","!!!","")</f>
        <v/>
      </c>
      <c r="F3060" s="22" t="str">
        <f>IF(OR(E3060="",E3060="!!!"),"",IF(NOT(ISNA(VLOOKUP(E3060,E$1:E3059,1,FALSE()))),"OLD",IF(AND(E3060&lt;&gt;"",E3060&lt;&gt;"!!!"),"NEW","")))</f>
        <v> </v>
      </c>
      <c r="G3060" s="23" t="str">
        <f>IF(OR(E3060="",E3060="!!!"),"",IF(OR(J3060=0,AND(J3060=1,K3060=1),AND(J3060=1,I3060="SBJ"),AND(J3060=1,I3060=0)),"?IN_FOCUS",IF(J3060&lt;=2,"?ACTIVATED",IF(J3060&lt;&gt;"","?FAMILIAR",IF(F3060="NEW",IF(ISNA(VLOOKUP(E3060,#REF!,1,FALSE())),"?TYPE_IDENTIFIABLE","?REFERENTIAL"),"_")))))</f>
        <v> </v>
      </c>
      <c r="H3060" s="24" t="str">
        <f>IF(J3060&lt;&gt;1,"",IF(I3060="SBJ","CB","?"))</f>
        <v> </v>
      </c>
      <c r="I3060" s="25" t="str">
        <f>IF(OR(E3060="",E3060="!!!",F3060="NEW"),"",INDEX(B3059:B$2,-1+SUMPRODUCT(MAX(ROW(E3059:E$2)*(E3060=E3059:E$2)))))</f>
        <v> </v>
      </c>
      <c r="J3060" s="25" t="str">
        <f>IF(OR(E3060="",E3060="!!!",F3060="NEW"),"",COUNTBLANK(OFFSET(A$1,,,SUMPRODUCT(MAX(ROW(E$2:E3060)*(E3060=E$2:E3060)))))-COUNTBLANK(OFFSET(A$1,,,SUMPRODUCT(MAX(ROW(E$1:E3059)*(E2=E$1:E3059))))))</f>
        <v> </v>
      </c>
      <c r="K3060" s="25" t="str">
        <f>IF(OR(E3060="",E3060="!!!",F3060="NEW"),"",INDEX(J$1:J3059,SUMPRODUCT(MAX(ROW(E$1:E3059)*(E3060=E$1:E3059)))))</f>
        <v> </v>
      </c>
      <c r="L3060" s="26"/>
    </row>
    <row r="3061" spans="1:12">
      <c r="A3061" s="20" t="s">
        <v>1123</v>
      </c>
      <c r="E3061" s="21">
        <f>IF(D3061="?OLD","!!!","")</f>
        <v/>
      </c>
      <c r="F3061" s="22" t="str">
        <f>IF(OR(E3061="",E3061="!!!"),"",IF(NOT(ISNA(VLOOKUP(E3061,E$1:E3060,1,FALSE()))),"OLD",IF(AND(E3061&lt;&gt;"",E3061&lt;&gt;"!!!"),"NEW","")))</f>
        <v> </v>
      </c>
      <c r="G3061" s="23" t="str">
        <f>IF(OR(E3061="",E3061="!!!"),"",IF(OR(J3061=0,AND(J3061=1,K3061=1),AND(J3061=1,I3061="SBJ"),AND(J3061=1,I3061=0)),"?IN_FOCUS",IF(J3061&lt;=2,"?ACTIVATED",IF(J3061&lt;&gt;"","?FAMILIAR",IF(F3061="NEW",IF(ISNA(VLOOKUP(E3061,#REF!,1,FALSE())),"?TYPE_IDENTIFIABLE","?REFERENTIAL"),"_")))))</f>
        <v> </v>
      </c>
      <c r="H3061" s="24" t="str">
        <f>IF(J3061&lt;&gt;1,"",IF(I3061="SBJ","CB","?"))</f>
        <v> </v>
      </c>
      <c r="I3061" s="25" t="str">
        <f>IF(OR(E3061="",E3061="!!!",F3061="NEW"),"",INDEX(B3060:B$2,-1+SUMPRODUCT(MAX(ROW(E3060:E$2)*(E3061=E3060:E$2)))))</f>
        <v> </v>
      </c>
      <c r="J3061" s="25" t="str">
        <f>IF(OR(E3061="",E3061="!!!",F3061="NEW"),"",COUNTBLANK(OFFSET(A$1,,,SUMPRODUCT(MAX(ROW(E$2:E3061)*(E3061=E$2:E3061)))))-COUNTBLANK(OFFSET(A$1,,,SUMPRODUCT(MAX(ROW(E$1:E3060)*(E2=E$1:E3060))))))</f>
        <v> </v>
      </c>
      <c r="K3061" s="25" t="str">
        <f>IF(OR(E3061="",E3061="!!!",F3061="NEW"),"",INDEX(J$1:J3060,SUMPRODUCT(MAX(ROW(E$1:E3060)*(E3061=E$1:E3060)))))</f>
        <v> </v>
      </c>
      <c r="L3061" s="26"/>
    </row>
    <row r="3062" spans="1:12">
      <c r="A3062" s="20" t="s">
        <v>228</v>
      </c>
      <c r="E3062" s="21">
        <f>IF(D3062="?OLD","!!!","")</f>
        <v/>
      </c>
      <c r="F3062" s="22" t="str">
        <f>IF(OR(E3062="",E3062="!!!"),"",IF(NOT(ISNA(VLOOKUP(E3062,E$1:E3061,1,FALSE()))),"OLD",IF(AND(E3062&lt;&gt;"",E3062&lt;&gt;"!!!"),"NEW","")))</f>
        <v> </v>
      </c>
      <c r="G3062" s="23" t="str">
        <f>IF(OR(E3062="",E3062="!!!"),"",IF(OR(J3062=0,AND(J3062=1,K3062=1),AND(J3062=1,I3062="SBJ"),AND(J3062=1,I3062=0)),"?IN_FOCUS",IF(J3062&lt;=2,"?ACTIVATED",IF(J3062&lt;&gt;"","?FAMILIAR",IF(F3062="NEW",IF(ISNA(VLOOKUP(E3062,#REF!,1,FALSE())),"?TYPE_IDENTIFIABLE","?REFERENTIAL"),"_")))))</f>
        <v> </v>
      </c>
      <c r="H3062" s="24" t="str">
        <f>IF(J3062&lt;&gt;1,"",IF(I3062="SBJ","CB","?"))</f>
        <v> </v>
      </c>
      <c r="I3062" s="25" t="str">
        <f>IF(OR(E3062="",E3062="!!!",F3062="NEW"),"",INDEX(B3061:B$2,-1+SUMPRODUCT(MAX(ROW(E3061:E$2)*(E3062=E3061:E$2)))))</f>
        <v> </v>
      </c>
      <c r="J3062" s="25" t="str">
        <f>IF(OR(E3062="",E3062="!!!",F3062="NEW"),"",COUNTBLANK(OFFSET(A$1,,,SUMPRODUCT(MAX(ROW(E$2:E3062)*(E3062=E$2:E3062)))))-COUNTBLANK(OFFSET(A$1,,,SUMPRODUCT(MAX(ROW(E$1:E3061)*(E2=E$1:E3061))))))</f>
        <v> </v>
      </c>
      <c r="K3062" s="25" t="str">
        <f>IF(OR(E3062="",E3062="!!!",F3062="NEW"),"",INDEX(J$1:J3061,SUMPRODUCT(MAX(ROW(E$1:E3061)*(E3062=E$1:E3061)))))</f>
        <v> </v>
      </c>
      <c r="L3062" s="26"/>
    </row>
    <row r="3063" spans="1:12">
      <c r="A3063" s="20" t="s">
        <v>2191</v>
      </c>
      <c r="B3063" s="27" t="s">
        <v>1122</v>
      </c>
      <c r="E3063" s="21">
        <f>IF(D3063="?OLD","!!!","")</f>
        <v/>
      </c>
      <c r="F3063" s="22" t="str">
        <f>IF(OR(E3063="",E3063="!!!"),"",IF(NOT(ISNA(VLOOKUP(E3063,E$1:E3062,1,FALSE()))),"OLD",IF(AND(E3063&lt;&gt;"",E3063&lt;&gt;"!!!"),"NEW","")))</f>
        <v> </v>
      </c>
      <c r="G3063" s="23" t="str">
        <f>IF(OR(E3063="",E3063="!!!"),"",IF(OR(J3063=0,AND(J3063=1,K3063=1),AND(J3063=1,I3063="SBJ"),AND(J3063=1,I3063=0)),"?IN_FOCUS",IF(J3063&lt;=2,"?ACTIVATED",IF(J3063&lt;&gt;"","?FAMILIAR",IF(F3063="NEW",IF(ISNA(VLOOKUP(E3063,#REF!,1,FALSE())),"?TYPE_IDENTIFIABLE","?REFERENTIAL"),"_")))))</f>
        <v> </v>
      </c>
      <c r="H3063" s="24" t="str">
        <f>IF(J3063&lt;&gt;1,"",IF(I3063="SBJ","CB","?"))</f>
        <v> </v>
      </c>
      <c r="I3063" s="25" t="str">
        <f>IF(OR(E3063="",E3063="!!!",F3063="NEW"),"",INDEX(B3062:B$2,-1+SUMPRODUCT(MAX(ROW(E3062:E$2)*(E3063=E3062:E$2)))))</f>
        <v> </v>
      </c>
      <c r="J3063" s="25" t="str">
        <f>IF(OR(E3063="",E3063="!!!",F3063="NEW"),"",COUNTBLANK(OFFSET(A$1,,,SUMPRODUCT(MAX(ROW(E$2:E3063)*(E3063=E$2:E3063)))))-COUNTBLANK(OFFSET(A$1,,,SUMPRODUCT(MAX(ROW(E$1:E3062)*(E2=E$1:E3062))))))</f>
        <v> </v>
      </c>
      <c r="K3063" s="25" t="str">
        <f>IF(OR(E3063="",E3063="!!!",F3063="NEW"),"",INDEX(J$1:J3062,SUMPRODUCT(MAX(ROW(E$1:E3062)*(E3063=E$1:E3062)))))</f>
        <v> </v>
      </c>
      <c r="L3063" s="26"/>
    </row>
    <row r="3064" spans="1:12">
      <c r="A3064" s="20" t="s">
        <v>1334</v>
      </c>
      <c r="E3064" s="21">
        <f>IF(D3064="?OLD","!!!","")</f>
        <v/>
      </c>
      <c r="F3064" s="22" t="str">
        <f>IF(OR(E3064="",E3064="!!!"),"",IF(NOT(ISNA(VLOOKUP(E3064,E$1:E3063,1,FALSE()))),"OLD",IF(AND(E3064&lt;&gt;"",E3064&lt;&gt;"!!!"),"NEW","")))</f>
        <v> </v>
      </c>
      <c r="G3064" s="23" t="str">
        <f>IF(OR(E3064="",E3064="!!!"),"",IF(OR(J3064=0,AND(J3064=1,K3064=1),AND(J3064=1,I3064="SBJ"),AND(J3064=1,I3064=0)),"?IN_FOCUS",IF(J3064&lt;=2,"?ACTIVATED",IF(J3064&lt;&gt;"","?FAMILIAR",IF(F3064="NEW",IF(ISNA(VLOOKUP(E3064,#REF!,1,FALSE())),"?TYPE_IDENTIFIABLE","?REFERENTIAL"),"_")))))</f>
        <v> </v>
      </c>
      <c r="H3064" s="24" t="str">
        <f>IF(J3064&lt;&gt;1,"",IF(I3064="SBJ","CB","?"))</f>
        <v> </v>
      </c>
      <c r="I3064" s="25" t="str">
        <f>IF(OR(E3064="",E3064="!!!",F3064="NEW"),"",INDEX(B3063:B$2,-1+SUMPRODUCT(MAX(ROW(E3063:E$2)*(E3064=E3063:E$2)))))</f>
        <v> </v>
      </c>
      <c r="J3064" s="25" t="str">
        <f>IF(OR(E3064="",E3064="!!!",F3064="NEW"),"",COUNTBLANK(OFFSET(A$1,,,SUMPRODUCT(MAX(ROW(E$2:E3064)*(E3064=E$2:E3064)))))-COUNTBLANK(OFFSET(A$1,,,SUMPRODUCT(MAX(ROW(E$1:E3063)*(E2=E$1:E3063))))))</f>
        <v> </v>
      </c>
      <c r="K3064" s="25" t="str">
        <f>IF(OR(E3064="",E3064="!!!",F3064="NEW"),"",INDEX(J$1:J3063,SUMPRODUCT(MAX(ROW(E$1:E3063)*(E3064=E$1:E3063)))))</f>
        <v> </v>
      </c>
      <c r="L3064" s="26"/>
    </row>
    <row r="3065" spans="1:12">
      <c r="A3065" s="20"/>
    </row>
    <row r="3066" spans="1:12">
      <c r="A3066" s="20" t="s">
        <v>2536</v>
      </c>
    </row>
    <row r="3067" spans="1:12">
      <c r="A3067" s="20" t="s">
        <v>2537</v>
      </c>
      <c r="E3067" s="21">
        <f>IF(D3067="?OLD","!!!","")</f>
        <v/>
      </c>
      <c r="F3067" s="22" t="str">
        <f>IF(OR(E3067="",E3067="!!!"),"",IF(NOT(ISNA(VLOOKUP(E3067,E$1:E3066,1,FALSE()))),"OLD",IF(AND(E3067&lt;&gt;"",E3067&lt;&gt;"!!!"),"NEW","")))</f>
        <v> </v>
      </c>
      <c r="G3067" s="23" t="str">
        <f>IF(OR(E3067="",E3067="!!!"),"",IF(OR(J3067=0,AND(J3067=1,K3067=1),AND(J3067=1,I3067="SBJ"),AND(J3067=1,I3067=0)),"?IN_FOCUS",IF(J3067&lt;=2,"?ACTIVATED",IF(J3067&lt;&gt;"","?FAMILIAR",IF(F3067="NEW",IF(ISNA(VLOOKUP(E3067,#REF!,1,FALSE())),"?TYPE_IDENTIFIABLE","?REFERENTIAL"),"_")))))</f>
        <v> </v>
      </c>
      <c r="H3067" s="24" t="str">
        <f>IF(J3067&lt;&gt;1,"",IF(I3067="SBJ","CB","?"))</f>
        <v> </v>
      </c>
      <c r="I3067" s="25" t="str">
        <f>IF(OR(E3067="",E3067="!!!",F3067="NEW"),"",INDEX(B3066:B$2,-1+SUMPRODUCT(MAX(ROW(E3066:E$2)*(E3067=E3066:E$2)))))</f>
        <v> </v>
      </c>
      <c r="J3067" s="25" t="str">
        <f>IF(OR(E3067="",E3067="!!!",F3067="NEW"),"",COUNTBLANK(OFFSET(A$1,,,SUMPRODUCT(MAX(ROW(E$2:E3067)*(E3067=E$2:E3067)))))-COUNTBLANK(OFFSET(A$1,,,SUMPRODUCT(MAX(ROW(E$1:E3066)*(E2=E$1:E3066))))))</f>
        <v> </v>
      </c>
      <c r="K3067" s="25" t="str">
        <f>IF(OR(E3067="",E3067="!!!",F3067="NEW"),"",INDEX(J$1:J3066,SUMPRODUCT(MAX(ROW(E$1:E3066)*(E3067=E$1:E3066)))))</f>
        <v> </v>
      </c>
      <c r="L3067" s="26"/>
    </row>
    <row r="3068" spans="1:12">
      <c r="A3068" s="20" t="s">
        <v>1494</v>
      </c>
      <c r="B3068" s="27" t="s">
        <v>1213</v>
      </c>
      <c r="C3068" s="27" t="s">
        <v>1126</v>
      </c>
      <c r="D3068" s="27" t="s">
        <v>1105</v>
      </c>
      <c r="E3068" s="21">
        <f>IF(D3068="?OLD","!!!","")</f>
        <v/>
      </c>
      <c r="F3068" s="22" t="str">
        <f>IF(OR(E3068="",E3068="!!!"),"",IF(NOT(ISNA(VLOOKUP(E3068,E$1:E3067,1,FALSE()))),"OLD",IF(AND(E3068&lt;&gt;"",E3068&lt;&gt;"!!!"),"NEW","")))</f>
        <v> </v>
      </c>
      <c r="G3068" s="23" t="str">
        <f>IF(OR(E3068="",E3068="!!!"),"",IF(OR(J3068=0,AND(J3068=1,K3068=1),AND(J3068=1,I3068="SBJ"),AND(J3068=1,I3068=0)),"?IN_FOCUS",IF(J3068&lt;=2,"?ACTIVATED",IF(J3068&lt;&gt;"","?FAMILIAR",IF(F3068="NEW",IF(ISNA(VLOOKUP(E3068,#REF!,1,FALSE())),"?TYPE_IDENTIFIABLE","?REFERENTIAL"),"_")))))</f>
        <v> </v>
      </c>
      <c r="H3068" s="24" t="str">
        <f>IF(J3068&lt;&gt;1,"",IF(I3068="SBJ","CB","?"))</f>
        <v> </v>
      </c>
      <c r="I3068" s="25" t="str">
        <f>IF(OR(E3068="",E3068="!!!",F3068="NEW"),"",INDEX(B3067:B$2,-1+SUMPRODUCT(MAX(ROW(E3067:E$2)*(E3068=E3067:E$2)))))</f>
        <v> </v>
      </c>
      <c r="J3068" s="25" t="str">
        <f>IF(OR(E3068="",E3068="!!!",F3068="NEW"),"",COUNTBLANK(OFFSET(A$1,,,SUMPRODUCT(MAX(ROW(E$2:E3068)*(E3068=E$2:E3068)))))-COUNTBLANK(OFFSET(A$1,,,SUMPRODUCT(MAX(ROW(E$1:E3067)*(E2=E$1:E3067))))))</f>
        <v> </v>
      </c>
      <c r="K3068" s="25" t="str">
        <f>IF(OR(E3068="",E3068="!!!",F3068="NEW"),"",INDEX(J$1:J3067,SUMPRODUCT(MAX(ROW(E$1:E3067)*(E3068=E$1:E3067)))))</f>
        <v> </v>
      </c>
      <c r="L3068" s="26"/>
    </row>
    <row r="3069" spans="1:12">
      <c r="A3069" s="20" t="s">
        <v>1249</v>
      </c>
      <c r="E3069" s="21">
        <f>IF(D3069="?OLD","!!!","")</f>
        <v/>
      </c>
      <c r="F3069" s="22" t="str">
        <f>IF(OR(E3069="",E3069="!!!"),"",IF(NOT(ISNA(VLOOKUP(E3069,E$1:E3068,1,FALSE()))),"OLD",IF(AND(E3069&lt;&gt;"",E3069&lt;&gt;"!!!"),"NEW","")))</f>
        <v> </v>
      </c>
      <c r="G3069" s="23" t="str">
        <f>IF(OR(E3069="",E3069="!!!"),"",IF(OR(J3069=0,AND(J3069=1,K3069=1),AND(J3069=1,I3069="SBJ"),AND(J3069=1,I3069=0)),"?IN_FOCUS",IF(J3069&lt;=2,"?ACTIVATED",IF(J3069&lt;&gt;"","?FAMILIAR",IF(F3069="NEW",IF(ISNA(VLOOKUP(E3069,#REF!,1,FALSE())),"?TYPE_IDENTIFIABLE","?REFERENTIAL"),"_")))))</f>
        <v> </v>
      </c>
      <c r="H3069" s="24" t="str">
        <f>IF(J3069&lt;&gt;1,"",IF(I3069="SBJ","CB","?"))</f>
        <v> </v>
      </c>
      <c r="I3069" s="25" t="str">
        <f>IF(OR(E3069="",E3069="!!!",F3069="NEW"),"",INDEX(B3068:B$2,-1+SUMPRODUCT(MAX(ROW(E3068:E$2)*(E3069=E3068:E$2)))))</f>
        <v> </v>
      </c>
      <c r="J3069" s="25" t="str">
        <f>IF(OR(E3069="",E3069="!!!",F3069="NEW"),"",COUNTBLANK(OFFSET(A$1,,,SUMPRODUCT(MAX(ROW(E$2:E3069)*(E3069=E$2:E3069)))))-COUNTBLANK(OFFSET(A$1,,,SUMPRODUCT(MAX(ROW(E$1:E3068)*(E2=E$1:E3068))))))</f>
        <v> </v>
      </c>
      <c r="K3069" s="25" t="str">
        <f>IF(OR(E3069="",E3069="!!!",F3069="NEW"),"",INDEX(J$1:J3068,SUMPRODUCT(MAX(ROW(E$1:E3068)*(E3069=E$1:E3068)))))</f>
        <v> </v>
      </c>
      <c r="L3069" s="26"/>
    </row>
    <row r="3070" spans="1:12">
      <c r="A3070" s="20" t="s">
        <v>2538</v>
      </c>
      <c r="E3070" s="21">
        <f>IF(D3070="?OLD","!!!","")</f>
        <v/>
      </c>
      <c r="F3070" s="22" t="str">
        <f>IF(OR(E3070="",E3070="!!!"),"",IF(NOT(ISNA(VLOOKUP(E3070,E$1:E3069,1,FALSE()))),"OLD",IF(AND(E3070&lt;&gt;"",E3070&lt;&gt;"!!!"),"NEW","")))</f>
        <v> </v>
      </c>
      <c r="G3070" s="23" t="str">
        <f>IF(OR(E3070="",E3070="!!!"),"",IF(OR(J3070=0,AND(J3070=1,K3070=1),AND(J3070=1,I3070="SBJ"),AND(J3070=1,I3070=0)),"?IN_FOCUS",IF(J3070&lt;=2,"?ACTIVATED",IF(J3070&lt;&gt;"","?FAMILIAR",IF(F3070="NEW",IF(ISNA(VLOOKUP(E3070,#REF!,1,FALSE())),"?TYPE_IDENTIFIABLE","?REFERENTIAL"),"_")))))</f>
        <v> </v>
      </c>
      <c r="H3070" s="24" t="str">
        <f>IF(J3070&lt;&gt;1,"",IF(I3070="SBJ","CB","?"))</f>
        <v> </v>
      </c>
      <c r="I3070" s="25" t="str">
        <f>IF(OR(E3070="",E3070="!!!",F3070="NEW"),"",INDEX(B3069:B$2,-1+SUMPRODUCT(MAX(ROW(E3069:E$2)*(E3070=E3069:E$2)))))</f>
        <v> </v>
      </c>
      <c r="J3070" s="25" t="str">
        <f>IF(OR(E3070="",E3070="!!!",F3070="NEW"),"",COUNTBLANK(OFFSET(A$1,,,SUMPRODUCT(MAX(ROW(E$2:E3070)*(E3070=E$2:E3070)))))-COUNTBLANK(OFFSET(A$1,,,SUMPRODUCT(MAX(ROW(E$1:E3069)*(E2=E$1:E3069))))))</f>
        <v> </v>
      </c>
      <c r="K3070" s="25" t="str">
        <f>IF(OR(E3070="",E3070="!!!",F3070="NEW"),"",INDEX(J$1:J3069,SUMPRODUCT(MAX(ROW(E$1:E3069)*(E3070=E$1:E3069)))))</f>
        <v> </v>
      </c>
      <c r="L3070" s="26"/>
    </row>
    <row r="3071" spans="1:12">
      <c r="A3071" s="20" t="s">
        <v>1145</v>
      </c>
      <c r="E3071" s="21">
        <f>IF(D3071="?OLD","!!!","")</f>
        <v/>
      </c>
      <c r="F3071" s="22" t="str">
        <f>IF(OR(E3071="",E3071="!!!"),"",IF(NOT(ISNA(VLOOKUP(E3071,E$1:E3070,1,FALSE()))),"OLD",IF(AND(E3071&lt;&gt;"",E3071&lt;&gt;"!!!"),"NEW","")))</f>
        <v> </v>
      </c>
      <c r="G3071" s="23" t="str">
        <f>IF(OR(E3071="",E3071="!!!"),"",IF(OR(J3071=0,AND(J3071=1,K3071=1),AND(J3071=1,I3071="SBJ"),AND(J3071=1,I3071=0)),"?IN_FOCUS",IF(J3071&lt;=2,"?ACTIVATED",IF(J3071&lt;&gt;"","?FAMILIAR",IF(F3071="NEW",IF(ISNA(VLOOKUP(E3071,#REF!,1,FALSE())),"?TYPE_IDENTIFIABLE","?REFERENTIAL"),"_")))))</f>
        <v> </v>
      </c>
      <c r="H3071" s="24" t="str">
        <f>IF(J3071&lt;&gt;1,"",IF(I3071="SBJ","CB","?"))</f>
        <v> </v>
      </c>
      <c r="I3071" s="25" t="str">
        <f>IF(OR(E3071="",E3071="!!!",F3071="NEW"),"",INDEX(B3070:B$2,-1+SUMPRODUCT(MAX(ROW(E3070:E$2)*(E3071=E3070:E$2)))))</f>
        <v> </v>
      </c>
      <c r="J3071" s="25" t="str">
        <f>IF(OR(E3071="",E3071="!!!",F3071="NEW"),"",COUNTBLANK(OFFSET(A$1,,,SUMPRODUCT(MAX(ROW(E$2:E3071)*(E3071=E$2:E3071)))))-COUNTBLANK(OFFSET(A$1,,,SUMPRODUCT(MAX(ROW(E$1:E3070)*(E2=E$1:E3070))))))</f>
        <v> </v>
      </c>
      <c r="K3071" s="25" t="str">
        <f>IF(OR(E3071="",E3071="!!!",F3071="NEW"),"",INDEX(J$1:J3070,SUMPRODUCT(MAX(ROW(E$1:E3070)*(E3071=E$1:E3070)))))</f>
        <v> </v>
      </c>
      <c r="L3071" s="26"/>
    </row>
    <row r="3072" spans="1:12">
      <c r="A3072" s="20"/>
    </row>
    <row r="3073" spans="1:12">
      <c r="A3073" s="20" t="s">
        <v>2539</v>
      </c>
    </row>
    <row r="3074" spans="1:12">
      <c r="A3074" s="20" t="s">
        <v>2540</v>
      </c>
      <c r="E3074" s="21">
        <f>IF(D3074="?OLD","!!!","")</f>
        <v/>
      </c>
      <c r="F3074" s="22" t="str">
        <f>IF(OR(E3074="",E3074="!!!"),"",IF(NOT(ISNA(VLOOKUP(E3074,E$1:E3073,1,FALSE()))),"OLD",IF(AND(E3074&lt;&gt;"",E3074&lt;&gt;"!!!"),"NEW","")))</f>
        <v> </v>
      </c>
      <c r="G3074" s="23" t="str">
        <f>IF(OR(E3074="",E3074="!!!"),"",IF(OR(J3074=0,AND(J3074=1,K3074=1),AND(J3074=1,I3074="SBJ"),AND(J3074=1,I3074=0)),"?IN_FOCUS",IF(J3074&lt;=2,"?ACTIVATED",IF(J3074&lt;&gt;"","?FAMILIAR",IF(F3074="NEW",IF(ISNA(VLOOKUP(E3074,#REF!,1,FALSE())),"?TYPE_IDENTIFIABLE","?REFERENTIAL"),"_")))))</f>
        <v> </v>
      </c>
      <c r="H3074" s="24" t="str">
        <f>IF(J3074&lt;&gt;1,"",IF(I3074="SBJ","CB","?"))</f>
        <v> </v>
      </c>
      <c r="I3074" s="25" t="str">
        <f>IF(OR(E3074="",E3074="!!!",F3074="NEW"),"",INDEX(B3073:B$2,-1+SUMPRODUCT(MAX(ROW(E3073:E$2)*(E3074=E3073:E$2)))))</f>
        <v> </v>
      </c>
      <c r="J3074" s="25" t="str">
        <f>IF(OR(E3074="",E3074="!!!",F3074="NEW"),"",COUNTBLANK(OFFSET(A$1,,,SUMPRODUCT(MAX(ROW(E$2:E3074)*(E3074=E$2:E3074)))))-COUNTBLANK(OFFSET(A$1,,,SUMPRODUCT(MAX(ROW(E$1:E3073)*(E2=E$1:E3073))))))</f>
        <v> </v>
      </c>
      <c r="K3074" s="25" t="str">
        <f>IF(OR(E3074="",E3074="!!!",F3074="NEW"),"",INDEX(J$1:J3073,SUMPRODUCT(MAX(ROW(E$1:E3073)*(E3074=E$1:E3073)))))</f>
        <v> </v>
      </c>
      <c r="L3074" s="26"/>
    </row>
    <row r="3075" spans="1:12">
      <c r="A3075" s="20" t="s">
        <v>2541</v>
      </c>
      <c r="B3075" s="27" t="s">
        <v>1149</v>
      </c>
      <c r="C3075" s="27" t="s">
        <v>1116</v>
      </c>
      <c r="E3075" s="21">
        <f>IF(D3075="?OLD","!!!","")</f>
        <v/>
      </c>
      <c r="F3075" s="22" t="str">
        <f>IF(OR(E3075="",E3075="!!!"),"",IF(NOT(ISNA(VLOOKUP(E3075,E$1:E3074,1,FALSE()))),"OLD",IF(AND(E3075&lt;&gt;"",E3075&lt;&gt;"!!!"),"NEW","")))</f>
        <v> </v>
      </c>
      <c r="G3075" s="23" t="str">
        <f>IF(OR(E3075="",E3075="!!!"),"",IF(OR(J3075=0,AND(J3075=1,K3075=1),AND(J3075=1,I3075="SBJ"),AND(J3075=1,I3075=0)),"?IN_FOCUS",IF(J3075&lt;=2,"?ACTIVATED",IF(J3075&lt;&gt;"","?FAMILIAR",IF(F3075="NEW",IF(ISNA(VLOOKUP(E3075,#REF!,1,FALSE())),"?TYPE_IDENTIFIABLE","?REFERENTIAL"),"_")))))</f>
        <v> </v>
      </c>
      <c r="H3075" s="24" t="str">
        <f>IF(J3075&lt;&gt;1,"",IF(I3075="SBJ","CB","?"))</f>
        <v> </v>
      </c>
      <c r="I3075" s="25" t="str">
        <f>IF(OR(E3075="",E3075="!!!",F3075="NEW"),"",INDEX(B3074:B$2,-1+SUMPRODUCT(MAX(ROW(E3074:E$2)*(E3075=E3074:E$2)))))</f>
        <v> </v>
      </c>
      <c r="J3075" s="25" t="str">
        <f>IF(OR(E3075="",E3075="!!!",F3075="NEW"),"",COUNTBLANK(OFFSET(A$1,,,SUMPRODUCT(MAX(ROW(E$2:E3075)*(E3075=E$2:E3075)))))-COUNTBLANK(OFFSET(A$1,,,SUMPRODUCT(MAX(ROW(E$1:E3074)*(E2=E$1:E3074))))))</f>
        <v> </v>
      </c>
      <c r="K3075" s="25" t="str">
        <f>IF(OR(E3075="",E3075="!!!",F3075="NEW"),"",INDEX(J$1:J3074,SUMPRODUCT(MAX(ROW(E$1:E3074)*(E3075=E$1:E3074)))))</f>
        <v> </v>
      </c>
      <c r="L3075" s="26"/>
    </row>
    <row r="3076" spans="1:12">
      <c r="A3076" s="20" t="s">
        <v>1910</v>
      </c>
      <c r="B3076" s="27" t="s">
        <v>1213</v>
      </c>
      <c r="C3076" s="27" t="s">
        <v>1133</v>
      </c>
      <c r="E3076" s="21">
        <f>IF(D3076="?OLD","!!!","")</f>
        <v/>
      </c>
      <c r="F3076" s="22" t="str">
        <f>IF(OR(E3076="",E3076="!!!"),"",IF(NOT(ISNA(VLOOKUP(E3076,E$1:E3075,1,FALSE()))),"OLD",IF(AND(E3076&lt;&gt;"",E3076&lt;&gt;"!!!"),"NEW","")))</f>
        <v> </v>
      </c>
      <c r="G3076" s="23" t="str">
        <f>IF(OR(E3076="",E3076="!!!"),"",IF(OR(J3076=0,AND(J3076=1,K3076=1),AND(J3076=1,I3076="SBJ"),AND(J3076=1,I3076=0)),"?IN_FOCUS",IF(J3076&lt;=2,"?ACTIVATED",IF(J3076&lt;&gt;"","?FAMILIAR",IF(F3076="NEW",IF(ISNA(VLOOKUP(E3076,#REF!,1,FALSE())),"?TYPE_IDENTIFIABLE","?REFERENTIAL"),"_")))))</f>
        <v> </v>
      </c>
      <c r="H3076" s="24" t="str">
        <f>IF(J3076&lt;&gt;1,"",IF(I3076="SBJ","CB","?"))</f>
        <v> </v>
      </c>
      <c r="I3076" s="25" t="str">
        <f>IF(OR(E3076="",E3076="!!!",F3076="NEW"),"",INDEX(B3075:B$2,-1+SUMPRODUCT(MAX(ROW(E3075:E$2)*(E3076=E3075:E$2)))))</f>
        <v> </v>
      </c>
      <c r="J3076" s="25" t="str">
        <f>IF(OR(E3076="",E3076="!!!",F3076="NEW"),"",COUNTBLANK(OFFSET(A$1,,,SUMPRODUCT(MAX(ROW(E$2:E3076)*(E3076=E$2:E3076)))))-COUNTBLANK(OFFSET(A$1,,,SUMPRODUCT(MAX(ROW(E$1:E3075)*(E2=E$1:E3075))))))</f>
        <v> </v>
      </c>
      <c r="K3076" s="25" t="str">
        <f>IF(OR(E3076="",E3076="!!!",F3076="NEW"),"",INDEX(J$1:J3075,SUMPRODUCT(MAX(ROW(E$1:E3075)*(E3076=E$1:E3075)))))</f>
        <v> </v>
      </c>
      <c r="L3076" s="26"/>
    </row>
    <row r="3077" spans="1:12">
      <c r="A3077" s="20" t="s">
        <v>2217</v>
      </c>
      <c r="E3077" s="21">
        <f>IF(D3077="?OLD","!!!","")</f>
        <v/>
      </c>
      <c r="F3077" s="22" t="str">
        <f>IF(OR(E3077="",E3077="!!!"),"",IF(NOT(ISNA(VLOOKUP(E3077,E$1:E3076,1,FALSE()))),"OLD",IF(AND(E3077&lt;&gt;"",E3077&lt;&gt;"!!!"),"NEW","")))</f>
        <v> </v>
      </c>
      <c r="G3077" s="23" t="str">
        <f>IF(OR(E3077="",E3077="!!!"),"",IF(OR(J3077=0,AND(J3077=1,K3077=1),AND(J3077=1,I3077="SBJ"),AND(J3077=1,I3077=0)),"?IN_FOCUS",IF(J3077&lt;=2,"?ACTIVATED",IF(J3077&lt;&gt;"","?FAMILIAR",IF(F3077="NEW",IF(ISNA(VLOOKUP(E3077,#REF!,1,FALSE())),"?TYPE_IDENTIFIABLE","?REFERENTIAL"),"_")))))</f>
        <v> </v>
      </c>
      <c r="H3077" s="24" t="str">
        <f>IF(J3077&lt;&gt;1,"",IF(I3077="SBJ","CB","?"))</f>
        <v> </v>
      </c>
      <c r="I3077" s="25" t="str">
        <f>IF(OR(E3077="",E3077="!!!",F3077="NEW"),"",INDEX(B3076:B$2,-1+SUMPRODUCT(MAX(ROW(E3076:E$2)*(E3077=E3076:E$2)))))</f>
        <v> </v>
      </c>
      <c r="J3077" s="25" t="str">
        <f>IF(OR(E3077="",E3077="!!!",F3077="NEW"),"",COUNTBLANK(OFFSET(A$1,,,SUMPRODUCT(MAX(ROW(E$2:E3077)*(E3077=E$2:E3077)))))-COUNTBLANK(OFFSET(A$1,,,SUMPRODUCT(MAX(ROW(E$1:E3076)*(E2=E$1:E3076))))))</f>
        <v> </v>
      </c>
      <c r="K3077" s="25" t="str">
        <f>IF(OR(E3077="",E3077="!!!",F3077="NEW"),"",INDEX(J$1:J3076,SUMPRODUCT(MAX(ROW(E$1:E3076)*(E3077=E$1:E3076)))))</f>
        <v> </v>
      </c>
      <c r="L3077" s="26"/>
    </row>
    <row r="3078" spans="1:12">
      <c r="A3078" s="20" t="s">
        <v>2542</v>
      </c>
      <c r="E3078" s="21">
        <f>IF(D3078="?OLD","!!!","")</f>
        <v/>
      </c>
      <c r="F3078" s="22" t="str">
        <f>IF(OR(E3078="",E3078="!!!"),"",IF(NOT(ISNA(VLOOKUP(E3078,E$1:E3077,1,FALSE()))),"OLD",IF(AND(E3078&lt;&gt;"",E3078&lt;&gt;"!!!"),"NEW","")))</f>
        <v> </v>
      </c>
      <c r="G3078" s="23" t="str">
        <f>IF(OR(E3078="",E3078="!!!"),"",IF(OR(J3078=0,AND(J3078=1,K3078=1),AND(J3078=1,I3078="SBJ"),AND(J3078=1,I3078=0)),"?IN_FOCUS",IF(J3078&lt;=2,"?ACTIVATED",IF(J3078&lt;&gt;"","?FAMILIAR",IF(F3078="NEW",IF(ISNA(VLOOKUP(E3078,#REF!,1,FALSE())),"?TYPE_IDENTIFIABLE","?REFERENTIAL"),"_")))))</f>
        <v> </v>
      </c>
      <c r="H3078" s="24" t="str">
        <f>IF(J3078&lt;&gt;1,"",IF(I3078="SBJ","CB","?"))</f>
        <v> </v>
      </c>
      <c r="I3078" s="25" t="str">
        <f>IF(OR(E3078="",E3078="!!!",F3078="NEW"),"",INDEX(B3077:B$2,-1+SUMPRODUCT(MAX(ROW(E3077:E$2)*(E3078=E3077:E$2)))))</f>
        <v> </v>
      </c>
      <c r="J3078" s="25" t="str">
        <f>IF(OR(E3078="",E3078="!!!",F3078="NEW"),"",COUNTBLANK(OFFSET(A$1,,,SUMPRODUCT(MAX(ROW(E$2:E3078)*(E3078=E$2:E3078)))))-COUNTBLANK(OFFSET(A$1,,,SUMPRODUCT(MAX(ROW(E$1:E3077)*(E2=E$1:E3077))))))</f>
        <v> </v>
      </c>
      <c r="K3078" s="25" t="str">
        <f>IF(OR(E3078="",E3078="!!!",F3078="NEW"),"",INDEX(J$1:J3077,SUMPRODUCT(MAX(ROW(E$1:E3077)*(E3078=E$1:E3077)))))</f>
        <v> </v>
      </c>
      <c r="L3078" s="26"/>
    </row>
    <row r="3079" spans="1:12">
      <c r="A3079" s="20" t="s">
        <v>1139</v>
      </c>
      <c r="E3079" s="21">
        <f>IF(D3079="?OLD","!!!","")</f>
        <v/>
      </c>
      <c r="F3079" s="22" t="str">
        <f>IF(OR(E3079="",E3079="!!!"),"",IF(NOT(ISNA(VLOOKUP(E3079,E$1:E3078,1,FALSE()))),"OLD",IF(AND(E3079&lt;&gt;"",E3079&lt;&gt;"!!!"),"NEW","")))</f>
        <v> </v>
      </c>
      <c r="G3079" s="23" t="str">
        <f>IF(OR(E3079="",E3079="!!!"),"",IF(OR(J3079=0,AND(J3079=1,K3079=1),AND(J3079=1,I3079="SBJ"),AND(J3079=1,I3079=0)),"?IN_FOCUS",IF(J3079&lt;=2,"?ACTIVATED",IF(J3079&lt;&gt;"","?FAMILIAR",IF(F3079="NEW",IF(ISNA(VLOOKUP(E3079,#REF!,1,FALSE())),"?TYPE_IDENTIFIABLE","?REFERENTIAL"),"_")))))</f>
        <v> </v>
      </c>
      <c r="H3079" s="24" t="str">
        <f>IF(J3079&lt;&gt;1,"",IF(I3079="SBJ","CB","?"))</f>
        <v> </v>
      </c>
      <c r="I3079" s="25" t="str">
        <f>IF(OR(E3079="",E3079="!!!",F3079="NEW"),"",INDEX(B3078:B$2,-1+SUMPRODUCT(MAX(ROW(E3078:E$2)*(E3079=E3078:E$2)))))</f>
        <v> </v>
      </c>
      <c r="J3079" s="25" t="str">
        <f>IF(OR(E3079="",E3079="!!!",F3079="NEW"),"",COUNTBLANK(OFFSET(A$1,,,SUMPRODUCT(MAX(ROW(E$2:E3079)*(E3079=E$2:E3079)))))-COUNTBLANK(OFFSET(A$1,,,SUMPRODUCT(MAX(ROW(E$1:E3078)*(E2=E$1:E3078))))))</f>
        <v> </v>
      </c>
      <c r="K3079" s="25" t="str">
        <f>IF(OR(E3079="",E3079="!!!",F3079="NEW"),"",INDEX(J$1:J3078,SUMPRODUCT(MAX(ROW(E$1:E3078)*(E3079=E$1:E3078)))))</f>
        <v> </v>
      </c>
      <c r="L3079" s="26"/>
    </row>
    <row r="3080" spans="1:12">
      <c r="A3080" s="20" t="s">
        <v>2543</v>
      </c>
      <c r="E3080" s="21">
        <f>IF(D3080="?OLD","!!!","")</f>
        <v/>
      </c>
      <c r="F3080" s="22" t="str">
        <f>IF(OR(E3080="",E3080="!!!"),"",IF(NOT(ISNA(VLOOKUP(E3080,E$1:E3079,1,FALSE()))),"OLD",IF(AND(E3080&lt;&gt;"",E3080&lt;&gt;"!!!"),"NEW","")))</f>
        <v> </v>
      </c>
      <c r="G3080" s="23" t="str">
        <f>IF(OR(E3080="",E3080="!!!"),"",IF(OR(J3080=0,AND(J3080=1,K3080=1),AND(J3080=1,I3080="SBJ"),AND(J3080=1,I3080=0)),"?IN_FOCUS",IF(J3080&lt;=2,"?ACTIVATED",IF(J3080&lt;&gt;"","?FAMILIAR",IF(F3080="NEW",IF(ISNA(VLOOKUP(E3080,#REF!,1,FALSE())),"?TYPE_IDENTIFIABLE","?REFERENTIAL"),"_")))))</f>
        <v> </v>
      </c>
      <c r="H3080" s="24" t="str">
        <f>IF(J3080&lt;&gt;1,"",IF(I3080="SBJ","CB","?"))</f>
        <v> </v>
      </c>
      <c r="I3080" s="25" t="str">
        <f>IF(OR(E3080="",E3080="!!!",F3080="NEW"),"",INDEX(B3079:B$2,-1+SUMPRODUCT(MAX(ROW(E3079:E$2)*(E3080=E3079:E$2)))))</f>
        <v> </v>
      </c>
      <c r="J3080" s="25" t="str">
        <f>IF(OR(E3080="",E3080="!!!",F3080="NEW"),"",COUNTBLANK(OFFSET(A$1,,,SUMPRODUCT(MAX(ROW(E$2:E3080)*(E3080=E$2:E3080)))))-COUNTBLANK(OFFSET(A$1,,,SUMPRODUCT(MAX(ROW(E$1:E3079)*(E2=E$1:E3079))))))</f>
        <v> </v>
      </c>
      <c r="K3080" s="25" t="str">
        <f>IF(OR(E3080="",E3080="!!!",F3080="NEW"),"",INDEX(J$1:J3079,SUMPRODUCT(MAX(ROW(E$1:E3079)*(E3080=E$1:E3079)))))</f>
        <v> </v>
      </c>
      <c r="L3080" s="26"/>
    </row>
    <row r="3081" spans="1:12">
      <c r="A3081" s="20" t="s">
        <v>1351</v>
      </c>
      <c r="E3081" s="21">
        <f>IF(D3081="?OLD","!!!","")</f>
        <v/>
      </c>
      <c r="F3081" s="22" t="str">
        <f>IF(OR(E3081="",E3081="!!!"),"",IF(NOT(ISNA(VLOOKUP(E3081,E$1:E3080,1,FALSE()))),"OLD",IF(AND(E3081&lt;&gt;"",E3081&lt;&gt;"!!!"),"NEW","")))</f>
        <v> </v>
      </c>
      <c r="G3081" s="23" t="str">
        <f>IF(OR(E3081="",E3081="!!!"),"",IF(OR(J3081=0,AND(J3081=1,K3081=1),AND(J3081=1,I3081="SBJ"),AND(J3081=1,I3081=0)),"?IN_FOCUS",IF(J3081&lt;=2,"?ACTIVATED",IF(J3081&lt;&gt;"","?FAMILIAR",IF(F3081="NEW",IF(ISNA(VLOOKUP(E3081,#REF!,1,FALSE())),"?TYPE_IDENTIFIABLE","?REFERENTIAL"),"_")))))</f>
        <v> </v>
      </c>
      <c r="H3081" s="24" t="str">
        <f>IF(J3081&lt;&gt;1,"",IF(I3081="SBJ","CB","?"))</f>
        <v> </v>
      </c>
      <c r="I3081" s="25" t="str">
        <f>IF(OR(E3081="",E3081="!!!",F3081="NEW"),"",INDEX(B3080:B$2,-1+SUMPRODUCT(MAX(ROW(E3080:E$2)*(E3081=E3080:E$2)))))</f>
        <v> </v>
      </c>
      <c r="J3081" s="25" t="str">
        <f>IF(OR(E3081="",E3081="!!!",F3081="NEW"),"",COUNTBLANK(OFFSET(A$1,,,SUMPRODUCT(MAX(ROW(E$2:E3081)*(E3081=E$2:E3081)))))-COUNTBLANK(OFFSET(A$1,,,SUMPRODUCT(MAX(ROW(E$1:E3080)*(E2=E$1:E3080))))))</f>
        <v> </v>
      </c>
      <c r="K3081" s="25" t="str">
        <f>IF(OR(E3081="",E3081="!!!",F3081="NEW"),"",INDEX(J$1:J3080,SUMPRODUCT(MAX(ROW(E$1:E3080)*(E3081=E$1:E3080)))))</f>
        <v> </v>
      </c>
      <c r="L3081" s="26"/>
    </row>
    <row r="3082" spans="1:12">
      <c r="A3082" s="20"/>
    </row>
    <row r="3083" spans="1:12">
      <c r="A3083" s="20" t="s">
        <v>2544</v>
      </c>
    </row>
    <row r="3084" spans="1:12">
      <c r="A3084" s="20" t="s">
        <v>2545</v>
      </c>
      <c r="B3084" s="27" t="s">
        <v>1149</v>
      </c>
      <c r="C3084" s="27" t="s">
        <v>1108</v>
      </c>
      <c r="D3084" s="27" t="s">
        <v>1105</v>
      </c>
      <c r="E3084" s="21">
        <f>IF(D3084="?OLD","!!!","")</f>
        <v/>
      </c>
      <c r="F3084" s="22" t="str">
        <f>IF(OR(E3084="",E3084="!!!"),"",IF(NOT(ISNA(VLOOKUP(E3084,E$1:E3083,1,FALSE()))),"OLD",IF(AND(E3084&lt;&gt;"",E3084&lt;&gt;"!!!"),"NEW","")))</f>
        <v> </v>
      </c>
      <c r="G3084" s="23" t="str">
        <f>IF(OR(E3084="",E3084="!!!"),"",IF(OR(J3084=0,AND(J3084=1,K3084=1),AND(J3084=1,I3084="SBJ"),AND(J3084=1,I3084=0)),"?IN_FOCUS",IF(J3084&lt;=2,"?ACTIVATED",IF(J3084&lt;&gt;"","?FAMILIAR",IF(F3084="NEW",IF(ISNA(VLOOKUP(E3084,#REF!,1,FALSE())),"?TYPE_IDENTIFIABLE","?REFERENTIAL"),"_")))))</f>
        <v> </v>
      </c>
      <c r="H3084" s="24" t="str">
        <f>IF(J3084&lt;&gt;1,"",IF(I3084="SBJ","CB","?"))</f>
        <v> </v>
      </c>
      <c r="I3084" s="25" t="str">
        <f>IF(OR(E3084="",E3084="!!!",F3084="NEW"),"",INDEX(B3083:B$2,-1+SUMPRODUCT(MAX(ROW(E3083:E$2)*(E3084=E3083:E$2)))))</f>
        <v> </v>
      </c>
      <c r="J3084" s="25" t="str">
        <f>IF(OR(E3084="",E3084="!!!",F3084="NEW"),"",COUNTBLANK(OFFSET(A$1,,,SUMPRODUCT(MAX(ROW(E$2:E3084)*(E3084=E$2:E3084)))))-COUNTBLANK(OFFSET(A$1,,,SUMPRODUCT(MAX(ROW(E$1:E3083)*(E2=E$1:E3083))))))</f>
        <v> </v>
      </c>
      <c r="K3084" s="25" t="str">
        <f>IF(OR(E3084="",E3084="!!!",F3084="NEW"),"",INDEX(J$1:J3083,SUMPRODUCT(MAX(ROW(E$1:E3083)*(E3084=E$1:E3083)))))</f>
        <v> </v>
      </c>
      <c r="L3084" s="26"/>
    </row>
    <row r="3085" spans="1:12">
      <c r="A3085" s="20" t="s">
        <v>1507</v>
      </c>
      <c r="B3085" s="27" t="s">
        <v>1107</v>
      </c>
      <c r="C3085" s="27" t="s">
        <v>1108</v>
      </c>
      <c r="D3085" s="27" t="s">
        <v>1105</v>
      </c>
      <c r="E3085" s="21">
        <f>IF(D3085="?OLD","!!!","")</f>
        <v/>
      </c>
      <c r="F3085" s="22" t="str">
        <f>IF(OR(E3085="",E3085="!!!"),"",IF(NOT(ISNA(VLOOKUP(E3085,E$1:E3084,1,FALSE()))),"OLD",IF(AND(E3085&lt;&gt;"",E3085&lt;&gt;"!!!"),"NEW","")))</f>
        <v> </v>
      </c>
      <c r="G3085" s="23" t="str">
        <f>IF(OR(E3085="",E3085="!!!"),"",IF(OR(J3085=0,AND(J3085=1,K3085=1),AND(J3085=1,I3085="SBJ"),AND(J3085=1,I3085=0)),"?IN_FOCUS",IF(J3085&lt;=2,"?ACTIVATED",IF(J3085&lt;&gt;"","?FAMILIAR",IF(F3085="NEW",IF(ISNA(VLOOKUP(E3085,#REF!,1,FALSE())),"?TYPE_IDENTIFIABLE","?REFERENTIAL"),"_")))))</f>
        <v> </v>
      </c>
      <c r="H3085" s="24" t="str">
        <f>IF(J3085&lt;&gt;1,"",IF(I3085="SBJ","CB","?"))</f>
        <v> </v>
      </c>
      <c r="I3085" s="25" t="str">
        <f>IF(OR(E3085="",E3085="!!!",F3085="NEW"),"",INDEX(B3084:B$2,-1+SUMPRODUCT(MAX(ROW(E3084:E$2)*(E3085=E3084:E$2)))))</f>
        <v> </v>
      </c>
      <c r="J3085" s="25" t="str">
        <f>IF(OR(E3085="",E3085="!!!",F3085="NEW"),"",COUNTBLANK(OFFSET(A$1,,,SUMPRODUCT(MAX(ROW(E$2:E3085)*(E3085=E$2:E3085)))))-COUNTBLANK(OFFSET(A$1,,,SUMPRODUCT(MAX(ROW(E$1:E3084)*(E2=E$1:E3084))))))</f>
        <v> </v>
      </c>
      <c r="K3085" s="25" t="str">
        <f>IF(OR(E3085="",E3085="!!!",F3085="NEW"),"",INDEX(J$1:J3084,SUMPRODUCT(MAX(ROW(E$1:E3084)*(E3085=E$1:E3084)))))</f>
        <v> </v>
      </c>
      <c r="L3085" s="26"/>
    </row>
    <row r="3086" spans="1:12">
      <c r="A3086" s="20" t="s">
        <v>2546</v>
      </c>
      <c r="E3086" s="21">
        <f>IF(D3086="?OLD","!!!","")</f>
        <v/>
      </c>
      <c r="F3086" s="22" t="str">
        <f>IF(OR(E3086="",E3086="!!!"),"",IF(NOT(ISNA(VLOOKUP(E3086,E$1:E3085,1,FALSE()))),"OLD",IF(AND(E3086&lt;&gt;"",E3086&lt;&gt;"!!!"),"NEW","")))</f>
        <v> </v>
      </c>
      <c r="G3086" s="23" t="str">
        <f>IF(OR(E3086="",E3086="!!!"),"",IF(OR(J3086=0,AND(J3086=1,K3086=1),AND(J3086=1,I3086="SBJ"),AND(J3086=1,I3086=0)),"?IN_FOCUS",IF(J3086&lt;=2,"?ACTIVATED",IF(J3086&lt;&gt;"","?FAMILIAR",IF(F3086="NEW",IF(ISNA(VLOOKUP(E3086,#REF!,1,FALSE())),"?TYPE_IDENTIFIABLE","?REFERENTIAL"),"_")))))</f>
        <v> </v>
      </c>
      <c r="H3086" s="24" t="str">
        <f>IF(J3086&lt;&gt;1,"",IF(I3086="SBJ","CB","?"))</f>
        <v> </v>
      </c>
      <c r="I3086" s="25" t="str">
        <f>IF(OR(E3086="",E3086="!!!",F3086="NEW"),"",INDEX(B3085:B$2,-1+SUMPRODUCT(MAX(ROW(E3085:E$2)*(E3086=E3085:E$2)))))</f>
        <v> </v>
      </c>
      <c r="J3086" s="25" t="str">
        <f>IF(OR(E3086="",E3086="!!!",F3086="NEW"),"",COUNTBLANK(OFFSET(A$1,,,SUMPRODUCT(MAX(ROW(E$2:E3086)*(E3086=E$2:E3086)))))-COUNTBLANK(OFFSET(A$1,,,SUMPRODUCT(MAX(ROW(E$1:E3085)*(E2=E$1:E3085))))))</f>
        <v> </v>
      </c>
      <c r="K3086" s="25" t="str">
        <f>IF(OR(E3086="",E3086="!!!",F3086="NEW"),"",INDEX(J$1:J3085,SUMPRODUCT(MAX(ROW(E$1:E3085)*(E3086=E$1:E3085)))))</f>
        <v> </v>
      </c>
      <c r="L3086" s="26"/>
    </row>
    <row r="3087" spans="1:12">
      <c r="A3087" s="20" t="s">
        <v>2019</v>
      </c>
      <c r="B3087" s="27" t="s">
        <v>1213</v>
      </c>
      <c r="E3087" s="21">
        <f>IF(D3087="?OLD","!!!","")</f>
        <v/>
      </c>
      <c r="F3087" s="22" t="str">
        <f>IF(OR(E3087="",E3087="!!!"),"",IF(NOT(ISNA(VLOOKUP(E3087,E$1:E3086,1,FALSE()))),"OLD",IF(AND(E3087&lt;&gt;"",E3087&lt;&gt;"!!!"),"NEW","")))</f>
        <v> </v>
      </c>
      <c r="G3087" s="23" t="str">
        <f>IF(OR(E3087="",E3087="!!!"),"",IF(OR(J3087=0,AND(J3087=1,K3087=1),AND(J3087=1,I3087="SBJ"),AND(J3087=1,I3087=0)),"?IN_FOCUS",IF(J3087&lt;=2,"?ACTIVATED",IF(J3087&lt;&gt;"","?FAMILIAR",IF(F3087="NEW",IF(ISNA(VLOOKUP(E3087,#REF!,1,FALSE())),"?TYPE_IDENTIFIABLE","?REFERENTIAL"),"_")))))</f>
        <v> </v>
      </c>
      <c r="H3087" s="24" t="str">
        <f>IF(J3087&lt;&gt;1,"",IF(I3087="SBJ","CB","?"))</f>
        <v> </v>
      </c>
      <c r="I3087" s="25" t="str">
        <f>IF(OR(E3087="",E3087="!!!",F3087="NEW"),"",INDEX(B3086:B$2,-1+SUMPRODUCT(MAX(ROW(E3086:E$2)*(E3087=E3086:E$2)))))</f>
        <v> </v>
      </c>
      <c r="J3087" s="25" t="str">
        <f>IF(OR(E3087="",E3087="!!!",F3087="NEW"),"",COUNTBLANK(OFFSET(A$1,,,SUMPRODUCT(MAX(ROW(E$2:E3087)*(E3087=E$2:E3087)))))-COUNTBLANK(OFFSET(A$1,,,SUMPRODUCT(MAX(ROW(E$1:E3086)*(E2=E$1:E3086))))))</f>
        <v> </v>
      </c>
      <c r="K3087" s="25" t="str">
        <f>IF(OR(E3087="",E3087="!!!",F3087="NEW"),"",INDEX(J$1:J3086,SUMPRODUCT(MAX(ROW(E$1:E3086)*(E3087=E$1:E3086)))))</f>
        <v> </v>
      </c>
      <c r="L3087" s="26"/>
    </row>
    <row r="3088" spans="1:12">
      <c r="A3088" s="20" t="s">
        <v>1145</v>
      </c>
      <c r="E3088" s="21">
        <f>IF(D3088="?OLD","!!!","")</f>
        <v/>
      </c>
      <c r="F3088" s="22" t="str">
        <f>IF(OR(E3088="",E3088="!!!"),"",IF(NOT(ISNA(VLOOKUP(E3088,E$1:E3087,1,FALSE()))),"OLD",IF(AND(E3088&lt;&gt;"",E3088&lt;&gt;"!!!"),"NEW","")))</f>
        <v> </v>
      </c>
      <c r="G3088" s="23" t="str">
        <f>IF(OR(E3088="",E3088="!!!"),"",IF(OR(J3088=0,AND(J3088=1,K3088=1),AND(J3088=1,I3088="SBJ"),AND(J3088=1,I3088=0)),"?IN_FOCUS",IF(J3088&lt;=2,"?ACTIVATED",IF(J3088&lt;&gt;"","?FAMILIAR",IF(F3088="NEW",IF(ISNA(VLOOKUP(E3088,#REF!,1,FALSE())),"?TYPE_IDENTIFIABLE","?REFERENTIAL"),"_")))))</f>
        <v> </v>
      </c>
      <c r="H3088" s="24" t="str">
        <f>IF(J3088&lt;&gt;1,"",IF(I3088="SBJ","CB","?"))</f>
        <v> </v>
      </c>
      <c r="I3088" s="25" t="str">
        <f>IF(OR(E3088="",E3088="!!!",F3088="NEW"),"",INDEX(B3087:B$2,-1+SUMPRODUCT(MAX(ROW(E3087:E$2)*(E3088=E3087:E$2)))))</f>
        <v> </v>
      </c>
      <c r="J3088" s="25" t="str">
        <f>IF(OR(E3088="",E3088="!!!",F3088="NEW"),"",COUNTBLANK(OFFSET(A$1,,,SUMPRODUCT(MAX(ROW(E$2:E3088)*(E3088=E$2:E3088)))))-COUNTBLANK(OFFSET(A$1,,,SUMPRODUCT(MAX(ROW(E$1:E3087)*(E2=E$1:E3087))))))</f>
        <v> </v>
      </c>
      <c r="K3088" s="25" t="str">
        <f>IF(OR(E3088="",E3088="!!!",F3088="NEW"),"",INDEX(J$1:J3087,SUMPRODUCT(MAX(ROW(E$1:E3087)*(E3088=E$1:E3087)))))</f>
        <v> </v>
      </c>
      <c r="L3088" s="26"/>
    </row>
    <row r="3089" spans="1:12">
      <c r="A3089" s="20"/>
    </row>
    <row r="3090" spans="1:12">
      <c r="A3090" s="20" t="s">
        <v>2547</v>
      </c>
    </row>
    <row r="3091" spans="1:12">
      <c r="A3091" s="20" t="s">
        <v>1111</v>
      </c>
      <c r="E3091" s="21">
        <f>IF(D3091="?OLD","!!!","")</f>
        <v/>
      </c>
      <c r="F3091" s="22" t="str">
        <f>IF(OR(E3091="",E3091="!!!"),"",IF(NOT(ISNA(VLOOKUP(E3091,E$1:E3090,1,FALSE()))),"OLD",IF(AND(E3091&lt;&gt;"",E3091&lt;&gt;"!!!"),"NEW","")))</f>
        <v> </v>
      </c>
      <c r="G3091" s="23" t="str">
        <f>IF(OR(E3091="",E3091="!!!"),"",IF(OR(J3091=0,AND(J3091=1,K3091=1),AND(J3091=1,I3091="SBJ"),AND(J3091=1,I3091=0)),"?IN_FOCUS",IF(J3091&lt;=2,"?ACTIVATED",IF(J3091&lt;&gt;"","?FAMILIAR",IF(F3091="NEW",IF(ISNA(VLOOKUP(E3091,#REF!,1,FALSE())),"?TYPE_IDENTIFIABLE","?REFERENTIAL"),"_")))))</f>
        <v> </v>
      </c>
      <c r="H3091" s="24" t="str">
        <f>IF(J3091&lt;&gt;1,"",IF(I3091="SBJ","CB","?"))</f>
        <v> </v>
      </c>
      <c r="I3091" s="25" t="str">
        <f>IF(OR(E3091="",E3091="!!!",F3091="NEW"),"",INDEX(B3090:B$2,-1+SUMPRODUCT(MAX(ROW(E3090:E$2)*(E3091=E3090:E$2)))))</f>
        <v> </v>
      </c>
      <c r="J3091" s="25" t="str">
        <f>IF(OR(E3091="",E3091="!!!",F3091="NEW"),"",COUNTBLANK(OFFSET(A$1,,,SUMPRODUCT(MAX(ROW(E$2:E3091)*(E3091=E$2:E3091)))))-COUNTBLANK(OFFSET(A$1,,,SUMPRODUCT(MAX(ROW(E$1:E3090)*(E2=E$1:E3090))))))</f>
        <v> </v>
      </c>
      <c r="K3091" s="25" t="str">
        <f>IF(OR(E3091="",E3091="!!!",F3091="NEW"),"",INDEX(J$1:J3090,SUMPRODUCT(MAX(ROW(E$1:E3090)*(E3091=E$1:E3090)))))</f>
        <v> </v>
      </c>
      <c r="L3091" s="26"/>
    </row>
    <row r="3092" spans="1:12">
      <c r="A3092" s="20" t="s">
        <v>1633</v>
      </c>
      <c r="B3092" s="27" t="s">
        <v>1149</v>
      </c>
      <c r="C3092" s="27" t="s">
        <v>1126</v>
      </c>
      <c r="D3092" s="27" t="s">
        <v>1105</v>
      </c>
      <c r="E3092" s="21">
        <f>IF(D3092="?OLD","!!!","")</f>
        <v/>
      </c>
      <c r="F3092" s="22" t="str">
        <f>IF(OR(E3092="",E3092="!!!"),"",IF(NOT(ISNA(VLOOKUP(E3092,E$1:E3091,1,FALSE()))),"OLD",IF(AND(E3092&lt;&gt;"",E3092&lt;&gt;"!!!"),"NEW","")))</f>
        <v> </v>
      </c>
      <c r="G3092" s="23" t="str">
        <f>IF(OR(E3092="",E3092="!!!"),"",IF(OR(J3092=0,AND(J3092=1,K3092=1),AND(J3092=1,I3092="SBJ"),AND(J3092=1,I3092=0)),"?IN_FOCUS",IF(J3092&lt;=2,"?ACTIVATED",IF(J3092&lt;&gt;"","?FAMILIAR",IF(F3092="NEW",IF(ISNA(VLOOKUP(E3092,#REF!,1,FALSE())),"?TYPE_IDENTIFIABLE","?REFERENTIAL"),"_")))))</f>
        <v> </v>
      </c>
      <c r="H3092" s="24" t="str">
        <f>IF(J3092&lt;&gt;1,"",IF(I3092="SBJ","CB","?"))</f>
        <v> </v>
      </c>
      <c r="I3092" s="25" t="str">
        <f>IF(OR(E3092="",E3092="!!!",F3092="NEW"),"",INDEX(B3091:B$2,-1+SUMPRODUCT(MAX(ROW(E3091:E$2)*(E3092=E3091:E$2)))))</f>
        <v> </v>
      </c>
      <c r="J3092" s="25" t="str">
        <f>IF(OR(E3092="",E3092="!!!",F3092="NEW"),"",COUNTBLANK(OFFSET(A$1,,,SUMPRODUCT(MAX(ROW(E$2:E3092)*(E3092=E$2:E3092)))))-COUNTBLANK(OFFSET(A$1,,,SUMPRODUCT(MAX(ROW(E$1:E3091)*(E2=E$1:E3091))))))</f>
        <v> </v>
      </c>
      <c r="K3092" s="25" t="str">
        <f>IF(OR(E3092="",E3092="!!!",F3092="NEW"),"",INDEX(J$1:J3091,SUMPRODUCT(MAX(ROW(E$1:E3091)*(E3092=E$1:E3091)))))</f>
        <v> </v>
      </c>
      <c r="L3092" s="26"/>
    </row>
    <row r="3093" spans="1:12">
      <c r="A3093" s="20" t="s">
        <v>2548</v>
      </c>
      <c r="E3093" s="21">
        <f>IF(D3093="?OLD","!!!","")</f>
        <v/>
      </c>
      <c r="F3093" s="22" t="str">
        <f>IF(OR(E3093="",E3093="!!!"),"",IF(NOT(ISNA(VLOOKUP(E3093,E$1:E3092,1,FALSE()))),"OLD",IF(AND(E3093&lt;&gt;"",E3093&lt;&gt;"!!!"),"NEW","")))</f>
        <v> </v>
      </c>
      <c r="G3093" s="23" t="str">
        <f>IF(OR(E3093="",E3093="!!!"),"",IF(OR(J3093=0,AND(J3093=1,K3093=1),AND(J3093=1,I3093="SBJ"),AND(J3093=1,I3093=0)),"?IN_FOCUS",IF(J3093&lt;=2,"?ACTIVATED",IF(J3093&lt;&gt;"","?FAMILIAR",IF(F3093="NEW",IF(ISNA(VLOOKUP(E3093,#REF!,1,FALSE())),"?TYPE_IDENTIFIABLE","?REFERENTIAL"),"_")))))</f>
        <v> </v>
      </c>
      <c r="H3093" s="24" t="str">
        <f>IF(J3093&lt;&gt;1,"",IF(I3093="SBJ","CB","?"))</f>
        <v> </v>
      </c>
      <c r="I3093" s="25" t="str">
        <f>IF(OR(E3093="",E3093="!!!",F3093="NEW"),"",INDEX(B3092:B$2,-1+SUMPRODUCT(MAX(ROW(E3092:E$2)*(E3093=E3092:E$2)))))</f>
        <v> </v>
      </c>
      <c r="J3093" s="25" t="str">
        <f>IF(OR(E3093="",E3093="!!!",F3093="NEW"),"",COUNTBLANK(OFFSET(A$1,,,SUMPRODUCT(MAX(ROW(E$2:E3093)*(E3093=E$2:E3093)))))-COUNTBLANK(OFFSET(A$1,,,SUMPRODUCT(MAX(ROW(E$1:E3092)*(E2=E$1:E3092))))))</f>
        <v> </v>
      </c>
      <c r="K3093" s="25" t="str">
        <f>IF(OR(E3093="",E3093="!!!",F3093="NEW"),"",INDEX(J$1:J3092,SUMPRODUCT(MAX(ROW(E$1:E3092)*(E3093=E$1:E3092)))))</f>
        <v> </v>
      </c>
      <c r="L3093" s="26"/>
    </row>
    <row r="3094" spans="1:12">
      <c r="A3094" s="20" t="s">
        <v>1334</v>
      </c>
      <c r="E3094" s="21">
        <f>IF(D3094="?OLD","!!!","")</f>
        <v/>
      </c>
      <c r="F3094" s="22" t="str">
        <f>IF(OR(E3094="",E3094="!!!"),"",IF(NOT(ISNA(VLOOKUP(E3094,E$1:E3093,1,FALSE()))),"OLD",IF(AND(E3094&lt;&gt;"",E3094&lt;&gt;"!!!"),"NEW","")))</f>
        <v> </v>
      </c>
      <c r="G3094" s="23" t="str">
        <f>IF(OR(E3094="",E3094="!!!"),"",IF(OR(J3094=0,AND(J3094=1,K3094=1),AND(J3094=1,I3094="SBJ"),AND(J3094=1,I3094=0)),"?IN_FOCUS",IF(J3094&lt;=2,"?ACTIVATED",IF(J3094&lt;&gt;"","?FAMILIAR",IF(F3094="NEW",IF(ISNA(VLOOKUP(E3094,#REF!,1,FALSE())),"?TYPE_IDENTIFIABLE","?REFERENTIAL"),"_")))))</f>
        <v> </v>
      </c>
      <c r="H3094" s="24" t="str">
        <f>IF(J3094&lt;&gt;1,"",IF(I3094="SBJ","CB","?"))</f>
        <v> </v>
      </c>
      <c r="I3094" s="25" t="str">
        <f>IF(OR(E3094="",E3094="!!!",F3094="NEW"),"",INDEX(B3093:B$2,-1+SUMPRODUCT(MAX(ROW(E3093:E$2)*(E3094=E3093:E$2)))))</f>
        <v> </v>
      </c>
      <c r="J3094" s="25" t="str">
        <f>IF(OR(E3094="",E3094="!!!",F3094="NEW"),"",COUNTBLANK(OFFSET(A$1,,,SUMPRODUCT(MAX(ROW(E$2:E3094)*(E3094=E$2:E3094)))))-COUNTBLANK(OFFSET(A$1,,,SUMPRODUCT(MAX(ROW(E$1:E3093)*(E2=E$1:E3093))))))</f>
        <v> </v>
      </c>
      <c r="K3094" s="25" t="str">
        <f>IF(OR(E3094="",E3094="!!!",F3094="NEW"),"",INDEX(J$1:J3093,SUMPRODUCT(MAX(ROW(E$1:E3093)*(E3094=E$1:E3093)))))</f>
        <v> </v>
      </c>
      <c r="L3094" s="26"/>
    </row>
    <row r="3095" spans="1:12">
      <c r="A3095" s="20" t="s">
        <v>1111</v>
      </c>
      <c r="E3095" s="21">
        <f>IF(D3095="?OLD","!!!","")</f>
        <v/>
      </c>
      <c r="F3095" s="22" t="str">
        <f>IF(OR(E3095="",E3095="!!!"),"",IF(NOT(ISNA(VLOOKUP(E3095,E$1:E3094,1,FALSE()))),"OLD",IF(AND(E3095&lt;&gt;"",E3095&lt;&gt;"!!!"),"NEW","")))</f>
        <v> </v>
      </c>
      <c r="G3095" s="23" t="str">
        <f>IF(OR(E3095="",E3095="!!!"),"",IF(OR(J3095=0,AND(J3095=1,K3095=1),AND(J3095=1,I3095="SBJ"),AND(J3095=1,I3095=0)),"?IN_FOCUS",IF(J3095&lt;=2,"?ACTIVATED",IF(J3095&lt;&gt;"","?FAMILIAR",IF(F3095="NEW",IF(ISNA(VLOOKUP(E3095,#REF!,1,FALSE())),"?TYPE_IDENTIFIABLE","?REFERENTIAL"),"_")))))</f>
        <v> </v>
      </c>
      <c r="H3095" s="24" t="str">
        <f>IF(J3095&lt;&gt;1,"",IF(I3095="SBJ","CB","?"))</f>
        <v> </v>
      </c>
      <c r="I3095" s="25" t="str">
        <f>IF(OR(E3095="",E3095="!!!",F3095="NEW"),"",INDEX(B3094:B$2,-1+SUMPRODUCT(MAX(ROW(E3094:E$2)*(E3095=E3094:E$2)))))</f>
        <v> </v>
      </c>
      <c r="J3095" s="25" t="str">
        <f>IF(OR(E3095="",E3095="!!!",F3095="NEW"),"",COUNTBLANK(OFFSET(A$1,,,SUMPRODUCT(MAX(ROW(E$2:E3095)*(E3095=E$2:E3095)))))-COUNTBLANK(OFFSET(A$1,,,SUMPRODUCT(MAX(ROW(E$1:E3094)*(E2=E$1:E3094))))))</f>
        <v> </v>
      </c>
      <c r="K3095" s="25" t="str">
        <f>IF(OR(E3095="",E3095="!!!",F3095="NEW"),"",INDEX(J$1:J3094,SUMPRODUCT(MAX(ROW(E$1:E3094)*(E3095=E$1:E3094)))))</f>
        <v> </v>
      </c>
      <c r="L3095" s="26"/>
    </row>
    <row r="3096" spans="1:12">
      <c r="A3096" s="20" t="s">
        <v>2549</v>
      </c>
      <c r="E3096" s="21">
        <f>IF(D3096="?OLD","!!!","")</f>
        <v/>
      </c>
      <c r="F3096" s="22" t="str">
        <f>IF(OR(E3096="",E3096="!!!"),"",IF(NOT(ISNA(VLOOKUP(E3096,E$1:E3095,1,FALSE()))),"OLD",IF(AND(E3096&lt;&gt;"",E3096&lt;&gt;"!!!"),"NEW","")))</f>
        <v> </v>
      </c>
      <c r="G3096" s="23" t="str">
        <f>IF(OR(E3096="",E3096="!!!"),"",IF(OR(J3096=0,AND(J3096=1,K3096=1),AND(J3096=1,I3096="SBJ"),AND(J3096=1,I3096=0)),"?IN_FOCUS",IF(J3096&lt;=2,"?ACTIVATED",IF(J3096&lt;&gt;"","?FAMILIAR",IF(F3096="NEW",IF(ISNA(VLOOKUP(E3096,#REF!,1,FALSE())),"?TYPE_IDENTIFIABLE","?REFERENTIAL"),"_")))))</f>
        <v> </v>
      </c>
      <c r="H3096" s="24" t="str">
        <f>IF(J3096&lt;&gt;1,"",IF(I3096="SBJ","CB","?"))</f>
        <v> </v>
      </c>
      <c r="I3096" s="25" t="str">
        <f>IF(OR(E3096="",E3096="!!!",F3096="NEW"),"",INDEX(B3095:B$2,-1+SUMPRODUCT(MAX(ROW(E3095:E$2)*(E3096=E3095:E$2)))))</f>
        <v> </v>
      </c>
      <c r="J3096" s="25" t="str">
        <f>IF(OR(E3096="",E3096="!!!",F3096="NEW"),"",COUNTBLANK(OFFSET(A$1,,,SUMPRODUCT(MAX(ROW(E$2:E3096)*(E3096=E$2:E3096)))))-COUNTBLANK(OFFSET(A$1,,,SUMPRODUCT(MAX(ROW(E$1:E3095)*(E2=E$1:E3095))))))</f>
        <v> </v>
      </c>
      <c r="K3096" s="25" t="str">
        <f>IF(OR(E3096="",E3096="!!!",F3096="NEW"),"",INDEX(J$1:J3095,SUMPRODUCT(MAX(ROW(E$1:E3095)*(E3096=E$1:E3095)))))</f>
        <v> </v>
      </c>
      <c r="L3096" s="26"/>
    </row>
    <row r="3097" spans="1:12">
      <c r="A3097" s="20" t="s">
        <v>1617</v>
      </c>
      <c r="B3097" s="27" t="s">
        <v>1122</v>
      </c>
      <c r="C3097" s="27" t="s">
        <v>1126</v>
      </c>
      <c r="D3097" s="27" t="s">
        <v>1105</v>
      </c>
      <c r="E3097" s="21">
        <f>IF(D3097="?OLD","!!!","")</f>
        <v/>
      </c>
      <c r="F3097" s="22" t="str">
        <f>IF(OR(E3097="",E3097="!!!"),"",IF(NOT(ISNA(VLOOKUP(E3097,E$1:E3096,1,FALSE()))),"OLD",IF(AND(E3097&lt;&gt;"",E3097&lt;&gt;"!!!"),"NEW","")))</f>
        <v> </v>
      </c>
      <c r="G3097" s="23" t="str">
        <f>IF(OR(E3097="",E3097="!!!"),"",IF(OR(J3097=0,AND(J3097=1,K3097=1),AND(J3097=1,I3097="SBJ"),AND(J3097=1,I3097=0)),"?IN_FOCUS",IF(J3097&lt;=2,"?ACTIVATED",IF(J3097&lt;&gt;"","?FAMILIAR",IF(F3097="NEW",IF(ISNA(VLOOKUP(E3097,#REF!,1,FALSE())),"?TYPE_IDENTIFIABLE","?REFERENTIAL"),"_")))))</f>
        <v> </v>
      </c>
      <c r="H3097" s="24" t="str">
        <f>IF(J3097&lt;&gt;1,"",IF(I3097="SBJ","CB","?"))</f>
        <v> </v>
      </c>
      <c r="I3097" s="25" t="str">
        <f>IF(OR(E3097="",E3097="!!!",F3097="NEW"),"",INDEX(B3096:B$2,-1+SUMPRODUCT(MAX(ROW(E3096:E$2)*(E3097=E3096:E$2)))))</f>
        <v> </v>
      </c>
      <c r="J3097" s="25" t="str">
        <f>IF(OR(E3097="",E3097="!!!",F3097="NEW"),"",COUNTBLANK(OFFSET(A$1,,,SUMPRODUCT(MAX(ROW(E$2:E3097)*(E3097=E$2:E3097)))))-COUNTBLANK(OFFSET(A$1,,,SUMPRODUCT(MAX(ROW(E$1:E3096)*(E2=E$1:E3096))))))</f>
        <v> </v>
      </c>
      <c r="K3097" s="25" t="str">
        <f>IF(OR(E3097="",E3097="!!!",F3097="NEW"),"",INDEX(J$1:J3096,SUMPRODUCT(MAX(ROW(E$1:E3096)*(E3097=E$1:E3096)))))</f>
        <v> </v>
      </c>
      <c r="L3097" s="26"/>
    </row>
    <row r="3098" spans="1:12">
      <c r="A3098" s="20" t="s">
        <v>1145</v>
      </c>
      <c r="E3098" s="21">
        <f>IF(D3098="?OLD","!!!","")</f>
        <v/>
      </c>
      <c r="F3098" s="22" t="str">
        <f>IF(OR(E3098="",E3098="!!!"),"",IF(NOT(ISNA(VLOOKUP(E3098,E$1:E3097,1,FALSE()))),"OLD",IF(AND(E3098&lt;&gt;"",E3098&lt;&gt;"!!!"),"NEW","")))</f>
        <v> </v>
      </c>
      <c r="G3098" s="23" t="str">
        <f>IF(OR(E3098="",E3098="!!!"),"",IF(OR(J3098=0,AND(J3098=1,K3098=1),AND(J3098=1,I3098="SBJ"),AND(J3098=1,I3098=0)),"?IN_FOCUS",IF(J3098&lt;=2,"?ACTIVATED",IF(J3098&lt;&gt;"","?FAMILIAR",IF(F3098="NEW",IF(ISNA(VLOOKUP(E3098,#REF!,1,FALSE())),"?TYPE_IDENTIFIABLE","?REFERENTIAL"),"_")))))</f>
        <v> </v>
      </c>
      <c r="H3098" s="24" t="str">
        <f>IF(J3098&lt;&gt;1,"",IF(I3098="SBJ","CB","?"))</f>
        <v> </v>
      </c>
      <c r="I3098" s="25" t="str">
        <f>IF(OR(E3098="",E3098="!!!",F3098="NEW"),"",INDEX(B3097:B$2,-1+SUMPRODUCT(MAX(ROW(E3097:E$2)*(E3098=E3097:E$2)))))</f>
        <v> </v>
      </c>
      <c r="J3098" s="25" t="str">
        <f>IF(OR(E3098="",E3098="!!!",F3098="NEW"),"",COUNTBLANK(OFFSET(A$1,,,SUMPRODUCT(MAX(ROW(E$2:E3098)*(E3098=E$2:E3098)))))-COUNTBLANK(OFFSET(A$1,,,SUMPRODUCT(MAX(ROW(E$1:E3097)*(E2=E$1:E3097))))))</f>
        <v> </v>
      </c>
      <c r="K3098" s="25" t="str">
        <f>IF(OR(E3098="",E3098="!!!",F3098="NEW"),"",INDEX(J$1:J3097,SUMPRODUCT(MAX(ROW(E$1:E3097)*(E3098=E$1:E3097)))))</f>
        <v> </v>
      </c>
      <c r="L3098" s="26"/>
    </row>
    <row r="3099" spans="1:12">
      <c r="A3099" s="20"/>
    </row>
    <row r="3100" spans="1:12">
      <c r="A3100" s="20" t="s">
        <v>2550</v>
      </c>
    </row>
    <row r="3101" spans="1:12">
      <c r="A3101" s="20" t="s">
        <v>1111</v>
      </c>
      <c r="E3101" s="21">
        <f>IF(D3101="?OLD","!!!","")</f>
        <v/>
      </c>
      <c r="F3101" s="22" t="str">
        <f>IF(OR(E3101="",E3101="!!!"),"",IF(NOT(ISNA(VLOOKUP(E3101,E$1:E3100,1,FALSE()))),"OLD",IF(AND(E3101&lt;&gt;"",E3101&lt;&gt;"!!!"),"NEW","")))</f>
        <v> </v>
      </c>
      <c r="G3101" s="23" t="str">
        <f>IF(OR(E3101="",E3101="!!!"),"",IF(OR(J3101=0,AND(J3101=1,K3101=1),AND(J3101=1,I3101="SBJ"),AND(J3101=1,I3101=0)),"?IN_FOCUS",IF(J3101&lt;=2,"?ACTIVATED",IF(J3101&lt;&gt;"","?FAMILIAR",IF(F3101="NEW",IF(ISNA(VLOOKUP(E3101,#REF!,1,FALSE())),"?TYPE_IDENTIFIABLE","?REFERENTIAL"),"_")))))</f>
        <v> </v>
      </c>
      <c r="H3101" s="24" t="str">
        <f>IF(J3101&lt;&gt;1,"",IF(I3101="SBJ","CB","?"))</f>
        <v> </v>
      </c>
      <c r="I3101" s="25" t="str">
        <f>IF(OR(E3101="",E3101="!!!",F3101="NEW"),"",INDEX(B3100:B$2,-1+SUMPRODUCT(MAX(ROW(E3100:E$2)*(E3101=E3100:E$2)))))</f>
        <v> </v>
      </c>
      <c r="J3101" s="25" t="str">
        <f>IF(OR(E3101="",E3101="!!!",F3101="NEW"),"",COUNTBLANK(OFFSET(A$1,,,SUMPRODUCT(MAX(ROW(E$2:E3101)*(E3101=E$2:E3101)))))-COUNTBLANK(OFFSET(A$1,,,SUMPRODUCT(MAX(ROW(E$1:E3100)*(E2=E$1:E3100))))))</f>
        <v> </v>
      </c>
      <c r="K3101" s="25" t="str">
        <f>IF(OR(E3101="",E3101="!!!",F3101="NEW"),"",INDEX(J$1:J3100,SUMPRODUCT(MAX(ROW(E$1:E3100)*(E3101=E$1:E3100)))))</f>
        <v> </v>
      </c>
      <c r="L3101" s="26"/>
    </row>
    <row r="3102" spans="1:12">
      <c r="A3102" s="20" t="s">
        <v>1633</v>
      </c>
      <c r="B3102" s="27" t="s">
        <v>1149</v>
      </c>
      <c r="C3102" s="27" t="s">
        <v>1126</v>
      </c>
      <c r="D3102" s="27" t="s">
        <v>1105</v>
      </c>
      <c r="E3102" s="21">
        <f>IF(D3102="?OLD","!!!","")</f>
        <v/>
      </c>
      <c r="F3102" s="22" t="str">
        <f>IF(OR(E3102="",E3102="!!!"),"",IF(NOT(ISNA(VLOOKUP(E3102,E$1:E3101,1,FALSE()))),"OLD",IF(AND(E3102&lt;&gt;"",E3102&lt;&gt;"!!!"),"NEW","")))</f>
        <v> </v>
      </c>
      <c r="G3102" s="23" t="str">
        <f>IF(OR(E3102="",E3102="!!!"),"",IF(OR(J3102=0,AND(J3102=1,K3102=1),AND(J3102=1,I3102="SBJ"),AND(J3102=1,I3102=0)),"?IN_FOCUS",IF(J3102&lt;=2,"?ACTIVATED",IF(J3102&lt;&gt;"","?FAMILIAR",IF(F3102="NEW",IF(ISNA(VLOOKUP(E3102,#REF!,1,FALSE())),"?TYPE_IDENTIFIABLE","?REFERENTIAL"),"_")))))</f>
        <v> </v>
      </c>
      <c r="H3102" s="24" t="str">
        <f>IF(J3102&lt;&gt;1,"",IF(I3102="SBJ","CB","?"))</f>
        <v> </v>
      </c>
      <c r="I3102" s="25" t="str">
        <f>IF(OR(E3102="",E3102="!!!",F3102="NEW"),"",INDEX(B3101:B$2,-1+SUMPRODUCT(MAX(ROW(E3101:E$2)*(E3102=E3101:E$2)))))</f>
        <v> </v>
      </c>
      <c r="J3102" s="25" t="str">
        <f>IF(OR(E3102="",E3102="!!!",F3102="NEW"),"",COUNTBLANK(OFFSET(A$1,,,SUMPRODUCT(MAX(ROW(E$2:E3102)*(E3102=E$2:E3102)))))-COUNTBLANK(OFFSET(A$1,,,SUMPRODUCT(MAX(ROW(E$1:E3101)*(E2=E$1:E3101))))))</f>
        <v> </v>
      </c>
      <c r="K3102" s="25" t="str">
        <f>IF(OR(E3102="",E3102="!!!",F3102="NEW"),"",INDEX(J$1:J3101,SUMPRODUCT(MAX(ROW(E$1:E3101)*(E3102=E$1:E3101)))))</f>
        <v> </v>
      </c>
      <c r="L3102" s="26"/>
    </row>
    <row r="3103" spans="1:12">
      <c r="A3103" s="20" t="s">
        <v>2551</v>
      </c>
      <c r="E3103" s="21">
        <f>IF(D3103="?OLD","!!!","")</f>
        <v/>
      </c>
      <c r="F3103" s="22" t="str">
        <f>IF(OR(E3103="",E3103="!!!"),"",IF(NOT(ISNA(VLOOKUP(E3103,E$1:E3102,1,FALSE()))),"OLD",IF(AND(E3103&lt;&gt;"",E3103&lt;&gt;"!!!"),"NEW","")))</f>
        <v> </v>
      </c>
      <c r="G3103" s="23" t="str">
        <f>IF(OR(E3103="",E3103="!!!"),"",IF(OR(J3103=0,AND(J3103=1,K3103=1),AND(J3103=1,I3103="SBJ"),AND(J3103=1,I3103=0)),"?IN_FOCUS",IF(J3103&lt;=2,"?ACTIVATED",IF(J3103&lt;&gt;"","?FAMILIAR",IF(F3103="NEW",IF(ISNA(VLOOKUP(E3103,#REF!,1,FALSE())),"?TYPE_IDENTIFIABLE","?REFERENTIAL"),"_")))))</f>
        <v> </v>
      </c>
      <c r="H3103" s="24" t="str">
        <f>IF(J3103&lt;&gt;1,"",IF(I3103="SBJ","CB","?"))</f>
        <v> </v>
      </c>
      <c r="I3103" s="25" t="str">
        <f>IF(OR(E3103="",E3103="!!!",F3103="NEW"),"",INDEX(B3102:B$2,-1+SUMPRODUCT(MAX(ROW(E3102:E$2)*(E3103=E3102:E$2)))))</f>
        <v> </v>
      </c>
      <c r="J3103" s="25" t="str">
        <f>IF(OR(E3103="",E3103="!!!",F3103="NEW"),"",COUNTBLANK(OFFSET(A$1,,,SUMPRODUCT(MAX(ROW(E$2:E3103)*(E3103=E$2:E3103)))))-COUNTBLANK(OFFSET(A$1,,,SUMPRODUCT(MAX(ROW(E$1:E3102)*(E2=E$1:E3102))))))</f>
        <v> </v>
      </c>
      <c r="K3103" s="25" t="str">
        <f>IF(OR(E3103="",E3103="!!!",F3103="NEW"),"",INDEX(J$1:J3102,SUMPRODUCT(MAX(ROW(E$1:E3102)*(E3103=E$1:E3102)))))</f>
        <v> </v>
      </c>
      <c r="L3103" s="26"/>
    </row>
    <row r="3104" spans="1:12">
      <c r="A3104" s="20" t="s">
        <v>1334</v>
      </c>
      <c r="E3104" s="21">
        <f>IF(D3104="?OLD","!!!","")</f>
        <v/>
      </c>
      <c r="F3104" s="22" t="str">
        <f>IF(OR(E3104="",E3104="!!!"),"",IF(NOT(ISNA(VLOOKUP(E3104,E$1:E3103,1,FALSE()))),"OLD",IF(AND(E3104&lt;&gt;"",E3104&lt;&gt;"!!!"),"NEW","")))</f>
        <v> </v>
      </c>
      <c r="G3104" s="23" t="str">
        <f>IF(OR(E3104="",E3104="!!!"),"",IF(OR(J3104=0,AND(J3104=1,K3104=1),AND(J3104=1,I3104="SBJ"),AND(J3104=1,I3104=0)),"?IN_FOCUS",IF(J3104&lt;=2,"?ACTIVATED",IF(J3104&lt;&gt;"","?FAMILIAR",IF(F3104="NEW",IF(ISNA(VLOOKUP(E3104,#REF!,1,FALSE())),"?TYPE_IDENTIFIABLE","?REFERENTIAL"),"_")))))</f>
        <v> </v>
      </c>
      <c r="H3104" s="24" t="str">
        <f>IF(J3104&lt;&gt;1,"",IF(I3104="SBJ","CB","?"))</f>
        <v> </v>
      </c>
      <c r="I3104" s="25" t="str">
        <f>IF(OR(E3104="",E3104="!!!",F3104="NEW"),"",INDEX(B3103:B$2,-1+SUMPRODUCT(MAX(ROW(E3103:E$2)*(E3104=E3103:E$2)))))</f>
        <v> </v>
      </c>
      <c r="J3104" s="25" t="str">
        <f>IF(OR(E3104="",E3104="!!!",F3104="NEW"),"",COUNTBLANK(OFFSET(A$1,,,SUMPRODUCT(MAX(ROW(E$2:E3104)*(E3104=E$2:E3104)))))-COUNTBLANK(OFFSET(A$1,,,SUMPRODUCT(MAX(ROW(E$1:E3103)*(E2=E$1:E3103))))))</f>
        <v> </v>
      </c>
      <c r="K3104" s="25" t="str">
        <f>IF(OR(E3104="",E3104="!!!",F3104="NEW"),"",INDEX(J$1:J3103,SUMPRODUCT(MAX(ROW(E$1:E3103)*(E3104=E$1:E3103)))))</f>
        <v> </v>
      </c>
      <c r="L3104" s="26"/>
    </row>
    <row r="3105" spans="1:12">
      <c r="A3105" s="20"/>
    </row>
    <row r="3106" spans="1:12">
      <c r="A3106" s="20" t="s">
        <v>2552</v>
      </c>
    </row>
    <row r="3107" spans="1:12">
      <c r="A3107" s="20" t="s">
        <v>1111</v>
      </c>
      <c r="E3107" s="21">
        <f>IF(D3107="?OLD","!!!","")</f>
        <v/>
      </c>
      <c r="F3107" s="22" t="str">
        <f>IF(OR(E3107="",E3107="!!!"),"",IF(NOT(ISNA(VLOOKUP(E3107,E$1:E3106,1,FALSE()))),"OLD",IF(AND(E3107&lt;&gt;"",E3107&lt;&gt;"!!!"),"NEW","")))</f>
        <v> </v>
      </c>
      <c r="G3107" s="23" t="str">
        <f>IF(OR(E3107="",E3107="!!!"),"",IF(OR(J3107=0,AND(J3107=1,K3107=1),AND(J3107=1,I3107="SBJ"),AND(J3107=1,I3107=0)),"?IN_FOCUS",IF(J3107&lt;=2,"?ACTIVATED",IF(J3107&lt;&gt;"","?FAMILIAR",IF(F3107="NEW",IF(ISNA(VLOOKUP(E3107,#REF!,1,FALSE())),"?TYPE_IDENTIFIABLE","?REFERENTIAL"),"_")))))</f>
        <v> </v>
      </c>
      <c r="H3107" s="24" t="str">
        <f>IF(J3107&lt;&gt;1,"",IF(I3107="SBJ","CB","?"))</f>
        <v> </v>
      </c>
      <c r="I3107" s="25" t="str">
        <f>IF(OR(E3107="",E3107="!!!",F3107="NEW"),"",INDEX(B3106:B$2,-1+SUMPRODUCT(MAX(ROW(E3106:E$2)*(E3107=E3106:E$2)))))</f>
        <v> </v>
      </c>
      <c r="J3107" s="25" t="str">
        <f>IF(OR(E3107="",E3107="!!!",F3107="NEW"),"",COUNTBLANK(OFFSET(A$1,,,SUMPRODUCT(MAX(ROW(E$2:E3107)*(E3107=E$2:E3107)))))-COUNTBLANK(OFFSET(A$1,,,SUMPRODUCT(MAX(ROW(E$1:E3106)*(E2=E$1:E3106))))))</f>
        <v> </v>
      </c>
      <c r="K3107" s="25" t="str">
        <f>IF(OR(E3107="",E3107="!!!",F3107="NEW"),"",INDEX(J$1:J3106,SUMPRODUCT(MAX(ROW(E$1:E3106)*(E3107=E$1:E3106)))))</f>
        <v> </v>
      </c>
      <c r="L3107" s="26"/>
    </row>
    <row r="3108" spans="1:12">
      <c r="A3108" s="20" t="s">
        <v>2553</v>
      </c>
      <c r="E3108" s="21">
        <f>IF(D3108="?OLD","!!!","")</f>
        <v/>
      </c>
      <c r="F3108" s="22" t="str">
        <f>IF(OR(E3108="",E3108="!!!"),"",IF(NOT(ISNA(VLOOKUP(E3108,E$1:E3107,1,FALSE()))),"OLD",IF(AND(E3108&lt;&gt;"",E3108&lt;&gt;"!!!"),"NEW","")))</f>
        <v> </v>
      </c>
      <c r="G3108" s="23" t="str">
        <f>IF(OR(E3108="",E3108="!!!"),"",IF(OR(J3108=0,AND(J3108=1,K3108=1),AND(J3108=1,I3108="SBJ"),AND(J3108=1,I3108=0)),"?IN_FOCUS",IF(J3108&lt;=2,"?ACTIVATED",IF(J3108&lt;&gt;"","?FAMILIAR",IF(F3108="NEW",IF(ISNA(VLOOKUP(E3108,#REF!,1,FALSE())),"?TYPE_IDENTIFIABLE","?REFERENTIAL"),"_")))))</f>
        <v> </v>
      </c>
      <c r="H3108" s="24" t="str">
        <f>IF(J3108&lt;&gt;1,"",IF(I3108="SBJ","CB","?"))</f>
        <v> </v>
      </c>
      <c r="I3108" s="25" t="str">
        <f>IF(OR(E3108="",E3108="!!!",F3108="NEW"),"",INDEX(B3107:B$2,-1+SUMPRODUCT(MAX(ROW(E3107:E$2)*(E3108=E3107:E$2)))))</f>
        <v> </v>
      </c>
      <c r="J3108" s="25" t="str">
        <f>IF(OR(E3108="",E3108="!!!",F3108="NEW"),"",COUNTBLANK(OFFSET(A$1,,,SUMPRODUCT(MAX(ROW(E$2:E3108)*(E3108=E$2:E3108)))))-COUNTBLANK(OFFSET(A$1,,,SUMPRODUCT(MAX(ROW(E$1:E3107)*(E2=E$1:E3107))))))</f>
        <v> </v>
      </c>
      <c r="K3108" s="25" t="str">
        <f>IF(OR(E3108="",E3108="!!!",F3108="NEW"),"",INDEX(J$1:J3107,SUMPRODUCT(MAX(ROW(E$1:E3107)*(E3108=E$1:E3107)))))</f>
        <v> </v>
      </c>
      <c r="L3108" s="26"/>
    </row>
    <row r="3109" spans="1:12">
      <c r="A3109" s="20" t="s">
        <v>1270</v>
      </c>
      <c r="B3109" s="27" t="s">
        <v>1103</v>
      </c>
      <c r="C3109" s="27" t="s">
        <v>1126</v>
      </c>
      <c r="D3109" s="27" t="s">
        <v>1105</v>
      </c>
      <c r="E3109" s="21">
        <f>IF(D3109="?OLD","!!!","")</f>
        <v/>
      </c>
      <c r="F3109" s="22" t="str">
        <f>IF(OR(E3109="",E3109="!!!"),"",IF(NOT(ISNA(VLOOKUP(E3109,E$1:E3108,1,FALSE()))),"OLD",IF(AND(E3109&lt;&gt;"",E3109&lt;&gt;"!!!"),"NEW","")))</f>
        <v> </v>
      </c>
      <c r="G3109" s="23" t="str">
        <f>IF(OR(E3109="",E3109="!!!"),"",IF(OR(J3109=0,AND(J3109=1,K3109=1),AND(J3109=1,I3109="SBJ"),AND(J3109=1,I3109=0)),"?IN_FOCUS",IF(J3109&lt;=2,"?ACTIVATED",IF(J3109&lt;&gt;"","?FAMILIAR",IF(F3109="NEW",IF(ISNA(VLOOKUP(E3109,#REF!,1,FALSE())),"?TYPE_IDENTIFIABLE","?REFERENTIAL"),"_")))))</f>
        <v> </v>
      </c>
      <c r="H3109" s="24" t="str">
        <f>IF(J3109&lt;&gt;1,"",IF(I3109="SBJ","CB","?"))</f>
        <v> </v>
      </c>
      <c r="I3109" s="25" t="str">
        <f>IF(OR(E3109="",E3109="!!!",F3109="NEW"),"",INDEX(B3108:B$2,-1+SUMPRODUCT(MAX(ROW(E3108:E$2)*(E3109=E3108:E$2)))))</f>
        <v> </v>
      </c>
      <c r="J3109" s="25" t="str">
        <f>IF(OR(E3109="",E3109="!!!",F3109="NEW"),"",COUNTBLANK(OFFSET(A$1,,,SUMPRODUCT(MAX(ROW(E$2:E3109)*(E3109=E$2:E3109)))))-COUNTBLANK(OFFSET(A$1,,,SUMPRODUCT(MAX(ROW(E$1:E3108)*(E2=E$1:E3108))))))</f>
        <v> </v>
      </c>
      <c r="K3109" s="25" t="str">
        <f>IF(OR(E3109="",E3109="!!!",F3109="NEW"),"",INDEX(J$1:J3108,SUMPRODUCT(MAX(ROW(E$1:E3108)*(E3109=E$1:E3108)))))</f>
        <v> </v>
      </c>
      <c r="L3109" s="26"/>
    </row>
    <row r="3110" spans="1:12">
      <c r="A3110" s="20" t="s">
        <v>1124</v>
      </c>
      <c r="B3110" s="27" t="s">
        <v>1149</v>
      </c>
      <c r="C3110" s="27" t="s">
        <v>1126</v>
      </c>
      <c r="D3110" s="27" t="s">
        <v>1105</v>
      </c>
      <c r="E3110" s="21">
        <f>IF(D3110="?OLD","!!!","")</f>
        <v/>
      </c>
      <c r="F3110" s="22" t="str">
        <f>IF(OR(E3110="",E3110="!!!"),"",IF(NOT(ISNA(VLOOKUP(E3110,E$1:E3109,1,FALSE()))),"OLD",IF(AND(E3110&lt;&gt;"",E3110&lt;&gt;"!!!"),"NEW","")))</f>
        <v> </v>
      </c>
      <c r="G3110" s="23" t="str">
        <f>IF(OR(E3110="",E3110="!!!"),"",IF(OR(J3110=0,AND(J3110=1,K3110=1),AND(J3110=1,I3110="SBJ"),AND(J3110=1,I3110=0)),"?IN_FOCUS",IF(J3110&lt;=2,"?ACTIVATED",IF(J3110&lt;&gt;"","?FAMILIAR",IF(F3110="NEW",IF(ISNA(VLOOKUP(E3110,#REF!,1,FALSE())),"?TYPE_IDENTIFIABLE","?REFERENTIAL"),"_")))))</f>
        <v> </v>
      </c>
      <c r="H3110" s="24" t="str">
        <f>IF(J3110&lt;&gt;1,"",IF(I3110="SBJ","CB","?"))</f>
        <v> </v>
      </c>
      <c r="I3110" s="25" t="str">
        <f>IF(OR(E3110="",E3110="!!!",F3110="NEW"),"",INDEX(B3109:B$2,-1+SUMPRODUCT(MAX(ROW(E3109:E$2)*(E3110=E3109:E$2)))))</f>
        <v> </v>
      </c>
      <c r="J3110" s="25" t="str">
        <f>IF(OR(E3110="",E3110="!!!",F3110="NEW"),"",COUNTBLANK(OFFSET(A$1,,,SUMPRODUCT(MAX(ROW(E$2:E3110)*(E3110=E$2:E3110)))))-COUNTBLANK(OFFSET(A$1,,,SUMPRODUCT(MAX(ROW(E$1:E3109)*(E2=E$1:E3109))))))</f>
        <v> </v>
      </c>
      <c r="K3110" s="25" t="str">
        <f>IF(OR(E3110="",E3110="!!!",F3110="NEW"),"",INDEX(J$1:J3109,SUMPRODUCT(MAX(ROW(E$1:E3109)*(E3110=E$1:E3109)))))</f>
        <v> </v>
      </c>
      <c r="L3110" s="26"/>
    </row>
    <row r="3111" spans="1:12">
      <c r="A3111" s="20" t="s">
        <v>2554</v>
      </c>
      <c r="E3111" s="21">
        <f>IF(D3111="?OLD","!!!","")</f>
        <v/>
      </c>
      <c r="F3111" s="22" t="str">
        <f>IF(OR(E3111="",E3111="!!!"),"",IF(NOT(ISNA(VLOOKUP(E3111,E$1:E3110,1,FALSE()))),"OLD",IF(AND(E3111&lt;&gt;"",E3111&lt;&gt;"!!!"),"NEW","")))</f>
        <v> </v>
      </c>
      <c r="G3111" s="23" t="str">
        <f>IF(OR(E3111="",E3111="!!!"),"",IF(OR(J3111=0,AND(J3111=1,K3111=1),AND(J3111=1,I3111="SBJ"),AND(J3111=1,I3111=0)),"?IN_FOCUS",IF(J3111&lt;=2,"?ACTIVATED",IF(J3111&lt;&gt;"","?FAMILIAR",IF(F3111="NEW",IF(ISNA(VLOOKUP(E3111,#REF!,1,FALSE())),"?TYPE_IDENTIFIABLE","?REFERENTIAL"),"_")))))</f>
        <v> </v>
      </c>
      <c r="H3111" s="24" t="str">
        <f>IF(J3111&lt;&gt;1,"",IF(I3111="SBJ","CB","?"))</f>
        <v> </v>
      </c>
      <c r="I3111" s="25" t="str">
        <f>IF(OR(E3111="",E3111="!!!",F3111="NEW"),"",INDEX(B3110:B$2,-1+SUMPRODUCT(MAX(ROW(E3110:E$2)*(E3111=E3110:E$2)))))</f>
        <v> </v>
      </c>
      <c r="J3111" s="25" t="str">
        <f>IF(OR(E3111="",E3111="!!!",F3111="NEW"),"",COUNTBLANK(OFFSET(A$1,,,SUMPRODUCT(MAX(ROW(E$2:E3111)*(E3111=E$2:E3111)))))-COUNTBLANK(OFFSET(A$1,,,SUMPRODUCT(MAX(ROW(E$1:E3110)*(E2=E$1:E3110))))))</f>
        <v> </v>
      </c>
      <c r="K3111" s="25" t="str">
        <f>IF(OR(E3111="",E3111="!!!",F3111="NEW"),"",INDEX(J$1:J3110,SUMPRODUCT(MAX(ROW(E$1:E3110)*(E3111=E$1:E3110)))))</f>
        <v> </v>
      </c>
      <c r="L3111" s="26"/>
    </row>
    <row r="3112" spans="1:12">
      <c r="A3112" s="20" t="s">
        <v>1134</v>
      </c>
      <c r="E3112" s="21">
        <f>IF(D3112="?OLD","!!!","")</f>
        <v/>
      </c>
      <c r="F3112" s="22" t="str">
        <f>IF(OR(E3112="",E3112="!!!"),"",IF(NOT(ISNA(VLOOKUP(E3112,E$1:E3111,1,FALSE()))),"OLD",IF(AND(E3112&lt;&gt;"",E3112&lt;&gt;"!!!"),"NEW","")))</f>
        <v> </v>
      </c>
      <c r="G3112" s="23" t="str">
        <f>IF(OR(E3112="",E3112="!!!"),"",IF(OR(J3112=0,AND(J3112=1,K3112=1),AND(J3112=1,I3112="SBJ"),AND(J3112=1,I3112=0)),"?IN_FOCUS",IF(J3112&lt;=2,"?ACTIVATED",IF(J3112&lt;&gt;"","?FAMILIAR",IF(F3112="NEW",IF(ISNA(VLOOKUP(E3112,#REF!,1,FALSE())),"?TYPE_IDENTIFIABLE","?REFERENTIAL"),"_")))))</f>
        <v> </v>
      </c>
      <c r="H3112" s="24" t="str">
        <f>IF(J3112&lt;&gt;1,"",IF(I3112="SBJ","CB","?"))</f>
        <v> </v>
      </c>
      <c r="I3112" s="25" t="str">
        <f>IF(OR(E3112="",E3112="!!!",F3112="NEW"),"",INDEX(B3111:B$2,-1+SUMPRODUCT(MAX(ROW(E3111:E$2)*(E3112=E3111:E$2)))))</f>
        <v> </v>
      </c>
      <c r="J3112" s="25" t="str">
        <f>IF(OR(E3112="",E3112="!!!",F3112="NEW"),"",COUNTBLANK(OFFSET(A$1,,,SUMPRODUCT(MAX(ROW(E$2:E3112)*(E3112=E$2:E3112)))))-COUNTBLANK(OFFSET(A$1,,,SUMPRODUCT(MAX(ROW(E$1:E3111)*(E2=E$1:E3111))))))</f>
        <v> </v>
      </c>
      <c r="K3112" s="25" t="str">
        <f>IF(OR(E3112="",E3112="!!!",F3112="NEW"),"",INDEX(J$1:J3111,SUMPRODUCT(MAX(ROW(E$1:E3111)*(E3112=E$1:E3111)))))</f>
        <v> </v>
      </c>
      <c r="L3112" s="26"/>
    </row>
    <row r="3113" spans="1:12">
      <c r="A3113" s="20" t="s">
        <v>2555</v>
      </c>
      <c r="E3113" s="21">
        <f>IF(D3113="?OLD","!!!","")</f>
        <v/>
      </c>
      <c r="F3113" s="22" t="str">
        <f>IF(OR(E3113="",E3113="!!!"),"",IF(NOT(ISNA(VLOOKUP(E3113,E$1:E3112,1,FALSE()))),"OLD",IF(AND(E3113&lt;&gt;"",E3113&lt;&gt;"!!!"),"NEW","")))</f>
        <v> </v>
      </c>
      <c r="G3113" s="23" t="str">
        <f>IF(OR(E3113="",E3113="!!!"),"",IF(OR(J3113=0,AND(J3113=1,K3113=1),AND(J3113=1,I3113="SBJ"),AND(J3113=1,I3113=0)),"?IN_FOCUS",IF(J3113&lt;=2,"?ACTIVATED",IF(J3113&lt;&gt;"","?FAMILIAR",IF(F3113="NEW",IF(ISNA(VLOOKUP(E3113,#REF!,1,FALSE())),"?TYPE_IDENTIFIABLE","?REFERENTIAL"),"_")))))</f>
        <v> </v>
      </c>
      <c r="H3113" s="24" t="str">
        <f>IF(J3113&lt;&gt;1,"",IF(I3113="SBJ","CB","?"))</f>
        <v> </v>
      </c>
      <c r="I3113" s="25" t="str">
        <f>IF(OR(E3113="",E3113="!!!",F3113="NEW"),"",INDEX(B3112:B$2,-1+SUMPRODUCT(MAX(ROW(E3112:E$2)*(E3113=E3112:E$2)))))</f>
        <v> </v>
      </c>
      <c r="J3113" s="25" t="str">
        <f>IF(OR(E3113="",E3113="!!!",F3113="NEW"),"",COUNTBLANK(OFFSET(A$1,,,SUMPRODUCT(MAX(ROW(E$2:E3113)*(E3113=E$2:E3113)))))-COUNTBLANK(OFFSET(A$1,,,SUMPRODUCT(MAX(ROW(E$1:E3112)*(E2=E$1:E3112))))))</f>
        <v> </v>
      </c>
      <c r="K3113" s="25" t="str">
        <f>IF(OR(E3113="",E3113="!!!",F3113="NEW"),"",INDEX(J$1:J3112,SUMPRODUCT(MAX(ROW(E$1:E3112)*(E3113=E$1:E3112)))))</f>
        <v> </v>
      </c>
      <c r="L3113" s="26"/>
    </row>
    <row r="3114" spans="1:12">
      <c r="A3114" s="20" t="s">
        <v>1123</v>
      </c>
      <c r="E3114" s="21">
        <f>IF(D3114="?OLD","!!!","")</f>
        <v/>
      </c>
      <c r="F3114" s="22" t="str">
        <f>IF(OR(E3114="",E3114="!!!"),"",IF(NOT(ISNA(VLOOKUP(E3114,E$1:E3113,1,FALSE()))),"OLD",IF(AND(E3114&lt;&gt;"",E3114&lt;&gt;"!!!"),"NEW","")))</f>
        <v> </v>
      </c>
      <c r="G3114" s="23" t="str">
        <f>IF(OR(E3114="",E3114="!!!"),"",IF(OR(J3114=0,AND(J3114=1,K3114=1),AND(J3114=1,I3114="SBJ"),AND(J3114=1,I3114=0)),"?IN_FOCUS",IF(J3114&lt;=2,"?ACTIVATED",IF(J3114&lt;&gt;"","?FAMILIAR",IF(F3114="NEW",IF(ISNA(VLOOKUP(E3114,#REF!,1,FALSE())),"?TYPE_IDENTIFIABLE","?REFERENTIAL"),"_")))))</f>
        <v> </v>
      </c>
      <c r="H3114" s="24" t="str">
        <f>IF(J3114&lt;&gt;1,"",IF(I3114="SBJ","CB","?"))</f>
        <v> </v>
      </c>
      <c r="I3114" s="25" t="str">
        <f>IF(OR(E3114="",E3114="!!!",F3114="NEW"),"",INDEX(B3113:B$2,-1+SUMPRODUCT(MAX(ROW(E3113:E$2)*(E3114=E3113:E$2)))))</f>
        <v> </v>
      </c>
      <c r="J3114" s="25" t="str">
        <f>IF(OR(E3114="",E3114="!!!",F3114="NEW"),"",COUNTBLANK(OFFSET(A$1,,,SUMPRODUCT(MAX(ROW(E$2:E3114)*(E3114=E$2:E3114)))))-COUNTBLANK(OFFSET(A$1,,,SUMPRODUCT(MAX(ROW(E$1:E3113)*(E2=E$1:E3113))))))</f>
        <v> </v>
      </c>
      <c r="K3114" s="25" t="str">
        <f>IF(OR(E3114="",E3114="!!!",F3114="NEW"),"",INDEX(J$1:J3113,SUMPRODUCT(MAX(ROW(E$1:E3113)*(E3114=E$1:E3113)))))</f>
        <v> </v>
      </c>
      <c r="L3114" s="26"/>
    </row>
    <row r="3115" spans="1:12">
      <c r="A3115" s="20" t="s">
        <v>2556</v>
      </c>
      <c r="B3115" s="27" t="s">
        <v>1149</v>
      </c>
      <c r="E3115" s="21">
        <f>IF(D3115="?OLD","!!!","")</f>
        <v/>
      </c>
      <c r="F3115" s="22" t="str">
        <f>IF(OR(E3115="",E3115="!!!"),"",IF(NOT(ISNA(VLOOKUP(E3115,E$1:E3114,1,FALSE()))),"OLD",IF(AND(E3115&lt;&gt;"",E3115&lt;&gt;"!!!"),"NEW","")))</f>
        <v> </v>
      </c>
      <c r="G3115" s="23" t="str">
        <f>IF(OR(E3115="",E3115="!!!"),"",IF(OR(J3115=0,AND(J3115=1,K3115=1),AND(J3115=1,I3115="SBJ"),AND(J3115=1,I3115=0)),"?IN_FOCUS",IF(J3115&lt;=2,"?ACTIVATED",IF(J3115&lt;&gt;"","?FAMILIAR",IF(F3115="NEW",IF(ISNA(VLOOKUP(E3115,#REF!,1,FALSE())),"?TYPE_IDENTIFIABLE","?REFERENTIAL"),"_")))))</f>
        <v> </v>
      </c>
      <c r="H3115" s="24" t="str">
        <f>IF(J3115&lt;&gt;1,"",IF(I3115="SBJ","CB","?"))</f>
        <v> </v>
      </c>
      <c r="I3115" s="25" t="str">
        <f>IF(OR(E3115="",E3115="!!!",F3115="NEW"),"",INDEX(B3114:B$2,-1+SUMPRODUCT(MAX(ROW(E3114:E$2)*(E3115=E3114:E$2)))))</f>
        <v> </v>
      </c>
      <c r="J3115" s="25" t="str">
        <f>IF(OR(E3115="",E3115="!!!",F3115="NEW"),"",COUNTBLANK(OFFSET(A$1,,,SUMPRODUCT(MAX(ROW(E$2:E3115)*(E3115=E$2:E3115)))))-COUNTBLANK(OFFSET(A$1,,,SUMPRODUCT(MAX(ROW(E$1:E3114)*(E2=E$1:E3114))))))</f>
        <v> </v>
      </c>
      <c r="K3115" s="25" t="str">
        <f>IF(OR(E3115="",E3115="!!!",F3115="NEW"),"",INDEX(J$1:J3114,SUMPRODUCT(MAX(ROW(E$1:E3114)*(E3115=E$1:E3114)))))</f>
        <v> </v>
      </c>
      <c r="L3115" s="26"/>
    </row>
    <row r="3116" spans="1:12">
      <c r="A3116" s="20" t="s">
        <v>1145</v>
      </c>
      <c r="E3116" s="21">
        <f>IF(D3116="?OLD","!!!","")</f>
        <v/>
      </c>
      <c r="F3116" s="22" t="str">
        <f>IF(OR(E3116="",E3116="!!!"),"",IF(NOT(ISNA(VLOOKUP(E3116,E$1:E3115,1,FALSE()))),"OLD",IF(AND(E3116&lt;&gt;"",E3116&lt;&gt;"!!!"),"NEW","")))</f>
        <v> </v>
      </c>
      <c r="G3116" s="23" t="str">
        <f>IF(OR(E3116="",E3116="!!!"),"",IF(OR(J3116=0,AND(J3116=1,K3116=1),AND(J3116=1,I3116="SBJ"),AND(J3116=1,I3116=0)),"?IN_FOCUS",IF(J3116&lt;=2,"?ACTIVATED",IF(J3116&lt;&gt;"","?FAMILIAR",IF(F3116="NEW",IF(ISNA(VLOOKUP(E3116,#REF!,1,FALSE())),"?TYPE_IDENTIFIABLE","?REFERENTIAL"),"_")))))</f>
        <v> </v>
      </c>
      <c r="H3116" s="24" t="str">
        <f>IF(J3116&lt;&gt;1,"",IF(I3116="SBJ","CB","?"))</f>
        <v> </v>
      </c>
      <c r="I3116" s="25" t="str">
        <f>IF(OR(E3116="",E3116="!!!",F3116="NEW"),"",INDEX(B3115:B$2,-1+SUMPRODUCT(MAX(ROW(E3115:E$2)*(E3116=E3115:E$2)))))</f>
        <v> </v>
      </c>
      <c r="J3116" s="25" t="str">
        <f>IF(OR(E3116="",E3116="!!!",F3116="NEW"),"",COUNTBLANK(OFFSET(A$1,,,SUMPRODUCT(MAX(ROW(E$2:E3116)*(E3116=E$2:E3116)))))-COUNTBLANK(OFFSET(A$1,,,SUMPRODUCT(MAX(ROW(E$1:E3115)*(E2=E$1:E3115))))))</f>
        <v> </v>
      </c>
      <c r="K3116" s="25" t="str">
        <f>IF(OR(E3116="",E3116="!!!",F3116="NEW"),"",INDEX(J$1:J3115,SUMPRODUCT(MAX(ROW(E$1:E3115)*(E3116=E$1:E3115)))))</f>
        <v> </v>
      </c>
      <c r="L3116" s="26"/>
    </row>
    <row r="3117" spans="1:12">
      <c r="A3117" s="20"/>
    </row>
    <row r="3118" spans="1:12">
      <c r="A3118" s="20" t="s">
        <v>2557</v>
      </c>
    </row>
    <row r="3119" spans="1:12">
      <c r="A3119" s="20" t="s">
        <v>1111</v>
      </c>
      <c r="E3119" s="21">
        <f>IF(D3119="?OLD","!!!","")</f>
        <v/>
      </c>
      <c r="F3119" s="22" t="str">
        <f>IF(OR(E3119="",E3119="!!!"),"",IF(NOT(ISNA(VLOOKUP(E3119,E$1:E3118,1,FALSE()))),"OLD",IF(AND(E3119&lt;&gt;"",E3119&lt;&gt;"!!!"),"NEW","")))</f>
        <v> </v>
      </c>
      <c r="G3119" s="23" t="str">
        <f>IF(OR(E3119="",E3119="!!!"),"",IF(OR(J3119=0,AND(J3119=1,K3119=1),AND(J3119=1,I3119="SBJ"),AND(J3119=1,I3119=0)),"?IN_FOCUS",IF(J3119&lt;=2,"?ACTIVATED",IF(J3119&lt;&gt;"","?FAMILIAR",IF(F3119="NEW",IF(ISNA(VLOOKUP(E3119,#REF!,1,FALSE())),"?TYPE_IDENTIFIABLE","?REFERENTIAL"),"_")))))</f>
        <v> </v>
      </c>
      <c r="H3119" s="24" t="str">
        <f>IF(J3119&lt;&gt;1,"",IF(I3119="SBJ","CB","?"))</f>
        <v> </v>
      </c>
      <c r="I3119" s="25" t="str">
        <f>IF(OR(E3119="",E3119="!!!",F3119="NEW"),"",INDEX(B3118:B$2,-1+SUMPRODUCT(MAX(ROW(E3118:E$2)*(E3119=E3118:E$2)))))</f>
        <v> </v>
      </c>
      <c r="J3119" s="25" t="str">
        <f>IF(OR(E3119="",E3119="!!!",F3119="NEW"),"",COUNTBLANK(OFFSET(A$1,,,SUMPRODUCT(MAX(ROW(E$2:E3119)*(E3119=E$2:E3119)))))-COUNTBLANK(OFFSET(A$1,,,SUMPRODUCT(MAX(ROW(E$1:E3118)*(E2=E$1:E3118))))))</f>
        <v> </v>
      </c>
      <c r="K3119" s="25" t="str">
        <f>IF(OR(E3119="",E3119="!!!",F3119="NEW"),"",INDEX(J$1:J3118,SUMPRODUCT(MAX(ROW(E$1:E3118)*(E3119=E$1:E3118)))))</f>
        <v> </v>
      </c>
      <c r="L3119" s="26"/>
    </row>
    <row r="3120" spans="1:12">
      <c r="A3120" s="20" t="s">
        <v>1613</v>
      </c>
      <c r="E3120" s="21">
        <f>IF(D3120="?OLD","!!!","")</f>
        <v/>
      </c>
      <c r="F3120" s="22" t="str">
        <f>IF(OR(E3120="",E3120="!!!"),"",IF(NOT(ISNA(VLOOKUP(E3120,E$1:E3119,1,FALSE()))),"OLD",IF(AND(E3120&lt;&gt;"",E3120&lt;&gt;"!!!"),"NEW","")))</f>
        <v> </v>
      </c>
      <c r="G3120" s="23" t="str">
        <f>IF(OR(E3120="",E3120="!!!"),"",IF(OR(J3120=0,AND(J3120=1,K3120=1),AND(J3120=1,I3120="SBJ"),AND(J3120=1,I3120=0)),"?IN_FOCUS",IF(J3120&lt;=2,"?ACTIVATED",IF(J3120&lt;&gt;"","?FAMILIAR",IF(F3120="NEW",IF(ISNA(VLOOKUP(E3120,#REF!,1,FALSE())),"?TYPE_IDENTIFIABLE","?REFERENTIAL"),"_")))))</f>
        <v> </v>
      </c>
      <c r="H3120" s="24" t="str">
        <f>IF(J3120&lt;&gt;1,"",IF(I3120="SBJ","CB","?"))</f>
        <v> </v>
      </c>
      <c r="I3120" s="25" t="str">
        <f>IF(OR(E3120="",E3120="!!!",F3120="NEW"),"",INDEX(B3119:B$2,-1+SUMPRODUCT(MAX(ROW(E3119:E$2)*(E3120=E3119:E$2)))))</f>
        <v> </v>
      </c>
      <c r="J3120" s="25" t="str">
        <f>IF(OR(E3120="",E3120="!!!",F3120="NEW"),"",COUNTBLANK(OFFSET(A$1,,,SUMPRODUCT(MAX(ROW(E$2:E3120)*(E3120=E$2:E3120)))))-COUNTBLANK(OFFSET(A$1,,,SUMPRODUCT(MAX(ROW(E$1:E3119)*(E2=E$1:E3119))))))</f>
        <v> </v>
      </c>
      <c r="K3120" s="25" t="str">
        <f>IF(OR(E3120="",E3120="!!!",F3120="NEW"),"",INDEX(J$1:J3119,SUMPRODUCT(MAX(ROW(E$1:E3119)*(E3120=E$1:E3119)))))</f>
        <v> </v>
      </c>
      <c r="L3120" s="26"/>
    </row>
    <row r="3121" spans="1:12">
      <c r="A3121" s="20" t="s">
        <v>1123</v>
      </c>
      <c r="E3121" s="21">
        <f>IF(D3121="?OLD","!!!","")</f>
        <v/>
      </c>
      <c r="F3121" s="22" t="str">
        <f>IF(OR(E3121="",E3121="!!!"),"",IF(NOT(ISNA(VLOOKUP(E3121,E$1:E3120,1,FALSE()))),"OLD",IF(AND(E3121&lt;&gt;"",E3121&lt;&gt;"!!!"),"NEW","")))</f>
        <v> </v>
      </c>
      <c r="G3121" s="23" t="str">
        <f>IF(OR(E3121="",E3121="!!!"),"",IF(OR(J3121=0,AND(J3121=1,K3121=1),AND(J3121=1,I3121="SBJ"),AND(J3121=1,I3121=0)),"?IN_FOCUS",IF(J3121&lt;=2,"?ACTIVATED",IF(J3121&lt;&gt;"","?FAMILIAR",IF(F3121="NEW",IF(ISNA(VLOOKUP(E3121,#REF!,1,FALSE())),"?TYPE_IDENTIFIABLE","?REFERENTIAL"),"_")))))</f>
        <v> </v>
      </c>
      <c r="H3121" s="24" t="str">
        <f>IF(J3121&lt;&gt;1,"",IF(I3121="SBJ","CB","?"))</f>
        <v> </v>
      </c>
      <c r="I3121" s="25" t="str">
        <f>IF(OR(E3121="",E3121="!!!",F3121="NEW"),"",INDEX(B3120:B$2,-1+SUMPRODUCT(MAX(ROW(E3120:E$2)*(E3121=E3120:E$2)))))</f>
        <v> </v>
      </c>
      <c r="J3121" s="25" t="str">
        <f>IF(OR(E3121="",E3121="!!!",F3121="NEW"),"",COUNTBLANK(OFFSET(A$1,,,SUMPRODUCT(MAX(ROW(E$2:E3121)*(E3121=E$2:E3121)))))-COUNTBLANK(OFFSET(A$1,,,SUMPRODUCT(MAX(ROW(E$1:E3120)*(E2=E$1:E3120))))))</f>
        <v> </v>
      </c>
      <c r="K3121" s="25" t="str">
        <f>IF(OR(E3121="",E3121="!!!",F3121="NEW"),"",INDEX(J$1:J3120,SUMPRODUCT(MAX(ROW(E$1:E3120)*(E3121=E$1:E3120)))))</f>
        <v> </v>
      </c>
      <c r="L3121" s="26"/>
    </row>
    <row r="3122" spans="1:12">
      <c r="A3122" s="20" t="s">
        <v>224</v>
      </c>
      <c r="E3122" s="21">
        <f>IF(D3122="?OLD","!!!","")</f>
        <v/>
      </c>
      <c r="F3122" s="22" t="str">
        <f>IF(OR(E3122="",E3122="!!!"),"",IF(NOT(ISNA(VLOOKUP(E3122,E$1:E3121,1,FALSE()))),"OLD",IF(AND(E3122&lt;&gt;"",E3122&lt;&gt;"!!!"),"NEW","")))</f>
        <v> </v>
      </c>
      <c r="G3122" s="23" t="str">
        <f>IF(OR(E3122="",E3122="!!!"),"",IF(OR(J3122=0,AND(J3122=1,K3122=1),AND(J3122=1,I3122="SBJ"),AND(J3122=1,I3122=0)),"?IN_FOCUS",IF(J3122&lt;=2,"?ACTIVATED",IF(J3122&lt;&gt;"","?FAMILIAR",IF(F3122="NEW",IF(ISNA(VLOOKUP(E3122,#REF!,1,FALSE())),"?TYPE_IDENTIFIABLE","?REFERENTIAL"),"_")))))</f>
        <v> </v>
      </c>
      <c r="H3122" s="24" t="str">
        <f>IF(J3122&lt;&gt;1,"",IF(I3122="SBJ","CB","?"))</f>
        <v> </v>
      </c>
      <c r="I3122" s="25" t="str">
        <f>IF(OR(E3122="",E3122="!!!",F3122="NEW"),"",INDEX(B3121:B$2,-1+SUMPRODUCT(MAX(ROW(E3121:E$2)*(E3122=E3121:E$2)))))</f>
        <v> </v>
      </c>
      <c r="J3122" s="25" t="str">
        <f>IF(OR(E3122="",E3122="!!!",F3122="NEW"),"",COUNTBLANK(OFFSET(A$1,,,SUMPRODUCT(MAX(ROW(E$2:E3122)*(E3122=E$2:E3122)))))-COUNTBLANK(OFFSET(A$1,,,SUMPRODUCT(MAX(ROW(E$1:E3121)*(E2=E$1:E3121))))))</f>
        <v> </v>
      </c>
      <c r="K3122" s="25" t="str">
        <f>IF(OR(E3122="",E3122="!!!",F3122="NEW"),"",INDEX(J$1:J3121,SUMPRODUCT(MAX(ROW(E$1:E3121)*(E3122=E$1:E3121)))))</f>
        <v> </v>
      </c>
      <c r="L3122" s="26"/>
    </row>
    <row r="3123" spans="1:12">
      <c r="A3123" s="20" t="s">
        <v>1123</v>
      </c>
      <c r="E3123" s="21">
        <f>IF(D3123="?OLD","!!!","")</f>
        <v/>
      </c>
      <c r="F3123" s="22" t="str">
        <f>IF(OR(E3123="",E3123="!!!"),"",IF(NOT(ISNA(VLOOKUP(E3123,E$1:E3122,1,FALSE()))),"OLD",IF(AND(E3123&lt;&gt;"",E3123&lt;&gt;"!!!"),"NEW","")))</f>
        <v> </v>
      </c>
      <c r="G3123" s="23" t="str">
        <f>IF(OR(E3123="",E3123="!!!"),"",IF(OR(J3123=0,AND(J3123=1,K3123=1),AND(J3123=1,I3123="SBJ"),AND(J3123=1,I3123=0)),"?IN_FOCUS",IF(J3123&lt;=2,"?ACTIVATED",IF(J3123&lt;&gt;"","?FAMILIAR",IF(F3123="NEW",IF(ISNA(VLOOKUP(E3123,#REF!,1,FALSE())),"?TYPE_IDENTIFIABLE","?REFERENTIAL"),"_")))))</f>
        <v> </v>
      </c>
      <c r="H3123" s="24" t="str">
        <f>IF(J3123&lt;&gt;1,"",IF(I3123="SBJ","CB","?"))</f>
        <v> </v>
      </c>
      <c r="I3123" s="25" t="str">
        <f>IF(OR(E3123="",E3123="!!!",F3123="NEW"),"",INDEX(B3122:B$2,-1+SUMPRODUCT(MAX(ROW(E3122:E$2)*(E3123=E3122:E$2)))))</f>
        <v> </v>
      </c>
      <c r="J3123" s="25" t="str">
        <f>IF(OR(E3123="",E3123="!!!",F3123="NEW"),"",COUNTBLANK(OFFSET(A$1,,,SUMPRODUCT(MAX(ROW(E$2:E3123)*(E3123=E$2:E3123)))))-COUNTBLANK(OFFSET(A$1,,,SUMPRODUCT(MAX(ROW(E$1:E3122)*(E2=E$1:E3122))))))</f>
        <v> </v>
      </c>
      <c r="K3123" s="25" t="str">
        <f>IF(OR(E3123="",E3123="!!!",F3123="NEW"),"",INDEX(J$1:J3122,SUMPRODUCT(MAX(ROW(E$1:E3122)*(E3123=E$1:E3122)))))</f>
        <v> </v>
      </c>
      <c r="L3123" s="26"/>
    </row>
    <row r="3124" spans="1:12">
      <c r="A3124" s="20" t="s">
        <v>1228</v>
      </c>
      <c r="B3124" s="27" t="s">
        <v>1149</v>
      </c>
      <c r="C3124" s="27" t="s">
        <v>1126</v>
      </c>
      <c r="D3124" s="27" t="s">
        <v>1105</v>
      </c>
      <c r="E3124" s="21">
        <f>IF(D3124="?OLD","!!!","")</f>
        <v/>
      </c>
      <c r="F3124" s="22" t="str">
        <f>IF(OR(E3124="",E3124="!!!"),"",IF(NOT(ISNA(VLOOKUP(E3124,E$1:E3123,1,FALSE()))),"OLD",IF(AND(E3124&lt;&gt;"",E3124&lt;&gt;"!!!"),"NEW","")))</f>
        <v> </v>
      </c>
      <c r="G3124" s="23" t="str">
        <f>IF(OR(E3124="",E3124="!!!"),"",IF(OR(J3124=0,AND(J3124=1,K3124=1),AND(J3124=1,I3124="SBJ"),AND(J3124=1,I3124=0)),"?IN_FOCUS",IF(J3124&lt;=2,"?ACTIVATED",IF(J3124&lt;&gt;"","?FAMILIAR",IF(F3124="NEW",IF(ISNA(VLOOKUP(E3124,#REF!,1,FALSE())),"?TYPE_IDENTIFIABLE","?REFERENTIAL"),"_")))))</f>
        <v> </v>
      </c>
      <c r="H3124" s="24" t="str">
        <f>IF(J3124&lt;&gt;1,"",IF(I3124="SBJ","CB","?"))</f>
        <v> </v>
      </c>
      <c r="I3124" s="25" t="str">
        <f>IF(OR(E3124="",E3124="!!!",F3124="NEW"),"",INDEX(B3123:B$2,-1+SUMPRODUCT(MAX(ROW(E3123:E$2)*(E3124=E3123:E$2)))))</f>
        <v> </v>
      </c>
      <c r="J3124" s="25" t="str">
        <f>IF(OR(E3124="",E3124="!!!",F3124="NEW"),"",COUNTBLANK(OFFSET(A$1,,,SUMPRODUCT(MAX(ROW(E$2:E3124)*(E3124=E$2:E3124)))))-COUNTBLANK(OFFSET(A$1,,,SUMPRODUCT(MAX(ROW(E$1:E3123)*(E2=E$1:E3123))))))</f>
        <v> </v>
      </c>
      <c r="K3124" s="25" t="str">
        <f>IF(OR(E3124="",E3124="!!!",F3124="NEW"),"",INDEX(J$1:J3123,SUMPRODUCT(MAX(ROW(E$1:E3123)*(E3124=E$1:E3123)))))</f>
        <v> </v>
      </c>
      <c r="L3124" s="26"/>
    </row>
    <row r="3125" spans="1:12">
      <c r="A3125" s="20" t="s">
        <v>1134</v>
      </c>
      <c r="E3125" s="21">
        <f>IF(D3125="?OLD","!!!","")</f>
        <v/>
      </c>
      <c r="F3125" s="22" t="str">
        <f>IF(OR(E3125="",E3125="!!!"),"",IF(NOT(ISNA(VLOOKUP(E3125,E$1:E3124,1,FALSE()))),"OLD",IF(AND(E3125&lt;&gt;"",E3125&lt;&gt;"!!!"),"NEW","")))</f>
        <v> </v>
      </c>
      <c r="G3125" s="23" t="str">
        <f>IF(OR(E3125="",E3125="!!!"),"",IF(OR(J3125=0,AND(J3125=1,K3125=1),AND(J3125=1,I3125="SBJ"),AND(J3125=1,I3125=0)),"?IN_FOCUS",IF(J3125&lt;=2,"?ACTIVATED",IF(J3125&lt;&gt;"","?FAMILIAR",IF(F3125="NEW",IF(ISNA(VLOOKUP(E3125,#REF!,1,FALSE())),"?TYPE_IDENTIFIABLE","?REFERENTIAL"),"_")))))</f>
        <v> </v>
      </c>
      <c r="H3125" s="24" t="str">
        <f>IF(J3125&lt;&gt;1,"",IF(I3125="SBJ","CB","?"))</f>
        <v> </v>
      </c>
      <c r="I3125" s="25" t="str">
        <f>IF(OR(E3125="",E3125="!!!",F3125="NEW"),"",INDEX(B3124:B$2,-1+SUMPRODUCT(MAX(ROW(E3124:E$2)*(E3125=E3124:E$2)))))</f>
        <v> </v>
      </c>
      <c r="J3125" s="25" t="str">
        <f>IF(OR(E3125="",E3125="!!!",F3125="NEW"),"",COUNTBLANK(OFFSET(A$1,,,SUMPRODUCT(MAX(ROW(E$2:E3125)*(E3125=E$2:E3125)))))-COUNTBLANK(OFFSET(A$1,,,SUMPRODUCT(MAX(ROW(E$1:E3124)*(E2=E$1:E3124))))))</f>
        <v> </v>
      </c>
      <c r="K3125" s="25" t="str">
        <f>IF(OR(E3125="",E3125="!!!",F3125="NEW"),"",INDEX(J$1:J3124,SUMPRODUCT(MAX(ROW(E$1:E3124)*(E3125=E$1:E3124)))))</f>
        <v> </v>
      </c>
      <c r="L3125" s="26"/>
    </row>
    <row r="3126" spans="1:12">
      <c r="A3126" s="20" t="s">
        <v>2558</v>
      </c>
      <c r="E3126" s="21">
        <f>IF(D3126="?OLD","!!!","")</f>
        <v/>
      </c>
      <c r="F3126" s="22" t="str">
        <f>IF(OR(E3126="",E3126="!!!"),"",IF(NOT(ISNA(VLOOKUP(E3126,E$1:E3125,1,FALSE()))),"OLD",IF(AND(E3126&lt;&gt;"",E3126&lt;&gt;"!!!"),"NEW","")))</f>
        <v> </v>
      </c>
      <c r="G3126" s="23" t="str">
        <f>IF(OR(E3126="",E3126="!!!"),"",IF(OR(J3126=0,AND(J3126=1,K3126=1),AND(J3126=1,I3126="SBJ"),AND(J3126=1,I3126=0)),"?IN_FOCUS",IF(J3126&lt;=2,"?ACTIVATED",IF(J3126&lt;&gt;"","?FAMILIAR",IF(F3126="NEW",IF(ISNA(VLOOKUP(E3126,#REF!,1,FALSE())),"?TYPE_IDENTIFIABLE","?REFERENTIAL"),"_")))))</f>
        <v> </v>
      </c>
      <c r="H3126" s="24" t="str">
        <f>IF(J3126&lt;&gt;1,"",IF(I3126="SBJ","CB","?"))</f>
        <v> </v>
      </c>
      <c r="I3126" s="25" t="str">
        <f>IF(OR(E3126="",E3126="!!!",F3126="NEW"),"",INDEX(B3125:B$2,-1+SUMPRODUCT(MAX(ROW(E3125:E$2)*(E3126=E3125:E$2)))))</f>
        <v> </v>
      </c>
      <c r="J3126" s="25" t="str">
        <f>IF(OR(E3126="",E3126="!!!",F3126="NEW"),"",COUNTBLANK(OFFSET(A$1,,,SUMPRODUCT(MAX(ROW(E$2:E3126)*(E3126=E$2:E3126)))))-COUNTBLANK(OFFSET(A$1,,,SUMPRODUCT(MAX(ROW(E$1:E3125)*(E2=E$1:E3125))))))</f>
        <v> </v>
      </c>
      <c r="K3126" s="25" t="str">
        <f>IF(OR(E3126="",E3126="!!!",F3126="NEW"),"",INDEX(J$1:J3125,SUMPRODUCT(MAX(ROW(E$1:E3125)*(E3126=E$1:E3125)))))</f>
        <v> </v>
      </c>
      <c r="L3126" s="26"/>
    </row>
    <row r="3127" spans="1:12">
      <c r="A3127" s="20" t="s">
        <v>2559</v>
      </c>
      <c r="E3127" s="21">
        <f>IF(D3127="?OLD","!!!","")</f>
        <v/>
      </c>
      <c r="F3127" s="22" t="str">
        <f>IF(OR(E3127="",E3127="!!!"),"",IF(NOT(ISNA(VLOOKUP(E3127,E$1:E3126,1,FALSE()))),"OLD",IF(AND(E3127&lt;&gt;"",E3127&lt;&gt;"!!!"),"NEW","")))</f>
        <v> </v>
      </c>
      <c r="G3127" s="23" t="str">
        <f>IF(OR(E3127="",E3127="!!!"),"",IF(OR(J3127=0,AND(J3127=1,K3127=1),AND(J3127=1,I3127="SBJ"),AND(J3127=1,I3127=0)),"?IN_FOCUS",IF(J3127&lt;=2,"?ACTIVATED",IF(J3127&lt;&gt;"","?FAMILIAR",IF(F3127="NEW",IF(ISNA(VLOOKUP(E3127,#REF!,1,FALSE())),"?TYPE_IDENTIFIABLE","?REFERENTIAL"),"_")))))</f>
        <v> </v>
      </c>
      <c r="H3127" s="24" t="str">
        <f>IF(J3127&lt;&gt;1,"",IF(I3127="SBJ","CB","?"))</f>
        <v> </v>
      </c>
      <c r="I3127" s="25" t="str">
        <f>IF(OR(E3127="",E3127="!!!",F3127="NEW"),"",INDEX(B3126:B$2,-1+SUMPRODUCT(MAX(ROW(E3126:E$2)*(E3127=E3126:E$2)))))</f>
        <v> </v>
      </c>
      <c r="J3127" s="25" t="str">
        <f>IF(OR(E3127="",E3127="!!!",F3127="NEW"),"",COUNTBLANK(OFFSET(A$1,,,SUMPRODUCT(MAX(ROW(E$2:E3127)*(E3127=E$2:E3127)))))-COUNTBLANK(OFFSET(A$1,,,SUMPRODUCT(MAX(ROW(E$1:E3126)*(E2=E$1:E3126))))))</f>
        <v> </v>
      </c>
      <c r="K3127" s="25" t="str">
        <f>IF(OR(E3127="",E3127="!!!",F3127="NEW"),"",INDEX(J$1:J3126,SUMPRODUCT(MAX(ROW(E$1:E3126)*(E3127=E$1:E3126)))))</f>
        <v> </v>
      </c>
      <c r="L3127" s="26"/>
    </row>
    <row r="3128" spans="1:12">
      <c r="A3128" s="20" t="s">
        <v>1145</v>
      </c>
      <c r="E3128" s="21">
        <f>IF(D3128="?OLD","!!!","")</f>
        <v/>
      </c>
      <c r="F3128" s="22" t="str">
        <f>IF(OR(E3128="",E3128="!!!"),"",IF(NOT(ISNA(VLOOKUP(E3128,E$1:E3127,1,FALSE()))),"OLD",IF(AND(E3128&lt;&gt;"",E3128&lt;&gt;"!!!"),"NEW","")))</f>
        <v> </v>
      </c>
      <c r="G3128" s="23" t="str">
        <f>IF(OR(E3128="",E3128="!!!"),"",IF(OR(J3128=0,AND(J3128=1,K3128=1),AND(J3128=1,I3128="SBJ"),AND(J3128=1,I3128=0)),"?IN_FOCUS",IF(J3128&lt;=2,"?ACTIVATED",IF(J3128&lt;&gt;"","?FAMILIAR",IF(F3128="NEW",IF(ISNA(VLOOKUP(E3128,#REF!,1,FALSE())),"?TYPE_IDENTIFIABLE","?REFERENTIAL"),"_")))))</f>
        <v> </v>
      </c>
      <c r="H3128" s="24" t="str">
        <f>IF(J3128&lt;&gt;1,"",IF(I3128="SBJ","CB","?"))</f>
        <v> </v>
      </c>
      <c r="I3128" s="25" t="str">
        <f>IF(OR(E3128="",E3128="!!!",F3128="NEW"),"",INDEX(B3127:B$2,-1+SUMPRODUCT(MAX(ROW(E3127:E$2)*(E3128=E3127:E$2)))))</f>
        <v> </v>
      </c>
      <c r="J3128" s="25" t="str">
        <f>IF(OR(E3128="",E3128="!!!",F3128="NEW"),"",COUNTBLANK(OFFSET(A$1,,,SUMPRODUCT(MAX(ROW(E$2:E3128)*(E3128=E$2:E3128)))))-COUNTBLANK(OFFSET(A$1,,,SUMPRODUCT(MAX(ROW(E$1:E3127)*(E2=E$1:E3127))))))</f>
        <v> </v>
      </c>
      <c r="K3128" s="25" t="str">
        <f>IF(OR(E3128="",E3128="!!!",F3128="NEW"),"",INDEX(J$1:J3127,SUMPRODUCT(MAX(ROW(E$1:E3127)*(E3128=E$1:E3127)))))</f>
        <v> </v>
      </c>
      <c r="L3128" s="26"/>
    </row>
    <row r="3129" spans="1:12">
      <c r="A3129" s="20"/>
    </row>
    <row r="3130" spans="1:12">
      <c r="A3130" s="20" t="s">
        <v>2560</v>
      </c>
    </row>
    <row r="3131" spans="1:12">
      <c r="A3131" s="20" t="s">
        <v>2166</v>
      </c>
      <c r="B3131" s="27" t="s">
        <v>1149</v>
      </c>
      <c r="E3131" s="21">
        <f>IF(D3131="?OLD","!!!","")</f>
        <v/>
      </c>
      <c r="F3131" s="22" t="str">
        <f>IF(OR(E3131="",E3131="!!!"),"",IF(NOT(ISNA(VLOOKUP(E3131,E$1:E3130,1,FALSE()))),"OLD",IF(AND(E3131&lt;&gt;"",E3131&lt;&gt;"!!!"),"NEW","")))</f>
        <v> </v>
      </c>
      <c r="G3131" s="23" t="str">
        <f>IF(OR(E3131="",E3131="!!!"),"",IF(OR(J3131=0,AND(J3131=1,K3131=1),AND(J3131=1,I3131="SBJ"),AND(J3131=1,I3131=0)),"?IN_FOCUS",IF(J3131&lt;=2,"?ACTIVATED",IF(J3131&lt;&gt;"","?FAMILIAR",IF(F3131="NEW",IF(ISNA(VLOOKUP(E3131,#REF!,1,FALSE())),"?TYPE_IDENTIFIABLE","?REFERENTIAL"),"_")))))</f>
        <v> </v>
      </c>
      <c r="H3131" s="24" t="str">
        <f>IF(J3131&lt;&gt;1,"",IF(I3131="SBJ","CB","?"))</f>
        <v> </v>
      </c>
      <c r="I3131" s="25" t="str">
        <f>IF(OR(E3131="",E3131="!!!",F3131="NEW"),"",INDEX(B3130:B$2,-1+SUMPRODUCT(MAX(ROW(E3130:E$2)*(E3131=E3130:E$2)))))</f>
        <v> </v>
      </c>
      <c r="J3131" s="25" t="str">
        <f>IF(OR(E3131="",E3131="!!!",F3131="NEW"),"",COUNTBLANK(OFFSET(A$1,,,SUMPRODUCT(MAX(ROW(E$2:E3131)*(E3131=E$2:E3131)))))-COUNTBLANK(OFFSET(A$1,,,SUMPRODUCT(MAX(ROW(E$1:E3130)*(E2=E$1:E3130))))))</f>
        <v> </v>
      </c>
      <c r="K3131" s="25" t="str">
        <f>IF(OR(E3131="",E3131="!!!",F3131="NEW"),"",INDEX(J$1:J3130,SUMPRODUCT(MAX(ROW(E$1:E3130)*(E3131=E$1:E3130)))))</f>
        <v> </v>
      </c>
      <c r="L3131" s="26"/>
    </row>
    <row r="3132" spans="1:12">
      <c r="A3132" s="20" t="s">
        <v>1506</v>
      </c>
      <c r="B3132" s="27" t="s">
        <v>1107</v>
      </c>
      <c r="C3132" s="27" t="s">
        <v>1108</v>
      </c>
      <c r="D3132" s="27" t="s">
        <v>1105</v>
      </c>
      <c r="E3132" s="21">
        <f>IF(D3132="?OLD","!!!","")</f>
        <v/>
      </c>
      <c r="F3132" s="22" t="str">
        <f>IF(OR(E3132="",E3132="!!!"),"",IF(NOT(ISNA(VLOOKUP(E3132,E$1:E3131,1,FALSE()))),"OLD",IF(AND(E3132&lt;&gt;"",E3132&lt;&gt;"!!!"),"NEW","")))</f>
        <v> </v>
      </c>
      <c r="G3132" s="23" t="str">
        <f>IF(OR(E3132="",E3132="!!!"),"",IF(OR(J3132=0,AND(J3132=1,K3132=1),AND(J3132=1,I3132="SBJ"),AND(J3132=1,I3132=0)),"?IN_FOCUS",IF(J3132&lt;=2,"?ACTIVATED",IF(J3132&lt;&gt;"","?FAMILIAR",IF(F3132="NEW",IF(ISNA(VLOOKUP(E3132,#REF!,1,FALSE())),"?TYPE_IDENTIFIABLE","?REFERENTIAL"),"_")))))</f>
        <v> </v>
      </c>
      <c r="H3132" s="24" t="str">
        <f>IF(J3132&lt;&gt;1,"",IF(I3132="SBJ","CB","?"))</f>
        <v> </v>
      </c>
      <c r="I3132" s="25" t="str">
        <f>IF(OR(E3132="",E3132="!!!",F3132="NEW"),"",INDEX(B3131:B$2,-1+SUMPRODUCT(MAX(ROW(E3131:E$2)*(E3132=E3131:E$2)))))</f>
        <v> </v>
      </c>
      <c r="J3132" s="25" t="str">
        <f>IF(OR(E3132="",E3132="!!!",F3132="NEW"),"",COUNTBLANK(OFFSET(A$1,,,SUMPRODUCT(MAX(ROW(E$2:E3132)*(E3132=E$2:E3132)))))-COUNTBLANK(OFFSET(A$1,,,SUMPRODUCT(MAX(ROW(E$1:E3131)*(E2=E$1:E3131))))))</f>
        <v> </v>
      </c>
      <c r="K3132" s="25" t="str">
        <f>IF(OR(E3132="",E3132="!!!",F3132="NEW"),"",INDEX(J$1:J3131,SUMPRODUCT(MAX(ROW(E$1:E3131)*(E3132=E$1:E3131)))))</f>
        <v> </v>
      </c>
      <c r="L3132" s="26"/>
    </row>
    <row r="3133" spans="1:12">
      <c r="A3133" s="20" t="s">
        <v>1145</v>
      </c>
      <c r="E3133" s="21">
        <f>IF(D3133="?OLD","!!!","")</f>
        <v/>
      </c>
      <c r="F3133" s="22" t="str">
        <f>IF(OR(E3133="",E3133="!!!"),"",IF(NOT(ISNA(VLOOKUP(E3133,E$1:E3132,1,FALSE()))),"OLD",IF(AND(E3133&lt;&gt;"",E3133&lt;&gt;"!!!"),"NEW","")))</f>
        <v> </v>
      </c>
      <c r="G3133" s="23" t="str">
        <f>IF(OR(E3133="",E3133="!!!"),"",IF(OR(J3133=0,AND(J3133=1,K3133=1),AND(J3133=1,I3133="SBJ"),AND(J3133=1,I3133=0)),"?IN_FOCUS",IF(J3133&lt;=2,"?ACTIVATED",IF(J3133&lt;&gt;"","?FAMILIAR",IF(F3133="NEW",IF(ISNA(VLOOKUP(E3133,#REF!,1,FALSE())),"?TYPE_IDENTIFIABLE","?REFERENTIAL"),"_")))))</f>
        <v> </v>
      </c>
      <c r="H3133" s="24" t="str">
        <f>IF(J3133&lt;&gt;1,"",IF(I3133="SBJ","CB","?"))</f>
        <v> </v>
      </c>
      <c r="I3133" s="25" t="str">
        <f>IF(OR(E3133="",E3133="!!!",F3133="NEW"),"",INDEX(B3132:B$2,-1+SUMPRODUCT(MAX(ROW(E3132:E$2)*(E3133=E3132:E$2)))))</f>
        <v> </v>
      </c>
      <c r="J3133" s="25" t="str">
        <f>IF(OR(E3133="",E3133="!!!",F3133="NEW"),"",COUNTBLANK(OFFSET(A$1,,,SUMPRODUCT(MAX(ROW(E$2:E3133)*(E3133=E$2:E3133)))))-COUNTBLANK(OFFSET(A$1,,,SUMPRODUCT(MAX(ROW(E$1:E3132)*(E2=E$1:E3132))))))</f>
        <v> </v>
      </c>
      <c r="K3133" s="25" t="str">
        <f>IF(OR(E3133="",E3133="!!!",F3133="NEW"),"",INDEX(J$1:J3132,SUMPRODUCT(MAX(ROW(E$1:E3132)*(E3133=E$1:E3132)))))</f>
        <v> </v>
      </c>
      <c r="L3133" s="26"/>
    </row>
    <row r="3134" spans="1:12">
      <c r="A3134" s="20" t="s">
        <v>1145</v>
      </c>
      <c r="E3134" s="21">
        <f>IF(D3134="?OLD","!!!","")</f>
        <v/>
      </c>
      <c r="F3134" s="22" t="str">
        <f>IF(OR(E3134="",E3134="!!!"),"",IF(NOT(ISNA(VLOOKUP(E3134,E$1:E3133,1,FALSE()))),"OLD",IF(AND(E3134&lt;&gt;"",E3134&lt;&gt;"!!!"),"NEW","")))</f>
        <v> </v>
      </c>
      <c r="G3134" s="23" t="str">
        <f>IF(OR(E3134="",E3134="!!!"),"",IF(OR(J3134=0,AND(J3134=1,K3134=1),AND(J3134=1,I3134="SBJ"),AND(J3134=1,I3134=0)),"?IN_FOCUS",IF(J3134&lt;=2,"?ACTIVATED",IF(J3134&lt;&gt;"","?FAMILIAR",IF(F3134="NEW",IF(ISNA(VLOOKUP(E3134,#REF!,1,FALSE())),"?TYPE_IDENTIFIABLE","?REFERENTIAL"),"_")))))</f>
        <v> </v>
      </c>
      <c r="H3134" s="24" t="str">
        <f>IF(J3134&lt;&gt;1,"",IF(I3134="SBJ","CB","?"))</f>
        <v> </v>
      </c>
      <c r="I3134" s="25" t="str">
        <f>IF(OR(E3134="",E3134="!!!",F3134="NEW"),"",INDEX(B3133:B$2,-1+SUMPRODUCT(MAX(ROW(E3133:E$2)*(E3134=E3133:E$2)))))</f>
        <v> </v>
      </c>
      <c r="J3134" s="25" t="str">
        <f>IF(OR(E3134="",E3134="!!!",F3134="NEW"),"",COUNTBLANK(OFFSET(A$1,,,SUMPRODUCT(MAX(ROW(E$2:E3134)*(E3134=E$2:E3134)))))-COUNTBLANK(OFFSET(A$1,,,SUMPRODUCT(MAX(ROW(E$1:E3133)*(E2=E$1:E3133))))))</f>
        <v> </v>
      </c>
      <c r="K3134" s="25" t="str">
        <f>IF(OR(E3134="",E3134="!!!",F3134="NEW"),"",INDEX(J$1:J3133,SUMPRODUCT(MAX(ROW(E$1:E3133)*(E3134=E$1:E3133)))))</f>
        <v> </v>
      </c>
      <c r="L3134" s="26"/>
    </row>
    <row r="3135" spans="1:12">
      <c r="A3135" s="20" t="s">
        <v>1145</v>
      </c>
      <c r="E3135" s="21">
        <f>IF(D3135="?OLD","!!!","")</f>
        <v/>
      </c>
      <c r="F3135" s="22" t="str">
        <f>IF(OR(E3135="",E3135="!!!"),"",IF(NOT(ISNA(VLOOKUP(E3135,E$1:E3134,1,FALSE()))),"OLD",IF(AND(E3135&lt;&gt;"",E3135&lt;&gt;"!!!"),"NEW","")))</f>
        <v> </v>
      </c>
      <c r="G3135" s="23" t="str">
        <f>IF(OR(E3135="",E3135="!!!"),"",IF(OR(J3135=0,AND(J3135=1,K3135=1),AND(J3135=1,I3135="SBJ"),AND(J3135=1,I3135=0)),"?IN_FOCUS",IF(J3135&lt;=2,"?ACTIVATED",IF(J3135&lt;&gt;"","?FAMILIAR",IF(F3135="NEW",IF(ISNA(VLOOKUP(E3135,#REF!,1,FALSE())),"?TYPE_IDENTIFIABLE","?REFERENTIAL"),"_")))))</f>
        <v> </v>
      </c>
      <c r="H3135" s="24" t="str">
        <f>IF(J3135&lt;&gt;1,"",IF(I3135="SBJ","CB","?"))</f>
        <v> </v>
      </c>
      <c r="I3135" s="25" t="str">
        <f>IF(OR(E3135="",E3135="!!!",F3135="NEW"),"",INDEX(B3134:B$2,-1+SUMPRODUCT(MAX(ROW(E3134:E$2)*(E3135=E3134:E$2)))))</f>
        <v> </v>
      </c>
      <c r="J3135" s="25" t="str">
        <f>IF(OR(E3135="",E3135="!!!",F3135="NEW"),"",COUNTBLANK(OFFSET(A$1,,,SUMPRODUCT(MAX(ROW(E$2:E3135)*(E3135=E$2:E3135)))))-COUNTBLANK(OFFSET(A$1,,,SUMPRODUCT(MAX(ROW(E$1:E3134)*(E2=E$1:E3134))))))</f>
        <v> </v>
      </c>
      <c r="K3135" s="25" t="str">
        <f>IF(OR(E3135="",E3135="!!!",F3135="NEW"),"",INDEX(J$1:J3134,SUMPRODUCT(MAX(ROW(E$1:E3134)*(E3135=E$1:E3134)))))</f>
        <v> </v>
      </c>
      <c r="L3135" s="26"/>
    </row>
    <row r="3136" spans="1:12">
      <c r="A3136" s="20" t="s">
        <v>2548</v>
      </c>
      <c r="E3136" s="21">
        <f>IF(D3136="?OLD","!!!","")</f>
        <v/>
      </c>
      <c r="F3136" s="22" t="str">
        <f>IF(OR(E3136="",E3136="!!!"),"",IF(NOT(ISNA(VLOOKUP(E3136,E$1:E3135,1,FALSE()))),"OLD",IF(AND(E3136&lt;&gt;"",E3136&lt;&gt;"!!!"),"NEW","")))</f>
        <v> </v>
      </c>
      <c r="G3136" s="23" t="str">
        <f>IF(OR(E3136="",E3136="!!!"),"",IF(OR(J3136=0,AND(J3136=1,K3136=1),AND(J3136=1,I3136="SBJ"),AND(J3136=1,I3136=0)),"?IN_FOCUS",IF(J3136&lt;=2,"?ACTIVATED",IF(J3136&lt;&gt;"","?FAMILIAR",IF(F3136="NEW",IF(ISNA(VLOOKUP(E3136,#REF!,1,FALSE())),"?TYPE_IDENTIFIABLE","?REFERENTIAL"),"_")))))</f>
        <v> </v>
      </c>
      <c r="H3136" s="24" t="str">
        <f>IF(J3136&lt;&gt;1,"",IF(I3136="SBJ","CB","?"))</f>
        <v> </v>
      </c>
      <c r="I3136" s="25" t="str">
        <f>IF(OR(E3136="",E3136="!!!",F3136="NEW"),"",INDEX(B3135:B$2,-1+SUMPRODUCT(MAX(ROW(E3135:E$2)*(E3136=E3135:E$2)))))</f>
        <v> </v>
      </c>
      <c r="J3136" s="25" t="str">
        <f>IF(OR(E3136="",E3136="!!!",F3136="NEW"),"",COUNTBLANK(OFFSET(A$1,,,SUMPRODUCT(MAX(ROW(E$2:E3136)*(E3136=E$2:E3136)))))-COUNTBLANK(OFFSET(A$1,,,SUMPRODUCT(MAX(ROW(E$1:E3135)*(E2=E$1:E3135))))))</f>
        <v> </v>
      </c>
      <c r="K3136" s="25" t="str">
        <f>IF(OR(E3136="",E3136="!!!",F3136="NEW"),"",INDEX(J$1:J3135,SUMPRODUCT(MAX(ROW(E$1:E3135)*(E3136=E$1:E3135)))))</f>
        <v> </v>
      </c>
      <c r="L3136" s="26"/>
    </row>
    <row r="3137" spans="1:12">
      <c r="A3137" s="20" t="s">
        <v>1334</v>
      </c>
      <c r="E3137" s="21">
        <f>IF(D3137="?OLD","!!!","")</f>
        <v/>
      </c>
      <c r="F3137" s="22" t="str">
        <f>IF(OR(E3137="",E3137="!!!"),"",IF(NOT(ISNA(VLOOKUP(E3137,E$1:E3136,1,FALSE()))),"OLD",IF(AND(E3137&lt;&gt;"",E3137&lt;&gt;"!!!"),"NEW","")))</f>
        <v> </v>
      </c>
      <c r="G3137" s="23" t="str">
        <f>IF(OR(E3137="",E3137="!!!"),"",IF(OR(J3137=0,AND(J3137=1,K3137=1),AND(J3137=1,I3137="SBJ"),AND(J3137=1,I3137=0)),"?IN_FOCUS",IF(J3137&lt;=2,"?ACTIVATED",IF(J3137&lt;&gt;"","?FAMILIAR",IF(F3137="NEW",IF(ISNA(VLOOKUP(E3137,#REF!,1,FALSE())),"?TYPE_IDENTIFIABLE","?REFERENTIAL"),"_")))))</f>
        <v> </v>
      </c>
      <c r="H3137" s="24" t="str">
        <f>IF(J3137&lt;&gt;1,"",IF(I3137="SBJ","CB","?"))</f>
        <v> </v>
      </c>
      <c r="I3137" s="25" t="str">
        <f>IF(OR(E3137="",E3137="!!!",F3137="NEW"),"",INDEX(B3136:B$2,-1+SUMPRODUCT(MAX(ROW(E3136:E$2)*(E3137=E3136:E$2)))))</f>
        <v> </v>
      </c>
      <c r="J3137" s="25" t="str">
        <f>IF(OR(E3137="",E3137="!!!",F3137="NEW"),"",COUNTBLANK(OFFSET(A$1,,,SUMPRODUCT(MAX(ROW(E$2:E3137)*(E3137=E$2:E3137)))))-COUNTBLANK(OFFSET(A$1,,,SUMPRODUCT(MAX(ROW(E$1:E3136)*(E2=E$1:E3136))))))</f>
        <v> </v>
      </c>
      <c r="K3137" s="25" t="str">
        <f>IF(OR(E3137="",E3137="!!!",F3137="NEW"),"",INDEX(J$1:J3136,SUMPRODUCT(MAX(ROW(E$1:E3136)*(E3137=E$1:E3136)))))</f>
        <v> </v>
      </c>
      <c r="L3137" s="26"/>
    </row>
    <row r="3138" spans="1:12">
      <c r="A3138" s="20"/>
    </row>
    <row r="3139" spans="1:12">
      <c r="A3139" s="20" t="s">
        <v>2561</v>
      </c>
    </row>
    <row r="3140" spans="1:12">
      <c r="A3140" s="20" t="s">
        <v>1111</v>
      </c>
      <c r="E3140" s="21">
        <f>IF(D3140="?OLD","!!!","")</f>
        <v/>
      </c>
      <c r="F3140" s="22" t="str">
        <f>IF(OR(E3140="",E3140="!!!"),"",IF(NOT(ISNA(VLOOKUP(E3140,E$1:E3139,1,FALSE()))),"OLD",IF(AND(E3140&lt;&gt;"",E3140&lt;&gt;"!!!"),"NEW","")))</f>
        <v> </v>
      </c>
      <c r="G3140" s="23" t="str">
        <f>IF(OR(E3140="",E3140="!!!"),"",IF(OR(J3140=0,AND(J3140=1,K3140=1),AND(J3140=1,I3140="SBJ"),AND(J3140=1,I3140=0)),"?IN_FOCUS",IF(J3140&lt;=2,"?ACTIVATED",IF(J3140&lt;&gt;"","?FAMILIAR",IF(F3140="NEW",IF(ISNA(VLOOKUP(E3140,#REF!,1,FALSE())),"?TYPE_IDENTIFIABLE","?REFERENTIAL"),"_")))))</f>
        <v> </v>
      </c>
      <c r="H3140" s="24" t="str">
        <f>IF(J3140&lt;&gt;1,"",IF(I3140="SBJ","CB","?"))</f>
        <v> </v>
      </c>
      <c r="I3140" s="25" t="str">
        <f>IF(OR(E3140="",E3140="!!!",F3140="NEW"),"",INDEX(B3139:B$2,-1+SUMPRODUCT(MAX(ROW(E3139:E$2)*(E3140=E3139:E$2)))))</f>
        <v> </v>
      </c>
      <c r="J3140" s="25" t="str">
        <f>IF(OR(E3140="",E3140="!!!",F3140="NEW"),"",COUNTBLANK(OFFSET(A$1,,,SUMPRODUCT(MAX(ROW(E$2:E3140)*(E3140=E$2:E3140)))))-COUNTBLANK(OFFSET(A$1,,,SUMPRODUCT(MAX(ROW(E$1:E3139)*(E2=E$1:E3139))))))</f>
        <v> </v>
      </c>
      <c r="K3140" s="25" t="str">
        <f>IF(OR(E3140="",E3140="!!!",F3140="NEW"),"",INDEX(J$1:J3139,SUMPRODUCT(MAX(ROW(E$1:E3139)*(E3140=E$1:E3139)))))</f>
        <v> </v>
      </c>
      <c r="L3140" s="26"/>
    </row>
    <row r="3141" spans="1:12">
      <c r="A3141" s="20" t="s">
        <v>1436</v>
      </c>
      <c r="E3141" s="21">
        <f>IF(D3141="?OLD","!!!","")</f>
        <v/>
      </c>
      <c r="F3141" s="22" t="str">
        <f>IF(OR(E3141="",E3141="!!!"),"",IF(NOT(ISNA(VLOOKUP(E3141,E$1:E3140,1,FALSE()))),"OLD",IF(AND(E3141&lt;&gt;"",E3141&lt;&gt;"!!!"),"NEW","")))</f>
        <v> </v>
      </c>
      <c r="G3141" s="23" t="str">
        <f>IF(OR(E3141="",E3141="!!!"),"",IF(OR(J3141=0,AND(J3141=1,K3141=1),AND(J3141=1,I3141="SBJ"),AND(J3141=1,I3141=0)),"?IN_FOCUS",IF(J3141&lt;=2,"?ACTIVATED",IF(J3141&lt;&gt;"","?FAMILIAR",IF(F3141="NEW",IF(ISNA(VLOOKUP(E3141,#REF!,1,FALSE())),"?TYPE_IDENTIFIABLE","?REFERENTIAL"),"_")))))</f>
        <v> </v>
      </c>
      <c r="H3141" s="24" t="str">
        <f>IF(J3141&lt;&gt;1,"",IF(I3141="SBJ","CB","?"))</f>
        <v> </v>
      </c>
      <c r="I3141" s="25" t="str">
        <f>IF(OR(E3141="",E3141="!!!",F3141="NEW"),"",INDEX(B3140:B$2,-1+SUMPRODUCT(MAX(ROW(E3140:E$2)*(E3141=E3140:E$2)))))</f>
        <v> </v>
      </c>
      <c r="J3141" s="25" t="str">
        <f>IF(OR(E3141="",E3141="!!!",F3141="NEW"),"",COUNTBLANK(OFFSET(A$1,,,SUMPRODUCT(MAX(ROW(E$2:E3141)*(E3141=E$2:E3141)))))-COUNTBLANK(OFFSET(A$1,,,SUMPRODUCT(MAX(ROW(E$1:E3140)*(E2=E$1:E3140))))))</f>
        <v> </v>
      </c>
      <c r="K3141" s="25" t="str">
        <f>IF(OR(E3141="",E3141="!!!",F3141="NEW"),"",INDEX(J$1:J3140,SUMPRODUCT(MAX(ROW(E$1:E3140)*(E3141=E$1:E3140)))))</f>
        <v> </v>
      </c>
      <c r="L3141" s="26"/>
    </row>
    <row r="3142" spans="1:12">
      <c r="A3142" s="20" t="s">
        <v>1145</v>
      </c>
      <c r="E3142" s="21">
        <f>IF(D3142="?OLD","!!!","")</f>
        <v/>
      </c>
      <c r="F3142" s="22" t="str">
        <f>IF(OR(E3142="",E3142="!!!"),"",IF(NOT(ISNA(VLOOKUP(E3142,E$1:E3141,1,FALSE()))),"OLD",IF(AND(E3142&lt;&gt;"",E3142&lt;&gt;"!!!"),"NEW","")))</f>
        <v> </v>
      </c>
      <c r="G3142" s="23" t="str">
        <f>IF(OR(E3142="",E3142="!!!"),"",IF(OR(J3142=0,AND(J3142=1,K3142=1),AND(J3142=1,I3142="SBJ"),AND(J3142=1,I3142=0)),"?IN_FOCUS",IF(J3142&lt;=2,"?ACTIVATED",IF(J3142&lt;&gt;"","?FAMILIAR",IF(F3142="NEW",IF(ISNA(VLOOKUP(E3142,#REF!,1,FALSE())),"?TYPE_IDENTIFIABLE","?REFERENTIAL"),"_")))))</f>
        <v> </v>
      </c>
      <c r="H3142" s="24" t="str">
        <f>IF(J3142&lt;&gt;1,"",IF(I3142="SBJ","CB","?"))</f>
        <v> </v>
      </c>
      <c r="I3142" s="25" t="str">
        <f>IF(OR(E3142="",E3142="!!!",F3142="NEW"),"",INDEX(B3141:B$2,-1+SUMPRODUCT(MAX(ROW(E3141:E$2)*(E3142=E3141:E$2)))))</f>
        <v> </v>
      </c>
      <c r="J3142" s="25" t="str">
        <f>IF(OR(E3142="",E3142="!!!",F3142="NEW"),"",COUNTBLANK(OFFSET(A$1,,,SUMPRODUCT(MAX(ROW(E$2:E3142)*(E3142=E$2:E3142)))))-COUNTBLANK(OFFSET(A$1,,,SUMPRODUCT(MAX(ROW(E$1:E3141)*(E2=E$1:E3141))))))</f>
        <v> </v>
      </c>
      <c r="K3142" s="25" t="str">
        <f>IF(OR(E3142="",E3142="!!!",F3142="NEW"),"",INDEX(J$1:J3141,SUMPRODUCT(MAX(ROW(E$1:E3141)*(E3142=E$1:E3141)))))</f>
        <v> </v>
      </c>
      <c r="L3142" s="26"/>
    </row>
    <row r="3143" spans="1:12">
      <c r="A3143" s="20"/>
    </row>
    <row r="3144" spans="1:12">
      <c r="A3144" s="20" t="s">
        <v>2562</v>
      </c>
    </row>
    <row r="3145" spans="1:12">
      <c r="A3145" s="20" t="s">
        <v>1111</v>
      </c>
      <c r="E3145" s="21">
        <f>IF(D3145="?OLD","!!!","")</f>
        <v/>
      </c>
      <c r="F3145" s="22" t="str">
        <f>IF(OR(E3145="",E3145="!!!"),"",IF(NOT(ISNA(VLOOKUP(E3145,E$1:E3144,1,FALSE()))),"OLD",IF(AND(E3145&lt;&gt;"",E3145&lt;&gt;"!!!"),"NEW","")))</f>
        <v> </v>
      </c>
      <c r="G3145" s="23" t="str">
        <f>IF(OR(E3145="",E3145="!!!"),"",IF(OR(J3145=0,AND(J3145=1,K3145=1),AND(J3145=1,I3145="SBJ"),AND(J3145=1,I3145=0)),"?IN_FOCUS",IF(J3145&lt;=2,"?ACTIVATED",IF(J3145&lt;&gt;"","?FAMILIAR",IF(F3145="NEW",IF(ISNA(VLOOKUP(E3145,#REF!,1,FALSE())),"?TYPE_IDENTIFIABLE","?REFERENTIAL"),"_")))))</f>
        <v> </v>
      </c>
      <c r="H3145" s="24" t="str">
        <f>IF(J3145&lt;&gt;1,"",IF(I3145="SBJ","CB","?"))</f>
        <v> </v>
      </c>
      <c r="I3145" s="25" t="str">
        <f>IF(OR(E3145="",E3145="!!!",F3145="NEW"),"",INDEX(B3144:B$2,-1+SUMPRODUCT(MAX(ROW(E3144:E$2)*(E3145=E3144:E$2)))))</f>
        <v> </v>
      </c>
      <c r="J3145" s="25" t="str">
        <f>IF(OR(E3145="",E3145="!!!",F3145="NEW"),"",COUNTBLANK(OFFSET(A$1,,,SUMPRODUCT(MAX(ROW(E$2:E3145)*(E3145=E$2:E3145)))))-COUNTBLANK(OFFSET(A$1,,,SUMPRODUCT(MAX(ROW(E$1:E3144)*(E2=E$1:E3144))))))</f>
        <v> </v>
      </c>
      <c r="K3145" s="25" t="str">
        <f>IF(OR(E3145="",E3145="!!!",F3145="NEW"),"",INDEX(J$1:J3144,SUMPRODUCT(MAX(ROW(E$1:E3144)*(E3145=E$1:E3144)))))</f>
        <v> </v>
      </c>
      <c r="L3145" s="26"/>
    </row>
    <row r="3146" spans="1:12">
      <c r="A3146" s="20" t="s">
        <v>1368</v>
      </c>
      <c r="E3146" s="21">
        <f>IF(D3146="?OLD","!!!","")</f>
        <v/>
      </c>
      <c r="F3146" s="22" t="str">
        <f>IF(OR(E3146="",E3146="!!!"),"",IF(NOT(ISNA(VLOOKUP(E3146,E$1:E3145,1,FALSE()))),"OLD",IF(AND(E3146&lt;&gt;"",E3146&lt;&gt;"!!!"),"NEW","")))</f>
        <v> </v>
      </c>
      <c r="G3146" s="23" t="str">
        <f>IF(OR(E3146="",E3146="!!!"),"",IF(OR(J3146=0,AND(J3146=1,K3146=1),AND(J3146=1,I3146="SBJ"),AND(J3146=1,I3146=0)),"?IN_FOCUS",IF(J3146&lt;=2,"?ACTIVATED",IF(J3146&lt;&gt;"","?FAMILIAR",IF(F3146="NEW",IF(ISNA(VLOOKUP(E3146,#REF!,1,FALSE())),"?TYPE_IDENTIFIABLE","?REFERENTIAL"),"_")))))</f>
        <v> </v>
      </c>
      <c r="H3146" s="24" t="str">
        <f>IF(J3146&lt;&gt;1,"",IF(I3146="SBJ","CB","?"))</f>
        <v> </v>
      </c>
      <c r="I3146" s="25" t="str">
        <f>IF(OR(E3146="",E3146="!!!",F3146="NEW"),"",INDEX(B3145:B$2,-1+SUMPRODUCT(MAX(ROW(E3145:E$2)*(E3146=E3145:E$2)))))</f>
        <v> </v>
      </c>
      <c r="J3146" s="25" t="str">
        <f>IF(OR(E3146="",E3146="!!!",F3146="NEW"),"",COUNTBLANK(OFFSET(A$1,,,SUMPRODUCT(MAX(ROW(E$2:E3146)*(E3146=E$2:E3146)))))-COUNTBLANK(OFFSET(A$1,,,SUMPRODUCT(MAX(ROW(E$1:E3145)*(E2=E$1:E3145))))))</f>
        <v> </v>
      </c>
      <c r="K3146" s="25" t="str">
        <f>IF(OR(E3146="",E3146="!!!",F3146="NEW"),"",INDEX(J$1:J3145,SUMPRODUCT(MAX(ROW(E$1:E3145)*(E3146=E$1:E3145)))))</f>
        <v> </v>
      </c>
      <c r="L3146" s="26"/>
    </row>
    <row r="3147" spans="1:12">
      <c r="A3147" s="20" t="s">
        <v>763</v>
      </c>
      <c r="E3147" s="21">
        <f>IF(D3147="?OLD","!!!","")</f>
        <v/>
      </c>
      <c r="F3147" s="22" t="str">
        <f>IF(OR(E3147="",E3147="!!!"),"",IF(NOT(ISNA(VLOOKUP(E3147,E$1:E3146,1,FALSE()))),"OLD",IF(AND(E3147&lt;&gt;"",E3147&lt;&gt;"!!!"),"NEW","")))</f>
        <v> </v>
      </c>
      <c r="G3147" s="23" t="str">
        <f>IF(OR(E3147="",E3147="!!!"),"",IF(OR(J3147=0,AND(J3147=1,K3147=1),AND(J3147=1,I3147="SBJ"),AND(J3147=1,I3147=0)),"?IN_FOCUS",IF(J3147&lt;=2,"?ACTIVATED",IF(J3147&lt;&gt;"","?FAMILIAR",IF(F3147="NEW",IF(ISNA(VLOOKUP(E3147,#REF!,1,FALSE())),"?TYPE_IDENTIFIABLE","?REFERENTIAL"),"_")))))</f>
        <v> </v>
      </c>
      <c r="H3147" s="24" t="str">
        <f>IF(J3147&lt;&gt;1,"",IF(I3147="SBJ","CB","?"))</f>
        <v> </v>
      </c>
      <c r="I3147" s="25" t="str">
        <f>IF(OR(E3147="",E3147="!!!",F3147="NEW"),"",INDEX(B3146:B$2,-1+SUMPRODUCT(MAX(ROW(E3146:E$2)*(E3147=E3146:E$2)))))</f>
        <v> </v>
      </c>
      <c r="J3147" s="25" t="str">
        <f>IF(OR(E3147="",E3147="!!!",F3147="NEW"),"",COUNTBLANK(OFFSET(A$1,,,SUMPRODUCT(MAX(ROW(E$2:E3147)*(E3147=E$2:E3147)))))-COUNTBLANK(OFFSET(A$1,,,SUMPRODUCT(MAX(ROW(E$1:E3146)*(E2=E$1:E3146))))))</f>
        <v> </v>
      </c>
      <c r="K3147" s="25" t="str">
        <f>IF(OR(E3147="",E3147="!!!",F3147="NEW"),"",INDEX(J$1:J3146,SUMPRODUCT(MAX(ROW(E$1:E3146)*(E3147=E$1:E3146)))))</f>
        <v> </v>
      </c>
      <c r="L3147" s="26"/>
    </row>
    <row r="3148" spans="1:12">
      <c r="A3148" s="20" t="s">
        <v>1334</v>
      </c>
      <c r="E3148" s="21">
        <f>IF(D3148="?OLD","!!!","")</f>
        <v/>
      </c>
      <c r="F3148" s="22" t="str">
        <f>IF(OR(E3148="",E3148="!!!"),"",IF(NOT(ISNA(VLOOKUP(E3148,E$1:E3147,1,FALSE()))),"OLD",IF(AND(E3148&lt;&gt;"",E3148&lt;&gt;"!!!"),"NEW","")))</f>
        <v> </v>
      </c>
      <c r="G3148" s="23" t="str">
        <f>IF(OR(E3148="",E3148="!!!"),"",IF(OR(J3148=0,AND(J3148=1,K3148=1),AND(J3148=1,I3148="SBJ"),AND(J3148=1,I3148=0)),"?IN_FOCUS",IF(J3148&lt;=2,"?ACTIVATED",IF(J3148&lt;&gt;"","?FAMILIAR",IF(F3148="NEW",IF(ISNA(VLOOKUP(E3148,#REF!,1,FALSE())),"?TYPE_IDENTIFIABLE","?REFERENTIAL"),"_")))))</f>
        <v> </v>
      </c>
      <c r="H3148" s="24" t="str">
        <f>IF(J3148&lt;&gt;1,"",IF(I3148="SBJ","CB","?"))</f>
        <v> </v>
      </c>
      <c r="I3148" s="25" t="str">
        <f>IF(OR(E3148="",E3148="!!!",F3148="NEW"),"",INDEX(B3147:B$2,-1+SUMPRODUCT(MAX(ROW(E3147:E$2)*(E3148=E3147:E$2)))))</f>
        <v> </v>
      </c>
      <c r="J3148" s="25" t="str">
        <f>IF(OR(E3148="",E3148="!!!",F3148="NEW"),"",COUNTBLANK(OFFSET(A$1,,,SUMPRODUCT(MAX(ROW(E$2:E3148)*(E3148=E$2:E3148)))))-COUNTBLANK(OFFSET(A$1,,,SUMPRODUCT(MAX(ROW(E$1:E3147)*(E2=E$1:E3147))))))</f>
        <v> </v>
      </c>
      <c r="K3148" s="25" t="str">
        <f>IF(OR(E3148="",E3148="!!!",F3148="NEW"),"",INDEX(J$1:J3147,SUMPRODUCT(MAX(ROW(E$1:E3147)*(E3148=E$1:E3147)))))</f>
        <v> </v>
      </c>
      <c r="L3148" s="26"/>
    </row>
    <row r="3149" spans="1:12">
      <c r="A3149" s="20"/>
    </row>
    <row r="3150" spans="1:12">
      <c r="A3150" s="20" t="s">
        <v>2563</v>
      </c>
    </row>
    <row r="3151" spans="1:12">
      <c r="A3151" s="20" t="s">
        <v>1111</v>
      </c>
      <c r="E3151" s="21">
        <f>IF(D3151="?OLD","!!!","")</f>
        <v/>
      </c>
      <c r="F3151" s="22" t="str">
        <f>IF(OR(E3151="",E3151="!!!"),"",IF(NOT(ISNA(VLOOKUP(E3151,E$1:E3150,1,FALSE()))),"OLD",IF(AND(E3151&lt;&gt;"",E3151&lt;&gt;"!!!"),"NEW","")))</f>
        <v> </v>
      </c>
      <c r="G3151" s="23" t="str">
        <f>IF(OR(E3151="",E3151="!!!"),"",IF(OR(J3151=0,AND(J3151=1,K3151=1),AND(J3151=1,I3151="SBJ"),AND(J3151=1,I3151=0)),"?IN_FOCUS",IF(J3151&lt;=2,"?ACTIVATED",IF(J3151&lt;&gt;"","?FAMILIAR",IF(F3151="NEW",IF(ISNA(VLOOKUP(E3151,#REF!,1,FALSE())),"?TYPE_IDENTIFIABLE","?REFERENTIAL"),"_")))))</f>
        <v> </v>
      </c>
      <c r="H3151" s="24" t="str">
        <f>IF(J3151&lt;&gt;1,"",IF(I3151="SBJ","CB","?"))</f>
        <v> </v>
      </c>
      <c r="I3151" s="25" t="str">
        <f>IF(OR(E3151="",E3151="!!!",F3151="NEW"),"",INDEX(B3150:B$2,-1+SUMPRODUCT(MAX(ROW(E3150:E$2)*(E3151=E3150:E$2)))))</f>
        <v> </v>
      </c>
      <c r="J3151" s="25" t="str">
        <f>IF(OR(E3151="",E3151="!!!",F3151="NEW"),"",COUNTBLANK(OFFSET(A$1,,,SUMPRODUCT(MAX(ROW(E$2:E3151)*(E3151=E$2:E3151)))))-COUNTBLANK(OFFSET(A$1,,,SUMPRODUCT(MAX(ROW(E$1:E3150)*(E2=E$1:E3150))))))</f>
        <v> </v>
      </c>
      <c r="K3151" s="25" t="str">
        <f>IF(OR(E3151="",E3151="!!!",F3151="NEW"),"",INDEX(J$1:J3150,SUMPRODUCT(MAX(ROW(E$1:E3150)*(E3151=E$1:E3150)))))</f>
        <v> </v>
      </c>
      <c r="L3151" s="26"/>
    </row>
    <row r="3152" spans="1:12">
      <c r="A3152" s="20" t="s">
        <v>2564</v>
      </c>
      <c r="E3152" s="21">
        <f>IF(D3152="?OLD","!!!","")</f>
        <v/>
      </c>
      <c r="F3152" s="22" t="str">
        <f>IF(OR(E3152="",E3152="!!!"),"",IF(NOT(ISNA(VLOOKUP(E3152,E$1:E3151,1,FALSE()))),"OLD",IF(AND(E3152&lt;&gt;"",E3152&lt;&gt;"!!!"),"NEW","")))</f>
        <v> </v>
      </c>
      <c r="G3152" s="23" t="str">
        <f>IF(OR(E3152="",E3152="!!!"),"",IF(OR(J3152=0,AND(J3152=1,K3152=1),AND(J3152=1,I3152="SBJ"),AND(J3152=1,I3152=0)),"?IN_FOCUS",IF(J3152&lt;=2,"?ACTIVATED",IF(J3152&lt;&gt;"","?FAMILIAR",IF(F3152="NEW",IF(ISNA(VLOOKUP(E3152,#REF!,1,FALSE())),"?TYPE_IDENTIFIABLE","?REFERENTIAL"),"_")))))</f>
        <v> </v>
      </c>
      <c r="H3152" s="24" t="str">
        <f>IF(J3152&lt;&gt;1,"",IF(I3152="SBJ","CB","?"))</f>
        <v> </v>
      </c>
      <c r="I3152" s="25" t="str">
        <f>IF(OR(E3152="",E3152="!!!",F3152="NEW"),"",INDEX(B3151:B$2,-1+SUMPRODUCT(MAX(ROW(E3151:E$2)*(E3152=E3151:E$2)))))</f>
        <v> </v>
      </c>
      <c r="J3152" s="25" t="str">
        <f>IF(OR(E3152="",E3152="!!!",F3152="NEW"),"",COUNTBLANK(OFFSET(A$1,,,SUMPRODUCT(MAX(ROW(E$2:E3152)*(E3152=E$2:E3152)))))-COUNTBLANK(OFFSET(A$1,,,SUMPRODUCT(MAX(ROW(E$1:E3151)*(E2=E$1:E3151))))))</f>
        <v> </v>
      </c>
      <c r="K3152" s="25" t="str">
        <f>IF(OR(E3152="",E3152="!!!",F3152="NEW"),"",INDEX(J$1:J3151,SUMPRODUCT(MAX(ROW(E$1:E3151)*(E3152=E$1:E3151)))))</f>
        <v> </v>
      </c>
      <c r="L3152" s="26"/>
    </row>
    <row r="3153" spans="1:12">
      <c r="A3153" s="20" t="s">
        <v>1351</v>
      </c>
      <c r="E3153" s="21">
        <f>IF(D3153="?OLD","!!!","")</f>
        <v/>
      </c>
      <c r="F3153" s="22" t="str">
        <f>IF(OR(E3153="",E3153="!!!"),"",IF(NOT(ISNA(VLOOKUP(E3153,E$1:E3152,1,FALSE()))),"OLD",IF(AND(E3153&lt;&gt;"",E3153&lt;&gt;"!!!"),"NEW","")))</f>
        <v> </v>
      </c>
      <c r="G3153" s="23" t="str">
        <f>IF(OR(E3153="",E3153="!!!"),"",IF(OR(J3153=0,AND(J3153=1,K3153=1),AND(J3153=1,I3153="SBJ"),AND(J3153=1,I3153=0)),"?IN_FOCUS",IF(J3153&lt;=2,"?ACTIVATED",IF(J3153&lt;&gt;"","?FAMILIAR",IF(F3153="NEW",IF(ISNA(VLOOKUP(E3153,#REF!,1,FALSE())),"?TYPE_IDENTIFIABLE","?REFERENTIAL"),"_")))))</f>
        <v> </v>
      </c>
      <c r="H3153" s="24" t="str">
        <f>IF(J3153&lt;&gt;1,"",IF(I3153="SBJ","CB","?"))</f>
        <v> </v>
      </c>
      <c r="I3153" s="25" t="str">
        <f>IF(OR(E3153="",E3153="!!!",F3153="NEW"),"",INDEX(B3152:B$2,-1+SUMPRODUCT(MAX(ROW(E3152:E$2)*(E3153=E3152:E$2)))))</f>
        <v> </v>
      </c>
      <c r="J3153" s="25" t="str">
        <f>IF(OR(E3153="",E3153="!!!",F3153="NEW"),"",COUNTBLANK(OFFSET(A$1,,,SUMPRODUCT(MAX(ROW(E$2:E3153)*(E3153=E$2:E3153)))))-COUNTBLANK(OFFSET(A$1,,,SUMPRODUCT(MAX(ROW(E$1:E3152)*(E2=E$1:E3152))))))</f>
        <v> </v>
      </c>
      <c r="K3153" s="25" t="str">
        <f>IF(OR(E3153="",E3153="!!!",F3153="NEW"),"",INDEX(J$1:J3152,SUMPRODUCT(MAX(ROW(E$1:E3152)*(E3153=E$1:E3152)))))</f>
        <v> </v>
      </c>
      <c r="L3153" s="26"/>
    </row>
    <row r="3154" spans="1:12">
      <c r="A3154" s="20"/>
    </row>
    <row r="3155" spans="1:12">
      <c r="A3155" s="20" t="s">
        <v>2565</v>
      </c>
    </row>
    <row r="3156" spans="1:12">
      <c r="A3156" s="20" t="s">
        <v>2566</v>
      </c>
      <c r="E3156" s="21">
        <f>IF(D3156="?OLD","!!!","")</f>
        <v/>
      </c>
      <c r="F3156" s="22" t="str">
        <f>IF(OR(E3156="",E3156="!!!"),"",IF(NOT(ISNA(VLOOKUP(E3156,E$1:E3155,1,FALSE()))),"OLD",IF(AND(E3156&lt;&gt;"",E3156&lt;&gt;"!!!"),"NEW","")))</f>
        <v> </v>
      </c>
      <c r="G3156" s="23" t="str">
        <f>IF(OR(E3156="",E3156="!!!"),"",IF(OR(J3156=0,AND(J3156=1,K3156=1),AND(J3156=1,I3156="SBJ"),AND(J3156=1,I3156=0)),"?IN_FOCUS",IF(J3156&lt;=2,"?ACTIVATED",IF(J3156&lt;&gt;"","?FAMILIAR",IF(F3156="NEW",IF(ISNA(VLOOKUP(E3156,#REF!,1,FALSE())),"?TYPE_IDENTIFIABLE","?REFERENTIAL"),"_")))))</f>
        <v> </v>
      </c>
      <c r="H3156" s="24" t="str">
        <f>IF(J3156&lt;&gt;1,"",IF(I3156="SBJ","CB","?"))</f>
        <v> </v>
      </c>
      <c r="I3156" s="25" t="str">
        <f>IF(OR(E3156="",E3156="!!!",F3156="NEW"),"",INDEX(B3155:B$2,-1+SUMPRODUCT(MAX(ROW(E3155:E$2)*(E3156=E3155:E$2)))))</f>
        <v> </v>
      </c>
      <c r="J3156" s="25" t="str">
        <f>IF(OR(E3156="",E3156="!!!",F3156="NEW"),"",COUNTBLANK(OFFSET(A$1,,,SUMPRODUCT(MAX(ROW(E$2:E3156)*(E3156=E$2:E3156)))))-COUNTBLANK(OFFSET(A$1,,,SUMPRODUCT(MAX(ROW(E$1:E3155)*(E2=E$1:E3155))))))</f>
        <v> </v>
      </c>
      <c r="K3156" s="25" t="str">
        <f>IF(OR(E3156="",E3156="!!!",F3156="NEW"),"",INDEX(J$1:J3155,SUMPRODUCT(MAX(ROW(E$1:E3155)*(E3156=E$1:E3155)))))</f>
        <v> </v>
      </c>
      <c r="L3156" s="26"/>
    </row>
    <row r="3157" spans="1:12">
      <c r="A3157" s="20" t="s">
        <v>1196</v>
      </c>
      <c r="B3157" s="27" t="s">
        <v>1103</v>
      </c>
      <c r="C3157" s="27" t="s">
        <v>1126</v>
      </c>
      <c r="D3157" s="27" t="s">
        <v>1105</v>
      </c>
      <c r="E3157" s="21">
        <f>IF(D3157="?OLD","!!!","")</f>
        <v/>
      </c>
      <c r="F3157" s="22" t="str">
        <f>IF(OR(E3157="",E3157="!!!"),"",IF(NOT(ISNA(VLOOKUP(E3157,E$1:E3156,1,FALSE()))),"OLD",IF(AND(E3157&lt;&gt;"",E3157&lt;&gt;"!!!"),"NEW","")))</f>
        <v> </v>
      </c>
      <c r="G3157" s="23" t="str">
        <f>IF(OR(E3157="",E3157="!!!"),"",IF(OR(J3157=0,AND(J3157=1,K3157=1),AND(J3157=1,I3157="SBJ"),AND(J3157=1,I3157=0)),"?IN_FOCUS",IF(J3157&lt;=2,"?ACTIVATED",IF(J3157&lt;&gt;"","?FAMILIAR",IF(F3157="NEW",IF(ISNA(VLOOKUP(E3157,#REF!,1,FALSE())),"?TYPE_IDENTIFIABLE","?REFERENTIAL"),"_")))))</f>
        <v> </v>
      </c>
      <c r="H3157" s="24" t="str">
        <f>IF(J3157&lt;&gt;1,"",IF(I3157="SBJ","CB","?"))</f>
        <v> </v>
      </c>
      <c r="I3157" s="25" t="str">
        <f>IF(OR(E3157="",E3157="!!!",F3157="NEW"),"",INDEX(B3156:B$2,-1+SUMPRODUCT(MAX(ROW(E3156:E$2)*(E3157=E3156:E$2)))))</f>
        <v> </v>
      </c>
      <c r="J3157" s="25" t="str">
        <f>IF(OR(E3157="",E3157="!!!",F3157="NEW"),"",COUNTBLANK(OFFSET(A$1,,,SUMPRODUCT(MAX(ROW(E$2:E3157)*(E3157=E$2:E3157)))))-COUNTBLANK(OFFSET(A$1,,,SUMPRODUCT(MAX(ROW(E$1:E3156)*(E2=E$1:E3156))))))</f>
        <v> </v>
      </c>
      <c r="K3157" s="25" t="str">
        <f>IF(OR(E3157="",E3157="!!!",F3157="NEW"),"",INDEX(J$1:J3156,SUMPRODUCT(MAX(ROW(E$1:E3156)*(E3157=E$1:E3156)))))</f>
        <v> </v>
      </c>
      <c r="L3157" s="26"/>
    </row>
    <row r="3158" spans="1:12">
      <c r="A3158" s="20" t="s">
        <v>2567</v>
      </c>
      <c r="E3158" s="21">
        <f>IF(D3158="?OLD","!!!","")</f>
        <v/>
      </c>
      <c r="F3158" s="22" t="str">
        <f>IF(OR(E3158="",E3158="!!!"),"",IF(NOT(ISNA(VLOOKUP(E3158,E$1:E3157,1,FALSE()))),"OLD",IF(AND(E3158&lt;&gt;"",E3158&lt;&gt;"!!!"),"NEW","")))</f>
        <v> </v>
      </c>
      <c r="G3158" s="23" t="str">
        <f>IF(OR(E3158="",E3158="!!!"),"",IF(OR(J3158=0,AND(J3158=1,K3158=1),AND(J3158=1,I3158="SBJ"),AND(J3158=1,I3158=0)),"?IN_FOCUS",IF(J3158&lt;=2,"?ACTIVATED",IF(J3158&lt;&gt;"","?FAMILIAR",IF(F3158="NEW",IF(ISNA(VLOOKUP(E3158,#REF!,1,FALSE())),"?TYPE_IDENTIFIABLE","?REFERENTIAL"),"_")))))</f>
        <v> </v>
      </c>
      <c r="H3158" s="24" t="str">
        <f>IF(J3158&lt;&gt;1,"",IF(I3158="SBJ","CB","?"))</f>
        <v> </v>
      </c>
      <c r="I3158" s="25" t="str">
        <f>IF(OR(E3158="",E3158="!!!",F3158="NEW"),"",INDEX(B3157:B$2,-1+SUMPRODUCT(MAX(ROW(E3157:E$2)*(E3158=E3157:E$2)))))</f>
        <v> </v>
      </c>
      <c r="J3158" s="25" t="str">
        <f>IF(OR(E3158="",E3158="!!!",F3158="NEW"),"",COUNTBLANK(OFFSET(A$1,,,SUMPRODUCT(MAX(ROW(E$2:E3158)*(E3158=E$2:E3158)))))-COUNTBLANK(OFFSET(A$1,,,SUMPRODUCT(MAX(ROW(E$1:E3157)*(E2=E$1:E3157))))))</f>
        <v> </v>
      </c>
      <c r="K3158" s="25" t="str">
        <f>IF(OR(E3158="",E3158="!!!",F3158="NEW"),"",INDEX(J$1:J3157,SUMPRODUCT(MAX(ROW(E$1:E3157)*(E3158=E$1:E3157)))))</f>
        <v> </v>
      </c>
      <c r="L3158" s="26"/>
    </row>
    <row r="3159" spans="1:12">
      <c r="A3159" s="20" t="s">
        <v>2568</v>
      </c>
      <c r="E3159" s="21">
        <f>IF(D3159="?OLD","!!!","")</f>
        <v/>
      </c>
      <c r="F3159" s="22" t="str">
        <f>IF(OR(E3159="",E3159="!!!"),"",IF(NOT(ISNA(VLOOKUP(E3159,E$1:E3158,1,FALSE()))),"OLD",IF(AND(E3159&lt;&gt;"",E3159&lt;&gt;"!!!"),"NEW","")))</f>
        <v> </v>
      </c>
      <c r="G3159" s="23" t="str">
        <f>IF(OR(E3159="",E3159="!!!"),"",IF(OR(J3159=0,AND(J3159=1,K3159=1),AND(J3159=1,I3159="SBJ"),AND(J3159=1,I3159=0)),"?IN_FOCUS",IF(J3159&lt;=2,"?ACTIVATED",IF(J3159&lt;&gt;"","?FAMILIAR",IF(F3159="NEW",IF(ISNA(VLOOKUP(E3159,#REF!,1,FALSE())),"?TYPE_IDENTIFIABLE","?REFERENTIAL"),"_")))))</f>
        <v> </v>
      </c>
      <c r="H3159" s="24" t="str">
        <f>IF(J3159&lt;&gt;1,"",IF(I3159="SBJ","CB","?"))</f>
        <v> </v>
      </c>
      <c r="I3159" s="25" t="str">
        <f>IF(OR(E3159="",E3159="!!!",F3159="NEW"),"",INDEX(B3158:B$2,-1+SUMPRODUCT(MAX(ROW(E3158:E$2)*(E3159=E3158:E$2)))))</f>
        <v> </v>
      </c>
      <c r="J3159" s="25" t="str">
        <f>IF(OR(E3159="",E3159="!!!",F3159="NEW"),"",COUNTBLANK(OFFSET(A$1,,,SUMPRODUCT(MAX(ROW(E$2:E3159)*(E3159=E$2:E3159)))))-COUNTBLANK(OFFSET(A$1,,,SUMPRODUCT(MAX(ROW(E$1:E3158)*(E2=E$1:E3158))))))</f>
        <v> </v>
      </c>
      <c r="K3159" s="25" t="str">
        <f>IF(OR(E3159="",E3159="!!!",F3159="NEW"),"",INDEX(J$1:J3158,SUMPRODUCT(MAX(ROW(E$1:E3158)*(E3159=E$1:E3158)))))</f>
        <v> </v>
      </c>
      <c r="L3159" s="26"/>
    </row>
    <row r="3160" spans="1:12">
      <c r="A3160" s="20" t="s">
        <v>2569</v>
      </c>
      <c r="B3160" s="27" t="s">
        <v>1149</v>
      </c>
      <c r="E3160" s="21">
        <f>IF(D3160="?OLD","!!!","")</f>
        <v/>
      </c>
      <c r="F3160" s="22" t="str">
        <f>IF(OR(E3160="",E3160="!!!"),"",IF(NOT(ISNA(VLOOKUP(E3160,E$1:E3159,1,FALSE()))),"OLD",IF(AND(E3160&lt;&gt;"",E3160&lt;&gt;"!!!"),"NEW","")))</f>
        <v> </v>
      </c>
      <c r="G3160" s="23" t="str">
        <f>IF(OR(E3160="",E3160="!!!"),"",IF(OR(J3160=0,AND(J3160=1,K3160=1),AND(J3160=1,I3160="SBJ"),AND(J3160=1,I3160=0)),"?IN_FOCUS",IF(J3160&lt;=2,"?ACTIVATED",IF(J3160&lt;&gt;"","?FAMILIAR",IF(F3160="NEW",IF(ISNA(VLOOKUP(E3160,#REF!,1,FALSE())),"?TYPE_IDENTIFIABLE","?REFERENTIAL"),"_")))))</f>
        <v> </v>
      </c>
      <c r="H3160" s="24" t="str">
        <f>IF(J3160&lt;&gt;1,"",IF(I3160="SBJ","CB","?"))</f>
        <v> </v>
      </c>
      <c r="I3160" s="25" t="str">
        <f>IF(OR(E3160="",E3160="!!!",F3160="NEW"),"",INDEX(B3159:B$2,-1+SUMPRODUCT(MAX(ROW(E3159:E$2)*(E3160=E3159:E$2)))))</f>
        <v> </v>
      </c>
      <c r="J3160" s="25" t="str">
        <f>IF(OR(E3160="",E3160="!!!",F3160="NEW"),"",COUNTBLANK(OFFSET(A$1,,,SUMPRODUCT(MAX(ROW(E$2:E3160)*(E3160=E$2:E3160)))))-COUNTBLANK(OFFSET(A$1,,,SUMPRODUCT(MAX(ROW(E$1:E3159)*(E2=E$1:E3159))))))</f>
        <v> </v>
      </c>
      <c r="K3160" s="25" t="str">
        <f>IF(OR(E3160="",E3160="!!!",F3160="NEW"),"",INDEX(J$1:J3159,SUMPRODUCT(MAX(ROW(E$1:E3159)*(E3160=E$1:E3159)))))</f>
        <v> </v>
      </c>
      <c r="L3160" s="26"/>
    </row>
    <row r="3161" spans="1:12">
      <c r="A3161" s="20" t="s">
        <v>2570</v>
      </c>
      <c r="E3161" s="21">
        <f>IF(D3161="?OLD","!!!","")</f>
        <v/>
      </c>
      <c r="F3161" s="22" t="str">
        <f>IF(OR(E3161="",E3161="!!!"),"",IF(NOT(ISNA(VLOOKUP(E3161,E$1:E3160,1,FALSE()))),"OLD",IF(AND(E3161&lt;&gt;"",E3161&lt;&gt;"!!!"),"NEW","")))</f>
        <v> </v>
      </c>
      <c r="G3161" s="23" t="str">
        <f>IF(OR(E3161="",E3161="!!!"),"",IF(OR(J3161=0,AND(J3161=1,K3161=1),AND(J3161=1,I3161="SBJ"),AND(J3161=1,I3161=0)),"?IN_FOCUS",IF(J3161&lt;=2,"?ACTIVATED",IF(J3161&lt;&gt;"","?FAMILIAR",IF(F3161="NEW",IF(ISNA(VLOOKUP(E3161,#REF!,1,FALSE())),"?TYPE_IDENTIFIABLE","?REFERENTIAL"),"_")))))</f>
        <v> </v>
      </c>
      <c r="H3161" s="24" t="str">
        <f>IF(J3161&lt;&gt;1,"",IF(I3161="SBJ","CB","?"))</f>
        <v> </v>
      </c>
      <c r="I3161" s="25" t="str">
        <f>IF(OR(E3161="",E3161="!!!",F3161="NEW"),"",INDEX(B3160:B$2,-1+SUMPRODUCT(MAX(ROW(E3160:E$2)*(E3161=E3160:E$2)))))</f>
        <v> </v>
      </c>
      <c r="J3161" s="25" t="str">
        <f>IF(OR(E3161="",E3161="!!!",F3161="NEW"),"",COUNTBLANK(OFFSET(A$1,,,SUMPRODUCT(MAX(ROW(E$2:E3161)*(E3161=E$2:E3161)))))-COUNTBLANK(OFFSET(A$1,,,SUMPRODUCT(MAX(ROW(E$1:E3160)*(E2=E$1:E3160))))))</f>
        <v> </v>
      </c>
      <c r="K3161" s="25" t="str">
        <f>IF(OR(E3161="",E3161="!!!",F3161="NEW"),"",INDEX(J$1:J3160,SUMPRODUCT(MAX(ROW(E$1:E3160)*(E3161=E$1:E3160)))))</f>
        <v> </v>
      </c>
      <c r="L3161" s="26"/>
    </row>
    <row r="3162" spans="1:12">
      <c r="A3162" s="20" t="s">
        <v>1339</v>
      </c>
      <c r="E3162" s="21">
        <f>IF(D3162="?OLD","!!!","")</f>
        <v/>
      </c>
      <c r="F3162" s="22" t="str">
        <f>IF(OR(E3162="",E3162="!!!"),"",IF(NOT(ISNA(VLOOKUP(E3162,E$1:E3161,1,FALSE()))),"OLD",IF(AND(E3162&lt;&gt;"",E3162&lt;&gt;"!!!"),"NEW","")))</f>
        <v> </v>
      </c>
      <c r="G3162" s="23" t="str">
        <f>IF(OR(E3162="",E3162="!!!"),"",IF(OR(J3162=0,AND(J3162=1,K3162=1),AND(J3162=1,I3162="SBJ"),AND(J3162=1,I3162=0)),"?IN_FOCUS",IF(J3162&lt;=2,"?ACTIVATED",IF(J3162&lt;&gt;"","?FAMILIAR",IF(F3162="NEW",IF(ISNA(VLOOKUP(E3162,#REF!,1,FALSE())),"?TYPE_IDENTIFIABLE","?REFERENTIAL"),"_")))))</f>
        <v> </v>
      </c>
      <c r="H3162" s="24" t="str">
        <f>IF(J3162&lt;&gt;1,"",IF(I3162="SBJ","CB","?"))</f>
        <v> </v>
      </c>
      <c r="I3162" s="25" t="str">
        <f>IF(OR(E3162="",E3162="!!!",F3162="NEW"),"",INDEX(B3161:B$2,-1+SUMPRODUCT(MAX(ROW(E3161:E$2)*(E3162=E3161:E$2)))))</f>
        <v> </v>
      </c>
      <c r="J3162" s="25" t="str">
        <f>IF(OR(E3162="",E3162="!!!",F3162="NEW"),"",COUNTBLANK(OFFSET(A$1,,,SUMPRODUCT(MAX(ROW(E$2:E3162)*(E3162=E$2:E3162)))))-COUNTBLANK(OFFSET(A$1,,,SUMPRODUCT(MAX(ROW(E$1:E3161)*(E2=E$1:E3161))))))</f>
        <v> </v>
      </c>
      <c r="K3162" s="25" t="str">
        <f>IF(OR(E3162="",E3162="!!!",F3162="NEW"),"",INDEX(J$1:J3161,SUMPRODUCT(MAX(ROW(E$1:E3161)*(E3162=E$1:E3161)))))</f>
        <v> </v>
      </c>
      <c r="L3162" s="26"/>
    </row>
    <row r="3163" spans="1:12">
      <c r="A3163" s="20" t="s">
        <v>1111</v>
      </c>
      <c r="E3163" s="21">
        <f>IF(D3163="?OLD","!!!","")</f>
        <v/>
      </c>
      <c r="F3163" s="22" t="str">
        <f>IF(OR(E3163="",E3163="!!!"),"",IF(NOT(ISNA(VLOOKUP(E3163,E$1:E3162,1,FALSE()))),"OLD",IF(AND(E3163&lt;&gt;"",E3163&lt;&gt;"!!!"),"NEW","")))</f>
        <v> </v>
      </c>
      <c r="G3163" s="23" t="str">
        <f>IF(OR(E3163="",E3163="!!!"),"",IF(OR(J3163=0,AND(J3163=1,K3163=1),AND(J3163=1,I3163="SBJ"),AND(J3163=1,I3163=0)),"?IN_FOCUS",IF(J3163&lt;=2,"?ACTIVATED",IF(J3163&lt;&gt;"","?FAMILIAR",IF(F3163="NEW",IF(ISNA(VLOOKUP(E3163,#REF!,1,FALSE())),"?TYPE_IDENTIFIABLE","?REFERENTIAL"),"_")))))</f>
        <v> </v>
      </c>
      <c r="H3163" s="24" t="str">
        <f>IF(J3163&lt;&gt;1,"",IF(I3163="SBJ","CB","?"))</f>
        <v> </v>
      </c>
      <c r="I3163" s="25" t="str">
        <f>IF(OR(E3163="",E3163="!!!",F3163="NEW"),"",INDEX(B3162:B$2,-1+SUMPRODUCT(MAX(ROW(E3162:E$2)*(E3163=E3162:E$2)))))</f>
        <v> </v>
      </c>
      <c r="J3163" s="25" t="str">
        <f>IF(OR(E3163="",E3163="!!!",F3163="NEW"),"",COUNTBLANK(OFFSET(A$1,,,SUMPRODUCT(MAX(ROW(E$2:E3163)*(E3163=E$2:E3163)))))-COUNTBLANK(OFFSET(A$1,,,SUMPRODUCT(MAX(ROW(E$1:E3162)*(E2=E$1:E3162))))))</f>
        <v> </v>
      </c>
      <c r="K3163" s="25" t="str">
        <f>IF(OR(E3163="",E3163="!!!",F3163="NEW"),"",INDEX(J$1:J3162,SUMPRODUCT(MAX(ROW(E$1:E3162)*(E3163=E$1:E3162)))))</f>
        <v> </v>
      </c>
      <c r="L3163" s="26"/>
    </row>
    <row r="3164" spans="1:12">
      <c r="A3164" s="20" t="s">
        <v>1884</v>
      </c>
      <c r="E3164" s="21">
        <f>IF(D3164="?OLD","!!!","")</f>
        <v/>
      </c>
      <c r="F3164" s="22" t="str">
        <f>IF(OR(E3164="",E3164="!!!"),"",IF(NOT(ISNA(VLOOKUP(E3164,E$1:E3163,1,FALSE()))),"OLD",IF(AND(E3164&lt;&gt;"",E3164&lt;&gt;"!!!"),"NEW","")))</f>
        <v> </v>
      </c>
      <c r="G3164" s="23" t="str">
        <f>IF(OR(E3164="",E3164="!!!"),"",IF(OR(J3164=0,AND(J3164=1,K3164=1),AND(J3164=1,I3164="SBJ"),AND(J3164=1,I3164=0)),"?IN_FOCUS",IF(J3164&lt;=2,"?ACTIVATED",IF(J3164&lt;&gt;"","?FAMILIAR",IF(F3164="NEW",IF(ISNA(VLOOKUP(E3164,#REF!,1,FALSE())),"?TYPE_IDENTIFIABLE","?REFERENTIAL"),"_")))))</f>
        <v> </v>
      </c>
      <c r="H3164" s="24" t="str">
        <f>IF(J3164&lt;&gt;1,"",IF(I3164="SBJ","CB","?"))</f>
        <v> </v>
      </c>
      <c r="I3164" s="25" t="str">
        <f>IF(OR(E3164="",E3164="!!!",F3164="NEW"),"",INDEX(B3163:B$2,-1+SUMPRODUCT(MAX(ROW(E3163:E$2)*(E3164=E3163:E$2)))))</f>
        <v> </v>
      </c>
      <c r="J3164" s="25" t="str">
        <f>IF(OR(E3164="",E3164="!!!",F3164="NEW"),"",COUNTBLANK(OFFSET(A$1,,,SUMPRODUCT(MAX(ROW(E$2:E3164)*(E3164=E$2:E3164)))))-COUNTBLANK(OFFSET(A$1,,,SUMPRODUCT(MAX(ROW(E$1:E3163)*(E2=E$1:E3163))))))</f>
        <v> </v>
      </c>
      <c r="K3164" s="25" t="str">
        <f>IF(OR(E3164="",E3164="!!!",F3164="NEW"),"",INDEX(J$1:J3163,SUMPRODUCT(MAX(ROW(E$1:E3163)*(E3164=E$1:E3163)))))</f>
        <v> </v>
      </c>
      <c r="L3164" s="26"/>
    </row>
    <row r="3165" spans="1:12">
      <c r="A3165" s="20" t="s">
        <v>1885</v>
      </c>
      <c r="B3165" s="27" t="s">
        <v>1144</v>
      </c>
      <c r="E3165" s="21">
        <f>IF(D3165="?OLD","!!!","")</f>
        <v/>
      </c>
      <c r="F3165" s="22" t="str">
        <f>IF(OR(E3165="",E3165="!!!"),"",IF(NOT(ISNA(VLOOKUP(E3165,E$1:E3164,1,FALSE()))),"OLD",IF(AND(E3165&lt;&gt;"",E3165&lt;&gt;"!!!"),"NEW","")))</f>
        <v> </v>
      </c>
      <c r="G3165" s="23" t="str">
        <f>IF(OR(E3165="",E3165="!!!"),"",IF(OR(J3165=0,AND(J3165=1,K3165=1),AND(J3165=1,I3165="SBJ"),AND(J3165=1,I3165=0)),"?IN_FOCUS",IF(J3165&lt;=2,"?ACTIVATED",IF(J3165&lt;&gt;"","?FAMILIAR",IF(F3165="NEW",IF(ISNA(VLOOKUP(E3165,#REF!,1,FALSE())),"?TYPE_IDENTIFIABLE","?REFERENTIAL"),"_")))))</f>
        <v> </v>
      </c>
      <c r="H3165" s="24" t="str">
        <f>IF(J3165&lt;&gt;1,"",IF(I3165="SBJ","CB","?"))</f>
        <v> </v>
      </c>
      <c r="I3165" s="25" t="str">
        <f>IF(OR(E3165="",E3165="!!!",F3165="NEW"),"",INDEX(B3164:B$2,-1+SUMPRODUCT(MAX(ROW(E3164:E$2)*(E3165=E3164:E$2)))))</f>
        <v> </v>
      </c>
      <c r="J3165" s="25" t="str">
        <f>IF(OR(E3165="",E3165="!!!",F3165="NEW"),"",COUNTBLANK(OFFSET(A$1,,,SUMPRODUCT(MAX(ROW(E$2:E3165)*(E3165=E$2:E3165)))))-COUNTBLANK(OFFSET(A$1,,,SUMPRODUCT(MAX(ROW(E$1:E3164)*(E2=E$1:E3164))))))</f>
        <v> </v>
      </c>
      <c r="K3165" s="25" t="str">
        <f>IF(OR(E3165="",E3165="!!!",F3165="NEW"),"",INDEX(J$1:J3164,SUMPRODUCT(MAX(ROW(E$1:E3164)*(E3165=E$1:E3164)))))</f>
        <v> </v>
      </c>
      <c r="L3165" s="26"/>
    </row>
    <row r="3166" spans="1:12">
      <c r="A3166" s="20" t="s">
        <v>1351</v>
      </c>
      <c r="E3166" s="21">
        <f>IF(D3166="?OLD","!!!","")</f>
        <v/>
      </c>
      <c r="F3166" s="22" t="str">
        <f>IF(OR(E3166="",E3166="!!!"),"",IF(NOT(ISNA(VLOOKUP(E3166,E$1:E3165,1,FALSE()))),"OLD",IF(AND(E3166&lt;&gt;"",E3166&lt;&gt;"!!!"),"NEW","")))</f>
        <v> </v>
      </c>
      <c r="G3166" s="23" t="str">
        <f>IF(OR(E3166="",E3166="!!!"),"",IF(OR(J3166=0,AND(J3166=1,K3166=1),AND(J3166=1,I3166="SBJ"),AND(J3166=1,I3166=0)),"?IN_FOCUS",IF(J3166&lt;=2,"?ACTIVATED",IF(J3166&lt;&gt;"","?FAMILIAR",IF(F3166="NEW",IF(ISNA(VLOOKUP(E3166,#REF!,1,FALSE())),"?TYPE_IDENTIFIABLE","?REFERENTIAL"),"_")))))</f>
        <v> </v>
      </c>
      <c r="H3166" s="24" t="str">
        <f>IF(J3166&lt;&gt;1,"",IF(I3166="SBJ","CB","?"))</f>
        <v> </v>
      </c>
      <c r="I3166" s="25" t="str">
        <f>IF(OR(E3166="",E3166="!!!",F3166="NEW"),"",INDEX(B3165:B$2,-1+SUMPRODUCT(MAX(ROW(E3165:E$2)*(E3166=E3165:E$2)))))</f>
        <v> </v>
      </c>
      <c r="J3166" s="25" t="str">
        <f>IF(OR(E3166="",E3166="!!!",F3166="NEW"),"",COUNTBLANK(OFFSET(A$1,,,SUMPRODUCT(MAX(ROW(E$2:E3166)*(E3166=E$2:E3166)))))-COUNTBLANK(OFFSET(A$1,,,SUMPRODUCT(MAX(ROW(E$1:E3165)*(E2=E$1:E3165))))))</f>
        <v> </v>
      </c>
      <c r="K3166" s="25" t="str">
        <f>IF(OR(E3166="",E3166="!!!",F3166="NEW"),"",INDEX(J$1:J3165,SUMPRODUCT(MAX(ROW(E$1:E3165)*(E3166=E$1:E3165)))))</f>
        <v> </v>
      </c>
      <c r="L3166" s="26"/>
    </row>
    <row r="3167" spans="1:12">
      <c r="A3167" s="20"/>
    </row>
    <row r="3168" spans="1:12">
      <c r="A3168" s="20" t="s">
        <v>2571</v>
      </c>
    </row>
    <row r="3169" spans="1:12">
      <c r="A3169" s="20" t="s">
        <v>1884</v>
      </c>
      <c r="E3169" s="21">
        <f>IF(D3169="?OLD","!!!","")</f>
        <v/>
      </c>
      <c r="F3169" s="22" t="str">
        <f>IF(OR(E3169="",E3169="!!!"),"",IF(NOT(ISNA(VLOOKUP(E3169,E$1:E3168,1,FALSE()))),"OLD",IF(AND(E3169&lt;&gt;"",E3169&lt;&gt;"!!!"),"NEW","")))</f>
        <v> </v>
      </c>
      <c r="G3169" s="23" t="str">
        <f>IF(OR(E3169="",E3169="!!!"),"",IF(OR(J3169=0,AND(J3169=1,K3169=1),AND(J3169=1,I3169="SBJ"),AND(J3169=1,I3169=0)),"?IN_FOCUS",IF(J3169&lt;=2,"?ACTIVATED",IF(J3169&lt;&gt;"","?FAMILIAR",IF(F3169="NEW",IF(ISNA(VLOOKUP(E3169,#REF!,1,FALSE())),"?TYPE_IDENTIFIABLE","?REFERENTIAL"),"_")))))</f>
        <v> </v>
      </c>
      <c r="H3169" s="24" t="str">
        <f>IF(J3169&lt;&gt;1,"",IF(I3169="SBJ","CB","?"))</f>
        <v> </v>
      </c>
      <c r="I3169" s="25" t="str">
        <f>IF(OR(E3169="",E3169="!!!",F3169="NEW"),"",INDEX(B3168:B$2,-1+SUMPRODUCT(MAX(ROW(E3168:E$2)*(E3169=E3168:E$2)))))</f>
        <v> </v>
      </c>
      <c r="J3169" s="25" t="str">
        <f>IF(OR(E3169="",E3169="!!!",F3169="NEW"),"",COUNTBLANK(OFFSET(A$1,,,SUMPRODUCT(MAX(ROW(E$2:E3169)*(E3169=E$2:E3169)))))-COUNTBLANK(OFFSET(A$1,,,SUMPRODUCT(MAX(ROW(E$1:E3168)*(E2=E$1:E3168))))))</f>
        <v> </v>
      </c>
      <c r="K3169" s="25" t="str">
        <f>IF(OR(E3169="",E3169="!!!",F3169="NEW"),"",INDEX(J$1:J3168,SUMPRODUCT(MAX(ROW(E$1:E3168)*(E3169=E$1:E3168)))))</f>
        <v> </v>
      </c>
      <c r="L3169" s="26"/>
    </row>
    <row r="3170" spans="1:12">
      <c r="A3170" s="20" t="s">
        <v>1885</v>
      </c>
      <c r="E3170" s="21">
        <f>IF(D3170="?OLD","!!!","")</f>
        <v/>
      </c>
      <c r="F3170" s="22" t="str">
        <f>IF(OR(E3170="",E3170="!!!"),"",IF(NOT(ISNA(VLOOKUP(E3170,E$1:E3169,1,FALSE()))),"OLD",IF(AND(E3170&lt;&gt;"",E3170&lt;&gt;"!!!"),"NEW","")))</f>
        <v> </v>
      </c>
      <c r="G3170" s="23" t="str">
        <f>IF(OR(E3170="",E3170="!!!"),"",IF(OR(J3170=0,AND(J3170=1,K3170=1),AND(J3170=1,I3170="SBJ"),AND(J3170=1,I3170=0)),"?IN_FOCUS",IF(J3170&lt;=2,"?ACTIVATED",IF(J3170&lt;&gt;"","?FAMILIAR",IF(F3170="NEW",IF(ISNA(VLOOKUP(E3170,#REF!,1,FALSE())),"?TYPE_IDENTIFIABLE","?REFERENTIAL"),"_")))))</f>
        <v> </v>
      </c>
      <c r="H3170" s="24" t="str">
        <f>IF(J3170&lt;&gt;1,"",IF(I3170="SBJ","CB","?"))</f>
        <v> </v>
      </c>
      <c r="I3170" s="25" t="str">
        <f>IF(OR(E3170="",E3170="!!!",F3170="NEW"),"",INDEX(B3169:B$2,-1+SUMPRODUCT(MAX(ROW(E3169:E$2)*(E3170=E3169:E$2)))))</f>
        <v> </v>
      </c>
      <c r="J3170" s="25" t="str">
        <f>IF(OR(E3170="",E3170="!!!",F3170="NEW"),"",COUNTBLANK(OFFSET(A$1,,,SUMPRODUCT(MAX(ROW(E$2:E3170)*(E3170=E$2:E3170)))))-COUNTBLANK(OFFSET(A$1,,,SUMPRODUCT(MAX(ROW(E$1:E3169)*(E2=E$1:E3169))))))</f>
        <v> </v>
      </c>
      <c r="K3170" s="25" t="str">
        <f>IF(OR(E3170="",E3170="!!!",F3170="NEW"),"",INDEX(J$1:J3169,SUMPRODUCT(MAX(ROW(E$1:E3169)*(E3170=E$1:E3169)))))</f>
        <v> </v>
      </c>
      <c r="L3170" s="26"/>
    </row>
    <row r="3171" spans="1:12">
      <c r="A3171" s="20" t="s">
        <v>1351</v>
      </c>
      <c r="E3171" s="21">
        <f>IF(D3171="?OLD","!!!","")</f>
        <v/>
      </c>
      <c r="F3171" s="22" t="str">
        <f>IF(OR(E3171="",E3171="!!!"),"",IF(NOT(ISNA(VLOOKUP(E3171,E$1:E3170,1,FALSE()))),"OLD",IF(AND(E3171&lt;&gt;"",E3171&lt;&gt;"!!!"),"NEW","")))</f>
        <v> </v>
      </c>
      <c r="G3171" s="23" t="str">
        <f>IF(OR(E3171="",E3171="!!!"),"",IF(OR(J3171=0,AND(J3171=1,K3171=1),AND(J3171=1,I3171="SBJ"),AND(J3171=1,I3171=0)),"?IN_FOCUS",IF(J3171&lt;=2,"?ACTIVATED",IF(J3171&lt;&gt;"","?FAMILIAR",IF(F3171="NEW",IF(ISNA(VLOOKUP(E3171,#REF!,1,FALSE())),"?TYPE_IDENTIFIABLE","?REFERENTIAL"),"_")))))</f>
        <v> </v>
      </c>
      <c r="H3171" s="24" t="str">
        <f>IF(J3171&lt;&gt;1,"",IF(I3171="SBJ","CB","?"))</f>
        <v> </v>
      </c>
      <c r="I3171" s="25" t="str">
        <f>IF(OR(E3171="",E3171="!!!",F3171="NEW"),"",INDEX(B3170:B$2,-1+SUMPRODUCT(MAX(ROW(E3170:E$2)*(E3171=E3170:E$2)))))</f>
        <v> </v>
      </c>
      <c r="J3171" s="25" t="str">
        <f>IF(OR(E3171="",E3171="!!!",F3171="NEW"),"",COUNTBLANK(OFFSET(A$1,,,SUMPRODUCT(MAX(ROW(E$2:E3171)*(E3171=E$2:E3171)))))-COUNTBLANK(OFFSET(A$1,,,SUMPRODUCT(MAX(ROW(E$1:E3170)*(E2=E$1:E3170))))))</f>
        <v> </v>
      </c>
      <c r="K3171" s="25" t="str">
        <f>IF(OR(E3171="",E3171="!!!",F3171="NEW"),"",INDEX(J$1:J3170,SUMPRODUCT(MAX(ROW(E$1:E3170)*(E3171=E$1:E3170)))))</f>
        <v> </v>
      </c>
      <c r="L3171" s="26"/>
    </row>
    <row r="3172" spans="1:12">
      <c r="A3172" s="20"/>
    </row>
    <row r="3173" spans="1:12">
      <c r="A3173" s="20" t="s">
        <v>2572</v>
      </c>
    </row>
    <row r="3174" spans="1:12">
      <c r="A3174" s="20" t="s">
        <v>778</v>
      </c>
      <c r="E3174" s="21">
        <f>IF(D3174="?OLD","!!!","")</f>
        <v/>
      </c>
      <c r="F3174" s="22" t="str">
        <f>IF(OR(E3174="",E3174="!!!"),"",IF(NOT(ISNA(VLOOKUP(E3174,E$1:E3173,1,FALSE()))),"OLD",IF(AND(E3174&lt;&gt;"",E3174&lt;&gt;"!!!"),"NEW","")))</f>
        <v> </v>
      </c>
      <c r="G3174" s="23" t="str">
        <f>IF(OR(E3174="",E3174="!!!"),"",IF(OR(J3174=0,AND(J3174=1,K3174=1),AND(J3174=1,I3174="SBJ"),AND(J3174=1,I3174=0)),"?IN_FOCUS",IF(J3174&lt;=2,"?ACTIVATED",IF(J3174&lt;&gt;"","?FAMILIAR",IF(F3174="NEW",IF(ISNA(VLOOKUP(E3174,#REF!,1,FALSE())),"?TYPE_IDENTIFIABLE","?REFERENTIAL"),"_")))))</f>
        <v> </v>
      </c>
      <c r="H3174" s="24" t="str">
        <f>IF(J3174&lt;&gt;1,"",IF(I3174="SBJ","CB","?"))</f>
        <v> </v>
      </c>
      <c r="I3174" s="25" t="str">
        <f>IF(OR(E3174="",E3174="!!!",F3174="NEW"),"",INDEX(B3173:B$2,-1+SUMPRODUCT(MAX(ROW(E3173:E$2)*(E3174=E3173:E$2)))))</f>
        <v> </v>
      </c>
      <c r="J3174" s="25" t="str">
        <f>IF(OR(E3174="",E3174="!!!",F3174="NEW"),"",COUNTBLANK(OFFSET(A$1,,,SUMPRODUCT(MAX(ROW(E$2:E3174)*(E3174=E$2:E3174)))))-COUNTBLANK(OFFSET(A$1,,,SUMPRODUCT(MAX(ROW(E$1:E3173)*(E2=E$1:E3173))))))</f>
        <v> </v>
      </c>
      <c r="K3174" s="25" t="str">
        <f>IF(OR(E3174="",E3174="!!!",F3174="NEW"),"",INDEX(J$1:J3173,SUMPRODUCT(MAX(ROW(E$1:E3173)*(E3174=E$1:E3173)))))</f>
        <v> </v>
      </c>
      <c r="L3174" s="26"/>
    </row>
    <row r="3175" spans="1:12">
      <c r="A3175" s="20" t="s">
        <v>1351</v>
      </c>
      <c r="E3175" s="21">
        <f>IF(D3175="?OLD","!!!","")</f>
        <v/>
      </c>
      <c r="F3175" s="22" t="str">
        <f>IF(OR(E3175="",E3175="!!!"),"",IF(NOT(ISNA(VLOOKUP(E3175,E$1:E3174,1,FALSE()))),"OLD",IF(AND(E3175&lt;&gt;"",E3175&lt;&gt;"!!!"),"NEW","")))</f>
        <v> </v>
      </c>
      <c r="G3175" s="23" t="str">
        <f>IF(OR(E3175="",E3175="!!!"),"",IF(OR(J3175=0,AND(J3175=1,K3175=1),AND(J3175=1,I3175="SBJ"),AND(J3175=1,I3175=0)),"?IN_FOCUS",IF(J3175&lt;=2,"?ACTIVATED",IF(J3175&lt;&gt;"","?FAMILIAR",IF(F3175="NEW",IF(ISNA(VLOOKUP(E3175,#REF!,1,FALSE())),"?TYPE_IDENTIFIABLE","?REFERENTIAL"),"_")))))</f>
        <v> </v>
      </c>
      <c r="H3175" s="24" t="str">
        <f>IF(J3175&lt;&gt;1,"",IF(I3175="SBJ","CB","?"))</f>
        <v> </v>
      </c>
      <c r="I3175" s="25" t="str">
        <f>IF(OR(E3175="",E3175="!!!",F3175="NEW"),"",INDEX(B3174:B$2,-1+SUMPRODUCT(MAX(ROW(E3174:E$2)*(E3175=E3174:E$2)))))</f>
        <v> </v>
      </c>
      <c r="J3175" s="25" t="str">
        <f>IF(OR(E3175="",E3175="!!!",F3175="NEW"),"",COUNTBLANK(OFFSET(A$1,,,SUMPRODUCT(MAX(ROW(E$2:E3175)*(E3175=E$2:E3175)))))-COUNTBLANK(OFFSET(A$1,,,SUMPRODUCT(MAX(ROW(E$1:E3174)*(E2=E$1:E3174))))))</f>
        <v> </v>
      </c>
      <c r="K3175" s="25" t="str">
        <f>IF(OR(E3175="",E3175="!!!",F3175="NEW"),"",INDEX(J$1:J3174,SUMPRODUCT(MAX(ROW(E$1:E3174)*(E3175=E$1:E3174)))))</f>
        <v> </v>
      </c>
      <c r="L3175" s="26"/>
    </row>
    <row r="3176" spans="1:12">
      <c r="A3176" s="20"/>
    </row>
    <row r="3177" spans="1:12">
      <c r="A3177" s="20" t="s">
        <v>2573</v>
      </c>
    </row>
    <row r="3178" spans="1:12">
      <c r="A3178" s="20" t="s">
        <v>1671</v>
      </c>
      <c r="E3178" s="21">
        <f>IF(D3178="?OLD","!!!","")</f>
        <v/>
      </c>
      <c r="F3178" s="22" t="str">
        <f>IF(OR(E3178="",E3178="!!!"),"",IF(NOT(ISNA(VLOOKUP(E3178,E$1:E3177,1,FALSE()))),"OLD",IF(AND(E3178&lt;&gt;"",E3178&lt;&gt;"!!!"),"NEW","")))</f>
        <v> </v>
      </c>
      <c r="G3178" s="23" t="str">
        <f>IF(OR(E3178="",E3178="!!!"),"",IF(OR(J3178=0,AND(J3178=1,K3178=1),AND(J3178=1,I3178="SBJ"),AND(J3178=1,I3178=0)),"?IN_FOCUS",IF(J3178&lt;=2,"?ACTIVATED",IF(J3178&lt;&gt;"","?FAMILIAR",IF(F3178="NEW",IF(ISNA(VLOOKUP(E3178,#REF!,1,FALSE())),"?TYPE_IDENTIFIABLE","?REFERENTIAL"),"_")))))</f>
        <v> </v>
      </c>
      <c r="H3178" s="24" t="str">
        <f>IF(J3178&lt;&gt;1,"",IF(I3178="SBJ","CB","?"))</f>
        <v> </v>
      </c>
      <c r="I3178" s="25" t="str">
        <f>IF(OR(E3178="",E3178="!!!",F3178="NEW"),"",INDEX(B3177:B$2,-1+SUMPRODUCT(MAX(ROW(E3177:E$2)*(E3178=E3177:E$2)))))</f>
        <v> </v>
      </c>
      <c r="J3178" s="25" t="str">
        <f>IF(OR(E3178="",E3178="!!!",F3178="NEW"),"",COUNTBLANK(OFFSET(A$1,,,SUMPRODUCT(MAX(ROW(E$2:E3178)*(E3178=E$2:E3178)))))-COUNTBLANK(OFFSET(A$1,,,SUMPRODUCT(MAX(ROW(E$1:E3177)*(E2=E$1:E3177))))))</f>
        <v> </v>
      </c>
      <c r="K3178" s="25" t="str">
        <f>IF(OR(E3178="",E3178="!!!",F3178="NEW"),"",INDEX(J$1:J3177,SUMPRODUCT(MAX(ROW(E$1:E3177)*(E3178=E$1:E3177)))))</f>
        <v> </v>
      </c>
      <c r="L3178" s="26"/>
    </row>
    <row r="3179" spans="1:12">
      <c r="A3179" s="20" t="s">
        <v>1123</v>
      </c>
      <c r="E3179" s="21">
        <f>IF(D3179="?OLD","!!!","")</f>
        <v/>
      </c>
      <c r="F3179" s="22" t="str">
        <f>IF(OR(E3179="",E3179="!!!"),"",IF(NOT(ISNA(VLOOKUP(E3179,E$1:E3178,1,FALSE()))),"OLD",IF(AND(E3179&lt;&gt;"",E3179&lt;&gt;"!!!"),"NEW","")))</f>
        <v> </v>
      </c>
      <c r="G3179" s="23" t="str">
        <f>IF(OR(E3179="",E3179="!!!"),"",IF(OR(J3179=0,AND(J3179=1,K3179=1),AND(J3179=1,I3179="SBJ"),AND(J3179=1,I3179=0)),"?IN_FOCUS",IF(J3179&lt;=2,"?ACTIVATED",IF(J3179&lt;&gt;"","?FAMILIAR",IF(F3179="NEW",IF(ISNA(VLOOKUP(E3179,#REF!,1,FALSE())),"?TYPE_IDENTIFIABLE","?REFERENTIAL"),"_")))))</f>
        <v> </v>
      </c>
      <c r="H3179" s="24" t="str">
        <f>IF(J3179&lt;&gt;1,"",IF(I3179="SBJ","CB","?"))</f>
        <v> </v>
      </c>
      <c r="I3179" s="25" t="str">
        <f>IF(OR(E3179="",E3179="!!!",F3179="NEW"),"",INDEX(B3178:B$2,-1+SUMPRODUCT(MAX(ROW(E3178:E$2)*(E3179=E3178:E$2)))))</f>
        <v> </v>
      </c>
      <c r="J3179" s="25" t="str">
        <f>IF(OR(E3179="",E3179="!!!",F3179="NEW"),"",COUNTBLANK(OFFSET(A$1,,,SUMPRODUCT(MAX(ROW(E$2:E3179)*(E3179=E$2:E3179)))))-COUNTBLANK(OFFSET(A$1,,,SUMPRODUCT(MAX(ROW(E$1:E3178)*(E2=E$1:E3178))))))</f>
        <v> </v>
      </c>
      <c r="K3179" s="25" t="str">
        <f>IF(OR(E3179="",E3179="!!!",F3179="NEW"),"",INDEX(J$1:J3178,SUMPRODUCT(MAX(ROW(E$1:E3178)*(E3179=E$1:E3178)))))</f>
        <v> </v>
      </c>
      <c r="L3179" s="26"/>
    </row>
    <row r="3180" spans="1:12">
      <c r="A3180" s="20" t="s">
        <v>135</v>
      </c>
      <c r="E3180" s="21">
        <f>IF(D3180="?OLD","!!!","")</f>
        <v/>
      </c>
      <c r="F3180" s="22" t="str">
        <f>IF(OR(E3180="",E3180="!!!"),"",IF(NOT(ISNA(VLOOKUP(E3180,E$1:E3179,1,FALSE()))),"OLD",IF(AND(E3180&lt;&gt;"",E3180&lt;&gt;"!!!"),"NEW","")))</f>
        <v> </v>
      </c>
      <c r="G3180" s="23" t="str">
        <f>IF(OR(E3180="",E3180="!!!"),"",IF(OR(J3180=0,AND(J3180=1,K3180=1),AND(J3180=1,I3180="SBJ"),AND(J3180=1,I3180=0)),"?IN_FOCUS",IF(J3180&lt;=2,"?ACTIVATED",IF(J3180&lt;&gt;"","?FAMILIAR",IF(F3180="NEW",IF(ISNA(VLOOKUP(E3180,#REF!,1,FALSE())),"?TYPE_IDENTIFIABLE","?REFERENTIAL"),"_")))))</f>
        <v> </v>
      </c>
      <c r="H3180" s="24" t="str">
        <f>IF(J3180&lt;&gt;1,"",IF(I3180="SBJ","CB","?"))</f>
        <v> </v>
      </c>
      <c r="I3180" s="25" t="str">
        <f>IF(OR(E3180="",E3180="!!!",F3180="NEW"),"",INDEX(B3179:B$2,-1+SUMPRODUCT(MAX(ROW(E3179:E$2)*(E3180=E3179:E$2)))))</f>
        <v> </v>
      </c>
      <c r="J3180" s="25" t="str">
        <f>IF(OR(E3180="",E3180="!!!",F3180="NEW"),"",COUNTBLANK(OFFSET(A$1,,,SUMPRODUCT(MAX(ROW(E$2:E3180)*(E3180=E$2:E3180)))))-COUNTBLANK(OFFSET(A$1,,,SUMPRODUCT(MAX(ROW(E$1:E3179)*(E2=E$1:E3179))))))</f>
        <v> </v>
      </c>
      <c r="K3180" s="25" t="str">
        <f>IF(OR(E3180="",E3180="!!!",F3180="NEW"),"",INDEX(J$1:J3179,SUMPRODUCT(MAX(ROW(E$1:E3179)*(E3180=E$1:E3179)))))</f>
        <v> </v>
      </c>
      <c r="L3180" s="26"/>
    </row>
    <row r="3181" spans="1:12">
      <c r="A3181" s="20" t="s">
        <v>1124</v>
      </c>
      <c r="B3181" s="27" t="s">
        <v>1122</v>
      </c>
      <c r="C3181" s="27" t="s">
        <v>1126</v>
      </c>
      <c r="D3181" s="27" t="s">
        <v>1105</v>
      </c>
      <c r="E3181" s="21">
        <f>IF(D3181="?OLD","!!!","")</f>
        <v/>
      </c>
      <c r="F3181" s="22" t="str">
        <f>IF(OR(E3181="",E3181="!!!"),"",IF(NOT(ISNA(VLOOKUP(E3181,E$1:E3180,1,FALSE()))),"OLD",IF(AND(E3181&lt;&gt;"",E3181&lt;&gt;"!!!"),"NEW","")))</f>
        <v> </v>
      </c>
      <c r="G3181" s="23" t="str">
        <f>IF(OR(E3181="",E3181="!!!"),"",IF(OR(J3181=0,AND(J3181=1,K3181=1),AND(J3181=1,I3181="SBJ"),AND(J3181=1,I3181=0)),"?IN_FOCUS",IF(J3181&lt;=2,"?ACTIVATED",IF(J3181&lt;&gt;"","?FAMILIAR",IF(F3181="NEW",IF(ISNA(VLOOKUP(E3181,#REF!,1,FALSE())),"?TYPE_IDENTIFIABLE","?REFERENTIAL"),"_")))))</f>
        <v> </v>
      </c>
      <c r="H3181" s="24" t="str">
        <f>IF(J3181&lt;&gt;1,"",IF(I3181="SBJ","CB","?"))</f>
        <v> </v>
      </c>
      <c r="I3181" s="25" t="str">
        <f>IF(OR(E3181="",E3181="!!!",F3181="NEW"),"",INDEX(B3180:B$2,-1+SUMPRODUCT(MAX(ROW(E3180:E$2)*(E3181=E3180:E$2)))))</f>
        <v> </v>
      </c>
      <c r="J3181" s="25" t="str">
        <f>IF(OR(E3181="",E3181="!!!",F3181="NEW"),"",COUNTBLANK(OFFSET(A$1,,,SUMPRODUCT(MAX(ROW(E$2:E3181)*(E3181=E$2:E3181)))))-COUNTBLANK(OFFSET(A$1,,,SUMPRODUCT(MAX(ROW(E$1:E3180)*(E2=E$1:E3180))))))</f>
        <v> </v>
      </c>
      <c r="K3181" s="25" t="str">
        <f>IF(OR(E3181="",E3181="!!!",F3181="NEW"),"",INDEX(J$1:J3180,SUMPRODUCT(MAX(ROW(E$1:E3180)*(E3181=E$1:E3180)))))</f>
        <v> </v>
      </c>
      <c r="L3181" s="26"/>
    </row>
    <row r="3182" spans="1:12">
      <c r="A3182" s="20" t="s">
        <v>2574</v>
      </c>
      <c r="E3182" s="21">
        <f>IF(D3182="?OLD","!!!","")</f>
        <v/>
      </c>
      <c r="F3182" s="22" t="str">
        <f>IF(OR(E3182="",E3182="!!!"),"",IF(NOT(ISNA(VLOOKUP(E3182,E$1:E3181,1,FALSE()))),"OLD",IF(AND(E3182&lt;&gt;"",E3182&lt;&gt;"!!!"),"NEW","")))</f>
        <v> </v>
      </c>
      <c r="G3182" s="23" t="str">
        <f>IF(OR(E3182="",E3182="!!!"),"",IF(OR(J3182=0,AND(J3182=1,K3182=1),AND(J3182=1,I3182="SBJ"),AND(J3182=1,I3182=0)),"?IN_FOCUS",IF(J3182&lt;=2,"?ACTIVATED",IF(J3182&lt;&gt;"","?FAMILIAR",IF(F3182="NEW",IF(ISNA(VLOOKUP(E3182,#REF!,1,FALSE())),"?TYPE_IDENTIFIABLE","?REFERENTIAL"),"_")))))</f>
        <v> </v>
      </c>
      <c r="H3182" s="24" t="str">
        <f>IF(J3182&lt;&gt;1,"",IF(I3182="SBJ","CB","?"))</f>
        <v> </v>
      </c>
      <c r="I3182" s="25" t="str">
        <f>IF(OR(E3182="",E3182="!!!",F3182="NEW"),"",INDEX(B3181:B$2,-1+SUMPRODUCT(MAX(ROW(E3181:E$2)*(E3182=E3181:E$2)))))</f>
        <v> </v>
      </c>
      <c r="J3182" s="25" t="str">
        <f>IF(OR(E3182="",E3182="!!!",F3182="NEW"),"",COUNTBLANK(OFFSET(A$1,,,SUMPRODUCT(MAX(ROW(E$2:E3182)*(E3182=E$2:E3182)))))-COUNTBLANK(OFFSET(A$1,,,SUMPRODUCT(MAX(ROW(E$1:E3181)*(E2=E$1:E3181))))))</f>
        <v> </v>
      </c>
      <c r="K3182" s="25" t="str">
        <f>IF(OR(E3182="",E3182="!!!",F3182="NEW"),"",INDEX(J$1:J3181,SUMPRODUCT(MAX(ROW(E$1:E3181)*(E3182=E$1:E3181)))))</f>
        <v> </v>
      </c>
      <c r="L3182" s="26"/>
    </row>
    <row r="3183" spans="1:12">
      <c r="A3183" s="20" t="s">
        <v>2575</v>
      </c>
      <c r="B3183" s="27" t="s">
        <v>1107</v>
      </c>
      <c r="C3183" s="27" t="s">
        <v>1126</v>
      </c>
      <c r="D3183" s="27" t="s">
        <v>1105</v>
      </c>
      <c r="E3183" s="21">
        <f>IF(D3183="?OLD","!!!","")</f>
        <v/>
      </c>
      <c r="F3183" s="22" t="str">
        <f>IF(OR(E3183="",E3183="!!!"),"",IF(NOT(ISNA(VLOOKUP(E3183,E$1:E3182,1,FALSE()))),"OLD",IF(AND(E3183&lt;&gt;"",E3183&lt;&gt;"!!!"),"NEW","")))</f>
        <v> </v>
      </c>
      <c r="G3183" s="23" t="str">
        <f>IF(OR(E3183="",E3183="!!!"),"",IF(OR(J3183=0,AND(J3183=1,K3183=1),AND(J3183=1,I3183="SBJ"),AND(J3183=1,I3183=0)),"?IN_FOCUS",IF(J3183&lt;=2,"?ACTIVATED",IF(J3183&lt;&gt;"","?FAMILIAR",IF(F3183="NEW",IF(ISNA(VLOOKUP(E3183,#REF!,1,FALSE())),"?TYPE_IDENTIFIABLE","?REFERENTIAL"),"_")))))</f>
        <v> </v>
      </c>
      <c r="H3183" s="24" t="str">
        <f>IF(J3183&lt;&gt;1,"",IF(I3183="SBJ","CB","?"))</f>
        <v> </v>
      </c>
      <c r="I3183" s="25" t="str">
        <f>IF(OR(E3183="",E3183="!!!",F3183="NEW"),"",INDEX(B3182:B$2,-1+SUMPRODUCT(MAX(ROW(E3182:E$2)*(E3183=E3182:E$2)))))</f>
        <v> </v>
      </c>
      <c r="J3183" s="25" t="str">
        <f>IF(OR(E3183="",E3183="!!!",F3183="NEW"),"",COUNTBLANK(OFFSET(A$1,,,SUMPRODUCT(MAX(ROW(E$2:E3183)*(E3183=E$2:E3183)))))-COUNTBLANK(OFFSET(A$1,,,SUMPRODUCT(MAX(ROW(E$1:E3182)*(E2=E$1:E3182))))))</f>
        <v> </v>
      </c>
      <c r="K3183" s="25" t="str">
        <f>IF(OR(E3183="",E3183="!!!",F3183="NEW"),"",INDEX(J$1:J3182,SUMPRODUCT(MAX(ROW(E$1:E3182)*(E3183=E$1:E3182)))))</f>
        <v> </v>
      </c>
      <c r="L3183" s="26"/>
    </row>
    <row r="3184" spans="1:12">
      <c r="A3184" s="20" t="s">
        <v>2576</v>
      </c>
      <c r="E3184" s="21">
        <f>IF(D3184="?OLD","!!!","")</f>
        <v/>
      </c>
      <c r="F3184" s="22" t="str">
        <f>IF(OR(E3184="",E3184="!!!"),"",IF(NOT(ISNA(VLOOKUP(E3184,E$1:E3183,1,FALSE()))),"OLD",IF(AND(E3184&lt;&gt;"",E3184&lt;&gt;"!!!"),"NEW","")))</f>
        <v> </v>
      </c>
      <c r="G3184" s="23" t="str">
        <f>IF(OR(E3184="",E3184="!!!"),"",IF(OR(J3184=0,AND(J3184=1,K3184=1),AND(J3184=1,I3184="SBJ"),AND(J3184=1,I3184=0)),"?IN_FOCUS",IF(J3184&lt;=2,"?ACTIVATED",IF(J3184&lt;&gt;"","?FAMILIAR",IF(F3184="NEW",IF(ISNA(VLOOKUP(E3184,#REF!,1,FALSE())),"?TYPE_IDENTIFIABLE","?REFERENTIAL"),"_")))))</f>
        <v> </v>
      </c>
      <c r="H3184" s="24" t="str">
        <f>IF(J3184&lt;&gt;1,"",IF(I3184="SBJ","CB","?"))</f>
        <v> </v>
      </c>
      <c r="I3184" s="25" t="str">
        <f>IF(OR(E3184="",E3184="!!!",F3184="NEW"),"",INDEX(B3183:B$2,-1+SUMPRODUCT(MAX(ROW(E3183:E$2)*(E3184=E3183:E$2)))))</f>
        <v> </v>
      </c>
      <c r="J3184" s="25" t="str">
        <f>IF(OR(E3184="",E3184="!!!",F3184="NEW"),"",COUNTBLANK(OFFSET(A$1,,,SUMPRODUCT(MAX(ROW(E$2:E3184)*(E3184=E$2:E3184)))))-COUNTBLANK(OFFSET(A$1,,,SUMPRODUCT(MAX(ROW(E$1:E3183)*(E2=E$1:E3183))))))</f>
        <v> </v>
      </c>
      <c r="K3184" s="25" t="str">
        <f>IF(OR(E3184="",E3184="!!!",F3184="NEW"),"",INDEX(J$1:J3183,SUMPRODUCT(MAX(ROW(E$1:E3183)*(E3184=E$1:E3183)))))</f>
        <v> </v>
      </c>
      <c r="L3184" s="26"/>
    </row>
    <row r="3185" spans="1:12">
      <c r="A3185" s="20" t="s">
        <v>1351</v>
      </c>
      <c r="E3185" s="21">
        <f>IF(D3185="?OLD","!!!","")</f>
        <v/>
      </c>
      <c r="F3185" s="22" t="str">
        <f>IF(OR(E3185="",E3185="!!!"),"",IF(NOT(ISNA(VLOOKUP(E3185,E$1:E3184,1,FALSE()))),"OLD",IF(AND(E3185&lt;&gt;"",E3185&lt;&gt;"!!!"),"NEW","")))</f>
        <v> </v>
      </c>
      <c r="G3185" s="23" t="str">
        <f>IF(OR(E3185="",E3185="!!!"),"",IF(OR(J3185=0,AND(J3185=1,K3185=1),AND(J3185=1,I3185="SBJ"),AND(J3185=1,I3185=0)),"?IN_FOCUS",IF(J3185&lt;=2,"?ACTIVATED",IF(J3185&lt;&gt;"","?FAMILIAR",IF(F3185="NEW",IF(ISNA(VLOOKUP(E3185,#REF!,1,FALSE())),"?TYPE_IDENTIFIABLE","?REFERENTIAL"),"_")))))</f>
        <v> </v>
      </c>
      <c r="H3185" s="24" t="str">
        <f>IF(J3185&lt;&gt;1,"",IF(I3185="SBJ","CB","?"))</f>
        <v> </v>
      </c>
      <c r="I3185" s="25" t="str">
        <f>IF(OR(E3185="",E3185="!!!",F3185="NEW"),"",INDEX(B3184:B$2,-1+SUMPRODUCT(MAX(ROW(E3184:E$2)*(E3185=E3184:E$2)))))</f>
        <v> </v>
      </c>
      <c r="J3185" s="25" t="str">
        <f>IF(OR(E3185="",E3185="!!!",F3185="NEW"),"",COUNTBLANK(OFFSET(A$1,,,SUMPRODUCT(MAX(ROW(E$2:E3185)*(E3185=E$2:E3185)))))-COUNTBLANK(OFFSET(A$1,,,SUMPRODUCT(MAX(ROW(E$1:E3184)*(E2=E$1:E3184))))))</f>
        <v> </v>
      </c>
      <c r="K3185" s="25" t="str">
        <f>IF(OR(E3185="",E3185="!!!",F3185="NEW"),"",INDEX(J$1:J3184,SUMPRODUCT(MAX(ROW(E$1:E3184)*(E3185=E$1:E3184)))))</f>
        <v> </v>
      </c>
      <c r="L3185" s="26"/>
    </row>
    <row r="3186" spans="1:12">
      <c r="A3186" s="20"/>
    </row>
    <row r="3187" spans="1:12">
      <c r="A3187" s="20" t="s">
        <v>2577</v>
      </c>
    </row>
    <row r="3188" spans="1:12">
      <c r="A3188" s="20" t="s">
        <v>1111</v>
      </c>
      <c r="E3188" s="21">
        <f>IF(D3188="?OLD","!!!","")</f>
        <v/>
      </c>
      <c r="F3188" s="22" t="str">
        <f>IF(OR(E3188="",E3188="!!!"),"",IF(NOT(ISNA(VLOOKUP(E3188,E$1:E3187,1,FALSE()))),"OLD",IF(AND(E3188&lt;&gt;"",E3188&lt;&gt;"!!!"),"NEW","")))</f>
        <v> </v>
      </c>
      <c r="G3188" s="23" t="str">
        <f>IF(OR(E3188="",E3188="!!!"),"",IF(OR(J3188=0,AND(J3188=1,K3188=1),AND(J3188=1,I3188="SBJ"),AND(J3188=1,I3188=0)),"?IN_FOCUS",IF(J3188&lt;=2,"?ACTIVATED",IF(J3188&lt;&gt;"","?FAMILIAR",IF(F3188="NEW",IF(ISNA(VLOOKUP(E3188,#REF!,1,FALSE())),"?TYPE_IDENTIFIABLE","?REFERENTIAL"),"_")))))</f>
        <v> </v>
      </c>
      <c r="H3188" s="24" t="str">
        <f>IF(J3188&lt;&gt;1,"",IF(I3188="SBJ","CB","?"))</f>
        <v> </v>
      </c>
      <c r="I3188" s="25" t="str">
        <f>IF(OR(E3188="",E3188="!!!",F3188="NEW"),"",INDEX(B3187:B$2,-1+SUMPRODUCT(MAX(ROW(E3187:E$2)*(E3188=E3187:E$2)))))</f>
        <v> </v>
      </c>
      <c r="J3188" s="25" t="str">
        <f>IF(OR(E3188="",E3188="!!!",F3188="NEW"),"",COUNTBLANK(OFFSET(A$1,,,SUMPRODUCT(MAX(ROW(E$2:E3188)*(E3188=E$2:E3188)))))-COUNTBLANK(OFFSET(A$1,,,SUMPRODUCT(MAX(ROW(E$1:E3187)*(E2=E$1:E3187))))))</f>
        <v> </v>
      </c>
      <c r="K3188" s="25" t="str">
        <f>IF(OR(E3188="",E3188="!!!",F3188="NEW"),"",INDEX(J$1:J3187,SUMPRODUCT(MAX(ROW(E$1:E3187)*(E3188=E$1:E3187)))))</f>
        <v> </v>
      </c>
      <c r="L3188" s="26"/>
    </row>
    <row r="3189" spans="1:12">
      <c r="A3189" s="20" t="s">
        <v>2578</v>
      </c>
      <c r="B3189" s="27" t="s">
        <v>1149</v>
      </c>
      <c r="C3189" s="27" t="s">
        <v>1126</v>
      </c>
      <c r="D3189" s="27" t="s">
        <v>1105</v>
      </c>
      <c r="E3189" s="21">
        <f>IF(D3189="?OLD","!!!","")</f>
        <v/>
      </c>
      <c r="F3189" s="22" t="str">
        <f>IF(OR(E3189="",E3189="!!!"),"",IF(NOT(ISNA(VLOOKUP(E3189,E$1:E3188,1,FALSE()))),"OLD",IF(AND(E3189&lt;&gt;"",E3189&lt;&gt;"!!!"),"NEW","")))</f>
        <v> </v>
      </c>
      <c r="G3189" s="23" t="str">
        <f>IF(OR(E3189="",E3189="!!!"),"",IF(OR(J3189=0,AND(J3189=1,K3189=1),AND(J3189=1,I3189="SBJ"),AND(J3189=1,I3189=0)),"?IN_FOCUS",IF(J3189&lt;=2,"?ACTIVATED",IF(J3189&lt;&gt;"","?FAMILIAR",IF(F3189="NEW",IF(ISNA(VLOOKUP(E3189,#REF!,1,FALSE())),"?TYPE_IDENTIFIABLE","?REFERENTIAL"),"_")))))</f>
        <v> </v>
      </c>
      <c r="H3189" s="24" t="str">
        <f>IF(J3189&lt;&gt;1,"",IF(I3189="SBJ","CB","?"))</f>
        <v> </v>
      </c>
      <c r="I3189" s="25" t="str">
        <f>IF(OR(E3189="",E3189="!!!",F3189="NEW"),"",INDEX(B3188:B$2,-1+SUMPRODUCT(MAX(ROW(E3188:E$2)*(E3189=E3188:E$2)))))</f>
        <v> </v>
      </c>
      <c r="J3189" s="25" t="str">
        <f>IF(OR(E3189="",E3189="!!!",F3189="NEW"),"",COUNTBLANK(OFFSET(A$1,,,SUMPRODUCT(MAX(ROW(E$2:E3189)*(E3189=E$2:E3189)))))-COUNTBLANK(OFFSET(A$1,,,SUMPRODUCT(MAX(ROW(E$1:E3188)*(E2=E$1:E3188))))))</f>
        <v> </v>
      </c>
      <c r="K3189" s="25" t="str">
        <f>IF(OR(E3189="",E3189="!!!",F3189="NEW"),"",INDEX(J$1:J3188,SUMPRODUCT(MAX(ROW(E$1:E3188)*(E3189=E$1:E3188)))))</f>
        <v> </v>
      </c>
      <c r="L3189" s="26"/>
    </row>
    <row r="3190" spans="1:12">
      <c r="A3190" s="20" t="s">
        <v>2579</v>
      </c>
      <c r="E3190" s="21">
        <f>IF(D3190="?OLD","!!!","")</f>
        <v/>
      </c>
      <c r="F3190" s="22" t="str">
        <f>IF(OR(E3190="",E3190="!!!"),"",IF(NOT(ISNA(VLOOKUP(E3190,E$1:E3189,1,FALSE()))),"OLD",IF(AND(E3190&lt;&gt;"",E3190&lt;&gt;"!!!"),"NEW","")))</f>
        <v> </v>
      </c>
      <c r="G3190" s="23" t="str">
        <f>IF(OR(E3190="",E3190="!!!"),"",IF(OR(J3190=0,AND(J3190=1,K3190=1),AND(J3190=1,I3190="SBJ"),AND(J3190=1,I3190=0)),"?IN_FOCUS",IF(J3190&lt;=2,"?ACTIVATED",IF(J3190&lt;&gt;"","?FAMILIAR",IF(F3190="NEW",IF(ISNA(VLOOKUP(E3190,#REF!,1,FALSE())),"?TYPE_IDENTIFIABLE","?REFERENTIAL"),"_")))))</f>
        <v> </v>
      </c>
      <c r="H3190" s="24" t="str">
        <f>IF(J3190&lt;&gt;1,"",IF(I3190="SBJ","CB","?"))</f>
        <v> </v>
      </c>
      <c r="I3190" s="25" t="str">
        <f>IF(OR(E3190="",E3190="!!!",F3190="NEW"),"",INDEX(B3189:B$2,-1+SUMPRODUCT(MAX(ROW(E3189:E$2)*(E3190=E3189:E$2)))))</f>
        <v> </v>
      </c>
      <c r="J3190" s="25" t="str">
        <f>IF(OR(E3190="",E3190="!!!",F3190="NEW"),"",COUNTBLANK(OFFSET(A$1,,,SUMPRODUCT(MAX(ROW(E$2:E3190)*(E3190=E$2:E3190)))))-COUNTBLANK(OFFSET(A$1,,,SUMPRODUCT(MAX(ROW(E$1:E3189)*(E2=E$1:E3189))))))</f>
        <v> </v>
      </c>
      <c r="K3190" s="25" t="str">
        <f>IF(OR(E3190="",E3190="!!!",F3190="NEW"),"",INDEX(J$1:J3189,SUMPRODUCT(MAX(ROW(E$1:E3189)*(E3190=E$1:E3189)))))</f>
        <v> </v>
      </c>
      <c r="L3190" s="26"/>
    </row>
    <row r="3191" spans="1:12">
      <c r="A3191" s="20" t="s">
        <v>2580</v>
      </c>
      <c r="E3191" s="21">
        <f>IF(D3191="?OLD","!!!","")</f>
        <v/>
      </c>
      <c r="F3191" s="22" t="str">
        <f>IF(OR(E3191="",E3191="!!!"),"",IF(NOT(ISNA(VLOOKUP(E3191,E$1:E3190,1,FALSE()))),"OLD",IF(AND(E3191&lt;&gt;"",E3191&lt;&gt;"!!!"),"NEW","")))</f>
        <v> </v>
      </c>
      <c r="G3191" s="23" t="str">
        <f>IF(OR(E3191="",E3191="!!!"),"",IF(OR(J3191=0,AND(J3191=1,K3191=1),AND(J3191=1,I3191="SBJ"),AND(J3191=1,I3191=0)),"?IN_FOCUS",IF(J3191&lt;=2,"?ACTIVATED",IF(J3191&lt;&gt;"","?FAMILIAR",IF(F3191="NEW",IF(ISNA(VLOOKUP(E3191,#REF!,1,FALSE())),"?TYPE_IDENTIFIABLE","?REFERENTIAL"),"_")))))</f>
        <v> </v>
      </c>
      <c r="H3191" s="24" t="str">
        <f>IF(J3191&lt;&gt;1,"",IF(I3191="SBJ","CB","?"))</f>
        <v> </v>
      </c>
      <c r="I3191" s="25" t="str">
        <f>IF(OR(E3191="",E3191="!!!",F3191="NEW"),"",INDEX(B3190:B$2,-1+SUMPRODUCT(MAX(ROW(E3190:E$2)*(E3191=E3190:E$2)))))</f>
        <v> </v>
      </c>
      <c r="J3191" s="25" t="str">
        <f>IF(OR(E3191="",E3191="!!!",F3191="NEW"),"",COUNTBLANK(OFFSET(A$1,,,SUMPRODUCT(MAX(ROW(E$2:E3191)*(E3191=E$2:E3191)))))-COUNTBLANK(OFFSET(A$1,,,SUMPRODUCT(MAX(ROW(E$1:E3190)*(E2=E$1:E3190))))))</f>
        <v> </v>
      </c>
      <c r="K3191" s="25" t="str">
        <f>IF(OR(E3191="",E3191="!!!",F3191="NEW"),"",INDEX(J$1:J3190,SUMPRODUCT(MAX(ROW(E$1:E3190)*(E3191=E$1:E3190)))))</f>
        <v> </v>
      </c>
      <c r="L3191" s="26"/>
    </row>
    <row r="3192" spans="1:12">
      <c r="A3192" s="20" t="s">
        <v>2581</v>
      </c>
      <c r="B3192" s="27" t="s">
        <v>1103</v>
      </c>
      <c r="C3192" s="27" t="s">
        <v>1210</v>
      </c>
      <c r="E3192" s="21">
        <f>IF(D3192="?OLD","!!!","")</f>
        <v/>
      </c>
      <c r="F3192" s="22" t="str">
        <f>IF(OR(E3192="",E3192="!!!"),"",IF(NOT(ISNA(VLOOKUP(E3192,E$1:E3191,1,FALSE()))),"OLD",IF(AND(E3192&lt;&gt;"",E3192&lt;&gt;"!!!"),"NEW","")))</f>
        <v> </v>
      </c>
      <c r="G3192" s="23" t="str">
        <f>IF(OR(E3192="",E3192="!!!"),"",IF(OR(J3192=0,AND(J3192=1,K3192=1),AND(J3192=1,I3192="SBJ"),AND(J3192=1,I3192=0)),"?IN_FOCUS",IF(J3192&lt;=2,"?ACTIVATED",IF(J3192&lt;&gt;"","?FAMILIAR",IF(F3192="NEW",IF(ISNA(VLOOKUP(E3192,#REF!,1,FALSE())),"?TYPE_IDENTIFIABLE","?REFERENTIAL"),"_")))))</f>
        <v> </v>
      </c>
      <c r="H3192" s="24" t="str">
        <f>IF(J3192&lt;&gt;1,"",IF(I3192="SBJ","CB","?"))</f>
        <v> </v>
      </c>
      <c r="I3192" s="25" t="str">
        <f>IF(OR(E3192="",E3192="!!!",F3192="NEW"),"",INDEX(B3191:B$2,-1+SUMPRODUCT(MAX(ROW(E3191:E$2)*(E3192=E3191:E$2)))))</f>
        <v> </v>
      </c>
      <c r="J3192" s="25" t="str">
        <f>IF(OR(E3192="",E3192="!!!",F3192="NEW"),"",COUNTBLANK(OFFSET(A$1,,,SUMPRODUCT(MAX(ROW(E$2:E3192)*(E3192=E$2:E3192)))))-COUNTBLANK(OFFSET(A$1,,,SUMPRODUCT(MAX(ROW(E$1:E3191)*(E2=E$1:E3191))))))</f>
        <v> </v>
      </c>
      <c r="K3192" s="25" t="str">
        <f>IF(OR(E3192="",E3192="!!!",F3192="NEW"),"",INDEX(J$1:J3191,SUMPRODUCT(MAX(ROW(E$1:E3191)*(E3192=E$1:E3191)))))</f>
        <v> </v>
      </c>
      <c r="L3192" s="26"/>
    </row>
    <row r="3193" spans="1:12">
      <c r="A3193" s="20" t="s">
        <v>1123</v>
      </c>
      <c r="E3193" s="21">
        <f>IF(D3193="?OLD","!!!","")</f>
        <v/>
      </c>
      <c r="F3193" s="22" t="str">
        <f>IF(OR(E3193="",E3193="!!!"),"",IF(NOT(ISNA(VLOOKUP(E3193,E$1:E3192,1,FALSE()))),"OLD",IF(AND(E3193&lt;&gt;"",E3193&lt;&gt;"!!!"),"NEW","")))</f>
        <v> </v>
      </c>
      <c r="G3193" s="23" t="str">
        <f>IF(OR(E3193="",E3193="!!!"),"",IF(OR(J3193=0,AND(J3193=1,K3193=1),AND(J3193=1,I3193="SBJ"),AND(J3193=1,I3193=0)),"?IN_FOCUS",IF(J3193&lt;=2,"?ACTIVATED",IF(J3193&lt;&gt;"","?FAMILIAR",IF(F3193="NEW",IF(ISNA(VLOOKUP(E3193,#REF!,1,FALSE())),"?TYPE_IDENTIFIABLE","?REFERENTIAL"),"_")))))</f>
        <v> </v>
      </c>
      <c r="H3193" s="24" t="str">
        <f>IF(J3193&lt;&gt;1,"",IF(I3193="SBJ","CB","?"))</f>
        <v> </v>
      </c>
      <c r="I3193" s="25" t="str">
        <f>IF(OR(E3193="",E3193="!!!",F3193="NEW"),"",INDEX(B3192:B$2,-1+SUMPRODUCT(MAX(ROW(E3192:E$2)*(E3193=E3192:E$2)))))</f>
        <v> </v>
      </c>
      <c r="J3193" s="25" t="str">
        <f>IF(OR(E3193="",E3193="!!!",F3193="NEW"),"",COUNTBLANK(OFFSET(A$1,,,SUMPRODUCT(MAX(ROW(E$2:E3193)*(E3193=E$2:E3193)))))-COUNTBLANK(OFFSET(A$1,,,SUMPRODUCT(MAX(ROW(E$1:E3192)*(E2=E$1:E3192))))))</f>
        <v> </v>
      </c>
      <c r="K3193" s="25" t="str">
        <f>IF(OR(E3193="",E3193="!!!",F3193="NEW"),"",INDEX(J$1:J3192,SUMPRODUCT(MAX(ROW(E$1:E3192)*(E3193=E$1:E3192)))))</f>
        <v> </v>
      </c>
      <c r="L3193" s="26"/>
    </row>
    <row r="3194" spans="1:12">
      <c r="A3194" s="20" t="s">
        <v>1128</v>
      </c>
      <c r="E3194" s="21">
        <f>IF(D3194="?OLD","!!!","")</f>
        <v/>
      </c>
      <c r="F3194" s="22" t="str">
        <f>IF(OR(E3194="",E3194="!!!"),"",IF(NOT(ISNA(VLOOKUP(E3194,E$1:E3193,1,FALSE()))),"OLD",IF(AND(E3194&lt;&gt;"",E3194&lt;&gt;"!!!"),"NEW","")))</f>
        <v> </v>
      </c>
      <c r="G3194" s="23" t="str">
        <f>IF(OR(E3194="",E3194="!!!"),"",IF(OR(J3194=0,AND(J3194=1,K3194=1),AND(J3194=1,I3194="SBJ"),AND(J3194=1,I3194=0)),"?IN_FOCUS",IF(J3194&lt;=2,"?ACTIVATED",IF(J3194&lt;&gt;"","?FAMILIAR",IF(F3194="NEW",IF(ISNA(VLOOKUP(E3194,#REF!,1,FALSE())),"?TYPE_IDENTIFIABLE","?REFERENTIAL"),"_")))))</f>
        <v> </v>
      </c>
      <c r="H3194" s="24" t="str">
        <f>IF(J3194&lt;&gt;1,"",IF(I3194="SBJ","CB","?"))</f>
        <v> </v>
      </c>
      <c r="I3194" s="25" t="str">
        <f>IF(OR(E3194="",E3194="!!!",F3194="NEW"),"",INDEX(B3193:B$2,-1+SUMPRODUCT(MAX(ROW(E3193:E$2)*(E3194=E3193:E$2)))))</f>
        <v> </v>
      </c>
      <c r="J3194" s="25" t="str">
        <f>IF(OR(E3194="",E3194="!!!",F3194="NEW"),"",COUNTBLANK(OFFSET(A$1,,,SUMPRODUCT(MAX(ROW(E$2:E3194)*(E3194=E$2:E3194)))))-COUNTBLANK(OFFSET(A$1,,,SUMPRODUCT(MAX(ROW(E$1:E3193)*(E2=E$1:E3193))))))</f>
        <v> </v>
      </c>
      <c r="K3194" s="25" t="str">
        <f>IF(OR(E3194="",E3194="!!!",F3194="NEW"),"",INDEX(J$1:J3193,SUMPRODUCT(MAX(ROW(E$1:E3193)*(E3194=E$1:E3193)))))</f>
        <v> </v>
      </c>
      <c r="L3194" s="26"/>
    </row>
    <row r="3195" spans="1:12">
      <c r="A3195" s="20" t="s">
        <v>1217</v>
      </c>
      <c r="B3195" s="27" t="s">
        <v>1122</v>
      </c>
      <c r="C3195" s="27" t="s">
        <v>1126</v>
      </c>
      <c r="D3195" s="27" t="s">
        <v>1105</v>
      </c>
      <c r="E3195" s="21">
        <f>IF(D3195="?OLD","!!!","")</f>
        <v/>
      </c>
      <c r="F3195" s="22" t="str">
        <f>IF(OR(E3195="",E3195="!!!"),"",IF(NOT(ISNA(VLOOKUP(E3195,E$1:E3194,1,FALSE()))),"OLD",IF(AND(E3195&lt;&gt;"",E3195&lt;&gt;"!!!"),"NEW","")))</f>
        <v> </v>
      </c>
      <c r="G3195" s="23" t="str">
        <f>IF(OR(E3195="",E3195="!!!"),"",IF(OR(J3195=0,AND(J3195=1,K3195=1),AND(J3195=1,I3195="SBJ"),AND(J3195=1,I3195=0)),"?IN_FOCUS",IF(J3195&lt;=2,"?ACTIVATED",IF(J3195&lt;&gt;"","?FAMILIAR",IF(F3195="NEW",IF(ISNA(VLOOKUP(E3195,#REF!,1,FALSE())),"?TYPE_IDENTIFIABLE","?REFERENTIAL"),"_")))))</f>
        <v> </v>
      </c>
      <c r="H3195" s="24" t="str">
        <f>IF(J3195&lt;&gt;1,"",IF(I3195="SBJ","CB","?"))</f>
        <v> </v>
      </c>
      <c r="I3195" s="25" t="str">
        <f>IF(OR(E3195="",E3195="!!!",F3195="NEW"),"",INDEX(B3194:B$2,-1+SUMPRODUCT(MAX(ROW(E3194:E$2)*(E3195=E3194:E$2)))))</f>
        <v> </v>
      </c>
      <c r="J3195" s="25" t="str">
        <f>IF(OR(E3195="",E3195="!!!",F3195="NEW"),"",COUNTBLANK(OFFSET(A$1,,,SUMPRODUCT(MAX(ROW(E$2:E3195)*(E3195=E$2:E3195)))))-COUNTBLANK(OFFSET(A$1,,,SUMPRODUCT(MAX(ROW(E$1:E3194)*(E2=E$1:E3194))))))</f>
        <v> </v>
      </c>
      <c r="K3195" s="25" t="str">
        <f>IF(OR(E3195="",E3195="!!!",F3195="NEW"),"",INDEX(J$1:J3194,SUMPRODUCT(MAX(ROW(E$1:E3194)*(E3195=E$1:E3194)))))</f>
        <v> </v>
      </c>
      <c r="L3195" s="26"/>
    </row>
    <row r="3196" spans="1:12">
      <c r="A3196" s="20" t="s">
        <v>2582</v>
      </c>
      <c r="E3196" s="21">
        <f>IF(D3196="?OLD","!!!","")</f>
        <v/>
      </c>
      <c r="F3196" s="22" t="str">
        <f>IF(OR(E3196="",E3196="!!!"),"",IF(NOT(ISNA(VLOOKUP(E3196,E$1:E3195,1,FALSE()))),"OLD",IF(AND(E3196&lt;&gt;"",E3196&lt;&gt;"!!!"),"NEW","")))</f>
        <v> </v>
      </c>
      <c r="G3196" s="23" t="str">
        <f>IF(OR(E3196="",E3196="!!!"),"",IF(OR(J3196=0,AND(J3196=1,K3196=1),AND(J3196=1,I3196="SBJ"),AND(J3196=1,I3196=0)),"?IN_FOCUS",IF(J3196&lt;=2,"?ACTIVATED",IF(J3196&lt;&gt;"","?FAMILIAR",IF(F3196="NEW",IF(ISNA(VLOOKUP(E3196,#REF!,1,FALSE())),"?TYPE_IDENTIFIABLE","?REFERENTIAL"),"_")))))</f>
        <v> </v>
      </c>
      <c r="H3196" s="24" t="str">
        <f>IF(J3196&lt;&gt;1,"",IF(I3196="SBJ","CB","?"))</f>
        <v> </v>
      </c>
      <c r="I3196" s="25" t="str">
        <f>IF(OR(E3196="",E3196="!!!",F3196="NEW"),"",INDEX(B3195:B$2,-1+SUMPRODUCT(MAX(ROW(E3195:E$2)*(E3196=E3195:E$2)))))</f>
        <v> </v>
      </c>
      <c r="J3196" s="25" t="str">
        <f>IF(OR(E3196="",E3196="!!!",F3196="NEW"),"",COUNTBLANK(OFFSET(A$1,,,SUMPRODUCT(MAX(ROW(E$2:E3196)*(E3196=E$2:E3196)))))-COUNTBLANK(OFFSET(A$1,,,SUMPRODUCT(MAX(ROW(E$1:E3195)*(E2=E$1:E3195))))))</f>
        <v> </v>
      </c>
      <c r="K3196" s="25" t="str">
        <f>IF(OR(E3196="",E3196="!!!",F3196="NEW"),"",INDEX(J$1:J3195,SUMPRODUCT(MAX(ROW(E$1:E3195)*(E3196=E$1:E3195)))))</f>
        <v> </v>
      </c>
      <c r="L3196" s="26"/>
    </row>
    <row r="3197" spans="1:12">
      <c r="A3197" s="20" t="s">
        <v>1123</v>
      </c>
      <c r="E3197" s="21">
        <f>IF(D3197="?OLD","!!!","")</f>
        <v/>
      </c>
      <c r="F3197" s="22" t="str">
        <f>IF(OR(E3197="",E3197="!!!"),"",IF(NOT(ISNA(VLOOKUP(E3197,E$1:E3196,1,FALSE()))),"OLD",IF(AND(E3197&lt;&gt;"",E3197&lt;&gt;"!!!"),"NEW","")))</f>
        <v> </v>
      </c>
      <c r="G3197" s="23" t="str">
        <f>IF(OR(E3197="",E3197="!!!"),"",IF(OR(J3197=0,AND(J3197=1,K3197=1),AND(J3197=1,I3197="SBJ"),AND(J3197=1,I3197=0)),"?IN_FOCUS",IF(J3197&lt;=2,"?ACTIVATED",IF(J3197&lt;&gt;"","?FAMILIAR",IF(F3197="NEW",IF(ISNA(VLOOKUP(E3197,#REF!,1,FALSE())),"?TYPE_IDENTIFIABLE","?REFERENTIAL"),"_")))))</f>
        <v> </v>
      </c>
      <c r="H3197" s="24" t="str">
        <f>IF(J3197&lt;&gt;1,"",IF(I3197="SBJ","CB","?"))</f>
        <v> </v>
      </c>
      <c r="I3197" s="25" t="str">
        <f>IF(OR(E3197="",E3197="!!!",F3197="NEW"),"",INDEX(B3196:B$2,-1+SUMPRODUCT(MAX(ROW(E3196:E$2)*(E3197=E3196:E$2)))))</f>
        <v> </v>
      </c>
      <c r="J3197" s="25" t="str">
        <f>IF(OR(E3197="",E3197="!!!",F3197="NEW"),"",COUNTBLANK(OFFSET(A$1,,,SUMPRODUCT(MAX(ROW(E$2:E3197)*(E3197=E$2:E3197)))))-COUNTBLANK(OFFSET(A$1,,,SUMPRODUCT(MAX(ROW(E$1:E3196)*(E2=E$1:E3196))))))</f>
        <v> </v>
      </c>
      <c r="K3197" s="25" t="str">
        <f>IF(OR(E3197="",E3197="!!!",F3197="NEW"),"",INDEX(J$1:J3196,SUMPRODUCT(MAX(ROW(E$1:E3196)*(E3197=E$1:E3196)))))</f>
        <v> </v>
      </c>
      <c r="L3197" s="26"/>
    </row>
    <row r="3198" spans="1:12">
      <c r="A3198" s="20" t="s">
        <v>135</v>
      </c>
      <c r="E3198" s="21">
        <f>IF(D3198="?OLD","!!!","")</f>
        <v/>
      </c>
      <c r="F3198" s="22" t="str">
        <f>IF(OR(E3198="",E3198="!!!"),"",IF(NOT(ISNA(VLOOKUP(E3198,E$1:E3197,1,FALSE()))),"OLD",IF(AND(E3198&lt;&gt;"",E3198&lt;&gt;"!!!"),"NEW","")))</f>
        <v> </v>
      </c>
      <c r="G3198" s="23" t="str">
        <f>IF(OR(E3198="",E3198="!!!"),"",IF(OR(J3198=0,AND(J3198=1,K3198=1),AND(J3198=1,I3198="SBJ"),AND(J3198=1,I3198=0)),"?IN_FOCUS",IF(J3198&lt;=2,"?ACTIVATED",IF(J3198&lt;&gt;"","?FAMILIAR",IF(F3198="NEW",IF(ISNA(VLOOKUP(E3198,#REF!,1,FALSE())),"?TYPE_IDENTIFIABLE","?REFERENTIAL"),"_")))))</f>
        <v> </v>
      </c>
      <c r="H3198" s="24" t="str">
        <f>IF(J3198&lt;&gt;1,"",IF(I3198="SBJ","CB","?"))</f>
        <v> </v>
      </c>
      <c r="I3198" s="25" t="str">
        <f>IF(OR(E3198="",E3198="!!!",F3198="NEW"),"",INDEX(B3197:B$2,-1+SUMPRODUCT(MAX(ROW(E3197:E$2)*(E3198=E3197:E$2)))))</f>
        <v> </v>
      </c>
      <c r="J3198" s="25" t="str">
        <f>IF(OR(E3198="",E3198="!!!",F3198="NEW"),"",COUNTBLANK(OFFSET(A$1,,,SUMPRODUCT(MAX(ROW(E$2:E3198)*(E3198=E$2:E3198)))))-COUNTBLANK(OFFSET(A$1,,,SUMPRODUCT(MAX(ROW(E$1:E3197)*(E2=E$1:E3197))))))</f>
        <v> </v>
      </c>
      <c r="K3198" s="25" t="str">
        <f>IF(OR(E3198="",E3198="!!!",F3198="NEW"),"",INDEX(J$1:J3197,SUMPRODUCT(MAX(ROW(E$1:E3197)*(E3198=E$1:E3197)))))</f>
        <v> </v>
      </c>
      <c r="L3198" s="26"/>
    </row>
    <row r="3199" spans="1:12">
      <c r="A3199" s="20" t="s">
        <v>1494</v>
      </c>
      <c r="B3199" s="27" t="s">
        <v>1132</v>
      </c>
      <c r="C3199" s="27" t="s">
        <v>1142</v>
      </c>
      <c r="D3199" s="27" t="s">
        <v>1105</v>
      </c>
      <c r="E3199" s="21">
        <f>IF(D3199="?OLD","!!!","")</f>
        <v/>
      </c>
      <c r="F3199" s="22" t="str">
        <f>IF(OR(E3199="",E3199="!!!"),"",IF(NOT(ISNA(VLOOKUP(E3199,E$1:E3198,1,FALSE()))),"OLD",IF(AND(E3199&lt;&gt;"",E3199&lt;&gt;"!!!"),"NEW","")))</f>
        <v> </v>
      </c>
      <c r="G3199" s="23" t="str">
        <f>IF(OR(E3199="",E3199="!!!"),"",IF(OR(J3199=0,AND(J3199=1,K3199=1),AND(J3199=1,I3199="SBJ"),AND(J3199=1,I3199=0)),"?IN_FOCUS",IF(J3199&lt;=2,"?ACTIVATED",IF(J3199&lt;&gt;"","?FAMILIAR",IF(F3199="NEW",IF(ISNA(VLOOKUP(E3199,#REF!,1,FALSE())),"?TYPE_IDENTIFIABLE","?REFERENTIAL"),"_")))))</f>
        <v> </v>
      </c>
      <c r="H3199" s="24" t="str">
        <f>IF(J3199&lt;&gt;1,"",IF(I3199="SBJ","CB","?"))</f>
        <v> </v>
      </c>
      <c r="I3199" s="25" t="str">
        <f>IF(OR(E3199="",E3199="!!!",F3199="NEW"),"",INDEX(B3198:B$2,-1+SUMPRODUCT(MAX(ROW(E3198:E$2)*(E3199=E3198:E$2)))))</f>
        <v> </v>
      </c>
      <c r="J3199" s="25" t="str">
        <f>IF(OR(E3199="",E3199="!!!",F3199="NEW"),"",COUNTBLANK(OFFSET(A$1,,,SUMPRODUCT(MAX(ROW(E$2:E3199)*(E3199=E$2:E3199)))))-COUNTBLANK(OFFSET(A$1,,,SUMPRODUCT(MAX(ROW(E$1:E3198)*(E2=E$1:E3198))))))</f>
        <v> </v>
      </c>
      <c r="K3199" s="25" t="str">
        <f>IF(OR(E3199="",E3199="!!!",F3199="NEW"),"",INDEX(J$1:J3198,SUMPRODUCT(MAX(ROW(E$1:E3198)*(E3199=E$1:E3198)))))</f>
        <v> </v>
      </c>
      <c r="L3199" s="26"/>
    </row>
    <row r="3200" spans="1:12">
      <c r="A3200" s="20" t="s">
        <v>2079</v>
      </c>
      <c r="B3200" s="27" t="s">
        <v>1259</v>
      </c>
      <c r="E3200" s="21">
        <f>IF(D3200="?OLD","!!!","")</f>
        <v/>
      </c>
      <c r="F3200" s="22" t="str">
        <f>IF(OR(E3200="",E3200="!!!"),"",IF(NOT(ISNA(VLOOKUP(E3200,E$1:E3199,1,FALSE()))),"OLD",IF(AND(E3200&lt;&gt;"",E3200&lt;&gt;"!!!"),"NEW","")))</f>
        <v> </v>
      </c>
      <c r="G3200" s="23" t="str">
        <f>IF(OR(E3200="",E3200="!!!"),"",IF(OR(J3200=0,AND(J3200=1,K3200=1),AND(J3200=1,I3200="SBJ"),AND(J3200=1,I3200=0)),"?IN_FOCUS",IF(J3200&lt;=2,"?ACTIVATED",IF(J3200&lt;&gt;"","?FAMILIAR",IF(F3200="NEW",IF(ISNA(VLOOKUP(E3200,#REF!,1,FALSE())),"?TYPE_IDENTIFIABLE","?REFERENTIAL"),"_")))))</f>
        <v> </v>
      </c>
      <c r="H3200" s="24" t="str">
        <f>IF(J3200&lt;&gt;1,"",IF(I3200="SBJ","CB","?"))</f>
        <v> </v>
      </c>
      <c r="I3200" s="25" t="str">
        <f>IF(OR(E3200="",E3200="!!!",F3200="NEW"),"",INDEX(B3199:B$2,-1+SUMPRODUCT(MAX(ROW(E3199:E$2)*(E3200=E3199:E$2)))))</f>
        <v> </v>
      </c>
      <c r="J3200" s="25" t="str">
        <f>IF(OR(E3200="",E3200="!!!",F3200="NEW"),"",COUNTBLANK(OFFSET(A$1,,,SUMPRODUCT(MAX(ROW(E$2:E3200)*(E3200=E$2:E3200)))))-COUNTBLANK(OFFSET(A$1,,,SUMPRODUCT(MAX(ROW(E$1:E3199)*(E2=E$1:E3199))))))</f>
        <v> </v>
      </c>
      <c r="K3200" s="25" t="str">
        <f>IF(OR(E3200="",E3200="!!!",F3200="NEW"),"",INDEX(J$1:J3199,SUMPRODUCT(MAX(ROW(E$1:E3199)*(E3200=E$1:E3199)))))</f>
        <v> </v>
      </c>
      <c r="L3200" s="26"/>
    </row>
    <row r="3201" spans="1:12">
      <c r="A3201" s="20" t="s">
        <v>1206</v>
      </c>
      <c r="B3201" s="27" t="s">
        <v>1107</v>
      </c>
      <c r="C3201" s="27" t="s">
        <v>1126</v>
      </c>
      <c r="D3201" s="27" t="s">
        <v>1105</v>
      </c>
      <c r="E3201" s="21">
        <f>IF(D3201="?OLD","!!!","")</f>
        <v/>
      </c>
      <c r="F3201" s="22" t="str">
        <f>IF(OR(E3201="",E3201="!!!"),"",IF(NOT(ISNA(VLOOKUP(E3201,E$1:E3200,1,FALSE()))),"OLD",IF(AND(E3201&lt;&gt;"",E3201&lt;&gt;"!!!"),"NEW","")))</f>
        <v> </v>
      </c>
      <c r="G3201" s="23" t="str">
        <f>IF(OR(E3201="",E3201="!!!"),"",IF(OR(J3201=0,AND(J3201=1,K3201=1),AND(J3201=1,I3201="SBJ"),AND(J3201=1,I3201=0)),"?IN_FOCUS",IF(J3201&lt;=2,"?ACTIVATED",IF(J3201&lt;&gt;"","?FAMILIAR",IF(F3201="NEW",IF(ISNA(VLOOKUP(E3201,#REF!,1,FALSE())),"?TYPE_IDENTIFIABLE","?REFERENTIAL"),"_")))))</f>
        <v> </v>
      </c>
      <c r="H3201" s="24" t="str">
        <f>IF(J3201&lt;&gt;1,"",IF(I3201="SBJ","CB","?"))</f>
        <v> </v>
      </c>
      <c r="I3201" s="25" t="str">
        <f>IF(OR(E3201="",E3201="!!!",F3201="NEW"),"",INDEX(B3200:B$2,-1+SUMPRODUCT(MAX(ROW(E3200:E$2)*(E3201=E3200:E$2)))))</f>
        <v> </v>
      </c>
      <c r="J3201" s="25" t="str">
        <f>IF(OR(E3201="",E3201="!!!",F3201="NEW"),"",COUNTBLANK(OFFSET(A$1,,,SUMPRODUCT(MAX(ROW(E$2:E3201)*(E3201=E$2:E3201)))))-COUNTBLANK(OFFSET(A$1,,,SUMPRODUCT(MAX(ROW(E$1:E3200)*(E2=E$1:E3200))))))</f>
        <v> </v>
      </c>
      <c r="K3201" s="25" t="str">
        <f>IF(OR(E3201="",E3201="!!!",F3201="NEW"),"",INDEX(J$1:J3200,SUMPRODUCT(MAX(ROW(E$1:E3200)*(E3201=E$1:E3200)))))</f>
        <v> </v>
      </c>
      <c r="L3201" s="26"/>
    </row>
    <row r="3202" spans="1:12">
      <c r="A3202" s="20" t="s">
        <v>1184</v>
      </c>
      <c r="E3202" s="21">
        <f>IF(D3202="?OLD","!!!","")</f>
        <v/>
      </c>
      <c r="F3202" s="22" t="str">
        <f>IF(OR(E3202="",E3202="!!!"),"",IF(NOT(ISNA(VLOOKUP(E3202,E$1:E3201,1,FALSE()))),"OLD",IF(AND(E3202&lt;&gt;"",E3202&lt;&gt;"!!!"),"NEW","")))</f>
        <v> </v>
      </c>
      <c r="G3202" s="23" t="str">
        <f>IF(OR(E3202="",E3202="!!!"),"",IF(OR(J3202=0,AND(J3202=1,K3202=1),AND(J3202=1,I3202="SBJ"),AND(J3202=1,I3202=0)),"?IN_FOCUS",IF(J3202&lt;=2,"?ACTIVATED",IF(J3202&lt;&gt;"","?FAMILIAR",IF(F3202="NEW",IF(ISNA(VLOOKUP(E3202,#REF!,1,FALSE())),"?TYPE_IDENTIFIABLE","?REFERENTIAL"),"_")))))</f>
        <v> </v>
      </c>
      <c r="H3202" s="24" t="str">
        <f>IF(J3202&lt;&gt;1,"",IF(I3202="SBJ","CB","?"))</f>
        <v> </v>
      </c>
      <c r="I3202" s="25" t="str">
        <f>IF(OR(E3202="",E3202="!!!",F3202="NEW"),"",INDEX(B3201:B$2,-1+SUMPRODUCT(MAX(ROW(E3201:E$2)*(E3202=E3201:E$2)))))</f>
        <v> </v>
      </c>
      <c r="J3202" s="25" t="str">
        <f>IF(OR(E3202="",E3202="!!!",F3202="NEW"),"",COUNTBLANK(OFFSET(A$1,,,SUMPRODUCT(MAX(ROW(E$2:E3202)*(E3202=E$2:E3202)))))-COUNTBLANK(OFFSET(A$1,,,SUMPRODUCT(MAX(ROW(E$1:E3201)*(E2=E$1:E3201))))))</f>
        <v> </v>
      </c>
      <c r="K3202" s="25" t="str">
        <f>IF(OR(E3202="",E3202="!!!",F3202="NEW"),"",INDEX(J$1:J3201,SUMPRODUCT(MAX(ROW(E$1:E3201)*(E3202=E$1:E3201)))))</f>
        <v> </v>
      </c>
      <c r="L3202" s="26"/>
    </row>
    <row r="3203" spans="1:12">
      <c r="A3203" s="20" t="s">
        <v>2583</v>
      </c>
      <c r="E3203" s="21">
        <f>IF(D3203="?OLD","!!!","")</f>
        <v/>
      </c>
      <c r="F3203" s="22" t="str">
        <f>IF(OR(E3203="",E3203="!!!"),"",IF(NOT(ISNA(VLOOKUP(E3203,E$1:E3202,1,FALSE()))),"OLD",IF(AND(E3203&lt;&gt;"",E3203&lt;&gt;"!!!"),"NEW","")))</f>
        <v> </v>
      </c>
      <c r="G3203" s="23" t="str">
        <f>IF(OR(E3203="",E3203="!!!"),"",IF(OR(J3203=0,AND(J3203=1,K3203=1),AND(J3203=1,I3203="SBJ"),AND(J3203=1,I3203=0)),"?IN_FOCUS",IF(J3203&lt;=2,"?ACTIVATED",IF(J3203&lt;&gt;"","?FAMILIAR",IF(F3203="NEW",IF(ISNA(VLOOKUP(E3203,#REF!,1,FALSE())),"?TYPE_IDENTIFIABLE","?REFERENTIAL"),"_")))))</f>
        <v> </v>
      </c>
      <c r="H3203" s="24" t="str">
        <f>IF(J3203&lt;&gt;1,"",IF(I3203="SBJ","CB","?"))</f>
        <v> </v>
      </c>
      <c r="I3203" s="25" t="str">
        <f>IF(OR(E3203="",E3203="!!!",F3203="NEW"),"",INDEX(B3202:B$2,-1+SUMPRODUCT(MAX(ROW(E3202:E$2)*(E3203=E3202:E$2)))))</f>
        <v> </v>
      </c>
      <c r="J3203" s="25" t="str">
        <f>IF(OR(E3203="",E3203="!!!",F3203="NEW"),"",COUNTBLANK(OFFSET(A$1,,,SUMPRODUCT(MAX(ROW(E$2:E3203)*(E3203=E$2:E3203)))))-COUNTBLANK(OFFSET(A$1,,,SUMPRODUCT(MAX(ROW(E$1:E3202)*(E2=E$1:E3202))))))</f>
        <v> </v>
      </c>
      <c r="K3203" s="25" t="str">
        <f>IF(OR(E3203="",E3203="!!!",F3203="NEW"),"",INDEX(J$1:J3202,SUMPRODUCT(MAX(ROW(E$1:E3202)*(E3203=E$1:E3202)))))</f>
        <v> </v>
      </c>
      <c r="L3203" s="26"/>
    </row>
    <row r="3204" spans="1:12">
      <c r="A3204" s="20" t="s">
        <v>1145</v>
      </c>
      <c r="E3204" s="21">
        <f>IF(D3204="?OLD","!!!","")</f>
        <v/>
      </c>
      <c r="F3204" s="22" t="str">
        <f>IF(OR(E3204="",E3204="!!!"),"",IF(NOT(ISNA(VLOOKUP(E3204,E$1:E3203,1,FALSE()))),"OLD",IF(AND(E3204&lt;&gt;"",E3204&lt;&gt;"!!!"),"NEW","")))</f>
        <v> </v>
      </c>
      <c r="G3204" s="23" t="str">
        <f>IF(OR(E3204="",E3204="!!!"),"",IF(OR(J3204=0,AND(J3204=1,K3204=1),AND(J3204=1,I3204="SBJ"),AND(J3204=1,I3204=0)),"?IN_FOCUS",IF(J3204&lt;=2,"?ACTIVATED",IF(J3204&lt;&gt;"","?FAMILIAR",IF(F3204="NEW",IF(ISNA(VLOOKUP(E3204,#REF!,1,FALSE())),"?TYPE_IDENTIFIABLE","?REFERENTIAL"),"_")))))</f>
        <v> </v>
      </c>
      <c r="H3204" s="24" t="str">
        <f>IF(J3204&lt;&gt;1,"",IF(I3204="SBJ","CB","?"))</f>
        <v> </v>
      </c>
      <c r="I3204" s="25" t="str">
        <f>IF(OR(E3204="",E3204="!!!",F3204="NEW"),"",INDEX(B3203:B$2,-1+SUMPRODUCT(MAX(ROW(E3203:E$2)*(E3204=E3203:E$2)))))</f>
        <v> </v>
      </c>
      <c r="J3204" s="25" t="str">
        <f>IF(OR(E3204="",E3204="!!!",F3204="NEW"),"",COUNTBLANK(OFFSET(A$1,,,SUMPRODUCT(MAX(ROW(E$2:E3204)*(E3204=E$2:E3204)))))-COUNTBLANK(OFFSET(A$1,,,SUMPRODUCT(MAX(ROW(E$1:E3203)*(E2=E$1:E3203))))))</f>
        <v> </v>
      </c>
      <c r="K3204" s="25" t="str">
        <f>IF(OR(E3204="",E3204="!!!",F3204="NEW"),"",INDEX(J$1:J3203,SUMPRODUCT(MAX(ROW(E$1:E3203)*(E3204=E$1:E3203)))))</f>
        <v> </v>
      </c>
      <c r="L3204" s="26"/>
    </row>
    <row r="3205" spans="1:12">
      <c r="A3205" s="20"/>
    </row>
    <row r="3206" spans="1:12">
      <c r="A3206" s="20" t="s">
        <v>2584</v>
      </c>
    </row>
    <row r="3207" spans="1:12">
      <c r="A3207" s="20" t="s">
        <v>1111</v>
      </c>
      <c r="E3207" s="21">
        <f>IF(D3207="?OLD","!!!","")</f>
        <v/>
      </c>
      <c r="F3207" s="22" t="str">
        <f>IF(OR(E3207="",E3207="!!!"),"",IF(NOT(ISNA(VLOOKUP(E3207,E$1:E3206,1,FALSE()))),"OLD",IF(AND(E3207&lt;&gt;"",E3207&lt;&gt;"!!!"),"NEW","")))</f>
        <v> </v>
      </c>
      <c r="G3207" s="23" t="str">
        <f>IF(OR(E3207="",E3207="!!!"),"",IF(OR(J3207=0,AND(J3207=1,K3207=1),AND(J3207=1,I3207="SBJ"),AND(J3207=1,I3207=0)),"?IN_FOCUS",IF(J3207&lt;=2,"?ACTIVATED",IF(J3207&lt;&gt;"","?FAMILIAR",IF(F3207="NEW",IF(ISNA(VLOOKUP(E3207,#REF!,1,FALSE())),"?TYPE_IDENTIFIABLE","?REFERENTIAL"),"_")))))</f>
        <v> </v>
      </c>
      <c r="H3207" s="24" t="str">
        <f>IF(J3207&lt;&gt;1,"",IF(I3207="SBJ","CB","?"))</f>
        <v> </v>
      </c>
      <c r="I3207" s="25" t="str">
        <f>IF(OR(E3207="",E3207="!!!",F3207="NEW"),"",INDEX(B3206:B$2,-1+SUMPRODUCT(MAX(ROW(E3206:E$2)*(E3207=E3206:E$2)))))</f>
        <v> </v>
      </c>
      <c r="J3207" s="25" t="str">
        <f>IF(OR(E3207="",E3207="!!!",F3207="NEW"),"",COUNTBLANK(OFFSET(A$1,,,SUMPRODUCT(MAX(ROW(E$2:E3207)*(E3207=E$2:E3207)))))-COUNTBLANK(OFFSET(A$1,,,SUMPRODUCT(MAX(ROW(E$1:E3206)*(E2=E$1:E3206))))))</f>
        <v> </v>
      </c>
      <c r="K3207" s="25" t="str">
        <f>IF(OR(E3207="",E3207="!!!",F3207="NEW"),"",INDEX(J$1:J3206,SUMPRODUCT(MAX(ROW(E$1:E3206)*(E3207=E$1:E3206)))))</f>
        <v> </v>
      </c>
      <c r="L3207" s="26"/>
    </row>
    <row r="3208" spans="1:12">
      <c r="A3208" s="20" t="s">
        <v>1547</v>
      </c>
      <c r="E3208" s="21">
        <f>IF(D3208="?OLD","!!!","")</f>
        <v/>
      </c>
      <c r="F3208" s="22" t="str">
        <f>IF(OR(E3208="",E3208="!!!"),"",IF(NOT(ISNA(VLOOKUP(E3208,E$1:E3207,1,FALSE()))),"OLD",IF(AND(E3208&lt;&gt;"",E3208&lt;&gt;"!!!"),"NEW","")))</f>
        <v> </v>
      </c>
      <c r="G3208" s="23" t="str">
        <f>IF(OR(E3208="",E3208="!!!"),"",IF(OR(J3208=0,AND(J3208=1,K3208=1),AND(J3208=1,I3208="SBJ"),AND(J3208=1,I3208=0)),"?IN_FOCUS",IF(J3208&lt;=2,"?ACTIVATED",IF(J3208&lt;&gt;"","?FAMILIAR",IF(F3208="NEW",IF(ISNA(VLOOKUP(E3208,#REF!,1,FALSE())),"?TYPE_IDENTIFIABLE","?REFERENTIAL"),"_")))))</f>
        <v> </v>
      </c>
      <c r="H3208" s="24" t="str">
        <f>IF(J3208&lt;&gt;1,"",IF(I3208="SBJ","CB","?"))</f>
        <v> </v>
      </c>
      <c r="I3208" s="25" t="str">
        <f>IF(OR(E3208="",E3208="!!!",F3208="NEW"),"",INDEX(B3207:B$2,-1+SUMPRODUCT(MAX(ROW(E3207:E$2)*(E3208=E3207:E$2)))))</f>
        <v> </v>
      </c>
      <c r="J3208" s="25" t="str">
        <f>IF(OR(E3208="",E3208="!!!",F3208="NEW"),"",COUNTBLANK(OFFSET(A$1,,,SUMPRODUCT(MAX(ROW(E$2:E3208)*(E3208=E$2:E3208)))))-COUNTBLANK(OFFSET(A$1,,,SUMPRODUCT(MAX(ROW(E$1:E3207)*(E2=E$1:E3207))))))</f>
        <v> </v>
      </c>
      <c r="K3208" s="25" t="str">
        <f>IF(OR(E3208="",E3208="!!!",F3208="NEW"),"",INDEX(J$1:J3207,SUMPRODUCT(MAX(ROW(E$1:E3207)*(E3208=E$1:E3207)))))</f>
        <v> </v>
      </c>
      <c r="L3208" s="26"/>
    </row>
    <row r="3209" spans="1:12">
      <c r="A3209" s="20" t="s">
        <v>1114</v>
      </c>
      <c r="B3209" s="27" t="s">
        <v>1122</v>
      </c>
      <c r="C3209" s="27" t="s">
        <v>1116</v>
      </c>
      <c r="D3209" s="27" t="s">
        <v>1105</v>
      </c>
      <c r="E3209" s="21">
        <f>IF(D3209="?OLD","!!!","")</f>
        <v/>
      </c>
      <c r="F3209" s="22" t="str">
        <f>IF(OR(E3209="",E3209="!!!"),"",IF(NOT(ISNA(VLOOKUP(E3209,E$1:E3208,1,FALSE()))),"OLD",IF(AND(E3209&lt;&gt;"",E3209&lt;&gt;"!!!"),"NEW","")))</f>
        <v> </v>
      </c>
      <c r="G3209" s="23" t="str">
        <f>IF(OR(E3209="",E3209="!!!"),"",IF(OR(J3209=0,AND(J3209=1,K3209=1),AND(J3209=1,I3209="SBJ"),AND(J3209=1,I3209=0)),"?IN_FOCUS",IF(J3209&lt;=2,"?ACTIVATED",IF(J3209&lt;&gt;"","?FAMILIAR",IF(F3209="NEW",IF(ISNA(VLOOKUP(E3209,#REF!,1,FALSE())),"?TYPE_IDENTIFIABLE","?REFERENTIAL"),"_")))))</f>
        <v> </v>
      </c>
      <c r="H3209" s="24" t="str">
        <f>IF(J3209&lt;&gt;1,"",IF(I3209="SBJ","CB","?"))</f>
        <v> </v>
      </c>
      <c r="I3209" s="25" t="str">
        <f>IF(OR(E3209="",E3209="!!!",F3209="NEW"),"",INDEX(B3208:B$2,-1+SUMPRODUCT(MAX(ROW(E3208:E$2)*(E3209=E3208:E$2)))))</f>
        <v> </v>
      </c>
      <c r="J3209" s="25" t="str">
        <f>IF(OR(E3209="",E3209="!!!",F3209="NEW"),"",COUNTBLANK(OFFSET(A$1,,,SUMPRODUCT(MAX(ROW(E$2:E3209)*(E3209=E$2:E3209)))))-COUNTBLANK(OFFSET(A$1,,,SUMPRODUCT(MAX(ROW(E$1:E3208)*(E2=E$1:E3208))))))</f>
        <v> </v>
      </c>
      <c r="K3209" s="25" t="str">
        <f>IF(OR(E3209="",E3209="!!!",F3209="NEW"),"",INDEX(J$1:J3208,SUMPRODUCT(MAX(ROW(E$1:E3208)*(E3209=E$1:E3208)))))</f>
        <v> </v>
      </c>
      <c r="L3209" s="26"/>
    </row>
    <row r="3210" spans="1:12">
      <c r="A3210" s="20" t="s">
        <v>2009</v>
      </c>
      <c r="E3210" s="21">
        <f>IF(D3210="?OLD","!!!","")</f>
        <v/>
      </c>
      <c r="F3210" s="22" t="str">
        <f>IF(OR(E3210="",E3210="!!!"),"",IF(NOT(ISNA(VLOOKUP(E3210,E$1:E3209,1,FALSE()))),"OLD",IF(AND(E3210&lt;&gt;"",E3210&lt;&gt;"!!!"),"NEW","")))</f>
        <v> </v>
      </c>
      <c r="G3210" s="23" t="str">
        <f>IF(OR(E3210="",E3210="!!!"),"",IF(OR(J3210=0,AND(J3210=1,K3210=1),AND(J3210=1,I3210="SBJ"),AND(J3210=1,I3210=0)),"?IN_FOCUS",IF(J3210&lt;=2,"?ACTIVATED",IF(J3210&lt;&gt;"","?FAMILIAR",IF(F3210="NEW",IF(ISNA(VLOOKUP(E3210,#REF!,1,FALSE())),"?TYPE_IDENTIFIABLE","?REFERENTIAL"),"_")))))</f>
        <v> </v>
      </c>
      <c r="H3210" s="24" t="str">
        <f>IF(J3210&lt;&gt;1,"",IF(I3210="SBJ","CB","?"))</f>
        <v> </v>
      </c>
      <c r="I3210" s="25" t="str">
        <f>IF(OR(E3210="",E3210="!!!",F3210="NEW"),"",INDEX(B3209:B$2,-1+SUMPRODUCT(MAX(ROW(E3209:E$2)*(E3210=E3209:E$2)))))</f>
        <v> </v>
      </c>
      <c r="J3210" s="25" t="str">
        <f>IF(OR(E3210="",E3210="!!!",F3210="NEW"),"",COUNTBLANK(OFFSET(A$1,,,SUMPRODUCT(MAX(ROW(E$2:E3210)*(E3210=E$2:E3210)))))-COUNTBLANK(OFFSET(A$1,,,SUMPRODUCT(MAX(ROW(E$1:E3209)*(E2=E$1:E3209))))))</f>
        <v> </v>
      </c>
      <c r="K3210" s="25" t="str">
        <f>IF(OR(E3210="",E3210="!!!",F3210="NEW"),"",INDEX(J$1:J3209,SUMPRODUCT(MAX(ROW(E$1:E3209)*(E3210=E$1:E3209)))))</f>
        <v> </v>
      </c>
      <c r="L3210" s="26"/>
    </row>
    <row r="3211" spans="1:12">
      <c r="A3211" s="20" t="s">
        <v>1757</v>
      </c>
      <c r="B3211" s="27" t="s">
        <v>1103</v>
      </c>
      <c r="C3211" s="27" t="s">
        <v>1758</v>
      </c>
      <c r="E3211" s="21">
        <f>IF(D3211="?OLD","!!!","")</f>
        <v/>
      </c>
      <c r="F3211" s="22" t="str">
        <f>IF(OR(E3211="",E3211="!!!"),"",IF(NOT(ISNA(VLOOKUP(E3211,E$1:E3210,1,FALSE()))),"OLD",IF(AND(E3211&lt;&gt;"",E3211&lt;&gt;"!!!"),"NEW","")))</f>
        <v> </v>
      </c>
      <c r="G3211" s="23" t="str">
        <f>IF(OR(E3211="",E3211="!!!"),"",IF(OR(J3211=0,AND(J3211=1,K3211=1),AND(J3211=1,I3211="SBJ"),AND(J3211=1,I3211=0)),"?IN_FOCUS",IF(J3211&lt;=2,"?ACTIVATED",IF(J3211&lt;&gt;"","?FAMILIAR",IF(F3211="NEW",IF(ISNA(VLOOKUP(E3211,#REF!,1,FALSE())),"?TYPE_IDENTIFIABLE","?REFERENTIAL"),"_")))))</f>
        <v> </v>
      </c>
      <c r="H3211" s="24" t="str">
        <f>IF(J3211&lt;&gt;1,"",IF(I3211="SBJ","CB","?"))</f>
        <v> </v>
      </c>
      <c r="I3211" s="25" t="str">
        <f>IF(OR(E3211="",E3211="!!!",F3211="NEW"),"",INDEX(B3210:B$2,-1+SUMPRODUCT(MAX(ROW(E3210:E$2)*(E3211=E3210:E$2)))))</f>
        <v> </v>
      </c>
      <c r="J3211" s="25" t="str">
        <f>IF(OR(E3211="",E3211="!!!",F3211="NEW"),"",COUNTBLANK(OFFSET(A$1,,,SUMPRODUCT(MAX(ROW(E$2:E3211)*(E3211=E$2:E3211)))))-COUNTBLANK(OFFSET(A$1,,,SUMPRODUCT(MAX(ROW(E$1:E3210)*(E2=E$1:E3210))))))</f>
        <v> </v>
      </c>
      <c r="K3211" s="25" t="str">
        <f>IF(OR(E3211="",E3211="!!!",F3211="NEW"),"",INDEX(J$1:J3210,SUMPRODUCT(MAX(ROW(E$1:E3210)*(E3211=E$1:E3210)))))</f>
        <v> </v>
      </c>
      <c r="L3211" s="26"/>
    </row>
    <row r="3212" spans="1:12">
      <c r="A3212" s="20" t="s">
        <v>1145</v>
      </c>
      <c r="E3212" s="21">
        <f>IF(D3212="?OLD","!!!","")</f>
        <v/>
      </c>
      <c r="F3212" s="22" t="str">
        <f>IF(OR(E3212="",E3212="!!!"),"",IF(NOT(ISNA(VLOOKUP(E3212,E$1:E3211,1,FALSE()))),"OLD",IF(AND(E3212&lt;&gt;"",E3212&lt;&gt;"!!!"),"NEW","")))</f>
        <v> </v>
      </c>
      <c r="G3212" s="23" t="str">
        <f>IF(OR(E3212="",E3212="!!!"),"",IF(OR(J3212=0,AND(J3212=1,K3212=1),AND(J3212=1,I3212="SBJ"),AND(J3212=1,I3212=0)),"?IN_FOCUS",IF(J3212&lt;=2,"?ACTIVATED",IF(J3212&lt;&gt;"","?FAMILIAR",IF(F3212="NEW",IF(ISNA(VLOOKUP(E3212,#REF!,1,FALSE())),"?TYPE_IDENTIFIABLE","?REFERENTIAL"),"_")))))</f>
        <v> </v>
      </c>
      <c r="H3212" s="24" t="str">
        <f>IF(J3212&lt;&gt;1,"",IF(I3212="SBJ","CB","?"))</f>
        <v> </v>
      </c>
      <c r="I3212" s="25" t="str">
        <f>IF(OR(E3212="",E3212="!!!",F3212="NEW"),"",INDEX(B3211:B$2,-1+SUMPRODUCT(MAX(ROW(E3211:E$2)*(E3212=E3211:E$2)))))</f>
        <v> </v>
      </c>
      <c r="J3212" s="25" t="str">
        <f>IF(OR(E3212="",E3212="!!!",F3212="NEW"),"",COUNTBLANK(OFFSET(A$1,,,SUMPRODUCT(MAX(ROW(E$2:E3212)*(E3212=E$2:E3212)))))-COUNTBLANK(OFFSET(A$1,,,SUMPRODUCT(MAX(ROW(E$1:E3211)*(E2=E$1:E3211))))))</f>
        <v> </v>
      </c>
      <c r="K3212" s="25" t="str">
        <f>IF(OR(E3212="",E3212="!!!",F3212="NEW"),"",INDEX(J$1:J3211,SUMPRODUCT(MAX(ROW(E$1:E3211)*(E3212=E$1:E3211)))))</f>
        <v> </v>
      </c>
      <c r="L3212" s="26"/>
    </row>
    <row r="3213" spans="1:12">
      <c r="A3213" s="20" t="s">
        <v>1145</v>
      </c>
      <c r="E3213" s="21">
        <f>IF(D3213="?OLD","!!!","")</f>
        <v/>
      </c>
      <c r="F3213" s="22" t="str">
        <f>IF(OR(E3213="",E3213="!!!"),"",IF(NOT(ISNA(VLOOKUP(E3213,E$1:E3212,1,FALSE()))),"OLD",IF(AND(E3213&lt;&gt;"",E3213&lt;&gt;"!!!"),"NEW","")))</f>
        <v> </v>
      </c>
      <c r="G3213" s="23" t="str">
        <f>IF(OR(E3213="",E3213="!!!"),"",IF(OR(J3213=0,AND(J3213=1,K3213=1),AND(J3213=1,I3213="SBJ"),AND(J3213=1,I3213=0)),"?IN_FOCUS",IF(J3213&lt;=2,"?ACTIVATED",IF(J3213&lt;&gt;"","?FAMILIAR",IF(F3213="NEW",IF(ISNA(VLOOKUP(E3213,#REF!,1,FALSE())),"?TYPE_IDENTIFIABLE","?REFERENTIAL"),"_")))))</f>
        <v> </v>
      </c>
      <c r="H3213" s="24" t="str">
        <f>IF(J3213&lt;&gt;1,"",IF(I3213="SBJ","CB","?"))</f>
        <v> </v>
      </c>
      <c r="I3213" s="25" t="str">
        <f>IF(OR(E3213="",E3213="!!!",F3213="NEW"),"",INDEX(B3212:B$2,-1+SUMPRODUCT(MAX(ROW(E3212:E$2)*(E3213=E3212:E$2)))))</f>
        <v> </v>
      </c>
      <c r="J3213" s="25" t="str">
        <f>IF(OR(E3213="",E3213="!!!",F3213="NEW"),"",COUNTBLANK(OFFSET(A$1,,,SUMPRODUCT(MAX(ROW(E$2:E3213)*(E3213=E$2:E3213)))))-COUNTBLANK(OFFSET(A$1,,,SUMPRODUCT(MAX(ROW(E$1:E3212)*(E2=E$1:E3212))))))</f>
        <v> </v>
      </c>
      <c r="K3213" s="25" t="str">
        <f>IF(OR(E3213="",E3213="!!!",F3213="NEW"),"",INDEX(J$1:J3212,SUMPRODUCT(MAX(ROW(E$1:E3212)*(E3213=E$1:E3212)))))</f>
        <v> </v>
      </c>
      <c r="L3213" s="26"/>
    </row>
    <row r="3214" spans="1:12">
      <c r="A3214" s="20" t="s">
        <v>1145</v>
      </c>
      <c r="E3214" s="21">
        <f>IF(D3214="?OLD","!!!","")</f>
        <v/>
      </c>
      <c r="F3214" s="22" t="str">
        <f>IF(OR(E3214="",E3214="!!!"),"",IF(NOT(ISNA(VLOOKUP(E3214,E$1:E3213,1,FALSE()))),"OLD",IF(AND(E3214&lt;&gt;"",E3214&lt;&gt;"!!!"),"NEW","")))</f>
        <v> </v>
      </c>
      <c r="G3214" s="23" t="str">
        <f>IF(OR(E3214="",E3214="!!!"),"",IF(OR(J3214=0,AND(J3214=1,K3214=1),AND(J3214=1,I3214="SBJ"),AND(J3214=1,I3214=0)),"?IN_FOCUS",IF(J3214&lt;=2,"?ACTIVATED",IF(J3214&lt;&gt;"","?FAMILIAR",IF(F3214="NEW",IF(ISNA(VLOOKUP(E3214,#REF!,1,FALSE())),"?TYPE_IDENTIFIABLE","?REFERENTIAL"),"_")))))</f>
        <v> </v>
      </c>
      <c r="H3214" s="24" t="str">
        <f>IF(J3214&lt;&gt;1,"",IF(I3214="SBJ","CB","?"))</f>
        <v> </v>
      </c>
      <c r="I3214" s="25" t="str">
        <f>IF(OR(E3214="",E3214="!!!",F3214="NEW"),"",INDEX(B3213:B$2,-1+SUMPRODUCT(MAX(ROW(E3213:E$2)*(E3214=E3213:E$2)))))</f>
        <v> </v>
      </c>
      <c r="J3214" s="25" t="str">
        <f>IF(OR(E3214="",E3214="!!!",F3214="NEW"),"",COUNTBLANK(OFFSET(A$1,,,SUMPRODUCT(MAX(ROW(E$2:E3214)*(E3214=E$2:E3214)))))-COUNTBLANK(OFFSET(A$1,,,SUMPRODUCT(MAX(ROW(E$1:E3213)*(E2=E$1:E3213))))))</f>
        <v> </v>
      </c>
      <c r="K3214" s="25" t="str">
        <f>IF(OR(E3214="",E3214="!!!",F3214="NEW"),"",INDEX(J$1:J3213,SUMPRODUCT(MAX(ROW(E$1:E3213)*(E3214=E$1:E3213)))))</f>
        <v> </v>
      </c>
      <c r="L3214" s="26"/>
    </row>
    <row r="3215" spans="1:12">
      <c r="A3215" s="20" t="s">
        <v>1114</v>
      </c>
      <c r="B3215" s="27" t="s">
        <v>1149</v>
      </c>
      <c r="C3215" s="27" t="s">
        <v>1116</v>
      </c>
      <c r="D3215" s="27" t="s">
        <v>1105</v>
      </c>
      <c r="E3215" s="21">
        <f>IF(D3215="?OLD","!!!","")</f>
        <v/>
      </c>
      <c r="F3215" s="22" t="str">
        <f>IF(OR(E3215="",E3215="!!!"),"",IF(NOT(ISNA(VLOOKUP(E3215,E$1:E3214,1,FALSE()))),"OLD",IF(AND(E3215&lt;&gt;"",E3215&lt;&gt;"!!!"),"NEW","")))</f>
        <v> </v>
      </c>
      <c r="G3215" s="23" t="str">
        <f>IF(OR(E3215="",E3215="!!!"),"",IF(OR(J3215=0,AND(J3215=1,K3215=1),AND(J3215=1,I3215="SBJ"),AND(J3215=1,I3215=0)),"?IN_FOCUS",IF(J3215&lt;=2,"?ACTIVATED",IF(J3215&lt;&gt;"","?FAMILIAR",IF(F3215="NEW",IF(ISNA(VLOOKUP(E3215,#REF!,1,FALSE())),"?TYPE_IDENTIFIABLE","?REFERENTIAL"),"_")))))</f>
        <v> </v>
      </c>
      <c r="H3215" s="24" t="str">
        <f>IF(J3215&lt;&gt;1,"",IF(I3215="SBJ","CB","?"))</f>
        <v> </v>
      </c>
      <c r="I3215" s="25" t="str">
        <f>IF(OR(E3215="",E3215="!!!",F3215="NEW"),"",INDEX(B3214:B$2,-1+SUMPRODUCT(MAX(ROW(E3214:E$2)*(E3215=E3214:E$2)))))</f>
        <v> </v>
      </c>
      <c r="J3215" s="25" t="str">
        <f>IF(OR(E3215="",E3215="!!!",F3215="NEW"),"",COUNTBLANK(OFFSET(A$1,,,SUMPRODUCT(MAX(ROW(E$2:E3215)*(E3215=E$2:E3215)))))-COUNTBLANK(OFFSET(A$1,,,SUMPRODUCT(MAX(ROW(E$1:E3214)*(E2=E$1:E3214))))))</f>
        <v> </v>
      </c>
      <c r="K3215" s="25" t="str">
        <f>IF(OR(E3215="",E3215="!!!",F3215="NEW"),"",INDEX(J$1:J3214,SUMPRODUCT(MAX(ROW(E$1:E3214)*(E3215=E$1:E3214)))))</f>
        <v> </v>
      </c>
      <c r="L3215" s="26"/>
    </row>
    <row r="3216" spans="1:12">
      <c r="A3216" s="20" t="s">
        <v>1757</v>
      </c>
      <c r="B3216" s="27" t="s">
        <v>1103</v>
      </c>
      <c r="C3216" s="27" t="s">
        <v>1758</v>
      </c>
      <c r="E3216" s="21">
        <f>IF(D3216="?OLD","!!!","")</f>
        <v/>
      </c>
      <c r="F3216" s="22" t="str">
        <f>IF(OR(E3216="",E3216="!!!"),"",IF(NOT(ISNA(VLOOKUP(E3216,E$1:E3215,1,FALSE()))),"OLD",IF(AND(E3216&lt;&gt;"",E3216&lt;&gt;"!!!"),"NEW","")))</f>
        <v> </v>
      </c>
      <c r="G3216" s="23" t="str">
        <f>IF(OR(E3216="",E3216="!!!"),"",IF(OR(J3216=0,AND(J3216=1,K3216=1),AND(J3216=1,I3216="SBJ"),AND(J3216=1,I3216=0)),"?IN_FOCUS",IF(J3216&lt;=2,"?ACTIVATED",IF(J3216&lt;&gt;"","?FAMILIAR",IF(F3216="NEW",IF(ISNA(VLOOKUP(E3216,#REF!,1,FALSE())),"?TYPE_IDENTIFIABLE","?REFERENTIAL"),"_")))))</f>
        <v> </v>
      </c>
      <c r="H3216" s="24" t="str">
        <f>IF(J3216&lt;&gt;1,"",IF(I3216="SBJ","CB","?"))</f>
        <v> </v>
      </c>
      <c r="I3216" s="25" t="str">
        <f>IF(OR(E3216="",E3216="!!!",F3216="NEW"),"",INDEX(B3215:B$2,-1+SUMPRODUCT(MAX(ROW(E3215:E$2)*(E3216=E3215:E$2)))))</f>
        <v> </v>
      </c>
      <c r="J3216" s="25" t="str">
        <f>IF(OR(E3216="",E3216="!!!",F3216="NEW"),"",COUNTBLANK(OFFSET(A$1,,,SUMPRODUCT(MAX(ROW(E$2:E3216)*(E3216=E$2:E3216)))))-COUNTBLANK(OFFSET(A$1,,,SUMPRODUCT(MAX(ROW(E$1:E3215)*(E2=E$1:E3215))))))</f>
        <v> </v>
      </c>
      <c r="K3216" s="25" t="str">
        <f>IF(OR(E3216="",E3216="!!!",F3216="NEW"),"",INDEX(J$1:J3215,SUMPRODUCT(MAX(ROW(E$1:E3215)*(E3216=E$1:E3215)))))</f>
        <v> </v>
      </c>
      <c r="L3216" s="26"/>
    </row>
    <row r="3217" spans="1:12">
      <c r="A3217" s="20" t="s">
        <v>1145</v>
      </c>
      <c r="E3217" s="21">
        <f>IF(D3217="?OLD","!!!","")</f>
        <v/>
      </c>
      <c r="F3217" s="22" t="str">
        <f>IF(OR(E3217="",E3217="!!!"),"",IF(NOT(ISNA(VLOOKUP(E3217,E$1:E3216,1,FALSE()))),"OLD",IF(AND(E3217&lt;&gt;"",E3217&lt;&gt;"!!!"),"NEW","")))</f>
        <v> </v>
      </c>
      <c r="G3217" s="23" t="str">
        <f>IF(OR(E3217="",E3217="!!!"),"",IF(OR(J3217=0,AND(J3217=1,K3217=1),AND(J3217=1,I3217="SBJ"),AND(J3217=1,I3217=0)),"?IN_FOCUS",IF(J3217&lt;=2,"?ACTIVATED",IF(J3217&lt;&gt;"","?FAMILIAR",IF(F3217="NEW",IF(ISNA(VLOOKUP(E3217,#REF!,1,FALSE())),"?TYPE_IDENTIFIABLE","?REFERENTIAL"),"_")))))</f>
        <v> </v>
      </c>
      <c r="H3217" s="24" t="str">
        <f>IF(J3217&lt;&gt;1,"",IF(I3217="SBJ","CB","?"))</f>
        <v> </v>
      </c>
      <c r="I3217" s="25" t="str">
        <f>IF(OR(E3217="",E3217="!!!",F3217="NEW"),"",INDEX(B3216:B$2,-1+SUMPRODUCT(MAX(ROW(E3216:E$2)*(E3217=E3216:E$2)))))</f>
        <v> </v>
      </c>
      <c r="J3217" s="25" t="str">
        <f>IF(OR(E3217="",E3217="!!!",F3217="NEW"),"",COUNTBLANK(OFFSET(A$1,,,SUMPRODUCT(MAX(ROW(E$2:E3217)*(E3217=E$2:E3217)))))-COUNTBLANK(OFFSET(A$1,,,SUMPRODUCT(MAX(ROW(E$1:E3216)*(E2=E$1:E3216))))))</f>
        <v> </v>
      </c>
      <c r="K3217" s="25" t="str">
        <f>IF(OR(E3217="",E3217="!!!",F3217="NEW"),"",INDEX(J$1:J3216,SUMPRODUCT(MAX(ROW(E$1:E3216)*(E3217=E$1:E3216)))))</f>
        <v> </v>
      </c>
      <c r="L3217" s="26"/>
    </row>
    <row r="3218" spans="1:12">
      <c r="A3218" s="20"/>
    </row>
    <row r="3219" spans="1:12">
      <c r="A3219" s="20" t="s">
        <v>2585</v>
      </c>
    </row>
    <row r="3220" spans="1:12">
      <c r="A3220" s="20" t="s">
        <v>1633</v>
      </c>
      <c r="B3220" s="27" t="s">
        <v>1149</v>
      </c>
      <c r="C3220" s="27" t="s">
        <v>1126</v>
      </c>
      <c r="D3220" s="27" t="s">
        <v>1105</v>
      </c>
      <c r="E3220" s="21">
        <f>IF(D3220="?OLD","!!!","")</f>
        <v/>
      </c>
      <c r="F3220" s="22" t="str">
        <f>IF(OR(E3220="",E3220="!!!"),"",IF(NOT(ISNA(VLOOKUP(E3220,E$1:E3219,1,FALSE()))),"OLD",IF(AND(E3220&lt;&gt;"",E3220&lt;&gt;"!!!"),"NEW","")))</f>
        <v> </v>
      </c>
      <c r="G3220" s="23" t="str">
        <f>IF(OR(E3220="",E3220="!!!"),"",IF(OR(J3220=0,AND(J3220=1,K3220=1),AND(J3220=1,I3220="SBJ"),AND(J3220=1,I3220=0)),"?IN_FOCUS",IF(J3220&lt;=2,"?ACTIVATED",IF(J3220&lt;&gt;"","?FAMILIAR",IF(F3220="NEW",IF(ISNA(VLOOKUP(E3220,#REF!,1,FALSE())),"?TYPE_IDENTIFIABLE","?REFERENTIAL"),"_")))))</f>
        <v> </v>
      </c>
      <c r="H3220" s="24" t="str">
        <f>IF(J3220&lt;&gt;1,"",IF(I3220="SBJ","CB","?"))</f>
        <v> </v>
      </c>
      <c r="I3220" s="25" t="str">
        <f>IF(OR(E3220="",E3220="!!!",F3220="NEW"),"",INDEX(B3219:B$2,-1+SUMPRODUCT(MAX(ROW(E3219:E$2)*(E3220=E3219:E$2)))))</f>
        <v> </v>
      </c>
      <c r="J3220" s="25" t="str">
        <f>IF(OR(E3220="",E3220="!!!",F3220="NEW"),"",COUNTBLANK(OFFSET(A$1,,,SUMPRODUCT(MAX(ROW(E$2:E3220)*(E3220=E$2:E3220)))))-COUNTBLANK(OFFSET(A$1,,,SUMPRODUCT(MAX(ROW(E$1:E3219)*(E2=E$1:E3219))))))</f>
        <v> </v>
      </c>
      <c r="K3220" s="25" t="str">
        <f>IF(OR(E3220="",E3220="!!!",F3220="NEW"),"",INDEX(J$1:J3219,SUMPRODUCT(MAX(ROW(E$1:E3219)*(E3220=E$1:E3219)))))</f>
        <v> </v>
      </c>
      <c r="L3220" s="26"/>
    </row>
    <row r="3221" spans="1:12">
      <c r="A3221" s="20" t="s">
        <v>2586</v>
      </c>
      <c r="E3221" s="21">
        <f>IF(D3221="?OLD","!!!","")</f>
        <v/>
      </c>
      <c r="F3221" s="22" t="str">
        <f>IF(OR(E3221="",E3221="!!!"),"",IF(NOT(ISNA(VLOOKUP(E3221,E$1:E3220,1,FALSE()))),"OLD",IF(AND(E3221&lt;&gt;"",E3221&lt;&gt;"!!!"),"NEW","")))</f>
        <v> </v>
      </c>
      <c r="G3221" s="23" t="str">
        <f>IF(OR(E3221="",E3221="!!!"),"",IF(OR(J3221=0,AND(J3221=1,K3221=1),AND(J3221=1,I3221="SBJ"),AND(J3221=1,I3221=0)),"?IN_FOCUS",IF(J3221&lt;=2,"?ACTIVATED",IF(J3221&lt;&gt;"","?FAMILIAR",IF(F3221="NEW",IF(ISNA(VLOOKUP(E3221,#REF!,1,FALSE())),"?TYPE_IDENTIFIABLE","?REFERENTIAL"),"_")))))</f>
        <v> </v>
      </c>
      <c r="H3221" s="24" t="str">
        <f>IF(J3221&lt;&gt;1,"",IF(I3221="SBJ","CB","?"))</f>
        <v> </v>
      </c>
      <c r="I3221" s="25" t="str">
        <f>IF(OR(E3221="",E3221="!!!",F3221="NEW"),"",INDEX(B3220:B$2,-1+SUMPRODUCT(MAX(ROW(E3220:E$2)*(E3221=E3220:E$2)))))</f>
        <v> </v>
      </c>
      <c r="J3221" s="25" t="str">
        <f>IF(OR(E3221="",E3221="!!!",F3221="NEW"),"",COUNTBLANK(OFFSET(A$1,,,SUMPRODUCT(MAX(ROW(E$2:E3221)*(E3221=E$2:E3221)))))-COUNTBLANK(OFFSET(A$1,,,SUMPRODUCT(MAX(ROW(E$1:E3220)*(E2=E$1:E3220))))))</f>
        <v> </v>
      </c>
      <c r="K3221" s="25" t="str">
        <f>IF(OR(E3221="",E3221="!!!",F3221="NEW"),"",INDEX(J$1:J3220,SUMPRODUCT(MAX(ROW(E$1:E3220)*(E3221=E$1:E3220)))))</f>
        <v> </v>
      </c>
      <c r="L3221" s="26"/>
    </row>
    <row r="3222" spans="1:12">
      <c r="A3222" s="20" t="s">
        <v>1123</v>
      </c>
      <c r="E3222" s="21">
        <f>IF(D3222="?OLD","!!!","")</f>
        <v/>
      </c>
      <c r="F3222" s="22" t="str">
        <f>IF(OR(E3222="",E3222="!!!"),"",IF(NOT(ISNA(VLOOKUP(E3222,E$1:E3221,1,FALSE()))),"OLD",IF(AND(E3222&lt;&gt;"",E3222&lt;&gt;"!!!"),"NEW","")))</f>
        <v> </v>
      </c>
      <c r="G3222" s="23" t="str">
        <f>IF(OR(E3222="",E3222="!!!"),"",IF(OR(J3222=0,AND(J3222=1,K3222=1),AND(J3222=1,I3222="SBJ"),AND(J3222=1,I3222=0)),"?IN_FOCUS",IF(J3222&lt;=2,"?ACTIVATED",IF(J3222&lt;&gt;"","?FAMILIAR",IF(F3222="NEW",IF(ISNA(VLOOKUP(E3222,#REF!,1,FALSE())),"?TYPE_IDENTIFIABLE","?REFERENTIAL"),"_")))))</f>
        <v> </v>
      </c>
      <c r="H3222" s="24" t="str">
        <f>IF(J3222&lt;&gt;1,"",IF(I3222="SBJ","CB","?"))</f>
        <v> </v>
      </c>
      <c r="I3222" s="25" t="str">
        <f>IF(OR(E3222="",E3222="!!!",F3222="NEW"),"",INDEX(B3221:B$2,-1+SUMPRODUCT(MAX(ROW(E3221:E$2)*(E3222=E3221:E$2)))))</f>
        <v> </v>
      </c>
      <c r="J3222" s="25" t="str">
        <f>IF(OR(E3222="",E3222="!!!",F3222="NEW"),"",COUNTBLANK(OFFSET(A$1,,,SUMPRODUCT(MAX(ROW(E$2:E3222)*(E3222=E$2:E3222)))))-COUNTBLANK(OFFSET(A$1,,,SUMPRODUCT(MAX(ROW(E$1:E3221)*(E2=E$1:E3221))))))</f>
        <v> </v>
      </c>
      <c r="K3222" s="25" t="str">
        <f>IF(OR(E3222="",E3222="!!!",F3222="NEW"),"",INDEX(J$1:J3221,SUMPRODUCT(MAX(ROW(E$1:E3221)*(E3222=E$1:E3221)))))</f>
        <v> </v>
      </c>
      <c r="L3222" s="26"/>
    </row>
    <row r="3223" spans="1:12">
      <c r="A3223" s="20" t="s">
        <v>1124</v>
      </c>
      <c r="B3223" s="27" t="s">
        <v>1122</v>
      </c>
      <c r="C3223" s="27" t="s">
        <v>1126</v>
      </c>
      <c r="D3223" s="27" t="s">
        <v>1105</v>
      </c>
      <c r="E3223" s="21">
        <f>IF(D3223="?OLD","!!!","")</f>
        <v/>
      </c>
      <c r="F3223" s="22" t="str">
        <f>IF(OR(E3223="",E3223="!!!"),"",IF(NOT(ISNA(VLOOKUP(E3223,E$1:E3222,1,FALSE()))),"OLD",IF(AND(E3223&lt;&gt;"",E3223&lt;&gt;"!!!"),"NEW","")))</f>
        <v> </v>
      </c>
      <c r="G3223" s="23" t="str">
        <f>IF(OR(E3223="",E3223="!!!"),"",IF(OR(J3223=0,AND(J3223=1,K3223=1),AND(J3223=1,I3223="SBJ"),AND(J3223=1,I3223=0)),"?IN_FOCUS",IF(J3223&lt;=2,"?ACTIVATED",IF(J3223&lt;&gt;"","?FAMILIAR",IF(F3223="NEW",IF(ISNA(VLOOKUP(E3223,#REF!,1,FALSE())),"?TYPE_IDENTIFIABLE","?REFERENTIAL"),"_")))))</f>
        <v> </v>
      </c>
      <c r="H3223" s="24" t="str">
        <f>IF(J3223&lt;&gt;1,"",IF(I3223="SBJ","CB","?"))</f>
        <v> </v>
      </c>
      <c r="I3223" s="25" t="str">
        <f>IF(OR(E3223="",E3223="!!!",F3223="NEW"),"",INDEX(B3222:B$2,-1+SUMPRODUCT(MAX(ROW(E3222:E$2)*(E3223=E3222:E$2)))))</f>
        <v> </v>
      </c>
      <c r="J3223" s="25" t="str">
        <f>IF(OR(E3223="",E3223="!!!",F3223="NEW"),"",COUNTBLANK(OFFSET(A$1,,,SUMPRODUCT(MAX(ROW(E$2:E3223)*(E3223=E$2:E3223)))))-COUNTBLANK(OFFSET(A$1,,,SUMPRODUCT(MAX(ROW(E$1:E3222)*(E2=E$1:E3222))))))</f>
        <v> </v>
      </c>
      <c r="K3223" s="25" t="str">
        <f>IF(OR(E3223="",E3223="!!!",F3223="NEW"),"",INDEX(J$1:J3222,SUMPRODUCT(MAX(ROW(E$1:E3222)*(E3223=E$1:E3222)))))</f>
        <v> </v>
      </c>
      <c r="L3223" s="26"/>
    </row>
    <row r="3224" spans="1:12">
      <c r="A3224" s="20" t="s">
        <v>2587</v>
      </c>
      <c r="E3224" s="21">
        <f>IF(D3224="?OLD","!!!","")</f>
        <v/>
      </c>
      <c r="F3224" s="22" t="str">
        <f>IF(OR(E3224="",E3224="!!!"),"",IF(NOT(ISNA(VLOOKUP(E3224,E$1:E3223,1,FALSE()))),"OLD",IF(AND(E3224&lt;&gt;"",E3224&lt;&gt;"!!!"),"NEW","")))</f>
        <v> </v>
      </c>
      <c r="G3224" s="23" t="str">
        <f>IF(OR(E3224="",E3224="!!!"),"",IF(OR(J3224=0,AND(J3224=1,K3224=1),AND(J3224=1,I3224="SBJ"),AND(J3224=1,I3224=0)),"?IN_FOCUS",IF(J3224&lt;=2,"?ACTIVATED",IF(J3224&lt;&gt;"","?FAMILIAR",IF(F3224="NEW",IF(ISNA(VLOOKUP(E3224,#REF!,1,FALSE())),"?TYPE_IDENTIFIABLE","?REFERENTIAL"),"_")))))</f>
        <v> </v>
      </c>
      <c r="H3224" s="24" t="str">
        <f>IF(J3224&lt;&gt;1,"",IF(I3224="SBJ","CB","?"))</f>
        <v> </v>
      </c>
      <c r="I3224" s="25" t="str">
        <f>IF(OR(E3224="",E3224="!!!",F3224="NEW"),"",INDEX(B3223:B$2,-1+SUMPRODUCT(MAX(ROW(E3223:E$2)*(E3224=E3223:E$2)))))</f>
        <v> </v>
      </c>
      <c r="J3224" s="25" t="str">
        <f>IF(OR(E3224="",E3224="!!!",F3224="NEW"),"",COUNTBLANK(OFFSET(A$1,,,SUMPRODUCT(MAX(ROW(E$2:E3224)*(E3224=E$2:E3224)))))-COUNTBLANK(OFFSET(A$1,,,SUMPRODUCT(MAX(ROW(E$1:E3223)*(E2=E$1:E3223))))))</f>
        <v> </v>
      </c>
      <c r="K3224" s="25" t="str">
        <f>IF(OR(E3224="",E3224="!!!",F3224="NEW"),"",INDEX(J$1:J3223,SUMPRODUCT(MAX(ROW(E$1:E3223)*(E3224=E$1:E3223)))))</f>
        <v> </v>
      </c>
      <c r="L3224" s="26"/>
    </row>
    <row r="3225" spans="1:12">
      <c r="A3225" s="20" t="s">
        <v>2588</v>
      </c>
      <c r="B3225" s="27" t="s">
        <v>1110</v>
      </c>
      <c r="C3225" s="27" t="s">
        <v>1142</v>
      </c>
      <c r="D3225" s="27" t="s">
        <v>1105</v>
      </c>
      <c r="E3225" s="21">
        <f>IF(D3225="?OLD","!!!","")</f>
        <v/>
      </c>
      <c r="F3225" s="22" t="str">
        <f>IF(OR(E3225="",E3225="!!!"),"",IF(NOT(ISNA(VLOOKUP(E3225,E$1:E3224,1,FALSE()))),"OLD",IF(AND(E3225&lt;&gt;"",E3225&lt;&gt;"!!!"),"NEW","")))</f>
        <v> </v>
      </c>
      <c r="G3225" s="23" t="str">
        <f>IF(OR(E3225="",E3225="!!!"),"",IF(OR(J3225=0,AND(J3225=1,K3225=1),AND(J3225=1,I3225="SBJ"),AND(J3225=1,I3225=0)),"?IN_FOCUS",IF(J3225&lt;=2,"?ACTIVATED",IF(J3225&lt;&gt;"","?FAMILIAR",IF(F3225="NEW",IF(ISNA(VLOOKUP(E3225,#REF!,1,FALSE())),"?TYPE_IDENTIFIABLE","?REFERENTIAL"),"_")))))</f>
        <v> </v>
      </c>
      <c r="H3225" s="24" t="str">
        <f>IF(J3225&lt;&gt;1,"",IF(I3225="SBJ","CB","?"))</f>
        <v> </v>
      </c>
      <c r="I3225" s="25" t="str">
        <f>IF(OR(E3225="",E3225="!!!",F3225="NEW"),"",INDEX(B3224:B$2,-1+SUMPRODUCT(MAX(ROW(E3224:E$2)*(E3225=E3224:E$2)))))</f>
        <v> </v>
      </c>
      <c r="J3225" s="25" t="str">
        <f>IF(OR(E3225="",E3225="!!!",F3225="NEW"),"",COUNTBLANK(OFFSET(A$1,,,SUMPRODUCT(MAX(ROW(E$2:E3225)*(E3225=E$2:E3225)))))-COUNTBLANK(OFFSET(A$1,,,SUMPRODUCT(MAX(ROW(E$1:E3224)*(E2=E$1:E3224))))))</f>
        <v> </v>
      </c>
      <c r="K3225" s="25" t="str">
        <f>IF(OR(E3225="",E3225="!!!",F3225="NEW"),"",INDEX(J$1:J3224,SUMPRODUCT(MAX(ROW(E$1:E3224)*(E3225=E$1:E3224)))))</f>
        <v> </v>
      </c>
      <c r="L3225" s="26"/>
    </row>
    <row r="3226" spans="1:12">
      <c r="A3226" s="20" t="s">
        <v>2589</v>
      </c>
      <c r="B3226" s="27" t="s">
        <v>1243</v>
      </c>
      <c r="E3226" s="21">
        <f>IF(D3226="?OLD","!!!","")</f>
        <v/>
      </c>
      <c r="F3226" s="22" t="str">
        <f>IF(OR(E3226="",E3226="!!!"),"",IF(NOT(ISNA(VLOOKUP(E3226,E$1:E3225,1,FALSE()))),"OLD",IF(AND(E3226&lt;&gt;"",E3226&lt;&gt;"!!!"),"NEW","")))</f>
        <v> </v>
      </c>
      <c r="G3226" s="23" t="str">
        <f>IF(OR(E3226="",E3226="!!!"),"",IF(OR(J3226=0,AND(J3226=1,K3226=1),AND(J3226=1,I3226="SBJ"),AND(J3226=1,I3226=0)),"?IN_FOCUS",IF(J3226&lt;=2,"?ACTIVATED",IF(J3226&lt;&gt;"","?FAMILIAR",IF(F3226="NEW",IF(ISNA(VLOOKUP(E3226,#REF!,1,FALSE())),"?TYPE_IDENTIFIABLE","?REFERENTIAL"),"_")))))</f>
        <v> </v>
      </c>
      <c r="H3226" s="24" t="str">
        <f>IF(J3226&lt;&gt;1,"",IF(I3226="SBJ","CB","?"))</f>
        <v> </v>
      </c>
      <c r="I3226" s="25" t="str">
        <f>IF(OR(E3226="",E3226="!!!",F3226="NEW"),"",INDEX(B3225:B$2,-1+SUMPRODUCT(MAX(ROW(E3225:E$2)*(E3226=E3225:E$2)))))</f>
        <v> </v>
      </c>
      <c r="J3226" s="25" t="str">
        <f>IF(OR(E3226="",E3226="!!!",F3226="NEW"),"",COUNTBLANK(OFFSET(A$1,,,SUMPRODUCT(MAX(ROW(E$2:E3226)*(E3226=E$2:E3226)))))-COUNTBLANK(OFFSET(A$1,,,SUMPRODUCT(MAX(ROW(E$1:E3225)*(E2=E$1:E3225))))))</f>
        <v> </v>
      </c>
      <c r="K3226" s="25" t="str">
        <f>IF(OR(E3226="",E3226="!!!",F3226="NEW"),"",INDEX(J$1:J3225,SUMPRODUCT(MAX(ROW(E$1:E3225)*(E3226=E$1:E3225)))))</f>
        <v> </v>
      </c>
      <c r="L3226" s="26"/>
    </row>
    <row r="3227" spans="1:12">
      <c r="A3227" s="20" t="s">
        <v>1145</v>
      </c>
      <c r="E3227" s="21">
        <f>IF(D3227="?OLD","!!!","")</f>
        <v/>
      </c>
      <c r="F3227" s="22" t="str">
        <f>IF(OR(E3227="",E3227="!!!"),"",IF(NOT(ISNA(VLOOKUP(E3227,E$1:E3226,1,FALSE()))),"OLD",IF(AND(E3227&lt;&gt;"",E3227&lt;&gt;"!!!"),"NEW","")))</f>
        <v> </v>
      </c>
      <c r="G3227" s="23" t="str">
        <f>IF(OR(E3227="",E3227="!!!"),"",IF(OR(J3227=0,AND(J3227=1,K3227=1),AND(J3227=1,I3227="SBJ"),AND(J3227=1,I3227=0)),"?IN_FOCUS",IF(J3227&lt;=2,"?ACTIVATED",IF(J3227&lt;&gt;"","?FAMILIAR",IF(F3227="NEW",IF(ISNA(VLOOKUP(E3227,#REF!,1,FALSE())),"?TYPE_IDENTIFIABLE","?REFERENTIAL"),"_")))))</f>
        <v> </v>
      </c>
      <c r="H3227" s="24" t="str">
        <f>IF(J3227&lt;&gt;1,"",IF(I3227="SBJ","CB","?"))</f>
        <v> </v>
      </c>
      <c r="I3227" s="25" t="str">
        <f>IF(OR(E3227="",E3227="!!!",F3227="NEW"),"",INDEX(B3226:B$2,-1+SUMPRODUCT(MAX(ROW(E3226:E$2)*(E3227=E3226:E$2)))))</f>
        <v> </v>
      </c>
      <c r="J3227" s="25" t="str">
        <f>IF(OR(E3227="",E3227="!!!",F3227="NEW"),"",COUNTBLANK(OFFSET(A$1,,,SUMPRODUCT(MAX(ROW(E$2:E3227)*(E3227=E$2:E3227)))))-COUNTBLANK(OFFSET(A$1,,,SUMPRODUCT(MAX(ROW(E$1:E3226)*(E2=E$1:E3226))))))</f>
        <v> </v>
      </c>
      <c r="K3227" s="25" t="str">
        <f>IF(OR(E3227="",E3227="!!!",F3227="NEW"),"",INDEX(J$1:J3226,SUMPRODUCT(MAX(ROW(E$1:E3226)*(E3227=E$1:E3226)))))</f>
        <v> </v>
      </c>
      <c r="L3227" s="26"/>
    </row>
    <row r="3228" spans="1:12">
      <c r="A3228" s="20"/>
    </row>
    <row r="3229" spans="1:12">
      <c r="A3229" s="20" t="s">
        <v>2590</v>
      </c>
    </row>
    <row r="3230" spans="1:12">
      <c r="A3230" s="20" t="s">
        <v>2310</v>
      </c>
      <c r="E3230" s="21">
        <f>IF(D3230="?OLD","!!!","")</f>
        <v/>
      </c>
      <c r="F3230" s="22" t="str">
        <f>IF(OR(E3230="",E3230="!!!"),"",IF(NOT(ISNA(VLOOKUP(E3230,E$1:E3229,1,FALSE()))),"OLD",IF(AND(E3230&lt;&gt;"",E3230&lt;&gt;"!!!"),"NEW","")))</f>
        <v> </v>
      </c>
      <c r="G3230" s="23" t="str">
        <f>IF(OR(E3230="",E3230="!!!"),"",IF(OR(J3230=0,AND(J3230=1,K3230=1),AND(J3230=1,I3230="SBJ"),AND(J3230=1,I3230=0)),"?IN_FOCUS",IF(J3230&lt;=2,"?ACTIVATED",IF(J3230&lt;&gt;"","?FAMILIAR",IF(F3230="NEW",IF(ISNA(VLOOKUP(E3230,#REF!,1,FALSE())),"?TYPE_IDENTIFIABLE","?REFERENTIAL"),"_")))))</f>
        <v> </v>
      </c>
      <c r="H3230" s="24" t="str">
        <f>IF(J3230&lt;&gt;1,"",IF(I3230="SBJ","CB","?"))</f>
        <v> </v>
      </c>
      <c r="I3230" s="25" t="str">
        <f>IF(OR(E3230="",E3230="!!!",F3230="NEW"),"",INDEX(B3229:B$2,-1+SUMPRODUCT(MAX(ROW(E3229:E$2)*(E3230=E3229:E$2)))))</f>
        <v> </v>
      </c>
      <c r="J3230" s="25" t="str">
        <f>IF(OR(E3230="",E3230="!!!",F3230="NEW"),"",COUNTBLANK(OFFSET(A$1,,,SUMPRODUCT(MAX(ROW(E$2:E3230)*(E3230=E$2:E3230)))))-COUNTBLANK(OFFSET(A$1,,,SUMPRODUCT(MAX(ROW(E$1:E3229)*(E2=E$1:E3229))))))</f>
        <v> </v>
      </c>
      <c r="K3230" s="25" t="str">
        <f>IF(OR(E3230="",E3230="!!!",F3230="NEW"),"",INDEX(J$1:J3229,SUMPRODUCT(MAX(ROW(E$1:E3229)*(E3230=E$1:E3229)))))</f>
        <v> </v>
      </c>
      <c r="L3230" s="26"/>
    </row>
    <row r="3231" spans="1:12">
      <c r="A3231" s="20" t="s">
        <v>1318</v>
      </c>
      <c r="E3231" s="21">
        <f>IF(D3231="?OLD","!!!","")</f>
        <v/>
      </c>
      <c r="F3231" s="22" t="str">
        <f>IF(OR(E3231="",E3231="!!!"),"",IF(NOT(ISNA(VLOOKUP(E3231,E$1:E3230,1,FALSE()))),"OLD",IF(AND(E3231&lt;&gt;"",E3231&lt;&gt;"!!!"),"NEW","")))</f>
        <v> </v>
      </c>
      <c r="G3231" s="23" t="str">
        <f>IF(OR(E3231="",E3231="!!!"),"",IF(OR(J3231=0,AND(J3231=1,K3231=1),AND(J3231=1,I3231="SBJ"),AND(J3231=1,I3231=0)),"?IN_FOCUS",IF(J3231&lt;=2,"?ACTIVATED",IF(J3231&lt;&gt;"","?FAMILIAR",IF(F3231="NEW",IF(ISNA(VLOOKUP(E3231,#REF!,1,FALSE())),"?TYPE_IDENTIFIABLE","?REFERENTIAL"),"_")))))</f>
        <v> </v>
      </c>
      <c r="H3231" s="24" t="str">
        <f>IF(J3231&lt;&gt;1,"",IF(I3231="SBJ","CB","?"))</f>
        <v> </v>
      </c>
      <c r="I3231" s="25" t="str">
        <f>IF(OR(E3231="",E3231="!!!",F3231="NEW"),"",INDEX(B3230:B$2,-1+SUMPRODUCT(MAX(ROW(E3230:E$2)*(E3231=E3230:E$2)))))</f>
        <v> </v>
      </c>
      <c r="J3231" s="25" t="str">
        <f>IF(OR(E3231="",E3231="!!!",F3231="NEW"),"",COUNTBLANK(OFFSET(A$1,,,SUMPRODUCT(MAX(ROW(E$2:E3231)*(E3231=E$2:E3231)))))-COUNTBLANK(OFFSET(A$1,,,SUMPRODUCT(MAX(ROW(E$1:E3230)*(E2=E$1:E3230))))))</f>
        <v> </v>
      </c>
      <c r="K3231" s="25" t="str">
        <f>IF(OR(E3231="",E3231="!!!",F3231="NEW"),"",INDEX(J$1:J3230,SUMPRODUCT(MAX(ROW(E$1:E3230)*(E3231=E$1:E3230)))))</f>
        <v> </v>
      </c>
      <c r="L3231" s="26"/>
    </row>
    <row r="3232" spans="1:12">
      <c r="A3232" s="20" t="s">
        <v>1469</v>
      </c>
      <c r="B3232" s="27" t="s">
        <v>1103</v>
      </c>
      <c r="C3232" s="27" t="s">
        <v>1126</v>
      </c>
      <c r="D3232" s="27" t="s">
        <v>1105</v>
      </c>
      <c r="E3232" s="21">
        <f>IF(D3232="?OLD","!!!","")</f>
        <v/>
      </c>
      <c r="F3232" s="22" t="str">
        <f>IF(OR(E3232="",E3232="!!!"),"",IF(NOT(ISNA(VLOOKUP(E3232,E$1:E3231,1,FALSE()))),"OLD",IF(AND(E3232&lt;&gt;"",E3232&lt;&gt;"!!!"),"NEW","")))</f>
        <v> </v>
      </c>
      <c r="G3232" s="23" t="str">
        <f>IF(OR(E3232="",E3232="!!!"),"",IF(OR(J3232=0,AND(J3232=1,K3232=1),AND(J3232=1,I3232="SBJ"),AND(J3232=1,I3232=0)),"?IN_FOCUS",IF(J3232&lt;=2,"?ACTIVATED",IF(J3232&lt;&gt;"","?FAMILIAR",IF(F3232="NEW",IF(ISNA(VLOOKUP(E3232,#REF!,1,FALSE())),"?TYPE_IDENTIFIABLE","?REFERENTIAL"),"_")))))</f>
        <v> </v>
      </c>
      <c r="H3232" s="24" t="str">
        <f>IF(J3232&lt;&gt;1,"",IF(I3232="SBJ","CB","?"))</f>
        <v> </v>
      </c>
      <c r="I3232" s="25" t="str">
        <f>IF(OR(E3232="",E3232="!!!",F3232="NEW"),"",INDEX(B3231:B$2,-1+SUMPRODUCT(MAX(ROW(E3231:E$2)*(E3232=E3231:E$2)))))</f>
        <v> </v>
      </c>
      <c r="J3232" s="25" t="str">
        <f>IF(OR(E3232="",E3232="!!!",F3232="NEW"),"",COUNTBLANK(OFFSET(A$1,,,SUMPRODUCT(MAX(ROW(E$2:E3232)*(E3232=E$2:E3232)))))-COUNTBLANK(OFFSET(A$1,,,SUMPRODUCT(MAX(ROW(E$1:E3231)*(E2=E$1:E3231))))))</f>
        <v> </v>
      </c>
      <c r="K3232" s="25" t="str">
        <f>IF(OR(E3232="",E3232="!!!",F3232="NEW"),"",INDEX(J$1:J3231,SUMPRODUCT(MAX(ROW(E$1:E3231)*(E3232=E$1:E3231)))))</f>
        <v> </v>
      </c>
      <c r="L3232" s="26"/>
    </row>
    <row r="3233" spans="1:12">
      <c r="A3233" s="20" t="s">
        <v>2591</v>
      </c>
      <c r="E3233" s="21">
        <f>IF(D3233="?OLD","!!!","")</f>
        <v/>
      </c>
      <c r="F3233" s="22" t="str">
        <f>IF(OR(E3233="",E3233="!!!"),"",IF(NOT(ISNA(VLOOKUP(E3233,E$1:E3232,1,FALSE()))),"OLD",IF(AND(E3233&lt;&gt;"",E3233&lt;&gt;"!!!"),"NEW","")))</f>
        <v> </v>
      </c>
      <c r="G3233" s="23" t="str">
        <f>IF(OR(E3233="",E3233="!!!"),"",IF(OR(J3233=0,AND(J3233=1,K3233=1),AND(J3233=1,I3233="SBJ"),AND(J3233=1,I3233=0)),"?IN_FOCUS",IF(J3233&lt;=2,"?ACTIVATED",IF(J3233&lt;&gt;"","?FAMILIAR",IF(F3233="NEW",IF(ISNA(VLOOKUP(E3233,#REF!,1,FALSE())),"?TYPE_IDENTIFIABLE","?REFERENTIAL"),"_")))))</f>
        <v> </v>
      </c>
      <c r="H3233" s="24" t="str">
        <f>IF(J3233&lt;&gt;1,"",IF(I3233="SBJ","CB","?"))</f>
        <v> </v>
      </c>
      <c r="I3233" s="25" t="str">
        <f>IF(OR(E3233="",E3233="!!!",F3233="NEW"),"",INDEX(B3232:B$2,-1+SUMPRODUCT(MAX(ROW(E3232:E$2)*(E3233=E3232:E$2)))))</f>
        <v> </v>
      </c>
      <c r="J3233" s="25" t="str">
        <f>IF(OR(E3233="",E3233="!!!",F3233="NEW"),"",COUNTBLANK(OFFSET(A$1,,,SUMPRODUCT(MAX(ROW(E$2:E3233)*(E3233=E$2:E3233)))))-COUNTBLANK(OFFSET(A$1,,,SUMPRODUCT(MAX(ROW(E$1:E3232)*(E2=E$1:E3232))))))</f>
        <v> </v>
      </c>
      <c r="K3233" s="25" t="str">
        <f>IF(OR(E3233="",E3233="!!!",F3233="NEW"),"",INDEX(J$1:J3232,SUMPRODUCT(MAX(ROW(E$1:E3232)*(E3233=E$1:E3232)))))</f>
        <v> </v>
      </c>
      <c r="L3233" s="26"/>
    </row>
    <row r="3234" spans="1:12">
      <c r="A3234" s="20" t="s">
        <v>2592</v>
      </c>
      <c r="B3234" s="27" t="s">
        <v>1149</v>
      </c>
      <c r="E3234" s="21">
        <f>IF(D3234="?OLD","!!!","")</f>
        <v/>
      </c>
      <c r="F3234" s="22" t="str">
        <f>IF(OR(E3234="",E3234="!!!"),"",IF(NOT(ISNA(VLOOKUP(E3234,E$1:E3233,1,FALSE()))),"OLD",IF(AND(E3234&lt;&gt;"",E3234&lt;&gt;"!!!"),"NEW","")))</f>
        <v> </v>
      </c>
      <c r="G3234" s="23" t="str">
        <f>IF(OR(E3234="",E3234="!!!"),"",IF(OR(J3234=0,AND(J3234=1,K3234=1),AND(J3234=1,I3234="SBJ"),AND(J3234=1,I3234=0)),"?IN_FOCUS",IF(J3234&lt;=2,"?ACTIVATED",IF(J3234&lt;&gt;"","?FAMILIAR",IF(F3234="NEW",IF(ISNA(VLOOKUP(E3234,#REF!,1,FALSE())),"?TYPE_IDENTIFIABLE","?REFERENTIAL"),"_")))))</f>
        <v> </v>
      </c>
      <c r="H3234" s="24" t="str">
        <f>IF(J3234&lt;&gt;1,"",IF(I3234="SBJ","CB","?"))</f>
        <v> </v>
      </c>
      <c r="I3234" s="25" t="str">
        <f>IF(OR(E3234="",E3234="!!!",F3234="NEW"),"",INDEX(B3233:B$2,-1+SUMPRODUCT(MAX(ROW(E3233:E$2)*(E3234=E3233:E$2)))))</f>
        <v> </v>
      </c>
      <c r="J3234" s="25" t="str">
        <f>IF(OR(E3234="",E3234="!!!",F3234="NEW"),"",COUNTBLANK(OFFSET(A$1,,,SUMPRODUCT(MAX(ROW(E$2:E3234)*(E3234=E$2:E3234)))))-COUNTBLANK(OFFSET(A$1,,,SUMPRODUCT(MAX(ROW(E$1:E3233)*(E2=E$1:E3233))))))</f>
        <v> </v>
      </c>
      <c r="K3234" s="25" t="str">
        <f>IF(OR(E3234="",E3234="!!!",F3234="NEW"),"",INDEX(J$1:J3233,SUMPRODUCT(MAX(ROW(E$1:E3233)*(E3234=E$1:E3233)))))</f>
        <v> </v>
      </c>
      <c r="L3234" s="26"/>
    </row>
    <row r="3235" spans="1:12">
      <c r="A3235" s="20" t="s">
        <v>1123</v>
      </c>
      <c r="E3235" s="21">
        <f>IF(D3235="?OLD","!!!","")</f>
        <v/>
      </c>
      <c r="F3235" s="22" t="str">
        <f>IF(OR(E3235="",E3235="!!!"),"",IF(NOT(ISNA(VLOOKUP(E3235,E$1:E3234,1,FALSE()))),"OLD",IF(AND(E3235&lt;&gt;"",E3235&lt;&gt;"!!!"),"NEW","")))</f>
        <v> </v>
      </c>
      <c r="G3235" s="23" t="str">
        <f>IF(OR(E3235="",E3235="!!!"),"",IF(OR(J3235=0,AND(J3235=1,K3235=1),AND(J3235=1,I3235="SBJ"),AND(J3235=1,I3235=0)),"?IN_FOCUS",IF(J3235&lt;=2,"?ACTIVATED",IF(J3235&lt;&gt;"","?FAMILIAR",IF(F3235="NEW",IF(ISNA(VLOOKUP(E3235,#REF!,1,FALSE())),"?TYPE_IDENTIFIABLE","?REFERENTIAL"),"_")))))</f>
        <v> </v>
      </c>
      <c r="H3235" s="24" t="str">
        <f>IF(J3235&lt;&gt;1,"",IF(I3235="SBJ","CB","?"))</f>
        <v> </v>
      </c>
      <c r="I3235" s="25" t="str">
        <f>IF(OR(E3235="",E3235="!!!",F3235="NEW"),"",INDEX(B3234:B$2,-1+SUMPRODUCT(MAX(ROW(E3234:E$2)*(E3235=E3234:E$2)))))</f>
        <v> </v>
      </c>
      <c r="J3235" s="25" t="str">
        <f>IF(OR(E3235="",E3235="!!!",F3235="NEW"),"",COUNTBLANK(OFFSET(A$1,,,SUMPRODUCT(MAX(ROW(E$2:E3235)*(E3235=E$2:E3235)))))-COUNTBLANK(OFFSET(A$1,,,SUMPRODUCT(MAX(ROW(E$1:E3234)*(E2=E$1:E3234))))))</f>
        <v> </v>
      </c>
      <c r="K3235" s="25" t="str">
        <f>IF(OR(E3235="",E3235="!!!",F3235="NEW"),"",INDEX(J$1:J3234,SUMPRODUCT(MAX(ROW(E$1:E3234)*(E3235=E$1:E3234)))))</f>
        <v> </v>
      </c>
      <c r="L3235" s="26"/>
    </row>
    <row r="3236" spans="1:12">
      <c r="A3236" s="20" t="s">
        <v>135</v>
      </c>
      <c r="E3236" s="21">
        <f>IF(D3236="?OLD","!!!","")</f>
        <v/>
      </c>
      <c r="F3236" s="22" t="str">
        <f>IF(OR(E3236="",E3236="!!!"),"",IF(NOT(ISNA(VLOOKUP(E3236,E$1:E3235,1,FALSE()))),"OLD",IF(AND(E3236&lt;&gt;"",E3236&lt;&gt;"!!!"),"NEW","")))</f>
        <v> </v>
      </c>
      <c r="G3236" s="23" t="str">
        <f>IF(OR(E3236="",E3236="!!!"),"",IF(OR(J3236=0,AND(J3236=1,K3236=1),AND(J3236=1,I3236="SBJ"),AND(J3236=1,I3236=0)),"?IN_FOCUS",IF(J3236&lt;=2,"?ACTIVATED",IF(J3236&lt;&gt;"","?FAMILIAR",IF(F3236="NEW",IF(ISNA(VLOOKUP(E3236,#REF!,1,FALSE())),"?TYPE_IDENTIFIABLE","?REFERENTIAL"),"_")))))</f>
        <v> </v>
      </c>
      <c r="H3236" s="24" t="str">
        <f>IF(J3236&lt;&gt;1,"",IF(I3236="SBJ","CB","?"))</f>
        <v> </v>
      </c>
      <c r="I3236" s="25" t="str">
        <f>IF(OR(E3236="",E3236="!!!",F3236="NEW"),"",INDEX(B3235:B$2,-1+SUMPRODUCT(MAX(ROW(E3235:E$2)*(E3236=E3235:E$2)))))</f>
        <v> </v>
      </c>
      <c r="J3236" s="25" t="str">
        <f>IF(OR(E3236="",E3236="!!!",F3236="NEW"),"",COUNTBLANK(OFFSET(A$1,,,SUMPRODUCT(MAX(ROW(E$2:E3236)*(E3236=E$2:E3236)))))-COUNTBLANK(OFFSET(A$1,,,SUMPRODUCT(MAX(ROW(E$1:E3235)*(E2=E$1:E3235))))))</f>
        <v> </v>
      </c>
      <c r="K3236" s="25" t="str">
        <f>IF(OR(E3236="",E3236="!!!",F3236="NEW"),"",INDEX(J$1:J3235,SUMPRODUCT(MAX(ROW(E$1:E3235)*(E3236=E$1:E3235)))))</f>
        <v> </v>
      </c>
      <c r="L3236" s="26"/>
    </row>
    <row r="3237" spans="1:12">
      <c r="A3237" s="20" t="s">
        <v>2593</v>
      </c>
      <c r="E3237" s="21">
        <f>IF(D3237="?OLD","!!!","")</f>
        <v/>
      </c>
      <c r="F3237" s="22" t="str">
        <f>IF(OR(E3237="",E3237="!!!"),"",IF(NOT(ISNA(VLOOKUP(E3237,E$1:E3236,1,FALSE()))),"OLD",IF(AND(E3237&lt;&gt;"",E3237&lt;&gt;"!!!"),"NEW","")))</f>
        <v> </v>
      </c>
      <c r="G3237" s="23" t="str">
        <f>IF(OR(E3237="",E3237="!!!"),"",IF(OR(J3237=0,AND(J3237=1,K3237=1),AND(J3237=1,I3237="SBJ"),AND(J3237=1,I3237=0)),"?IN_FOCUS",IF(J3237&lt;=2,"?ACTIVATED",IF(J3237&lt;&gt;"","?FAMILIAR",IF(F3237="NEW",IF(ISNA(VLOOKUP(E3237,#REF!,1,FALSE())),"?TYPE_IDENTIFIABLE","?REFERENTIAL"),"_")))))</f>
        <v> </v>
      </c>
      <c r="H3237" s="24" t="str">
        <f>IF(J3237&lt;&gt;1,"",IF(I3237="SBJ","CB","?"))</f>
        <v> </v>
      </c>
      <c r="I3237" s="25" t="str">
        <f>IF(OR(E3237="",E3237="!!!",F3237="NEW"),"",INDEX(B3236:B$2,-1+SUMPRODUCT(MAX(ROW(E3236:E$2)*(E3237=E3236:E$2)))))</f>
        <v> </v>
      </c>
      <c r="J3237" s="25" t="str">
        <f>IF(OR(E3237="",E3237="!!!",F3237="NEW"),"",COUNTBLANK(OFFSET(A$1,,,SUMPRODUCT(MAX(ROW(E$2:E3237)*(E3237=E$2:E3237)))))-COUNTBLANK(OFFSET(A$1,,,SUMPRODUCT(MAX(ROW(E$1:E3236)*(E2=E$1:E3236))))))</f>
        <v> </v>
      </c>
      <c r="K3237" s="25" t="str">
        <f>IF(OR(E3237="",E3237="!!!",F3237="NEW"),"",INDEX(J$1:J3236,SUMPRODUCT(MAX(ROW(E$1:E3236)*(E3237=E$1:E3236)))))</f>
        <v> </v>
      </c>
      <c r="L3237" s="26"/>
    </row>
    <row r="3238" spans="1:12">
      <c r="A3238" s="20" t="s">
        <v>2488</v>
      </c>
      <c r="B3238" s="27" t="s">
        <v>1259</v>
      </c>
      <c r="C3238" s="27" t="s">
        <v>1156</v>
      </c>
      <c r="D3238" s="27" t="s">
        <v>1105</v>
      </c>
      <c r="E3238" s="21">
        <f>IF(D3238="?OLD","!!!","")</f>
        <v/>
      </c>
      <c r="F3238" s="22" t="str">
        <f>IF(OR(E3238="",E3238="!!!"),"",IF(NOT(ISNA(VLOOKUP(E3238,E$1:E3237,1,FALSE()))),"OLD",IF(AND(E3238&lt;&gt;"",E3238&lt;&gt;"!!!"),"NEW","")))</f>
        <v> </v>
      </c>
      <c r="G3238" s="23" t="str">
        <f>IF(OR(E3238="",E3238="!!!"),"",IF(OR(J3238=0,AND(J3238=1,K3238=1),AND(J3238=1,I3238="SBJ"),AND(J3238=1,I3238=0)),"?IN_FOCUS",IF(J3238&lt;=2,"?ACTIVATED",IF(J3238&lt;&gt;"","?FAMILIAR",IF(F3238="NEW",IF(ISNA(VLOOKUP(E3238,#REF!,1,FALSE())),"?TYPE_IDENTIFIABLE","?REFERENTIAL"),"_")))))</f>
        <v> </v>
      </c>
      <c r="H3238" s="24" t="str">
        <f>IF(J3238&lt;&gt;1,"",IF(I3238="SBJ","CB","?"))</f>
        <v> </v>
      </c>
      <c r="I3238" s="25" t="str">
        <f>IF(OR(E3238="",E3238="!!!",F3238="NEW"),"",INDEX(B3237:B$2,-1+SUMPRODUCT(MAX(ROW(E3237:E$2)*(E3238=E3237:E$2)))))</f>
        <v> </v>
      </c>
      <c r="J3238" s="25" t="str">
        <f>IF(OR(E3238="",E3238="!!!",F3238="NEW"),"",COUNTBLANK(OFFSET(A$1,,,SUMPRODUCT(MAX(ROW(E$2:E3238)*(E3238=E$2:E3238)))))-COUNTBLANK(OFFSET(A$1,,,SUMPRODUCT(MAX(ROW(E$1:E3237)*(E2=E$1:E3237))))))</f>
        <v> </v>
      </c>
      <c r="K3238" s="25" t="str">
        <f>IF(OR(E3238="",E3238="!!!",F3238="NEW"),"",INDEX(J$1:J3237,SUMPRODUCT(MAX(ROW(E$1:E3237)*(E3238=E$1:E3237)))))</f>
        <v> </v>
      </c>
      <c r="L3238" s="26"/>
    </row>
    <row r="3239" spans="1:12">
      <c r="A3239" s="20" t="s">
        <v>2594</v>
      </c>
      <c r="E3239" s="21">
        <f>IF(D3239="?OLD","!!!","")</f>
        <v/>
      </c>
      <c r="F3239" s="22" t="str">
        <f>IF(OR(E3239="",E3239="!!!"),"",IF(NOT(ISNA(VLOOKUP(E3239,E$1:E3238,1,FALSE()))),"OLD",IF(AND(E3239&lt;&gt;"",E3239&lt;&gt;"!!!"),"NEW","")))</f>
        <v> </v>
      </c>
      <c r="G3239" s="23" t="str">
        <f>IF(OR(E3239="",E3239="!!!"),"",IF(OR(J3239=0,AND(J3239=1,K3239=1),AND(J3239=1,I3239="SBJ"),AND(J3239=1,I3239=0)),"?IN_FOCUS",IF(J3239&lt;=2,"?ACTIVATED",IF(J3239&lt;&gt;"","?FAMILIAR",IF(F3239="NEW",IF(ISNA(VLOOKUP(E3239,#REF!,1,FALSE())),"?TYPE_IDENTIFIABLE","?REFERENTIAL"),"_")))))</f>
        <v> </v>
      </c>
      <c r="H3239" s="24" t="str">
        <f>IF(J3239&lt;&gt;1,"",IF(I3239="SBJ","CB","?"))</f>
        <v> </v>
      </c>
      <c r="I3239" s="25" t="str">
        <f>IF(OR(E3239="",E3239="!!!",F3239="NEW"),"",INDEX(B3238:B$2,-1+SUMPRODUCT(MAX(ROW(E3238:E$2)*(E3239=E3238:E$2)))))</f>
        <v> </v>
      </c>
      <c r="J3239" s="25" t="str">
        <f>IF(OR(E3239="",E3239="!!!",F3239="NEW"),"",COUNTBLANK(OFFSET(A$1,,,SUMPRODUCT(MAX(ROW(E$2:E3239)*(E3239=E$2:E3239)))))-COUNTBLANK(OFFSET(A$1,,,SUMPRODUCT(MAX(ROW(E$1:E3238)*(E2=E$1:E3238))))))</f>
        <v> </v>
      </c>
      <c r="K3239" s="25" t="str">
        <f>IF(OR(E3239="",E3239="!!!",F3239="NEW"),"",INDEX(J$1:J3238,SUMPRODUCT(MAX(ROW(E$1:E3238)*(E3239=E$1:E3238)))))</f>
        <v> </v>
      </c>
      <c r="L3239" s="26"/>
    </row>
    <row r="3240" spans="1:12">
      <c r="A3240" s="20" t="s">
        <v>1469</v>
      </c>
      <c r="B3240" s="27" t="s">
        <v>1115</v>
      </c>
      <c r="C3240" s="27" t="s">
        <v>1126</v>
      </c>
      <c r="D3240" s="27" t="s">
        <v>1105</v>
      </c>
      <c r="E3240" s="21">
        <f>IF(D3240="?OLD","!!!","")</f>
        <v/>
      </c>
      <c r="F3240" s="22" t="str">
        <f>IF(OR(E3240="",E3240="!!!"),"",IF(NOT(ISNA(VLOOKUP(E3240,E$1:E3239,1,FALSE()))),"OLD",IF(AND(E3240&lt;&gt;"",E3240&lt;&gt;"!!!"),"NEW","")))</f>
        <v> </v>
      </c>
      <c r="G3240" s="23" t="str">
        <f>IF(OR(E3240="",E3240="!!!"),"",IF(OR(J3240=0,AND(J3240=1,K3240=1),AND(J3240=1,I3240="SBJ"),AND(J3240=1,I3240=0)),"?IN_FOCUS",IF(J3240&lt;=2,"?ACTIVATED",IF(J3240&lt;&gt;"","?FAMILIAR",IF(F3240="NEW",IF(ISNA(VLOOKUP(E3240,#REF!,1,FALSE())),"?TYPE_IDENTIFIABLE","?REFERENTIAL"),"_")))))</f>
        <v> </v>
      </c>
      <c r="H3240" s="24" t="str">
        <f>IF(J3240&lt;&gt;1,"",IF(I3240="SBJ","CB","?"))</f>
        <v> </v>
      </c>
      <c r="I3240" s="25" t="str">
        <f>IF(OR(E3240="",E3240="!!!",F3240="NEW"),"",INDEX(B3239:B$2,-1+SUMPRODUCT(MAX(ROW(E3239:E$2)*(E3240=E3239:E$2)))))</f>
        <v> </v>
      </c>
      <c r="J3240" s="25" t="str">
        <f>IF(OR(E3240="",E3240="!!!",F3240="NEW"),"",COUNTBLANK(OFFSET(A$1,,,SUMPRODUCT(MAX(ROW(E$2:E3240)*(E3240=E$2:E3240)))))-COUNTBLANK(OFFSET(A$1,,,SUMPRODUCT(MAX(ROW(E$1:E3239)*(E2=E$1:E3239))))))</f>
        <v> </v>
      </c>
      <c r="K3240" s="25" t="str">
        <f>IF(OR(E3240="",E3240="!!!",F3240="NEW"),"",INDEX(J$1:J3239,SUMPRODUCT(MAX(ROW(E$1:E3239)*(E3240=E$1:E3239)))))</f>
        <v> </v>
      </c>
      <c r="L3240" s="26"/>
    </row>
    <row r="3241" spans="1:12">
      <c r="A3241" s="20" t="s">
        <v>1123</v>
      </c>
      <c r="E3241" s="21">
        <f>IF(D3241="?OLD","!!!","")</f>
        <v/>
      </c>
      <c r="F3241" s="22" t="str">
        <f>IF(OR(E3241="",E3241="!!!"),"",IF(NOT(ISNA(VLOOKUP(E3241,E$1:E3240,1,FALSE()))),"OLD",IF(AND(E3241&lt;&gt;"",E3241&lt;&gt;"!!!"),"NEW","")))</f>
        <v> </v>
      </c>
      <c r="G3241" s="23" t="str">
        <f>IF(OR(E3241="",E3241="!!!"),"",IF(OR(J3241=0,AND(J3241=1,K3241=1),AND(J3241=1,I3241="SBJ"),AND(J3241=1,I3241=0)),"?IN_FOCUS",IF(J3241&lt;=2,"?ACTIVATED",IF(J3241&lt;&gt;"","?FAMILIAR",IF(F3241="NEW",IF(ISNA(VLOOKUP(E3241,#REF!,1,FALSE())),"?TYPE_IDENTIFIABLE","?REFERENTIAL"),"_")))))</f>
        <v> </v>
      </c>
      <c r="H3241" s="24" t="str">
        <f>IF(J3241&lt;&gt;1,"",IF(I3241="SBJ","CB","?"))</f>
        <v> </v>
      </c>
      <c r="I3241" s="25" t="str">
        <f>IF(OR(E3241="",E3241="!!!",F3241="NEW"),"",INDEX(B3240:B$2,-1+SUMPRODUCT(MAX(ROW(E3240:E$2)*(E3241=E3240:E$2)))))</f>
        <v> </v>
      </c>
      <c r="J3241" s="25" t="str">
        <f>IF(OR(E3241="",E3241="!!!",F3241="NEW"),"",COUNTBLANK(OFFSET(A$1,,,SUMPRODUCT(MAX(ROW(E$2:E3241)*(E3241=E$2:E3241)))))-COUNTBLANK(OFFSET(A$1,,,SUMPRODUCT(MAX(ROW(E$1:E3240)*(E2=E$1:E3240))))))</f>
        <v> </v>
      </c>
      <c r="K3241" s="25" t="str">
        <f>IF(OR(E3241="",E3241="!!!",F3241="NEW"),"",INDEX(J$1:J3240,SUMPRODUCT(MAX(ROW(E$1:E3240)*(E3241=E$1:E3240)))))</f>
        <v> </v>
      </c>
      <c r="L3241" s="26"/>
    </row>
    <row r="3242" spans="1:12">
      <c r="A3242" s="20" t="s">
        <v>1228</v>
      </c>
      <c r="B3242" s="27" t="s">
        <v>1125</v>
      </c>
      <c r="C3242" s="27" t="s">
        <v>1126</v>
      </c>
      <c r="D3242" s="27" t="s">
        <v>1105</v>
      </c>
      <c r="E3242" s="21">
        <f>IF(D3242="?OLD","!!!","")</f>
        <v/>
      </c>
      <c r="F3242" s="22" t="str">
        <f>IF(OR(E3242="",E3242="!!!"),"",IF(NOT(ISNA(VLOOKUP(E3242,E$1:E3241,1,FALSE()))),"OLD",IF(AND(E3242&lt;&gt;"",E3242&lt;&gt;"!!!"),"NEW","")))</f>
        <v> </v>
      </c>
      <c r="G3242" s="23" t="str">
        <f>IF(OR(E3242="",E3242="!!!"),"",IF(OR(J3242=0,AND(J3242=1,K3242=1),AND(J3242=1,I3242="SBJ"),AND(J3242=1,I3242=0)),"?IN_FOCUS",IF(J3242&lt;=2,"?ACTIVATED",IF(J3242&lt;&gt;"","?FAMILIAR",IF(F3242="NEW",IF(ISNA(VLOOKUP(E3242,#REF!,1,FALSE())),"?TYPE_IDENTIFIABLE","?REFERENTIAL"),"_")))))</f>
        <v> </v>
      </c>
      <c r="H3242" s="24" t="str">
        <f>IF(J3242&lt;&gt;1,"",IF(I3242="SBJ","CB","?"))</f>
        <v> </v>
      </c>
      <c r="I3242" s="25" t="str">
        <f>IF(OR(E3242="",E3242="!!!",F3242="NEW"),"",INDEX(B3241:B$2,-1+SUMPRODUCT(MAX(ROW(E3241:E$2)*(E3242=E3241:E$2)))))</f>
        <v> </v>
      </c>
      <c r="J3242" s="25" t="str">
        <f>IF(OR(E3242="",E3242="!!!",F3242="NEW"),"",COUNTBLANK(OFFSET(A$1,,,SUMPRODUCT(MAX(ROW(E$2:E3242)*(E3242=E$2:E3242)))))-COUNTBLANK(OFFSET(A$1,,,SUMPRODUCT(MAX(ROW(E$1:E3241)*(E2=E$1:E3241))))))</f>
        <v> </v>
      </c>
      <c r="K3242" s="25" t="str">
        <f>IF(OR(E3242="",E3242="!!!",F3242="NEW"),"",INDEX(J$1:J3241,SUMPRODUCT(MAX(ROW(E$1:E3241)*(E3242=E$1:E3241)))))</f>
        <v> </v>
      </c>
      <c r="L3242" s="26"/>
    </row>
    <row r="3243" spans="1:12">
      <c r="A3243" s="20" t="s">
        <v>1206</v>
      </c>
      <c r="B3243" s="27" t="s">
        <v>1144</v>
      </c>
      <c r="C3243" s="27" t="s">
        <v>1126</v>
      </c>
      <c r="D3243" s="27" t="s">
        <v>1105</v>
      </c>
      <c r="E3243" s="21">
        <f>IF(D3243="?OLD","!!!","")</f>
        <v/>
      </c>
      <c r="F3243" s="22" t="str">
        <f>IF(OR(E3243="",E3243="!!!"),"",IF(NOT(ISNA(VLOOKUP(E3243,E$1:E3242,1,FALSE()))),"OLD",IF(AND(E3243&lt;&gt;"",E3243&lt;&gt;"!!!"),"NEW","")))</f>
        <v> </v>
      </c>
      <c r="G3243" s="23" t="str">
        <f>IF(OR(E3243="",E3243="!!!"),"",IF(OR(J3243=0,AND(J3243=1,K3243=1),AND(J3243=1,I3243="SBJ"),AND(J3243=1,I3243=0)),"?IN_FOCUS",IF(J3243&lt;=2,"?ACTIVATED",IF(J3243&lt;&gt;"","?FAMILIAR",IF(F3243="NEW",IF(ISNA(VLOOKUP(E3243,#REF!,1,FALSE())),"?TYPE_IDENTIFIABLE","?REFERENTIAL"),"_")))))</f>
        <v> </v>
      </c>
      <c r="H3243" s="24" t="str">
        <f>IF(J3243&lt;&gt;1,"",IF(I3243="SBJ","CB","?"))</f>
        <v> </v>
      </c>
      <c r="I3243" s="25" t="str">
        <f>IF(OR(E3243="",E3243="!!!",F3243="NEW"),"",INDEX(B3242:B$2,-1+SUMPRODUCT(MAX(ROW(E3242:E$2)*(E3243=E3242:E$2)))))</f>
        <v> </v>
      </c>
      <c r="J3243" s="25" t="str">
        <f>IF(OR(E3243="",E3243="!!!",F3243="NEW"),"",COUNTBLANK(OFFSET(A$1,,,SUMPRODUCT(MAX(ROW(E$2:E3243)*(E3243=E$2:E3243)))))-COUNTBLANK(OFFSET(A$1,,,SUMPRODUCT(MAX(ROW(E$1:E3242)*(E2=E$1:E3242))))))</f>
        <v> </v>
      </c>
      <c r="K3243" s="25" t="str">
        <f>IF(OR(E3243="",E3243="!!!",F3243="NEW"),"",INDEX(J$1:J3242,SUMPRODUCT(MAX(ROW(E$1:E3242)*(E3243=E$1:E3242)))))</f>
        <v> </v>
      </c>
      <c r="L3243" s="26"/>
    </row>
    <row r="3244" spans="1:12">
      <c r="A3244" s="20" t="s">
        <v>2595</v>
      </c>
      <c r="E3244" s="21">
        <f>IF(D3244="?OLD","!!!","")</f>
        <v/>
      </c>
      <c r="F3244" s="22" t="str">
        <f>IF(OR(E3244="",E3244="!!!"),"",IF(NOT(ISNA(VLOOKUP(E3244,E$1:E3243,1,FALSE()))),"OLD",IF(AND(E3244&lt;&gt;"",E3244&lt;&gt;"!!!"),"NEW","")))</f>
        <v> </v>
      </c>
      <c r="G3244" s="23" t="str">
        <f>IF(OR(E3244="",E3244="!!!"),"",IF(OR(J3244=0,AND(J3244=1,K3244=1),AND(J3244=1,I3244="SBJ"),AND(J3244=1,I3244=0)),"?IN_FOCUS",IF(J3244&lt;=2,"?ACTIVATED",IF(J3244&lt;&gt;"","?FAMILIAR",IF(F3244="NEW",IF(ISNA(VLOOKUP(E3244,#REF!,1,FALSE())),"?TYPE_IDENTIFIABLE","?REFERENTIAL"),"_")))))</f>
        <v> </v>
      </c>
      <c r="H3244" s="24" t="str">
        <f>IF(J3244&lt;&gt;1,"",IF(I3244="SBJ","CB","?"))</f>
        <v> </v>
      </c>
      <c r="I3244" s="25" t="str">
        <f>IF(OR(E3244="",E3244="!!!",F3244="NEW"),"",INDEX(B3243:B$2,-1+SUMPRODUCT(MAX(ROW(E3243:E$2)*(E3244=E3243:E$2)))))</f>
        <v> </v>
      </c>
      <c r="J3244" s="25" t="str">
        <f>IF(OR(E3244="",E3244="!!!",F3244="NEW"),"",COUNTBLANK(OFFSET(A$1,,,SUMPRODUCT(MAX(ROW(E$2:E3244)*(E3244=E$2:E3244)))))-COUNTBLANK(OFFSET(A$1,,,SUMPRODUCT(MAX(ROW(E$1:E3243)*(E2=E$1:E3243))))))</f>
        <v> </v>
      </c>
      <c r="K3244" s="25" t="str">
        <f>IF(OR(E3244="",E3244="!!!",F3244="NEW"),"",INDEX(J$1:J3243,SUMPRODUCT(MAX(ROW(E$1:E3243)*(E3244=E$1:E3243)))))</f>
        <v> </v>
      </c>
      <c r="L3244" s="26"/>
    </row>
    <row r="3245" spans="1:12">
      <c r="A3245" s="20" t="s">
        <v>1123</v>
      </c>
      <c r="E3245" s="21">
        <f>IF(D3245="?OLD","!!!","")</f>
        <v/>
      </c>
      <c r="F3245" s="22" t="str">
        <f>IF(OR(E3245="",E3245="!!!"),"",IF(NOT(ISNA(VLOOKUP(E3245,E$1:E3244,1,FALSE()))),"OLD",IF(AND(E3245&lt;&gt;"",E3245&lt;&gt;"!!!"),"NEW","")))</f>
        <v> </v>
      </c>
      <c r="G3245" s="23" t="str">
        <f>IF(OR(E3245="",E3245="!!!"),"",IF(OR(J3245=0,AND(J3245=1,K3245=1),AND(J3245=1,I3245="SBJ"),AND(J3245=1,I3245=0)),"?IN_FOCUS",IF(J3245&lt;=2,"?ACTIVATED",IF(J3245&lt;&gt;"","?FAMILIAR",IF(F3245="NEW",IF(ISNA(VLOOKUP(E3245,#REF!,1,FALSE())),"?TYPE_IDENTIFIABLE","?REFERENTIAL"),"_")))))</f>
        <v> </v>
      </c>
      <c r="H3245" s="24" t="str">
        <f>IF(J3245&lt;&gt;1,"",IF(I3245="SBJ","CB","?"))</f>
        <v> </v>
      </c>
      <c r="I3245" s="25" t="str">
        <f>IF(OR(E3245="",E3245="!!!",F3245="NEW"),"",INDEX(B3244:B$2,-1+SUMPRODUCT(MAX(ROW(E3244:E$2)*(E3245=E3244:E$2)))))</f>
        <v> </v>
      </c>
      <c r="J3245" s="25" t="str">
        <f>IF(OR(E3245="",E3245="!!!",F3245="NEW"),"",COUNTBLANK(OFFSET(A$1,,,SUMPRODUCT(MAX(ROW(E$2:E3245)*(E3245=E$2:E3245)))))-COUNTBLANK(OFFSET(A$1,,,SUMPRODUCT(MAX(ROW(E$1:E3244)*(E2=E$1:E3244))))))</f>
        <v> </v>
      </c>
      <c r="K3245" s="25" t="str">
        <f>IF(OR(E3245="",E3245="!!!",F3245="NEW"),"",INDEX(J$1:J3244,SUMPRODUCT(MAX(ROW(E$1:E3244)*(E3245=E$1:E3244)))))</f>
        <v> </v>
      </c>
      <c r="L3245" s="26"/>
    </row>
    <row r="3246" spans="1:12">
      <c r="A3246" s="20" t="s">
        <v>1206</v>
      </c>
      <c r="B3246" s="27" t="s">
        <v>1149</v>
      </c>
      <c r="C3246" s="27" t="s">
        <v>1126</v>
      </c>
      <c r="D3246" s="27" t="s">
        <v>1105</v>
      </c>
      <c r="E3246" s="21">
        <f>IF(D3246="?OLD","!!!","")</f>
        <v/>
      </c>
      <c r="F3246" s="22" t="str">
        <f>IF(OR(E3246="",E3246="!!!"),"",IF(NOT(ISNA(VLOOKUP(E3246,E$1:E3245,1,FALSE()))),"OLD",IF(AND(E3246&lt;&gt;"",E3246&lt;&gt;"!!!"),"NEW","")))</f>
        <v> </v>
      </c>
      <c r="G3246" s="23" t="str">
        <f>IF(OR(E3246="",E3246="!!!"),"",IF(OR(J3246=0,AND(J3246=1,K3246=1),AND(J3246=1,I3246="SBJ"),AND(J3246=1,I3246=0)),"?IN_FOCUS",IF(J3246&lt;=2,"?ACTIVATED",IF(J3246&lt;&gt;"","?FAMILIAR",IF(F3246="NEW",IF(ISNA(VLOOKUP(E3246,#REF!,1,FALSE())),"?TYPE_IDENTIFIABLE","?REFERENTIAL"),"_")))))</f>
        <v> </v>
      </c>
      <c r="H3246" s="24" t="str">
        <f>IF(J3246&lt;&gt;1,"",IF(I3246="SBJ","CB","?"))</f>
        <v> </v>
      </c>
      <c r="I3246" s="25" t="str">
        <f>IF(OR(E3246="",E3246="!!!",F3246="NEW"),"",INDEX(B3245:B$2,-1+SUMPRODUCT(MAX(ROW(E3245:E$2)*(E3246=E3245:E$2)))))</f>
        <v> </v>
      </c>
      <c r="J3246" s="25" t="str">
        <f>IF(OR(E3246="",E3246="!!!",F3246="NEW"),"",COUNTBLANK(OFFSET(A$1,,,SUMPRODUCT(MAX(ROW(E$2:E3246)*(E3246=E$2:E3246)))))-COUNTBLANK(OFFSET(A$1,,,SUMPRODUCT(MAX(ROW(E$1:E3245)*(E2=E$1:E3245))))))</f>
        <v> </v>
      </c>
      <c r="K3246" s="25" t="str">
        <f>IF(OR(E3246="",E3246="!!!",F3246="NEW"),"",INDEX(J$1:J3245,SUMPRODUCT(MAX(ROW(E$1:E3245)*(E3246=E$1:E3245)))))</f>
        <v> </v>
      </c>
      <c r="L3246" s="26"/>
    </row>
    <row r="3247" spans="1:12">
      <c r="A3247" s="20" t="s">
        <v>1339</v>
      </c>
      <c r="E3247" s="21">
        <f>IF(D3247="?OLD","!!!","")</f>
        <v/>
      </c>
      <c r="F3247" s="22" t="str">
        <f>IF(OR(E3247="",E3247="!!!"),"",IF(NOT(ISNA(VLOOKUP(E3247,E$1:E3246,1,FALSE()))),"OLD",IF(AND(E3247&lt;&gt;"",E3247&lt;&gt;"!!!"),"NEW","")))</f>
        <v> </v>
      </c>
      <c r="G3247" s="23" t="str">
        <f>IF(OR(E3247="",E3247="!!!"),"",IF(OR(J3247=0,AND(J3247=1,K3247=1),AND(J3247=1,I3247="SBJ"),AND(J3247=1,I3247=0)),"?IN_FOCUS",IF(J3247&lt;=2,"?ACTIVATED",IF(J3247&lt;&gt;"","?FAMILIAR",IF(F3247="NEW",IF(ISNA(VLOOKUP(E3247,#REF!,1,FALSE())),"?TYPE_IDENTIFIABLE","?REFERENTIAL"),"_")))))</f>
        <v> </v>
      </c>
      <c r="H3247" s="24" t="str">
        <f>IF(J3247&lt;&gt;1,"",IF(I3247="SBJ","CB","?"))</f>
        <v> </v>
      </c>
      <c r="I3247" s="25" t="str">
        <f>IF(OR(E3247="",E3247="!!!",F3247="NEW"),"",INDEX(B3246:B$2,-1+SUMPRODUCT(MAX(ROW(E3246:E$2)*(E3247=E3246:E$2)))))</f>
        <v> </v>
      </c>
      <c r="J3247" s="25" t="str">
        <f>IF(OR(E3247="",E3247="!!!",F3247="NEW"),"",COUNTBLANK(OFFSET(A$1,,,SUMPRODUCT(MAX(ROW(E$2:E3247)*(E3247=E$2:E3247)))))-COUNTBLANK(OFFSET(A$1,,,SUMPRODUCT(MAX(ROW(E$1:E3246)*(E2=E$1:E3246))))))</f>
        <v> </v>
      </c>
      <c r="K3247" s="25" t="str">
        <f>IF(OR(E3247="",E3247="!!!",F3247="NEW"),"",INDEX(J$1:J3246,SUMPRODUCT(MAX(ROW(E$1:E3246)*(E3247=E$1:E3246)))))</f>
        <v> </v>
      </c>
      <c r="L3247" s="26"/>
    </row>
    <row r="3248" spans="1:12">
      <c r="A3248" s="20" t="s">
        <v>2596</v>
      </c>
      <c r="E3248" s="21">
        <f>IF(D3248="?OLD","!!!","")</f>
        <v/>
      </c>
      <c r="F3248" s="22" t="str">
        <f>IF(OR(E3248="",E3248="!!!"),"",IF(NOT(ISNA(VLOOKUP(E3248,E$1:E3247,1,FALSE()))),"OLD",IF(AND(E3248&lt;&gt;"",E3248&lt;&gt;"!!!"),"NEW","")))</f>
        <v> </v>
      </c>
      <c r="G3248" s="23" t="str">
        <f>IF(OR(E3248="",E3248="!!!"),"",IF(OR(J3248=0,AND(J3248=1,K3248=1),AND(J3248=1,I3248="SBJ"),AND(J3248=1,I3248=0)),"?IN_FOCUS",IF(J3248&lt;=2,"?ACTIVATED",IF(J3248&lt;&gt;"","?FAMILIAR",IF(F3248="NEW",IF(ISNA(VLOOKUP(E3248,#REF!,1,FALSE())),"?TYPE_IDENTIFIABLE","?REFERENTIAL"),"_")))))</f>
        <v> </v>
      </c>
      <c r="H3248" s="24" t="str">
        <f>IF(J3248&lt;&gt;1,"",IF(I3248="SBJ","CB","?"))</f>
        <v> </v>
      </c>
      <c r="I3248" s="25" t="str">
        <f>IF(OR(E3248="",E3248="!!!",F3248="NEW"),"",INDEX(B3247:B$2,-1+SUMPRODUCT(MAX(ROW(E3247:E$2)*(E3248=E3247:E$2)))))</f>
        <v> </v>
      </c>
      <c r="J3248" s="25" t="str">
        <f>IF(OR(E3248="",E3248="!!!",F3248="NEW"),"",COUNTBLANK(OFFSET(A$1,,,SUMPRODUCT(MAX(ROW(E$2:E3248)*(E3248=E$2:E3248)))))-COUNTBLANK(OFFSET(A$1,,,SUMPRODUCT(MAX(ROW(E$1:E3247)*(E2=E$1:E3247))))))</f>
        <v> </v>
      </c>
      <c r="K3248" s="25" t="str">
        <f>IF(OR(E3248="",E3248="!!!",F3248="NEW"),"",INDEX(J$1:J3247,SUMPRODUCT(MAX(ROW(E$1:E3247)*(E3248=E$1:E3247)))))</f>
        <v> </v>
      </c>
      <c r="L3248" s="26"/>
    </row>
    <row r="3249" spans="1:12">
      <c r="A3249" s="20" t="s">
        <v>2597</v>
      </c>
      <c r="E3249" s="21">
        <f>IF(D3249="?OLD","!!!","")</f>
        <v/>
      </c>
      <c r="F3249" s="22" t="str">
        <f>IF(OR(E3249="",E3249="!!!"),"",IF(NOT(ISNA(VLOOKUP(E3249,E$1:E3248,1,FALSE()))),"OLD",IF(AND(E3249&lt;&gt;"",E3249&lt;&gt;"!!!"),"NEW","")))</f>
        <v> </v>
      </c>
      <c r="G3249" s="23" t="str">
        <f>IF(OR(E3249="",E3249="!!!"),"",IF(OR(J3249=0,AND(J3249=1,K3249=1),AND(J3249=1,I3249="SBJ"),AND(J3249=1,I3249=0)),"?IN_FOCUS",IF(J3249&lt;=2,"?ACTIVATED",IF(J3249&lt;&gt;"","?FAMILIAR",IF(F3249="NEW",IF(ISNA(VLOOKUP(E3249,#REF!,1,FALSE())),"?TYPE_IDENTIFIABLE","?REFERENTIAL"),"_")))))</f>
        <v> </v>
      </c>
      <c r="H3249" s="24" t="str">
        <f>IF(J3249&lt;&gt;1,"",IF(I3249="SBJ","CB","?"))</f>
        <v> </v>
      </c>
      <c r="I3249" s="25" t="str">
        <f>IF(OR(E3249="",E3249="!!!",F3249="NEW"),"",INDEX(B3248:B$2,-1+SUMPRODUCT(MAX(ROW(E3248:E$2)*(E3249=E3248:E$2)))))</f>
        <v> </v>
      </c>
      <c r="J3249" s="25" t="str">
        <f>IF(OR(E3249="",E3249="!!!",F3249="NEW"),"",COUNTBLANK(OFFSET(A$1,,,SUMPRODUCT(MAX(ROW(E$2:E3249)*(E3249=E$2:E3249)))))-COUNTBLANK(OFFSET(A$1,,,SUMPRODUCT(MAX(ROW(E$1:E3248)*(E2=E$1:E3248))))))</f>
        <v> </v>
      </c>
      <c r="K3249" s="25" t="str">
        <f>IF(OR(E3249="",E3249="!!!",F3249="NEW"),"",INDEX(J$1:J3248,SUMPRODUCT(MAX(ROW(E$1:E3248)*(E3249=E$1:E3248)))))</f>
        <v> </v>
      </c>
      <c r="L3249" s="26"/>
    </row>
    <row r="3250" spans="1:12">
      <c r="A3250" s="20" t="s">
        <v>1123</v>
      </c>
      <c r="E3250" s="21">
        <f>IF(D3250="?OLD","!!!","")</f>
        <v/>
      </c>
      <c r="F3250" s="22" t="str">
        <f>IF(OR(E3250="",E3250="!!!"),"",IF(NOT(ISNA(VLOOKUP(E3250,E$1:E3249,1,FALSE()))),"OLD",IF(AND(E3250&lt;&gt;"",E3250&lt;&gt;"!!!"),"NEW","")))</f>
        <v> </v>
      </c>
      <c r="G3250" s="23" t="str">
        <f>IF(OR(E3250="",E3250="!!!"),"",IF(OR(J3250=0,AND(J3250=1,K3250=1),AND(J3250=1,I3250="SBJ"),AND(J3250=1,I3250=0)),"?IN_FOCUS",IF(J3250&lt;=2,"?ACTIVATED",IF(J3250&lt;&gt;"","?FAMILIAR",IF(F3250="NEW",IF(ISNA(VLOOKUP(E3250,#REF!,1,FALSE())),"?TYPE_IDENTIFIABLE","?REFERENTIAL"),"_")))))</f>
        <v> </v>
      </c>
      <c r="H3250" s="24" t="str">
        <f>IF(J3250&lt;&gt;1,"",IF(I3250="SBJ","CB","?"))</f>
        <v> </v>
      </c>
      <c r="I3250" s="25" t="str">
        <f>IF(OR(E3250="",E3250="!!!",F3250="NEW"),"",INDEX(B3249:B$2,-1+SUMPRODUCT(MAX(ROW(E3249:E$2)*(E3250=E3249:E$2)))))</f>
        <v> </v>
      </c>
      <c r="J3250" s="25" t="str">
        <f>IF(OR(E3250="",E3250="!!!",F3250="NEW"),"",COUNTBLANK(OFFSET(A$1,,,SUMPRODUCT(MAX(ROW(E$2:E3250)*(E3250=E$2:E3250)))))-COUNTBLANK(OFFSET(A$1,,,SUMPRODUCT(MAX(ROW(E$1:E3249)*(E2=E$1:E3249))))))</f>
        <v> </v>
      </c>
      <c r="K3250" s="25" t="str">
        <f>IF(OR(E3250="",E3250="!!!",F3250="NEW"),"",INDEX(J$1:J3249,SUMPRODUCT(MAX(ROW(E$1:E3249)*(E3250=E$1:E3249)))))</f>
        <v> </v>
      </c>
      <c r="L3250" s="26"/>
    </row>
    <row r="3251" spans="1:12">
      <c r="A3251" s="20" t="s">
        <v>2598</v>
      </c>
      <c r="E3251" s="21">
        <f>IF(D3251="?OLD","!!!","")</f>
        <v/>
      </c>
      <c r="F3251" s="22" t="str">
        <f>IF(OR(E3251="",E3251="!!!"),"",IF(NOT(ISNA(VLOOKUP(E3251,E$1:E3250,1,FALSE()))),"OLD",IF(AND(E3251&lt;&gt;"",E3251&lt;&gt;"!!!"),"NEW","")))</f>
        <v> </v>
      </c>
      <c r="G3251" s="23" t="str">
        <f>IF(OR(E3251="",E3251="!!!"),"",IF(OR(J3251=0,AND(J3251=1,K3251=1),AND(J3251=1,I3251="SBJ"),AND(J3251=1,I3251=0)),"?IN_FOCUS",IF(J3251&lt;=2,"?ACTIVATED",IF(J3251&lt;&gt;"","?FAMILIAR",IF(F3251="NEW",IF(ISNA(VLOOKUP(E3251,#REF!,1,FALSE())),"?TYPE_IDENTIFIABLE","?REFERENTIAL"),"_")))))</f>
        <v> </v>
      </c>
      <c r="H3251" s="24" t="str">
        <f>IF(J3251&lt;&gt;1,"",IF(I3251="SBJ","CB","?"))</f>
        <v> </v>
      </c>
      <c r="I3251" s="25" t="str">
        <f>IF(OR(E3251="",E3251="!!!",F3251="NEW"),"",INDEX(B3250:B$2,-1+SUMPRODUCT(MAX(ROW(E3250:E$2)*(E3251=E3250:E$2)))))</f>
        <v> </v>
      </c>
      <c r="J3251" s="25" t="str">
        <f>IF(OR(E3251="",E3251="!!!",F3251="NEW"),"",COUNTBLANK(OFFSET(A$1,,,SUMPRODUCT(MAX(ROW(E$2:E3251)*(E3251=E$2:E3251)))))-COUNTBLANK(OFFSET(A$1,,,SUMPRODUCT(MAX(ROW(E$1:E3250)*(E2=E$1:E3250))))))</f>
        <v> </v>
      </c>
      <c r="K3251" s="25" t="str">
        <f>IF(OR(E3251="",E3251="!!!",F3251="NEW"),"",INDEX(J$1:J3250,SUMPRODUCT(MAX(ROW(E$1:E3250)*(E3251=E$1:E3250)))))</f>
        <v> </v>
      </c>
      <c r="L3251" s="26"/>
    </row>
    <row r="3252" spans="1:12">
      <c r="A3252" s="20" t="s">
        <v>1123</v>
      </c>
      <c r="E3252" s="21">
        <f>IF(D3252="?OLD","!!!","")</f>
        <v/>
      </c>
      <c r="F3252" s="22" t="str">
        <f>IF(OR(E3252="",E3252="!!!"),"",IF(NOT(ISNA(VLOOKUP(E3252,E$1:E3251,1,FALSE()))),"OLD",IF(AND(E3252&lt;&gt;"",E3252&lt;&gt;"!!!"),"NEW","")))</f>
        <v> </v>
      </c>
      <c r="G3252" s="23" t="str">
        <f>IF(OR(E3252="",E3252="!!!"),"",IF(OR(J3252=0,AND(J3252=1,K3252=1),AND(J3252=1,I3252="SBJ"),AND(J3252=1,I3252=0)),"?IN_FOCUS",IF(J3252&lt;=2,"?ACTIVATED",IF(J3252&lt;&gt;"","?FAMILIAR",IF(F3252="NEW",IF(ISNA(VLOOKUP(E3252,#REF!,1,FALSE())),"?TYPE_IDENTIFIABLE","?REFERENTIAL"),"_")))))</f>
        <v> </v>
      </c>
      <c r="H3252" s="24" t="str">
        <f>IF(J3252&lt;&gt;1,"",IF(I3252="SBJ","CB","?"))</f>
        <v> </v>
      </c>
      <c r="I3252" s="25" t="str">
        <f>IF(OR(E3252="",E3252="!!!",F3252="NEW"),"",INDEX(B3251:B$2,-1+SUMPRODUCT(MAX(ROW(E3251:E$2)*(E3252=E3251:E$2)))))</f>
        <v> </v>
      </c>
      <c r="J3252" s="25" t="str">
        <f>IF(OR(E3252="",E3252="!!!",F3252="NEW"),"",COUNTBLANK(OFFSET(A$1,,,SUMPRODUCT(MAX(ROW(E$2:E3252)*(E3252=E$2:E3252)))))-COUNTBLANK(OFFSET(A$1,,,SUMPRODUCT(MAX(ROW(E$1:E3251)*(E2=E$1:E3251))))))</f>
        <v> </v>
      </c>
      <c r="K3252" s="25" t="str">
        <f>IF(OR(E3252="",E3252="!!!",F3252="NEW"),"",INDEX(J$1:J3251,SUMPRODUCT(MAX(ROW(E$1:E3251)*(E3252=E$1:E3251)))))</f>
        <v> </v>
      </c>
      <c r="L3252" s="26"/>
    </row>
    <row r="3253" spans="1:12">
      <c r="A3253" s="20" t="s">
        <v>1694</v>
      </c>
      <c r="E3253" s="21">
        <f>IF(D3253="?OLD","!!!","")</f>
        <v/>
      </c>
      <c r="F3253" s="22" t="str">
        <f>IF(OR(E3253="",E3253="!!!"),"",IF(NOT(ISNA(VLOOKUP(E3253,E$1:E3252,1,FALSE()))),"OLD",IF(AND(E3253&lt;&gt;"",E3253&lt;&gt;"!!!"),"NEW","")))</f>
        <v> </v>
      </c>
      <c r="G3253" s="23" t="str">
        <f>IF(OR(E3253="",E3253="!!!"),"",IF(OR(J3253=0,AND(J3253=1,K3253=1),AND(J3253=1,I3253="SBJ"),AND(J3253=1,I3253=0)),"?IN_FOCUS",IF(J3253&lt;=2,"?ACTIVATED",IF(J3253&lt;&gt;"","?FAMILIAR",IF(F3253="NEW",IF(ISNA(VLOOKUP(E3253,#REF!,1,FALSE())),"?TYPE_IDENTIFIABLE","?REFERENTIAL"),"_")))))</f>
        <v> </v>
      </c>
      <c r="H3253" s="24" t="str">
        <f>IF(J3253&lt;&gt;1,"",IF(I3253="SBJ","CB","?"))</f>
        <v> </v>
      </c>
      <c r="I3253" s="25" t="str">
        <f>IF(OR(E3253="",E3253="!!!",F3253="NEW"),"",INDEX(B3252:B$2,-1+SUMPRODUCT(MAX(ROW(E3252:E$2)*(E3253=E3252:E$2)))))</f>
        <v> </v>
      </c>
      <c r="J3253" s="25" t="str">
        <f>IF(OR(E3253="",E3253="!!!",F3253="NEW"),"",COUNTBLANK(OFFSET(A$1,,,SUMPRODUCT(MAX(ROW(E$2:E3253)*(E3253=E$2:E3253)))))-COUNTBLANK(OFFSET(A$1,,,SUMPRODUCT(MAX(ROW(E$1:E3252)*(E2=E$1:E3252))))))</f>
        <v> </v>
      </c>
      <c r="K3253" s="25" t="str">
        <f>IF(OR(E3253="",E3253="!!!",F3253="NEW"),"",INDEX(J$1:J3252,SUMPRODUCT(MAX(ROW(E$1:E3252)*(E3253=E$1:E3252)))))</f>
        <v> </v>
      </c>
      <c r="L3253" s="26"/>
    </row>
    <row r="3254" spans="1:12">
      <c r="A3254" s="20" t="s">
        <v>1123</v>
      </c>
      <c r="E3254" s="21">
        <f>IF(D3254="?OLD","!!!","")</f>
        <v/>
      </c>
      <c r="F3254" s="22" t="str">
        <f>IF(OR(E3254="",E3254="!!!"),"",IF(NOT(ISNA(VLOOKUP(E3254,E$1:E3253,1,FALSE()))),"OLD",IF(AND(E3254&lt;&gt;"",E3254&lt;&gt;"!!!"),"NEW","")))</f>
        <v> </v>
      </c>
      <c r="G3254" s="23" t="str">
        <f>IF(OR(E3254="",E3254="!!!"),"",IF(OR(J3254=0,AND(J3254=1,K3254=1),AND(J3254=1,I3254="SBJ"),AND(J3254=1,I3254=0)),"?IN_FOCUS",IF(J3254&lt;=2,"?ACTIVATED",IF(J3254&lt;&gt;"","?FAMILIAR",IF(F3254="NEW",IF(ISNA(VLOOKUP(E3254,#REF!,1,FALSE())),"?TYPE_IDENTIFIABLE","?REFERENTIAL"),"_")))))</f>
        <v> </v>
      </c>
      <c r="H3254" s="24" t="str">
        <f>IF(J3254&lt;&gt;1,"",IF(I3254="SBJ","CB","?"))</f>
        <v> </v>
      </c>
      <c r="I3254" s="25" t="str">
        <f>IF(OR(E3254="",E3254="!!!",F3254="NEW"),"",INDEX(B3253:B$2,-1+SUMPRODUCT(MAX(ROW(E3253:E$2)*(E3254=E3253:E$2)))))</f>
        <v> </v>
      </c>
      <c r="J3254" s="25" t="str">
        <f>IF(OR(E3254="",E3254="!!!",F3254="NEW"),"",COUNTBLANK(OFFSET(A$1,,,SUMPRODUCT(MAX(ROW(E$2:E3254)*(E3254=E$2:E3254)))))-COUNTBLANK(OFFSET(A$1,,,SUMPRODUCT(MAX(ROW(E$1:E3253)*(E2=E$1:E3253))))))</f>
        <v> </v>
      </c>
      <c r="K3254" s="25" t="str">
        <f>IF(OR(E3254="",E3254="!!!",F3254="NEW"),"",INDEX(J$1:J3253,SUMPRODUCT(MAX(ROW(E$1:E3253)*(E3254=E$1:E3253)))))</f>
        <v> </v>
      </c>
      <c r="L3254" s="26"/>
    </row>
    <row r="3255" spans="1:12">
      <c r="A3255" s="20" t="s">
        <v>2599</v>
      </c>
      <c r="E3255" s="21">
        <f>IF(D3255="?OLD","!!!","")</f>
        <v/>
      </c>
      <c r="F3255" s="22" t="str">
        <f>IF(OR(E3255="",E3255="!!!"),"",IF(NOT(ISNA(VLOOKUP(E3255,E$1:E3254,1,FALSE()))),"OLD",IF(AND(E3255&lt;&gt;"",E3255&lt;&gt;"!!!"),"NEW","")))</f>
        <v> </v>
      </c>
      <c r="G3255" s="23" t="str">
        <f>IF(OR(E3255="",E3255="!!!"),"",IF(OR(J3255=0,AND(J3255=1,K3255=1),AND(J3255=1,I3255="SBJ"),AND(J3255=1,I3255=0)),"?IN_FOCUS",IF(J3255&lt;=2,"?ACTIVATED",IF(J3255&lt;&gt;"","?FAMILIAR",IF(F3255="NEW",IF(ISNA(VLOOKUP(E3255,#REF!,1,FALSE())),"?TYPE_IDENTIFIABLE","?REFERENTIAL"),"_")))))</f>
        <v> </v>
      </c>
      <c r="H3255" s="24" t="str">
        <f>IF(J3255&lt;&gt;1,"",IF(I3255="SBJ","CB","?"))</f>
        <v> </v>
      </c>
      <c r="I3255" s="25" t="str">
        <f>IF(OR(E3255="",E3255="!!!",F3255="NEW"),"",INDEX(B3254:B$2,-1+SUMPRODUCT(MAX(ROW(E3254:E$2)*(E3255=E3254:E$2)))))</f>
        <v> </v>
      </c>
      <c r="J3255" s="25" t="str">
        <f>IF(OR(E3255="",E3255="!!!",F3255="NEW"),"",COUNTBLANK(OFFSET(A$1,,,SUMPRODUCT(MAX(ROW(E$2:E3255)*(E3255=E$2:E3255)))))-COUNTBLANK(OFFSET(A$1,,,SUMPRODUCT(MAX(ROW(E$1:E3254)*(E2=E$1:E3254))))))</f>
        <v> </v>
      </c>
      <c r="K3255" s="25" t="str">
        <f>IF(OR(E3255="",E3255="!!!",F3255="NEW"),"",INDEX(J$1:J3254,SUMPRODUCT(MAX(ROW(E$1:E3254)*(E3255=E$1:E3254)))))</f>
        <v> </v>
      </c>
      <c r="L3255" s="26"/>
    </row>
    <row r="3256" spans="1:12">
      <c r="A3256" s="20" t="s">
        <v>2600</v>
      </c>
      <c r="E3256" s="21">
        <f>IF(D3256="?OLD","!!!","")</f>
        <v/>
      </c>
      <c r="F3256" s="22" t="str">
        <f>IF(OR(E3256="",E3256="!!!"),"",IF(NOT(ISNA(VLOOKUP(E3256,E$1:E3255,1,FALSE()))),"OLD",IF(AND(E3256&lt;&gt;"",E3256&lt;&gt;"!!!"),"NEW","")))</f>
        <v> </v>
      </c>
      <c r="G3256" s="23" t="str">
        <f>IF(OR(E3256="",E3256="!!!"),"",IF(OR(J3256=0,AND(J3256=1,K3256=1),AND(J3256=1,I3256="SBJ"),AND(J3256=1,I3256=0)),"?IN_FOCUS",IF(J3256&lt;=2,"?ACTIVATED",IF(J3256&lt;&gt;"","?FAMILIAR",IF(F3256="NEW",IF(ISNA(VLOOKUP(E3256,#REF!,1,FALSE())),"?TYPE_IDENTIFIABLE","?REFERENTIAL"),"_")))))</f>
        <v> </v>
      </c>
      <c r="H3256" s="24" t="str">
        <f>IF(J3256&lt;&gt;1,"",IF(I3256="SBJ","CB","?"))</f>
        <v> </v>
      </c>
      <c r="I3256" s="25" t="str">
        <f>IF(OR(E3256="",E3256="!!!",F3256="NEW"),"",INDEX(B3255:B$2,-1+SUMPRODUCT(MAX(ROW(E3255:E$2)*(E3256=E3255:E$2)))))</f>
        <v> </v>
      </c>
      <c r="J3256" s="25" t="str">
        <f>IF(OR(E3256="",E3256="!!!",F3256="NEW"),"",COUNTBLANK(OFFSET(A$1,,,SUMPRODUCT(MAX(ROW(E$2:E3256)*(E3256=E$2:E3256)))))-COUNTBLANK(OFFSET(A$1,,,SUMPRODUCT(MAX(ROW(E$1:E3255)*(E2=E$1:E3255))))))</f>
        <v> </v>
      </c>
      <c r="K3256" s="25" t="str">
        <f>IF(OR(E3256="",E3256="!!!",F3256="NEW"),"",INDEX(J$1:J3255,SUMPRODUCT(MAX(ROW(E$1:E3255)*(E3256=E$1:E3255)))))</f>
        <v> </v>
      </c>
      <c r="L3256" s="26"/>
    </row>
    <row r="3257" spans="1:12">
      <c r="A3257" s="20" t="s">
        <v>1145</v>
      </c>
      <c r="E3257" s="21">
        <f>IF(D3257="?OLD","!!!","")</f>
        <v/>
      </c>
      <c r="F3257" s="22" t="str">
        <f>IF(OR(E3257="",E3257="!!!"),"",IF(NOT(ISNA(VLOOKUP(E3257,E$1:E3256,1,FALSE()))),"OLD",IF(AND(E3257&lt;&gt;"",E3257&lt;&gt;"!!!"),"NEW","")))</f>
        <v> </v>
      </c>
      <c r="G3257" s="23" t="str">
        <f>IF(OR(E3257="",E3257="!!!"),"",IF(OR(J3257=0,AND(J3257=1,K3257=1),AND(J3257=1,I3257="SBJ"),AND(J3257=1,I3257=0)),"?IN_FOCUS",IF(J3257&lt;=2,"?ACTIVATED",IF(J3257&lt;&gt;"","?FAMILIAR",IF(F3257="NEW",IF(ISNA(VLOOKUP(E3257,#REF!,1,FALSE())),"?TYPE_IDENTIFIABLE","?REFERENTIAL"),"_")))))</f>
        <v> </v>
      </c>
      <c r="H3257" s="24" t="str">
        <f>IF(J3257&lt;&gt;1,"",IF(I3257="SBJ","CB","?"))</f>
        <v> </v>
      </c>
      <c r="I3257" s="25" t="str">
        <f>IF(OR(E3257="",E3257="!!!",F3257="NEW"),"",INDEX(B3256:B$2,-1+SUMPRODUCT(MAX(ROW(E3256:E$2)*(E3257=E3256:E$2)))))</f>
        <v> </v>
      </c>
      <c r="J3257" s="25" t="str">
        <f>IF(OR(E3257="",E3257="!!!",F3257="NEW"),"",COUNTBLANK(OFFSET(A$1,,,SUMPRODUCT(MAX(ROW(E$2:E3257)*(E3257=E$2:E3257)))))-COUNTBLANK(OFFSET(A$1,,,SUMPRODUCT(MAX(ROW(E$1:E3256)*(E2=E$1:E3256))))))</f>
        <v> </v>
      </c>
      <c r="K3257" s="25" t="str">
        <f>IF(OR(E3257="",E3257="!!!",F3257="NEW"),"",INDEX(J$1:J3256,SUMPRODUCT(MAX(ROW(E$1:E3256)*(E3257=E$1:E3256)))))</f>
        <v> </v>
      </c>
      <c r="L3257" s="26"/>
    </row>
    <row r="3258" spans="1:12">
      <c r="A3258" s="20" t="s">
        <v>1145</v>
      </c>
      <c r="E3258" s="21">
        <f>IF(D3258="?OLD","!!!","")</f>
        <v/>
      </c>
      <c r="F3258" s="22" t="str">
        <f>IF(OR(E3258="",E3258="!!!"),"",IF(NOT(ISNA(VLOOKUP(E3258,E$1:E3257,1,FALSE()))),"OLD",IF(AND(E3258&lt;&gt;"",E3258&lt;&gt;"!!!"),"NEW","")))</f>
        <v> </v>
      </c>
      <c r="G3258" s="23" t="str">
        <f>IF(OR(E3258="",E3258="!!!"),"",IF(OR(J3258=0,AND(J3258=1,K3258=1),AND(J3258=1,I3258="SBJ"),AND(J3258=1,I3258=0)),"?IN_FOCUS",IF(J3258&lt;=2,"?ACTIVATED",IF(J3258&lt;&gt;"","?FAMILIAR",IF(F3258="NEW",IF(ISNA(VLOOKUP(E3258,#REF!,1,FALSE())),"?TYPE_IDENTIFIABLE","?REFERENTIAL"),"_")))))</f>
        <v> </v>
      </c>
      <c r="H3258" s="24" t="str">
        <f>IF(J3258&lt;&gt;1,"",IF(I3258="SBJ","CB","?"))</f>
        <v> </v>
      </c>
      <c r="I3258" s="25" t="str">
        <f>IF(OR(E3258="",E3258="!!!",F3258="NEW"),"",INDEX(B3257:B$2,-1+SUMPRODUCT(MAX(ROW(E3257:E$2)*(E3258=E3257:E$2)))))</f>
        <v> </v>
      </c>
      <c r="J3258" s="25" t="str">
        <f>IF(OR(E3258="",E3258="!!!",F3258="NEW"),"",COUNTBLANK(OFFSET(A$1,,,SUMPRODUCT(MAX(ROW(E$2:E3258)*(E3258=E$2:E3258)))))-COUNTBLANK(OFFSET(A$1,,,SUMPRODUCT(MAX(ROW(E$1:E3257)*(E2=E$1:E3257))))))</f>
        <v> </v>
      </c>
      <c r="K3258" s="25" t="str">
        <f>IF(OR(E3258="",E3258="!!!",F3258="NEW"),"",INDEX(J$1:J3257,SUMPRODUCT(MAX(ROW(E$1:E3257)*(E3258=E$1:E3257)))))</f>
        <v> </v>
      </c>
      <c r="L3258" s="26"/>
    </row>
    <row r="3259" spans="1:12">
      <c r="A3259" s="20" t="s">
        <v>1145</v>
      </c>
      <c r="E3259" s="21">
        <f>IF(D3259="?OLD","!!!","")</f>
        <v/>
      </c>
      <c r="F3259" s="22" t="str">
        <f>IF(OR(E3259="",E3259="!!!"),"",IF(NOT(ISNA(VLOOKUP(E3259,E$1:E3258,1,FALSE()))),"OLD",IF(AND(E3259&lt;&gt;"",E3259&lt;&gt;"!!!"),"NEW","")))</f>
        <v> </v>
      </c>
      <c r="G3259" s="23" t="str">
        <f>IF(OR(E3259="",E3259="!!!"),"",IF(OR(J3259=0,AND(J3259=1,K3259=1),AND(J3259=1,I3259="SBJ"),AND(J3259=1,I3259=0)),"?IN_FOCUS",IF(J3259&lt;=2,"?ACTIVATED",IF(J3259&lt;&gt;"","?FAMILIAR",IF(F3259="NEW",IF(ISNA(VLOOKUP(E3259,#REF!,1,FALSE())),"?TYPE_IDENTIFIABLE","?REFERENTIAL"),"_")))))</f>
        <v> </v>
      </c>
      <c r="H3259" s="24" t="str">
        <f>IF(J3259&lt;&gt;1,"",IF(I3259="SBJ","CB","?"))</f>
        <v> </v>
      </c>
      <c r="I3259" s="25" t="str">
        <f>IF(OR(E3259="",E3259="!!!",F3259="NEW"),"",INDEX(B3258:B$2,-1+SUMPRODUCT(MAX(ROW(E3258:E$2)*(E3259=E3258:E$2)))))</f>
        <v> </v>
      </c>
      <c r="J3259" s="25" t="str">
        <f>IF(OR(E3259="",E3259="!!!",F3259="NEW"),"",COUNTBLANK(OFFSET(A$1,,,SUMPRODUCT(MAX(ROW(E$2:E3259)*(E3259=E$2:E3259)))))-COUNTBLANK(OFFSET(A$1,,,SUMPRODUCT(MAX(ROW(E$1:E3258)*(E2=E$1:E3258))))))</f>
        <v> </v>
      </c>
      <c r="K3259" s="25" t="str">
        <f>IF(OR(E3259="",E3259="!!!",F3259="NEW"),"",INDEX(J$1:J3258,SUMPRODUCT(MAX(ROW(E$1:E3258)*(E3259=E$1:E3258)))))</f>
        <v> </v>
      </c>
      <c r="L3259" s="26"/>
    </row>
    <row r="3260" spans="1:12">
      <c r="A3260" s="20"/>
    </row>
    <row r="3261" spans="1:12">
      <c r="A3261" s="20" t="s">
        <v>2601</v>
      </c>
    </row>
    <row r="3262" spans="1:12">
      <c r="A3262" s="20" t="s">
        <v>1547</v>
      </c>
      <c r="E3262" s="21">
        <f>IF(D3262="?OLD","!!!","")</f>
        <v/>
      </c>
      <c r="F3262" s="22" t="str">
        <f>IF(OR(E3262="",E3262="!!!"),"",IF(NOT(ISNA(VLOOKUP(E3262,E$1:E3261,1,FALSE()))),"OLD",IF(AND(E3262&lt;&gt;"",E3262&lt;&gt;"!!!"),"NEW","")))</f>
        <v> </v>
      </c>
      <c r="G3262" s="23" t="str">
        <f>IF(OR(E3262="",E3262="!!!"),"",IF(OR(J3262=0,AND(J3262=1,K3262=1),AND(J3262=1,I3262="SBJ"),AND(J3262=1,I3262=0)),"?IN_FOCUS",IF(J3262&lt;=2,"?ACTIVATED",IF(J3262&lt;&gt;"","?FAMILIAR",IF(F3262="NEW",IF(ISNA(VLOOKUP(E3262,#REF!,1,FALSE())),"?TYPE_IDENTIFIABLE","?REFERENTIAL"),"_")))))</f>
        <v> </v>
      </c>
      <c r="H3262" s="24" t="str">
        <f>IF(J3262&lt;&gt;1,"",IF(I3262="SBJ","CB","?"))</f>
        <v> </v>
      </c>
      <c r="I3262" s="25" t="str">
        <f>IF(OR(E3262="",E3262="!!!",F3262="NEW"),"",INDEX(B3261:B$2,-1+SUMPRODUCT(MAX(ROW(E3261:E$2)*(E3262=E3261:E$2)))))</f>
        <v> </v>
      </c>
      <c r="J3262" s="25" t="str">
        <f>IF(OR(E3262="",E3262="!!!",F3262="NEW"),"",COUNTBLANK(OFFSET(A$1,,,SUMPRODUCT(MAX(ROW(E$2:E3262)*(E3262=E$2:E3262)))))-COUNTBLANK(OFFSET(A$1,,,SUMPRODUCT(MAX(ROW(E$1:E3261)*(E2=E$1:E3261))))))</f>
        <v> </v>
      </c>
      <c r="K3262" s="25" t="str">
        <f>IF(OR(E3262="",E3262="!!!",F3262="NEW"),"",INDEX(J$1:J3261,SUMPRODUCT(MAX(ROW(E$1:E3261)*(E3262=E$1:E3261)))))</f>
        <v> </v>
      </c>
      <c r="L3262" s="26"/>
    </row>
    <row r="3263" spans="1:12">
      <c r="A3263" s="20" t="s">
        <v>1124</v>
      </c>
      <c r="B3263" s="27" t="s">
        <v>1149</v>
      </c>
      <c r="C3263" s="27" t="s">
        <v>1126</v>
      </c>
      <c r="D3263" s="27" t="s">
        <v>1105</v>
      </c>
      <c r="E3263" s="21">
        <f>IF(D3263="?OLD","!!!","")</f>
        <v/>
      </c>
      <c r="F3263" s="22" t="str">
        <f>IF(OR(E3263="",E3263="!!!"),"",IF(NOT(ISNA(VLOOKUP(E3263,E$1:E3262,1,FALSE()))),"OLD",IF(AND(E3263&lt;&gt;"",E3263&lt;&gt;"!!!"),"NEW","")))</f>
        <v> </v>
      </c>
      <c r="G3263" s="23" t="str">
        <f>IF(OR(E3263="",E3263="!!!"),"",IF(OR(J3263=0,AND(J3263=1,K3263=1),AND(J3263=1,I3263="SBJ"),AND(J3263=1,I3263=0)),"?IN_FOCUS",IF(J3263&lt;=2,"?ACTIVATED",IF(J3263&lt;&gt;"","?FAMILIAR",IF(F3263="NEW",IF(ISNA(VLOOKUP(E3263,#REF!,1,FALSE())),"?TYPE_IDENTIFIABLE","?REFERENTIAL"),"_")))))</f>
        <v> </v>
      </c>
      <c r="H3263" s="24" t="str">
        <f>IF(J3263&lt;&gt;1,"",IF(I3263="SBJ","CB","?"))</f>
        <v> </v>
      </c>
      <c r="I3263" s="25" t="str">
        <f>IF(OR(E3263="",E3263="!!!",F3263="NEW"),"",INDEX(B3262:B$2,-1+SUMPRODUCT(MAX(ROW(E3262:E$2)*(E3263=E3262:E$2)))))</f>
        <v> </v>
      </c>
      <c r="J3263" s="25" t="str">
        <f>IF(OR(E3263="",E3263="!!!",F3263="NEW"),"",COUNTBLANK(OFFSET(A$1,,,SUMPRODUCT(MAX(ROW(E$2:E3263)*(E3263=E$2:E3263)))))-COUNTBLANK(OFFSET(A$1,,,SUMPRODUCT(MAX(ROW(E$1:E3262)*(E2=E$1:E3262))))))</f>
        <v> </v>
      </c>
      <c r="K3263" s="25" t="str">
        <f>IF(OR(E3263="",E3263="!!!",F3263="NEW"),"",INDEX(J$1:J3262,SUMPRODUCT(MAX(ROW(E$1:E3262)*(E3263=E$1:E3262)))))</f>
        <v> </v>
      </c>
      <c r="L3263" s="26"/>
    </row>
    <row r="3264" spans="1:12">
      <c r="A3264" s="20" t="s">
        <v>2602</v>
      </c>
      <c r="E3264" s="21">
        <f>IF(D3264="?OLD","!!!","")</f>
        <v/>
      </c>
      <c r="F3264" s="22" t="str">
        <f>IF(OR(E3264="",E3264="!!!"),"",IF(NOT(ISNA(VLOOKUP(E3264,E$1:E3263,1,FALSE()))),"OLD",IF(AND(E3264&lt;&gt;"",E3264&lt;&gt;"!!!"),"NEW","")))</f>
        <v> </v>
      </c>
      <c r="G3264" s="23" t="str">
        <f>IF(OR(E3264="",E3264="!!!"),"",IF(OR(J3264=0,AND(J3264=1,K3264=1),AND(J3264=1,I3264="SBJ"),AND(J3264=1,I3264=0)),"?IN_FOCUS",IF(J3264&lt;=2,"?ACTIVATED",IF(J3264&lt;&gt;"","?FAMILIAR",IF(F3264="NEW",IF(ISNA(VLOOKUP(E3264,#REF!,1,FALSE())),"?TYPE_IDENTIFIABLE","?REFERENTIAL"),"_")))))</f>
        <v> </v>
      </c>
      <c r="H3264" s="24" t="str">
        <f>IF(J3264&lt;&gt;1,"",IF(I3264="SBJ","CB","?"))</f>
        <v> </v>
      </c>
      <c r="I3264" s="25" t="str">
        <f>IF(OR(E3264="",E3264="!!!",F3264="NEW"),"",INDEX(B3263:B$2,-1+SUMPRODUCT(MAX(ROW(E3263:E$2)*(E3264=E3263:E$2)))))</f>
        <v> </v>
      </c>
      <c r="J3264" s="25" t="str">
        <f>IF(OR(E3264="",E3264="!!!",F3264="NEW"),"",COUNTBLANK(OFFSET(A$1,,,SUMPRODUCT(MAX(ROW(E$2:E3264)*(E3264=E$2:E3264)))))-COUNTBLANK(OFFSET(A$1,,,SUMPRODUCT(MAX(ROW(E$1:E3263)*(E2=E$1:E3263))))))</f>
        <v> </v>
      </c>
      <c r="K3264" s="25" t="str">
        <f>IF(OR(E3264="",E3264="!!!",F3264="NEW"),"",INDEX(J$1:J3263,SUMPRODUCT(MAX(ROW(E$1:E3263)*(E3264=E$1:E3263)))))</f>
        <v> </v>
      </c>
      <c r="L3264" s="26"/>
    </row>
    <row r="3265" spans="1:12">
      <c r="A3265" s="20" t="s">
        <v>1198</v>
      </c>
      <c r="B3265" s="27" t="s">
        <v>1213</v>
      </c>
      <c r="C3265" s="27" t="s">
        <v>1126</v>
      </c>
      <c r="D3265" s="27" t="s">
        <v>1105</v>
      </c>
      <c r="E3265" s="21">
        <f>IF(D3265="?OLD","!!!","")</f>
        <v/>
      </c>
      <c r="F3265" s="22" t="str">
        <f>IF(OR(E3265="",E3265="!!!"),"",IF(NOT(ISNA(VLOOKUP(E3265,E$1:E3264,1,FALSE()))),"OLD",IF(AND(E3265&lt;&gt;"",E3265&lt;&gt;"!!!"),"NEW","")))</f>
        <v> </v>
      </c>
      <c r="G3265" s="23" t="str">
        <f>IF(OR(E3265="",E3265="!!!"),"",IF(OR(J3265=0,AND(J3265=1,K3265=1),AND(J3265=1,I3265="SBJ"),AND(J3265=1,I3265=0)),"?IN_FOCUS",IF(J3265&lt;=2,"?ACTIVATED",IF(J3265&lt;&gt;"","?FAMILIAR",IF(F3265="NEW",IF(ISNA(VLOOKUP(E3265,#REF!,1,FALSE())),"?TYPE_IDENTIFIABLE","?REFERENTIAL"),"_")))))</f>
        <v> </v>
      </c>
      <c r="H3265" s="24" t="str">
        <f>IF(J3265&lt;&gt;1,"",IF(I3265="SBJ","CB","?"))</f>
        <v> </v>
      </c>
      <c r="I3265" s="25" t="str">
        <f>IF(OR(E3265="",E3265="!!!",F3265="NEW"),"",INDEX(B3264:B$2,-1+SUMPRODUCT(MAX(ROW(E3264:E$2)*(E3265=E3264:E$2)))))</f>
        <v> </v>
      </c>
      <c r="J3265" s="25" t="str">
        <f>IF(OR(E3265="",E3265="!!!",F3265="NEW"),"",COUNTBLANK(OFFSET(A$1,,,SUMPRODUCT(MAX(ROW(E$2:E3265)*(E3265=E$2:E3265)))))-COUNTBLANK(OFFSET(A$1,,,SUMPRODUCT(MAX(ROW(E$1:E3264)*(E2=E$1:E3264))))))</f>
        <v> </v>
      </c>
      <c r="K3265" s="25" t="str">
        <f>IF(OR(E3265="",E3265="!!!",F3265="NEW"),"",INDEX(J$1:J3264,SUMPRODUCT(MAX(ROW(E$1:E3264)*(E3265=E$1:E3264)))))</f>
        <v> </v>
      </c>
      <c r="L3265" s="26"/>
    </row>
    <row r="3266" spans="1:12">
      <c r="A3266" s="20" t="s">
        <v>1123</v>
      </c>
      <c r="E3266" s="21">
        <f>IF(D3266="?OLD","!!!","")</f>
        <v/>
      </c>
      <c r="F3266" s="22" t="str">
        <f>IF(OR(E3266="",E3266="!!!"),"",IF(NOT(ISNA(VLOOKUP(E3266,E$1:E3265,1,FALSE()))),"OLD",IF(AND(E3266&lt;&gt;"",E3266&lt;&gt;"!!!"),"NEW","")))</f>
        <v> </v>
      </c>
      <c r="G3266" s="23" t="str">
        <f>IF(OR(E3266="",E3266="!!!"),"",IF(OR(J3266=0,AND(J3266=1,K3266=1),AND(J3266=1,I3266="SBJ"),AND(J3266=1,I3266=0)),"?IN_FOCUS",IF(J3266&lt;=2,"?ACTIVATED",IF(J3266&lt;&gt;"","?FAMILIAR",IF(F3266="NEW",IF(ISNA(VLOOKUP(E3266,#REF!,1,FALSE())),"?TYPE_IDENTIFIABLE","?REFERENTIAL"),"_")))))</f>
        <v> </v>
      </c>
      <c r="H3266" s="24" t="str">
        <f>IF(J3266&lt;&gt;1,"",IF(I3266="SBJ","CB","?"))</f>
        <v> </v>
      </c>
      <c r="I3266" s="25" t="str">
        <f>IF(OR(E3266="",E3266="!!!",F3266="NEW"),"",INDEX(B3265:B$2,-1+SUMPRODUCT(MAX(ROW(E3265:E$2)*(E3266=E3265:E$2)))))</f>
        <v> </v>
      </c>
      <c r="J3266" s="25" t="str">
        <f>IF(OR(E3266="",E3266="!!!",F3266="NEW"),"",COUNTBLANK(OFFSET(A$1,,,SUMPRODUCT(MAX(ROW(E$2:E3266)*(E3266=E$2:E3266)))))-COUNTBLANK(OFFSET(A$1,,,SUMPRODUCT(MAX(ROW(E$1:E3265)*(E2=E$1:E3265))))))</f>
        <v> </v>
      </c>
      <c r="K3266" s="25" t="str">
        <f>IF(OR(E3266="",E3266="!!!",F3266="NEW"),"",INDEX(J$1:J3265,SUMPRODUCT(MAX(ROW(E$1:E3265)*(E3266=E$1:E3265)))))</f>
        <v> </v>
      </c>
      <c r="L3266" s="26"/>
    </row>
    <row r="3267" spans="1:12">
      <c r="A3267" s="20" t="s">
        <v>1228</v>
      </c>
      <c r="B3267" s="27" t="s">
        <v>1122</v>
      </c>
      <c r="C3267" s="27" t="s">
        <v>1126</v>
      </c>
      <c r="D3267" s="27" t="s">
        <v>1105</v>
      </c>
      <c r="E3267" s="21">
        <f>IF(D3267="?OLD","!!!","")</f>
        <v/>
      </c>
      <c r="F3267" s="22" t="str">
        <f>IF(OR(E3267="",E3267="!!!"),"",IF(NOT(ISNA(VLOOKUP(E3267,E$1:E3266,1,FALSE()))),"OLD",IF(AND(E3267&lt;&gt;"",E3267&lt;&gt;"!!!"),"NEW","")))</f>
        <v> </v>
      </c>
      <c r="G3267" s="23" t="str">
        <f>IF(OR(E3267="",E3267="!!!"),"",IF(OR(J3267=0,AND(J3267=1,K3267=1),AND(J3267=1,I3267="SBJ"),AND(J3267=1,I3267=0)),"?IN_FOCUS",IF(J3267&lt;=2,"?ACTIVATED",IF(J3267&lt;&gt;"","?FAMILIAR",IF(F3267="NEW",IF(ISNA(VLOOKUP(E3267,#REF!,1,FALSE())),"?TYPE_IDENTIFIABLE","?REFERENTIAL"),"_")))))</f>
        <v> </v>
      </c>
      <c r="H3267" s="24" t="str">
        <f>IF(J3267&lt;&gt;1,"",IF(I3267="SBJ","CB","?"))</f>
        <v> </v>
      </c>
      <c r="I3267" s="25" t="str">
        <f>IF(OR(E3267="",E3267="!!!",F3267="NEW"),"",INDEX(B3266:B$2,-1+SUMPRODUCT(MAX(ROW(E3266:E$2)*(E3267=E3266:E$2)))))</f>
        <v> </v>
      </c>
      <c r="J3267" s="25" t="str">
        <f>IF(OR(E3267="",E3267="!!!",F3267="NEW"),"",COUNTBLANK(OFFSET(A$1,,,SUMPRODUCT(MAX(ROW(E$2:E3267)*(E3267=E$2:E3267)))))-COUNTBLANK(OFFSET(A$1,,,SUMPRODUCT(MAX(ROW(E$1:E3266)*(E2=E$1:E3266))))))</f>
        <v> </v>
      </c>
      <c r="K3267" s="25" t="str">
        <f>IF(OR(E3267="",E3267="!!!",F3267="NEW"),"",INDEX(J$1:J3266,SUMPRODUCT(MAX(ROW(E$1:E3266)*(E3267=E$1:E3266)))))</f>
        <v> </v>
      </c>
      <c r="L3267" s="26"/>
    </row>
    <row r="3268" spans="1:12">
      <c r="A3268" s="20" t="s">
        <v>1309</v>
      </c>
      <c r="E3268" s="21">
        <f>IF(D3268="?OLD","!!!","")</f>
        <v/>
      </c>
      <c r="F3268" s="22" t="str">
        <f>IF(OR(E3268="",E3268="!!!"),"",IF(NOT(ISNA(VLOOKUP(E3268,E$1:E3267,1,FALSE()))),"OLD",IF(AND(E3268&lt;&gt;"",E3268&lt;&gt;"!!!"),"NEW","")))</f>
        <v> </v>
      </c>
      <c r="G3268" s="23" t="str">
        <f>IF(OR(E3268="",E3268="!!!"),"",IF(OR(J3268=0,AND(J3268=1,K3268=1),AND(J3268=1,I3268="SBJ"),AND(J3268=1,I3268=0)),"?IN_FOCUS",IF(J3268&lt;=2,"?ACTIVATED",IF(J3268&lt;&gt;"","?FAMILIAR",IF(F3268="NEW",IF(ISNA(VLOOKUP(E3268,#REF!,1,FALSE())),"?TYPE_IDENTIFIABLE","?REFERENTIAL"),"_")))))</f>
        <v> </v>
      </c>
      <c r="H3268" s="24" t="str">
        <f>IF(J3268&lt;&gt;1,"",IF(I3268="SBJ","CB","?"))</f>
        <v> </v>
      </c>
      <c r="I3268" s="25" t="str">
        <f>IF(OR(E3268="",E3268="!!!",F3268="NEW"),"",INDEX(B3267:B$2,-1+SUMPRODUCT(MAX(ROW(E3267:E$2)*(E3268=E3267:E$2)))))</f>
        <v> </v>
      </c>
      <c r="J3268" s="25" t="str">
        <f>IF(OR(E3268="",E3268="!!!",F3268="NEW"),"",COUNTBLANK(OFFSET(A$1,,,SUMPRODUCT(MAX(ROW(E$2:E3268)*(E3268=E$2:E3268)))))-COUNTBLANK(OFFSET(A$1,,,SUMPRODUCT(MAX(ROW(E$1:E3267)*(E2=E$1:E3267))))))</f>
        <v> </v>
      </c>
      <c r="K3268" s="25" t="str">
        <f>IF(OR(E3268="",E3268="!!!",F3268="NEW"),"",INDEX(J$1:J3267,SUMPRODUCT(MAX(ROW(E$1:E3267)*(E3268=E$1:E3267)))))</f>
        <v> </v>
      </c>
      <c r="L3268" s="26"/>
    </row>
    <row r="3269" spans="1:12">
      <c r="A3269" s="20" t="s">
        <v>2603</v>
      </c>
      <c r="E3269" s="21">
        <f>IF(D3269="?OLD","!!!","")</f>
        <v/>
      </c>
      <c r="F3269" s="22" t="str">
        <f>IF(OR(E3269="",E3269="!!!"),"",IF(NOT(ISNA(VLOOKUP(E3269,E$1:E3268,1,FALSE()))),"OLD",IF(AND(E3269&lt;&gt;"",E3269&lt;&gt;"!!!"),"NEW","")))</f>
        <v> </v>
      </c>
      <c r="G3269" s="23" t="str">
        <f>IF(OR(E3269="",E3269="!!!"),"",IF(OR(J3269=0,AND(J3269=1,K3269=1),AND(J3269=1,I3269="SBJ"),AND(J3269=1,I3269=0)),"?IN_FOCUS",IF(J3269&lt;=2,"?ACTIVATED",IF(J3269&lt;&gt;"","?FAMILIAR",IF(F3269="NEW",IF(ISNA(VLOOKUP(E3269,#REF!,1,FALSE())),"?TYPE_IDENTIFIABLE","?REFERENTIAL"),"_")))))</f>
        <v> </v>
      </c>
      <c r="H3269" s="24" t="str">
        <f>IF(J3269&lt;&gt;1,"",IF(I3269="SBJ","CB","?"))</f>
        <v> </v>
      </c>
      <c r="I3269" s="25" t="str">
        <f>IF(OR(E3269="",E3269="!!!",F3269="NEW"),"",INDEX(B3268:B$2,-1+SUMPRODUCT(MAX(ROW(E3268:E$2)*(E3269=E3268:E$2)))))</f>
        <v> </v>
      </c>
      <c r="J3269" s="25" t="str">
        <f>IF(OR(E3269="",E3269="!!!",F3269="NEW"),"",COUNTBLANK(OFFSET(A$1,,,SUMPRODUCT(MAX(ROW(E$2:E3269)*(E3269=E$2:E3269)))))-COUNTBLANK(OFFSET(A$1,,,SUMPRODUCT(MAX(ROW(E$1:E3268)*(E2=E$1:E3268))))))</f>
        <v> </v>
      </c>
      <c r="K3269" s="25" t="str">
        <f>IF(OR(E3269="",E3269="!!!",F3269="NEW"),"",INDEX(J$1:J3268,SUMPRODUCT(MAX(ROW(E$1:E3268)*(E3269=E$1:E3268)))))</f>
        <v> </v>
      </c>
      <c r="L3269" s="26"/>
    </row>
    <row r="3270" spans="1:12">
      <c r="A3270" s="20" t="s">
        <v>1184</v>
      </c>
      <c r="E3270" s="21">
        <f>IF(D3270="?OLD","!!!","")</f>
        <v/>
      </c>
      <c r="F3270" s="22" t="str">
        <f>IF(OR(E3270="",E3270="!!!"),"",IF(NOT(ISNA(VLOOKUP(E3270,E$1:E3269,1,FALSE()))),"OLD",IF(AND(E3270&lt;&gt;"",E3270&lt;&gt;"!!!"),"NEW","")))</f>
        <v> </v>
      </c>
      <c r="G3270" s="23" t="str">
        <f>IF(OR(E3270="",E3270="!!!"),"",IF(OR(J3270=0,AND(J3270=1,K3270=1),AND(J3270=1,I3270="SBJ"),AND(J3270=1,I3270=0)),"?IN_FOCUS",IF(J3270&lt;=2,"?ACTIVATED",IF(J3270&lt;&gt;"","?FAMILIAR",IF(F3270="NEW",IF(ISNA(VLOOKUP(E3270,#REF!,1,FALSE())),"?TYPE_IDENTIFIABLE","?REFERENTIAL"),"_")))))</f>
        <v> </v>
      </c>
      <c r="H3270" s="24" t="str">
        <f>IF(J3270&lt;&gt;1,"",IF(I3270="SBJ","CB","?"))</f>
        <v> </v>
      </c>
      <c r="I3270" s="25" t="str">
        <f>IF(OR(E3270="",E3270="!!!",F3270="NEW"),"",INDEX(B3269:B$2,-1+SUMPRODUCT(MAX(ROW(E3269:E$2)*(E3270=E3269:E$2)))))</f>
        <v> </v>
      </c>
      <c r="J3270" s="25" t="str">
        <f>IF(OR(E3270="",E3270="!!!",F3270="NEW"),"",COUNTBLANK(OFFSET(A$1,,,SUMPRODUCT(MAX(ROW(E$2:E3270)*(E3270=E$2:E3270)))))-COUNTBLANK(OFFSET(A$1,,,SUMPRODUCT(MAX(ROW(E$1:E3269)*(E2=E$1:E3269))))))</f>
        <v> </v>
      </c>
      <c r="K3270" s="25" t="str">
        <f>IF(OR(E3270="",E3270="!!!",F3270="NEW"),"",INDEX(J$1:J3269,SUMPRODUCT(MAX(ROW(E$1:E3269)*(E3270=E$1:E3269)))))</f>
        <v> </v>
      </c>
      <c r="L3270" s="26"/>
    </row>
    <row r="3271" spans="1:12">
      <c r="A3271" s="20" t="s">
        <v>1186</v>
      </c>
      <c r="B3271" s="27" t="s">
        <v>1110</v>
      </c>
      <c r="C3271" s="27" t="s">
        <v>1142</v>
      </c>
      <c r="D3271" s="27" t="s">
        <v>1105</v>
      </c>
      <c r="E3271" s="21">
        <f>IF(D3271="?OLD","!!!","")</f>
        <v/>
      </c>
      <c r="F3271" s="22" t="str">
        <f>IF(OR(E3271="",E3271="!!!"),"",IF(NOT(ISNA(VLOOKUP(E3271,E$1:E3270,1,FALSE()))),"OLD",IF(AND(E3271&lt;&gt;"",E3271&lt;&gt;"!!!"),"NEW","")))</f>
        <v> </v>
      </c>
      <c r="G3271" s="23" t="str">
        <f>IF(OR(E3271="",E3271="!!!"),"",IF(OR(J3271=0,AND(J3271=1,K3271=1),AND(J3271=1,I3271="SBJ"),AND(J3271=1,I3271=0)),"?IN_FOCUS",IF(J3271&lt;=2,"?ACTIVATED",IF(J3271&lt;&gt;"","?FAMILIAR",IF(F3271="NEW",IF(ISNA(VLOOKUP(E3271,#REF!,1,FALSE())),"?TYPE_IDENTIFIABLE","?REFERENTIAL"),"_")))))</f>
        <v> </v>
      </c>
      <c r="H3271" s="24" t="str">
        <f>IF(J3271&lt;&gt;1,"",IF(I3271="SBJ","CB","?"))</f>
        <v> </v>
      </c>
      <c r="I3271" s="25" t="str">
        <f>IF(OR(E3271="",E3271="!!!",F3271="NEW"),"",INDEX(B3270:B$2,-1+SUMPRODUCT(MAX(ROW(E3270:E$2)*(E3271=E3270:E$2)))))</f>
        <v> </v>
      </c>
      <c r="J3271" s="25" t="str">
        <f>IF(OR(E3271="",E3271="!!!",F3271="NEW"),"",COUNTBLANK(OFFSET(A$1,,,SUMPRODUCT(MAX(ROW(E$2:E3271)*(E3271=E$2:E3271)))))-COUNTBLANK(OFFSET(A$1,,,SUMPRODUCT(MAX(ROW(E$1:E3270)*(E2=E$1:E3270))))))</f>
        <v> </v>
      </c>
      <c r="K3271" s="25" t="str">
        <f>IF(OR(E3271="",E3271="!!!",F3271="NEW"),"",INDEX(J$1:J3270,SUMPRODUCT(MAX(ROW(E$1:E3270)*(E3271=E$1:E3270)))))</f>
        <v> </v>
      </c>
      <c r="L3271" s="26"/>
    </row>
    <row r="3272" spans="1:12">
      <c r="A3272" s="20" t="s">
        <v>2604</v>
      </c>
      <c r="E3272" s="21">
        <f>IF(D3272="?OLD","!!!","")</f>
        <v/>
      </c>
      <c r="F3272" s="22" t="str">
        <f>IF(OR(E3272="",E3272="!!!"),"",IF(NOT(ISNA(VLOOKUP(E3272,E$1:E3271,1,FALSE()))),"OLD",IF(AND(E3272&lt;&gt;"",E3272&lt;&gt;"!!!"),"NEW","")))</f>
        <v> </v>
      </c>
      <c r="G3272" s="23" t="str">
        <f>IF(OR(E3272="",E3272="!!!"),"",IF(OR(J3272=0,AND(J3272=1,K3272=1),AND(J3272=1,I3272="SBJ"),AND(J3272=1,I3272=0)),"?IN_FOCUS",IF(J3272&lt;=2,"?ACTIVATED",IF(J3272&lt;&gt;"","?FAMILIAR",IF(F3272="NEW",IF(ISNA(VLOOKUP(E3272,#REF!,1,FALSE())),"?TYPE_IDENTIFIABLE","?REFERENTIAL"),"_")))))</f>
        <v> </v>
      </c>
      <c r="H3272" s="24" t="str">
        <f>IF(J3272&lt;&gt;1,"",IF(I3272="SBJ","CB","?"))</f>
        <v> </v>
      </c>
      <c r="I3272" s="25" t="str">
        <f>IF(OR(E3272="",E3272="!!!",F3272="NEW"),"",INDEX(B3271:B$2,-1+SUMPRODUCT(MAX(ROW(E3271:E$2)*(E3272=E3271:E$2)))))</f>
        <v> </v>
      </c>
      <c r="J3272" s="25" t="str">
        <f>IF(OR(E3272="",E3272="!!!",F3272="NEW"),"",COUNTBLANK(OFFSET(A$1,,,SUMPRODUCT(MAX(ROW(E$2:E3272)*(E3272=E$2:E3272)))))-COUNTBLANK(OFFSET(A$1,,,SUMPRODUCT(MAX(ROW(E$1:E3271)*(E2=E$1:E3271))))))</f>
        <v> </v>
      </c>
      <c r="K3272" s="25" t="str">
        <f>IF(OR(E3272="",E3272="!!!",F3272="NEW"),"",INDEX(J$1:J3271,SUMPRODUCT(MAX(ROW(E$1:E3271)*(E3272=E$1:E3271)))))</f>
        <v> </v>
      </c>
      <c r="L3272" s="26"/>
    </row>
    <row r="3273" spans="1:12">
      <c r="A3273" s="20" t="s">
        <v>1351</v>
      </c>
      <c r="E3273" s="21">
        <f>IF(D3273="?OLD","!!!","")</f>
        <v/>
      </c>
      <c r="F3273" s="22" t="str">
        <f>IF(OR(E3273="",E3273="!!!"),"",IF(NOT(ISNA(VLOOKUP(E3273,E$1:E3272,1,FALSE()))),"OLD",IF(AND(E3273&lt;&gt;"",E3273&lt;&gt;"!!!"),"NEW","")))</f>
        <v> </v>
      </c>
      <c r="G3273" s="23" t="str">
        <f>IF(OR(E3273="",E3273="!!!"),"",IF(OR(J3273=0,AND(J3273=1,K3273=1),AND(J3273=1,I3273="SBJ"),AND(J3273=1,I3273=0)),"?IN_FOCUS",IF(J3273&lt;=2,"?ACTIVATED",IF(J3273&lt;&gt;"","?FAMILIAR",IF(F3273="NEW",IF(ISNA(VLOOKUP(E3273,#REF!,1,FALSE())),"?TYPE_IDENTIFIABLE","?REFERENTIAL"),"_")))))</f>
        <v> </v>
      </c>
      <c r="H3273" s="24" t="str">
        <f>IF(J3273&lt;&gt;1,"",IF(I3273="SBJ","CB","?"))</f>
        <v> </v>
      </c>
      <c r="I3273" s="25" t="str">
        <f>IF(OR(E3273="",E3273="!!!",F3273="NEW"),"",INDEX(B3272:B$2,-1+SUMPRODUCT(MAX(ROW(E3272:E$2)*(E3273=E3272:E$2)))))</f>
        <v> </v>
      </c>
      <c r="J3273" s="25" t="str">
        <f>IF(OR(E3273="",E3273="!!!",F3273="NEW"),"",COUNTBLANK(OFFSET(A$1,,,SUMPRODUCT(MAX(ROW(E$2:E3273)*(E3273=E$2:E3273)))))-COUNTBLANK(OFFSET(A$1,,,SUMPRODUCT(MAX(ROW(E$1:E3272)*(E2=E$1:E3272))))))</f>
        <v> </v>
      </c>
      <c r="K3273" s="25" t="str">
        <f>IF(OR(E3273="",E3273="!!!",F3273="NEW"),"",INDEX(J$1:J3272,SUMPRODUCT(MAX(ROW(E$1:E3272)*(E3273=E$1:E3272)))))</f>
        <v> </v>
      </c>
      <c r="L3273" s="26"/>
    </row>
    <row r="3274" spans="1:12">
      <c r="A3274" s="20"/>
    </row>
    <row r="3275" spans="1:12">
      <c r="A3275" s="20" t="s">
        <v>2605</v>
      </c>
    </row>
    <row r="3276" spans="1:12">
      <c r="A3276" s="20" t="s">
        <v>1111</v>
      </c>
      <c r="E3276" s="21">
        <f>IF(D3276="?OLD","!!!","")</f>
        <v/>
      </c>
      <c r="F3276" s="22" t="str">
        <f>IF(OR(E3276="",E3276="!!!"),"",IF(NOT(ISNA(VLOOKUP(E3276,E$1:E3275,1,FALSE()))),"OLD",IF(AND(E3276&lt;&gt;"",E3276&lt;&gt;"!!!"),"NEW","")))</f>
        <v> </v>
      </c>
      <c r="G3276" s="23" t="str">
        <f>IF(OR(E3276="",E3276="!!!"),"",IF(OR(J3276=0,AND(J3276=1,K3276=1),AND(J3276=1,I3276="SBJ"),AND(J3276=1,I3276=0)),"?IN_FOCUS",IF(J3276&lt;=2,"?ACTIVATED",IF(J3276&lt;&gt;"","?FAMILIAR",IF(F3276="NEW",IF(ISNA(VLOOKUP(E3276,#REF!,1,FALSE())),"?TYPE_IDENTIFIABLE","?REFERENTIAL"),"_")))))</f>
        <v> </v>
      </c>
      <c r="H3276" s="24" t="str">
        <f>IF(J3276&lt;&gt;1,"",IF(I3276="SBJ","CB","?"))</f>
        <v> </v>
      </c>
      <c r="I3276" s="25" t="str">
        <f>IF(OR(E3276="",E3276="!!!",F3276="NEW"),"",INDEX(B3275:B$2,-1+SUMPRODUCT(MAX(ROW(E3275:E$2)*(E3276=E3275:E$2)))))</f>
        <v> </v>
      </c>
      <c r="J3276" s="25" t="str">
        <f>IF(OR(E3276="",E3276="!!!",F3276="NEW"),"",COUNTBLANK(OFFSET(A$1,,,SUMPRODUCT(MAX(ROW(E$2:E3276)*(E3276=E$2:E3276)))))-COUNTBLANK(OFFSET(A$1,,,SUMPRODUCT(MAX(ROW(E$1:E3275)*(E2=E$1:E3275))))))</f>
        <v> </v>
      </c>
      <c r="K3276" s="25" t="str">
        <f>IF(OR(E3276="",E3276="!!!",F3276="NEW"),"",INDEX(J$1:J3275,SUMPRODUCT(MAX(ROW(E$1:E3275)*(E3276=E$1:E3275)))))</f>
        <v> </v>
      </c>
      <c r="L3276" s="26"/>
    </row>
    <row r="3277" spans="1:12">
      <c r="A3277" s="20" t="s">
        <v>2578</v>
      </c>
      <c r="B3277" s="27" t="s">
        <v>1149</v>
      </c>
      <c r="C3277" s="27" t="s">
        <v>1126</v>
      </c>
      <c r="D3277" s="27" t="s">
        <v>1105</v>
      </c>
      <c r="E3277" s="21">
        <f>IF(D3277="?OLD","!!!","")</f>
        <v/>
      </c>
      <c r="F3277" s="22" t="str">
        <f>IF(OR(E3277="",E3277="!!!"),"",IF(NOT(ISNA(VLOOKUP(E3277,E$1:E3276,1,FALSE()))),"OLD",IF(AND(E3277&lt;&gt;"",E3277&lt;&gt;"!!!"),"NEW","")))</f>
        <v> </v>
      </c>
      <c r="G3277" s="23" t="str">
        <f>IF(OR(E3277="",E3277="!!!"),"",IF(OR(J3277=0,AND(J3277=1,K3277=1),AND(J3277=1,I3277="SBJ"),AND(J3277=1,I3277=0)),"?IN_FOCUS",IF(J3277&lt;=2,"?ACTIVATED",IF(J3277&lt;&gt;"","?FAMILIAR",IF(F3277="NEW",IF(ISNA(VLOOKUP(E3277,#REF!,1,FALSE())),"?TYPE_IDENTIFIABLE","?REFERENTIAL"),"_")))))</f>
        <v> </v>
      </c>
      <c r="H3277" s="24" t="str">
        <f>IF(J3277&lt;&gt;1,"",IF(I3277="SBJ","CB","?"))</f>
        <v> </v>
      </c>
      <c r="I3277" s="25" t="str">
        <f>IF(OR(E3277="",E3277="!!!",F3277="NEW"),"",INDEX(B3276:B$2,-1+SUMPRODUCT(MAX(ROW(E3276:E$2)*(E3277=E3276:E$2)))))</f>
        <v> </v>
      </c>
      <c r="J3277" s="25" t="str">
        <f>IF(OR(E3277="",E3277="!!!",F3277="NEW"),"",COUNTBLANK(OFFSET(A$1,,,SUMPRODUCT(MAX(ROW(E$2:E3277)*(E3277=E$2:E3277)))))-COUNTBLANK(OFFSET(A$1,,,SUMPRODUCT(MAX(ROW(E$1:E3276)*(E2=E$1:E3276))))))</f>
        <v> </v>
      </c>
      <c r="K3277" s="25" t="str">
        <f>IF(OR(E3277="",E3277="!!!",F3277="NEW"),"",INDEX(J$1:J3276,SUMPRODUCT(MAX(ROW(E$1:E3276)*(E3277=E$1:E3276)))))</f>
        <v> </v>
      </c>
      <c r="L3277" s="26"/>
    </row>
    <row r="3278" spans="1:12">
      <c r="A3278" s="20" t="s">
        <v>1134</v>
      </c>
      <c r="E3278" s="21">
        <f>IF(D3278="?OLD","!!!","")</f>
        <v/>
      </c>
      <c r="F3278" s="22" t="str">
        <f>IF(OR(E3278="",E3278="!!!"),"",IF(NOT(ISNA(VLOOKUP(E3278,E$1:E3277,1,FALSE()))),"OLD",IF(AND(E3278&lt;&gt;"",E3278&lt;&gt;"!!!"),"NEW","")))</f>
        <v> </v>
      </c>
      <c r="G3278" s="23" t="str">
        <f>IF(OR(E3278="",E3278="!!!"),"",IF(OR(J3278=0,AND(J3278=1,K3278=1),AND(J3278=1,I3278="SBJ"),AND(J3278=1,I3278=0)),"?IN_FOCUS",IF(J3278&lt;=2,"?ACTIVATED",IF(J3278&lt;&gt;"","?FAMILIAR",IF(F3278="NEW",IF(ISNA(VLOOKUP(E3278,#REF!,1,FALSE())),"?TYPE_IDENTIFIABLE","?REFERENTIAL"),"_")))))</f>
        <v> </v>
      </c>
      <c r="H3278" s="24" t="str">
        <f>IF(J3278&lt;&gt;1,"",IF(I3278="SBJ","CB","?"))</f>
        <v> </v>
      </c>
      <c r="I3278" s="25" t="str">
        <f>IF(OR(E3278="",E3278="!!!",F3278="NEW"),"",INDEX(B3277:B$2,-1+SUMPRODUCT(MAX(ROW(E3277:E$2)*(E3278=E3277:E$2)))))</f>
        <v> </v>
      </c>
      <c r="J3278" s="25" t="str">
        <f>IF(OR(E3278="",E3278="!!!",F3278="NEW"),"",COUNTBLANK(OFFSET(A$1,,,SUMPRODUCT(MAX(ROW(E$2:E3278)*(E3278=E$2:E3278)))))-COUNTBLANK(OFFSET(A$1,,,SUMPRODUCT(MAX(ROW(E$1:E3277)*(E2=E$1:E3277))))))</f>
        <v> </v>
      </c>
      <c r="K3278" s="25" t="str">
        <f>IF(OR(E3278="",E3278="!!!",F3278="NEW"),"",INDEX(J$1:J3277,SUMPRODUCT(MAX(ROW(E$1:E3277)*(E3278=E$1:E3277)))))</f>
        <v> </v>
      </c>
      <c r="L3278" s="26"/>
    </row>
    <row r="3279" spans="1:12">
      <c r="A3279" s="20" t="s">
        <v>2606</v>
      </c>
      <c r="E3279" s="21">
        <f>IF(D3279="?OLD","!!!","")</f>
        <v/>
      </c>
      <c r="F3279" s="22" t="str">
        <f>IF(OR(E3279="",E3279="!!!"),"",IF(NOT(ISNA(VLOOKUP(E3279,E$1:E3278,1,FALSE()))),"OLD",IF(AND(E3279&lt;&gt;"",E3279&lt;&gt;"!!!"),"NEW","")))</f>
        <v> </v>
      </c>
      <c r="G3279" s="23" t="str">
        <f>IF(OR(E3279="",E3279="!!!"),"",IF(OR(J3279=0,AND(J3279=1,K3279=1),AND(J3279=1,I3279="SBJ"),AND(J3279=1,I3279=0)),"?IN_FOCUS",IF(J3279&lt;=2,"?ACTIVATED",IF(J3279&lt;&gt;"","?FAMILIAR",IF(F3279="NEW",IF(ISNA(VLOOKUP(E3279,#REF!,1,FALSE())),"?TYPE_IDENTIFIABLE","?REFERENTIAL"),"_")))))</f>
        <v> </v>
      </c>
      <c r="H3279" s="24" t="str">
        <f>IF(J3279&lt;&gt;1,"",IF(I3279="SBJ","CB","?"))</f>
        <v> </v>
      </c>
      <c r="I3279" s="25" t="str">
        <f>IF(OR(E3279="",E3279="!!!",F3279="NEW"),"",INDEX(B3278:B$2,-1+SUMPRODUCT(MAX(ROW(E3278:E$2)*(E3279=E3278:E$2)))))</f>
        <v> </v>
      </c>
      <c r="J3279" s="25" t="str">
        <f>IF(OR(E3279="",E3279="!!!",F3279="NEW"),"",COUNTBLANK(OFFSET(A$1,,,SUMPRODUCT(MAX(ROW(E$2:E3279)*(E3279=E$2:E3279)))))-COUNTBLANK(OFFSET(A$1,,,SUMPRODUCT(MAX(ROW(E$1:E3278)*(E2=E$1:E3278))))))</f>
        <v> </v>
      </c>
      <c r="K3279" s="25" t="str">
        <f>IF(OR(E3279="",E3279="!!!",F3279="NEW"),"",INDEX(J$1:J3278,SUMPRODUCT(MAX(ROW(E$1:E3278)*(E3279=E$1:E3278)))))</f>
        <v> </v>
      </c>
      <c r="L3279" s="26"/>
    </row>
    <row r="3280" spans="1:12">
      <c r="A3280" s="20" t="s">
        <v>1128</v>
      </c>
      <c r="E3280" s="21">
        <f>IF(D3280="?OLD","!!!","")</f>
        <v/>
      </c>
      <c r="F3280" s="22" t="str">
        <f>IF(OR(E3280="",E3280="!!!"),"",IF(NOT(ISNA(VLOOKUP(E3280,E$1:E3279,1,FALSE()))),"OLD",IF(AND(E3280&lt;&gt;"",E3280&lt;&gt;"!!!"),"NEW","")))</f>
        <v> </v>
      </c>
      <c r="G3280" s="23" t="str">
        <f>IF(OR(E3280="",E3280="!!!"),"",IF(OR(J3280=0,AND(J3280=1,K3280=1),AND(J3280=1,I3280="SBJ"),AND(J3280=1,I3280=0)),"?IN_FOCUS",IF(J3280&lt;=2,"?ACTIVATED",IF(J3280&lt;&gt;"","?FAMILIAR",IF(F3280="NEW",IF(ISNA(VLOOKUP(E3280,#REF!,1,FALSE())),"?TYPE_IDENTIFIABLE","?REFERENTIAL"),"_")))))</f>
        <v> </v>
      </c>
      <c r="H3280" s="24" t="str">
        <f>IF(J3280&lt;&gt;1,"",IF(I3280="SBJ","CB","?"))</f>
        <v> </v>
      </c>
      <c r="I3280" s="25" t="str">
        <f>IF(OR(E3280="",E3280="!!!",F3280="NEW"),"",INDEX(B3279:B$2,-1+SUMPRODUCT(MAX(ROW(E3279:E$2)*(E3280=E3279:E$2)))))</f>
        <v> </v>
      </c>
      <c r="J3280" s="25" t="str">
        <f>IF(OR(E3280="",E3280="!!!",F3280="NEW"),"",COUNTBLANK(OFFSET(A$1,,,SUMPRODUCT(MAX(ROW(E$2:E3280)*(E3280=E$2:E3280)))))-COUNTBLANK(OFFSET(A$1,,,SUMPRODUCT(MAX(ROW(E$1:E3279)*(E2=E$1:E3279))))))</f>
        <v> </v>
      </c>
      <c r="K3280" s="25" t="str">
        <f>IF(OR(E3280="",E3280="!!!",F3280="NEW"),"",INDEX(J$1:J3279,SUMPRODUCT(MAX(ROW(E$1:E3279)*(E3280=E$1:E3279)))))</f>
        <v> </v>
      </c>
      <c r="L3280" s="26"/>
    </row>
    <row r="3281" spans="1:12">
      <c r="A3281" s="20" t="s">
        <v>2607</v>
      </c>
      <c r="E3281" s="21">
        <f>IF(D3281="?OLD","!!!","")</f>
        <v/>
      </c>
      <c r="F3281" s="22" t="str">
        <f>IF(OR(E3281="",E3281="!!!"),"",IF(NOT(ISNA(VLOOKUP(E3281,E$1:E3280,1,FALSE()))),"OLD",IF(AND(E3281&lt;&gt;"",E3281&lt;&gt;"!!!"),"NEW","")))</f>
        <v> </v>
      </c>
      <c r="G3281" s="23" t="str">
        <f>IF(OR(E3281="",E3281="!!!"),"",IF(OR(J3281=0,AND(J3281=1,K3281=1),AND(J3281=1,I3281="SBJ"),AND(J3281=1,I3281=0)),"?IN_FOCUS",IF(J3281&lt;=2,"?ACTIVATED",IF(J3281&lt;&gt;"","?FAMILIAR",IF(F3281="NEW",IF(ISNA(VLOOKUP(E3281,#REF!,1,FALSE())),"?TYPE_IDENTIFIABLE","?REFERENTIAL"),"_")))))</f>
        <v> </v>
      </c>
      <c r="H3281" s="24" t="str">
        <f>IF(J3281&lt;&gt;1,"",IF(I3281="SBJ","CB","?"))</f>
        <v> </v>
      </c>
      <c r="I3281" s="25" t="str">
        <f>IF(OR(E3281="",E3281="!!!",F3281="NEW"),"",INDEX(B3280:B$2,-1+SUMPRODUCT(MAX(ROW(E3280:E$2)*(E3281=E3280:E$2)))))</f>
        <v> </v>
      </c>
      <c r="J3281" s="25" t="str">
        <f>IF(OR(E3281="",E3281="!!!",F3281="NEW"),"",COUNTBLANK(OFFSET(A$1,,,SUMPRODUCT(MAX(ROW(E$2:E3281)*(E3281=E$2:E3281)))))-COUNTBLANK(OFFSET(A$1,,,SUMPRODUCT(MAX(ROW(E$1:E3280)*(E2=E$1:E3280))))))</f>
        <v> </v>
      </c>
      <c r="K3281" s="25" t="str">
        <f>IF(OR(E3281="",E3281="!!!",F3281="NEW"),"",INDEX(J$1:J3280,SUMPRODUCT(MAX(ROW(E$1:E3280)*(E3281=E$1:E3280)))))</f>
        <v> </v>
      </c>
      <c r="L3281" s="26"/>
    </row>
    <row r="3282" spans="1:12">
      <c r="A3282" s="20" t="s">
        <v>1145</v>
      </c>
      <c r="E3282" s="21">
        <f>IF(D3282="?OLD","!!!","")</f>
        <v/>
      </c>
      <c r="F3282" s="22" t="str">
        <f>IF(OR(E3282="",E3282="!!!"),"",IF(NOT(ISNA(VLOOKUP(E3282,E$1:E3281,1,FALSE()))),"OLD",IF(AND(E3282&lt;&gt;"",E3282&lt;&gt;"!!!"),"NEW","")))</f>
        <v> </v>
      </c>
      <c r="G3282" s="23" t="str">
        <f>IF(OR(E3282="",E3282="!!!"),"",IF(OR(J3282=0,AND(J3282=1,K3282=1),AND(J3282=1,I3282="SBJ"),AND(J3282=1,I3282=0)),"?IN_FOCUS",IF(J3282&lt;=2,"?ACTIVATED",IF(J3282&lt;&gt;"","?FAMILIAR",IF(F3282="NEW",IF(ISNA(VLOOKUP(E3282,#REF!,1,FALSE())),"?TYPE_IDENTIFIABLE","?REFERENTIAL"),"_")))))</f>
        <v> </v>
      </c>
      <c r="H3282" s="24" t="str">
        <f>IF(J3282&lt;&gt;1,"",IF(I3282="SBJ","CB","?"))</f>
        <v> </v>
      </c>
      <c r="I3282" s="25" t="str">
        <f>IF(OR(E3282="",E3282="!!!",F3282="NEW"),"",INDEX(B3281:B$2,-1+SUMPRODUCT(MAX(ROW(E3281:E$2)*(E3282=E3281:E$2)))))</f>
        <v> </v>
      </c>
      <c r="J3282" s="25" t="str">
        <f>IF(OR(E3282="",E3282="!!!",F3282="NEW"),"",COUNTBLANK(OFFSET(A$1,,,SUMPRODUCT(MAX(ROW(E$2:E3282)*(E3282=E$2:E3282)))))-COUNTBLANK(OFFSET(A$1,,,SUMPRODUCT(MAX(ROW(E$1:E3281)*(E2=E$1:E3281))))))</f>
        <v> </v>
      </c>
      <c r="K3282" s="25" t="str">
        <f>IF(OR(E3282="",E3282="!!!",F3282="NEW"),"",INDEX(J$1:J3281,SUMPRODUCT(MAX(ROW(E$1:E3281)*(E3282=E$1:E3281)))))</f>
        <v> </v>
      </c>
      <c r="L3282" s="26"/>
    </row>
    <row r="3283" spans="1:12">
      <c r="A3283" s="20"/>
    </row>
    <row r="3284" spans="1:12">
      <c r="A3284" s="20" t="s">
        <v>2608</v>
      </c>
    </row>
    <row r="3285" spans="1:12">
      <c r="A3285" s="20" t="s">
        <v>1111</v>
      </c>
      <c r="E3285" s="21">
        <f>IF(D3285="?OLD","!!!","")</f>
        <v/>
      </c>
      <c r="F3285" s="22" t="str">
        <f>IF(OR(E3285="",E3285="!!!"),"",IF(NOT(ISNA(VLOOKUP(E3285,E$1:E3284,1,FALSE()))),"OLD",IF(AND(E3285&lt;&gt;"",E3285&lt;&gt;"!!!"),"NEW","")))</f>
        <v> </v>
      </c>
      <c r="G3285" s="23" t="str">
        <f>IF(OR(E3285="",E3285="!!!"),"",IF(OR(J3285=0,AND(J3285=1,K3285=1),AND(J3285=1,I3285="SBJ"),AND(J3285=1,I3285=0)),"?IN_FOCUS",IF(J3285&lt;=2,"?ACTIVATED",IF(J3285&lt;&gt;"","?FAMILIAR",IF(F3285="NEW",IF(ISNA(VLOOKUP(E3285,#REF!,1,FALSE())),"?TYPE_IDENTIFIABLE","?REFERENTIAL"),"_")))))</f>
        <v> </v>
      </c>
      <c r="H3285" s="24" t="str">
        <f>IF(J3285&lt;&gt;1,"",IF(I3285="SBJ","CB","?"))</f>
        <v> </v>
      </c>
      <c r="I3285" s="25" t="str">
        <f>IF(OR(E3285="",E3285="!!!",F3285="NEW"),"",INDEX(B3284:B$2,-1+SUMPRODUCT(MAX(ROW(E3284:E$2)*(E3285=E3284:E$2)))))</f>
        <v> </v>
      </c>
      <c r="J3285" s="25" t="str">
        <f>IF(OR(E3285="",E3285="!!!",F3285="NEW"),"",COUNTBLANK(OFFSET(A$1,,,SUMPRODUCT(MAX(ROW(E$2:E3285)*(E3285=E$2:E3285)))))-COUNTBLANK(OFFSET(A$1,,,SUMPRODUCT(MAX(ROW(E$1:E3284)*(E2=E$1:E3284))))))</f>
        <v> </v>
      </c>
      <c r="K3285" s="25" t="str">
        <f>IF(OR(E3285="",E3285="!!!",F3285="NEW"),"",INDEX(J$1:J3284,SUMPRODUCT(MAX(ROW(E$1:E3284)*(E3285=E$1:E3284)))))</f>
        <v> </v>
      </c>
      <c r="L3285" s="26"/>
    </row>
    <row r="3286" spans="1:12">
      <c r="A3286" s="20" t="s">
        <v>1436</v>
      </c>
      <c r="E3286" s="21">
        <f>IF(D3286="?OLD","!!!","")</f>
        <v/>
      </c>
      <c r="F3286" s="22" t="str">
        <f>IF(OR(E3286="",E3286="!!!"),"",IF(NOT(ISNA(VLOOKUP(E3286,E$1:E3285,1,FALSE()))),"OLD",IF(AND(E3286&lt;&gt;"",E3286&lt;&gt;"!!!"),"NEW","")))</f>
        <v> </v>
      </c>
      <c r="G3286" s="23" t="str">
        <f>IF(OR(E3286="",E3286="!!!"),"",IF(OR(J3286=0,AND(J3286=1,K3286=1),AND(J3286=1,I3286="SBJ"),AND(J3286=1,I3286=0)),"?IN_FOCUS",IF(J3286&lt;=2,"?ACTIVATED",IF(J3286&lt;&gt;"","?FAMILIAR",IF(F3286="NEW",IF(ISNA(VLOOKUP(E3286,#REF!,1,FALSE())),"?TYPE_IDENTIFIABLE","?REFERENTIAL"),"_")))))</f>
        <v> </v>
      </c>
      <c r="H3286" s="24" t="str">
        <f>IF(J3286&lt;&gt;1,"",IF(I3286="SBJ","CB","?"))</f>
        <v> </v>
      </c>
      <c r="I3286" s="25" t="str">
        <f>IF(OR(E3286="",E3286="!!!",F3286="NEW"),"",INDEX(B3285:B$2,-1+SUMPRODUCT(MAX(ROW(E3285:E$2)*(E3286=E3285:E$2)))))</f>
        <v> </v>
      </c>
      <c r="J3286" s="25" t="str">
        <f>IF(OR(E3286="",E3286="!!!",F3286="NEW"),"",COUNTBLANK(OFFSET(A$1,,,SUMPRODUCT(MAX(ROW(E$2:E3286)*(E3286=E$2:E3286)))))-COUNTBLANK(OFFSET(A$1,,,SUMPRODUCT(MAX(ROW(E$1:E3285)*(E2=E$1:E3285))))))</f>
        <v> </v>
      </c>
      <c r="K3286" s="25" t="str">
        <f>IF(OR(E3286="",E3286="!!!",F3286="NEW"),"",INDEX(J$1:J3285,SUMPRODUCT(MAX(ROW(E$1:E3285)*(E3286=E$1:E3285)))))</f>
        <v> </v>
      </c>
      <c r="L3286" s="26"/>
    </row>
    <row r="3287" spans="1:12">
      <c r="A3287" s="20" t="s">
        <v>1123</v>
      </c>
      <c r="E3287" s="21">
        <f>IF(D3287="?OLD","!!!","")</f>
        <v/>
      </c>
      <c r="F3287" s="22" t="str">
        <f>IF(OR(E3287="",E3287="!!!"),"",IF(NOT(ISNA(VLOOKUP(E3287,E$1:E3286,1,FALSE()))),"OLD",IF(AND(E3287&lt;&gt;"",E3287&lt;&gt;"!!!"),"NEW","")))</f>
        <v> </v>
      </c>
      <c r="G3287" s="23" t="str">
        <f>IF(OR(E3287="",E3287="!!!"),"",IF(OR(J3287=0,AND(J3287=1,K3287=1),AND(J3287=1,I3287="SBJ"),AND(J3287=1,I3287=0)),"?IN_FOCUS",IF(J3287&lt;=2,"?ACTIVATED",IF(J3287&lt;&gt;"","?FAMILIAR",IF(F3287="NEW",IF(ISNA(VLOOKUP(E3287,#REF!,1,FALSE())),"?TYPE_IDENTIFIABLE","?REFERENTIAL"),"_")))))</f>
        <v> </v>
      </c>
      <c r="H3287" s="24" t="str">
        <f>IF(J3287&lt;&gt;1,"",IF(I3287="SBJ","CB","?"))</f>
        <v> </v>
      </c>
      <c r="I3287" s="25" t="str">
        <f>IF(OR(E3287="",E3287="!!!",F3287="NEW"),"",INDEX(B3286:B$2,-1+SUMPRODUCT(MAX(ROW(E3286:E$2)*(E3287=E3286:E$2)))))</f>
        <v> </v>
      </c>
      <c r="J3287" s="25" t="str">
        <f>IF(OR(E3287="",E3287="!!!",F3287="NEW"),"",COUNTBLANK(OFFSET(A$1,,,SUMPRODUCT(MAX(ROW(E$2:E3287)*(E3287=E$2:E3287)))))-COUNTBLANK(OFFSET(A$1,,,SUMPRODUCT(MAX(ROW(E$1:E3286)*(E2=E$1:E3286))))))</f>
        <v> </v>
      </c>
      <c r="K3287" s="25" t="str">
        <f>IF(OR(E3287="",E3287="!!!",F3287="NEW"),"",INDEX(J$1:J3286,SUMPRODUCT(MAX(ROW(E$1:E3286)*(E3287=E$1:E3286)))))</f>
        <v> </v>
      </c>
      <c r="L3287" s="26"/>
    </row>
    <row r="3288" spans="1:12">
      <c r="A3288" s="20" t="s">
        <v>2556</v>
      </c>
      <c r="B3288" s="27" t="s">
        <v>1149</v>
      </c>
      <c r="E3288" s="21">
        <f>IF(D3288="?OLD","!!!","")</f>
        <v/>
      </c>
      <c r="F3288" s="22" t="str">
        <f>IF(OR(E3288="",E3288="!!!"),"",IF(NOT(ISNA(VLOOKUP(E3288,E$1:E3287,1,FALSE()))),"OLD",IF(AND(E3288&lt;&gt;"",E3288&lt;&gt;"!!!"),"NEW","")))</f>
        <v> </v>
      </c>
      <c r="G3288" s="23" t="str">
        <f>IF(OR(E3288="",E3288="!!!"),"",IF(OR(J3288=0,AND(J3288=1,K3288=1),AND(J3288=1,I3288="SBJ"),AND(J3288=1,I3288=0)),"?IN_FOCUS",IF(J3288&lt;=2,"?ACTIVATED",IF(J3288&lt;&gt;"","?FAMILIAR",IF(F3288="NEW",IF(ISNA(VLOOKUP(E3288,#REF!,1,FALSE())),"?TYPE_IDENTIFIABLE","?REFERENTIAL"),"_")))))</f>
        <v> </v>
      </c>
      <c r="H3288" s="24" t="str">
        <f>IF(J3288&lt;&gt;1,"",IF(I3288="SBJ","CB","?"))</f>
        <v> </v>
      </c>
      <c r="I3288" s="25" t="str">
        <f>IF(OR(E3288="",E3288="!!!",F3288="NEW"),"",INDEX(B3287:B$2,-1+SUMPRODUCT(MAX(ROW(E3287:E$2)*(E3288=E3287:E$2)))))</f>
        <v> </v>
      </c>
      <c r="J3288" s="25" t="str">
        <f>IF(OR(E3288="",E3288="!!!",F3288="NEW"),"",COUNTBLANK(OFFSET(A$1,,,SUMPRODUCT(MAX(ROW(E$2:E3288)*(E3288=E$2:E3288)))))-COUNTBLANK(OFFSET(A$1,,,SUMPRODUCT(MAX(ROW(E$1:E3287)*(E2=E$1:E3287))))))</f>
        <v> </v>
      </c>
      <c r="K3288" s="25" t="str">
        <f>IF(OR(E3288="",E3288="!!!",F3288="NEW"),"",INDEX(J$1:J3287,SUMPRODUCT(MAX(ROW(E$1:E3287)*(E3288=E$1:E3287)))))</f>
        <v> </v>
      </c>
      <c r="L3288" s="26"/>
    </row>
    <row r="3289" spans="1:12">
      <c r="A3289" s="20" t="s">
        <v>1123</v>
      </c>
      <c r="E3289" s="21">
        <f>IF(D3289="?OLD","!!!","")</f>
        <v/>
      </c>
      <c r="F3289" s="22" t="str">
        <f>IF(OR(E3289="",E3289="!!!"),"",IF(NOT(ISNA(VLOOKUP(E3289,E$1:E3288,1,FALSE()))),"OLD",IF(AND(E3289&lt;&gt;"",E3289&lt;&gt;"!!!"),"NEW","")))</f>
        <v> </v>
      </c>
      <c r="G3289" s="23" t="str">
        <f>IF(OR(E3289="",E3289="!!!"),"",IF(OR(J3289=0,AND(J3289=1,K3289=1),AND(J3289=1,I3289="SBJ"),AND(J3289=1,I3289=0)),"?IN_FOCUS",IF(J3289&lt;=2,"?ACTIVATED",IF(J3289&lt;&gt;"","?FAMILIAR",IF(F3289="NEW",IF(ISNA(VLOOKUP(E3289,#REF!,1,FALSE())),"?TYPE_IDENTIFIABLE","?REFERENTIAL"),"_")))))</f>
        <v> </v>
      </c>
      <c r="H3289" s="24" t="str">
        <f>IF(J3289&lt;&gt;1,"",IF(I3289="SBJ","CB","?"))</f>
        <v> </v>
      </c>
      <c r="I3289" s="25" t="str">
        <f>IF(OR(E3289="",E3289="!!!",F3289="NEW"),"",INDEX(B3288:B$2,-1+SUMPRODUCT(MAX(ROW(E3288:E$2)*(E3289=E3288:E$2)))))</f>
        <v> </v>
      </c>
      <c r="J3289" s="25" t="str">
        <f>IF(OR(E3289="",E3289="!!!",F3289="NEW"),"",COUNTBLANK(OFFSET(A$1,,,SUMPRODUCT(MAX(ROW(E$2:E3289)*(E3289=E$2:E3289)))))-COUNTBLANK(OFFSET(A$1,,,SUMPRODUCT(MAX(ROW(E$1:E3288)*(E2=E$1:E3288))))))</f>
        <v> </v>
      </c>
      <c r="K3289" s="25" t="str">
        <f>IF(OR(E3289="",E3289="!!!",F3289="NEW"),"",INDEX(J$1:J3288,SUMPRODUCT(MAX(ROW(E$1:E3288)*(E3289=E$1:E3288)))))</f>
        <v> </v>
      </c>
      <c r="L3289" s="26"/>
    </row>
    <row r="3290" spans="1:12">
      <c r="A3290" s="20" t="s">
        <v>1318</v>
      </c>
      <c r="E3290" s="21">
        <f>IF(D3290="?OLD","!!!","")</f>
        <v/>
      </c>
      <c r="F3290" s="22" t="str">
        <f>IF(OR(E3290="",E3290="!!!"),"",IF(NOT(ISNA(VLOOKUP(E3290,E$1:E3289,1,FALSE()))),"OLD",IF(AND(E3290&lt;&gt;"",E3290&lt;&gt;"!!!"),"NEW","")))</f>
        <v> </v>
      </c>
      <c r="G3290" s="23" t="str">
        <f>IF(OR(E3290="",E3290="!!!"),"",IF(OR(J3290=0,AND(J3290=1,K3290=1),AND(J3290=1,I3290="SBJ"),AND(J3290=1,I3290=0)),"?IN_FOCUS",IF(J3290&lt;=2,"?ACTIVATED",IF(J3290&lt;&gt;"","?FAMILIAR",IF(F3290="NEW",IF(ISNA(VLOOKUP(E3290,#REF!,1,FALSE())),"?TYPE_IDENTIFIABLE","?REFERENTIAL"),"_")))))</f>
        <v> </v>
      </c>
      <c r="H3290" s="24" t="str">
        <f>IF(J3290&lt;&gt;1,"",IF(I3290="SBJ","CB","?"))</f>
        <v> </v>
      </c>
      <c r="I3290" s="25" t="str">
        <f>IF(OR(E3290="",E3290="!!!",F3290="NEW"),"",INDEX(B3289:B$2,-1+SUMPRODUCT(MAX(ROW(E3289:E$2)*(E3290=E3289:E$2)))))</f>
        <v> </v>
      </c>
      <c r="J3290" s="25" t="str">
        <f>IF(OR(E3290="",E3290="!!!",F3290="NEW"),"",COUNTBLANK(OFFSET(A$1,,,SUMPRODUCT(MAX(ROW(E$2:E3290)*(E3290=E$2:E3290)))))-COUNTBLANK(OFFSET(A$1,,,SUMPRODUCT(MAX(ROW(E$1:E3289)*(E2=E$1:E3289))))))</f>
        <v> </v>
      </c>
      <c r="K3290" s="25" t="str">
        <f>IF(OR(E3290="",E3290="!!!",F3290="NEW"),"",INDEX(J$1:J3289,SUMPRODUCT(MAX(ROW(E$1:E3289)*(E3290=E$1:E3289)))))</f>
        <v> </v>
      </c>
      <c r="L3290" s="26"/>
    </row>
    <row r="3291" spans="1:12">
      <c r="A3291" s="20" t="s">
        <v>1408</v>
      </c>
      <c r="B3291" s="27" t="s">
        <v>1103</v>
      </c>
      <c r="C3291" s="27" t="s">
        <v>1126</v>
      </c>
      <c r="D3291" s="27" t="s">
        <v>1105</v>
      </c>
      <c r="E3291" s="21">
        <f>IF(D3291="?OLD","!!!","")</f>
        <v/>
      </c>
      <c r="F3291" s="22" t="str">
        <f>IF(OR(E3291="",E3291="!!!"),"",IF(NOT(ISNA(VLOOKUP(E3291,E$1:E3290,1,FALSE()))),"OLD",IF(AND(E3291&lt;&gt;"",E3291&lt;&gt;"!!!"),"NEW","")))</f>
        <v> </v>
      </c>
      <c r="G3291" s="23" t="str">
        <f>IF(OR(E3291="",E3291="!!!"),"",IF(OR(J3291=0,AND(J3291=1,K3291=1),AND(J3291=1,I3291="SBJ"),AND(J3291=1,I3291=0)),"?IN_FOCUS",IF(J3291&lt;=2,"?ACTIVATED",IF(J3291&lt;&gt;"","?FAMILIAR",IF(F3291="NEW",IF(ISNA(VLOOKUP(E3291,#REF!,1,FALSE())),"?TYPE_IDENTIFIABLE","?REFERENTIAL"),"_")))))</f>
        <v> </v>
      </c>
      <c r="H3291" s="24" t="str">
        <f>IF(J3291&lt;&gt;1,"",IF(I3291="SBJ","CB","?"))</f>
        <v> </v>
      </c>
      <c r="I3291" s="25" t="str">
        <f>IF(OR(E3291="",E3291="!!!",F3291="NEW"),"",INDEX(B3290:B$2,-1+SUMPRODUCT(MAX(ROW(E3290:E$2)*(E3291=E3290:E$2)))))</f>
        <v> </v>
      </c>
      <c r="J3291" s="25" t="str">
        <f>IF(OR(E3291="",E3291="!!!",F3291="NEW"),"",COUNTBLANK(OFFSET(A$1,,,SUMPRODUCT(MAX(ROW(E$2:E3291)*(E3291=E$2:E3291)))))-COUNTBLANK(OFFSET(A$1,,,SUMPRODUCT(MAX(ROW(E$1:E3290)*(E2=E$1:E3290))))))</f>
        <v> </v>
      </c>
      <c r="K3291" s="25" t="str">
        <f>IF(OR(E3291="",E3291="!!!",F3291="NEW"),"",INDEX(J$1:J3290,SUMPRODUCT(MAX(ROW(E$1:E3290)*(E3291=E$1:E3290)))))</f>
        <v> </v>
      </c>
      <c r="L3291" s="26"/>
    </row>
    <row r="3292" spans="1:12">
      <c r="A3292" s="20" t="s">
        <v>224</v>
      </c>
      <c r="E3292" s="21">
        <f>IF(D3292="?OLD","!!!","")</f>
        <v/>
      </c>
      <c r="F3292" s="22" t="str">
        <f>IF(OR(E3292="",E3292="!!!"),"",IF(NOT(ISNA(VLOOKUP(E3292,E$1:E3291,1,FALSE()))),"OLD",IF(AND(E3292&lt;&gt;"",E3292&lt;&gt;"!!!"),"NEW","")))</f>
        <v> </v>
      </c>
      <c r="G3292" s="23" t="str">
        <f>IF(OR(E3292="",E3292="!!!"),"",IF(OR(J3292=0,AND(J3292=1,K3292=1),AND(J3292=1,I3292="SBJ"),AND(J3292=1,I3292=0)),"?IN_FOCUS",IF(J3292&lt;=2,"?ACTIVATED",IF(J3292&lt;&gt;"","?FAMILIAR",IF(F3292="NEW",IF(ISNA(VLOOKUP(E3292,#REF!,1,FALSE())),"?TYPE_IDENTIFIABLE","?REFERENTIAL"),"_")))))</f>
        <v> </v>
      </c>
      <c r="H3292" s="24" t="str">
        <f>IF(J3292&lt;&gt;1,"",IF(I3292="SBJ","CB","?"))</f>
        <v> </v>
      </c>
      <c r="I3292" s="25" t="str">
        <f>IF(OR(E3292="",E3292="!!!",F3292="NEW"),"",INDEX(B3291:B$2,-1+SUMPRODUCT(MAX(ROW(E3291:E$2)*(E3292=E3291:E$2)))))</f>
        <v> </v>
      </c>
      <c r="J3292" s="25" t="str">
        <f>IF(OR(E3292="",E3292="!!!",F3292="NEW"),"",COUNTBLANK(OFFSET(A$1,,,SUMPRODUCT(MAX(ROW(E$2:E3292)*(E3292=E$2:E3292)))))-COUNTBLANK(OFFSET(A$1,,,SUMPRODUCT(MAX(ROW(E$1:E3291)*(E2=E$1:E3291))))))</f>
        <v> </v>
      </c>
      <c r="K3292" s="25" t="str">
        <f>IF(OR(E3292="",E3292="!!!",F3292="NEW"),"",INDEX(J$1:J3291,SUMPRODUCT(MAX(ROW(E$1:E3291)*(E3292=E$1:E3291)))))</f>
        <v> </v>
      </c>
      <c r="L3292" s="26"/>
    </row>
    <row r="3293" spans="1:12">
      <c r="A3293" s="20" t="s">
        <v>2609</v>
      </c>
      <c r="E3293" s="21">
        <f>IF(D3293="?OLD","!!!","")</f>
        <v/>
      </c>
      <c r="F3293" s="22" t="str">
        <f>IF(OR(E3293="",E3293="!!!"),"",IF(NOT(ISNA(VLOOKUP(E3293,E$1:E3292,1,FALSE()))),"OLD",IF(AND(E3293&lt;&gt;"",E3293&lt;&gt;"!!!"),"NEW","")))</f>
        <v> </v>
      </c>
      <c r="G3293" s="23" t="str">
        <f>IF(OR(E3293="",E3293="!!!"),"",IF(OR(J3293=0,AND(J3293=1,K3293=1),AND(J3293=1,I3293="SBJ"),AND(J3293=1,I3293=0)),"?IN_FOCUS",IF(J3293&lt;=2,"?ACTIVATED",IF(J3293&lt;&gt;"","?FAMILIAR",IF(F3293="NEW",IF(ISNA(VLOOKUP(E3293,#REF!,1,FALSE())),"?TYPE_IDENTIFIABLE","?REFERENTIAL"),"_")))))</f>
        <v> </v>
      </c>
      <c r="H3293" s="24" t="str">
        <f>IF(J3293&lt;&gt;1,"",IF(I3293="SBJ","CB","?"))</f>
        <v> </v>
      </c>
      <c r="I3293" s="25" t="str">
        <f>IF(OR(E3293="",E3293="!!!",F3293="NEW"),"",INDEX(B3292:B$2,-1+SUMPRODUCT(MAX(ROW(E3292:E$2)*(E3293=E3292:E$2)))))</f>
        <v> </v>
      </c>
      <c r="J3293" s="25" t="str">
        <f>IF(OR(E3293="",E3293="!!!",F3293="NEW"),"",COUNTBLANK(OFFSET(A$1,,,SUMPRODUCT(MAX(ROW(E$2:E3293)*(E3293=E$2:E3293)))))-COUNTBLANK(OFFSET(A$1,,,SUMPRODUCT(MAX(ROW(E$1:E3292)*(E2=E$1:E3292))))))</f>
        <v> </v>
      </c>
      <c r="K3293" s="25" t="str">
        <f>IF(OR(E3293="",E3293="!!!",F3293="NEW"),"",INDEX(J$1:J3292,SUMPRODUCT(MAX(ROW(E$1:E3292)*(E3293=E$1:E3292)))))</f>
        <v> </v>
      </c>
      <c r="L3293" s="26"/>
    </row>
    <row r="3294" spans="1:12">
      <c r="A3294" s="20" t="s">
        <v>2610</v>
      </c>
      <c r="B3294" s="27" t="s">
        <v>1149</v>
      </c>
      <c r="C3294" s="27" t="s">
        <v>1289</v>
      </c>
      <c r="E3294" s="21">
        <f>IF(D3294="?OLD","!!!","")</f>
        <v/>
      </c>
      <c r="F3294" s="22" t="str">
        <f>IF(OR(E3294="",E3294="!!!"),"",IF(NOT(ISNA(VLOOKUP(E3294,E$1:E3293,1,FALSE()))),"OLD",IF(AND(E3294&lt;&gt;"",E3294&lt;&gt;"!!!"),"NEW","")))</f>
        <v> </v>
      </c>
      <c r="G3294" s="23" t="str">
        <f>IF(OR(E3294="",E3294="!!!"),"",IF(OR(J3294=0,AND(J3294=1,K3294=1),AND(J3294=1,I3294="SBJ"),AND(J3294=1,I3294=0)),"?IN_FOCUS",IF(J3294&lt;=2,"?ACTIVATED",IF(J3294&lt;&gt;"","?FAMILIAR",IF(F3294="NEW",IF(ISNA(VLOOKUP(E3294,#REF!,1,FALSE())),"?TYPE_IDENTIFIABLE","?REFERENTIAL"),"_")))))</f>
        <v> </v>
      </c>
      <c r="H3294" s="24" t="str">
        <f>IF(J3294&lt;&gt;1,"",IF(I3294="SBJ","CB","?"))</f>
        <v> </v>
      </c>
      <c r="I3294" s="25" t="str">
        <f>IF(OR(E3294="",E3294="!!!",F3294="NEW"),"",INDEX(B3293:B$2,-1+SUMPRODUCT(MAX(ROW(E3293:E$2)*(E3294=E3293:E$2)))))</f>
        <v> </v>
      </c>
      <c r="J3294" s="25" t="str">
        <f>IF(OR(E3294="",E3294="!!!",F3294="NEW"),"",COUNTBLANK(OFFSET(A$1,,,SUMPRODUCT(MAX(ROW(E$2:E3294)*(E3294=E$2:E3294)))))-COUNTBLANK(OFFSET(A$1,,,SUMPRODUCT(MAX(ROW(E$1:E3293)*(E2=E$1:E3293))))))</f>
        <v> </v>
      </c>
      <c r="K3294" s="25" t="str">
        <f>IF(OR(E3294="",E3294="!!!",F3294="NEW"),"",INDEX(J$1:J3293,SUMPRODUCT(MAX(ROW(E$1:E3293)*(E3294=E$1:E3293)))))</f>
        <v> </v>
      </c>
      <c r="L3294" s="26"/>
    </row>
    <row r="3295" spans="1:12">
      <c r="A3295" s="20" t="s">
        <v>2611</v>
      </c>
      <c r="E3295" s="21">
        <f>IF(D3295="?OLD","!!!","")</f>
        <v/>
      </c>
      <c r="F3295" s="22" t="str">
        <f>IF(OR(E3295="",E3295="!!!"),"",IF(NOT(ISNA(VLOOKUP(E3295,E$1:E3294,1,FALSE()))),"OLD",IF(AND(E3295&lt;&gt;"",E3295&lt;&gt;"!!!"),"NEW","")))</f>
        <v> </v>
      </c>
      <c r="G3295" s="23" t="str">
        <f>IF(OR(E3295="",E3295="!!!"),"",IF(OR(J3295=0,AND(J3295=1,K3295=1),AND(J3295=1,I3295="SBJ"),AND(J3295=1,I3295=0)),"?IN_FOCUS",IF(J3295&lt;=2,"?ACTIVATED",IF(J3295&lt;&gt;"","?FAMILIAR",IF(F3295="NEW",IF(ISNA(VLOOKUP(E3295,#REF!,1,FALSE())),"?TYPE_IDENTIFIABLE","?REFERENTIAL"),"_")))))</f>
        <v> </v>
      </c>
      <c r="H3295" s="24" t="str">
        <f>IF(J3295&lt;&gt;1,"",IF(I3295="SBJ","CB","?"))</f>
        <v> </v>
      </c>
      <c r="I3295" s="25" t="str">
        <f>IF(OR(E3295="",E3295="!!!",F3295="NEW"),"",INDEX(B3294:B$2,-1+SUMPRODUCT(MAX(ROW(E3294:E$2)*(E3295=E3294:E$2)))))</f>
        <v> </v>
      </c>
      <c r="J3295" s="25" t="str">
        <f>IF(OR(E3295="",E3295="!!!",F3295="NEW"),"",COUNTBLANK(OFFSET(A$1,,,SUMPRODUCT(MAX(ROW(E$2:E3295)*(E3295=E$2:E3295)))))-COUNTBLANK(OFFSET(A$1,,,SUMPRODUCT(MAX(ROW(E$1:E3294)*(E2=E$1:E3294))))))</f>
        <v> </v>
      </c>
      <c r="K3295" s="25" t="str">
        <f>IF(OR(E3295="",E3295="!!!",F3295="NEW"),"",INDEX(J$1:J3294,SUMPRODUCT(MAX(ROW(E$1:E3294)*(E3295=E$1:E3294)))))</f>
        <v> </v>
      </c>
      <c r="L3295" s="26"/>
    </row>
    <row r="3296" spans="1:12">
      <c r="A3296" s="20" t="s">
        <v>1166</v>
      </c>
      <c r="B3296" s="27" t="s">
        <v>1115</v>
      </c>
      <c r="C3296" s="27" t="s">
        <v>1126</v>
      </c>
      <c r="D3296" s="27" t="s">
        <v>1105</v>
      </c>
      <c r="E3296" s="21">
        <f>IF(D3296="?OLD","!!!","")</f>
        <v/>
      </c>
      <c r="F3296" s="22" t="str">
        <f>IF(OR(E3296="",E3296="!!!"),"",IF(NOT(ISNA(VLOOKUP(E3296,E$1:E3295,1,FALSE()))),"OLD",IF(AND(E3296&lt;&gt;"",E3296&lt;&gt;"!!!"),"NEW","")))</f>
        <v> </v>
      </c>
      <c r="G3296" s="23" t="str">
        <f>IF(OR(E3296="",E3296="!!!"),"",IF(OR(J3296=0,AND(J3296=1,K3296=1),AND(J3296=1,I3296="SBJ"),AND(J3296=1,I3296=0)),"?IN_FOCUS",IF(J3296&lt;=2,"?ACTIVATED",IF(J3296&lt;&gt;"","?FAMILIAR",IF(F3296="NEW",IF(ISNA(VLOOKUP(E3296,#REF!,1,FALSE())),"?TYPE_IDENTIFIABLE","?REFERENTIAL"),"_")))))</f>
        <v> </v>
      </c>
      <c r="H3296" s="24" t="str">
        <f>IF(J3296&lt;&gt;1,"",IF(I3296="SBJ","CB","?"))</f>
        <v> </v>
      </c>
      <c r="I3296" s="25" t="str">
        <f>IF(OR(E3296="",E3296="!!!",F3296="NEW"),"",INDEX(B3295:B$2,-1+SUMPRODUCT(MAX(ROW(E3295:E$2)*(E3296=E3295:E$2)))))</f>
        <v> </v>
      </c>
      <c r="J3296" s="25" t="str">
        <f>IF(OR(E3296="",E3296="!!!",F3296="NEW"),"",COUNTBLANK(OFFSET(A$1,,,SUMPRODUCT(MAX(ROW(E$2:E3296)*(E3296=E$2:E3296)))))-COUNTBLANK(OFFSET(A$1,,,SUMPRODUCT(MAX(ROW(E$1:E3295)*(E2=E$1:E3295))))))</f>
        <v> </v>
      </c>
      <c r="K3296" s="25" t="str">
        <f>IF(OR(E3296="",E3296="!!!",F3296="NEW"),"",INDEX(J$1:J3295,SUMPRODUCT(MAX(ROW(E$1:E3295)*(E3296=E$1:E3295)))))</f>
        <v> </v>
      </c>
      <c r="L3296" s="26"/>
    </row>
    <row r="3297" spans="1:12">
      <c r="A3297" s="20" t="s">
        <v>2612</v>
      </c>
      <c r="E3297" s="21">
        <f>IF(D3297="?OLD","!!!","")</f>
        <v/>
      </c>
      <c r="F3297" s="22" t="str">
        <f>IF(OR(E3297="",E3297="!!!"),"",IF(NOT(ISNA(VLOOKUP(E3297,E$1:E3296,1,FALSE()))),"OLD",IF(AND(E3297&lt;&gt;"",E3297&lt;&gt;"!!!"),"NEW","")))</f>
        <v> </v>
      </c>
      <c r="G3297" s="23" t="str">
        <f>IF(OR(E3297="",E3297="!!!"),"",IF(OR(J3297=0,AND(J3297=1,K3297=1),AND(J3297=1,I3297="SBJ"),AND(J3297=1,I3297=0)),"?IN_FOCUS",IF(J3297&lt;=2,"?ACTIVATED",IF(J3297&lt;&gt;"","?FAMILIAR",IF(F3297="NEW",IF(ISNA(VLOOKUP(E3297,#REF!,1,FALSE())),"?TYPE_IDENTIFIABLE","?REFERENTIAL"),"_")))))</f>
        <v> </v>
      </c>
      <c r="H3297" s="24" t="str">
        <f>IF(J3297&lt;&gt;1,"",IF(I3297="SBJ","CB","?"))</f>
        <v> </v>
      </c>
      <c r="I3297" s="25" t="str">
        <f>IF(OR(E3297="",E3297="!!!",F3297="NEW"),"",INDEX(B3296:B$2,-1+SUMPRODUCT(MAX(ROW(E3296:E$2)*(E3297=E3296:E$2)))))</f>
        <v> </v>
      </c>
      <c r="J3297" s="25" t="str">
        <f>IF(OR(E3297="",E3297="!!!",F3297="NEW"),"",COUNTBLANK(OFFSET(A$1,,,SUMPRODUCT(MAX(ROW(E$2:E3297)*(E3297=E$2:E3297)))))-COUNTBLANK(OFFSET(A$1,,,SUMPRODUCT(MAX(ROW(E$1:E3296)*(E2=E$1:E3296))))))</f>
        <v> </v>
      </c>
      <c r="K3297" s="25" t="str">
        <f>IF(OR(E3297="",E3297="!!!",F3297="NEW"),"",INDEX(J$1:J3296,SUMPRODUCT(MAX(ROW(E$1:E3296)*(E3297=E$1:E3296)))))</f>
        <v> </v>
      </c>
      <c r="L3297" s="26"/>
    </row>
    <row r="3298" spans="1:12">
      <c r="A3298" s="20" t="s">
        <v>1123</v>
      </c>
      <c r="E3298" s="21">
        <f>IF(D3298="?OLD","!!!","")</f>
        <v/>
      </c>
      <c r="F3298" s="22" t="str">
        <f>IF(OR(E3298="",E3298="!!!"),"",IF(NOT(ISNA(VLOOKUP(E3298,E$1:E3297,1,FALSE()))),"OLD",IF(AND(E3298&lt;&gt;"",E3298&lt;&gt;"!!!"),"NEW","")))</f>
        <v> </v>
      </c>
      <c r="G3298" s="23" t="str">
        <f>IF(OR(E3298="",E3298="!!!"),"",IF(OR(J3298=0,AND(J3298=1,K3298=1),AND(J3298=1,I3298="SBJ"),AND(J3298=1,I3298=0)),"?IN_FOCUS",IF(J3298&lt;=2,"?ACTIVATED",IF(J3298&lt;&gt;"","?FAMILIAR",IF(F3298="NEW",IF(ISNA(VLOOKUP(E3298,#REF!,1,FALSE())),"?TYPE_IDENTIFIABLE","?REFERENTIAL"),"_")))))</f>
        <v> </v>
      </c>
      <c r="H3298" s="24" t="str">
        <f>IF(J3298&lt;&gt;1,"",IF(I3298="SBJ","CB","?"))</f>
        <v> </v>
      </c>
      <c r="I3298" s="25" t="str">
        <f>IF(OR(E3298="",E3298="!!!",F3298="NEW"),"",INDEX(B3297:B$2,-1+SUMPRODUCT(MAX(ROW(E3297:E$2)*(E3298=E3297:E$2)))))</f>
        <v> </v>
      </c>
      <c r="J3298" s="25" t="str">
        <f>IF(OR(E3298="",E3298="!!!",F3298="NEW"),"",COUNTBLANK(OFFSET(A$1,,,SUMPRODUCT(MAX(ROW(E$2:E3298)*(E3298=E$2:E3298)))))-COUNTBLANK(OFFSET(A$1,,,SUMPRODUCT(MAX(ROW(E$1:E3297)*(E2=E$1:E3297))))))</f>
        <v> </v>
      </c>
      <c r="K3298" s="25" t="str">
        <f>IF(OR(E3298="",E3298="!!!",F3298="NEW"),"",INDEX(J$1:J3297,SUMPRODUCT(MAX(ROW(E$1:E3297)*(E3298=E$1:E3297)))))</f>
        <v> </v>
      </c>
      <c r="L3298" s="26"/>
    </row>
    <row r="3299" spans="1:12">
      <c r="A3299" s="20" t="s">
        <v>1111</v>
      </c>
      <c r="E3299" s="21">
        <f>IF(D3299="?OLD","!!!","")</f>
        <v/>
      </c>
      <c r="F3299" s="22" t="str">
        <f>IF(OR(E3299="",E3299="!!!"),"",IF(NOT(ISNA(VLOOKUP(E3299,E$1:E3298,1,FALSE()))),"OLD",IF(AND(E3299&lt;&gt;"",E3299&lt;&gt;"!!!"),"NEW","")))</f>
        <v> </v>
      </c>
      <c r="G3299" s="23" t="str">
        <f>IF(OR(E3299="",E3299="!!!"),"",IF(OR(J3299=0,AND(J3299=1,K3299=1),AND(J3299=1,I3299="SBJ"),AND(J3299=1,I3299=0)),"?IN_FOCUS",IF(J3299&lt;=2,"?ACTIVATED",IF(J3299&lt;&gt;"","?FAMILIAR",IF(F3299="NEW",IF(ISNA(VLOOKUP(E3299,#REF!,1,FALSE())),"?TYPE_IDENTIFIABLE","?REFERENTIAL"),"_")))))</f>
        <v> </v>
      </c>
      <c r="H3299" s="24" t="str">
        <f>IF(J3299&lt;&gt;1,"",IF(I3299="SBJ","CB","?"))</f>
        <v> </v>
      </c>
      <c r="I3299" s="25" t="str">
        <f>IF(OR(E3299="",E3299="!!!",F3299="NEW"),"",INDEX(B3298:B$2,-1+SUMPRODUCT(MAX(ROW(E3298:E$2)*(E3299=E3298:E$2)))))</f>
        <v> </v>
      </c>
      <c r="J3299" s="25" t="str">
        <f>IF(OR(E3299="",E3299="!!!",F3299="NEW"),"",COUNTBLANK(OFFSET(A$1,,,SUMPRODUCT(MAX(ROW(E$2:E3299)*(E3299=E$2:E3299)))))-COUNTBLANK(OFFSET(A$1,,,SUMPRODUCT(MAX(ROW(E$1:E3298)*(E2=E$1:E3298))))))</f>
        <v> </v>
      </c>
      <c r="K3299" s="25" t="str">
        <f>IF(OR(E3299="",E3299="!!!",F3299="NEW"),"",INDEX(J$1:J3298,SUMPRODUCT(MAX(ROW(E$1:E3298)*(E3299=E$1:E3298)))))</f>
        <v> </v>
      </c>
      <c r="L3299" s="26"/>
    </row>
    <row r="3300" spans="1:12">
      <c r="A3300" s="20" t="s">
        <v>1425</v>
      </c>
      <c r="E3300" s="21">
        <f>IF(D3300="?OLD","!!!","")</f>
        <v/>
      </c>
      <c r="F3300" s="22" t="str">
        <f>IF(OR(E3300="",E3300="!!!"),"",IF(NOT(ISNA(VLOOKUP(E3300,E$1:E3299,1,FALSE()))),"OLD",IF(AND(E3300&lt;&gt;"",E3300&lt;&gt;"!!!"),"NEW","")))</f>
        <v> </v>
      </c>
      <c r="G3300" s="23" t="str">
        <f>IF(OR(E3300="",E3300="!!!"),"",IF(OR(J3300=0,AND(J3300=1,K3300=1),AND(J3300=1,I3300="SBJ"),AND(J3300=1,I3300=0)),"?IN_FOCUS",IF(J3300&lt;=2,"?ACTIVATED",IF(J3300&lt;&gt;"","?FAMILIAR",IF(F3300="NEW",IF(ISNA(VLOOKUP(E3300,#REF!,1,FALSE())),"?TYPE_IDENTIFIABLE","?REFERENTIAL"),"_")))))</f>
        <v> </v>
      </c>
      <c r="H3300" s="24" t="str">
        <f>IF(J3300&lt;&gt;1,"",IF(I3300="SBJ","CB","?"))</f>
        <v> </v>
      </c>
      <c r="I3300" s="25" t="str">
        <f>IF(OR(E3300="",E3300="!!!",F3300="NEW"),"",INDEX(B3299:B$2,-1+SUMPRODUCT(MAX(ROW(E3299:E$2)*(E3300=E3299:E$2)))))</f>
        <v> </v>
      </c>
      <c r="J3300" s="25" t="str">
        <f>IF(OR(E3300="",E3300="!!!",F3300="NEW"),"",COUNTBLANK(OFFSET(A$1,,,SUMPRODUCT(MAX(ROW(E$2:E3300)*(E3300=E$2:E3300)))))-COUNTBLANK(OFFSET(A$1,,,SUMPRODUCT(MAX(ROW(E$1:E3299)*(E2=E$1:E3299))))))</f>
        <v> </v>
      </c>
      <c r="K3300" s="25" t="str">
        <f>IF(OR(E3300="",E3300="!!!",F3300="NEW"),"",INDEX(J$1:J3299,SUMPRODUCT(MAX(ROW(E$1:E3299)*(E3300=E$1:E3299)))))</f>
        <v> </v>
      </c>
      <c r="L3300" s="26"/>
    </row>
    <row r="3301" spans="1:12">
      <c r="A3301" s="20" t="s">
        <v>1225</v>
      </c>
      <c r="B3301" s="27" t="s">
        <v>1122</v>
      </c>
      <c r="C3301" s="27" t="s">
        <v>1108</v>
      </c>
      <c r="D3301" s="27" t="s">
        <v>1105</v>
      </c>
      <c r="E3301" s="21">
        <f>IF(D3301="?OLD","!!!","")</f>
        <v/>
      </c>
      <c r="F3301" s="22" t="str">
        <f>IF(OR(E3301="",E3301="!!!"),"",IF(NOT(ISNA(VLOOKUP(E3301,E$1:E3300,1,FALSE()))),"OLD",IF(AND(E3301&lt;&gt;"",E3301&lt;&gt;"!!!"),"NEW","")))</f>
        <v> </v>
      </c>
      <c r="G3301" s="23" t="str">
        <f>IF(OR(E3301="",E3301="!!!"),"",IF(OR(J3301=0,AND(J3301=1,K3301=1),AND(J3301=1,I3301="SBJ"),AND(J3301=1,I3301=0)),"?IN_FOCUS",IF(J3301&lt;=2,"?ACTIVATED",IF(J3301&lt;&gt;"","?FAMILIAR",IF(F3301="NEW",IF(ISNA(VLOOKUP(E3301,#REF!,1,FALSE())),"?TYPE_IDENTIFIABLE","?REFERENTIAL"),"_")))))</f>
        <v> </v>
      </c>
      <c r="H3301" s="24" t="str">
        <f>IF(J3301&lt;&gt;1,"",IF(I3301="SBJ","CB","?"))</f>
        <v> </v>
      </c>
      <c r="I3301" s="25" t="str">
        <f>IF(OR(E3301="",E3301="!!!",F3301="NEW"),"",INDEX(B3300:B$2,-1+SUMPRODUCT(MAX(ROW(E3300:E$2)*(E3301=E3300:E$2)))))</f>
        <v> </v>
      </c>
      <c r="J3301" s="25" t="str">
        <f>IF(OR(E3301="",E3301="!!!",F3301="NEW"),"",COUNTBLANK(OFFSET(A$1,,,SUMPRODUCT(MAX(ROW(E$2:E3301)*(E3301=E$2:E3301)))))-COUNTBLANK(OFFSET(A$1,,,SUMPRODUCT(MAX(ROW(E$1:E3300)*(E2=E$1:E3300))))))</f>
        <v> </v>
      </c>
      <c r="K3301" s="25" t="str">
        <f>IF(OR(E3301="",E3301="!!!",F3301="NEW"),"",INDEX(J$1:J3300,SUMPRODUCT(MAX(ROW(E$1:E3300)*(E3301=E$1:E3300)))))</f>
        <v> </v>
      </c>
      <c r="L3301" s="26"/>
    </row>
    <row r="3302" spans="1:12">
      <c r="A3302" s="20" t="s">
        <v>1145</v>
      </c>
      <c r="E3302" s="21">
        <f>IF(D3302="?OLD","!!!","")</f>
        <v/>
      </c>
      <c r="F3302" s="22" t="str">
        <f>IF(OR(E3302="",E3302="!!!"),"",IF(NOT(ISNA(VLOOKUP(E3302,E$1:E3301,1,FALSE()))),"OLD",IF(AND(E3302&lt;&gt;"",E3302&lt;&gt;"!!!"),"NEW","")))</f>
        <v> </v>
      </c>
      <c r="G3302" s="23" t="str">
        <f>IF(OR(E3302="",E3302="!!!"),"",IF(OR(J3302=0,AND(J3302=1,K3302=1),AND(J3302=1,I3302="SBJ"),AND(J3302=1,I3302=0)),"?IN_FOCUS",IF(J3302&lt;=2,"?ACTIVATED",IF(J3302&lt;&gt;"","?FAMILIAR",IF(F3302="NEW",IF(ISNA(VLOOKUP(E3302,#REF!,1,FALSE())),"?TYPE_IDENTIFIABLE","?REFERENTIAL"),"_")))))</f>
        <v> </v>
      </c>
      <c r="H3302" s="24" t="str">
        <f>IF(J3302&lt;&gt;1,"",IF(I3302="SBJ","CB","?"))</f>
        <v> </v>
      </c>
      <c r="I3302" s="25" t="str">
        <f>IF(OR(E3302="",E3302="!!!",F3302="NEW"),"",INDEX(B3301:B$2,-1+SUMPRODUCT(MAX(ROW(E3301:E$2)*(E3302=E3301:E$2)))))</f>
        <v> </v>
      </c>
      <c r="J3302" s="25" t="str">
        <f>IF(OR(E3302="",E3302="!!!",F3302="NEW"),"",COUNTBLANK(OFFSET(A$1,,,SUMPRODUCT(MAX(ROW(E$2:E3302)*(E3302=E$2:E3302)))))-COUNTBLANK(OFFSET(A$1,,,SUMPRODUCT(MAX(ROW(E$1:E3301)*(E2=E$1:E3301))))))</f>
        <v> </v>
      </c>
      <c r="K3302" s="25" t="str">
        <f>IF(OR(E3302="",E3302="!!!",F3302="NEW"),"",INDEX(J$1:J3301,SUMPRODUCT(MAX(ROW(E$1:E3301)*(E3302=E$1:E3301)))))</f>
        <v> </v>
      </c>
      <c r="L3302" s="26"/>
    </row>
    <row r="3303" spans="1:12">
      <c r="A3303" s="20"/>
    </row>
    <row r="3304" spans="1:12">
      <c r="A3304" s="20" t="s">
        <v>2613</v>
      </c>
    </row>
    <row r="3305" spans="1:12">
      <c r="A3305" s="20" t="s">
        <v>1111</v>
      </c>
      <c r="E3305" s="21">
        <f>IF(D3305="?OLD","!!!","")</f>
        <v/>
      </c>
      <c r="F3305" s="22" t="str">
        <f>IF(OR(E3305="",E3305="!!!"),"",IF(NOT(ISNA(VLOOKUP(E3305,E$1:E3304,1,FALSE()))),"OLD",IF(AND(E3305&lt;&gt;"",E3305&lt;&gt;"!!!"),"NEW","")))</f>
        <v> </v>
      </c>
      <c r="G3305" s="23" t="str">
        <f>IF(OR(E3305="",E3305="!!!"),"",IF(OR(J3305=0,AND(J3305=1,K3305=1),AND(J3305=1,I3305="SBJ"),AND(J3305=1,I3305=0)),"?IN_FOCUS",IF(J3305&lt;=2,"?ACTIVATED",IF(J3305&lt;&gt;"","?FAMILIAR",IF(F3305="NEW",IF(ISNA(VLOOKUP(E3305,#REF!,1,FALSE())),"?TYPE_IDENTIFIABLE","?REFERENTIAL"),"_")))))</f>
        <v> </v>
      </c>
      <c r="H3305" s="24" t="str">
        <f>IF(J3305&lt;&gt;1,"",IF(I3305="SBJ","CB","?"))</f>
        <v> </v>
      </c>
      <c r="I3305" s="25" t="str">
        <f>IF(OR(E3305="",E3305="!!!",F3305="NEW"),"",INDEX(B3304:B$2,-1+SUMPRODUCT(MAX(ROW(E3304:E$2)*(E3305=E3304:E$2)))))</f>
        <v> </v>
      </c>
      <c r="J3305" s="25" t="str">
        <f>IF(OR(E3305="",E3305="!!!",F3305="NEW"),"",COUNTBLANK(OFFSET(A$1,,,SUMPRODUCT(MAX(ROW(E$2:E3305)*(E3305=E$2:E3305)))))-COUNTBLANK(OFFSET(A$1,,,SUMPRODUCT(MAX(ROW(E$1:E3304)*(E2=E$1:E3304))))))</f>
        <v> </v>
      </c>
      <c r="K3305" s="25" t="str">
        <f>IF(OR(E3305="",E3305="!!!",F3305="NEW"),"",INDEX(J$1:J3304,SUMPRODUCT(MAX(ROW(E$1:E3304)*(E3305=E$1:E3304)))))</f>
        <v> </v>
      </c>
      <c r="L3305" s="26"/>
    </row>
    <row r="3306" spans="1:12">
      <c r="A3306" s="20" t="s">
        <v>2614</v>
      </c>
      <c r="E3306" s="21">
        <f>IF(D3306="?OLD","!!!","")</f>
        <v/>
      </c>
      <c r="F3306" s="22" t="str">
        <f>IF(OR(E3306="",E3306="!!!"),"",IF(NOT(ISNA(VLOOKUP(E3306,E$1:E3305,1,FALSE()))),"OLD",IF(AND(E3306&lt;&gt;"",E3306&lt;&gt;"!!!"),"NEW","")))</f>
        <v> </v>
      </c>
      <c r="G3306" s="23" t="str">
        <f>IF(OR(E3306="",E3306="!!!"),"",IF(OR(J3306=0,AND(J3306=1,K3306=1),AND(J3306=1,I3306="SBJ"),AND(J3306=1,I3306=0)),"?IN_FOCUS",IF(J3306&lt;=2,"?ACTIVATED",IF(J3306&lt;&gt;"","?FAMILIAR",IF(F3306="NEW",IF(ISNA(VLOOKUP(E3306,#REF!,1,FALSE())),"?TYPE_IDENTIFIABLE","?REFERENTIAL"),"_")))))</f>
        <v> </v>
      </c>
      <c r="H3306" s="24" t="str">
        <f>IF(J3306&lt;&gt;1,"",IF(I3306="SBJ","CB","?"))</f>
        <v> </v>
      </c>
      <c r="I3306" s="25" t="str">
        <f>IF(OR(E3306="",E3306="!!!",F3306="NEW"),"",INDEX(B3305:B$2,-1+SUMPRODUCT(MAX(ROW(E3305:E$2)*(E3306=E3305:E$2)))))</f>
        <v> </v>
      </c>
      <c r="J3306" s="25" t="str">
        <f>IF(OR(E3306="",E3306="!!!",F3306="NEW"),"",COUNTBLANK(OFFSET(A$1,,,SUMPRODUCT(MAX(ROW(E$2:E3306)*(E3306=E$2:E3306)))))-COUNTBLANK(OFFSET(A$1,,,SUMPRODUCT(MAX(ROW(E$1:E3305)*(E2=E$1:E3305))))))</f>
        <v> </v>
      </c>
      <c r="K3306" s="25" t="str">
        <f>IF(OR(E3306="",E3306="!!!",F3306="NEW"),"",INDEX(J$1:J3305,SUMPRODUCT(MAX(ROW(E$1:E3305)*(E3306=E$1:E3305)))))</f>
        <v> </v>
      </c>
      <c r="L3306" s="26"/>
    </row>
    <row r="3307" spans="1:12">
      <c r="A3307" s="20" t="s">
        <v>2615</v>
      </c>
      <c r="E3307" s="21">
        <f>IF(D3307="?OLD","!!!","")</f>
        <v/>
      </c>
      <c r="F3307" s="22" t="str">
        <f>IF(OR(E3307="",E3307="!!!"),"",IF(NOT(ISNA(VLOOKUP(E3307,E$1:E3306,1,FALSE()))),"OLD",IF(AND(E3307&lt;&gt;"",E3307&lt;&gt;"!!!"),"NEW","")))</f>
        <v> </v>
      </c>
      <c r="G3307" s="23" t="str">
        <f>IF(OR(E3307="",E3307="!!!"),"",IF(OR(J3307=0,AND(J3307=1,K3307=1),AND(J3307=1,I3307="SBJ"),AND(J3307=1,I3307=0)),"?IN_FOCUS",IF(J3307&lt;=2,"?ACTIVATED",IF(J3307&lt;&gt;"","?FAMILIAR",IF(F3307="NEW",IF(ISNA(VLOOKUP(E3307,#REF!,1,FALSE())),"?TYPE_IDENTIFIABLE","?REFERENTIAL"),"_")))))</f>
        <v> </v>
      </c>
      <c r="H3307" s="24" t="str">
        <f>IF(J3307&lt;&gt;1,"",IF(I3307="SBJ","CB","?"))</f>
        <v> </v>
      </c>
      <c r="I3307" s="25" t="str">
        <f>IF(OR(E3307="",E3307="!!!",F3307="NEW"),"",INDEX(B3306:B$2,-1+SUMPRODUCT(MAX(ROW(E3306:E$2)*(E3307=E3306:E$2)))))</f>
        <v> </v>
      </c>
      <c r="J3307" s="25" t="str">
        <f>IF(OR(E3307="",E3307="!!!",F3307="NEW"),"",COUNTBLANK(OFFSET(A$1,,,SUMPRODUCT(MAX(ROW(E$2:E3307)*(E3307=E$2:E3307)))))-COUNTBLANK(OFFSET(A$1,,,SUMPRODUCT(MAX(ROW(E$1:E3306)*(E2=E$1:E3306))))))</f>
        <v> </v>
      </c>
      <c r="K3307" s="25" t="str">
        <f>IF(OR(E3307="",E3307="!!!",F3307="NEW"),"",INDEX(J$1:J3306,SUMPRODUCT(MAX(ROW(E$1:E3306)*(E3307=E$1:E3306)))))</f>
        <v> </v>
      </c>
      <c r="L3307" s="26"/>
    </row>
    <row r="3308" spans="1:12">
      <c r="A3308" s="20" t="s">
        <v>1616</v>
      </c>
      <c r="E3308" s="21">
        <f>IF(D3308="?OLD","!!!","")</f>
        <v/>
      </c>
      <c r="F3308" s="22" t="str">
        <f>IF(OR(E3308="",E3308="!!!"),"",IF(NOT(ISNA(VLOOKUP(E3308,E$1:E3307,1,FALSE()))),"OLD",IF(AND(E3308&lt;&gt;"",E3308&lt;&gt;"!!!"),"NEW","")))</f>
        <v> </v>
      </c>
      <c r="G3308" s="23" t="str">
        <f>IF(OR(E3308="",E3308="!!!"),"",IF(OR(J3308=0,AND(J3308=1,K3308=1),AND(J3308=1,I3308="SBJ"),AND(J3308=1,I3308=0)),"?IN_FOCUS",IF(J3308&lt;=2,"?ACTIVATED",IF(J3308&lt;&gt;"","?FAMILIAR",IF(F3308="NEW",IF(ISNA(VLOOKUP(E3308,#REF!,1,FALSE())),"?TYPE_IDENTIFIABLE","?REFERENTIAL"),"_")))))</f>
        <v> </v>
      </c>
      <c r="H3308" s="24" t="str">
        <f>IF(J3308&lt;&gt;1,"",IF(I3308="SBJ","CB","?"))</f>
        <v> </v>
      </c>
      <c r="I3308" s="25" t="str">
        <f>IF(OR(E3308="",E3308="!!!",F3308="NEW"),"",INDEX(B3307:B$2,-1+SUMPRODUCT(MAX(ROW(E3307:E$2)*(E3308=E3307:E$2)))))</f>
        <v> </v>
      </c>
      <c r="J3308" s="25" t="str">
        <f>IF(OR(E3308="",E3308="!!!",F3308="NEW"),"",COUNTBLANK(OFFSET(A$1,,,SUMPRODUCT(MAX(ROW(E$2:E3308)*(E3308=E$2:E3308)))))-COUNTBLANK(OFFSET(A$1,,,SUMPRODUCT(MAX(ROW(E$1:E3307)*(E2=E$1:E3307))))))</f>
        <v> </v>
      </c>
      <c r="K3308" s="25" t="str">
        <f>IF(OR(E3308="",E3308="!!!",F3308="NEW"),"",INDEX(J$1:J3307,SUMPRODUCT(MAX(ROW(E$1:E3307)*(E3308=E$1:E3307)))))</f>
        <v> </v>
      </c>
      <c r="L3308" s="26"/>
    </row>
    <row r="3309" spans="1:12">
      <c r="A3309" s="20" t="s">
        <v>1123</v>
      </c>
      <c r="E3309" s="21">
        <f>IF(D3309="?OLD","!!!","")</f>
        <v/>
      </c>
      <c r="F3309" s="22" t="str">
        <f>IF(OR(E3309="",E3309="!!!"),"",IF(NOT(ISNA(VLOOKUP(E3309,E$1:E3308,1,FALSE()))),"OLD",IF(AND(E3309&lt;&gt;"",E3309&lt;&gt;"!!!"),"NEW","")))</f>
        <v> </v>
      </c>
      <c r="G3309" s="23" t="str">
        <f>IF(OR(E3309="",E3309="!!!"),"",IF(OR(J3309=0,AND(J3309=1,K3309=1),AND(J3309=1,I3309="SBJ"),AND(J3309=1,I3309=0)),"?IN_FOCUS",IF(J3309&lt;=2,"?ACTIVATED",IF(J3309&lt;&gt;"","?FAMILIAR",IF(F3309="NEW",IF(ISNA(VLOOKUP(E3309,#REF!,1,FALSE())),"?TYPE_IDENTIFIABLE","?REFERENTIAL"),"_")))))</f>
        <v> </v>
      </c>
      <c r="H3309" s="24" t="str">
        <f>IF(J3309&lt;&gt;1,"",IF(I3309="SBJ","CB","?"))</f>
        <v> </v>
      </c>
      <c r="I3309" s="25" t="str">
        <f>IF(OR(E3309="",E3309="!!!",F3309="NEW"),"",INDEX(B3308:B$2,-1+SUMPRODUCT(MAX(ROW(E3308:E$2)*(E3309=E3308:E$2)))))</f>
        <v> </v>
      </c>
      <c r="J3309" s="25" t="str">
        <f>IF(OR(E3309="",E3309="!!!",F3309="NEW"),"",COUNTBLANK(OFFSET(A$1,,,SUMPRODUCT(MAX(ROW(E$2:E3309)*(E3309=E$2:E3309)))))-COUNTBLANK(OFFSET(A$1,,,SUMPRODUCT(MAX(ROW(E$1:E3308)*(E2=E$1:E3308))))))</f>
        <v> </v>
      </c>
      <c r="K3309" s="25" t="str">
        <f>IF(OR(E3309="",E3309="!!!",F3309="NEW"),"",INDEX(J$1:J3308,SUMPRODUCT(MAX(ROW(E$1:E3308)*(E3309=E$1:E3308)))))</f>
        <v> </v>
      </c>
      <c r="L3309" s="26"/>
    </row>
    <row r="3310" spans="1:12">
      <c r="A3310" s="20" t="s">
        <v>228</v>
      </c>
      <c r="E3310" s="21">
        <f>IF(D3310="?OLD","!!!","")</f>
        <v/>
      </c>
      <c r="F3310" s="22" t="str">
        <f>IF(OR(E3310="",E3310="!!!"),"",IF(NOT(ISNA(VLOOKUP(E3310,E$1:E3309,1,FALSE()))),"OLD",IF(AND(E3310&lt;&gt;"",E3310&lt;&gt;"!!!"),"NEW","")))</f>
        <v> </v>
      </c>
      <c r="G3310" s="23" t="str">
        <f>IF(OR(E3310="",E3310="!!!"),"",IF(OR(J3310=0,AND(J3310=1,K3310=1),AND(J3310=1,I3310="SBJ"),AND(J3310=1,I3310=0)),"?IN_FOCUS",IF(J3310&lt;=2,"?ACTIVATED",IF(J3310&lt;&gt;"","?FAMILIAR",IF(F3310="NEW",IF(ISNA(VLOOKUP(E3310,#REF!,1,FALSE())),"?TYPE_IDENTIFIABLE","?REFERENTIAL"),"_")))))</f>
        <v> </v>
      </c>
      <c r="H3310" s="24" t="str">
        <f>IF(J3310&lt;&gt;1,"",IF(I3310="SBJ","CB","?"))</f>
        <v> </v>
      </c>
      <c r="I3310" s="25" t="str">
        <f>IF(OR(E3310="",E3310="!!!",F3310="NEW"),"",INDEX(B3309:B$2,-1+SUMPRODUCT(MAX(ROW(E3309:E$2)*(E3310=E3309:E$2)))))</f>
        <v> </v>
      </c>
      <c r="J3310" s="25" t="str">
        <f>IF(OR(E3310="",E3310="!!!",F3310="NEW"),"",COUNTBLANK(OFFSET(A$1,,,SUMPRODUCT(MAX(ROW(E$2:E3310)*(E3310=E$2:E3310)))))-COUNTBLANK(OFFSET(A$1,,,SUMPRODUCT(MAX(ROW(E$1:E3309)*(E2=E$1:E3309))))))</f>
        <v> </v>
      </c>
      <c r="K3310" s="25" t="str">
        <f>IF(OR(E3310="",E3310="!!!",F3310="NEW"),"",INDEX(J$1:J3309,SUMPRODUCT(MAX(ROW(E$1:E3309)*(E3310=E$1:E3309)))))</f>
        <v> </v>
      </c>
      <c r="L3310" s="26"/>
    </row>
    <row r="3311" spans="1:12">
      <c r="A3311" s="20" t="s">
        <v>1186</v>
      </c>
      <c r="B3311" s="27" t="s">
        <v>1115</v>
      </c>
      <c r="C3311" s="27" t="s">
        <v>1126</v>
      </c>
      <c r="D3311" s="27" t="s">
        <v>1105</v>
      </c>
      <c r="E3311" s="21">
        <f>IF(D3311="?OLD","!!!","")</f>
        <v/>
      </c>
      <c r="F3311" s="22" t="str">
        <f>IF(OR(E3311="",E3311="!!!"),"",IF(NOT(ISNA(VLOOKUP(E3311,E$1:E3310,1,FALSE()))),"OLD",IF(AND(E3311&lt;&gt;"",E3311&lt;&gt;"!!!"),"NEW","")))</f>
        <v> </v>
      </c>
      <c r="G3311" s="23" t="str">
        <f>IF(OR(E3311="",E3311="!!!"),"",IF(OR(J3311=0,AND(J3311=1,K3311=1),AND(J3311=1,I3311="SBJ"),AND(J3311=1,I3311=0)),"?IN_FOCUS",IF(J3311&lt;=2,"?ACTIVATED",IF(J3311&lt;&gt;"","?FAMILIAR",IF(F3311="NEW",IF(ISNA(VLOOKUP(E3311,#REF!,1,FALSE())),"?TYPE_IDENTIFIABLE","?REFERENTIAL"),"_")))))</f>
        <v> </v>
      </c>
      <c r="H3311" s="24" t="str">
        <f>IF(J3311&lt;&gt;1,"",IF(I3311="SBJ","CB","?"))</f>
        <v> </v>
      </c>
      <c r="I3311" s="25" t="str">
        <f>IF(OR(E3311="",E3311="!!!",F3311="NEW"),"",INDEX(B3310:B$2,-1+SUMPRODUCT(MAX(ROW(E3310:E$2)*(E3311=E3310:E$2)))))</f>
        <v> </v>
      </c>
      <c r="J3311" s="25" t="str">
        <f>IF(OR(E3311="",E3311="!!!",F3311="NEW"),"",COUNTBLANK(OFFSET(A$1,,,SUMPRODUCT(MAX(ROW(E$2:E3311)*(E3311=E$2:E3311)))))-COUNTBLANK(OFFSET(A$1,,,SUMPRODUCT(MAX(ROW(E$1:E3310)*(E2=E$1:E3310))))))</f>
        <v> </v>
      </c>
      <c r="K3311" s="25" t="str">
        <f>IF(OR(E3311="",E3311="!!!",F3311="NEW"),"",INDEX(J$1:J3310,SUMPRODUCT(MAX(ROW(E$1:E3310)*(E3311=E$1:E3310)))))</f>
        <v> </v>
      </c>
      <c r="L3311" s="26"/>
    </row>
    <row r="3312" spans="1:12">
      <c r="A3312" s="20" t="s">
        <v>2616</v>
      </c>
      <c r="E3312" s="21">
        <f>IF(D3312="?OLD","!!!","")</f>
        <v/>
      </c>
      <c r="F3312" s="22" t="str">
        <f>IF(OR(E3312="",E3312="!!!"),"",IF(NOT(ISNA(VLOOKUP(E3312,E$1:E3311,1,FALSE()))),"OLD",IF(AND(E3312&lt;&gt;"",E3312&lt;&gt;"!!!"),"NEW","")))</f>
        <v> </v>
      </c>
      <c r="G3312" s="23" t="str">
        <f>IF(OR(E3312="",E3312="!!!"),"",IF(OR(J3312=0,AND(J3312=1,K3312=1),AND(J3312=1,I3312="SBJ"),AND(J3312=1,I3312=0)),"?IN_FOCUS",IF(J3312&lt;=2,"?ACTIVATED",IF(J3312&lt;&gt;"","?FAMILIAR",IF(F3312="NEW",IF(ISNA(VLOOKUP(E3312,#REF!,1,FALSE())),"?TYPE_IDENTIFIABLE","?REFERENTIAL"),"_")))))</f>
        <v> </v>
      </c>
      <c r="H3312" s="24" t="str">
        <f>IF(J3312&lt;&gt;1,"",IF(I3312="SBJ","CB","?"))</f>
        <v> </v>
      </c>
      <c r="I3312" s="25" t="str">
        <f>IF(OR(E3312="",E3312="!!!",F3312="NEW"),"",INDEX(B3311:B$2,-1+SUMPRODUCT(MAX(ROW(E3311:E$2)*(E3312=E3311:E$2)))))</f>
        <v> </v>
      </c>
      <c r="J3312" s="25" t="str">
        <f>IF(OR(E3312="",E3312="!!!",F3312="NEW"),"",COUNTBLANK(OFFSET(A$1,,,SUMPRODUCT(MAX(ROW(E$2:E3312)*(E3312=E$2:E3312)))))-COUNTBLANK(OFFSET(A$1,,,SUMPRODUCT(MAX(ROW(E$1:E3311)*(E2=E$1:E3311))))))</f>
        <v> </v>
      </c>
      <c r="K3312" s="25" t="str">
        <f>IF(OR(E3312="",E3312="!!!",F3312="NEW"),"",INDEX(J$1:J3311,SUMPRODUCT(MAX(ROW(E$1:E3311)*(E3312=E$1:E3311)))))</f>
        <v> </v>
      </c>
      <c r="L3312" s="26"/>
    </row>
    <row r="3313" spans="1:12">
      <c r="A3313" s="20" t="s">
        <v>1145</v>
      </c>
      <c r="E3313" s="21">
        <f>IF(D3313="?OLD","!!!","")</f>
        <v/>
      </c>
      <c r="F3313" s="22" t="str">
        <f>IF(OR(E3313="",E3313="!!!"),"",IF(NOT(ISNA(VLOOKUP(E3313,E$1:E3312,1,FALSE()))),"OLD",IF(AND(E3313&lt;&gt;"",E3313&lt;&gt;"!!!"),"NEW","")))</f>
        <v> </v>
      </c>
      <c r="G3313" s="23" t="str">
        <f>IF(OR(E3313="",E3313="!!!"),"",IF(OR(J3313=0,AND(J3313=1,K3313=1),AND(J3313=1,I3313="SBJ"),AND(J3313=1,I3313=0)),"?IN_FOCUS",IF(J3313&lt;=2,"?ACTIVATED",IF(J3313&lt;&gt;"","?FAMILIAR",IF(F3313="NEW",IF(ISNA(VLOOKUP(E3313,#REF!,1,FALSE())),"?TYPE_IDENTIFIABLE","?REFERENTIAL"),"_")))))</f>
        <v> </v>
      </c>
      <c r="H3313" s="24" t="str">
        <f>IF(J3313&lt;&gt;1,"",IF(I3313="SBJ","CB","?"))</f>
        <v> </v>
      </c>
      <c r="I3313" s="25" t="str">
        <f>IF(OR(E3313="",E3313="!!!",F3313="NEW"),"",INDEX(B3312:B$2,-1+SUMPRODUCT(MAX(ROW(E3312:E$2)*(E3313=E3312:E$2)))))</f>
        <v> </v>
      </c>
      <c r="J3313" s="25" t="str">
        <f>IF(OR(E3313="",E3313="!!!",F3313="NEW"),"",COUNTBLANK(OFFSET(A$1,,,SUMPRODUCT(MAX(ROW(E$2:E3313)*(E3313=E$2:E3313)))))-COUNTBLANK(OFFSET(A$1,,,SUMPRODUCT(MAX(ROW(E$1:E3312)*(E2=E$1:E3312))))))</f>
        <v> </v>
      </c>
      <c r="K3313" s="25" t="str">
        <f>IF(OR(E3313="",E3313="!!!",F3313="NEW"),"",INDEX(J$1:J3312,SUMPRODUCT(MAX(ROW(E$1:E3312)*(E3313=E$1:E3312)))))</f>
        <v> </v>
      </c>
      <c r="L3313" s="26"/>
    </row>
    <row r="3314" spans="1:12">
      <c r="A3314" s="20"/>
    </row>
    <row r="3315" spans="1:12">
      <c r="A3315" s="20" t="s">
        <v>2617</v>
      </c>
    </row>
    <row r="3316" spans="1:12">
      <c r="A3316" s="20" t="s">
        <v>1822</v>
      </c>
      <c r="E3316" s="21">
        <f>IF(D3316="?OLD","!!!","")</f>
        <v/>
      </c>
      <c r="F3316" s="22" t="str">
        <f>IF(OR(E3316="",E3316="!!!"),"",IF(NOT(ISNA(VLOOKUP(E3316,E$1:E3315,1,FALSE()))),"OLD",IF(AND(E3316&lt;&gt;"",E3316&lt;&gt;"!!!"),"NEW","")))</f>
        <v> </v>
      </c>
      <c r="G3316" s="23" t="str">
        <f>IF(OR(E3316="",E3316="!!!"),"",IF(OR(J3316=0,AND(J3316=1,K3316=1),AND(J3316=1,I3316="SBJ"),AND(J3316=1,I3316=0)),"?IN_FOCUS",IF(J3316&lt;=2,"?ACTIVATED",IF(J3316&lt;&gt;"","?FAMILIAR",IF(F3316="NEW",IF(ISNA(VLOOKUP(E3316,#REF!,1,FALSE())),"?TYPE_IDENTIFIABLE","?REFERENTIAL"),"_")))))</f>
        <v> </v>
      </c>
      <c r="H3316" s="24" t="str">
        <f>IF(J3316&lt;&gt;1,"",IF(I3316="SBJ","CB","?"))</f>
        <v> </v>
      </c>
      <c r="I3316" s="25" t="str">
        <f>IF(OR(E3316="",E3316="!!!",F3316="NEW"),"",INDEX(B3315:B$2,-1+SUMPRODUCT(MAX(ROW(E3315:E$2)*(E3316=E3315:E$2)))))</f>
        <v> </v>
      </c>
      <c r="J3316" s="25" t="str">
        <f>IF(OR(E3316="",E3316="!!!",F3316="NEW"),"",COUNTBLANK(OFFSET(A$1,,,SUMPRODUCT(MAX(ROW(E$2:E3316)*(E3316=E$2:E3316)))))-COUNTBLANK(OFFSET(A$1,,,SUMPRODUCT(MAX(ROW(E$1:E3315)*(E2=E$1:E3315))))))</f>
        <v> </v>
      </c>
      <c r="K3316" s="25" t="str">
        <f>IF(OR(E3316="",E3316="!!!",F3316="NEW"),"",INDEX(J$1:J3315,SUMPRODUCT(MAX(ROW(E$1:E3315)*(E3316=E$1:E3315)))))</f>
        <v> </v>
      </c>
      <c r="L3316" s="26"/>
    </row>
    <row r="3317" spans="1:12">
      <c r="A3317" s="20" t="s">
        <v>1362</v>
      </c>
      <c r="B3317" s="27" t="s">
        <v>1122</v>
      </c>
      <c r="C3317" s="27" t="s">
        <v>1126</v>
      </c>
      <c r="D3317" s="27" t="s">
        <v>1105</v>
      </c>
      <c r="E3317" s="21">
        <f>IF(D3317="?OLD","!!!","")</f>
        <v/>
      </c>
      <c r="F3317" s="22" t="str">
        <f>IF(OR(E3317="",E3317="!!!"),"",IF(NOT(ISNA(VLOOKUP(E3317,E$1:E3316,1,FALSE()))),"OLD",IF(AND(E3317&lt;&gt;"",E3317&lt;&gt;"!!!"),"NEW","")))</f>
        <v> </v>
      </c>
      <c r="G3317" s="23" t="str">
        <f>IF(OR(E3317="",E3317="!!!"),"",IF(OR(J3317=0,AND(J3317=1,K3317=1),AND(J3317=1,I3317="SBJ"),AND(J3317=1,I3317=0)),"?IN_FOCUS",IF(J3317&lt;=2,"?ACTIVATED",IF(J3317&lt;&gt;"","?FAMILIAR",IF(F3317="NEW",IF(ISNA(VLOOKUP(E3317,#REF!,1,FALSE())),"?TYPE_IDENTIFIABLE","?REFERENTIAL"),"_")))))</f>
        <v> </v>
      </c>
      <c r="H3317" s="24" t="str">
        <f>IF(J3317&lt;&gt;1,"",IF(I3317="SBJ","CB","?"))</f>
        <v> </v>
      </c>
      <c r="I3317" s="25" t="str">
        <f>IF(OR(E3317="",E3317="!!!",F3317="NEW"),"",INDEX(B3316:B$2,-1+SUMPRODUCT(MAX(ROW(E3316:E$2)*(E3317=E3316:E$2)))))</f>
        <v> </v>
      </c>
      <c r="J3317" s="25" t="str">
        <f>IF(OR(E3317="",E3317="!!!",F3317="NEW"),"",COUNTBLANK(OFFSET(A$1,,,SUMPRODUCT(MAX(ROW(E$2:E3317)*(E3317=E$2:E3317)))))-COUNTBLANK(OFFSET(A$1,,,SUMPRODUCT(MAX(ROW(E$1:E3316)*(E2=E$1:E3316))))))</f>
        <v> </v>
      </c>
      <c r="K3317" s="25" t="str">
        <f>IF(OR(E3317="",E3317="!!!",F3317="NEW"),"",INDEX(J$1:J3316,SUMPRODUCT(MAX(ROW(E$1:E3316)*(E3317=E$1:E3316)))))</f>
        <v> </v>
      </c>
      <c r="L3317" s="26"/>
    </row>
    <row r="3318" spans="1:12">
      <c r="A3318" s="20" t="s">
        <v>1218</v>
      </c>
      <c r="E3318" s="21">
        <f>IF(D3318="?OLD","!!!","")</f>
        <v/>
      </c>
      <c r="F3318" s="22" t="str">
        <f>IF(OR(E3318="",E3318="!!!"),"",IF(NOT(ISNA(VLOOKUP(E3318,E$1:E3317,1,FALSE()))),"OLD",IF(AND(E3318&lt;&gt;"",E3318&lt;&gt;"!!!"),"NEW","")))</f>
        <v> </v>
      </c>
      <c r="G3318" s="23" t="str">
        <f>IF(OR(E3318="",E3318="!!!"),"",IF(OR(J3318=0,AND(J3318=1,K3318=1),AND(J3318=1,I3318="SBJ"),AND(J3318=1,I3318=0)),"?IN_FOCUS",IF(J3318&lt;=2,"?ACTIVATED",IF(J3318&lt;&gt;"","?FAMILIAR",IF(F3318="NEW",IF(ISNA(VLOOKUP(E3318,#REF!,1,FALSE())),"?TYPE_IDENTIFIABLE","?REFERENTIAL"),"_")))))</f>
        <v> </v>
      </c>
      <c r="H3318" s="24" t="str">
        <f>IF(J3318&lt;&gt;1,"",IF(I3318="SBJ","CB","?"))</f>
        <v> </v>
      </c>
      <c r="I3318" s="25" t="str">
        <f>IF(OR(E3318="",E3318="!!!",F3318="NEW"),"",INDEX(B3317:B$2,-1+SUMPRODUCT(MAX(ROW(E3317:E$2)*(E3318=E3317:E$2)))))</f>
        <v> </v>
      </c>
      <c r="J3318" s="25" t="str">
        <f>IF(OR(E3318="",E3318="!!!",F3318="NEW"),"",COUNTBLANK(OFFSET(A$1,,,SUMPRODUCT(MAX(ROW(E$2:E3318)*(E3318=E$2:E3318)))))-COUNTBLANK(OFFSET(A$1,,,SUMPRODUCT(MAX(ROW(E$1:E3317)*(E2=E$1:E3317))))))</f>
        <v> </v>
      </c>
      <c r="K3318" s="25" t="str">
        <f>IF(OR(E3318="",E3318="!!!",F3318="NEW"),"",INDEX(J$1:J3317,SUMPRODUCT(MAX(ROW(E$1:E3317)*(E3318=E$1:E3317)))))</f>
        <v> </v>
      </c>
      <c r="L3318" s="26"/>
    </row>
    <row r="3319" spans="1:12">
      <c r="A3319" s="20" t="s">
        <v>1186</v>
      </c>
      <c r="B3319" s="27" t="s">
        <v>1107</v>
      </c>
      <c r="C3319" s="27" t="s">
        <v>1142</v>
      </c>
      <c r="D3319" s="27" t="s">
        <v>1105</v>
      </c>
      <c r="E3319" s="21">
        <f>IF(D3319="?OLD","!!!","")</f>
        <v/>
      </c>
      <c r="F3319" s="22" t="str">
        <f>IF(OR(E3319="",E3319="!!!"),"",IF(NOT(ISNA(VLOOKUP(E3319,E$1:E3318,1,FALSE()))),"OLD",IF(AND(E3319&lt;&gt;"",E3319&lt;&gt;"!!!"),"NEW","")))</f>
        <v> </v>
      </c>
      <c r="G3319" s="23" t="str">
        <f>IF(OR(E3319="",E3319="!!!"),"",IF(OR(J3319=0,AND(J3319=1,K3319=1),AND(J3319=1,I3319="SBJ"),AND(J3319=1,I3319=0)),"?IN_FOCUS",IF(J3319&lt;=2,"?ACTIVATED",IF(J3319&lt;&gt;"","?FAMILIAR",IF(F3319="NEW",IF(ISNA(VLOOKUP(E3319,#REF!,1,FALSE())),"?TYPE_IDENTIFIABLE","?REFERENTIAL"),"_")))))</f>
        <v> </v>
      </c>
      <c r="H3319" s="24" t="str">
        <f>IF(J3319&lt;&gt;1,"",IF(I3319="SBJ","CB","?"))</f>
        <v> </v>
      </c>
      <c r="I3319" s="25" t="str">
        <f>IF(OR(E3319="",E3319="!!!",F3319="NEW"),"",INDEX(B3318:B$2,-1+SUMPRODUCT(MAX(ROW(E3318:E$2)*(E3319=E3318:E$2)))))</f>
        <v> </v>
      </c>
      <c r="J3319" s="25" t="str">
        <f>IF(OR(E3319="",E3319="!!!",F3319="NEW"),"",COUNTBLANK(OFFSET(A$1,,,SUMPRODUCT(MAX(ROW(E$2:E3319)*(E3319=E$2:E3319)))))-COUNTBLANK(OFFSET(A$1,,,SUMPRODUCT(MAX(ROW(E$1:E3318)*(E2=E$1:E3318))))))</f>
        <v> </v>
      </c>
      <c r="K3319" s="25" t="str">
        <f>IF(OR(E3319="",E3319="!!!",F3319="NEW"),"",INDEX(J$1:J3318,SUMPRODUCT(MAX(ROW(E$1:E3318)*(E3319=E$1:E3318)))))</f>
        <v> </v>
      </c>
      <c r="L3319" s="26"/>
    </row>
    <row r="3320" spans="1:12">
      <c r="A3320" s="20" t="s">
        <v>2618</v>
      </c>
      <c r="E3320" s="21">
        <f>IF(D3320="?OLD","!!!","")</f>
        <v/>
      </c>
      <c r="F3320" s="22" t="str">
        <f>IF(OR(E3320="",E3320="!!!"),"",IF(NOT(ISNA(VLOOKUP(E3320,E$1:E3319,1,FALSE()))),"OLD",IF(AND(E3320&lt;&gt;"",E3320&lt;&gt;"!!!"),"NEW","")))</f>
        <v> </v>
      </c>
      <c r="G3320" s="23" t="str">
        <f>IF(OR(E3320="",E3320="!!!"),"",IF(OR(J3320=0,AND(J3320=1,K3320=1),AND(J3320=1,I3320="SBJ"),AND(J3320=1,I3320=0)),"?IN_FOCUS",IF(J3320&lt;=2,"?ACTIVATED",IF(J3320&lt;&gt;"","?FAMILIAR",IF(F3320="NEW",IF(ISNA(VLOOKUP(E3320,#REF!,1,FALSE())),"?TYPE_IDENTIFIABLE","?REFERENTIAL"),"_")))))</f>
        <v> </v>
      </c>
      <c r="H3320" s="24" t="str">
        <f>IF(J3320&lt;&gt;1,"",IF(I3320="SBJ","CB","?"))</f>
        <v> </v>
      </c>
      <c r="I3320" s="25" t="str">
        <f>IF(OR(E3320="",E3320="!!!",F3320="NEW"),"",INDEX(B3319:B$2,-1+SUMPRODUCT(MAX(ROW(E3319:E$2)*(E3320=E3319:E$2)))))</f>
        <v> </v>
      </c>
      <c r="J3320" s="25" t="str">
        <f>IF(OR(E3320="",E3320="!!!",F3320="NEW"),"",COUNTBLANK(OFFSET(A$1,,,SUMPRODUCT(MAX(ROW(E$2:E3320)*(E3320=E$2:E3320)))))-COUNTBLANK(OFFSET(A$1,,,SUMPRODUCT(MAX(ROW(E$1:E3319)*(E2=E$1:E3319))))))</f>
        <v> </v>
      </c>
      <c r="K3320" s="25" t="str">
        <f>IF(OR(E3320="",E3320="!!!",F3320="NEW"),"",INDEX(J$1:J3319,SUMPRODUCT(MAX(ROW(E$1:E3319)*(E3320=E$1:E3319)))))</f>
        <v> </v>
      </c>
      <c r="L3320" s="26"/>
    </row>
    <row r="3321" spans="1:12">
      <c r="A3321" s="20" t="s">
        <v>1123</v>
      </c>
      <c r="E3321" s="21">
        <f>IF(D3321="?OLD","!!!","")</f>
        <v/>
      </c>
      <c r="F3321" s="22" t="str">
        <f>IF(OR(E3321="",E3321="!!!"),"",IF(NOT(ISNA(VLOOKUP(E3321,E$1:E3320,1,FALSE()))),"OLD",IF(AND(E3321&lt;&gt;"",E3321&lt;&gt;"!!!"),"NEW","")))</f>
        <v> </v>
      </c>
      <c r="G3321" s="23" t="str">
        <f>IF(OR(E3321="",E3321="!!!"),"",IF(OR(J3321=0,AND(J3321=1,K3321=1),AND(J3321=1,I3321="SBJ"),AND(J3321=1,I3321=0)),"?IN_FOCUS",IF(J3321&lt;=2,"?ACTIVATED",IF(J3321&lt;&gt;"","?FAMILIAR",IF(F3321="NEW",IF(ISNA(VLOOKUP(E3321,#REF!,1,FALSE())),"?TYPE_IDENTIFIABLE","?REFERENTIAL"),"_")))))</f>
        <v> </v>
      </c>
      <c r="H3321" s="24" t="str">
        <f>IF(J3321&lt;&gt;1,"",IF(I3321="SBJ","CB","?"))</f>
        <v> </v>
      </c>
      <c r="I3321" s="25" t="str">
        <f>IF(OR(E3321="",E3321="!!!",F3321="NEW"),"",INDEX(B3320:B$2,-1+SUMPRODUCT(MAX(ROW(E3320:E$2)*(E3321=E3320:E$2)))))</f>
        <v> </v>
      </c>
      <c r="J3321" s="25" t="str">
        <f>IF(OR(E3321="",E3321="!!!",F3321="NEW"),"",COUNTBLANK(OFFSET(A$1,,,SUMPRODUCT(MAX(ROW(E$2:E3321)*(E3321=E$2:E3321)))))-COUNTBLANK(OFFSET(A$1,,,SUMPRODUCT(MAX(ROW(E$1:E3320)*(E2=E$1:E3320))))))</f>
        <v> </v>
      </c>
      <c r="K3321" s="25" t="str">
        <f>IF(OR(E3321="",E3321="!!!",F3321="NEW"),"",INDEX(J$1:J3320,SUMPRODUCT(MAX(ROW(E$1:E3320)*(E3321=E$1:E3320)))))</f>
        <v> </v>
      </c>
      <c r="L3321" s="26"/>
    </row>
    <row r="3322" spans="1:12">
      <c r="A3322" s="20" t="s">
        <v>2619</v>
      </c>
      <c r="E3322" s="21">
        <f>IF(D3322="?OLD","!!!","")</f>
        <v/>
      </c>
      <c r="F3322" s="22" t="str">
        <f>IF(OR(E3322="",E3322="!!!"),"",IF(NOT(ISNA(VLOOKUP(E3322,E$1:E3321,1,FALSE()))),"OLD",IF(AND(E3322&lt;&gt;"",E3322&lt;&gt;"!!!"),"NEW","")))</f>
        <v> </v>
      </c>
      <c r="G3322" s="23" t="str">
        <f>IF(OR(E3322="",E3322="!!!"),"",IF(OR(J3322=0,AND(J3322=1,K3322=1),AND(J3322=1,I3322="SBJ"),AND(J3322=1,I3322=0)),"?IN_FOCUS",IF(J3322&lt;=2,"?ACTIVATED",IF(J3322&lt;&gt;"","?FAMILIAR",IF(F3322="NEW",IF(ISNA(VLOOKUP(E3322,#REF!,1,FALSE())),"?TYPE_IDENTIFIABLE","?REFERENTIAL"),"_")))))</f>
        <v> </v>
      </c>
      <c r="H3322" s="24" t="str">
        <f>IF(J3322&lt;&gt;1,"",IF(I3322="SBJ","CB","?"))</f>
        <v> </v>
      </c>
      <c r="I3322" s="25" t="str">
        <f>IF(OR(E3322="",E3322="!!!",F3322="NEW"),"",INDEX(B3321:B$2,-1+SUMPRODUCT(MAX(ROW(E3321:E$2)*(E3322=E3321:E$2)))))</f>
        <v> </v>
      </c>
      <c r="J3322" s="25" t="str">
        <f>IF(OR(E3322="",E3322="!!!",F3322="NEW"),"",COUNTBLANK(OFFSET(A$1,,,SUMPRODUCT(MAX(ROW(E$2:E3322)*(E3322=E$2:E3322)))))-COUNTBLANK(OFFSET(A$1,,,SUMPRODUCT(MAX(ROW(E$1:E3321)*(E2=E$1:E3321))))))</f>
        <v> </v>
      </c>
      <c r="K3322" s="25" t="str">
        <f>IF(OR(E3322="",E3322="!!!",F3322="NEW"),"",INDEX(J$1:J3321,SUMPRODUCT(MAX(ROW(E$1:E3321)*(E3322=E$1:E3321)))))</f>
        <v> </v>
      </c>
      <c r="L3322" s="26"/>
    </row>
    <row r="3323" spans="1:12">
      <c r="A3323" s="20" t="s">
        <v>2620</v>
      </c>
      <c r="E3323" s="21">
        <f>IF(D3323="?OLD","!!!","")</f>
        <v/>
      </c>
      <c r="F3323" s="22" t="str">
        <f>IF(OR(E3323="",E3323="!!!"),"",IF(NOT(ISNA(VLOOKUP(E3323,E$1:E3322,1,FALSE()))),"OLD",IF(AND(E3323&lt;&gt;"",E3323&lt;&gt;"!!!"),"NEW","")))</f>
        <v> </v>
      </c>
      <c r="G3323" s="23" t="str">
        <f>IF(OR(E3323="",E3323="!!!"),"",IF(OR(J3323=0,AND(J3323=1,K3323=1),AND(J3323=1,I3323="SBJ"),AND(J3323=1,I3323=0)),"?IN_FOCUS",IF(J3323&lt;=2,"?ACTIVATED",IF(J3323&lt;&gt;"","?FAMILIAR",IF(F3323="NEW",IF(ISNA(VLOOKUP(E3323,#REF!,1,FALSE())),"?TYPE_IDENTIFIABLE","?REFERENTIAL"),"_")))))</f>
        <v> </v>
      </c>
      <c r="H3323" s="24" t="str">
        <f>IF(J3323&lt;&gt;1,"",IF(I3323="SBJ","CB","?"))</f>
        <v> </v>
      </c>
      <c r="I3323" s="25" t="str">
        <f>IF(OR(E3323="",E3323="!!!",F3323="NEW"),"",INDEX(B3322:B$2,-1+SUMPRODUCT(MAX(ROW(E3322:E$2)*(E3323=E3322:E$2)))))</f>
        <v> </v>
      </c>
      <c r="J3323" s="25" t="str">
        <f>IF(OR(E3323="",E3323="!!!",F3323="NEW"),"",COUNTBLANK(OFFSET(A$1,,,SUMPRODUCT(MAX(ROW(E$2:E3323)*(E3323=E$2:E3323)))))-COUNTBLANK(OFFSET(A$1,,,SUMPRODUCT(MAX(ROW(E$1:E3322)*(E2=E$1:E3322))))))</f>
        <v> </v>
      </c>
      <c r="K3323" s="25" t="str">
        <f>IF(OR(E3323="",E3323="!!!",F3323="NEW"),"",INDEX(J$1:J3322,SUMPRODUCT(MAX(ROW(E$1:E3322)*(E3323=E$1:E3322)))))</f>
        <v> </v>
      </c>
      <c r="L3323" s="26"/>
    </row>
    <row r="3324" spans="1:12">
      <c r="A3324" s="20" t="s">
        <v>2621</v>
      </c>
      <c r="E3324" s="21">
        <f>IF(D3324="?OLD","!!!","")</f>
        <v/>
      </c>
      <c r="F3324" s="22" t="str">
        <f>IF(OR(E3324="",E3324="!!!"),"",IF(NOT(ISNA(VLOOKUP(E3324,E$1:E3323,1,FALSE()))),"OLD",IF(AND(E3324&lt;&gt;"",E3324&lt;&gt;"!!!"),"NEW","")))</f>
        <v> </v>
      </c>
      <c r="G3324" s="23" t="str">
        <f>IF(OR(E3324="",E3324="!!!"),"",IF(OR(J3324=0,AND(J3324=1,K3324=1),AND(J3324=1,I3324="SBJ"),AND(J3324=1,I3324=0)),"?IN_FOCUS",IF(J3324&lt;=2,"?ACTIVATED",IF(J3324&lt;&gt;"","?FAMILIAR",IF(F3324="NEW",IF(ISNA(VLOOKUP(E3324,#REF!,1,FALSE())),"?TYPE_IDENTIFIABLE","?REFERENTIAL"),"_")))))</f>
        <v> </v>
      </c>
      <c r="H3324" s="24" t="str">
        <f>IF(J3324&lt;&gt;1,"",IF(I3324="SBJ","CB","?"))</f>
        <v> </v>
      </c>
      <c r="I3324" s="25" t="str">
        <f>IF(OR(E3324="",E3324="!!!",F3324="NEW"),"",INDEX(B3323:B$2,-1+SUMPRODUCT(MAX(ROW(E3323:E$2)*(E3324=E3323:E$2)))))</f>
        <v> </v>
      </c>
      <c r="J3324" s="25" t="str">
        <f>IF(OR(E3324="",E3324="!!!",F3324="NEW"),"",COUNTBLANK(OFFSET(A$1,,,SUMPRODUCT(MAX(ROW(E$2:E3324)*(E3324=E$2:E3324)))))-COUNTBLANK(OFFSET(A$1,,,SUMPRODUCT(MAX(ROW(E$1:E3323)*(E2=E$1:E3323))))))</f>
        <v> </v>
      </c>
      <c r="K3324" s="25" t="str">
        <f>IF(OR(E3324="",E3324="!!!",F3324="NEW"),"",INDEX(J$1:J3323,SUMPRODUCT(MAX(ROW(E$1:E3323)*(E3324=E$1:E3323)))))</f>
        <v> </v>
      </c>
      <c r="L3324" s="26"/>
    </row>
    <row r="3325" spans="1:12">
      <c r="A3325" s="20" t="s">
        <v>2125</v>
      </c>
      <c r="E3325" s="21">
        <f>IF(D3325="?OLD","!!!","")</f>
        <v/>
      </c>
      <c r="F3325" s="22" t="str">
        <f>IF(OR(E3325="",E3325="!!!"),"",IF(NOT(ISNA(VLOOKUP(E3325,E$1:E3324,1,FALSE()))),"OLD",IF(AND(E3325&lt;&gt;"",E3325&lt;&gt;"!!!"),"NEW","")))</f>
        <v> </v>
      </c>
      <c r="G3325" s="23" t="str">
        <f>IF(OR(E3325="",E3325="!!!"),"",IF(OR(J3325=0,AND(J3325=1,K3325=1),AND(J3325=1,I3325="SBJ"),AND(J3325=1,I3325=0)),"?IN_FOCUS",IF(J3325&lt;=2,"?ACTIVATED",IF(J3325&lt;&gt;"","?FAMILIAR",IF(F3325="NEW",IF(ISNA(VLOOKUP(E3325,#REF!,1,FALSE())),"?TYPE_IDENTIFIABLE","?REFERENTIAL"),"_")))))</f>
        <v> </v>
      </c>
      <c r="H3325" s="24" t="str">
        <f>IF(J3325&lt;&gt;1,"",IF(I3325="SBJ","CB","?"))</f>
        <v> </v>
      </c>
      <c r="I3325" s="25" t="str">
        <f>IF(OR(E3325="",E3325="!!!",F3325="NEW"),"",INDEX(B3324:B$2,-1+SUMPRODUCT(MAX(ROW(E3324:E$2)*(E3325=E3324:E$2)))))</f>
        <v> </v>
      </c>
      <c r="J3325" s="25" t="str">
        <f>IF(OR(E3325="",E3325="!!!",F3325="NEW"),"",COUNTBLANK(OFFSET(A$1,,,SUMPRODUCT(MAX(ROW(E$2:E3325)*(E3325=E$2:E3325)))))-COUNTBLANK(OFFSET(A$1,,,SUMPRODUCT(MAX(ROW(E$1:E3324)*(E2=E$1:E3324))))))</f>
        <v> </v>
      </c>
      <c r="K3325" s="25" t="str">
        <f>IF(OR(E3325="",E3325="!!!",F3325="NEW"),"",INDEX(J$1:J3324,SUMPRODUCT(MAX(ROW(E$1:E3324)*(E3325=E$1:E3324)))))</f>
        <v> </v>
      </c>
      <c r="L3325" s="26"/>
    </row>
    <row r="3326" spans="1:12">
      <c r="A3326" s="20" t="s">
        <v>2622</v>
      </c>
      <c r="B3326" s="27" t="s">
        <v>1243</v>
      </c>
      <c r="E3326" s="21">
        <f>IF(D3326="?OLD","!!!","")</f>
        <v/>
      </c>
      <c r="F3326" s="22" t="str">
        <f>IF(OR(E3326="",E3326="!!!"),"",IF(NOT(ISNA(VLOOKUP(E3326,E$1:E3325,1,FALSE()))),"OLD",IF(AND(E3326&lt;&gt;"",E3326&lt;&gt;"!!!"),"NEW","")))</f>
        <v> </v>
      </c>
      <c r="G3326" s="23" t="str">
        <f>IF(OR(E3326="",E3326="!!!"),"",IF(OR(J3326=0,AND(J3326=1,K3326=1),AND(J3326=1,I3326="SBJ"),AND(J3326=1,I3326=0)),"?IN_FOCUS",IF(J3326&lt;=2,"?ACTIVATED",IF(J3326&lt;&gt;"","?FAMILIAR",IF(F3326="NEW",IF(ISNA(VLOOKUP(E3326,#REF!,1,FALSE())),"?TYPE_IDENTIFIABLE","?REFERENTIAL"),"_")))))</f>
        <v> </v>
      </c>
      <c r="H3326" s="24" t="str">
        <f>IF(J3326&lt;&gt;1,"",IF(I3326="SBJ","CB","?"))</f>
        <v> </v>
      </c>
      <c r="I3326" s="25" t="str">
        <f>IF(OR(E3326="",E3326="!!!",F3326="NEW"),"",INDEX(B3325:B$2,-1+SUMPRODUCT(MAX(ROW(E3325:E$2)*(E3326=E3325:E$2)))))</f>
        <v> </v>
      </c>
      <c r="J3326" s="25" t="str">
        <f>IF(OR(E3326="",E3326="!!!",F3326="NEW"),"",COUNTBLANK(OFFSET(A$1,,,SUMPRODUCT(MAX(ROW(E$2:E3326)*(E3326=E$2:E3326)))))-COUNTBLANK(OFFSET(A$1,,,SUMPRODUCT(MAX(ROW(E$1:E3325)*(E2=E$1:E3325))))))</f>
        <v> </v>
      </c>
      <c r="K3326" s="25" t="str">
        <f>IF(OR(E3326="",E3326="!!!",F3326="NEW"),"",INDEX(J$1:J3325,SUMPRODUCT(MAX(ROW(E$1:E3325)*(E3326=E$1:E3325)))))</f>
        <v> </v>
      </c>
      <c r="L3326" s="26"/>
    </row>
    <row r="3327" spans="1:12">
      <c r="A3327" s="20" t="s">
        <v>1111</v>
      </c>
      <c r="E3327" s="21">
        <f>IF(D3327="?OLD","!!!","")</f>
        <v/>
      </c>
      <c r="F3327" s="22" t="str">
        <f>IF(OR(E3327="",E3327="!!!"),"",IF(NOT(ISNA(VLOOKUP(E3327,E$1:E3326,1,FALSE()))),"OLD",IF(AND(E3327&lt;&gt;"",E3327&lt;&gt;"!!!"),"NEW","")))</f>
        <v> </v>
      </c>
      <c r="G3327" s="23" t="str">
        <f>IF(OR(E3327="",E3327="!!!"),"",IF(OR(J3327=0,AND(J3327=1,K3327=1),AND(J3327=1,I3327="SBJ"),AND(J3327=1,I3327=0)),"?IN_FOCUS",IF(J3327&lt;=2,"?ACTIVATED",IF(J3327&lt;&gt;"","?FAMILIAR",IF(F3327="NEW",IF(ISNA(VLOOKUP(E3327,#REF!,1,FALSE())),"?TYPE_IDENTIFIABLE","?REFERENTIAL"),"_")))))</f>
        <v> </v>
      </c>
      <c r="H3327" s="24" t="str">
        <f>IF(J3327&lt;&gt;1,"",IF(I3327="SBJ","CB","?"))</f>
        <v> </v>
      </c>
      <c r="I3327" s="25" t="str">
        <f>IF(OR(E3327="",E3327="!!!",F3327="NEW"),"",INDEX(B3326:B$2,-1+SUMPRODUCT(MAX(ROW(E3326:E$2)*(E3327=E3326:E$2)))))</f>
        <v> </v>
      </c>
      <c r="J3327" s="25" t="str">
        <f>IF(OR(E3327="",E3327="!!!",F3327="NEW"),"",COUNTBLANK(OFFSET(A$1,,,SUMPRODUCT(MAX(ROW(E$2:E3327)*(E3327=E$2:E3327)))))-COUNTBLANK(OFFSET(A$1,,,SUMPRODUCT(MAX(ROW(E$1:E3326)*(E2=E$1:E3326))))))</f>
        <v> </v>
      </c>
      <c r="K3327" s="25" t="str">
        <f>IF(OR(E3327="",E3327="!!!",F3327="NEW"),"",INDEX(J$1:J3326,SUMPRODUCT(MAX(ROW(E$1:E3326)*(E3327=E$1:E3326)))))</f>
        <v> </v>
      </c>
      <c r="L3327" s="26"/>
    </row>
    <row r="3328" spans="1:12">
      <c r="A3328" s="20" t="s">
        <v>2623</v>
      </c>
      <c r="E3328" s="21">
        <f>IF(D3328="?OLD","!!!","")</f>
        <v/>
      </c>
      <c r="F3328" s="22" t="str">
        <f>IF(OR(E3328="",E3328="!!!"),"",IF(NOT(ISNA(VLOOKUP(E3328,E$1:E3327,1,FALSE()))),"OLD",IF(AND(E3328&lt;&gt;"",E3328&lt;&gt;"!!!"),"NEW","")))</f>
        <v> </v>
      </c>
      <c r="G3328" s="23" t="str">
        <f>IF(OR(E3328="",E3328="!!!"),"",IF(OR(J3328=0,AND(J3328=1,K3328=1),AND(J3328=1,I3328="SBJ"),AND(J3328=1,I3328=0)),"?IN_FOCUS",IF(J3328&lt;=2,"?ACTIVATED",IF(J3328&lt;&gt;"","?FAMILIAR",IF(F3328="NEW",IF(ISNA(VLOOKUP(E3328,#REF!,1,FALSE())),"?TYPE_IDENTIFIABLE","?REFERENTIAL"),"_")))))</f>
        <v> </v>
      </c>
      <c r="H3328" s="24" t="str">
        <f>IF(J3328&lt;&gt;1,"",IF(I3328="SBJ","CB","?"))</f>
        <v> </v>
      </c>
      <c r="I3328" s="25" t="str">
        <f>IF(OR(E3328="",E3328="!!!",F3328="NEW"),"",INDEX(B3327:B$2,-1+SUMPRODUCT(MAX(ROW(E3327:E$2)*(E3328=E3327:E$2)))))</f>
        <v> </v>
      </c>
      <c r="J3328" s="25" t="str">
        <f>IF(OR(E3328="",E3328="!!!",F3328="NEW"),"",COUNTBLANK(OFFSET(A$1,,,SUMPRODUCT(MAX(ROW(E$2:E3328)*(E3328=E$2:E3328)))))-COUNTBLANK(OFFSET(A$1,,,SUMPRODUCT(MAX(ROW(E$1:E3327)*(E2=E$1:E3327))))))</f>
        <v> </v>
      </c>
      <c r="K3328" s="25" t="str">
        <f>IF(OR(E3328="",E3328="!!!",F3328="NEW"),"",INDEX(J$1:J3327,SUMPRODUCT(MAX(ROW(E$1:E3327)*(E3328=E$1:E3327)))))</f>
        <v> </v>
      </c>
      <c r="L3328" s="26"/>
    </row>
    <row r="3329" spans="1:12">
      <c r="A3329" s="20" t="s">
        <v>1242</v>
      </c>
      <c r="B3329" s="27" t="s">
        <v>1115</v>
      </c>
      <c r="C3329" s="27" t="s">
        <v>1126</v>
      </c>
      <c r="D3329" s="27" t="s">
        <v>1105</v>
      </c>
      <c r="E3329" s="21">
        <f>IF(D3329="?OLD","!!!","")</f>
        <v/>
      </c>
      <c r="F3329" s="22" t="str">
        <f>IF(OR(E3329="",E3329="!!!"),"",IF(NOT(ISNA(VLOOKUP(E3329,E$1:E3328,1,FALSE()))),"OLD",IF(AND(E3329&lt;&gt;"",E3329&lt;&gt;"!!!"),"NEW","")))</f>
        <v> </v>
      </c>
      <c r="G3329" s="23" t="str">
        <f>IF(OR(E3329="",E3329="!!!"),"",IF(OR(J3329=0,AND(J3329=1,K3329=1),AND(J3329=1,I3329="SBJ"),AND(J3329=1,I3329=0)),"?IN_FOCUS",IF(J3329&lt;=2,"?ACTIVATED",IF(J3329&lt;&gt;"","?FAMILIAR",IF(F3329="NEW",IF(ISNA(VLOOKUP(E3329,#REF!,1,FALSE())),"?TYPE_IDENTIFIABLE","?REFERENTIAL"),"_")))))</f>
        <v> </v>
      </c>
      <c r="H3329" s="24" t="str">
        <f>IF(J3329&lt;&gt;1,"",IF(I3329="SBJ","CB","?"))</f>
        <v> </v>
      </c>
      <c r="I3329" s="25" t="str">
        <f>IF(OR(E3329="",E3329="!!!",F3329="NEW"),"",INDEX(B3328:B$2,-1+SUMPRODUCT(MAX(ROW(E3328:E$2)*(E3329=E3328:E$2)))))</f>
        <v> </v>
      </c>
      <c r="J3329" s="25" t="str">
        <f>IF(OR(E3329="",E3329="!!!",F3329="NEW"),"",COUNTBLANK(OFFSET(A$1,,,SUMPRODUCT(MAX(ROW(E$2:E3329)*(E3329=E$2:E3329)))))-COUNTBLANK(OFFSET(A$1,,,SUMPRODUCT(MAX(ROW(E$1:E3328)*(E2=E$1:E3328))))))</f>
        <v> </v>
      </c>
      <c r="K3329" s="25" t="str">
        <f>IF(OR(E3329="",E3329="!!!",F3329="NEW"),"",INDEX(J$1:J3328,SUMPRODUCT(MAX(ROW(E$1:E3328)*(E3329=E$1:E3328)))))</f>
        <v> </v>
      </c>
      <c r="L3329" s="26"/>
    </row>
    <row r="3330" spans="1:12">
      <c r="A3330" s="20" t="s">
        <v>1145</v>
      </c>
      <c r="E3330" s="21">
        <f>IF(D3330="?OLD","!!!","")</f>
        <v/>
      </c>
      <c r="F3330" s="22" t="str">
        <f>IF(OR(E3330="",E3330="!!!"),"",IF(NOT(ISNA(VLOOKUP(E3330,E$1:E3329,1,FALSE()))),"OLD",IF(AND(E3330&lt;&gt;"",E3330&lt;&gt;"!!!"),"NEW","")))</f>
        <v> </v>
      </c>
      <c r="G3330" s="23" t="str">
        <f>IF(OR(E3330="",E3330="!!!"),"",IF(OR(J3330=0,AND(J3330=1,K3330=1),AND(J3330=1,I3330="SBJ"),AND(J3330=1,I3330=0)),"?IN_FOCUS",IF(J3330&lt;=2,"?ACTIVATED",IF(J3330&lt;&gt;"","?FAMILIAR",IF(F3330="NEW",IF(ISNA(VLOOKUP(E3330,#REF!,1,FALSE())),"?TYPE_IDENTIFIABLE","?REFERENTIAL"),"_")))))</f>
        <v> </v>
      </c>
      <c r="H3330" s="24" t="str">
        <f>IF(J3330&lt;&gt;1,"",IF(I3330="SBJ","CB","?"))</f>
        <v> </v>
      </c>
      <c r="I3330" s="25" t="str">
        <f>IF(OR(E3330="",E3330="!!!",F3330="NEW"),"",INDEX(B3329:B$2,-1+SUMPRODUCT(MAX(ROW(E3329:E$2)*(E3330=E3329:E$2)))))</f>
        <v> </v>
      </c>
      <c r="J3330" s="25" t="str">
        <f>IF(OR(E3330="",E3330="!!!",F3330="NEW"),"",COUNTBLANK(OFFSET(A$1,,,SUMPRODUCT(MAX(ROW(E$2:E3330)*(E3330=E$2:E3330)))))-COUNTBLANK(OFFSET(A$1,,,SUMPRODUCT(MAX(ROW(E$1:E3329)*(E2=E$1:E3329))))))</f>
        <v> </v>
      </c>
      <c r="K3330" s="25" t="str">
        <f>IF(OR(E3330="",E3330="!!!",F3330="NEW"),"",INDEX(J$1:J3329,SUMPRODUCT(MAX(ROW(E$1:E3329)*(E3330=E$1:E3329)))))</f>
        <v> </v>
      </c>
      <c r="L3330" s="26"/>
    </row>
    <row r="3331" spans="1:12">
      <c r="A3331" s="20"/>
    </row>
    <row r="3332" spans="1:12">
      <c r="A3332" s="20" t="s">
        <v>2624</v>
      </c>
    </row>
    <row r="3333" spans="1:12">
      <c r="A3333" s="20" t="s">
        <v>1111</v>
      </c>
      <c r="E3333" s="21">
        <f>IF(D3333="?OLD","!!!","")</f>
        <v/>
      </c>
      <c r="F3333" s="22" t="str">
        <f>IF(OR(E3333="",E3333="!!!"),"",IF(NOT(ISNA(VLOOKUP(E3333,E$1:E3332,1,FALSE()))),"OLD",IF(AND(E3333&lt;&gt;"",E3333&lt;&gt;"!!!"),"NEW","")))</f>
        <v> </v>
      </c>
      <c r="G3333" s="23" t="str">
        <f>IF(OR(E3333="",E3333="!!!"),"",IF(OR(J3333=0,AND(J3333=1,K3333=1),AND(J3333=1,I3333="SBJ"),AND(J3333=1,I3333=0)),"?IN_FOCUS",IF(J3333&lt;=2,"?ACTIVATED",IF(J3333&lt;&gt;"","?FAMILIAR",IF(F3333="NEW",IF(ISNA(VLOOKUP(E3333,#REF!,1,FALSE())),"?TYPE_IDENTIFIABLE","?REFERENTIAL"),"_")))))</f>
        <v> </v>
      </c>
      <c r="H3333" s="24" t="str">
        <f>IF(J3333&lt;&gt;1,"",IF(I3333="SBJ","CB","?"))</f>
        <v> </v>
      </c>
      <c r="I3333" s="25" t="str">
        <f>IF(OR(E3333="",E3333="!!!",F3333="NEW"),"",INDEX(B3332:B$2,-1+SUMPRODUCT(MAX(ROW(E3332:E$2)*(E3333=E3332:E$2)))))</f>
        <v> </v>
      </c>
      <c r="J3333" s="25" t="str">
        <f>IF(OR(E3333="",E3333="!!!",F3333="NEW"),"",COUNTBLANK(OFFSET(A$1,,,SUMPRODUCT(MAX(ROW(E$2:E3333)*(E3333=E$2:E3333)))))-COUNTBLANK(OFFSET(A$1,,,SUMPRODUCT(MAX(ROW(E$1:E3332)*(E2=E$1:E3332))))))</f>
        <v> </v>
      </c>
      <c r="K3333" s="25" t="str">
        <f>IF(OR(E3333="",E3333="!!!",F3333="NEW"),"",INDEX(J$1:J3332,SUMPRODUCT(MAX(ROW(E$1:E3332)*(E3333=E$1:E3332)))))</f>
        <v> </v>
      </c>
      <c r="L3333" s="26"/>
    </row>
    <row r="3334" spans="1:12">
      <c r="A3334" s="20" t="s">
        <v>1633</v>
      </c>
      <c r="B3334" s="27" t="s">
        <v>1149</v>
      </c>
      <c r="C3334" s="27" t="s">
        <v>1126</v>
      </c>
      <c r="D3334" s="27" t="s">
        <v>1105</v>
      </c>
      <c r="E3334" s="21">
        <f>IF(D3334="?OLD","!!!","")</f>
        <v/>
      </c>
      <c r="F3334" s="22" t="str">
        <f>IF(OR(E3334="",E3334="!!!"),"",IF(NOT(ISNA(VLOOKUP(E3334,E$1:E3333,1,FALSE()))),"OLD",IF(AND(E3334&lt;&gt;"",E3334&lt;&gt;"!!!"),"NEW","")))</f>
        <v> </v>
      </c>
      <c r="G3334" s="23" t="str">
        <f>IF(OR(E3334="",E3334="!!!"),"",IF(OR(J3334=0,AND(J3334=1,K3334=1),AND(J3334=1,I3334="SBJ"),AND(J3334=1,I3334=0)),"?IN_FOCUS",IF(J3334&lt;=2,"?ACTIVATED",IF(J3334&lt;&gt;"","?FAMILIAR",IF(F3334="NEW",IF(ISNA(VLOOKUP(E3334,#REF!,1,FALSE())),"?TYPE_IDENTIFIABLE","?REFERENTIAL"),"_")))))</f>
        <v> </v>
      </c>
      <c r="H3334" s="24" t="str">
        <f>IF(J3334&lt;&gt;1,"",IF(I3334="SBJ","CB","?"))</f>
        <v> </v>
      </c>
      <c r="I3334" s="25" t="str">
        <f>IF(OR(E3334="",E3334="!!!",F3334="NEW"),"",INDEX(B3333:B$2,-1+SUMPRODUCT(MAX(ROW(E3333:E$2)*(E3334=E3333:E$2)))))</f>
        <v> </v>
      </c>
      <c r="J3334" s="25" t="str">
        <f>IF(OR(E3334="",E3334="!!!",F3334="NEW"),"",COUNTBLANK(OFFSET(A$1,,,SUMPRODUCT(MAX(ROW(E$2:E3334)*(E3334=E$2:E3334)))))-COUNTBLANK(OFFSET(A$1,,,SUMPRODUCT(MAX(ROW(E$1:E3333)*(E2=E$1:E3333))))))</f>
        <v> </v>
      </c>
      <c r="K3334" s="25" t="str">
        <f>IF(OR(E3334="",E3334="!!!",F3334="NEW"),"",INDEX(J$1:J3333,SUMPRODUCT(MAX(ROW(E$1:E3333)*(E3334=E$1:E3333)))))</f>
        <v> </v>
      </c>
      <c r="L3334" s="26"/>
    </row>
    <row r="3335" spans="1:12">
      <c r="A3335" s="20" t="s">
        <v>1681</v>
      </c>
      <c r="E3335" s="21">
        <f>IF(D3335="?OLD","!!!","")</f>
        <v/>
      </c>
      <c r="F3335" s="22" t="str">
        <f>IF(OR(E3335="",E3335="!!!"),"",IF(NOT(ISNA(VLOOKUP(E3335,E$1:E3334,1,FALSE()))),"OLD",IF(AND(E3335&lt;&gt;"",E3335&lt;&gt;"!!!"),"NEW","")))</f>
        <v> </v>
      </c>
      <c r="G3335" s="23" t="str">
        <f>IF(OR(E3335="",E3335="!!!"),"",IF(OR(J3335=0,AND(J3335=1,K3335=1),AND(J3335=1,I3335="SBJ"),AND(J3335=1,I3335=0)),"?IN_FOCUS",IF(J3335&lt;=2,"?ACTIVATED",IF(J3335&lt;&gt;"","?FAMILIAR",IF(F3335="NEW",IF(ISNA(VLOOKUP(E3335,#REF!,1,FALSE())),"?TYPE_IDENTIFIABLE","?REFERENTIAL"),"_")))))</f>
        <v> </v>
      </c>
      <c r="H3335" s="24" t="str">
        <f>IF(J3335&lt;&gt;1,"",IF(I3335="SBJ","CB","?"))</f>
        <v> </v>
      </c>
      <c r="I3335" s="25" t="str">
        <f>IF(OR(E3335="",E3335="!!!",F3335="NEW"),"",INDEX(B3334:B$2,-1+SUMPRODUCT(MAX(ROW(E3334:E$2)*(E3335=E3334:E$2)))))</f>
        <v> </v>
      </c>
      <c r="J3335" s="25" t="str">
        <f>IF(OR(E3335="",E3335="!!!",F3335="NEW"),"",COUNTBLANK(OFFSET(A$1,,,SUMPRODUCT(MAX(ROW(E$2:E3335)*(E3335=E$2:E3335)))))-COUNTBLANK(OFFSET(A$1,,,SUMPRODUCT(MAX(ROW(E$1:E3334)*(E2=E$1:E3334))))))</f>
        <v> </v>
      </c>
      <c r="K3335" s="25" t="str">
        <f>IF(OR(E3335="",E3335="!!!",F3335="NEW"),"",INDEX(J$1:J3334,SUMPRODUCT(MAX(ROW(E$1:E3334)*(E3335=E$1:E3334)))))</f>
        <v> </v>
      </c>
      <c r="L3335" s="26"/>
    </row>
    <row r="3336" spans="1:12">
      <c r="A3336" s="20" t="s">
        <v>2625</v>
      </c>
      <c r="E3336" s="21">
        <f>IF(D3336="?OLD","!!!","")</f>
        <v/>
      </c>
      <c r="F3336" s="22" t="str">
        <f>IF(OR(E3336="",E3336="!!!"),"",IF(NOT(ISNA(VLOOKUP(E3336,E$1:E3335,1,FALSE()))),"OLD",IF(AND(E3336&lt;&gt;"",E3336&lt;&gt;"!!!"),"NEW","")))</f>
        <v> </v>
      </c>
      <c r="G3336" s="23" t="str">
        <f>IF(OR(E3336="",E3336="!!!"),"",IF(OR(J3336=0,AND(J3336=1,K3336=1),AND(J3336=1,I3336="SBJ"),AND(J3336=1,I3336=0)),"?IN_FOCUS",IF(J3336&lt;=2,"?ACTIVATED",IF(J3336&lt;&gt;"","?FAMILIAR",IF(F3336="NEW",IF(ISNA(VLOOKUP(E3336,#REF!,1,FALSE())),"?TYPE_IDENTIFIABLE","?REFERENTIAL"),"_")))))</f>
        <v> </v>
      </c>
      <c r="H3336" s="24" t="str">
        <f>IF(J3336&lt;&gt;1,"",IF(I3336="SBJ","CB","?"))</f>
        <v> </v>
      </c>
      <c r="I3336" s="25" t="str">
        <f>IF(OR(E3336="",E3336="!!!",F3336="NEW"),"",INDEX(B3335:B$2,-1+SUMPRODUCT(MAX(ROW(E3335:E$2)*(E3336=E3335:E$2)))))</f>
        <v> </v>
      </c>
      <c r="J3336" s="25" t="str">
        <f>IF(OR(E3336="",E3336="!!!",F3336="NEW"),"",COUNTBLANK(OFFSET(A$1,,,SUMPRODUCT(MAX(ROW(E$2:E3336)*(E3336=E$2:E3336)))))-COUNTBLANK(OFFSET(A$1,,,SUMPRODUCT(MAX(ROW(E$1:E3335)*(E2=E$1:E3335))))))</f>
        <v> </v>
      </c>
      <c r="K3336" s="25" t="str">
        <f>IF(OR(E3336="",E3336="!!!",F3336="NEW"),"",INDEX(J$1:J3335,SUMPRODUCT(MAX(ROW(E$1:E3335)*(E3336=E$1:E3335)))))</f>
        <v> </v>
      </c>
      <c r="L3336" s="26"/>
    </row>
    <row r="3337" spans="1:12">
      <c r="A3337" s="20" t="s">
        <v>1113</v>
      </c>
      <c r="E3337" s="21">
        <f>IF(D3337="?OLD","!!!","")</f>
        <v/>
      </c>
      <c r="F3337" s="22" t="str">
        <f>IF(OR(E3337="",E3337="!!!"),"",IF(NOT(ISNA(VLOOKUP(E3337,E$1:E3336,1,FALSE()))),"OLD",IF(AND(E3337&lt;&gt;"",E3337&lt;&gt;"!!!"),"NEW","")))</f>
        <v> </v>
      </c>
      <c r="G3337" s="23" t="str">
        <f>IF(OR(E3337="",E3337="!!!"),"",IF(OR(J3337=0,AND(J3337=1,K3337=1),AND(J3337=1,I3337="SBJ"),AND(J3337=1,I3337=0)),"?IN_FOCUS",IF(J3337&lt;=2,"?ACTIVATED",IF(J3337&lt;&gt;"","?FAMILIAR",IF(F3337="NEW",IF(ISNA(VLOOKUP(E3337,#REF!,1,FALSE())),"?TYPE_IDENTIFIABLE","?REFERENTIAL"),"_")))))</f>
        <v> </v>
      </c>
      <c r="H3337" s="24" t="str">
        <f>IF(J3337&lt;&gt;1,"",IF(I3337="SBJ","CB","?"))</f>
        <v> </v>
      </c>
      <c r="I3337" s="25" t="str">
        <f>IF(OR(E3337="",E3337="!!!",F3337="NEW"),"",INDEX(B3336:B$2,-1+SUMPRODUCT(MAX(ROW(E3336:E$2)*(E3337=E3336:E$2)))))</f>
        <v> </v>
      </c>
      <c r="J3337" s="25" t="str">
        <f>IF(OR(E3337="",E3337="!!!",F3337="NEW"),"",COUNTBLANK(OFFSET(A$1,,,SUMPRODUCT(MAX(ROW(E$2:E3337)*(E3337=E$2:E3337)))))-COUNTBLANK(OFFSET(A$1,,,SUMPRODUCT(MAX(ROW(E$1:E3336)*(E2=E$1:E3336))))))</f>
        <v> </v>
      </c>
      <c r="K3337" s="25" t="str">
        <f>IF(OR(E3337="",E3337="!!!",F3337="NEW"),"",INDEX(J$1:J3336,SUMPRODUCT(MAX(ROW(E$1:E3336)*(E3337=E$1:E3336)))))</f>
        <v> </v>
      </c>
      <c r="L3337" s="26"/>
    </row>
    <row r="3338" spans="1:12">
      <c r="A3338" s="20" t="s">
        <v>1184</v>
      </c>
      <c r="E3338" s="21">
        <f>IF(D3338="?OLD","!!!","")</f>
        <v/>
      </c>
      <c r="F3338" s="22" t="str">
        <f>IF(OR(E3338="",E3338="!!!"),"",IF(NOT(ISNA(VLOOKUP(E3338,E$1:E3337,1,FALSE()))),"OLD",IF(AND(E3338&lt;&gt;"",E3338&lt;&gt;"!!!"),"NEW","")))</f>
        <v> </v>
      </c>
      <c r="G3338" s="23" t="str">
        <f>IF(OR(E3338="",E3338="!!!"),"",IF(OR(J3338=0,AND(J3338=1,K3338=1),AND(J3338=1,I3338="SBJ"),AND(J3338=1,I3338=0)),"?IN_FOCUS",IF(J3338&lt;=2,"?ACTIVATED",IF(J3338&lt;&gt;"","?FAMILIAR",IF(F3338="NEW",IF(ISNA(VLOOKUP(E3338,#REF!,1,FALSE())),"?TYPE_IDENTIFIABLE","?REFERENTIAL"),"_")))))</f>
        <v> </v>
      </c>
      <c r="H3338" s="24" t="str">
        <f>IF(J3338&lt;&gt;1,"",IF(I3338="SBJ","CB","?"))</f>
        <v> </v>
      </c>
      <c r="I3338" s="25" t="str">
        <f>IF(OR(E3338="",E3338="!!!",F3338="NEW"),"",INDEX(B3337:B$2,-1+SUMPRODUCT(MAX(ROW(E3337:E$2)*(E3338=E3337:E$2)))))</f>
        <v> </v>
      </c>
      <c r="J3338" s="25" t="str">
        <f>IF(OR(E3338="",E3338="!!!",F3338="NEW"),"",COUNTBLANK(OFFSET(A$1,,,SUMPRODUCT(MAX(ROW(E$2:E3338)*(E3338=E$2:E3338)))))-COUNTBLANK(OFFSET(A$1,,,SUMPRODUCT(MAX(ROW(E$1:E3337)*(E2=E$1:E3337))))))</f>
        <v> </v>
      </c>
      <c r="K3338" s="25" t="str">
        <f>IF(OR(E3338="",E3338="!!!",F3338="NEW"),"",INDEX(J$1:J3337,SUMPRODUCT(MAX(ROW(E$1:E3337)*(E3338=E$1:E3337)))))</f>
        <v> </v>
      </c>
      <c r="L3338" s="26"/>
    </row>
    <row r="3339" spans="1:12">
      <c r="A3339" s="20" t="s">
        <v>2626</v>
      </c>
      <c r="E3339" s="21">
        <f>IF(D3339="?OLD","!!!","")</f>
        <v/>
      </c>
      <c r="F3339" s="22" t="str">
        <f>IF(OR(E3339="",E3339="!!!"),"",IF(NOT(ISNA(VLOOKUP(E3339,E$1:E3338,1,FALSE()))),"OLD",IF(AND(E3339&lt;&gt;"",E3339&lt;&gt;"!!!"),"NEW","")))</f>
        <v> </v>
      </c>
      <c r="G3339" s="23" t="str">
        <f>IF(OR(E3339="",E3339="!!!"),"",IF(OR(J3339=0,AND(J3339=1,K3339=1),AND(J3339=1,I3339="SBJ"),AND(J3339=1,I3339=0)),"?IN_FOCUS",IF(J3339&lt;=2,"?ACTIVATED",IF(J3339&lt;&gt;"","?FAMILIAR",IF(F3339="NEW",IF(ISNA(VLOOKUP(E3339,#REF!,1,FALSE())),"?TYPE_IDENTIFIABLE","?REFERENTIAL"),"_")))))</f>
        <v> </v>
      </c>
      <c r="H3339" s="24" t="str">
        <f>IF(J3339&lt;&gt;1,"",IF(I3339="SBJ","CB","?"))</f>
        <v> </v>
      </c>
      <c r="I3339" s="25" t="str">
        <f>IF(OR(E3339="",E3339="!!!",F3339="NEW"),"",INDEX(B3338:B$2,-1+SUMPRODUCT(MAX(ROW(E3338:E$2)*(E3339=E3338:E$2)))))</f>
        <v> </v>
      </c>
      <c r="J3339" s="25" t="str">
        <f>IF(OR(E3339="",E3339="!!!",F3339="NEW"),"",COUNTBLANK(OFFSET(A$1,,,SUMPRODUCT(MAX(ROW(E$2:E3339)*(E3339=E$2:E3339)))))-COUNTBLANK(OFFSET(A$1,,,SUMPRODUCT(MAX(ROW(E$1:E3338)*(E2=E$1:E3338))))))</f>
        <v> </v>
      </c>
      <c r="K3339" s="25" t="str">
        <f>IF(OR(E3339="",E3339="!!!",F3339="NEW"),"",INDEX(J$1:J3338,SUMPRODUCT(MAX(ROW(E$1:E3338)*(E3339=E$1:E3338)))))</f>
        <v> </v>
      </c>
      <c r="L3339" s="26"/>
    </row>
    <row r="3340" spans="1:12">
      <c r="A3340" s="20" t="s">
        <v>2453</v>
      </c>
      <c r="B3340" s="27" t="s">
        <v>1107</v>
      </c>
      <c r="C3340" s="27" t="s">
        <v>1210</v>
      </c>
      <c r="E3340" s="21">
        <f>IF(D3340="?OLD","!!!","")</f>
        <v/>
      </c>
      <c r="F3340" s="22" t="str">
        <f>IF(OR(E3340="",E3340="!!!"),"",IF(NOT(ISNA(VLOOKUP(E3340,E$1:E3339,1,FALSE()))),"OLD",IF(AND(E3340&lt;&gt;"",E3340&lt;&gt;"!!!"),"NEW","")))</f>
        <v> </v>
      </c>
      <c r="G3340" s="23" t="str">
        <f>IF(OR(E3340="",E3340="!!!"),"",IF(OR(J3340=0,AND(J3340=1,K3340=1),AND(J3340=1,I3340="SBJ"),AND(J3340=1,I3340=0)),"?IN_FOCUS",IF(J3340&lt;=2,"?ACTIVATED",IF(J3340&lt;&gt;"","?FAMILIAR",IF(F3340="NEW",IF(ISNA(VLOOKUP(E3340,#REF!,1,FALSE())),"?TYPE_IDENTIFIABLE","?REFERENTIAL"),"_")))))</f>
        <v> </v>
      </c>
      <c r="H3340" s="24" t="str">
        <f>IF(J3340&lt;&gt;1,"",IF(I3340="SBJ","CB","?"))</f>
        <v> </v>
      </c>
      <c r="I3340" s="25" t="str">
        <f>IF(OR(E3340="",E3340="!!!",F3340="NEW"),"",INDEX(B3339:B$2,-1+SUMPRODUCT(MAX(ROW(E3339:E$2)*(E3340=E3339:E$2)))))</f>
        <v> </v>
      </c>
      <c r="J3340" s="25" t="str">
        <f>IF(OR(E3340="",E3340="!!!",F3340="NEW"),"",COUNTBLANK(OFFSET(A$1,,,SUMPRODUCT(MAX(ROW(E$2:E3340)*(E3340=E$2:E3340)))))-COUNTBLANK(OFFSET(A$1,,,SUMPRODUCT(MAX(ROW(E$1:E3339)*(E2=E$1:E3339))))))</f>
        <v> </v>
      </c>
      <c r="K3340" s="25" t="str">
        <f>IF(OR(E3340="",E3340="!!!",F3340="NEW"),"",INDEX(J$1:J3339,SUMPRODUCT(MAX(ROW(E$1:E3339)*(E3340=E$1:E3339)))))</f>
        <v> </v>
      </c>
      <c r="L3340" s="26"/>
    </row>
    <row r="3341" spans="1:12">
      <c r="A3341" s="20" t="s">
        <v>1123</v>
      </c>
      <c r="E3341" s="21">
        <f>IF(D3341="?OLD","!!!","")</f>
        <v/>
      </c>
      <c r="F3341" s="22" t="str">
        <f>IF(OR(E3341="",E3341="!!!"),"",IF(NOT(ISNA(VLOOKUP(E3341,E$1:E3340,1,FALSE()))),"OLD",IF(AND(E3341&lt;&gt;"",E3341&lt;&gt;"!!!"),"NEW","")))</f>
        <v> </v>
      </c>
      <c r="G3341" s="23" t="str">
        <f>IF(OR(E3341="",E3341="!!!"),"",IF(OR(J3341=0,AND(J3341=1,K3341=1),AND(J3341=1,I3341="SBJ"),AND(J3341=1,I3341=0)),"?IN_FOCUS",IF(J3341&lt;=2,"?ACTIVATED",IF(J3341&lt;&gt;"","?FAMILIAR",IF(F3341="NEW",IF(ISNA(VLOOKUP(E3341,#REF!,1,FALSE())),"?TYPE_IDENTIFIABLE","?REFERENTIAL"),"_")))))</f>
        <v> </v>
      </c>
      <c r="H3341" s="24" t="str">
        <f>IF(J3341&lt;&gt;1,"",IF(I3341="SBJ","CB","?"))</f>
        <v> </v>
      </c>
      <c r="I3341" s="25" t="str">
        <f>IF(OR(E3341="",E3341="!!!",F3341="NEW"),"",INDEX(B3340:B$2,-1+SUMPRODUCT(MAX(ROW(E3340:E$2)*(E3341=E3340:E$2)))))</f>
        <v> </v>
      </c>
      <c r="J3341" s="25" t="str">
        <f>IF(OR(E3341="",E3341="!!!",F3341="NEW"),"",COUNTBLANK(OFFSET(A$1,,,SUMPRODUCT(MAX(ROW(E$2:E3341)*(E3341=E$2:E3341)))))-COUNTBLANK(OFFSET(A$1,,,SUMPRODUCT(MAX(ROW(E$1:E3340)*(E2=E$1:E3340))))))</f>
        <v> </v>
      </c>
      <c r="K3341" s="25" t="str">
        <f>IF(OR(E3341="",E3341="!!!",F3341="NEW"),"",INDEX(J$1:J3340,SUMPRODUCT(MAX(ROW(E$1:E3340)*(E3341=E$1:E3340)))))</f>
        <v> </v>
      </c>
      <c r="L3341" s="26"/>
    </row>
    <row r="3342" spans="1:12">
      <c r="A3342" s="20" t="s">
        <v>1590</v>
      </c>
      <c r="E3342" s="21">
        <f>IF(D3342="?OLD","!!!","")</f>
        <v/>
      </c>
      <c r="F3342" s="22" t="str">
        <f>IF(OR(E3342="",E3342="!!!"),"",IF(NOT(ISNA(VLOOKUP(E3342,E$1:E3341,1,FALSE()))),"OLD",IF(AND(E3342&lt;&gt;"",E3342&lt;&gt;"!!!"),"NEW","")))</f>
        <v> </v>
      </c>
      <c r="G3342" s="23" t="str">
        <f>IF(OR(E3342="",E3342="!!!"),"",IF(OR(J3342=0,AND(J3342=1,K3342=1),AND(J3342=1,I3342="SBJ"),AND(J3342=1,I3342=0)),"?IN_FOCUS",IF(J3342&lt;=2,"?ACTIVATED",IF(J3342&lt;&gt;"","?FAMILIAR",IF(F3342="NEW",IF(ISNA(VLOOKUP(E3342,#REF!,1,FALSE())),"?TYPE_IDENTIFIABLE","?REFERENTIAL"),"_")))))</f>
        <v> </v>
      </c>
      <c r="H3342" s="24" t="str">
        <f>IF(J3342&lt;&gt;1,"",IF(I3342="SBJ","CB","?"))</f>
        <v> </v>
      </c>
      <c r="I3342" s="25" t="str">
        <f>IF(OR(E3342="",E3342="!!!",F3342="NEW"),"",INDEX(B3341:B$2,-1+SUMPRODUCT(MAX(ROW(E3341:E$2)*(E3342=E3341:E$2)))))</f>
        <v> </v>
      </c>
      <c r="J3342" s="25" t="str">
        <f>IF(OR(E3342="",E3342="!!!",F3342="NEW"),"",COUNTBLANK(OFFSET(A$1,,,SUMPRODUCT(MAX(ROW(E$2:E3342)*(E3342=E$2:E3342)))))-COUNTBLANK(OFFSET(A$1,,,SUMPRODUCT(MAX(ROW(E$1:E3341)*(E2=E$1:E3341))))))</f>
        <v> </v>
      </c>
      <c r="K3342" s="25" t="str">
        <f>IF(OR(E3342="",E3342="!!!",F3342="NEW"),"",INDEX(J$1:J3341,SUMPRODUCT(MAX(ROW(E$1:E3341)*(E3342=E$1:E3341)))))</f>
        <v> </v>
      </c>
      <c r="L3342" s="26"/>
    </row>
    <row r="3343" spans="1:12">
      <c r="A3343" s="20" t="s">
        <v>1166</v>
      </c>
      <c r="B3343" s="27" t="s">
        <v>1115</v>
      </c>
      <c r="C3343" s="27" t="s">
        <v>1126</v>
      </c>
      <c r="D3343" s="27" t="s">
        <v>1105</v>
      </c>
      <c r="E3343" s="21">
        <f>IF(D3343="?OLD","!!!","")</f>
        <v/>
      </c>
      <c r="F3343" s="22" t="str">
        <f>IF(OR(E3343="",E3343="!!!"),"",IF(NOT(ISNA(VLOOKUP(E3343,E$1:E3342,1,FALSE()))),"OLD",IF(AND(E3343&lt;&gt;"",E3343&lt;&gt;"!!!"),"NEW","")))</f>
        <v> </v>
      </c>
      <c r="G3343" s="23" t="str">
        <f>IF(OR(E3343="",E3343="!!!"),"",IF(OR(J3343=0,AND(J3343=1,K3343=1),AND(J3343=1,I3343="SBJ"),AND(J3343=1,I3343=0)),"?IN_FOCUS",IF(J3343&lt;=2,"?ACTIVATED",IF(J3343&lt;&gt;"","?FAMILIAR",IF(F3343="NEW",IF(ISNA(VLOOKUP(E3343,#REF!,1,FALSE())),"?TYPE_IDENTIFIABLE","?REFERENTIAL"),"_")))))</f>
        <v> </v>
      </c>
      <c r="H3343" s="24" t="str">
        <f>IF(J3343&lt;&gt;1,"",IF(I3343="SBJ","CB","?"))</f>
        <v> </v>
      </c>
      <c r="I3343" s="25" t="str">
        <f>IF(OR(E3343="",E3343="!!!",F3343="NEW"),"",INDEX(B3342:B$2,-1+SUMPRODUCT(MAX(ROW(E3342:E$2)*(E3343=E3342:E$2)))))</f>
        <v> </v>
      </c>
      <c r="J3343" s="25" t="str">
        <f>IF(OR(E3343="",E3343="!!!",F3343="NEW"),"",COUNTBLANK(OFFSET(A$1,,,SUMPRODUCT(MAX(ROW(E$2:E3343)*(E3343=E$2:E3343)))))-COUNTBLANK(OFFSET(A$1,,,SUMPRODUCT(MAX(ROW(E$1:E3342)*(E2=E$1:E3342))))))</f>
        <v> </v>
      </c>
      <c r="K3343" s="25" t="str">
        <f>IF(OR(E3343="",E3343="!!!",F3343="NEW"),"",INDEX(J$1:J3342,SUMPRODUCT(MAX(ROW(E$1:E3342)*(E3343=E$1:E3342)))))</f>
        <v> </v>
      </c>
      <c r="L3343" s="26"/>
    </row>
    <row r="3344" spans="1:12">
      <c r="A3344" s="20" t="s">
        <v>259</v>
      </c>
      <c r="E3344" s="21">
        <f>IF(D3344="?OLD","!!!","")</f>
        <v/>
      </c>
      <c r="F3344" s="22" t="str">
        <f>IF(OR(E3344="",E3344="!!!"),"",IF(NOT(ISNA(VLOOKUP(E3344,E$1:E3343,1,FALSE()))),"OLD",IF(AND(E3344&lt;&gt;"",E3344&lt;&gt;"!!!"),"NEW","")))</f>
        <v> </v>
      </c>
      <c r="G3344" s="23" t="str">
        <f>IF(OR(E3344="",E3344="!!!"),"",IF(OR(J3344=0,AND(J3344=1,K3344=1),AND(J3344=1,I3344="SBJ"),AND(J3344=1,I3344=0)),"?IN_FOCUS",IF(J3344&lt;=2,"?ACTIVATED",IF(J3344&lt;&gt;"","?FAMILIAR",IF(F3344="NEW",IF(ISNA(VLOOKUP(E3344,#REF!,1,FALSE())),"?TYPE_IDENTIFIABLE","?REFERENTIAL"),"_")))))</f>
        <v> </v>
      </c>
      <c r="H3344" s="24" t="str">
        <f>IF(J3344&lt;&gt;1,"",IF(I3344="SBJ","CB","?"))</f>
        <v> </v>
      </c>
      <c r="I3344" s="25" t="str">
        <f>IF(OR(E3344="",E3344="!!!",F3344="NEW"),"",INDEX(B3343:B$2,-1+SUMPRODUCT(MAX(ROW(E3343:E$2)*(E3344=E3343:E$2)))))</f>
        <v> </v>
      </c>
      <c r="J3344" s="25" t="str">
        <f>IF(OR(E3344="",E3344="!!!",F3344="NEW"),"",COUNTBLANK(OFFSET(A$1,,,SUMPRODUCT(MAX(ROW(E$2:E3344)*(E3344=E$2:E3344)))))-COUNTBLANK(OFFSET(A$1,,,SUMPRODUCT(MAX(ROW(E$1:E3343)*(E2=E$1:E3343))))))</f>
        <v> </v>
      </c>
      <c r="K3344" s="25" t="str">
        <f>IF(OR(E3344="",E3344="!!!",F3344="NEW"),"",INDEX(J$1:J3343,SUMPRODUCT(MAX(ROW(E$1:E3343)*(E3344=E$1:E3343)))))</f>
        <v> </v>
      </c>
      <c r="L3344" s="26"/>
    </row>
    <row r="3345" spans="1:12">
      <c r="A3345" s="20" t="s">
        <v>2627</v>
      </c>
      <c r="E3345" s="21">
        <f>IF(D3345="?OLD","!!!","")</f>
        <v/>
      </c>
      <c r="F3345" s="22" t="str">
        <f>IF(OR(E3345="",E3345="!!!"),"",IF(NOT(ISNA(VLOOKUP(E3345,E$1:E3344,1,FALSE()))),"OLD",IF(AND(E3345&lt;&gt;"",E3345&lt;&gt;"!!!"),"NEW","")))</f>
        <v> </v>
      </c>
      <c r="G3345" s="23" t="str">
        <f>IF(OR(E3345="",E3345="!!!"),"",IF(OR(J3345=0,AND(J3345=1,K3345=1),AND(J3345=1,I3345="SBJ"),AND(J3345=1,I3345=0)),"?IN_FOCUS",IF(J3345&lt;=2,"?ACTIVATED",IF(J3345&lt;&gt;"","?FAMILIAR",IF(F3345="NEW",IF(ISNA(VLOOKUP(E3345,#REF!,1,FALSE())),"?TYPE_IDENTIFIABLE","?REFERENTIAL"),"_")))))</f>
        <v> </v>
      </c>
      <c r="H3345" s="24" t="str">
        <f>IF(J3345&lt;&gt;1,"",IF(I3345="SBJ","CB","?"))</f>
        <v> </v>
      </c>
      <c r="I3345" s="25" t="str">
        <f>IF(OR(E3345="",E3345="!!!",F3345="NEW"),"",INDEX(B3344:B$2,-1+SUMPRODUCT(MAX(ROW(E3344:E$2)*(E3345=E3344:E$2)))))</f>
        <v> </v>
      </c>
      <c r="J3345" s="25" t="str">
        <f>IF(OR(E3345="",E3345="!!!",F3345="NEW"),"",COUNTBLANK(OFFSET(A$1,,,SUMPRODUCT(MAX(ROW(E$2:E3345)*(E3345=E$2:E3345)))))-COUNTBLANK(OFFSET(A$1,,,SUMPRODUCT(MAX(ROW(E$1:E3344)*(E2=E$1:E3344))))))</f>
        <v> </v>
      </c>
      <c r="K3345" s="25" t="str">
        <f>IF(OR(E3345="",E3345="!!!",F3345="NEW"),"",INDEX(J$1:J3344,SUMPRODUCT(MAX(ROW(E$1:E3344)*(E3345=E$1:E3344)))))</f>
        <v> </v>
      </c>
      <c r="L3345" s="26"/>
    </row>
    <row r="3346" spans="1:12">
      <c r="A3346" s="20" t="s">
        <v>1123</v>
      </c>
      <c r="E3346" s="21">
        <f>IF(D3346="?OLD","!!!","")</f>
        <v/>
      </c>
      <c r="F3346" s="22" t="str">
        <f>IF(OR(E3346="",E3346="!!!"),"",IF(NOT(ISNA(VLOOKUP(E3346,E$1:E3345,1,FALSE()))),"OLD",IF(AND(E3346&lt;&gt;"",E3346&lt;&gt;"!!!"),"NEW","")))</f>
        <v> </v>
      </c>
      <c r="G3346" s="23" t="str">
        <f>IF(OR(E3346="",E3346="!!!"),"",IF(OR(J3346=0,AND(J3346=1,K3346=1),AND(J3346=1,I3346="SBJ"),AND(J3346=1,I3346=0)),"?IN_FOCUS",IF(J3346&lt;=2,"?ACTIVATED",IF(J3346&lt;&gt;"","?FAMILIAR",IF(F3346="NEW",IF(ISNA(VLOOKUP(E3346,#REF!,1,FALSE())),"?TYPE_IDENTIFIABLE","?REFERENTIAL"),"_")))))</f>
        <v> </v>
      </c>
      <c r="H3346" s="24" t="str">
        <f>IF(J3346&lt;&gt;1,"",IF(I3346="SBJ","CB","?"))</f>
        <v> </v>
      </c>
      <c r="I3346" s="25" t="str">
        <f>IF(OR(E3346="",E3346="!!!",F3346="NEW"),"",INDEX(B3345:B$2,-1+SUMPRODUCT(MAX(ROW(E3345:E$2)*(E3346=E3345:E$2)))))</f>
        <v> </v>
      </c>
      <c r="J3346" s="25" t="str">
        <f>IF(OR(E3346="",E3346="!!!",F3346="NEW"),"",COUNTBLANK(OFFSET(A$1,,,SUMPRODUCT(MAX(ROW(E$2:E3346)*(E3346=E$2:E3346)))))-COUNTBLANK(OFFSET(A$1,,,SUMPRODUCT(MAX(ROW(E$1:E3345)*(E2=E$1:E3345))))))</f>
        <v> </v>
      </c>
      <c r="K3346" s="25" t="str">
        <f>IF(OR(E3346="",E3346="!!!",F3346="NEW"),"",INDEX(J$1:J3345,SUMPRODUCT(MAX(ROW(E$1:E3345)*(E3346=E$1:E3345)))))</f>
        <v> </v>
      </c>
      <c r="L3346" s="26"/>
    </row>
    <row r="3347" spans="1:12">
      <c r="A3347" s="20" t="s">
        <v>1111</v>
      </c>
      <c r="E3347" s="21">
        <f>IF(D3347="?OLD","!!!","")</f>
        <v/>
      </c>
      <c r="F3347" s="22" t="str">
        <f>IF(OR(E3347="",E3347="!!!"),"",IF(NOT(ISNA(VLOOKUP(E3347,E$1:E3346,1,FALSE()))),"OLD",IF(AND(E3347&lt;&gt;"",E3347&lt;&gt;"!!!"),"NEW","")))</f>
        <v> </v>
      </c>
      <c r="G3347" s="23" t="str">
        <f>IF(OR(E3347="",E3347="!!!"),"",IF(OR(J3347=0,AND(J3347=1,K3347=1),AND(J3347=1,I3347="SBJ"),AND(J3347=1,I3347=0)),"?IN_FOCUS",IF(J3347&lt;=2,"?ACTIVATED",IF(J3347&lt;&gt;"","?FAMILIAR",IF(F3347="NEW",IF(ISNA(VLOOKUP(E3347,#REF!,1,FALSE())),"?TYPE_IDENTIFIABLE","?REFERENTIAL"),"_")))))</f>
        <v> </v>
      </c>
      <c r="H3347" s="24" t="str">
        <f>IF(J3347&lt;&gt;1,"",IF(I3347="SBJ","CB","?"))</f>
        <v> </v>
      </c>
      <c r="I3347" s="25" t="str">
        <f>IF(OR(E3347="",E3347="!!!",F3347="NEW"),"",INDEX(B3346:B$2,-1+SUMPRODUCT(MAX(ROW(E3346:E$2)*(E3347=E3346:E$2)))))</f>
        <v> </v>
      </c>
      <c r="J3347" s="25" t="str">
        <f>IF(OR(E3347="",E3347="!!!",F3347="NEW"),"",COUNTBLANK(OFFSET(A$1,,,SUMPRODUCT(MAX(ROW(E$2:E3347)*(E3347=E$2:E3347)))))-COUNTBLANK(OFFSET(A$1,,,SUMPRODUCT(MAX(ROW(E$1:E3346)*(E2=E$1:E3346))))))</f>
        <v> </v>
      </c>
      <c r="K3347" s="25" t="str">
        <f>IF(OR(E3347="",E3347="!!!",F3347="NEW"),"",INDEX(J$1:J3346,SUMPRODUCT(MAX(ROW(E$1:E3346)*(E3347=E$1:E3346)))))</f>
        <v> </v>
      </c>
      <c r="L3347" s="26"/>
    </row>
    <row r="3348" spans="1:12">
      <c r="A3348" s="20" t="s">
        <v>2628</v>
      </c>
      <c r="E3348" s="21">
        <f>IF(D3348="?OLD","!!!","")</f>
        <v/>
      </c>
      <c r="F3348" s="22" t="str">
        <f>IF(OR(E3348="",E3348="!!!"),"",IF(NOT(ISNA(VLOOKUP(E3348,E$1:E3347,1,FALSE()))),"OLD",IF(AND(E3348&lt;&gt;"",E3348&lt;&gt;"!!!"),"NEW","")))</f>
        <v> </v>
      </c>
      <c r="G3348" s="23" t="str">
        <f>IF(OR(E3348="",E3348="!!!"),"",IF(OR(J3348=0,AND(J3348=1,K3348=1),AND(J3348=1,I3348="SBJ"),AND(J3348=1,I3348=0)),"?IN_FOCUS",IF(J3348&lt;=2,"?ACTIVATED",IF(J3348&lt;&gt;"","?FAMILIAR",IF(F3348="NEW",IF(ISNA(VLOOKUP(E3348,#REF!,1,FALSE())),"?TYPE_IDENTIFIABLE","?REFERENTIAL"),"_")))))</f>
        <v> </v>
      </c>
      <c r="H3348" s="24" t="str">
        <f>IF(J3348&lt;&gt;1,"",IF(I3348="SBJ","CB","?"))</f>
        <v> </v>
      </c>
      <c r="I3348" s="25" t="str">
        <f>IF(OR(E3348="",E3348="!!!",F3348="NEW"),"",INDEX(B3347:B$2,-1+SUMPRODUCT(MAX(ROW(E3347:E$2)*(E3348=E3347:E$2)))))</f>
        <v> </v>
      </c>
      <c r="J3348" s="25" t="str">
        <f>IF(OR(E3348="",E3348="!!!",F3348="NEW"),"",COUNTBLANK(OFFSET(A$1,,,SUMPRODUCT(MAX(ROW(E$2:E3348)*(E3348=E$2:E3348)))))-COUNTBLANK(OFFSET(A$1,,,SUMPRODUCT(MAX(ROW(E$1:E3347)*(E2=E$1:E3347))))))</f>
        <v> </v>
      </c>
      <c r="K3348" s="25" t="str">
        <f>IF(OR(E3348="",E3348="!!!",F3348="NEW"),"",INDEX(J$1:J3347,SUMPRODUCT(MAX(ROW(E$1:E3347)*(E3348=E$1:E3347)))))</f>
        <v> </v>
      </c>
      <c r="L3348" s="26"/>
    </row>
    <row r="3349" spans="1:12">
      <c r="A3349" s="20" t="s">
        <v>1617</v>
      </c>
      <c r="B3349" s="27" t="s">
        <v>1259</v>
      </c>
      <c r="C3349" s="27" t="s">
        <v>1126</v>
      </c>
      <c r="D3349" s="27" t="s">
        <v>1105</v>
      </c>
      <c r="E3349" s="21">
        <f>IF(D3349="?OLD","!!!","")</f>
        <v/>
      </c>
      <c r="F3349" s="22" t="str">
        <f>IF(OR(E3349="",E3349="!!!"),"",IF(NOT(ISNA(VLOOKUP(E3349,E$1:E3348,1,FALSE()))),"OLD",IF(AND(E3349&lt;&gt;"",E3349&lt;&gt;"!!!"),"NEW","")))</f>
        <v> </v>
      </c>
      <c r="G3349" s="23" t="str">
        <f>IF(OR(E3349="",E3349="!!!"),"",IF(OR(J3349=0,AND(J3349=1,K3349=1),AND(J3349=1,I3349="SBJ"),AND(J3349=1,I3349=0)),"?IN_FOCUS",IF(J3349&lt;=2,"?ACTIVATED",IF(J3349&lt;&gt;"","?FAMILIAR",IF(F3349="NEW",IF(ISNA(VLOOKUP(E3349,#REF!,1,FALSE())),"?TYPE_IDENTIFIABLE","?REFERENTIAL"),"_")))))</f>
        <v> </v>
      </c>
      <c r="H3349" s="24" t="str">
        <f>IF(J3349&lt;&gt;1,"",IF(I3349="SBJ","CB","?"))</f>
        <v> </v>
      </c>
      <c r="I3349" s="25" t="str">
        <f>IF(OR(E3349="",E3349="!!!",F3349="NEW"),"",INDEX(B3348:B$2,-1+SUMPRODUCT(MAX(ROW(E3348:E$2)*(E3349=E3348:E$2)))))</f>
        <v> </v>
      </c>
      <c r="J3349" s="25" t="str">
        <f>IF(OR(E3349="",E3349="!!!",F3349="NEW"),"",COUNTBLANK(OFFSET(A$1,,,SUMPRODUCT(MAX(ROW(E$2:E3349)*(E3349=E$2:E3349)))))-COUNTBLANK(OFFSET(A$1,,,SUMPRODUCT(MAX(ROW(E$1:E3348)*(E2=E$1:E3348))))))</f>
        <v> </v>
      </c>
      <c r="K3349" s="25" t="str">
        <f>IF(OR(E3349="",E3349="!!!",F3349="NEW"),"",INDEX(J$1:J3348,SUMPRODUCT(MAX(ROW(E$1:E3348)*(E3349=E$1:E3348)))))</f>
        <v> </v>
      </c>
      <c r="L3349" s="26"/>
    </row>
    <row r="3350" spans="1:12">
      <c r="A3350" s="20" t="s">
        <v>1145</v>
      </c>
      <c r="E3350" s="21">
        <f>IF(D3350="?OLD","!!!","")</f>
        <v/>
      </c>
      <c r="F3350" s="22" t="str">
        <f>IF(OR(E3350="",E3350="!!!"),"",IF(NOT(ISNA(VLOOKUP(E3350,E$1:E3349,1,FALSE()))),"OLD",IF(AND(E3350&lt;&gt;"",E3350&lt;&gt;"!!!"),"NEW","")))</f>
        <v> </v>
      </c>
      <c r="G3350" s="23" t="str">
        <f>IF(OR(E3350="",E3350="!!!"),"",IF(OR(J3350=0,AND(J3350=1,K3350=1),AND(J3350=1,I3350="SBJ"),AND(J3350=1,I3350=0)),"?IN_FOCUS",IF(J3350&lt;=2,"?ACTIVATED",IF(J3350&lt;&gt;"","?FAMILIAR",IF(F3350="NEW",IF(ISNA(VLOOKUP(E3350,#REF!,1,FALSE())),"?TYPE_IDENTIFIABLE","?REFERENTIAL"),"_")))))</f>
        <v> </v>
      </c>
      <c r="H3350" s="24" t="str">
        <f>IF(J3350&lt;&gt;1,"",IF(I3350="SBJ","CB","?"))</f>
        <v> </v>
      </c>
      <c r="I3350" s="25" t="str">
        <f>IF(OR(E3350="",E3350="!!!",F3350="NEW"),"",INDEX(B3349:B$2,-1+SUMPRODUCT(MAX(ROW(E3349:E$2)*(E3350=E3349:E$2)))))</f>
        <v> </v>
      </c>
      <c r="J3350" s="25" t="str">
        <f>IF(OR(E3350="",E3350="!!!",F3350="NEW"),"",COUNTBLANK(OFFSET(A$1,,,SUMPRODUCT(MAX(ROW(E$2:E3350)*(E3350=E$2:E3350)))))-COUNTBLANK(OFFSET(A$1,,,SUMPRODUCT(MAX(ROW(E$1:E3349)*(E2=E$1:E3349))))))</f>
        <v> </v>
      </c>
      <c r="K3350" s="25" t="str">
        <f>IF(OR(E3350="",E3350="!!!",F3350="NEW"),"",INDEX(J$1:J3349,SUMPRODUCT(MAX(ROW(E$1:E3349)*(E3350=E$1:E3349)))))</f>
        <v> </v>
      </c>
      <c r="L3350" s="26"/>
    </row>
    <row r="3351" spans="1:12">
      <c r="A3351" s="20"/>
    </row>
    <row r="3352" spans="1:12">
      <c r="A3352" s="20" t="s">
        <v>2629</v>
      </c>
    </row>
    <row r="3353" spans="1:12">
      <c r="A3353" s="20" t="s">
        <v>1111</v>
      </c>
      <c r="E3353" s="21">
        <f>IF(D3353="?OLD","!!!","")</f>
        <v/>
      </c>
      <c r="F3353" s="22" t="str">
        <f>IF(OR(E3353="",E3353="!!!"),"",IF(NOT(ISNA(VLOOKUP(E3353,E$1:E3352,1,FALSE()))),"OLD",IF(AND(E3353&lt;&gt;"",E3353&lt;&gt;"!!!"),"NEW","")))</f>
        <v> </v>
      </c>
      <c r="G3353" s="23" t="str">
        <f>IF(OR(E3353="",E3353="!!!"),"",IF(OR(J3353=0,AND(J3353=1,K3353=1),AND(J3353=1,I3353="SBJ"),AND(J3353=1,I3353=0)),"?IN_FOCUS",IF(J3353&lt;=2,"?ACTIVATED",IF(J3353&lt;&gt;"","?FAMILIAR",IF(F3353="NEW",IF(ISNA(VLOOKUP(E3353,#REF!,1,FALSE())),"?TYPE_IDENTIFIABLE","?REFERENTIAL"),"_")))))</f>
        <v> </v>
      </c>
      <c r="H3353" s="24" t="str">
        <f>IF(J3353&lt;&gt;1,"",IF(I3353="SBJ","CB","?"))</f>
        <v> </v>
      </c>
      <c r="I3353" s="25" t="str">
        <f>IF(OR(E3353="",E3353="!!!",F3353="NEW"),"",INDEX(B3352:B$2,-1+SUMPRODUCT(MAX(ROW(E3352:E$2)*(E3353=E3352:E$2)))))</f>
        <v> </v>
      </c>
      <c r="J3353" s="25" t="str">
        <f>IF(OR(E3353="",E3353="!!!",F3353="NEW"),"",COUNTBLANK(OFFSET(A$1,,,SUMPRODUCT(MAX(ROW(E$2:E3353)*(E3353=E$2:E3353)))))-COUNTBLANK(OFFSET(A$1,,,SUMPRODUCT(MAX(ROW(E$1:E3352)*(E2=E$1:E3352))))))</f>
        <v> </v>
      </c>
      <c r="K3353" s="25" t="str">
        <f>IF(OR(E3353="",E3353="!!!",F3353="NEW"),"",INDEX(J$1:J3352,SUMPRODUCT(MAX(ROW(E$1:E3352)*(E3353=E$1:E3352)))))</f>
        <v> </v>
      </c>
      <c r="L3353" s="26"/>
    </row>
    <row r="3354" spans="1:12">
      <c r="A3354" s="20" t="s">
        <v>1277</v>
      </c>
      <c r="E3354" s="21">
        <f>IF(D3354="?OLD","!!!","")</f>
        <v/>
      </c>
      <c r="F3354" s="22" t="str">
        <f>IF(OR(E3354="",E3354="!!!"),"",IF(NOT(ISNA(VLOOKUP(E3354,E$1:E3353,1,FALSE()))),"OLD",IF(AND(E3354&lt;&gt;"",E3354&lt;&gt;"!!!"),"NEW","")))</f>
        <v> </v>
      </c>
      <c r="G3354" s="23" t="str">
        <f>IF(OR(E3354="",E3354="!!!"),"",IF(OR(J3354=0,AND(J3354=1,K3354=1),AND(J3354=1,I3354="SBJ"),AND(J3354=1,I3354=0)),"?IN_FOCUS",IF(J3354&lt;=2,"?ACTIVATED",IF(J3354&lt;&gt;"","?FAMILIAR",IF(F3354="NEW",IF(ISNA(VLOOKUP(E3354,#REF!,1,FALSE())),"?TYPE_IDENTIFIABLE","?REFERENTIAL"),"_")))))</f>
        <v> </v>
      </c>
      <c r="H3354" s="24" t="str">
        <f>IF(J3354&lt;&gt;1,"",IF(I3354="SBJ","CB","?"))</f>
        <v> </v>
      </c>
      <c r="I3354" s="25" t="str">
        <f>IF(OR(E3354="",E3354="!!!",F3354="NEW"),"",INDEX(B3353:B$2,-1+SUMPRODUCT(MAX(ROW(E3353:E$2)*(E3354=E3353:E$2)))))</f>
        <v> </v>
      </c>
      <c r="J3354" s="25" t="str">
        <f>IF(OR(E3354="",E3354="!!!",F3354="NEW"),"",COUNTBLANK(OFFSET(A$1,,,SUMPRODUCT(MAX(ROW(E$2:E3354)*(E3354=E$2:E3354)))))-COUNTBLANK(OFFSET(A$1,,,SUMPRODUCT(MAX(ROW(E$1:E3353)*(E2=E$1:E3353))))))</f>
        <v> </v>
      </c>
      <c r="K3354" s="25" t="str">
        <f>IF(OR(E3354="",E3354="!!!",F3354="NEW"),"",INDEX(J$1:J3353,SUMPRODUCT(MAX(ROW(E$1:E3353)*(E3354=E$1:E3353)))))</f>
        <v> </v>
      </c>
      <c r="L3354" s="26"/>
    </row>
    <row r="3355" spans="1:12">
      <c r="A3355" s="20" t="s">
        <v>2630</v>
      </c>
      <c r="E3355" s="21">
        <f>IF(D3355="?OLD","!!!","")</f>
        <v/>
      </c>
      <c r="F3355" s="22" t="str">
        <f>IF(OR(E3355="",E3355="!!!"),"",IF(NOT(ISNA(VLOOKUP(E3355,E$1:E3354,1,FALSE()))),"OLD",IF(AND(E3355&lt;&gt;"",E3355&lt;&gt;"!!!"),"NEW","")))</f>
        <v> </v>
      </c>
      <c r="G3355" s="23" t="str">
        <f>IF(OR(E3355="",E3355="!!!"),"",IF(OR(J3355=0,AND(J3355=1,K3355=1),AND(J3355=1,I3355="SBJ"),AND(J3355=1,I3355=0)),"?IN_FOCUS",IF(J3355&lt;=2,"?ACTIVATED",IF(J3355&lt;&gt;"","?FAMILIAR",IF(F3355="NEW",IF(ISNA(VLOOKUP(E3355,#REF!,1,FALSE())),"?TYPE_IDENTIFIABLE","?REFERENTIAL"),"_")))))</f>
        <v> </v>
      </c>
      <c r="H3355" s="24" t="str">
        <f>IF(J3355&lt;&gt;1,"",IF(I3355="SBJ","CB","?"))</f>
        <v> </v>
      </c>
      <c r="I3355" s="25" t="str">
        <f>IF(OR(E3355="",E3355="!!!",F3355="NEW"),"",INDEX(B3354:B$2,-1+SUMPRODUCT(MAX(ROW(E3354:E$2)*(E3355=E3354:E$2)))))</f>
        <v> </v>
      </c>
      <c r="J3355" s="25" t="str">
        <f>IF(OR(E3355="",E3355="!!!",F3355="NEW"),"",COUNTBLANK(OFFSET(A$1,,,SUMPRODUCT(MAX(ROW(E$2:E3355)*(E3355=E$2:E3355)))))-COUNTBLANK(OFFSET(A$1,,,SUMPRODUCT(MAX(ROW(E$1:E3354)*(E2=E$1:E3354))))))</f>
        <v> </v>
      </c>
      <c r="K3355" s="25" t="str">
        <f>IF(OR(E3355="",E3355="!!!",F3355="NEW"),"",INDEX(J$1:J3354,SUMPRODUCT(MAX(ROW(E$1:E3354)*(E3355=E$1:E3354)))))</f>
        <v> </v>
      </c>
      <c r="L3355" s="26"/>
    </row>
    <row r="3356" spans="1:12">
      <c r="A3356" s="20" t="s">
        <v>2631</v>
      </c>
      <c r="E3356" s="21">
        <f>IF(D3356="?OLD","!!!","")</f>
        <v/>
      </c>
      <c r="F3356" s="22" t="str">
        <f>IF(OR(E3356="",E3356="!!!"),"",IF(NOT(ISNA(VLOOKUP(E3356,E$1:E3355,1,FALSE()))),"OLD",IF(AND(E3356&lt;&gt;"",E3356&lt;&gt;"!!!"),"NEW","")))</f>
        <v> </v>
      </c>
      <c r="G3356" s="23" t="str">
        <f>IF(OR(E3356="",E3356="!!!"),"",IF(OR(J3356=0,AND(J3356=1,K3356=1),AND(J3356=1,I3356="SBJ"),AND(J3356=1,I3356=0)),"?IN_FOCUS",IF(J3356&lt;=2,"?ACTIVATED",IF(J3356&lt;&gt;"","?FAMILIAR",IF(F3356="NEW",IF(ISNA(VLOOKUP(E3356,#REF!,1,FALSE())),"?TYPE_IDENTIFIABLE","?REFERENTIAL"),"_")))))</f>
        <v> </v>
      </c>
      <c r="H3356" s="24" t="str">
        <f>IF(J3356&lt;&gt;1,"",IF(I3356="SBJ","CB","?"))</f>
        <v> </v>
      </c>
      <c r="I3356" s="25" t="str">
        <f>IF(OR(E3356="",E3356="!!!",F3356="NEW"),"",INDEX(B3355:B$2,-1+SUMPRODUCT(MAX(ROW(E3355:E$2)*(E3356=E3355:E$2)))))</f>
        <v> </v>
      </c>
      <c r="J3356" s="25" t="str">
        <f>IF(OR(E3356="",E3356="!!!",F3356="NEW"),"",COUNTBLANK(OFFSET(A$1,,,SUMPRODUCT(MAX(ROW(E$2:E3356)*(E3356=E$2:E3356)))))-COUNTBLANK(OFFSET(A$1,,,SUMPRODUCT(MAX(ROW(E$1:E3355)*(E2=E$1:E3355))))))</f>
        <v> </v>
      </c>
      <c r="K3356" s="25" t="str">
        <f>IF(OR(E3356="",E3356="!!!",F3356="NEW"),"",INDEX(J$1:J3355,SUMPRODUCT(MAX(ROW(E$1:E3355)*(E3356=E$1:E3355)))))</f>
        <v> </v>
      </c>
      <c r="L3356" s="26"/>
    </row>
    <row r="3357" spans="1:12">
      <c r="A3357" s="20" t="s">
        <v>2632</v>
      </c>
      <c r="E3357" s="21">
        <f>IF(D3357="?OLD","!!!","")</f>
        <v/>
      </c>
      <c r="F3357" s="22" t="str">
        <f>IF(OR(E3357="",E3357="!!!"),"",IF(NOT(ISNA(VLOOKUP(E3357,E$1:E3356,1,FALSE()))),"OLD",IF(AND(E3357&lt;&gt;"",E3357&lt;&gt;"!!!"),"NEW","")))</f>
        <v> </v>
      </c>
      <c r="G3357" s="23" t="str">
        <f>IF(OR(E3357="",E3357="!!!"),"",IF(OR(J3357=0,AND(J3357=1,K3357=1),AND(J3357=1,I3357="SBJ"),AND(J3357=1,I3357=0)),"?IN_FOCUS",IF(J3357&lt;=2,"?ACTIVATED",IF(J3357&lt;&gt;"","?FAMILIAR",IF(F3357="NEW",IF(ISNA(VLOOKUP(E3357,#REF!,1,FALSE())),"?TYPE_IDENTIFIABLE","?REFERENTIAL"),"_")))))</f>
        <v> </v>
      </c>
      <c r="H3357" s="24" t="str">
        <f>IF(J3357&lt;&gt;1,"",IF(I3357="SBJ","CB","?"))</f>
        <v> </v>
      </c>
      <c r="I3357" s="25" t="str">
        <f>IF(OR(E3357="",E3357="!!!",F3357="NEW"),"",INDEX(B3356:B$2,-1+SUMPRODUCT(MAX(ROW(E3356:E$2)*(E3357=E3356:E$2)))))</f>
        <v> </v>
      </c>
      <c r="J3357" s="25" t="str">
        <f>IF(OR(E3357="",E3357="!!!",F3357="NEW"),"",COUNTBLANK(OFFSET(A$1,,,SUMPRODUCT(MAX(ROW(E$2:E3357)*(E3357=E$2:E3357)))))-COUNTBLANK(OFFSET(A$1,,,SUMPRODUCT(MAX(ROW(E$1:E3356)*(E2=E$1:E3356))))))</f>
        <v> </v>
      </c>
      <c r="K3357" s="25" t="str">
        <f>IF(OR(E3357="",E3357="!!!",F3357="NEW"),"",INDEX(J$1:J3356,SUMPRODUCT(MAX(ROW(E$1:E3356)*(E3357=E$1:E3356)))))</f>
        <v> </v>
      </c>
      <c r="L3357" s="26"/>
    </row>
    <row r="3358" spans="1:12">
      <c r="A3358" s="20" t="s">
        <v>1346</v>
      </c>
      <c r="E3358" s="21">
        <f>IF(D3358="?OLD","!!!","")</f>
        <v/>
      </c>
      <c r="F3358" s="22" t="str">
        <f>IF(OR(E3358="",E3358="!!!"),"",IF(NOT(ISNA(VLOOKUP(E3358,E$1:E3357,1,FALSE()))),"OLD",IF(AND(E3358&lt;&gt;"",E3358&lt;&gt;"!!!"),"NEW","")))</f>
        <v> </v>
      </c>
      <c r="G3358" s="23" t="str">
        <f>IF(OR(E3358="",E3358="!!!"),"",IF(OR(J3358=0,AND(J3358=1,K3358=1),AND(J3358=1,I3358="SBJ"),AND(J3358=1,I3358=0)),"?IN_FOCUS",IF(J3358&lt;=2,"?ACTIVATED",IF(J3358&lt;&gt;"","?FAMILIAR",IF(F3358="NEW",IF(ISNA(VLOOKUP(E3358,#REF!,1,FALSE())),"?TYPE_IDENTIFIABLE","?REFERENTIAL"),"_")))))</f>
        <v> </v>
      </c>
      <c r="H3358" s="24" t="str">
        <f>IF(J3358&lt;&gt;1,"",IF(I3358="SBJ","CB","?"))</f>
        <v> </v>
      </c>
      <c r="I3358" s="25" t="str">
        <f>IF(OR(E3358="",E3358="!!!",F3358="NEW"),"",INDEX(B3357:B$2,-1+SUMPRODUCT(MAX(ROW(E3357:E$2)*(E3358=E3357:E$2)))))</f>
        <v> </v>
      </c>
      <c r="J3358" s="25" t="str">
        <f>IF(OR(E3358="",E3358="!!!",F3358="NEW"),"",COUNTBLANK(OFFSET(A$1,,,SUMPRODUCT(MAX(ROW(E$2:E3358)*(E3358=E$2:E3358)))))-COUNTBLANK(OFFSET(A$1,,,SUMPRODUCT(MAX(ROW(E$1:E3357)*(E2=E$1:E3357))))))</f>
        <v> </v>
      </c>
      <c r="K3358" s="25" t="str">
        <f>IF(OR(E3358="",E3358="!!!",F3358="NEW"),"",INDEX(J$1:J3357,SUMPRODUCT(MAX(ROW(E$1:E3357)*(E3358=E$1:E3357)))))</f>
        <v> </v>
      </c>
      <c r="L3358" s="26"/>
    </row>
    <row r="3359" spans="1:12">
      <c r="A3359" s="20" t="s">
        <v>2633</v>
      </c>
      <c r="B3359" s="27" t="s">
        <v>1149</v>
      </c>
      <c r="E3359" s="21">
        <f>IF(D3359="?OLD","!!!","")</f>
        <v/>
      </c>
      <c r="F3359" s="22" t="str">
        <f>IF(OR(E3359="",E3359="!!!"),"",IF(NOT(ISNA(VLOOKUP(E3359,E$1:E3358,1,FALSE()))),"OLD",IF(AND(E3359&lt;&gt;"",E3359&lt;&gt;"!!!"),"NEW","")))</f>
        <v> </v>
      </c>
      <c r="G3359" s="23" t="str">
        <f>IF(OR(E3359="",E3359="!!!"),"",IF(OR(J3359=0,AND(J3359=1,K3359=1),AND(J3359=1,I3359="SBJ"),AND(J3359=1,I3359=0)),"?IN_FOCUS",IF(J3359&lt;=2,"?ACTIVATED",IF(J3359&lt;&gt;"","?FAMILIAR",IF(F3359="NEW",IF(ISNA(VLOOKUP(E3359,#REF!,1,FALSE())),"?TYPE_IDENTIFIABLE","?REFERENTIAL"),"_")))))</f>
        <v> </v>
      </c>
      <c r="H3359" s="24" t="str">
        <f>IF(J3359&lt;&gt;1,"",IF(I3359="SBJ","CB","?"))</f>
        <v> </v>
      </c>
      <c r="I3359" s="25" t="str">
        <f>IF(OR(E3359="",E3359="!!!",F3359="NEW"),"",INDEX(B3358:B$2,-1+SUMPRODUCT(MAX(ROW(E3358:E$2)*(E3359=E3358:E$2)))))</f>
        <v> </v>
      </c>
      <c r="J3359" s="25" t="str">
        <f>IF(OR(E3359="",E3359="!!!",F3359="NEW"),"",COUNTBLANK(OFFSET(A$1,,,SUMPRODUCT(MAX(ROW(E$2:E3359)*(E3359=E$2:E3359)))))-COUNTBLANK(OFFSET(A$1,,,SUMPRODUCT(MAX(ROW(E$1:E3358)*(E2=E$1:E3358))))))</f>
        <v> </v>
      </c>
      <c r="K3359" s="25" t="str">
        <f>IF(OR(E3359="",E3359="!!!",F3359="NEW"),"",INDEX(J$1:J3358,SUMPRODUCT(MAX(ROW(E$1:E3358)*(E3359=E$1:E3358)))))</f>
        <v> </v>
      </c>
      <c r="L3359" s="26"/>
    </row>
    <row r="3360" spans="1:12">
      <c r="A3360" s="20" t="s">
        <v>1123</v>
      </c>
      <c r="E3360" s="21">
        <f>IF(D3360="?OLD","!!!","")</f>
        <v/>
      </c>
      <c r="F3360" s="22" t="str">
        <f>IF(OR(E3360="",E3360="!!!"),"",IF(NOT(ISNA(VLOOKUP(E3360,E$1:E3359,1,FALSE()))),"OLD",IF(AND(E3360&lt;&gt;"",E3360&lt;&gt;"!!!"),"NEW","")))</f>
        <v> </v>
      </c>
      <c r="G3360" s="23" t="str">
        <f>IF(OR(E3360="",E3360="!!!"),"",IF(OR(J3360=0,AND(J3360=1,K3360=1),AND(J3360=1,I3360="SBJ"),AND(J3360=1,I3360=0)),"?IN_FOCUS",IF(J3360&lt;=2,"?ACTIVATED",IF(J3360&lt;&gt;"","?FAMILIAR",IF(F3360="NEW",IF(ISNA(VLOOKUP(E3360,#REF!,1,FALSE())),"?TYPE_IDENTIFIABLE","?REFERENTIAL"),"_")))))</f>
        <v> </v>
      </c>
      <c r="H3360" s="24" t="str">
        <f>IF(J3360&lt;&gt;1,"",IF(I3360="SBJ","CB","?"))</f>
        <v> </v>
      </c>
      <c r="I3360" s="25" t="str">
        <f>IF(OR(E3360="",E3360="!!!",F3360="NEW"),"",INDEX(B3359:B$2,-1+SUMPRODUCT(MAX(ROW(E3359:E$2)*(E3360=E3359:E$2)))))</f>
        <v> </v>
      </c>
      <c r="J3360" s="25" t="str">
        <f>IF(OR(E3360="",E3360="!!!",F3360="NEW"),"",COUNTBLANK(OFFSET(A$1,,,SUMPRODUCT(MAX(ROW(E$2:E3360)*(E3360=E$2:E3360)))))-COUNTBLANK(OFFSET(A$1,,,SUMPRODUCT(MAX(ROW(E$1:E3359)*(E2=E$1:E3359))))))</f>
        <v> </v>
      </c>
      <c r="K3360" s="25" t="str">
        <f>IF(OR(E3360="",E3360="!!!",F3360="NEW"),"",INDEX(J$1:J3359,SUMPRODUCT(MAX(ROW(E$1:E3359)*(E3360=E$1:E3359)))))</f>
        <v> </v>
      </c>
      <c r="L3360" s="26"/>
    </row>
    <row r="3361" spans="1:12">
      <c r="A3361" s="20" t="s">
        <v>1249</v>
      </c>
      <c r="E3361" s="21">
        <f>IF(D3361="?OLD","!!!","")</f>
        <v/>
      </c>
      <c r="F3361" s="22" t="str">
        <f>IF(OR(E3361="",E3361="!!!"),"",IF(NOT(ISNA(VLOOKUP(E3361,E$1:E3360,1,FALSE()))),"OLD",IF(AND(E3361&lt;&gt;"",E3361&lt;&gt;"!!!"),"NEW","")))</f>
        <v> </v>
      </c>
      <c r="G3361" s="23" t="str">
        <f>IF(OR(E3361="",E3361="!!!"),"",IF(OR(J3361=0,AND(J3361=1,K3361=1),AND(J3361=1,I3361="SBJ"),AND(J3361=1,I3361=0)),"?IN_FOCUS",IF(J3361&lt;=2,"?ACTIVATED",IF(J3361&lt;&gt;"","?FAMILIAR",IF(F3361="NEW",IF(ISNA(VLOOKUP(E3361,#REF!,1,FALSE())),"?TYPE_IDENTIFIABLE","?REFERENTIAL"),"_")))))</f>
        <v> </v>
      </c>
      <c r="H3361" s="24" t="str">
        <f>IF(J3361&lt;&gt;1,"",IF(I3361="SBJ","CB","?"))</f>
        <v> </v>
      </c>
      <c r="I3361" s="25" t="str">
        <f>IF(OR(E3361="",E3361="!!!",F3361="NEW"),"",INDEX(B3360:B$2,-1+SUMPRODUCT(MAX(ROW(E3360:E$2)*(E3361=E3360:E$2)))))</f>
        <v> </v>
      </c>
      <c r="J3361" s="25" t="str">
        <f>IF(OR(E3361="",E3361="!!!",F3361="NEW"),"",COUNTBLANK(OFFSET(A$1,,,SUMPRODUCT(MAX(ROW(E$2:E3361)*(E3361=E$2:E3361)))))-COUNTBLANK(OFFSET(A$1,,,SUMPRODUCT(MAX(ROW(E$1:E3360)*(E2=E$1:E3360))))))</f>
        <v> </v>
      </c>
      <c r="K3361" s="25" t="str">
        <f>IF(OR(E3361="",E3361="!!!",F3361="NEW"),"",INDEX(J$1:J3360,SUMPRODUCT(MAX(ROW(E$1:E3360)*(E3361=E$1:E3360)))))</f>
        <v> </v>
      </c>
      <c r="L3361" s="26"/>
    </row>
    <row r="3362" spans="1:12">
      <c r="A3362" s="20" t="s">
        <v>2634</v>
      </c>
      <c r="B3362" s="27" t="s">
        <v>1110</v>
      </c>
      <c r="C3362" s="27" t="s">
        <v>1133</v>
      </c>
      <c r="E3362" s="21">
        <f>IF(D3362="?OLD","!!!","")</f>
        <v/>
      </c>
      <c r="F3362" s="22" t="str">
        <f>IF(OR(E3362="",E3362="!!!"),"",IF(NOT(ISNA(VLOOKUP(E3362,E$1:E3361,1,FALSE()))),"OLD",IF(AND(E3362&lt;&gt;"",E3362&lt;&gt;"!!!"),"NEW","")))</f>
        <v> </v>
      </c>
      <c r="G3362" s="23" t="str">
        <f>IF(OR(E3362="",E3362="!!!"),"",IF(OR(J3362=0,AND(J3362=1,K3362=1),AND(J3362=1,I3362="SBJ"),AND(J3362=1,I3362=0)),"?IN_FOCUS",IF(J3362&lt;=2,"?ACTIVATED",IF(J3362&lt;&gt;"","?FAMILIAR",IF(F3362="NEW",IF(ISNA(VLOOKUP(E3362,#REF!,1,FALSE())),"?TYPE_IDENTIFIABLE","?REFERENTIAL"),"_")))))</f>
        <v> </v>
      </c>
      <c r="H3362" s="24" t="str">
        <f>IF(J3362&lt;&gt;1,"",IF(I3362="SBJ","CB","?"))</f>
        <v> </v>
      </c>
      <c r="I3362" s="25" t="str">
        <f>IF(OR(E3362="",E3362="!!!",F3362="NEW"),"",INDEX(B3361:B$2,-1+SUMPRODUCT(MAX(ROW(E3361:E$2)*(E3362=E3361:E$2)))))</f>
        <v> </v>
      </c>
      <c r="J3362" s="25" t="str">
        <f>IF(OR(E3362="",E3362="!!!",F3362="NEW"),"",COUNTBLANK(OFFSET(A$1,,,SUMPRODUCT(MAX(ROW(E$2:E3362)*(E3362=E$2:E3362)))))-COUNTBLANK(OFFSET(A$1,,,SUMPRODUCT(MAX(ROW(E$1:E3361)*(E2=E$1:E3361))))))</f>
        <v> </v>
      </c>
      <c r="K3362" s="25" t="str">
        <f>IF(OR(E3362="",E3362="!!!",F3362="NEW"),"",INDEX(J$1:J3361,SUMPRODUCT(MAX(ROW(E$1:E3361)*(E3362=E$1:E3361)))))</f>
        <v> </v>
      </c>
      <c r="L3362" s="26"/>
    </row>
    <row r="3363" spans="1:12">
      <c r="A3363" s="20" t="s">
        <v>2324</v>
      </c>
      <c r="E3363" s="21">
        <f>IF(D3363="?OLD","!!!","")</f>
        <v/>
      </c>
      <c r="F3363" s="22" t="str">
        <f>IF(OR(E3363="",E3363="!!!"),"",IF(NOT(ISNA(VLOOKUP(E3363,E$1:E3362,1,FALSE()))),"OLD",IF(AND(E3363&lt;&gt;"",E3363&lt;&gt;"!!!"),"NEW","")))</f>
        <v> </v>
      </c>
      <c r="G3363" s="23" t="str">
        <f>IF(OR(E3363="",E3363="!!!"),"",IF(OR(J3363=0,AND(J3363=1,K3363=1),AND(J3363=1,I3363="SBJ"),AND(J3363=1,I3363=0)),"?IN_FOCUS",IF(J3363&lt;=2,"?ACTIVATED",IF(J3363&lt;&gt;"","?FAMILIAR",IF(F3363="NEW",IF(ISNA(VLOOKUP(E3363,#REF!,1,FALSE())),"?TYPE_IDENTIFIABLE","?REFERENTIAL"),"_")))))</f>
        <v> </v>
      </c>
      <c r="H3363" s="24" t="str">
        <f>IF(J3363&lt;&gt;1,"",IF(I3363="SBJ","CB","?"))</f>
        <v> </v>
      </c>
      <c r="I3363" s="25" t="str">
        <f>IF(OR(E3363="",E3363="!!!",F3363="NEW"),"",INDEX(B3362:B$2,-1+SUMPRODUCT(MAX(ROW(E3362:E$2)*(E3363=E3362:E$2)))))</f>
        <v> </v>
      </c>
      <c r="J3363" s="25" t="str">
        <f>IF(OR(E3363="",E3363="!!!",F3363="NEW"),"",COUNTBLANK(OFFSET(A$1,,,SUMPRODUCT(MAX(ROW(E$2:E3363)*(E3363=E$2:E3363)))))-COUNTBLANK(OFFSET(A$1,,,SUMPRODUCT(MAX(ROW(E$1:E3362)*(E2=E$1:E3362))))))</f>
        <v> </v>
      </c>
      <c r="K3363" s="25" t="str">
        <f>IF(OR(E3363="",E3363="!!!",F3363="NEW"),"",INDEX(J$1:J3362,SUMPRODUCT(MAX(ROW(E$1:E3362)*(E3363=E$1:E3362)))))</f>
        <v> </v>
      </c>
      <c r="L3363" s="26"/>
    </row>
    <row r="3364" spans="1:12">
      <c r="A3364" s="20" t="s">
        <v>2635</v>
      </c>
      <c r="E3364" s="21">
        <f>IF(D3364="?OLD","!!!","")</f>
        <v/>
      </c>
      <c r="F3364" s="22" t="str">
        <f>IF(OR(E3364="",E3364="!!!"),"",IF(NOT(ISNA(VLOOKUP(E3364,E$1:E3363,1,FALSE()))),"OLD",IF(AND(E3364&lt;&gt;"",E3364&lt;&gt;"!!!"),"NEW","")))</f>
        <v> </v>
      </c>
      <c r="G3364" s="23" t="str">
        <f>IF(OR(E3364="",E3364="!!!"),"",IF(OR(J3364=0,AND(J3364=1,K3364=1),AND(J3364=1,I3364="SBJ"),AND(J3364=1,I3364=0)),"?IN_FOCUS",IF(J3364&lt;=2,"?ACTIVATED",IF(J3364&lt;&gt;"","?FAMILIAR",IF(F3364="NEW",IF(ISNA(VLOOKUP(E3364,#REF!,1,FALSE())),"?TYPE_IDENTIFIABLE","?REFERENTIAL"),"_")))))</f>
        <v> </v>
      </c>
      <c r="H3364" s="24" t="str">
        <f>IF(J3364&lt;&gt;1,"",IF(I3364="SBJ","CB","?"))</f>
        <v> </v>
      </c>
      <c r="I3364" s="25" t="str">
        <f>IF(OR(E3364="",E3364="!!!",F3364="NEW"),"",INDEX(B3363:B$2,-1+SUMPRODUCT(MAX(ROW(E3363:E$2)*(E3364=E3363:E$2)))))</f>
        <v> </v>
      </c>
      <c r="J3364" s="25" t="str">
        <f>IF(OR(E3364="",E3364="!!!",F3364="NEW"),"",COUNTBLANK(OFFSET(A$1,,,SUMPRODUCT(MAX(ROW(E$2:E3364)*(E3364=E$2:E3364)))))-COUNTBLANK(OFFSET(A$1,,,SUMPRODUCT(MAX(ROW(E$1:E3363)*(E2=E$1:E3363))))))</f>
        <v> </v>
      </c>
      <c r="K3364" s="25" t="str">
        <f>IF(OR(E3364="",E3364="!!!",F3364="NEW"),"",INDEX(J$1:J3363,SUMPRODUCT(MAX(ROW(E$1:E3363)*(E3364=E$1:E3363)))))</f>
        <v> </v>
      </c>
      <c r="L3364" s="26"/>
    </row>
    <row r="3365" spans="1:12">
      <c r="A3365" s="20" t="s">
        <v>2636</v>
      </c>
      <c r="B3365" s="27" t="s">
        <v>1259</v>
      </c>
      <c r="E3365" s="21">
        <f>IF(D3365="?OLD","!!!","")</f>
        <v/>
      </c>
      <c r="F3365" s="22" t="str">
        <f>IF(OR(E3365="",E3365="!!!"),"",IF(NOT(ISNA(VLOOKUP(E3365,E$1:E3364,1,FALSE()))),"OLD",IF(AND(E3365&lt;&gt;"",E3365&lt;&gt;"!!!"),"NEW","")))</f>
        <v> </v>
      </c>
      <c r="G3365" s="23" t="str">
        <f>IF(OR(E3365="",E3365="!!!"),"",IF(OR(J3365=0,AND(J3365=1,K3365=1),AND(J3365=1,I3365="SBJ"),AND(J3365=1,I3365=0)),"?IN_FOCUS",IF(J3365&lt;=2,"?ACTIVATED",IF(J3365&lt;&gt;"","?FAMILIAR",IF(F3365="NEW",IF(ISNA(VLOOKUP(E3365,#REF!,1,FALSE())),"?TYPE_IDENTIFIABLE","?REFERENTIAL"),"_")))))</f>
        <v> </v>
      </c>
      <c r="H3365" s="24" t="str">
        <f>IF(J3365&lt;&gt;1,"",IF(I3365="SBJ","CB","?"))</f>
        <v> </v>
      </c>
      <c r="I3365" s="25" t="str">
        <f>IF(OR(E3365="",E3365="!!!",F3365="NEW"),"",INDEX(B3364:B$2,-1+SUMPRODUCT(MAX(ROW(E3364:E$2)*(E3365=E3364:E$2)))))</f>
        <v> </v>
      </c>
      <c r="J3365" s="25" t="str">
        <f>IF(OR(E3365="",E3365="!!!",F3365="NEW"),"",COUNTBLANK(OFFSET(A$1,,,SUMPRODUCT(MAX(ROW(E$2:E3365)*(E3365=E$2:E3365)))))-COUNTBLANK(OFFSET(A$1,,,SUMPRODUCT(MAX(ROW(E$1:E3364)*(E2=E$1:E3364))))))</f>
        <v> </v>
      </c>
      <c r="K3365" s="25" t="str">
        <f>IF(OR(E3365="",E3365="!!!",F3365="NEW"),"",INDEX(J$1:J3364,SUMPRODUCT(MAX(ROW(E$1:E3364)*(E3365=E$1:E3364)))))</f>
        <v> </v>
      </c>
      <c r="L3365" s="26"/>
    </row>
    <row r="3366" spans="1:12">
      <c r="A3366" s="20" t="s">
        <v>1145</v>
      </c>
      <c r="E3366" s="21">
        <f>IF(D3366="?OLD","!!!","")</f>
        <v/>
      </c>
      <c r="F3366" s="22" t="str">
        <f>IF(OR(E3366="",E3366="!!!"),"",IF(NOT(ISNA(VLOOKUP(E3366,E$1:E3365,1,FALSE()))),"OLD",IF(AND(E3366&lt;&gt;"",E3366&lt;&gt;"!!!"),"NEW","")))</f>
        <v> </v>
      </c>
      <c r="G3366" s="23" t="str">
        <f>IF(OR(E3366="",E3366="!!!"),"",IF(OR(J3366=0,AND(J3366=1,K3366=1),AND(J3366=1,I3366="SBJ"),AND(J3366=1,I3366=0)),"?IN_FOCUS",IF(J3366&lt;=2,"?ACTIVATED",IF(J3366&lt;&gt;"","?FAMILIAR",IF(F3366="NEW",IF(ISNA(VLOOKUP(E3366,#REF!,1,FALSE())),"?TYPE_IDENTIFIABLE","?REFERENTIAL"),"_")))))</f>
        <v> </v>
      </c>
      <c r="H3366" s="24" t="str">
        <f>IF(J3366&lt;&gt;1,"",IF(I3366="SBJ","CB","?"))</f>
        <v> </v>
      </c>
      <c r="I3366" s="25" t="str">
        <f>IF(OR(E3366="",E3366="!!!",F3366="NEW"),"",INDEX(B3365:B$2,-1+SUMPRODUCT(MAX(ROW(E3365:E$2)*(E3366=E3365:E$2)))))</f>
        <v> </v>
      </c>
      <c r="J3366" s="25" t="str">
        <f>IF(OR(E3366="",E3366="!!!",F3366="NEW"),"",COUNTBLANK(OFFSET(A$1,,,SUMPRODUCT(MAX(ROW(E$2:E3366)*(E3366=E$2:E3366)))))-COUNTBLANK(OFFSET(A$1,,,SUMPRODUCT(MAX(ROW(E$1:E3365)*(E2=E$1:E3365))))))</f>
        <v> </v>
      </c>
      <c r="K3366" s="25" t="str">
        <f>IF(OR(E3366="",E3366="!!!",F3366="NEW"),"",INDEX(J$1:J3365,SUMPRODUCT(MAX(ROW(E$1:E3365)*(E3366=E$1:E3365)))))</f>
        <v> </v>
      </c>
      <c r="L3366" s="26"/>
    </row>
    <row r="3367" spans="1:12">
      <c r="A3367" s="20"/>
    </row>
    <row r="3368" spans="1:12">
      <c r="A3368" s="20" t="s">
        <v>2637</v>
      </c>
    </row>
    <row r="3369" spans="1:12">
      <c r="A3369" s="20" t="s">
        <v>2416</v>
      </c>
      <c r="E3369" s="21">
        <f>IF(D3369="?OLD","!!!","")</f>
        <v/>
      </c>
      <c r="F3369" s="22" t="str">
        <f>IF(OR(E3369="",E3369="!!!"),"",IF(NOT(ISNA(VLOOKUP(E3369,E$1:E3368,1,FALSE()))),"OLD",IF(AND(E3369&lt;&gt;"",E3369&lt;&gt;"!!!"),"NEW","")))</f>
        <v> </v>
      </c>
      <c r="G3369" s="23" t="str">
        <f>IF(OR(E3369="",E3369="!!!"),"",IF(OR(J3369=0,AND(J3369=1,K3369=1),AND(J3369=1,I3369="SBJ"),AND(J3369=1,I3369=0)),"?IN_FOCUS",IF(J3369&lt;=2,"?ACTIVATED",IF(J3369&lt;&gt;"","?FAMILIAR",IF(F3369="NEW",IF(ISNA(VLOOKUP(E3369,#REF!,1,FALSE())),"?TYPE_IDENTIFIABLE","?REFERENTIAL"),"_")))))</f>
        <v> </v>
      </c>
      <c r="H3369" s="24" t="str">
        <f>IF(J3369&lt;&gt;1,"",IF(I3369="SBJ","CB","?"))</f>
        <v> </v>
      </c>
      <c r="I3369" s="25" t="str">
        <f>IF(OR(E3369="",E3369="!!!",F3369="NEW"),"",INDEX(B3368:B$2,-1+SUMPRODUCT(MAX(ROW(E3368:E$2)*(E3369=E3368:E$2)))))</f>
        <v> </v>
      </c>
      <c r="J3369" s="25" t="str">
        <f>IF(OR(E3369="",E3369="!!!",F3369="NEW"),"",COUNTBLANK(OFFSET(A$1,,,SUMPRODUCT(MAX(ROW(E$2:E3369)*(E3369=E$2:E3369)))))-COUNTBLANK(OFFSET(A$1,,,SUMPRODUCT(MAX(ROW(E$1:E3368)*(E2=E$1:E3368))))))</f>
        <v> </v>
      </c>
      <c r="K3369" s="25" t="str">
        <f>IF(OR(E3369="",E3369="!!!",F3369="NEW"),"",INDEX(J$1:J3368,SUMPRODUCT(MAX(ROW(E$1:E3368)*(E3369=E$1:E3368)))))</f>
        <v> </v>
      </c>
      <c r="L3369" s="26"/>
    </row>
    <row r="3370" spans="1:12">
      <c r="A3370" s="20" t="s">
        <v>1124</v>
      </c>
      <c r="B3370" s="27" t="s">
        <v>1149</v>
      </c>
      <c r="C3370" s="27" t="s">
        <v>1126</v>
      </c>
      <c r="D3370" s="27" t="s">
        <v>1105</v>
      </c>
      <c r="E3370" s="21">
        <f>IF(D3370="?OLD","!!!","")</f>
        <v/>
      </c>
      <c r="F3370" s="22" t="str">
        <f>IF(OR(E3370="",E3370="!!!"),"",IF(NOT(ISNA(VLOOKUP(E3370,E$1:E3369,1,FALSE()))),"OLD",IF(AND(E3370&lt;&gt;"",E3370&lt;&gt;"!!!"),"NEW","")))</f>
        <v> </v>
      </c>
      <c r="G3370" s="23" t="str">
        <f>IF(OR(E3370="",E3370="!!!"),"",IF(OR(J3370=0,AND(J3370=1,K3370=1),AND(J3370=1,I3370="SBJ"),AND(J3370=1,I3370=0)),"?IN_FOCUS",IF(J3370&lt;=2,"?ACTIVATED",IF(J3370&lt;&gt;"","?FAMILIAR",IF(F3370="NEW",IF(ISNA(VLOOKUP(E3370,#REF!,1,FALSE())),"?TYPE_IDENTIFIABLE","?REFERENTIAL"),"_")))))</f>
        <v> </v>
      </c>
      <c r="H3370" s="24" t="str">
        <f>IF(J3370&lt;&gt;1,"",IF(I3370="SBJ","CB","?"))</f>
        <v> </v>
      </c>
      <c r="I3370" s="25" t="str">
        <f>IF(OR(E3370="",E3370="!!!",F3370="NEW"),"",INDEX(B3369:B$2,-1+SUMPRODUCT(MAX(ROW(E3369:E$2)*(E3370=E3369:E$2)))))</f>
        <v> </v>
      </c>
      <c r="J3370" s="25" t="str">
        <f>IF(OR(E3370="",E3370="!!!",F3370="NEW"),"",COUNTBLANK(OFFSET(A$1,,,SUMPRODUCT(MAX(ROW(E$2:E3370)*(E3370=E$2:E3370)))))-COUNTBLANK(OFFSET(A$1,,,SUMPRODUCT(MAX(ROW(E$1:E3369)*(E2=E$1:E3369))))))</f>
        <v> </v>
      </c>
      <c r="K3370" s="25" t="str">
        <f>IF(OR(E3370="",E3370="!!!",F3370="NEW"),"",INDEX(J$1:J3369,SUMPRODUCT(MAX(ROW(E$1:E3369)*(E3370=E$1:E3369)))))</f>
        <v> </v>
      </c>
      <c r="L3370" s="26"/>
    </row>
    <row r="3371" spans="1:12">
      <c r="A3371" s="20" t="s">
        <v>1128</v>
      </c>
      <c r="E3371" s="21">
        <f>IF(D3371="?OLD","!!!","")</f>
        <v/>
      </c>
      <c r="F3371" s="22" t="str">
        <f>IF(OR(E3371="",E3371="!!!"),"",IF(NOT(ISNA(VLOOKUP(E3371,E$1:E3370,1,FALSE()))),"OLD",IF(AND(E3371&lt;&gt;"",E3371&lt;&gt;"!!!"),"NEW","")))</f>
        <v> </v>
      </c>
      <c r="G3371" s="23" t="str">
        <f>IF(OR(E3371="",E3371="!!!"),"",IF(OR(J3371=0,AND(J3371=1,K3371=1),AND(J3371=1,I3371="SBJ"),AND(J3371=1,I3371=0)),"?IN_FOCUS",IF(J3371&lt;=2,"?ACTIVATED",IF(J3371&lt;&gt;"","?FAMILIAR",IF(F3371="NEW",IF(ISNA(VLOOKUP(E3371,#REF!,1,FALSE())),"?TYPE_IDENTIFIABLE","?REFERENTIAL"),"_")))))</f>
        <v> </v>
      </c>
      <c r="H3371" s="24" t="str">
        <f>IF(J3371&lt;&gt;1,"",IF(I3371="SBJ","CB","?"))</f>
        <v> </v>
      </c>
      <c r="I3371" s="25" t="str">
        <f>IF(OR(E3371="",E3371="!!!",F3371="NEW"),"",INDEX(B3370:B$2,-1+SUMPRODUCT(MAX(ROW(E3370:E$2)*(E3371=E3370:E$2)))))</f>
        <v> </v>
      </c>
      <c r="J3371" s="25" t="str">
        <f>IF(OR(E3371="",E3371="!!!",F3371="NEW"),"",COUNTBLANK(OFFSET(A$1,,,SUMPRODUCT(MAX(ROW(E$2:E3371)*(E3371=E$2:E3371)))))-COUNTBLANK(OFFSET(A$1,,,SUMPRODUCT(MAX(ROW(E$1:E3370)*(E2=E$1:E3370))))))</f>
        <v> </v>
      </c>
      <c r="K3371" s="25" t="str">
        <f>IF(OR(E3371="",E3371="!!!",F3371="NEW"),"",INDEX(J$1:J3370,SUMPRODUCT(MAX(ROW(E$1:E3370)*(E3371=E$1:E3370)))))</f>
        <v> </v>
      </c>
      <c r="L3371" s="26"/>
    </row>
    <row r="3372" spans="1:12">
      <c r="A3372" s="20" t="s">
        <v>2638</v>
      </c>
      <c r="E3372" s="21">
        <f>IF(D3372="?OLD","!!!","")</f>
        <v/>
      </c>
      <c r="F3372" s="22" t="str">
        <f>IF(OR(E3372="",E3372="!!!"),"",IF(NOT(ISNA(VLOOKUP(E3372,E$1:E3371,1,FALSE()))),"OLD",IF(AND(E3372&lt;&gt;"",E3372&lt;&gt;"!!!"),"NEW","")))</f>
        <v> </v>
      </c>
      <c r="G3372" s="23" t="str">
        <f>IF(OR(E3372="",E3372="!!!"),"",IF(OR(J3372=0,AND(J3372=1,K3372=1),AND(J3372=1,I3372="SBJ"),AND(J3372=1,I3372=0)),"?IN_FOCUS",IF(J3372&lt;=2,"?ACTIVATED",IF(J3372&lt;&gt;"","?FAMILIAR",IF(F3372="NEW",IF(ISNA(VLOOKUP(E3372,#REF!,1,FALSE())),"?TYPE_IDENTIFIABLE","?REFERENTIAL"),"_")))))</f>
        <v> </v>
      </c>
      <c r="H3372" s="24" t="str">
        <f>IF(J3372&lt;&gt;1,"",IF(I3372="SBJ","CB","?"))</f>
        <v> </v>
      </c>
      <c r="I3372" s="25" t="str">
        <f>IF(OR(E3372="",E3372="!!!",F3372="NEW"),"",INDEX(B3371:B$2,-1+SUMPRODUCT(MAX(ROW(E3371:E$2)*(E3372=E3371:E$2)))))</f>
        <v> </v>
      </c>
      <c r="J3372" s="25" t="str">
        <f>IF(OR(E3372="",E3372="!!!",F3372="NEW"),"",COUNTBLANK(OFFSET(A$1,,,SUMPRODUCT(MAX(ROW(E$2:E3372)*(E3372=E$2:E3372)))))-COUNTBLANK(OFFSET(A$1,,,SUMPRODUCT(MAX(ROW(E$1:E3371)*(E2=E$1:E3371))))))</f>
        <v> </v>
      </c>
      <c r="K3372" s="25" t="str">
        <f>IF(OR(E3372="",E3372="!!!",F3372="NEW"),"",INDEX(J$1:J3371,SUMPRODUCT(MAX(ROW(E$1:E3371)*(E3372=E$1:E3371)))))</f>
        <v> </v>
      </c>
      <c r="L3372" s="26"/>
    </row>
    <row r="3373" spans="1:12">
      <c r="A3373" s="20" t="s">
        <v>2125</v>
      </c>
      <c r="E3373" s="21">
        <f>IF(D3373="?OLD","!!!","")</f>
        <v/>
      </c>
      <c r="F3373" s="22" t="str">
        <f>IF(OR(E3373="",E3373="!!!"),"",IF(NOT(ISNA(VLOOKUP(E3373,E$1:E3372,1,FALSE()))),"OLD",IF(AND(E3373&lt;&gt;"",E3373&lt;&gt;"!!!"),"NEW","")))</f>
        <v> </v>
      </c>
      <c r="G3373" s="23" t="str">
        <f>IF(OR(E3373="",E3373="!!!"),"",IF(OR(J3373=0,AND(J3373=1,K3373=1),AND(J3373=1,I3373="SBJ"),AND(J3373=1,I3373=0)),"?IN_FOCUS",IF(J3373&lt;=2,"?ACTIVATED",IF(J3373&lt;&gt;"","?FAMILIAR",IF(F3373="NEW",IF(ISNA(VLOOKUP(E3373,#REF!,1,FALSE())),"?TYPE_IDENTIFIABLE","?REFERENTIAL"),"_")))))</f>
        <v> </v>
      </c>
      <c r="H3373" s="24" t="str">
        <f>IF(J3373&lt;&gt;1,"",IF(I3373="SBJ","CB","?"))</f>
        <v> </v>
      </c>
      <c r="I3373" s="25" t="str">
        <f>IF(OR(E3373="",E3373="!!!",F3373="NEW"),"",INDEX(B3372:B$2,-1+SUMPRODUCT(MAX(ROW(E3372:E$2)*(E3373=E3372:E$2)))))</f>
        <v> </v>
      </c>
      <c r="J3373" s="25" t="str">
        <f>IF(OR(E3373="",E3373="!!!",F3373="NEW"),"",COUNTBLANK(OFFSET(A$1,,,SUMPRODUCT(MAX(ROW(E$2:E3373)*(E3373=E$2:E3373)))))-COUNTBLANK(OFFSET(A$1,,,SUMPRODUCT(MAX(ROW(E$1:E3372)*(E2=E$1:E3372))))))</f>
        <v> </v>
      </c>
      <c r="K3373" s="25" t="str">
        <f>IF(OR(E3373="",E3373="!!!",F3373="NEW"),"",INDEX(J$1:J3372,SUMPRODUCT(MAX(ROW(E$1:E3372)*(E3373=E$1:E3372)))))</f>
        <v> </v>
      </c>
      <c r="L3373" s="26"/>
    </row>
    <row r="3374" spans="1:12">
      <c r="A3374" s="20" t="s">
        <v>2277</v>
      </c>
      <c r="B3374" s="27" t="s">
        <v>1213</v>
      </c>
      <c r="E3374" s="21">
        <f>IF(D3374="?OLD","!!!","")</f>
        <v/>
      </c>
      <c r="F3374" s="22" t="str">
        <f>IF(OR(E3374="",E3374="!!!"),"",IF(NOT(ISNA(VLOOKUP(E3374,E$1:E3373,1,FALSE()))),"OLD",IF(AND(E3374&lt;&gt;"",E3374&lt;&gt;"!!!"),"NEW","")))</f>
        <v> </v>
      </c>
      <c r="G3374" s="23" t="str">
        <f>IF(OR(E3374="",E3374="!!!"),"",IF(OR(J3374=0,AND(J3374=1,K3374=1),AND(J3374=1,I3374="SBJ"),AND(J3374=1,I3374=0)),"?IN_FOCUS",IF(J3374&lt;=2,"?ACTIVATED",IF(J3374&lt;&gt;"","?FAMILIAR",IF(F3374="NEW",IF(ISNA(VLOOKUP(E3374,#REF!,1,FALSE())),"?TYPE_IDENTIFIABLE","?REFERENTIAL"),"_")))))</f>
        <v> </v>
      </c>
      <c r="H3374" s="24" t="str">
        <f>IF(J3374&lt;&gt;1,"",IF(I3374="SBJ","CB","?"))</f>
        <v> </v>
      </c>
      <c r="I3374" s="25" t="str">
        <f>IF(OR(E3374="",E3374="!!!",F3374="NEW"),"",INDEX(B3373:B$2,-1+SUMPRODUCT(MAX(ROW(E3373:E$2)*(E3374=E3373:E$2)))))</f>
        <v> </v>
      </c>
      <c r="J3374" s="25" t="str">
        <f>IF(OR(E3374="",E3374="!!!",F3374="NEW"),"",COUNTBLANK(OFFSET(A$1,,,SUMPRODUCT(MAX(ROW(E$2:E3374)*(E3374=E$2:E3374)))))-COUNTBLANK(OFFSET(A$1,,,SUMPRODUCT(MAX(ROW(E$1:E3373)*(E2=E$1:E3373))))))</f>
        <v> </v>
      </c>
      <c r="K3374" s="25" t="str">
        <f>IF(OR(E3374="",E3374="!!!",F3374="NEW"),"",INDEX(J$1:J3373,SUMPRODUCT(MAX(ROW(E$1:E3373)*(E3374=E$1:E3373)))))</f>
        <v> </v>
      </c>
      <c r="L3374" s="26"/>
    </row>
    <row r="3375" spans="1:12">
      <c r="A3375" s="20" t="s">
        <v>1123</v>
      </c>
      <c r="E3375" s="21">
        <f>IF(D3375="?OLD","!!!","")</f>
        <v/>
      </c>
      <c r="F3375" s="22" t="str">
        <f>IF(OR(E3375="",E3375="!!!"),"",IF(NOT(ISNA(VLOOKUP(E3375,E$1:E3374,1,FALSE()))),"OLD",IF(AND(E3375&lt;&gt;"",E3375&lt;&gt;"!!!"),"NEW","")))</f>
        <v> </v>
      </c>
      <c r="G3375" s="23" t="str">
        <f>IF(OR(E3375="",E3375="!!!"),"",IF(OR(J3375=0,AND(J3375=1,K3375=1),AND(J3375=1,I3375="SBJ"),AND(J3375=1,I3375=0)),"?IN_FOCUS",IF(J3375&lt;=2,"?ACTIVATED",IF(J3375&lt;&gt;"","?FAMILIAR",IF(F3375="NEW",IF(ISNA(VLOOKUP(E3375,#REF!,1,FALSE())),"?TYPE_IDENTIFIABLE","?REFERENTIAL"),"_")))))</f>
        <v> </v>
      </c>
      <c r="H3375" s="24" t="str">
        <f>IF(J3375&lt;&gt;1,"",IF(I3375="SBJ","CB","?"))</f>
        <v> </v>
      </c>
      <c r="I3375" s="25" t="str">
        <f>IF(OR(E3375="",E3375="!!!",F3375="NEW"),"",INDEX(B3374:B$2,-1+SUMPRODUCT(MAX(ROW(E3374:E$2)*(E3375=E3374:E$2)))))</f>
        <v> </v>
      </c>
      <c r="J3375" s="25" t="str">
        <f>IF(OR(E3375="",E3375="!!!",F3375="NEW"),"",COUNTBLANK(OFFSET(A$1,,,SUMPRODUCT(MAX(ROW(E$2:E3375)*(E3375=E$2:E3375)))))-COUNTBLANK(OFFSET(A$1,,,SUMPRODUCT(MAX(ROW(E$1:E3374)*(E2=E$1:E3374))))))</f>
        <v> </v>
      </c>
      <c r="K3375" s="25" t="str">
        <f>IF(OR(E3375="",E3375="!!!",F3375="NEW"),"",INDEX(J$1:J3374,SUMPRODUCT(MAX(ROW(E$1:E3374)*(E3375=E$1:E3374)))))</f>
        <v> </v>
      </c>
      <c r="L3375" s="26"/>
    </row>
    <row r="3376" spans="1:12">
      <c r="A3376" s="20" t="s">
        <v>1128</v>
      </c>
      <c r="E3376" s="21">
        <f>IF(D3376="?OLD","!!!","")</f>
        <v/>
      </c>
      <c r="F3376" s="22" t="str">
        <f>IF(OR(E3376="",E3376="!!!"),"",IF(NOT(ISNA(VLOOKUP(E3376,E$1:E3375,1,FALSE()))),"OLD",IF(AND(E3376&lt;&gt;"",E3376&lt;&gt;"!!!"),"NEW","")))</f>
        <v> </v>
      </c>
      <c r="G3376" s="23" t="str">
        <f>IF(OR(E3376="",E3376="!!!"),"",IF(OR(J3376=0,AND(J3376=1,K3376=1),AND(J3376=1,I3376="SBJ"),AND(J3376=1,I3376=0)),"?IN_FOCUS",IF(J3376&lt;=2,"?ACTIVATED",IF(J3376&lt;&gt;"","?FAMILIAR",IF(F3376="NEW",IF(ISNA(VLOOKUP(E3376,#REF!,1,FALSE())),"?TYPE_IDENTIFIABLE","?REFERENTIAL"),"_")))))</f>
        <v> </v>
      </c>
      <c r="H3376" s="24" t="str">
        <f>IF(J3376&lt;&gt;1,"",IF(I3376="SBJ","CB","?"))</f>
        <v> </v>
      </c>
      <c r="I3376" s="25" t="str">
        <f>IF(OR(E3376="",E3376="!!!",F3376="NEW"),"",INDEX(B3375:B$2,-1+SUMPRODUCT(MAX(ROW(E3375:E$2)*(E3376=E3375:E$2)))))</f>
        <v> </v>
      </c>
      <c r="J3376" s="25" t="str">
        <f>IF(OR(E3376="",E3376="!!!",F3376="NEW"),"",COUNTBLANK(OFFSET(A$1,,,SUMPRODUCT(MAX(ROW(E$2:E3376)*(E3376=E$2:E3376)))))-COUNTBLANK(OFFSET(A$1,,,SUMPRODUCT(MAX(ROW(E$1:E3375)*(E2=E$1:E3375))))))</f>
        <v> </v>
      </c>
      <c r="K3376" s="25" t="str">
        <f>IF(OR(E3376="",E3376="!!!",F3376="NEW"),"",INDEX(J$1:J3375,SUMPRODUCT(MAX(ROW(E$1:E3375)*(E3376=E$1:E3375)))))</f>
        <v> </v>
      </c>
      <c r="L3376" s="26"/>
    </row>
    <row r="3377" spans="1:12">
      <c r="A3377" s="20" t="s">
        <v>1475</v>
      </c>
      <c r="E3377" s="21">
        <f>IF(D3377="?OLD","!!!","")</f>
        <v/>
      </c>
      <c r="F3377" s="22" t="str">
        <f>IF(OR(E3377="",E3377="!!!"),"",IF(NOT(ISNA(VLOOKUP(E3377,E$1:E3376,1,FALSE()))),"OLD",IF(AND(E3377&lt;&gt;"",E3377&lt;&gt;"!!!"),"NEW","")))</f>
        <v> </v>
      </c>
      <c r="G3377" s="23" t="str">
        <f>IF(OR(E3377="",E3377="!!!"),"",IF(OR(J3377=0,AND(J3377=1,K3377=1),AND(J3377=1,I3377="SBJ"),AND(J3377=1,I3377=0)),"?IN_FOCUS",IF(J3377&lt;=2,"?ACTIVATED",IF(J3377&lt;&gt;"","?FAMILIAR",IF(F3377="NEW",IF(ISNA(VLOOKUP(E3377,#REF!,1,FALSE())),"?TYPE_IDENTIFIABLE","?REFERENTIAL"),"_")))))</f>
        <v> </v>
      </c>
      <c r="H3377" s="24" t="str">
        <f>IF(J3377&lt;&gt;1,"",IF(I3377="SBJ","CB","?"))</f>
        <v> </v>
      </c>
      <c r="I3377" s="25" t="str">
        <f>IF(OR(E3377="",E3377="!!!",F3377="NEW"),"",INDEX(B3376:B$2,-1+SUMPRODUCT(MAX(ROW(E3376:E$2)*(E3377=E3376:E$2)))))</f>
        <v> </v>
      </c>
      <c r="J3377" s="25" t="str">
        <f>IF(OR(E3377="",E3377="!!!",F3377="NEW"),"",COUNTBLANK(OFFSET(A$1,,,SUMPRODUCT(MAX(ROW(E$2:E3377)*(E3377=E$2:E3377)))))-COUNTBLANK(OFFSET(A$1,,,SUMPRODUCT(MAX(ROW(E$1:E3376)*(E2=E$1:E3376))))))</f>
        <v> </v>
      </c>
      <c r="K3377" s="25" t="str">
        <f>IF(OR(E3377="",E3377="!!!",F3377="NEW"),"",INDEX(J$1:J3376,SUMPRODUCT(MAX(ROW(E$1:E3376)*(E3377=E$1:E3376)))))</f>
        <v> </v>
      </c>
      <c r="L3377" s="26"/>
    </row>
    <row r="3378" spans="1:12">
      <c r="A3378" s="20" t="s">
        <v>1318</v>
      </c>
      <c r="E3378" s="21">
        <f>IF(D3378="?OLD","!!!","")</f>
        <v/>
      </c>
      <c r="F3378" s="22" t="str">
        <f>IF(OR(E3378="",E3378="!!!"),"",IF(NOT(ISNA(VLOOKUP(E3378,E$1:E3377,1,FALSE()))),"OLD",IF(AND(E3378&lt;&gt;"",E3378&lt;&gt;"!!!"),"NEW","")))</f>
        <v> </v>
      </c>
      <c r="G3378" s="23" t="str">
        <f>IF(OR(E3378="",E3378="!!!"),"",IF(OR(J3378=0,AND(J3378=1,K3378=1),AND(J3378=1,I3378="SBJ"),AND(J3378=1,I3378=0)),"?IN_FOCUS",IF(J3378&lt;=2,"?ACTIVATED",IF(J3378&lt;&gt;"","?FAMILIAR",IF(F3378="NEW",IF(ISNA(VLOOKUP(E3378,#REF!,1,FALSE())),"?TYPE_IDENTIFIABLE","?REFERENTIAL"),"_")))))</f>
        <v> </v>
      </c>
      <c r="H3378" s="24" t="str">
        <f>IF(J3378&lt;&gt;1,"",IF(I3378="SBJ","CB","?"))</f>
        <v> </v>
      </c>
      <c r="I3378" s="25" t="str">
        <f>IF(OR(E3378="",E3378="!!!",F3378="NEW"),"",INDEX(B3377:B$2,-1+SUMPRODUCT(MAX(ROW(E3377:E$2)*(E3378=E3377:E$2)))))</f>
        <v> </v>
      </c>
      <c r="J3378" s="25" t="str">
        <f>IF(OR(E3378="",E3378="!!!",F3378="NEW"),"",COUNTBLANK(OFFSET(A$1,,,SUMPRODUCT(MAX(ROW(E$2:E3378)*(E3378=E$2:E3378)))))-COUNTBLANK(OFFSET(A$1,,,SUMPRODUCT(MAX(ROW(E$1:E3377)*(E2=E$1:E3377))))))</f>
        <v> </v>
      </c>
      <c r="K3378" s="25" t="str">
        <f>IF(OR(E3378="",E3378="!!!",F3378="NEW"),"",INDEX(J$1:J3377,SUMPRODUCT(MAX(ROW(E$1:E3377)*(E3378=E$1:E3377)))))</f>
        <v> </v>
      </c>
      <c r="L3378" s="26"/>
    </row>
    <row r="3379" spans="1:12">
      <c r="A3379" s="20" t="s">
        <v>1421</v>
      </c>
      <c r="B3379" s="27" t="s">
        <v>1107</v>
      </c>
      <c r="C3379" s="27" t="s">
        <v>1126</v>
      </c>
      <c r="D3379" s="27" t="s">
        <v>1105</v>
      </c>
      <c r="E3379" s="21">
        <f>IF(D3379="?OLD","!!!","")</f>
        <v/>
      </c>
      <c r="F3379" s="22" t="str">
        <f>IF(OR(E3379="",E3379="!!!"),"",IF(NOT(ISNA(VLOOKUP(E3379,E$1:E3378,1,FALSE()))),"OLD",IF(AND(E3379&lt;&gt;"",E3379&lt;&gt;"!!!"),"NEW","")))</f>
        <v> </v>
      </c>
      <c r="G3379" s="23" t="str">
        <f>IF(OR(E3379="",E3379="!!!"),"",IF(OR(J3379=0,AND(J3379=1,K3379=1),AND(J3379=1,I3379="SBJ"),AND(J3379=1,I3379=0)),"?IN_FOCUS",IF(J3379&lt;=2,"?ACTIVATED",IF(J3379&lt;&gt;"","?FAMILIAR",IF(F3379="NEW",IF(ISNA(VLOOKUP(E3379,#REF!,1,FALSE())),"?TYPE_IDENTIFIABLE","?REFERENTIAL"),"_")))))</f>
        <v> </v>
      </c>
      <c r="H3379" s="24" t="str">
        <f>IF(J3379&lt;&gt;1,"",IF(I3379="SBJ","CB","?"))</f>
        <v> </v>
      </c>
      <c r="I3379" s="25" t="str">
        <f>IF(OR(E3379="",E3379="!!!",F3379="NEW"),"",INDEX(B3378:B$2,-1+SUMPRODUCT(MAX(ROW(E3378:E$2)*(E3379=E3378:E$2)))))</f>
        <v> </v>
      </c>
      <c r="J3379" s="25" t="str">
        <f>IF(OR(E3379="",E3379="!!!",F3379="NEW"),"",COUNTBLANK(OFFSET(A$1,,,SUMPRODUCT(MAX(ROW(E$2:E3379)*(E3379=E$2:E3379)))))-COUNTBLANK(OFFSET(A$1,,,SUMPRODUCT(MAX(ROW(E$1:E3378)*(E2=E$1:E3378))))))</f>
        <v> </v>
      </c>
      <c r="K3379" s="25" t="str">
        <f>IF(OR(E3379="",E3379="!!!",F3379="NEW"),"",INDEX(J$1:J3378,SUMPRODUCT(MAX(ROW(E$1:E3378)*(E3379=E$1:E3378)))))</f>
        <v> </v>
      </c>
      <c r="L3379" s="26"/>
    </row>
    <row r="3380" spans="1:12">
      <c r="A3380" s="20" t="s">
        <v>1206</v>
      </c>
      <c r="B3380" s="27" t="s">
        <v>1122</v>
      </c>
      <c r="C3380" s="27" t="s">
        <v>1126</v>
      </c>
      <c r="D3380" s="27" t="s">
        <v>1105</v>
      </c>
      <c r="E3380" s="21">
        <f>IF(D3380="?OLD","!!!","")</f>
        <v/>
      </c>
      <c r="F3380" s="22" t="str">
        <f>IF(OR(E3380="",E3380="!!!"),"",IF(NOT(ISNA(VLOOKUP(E3380,E$1:E3379,1,FALSE()))),"OLD",IF(AND(E3380&lt;&gt;"",E3380&lt;&gt;"!!!"),"NEW","")))</f>
        <v> </v>
      </c>
      <c r="G3380" s="23" t="str">
        <f>IF(OR(E3380="",E3380="!!!"),"",IF(OR(J3380=0,AND(J3380=1,K3380=1),AND(J3380=1,I3380="SBJ"),AND(J3380=1,I3380=0)),"?IN_FOCUS",IF(J3380&lt;=2,"?ACTIVATED",IF(J3380&lt;&gt;"","?FAMILIAR",IF(F3380="NEW",IF(ISNA(VLOOKUP(E3380,#REF!,1,FALSE())),"?TYPE_IDENTIFIABLE","?REFERENTIAL"),"_")))))</f>
        <v> </v>
      </c>
      <c r="H3380" s="24" t="str">
        <f>IF(J3380&lt;&gt;1,"",IF(I3380="SBJ","CB","?"))</f>
        <v> </v>
      </c>
      <c r="I3380" s="25" t="str">
        <f>IF(OR(E3380="",E3380="!!!",F3380="NEW"),"",INDEX(B3379:B$2,-1+SUMPRODUCT(MAX(ROW(E3379:E$2)*(E3380=E3379:E$2)))))</f>
        <v> </v>
      </c>
      <c r="J3380" s="25" t="str">
        <f>IF(OR(E3380="",E3380="!!!",F3380="NEW"),"",COUNTBLANK(OFFSET(A$1,,,SUMPRODUCT(MAX(ROW(E$2:E3380)*(E3380=E$2:E3380)))))-COUNTBLANK(OFFSET(A$1,,,SUMPRODUCT(MAX(ROW(E$1:E3379)*(E2=E$1:E3379))))))</f>
        <v> </v>
      </c>
      <c r="K3380" s="25" t="str">
        <f>IF(OR(E3380="",E3380="!!!",F3380="NEW"),"",INDEX(J$1:J3379,SUMPRODUCT(MAX(ROW(E$1:E3379)*(E3380=E$1:E3379)))))</f>
        <v> </v>
      </c>
      <c r="L3380" s="26"/>
    </row>
    <row r="3381" spans="1:12">
      <c r="A3381" s="20" t="s">
        <v>2639</v>
      </c>
      <c r="E3381" s="21">
        <f>IF(D3381="?OLD","!!!","")</f>
        <v/>
      </c>
      <c r="F3381" s="22" t="str">
        <f>IF(OR(E3381="",E3381="!!!"),"",IF(NOT(ISNA(VLOOKUP(E3381,E$1:E3380,1,FALSE()))),"OLD",IF(AND(E3381&lt;&gt;"",E3381&lt;&gt;"!!!"),"NEW","")))</f>
        <v> </v>
      </c>
      <c r="G3381" s="23" t="str">
        <f>IF(OR(E3381="",E3381="!!!"),"",IF(OR(J3381=0,AND(J3381=1,K3381=1),AND(J3381=1,I3381="SBJ"),AND(J3381=1,I3381=0)),"?IN_FOCUS",IF(J3381&lt;=2,"?ACTIVATED",IF(J3381&lt;&gt;"","?FAMILIAR",IF(F3381="NEW",IF(ISNA(VLOOKUP(E3381,#REF!,1,FALSE())),"?TYPE_IDENTIFIABLE","?REFERENTIAL"),"_")))))</f>
        <v> </v>
      </c>
      <c r="H3381" s="24" t="str">
        <f>IF(J3381&lt;&gt;1,"",IF(I3381="SBJ","CB","?"))</f>
        <v> </v>
      </c>
      <c r="I3381" s="25" t="str">
        <f>IF(OR(E3381="",E3381="!!!",F3381="NEW"),"",INDEX(B3380:B$2,-1+SUMPRODUCT(MAX(ROW(E3380:E$2)*(E3381=E3380:E$2)))))</f>
        <v> </v>
      </c>
      <c r="J3381" s="25" t="str">
        <f>IF(OR(E3381="",E3381="!!!",F3381="NEW"),"",COUNTBLANK(OFFSET(A$1,,,SUMPRODUCT(MAX(ROW(E$2:E3381)*(E3381=E$2:E3381)))))-COUNTBLANK(OFFSET(A$1,,,SUMPRODUCT(MAX(ROW(E$1:E3380)*(E2=E$1:E3380))))))</f>
        <v> </v>
      </c>
      <c r="K3381" s="25" t="str">
        <f>IF(OR(E3381="",E3381="!!!",F3381="NEW"),"",INDEX(J$1:J3380,SUMPRODUCT(MAX(ROW(E$1:E3380)*(E3381=E$1:E3380)))))</f>
        <v> </v>
      </c>
      <c r="L3381" s="26"/>
    </row>
    <row r="3382" spans="1:12">
      <c r="A3382" s="20" t="s">
        <v>1249</v>
      </c>
      <c r="E3382" s="21">
        <f>IF(D3382="?OLD","!!!","")</f>
        <v/>
      </c>
      <c r="F3382" s="22" t="str">
        <f>IF(OR(E3382="",E3382="!!!"),"",IF(NOT(ISNA(VLOOKUP(E3382,E$1:E3381,1,FALSE()))),"OLD",IF(AND(E3382&lt;&gt;"",E3382&lt;&gt;"!!!"),"NEW","")))</f>
        <v> </v>
      </c>
      <c r="G3382" s="23" t="str">
        <f>IF(OR(E3382="",E3382="!!!"),"",IF(OR(J3382=0,AND(J3382=1,K3382=1),AND(J3382=1,I3382="SBJ"),AND(J3382=1,I3382=0)),"?IN_FOCUS",IF(J3382&lt;=2,"?ACTIVATED",IF(J3382&lt;&gt;"","?FAMILIAR",IF(F3382="NEW",IF(ISNA(VLOOKUP(E3382,#REF!,1,FALSE())),"?TYPE_IDENTIFIABLE","?REFERENTIAL"),"_")))))</f>
        <v> </v>
      </c>
      <c r="H3382" s="24" t="str">
        <f>IF(J3382&lt;&gt;1,"",IF(I3382="SBJ","CB","?"))</f>
        <v> </v>
      </c>
      <c r="I3382" s="25" t="str">
        <f>IF(OR(E3382="",E3382="!!!",F3382="NEW"),"",INDEX(B3381:B$2,-1+SUMPRODUCT(MAX(ROW(E3381:E$2)*(E3382=E3381:E$2)))))</f>
        <v> </v>
      </c>
      <c r="J3382" s="25" t="str">
        <f>IF(OR(E3382="",E3382="!!!",F3382="NEW"),"",COUNTBLANK(OFFSET(A$1,,,SUMPRODUCT(MAX(ROW(E$2:E3382)*(E3382=E$2:E3382)))))-COUNTBLANK(OFFSET(A$1,,,SUMPRODUCT(MAX(ROW(E$1:E3381)*(E2=E$1:E3381))))))</f>
        <v> </v>
      </c>
      <c r="K3382" s="25" t="str">
        <f>IF(OR(E3382="",E3382="!!!",F3382="NEW"),"",INDEX(J$1:J3381,SUMPRODUCT(MAX(ROW(E$1:E3381)*(E3382=E$1:E3381)))))</f>
        <v> </v>
      </c>
      <c r="L3382" s="26"/>
    </row>
    <row r="3383" spans="1:12">
      <c r="A3383" s="20" t="s">
        <v>1909</v>
      </c>
      <c r="E3383" s="21">
        <f>IF(D3383="?OLD","!!!","")</f>
        <v/>
      </c>
      <c r="F3383" s="22" t="str">
        <f>IF(OR(E3383="",E3383="!!!"),"",IF(NOT(ISNA(VLOOKUP(E3383,E$1:E3382,1,FALSE()))),"OLD",IF(AND(E3383&lt;&gt;"",E3383&lt;&gt;"!!!"),"NEW","")))</f>
        <v> </v>
      </c>
      <c r="G3383" s="23" t="str">
        <f>IF(OR(E3383="",E3383="!!!"),"",IF(OR(J3383=0,AND(J3383=1,K3383=1),AND(J3383=1,I3383="SBJ"),AND(J3383=1,I3383=0)),"?IN_FOCUS",IF(J3383&lt;=2,"?ACTIVATED",IF(J3383&lt;&gt;"","?FAMILIAR",IF(F3383="NEW",IF(ISNA(VLOOKUP(E3383,#REF!,1,FALSE())),"?TYPE_IDENTIFIABLE","?REFERENTIAL"),"_")))))</f>
        <v> </v>
      </c>
      <c r="H3383" s="24" t="str">
        <f>IF(J3383&lt;&gt;1,"",IF(I3383="SBJ","CB","?"))</f>
        <v> </v>
      </c>
      <c r="I3383" s="25" t="str">
        <f>IF(OR(E3383="",E3383="!!!",F3383="NEW"),"",INDEX(B3382:B$2,-1+SUMPRODUCT(MAX(ROW(E3382:E$2)*(E3383=E3382:E$2)))))</f>
        <v> </v>
      </c>
      <c r="J3383" s="25" t="str">
        <f>IF(OR(E3383="",E3383="!!!",F3383="NEW"),"",COUNTBLANK(OFFSET(A$1,,,SUMPRODUCT(MAX(ROW(E$2:E3383)*(E3383=E$2:E3383)))))-COUNTBLANK(OFFSET(A$1,,,SUMPRODUCT(MAX(ROW(E$1:E3382)*(E2=E$1:E3382))))))</f>
        <v> </v>
      </c>
      <c r="K3383" s="25" t="str">
        <f>IF(OR(E3383="",E3383="!!!",F3383="NEW"),"",INDEX(J$1:J3382,SUMPRODUCT(MAX(ROW(E$1:E3382)*(E3383=E$1:E3382)))))</f>
        <v> </v>
      </c>
      <c r="L3383" s="26"/>
    </row>
    <row r="3384" spans="1:12">
      <c r="A3384" s="20" t="s">
        <v>2378</v>
      </c>
      <c r="B3384" s="27" t="s">
        <v>1107</v>
      </c>
      <c r="C3384" s="27" t="s">
        <v>1156</v>
      </c>
      <c r="D3384" s="27" t="s">
        <v>1105</v>
      </c>
      <c r="E3384" s="21">
        <f>IF(D3384="?OLD","!!!","")</f>
        <v/>
      </c>
      <c r="F3384" s="22" t="str">
        <f>IF(OR(E3384="",E3384="!!!"),"",IF(NOT(ISNA(VLOOKUP(E3384,E$1:E3383,1,FALSE()))),"OLD",IF(AND(E3384&lt;&gt;"",E3384&lt;&gt;"!!!"),"NEW","")))</f>
        <v> </v>
      </c>
      <c r="G3384" s="23" t="str">
        <f>IF(OR(E3384="",E3384="!!!"),"",IF(OR(J3384=0,AND(J3384=1,K3384=1),AND(J3384=1,I3384="SBJ"),AND(J3384=1,I3384=0)),"?IN_FOCUS",IF(J3384&lt;=2,"?ACTIVATED",IF(J3384&lt;&gt;"","?FAMILIAR",IF(F3384="NEW",IF(ISNA(VLOOKUP(E3384,#REF!,1,FALSE())),"?TYPE_IDENTIFIABLE","?REFERENTIAL"),"_")))))</f>
        <v> </v>
      </c>
      <c r="H3384" s="24" t="str">
        <f>IF(J3384&lt;&gt;1,"",IF(I3384="SBJ","CB","?"))</f>
        <v> </v>
      </c>
      <c r="I3384" s="25" t="str">
        <f>IF(OR(E3384="",E3384="!!!",F3384="NEW"),"",INDEX(B3383:B$2,-1+SUMPRODUCT(MAX(ROW(E3383:E$2)*(E3384=E3383:E$2)))))</f>
        <v> </v>
      </c>
      <c r="J3384" s="25" t="str">
        <f>IF(OR(E3384="",E3384="!!!",F3384="NEW"),"",COUNTBLANK(OFFSET(A$1,,,SUMPRODUCT(MAX(ROW(E$2:E3384)*(E3384=E$2:E3384)))))-COUNTBLANK(OFFSET(A$1,,,SUMPRODUCT(MAX(ROW(E$1:E3383)*(E2=E$1:E3383))))))</f>
        <v> </v>
      </c>
      <c r="K3384" s="25" t="str">
        <f>IF(OR(E3384="",E3384="!!!",F3384="NEW"),"",INDEX(J$1:J3383,SUMPRODUCT(MAX(ROW(E$1:E3383)*(E3384=E$1:E3383)))))</f>
        <v> </v>
      </c>
      <c r="L3384" s="26"/>
    </row>
    <row r="3385" spans="1:12">
      <c r="A3385" s="20" t="s">
        <v>1123</v>
      </c>
      <c r="E3385" s="21">
        <f>IF(D3385="?OLD","!!!","")</f>
        <v/>
      </c>
      <c r="F3385" s="22" t="str">
        <f>IF(OR(E3385="",E3385="!!!"),"",IF(NOT(ISNA(VLOOKUP(E3385,E$1:E3384,1,FALSE()))),"OLD",IF(AND(E3385&lt;&gt;"",E3385&lt;&gt;"!!!"),"NEW","")))</f>
        <v> </v>
      </c>
      <c r="G3385" s="23" t="str">
        <f>IF(OR(E3385="",E3385="!!!"),"",IF(OR(J3385=0,AND(J3385=1,K3385=1),AND(J3385=1,I3385="SBJ"),AND(J3385=1,I3385=0)),"?IN_FOCUS",IF(J3385&lt;=2,"?ACTIVATED",IF(J3385&lt;&gt;"","?FAMILIAR",IF(F3385="NEW",IF(ISNA(VLOOKUP(E3385,#REF!,1,FALSE())),"?TYPE_IDENTIFIABLE","?REFERENTIAL"),"_")))))</f>
        <v> </v>
      </c>
      <c r="H3385" s="24" t="str">
        <f>IF(J3385&lt;&gt;1,"",IF(I3385="SBJ","CB","?"))</f>
        <v> </v>
      </c>
      <c r="I3385" s="25" t="str">
        <f>IF(OR(E3385="",E3385="!!!",F3385="NEW"),"",INDEX(B3384:B$2,-1+SUMPRODUCT(MAX(ROW(E3384:E$2)*(E3385=E3384:E$2)))))</f>
        <v> </v>
      </c>
      <c r="J3385" s="25" t="str">
        <f>IF(OR(E3385="",E3385="!!!",F3385="NEW"),"",COUNTBLANK(OFFSET(A$1,,,SUMPRODUCT(MAX(ROW(E$2:E3385)*(E3385=E$2:E3385)))))-COUNTBLANK(OFFSET(A$1,,,SUMPRODUCT(MAX(ROW(E$1:E3384)*(E2=E$1:E3384))))))</f>
        <v> </v>
      </c>
      <c r="K3385" s="25" t="str">
        <f>IF(OR(E3385="",E3385="!!!",F3385="NEW"),"",INDEX(J$1:J3384,SUMPRODUCT(MAX(ROW(E$1:E3384)*(E3385=E$1:E3384)))))</f>
        <v> </v>
      </c>
      <c r="L3385" s="26"/>
    </row>
    <row r="3386" spans="1:12">
      <c r="A3386" s="20" t="s">
        <v>1112</v>
      </c>
      <c r="E3386" s="21">
        <f>IF(D3386="?OLD","!!!","")</f>
        <v/>
      </c>
      <c r="F3386" s="22" t="str">
        <f>IF(OR(E3386="",E3386="!!!"),"",IF(NOT(ISNA(VLOOKUP(E3386,E$1:E3385,1,FALSE()))),"OLD",IF(AND(E3386&lt;&gt;"",E3386&lt;&gt;"!!!"),"NEW","")))</f>
        <v> </v>
      </c>
      <c r="G3386" s="23" t="str">
        <f>IF(OR(E3386="",E3386="!!!"),"",IF(OR(J3386=0,AND(J3386=1,K3386=1),AND(J3386=1,I3386="SBJ"),AND(J3386=1,I3386=0)),"?IN_FOCUS",IF(J3386&lt;=2,"?ACTIVATED",IF(J3386&lt;&gt;"","?FAMILIAR",IF(F3386="NEW",IF(ISNA(VLOOKUP(E3386,#REF!,1,FALSE())),"?TYPE_IDENTIFIABLE","?REFERENTIAL"),"_")))))</f>
        <v> </v>
      </c>
      <c r="H3386" s="24" t="str">
        <f>IF(J3386&lt;&gt;1,"",IF(I3386="SBJ","CB","?"))</f>
        <v> </v>
      </c>
      <c r="I3386" s="25" t="str">
        <f>IF(OR(E3386="",E3386="!!!",F3386="NEW"),"",INDEX(B3385:B$2,-1+SUMPRODUCT(MAX(ROW(E3385:E$2)*(E3386=E3385:E$2)))))</f>
        <v> </v>
      </c>
      <c r="J3386" s="25" t="str">
        <f>IF(OR(E3386="",E3386="!!!",F3386="NEW"),"",COUNTBLANK(OFFSET(A$1,,,SUMPRODUCT(MAX(ROW(E$2:E3386)*(E3386=E$2:E3386)))))-COUNTBLANK(OFFSET(A$1,,,SUMPRODUCT(MAX(ROW(E$1:E3385)*(E2=E$1:E3385))))))</f>
        <v> </v>
      </c>
      <c r="K3386" s="25" t="str">
        <f>IF(OR(E3386="",E3386="!!!",F3386="NEW"),"",INDEX(J$1:J3385,SUMPRODUCT(MAX(ROW(E$1:E3385)*(E3386=E$1:E3385)))))</f>
        <v> </v>
      </c>
      <c r="L3386" s="26"/>
    </row>
    <row r="3387" spans="1:12">
      <c r="A3387" s="20" t="s">
        <v>2339</v>
      </c>
      <c r="E3387" s="21">
        <f>IF(D3387="?OLD","!!!","")</f>
        <v/>
      </c>
      <c r="F3387" s="22" t="str">
        <f>IF(OR(E3387="",E3387="!!!"),"",IF(NOT(ISNA(VLOOKUP(E3387,E$1:E3386,1,FALSE()))),"OLD",IF(AND(E3387&lt;&gt;"",E3387&lt;&gt;"!!!"),"NEW","")))</f>
        <v> </v>
      </c>
      <c r="G3387" s="23" t="str">
        <f>IF(OR(E3387="",E3387="!!!"),"",IF(OR(J3387=0,AND(J3387=1,K3387=1),AND(J3387=1,I3387="SBJ"),AND(J3387=1,I3387=0)),"?IN_FOCUS",IF(J3387&lt;=2,"?ACTIVATED",IF(J3387&lt;&gt;"","?FAMILIAR",IF(F3387="NEW",IF(ISNA(VLOOKUP(E3387,#REF!,1,FALSE())),"?TYPE_IDENTIFIABLE","?REFERENTIAL"),"_")))))</f>
        <v> </v>
      </c>
      <c r="H3387" s="24" t="str">
        <f>IF(J3387&lt;&gt;1,"",IF(I3387="SBJ","CB","?"))</f>
        <v> </v>
      </c>
      <c r="I3387" s="25" t="str">
        <f>IF(OR(E3387="",E3387="!!!",F3387="NEW"),"",INDEX(B3386:B$2,-1+SUMPRODUCT(MAX(ROW(E3386:E$2)*(E3387=E3386:E$2)))))</f>
        <v> </v>
      </c>
      <c r="J3387" s="25" t="str">
        <f>IF(OR(E3387="",E3387="!!!",F3387="NEW"),"",COUNTBLANK(OFFSET(A$1,,,SUMPRODUCT(MAX(ROW(E$2:E3387)*(E3387=E$2:E3387)))))-COUNTBLANK(OFFSET(A$1,,,SUMPRODUCT(MAX(ROW(E$1:E3386)*(E2=E$1:E3386))))))</f>
        <v> </v>
      </c>
      <c r="K3387" s="25" t="str">
        <f>IF(OR(E3387="",E3387="!!!",F3387="NEW"),"",INDEX(J$1:J3386,SUMPRODUCT(MAX(ROW(E$1:E3386)*(E3387=E$1:E3386)))))</f>
        <v> </v>
      </c>
      <c r="L3387" s="26"/>
    </row>
    <row r="3388" spans="1:12">
      <c r="A3388" s="20" t="s">
        <v>471</v>
      </c>
      <c r="E3388" s="21">
        <f>IF(D3388="?OLD","!!!","")</f>
        <v/>
      </c>
      <c r="F3388" s="22" t="str">
        <f>IF(OR(E3388="",E3388="!!!"),"",IF(NOT(ISNA(VLOOKUP(E3388,E$1:E3387,1,FALSE()))),"OLD",IF(AND(E3388&lt;&gt;"",E3388&lt;&gt;"!!!"),"NEW","")))</f>
        <v> </v>
      </c>
      <c r="G3388" s="23" t="str">
        <f>IF(OR(E3388="",E3388="!!!"),"",IF(OR(J3388=0,AND(J3388=1,K3388=1),AND(J3388=1,I3388="SBJ"),AND(J3388=1,I3388=0)),"?IN_FOCUS",IF(J3388&lt;=2,"?ACTIVATED",IF(J3388&lt;&gt;"","?FAMILIAR",IF(F3388="NEW",IF(ISNA(VLOOKUP(E3388,#REF!,1,FALSE())),"?TYPE_IDENTIFIABLE","?REFERENTIAL"),"_")))))</f>
        <v> </v>
      </c>
      <c r="H3388" s="24" t="str">
        <f>IF(J3388&lt;&gt;1,"",IF(I3388="SBJ","CB","?"))</f>
        <v> </v>
      </c>
      <c r="I3388" s="25" t="str">
        <f>IF(OR(E3388="",E3388="!!!",F3388="NEW"),"",INDEX(B3387:B$2,-1+SUMPRODUCT(MAX(ROW(E3387:E$2)*(E3388=E3387:E$2)))))</f>
        <v> </v>
      </c>
      <c r="J3388" s="25" t="str">
        <f>IF(OR(E3388="",E3388="!!!",F3388="NEW"),"",COUNTBLANK(OFFSET(A$1,,,SUMPRODUCT(MAX(ROW(E$2:E3388)*(E3388=E$2:E3388)))))-COUNTBLANK(OFFSET(A$1,,,SUMPRODUCT(MAX(ROW(E$1:E3387)*(E2=E$1:E3387))))))</f>
        <v> </v>
      </c>
      <c r="K3388" s="25" t="str">
        <f>IF(OR(E3388="",E3388="!!!",F3388="NEW"),"",INDEX(J$1:J3387,SUMPRODUCT(MAX(ROW(E$1:E3387)*(E3388=E$1:E3387)))))</f>
        <v> </v>
      </c>
      <c r="L3388" s="26"/>
    </row>
    <row r="3389" spans="1:12">
      <c r="A3389" s="20" t="s">
        <v>1145</v>
      </c>
      <c r="E3389" s="21">
        <f>IF(D3389="?OLD","!!!","")</f>
        <v/>
      </c>
      <c r="F3389" s="22" t="str">
        <f>IF(OR(E3389="",E3389="!!!"),"",IF(NOT(ISNA(VLOOKUP(E3389,E$1:E3388,1,FALSE()))),"OLD",IF(AND(E3389&lt;&gt;"",E3389&lt;&gt;"!!!"),"NEW","")))</f>
        <v> </v>
      </c>
      <c r="G3389" s="23" t="str">
        <f>IF(OR(E3389="",E3389="!!!"),"",IF(OR(J3389=0,AND(J3389=1,K3389=1),AND(J3389=1,I3389="SBJ"),AND(J3389=1,I3389=0)),"?IN_FOCUS",IF(J3389&lt;=2,"?ACTIVATED",IF(J3389&lt;&gt;"","?FAMILIAR",IF(F3389="NEW",IF(ISNA(VLOOKUP(E3389,#REF!,1,FALSE())),"?TYPE_IDENTIFIABLE","?REFERENTIAL"),"_")))))</f>
        <v> </v>
      </c>
      <c r="H3389" s="24" t="str">
        <f>IF(J3389&lt;&gt;1,"",IF(I3389="SBJ","CB","?"))</f>
        <v> </v>
      </c>
      <c r="I3389" s="25" t="str">
        <f>IF(OR(E3389="",E3389="!!!",F3389="NEW"),"",INDEX(B3388:B$2,-1+SUMPRODUCT(MAX(ROW(E3388:E$2)*(E3389=E3388:E$2)))))</f>
        <v> </v>
      </c>
      <c r="J3389" s="25" t="str">
        <f>IF(OR(E3389="",E3389="!!!",F3389="NEW"),"",COUNTBLANK(OFFSET(A$1,,,SUMPRODUCT(MAX(ROW(E$2:E3389)*(E3389=E$2:E3389)))))-COUNTBLANK(OFFSET(A$1,,,SUMPRODUCT(MAX(ROW(E$1:E3388)*(E2=E$1:E3388))))))</f>
        <v> </v>
      </c>
      <c r="K3389" s="25" t="str">
        <f>IF(OR(E3389="",E3389="!!!",F3389="NEW"),"",INDEX(J$1:J3388,SUMPRODUCT(MAX(ROW(E$1:E3388)*(E3389=E$1:E3388)))))</f>
        <v> </v>
      </c>
      <c r="L3389" s="26"/>
    </row>
    <row r="3390" spans="1:12">
      <c r="A3390" s="20"/>
    </row>
    <row r="3391" spans="1:12">
      <c r="A3391" s="20" t="s">
        <v>2640</v>
      </c>
    </row>
    <row r="3392" spans="1:12">
      <c r="A3392" s="20" t="s">
        <v>1350</v>
      </c>
      <c r="E3392" s="21">
        <f>IF(D3392="?OLD","!!!","")</f>
        <v/>
      </c>
      <c r="F3392" s="22" t="str">
        <f>IF(OR(E3392="",E3392="!!!"),"",IF(NOT(ISNA(VLOOKUP(E3392,E$1:E3391,1,FALSE()))),"OLD",IF(AND(E3392&lt;&gt;"",E3392&lt;&gt;"!!!"),"NEW","")))</f>
        <v> </v>
      </c>
      <c r="G3392" s="23" t="str">
        <f>IF(OR(E3392="",E3392="!!!"),"",IF(OR(J3392=0,AND(J3392=1,K3392=1),AND(J3392=1,I3392="SBJ"),AND(J3392=1,I3392=0)),"?IN_FOCUS",IF(J3392&lt;=2,"?ACTIVATED",IF(J3392&lt;&gt;"","?FAMILIAR",IF(F3392="NEW",IF(ISNA(VLOOKUP(E3392,#REF!,1,FALSE())),"?TYPE_IDENTIFIABLE","?REFERENTIAL"),"_")))))</f>
        <v> </v>
      </c>
      <c r="H3392" s="24" t="str">
        <f>IF(J3392&lt;&gt;1,"",IF(I3392="SBJ","CB","?"))</f>
        <v> </v>
      </c>
      <c r="I3392" s="25" t="str">
        <f>IF(OR(E3392="",E3392="!!!",F3392="NEW"),"",INDEX(B3391:B$2,-1+SUMPRODUCT(MAX(ROW(E3391:E$2)*(E3392=E3391:E$2)))))</f>
        <v> </v>
      </c>
      <c r="J3392" s="25" t="str">
        <f>IF(OR(E3392="",E3392="!!!",F3392="NEW"),"",COUNTBLANK(OFFSET(A$1,,,SUMPRODUCT(MAX(ROW(E$2:E3392)*(E3392=E$2:E3392)))))-COUNTBLANK(OFFSET(A$1,,,SUMPRODUCT(MAX(ROW(E$1:E3391)*(E2=E$1:E3391))))))</f>
        <v> </v>
      </c>
      <c r="K3392" s="25" t="str">
        <f>IF(OR(E3392="",E3392="!!!",F3392="NEW"),"",INDEX(J$1:J3391,SUMPRODUCT(MAX(ROW(E$1:E3391)*(E3392=E$1:E3391)))))</f>
        <v> </v>
      </c>
      <c r="L3392" s="26"/>
    </row>
    <row r="3393" spans="1:12">
      <c r="A3393" s="20" t="s">
        <v>2641</v>
      </c>
      <c r="E3393" s="21">
        <f>IF(D3393="?OLD","!!!","")</f>
        <v/>
      </c>
      <c r="F3393" s="22" t="str">
        <f>IF(OR(E3393="",E3393="!!!"),"",IF(NOT(ISNA(VLOOKUP(E3393,E$1:E3392,1,FALSE()))),"OLD",IF(AND(E3393&lt;&gt;"",E3393&lt;&gt;"!!!"),"NEW","")))</f>
        <v> </v>
      </c>
      <c r="G3393" s="23" t="str">
        <f>IF(OR(E3393="",E3393="!!!"),"",IF(OR(J3393=0,AND(J3393=1,K3393=1),AND(J3393=1,I3393="SBJ"),AND(J3393=1,I3393=0)),"?IN_FOCUS",IF(J3393&lt;=2,"?ACTIVATED",IF(J3393&lt;&gt;"","?FAMILIAR",IF(F3393="NEW",IF(ISNA(VLOOKUP(E3393,#REF!,1,FALSE())),"?TYPE_IDENTIFIABLE","?REFERENTIAL"),"_")))))</f>
        <v> </v>
      </c>
      <c r="H3393" s="24" t="str">
        <f>IF(J3393&lt;&gt;1,"",IF(I3393="SBJ","CB","?"))</f>
        <v> </v>
      </c>
      <c r="I3393" s="25" t="str">
        <f>IF(OR(E3393="",E3393="!!!",F3393="NEW"),"",INDEX(B3392:B$2,-1+SUMPRODUCT(MAX(ROW(E3392:E$2)*(E3393=E3392:E$2)))))</f>
        <v> </v>
      </c>
      <c r="J3393" s="25" t="str">
        <f>IF(OR(E3393="",E3393="!!!",F3393="NEW"),"",COUNTBLANK(OFFSET(A$1,,,SUMPRODUCT(MAX(ROW(E$2:E3393)*(E3393=E$2:E3393)))))-COUNTBLANK(OFFSET(A$1,,,SUMPRODUCT(MAX(ROW(E$1:E3392)*(E2=E$1:E3392))))))</f>
        <v> </v>
      </c>
      <c r="K3393" s="25" t="str">
        <f>IF(OR(E3393="",E3393="!!!",F3393="NEW"),"",INDEX(J$1:J3392,SUMPRODUCT(MAX(ROW(E$1:E3392)*(E3393=E$1:E3392)))))</f>
        <v> </v>
      </c>
      <c r="L3393" s="26"/>
    </row>
    <row r="3394" spans="1:12">
      <c r="A3394" s="20" t="s">
        <v>1124</v>
      </c>
      <c r="B3394" s="27" t="s">
        <v>1149</v>
      </c>
      <c r="C3394" s="27" t="s">
        <v>1126</v>
      </c>
      <c r="D3394" s="27" t="s">
        <v>1105</v>
      </c>
      <c r="E3394" s="21">
        <f>IF(D3394="?OLD","!!!","")</f>
        <v/>
      </c>
      <c r="F3394" s="22" t="str">
        <f>IF(OR(E3394="",E3394="!!!"),"",IF(NOT(ISNA(VLOOKUP(E3394,E$1:E3393,1,FALSE()))),"OLD",IF(AND(E3394&lt;&gt;"",E3394&lt;&gt;"!!!"),"NEW","")))</f>
        <v> </v>
      </c>
      <c r="G3394" s="23" t="str">
        <f>IF(OR(E3394="",E3394="!!!"),"",IF(OR(J3394=0,AND(J3394=1,K3394=1),AND(J3394=1,I3394="SBJ"),AND(J3394=1,I3394=0)),"?IN_FOCUS",IF(J3394&lt;=2,"?ACTIVATED",IF(J3394&lt;&gt;"","?FAMILIAR",IF(F3394="NEW",IF(ISNA(VLOOKUP(E3394,#REF!,1,FALSE())),"?TYPE_IDENTIFIABLE","?REFERENTIAL"),"_")))))</f>
        <v> </v>
      </c>
      <c r="H3394" s="24" t="str">
        <f>IF(J3394&lt;&gt;1,"",IF(I3394="SBJ","CB","?"))</f>
        <v> </v>
      </c>
      <c r="I3394" s="25" t="str">
        <f>IF(OR(E3394="",E3394="!!!",F3394="NEW"),"",INDEX(B3393:B$2,-1+SUMPRODUCT(MAX(ROW(E3393:E$2)*(E3394=E3393:E$2)))))</f>
        <v> </v>
      </c>
      <c r="J3394" s="25" t="str">
        <f>IF(OR(E3394="",E3394="!!!",F3394="NEW"),"",COUNTBLANK(OFFSET(A$1,,,SUMPRODUCT(MAX(ROW(E$2:E3394)*(E3394=E$2:E3394)))))-COUNTBLANK(OFFSET(A$1,,,SUMPRODUCT(MAX(ROW(E$1:E3393)*(E2=E$1:E3393))))))</f>
        <v> </v>
      </c>
      <c r="K3394" s="25" t="str">
        <f>IF(OR(E3394="",E3394="!!!",F3394="NEW"),"",INDEX(J$1:J3393,SUMPRODUCT(MAX(ROW(E$1:E3393)*(E3394=E$1:E3393)))))</f>
        <v> </v>
      </c>
      <c r="L3394" s="26"/>
    </row>
    <row r="3395" spans="1:12">
      <c r="A3395" s="20" t="s">
        <v>1229</v>
      </c>
      <c r="E3395" s="21">
        <f>IF(D3395="?OLD","!!!","")</f>
        <v/>
      </c>
      <c r="F3395" s="22" t="str">
        <f>IF(OR(E3395="",E3395="!!!"),"",IF(NOT(ISNA(VLOOKUP(E3395,E$1:E3394,1,FALSE()))),"OLD",IF(AND(E3395&lt;&gt;"",E3395&lt;&gt;"!!!"),"NEW","")))</f>
        <v> </v>
      </c>
      <c r="G3395" s="23" t="str">
        <f>IF(OR(E3395="",E3395="!!!"),"",IF(OR(J3395=0,AND(J3395=1,K3395=1),AND(J3395=1,I3395="SBJ"),AND(J3395=1,I3395=0)),"?IN_FOCUS",IF(J3395&lt;=2,"?ACTIVATED",IF(J3395&lt;&gt;"","?FAMILIAR",IF(F3395="NEW",IF(ISNA(VLOOKUP(E3395,#REF!,1,FALSE())),"?TYPE_IDENTIFIABLE","?REFERENTIAL"),"_")))))</f>
        <v> </v>
      </c>
      <c r="H3395" s="24" t="str">
        <f>IF(J3395&lt;&gt;1,"",IF(I3395="SBJ","CB","?"))</f>
        <v> </v>
      </c>
      <c r="I3395" s="25" t="str">
        <f>IF(OR(E3395="",E3395="!!!",F3395="NEW"),"",INDEX(B3394:B$2,-1+SUMPRODUCT(MAX(ROW(E3394:E$2)*(E3395=E3394:E$2)))))</f>
        <v> </v>
      </c>
      <c r="J3395" s="25" t="str">
        <f>IF(OR(E3395="",E3395="!!!",F3395="NEW"),"",COUNTBLANK(OFFSET(A$1,,,SUMPRODUCT(MAX(ROW(E$2:E3395)*(E3395=E$2:E3395)))))-COUNTBLANK(OFFSET(A$1,,,SUMPRODUCT(MAX(ROW(E$1:E3394)*(E2=E$1:E3394))))))</f>
        <v> </v>
      </c>
      <c r="K3395" s="25" t="str">
        <f>IF(OR(E3395="",E3395="!!!",F3395="NEW"),"",INDEX(J$1:J3394,SUMPRODUCT(MAX(ROW(E$1:E3394)*(E3395=E$1:E3394)))))</f>
        <v> </v>
      </c>
      <c r="L3395" s="26"/>
    </row>
    <row r="3396" spans="1:12">
      <c r="A3396" s="20" t="s">
        <v>2642</v>
      </c>
      <c r="E3396" s="21">
        <f>IF(D3396="?OLD","!!!","")</f>
        <v/>
      </c>
      <c r="F3396" s="22" t="str">
        <f>IF(OR(E3396="",E3396="!!!"),"",IF(NOT(ISNA(VLOOKUP(E3396,E$1:E3395,1,FALSE()))),"OLD",IF(AND(E3396&lt;&gt;"",E3396&lt;&gt;"!!!"),"NEW","")))</f>
        <v> </v>
      </c>
      <c r="G3396" s="23" t="str">
        <f>IF(OR(E3396="",E3396="!!!"),"",IF(OR(J3396=0,AND(J3396=1,K3396=1),AND(J3396=1,I3396="SBJ"),AND(J3396=1,I3396=0)),"?IN_FOCUS",IF(J3396&lt;=2,"?ACTIVATED",IF(J3396&lt;&gt;"","?FAMILIAR",IF(F3396="NEW",IF(ISNA(VLOOKUP(E3396,#REF!,1,FALSE())),"?TYPE_IDENTIFIABLE","?REFERENTIAL"),"_")))))</f>
        <v> </v>
      </c>
      <c r="H3396" s="24" t="str">
        <f>IF(J3396&lt;&gt;1,"",IF(I3396="SBJ","CB","?"))</f>
        <v> </v>
      </c>
      <c r="I3396" s="25" t="str">
        <f>IF(OR(E3396="",E3396="!!!",F3396="NEW"),"",INDEX(B3395:B$2,-1+SUMPRODUCT(MAX(ROW(E3395:E$2)*(E3396=E3395:E$2)))))</f>
        <v> </v>
      </c>
      <c r="J3396" s="25" t="str">
        <f>IF(OR(E3396="",E3396="!!!",F3396="NEW"),"",COUNTBLANK(OFFSET(A$1,,,SUMPRODUCT(MAX(ROW(E$2:E3396)*(E3396=E$2:E3396)))))-COUNTBLANK(OFFSET(A$1,,,SUMPRODUCT(MAX(ROW(E$1:E3395)*(E2=E$1:E3395))))))</f>
        <v> </v>
      </c>
      <c r="K3396" s="25" t="str">
        <f>IF(OR(E3396="",E3396="!!!",F3396="NEW"),"",INDEX(J$1:J3395,SUMPRODUCT(MAX(ROW(E$1:E3395)*(E3396=E$1:E3395)))))</f>
        <v> </v>
      </c>
      <c r="L3396" s="26"/>
    </row>
    <row r="3397" spans="1:12">
      <c r="A3397" s="20" t="s">
        <v>1145</v>
      </c>
      <c r="E3397" s="21">
        <f>IF(D3397="?OLD","!!!","")</f>
        <v/>
      </c>
      <c r="F3397" s="22" t="str">
        <f>IF(OR(E3397="",E3397="!!!"),"",IF(NOT(ISNA(VLOOKUP(E3397,E$1:E3396,1,FALSE()))),"OLD",IF(AND(E3397&lt;&gt;"",E3397&lt;&gt;"!!!"),"NEW","")))</f>
        <v> </v>
      </c>
      <c r="G3397" s="23" t="str">
        <f>IF(OR(E3397="",E3397="!!!"),"",IF(OR(J3397=0,AND(J3397=1,K3397=1),AND(J3397=1,I3397="SBJ"),AND(J3397=1,I3397=0)),"?IN_FOCUS",IF(J3397&lt;=2,"?ACTIVATED",IF(J3397&lt;&gt;"","?FAMILIAR",IF(F3397="NEW",IF(ISNA(VLOOKUP(E3397,#REF!,1,FALSE())),"?TYPE_IDENTIFIABLE","?REFERENTIAL"),"_")))))</f>
        <v> </v>
      </c>
      <c r="H3397" s="24" t="str">
        <f>IF(J3397&lt;&gt;1,"",IF(I3397="SBJ","CB","?"))</f>
        <v> </v>
      </c>
      <c r="I3397" s="25" t="str">
        <f>IF(OR(E3397="",E3397="!!!",F3397="NEW"),"",INDEX(B3396:B$2,-1+SUMPRODUCT(MAX(ROW(E3396:E$2)*(E3397=E3396:E$2)))))</f>
        <v> </v>
      </c>
      <c r="J3397" s="25" t="str">
        <f>IF(OR(E3397="",E3397="!!!",F3397="NEW"),"",COUNTBLANK(OFFSET(A$1,,,SUMPRODUCT(MAX(ROW(E$2:E3397)*(E3397=E$2:E3397)))))-COUNTBLANK(OFFSET(A$1,,,SUMPRODUCT(MAX(ROW(E$1:E3396)*(E2=E$1:E3396))))))</f>
        <v> </v>
      </c>
      <c r="K3397" s="25" t="str">
        <f>IF(OR(E3397="",E3397="!!!",F3397="NEW"),"",INDEX(J$1:J3396,SUMPRODUCT(MAX(ROW(E$1:E3396)*(E3397=E$1:E3396)))))</f>
        <v> </v>
      </c>
      <c r="L3397" s="26"/>
    </row>
    <row r="3398" spans="1:12">
      <c r="A3398" s="20"/>
    </row>
    <row r="3399" spans="1:12">
      <c r="A3399" s="20" t="s">
        <v>2643</v>
      </c>
    </row>
    <row r="3400" spans="1:12">
      <c r="A3400" s="20" t="s">
        <v>1225</v>
      </c>
      <c r="B3400" s="27" t="s">
        <v>1149</v>
      </c>
      <c r="C3400" s="27" t="s">
        <v>1108</v>
      </c>
      <c r="D3400" s="27" t="s">
        <v>1105</v>
      </c>
      <c r="E3400" s="21">
        <f>IF(D3400="?OLD","!!!","")</f>
        <v/>
      </c>
      <c r="F3400" s="22" t="str">
        <f>IF(OR(E3400="",E3400="!!!"),"",IF(NOT(ISNA(VLOOKUP(E3400,E$1:E3399,1,FALSE()))),"OLD",IF(AND(E3400&lt;&gt;"",E3400&lt;&gt;"!!!"),"NEW","")))</f>
        <v> </v>
      </c>
      <c r="G3400" s="23" t="str">
        <f>IF(OR(E3400="",E3400="!!!"),"",IF(OR(J3400=0,AND(J3400=1,K3400=1),AND(J3400=1,I3400="SBJ"),AND(J3400=1,I3400=0)),"?IN_FOCUS",IF(J3400&lt;=2,"?ACTIVATED",IF(J3400&lt;&gt;"","?FAMILIAR",IF(F3400="NEW",IF(ISNA(VLOOKUP(E3400,#REF!,1,FALSE())),"?TYPE_IDENTIFIABLE","?REFERENTIAL"),"_")))))</f>
        <v> </v>
      </c>
      <c r="H3400" s="24" t="str">
        <f>IF(J3400&lt;&gt;1,"",IF(I3400="SBJ","CB","?"))</f>
        <v> </v>
      </c>
      <c r="I3400" s="25" t="str">
        <f>IF(OR(E3400="",E3400="!!!",F3400="NEW"),"",INDEX(B3399:B$2,-1+SUMPRODUCT(MAX(ROW(E3399:E$2)*(E3400=E3399:E$2)))))</f>
        <v> </v>
      </c>
      <c r="J3400" s="25" t="str">
        <f>IF(OR(E3400="",E3400="!!!",F3400="NEW"),"",COUNTBLANK(OFFSET(A$1,,,SUMPRODUCT(MAX(ROW(E$2:E3400)*(E3400=E$2:E3400)))))-COUNTBLANK(OFFSET(A$1,,,SUMPRODUCT(MAX(ROW(E$1:E3399)*(E2=E$1:E3399))))))</f>
        <v> </v>
      </c>
      <c r="K3400" s="25" t="str">
        <f>IF(OR(E3400="",E3400="!!!",F3400="NEW"),"",INDEX(J$1:J3399,SUMPRODUCT(MAX(ROW(E$1:E3399)*(E3400=E$1:E3399)))))</f>
        <v> </v>
      </c>
      <c r="L3400" s="26"/>
    </row>
    <row r="3401" spans="1:12">
      <c r="A3401" s="20" t="s">
        <v>2644</v>
      </c>
      <c r="E3401" s="21">
        <f>IF(D3401="?OLD","!!!","")</f>
        <v/>
      </c>
      <c r="F3401" s="22" t="str">
        <f>IF(OR(E3401="",E3401="!!!"),"",IF(NOT(ISNA(VLOOKUP(E3401,E$1:E3400,1,FALSE()))),"OLD",IF(AND(E3401&lt;&gt;"",E3401&lt;&gt;"!!!"),"NEW","")))</f>
        <v> </v>
      </c>
      <c r="G3401" s="23" t="str">
        <f>IF(OR(E3401="",E3401="!!!"),"",IF(OR(J3401=0,AND(J3401=1,K3401=1),AND(J3401=1,I3401="SBJ"),AND(J3401=1,I3401=0)),"?IN_FOCUS",IF(J3401&lt;=2,"?ACTIVATED",IF(J3401&lt;&gt;"","?FAMILIAR",IF(F3401="NEW",IF(ISNA(VLOOKUP(E3401,#REF!,1,FALSE())),"?TYPE_IDENTIFIABLE","?REFERENTIAL"),"_")))))</f>
        <v> </v>
      </c>
      <c r="H3401" s="24" t="str">
        <f>IF(J3401&lt;&gt;1,"",IF(I3401="SBJ","CB","?"))</f>
        <v> </v>
      </c>
      <c r="I3401" s="25" t="str">
        <f>IF(OR(E3401="",E3401="!!!",F3401="NEW"),"",INDEX(B3400:B$2,-1+SUMPRODUCT(MAX(ROW(E3400:E$2)*(E3401=E3400:E$2)))))</f>
        <v> </v>
      </c>
      <c r="J3401" s="25" t="str">
        <f>IF(OR(E3401="",E3401="!!!",F3401="NEW"),"",COUNTBLANK(OFFSET(A$1,,,SUMPRODUCT(MAX(ROW(E$2:E3401)*(E3401=E$2:E3401)))))-COUNTBLANK(OFFSET(A$1,,,SUMPRODUCT(MAX(ROW(E$1:E3400)*(E2=E$1:E3400))))))</f>
        <v> </v>
      </c>
      <c r="K3401" s="25" t="str">
        <f>IF(OR(E3401="",E3401="!!!",F3401="NEW"),"",INDEX(J$1:J3400,SUMPRODUCT(MAX(ROW(E$1:E3400)*(E3401=E$1:E3400)))))</f>
        <v> </v>
      </c>
      <c r="L3401" s="26"/>
    </row>
    <row r="3402" spans="1:12">
      <c r="A3402" s="20" t="s">
        <v>1184</v>
      </c>
      <c r="E3402" s="21">
        <f>IF(D3402="?OLD","!!!","")</f>
        <v/>
      </c>
      <c r="F3402" s="22" t="str">
        <f>IF(OR(E3402="",E3402="!!!"),"",IF(NOT(ISNA(VLOOKUP(E3402,E$1:E3401,1,FALSE()))),"OLD",IF(AND(E3402&lt;&gt;"",E3402&lt;&gt;"!!!"),"NEW","")))</f>
        <v> </v>
      </c>
      <c r="G3402" s="23" t="str">
        <f>IF(OR(E3402="",E3402="!!!"),"",IF(OR(J3402=0,AND(J3402=1,K3402=1),AND(J3402=1,I3402="SBJ"),AND(J3402=1,I3402=0)),"?IN_FOCUS",IF(J3402&lt;=2,"?ACTIVATED",IF(J3402&lt;&gt;"","?FAMILIAR",IF(F3402="NEW",IF(ISNA(VLOOKUP(E3402,#REF!,1,FALSE())),"?TYPE_IDENTIFIABLE","?REFERENTIAL"),"_")))))</f>
        <v> </v>
      </c>
      <c r="H3402" s="24" t="str">
        <f>IF(J3402&lt;&gt;1,"",IF(I3402="SBJ","CB","?"))</f>
        <v> </v>
      </c>
      <c r="I3402" s="25" t="str">
        <f>IF(OR(E3402="",E3402="!!!",F3402="NEW"),"",INDEX(B3401:B$2,-1+SUMPRODUCT(MAX(ROW(E3401:E$2)*(E3402=E3401:E$2)))))</f>
        <v> </v>
      </c>
      <c r="J3402" s="25" t="str">
        <f>IF(OR(E3402="",E3402="!!!",F3402="NEW"),"",COUNTBLANK(OFFSET(A$1,,,SUMPRODUCT(MAX(ROW(E$2:E3402)*(E3402=E$2:E3402)))))-COUNTBLANK(OFFSET(A$1,,,SUMPRODUCT(MAX(ROW(E$1:E3401)*(E2=E$1:E3401))))))</f>
        <v> </v>
      </c>
      <c r="K3402" s="25" t="str">
        <f>IF(OR(E3402="",E3402="!!!",F3402="NEW"),"",INDEX(J$1:J3401,SUMPRODUCT(MAX(ROW(E$1:E3401)*(E3402=E$1:E3401)))))</f>
        <v> </v>
      </c>
      <c r="L3402" s="26"/>
    </row>
    <row r="3403" spans="1:12">
      <c r="A3403" s="20" t="s">
        <v>1473</v>
      </c>
      <c r="E3403" s="21">
        <f>IF(D3403="?OLD","!!!","")</f>
        <v/>
      </c>
      <c r="F3403" s="22" t="str">
        <f>IF(OR(E3403="",E3403="!!!"),"",IF(NOT(ISNA(VLOOKUP(E3403,E$1:E3402,1,FALSE()))),"OLD",IF(AND(E3403&lt;&gt;"",E3403&lt;&gt;"!!!"),"NEW","")))</f>
        <v> </v>
      </c>
      <c r="G3403" s="23" t="str">
        <f>IF(OR(E3403="",E3403="!!!"),"",IF(OR(J3403=0,AND(J3403=1,K3403=1),AND(J3403=1,I3403="SBJ"),AND(J3403=1,I3403=0)),"?IN_FOCUS",IF(J3403&lt;=2,"?ACTIVATED",IF(J3403&lt;&gt;"","?FAMILIAR",IF(F3403="NEW",IF(ISNA(VLOOKUP(E3403,#REF!,1,FALSE())),"?TYPE_IDENTIFIABLE","?REFERENTIAL"),"_")))))</f>
        <v> </v>
      </c>
      <c r="H3403" s="24" t="str">
        <f>IF(J3403&lt;&gt;1,"",IF(I3403="SBJ","CB","?"))</f>
        <v> </v>
      </c>
      <c r="I3403" s="25" t="str">
        <f>IF(OR(E3403="",E3403="!!!",F3403="NEW"),"",INDEX(B3402:B$2,-1+SUMPRODUCT(MAX(ROW(E3402:E$2)*(E3403=E3402:E$2)))))</f>
        <v> </v>
      </c>
      <c r="J3403" s="25" t="str">
        <f>IF(OR(E3403="",E3403="!!!",F3403="NEW"),"",COUNTBLANK(OFFSET(A$1,,,SUMPRODUCT(MAX(ROW(E$2:E3403)*(E3403=E$2:E3403)))))-COUNTBLANK(OFFSET(A$1,,,SUMPRODUCT(MAX(ROW(E$1:E3402)*(E2=E$1:E3402))))))</f>
        <v> </v>
      </c>
      <c r="K3403" s="25" t="str">
        <f>IF(OR(E3403="",E3403="!!!",F3403="NEW"),"",INDEX(J$1:J3402,SUMPRODUCT(MAX(ROW(E$1:E3402)*(E3403=E$1:E3402)))))</f>
        <v> </v>
      </c>
      <c r="L3403" s="26"/>
    </row>
    <row r="3404" spans="1:12">
      <c r="A3404" s="20" t="s">
        <v>2645</v>
      </c>
      <c r="E3404" s="21">
        <f>IF(D3404="?OLD","!!!","")</f>
        <v/>
      </c>
      <c r="F3404" s="22" t="str">
        <f>IF(OR(E3404="",E3404="!!!"),"",IF(NOT(ISNA(VLOOKUP(E3404,E$1:E3403,1,FALSE()))),"OLD",IF(AND(E3404&lt;&gt;"",E3404&lt;&gt;"!!!"),"NEW","")))</f>
        <v> </v>
      </c>
      <c r="G3404" s="23" t="str">
        <f>IF(OR(E3404="",E3404="!!!"),"",IF(OR(J3404=0,AND(J3404=1,K3404=1),AND(J3404=1,I3404="SBJ"),AND(J3404=1,I3404=0)),"?IN_FOCUS",IF(J3404&lt;=2,"?ACTIVATED",IF(J3404&lt;&gt;"","?FAMILIAR",IF(F3404="NEW",IF(ISNA(VLOOKUP(E3404,#REF!,1,FALSE())),"?TYPE_IDENTIFIABLE","?REFERENTIAL"),"_")))))</f>
        <v> </v>
      </c>
      <c r="H3404" s="24" t="str">
        <f>IF(J3404&lt;&gt;1,"",IF(I3404="SBJ","CB","?"))</f>
        <v> </v>
      </c>
      <c r="I3404" s="25" t="str">
        <f>IF(OR(E3404="",E3404="!!!",F3404="NEW"),"",INDEX(B3403:B$2,-1+SUMPRODUCT(MAX(ROW(E3403:E$2)*(E3404=E3403:E$2)))))</f>
        <v> </v>
      </c>
      <c r="J3404" s="25" t="str">
        <f>IF(OR(E3404="",E3404="!!!",F3404="NEW"),"",COUNTBLANK(OFFSET(A$1,,,SUMPRODUCT(MAX(ROW(E$2:E3404)*(E3404=E$2:E3404)))))-COUNTBLANK(OFFSET(A$1,,,SUMPRODUCT(MAX(ROW(E$1:E3403)*(E2=E$1:E3403))))))</f>
        <v> </v>
      </c>
      <c r="K3404" s="25" t="str">
        <f>IF(OR(E3404="",E3404="!!!",F3404="NEW"),"",INDEX(J$1:J3403,SUMPRODUCT(MAX(ROW(E$1:E3403)*(E3404=E$1:E3403)))))</f>
        <v> </v>
      </c>
      <c r="L3404" s="26"/>
    </row>
    <row r="3405" spans="1:12">
      <c r="A3405" s="20" t="s">
        <v>1145</v>
      </c>
      <c r="E3405" s="21">
        <f>IF(D3405="?OLD","!!!","")</f>
        <v/>
      </c>
      <c r="F3405" s="22" t="str">
        <f>IF(OR(E3405="",E3405="!!!"),"",IF(NOT(ISNA(VLOOKUP(E3405,E$1:E3404,1,FALSE()))),"OLD",IF(AND(E3405&lt;&gt;"",E3405&lt;&gt;"!!!"),"NEW","")))</f>
        <v> </v>
      </c>
      <c r="G3405" s="23" t="str">
        <f>IF(OR(E3405="",E3405="!!!"),"",IF(OR(J3405=0,AND(J3405=1,K3405=1),AND(J3405=1,I3405="SBJ"),AND(J3405=1,I3405=0)),"?IN_FOCUS",IF(J3405&lt;=2,"?ACTIVATED",IF(J3405&lt;&gt;"","?FAMILIAR",IF(F3405="NEW",IF(ISNA(VLOOKUP(E3405,#REF!,1,FALSE())),"?TYPE_IDENTIFIABLE","?REFERENTIAL"),"_")))))</f>
        <v> </v>
      </c>
      <c r="H3405" s="24" t="str">
        <f>IF(J3405&lt;&gt;1,"",IF(I3405="SBJ","CB","?"))</f>
        <v> </v>
      </c>
      <c r="I3405" s="25" t="str">
        <f>IF(OR(E3405="",E3405="!!!",F3405="NEW"),"",INDEX(B3404:B$2,-1+SUMPRODUCT(MAX(ROW(E3404:E$2)*(E3405=E3404:E$2)))))</f>
        <v> </v>
      </c>
      <c r="J3405" s="25" t="str">
        <f>IF(OR(E3405="",E3405="!!!",F3405="NEW"),"",COUNTBLANK(OFFSET(A$1,,,SUMPRODUCT(MAX(ROW(E$2:E3405)*(E3405=E$2:E3405)))))-COUNTBLANK(OFFSET(A$1,,,SUMPRODUCT(MAX(ROW(E$1:E3404)*(E2=E$1:E3404))))))</f>
        <v> </v>
      </c>
      <c r="K3405" s="25" t="str">
        <f>IF(OR(E3405="",E3405="!!!",F3405="NEW"),"",INDEX(J$1:J3404,SUMPRODUCT(MAX(ROW(E$1:E3404)*(E3405=E$1:E3404)))))</f>
        <v> </v>
      </c>
      <c r="L3405" s="26"/>
    </row>
    <row r="3406" spans="1:12">
      <c r="A3406" s="20"/>
    </row>
    <row r="3407" spans="1:12">
      <c r="A3407" s="20" t="s">
        <v>2646</v>
      </c>
    </row>
    <row r="3408" spans="1:12">
      <c r="A3408" s="20" t="s">
        <v>1679</v>
      </c>
      <c r="E3408" s="21">
        <f>IF(D3408="?OLD","!!!","")</f>
        <v/>
      </c>
      <c r="F3408" s="22" t="str">
        <f>IF(OR(E3408="",E3408="!!!"),"",IF(NOT(ISNA(VLOOKUP(E3408,E$1:E3407,1,FALSE()))),"OLD",IF(AND(E3408&lt;&gt;"",E3408&lt;&gt;"!!!"),"NEW","")))</f>
        <v> </v>
      </c>
      <c r="G3408" s="23" t="str">
        <f>IF(OR(E3408="",E3408="!!!"),"",IF(OR(J3408=0,AND(J3408=1,K3408=1),AND(J3408=1,I3408="SBJ"),AND(J3408=1,I3408=0)),"?IN_FOCUS",IF(J3408&lt;=2,"?ACTIVATED",IF(J3408&lt;&gt;"","?FAMILIAR",IF(F3408="NEW",IF(ISNA(VLOOKUP(E3408,#REF!,1,FALSE())),"?TYPE_IDENTIFIABLE","?REFERENTIAL"),"_")))))</f>
        <v> </v>
      </c>
      <c r="H3408" s="24" t="str">
        <f>IF(J3408&lt;&gt;1,"",IF(I3408="SBJ","CB","?"))</f>
        <v> </v>
      </c>
      <c r="I3408" s="25" t="str">
        <f>IF(OR(E3408="",E3408="!!!",F3408="NEW"),"",INDEX(B3407:B$2,-1+SUMPRODUCT(MAX(ROW(E3407:E$2)*(E3408=E3407:E$2)))))</f>
        <v> </v>
      </c>
      <c r="J3408" s="25" t="str">
        <f>IF(OR(E3408="",E3408="!!!",F3408="NEW"),"",COUNTBLANK(OFFSET(A$1,,,SUMPRODUCT(MAX(ROW(E$2:E3408)*(E3408=E$2:E3408)))))-COUNTBLANK(OFFSET(A$1,,,SUMPRODUCT(MAX(ROW(E$1:E3407)*(E2=E$1:E3407))))))</f>
        <v> </v>
      </c>
      <c r="K3408" s="25" t="str">
        <f>IF(OR(E3408="",E3408="!!!",F3408="NEW"),"",INDEX(J$1:J3407,SUMPRODUCT(MAX(ROW(E$1:E3407)*(E3408=E$1:E3407)))))</f>
        <v> </v>
      </c>
      <c r="L3408" s="26"/>
    </row>
    <row r="3409" spans="1:12">
      <c r="A3409" s="20" t="s">
        <v>1123</v>
      </c>
      <c r="E3409" s="21">
        <f>IF(D3409="?OLD","!!!","")</f>
        <v/>
      </c>
      <c r="F3409" s="22" t="str">
        <f>IF(OR(E3409="",E3409="!!!"),"",IF(NOT(ISNA(VLOOKUP(E3409,E$1:E3408,1,FALSE()))),"OLD",IF(AND(E3409&lt;&gt;"",E3409&lt;&gt;"!!!"),"NEW","")))</f>
        <v> </v>
      </c>
      <c r="G3409" s="23" t="str">
        <f>IF(OR(E3409="",E3409="!!!"),"",IF(OR(J3409=0,AND(J3409=1,K3409=1),AND(J3409=1,I3409="SBJ"),AND(J3409=1,I3409=0)),"?IN_FOCUS",IF(J3409&lt;=2,"?ACTIVATED",IF(J3409&lt;&gt;"","?FAMILIAR",IF(F3409="NEW",IF(ISNA(VLOOKUP(E3409,#REF!,1,FALSE())),"?TYPE_IDENTIFIABLE","?REFERENTIAL"),"_")))))</f>
        <v> </v>
      </c>
      <c r="H3409" s="24" t="str">
        <f>IF(J3409&lt;&gt;1,"",IF(I3409="SBJ","CB","?"))</f>
        <v> </v>
      </c>
      <c r="I3409" s="25" t="str">
        <f>IF(OR(E3409="",E3409="!!!",F3409="NEW"),"",INDEX(B3408:B$2,-1+SUMPRODUCT(MAX(ROW(E3408:E$2)*(E3409=E3408:E$2)))))</f>
        <v> </v>
      </c>
      <c r="J3409" s="25" t="str">
        <f>IF(OR(E3409="",E3409="!!!",F3409="NEW"),"",COUNTBLANK(OFFSET(A$1,,,SUMPRODUCT(MAX(ROW(E$2:E3409)*(E3409=E$2:E3409)))))-COUNTBLANK(OFFSET(A$1,,,SUMPRODUCT(MAX(ROW(E$1:E3408)*(E2=E$1:E3408))))))</f>
        <v> </v>
      </c>
      <c r="K3409" s="25" t="str">
        <f>IF(OR(E3409="",E3409="!!!",F3409="NEW"),"",INDEX(J$1:J3408,SUMPRODUCT(MAX(ROW(E$1:E3408)*(E3409=E$1:E3408)))))</f>
        <v> </v>
      </c>
      <c r="L3409" s="26"/>
    </row>
    <row r="3410" spans="1:12">
      <c r="A3410" s="20" t="s">
        <v>1654</v>
      </c>
      <c r="E3410" s="21">
        <f>IF(D3410="?OLD","!!!","")</f>
        <v/>
      </c>
      <c r="F3410" s="22" t="str">
        <f>IF(OR(E3410="",E3410="!!!"),"",IF(NOT(ISNA(VLOOKUP(E3410,E$1:E3409,1,FALSE()))),"OLD",IF(AND(E3410&lt;&gt;"",E3410&lt;&gt;"!!!"),"NEW","")))</f>
        <v> </v>
      </c>
      <c r="G3410" s="23" t="str">
        <f>IF(OR(E3410="",E3410="!!!"),"",IF(OR(J3410=0,AND(J3410=1,K3410=1),AND(J3410=1,I3410="SBJ"),AND(J3410=1,I3410=0)),"?IN_FOCUS",IF(J3410&lt;=2,"?ACTIVATED",IF(J3410&lt;&gt;"","?FAMILIAR",IF(F3410="NEW",IF(ISNA(VLOOKUP(E3410,#REF!,1,FALSE())),"?TYPE_IDENTIFIABLE","?REFERENTIAL"),"_")))))</f>
        <v> </v>
      </c>
      <c r="H3410" s="24" t="str">
        <f>IF(J3410&lt;&gt;1,"",IF(I3410="SBJ","CB","?"))</f>
        <v> </v>
      </c>
      <c r="I3410" s="25" t="str">
        <f>IF(OR(E3410="",E3410="!!!",F3410="NEW"),"",INDEX(B3409:B$2,-1+SUMPRODUCT(MAX(ROW(E3409:E$2)*(E3410=E3409:E$2)))))</f>
        <v> </v>
      </c>
      <c r="J3410" s="25" t="str">
        <f>IF(OR(E3410="",E3410="!!!",F3410="NEW"),"",COUNTBLANK(OFFSET(A$1,,,SUMPRODUCT(MAX(ROW(E$2:E3410)*(E3410=E$2:E3410)))))-COUNTBLANK(OFFSET(A$1,,,SUMPRODUCT(MAX(ROW(E$1:E3409)*(E2=E$1:E3409))))))</f>
        <v> </v>
      </c>
      <c r="K3410" s="25" t="str">
        <f>IF(OR(E3410="",E3410="!!!",F3410="NEW"),"",INDEX(J$1:J3409,SUMPRODUCT(MAX(ROW(E$1:E3409)*(E3410=E$1:E3409)))))</f>
        <v> </v>
      </c>
      <c r="L3410" s="26"/>
    </row>
    <row r="3411" spans="1:12">
      <c r="A3411" s="20" t="s">
        <v>2647</v>
      </c>
      <c r="E3411" s="21">
        <f>IF(D3411="?OLD","!!!","")</f>
        <v/>
      </c>
      <c r="F3411" s="22" t="str">
        <f>IF(OR(E3411="",E3411="!!!"),"",IF(NOT(ISNA(VLOOKUP(E3411,E$1:E3410,1,FALSE()))),"OLD",IF(AND(E3411&lt;&gt;"",E3411&lt;&gt;"!!!"),"NEW","")))</f>
        <v> </v>
      </c>
      <c r="G3411" s="23" t="str">
        <f>IF(OR(E3411="",E3411="!!!"),"",IF(OR(J3411=0,AND(J3411=1,K3411=1),AND(J3411=1,I3411="SBJ"),AND(J3411=1,I3411=0)),"?IN_FOCUS",IF(J3411&lt;=2,"?ACTIVATED",IF(J3411&lt;&gt;"","?FAMILIAR",IF(F3411="NEW",IF(ISNA(VLOOKUP(E3411,#REF!,1,FALSE())),"?TYPE_IDENTIFIABLE","?REFERENTIAL"),"_")))))</f>
        <v> </v>
      </c>
      <c r="H3411" s="24" t="str">
        <f>IF(J3411&lt;&gt;1,"",IF(I3411="SBJ","CB","?"))</f>
        <v> </v>
      </c>
      <c r="I3411" s="25" t="str">
        <f>IF(OR(E3411="",E3411="!!!",F3411="NEW"),"",INDEX(B3410:B$2,-1+SUMPRODUCT(MAX(ROW(E3410:E$2)*(E3411=E3410:E$2)))))</f>
        <v> </v>
      </c>
      <c r="J3411" s="25" t="str">
        <f>IF(OR(E3411="",E3411="!!!",F3411="NEW"),"",COUNTBLANK(OFFSET(A$1,,,SUMPRODUCT(MAX(ROW(E$2:E3411)*(E3411=E$2:E3411)))))-COUNTBLANK(OFFSET(A$1,,,SUMPRODUCT(MAX(ROW(E$1:E3410)*(E2=E$1:E3410))))))</f>
        <v> </v>
      </c>
      <c r="K3411" s="25" t="str">
        <f>IF(OR(E3411="",E3411="!!!",F3411="NEW"),"",INDEX(J$1:J3410,SUMPRODUCT(MAX(ROW(E$1:E3410)*(E3411=E$1:E3410)))))</f>
        <v> </v>
      </c>
      <c r="L3411" s="26"/>
    </row>
    <row r="3412" spans="1:12">
      <c r="A3412" s="20" t="s">
        <v>2648</v>
      </c>
      <c r="E3412" s="21">
        <f>IF(D3412="?OLD","!!!","")</f>
        <v/>
      </c>
      <c r="F3412" s="22" t="str">
        <f>IF(OR(E3412="",E3412="!!!"),"",IF(NOT(ISNA(VLOOKUP(E3412,E$1:E3411,1,FALSE()))),"OLD",IF(AND(E3412&lt;&gt;"",E3412&lt;&gt;"!!!"),"NEW","")))</f>
        <v> </v>
      </c>
      <c r="G3412" s="23" t="str">
        <f>IF(OR(E3412="",E3412="!!!"),"",IF(OR(J3412=0,AND(J3412=1,K3412=1),AND(J3412=1,I3412="SBJ"),AND(J3412=1,I3412=0)),"?IN_FOCUS",IF(J3412&lt;=2,"?ACTIVATED",IF(J3412&lt;&gt;"","?FAMILIAR",IF(F3412="NEW",IF(ISNA(VLOOKUP(E3412,#REF!,1,FALSE())),"?TYPE_IDENTIFIABLE","?REFERENTIAL"),"_")))))</f>
        <v> </v>
      </c>
      <c r="H3412" s="24" t="str">
        <f>IF(J3412&lt;&gt;1,"",IF(I3412="SBJ","CB","?"))</f>
        <v> </v>
      </c>
      <c r="I3412" s="25" t="str">
        <f>IF(OR(E3412="",E3412="!!!",F3412="NEW"),"",INDEX(B3411:B$2,-1+SUMPRODUCT(MAX(ROW(E3411:E$2)*(E3412=E3411:E$2)))))</f>
        <v> </v>
      </c>
      <c r="J3412" s="25" t="str">
        <f>IF(OR(E3412="",E3412="!!!",F3412="NEW"),"",COUNTBLANK(OFFSET(A$1,,,SUMPRODUCT(MAX(ROW(E$2:E3412)*(E3412=E$2:E3412)))))-COUNTBLANK(OFFSET(A$1,,,SUMPRODUCT(MAX(ROW(E$1:E3411)*(E2=E$1:E3411))))))</f>
        <v> </v>
      </c>
      <c r="K3412" s="25" t="str">
        <f>IF(OR(E3412="",E3412="!!!",F3412="NEW"),"",INDEX(J$1:J3411,SUMPRODUCT(MAX(ROW(E$1:E3411)*(E3412=E$1:E3411)))))</f>
        <v> </v>
      </c>
      <c r="L3412" s="26"/>
    </row>
    <row r="3413" spans="1:12">
      <c r="A3413" s="20" t="s">
        <v>1123</v>
      </c>
      <c r="E3413" s="21">
        <f>IF(D3413="?OLD","!!!","")</f>
        <v/>
      </c>
      <c r="F3413" s="22" t="str">
        <f>IF(OR(E3413="",E3413="!!!"),"",IF(NOT(ISNA(VLOOKUP(E3413,E$1:E3412,1,FALSE()))),"OLD",IF(AND(E3413&lt;&gt;"",E3413&lt;&gt;"!!!"),"NEW","")))</f>
        <v> </v>
      </c>
      <c r="G3413" s="23" t="str">
        <f>IF(OR(E3413="",E3413="!!!"),"",IF(OR(J3413=0,AND(J3413=1,K3413=1),AND(J3413=1,I3413="SBJ"),AND(J3413=1,I3413=0)),"?IN_FOCUS",IF(J3413&lt;=2,"?ACTIVATED",IF(J3413&lt;&gt;"","?FAMILIAR",IF(F3413="NEW",IF(ISNA(VLOOKUP(E3413,#REF!,1,FALSE())),"?TYPE_IDENTIFIABLE","?REFERENTIAL"),"_")))))</f>
        <v> </v>
      </c>
      <c r="H3413" s="24" t="str">
        <f>IF(J3413&lt;&gt;1,"",IF(I3413="SBJ","CB","?"))</f>
        <v> </v>
      </c>
      <c r="I3413" s="25" t="str">
        <f>IF(OR(E3413="",E3413="!!!",F3413="NEW"),"",INDEX(B3412:B$2,-1+SUMPRODUCT(MAX(ROW(E3412:E$2)*(E3413=E3412:E$2)))))</f>
        <v> </v>
      </c>
      <c r="J3413" s="25" t="str">
        <f>IF(OR(E3413="",E3413="!!!",F3413="NEW"),"",COUNTBLANK(OFFSET(A$1,,,SUMPRODUCT(MAX(ROW(E$2:E3413)*(E3413=E$2:E3413)))))-COUNTBLANK(OFFSET(A$1,,,SUMPRODUCT(MAX(ROW(E$1:E3412)*(E2=E$1:E3412))))))</f>
        <v> </v>
      </c>
      <c r="K3413" s="25" t="str">
        <f>IF(OR(E3413="",E3413="!!!",F3413="NEW"),"",INDEX(J$1:J3412,SUMPRODUCT(MAX(ROW(E$1:E3412)*(E3413=E$1:E3412)))))</f>
        <v> </v>
      </c>
      <c r="L3413" s="26"/>
    </row>
    <row r="3414" spans="1:12">
      <c r="A3414" s="20" t="s">
        <v>2649</v>
      </c>
      <c r="E3414" s="21">
        <f>IF(D3414="?OLD","!!!","")</f>
        <v/>
      </c>
      <c r="F3414" s="22" t="str">
        <f>IF(OR(E3414="",E3414="!!!"),"",IF(NOT(ISNA(VLOOKUP(E3414,E$1:E3413,1,FALSE()))),"OLD",IF(AND(E3414&lt;&gt;"",E3414&lt;&gt;"!!!"),"NEW","")))</f>
        <v> </v>
      </c>
      <c r="G3414" s="23" t="str">
        <f>IF(OR(E3414="",E3414="!!!"),"",IF(OR(J3414=0,AND(J3414=1,K3414=1),AND(J3414=1,I3414="SBJ"),AND(J3414=1,I3414=0)),"?IN_FOCUS",IF(J3414&lt;=2,"?ACTIVATED",IF(J3414&lt;&gt;"","?FAMILIAR",IF(F3414="NEW",IF(ISNA(VLOOKUP(E3414,#REF!,1,FALSE())),"?TYPE_IDENTIFIABLE","?REFERENTIAL"),"_")))))</f>
        <v> </v>
      </c>
      <c r="H3414" s="24" t="str">
        <f>IF(J3414&lt;&gt;1,"",IF(I3414="SBJ","CB","?"))</f>
        <v> </v>
      </c>
      <c r="I3414" s="25" t="str">
        <f>IF(OR(E3414="",E3414="!!!",F3414="NEW"),"",INDEX(B3413:B$2,-1+SUMPRODUCT(MAX(ROW(E3413:E$2)*(E3414=E3413:E$2)))))</f>
        <v> </v>
      </c>
      <c r="J3414" s="25" t="str">
        <f>IF(OR(E3414="",E3414="!!!",F3414="NEW"),"",COUNTBLANK(OFFSET(A$1,,,SUMPRODUCT(MAX(ROW(E$2:E3414)*(E3414=E$2:E3414)))))-COUNTBLANK(OFFSET(A$1,,,SUMPRODUCT(MAX(ROW(E$1:E3413)*(E2=E$1:E3413))))))</f>
        <v> </v>
      </c>
      <c r="K3414" s="25" t="str">
        <f>IF(OR(E3414="",E3414="!!!",F3414="NEW"),"",INDEX(J$1:J3413,SUMPRODUCT(MAX(ROW(E$1:E3413)*(E3414=E$1:E3413)))))</f>
        <v> </v>
      </c>
      <c r="L3414" s="26"/>
    </row>
    <row r="3415" spans="1:12">
      <c r="A3415" s="20" t="s">
        <v>1271</v>
      </c>
      <c r="E3415" s="21">
        <f>IF(D3415="?OLD","!!!","")</f>
        <v/>
      </c>
      <c r="F3415" s="22" t="str">
        <f>IF(OR(E3415="",E3415="!!!"),"",IF(NOT(ISNA(VLOOKUP(E3415,E$1:E3414,1,FALSE()))),"OLD",IF(AND(E3415&lt;&gt;"",E3415&lt;&gt;"!!!"),"NEW","")))</f>
        <v> </v>
      </c>
      <c r="G3415" s="23" t="str">
        <f>IF(OR(E3415="",E3415="!!!"),"",IF(OR(J3415=0,AND(J3415=1,K3415=1),AND(J3415=1,I3415="SBJ"),AND(J3415=1,I3415=0)),"?IN_FOCUS",IF(J3415&lt;=2,"?ACTIVATED",IF(J3415&lt;&gt;"","?FAMILIAR",IF(F3415="NEW",IF(ISNA(VLOOKUP(E3415,#REF!,1,FALSE())),"?TYPE_IDENTIFIABLE","?REFERENTIAL"),"_")))))</f>
        <v> </v>
      </c>
      <c r="H3415" s="24" t="str">
        <f>IF(J3415&lt;&gt;1,"",IF(I3415="SBJ","CB","?"))</f>
        <v> </v>
      </c>
      <c r="I3415" s="25" t="str">
        <f>IF(OR(E3415="",E3415="!!!",F3415="NEW"),"",INDEX(B3414:B$2,-1+SUMPRODUCT(MAX(ROW(E3414:E$2)*(E3415=E3414:E$2)))))</f>
        <v> </v>
      </c>
      <c r="J3415" s="25" t="str">
        <f>IF(OR(E3415="",E3415="!!!",F3415="NEW"),"",COUNTBLANK(OFFSET(A$1,,,SUMPRODUCT(MAX(ROW(E$2:E3415)*(E3415=E$2:E3415)))))-COUNTBLANK(OFFSET(A$1,,,SUMPRODUCT(MAX(ROW(E$1:E3414)*(E2=E$1:E3414))))))</f>
        <v> </v>
      </c>
      <c r="K3415" s="25" t="str">
        <f>IF(OR(E3415="",E3415="!!!",F3415="NEW"),"",INDEX(J$1:J3414,SUMPRODUCT(MAX(ROW(E$1:E3414)*(E3415=E$1:E3414)))))</f>
        <v> </v>
      </c>
      <c r="L3415" s="26"/>
    </row>
    <row r="3416" spans="1:12">
      <c r="A3416" s="20" t="s">
        <v>2650</v>
      </c>
      <c r="E3416" s="21">
        <f>IF(D3416="?OLD","!!!","")</f>
        <v/>
      </c>
      <c r="F3416" s="22" t="str">
        <f>IF(OR(E3416="",E3416="!!!"),"",IF(NOT(ISNA(VLOOKUP(E3416,E$1:E3415,1,FALSE()))),"OLD",IF(AND(E3416&lt;&gt;"",E3416&lt;&gt;"!!!"),"NEW","")))</f>
        <v> </v>
      </c>
      <c r="G3416" s="23" t="str">
        <f>IF(OR(E3416="",E3416="!!!"),"",IF(OR(J3416=0,AND(J3416=1,K3416=1),AND(J3416=1,I3416="SBJ"),AND(J3416=1,I3416=0)),"?IN_FOCUS",IF(J3416&lt;=2,"?ACTIVATED",IF(J3416&lt;&gt;"","?FAMILIAR",IF(F3416="NEW",IF(ISNA(VLOOKUP(E3416,#REF!,1,FALSE())),"?TYPE_IDENTIFIABLE","?REFERENTIAL"),"_")))))</f>
        <v> </v>
      </c>
      <c r="H3416" s="24" t="str">
        <f>IF(J3416&lt;&gt;1,"",IF(I3416="SBJ","CB","?"))</f>
        <v> </v>
      </c>
      <c r="I3416" s="25" t="str">
        <f>IF(OR(E3416="",E3416="!!!",F3416="NEW"),"",INDEX(B3415:B$2,-1+SUMPRODUCT(MAX(ROW(E3415:E$2)*(E3416=E3415:E$2)))))</f>
        <v> </v>
      </c>
      <c r="J3416" s="25" t="str">
        <f>IF(OR(E3416="",E3416="!!!",F3416="NEW"),"",COUNTBLANK(OFFSET(A$1,,,SUMPRODUCT(MAX(ROW(E$2:E3416)*(E3416=E$2:E3416)))))-COUNTBLANK(OFFSET(A$1,,,SUMPRODUCT(MAX(ROW(E$1:E3415)*(E2=E$1:E3415))))))</f>
        <v> </v>
      </c>
      <c r="K3416" s="25" t="str">
        <f>IF(OR(E3416="",E3416="!!!",F3416="NEW"),"",INDEX(J$1:J3415,SUMPRODUCT(MAX(ROW(E$1:E3415)*(E3416=E$1:E3415)))))</f>
        <v> </v>
      </c>
      <c r="L3416" s="26"/>
    </row>
    <row r="3417" spans="1:12">
      <c r="A3417" s="20" t="s">
        <v>1145</v>
      </c>
      <c r="E3417" s="21">
        <f>IF(D3417="?OLD","!!!","")</f>
        <v/>
      </c>
      <c r="F3417" s="22" t="str">
        <f>IF(OR(E3417="",E3417="!!!"),"",IF(NOT(ISNA(VLOOKUP(E3417,E$1:E3416,1,FALSE()))),"OLD",IF(AND(E3417&lt;&gt;"",E3417&lt;&gt;"!!!"),"NEW","")))</f>
        <v> </v>
      </c>
      <c r="G3417" s="23" t="str">
        <f>IF(OR(E3417="",E3417="!!!"),"",IF(OR(J3417=0,AND(J3417=1,K3417=1),AND(J3417=1,I3417="SBJ"),AND(J3417=1,I3417=0)),"?IN_FOCUS",IF(J3417&lt;=2,"?ACTIVATED",IF(J3417&lt;&gt;"","?FAMILIAR",IF(F3417="NEW",IF(ISNA(VLOOKUP(E3417,#REF!,1,FALSE())),"?TYPE_IDENTIFIABLE","?REFERENTIAL"),"_")))))</f>
        <v> </v>
      </c>
      <c r="H3417" s="24" t="str">
        <f>IF(J3417&lt;&gt;1,"",IF(I3417="SBJ","CB","?"))</f>
        <v> </v>
      </c>
      <c r="I3417" s="25" t="str">
        <f>IF(OR(E3417="",E3417="!!!",F3417="NEW"),"",INDEX(B3416:B$2,-1+SUMPRODUCT(MAX(ROW(E3416:E$2)*(E3417=E3416:E$2)))))</f>
        <v> </v>
      </c>
      <c r="J3417" s="25" t="str">
        <f>IF(OR(E3417="",E3417="!!!",F3417="NEW"),"",COUNTBLANK(OFFSET(A$1,,,SUMPRODUCT(MAX(ROW(E$2:E3417)*(E3417=E$2:E3417)))))-COUNTBLANK(OFFSET(A$1,,,SUMPRODUCT(MAX(ROW(E$1:E3416)*(E2=E$1:E3416))))))</f>
        <v> </v>
      </c>
      <c r="K3417" s="25" t="str">
        <f>IF(OR(E3417="",E3417="!!!",F3417="NEW"),"",INDEX(J$1:J3416,SUMPRODUCT(MAX(ROW(E$1:E3416)*(E3417=E$1:E3416)))))</f>
        <v> </v>
      </c>
      <c r="L3417" s="26"/>
    </row>
    <row r="3418" spans="1:12">
      <c r="A3418" s="20"/>
    </row>
    <row r="3419" spans="1:12">
      <c r="A3419" s="20" t="s">
        <v>2651</v>
      </c>
    </row>
    <row r="3420" spans="1:12">
      <c r="A3420" s="20" t="s">
        <v>1111</v>
      </c>
      <c r="E3420" s="21">
        <f>IF(D3420="?OLD","!!!","")</f>
        <v/>
      </c>
      <c r="F3420" s="22" t="str">
        <f>IF(OR(E3420="",E3420="!!!"),"",IF(NOT(ISNA(VLOOKUP(E3420,E$1:E3419,1,FALSE()))),"OLD",IF(AND(E3420&lt;&gt;"",E3420&lt;&gt;"!!!"),"NEW","")))</f>
        <v> </v>
      </c>
      <c r="G3420" s="23" t="str">
        <f>IF(OR(E3420="",E3420="!!!"),"",IF(OR(J3420=0,AND(J3420=1,K3420=1),AND(J3420=1,I3420="SBJ"),AND(J3420=1,I3420=0)),"?IN_FOCUS",IF(J3420&lt;=2,"?ACTIVATED",IF(J3420&lt;&gt;"","?FAMILIAR",IF(F3420="NEW",IF(ISNA(VLOOKUP(E3420,#REF!,1,FALSE())),"?TYPE_IDENTIFIABLE","?REFERENTIAL"),"_")))))</f>
        <v> </v>
      </c>
      <c r="H3420" s="24" t="str">
        <f>IF(J3420&lt;&gt;1,"",IF(I3420="SBJ","CB","?"))</f>
        <v> </v>
      </c>
      <c r="I3420" s="25" t="str">
        <f>IF(OR(E3420="",E3420="!!!",F3420="NEW"),"",INDEX(B3419:B$2,-1+SUMPRODUCT(MAX(ROW(E3419:E$2)*(E3420=E3419:E$2)))))</f>
        <v> </v>
      </c>
      <c r="J3420" s="25" t="str">
        <f>IF(OR(E3420="",E3420="!!!",F3420="NEW"),"",COUNTBLANK(OFFSET(A$1,,,SUMPRODUCT(MAX(ROW(E$2:E3420)*(E3420=E$2:E3420)))))-COUNTBLANK(OFFSET(A$1,,,SUMPRODUCT(MAX(ROW(E$1:E3419)*(E2=E$1:E3419))))))</f>
        <v> </v>
      </c>
      <c r="K3420" s="25" t="str">
        <f>IF(OR(E3420="",E3420="!!!",F3420="NEW"),"",INDEX(J$1:J3419,SUMPRODUCT(MAX(ROW(E$1:E3419)*(E3420=E$1:E3419)))))</f>
        <v> </v>
      </c>
      <c r="L3420" s="26"/>
    </row>
    <row r="3421" spans="1:12">
      <c r="A3421" s="20" t="s">
        <v>1671</v>
      </c>
      <c r="E3421" s="21">
        <f>IF(D3421="?OLD","!!!","")</f>
        <v/>
      </c>
      <c r="F3421" s="22" t="str">
        <f>IF(OR(E3421="",E3421="!!!"),"",IF(NOT(ISNA(VLOOKUP(E3421,E$1:E3420,1,FALSE()))),"OLD",IF(AND(E3421&lt;&gt;"",E3421&lt;&gt;"!!!"),"NEW","")))</f>
        <v> </v>
      </c>
      <c r="G3421" s="23" t="str">
        <f>IF(OR(E3421="",E3421="!!!"),"",IF(OR(J3421=0,AND(J3421=1,K3421=1),AND(J3421=1,I3421="SBJ"),AND(J3421=1,I3421=0)),"?IN_FOCUS",IF(J3421&lt;=2,"?ACTIVATED",IF(J3421&lt;&gt;"","?FAMILIAR",IF(F3421="NEW",IF(ISNA(VLOOKUP(E3421,#REF!,1,FALSE())),"?TYPE_IDENTIFIABLE","?REFERENTIAL"),"_")))))</f>
        <v> </v>
      </c>
      <c r="H3421" s="24" t="str">
        <f>IF(J3421&lt;&gt;1,"",IF(I3421="SBJ","CB","?"))</f>
        <v> </v>
      </c>
      <c r="I3421" s="25" t="str">
        <f>IF(OR(E3421="",E3421="!!!",F3421="NEW"),"",INDEX(B3420:B$2,-1+SUMPRODUCT(MAX(ROW(E3420:E$2)*(E3421=E3420:E$2)))))</f>
        <v> </v>
      </c>
      <c r="J3421" s="25" t="str">
        <f>IF(OR(E3421="",E3421="!!!",F3421="NEW"),"",COUNTBLANK(OFFSET(A$1,,,SUMPRODUCT(MAX(ROW(E$2:E3421)*(E3421=E$2:E3421)))))-COUNTBLANK(OFFSET(A$1,,,SUMPRODUCT(MAX(ROW(E$1:E3420)*(E2=E$1:E3420))))))</f>
        <v> </v>
      </c>
      <c r="K3421" s="25" t="str">
        <f>IF(OR(E3421="",E3421="!!!",F3421="NEW"),"",INDEX(J$1:J3420,SUMPRODUCT(MAX(ROW(E$1:E3420)*(E3421=E$1:E3420)))))</f>
        <v> </v>
      </c>
      <c r="L3421" s="26"/>
    </row>
    <row r="3422" spans="1:12">
      <c r="A3422" s="20" t="s">
        <v>1123</v>
      </c>
      <c r="E3422" s="21">
        <f>IF(D3422="?OLD","!!!","")</f>
        <v/>
      </c>
      <c r="F3422" s="22" t="str">
        <f>IF(OR(E3422="",E3422="!!!"),"",IF(NOT(ISNA(VLOOKUP(E3422,E$1:E3421,1,FALSE()))),"OLD",IF(AND(E3422&lt;&gt;"",E3422&lt;&gt;"!!!"),"NEW","")))</f>
        <v> </v>
      </c>
      <c r="G3422" s="23" t="str">
        <f>IF(OR(E3422="",E3422="!!!"),"",IF(OR(J3422=0,AND(J3422=1,K3422=1),AND(J3422=1,I3422="SBJ"),AND(J3422=1,I3422=0)),"?IN_FOCUS",IF(J3422&lt;=2,"?ACTIVATED",IF(J3422&lt;&gt;"","?FAMILIAR",IF(F3422="NEW",IF(ISNA(VLOOKUP(E3422,#REF!,1,FALSE())),"?TYPE_IDENTIFIABLE","?REFERENTIAL"),"_")))))</f>
        <v> </v>
      </c>
      <c r="H3422" s="24" t="str">
        <f>IF(J3422&lt;&gt;1,"",IF(I3422="SBJ","CB","?"))</f>
        <v> </v>
      </c>
      <c r="I3422" s="25" t="str">
        <f>IF(OR(E3422="",E3422="!!!",F3422="NEW"),"",INDEX(B3421:B$2,-1+SUMPRODUCT(MAX(ROW(E3421:E$2)*(E3422=E3421:E$2)))))</f>
        <v> </v>
      </c>
      <c r="J3422" s="25" t="str">
        <f>IF(OR(E3422="",E3422="!!!",F3422="NEW"),"",COUNTBLANK(OFFSET(A$1,,,SUMPRODUCT(MAX(ROW(E$2:E3422)*(E3422=E$2:E3422)))))-COUNTBLANK(OFFSET(A$1,,,SUMPRODUCT(MAX(ROW(E$1:E3421)*(E2=E$1:E3421))))))</f>
        <v> </v>
      </c>
      <c r="K3422" s="25" t="str">
        <f>IF(OR(E3422="",E3422="!!!",F3422="NEW"),"",INDEX(J$1:J3421,SUMPRODUCT(MAX(ROW(E$1:E3421)*(E3422=E$1:E3421)))))</f>
        <v> </v>
      </c>
      <c r="L3422" s="26"/>
    </row>
    <row r="3423" spans="1:12">
      <c r="A3423" s="20" t="s">
        <v>1111</v>
      </c>
      <c r="E3423" s="21">
        <f>IF(D3423="?OLD","!!!","")</f>
        <v/>
      </c>
      <c r="F3423" s="22" t="str">
        <f>IF(OR(E3423="",E3423="!!!"),"",IF(NOT(ISNA(VLOOKUP(E3423,E$1:E3422,1,FALSE()))),"OLD",IF(AND(E3423&lt;&gt;"",E3423&lt;&gt;"!!!"),"NEW","")))</f>
        <v> </v>
      </c>
      <c r="G3423" s="23" t="str">
        <f>IF(OR(E3423="",E3423="!!!"),"",IF(OR(J3423=0,AND(J3423=1,K3423=1),AND(J3423=1,I3423="SBJ"),AND(J3423=1,I3423=0)),"?IN_FOCUS",IF(J3423&lt;=2,"?ACTIVATED",IF(J3423&lt;&gt;"","?FAMILIAR",IF(F3423="NEW",IF(ISNA(VLOOKUP(E3423,#REF!,1,FALSE())),"?TYPE_IDENTIFIABLE","?REFERENTIAL"),"_")))))</f>
        <v> </v>
      </c>
      <c r="H3423" s="24" t="str">
        <f>IF(J3423&lt;&gt;1,"",IF(I3423="SBJ","CB","?"))</f>
        <v> </v>
      </c>
      <c r="I3423" s="25" t="str">
        <f>IF(OR(E3423="",E3423="!!!",F3423="NEW"),"",INDEX(B3422:B$2,-1+SUMPRODUCT(MAX(ROW(E3422:E$2)*(E3423=E3422:E$2)))))</f>
        <v> </v>
      </c>
      <c r="J3423" s="25" t="str">
        <f>IF(OR(E3423="",E3423="!!!",F3423="NEW"),"",COUNTBLANK(OFFSET(A$1,,,SUMPRODUCT(MAX(ROW(E$2:E3423)*(E3423=E$2:E3423)))))-COUNTBLANK(OFFSET(A$1,,,SUMPRODUCT(MAX(ROW(E$1:E3422)*(E2=E$1:E3422))))))</f>
        <v> </v>
      </c>
      <c r="K3423" s="25" t="str">
        <f>IF(OR(E3423="",E3423="!!!",F3423="NEW"),"",INDEX(J$1:J3422,SUMPRODUCT(MAX(ROW(E$1:E3422)*(E3423=E$1:E3422)))))</f>
        <v> </v>
      </c>
      <c r="L3423" s="26"/>
    </row>
    <row r="3424" spans="1:12">
      <c r="A3424" s="20" t="s">
        <v>1425</v>
      </c>
      <c r="E3424" s="21">
        <f>IF(D3424="?OLD","!!!","")</f>
        <v/>
      </c>
      <c r="F3424" s="22" t="str">
        <f>IF(OR(E3424="",E3424="!!!"),"",IF(NOT(ISNA(VLOOKUP(E3424,E$1:E3423,1,FALSE()))),"OLD",IF(AND(E3424&lt;&gt;"",E3424&lt;&gt;"!!!"),"NEW","")))</f>
        <v> </v>
      </c>
      <c r="G3424" s="23" t="str">
        <f>IF(OR(E3424="",E3424="!!!"),"",IF(OR(J3424=0,AND(J3424=1,K3424=1),AND(J3424=1,I3424="SBJ"),AND(J3424=1,I3424=0)),"?IN_FOCUS",IF(J3424&lt;=2,"?ACTIVATED",IF(J3424&lt;&gt;"","?FAMILIAR",IF(F3424="NEW",IF(ISNA(VLOOKUP(E3424,#REF!,1,FALSE())),"?TYPE_IDENTIFIABLE","?REFERENTIAL"),"_")))))</f>
        <v> </v>
      </c>
      <c r="H3424" s="24" t="str">
        <f>IF(J3424&lt;&gt;1,"",IF(I3424="SBJ","CB","?"))</f>
        <v> </v>
      </c>
      <c r="I3424" s="25" t="str">
        <f>IF(OR(E3424="",E3424="!!!",F3424="NEW"),"",INDEX(B3423:B$2,-1+SUMPRODUCT(MAX(ROW(E3423:E$2)*(E3424=E3423:E$2)))))</f>
        <v> </v>
      </c>
      <c r="J3424" s="25" t="str">
        <f>IF(OR(E3424="",E3424="!!!",F3424="NEW"),"",COUNTBLANK(OFFSET(A$1,,,SUMPRODUCT(MAX(ROW(E$2:E3424)*(E3424=E$2:E3424)))))-COUNTBLANK(OFFSET(A$1,,,SUMPRODUCT(MAX(ROW(E$1:E3423)*(E2=E$1:E3423))))))</f>
        <v> </v>
      </c>
      <c r="K3424" s="25" t="str">
        <f>IF(OR(E3424="",E3424="!!!",F3424="NEW"),"",INDEX(J$1:J3423,SUMPRODUCT(MAX(ROW(E$1:E3423)*(E3424=E$1:E3423)))))</f>
        <v> </v>
      </c>
      <c r="L3424" s="26"/>
    </row>
    <row r="3425" spans="1:12">
      <c r="A3425" s="20" t="s">
        <v>1124</v>
      </c>
      <c r="B3425" s="27" t="s">
        <v>1122</v>
      </c>
      <c r="C3425" s="27" t="s">
        <v>1126</v>
      </c>
      <c r="D3425" s="27" t="s">
        <v>1105</v>
      </c>
      <c r="E3425" s="21">
        <f>IF(D3425="?OLD","!!!","")</f>
        <v/>
      </c>
      <c r="F3425" s="22" t="str">
        <f>IF(OR(E3425="",E3425="!!!"),"",IF(NOT(ISNA(VLOOKUP(E3425,E$1:E3424,1,FALSE()))),"OLD",IF(AND(E3425&lt;&gt;"",E3425&lt;&gt;"!!!"),"NEW","")))</f>
        <v> </v>
      </c>
      <c r="G3425" s="23" t="str">
        <f>IF(OR(E3425="",E3425="!!!"),"",IF(OR(J3425=0,AND(J3425=1,K3425=1),AND(J3425=1,I3425="SBJ"),AND(J3425=1,I3425=0)),"?IN_FOCUS",IF(J3425&lt;=2,"?ACTIVATED",IF(J3425&lt;&gt;"","?FAMILIAR",IF(F3425="NEW",IF(ISNA(VLOOKUP(E3425,#REF!,1,FALSE())),"?TYPE_IDENTIFIABLE","?REFERENTIAL"),"_")))))</f>
        <v> </v>
      </c>
      <c r="H3425" s="24" t="str">
        <f>IF(J3425&lt;&gt;1,"",IF(I3425="SBJ","CB","?"))</f>
        <v> </v>
      </c>
      <c r="I3425" s="25" t="str">
        <f>IF(OR(E3425="",E3425="!!!",F3425="NEW"),"",INDEX(B3424:B$2,-1+SUMPRODUCT(MAX(ROW(E3424:E$2)*(E3425=E3424:E$2)))))</f>
        <v> </v>
      </c>
      <c r="J3425" s="25" t="str">
        <f>IF(OR(E3425="",E3425="!!!",F3425="NEW"),"",COUNTBLANK(OFFSET(A$1,,,SUMPRODUCT(MAX(ROW(E$2:E3425)*(E3425=E$2:E3425)))))-COUNTBLANK(OFFSET(A$1,,,SUMPRODUCT(MAX(ROW(E$1:E3424)*(E2=E$1:E3424))))))</f>
        <v> </v>
      </c>
      <c r="K3425" s="25" t="str">
        <f>IF(OR(E3425="",E3425="!!!",F3425="NEW"),"",INDEX(J$1:J3424,SUMPRODUCT(MAX(ROW(E$1:E3424)*(E3425=E$1:E3424)))))</f>
        <v> </v>
      </c>
      <c r="L3425" s="26"/>
    </row>
    <row r="3426" spans="1:12">
      <c r="A3426" s="20" t="s">
        <v>1145</v>
      </c>
      <c r="E3426" s="21">
        <f>IF(D3426="?OLD","!!!","")</f>
        <v/>
      </c>
      <c r="F3426" s="22" t="str">
        <f>IF(OR(E3426="",E3426="!!!"),"",IF(NOT(ISNA(VLOOKUP(E3426,E$1:E3425,1,FALSE()))),"OLD",IF(AND(E3426&lt;&gt;"",E3426&lt;&gt;"!!!"),"NEW","")))</f>
        <v> </v>
      </c>
      <c r="G3426" s="23" t="str">
        <f>IF(OR(E3426="",E3426="!!!"),"",IF(OR(J3426=0,AND(J3426=1,K3426=1),AND(J3426=1,I3426="SBJ"),AND(J3426=1,I3426=0)),"?IN_FOCUS",IF(J3426&lt;=2,"?ACTIVATED",IF(J3426&lt;&gt;"","?FAMILIAR",IF(F3426="NEW",IF(ISNA(VLOOKUP(E3426,#REF!,1,FALSE())),"?TYPE_IDENTIFIABLE","?REFERENTIAL"),"_")))))</f>
        <v> </v>
      </c>
      <c r="H3426" s="24" t="str">
        <f>IF(J3426&lt;&gt;1,"",IF(I3426="SBJ","CB","?"))</f>
        <v> </v>
      </c>
      <c r="I3426" s="25" t="str">
        <f>IF(OR(E3426="",E3426="!!!",F3426="NEW"),"",INDEX(B3425:B$2,-1+SUMPRODUCT(MAX(ROW(E3425:E$2)*(E3426=E3425:E$2)))))</f>
        <v> </v>
      </c>
      <c r="J3426" s="25" t="str">
        <f>IF(OR(E3426="",E3426="!!!",F3426="NEW"),"",COUNTBLANK(OFFSET(A$1,,,SUMPRODUCT(MAX(ROW(E$2:E3426)*(E3426=E$2:E3426)))))-COUNTBLANK(OFFSET(A$1,,,SUMPRODUCT(MAX(ROW(E$1:E3425)*(E2=E$1:E3425))))))</f>
        <v> </v>
      </c>
      <c r="K3426" s="25" t="str">
        <f>IF(OR(E3426="",E3426="!!!",F3426="NEW"),"",INDEX(J$1:J3425,SUMPRODUCT(MAX(ROW(E$1:E3425)*(E3426=E$1:E3425)))))</f>
        <v> </v>
      </c>
      <c r="L3426" s="26"/>
    </row>
    <row r="3427" spans="1:12">
      <c r="A3427" s="20"/>
    </row>
    <row r="3428" spans="1:12">
      <c r="A3428" s="20" t="s">
        <v>2652</v>
      </c>
    </row>
    <row r="3429" spans="1:12">
      <c r="A3429" s="20" t="s">
        <v>1111</v>
      </c>
      <c r="E3429" s="21">
        <f>IF(D3429="?OLD","!!!","")</f>
        <v/>
      </c>
      <c r="F3429" s="22" t="str">
        <f>IF(OR(E3429="",E3429="!!!"),"",IF(NOT(ISNA(VLOOKUP(E3429,E$1:E3428,1,FALSE()))),"OLD",IF(AND(E3429&lt;&gt;"",E3429&lt;&gt;"!!!"),"NEW","")))</f>
        <v> </v>
      </c>
      <c r="G3429" s="23" t="str">
        <f>IF(OR(E3429="",E3429="!!!"),"",IF(OR(J3429=0,AND(J3429=1,K3429=1),AND(J3429=1,I3429="SBJ"),AND(J3429=1,I3429=0)),"?IN_FOCUS",IF(J3429&lt;=2,"?ACTIVATED",IF(J3429&lt;&gt;"","?FAMILIAR",IF(F3429="NEW",IF(ISNA(VLOOKUP(E3429,#REF!,1,FALSE())),"?TYPE_IDENTIFIABLE","?REFERENTIAL"),"_")))))</f>
        <v> </v>
      </c>
      <c r="H3429" s="24" t="str">
        <f>IF(J3429&lt;&gt;1,"",IF(I3429="SBJ","CB","?"))</f>
        <v> </v>
      </c>
      <c r="I3429" s="25" t="str">
        <f>IF(OR(E3429="",E3429="!!!",F3429="NEW"),"",INDEX(B3428:B$2,-1+SUMPRODUCT(MAX(ROW(E3428:E$2)*(E3429=E3428:E$2)))))</f>
        <v> </v>
      </c>
      <c r="J3429" s="25" t="str">
        <f>IF(OR(E3429="",E3429="!!!",F3429="NEW"),"",COUNTBLANK(OFFSET(A$1,,,SUMPRODUCT(MAX(ROW(E$2:E3429)*(E3429=E$2:E3429)))))-COUNTBLANK(OFFSET(A$1,,,SUMPRODUCT(MAX(ROW(E$1:E3428)*(E2=E$1:E3428))))))</f>
        <v> </v>
      </c>
      <c r="K3429" s="25" t="str">
        <f>IF(OR(E3429="",E3429="!!!",F3429="NEW"),"",INDEX(J$1:J3428,SUMPRODUCT(MAX(ROW(E$1:E3428)*(E3429=E$1:E3428)))))</f>
        <v> </v>
      </c>
      <c r="L3429" s="26"/>
    </row>
    <row r="3430" spans="1:12">
      <c r="A3430" s="20" t="s">
        <v>2653</v>
      </c>
      <c r="E3430" s="21">
        <f>IF(D3430="?OLD","!!!","")</f>
        <v/>
      </c>
      <c r="F3430" s="22" t="str">
        <f>IF(OR(E3430="",E3430="!!!"),"",IF(NOT(ISNA(VLOOKUP(E3430,E$1:E3429,1,FALSE()))),"OLD",IF(AND(E3430&lt;&gt;"",E3430&lt;&gt;"!!!"),"NEW","")))</f>
        <v> </v>
      </c>
      <c r="G3430" s="23" t="str">
        <f>IF(OR(E3430="",E3430="!!!"),"",IF(OR(J3430=0,AND(J3430=1,K3430=1),AND(J3430=1,I3430="SBJ"),AND(J3430=1,I3430=0)),"?IN_FOCUS",IF(J3430&lt;=2,"?ACTIVATED",IF(J3430&lt;&gt;"","?FAMILIAR",IF(F3430="NEW",IF(ISNA(VLOOKUP(E3430,#REF!,1,FALSE())),"?TYPE_IDENTIFIABLE","?REFERENTIAL"),"_")))))</f>
        <v> </v>
      </c>
      <c r="H3430" s="24" t="str">
        <f>IF(J3430&lt;&gt;1,"",IF(I3430="SBJ","CB","?"))</f>
        <v> </v>
      </c>
      <c r="I3430" s="25" t="str">
        <f>IF(OR(E3430="",E3430="!!!",F3430="NEW"),"",INDEX(B3429:B$2,-1+SUMPRODUCT(MAX(ROW(E3429:E$2)*(E3430=E3429:E$2)))))</f>
        <v> </v>
      </c>
      <c r="J3430" s="25" t="str">
        <f>IF(OR(E3430="",E3430="!!!",F3430="NEW"),"",COUNTBLANK(OFFSET(A$1,,,SUMPRODUCT(MAX(ROW(E$2:E3430)*(E3430=E$2:E3430)))))-COUNTBLANK(OFFSET(A$1,,,SUMPRODUCT(MAX(ROW(E$1:E3429)*(E2=E$1:E3429))))))</f>
        <v> </v>
      </c>
      <c r="K3430" s="25" t="str">
        <f>IF(OR(E3430="",E3430="!!!",F3430="NEW"),"",INDEX(J$1:J3429,SUMPRODUCT(MAX(ROW(E$1:E3429)*(E3430=E$1:E3429)))))</f>
        <v> </v>
      </c>
      <c r="L3430" s="26"/>
    </row>
    <row r="3431" spans="1:12">
      <c r="A3431" s="20" t="s">
        <v>2654</v>
      </c>
      <c r="E3431" s="21">
        <f>IF(D3431="?OLD","!!!","")</f>
        <v/>
      </c>
      <c r="F3431" s="22" t="str">
        <f>IF(OR(E3431="",E3431="!!!"),"",IF(NOT(ISNA(VLOOKUP(E3431,E$1:E3430,1,FALSE()))),"OLD",IF(AND(E3431&lt;&gt;"",E3431&lt;&gt;"!!!"),"NEW","")))</f>
        <v> </v>
      </c>
      <c r="G3431" s="23" t="str">
        <f>IF(OR(E3431="",E3431="!!!"),"",IF(OR(J3431=0,AND(J3431=1,K3431=1),AND(J3431=1,I3431="SBJ"),AND(J3431=1,I3431=0)),"?IN_FOCUS",IF(J3431&lt;=2,"?ACTIVATED",IF(J3431&lt;&gt;"","?FAMILIAR",IF(F3431="NEW",IF(ISNA(VLOOKUP(E3431,#REF!,1,FALSE())),"?TYPE_IDENTIFIABLE","?REFERENTIAL"),"_")))))</f>
        <v> </v>
      </c>
      <c r="H3431" s="24" t="str">
        <f>IF(J3431&lt;&gt;1,"",IF(I3431="SBJ","CB","?"))</f>
        <v> </v>
      </c>
      <c r="I3431" s="25" t="str">
        <f>IF(OR(E3431="",E3431="!!!",F3431="NEW"),"",INDEX(B3430:B$2,-1+SUMPRODUCT(MAX(ROW(E3430:E$2)*(E3431=E3430:E$2)))))</f>
        <v> </v>
      </c>
      <c r="J3431" s="25" t="str">
        <f>IF(OR(E3431="",E3431="!!!",F3431="NEW"),"",COUNTBLANK(OFFSET(A$1,,,SUMPRODUCT(MAX(ROW(E$2:E3431)*(E3431=E$2:E3431)))))-COUNTBLANK(OFFSET(A$1,,,SUMPRODUCT(MAX(ROW(E$1:E3430)*(E2=E$1:E3430))))))</f>
        <v> </v>
      </c>
      <c r="K3431" s="25" t="str">
        <f>IF(OR(E3431="",E3431="!!!",F3431="NEW"),"",INDEX(J$1:J3430,SUMPRODUCT(MAX(ROW(E$1:E3430)*(E3431=E$1:E3430)))))</f>
        <v> </v>
      </c>
      <c r="L3431" s="26"/>
    </row>
    <row r="3432" spans="1:12">
      <c r="A3432" s="20" t="s">
        <v>2010</v>
      </c>
      <c r="B3432" s="27" t="s">
        <v>1149</v>
      </c>
      <c r="C3432" s="27" t="s">
        <v>1758</v>
      </c>
      <c r="E3432" s="21">
        <f>IF(D3432="?OLD","!!!","")</f>
        <v/>
      </c>
      <c r="F3432" s="22" t="str">
        <f>IF(OR(E3432="",E3432="!!!"),"",IF(NOT(ISNA(VLOOKUP(E3432,E$1:E3431,1,FALSE()))),"OLD",IF(AND(E3432&lt;&gt;"",E3432&lt;&gt;"!!!"),"NEW","")))</f>
        <v> </v>
      </c>
      <c r="G3432" s="23" t="str">
        <f>IF(OR(E3432="",E3432="!!!"),"",IF(OR(J3432=0,AND(J3432=1,K3432=1),AND(J3432=1,I3432="SBJ"),AND(J3432=1,I3432=0)),"?IN_FOCUS",IF(J3432&lt;=2,"?ACTIVATED",IF(J3432&lt;&gt;"","?FAMILIAR",IF(F3432="NEW",IF(ISNA(VLOOKUP(E3432,#REF!,1,FALSE())),"?TYPE_IDENTIFIABLE","?REFERENTIAL"),"_")))))</f>
        <v> </v>
      </c>
      <c r="H3432" s="24" t="str">
        <f>IF(J3432&lt;&gt;1,"",IF(I3432="SBJ","CB","?"))</f>
        <v> </v>
      </c>
      <c r="I3432" s="25" t="str">
        <f>IF(OR(E3432="",E3432="!!!",F3432="NEW"),"",INDEX(B3431:B$2,-1+SUMPRODUCT(MAX(ROW(E3431:E$2)*(E3432=E3431:E$2)))))</f>
        <v> </v>
      </c>
      <c r="J3432" s="25" t="str">
        <f>IF(OR(E3432="",E3432="!!!",F3432="NEW"),"",COUNTBLANK(OFFSET(A$1,,,SUMPRODUCT(MAX(ROW(E$2:E3432)*(E3432=E$2:E3432)))))-COUNTBLANK(OFFSET(A$1,,,SUMPRODUCT(MAX(ROW(E$1:E3431)*(E2=E$1:E3431))))))</f>
        <v> </v>
      </c>
      <c r="K3432" s="25" t="str">
        <f>IF(OR(E3432="",E3432="!!!",F3432="NEW"),"",INDEX(J$1:J3431,SUMPRODUCT(MAX(ROW(E$1:E3431)*(E3432=E$1:E3431)))))</f>
        <v> </v>
      </c>
      <c r="L3432" s="26"/>
    </row>
    <row r="3433" spans="1:12">
      <c r="A3433" s="20" t="s">
        <v>1134</v>
      </c>
      <c r="E3433" s="21">
        <f>IF(D3433="?OLD","!!!","")</f>
        <v/>
      </c>
      <c r="F3433" s="22" t="str">
        <f>IF(OR(E3433="",E3433="!!!"),"",IF(NOT(ISNA(VLOOKUP(E3433,E$1:E3432,1,FALSE()))),"OLD",IF(AND(E3433&lt;&gt;"",E3433&lt;&gt;"!!!"),"NEW","")))</f>
        <v> </v>
      </c>
      <c r="G3433" s="23" t="str">
        <f>IF(OR(E3433="",E3433="!!!"),"",IF(OR(J3433=0,AND(J3433=1,K3433=1),AND(J3433=1,I3433="SBJ"),AND(J3433=1,I3433=0)),"?IN_FOCUS",IF(J3433&lt;=2,"?ACTIVATED",IF(J3433&lt;&gt;"","?FAMILIAR",IF(F3433="NEW",IF(ISNA(VLOOKUP(E3433,#REF!,1,FALSE())),"?TYPE_IDENTIFIABLE","?REFERENTIAL"),"_")))))</f>
        <v> </v>
      </c>
      <c r="H3433" s="24" t="str">
        <f>IF(J3433&lt;&gt;1,"",IF(I3433="SBJ","CB","?"))</f>
        <v> </v>
      </c>
      <c r="I3433" s="25" t="str">
        <f>IF(OR(E3433="",E3433="!!!",F3433="NEW"),"",INDEX(B3432:B$2,-1+SUMPRODUCT(MAX(ROW(E3432:E$2)*(E3433=E3432:E$2)))))</f>
        <v> </v>
      </c>
      <c r="J3433" s="25" t="str">
        <f>IF(OR(E3433="",E3433="!!!",F3433="NEW"),"",COUNTBLANK(OFFSET(A$1,,,SUMPRODUCT(MAX(ROW(E$2:E3433)*(E3433=E$2:E3433)))))-COUNTBLANK(OFFSET(A$1,,,SUMPRODUCT(MAX(ROW(E$1:E3432)*(E2=E$1:E3432))))))</f>
        <v> </v>
      </c>
      <c r="K3433" s="25" t="str">
        <f>IF(OR(E3433="",E3433="!!!",F3433="NEW"),"",INDEX(J$1:J3432,SUMPRODUCT(MAX(ROW(E$1:E3432)*(E3433=E$1:E3432)))))</f>
        <v> </v>
      </c>
      <c r="L3433" s="26"/>
    </row>
    <row r="3434" spans="1:12">
      <c r="A3434" s="20" t="s">
        <v>2655</v>
      </c>
      <c r="E3434" s="21">
        <f>IF(D3434="?OLD","!!!","")</f>
        <v/>
      </c>
      <c r="F3434" s="22" t="str">
        <f>IF(OR(E3434="",E3434="!!!"),"",IF(NOT(ISNA(VLOOKUP(E3434,E$1:E3433,1,FALSE()))),"OLD",IF(AND(E3434&lt;&gt;"",E3434&lt;&gt;"!!!"),"NEW","")))</f>
        <v> </v>
      </c>
      <c r="G3434" s="23" t="str">
        <f>IF(OR(E3434="",E3434="!!!"),"",IF(OR(J3434=0,AND(J3434=1,K3434=1),AND(J3434=1,I3434="SBJ"),AND(J3434=1,I3434=0)),"?IN_FOCUS",IF(J3434&lt;=2,"?ACTIVATED",IF(J3434&lt;&gt;"","?FAMILIAR",IF(F3434="NEW",IF(ISNA(VLOOKUP(E3434,#REF!,1,FALSE())),"?TYPE_IDENTIFIABLE","?REFERENTIAL"),"_")))))</f>
        <v> </v>
      </c>
      <c r="H3434" s="24" t="str">
        <f>IF(J3434&lt;&gt;1,"",IF(I3434="SBJ","CB","?"))</f>
        <v> </v>
      </c>
      <c r="I3434" s="25" t="str">
        <f>IF(OR(E3434="",E3434="!!!",F3434="NEW"),"",INDEX(B3433:B$2,-1+SUMPRODUCT(MAX(ROW(E3433:E$2)*(E3434=E3433:E$2)))))</f>
        <v> </v>
      </c>
      <c r="J3434" s="25" t="str">
        <f>IF(OR(E3434="",E3434="!!!",F3434="NEW"),"",COUNTBLANK(OFFSET(A$1,,,SUMPRODUCT(MAX(ROW(E$2:E3434)*(E3434=E$2:E3434)))))-COUNTBLANK(OFFSET(A$1,,,SUMPRODUCT(MAX(ROW(E$1:E3433)*(E2=E$1:E3433))))))</f>
        <v> </v>
      </c>
      <c r="K3434" s="25" t="str">
        <f>IF(OR(E3434="",E3434="!!!",F3434="NEW"),"",INDEX(J$1:J3433,SUMPRODUCT(MAX(ROW(E$1:E3433)*(E3434=E$1:E3433)))))</f>
        <v> </v>
      </c>
      <c r="L3434" s="26"/>
    </row>
    <row r="3435" spans="1:12">
      <c r="A3435" s="20" t="s">
        <v>2656</v>
      </c>
      <c r="E3435" s="21">
        <f>IF(D3435="?OLD","!!!","")</f>
        <v/>
      </c>
      <c r="F3435" s="22" t="str">
        <f>IF(OR(E3435="",E3435="!!!"),"",IF(NOT(ISNA(VLOOKUP(E3435,E$1:E3434,1,FALSE()))),"OLD",IF(AND(E3435&lt;&gt;"",E3435&lt;&gt;"!!!"),"NEW","")))</f>
        <v> </v>
      </c>
      <c r="G3435" s="23" t="str">
        <f>IF(OR(E3435="",E3435="!!!"),"",IF(OR(J3435=0,AND(J3435=1,K3435=1),AND(J3435=1,I3435="SBJ"),AND(J3435=1,I3435=0)),"?IN_FOCUS",IF(J3435&lt;=2,"?ACTIVATED",IF(J3435&lt;&gt;"","?FAMILIAR",IF(F3435="NEW",IF(ISNA(VLOOKUP(E3435,#REF!,1,FALSE())),"?TYPE_IDENTIFIABLE","?REFERENTIAL"),"_")))))</f>
        <v> </v>
      </c>
      <c r="H3435" s="24" t="str">
        <f>IF(J3435&lt;&gt;1,"",IF(I3435="SBJ","CB","?"))</f>
        <v> </v>
      </c>
      <c r="I3435" s="25" t="str">
        <f>IF(OR(E3435="",E3435="!!!",F3435="NEW"),"",INDEX(B3434:B$2,-1+SUMPRODUCT(MAX(ROW(E3434:E$2)*(E3435=E3434:E$2)))))</f>
        <v> </v>
      </c>
      <c r="J3435" s="25" t="str">
        <f>IF(OR(E3435="",E3435="!!!",F3435="NEW"),"",COUNTBLANK(OFFSET(A$1,,,SUMPRODUCT(MAX(ROW(E$2:E3435)*(E3435=E$2:E3435)))))-COUNTBLANK(OFFSET(A$1,,,SUMPRODUCT(MAX(ROW(E$1:E3434)*(E2=E$1:E3434))))))</f>
        <v> </v>
      </c>
      <c r="K3435" s="25" t="str">
        <f>IF(OR(E3435="",E3435="!!!",F3435="NEW"),"",INDEX(J$1:J3434,SUMPRODUCT(MAX(ROW(E$1:E3434)*(E3435=E$1:E3434)))))</f>
        <v> </v>
      </c>
      <c r="L3435" s="26"/>
    </row>
    <row r="3436" spans="1:12">
      <c r="A3436" s="20" t="s">
        <v>1249</v>
      </c>
      <c r="E3436" s="21">
        <f>IF(D3436="?OLD","!!!","")</f>
        <v/>
      </c>
      <c r="F3436" s="22" t="str">
        <f>IF(OR(E3436="",E3436="!!!"),"",IF(NOT(ISNA(VLOOKUP(E3436,E$1:E3435,1,FALSE()))),"OLD",IF(AND(E3436&lt;&gt;"",E3436&lt;&gt;"!!!"),"NEW","")))</f>
        <v> </v>
      </c>
      <c r="G3436" s="23" t="str">
        <f>IF(OR(E3436="",E3436="!!!"),"",IF(OR(J3436=0,AND(J3436=1,K3436=1),AND(J3436=1,I3436="SBJ"),AND(J3436=1,I3436=0)),"?IN_FOCUS",IF(J3436&lt;=2,"?ACTIVATED",IF(J3436&lt;&gt;"","?FAMILIAR",IF(F3436="NEW",IF(ISNA(VLOOKUP(E3436,#REF!,1,FALSE())),"?TYPE_IDENTIFIABLE","?REFERENTIAL"),"_")))))</f>
        <v> </v>
      </c>
      <c r="H3436" s="24" t="str">
        <f>IF(J3436&lt;&gt;1,"",IF(I3436="SBJ","CB","?"))</f>
        <v> </v>
      </c>
      <c r="I3436" s="25" t="str">
        <f>IF(OR(E3436="",E3436="!!!",F3436="NEW"),"",INDEX(B3435:B$2,-1+SUMPRODUCT(MAX(ROW(E3435:E$2)*(E3436=E3435:E$2)))))</f>
        <v> </v>
      </c>
      <c r="J3436" s="25" t="str">
        <f>IF(OR(E3436="",E3436="!!!",F3436="NEW"),"",COUNTBLANK(OFFSET(A$1,,,SUMPRODUCT(MAX(ROW(E$2:E3436)*(E3436=E$2:E3436)))))-COUNTBLANK(OFFSET(A$1,,,SUMPRODUCT(MAX(ROW(E$1:E3435)*(E2=E$1:E3435))))))</f>
        <v> </v>
      </c>
      <c r="K3436" s="25" t="str">
        <f>IF(OR(E3436="",E3436="!!!",F3436="NEW"),"",INDEX(J$1:J3435,SUMPRODUCT(MAX(ROW(E$1:E3435)*(E3436=E$1:E3435)))))</f>
        <v> </v>
      </c>
      <c r="L3436" s="26"/>
    </row>
    <row r="3437" spans="1:12">
      <c r="A3437" s="20" t="s">
        <v>2657</v>
      </c>
      <c r="E3437" s="21">
        <f>IF(D3437="?OLD","!!!","")</f>
        <v/>
      </c>
      <c r="F3437" s="22" t="str">
        <f>IF(OR(E3437="",E3437="!!!"),"",IF(NOT(ISNA(VLOOKUP(E3437,E$1:E3436,1,FALSE()))),"OLD",IF(AND(E3437&lt;&gt;"",E3437&lt;&gt;"!!!"),"NEW","")))</f>
        <v> </v>
      </c>
      <c r="G3437" s="23" t="str">
        <f>IF(OR(E3437="",E3437="!!!"),"",IF(OR(J3437=0,AND(J3437=1,K3437=1),AND(J3437=1,I3437="SBJ"),AND(J3437=1,I3437=0)),"?IN_FOCUS",IF(J3437&lt;=2,"?ACTIVATED",IF(J3437&lt;&gt;"","?FAMILIAR",IF(F3437="NEW",IF(ISNA(VLOOKUP(E3437,#REF!,1,FALSE())),"?TYPE_IDENTIFIABLE","?REFERENTIAL"),"_")))))</f>
        <v> </v>
      </c>
      <c r="H3437" s="24" t="str">
        <f>IF(J3437&lt;&gt;1,"",IF(I3437="SBJ","CB","?"))</f>
        <v> </v>
      </c>
      <c r="I3437" s="25" t="str">
        <f>IF(OR(E3437="",E3437="!!!",F3437="NEW"),"",INDEX(B3436:B$2,-1+SUMPRODUCT(MAX(ROW(E3436:E$2)*(E3437=E3436:E$2)))))</f>
        <v> </v>
      </c>
      <c r="J3437" s="25" t="str">
        <f>IF(OR(E3437="",E3437="!!!",F3437="NEW"),"",COUNTBLANK(OFFSET(A$1,,,SUMPRODUCT(MAX(ROW(E$2:E3437)*(E3437=E$2:E3437)))))-COUNTBLANK(OFFSET(A$1,,,SUMPRODUCT(MAX(ROW(E$1:E3436)*(E2=E$1:E3436))))))</f>
        <v> </v>
      </c>
      <c r="K3437" s="25" t="str">
        <f>IF(OR(E3437="",E3437="!!!",F3437="NEW"),"",INDEX(J$1:J3436,SUMPRODUCT(MAX(ROW(E$1:E3436)*(E3437=E$1:E3436)))))</f>
        <v> </v>
      </c>
      <c r="L3437" s="26"/>
    </row>
    <row r="3438" spans="1:12">
      <c r="A3438" s="20" t="s">
        <v>2658</v>
      </c>
      <c r="E3438" s="21">
        <f>IF(D3438="?OLD","!!!","")</f>
        <v/>
      </c>
      <c r="F3438" s="22" t="str">
        <f>IF(OR(E3438="",E3438="!!!"),"",IF(NOT(ISNA(VLOOKUP(E3438,E$1:E3437,1,FALSE()))),"OLD",IF(AND(E3438&lt;&gt;"",E3438&lt;&gt;"!!!"),"NEW","")))</f>
        <v> </v>
      </c>
      <c r="G3438" s="23" t="str">
        <f>IF(OR(E3438="",E3438="!!!"),"",IF(OR(J3438=0,AND(J3438=1,K3438=1),AND(J3438=1,I3438="SBJ"),AND(J3438=1,I3438=0)),"?IN_FOCUS",IF(J3438&lt;=2,"?ACTIVATED",IF(J3438&lt;&gt;"","?FAMILIAR",IF(F3438="NEW",IF(ISNA(VLOOKUP(E3438,#REF!,1,FALSE())),"?TYPE_IDENTIFIABLE","?REFERENTIAL"),"_")))))</f>
        <v> </v>
      </c>
      <c r="H3438" s="24" t="str">
        <f>IF(J3438&lt;&gt;1,"",IF(I3438="SBJ","CB","?"))</f>
        <v> </v>
      </c>
      <c r="I3438" s="25" t="str">
        <f>IF(OR(E3438="",E3438="!!!",F3438="NEW"),"",INDEX(B3437:B$2,-1+SUMPRODUCT(MAX(ROW(E3437:E$2)*(E3438=E3437:E$2)))))</f>
        <v> </v>
      </c>
      <c r="J3438" s="25" t="str">
        <f>IF(OR(E3438="",E3438="!!!",F3438="NEW"),"",COUNTBLANK(OFFSET(A$1,,,SUMPRODUCT(MAX(ROW(E$2:E3438)*(E3438=E$2:E3438)))))-COUNTBLANK(OFFSET(A$1,,,SUMPRODUCT(MAX(ROW(E$1:E3437)*(E2=E$1:E3437))))))</f>
        <v> </v>
      </c>
      <c r="K3438" s="25" t="str">
        <f>IF(OR(E3438="",E3438="!!!",F3438="NEW"),"",INDEX(J$1:J3437,SUMPRODUCT(MAX(ROW(E$1:E3437)*(E3438=E$1:E3437)))))</f>
        <v> </v>
      </c>
      <c r="L3438" s="26"/>
    </row>
    <row r="3439" spans="1:12">
      <c r="A3439" s="20" t="s">
        <v>1145</v>
      </c>
      <c r="E3439" s="21">
        <f>IF(D3439="?OLD","!!!","")</f>
        <v/>
      </c>
      <c r="F3439" s="22" t="str">
        <f>IF(OR(E3439="",E3439="!!!"),"",IF(NOT(ISNA(VLOOKUP(E3439,E$1:E3438,1,FALSE()))),"OLD",IF(AND(E3439&lt;&gt;"",E3439&lt;&gt;"!!!"),"NEW","")))</f>
        <v> </v>
      </c>
      <c r="G3439" s="23" t="str">
        <f>IF(OR(E3439="",E3439="!!!"),"",IF(OR(J3439=0,AND(J3439=1,K3439=1),AND(J3439=1,I3439="SBJ"),AND(J3439=1,I3439=0)),"?IN_FOCUS",IF(J3439&lt;=2,"?ACTIVATED",IF(J3439&lt;&gt;"","?FAMILIAR",IF(F3439="NEW",IF(ISNA(VLOOKUP(E3439,#REF!,1,FALSE())),"?TYPE_IDENTIFIABLE","?REFERENTIAL"),"_")))))</f>
        <v> </v>
      </c>
      <c r="H3439" s="24" t="str">
        <f>IF(J3439&lt;&gt;1,"",IF(I3439="SBJ","CB","?"))</f>
        <v> </v>
      </c>
      <c r="I3439" s="25" t="str">
        <f>IF(OR(E3439="",E3439="!!!",F3439="NEW"),"",INDEX(B3438:B$2,-1+SUMPRODUCT(MAX(ROW(E3438:E$2)*(E3439=E3438:E$2)))))</f>
        <v> </v>
      </c>
      <c r="J3439" s="25" t="str">
        <f>IF(OR(E3439="",E3439="!!!",F3439="NEW"),"",COUNTBLANK(OFFSET(A$1,,,SUMPRODUCT(MAX(ROW(E$2:E3439)*(E3439=E$2:E3439)))))-COUNTBLANK(OFFSET(A$1,,,SUMPRODUCT(MAX(ROW(E$1:E3438)*(E2=E$1:E3438))))))</f>
        <v> </v>
      </c>
      <c r="K3439" s="25" t="str">
        <f>IF(OR(E3439="",E3439="!!!",F3439="NEW"),"",INDEX(J$1:J3438,SUMPRODUCT(MAX(ROW(E$1:E3438)*(E3439=E$1:E3438)))))</f>
        <v> </v>
      </c>
      <c r="L3439" s="26"/>
    </row>
    <row r="3440" spans="1:12">
      <c r="A3440" s="20"/>
    </row>
    <row r="3441" spans="1:12">
      <c r="A3441" s="20" t="s">
        <v>2659</v>
      </c>
    </row>
    <row r="3442" spans="1:12">
      <c r="A3442" s="20" t="s">
        <v>2545</v>
      </c>
      <c r="B3442" s="27" t="s">
        <v>1149</v>
      </c>
      <c r="C3442" s="27" t="s">
        <v>1108</v>
      </c>
      <c r="D3442" s="27" t="s">
        <v>1105</v>
      </c>
      <c r="E3442" s="21">
        <f>IF(D3442="?OLD","!!!","")</f>
        <v/>
      </c>
      <c r="F3442" s="22" t="str">
        <f>IF(OR(E3442="",E3442="!!!"),"",IF(NOT(ISNA(VLOOKUP(E3442,E$1:E3441,1,FALSE()))),"OLD",IF(AND(E3442&lt;&gt;"",E3442&lt;&gt;"!!!"),"NEW","")))</f>
        <v> </v>
      </c>
      <c r="G3442" s="23" t="str">
        <f>IF(OR(E3442="",E3442="!!!"),"",IF(OR(J3442=0,AND(J3442=1,K3442=1),AND(J3442=1,I3442="SBJ"),AND(J3442=1,I3442=0)),"?IN_FOCUS",IF(J3442&lt;=2,"?ACTIVATED",IF(J3442&lt;&gt;"","?FAMILIAR",IF(F3442="NEW",IF(ISNA(VLOOKUP(E3442,#REF!,1,FALSE())),"?TYPE_IDENTIFIABLE","?REFERENTIAL"),"_")))))</f>
        <v> </v>
      </c>
      <c r="H3442" s="24" t="str">
        <f>IF(J3442&lt;&gt;1,"",IF(I3442="SBJ","CB","?"))</f>
        <v> </v>
      </c>
      <c r="I3442" s="25" t="str">
        <f>IF(OR(E3442="",E3442="!!!",F3442="NEW"),"",INDEX(B3441:B$2,-1+SUMPRODUCT(MAX(ROW(E3441:E$2)*(E3442=E3441:E$2)))))</f>
        <v> </v>
      </c>
      <c r="J3442" s="25" t="str">
        <f>IF(OR(E3442="",E3442="!!!",F3442="NEW"),"",COUNTBLANK(OFFSET(A$1,,,SUMPRODUCT(MAX(ROW(E$2:E3442)*(E3442=E$2:E3442)))))-COUNTBLANK(OFFSET(A$1,,,SUMPRODUCT(MAX(ROW(E$1:E3441)*(E2=E$1:E3441))))))</f>
        <v> </v>
      </c>
      <c r="K3442" s="25" t="str">
        <f>IF(OR(E3442="",E3442="!!!",F3442="NEW"),"",INDEX(J$1:J3441,SUMPRODUCT(MAX(ROW(E$1:E3441)*(E3442=E$1:E3441)))))</f>
        <v> </v>
      </c>
      <c r="L3442" s="26"/>
    </row>
    <row r="3443" spans="1:12">
      <c r="A3443" s="20" t="s">
        <v>1507</v>
      </c>
      <c r="B3443" s="27" t="s">
        <v>1107</v>
      </c>
      <c r="C3443" s="27" t="s">
        <v>1108</v>
      </c>
      <c r="D3443" s="27" t="s">
        <v>1105</v>
      </c>
      <c r="E3443" s="21">
        <f>IF(D3443="?OLD","!!!","")</f>
        <v/>
      </c>
      <c r="F3443" s="22" t="str">
        <f>IF(OR(E3443="",E3443="!!!"),"",IF(NOT(ISNA(VLOOKUP(E3443,E$1:E3442,1,FALSE()))),"OLD",IF(AND(E3443&lt;&gt;"",E3443&lt;&gt;"!!!"),"NEW","")))</f>
        <v> </v>
      </c>
      <c r="G3443" s="23" t="str">
        <f>IF(OR(E3443="",E3443="!!!"),"",IF(OR(J3443=0,AND(J3443=1,K3443=1),AND(J3443=1,I3443="SBJ"),AND(J3443=1,I3443=0)),"?IN_FOCUS",IF(J3443&lt;=2,"?ACTIVATED",IF(J3443&lt;&gt;"","?FAMILIAR",IF(F3443="NEW",IF(ISNA(VLOOKUP(E3443,#REF!,1,FALSE())),"?TYPE_IDENTIFIABLE","?REFERENTIAL"),"_")))))</f>
        <v> </v>
      </c>
      <c r="H3443" s="24" t="str">
        <f>IF(J3443&lt;&gt;1,"",IF(I3443="SBJ","CB","?"))</f>
        <v> </v>
      </c>
      <c r="I3443" s="25" t="str">
        <f>IF(OR(E3443="",E3443="!!!",F3443="NEW"),"",INDEX(B3442:B$2,-1+SUMPRODUCT(MAX(ROW(E3442:E$2)*(E3443=E3442:E$2)))))</f>
        <v> </v>
      </c>
      <c r="J3443" s="25" t="str">
        <f>IF(OR(E3443="",E3443="!!!",F3443="NEW"),"",COUNTBLANK(OFFSET(A$1,,,SUMPRODUCT(MAX(ROW(E$2:E3443)*(E3443=E$2:E3443)))))-COUNTBLANK(OFFSET(A$1,,,SUMPRODUCT(MAX(ROW(E$1:E3442)*(E2=E$1:E3442))))))</f>
        <v> </v>
      </c>
      <c r="K3443" s="25" t="str">
        <f>IF(OR(E3443="",E3443="!!!",F3443="NEW"),"",INDEX(J$1:J3442,SUMPRODUCT(MAX(ROW(E$1:E3442)*(E3443=E$1:E3442)))))</f>
        <v> </v>
      </c>
      <c r="L3443" s="26"/>
    </row>
    <row r="3444" spans="1:12">
      <c r="A3444" s="20" t="s">
        <v>2660</v>
      </c>
      <c r="E3444" s="21">
        <f>IF(D3444="?OLD","!!!","")</f>
        <v/>
      </c>
      <c r="F3444" s="22" t="str">
        <f>IF(OR(E3444="",E3444="!!!"),"",IF(NOT(ISNA(VLOOKUP(E3444,E$1:E3443,1,FALSE()))),"OLD",IF(AND(E3444&lt;&gt;"",E3444&lt;&gt;"!!!"),"NEW","")))</f>
        <v> </v>
      </c>
      <c r="G3444" s="23" t="str">
        <f>IF(OR(E3444="",E3444="!!!"),"",IF(OR(J3444=0,AND(J3444=1,K3444=1),AND(J3444=1,I3444="SBJ"),AND(J3444=1,I3444=0)),"?IN_FOCUS",IF(J3444&lt;=2,"?ACTIVATED",IF(J3444&lt;&gt;"","?FAMILIAR",IF(F3444="NEW",IF(ISNA(VLOOKUP(E3444,#REF!,1,FALSE())),"?TYPE_IDENTIFIABLE","?REFERENTIAL"),"_")))))</f>
        <v> </v>
      </c>
      <c r="H3444" s="24" t="str">
        <f>IF(J3444&lt;&gt;1,"",IF(I3444="SBJ","CB","?"))</f>
        <v> </v>
      </c>
      <c r="I3444" s="25" t="str">
        <f>IF(OR(E3444="",E3444="!!!",F3444="NEW"),"",INDEX(B3443:B$2,-1+SUMPRODUCT(MAX(ROW(E3443:E$2)*(E3444=E3443:E$2)))))</f>
        <v> </v>
      </c>
      <c r="J3444" s="25" t="str">
        <f>IF(OR(E3444="",E3444="!!!",F3444="NEW"),"",COUNTBLANK(OFFSET(A$1,,,SUMPRODUCT(MAX(ROW(E$2:E3444)*(E3444=E$2:E3444)))))-COUNTBLANK(OFFSET(A$1,,,SUMPRODUCT(MAX(ROW(E$1:E3443)*(E2=E$1:E3443))))))</f>
        <v> </v>
      </c>
      <c r="K3444" s="25" t="str">
        <f>IF(OR(E3444="",E3444="!!!",F3444="NEW"),"",INDEX(J$1:J3443,SUMPRODUCT(MAX(ROW(E$1:E3443)*(E3444=E$1:E3443)))))</f>
        <v> </v>
      </c>
      <c r="L3444" s="26"/>
    </row>
    <row r="3445" spans="1:12">
      <c r="A3445" s="20" t="s">
        <v>1128</v>
      </c>
      <c r="E3445" s="21">
        <f>IF(D3445="?OLD","!!!","")</f>
        <v/>
      </c>
      <c r="F3445" s="22" t="str">
        <f>IF(OR(E3445="",E3445="!!!"),"",IF(NOT(ISNA(VLOOKUP(E3445,E$1:E3444,1,FALSE()))),"OLD",IF(AND(E3445&lt;&gt;"",E3445&lt;&gt;"!!!"),"NEW","")))</f>
        <v> </v>
      </c>
      <c r="G3445" s="23" t="str">
        <f>IF(OR(E3445="",E3445="!!!"),"",IF(OR(J3445=0,AND(J3445=1,K3445=1),AND(J3445=1,I3445="SBJ"),AND(J3445=1,I3445=0)),"?IN_FOCUS",IF(J3445&lt;=2,"?ACTIVATED",IF(J3445&lt;&gt;"","?FAMILIAR",IF(F3445="NEW",IF(ISNA(VLOOKUP(E3445,#REF!,1,FALSE())),"?TYPE_IDENTIFIABLE","?REFERENTIAL"),"_")))))</f>
        <v> </v>
      </c>
      <c r="H3445" s="24" t="str">
        <f>IF(J3445&lt;&gt;1,"",IF(I3445="SBJ","CB","?"))</f>
        <v> </v>
      </c>
      <c r="I3445" s="25" t="str">
        <f>IF(OR(E3445="",E3445="!!!",F3445="NEW"),"",INDEX(B3444:B$2,-1+SUMPRODUCT(MAX(ROW(E3444:E$2)*(E3445=E3444:E$2)))))</f>
        <v> </v>
      </c>
      <c r="J3445" s="25" t="str">
        <f>IF(OR(E3445="",E3445="!!!",F3445="NEW"),"",COUNTBLANK(OFFSET(A$1,,,SUMPRODUCT(MAX(ROW(E$2:E3445)*(E3445=E$2:E3445)))))-COUNTBLANK(OFFSET(A$1,,,SUMPRODUCT(MAX(ROW(E$1:E3444)*(E2=E$1:E3444))))))</f>
        <v> </v>
      </c>
      <c r="K3445" s="25" t="str">
        <f>IF(OR(E3445="",E3445="!!!",F3445="NEW"),"",INDEX(J$1:J3444,SUMPRODUCT(MAX(ROW(E$1:E3444)*(E3445=E$1:E3444)))))</f>
        <v> </v>
      </c>
      <c r="L3445" s="26"/>
    </row>
    <row r="3446" spans="1:12">
      <c r="A3446" s="20" t="s">
        <v>2661</v>
      </c>
      <c r="E3446" s="21">
        <f>IF(D3446="?OLD","!!!","")</f>
        <v/>
      </c>
      <c r="F3446" s="22" t="str">
        <f>IF(OR(E3446="",E3446="!!!"),"",IF(NOT(ISNA(VLOOKUP(E3446,E$1:E3445,1,FALSE()))),"OLD",IF(AND(E3446&lt;&gt;"",E3446&lt;&gt;"!!!"),"NEW","")))</f>
        <v> </v>
      </c>
      <c r="G3446" s="23" t="str">
        <f>IF(OR(E3446="",E3446="!!!"),"",IF(OR(J3446=0,AND(J3446=1,K3446=1),AND(J3446=1,I3446="SBJ"),AND(J3446=1,I3446=0)),"?IN_FOCUS",IF(J3446&lt;=2,"?ACTIVATED",IF(J3446&lt;&gt;"","?FAMILIAR",IF(F3446="NEW",IF(ISNA(VLOOKUP(E3446,#REF!,1,FALSE())),"?TYPE_IDENTIFIABLE","?REFERENTIAL"),"_")))))</f>
        <v> </v>
      </c>
      <c r="H3446" s="24" t="str">
        <f>IF(J3446&lt;&gt;1,"",IF(I3446="SBJ","CB","?"))</f>
        <v> </v>
      </c>
      <c r="I3446" s="25" t="str">
        <f>IF(OR(E3446="",E3446="!!!",F3446="NEW"),"",INDEX(B3445:B$2,-1+SUMPRODUCT(MAX(ROW(E3445:E$2)*(E3446=E3445:E$2)))))</f>
        <v> </v>
      </c>
      <c r="J3446" s="25" t="str">
        <f>IF(OR(E3446="",E3446="!!!",F3446="NEW"),"",COUNTBLANK(OFFSET(A$1,,,SUMPRODUCT(MAX(ROW(E$2:E3446)*(E3446=E$2:E3446)))))-COUNTBLANK(OFFSET(A$1,,,SUMPRODUCT(MAX(ROW(E$1:E3445)*(E2=E$1:E3445))))))</f>
        <v> </v>
      </c>
      <c r="K3446" s="25" t="str">
        <f>IF(OR(E3446="",E3446="!!!",F3446="NEW"),"",INDEX(J$1:J3445,SUMPRODUCT(MAX(ROW(E$1:E3445)*(E3446=E$1:E3445)))))</f>
        <v> </v>
      </c>
      <c r="L3446" s="26"/>
    </row>
    <row r="3447" spans="1:12">
      <c r="A3447" s="20" t="s">
        <v>1184</v>
      </c>
      <c r="E3447" s="21">
        <f>IF(D3447="?OLD","!!!","")</f>
        <v/>
      </c>
      <c r="F3447" s="22" t="str">
        <f>IF(OR(E3447="",E3447="!!!"),"",IF(NOT(ISNA(VLOOKUP(E3447,E$1:E3446,1,FALSE()))),"OLD",IF(AND(E3447&lt;&gt;"",E3447&lt;&gt;"!!!"),"NEW","")))</f>
        <v> </v>
      </c>
      <c r="G3447" s="23" t="str">
        <f>IF(OR(E3447="",E3447="!!!"),"",IF(OR(J3447=0,AND(J3447=1,K3447=1),AND(J3447=1,I3447="SBJ"),AND(J3447=1,I3447=0)),"?IN_FOCUS",IF(J3447&lt;=2,"?ACTIVATED",IF(J3447&lt;&gt;"","?FAMILIAR",IF(F3447="NEW",IF(ISNA(VLOOKUP(E3447,#REF!,1,FALSE())),"?TYPE_IDENTIFIABLE","?REFERENTIAL"),"_")))))</f>
        <v> </v>
      </c>
      <c r="H3447" s="24" t="str">
        <f>IF(J3447&lt;&gt;1,"",IF(I3447="SBJ","CB","?"))</f>
        <v> </v>
      </c>
      <c r="I3447" s="25" t="str">
        <f>IF(OR(E3447="",E3447="!!!",F3447="NEW"),"",INDEX(B3446:B$2,-1+SUMPRODUCT(MAX(ROW(E3446:E$2)*(E3447=E3446:E$2)))))</f>
        <v> </v>
      </c>
      <c r="J3447" s="25" t="str">
        <f>IF(OR(E3447="",E3447="!!!",F3447="NEW"),"",COUNTBLANK(OFFSET(A$1,,,SUMPRODUCT(MAX(ROW(E$2:E3447)*(E3447=E$2:E3447)))))-COUNTBLANK(OFFSET(A$1,,,SUMPRODUCT(MAX(ROW(E$1:E3446)*(E2=E$1:E3446))))))</f>
        <v> </v>
      </c>
      <c r="K3447" s="25" t="str">
        <f>IF(OR(E3447="",E3447="!!!",F3447="NEW"),"",INDEX(J$1:J3446,SUMPRODUCT(MAX(ROW(E$1:E3446)*(E3447=E$1:E3446)))))</f>
        <v> </v>
      </c>
      <c r="L3447" s="26"/>
    </row>
    <row r="3448" spans="1:12">
      <c r="A3448" s="20" t="s">
        <v>2662</v>
      </c>
      <c r="E3448" s="21">
        <f>IF(D3448="?OLD","!!!","")</f>
        <v/>
      </c>
      <c r="F3448" s="22" t="str">
        <f>IF(OR(E3448="",E3448="!!!"),"",IF(NOT(ISNA(VLOOKUP(E3448,E$1:E3447,1,FALSE()))),"OLD",IF(AND(E3448&lt;&gt;"",E3448&lt;&gt;"!!!"),"NEW","")))</f>
        <v> </v>
      </c>
      <c r="G3448" s="23" t="str">
        <f>IF(OR(E3448="",E3448="!!!"),"",IF(OR(J3448=0,AND(J3448=1,K3448=1),AND(J3448=1,I3448="SBJ"),AND(J3448=1,I3448=0)),"?IN_FOCUS",IF(J3448&lt;=2,"?ACTIVATED",IF(J3448&lt;&gt;"","?FAMILIAR",IF(F3448="NEW",IF(ISNA(VLOOKUP(E3448,#REF!,1,FALSE())),"?TYPE_IDENTIFIABLE","?REFERENTIAL"),"_")))))</f>
        <v> </v>
      </c>
      <c r="H3448" s="24" t="str">
        <f>IF(J3448&lt;&gt;1,"",IF(I3448="SBJ","CB","?"))</f>
        <v> </v>
      </c>
      <c r="I3448" s="25" t="str">
        <f>IF(OR(E3448="",E3448="!!!",F3448="NEW"),"",INDEX(B3447:B$2,-1+SUMPRODUCT(MAX(ROW(E3447:E$2)*(E3448=E3447:E$2)))))</f>
        <v> </v>
      </c>
      <c r="J3448" s="25" t="str">
        <f>IF(OR(E3448="",E3448="!!!",F3448="NEW"),"",COUNTBLANK(OFFSET(A$1,,,SUMPRODUCT(MAX(ROW(E$2:E3448)*(E3448=E$2:E3448)))))-COUNTBLANK(OFFSET(A$1,,,SUMPRODUCT(MAX(ROW(E$1:E3447)*(E2=E$1:E3447))))))</f>
        <v> </v>
      </c>
      <c r="K3448" s="25" t="str">
        <f>IF(OR(E3448="",E3448="!!!",F3448="NEW"),"",INDEX(J$1:J3447,SUMPRODUCT(MAX(ROW(E$1:E3447)*(E3448=E$1:E3447)))))</f>
        <v> </v>
      </c>
      <c r="L3448" s="26"/>
    </row>
    <row r="3449" spans="1:12">
      <c r="A3449" s="20" t="s">
        <v>1145</v>
      </c>
      <c r="E3449" s="21">
        <f>IF(D3449="?OLD","!!!","")</f>
        <v/>
      </c>
      <c r="F3449" s="22" t="str">
        <f>IF(OR(E3449="",E3449="!!!"),"",IF(NOT(ISNA(VLOOKUP(E3449,E$1:E3448,1,FALSE()))),"OLD",IF(AND(E3449&lt;&gt;"",E3449&lt;&gt;"!!!"),"NEW","")))</f>
        <v> </v>
      </c>
      <c r="G3449" s="23" t="str">
        <f>IF(OR(E3449="",E3449="!!!"),"",IF(OR(J3449=0,AND(J3449=1,K3449=1),AND(J3449=1,I3449="SBJ"),AND(J3449=1,I3449=0)),"?IN_FOCUS",IF(J3449&lt;=2,"?ACTIVATED",IF(J3449&lt;&gt;"","?FAMILIAR",IF(F3449="NEW",IF(ISNA(VLOOKUP(E3449,#REF!,1,FALSE())),"?TYPE_IDENTIFIABLE","?REFERENTIAL"),"_")))))</f>
        <v> </v>
      </c>
      <c r="H3449" s="24" t="str">
        <f>IF(J3449&lt;&gt;1,"",IF(I3449="SBJ","CB","?"))</f>
        <v> </v>
      </c>
      <c r="I3449" s="25" t="str">
        <f>IF(OR(E3449="",E3449="!!!",F3449="NEW"),"",INDEX(B3448:B$2,-1+SUMPRODUCT(MAX(ROW(E3448:E$2)*(E3449=E3448:E$2)))))</f>
        <v> </v>
      </c>
      <c r="J3449" s="25" t="str">
        <f>IF(OR(E3449="",E3449="!!!",F3449="NEW"),"",COUNTBLANK(OFFSET(A$1,,,SUMPRODUCT(MAX(ROW(E$2:E3449)*(E3449=E$2:E3449)))))-COUNTBLANK(OFFSET(A$1,,,SUMPRODUCT(MAX(ROW(E$1:E3448)*(E2=E$1:E3448))))))</f>
        <v> </v>
      </c>
      <c r="K3449" s="25" t="str">
        <f>IF(OR(E3449="",E3449="!!!",F3449="NEW"),"",INDEX(J$1:J3448,SUMPRODUCT(MAX(ROW(E$1:E3448)*(E3449=E$1:E3448)))))</f>
        <v> </v>
      </c>
      <c r="L3449" s="26"/>
    </row>
    <row r="3450" spans="1:12">
      <c r="A3450" s="20"/>
    </row>
    <row r="3451" spans="1:12">
      <c r="A3451" s="20" t="s">
        <v>2663</v>
      </c>
    </row>
    <row r="3452" spans="1:12">
      <c r="A3452" s="20" t="s">
        <v>2664</v>
      </c>
      <c r="B3452" s="27" t="s">
        <v>1149</v>
      </c>
      <c r="E3452" s="21">
        <f>IF(D3452="?OLD","!!!","")</f>
        <v/>
      </c>
      <c r="F3452" s="22" t="str">
        <f>IF(OR(E3452="",E3452="!!!"),"",IF(NOT(ISNA(VLOOKUP(E3452,E$1:E3451,1,FALSE()))),"OLD",IF(AND(E3452&lt;&gt;"",E3452&lt;&gt;"!!!"),"NEW","")))</f>
        <v> </v>
      </c>
      <c r="G3452" s="23" t="str">
        <f>IF(OR(E3452="",E3452="!!!"),"",IF(OR(J3452=0,AND(J3452=1,K3452=1),AND(J3452=1,I3452="SBJ"),AND(J3452=1,I3452=0)),"?IN_FOCUS",IF(J3452&lt;=2,"?ACTIVATED",IF(J3452&lt;&gt;"","?FAMILIAR",IF(F3452="NEW",IF(ISNA(VLOOKUP(E3452,#REF!,1,FALSE())),"?TYPE_IDENTIFIABLE","?REFERENTIAL"),"_")))))</f>
        <v> </v>
      </c>
      <c r="H3452" s="24" t="str">
        <f>IF(J3452&lt;&gt;1,"",IF(I3452="SBJ","CB","?"))</f>
        <v> </v>
      </c>
      <c r="I3452" s="25" t="str">
        <f>IF(OR(E3452="",E3452="!!!",F3452="NEW"),"",INDEX(B3451:B$2,-1+SUMPRODUCT(MAX(ROW(E3451:E$2)*(E3452=E3451:E$2)))))</f>
        <v> </v>
      </c>
      <c r="J3452" s="25" t="str">
        <f>IF(OR(E3452="",E3452="!!!",F3452="NEW"),"",COUNTBLANK(OFFSET(A$1,,,SUMPRODUCT(MAX(ROW(E$2:E3452)*(E3452=E$2:E3452)))))-COUNTBLANK(OFFSET(A$1,,,SUMPRODUCT(MAX(ROW(E$1:E3451)*(E2=E$1:E3451))))))</f>
        <v> </v>
      </c>
      <c r="K3452" s="25" t="str">
        <f>IF(OR(E3452="",E3452="!!!",F3452="NEW"),"",INDEX(J$1:J3451,SUMPRODUCT(MAX(ROW(E$1:E3451)*(E3452=E$1:E3451)))))</f>
        <v> </v>
      </c>
      <c r="L3452" s="26"/>
    </row>
    <row r="3453" spans="1:12">
      <c r="A3453" s="20" t="s">
        <v>1494</v>
      </c>
      <c r="B3453" s="27" t="s">
        <v>1107</v>
      </c>
      <c r="C3453" s="27" t="s">
        <v>1142</v>
      </c>
      <c r="D3453" s="27" t="s">
        <v>1105</v>
      </c>
      <c r="E3453" s="21">
        <f>IF(D3453="?OLD","!!!","")</f>
        <v/>
      </c>
      <c r="F3453" s="22" t="str">
        <f>IF(OR(E3453="",E3453="!!!"),"",IF(NOT(ISNA(VLOOKUP(E3453,E$1:E3452,1,FALSE()))),"OLD",IF(AND(E3453&lt;&gt;"",E3453&lt;&gt;"!!!"),"NEW","")))</f>
        <v> </v>
      </c>
      <c r="G3453" s="23" t="str">
        <f>IF(OR(E3453="",E3453="!!!"),"",IF(OR(J3453=0,AND(J3453=1,K3453=1),AND(J3453=1,I3453="SBJ"),AND(J3453=1,I3453=0)),"?IN_FOCUS",IF(J3453&lt;=2,"?ACTIVATED",IF(J3453&lt;&gt;"","?FAMILIAR",IF(F3453="NEW",IF(ISNA(VLOOKUP(E3453,#REF!,1,FALSE())),"?TYPE_IDENTIFIABLE","?REFERENTIAL"),"_")))))</f>
        <v> </v>
      </c>
      <c r="H3453" s="24" t="str">
        <f>IF(J3453&lt;&gt;1,"",IF(I3453="SBJ","CB","?"))</f>
        <v> </v>
      </c>
      <c r="I3453" s="25" t="str">
        <f>IF(OR(E3453="",E3453="!!!",F3453="NEW"),"",INDEX(B3452:B$2,-1+SUMPRODUCT(MAX(ROW(E3452:E$2)*(E3453=E3452:E$2)))))</f>
        <v> </v>
      </c>
      <c r="J3453" s="25" t="str">
        <f>IF(OR(E3453="",E3453="!!!",F3453="NEW"),"",COUNTBLANK(OFFSET(A$1,,,SUMPRODUCT(MAX(ROW(E$2:E3453)*(E3453=E$2:E3453)))))-COUNTBLANK(OFFSET(A$1,,,SUMPRODUCT(MAX(ROW(E$1:E3452)*(E2=E$1:E3452))))))</f>
        <v> </v>
      </c>
      <c r="K3453" s="25" t="str">
        <f>IF(OR(E3453="",E3453="!!!",F3453="NEW"),"",INDEX(J$1:J3452,SUMPRODUCT(MAX(ROW(E$1:E3452)*(E3453=E$1:E3452)))))</f>
        <v> </v>
      </c>
      <c r="L3453" s="26"/>
    </row>
    <row r="3454" spans="1:12">
      <c r="A3454" s="20" t="s">
        <v>2665</v>
      </c>
      <c r="E3454" s="21">
        <f>IF(D3454="?OLD","!!!","")</f>
        <v/>
      </c>
      <c r="F3454" s="22" t="str">
        <f>IF(OR(E3454="",E3454="!!!"),"",IF(NOT(ISNA(VLOOKUP(E3454,E$1:E3453,1,FALSE()))),"OLD",IF(AND(E3454&lt;&gt;"",E3454&lt;&gt;"!!!"),"NEW","")))</f>
        <v> </v>
      </c>
      <c r="G3454" s="23" t="str">
        <f>IF(OR(E3454="",E3454="!!!"),"",IF(OR(J3454=0,AND(J3454=1,K3454=1),AND(J3454=1,I3454="SBJ"),AND(J3454=1,I3454=0)),"?IN_FOCUS",IF(J3454&lt;=2,"?ACTIVATED",IF(J3454&lt;&gt;"","?FAMILIAR",IF(F3454="NEW",IF(ISNA(VLOOKUP(E3454,#REF!,1,FALSE())),"?TYPE_IDENTIFIABLE","?REFERENTIAL"),"_")))))</f>
        <v> </v>
      </c>
      <c r="H3454" s="24" t="str">
        <f>IF(J3454&lt;&gt;1,"",IF(I3454="SBJ","CB","?"))</f>
        <v> </v>
      </c>
      <c r="I3454" s="25" t="str">
        <f>IF(OR(E3454="",E3454="!!!",F3454="NEW"),"",INDEX(B3453:B$2,-1+SUMPRODUCT(MAX(ROW(E3453:E$2)*(E3454=E3453:E$2)))))</f>
        <v> </v>
      </c>
      <c r="J3454" s="25" t="str">
        <f>IF(OR(E3454="",E3454="!!!",F3454="NEW"),"",COUNTBLANK(OFFSET(A$1,,,SUMPRODUCT(MAX(ROW(E$2:E3454)*(E3454=E$2:E3454)))))-COUNTBLANK(OFFSET(A$1,,,SUMPRODUCT(MAX(ROW(E$1:E3453)*(E2=E$1:E3453))))))</f>
        <v> </v>
      </c>
      <c r="K3454" s="25" t="str">
        <f>IF(OR(E3454="",E3454="!!!",F3454="NEW"),"",INDEX(J$1:J3453,SUMPRODUCT(MAX(ROW(E$1:E3453)*(E3454=E$1:E3453)))))</f>
        <v> </v>
      </c>
      <c r="L3454" s="26"/>
    </row>
    <row r="3455" spans="1:12">
      <c r="A3455" s="20" t="s">
        <v>2666</v>
      </c>
      <c r="E3455" s="21">
        <f>IF(D3455="?OLD","!!!","")</f>
        <v/>
      </c>
      <c r="F3455" s="22" t="str">
        <f>IF(OR(E3455="",E3455="!!!"),"",IF(NOT(ISNA(VLOOKUP(E3455,E$1:E3454,1,FALSE()))),"OLD",IF(AND(E3455&lt;&gt;"",E3455&lt;&gt;"!!!"),"NEW","")))</f>
        <v> </v>
      </c>
      <c r="G3455" s="23" t="str">
        <f>IF(OR(E3455="",E3455="!!!"),"",IF(OR(J3455=0,AND(J3455=1,K3455=1),AND(J3455=1,I3455="SBJ"),AND(J3455=1,I3455=0)),"?IN_FOCUS",IF(J3455&lt;=2,"?ACTIVATED",IF(J3455&lt;&gt;"","?FAMILIAR",IF(F3455="NEW",IF(ISNA(VLOOKUP(E3455,#REF!,1,FALSE())),"?TYPE_IDENTIFIABLE","?REFERENTIAL"),"_")))))</f>
        <v> </v>
      </c>
      <c r="H3455" s="24" t="str">
        <f>IF(J3455&lt;&gt;1,"",IF(I3455="SBJ","CB","?"))</f>
        <v> </v>
      </c>
      <c r="I3455" s="25" t="str">
        <f>IF(OR(E3455="",E3455="!!!",F3455="NEW"),"",INDEX(B3454:B$2,-1+SUMPRODUCT(MAX(ROW(E3454:E$2)*(E3455=E3454:E$2)))))</f>
        <v> </v>
      </c>
      <c r="J3455" s="25" t="str">
        <f>IF(OR(E3455="",E3455="!!!",F3455="NEW"),"",COUNTBLANK(OFFSET(A$1,,,SUMPRODUCT(MAX(ROW(E$2:E3455)*(E3455=E$2:E3455)))))-COUNTBLANK(OFFSET(A$1,,,SUMPRODUCT(MAX(ROW(E$1:E3454)*(E2=E$1:E3454))))))</f>
        <v> </v>
      </c>
      <c r="K3455" s="25" t="str">
        <f>IF(OR(E3455="",E3455="!!!",F3455="NEW"),"",INDEX(J$1:J3454,SUMPRODUCT(MAX(ROW(E$1:E3454)*(E3455=E$1:E3454)))))</f>
        <v> </v>
      </c>
      <c r="L3455" s="26"/>
    </row>
    <row r="3456" spans="1:12">
      <c r="A3456" s="20" t="s">
        <v>2667</v>
      </c>
      <c r="E3456" s="21">
        <f>IF(D3456="?OLD","!!!","")</f>
        <v/>
      </c>
      <c r="F3456" s="22" t="str">
        <f>IF(OR(E3456="",E3456="!!!"),"",IF(NOT(ISNA(VLOOKUP(E3456,E$1:E3455,1,FALSE()))),"OLD",IF(AND(E3456&lt;&gt;"",E3456&lt;&gt;"!!!"),"NEW","")))</f>
        <v> </v>
      </c>
      <c r="G3456" s="23" t="str">
        <f>IF(OR(E3456="",E3456="!!!"),"",IF(OR(J3456=0,AND(J3456=1,K3456=1),AND(J3456=1,I3456="SBJ"),AND(J3456=1,I3456=0)),"?IN_FOCUS",IF(J3456&lt;=2,"?ACTIVATED",IF(J3456&lt;&gt;"","?FAMILIAR",IF(F3456="NEW",IF(ISNA(VLOOKUP(E3456,#REF!,1,FALSE())),"?TYPE_IDENTIFIABLE","?REFERENTIAL"),"_")))))</f>
        <v> </v>
      </c>
      <c r="H3456" s="24" t="str">
        <f>IF(J3456&lt;&gt;1,"",IF(I3456="SBJ","CB","?"))</f>
        <v> </v>
      </c>
      <c r="I3456" s="25" t="str">
        <f>IF(OR(E3456="",E3456="!!!",F3456="NEW"),"",INDEX(B3455:B$2,-1+SUMPRODUCT(MAX(ROW(E3455:E$2)*(E3456=E3455:E$2)))))</f>
        <v> </v>
      </c>
      <c r="J3456" s="25" t="str">
        <f>IF(OR(E3456="",E3456="!!!",F3456="NEW"),"",COUNTBLANK(OFFSET(A$1,,,SUMPRODUCT(MAX(ROW(E$2:E3456)*(E3456=E$2:E3456)))))-COUNTBLANK(OFFSET(A$1,,,SUMPRODUCT(MAX(ROW(E$1:E3455)*(E2=E$1:E3455))))))</f>
        <v> </v>
      </c>
      <c r="K3456" s="25" t="str">
        <f>IF(OR(E3456="",E3456="!!!",F3456="NEW"),"",INDEX(J$1:J3455,SUMPRODUCT(MAX(ROW(E$1:E3455)*(E3456=E$1:E3455)))))</f>
        <v> </v>
      </c>
      <c r="L3456" s="26"/>
    </row>
    <row r="3457" spans="1:12">
      <c r="A3457" s="20" t="s">
        <v>1145</v>
      </c>
      <c r="E3457" s="21">
        <f>IF(D3457="?OLD","!!!","")</f>
        <v/>
      </c>
      <c r="F3457" s="22" t="str">
        <f>IF(OR(E3457="",E3457="!!!"),"",IF(NOT(ISNA(VLOOKUP(E3457,E$1:E3456,1,FALSE()))),"OLD",IF(AND(E3457&lt;&gt;"",E3457&lt;&gt;"!!!"),"NEW","")))</f>
        <v> </v>
      </c>
      <c r="G3457" s="23" t="str">
        <f>IF(OR(E3457="",E3457="!!!"),"",IF(OR(J3457=0,AND(J3457=1,K3457=1),AND(J3457=1,I3457="SBJ"),AND(J3457=1,I3457=0)),"?IN_FOCUS",IF(J3457&lt;=2,"?ACTIVATED",IF(J3457&lt;&gt;"","?FAMILIAR",IF(F3457="NEW",IF(ISNA(VLOOKUP(E3457,#REF!,1,FALSE())),"?TYPE_IDENTIFIABLE","?REFERENTIAL"),"_")))))</f>
        <v> </v>
      </c>
      <c r="H3457" s="24" t="str">
        <f>IF(J3457&lt;&gt;1,"",IF(I3457="SBJ","CB","?"))</f>
        <v> </v>
      </c>
      <c r="I3457" s="25" t="str">
        <f>IF(OR(E3457="",E3457="!!!",F3457="NEW"),"",INDEX(B3456:B$2,-1+SUMPRODUCT(MAX(ROW(E3456:E$2)*(E3457=E3456:E$2)))))</f>
        <v> </v>
      </c>
      <c r="J3457" s="25" t="str">
        <f>IF(OR(E3457="",E3457="!!!",F3457="NEW"),"",COUNTBLANK(OFFSET(A$1,,,SUMPRODUCT(MAX(ROW(E$2:E3457)*(E3457=E$2:E3457)))))-COUNTBLANK(OFFSET(A$1,,,SUMPRODUCT(MAX(ROW(E$1:E3456)*(E2=E$1:E3456))))))</f>
        <v> </v>
      </c>
      <c r="K3457" s="25" t="str">
        <f>IF(OR(E3457="",E3457="!!!",F3457="NEW"),"",INDEX(J$1:J3456,SUMPRODUCT(MAX(ROW(E$1:E3456)*(E3457=E$1:E3456)))))</f>
        <v> </v>
      </c>
      <c r="L3457" s="26"/>
    </row>
    <row r="3458" spans="1:12">
      <c r="A3458" s="20"/>
    </row>
    <row r="3459" spans="1:12">
      <c r="A3459" s="20" t="s">
        <v>2668</v>
      </c>
    </row>
    <row r="3460" spans="1:12">
      <c r="A3460" s="20" t="s">
        <v>1111</v>
      </c>
      <c r="E3460" s="21">
        <f>IF(D3460="?OLD","!!!","")</f>
        <v/>
      </c>
      <c r="F3460" s="22" t="str">
        <f>IF(OR(E3460="",E3460="!!!"),"",IF(NOT(ISNA(VLOOKUP(E3460,E$1:E3459,1,FALSE()))),"OLD",IF(AND(E3460&lt;&gt;"",E3460&lt;&gt;"!!!"),"NEW","")))</f>
        <v> </v>
      </c>
      <c r="G3460" s="23" t="str">
        <f>IF(OR(E3460="",E3460="!!!"),"",IF(OR(J3460=0,AND(J3460=1,K3460=1),AND(J3460=1,I3460="SBJ"),AND(J3460=1,I3460=0)),"?IN_FOCUS",IF(J3460&lt;=2,"?ACTIVATED",IF(J3460&lt;&gt;"","?FAMILIAR",IF(F3460="NEW",IF(ISNA(VLOOKUP(E3460,#REF!,1,FALSE())),"?TYPE_IDENTIFIABLE","?REFERENTIAL"),"_")))))</f>
        <v> </v>
      </c>
      <c r="H3460" s="24" t="str">
        <f>IF(J3460&lt;&gt;1,"",IF(I3460="SBJ","CB","?"))</f>
        <v> </v>
      </c>
      <c r="I3460" s="25" t="str">
        <f>IF(OR(E3460="",E3460="!!!",F3460="NEW"),"",INDEX(B3459:B$2,-1+SUMPRODUCT(MAX(ROW(E3459:E$2)*(E3460=E3459:E$2)))))</f>
        <v> </v>
      </c>
      <c r="J3460" s="25" t="str">
        <f>IF(OR(E3460="",E3460="!!!",F3460="NEW"),"",COUNTBLANK(OFFSET(A$1,,,SUMPRODUCT(MAX(ROW(E$2:E3460)*(E3460=E$2:E3460)))))-COUNTBLANK(OFFSET(A$1,,,SUMPRODUCT(MAX(ROW(E$1:E3459)*(E2=E$1:E3459))))))</f>
        <v> </v>
      </c>
      <c r="K3460" s="25" t="str">
        <f>IF(OR(E3460="",E3460="!!!",F3460="NEW"),"",INDEX(J$1:J3459,SUMPRODUCT(MAX(ROW(E$1:E3459)*(E3460=E$1:E3459)))))</f>
        <v> </v>
      </c>
      <c r="L3460" s="26"/>
    </row>
    <row r="3461" spans="1:12">
      <c r="A3461" s="20" t="s">
        <v>2669</v>
      </c>
      <c r="E3461" s="21">
        <f>IF(D3461="?OLD","!!!","")</f>
        <v/>
      </c>
      <c r="F3461" s="22" t="str">
        <f>IF(OR(E3461="",E3461="!!!"),"",IF(NOT(ISNA(VLOOKUP(E3461,E$1:E3460,1,FALSE()))),"OLD",IF(AND(E3461&lt;&gt;"",E3461&lt;&gt;"!!!"),"NEW","")))</f>
        <v> </v>
      </c>
      <c r="G3461" s="23" t="str">
        <f>IF(OR(E3461="",E3461="!!!"),"",IF(OR(J3461=0,AND(J3461=1,K3461=1),AND(J3461=1,I3461="SBJ"),AND(J3461=1,I3461=0)),"?IN_FOCUS",IF(J3461&lt;=2,"?ACTIVATED",IF(J3461&lt;&gt;"","?FAMILIAR",IF(F3461="NEW",IF(ISNA(VLOOKUP(E3461,#REF!,1,FALSE())),"?TYPE_IDENTIFIABLE","?REFERENTIAL"),"_")))))</f>
        <v> </v>
      </c>
      <c r="H3461" s="24" t="str">
        <f>IF(J3461&lt;&gt;1,"",IF(I3461="SBJ","CB","?"))</f>
        <v> </v>
      </c>
      <c r="I3461" s="25" t="str">
        <f>IF(OR(E3461="",E3461="!!!",F3461="NEW"),"",INDEX(B3460:B$2,-1+SUMPRODUCT(MAX(ROW(E3460:E$2)*(E3461=E3460:E$2)))))</f>
        <v> </v>
      </c>
      <c r="J3461" s="25" t="str">
        <f>IF(OR(E3461="",E3461="!!!",F3461="NEW"),"",COUNTBLANK(OFFSET(A$1,,,SUMPRODUCT(MAX(ROW(E$2:E3461)*(E3461=E$2:E3461)))))-COUNTBLANK(OFFSET(A$1,,,SUMPRODUCT(MAX(ROW(E$1:E3460)*(E2=E$1:E3460))))))</f>
        <v> </v>
      </c>
      <c r="K3461" s="25" t="str">
        <f>IF(OR(E3461="",E3461="!!!",F3461="NEW"),"",INDEX(J$1:J3460,SUMPRODUCT(MAX(ROW(E$1:E3460)*(E3461=E$1:E3460)))))</f>
        <v> </v>
      </c>
      <c r="L3461" s="26"/>
    </row>
    <row r="3462" spans="1:12">
      <c r="A3462" s="20" t="s">
        <v>1124</v>
      </c>
      <c r="B3462" s="27" t="s">
        <v>1149</v>
      </c>
      <c r="C3462" s="27" t="s">
        <v>1126</v>
      </c>
      <c r="D3462" s="27" t="s">
        <v>1105</v>
      </c>
      <c r="E3462" s="21">
        <f>IF(D3462="?OLD","!!!","")</f>
        <v/>
      </c>
      <c r="F3462" s="22" t="str">
        <f>IF(OR(E3462="",E3462="!!!"),"",IF(NOT(ISNA(VLOOKUP(E3462,E$1:E3461,1,FALSE()))),"OLD",IF(AND(E3462&lt;&gt;"",E3462&lt;&gt;"!!!"),"NEW","")))</f>
        <v> </v>
      </c>
      <c r="G3462" s="23" t="str">
        <f>IF(OR(E3462="",E3462="!!!"),"",IF(OR(J3462=0,AND(J3462=1,K3462=1),AND(J3462=1,I3462="SBJ"),AND(J3462=1,I3462=0)),"?IN_FOCUS",IF(J3462&lt;=2,"?ACTIVATED",IF(J3462&lt;&gt;"","?FAMILIAR",IF(F3462="NEW",IF(ISNA(VLOOKUP(E3462,#REF!,1,FALSE())),"?TYPE_IDENTIFIABLE","?REFERENTIAL"),"_")))))</f>
        <v> </v>
      </c>
      <c r="H3462" s="24" t="str">
        <f>IF(J3462&lt;&gt;1,"",IF(I3462="SBJ","CB","?"))</f>
        <v> </v>
      </c>
      <c r="I3462" s="25" t="str">
        <f>IF(OR(E3462="",E3462="!!!",F3462="NEW"),"",INDEX(B3461:B$2,-1+SUMPRODUCT(MAX(ROW(E3461:E$2)*(E3462=E3461:E$2)))))</f>
        <v> </v>
      </c>
      <c r="J3462" s="25" t="str">
        <f>IF(OR(E3462="",E3462="!!!",F3462="NEW"),"",COUNTBLANK(OFFSET(A$1,,,SUMPRODUCT(MAX(ROW(E$2:E3462)*(E3462=E$2:E3462)))))-COUNTBLANK(OFFSET(A$1,,,SUMPRODUCT(MAX(ROW(E$1:E3461)*(E2=E$1:E3461))))))</f>
        <v> </v>
      </c>
      <c r="K3462" s="25" t="str">
        <f>IF(OR(E3462="",E3462="!!!",F3462="NEW"),"",INDEX(J$1:J3461,SUMPRODUCT(MAX(ROW(E$1:E3461)*(E3462=E$1:E3461)))))</f>
        <v> </v>
      </c>
      <c r="L3462" s="26"/>
    </row>
    <row r="3463" spans="1:12">
      <c r="A3463" s="20" t="s">
        <v>2670</v>
      </c>
      <c r="E3463" s="21">
        <f>IF(D3463="?OLD","!!!","")</f>
        <v/>
      </c>
      <c r="F3463" s="22" t="str">
        <f>IF(OR(E3463="",E3463="!!!"),"",IF(NOT(ISNA(VLOOKUP(E3463,E$1:E3462,1,FALSE()))),"OLD",IF(AND(E3463&lt;&gt;"",E3463&lt;&gt;"!!!"),"NEW","")))</f>
        <v> </v>
      </c>
      <c r="G3463" s="23" t="str">
        <f>IF(OR(E3463="",E3463="!!!"),"",IF(OR(J3463=0,AND(J3463=1,K3463=1),AND(J3463=1,I3463="SBJ"),AND(J3463=1,I3463=0)),"?IN_FOCUS",IF(J3463&lt;=2,"?ACTIVATED",IF(J3463&lt;&gt;"","?FAMILIAR",IF(F3463="NEW",IF(ISNA(VLOOKUP(E3463,#REF!,1,FALSE())),"?TYPE_IDENTIFIABLE","?REFERENTIAL"),"_")))))</f>
        <v> </v>
      </c>
      <c r="H3463" s="24" t="str">
        <f>IF(J3463&lt;&gt;1,"",IF(I3463="SBJ","CB","?"))</f>
        <v> </v>
      </c>
      <c r="I3463" s="25" t="str">
        <f>IF(OR(E3463="",E3463="!!!",F3463="NEW"),"",INDEX(B3462:B$2,-1+SUMPRODUCT(MAX(ROW(E3462:E$2)*(E3463=E3462:E$2)))))</f>
        <v> </v>
      </c>
      <c r="J3463" s="25" t="str">
        <f>IF(OR(E3463="",E3463="!!!",F3463="NEW"),"",COUNTBLANK(OFFSET(A$1,,,SUMPRODUCT(MAX(ROW(E$2:E3463)*(E3463=E$2:E3463)))))-COUNTBLANK(OFFSET(A$1,,,SUMPRODUCT(MAX(ROW(E$1:E3462)*(E2=E$1:E3462))))))</f>
        <v> </v>
      </c>
      <c r="K3463" s="25" t="str">
        <f>IF(OR(E3463="",E3463="!!!",F3463="NEW"),"",INDEX(J$1:J3462,SUMPRODUCT(MAX(ROW(E$1:E3462)*(E3463=E$1:E3462)))))</f>
        <v> </v>
      </c>
      <c r="L3463" s="26"/>
    </row>
    <row r="3464" spans="1:12">
      <c r="A3464" s="20" t="s">
        <v>2671</v>
      </c>
      <c r="B3464" s="27" t="s">
        <v>1213</v>
      </c>
      <c r="E3464" s="21">
        <f>IF(D3464="?OLD","!!!","")</f>
        <v/>
      </c>
      <c r="F3464" s="22" t="str">
        <f>IF(OR(E3464="",E3464="!!!"),"",IF(NOT(ISNA(VLOOKUP(E3464,E$1:E3463,1,FALSE()))),"OLD",IF(AND(E3464&lt;&gt;"",E3464&lt;&gt;"!!!"),"NEW","")))</f>
        <v> </v>
      </c>
      <c r="G3464" s="23" t="str">
        <f>IF(OR(E3464="",E3464="!!!"),"",IF(OR(J3464=0,AND(J3464=1,K3464=1),AND(J3464=1,I3464="SBJ"),AND(J3464=1,I3464=0)),"?IN_FOCUS",IF(J3464&lt;=2,"?ACTIVATED",IF(J3464&lt;&gt;"","?FAMILIAR",IF(F3464="NEW",IF(ISNA(VLOOKUP(E3464,#REF!,1,FALSE())),"?TYPE_IDENTIFIABLE","?REFERENTIAL"),"_")))))</f>
        <v> </v>
      </c>
      <c r="H3464" s="24" t="str">
        <f>IF(J3464&lt;&gt;1,"",IF(I3464="SBJ","CB","?"))</f>
        <v> </v>
      </c>
      <c r="I3464" s="25" t="str">
        <f>IF(OR(E3464="",E3464="!!!",F3464="NEW"),"",INDEX(B3463:B$2,-1+SUMPRODUCT(MAX(ROW(E3463:E$2)*(E3464=E3463:E$2)))))</f>
        <v> </v>
      </c>
      <c r="J3464" s="25" t="str">
        <f>IF(OR(E3464="",E3464="!!!",F3464="NEW"),"",COUNTBLANK(OFFSET(A$1,,,SUMPRODUCT(MAX(ROW(E$2:E3464)*(E3464=E$2:E3464)))))-COUNTBLANK(OFFSET(A$1,,,SUMPRODUCT(MAX(ROW(E$1:E3463)*(E2=E$1:E3463))))))</f>
        <v> </v>
      </c>
      <c r="K3464" s="25" t="str">
        <f>IF(OR(E3464="",E3464="!!!",F3464="NEW"),"",INDEX(J$1:J3463,SUMPRODUCT(MAX(ROW(E$1:E3463)*(E3464=E$1:E3463)))))</f>
        <v> </v>
      </c>
      <c r="L3464" s="26"/>
    </row>
    <row r="3465" spans="1:12">
      <c r="A3465" s="20" t="s">
        <v>1123</v>
      </c>
      <c r="E3465" s="21">
        <f>IF(D3465="?OLD","!!!","")</f>
        <v/>
      </c>
      <c r="F3465" s="22" t="str">
        <f>IF(OR(E3465="",E3465="!!!"),"",IF(NOT(ISNA(VLOOKUP(E3465,E$1:E3464,1,FALSE()))),"OLD",IF(AND(E3465&lt;&gt;"",E3465&lt;&gt;"!!!"),"NEW","")))</f>
        <v> </v>
      </c>
      <c r="G3465" s="23" t="str">
        <f>IF(OR(E3465="",E3465="!!!"),"",IF(OR(J3465=0,AND(J3465=1,K3465=1),AND(J3465=1,I3465="SBJ"),AND(J3465=1,I3465=0)),"?IN_FOCUS",IF(J3465&lt;=2,"?ACTIVATED",IF(J3465&lt;&gt;"","?FAMILIAR",IF(F3465="NEW",IF(ISNA(VLOOKUP(E3465,#REF!,1,FALSE())),"?TYPE_IDENTIFIABLE","?REFERENTIAL"),"_")))))</f>
        <v> </v>
      </c>
      <c r="H3465" s="24" t="str">
        <f>IF(J3465&lt;&gt;1,"",IF(I3465="SBJ","CB","?"))</f>
        <v> </v>
      </c>
      <c r="I3465" s="25" t="str">
        <f>IF(OR(E3465="",E3465="!!!",F3465="NEW"),"",INDEX(B3464:B$2,-1+SUMPRODUCT(MAX(ROW(E3464:E$2)*(E3465=E3464:E$2)))))</f>
        <v> </v>
      </c>
      <c r="J3465" s="25" t="str">
        <f>IF(OR(E3465="",E3465="!!!",F3465="NEW"),"",COUNTBLANK(OFFSET(A$1,,,SUMPRODUCT(MAX(ROW(E$2:E3465)*(E3465=E$2:E3465)))))-COUNTBLANK(OFFSET(A$1,,,SUMPRODUCT(MAX(ROW(E$1:E3464)*(E2=E$1:E3464))))))</f>
        <v> </v>
      </c>
      <c r="K3465" s="25" t="str">
        <f>IF(OR(E3465="",E3465="!!!",F3465="NEW"),"",INDEX(J$1:J3464,SUMPRODUCT(MAX(ROW(E$1:E3464)*(E3465=E$1:E3464)))))</f>
        <v> </v>
      </c>
      <c r="L3465" s="26"/>
    </row>
    <row r="3466" spans="1:12">
      <c r="A3466" s="20" t="s">
        <v>1224</v>
      </c>
      <c r="E3466" s="21">
        <f>IF(D3466="?OLD","!!!","")</f>
        <v/>
      </c>
      <c r="F3466" s="22" t="str">
        <f>IF(OR(E3466="",E3466="!!!"),"",IF(NOT(ISNA(VLOOKUP(E3466,E$1:E3465,1,FALSE()))),"OLD",IF(AND(E3466&lt;&gt;"",E3466&lt;&gt;"!!!"),"NEW","")))</f>
        <v> </v>
      </c>
      <c r="G3466" s="23" t="str">
        <f>IF(OR(E3466="",E3466="!!!"),"",IF(OR(J3466=0,AND(J3466=1,K3466=1),AND(J3466=1,I3466="SBJ"),AND(J3466=1,I3466=0)),"?IN_FOCUS",IF(J3466&lt;=2,"?ACTIVATED",IF(J3466&lt;&gt;"","?FAMILIAR",IF(F3466="NEW",IF(ISNA(VLOOKUP(E3466,#REF!,1,FALSE())),"?TYPE_IDENTIFIABLE","?REFERENTIAL"),"_")))))</f>
        <v> </v>
      </c>
      <c r="H3466" s="24" t="str">
        <f>IF(J3466&lt;&gt;1,"",IF(I3466="SBJ","CB","?"))</f>
        <v> </v>
      </c>
      <c r="I3466" s="25" t="str">
        <f>IF(OR(E3466="",E3466="!!!",F3466="NEW"),"",INDEX(B3465:B$2,-1+SUMPRODUCT(MAX(ROW(E3465:E$2)*(E3466=E3465:E$2)))))</f>
        <v> </v>
      </c>
      <c r="J3466" s="25" t="str">
        <f>IF(OR(E3466="",E3466="!!!",F3466="NEW"),"",COUNTBLANK(OFFSET(A$1,,,SUMPRODUCT(MAX(ROW(E$2:E3466)*(E3466=E$2:E3466)))))-COUNTBLANK(OFFSET(A$1,,,SUMPRODUCT(MAX(ROW(E$1:E3465)*(E2=E$1:E3465))))))</f>
        <v> </v>
      </c>
      <c r="K3466" s="25" t="str">
        <f>IF(OR(E3466="",E3466="!!!",F3466="NEW"),"",INDEX(J$1:J3465,SUMPRODUCT(MAX(ROW(E$1:E3465)*(E3466=E$1:E3465)))))</f>
        <v> </v>
      </c>
      <c r="L3466" s="26"/>
    </row>
    <row r="3467" spans="1:12">
      <c r="A3467" s="20" t="s">
        <v>1327</v>
      </c>
      <c r="E3467" s="21">
        <f>IF(D3467="?OLD","!!!","")</f>
        <v/>
      </c>
      <c r="F3467" s="22" t="str">
        <f>IF(OR(E3467="",E3467="!!!"),"",IF(NOT(ISNA(VLOOKUP(E3467,E$1:E3466,1,FALSE()))),"OLD",IF(AND(E3467&lt;&gt;"",E3467&lt;&gt;"!!!"),"NEW","")))</f>
        <v> </v>
      </c>
      <c r="G3467" s="23" t="str">
        <f>IF(OR(E3467="",E3467="!!!"),"",IF(OR(J3467=0,AND(J3467=1,K3467=1),AND(J3467=1,I3467="SBJ"),AND(J3467=1,I3467=0)),"?IN_FOCUS",IF(J3467&lt;=2,"?ACTIVATED",IF(J3467&lt;&gt;"","?FAMILIAR",IF(F3467="NEW",IF(ISNA(VLOOKUP(E3467,#REF!,1,FALSE())),"?TYPE_IDENTIFIABLE","?REFERENTIAL"),"_")))))</f>
        <v> </v>
      </c>
      <c r="H3467" s="24" t="str">
        <f>IF(J3467&lt;&gt;1,"",IF(I3467="SBJ","CB","?"))</f>
        <v> </v>
      </c>
      <c r="I3467" s="25" t="str">
        <f>IF(OR(E3467="",E3467="!!!",F3467="NEW"),"",INDEX(B3466:B$2,-1+SUMPRODUCT(MAX(ROW(E3466:E$2)*(E3467=E3466:E$2)))))</f>
        <v> </v>
      </c>
      <c r="J3467" s="25" t="str">
        <f>IF(OR(E3467="",E3467="!!!",F3467="NEW"),"",COUNTBLANK(OFFSET(A$1,,,SUMPRODUCT(MAX(ROW(E$2:E3467)*(E3467=E$2:E3467)))))-COUNTBLANK(OFFSET(A$1,,,SUMPRODUCT(MAX(ROW(E$1:E3466)*(E2=E$1:E3466))))))</f>
        <v> </v>
      </c>
      <c r="K3467" s="25" t="str">
        <f>IF(OR(E3467="",E3467="!!!",F3467="NEW"),"",INDEX(J$1:J3466,SUMPRODUCT(MAX(ROW(E$1:E3466)*(E3467=E$1:E3466)))))</f>
        <v> </v>
      </c>
      <c r="L3467" s="26"/>
    </row>
    <row r="3468" spans="1:12">
      <c r="A3468" s="20" t="s">
        <v>1134</v>
      </c>
      <c r="E3468" s="21">
        <f>IF(D3468="?OLD","!!!","")</f>
        <v/>
      </c>
      <c r="F3468" s="22" t="str">
        <f>IF(OR(E3468="",E3468="!!!"),"",IF(NOT(ISNA(VLOOKUP(E3468,E$1:E3467,1,FALSE()))),"OLD",IF(AND(E3468&lt;&gt;"",E3468&lt;&gt;"!!!"),"NEW","")))</f>
        <v> </v>
      </c>
      <c r="G3468" s="23" t="str">
        <f>IF(OR(E3468="",E3468="!!!"),"",IF(OR(J3468=0,AND(J3468=1,K3468=1),AND(J3468=1,I3468="SBJ"),AND(J3468=1,I3468=0)),"?IN_FOCUS",IF(J3468&lt;=2,"?ACTIVATED",IF(J3468&lt;&gt;"","?FAMILIAR",IF(F3468="NEW",IF(ISNA(VLOOKUP(E3468,#REF!,1,FALSE())),"?TYPE_IDENTIFIABLE","?REFERENTIAL"),"_")))))</f>
        <v> </v>
      </c>
      <c r="H3468" s="24" t="str">
        <f>IF(J3468&lt;&gt;1,"",IF(I3468="SBJ","CB","?"))</f>
        <v> </v>
      </c>
      <c r="I3468" s="25" t="str">
        <f>IF(OR(E3468="",E3468="!!!",F3468="NEW"),"",INDEX(B3467:B$2,-1+SUMPRODUCT(MAX(ROW(E3467:E$2)*(E3468=E3467:E$2)))))</f>
        <v> </v>
      </c>
      <c r="J3468" s="25" t="str">
        <f>IF(OR(E3468="",E3468="!!!",F3468="NEW"),"",COUNTBLANK(OFFSET(A$1,,,SUMPRODUCT(MAX(ROW(E$2:E3468)*(E3468=E$2:E3468)))))-COUNTBLANK(OFFSET(A$1,,,SUMPRODUCT(MAX(ROW(E$1:E3467)*(E2=E$1:E3467))))))</f>
        <v> </v>
      </c>
      <c r="K3468" s="25" t="str">
        <f>IF(OR(E3468="",E3468="!!!",F3468="NEW"),"",INDEX(J$1:J3467,SUMPRODUCT(MAX(ROW(E$1:E3467)*(E3468=E$1:E3467)))))</f>
        <v> </v>
      </c>
      <c r="L3468" s="26"/>
    </row>
    <row r="3469" spans="1:12">
      <c r="A3469" s="20" t="s">
        <v>2672</v>
      </c>
      <c r="E3469" s="21">
        <f>IF(D3469="?OLD","!!!","")</f>
        <v/>
      </c>
      <c r="F3469" s="22" t="str">
        <f>IF(OR(E3469="",E3469="!!!"),"",IF(NOT(ISNA(VLOOKUP(E3469,E$1:E3468,1,FALSE()))),"OLD",IF(AND(E3469&lt;&gt;"",E3469&lt;&gt;"!!!"),"NEW","")))</f>
        <v> </v>
      </c>
      <c r="G3469" s="23" t="str">
        <f>IF(OR(E3469="",E3469="!!!"),"",IF(OR(J3469=0,AND(J3469=1,K3469=1),AND(J3469=1,I3469="SBJ"),AND(J3469=1,I3469=0)),"?IN_FOCUS",IF(J3469&lt;=2,"?ACTIVATED",IF(J3469&lt;&gt;"","?FAMILIAR",IF(F3469="NEW",IF(ISNA(VLOOKUP(E3469,#REF!,1,FALSE())),"?TYPE_IDENTIFIABLE","?REFERENTIAL"),"_")))))</f>
        <v> </v>
      </c>
      <c r="H3469" s="24" t="str">
        <f>IF(J3469&lt;&gt;1,"",IF(I3469="SBJ","CB","?"))</f>
        <v> </v>
      </c>
      <c r="I3469" s="25" t="str">
        <f>IF(OR(E3469="",E3469="!!!",F3469="NEW"),"",INDEX(B3468:B$2,-1+SUMPRODUCT(MAX(ROW(E3468:E$2)*(E3469=E3468:E$2)))))</f>
        <v> </v>
      </c>
      <c r="J3469" s="25" t="str">
        <f>IF(OR(E3469="",E3469="!!!",F3469="NEW"),"",COUNTBLANK(OFFSET(A$1,,,SUMPRODUCT(MAX(ROW(E$2:E3469)*(E3469=E$2:E3469)))))-COUNTBLANK(OFFSET(A$1,,,SUMPRODUCT(MAX(ROW(E$1:E3468)*(E2=E$1:E3468))))))</f>
        <v> </v>
      </c>
      <c r="K3469" s="25" t="str">
        <f>IF(OR(E3469="",E3469="!!!",F3469="NEW"),"",INDEX(J$1:J3468,SUMPRODUCT(MAX(ROW(E$1:E3468)*(E3469=E$1:E3468)))))</f>
        <v> </v>
      </c>
      <c r="L3469" s="26"/>
    </row>
    <row r="3470" spans="1:12">
      <c r="A3470" s="20" t="s">
        <v>1351</v>
      </c>
      <c r="E3470" s="21">
        <f>IF(D3470="?OLD","!!!","")</f>
        <v/>
      </c>
      <c r="F3470" s="22" t="str">
        <f>IF(OR(E3470="",E3470="!!!"),"",IF(NOT(ISNA(VLOOKUP(E3470,E$1:E3469,1,FALSE()))),"OLD",IF(AND(E3470&lt;&gt;"",E3470&lt;&gt;"!!!"),"NEW","")))</f>
        <v> </v>
      </c>
      <c r="G3470" s="23" t="str">
        <f>IF(OR(E3470="",E3470="!!!"),"",IF(OR(J3470=0,AND(J3470=1,K3470=1),AND(J3470=1,I3470="SBJ"),AND(J3470=1,I3470=0)),"?IN_FOCUS",IF(J3470&lt;=2,"?ACTIVATED",IF(J3470&lt;&gt;"","?FAMILIAR",IF(F3470="NEW",IF(ISNA(VLOOKUP(E3470,#REF!,1,FALSE())),"?TYPE_IDENTIFIABLE","?REFERENTIAL"),"_")))))</f>
        <v> </v>
      </c>
      <c r="H3470" s="24" t="str">
        <f>IF(J3470&lt;&gt;1,"",IF(I3470="SBJ","CB","?"))</f>
        <v> </v>
      </c>
      <c r="I3470" s="25" t="str">
        <f>IF(OR(E3470="",E3470="!!!",F3470="NEW"),"",INDEX(B3469:B$2,-1+SUMPRODUCT(MAX(ROW(E3469:E$2)*(E3470=E3469:E$2)))))</f>
        <v> </v>
      </c>
      <c r="J3470" s="25" t="str">
        <f>IF(OR(E3470="",E3470="!!!",F3470="NEW"),"",COUNTBLANK(OFFSET(A$1,,,SUMPRODUCT(MAX(ROW(E$2:E3470)*(E3470=E$2:E3470)))))-COUNTBLANK(OFFSET(A$1,,,SUMPRODUCT(MAX(ROW(E$1:E3469)*(E2=E$1:E3469))))))</f>
        <v> </v>
      </c>
      <c r="K3470" s="25" t="str">
        <f>IF(OR(E3470="",E3470="!!!",F3470="NEW"),"",INDEX(J$1:J3469,SUMPRODUCT(MAX(ROW(E$1:E3469)*(E3470=E$1:E3469)))))</f>
        <v> </v>
      </c>
      <c r="L3470" s="26"/>
    </row>
    <row r="3471" spans="1:12">
      <c r="A3471" s="20" t="s">
        <v>1111</v>
      </c>
      <c r="E3471" s="21">
        <f>IF(D3471="?OLD","!!!","")</f>
        <v/>
      </c>
      <c r="F3471" s="22" t="str">
        <f>IF(OR(E3471="",E3471="!!!"),"",IF(NOT(ISNA(VLOOKUP(E3471,E$1:E3470,1,FALSE()))),"OLD",IF(AND(E3471&lt;&gt;"",E3471&lt;&gt;"!!!"),"NEW","")))</f>
        <v> </v>
      </c>
      <c r="G3471" s="23" t="str">
        <f>IF(OR(E3471="",E3471="!!!"),"",IF(OR(J3471=0,AND(J3471=1,K3471=1),AND(J3471=1,I3471="SBJ"),AND(J3471=1,I3471=0)),"?IN_FOCUS",IF(J3471&lt;=2,"?ACTIVATED",IF(J3471&lt;&gt;"","?FAMILIAR",IF(F3471="NEW",IF(ISNA(VLOOKUP(E3471,#REF!,1,FALSE())),"?TYPE_IDENTIFIABLE","?REFERENTIAL"),"_")))))</f>
        <v> </v>
      </c>
      <c r="H3471" s="24" t="str">
        <f>IF(J3471&lt;&gt;1,"",IF(I3471="SBJ","CB","?"))</f>
        <v> </v>
      </c>
      <c r="I3471" s="25" t="str">
        <f>IF(OR(E3471="",E3471="!!!",F3471="NEW"),"",INDEX(B3470:B$2,-1+SUMPRODUCT(MAX(ROW(E3470:E$2)*(E3471=E3470:E$2)))))</f>
        <v> </v>
      </c>
      <c r="J3471" s="25" t="str">
        <f>IF(OR(E3471="",E3471="!!!",F3471="NEW"),"",COUNTBLANK(OFFSET(A$1,,,SUMPRODUCT(MAX(ROW(E$2:E3471)*(E3471=E$2:E3471)))))-COUNTBLANK(OFFSET(A$1,,,SUMPRODUCT(MAX(ROW(E$1:E3470)*(E2=E$1:E3470))))))</f>
        <v> </v>
      </c>
      <c r="K3471" s="25" t="str">
        <f>IF(OR(E3471="",E3471="!!!",F3471="NEW"),"",INDEX(J$1:J3470,SUMPRODUCT(MAX(ROW(E$1:E3470)*(E3471=E$1:E3470)))))</f>
        <v> </v>
      </c>
      <c r="L3471" s="26"/>
    </row>
    <row r="3472" spans="1:12">
      <c r="A3472" s="20" t="s">
        <v>2673</v>
      </c>
      <c r="E3472" s="21">
        <f>IF(D3472="?OLD","!!!","")</f>
        <v/>
      </c>
      <c r="F3472" s="22" t="str">
        <f>IF(OR(E3472="",E3472="!!!"),"",IF(NOT(ISNA(VLOOKUP(E3472,E$1:E3471,1,FALSE()))),"OLD",IF(AND(E3472&lt;&gt;"",E3472&lt;&gt;"!!!"),"NEW","")))</f>
        <v> </v>
      </c>
      <c r="G3472" s="23" t="str">
        <f>IF(OR(E3472="",E3472="!!!"),"",IF(OR(J3472=0,AND(J3472=1,K3472=1),AND(J3472=1,I3472="SBJ"),AND(J3472=1,I3472=0)),"?IN_FOCUS",IF(J3472&lt;=2,"?ACTIVATED",IF(J3472&lt;&gt;"","?FAMILIAR",IF(F3472="NEW",IF(ISNA(VLOOKUP(E3472,#REF!,1,FALSE())),"?TYPE_IDENTIFIABLE","?REFERENTIAL"),"_")))))</f>
        <v> </v>
      </c>
      <c r="H3472" s="24" t="str">
        <f>IF(J3472&lt;&gt;1,"",IF(I3472="SBJ","CB","?"))</f>
        <v> </v>
      </c>
      <c r="I3472" s="25" t="str">
        <f>IF(OR(E3472="",E3472="!!!",F3472="NEW"),"",INDEX(B3471:B$2,-1+SUMPRODUCT(MAX(ROW(E3471:E$2)*(E3472=E3471:E$2)))))</f>
        <v> </v>
      </c>
      <c r="J3472" s="25" t="str">
        <f>IF(OR(E3472="",E3472="!!!",F3472="NEW"),"",COUNTBLANK(OFFSET(A$1,,,SUMPRODUCT(MAX(ROW(E$2:E3472)*(E3472=E$2:E3472)))))-COUNTBLANK(OFFSET(A$1,,,SUMPRODUCT(MAX(ROW(E$1:E3471)*(E2=E$1:E3471))))))</f>
        <v> </v>
      </c>
      <c r="K3472" s="25" t="str">
        <f>IF(OR(E3472="",E3472="!!!",F3472="NEW"),"",INDEX(J$1:J3471,SUMPRODUCT(MAX(ROW(E$1:E3471)*(E3472=E$1:E3471)))))</f>
        <v> </v>
      </c>
      <c r="L3472" s="26"/>
    </row>
    <row r="3473" spans="1:12">
      <c r="A3473" s="20" t="s">
        <v>1617</v>
      </c>
      <c r="B3473" s="27" t="s">
        <v>1259</v>
      </c>
      <c r="C3473" s="27" t="s">
        <v>1126</v>
      </c>
      <c r="D3473" s="27" t="s">
        <v>1105</v>
      </c>
      <c r="E3473" s="21">
        <f>IF(D3473="?OLD","!!!","")</f>
        <v/>
      </c>
      <c r="F3473" s="22" t="str">
        <f>IF(OR(E3473="",E3473="!!!"),"",IF(NOT(ISNA(VLOOKUP(E3473,E$1:E3472,1,FALSE()))),"OLD",IF(AND(E3473&lt;&gt;"",E3473&lt;&gt;"!!!"),"NEW","")))</f>
        <v> </v>
      </c>
      <c r="G3473" s="23" t="str">
        <f>IF(OR(E3473="",E3473="!!!"),"",IF(OR(J3473=0,AND(J3473=1,K3473=1),AND(J3473=1,I3473="SBJ"),AND(J3473=1,I3473=0)),"?IN_FOCUS",IF(J3473&lt;=2,"?ACTIVATED",IF(J3473&lt;&gt;"","?FAMILIAR",IF(F3473="NEW",IF(ISNA(VLOOKUP(E3473,#REF!,1,FALSE())),"?TYPE_IDENTIFIABLE","?REFERENTIAL"),"_")))))</f>
        <v> </v>
      </c>
      <c r="H3473" s="24" t="str">
        <f>IF(J3473&lt;&gt;1,"",IF(I3473="SBJ","CB","?"))</f>
        <v> </v>
      </c>
      <c r="I3473" s="25" t="str">
        <f>IF(OR(E3473="",E3473="!!!",F3473="NEW"),"",INDEX(B3472:B$2,-1+SUMPRODUCT(MAX(ROW(E3472:E$2)*(E3473=E3472:E$2)))))</f>
        <v> </v>
      </c>
      <c r="J3473" s="25" t="str">
        <f>IF(OR(E3473="",E3473="!!!",F3473="NEW"),"",COUNTBLANK(OFFSET(A$1,,,SUMPRODUCT(MAX(ROW(E$2:E3473)*(E3473=E$2:E3473)))))-COUNTBLANK(OFFSET(A$1,,,SUMPRODUCT(MAX(ROW(E$1:E3472)*(E2=E$1:E3472))))))</f>
        <v> </v>
      </c>
      <c r="K3473" s="25" t="str">
        <f>IF(OR(E3473="",E3473="!!!",F3473="NEW"),"",INDEX(J$1:J3472,SUMPRODUCT(MAX(ROW(E$1:E3472)*(E3473=E$1:E3472)))))</f>
        <v> </v>
      </c>
      <c r="L3473" s="26"/>
    </row>
    <row r="3474" spans="1:12">
      <c r="A3474" s="20" t="s">
        <v>1145</v>
      </c>
      <c r="E3474" s="21">
        <f>IF(D3474="?OLD","!!!","")</f>
        <v/>
      </c>
      <c r="F3474" s="22" t="str">
        <f>IF(OR(E3474="",E3474="!!!"),"",IF(NOT(ISNA(VLOOKUP(E3474,E$1:E3473,1,FALSE()))),"OLD",IF(AND(E3474&lt;&gt;"",E3474&lt;&gt;"!!!"),"NEW","")))</f>
        <v> </v>
      </c>
      <c r="G3474" s="23" t="str">
        <f>IF(OR(E3474="",E3474="!!!"),"",IF(OR(J3474=0,AND(J3474=1,K3474=1),AND(J3474=1,I3474="SBJ"),AND(J3474=1,I3474=0)),"?IN_FOCUS",IF(J3474&lt;=2,"?ACTIVATED",IF(J3474&lt;&gt;"","?FAMILIAR",IF(F3474="NEW",IF(ISNA(VLOOKUP(E3474,#REF!,1,FALSE())),"?TYPE_IDENTIFIABLE","?REFERENTIAL"),"_")))))</f>
        <v> </v>
      </c>
      <c r="H3474" s="24" t="str">
        <f>IF(J3474&lt;&gt;1,"",IF(I3474="SBJ","CB","?"))</f>
        <v> </v>
      </c>
      <c r="I3474" s="25" t="str">
        <f>IF(OR(E3474="",E3474="!!!",F3474="NEW"),"",INDEX(B3473:B$2,-1+SUMPRODUCT(MAX(ROW(E3473:E$2)*(E3474=E3473:E$2)))))</f>
        <v> </v>
      </c>
      <c r="J3474" s="25" t="str">
        <f>IF(OR(E3474="",E3474="!!!",F3474="NEW"),"",COUNTBLANK(OFFSET(A$1,,,SUMPRODUCT(MAX(ROW(E$2:E3474)*(E3474=E$2:E3474)))))-COUNTBLANK(OFFSET(A$1,,,SUMPRODUCT(MAX(ROW(E$1:E3473)*(E2=E$1:E3473))))))</f>
        <v> </v>
      </c>
      <c r="K3474" s="25" t="str">
        <f>IF(OR(E3474="",E3474="!!!",F3474="NEW"),"",INDEX(J$1:J3473,SUMPRODUCT(MAX(ROW(E$1:E3473)*(E3474=E$1:E3473)))))</f>
        <v> </v>
      </c>
      <c r="L3474" s="26"/>
    </row>
    <row r="3475" spans="1:12">
      <c r="A3475" s="20"/>
    </row>
    <row r="3476" spans="1:12">
      <c r="A3476" s="20" t="s">
        <v>2674</v>
      </c>
    </row>
    <row r="3477" spans="1:12">
      <c r="A3477" s="20" t="s">
        <v>1111</v>
      </c>
      <c r="E3477" s="21">
        <f>IF(D3477="?OLD","!!!","")</f>
        <v/>
      </c>
      <c r="F3477" s="22" t="str">
        <f>IF(OR(E3477="",E3477="!!!"),"",IF(NOT(ISNA(VLOOKUP(E3477,E$1:E3476,1,FALSE()))),"OLD",IF(AND(E3477&lt;&gt;"",E3477&lt;&gt;"!!!"),"NEW","")))</f>
        <v> </v>
      </c>
      <c r="G3477" s="23" t="str">
        <f>IF(OR(E3477="",E3477="!!!"),"",IF(OR(J3477=0,AND(J3477=1,K3477=1),AND(J3477=1,I3477="SBJ"),AND(J3477=1,I3477=0)),"?IN_FOCUS",IF(J3477&lt;=2,"?ACTIVATED",IF(J3477&lt;&gt;"","?FAMILIAR",IF(F3477="NEW",IF(ISNA(VLOOKUP(E3477,#REF!,1,FALSE())),"?TYPE_IDENTIFIABLE","?REFERENTIAL"),"_")))))</f>
        <v> </v>
      </c>
      <c r="H3477" s="24" t="str">
        <f>IF(J3477&lt;&gt;1,"",IF(I3477="SBJ","CB","?"))</f>
        <v> </v>
      </c>
      <c r="I3477" s="25" t="str">
        <f>IF(OR(E3477="",E3477="!!!",F3477="NEW"),"",INDEX(B3476:B$2,-1+SUMPRODUCT(MAX(ROW(E3476:E$2)*(E3477=E3476:E$2)))))</f>
        <v> </v>
      </c>
      <c r="J3477" s="25" t="str">
        <f>IF(OR(E3477="",E3477="!!!",F3477="NEW"),"",COUNTBLANK(OFFSET(A$1,,,SUMPRODUCT(MAX(ROW(E$2:E3477)*(E3477=E$2:E3477)))))-COUNTBLANK(OFFSET(A$1,,,SUMPRODUCT(MAX(ROW(E$1:E3476)*(E2=E$1:E3476))))))</f>
        <v> </v>
      </c>
      <c r="K3477" s="25" t="str">
        <f>IF(OR(E3477="",E3477="!!!",F3477="NEW"),"",INDEX(J$1:J3476,SUMPRODUCT(MAX(ROW(E$1:E3476)*(E3477=E$1:E3476)))))</f>
        <v> </v>
      </c>
      <c r="L3477" s="26"/>
    </row>
    <row r="3478" spans="1:12">
      <c r="A3478" s="20" t="s">
        <v>2675</v>
      </c>
      <c r="E3478" s="21">
        <f>IF(D3478="?OLD","!!!","")</f>
        <v/>
      </c>
      <c r="F3478" s="22" t="str">
        <f>IF(OR(E3478="",E3478="!!!"),"",IF(NOT(ISNA(VLOOKUP(E3478,E$1:E3477,1,FALSE()))),"OLD",IF(AND(E3478&lt;&gt;"",E3478&lt;&gt;"!!!"),"NEW","")))</f>
        <v> </v>
      </c>
      <c r="G3478" s="23" t="str">
        <f>IF(OR(E3478="",E3478="!!!"),"",IF(OR(J3478=0,AND(J3478=1,K3478=1),AND(J3478=1,I3478="SBJ"),AND(J3478=1,I3478=0)),"?IN_FOCUS",IF(J3478&lt;=2,"?ACTIVATED",IF(J3478&lt;&gt;"","?FAMILIAR",IF(F3478="NEW",IF(ISNA(VLOOKUP(E3478,#REF!,1,FALSE())),"?TYPE_IDENTIFIABLE","?REFERENTIAL"),"_")))))</f>
        <v> </v>
      </c>
      <c r="H3478" s="24" t="str">
        <f>IF(J3478&lt;&gt;1,"",IF(I3478="SBJ","CB","?"))</f>
        <v> </v>
      </c>
      <c r="I3478" s="25" t="str">
        <f>IF(OR(E3478="",E3478="!!!",F3478="NEW"),"",INDEX(B3477:B$2,-1+SUMPRODUCT(MAX(ROW(E3477:E$2)*(E3478=E3477:E$2)))))</f>
        <v> </v>
      </c>
      <c r="J3478" s="25" t="str">
        <f>IF(OR(E3478="",E3478="!!!",F3478="NEW"),"",COUNTBLANK(OFFSET(A$1,,,SUMPRODUCT(MAX(ROW(E$2:E3478)*(E3478=E$2:E3478)))))-COUNTBLANK(OFFSET(A$1,,,SUMPRODUCT(MAX(ROW(E$1:E3477)*(E2=E$1:E3477))))))</f>
        <v> </v>
      </c>
      <c r="K3478" s="25" t="str">
        <f>IF(OR(E3478="",E3478="!!!",F3478="NEW"),"",INDEX(J$1:J3477,SUMPRODUCT(MAX(ROW(E$1:E3477)*(E3478=E$1:E3477)))))</f>
        <v> </v>
      </c>
      <c r="L3478" s="26"/>
    </row>
    <row r="3479" spans="1:12">
      <c r="A3479" s="20" t="s">
        <v>1184</v>
      </c>
      <c r="E3479" s="21">
        <f>IF(D3479="?OLD","!!!","")</f>
        <v/>
      </c>
      <c r="F3479" s="22" t="str">
        <f>IF(OR(E3479="",E3479="!!!"),"",IF(NOT(ISNA(VLOOKUP(E3479,E$1:E3478,1,FALSE()))),"OLD",IF(AND(E3479&lt;&gt;"",E3479&lt;&gt;"!!!"),"NEW","")))</f>
        <v> </v>
      </c>
      <c r="G3479" s="23" t="str">
        <f>IF(OR(E3479="",E3479="!!!"),"",IF(OR(J3479=0,AND(J3479=1,K3479=1),AND(J3479=1,I3479="SBJ"),AND(J3479=1,I3479=0)),"?IN_FOCUS",IF(J3479&lt;=2,"?ACTIVATED",IF(J3479&lt;&gt;"","?FAMILIAR",IF(F3479="NEW",IF(ISNA(VLOOKUP(E3479,#REF!,1,FALSE())),"?TYPE_IDENTIFIABLE","?REFERENTIAL"),"_")))))</f>
        <v> </v>
      </c>
      <c r="H3479" s="24" t="str">
        <f>IF(J3479&lt;&gt;1,"",IF(I3479="SBJ","CB","?"))</f>
        <v> </v>
      </c>
      <c r="I3479" s="25" t="str">
        <f>IF(OR(E3479="",E3479="!!!",F3479="NEW"),"",INDEX(B3478:B$2,-1+SUMPRODUCT(MAX(ROW(E3478:E$2)*(E3479=E3478:E$2)))))</f>
        <v> </v>
      </c>
      <c r="J3479" s="25" t="str">
        <f>IF(OR(E3479="",E3479="!!!",F3479="NEW"),"",COUNTBLANK(OFFSET(A$1,,,SUMPRODUCT(MAX(ROW(E$2:E3479)*(E3479=E$2:E3479)))))-COUNTBLANK(OFFSET(A$1,,,SUMPRODUCT(MAX(ROW(E$1:E3478)*(E2=E$1:E3478))))))</f>
        <v> </v>
      </c>
      <c r="K3479" s="25" t="str">
        <f>IF(OR(E3479="",E3479="!!!",F3479="NEW"),"",INDEX(J$1:J3478,SUMPRODUCT(MAX(ROW(E$1:E3478)*(E3479=E$1:E3478)))))</f>
        <v> </v>
      </c>
      <c r="L3479" s="26"/>
    </row>
    <row r="3480" spans="1:12">
      <c r="A3480" s="20" t="s">
        <v>2676</v>
      </c>
      <c r="E3480" s="21">
        <f>IF(D3480="?OLD","!!!","")</f>
        <v/>
      </c>
      <c r="F3480" s="22" t="str">
        <f>IF(OR(E3480="",E3480="!!!"),"",IF(NOT(ISNA(VLOOKUP(E3480,E$1:E3479,1,FALSE()))),"OLD",IF(AND(E3480&lt;&gt;"",E3480&lt;&gt;"!!!"),"NEW","")))</f>
        <v> </v>
      </c>
      <c r="G3480" s="23" t="str">
        <f>IF(OR(E3480="",E3480="!!!"),"",IF(OR(J3480=0,AND(J3480=1,K3480=1),AND(J3480=1,I3480="SBJ"),AND(J3480=1,I3480=0)),"?IN_FOCUS",IF(J3480&lt;=2,"?ACTIVATED",IF(J3480&lt;&gt;"","?FAMILIAR",IF(F3480="NEW",IF(ISNA(VLOOKUP(E3480,#REF!,1,FALSE())),"?TYPE_IDENTIFIABLE","?REFERENTIAL"),"_")))))</f>
        <v> </v>
      </c>
      <c r="H3480" s="24" t="str">
        <f>IF(J3480&lt;&gt;1,"",IF(I3480="SBJ","CB","?"))</f>
        <v> </v>
      </c>
      <c r="I3480" s="25" t="str">
        <f>IF(OR(E3480="",E3480="!!!",F3480="NEW"),"",INDEX(B3479:B$2,-1+SUMPRODUCT(MAX(ROW(E3479:E$2)*(E3480=E3479:E$2)))))</f>
        <v> </v>
      </c>
      <c r="J3480" s="25" t="str">
        <f>IF(OR(E3480="",E3480="!!!",F3480="NEW"),"",COUNTBLANK(OFFSET(A$1,,,SUMPRODUCT(MAX(ROW(E$2:E3480)*(E3480=E$2:E3480)))))-COUNTBLANK(OFFSET(A$1,,,SUMPRODUCT(MAX(ROW(E$1:E3479)*(E2=E$1:E3479))))))</f>
        <v> </v>
      </c>
      <c r="K3480" s="25" t="str">
        <f>IF(OR(E3480="",E3480="!!!",F3480="NEW"),"",INDEX(J$1:J3479,SUMPRODUCT(MAX(ROW(E$1:E3479)*(E3480=E$1:E3479)))))</f>
        <v> </v>
      </c>
      <c r="L3480" s="26"/>
    </row>
    <row r="3481" spans="1:12">
      <c r="A3481" s="20" t="s">
        <v>2103</v>
      </c>
      <c r="B3481" s="27" t="s">
        <v>1103</v>
      </c>
      <c r="C3481" s="27" t="s">
        <v>1116</v>
      </c>
      <c r="E3481" s="21">
        <f>IF(D3481="?OLD","!!!","")</f>
        <v/>
      </c>
      <c r="F3481" s="22" t="str">
        <f>IF(OR(E3481="",E3481="!!!"),"",IF(NOT(ISNA(VLOOKUP(E3481,E$1:E3480,1,FALSE()))),"OLD",IF(AND(E3481&lt;&gt;"",E3481&lt;&gt;"!!!"),"NEW","")))</f>
        <v> </v>
      </c>
      <c r="G3481" s="23" t="str">
        <f>IF(OR(E3481="",E3481="!!!"),"",IF(OR(J3481=0,AND(J3481=1,K3481=1),AND(J3481=1,I3481="SBJ"),AND(J3481=1,I3481=0)),"?IN_FOCUS",IF(J3481&lt;=2,"?ACTIVATED",IF(J3481&lt;&gt;"","?FAMILIAR",IF(F3481="NEW",IF(ISNA(VLOOKUP(E3481,#REF!,1,FALSE())),"?TYPE_IDENTIFIABLE","?REFERENTIAL"),"_")))))</f>
        <v> </v>
      </c>
      <c r="H3481" s="24" t="str">
        <f>IF(J3481&lt;&gt;1,"",IF(I3481="SBJ","CB","?"))</f>
        <v> </v>
      </c>
      <c r="I3481" s="25" t="str">
        <f>IF(OR(E3481="",E3481="!!!",F3481="NEW"),"",INDEX(B3480:B$2,-1+SUMPRODUCT(MAX(ROW(E3480:E$2)*(E3481=E3480:E$2)))))</f>
        <v> </v>
      </c>
      <c r="J3481" s="25" t="str">
        <f>IF(OR(E3481="",E3481="!!!",F3481="NEW"),"",COUNTBLANK(OFFSET(A$1,,,SUMPRODUCT(MAX(ROW(E$2:E3481)*(E3481=E$2:E3481)))))-COUNTBLANK(OFFSET(A$1,,,SUMPRODUCT(MAX(ROW(E$1:E3480)*(E2=E$1:E3480))))))</f>
        <v> </v>
      </c>
      <c r="K3481" s="25" t="str">
        <f>IF(OR(E3481="",E3481="!!!",F3481="NEW"),"",INDEX(J$1:J3480,SUMPRODUCT(MAX(ROW(E$1:E3480)*(E3481=E$1:E3480)))))</f>
        <v> </v>
      </c>
      <c r="L3481" s="26"/>
    </row>
    <row r="3482" spans="1:12">
      <c r="A3482" s="20" t="s">
        <v>2677</v>
      </c>
      <c r="E3482" s="21">
        <f>IF(D3482="?OLD","!!!","")</f>
        <v/>
      </c>
      <c r="F3482" s="22" t="str">
        <f>IF(OR(E3482="",E3482="!!!"),"",IF(NOT(ISNA(VLOOKUP(E3482,E$1:E3481,1,FALSE()))),"OLD",IF(AND(E3482&lt;&gt;"",E3482&lt;&gt;"!!!"),"NEW","")))</f>
        <v> </v>
      </c>
      <c r="G3482" s="23" t="str">
        <f>IF(OR(E3482="",E3482="!!!"),"",IF(OR(J3482=0,AND(J3482=1,K3482=1),AND(J3482=1,I3482="SBJ"),AND(J3482=1,I3482=0)),"?IN_FOCUS",IF(J3482&lt;=2,"?ACTIVATED",IF(J3482&lt;&gt;"","?FAMILIAR",IF(F3482="NEW",IF(ISNA(VLOOKUP(E3482,#REF!,1,FALSE())),"?TYPE_IDENTIFIABLE","?REFERENTIAL"),"_")))))</f>
        <v> </v>
      </c>
      <c r="H3482" s="24" t="str">
        <f>IF(J3482&lt;&gt;1,"",IF(I3482="SBJ","CB","?"))</f>
        <v> </v>
      </c>
      <c r="I3482" s="25" t="str">
        <f>IF(OR(E3482="",E3482="!!!",F3482="NEW"),"",INDEX(B3481:B$2,-1+SUMPRODUCT(MAX(ROW(E3481:E$2)*(E3482=E3481:E$2)))))</f>
        <v> </v>
      </c>
      <c r="J3482" s="25" t="str">
        <f>IF(OR(E3482="",E3482="!!!",F3482="NEW"),"",COUNTBLANK(OFFSET(A$1,,,SUMPRODUCT(MAX(ROW(E$2:E3482)*(E3482=E$2:E3482)))))-COUNTBLANK(OFFSET(A$1,,,SUMPRODUCT(MAX(ROW(E$1:E3481)*(E2=E$1:E3481))))))</f>
        <v> </v>
      </c>
      <c r="K3482" s="25" t="str">
        <f>IF(OR(E3482="",E3482="!!!",F3482="NEW"),"",INDEX(J$1:J3481,SUMPRODUCT(MAX(ROW(E$1:E3481)*(E3482=E$1:E3481)))))</f>
        <v> </v>
      </c>
      <c r="L3482" s="26"/>
    </row>
    <row r="3483" spans="1:12">
      <c r="A3483" s="20" t="s">
        <v>2678</v>
      </c>
      <c r="B3483" s="27" t="s">
        <v>1149</v>
      </c>
      <c r="E3483" s="21">
        <f>IF(D3483="?OLD","!!!","")</f>
        <v/>
      </c>
      <c r="F3483" s="22" t="str">
        <f>IF(OR(E3483="",E3483="!!!"),"",IF(NOT(ISNA(VLOOKUP(E3483,E$1:E3482,1,FALSE()))),"OLD",IF(AND(E3483&lt;&gt;"",E3483&lt;&gt;"!!!"),"NEW","")))</f>
        <v> </v>
      </c>
      <c r="G3483" s="23" t="str">
        <f>IF(OR(E3483="",E3483="!!!"),"",IF(OR(J3483=0,AND(J3483=1,K3483=1),AND(J3483=1,I3483="SBJ"),AND(J3483=1,I3483=0)),"?IN_FOCUS",IF(J3483&lt;=2,"?ACTIVATED",IF(J3483&lt;&gt;"","?FAMILIAR",IF(F3483="NEW",IF(ISNA(VLOOKUP(E3483,#REF!,1,FALSE())),"?TYPE_IDENTIFIABLE","?REFERENTIAL"),"_")))))</f>
        <v> </v>
      </c>
      <c r="H3483" s="24" t="str">
        <f>IF(J3483&lt;&gt;1,"",IF(I3483="SBJ","CB","?"))</f>
        <v> </v>
      </c>
      <c r="I3483" s="25" t="str">
        <f>IF(OR(E3483="",E3483="!!!",F3483="NEW"),"",INDEX(B3482:B$2,-1+SUMPRODUCT(MAX(ROW(E3482:E$2)*(E3483=E3482:E$2)))))</f>
        <v> </v>
      </c>
      <c r="J3483" s="25" t="str">
        <f>IF(OR(E3483="",E3483="!!!",F3483="NEW"),"",COUNTBLANK(OFFSET(A$1,,,SUMPRODUCT(MAX(ROW(E$2:E3483)*(E3483=E$2:E3483)))))-COUNTBLANK(OFFSET(A$1,,,SUMPRODUCT(MAX(ROW(E$1:E3482)*(E2=E$1:E3482))))))</f>
        <v> </v>
      </c>
      <c r="K3483" s="25" t="str">
        <f>IF(OR(E3483="",E3483="!!!",F3483="NEW"),"",INDEX(J$1:J3482,SUMPRODUCT(MAX(ROW(E$1:E3482)*(E3483=E$1:E3482)))))</f>
        <v> </v>
      </c>
      <c r="L3483" s="26"/>
    </row>
    <row r="3484" spans="1:12">
      <c r="A3484" s="20" t="s">
        <v>1334</v>
      </c>
      <c r="E3484" s="21">
        <f>IF(D3484="?OLD","!!!","")</f>
        <v/>
      </c>
      <c r="F3484" s="22" t="str">
        <f>IF(OR(E3484="",E3484="!!!"),"",IF(NOT(ISNA(VLOOKUP(E3484,E$1:E3483,1,FALSE()))),"OLD",IF(AND(E3484&lt;&gt;"",E3484&lt;&gt;"!!!"),"NEW","")))</f>
        <v> </v>
      </c>
      <c r="G3484" s="23" t="str">
        <f>IF(OR(E3484="",E3484="!!!"),"",IF(OR(J3484=0,AND(J3484=1,K3484=1),AND(J3484=1,I3484="SBJ"),AND(J3484=1,I3484=0)),"?IN_FOCUS",IF(J3484&lt;=2,"?ACTIVATED",IF(J3484&lt;&gt;"","?FAMILIAR",IF(F3484="NEW",IF(ISNA(VLOOKUP(E3484,#REF!,1,FALSE())),"?TYPE_IDENTIFIABLE","?REFERENTIAL"),"_")))))</f>
        <v> </v>
      </c>
      <c r="H3484" s="24" t="str">
        <f>IF(J3484&lt;&gt;1,"",IF(I3484="SBJ","CB","?"))</f>
        <v> </v>
      </c>
      <c r="I3484" s="25" t="str">
        <f>IF(OR(E3484="",E3484="!!!",F3484="NEW"),"",INDEX(B3483:B$2,-1+SUMPRODUCT(MAX(ROW(E3483:E$2)*(E3484=E3483:E$2)))))</f>
        <v> </v>
      </c>
      <c r="J3484" s="25" t="str">
        <f>IF(OR(E3484="",E3484="!!!",F3484="NEW"),"",COUNTBLANK(OFFSET(A$1,,,SUMPRODUCT(MAX(ROW(E$2:E3484)*(E3484=E$2:E3484)))))-COUNTBLANK(OFFSET(A$1,,,SUMPRODUCT(MAX(ROW(E$1:E3483)*(E2=E$1:E3483))))))</f>
        <v> </v>
      </c>
      <c r="K3484" s="25" t="str">
        <f>IF(OR(E3484="",E3484="!!!",F3484="NEW"),"",INDEX(J$1:J3483,SUMPRODUCT(MAX(ROW(E$1:E3483)*(E3484=E$1:E3483)))))</f>
        <v> </v>
      </c>
      <c r="L3484" s="26"/>
    </row>
    <row r="3485" spans="1:12">
      <c r="A3485" s="20"/>
    </row>
    <row r="3486" spans="1:12">
      <c r="A3486" s="20" t="s">
        <v>2679</v>
      </c>
    </row>
    <row r="3487" spans="1:12">
      <c r="A3487" s="20" t="s">
        <v>1353</v>
      </c>
      <c r="B3487" s="27" t="s">
        <v>1149</v>
      </c>
      <c r="C3487" s="27" t="s">
        <v>1126</v>
      </c>
      <c r="D3487" s="27" t="s">
        <v>1105</v>
      </c>
      <c r="E3487" s="21">
        <f>IF(D3487="?OLD","!!!","")</f>
        <v/>
      </c>
      <c r="F3487" s="22" t="str">
        <f>IF(OR(E3487="",E3487="!!!"),"",IF(NOT(ISNA(VLOOKUP(E3487,E$1:E3486,1,FALSE()))),"OLD",IF(AND(E3487&lt;&gt;"",E3487&lt;&gt;"!!!"),"NEW","")))</f>
        <v> </v>
      </c>
      <c r="G3487" s="23" t="str">
        <f>IF(OR(E3487="",E3487="!!!"),"",IF(OR(J3487=0,AND(J3487=1,K3487=1),AND(J3487=1,I3487="SBJ"),AND(J3487=1,I3487=0)),"?IN_FOCUS",IF(J3487&lt;=2,"?ACTIVATED",IF(J3487&lt;&gt;"","?FAMILIAR",IF(F3487="NEW",IF(ISNA(VLOOKUP(E3487,#REF!,1,FALSE())),"?TYPE_IDENTIFIABLE","?REFERENTIAL"),"_")))))</f>
        <v> </v>
      </c>
      <c r="H3487" s="24" t="str">
        <f>IF(J3487&lt;&gt;1,"",IF(I3487="SBJ","CB","?"))</f>
        <v> </v>
      </c>
      <c r="I3487" s="25" t="str">
        <f>IF(OR(E3487="",E3487="!!!",F3487="NEW"),"",INDEX(B3486:B$2,-1+SUMPRODUCT(MAX(ROW(E3486:E$2)*(E3487=E3486:E$2)))))</f>
        <v> </v>
      </c>
      <c r="J3487" s="25" t="str">
        <f>IF(OR(E3487="",E3487="!!!",F3487="NEW"),"",COUNTBLANK(OFFSET(A$1,,,SUMPRODUCT(MAX(ROW(E$2:E3487)*(E3487=E$2:E3487)))))-COUNTBLANK(OFFSET(A$1,,,SUMPRODUCT(MAX(ROW(E$1:E3486)*(E2=E$1:E3486))))))</f>
        <v> </v>
      </c>
      <c r="K3487" s="25" t="str">
        <f>IF(OR(E3487="",E3487="!!!",F3487="NEW"),"",INDEX(J$1:J3486,SUMPRODUCT(MAX(ROW(E$1:E3486)*(E3487=E$1:E3486)))))</f>
        <v> </v>
      </c>
      <c r="L3487" s="26"/>
    </row>
    <row r="3488" spans="1:12">
      <c r="A3488" s="20" t="s">
        <v>2680</v>
      </c>
      <c r="E3488" s="21">
        <f>IF(D3488="?OLD","!!!","")</f>
        <v/>
      </c>
      <c r="F3488" s="22" t="str">
        <f>IF(OR(E3488="",E3488="!!!"),"",IF(NOT(ISNA(VLOOKUP(E3488,E$1:E3487,1,FALSE()))),"OLD",IF(AND(E3488&lt;&gt;"",E3488&lt;&gt;"!!!"),"NEW","")))</f>
        <v> </v>
      </c>
      <c r="G3488" s="23" t="str">
        <f>IF(OR(E3488="",E3488="!!!"),"",IF(OR(J3488=0,AND(J3488=1,K3488=1),AND(J3488=1,I3488="SBJ"),AND(J3488=1,I3488=0)),"?IN_FOCUS",IF(J3488&lt;=2,"?ACTIVATED",IF(J3488&lt;&gt;"","?FAMILIAR",IF(F3488="NEW",IF(ISNA(VLOOKUP(E3488,#REF!,1,FALSE())),"?TYPE_IDENTIFIABLE","?REFERENTIAL"),"_")))))</f>
        <v> </v>
      </c>
      <c r="H3488" s="24" t="str">
        <f>IF(J3488&lt;&gt;1,"",IF(I3488="SBJ","CB","?"))</f>
        <v> </v>
      </c>
      <c r="I3488" s="25" t="str">
        <f>IF(OR(E3488="",E3488="!!!",F3488="NEW"),"",INDEX(B3487:B$2,-1+SUMPRODUCT(MAX(ROW(E3487:E$2)*(E3488=E3487:E$2)))))</f>
        <v> </v>
      </c>
      <c r="J3488" s="25" t="str">
        <f>IF(OR(E3488="",E3488="!!!",F3488="NEW"),"",COUNTBLANK(OFFSET(A$1,,,SUMPRODUCT(MAX(ROW(E$2:E3488)*(E3488=E$2:E3488)))))-COUNTBLANK(OFFSET(A$1,,,SUMPRODUCT(MAX(ROW(E$1:E3487)*(E2=E$1:E3487))))))</f>
        <v> </v>
      </c>
      <c r="K3488" s="25" t="str">
        <f>IF(OR(E3488="",E3488="!!!",F3488="NEW"),"",INDEX(J$1:J3487,SUMPRODUCT(MAX(ROW(E$1:E3487)*(E3488=E$1:E3487)))))</f>
        <v> </v>
      </c>
      <c r="L3488" s="26"/>
    </row>
    <row r="3489" spans="1:12">
      <c r="A3489" s="20" t="s">
        <v>1140</v>
      </c>
      <c r="B3489" s="27" t="s">
        <v>1213</v>
      </c>
      <c r="C3489" s="27" t="s">
        <v>1126</v>
      </c>
      <c r="D3489" s="27" t="s">
        <v>1105</v>
      </c>
      <c r="E3489" s="21">
        <f>IF(D3489="?OLD","!!!","")</f>
        <v/>
      </c>
      <c r="F3489" s="22" t="str">
        <f>IF(OR(E3489="",E3489="!!!"),"",IF(NOT(ISNA(VLOOKUP(E3489,E$1:E3488,1,FALSE()))),"OLD",IF(AND(E3489&lt;&gt;"",E3489&lt;&gt;"!!!"),"NEW","")))</f>
        <v> </v>
      </c>
      <c r="G3489" s="23" t="str">
        <f>IF(OR(E3489="",E3489="!!!"),"",IF(OR(J3489=0,AND(J3489=1,K3489=1),AND(J3489=1,I3489="SBJ"),AND(J3489=1,I3489=0)),"?IN_FOCUS",IF(J3489&lt;=2,"?ACTIVATED",IF(J3489&lt;&gt;"","?FAMILIAR",IF(F3489="NEW",IF(ISNA(VLOOKUP(E3489,#REF!,1,FALSE())),"?TYPE_IDENTIFIABLE","?REFERENTIAL"),"_")))))</f>
        <v> </v>
      </c>
      <c r="H3489" s="24" t="str">
        <f>IF(J3489&lt;&gt;1,"",IF(I3489="SBJ","CB","?"))</f>
        <v> </v>
      </c>
      <c r="I3489" s="25" t="str">
        <f>IF(OR(E3489="",E3489="!!!",F3489="NEW"),"",INDEX(B3488:B$2,-1+SUMPRODUCT(MAX(ROW(E3488:E$2)*(E3489=E3488:E$2)))))</f>
        <v> </v>
      </c>
      <c r="J3489" s="25" t="str">
        <f>IF(OR(E3489="",E3489="!!!",F3489="NEW"),"",COUNTBLANK(OFFSET(A$1,,,SUMPRODUCT(MAX(ROW(E$2:E3489)*(E3489=E$2:E3489)))))-COUNTBLANK(OFFSET(A$1,,,SUMPRODUCT(MAX(ROW(E$1:E3488)*(E2=E$1:E3488))))))</f>
        <v> </v>
      </c>
      <c r="K3489" s="25" t="str">
        <f>IF(OR(E3489="",E3489="!!!",F3489="NEW"),"",INDEX(J$1:J3488,SUMPRODUCT(MAX(ROW(E$1:E3488)*(E3489=E$1:E3488)))))</f>
        <v> </v>
      </c>
      <c r="L3489" s="26"/>
    </row>
    <row r="3490" spans="1:12">
      <c r="A3490" s="20" t="s">
        <v>2681</v>
      </c>
      <c r="E3490" s="21">
        <f>IF(D3490="?OLD","!!!","")</f>
        <v/>
      </c>
      <c r="F3490" s="22" t="str">
        <f>IF(OR(E3490="",E3490="!!!"),"",IF(NOT(ISNA(VLOOKUP(E3490,E$1:E3489,1,FALSE()))),"OLD",IF(AND(E3490&lt;&gt;"",E3490&lt;&gt;"!!!"),"NEW","")))</f>
        <v> </v>
      </c>
      <c r="G3490" s="23" t="str">
        <f>IF(OR(E3490="",E3490="!!!"),"",IF(OR(J3490=0,AND(J3490=1,K3490=1),AND(J3490=1,I3490="SBJ"),AND(J3490=1,I3490=0)),"?IN_FOCUS",IF(J3490&lt;=2,"?ACTIVATED",IF(J3490&lt;&gt;"","?FAMILIAR",IF(F3490="NEW",IF(ISNA(VLOOKUP(E3490,#REF!,1,FALSE())),"?TYPE_IDENTIFIABLE","?REFERENTIAL"),"_")))))</f>
        <v> </v>
      </c>
      <c r="H3490" s="24" t="str">
        <f>IF(J3490&lt;&gt;1,"",IF(I3490="SBJ","CB","?"))</f>
        <v> </v>
      </c>
      <c r="I3490" s="25" t="str">
        <f>IF(OR(E3490="",E3490="!!!",F3490="NEW"),"",INDEX(B3489:B$2,-1+SUMPRODUCT(MAX(ROW(E3489:E$2)*(E3490=E3489:E$2)))))</f>
        <v> </v>
      </c>
      <c r="J3490" s="25" t="str">
        <f>IF(OR(E3490="",E3490="!!!",F3490="NEW"),"",COUNTBLANK(OFFSET(A$1,,,SUMPRODUCT(MAX(ROW(E$2:E3490)*(E3490=E$2:E3490)))))-COUNTBLANK(OFFSET(A$1,,,SUMPRODUCT(MAX(ROW(E$1:E3489)*(E2=E$1:E3489))))))</f>
        <v> </v>
      </c>
      <c r="K3490" s="25" t="str">
        <f>IF(OR(E3490="",E3490="!!!",F3490="NEW"),"",INDEX(J$1:J3489,SUMPRODUCT(MAX(ROW(E$1:E3489)*(E3490=E$1:E3489)))))</f>
        <v> </v>
      </c>
      <c r="L3490" s="26"/>
    </row>
    <row r="3491" spans="1:12">
      <c r="A3491" s="20" t="s">
        <v>1123</v>
      </c>
      <c r="E3491" s="21">
        <f>IF(D3491="?OLD","!!!","")</f>
        <v/>
      </c>
      <c r="F3491" s="22" t="str">
        <f>IF(OR(E3491="",E3491="!!!"),"",IF(NOT(ISNA(VLOOKUP(E3491,E$1:E3490,1,FALSE()))),"OLD",IF(AND(E3491&lt;&gt;"",E3491&lt;&gt;"!!!"),"NEW","")))</f>
        <v> </v>
      </c>
      <c r="G3491" s="23" t="str">
        <f>IF(OR(E3491="",E3491="!!!"),"",IF(OR(J3491=0,AND(J3491=1,K3491=1),AND(J3491=1,I3491="SBJ"),AND(J3491=1,I3491=0)),"?IN_FOCUS",IF(J3491&lt;=2,"?ACTIVATED",IF(J3491&lt;&gt;"","?FAMILIAR",IF(F3491="NEW",IF(ISNA(VLOOKUP(E3491,#REF!,1,FALSE())),"?TYPE_IDENTIFIABLE","?REFERENTIAL"),"_")))))</f>
        <v> </v>
      </c>
      <c r="H3491" s="24" t="str">
        <f>IF(J3491&lt;&gt;1,"",IF(I3491="SBJ","CB","?"))</f>
        <v> </v>
      </c>
      <c r="I3491" s="25" t="str">
        <f>IF(OR(E3491="",E3491="!!!",F3491="NEW"),"",INDEX(B3490:B$2,-1+SUMPRODUCT(MAX(ROW(E3490:E$2)*(E3491=E3490:E$2)))))</f>
        <v> </v>
      </c>
      <c r="J3491" s="25" t="str">
        <f>IF(OR(E3491="",E3491="!!!",F3491="NEW"),"",COUNTBLANK(OFFSET(A$1,,,SUMPRODUCT(MAX(ROW(E$2:E3491)*(E3491=E$2:E3491)))))-COUNTBLANK(OFFSET(A$1,,,SUMPRODUCT(MAX(ROW(E$1:E3490)*(E2=E$1:E3490))))))</f>
        <v> </v>
      </c>
      <c r="K3491" s="25" t="str">
        <f>IF(OR(E3491="",E3491="!!!",F3491="NEW"),"",INDEX(J$1:J3490,SUMPRODUCT(MAX(ROW(E$1:E3490)*(E3491=E$1:E3490)))))</f>
        <v> </v>
      </c>
      <c r="L3491" s="26"/>
    </row>
    <row r="3492" spans="1:12">
      <c r="A3492" s="20" t="s">
        <v>2265</v>
      </c>
      <c r="E3492" s="21">
        <f>IF(D3492="?OLD","!!!","")</f>
        <v/>
      </c>
      <c r="F3492" s="22" t="str">
        <f>IF(OR(E3492="",E3492="!!!"),"",IF(NOT(ISNA(VLOOKUP(E3492,E$1:E3491,1,FALSE()))),"OLD",IF(AND(E3492&lt;&gt;"",E3492&lt;&gt;"!!!"),"NEW","")))</f>
        <v> </v>
      </c>
      <c r="G3492" s="23" t="str">
        <f>IF(OR(E3492="",E3492="!!!"),"",IF(OR(J3492=0,AND(J3492=1,K3492=1),AND(J3492=1,I3492="SBJ"),AND(J3492=1,I3492=0)),"?IN_FOCUS",IF(J3492&lt;=2,"?ACTIVATED",IF(J3492&lt;&gt;"","?FAMILIAR",IF(F3492="NEW",IF(ISNA(VLOOKUP(E3492,#REF!,1,FALSE())),"?TYPE_IDENTIFIABLE","?REFERENTIAL"),"_")))))</f>
        <v> </v>
      </c>
      <c r="H3492" s="24" t="str">
        <f>IF(J3492&lt;&gt;1,"",IF(I3492="SBJ","CB","?"))</f>
        <v> </v>
      </c>
      <c r="I3492" s="25" t="str">
        <f>IF(OR(E3492="",E3492="!!!",F3492="NEW"),"",INDEX(B3491:B$2,-1+SUMPRODUCT(MAX(ROW(E3491:E$2)*(E3492=E3491:E$2)))))</f>
        <v> </v>
      </c>
      <c r="J3492" s="25" t="str">
        <f>IF(OR(E3492="",E3492="!!!",F3492="NEW"),"",COUNTBLANK(OFFSET(A$1,,,SUMPRODUCT(MAX(ROW(E$2:E3492)*(E3492=E$2:E3492)))))-COUNTBLANK(OFFSET(A$1,,,SUMPRODUCT(MAX(ROW(E$1:E3491)*(E2=E$1:E3491))))))</f>
        <v> </v>
      </c>
      <c r="K3492" s="25" t="str">
        <f>IF(OR(E3492="",E3492="!!!",F3492="NEW"),"",INDEX(J$1:J3491,SUMPRODUCT(MAX(ROW(E$1:E3491)*(E3492=E$1:E3491)))))</f>
        <v> </v>
      </c>
      <c r="L3492" s="26"/>
    </row>
    <row r="3493" spans="1:12">
      <c r="A3493" s="20" t="s">
        <v>2682</v>
      </c>
      <c r="E3493" s="21">
        <f>IF(D3493="?OLD","!!!","")</f>
        <v/>
      </c>
      <c r="F3493" s="22" t="str">
        <f>IF(OR(E3493="",E3493="!!!"),"",IF(NOT(ISNA(VLOOKUP(E3493,E$1:E3492,1,FALSE()))),"OLD",IF(AND(E3493&lt;&gt;"",E3493&lt;&gt;"!!!"),"NEW","")))</f>
        <v> </v>
      </c>
      <c r="G3493" s="23" t="str">
        <f>IF(OR(E3493="",E3493="!!!"),"",IF(OR(J3493=0,AND(J3493=1,K3493=1),AND(J3493=1,I3493="SBJ"),AND(J3493=1,I3493=0)),"?IN_FOCUS",IF(J3493&lt;=2,"?ACTIVATED",IF(J3493&lt;&gt;"","?FAMILIAR",IF(F3493="NEW",IF(ISNA(VLOOKUP(E3493,#REF!,1,FALSE())),"?TYPE_IDENTIFIABLE","?REFERENTIAL"),"_")))))</f>
        <v> </v>
      </c>
      <c r="H3493" s="24" t="str">
        <f>IF(J3493&lt;&gt;1,"",IF(I3493="SBJ","CB","?"))</f>
        <v> </v>
      </c>
      <c r="I3493" s="25" t="str">
        <f>IF(OR(E3493="",E3493="!!!",F3493="NEW"),"",INDEX(B3492:B$2,-1+SUMPRODUCT(MAX(ROW(E3492:E$2)*(E3493=E3492:E$2)))))</f>
        <v> </v>
      </c>
      <c r="J3493" s="25" t="str">
        <f>IF(OR(E3493="",E3493="!!!",F3493="NEW"),"",COUNTBLANK(OFFSET(A$1,,,SUMPRODUCT(MAX(ROW(E$2:E3493)*(E3493=E$2:E3493)))))-COUNTBLANK(OFFSET(A$1,,,SUMPRODUCT(MAX(ROW(E$1:E3492)*(E2=E$1:E3492))))))</f>
        <v> </v>
      </c>
      <c r="K3493" s="25" t="str">
        <f>IF(OR(E3493="",E3493="!!!",F3493="NEW"),"",INDEX(J$1:J3492,SUMPRODUCT(MAX(ROW(E$1:E3492)*(E3493=E$1:E3492)))))</f>
        <v> </v>
      </c>
      <c r="L3493" s="26"/>
    </row>
    <row r="3494" spans="1:12">
      <c r="A3494" s="20" t="s">
        <v>2683</v>
      </c>
      <c r="B3494" s="27" t="s">
        <v>1243</v>
      </c>
      <c r="E3494" s="21">
        <f>IF(D3494="?OLD","!!!","")</f>
        <v/>
      </c>
      <c r="F3494" s="22" t="str">
        <f>IF(OR(E3494="",E3494="!!!"),"",IF(NOT(ISNA(VLOOKUP(E3494,E$1:E3493,1,FALSE()))),"OLD",IF(AND(E3494&lt;&gt;"",E3494&lt;&gt;"!!!"),"NEW","")))</f>
        <v> </v>
      </c>
      <c r="G3494" s="23" t="str">
        <f>IF(OR(E3494="",E3494="!!!"),"",IF(OR(J3494=0,AND(J3494=1,K3494=1),AND(J3494=1,I3494="SBJ"),AND(J3494=1,I3494=0)),"?IN_FOCUS",IF(J3494&lt;=2,"?ACTIVATED",IF(J3494&lt;&gt;"","?FAMILIAR",IF(F3494="NEW",IF(ISNA(VLOOKUP(E3494,#REF!,1,FALSE())),"?TYPE_IDENTIFIABLE","?REFERENTIAL"),"_")))))</f>
        <v> </v>
      </c>
      <c r="H3494" s="24" t="str">
        <f>IF(J3494&lt;&gt;1,"",IF(I3494="SBJ","CB","?"))</f>
        <v> </v>
      </c>
      <c r="I3494" s="25" t="str">
        <f>IF(OR(E3494="",E3494="!!!",F3494="NEW"),"",INDEX(B3493:B$2,-1+SUMPRODUCT(MAX(ROW(E3493:E$2)*(E3494=E3493:E$2)))))</f>
        <v> </v>
      </c>
      <c r="J3494" s="25" t="str">
        <f>IF(OR(E3494="",E3494="!!!",F3494="NEW"),"",COUNTBLANK(OFFSET(A$1,,,SUMPRODUCT(MAX(ROW(E$2:E3494)*(E3494=E$2:E3494)))))-COUNTBLANK(OFFSET(A$1,,,SUMPRODUCT(MAX(ROW(E$1:E3493)*(E2=E$1:E3493))))))</f>
        <v> </v>
      </c>
      <c r="K3494" s="25" t="str">
        <f>IF(OR(E3494="",E3494="!!!",F3494="NEW"),"",INDEX(J$1:J3493,SUMPRODUCT(MAX(ROW(E$1:E3493)*(E3494=E$1:E3493)))))</f>
        <v> </v>
      </c>
      <c r="L3494" s="26"/>
    </row>
    <row r="3495" spans="1:12">
      <c r="A3495" s="20" t="s">
        <v>1824</v>
      </c>
      <c r="E3495" s="21">
        <f>IF(D3495="?OLD","!!!","")</f>
        <v/>
      </c>
      <c r="F3495" s="22" t="str">
        <f>IF(OR(E3495="",E3495="!!!"),"",IF(NOT(ISNA(VLOOKUP(E3495,E$1:E3494,1,FALSE()))),"OLD",IF(AND(E3495&lt;&gt;"",E3495&lt;&gt;"!!!"),"NEW","")))</f>
        <v> </v>
      </c>
      <c r="G3495" s="23" t="str">
        <f>IF(OR(E3495="",E3495="!!!"),"",IF(OR(J3495=0,AND(J3495=1,K3495=1),AND(J3495=1,I3495="SBJ"),AND(J3495=1,I3495=0)),"?IN_FOCUS",IF(J3495&lt;=2,"?ACTIVATED",IF(J3495&lt;&gt;"","?FAMILIAR",IF(F3495="NEW",IF(ISNA(VLOOKUP(E3495,#REF!,1,FALSE())),"?TYPE_IDENTIFIABLE","?REFERENTIAL"),"_")))))</f>
        <v> </v>
      </c>
      <c r="H3495" s="24" t="str">
        <f>IF(J3495&lt;&gt;1,"",IF(I3495="SBJ","CB","?"))</f>
        <v> </v>
      </c>
      <c r="I3495" s="25" t="str">
        <f>IF(OR(E3495="",E3495="!!!",F3495="NEW"),"",INDEX(B3494:B$2,-1+SUMPRODUCT(MAX(ROW(E3494:E$2)*(E3495=E3494:E$2)))))</f>
        <v> </v>
      </c>
      <c r="J3495" s="25" t="str">
        <f>IF(OR(E3495="",E3495="!!!",F3495="NEW"),"",COUNTBLANK(OFFSET(A$1,,,SUMPRODUCT(MAX(ROW(E$2:E3495)*(E3495=E$2:E3495)))))-COUNTBLANK(OFFSET(A$1,,,SUMPRODUCT(MAX(ROW(E$1:E3494)*(E2=E$1:E3494))))))</f>
        <v> </v>
      </c>
      <c r="K3495" s="25" t="str">
        <f>IF(OR(E3495="",E3495="!!!",F3495="NEW"),"",INDEX(J$1:J3494,SUMPRODUCT(MAX(ROW(E$1:E3494)*(E3495=E$1:E3494)))))</f>
        <v> </v>
      </c>
      <c r="L3495" s="26"/>
    </row>
    <row r="3496" spans="1:12">
      <c r="A3496" s="20" t="s">
        <v>2658</v>
      </c>
      <c r="E3496" s="21">
        <f>IF(D3496="?OLD","!!!","")</f>
        <v/>
      </c>
      <c r="F3496" s="22" t="str">
        <f>IF(OR(E3496="",E3496="!!!"),"",IF(NOT(ISNA(VLOOKUP(E3496,E$1:E3495,1,FALSE()))),"OLD",IF(AND(E3496&lt;&gt;"",E3496&lt;&gt;"!!!"),"NEW","")))</f>
        <v> </v>
      </c>
      <c r="G3496" s="23" t="str">
        <f>IF(OR(E3496="",E3496="!!!"),"",IF(OR(J3496=0,AND(J3496=1,K3496=1),AND(J3496=1,I3496="SBJ"),AND(J3496=1,I3496=0)),"?IN_FOCUS",IF(J3496&lt;=2,"?ACTIVATED",IF(J3496&lt;&gt;"","?FAMILIAR",IF(F3496="NEW",IF(ISNA(VLOOKUP(E3496,#REF!,1,FALSE())),"?TYPE_IDENTIFIABLE","?REFERENTIAL"),"_")))))</f>
        <v> </v>
      </c>
      <c r="H3496" s="24" t="str">
        <f>IF(J3496&lt;&gt;1,"",IF(I3496="SBJ","CB","?"))</f>
        <v> </v>
      </c>
      <c r="I3496" s="25" t="str">
        <f>IF(OR(E3496="",E3496="!!!",F3496="NEW"),"",INDEX(B3495:B$2,-1+SUMPRODUCT(MAX(ROW(E3495:E$2)*(E3496=E3495:E$2)))))</f>
        <v> </v>
      </c>
      <c r="J3496" s="25" t="str">
        <f>IF(OR(E3496="",E3496="!!!",F3496="NEW"),"",COUNTBLANK(OFFSET(A$1,,,SUMPRODUCT(MAX(ROW(E$2:E3496)*(E3496=E$2:E3496)))))-COUNTBLANK(OFFSET(A$1,,,SUMPRODUCT(MAX(ROW(E$1:E3495)*(E2=E$1:E3495))))))</f>
        <v> </v>
      </c>
      <c r="K3496" s="25" t="str">
        <f>IF(OR(E3496="",E3496="!!!",F3496="NEW"),"",INDEX(J$1:J3495,SUMPRODUCT(MAX(ROW(E$1:E3495)*(E3496=E$1:E3495)))))</f>
        <v> </v>
      </c>
      <c r="L3496" s="26"/>
    </row>
    <row r="3497" spans="1:12">
      <c r="A3497" s="20" t="s">
        <v>1145</v>
      </c>
      <c r="E3497" s="21">
        <f>IF(D3497="?OLD","!!!","")</f>
        <v/>
      </c>
      <c r="F3497" s="22" t="str">
        <f>IF(OR(E3497="",E3497="!!!"),"",IF(NOT(ISNA(VLOOKUP(E3497,E$1:E3496,1,FALSE()))),"OLD",IF(AND(E3497&lt;&gt;"",E3497&lt;&gt;"!!!"),"NEW","")))</f>
        <v> </v>
      </c>
      <c r="G3497" s="23" t="str">
        <f>IF(OR(E3497="",E3497="!!!"),"",IF(OR(J3497=0,AND(J3497=1,K3497=1),AND(J3497=1,I3497="SBJ"),AND(J3497=1,I3497=0)),"?IN_FOCUS",IF(J3497&lt;=2,"?ACTIVATED",IF(J3497&lt;&gt;"","?FAMILIAR",IF(F3497="NEW",IF(ISNA(VLOOKUP(E3497,#REF!,1,FALSE())),"?TYPE_IDENTIFIABLE","?REFERENTIAL"),"_")))))</f>
        <v> </v>
      </c>
      <c r="H3497" s="24" t="str">
        <f>IF(J3497&lt;&gt;1,"",IF(I3497="SBJ","CB","?"))</f>
        <v> </v>
      </c>
      <c r="I3497" s="25" t="str">
        <f>IF(OR(E3497="",E3497="!!!",F3497="NEW"),"",INDEX(B3496:B$2,-1+SUMPRODUCT(MAX(ROW(E3496:E$2)*(E3497=E3496:E$2)))))</f>
        <v> </v>
      </c>
      <c r="J3497" s="25" t="str">
        <f>IF(OR(E3497="",E3497="!!!",F3497="NEW"),"",COUNTBLANK(OFFSET(A$1,,,SUMPRODUCT(MAX(ROW(E$2:E3497)*(E3497=E$2:E3497)))))-COUNTBLANK(OFFSET(A$1,,,SUMPRODUCT(MAX(ROW(E$1:E3496)*(E2=E$1:E3496))))))</f>
        <v> </v>
      </c>
      <c r="K3497" s="25" t="str">
        <f>IF(OR(E3497="",E3497="!!!",F3497="NEW"),"",INDEX(J$1:J3496,SUMPRODUCT(MAX(ROW(E$1:E3496)*(E3497=E$1:E3496)))))</f>
        <v> </v>
      </c>
      <c r="L3497" s="26"/>
    </row>
    <row r="3498" spans="1:12">
      <c r="A3498" s="20"/>
    </row>
    <row r="3499" spans="1:12">
      <c r="A3499" s="20" t="s">
        <v>2684</v>
      </c>
    </row>
    <row r="3500" spans="1:12">
      <c r="A3500" s="20" t="s">
        <v>2685</v>
      </c>
      <c r="E3500" s="21">
        <f>IF(D3500="?OLD","!!!","")</f>
        <v/>
      </c>
      <c r="F3500" s="22" t="str">
        <f>IF(OR(E3500="",E3500="!!!"),"",IF(NOT(ISNA(VLOOKUP(E3500,E$1:E3499,1,FALSE()))),"OLD",IF(AND(E3500&lt;&gt;"",E3500&lt;&gt;"!!!"),"NEW","")))</f>
        <v> </v>
      </c>
      <c r="G3500" s="23" t="str">
        <f>IF(OR(E3500="",E3500="!!!"),"",IF(OR(J3500=0,AND(J3500=1,K3500=1),AND(J3500=1,I3500="SBJ"),AND(J3500=1,I3500=0)),"?IN_FOCUS",IF(J3500&lt;=2,"?ACTIVATED",IF(J3500&lt;&gt;"","?FAMILIAR",IF(F3500="NEW",IF(ISNA(VLOOKUP(E3500,#REF!,1,FALSE())),"?TYPE_IDENTIFIABLE","?REFERENTIAL"),"_")))))</f>
        <v> </v>
      </c>
      <c r="H3500" s="24" t="str">
        <f>IF(J3500&lt;&gt;1,"",IF(I3500="SBJ","CB","?"))</f>
        <v> </v>
      </c>
      <c r="I3500" s="25" t="str">
        <f>IF(OR(E3500="",E3500="!!!",F3500="NEW"),"",INDEX(B3499:B$2,-1+SUMPRODUCT(MAX(ROW(E3499:E$2)*(E3500=E3499:E$2)))))</f>
        <v> </v>
      </c>
      <c r="J3500" s="25" t="str">
        <f>IF(OR(E3500="",E3500="!!!",F3500="NEW"),"",COUNTBLANK(OFFSET(A$1,,,SUMPRODUCT(MAX(ROW(E$2:E3500)*(E3500=E$2:E3500)))))-COUNTBLANK(OFFSET(A$1,,,SUMPRODUCT(MAX(ROW(E$1:E3499)*(E2=E$1:E3499))))))</f>
        <v> </v>
      </c>
      <c r="K3500" s="25" t="str">
        <f>IF(OR(E3500="",E3500="!!!",F3500="NEW"),"",INDEX(J$1:J3499,SUMPRODUCT(MAX(ROW(E$1:E3499)*(E3500=E$1:E3499)))))</f>
        <v> </v>
      </c>
      <c r="L3500" s="26"/>
    </row>
    <row r="3501" spans="1:12">
      <c r="A3501" s="20" t="s">
        <v>1123</v>
      </c>
      <c r="E3501" s="21">
        <f>IF(D3501="?OLD","!!!","")</f>
        <v/>
      </c>
      <c r="F3501" s="22" t="str">
        <f>IF(OR(E3501="",E3501="!!!"),"",IF(NOT(ISNA(VLOOKUP(E3501,E$1:E3500,1,FALSE()))),"OLD",IF(AND(E3501&lt;&gt;"",E3501&lt;&gt;"!!!"),"NEW","")))</f>
        <v> </v>
      </c>
      <c r="G3501" s="23" t="str">
        <f>IF(OR(E3501="",E3501="!!!"),"",IF(OR(J3501=0,AND(J3501=1,K3501=1),AND(J3501=1,I3501="SBJ"),AND(J3501=1,I3501=0)),"?IN_FOCUS",IF(J3501&lt;=2,"?ACTIVATED",IF(J3501&lt;&gt;"","?FAMILIAR",IF(F3501="NEW",IF(ISNA(VLOOKUP(E3501,#REF!,1,FALSE())),"?TYPE_IDENTIFIABLE","?REFERENTIAL"),"_")))))</f>
        <v> </v>
      </c>
      <c r="H3501" s="24" t="str">
        <f>IF(J3501&lt;&gt;1,"",IF(I3501="SBJ","CB","?"))</f>
        <v> </v>
      </c>
      <c r="I3501" s="25" t="str">
        <f>IF(OR(E3501="",E3501="!!!",F3501="NEW"),"",INDEX(B3500:B$2,-1+SUMPRODUCT(MAX(ROW(E3500:E$2)*(E3501=E3500:E$2)))))</f>
        <v> </v>
      </c>
      <c r="J3501" s="25" t="str">
        <f>IF(OR(E3501="",E3501="!!!",F3501="NEW"),"",COUNTBLANK(OFFSET(A$1,,,SUMPRODUCT(MAX(ROW(E$2:E3501)*(E3501=E$2:E3501)))))-COUNTBLANK(OFFSET(A$1,,,SUMPRODUCT(MAX(ROW(E$1:E3500)*(E2=E$1:E3500))))))</f>
        <v> </v>
      </c>
      <c r="K3501" s="25" t="str">
        <f>IF(OR(E3501="",E3501="!!!",F3501="NEW"),"",INDEX(J$1:J3500,SUMPRODUCT(MAX(ROW(E$1:E3500)*(E3501=E$1:E3500)))))</f>
        <v> </v>
      </c>
      <c r="L3501" s="26"/>
    </row>
    <row r="3502" spans="1:12">
      <c r="A3502" s="20" t="s">
        <v>2686</v>
      </c>
      <c r="E3502" s="21">
        <f>IF(D3502="?OLD","!!!","")</f>
        <v/>
      </c>
      <c r="F3502" s="22" t="str">
        <f>IF(OR(E3502="",E3502="!!!"),"",IF(NOT(ISNA(VLOOKUP(E3502,E$1:E3501,1,FALSE()))),"OLD",IF(AND(E3502&lt;&gt;"",E3502&lt;&gt;"!!!"),"NEW","")))</f>
        <v> </v>
      </c>
      <c r="G3502" s="23" t="str">
        <f>IF(OR(E3502="",E3502="!!!"),"",IF(OR(J3502=0,AND(J3502=1,K3502=1),AND(J3502=1,I3502="SBJ"),AND(J3502=1,I3502=0)),"?IN_FOCUS",IF(J3502&lt;=2,"?ACTIVATED",IF(J3502&lt;&gt;"","?FAMILIAR",IF(F3502="NEW",IF(ISNA(VLOOKUP(E3502,#REF!,1,FALSE())),"?TYPE_IDENTIFIABLE","?REFERENTIAL"),"_")))))</f>
        <v> </v>
      </c>
      <c r="H3502" s="24" t="str">
        <f>IF(J3502&lt;&gt;1,"",IF(I3502="SBJ","CB","?"))</f>
        <v> </v>
      </c>
      <c r="I3502" s="25" t="str">
        <f>IF(OR(E3502="",E3502="!!!",F3502="NEW"),"",INDEX(B3501:B$2,-1+SUMPRODUCT(MAX(ROW(E3501:E$2)*(E3502=E3501:E$2)))))</f>
        <v> </v>
      </c>
      <c r="J3502" s="25" t="str">
        <f>IF(OR(E3502="",E3502="!!!",F3502="NEW"),"",COUNTBLANK(OFFSET(A$1,,,SUMPRODUCT(MAX(ROW(E$2:E3502)*(E3502=E$2:E3502)))))-COUNTBLANK(OFFSET(A$1,,,SUMPRODUCT(MAX(ROW(E$1:E3501)*(E2=E$1:E3501))))))</f>
        <v> </v>
      </c>
      <c r="K3502" s="25" t="str">
        <f>IF(OR(E3502="",E3502="!!!",F3502="NEW"),"",INDEX(J$1:J3501,SUMPRODUCT(MAX(ROW(E$1:E3501)*(E3502=E$1:E3501)))))</f>
        <v> </v>
      </c>
      <c r="L3502" s="26"/>
    </row>
    <row r="3503" spans="1:12">
      <c r="A3503" s="20" t="s">
        <v>1228</v>
      </c>
      <c r="B3503" s="27" t="s">
        <v>1149</v>
      </c>
      <c r="C3503" s="27" t="s">
        <v>1126</v>
      </c>
      <c r="D3503" s="27" t="s">
        <v>1105</v>
      </c>
      <c r="E3503" s="21">
        <f>IF(D3503="?OLD","!!!","")</f>
        <v/>
      </c>
      <c r="F3503" s="22" t="str">
        <f>IF(OR(E3503="",E3503="!!!"),"",IF(NOT(ISNA(VLOOKUP(E3503,E$1:E3502,1,FALSE()))),"OLD",IF(AND(E3503&lt;&gt;"",E3503&lt;&gt;"!!!"),"NEW","")))</f>
        <v> </v>
      </c>
      <c r="G3503" s="23" t="str">
        <f>IF(OR(E3503="",E3503="!!!"),"",IF(OR(J3503=0,AND(J3503=1,K3503=1),AND(J3503=1,I3503="SBJ"),AND(J3503=1,I3503=0)),"?IN_FOCUS",IF(J3503&lt;=2,"?ACTIVATED",IF(J3503&lt;&gt;"","?FAMILIAR",IF(F3503="NEW",IF(ISNA(VLOOKUP(E3503,#REF!,1,FALSE())),"?TYPE_IDENTIFIABLE","?REFERENTIAL"),"_")))))</f>
        <v> </v>
      </c>
      <c r="H3503" s="24" t="str">
        <f>IF(J3503&lt;&gt;1,"",IF(I3503="SBJ","CB","?"))</f>
        <v> </v>
      </c>
      <c r="I3503" s="25" t="str">
        <f>IF(OR(E3503="",E3503="!!!",F3503="NEW"),"",INDEX(B3502:B$2,-1+SUMPRODUCT(MAX(ROW(E3502:E$2)*(E3503=E3502:E$2)))))</f>
        <v> </v>
      </c>
      <c r="J3503" s="25" t="str">
        <f>IF(OR(E3503="",E3503="!!!",F3503="NEW"),"",COUNTBLANK(OFFSET(A$1,,,SUMPRODUCT(MAX(ROW(E$2:E3503)*(E3503=E$2:E3503)))))-COUNTBLANK(OFFSET(A$1,,,SUMPRODUCT(MAX(ROW(E$1:E3502)*(E2=E$1:E3502))))))</f>
        <v> </v>
      </c>
      <c r="K3503" s="25" t="str">
        <f>IF(OR(E3503="",E3503="!!!",F3503="NEW"),"",INDEX(J$1:J3502,SUMPRODUCT(MAX(ROW(E$1:E3502)*(E3503=E$1:E3502)))))</f>
        <v> </v>
      </c>
      <c r="L3503" s="26"/>
    </row>
    <row r="3504" spans="1:12">
      <c r="A3504" s="20" t="s">
        <v>1134</v>
      </c>
      <c r="E3504" s="21">
        <f>IF(D3504="?OLD","!!!","")</f>
        <v/>
      </c>
      <c r="F3504" s="22" t="str">
        <f>IF(OR(E3504="",E3504="!!!"),"",IF(NOT(ISNA(VLOOKUP(E3504,E$1:E3503,1,FALSE()))),"OLD",IF(AND(E3504&lt;&gt;"",E3504&lt;&gt;"!!!"),"NEW","")))</f>
        <v> </v>
      </c>
      <c r="G3504" s="23" t="str">
        <f>IF(OR(E3504="",E3504="!!!"),"",IF(OR(J3504=0,AND(J3504=1,K3504=1),AND(J3504=1,I3504="SBJ"),AND(J3504=1,I3504=0)),"?IN_FOCUS",IF(J3504&lt;=2,"?ACTIVATED",IF(J3504&lt;&gt;"","?FAMILIAR",IF(F3504="NEW",IF(ISNA(VLOOKUP(E3504,#REF!,1,FALSE())),"?TYPE_IDENTIFIABLE","?REFERENTIAL"),"_")))))</f>
        <v> </v>
      </c>
      <c r="H3504" s="24" t="str">
        <f>IF(J3504&lt;&gt;1,"",IF(I3504="SBJ","CB","?"))</f>
        <v> </v>
      </c>
      <c r="I3504" s="25" t="str">
        <f>IF(OR(E3504="",E3504="!!!",F3504="NEW"),"",INDEX(B3503:B$2,-1+SUMPRODUCT(MAX(ROW(E3503:E$2)*(E3504=E3503:E$2)))))</f>
        <v> </v>
      </c>
      <c r="J3504" s="25" t="str">
        <f>IF(OR(E3504="",E3504="!!!",F3504="NEW"),"",COUNTBLANK(OFFSET(A$1,,,SUMPRODUCT(MAX(ROW(E$2:E3504)*(E3504=E$2:E3504)))))-COUNTBLANK(OFFSET(A$1,,,SUMPRODUCT(MAX(ROW(E$1:E3503)*(E2=E$1:E3503))))))</f>
        <v> </v>
      </c>
      <c r="K3504" s="25" t="str">
        <f>IF(OR(E3504="",E3504="!!!",F3504="NEW"),"",INDEX(J$1:J3503,SUMPRODUCT(MAX(ROW(E$1:E3503)*(E3504=E$1:E3503)))))</f>
        <v> </v>
      </c>
      <c r="L3504" s="26"/>
    </row>
    <row r="3505" spans="1:12">
      <c r="A3505" s="20" t="s">
        <v>2687</v>
      </c>
      <c r="E3505" s="21">
        <f>IF(D3505="?OLD","!!!","")</f>
        <v/>
      </c>
      <c r="F3505" s="22" t="str">
        <f>IF(OR(E3505="",E3505="!!!"),"",IF(NOT(ISNA(VLOOKUP(E3505,E$1:E3504,1,FALSE()))),"OLD",IF(AND(E3505&lt;&gt;"",E3505&lt;&gt;"!!!"),"NEW","")))</f>
        <v> </v>
      </c>
      <c r="G3505" s="23" t="str">
        <f>IF(OR(E3505="",E3505="!!!"),"",IF(OR(J3505=0,AND(J3505=1,K3505=1),AND(J3505=1,I3505="SBJ"),AND(J3505=1,I3505=0)),"?IN_FOCUS",IF(J3505&lt;=2,"?ACTIVATED",IF(J3505&lt;&gt;"","?FAMILIAR",IF(F3505="NEW",IF(ISNA(VLOOKUP(E3505,#REF!,1,FALSE())),"?TYPE_IDENTIFIABLE","?REFERENTIAL"),"_")))))</f>
        <v> </v>
      </c>
      <c r="H3505" s="24" t="str">
        <f>IF(J3505&lt;&gt;1,"",IF(I3505="SBJ","CB","?"))</f>
        <v> </v>
      </c>
      <c r="I3505" s="25" t="str">
        <f>IF(OR(E3505="",E3505="!!!",F3505="NEW"),"",INDEX(B3504:B$2,-1+SUMPRODUCT(MAX(ROW(E3504:E$2)*(E3505=E3504:E$2)))))</f>
        <v> </v>
      </c>
      <c r="J3505" s="25" t="str">
        <f>IF(OR(E3505="",E3505="!!!",F3505="NEW"),"",COUNTBLANK(OFFSET(A$1,,,SUMPRODUCT(MAX(ROW(E$2:E3505)*(E3505=E$2:E3505)))))-COUNTBLANK(OFFSET(A$1,,,SUMPRODUCT(MAX(ROW(E$1:E3504)*(E2=E$1:E3504))))))</f>
        <v> </v>
      </c>
      <c r="K3505" s="25" t="str">
        <f>IF(OR(E3505="",E3505="!!!",F3505="NEW"),"",INDEX(J$1:J3504,SUMPRODUCT(MAX(ROW(E$1:E3504)*(E3505=E$1:E3504)))))</f>
        <v> </v>
      </c>
      <c r="L3505" s="26"/>
    </row>
    <row r="3506" spans="1:12">
      <c r="A3506" s="20" t="s">
        <v>2688</v>
      </c>
      <c r="E3506" s="21">
        <f>IF(D3506="?OLD","!!!","")</f>
        <v/>
      </c>
      <c r="F3506" s="22" t="str">
        <f>IF(OR(E3506="",E3506="!!!"),"",IF(NOT(ISNA(VLOOKUP(E3506,E$1:E3505,1,FALSE()))),"OLD",IF(AND(E3506&lt;&gt;"",E3506&lt;&gt;"!!!"),"NEW","")))</f>
        <v> </v>
      </c>
      <c r="G3506" s="23" t="str">
        <f>IF(OR(E3506="",E3506="!!!"),"",IF(OR(J3506=0,AND(J3506=1,K3506=1),AND(J3506=1,I3506="SBJ"),AND(J3506=1,I3506=0)),"?IN_FOCUS",IF(J3506&lt;=2,"?ACTIVATED",IF(J3506&lt;&gt;"","?FAMILIAR",IF(F3506="NEW",IF(ISNA(VLOOKUP(E3506,#REF!,1,FALSE())),"?TYPE_IDENTIFIABLE","?REFERENTIAL"),"_")))))</f>
        <v> </v>
      </c>
      <c r="H3506" s="24" t="str">
        <f>IF(J3506&lt;&gt;1,"",IF(I3506="SBJ","CB","?"))</f>
        <v> </v>
      </c>
      <c r="I3506" s="25" t="str">
        <f>IF(OR(E3506="",E3506="!!!",F3506="NEW"),"",INDEX(B3505:B$2,-1+SUMPRODUCT(MAX(ROW(E3505:E$2)*(E3506=E3505:E$2)))))</f>
        <v> </v>
      </c>
      <c r="J3506" s="25" t="str">
        <f>IF(OR(E3506="",E3506="!!!",F3506="NEW"),"",COUNTBLANK(OFFSET(A$1,,,SUMPRODUCT(MAX(ROW(E$2:E3506)*(E3506=E$2:E3506)))))-COUNTBLANK(OFFSET(A$1,,,SUMPRODUCT(MAX(ROW(E$1:E3505)*(E2=E$1:E3505))))))</f>
        <v> </v>
      </c>
      <c r="K3506" s="25" t="str">
        <f>IF(OR(E3506="",E3506="!!!",F3506="NEW"),"",INDEX(J$1:J3505,SUMPRODUCT(MAX(ROW(E$1:E3505)*(E3506=E$1:E3505)))))</f>
        <v> </v>
      </c>
      <c r="L3506" s="26"/>
    </row>
    <row r="3507" spans="1:12">
      <c r="A3507" s="20" t="s">
        <v>1140</v>
      </c>
      <c r="B3507" s="27" t="s">
        <v>1243</v>
      </c>
      <c r="C3507" s="27" t="s">
        <v>1126</v>
      </c>
      <c r="D3507" s="27" t="s">
        <v>1105</v>
      </c>
      <c r="E3507" s="21">
        <f>IF(D3507="?OLD","!!!","")</f>
        <v/>
      </c>
      <c r="F3507" s="22" t="str">
        <f>IF(OR(E3507="",E3507="!!!"),"",IF(NOT(ISNA(VLOOKUP(E3507,E$1:E3506,1,FALSE()))),"OLD",IF(AND(E3507&lt;&gt;"",E3507&lt;&gt;"!!!"),"NEW","")))</f>
        <v> </v>
      </c>
      <c r="G3507" s="23" t="str">
        <f>IF(OR(E3507="",E3507="!!!"),"",IF(OR(J3507=0,AND(J3507=1,K3507=1),AND(J3507=1,I3507="SBJ"),AND(J3507=1,I3507=0)),"?IN_FOCUS",IF(J3507&lt;=2,"?ACTIVATED",IF(J3507&lt;&gt;"","?FAMILIAR",IF(F3507="NEW",IF(ISNA(VLOOKUP(E3507,#REF!,1,FALSE())),"?TYPE_IDENTIFIABLE","?REFERENTIAL"),"_")))))</f>
        <v> </v>
      </c>
      <c r="H3507" s="24" t="str">
        <f>IF(J3507&lt;&gt;1,"",IF(I3507="SBJ","CB","?"))</f>
        <v> </v>
      </c>
      <c r="I3507" s="25" t="str">
        <f>IF(OR(E3507="",E3507="!!!",F3507="NEW"),"",INDEX(B3506:B$2,-1+SUMPRODUCT(MAX(ROW(E3506:E$2)*(E3507=E3506:E$2)))))</f>
        <v> </v>
      </c>
      <c r="J3507" s="25" t="str">
        <f>IF(OR(E3507="",E3507="!!!",F3507="NEW"),"",COUNTBLANK(OFFSET(A$1,,,SUMPRODUCT(MAX(ROW(E$2:E3507)*(E3507=E$2:E3507)))))-COUNTBLANK(OFFSET(A$1,,,SUMPRODUCT(MAX(ROW(E$1:E3506)*(E2=E$1:E3506))))))</f>
        <v> </v>
      </c>
      <c r="K3507" s="25" t="str">
        <f>IF(OR(E3507="",E3507="!!!",F3507="NEW"),"",INDEX(J$1:J3506,SUMPRODUCT(MAX(ROW(E$1:E3506)*(E3507=E$1:E3506)))))</f>
        <v> </v>
      </c>
      <c r="L3507" s="26"/>
    </row>
    <row r="3508" spans="1:12">
      <c r="A3508" s="20" t="s">
        <v>2689</v>
      </c>
      <c r="E3508" s="21">
        <f>IF(D3508="?OLD","!!!","")</f>
        <v/>
      </c>
      <c r="F3508" s="22" t="str">
        <f>IF(OR(E3508="",E3508="!!!"),"",IF(NOT(ISNA(VLOOKUP(E3508,E$1:E3507,1,FALSE()))),"OLD",IF(AND(E3508&lt;&gt;"",E3508&lt;&gt;"!!!"),"NEW","")))</f>
        <v> </v>
      </c>
      <c r="G3508" s="23" t="str">
        <f>IF(OR(E3508="",E3508="!!!"),"",IF(OR(J3508=0,AND(J3508=1,K3508=1),AND(J3508=1,I3508="SBJ"),AND(J3508=1,I3508=0)),"?IN_FOCUS",IF(J3508&lt;=2,"?ACTIVATED",IF(J3508&lt;&gt;"","?FAMILIAR",IF(F3508="NEW",IF(ISNA(VLOOKUP(E3508,#REF!,1,FALSE())),"?TYPE_IDENTIFIABLE","?REFERENTIAL"),"_")))))</f>
        <v> </v>
      </c>
      <c r="H3508" s="24" t="str">
        <f>IF(J3508&lt;&gt;1,"",IF(I3508="SBJ","CB","?"))</f>
        <v> </v>
      </c>
      <c r="I3508" s="25" t="str">
        <f>IF(OR(E3508="",E3508="!!!",F3508="NEW"),"",INDEX(B3507:B$2,-1+SUMPRODUCT(MAX(ROW(E3507:E$2)*(E3508=E3507:E$2)))))</f>
        <v> </v>
      </c>
      <c r="J3508" s="25" t="str">
        <f>IF(OR(E3508="",E3508="!!!",F3508="NEW"),"",COUNTBLANK(OFFSET(A$1,,,SUMPRODUCT(MAX(ROW(E$2:E3508)*(E3508=E$2:E3508)))))-COUNTBLANK(OFFSET(A$1,,,SUMPRODUCT(MAX(ROW(E$1:E3507)*(E2=E$1:E3507))))))</f>
        <v> </v>
      </c>
      <c r="K3508" s="25" t="str">
        <f>IF(OR(E3508="",E3508="!!!",F3508="NEW"),"",INDEX(J$1:J3507,SUMPRODUCT(MAX(ROW(E$1:E3507)*(E3508=E$1:E3507)))))</f>
        <v> </v>
      </c>
      <c r="L3508" s="26"/>
    </row>
    <row r="3509" spans="1:12">
      <c r="A3509" s="20" t="s">
        <v>1351</v>
      </c>
      <c r="E3509" s="21">
        <f>IF(D3509="?OLD","!!!","")</f>
        <v/>
      </c>
      <c r="F3509" s="22" t="str">
        <f>IF(OR(E3509="",E3509="!!!"),"",IF(NOT(ISNA(VLOOKUP(E3509,E$1:E3508,1,FALSE()))),"OLD",IF(AND(E3509&lt;&gt;"",E3509&lt;&gt;"!!!"),"NEW","")))</f>
        <v> </v>
      </c>
      <c r="G3509" s="23" t="str">
        <f>IF(OR(E3509="",E3509="!!!"),"",IF(OR(J3509=0,AND(J3509=1,K3509=1),AND(J3509=1,I3509="SBJ"),AND(J3509=1,I3509=0)),"?IN_FOCUS",IF(J3509&lt;=2,"?ACTIVATED",IF(J3509&lt;&gt;"","?FAMILIAR",IF(F3509="NEW",IF(ISNA(VLOOKUP(E3509,#REF!,1,FALSE())),"?TYPE_IDENTIFIABLE","?REFERENTIAL"),"_")))))</f>
        <v> </v>
      </c>
      <c r="H3509" s="24" t="str">
        <f>IF(J3509&lt;&gt;1,"",IF(I3509="SBJ","CB","?"))</f>
        <v> </v>
      </c>
      <c r="I3509" s="25" t="str">
        <f>IF(OR(E3509="",E3509="!!!",F3509="NEW"),"",INDEX(B3508:B$2,-1+SUMPRODUCT(MAX(ROW(E3508:E$2)*(E3509=E3508:E$2)))))</f>
        <v> </v>
      </c>
      <c r="J3509" s="25" t="str">
        <f>IF(OR(E3509="",E3509="!!!",F3509="NEW"),"",COUNTBLANK(OFFSET(A$1,,,SUMPRODUCT(MAX(ROW(E$2:E3509)*(E3509=E$2:E3509)))))-COUNTBLANK(OFFSET(A$1,,,SUMPRODUCT(MAX(ROW(E$1:E3508)*(E2=E$1:E3508))))))</f>
        <v> </v>
      </c>
      <c r="K3509" s="25" t="str">
        <f>IF(OR(E3509="",E3509="!!!",F3509="NEW"),"",INDEX(J$1:J3508,SUMPRODUCT(MAX(ROW(E$1:E3508)*(E3509=E$1:E3508)))))</f>
        <v> </v>
      </c>
      <c r="L3509" s="26"/>
    </row>
    <row r="3510" spans="1:12">
      <c r="A3510" s="20"/>
    </row>
    <row r="3511" spans="1:12">
      <c r="A3511" s="20" t="s">
        <v>2690</v>
      </c>
    </row>
    <row r="3512" spans="1:12">
      <c r="A3512" s="20" t="s">
        <v>1615</v>
      </c>
      <c r="E3512" s="21">
        <f>IF(D3512="?OLD","!!!","")</f>
        <v/>
      </c>
      <c r="F3512" s="22" t="str">
        <f>IF(OR(E3512="",E3512="!!!"),"",IF(NOT(ISNA(VLOOKUP(E3512,E$1:E3511,1,FALSE()))),"OLD",IF(AND(E3512&lt;&gt;"",E3512&lt;&gt;"!!!"),"NEW","")))</f>
        <v> </v>
      </c>
      <c r="G3512" s="23" t="str">
        <f>IF(OR(E3512="",E3512="!!!"),"",IF(OR(J3512=0,AND(J3512=1,K3512=1),AND(J3512=1,I3512="SBJ"),AND(J3512=1,I3512=0)),"?IN_FOCUS",IF(J3512&lt;=2,"?ACTIVATED",IF(J3512&lt;&gt;"","?FAMILIAR",IF(F3512="NEW",IF(ISNA(VLOOKUP(E3512,#REF!,1,FALSE())),"?TYPE_IDENTIFIABLE","?REFERENTIAL"),"_")))))</f>
        <v> </v>
      </c>
      <c r="H3512" s="24" t="str">
        <f>IF(J3512&lt;&gt;1,"",IF(I3512="SBJ","CB","?"))</f>
        <v> </v>
      </c>
      <c r="I3512" s="25" t="str">
        <f>IF(OR(E3512="",E3512="!!!",F3512="NEW"),"",INDEX(B3511:B$2,-1+SUMPRODUCT(MAX(ROW(E3511:E$2)*(E3512=E3511:E$2)))))</f>
        <v> </v>
      </c>
      <c r="J3512" s="25" t="str">
        <f>IF(OR(E3512="",E3512="!!!",F3512="NEW"),"",COUNTBLANK(OFFSET(A$1,,,SUMPRODUCT(MAX(ROW(E$2:E3512)*(E3512=E$2:E3512)))))-COUNTBLANK(OFFSET(A$1,,,SUMPRODUCT(MAX(ROW(E$1:E3511)*(E2=E$1:E3511))))))</f>
        <v> </v>
      </c>
      <c r="K3512" s="25" t="str">
        <f>IF(OR(E3512="",E3512="!!!",F3512="NEW"),"",INDEX(J$1:J3511,SUMPRODUCT(MAX(ROW(E$1:E3511)*(E3512=E$1:E3511)))))</f>
        <v> </v>
      </c>
      <c r="L3512" s="26"/>
    </row>
    <row r="3513" spans="1:12">
      <c r="A3513" s="20" t="s">
        <v>1124</v>
      </c>
      <c r="B3513" s="27" t="s">
        <v>1149</v>
      </c>
      <c r="C3513" s="27" t="s">
        <v>1126</v>
      </c>
      <c r="D3513" s="27" t="s">
        <v>1105</v>
      </c>
      <c r="E3513" s="21">
        <f>IF(D3513="?OLD","!!!","")</f>
        <v/>
      </c>
      <c r="F3513" s="22" t="str">
        <f>IF(OR(E3513="",E3513="!!!"),"",IF(NOT(ISNA(VLOOKUP(E3513,E$1:E3512,1,FALSE()))),"OLD",IF(AND(E3513&lt;&gt;"",E3513&lt;&gt;"!!!"),"NEW","")))</f>
        <v> </v>
      </c>
      <c r="G3513" s="23" t="str">
        <f>IF(OR(E3513="",E3513="!!!"),"",IF(OR(J3513=0,AND(J3513=1,K3513=1),AND(J3513=1,I3513="SBJ"),AND(J3513=1,I3513=0)),"?IN_FOCUS",IF(J3513&lt;=2,"?ACTIVATED",IF(J3513&lt;&gt;"","?FAMILIAR",IF(F3513="NEW",IF(ISNA(VLOOKUP(E3513,#REF!,1,FALSE())),"?TYPE_IDENTIFIABLE","?REFERENTIAL"),"_")))))</f>
        <v> </v>
      </c>
      <c r="H3513" s="24" t="str">
        <f>IF(J3513&lt;&gt;1,"",IF(I3513="SBJ","CB","?"))</f>
        <v> </v>
      </c>
      <c r="I3513" s="25" t="str">
        <f>IF(OR(E3513="",E3513="!!!",F3513="NEW"),"",INDEX(B3512:B$2,-1+SUMPRODUCT(MAX(ROW(E3512:E$2)*(E3513=E3512:E$2)))))</f>
        <v> </v>
      </c>
      <c r="J3513" s="25" t="str">
        <f>IF(OR(E3513="",E3513="!!!",F3513="NEW"),"",COUNTBLANK(OFFSET(A$1,,,SUMPRODUCT(MAX(ROW(E$2:E3513)*(E3513=E$2:E3513)))))-COUNTBLANK(OFFSET(A$1,,,SUMPRODUCT(MAX(ROW(E$1:E3512)*(E2=E$1:E3512))))))</f>
        <v> </v>
      </c>
      <c r="K3513" s="25" t="str">
        <f>IF(OR(E3513="",E3513="!!!",F3513="NEW"),"",INDEX(J$1:J3512,SUMPRODUCT(MAX(ROW(E$1:E3512)*(E3513=E$1:E3512)))))</f>
        <v> </v>
      </c>
      <c r="L3513" s="26"/>
    </row>
    <row r="3514" spans="1:12">
      <c r="A3514" s="20" t="s">
        <v>2324</v>
      </c>
      <c r="E3514" s="21">
        <f>IF(D3514="?OLD","!!!","")</f>
        <v/>
      </c>
      <c r="F3514" s="22" t="str">
        <f>IF(OR(E3514="",E3514="!!!"),"",IF(NOT(ISNA(VLOOKUP(E3514,E$1:E3513,1,FALSE()))),"OLD",IF(AND(E3514&lt;&gt;"",E3514&lt;&gt;"!!!"),"NEW","")))</f>
        <v> </v>
      </c>
      <c r="G3514" s="23" t="str">
        <f>IF(OR(E3514="",E3514="!!!"),"",IF(OR(J3514=0,AND(J3514=1,K3514=1),AND(J3514=1,I3514="SBJ"),AND(J3514=1,I3514=0)),"?IN_FOCUS",IF(J3514&lt;=2,"?ACTIVATED",IF(J3514&lt;&gt;"","?FAMILIAR",IF(F3514="NEW",IF(ISNA(VLOOKUP(E3514,#REF!,1,FALSE())),"?TYPE_IDENTIFIABLE","?REFERENTIAL"),"_")))))</f>
        <v> </v>
      </c>
      <c r="H3514" s="24" t="str">
        <f>IF(J3514&lt;&gt;1,"",IF(I3514="SBJ","CB","?"))</f>
        <v> </v>
      </c>
      <c r="I3514" s="25" t="str">
        <f>IF(OR(E3514="",E3514="!!!",F3514="NEW"),"",INDEX(B3513:B$2,-1+SUMPRODUCT(MAX(ROW(E3513:E$2)*(E3514=E3513:E$2)))))</f>
        <v> </v>
      </c>
      <c r="J3514" s="25" t="str">
        <f>IF(OR(E3514="",E3514="!!!",F3514="NEW"),"",COUNTBLANK(OFFSET(A$1,,,SUMPRODUCT(MAX(ROW(E$2:E3514)*(E3514=E$2:E3514)))))-COUNTBLANK(OFFSET(A$1,,,SUMPRODUCT(MAX(ROW(E$1:E3513)*(E2=E$1:E3513))))))</f>
        <v> </v>
      </c>
      <c r="K3514" s="25" t="str">
        <f>IF(OR(E3514="",E3514="!!!",F3514="NEW"),"",INDEX(J$1:J3513,SUMPRODUCT(MAX(ROW(E$1:E3513)*(E3514=E$1:E3513)))))</f>
        <v> </v>
      </c>
      <c r="L3514" s="26"/>
    </row>
    <row r="3515" spans="1:12">
      <c r="A3515" s="20" t="s">
        <v>1173</v>
      </c>
      <c r="E3515" s="21">
        <f>IF(D3515="?OLD","!!!","")</f>
        <v/>
      </c>
      <c r="F3515" s="22" t="str">
        <f>IF(OR(E3515="",E3515="!!!"),"",IF(NOT(ISNA(VLOOKUP(E3515,E$1:E3514,1,FALSE()))),"OLD",IF(AND(E3515&lt;&gt;"",E3515&lt;&gt;"!!!"),"NEW","")))</f>
        <v> </v>
      </c>
      <c r="G3515" s="23" t="str">
        <f>IF(OR(E3515="",E3515="!!!"),"",IF(OR(J3515=0,AND(J3515=1,K3515=1),AND(J3515=1,I3515="SBJ"),AND(J3515=1,I3515=0)),"?IN_FOCUS",IF(J3515&lt;=2,"?ACTIVATED",IF(J3515&lt;&gt;"","?FAMILIAR",IF(F3515="NEW",IF(ISNA(VLOOKUP(E3515,#REF!,1,FALSE())),"?TYPE_IDENTIFIABLE","?REFERENTIAL"),"_")))))</f>
        <v> </v>
      </c>
      <c r="H3515" s="24" t="str">
        <f>IF(J3515&lt;&gt;1,"",IF(I3515="SBJ","CB","?"))</f>
        <v> </v>
      </c>
      <c r="I3515" s="25" t="str">
        <f>IF(OR(E3515="",E3515="!!!",F3515="NEW"),"",INDEX(B3514:B$2,-1+SUMPRODUCT(MAX(ROW(E3514:E$2)*(E3515=E3514:E$2)))))</f>
        <v> </v>
      </c>
      <c r="J3515" s="25" t="str">
        <f>IF(OR(E3515="",E3515="!!!",F3515="NEW"),"",COUNTBLANK(OFFSET(A$1,,,SUMPRODUCT(MAX(ROW(E$2:E3515)*(E3515=E$2:E3515)))))-COUNTBLANK(OFFSET(A$1,,,SUMPRODUCT(MAX(ROW(E$1:E3514)*(E2=E$1:E3514))))))</f>
        <v> </v>
      </c>
      <c r="K3515" s="25" t="str">
        <f>IF(OR(E3515="",E3515="!!!",F3515="NEW"),"",INDEX(J$1:J3514,SUMPRODUCT(MAX(ROW(E$1:E3514)*(E3515=E$1:E3514)))))</f>
        <v> </v>
      </c>
      <c r="L3515" s="26"/>
    </row>
    <row r="3516" spans="1:12">
      <c r="A3516" s="20" t="s">
        <v>1184</v>
      </c>
      <c r="E3516" s="21">
        <f>IF(D3516="?OLD","!!!","")</f>
        <v/>
      </c>
      <c r="F3516" s="22" t="str">
        <f>IF(OR(E3516="",E3516="!!!"),"",IF(NOT(ISNA(VLOOKUP(E3516,E$1:E3515,1,FALSE()))),"OLD",IF(AND(E3516&lt;&gt;"",E3516&lt;&gt;"!!!"),"NEW","")))</f>
        <v> </v>
      </c>
      <c r="G3516" s="23" t="str">
        <f>IF(OR(E3516="",E3516="!!!"),"",IF(OR(J3516=0,AND(J3516=1,K3516=1),AND(J3516=1,I3516="SBJ"),AND(J3516=1,I3516=0)),"?IN_FOCUS",IF(J3516&lt;=2,"?ACTIVATED",IF(J3516&lt;&gt;"","?FAMILIAR",IF(F3516="NEW",IF(ISNA(VLOOKUP(E3516,#REF!,1,FALSE())),"?TYPE_IDENTIFIABLE","?REFERENTIAL"),"_")))))</f>
        <v> </v>
      </c>
      <c r="H3516" s="24" t="str">
        <f>IF(J3516&lt;&gt;1,"",IF(I3516="SBJ","CB","?"))</f>
        <v> </v>
      </c>
      <c r="I3516" s="25" t="str">
        <f>IF(OR(E3516="",E3516="!!!",F3516="NEW"),"",INDEX(B3515:B$2,-1+SUMPRODUCT(MAX(ROW(E3515:E$2)*(E3516=E3515:E$2)))))</f>
        <v> </v>
      </c>
      <c r="J3516" s="25" t="str">
        <f>IF(OR(E3516="",E3516="!!!",F3516="NEW"),"",COUNTBLANK(OFFSET(A$1,,,SUMPRODUCT(MAX(ROW(E$2:E3516)*(E3516=E$2:E3516)))))-COUNTBLANK(OFFSET(A$1,,,SUMPRODUCT(MAX(ROW(E$1:E3515)*(E2=E$1:E3515))))))</f>
        <v> </v>
      </c>
      <c r="K3516" s="25" t="str">
        <f>IF(OR(E3516="",E3516="!!!",F3516="NEW"),"",INDEX(J$1:J3515,SUMPRODUCT(MAX(ROW(E$1:E3515)*(E3516=E$1:E3515)))))</f>
        <v> </v>
      </c>
      <c r="L3516" s="26"/>
    </row>
    <row r="3517" spans="1:12">
      <c r="A3517" s="20" t="s">
        <v>2304</v>
      </c>
      <c r="B3517" s="27" t="s">
        <v>1103</v>
      </c>
      <c r="C3517" s="27" t="s">
        <v>1142</v>
      </c>
      <c r="D3517" s="27" t="s">
        <v>1105</v>
      </c>
      <c r="E3517" s="21">
        <f>IF(D3517="?OLD","!!!","")</f>
        <v/>
      </c>
      <c r="F3517" s="22" t="str">
        <f>IF(OR(E3517="",E3517="!!!"),"",IF(NOT(ISNA(VLOOKUP(E3517,E$1:E3516,1,FALSE()))),"OLD",IF(AND(E3517&lt;&gt;"",E3517&lt;&gt;"!!!"),"NEW","")))</f>
        <v> </v>
      </c>
      <c r="G3517" s="23" t="str">
        <f>IF(OR(E3517="",E3517="!!!"),"",IF(OR(J3517=0,AND(J3517=1,K3517=1),AND(J3517=1,I3517="SBJ"),AND(J3517=1,I3517=0)),"?IN_FOCUS",IF(J3517&lt;=2,"?ACTIVATED",IF(J3517&lt;&gt;"","?FAMILIAR",IF(F3517="NEW",IF(ISNA(VLOOKUP(E3517,#REF!,1,FALSE())),"?TYPE_IDENTIFIABLE","?REFERENTIAL"),"_")))))</f>
        <v> </v>
      </c>
      <c r="H3517" s="24" t="str">
        <f>IF(J3517&lt;&gt;1,"",IF(I3517="SBJ","CB","?"))</f>
        <v> </v>
      </c>
      <c r="I3517" s="25" t="str">
        <f>IF(OR(E3517="",E3517="!!!",F3517="NEW"),"",INDEX(B3516:B$2,-1+SUMPRODUCT(MAX(ROW(E3516:E$2)*(E3517=E3516:E$2)))))</f>
        <v> </v>
      </c>
      <c r="J3517" s="25" t="str">
        <f>IF(OR(E3517="",E3517="!!!",F3517="NEW"),"",COUNTBLANK(OFFSET(A$1,,,SUMPRODUCT(MAX(ROW(E$2:E3517)*(E3517=E$2:E3517)))))-COUNTBLANK(OFFSET(A$1,,,SUMPRODUCT(MAX(ROW(E$1:E3516)*(E2=E$1:E3516))))))</f>
        <v> </v>
      </c>
      <c r="K3517" s="25" t="str">
        <f>IF(OR(E3517="",E3517="!!!",F3517="NEW"),"",INDEX(J$1:J3516,SUMPRODUCT(MAX(ROW(E$1:E3516)*(E3517=E$1:E3516)))))</f>
        <v> </v>
      </c>
      <c r="L3517" s="26"/>
    </row>
    <row r="3518" spans="1:12">
      <c r="A3518" s="20" t="s">
        <v>2691</v>
      </c>
      <c r="E3518" s="21">
        <f>IF(D3518="?OLD","!!!","")</f>
        <v/>
      </c>
      <c r="F3518" s="22" t="str">
        <f>IF(OR(E3518="",E3518="!!!"),"",IF(NOT(ISNA(VLOOKUP(E3518,E$1:E3517,1,FALSE()))),"OLD",IF(AND(E3518&lt;&gt;"",E3518&lt;&gt;"!!!"),"NEW","")))</f>
        <v> </v>
      </c>
      <c r="G3518" s="23" t="str">
        <f>IF(OR(E3518="",E3518="!!!"),"",IF(OR(J3518=0,AND(J3518=1,K3518=1),AND(J3518=1,I3518="SBJ"),AND(J3518=1,I3518=0)),"?IN_FOCUS",IF(J3518&lt;=2,"?ACTIVATED",IF(J3518&lt;&gt;"","?FAMILIAR",IF(F3518="NEW",IF(ISNA(VLOOKUP(E3518,#REF!,1,FALSE())),"?TYPE_IDENTIFIABLE","?REFERENTIAL"),"_")))))</f>
        <v> </v>
      </c>
      <c r="H3518" s="24" t="str">
        <f>IF(J3518&lt;&gt;1,"",IF(I3518="SBJ","CB","?"))</f>
        <v> </v>
      </c>
      <c r="I3518" s="25" t="str">
        <f>IF(OR(E3518="",E3518="!!!",F3518="NEW"),"",INDEX(B3517:B$2,-1+SUMPRODUCT(MAX(ROW(E3517:E$2)*(E3518=E3517:E$2)))))</f>
        <v> </v>
      </c>
      <c r="J3518" s="25" t="str">
        <f>IF(OR(E3518="",E3518="!!!",F3518="NEW"),"",COUNTBLANK(OFFSET(A$1,,,SUMPRODUCT(MAX(ROW(E$2:E3518)*(E3518=E$2:E3518)))))-COUNTBLANK(OFFSET(A$1,,,SUMPRODUCT(MAX(ROW(E$1:E3517)*(E2=E$1:E3517))))))</f>
        <v> </v>
      </c>
      <c r="K3518" s="25" t="str">
        <f>IF(OR(E3518="",E3518="!!!",F3518="NEW"),"",INDEX(J$1:J3517,SUMPRODUCT(MAX(ROW(E$1:E3517)*(E3518=E$1:E3517)))))</f>
        <v> </v>
      </c>
      <c r="L3518" s="26"/>
    </row>
    <row r="3519" spans="1:12">
      <c r="A3519" s="20" t="s">
        <v>1351</v>
      </c>
      <c r="E3519" s="21">
        <f>IF(D3519="?OLD","!!!","")</f>
        <v/>
      </c>
      <c r="F3519" s="22" t="str">
        <f>IF(OR(E3519="",E3519="!!!"),"",IF(NOT(ISNA(VLOOKUP(E3519,E$1:E3518,1,FALSE()))),"OLD",IF(AND(E3519&lt;&gt;"",E3519&lt;&gt;"!!!"),"NEW","")))</f>
        <v> </v>
      </c>
      <c r="G3519" s="23" t="str">
        <f>IF(OR(E3519="",E3519="!!!"),"",IF(OR(J3519=0,AND(J3519=1,K3519=1),AND(J3519=1,I3519="SBJ"),AND(J3519=1,I3519=0)),"?IN_FOCUS",IF(J3519&lt;=2,"?ACTIVATED",IF(J3519&lt;&gt;"","?FAMILIAR",IF(F3519="NEW",IF(ISNA(VLOOKUP(E3519,#REF!,1,FALSE())),"?TYPE_IDENTIFIABLE","?REFERENTIAL"),"_")))))</f>
        <v> </v>
      </c>
      <c r="H3519" s="24" t="str">
        <f>IF(J3519&lt;&gt;1,"",IF(I3519="SBJ","CB","?"))</f>
        <v> </v>
      </c>
      <c r="I3519" s="25" t="str">
        <f>IF(OR(E3519="",E3519="!!!",F3519="NEW"),"",INDEX(B3518:B$2,-1+SUMPRODUCT(MAX(ROW(E3518:E$2)*(E3519=E3518:E$2)))))</f>
        <v> </v>
      </c>
      <c r="J3519" s="25" t="str">
        <f>IF(OR(E3519="",E3519="!!!",F3519="NEW"),"",COUNTBLANK(OFFSET(A$1,,,SUMPRODUCT(MAX(ROW(E$2:E3519)*(E3519=E$2:E3519)))))-COUNTBLANK(OFFSET(A$1,,,SUMPRODUCT(MAX(ROW(E$1:E3518)*(E2=E$1:E3518))))))</f>
        <v> </v>
      </c>
      <c r="K3519" s="25" t="str">
        <f>IF(OR(E3519="",E3519="!!!",F3519="NEW"),"",INDEX(J$1:J3518,SUMPRODUCT(MAX(ROW(E$1:E3518)*(E3519=E$1:E3518)))))</f>
        <v> </v>
      </c>
      <c r="L3519" s="26"/>
    </row>
    <row r="3520" spans="1:12">
      <c r="A3520" s="20"/>
    </row>
    <row r="3521" spans="1:12">
      <c r="A3521" s="20" t="s">
        <v>2692</v>
      </c>
    </row>
    <row r="3522" spans="1:12">
      <c r="A3522" s="20" t="s">
        <v>2693</v>
      </c>
      <c r="E3522" s="21">
        <f>IF(D3522="?OLD","!!!","")</f>
        <v/>
      </c>
      <c r="F3522" s="22" t="str">
        <f>IF(OR(E3522="",E3522="!!!"),"",IF(NOT(ISNA(VLOOKUP(E3522,E$1:E3521,1,FALSE()))),"OLD",IF(AND(E3522&lt;&gt;"",E3522&lt;&gt;"!!!"),"NEW","")))</f>
        <v> </v>
      </c>
      <c r="G3522" s="23" t="str">
        <f>IF(OR(E3522="",E3522="!!!"),"",IF(OR(J3522=0,AND(J3522=1,K3522=1),AND(J3522=1,I3522="SBJ"),AND(J3522=1,I3522=0)),"?IN_FOCUS",IF(J3522&lt;=2,"?ACTIVATED",IF(J3522&lt;&gt;"","?FAMILIAR",IF(F3522="NEW",IF(ISNA(VLOOKUP(E3522,#REF!,1,FALSE())),"?TYPE_IDENTIFIABLE","?REFERENTIAL"),"_")))))</f>
        <v> </v>
      </c>
      <c r="H3522" s="24" t="str">
        <f>IF(J3522&lt;&gt;1,"",IF(I3522="SBJ","CB","?"))</f>
        <v> </v>
      </c>
      <c r="I3522" s="25" t="str">
        <f>IF(OR(E3522="",E3522="!!!",F3522="NEW"),"",INDEX(B3521:B$2,-1+SUMPRODUCT(MAX(ROW(E3521:E$2)*(E3522=E3521:E$2)))))</f>
        <v> </v>
      </c>
      <c r="J3522" s="25" t="str">
        <f>IF(OR(E3522="",E3522="!!!",F3522="NEW"),"",COUNTBLANK(OFFSET(A$1,,,SUMPRODUCT(MAX(ROW(E$2:E3522)*(E3522=E$2:E3522)))))-COUNTBLANK(OFFSET(A$1,,,SUMPRODUCT(MAX(ROW(E$1:E3521)*(E2=E$1:E3521))))))</f>
        <v> </v>
      </c>
      <c r="K3522" s="25" t="str">
        <f>IF(OR(E3522="",E3522="!!!",F3522="NEW"),"",INDEX(J$1:J3521,SUMPRODUCT(MAX(ROW(E$1:E3521)*(E3522=E$1:E3521)))))</f>
        <v> </v>
      </c>
      <c r="L3522" s="26"/>
    </row>
    <row r="3523" spans="1:12">
      <c r="A3523" s="20" t="s">
        <v>2694</v>
      </c>
      <c r="E3523" s="21">
        <f>IF(D3523="?OLD","!!!","")</f>
        <v/>
      </c>
      <c r="F3523" s="22" t="str">
        <f>IF(OR(E3523="",E3523="!!!"),"",IF(NOT(ISNA(VLOOKUP(E3523,E$1:E3522,1,FALSE()))),"OLD",IF(AND(E3523&lt;&gt;"",E3523&lt;&gt;"!!!"),"NEW","")))</f>
        <v> </v>
      </c>
      <c r="G3523" s="23" t="str">
        <f>IF(OR(E3523="",E3523="!!!"),"",IF(OR(J3523=0,AND(J3523=1,K3523=1),AND(J3523=1,I3523="SBJ"),AND(J3523=1,I3523=0)),"?IN_FOCUS",IF(J3523&lt;=2,"?ACTIVATED",IF(J3523&lt;&gt;"","?FAMILIAR",IF(F3523="NEW",IF(ISNA(VLOOKUP(E3523,#REF!,1,FALSE())),"?TYPE_IDENTIFIABLE","?REFERENTIAL"),"_")))))</f>
        <v> </v>
      </c>
      <c r="H3523" s="24" t="str">
        <f>IF(J3523&lt;&gt;1,"",IF(I3523="SBJ","CB","?"))</f>
        <v> </v>
      </c>
      <c r="I3523" s="25" t="str">
        <f>IF(OR(E3523="",E3523="!!!",F3523="NEW"),"",INDEX(B3522:B$2,-1+SUMPRODUCT(MAX(ROW(E3522:E$2)*(E3523=E3522:E$2)))))</f>
        <v> </v>
      </c>
      <c r="J3523" s="25" t="str">
        <f>IF(OR(E3523="",E3523="!!!",F3523="NEW"),"",COUNTBLANK(OFFSET(A$1,,,SUMPRODUCT(MAX(ROW(E$2:E3523)*(E3523=E$2:E3523)))))-COUNTBLANK(OFFSET(A$1,,,SUMPRODUCT(MAX(ROW(E$1:E3522)*(E2=E$1:E3522))))))</f>
        <v> </v>
      </c>
      <c r="K3523" s="25" t="str">
        <f>IF(OR(E3523="",E3523="!!!",F3523="NEW"),"",INDEX(J$1:J3522,SUMPRODUCT(MAX(ROW(E$1:E3522)*(E3523=E$1:E3522)))))</f>
        <v> </v>
      </c>
      <c r="L3523" s="26"/>
    </row>
    <row r="3524" spans="1:12">
      <c r="A3524" s="20" t="s">
        <v>2695</v>
      </c>
      <c r="B3524" s="27" t="s">
        <v>1103</v>
      </c>
      <c r="C3524" s="27" t="s">
        <v>1116</v>
      </c>
      <c r="E3524" s="21">
        <f>IF(D3524="?OLD","!!!","")</f>
        <v/>
      </c>
      <c r="F3524" s="22" t="str">
        <f>IF(OR(E3524="",E3524="!!!"),"",IF(NOT(ISNA(VLOOKUP(E3524,E$1:E3523,1,FALSE()))),"OLD",IF(AND(E3524&lt;&gt;"",E3524&lt;&gt;"!!!"),"NEW","")))</f>
        <v> </v>
      </c>
      <c r="G3524" s="23" t="str">
        <f>IF(OR(E3524="",E3524="!!!"),"",IF(OR(J3524=0,AND(J3524=1,K3524=1),AND(J3524=1,I3524="SBJ"),AND(J3524=1,I3524=0)),"?IN_FOCUS",IF(J3524&lt;=2,"?ACTIVATED",IF(J3524&lt;&gt;"","?FAMILIAR",IF(F3524="NEW",IF(ISNA(VLOOKUP(E3524,#REF!,1,FALSE())),"?TYPE_IDENTIFIABLE","?REFERENTIAL"),"_")))))</f>
        <v> </v>
      </c>
      <c r="H3524" s="24" t="str">
        <f>IF(J3524&lt;&gt;1,"",IF(I3524="SBJ","CB","?"))</f>
        <v> </v>
      </c>
      <c r="I3524" s="25" t="str">
        <f>IF(OR(E3524="",E3524="!!!",F3524="NEW"),"",INDEX(B3523:B$2,-1+SUMPRODUCT(MAX(ROW(E3523:E$2)*(E3524=E3523:E$2)))))</f>
        <v> </v>
      </c>
      <c r="J3524" s="25" t="str">
        <f>IF(OR(E3524="",E3524="!!!",F3524="NEW"),"",COUNTBLANK(OFFSET(A$1,,,SUMPRODUCT(MAX(ROW(E$2:E3524)*(E3524=E$2:E3524)))))-COUNTBLANK(OFFSET(A$1,,,SUMPRODUCT(MAX(ROW(E$1:E3523)*(E2=E$1:E3523))))))</f>
        <v> </v>
      </c>
      <c r="K3524" s="25" t="str">
        <f>IF(OR(E3524="",E3524="!!!",F3524="NEW"),"",INDEX(J$1:J3523,SUMPRODUCT(MAX(ROW(E$1:E3523)*(E3524=E$1:E3523)))))</f>
        <v> </v>
      </c>
      <c r="L3524" s="26"/>
    </row>
    <row r="3525" spans="1:12">
      <c r="A3525" s="20" t="s">
        <v>1231</v>
      </c>
      <c r="E3525" s="21">
        <f>IF(D3525="?OLD","!!!","")</f>
        <v/>
      </c>
      <c r="F3525" s="22" t="str">
        <f>IF(OR(E3525="",E3525="!!!"),"",IF(NOT(ISNA(VLOOKUP(E3525,E$1:E3524,1,FALSE()))),"OLD",IF(AND(E3525&lt;&gt;"",E3525&lt;&gt;"!!!"),"NEW","")))</f>
        <v> </v>
      </c>
      <c r="G3525" s="23" t="str">
        <f>IF(OR(E3525="",E3525="!!!"),"",IF(OR(J3525=0,AND(J3525=1,K3525=1),AND(J3525=1,I3525="SBJ"),AND(J3525=1,I3525=0)),"?IN_FOCUS",IF(J3525&lt;=2,"?ACTIVATED",IF(J3525&lt;&gt;"","?FAMILIAR",IF(F3525="NEW",IF(ISNA(VLOOKUP(E3525,#REF!,1,FALSE())),"?TYPE_IDENTIFIABLE","?REFERENTIAL"),"_")))))</f>
        <v> </v>
      </c>
      <c r="H3525" s="24" t="str">
        <f>IF(J3525&lt;&gt;1,"",IF(I3525="SBJ","CB","?"))</f>
        <v> </v>
      </c>
      <c r="I3525" s="25" t="str">
        <f>IF(OR(E3525="",E3525="!!!",F3525="NEW"),"",INDEX(B3524:B$2,-1+SUMPRODUCT(MAX(ROW(E3524:E$2)*(E3525=E3524:E$2)))))</f>
        <v> </v>
      </c>
      <c r="J3525" s="25" t="str">
        <f>IF(OR(E3525="",E3525="!!!",F3525="NEW"),"",COUNTBLANK(OFFSET(A$1,,,SUMPRODUCT(MAX(ROW(E$2:E3525)*(E3525=E$2:E3525)))))-COUNTBLANK(OFFSET(A$1,,,SUMPRODUCT(MAX(ROW(E$1:E3524)*(E2=E$1:E3524))))))</f>
        <v> </v>
      </c>
      <c r="K3525" s="25" t="str">
        <f>IF(OR(E3525="",E3525="!!!",F3525="NEW"),"",INDEX(J$1:J3524,SUMPRODUCT(MAX(ROW(E$1:E3524)*(E3525=E$1:E3524)))))</f>
        <v> </v>
      </c>
      <c r="L3525" s="26"/>
    </row>
    <row r="3526" spans="1:12">
      <c r="A3526" s="20" t="s">
        <v>2696</v>
      </c>
      <c r="E3526" s="21">
        <f>IF(D3526="?OLD","!!!","")</f>
        <v/>
      </c>
      <c r="F3526" s="22" t="str">
        <f>IF(OR(E3526="",E3526="!!!"),"",IF(NOT(ISNA(VLOOKUP(E3526,E$1:E3525,1,FALSE()))),"OLD",IF(AND(E3526&lt;&gt;"",E3526&lt;&gt;"!!!"),"NEW","")))</f>
        <v> </v>
      </c>
      <c r="G3526" s="23" t="str">
        <f>IF(OR(E3526="",E3526="!!!"),"",IF(OR(J3526=0,AND(J3526=1,K3526=1),AND(J3526=1,I3526="SBJ"),AND(J3526=1,I3526=0)),"?IN_FOCUS",IF(J3526&lt;=2,"?ACTIVATED",IF(J3526&lt;&gt;"","?FAMILIAR",IF(F3526="NEW",IF(ISNA(VLOOKUP(E3526,#REF!,1,FALSE())),"?TYPE_IDENTIFIABLE","?REFERENTIAL"),"_")))))</f>
        <v> </v>
      </c>
      <c r="H3526" s="24" t="str">
        <f>IF(J3526&lt;&gt;1,"",IF(I3526="SBJ","CB","?"))</f>
        <v> </v>
      </c>
      <c r="I3526" s="25" t="str">
        <f>IF(OR(E3526="",E3526="!!!",F3526="NEW"),"",INDEX(B3525:B$2,-1+SUMPRODUCT(MAX(ROW(E3525:E$2)*(E3526=E3525:E$2)))))</f>
        <v> </v>
      </c>
      <c r="J3526" s="25" t="str">
        <f>IF(OR(E3526="",E3526="!!!",F3526="NEW"),"",COUNTBLANK(OFFSET(A$1,,,SUMPRODUCT(MAX(ROW(E$2:E3526)*(E3526=E$2:E3526)))))-COUNTBLANK(OFFSET(A$1,,,SUMPRODUCT(MAX(ROW(E$1:E3525)*(E2=E$1:E3525))))))</f>
        <v> </v>
      </c>
      <c r="K3526" s="25" t="str">
        <f>IF(OR(E3526="",E3526="!!!",F3526="NEW"),"",INDEX(J$1:J3525,SUMPRODUCT(MAX(ROW(E$1:E3525)*(E3526=E$1:E3525)))))</f>
        <v> </v>
      </c>
      <c r="L3526" s="26"/>
    </row>
    <row r="3527" spans="1:12">
      <c r="A3527" s="20" t="s">
        <v>2697</v>
      </c>
      <c r="B3527" s="27" t="s">
        <v>1103</v>
      </c>
      <c r="C3527" s="27" t="s">
        <v>1126</v>
      </c>
      <c r="D3527" s="27" t="s">
        <v>1105</v>
      </c>
      <c r="E3527" s="21">
        <f>IF(D3527="?OLD","!!!","")</f>
        <v/>
      </c>
      <c r="F3527" s="22" t="str">
        <f>IF(OR(E3527="",E3527="!!!"),"",IF(NOT(ISNA(VLOOKUP(E3527,E$1:E3526,1,FALSE()))),"OLD",IF(AND(E3527&lt;&gt;"",E3527&lt;&gt;"!!!"),"NEW","")))</f>
        <v> </v>
      </c>
      <c r="G3527" s="23" t="str">
        <f>IF(OR(E3527="",E3527="!!!"),"",IF(OR(J3527=0,AND(J3527=1,K3527=1),AND(J3527=1,I3527="SBJ"),AND(J3527=1,I3527=0)),"?IN_FOCUS",IF(J3527&lt;=2,"?ACTIVATED",IF(J3527&lt;&gt;"","?FAMILIAR",IF(F3527="NEW",IF(ISNA(VLOOKUP(E3527,#REF!,1,FALSE())),"?TYPE_IDENTIFIABLE","?REFERENTIAL"),"_")))))</f>
        <v> </v>
      </c>
      <c r="H3527" s="24" t="str">
        <f>IF(J3527&lt;&gt;1,"",IF(I3527="SBJ","CB","?"))</f>
        <v> </v>
      </c>
      <c r="I3527" s="25" t="str">
        <f>IF(OR(E3527="",E3527="!!!",F3527="NEW"),"",INDEX(B3526:B$2,-1+SUMPRODUCT(MAX(ROW(E3526:E$2)*(E3527=E3526:E$2)))))</f>
        <v> </v>
      </c>
      <c r="J3527" s="25" t="str">
        <f>IF(OR(E3527="",E3527="!!!",F3527="NEW"),"",COUNTBLANK(OFFSET(A$1,,,SUMPRODUCT(MAX(ROW(E$2:E3527)*(E3527=E$2:E3527)))))-COUNTBLANK(OFFSET(A$1,,,SUMPRODUCT(MAX(ROW(E$1:E3526)*(E2=E$1:E3526))))))</f>
        <v> </v>
      </c>
      <c r="K3527" s="25" t="str">
        <f>IF(OR(E3527="",E3527="!!!",F3527="NEW"),"",INDEX(J$1:J3526,SUMPRODUCT(MAX(ROW(E$1:E3526)*(E3527=E$1:E3526)))))</f>
        <v> </v>
      </c>
      <c r="L3527" s="26"/>
    </row>
    <row r="3528" spans="1:12">
      <c r="A3528" s="20" t="s">
        <v>1120</v>
      </c>
      <c r="E3528" s="21">
        <f>IF(D3528="?OLD","!!!","")</f>
        <v/>
      </c>
      <c r="F3528" s="22" t="str">
        <f>IF(OR(E3528="",E3528="!!!"),"",IF(NOT(ISNA(VLOOKUP(E3528,E$1:E3527,1,FALSE()))),"OLD",IF(AND(E3528&lt;&gt;"",E3528&lt;&gt;"!!!"),"NEW","")))</f>
        <v> </v>
      </c>
      <c r="G3528" s="23" t="str">
        <f>IF(OR(E3528="",E3528="!!!"),"",IF(OR(J3528=0,AND(J3528=1,K3528=1),AND(J3528=1,I3528="SBJ"),AND(J3528=1,I3528=0)),"?IN_FOCUS",IF(J3528&lt;=2,"?ACTIVATED",IF(J3528&lt;&gt;"","?FAMILIAR",IF(F3528="NEW",IF(ISNA(VLOOKUP(E3528,#REF!,1,FALSE())),"?TYPE_IDENTIFIABLE","?REFERENTIAL"),"_")))))</f>
        <v> </v>
      </c>
      <c r="H3528" s="24" t="str">
        <f>IF(J3528&lt;&gt;1,"",IF(I3528="SBJ","CB","?"))</f>
        <v> </v>
      </c>
      <c r="I3528" s="25" t="str">
        <f>IF(OR(E3528="",E3528="!!!",F3528="NEW"),"",INDEX(B3527:B$2,-1+SUMPRODUCT(MAX(ROW(E3527:E$2)*(E3528=E3527:E$2)))))</f>
        <v> </v>
      </c>
      <c r="J3528" s="25" t="str">
        <f>IF(OR(E3528="",E3528="!!!",F3528="NEW"),"",COUNTBLANK(OFFSET(A$1,,,SUMPRODUCT(MAX(ROW(E$2:E3528)*(E3528=E$2:E3528)))))-COUNTBLANK(OFFSET(A$1,,,SUMPRODUCT(MAX(ROW(E$1:E3527)*(E2=E$1:E3527))))))</f>
        <v> </v>
      </c>
      <c r="K3528" s="25" t="str">
        <f>IF(OR(E3528="",E3528="!!!",F3528="NEW"),"",INDEX(J$1:J3527,SUMPRODUCT(MAX(ROW(E$1:E3527)*(E3528=E$1:E3527)))))</f>
        <v> </v>
      </c>
      <c r="L3528" s="26"/>
    </row>
    <row r="3529" spans="1:12">
      <c r="A3529" s="20" t="s">
        <v>1128</v>
      </c>
      <c r="E3529" s="21">
        <f>IF(D3529="?OLD","!!!","")</f>
        <v/>
      </c>
      <c r="F3529" s="22" t="str">
        <f>IF(OR(E3529="",E3529="!!!"),"",IF(NOT(ISNA(VLOOKUP(E3529,E$1:E3528,1,FALSE()))),"OLD",IF(AND(E3529&lt;&gt;"",E3529&lt;&gt;"!!!"),"NEW","")))</f>
        <v> </v>
      </c>
      <c r="G3529" s="23" t="str">
        <f>IF(OR(E3529="",E3529="!!!"),"",IF(OR(J3529=0,AND(J3529=1,K3529=1),AND(J3529=1,I3529="SBJ"),AND(J3529=1,I3529=0)),"?IN_FOCUS",IF(J3529&lt;=2,"?ACTIVATED",IF(J3529&lt;&gt;"","?FAMILIAR",IF(F3529="NEW",IF(ISNA(VLOOKUP(E3529,#REF!,1,FALSE())),"?TYPE_IDENTIFIABLE","?REFERENTIAL"),"_")))))</f>
        <v> </v>
      </c>
      <c r="H3529" s="24" t="str">
        <f>IF(J3529&lt;&gt;1,"",IF(I3529="SBJ","CB","?"))</f>
        <v> </v>
      </c>
      <c r="I3529" s="25" t="str">
        <f>IF(OR(E3529="",E3529="!!!",F3529="NEW"),"",INDEX(B3528:B$2,-1+SUMPRODUCT(MAX(ROW(E3528:E$2)*(E3529=E3528:E$2)))))</f>
        <v> </v>
      </c>
      <c r="J3529" s="25" t="str">
        <f>IF(OR(E3529="",E3529="!!!",F3529="NEW"),"",COUNTBLANK(OFFSET(A$1,,,SUMPRODUCT(MAX(ROW(E$2:E3529)*(E3529=E$2:E3529)))))-COUNTBLANK(OFFSET(A$1,,,SUMPRODUCT(MAX(ROW(E$1:E3528)*(E2=E$1:E3528))))))</f>
        <v> </v>
      </c>
      <c r="K3529" s="25" t="str">
        <f>IF(OR(E3529="",E3529="!!!",F3529="NEW"),"",INDEX(J$1:J3528,SUMPRODUCT(MAX(ROW(E$1:E3528)*(E3529=E$1:E3528)))))</f>
        <v> </v>
      </c>
      <c r="L3529" s="26"/>
    </row>
    <row r="3530" spans="1:12">
      <c r="A3530" s="20" t="s">
        <v>2698</v>
      </c>
      <c r="E3530" s="21">
        <f>IF(D3530="?OLD","!!!","")</f>
        <v/>
      </c>
      <c r="F3530" s="22" t="str">
        <f>IF(OR(E3530="",E3530="!!!"),"",IF(NOT(ISNA(VLOOKUP(E3530,E$1:E3529,1,FALSE()))),"OLD",IF(AND(E3530&lt;&gt;"",E3530&lt;&gt;"!!!"),"NEW","")))</f>
        <v> </v>
      </c>
      <c r="G3530" s="23" t="str">
        <f>IF(OR(E3530="",E3530="!!!"),"",IF(OR(J3530=0,AND(J3530=1,K3530=1),AND(J3530=1,I3530="SBJ"),AND(J3530=1,I3530=0)),"?IN_FOCUS",IF(J3530&lt;=2,"?ACTIVATED",IF(J3530&lt;&gt;"","?FAMILIAR",IF(F3530="NEW",IF(ISNA(VLOOKUP(E3530,#REF!,1,FALSE())),"?TYPE_IDENTIFIABLE","?REFERENTIAL"),"_")))))</f>
        <v> </v>
      </c>
      <c r="H3530" s="24" t="str">
        <f>IF(J3530&lt;&gt;1,"",IF(I3530="SBJ","CB","?"))</f>
        <v> </v>
      </c>
      <c r="I3530" s="25" t="str">
        <f>IF(OR(E3530="",E3530="!!!",F3530="NEW"),"",INDEX(B3529:B$2,-1+SUMPRODUCT(MAX(ROW(E3529:E$2)*(E3530=E3529:E$2)))))</f>
        <v> </v>
      </c>
      <c r="J3530" s="25" t="str">
        <f>IF(OR(E3530="",E3530="!!!",F3530="NEW"),"",COUNTBLANK(OFFSET(A$1,,,SUMPRODUCT(MAX(ROW(E$2:E3530)*(E3530=E$2:E3530)))))-COUNTBLANK(OFFSET(A$1,,,SUMPRODUCT(MAX(ROW(E$1:E3529)*(E2=E$1:E3529))))))</f>
        <v> </v>
      </c>
      <c r="K3530" s="25" t="str">
        <f>IF(OR(E3530="",E3530="!!!",F3530="NEW"),"",INDEX(J$1:J3529,SUMPRODUCT(MAX(ROW(E$1:E3529)*(E3530=E$1:E3529)))))</f>
        <v> </v>
      </c>
      <c r="L3530" s="26"/>
    </row>
    <row r="3531" spans="1:12">
      <c r="A3531" s="20" t="s">
        <v>1145</v>
      </c>
      <c r="E3531" s="21">
        <f>IF(D3531="?OLD","!!!","")</f>
        <v/>
      </c>
      <c r="F3531" s="22" t="str">
        <f>IF(OR(E3531="",E3531="!!!"),"",IF(NOT(ISNA(VLOOKUP(E3531,E$1:E3530,1,FALSE()))),"OLD",IF(AND(E3531&lt;&gt;"",E3531&lt;&gt;"!!!"),"NEW","")))</f>
        <v> </v>
      </c>
      <c r="G3531" s="23" t="str">
        <f>IF(OR(E3531="",E3531="!!!"),"",IF(OR(J3531=0,AND(J3531=1,K3531=1),AND(J3531=1,I3531="SBJ"),AND(J3531=1,I3531=0)),"?IN_FOCUS",IF(J3531&lt;=2,"?ACTIVATED",IF(J3531&lt;&gt;"","?FAMILIAR",IF(F3531="NEW",IF(ISNA(VLOOKUP(E3531,#REF!,1,FALSE())),"?TYPE_IDENTIFIABLE","?REFERENTIAL"),"_")))))</f>
        <v> </v>
      </c>
      <c r="H3531" s="24" t="str">
        <f>IF(J3531&lt;&gt;1,"",IF(I3531="SBJ","CB","?"))</f>
        <v> </v>
      </c>
      <c r="I3531" s="25" t="str">
        <f>IF(OR(E3531="",E3531="!!!",F3531="NEW"),"",INDEX(B3530:B$2,-1+SUMPRODUCT(MAX(ROW(E3530:E$2)*(E3531=E3530:E$2)))))</f>
        <v> </v>
      </c>
      <c r="J3531" s="25" t="str">
        <f>IF(OR(E3531="",E3531="!!!",F3531="NEW"),"",COUNTBLANK(OFFSET(A$1,,,SUMPRODUCT(MAX(ROW(E$2:E3531)*(E3531=E$2:E3531)))))-COUNTBLANK(OFFSET(A$1,,,SUMPRODUCT(MAX(ROW(E$1:E3530)*(E2=E$1:E3530))))))</f>
        <v> </v>
      </c>
      <c r="K3531" s="25" t="str">
        <f>IF(OR(E3531="",E3531="!!!",F3531="NEW"),"",INDEX(J$1:J3530,SUMPRODUCT(MAX(ROW(E$1:E3530)*(E3531=E$1:E3530)))))</f>
        <v> </v>
      </c>
      <c r="L3531" s="26"/>
    </row>
    <row r="3532" spans="1:12">
      <c r="A3532" s="20"/>
    </row>
    <row r="3533" spans="1:12">
      <c r="A3533" s="20" t="s">
        <v>2699</v>
      </c>
    </row>
    <row r="3534" spans="1:12">
      <c r="A3534" s="20" t="s">
        <v>1353</v>
      </c>
      <c r="B3534" s="27" t="s">
        <v>1149</v>
      </c>
      <c r="C3534" s="27" t="s">
        <v>1126</v>
      </c>
      <c r="D3534" s="27" t="s">
        <v>1105</v>
      </c>
      <c r="E3534" s="21">
        <f>IF(D3534="?OLD","!!!","")</f>
        <v/>
      </c>
      <c r="F3534" s="22" t="str">
        <f>IF(OR(E3534="",E3534="!!!"),"",IF(NOT(ISNA(VLOOKUP(E3534,E$1:E3533,1,FALSE()))),"OLD",IF(AND(E3534&lt;&gt;"",E3534&lt;&gt;"!!!"),"NEW","")))</f>
        <v> </v>
      </c>
      <c r="G3534" s="23" t="str">
        <f>IF(OR(E3534="",E3534="!!!"),"",IF(OR(J3534=0,AND(J3534=1,K3534=1),AND(J3534=1,I3534="SBJ"),AND(J3534=1,I3534=0)),"?IN_FOCUS",IF(J3534&lt;=2,"?ACTIVATED",IF(J3534&lt;&gt;"","?FAMILIAR",IF(F3534="NEW",IF(ISNA(VLOOKUP(E3534,#REF!,1,FALSE())),"?TYPE_IDENTIFIABLE","?REFERENTIAL"),"_")))))</f>
        <v> </v>
      </c>
      <c r="H3534" s="24" t="str">
        <f>IF(J3534&lt;&gt;1,"",IF(I3534="SBJ","CB","?"))</f>
        <v> </v>
      </c>
      <c r="I3534" s="25" t="str">
        <f>IF(OR(E3534="",E3534="!!!",F3534="NEW"),"",INDEX(B3533:B$2,-1+SUMPRODUCT(MAX(ROW(E3533:E$2)*(E3534=E3533:E$2)))))</f>
        <v> </v>
      </c>
      <c r="J3534" s="25" t="str">
        <f>IF(OR(E3534="",E3534="!!!",F3534="NEW"),"",COUNTBLANK(OFFSET(A$1,,,SUMPRODUCT(MAX(ROW(E$2:E3534)*(E3534=E$2:E3534)))))-COUNTBLANK(OFFSET(A$1,,,SUMPRODUCT(MAX(ROW(E$1:E3533)*(E2=E$1:E3533))))))</f>
        <v> </v>
      </c>
      <c r="K3534" s="25" t="str">
        <f>IF(OR(E3534="",E3534="!!!",F3534="NEW"),"",INDEX(J$1:J3533,SUMPRODUCT(MAX(ROW(E$1:E3533)*(E3534=E$1:E3533)))))</f>
        <v> </v>
      </c>
      <c r="L3534" s="26"/>
    </row>
    <row r="3535" spans="1:12">
      <c r="A3535" s="20" t="s">
        <v>2700</v>
      </c>
      <c r="E3535" s="21">
        <f>IF(D3535="?OLD","!!!","")</f>
        <v/>
      </c>
      <c r="F3535" s="22" t="str">
        <f>IF(OR(E3535="",E3535="!!!"),"",IF(NOT(ISNA(VLOOKUP(E3535,E$1:E3534,1,FALSE()))),"OLD",IF(AND(E3535&lt;&gt;"",E3535&lt;&gt;"!!!"),"NEW","")))</f>
        <v> </v>
      </c>
      <c r="G3535" s="23" t="str">
        <f>IF(OR(E3535="",E3535="!!!"),"",IF(OR(J3535=0,AND(J3535=1,K3535=1),AND(J3535=1,I3535="SBJ"),AND(J3535=1,I3535=0)),"?IN_FOCUS",IF(J3535&lt;=2,"?ACTIVATED",IF(J3535&lt;&gt;"","?FAMILIAR",IF(F3535="NEW",IF(ISNA(VLOOKUP(E3535,#REF!,1,FALSE())),"?TYPE_IDENTIFIABLE","?REFERENTIAL"),"_")))))</f>
        <v> </v>
      </c>
      <c r="H3535" s="24" t="str">
        <f>IF(J3535&lt;&gt;1,"",IF(I3535="SBJ","CB","?"))</f>
        <v> </v>
      </c>
      <c r="I3535" s="25" t="str">
        <f>IF(OR(E3535="",E3535="!!!",F3535="NEW"),"",INDEX(B3534:B$2,-1+SUMPRODUCT(MAX(ROW(E3534:E$2)*(E3535=E3534:E$2)))))</f>
        <v> </v>
      </c>
      <c r="J3535" s="25" t="str">
        <f>IF(OR(E3535="",E3535="!!!",F3535="NEW"),"",COUNTBLANK(OFFSET(A$1,,,SUMPRODUCT(MAX(ROW(E$2:E3535)*(E3535=E$2:E3535)))))-COUNTBLANK(OFFSET(A$1,,,SUMPRODUCT(MAX(ROW(E$1:E3534)*(E2=E$1:E3534))))))</f>
        <v> </v>
      </c>
      <c r="K3535" s="25" t="str">
        <f>IF(OR(E3535="",E3535="!!!",F3535="NEW"),"",INDEX(J$1:J3534,SUMPRODUCT(MAX(ROW(E$1:E3534)*(E3535=E$1:E3534)))))</f>
        <v> </v>
      </c>
      <c r="L3535" s="26"/>
    </row>
    <row r="3536" spans="1:12">
      <c r="A3536" s="20" t="s">
        <v>2701</v>
      </c>
      <c r="B3536" s="27" t="s">
        <v>1213</v>
      </c>
      <c r="C3536" s="27" t="s">
        <v>1108</v>
      </c>
      <c r="D3536" s="27" t="s">
        <v>1105</v>
      </c>
      <c r="E3536" s="21">
        <f>IF(D3536="?OLD","!!!","")</f>
        <v/>
      </c>
      <c r="F3536" s="22" t="str">
        <f>IF(OR(E3536="",E3536="!!!"),"",IF(NOT(ISNA(VLOOKUP(E3536,E$1:E3535,1,FALSE()))),"OLD",IF(AND(E3536&lt;&gt;"",E3536&lt;&gt;"!!!"),"NEW","")))</f>
        <v> </v>
      </c>
      <c r="G3536" s="23" t="str">
        <f>IF(OR(E3536="",E3536="!!!"),"",IF(OR(J3536=0,AND(J3536=1,K3536=1),AND(J3536=1,I3536="SBJ"),AND(J3536=1,I3536=0)),"?IN_FOCUS",IF(J3536&lt;=2,"?ACTIVATED",IF(J3536&lt;&gt;"","?FAMILIAR",IF(F3536="NEW",IF(ISNA(VLOOKUP(E3536,#REF!,1,FALSE())),"?TYPE_IDENTIFIABLE","?REFERENTIAL"),"_")))))</f>
        <v> </v>
      </c>
      <c r="H3536" s="24" t="str">
        <f>IF(J3536&lt;&gt;1,"",IF(I3536="SBJ","CB","?"))</f>
        <v> </v>
      </c>
      <c r="I3536" s="25" t="str">
        <f>IF(OR(E3536="",E3536="!!!",F3536="NEW"),"",INDEX(B3535:B$2,-1+SUMPRODUCT(MAX(ROW(E3535:E$2)*(E3536=E3535:E$2)))))</f>
        <v> </v>
      </c>
      <c r="J3536" s="25" t="str">
        <f>IF(OR(E3536="",E3536="!!!",F3536="NEW"),"",COUNTBLANK(OFFSET(A$1,,,SUMPRODUCT(MAX(ROW(E$2:E3536)*(E3536=E$2:E3536)))))-COUNTBLANK(OFFSET(A$1,,,SUMPRODUCT(MAX(ROW(E$1:E3535)*(E2=E$1:E3535))))))</f>
        <v> </v>
      </c>
      <c r="K3536" s="25" t="str">
        <f>IF(OR(E3536="",E3536="!!!",F3536="NEW"),"",INDEX(J$1:J3535,SUMPRODUCT(MAX(ROW(E$1:E3535)*(E3536=E$1:E3535)))))</f>
        <v> </v>
      </c>
      <c r="L3536" s="26"/>
    </row>
    <row r="3537" spans="1:12">
      <c r="A3537" s="20" t="s">
        <v>2702</v>
      </c>
      <c r="E3537" s="21">
        <f>IF(D3537="?OLD","!!!","")</f>
        <v/>
      </c>
      <c r="F3537" s="22" t="str">
        <f>IF(OR(E3537="",E3537="!!!"),"",IF(NOT(ISNA(VLOOKUP(E3537,E$1:E3536,1,FALSE()))),"OLD",IF(AND(E3537&lt;&gt;"",E3537&lt;&gt;"!!!"),"NEW","")))</f>
        <v> </v>
      </c>
      <c r="G3537" s="23" t="str">
        <f>IF(OR(E3537="",E3537="!!!"),"",IF(OR(J3537=0,AND(J3537=1,K3537=1),AND(J3537=1,I3537="SBJ"),AND(J3537=1,I3537=0)),"?IN_FOCUS",IF(J3537&lt;=2,"?ACTIVATED",IF(J3537&lt;&gt;"","?FAMILIAR",IF(F3537="NEW",IF(ISNA(VLOOKUP(E3537,#REF!,1,FALSE())),"?TYPE_IDENTIFIABLE","?REFERENTIAL"),"_")))))</f>
        <v> </v>
      </c>
      <c r="H3537" s="24" t="str">
        <f>IF(J3537&lt;&gt;1,"",IF(I3537="SBJ","CB","?"))</f>
        <v> </v>
      </c>
      <c r="I3537" s="25" t="str">
        <f>IF(OR(E3537="",E3537="!!!",F3537="NEW"),"",INDEX(B3536:B$2,-1+SUMPRODUCT(MAX(ROW(E3536:E$2)*(E3537=E3536:E$2)))))</f>
        <v> </v>
      </c>
      <c r="J3537" s="25" t="str">
        <f>IF(OR(E3537="",E3537="!!!",F3537="NEW"),"",COUNTBLANK(OFFSET(A$1,,,SUMPRODUCT(MAX(ROW(E$2:E3537)*(E3537=E$2:E3537)))))-COUNTBLANK(OFFSET(A$1,,,SUMPRODUCT(MAX(ROW(E$1:E3536)*(E2=E$1:E3536))))))</f>
        <v> </v>
      </c>
      <c r="K3537" s="25" t="str">
        <f>IF(OR(E3537="",E3537="!!!",F3537="NEW"),"",INDEX(J$1:J3536,SUMPRODUCT(MAX(ROW(E$1:E3536)*(E3537=E$1:E3536)))))</f>
        <v> </v>
      </c>
      <c r="L3537" s="26"/>
    </row>
    <row r="3538" spans="1:12">
      <c r="A3538" s="20" t="s">
        <v>2703</v>
      </c>
      <c r="E3538" s="21">
        <f>IF(D3538="?OLD","!!!","")</f>
        <v/>
      </c>
      <c r="F3538" s="22" t="str">
        <f>IF(OR(E3538="",E3538="!!!"),"",IF(NOT(ISNA(VLOOKUP(E3538,E$1:E3537,1,FALSE()))),"OLD",IF(AND(E3538&lt;&gt;"",E3538&lt;&gt;"!!!"),"NEW","")))</f>
        <v> </v>
      </c>
      <c r="G3538" s="23" t="str">
        <f>IF(OR(E3538="",E3538="!!!"),"",IF(OR(J3538=0,AND(J3538=1,K3538=1),AND(J3538=1,I3538="SBJ"),AND(J3538=1,I3538=0)),"?IN_FOCUS",IF(J3538&lt;=2,"?ACTIVATED",IF(J3538&lt;&gt;"","?FAMILIAR",IF(F3538="NEW",IF(ISNA(VLOOKUP(E3538,#REF!,1,FALSE())),"?TYPE_IDENTIFIABLE","?REFERENTIAL"),"_")))))</f>
        <v> </v>
      </c>
      <c r="H3538" s="24" t="str">
        <f>IF(J3538&lt;&gt;1,"",IF(I3538="SBJ","CB","?"))</f>
        <v> </v>
      </c>
      <c r="I3538" s="25" t="str">
        <f>IF(OR(E3538="",E3538="!!!",F3538="NEW"),"",INDEX(B3537:B$2,-1+SUMPRODUCT(MAX(ROW(E3537:E$2)*(E3538=E3537:E$2)))))</f>
        <v> </v>
      </c>
      <c r="J3538" s="25" t="str">
        <f>IF(OR(E3538="",E3538="!!!",F3538="NEW"),"",COUNTBLANK(OFFSET(A$1,,,SUMPRODUCT(MAX(ROW(E$2:E3538)*(E3538=E$2:E3538)))))-COUNTBLANK(OFFSET(A$1,,,SUMPRODUCT(MAX(ROW(E$1:E3537)*(E2=E$1:E3537))))))</f>
        <v> </v>
      </c>
      <c r="K3538" s="25" t="str">
        <f>IF(OR(E3538="",E3538="!!!",F3538="NEW"),"",INDEX(J$1:J3537,SUMPRODUCT(MAX(ROW(E$1:E3537)*(E3538=E$1:E3537)))))</f>
        <v> </v>
      </c>
      <c r="L3538" s="26"/>
    </row>
    <row r="3539" spans="1:12">
      <c r="A3539" s="20" t="s">
        <v>95</v>
      </c>
      <c r="B3539" s="27" t="s">
        <v>1107</v>
      </c>
      <c r="C3539" s="27" t="s">
        <v>1108</v>
      </c>
      <c r="D3539" s="27" t="s">
        <v>1105</v>
      </c>
      <c r="E3539" s="21">
        <f>IF(D3539="?OLD","!!!","")</f>
        <v/>
      </c>
      <c r="F3539" s="22" t="str">
        <f>IF(OR(E3539="",E3539="!!!"),"",IF(NOT(ISNA(VLOOKUP(E3539,E$1:E3538,1,FALSE()))),"OLD",IF(AND(E3539&lt;&gt;"",E3539&lt;&gt;"!!!"),"NEW","")))</f>
        <v> </v>
      </c>
      <c r="G3539" s="23" t="str">
        <f>IF(OR(E3539="",E3539="!!!"),"",IF(OR(J3539=0,AND(J3539=1,K3539=1),AND(J3539=1,I3539="SBJ"),AND(J3539=1,I3539=0)),"?IN_FOCUS",IF(J3539&lt;=2,"?ACTIVATED",IF(J3539&lt;&gt;"","?FAMILIAR",IF(F3539="NEW",IF(ISNA(VLOOKUP(E3539,#REF!,1,FALSE())),"?TYPE_IDENTIFIABLE","?REFERENTIAL"),"_")))))</f>
        <v> </v>
      </c>
      <c r="H3539" s="24" t="str">
        <f>IF(J3539&lt;&gt;1,"",IF(I3539="SBJ","CB","?"))</f>
        <v> </v>
      </c>
      <c r="I3539" s="25" t="str">
        <f>IF(OR(E3539="",E3539="!!!",F3539="NEW"),"",INDEX(B3538:B$2,-1+SUMPRODUCT(MAX(ROW(E3538:E$2)*(E3539=E3538:E$2)))))</f>
        <v> </v>
      </c>
      <c r="J3539" s="25" t="str">
        <f>IF(OR(E3539="",E3539="!!!",F3539="NEW"),"",COUNTBLANK(OFFSET(A$1,,,SUMPRODUCT(MAX(ROW(E$2:E3539)*(E3539=E$2:E3539)))))-COUNTBLANK(OFFSET(A$1,,,SUMPRODUCT(MAX(ROW(E$1:E3538)*(E2=E$1:E3538))))))</f>
        <v> </v>
      </c>
      <c r="K3539" s="25" t="str">
        <f>IF(OR(E3539="",E3539="!!!",F3539="NEW"),"",INDEX(J$1:J3538,SUMPRODUCT(MAX(ROW(E$1:E3538)*(E3539=E$1:E3538)))))</f>
        <v> </v>
      </c>
      <c r="L3539" s="26"/>
    </row>
    <row r="3540" spans="1:12">
      <c r="A3540" s="20" t="s">
        <v>1123</v>
      </c>
      <c r="E3540" s="21">
        <f>IF(D3540="?OLD","!!!","")</f>
        <v/>
      </c>
      <c r="F3540" s="22" t="str">
        <f>IF(OR(E3540="",E3540="!!!"),"",IF(NOT(ISNA(VLOOKUP(E3540,E$1:E3539,1,FALSE()))),"OLD",IF(AND(E3540&lt;&gt;"",E3540&lt;&gt;"!!!"),"NEW","")))</f>
        <v> </v>
      </c>
      <c r="G3540" s="23" t="str">
        <f>IF(OR(E3540="",E3540="!!!"),"",IF(OR(J3540=0,AND(J3540=1,K3540=1),AND(J3540=1,I3540="SBJ"),AND(J3540=1,I3540=0)),"?IN_FOCUS",IF(J3540&lt;=2,"?ACTIVATED",IF(J3540&lt;&gt;"","?FAMILIAR",IF(F3540="NEW",IF(ISNA(VLOOKUP(E3540,#REF!,1,FALSE())),"?TYPE_IDENTIFIABLE","?REFERENTIAL"),"_")))))</f>
        <v> </v>
      </c>
      <c r="H3540" s="24" t="str">
        <f>IF(J3540&lt;&gt;1,"",IF(I3540="SBJ","CB","?"))</f>
        <v> </v>
      </c>
      <c r="I3540" s="25" t="str">
        <f>IF(OR(E3540="",E3540="!!!",F3540="NEW"),"",INDEX(B3539:B$2,-1+SUMPRODUCT(MAX(ROW(E3539:E$2)*(E3540=E3539:E$2)))))</f>
        <v> </v>
      </c>
      <c r="J3540" s="25" t="str">
        <f>IF(OR(E3540="",E3540="!!!",F3540="NEW"),"",COUNTBLANK(OFFSET(A$1,,,SUMPRODUCT(MAX(ROW(E$2:E3540)*(E3540=E$2:E3540)))))-COUNTBLANK(OFFSET(A$1,,,SUMPRODUCT(MAX(ROW(E$1:E3539)*(E2=E$1:E3539))))))</f>
        <v> </v>
      </c>
      <c r="K3540" s="25" t="str">
        <f>IF(OR(E3540="",E3540="!!!",F3540="NEW"),"",INDEX(J$1:J3539,SUMPRODUCT(MAX(ROW(E$1:E3539)*(E3540=E$1:E3539)))))</f>
        <v> </v>
      </c>
      <c r="L3540" s="26"/>
    </row>
    <row r="3541" spans="1:12">
      <c r="A3541" s="20" t="s">
        <v>1224</v>
      </c>
      <c r="E3541" s="21">
        <f>IF(D3541="?OLD","!!!","")</f>
        <v/>
      </c>
      <c r="F3541" s="22" t="str">
        <f>IF(OR(E3541="",E3541="!!!"),"",IF(NOT(ISNA(VLOOKUP(E3541,E$1:E3540,1,FALSE()))),"OLD",IF(AND(E3541&lt;&gt;"",E3541&lt;&gt;"!!!"),"NEW","")))</f>
        <v> </v>
      </c>
      <c r="G3541" s="23" t="str">
        <f>IF(OR(E3541="",E3541="!!!"),"",IF(OR(J3541=0,AND(J3541=1,K3541=1),AND(J3541=1,I3541="SBJ"),AND(J3541=1,I3541=0)),"?IN_FOCUS",IF(J3541&lt;=2,"?ACTIVATED",IF(J3541&lt;&gt;"","?FAMILIAR",IF(F3541="NEW",IF(ISNA(VLOOKUP(E3541,#REF!,1,FALSE())),"?TYPE_IDENTIFIABLE","?REFERENTIAL"),"_")))))</f>
        <v> </v>
      </c>
      <c r="H3541" s="24" t="str">
        <f>IF(J3541&lt;&gt;1,"",IF(I3541="SBJ","CB","?"))</f>
        <v> </v>
      </c>
      <c r="I3541" s="25" t="str">
        <f>IF(OR(E3541="",E3541="!!!",F3541="NEW"),"",INDEX(B3540:B$2,-1+SUMPRODUCT(MAX(ROW(E3540:E$2)*(E3541=E3540:E$2)))))</f>
        <v> </v>
      </c>
      <c r="J3541" s="25" t="str">
        <f>IF(OR(E3541="",E3541="!!!",F3541="NEW"),"",COUNTBLANK(OFFSET(A$1,,,SUMPRODUCT(MAX(ROW(E$2:E3541)*(E3541=E$2:E3541)))))-COUNTBLANK(OFFSET(A$1,,,SUMPRODUCT(MAX(ROW(E$1:E3540)*(E2=E$1:E3540))))))</f>
        <v> </v>
      </c>
      <c r="K3541" s="25" t="str">
        <f>IF(OR(E3541="",E3541="!!!",F3541="NEW"),"",INDEX(J$1:J3540,SUMPRODUCT(MAX(ROW(E$1:E3540)*(E3541=E$1:E3540)))))</f>
        <v> </v>
      </c>
      <c r="L3541" s="26"/>
    </row>
    <row r="3542" spans="1:12">
      <c r="A3542" s="20" t="s">
        <v>1328</v>
      </c>
      <c r="E3542" s="21">
        <f>IF(D3542="?OLD","!!!","")</f>
        <v/>
      </c>
      <c r="F3542" s="22" t="str">
        <f>IF(OR(E3542="",E3542="!!!"),"",IF(NOT(ISNA(VLOOKUP(E3542,E$1:E3541,1,FALSE()))),"OLD",IF(AND(E3542&lt;&gt;"",E3542&lt;&gt;"!!!"),"NEW","")))</f>
        <v> </v>
      </c>
      <c r="G3542" s="23" t="str">
        <f>IF(OR(E3542="",E3542="!!!"),"",IF(OR(J3542=0,AND(J3542=1,K3542=1),AND(J3542=1,I3542="SBJ"),AND(J3542=1,I3542=0)),"?IN_FOCUS",IF(J3542&lt;=2,"?ACTIVATED",IF(J3542&lt;&gt;"","?FAMILIAR",IF(F3542="NEW",IF(ISNA(VLOOKUP(E3542,#REF!,1,FALSE())),"?TYPE_IDENTIFIABLE","?REFERENTIAL"),"_")))))</f>
        <v> </v>
      </c>
      <c r="H3542" s="24" t="str">
        <f>IF(J3542&lt;&gt;1,"",IF(I3542="SBJ","CB","?"))</f>
        <v> </v>
      </c>
      <c r="I3542" s="25" t="str">
        <f>IF(OR(E3542="",E3542="!!!",F3542="NEW"),"",INDEX(B3541:B$2,-1+SUMPRODUCT(MAX(ROW(E3541:E$2)*(E3542=E3541:E$2)))))</f>
        <v> </v>
      </c>
      <c r="J3542" s="25" t="str">
        <f>IF(OR(E3542="",E3542="!!!",F3542="NEW"),"",COUNTBLANK(OFFSET(A$1,,,SUMPRODUCT(MAX(ROW(E$2:E3542)*(E3542=E$2:E3542)))))-COUNTBLANK(OFFSET(A$1,,,SUMPRODUCT(MAX(ROW(E$1:E3541)*(E2=E$1:E3541))))))</f>
        <v> </v>
      </c>
      <c r="K3542" s="25" t="str">
        <f>IF(OR(E3542="",E3542="!!!",F3542="NEW"),"",INDEX(J$1:J3541,SUMPRODUCT(MAX(ROW(E$1:E3541)*(E3542=E$1:E3541)))))</f>
        <v> </v>
      </c>
      <c r="L3542" s="26"/>
    </row>
    <row r="3543" spans="1:12">
      <c r="A3543" s="20" t="s">
        <v>2681</v>
      </c>
      <c r="E3543" s="21">
        <f>IF(D3543="?OLD","!!!","")</f>
        <v/>
      </c>
      <c r="F3543" s="22" t="str">
        <f>IF(OR(E3543="",E3543="!!!"),"",IF(NOT(ISNA(VLOOKUP(E3543,E$1:E3542,1,FALSE()))),"OLD",IF(AND(E3543&lt;&gt;"",E3543&lt;&gt;"!!!"),"NEW","")))</f>
        <v> </v>
      </c>
      <c r="G3543" s="23" t="str">
        <f>IF(OR(E3543="",E3543="!!!"),"",IF(OR(J3543=0,AND(J3543=1,K3543=1),AND(J3543=1,I3543="SBJ"),AND(J3543=1,I3543=0)),"?IN_FOCUS",IF(J3543&lt;=2,"?ACTIVATED",IF(J3543&lt;&gt;"","?FAMILIAR",IF(F3543="NEW",IF(ISNA(VLOOKUP(E3543,#REF!,1,FALSE())),"?TYPE_IDENTIFIABLE","?REFERENTIAL"),"_")))))</f>
        <v> </v>
      </c>
      <c r="H3543" s="24" t="str">
        <f>IF(J3543&lt;&gt;1,"",IF(I3543="SBJ","CB","?"))</f>
        <v> </v>
      </c>
      <c r="I3543" s="25" t="str">
        <f>IF(OR(E3543="",E3543="!!!",F3543="NEW"),"",INDEX(B3542:B$2,-1+SUMPRODUCT(MAX(ROW(E3542:E$2)*(E3543=E3542:E$2)))))</f>
        <v> </v>
      </c>
      <c r="J3543" s="25" t="str">
        <f>IF(OR(E3543="",E3543="!!!",F3543="NEW"),"",COUNTBLANK(OFFSET(A$1,,,SUMPRODUCT(MAX(ROW(E$2:E3543)*(E3543=E$2:E3543)))))-COUNTBLANK(OFFSET(A$1,,,SUMPRODUCT(MAX(ROW(E$1:E3542)*(E2=E$1:E3542))))))</f>
        <v> </v>
      </c>
      <c r="K3543" s="25" t="str">
        <f>IF(OR(E3543="",E3543="!!!",F3543="NEW"),"",INDEX(J$1:J3542,SUMPRODUCT(MAX(ROW(E$1:E3542)*(E3543=E$1:E3542)))))</f>
        <v> </v>
      </c>
      <c r="L3543" s="26"/>
    </row>
    <row r="3544" spans="1:12">
      <c r="A3544" s="20" t="s">
        <v>1130</v>
      </c>
      <c r="E3544" s="21">
        <f>IF(D3544="?OLD","!!!","")</f>
        <v/>
      </c>
      <c r="F3544" s="22" t="str">
        <f>IF(OR(E3544="",E3544="!!!"),"",IF(NOT(ISNA(VLOOKUP(E3544,E$1:E3543,1,FALSE()))),"OLD",IF(AND(E3544&lt;&gt;"",E3544&lt;&gt;"!!!"),"NEW","")))</f>
        <v> </v>
      </c>
      <c r="G3544" s="23" t="str">
        <f>IF(OR(E3544="",E3544="!!!"),"",IF(OR(J3544=0,AND(J3544=1,K3544=1),AND(J3544=1,I3544="SBJ"),AND(J3544=1,I3544=0)),"?IN_FOCUS",IF(J3544&lt;=2,"?ACTIVATED",IF(J3544&lt;&gt;"","?FAMILIAR",IF(F3544="NEW",IF(ISNA(VLOOKUP(E3544,#REF!,1,FALSE())),"?TYPE_IDENTIFIABLE","?REFERENTIAL"),"_")))))</f>
        <v> </v>
      </c>
      <c r="H3544" s="24" t="str">
        <f>IF(J3544&lt;&gt;1,"",IF(I3544="SBJ","CB","?"))</f>
        <v> </v>
      </c>
      <c r="I3544" s="25" t="str">
        <f>IF(OR(E3544="",E3544="!!!",F3544="NEW"),"",INDEX(B3543:B$2,-1+SUMPRODUCT(MAX(ROW(E3543:E$2)*(E3544=E3543:E$2)))))</f>
        <v> </v>
      </c>
      <c r="J3544" s="25" t="str">
        <f>IF(OR(E3544="",E3544="!!!",F3544="NEW"),"",COUNTBLANK(OFFSET(A$1,,,SUMPRODUCT(MAX(ROW(E$2:E3544)*(E3544=E$2:E3544)))))-COUNTBLANK(OFFSET(A$1,,,SUMPRODUCT(MAX(ROW(E$1:E3543)*(E2=E$1:E3543))))))</f>
        <v> </v>
      </c>
      <c r="K3544" s="25" t="str">
        <f>IF(OR(E3544="",E3544="!!!",F3544="NEW"),"",INDEX(J$1:J3543,SUMPRODUCT(MAX(ROW(E$1:E3543)*(E3544=E$1:E3543)))))</f>
        <v> </v>
      </c>
      <c r="L3544" s="26"/>
    </row>
    <row r="3545" spans="1:12">
      <c r="A3545" s="20" t="s">
        <v>2704</v>
      </c>
      <c r="B3545" s="27" t="s">
        <v>1132</v>
      </c>
      <c r="C3545" s="27" t="s">
        <v>1104</v>
      </c>
      <c r="D3545" s="27" t="s">
        <v>1105</v>
      </c>
      <c r="E3545" s="21">
        <f>IF(D3545="?OLD","!!!","")</f>
        <v/>
      </c>
      <c r="F3545" s="22" t="str">
        <f>IF(OR(E3545="",E3545="!!!"),"",IF(NOT(ISNA(VLOOKUP(E3545,E$1:E3544,1,FALSE()))),"OLD",IF(AND(E3545&lt;&gt;"",E3545&lt;&gt;"!!!"),"NEW","")))</f>
        <v> </v>
      </c>
      <c r="G3545" s="23" t="str">
        <f>IF(OR(E3545="",E3545="!!!"),"",IF(OR(J3545=0,AND(J3545=1,K3545=1),AND(J3545=1,I3545="SBJ"),AND(J3545=1,I3545=0)),"?IN_FOCUS",IF(J3545&lt;=2,"?ACTIVATED",IF(J3545&lt;&gt;"","?FAMILIAR",IF(F3545="NEW",IF(ISNA(VLOOKUP(E3545,#REF!,1,FALSE())),"?TYPE_IDENTIFIABLE","?REFERENTIAL"),"_")))))</f>
        <v> </v>
      </c>
      <c r="H3545" s="24" t="str">
        <f>IF(J3545&lt;&gt;1,"",IF(I3545="SBJ","CB","?"))</f>
        <v> </v>
      </c>
      <c r="I3545" s="25" t="str">
        <f>IF(OR(E3545="",E3545="!!!",F3545="NEW"),"",INDEX(B3544:B$2,-1+SUMPRODUCT(MAX(ROW(E3544:E$2)*(E3545=E3544:E$2)))))</f>
        <v> </v>
      </c>
      <c r="J3545" s="25" t="str">
        <f>IF(OR(E3545="",E3545="!!!",F3545="NEW"),"",COUNTBLANK(OFFSET(A$1,,,SUMPRODUCT(MAX(ROW(E$2:E3545)*(E3545=E$2:E3545)))))-COUNTBLANK(OFFSET(A$1,,,SUMPRODUCT(MAX(ROW(E$1:E3544)*(E2=E$1:E3544))))))</f>
        <v> </v>
      </c>
      <c r="K3545" s="25" t="str">
        <f>IF(OR(E3545="",E3545="!!!",F3545="NEW"),"",INDEX(J$1:J3544,SUMPRODUCT(MAX(ROW(E$1:E3544)*(E3545=E$1:E3544)))))</f>
        <v> </v>
      </c>
      <c r="L3545" s="26"/>
    </row>
    <row r="3546" spans="1:12">
      <c r="A3546" s="20" t="s">
        <v>1506</v>
      </c>
      <c r="B3546" s="27" t="s">
        <v>1141</v>
      </c>
      <c r="C3546" s="27" t="s">
        <v>1108</v>
      </c>
      <c r="D3546" s="27" t="s">
        <v>1105</v>
      </c>
      <c r="E3546" s="21">
        <f>IF(D3546="?OLD","!!!","")</f>
        <v/>
      </c>
      <c r="F3546" s="22" t="str">
        <f>IF(OR(E3546="",E3546="!!!"),"",IF(NOT(ISNA(VLOOKUP(E3546,E$1:E3545,1,FALSE()))),"OLD",IF(AND(E3546&lt;&gt;"",E3546&lt;&gt;"!!!"),"NEW","")))</f>
        <v> </v>
      </c>
      <c r="G3546" s="23" t="str">
        <f>IF(OR(E3546="",E3546="!!!"),"",IF(OR(J3546=0,AND(J3546=1,K3546=1),AND(J3546=1,I3546="SBJ"),AND(J3546=1,I3546=0)),"?IN_FOCUS",IF(J3546&lt;=2,"?ACTIVATED",IF(J3546&lt;&gt;"","?FAMILIAR",IF(F3546="NEW",IF(ISNA(VLOOKUP(E3546,#REF!,1,FALSE())),"?TYPE_IDENTIFIABLE","?REFERENTIAL"),"_")))))</f>
        <v> </v>
      </c>
      <c r="H3546" s="24" t="str">
        <f>IF(J3546&lt;&gt;1,"",IF(I3546="SBJ","CB","?"))</f>
        <v> </v>
      </c>
      <c r="I3546" s="25" t="str">
        <f>IF(OR(E3546="",E3546="!!!",F3546="NEW"),"",INDEX(B3545:B$2,-1+SUMPRODUCT(MAX(ROW(E3545:E$2)*(E3546=E3545:E$2)))))</f>
        <v> </v>
      </c>
      <c r="J3546" s="25" t="str">
        <f>IF(OR(E3546="",E3546="!!!",F3546="NEW"),"",COUNTBLANK(OFFSET(A$1,,,SUMPRODUCT(MAX(ROW(E$2:E3546)*(E3546=E$2:E3546)))))-COUNTBLANK(OFFSET(A$1,,,SUMPRODUCT(MAX(ROW(E$1:E3545)*(E2=E$1:E3545))))))</f>
        <v> </v>
      </c>
      <c r="K3546" s="25" t="str">
        <f>IF(OR(E3546="",E3546="!!!",F3546="NEW"),"",INDEX(J$1:J3545,SUMPRODUCT(MAX(ROW(E$1:E3545)*(E3546=E$1:E3545)))))</f>
        <v> </v>
      </c>
      <c r="L3546" s="26"/>
    </row>
    <row r="3547" spans="1:12">
      <c r="A3547" s="20" t="s">
        <v>2705</v>
      </c>
      <c r="E3547" s="21">
        <f>IF(D3547="?OLD","!!!","")</f>
        <v/>
      </c>
      <c r="F3547" s="22" t="str">
        <f>IF(OR(E3547="",E3547="!!!"),"",IF(NOT(ISNA(VLOOKUP(E3547,E$1:E3546,1,FALSE()))),"OLD",IF(AND(E3547&lt;&gt;"",E3547&lt;&gt;"!!!"),"NEW","")))</f>
        <v> </v>
      </c>
      <c r="G3547" s="23" t="str">
        <f>IF(OR(E3547="",E3547="!!!"),"",IF(OR(J3547=0,AND(J3547=1,K3547=1),AND(J3547=1,I3547="SBJ"),AND(J3547=1,I3547=0)),"?IN_FOCUS",IF(J3547&lt;=2,"?ACTIVATED",IF(J3547&lt;&gt;"","?FAMILIAR",IF(F3547="NEW",IF(ISNA(VLOOKUP(E3547,#REF!,1,FALSE())),"?TYPE_IDENTIFIABLE","?REFERENTIAL"),"_")))))</f>
        <v> </v>
      </c>
      <c r="H3547" s="24" t="str">
        <f>IF(J3547&lt;&gt;1,"",IF(I3547="SBJ","CB","?"))</f>
        <v> </v>
      </c>
      <c r="I3547" s="25" t="str">
        <f>IF(OR(E3547="",E3547="!!!",F3547="NEW"),"",INDEX(B3546:B$2,-1+SUMPRODUCT(MAX(ROW(E3546:E$2)*(E3547=E3546:E$2)))))</f>
        <v> </v>
      </c>
      <c r="J3547" s="25" t="str">
        <f>IF(OR(E3547="",E3547="!!!",F3547="NEW"),"",COUNTBLANK(OFFSET(A$1,,,SUMPRODUCT(MAX(ROW(E$2:E3547)*(E3547=E$2:E3547)))))-COUNTBLANK(OFFSET(A$1,,,SUMPRODUCT(MAX(ROW(E$1:E3546)*(E2=E$1:E3546))))))</f>
        <v> </v>
      </c>
      <c r="K3547" s="25" t="str">
        <f>IF(OR(E3547="",E3547="!!!",F3547="NEW"),"",INDEX(J$1:J3546,SUMPRODUCT(MAX(ROW(E$1:E3546)*(E3547=E$1:E3546)))))</f>
        <v> </v>
      </c>
      <c r="L3547" s="26"/>
    </row>
    <row r="3548" spans="1:12">
      <c r="A3548" s="20" t="s">
        <v>1184</v>
      </c>
      <c r="E3548" s="21">
        <f>IF(D3548="?OLD","!!!","")</f>
        <v/>
      </c>
      <c r="F3548" s="22" t="str">
        <f>IF(OR(E3548="",E3548="!!!"),"",IF(NOT(ISNA(VLOOKUP(E3548,E$1:E3547,1,FALSE()))),"OLD",IF(AND(E3548&lt;&gt;"",E3548&lt;&gt;"!!!"),"NEW","")))</f>
        <v> </v>
      </c>
      <c r="G3548" s="23" t="str">
        <f>IF(OR(E3548="",E3548="!!!"),"",IF(OR(J3548=0,AND(J3548=1,K3548=1),AND(J3548=1,I3548="SBJ"),AND(J3548=1,I3548=0)),"?IN_FOCUS",IF(J3548&lt;=2,"?ACTIVATED",IF(J3548&lt;&gt;"","?FAMILIAR",IF(F3548="NEW",IF(ISNA(VLOOKUP(E3548,#REF!,1,FALSE())),"?TYPE_IDENTIFIABLE","?REFERENTIAL"),"_")))))</f>
        <v> </v>
      </c>
      <c r="H3548" s="24" t="str">
        <f>IF(J3548&lt;&gt;1,"",IF(I3548="SBJ","CB","?"))</f>
        <v> </v>
      </c>
      <c r="I3548" s="25" t="str">
        <f>IF(OR(E3548="",E3548="!!!",F3548="NEW"),"",INDEX(B3547:B$2,-1+SUMPRODUCT(MAX(ROW(E3547:E$2)*(E3548=E3547:E$2)))))</f>
        <v> </v>
      </c>
      <c r="J3548" s="25" t="str">
        <f>IF(OR(E3548="",E3548="!!!",F3548="NEW"),"",COUNTBLANK(OFFSET(A$1,,,SUMPRODUCT(MAX(ROW(E$2:E3548)*(E3548=E$2:E3548)))))-COUNTBLANK(OFFSET(A$1,,,SUMPRODUCT(MAX(ROW(E$1:E3547)*(E2=E$1:E3547))))))</f>
        <v> </v>
      </c>
      <c r="K3548" s="25" t="str">
        <f>IF(OR(E3548="",E3548="!!!",F3548="NEW"),"",INDEX(J$1:J3547,SUMPRODUCT(MAX(ROW(E$1:E3547)*(E3548=E$1:E3547)))))</f>
        <v> </v>
      </c>
      <c r="L3548" s="26"/>
    </row>
    <row r="3549" spans="1:12">
      <c r="A3549" s="20" t="s">
        <v>1303</v>
      </c>
      <c r="B3549" s="27" t="s">
        <v>1107</v>
      </c>
      <c r="C3549" s="27" t="s">
        <v>1108</v>
      </c>
      <c r="D3549" s="27" t="s">
        <v>1105</v>
      </c>
      <c r="E3549" s="21">
        <f>IF(D3549="?OLD","!!!","")</f>
        <v/>
      </c>
      <c r="F3549" s="22" t="str">
        <f>IF(OR(E3549="",E3549="!!!"),"",IF(NOT(ISNA(VLOOKUP(E3549,E$1:E3548,1,FALSE()))),"OLD",IF(AND(E3549&lt;&gt;"",E3549&lt;&gt;"!!!"),"NEW","")))</f>
        <v> </v>
      </c>
      <c r="G3549" s="23" t="str">
        <f>IF(OR(E3549="",E3549="!!!"),"",IF(OR(J3549=0,AND(J3549=1,K3549=1),AND(J3549=1,I3549="SBJ"),AND(J3549=1,I3549=0)),"?IN_FOCUS",IF(J3549&lt;=2,"?ACTIVATED",IF(J3549&lt;&gt;"","?FAMILIAR",IF(F3549="NEW",IF(ISNA(VLOOKUP(E3549,#REF!,1,FALSE())),"?TYPE_IDENTIFIABLE","?REFERENTIAL"),"_")))))</f>
        <v> </v>
      </c>
      <c r="H3549" s="24" t="str">
        <f>IF(J3549&lt;&gt;1,"",IF(I3549="SBJ","CB","?"))</f>
        <v> </v>
      </c>
      <c r="I3549" s="25" t="str">
        <f>IF(OR(E3549="",E3549="!!!",F3549="NEW"),"",INDEX(B3548:B$2,-1+SUMPRODUCT(MAX(ROW(E3548:E$2)*(E3549=E3548:E$2)))))</f>
        <v> </v>
      </c>
      <c r="J3549" s="25" t="str">
        <f>IF(OR(E3549="",E3549="!!!",F3549="NEW"),"",COUNTBLANK(OFFSET(A$1,,,SUMPRODUCT(MAX(ROW(E$2:E3549)*(E3549=E$2:E3549)))))-COUNTBLANK(OFFSET(A$1,,,SUMPRODUCT(MAX(ROW(E$1:E3548)*(E2=E$1:E3548))))))</f>
        <v> </v>
      </c>
      <c r="K3549" s="25" t="str">
        <f>IF(OR(E3549="",E3549="!!!",F3549="NEW"),"",INDEX(J$1:J3548,SUMPRODUCT(MAX(ROW(E$1:E3548)*(E3549=E$1:E3548)))))</f>
        <v> </v>
      </c>
      <c r="L3549" s="26"/>
    </row>
    <row r="3550" spans="1:12">
      <c r="A3550" s="20" t="s">
        <v>11</v>
      </c>
      <c r="E3550" s="21">
        <f>IF(D3550="?OLD","!!!","")</f>
        <v/>
      </c>
      <c r="F3550" s="22" t="str">
        <f>IF(OR(E3550="",E3550="!!!"),"",IF(NOT(ISNA(VLOOKUP(E3550,E$1:E3549,1,FALSE()))),"OLD",IF(AND(E3550&lt;&gt;"",E3550&lt;&gt;"!!!"),"NEW","")))</f>
        <v> </v>
      </c>
      <c r="G3550" s="23" t="str">
        <f>IF(OR(E3550="",E3550="!!!"),"",IF(OR(J3550=0,AND(J3550=1,K3550=1),AND(J3550=1,I3550="SBJ"),AND(J3550=1,I3550=0)),"?IN_FOCUS",IF(J3550&lt;=2,"?ACTIVATED",IF(J3550&lt;&gt;"","?FAMILIAR",IF(F3550="NEW",IF(ISNA(VLOOKUP(E3550,#REF!,1,FALSE())),"?TYPE_IDENTIFIABLE","?REFERENTIAL"),"_")))))</f>
        <v> </v>
      </c>
      <c r="H3550" s="24" t="str">
        <f>IF(J3550&lt;&gt;1,"",IF(I3550="SBJ","CB","?"))</f>
        <v> </v>
      </c>
      <c r="I3550" s="25" t="str">
        <f>IF(OR(E3550="",E3550="!!!",F3550="NEW"),"",INDEX(B3549:B$2,-1+SUMPRODUCT(MAX(ROW(E3549:E$2)*(E3550=E3549:E$2)))))</f>
        <v> </v>
      </c>
      <c r="J3550" s="25" t="str">
        <f>IF(OR(E3550="",E3550="!!!",F3550="NEW"),"",COUNTBLANK(OFFSET(A$1,,,SUMPRODUCT(MAX(ROW(E$2:E3550)*(E3550=E$2:E3550)))))-COUNTBLANK(OFFSET(A$1,,,SUMPRODUCT(MAX(ROW(E$1:E3549)*(E2=E$1:E3549))))))</f>
        <v> </v>
      </c>
      <c r="K3550" s="25" t="str">
        <f>IF(OR(E3550="",E3550="!!!",F3550="NEW"),"",INDEX(J$1:J3549,SUMPRODUCT(MAX(ROW(E$1:E3549)*(E3550=E$1:E3549)))))</f>
        <v> </v>
      </c>
      <c r="L3550" s="26"/>
    </row>
    <row r="3551" spans="1:12">
      <c r="A3551" s="20" t="s">
        <v>2706</v>
      </c>
      <c r="B3551" s="27" t="s">
        <v>1122</v>
      </c>
      <c r="E3551" s="21">
        <f>IF(D3551="?OLD","!!!","")</f>
        <v/>
      </c>
      <c r="F3551" s="22" t="str">
        <f>IF(OR(E3551="",E3551="!!!"),"",IF(NOT(ISNA(VLOOKUP(E3551,E$1:E3550,1,FALSE()))),"OLD",IF(AND(E3551&lt;&gt;"",E3551&lt;&gt;"!!!"),"NEW","")))</f>
        <v> </v>
      </c>
      <c r="G3551" s="23" t="str">
        <f>IF(OR(E3551="",E3551="!!!"),"",IF(OR(J3551=0,AND(J3551=1,K3551=1),AND(J3551=1,I3551="SBJ"),AND(J3551=1,I3551=0)),"?IN_FOCUS",IF(J3551&lt;=2,"?ACTIVATED",IF(J3551&lt;&gt;"","?FAMILIAR",IF(F3551="NEW",IF(ISNA(VLOOKUP(E3551,#REF!,1,FALSE())),"?TYPE_IDENTIFIABLE","?REFERENTIAL"),"_")))))</f>
        <v> </v>
      </c>
      <c r="H3551" s="24" t="str">
        <f>IF(J3551&lt;&gt;1,"",IF(I3551="SBJ","CB","?"))</f>
        <v> </v>
      </c>
      <c r="I3551" s="25" t="str">
        <f>IF(OR(E3551="",E3551="!!!",F3551="NEW"),"",INDEX(B3550:B$2,-1+SUMPRODUCT(MAX(ROW(E3550:E$2)*(E3551=E3550:E$2)))))</f>
        <v> </v>
      </c>
      <c r="J3551" s="25" t="str">
        <f>IF(OR(E3551="",E3551="!!!",F3551="NEW"),"",COUNTBLANK(OFFSET(A$1,,,SUMPRODUCT(MAX(ROW(E$2:E3551)*(E3551=E$2:E3551)))))-COUNTBLANK(OFFSET(A$1,,,SUMPRODUCT(MAX(ROW(E$1:E3550)*(E2=E$1:E3550))))))</f>
        <v> </v>
      </c>
      <c r="K3551" s="25" t="str">
        <f>IF(OR(E3551="",E3551="!!!",F3551="NEW"),"",INDEX(J$1:J3550,SUMPRODUCT(MAX(ROW(E$1:E3550)*(E3551=E$1:E3550)))))</f>
        <v> </v>
      </c>
      <c r="L3551" s="26"/>
    </row>
    <row r="3552" spans="1:12">
      <c r="A3552" s="20" t="s">
        <v>1145</v>
      </c>
      <c r="E3552" s="21">
        <f>IF(D3552="?OLD","!!!","")</f>
        <v/>
      </c>
      <c r="F3552" s="22" t="str">
        <f>IF(OR(E3552="",E3552="!!!"),"",IF(NOT(ISNA(VLOOKUP(E3552,E$1:E3551,1,FALSE()))),"OLD",IF(AND(E3552&lt;&gt;"",E3552&lt;&gt;"!!!"),"NEW","")))</f>
        <v> </v>
      </c>
      <c r="G3552" s="23" t="str">
        <f>IF(OR(E3552="",E3552="!!!"),"",IF(OR(J3552=0,AND(J3552=1,K3552=1),AND(J3552=1,I3552="SBJ"),AND(J3552=1,I3552=0)),"?IN_FOCUS",IF(J3552&lt;=2,"?ACTIVATED",IF(J3552&lt;&gt;"","?FAMILIAR",IF(F3552="NEW",IF(ISNA(VLOOKUP(E3552,#REF!,1,FALSE())),"?TYPE_IDENTIFIABLE","?REFERENTIAL"),"_")))))</f>
        <v> </v>
      </c>
      <c r="H3552" s="24" t="str">
        <f>IF(J3552&lt;&gt;1,"",IF(I3552="SBJ","CB","?"))</f>
        <v> </v>
      </c>
      <c r="I3552" s="25" t="str">
        <f>IF(OR(E3552="",E3552="!!!",F3552="NEW"),"",INDEX(B3551:B$2,-1+SUMPRODUCT(MAX(ROW(E3551:E$2)*(E3552=E3551:E$2)))))</f>
        <v> </v>
      </c>
      <c r="J3552" s="25" t="str">
        <f>IF(OR(E3552="",E3552="!!!",F3552="NEW"),"",COUNTBLANK(OFFSET(A$1,,,SUMPRODUCT(MAX(ROW(E$2:E3552)*(E3552=E$2:E3552)))))-COUNTBLANK(OFFSET(A$1,,,SUMPRODUCT(MAX(ROW(E$1:E3551)*(E2=E$1:E3551))))))</f>
        <v> </v>
      </c>
      <c r="K3552" s="25" t="str">
        <f>IF(OR(E3552="",E3552="!!!",F3552="NEW"),"",INDEX(J$1:J3551,SUMPRODUCT(MAX(ROW(E$1:E3551)*(E3552=E$1:E3551)))))</f>
        <v> </v>
      </c>
      <c r="L3552" s="26"/>
    </row>
    <row r="3553" spans="1:12">
      <c r="A3553" s="20"/>
    </row>
    <row r="3554" spans="1:12">
      <c r="A3554" s="20" t="s">
        <v>2707</v>
      </c>
    </row>
    <row r="3555" spans="1:12">
      <c r="A3555" s="20" t="s">
        <v>2708</v>
      </c>
      <c r="E3555" s="21">
        <f>IF(D3555="?OLD","!!!","")</f>
        <v/>
      </c>
      <c r="F3555" s="22" t="str">
        <f>IF(OR(E3555="",E3555="!!!"),"",IF(NOT(ISNA(VLOOKUP(E3555,E$1:E3554,1,FALSE()))),"OLD",IF(AND(E3555&lt;&gt;"",E3555&lt;&gt;"!!!"),"NEW","")))</f>
        <v> </v>
      </c>
      <c r="G3555" s="23" t="str">
        <f>IF(OR(E3555="",E3555="!!!"),"",IF(OR(J3555=0,AND(J3555=1,K3555=1),AND(J3555=1,I3555="SBJ"),AND(J3555=1,I3555=0)),"?IN_FOCUS",IF(J3555&lt;=2,"?ACTIVATED",IF(J3555&lt;&gt;"","?FAMILIAR",IF(F3555="NEW",IF(ISNA(VLOOKUP(E3555,#REF!,1,FALSE())),"?TYPE_IDENTIFIABLE","?REFERENTIAL"),"_")))))</f>
        <v> </v>
      </c>
      <c r="H3555" s="24" t="str">
        <f>IF(J3555&lt;&gt;1,"",IF(I3555="SBJ","CB","?"))</f>
        <v> </v>
      </c>
      <c r="I3555" s="25" t="str">
        <f>IF(OR(E3555="",E3555="!!!",F3555="NEW"),"",INDEX(B3554:B$2,-1+SUMPRODUCT(MAX(ROW(E3554:E$2)*(E3555=E3554:E$2)))))</f>
        <v> </v>
      </c>
      <c r="J3555" s="25" t="str">
        <f>IF(OR(E3555="",E3555="!!!",F3555="NEW"),"",COUNTBLANK(OFFSET(A$1,,,SUMPRODUCT(MAX(ROW(E$2:E3555)*(E3555=E$2:E3555)))))-COUNTBLANK(OFFSET(A$1,,,SUMPRODUCT(MAX(ROW(E$1:E3554)*(E2=E$1:E3554))))))</f>
        <v> </v>
      </c>
      <c r="K3555" s="25" t="str">
        <f>IF(OR(E3555="",E3555="!!!",F3555="NEW"),"",INDEX(J$1:J3554,SUMPRODUCT(MAX(ROW(E$1:E3554)*(E3555=E$1:E3554)))))</f>
        <v> </v>
      </c>
      <c r="L3555" s="26"/>
    </row>
    <row r="3556" spans="1:12">
      <c r="A3556" s="20" t="s">
        <v>1195</v>
      </c>
      <c r="E3556" s="21">
        <f>IF(D3556="?OLD","!!!","")</f>
        <v/>
      </c>
      <c r="F3556" s="22" t="str">
        <f>IF(OR(E3556="",E3556="!!!"),"",IF(NOT(ISNA(VLOOKUP(E3556,E$1:E3555,1,FALSE()))),"OLD",IF(AND(E3556&lt;&gt;"",E3556&lt;&gt;"!!!"),"NEW","")))</f>
        <v> </v>
      </c>
      <c r="G3556" s="23" t="str">
        <f>IF(OR(E3556="",E3556="!!!"),"",IF(OR(J3556=0,AND(J3556=1,K3556=1),AND(J3556=1,I3556="SBJ"),AND(J3556=1,I3556=0)),"?IN_FOCUS",IF(J3556&lt;=2,"?ACTIVATED",IF(J3556&lt;&gt;"","?FAMILIAR",IF(F3556="NEW",IF(ISNA(VLOOKUP(E3556,#REF!,1,FALSE())),"?TYPE_IDENTIFIABLE","?REFERENTIAL"),"_")))))</f>
        <v> </v>
      </c>
      <c r="H3556" s="24" t="str">
        <f>IF(J3556&lt;&gt;1,"",IF(I3556="SBJ","CB","?"))</f>
        <v> </v>
      </c>
      <c r="I3556" s="25" t="str">
        <f>IF(OR(E3556="",E3556="!!!",F3556="NEW"),"",INDEX(B3555:B$2,-1+SUMPRODUCT(MAX(ROW(E3555:E$2)*(E3556=E3555:E$2)))))</f>
        <v> </v>
      </c>
      <c r="J3556" s="25" t="str">
        <f>IF(OR(E3556="",E3556="!!!",F3556="NEW"),"",COUNTBLANK(OFFSET(A$1,,,SUMPRODUCT(MAX(ROW(E$2:E3556)*(E3556=E$2:E3556)))))-COUNTBLANK(OFFSET(A$1,,,SUMPRODUCT(MAX(ROW(E$1:E3555)*(E2=E$1:E3555))))))</f>
        <v> </v>
      </c>
      <c r="K3556" s="25" t="str">
        <f>IF(OR(E3556="",E3556="!!!",F3556="NEW"),"",INDEX(J$1:J3555,SUMPRODUCT(MAX(ROW(E$1:E3555)*(E3556=E$1:E3555)))))</f>
        <v> </v>
      </c>
      <c r="L3556" s="26"/>
    </row>
    <row r="3557" spans="1:12">
      <c r="A3557" s="20" t="s">
        <v>1421</v>
      </c>
      <c r="B3557" s="27" t="s">
        <v>1107</v>
      </c>
      <c r="C3557" s="27" t="s">
        <v>1126</v>
      </c>
      <c r="D3557" s="27" t="s">
        <v>1105</v>
      </c>
      <c r="E3557" s="21">
        <f>IF(D3557="?OLD","!!!","")</f>
        <v/>
      </c>
      <c r="F3557" s="22" t="str">
        <f>IF(OR(E3557="",E3557="!!!"),"",IF(NOT(ISNA(VLOOKUP(E3557,E$1:E3556,1,FALSE()))),"OLD",IF(AND(E3557&lt;&gt;"",E3557&lt;&gt;"!!!"),"NEW","")))</f>
        <v> </v>
      </c>
      <c r="G3557" s="23" t="str">
        <f>IF(OR(E3557="",E3557="!!!"),"",IF(OR(J3557=0,AND(J3557=1,K3557=1),AND(J3557=1,I3557="SBJ"),AND(J3557=1,I3557=0)),"?IN_FOCUS",IF(J3557&lt;=2,"?ACTIVATED",IF(J3557&lt;&gt;"","?FAMILIAR",IF(F3557="NEW",IF(ISNA(VLOOKUP(E3557,#REF!,1,FALSE())),"?TYPE_IDENTIFIABLE","?REFERENTIAL"),"_")))))</f>
        <v> </v>
      </c>
      <c r="H3557" s="24" t="str">
        <f>IF(J3557&lt;&gt;1,"",IF(I3557="SBJ","CB","?"))</f>
        <v> </v>
      </c>
      <c r="I3557" s="25" t="str">
        <f>IF(OR(E3557="",E3557="!!!",F3557="NEW"),"",INDEX(B3556:B$2,-1+SUMPRODUCT(MAX(ROW(E3556:E$2)*(E3557=E3556:E$2)))))</f>
        <v> </v>
      </c>
      <c r="J3557" s="25" t="str">
        <f>IF(OR(E3557="",E3557="!!!",F3557="NEW"),"",COUNTBLANK(OFFSET(A$1,,,SUMPRODUCT(MAX(ROW(E$2:E3557)*(E3557=E$2:E3557)))))-COUNTBLANK(OFFSET(A$1,,,SUMPRODUCT(MAX(ROW(E$1:E3556)*(E2=E$1:E3556))))))</f>
        <v> </v>
      </c>
      <c r="K3557" s="25" t="str">
        <f>IF(OR(E3557="",E3557="!!!",F3557="NEW"),"",INDEX(J$1:J3556,SUMPRODUCT(MAX(ROW(E$1:E3556)*(E3557=E$1:E3556)))))</f>
        <v> </v>
      </c>
      <c r="L3557" s="26"/>
    </row>
    <row r="3558" spans="1:12">
      <c r="A3558" s="20" t="s">
        <v>2709</v>
      </c>
      <c r="B3558" s="27" t="s">
        <v>1243</v>
      </c>
      <c r="E3558" s="21">
        <f>IF(D3558="?OLD","!!!","")</f>
        <v/>
      </c>
      <c r="F3558" s="22" t="str">
        <f>IF(OR(E3558="",E3558="!!!"),"",IF(NOT(ISNA(VLOOKUP(E3558,E$1:E3557,1,FALSE()))),"OLD",IF(AND(E3558&lt;&gt;"",E3558&lt;&gt;"!!!"),"NEW","")))</f>
        <v> </v>
      </c>
      <c r="G3558" s="23" t="str">
        <f>IF(OR(E3558="",E3558="!!!"),"",IF(OR(J3558=0,AND(J3558=1,K3558=1),AND(J3558=1,I3558="SBJ"),AND(J3558=1,I3558=0)),"?IN_FOCUS",IF(J3558&lt;=2,"?ACTIVATED",IF(J3558&lt;&gt;"","?FAMILIAR",IF(F3558="NEW",IF(ISNA(VLOOKUP(E3558,#REF!,1,FALSE())),"?TYPE_IDENTIFIABLE","?REFERENTIAL"),"_")))))</f>
        <v> </v>
      </c>
      <c r="H3558" s="24" t="str">
        <f>IF(J3558&lt;&gt;1,"",IF(I3558="SBJ","CB","?"))</f>
        <v> </v>
      </c>
      <c r="I3558" s="25" t="str">
        <f>IF(OR(E3558="",E3558="!!!",F3558="NEW"),"",INDEX(B3557:B$2,-1+SUMPRODUCT(MAX(ROW(E3557:E$2)*(E3558=E3557:E$2)))))</f>
        <v> </v>
      </c>
      <c r="J3558" s="25" t="str">
        <f>IF(OR(E3558="",E3558="!!!",F3558="NEW"),"",COUNTBLANK(OFFSET(A$1,,,SUMPRODUCT(MAX(ROW(E$2:E3558)*(E3558=E$2:E3558)))))-COUNTBLANK(OFFSET(A$1,,,SUMPRODUCT(MAX(ROW(E$1:E3557)*(E2=E$1:E3557))))))</f>
        <v> </v>
      </c>
      <c r="K3558" s="25" t="str">
        <f>IF(OR(E3558="",E3558="!!!",F3558="NEW"),"",INDEX(J$1:J3557,SUMPRODUCT(MAX(ROW(E$1:E3557)*(E3558=E$1:E3557)))))</f>
        <v> </v>
      </c>
      <c r="L3558" s="26"/>
    </row>
    <row r="3559" spans="1:12">
      <c r="A3559" s="20" t="s">
        <v>1492</v>
      </c>
      <c r="E3559" s="21">
        <f>IF(D3559="?OLD","!!!","")</f>
        <v/>
      </c>
      <c r="F3559" s="22" t="str">
        <f>IF(OR(E3559="",E3559="!!!"),"",IF(NOT(ISNA(VLOOKUP(E3559,E$1:E3558,1,FALSE()))),"OLD",IF(AND(E3559&lt;&gt;"",E3559&lt;&gt;"!!!"),"NEW","")))</f>
        <v> </v>
      </c>
      <c r="G3559" s="23" t="str">
        <f>IF(OR(E3559="",E3559="!!!"),"",IF(OR(J3559=0,AND(J3559=1,K3559=1),AND(J3559=1,I3559="SBJ"),AND(J3559=1,I3559=0)),"?IN_FOCUS",IF(J3559&lt;=2,"?ACTIVATED",IF(J3559&lt;&gt;"","?FAMILIAR",IF(F3559="NEW",IF(ISNA(VLOOKUP(E3559,#REF!,1,FALSE())),"?TYPE_IDENTIFIABLE","?REFERENTIAL"),"_")))))</f>
        <v> </v>
      </c>
      <c r="H3559" s="24" t="str">
        <f>IF(J3559&lt;&gt;1,"",IF(I3559="SBJ","CB","?"))</f>
        <v> </v>
      </c>
      <c r="I3559" s="25" t="str">
        <f>IF(OR(E3559="",E3559="!!!",F3559="NEW"),"",INDEX(B3558:B$2,-1+SUMPRODUCT(MAX(ROW(E3558:E$2)*(E3559=E3558:E$2)))))</f>
        <v> </v>
      </c>
      <c r="J3559" s="25" t="str">
        <f>IF(OR(E3559="",E3559="!!!",F3559="NEW"),"",COUNTBLANK(OFFSET(A$1,,,SUMPRODUCT(MAX(ROW(E$2:E3559)*(E3559=E$2:E3559)))))-COUNTBLANK(OFFSET(A$1,,,SUMPRODUCT(MAX(ROW(E$1:E3558)*(E2=E$1:E3558))))))</f>
        <v> </v>
      </c>
      <c r="K3559" s="25" t="str">
        <f>IF(OR(E3559="",E3559="!!!",F3559="NEW"),"",INDEX(J$1:J3558,SUMPRODUCT(MAX(ROW(E$1:E3558)*(E3559=E$1:E3558)))))</f>
        <v> </v>
      </c>
      <c r="L3559" s="26"/>
    </row>
    <row r="3560" spans="1:12">
      <c r="A3560" s="20" t="s">
        <v>1590</v>
      </c>
      <c r="E3560" s="21">
        <f>IF(D3560="?OLD","!!!","")</f>
        <v/>
      </c>
      <c r="F3560" s="22" t="str">
        <f>IF(OR(E3560="",E3560="!!!"),"",IF(NOT(ISNA(VLOOKUP(E3560,E$1:E3559,1,FALSE()))),"OLD",IF(AND(E3560&lt;&gt;"",E3560&lt;&gt;"!!!"),"NEW","")))</f>
        <v> </v>
      </c>
      <c r="G3560" s="23" t="str">
        <f>IF(OR(E3560="",E3560="!!!"),"",IF(OR(J3560=0,AND(J3560=1,K3560=1),AND(J3560=1,I3560="SBJ"),AND(J3560=1,I3560=0)),"?IN_FOCUS",IF(J3560&lt;=2,"?ACTIVATED",IF(J3560&lt;&gt;"","?FAMILIAR",IF(F3560="NEW",IF(ISNA(VLOOKUP(E3560,#REF!,1,FALSE())),"?TYPE_IDENTIFIABLE","?REFERENTIAL"),"_")))))</f>
        <v> </v>
      </c>
      <c r="H3560" s="24" t="str">
        <f>IF(J3560&lt;&gt;1,"",IF(I3560="SBJ","CB","?"))</f>
        <v> </v>
      </c>
      <c r="I3560" s="25" t="str">
        <f>IF(OR(E3560="",E3560="!!!",F3560="NEW"),"",INDEX(B3559:B$2,-1+SUMPRODUCT(MAX(ROW(E3559:E$2)*(E3560=E3559:E$2)))))</f>
        <v> </v>
      </c>
      <c r="J3560" s="25" t="str">
        <f>IF(OR(E3560="",E3560="!!!",F3560="NEW"),"",COUNTBLANK(OFFSET(A$1,,,SUMPRODUCT(MAX(ROW(E$2:E3560)*(E3560=E$2:E3560)))))-COUNTBLANK(OFFSET(A$1,,,SUMPRODUCT(MAX(ROW(E$1:E3559)*(E2=E$1:E3559))))))</f>
        <v> </v>
      </c>
      <c r="K3560" s="25" t="str">
        <f>IF(OR(E3560="",E3560="!!!",F3560="NEW"),"",INDEX(J$1:J3559,SUMPRODUCT(MAX(ROW(E$1:E3559)*(E3560=E$1:E3559)))))</f>
        <v> </v>
      </c>
      <c r="L3560" s="26"/>
    </row>
    <row r="3561" spans="1:12">
      <c r="A3561" s="20" t="s">
        <v>1120</v>
      </c>
      <c r="E3561" s="21">
        <f>IF(D3561="?OLD","!!!","")</f>
        <v/>
      </c>
      <c r="F3561" s="22" t="str">
        <f>IF(OR(E3561="",E3561="!!!"),"",IF(NOT(ISNA(VLOOKUP(E3561,E$1:E3560,1,FALSE()))),"OLD",IF(AND(E3561&lt;&gt;"",E3561&lt;&gt;"!!!"),"NEW","")))</f>
        <v> </v>
      </c>
      <c r="G3561" s="23" t="str">
        <f>IF(OR(E3561="",E3561="!!!"),"",IF(OR(J3561=0,AND(J3561=1,K3561=1),AND(J3561=1,I3561="SBJ"),AND(J3561=1,I3561=0)),"?IN_FOCUS",IF(J3561&lt;=2,"?ACTIVATED",IF(J3561&lt;&gt;"","?FAMILIAR",IF(F3561="NEW",IF(ISNA(VLOOKUP(E3561,#REF!,1,FALSE())),"?TYPE_IDENTIFIABLE","?REFERENTIAL"),"_")))))</f>
        <v> </v>
      </c>
      <c r="H3561" s="24" t="str">
        <f>IF(J3561&lt;&gt;1,"",IF(I3561="SBJ","CB","?"))</f>
        <v> </v>
      </c>
      <c r="I3561" s="25" t="str">
        <f>IF(OR(E3561="",E3561="!!!",F3561="NEW"),"",INDEX(B3560:B$2,-1+SUMPRODUCT(MAX(ROW(E3560:E$2)*(E3561=E3560:E$2)))))</f>
        <v> </v>
      </c>
      <c r="J3561" s="25" t="str">
        <f>IF(OR(E3561="",E3561="!!!",F3561="NEW"),"",COUNTBLANK(OFFSET(A$1,,,SUMPRODUCT(MAX(ROW(E$2:E3561)*(E3561=E$2:E3561)))))-COUNTBLANK(OFFSET(A$1,,,SUMPRODUCT(MAX(ROW(E$1:E3560)*(E2=E$1:E3560))))))</f>
        <v> </v>
      </c>
      <c r="K3561" s="25" t="str">
        <f>IF(OR(E3561="",E3561="!!!",F3561="NEW"),"",INDEX(J$1:J3560,SUMPRODUCT(MAX(ROW(E$1:E3560)*(E3561=E$1:E3560)))))</f>
        <v> </v>
      </c>
      <c r="L3561" s="26"/>
    </row>
    <row r="3562" spans="1:12">
      <c r="A3562" s="20" t="s">
        <v>883</v>
      </c>
      <c r="E3562" s="21">
        <f>IF(D3562="?OLD","!!!","")</f>
        <v/>
      </c>
      <c r="F3562" s="22" t="str">
        <f>IF(OR(E3562="",E3562="!!!"),"",IF(NOT(ISNA(VLOOKUP(E3562,E$1:E3561,1,FALSE()))),"OLD",IF(AND(E3562&lt;&gt;"",E3562&lt;&gt;"!!!"),"NEW","")))</f>
        <v> </v>
      </c>
      <c r="G3562" s="23" t="str">
        <f>IF(OR(E3562="",E3562="!!!"),"",IF(OR(J3562=0,AND(J3562=1,K3562=1),AND(J3562=1,I3562="SBJ"),AND(J3562=1,I3562=0)),"?IN_FOCUS",IF(J3562&lt;=2,"?ACTIVATED",IF(J3562&lt;&gt;"","?FAMILIAR",IF(F3562="NEW",IF(ISNA(VLOOKUP(E3562,#REF!,1,FALSE())),"?TYPE_IDENTIFIABLE","?REFERENTIAL"),"_")))))</f>
        <v> </v>
      </c>
      <c r="H3562" s="24" t="str">
        <f>IF(J3562&lt;&gt;1,"",IF(I3562="SBJ","CB","?"))</f>
        <v> </v>
      </c>
      <c r="I3562" s="25" t="str">
        <f>IF(OR(E3562="",E3562="!!!",F3562="NEW"),"",INDEX(B3561:B$2,-1+SUMPRODUCT(MAX(ROW(E3561:E$2)*(E3562=E3561:E$2)))))</f>
        <v> </v>
      </c>
      <c r="J3562" s="25" t="str">
        <f>IF(OR(E3562="",E3562="!!!",F3562="NEW"),"",COUNTBLANK(OFFSET(A$1,,,SUMPRODUCT(MAX(ROW(E$2:E3562)*(E3562=E$2:E3562)))))-COUNTBLANK(OFFSET(A$1,,,SUMPRODUCT(MAX(ROW(E$1:E3561)*(E2=E$1:E3561))))))</f>
        <v> </v>
      </c>
      <c r="K3562" s="25" t="str">
        <f>IF(OR(E3562="",E3562="!!!",F3562="NEW"),"",INDEX(J$1:J3561,SUMPRODUCT(MAX(ROW(E$1:E3561)*(E3562=E$1:E3561)))))</f>
        <v> </v>
      </c>
      <c r="L3562" s="26"/>
    </row>
    <row r="3563" spans="1:12">
      <c r="A3563" s="20" t="s">
        <v>1145</v>
      </c>
      <c r="E3563" s="21">
        <f>IF(D3563="?OLD","!!!","")</f>
        <v/>
      </c>
      <c r="F3563" s="22" t="str">
        <f>IF(OR(E3563="",E3563="!!!"),"",IF(NOT(ISNA(VLOOKUP(E3563,E$1:E3562,1,FALSE()))),"OLD",IF(AND(E3563&lt;&gt;"",E3563&lt;&gt;"!!!"),"NEW","")))</f>
        <v> </v>
      </c>
      <c r="G3563" s="23" t="str">
        <f>IF(OR(E3563="",E3563="!!!"),"",IF(OR(J3563=0,AND(J3563=1,K3563=1),AND(J3563=1,I3563="SBJ"),AND(J3563=1,I3563=0)),"?IN_FOCUS",IF(J3563&lt;=2,"?ACTIVATED",IF(J3563&lt;&gt;"","?FAMILIAR",IF(F3563="NEW",IF(ISNA(VLOOKUP(E3563,#REF!,1,FALSE())),"?TYPE_IDENTIFIABLE","?REFERENTIAL"),"_")))))</f>
        <v> </v>
      </c>
      <c r="H3563" s="24" t="str">
        <f>IF(J3563&lt;&gt;1,"",IF(I3563="SBJ","CB","?"))</f>
        <v> </v>
      </c>
      <c r="I3563" s="25" t="str">
        <f>IF(OR(E3563="",E3563="!!!",F3563="NEW"),"",INDEX(B3562:B$2,-1+SUMPRODUCT(MAX(ROW(E3562:E$2)*(E3563=E3562:E$2)))))</f>
        <v> </v>
      </c>
      <c r="J3563" s="25" t="str">
        <f>IF(OR(E3563="",E3563="!!!",F3563="NEW"),"",COUNTBLANK(OFFSET(A$1,,,SUMPRODUCT(MAX(ROW(E$2:E3563)*(E3563=E$2:E3563)))))-COUNTBLANK(OFFSET(A$1,,,SUMPRODUCT(MAX(ROW(E$1:E3562)*(E2=E$1:E3562))))))</f>
        <v> </v>
      </c>
      <c r="K3563" s="25" t="str">
        <f>IF(OR(E3563="",E3563="!!!",F3563="NEW"),"",INDEX(J$1:J3562,SUMPRODUCT(MAX(ROW(E$1:E3562)*(E3563=E$1:E3562)))))</f>
        <v> </v>
      </c>
      <c r="L3563" s="26"/>
    </row>
    <row r="3564" spans="1:12">
      <c r="A3564" s="20"/>
    </row>
    <row r="3565" spans="1:12">
      <c r="A3565" s="20" t="s">
        <v>2710</v>
      </c>
    </row>
    <row r="3566" spans="1:12">
      <c r="A3566" s="20" t="s">
        <v>2711</v>
      </c>
      <c r="E3566" s="21">
        <f>IF(D3566="?OLD","!!!","")</f>
        <v/>
      </c>
      <c r="F3566" s="22" t="str">
        <f>IF(OR(E3566="",E3566="!!!"),"",IF(NOT(ISNA(VLOOKUP(E3566,E$1:E3565,1,FALSE()))),"OLD",IF(AND(E3566&lt;&gt;"",E3566&lt;&gt;"!!!"),"NEW","")))</f>
        <v> </v>
      </c>
      <c r="G3566" s="23" t="str">
        <f>IF(OR(E3566="",E3566="!!!"),"",IF(OR(J3566=0,AND(J3566=1,K3566=1),AND(J3566=1,I3566="SBJ"),AND(J3566=1,I3566=0)),"?IN_FOCUS",IF(J3566&lt;=2,"?ACTIVATED",IF(J3566&lt;&gt;"","?FAMILIAR",IF(F3566="NEW",IF(ISNA(VLOOKUP(E3566,#REF!,1,FALSE())),"?TYPE_IDENTIFIABLE","?REFERENTIAL"),"_")))))</f>
        <v> </v>
      </c>
      <c r="H3566" s="24" t="str">
        <f>IF(J3566&lt;&gt;1,"",IF(I3566="SBJ","CB","?"))</f>
        <v> </v>
      </c>
      <c r="I3566" s="25" t="str">
        <f>IF(OR(E3566="",E3566="!!!",F3566="NEW"),"",INDEX(B3565:B$2,-1+SUMPRODUCT(MAX(ROW(E3565:E$2)*(E3566=E3565:E$2)))))</f>
        <v> </v>
      </c>
      <c r="J3566" s="25" t="str">
        <f>IF(OR(E3566="",E3566="!!!",F3566="NEW"),"",COUNTBLANK(OFFSET(A$1,,,SUMPRODUCT(MAX(ROW(E$2:E3566)*(E3566=E$2:E3566)))))-COUNTBLANK(OFFSET(A$1,,,SUMPRODUCT(MAX(ROW(E$1:E3565)*(E2=E$1:E3565))))))</f>
        <v> </v>
      </c>
      <c r="K3566" s="25" t="str">
        <f>IF(OR(E3566="",E3566="!!!",F3566="NEW"),"",INDEX(J$1:J3565,SUMPRODUCT(MAX(ROW(E$1:E3565)*(E3566=E$1:E3565)))))</f>
        <v> </v>
      </c>
      <c r="L3566" s="26"/>
    </row>
    <row r="3567" spans="1:12">
      <c r="A3567" s="20" t="s">
        <v>2712</v>
      </c>
      <c r="E3567" s="21">
        <f>IF(D3567="?OLD","!!!","")</f>
        <v/>
      </c>
      <c r="F3567" s="22" t="str">
        <f>IF(OR(E3567="",E3567="!!!"),"",IF(NOT(ISNA(VLOOKUP(E3567,E$1:E3566,1,FALSE()))),"OLD",IF(AND(E3567&lt;&gt;"",E3567&lt;&gt;"!!!"),"NEW","")))</f>
        <v> </v>
      </c>
      <c r="G3567" s="23" t="str">
        <f>IF(OR(E3567="",E3567="!!!"),"",IF(OR(J3567=0,AND(J3567=1,K3567=1),AND(J3567=1,I3567="SBJ"),AND(J3567=1,I3567=0)),"?IN_FOCUS",IF(J3567&lt;=2,"?ACTIVATED",IF(J3567&lt;&gt;"","?FAMILIAR",IF(F3567="NEW",IF(ISNA(VLOOKUP(E3567,#REF!,1,FALSE())),"?TYPE_IDENTIFIABLE","?REFERENTIAL"),"_")))))</f>
        <v> </v>
      </c>
      <c r="H3567" s="24" t="str">
        <f>IF(J3567&lt;&gt;1,"",IF(I3567="SBJ","CB","?"))</f>
        <v> </v>
      </c>
      <c r="I3567" s="25" t="str">
        <f>IF(OR(E3567="",E3567="!!!",F3567="NEW"),"",INDEX(B3566:B$2,-1+SUMPRODUCT(MAX(ROW(E3566:E$2)*(E3567=E3566:E$2)))))</f>
        <v> </v>
      </c>
      <c r="J3567" s="25" t="str">
        <f>IF(OR(E3567="",E3567="!!!",F3567="NEW"),"",COUNTBLANK(OFFSET(A$1,,,SUMPRODUCT(MAX(ROW(E$2:E3567)*(E3567=E$2:E3567)))))-COUNTBLANK(OFFSET(A$1,,,SUMPRODUCT(MAX(ROW(E$1:E3566)*(E2=E$1:E3566))))))</f>
        <v> </v>
      </c>
      <c r="K3567" s="25" t="str">
        <f>IF(OR(E3567="",E3567="!!!",F3567="NEW"),"",INDEX(J$1:J3566,SUMPRODUCT(MAX(ROW(E$1:E3566)*(E3567=E$1:E3566)))))</f>
        <v> </v>
      </c>
      <c r="L3567" s="26"/>
    </row>
    <row r="3568" spans="1:12">
      <c r="A3568" s="20" t="s">
        <v>2713</v>
      </c>
      <c r="B3568" s="27" t="s">
        <v>1243</v>
      </c>
      <c r="C3568" s="27" t="s">
        <v>1210</v>
      </c>
      <c r="E3568" s="21">
        <f>IF(D3568="?OLD","!!!","")</f>
        <v/>
      </c>
      <c r="F3568" s="22" t="str">
        <f>IF(OR(E3568="",E3568="!!!"),"",IF(NOT(ISNA(VLOOKUP(E3568,E$1:E3567,1,FALSE()))),"OLD",IF(AND(E3568&lt;&gt;"",E3568&lt;&gt;"!!!"),"NEW","")))</f>
        <v> </v>
      </c>
      <c r="G3568" s="23" t="str">
        <f>IF(OR(E3568="",E3568="!!!"),"",IF(OR(J3568=0,AND(J3568=1,K3568=1),AND(J3568=1,I3568="SBJ"),AND(J3568=1,I3568=0)),"?IN_FOCUS",IF(J3568&lt;=2,"?ACTIVATED",IF(J3568&lt;&gt;"","?FAMILIAR",IF(F3568="NEW",IF(ISNA(VLOOKUP(E3568,#REF!,1,FALSE())),"?TYPE_IDENTIFIABLE","?REFERENTIAL"),"_")))))</f>
        <v> </v>
      </c>
      <c r="H3568" s="24" t="str">
        <f>IF(J3568&lt;&gt;1,"",IF(I3568="SBJ","CB","?"))</f>
        <v> </v>
      </c>
      <c r="I3568" s="25" t="str">
        <f>IF(OR(E3568="",E3568="!!!",F3568="NEW"),"",INDEX(B3567:B$2,-1+SUMPRODUCT(MAX(ROW(E3567:E$2)*(E3568=E3567:E$2)))))</f>
        <v> </v>
      </c>
      <c r="J3568" s="25" t="str">
        <f>IF(OR(E3568="",E3568="!!!",F3568="NEW"),"",COUNTBLANK(OFFSET(A$1,,,SUMPRODUCT(MAX(ROW(E$2:E3568)*(E3568=E$2:E3568)))))-COUNTBLANK(OFFSET(A$1,,,SUMPRODUCT(MAX(ROW(E$1:E3567)*(E2=E$1:E3567))))))</f>
        <v> </v>
      </c>
      <c r="K3568" s="25" t="str">
        <f>IF(OR(E3568="",E3568="!!!",F3568="NEW"),"",INDEX(J$1:J3567,SUMPRODUCT(MAX(ROW(E$1:E3567)*(E3568=E$1:E3567)))))</f>
        <v> </v>
      </c>
      <c r="L3568" s="26"/>
    </row>
    <row r="3569" spans="1:12">
      <c r="A3569" s="20" t="s">
        <v>1231</v>
      </c>
      <c r="E3569" s="21">
        <f>IF(D3569="?OLD","!!!","")</f>
        <v/>
      </c>
      <c r="F3569" s="22" t="str">
        <f>IF(OR(E3569="",E3569="!!!"),"",IF(NOT(ISNA(VLOOKUP(E3569,E$1:E3568,1,FALSE()))),"OLD",IF(AND(E3569&lt;&gt;"",E3569&lt;&gt;"!!!"),"NEW","")))</f>
        <v> </v>
      </c>
      <c r="G3569" s="23" t="str">
        <f>IF(OR(E3569="",E3569="!!!"),"",IF(OR(J3569=0,AND(J3569=1,K3569=1),AND(J3569=1,I3569="SBJ"),AND(J3569=1,I3569=0)),"?IN_FOCUS",IF(J3569&lt;=2,"?ACTIVATED",IF(J3569&lt;&gt;"","?FAMILIAR",IF(F3569="NEW",IF(ISNA(VLOOKUP(E3569,#REF!,1,FALSE())),"?TYPE_IDENTIFIABLE","?REFERENTIAL"),"_")))))</f>
        <v> </v>
      </c>
      <c r="H3569" s="24" t="str">
        <f>IF(J3569&lt;&gt;1,"",IF(I3569="SBJ","CB","?"))</f>
        <v> </v>
      </c>
      <c r="I3569" s="25" t="str">
        <f>IF(OR(E3569="",E3569="!!!",F3569="NEW"),"",INDEX(B3568:B$2,-1+SUMPRODUCT(MAX(ROW(E3568:E$2)*(E3569=E3568:E$2)))))</f>
        <v> </v>
      </c>
      <c r="J3569" s="25" t="str">
        <f>IF(OR(E3569="",E3569="!!!",F3569="NEW"),"",COUNTBLANK(OFFSET(A$1,,,SUMPRODUCT(MAX(ROW(E$2:E3569)*(E3569=E$2:E3569)))))-COUNTBLANK(OFFSET(A$1,,,SUMPRODUCT(MAX(ROW(E$1:E3568)*(E2=E$1:E3568))))))</f>
        <v> </v>
      </c>
      <c r="K3569" s="25" t="str">
        <f>IF(OR(E3569="",E3569="!!!",F3569="NEW"),"",INDEX(J$1:J3568,SUMPRODUCT(MAX(ROW(E$1:E3568)*(E3569=E$1:E3568)))))</f>
        <v> </v>
      </c>
      <c r="L3569" s="26"/>
    </row>
    <row r="3570" spans="1:12">
      <c r="A3570" s="20" t="s">
        <v>2714</v>
      </c>
      <c r="E3570" s="21">
        <f>IF(D3570="?OLD","!!!","")</f>
        <v/>
      </c>
      <c r="F3570" s="22" t="str">
        <f>IF(OR(E3570="",E3570="!!!"),"",IF(NOT(ISNA(VLOOKUP(E3570,E$1:E3569,1,FALSE()))),"OLD",IF(AND(E3570&lt;&gt;"",E3570&lt;&gt;"!!!"),"NEW","")))</f>
        <v> </v>
      </c>
      <c r="G3570" s="23" t="str">
        <f>IF(OR(E3570="",E3570="!!!"),"",IF(OR(J3570=0,AND(J3570=1,K3570=1),AND(J3570=1,I3570="SBJ"),AND(J3570=1,I3570=0)),"?IN_FOCUS",IF(J3570&lt;=2,"?ACTIVATED",IF(J3570&lt;&gt;"","?FAMILIAR",IF(F3570="NEW",IF(ISNA(VLOOKUP(E3570,#REF!,1,FALSE())),"?TYPE_IDENTIFIABLE","?REFERENTIAL"),"_")))))</f>
        <v> </v>
      </c>
      <c r="H3570" s="24" t="str">
        <f>IF(J3570&lt;&gt;1,"",IF(I3570="SBJ","CB","?"))</f>
        <v> </v>
      </c>
      <c r="I3570" s="25" t="str">
        <f>IF(OR(E3570="",E3570="!!!",F3570="NEW"),"",INDEX(B3569:B$2,-1+SUMPRODUCT(MAX(ROW(E3569:E$2)*(E3570=E3569:E$2)))))</f>
        <v> </v>
      </c>
      <c r="J3570" s="25" t="str">
        <f>IF(OR(E3570="",E3570="!!!",F3570="NEW"),"",COUNTBLANK(OFFSET(A$1,,,SUMPRODUCT(MAX(ROW(E$2:E3570)*(E3570=E$2:E3570)))))-COUNTBLANK(OFFSET(A$1,,,SUMPRODUCT(MAX(ROW(E$1:E3569)*(E2=E$1:E3569))))))</f>
        <v> </v>
      </c>
      <c r="K3570" s="25" t="str">
        <f>IF(OR(E3570="",E3570="!!!",F3570="NEW"),"",INDEX(J$1:J3569,SUMPRODUCT(MAX(ROW(E$1:E3569)*(E3570=E$1:E3569)))))</f>
        <v> </v>
      </c>
      <c r="L3570" s="26"/>
    </row>
    <row r="3571" spans="1:12">
      <c r="A3571" s="20" t="s">
        <v>2715</v>
      </c>
      <c r="E3571" s="21">
        <f>IF(D3571="?OLD","!!!","")</f>
        <v/>
      </c>
      <c r="F3571" s="22" t="str">
        <f>IF(OR(E3571="",E3571="!!!"),"",IF(NOT(ISNA(VLOOKUP(E3571,E$1:E3570,1,FALSE()))),"OLD",IF(AND(E3571&lt;&gt;"",E3571&lt;&gt;"!!!"),"NEW","")))</f>
        <v> </v>
      </c>
      <c r="G3571" s="23" t="str">
        <f>IF(OR(E3571="",E3571="!!!"),"",IF(OR(J3571=0,AND(J3571=1,K3571=1),AND(J3571=1,I3571="SBJ"),AND(J3571=1,I3571=0)),"?IN_FOCUS",IF(J3571&lt;=2,"?ACTIVATED",IF(J3571&lt;&gt;"","?FAMILIAR",IF(F3571="NEW",IF(ISNA(VLOOKUP(E3571,#REF!,1,FALSE())),"?TYPE_IDENTIFIABLE","?REFERENTIAL"),"_")))))</f>
        <v> </v>
      </c>
      <c r="H3571" s="24" t="str">
        <f>IF(J3571&lt;&gt;1,"",IF(I3571="SBJ","CB","?"))</f>
        <v> </v>
      </c>
      <c r="I3571" s="25" t="str">
        <f>IF(OR(E3571="",E3571="!!!",F3571="NEW"),"",INDEX(B3570:B$2,-1+SUMPRODUCT(MAX(ROW(E3570:E$2)*(E3571=E3570:E$2)))))</f>
        <v> </v>
      </c>
      <c r="J3571" s="25" t="str">
        <f>IF(OR(E3571="",E3571="!!!",F3571="NEW"),"",COUNTBLANK(OFFSET(A$1,,,SUMPRODUCT(MAX(ROW(E$2:E3571)*(E3571=E$2:E3571)))))-COUNTBLANK(OFFSET(A$1,,,SUMPRODUCT(MAX(ROW(E$1:E3570)*(E2=E$1:E3570))))))</f>
        <v> </v>
      </c>
      <c r="K3571" s="25" t="str">
        <f>IF(OR(E3571="",E3571="!!!",F3571="NEW"),"",INDEX(J$1:J3570,SUMPRODUCT(MAX(ROW(E$1:E3570)*(E3571=E$1:E3570)))))</f>
        <v> </v>
      </c>
      <c r="L3571" s="26"/>
    </row>
    <row r="3572" spans="1:12">
      <c r="A3572" s="20" t="s">
        <v>1123</v>
      </c>
      <c r="E3572" s="21">
        <f>IF(D3572="?OLD","!!!","")</f>
        <v/>
      </c>
      <c r="F3572" s="22" t="str">
        <f>IF(OR(E3572="",E3572="!!!"),"",IF(NOT(ISNA(VLOOKUP(E3572,E$1:E3571,1,FALSE()))),"OLD",IF(AND(E3572&lt;&gt;"",E3572&lt;&gt;"!!!"),"NEW","")))</f>
        <v> </v>
      </c>
      <c r="G3572" s="23" t="str">
        <f>IF(OR(E3572="",E3572="!!!"),"",IF(OR(J3572=0,AND(J3572=1,K3572=1),AND(J3572=1,I3572="SBJ"),AND(J3572=1,I3572=0)),"?IN_FOCUS",IF(J3572&lt;=2,"?ACTIVATED",IF(J3572&lt;&gt;"","?FAMILIAR",IF(F3572="NEW",IF(ISNA(VLOOKUP(E3572,#REF!,1,FALSE())),"?TYPE_IDENTIFIABLE","?REFERENTIAL"),"_")))))</f>
        <v> </v>
      </c>
      <c r="H3572" s="24" t="str">
        <f>IF(J3572&lt;&gt;1,"",IF(I3572="SBJ","CB","?"))</f>
        <v> </v>
      </c>
      <c r="I3572" s="25" t="str">
        <f>IF(OR(E3572="",E3572="!!!",F3572="NEW"),"",INDEX(B3571:B$2,-1+SUMPRODUCT(MAX(ROW(E3571:E$2)*(E3572=E3571:E$2)))))</f>
        <v> </v>
      </c>
      <c r="J3572" s="25" t="str">
        <f>IF(OR(E3572="",E3572="!!!",F3572="NEW"),"",COUNTBLANK(OFFSET(A$1,,,SUMPRODUCT(MAX(ROW(E$2:E3572)*(E3572=E$2:E3572)))))-COUNTBLANK(OFFSET(A$1,,,SUMPRODUCT(MAX(ROW(E$1:E3571)*(E2=E$1:E3571))))))</f>
        <v> </v>
      </c>
      <c r="K3572" s="25" t="str">
        <f>IF(OR(E3572="",E3572="!!!",F3572="NEW"),"",INDEX(J$1:J3571,SUMPRODUCT(MAX(ROW(E$1:E3571)*(E3572=E$1:E3571)))))</f>
        <v> </v>
      </c>
      <c r="L3572" s="26"/>
    </row>
    <row r="3573" spans="1:12">
      <c r="A3573" s="20" t="s">
        <v>1124</v>
      </c>
      <c r="B3573" s="27" t="s">
        <v>1149</v>
      </c>
      <c r="C3573" s="27" t="s">
        <v>1126</v>
      </c>
      <c r="D3573" s="27" t="s">
        <v>1105</v>
      </c>
      <c r="E3573" s="21">
        <f>IF(D3573="?OLD","!!!","")</f>
        <v/>
      </c>
      <c r="F3573" s="22" t="str">
        <f>IF(OR(E3573="",E3573="!!!"),"",IF(NOT(ISNA(VLOOKUP(E3573,E$1:E3572,1,FALSE()))),"OLD",IF(AND(E3573&lt;&gt;"",E3573&lt;&gt;"!!!"),"NEW","")))</f>
        <v> </v>
      </c>
      <c r="G3573" s="23" t="str">
        <f>IF(OR(E3573="",E3573="!!!"),"",IF(OR(J3573=0,AND(J3573=1,K3573=1),AND(J3573=1,I3573="SBJ"),AND(J3573=1,I3573=0)),"?IN_FOCUS",IF(J3573&lt;=2,"?ACTIVATED",IF(J3573&lt;&gt;"","?FAMILIAR",IF(F3573="NEW",IF(ISNA(VLOOKUP(E3573,#REF!,1,FALSE())),"?TYPE_IDENTIFIABLE","?REFERENTIAL"),"_")))))</f>
        <v> </v>
      </c>
      <c r="H3573" s="24" t="str">
        <f>IF(J3573&lt;&gt;1,"",IF(I3573="SBJ","CB","?"))</f>
        <v> </v>
      </c>
      <c r="I3573" s="25" t="str">
        <f>IF(OR(E3573="",E3573="!!!",F3573="NEW"),"",INDEX(B3572:B$2,-1+SUMPRODUCT(MAX(ROW(E3572:E$2)*(E3573=E3572:E$2)))))</f>
        <v> </v>
      </c>
      <c r="J3573" s="25" t="str">
        <f>IF(OR(E3573="",E3573="!!!",F3573="NEW"),"",COUNTBLANK(OFFSET(A$1,,,SUMPRODUCT(MAX(ROW(E$2:E3573)*(E3573=E$2:E3573)))))-COUNTBLANK(OFFSET(A$1,,,SUMPRODUCT(MAX(ROW(E$1:E3572)*(E2=E$1:E3572))))))</f>
        <v> </v>
      </c>
      <c r="K3573" s="25" t="str">
        <f>IF(OR(E3573="",E3573="!!!",F3573="NEW"),"",INDEX(J$1:J3572,SUMPRODUCT(MAX(ROW(E$1:E3572)*(E3573=E$1:E3572)))))</f>
        <v> </v>
      </c>
      <c r="L3573" s="26"/>
    </row>
    <row r="3574" spans="1:12">
      <c r="A3574" s="20" t="s">
        <v>2716</v>
      </c>
      <c r="E3574" s="21">
        <f>IF(D3574="?OLD","!!!","")</f>
        <v/>
      </c>
      <c r="F3574" s="22" t="str">
        <f>IF(OR(E3574="",E3574="!!!"),"",IF(NOT(ISNA(VLOOKUP(E3574,E$1:E3573,1,FALSE()))),"OLD",IF(AND(E3574&lt;&gt;"",E3574&lt;&gt;"!!!"),"NEW","")))</f>
        <v> </v>
      </c>
      <c r="G3574" s="23" t="str">
        <f>IF(OR(E3574="",E3574="!!!"),"",IF(OR(J3574=0,AND(J3574=1,K3574=1),AND(J3574=1,I3574="SBJ"),AND(J3574=1,I3574=0)),"?IN_FOCUS",IF(J3574&lt;=2,"?ACTIVATED",IF(J3574&lt;&gt;"","?FAMILIAR",IF(F3574="NEW",IF(ISNA(VLOOKUP(E3574,#REF!,1,FALSE())),"?TYPE_IDENTIFIABLE","?REFERENTIAL"),"_")))))</f>
        <v> </v>
      </c>
      <c r="H3574" s="24" t="str">
        <f>IF(J3574&lt;&gt;1,"",IF(I3574="SBJ","CB","?"))</f>
        <v> </v>
      </c>
      <c r="I3574" s="25" t="str">
        <f>IF(OR(E3574="",E3574="!!!",F3574="NEW"),"",INDEX(B3573:B$2,-1+SUMPRODUCT(MAX(ROW(E3573:E$2)*(E3574=E3573:E$2)))))</f>
        <v> </v>
      </c>
      <c r="J3574" s="25" t="str">
        <f>IF(OR(E3574="",E3574="!!!",F3574="NEW"),"",COUNTBLANK(OFFSET(A$1,,,SUMPRODUCT(MAX(ROW(E$2:E3574)*(E3574=E$2:E3574)))))-COUNTBLANK(OFFSET(A$1,,,SUMPRODUCT(MAX(ROW(E$1:E3573)*(E2=E$1:E3573))))))</f>
        <v> </v>
      </c>
      <c r="K3574" s="25" t="str">
        <f>IF(OR(E3574="",E3574="!!!",F3574="NEW"),"",INDEX(J$1:J3573,SUMPRODUCT(MAX(ROW(E$1:E3573)*(E3574=E$1:E3573)))))</f>
        <v> </v>
      </c>
      <c r="L3574" s="26"/>
    </row>
    <row r="3575" spans="1:12">
      <c r="A3575" s="20" t="s">
        <v>2717</v>
      </c>
      <c r="E3575" s="21">
        <f>IF(D3575="?OLD","!!!","")</f>
        <v/>
      </c>
      <c r="F3575" s="22" t="str">
        <f>IF(OR(E3575="",E3575="!!!"),"",IF(NOT(ISNA(VLOOKUP(E3575,E$1:E3574,1,FALSE()))),"OLD",IF(AND(E3575&lt;&gt;"",E3575&lt;&gt;"!!!"),"NEW","")))</f>
        <v> </v>
      </c>
      <c r="G3575" s="23" t="str">
        <f>IF(OR(E3575="",E3575="!!!"),"",IF(OR(J3575=0,AND(J3575=1,K3575=1),AND(J3575=1,I3575="SBJ"),AND(J3575=1,I3575=0)),"?IN_FOCUS",IF(J3575&lt;=2,"?ACTIVATED",IF(J3575&lt;&gt;"","?FAMILIAR",IF(F3575="NEW",IF(ISNA(VLOOKUP(E3575,#REF!,1,FALSE())),"?TYPE_IDENTIFIABLE","?REFERENTIAL"),"_")))))</f>
        <v> </v>
      </c>
      <c r="H3575" s="24" t="str">
        <f>IF(J3575&lt;&gt;1,"",IF(I3575="SBJ","CB","?"))</f>
        <v> </v>
      </c>
      <c r="I3575" s="25" t="str">
        <f>IF(OR(E3575="",E3575="!!!",F3575="NEW"),"",INDEX(B3574:B$2,-1+SUMPRODUCT(MAX(ROW(E3574:E$2)*(E3575=E3574:E$2)))))</f>
        <v> </v>
      </c>
      <c r="J3575" s="25" t="str">
        <f>IF(OR(E3575="",E3575="!!!",F3575="NEW"),"",COUNTBLANK(OFFSET(A$1,,,SUMPRODUCT(MAX(ROW(E$2:E3575)*(E3575=E$2:E3575)))))-COUNTBLANK(OFFSET(A$1,,,SUMPRODUCT(MAX(ROW(E$1:E3574)*(E2=E$1:E3574))))))</f>
        <v> </v>
      </c>
      <c r="K3575" s="25" t="str">
        <f>IF(OR(E3575="",E3575="!!!",F3575="NEW"),"",INDEX(J$1:J3574,SUMPRODUCT(MAX(ROW(E$1:E3574)*(E3575=E$1:E3574)))))</f>
        <v> </v>
      </c>
      <c r="L3575" s="26"/>
    </row>
    <row r="3576" spans="1:12">
      <c r="A3576" s="20" t="s">
        <v>2593</v>
      </c>
      <c r="E3576" s="21">
        <f>IF(D3576="?OLD","!!!","")</f>
        <v/>
      </c>
      <c r="F3576" s="22" t="str">
        <f>IF(OR(E3576="",E3576="!!!"),"",IF(NOT(ISNA(VLOOKUP(E3576,E$1:E3575,1,FALSE()))),"OLD",IF(AND(E3576&lt;&gt;"",E3576&lt;&gt;"!!!"),"NEW","")))</f>
        <v> </v>
      </c>
      <c r="G3576" s="23" t="str">
        <f>IF(OR(E3576="",E3576="!!!"),"",IF(OR(J3576=0,AND(J3576=1,K3576=1),AND(J3576=1,I3576="SBJ"),AND(J3576=1,I3576=0)),"?IN_FOCUS",IF(J3576&lt;=2,"?ACTIVATED",IF(J3576&lt;&gt;"","?FAMILIAR",IF(F3576="NEW",IF(ISNA(VLOOKUP(E3576,#REF!,1,FALSE())),"?TYPE_IDENTIFIABLE","?REFERENTIAL"),"_")))))</f>
        <v> </v>
      </c>
      <c r="H3576" s="24" t="str">
        <f>IF(J3576&lt;&gt;1,"",IF(I3576="SBJ","CB","?"))</f>
        <v> </v>
      </c>
      <c r="I3576" s="25" t="str">
        <f>IF(OR(E3576="",E3576="!!!",F3576="NEW"),"",INDEX(B3575:B$2,-1+SUMPRODUCT(MAX(ROW(E3575:E$2)*(E3576=E3575:E$2)))))</f>
        <v> </v>
      </c>
      <c r="J3576" s="25" t="str">
        <f>IF(OR(E3576="",E3576="!!!",F3576="NEW"),"",COUNTBLANK(OFFSET(A$1,,,SUMPRODUCT(MAX(ROW(E$2:E3576)*(E3576=E$2:E3576)))))-COUNTBLANK(OFFSET(A$1,,,SUMPRODUCT(MAX(ROW(E$1:E3575)*(E2=E$1:E3575))))))</f>
        <v> </v>
      </c>
      <c r="K3576" s="25" t="str">
        <f>IF(OR(E3576="",E3576="!!!",F3576="NEW"),"",INDEX(J$1:J3575,SUMPRODUCT(MAX(ROW(E$1:E3575)*(E3576=E$1:E3575)))))</f>
        <v> </v>
      </c>
      <c r="L3576" s="26"/>
    </row>
    <row r="3577" spans="1:12">
      <c r="A3577" s="20" t="s">
        <v>1223</v>
      </c>
      <c r="B3577" s="27" t="s">
        <v>1213</v>
      </c>
      <c r="C3577" s="27" t="s">
        <v>1156</v>
      </c>
      <c r="D3577" s="27" t="s">
        <v>1105</v>
      </c>
      <c r="E3577" s="21">
        <f>IF(D3577="?OLD","!!!","")</f>
        <v/>
      </c>
      <c r="F3577" s="22" t="str">
        <f>IF(OR(E3577="",E3577="!!!"),"",IF(NOT(ISNA(VLOOKUP(E3577,E$1:E3576,1,FALSE()))),"OLD",IF(AND(E3577&lt;&gt;"",E3577&lt;&gt;"!!!"),"NEW","")))</f>
        <v> </v>
      </c>
      <c r="G3577" s="23" t="str">
        <f>IF(OR(E3577="",E3577="!!!"),"",IF(OR(J3577=0,AND(J3577=1,K3577=1),AND(J3577=1,I3577="SBJ"),AND(J3577=1,I3577=0)),"?IN_FOCUS",IF(J3577&lt;=2,"?ACTIVATED",IF(J3577&lt;&gt;"","?FAMILIAR",IF(F3577="NEW",IF(ISNA(VLOOKUP(E3577,#REF!,1,FALSE())),"?TYPE_IDENTIFIABLE","?REFERENTIAL"),"_")))))</f>
        <v> </v>
      </c>
      <c r="H3577" s="24" t="str">
        <f>IF(J3577&lt;&gt;1,"",IF(I3577="SBJ","CB","?"))</f>
        <v> </v>
      </c>
      <c r="I3577" s="25" t="str">
        <f>IF(OR(E3577="",E3577="!!!",F3577="NEW"),"",INDEX(B3576:B$2,-1+SUMPRODUCT(MAX(ROW(E3576:E$2)*(E3577=E3576:E$2)))))</f>
        <v> </v>
      </c>
      <c r="J3577" s="25" t="str">
        <f>IF(OR(E3577="",E3577="!!!",F3577="NEW"),"",COUNTBLANK(OFFSET(A$1,,,SUMPRODUCT(MAX(ROW(E$2:E3577)*(E3577=E$2:E3577)))))-COUNTBLANK(OFFSET(A$1,,,SUMPRODUCT(MAX(ROW(E$1:E3576)*(E2=E$1:E3576))))))</f>
        <v> </v>
      </c>
      <c r="K3577" s="25" t="str">
        <f>IF(OR(E3577="",E3577="!!!",F3577="NEW"),"",INDEX(J$1:J3576,SUMPRODUCT(MAX(ROW(E$1:E3576)*(E3577=E$1:E3576)))))</f>
        <v> </v>
      </c>
      <c r="L3577" s="26"/>
    </row>
    <row r="3578" spans="1:12">
      <c r="A3578" s="20" t="s">
        <v>1145</v>
      </c>
      <c r="E3578" s="21">
        <f>IF(D3578="?OLD","!!!","")</f>
        <v/>
      </c>
      <c r="F3578" s="22" t="str">
        <f>IF(OR(E3578="",E3578="!!!"),"",IF(NOT(ISNA(VLOOKUP(E3578,E$1:E3577,1,FALSE()))),"OLD",IF(AND(E3578&lt;&gt;"",E3578&lt;&gt;"!!!"),"NEW","")))</f>
        <v> </v>
      </c>
      <c r="G3578" s="23" t="str">
        <f>IF(OR(E3578="",E3578="!!!"),"",IF(OR(J3578=0,AND(J3578=1,K3578=1),AND(J3578=1,I3578="SBJ"),AND(J3578=1,I3578=0)),"?IN_FOCUS",IF(J3578&lt;=2,"?ACTIVATED",IF(J3578&lt;&gt;"","?FAMILIAR",IF(F3578="NEW",IF(ISNA(VLOOKUP(E3578,#REF!,1,FALSE())),"?TYPE_IDENTIFIABLE","?REFERENTIAL"),"_")))))</f>
        <v> </v>
      </c>
      <c r="H3578" s="24" t="str">
        <f>IF(J3578&lt;&gt;1,"",IF(I3578="SBJ","CB","?"))</f>
        <v> </v>
      </c>
      <c r="I3578" s="25" t="str">
        <f>IF(OR(E3578="",E3578="!!!",F3578="NEW"),"",INDEX(B3577:B$2,-1+SUMPRODUCT(MAX(ROW(E3577:E$2)*(E3578=E3577:E$2)))))</f>
        <v> </v>
      </c>
      <c r="J3578" s="25" t="str">
        <f>IF(OR(E3578="",E3578="!!!",F3578="NEW"),"",COUNTBLANK(OFFSET(A$1,,,SUMPRODUCT(MAX(ROW(E$2:E3578)*(E3578=E$2:E3578)))))-COUNTBLANK(OFFSET(A$1,,,SUMPRODUCT(MAX(ROW(E$1:E3577)*(E2=E$1:E3577))))))</f>
        <v> </v>
      </c>
      <c r="K3578" s="25" t="str">
        <f>IF(OR(E3578="",E3578="!!!",F3578="NEW"),"",INDEX(J$1:J3577,SUMPRODUCT(MAX(ROW(E$1:E3577)*(E3578=E$1:E3577)))))</f>
        <v> </v>
      </c>
      <c r="L3578" s="26"/>
    </row>
    <row r="3579" spans="1:12">
      <c r="A3579" s="20"/>
    </row>
    <row r="3580" spans="1:12">
      <c r="A3580" s="20" t="s">
        <v>2718</v>
      </c>
    </row>
    <row r="3581" spans="1:12">
      <c r="A3581" s="20" t="s">
        <v>2408</v>
      </c>
      <c r="E3581" s="21">
        <f>IF(D3581="?OLD","!!!","")</f>
        <v/>
      </c>
      <c r="F3581" s="22" t="str">
        <f>IF(OR(E3581="",E3581="!!!"),"",IF(NOT(ISNA(VLOOKUP(E3581,E$1:E3580,1,FALSE()))),"OLD",IF(AND(E3581&lt;&gt;"",E3581&lt;&gt;"!!!"),"NEW","")))</f>
        <v> </v>
      </c>
      <c r="G3581" s="23" t="str">
        <f>IF(OR(E3581="",E3581="!!!"),"",IF(OR(J3581=0,AND(J3581=1,K3581=1),AND(J3581=1,I3581="SBJ"),AND(J3581=1,I3581=0)),"?IN_FOCUS",IF(J3581&lt;=2,"?ACTIVATED",IF(J3581&lt;&gt;"","?FAMILIAR",IF(F3581="NEW",IF(ISNA(VLOOKUP(E3581,#REF!,1,FALSE())),"?TYPE_IDENTIFIABLE","?REFERENTIAL"),"_")))))</f>
        <v> </v>
      </c>
      <c r="H3581" s="24" t="str">
        <f>IF(J3581&lt;&gt;1,"",IF(I3581="SBJ","CB","?"))</f>
        <v> </v>
      </c>
      <c r="I3581" s="25" t="str">
        <f>IF(OR(E3581="",E3581="!!!",F3581="NEW"),"",INDEX(B3580:B$2,-1+SUMPRODUCT(MAX(ROW(E3580:E$2)*(E3581=E3580:E$2)))))</f>
        <v> </v>
      </c>
      <c r="J3581" s="25" t="str">
        <f>IF(OR(E3581="",E3581="!!!",F3581="NEW"),"",COUNTBLANK(OFFSET(A$1,,,SUMPRODUCT(MAX(ROW(E$2:E3581)*(E3581=E$2:E3581)))))-COUNTBLANK(OFFSET(A$1,,,SUMPRODUCT(MAX(ROW(E$1:E3580)*(E2=E$1:E3580))))))</f>
        <v> </v>
      </c>
      <c r="K3581" s="25" t="str">
        <f>IF(OR(E3581="",E3581="!!!",F3581="NEW"),"",INDEX(J$1:J3580,SUMPRODUCT(MAX(ROW(E$1:E3580)*(E3581=E$1:E3580)))))</f>
        <v> </v>
      </c>
      <c r="L3581" s="26"/>
    </row>
    <row r="3582" spans="1:12">
      <c r="A3582" s="20" t="s">
        <v>2719</v>
      </c>
      <c r="E3582" s="21">
        <f>IF(D3582="?OLD","!!!","")</f>
        <v/>
      </c>
      <c r="F3582" s="22" t="str">
        <f>IF(OR(E3582="",E3582="!!!"),"",IF(NOT(ISNA(VLOOKUP(E3582,E$1:E3581,1,FALSE()))),"OLD",IF(AND(E3582&lt;&gt;"",E3582&lt;&gt;"!!!"),"NEW","")))</f>
        <v> </v>
      </c>
      <c r="G3582" s="23" t="str">
        <f>IF(OR(E3582="",E3582="!!!"),"",IF(OR(J3582=0,AND(J3582=1,K3582=1),AND(J3582=1,I3582="SBJ"),AND(J3582=1,I3582=0)),"?IN_FOCUS",IF(J3582&lt;=2,"?ACTIVATED",IF(J3582&lt;&gt;"","?FAMILIAR",IF(F3582="NEW",IF(ISNA(VLOOKUP(E3582,#REF!,1,FALSE())),"?TYPE_IDENTIFIABLE","?REFERENTIAL"),"_")))))</f>
        <v> </v>
      </c>
      <c r="H3582" s="24" t="str">
        <f>IF(J3582&lt;&gt;1,"",IF(I3582="SBJ","CB","?"))</f>
        <v> </v>
      </c>
      <c r="I3582" s="25" t="str">
        <f>IF(OR(E3582="",E3582="!!!",F3582="NEW"),"",INDEX(B3581:B$2,-1+SUMPRODUCT(MAX(ROW(E3581:E$2)*(E3582=E3581:E$2)))))</f>
        <v> </v>
      </c>
      <c r="J3582" s="25" t="str">
        <f>IF(OR(E3582="",E3582="!!!",F3582="NEW"),"",COUNTBLANK(OFFSET(A$1,,,SUMPRODUCT(MAX(ROW(E$2:E3582)*(E3582=E$2:E3582)))))-COUNTBLANK(OFFSET(A$1,,,SUMPRODUCT(MAX(ROW(E$1:E3581)*(E2=E$1:E3581))))))</f>
        <v> </v>
      </c>
      <c r="K3582" s="25" t="str">
        <f>IF(OR(E3582="",E3582="!!!",F3582="NEW"),"",INDEX(J$1:J3581,SUMPRODUCT(MAX(ROW(E$1:E3581)*(E3582=E$1:E3581)))))</f>
        <v> </v>
      </c>
      <c r="L3582" s="26"/>
    </row>
    <row r="3583" spans="1:12">
      <c r="A3583" s="20" t="s">
        <v>2654</v>
      </c>
      <c r="E3583" s="21">
        <f>IF(D3583="?OLD","!!!","")</f>
        <v/>
      </c>
      <c r="F3583" s="22" t="str">
        <f>IF(OR(E3583="",E3583="!!!"),"",IF(NOT(ISNA(VLOOKUP(E3583,E$1:E3582,1,FALSE()))),"OLD",IF(AND(E3583&lt;&gt;"",E3583&lt;&gt;"!!!"),"NEW","")))</f>
        <v> </v>
      </c>
      <c r="G3583" s="23" t="str">
        <f>IF(OR(E3583="",E3583="!!!"),"",IF(OR(J3583=0,AND(J3583=1,K3583=1),AND(J3583=1,I3583="SBJ"),AND(J3583=1,I3583=0)),"?IN_FOCUS",IF(J3583&lt;=2,"?ACTIVATED",IF(J3583&lt;&gt;"","?FAMILIAR",IF(F3583="NEW",IF(ISNA(VLOOKUP(E3583,#REF!,1,FALSE())),"?TYPE_IDENTIFIABLE","?REFERENTIAL"),"_")))))</f>
        <v> </v>
      </c>
      <c r="H3583" s="24" t="str">
        <f>IF(J3583&lt;&gt;1,"",IF(I3583="SBJ","CB","?"))</f>
        <v> </v>
      </c>
      <c r="I3583" s="25" t="str">
        <f>IF(OR(E3583="",E3583="!!!",F3583="NEW"),"",INDEX(B3582:B$2,-1+SUMPRODUCT(MAX(ROW(E3582:E$2)*(E3583=E3582:E$2)))))</f>
        <v> </v>
      </c>
      <c r="J3583" s="25" t="str">
        <f>IF(OR(E3583="",E3583="!!!",F3583="NEW"),"",COUNTBLANK(OFFSET(A$1,,,SUMPRODUCT(MAX(ROW(E$2:E3583)*(E3583=E$2:E3583)))))-COUNTBLANK(OFFSET(A$1,,,SUMPRODUCT(MAX(ROW(E$1:E3582)*(E2=E$1:E3582))))))</f>
        <v> </v>
      </c>
      <c r="K3583" s="25" t="str">
        <f>IF(OR(E3583="",E3583="!!!",F3583="NEW"),"",INDEX(J$1:J3582,SUMPRODUCT(MAX(ROW(E$1:E3582)*(E3583=E$1:E3582)))))</f>
        <v> </v>
      </c>
      <c r="L3583" s="26"/>
    </row>
    <row r="3584" spans="1:12">
      <c r="A3584" s="20" t="s">
        <v>2720</v>
      </c>
      <c r="B3584" s="27" t="s">
        <v>1149</v>
      </c>
      <c r="E3584" s="21">
        <f>IF(D3584="?OLD","!!!","")</f>
        <v/>
      </c>
      <c r="F3584" s="22" t="str">
        <f>IF(OR(E3584="",E3584="!!!"),"",IF(NOT(ISNA(VLOOKUP(E3584,E$1:E3583,1,FALSE()))),"OLD",IF(AND(E3584&lt;&gt;"",E3584&lt;&gt;"!!!"),"NEW","")))</f>
        <v> </v>
      </c>
      <c r="G3584" s="23" t="str">
        <f>IF(OR(E3584="",E3584="!!!"),"",IF(OR(J3584=0,AND(J3584=1,K3584=1),AND(J3584=1,I3584="SBJ"),AND(J3584=1,I3584=0)),"?IN_FOCUS",IF(J3584&lt;=2,"?ACTIVATED",IF(J3584&lt;&gt;"","?FAMILIAR",IF(F3584="NEW",IF(ISNA(VLOOKUP(E3584,#REF!,1,FALSE())),"?TYPE_IDENTIFIABLE","?REFERENTIAL"),"_")))))</f>
        <v> </v>
      </c>
      <c r="H3584" s="24" t="str">
        <f>IF(J3584&lt;&gt;1,"",IF(I3584="SBJ","CB","?"))</f>
        <v> </v>
      </c>
      <c r="I3584" s="25" t="str">
        <f>IF(OR(E3584="",E3584="!!!",F3584="NEW"),"",INDEX(B3583:B$2,-1+SUMPRODUCT(MAX(ROW(E3583:E$2)*(E3584=E3583:E$2)))))</f>
        <v> </v>
      </c>
      <c r="J3584" s="25" t="str">
        <f>IF(OR(E3584="",E3584="!!!",F3584="NEW"),"",COUNTBLANK(OFFSET(A$1,,,SUMPRODUCT(MAX(ROW(E$2:E3584)*(E3584=E$2:E3584)))))-COUNTBLANK(OFFSET(A$1,,,SUMPRODUCT(MAX(ROW(E$1:E3583)*(E2=E$1:E3583))))))</f>
        <v> </v>
      </c>
      <c r="K3584" s="25" t="str">
        <f>IF(OR(E3584="",E3584="!!!",F3584="NEW"),"",INDEX(J$1:J3583,SUMPRODUCT(MAX(ROW(E$1:E3583)*(E3584=E$1:E3583)))))</f>
        <v> </v>
      </c>
      <c r="L3584" s="26"/>
    </row>
    <row r="3585" spans="1:12">
      <c r="A3585" s="20" t="s">
        <v>1134</v>
      </c>
      <c r="E3585" s="21">
        <f>IF(D3585="?OLD","!!!","")</f>
        <v/>
      </c>
      <c r="F3585" s="22" t="str">
        <f>IF(OR(E3585="",E3585="!!!"),"",IF(NOT(ISNA(VLOOKUP(E3585,E$1:E3584,1,FALSE()))),"OLD",IF(AND(E3585&lt;&gt;"",E3585&lt;&gt;"!!!"),"NEW","")))</f>
        <v> </v>
      </c>
      <c r="G3585" s="23" t="str">
        <f>IF(OR(E3585="",E3585="!!!"),"",IF(OR(J3585=0,AND(J3585=1,K3585=1),AND(J3585=1,I3585="SBJ"),AND(J3585=1,I3585=0)),"?IN_FOCUS",IF(J3585&lt;=2,"?ACTIVATED",IF(J3585&lt;&gt;"","?FAMILIAR",IF(F3585="NEW",IF(ISNA(VLOOKUP(E3585,#REF!,1,FALSE())),"?TYPE_IDENTIFIABLE","?REFERENTIAL"),"_")))))</f>
        <v> </v>
      </c>
      <c r="H3585" s="24" t="str">
        <f>IF(J3585&lt;&gt;1,"",IF(I3585="SBJ","CB","?"))</f>
        <v> </v>
      </c>
      <c r="I3585" s="25" t="str">
        <f>IF(OR(E3585="",E3585="!!!",F3585="NEW"),"",INDEX(B3584:B$2,-1+SUMPRODUCT(MAX(ROW(E3584:E$2)*(E3585=E3584:E$2)))))</f>
        <v> </v>
      </c>
      <c r="J3585" s="25" t="str">
        <f>IF(OR(E3585="",E3585="!!!",F3585="NEW"),"",COUNTBLANK(OFFSET(A$1,,,SUMPRODUCT(MAX(ROW(E$2:E3585)*(E3585=E$2:E3585)))))-COUNTBLANK(OFFSET(A$1,,,SUMPRODUCT(MAX(ROW(E$1:E3584)*(E2=E$1:E3584))))))</f>
        <v> </v>
      </c>
      <c r="K3585" s="25" t="str">
        <f>IF(OR(E3585="",E3585="!!!",F3585="NEW"),"",INDEX(J$1:J3584,SUMPRODUCT(MAX(ROW(E$1:E3584)*(E3585=E$1:E3584)))))</f>
        <v> </v>
      </c>
      <c r="L3585" s="26"/>
    </row>
    <row r="3586" spans="1:12">
      <c r="A3586" s="20" t="s">
        <v>2721</v>
      </c>
      <c r="E3586" s="21">
        <f>IF(D3586="?OLD","!!!","")</f>
        <v/>
      </c>
      <c r="F3586" s="22" t="str">
        <f>IF(OR(E3586="",E3586="!!!"),"",IF(NOT(ISNA(VLOOKUP(E3586,E$1:E3585,1,FALSE()))),"OLD",IF(AND(E3586&lt;&gt;"",E3586&lt;&gt;"!!!"),"NEW","")))</f>
        <v> </v>
      </c>
      <c r="G3586" s="23" t="str">
        <f>IF(OR(E3586="",E3586="!!!"),"",IF(OR(J3586=0,AND(J3586=1,K3586=1),AND(J3586=1,I3586="SBJ"),AND(J3586=1,I3586=0)),"?IN_FOCUS",IF(J3586&lt;=2,"?ACTIVATED",IF(J3586&lt;&gt;"","?FAMILIAR",IF(F3586="NEW",IF(ISNA(VLOOKUP(E3586,#REF!,1,FALSE())),"?TYPE_IDENTIFIABLE","?REFERENTIAL"),"_")))))</f>
        <v> </v>
      </c>
      <c r="H3586" s="24" t="str">
        <f>IF(J3586&lt;&gt;1,"",IF(I3586="SBJ","CB","?"))</f>
        <v> </v>
      </c>
      <c r="I3586" s="25" t="str">
        <f>IF(OR(E3586="",E3586="!!!",F3586="NEW"),"",INDEX(B3585:B$2,-1+SUMPRODUCT(MAX(ROW(E3585:E$2)*(E3586=E3585:E$2)))))</f>
        <v> </v>
      </c>
      <c r="J3586" s="25" t="str">
        <f>IF(OR(E3586="",E3586="!!!",F3586="NEW"),"",COUNTBLANK(OFFSET(A$1,,,SUMPRODUCT(MAX(ROW(E$2:E3586)*(E3586=E$2:E3586)))))-COUNTBLANK(OFFSET(A$1,,,SUMPRODUCT(MAX(ROW(E$1:E3585)*(E2=E$1:E3585))))))</f>
        <v> </v>
      </c>
      <c r="K3586" s="25" t="str">
        <f>IF(OR(E3586="",E3586="!!!",F3586="NEW"),"",INDEX(J$1:J3585,SUMPRODUCT(MAX(ROW(E$1:E3585)*(E3586=E$1:E3585)))))</f>
        <v> </v>
      </c>
      <c r="L3586" s="26"/>
    </row>
    <row r="3587" spans="1:12">
      <c r="A3587" s="20" t="s">
        <v>2722</v>
      </c>
      <c r="E3587" s="21">
        <f>IF(D3587="?OLD","!!!","")</f>
        <v/>
      </c>
      <c r="F3587" s="22" t="str">
        <f>IF(OR(E3587="",E3587="!!!"),"",IF(NOT(ISNA(VLOOKUP(E3587,E$1:E3586,1,FALSE()))),"OLD",IF(AND(E3587&lt;&gt;"",E3587&lt;&gt;"!!!"),"NEW","")))</f>
        <v> </v>
      </c>
      <c r="G3587" s="23" t="str">
        <f>IF(OR(E3587="",E3587="!!!"),"",IF(OR(J3587=0,AND(J3587=1,K3587=1),AND(J3587=1,I3587="SBJ"),AND(J3587=1,I3587=0)),"?IN_FOCUS",IF(J3587&lt;=2,"?ACTIVATED",IF(J3587&lt;&gt;"","?FAMILIAR",IF(F3587="NEW",IF(ISNA(VLOOKUP(E3587,#REF!,1,FALSE())),"?TYPE_IDENTIFIABLE","?REFERENTIAL"),"_")))))</f>
        <v> </v>
      </c>
      <c r="H3587" s="24" t="str">
        <f>IF(J3587&lt;&gt;1,"",IF(I3587="SBJ","CB","?"))</f>
        <v> </v>
      </c>
      <c r="I3587" s="25" t="str">
        <f>IF(OR(E3587="",E3587="!!!",F3587="NEW"),"",INDEX(B3586:B$2,-1+SUMPRODUCT(MAX(ROW(E3586:E$2)*(E3587=E3586:E$2)))))</f>
        <v> </v>
      </c>
      <c r="J3587" s="25" t="str">
        <f>IF(OR(E3587="",E3587="!!!",F3587="NEW"),"",COUNTBLANK(OFFSET(A$1,,,SUMPRODUCT(MAX(ROW(E$2:E3587)*(E3587=E$2:E3587)))))-COUNTBLANK(OFFSET(A$1,,,SUMPRODUCT(MAX(ROW(E$1:E3586)*(E2=E$1:E3586))))))</f>
        <v> </v>
      </c>
      <c r="K3587" s="25" t="str">
        <f>IF(OR(E3587="",E3587="!!!",F3587="NEW"),"",INDEX(J$1:J3586,SUMPRODUCT(MAX(ROW(E$1:E3586)*(E3587=E$1:E3586)))))</f>
        <v> </v>
      </c>
      <c r="L3587" s="26"/>
    </row>
    <row r="3588" spans="1:12">
      <c r="A3588" s="20" t="s">
        <v>2723</v>
      </c>
      <c r="E3588" s="21">
        <f>IF(D3588="?OLD","!!!","")</f>
        <v/>
      </c>
      <c r="F3588" s="22" t="str">
        <f>IF(OR(E3588="",E3588="!!!"),"",IF(NOT(ISNA(VLOOKUP(E3588,E$1:E3587,1,FALSE()))),"OLD",IF(AND(E3588&lt;&gt;"",E3588&lt;&gt;"!!!"),"NEW","")))</f>
        <v> </v>
      </c>
      <c r="G3588" s="23" t="str">
        <f>IF(OR(E3588="",E3588="!!!"),"",IF(OR(J3588=0,AND(J3588=1,K3588=1),AND(J3588=1,I3588="SBJ"),AND(J3588=1,I3588=0)),"?IN_FOCUS",IF(J3588&lt;=2,"?ACTIVATED",IF(J3588&lt;&gt;"","?FAMILIAR",IF(F3588="NEW",IF(ISNA(VLOOKUP(E3588,#REF!,1,FALSE())),"?TYPE_IDENTIFIABLE","?REFERENTIAL"),"_")))))</f>
        <v> </v>
      </c>
      <c r="H3588" s="24" t="str">
        <f>IF(J3588&lt;&gt;1,"",IF(I3588="SBJ","CB","?"))</f>
        <v> </v>
      </c>
      <c r="I3588" s="25" t="str">
        <f>IF(OR(E3588="",E3588="!!!",F3588="NEW"),"",INDEX(B3587:B$2,-1+SUMPRODUCT(MAX(ROW(E3587:E$2)*(E3588=E3587:E$2)))))</f>
        <v> </v>
      </c>
      <c r="J3588" s="25" t="str">
        <f>IF(OR(E3588="",E3588="!!!",F3588="NEW"),"",COUNTBLANK(OFFSET(A$1,,,SUMPRODUCT(MAX(ROW(E$2:E3588)*(E3588=E$2:E3588)))))-COUNTBLANK(OFFSET(A$1,,,SUMPRODUCT(MAX(ROW(E$1:E3587)*(E2=E$1:E3587))))))</f>
        <v> </v>
      </c>
      <c r="K3588" s="25" t="str">
        <f>IF(OR(E3588="",E3588="!!!",F3588="NEW"),"",INDEX(J$1:J3587,SUMPRODUCT(MAX(ROW(E$1:E3587)*(E3588=E$1:E3587)))))</f>
        <v> </v>
      </c>
      <c r="L3588" s="26"/>
    </row>
    <row r="3589" spans="1:12">
      <c r="A3589" s="20" t="s">
        <v>2724</v>
      </c>
      <c r="E3589" s="21">
        <f>IF(D3589="?OLD","!!!","")</f>
        <v/>
      </c>
      <c r="F3589" s="22" t="str">
        <f>IF(OR(E3589="",E3589="!!!"),"",IF(NOT(ISNA(VLOOKUP(E3589,E$1:E3588,1,FALSE()))),"OLD",IF(AND(E3589&lt;&gt;"",E3589&lt;&gt;"!!!"),"NEW","")))</f>
        <v> </v>
      </c>
      <c r="G3589" s="23" t="str">
        <f>IF(OR(E3589="",E3589="!!!"),"",IF(OR(J3589=0,AND(J3589=1,K3589=1),AND(J3589=1,I3589="SBJ"),AND(J3589=1,I3589=0)),"?IN_FOCUS",IF(J3589&lt;=2,"?ACTIVATED",IF(J3589&lt;&gt;"","?FAMILIAR",IF(F3589="NEW",IF(ISNA(VLOOKUP(E3589,#REF!,1,FALSE())),"?TYPE_IDENTIFIABLE","?REFERENTIAL"),"_")))))</f>
        <v> </v>
      </c>
      <c r="H3589" s="24" t="str">
        <f>IF(J3589&lt;&gt;1,"",IF(I3589="SBJ","CB","?"))</f>
        <v> </v>
      </c>
      <c r="I3589" s="25" t="str">
        <f>IF(OR(E3589="",E3589="!!!",F3589="NEW"),"",INDEX(B3588:B$2,-1+SUMPRODUCT(MAX(ROW(E3588:E$2)*(E3589=E3588:E$2)))))</f>
        <v> </v>
      </c>
      <c r="J3589" s="25" t="str">
        <f>IF(OR(E3589="",E3589="!!!",F3589="NEW"),"",COUNTBLANK(OFFSET(A$1,,,SUMPRODUCT(MAX(ROW(E$2:E3589)*(E3589=E$2:E3589)))))-COUNTBLANK(OFFSET(A$1,,,SUMPRODUCT(MAX(ROW(E$1:E3588)*(E2=E$1:E3588))))))</f>
        <v> </v>
      </c>
      <c r="K3589" s="25" t="str">
        <f>IF(OR(E3589="",E3589="!!!",F3589="NEW"),"",INDEX(J$1:J3588,SUMPRODUCT(MAX(ROW(E$1:E3588)*(E3589=E$1:E3588)))))</f>
        <v> </v>
      </c>
      <c r="L3589" s="26"/>
    </row>
    <row r="3590" spans="1:12">
      <c r="A3590" s="20" t="s">
        <v>1145</v>
      </c>
      <c r="E3590" s="21">
        <f>IF(D3590="?OLD","!!!","")</f>
        <v/>
      </c>
      <c r="F3590" s="22" t="str">
        <f>IF(OR(E3590="",E3590="!!!"),"",IF(NOT(ISNA(VLOOKUP(E3590,E$1:E3589,1,FALSE()))),"OLD",IF(AND(E3590&lt;&gt;"",E3590&lt;&gt;"!!!"),"NEW","")))</f>
        <v> </v>
      </c>
      <c r="G3590" s="23" t="str">
        <f>IF(OR(E3590="",E3590="!!!"),"",IF(OR(J3590=0,AND(J3590=1,K3590=1),AND(J3590=1,I3590="SBJ"),AND(J3590=1,I3590=0)),"?IN_FOCUS",IF(J3590&lt;=2,"?ACTIVATED",IF(J3590&lt;&gt;"","?FAMILIAR",IF(F3590="NEW",IF(ISNA(VLOOKUP(E3590,#REF!,1,FALSE())),"?TYPE_IDENTIFIABLE","?REFERENTIAL"),"_")))))</f>
        <v> </v>
      </c>
      <c r="H3590" s="24" t="str">
        <f>IF(J3590&lt;&gt;1,"",IF(I3590="SBJ","CB","?"))</f>
        <v> </v>
      </c>
      <c r="I3590" s="25" t="str">
        <f>IF(OR(E3590="",E3590="!!!",F3590="NEW"),"",INDEX(B3589:B$2,-1+SUMPRODUCT(MAX(ROW(E3589:E$2)*(E3590=E3589:E$2)))))</f>
        <v> </v>
      </c>
      <c r="J3590" s="25" t="str">
        <f>IF(OR(E3590="",E3590="!!!",F3590="NEW"),"",COUNTBLANK(OFFSET(A$1,,,SUMPRODUCT(MAX(ROW(E$2:E3590)*(E3590=E$2:E3590)))))-COUNTBLANK(OFFSET(A$1,,,SUMPRODUCT(MAX(ROW(E$1:E3589)*(E2=E$1:E3589))))))</f>
        <v> </v>
      </c>
      <c r="K3590" s="25" t="str">
        <f>IF(OR(E3590="",E3590="!!!",F3590="NEW"),"",INDEX(J$1:J3589,SUMPRODUCT(MAX(ROW(E$1:E3589)*(E3590=E$1:E3589)))))</f>
        <v> </v>
      </c>
      <c r="L3590" s="26"/>
    </row>
    <row r="3591" spans="1:12">
      <c r="A3591" s="20"/>
    </row>
    <row r="3592" spans="1:12">
      <c r="A3592" s="20" t="s">
        <v>2725</v>
      </c>
    </row>
    <row r="3593" spans="1:12">
      <c r="A3593" s="20" t="s">
        <v>2281</v>
      </c>
      <c r="E3593" s="21">
        <f>IF(D3593="?OLD","!!!","")</f>
        <v/>
      </c>
      <c r="F3593" s="22" t="str">
        <f>IF(OR(E3593="",E3593="!!!"),"",IF(NOT(ISNA(VLOOKUP(E3593,E$1:E3592,1,FALSE()))),"OLD",IF(AND(E3593&lt;&gt;"",E3593&lt;&gt;"!!!"),"NEW","")))</f>
        <v> </v>
      </c>
      <c r="G3593" s="23" t="str">
        <f>IF(OR(E3593="",E3593="!!!"),"",IF(OR(J3593=0,AND(J3593=1,K3593=1),AND(J3593=1,I3593="SBJ"),AND(J3593=1,I3593=0)),"?IN_FOCUS",IF(J3593&lt;=2,"?ACTIVATED",IF(J3593&lt;&gt;"","?FAMILIAR",IF(F3593="NEW",IF(ISNA(VLOOKUP(E3593,#REF!,1,FALSE())),"?TYPE_IDENTIFIABLE","?REFERENTIAL"),"_")))))</f>
        <v> </v>
      </c>
      <c r="H3593" s="24" t="str">
        <f>IF(J3593&lt;&gt;1,"",IF(I3593="SBJ","CB","?"))</f>
        <v> </v>
      </c>
      <c r="I3593" s="25" t="str">
        <f>IF(OR(E3593="",E3593="!!!",F3593="NEW"),"",INDEX(B3592:B$2,-1+SUMPRODUCT(MAX(ROW(E3592:E$2)*(E3593=E3592:E$2)))))</f>
        <v> </v>
      </c>
      <c r="J3593" s="25" t="str">
        <f>IF(OR(E3593="",E3593="!!!",F3593="NEW"),"",COUNTBLANK(OFFSET(A$1,,,SUMPRODUCT(MAX(ROW(E$2:E3593)*(E3593=E$2:E3593)))))-COUNTBLANK(OFFSET(A$1,,,SUMPRODUCT(MAX(ROW(E$1:E3592)*(E2=E$1:E3592))))))</f>
        <v> </v>
      </c>
      <c r="K3593" s="25" t="str">
        <f>IF(OR(E3593="",E3593="!!!",F3593="NEW"),"",INDEX(J$1:J3592,SUMPRODUCT(MAX(ROW(E$1:E3592)*(E3593=E$1:E3592)))))</f>
        <v> </v>
      </c>
      <c r="L3593" s="26"/>
    </row>
    <row r="3594" spans="1:12">
      <c r="A3594" s="20" t="s">
        <v>2726</v>
      </c>
      <c r="E3594" s="21">
        <f>IF(D3594="?OLD","!!!","")</f>
        <v/>
      </c>
      <c r="F3594" s="22" t="str">
        <f>IF(OR(E3594="",E3594="!!!"),"",IF(NOT(ISNA(VLOOKUP(E3594,E$1:E3593,1,FALSE()))),"OLD",IF(AND(E3594&lt;&gt;"",E3594&lt;&gt;"!!!"),"NEW","")))</f>
        <v> </v>
      </c>
      <c r="G3594" s="23" t="str">
        <f>IF(OR(E3594="",E3594="!!!"),"",IF(OR(J3594=0,AND(J3594=1,K3594=1),AND(J3594=1,I3594="SBJ"),AND(J3594=1,I3594=0)),"?IN_FOCUS",IF(J3594&lt;=2,"?ACTIVATED",IF(J3594&lt;&gt;"","?FAMILIAR",IF(F3594="NEW",IF(ISNA(VLOOKUP(E3594,#REF!,1,FALSE())),"?TYPE_IDENTIFIABLE","?REFERENTIAL"),"_")))))</f>
        <v> </v>
      </c>
      <c r="H3594" s="24" t="str">
        <f>IF(J3594&lt;&gt;1,"",IF(I3594="SBJ","CB","?"))</f>
        <v> </v>
      </c>
      <c r="I3594" s="25" t="str">
        <f>IF(OR(E3594="",E3594="!!!",F3594="NEW"),"",INDEX(B3593:B$2,-1+SUMPRODUCT(MAX(ROW(E3593:E$2)*(E3594=E3593:E$2)))))</f>
        <v> </v>
      </c>
      <c r="J3594" s="25" t="str">
        <f>IF(OR(E3594="",E3594="!!!",F3594="NEW"),"",COUNTBLANK(OFFSET(A$1,,,SUMPRODUCT(MAX(ROW(E$2:E3594)*(E3594=E$2:E3594)))))-COUNTBLANK(OFFSET(A$1,,,SUMPRODUCT(MAX(ROW(E$1:E3593)*(E2=E$1:E3593))))))</f>
        <v> </v>
      </c>
      <c r="K3594" s="25" t="str">
        <f>IF(OR(E3594="",E3594="!!!",F3594="NEW"),"",INDEX(J$1:J3593,SUMPRODUCT(MAX(ROW(E$1:E3593)*(E3594=E$1:E3593)))))</f>
        <v> </v>
      </c>
      <c r="L3594" s="26"/>
    </row>
    <row r="3595" spans="1:12">
      <c r="A3595" s="20" t="s">
        <v>1124</v>
      </c>
      <c r="B3595" s="27" t="s">
        <v>1149</v>
      </c>
      <c r="C3595" s="27" t="s">
        <v>1126</v>
      </c>
      <c r="D3595" s="27" t="s">
        <v>1105</v>
      </c>
      <c r="E3595" s="21">
        <f>IF(D3595="?OLD","!!!","")</f>
        <v/>
      </c>
      <c r="F3595" s="22" t="str">
        <f>IF(OR(E3595="",E3595="!!!"),"",IF(NOT(ISNA(VLOOKUP(E3595,E$1:E3594,1,FALSE()))),"OLD",IF(AND(E3595&lt;&gt;"",E3595&lt;&gt;"!!!"),"NEW","")))</f>
        <v> </v>
      </c>
      <c r="G3595" s="23" t="str">
        <f>IF(OR(E3595="",E3595="!!!"),"",IF(OR(J3595=0,AND(J3595=1,K3595=1),AND(J3595=1,I3595="SBJ"),AND(J3595=1,I3595=0)),"?IN_FOCUS",IF(J3595&lt;=2,"?ACTIVATED",IF(J3595&lt;&gt;"","?FAMILIAR",IF(F3595="NEW",IF(ISNA(VLOOKUP(E3595,#REF!,1,FALSE())),"?TYPE_IDENTIFIABLE","?REFERENTIAL"),"_")))))</f>
        <v> </v>
      </c>
      <c r="H3595" s="24" t="str">
        <f>IF(J3595&lt;&gt;1,"",IF(I3595="SBJ","CB","?"))</f>
        <v> </v>
      </c>
      <c r="I3595" s="25" t="str">
        <f>IF(OR(E3595="",E3595="!!!",F3595="NEW"),"",INDEX(B3594:B$2,-1+SUMPRODUCT(MAX(ROW(E3594:E$2)*(E3595=E3594:E$2)))))</f>
        <v> </v>
      </c>
      <c r="J3595" s="25" t="str">
        <f>IF(OR(E3595="",E3595="!!!",F3595="NEW"),"",COUNTBLANK(OFFSET(A$1,,,SUMPRODUCT(MAX(ROW(E$2:E3595)*(E3595=E$2:E3595)))))-COUNTBLANK(OFFSET(A$1,,,SUMPRODUCT(MAX(ROW(E$1:E3594)*(E2=E$1:E3594))))))</f>
        <v> </v>
      </c>
      <c r="K3595" s="25" t="str">
        <f>IF(OR(E3595="",E3595="!!!",F3595="NEW"),"",INDEX(J$1:J3594,SUMPRODUCT(MAX(ROW(E$1:E3594)*(E3595=E$1:E3594)))))</f>
        <v> </v>
      </c>
      <c r="L3595" s="26"/>
    </row>
    <row r="3596" spans="1:12">
      <c r="A3596" s="20" t="s">
        <v>2167</v>
      </c>
      <c r="E3596" s="21">
        <f>IF(D3596="?OLD","!!!","")</f>
        <v/>
      </c>
      <c r="F3596" s="22" t="str">
        <f>IF(OR(E3596="",E3596="!!!"),"",IF(NOT(ISNA(VLOOKUP(E3596,E$1:E3595,1,FALSE()))),"OLD",IF(AND(E3596&lt;&gt;"",E3596&lt;&gt;"!!!"),"NEW","")))</f>
        <v> </v>
      </c>
      <c r="G3596" s="23" t="str">
        <f>IF(OR(E3596="",E3596="!!!"),"",IF(OR(J3596=0,AND(J3596=1,K3596=1),AND(J3596=1,I3596="SBJ"),AND(J3596=1,I3596=0)),"?IN_FOCUS",IF(J3596&lt;=2,"?ACTIVATED",IF(J3596&lt;&gt;"","?FAMILIAR",IF(F3596="NEW",IF(ISNA(VLOOKUP(E3596,#REF!,1,FALSE())),"?TYPE_IDENTIFIABLE","?REFERENTIAL"),"_")))))</f>
        <v> </v>
      </c>
      <c r="H3596" s="24" t="str">
        <f>IF(J3596&lt;&gt;1,"",IF(I3596="SBJ","CB","?"))</f>
        <v> </v>
      </c>
      <c r="I3596" s="25" t="str">
        <f>IF(OR(E3596="",E3596="!!!",F3596="NEW"),"",INDEX(B3595:B$2,-1+SUMPRODUCT(MAX(ROW(E3595:E$2)*(E3596=E3595:E$2)))))</f>
        <v> </v>
      </c>
      <c r="J3596" s="25" t="str">
        <f>IF(OR(E3596="",E3596="!!!",F3596="NEW"),"",COUNTBLANK(OFFSET(A$1,,,SUMPRODUCT(MAX(ROW(E$2:E3596)*(E3596=E$2:E3596)))))-COUNTBLANK(OFFSET(A$1,,,SUMPRODUCT(MAX(ROW(E$1:E3595)*(E2=E$1:E3595))))))</f>
        <v> </v>
      </c>
      <c r="K3596" s="25" t="str">
        <f>IF(OR(E3596="",E3596="!!!",F3596="NEW"),"",INDEX(J$1:J3595,SUMPRODUCT(MAX(ROW(E$1:E3595)*(E3596=E$1:E3595)))))</f>
        <v> </v>
      </c>
      <c r="L3596" s="26"/>
    </row>
    <row r="3597" spans="1:12">
      <c r="A3597" s="20" t="s">
        <v>1169</v>
      </c>
      <c r="E3597" s="21">
        <f>IF(D3597="?OLD","!!!","")</f>
        <v/>
      </c>
      <c r="F3597" s="22" t="str">
        <f>IF(OR(E3597="",E3597="!!!"),"",IF(NOT(ISNA(VLOOKUP(E3597,E$1:E3596,1,FALSE()))),"OLD",IF(AND(E3597&lt;&gt;"",E3597&lt;&gt;"!!!"),"NEW","")))</f>
        <v> </v>
      </c>
      <c r="G3597" s="23" t="str">
        <f>IF(OR(E3597="",E3597="!!!"),"",IF(OR(J3597=0,AND(J3597=1,K3597=1),AND(J3597=1,I3597="SBJ"),AND(J3597=1,I3597=0)),"?IN_FOCUS",IF(J3597&lt;=2,"?ACTIVATED",IF(J3597&lt;&gt;"","?FAMILIAR",IF(F3597="NEW",IF(ISNA(VLOOKUP(E3597,#REF!,1,FALSE())),"?TYPE_IDENTIFIABLE","?REFERENTIAL"),"_")))))</f>
        <v> </v>
      </c>
      <c r="H3597" s="24" t="str">
        <f>IF(J3597&lt;&gt;1,"",IF(I3597="SBJ","CB","?"))</f>
        <v> </v>
      </c>
      <c r="I3597" s="25" t="str">
        <f>IF(OR(E3597="",E3597="!!!",F3597="NEW"),"",INDEX(B3596:B$2,-1+SUMPRODUCT(MAX(ROW(E3596:E$2)*(E3597=E3596:E$2)))))</f>
        <v> </v>
      </c>
      <c r="J3597" s="25" t="str">
        <f>IF(OR(E3597="",E3597="!!!",F3597="NEW"),"",COUNTBLANK(OFFSET(A$1,,,SUMPRODUCT(MAX(ROW(E$2:E3597)*(E3597=E$2:E3597)))))-COUNTBLANK(OFFSET(A$1,,,SUMPRODUCT(MAX(ROW(E$1:E3596)*(E2=E$1:E3596))))))</f>
        <v> </v>
      </c>
      <c r="K3597" s="25" t="str">
        <f>IF(OR(E3597="",E3597="!!!",F3597="NEW"),"",INDEX(J$1:J3596,SUMPRODUCT(MAX(ROW(E$1:E3596)*(E3597=E$1:E3596)))))</f>
        <v> </v>
      </c>
      <c r="L3597" s="26"/>
    </row>
    <row r="3598" spans="1:12">
      <c r="A3598" s="20" t="s">
        <v>2727</v>
      </c>
      <c r="E3598" s="21">
        <f>IF(D3598="?OLD","!!!","")</f>
        <v/>
      </c>
      <c r="F3598" s="22" t="str">
        <f>IF(OR(E3598="",E3598="!!!"),"",IF(NOT(ISNA(VLOOKUP(E3598,E$1:E3597,1,FALSE()))),"OLD",IF(AND(E3598&lt;&gt;"",E3598&lt;&gt;"!!!"),"NEW","")))</f>
        <v> </v>
      </c>
      <c r="G3598" s="23" t="str">
        <f>IF(OR(E3598="",E3598="!!!"),"",IF(OR(J3598=0,AND(J3598=1,K3598=1),AND(J3598=1,I3598="SBJ"),AND(J3598=1,I3598=0)),"?IN_FOCUS",IF(J3598&lt;=2,"?ACTIVATED",IF(J3598&lt;&gt;"","?FAMILIAR",IF(F3598="NEW",IF(ISNA(VLOOKUP(E3598,#REF!,1,FALSE())),"?TYPE_IDENTIFIABLE","?REFERENTIAL"),"_")))))</f>
        <v> </v>
      </c>
      <c r="H3598" s="24" t="str">
        <f>IF(J3598&lt;&gt;1,"",IF(I3598="SBJ","CB","?"))</f>
        <v> </v>
      </c>
      <c r="I3598" s="25" t="str">
        <f>IF(OR(E3598="",E3598="!!!",F3598="NEW"),"",INDEX(B3597:B$2,-1+SUMPRODUCT(MAX(ROW(E3597:E$2)*(E3598=E3597:E$2)))))</f>
        <v> </v>
      </c>
      <c r="J3598" s="25" t="str">
        <f>IF(OR(E3598="",E3598="!!!",F3598="NEW"),"",COUNTBLANK(OFFSET(A$1,,,SUMPRODUCT(MAX(ROW(E$2:E3598)*(E3598=E$2:E3598)))))-COUNTBLANK(OFFSET(A$1,,,SUMPRODUCT(MAX(ROW(E$1:E3597)*(E2=E$1:E3597))))))</f>
        <v> </v>
      </c>
      <c r="K3598" s="25" t="str">
        <f>IF(OR(E3598="",E3598="!!!",F3598="NEW"),"",INDEX(J$1:J3597,SUMPRODUCT(MAX(ROW(E$1:E3597)*(E3598=E$1:E3597)))))</f>
        <v> </v>
      </c>
      <c r="L3598" s="26"/>
    </row>
    <row r="3599" spans="1:12">
      <c r="A3599" s="20" t="s">
        <v>1184</v>
      </c>
      <c r="E3599" s="21">
        <f>IF(D3599="?OLD","!!!","")</f>
        <v/>
      </c>
      <c r="F3599" s="22" t="str">
        <f>IF(OR(E3599="",E3599="!!!"),"",IF(NOT(ISNA(VLOOKUP(E3599,E$1:E3598,1,FALSE()))),"OLD",IF(AND(E3599&lt;&gt;"",E3599&lt;&gt;"!!!"),"NEW","")))</f>
        <v> </v>
      </c>
      <c r="G3599" s="23" t="str">
        <f>IF(OR(E3599="",E3599="!!!"),"",IF(OR(J3599=0,AND(J3599=1,K3599=1),AND(J3599=1,I3599="SBJ"),AND(J3599=1,I3599=0)),"?IN_FOCUS",IF(J3599&lt;=2,"?ACTIVATED",IF(J3599&lt;&gt;"","?FAMILIAR",IF(F3599="NEW",IF(ISNA(VLOOKUP(E3599,#REF!,1,FALSE())),"?TYPE_IDENTIFIABLE","?REFERENTIAL"),"_")))))</f>
        <v> </v>
      </c>
      <c r="H3599" s="24" t="str">
        <f>IF(J3599&lt;&gt;1,"",IF(I3599="SBJ","CB","?"))</f>
        <v> </v>
      </c>
      <c r="I3599" s="25" t="str">
        <f>IF(OR(E3599="",E3599="!!!",F3599="NEW"),"",INDEX(B3598:B$2,-1+SUMPRODUCT(MAX(ROW(E3598:E$2)*(E3599=E3598:E$2)))))</f>
        <v> </v>
      </c>
      <c r="J3599" s="25" t="str">
        <f>IF(OR(E3599="",E3599="!!!",F3599="NEW"),"",COUNTBLANK(OFFSET(A$1,,,SUMPRODUCT(MAX(ROW(E$2:E3599)*(E3599=E$2:E3599)))))-COUNTBLANK(OFFSET(A$1,,,SUMPRODUCT(MAX(ROW(E$1:E3598)*(E2=E$1:E3598))))))</f>
        <v> </v>
      </c>
      <c r="K3599" s="25" t="str">
        <f>IF(OR(E3599="",E3599="!!!",F3599="NEW"),"",INDEX(J$1:J3598,SUMPRODUCT(MAX(ROW(E$1:E3598)*(E3599=E$1:E3598)))))</f>
        <v> </v>
      </c>
      <c r="L3599" s="26"/>
    </row>
    <row r="3600" spans="1:12">
      <c r="A3600" s="20" t="s">
        <v>2728</v>
      </c>
      <c r="E3600" s="21">
        <f>IF(D3600="?OLD","!!!","")</f>
        <v/>
      </c>
      <c r="F3600" s="22" t="str">
        <f>IF(OR(E3600="",E3600="!!!"),"",IF(NOT(ISNA(VLOOKUP(E3600,E$1:E3599,1,FALSE()))),"OLD",IF(AND(E3600&lt;&gt;"",E3600&lt;&gt;"!!!"),"NEW","")))</f>
        <v> </v>
      </c>
      <c r="G3600" s="23" t="str">
        <f>IF(OR(E3600="",E3600="!!!"),"",IF(OR(J3600=0,AND(J3600=1,K3600=1),AND(J3600=1,I3600="SBJ"),AND(J3600=1,I3600=0)),"?IN_FOCUS",IF(J3600&lt;=2,"?ACTIVATED",IF(J3600&lt;&gt;"","?FAMILIAR",IF(F3600="NEW",IF(ISNA(VLOOKUP(E3600,#REF!,1,FALSE())),"?TYPE_IDENTIFIABLE","?REFERENTIAL"),"_")))))</f>
        <v> </v>
      </c>
      <c r="H3600" s="24" t="str">
        <f>IF(J3600&lt;&gt;1,"",IF(I3600="SBJ","CB","?"))</f>
        <v> </v>
      </c>
      <c r="I3600" s="25" t="str">
        <f>IF(OR(E3600="",E3600="!!!",F3600="NEW"),"",INDEX(B3599:B$2,-1+SUMPRODUCT(MAX(ROW(E3599:E$2)*(E3600=E3599:E$2)))))</f>
        <v> </v>
      </c>
      <c r="J3600" s="25" t="str">
        <f>IF(OR(E3600="",E3600="!!!",F3600="NEW"),"",COUNTBLANK(OFFSET(A$1,,,SUMPRODUCT(MAX(ROW(E$2:E3600)*(E3600=E$2:E3600)))))-COUNTBLANK(OFFSET(A$1,,,SUMPRODUCT(MAX(ROW(E$1:E3599)*(E2=E$1:E3599))))))</f>
        <v> </v>
      </c>
      <c r="K3600" s="25" t="str">
        <f>IF(OR(E3600="",E3600="!!!",F3600="NEW"),"",INDEX(J$1:J3599,SUMPRODUCT(MAX(ROW(E$1:E3599)*(E3600=E$1:E3599)))))</f>
        <v> </v>
      </c>
      <c r="L3600" s="26"/>
    </row>
    <row r="3601" spans="1:12">
      <c r="A3601" s="20" t="s">
        <v>2481</v>
      </c>
      <c r="E3601" s="21">
        <f>IF(D3601="?OLD","!!!","")</f>
        <v/>
      </c>
      <c r="F3601" s="22" t="str">
        <f>IF(OR(E3601="",E3601="!!!"),"",IF(NOT(ISNA(VLOOKUP(E3601,E$1:E3600,1,FALSE()))),"OLD",IF(AND(E3601&lt;&gt;"",E3601&lt;&gt;"!!!"),"NEW","")))</f>
        <v> </v>
      </c>
      <c r="G3601" s="23" t="str">
        <f>IF(OR(E3601="",E3601="!!!"),"",IF(OR(J3601=0,AND(J3601=1,K3601=1),AND(J3601=1,I3601="SBJ"),AND(J3601=1,I3601=0)),"?IN_FOCUS",IF(J3601&lt;=2,"?ACTIVATED",IF(J3601&lt;&gt;"","?FAMILIAR",IF(F3601="NEW",IF(ISNA(VLOOKUP(E3601,#REF!,1,FALSE())),"?TYPE_IDENTIFIABLE","?REFERENTIAL"),"_")))))</f>
        <v> </v>
      </c>
      <c r="H3601" s="24" t="str">
        <f>IF(J3601&lt;&gt;1,"",IF(I3601="SBJ","CB","?"))</f>
        <v> </v>
      </c>
      <c r="I3601" s="25" t="str">
        <f>IF(OR(E3601="",E3601="!!!",F3601="NEW"),"",INDEX(B3600:B$2,-1+SUMPRODUCT(MAX(ROW(E3600:E$2)*(E3601=E3600:E$2)))))</f>
        <v> </v>
      </c>
      <c r="J3601" s="25" t="str">
        <f>IF(OR(E3601="",E3601="!!!",F3601="NEW"),"",COUNTBLANK(OFFSET(A$1,,,SUMPRODUCT(MAX(ROW(E$2:E3601)*(E3601=E$2:E3601)))))-COUNTBLANK(OFFSET(A$1,,,SUMPRODUCT(MAX(ROW(E$1:E3600)*(E2=E$1:E3600))))))</f>
        <v> </v>
      </c>
      <c r="K3601" s="25" t="str">
        <f>IF(OR(E3601="",E3601="!!!",F3601="NEW"),"",INDEX(J$1:J3600,SUMPRODUCT(MAX(ROW(E$1:E3600)*(E3601=E$1:E3600)))))</f>
        <v> </v>
      </c>
      <c r="L3601" s="26"/>
    </row>
    <row r="3602" spans="1:12">
      <c r="A3602" s="20" t="s">
        <v>2729</v>
      </c>
      <c r="E3602" s="21">
        <f>IF(D3602="?OLD","!!!","")</f>
        <v/>
      </c>
      <c r="F3602" s="22" t="str">
        <f>IF(OR(E3602="",E3602="!!!"),"",IF(NOT(ISNA(VLOOKUP(E3602,E$1:E3601,1,FALSE()))),"OLD",IF(AND(E3602&lt;&gt;"",E3602&lt;&gt;"!!!"),"NEW","")))</f>
        <v> </v>
      </c>
      <c r="G3602" s="23" t="str">
        <f>IF(OR(E3602="",E3602="!!!"),"",IF(OR(J3602=0,AND(J3602=1,K3602=1),AND(J3602=1,I3602="SBJ"),AND(J3602=1,I3602=0)),"?IN_FOCUS",IF(J3602&lt;=2,"?ACTIVATED",IF(J3602&lt;&gt;"","?FAMILIAR",IF(F3602="NEW",IF(ISNA(VLOOKUP(E3602,#REF!,1,FALSE())),"?TYPE_IDENTIFIABLE","?REFERENTIAL"),"_")))))</f>
        <v> </v>
      </c>
      <c r="H3602" s="24" t="str">
        <f>IF(J3602&lt;&gt;1,"",IF(I3602="SBJ","CB","?"))</f>
        <v> </v>
      </c>
      <c r="I3602" s="25" t="str">
        <f>IF(OR(E3602="",E3602="!!!",F3602="NEW"),"",INDEX(B3601:B$2,-1+SUMPRODUCT(MAX(ROW(E3601:E$2)*(E3602=E3601:E$2)))))</f>
        <v> </v>
      </c>
      <c r="J3602" s="25" t="str">
        <f>IF(OR(E3602="",E3602="!!!",F3602="NEW"),"",COUNTBLANK(OFFSET(A$1,,,SUMPRODUCT(MAX(ROW(E$2:E3602)*(E3602=E$2:E3602)))))-COUNTBLANK(OFFSET(A$1,,,SUMPRODUCT(MAX(ROW(E$1:E3601)*(E2=E$1:E3601))))))</f>
        <v> </v>
      </c>
      <c r="K3602" s="25" t="str">
        <f>IF(OR(E3602="",E3602="!!!",F3602="NEW"),"",INDEX(J$1:J3601,SUMPRODUCT(MAX(ROW(E$1:E3601)*(E3602=E$1:E3601)))))</f>
        <v> </v>
      </c>
      <c r="L3602" s="26"/>
    </row>
    <row r="3603" spans="1:12">
      <c r="A3603" s="20" t="s">
        <v>2730</v>
      </c>
      <c r="E3603" s="21">
        <f>IF(D3603="?OLD","!!!","")</f>
        <v/>
      </c>
      <c r="F3603" s="22" t="str">
        <f>IF(OR(E3603="",E3603="!!!"),"",IF(NOT(ISNA(VLOOKUP(E3603,E$1:E3602,1,FALSE()))),"OLD",IF(AND(E3603&lt;&gt;"",E3603&lt;&gt;"!!!"),"NEW","")))</f>
        <v> </v>
      </c>
      <c r="G3603" s="23" t="str">
        <f>IF(OR(E3603="",E3603="!!!"),"",IF(OR(J3603=0,AND(J3603=1,K3603=1),AND(J3603=1,I3603="SBJ"),AND(J3603=1,I3603=0)),"?IN_FOCUS",IF(J3603&lt;=2,"?ACTIVATED",IF(J3603&lt;&gt;"","?FAMILIAR",IF(F3603="NEW",IF(ISNA(VLOOKUP(E3603,#REF!,1,FALSE())),"?TYPE_IDENTIFIABLE","?REFERENTIAL"),"_")))))</f>
        <v> </v>
      </c>
      <c r="H3603" s="24" t="str">
        <f>IF(J3603&lt;&gt;1,"",IF(I3603="SBJ","CB","?"))</f>
        <v> </v>
      </c>
      <c r="I3603" s="25" t="str">
        <f>IF(OR(E3603="",E3603="!!!",F3603="NEW"),"",INDEX(B3602:B$2,-1+SUMPRODUCT(MAX(ROW(E3602:E$2)*(E3603=E3602:E$2)))))</f>
        <v> </v>
      </c>
      <c r="J3603" s="25" t="str">
        <f>IF(OR(E3603="",E3603="!!!",F3603="NEW"),"",COUNTBLANK(OFFSET(A$1,,,SUMPRODUCT(MAX(ROW(E$2:E3603)*(E3603=E$2:E3603)))))-COUNTBLANK(OFFSET(A$1,,,SUMPRODUCT(MAX(ROW(E$1:E3602)*(E2=E$1:E3602))))))</f>
        <v> </v>
      </c>
      <c r="K3603" s="25" t="str">
        <f>IF(OR(E3603="",E3603="!!!",F3603="NEW"),"",INDEX(J$1:J3602,SUMPRODUCT(MAX(ROW(E$1:E3602)*(E3603=E$1:E3602)))))</f>
        <v> </v>
      </c>
      <c r="L3603" s="26"/>
    </row>
    <row r="3604" spans="1:12">
      <c r="A3604" s="20" t="s">
        <v>2731</v>
      </c>
      <c r="B3604" s="27" t="s">
        <v>1110</v>
      </c>
      <c r="C3604" s="27" t="s">
        <v>1108</v>
      </c>
      <c r="D3604" s="27" t="s">
        <v>1105</v>
      </c>
      <c r="E3604" s="21">
        <f>IF(D3604="?OLD","!!!","")</f>
        <v/>
      </c>
      <c r="F3604" s="22" t="str">
        <f>IF(OR(E3604="",E3604="!!!"),"",IF(NOT(ISNA(VLOOKUP(E3604,E$1:E3603,1,FALSE()))),"OLD",IF(AND(E3604&lt;&gt;"",E3604&lt;&gt;"!!!"),"NEW","")))</f>
        <v> </v>
      </c>
      <c r="G3604" s="23" t="str">
        <f>IF(OR(E3604="",E3604="!!!"),"",IF(OR(J3604=0,AND(J3604=1,K3604=1),AND(J3604=1,I3604="SBJ"),AND(J3604=1,I3604=0)),"?IN_FOCUS",IF(J3604&lt;=2,"?ACTIVATED",IF(J3604&lt;&gt;"","?FAMILIAR",IF(F3604="NEW",IF(ISNA(VLOOKUP(E3604,#REF!,1,FALSE())),"?TYPE_IDENTIFIABLE","?REFERENTIAL"),"_")))))</f>
        <v> </v>
      </c>
      <c r="H3604" s="24" t="str">
        <f>IF(J3604&lt;&gt;1,"",IF(I3604="SBJ","CB","?"))</f>
        <v> </v>
      </c>
      <c r="I3604" s="25" t="str">
        <f>IF(OR(E3604="",E3604="!!!",F3604="NEW"),"",INDEX(B3603:B$2,-1+SUMPRODUCT(MAX(ROW(E3603:E$2)*(E3604=E3603:E$2)))))</f>
        <v> </v>
      </c>
      <c r="J3604" s="25" t="str">
        <f>IF(OR(E3604="",E3604="!!!",F3604="NEW"),"",COUNTBLANK(OFFSET(A$1,,,SUMPRODUCT(MAX(ROW(E$2:E3604)*(E3604=E$2:E3604)))))-COUNTBLANK(OFFSET(A$1,,,SUMPRODUCT(MAX(ROW(E$1:E3603)*(E2=E$1:E3603))))))</f>
        <v> </v>
      </c>
      <c r="K3604" s="25" t="str">
        <f>IF(OR(E3604="",E3604="!!!",F3604="NEW"),"",INDEX(J$1:J3603,SUMPRODUCT(MAX(ROW(E$1:E3603)*(E3604=E$1:E3603)))))</f>
        <v> </v>
      </c>
      <c r="L3604" s="26"/>
    </row>
    <row r="3605" spans="1:12">
      <c r="A3605" s="20" t="s">
        <v>1145</v>
      </c>
      <c r="E3605" s="21">
        <f>IF(D3605="?OLD","!!!","")</f>
        <v/>
      </c>
      <c r="F3605" s="22" t="str">
        <f>IF(OR(E3605="",E3605="!!!"),"",IF(NOT(ISNA(VLOOKUP(E3605,E$1:E3604,1,FALSE()))),"OLD",IF(AND(E3605&lt;&gt;"",E3605&lt;&gt;"!!!"),"NEW","")))</f>
        <v> </v>
      </c>
      <c r="G3605" s="23" t="str">
        <f>IF(OR(E3605="",E3605="!!!"),"",IF(OR(J3605=0,AND(J3605=1,K3605=1),AND(J3605=1,I3605="SBJ"),AND(J3605=1,I3605=0)),"?IN_FOCUS",IF(J3605&lt;=2,"?ACTIVATED",IF(J3605&lt;&gt;"","?FAMILIAR",IF(F3605="NEW",IF(ISNA(VLOOKUP(E3605,#REF!,1,FALSE())),"?TYPE_IDENTIFIABLE","?REFERENTIAL"),"_")))))</f>
        <v> </v>
      </c>
      <c r="H3605" s="24" t="str">
        <f>IF(J3605&lt;&gt;1,"",IF(I3605="SBJ","CB","?"))</f>
        <v> </v>
      </c>
      <c r="I3605" s="25" t="str">
        <f>IF(OR(E3605="",E3605="!!!",F3605="NEW"),"",INDEX(B3604:B$2,-1+SUMPRODUCT(MAX(ROW(E3604:E$2)*(E3605=E3604:E$2)))))</f>
        <v> </v>
      </c>
      <c r="J3605" s="25" t="str">
        <f>IF(OR(E3605="",E3605="!!!",F3605="NEW"),"",COUNTBLANK(OFFSET(A$1,,,SUMPRODUCT(MAX(ROW(E$2:E3605)*(E3605=E$2:E3605)))))-COUNTBLANK(OFFSET(A$1,,,SUMPRODUCT(MAX(ROW(E$1:E3604)*(E2=E$1:E3604))))))</f>
        <v> </v>
      </c>
      <c r="K3605" s="25" t="str">
        <f>IF(OR(E3605="",E3605="!!!",F3605="NEW"),"",INDEX(J$1:J3604,SUMPRODUCT(MAX(ROW(E$1:E3604)*(E3605=E$1:E3604)))))</f>
        <v> </v>
      </c>
      <c r="L3605" s="26"/>
    </row>
    <row r="3606" spans="1:12">
      <c r="A3606" s="20"/>
    </row>
    <row r="3607" spans="1:12">
      <c r="A3607" s="20" t="s">
        <v>2732</v>
      </c>
    </row>
    <row r="3608" spans="1:12">
      <c r="A3608" s="20" t="s">
        <v>1277</v>
      </c>
      <c r="E3608" s="21">
        <f>IF(D3608="?OLD","!!!","")</f>
        <v/>
      </c>
      <c r="F3608" s="22" t="str">
        <f>IF(OR(E3608="",E3608="!!!"),"",IF(NOT(ISNA(VLOOKUP(E3608,E$1:E3607,1,FALSE()))),"OLD",IF(AND(E3608&lt;&gt;"",E3608&lt;&gt;"!!!"),"NEW","")))</f>
        <v> </v>
      </c>
      <c r="G3608" s="23" t="str">
        <f>IF(OR(E3608="",E3608="!!!"),"",IF(OR(J3608=0,AND(J3608=1,K3608=1),AND(J3608=1,I3608="SBJ"),AND(J3608=1,I3608=0)),"?IN_FOCUS",IF(J3608&lt;=2,"?ACTIVATED",IF(J3608&lt;&gt;"","?FAMILIAR",IF(F3608="NEW",IF(ISNA(VLOOKUP(E3608,#REF!,1,FALSE())),"?TYPE_IDENTIFIABLE","?REFERENTIAL"),"_")))))</f>
        <v> </v>
      </c>
      <c r="H3608" s="24" t="str">
        <f>IF(J3608&lt;&gt;1,"",IF(I3608="SBJ","CB","?"))</f>
        <v> </v>
      </c>
      <c r="I3608" s="25" t="str">
        <f>IF(OR(E3608="",E3608="!!!",F3608="NEW"),"",INDEX(B3607:B$2,-1+SUMPRODUCT(MAX(ROW(E3607:E$2)*(E3608=E3607:E$2)))))</f>
        <v> </v>
      </c>
      <c r="J3608" s="25" t="str">
        <f>IF(OR(E3608="",E3608="!!!",F3608="NEW"),"",COUNTBLANK(OFFSET(A$1,,,SUMPRODUCT(MAX(ROW(E$2:E3608)*(E3608=E$2:E3608)))))-COUNTBLANK(OFFSET(A$1,,,SUMPRODUCT(MAX(ROW(E$1:E3607)*(E2=E$1:E3607))))))</f>
        <v> </v>
      </c>
      <c r="K3608" s="25" t="str">
        <f>IF(OR(E3608="",E3608="!!!",F3608="NEW"),"",INDEX(J$1:J3607,SUMPRODUCT(MAX(ROW(E$1:E3607)*(E3608=E$1:E3607)))))</f>
        <v> </v>
      </c>
      <c r="L3608" s="26"/>
    </row>
    <row r="3609" spans="1:12">
      <c r="A3609" s="20" t="s">
        <v>2733</v>
      </c>
      <c r="E3609" s="21">
        <f>IF(D3609="?OLD","!!!","")</f>
        <v/>
      </c>
      <c r="F3609" s="22" t="str">
        <f>IF(OR(E3609="",E3609="!!!"),"",IF(NOT(ISNA(VLOOKUP(E3609,E$1:E3608,1,FALSE()))),"OLD",IF(AND(E3609&lt;&gt;"",E3609&lt;&gt;"!!!"),"NEW","")))</f>
        <v> </v>
      </c>
      <c r="G3609" s="23" t="str">
        <f>IF(OR(E3609="",E3609="!!!"),"",IF(OR(J3609=0,AND(J3609=1,K3609=1),AND(J3609=1,I3609="SBJ"),AND(J3609=1,I3609=0)),"?IN_FOCUS",IF(J3609&lt;=2,"?ACTIVATED",IF(J3609&lt;&gt;"","?FAMILIAR",IF(F3609="NEW",IF(ISNA(VLOOKUP(E3609,#REF!,1,FALSE())),"?TYPE_IDENTIFIABLE","?REFERENTIAL"),"_")))))</f>
        <v> </v>
      </c>
      <c r="H3609" s="24" t="str">
        <f>IF(J3609&lt;&gt;1,"",IF(I3609="SBJ","CB","?"))</f>
        <v> </v>
      </c>
      <c r="I3609" s="25" t="str">
        <f>IF(OR(E3609="",E3609="!!!",F3609="NEW"),"",INDEX(B3608:B$2,-1+SUMPRODUCT(MAX(ROW(E3608:E$2)*(E3609=E3608:E$2)))))</f>
        <v> </v>
      </c>
      <c r="J3609" s="25" t="str">
        <f>IF(OR(E3609="",E3609="!!!",F3609="NEW"),"",COUNTBLANK(OFFSET(A$1,,,SUMPRODUCT(MAX(ROW(E$2:E3609)*(E3609=E$2:E3609)))))-COUNTBLANK(OFFSET(A$1,,,SUMPRODUCT(MAX(ROW(E$1:E3608)*(E2=E$1:E3608))))))</f>
        <v> </v>
      </c>
      <c r="K3609" s="25" t="str">
        <f>IF(OR(E3609="",E3609="!!!",F3609="NEW"),"",INDEX(J$1:J3608,SUMPRODUCT(MAX(ROW(E$1:E3608)*(E3609=E$1:E3608)))))</f>
        <v> </v>
      </c>
      <c r="L3609" s="26"/>
    </row>
    <row r="3610" spans="1:12">
      <c r="A3610" s="20" t="s">
        <v>1606</v>
      </c>
      <c r="B3610" s="27" t="s">
        <v>1213</v>
      </c>
      <c r="C3610" s="27" t="s">
        <v>1126</v>
      </c>
      <c r="D3610" s="27" t="s">
        <v>1105</v>
      </c>
      <c r="E3610" s="21">
        <f>IF(D3610="?OLD","!!!","")</f>
        <v/>
      </c>
      <c r="F3610" s="22" t="str">
        <f>IF(OR(E3610="",E3610="!!!"),"",IF(NOT(ISNA(VLOOKUP(E3610,E$1:E3609,1,FALSE()))),"OLD",IF(AND(E3610&lt;&gt;"",E3610&lt;&gt;"!!!"),"NEW","")))</f>
        <v> </v>
      </c>
      <c r="G3610" s="23" t="str">
        <f>IF(OR(E3610="",E3610="!!!"),"",IF(OR(J3610=0,AND(J3610=1,K3610=1),AND(J3610=1,I3610="SBJ"),AND(J3610=1,I3610=0)),"?IN_FOCUS",IF(J3610&lt;=2,"?ACTIVATED",IF(J3610&lt;&gt;"","?FAMILIAR",IF(F3610="NEW",IF(ISNA(VLOOKUP(E3610,#REF!,1,FALSE())),"?TYPE_IDENTIFIABLE","?REFERENTIAL"),"_")))))</f>
        <v> </v>
      </c>
      <c r="H3610" s="24" t="str">
        <f>IF(J3610&lt;&gt;1,"",IF(I3610="SBJ","CB","?"))</f>
        <v> </v>
      </c>
      <c r="I3610" s="25" t="str">
        <f>IF(OR(E3610="",E3610="!!!",F3610="NEW"),"",INDEX(B3609:B$2,-1+SUMPRODUCT(MAX(ROW(E3609:E$2)*(E3610=E3609:E$2)))))</f>
        <v> </v>
      </c>
      <c r="J3610" s="25" t="str">
        <f>IF(OR(E3610="",E3610="!!!",F3610="NEW"),"",COUNTBLANK(OFFSET(A$1,,,SUMPRODUCT(MAX(ROW(E$2:E3610)*(E3610=E$2:E3610)))))-COUNTBLANK(OFFSET(A$1,,,SUMPRODUCT(MAX(ROW(E$1:E3609)*(E2=E$1:E3609))))))</f>
        <v> </v>
      </c>
      <c r="K3610" s="25" t="str">
        <f>IF(OR(E3610="",E3610="!!!",F3610="NEW"),"",INDEX(J$1:J3609,SUMPRODUCT(MAX(ROW(E$1:E3609)*(E3610=E$1:E3609)))))</f>
        <v> </v>
      </c>
      <c r="L3610" s="26"/>
    </row>
    <row r="3611" spans="1:12">
      <c r="A3611" s="20" t="s">
        <v>2734</v>
      </c>
      <c r="E3611" s="21">
        <f>IF(D3611="?OLD","!!!","")</f>
        <v/>
      </c>
      <c r="F3611" s="22" t="str">
        <f>IF(OR(E3611="",E3611="!!!"),"",IF(NOT(ISNA(VLOOKUP(E3611,E$1:E3610,1,FALSE()))),"OLD",IF(AND(E3611&lt;&gt;"",E3611&lt;&gt;"!!!"),"NEW","")))</f>
        <v> </v>
      </c>
      <c r="G3611" s="23" t="str">
        <f>IF(OR(E3611="",E3611="!!!"),"",IF(OR(J3611=0,AND(J3611=1,K3611=1),AND(J3611=1,I3611="SBJ"),AND(J3611=1,I3611=0)),"?IN_FOCUS",IF(J3611&lt;=2,"?ACTIVATED",IF(J3611&lt;&gt;"","?FAMILIAR",IF(F3611="NEW",IF(ISNA(VLOOKUP(E3611,#REF!,1,FALSE())),"?TYPE_IDENTIFIABLE","?REFERENTIAL"),"_")))))</f>
        <v> </v>
      </c>
      <c r="H3611" s="24" t="str">
        <f>IF(J3611&lt;&gt;1,"",IF(I3611="SBJ","CB","?"))</f>
        <v> </v>
      </c>
      <c r="I3611" s="25" t="str">
        <f>IF(OR(E3611="",E3611="!!!",F3611="NEW"),"",INDEX(B3610:B$2,-1+SUMPRODUCT(MAX(ROW(E3610:E$2)*(E3611=E3610:E$2)))))</f>
        <v> </v>
      </c>
      <c r="J3611" s="25" t="str">
        <f>IF(OR(E3611="",E3611="!!!",F3611="NEW"),"",COUNTBLANK(OFFSET(A$1,,,SUMPRODUCT(MAX(ROW(E$2:E3611)*(E3611=E$2:E3611)))))-COUNTBLANK(OFFSET(A$1,,,SUMPRODUCT(MAX(ROW(E$1:E3610)*(E2=E$1:E3610))))))</f>
        <v> </v>
      </c>
      <c r="K3611" s="25" t="str">
        <f>IF(OR(E3611="",E3611="!!!",F3611="NEW"),"",INDEX(J$1:J3610,SUMPRODUCT(MAX(ROW(E$1:E3610)*(E3611=E$1:E3610)))))</f>
        <v> </v>
      </c>
      <c r="L3611" s="26"/>
    </row>
    <row r="3612" spans="1:12">
      <c r="A3612" s="20" t="s">
        <v>1120</v>
      </c>
      <c r="E3612" s="21">
        <f>IF(D3612="?OLD","!!!","")</f>
        <v/>
      </c>
      <c r="F3612" s="22" t="str">
        <f>IF(OR(E3612="",E3612="!!!"),"",IF(NOT(ISNA(VLOOKUP(E3612,E$1:E3611,1,FALSE()))),"OLD",IF(AND(E3612&lt;&gt;"",E3612&lt;&gt;"!!!"),"NEW","")))</f>
        <v> </v>
      </c>
      <c r="G3612" s="23" t="str">
        <f>IF(OR(E3612="",E3612="!!!"),"",IF(OR(J3612=0,AND(J3612=1,K3612=1),AND(J3612=1,I3612="SBJ"),AND(J3612=1,I3612=0)),"?IN_FOCUS",IF(J3612&lt;=2,"?ACTIVATED",IF(J3612&lt;&gt;"","?FAMILIAR",IF(F3612="NEW",IF(ISNA(VLOOKUP(E3612,#REF!,1,FALSE())),"?TYPE_IDENTIFIABLE","?REFERENTIAL"),"_")))))</f>
        <v> </v>
      </c>
      <c r="H3612" s="24" t="str">
        <f>IF(J3612&lt;&gt;1,"",IF(I3612="SBJ","CB","?"))</f>
        <v> </v>
      </c>
      <c r="I3612" s="25" t="str">
        <f>IF(OR(E3612="",E3612="!!!",F3612="NEW"),"",INDEX(B3611:B$2,-1+SUMPRODUCT(MAX(ROW(E3611:E$2)*(E3612=E3611:E$2)))))</f>
        <v> </v>
      </c>
      <c r="J3612" s="25" t="str">
        <f>IF(OR(E3612="",E3612="!!!",F3612="NEW"),"",COUNTBLANK(OFFSET(A$1,,,SUMPRODUCT(MAX(ROW(E$2:E3612)*(E3612=E$2:E3612)))))-COUNTBLANK(OFFSET(A$1,,,SUMPRODUCT(MAX(ROW(E$1:E3611)*(E2=E$1:E3611))))))</f>
        <v> </v>
      </c>
      <c r="K3612" s="25" t="str">
        <f>IF(OR(E3612="",E3612="!!!",F3612="NEW"),"",INDEX(J$1:J3611,SUMPRODUCT(MAX(ROW(E$1:E3611)*(E3612=E$1:E3611)))))</f>
        <v> </v>
      </c>
      <c r="L3612" s="26"/>
    </row>
    <row r="3613" spans="1:12">
      <c r="A3613" s="20" t="s">
        <v>2735</v>
      </c>
      <c r="E3613" s="21">
        <f>IF(D3613="?OLD","!!!","")</f>
        <v/>
      </c>
      <c r="F3613" s="22" t="str">
        <f>IF(OR(E3613="",E3613="!!!"),"",IF(NOT(ISNA(VLOOKUP(E3613,E$1:E3612,1,FALSE()))),"OLD",IF(AND(E3613&lt;&gt;"",E3613&lt;&gt;"!!!"),"NEW","")))</f>
        <v> </v>
      </c>
      <c r="G3613" s="23" t="str">
        <f>IF(OR(E3613="",E3613="!!!"),"",IF(OR(J3613=0,AND(J3613=1,K3613=1),AND(J3613=1,I3613="SBJ"),AND(J3613=1,I3613=0)),"?IN_FOCUS",IF(J3613&lt;=2,"?ACTIVATED",IF(J3613&lt;&gt;"","?FAMILIAR",IF(F3613="NEW",IF(ISNA(VLOOKUP(E3613,#REF!,1,FALSE())),"?TYPE_IDENTIFIABLE","?REFERENTIAL"),"_")))))</f>
        <v> </v>
      </c>
      <c r="H3613" s="24" t="str">
        <f>IF(J3613&lt;&gt;1,"",IF(I3613="SBJ","CB","?"))</f>
        <v> </v>
      </c>
      <c r="I3613" s="25" t="str">
        <f>IF(OR(E3613="",E3613="!!!",F3613="NEW"),"",INDEX(B3612:B$2,-1+SUMPRODUCT(MAX(ROW(E3612:E$2)*(E3613=E3612:E$2)))))</f>
        <v> </v>
      </c>
      <c r="J3613" s="25" t="str">
        <f>IF(OR(E3613="",E3613="!!!",F3613="NEW"),"",COUNTBLANK(OFFSET(A$1,,,SUMPRODUCT(MAX(ROW(E$2:E3613)*(E3613=E$2:E3613)))))-COUNTBLANK(OFFSET(A$1,,,SUMPRODUCT(MAX(ROW(E$1:E3612)*(E2=E$1:E3612))))))</f>
        <v> </v>
      </c>
      <c r="K3613" s="25" t="str">
        <f>IF(OR(E3613="",E3613="!!!",F3613="NEW"),"",INDEX(J$1:J3612,SUMPRODUCT(MAX(ROW(E$1:E3612)*(E3613=E$1:E3612)))))</f>
        <v> </v>
      </c>
      <c r="L3613" s="26"/>
    </row>
    <row r="3614" spans="1:12">
      <c r="A3614" s="20" t="s">
        <v>2736</v>
      </c>
      <c r="E3614" s="21">
        <f>IF(D3614="?OLD","!!!","")</f>
        <v/>
      </c>
      <c r="F3614" s="22" t="str">
        <f>IF(OR(E3614="",E3614="!!!"),"",IF(NOT(ISNA(VLOOKUP(E3614,E$1:E3613,1,FALSE()))),"OLD",IF(AND(E3614&lt;&gt;"",E3614&lt;&gt;"!!!"),"NEW","")))</f>
        <v> </v>
      </c>
      <c r="G3614" s="23" t="str">
        <f>IF(OR(E3614="",E3614="!!!"),"",IF(OR(J3614=0,AND(J3614=1,K3614=1),AND(J3614=1,I3614="SBJ"),AND(J3614=1,I3614=0)),"?IN_FOCUS",IF(J3614&lt;=2,"?ACTIVATED",IF(J3614&lt;&gt;"","?FAMILIAR",IF(F3614="NEW",IF(ISNA(VLOOKUP(E3614,#REF!,1,FALSE())),"?TYPE_IDENTIFIABLE","?REFERENTIAL"),"_")))))</f>
        <v> </v>
      </c>
      <c r="H3614" s="24" t="str">
        <f>IF(J3614&lt;&gt;1,"",IF(I3614="SBJ","CB","?"))</f>
        <v> </v>
      </c>
      <c r="I3614" s="25" t="str">
        <f>IF(OR(E3614="",E3614="!!!",F3614="NEW"),"",INDEX(B3613:B$2,-1+SUMPRODUCT(MAX(ROW(E3613:E$2)*(E3614=E3613:E$2)))))</f>
        <v> </v>
      </c>
      <c r="J3614" s="25" t="str">
        <f>IF(OR(E3614="",E3614="!!!",F3614="NEW"),"",COUNTBLANK(OFFSET(A$1,,,SUMPRODUCT(MAX(ROW(E$2:E3614)*(E3614=E$2:E3614)))))-COUNTBLANK(OFFSET(A$1,,,SUMPRODUCT(MAX(ROW(E$1:E3613)*(E2=E$1:E3613))))))</f>
        <v> </v>
      </c>
      <c r="K3614" s="25" t="str">
        <f>IF(OR(E3614="",E3614="!!!",F3614="NEW"),"",INDEX(J$1:J3613,SUMPRODUCT(MAX(ROW(E$1:E3613)*(E3614=E$1:E3613)))))</f>
        <v> </v>
      </c>
      <c r="L3614" s="26"/>
    </row>
    <row r="3615" spans="1:12">
      <c r="A3615" s="20" t="s">
        <v>2737</v>
      </c>
      <c r="E3615" s="21">
        <f>IF(D3615="?OLD","!!!","")</f>
        <v/>
      </c>
      <c r="F3615" s="22" t="str">
        <f>IF(OR(E3615="",E3615="!!!"),"",IF(NOT(ISNA(VLOOKUP(E3615,E$1:E3614,1,FALSE()))),"OLD",IF(AND(E3615&lt;&gt;"",E3615&lt;&gt;"!!!"),"NEW","")))</f>
        <v> </v>
      </c>
      <c r="G3615" s="23" t="str">
        <f>IF(OR(E3615="",E3615="!!!"),"",IF(OR(J3615=0,AND(J3615=1,K3615=1),AND(J3615=1,I3615="SBJ"),AND(J3615=1,I3615=0)),"?IN_FOCUS",IF(J3615&lt;=2,"?ACTIVATED",IF(J3615&lt;&gt;"","?FAMILIAR",IF(F3615="NEW",IF(ISNA(VLOOKUP(E3615,#REF!,1,FALSE())),"?TYPE_IDENTIFIABLE","?REFERENTIAL"),"_")))))</f>
        <v> </v>
      </c>
      <c r="H3615" s="24" t="str">
        <f>IF(J3615&lt;&gt;1,"",IF(I3615="SBJ","CB","?"))</f>
        <v> </v>
      </c>
      <c r="I3615" s="25" t="str">
        <f>IF(OR(E3615="",E3615="!!!",F3615="NEW"),"",INDEX(B3614:B$2,-1+SUMPRODUCT(MAX(ROW(E3614:E$2)*(E3615=E3614:E$2)))))</f>
        <v> </v>
      </c>
      <c r="J3615" s="25" t="str">
        <f>IF(OR(E3615="",E3615="!!!",F3615="NEW"),"",COUNTBLANK(OFFSET(A$1,,,SUMPRODUCT(MAX(ROW(E$2:E3615)*(E3615=E$2:E3615)))))-COUNTBLANK(OFFSET(A$1,,,SUMPRODUCT(MAX(ROW(E$1:E3614)*(E2=E$1:E3614))))))</f>
        <v> </v>
      </c>
      <c r="K3615" s="25" t="str">
        <f>IF(OR(E3615="",E3615="!!!",F3615="NEW"),"",INDEX(J$1:J3614,SUMPRODUCT(MAX(ROW(E$1:E3614)*(E3615=E$1:E3614)))))</f>
        <v> </v>
      </c>
      <c r="L3615" s="26"/>
    </row>
    <row r="3616" spans="1:12">
      <c r="A3616" s="20" t="s">
        <v>1203</v>
      </c>
      <c r="B3616" s="27" t="s">
        <v>1243</v>
      </c>
      <c r="E3616" s="21">
        <f>IF(D3616="?OLD","!!!","")</f>
        <v/>
      </c>
      <c r="F3616" s="22" t="str">
        <f>IF(OR(E3616="",E3616="!!!"),"",IF(NOT(ISNA(VLOOKUP(E3616,E$1:E3615,1,FALSE()))),"OLD",IF(AND(E3616&lt;&gt;"",E3616&lt;&gt;"!!!"),"NEW","")))</f>
        <v> </v>
      </c>
      <c r="G3616" s="23" t="str">
        <f>IF(OR(E3616="",E3616="!!!"),"",IF(OR(J3616=0,AND(J3616=1,K3616=1),AND(J3616=1,I3616="SBJ"),AND(J3616=1,I3616=0)),"?IN_FOCUS",IF(J3616&lt;=2,"?ACTIVATED",IF(J3616&lt;&gt;"","?FAMILIAR",IF(F3616="NEW",IF(ISNA(VLOOKUP(E3616,#REF!,1,FALSE())),"?TYPE_IDENTIFIABLE","?REFERENTIAL"),"_")))))</f>
        <v> </v>
      </c>
      <c r="H3616" s="24" t="str">
        <f>IF(J3616&lt;&gt;1,"",IF(I3616="SBJ","CB","?"))</f>
        <v> </v>
      </c>
      <c r="I3616" s="25" t="str">
        <f>IF(OR(E3616="",E3616="!!!",F3616="NEW"),"",INDEX(B3615:B$2,-1+SUMPRODUCT(MAX(ROW(E3615:E$2)*(E3616=E3615:E$2)))))</f>
        <v> </v>
      </c>
      <c r="J3616" s="25" t="str">
        <f>IF(OR(E3616="",E3616="!!!",F3616="NEW"),"",COUNTBLANK(OFFSET(A$1,,,SUMPRODUCT(MAX(ROW(E$2:E3616)*(E3616=E$2:E3616)))))-COUNTBLANK(OFFSET(A$1,,,SUMPRODUCT(MAX(ROW(E$1:E3615)*(E2=E$1:E3615))))))</f>
        <v> </v>
      </c>
      <c r="K3616" s="25" t="str">
        <f>IF(OR(E3616="",E3616="!!!",F3616="NEW"),"",INDEX(J$1:J3615,SUMPRODUCT(MAX(ROW(E$1:E3615)*(E3616=E$1:E3615)))))</f>
        <v> </v>
      </c>
      <c r="L3616" s="26"/>
    </row>
    <row r="3617" spans="1:12">
      <c r="A3617" s="20" t="s">
        <v>1123</v>
      </c>
      <c r="E3617" s="21">
        <f>IF(D3617="?OLD","!!!","")</f>
        <v/>
      </c>
      <c r="F3617" s="22" t="str">
        <f>IF(OR(E3617="",E3617="!!!"),"",IF(NOT(ISNA(VLOOKUP(E3617,E$1:E3616,1,FALSE()))),"OLD",IF(AND(E3617&lt;&gt;"",E3617&lt;&gt;"!!!"),"NEW","")))</f>
        <v> </v>
      </c>
      <c r="G3617" s="23" t="str">
        <f>IF(OR(E3617="",E3617="!!!"),"",IF(OR(J3617=0,AND(J3617=1,K3617=1),AND(J3617=1,I3617="SBJ"),AND(J3617=1,I3617=0)),"?IN_FOCUS",IF(J3617&lt;=2,"?ACTIVATED",IF(J3617&lt;&gt;"","?FAMILIAR",IF(F3617="NEW",IF(ISNA(VLOOKUP(E3617,#REF!,1,FALSE())),"?TYPE_IDENTIFIABLE","?REFERENTIAL"),"_")))))</f>
        <v> </v>
      </c>
      <c r="H3617" s="24" t="str">
        <f>IF(J3617&lt;&gt;1,"",IF(I3617="SBJ","CB","?"))</f>
        <v> </v>
      </c>
      <c r="I3617" s="25" t="str">
        <f>IF(OR(E3617="",E3617="!!!",F3617="NEW"),"",INDEX(B3616:B$2,-1+SUMPRODUCT(MAX(ROW(E3616:E$2)*(E3617=E3616:E$2)))))</f>
        <v> </v>
      </c>
      <c r="J3617" s="25" t="str">
        <f>IF(OR(E3617="",E3617="!!!",F3617="NEW"),"",COUNTBLANK(OFFSET(A$1,,,SUMPRODUCT(MAX(ROW(E$2:E3617)*(E3617=E$2:E3617)))))-COUNTBLANK(OFFSET(A$1,,,SUMPRODUCT(MAX(ROW(E$1:E3616)*(E2=E$1:E3616))))))</f>
        <v> </v>
      </c>
      <c r="K3617" s="25" t="str">
        <f>IF(OR(E3617="",E3617="!!!",F3617="NEW"),"",INDEX(J$1:J3616,SUMPRODUCT(MAX(ROW(E$1:E3616)*(E3617=E$1:E3616)))))</f>
        <v> </v>
      </c>
      <c r="L3617" s="26"/>
    </row>
    <row r="3618" spans="1:12">
      <c r="A3618" s="20" t="s">
        <v>1128</v>
      </c>
      <c r="E3618" s="21">
        <f>IF(D3618="?OLD","!!!","")</f>
        <v/>
      </c>
      <c r="F3618" s="22" t="str">
        <f>IF(OR(E3618="",E3618="!!!"),"",IF(NOT(ISNA(VLOOKUP(E3618,E$1:E3617,1,FALSE()))),"OLD",IF(AND(E3618&lt;&gt;"",E3618&lt;&gt;"!!!"),"NEW","")))</f>
        <v> </v>
      </c>
      <c r="G3618" s="23" t="str">
        <f>IF(OR(E3618="",E3618="!!!"),"",IF(OR(J3618=0,AND(J3618=1,K3618=1),AND(J3618=1,I3618="SBJ"),AND(J3618=1,I3618=0)),"?IN_FOCUS",IF(J3618&lt;=2,"?ACTIVATED",IF(J3618&lt;&gt;"","?FAMILIAR",IF(F3618="NEW",IF(ISNA(VLOOKUP(E3618,#REF!,1,FALSE())),"?TYPE_IDENTIFIABLE","?REFERENTIAL"),"_")))))</f>
        <v> </v>
      </c>
      <c r="H3618" s="24" t="str">
        <f>IF(J3618&lt;&gt;1,"",IF(I3618="SBJ","CB","?"))</f>
        <v> </v>
      </c>
      <c r="I3618" s="25" t="str">
        <f>IF(OR(E3618="",E3618="!!!",F3618="NEW"),"",INDEX(B3617:B$2,-1+SUMPRODUCT(MAX(ROW(E3617:E$2)*(E3618=E3617:E$2)))))</f>
        <v> </v>
      </c>
      <c r="J3618" s="25" t="str">
        <f>IF(OR(E3618="",E3618="!!!",F3618="NEW"),"",COUNTBLANK(OFFSET(A$1,,,SUMPRODUCT(MAX(ROW(E$2:E3618)*(E3618=E$2:E3618)))))-COUNTBLANK(OFFSET(A$1,,,SUMPRODUCT(MAX(ROW(E$1:E3617)*(E2=E$1:E3617))))))</f>
        <v> </v>
      </c>
      <c r="K3618" s="25" t="str">
        <f>IF(OR(E3618="",E3618="!!!",F3618="NEW"),"",INDEX(J$1:J3617,SUMPRODUCT(MAX(ROW(E$1:E3617)*(E3618=E$1:E3617)))))</f>
        <v> </v>
      </c>
      <c r="L3618" s="26"/>
    </row>
    <row r="3619" spans="1:12">
      <c r="A3619" s="20" t="s">
        <v>1113</v>
      </c>
      <c r="E3619" s="21">
        <f>IF(D3619="?OLD","!!!","")</f>
        <v/>
      </c>
      <c r="F3619" s="22" t="str">
        <f>IF(OR(E3619="",E3619="!!!"),"",IF(NOT(ISNA(VLOOKUP(E3619,E$1:E3618,1,FALSE()))),"OLD",IF(AND(E3619&lt;&gt;"",E3619&lt;&gt;"!!!"),"NEW","")))</f>
        <v> </v>
      </c>
      <c r="G3619" s="23" t="str">
        <f>IF(OR(E3619="",E3619="!!!"),"",IF(OR(J3619=0,AND(J3619=1,K3619=1),AND(J3619=1,I3619="SBJ"),AND(J3619=1,I3619=0)),"?IN_FOCUS",IF(J3619&lt;=2,"?ACTIVATED",IF(J3619&lt;&gt;"","?FAMILIAR",IF(F3619="NEW",IF(ISNA(VLOOKUP(E3619,#REF!,1,FALSE())),"?TYPE_IDENTIFIABLE","?REFERENTIAL"),"_")))))</f>
        <v> </v>
      </c>
      <c r="H3619" s="24" t="str">
        <f>IF(J3619&lt;&gt;1,"",IF(I3619="SBJ","CB","?"))</f>
        <v> </v>
      </c>
      <c r="I3619" s="25" t="str">
        <f>IF(OR(E3619="",E3619="!!!",F3619="NEW"),"",INDEX(B3618:B$2,-1+SUMPRODUCT(MAX(ROW(E3618:E$2)*(E3619=E3618:E$2)))))</f>
        <v> </v>
      </c>
      <c r="J3619" s="25" t="str">
        <f>IF(OR(E3619="",E3619="!!!",F3619="NEW"),"",COUNTBLANK(OFFSET(A$1,,,SUMPRODUCT(MAX(ROW(E$2:E3619)*(E3619=E$2:E3619)))))-COUNTBLANK(OFFSET(A$1,,,SUMPRODUCT(MAX(ROW(E$1:E3618)*(E2=E$1:E3618))))))</f>
        <v> </v>
      </c>
      <c r="K3619" s="25" t="str">
        <f>IF(OR(E3619="",E3619="!!!",F3619="NEW"),"",INDEX(J$1:J3618,SUMPRODUCT(MAX(ROW(E$1:E3618)*(E3619=E$1:E3618)))))</f>
        <v> </v>
      </c>
      <c r="L3619" s="26"/>
    </row>
    <row r="3620" spans="1:12">
      <c r="A3620" s="20" t="s">
        <v>2052</v>
      </c>
      <c r="E3620" s="21">
        <f>IF(D3620="?OLD","!!!","")</f>
        <v/>
      </c>
      <c r="F3620" s="22" t="str">
        <f>IF(OR(E3620="",E3620="!!!"),"",IF(NOT(ISNA(VLOOKUP(E3620,E$1:E3619,1,FALSE()))),"OLD",IF(AND(E3620&lt;&gt;"",E3620&lt;&gt;"!!!"),"NEW","")))</f>
        <v> </v>
      </c>
      <c r="G3620" s="23" t="str">
        <f>IF(OR(E3620="",E3620="!!!"),"",IF(OR(J3620=0,AND(J3620=1,K3620=1),AND(J3620=1,I3620="SBJ"),AND(J3620=1,I3620=0)),"?IN_FOCUS",IF(J3620&lt;=2,"?ACTIVATED",IF(J3620&lt;&gt;"","?FAMILIAR",IF(F3620="NEW",IF(ISNA(VLOOKUP(E3620,#REF!,1,FALSE())),"?TYPE_IDENTIFIABLE","?REFERENTIAL"),"_")))))</f>
        <v> </v>
      </c>
      <c r="H3620" s="24" t="str">
        <f>IF(J3620&lt;&gt;1,"",IF(I3620="SBJ","CB","?"))</f>
        <v> </v>
      </c>
      <c r="I3620" s="25" t="str">
        <f>IF(OR(E3620="",E3620="!!!",F3620="NEW"),"",INDEX(B3619:B$2,-1+SUMPRODUCT(MAX(ROW(E3619:E$2)*(E3620=E3619:E$2)))))</f>
        <v> </v>
      </c>
      <c r="J3620" s="25" t="str">
        <f>IF(OR(E3620="",E3620="!!!",F3620="NEW"),"",COUNTBLANK(OFFSET(A$1,,,SUMPRODUCT(MAX(ROW(E$2:E3620)*(E3620=E$2:E3620)))))-COUNTBLANK(OFFSET(A$1,,,SUMPRODUCT(MAX(ROW(E$1:E3619)*(E2=E$1:E3619))))))</f>
        <v> </v>
      </c>
      <c r="K3620" s="25" t="str">
        <f>IF(OR(E3620="",E3620="!!!",F3620="NEW"),"",INDEX(J$1:J3619,SUMPRODUCT(MAX(ROW(E$1:E3619)*(E3620=E$1:E3619)))))</f>
        <v> </v>
      </c>
      <c r="L3620" s="26"/>
    </row>
    <row r="3621" spans="1:12">
      <c r="A3621" s="20" t="s">
        <v>1421</v>
      </c>
      <c r="B3621" s="27" t="s">
        <v>1110</v>
      </c>
      <c r="C3621" s="27" t="s">
        <v>1126</v>
      </c>
      <c r="D3621" s="27" t="s">
        <v>1105</v>
      </c>
      <c r="E3621" s="21">
        <f>IF(D3621="?OLD","!!!","")</f>
        <v/>
      </c>
      <c r="F3621" s="22" t="str">
        <f>IF(OR(E3621="",E3621="!!!"),"",IF(NOT(ISNA(VLOOKUP(E3621,E$1:E3620,1,FALSE()))),"OLD",IF(AND(E3621&lt;&gt;"",E3621&lt;&gt;"!!!"),"NEW","")))</f>
        <v> </v>
      </c>
      <c r="G3621" s="23" t="str">
        <f>IF(OR(E3621="",E3621="!!!"),"",IF(OR(J3621=0,AND(J3621=1,K3621=1),AND(J3621=1,I3621="SBJ"),AND(J3621=1,I3621=0)),"?IN_FOCUS",IF(J3621&lt;=2,"?ACTIVATED",IF(J3621&lt;&gt;"","?FAMILIAR",IF(F3621="NEW",IF(ISNA(VLOOKUP(E3621,#REF!,1,FALSE())),"?TYPE_IDENTIFIABLE","?REFERENTIAL"),"_")))))</f>
        <v> </v>
      </c>
      <c r="H3621" s="24" t="str">
        <f>IF(J3621&lt;&gt;1,"",IF(I3621="SBJ","CB","?"))</f>
        <v> </v>
      </c>
      <c r="I3621" s="25" t="str">
        <f>IF(OR(E3621="",E3621="!!!",F3621="NEW"),"",INDEX(B3620:B$2,-1+SUMPRODUCT(MAX(ROW(E3620:E$2)*(E3621=E3620:E$2)))))</f>
        <v> </v>
      </c>
      <c r="J3621" s="25" t="str">
        <f>IF(OR(E3621="",E3621="!!!",F3621="NEW"),"",COUNTBLANK(OFFSET(A$1,,,SUMPRODUCT(MAX(ROW(E$2:E3621)*(E3621=E$2:E3621)))))-COUNTBLANK(OFFSET(A$1,,,SUMPRODUCT(MAX(ROW(E$1:E3620)*(E2=E$1:E3620))))))</f>
        <v> </v>
      </c>
      <c r="K3621" s="25" t="str">
        <f>IF(OR(E3621="",E3621="!!!",F3621="NEW"),"",INDEX(J$1:J3620,SUMPRODUCT(MAX(ROW(E$1:E3620)*(E3621=E$1:E3620)))))</f>
        <v> </v>
      </c>
      <c r="L3621" s="26"/>
    </row>
    <row r="3622" spans="1:12">
      <c r="A3622" s="20" t="s">
        <v>1505</v>
      </c>
      <c r="B3622" s="27" t="s">
        <v>1259</v>
      </c>
      <c r="E3622" s="21">
        <f>IF(D3622="?OLD","!!!","")</f>
        <v/>
      </c>
      <c r="F3622" s="22" t="str">
        <f>IF(OR(E3622="",E3622="!!!"),"",IF(NOT(ISNA(VLOOKUP(E3622,E$1:E3621,1,FALSE()))),"OLD",IF(AND(E3622&lt;&gt;"",E3622&lt;&gt;"!!!"),"NEW","")))</f>
        <v> </v>
      </c>
      <c r="G3622" s="23" t="str">
        <f>IF(OR(E3622="",E3622="!!!"),"",IF(OR(J3622=0,AND(J3622=1,K3622=1),AND(J3622=1,I3622="SBJ"),AND(J3622=1,I3622=0)),"?IN_FOCUS",IF(J3622&lt;=2,"?ACTIVATED",IF(J3622&lt;&gt;"","?FAMILIAR",IF(F3622="NEW",IF(ISNA(VLOOKUP(E3622,#REF!,1,FALSE())),"?TYPE_IDENTIFIABLE","?REFERENTIAL"),"_")))))</f>
        <v> </v>
      </c>
      <c r="H3622" s="24" t="str">
        <f>IF(J3622&lt;&gt;1,"",IF(I3622="SBJ","CB","?"))</f>
        <v> </v>
      </c>
      <c r="I3622" s="25" t="str">
        <f>IF(OR(E3622="",E3622="!!!",F3622="NEW"),"",INDEX(B3621:B$2,-1+SUMPRODUCT(MAX(ROW(E3621:E$2)*(E3622=E3621:E$2)))))</f>
        <v> </v>
      </c>
      <c r="J3622" s="25" t="str">
        <f>IF(OR(E3622="",E3622="!!!",F3622="NEW"),"",COUNTBLANK(OFFSET(A$1,,,SUMPRODUCT(MAX(ROW(E$2:E3622)*(E3622=E$2:E3622)))))-COUNTBLANK(OFFSET(A$1,,,SUMPRODUCT(MAX(ROW(E$1:E3621)*(E2=E$1:E3621))))))</f>
        <v> </v>
      </c>
      <c r="K3622" s="25" t="str">
        <f>IF(OR(E3622="",E3622="!!!",F3622="NEW"),"",INDEX(J$1:J3621,SUMPRODUCT(MAX(ROW(E$1:E3621)*(E3622=E$1:E3621)))))</f>
        <v> </v>
      </c>
      <c r="L3622" s="26"/>
    </row>
    <row r="3623" spans="1:12">
      <c r="A3623" s="20" t="s">
        <v>1506</v>
      </c>
      <c r="B3623" s="27" t="s">
        <v>1132</v>
      </c>
      <c r="C3623" s="27" t="s">
        <v>1108</v>
      </c>
      <c r="D3623" s="27" t="s">
        <v>1105</v>
      </c>
      <c r="E3623" s="21">
        <f>IF(D3623="?OLD","!!!","")</f>
        <v/>
      </c>
      <c r="F3623" s="22" t="str">
        <f>IF(OR(E3623="",E3623="!!!"),"",IF(NOT(ISNA(VLOOKUP(E3623,E$1:E3622,1,FALSE()))),"OLD",IF(AND(E3623&lt;&gt;"",E3623&lt;&gt;"!!!"),"NEW","")))</f>
        <v> </v>
      </c>
      <c r="G3623" s="23" t="str">
        <f>IF(OR(E3623="",E3623="!!!"),"",IF(OR(J3623=0,AND(J3623=1,K3623=1),AND(J3623=1,I3623="SBJ"),AND(J3623=1,I3623=0)),"?IN_FOCUS",IF(J3623&lt;=2,"?ACTIVATED",IF(J3623&lt;&gt;"","?FAMILIAR",IF(F3623="NEW",IF(ISNA(VLOOKUP(E3623,#REF!,1,FALSE())),"?TYPE_IDENTIFIABLE","?REFERENTIAL"),"_")))))</f>
        <v> </v>
      </c>
      <c r="H3623" s="24" t="str">
        <f>IF(J3623&lt;&gt;1,"",IF(I3623="SBJ","CB","?"))</f>
        <v> </v>
      </c>
      <c r="I3623" s="25" t="str">
        <f>IF(OR(E3623="",E3623="!!!",F3623="NEW"),"",INDEX(B3622:B$2,-1+SUMPRODUCT(MAX(ROW(E3622:E$2)*(E3623=E3622:E$2)))))</f>
        <v> </v>
      </c>
      <c r="J3623" s="25" t="str">
        <f>IF(OR(E3623="",E3623="!!!",F3623="NEW"),"",COUNTBLANK(OFFSET(A$1,,,SUMPRODUCT(MAX(ROW(E$2:E3623)*(E3623=E$2:E3623)))))-COUNTBLANK(OFFSET(A$1,,,SUMPRODUCT(MAX(ROW(E$1:E3622)*(E2=E$1:E3622))))))</f>
        <v> </v>
      </c>
      <c r="K3623" s="25" t="str">
        <f>IF(OR(E3623="",E3623="!!!",F3623="NEW"),"",INDEX(J$1:J3622,SUMPRODUCT(MAX(ROW(E$1:E3622)*(E3623=E$1:E3622)))))</f>
        <v> </v>
      </c>
      <c r="L3623" s="26"/>
    </row>
    <row r="3624" spans="1:12">
      <c r="A3624" s="20" t="s">
        <v>1260</v>
      </c>
      <c r="E3624" s="21">
        <f>IF(D3624="?OLD","!!!","")</f>
        <v/>
      </c>
      <c r="F3624" s="22" t="str">
        <f>IF(OR(E3624="",E3624="!!!"),"",IF(NOT(ISNA(VLOOKUP(E3624,E$1:E3623,1,FALSE()))),"OLD",IF(AND(E3624&lt;&gt;"",E3624&lt;&gt;"!!!"),"NEW","")))</f>
        <v> </v>
      </c>
      <c r="G3624" s="23" t="str">
        <f>IF(OR(E3624="",E3624="!!!"),"",IF(OR(J3624=0,AND(J3624=1,K3624=1),AND(J3624=1,I3624="SBJ"),AND(J3624=1,I3624=0)),"?IN_FOCUS",IF(J3624&lt;=2,"?ACTIVATED",IF(J3624&lt;&gt;"","?FAMILIAR",IF(F3624="NEW",IF(ISNA(VLOOKUP(E3624,#REF!,1,FALSE())),"?TYPE_IDENTIFIABLE","?REFERENTIAL"),"_")))))</f>
        <v> </v>
      </c>
      <c r="H3624" s="24" t="str">
        <f>IF(J3624&lt;&gt;1,"",IF(I3624="SBJ","CB","?"))</f>
        <v> </v>
      </c>
      <c r="I3624" s="25" t="str">
        <f>IF(OR(E3624="",E3624="!!!",F3624="NEW"),"",INDEX(B3623:B$2,-1+SUMPRODUCT(MAX(ROW(E3623:E$2)*(E3624=E3623:E$2)))))</f>
        <v> </v>
      </c>
      <c r="J3624" s="25" t="str">
        <f>IF(OR(E3624="",E3624="!!!",F3624="NEW"),"",COUNTBLANK(OFFSET(A$1,,,SUMPRODUCT(MAX(ROW(E$2:E3624)*(E3624=E$2:E3624)))))-COUNTBLANK(OFFSET(A$1,,,SUMPRODUCT(MAX(ROW(E$1:E3623)*(E2=E$1:E3623))))))</f>
        <v> </v>
      </c>
      <c r="K3624" s="25" t="str">
        <f>IF(OR(E3624="",E3624="!!!",F3624="NEW"),"",INDEX(J$1:J3623,SUMPRODUCT(MAX(ROW(E$1:E3623)*(E3624=E$1:E3623)))))</f>
        <v> </v>
      </c>
      <c r="L3624" s="26"/>
    </row>
    <row r="3625" spans="1:12">
      <c r="A3625" s="20" t="s">
        <v>1921</v>
      </c>
      <c r="E3625" s="21">
        <f>IF(D3625="?OLD","!!!","")</f>
        <v/>
      </c>
      <c r="F3625" s="22" t="str">
        <f>IF(OR(E3625="",E3625="!!!"),"",IF(NOT(ISNA(VLOOKUP(E3625,E$1:E3624,1,FALSE()))),"OLD",IF(AND(E3625&lt;&gt;"",E3625&lt;&gt;"!!!"),"NEW","")))</f>
        <v> </v>
      </c>
      <c r="G3625" s="23" t="str">
        <f>IF(OR(E3625="",E3625="!!!"),"",IF(OR(J3625=0,AND(J3625=1,K3625=1),AND(J3625=1,I3625="SBJ"),AND(J3625=1,I3625=0)),"?IN_FOCUS",IF(J3625&lt;=2,"?ACTIVATED",IF(J3625&lt;&gt;"","?FAMILIAR",IF(F3625="NEW",IF(ISNA(VLOOKUP(E3625,#REF!,1,FALSE())),"?TYPE_IDENTIFIABLE","?REFERENTIAL"),"_")))))</f>
        <v> </v>
      </c>
      <c r="H3625" s="24" t="str">
        <f>IF(J3625&lt;&gt;1,"",IF(I3625="SBJ","CB","?"))</f>
        <v> </v>
      </c>
      <c r="I3625" s="25" t="str">
        <f>IF(OR(E3625="",E3625="!!!",F3625="NEW"),"",INDEX(B3624:B$2,-1+SUMPRODUCT(MAX(ROW(E3624:E$2)*(E3625=E3624:E$2)))))</f>
        <v> </v>
      </c>
      <c r="J3625" s="25" t="str">
        <f>IF(OR(E3625="",E3625="!!!",F3625="NEW"),"",COUNTBLANK(OFFSET(A$1,,,SUMPRODUCT(MAX(ROW(E$2:E3625)*(E3625=E$2:E3625)))))-COUNTBLANK(OFFSET(A$1,,,SUMPRODUCT(MAX(ROW(E$1:E3624)*(E2=E$1:E3624))))))</f>
        <v> </v>
      </c>
      <c r="K3625" s="25" t="str">
        <f>IF(OR(E3625="",E3625="!!!",F3625="NEW"),"",INDEX(J$1:J3624,SUMPRODUCT(MAX(ROW(E$1:E3624)*(E3625=E$1:E3624)))))</f>
        <v> </v>
      </c>
      <c r="L3625" s="26"/>
    </row>
    <row r="3626" spans="1:12">
      <c r="A3626" s="20" t="s">
        <v>1180</v>
      </c>
      <c r="E3626" s="21">
        <f>IF(D3626="?OLD","!!!","")</f>
        <v/>
      </c>
      <c r="F3626" s="22" t="str">
        <f>IF(OR(E3626="",E3626="!!!"),"",IF(NOT(ISNA(VLOOKUP(E3626,E$1:E3625,1,FALSE()))),"OLD",IF(AND(E3626&lt;&gt;"",E3626&lt;&gt;"!!!"),"NEW","")))</f>
        <v> </v>
      </c>
      <c r="G3626" s="23" t="str">
        <f>IF(OR(E3626="",E3626="!!!"),"",IF(OR(J3626=0,AND(J3626=1,K3626=1),AND(J3626=1,I3626="SBJ"),AND(J3626=1,I3626=0)),"?IN_FOCUS",IF(J3626&lt;=2,"?ACTIVATED",IF(J3626&lt;&gt;"","?FAMILIAR",IF(F3626="NEW",IF(ISNA(VLOOKUP(E3626,#REF!,1,FALSE())),"?TYPE_IDENTIFIABLE","?REFERENTIAL"),"_")))))</f>
        <v> </v>
      </c>
      <c r="H3626" s="24" t="str">
        <f>IF(J3626&lt;&gt;1,"",IF(I3626="SBJ","CB","?"))</f>
        <v> </v>
      </c>
      <c r="I3626" s="25" t="str">
        <f>IF(OR(E3626="",E3626="!!!",F3626="NEW"),"",INDEX(B3625:B$2,-1+SUMPRODUCT(MAX(ROW(E3625:E$2)*(E3626=E3625:E$2)))))</f>
        <v> </v>
      </c>
      <c r="J3626" s="25" t="str">
        <f>IF(OR(E3626="",E3626="!!!",F3626="NEW"),"",COUNTBLANK(OFFSET(A$1,,,SUMPRODUCT(MAX(ROW(E$2:E3626)*(E3626=E$2:E3626)))))-COUNTBLANK(OFFSET(A$1,,,SUMPRODUCT(MAX(ROW(E$1:E3625)*(E2=E$1:E3625))))))</f>
        <v> </v>
      </c>
      <c r="K3626" s="25" t="str">
        <f>IF(OR(E3626="",E3626="!!!",F3626="NEW"),"",INDEX(J$1:J3625,SUMPRODUCT(MAX(ROW(E$1:E3625)*(E3626=E$1:E3625)))))</f>
        <v> </v>
      </c>
      <c r="L3626" s="26"/>
    </row>
    <row r="3627" spans="1:12">
      <c r="A3627" s="20" t="s">
        <v>1616</v>
      </c>
      <c r="E3627" s="21">
        <f>IF(D3627="?OLD","!!!","")</f>
        <v/>
      </c>
      <c r="F3627" s="22" t="str">
        <f>IF(OR(E3627="",E3627="!!!"),"",IF(NOT(ISNA(VLOOKUP(E3627,E$1:E3626,1,FALSE()))),"OLD",IF(AND(E3627&lt;&gt;"",E3627&lt;&gt;"!!!"),"NEW","")))</f>
        <v> </v>
      </c>
      <c r="G3627" s="23" t="str">
        <f>IF(OR(E3627="",E3627="!!!"),"",IF(OR(J3627=0,AND(J3627=1,K3627=1),AND(J3627=1,I3627="SBJ"),AND(J3627=1,I3627=0)),"?IN_FOCUS",IF(J3627&lt;=2,"?ACTIVATED",IF(J3627&lt;&gt;"","?FAMILIAR",IF(F3627="NEW",IF(ISNA(VLOOKUP(E3627,#REF!,1,FALSE())),"?TYPE_IDENTIFIABLE","?REFERENTIAL"),"_")))))</f>
        <v> </v>
      </c>
      <c r="H3627" s="24" t="str">
        <f>IF(J3627&lt;&gt;1,"",IF(I3627="SBJ","CB","?"))</f>
        <v> </v>
      </c>
      <c r="I3627" s="25" t="str">
        <f>IF(OR(E3627="",E3627="!!!",F3627="NEW"),"",INDEX(B3626:B$2,-1+SUMPRODUCT(MAX(ROW(E3626:E$2)*(E3627=E3626:E$2)))))</f>
        <v> </v>
      </c>
      <c r="J3627" s="25" t="str">
        <f>IF(OR(E3627="",E3627="!!!",F3627="NEW"),"",COUNTBLANK(OFFSET(A$1,,,SUMPRODUCT(MAX(ROW(E$2:E3627)*(E3627=E$2:E3627)))))-COUNTBLANK(OFFSET(A$1,,,SUMPRODUCT(MAX(ROW(E$1:E3626)*(E2=E$1:E3626))))))</f>
        <v> </v>
      </c>
      <c r="K3627" s="25" t="str">
        <f>IF(OR(E3627="",E3627="!!!",F3627="NEW"),"",INDEX(J$1:J3626,SUMPRODUCT(MAX(ROW(E$1:E3626)*(E3627=E$1:E3626)))))</f>
        <v> </v>
      </c>
      <c r="L3627" s="26"/>
    </row>
    <row r="3628" spans="1:12">
      <c r="A3628" s="20" t="s">
        <v>2738</v>
      </c>
      <c r="E3628" s="21">
        <f>IF(D3628="?OLD","!!!","")</f>
        <v/>
      </c>
      <c r="F3628" s="22" t="str">
        <f>IF(OR(E3628="",E3628="!!!"),"",IF(NOT(ISNA(VLOOKUP(E3628,E$1:E3627,1,FALSE()))),"OLD",IF(AND(E3628&lt;&gt;"",E3628&lt;&gt;"!!!"),"NEW","")))</f>
        <v> </v>
      </c>
      <c r="G3628" s="23" t="str">
        <f>IF(OR(E3628="",E3628="!!!"),"",IF(OR(J3628=0,AND(J3628=1,K3628=1),AND(J3628=1,I3628="SBJ"),AND(J3628=1,I3628=0)),"?IN_FOCUS",IF(J3628&lt;=2,"?ACTIVATED",IF(J3628&lt;&gt;"","?FAMILIAR",IF(F3628="NEW",IF(ISNA(VLOOKUP(E3628,#REF!,1,FALSE())),"?TYPE_IDENTIFIABLE","?REFERENTIAL"),"_")))))</f>
        <v> </v>
      </c>
      <c r="H3628" s="24" t="str">
        <f>IF(J3628&lt;&gt;1,"",IF(I3628="SBJ","CB","?"))</f>
        <v> </v>
      </c>
      <c r="I3628" s="25" t="str">
        <f>IF(OR(E3628="",E3628="!!!",F3628="NEW"),"",INDEX(B3627:B$2,-1+SUMPRODUCT(MAX(ROW(E3627:E$2)*(E3628=E3627:E$2)))))</f>
        <v> </v>
      </c>
      <c r="J3628" s="25" t="str">
        <f>IF(OR(E3628="",E3628="!!!",F3628="NEW"),"",COUNTBLANK(OFFSET(A$1,,,SUMPRODUCT(MAX(ROW(E$2:E3628)*(E3628=E$2:E3628)))))-COUNTBLANK(OFFSET(A$1,,,SUMPRODUCT(MAX(ROW(E$1:E3627)*(E2=E$1:E3627))))))</f>
        <v> </v>
      </c>
      <c r="K3628" s="25" t="str">
        <f>IF(OR(E3628="",E3628="!!!",F3628="NEW"),"",INDEX(J$1:J3627,SUMPRODUCT(MAX(ROW(E$1:E3627)*(E3628=E$1:E3627)))))</f>
        <v> </v>
      </c>
      <c r="L3628" s="26"/>
    </row>
    <row r="3629" spans="1:12">
      <c r="A3629" s="20" t="s">
        <v>1123</v>
      </c>
      <c r="E3629" s="21">
        <f>IF(D3629="?OLD","!!!","")</f>
        <v/>
      </c>
      <c r="F3629" s="22" t="str">
        <f>IF(OR(E3629="",E3629="!!!"),"",IF(NOT(ISNA(VLOOKUP(E3629,E$1:E3628,1,FALSE()))),"OLD",IF(AND(E3629&lt;&gt;"",E3629&lt;&gt;"!!!"),"NEW","")))</f>
        <v> </v>
      </c>
      <c r="G3629" s="23" t="str">
        <f>IF(OR(E3629="",E3629="!!!"),"",IF(OR(J3629=0,AND(J3629=1,K3629=1),AND(J3629=1,I3629="SBJ"),AND(J3629=1,I3629=0)),"?IN_FOCUS",IF(J3629&lt;=2,"?ACTIVATED",IF(J3629&lt;&gt;"","?FAMILIAR",IF(F3629="NEW",IF(ISNA(VLOOKUP(E3629,#REF!,1,FALSE())),"?TYPE_IDENTIFIABLE","?REFERENTIAL"),"_")))))</f>
        <v> </v>
      </c>
      <c r="H3629" s="24" t="str">
        <f>IF(J3629&lt;&gt;1,"",IF(I3629="SBJ","CB","?"))</f>
        <v> </v>
      </c>
      <c r="I3629" s="25" t="str">
        <f>IF(OR(E3629="",E3629="!!!",F3629="NEW"),"",INDEX(B3628:B$2,-1+SUMPRODUCT(MAX(ROW(E3628:E$2)*(E3629=E3628:E$2)))))</f>
        <v> </v>
      </c>
      <c r="J3629" s="25" t="str">
        <f>IF(OR(E3629="",E3629="!!!",F3629="NEW"),"",COUNTBLANK(OFFSET(A$1,,,SUMPRODUCT(MAX(ROW(E$2:E3629)*(E3629=E$2:E3629)))))-COUNTBLANK(OFFSET(A$1,,,SUMPRODUCT(MAX(ROW(E$1:E3628)*(E2=E$1:E3628))))))</f>
        <v> </v>
      </c>
      <c r="K3629" s="25" t="str">
        <f>IF(OR(E3629="",E3629="!!!",F3629="NEW"),"",INDEX(J$1:J3628,SUMPRODUCT(MAX(ROW(E$1:E3628)*(E3629=E$1:E3628)))))</f>
        <v> </v>
      </c>
      <c r="L3629" s="26"/>
    </row>
    <row r="3630" spans="1:12">
      <c r="A3630" s="20" t="s">
        <v>2739</v>
      </c>
      <c r="E3630" s="21">
        <f>IF(D3630="?OLD","!!!","")</f>
        <v/>
      </c>
      <c r="F3630" s="22" t="str">
        <f>IF(OR(E3630="",E3630="!!!"),"",IF(NOT(ISNA(VLOOKUP(E3630,E$1:E3629,1,FALSE()))),"OLD",IF(AND(E3630&lt;&gt;"",E3630&lt;&gt;"!!!"),"NEW","")))</f>
        <v> </v>
      </c>
      <c r="G3630" s="23" t="str">
        <f>IF(OR(E3630="",E3630="!!!"),"",IF(OR(J3630=0,AND(J3630=1,K3630=1),AND(J3630=1,I3630="SBJ"),AND(J3630=1,I3630=0)),"?IN_FOCUS",IF(J3630&lt;=2,"?ACTIVATED",IF(J3630&lt;&gt;"","?FAMILIAR",IF(F3630="NEW",IF(ISNA(VLOOKUP(E3630,#REF!,1,FALSE())),"?TYPE_IDENTIFIABLE","?REFERENTIAL"),"_")))))</f>
        <v> </v>
      </c>
      <c r="H3630" s="24" t="str">
        <f>IF(J3630&lt;&gt;1,"",IF(I3630="SBJ","CB","?"))</f>
        <v> </v>
      </c>
      <c r="I3630" s="25" t="str">
        <f>IF(OR(E3630="",E3630="!!!",F3630="NEW"),"",INDEX(B3629:B$2,-1+SUMPRODUCT(MAX(ROW(E3629:E$2)*(E3630=E3629:E$2)))))</f>
        <v> </v>
      </c>
      <c r="J3630" s="25" t="str">
        <f>IF(OR(E3630="",E3630="!!!",F3630="NEW"),"",COUNTBLANK(OFFSET(A$1,,,SUMPRODUCT(MAX(ROW(E$2:E3630)*(E3630=E$2:E3630)))))-COUNTBLANK(OFFSET(A$1,,,SUMPRODUCT(MAX(ROW(E$1:E3629)*(E2=E$1:E3629))))))</f>
        <v> </v>
      </c>
      <c r="K3630" s="25" t="str">
        <f>IF(OR(E3630="",E3630="!!!",F3630="NEW"),"",INDEX(J$1:J3629,SUMPRODUCT(MAX(ROW(E$1:E3629)*(E3630=E$1:E3629)))))</f>
        <v> </v>
      </c>
      <c r="L3630" s="26"/>
    </row>
    <row r="3631" spans="1:12">
      <c r="A3631" s="20" t="s">
        <v>2740</v>
      </c>
      <c r="B3631" s="27" t="s">
        <v>1110</v>
      </c>
      <c r="C3631" s="27" t="s">
        <v>1156</v>
      </c>
      <c r="D3631" s="27" t="s">
        <v>1105</v>
      </c>
      <c r="E3631" s="21">
        <f>IF(D3631="?OLD","!!!","")</f>
        <v/>
      </c>
      <c r="F3631" s="22" t="str">
        <f>IF(OR(E3631="",E3631="!!!"),"",IF(NOT(ISNA(VLOOKUP(E3631,E$1:E3630,1,FALSE()))),"OLD",IF(AND(E3631&lt;&gt;"",E3631&lt;&gt;"!!!"),"NEW","")))</f>
        <v> </v>
      </c>
      <c r="G3631" s="23" t="str">
        <f>IF(OR(E3631="",E3631="!!!"),"",IF(OR(J3631=0,AND(J3631=1,K3631=1),AND(J3631=1,I3631="SBJ"),AND(J3631=1,I3631=0)),"?IN_FOCUS",IF(J3631&lt;=2,"?ACTIVATED",IF(J3631&lt;&gt;"","?FAMILIAR",IF(F3631="NEW",IF(ISNA(VLOOKUP(E3631,#REF!,1,FALSE())),"?TYPE_IDENTIFIABLE","?REFERENTIAL"),"_")))))</f>
        <v> </v>
      </c>
      <c r="H3631" s="24" t="str">
        <f>IF(J3631&lt;&gt;1,"",IF(I3631="SBJ","CB","?"))</f>
        <v> </v>
      </c>
      <c r="I3631" s="25" t="str">
        <f>IF(OR(E3631="",E3631="!!!",F3631="NEW"),"",INDEX(B3630:B$2,-1+SUMPRODUCT(MAX(ROW(E3630:E$2)*(E3631=E3630:E$2)))))</f>
        <v> </v>
      </c>
      <c r="J3631" s="25" t="str">
        <f>IF(OR(E3631="",E3631="!!!",F3631="NEW"),"",COUNTBLANK(OFFSET(A$1,,,SUMPRODUCT(MAX(ROW(E$2:E3631)*(E3631=E$2:E3631)))))-COUNTBLANK(OFFSET(A$1,,,SUMPRODUCT(MAX(ROW(E$1:E3630)*(E2=E$1:E3630))))))</f>
        <v> </v>
      </c>
      <c r="K3631" s="25" t="str">
        <f>IF(OR(E3631="",E3631="!!!",F3631="NEW"),"",INDEX(J$1:J3630,SUMPRODUCT(MAX(ROW(E$1:E3630)*(E3631=E$1:E3630)))))</f>
        <v> </v>
      </c>
      <c r="L3631" s="26"/>
    </row>
    <row r="3632" spans="1:12">
      <c r="A3632" s="20" t="s">
        <v>1123</v>
      </c>
      <c r="E3632" s="21">
        <f>IF(D3632="?OLD","!!!","")</f>
        <v/>
      </c>
      <c r="F3632" s="22" t="str">
        <f>IF(OR(E3632="",E3632="!!!"),"",IF(NOT(ISNA(VLOOKUP(E3632,E$1:E3631,1,FALSE()))),"OLD",IF(AND(E3632&lt;&gt;"",E3632&lt;&gt;"!!!"),"NEW","")))</f>
        <v> </v>
      </c>
      <c r="G3632" s="23" t="str">
        <f>IF(OR(E3632="",E3632="!!!"),"",IF(OR(J3632=0,AND(J3632=1,K3632=1),AND(J3632=1,I3632="SBJ"),AND(J3632=1,I3632=0)),"?IN_FOCUS",IF(J3632&lt;=2,"?ACTIVATED",IF(J3632&lt;&gt;"","?FAMILIAR",IF(F3632="NEW",IF(ISNA(VLOOKUP(E3632,#REF!,1,FALSE())),"?TYPE_IDENTIFIABLE","?REFERENTIAL"),"_")))))</f>
        <v> </v>
      </c>
      <c r="H3632" s="24" t="str">
        <f>IF(J3632&lt;&gt;1,"",IF(I3632="SBJ","CB","?"))</f>
        <v> </v>
      </c>
      <c r="I3632" s="25" t="str">
        <f>IF(OR(E3632="",E3632="!!!",F3632="NEW"),"",INDEX(B3631:B$2,-1+SUMPRODUCT(MAX(ROW(E3631:E$2)*(E3632=E3631:E$2)))))</f>
        <v> </v>
      </c>
      <c r="J3632" s="25" t="str">
        <f>IF(OR(E3632="",E3632="!!!",F3632="NEW"),"",COUNTBLANK(OFFSET(A$1,,,SUMPRODUCT(MAX(ROW(E$2:E3632)*(E3632=E$2:E3632)))))-COUNTBLANK(OFFSET(A$1,,,SUMPRODUCT(MAX(ROW(E$1:E3631)*(E2=E$1:E3631))))))</f>
        <v> </v>
      </c>
      <c r="K3632" s="25" t="str">
        <f>IF(OR(E3632="",E3632="!!!",F3632="NEW"),"",INDEX(J$1:J3631,SUMPRODUCT(MAX(ROW(E$1:E3631)*(E3632=E$1:E3631)))))</f>
        <v> </v>
      </c>
      <c r="L3632" s="26"/>
    </row>
    <row r="3633" spans="1:12">
      <c r="A3633" s="20" t="s">
        <v>2741</v>
      </c>
      <c r="B3633" s="27" t="s">
        <v>1870</v>
      </c>
      <c r="E3633" s="21">
        <f>IF(D3633="?OLD","!!!","")</f>
        <v/>
      </c>
      <c r="F3633" s="22" t="str">
        <f>IF(OR(E3633="",E3633="!!!"),"",IF(NOT(ISNA(VLOOKUP(E3633,E$1:E3632,1,FALSE()))),"OLD",IF(AND(E3633&lt;&gt;"",E3633&lt;&gt;"!!!"),"NEW","")))</f>
        <v> </v>
      </c>
      <c r="G3633" s="23" t="str">
        <f>IF(OR(E3633="",E3633="!!!"),"",IF(OR(J3633=0,AND(J3633=1,K3633=1),AND(J3633=1,I3633="SBJ"),AND(J3633=1,I3633=0)),"?IN_FOCUS",IF(J3633&lt;=2,"?ACTIVATED",IF(J3633&lt;&gt;"","?FAMILIAR",IF(F3633="NEW",IF(ISNA(VLOOKUP(E3633,#REF!,1,FALSE())),"?TYPE_IDENTIFIABLE","?REFERENTIAL"),"_")))))</f>
        <v> </v>
      </c>
      <c r="H3633" s="24" t="str">
        <f>IF(J3633&lt;&gt;1,"",IF(I3633="SBJ","CB","?"))</f>
        <v> </v>
      </c>
      <c r="I3633" s="25" t="str">
        <f>IF(OR(E3633="",E3633="!!!",F3633="NEW"),"",INDEX(B3632:B$2,-1+SUMPRODUCT(MAX(ROW(E3632:E$2)*(E3633=E3632:E$2)))))</f>
        <v> </v>
      </c>
      <c r="J3633" s="25" t="str">
        <f>IF(OR(E3633="",E3633="!!!",F3633="NEW"),"",COUNTBLANK(OFFSET(A$1,,,SUMPRODUCT(MAX(ROW(E$2:E3633)*(E3633=E$2:E3633)))))-COUNTBLANK(OFFSET(A$1,,,SUMPRODUCT(MAX(ROW(E$1:E3632)*(E2=E$1:E3632))))))</f>
        <v> </v>
      </c>
      <c r="K3633" s="25" t="str">
        <f>IF(OR(E3633="",E3633="!!!",F3633="NEW"),"",INDEX(J$1:J3632,SUMPRODUCT(MAX(ROW(E$1:E3632)*(E3633=E$1:E3632)))))</f>
        <v> </v>
      </c>
      <c r="L3633" s="26"/>
    </row>
    <row r="3634" spans="1:12">
      <c r="A3634" s="20" t="s">
        <v>2742</v>
      </c>
      <c r="E3634" s="21">
        <f>IF(D3634="?OLD","!!!","")</f>
        <v/>
      </c>
      <c r="F3634" s="22" t="str">
        <f>IF(OR(E3634="",E3634="!!!"),"",IF(NOT(ISNA(VLOOKUP(E3634,E$1:E3633,1,FALSE()))),"OLD",IF(AND(E3634&lt;&gt;"",E3634&lt;&gt;"!!!"),"NEW","")))</f>
        <v> </v>
      </c>
      <c r="G3634" s="23" t="str">
        <f>IF(OR(E3634="",E3634="!!!"),"",IF(OR(J3634=0,AND(J3634=1,K3634=1),AND(J3634=1,I3634="SBJ"),AND(J3634=1,I3634=0)),"?IN_FOCUS",IF(J3634&lt;=2,"?ACTIVATED",IF(J3634&lt;&gt;"","?FAMILIAR",IF(F3634="NEW",IF(ISNA(VLOOKUP(E3634,#REF!,1,FALSE())),"?TYPE_IDENTIFIABLE","?REFERENTIAL"),"_")))))</f>
        <v> </v>
      </c>
      <c r="H3634" s="24" t="str">
        <f>IF(J3634&lt;&gt;1,"",IF(I3634="SBJ","CB","?"))</f>
        <v> </v>
      </c>
      <c r="I3634" s="25" t="str">
        <f>IF(OR(E3634="",E3634="!!!",F3634="NEW"),"",INDEX(B3633:B$2,-1+SUMPRODUCT(MAX(ROW(E3633:E$2)*(E3634=E3633:E$2)))))</f>
        <v> </v>
      </c>
      <c r="J3634" s="25" t="str">
        <f>IF(OR(E3634="",E3634="!!!",F3634="NEW"),"",COUNTBLANK(OFFSET(A$1,,,SUMPRODUCT(MAX(ROW(E$2:E3634)*(E3634=E$2:E3634)))))-COUNTBLANK(OFFSET(A$1,,,SUMPRODUCT(MAX(ROW(E$1:E3633)*(E2=E$1:E3633))))))</f>
        <v> </v>
      </c>
      <c r="K3634" s="25" t="str">
        <f>IF(OR(E3634="",E3634="!!!",F3634="NEW"),"",INDEX(J$1:J3633,SUMPRODUCT(MAX(ROW(E$1:E3633)*(E3634=E$1:E3633)))))</f>
        <v> </v>
      </c>
      <c r="L3634" s="26"/>
    </row>
    <row r="3635" spans="1:12">
      <c r="A3635" s="20" t="s">
        <v>2635</v>
      </c>
      <c r="E3635" s="21">
        <f>IF(D3635="?OLD","!!!","")</f>
        <v/>
      </c>
      <c r="F3635" s="22" t="str">
        <f>IF(OR(E3635="",E3635="!!!"),"",IF(NOT(ISNA(VLOOKUP(E3635,E$1:E3634,1,FALSE()))),"OLD",IF(AND(E3635&lt;&gt;"",E3635&lt;&gt;"!!!"),"NEW","")))</f>
        <v> </v>
      </c>
      <c r="G3635" s="23" t="str">
        <f>IF(OR(E3635="",E3635="!!!"),"",IF(OR(J3635=0,AND(J3635=1,K3635=1),AND(J3635=1,I3635="SBJ"),AND(J3635=1,I3635=0)),"?IN_FOCUS",IF(J3635&lt;=2,"?ACTIVATED",IF(J3635&lt;&gt;"","?FAMILIAR",IF(F3635="NEW",IF(ISNA(VLOOKUP(E3635,#REF!,1,FALSE())),"?TYPE_IDENTIFIABLE","?REFERENTIAL"),"_")))))</f>
        <v> </v>
      </c>
      <c r="H3635" s="24" t="str">
        <f>IF(J3635&lt;&gt;1,"",IF(I3635="SBJ","CB","?"))</f>
        <v> </v>
      </c>
      <c r="I3635" s="25" t="str">
        <f>IF(OR(E3635="",E3635="!!!",F3635="NEW"),"",INDEX(B3634:B$2,-1+SUMPRODUCT(MAX(ROW(E3634:E$2)*(E3635=E3634:E$2)))))</f>
        <v> </v>
      </c>
      <c r="J3635" s="25" t="str">
        <f>IF(OR(E3635="",E3635="!!!",F3635="NEW"),"",COUNTBLANK(OFFSET(A$1,,,SUMPRODUCT(MAX(ROW(E$2:E3635)*(E3635=E$2:E3635)))))-COUNTBLANK(OFFSET(A$1,,,SUMPRODUCT(MAX(ROW(E$1:E3634)*(E2=E$1:E3634))))))</f>
        <v> </v>
      </c>
      <c r="K3635" s="25" t="str">
        <f>IF(OR(E3635="",E3635="!!!",F3635="NEW"),"",INDEX(J$1:J3634,SUMPRODUCT(MAX(ROW(E$1:E3634)*(E3635=E$1:E3634)))))</f>
        <v> </v>
      </c>
      <c r="L3635" s="26"/>
    </row>
    <row r="3636" spans="1:12">
      <c r="A3636" s="20" t="s">
        <v>1184</v>
      </c>
      <c r="E3636" s="21">
        <f>IF(D3636="?OLD","!!!","")</f>
        <v/>
      </c>
      <c r="F3636" s="22" t="str">
        <f>IF(OR(E3636="",E3636="!!!"),"",IF(NOT(ISNA(VLOOKUP(E3636,E$1:E3635,1,FALSE()))),"OLD",IF(AND(E3636&lt;&gt;"",E3636&lt;&gt;"!!!"),"NEW","")))</f>
        <v> </v>
      </c>
      <c r="G3636" s="23" t="str">
        <f>IF(OR(E3636="",E3636="!!!"),"",IF(OR(J3636=0,AND(J3636=1,K3636=1),AND(J3636=1,I3636="SBJ"),AND(J3636=1,I3636=0)),"?IN_FOCUS",IF(J3636&lt;=2,"?ACTIVATED",IF(J3636&lt;&gt;"","?FAMILIAR",IF(F3636="NEW",IF(ISNA(VLOOKUP(E3636,#REF!,1,FALSE())),"?TYPE_IDENTIFIABLE","?REFERENTIAL"),"_")))))</f>
        <v> </v>
      </c>
      <c r="H3636" s="24" t="str">
        <f>IF(J3636&lt;&gt;1,"",IF(I3636="SBJ","CB","?"))</f>
        <v> </v>
      </c>
      <c r="I3636" s="25" t="str">
        <f>IF(OR(E3636="",E3636="!!!",F3636="NEW"),"",INDEX(B3635:B$2,-1+SUMPRODUCT(MAX(ROW(E3635:E$2)*(E3636=E3635:E$2)))))</f>
        <v> </v>
      </c>
      <c r="J3636" s="25" t="str">
        <f>IF(OR(E3636="",E3636="!!!",F3636="NEW"),"",COUNTBLANK(OFFSET(A$1,,,SUMPRODUCT(MAX(ROW(E$2:E3636)*(E3636=E$2:E3636)))))-COUNTBLANK(OFFSET(A$1,,,SUMPRODUCT(MAX(ROW(E$1:E3635)*(E2=E$1:E3635))))))</f>
        <v> </v>
      </c>
      <c r="K3636" s="25" t="str">
        <f>IF(OR(E3636="",E3636="!!!",F3636="NEW"),"",INDEX(J$1:J3635,SUMPRODUCT(MAX(ROW(E$1:E3635)*(E3636=E$1:E3635)))))</f>
        <v> </v>
      </c>
      <c r="L3636" s="26"/>
    </row>
    <row r="3637" spans="1:12">
      <c r="A3637" s="20" t="s">
        <v>2743</v>
      </c>
      <c r="B3637" s="27" t="s">
        <v>1141</v>
      </c>
      <c r="C3637" s="27" t="s">
        <v>1108</v>
      </c>
      <c r="D3637" s="27" t="s">
        <v>1105</v>
      </c>
      <c r="E3637" s="21">
        <f>IF(D3637="?OLD","!!!","")</f>
        <v/>
      </c>
      <c r="F3637" s="22" t="str">
        <f>IF(OR(E3637="",E3637="!!!"),"",IF(NOT(ISNA(VLOOKUP(E3637,E$1:E3636,1,FALSE()))),"OLD",IF(AND(E3637&lt;&gt;"",E3637&lt;&gt;"!!!"),"NEW","")))</f>
        <v> </v>
      </c>
      <c r="G3637" s="23" t="str">
        <f>IF(OR(E3637="",E3637="!!!"),"",IF(OR(J3637=0,AND(J3637=1,K3637=1),AND(J3637=1,I3637="SBJ"),AND(J3637=1,I3637=0)),"?IN_FOCUS",IF(J3637&lt;=2,"?ACTIVATED",IF(J3637&lt;&gt;"","?FAMILIAR",IF(F3637="NEW",IF(ISNA(VLOOKUP(E3637,#REF!,1,FALSE())),"?TYPE_IDENTIFIABLE","?REFERENTIAL"),"_")))))</f>
        <v> </v>
      </c>
      <c r="H3637" s="24" t="str">
        <f>IF(J3637&lt;&gt;1,"",IF(I3637="SBJ","CB","?"))</f>
        <v> </v>
      </c>
      <c r="I3637" s="25" t="str">
        <f>IF(OR(E3637="",E3637="!!!",F3637="NEW"),"",INDEX(B3636:B$2,-1+SUMPRODUCT(MAX(ROW(E3636:E$2)*(E3637=E3636:E$2)))))</f>
        <v> </v>
      </c>
      <c r="J3637" s="25" t="str">
        <f>IF(OR(E3637="",E3637="!!!",F3637="NEW"),"",COUNTBLANK(OFFSET(A$1,,,SUMPRODUCT(MAX(ROW(E$2:E3637)*(E3637=E$2:E3637)))))-COUNTBLANK(OFFSET(A$1,,,SUMPRODUCT(MAX(ROW(E$1:E3636)*(E2=E$1:E3636))))))</f>
        <v> </v>
      </c>
      <c r="K3637" s="25" t="str">
        <f>IF(OR(E3637="",E3637="!!!",F3637="NEW"),"",INDEX(J$1:J3636,SUMPRODUCT(MAX(ROW(E$1:E3636)*(E3637=E$1:E3636)))))</f>
        <v> </v>
      </c>
      <c r="L3637" s="26"/>
    </row>
    <row r="3638" spans="1:12">
      <c r="A3638" s="20" t="s">
        <v>2744</v>
      </c>
      <c r="B3638" s="27" t="s">
        <v>1141</v>
      </c>
      <c r="C3638" s="27" t="s">
        <v>1104</v>
      </c>
      <c r="D3638" s="27" t="s">
        <v>1105</v>
      </c>
      <c r="E3638" s="21">
        <f>IF(D3638="?OLD","!!!","")</f>
        <v/>
      </c>
      <c r="F3638" s="22" t="str">
        <f>IF(OR(E3638="",E3638="!!!"),"",IF(NOT(ISNA(VLOOKUP(E3638,E$1:E3637,1,FALSE()))),"OLD",IF(AND(E3638&lt;&gt;"",E3638&lt;&gt;"!!!"),"NEW","")))</f>
        <v> </v>
      </c>
      <c r="G3638" s="23" t="str">
        <f>IF(OR(E3638="",E3638="!!!"),"",IF(OR(J3638=0,AND(J3638=1,K3638=1),AND(J3638=1,I3638="SBJ"),AND(J3638=1,I3638=0)),"?IN_FOCUS",IF(J3638&lt;=2,"?ACTIVATED",IF(J3638&lt;&gt;"","?FAMILIAR",IF(F3638="NEW",IF(ISNA(VLOOKUP(E3638,#REF!,1,FALSE())),"?TYPE_IDENTIFIABLE","?REFERENTIAL"),"_")))))</f>
        <v> </v>
      </c>
      <c r="H3638" s="24" t="str">
        <f>IF(J3638&lt;&gt;1,"",IF(I3638="SBJ","CB","?"))</f>
        <v> </v>
      </c>
      <c r="I3638" s="25" t="str">
        <f>IF(OR(E3638="",E3638="!!!",F3638="NEW"),"",INDEX(B3637:B$2,-1+SUMPRODUCT(MAX(ROW(E3637:E$2)*(E3638=E3637:E$2)))))</f>
        <v> </v>
      </c>
      <c r="J3638" s="25" t="str">
        <f>IF(OR(E3638="",E3638="!!!",F3638="NEW"),"",COUNTBLANK(OFFSET(A$1,,,SUMPRODUCT(MAX(ROW(E$2:E3638)*(E3638=E$2:E3638)))))-COUNTBLANK(OFFSET(A$1,,,SUMPRODUCT(MAX(ROW(E$1:E3637)*(E2=E$1:E3637))))))</f>
        <v> </v>
      </c>
      <c r="K3638" s="25" t="str">
        <f>IF(OR(E3638="",E3638="!!!",F3638="NEW"),"",INDEX(J$1:J3637,SUMPRODUCT(MAX(ROW(E$1:E3637)*(E3638=E$1:E3637)))))</f>
        <v> </v>
      </c>
      <c r="L3638" s="26"/>
    </row>
    <row r="3639" spans="1:12">
      <c r="A3639" s="20" t="s">
        <v>1154</v>
      </c>
      <c r="E3639" s="21">
        <f>IF(D3639="?OLD","!!!","")</f>
        <v/>
      </c>
      <c r="F3639" s="22" t="str">
        <f>IF(OR(E3639="",E3639="!!!"),"",IF(NOT(ISNA(VLOOKUP(E3639,E$1:E3638,1,FALSE()))),"OLD",IF(AND(E3639&lt;&gt;"",E3639&lt;&gt;"!!!"),"NEW","")))</f>
        <v> </v>
      </c>
      <c r="G3639" s="23" t="str">
        <f>IF(OR(E3639="",E3639="!!!"),"",IF(OR(J3639=0,AND(J3639=1,K3639=1),AND(J3639=1,I3639="SBJ"),AND(J3639=1,I3639=0)),"?IN_FOCUS",IF(J3639&lt;=2,"?ACTIVATED",IF(J3639&lt;&gt;"","?FAMILIAR",IF(F3639="NEW",IF(ISNA(VLOOKUP(E3639,#REF!,1,FALSE())),"?TYPE_IDENTIFIABLE","?REFERENTIAL"),"_")))))</f>
        <v> </v>
      </c>
      <c r="H3639" s="24" t="str">
        <f>IF(J3639&lt;&gt;1,"",IF(I3639="SBJ","CB","?"))</f>
        <v> </v>
      </c>
      <c r="I3639" s="25" t="str">
        <f>IF(OR(E3639="",E3639="!!!",F3639="NEW"),"",INDEX(B3638:B$2,-1+SUMPRODUCT(MAX(ROW(E3638:E$2)*(E3639=E3638:E$2)))))</f>
        <v> </v>
      </c>
      <c r="J3639" s="25" t="str">
        <f>IF(OR(E3639="",E3639="!!!",F3639="NEW"),"",COUNTBLANK(OFFSET(A$1,,,SUMPRODUCT(MAX(ROW(E$2:E3639)*(E3639=E$2:E3639)))))-COUNTBLANK(OFFSET(A$1,,,SUMPRODUCT(MAX(ROW(E$1:E3638)*(E2=E$1:E3638))))))</f>
        <v> </v>
      </c>
      <c r="K3639" s="25" t="str">
        <f>IF(OR(E3639="",E3639="!!!",F3639="NEW"),"",INDEX(J$1:J3638,SUMPRODUCT(MAX(ROW(E$1:E3638)*(E3639=E$1:E3638)))))</f>
        <v> </v>
      </c>
      <c r="L3639" s="26"/>
    </row>
    <row r="3640" spans="1:12">
      <c r="A3640" s="20" t="s">
        <v>2745</v>
      </c>
      <c r="E3640" s="21">
        <f>IF(D3640="?OLD","!!!","")</f>
        <v/>
      </c>
      <c r="F3640" s="22" t="str">
        <f>IF(OR(E3640="",E3640="!!!"),"",IF(NOT(ISNA(VLOOKUP(E3640,E$1:E3639,1,FALSE()))),"OLD",IF(AND(E3640&lt;&gt;"",E3640&lt;&gt;"!!!"),"NEW","")))</f>
        <v> </v>
      </c>
      <c r="G3640" s="23" t="str">
        <f>IF(OR(E3640="",E3640="!!!"),"",IF(OR(J3640=0,AND(J3640=1,K3640=1),AND(J3640=1,I3640="SBJ"),AND(J3640=1,I3640=0)),"?IN_FOCUS",IF(J3640&lt;=2,"?ACTIVATED",IF(J3640&lt;&gt;"","?FAMILIAR",IF(F3640="NEW",IF(ISNA(VLOOKUP(E3640,#REF!,1,FALSE())),"?TYPE_IDENTIFIABLE","?REFERENTIAL"),"_")))))</f>
        <v> </v>
      </c>
      <c r="H3640" s="24" t="str">
        <f>IF(J3640&lt;&gt;1,"",IF(I3640="SBJ","CB","?"))</f>
        <v> </v>
      </c>
      <c r="I3640" s="25" t="str">
        <f>IF(OR(E3640="",E3640="!!!",F3640="NEW"),"",INDEX(B3639:B$2,-1+SUMPRODUCT(MAX(ROW(E3639:E$2)*(E3640=E3639:E$2)))))</f>
        <v> </v>
      </c>
      <c r="J3640" s="25" t="str">
        <f>IF(OR(E3640="",E3640="!!!",F3640="NEW"),"",COUNTBLANK(OFFSET(A$1,,,SUMPRODUCT(MAX(ROW(E$2:E3640)*(E3640=E$2:E3640)))))-COUNTBLANK(OFFSET(A$1,,,SUMPRODUCT(MAX(ROW(E$1:E3639)*(E2=E$1:E3639))))))</f>
        <v> </v>
      </c>
      <c r="K3640" s="25" t="str">
        <f>IF(OR(E3640="",E3640="!!!",F3640="NEW"),"",INDEX(J$1:J3639,SUMPRODUCT(MAX(ROW(E$1:E3639)*(E3640=E$1:E3639)))))</f>
        <v> </v>
      </c>
      <c r="L3640" s="26"/>
    </row>
    <row r="3641" spans="1:12">
      <c r="A3641" s="20" t="s">
        <v>2746</v>
      </c>
      <c r="B3641" s="27" t="s">
        <v>1307</v>
      </c>
      <c r="C3641" s="27" t="s">
        <v>1156</v>
      </c>
      <c r="D3641" s="27" t="s">
        <v>1105</v>
      </c>
      <c r="E3641" s="21">
        <f>IF(D3641="?OLD","!!!","")</f>
        <v/>
      </c>
      <c r="F3641" s="22" t="str">
        <f>IF(OR(E3641="",E3641="!!!"),"",IF(NOT(ISNA(VLOOKUP(E3641,E$1:E3640,1,FALSE()))),"OLD",IF(AND(E3641&lt;&gt;"",E3641&lt;&gt;"!!!"),"NEW","")))</f>
        <v> </v>
      </c>
      <c r="G3641" s="23" t="str">
        <f>IF(OR(E3641="",E3641="!!!"),"",IF(OR(J3641=0,AND(J3641=1,K3641=1),AND(J3641=1,I3641="SBJ"),AND(J3641=1,I3641=0)),"?IN_FOCUS",IF(J3641&lt;=2,"?ACTIVATED",IF(J3641&lt;&gt;"","?FAMILIAR",IF(F3641="NEW",IF(ISNA(VLOOKUP(E3641,#REF!,1,FALSE())),"?TYPE_IDENTIFIABLE","?REFERENTIAL"),"_")))))</f>
        <v> </v>
      </c>
      <c r="H3641" s="24" t="str">
        <f>IF(J3641&lt;&gt;1,"",IF(I3641="SBJ","CB","?"))</f>
        <v> </v>
      </c>
      <c r="I3641" s="25" t="str">
        <f>IF(OR(E3641="",E3641="!!!",F3641="NEW"),"",INDEX(B3640:B$2,-1+SUMPRODUCT(MAX(ROW(E3640:E$2)*(E3641=E3640:E$2)))))</f>
        <v> </v>
      </c>
      <c r="J3641" s="25" t="str">
        <f>IF(OR(E3641="",E3641="!!!",F3641="NEW"),"",COUNTBLANK(OFFSET(A$1,,,SUMPRODUCT(MAX(ROW(E$2:E3641)*(E3641=E$2:E3641)))))-COUNTBLANK(OFFSET(A$1,,,SUMPRODUCT(MAX(ROW(E$1:E3640)*(E2=E$1:E3640))))))</f>
        <v> </v>
      </c>
      <c r="K3641" s="25" t="str">
        <f>IF(OR(E3641="",E3641="!!!",F3641="NEW"),"",INDEX(J$1:J3640,SUMPRODUCT(MAX(ROW(E$1:E3640)*(E3641=E$1:E3640)))))</f>
        <v> </v>
      </c>
      <c r="L3641" s="26"/>
    </row>
    <row r="3642" spans="1:12">
      <c r="A3642" s="20" t="s">
        <v>1145</v>
      </c>
      <c r="E3642" s="21">
        <f>IF(D3642="?OLD","!!!","")</f>
        <v/>
      </c>
      <c r="F3642" s="22" t="str">
        <f>IF(OR(E3642="",E3642="!!!"),"",IF(NOT(ISNA(VLOOKUP(E3642,E$1:E3641,1,FALSE()))),"OLD",IF(AND(E3642&lt;&gt;"",E3642&lt;&gt;"!!!"),"NEW","")))</f>
        <v> </v>
      </c>
      <c r="G3642" s="23" t="str">
        <f>IF(OR(E3642="",E3642="!!!"),"",IF(OR(J3642=0,AND(J3642=1,K3642=1),AND(J3642=1,I3642="SBJ"),AND(J3642=1,I3642=0)),"?IN_FOCUS",IF(J3642&lt;=2,"?ACTIVATED",IF(J3642&lt;&gt;"","?FAMILIAR",IF(F3642="NEW",IF(ISNA(VLOOKUP(E3642,#REF!,1,FALSE())),"?TYPE_IDENTIFIABLE","?REFERENTIAL"),"_")))))</f>
        <v> </v>
      </c>
      <c r="H3642" s="24" t="str">
        <f>IF(J3642&lt;&gt;1,"",IF(I3642="SBJ","CB","?"))</f>
        <v> </v>
      </c>
      <c r="I3642" s="25" t="str">
        <f>IF(OR(E3642="",E3642="!!!",F3642="NEW"),"",INDEX(B3641:B$2,-1+SUMPRODUCT(MAX(ROW(E3641:E$2)*(E3642=E3641:E$2)))))</f>
        <v> </v>
      </c>
      <c r="J3642" s="25" t="str">
        <f>IF(OR(E3642="",E3642="!!!",F3642="NEW"),"",COUNTBLANK(OFFSET(A$1,,,SUMPRODUCT(MAX(ROW(E$2:E3642)*(E3642=E$2:E3642)))))-COUNTBLANK(OFFSET(A$1,,,SUMPRODUCT(MAX(ROW(E$1:E3641)*(E2=E$1:E3641))))))</f>
        <v> </v>
      </c>
      <c r="K3642" s="25" t="str">
        <f>IF(OR(E3642="",E3642="!!!",F3642="NEW"),"",INDEX(J$1:J3641,SUMPRODUCT(MAX(ROW(E$1:E3641)*(E3642=E$1:E3641)))))</f>
        <v> </v>
      </c>
      <c r="L3642" s="26"/>
    </row>
    <row r="3643" spans="1:12">
      <c r="A3643" s="20"/>
    </row>
    <row r="3644" spans="1:12">
      <c r="A3644" s="20" t="s">
        <v>2747</v>
      </c>
    </row>
    <row r="3645" spans="1:12">
      <c r="A3645" s="20" t="s">
        <v>1368</v>
      </c>
      <c r="E3645" s="21">
        <f>IF(D3645="?OLD","!!!","")</f>
        <v/>
      </c>
      <c r="F3645" s="22" t="str">
        <f>IF(OR(E3645="",E3645="!!!"),"",IF(NOT(ISNA(VLOOKUP(E3645,E$1:E3644,1,FALSE()))),"OLD",IF(AND(E3645&lt;&gt;"",E3645&lt;&gt;"!!!"),"NEW","")))</f>
        <v> </v>
      </c>
      <c r="G3645" s="23" t="str">
        <f>IF(OR(E3645="",E3645="!!!"),"",IF(OR(J3645=0,AND(J3645=1,K3645=1),AND(J3645=1,I3645="SBJ"),AND(J3645=1,I3645=0)),"?IN_FOCUS",IF(J3645&lt;=2,"?ACTIVATED",IF(J3645&lt;&gt;"","?FAMILIAR",IF(F3645="NEW",IF(ISNA(VLOOKUP(E3645,#REF!,1,FALSE())),"?TYPE_IDENTIFIABLE","?REFERENTIAL"),"_")))))</f>
        <v> </v>
      </c>
      <c r="H3645" s="24" t="str">
        <f>IF(J3645&lt;&gt;1,"",IF(I3645="SBJ","CB","?"))</f>
        <v> </v>
      </c>
      <c r="I3645" s="25" t="str">
        <f>IF(OR(E3645="",E3645="!!!",F3645="NEW"),"",INDEX(B3644:B$2,-1+SUMPRODUCT(MAX(ROW(E3644:E$2)*(E3645=E3644:E$2)))))</f>
        <v> </v>
      </c>
      <c r="J3645" s="25" t="str">
        <f>IF(OR(E3645="",E3645="!!!",F3645="NEW"),"",COUNTBLANK(OFFSET(A$1,,,SUMPRODUCT(MAX(ROW(E$2:E3645)*(E3645=E$2:E3645)))))-COUNTBLANK(OFFSET(A$1,,,SUMPRODUCT(MAX(ROW(E$1:E3644)*(E2=E$1:E3644))))))</f>
        <v> </v>
      </c>
      <c r="K3645" s="25" t="str">
        <f>IF(OR(E3645="",E3645="!!!",F3645="NEW"),"",INDEX(J$1:J3644,SUMPRODUCT(MAX(ROW(E$1:E3644)*(E3645=E$1:E3644)))))</f>
        <v> </v>
      </c>
      <c r="L3645" s="26"/>
    </row>
    <row r="3646" spans="1:12">
      <c r="A3646" s="20" t="s">
        <v>1369</v>
      </c>
      <c r="E3646" s="21">
        <f>IF(D3646="?OLD","!!!","")</f>
        <v/>
      </c>
      <c r="F3646" s="22" t="str">
        <f>IF(OR(E3646="",E3646="!!!"),"",IF(NOT(ISNA(VLOOKUP(E3646,E$1:E3645,1,FALSE()))),"OLD",IF(AND(E3646&lt;&gt;"",E3646&lt;&gt;"!!!"),"NEW","")))</f>
        <v> </v>
      </c>
      <c r="G3646" s="23" t="str">
        <f>IF(OR(E3646="",E3646="!!!"),"",IF(OR(J3646=0,AND(J3646=1,K3646=1),AND(J3646=1,I3646="SBJ"),AND(J3646=1,I3646=0)),"?IN_FOCUS",IF(J3646&lt;=2,"?ACTIVATED",IF(J3646&lt;&gt;"","?FAMILIAR",IF(F3646="NEW",IF(ISNA(VLOOKUP(E3646,#REF!,1,FALSE())),"?TYPE_IDENTIFIABLE","?REFERENTIAL"),"_")))))</f>
        <v> </v>
      </c>
      <c r="H3646" s="24" t="str">
        <f>IF(J3646&lt;&gt;1,"",IF(I3646="SBJ","CB","?"))</f>
        <v> </v>
      </c>
      <c r="I3646" s="25" t="str">
        <f>IF(OR(E3646="",E3646="!!!",F3646="NEW"),"",INDEX(B3645:B$2,-1+SUMPRODUCT(MAX(ROW(E3645:E$2)*(E3646=E3645:E$2)))))</f>
        <v> </v>
      </c>
      <c r="J3646" s="25" t="str">
        <f>IF(OR(E3646="",E3646="!!!",F3646="NEW"),"",COUNTBLANK(OFFSET(A$1,,,SUMPRODUCT(MAX(ROW(E$2:E3646)*(E3646=E$2:E3646)))))-COUNTBLANK(OFFSET(A$1,,,SUMPRODUCT(MAX(ROW(E$1:E3645)*(E2=E$1:E3645))))))</f>
        <v> </v>
      </c>
      <c r="K3646" s="25" t="str">
        <f>IF(OR(E3646="",E3646="!!!",F3646="NEW"),"",INDEX(J$1:J3645,SUMPRODUCT(MAX(ROW(E$1:E3645)*(E3646=E$1:E3645)))))</f>
        <v> </v>
      </c>
      <c r="L3646" s="26"/>
    </row>
    <row r="3647" spans="1:12">
      <c r="A3647" s="20" t="s">
        <v>2748</v>
      </c>
      <c r="B3647" s="27" t="s">
        <v>1107</v>
      </c>
      <c r="C3647" s="27" t="s">
        <v>1142</v>
      </c>
      <c r="D3647" s="27" t="s">
        <v>1105</v>
      </c>
      <c r="E3647" s="21">
        <f>IF(D3647="?OLD","!!!","")</f>
        <v/>
      </c>
      <c r="F3647" s="22" t="str">
        <f>IF(OR(E3647="",E3647="!!!"),"",IF(NOT(ISNA(VLOOKUP(E3647,E$1:E3646,1,FALSE()))),"OLD",IF(AND(E3647&lt;&gt;"",E3647&lt;&gt;"!!!"),"NEW","")))</f>
        <v> </v>
      </c>
      <c r="G3647" s="23" t="str">
        <f>IF(OR(E3647="",E3647="!!!"),"",IF(OR(J3647=0,AND(J3647=1,K3647=1),AND(J3647=1,I3647="SBJ"),AND(J3647=1,I3647=0)),"?IN_FOCUS",IF(J3647&lt;=2,"?ACTIVATED",IF(J3647&lt;&gt;"","?FAMILIAR",IF(F3647="NEW",IF(ISNA(VLOOKUP(E3647,#REF!,1,FALSE())),"?TYPE_IDENTIFIABLE","?REFERENTIAL"),"_")))))</f>
        <v> </v>
      </c>
      <c r="H3647" s="24" t="str">
        <f>IF(J3647&lt;&gt;1,"",IF(I3647="SBJ","CB","?"))</f>
        <v> </v>
      </c>
      <c r="I3647" s="25" t="str">
        <f>IF(OR(E3647="",E3647="!!!",F3647="NEW"),"",INDEX(B3646:B$2,-1+SUMPRODUCT(MAX(ROW(E3646:E$2)*(E3647=E3646:E$2)))))</f>
        <v> </v>
      </c>
      <c r="J3647" s="25" t="str">
        <f>IF(OR(E3647="",E3647="!!!",F3647="NEW"),"",COUNTBLANK(OFFSET(A$1,,,SUMPRODUCT(MAX(ROW(E$2:E3647)*(E3647=E$2:E3647)))))-COUNTBLANK(OFFSET(A$1,,,SUMPRODUCT(MAX(ROW(E$1:E3646)*(E2=E$1:E3646))))))</f>
        <v> </v>
      </c>
      <c r="K3647" s="25" t="str">
        <f>IF(OR(E3647="",E3647="!!!",F3647="NEW"),"",INDEX(J$1:J3646,SUMPRODUCT(MAX(ROW(E$1:E3646)*(E3647=E$1:E3646)))))</f>
        <v> </v>
      </c>
      <c r="L3647" s="26"/>
    </row>
    <row r="3648" spans="1:12">
      <c r="A3648" s="20" t="s">
        <v>2450</v>
      </c>
      <c r="E3648" s="21">
        <f>IF(D3648="?OLD","!!!","")</f>
        <v/>
      </c>
      <c r="F3648" s="22" t="str">
        <f>IF(OR(E3648="",E3648="!!!"),"",IF(NOT(ISNA(VLOOKUP(E3648,E$1:E3647,1,FALSE()))),"OLD",IF(AND(E3648&lt;&gt;"",E3648&lt;&gt;"!!!"),"NEW","")))</f>
        <v> </v>
      </c>
      <c r="G3648" s="23" t="str">
        <f>IF(OR(E3648="",E3648="!!!"),"",IF(OR(J3648=0,AND(J3648=1,K3648=1),AND(J3648=1,I3648="SBJ"),AND(J3648=1,I3648=0)),"?IN_FOCUS",IF(J3648&lt;=2,"?ACTIVATED",IF(J3648&lt;&gt;"","?FAMILIAR",IF(F3648="NEW",IF(ISNA(VLOOKUP(E3648,#REF!,1,FALSE())),"?TYPE_IDENTIFIABLE","?REFERENTIAL"),"_")))))</f>
        <v> </v>
      </c>
      <c r="H3648" s="24" t="str">
        <f>IF(J3648&lt;&gt;1,"",IF(I3648="SBJ","CB","?"))</f>
        <v> </v>
      </c>
      <c r="I3648" s="25" t="str">
        <f>IF(OR(E3648="",E3648="!!!",F3648="NEW"),"",INDEX(B3647:B$2,-1+SUMPRODUCT(MAX(ROW(E3647:E$2)*(E3648=E3647:E$2)))))</f>
        <v> </v>
      </c>
      <c r="J3648" s="25" t="str">
        <f>IF(OR(E3648="",E3648="!!!",F3648="NEW"),"",COUNTBLANK(OFFSET(A$1,,,SUMPRODUCT(MAX(ROW(E$2:E3648)*(E3648=E$2:E3648)))))-COUNTBLANK(OFFSET(A$1,,,SUMPRODUCT(MAX(ROW(E$1:E3647)*(E2=E$1:E3647))))))</f>
        <v> </v>
      </c>
      <c r="K3648" s="25" t="str">
        <f>IF(OR(E3648="",E3648="!!!",F3648="NEW"),"",INDEX(J$1:J3647,SUMPRODUCT(MAX(ROW(E$1:E3647)*(E3648=E$1:E3647)))))</f>
        <v> </v>
      </c>
      <c r="L3648" s="26"/>
    </row>
    <row r="3649" spans="1:12">
      <c r="A3649" s="20" t="s">
        <v>2749</v>
      </c>
      <c r="B3649" s="27" t="s">
        <v>1149</v>
      </c>
      <c r="E3649" s="21">
        <f>IF(D3649="?OLD","!!!","")</f>
        <v/>
      </c>
      <c r="F3649" s="22" t="str">
        <f>IF(OR(E3649="",E3649="!!!"),"",IF(NOT(ISNA(VLOOKUP(E3649,E$1:E3648,1,FALSE()))),"OLD",IF(AND(E3649&lt;&gt;"",E3649&lt;&gt;"!!!"),"NEW","")))</f>
        <v> </v>
      </c>
      <c r="G3649" s="23" t="str">
        <f>IF(OR(E3649="",E3649="!!!"),"",IF(OR(J3649=0,AND(J3649=1,K3649=1),AND(J3649=1,I3649="SBJ"),AND(J3649=1,I3649=0)),"?IN_FOCUS",IF(J3649&lt;=2,"?ACTIVATED",IF(J3649&lt;&gt;"","?FAMILIAR",IF(F3649="NEW",IF(ISNA(VLOOKUP(E3649,#REF!,1,FALSE())),"?TYPE_IDENTIFIABLE","?REFERENTIAL"),"_")))))</f>
        <v> </v>
      </c>
      <c r="H3649" s="24" t="str">
        <f>IF(J3649&lt;&gt;1,"",IF(I3649="SBJ","CB","?"))</f>
        <v> </v>
      </c>
      <c r="I3649" s="25" t="str">
        <f>IF(OR(E3649="",E3649="!!!",F3649="NEW"),"",INDEX(B3648:B$2,-1+SUMPRODUCT(MAX(ROW(E3648:E$2)*(E3649=E3648:E$2)))))</f>
        <v> </v>
      </c>
      <c r="J3649" s="25" t="str">
        <f>IF(OR(E3649="",E3649="!!!",F3649="NEW"),"",COUNTBLANK(OFFSET(A$1,,,SUMPRODUCT(MAX(ROW(E$2:E3649)*(E3649=E$2:E3649)))))-COUNTBLANK(OFFSET(A$1,,,SUMPRODUCT(MAX(ROW(E$1:E3648)*(E2=E$1:E3648))))))</f>
        <v> </v>
      </c>
      <c r="K3649" s="25" t="str">
        <f>IF(OR(E3649="",E3649="!!!",F3649="NEW"),"",INDEX(J$1:J3648,SUMPRODUCT(MAX(ROW(E$1:E3648)*(E3649=E$1:E3648)))))</f>
        <v> </v>
      </c>
      <c r="L3649" s="26"/>
    </row>
    <row r="3650" spans="1:12">
      <c r="A3650" s="20" t="s">
        <v>1919</v>
      </c>
      <c r="E3650" s="21">
        <f>IF(D3650="?OLD","!!!","")</f>
        <v/>
      </c>
      <c r="F3650" s="22" t="str">
        <f>IF(OR(E3650="",E3650="!!!"),"",IF(NOT(ISNA(VLOOKUP(E3650,E$1:E3649,1,FALSE()))),"OLD",IF(AND(E3650&lt;&gt;"",E3650&lt;&gt;"!!!"),"NEW","")))</f>
        <v> </v>
      </c>
      <c r="G3650" s="23" t="str">
        <f>IF(OR(E3650="",E3650="!!!"),"",IF(OR(J3650=0,AND(J3650=1,K3650=1),AND(J3650=1,I3650="SBJ"),AND(J3650=1,I3650=0)),"?IN_FOCUS",IF(J3650&lt;=2,"?ACTIVATED",IF(J3650&lt;&gt;"","?FAMILIAR",IF(F3650="NEW",IF(ISNA(VLOOKUP(E3650,#REF!,1,FALSE())),"?TYPE_IDENTIFIABLE","?REFERENTIAL"),"_")))))</f>
        <v> </v>
      </c>
      <c r="H3650" s="24" t="str">
        <f>IF(J3650&lt;&gt;1,"",IF(I3650="SBJ","CB","?"))</f>
        <v> </v>
      </c>
      <c r="I3650" s="25" t="str">
        <f>IF(OR(E3650="",E3650="!!!",F3650="NEW"),"",INDEX(B3649:B$2,-1+SUMPRODUCT(MAX(ROW(E3649:E$2)*(E3650=E3649:E$2)))))</f>
        <v> </v>
      </c>
      <c r="J3650" s="25" t="str">
        <f>IF(OR(E3650="",E3650="!!!",F3650="NEW"),"",COUNTBLANK(OFFSET(A$1,,,SUMPRODUCT(MAX(ROW(E$2:E3650)*(E3650=E$2:E3650)))))-COUNTBLANK(OFFSET(A$1,,,SUMPRODUCT(MAX(ROW(E$1:E3649)*(E2=E$1:E3649))))))</f>
        <v> </v>
      </c>
      <c r="K3650" s="25" t="str">
        <f>IF(OR(E3650="",E3650="!!!",F3650="NEW"),"",INDEX(J$1:J3649,SUMPRODUCT(MAX(ROW(E$1:E3649)*(E3650=E$1:E3649)))))</f>
        <v> </v>
      </c>
      <c r="L3650" s="26"/>
    </row>
    <row r="3651" spans="1:12">
      <c r="A3651" s="20" t="s">
        <v>2750</v>
      </c>
      <c r="E3651" s="21">
        <f>IF(D3651="?OLD","!!!","")</f>
        <v/>
      </c>
      <c r="F3651" s="22" t="str">
        <f>IF(OR(E3651="",E3651="!!!"),"",IF(NOT(ISNA(VLOOKUP(E3651,E$1:E3650,1,FALSE()))),"OLD",IF(AND(E3651&lt;&gt;"",E3651&lt;&gt;"!!!"),"NEW","")))</f>
        <v> </v>
      </c>
      <c r="G3651" s="23" t="str">
        <f>IF(OR(E3651="",E3651="!!!"),"",IF(OR(J3651=0,AND(J3651=1,K3651=1),AND(J3651=1,I3651="SBJ"),AND(J3651=1,I3651=0)),"?IN_FOCUS",IF(J3651&lt;=2,"?ACTIVATED",IF(J3651&lt;&gt;"","?FAMILIAR",IF(F3651="NEW",IF(ISNA(VLOOKUP(E3651,#REF!,1,FALSE())),"?TYPE_IDENTIFIABLE","?REFERENTIAL"),"_")))))</f>
        <v> </v>
      </c>
      <c r="H3651" s="24" t="str">
        <f>IF(J3651&lt;&gt;1,"",IF(I3651="SBJ","CB","?"))</f>
        <v> </v>
      </c>
      <c r="I3651" s="25" t="str">
        <f>IF(OR(E3651="",E3651="!!!",F3651="NEW"),"",INDEX(B3650:B$2,-1+SUMPRODUCT(MAX(ROW(E3650:E$2)*(E3651=E3650:E$2)))))</f>
        <v> </v>
      </c>
      <c r="J3651" s="25" t="str">
        <f>IF(OR(E3651="",E3651="!!!",F3651="NEW"),"",COUNTBLANK(OFFSET(A$1,,,SUMPRODUCT(MAX(ROW(E$2:E3651)*(E3651=E$2:E3651)))))-COUNTBLANK(OFFSET(A$1,,,SUMPRODUCT(MAX(ROW(E$1:E3650)*(E2=E$1:E3650))))))</f>
        <v> </v>
      </c>
      <c r="K3651" s="25" t="str">
        <f>IF(OR(E3651="",E3651="!!!",F3651="NEW"),"",INDEX(J$1:J3650,SUMPRODUCT(MAX(ROW(E$1:E3650)*(E3651=E$1:E3650)))))</f>
        <v> </v>
      </c>
      <c r="L3651" s="26"/>
    </row>
    <row r="3652" spans="1:12">
      <c r="A3652" s="20" t="s">
        <v>1271</v>
      </c>
      <c r="E3652" s="21">
        <f>IF(D3652="?OLD","!!!","")</f>
        <v/>
      </c>
      <c r="F3652" s="22" t="str">
        <f>IF(OR(E3652="",E3652="!!!"),"",IF(NOT(ISNA(VLOOKUP(E3652,E$1:E3651,1,FALSE()))),"OLD",IF(AND(E3652&lt;&gt;"",E3652&lt;&gt;"!!!"),"NEW","")))</f>
        <v> </v>
      </c>
      <c r="G3652" s="23" t="str">
        <f>IF(OR(E3652="",E3652="!!!"),"",IF(OR(J3652=0,AND(J3652=1,K3652=1),AND(J3652=1,I3652="SBJ"),AND(J3652=1,I3652=0)),"?IN_FOCUS",IF(J3652&lt;=2,"?ACTIVATED",IF(J3652&lt;&gt;"","?FAMILIAR",IF(F3652="NEW",IF(ISNA(VLOOKUP(E3652,#REF!,1,FALSE())),"?TYPE_IDENTIFIABLE","?REFERENTIAL"),"_")))))</f>
        <v> </v>
      </c>
      <c r="H3652" s="24" t="str">
        <f>IF(J3652&lt;&gt;1,"",IF(I3652="SBJ","CB","?"))</f>
        <v> </v>
      </c>
      <c r="I3652" s="25" t="str">
        <f>IF(OR(E3652="",E3652="!!!",F3652="NEW"),"",INDEX(B3651:B$2,-1+SUMPRODUCT(MAX(ROW(E3651:E$2)*(E3652=E3651:E$2)))))</f>
        <v> </v>
      </c>
      <c r="J3652" s="25" t="str">
        <f>IF(OR(E3652="",E3652="!!!",F3652="NEW"),"",COUNTBLANK(OFFSET(A$1,,,SUMPRODUCT(MAX(ROW(E$2:E3652)*(E3652=E$2:E3652)))))-COUNTBLANK(OFFSET(A$1,,,SUMPRODUCT(MAX(ROW(E$1:E3651)*(E2=E$1:E3651))))))</f>
        <v> </v>
      </c>
      <c r="K3652" s="25" t="str">
        <f>IF(OR(E3652="",E3652="!!!",F3652="NEW"),"",INDEX(J$1:J3651,SUMPRODUCT(MAX(ROW(E$1:E3651)*(E3652=E$1:E3651)))))</f>
        <v> </v>
      </c>
      <c r="L3652" s="26"/>
    </row>
    <row r="3653" spans="1:12">
      <c r="A3653" s="20" t="s">
        <v>2751</v>
      </c>
      <c r="E3653" s="21">
        <f>IF(D3653="?OLD","!!!","")</f>
        <v/>
      </c>
      <c r="F3653" s="22" t="str">
        <f>IF(OR(E3653="",E3653="!!!"),"",IF(NOT(ISNA(VLOOKUP(E3653,E$1:E3652,1,FALSE()))),"OLD",IF(AND(E3653&lt;&gt;"",E3653&lt;&gt;"!!!"),"NEW","")))</f>
        <v> </v>
      </c>
      <c r="G3653" s="23" t="str">
        <f>IF(OR(E3653="",E3653="!!!"),"",IF(OR(J3653=0,AND(J3653=1,K3653=1),AND(J3653=1,I3653="SBJ"),AND(J3653=1,I3653=0)),"?IN_FOCUS",IF(J3653&lt;=2,"?ACTIVATED",IF(J3653&lt;&gt;"","?FAMILIAR",IF(F3653="NEW",IF(ISNA(VLOOKUP(E3653,#REF!,1,FALSE())),"?TYPE_IDENTIFIABLE","?REFERENTIAL"),"_")))))</f>
        <v> </v>
      </c>
      <c r="H3653" s="24" t="str">
        <f>IF(J3653&lt;&gt;1,"",IF(I3653="SBJ","CB","?"))</f>
        <v> </v>
      </c>
      <c r="I3653" s="25" t="str">
        <f>IF(OR(E3653="",E3653="!!!",F3653="NEW"),"",INDEX(B3652:B$2,-1+SUMPRODUCT(MAX(ROW(E3652:E$2)*(E3653=E3652:E$2)))))</f>
        <v> </v>
      </c>
      <c r="J3653" s="25" t="str">
        <f>IF(OR(E3653="",E3653="!!!",F3653="NEW"),"",COUNTBLANK(OFFSET(A$1,,,SUMPRODUCT(MAX(ROW(E$2:E3653)*(E3653=E$2:E3653)))))-COUNTBLANK(OFFSET(A$1,,,SUMPRODUCT(MAX(ROW(E$1:E3652)*(E2=E$1:E3652))))))</f>
        <v> </v>
      </c>
      <c r="K3653" s="25" t="str">
        <f>IF(OR(E3653="",E3653="!!!",F3653="NEW"),"",INDEX(J$1:J3652,SUMPRODUCT(MAX(ROW(E$1:E3652)*(E3653=E$1:E3652)))))</f>
        <v> </v>
      </c>
      <c r="L3653" s="26"/>
    </row>
    <row r="3654" spans="1:12">
      <c r="A3654" s="20" t="s">
        <v>1145</v>
      </c>
      <c r="E3654" s="21">
        <f>IF(D3654="?OLD","!!!","")</f>
        <v/>
      </c>
      <c r="F3654" s="22" t="str">
        <f>IF(OR(E3654="",E3654="!!!"),"",IF(NOT(ISNA(VLOOKUP(E3654,E$1:E3653,1,FALSE()))),"OLD",IF(AND(E3654&lt;&gt;"",E3654&lt;&gt;"!!!"),"NEW","")))</f>
        <v> </v>
      </c>
      <c r="G3654" s="23" t="str">
        <f>IF(OR(E3654="",E3654="!!!"),"",IF(OR(J3654=0,AND(J3654=1,K3654=1),AND(J3654=1,I3654="SBJ"),AND(J3654=1,I3654=0)),"?IN_FOCUS",IF(J3654&lt;=2,"?ACTIVATED",IF(J3654&lt;&gt;"","?FAMILIAR",IF(F3654="NEW",IF(ISNA(VLOOKUP(E3654,#REF!,1,FALSE())),"?TYPE_IDENTIFIABLE","?REFERENTIAL"),"_")))))</f>
        <v> </v>
      </c>
      <c r="H3654" s="24" t="str">
        <f>IF(J3654&lt;&gt;1,"",IF(I3654="SBJ","CB","?"))</f>
        <v> </v>
      </c>
      <c r="I3654" s="25" t="str">
        <f>IF(OR(E3654="",E3654="!!!",F3654="NEW"),"",INDEX(B3653:B$2,-1+SUMPRODUCT(MAX(ROW(E3653:E$2)*(E3654=E3653:E$2)))))</f>
        <v> </v>
      </c>
      <c r="J3654" s="25" t="str">
        <f>IF(OR(E3654="",E3654="!!!",F3654="NEW"),"",COUNTBLANK(OFFSET(A$1,,,SUMPRODUCT(MAX(ROW(E$2:E3654)*(E3654=E$2:E3654)))))-COUNTBLANK(OFFSET(A$1,,,SUMPRODUCT(MAX(ROW(E$1:E3653)*(E2=E$1:E3653))))))</f>
        <v> </v>
      </c>
      <c r="K3654" s="25" t="str">
        <f>IF(OR(E3654="",E3654="!!!",F3654="NEW"),"",INDEX(J$1:J3653,SUMPRODUCT(MAX(ROW(E$1:E3653)*(E3654=E$1:E3653)))))</f>
        <v> </v>
      </c>
      <c r="L3654" s="26"/>
    </row>
    <row r="3655" spans="1:12">
      <c r="A3655" s="20"/>
    </row>
    <row r="3656" spans="1:12">
      <c r="A3656" s="20" t="s">
        <v>2752</v>
      </c>
    </row>
    <row r="3657" spans="1:12">
      <c r="A3657" s="20" t="s">
        <v>2753</v>
      </c>
      <c r="E3657" s="21">
        <f>IF(D3657="?OLD","!!!","")</f>
        <v/>
      </c>
      <c r="F3657" s="22" t="str">
        <f>IF(OR(E3657="",E3657="!!!"),"",IF(NOT(ISNA(VLOOKUP(E3657,E$1:E3656,1,FALSE()))),"OLD",IF(AND(E3657&lt;&gt;"",E3657&lt;&gt;"!!!"),"NEW","")))</f>
        <v> </v>
      </c>
      <c r="G3657" s="23" t="str">
        <f>IF(OR(E3657="",E3657="!!!"),"",IF(OR(J3657=0,AND(J3657=1,K3657=1),AND(J3657=1,I3657="SBJ"),AND(J3657=1,I3657=0)),"?IN_FOCUS",IF(J3657&lt;=2,"?ACTIVATED",IF(J3657&lt;&gt;"","?FAMILIAR",IF(F3657="NEW",IF(ISNA(VLOOKUP(E3657,#REF!,1,FALSE())),"?TYPE_IDENTIFIABLE","?REFERENTIAL"),"_")))))</f>
        <v> </v>
      </c>
      <c r="H3657" s="24" t="str">
        <f>IF(J3657&lt;&gt;1,"",IF(I3657="SBJ","CB","?"))</f>
        <v> </v>
      </c>
      <c r="I3657" s="25" t="str">
        <f>IF(OR(E3657="",E3657="!!!",F3657="NEW"),"",INDEX(B3656:B$2,-1+SUMPRODUCT(MAX(ROW(E3656:E$2)*(E3657=E3656:E$2)))))</f>
        <v> </v>
      </c>
      <c r="J3657" s="25" t="str">
        <f>IF(OR(E3657="",E3657="!!!",F3657="NEW"),"",COUNTBLANK(OFFSET(A$1,,,SUMPRODUCT(MAX(ROW(E$2:E3657)*(E3657=E$2:E3657)))))-COUNTBLANK(OFFSET(A$1,,,SUMPRODUCT(MAX(ROW(E$1:E3656)*(E2=E$1:E3656))))))</f>
        <v> </v>
      </c>
      <c r="K3657" s="25" t="str">
        <f>IF(OR(E3657="",E3657="!!!",F3657="NEW"),"",INDEX(J$1:J3656,SUMPRODUCT(MAX(ROW(E$1:E3656)*(E3657=E$1:E3656)))))</f>
        <v> </v>
      </c>
      <c r="L3657" s="26"/>
    </row>
    <row r="3658" spans="1:12">
      <c r="A3658" s="20" t="s">
        <v>1186</v>
      </c>
      <c r="B3658" s="27" t="s">
        <v>1243</v>
      </c>
      <c r="C3658" s="27" t="s">
        <v>1126</v>
      </c>
      <c r="D3658" s="27" t="s">
        <v>1105</v>
      </c>
      <c r="E3658" s="21">
        <f>IF(D3658="?OLD","!!!","")</f>
        <v/>
      </c>
      <c r="F3658" s="22" t="str">
        <f>IF(OR(E3658="",E3658="!!!"),"",IF(NOT(ISNA(VLOOKUP(E3658,E$1:E3657,1,FALSE()))),"OLD",IF(AND(E3658&lt;&gt;"",E3658&lt;&gt;"!!!"),"NEW","")))</f>
        <v> </v>
      </c>
      <c r="G3658" s="23" t="str">
        <f>IF(OR(E3658="",E3658="!!!"),"",IF(OR(J3658=0,AND(J3658=1,K3658=1),AND(J3658=1,I3658="SBJ"),AND(J3658=1,I3658=0)),"?IN_FOCUS",IF(J3658&lt;=2,"?ACTIVATED",IF(J3658&lt;&gt;"","?FAMILIAR",IF(F3658="NEW",IF(ISNA(VLOOKUP(E3658,#REF!,1,FALSE())),"?TYPE_IDENTIFIABLE","?REFERENTIAL"),"_")))))</f>
        <v> </v>
      </c>
      <c r="H3658" s="24" t="str">
        <f>IF(J3658&lt;&gt;1,"",IF(I3658="SBJ","CB","?"))</f>
        <v> </v>
      </c>
      <c r="I3658" s="25" t="str">
        <f>IF(OR(E3658="",E3658="!!!",F3658="NEW"),"",INDEX(B3657:B$2,-1+SUMPRODUCT(MAX(ROW(E3657:E$2)*(E3658=E3657:E$2)))))</f>
        <v> </v>
      </c>
      <c r="J3658" s="25" t="str">
        <f>IF(OR(E3658="",E3658="!!!",F3658="NEW"),"",COUNTBLANK(OFFSET(A$1,,,SUMPRODUCT(MAX(ROW(E$2:E3658)*(E3658=E$2:E3658)))))-COUNTBLANK(OFFSET(A$1,,,SUMPRODUCT(MAX(ROW(E$1:E3657)*(E2=E$1:E3657))))))</f>
        <v> </v>
      </c>
      <c r="K3658" s="25" t="str">
        <f>IF(OR(E3658="",E3658="!!!",F3658="NEW"),"",INDEX(J$1:J3657,SUMPRODUCT(MAX(ROW(E$1:E3657)*(E3658=E$1:E3657)))))</f>
        <v> </v>
      </c>
      <c r="L3658" s="26"/>
    </row>
    <row r="3659" spans="1:12">
      <c r="A3659" s="20" t="s">
        <v>1123</v>
      </c>
      <c r="E3659" s="21">
        <f>IF(D3659="?OLD","!!!","")</f>
        <v/>
      </c>
      <c r="F3659" s="22" t="str">
        <f>IF(OR(E3659="",E3659="!!!"),"",IF(NOT(ISNA(VLOOKUP(E3659,E$1:E3658,1,FALSE()))),"OLD",IF(AND(E3659&lt;&gt;"",E3659&lt;&gt;"!!!"),"NEW","")))</f>
        <v> </v>
      </c>
      <c r="G3659" s="23" t="str">
        <f>IF(OR(E3659="",E3659="!!!"),"",IF(OR(J3659=0,AND(J3659=1,K3659=1),AND(J3659=1,I3659="SBJ"),AND(J3659=1,I3659=0)),"?IN_FOCUS",IF(J3659&lt;=2,"?ACTIVATED",IF(J3659&lt;&gt;"","?FAMILIAR",IF(F3659="NEW",IF(ISNA(VLOOKUP(E3659,#REF!,1,FALSE())),"?TYPE_IDENTIFIABLE","?REFERENTIAL"),"_")))))</f>
        <v> </v>
      </c>
      <c r="H3659" s="24" t="str">
        <f>IF(J3659&lt;&gt;1,"",IF(I3659="SBJ","CB","?"))</f>
        <v> </v>
      </c>
      <c r="I3659" s="25" t="str">
        <f>IF(OR(E3659="",E3659="!!!",F3659="NEW"),"",INDEX(B3658:B$2,-1+SUMPRODUCT(MAX(ROW(E3658:E$2)*(E3659=E3658:E$2)))))</f>
        <v> </v>
      </c>
      <c r="J3659" s="25" t="str">
        <f>IF(OR(E3659="",E3659="!!!",F3659="NEW"),"",COUNTBLANK(OFFSET(A$1,,,SUMPRODUCT(MAX(ROW(E$2:E3659)*(E3659=E$2:E3659)))))-COUNTBLANK(OFFSET(A$1,,,SUMPRODUCT(MAX(ROW(E$1:E3658)*(E2=E$1:E3658))))))</f>
        <v> </v>
      </c>
      <c r="K3659" s="25" t="str">
        <f>IF(OR(E3659="",E3659="!!!",F3659="NEW"),"",INDEX(J$1:J3658,SUMPRODUCT(MAX(ROW(E$1:E3658)*(E3659=E$1:E3658)))))</f>
        <v> </v>
      </c>
      <c r="L3659" s="26"/>
    </row>
    <row r="3660" spans="1:12">
      <c r="A3660" s="20" t="s">
        <v>1228</v>
      </c>
      <c r="B3660" s="27" t="s">
        <v>1149</v>
      </c>
      <c r="C3660" s="27" t="s">
        <v>1126</v>
      </c>
      <c r="D3660" s="27" t="s">
        <v>1105</v>
      </c>
      <c r="E3660" s="21">
        <f>IF(D3660="?OLD","!!!","")</f>
        <v/>
      </c>
      <c r="F3660" s="22" t="str">
        <f>IF(OR(E3660="",E3660="!!!"),"",IF(NOT(ISNA(VLOOKUP(E3660,E$1:E3659,1,FALSE()))),"OLD",IF(AND(E3660&lt;&gt;"",E3660&lt;&gt;"!!!"),"NEW","")))</f>
        <v> </v>
      </c>
      <c r="G3660" s="23" t="str">
        <f>IF(OR(E3660="",E3660="!!!"),"",IF(OR(J3660=0,AND(J3660=1,K3660=1),AND(J3660=1,I3660="SBJ"),AND(J3660=1,I3660=0)),"?IN_FOCUS",IF(J3660&lt;=2,"?ACTIVATED",IF(J3660&lt;&gt;"","?FAMILIAR",IF(F3660="NEW",IF(ISNA(VLOOKUP(E3660,#REF!,1,FALSE())),"?TYPE_IDENTIFIABLE","?REFERENTIAL"),"_")))))</f>
        <v> </v>
      </c>
      <c r="H3660" s="24" t="str">
        <f>IF(J3660&lt;&gt;1,"",IF(I3660="SBJ","CB","?"))</f>
        <v> </v>
      </c>
      <c r="I3660" s="25" t="str">
        <f>IF(OR(E3660="",E3660="!!!",F3660="NEW"),"",INDEX(B3659:B$2,-1+SUMPRODUCT(MAX(ROW(E3659:E$2)*(E3660=E3659:E$2)))))</f>
        <v> </v>
      </c>
      <c r="J3660" s="25" t="str">
        <f>IF(OR(E3660="",E3660="!!!",F3660="NEW"),"",COUNTBLANK(OFFSET(A$1,,,SUMPRODUCT(MAX(ROW(E$2:E3660)*(E3660=E$2:E3660)))))-COUNTBLANK(OFFSET(A$1,,,SUMPRODUCT(MAX(ROW(E$1:E3659)*(E2=E$1:E3659))))))</f>
        <v> </v>
      </c>
      <c r="K3660" s="25" t="str">
        <f>IF(OR(E3660="",E3660="!!!",F3660="NEW"),"",INDEX(J$1:J3659,SUMPRODUCT(MAX(ROW(E$1:E3659)*(E3660=E$1:E3659)))))</f>
        <v> </v>
      </c>
      <c r="L3660" s="26"/>
    </row>
    <row r="3661" spans="1:12">
      <c r="A3661" s="20" t="s">
        <v>2754</v>
      </c>
      <c r="E3661" s="21">
        <f>IF(D3661="?OLD","!!!","")</f>
        <v/>
      </c>
      <c r="F3661" s="22" t="str">
        <f>IF(OR(E3661="",E3661="!!!"),"",IF(NOT(ISNA(VLOOKUP(E3661,E$1:E3660,1,FALSE()))),"OLD",IF(AND(E3661&lt;&gt;"",E3661&lt;&gt;"!!!"),"NEW","")))</f>
        <v> </v>
      </c>
      <c r="G3661" s="23" t="str">
        <f>IF(OR(E3661="",E3661="!!!"),"",IF(OR(J3661=0,AND(J3661=1,K3661=1),AND(J3661=1,I3661="SBJ"),AND(J3661=1,I3661=0)),"?IN_FOCUS",IF(J3661&lt;=2,"?ACTIVATED",IF(J3661&lt;&gt;"","?FAMILIAR",IF(F3661="NEW",IF(ISNA(VLOOKUP(E3661,#REF!,1,FALSE())),"?TYPE_IDENTIFIABLE","?REFERENTIAL"),"_")))))</f>
        <v> </v>
      </c>
      <c r="H3661" s="24" t="str">
        <f>IF(J3661&lt;&gt;1,"",IF(I3661="SBJ","CB","?"))</f>
        <v> </v>
      </c>
      <c r="I3661" s="25" t="str">
        <f>IF(OR(E3661="",E3661="!!!",F3661="NEW"),"",INDEX(B3660:B$2,-1+SUMPRODUCT(MAX(ROW(E3660:E$2)*(E3661=E3660:E$2)))))</f>
        <v> </v>
      </c>
      <c r="J3661" s="25" t="str">
        <f>IF(OR(E3661="",E3661="!!!",F3661="NEW"),"",COUNTBLANK(OFFSET(A$1,,,SUMPRODUCT(MAX(ROW(E$2:E3661)*(E3661=E$2:E3661)))))-COUNTBLANK(OFFSET(A$1,,,SUMPRODUCT(MAX(ROW(E$1:E3660)*(E2=E$1:E3660))))))</f>
        <v> </v>
      </c>
      <c r="K3661" s="25" t="str">
        <f>IF(OR(E3661="",E3661="!!!",F3661="NEW"),"",INDEX(J$1:J3660,SUMPRODUCT(MAX(ROW(E$1:E3660)*(E3661=E$1:E3660)))))</f>
        <v> </v>
      </c>
      <c r="L3661" s="26"/>
    </row>
    <row r="3662" spans="1:12">
      <c r="A3662" s="20" t="s">
        <v>1123</v>
      </c>
      <c r="E3662" s="21">
        <f>IF(D3662="?OLD","!!!","")</f>
        <v/>
      </c>
      <c r="F3662" s="22" t="str">
        <f>IF(OR(E3662="",E3662="!!!"),"",IF(NOT(ISNA(VLOOKUP(E3662,E$1:E3661,1,FALSE()))),"OLD",IF(AND(E3662&lt;&gt;"",E3662&lt;&gt;"!!!"),"NEW","")))</f>
        <v> </v>
      </c>
      <c r="G3662" s="23" t="str">
        <f>IF(OR(E3662="",E3662="!!!"),"",IF(OR(J3662=0,AND(J3662=1,K3662=1),AND(J3662=1,I3662="SBJ"),AND(J3662=1,I3662=0)),"?IN_FOCUS",IF(J3662&lt;=2,"?ACTIVATED",IF(J3662&lt;&gt;"","?FAMILIAR",IF(F3662="NEW",IF(ISNA(VLOOKUP(E3662,#REF!,1,FALSE())),"?TYPE_IDENTIFIABLE","?REFERENTIAL"),"_")))))</f>
        <v> </v>
      </c>
      <c r="H3662" s="24" t="str">
        <f>IF(J3662&lt;&gt;1,"",IF(I3662="SBJ","CB","?"))</f>
        <v> </v>
      </c>
      <c r="I3662" s="25" t="str">
        <f>IF(OR(E3662="",E3662="!!!",F3662="NEW"),"",INDEX(B3661:B$2,-1+SUMPRODUCT(MAX(ROW(E3661:E$2)*(E3662=E3661:E$2)))))</f>
        <v> </v>
      </c>
      <c r="J3662" s="25" t="str">
        <f>IF(OR(E3662="",E3662="!!!",F3662="NEW"),"",COUNTBLANK(OFFSET(A$1,,,SUMPRODUCT(MAX(ROW(E$2:E3662)*(E3662=E$2:E3662)))))-COUNTBLANK(OFFSET(A$1,,,SUMPRODUCT(MAX(ROW(E$1:E3661)*(E2=E$1:E3661))))))</f>
        <v> </v>
      </c>
      <c r="K3662" s="25" t="str">
        <f>IF(OR(E3662="",E3662="!!!",F3662="NEW"),"",INDEX(J$1:J3661,SUMPRODUCT(MAX(ROW(E$1:E3661)*(E3662=E$1:E3661)))))</f>
        <v> </v>
      </c>
      <c r="L3662" s="26"/>
    </row>
    <row r="3663" spans="1:12">
      <c r="A3663" s="20" t="s">
        <v>2265</v>
      </c>
      <c r="E3663" s="21">
        <f>IF(D3663="?OLD","!!!","")</f>
        <v/>
      </c>
      <c r="F3663" s="22" t="str">
        <f>IF(OR(E3663="",E3663="!!!"),"",IF(NOT(ISNA(VLOOKUP(E3663,E$1:E3662,1,FALSE()))),"OLD",IF(AND(E3663&lt;&gt;"",E3663&lt;&gt;"!!!"),"NEW","")))</f>
        <v> </v>
      </c>
      <c r="G3663" s="23" t="str">
        <f>IF(OR(E3663="",E3663="!!!"),"",IF(OR(J3663=0,AND(J3663=1,K3663=1),AND(J3663=1,I3663="SBJ"),AND(J3663=1,I3663=0)),"?IN_FOCUS",IF(J3663&lt;=2,"?ACTIVATED",IF(J3663&lt;&gt;"","?FAMILIAR",IF(F3663="NEW",IF(ISNA(VLOOKUP(E3663,#REF!,1,FALSE())),"?TYPE_IDENTIFIABLE","?REFERENTIAL"),"_")))))</f>
        <v> </v>
      </c>
      <c r="H3663" s="24" t="str">
        <f>IF(J3663&lt;&gt;1,"",IF(I3663="SBJ","CB","?"))</f>
        <v> </v>
      </c>
      <c r="I3663" s="25" t="str">
        <f>IF(OR(E3663="",E3663="!!!",F3663="NEW"),"",INDEX(B3662:B$2,-1+SUMPRODUCT(MAX(ROW(E3662:E$2)*(E3663=E3662:E$2)))))</f>
        <v> </v>
      </c>
      <c r="J3663" s="25" t="str">
        <f>IF(OR(E3663="",E3663="!!!",F3663="NEW"),"",COUNTBLANK(OFFSET(A$1,,,SUMPRODUCT(MAX(ROW(E$2:E3663)*(E3663=E$2:E3663)))))-COUNTBLANK(OFFSET(A$1,,,SUMPRODUCT(MAX(ROW(E$1:E3662)*(E2=E$1:E3662))))))</f>
        <v> </v>
      </c>
      <c r="K3663" s="25" t="str">
        <f>IF(OR(E3663="",E3663="!!!",F3663="NEW"),"",INDEX(J$1:J3662,SUMPRODUCT(MAX(ROW(E$1:E3662)*(E3663=E$1:E3662)))))</f>
        <v> </v>
      </c>
      <c r="L3663" s="26"/>
    </row>
    <row r="3664" spans="1:12">
      <c r="A3664" s="20" t="s">
        <v>2755</v>
      </c>
      <c r="B3664" s="27" t="s">
        <v>1122</v>
      </c>
      <c r="E3664" s="21">
        <f>IF(D3664="?OLD","!!!","")</f>
        <v/>
      </c>
      <c r="F3664" s="22" t="str">
        <f>IF(OR(E3664="",E3664="!!!"),"",IF(NOT(ISNA(VLOOKUP(E3664,E$1:E3663,1,FALSE()))),"OLD",IF(AND(E3664&lt;&gt;"",E3664&lt;&gt;"!!!"),"NEW","")))</f>
        <v> </v>
      </c>
      <c r="G3664" s="23" t="str">
        <f>IF(OR(E3664="",E3664="!!!"),"",IF(OR(J3664=0,AND(J3664=1,K3664=1),AND(J3664=1,I3664="SBJ"),AND(J3664=1,I3664=0)),"?IN_FOCUS",IF(J3664&lt;=2,"?ACTIVATED",IF(J3664&lt;&gt;"","?FAMILIAR",IF(F3664="NEW",IF(ISNA(VLOOKUP(E3664,#REF!,1,FALSE())),"?TYPE_IDENTIFIABLE","?REFERENTIAL"),"_")))))</f>
        <v> </v>
      </c>
      <c r="H3664" s="24" t="str">
        <f>IF(J3664&lt;&gt;1,"",IF(I3664="SBJ","CB","?"))</f>
        <v> </v>
      </c>
      <c r="I3664" s="25" t="str">
        <f>IF(OR(E3664="",E3664="!!!",F3664="NEW"),"",INDEX(B3663:B$2,-1+SUMPRODUCT(MAX(ROW(E3663:E$2)*(E3664=E3663:E$2)))))</f>
        <v> </v>
      </c>
      <c r="J3664" s="25" t="str">
        <f>IF(OR(E3664="",E3664="!!!",F3664="NEW"),"",COUNTBLANK(OFFSET(A$1,,,SUMPRODUCT(MAX(ROW(E$2:E3664)*(E3664=E$2:E3664)))))-COUNTBLANK(OFFSET(A$1,,,SUMPRODUCT(MAX(ROW(E$1:E3663)*(E2=E$1:E3663))))))</f>
        <v> </v>
      </c>
      <c r="K3664" s="25" t="str">
        <f>IF(OR(E3664="",E3664="!!!",F3664="NEW"),"",INDEX(J$1:J3663,SUMPRODUCT(MAX(ROW(E$1:E3663)*(E3664=E$1:E3663)))))</f>
        <v> </v>
      </c>
      <c r="L3664" s="26"/>
    </row>
    <row r="3665" spans="1:12">
      <c r="A3665" s="20" t="s">
        <v>2756</v>
      </c>
      <c r="E3665" s="21">
        <f>IF(D3665="?OLD","!!!","")</f>
        <v/>
      </c>
      <c r="F3665" s="22" t="str">
        <f>IF(OR(E3665="",E3665="!!!"),"",IF(NOT(ISNA(VLOOKUP(E3665,E$1:E3664,1,FALSE()))),"OLD",IF(AND(E3665&lt;&gt;"",E3665&lt;&gt;"!!!"),"NEW","")))</f>
        <v> </v>
      </c>
      <c r="G3665" s="23" t="str">
        <f>IF(OR(E3665="",E3665="!!!"),"",IF(OR(J3665=0,AND(J3665=1,K3665=1),AND(J3665=1,I3665="SBJ"),AND(J3665=1,I3665=0)),"?IN_FOCUS",IF(J3665&lt;=2,"?ACTIVATED",IF(J3665&lt;&gt;"","?FAMILIAR",IF(F3665="NEW",IF(ISNA(VLOOKUP(E3665,#REF!,1,FALSE())),"?TYPE_IDENTIFIABLE","?REFERENTIAL"),"_")))))</f>
        <v> </v>
      </c>
      <c r="H3665" s="24" t="str">
        <f>IF(J3665&lt;&gt;1,"",IF(I3665="SBJ","CB","?"))</f>
        <v> </v>
      </c>
      <c r="I3665" s="25" t="str">
        <f>IF(OR(E3665="",E3665="!!!",F3665="NEW"),"",INDEX(B3664:B$2,-1+SUMPRODUCT(MAX(ROW(E3664:E$2)*(E3665=E3664:E$2)))))</f>
        <v> </v>
      </c>
      <c r="J3665" s="25" t="str">
        <f>IF(OR(E3665="",E3665="!!!",F3665="NEW"),"",COUNTBLANK(OFFSET(A$1,,,SUMPRODUCT(MAX(ROW(E$2:E3665)*(E3665=E$2:E3665)))))-COUNTBLANK(OFFSET(A$1,,,SUMPRODUCT(MAX(ROW(E$1:E3664)*(E2=E$1:E3664))))))</f>
        <v> </v>
      </c>
      <c r="K3665" s="25" t="str">
        <f>IF(OR(E3665="",E3665="!!!",F3665="NEW"),"",INDEX(J$1:J3664,SUMPRODUCT(MAX(ROW(E$1:E3664)*(E3665=E$1:E3664)))))</f>
        <v> </v>
      </c>
      <c r="L3665" s="26"/>
    </row>
    <row r="3666" spans="1:12">
      <c r="A3666" s="20" t="s">
        <v>2681</v>
      </c>
      <c r="E3666" s="21">
        <f>IF(D3666="?OLD","!!!","")</f>
        <v/>
      </c>
      <c r="F3666" s="22" t="str">
        <f>IF(OR(E3666="",E3666="!!!"),"",IF(NOT(ISNA(VLOOKUP(E3666,E$1:E3665,1,FALSE()))),"OLD",IF(AND(E3666&lt;&gt;"",E3666&lt;&gt;"!!!"),"NEW","")))</f>
        <v> </v>
      </c>
      <c r="G3666" s="23" t="str">
        <f>IF(OR(E3666="",E3666="!!!"),"",IF(OR(J3666=0,AND(J3666=1,K3666=1),AND(J3666=1,I3666="SBJ"),AND(J3666=1,I3666=0)),"?IN_FOCUS",IF(J3666&lt;=2,"?ACTIVATED",IF(J3666&lt;&gt;"","?FAMILIAR",IF(F3666="NEW",IF(ISNA(VLOOKUP(E3666,#REF!,1,FALSE())),"?TYPE_IDENTIFIABLE","?REFERENTIAL"),"_")))))</f>
        <v> </v>
      </c>
      <c r="H3666" s="24" t="str">
        <f>IF(J3666&lt;&gt;1,"",IF(I3666="SBJ","CB","?"))</f>
        <v> </v>
      </c>
      <c r="I3666" s="25" t="str">
        <f>IF(OR(E3666="",E3666="!!!",F3666="NEW"),"",INDEX(B3665:B$2,-1+SUMPRODUCT(MAX(ROW(E3665:E$2)*(E3666=E3665:E$2)))))</f>
        <v> </v>
      </c>
      <c r="J3666" s="25" t="str">
        <f>IF(OR(E3666="",E3666="!!!",F3666="NEW"),"",COUNTBLANK(OFFSET(A$1,,,SUMPRODUCT(MAX(ROW(E$2:E3666)*(E3666=E$2:E3666)))))-COUNTBLANK(OFFSET(A$1,,,SUMPRODUCT(MAX(ROW(E$1:E3665)*(E2=E$1:E3665))))))</f>
        <v> </v>
      </c>
      <c r="K3666" s="25" t="str">
        <f>IF(OR(E3666="",E3666="!!!",F3666="NEW"),"",INDEX(J$1:J3665,SUMPRODUCT(MAX(ROW(E$1:E3665)*(E3666=E$1:E3665)))))</f>
        <v> </v>
      </c>
      <c r="L3666" s="26"/>
    </row>
    <row r="3667" spans="1:12">
      <c r="A3667" s="20" t="s">
        <v>1130</v>
      </c>
      <c r="E3667" s="21">
        <f>IF(D3667="?OLD","!!!","")</f>
        <v/>
      </c>
      <c r="F3667" s="22" t="str">
        <f>IF(OR(E3667="",E3667="!!!"),"",IF(NOT(ISNA(VLOOKUP(E3667,E$1:E3666,1,FALSE()))),"OLD",IF(AND(E3667&lt;&gt;"",E3667&lt;&gt;"!!!"),"NEW","")))</f>
        <v> </v>
      </c>
      <c r="G3667" s="23" t="str">
        <f>IF(OR(E3667="",E3667="!!!"),"",IF(OR(J3667=0,AND(J3667=1,K3667=1),AND(J3667=1,I3667="SBJ"),AND(J3667=1,I3667=0)),"?IN_FOCUS",IF(J3667&lt;=2,"?ACTIVATED",IF(J3667&lt;&gt;"","?FAMILIAR",IF(F3667="NEW",IF(ISNA(VLOOKUP(E3667,#REF!,1,FALSE())),"?TYPE_IDENTIFIABLE","?REFERENTIAL"),"_")))))</f>
        <v> </v>
      </c>
      <c r="H3667" s="24" t="str">
        <f>IF(J3667&lt;&gt;1,"",IF(I3667="SBJ","CB","?"))</f>
        <v> </v>
      </c>
      <c r="I3667" s="25" t="str">
        <f>IF(OR(E3667="",E3667="!!!",F3667="NEW"),"",INDEX(B3666:B$2,-1+SUMPRODUCT(MAX(ROW(E3666:E$2)*(E3667=E3666:E$2)))))</f>
        <v> </v>
      </c>
      <c r="J3667" s="25" t="str">
        <f>IF(OR(E3667="",E3667="!!!",F3667="NEW"),"",COUNTBLANK(OFFSET(A$1,,,SUMPRODUCT(MAX(ROW(E$2:E3667)*(E3667=E$2:E3667)))))-COUNTBLANK(OFFSET(A$1,,,SUMPRODUCT(MAX(ROW(E$1:E3666)*(E2=E$1:E3666))))))</f>
        <v> </v>
      </c>
      <c r="K3667" s="25" t="str">
        <f>IF(OR(E3667="",E3667="!!!",F3667="NEW"),"",INDEX(J$1:J3666,SUMPRODUCT(MAX(ROW(E$1:E3666)*(E3667=E$1:E3666)))))</f>
        <v> </v>
      </c>
      <c r="L3667" s="26"/>
    </row>
    <row r="3668" spans="1:12">
      <c r="A3668" s="20" t="s">
        <v>1722</v>
      </c>
      <c r="B3668" s="27" t="s">
        <v>1110</v>
      </c>
      <c r="C3668" s="27" t="s">
        <v>1126</v>
      </c>
      <c r="D3668" s="27" t="s">
        <v>1105</v>
      </c>
      <c r="E3668" s="21">
        <f>IF(D3668="?OLD","!!!","")</f>
        <v/>
      </c>
      <c r="F3668" s="22" t="str">
        <f>IF(OR(E3668="",E3668="!!!"),"",IF(NOT(ISNA(VLOOKUP(E3668,E$1:E3667,1,FALSE()))),"OLD",IF(AND(E3668&lt;&gt;"",E3668&lt;&gt;"!!!"),"NEW","")))</f>
        <v> </v>
      </c>
      <c r="G3668" s="23" t="str">
        <f>IF(OR(E3668="",E3668="!!!"),"",IF(OR(J3668=0,AND(J3668=1,K3668=1),AND(J3668=1,I3668="SBJ"),AND(J3668=1,I3668=0)),"?IN_FOCUS",IF(J3668&lt;=2,"?ACTIVATED",IF(J3668&lt;&gt;"","?FAMILIAR",IF(F3668="NEW",IF(ISNA(VLOOKUP(E3668,#REF!,1,FALSE())),"?TYPE_IDENTIFIABLE","?REFERENTIAL"),"_")))))</f>
        <v> </v>
      </c>
      <c r="H3668" s="24" t="str">
        <f>IF(J3668&lt;&gt;1,"",IF(I3668="SBJ","CB","?"))</f>
        <v> </v>
      </c>
      <c r="I3668" s="25" t="str">
        <f>IF(OR(E3668="",E3668="!!!",F3668="NEW"),"",INDEX(B3667:B$2,-1+SUMPRODUCT(MAX(ROW(E3667:E$2)*(E3668=E3667:E$2)))))</f>
        <v> </v>
      </c>
      <c r="J3668" s="25" t="str">
        <f>IF(OR(E3668="",E3668="!!!",F3668="NEW"),"",COUNTBLANK(OFFSET(A$1,,,SUMPRODUCT(MAX(ROW(E$2:E3668)*(E3668=E$2:E3668)))))-COUNTBLANK(OFFSET(A$1,,,SUMPRODUCT(MAX(ROW(E$1:E3667)*(E2=E$1:E3667))))))</f>
        <v> </v>
      </c>
      <c r="K3668" s="25" t="str">
        <f>IF(OR(E3668="",E3668="!!!",F3668="NEW"),"",INDEX(J$1:J3667,SUMPRODUCT(MAX(ROW(E$1:E3667)*(E3668=E$1:E3667)))))</f>
        <v> </v>
      </c>
      <c r="L3668" s="26"/>
    </row>
    <row r="3669" spans="1:12">
      <c r="A3669" s="20" t="s">
        <v>1206</v>
      </c>
      <c r="E3669" s="21">
        <f>IF(D3669="?OLD","!!!","")</f>
        <v/>
      </c>
      <c r="F3669" s="22" t="str">
        <f>IF(OR(E3669="",E3669="!!!"),"",IF(NOT(ISNA(VLOOKUP(E3669,E$1:E3668,1,FALSE()))),"OLD",IF(AND(E3669&lt;&gt;"",E3669&lt;&gt;"!!!"),"NEW","")))</f>
        <v> </v>
      </c>
      <c r="G3669" s="23" t="str">
        <f>IF(OR(E3669="",E3669="!!!"),"",IF(OR(J3669=0,AND(J3669=1,K3669=1),AND(J3669=1,I3669="SBJ"),AND(J3669=1,I3669=0)),"?IN_FOCUS",IF(J3669&lt;=2,"?ACTIVATED",IF(J3669&lt;&gt;"","?FAMILIAR",IF(F3669="NEW",IF(ISNA(VLOOKUP(E3669,#REF!,1,FALSE())),"?TYPE_IDENTIFIABLE","?REFERENTIAL"),"_")))))</f>
        <v> </v>
      </c>
      <c r="H3669" s="24" t="str">
        <f>IF(J3669&lt;&gt;1,"",IF(I3669="SBJ","CB","?"))</f>
        <v> </v>
      </c>
      <c r="I3669" s="25" t="str">
        <f>IF(OR(E3669="",E3669="!!!",F3669="NEW"),"",INDEX(B3668:B$2,-1+SUMPRODUCT(MAX(ROW(E3668:E$2)*(E3669=E3668:E$2)))))</f>
        <v> </v>
      </c>
      <c r="J3669" s="25" t="str">
        <f>IF(OR(E3669="",E3669="!!!",F3669="NEW"),"",COUNTBLANK(OFFSET(A$1,,,SUMPRODUCT(MAX(ROW(E$2:E3669)*(E3669=E$2:E3669)))))-COUNTBLANK(OFFSET(A$1,,,SUMPRODUCT(MAX(ROW(E$1:E3668)*(E2=E$1:E3668))))))</f>
        <v> </v>
      </c>
      <c r="K3669" s="25" t="str">
        <f>IF(OR(E3669="",E3669="!!!",F3669="NEW"),"",INDEX(J$1:J3668,SUMPRODUCT(MAX(ROW(E$1:E3668)*(E3669=E$1:E3668)))))</f>
        <v> </v>
      </c>
      <c r="L3669" s="26"/>
    </row>
    <row r="3670" spans="1:12">
      <c r="A3670" s="20" t="s">
        <v>1453</v>
      </c>
      <c r="E3670" s="21">
        <f>IF(D3670="?OLD","!!!","")</f>
        <v/>
      </c>
      <c r="F3670" s="22" t="str">
        <f>IF(OR(E3670="",E3670="!!!"),"",IF(NOT(ISNA(VLOOKUP(E3670,E$1:E3669,1,FALSE()))),"OLD",IF(AND(E3670&lt;&gt;"",E3670&lt;&gt;"!!!"),"NEW","")))</f>
        <v> </v>
      </c>
      <c r="G3670" s="23" t="str">
        <f>IF(OR(E3670="",E3670="!!!"),"",IF(OR(J3670=0,AND(J3670=1,K3670=1),AND(J3670=1,I3670="SBJ"),AND(J3670=1,I3670=0)),"?IN_FOCUS",IF(J3670&lt;=2,"?ACTIVATED",IF(J3670&lt;&gt;"","?FAMILIAR",IF(F3670="NEW",IF(ISNA(VLOOKUP(E3670,#REF!,1,FALSE())),"?TYPE_IDENTIFIABLE","?REFERENTIAL"),"_")))))</f>
        <v> </v>
      </c>
      <c r="H3670" s="24" t="str">
        <f>IF(J3670&lt;&gt;1,"",IF(I3670="SBJ","CB","?"))</f>
        <v> </v>
      </c>
      <c r="I3670" s="25" t="str">
        <f>IF(OR(E3670="",E3670="!!!",F3670="NEW"),"",INDEX(B3669:B$2,-1+SUMPRODUCT(MAX(ROW(E3669:E$2)*(E3670=E3669:E$2)))))</f>
        <v> </v>
      </c>
      <c r="J3670" s="25" t="str">
        <f>IF(OR(E3670="",E3670="!!!",F3670="NEW"),"",COUNTBLANK(OFFSET(A$1,,,SUMPRODUCT(MAX(ROW(E$2:E3670)*(E3670=E$2:E3670)))))-COUNTBLANK(OFFSET(A$1,,,SUMPRODUCT(MAX(ROW(E$1:E3669)*(E2=E$1:E3669))))))</f>
        <v> </v>
      </c>
      <c r="K3670" s="25" t="str">
        <f>IF(OR(E3670="",E3670="!!!",F3670="NEW"),"",INDEX(J$1:J3669,SUMPRODUCT(MAX(ROW(E$1:E3669)*(E3670=E$1:E3669)))))</f>
        <v> </v>
      </c>
      <c r="L3670" s="26"/>
    </row>
    <row r="3671" spans="1:12">
      <c r="A3671" s="20" t="s">
        <v>2093</v>
      </c>
      <c r="B3671" s="27" t="s">
        <v>1243</v>
      </c>
      <c r="C3671" s="27" t="s">
        <v>1156</v>
      </c>
      <c r="D3671" s="27" t="s">
        <v>1105</v>
      </c>
      <c r="E3671" s="21">
        <f>IF(D3671="?OLD","!!!","")</f>
        <v/>
      </c>
      <c r="F3671" s="22" t="str">
        <f>IF(OR(E3671="",E3671="!!!"),"",IF(NOT(ISNA(VLOOKUP(E3671,E$1:E3670,1,FALSE()))),"OLD",IF(AND(E3671&lt;&gt;"",E3671&lt;&gt;"!!!"),"NEW","")))</f>
        <v> </v>
      </c>
      <c r="G3671" s="23" t="str">
        <f>IF(OR(E3671="",E3671="!!!"),"",IF(OR(J3671=0,AND(J3671=1,K3671=1),AND(J3671=1,I3671="SBJ"),AND(J3671=1,I3671=0)),"?IN_FOCUS",IF(J3671&lt;=2,"?ACTIVATED",IF(J3671&lt;&gt;"","?FAMILIAR",IF(F3671="NEW",IF(ISNA(VLOOKUP(E3671,#REF!,1,FALSE())),"?TYPE_IDENTIFIABLE","?REFERENTIAL"),"_")))))</f>
        <v> </v>
      </c>
      <c r="H3671" s="24" t="str">
        <f>IF(J3671&lt;&gt;1,"",IF(I3671="SBJ","CB","?"))</f>
        <v> </v>
      </c>
      <c r="I3671" s="25" t="str">
        <f>IF(OR(E3671="",E3671="!!!",F3671="NEW"),"",INDEX(B3670:B$2,-1+SUMPRODUCT(MAX(ROW(E3670:E$2)*(E3671=E3670:E$2)))))</f>
        <v> </v>
      </c>
      <c r="J3671" s="25" t="str">
        <f>IF(OR(E3671="",E3671="!!!",F3671="NEW"),"",COUNTBLANK(OFFSET(A$1,,,SUMPRODUCT(MAX(ROW(E$2:E3671)*(E3671=E$2:E3671)))))-COUNTBLANK(OFFSET(A$1,,,SUMPRODUCT(MAX(ROW(E$1:E3670)*(E2=E$1:E3670))))))</f>
        <v> </v>
      </c>
      <c r="K3671" s="25" t="str">
        <f>IF(OR(E3671="",E3671="!!!",F3671="NEW"),"",INDEX(J$1:J3670,SUMPRODUCT(MAX(ROW(E$1:E3670)*(E3671=E$1:E3670)))))</f>
        <v> </v>
      </c>
      <c r="L3671" s="26"/>
    </row>
    <row r="3672" spans="1:12">
      <c r="A3672" s="20" t="s">
        <v>1128</v>
      </c>
      <c r="E3672" s="21">
        <f>IF(D3672="?OLD","!!!","")</f>
        <v/>
      </c>
      <c r="F3672" s="22" t="str">
        <f>IF(OR(E3672="",E3672="!!!"),"",IF(NOT(ISNA(VLOOKUP(E3672,E$1:E3671,1,FALSE()))),"OLD",IF(AND(E3672&lt;&gt;"",E3672&lt;&gt;"!!!"),"NEW","")))</f>
        <v> </v>
      </c>
      <c r="G3672" s="23" t="str">
        <f>IF(OR(E3672="",E3672="!!!"),"",IF(OR(J3672=0,AND(J3672=1,K3672=1),AND(J3672=1,I3672="SBJ"),AND(J3672=1,I3672=0)),"?IN_FOCUS",IF(J3672&lt;=2,"?ACTIVATED",IF(J3672&lt;&gt;"","?FAMILIAR",IF(F3672="NEW",IF(ISNA(VLOOKUP(E3672,#REF!,1,FALSE())),"?TYPE_IDENTIFIABLE","?REFERENTIAL"),"_")))))</f>
        <v> </v>
      </c>
      <c r="H3672" s="24" t="str">
        <f>IF(J3672&lt;&gt;1,"",IF(I3672="SBJ","CB","?"))</f>
        <v> </v>
      </c>
      <c r="I3672" s="25" t="str">
        <f>IF(OR(E3672="",E3672="!!!",F3672="NEW"),"",INDEX(B3671:B$2,-1+SUMPRODUCT(MAX(ROW(E3671:E$2)*(E3672=E3671:E$2)))))</f>
        <v> </v>
      </c>
      <c r="J3672" s="25" t="str">
        <f>IF(OR(E3672="",E3672="!!!",F3672="NEW"),"",COUNTBLANK(OFFSET(A$1,,,SUMPRODUCT(MAX(ROW(E$2:E3672)*(E3672=E$2:E3672)))))-COUNTBLANK(OFFSET(A$1,,,SUMPRODUCT(MAX(ROW(E$1:E3671)*(E2=E$1:E3671))))))</f>
        <v> </v>
      </c>
      <c r="K3672" s="25" t="str">
        <f>IF(OR(E3672="",E3672="!!!",F3672="NEW"),"",INDEX(J$1:J3671,SUMPRODUCT(MAX(ROW(E$1:E3671)*(E3672=E$1:E3671)))))</f>
        <v> </v>
      </c>
      <c r="L3672" s="26"/>
    </row>
    <row r="3673" spans="1:12">
      <c r="A3673" s="20" t="s">
        <v>2757</v>
      </c>
      <c r="E3673" s="21">
        <f>IF(D3673="?OLD","!!!","")</f>
        <v/>
      </c>
      <c r="F3673" s="22" t="str">
        <f>IF(OR(E3673="",E3673="!!!"),"",IF(NOT(ISNA(VLOOKUP(E3673,E$1:E3672,1,FALSE()))),"OLD",IF(AND(E3673&lt;&gt;"",E3673&lt;&gt;"!!!"),"NEW","")))</f>
        <v> </v>
      </c>
      <c r="G3673" s="23" t="str">
        <f>IF(OR(E3673="",E3673="!!!"),"",IF(OR(J3673=0,AND(J3673=1,K3673=1),AND(J3673=1,I3673="SBJ"),AND(J3673=1,I3673=0)),"?IN_FOCUS",IF(J3673&lt;=2,"?ACTIVATED",IF(J3673&lt;&gt;"","?FAMILIAR",IF(F3673="NEW",IF(ISNA(VLOOKUP(E3673,#REF!,1,FALSE())),"?TYPE_IDENTIFIABLE","?REFERENTIAL"),"_")))))</f>
        <v> </v>
      </c>
      <c r="H3673" s="24" t="str">
        <f>IF(J3673&lt;&gt;1,"",IF(I3673="SBJ","CB","?"))</f>
        <v> </v>
      </c>
      <c r="I3673" s="25" t="str">
        <f>IF(OR(E3673="",E3673="!!!",F3673="NEW"),"",INDEX(B3672:B$2,-1+SUMPRODUCT(MAX(ROW(E3672:E$2)*(E3673=E3672:E$2)))))</f>
        <v> </v>
      </c>
      <c r="J3673" s="25" t="str">
        <f>IF(OR(E3673="",E3673="!!!",F3673="NEW"),"",COUNTBLANK(OFFSET(A$1,,,SUMPRODUCT(MAX(ROW(E$2:E3673)*(E3673=E$2:E3673)))))-COUNTBLANK(OFFSET(A$1,,,SUMPRODUCT(MAX(ROW(E$1:E3672)*(E2=E$1:E3672))))))</f>
        <v> </v>
      </c>
      <c r="K3673" s="25" t="str">
        <f>IF(OR(E3673="",E3673="!!!",F3673="NEW"),"",INDEX(J$1:J3672,SUMPRODUCT(MAX(ROW(E$1:E3672)*(E3673=E$1:E3672)))))</f>
        <v> </v>
      </c>
      <c r="L3673" s="26"/>
    </row>
    <row r="3674" spans="1:12">
      <c r="A3674" s="20" t="s">
        <v>2758</v>
      </c>
      <c r="E3674" s="21">
        <f>IF(D3674="?OLD","!!!","")</f>
        <v/>
      </c>
      <c r="F3674" s="22" t="str">
        <f>IF(OR(E3674="",E3674="!!!"),"",IF(NOT(ISNA(VLOOKUP(E3674,E$1:E3673,1,FALSE()))),"OLD",IF(AND(E3674&lt;&gt;"",E3674&lt;&gt;"!!!"),"NEW","")))</f>
        <v> </v>
      </c>
      <c r="G3674" s="23" t="str">
        <f>IF(OR(E3674="",E3674="!!!"),"",IF(OR(J3674=0,AND(J3674=1,K3674=1),AND(J3674=1,I3674="SBJ"),AND(J3674=1,I3674=0)),"?IN_FOCUS",IF(J3674&lt;=2,"?ACTIVATED",IF(J3674&lt;&gt;"","?FAMILIAR",IF(F3674="NEW",IF(ISNA(VLOOKUP(E3674,#REF!,1,FALSE())),"?TYPE_IDENTIFIABLE","?REFERENTIAL"),"_")))))</f>
        <v> </v>
      </c>
      <c r="H3674" s="24" t="str">
        <f>IF(J3674&lt;&gt;1,"",IF(I3674="SBJ","CB","?"))</f>
        <v> </v>
      </c>
      <c r="I3674" s="25" t="str">
        <f>IF(OR(E3674="",E3674="!!!",F3674="NEW"),"",INDEX(B3673:B$2,-1+SUMPRODUCT(MAX(ROW(E3673:E$2)*(E3674=E3673:E$2)))))</f>
        <v> </v>
      </c>
      <c r="J3674" s="25" t="str">
        <f>IF(OR(E3674="",E3674="!!!",F3674="NEW"),"",COUNTBLANK(OFFSET(A$1,,,SUMPRODUCT(MAX(ROW(E$2:E3674)*(E3674=E$2:E3674)))))-COUNTBLANK(OFFSET(A$1,,,SUMPRODUCT(MAX(ROW(E$1:E3673)*(E2=E$1:E3673))))))</f>
        <v> </v>
      </c>
      <c r="K3674" s="25" t="str">
        <f>IF(OR(E3674="",E3674="!!!",F3674="NEW"),"",INDEX(J$1:J3673,SUMPRODUCT(MAX(ROW(E$1:E3673)*(E3674=E$1:E3673)))))</f>
        <v> </v>
      </c>
      <c r="L3674" s="26"/>
    </row>
    <row r="3675" spans="1:12">
      <c r="A3675" s="20" t="s">
        <v>1123</v>
      </c>
      <c r="E3675" s="21">
        <f>IF(D3675="?OLD","!!!","")</f>
        <v/>
      </c>
      <c r="F3675" s="22" t="str">
        <f>IF(OR(E3675="",E3675="!!!"),"",IF(NOT(ISNA(VLOOKUP(E3675,E$1:E3674,1,FALSE()))),"OLD",IF(AND(E3675&lt;&gt;"",E3675&lt;&gt;"!!!"),"NEW","")))</f>
        <v> </v>
      </c>
      <c r="G3675" s="23" t="str">
        <f>IF(OR(E3675="",E3675="!!!"),"",IF(OR(J3675=0,AND(J3675=1,K3675=1),AND(J3675=1,I3675="SBJ"),AND(J3675=1,I3675=0)),"?IN_FOCUS",IF(J3675&lt;=2,"?ACTIVATED",IF(J3675&lt;&gt;"","?FAMILIAR",IF(F3675="NEW",IF(ISNA(VLOOKUP(E3675,#REF!,1,FALSE())),"?TYPE_IDENTIFIABLE","?REFERENTIAL"),"_")))))</f>
        <v> </v>
      </c>
      <c r="H3675" s="24" t="str">
        <f>IF(J3675&lt;&gt;1,"",IF(I3675="SBJ","CB","?"))</f>
        <v> </v>
      </c>
      <c r="I3675" s="25" t="str">
        <f>IF(OR(E3675="",E3675="!!!",F3675="NEW"),"",INDEX(B3674:B$2,-1+SUMPRODUCT(MAX(ROW(E3674:E$2)*(E3675=E3674:E$2)))))</f>
        <v> </v>
      </c>
      <c r="J3675" s="25" t="str">
        <f>IF(OR(E3675="",E3675="!!!",F3675="NEW"),"",COUNTBLANK(OFFSET(A$1,,,SUMPRODUCT(MAX(ROW(E$2:E3675)*(E3675=E$2:E3675)))))-COUNTBLANK(OFFSET(A$1,,,SUMPRODUCT(MAX(ROW(E$1:E3674)*(E2=E$1:E3674))))))</f>
        <v> </v>
      </c>
      <c r="K3675" s="25" t="str">
        <f>IF(OR(E3675="",E3675="!!!",F3675="NEW"),"",INDEX(J$1:J3674,SUMPRODUCT(MAX(ROW(E$1:E3674)*(E3675=E$1:E3674)))))</f>
        <v> </v>
      </c>
      <c r="L3675" s="26"/>
    </row>
    <row r="3676" spans="1:12">
      <c r="A3676" s="20" t="s">
        <v>1731</v>
      </c>
      <c r="B3676" s="27" t="s">
        <v>1125</v>
      </c>
      <c r="C3676" s="27" t="s">
        <v>1133</v>
      </c>
      <c r="E3676" s="21">
        <f>IF(D3676="?OLD","!!!","")</f>
        <v/>
      </c>
      <c r="F3676" s="22" t="str">
        <f>IF(OR(E3676="",E3676="!!!"),"",IF(NOT(ISNA(VLOOKUP(E3676,E$1:E3675,1,FALSE()))),"OLD",IF(AND(E3676&lt;&gt;"",E3676&lt;&gt;"!!!"),"NEW","")))</f>
        <v> </v>
      </c>
      <c r="G3676" s="23" t="str">
        <f>IF(OR(E3676="",E3676="!!!"),"",IF(OR(J3676=0,AND(J3676=1,K3676=1),AND(J3676=1,I3676="SBJ"),AND(J3676=1,I3676=0)),"?IN_FOCUS",IF(J3676&lt;=2,"?ACTIVATED",IF(J3676&lt;&gt;"","?FAMILIAR",IF(F3676="NEW",IF(ISNA(VLOOKUP(E3676,#REF!,1,FALSE())),"?TYPE_IDENTIFIABLE","?REFERENTIAL"),"_")))))</f>
        <v> </v>
      </c>
      <c r="H3676" s="24" t="str">
        <f>IF(J3676&lt;&gt;1,"",IF(I3676="SBJ","CB","?"))</f>
        <v> </v>
      </c>
      <c r="I3676" s="25" t="str">
        <f>IF(OR(E3676="",E3676="!!!",F3676="NEW"),"",INDEX(B3675:B$2,-1+SUMPRODUCT(MAX(ROW(E3675:E$2)*(E3676=E3675:E$2)))))</f>
        <v> </v>
      </c>
      <c r="J3676" s="25" t="str">
        <f>IF(OR(E3676="",E3676="!!!",F3676="NEW"),"",COUNTBLANK(OFFSET(A$1,,,SUMPRODUCT(MAX(ROW(E$2:E3676)*(E3676=E$2:E3676)))))-COUNTBLANK(OFFSET(A$1,,,SUMPRODUCT(MAX(ROW(E$1:E3675)*(E2=E$1:E3675))))))</f>
        <v> </v>
      </c>
      <c r="K3676" s="25" t="str">
        <f>IF(OR(E3676="",E3676="!!!",F3676="NEW"),"",INDEX(J$1:J3675,SUMPRODUCT(MAX(ROW(E$1:E3675)*(E3676=E$1:E3675)))))</f>
        <v> </v>
      </c>
      <c r="L3676" s="26"/>
    </row>
    <row r="3677" spans="1:12">
      <c r="A3677" s="20" t="s">
        <v>1842</v>
      </c>
      <c r="E3677" s="21">
        <f>IF(D3677="?OLD","!!!","")</f>
        <v/>
      </c>
      <c r="F3677" s="22" t="str">
        <f>IF(OR(E3677="",E3677="!!!"),"",IF(NOT(ISNA(VLOOKUP(E3677,E$1:E3676,1,FALSE()))),"OLD",IF(AND(E3677&lt;&gt;"",E3677&lt;&gt;"!!!"),"NEW","")))</f>
        <v> </v>
      </c>
      <c r="G3677" s="23" t="str">
        <f>IF(OR(E3677="",E3677="!!!"),"",IF(OR(J3677=0,AND(J3677=1,K3677=1),AND(J3677=1,I3677="SBJ"),AND(J3677=1,I3677=0)),"?IN_FOCUS",IF(J3677&lt;=2,"?ACTIVATED",IF(J3677&lt;&gt;"","?FAMILIAR",IF(F3677="NEW",IF(ISNA(VLOOKUP(E3677,#REF!,1,FALSE())),"?TYPE_IDENTIFIABLE","?REFERENTIAL"),"_")))))</f>
        <v> </v>
      </c>
      <c r="H3677" s="24" t="str">
        <f>IF(J3677&lt;&gt;1,"",IF(I3677="SBJ","CB","?"))</f>
        <v> </v>
      </c>
      <c r="I3677" s="25" t="str">
        <f>IF(OR(E3677="",E3677="!!!",F3677="NEW"),"",INDEX(B3676:B$2,-1+SUMPRODUCT(MAX(ROW(E3676:E$2)*(E3677=E3676:E$2)))))</f>
        <v> </v>
      </c>
      <c r="J3677" s="25" t="str">
        <f>IF(OR(E3677="",E3677="!!!",F3677="NEW"),"",COUNTBLANK(OFFSET(A$1,,,SUMPRODUCT(MAX(ROW(E$2:E3677)*(E3677=E$2:E3677)))))-COUNTBLANK(OFFSET(A$1,,,SUMPRODUCT(MAX(ROW(E$1:E3676)*(E2=E$1:E3676))))))</f>
        <v> </v>
      </c>
      <c r="K3677" s="25" t="str">
        <f>IF(OR(E3677="",E3677="!!!",F3677="NEW"),"",INDEX(J$1:J3676,SUMPRODUCT(MAX(ROW(E$1:E3676)*(E3677=E$1:E3676)))))</f>
        <v> </v>
      </c>
      <c r="L3677" s="26"/>
    </row>
    <row r="3678" spans="1:12">
      <c r="A3678" s="20" t="s">
        <v>2759</v>
      </c>
      <c r="E3678" s="21">
        <f>IF(D3678="?OLD","!!!","")</f>
        <v/>
      </c>
      <c r="F3678" s="22" t="str">
        <f>IF(OR(E3678="",E3678="!!!"),"",IF(NOT(ISNA(VLOOKUP(E3678,E$1:E3677,1,FALSE()))),"OLD",IF(AND(E3678&lt;&gt;"",E3678&lt;&gt;"!!!"),"NEW","")))</f>
        <v> </v>
      </c>
      <c r="G3678" s="23" t="str">
        <f>IF(OR(E3678="",E3678="!!!"),"",IF(OR(J3678=0,AND(J3678=1,K3678=1),AND(J3678=1,I3678="SBJ"),AND(J3678=1,I3678=0)),"?IN_FOCUS",IF(J3678&lt;=2,"?ACTIVATED",IF(J3678&lt;&gt;"","?FAMILIAR",IF(F3678="NEW",IF(ISNA(VLOOKUP(E3678,#REF!,1,FALSE())),"?TYPE_IDENTIFIABLE","?REFERENTIAL"),"_")))))</f>
        <v> </v>
      </c>
      <c r="H3678" s="24" t="str">
        <f>IF(J3678&lt;&gt;1,"",IF(I3678="SBJ","CB","?"))</f>
        <v> </v>
      </c>
      <c r="I3678" s="25" t="str">
        <f>IF(OR(E3678="",E3678="!!!",F3678="NEW"),"",INDEX(B3677:B$2,-1+SUMPRODUCT(MAX(ROW(E3677:E$2)*(E3678=E3677:E$2)))))</f>
        <v> </v>
      </c>
      <c r="J3678" s="25" t="str">
        <f>IF(OR(E3678="",E3678="!!!",F3678="NEW"),"",COUNTBLANK(OFFSET(A$1,,,SUMPRODUCT(MAX(ROW(E$2:E3678)*(E3678=E$2:E3678)))))-COUNTBLANK(OFFSET(A$1,,,SUMPRODUCT(MAX(ROW(E$1:E3677)*(E2=E$1:E3677))))))</f>
        <v> </v>
      </c>
      <c r="K3678" s="25" t="str">
        <f>IF(OR(E3678="",E3678="!!!",F3678="NEW"),"",INDEX(J$1:J3677,SUMPRODUCT(MAX(ROW(E$1:E3677)*(E3678=E$1:E3677)))))</f>
        <v> </v>
      </c>
      <c r="L3678" s="26"/>
    </row>
    <row r="3679" spans="1:12">
      <c r="A3679" s="20" t="s">
        <v>2760</v>
      </c>
      <c r="E3679" s="21">
        <f>IF(D3679="?OLD","!!!","")</f>
        <v/>
      </c>
      <c r="F3679" s="22" t="str">
        <f>IF(OR(E3679="",E3679="!!!"),"",IF(NOT(ISNA(VLOOKUP(E3679,E$1:E3678,1,FALSE()))),"OLD",IF(AND(E3679&lt;&gt;"",E3679&lt;&gt;"!!!"),"NEW","")))</f>
        <v> </v>
      </c>
      <c r="G3679" s="23" t="str">
        <f>IF(OR(E3679="",E3679="!!!"),"",IF(OR(J3679=0,AND(J3679=1,K3679=1),AND(J3679=1,I3679="SBJ"),AND(J3679=1,I3679=0)),"?IN_FOCUS",IF(J3679&lt;=2,"?ACTIVATED",IF(J3679&lt;&gt;"","?FAMILIAR",IF(F3679="NEW",IF(ISNA(VLOOKUP(E3679,#REF!,1,FALSE())),"?TYPE_IDENTIFIABLE","?REFERENTIAL"),"_")))))</f>
        <v> </v>
      </c>
      <c r="H3679" s="24" t="str">
        <f>IF(J3679&lt;&gt;1,"",IF(I3679="SBJ","CB","?"))</f>
        <v> </v>
      </c>
      <c r="I3679" s="25" t="str">
        <f>IF(OR(E3679="",E3679="!!!",F3679="NEW"),"",INDEX(B3678:B$2,-1+SUMPRODUCT(MAX(ROW(E3678:E$2)*(E3679=E3678:E$2)))))</f>
        <v> </v>
      </c>
      <c r="J3679" s="25" t="str">
        <f>IF(OR(E3679="",E3679="!!!",F3679="NEW"),"",COUNTBLANK(OFFSET(A$1,,,SUMPRODUCT(MAX(ROW(E$2:E3679)*(E3679=E$2:E3679)))))-COUNTBLANK(OFFSET(A$1,,,SUMPRODUCT(MAX(ROW(E$1:E3678)*(E2=E$1:E3678))))))</f>
        <v> </v>
      </c>
      <c r="K3679" s="25" t="str">
        <f>IF(OR(E3679="",E3679="!!!",F3679="NEW"),"",INDEX(J$1:J3678,SUMPRODUCT(MAX(ROW(E$1:E3678)*(E3679=E$1:E3678)))))</f>
        <v> </v>
      </c>
      <c r="L3679" s="26"/>
    </row>
    <row r="3680" spans="1:12">
      <c r="A3680" s="20" t="s">
        <v>1636</v>
      </c>
      <c r="B3680" s="27" t="s">
        <v>1141</v>
      </c>
      <c r="C3680" s="27" t="s">
        <v>1142</v>
      </c>
      <c r="D3680" s="27" t="s">
        <v>1105</v>
      </c>
      <c r="E3680" s="21">
        <f>IF(D3680="?OLD","!!!","")</f>
        <v/>
      </c>
      <c r="F3680" s="22" t="str">
        <f>IF(OR(E3680="",E3680="!!!"),"",IF(NOT(ISNA(VLOOKUP(E3680,E$1:E3679,1,FALSE()))),"OLD",IF(AND(E3680&lt;&gt;"",E3680&lt;&gt;"!!!"),"NEW","")))</f>
        <v> </v>
      </c>
      <c r="G3680" s="23" t="str">
        <f>IF(OR(E3680="",E3680="!!!"),"",IF(OR(J3680=0,AND(J3680=1,K3680=1),AND(J3680=1,I3680="SBJ"),AND(J3680=1,I3680=0)),"?IN_FOCUS",IF(J3680&lt;=2,"?ACTIVATED",IF(J3680&lt;&gt;"","?FAMILIAR",IF(F3680="NEW",IF(ISNA(VLOOKUP(E3680,#REF!,1,FALSE())),"?TYPE_IDENTIFIABLE","?REFERENTIAL"),"_")))))</f>
        <v> </v>
      </c>
      <c r="H3680" s="24" t="str">
        <f>IF(J3680&lt;&gt;1,"",IF(I3680="SBJ","CB","?"))</f>
        <v> </v>
      </c>
      <c r="I3680" s="25" t="str">
        <f>IF(OR(E3680="",E3680="!!!",F3680="NEW"),"",INDEX(B3679:B$2,-1+SUMPRODUCT(MAX(ROW(E3679:E$2)*(E3680=E3679:E$2)))))</f>
        <v> </v>
      </c>
      <c r="J3680" s="25" t="str">
        <f>IF(OR(E3680="",E3680="!!!",F3680="NEW"),"",COUNTBLANK(OFFSET(A$1,,,SUMPRODUCT(MAX(ROW(E$2:E3680)*(E3680=E$2:E3680)))))-COUNTBLANK(OFFSET(A$1,,,SUMPRODUCT(MAX(ROW(E$1:E3679)*(E2=E$1:E3679))))))</f>
        <v> </v>
      </c>
      <c r="K3680" s="25" t="str">
        <f>IF(OR(E3680="",E3680="!!!",F3680="NEW"),"",INDEX(J$1:J3679,SUMPRODUCT(MAX(ROW(E$1:E3679)*(E3680=E$1:E3679)))))</f>
        <v> </v>
      </c>
      <c r="L3680" s="26"/>
    </row>
    <row r="3681" spans="1:12">
      <c r="A3681" s="20" t="s">
        <v>1694</v>
      </c>
      <c r="B3681" s="27" t="s">
        <v>1144</v>
      </c>
      <c r="E3681" s="21">
        <f>IF(D3681="?OLD","!!!","")</f>
        <v/>
      </c>
      <c r="F3681" s="22" t="str">
        <f>IF(OR(E3681="",E3681="!!!"),"",IF(NOT(ISNA(VLOOKUP(E3681,E$1:E3680,1,FALSE()))),"OLD",IF(AND(E3681&lt;&gt;"",E3681&lt;&gt;"!!!"),"NEW","")))</f>
        <v> </v>
      </c>
      <c r="G3681" s="23" t="str">
        <f>IF(OR(E3681="",E3681="!!!"),"",IF(OR(J3681=0,AND(J3681=1,K3681=1),AND(J3681=1,I3681="SBJ"),AND(J3681=1,I3681=0)),"?IN_FOCUS",IF(J3681&lt;=2,"?ACTIVATED",IF(J3681&lt;&gt;"","?FAMILIAR",IF(F3681="NEW",IF(ISNA(VLOOKUP(E3681,#REF!,1,FALSE())),"?TYPE_IDENTIFIABLE","?REFERENTIAL"),"_")))))</f>
        <v> </v>
      </c>
      <c r="H3681" s="24" t="str">
        <f>IF(J3681&lt;&gt;1,"",IF(I3681="SBJ","CB","?"))</f>
        <v> </v>
      </c>
      <c r="I3681" s="25" t="str">
        <f>IF(OR(E3681="",E3681="!!!",F3681="NEW"),"",INDEX(B3680:B$2,-1+SUMPRODUCT(MAX(ROW(E3680:E$2)*(E3681=E3680:E$2)))))</f>
        <v> </v>
      </c>
      <c r="J3681" s="25" t="str">
        <f>IF(OR(E3681="",E3681="!!!",F3681="NEW"),"",COUNTBLANK(OFFSET(A$1,,,SUMPRODUCT(MAX(ROW(E$2:E3681)*(E3681=E$2:E3681)))))-COUNTBLANK(OFFSET(A$1,,,SUMPRODUCT(MAX(ROW(E$1:E3680)*(E2=E$1:E3680))))))</f>
        <v> </v>
      </c>
      <c r="K3681" s="25" t="str">
        <f>IF(OR(E3681="",E3681="!!!",F3681="NEW"),"",INDEX(J$1:J3680,SUMPRODUCT(MAX(ROW(E$1:E3680)*(E3681=E$1:E3680)))))</f>
        <v> </v>
      </c>
      <c r="L3681" s="26"/>
    </row>
    <row r="3682" spans="1:12">
      <c r="A3682" s="20" t="s">
        <v>1128</v>
      </c>
      <c r="E3682" s="21">
        <f>IF(D3682="?OLD","!!!","")</f>
        <v/>
      </c>
      <c r="F3682" s="22" t="str">
        <f>IF(OR(E3682="",E3682="!!!"),"",IF(NOT(ISNA(VLOOKUP(E3682,E$1:E3681,1,FALSE()))),"OLD",IF(AND(E3682&lt;&gt;"",E3682&lt;&gt;"!!!"),"NEW","")))</f>
        <v> </v>
      </c>
      <c r="G3682" s="23" t="str">
        <f>IF(OR(E3682="",E3682="!!!"),"",IF(OR(J3682=0,AND(J3682=1,K3682=1),AND(J3682=1,I3682="SBJ"),AND(J3682=1,I3682=0)),"?IN_FOCUS",IF(J3682&lt;=2,"?ACTIVATED",IF(J3682&lt;&gt;"","?FAMILIAR",IF(F3682="NEW",IF(ISNA(VLOOKUP(E3682,#REF!,1,FALSE())),"?TYPE_IDENTIFIABLE","?REFERENTIAL"),"_")))))</f>
        <v> </v>
      </c>
      <c r="H3682" s="24" t="str">
        <f>IF(J3682&lt;&gt;1,"",IF(I3682="SBJ","CB","?"))</f>
        <v> </v>
      </c>
      <c r="I3682" s="25" t="str">
        <f>IF(OR(E3682="",E3682="!!!",F3682="NEW"),"",INDEX(B3681:B$2,-1+SUMPRODUCT(MAX(ROW(E3681:E$2)*(E3682=E3681:E$2)))))</f>
        <v> </v>
      </c>
      <c r="J3682" s="25" t="str">
        <f>IF(OR(E3682="",E3682="!!!",F3682="NEW"),"",COUNTBLANK(OFFSET(A$1,,,SUMPRODUCT(MAX(ROW(E$2:E3682)*(E3682=E$2:E3682)))))-COUNTBLANK(OFFSET(A$1,,,SUMPRODUCT(MAX(ROW(E$1:E3681)*(E2=E$1:E3681))))))</f>
        <v> </v>
      </c>
      <c r="K3682" s="25" t="str">
        <f>IF(OR(E3682="",E3682="!!!",F3682="NEW"),"",INDEX(J$1:J3681,SUMPRODUCT(MAX(ROW(E$1:E3681)*(E3682=E$1:E3681)))))</f>
        <v> </v>
      </c>
      <c r="L3682" s="26"/>
    </row>
    <row r="3683" spans="1:12">
      <c r="A3683" s="20" t="s">
        <v>2761</v>
      </c>
      <c r="E3683" s="21">
        <f>IF(D3683="?OLD","!!!","")</f>
        <v/>
      </c>
      <c r="F3683" s="22" t="str">
        <f>IF(OR(E3683="",E3683="!!!"),"",IF(NOT(ISNA(VLOOKUP(E3683,E$1:E3682,1,FALSE()))),"OLD",IF(AND(E3683&lt;&gt;"",E3683&lt;&gt;"!!!"),"NEW","")))</f>
        <v> </v>
      </c>
      <c r="G3683" s="23" t="str">
        <f>IF(OR(E3683="",E3683="!!!"),"",IF(OR(J3683=0,AND(J3683=1,K3683=1),AND(J3683=1,I3683="SBJ"),AND(J3683=1,I3683=0)),"?IN_FOCUS",IF(J3683&lt;=2,"?ACTIVATED",IF(J3683&lt;&gt;"","?FAMILIAR",IF(F3683="NEW",IF(ISNA(VLOOKUP(E3683,#REF!,1,FALSE())),"?TYPE_IDENTIFIABLE","?REFERENTIAL"),"_")))))</f>
        <v> </v>
      </c>
      <c r="H3683" s="24" t="str">
        <f>IF(J3683&lt;&gt;1,"",IF(I3683="SBJ","CB","?"))</f>
        <v> </v>
      </c>
      <c r="I3683" s="25" t="str">
        <f>IF(OR(E3683="",E3683="!!!",F3683="NEW"),"",INDEX(B3682:B$2,-1+SUMPRODUCT(MAX(ROW(E3682:E$2)*(E3683=E3682:E$2)))))</f>
        <v> </v>
      </c>
      <c r="J3683" s="25" t="str">
        <f>IF(OR(E3683="",E3683="!!!",F3683="NEW"),"",COUNTBLANK(OFFSET(A$1,,,SUMPRODUCT(MAX(ROW(E$2:E3683)*(E3683=E$2:E3683)))))-COUNTBLANK(OFFSET(A$1,,,SUMPRODUCT(MAX(ROW(E$1:E3682)*(E2=E$1:E3682))))))</f>
        <v> </v>
      </c>
      <c r="K3683" s="25" t="str">
        <f>IF(OR(E3683="",E3683="!!!",F3683="NEW"),"",INDEX(J$1:J3682,SUMPRODUCT(MAX(ROW(E$1:E3682)*(E3683=E$1:E3682)))))</f>
        <v> </v>
      </c>
      <c r="L3683" s="26"/>
    </row>
    <row r="3684" spans="1:12">
      <c r="A3684" s="20" t="s">
        <v>2007</v>
      </c>
      <c r="E3684" s="21">
        <f>IF(D3684="?OLD","!!!","")</f>
        <v/>
      </c>
      <c r="F3684" s="22" t="str">
        <f>IF(OR(E3684="",E3684="!!!"),"",IF(NOT(ISNA(VLOOKUP(E3684,E$1:E3683,1,FALSE()))),"OLD",IF(AND(E3684&lt;&gt;"",E3684&lt;&gt;"!!!"),"NEW","")))</f>
        <v> </v>
      </c>
      <c r="G3684" s="23" t="str">
        <f>IF(OR(E3684="",E3684="!!!"),"",IF(OR(J3684=0,AND(J3684=1,K3684=1),AND(J3684=1,I3684="SBJ"),AND(J3684=1,I3684=0)),"?IN_FOCUS",IF(J3684&lt;=2,"?ACTIVATED",IF(J3684&lt;&gt;"","?FAMILIAR",IF(F3684="NEW",IF(ISNA(VLOOKUP(E3684,#REF!,1,FALSE())),"?TYPE_IDENTIFIABLE","?REFERENTIAL"),"_")))))</f>
        <v> </v>
      </c>
      <c r="H3684" s="24" t="str">
        <f>IF(J3684&lt;&gt;1,"",IF(I3684="SBJ","CB","?"))</f>
        <v> </v>
      </c>
      <c r="I3684" s="25" t="str">
        <f>IF(OR(E3684="",E3684="!!!",F3684="NEW"),"",INDEX(B3683:B$2,-1+SUMPRODUCT(MAX(ROW(E3683:E$2)*(E3684=E3683:E$2)))))</f>
        <v> </v>
      </c>
      <c r="J3684" s="25" t="str">
        <f>IF(OR(E3684="",E3684="!!!",F3684="NEW"),"",COUNTBLANK(OFFSET(A$1,,,SUMPRODUCT(MAX(ROW(E$2:E3684)*(E3684=E$2:E3684)))))-COUNTBLANK(OFFSET(A$1,,,SUMPRODUCT(MAX(ROW(E$1:E3683)*(E2=E$1:E3683))))))</f>
        <v> </v>
      </c>
      <c r="K3684" s="25" t="str">
        <f>IF(OR(E3684="",E3684="!!!",F3684="NEW"),"",INDEX(J$1:J3683,SUMPRODUCT(MAX(ROW(E$1:E3683)*(E3684=E$1:E3683)))))</f>
        <v> </v>
      </c>
      <c r="L3684" s="26"/>
    </row>
    <row r="3685" spans="1:12">
      <c r="A3685" s="20" t="s">
        <v>2762</v>
      </c>
      <c r="B3685" s="27" t="s">
        <v>1141</v>
      </c>
      <c r="C3685" s="27" t="s">
        <v>1116</v>
      </c>
      <c r="E3685" s="21">
        <f>IF(D3685="?OLD","!!!","")</f>
        <v/>
      </c>
      <c r="F3685" s="22" t="str">
        <f>IF(OR(E3685="",E3685="!!!"),"",IF(NOT(ISNA(VLOOKUP(E3685,E$1:E3684,1,FALSE()))),"OLD",IF(AND(E3685&lt;&gt;"",E3685&lt;&gt;"!!!"),"NEW","")))</f>
        <v> </v>
      </c>
      <c r="G3685" s="23" t="str">
        <f>IF(OR(E3685="",E3685="!!!"),"",IF(OR(J3685=0,AND(J3685=1,K3685=1),AND(J3685=1,I3685="SBJ"),AND(J3685=1,I3685=0)),"?IN_FOCUS",IF(J3685&lt;=2,"?ACTIVATED",IF(J3685&lt;&gt;"","?FAMILIAR",IF(F3685="NEW",IF(ISNA(VLOOKUP(E3685,#REF!,1,FALSE())),"?TYPE_IDENTIFIABLE","?REFERENTIAL"),"_")))))</f>
        <v> </v>
      </c>
      <c r="H3685" s="24" t="str">
        <f>IF(J3685&lt;&gt;1,"",IF(I3685="SBJ","CB","?"))</f>
        <v> </v>
      </c>
      <c r="I3685" s="25" t="str">
        <f>IF(OR(E3685="",E3685="!!!",F3685="NEW"),"",INDEX(B3684:B$2,-1+SUMPRODUCT(MAX(ROW(E3684:E$2)*(E3685=E3684:E$2)))))</f>
        <v> </v>
      </c>
      <c r="J3685" s="25" t="str">
        <f>IF(OR(E3685="",E3685="!!!",F3685="NEW"),"",COUNTBLANK(OFFSET(A$1,,,SUMPRODUCT(MAX(ROW(E$2:E3685)*(E3685=E$2:E3685)))))-COUNTBLANK(OFFSET(A$1,,,SUMPRODUCT(MAX(ROW(E$1:E3684)*(E2=E$1:E3684))))))</f>
        <v> </v>
      </c>
      <c r="K3685" s="25" t="str">
        <f>IF(OR(E3685="",E3685="!!!",F3685="NEW"),"",INDEX(J$1:J3684,SUMPRODUCT(MAX(ROW(E$1:E3684)*(E3685=E$1:E3684)))))</f>
        <v> </v>
      </c>
      <c r="L3685" s="26"/>
    </row>
    <row r="3686" spans="1:12">
      <c r="A3686" s="20" t="s">
        <v>1145</v>
      </c>
      <c r="E3686" s="21">
        <f>IF(D3686="?OLD","!!!","")</f>
        <v/>
      </c>
      <c r="F3686" s="22" t="str">
        <f>IF(OR(E3686="",E3686="!!!"),"",IF(NOT(ISNA(VLOOKUP(E3686,E$1:E3685,1,FALSE()))),"OLD",IF(AND(E3686&lt;&gt;"",E3686&lt;&gt;"!!!"),"NEW","")))</f>
        <v> </v>
      </c>
      <c r="G3686" s="23" t="str">
        <f>IF(OR(E3686="",E3686="!!!"),"",IF(OR(J3686=0,AND(J3686=1,K3686=1),AND(J3686=1,I3686="SBJ"),AND(J3686=1,I3686=0)),"?IN_FOCUS",IF(J3686&lt;=2,"?ACTIVATED",IF(J3686&lt;&gt;"","?FAMILIAR",IF(F3686="NEW",IF(ISNA(VLOOKUP(E3686,#REF!,1,FALSE())),"?TYPE_IDENTIFIABLE","?REFERENTIAL"),"_")))))</f>
        <v> </v>
      </c>
      <c r="H3686" s="24" t="str">
        <f>IF(J3686&lt;&gt;1,"",IF(I3686="SBJ","CB","?"))</f>
        <v> </v>
      </c>
      <c r="I3686" s="25" t="str">
        <f>IF(OR(E3686="",E3686="!!!",F3686="NEW"),"",INDEX(B3685:B$2,-1+SUMPRODUCT(MAX(ROW(E3685:E$2)*(E3686=E3685:E$2)))))</f>
        <v> </v>
      </c>
      <c r="J3686" s="25" t="str">
        <f>IF(OR(E3686="",E3686="!!!",F3686="NEW"),"",COUNTBLANK(OFFSET(A$1,,,SUMPRODUCT(MAX(ROW(E$2:E3686)*(E3686=E$2:E3686)))))-COUNTBLANK(OFFSET(A$1,,,SUMPRODUCT(MAX(ROW(E$1:E3685)*(E2=E$1:E3685))))))</f>
        <v> </v>
      </c>
      <c r="K3686" s="25" t="str">
        <f>IF(OR(E3686="",E3686="!!!",F3686="NEW"),"",INDEX(J$1:J3685,SUMPRODUCT(MAX(ROW(E$1:E3685)*(E3686=E$1:E3685)))))</f>
        <v> </v>
      </c>
      <c r="L3686" s="26"/>
    </row>
    <row r="3687" spans="1:12">
      <c r="A3687" s="20"/>
    </row>
    <row r="3688" spans="1:12">
      <c r="A3688" s="20" t="s">
        <v>2763</v>
      </c>
    </row>
    <row r="3689" spans="1:12">
      <c r="A3689" s="20" t="s">
        <v>2281</v>
      </c>
      <c r="E3689" s="21">
        <f>IF(D3689="?OLD","!!!","")</f>
        <v/>
      </c>
      <c r="F3689" s="22" t="str">
        <f>IF(OR(E3689="",E3689="!!!"),"",IF(NOT(ISNA(VLOOKUP(E3689,E$1:E3688,1,FALSE()))),"OLD",IF(AND(E3689&lt;&gt;"",E3689&lt;&gt;"!!!"),"NEW","")))</f>
        <v> </v>
      </c>
      <c r="G3689" s="23" t="str">
        <f>IF(OR(E3689="",E3689="!!!"),"",IF(OR(J3689=0,AND(J3689=1,K3689=1),AND(J3689=1,I3689="SBJ"),AND(J3689=1,I3689=0)),"?IN_FOCUS",IF(J3689&lt;=2,"?ACTIVATED",IF(J3689&lt;&gt;"","?FAMILIAR",IF(F3689="NEW",IF(ISNA(VLOOKUP(E3689,#REF!,1,FALSE())),"?TYPE_IDENTIFIABLE","?REFERENTIAL"),"_")))))</f>
        <v> </v>
      </c>
      <c r="H3689" s="24" t="str">
        <f>IF(J3689&lt;&gt;1,"",IF(I3689="SBJ","CB","?"))</f>
        <v> </v>
      </c>
      <c r="I3689" s="25" t="str">
        <f>IF(OR(E3689="",E3689="!!!",F3689="NEW"),"",INDEX(B3688:B$2,-1+SUMPRODUCT(MAX(ROW(E3688:E$2)*(E3689=E3688:E$2)))))</f>
        <v> </v>
      </c>
      <c r="J3689" s="25" t="str">
        <f>IF(OR(E3689="",E3689="!!!",F3689="NEW"),"",COUNTBLANK(OFFSET(A$1,,,SUMPRODUCT(MAX(ROW(E$2:E3689)*(E3689=E$2:E3689)))))-COUNTBLANK(OFFSET(A$1,,,SUMPRODUCT(MAX(ROW(E$1:E3688)*(E2=E$1:E3688))))))</f>
        <v> </v>
      </c>
      <c r="K3689" s="25" t="str">
        <f>IF(OR(E3689="",E3689="!!!",F3689="NEW"),"",INDEX(J$1:J3688,SUMPRODUCT(MAX(ROW(E$1:E3688)*(E3689=E$1:E3688)))))</f>
        <v> </v>
      </c>
      <c r="L3689" s="26"/>
    </row>
    <row r="3690" spans="1:12">
      <c r="A3690" s="20" t="s">
        <v>2726</v>
      </c>
      <c r="E3690" s="21">
        <f>IF(D3690="?OLD","!!!","")</f>
        <v/>
      </c>
      <c r="F3690" s="22" t="str">
        <f>IF(OR(E3690="",E3690="!!!"),"",IF(NOT(ISNA(VLOOKUP(E3690,E$1:E3689,1,FALSE()))),"OLD",IF(AND(E3690&lt;&gt;"",E3690&lt;&gt;"!!!"),"NEW","")))</f>
        <v> </v>
      </c>
      <c r="G3690" s="23" t="str">
        <f>IF(OR(E3690="",E3690="!!!"),"",IF(OR(J3690=0,AND(J3690=1,K3690=1),AND(J3690=1,I3690="SBJ"),AND(J3690=1,I3690=0)),"?IN_FOCUS",IF(J3690&lt;=2,"?ACTIVATED",IF(J3690&lt;&gt;"","?FAMILIAR",IF(F3690="NEW",IF(ISNA(VLOOKUP(E3690,#REF!,1,FALSE())),"?TYPE_IDENTIFIABLE","?REFERENTIAL"),"_")))))</f>
        <v> </v>
      </c>
      <c r="H3690" s="24" t="str">
        <f>IF(J3690&lt;&gt;1,"",IF(I3690="SBJ","CB","?"))</f>
        <v> </v>
      </c>
      <c r="I3690" s="25" t="str">
        <f>IF(OR(E3690="",E3690="!!!",F3690="NEW"),"",INDEX(B3689:B$2,-1+SUMPRODUCT(MAX(ROW(E3689:E$2)*(E3690=E3689:E$2)))))</f>
        <v> </v>
      </c>
      <c r="J3690" s="25" t="str">
        <f>IF(OR(E3690="",E3690="!!!",F3690="NEW"),"",COUNTBLANK(OFFSET(A$1,,,SUMPRODUCT(MAX(ROW(E$2:E3690)*(E3690=E$2:E3690)))))-COUNTBLANK(OFFSET(A$1,,,SUMPRODUCT(MAX(ROW(E$1:E3689)*(E2=E$1:E3689))))))</f>
        <v> </v>
      </c>
      <c r="K3690" s="25" t="str">
        <f>IF(OR(E3690="",E3690="!!!",F3690="NEW"),"",INDEX(J$1:J3689,SUMPRODUCT(MAX(ROW(E$1:E3689)*(E3690=E$1:E3689)))))</f>
        <v> </v>
      </c>
      <c r="L3690" s="26"/>
    </row>
    <row r="3691" spans="1:12">
      <c r="A3691" s="20" t="s">
        <v>263</v>
      </c>
      <c r="B3691" s="27" t="s">
        <v>1149</v>
      </c>
      <c r="E3691" s="21">
        <f>IF(D3691="?OLD","!!!","")</f>
        <v/>
      </c>
      <c r="F3691" s="22" t="str">
        <f>IF(OR(E3691="",E3691="!!!"),"",IF(NOT(ISNA(VLOOKUP(E3691,E$1:E3690,1,FALSE()))),"OLD",IF(AND(E3691&lt;&gt;"",E3691&lt;&gt;"!!!"),"NEW","")))</f>
        <v> </v>
      </c>
      <c r="G3691" s="23" t="str">
        <f>IF(OR(E3691="",E3691="!!!"),"",IF(OR(J3691=0,AND(J3691=1,K3691=1),AND(J3691=1,I3691="SBJ"),AND(J3691=1,I3691=0)),"?IN_FOCUS",IF(J3691&lt;=2,"?ACTIVATED",IF(J3691&lt;&gt;"","?FAMILIAR",IF(F3691="NEW",IF(ISNA(VLOOKUP(E3691,#REF!,1,FALSE())),"?TYPE_IDENTIFIABLE","?REFERENTIAL"),"_")))))</f>
        <v> </v>
      </c>
      <c r="H3691" s="24" t="str">
        <f>IF(J3691&lt;&gt;1,"",IF(I3691="SBJ","CB","?"))</f>
        <v> </v>
      </c>
      <c r="I3691" s="25" t="str">
        <f>IF(OR(E3691="",E3691="!!!",F3691="NEW"),"",INDEX(B3690:B$2,-1+SUMPRODUCT(MAX(ROW(E3690:E$2)*(E3691=E3690:E$2)))))</f>
        <v> </v>
      </c>
      <c r="J3691" s="25" t="str">
        <f>IF(OR(E3691="",E3691="!!!",F3691="NEW"),"",COUNTBLANK(OFFSET(A$1,,,SUMPRODUCT(MAX(ROW(E$2:E3691)*(E3691=E$2:E3691)))))-COUNTBLANK(OFFSET(A$1,,,SUMPRODUCT(MAX(ROW(E$1:E3690)*(E2=E$1:E3690))))))</f>
        <v> </v>
      </c>
      <c r="K3691" s="25" t="str">
        <f>IF(OR(E3691="",E3691="!!!",F3691="NEW"),"",INDEX(J$1:J3690,SUMPRODUCT(MAX(ROW(E$1:E3690)*(E3691=E$1:E3690)))))</f>
        <v> </v>
      </c>
      <c r="L3691" s="26"/>
    </row>
    <row r="3692" spans="1:12">
      <c r="A3692" s="20" t="s">
        <v>2764</v>
      </c>
      <c r="E3692" s="21">
        <f>IF(D3692="?OLD","!!!","")</f>
        <v/>
      </c>
      <c r="F3692" s="22" t="str">
        <f>IF(OR(E3692="",E3692="!!!"),"",IF(NOT(ISNA(VLOOKUP(E3692,E$1:E3691,1,FALSE()))),"OLD",IF(AND(E3692&lt;&gt;"",E3692&lt;&gt;"!!!"),"NEW","")))</f>
        <v> </v>
      </c>
      <c r="G3692" s="23" t="str">
        <f>IF(OR(E3692="",E3692="!!!"),"",IF(OR(J3692=0,AND(J3692=1,K3692=1),AND(J3692=1,I3692="SBJ"),AND(J3692=1,I3692=0)),"?IN_FOCUS",IF(J3692&lt;=2,"?ACTIVATED",IF(J3692&lt;&gt;"","?FAMILIAR",IF(F3692="NEW",IF(ISNA(VLOOKUP(E3692,#REF!,1,FALSE())),"?TYPE_IDENTIFIABLE","?REFERENTIAL"),"_")))))</f>
        <v> </v>
      </c>
      <c r="H3692" s="24" t="str">
        <f>IF(J3692&lt;&gt;1,"",IF(I3692="SBJ","CB","?"))</f>
        <v> </v>
      </c>
      <c r="I3692" s="25" t="str">
        <f>IF(OR(E3692="",E3692="!!!",F3692="NEW"),"",INDEX(B3691:B$2,-1+SUMPRODUCT(MAX(ROW(E3691:E$2)*(E3692=E3691:E$2)))))</f>
        <v> </v>
      </c>
      <c r="J3692" s="25" t="str">
        <f>IF(OR(E3692="",E3692="!!!",F3692="NEW"),"",COUNTBLANK(OFFSET(A$1,,,SUMPRODUCT(MAX(ROW(E$2:E3692)*(E3692=E$2:E3692)))))-COUNTBLANK(OFFSET(A$1,,,SUMPRODUCT(MAX(ROW(E$1:E3691)*(E2=E$1:E3691))))))</f>
        <v> </v>
      </c>
      <c r="K3692" s="25" t="str">
        <f>IF(OR(E3692="",E3692="!!!",F3692="NEW"),"",INDEX(J$1:J3691,SUMPRODUCT(MAX(ROW(E$1:E3691)*(E3692=E$1:E3691)))))</f>
        <v> </v>
      </c>
      <c r="L3692" s="26"/>
    </row>
    <row r="3693" spans="1:12">
      <c r="A3693" s="20" t="s">
        <v>1123</v>
      </c>
      <c r="E3693" s="21">
        <f>IF(D3693="?OLD","!!!","")</f>
        <v/>
      </c>
      <c r="F3693" s="22" t="str">
        <f>IF(OR(E3693="",E3693="!!!"),"",IF(NOT(ISNA(VLOOKUP(E3693,E$1:E3692,1,FALSE()))),"OLD",IF(AND(E3693&lt;&gt;"",E3693&lt;&gt;"!!!"),"NEW","")))</f>
        <v> </v>
      </c>
      <c r="G3693" s="23" t="str">
        <f>IF(OR(E3693="",E3693="!!!"),"",IF(OR(J3693=0,AND(J3693=1,K3693=1),AND(J3693=1,I3693="SBJ"),AND(J3693=1,I3693=0)),"?IN_FOCUS",IF(J3693&lt;=2,"?ACTIVATED",IF(J3693&lt;&gt;"","?FAMILIAR",IF(F3693="NEW",IF(ISNA(VLOOKUP(E3693,#REF!,1,FALSE())),"?TYPE_IDENTIFIABLE","?REFERENTIAL"),"_")))))</f>
        <v> </v>
      </c>
      <c r="H3693" s="24" t="str">
        <f>IF(J3693&lt;&gt;1,"",IF(I3693="SBJ","CB","?"))</f>
        <v> </v>
      </c>
      <c r="I3693" s="25" t="str">
        <f>IF(OR(E3693="",E3693="!!!",F3693="NEW"),"",INDEX(B3692:B$2,-1+SUMPRODUCT(MAX(ROW(E3692:E$2)*(E3693=E3692:E$2)))))</f>
        <v> </v>
      </c>
      <c r="J3693" s="25" t="str">
        <f>IF(OR(E3693="",E3693="!!!",F3693="NEW"),"",COUNTBLANK(OFFSET(A$1,,,SUMPRODUCT(MAX(ROW(E$2:E3693)*(E3693=E$2:E3693)))))-COUNTBLANK(OFFSET(A$1,,,SUMPRODUCT(MAX(ROW(E$1:E3692)*(E2=E$1:E3692))))))</f>
        <v> </v>
      </c>
      <c r="K3693" s="25" t="str">
        <f>IF(OR(E3693="",E3693="!!!",F3693="NEW"),"",INDEX(J$1:J3692,SUMPRODUCT(MAX(ROW(E$1:E3692)*(E3693=E$1:E3692)))))</f>
        <v> </v>
      </c>
      <c r="L3693" s="26"/>
    </row>
    <row r="3694" spans="1:12">
      <c r="A3694" s="20" t="s">
        <v>1128</v>
      </c>
      <c r="E3694" s="21">
        <f>IF(D3694="?OLD","!!!","")</f>
        <v/>
      </c>
      <c r="F3694" s="22" t="str">
        <f>IF(OR(E3694="",E3694="!!!"),"",IF(NOT(ISNA(VLOOKUP(E3694,E$1:E3693,1,FALSE()))),"OLD",IF(AND(E3694&lt;&gt;"",E3694&lt;&gt;"!!!"),"NEW","")))</f>
        <v> </v>
      </c>
      <c r="G3694" s="23" t="str">
        <f>IF(OR(E3694="",E3694="!!!"),"",IF(OR(J3694=0,AND(J3694=1,K3694=1),AND(J3694=1,I3694="SBJ"),AND(J3694=1,I3694=0)),"?IN_FOCUS",IF(J3694&lt;=2,"?ACTIVATED",IF(J3694&lt;&gt;"","?FAMILIAR",IF(F3694="NEW",IF(ISNA(VLOOKUP(E3694,#REF!,1,FALSE())),"?TYPE_IDENTIFIABLE","?REFERENTIAL"),"_")))))</f>
        <v> </v>
      </c>
      <c r="H3694" s="24" t="str">
        <f>IF(J3694&lt;&gt;1,"",IF(I3694="SBJ","CB","?"))</f>
        <v> </v>
      </c>
      <c r="I3694" s="25" t="str">
        <f>IF(OR(E3694="",E3694="!!!",F3694="NEW"),"",INDEX(B3693:B$2,-1+SUMPRODUCT(MAX(ROW(E3693:E$2)*(E3694=E3693:E$2)))))</f>
        <v> </v>
      </c>
      <c r="J3694" s="25" t="str">
        <f>IF(OR(E3694="",E3694="!!!",F3694="NEW"),"",COUNTBLANK(OFFSET(A$1,,,SUMPRODUCT(MAX(ROW(E$2:E3694)*(E3694=E$2:E3694)))))-COUNTBLANK(OFFSET(A$1,,,SUMPRODUCT(MAX(ROW(E$1:E3693)*(E2=E$1:E3693))))))</f>
        <v> </v>
      </c>
      <c r="K3694" s="25" t="str">
        <f>IF(OR(E3694="",E3694="!!!",F3694="NEW"),"",INDEX(J$1:J3693,SUMPRODUCT(MAX(ROW(E$1:E3693)*(E3694=E$1:E3693)))))</f>
        <v> </v>
      </c>
      <c r="L3694" s="26"/>
    </row>
    <row r="3695" spans="1:12">
      <c r="A3695" s="20" t="s">
        <v>2524</v>
      </c>
      <c r="B3695" s="27" t="s">
        <v>1122</v>
      </c>
      <c r="E3695" s="21">
        <f>IF(D3695="?OLD","!!!","")</f>
        <v/>
      </c>
      <c r="F3695" s="22" t="str">
        <f>IF(OR(E3695="",E3695="!!!"),"",IF(NOT(ISNA(VLOOKUP(E3695,E$1:E3694,1,FALSE()))),"OLD",IF(AND(E3695&lt;&gt;"",E3695&lt;&gt;"!!!"),"NEW","")))</f>
        <v> </v>
      </c>
      <c r="G3695" s="23" t="str">
        <f>IF(OR(E3695="",E3695="!!!"),"",IF(OR(J3695=0,AND(J3695=1,K3695=1),AND(J3695=1,I3695="SBJ"),AND(J3695=1,I3695=0)),"?IN_FOCUS",IF(J3695&lt;=2,"?ACTIVATED",IF(J3695&lt;&gt;"","?FAMILIAR",IF(F3695="NEW",IF(ISNA(VLOOKUP(E3695,#REF!,1,FALSE())),"?TYPE_IDENTIFIABLE","?REFERENTIAL"),"_")))))</f>
        <v> </v>
      </c>
      <c r="H3695" s="24" t="str">
        <f>IF(J3695&lt;&gt;1,"",IF(I3695="SBJ","CB","?"))</f>
        <v> </v>
      </c>
      <c r="I3695" s="25" t="str">
        <f>IF(OR(E3695="",E3695="!!!",F3695="NEW"),"",INDEX(B3694:B$2,-1+SUMPRODUCT(MAX(ROW(E3694:E$2)*(E3695=E3694:E$2)))))</f>
        <v> </v>
      </c>
      <c r="J3695" s="25" t="str">
        <f>IF(OR(E3695="",E3695="!!!",F3695="NEW"),"",COUNTBLANK(OFFSET(A$1,,,SUMPRODUCT(MAX(ROW(E$2:E3695)*(E3695=E$2:E3695)))))-COUNTBLANK(OFFSET(A$1,,,SUMPRODUCT(MAX(ROW(E$1:E3694)*(E2=E$1:E3694))))))</f>
        <v> </v>
      </c>
      <c r="K3695" s="25" t="str">
        <f>IF(OR(E3695="",E3695="!!!",F3695="NEW"),"",INDEX(J$1:J3694,SUMPRODUCT(MAX(ROW(E$1:E3694)*(E3695=E$1:E3694)))))</f>
        <v> </v>
      </c>
      <c r="L3695" s="26"/>
    </row>
    <row r="3696" spans="1:12">
      <c r="A3696" s="20" t="s">
        <v>1507</v>
      </c>
      <c r="B3696" s="27" t="s">
        <v>1110</v>
      </c>
      <c r="C3696" s="27" t="s">
        <v>1108</v>
      </c>
      <c r="D3696" s="27" t="s">
        <v>1105</v>
      </c>
      <c r="E3696" s="21">
        <f>IF(D3696="?OLD","!!!","")</f>
        <v/>
      </c>
      <c r="F3696" s="22" t="str">
        <f>IF(OR(E3696="",E3696="!!!"),"",IF(NOT(ISNA(VLOOKUP(E3696,E$1:E3695,1,FALSE()))),"OLD",IF(AND(E3696&lt;&gt;"",E3696&lt;&gt;"!!!"),"NEW","")))</f>
        <v> </v>
      </c>
      <c r="G3696" s="23" t="str">
        <f>IF(OR(E3696="",E3696="!!!"),"",IF(OR(J3696=0,AND(J3696=1,K3696=1),AND(J3696=1,I3696="SBJ"),AND(J3696=1,I3696=0)),"?IN_FOCUS",IF(J3696&lt;=2,"?ACTIVATED",IF(J3696&lt;&gt;"","?FAMILIAR",IF(F3696="NEW",IF(ISNA(VLOOKUP(E3696,#REF!,1,FALSE())),"?TYPE_IDENTIFIABLE","?REFERENTIAL"),"_")))))</f>
        <v> </v>
      </c>
      <c r="H3696" s="24" t="str">
        <f>IF(J3696&lt;&gt;1,"",IF(I3696="SBJ","CB","?"))</f>
        <v> </v>
      </c>
      <c r="I3696" s="25" t="str">
        <f>IF(OR(E3696="",E3696="!!!",F3696="NEW"),"",INDEX(B3695:B$2,-1+SUMPRODUCT(MAX(ROW(E3695:E$2)*(E3696=E3695:E$2)))))</f>
        <v> </v>
      </c>
      <c r="J3696" s="25" t="str">
        <f>IF(OR(E3696="",E3696="!!!",F3696="NEW"),"",COUNTBLANK(OFFSET(A$1,,,SUMPRODUCT(MAX(ROW(E$2:E3696)*(E3696=E$2:E3696)))))-COUNTBLANK(OFFSET(A$1,,,SUMPRODUCT(MAX(ROW(E$1:E3695)*(E2=E$1:E3695))))))</f>
        <v> </v>
      </c>
      <c r="K3696" s="25" t="str">
        <f>IF(OR(E3696="",E3696="!!!",F3696="NEW"),"",INDEX(J$1:J3695,SUMPRODUCT(MAX(ROW(E$1:E3695)*(E3696=E$1:E3695)))))</f>
        <v> </v>
      </c>
      <c r="L3696" s="26"/>
    </row>
    <row r="3697" spans="1:12">
      <c r="A3697" s="20" t="s">
        <v>2765</v>
      </c>
      <c r="E3697" s="21">
        <f>IF(D3697="?OLD","!!!","")</f>
        <v/>
      </c>
      <c r="F3697" s="22" t="str">
        <f>IF(OR(E3697="",E3697="!!!"),"",IF(NOT(ISNA(VLOOKUP(E3697,E$1:E3696,1,FALSE()))),"OLD",IF(AND(E3697&lt;&gt;"",E3697&lt;&gt;"!!!"),"NEW","")))</f>
        <v> </v>
      </c>
      <c r="G3697" s="23" t="str">
        <f>IF(OR(E3697="",E3697="!!!"),"",IF(OR(J3697=0,AND(J3697=1,K3697=1),AND(J3697=1,I3697="SBJ"),AND(J3697=1,I3697=0)),"?IN_FOCUS",IF(J3697&lt;=2,"?ACTIVATED",IF(J3697&lt;&gt;"","?FAMILIAR",IF(F3697="NEW",IF(ISNA(VLOOKUP(E3697,#REF!,1,FALSE())),"?TYPE_IDENTIFIABLE","?REFERENTIAL"),"_")))))</f>
        <v> </v>
      </c>
      <c r="H3697" s="24" t="str">
        <f>IF(J3697&lt;&gt;1,"",IF(I3697="SBJ","CB","?"))</f>
        <v> </v>
      </c>
      <c r="I3697" s="25" t="str">
        <f>IF(OR(E3697="",E3697="!!!",F3697="NEW"),"",INDEX(B3696:B$2,-1+SUMPRODUCT(MAX(ROW(E3696:E$2)*(E3697=E3696:E$2)))))</f>
        <v> </v>
      </c>
      <c r="J3697" s="25" t="str">
        <f>IF(OR(E3697="",E3697="!!!",F3697="NEW"),"",COUNTBLANK(OFFSET(A$1,,,SUMPRODUCT(MAX(ROW(E$2:E3697)*(E3697=E$2:E3697)))))-COUNTBLANK(OFFSET(A$1,,,SUMPRODUCT(MAX(ROW(E$1:E3696)*(E2=E$1:E3696))))))</f>
        <v> </v>
      </c>
      <c r="K3697" s="25" t="str">
        <f>IF(OR(E3697="",E3697="!!!",F3697="NEW"),"",INDEX(J$1:J3696,SUMPRODUCT(MAX(ROW(E$1:E3696)*(E3697=E$1:E3696)))))</f>
        <v> </v>
      </c>
      <c r="L3697" s="26"/>
    </row>
    <row r="3698" spans="1:12">
      <c r="A3698" s="20" t="s">
        <v>1270</v>
      </c>
      <c r="B3698" s="27" t="s">
        <v>1243</v>
      </c>
      <c r="C3698" s="27" t="s">
        <v>1126</v>
      </c>
      <c r="D3698" s="27" t="s">
        <v>1105</v>
      </c>
      <c r="E3698" s="21">
        <f>IF(D3698="?OLD","!!!","")</f>
        <v/>
      </c>
      <c r="F3698" s="22" t="str">
        <f>IF(OR(E3698="",E3698="!!!"),"",IF(NOT(ISNA(VLOOKUP(E3698,E$1:E3697,1,FALSE()))),"OLD",IF(AND(E3698&lt;&gt;"",E3698&lt;&gt;"!!!"),"NEW","")))</f>
        <v> </v>
      </c>
      <c r="G3698" s="23" t="str">
        <f>IF(OR(E3698="",E3698="!!!"),"",IF(OR(J3698=0,AND(J3698=1,K3698=1),AND(J3698=1,I3698="SBJ"),AND(J3698=1,I3698=0)),"?IN_FOCUS",IF(J3698&lt;=2,"?ACTIVATED",IF(J3698&lt;&gt;"","?FAMILIAR",IF(F3698="NEW",IF(ISNA(VLOOKUP(E3698,#REF!,1,FALSE())),"?TYPE_IDENTIFIABLE","?REFERENTIAL"),"_")))))</f>
        <v> </v>
      </c>
      <c r="H3698" s="24" t="str">
        <f>IF(J3698&lt;&gt;1,"",IF(I3698="SBJ","CB","?"))</f>
        <v> </v>
      </c>
      <c r="I3698" s="25" t="str">
        <f>IF(OR(E3698="",E3698="!!!",F3698="NEW"),"",INDEX(B3697:B$2,-1+SUMPRODUCT(MAX(ROW(E3697:E$2)*(E3698=E3697:E$2)))))</f>
        <v> </v>
      </c>
      <c r="J3698" s="25" t="str">
        <f>IF(OR(E3698="",E3698="!!!",F3698="NEW"),"",COUNTBLANK(OFFSET(A$1,,,SUMPRODUCT(MAX(ROW(E$2:E3698)*(E3698=E$2:E3698)))))-COUNTBLANK(OFFSET(A$1,,,SUMPRODUCT(MAX(ROW(E$1:E3697)*(E2=E$1:E3697))))))</f>
        <v> </v>
      </c>
      <c r="K3698" s="25" t="str">
        <f>IF(OR(E3698="",E3698="!!!",F3698="NEW"),"",INDEX(J$1:J3697,SUMPRODUCT(MAX(ROW(E$1:E3697)*(E3698=E$1:E3697)))))</f>
        <v> </v>
      </c>
      <c r="L3698" s="26"/>
    </row>
    <row r="3699" spans="1:12">
      <c r="A3699" s="20" t="s">
        <v>1271</v>
      </c>
      <c r="E3699" s="21">
        <f>IF(D3699="?OLD","!!!","")</f>
        <v/>
      </c>
      <c r="F3699" s="22" t="str">
        <f>IF(OR(E3699="",E3699="!!!"),"",IF(NOT(ISNA(VLOOKUP(E3699,E$1:E3698,1,FALSE()))),"OLD",IF(AND(E3699&lt;&gt;"",E3699&lt;&gt;"!!!"),"NEW","")))</f>
        <v> </v>
      </c>
      <c r="G3699" s="23" t="str">
        <f>IF(OR(E3699="",E3699="!!!"),"",IF(OR(J3699=0,AND(J3699=1,K3699=1),AND(J3699=1,I3699="SBJ"),AND(J3699=1,I3699=0)),"?IN_FOCUS",IF(J3699&lt;=2,"?ACTIVATED",IF(J3699&lt;&gt;"","?FAMILIAR",IF(F3699="NEW",IF(ISNA(VLOOKUP(E3699,#REF!,1,FALSE())),"?TYPE_IDENTIFIABLE","?REFERENTIAL"),"_")))))</f>
        <v> </v>
      </c>
      <c r="H3699" s="24" t="str">
        <f>IF(J3699&lt;&gt;1,"",IF(I3699="SBJ","CB","?"))</f>
        <v> </v>
      </c>
      <c r="I3699" s="25" t="str">
        <f>IF(OR(E3699="",E3699="!!!",F3699="NEW"),"",INDEX(B3698:B$2,-1+SUMPRODUCT(MAX(ROW(E3698:E$2)*(E3699=E3698:E$2)))))</f>
        <v> </v>
      </c>
      <c r="J3699" s="25" t="str">
        <f>IF(OR(E3699="",E3699="!!!",F3699="NEW"),"",COUNTBLANK(OFFSET(A$1,,,SUMPRODUCT(MAX(ROW(E$2:E3699)*(E3699=E$2:E3699)))))-COUNTBLANK(OFFSET(A$1,,,SUMPRODUCT(MAX(ROW(E$1:E3698)*(E2=E$1:E3698))))))</f>
        <v> </v>
      </c>
      <c r="K3699" s="25" t="str">
        <f>IF(OR(E3699="",E3699="!!!",F3699="NEW"),"",INDEX(J$1:J3698,SUMPRODUCT(MAX(ROW(E$1:E3698)*(E3699=E$1:E3698)))))</f>
        <v> </v>
      </c>
      <c r="L3699" s="26"/>
    </row>
    <row r="3700" spans="1:12">
      <c r="A3700" s="20" t="s">
        <v>2282</v>
      </c>
      <c r="E3700" s="21">
        <f>IF(D3700="?OLD","!!!","")</f>
        <v/>
      </c>
      <c r="F3700" s="22" t="str">
        <f>IF(OR(E3700="",E3700="!!!"),"",IF(NOT(ISNA(VLOOKUP(E3700,E$1:E3699,1,FALSE()))),"OLD",IF(AND(E3700&lt;&gt;"",E3700&lt;&gt;"!!!"),"NEW","")))</f>
        <v> </v>
      </c>
      <c r="G3700" s="23" t="str">
        <f>IF(OR(E3700="",E3700="!!!"),"",IF(OR(J3700=0,AND(J3700=1,K3700=1),AND(J3700=1,I3700="SBJ"),AND(J3700=1,I3700=0)),"?IN_FOCUS",IF(J3700&lt;=2,"?ACTIVATED",IF(J3700&lt;&gt;"","?FAMILIAR",IF(F3700="NEW",IF(ISNA(VLOOKUP(E3700,#REF!,1,FALSE())),"?TYPE_IDENTIFIABLE","?REFERENTIAL"),"_")))))</f>
        <v> </v>
      </c>
      <c r="H3700" s="24" t="str">
        <f>IF(J3700&lt;&gt;1,"",IF(I3700="SBJ","CB","?"))</f>
        <v> </v>
      </c>
      <c r="I3700" s="25" t="str">
        <f>IF(OR(E3700="",E3700="!!!",F3700="NEW"),"",INDEX(B3699:B$2,-1+SUMPRODUCT(MAX(ROW(E3699:E$2)*(E3700=E3699:E$2)))))</f>
        <v> </v>
      </c>
      <c r="J3700" s="25" t="str">
        <f>IF(OR(E3700="",E3700="!!!",F3700="NEW"),"",COUNTBLANK(OFFSET(A$1,,,SUMPRODUCT(MAX(ROW(E$2:E3700)*(E3700=E$2:E3700)))))-COUNTBLANK(OFFSET(A$1,,,SUMPRODUCT(MAX(ROW(E$1:E3699)*(E2=E$1:E3699))))))</f>
        <v> </v>
      </c>
      <c r="K3700" s="25" t="str">
        <f>IF(OR(E3700="",E3700="!!!",F3700="NEW"),"",INDEX(J$1:J3699,SUMPRODUCT(MAX(ROW(E$1:E3699)*(E3700=E$1:E3699)))))</f>
        <v> </v>
      </c>
      <c r="L3700" s="26"/>
    </row>
    <row r="3701" spans="1:12">
      <c r="A3701" s="20" t="s">
        <v>2766</v>
      </c>
      <c r="B3701" s="27" t="s">
        <v>1107</v>
      </c>
      <c r="C3701" s="27" t="s">
        <v>1156</v>
      </c>
      <c r="D3701" s="27" t="s">
        <v>1105</v>
      </c>
      <c r="E3701" s="21">
        <f>IF(D3701="?OLD","!!!","")</f>
        <v/>
      </c>
      <c r="F3701" s="22" t="str">
        <f>IF(OR(E3701="",E3701="!!!"),"",IF(NOT(ISNA(VLOOKUP(E3701,E$1:E3700,1,FALSE()))),"OLD",IF(AND(E3701&lt;&gt;"",E3701&lt;&gt;"!!!"),"NEW","")))</f>
        <v> </v>
      </c>
      <c r="G3701" s="23" t="str">
        <f>IF(OR(E3701="",E3701="!!!"),"",IF(OR(J3701=0,AND(J3701=1,K3701=1),AND(J3701=1,I3701="SBJ"),AND(J3701=1,I3701=0)),"?IN_FOCUS",IF(J3701&lt;=2,"?ACTIVATED",IF(J3701&lt;&gt;"","?FAMILIAR",IF(F3701="NEW",IF(ISNA(VLOOKUP(E3701,#REF!,1,FALSE())),"?TYPE_IDENTIFIABLE","?REFERENTIAL"),"_")))))</f>
        <v> </v>
      </c>
      <c r="H3701" s="24" t="str">
        <f>IF(J3701&lt;&gt;1,"",IF(I3701="SBJ","CB","?"))</f>
        <v> </v>
      </c>
      <c r="I3701" s="25" t="str">
        <f>IF(OR(E3701="",E3701="!!!",F3701="NEW"),"",INDEX(B3700:B$2,-1+SUMPRODUCT(MAX(ROW(E3700:E$2)*(E3701=E3700:E$2)))))</f>
        <v> </v>
      </c>
      <c r="J3701" s="25" t="str">
        <f>IF(OR(E3701="",E3701="!!!",F3701="NEW"),"",COUNTBLANK(OFFSET(A$1,,,SUMPRODUCT(MAX(ROW(E$2:E3701)*(E3701=E$2:E3701)))))-COUNTBLANK(OFFSET(A$1,,,SUMPRODUCT(MAX(ROW(E$1:E3700)*(E2=E$1:E3700))))))</f>
        <v> </v>
      </c>
      <c r="K3701" s="25" t="str">
        <f>IF(OR(E3701="",E3701="!!!",F3701="NEW"),"",INDEX(J$1:J3700,SUMPRODUCT(MAX(ROW(E$1:E3700)*(E3701=E$1:E3700)))))</f>
        <v> </v>
      </c>
      <c r="L3701" s="26"/>
    </row>
    <row r="3702" spans="1:12">
      <c r="A3702" s="20" t="s">
        <v>1123</v>
      </c>
      <c r="E3702" s="21">
        <f>IF(D3702="?OLD","!!!","")</f>
        <v/>
      </c>
      <c r="F3702" s="22" t="str">
        <f>IF(OR(E3702="",E3702="!!!"),"",IF(NOT(ISNA(VLOOKUP(E3702,E$1:E3701,1,FALSE()))),"OLD",IF(AND(E3702&lt;&gt;"",E3702&lt;&gt;"!!!"),"NEW","")))</f>
        <v> </v>
      </c>
      <c r="G3702" s="23" t="str">
        <f>IF(OR(E3702="",E3702="!!!"),"",IF(OR(J3702=0,AND(J3702=1,K3702=1),AND(J3702=1,I3702="SBJ"),AND(J3702=1,I3702=0)),"?IN_FOCUS",IF(J3702&lt;=2,"?ACTIVATED",IF(J3702&lt;&gt;"","?FAMILIAR",IF(F3702="NEW",IF(ISNA(VLOOKUP(E3702,#REF!,1,FALSE())),"?TYPE_IDENTIFIABLE","?REFERENTIAL"),"_")))))</f>
        <v> </v>
      </c>
      <c r="H3702" s="24" t="str">
        <f>IF(J3702&lt;&gt;1,"",IF(I3702="SBJ","CB","?"))</f>
        <v> </v>
      </c>
      <c r="I3702" s="25" t="str">
        <f>IF(OR(E3702="",E3702="!!!",F3702="NEW"),"",INDEX(B3701:B$2,-1+SUMPRODUCT(MAX(ROW(E3701:E$2)*(E3702=E3701:E$2)))))</f>
        <v> </v>
      </c>
      <c r="J3702" s="25" t="str">
        <f>IF(OR(E3702="",E3702="!!!",F3702="NEW"),"",COUNTBLANK(OFFSET(A$1,,,SUMPRODUCT(MAX(ROW(E$2:E3702)*(E3702=E$2:E3702)))))-COUNTBLANK(OFFSET(A$1,,,SUMPRODUCT(MAX(ROW(E$1:E3701)*(E2=E$1:E3701))))))</f>
        <v> </v>
      </c>
      <c r="K3702" s="25" t="str">
        <f>IF(OR(E3702="",E3702="!!!",F3702="NEW"),"",INDEX(J$1:J3701,SUMPRODUCT(MAX(ROW(E$1:E3701)*(E3702=E$1:E3701)))))</f>
        <v> </v>
      </c>
      <c r="L3702" s="26"/>
    </row>
    <row r="3703" spans="1:12">
      <c r="A3703" s="20" t="s">
        <v>228</v>
      </c>
      <c r="E3703" s="21">
        <f>IF(D3703="?OLD","!!!","")</f>
        <v/>
      </c>
      <c r="F3703" s="22" t="str">
        <f>IF(OR(E3703="",E3703="!!!"),"",IF(NOT(ISNA(VLOOKUP(E3703,E$1:E3702,1,FALSE()))),"OLD",IF(AND(E3703&lt;&gt;"",E3703&lt;&gt;"!!!"),"NEW","")))</f>
        <v> </v>
      </c>
      <c r="G3703" s="23" t="str">
        <f>IF(OR(E3703="",E3703="!!!"),"",IF(OR(J3703=0,AND(J3703=1,K3703=1),AND(J3703=1,I3703="SBJ"),AND(J3703=1,I3703=0)),"?IN_FOCUS",IF(J3703&lt;=2,"?ACTIVATED",IF(J3703&lt;&gt;"","?FAMILIAR",IF(F3703="NEW",IF(ISNA(VLOOKUP(E3703,#REF!,1,FALSE())),"?TYPE_IDENTIFIABLE","?REFERENTIAL"),"_")))))</f>
        <v> </v>
      </c>
      <c r="H3703" s="24" t="str">
        <f>IF(J3703&lt;&gt;1,"",IF(I3703="SBJ","CB","?"))</f>
        <v> </v>
      </c>
      <c r="I3703" s="25" t="str">
        <f>IF(OR(E3703="",E3703="!!!",F3703="NEW"),"",INDEX(B3702:B$2,-1+SUMPRODUCT(MAX(ROW(E3702:E$2)*(E3703=E3702:E$2)))))</f>
        <v> </v>
      </c>
      <c r="J3703" s="25" t="str">
        <f>IF(OR(E3703="",E3703="!!!",F3703="NEW"),"",COUNTBLANK(OFFSET(A$1,,,SUMPRODUCT(MAX(ROW(E$2:E3703)*(E3703=E$2:E3703)))))-COUNTBLANK(OFFSET(A$1,,,SUMPRODUCT(MAX(ROW(E$1:E3702)*(E2=E$1:E3702))))))</f>
        <v> </v>
      </c>
      <c r="K3703" s="25" t="str">
        <f>IF(OR(E3703="",E3703="!!!",F3703="NEW"),"",INDEX(J$1:J3702,SUMPRODUCT(MAX(ROW(E$1:E3702)*(E3703=E$1:E3702)))))</f>
        <v> </v>
      </c>
      <c r="L3703" s="26"/>
    </row>
    <row r="3704" spans="1:12">
      <c r="A3704" s="20" t="s">
        <v>2767</v>
      </c>
      <c r="E3704" s="21">
        <f>IF(D3704="?OLD","!!!","")</f>
        <v/>
      </c>
      <c r="F3704" s="22" t="str">
        <f>IF(OR(E3704="",E3704="!!!"),"",IF(NOT(ISNA(VLOOKUP(E3704,E$1:E3703,1,FALSE()))),"OLD",IF(AND(E3704&lt;&gt;"",E3704&lt;&gt;"!!!"),"NEW","")))</f>
        <v> </v>
      </c>
      <c r="G3704" s="23" t="str">
        <f>IF(OR(E3704="",E3704="!!!"),"",IF(OR(J3704=0,AND(J3704=1,K3704=1),AND(J3704=1,I3704="SBJ"),AND(J3704=1,I3704=0)),"?IN_FOCUS",IF(J3704&lt;=2,"?ACTIVATED",IF(J3704&lt;&gt;"","?FAMILIAR",IF(F3704="NEW",IF(ISNA(VLOOKUP(E3704,#REF!,1,FALSE())),"?TYPE_IDENTIFIABLE","?REFERENTIAL"),"_")))))</f>
        <v> </v>
      </c>
      <c r="H3704" s="24" t="str">
        <f>IF(J3704&lt;&gt;1,"",IF(I3704="SBJ","CB","?"))</f>
        <v> </v>
      </c>
      <c r="I3704" s="25" t="str">
        <f>IF(OR(E3704="",E3704="!!!",F3704="NEW"),"",INDEX(B3703:B$2,-1+SUMPRODUCT(MAX(ROW(E3703:E$2)*(E3704=E3703:E$2)))))</f>
        <v> </v>
      </c>
      <c r="J3704" s="25" t="str">
        <f>IF(OR(E3704="",E3704="!!!",F3704="NEW"),"",COUNTBLANK(OFFSET(A$1,,,SUMPRODUCT(MAX(ROW(E$2:E3704)*(E3704=E$2:E3704)))))-COUNTBLANK(OFFSET(A$1,,,SUMPRODUCT(MAX(ROW(E$1:E3703)*(E2=E$1:E3703))))))</f>
        <v> </v>
      </c>
      <c r="K3704" s="25" t="str">
        <f>IF(OR(E3704="",E3704="!!!",F3704="NEW"),"",INDEX(J$1:J3703,SUMPRODUCT(MAX(ROW(E$1:E3703)*(E3704=E$1:E3703)))))</f>
        <v> </v>
      </c>
      <c r="L3704" s="26"/>
    </row>
    <row r="3705" spans="1:12">
      <c r="A3705" s="20" t="s">
        <v>2768</v>
      </c>
      <c r="B3705" s="27" t="s">
        <v>1125</v>
      </c>
      <c r="E3705" s="21">
        <f>IF(D3705="?OLD","!!!","")</f>
        <v/>
      </c>
      <c r="F3705" s="22" t="str">
        <f>IF(OR(E3705="",E3705="!!!"),"",IF(NOT(ISNA(VLOOKUP(E3705,E$1:E3704,1,FALSE()))),"OLD",IF(AND(E3705&lt;&gt;"",E3705&lt;&gt;"!!!"),"NEW","")))</f>
        <v> </v>
      </c>
      <c r="G3705" s="23" t="str">
        <f>IF(OR(E3705="",E3705="!!!"),"",IF(OR(J3705=0,AND(J3705=1,K3705=1),AND(J3705=1,I3705="SBJ"),AND(J3705=1,I3705=0)),"?IN_FOCUS",IF(J3705&lt;=2,"?ACTIVATED",IF(J3705&lt;&gt;"","?FAMILIAR",IF(F3705="NEW",IF(ISNA(VLOOKUP(E3705,#REF!,1,FALSE())),"?TYPE_IDENTIFIABLE","?REFERENTIAL"),"_")))))</f>
        <v> </v>
      </c>
      <c r="H3705" s="24" t="str">
        <f>IF(J3705&lt;&gt;1,"",IF(I3705="SBJ","CB","?"))</f>
        <v> </v>
      </c>
      <c r="I3705" s="25" t="str">
        <f>IF(OR(E3705="",E3705="!!!",F3705="NEW"),"",INDEX(B3704:B$2,-1+SUMPRODUCT(MAX(ROW(E3704:E$2)*(E3705=E3704:E$2)))))</f>
        <v> </v>
      </c>
      <c r="J3705" s="25" t="str">
        <f>IF(OR(E3705="",E3705="!!!",F3705="NEW"),"",COUNTBLANK(OFFSET(A$1,,,SUMPRODUCT(MAX(ROW(E$2:E3705)*(E3705=E$2:E3705)))))-COUNTBLANK(OFFSET(A$1,,,SUMPRODUCT(MAX(ROW(E$1:E3704)*(E2=E$1:E3704))))))</f>
        <v> </v>
      </c>
      <c r="K3705" s="25" t="str">
        <f>IF(OR(E3705="",E3705="!!!",F3705="NEW"),"",INDEX(J$1:J3704,SUMPRODUCT(MAX(ROW(E$1:E3704)*(E3705=E$1:E3704)))))</f>
        <v> </v>
      </c>
      <c r="L3705" s="26"/>
    </row>
    <row r="3706" spans="1:12">
      <c r="A3706" s="20" t="s">
        <v>1123</v>
      </c>
      <c r="E3706" s="21">
        <f>IF(D3706="?OLD","!!!","")</f>
        <v/>
      </c>
      <c r="F3706" s="22" t="str">
        <f>IF(OR(E3706="",E3706="!!!"),"",IF(NOT(ISNA(VLOOKUP(E3706,E$1:E3705,1,FALSE()))),"OLD",IF(AND(E3706&lt;&gt;"",E3706&lt;&gt;"!!!"),"NEW","")))</f>
        <v> </v>
      </c>
      <c r="G3706" s="23" t="str">
        <f>IF(OR(E3706="",E3706="!!!"),"",IF(OR(J3706=0,AND(J3706=1,K3706=1),AND(J3706=1,I3706="SBJ"),AND(J3706=1,I3706=0)),"?IN_FOCUS",IF(J3706&lt;=2,"?ACTIVATED",IF(J3706&lt;&gt;"","?FAMILIAR",IF(F3706="NEW",IF(ISNA(VLOOKUP(E3706,#REF!,1,FALSE())),"?TYPE_IDENTIFIABLE","?REFERENTIAL"),"_")))))</f>
        <v> </v>
      </c>
      <c r="H3706" s="24" t="str">
        <f>IF(J3706&lt;&gt;1,"",IF(I3706="SBJ","CB","?"))</f>
        <v> </v>
      </c>
      <c r="I3706" s="25" t="str">
        <f>IF(OR(E3706="",E3706="!!!",F3706="NEW"),"",INDEX(B3705:B$2,-1+SUMPRODUCT(MAX(ROW(E3705:E$2)*(E3706=E3705:E$2)))))</f>
        <v> </v>
      </c>
      <c r="J3706" s="25" t="str">
        <f>IF(OR(E3706="",E3706="!!!",F3706="NEW"),"",COUNTBLANK(OFFSET(A$1,,,SUMPRODUCT(MAX(ROW(E$2:E3706)*(E3706=E$2:E3706)))))-COUNTBLANK(OFFSET(A$1,,,SUMPRODUCT(MAX(ROW(E$1:E3705)*(E2=E$1:E3705))))))</f>
        <v> </v>
      </c>
      <c r="K3706" s="25" t="str">
        <f>IF(OR(E3706="",E3706="!!!",F3706="NEW"),"",INDEX(J$1:J3705,SUMPRODUCT(MAX(ROW(E$1:E3705)*(E3706=E$1:E3705)))))</f>
        <v> </v>
      </c>
      <c r="L3706" s="26"/>
    </row>
    <row r="3707" spans="1:12">
      <c r="A3707" s="20" t="s">
        <v>2769</v>
      </c>
      <c r="E3707" s="21">
        <f>IF(D3707="?OLD","!!!","")</f>
        <v/>
      </c>
      <c r="F3707" s="22" t="str">
        <f>IF(OR(E3707="",E3707="!!!"),"",IF(NOT(ISNA(VLOOKUP(E3707,E$1:E3706,1,FALSE()))),"OLD",IF(AND(E3707&lt;&gt;"",E3707&lt;&gt;"!!!"),"NEW","")))</f>
        <v> </v>
      </c>
      <c r="G3707" s="23" t="str">
        <f>IF(OR(E3707="",E3707="!!!"),"",IF(OR(J3707=0,AND(J3707=1,K3707=1),AND(J3707=1,I3707="SBJ"),AND(J3707=1,I3707=0)),"?IN_FOCUS",IF(J3707&lt;=2,"?ACTIVATED",IF(J3707&lt;&gt;"","?FAMILIAR",IF(F3707="NEW",IF(ISNA(VLOOKUP(E3707,#REF!,1,FALSE())),"?TYPE_IDENTIFIABLE","?REFERENTIAL"),"_")))))</f>
        <v> </v>
      </c>
      <c r="H3707" s="24" t="str">
        <f>IF(J3707&lt;&gt;1,"",IF(I3707="SBJ","CB","?"))</f>
        <v> </v>
      </c>
      <c r="I3707" s="25" t="str">
        <f>IF(OR(E3707="",E3707="!!!",F3707="NEW"),"",INDEX(B3706:B$2,-1+SUMPRODUCT(MAX(ROW(E3706:E$2)*(E3707=E3706:E$2)))))</f>
        <v> </v>
      </c>
      <c r="J3707" s="25" t="str">
        <f>IF(OR(E3707="",E3707="!!!",F3707="NEW"),"",COUNTBLANK(OFFSET(A$1,,,SUMPRODUCT(MAX(ROW(E$2:E3707)*(E3707=E$2:E3707)))))-COUNTBLANK(OFFSET(A$1,,,SUMPRODUCT(MAX(ROW(E$1:E3706)*(E2=E$1:E3706))))))</f>
        <v> </v>
      </c>
      <c r="K3707" s="25" t="str">
        <f>IF(OR(E3707="",E3707="!!!",F3707="NEW"),"",INDEX(J$1:J3706,SUMPRODUCT(MAX(ROW(E$1:E3706)*(E3707=E$1:E3706)))))</f>
        <v> </v>
      </c>
      <c r="L3707" s="26"/>
    </row>
    <row r="3708" spans="1:12">
      <c r="A3708" s="20" t="s">
        <v>1824</v>
      </c>
      <c r="E3708" s="21">
        <f>IF(D3708="?OLD","!!!","")</f>
        <v/>
      </c>
      <c r="F3708" s="22" t="str">
        <f>IF(OR(E3708="",E3708="!!!"),"",IF(NOT(ISNA(VLOOKUP(E3708,E$1:E3707,1,FALSE()))),"OLD",IF(AND(E3708&lt;&gt;"",E3708&lt;&gt;"!!!"),"NEW","")))</f>
        <v> </v>
      </c>
      <c r="G3708" s="23" t="str">
        <f>IF(OR(E3708="",E3708="!!!"),"",IF(OR(J3708=0,AND(J3708=1,K3708=1),AND(J3708=1,I3708="SBJ"),AND(J3708=1,I3708=0)),"?IN_FOCUS",IF(J3708&lt;=2,"?ACTIVATED",IF(J3708&lt;&gt;"","?FAMILIAR",IF(F3708="NEW",IF(ISNA(VLOOKUP(E3708,#REF!,1,FALSE())),"?TYPE_IDENTIFIABLE","?REFERENTIAL"),"_")))))</f>
        <v> </v>
      </c>
      <c r="H3708" s="24" t="str">
        <f>IF(J3708&lt;&gt;1,"",IF(I3708="SBJ","CB","?"))</f>
        <v> </v>
      </c>
      <c r="I3708" s="25" t="str">
        <f>IF(OR(E3708="",E3708="!!!",F3708="NEW"),"",INDEX(B3707:B$2,-1+SUMPRODUCT(MAX(ROW(E3707:E$2)*(E3708=E3707:E$2)))))</f>
        <v> </v>
      </c>
      <c r="J3708" s="25" t="str">
        <f>IF(OR(E3708="",E3708="!!!",F3708="NEW"),"",COUNTBLANK(OFFSET(A$1,,,SUMPRODUCT(MAX(ROW(E$2:E3708)*(E3708=E$2:E3708)))))-COUNTBLANK(OFFSET(A$1,,,SUMPRODUCT(MAX(ROW(E$1:E3707)*(E2=E$1:E3707))))))</f>
        <v> </v>
      </c>
      <c r="K3708" s="25" t="str">
        <f>IF(OR(E3708="",E3708="!!!",F3708="NEW"),"",INDEX(J$1:J3707,SUMPRODUCT(MAX(ROW(E$1:E3707)*(E3708=E$1:E3707)))))</f>
        <v> </v>
      </c>
      <c r="L3708" s="26"/>
    </row>
    <row r="3709" spans="1:12">
      <c r="A3709" s="20" t="s">
        <v>2658</v>
      </c>
      <c r="E3709" s="21">
        <f>IF(D3709="?OLD","!!!","")</f>
        <v/>
      </c>
      <c r="F3709" s="22" t="str">
        <f>IF(OR(E3709="",E3709="!!!"),"",IF(NOT(ISNA(VLOOKUP(E3709,E$1:E3708,1,FALSE()))),"OLD",IF(AND(E3709&lt;&gt;"",E3709&lt;&gt;"!!!"),"NEW","")))</f>
        <v> </v>
      </c>
      <c r="G3709" s="23" t="str">
        <f>IF(OR(E3709="",E3709="!!!"),"",IF(OR(J3709=0,AND(J3709=1,K3709=1),AND(J3709=1,I3709="SBJ"),AND(J3709=1,I3709=0)),"?IN_FOCUS",IF(J3709&lt;=2,"?ACTIVATED",IF(J3709&lt;&gt;"","?FAMILIAR",IF(F3709="NEW",IF(ISNA(VLOOKUP(E3709,#REF!,1,FALSE())),"?TYPE_IDENTIFIABLE","?REFERENTIAL"),"_")))))</f>
        <v> </v>
      </c>
      <c r="H3709" s="24" t="str">
        <f>IF(J3709&lt;&gt;1,"",IF(I3709="SBJ","CB","?"))</f>
        <v> </v>
      </c>
      <c r="I3709" s="25" t="str">
        <f>IF(OR(E3709="",E3709="!!!",F3709="NEW"),"",INDEX(B3708:B$2,-1+SUMPRODUCT(MAX(ROW(E3708:E$2)*(E3709=E3708:E$2)))))</f>
        <v> </v>
      </c>
      <c r="J3709" s="25" t="str">
        <f>IF(OR(E3709="",E3709="!!!",F3709="NEW"),"",COUNTBLANK(OFFSET(A$1,,,SUMPRODUCT(MAX(ROW(E$2:E3709)*(E3709=E$2:E3709)))))-COUNTBLANK(OFFSET(A$1,,,SUMPRODUCT(MAX(ROW(E$1:E3708)*(E2=E$1:E3708))))))</f>
        <v> </v>
      </c>
      <c r="K3709" s="25" t="str">
        <f>IF(OR(E3709="",E3709="!!!",F3709="NEW"),"",INDEX(J$1:J3708,SUMPRODUCT(MAX(ROW(E$1:E3708)*(E3709=E$1:E3708)))))</f>
        <v> </v>
      </c>
      <c r="L3709" s="26"/>
    </row>
    <row r="3710" spans="1:12">
      <c r="A3710" s="20" t="s">
        <v>1145</v>
      </c>
      <c r="E3710" s="21">
        <f>IF(D3710="?OLD","!!!","")</f>
        <v/>
      </c>
      <c r="F3710" s="22" t="str">
        <f>IF(OR(E3710="",E3710="!!!"),"",IF(NOT(ISNA(VLOOKUP(E3710,E$1:E3709,1,FALSE()))),"OLD",IF(AND(E3710&lt;&gt;"",E3710&lt;&gt;"!!!"),"NEW","")))</f>
        <v> </v>
      </c>
      <c r="G3710" s="23" t="str">
        <f>IF(OR(E3710="",E3710="!!!"),"",IF(OR(J3710=0,AND(J3710=1,K3710=1),AND(J3710=1,I3710="SBJ"),AND(J3710=1,I3710=0)),"?IN_FOCUS",IF(J3710&lt;=2,"?ACTIVATED",IF(J3710&lt;&gt;"","?FAMILIAR",IF(F3710="NEW",IF(ISNA(VLOOKUP(E3710,#REF!,1,FALSE())),"?TYPE_IDENTIFIABLE","?REFERENTIAL"),"_")))))</f>
        <v> </v>
      </c>
      <c r="H3710" s="24" t="str">
        <f>IF(J3710&lt;&gt;1,"",IF(I3710="SBJ","CB","?"))</f>
        <v> </v>
      </c>
      <c r="I3710" s="25" t="str">
        <f>IF(OR(E3710="",E3710="!!!",F3710="NEW"),"",INDEX(B3709:B$2,-1+SUMPRODUCT(MAX(ROW(E3709:E$2)*(E3710=E3709:E$2)))))</f>
        <v> </v>
      </c>
      <c r="J3710" s="25" t="str">
        <f>IF(OR(E3710="",E3710="!!!",F3710="NEW"),"",COUNTBLANK(OFFSET(A$1,,,SUMPRODUCT(MAX(ROW(E$2:E3710)*(E3710=E$2:E3710)))))-COUNTBLANK(OFFSET(A$1,,,SUMPRODUCT(MAX(ROW(E$1:E3709)*(E2=E$1:E3709))))))</f>
        <v> </v>
      </c>
      <c r="K3710" s="25" t="str">
        <f>IF(OR(E3710="",E3710="!!!",F3710="NEW"),"",INDEX(J$1:J3709,SUMPRODUCT(MAX(ROW(E$1:E3709)*(E3710=E$1:E3709)))))</f>
        <v> </v>
      </c>
      <c r="L3710" s="26"/>
    </row>
    <row r="3711" spans="1:12">
      <c r="A3711" s="20"/>
    </row>
    <row r="3712" spans="1:12">
      <c r="A3712" s="20" t="s">
        <v>2770</v>
      </c>
    </row>
    <row r="3713" spans="1:12">
      <c r="A3713" s="20" t="s">
        <v>2455</v>
      </c>
      <c r="E3713" s="21">
        <f>IF(D3713="?OLD","!!!","")</f>
        <v/>
      </c>
      <c r="F3713" s="22" t="str">
        <f>IF(OR(E3713="",E3713="!!!"),"",IF(NOT(ISNA(VLOOKUP(E3713,E$1:E3712,1,FALSE()))),"OLD",IF(AND(E3713&lt;&gt;"",E3713&lt;&gt;"!!!"),"NEW","")))</f>
        <v> </v>
      </c>
      <c r="G3713" s="23" t="str">
        <f>IF(OR(E3713="",E3713="!!!"),"",IF(OR(J3713=0,AND(J3713=1,K3713=1),AND(J3713=1,I3713="SBJ"),AND(J3713=1,I3713=0)),"?IN_FOCUS",IF(J3713&lt;=2,"?ACTIVATED",IF(J3713&lt;&gt;"","?FAMILIAR",IF(F3713="NEW",IF(ISNA(VLOOKUP(E3713,#REF!,1,FALSE())),"?TYPE_IDENTIFIABLE","?REFERENTIAL"),"_")))))</f>
        <v> </v>
      </c>
      <c r="H3713" s="24" t="str">
        <f>IF(J3713&lt;&gt;1,"",IF(I3713="SBJ","CB","?"))</f>
        <v> </v>
      </c>
      <c r="I3713" s="25" t="str">
        <f>IF(OR(E3713="",E3713="!!!",F3713="NEW"),"",INDEX(B3712:B$2,-1+SUMPRODUCT(MAX(ROW(E3712:E$2)*(E3713=E3712:E$2)))))</f>
        <v> </v>
      </c>
      <c r="J3713" s="25" t="str">
        <f>IF(OR(E3713="",E3713="!!!",F3713="NEW"),"",COUNTBLANK(OFFSET(A$1,,,SUMPRODUCT(MAX(ROW(E$2:E3713)*(E3713=E$2:E3713)))))-COUNTBLANK(OFFSET(A$1,,,SUMPRODUCT(MAX(ROW(E$1:E3712)*(E2=E$1:E3712))))))</f>
        <v> </v>
      </c>
      <c r="K3713" s="25" t="str">
        <f>IF(OR(E3713="",E3713="!!!",F3713="NEW"),"",INDEX(J$1:J3712,SUMPRODUCT(MAX(ROW(E$1:E3712)*(E3713=E$1:E3712)))))</f>
        <v> </v>
      </c>
      <c r="L3713" s="26"/>
    </row>
    <row r="3714" spans="1:12">
      <c r="A3714" s="20" t="s">
        <v>1609</v>
      </c>
      <c r="B3714" s="27" t="s">
        <v>1149</v>
      </c>
      <c r="C3714" s="27" t="s">
        <v>1156</v>
      </c>
      <c r="D3714" s="27" t="s">
        <v>1105</v>
      </c>
      <c r="E3714" s="21">
        <f>IF(D3714="?OLD","!!!","")</f>
        <v/>
      </c>
      <c r="F3714" s="22" t="str">
        <f>IF(OR(E3714="",E3714="!!!"),"",IF(NOT(ISNA(VLOOKUP(E3714,E$1:E3713,1,FALSE()))),"OLD",IF(AND(E3714&lt;&gt;"",E3714&lt;&gt;"!!!"),"NEW","")))</f>
        <v> </v>
      </c>
      <c r="G3714" s="23" t="str">
        <f>IF(OR(E3714="",E3714="!!!"),"",IF(OR(J3714=0,AND(J3714=1,K3714=1),AND(J3714=1,I3714="SBJ"),AND(J3714=1,I3714=0)),"?IN_FOCUS",IF(J3714&lt;=2,"?ACTIVATED",IF(J3714&lt;&gt;"","?FAMILIAR",IF(F3714="NEW",IF(ISNA(VLOOKUP(E3714,#REF!,1,FALSE())),"?TYPE_IDENTIFIABLE","?REFERENTIAL"),"_")))))</f>
        <v> </v>
      </c>
      <c r="H3714" s="24" t="str">
        <f>IF(J3714&lt;&gt;1,"",IF(I3714="SBJ","CB","?"))</f>
        <v> </v>
      </c>
      <c r="I3714" s="25" t="str">
        <f>IF(OR(E3714="",E3714="!!!",F3714="NEW"),"",INDEX(B3713:B$2,-1+SUMPRODUCT(MAX(ROW(E3713:E$2)*(E3714=E3713:E$2)))))</f>
        <v> </v>
      </c>
      <c r="J3714" s="25" t="str">
        <f>IF(OR(E3714="",E3714="!!!",F3714="NEW"),"",COUNTBLANK(OFFSET(A$1,,,SUMPRODUCT(MAX(ROW(E$2:E3714)*(E3714=E$2:E3714)))))-COUNTBLANK(OFFSET(A$1,,,SUMPRODUCT(MAX(ROW(E$1:E3713)*(E2=E$1:E3713))))))</f>
        <v> </v>
      </c>
      <c r="K3714" s="25" t="str">
        <f>IF(OR(E3714="",E3714="!!!",F3714="NEW"),"",INDEX(J$1:J3713,SUMPRODUCT(MAX(ROW(E$1:E3713)*(E3714=E$1:E3713)))))</f>
        <v> </v>
      </c>
      <c r="L3714" s="26"/>
    </row>
    <row r="3715" spans="1:12">
      <c r="A3715" s="20" t="s">
        <v>1130</v>
      </c>
      <c r="E3715" s="21">
        <f>IF(D3715="?OLD","!!!","")</f>
        <v/>
      </c>
      <c r="F3715" s="22" t="str">
        <f>IF(OR(E3715="",E3715="!!!"),"",IF(NOT(ISNA(VLOOKUP(E3715,E$1:E3714,1,FALSE()))),"OLD",IF(AND(E3715&lt;&gt;"",E3715&lt;&gt;"!!!"),"NEW","")))</f>
        <v> </v>
      </c>
      <c r="G3715" s="23" t="str">
        <f>IF(OR(E3715="",E3715="!!!"),"",IF(OR(J3715=0,AND(J3715=1,K3715=1),AND(J3715=1,I3715="SBJ"),AND(J3715=1,I3715=0)),"?IN_FOCUS",IF(J3715&lt;=2,"?ACTIVATED",IF(J3715&lt;&gt;"","?FAMILIAR",IF(F3715="NEW",IF(ISNA(VLOOKUP(E3715,#REF!,1,FALSE())),"?TYPE_IDENTIFIABLE","?REFERENTIAL"),"_")))))</f>
        <v> </v>
      </c>
      <c r="H3715" s="24" t="str">
        <f>IF(J3715&lt;&gt;1,"",IF(I3715="SBJ","CB","?"))</f>
        <v> </v>
      </c>
      <c r="I3715" s="25" t="str">
        <f>IF(OR(E3715="",E3715="!!!",F3715="NEW"),"",INDEX(B3714:B$2,-1+SUMPRODUCT(MAX(ROW(E3714:E$2)*(E3715=E3714:E$2)))))</f>
        <v> </v>
      </c>
      <c r="J3715" s="25" t="str">
        <f>IF(OR(E3715="",E3715="!!!",F3715="NEW"),"",COUNTBLANK(OFFSET(A$1,,,SUMPRODUCT(MAX(ROW(E$2:E3715)*(E3715=E$2:E3715)))))-COUNTBLANK(OFFSET(A$1,,,SUMPRODUCT(MAX(ROW(E$1:E3714)*(E2=E$1:E3714))))))</f>
        <v> </v>
      </c>
      <c r="K3715" s="25" t="str">
        <f>IF(OR(E3715="",E3715="!!!",F3715="NEW"),"",INDEX(J$1:J3714,SUMPRODUCT(MAX(ROW(E$1:E3714)*(E3715=E$1:E3714)))))</f>
        <v> </v>
      </c>
      <c r="L3715" s="26"/>
    </row>
    <row r="3716" spans="1:12">
      <c r="A3716" s="20" t="s">
        <v>2007</v>
      </c>
      <c r="E3716" s="21">
        <f>IF(D3716="?OLD","!!!","")</f>
        <v/>
      </c>
      <c r="F3716" s="22" t="str">
        <f>IF(OR(E3716="",E3716="!!!"),"",IF(NOT(ISNA(VLOOKUP(E3716,E$1:E3715,1,FALSE()))),"OLD",IF(AND(E3716&lt;&gt;"",E3716&lt;&gt;"!!!"),"NEW","")))</f>
        <v> </v>
      </c>
      <c r="G3716" s="23" t="str">
        <f>IF(OR(E3716="",E3716="!!!"),"",IF(OR(J3716=0,AND(J3716=1,K3716=1),AND(J3716=1,I3716="SBJ"),AND(J3716=1,I3716=0)),"?IN_FOCUS",IF(J3716&lt;=2,"?ACTIVATED",IF(J3716&lt;&gt;"","?FAMILIAR",IF(F3716="NEW",IF(ISNA(VLOOKUP(E3716,#REF!,1,FALSE())),"?TYPE_IDENTIFIABLE","?REFERENTIAL"),"_")))))</f>
        <v> </v>
      </c>
      <c r="H3716" s="24" t="str">
        <f>IF(J3716&lt;&gt;1,"",IF(I3716="SBJ","CB","?"))</f>
        <v> </v>
      </c>
      <c r="I3716" s="25" t="str">
        <f>IF(OR(E3716="",E3716="!!!",F3716="NEW"),"",INDEX(B3715:B$2,-1+SUMPRODUCT(MAX(ROW(E3715:E$2)*(E3716=E3715:E$2)))))</f>
        <v> </v>
      </c>
      <c r="J3716" s="25" t="str">
        <f>IF(OR(E3716="",E3716="!!!",F3716="NEW"),"",COUNTBLANK(OFFSET(A$1,,,SUMPRODUCT(MAX(ROW(E$2:E3716)*(E3716=E$2:E3716)))))-COUNTBLANK(OFFSET(A$1,,,SUMPRODUCT(MAX(ROW(E$1:E3715)*(E2=E$1:E3715))))))</f>
        <v> </v>
      </c>
      <c r="K3716" s="25" t="str">
        <f>IF(OR(E3716="",E3716="!!!",F3716="NEW"),"",INDEX(J$1:J3715,SUMPRODUCT(MAX(ROW(E$1:E3715)*(E3716=E$1:E3715)))))</f>
        <v> </v>
      </c>
      <c r="L3716" s="26"/>
    </row>
    <row r="3717" spans="1:12">
      <c r="A3717" s="20" t="s">
        <v>2771</v>
      </c>
      <c r="B3717" s="27" t="s">
        <v>1107</v>
      </c>
      <c r="C3717" s="27" t="s">
        <v>1116</v>
      </c>
      <c r="E3717" s="21">
        <f>IF(D3717="?OLD","!!!","")</f>
        <v/>
      </c>
      <c r="F3717" s="22" t="str">
        <f>IF(OR(E3717="",E3717="!!!"),"",IF(NOT(ISNA(VLOOKUP(E3717,E$1:E3716,1,FALSE()))),"OLD",IF(AND(E3717&lt;&gt;"",E3717&lt;&gt;"!!!"),"NEW","")))</f>
        <v> </v>
      </c>
      <c r="G3717" s="23" t="str">
        <f>IF(OR(E3717="",E3717="!!!"),"",IF(OR(J3717=0,AND(J3717=1,K3717=1),AND(J3717=1,I3717="SBJ"),AND(J3717=1,I3717=0)),"?IN_FOCUS",IF(J3717&lt;=2,"?ACTIVATED",IF(J3717&lt;&gt;"","?FAMILIAR",IF(F3717="NEW",IF(ISNA(VLOOKUP(E3717,#REF!,1,FALSE())),"?TYPE_IDENTIFIABLE","?REFERENTIAL"),"_")))))</f>
        <v> </v>
      </c>
      <c r="H3717" s="24" t="str">
        <f>IF(J3717&lt;&gt;1,"",IF(I3717="SBJ","CB","?"))</f>
        <v> </v>
      </c>
      <c r="I3717" s="25" t="str">
        <f>IF(OR(E3717="",E3717="!!!",F3717="NEW"),"",INDEX(B3716:B$2,-1+SUMPRODUCT(MAX(ROW(E3716:E$2)*(E3717=E3716:E$2)))))</f>
        <v> </v>
      </c>
      <c r="J3717" s="25" t="str">
        <f>IF(OR(E3717="",E3717="!!!",F3717="NEW"),"",COUNTBLANK(OFFSET(A$1,,,SUMPRODUCT(MAX(ROW(E$2:E3717)*(E3717=E$2:E3717)))))-COUNTBLANK(OFFSET(A$1,,,SUMPRODUCT(MAX(ROW(E$1:E3716)*(E2=E$1:E3716))))))</f>
        <v> </v>
      </c>
      <c r="K3717" s="25" t="str">
        <f>IF(OR(E3717="",E3717="!!!",F3717="NEW"),"",INDEX(J$1:J3716,SUMPRODUCT(MAX(ROW(E$1:E3716)*(E3717=E$1:E3716)))))</f>
        <v> </v>
      </c>
      <c r="L3717" s="26"/>
    </row>
    <row r="3718" spans="1:12">
      <c r="A3718" s="20" t="s">
        <v>1128</v>
      </c>
      <c r="E3718" s="21">
        <f>IF(D3718="?OLD","!!!","")</f>
        <v/>
      </c>
      <c r="F3718" s="22" t="str">
        <f>IF(OR(E3718="",E3718="!!!"),"",IF(NOT(ISNA(VLOOKUP(E3718,E$1:E3717,1,FALSE()))),"OLD",IF(AND(E3718&lt;&gt;"",E3718&lt;&gt;"!!!"),"NEW","")))</f>
        <v> </v>
      </c>
      <c r="G3718" s="23" t="str">
        <f>IF(OR(E3718="",E3718="!!!"),"",IF(OR(J3718=0,AND(J3718=1,K3718=1),AND(J3718=1,I3718="SBJ"),AND(J3718=1,I3718=0)),"?IN_FOCUS",IF(J3718&lt;=2,"?ACTIVATED",IF(J3718&lt;&gt;"","?FAMILIAR",IF(F3718="NEW",IF(ISNA(VLOOKUP(E3718,#REF!,1,FALSE())),"?TYPE_IDENTIFIABLE","?REFERENTIAL"),"_")))))</f>
        <v> </v>
      </c>
      <c r="H3718" s="24" t="str">
        <f>IF(J3718&lt;&gt;1,"",IF(I3718="SBJ","CB","?"))</f>
        <v> </v>
      </c>
      <c r="I3718" s="25" t="str">
        <f>IF(OR(E3718="",E3718="!!!",F3718="NEW"),"",INDEX(B3717:B$2,-1+SUMPRODUCT(MAX(ROW(E3717:E$2)*(E3718=E3717:E$2)))))</f>
        <v> </v>
      </c>
      <c r="J3718" s="25" t="str">
        <f>IF(OR(E3718="",E3718="!!!",F3718="NEW"),"",COUNTBLANK(OFFSET(A$1,,,SUMPRODUCT(MAX(ROW(E$2:E3718)*(E3718=E$2:E3718)))))-COUNTBLANK(OFFSET(A$1,,,SUMPRODUCT(MAX(ROW(E$1:E3717)*(E2=E$1:E3717))))))</f>
        <v> </v>
      </c>
      <c r="K3718" s="25" t="str">
        <f>IF(OR(E3718="",E3718="!!!",F3718="NEW"),"",INDEX(J$1:J3717,SUMPRODUCT(MAX(ROW(E$1:E3717)*(E3718=E$1:E3717)))))</f>
        <v> </v>
      </c>
      <c r="L3718" s="26"/>
    </row>
    <row r="3719" spans="1:12">
      <c r="A3719" s="20" t="s">
        <v>2772</v>
      </c>
      <c r="E3719" s="21">
        <f>IF(D3719="?OLD","!!!","")</f>
        <v/>
      </c>
      <c r="F3719" s="22" t="str">
        <f>IF(OR(E3719="",E3719="!!!"),"",IF(NOT(ISNA(VLOOKUP(E3719,E$1:E3718,1,FALSE()))),"OLD",IF(AND(E3719&lt;&gt;"",E3719&lt;&gt;"!!!"),"NEW","")))</f>
        <v> </v>
      </c>
      <c r="G3719" s="23" t="str">
        <f>IF(OR(E3719="",E3719="!!!"),"",IF(OR(J3719=0,AND(J3719=1,K3719=1),AND(J3719=1,I3719="SBJ"),AND(J3719=1,I3719=0)),"?IN_FOCUS",IF(J3719&lt;=2,"?ACTIVATED",IF(J3719&lt;&gt;"","?FAMILIAR",IF(F3719="NEW",IF(ISNA(VLOOKUP(E3719,#REF!,1,FALSE())),"?TYPE_IDENTIFIABLE","?REFERENTIAL"),"_")))))</f>
        <v> </v>
      </c>
      <c r="H3719" s="24" t="str">
        <f>IF(J3719&lt;&gt;1,"",IF(I3719="SBJ","CB","?"))</f>
        <v> </v>
      </c>
      <c r="I3719" s="25" t="str">
        <f>IF(OR(E3719="",E3719="!!!",F3719="NEW"),"",INDEX(B3718:B$2,-1+SUMPRODUCT(MAX(ROW(E3718:E$2)*(E3719=E3718:E$2)))))</f>
        <v> </v>
      </c>
      <c r="J3719" s="25" t="str">
        <f>IF(OR(E3719="",E3719="!!!",F3719="NEW"),"",COUNTBLANK(OFFSET(A$1,,,SUMPRODUCT(MAX(ROW(E$2:E3719)*(E3719=E$2:E3719)))))-COUNTBLANK(OFFSET(A$1,,,SUMPRODUCT(MAX(ROW(E$1:E3718)*(E2=E$1:E3718))))))</f>
        <v> </v>
      </c>
      <c r="K3719" s="25" t="str">
        <f>IF(OR(E3719="",E3719="!!!",F3719="NEW"),"",INDEX(J$1:J3718,SUMPRODUCT(MAX(ROW(E$1:E3718)*(E3719=E$1:E3718)))))</f>
        <v> </v>
      </c>
      <c r="L3719" s="26"/>
    </row>
    <row r="3720" spans="1:12">
      <c r="A3720" s="20" t="s">
        <v>2773</v>
      </c>
      <c r="E3720" s="21">
        <f>IF(D3720="?OLD","!!!","")</f>
        <v/>
      </c>
      <c r="F3720" s="22" t="str">
        <f>IF(OR(E3720="",E3720="!!!"),"",IF(NOT(ISNA(VLOOKUP(E3720,E$1:E3719,1,FALSE()))),"OLD",IF(AND(E3720&lt;&gt;"",E3720&lt;&gt;"!!!"),"NEW","")))</f>
        <v> </v>
      </c>
      <c r="G3720" s="23" t="str">
        <f>IF(OR(E3720="",E3720="!!!"),"",IF(OR(J3720=0,AND(J3720=1,K3720=1),AND(J3720=1,I3720="SBJ"),AND(J3720=1,I3720=0)),"?IN_FOCUS",IF(J3720&lt;=2,"?ACTIVATED",IF(J3720&lt;&gt;"","?FAMILIAR",IF(F3720="NEW",IF(ISNA(VLOOKUP(E3720,#REF!,1,FALSE())),"?TYPE_IDENTIFIABLE","?REFERENTIAL"),"_")))))</f>
        <v> </v>
      </c>
      <c r="H3720" s="24" t="str">
        <f>IF(J3720&lt;&gt;1,"",IF(I3720="SBJ","CB","?"))</f>
        <v> </v>
      </c>
      <c r="I3720" s="25" t="str">
        <f>IF(OR(E3720="",E3720="!!!",F3720="NEW"),"",INDEX(B3719:B$2,-1+SUMPRODUCT(MAX(ROW(E3719:E$2)*(E3720=E3719:E$2)))))</f>
        <v> </v>
      </c>
      <c r="J3720" s="25" t="str">
        <f>IF(OR(E3720="",E3720="!!!",F3720="NEW"),"",COUNTBLANK(OFFSET(A$1,,,SUMPRODUCT(MAX(ROW(E$2:E3720)*(E3720=E$2:E3720)))))-COUNTBLANK(OFFSET(A$1,,,SUMPRODUCT(MAX(ROW(E$1:E3719)*(E2=E$1:E3719))))))</f>
        <v> </v>
      </c>
      <c r="K3720" s="25" t="str">
        <f>IF(OR(E3720="",E3720="!!!",F3720="NEW"),"",INDEX(J$1:J3719,SUMPRODUCT(MAX(ROW(E$1:E3719)*(E3720=E$1:E3719)))))</f>
        <v> </v>
      </c>
      <c r="L3720" s="26"/>
    </row>
    <row r="3721" spans="1:12">
      <c r="A3721" s="20" t="s">
        <v>1270</v>
      </c>
      <c r="B3721" s="27" t="s">
        <v>1213</v>
      </c>
      <c r="C3721" s="27" t="s">
        <v>1126</v>
      </c>
      <c r="D3721" s="27" t="s">
        <v>1105</v>
      </c>
      <c r="E3721" s="21">
        <f>IF(D3721="?OLD","!!!","")</f>
        <v/>
      </c>
      <c r="F3721" s="22" t="str">
        <f>IF(OR(E3721="",E3721="!!!"),"",IF(NOT(ISNA(VLOOKUP(E3721,E$1:E3720,1,FALSE()))),"OLD",IF(AND(E3721&lt;&gt;"",E3721&lt;&gt;"!!!"),"NEW","")))</f>
        <v> </v>
      </c>
      <c r="G3721" s="23" t="str">
        <f>IF(OR(E3721="",E3721="!!!"),"",IF(OR(J3721=0,AND(J3721=1,K3721=1),AND(J3721=1,I3721="SBJ"),AND(J3721=1,I3721=0)),"?IN_FOCUS",IF(J3721&lt;=2,"?ACTIVATED",IF(J3721&lt;&gt;"","?FAMILIAR",IF(F3721="NEW",IF(ISNA(VLOOKUP(E3721,#REF!,1,FALSE())),"?TYPE_IDENTIFIABLE","?REFERENTIAL"),"_")))))</f>
        <v> </v>
      </c>
      <c r="H3721" s="24" t="str">
        <f>IF(J3721&lt;&gt;1,"",IF(I3721="SBJ","CB","?"))</f>
        <v> </v>
      </c>
      <c r="I3721" s="25" t="str">
        <f>IF(OR(E3721="",E3721="!!!",F3721="NEW"),"",INDEX(B3720:B$2,-1+SUMPRODUCT(MAX(ROW(E3720:E$2)*(E3721=E3720:E$2)))))</f>
        <v> </v>
      </c>
      <c r="J3721" s="25" t="str">
        <f>IF(OR(E3721="",E3721="!!!",F3721="NEW"),"",COUNTBLANK(OFFSET(A$1,,,SUMPRODUCT(MAX(ROW(E$2:E3721)*(E3721=E$2:E3721)))))-COUNTBLANK(OFFSET(A$1,,,SUMPRODUCT(MAX(ROW(E$1:E3720)*(E2=E$1:E3720))))))</f>
        <v> </v>
      </c>
      <c r="K3721" s="25" t="str">
        <f>IF(OR(E3721="",E3721="!!!",F3721="NEW"),"",INDEX(J$1:J3720,SUMPRODUCT(MAX(ROW(E$1:E3720)*(E3721=E$1:E3720)))))</f>
        <v> </v>
      </c>
      <c r="L3721" s="26"/>
    </row>
    <row r="3722" spans="1:12">
      <c r="A3722" s="20" t="s">
        <v>1253</v>
      </c>
      <c r="E3722" s="21">
        <f>IF(D3722="?OLD","!!!","")</f>
        <v/>
      </c>
      <c r="F3722" s="22" t="str">
        <f>IF(OR(E3722="",E3722="!!!"),"",IF(NOT(ISNA(VLOOKUP(E3722,E$1:E3721,1,FALSE()))),"OLD",IF(AND(E3722&lt;&gt;"",E3722&lt;&gt;"!!!"),"NEW","")))</f>
        <v> </v>
      </c>
      <c r="G3722" s="23" t="str">
        <f>IF(OR(E3722="",E3722="!!!"),"",IF(OR(J3722=0,AND(J3722=1,K3722=1),AND(J3722=1,I3722="SBJ"),AND(J3722=1,I3722=0)),"?IN_FOCUS",IF(J3722&lt;=2,"?ACTIVATED",IF(J3722&lt;&gt;"","?FAMILIAR",IF(F3722="NEW",IF(ISNA(VLOOKUP(E3722,#REF!,1,FALSE())),"?TYPE_IDENTIFIABLE","?REFERENTIAL"),"_")))))</f>
        <v> </v>
      </c>
      <c r="H3722" s="24" t="str">
        <f>IF(J3722&lt;&gt;1,"",IF(I3722="SBJ","CB","?"))</f>
        <v> </v>
      </c>
      <c r="I3722" s="25" t="str">
        <f>IF(OR(E3722="",E3722="!!!",F3722="NEW"),"",INDEX(B3721:B$2,-1+SUMPRODUCT(MAX(ROW(E3721:E$2)*(E3722=E3721:E$2)))))</f>
        <v> </v>
      </c>
      <c r="J3722" s="25" t="str">
        <f>IF(OR(E3722="",E3722="!!!",F3722="NEW"),"",COUNTBLANK(OFFSET(A$1,,,SUMPRODUCT(MAX(ROW(E$2:E3722)*(E3722=E$2:E3722)))))-COUNTBLANK(OFFSET(A$1,,,SUMPRODUCT(MAX(ROW(E$1:E3721)*(E2=E$1:E3721))))))</f>
        <v> </v>
      </c>
      <c r="K3722" s="25" t="str">
        <f>IF(OR(E3722="",E3722="!!!",F3722="NEW"),"",INDEX(J$1:J3721,SUMPRODUCT(MAX(ROW(E$1:E3721)*(E3722=E$1:E3721)))))</f>
        <v> </v>
      </c>
      <c r="L3722" s="26"/>
    </row>
    <row r="3723" spans="1:12">
      <c r="A3723" s="20" t="s">
        <v>2048</v>
      </c>
      <c r="E3723" s="21">
        <f>IF(D3723="?OLD","!!!","")</f>
        <v/>
      </c>
      <c r="F3723" s="22" t="str">
        <f>IF(OR(E3723="",E3723="!!!"),"",IF(NOT(ISNA(VLOOKUP(E3723,E$1:E3722,1,FALSE()))),"OLD",IF(AND(E3723&lt;&gt;"",E3723&lt;&gt;"!!!"),"NEW","")))</f>
        <v> </v>
      </c>
      <c r="G3723" s="23" t="str">
        <f>IF(OR(E3723="",E3723="!!!"),"",IF(OR(J3723=0,AND(J3723=1,K3723=1),AND(J3723=1,I3723="SBJ"),AND(J3723=1,I3723=0)),"?IN_FOCUS",IF(J3723&lt;=2,"?ACTIVATED",IF(J3723&lt;&gt;"","?FAMILIAR",IF(F3723="NEW",IF(ISNA(VLOOKUP(E3723,#REF!,1,FALSE())),"?TYPE_IDENTIFIABLE","?REFERENTIAL"),"_")))))</f>
        <v> </v>
      </c>
      <c r="H3723" s="24" t="str">
        <f>IF(J3723&lt;&gt;1,"",IF(I3723="SBJ","CB","?"))</f>
        <v> </v>
      </c>
      <c r="I3723" s="25" t="str">
        <f>IF(OR(E3723="",E3723="!!!",F3723="NEW"),"",INDEX(B3722:B$2,-1+SUMPRODUCT(MAX(ROW(E3722:E$2)*(E3723=E3722:E$2)))))</f>
        <v> </v>
      </c>
      <c r="J3723" s="25" t="str">
        <f>IF(OR(E3723="",E3723="!!!",F3723="NEW"),"",COUNTBLANK(OFFSET(A$1,,,SUMPRODUCT(MAX(ROW(E$2:E3723)*(E3723=E$2:E3723)))))-COUNTBLANK(OFFSET(A$1,,,SUMPRODUCT(MAX(ROW(E$1:E3722)*(E2=E$1:E3722))))))</f>
        <v> </v>
      </c>
      <c r="K3723" s="25" t="str">
        <f>IF(OR(E3723="",E3723="!!!",F3723="NEW"),"",INDEX(J$1:J3722,SUMPRODUCT(MAX(ROW(E$1:E3722)*(E3723=E$1:E3722)))))</f>
        <v> </v>
      </c>
      <c r="L3723" s="26"/>
    </row>
    <row r="3724" spans="1:12">
      <c r="A3724" s="20" t="s">
        <v>2559</v>
      </c>
      <c r="E3724" s="21">
        <f>IF(D3724="?OLD","!!!","")</f>
        <v/>
      </c>
      <c r="F3724" s="22" t="str">
        <f>IF(OR(E3724="",E3724="!!!"),"",IF(NOT(ISNA(VLOOKUP(E3724,E$1:E3723,1,FALSE()))),"OLD",IF(AND(E3724&lt;&gt;"",E3724&lt;&gt;"!!!"),"NEW","")))</f>
        <v> </v>
      </c>
      <c r="G3724" s="23" t="str">
        <f>IF(OR(E3724="",E3724="!!!"),"",IF(OR(J3724=0,AND(J3724=1,K3724=1),AND(J3724=1,I3724="SBJ"),AND(J3724=1,I3724=0)),"?IN_FOCUS",IF(J3724&lt;=2,"?ACTIVATED",IF(J3724&lt;&gt;"","?FAMILIAR",IF(F3724="NEW",IF(ISNA(VLOOKUP(E3724,#REF!,1,FALSE())),"?TYPE_IDENTIFIABLE","?REFERENTIAL"),"_")))))</f>
        <v> </v>
      </c>
      <c r="H3724" s="24" t="str">
        <f>IF(J3724&lt;&gt;1,"",IF(I3724="SBJ","CB","?"))</f>
        <v> </v>
      </c>
      <c r="I3724" s="25" t="str">
        <f>IF(OR(E3724="",E3724="!!!",F3724="NEW"),"",INDEX(B3723:B$2,-1+SUMPRODUCT(MAX(ROW(E3723:E$2)*(E3724=E3723:E$2)))))</f>
        <v> </v>
      </c>
      <c r="J3724" s="25" t="str">
        <f>IF(OR(E3724="",E3724="!!!",F3724="NEW"),"",COUNTBLANK(OFFSET(A$1,,,SUMPRODUCT(MAX(ROW(E$2:E3724)*(E3724=E$2:E3724)))))-COUNTBLANK(OFFSET(A$1,,,SUMPRODUCT(MAX(ROW(E$1:E3723)*(E2=E$1:E3723))))))</f>
        <v> </v>
      </c>
      <c r="K3724" s="25" t="str">
        <f>IF(OR(E3724="",E3724="!!!",F3724="NEW"),"",INDEX(J$1:J3723,SUMPRODUCT(MAX(ROW(E$1:E3723)*(E3724=E$1:E3723)))))</f>
        <v> </v>
      </c>
      <c r="L3724" s="26"/>
    </row>
    <row r="3725" spans="1:12">
      <c r="A3725" s="20" t="s">
        <v>1123</v>
      </c>
      <c r="E3725" s="21">
        <f>IF(D3725="?OLD","!!!","")</f>
        <v/>
      </c>
      <c r="F3725" s="22" t="str">
        <f>IF(OR(E3725="",E3725="!!!"),"",IF(NOT(ISNA(VLOOKUP(E3725,E$1:E3724,1,FALSE()))),"OLD",IF(AND(E3725&lt;&gt;"",E3725&lt;&gt;"!!!"),"NEW","")))</f>
        <v> </v>
      </c>
      <c r="G3725" s="23" t="str">
        <f>IF(OR(E3725="",E3725="!!!"),"",IF(OR(J3725=0,AND(J3725=1,K3725=1),AND(J3725=1,I3725="SBJ"),AND(J3725=1,I3725=0)),"?IN_FOCUS",IF(J3725&lt;=2,"?ACTIVATED",IF(J3725&lt;&gt;"","?FAMILIAR",IF(F3725="NEW",IF(ISNA(VLOOKUP(E3725,#REF!,1,FALSE())),"?TYPE_IDENTIFIABLE","?REFERENTIAL"),"_")))))</f>
        <v> </v>
      </c>
      <c r="H3725" s="24" t="str">
        <f>IF(J3725&lt;&gt;1,"",IF(I3725="SBJ","CB","?"))</f>
        <v> </v>
      </c>
      <c r="I3725" s="25" t="str">
        <f>IF(OR(E3725="",E3725="!!!",F3725="NEW"),"",INDEX(B3724:B$2,-1+SUMPRODUCT(MAX(ROW(E3724:E$2)*(E3725=E3724:E$2)))))</f>
        <v> </v>
      </c>
      <c r="J3725" s="25" t="str">
        <f>IF(OR(E3725="",E3725="!!!",F3725="NEW"),"",COUNTBLANK(OFFSET(A$1,,,SUMPRODUCT(MAX(ROW(E$2:E3725)*(E3725=E$2:E3725)))))-COUNTBLANK(OFFSET(A$1,,,SUMPRODUCT(MAX(ROW(E$1:E3724)*(E2=E$1:E3724))))))</f>
        <v> </v>
      </c>
      <c r="K3725" s="25" t="str">
        <f>IF(OR(E3725="",E3725="!!!",F3725="NEW"),"",INDEX(J$1:J3724,SUMPRODUCT(MAX(ROW(E$1:E3724)*(E3725=E$1:E3724)))))</f>
        <v> </v>
      </c>
      <c r="L3725" s="26"/>
    </row>
    <row r="3726" spans="1:12">
      <c r="A3726" s="20" t="s">
        <v>135</v>
      </c>
      <c r="B3726" s="27" t="s">
        <v>1122</v>
      </c>
      <c r="C3726" s="27" t="s">
        <v>1133</v>
      </c>
      <c r="E3726" s="21">
        <f>IF(D3726="?OLD","!!!","")</f>
        <v/>
      </c>
      <c r="F3726" s="22" t="str">
        <f>IF(OR(E3726="",E3726="!!!"),"",IF(NOT(ISNA(VLOOKUP(E3726,E$1:E3725,1,FALSE()))),"OLD",IF(AND(E3726&lt;&gt;"",E3726&lt;&gt;"!!!"),"NEW","")))</f>
        <v> </v>
      </c>
      <c r="G3726" s="23" t="str">
        <f>IF(OR(E3726="",E3726="!!!"),"",IF(OR(J3726=0,AND(J3726=1,K3726=1),AND(J3726=1,I3726="SBJ"),AND(J3726=1,I3726=0)),"?IN_FOCUS",IF(J3726&lt;=2,"?ACTIVATED",IF(J3726&lt;&gt;"","?FAMILIAR",IF(F3726="NEW",IF(ISNA(VLOOKUP(E3726,#REF!,1,FALSE())),"?TYPE_IDENTIFIABLE","?REFERENTIAL"),"_")))))</f>
        <v> </v>
      </c>
      <c r="H3726" s="24" t="str">
        <f>IF(J3726&lt;&gt;1,"",IF(I3726="SBJ","CB","?"))</f>
        <v> </v>
      </c>
      <c r="I3726" s="25" t="str">
        <f>IF(OR(E3726="",E3726="!!!",F3726="NEW"),"",INDEX(B3725:B$2,-1+SUMPRODUCT(MAX(ROW(E3725:E$2)*(E3726=E3725:E$2)))))</f>
        <v> </v>
      </c>
      <c r="J3726" s="25" t="str">
        <f>IF(OR(E3726="",E3726="!!!",F3726="NEW"),"",COUNTBLANK(OFFSET(A$1,,,SUMPRODUCT(MAX(ROW(E$2:E3726)*(E3726=E$2:E3726)))))-COUNTBLANK(OFFSET(A$1,,,SUMPRODUCT(MAX(ROW(E$1:E3725)*(E2=E$1:E3725))))))</f>
        <v> </v>
      </c>
      <c r="K3726" s="25" t="str">
        <f>IF(OR(E3726="",E3726="!!!",F3726="NEW"),"",INDEX(J$1:J3725,SUMPRODUCT(MAX(ROW(E$1:E3725)*(E3726=E$1:E3725)))))</f>
        <v> </v>
      </c>
      <c r="L3726" s="26"/>
    </row>
    <row r="3727" spans="1:12">
      <c r="A3727" s="20" t="s">
        <v>1242</v>
      </c>
      <c r="B3727" s="27" t="s">
        <v>1103</v>
      </c>
      <c r="C3727" s="27" t="s">
        <v>1126</v>
      </c>
      <c r="D3727" s="27" t="s">
        <v>1105</v>
      </c>
      <c r="E3727" s="21">
        <f>IF(D3727="?OLD","!!!","")</f>
        <v/>
      </c>
      <c r="F3727" s="22" t="str">
        <f>IF(OR(E3727="",E3727="!!!"),"",IF(NOT(ISNA(VLOOKUP(E3727,E$1:E3726,1,FALSE()))),"OLD",IF(AND(E3727&lt;&gt;"",E3727&lt;&gt;"!!!"),"NEW","")))</f>
        <v> </v>
      </c>
      <c r="G3727" s="23" t="str">
        <f>IF(OR(E3727="",E3727="!!!"),"",IF(OR(J3727=0,AND(J3727=1,K3727=1),AND(J3727=1,I3727="SBJ"),AND(J3727=1,I3727=0)),"?IN_FOCUS",IF(J3727&lt;=2,"?ACTIVATED",IF(J3727&lt;&gt;"","?FAMILIAR",IF(F3727="NEW",IF(ISNA(VLOOKUP(E3727,#REF!,1,FALSE())),"?TYPE_IDENTIFIABLE","?REFERENTIAL"),"_")))))</f>
        <v> </v>
      </c>
      <c r="H3727" s="24" t="str">
        <f>IF(J3727&lt;&gt;1,"",IF(I3727="SBJ","CB","?"))</f>
        <v> </v>
      </c>
      <c r="I3727" s="25" t="str">
        <f>IF(OR(E3727="",E3727="!!!",F3727="NEW"),"",INDEX(B3726:B$2,-1+SUMPRODUCT(MAX(ROW(E3726:E$2)*(E3727=E3726:E$2)))))</f>
        <v> </v>
      </c>
      <c r="J3727" s="25" t="str">
        <f>IF(OR(E3727="",E3727="!!!",F3727="NEW"),"",COUNTBLANK(OFFSET(A$1,,,SUMPRODUCT(MAX(ROW(E$2:E3727)*(E3727=E$2:E3727)))))-COUNTBLANK(OFFSET(A$1,,,SUMPRODUCT(MAX(ROW(E$1:E3726)*(E2=E$1:E3726))))))</f>
        <v> </v>
      </c>
      <c r="K3727" s="25" t="str">
        <f>IF(OR(E3727="",E3727="!!!",F3727="NEW"),"",INDEX(J$1:J3726,SUMPRODUCT(MAX(ROW(E$1:E3726)*(E3727=E$1:E3726)))))</f>
        <v> </v>
      </c>
      <c r="L3727" s="26"/>
    </row>
    <row r="3728" spans="1:12">
      <c r="A3728" s="20" t="s">
        <v>1113</v>
      </c>
      <c r="E3728" s="21">
        <f>IF(D3728="?OLD","!!!","")</f>
        <v/>
      </c>
      <c r="F3728" s="22" t="str">
        <f>IF(OR(E3728="",E3728="!!!"),"",IF(NOT(ISNA(VLOOKUP(E3728,E$1:E3727,1,FALSE()))),"OLD",IF(AND(E3728&lt;&gt;"",E3728&lt;&gt;"!!!"),"NEW","")))</f>
        <v> </v>
      </c>
      <c r="G3728" s="23" t="str">
        <f>IF(OR(E3728="",E3728="!!!"),"",IF(OR(J3728=0,AND(J3728=1,K3728=1),AND(J3728=1,I3728="SBJ"),AND(J3728=1,I3728=0)),"?IN_FOCUS",IF(J3728&lt;=2,"?ACTIVATED",IF(J3728&lt;&gt;"","?FAMILIAR",IF(F3728="NEW",IF(ISNA(VLOOKUP(E3728,#REF!,1,FALSE())),"?TYPE_IDENTIFIABLE","?REFERENTIAL"),"_")))))</f>
        <v> </v>
      </c>
      <c r="H3728" s="24" t="str">
        <f>IF(J3728&lt;&gt;1,"",IF(I3728="SBJ","CB","?"))</f>
        <v> </v>
      </c>
      <c r="I3728" s="25" t="str">
        <f>IF(OR(E3728="",E3728="!!!",F3728="NEW"),"",INDEX(B3727:B$2,-1+SUMPRODUCT(MAX(ROW(E3727:E$2)*(E3728=E3727:E$2)))))</f>
        <v> </v>
      </c>
      <c r="J3728" s="25" t="str">
        <f>IF(OR(E3728="",E3728="!!!",F3728="NEW"),"",COUNTBLANK(OFFSET(A$1,,,SUMPRODUCT(MAX(ROW(E$2:E3728)*(E3728=E$2:E3728)))))-COUNTBLANK(OFFSET(A$1,,,SUMPRODUCT(MAX(ROW(E$1:E3727)*(E2=E$1:E3727))))))</f>
        <v> </v>
      </c>
      <c r="K3728" s="25" t="str">
        <f>IF(OR(E3728="",E3728="!!!",F3728="NEW"),"",INDEX(J$1:J3727,SUMPRODUCT(MAX(ROW(E$1:E3727)*(E3728=E$1:E3727)))))</f>
        <v> </v>
      </c>
      <c r="L3728" s="26"/>
    </row>
    <row r="3729" spans="1:12">
      <c r="A3729" s="20" t="s">
        <v>2300</v>
      </c>
      <c r="E3729" s="21">
        <f>IF(D3729="?OLD","!!!","")</f>
        <v/>
      </c>
      <c r="F3729" s="22" t="str">
        <f>IF(OR(E3729="",E3729="!!!"),"",IF(NOT(ISNA(VLOOKUP(E3729,E$1:E3728,1,FALSE()))),"OLD",IF(AND(E3729&lt;&gt;"",E3729&lt;&gt;"!!!"),"NEW","")))</f>
        <v> </v>
      </c>
      <c r="G3729" s="23" t="str">
        <f>IF(OR(E3729="",E3729="!!!"),"",IF(OR(J3729=0,AND(J3729=1,K3729=1),AND(J3729=1,I3729="SBJ"),AND(J3729=1,I3729=0)),"?IN_FOCUS",IF(J3729&lt;=2,"?ACTIVATED",IF(J3729&lt;&gt;"","?FAMILIAR",IF(F3729="NEW",IF(ISNA(VLOOKUP(E3729,#REF!,1,FALSE())),"?TYPE_IDENTIFIABLE","?REFERENTIAL"),"_")))))</f>
        <v> </v>
      </c>
      <c r="H3729" s="24" t="str">
        <f>IF(J3729&lt;&gt;1,"",IF(I3729="SBJ","CB","?"))</f>
        <v> </v>
      </c>
      <c r="I3729" s="25" t="str">
        <f>IF(OR(E3729="",E3729="!!!",F3729="NEW"),"",INDEX(B3728:B$2,-1+SUMPRODUCT(MAX(ROW(E3728:E$2)*(E3729=E3728:E$2)))))</f>
        <v> </v>
      </c>
      <c r="J3729" s="25" t="str">
        <f>IF(OR(E3729="",E3729="!!!",F3729="NEW"),"",COUNTBLANK(OFFSET(A$1,,,SUMPRODUCT(MAX(ROW(E$2:E3729)*(E3729=E$2:E3729)))))-COUNTBLANK(OFFSET(A$1,,,SUMPRODUCT(MAX(ROW(E$1:E3728)*(E2=E$1:E3728))))))</f>
        <v> </v>
      </c>
      <c r="K3729" s="25" t="str">
        <f>IF(OR(E3729="",E3729="!!!",F3729="NEW"),"",INDEX(J$1:J3728,SUMPRODUCT(MAX(ROW(E$1:E3728)*(E3729=E$1:E3728)))))</f>
        <v> </v>
      </c>
      <c r="L3729" s="26"/>
    </row>
    <row r="3730" spans="1:12">
      <c r="A3730" s="20" t="s">
        <v>1128</v>
      </c>
      <c r="E3730" s="21">
        <f>IF(D3730="?OLD","!!!","")</f>
        <v/>
      </c>
      <c r="F3730" s="22" t="str">
        <f>IF(OR(E3730="",E3730="!!!"),"",IF(NOT(ISNA(VLOOKUP(E3730,E$1:E3729,1,FALSE()))),"OLD",IF(AND(E3730&lt;&gt;"",E3730&lt;&gt;"!!!"),"NEW","")))</f>
        <v> </v>
      </c>
      <c r="G3730" s="23" t="str">
        <f>IF(OR(E3730="",E3730="!!!"),"",IF(OR(J3730=0,AND(J3730=1,K3730=1),AND(J3730=1,I3730="SBJ"),AND(J3730=1,I3730=0)),"?IN_FOCUS",IF(J3730&lt;=2,"?ACTIVATED",IF(J3730&lt;&gt;"","?FAMILIAR",IF(F3730="NEW",IF(ISNA(VLOOKUP(E3730,#REF!,1,FALSE())),"?TYPE_IDENTIFIABLE","?REFERENTIAL"),"_")))))</f>
        <v> </v>
      </c>
      <c r="H3730" s="24" t="str">
        <f>IF(J3730&lt;&gt;1,"",IF(I3730="SBJ","CB","?"))</f>
        <v> </v>
      </c>
      <c r="I3730" s="25" t="str">
        <f>IF(OR(E3730="",E3730="!!!",F3730="NEW"),"",INDEX(B3729:B$2,-1+SUMPRODUCT(MAX(ROW(E3729:E$2)*(E3730=E3729:E$2)))))</f>
        <v> </v>
      </c>
      <c r="J3730" s="25" t="str">
        <f>IF(OR(E3730="",E3730="!!!",F3730="NEW"),"",COUNTBLANK(OFFSET(A$1,,,SUMPRODUCT(MAX(ROW(E$2:E3730)*(E3730=E$2:E3730)))))-COUNTBLANK(OFFSET(A$1,,,SUMPRODUCT(MAX(ROW(E$1:E3729)*(E2=E$1:E3729))))))</f>
        <v> </v>
      </c>
      <c r="K3730" s="25" t="str">
        <f>IF(OR(E3730="",E3730="!!!",F3730="NEW"),"",INDEX(J$1:J3729,SUMPRODUCT(MAX(ROW(E$1:E3729)*(E3730=E$1:E3729)))))</f>
        <v> </v>
      </c>
      <c r="L3730" s="26"/>
    </row>
    <row r="3731" spans="1:12">
      <c r="A3731" s="20" t="s">
        <v>2774</v>
      </c>
      <c r="E3731" s="21">
        <f>IF(D3731="?OLD","!!!","")</f>
        <v/>
      </c>
      <c r="F3731" s="22" t="str">
        <f>IF(OR(E3731="",E3731="!!!"),"",IF(NOT(ISNA(VLOOKUP(E3731,E$1:E3730,1,FALSE()))),"OLD",IF(AND(E3731&lt;&gt;"",E3731&lt;&gt;"!!!"),"NEW","")))</f>
        <v> </v>
      </c>
      <c r="G3731" s="23" t="str">
        <f>IF(OR(E3731="",E3731="!!!"),"",IF(OR(J3731=0,AND(J3731=1,K3731=1),AND(J3731=1,I3731="SBJ"),AND(J3731=1,I3731=0)),"?IN_FOCUS",IF(J3731&lt;=2,"?ACTIVATED",IF(J3731&lt;&gt;"","?FAMILIAR",IF(F3731="NEW",IF(ISNA(VLOOKUP(E3731,#REF!,1,FALSE())),"?TYPE_IDENTIFIABLE","?REFERENTIAL"),"_")))))</f>
        <v> </v>
      </c>
      <c r="H3731" s="24" t="str">
        <f>IF(J3731&lt;&gt;1,"",IF(I3731="SBJ","CB","?"))</f>
        <v> </v>
      </c>
      <c r="I3731" s="25" t="str">
        <f>IF(OR(E3731="",E3731="!!!",F3731="NEW"),"",INDEX(B3730:B$2,-1+SUMPRODUCT(MAX(ROW(E3730:E$2)*(E3731=E3730:E$2)))))</f>
        <v> </v>
      </c>
      <c r="J3731" s="25" t="str">
        <f>IF(OR(E3731="",E3731="!!!",F3731="NEW"),"",COUNTBLANK(OFFSET(A$1,,,SUMPRODUCT(MAX(ROW(E$2:E3731)*(E3731=E$2:E3731)))))-COUNTBLANK(OFFSET(A$1,,,SUMPRODUCT(MAX(ROW(E$1:E3730)*(E2=E$1:E3730))))))</f>
        <v> </v>
      </c>
      <c r="K3731" s="25" t="str">
        <f>IF(OR(E3731="",E3731="!!!",F3731="NEW"),"",INDEX(J$1:J3730,SUMPRODUCT(MAX(ROW(E$1:E3730)*(E3731=E$1:E3730)))))</f>
        <v> </v>
      </c>
      <c r="L3731" s="26"/>
    </row>
    <row r="3732" spans="1:12">
      <c r="A3732" s="20" t="s">
        <v>2775</v>
      </c>
      <c r="E3732" s="21">
        <f>IF(D3732="?OLD","!!!","")</f>
        <v/>
      </c>
      <c r="F3732" s="22" t="str">
        <f>IF(OR(E3732="",E3732="!!!"),"",IF(NOT(ISNA(VLOOKUP(E3732,E$1:E3731,1,FALSE()))),"OLD",IF(AND(E3732&lt;&gt;"",E3732&lt;&gt;"!!!"),"NEW","")))</f>
        <v> </v>
      </c>
      <c r="G3732" s="23" t="str">
        <f>IF(OR(E3732="",E3732="!!!"),"",IF(OR(J3732=0,AND(J3732=1,K3732=1),AND(J3732=1,I3732="SBJ"),AND(J3732=1,I3732=0)),"?IN_FOCUS",IF(J3732&lt;=2,"?ACTIVATED",IF(J3732&lt;&gt;"","?FAMILIAR",IF(F3732="NEW",IF(ISNA(VLOOKUP(E3732,#REF!,1,FALSE())),"?TYPE_IDENTIFIABLE","?REFERENTIAL"),"_")))))</f>
        <v> </v>
      </c>
      <c r="H3732" s="24" t="str">
        <f>IF(J3732&lt;&gt;1,"",IF(I3732="SBJ","CB","?"))</f>
        <v> </v>
      </c>
      <c r="I3732" s="25" t="str">
        <f>IF(OR(E3732="",E3732="!!!",F3732="NEW"),"",INDEX(B3731:B$2,-1+SUMPRODUCT(MAX(ROW(E3731:E$2)*(E3732=E3731:E$2)))))</f>
        <v> </v>
      </c>
      <c r="J3732" s="25" t="str">
        <f>IF(OR(E3732="",E3732="!!!",F3732="NEW"),"",COUNTBLANK(OFFSET(A$1,,,SUMPRODUCT(MAX(ROW(E$2:E3732)*(E3732=E$2:E3732)))))-COUNTBLANK(OFFSET(A$1,,,SUMPRODUCT(MAX(ROW(E$1:E3731)*(E2=E$1:E3731))))))</f>
        <v> </v>
      </c>
      <c r="K3732" s="25" t="str">
        <f>IF(OR(E3732="",E3732="!!!",F3732="NEW"),"",INDEX(J$1:J3731,SUMPRODUCT(MAX(ROW(E$1:E3731)*(E3732=E$1:E3731)))))</f>
        <v> </v>
      </c>
      <c r="L3732" s="26"/>
    </row>
    <row r="3733" spans="1:12">
      <c r="A3733" s="20" t="s">
        <v>1123</v>
      </c>
      <c r="E3733" s="21">
        <f>IF(D3733="?OLD","!!!","")</f>
        <v/>
      </c>
      <c r="F3733" s="22" t="str">
        <f>IF(OR(E3733="",E3733="!!!"),"",IF(NOT(ISNA(VLOOKUP(E3733,E$1:E3732,1,FALSE()))),"OLD",IF(AND(E3733&lt;&gt;"",E3733&lt;&gt;"!!!"),"NEW","")))</f>
        <v> </v>
      </c>
      <c r="G3733" s="23" t="str">
        <f>IF(OR(E3733="",E3733="!!!"),"",IF(OR(J3733=0,AND(J3733=1,K3733=1),AND(J3733=1,I3733="SBJ"),AND(J3733=1,I3733=0)),"?IN_FOCUS",IF(J3733&lt;=2,"?ACTIVATED",IF(J3733&lt;&gt;"","?FAMILIAR",IF(F3733="NEW",IF(ISNA(VLOOKUP(E3733,#REF!,1,FALSE())),"?TYPE_IDENTIFIABLE","?REFERENTIAL"),"_")))))</f>
        <v> </v>
      </c>
      <c r="H3733" s="24" t="str">
        <f>IF(J3733&lt;&gt;1,"",IF(I3733="SBJ","CB","?"))</f>
        <v> </v>
      </c>
      <c r="I3733" s="25" t="str">
        <f>IF(OR(E3733="",E3733="!!!",F3733="NEW"),"",INDEX(B3732:B$2,-1+SUMPRODUCT(MAX(ROW(E3732:E$2)*(E3733=E3732:E$2)))))</f>
        <v> </v>
      </c>
      <c r="J3733" s="25" t="str">
        <f>IF(OR(E3733="",E3733="!!!",F3733="NEW"),"",COUNTBLANK(OFFSET(A$1,,,SUMPRODUCT(MAX(ROW(E$2:E3733)*(E3733=E$2:E3733)))))-COUNTBLANK(OFFSET(A$1,,,SUMPRODUCT(MAX(ROW(E$1:E3732)*(E2=E$1:E3732))))))</f>
        <v> </v>
      </c>
      <c r="K3733" s="25" t="str">
        <f>IF(OR(E3733="",E3733="!!!",F3733="NEW"),"",INDEX(J$1:J3732,SUMPRODUCT(MAX(ROW(E$1:E3732)*(E3733=E$1:E3732)))))</f>
        <v> </v>
      </c>
      <c r="L3733" s="26"/>
    </row>
    <row r="3734" spans="1:12">
      <c r="A3734" s="20" t="s">
        <v>1239</v>
      </c>
      <c r="E3734" s="21">
        <f>IF(D3734="?OLD","!!!","")</f>
        <v/>
      </c>
      <c r="F3734" s="22" t="str">
        <f>IF(OR(E3734="",E3734="!!!"),"",IF(NOT(ISNA(VLOOKUP(E3734,E$1:E3733,1,FALSE()))),"OLD",IF(AND(E3734&lt;&gt;"",E3734&lt;&gt;"!!!"),"NEW","")))</f>
        <v> </v>
      </c>
      <c r="G3734" s="23" t="str">
        <f>IF(OR(E3734="",E3734="!!!"),"",IF(OR(J3734=0,AND(J3734=1,K3734=1),AND(J3734=1,I3734="SBJ"),AND(J3734=1,I3734=0)),"?IN_FOCUS",IF(J3734&lt;=2,"?ACTIVATED",IF(J3734&lt;&gt;"","?FAMILIAR",IF(F3734="NEW",IF(ISNA(VLOOKUP(E3734,#REF!,1,FALSE())),"?TYPE_IDENTIFIABLE","?REFERENTIAL"),"_")))))</f>
        <v> </v>
      </c>
      <c r="H3734" s="24" t="str">
        <f>IF(J3734&lt;&gt;1,"",IF(I3734="SBJ","CB","?"))</f>
        <v> </v>
      </c>
      <c r="I3734" s="25" t="str">
        <f>IF(OR(E3734="",E3734="!!!",F3734="NEW"),"",INDEX(B3733:B$2,-1+SUMPRODUCT(MAX(ROW(E3733:E$2)*(E3734=E3733:E$2)))))</f>
        <v> </v>
      </c>
      <c r="J3734" s="25" t="str">
        <f>IF(OR(E3734="",E3734="!!!",F3734="NEW"),"",COUNTBLANK(OFFSET(A$1,,,SUMPRODUCT(MAX(ROW(E$2:E3734)*(E3734=E$2:E3734)))))-COUNTBLANK(OFFSET(A$1,,,SUMPRODUCT(MAX(ROW(E$1:E3733)*(E2=E$1:E3733))))))</f>
        <v> </v>
      </c>
      <c r="K3734" s="25" t="str">
        <f>IF(OR(E3734="",E3734="!!!",F3734="NEW"),"",INDEX(J$1:J3733,SUMPRODUCT(MAX(ROW(E$1:E3733)*(E3734=E$1:E3733)))))</f>
        <v> </v>
      </c>
      <c r="L3734" s="26"/>
    </row>
    <row r="3735" spans="1:12">
      <c r="A3735" s="20" t="s">
        <v>2776</v>
      </c>
      <c r="E3735" s="21">
        <f>IF(D3735="?OLD","!!!","")</f>
        <v/>
      </c>
      <c r="F3735" s="22" t="str">
        <f>IF(OR(E3735="",E3735="!!!"),"",IF(NOT(ISNA(VLOOKUP(E3735,E$1:E3734,1,FALSE()))),"OLD",IF(AND(E3735&lt;&gt;"",E3735&lt;&gt;"!!!"),"NEW","")))</f>
        <v> </v>
      </c>
      <c r="G3735" s="23" t="str">
        <f>IF(OR(E3735="",E3735="!!!"),"",IF(OR(J3735=0,AND(J3735=1,K3735=1),AND(J3735=1,I3735="SBJ"),AND(J3735=1,I3735=0)),"?IN_FOCUS",IF(J3735&lt;=2,"?ACTIVATED",IF(J3735&lt;&gt;"","?FAMILIAR",IF(F3735="NEW",IF(ISNA(VLOOKUP(E3735,#REF!,1,FALSE())),"?TYPE_IDENTIFIABLE","?REFERENTIAL"),"_")))))</f>
        <v> </v>
      </c>
      <c r="H3735" s="24" t="str">
        <f>IF(J3735&lt;&gt;1,"",IF(I3735="SBJ","CB","?"))</f>
        <v> </v>
      </c>
      <c r="I3735" s="25" t="str">
        <f>IF(OR(E3735="",E3735="!!!",F3735="NEW"),"",INDEX(B3734:B$2,-1+SUMPRODUCT(MAX(ROW(E3734:E$2)*(E3735=E3734:E$2)))))</f>
        <v> </v>
      </c>
      <c r="J3735" s="25" t="str">
        <f>IF(OR(E3735="",E3735="!!!",F3735="NEW"),"",COUNTBLANK(OFFSET(A$1,,,SUMPRODUCT(MAX(ROW(E$2:E3735)*(E3735=E$2:E3735)))))-COUNTBLANK(OFFSET(A$1,,,SUMPRODUCT(MAX(ROW(E$1:E3734)*(E2=E$1:E3734))))))</f>
        <v> </v>
      </c>
      <c r="K3735" s="25" t="str">
        <f>IF(OR(E3735="",E3735="!!!",F3735="NEW"),"",INDEX(J$1:J3734,SUMPRODUCT(MAX(ROW(E$1:E3734)*(E3735=E$1:E3734)))))</f>
        <v> </v>
      </c>
      <c r="L3735" s="26"/>
    </row>
    <row r="3736" spans="1:12">
      <c r="A3736" s="20" t="s">
        <v>1309</v>
      </c>
      <c r="E3736" s="21">
        <f>IF(D3736="?OLD","!!!","")</f>
        <v/>
      </c>
      <c r="F3736" s="22" t="str">
        <f>IF(OR(E3736="",E3736="!!!"),"",IF(NOT(ISNA(VLOOKUP(E3736,E$1:E3735,1,FALSE()))),"OLD",IF(AND(E3736&lt;&gt;"",E3736&lt;&gt;"!!!"),"NEW","")))</f>
        <v> </v>
      </c>
      <c r="G3736" s="23" t="str">
        <f>IF(OR(E3736="",E3736="!!!"),"",IF(OR(J3736=0,AND(J3736=1,K3736=1),AND(J3736=1,I3736="SBJ"),AND(J3736=1,I3736=0)),"?IN_FOCUS",IF(J3736&lt;=2,"?ACTIVATED",IF(J3736&lt;&gt;"","?FAMILIAR",IF(F3736="NEW",IF(ISNA(VLOOKUP(E3736,#REF!,1,FALSE())),"?TYPE_IDENTIFIABLE","?REFERENTIAL"),"_")))))</f>
        <v> </v>
      </c>
      <c r="H3736" s="24" t="str">
        <f>IF(J3736&lt;&gt;1,"",IF(I3736="SBJ","CB","?"))</f>
        <v> </v>
      </c>
      <c r="I3736" s="25" t="str">
        <f>IF(OR(E3736="",E3736="!!!",F3736="NEW"),"",INDEX(B3735:B$2,-1+SUMPRODUCT(MAX(ROW(E3735:E$2)*(E3736=E3735:E$2)))))</f>
        <v> </v>
      </c>
      <c r="J3736" s="25" t="str">
        <f>IF(OR(E3736="",E3736="!!!",F3736="NEW"),"",COUNTBLANK(OFFSET(A$1,,,SUMPRODUCT(MAX(ROW(E$2:E3736)*(E3736=E$2:E3736)))))-COUNTBLANK(OFFSET(A$1,,,SUMPRODUCT(MAX(ROW(E$1:E3735)*(E2=E$1:E3735))))))</f>
        <v> </v>
      </c>
      <c r="K3736" s="25" t="str">
        <f>IF(OR(E3736="",E3736="!!!",F3736="NEW"),"",INDEX(J$1:J3735,SUMPRODUCT(MAX(ROW(E$1:E3735)*(E3736=E$1:E3735)))))</f>
        <v> </v>
      </c>
      <c r="L3736" s="26"/>
    </row>
    <row r="3737" spans="1:12">
      <c r="A3737" s="20" t="s">
        <v>1494</v>
      </c>
      <c r="B3737" s="27" t="s">
        <v>1307</v>
      </c>
      <c r="C3737" s="27" t="s">
        <v>1142</v>
      </c>
      <c r="D3737" s="27" t="s">
        <v>1105</v>
      </c>
      <c r="E3737" s="21">
        <f>IF(D3737="?OLD","!!!","")</f>
        <v/>
      </c>
      <c r="F3737" s="22" t="str">
        <f>IF(OR(E3737="",E3737="!!!"),"",IF(NOT(ISNA(VLOOKUP(E3737,E$1:E3736,1,FALSE()))),"OLD",IF(AND(E3737&lt;&gt;"",E3737&lt;&gt;"!!!"),"NEW","")))</f>
        <v> </v>
      </c>
      <c r="G3737" s="23" t="str">
        <f>IF(OR(E3737="",E3737="!!!"),"",IF(OR(J3737=0,AND(J3737=1,K3737=1),AND(J3737=1,I3737="SBJ"),AND(J3737=1,I3737=0)),"?IN_FOCUS",IF(J3737&lt;=2,"?ACTIVATED",IF(J3737&lt;&gt;"","?FAMILIAR",IF(F3737="NEW",IF(ISNA(VLOOKUP(E3737,#REF!,1,FALSE())),"?TYPE_IDENTIFIABLE","?REFERENTIAL"),"_")))))</f>
        <v> </v>
      </c>
      <c r="H3737" s="24" t="str">
        <f>IF(J3737&lt;&gt;1,"",IF(I3737="SBJ","CB","?"))</f>
        <v> </v>
      </c>
      <c r="I3737" s="25" t="str">
        <f>IF(OR(E3737="",E3737="!!!",F3737="NEW"),"",INDEX(B3736:B$2,-1+SUMPRODUCT(MAX(ROW(E3736:E$2)*(E3737=E3736:E$2)))))</f>
        <v> </v>
      </c>
      <c r="J3737" s="25" t="str">
        <f>IF(OR(E3737="",E3737="!!!",F3737="NEW"),"",COUNTBLANK(OFFSET(A$1,,,SUMPRODUCT(MAX(ROW(E$2:E3737)*(E3737=E$2:E3737)))))-COUNTBLANK(OFFSET(A$1,,,SUMPRODUCT(MAX(ROW(E$1:E3736)*(E2=E$1:E3736))))))</f>
        <v> </v>
      </c>
      <c r="K3737" s="25" t="str">
        <f>IF(OR(E3737="",E3737="!!!",F3737="NEW"),"",INDEX(J$1:J3736,SUMPRODUCT(MAX(ROW(E$1:E3736)*(E3737=E$1:E3736)))))</f>
        <v> </v>
      </c>
      <c r="L3737" s="26"/>
    </row>
    <row r="3738" spans="1:12">
      <c r="A3738" s="20" t="s">
        <v>1694</v>
      </c>
      <c r="B3738" s="27" t="s">
        <v>1870</v>
      </c>
      <c r="E3738" s="21">
        <f>IF(D3738="?OLD","!!!","")</f>
        <v/>
      </c>
      <c r="F3738" s="22" t="str">
        <f>IF(OR(E3738="",E3738="!!!"),"",IF(NOT(ISNA(VLOOKUP(E3738,E$1:E3737,1,FALSE()))),"OLD",IF(AND(E3738&lt;&gt;"",E3738&lt;&gt;"!!!"),"NEW","")))</f>
        <v> </v>
      </c>
      <c r="G3738" s="23" t="str">
        <f>IF(OR(E3738="",E3738="!!!"),"",IF(OR(J3738=0,AND(J3738=1,K3738=1),AND(J3738=1,I3738="SBJ"),AND(J3738=1,I3738=0)),"?IN_FOCUS",IF(J3738&lt;=2,"?ACTIVATED",IF(J3738&lt;&gt;"","?FAMILIAR",IF(F3738="NEW",IF(ISNA(VLOOKUP(E3738,#REF!,1,FALSE())),"?TYPE_IDENTIFIABLE","?REFERENTIAL"),"_")))))</f>
        <v> </v>
      </c>
      <c r="H3738" s="24" t="str">
        <f>IF(J3738&lt;&gt;1,"",IF(I3738="SBJ","CB","?"))</f>
        <v> </v>
      </c>
      <c r="I3738" s="25" t="str">
        <f>IF(OR(E3738="",E3738="!!!",F3738="NEW"),"",INDEX(B3737:B$2,-1+SUMPRODUCT(MAX(ROW(E3737:E$2)*(E3738=E3737:E$2)))))</f>
        <v> </v>
      </c>
      <c r="J3738" s="25" t="str">
        <f>IF(OR(E3738="",E3738="!!!",F3738="NEW"),"",COUNTBLANK(OFFSET(A$1,,,SUMPRODUCT(MAX(ROW(E$2:E3738)*(E3738=E$2:E3738)))))-COUNTBLANK(OFFSET(A$1,,,SUMPRODUCT(MAX(ROW(E$1:E3737)*(E2=E$1:E3737))))))</f>
        <v> </v>
      </c>
      <c r="K3738" s="25" t="str">
        <f>IF(OR(E3738="",E3738="!!!",F3738="NEW"),"",INDEX(J$1:J3737,SUMPRODUCT(MAX(ROW(E$1:E3737)*(E3738=E$1:E3737)))))</f>
        <v> </v>
      </c>
      <c r="L3738" s="26"/>
    </row>
    <row r="3739" spans="1:12">
      <c r="A3739" s="20" t="s">
        <v>1145</v>
      </c>
      <c r="E3739" s="21">
        <f>IF(D3739="?OLD","!!!","")</f>
        <v/>
      </c>
      <c r="F3739" s="22" t="str">
        <f>IF(OR(E3739="",E3739="!!!"),"",IF(NOT(ISNA(VLOOKUP(E3739,E$1:E3738,1,FALSE()))),"OLD",IF(AND(E3739&lt;&gt;"",E3739&lt;&gt;"!!!"),"NEW","")))</f>
        <v> </v>
      </c>
      <c r="G3739" s="23" t="str">
        <f>IF(OR(E3739="",E3739="!!!"),"",IF(OR(J3739=0,AND(J3739=1,K3739=1),AND(J3739=1,I3739="SBJ"),AND(J3739=1,I3739=0)),"?IN_FOCUS",IF(J3739&lt;=2,"?ACTIVATED",IF(J3739&lt;&gt;"","?FAMILIAR",IF(F3739="NEW",IF(ISNA(VLOOKUP(E3739,#REF!,1,FALSE())),"?TYPE_IDENTIFIABLE","?REFERENTIAL"),"_")))))</f>
        <v> </v>
      </c>
      <c r="H3739" s="24" t="str">
        <f>IF(J3739&lt;&gt;1,"",IF(I3739="SBJ","CB","?"))</f>
        <v> </v>
      </c>
      <c r="I3739" s="25" t="str">
        <f>IF(OR(E3739="",E3739="!!!",F3739="NEW"),"",INDEX(B3738:B$2,-1+SUMPRODUCT(MAX(ROW(E3738:E$2)*(E3739=E3738:E$2)))))</f>
        <v> </v>
      </c>
      <c r="J3739" s="25" t="str">
        <f>IF(OR(E3739="",E3739="!!!",F3739="NEW"),"",COUNTBLANK(OFFSET(A$1,,,SUMPRODUCT(MAX(ROW(E$2:E3739)*(E3739=E$2:E3739)))))-COUNTBLANK(OFFSET(A$1,,,SUMPRODUCT(MAX(ROW(E$1:E3738)*(E2=E$1:E3738))))))</f>
        <v> </v>
      </c>
      <c r="K3739" s="25" t="str">
        <f>IF(OR(E3739="",E3739="!!!",F3739="NEW"),"",INDEX(J$1:J3738,SUMPRODUCT(MAX(ROW(E$1:E3738)*(E3739=E$1:E3738)))))</f>
        <v> </v>
      </c>
      <c r="L3739" s="26"/>
    </row>
    <row r="3740" spans="1:12">
      <c r="A3740" s="20"/>
    </row>
    <row r="3741" spans="1:12">
      <c r="A3741" s="20" t="s">
        <v>2777</v>
      </c>
    </row>
    <row r="3742" spans="1:12">
      <c r="A3742" s="20" t="s">
        <v>1353</v>
      </c>
      <c r="B3742" s="27" t="s">
        <v>1149</v>
      </c>
      <c r="C3742" s="27" t="s">
        <v>1126</v>
      </c>
      <c r="D3742" s="27" t="s">
        <v>1105</v>
      </c>
      <c r="E3742" s="21">
        <f>IF(D3742="?OLD","!!!","")</f>
        <v/>
      </c>
      <c r="F3742" s="22" t="str">
        <f>IF(OR(E3742="",E3742="!!!"),"",IF(NOT(ISNA(VLOOKUP(E3742,E$1:E3741,1,FALSE()))),"OLD",IF(AND(E3742&lt;&gt;"",E3742&lt;&gt;"!!!"),"NEW","")))</f>
        <v> </v>
      </c>
      <c r="G3742" s="23" t="str">
        <f>IF(OR(E3742="",E3742="!!!"),"",IF(OR(J3742=0,AND(J3742=1,K3742=1),AND(J3742=1,I3742="SBJ"),AND(J3742=1,I3742=0)),"?IN_FOCUS",IF(J3742&lt;=2,"?ACTIVATED",IF(J3742&lt;&gt;"","?FAMILIAR",IF(F3742="NEW",IF(ISNA(VLOOKUP(E3742,#REF!,1,FALSE())),"?TYPE_IDENTIFIABLE","?REFERENTIAL"),"_")))))</f>
        <v> </v>
      </c>
      <c r="H3742" s="24" t="str">
        <f>IF(J3742&lt;&gt;1,"",IF(I3742="SBJ","CB","?"))</f>
        <v> </v>
      </c>
      <c r="I3742" s="25" t="str">
        <f>IF(OR(E3742="",E3742="!!!",F3742="NEW"),"",INDEX(B3741:B$2,-1+SUMPRODUCT(MAX(ROW(E3741:E$2)*(E3742=E3741:E$2)))))</f>
        <v> </v>
      </c>
      <c r="J3742" s="25" t="str">
        <f>IF(OR(E3742="",E3742="!!!",F3742="NEW"),"",COUNTBLANK(OFFSET(A$1,,,SUMPRODUCT(MAX(ROW(E$2:E3742)*(E3742=E$2:E3742)))))-COUNTBLANK(OFFSET(A$1,,,SUMPRODUCT(MAX(ROW(E$1:E3741)*(E2=E$1:E3741))))))</f>
        <v> </v>
      </c>
      <c r="K3742" s="25" t="str">
        <f>IF(OR(E3742="",E3742="!!!",F3742="NEW"),"",INDEX(J$1:J3741,SUMPRODUCT(MAX(ROW(E$1:E3741)*(E3742=E$1:E3741)))))</f>
        <v> </v>
      </c>
      <c r="L3742" s="26"/>
    </row>
    <row r="3743" spans="1:12">
      <c r="A3743" s="20" t="s">
        <v>2778</v>
      </c>
      <c r="E3743" s="21">
        <f>IF(D3743="?OLD","!!!","")</f>
        <v/>
      </c>
      <c r="F3743" s="22" t="str">
        <f>IF(OR(E3743="",E3743="!!!"),"",IF(NOT(ISNA(VLOOKUP(E3743,E$1:E3742,1,FALSE()))),"OLD",IF(AND(E3743&lt;&gt;"",E3743&lt;&gt;"!!!"),"NEW","")))</f>
        <v> </v>
      </c>
      <c r="G3743" s="23" t="str">
        <f>IF(OR(E3743="",E3743="!!!"),"",IF(OR(J3743=0,AND(J3743=1,K3743=1),AND(J3743=1,I3743="SBJ"),AND(J3743=1,I3743=0)),"?IN_FOCUS",IF(J3743&lt;=2,"?ACTIVATED",IF(J3743&lt;&gt;"","?FAMILIAR",IF(F3743="NEW",IF(ISNA(VLOOKUP(E3743,#REF!,1,FALSE())),"?TYPE_IDENTIFIABLE","?REFERENTIAL"),"_")))))</f>
        <v> </v>
      </c>
      <c r="H3743" s="24" t="str">
        <f>IF(J3743&lt;&gt;1,"",IF(I3743="SBJ","CB","?"))</f>
        <v> </v>
      </c>
      <c r="I3743" s="25" t="str">
        <f>IF(OR(E3743="",E3743="!!!",F3743="NEW"),"",INDEX(B3742:B$2,-1+SUMPRODUCT(MAX(ROW(E3742:E$2)*(E3743=E3742:E$2)))))</f>
        <v> </v>
      </c>
      <c r="J3743" s="25" t="str">
        <f>IF(OR(E3743="",E3743="!!!",F3743="NEW"),"",COUNTBLANK(OFFSET(A$1,,,SUMPRODUCT(MAX(ROW(E$2:E3743)*(E3743=E$2:E3743)))))-COUNTBLANK(OFFSET(A$1,,,SUMPRODUCT(MAX(ROW(E$1:E3742)*(E2=E$1:E3742))))))</f>
        <v> </v>
      </c>
      <c r="K3743" s="25" t="str">
        <f>IF(OR(E3743="",E3743="!!!",F3743="NEW"),"",INDEX(J$1:J3742,SUMPRODUCT(MAX(ROW(E$1:E3742)*(E3743=E$1:E3742)))))</f>
        <v> </v>
      </c>
      <c r="L3743" s="26"/>
    </row>
    <row r="3744" spans="1:12">
      <c r="A3744" s="20" t="s">
        <v>1130</v>
      </c>
      <c r="E3744" s="21">
        <f>IF(D3744="?OLD","!!!","")</f>
        <v/>
      </c>
      <c r="F3744" s="22" t="str">
        <f>IF(OR(E3744="",E3744="!!!"),"",IF(NOT(ISNA(VLOOKUP(E3744,E$1:E3743,1,FALSE()))),"OLD",IF(AND(E3744&lt;&gt;"",E3744&lt;&gt;"!!!"),"NEW","")))</f>
        <v> </v>
      </c>
      <c r="G3744" s="23" t="str">
        <f>IF(OR(E3744="",E3744="!!!"),"",IF(OR(J3744=0,AND(J3744=1,K3744=1),AND(J3744=1,I3744="SBJ"),AND(J3744=1,I3744=0)),"?IN_FOCUS",IF(J3744&lt;=2,"?ACTIVATED",IF(J3744&lt;&gt;"","?FAMILIAR",IF(F3744="NEW",IF(ISNA(VLOOKUP(E3744,#REF!,1,FALSE())),"?TYPE_IDENTIFIABLE","?REFERENTIAL"),"_")))))</f>
        <v> </v>
      </c>
      <c r="H3744" s="24" t="str">
        <f>IF(J3744&lt;&gt;1,"",IF(I3744="SBJ","CB","?"))</f>
        <v> </v>
      </c>
      <c r="I3744" s="25" t="str">
        <f>IF(OR(E3744="",E3744="!!!",F3744="NEW"),"",INDEX(B3743:B$2,-1+SUMPRODUCT(MAX(ROW(E3743:E$2)*(E3744=E3743:E$2)))))</f>
        <v> </v>
      </c>
      <c r="J3744" s="25" t="str">
        <f>IF(OR(E3744="",E3744="!!!",F3744="NEW"),"",COUNTBLANK(OFFSET(A$1,,,SUMPRODUCT(MAX(ROW(E$2:E3744)*(E3744=E$2:E3744)))))-COUNTBLANK(OFFSET(A$1,,,SUMPRODUCT(MAX(ROW(E$1:E3743)*(E2=E$1:E3743))))))</f>
        <v> </v>
      </c>
      <c r="K3744" s="25" t="str">
        <f>IF(OR(E3744="",E3744="!!!",F3744="NEW"),"",INDEX(J$1:J3743,SUMPRODUCT(MAX(ROW(E$1:E3743)*(E3744=E$1:E3743)))))</f>
        <v> </v>
      </c>
      <c r="L3744" s="26"/>
    </row>
    <row r="3745" spans="1:12">
      <c r="A3745" s="20" t="s">
        <v>2153</v>
      </c>
      <c r="B3745" s="27" t="s">
        <v>1103</v>
      </c>
      <c r="C3745" s="27" t="s">
        <v>1126</v>
      </c>
      <c r="D3745" s="27" t="s">
        <v>1105</v>
      </c>
      <c r="E3745" s="21">
        <f>IF(D3745="?OLD","!!!","")</f>
        <v/>
      </c>
      <c r="F3745" s="22" t="str">
        <f>IF(OR(E3745="",E3745="!!!"),"",IF(NOT(ISNA(VLOOKUP(E3745,E$1:E3744,1,FALSE()))),"OLD",IF(AND(E3745&lt;&gt;"",E3745&lt;&gt;"!!!"),"NEW","")))</f>
        <v> </v>
      </c>
      <c r="G3745" s="23" t="str">
        <f>IF(OR(E3745="",E3745="!!!"),"",IF(OR(J3745=0,AND(J3745=1,K3745=1),AND(J3745=1,I3745="SBJ"),AND(J3745=1,I3745=0)),"?IN_FOCUS",IF(J3745&lt;=2,"?ACTIVATED",IF(J3745&lt;&gt;"","?FAMILIAR",IF(F3745="NEW",IF(ISNA(VLOOKUP(E3745,#REF!,1,FALSE())),"?TYPE_IDENTIFIABLE","?REFERENTIAL"),"_")))))</f>
        <v> </v>
      </c>
      <c r="H3745" s="24" t="str">
        <f>IF(J3745&lt;&gt;1,"",IF(I3745="SBJ","CB","?"))</f>
        <v> </v>
      </c>
      <c r="I3745" s="25" t="str">
        <f>IF(OR(E3745="",E3745="!!!",F3745="NEW"),"",INDEX(B3744:B$2,-1+SUMPRODUCT(MAX(ROW(E3744:E$2)*(E3745=E3744:E$2)))))</f>
        <v> </v>
      </c>
      <c r="J3745" s="25" t="str">
        <f>IF(OR(E3745="",E3745="!!!",F3745="NEW"),"",COUNTBLANK(OFFSET(A$1,,,SUMPRODUCT(MAX(ROW(E$2:E3745)*(E3745=E$2:E3745)))))-COUNTBLANK(OFFSET(A$1,,,SUMPRODUCT(MAX(ROW(E$1:E3744)*(E2=E$1:E3744))))))</f>
        <v> </v>
      </c>
      <c r="K3745" s="25" t="str">
        <f>IF(OR(E3745="",E3745="!!!",F3745="NEW"),"",INDEX(J$1:J3744,SUMPRODUCT(MAX(ROW(E$1:E3744)*(E3745=E$1:E3744)))))</f>
        <v> </v>
      </c>
      <c r="L3745" s="26"/>
    </row>
    <row r="3746" spans="1:12">
      <c r="A3746" s="20" t="s">
        <v>1249</v>
      </c>
      <c r="E3746" s="21">
        <f>IF(D3746="?OLD","!!!","")</f>
        <v/>
      </c>
      <c r="F3746" s="22" t="str">
        <f>IF(OR(E3746="",E3746="!!!"),"",IF(NOT(ISNA(VLOOKUP(E3746,E$1:E3745,1,FALSE()))),"OLD",IF(AND(E3746&lt;&gt;"",E3746&lt;&gt;"!!!"),"NEW","")))</f>
        <v> </v>
      </c>
      <c r="G3746" s="23" t="str">
        <f>IF(OR(E3746="",E3746="!!!"),"",IF(OR(J3746=0,AND(J3746=1,K3746=1),AND(J3746=1,I3746="SBJ"),AND(J3746=1,I3746=0)),"?IN_FOCUS",IF(J3746&lt;=2,"?ACTIVATED",IF(J3746&lt;&gt;"","?FAMILIAR",IF(F3746="NEW",IF(ISNA(VLOOKUP(E3746,#REF!,1,FALSE())),"?TYPE_IDENTIFIABLE","?REFERENTIAL"),"_")))))</f>
        <v> </v>
      </c>
      <c r="H3746" s="24" t="str">
        <f>IF(J3746&lt;&gt;1,"",IF(I3746="SBJ","CB","?"))</f>
        <v> </v>
      </c>
      <c r="I3746" s="25" t="str">
        <f>IF(OR(E3746="",E3746="!!!",F3746="NEW"),"",INDEX(B3745:B$2,-1+SUMPRODUCT(MAX(ROW(E3745:E$2)*(E3746=E3745:E$2)))))</f>
        <v> </v>
      </c>
      <c r="J3746" s="25" t="str">
        <f>IF(OR(E3746="",E3746="!!!",F3746="NEW"),"",COUNTBLANK(OFFSET(A$1,,,SUMPRODUCT(MAX(ROW(E$2:E3746)*(E3746=E$2:E3746)))))-COUNTBLANK(OFFSET(A$1,,,SUMPRODUCT(MAX(ROW(E$1:E3745)*(E2=E$1:E3745))))))</f>
        <v> </v>
      </c>
      <c r="K3746" s="25" t="str">
        <f>IF(OR(E3746="",E3746="!!!",F3746="NEW"),"",INDEX(J$1:J3745,SUMPRODUCT(MAX(ROW(E$1:E3745)*(E3746=E$1:E3745)))))</f>
        <v> </v>
      </c>
      <c r="L3746" s="26"/>
    </row>
    <row r="3747" spans="1:12">
      <c r="A3747" s="20" t="s">
        <v>1256</v>
      </c>
      <c r="E3747" s="21">
        <f>IF(D3747="?OLD","!!!","")</f>
        <v/>
      </c>
      <c r="F3747" s="22" t="str">
        <f>IF(OR(E3747="",E3747="!!!"),"",IF(NOT(ISNA(VLOOKUP(E3747,E$1:E3746,1,FALSE()))),"OLD",IF(AND(E3747&lt;&gt;"",E3747&lt;&gt;"!!!"),"NEW","")))</f>
        <v> </v>
      </c>
      <c r="G3747" s="23" t="str">
        <f>IF(OR(E3747="",E3747="!!!"),"",IF(OR(J3747=0,AND(J3747=1,K3747=1),AND(J3747=1,I3747="SBJ"),AND(J3747=1,I3747=0)),"?IN_FOCUS",IF(J3747&lt;=2,"?ACTIVATED",IF(J3747&lt;&gt;"","?FAMILIAR",IF(F3747="NEW",IF(ISNA(VLOOKUP(E3747,#REF!,1,FALSE())),"?TYPE_IDENTIFIABLE","?REFERENTIAL"),"_")))))</f>
        <v> </v>
      </c>
      <c r="H3747" s="24" t="str">
        <f>IF(J3747&lt;&gt;1,"",IF(I3747="SBJ","CB","?"))</f>
        <v> </v>
      </c>
      <c r="I3747" s="25" t="str">
        <f>IF(OR(E3747="",E3747="!!!",F3747="NEW"),"",INDEX(B3746:B$2,-1+SUMPRODUCT(MAX(ROW(E3746:E$2)*(E3747=E3746:E$2)))))</f>
        <v> </v>
      </c>
      <c r="J3747" s="25" t="str">
        <f>IF(OR(E3747="",E3747="!!!",F3747="NEW"),"",COUNTBLANK(OFFSET(A$1,,,SUMPRODUCT(MAX(ROW(E$2:E3747)*(E3747=E$2:E3747)))))-COUNTBLANK(OFFSET(A$1,,,SUMPRODUCT(MAX(ROW(E$1:E3746)*(E2=E$1:E3746))))))</f>
        <v> </v>
      </c>
      <c r="K3747" s="25" t="str">
        <f>IF(OR(E3747="",E3747="!!!",F3747="NEW"),"",INDEX(J$1:J3746,SUMPRODUCT(MAX(ROW(E$1:E3746)*(E3747=E$1:E3746)))))</f>
        <v> </v>
      </c>
      <c r="L3747" s="26"/>
    </row>
    <row r="3748" spans="1:12">
      <c r="A3748" s="20" t="s">
        <v>2779</v>
      </c>
      <c r="E3748" s="21">
        <f>IF(D3748="?OLD","!!!","")</f>
        <v/>
      </c>
      <c r="F3748" s="22" t="str">
        <f>IF(OR(E3748="",E3748="!!!"),"",IF(NOT(ISNA(VLOOKUP(E3748,E$1:E3747,1,FALSE()))),"OLD",IF(AND(E3748&lt;&gt;"",E3748&lt;&gt;"!!!"),"NEW","")))</f>
        <v> </v>
      </c>
      <c r="G3748" s="23" t="str">
        <f>IF(OR(E3748="",E3748="!!!"),"",IF(OR(J3748=0,AND(J3748=1,K3748=1),AND(J3748=1,I3748="SBJ"),AND(J3748=1,I3748=0)),"?IN_FOCUS",IF(J3748&lt;=2,"?ACTIVATED",IF(J3748&lt;&gt;"","?FAMILIAR",IF(F3748="NEW",IF(ISNA(VLOOKUP(E3748,#REF!,1,FALSE())),"?TYPE_IDENTIFIABLE","?REFERENTIAL"),"_")))))</f>
        <v> </v>
      </c>
      <c r="H3748" s="24" t="str">
        <f>IF(J3748&lt;&gt;1,"",IF(I3748="SBJ","CB","?"))</f>
        <v> </v>
      </c>
      <c r="I3748" s="25" t="str">
        <f>IF(OR(E3748="",E3748="!!!",F3748="NEW"),"",INDEX(B3747:B$2,-1+SUMPRODUCT(MAX(ROW(E3747:E$2)*(E3748=E3747:E$2)))))</f>
        <v> </v>
      </c>
      <c r="J3748" s="25" t="str">
        <f>IF(OR(E3748="",E3748="!!!",F3748="NEW"),"",COUNTBLANK(OFFSET(A$1,,,SUMPRODUCT(MAX(ROW(E$2:E3748)*(E3748=E$2:E3748)))))-COUNTBLANK(OFFSET(A$1,,,SUMPRODUCT(MAX(ROW(E$1:E3747)*(E2=E$1:E3747))))))</f>
        <v> </v>
      </c>
      <c r="K3748" s="25" t="str">
        <f>IF(OR(E3748="",E3748="!!!",F3748="NEW"),"",INDEX(J$1:J3747,SUMPRODUCT(MAX(ROW(E$1:E3747)*(E3748=E$1:E3747)))))</f>
        <v> </v>
      </c>
      <c r="L3748" s="26"/>
    </row>
    <row r="3749" spans="1:12">
      <c r="A3749" s="20" t="s">
        <v>2780</v>
      </c>
      <c r="E3749" s="21">
        <f>IF(D3749="?OLD","!!!","")</f>
        <v/>
      </c>
      <c r="F3749" s="22" t="str">
        <f>IF(OR(E3749="",E3749="!!!"),"",IF(NOT(ISNA(VLOOKUP(E3749,E$1:E3748,1,FALSE()))),"OLD",IF(AND(E3749&lt;&gt;"",E3749&lt;&gt;"!!!"),"NEW","")))</f>
        <v> </v>
      </c>
      <c r="G3749" s="23" t="str">
        <f>IF(OR(E3749="",E3749="!!!"),"",IF(OR(J3749=0,AND(J3749=1,K3749=1),AND(J3749=1,I3749="SBJ"),AND(J3749=1,I3749=0)),"?IN_FOCUS",IF(J3749&lt;=2,"?ACTIVATED",IF(J3749&lt;&gt;"","?FAMILIAR",IF(F3749="NEW",IF(ISNA(VLOOKUP(E3749,#REF!,1,FALSE())),"?TYPE_IDENTIFIABLE","?REFERENTIAL"),"_")))))</f>
        <v> </v>
      </c>
      <c r="H3749" s="24" t="str">
        <f>IF(J3749&lt;&gt;1,"",IF(I3749="SBJ","CB","?"))</f>
        <v> </v>
      </c>
      <c r="I3749" s="25" t="str">
        <f>IF(OR(E3749="",E3749="!!!",F3749="NEW"),"",INDEX(B3748:B$2,-1+SUMPRODUCT(MAX(ROW(E3748:E$2)*(E3749=E3748:E$2)))))</f>
        <v> </v>
      </c>
      <c r="J3749" s="25" t="str">
        <f>IF(OR(E3749="",E3749="!!!",F3749="NEW"),"",COUNTBLANK(OFFSET(A$1,,,SUMPRODUCT(MAX(ROW(E$2:E3749)*(E3749=E$2:E3749)))))-COUNTBLANK(OFFSET(A$1,,,SUMPRODUCT(MAX(ROW(E$1:E3748)*(E2=E$1:E3748))))))</f>
        <v> </v>
      </c>
      <c r="K3749" s="25" t="str">
        <f>IF(OR(E3749="",E3749="!!!",F3749="NEW"),"",INDEX(J$1:J3748,SUMPRODUCT(MAX(ROW(E$1:E3748)*(E3749=E$1:E3748)))))</f>
        <v> </v>
      </c>
      <c r="L3749" s="26"/>
    </row>
    <row r="3750" spans="1:12">
      <c r="A3750" s="20" t="s">
        <v>1123</v>
      </c>
      <c r="E3750" s="21">
        <f>IF(D3750="?OLD","!!!","")</f>
        <v/>
      </c>
      <c r="F3750" s="22" t="str">
        <f>IF(OR(E3750="",E3750="!!!"),"",IF(NOT(ISNA(VLOOKUP(E3750,E$1:E3749,1,FALSE()))),"OLD",IF(AND(E3750&lt;&gt;"",E3750&lt;&gt;"!!!"),"NEW","")))</f>
        <v> </v>
      </c>
      <c r="G3750" s="23" t="str">
        <f>IF(OR(E3750="",E3750="!!!"),"",IF(OR(J3750=0,AND(J3750=1,K3750=1),AND(J3750=1,I3750="SBJ"),AND(J3750=1,I3750=0)),"?IN_FOCUS",IF(J3750&lt;=2,"?ACTIVATED",IF(J3750&lt;&gt;"","?FAMILIAR",IF(F3750="NEW",IF(ISNA(VLOOKUP(E3750,#REF!,1,FALSE())),"?TYPE_IDENTIFIABLE","?REFERENTIAL"),"_")))))</f>
        <v> </v>
      </c>
      <c r="H3750" s="24" t="str">
        <f>IF(J3750&lt;&gt;1,"",IF(I3750="SBJ","CB","?"))</f>
        <v> </v>
      </c>
      <c r="I3750" s="25" t="str">
        <f>IF(OR(E3750="",E3750="!!!",F3750="NEW"),"",INDEX(B3749:B$2,-1+SUMPRODUCT(MAX(ROW(E3749:E$2)*(E3750=E3749:E$2)))))</f>
        <v> </v>
      </c>
      <c r="J3750" s="25" t="str">
        <f>IF(OR(E3750="",E3750="!!!",F3750="NEW"),"",COUNTBLANK(OFFSET(A$1,,,SUMPRODUCT(MAX(ROW(E$2:E3750)*(E3750=E$2:E3750)))))-COUNTBLANK(OFFSET(A$1,,,SUMPRODUCT(MAX(ROW(E$1:E3749)*(E2=E$1:E3749))))))</f>
        <v> </v>
      </c>
      <c r="K3750" s="25" t="str">
        <f>IF(OR(E3750="",E3750="!!!",F3750="NEW"),"",INDEX(J$1:J3749,SUMPRODUCT(MAX(ROW(E$1:E3749)*(E3750=E$1:E3749)))))</f>
        <v> </v>
      </c>
      <c r="L3750" s="26"/>
    </row>
    <row r="3751" spans="1:12">
      <c r="A3751" s="20" t="s">
        <v>2781</v>
      </c>
      <c r="E3751" s="21">
        <f>IF(D3751="?OLD","!!!","")</f>
        <v/>
      </c>
      <c r="F3751" s="22" t="str">
        <f>IF(OR(E3751="",E3751="!!!"),"",IF(NOT(ISNA(VLOOKUP(E3751,E$1:E3750,1,FALSE()))),"OLD",IF(AND(E3751&lt;&gt;"",E3751&lt;&gt;"!!!"),"NEW","")))</f>
        <v> </v>
      </c>
      <c r="G3751" s="23" t="str">
        <f>IF(OR(E3751="",E3751="!!!"),"",IF(OR(J3751=0,AND(J3751=1,K3751=1),AND(J3751=1,I3751="SBJ"),AND(J3751=1,I3751=0)),"?IN_FOCUS",IF(J3751&lt;=2,"?ACTIVATED",IF(J3751&lt;&gt;"","?FAMILIAR",IF(F3751="NEW",IF(ISNA(VLOOKUP(E3751,#REF!,1,FALSE())),"?TYPE_IDENTIFIABLE","?REFERENTIAL"),"_")))))</f>
        <v> </v>
      </c>
      <c r="H3751" s="24" t="str">
        <f>IF(J3751&lt;&gt;1,"",IF(I3751="SBJ","CB","?"))</f>
        <v> </v>
      </c>
      <c r="I3751" s="25" t="str">
        <f>IF(OR(E3751="",E3751="!!!",F3751="NEW"),"",INDEX(B3750:B$2,-1+SUMPRODUCT(MAX(ROW(E3750:E$2)*(E3751=E3750:E$2)))))</f>
        <v> </v>
      </c>
      <c r="J3751" s="25" t="str">
        <f>IF(OR(E3751="",E3751="!!!",F3751="NEW"),"",COUNTBLANK(OFFSET(A$1,,,SUMPRODUCT(MAX(ROW(E$2:E3751)*(E3751=E$2:E3751)))))-COUNTBLANK(OFFSET(A$1,,,SUMPRODUCT(MAX(ROW(E$1:E3750)*(E2=E$1:E3750))))))</f>
        <v> </v>
      </c>
      <c r="K3751" s="25" t="str">
        <f>IF(OR(E3751="",E3751="!!!",F3751="NEW"),"",INDEX(J$1:J3750,SUMPRODUCT(MAX(ROW(E$1:E3750)*(E3751=E$1:E3750)))))</f>
        <v> </v>
      </c>
      <c r="L3751" s="26"/>
    </row>
    <row r="3752" spans="1:12">
      <c r="A3752" s="20" t="s">
        <v>2782</v>
      </c>
      <c r="E3752" s="21">
        <f>IF(D3752="?OLD","!!!","")</f>
        <v/>
      </c>
      <c r="F3752" s="22" t="str">
        <f>IF(OR(E3752="",E3752="!!!"),"",IF(NOT(ISNA(VLOOKUP(E3752,E$1:E3751,1,FALSE()))),"OLD",IF(AND(E3752&lt;&gt;"",E3752&lt;&gt;"!!!"),"NEW","")))</f>
        <v> </v>
      </c>
      <c r="G3752" s="23" t="str">
        <f>IF(OR(E3752="",E3752="!!!"),"",IF(OR(J3752=0,AND(J3752=1,K3752=1),AND(J3752=1,I3752="SBJ"),AND(J3752=1,I3752=0)),"?IN_FOCUS",IF(J3752&lt;=2,"?ACTIVATED",IF(J3752&lt;&gt;"","?FAMILIAR",IF(F3752="NEW",IF(ISNA(VLOOKUP(E3752,#REF!,1,FALSE())),"?TYPE_IDENTIFIABLE","?REFERENTIAL"),"_")))))</f>
        <v> </v>
      </c>
      <c r="H3752" s="24" t="str">
        <f>IF(J3752&lt;&gt;1,"",IF(I3752="SBJ","CB","?"))</f>
        <v> </v>
      </c>
      <c r="I3752" s="25" t="str">
        <f>IF(OR(E3752="",E3752="!!!",F3752="NEW"),"",INDEX(B3751:B$2,-1+SUMPRODUCT(MAX(ROW(E3751:E$2)*(E3752=E3751:E$2)))))</f>
        <v> </v>
      </c>
      <c r="J3752" s="25" t="str">
        <f>IF(OR(E3752="",E3752="!!!",F3752="NEW"),"",COUNTBLANK(OFFSET(A$1,,,SUMPRODUCT(MAX(ROW(E$2:E3752)*(E3752=E$2:E3752)))))-COUNTBLANK(OFFSET(A$1,,,SUMPRODUCT(MAX(ROW(E$1:E3751)*(E2=E$1:E3751))))))</f>
        <v> </v>
      </c>
      <c r="K3752" s="25" t="str">
        <f>IF(OR(E3752="",E3752="!!!",F3752="NEW"),"",INDEX(J$1:J3751,SUMPRODUCT(MAX(ROW(E$1:E3751)*(E3752=E$1:E3751)))))</f>
        <v> </v>
      </c>
      <c r="L3752" s="26"/>
    </row>
    <row r="3753" spans="1:12">
      <c r="A3753" s="20" t="s">
        <v>1184</v>
      </c>
      <c r="E3753" s="21">
        <f>IF(D3753="?OLD","!!!","")</f>
        <v/>
      </c>
      <c r="F3753" s="22" t="str">
        <f>IF(OR(E3753="",E3753="!!!"),"",IF(NOT(ISNA(VLOOKUP(E3753,E$1:E3752,1,FALSE()))),"OLD",IF(AND(E3753&lt;&gt;"",E3753&lt;&gt;"!!!"),"NEW","")))</f>
        <v> </v>
      </c>
      <c r="G3753" s="23" t="str">
        <f>IF(OR(E3753="",E3753="!!!"),"",IF(OR(J3753=0,AND(J3753=1,K3753=1),AND(J3753=1,I3753="SBJ"),AND(J3753=1,I3753=0)),"?IN_FOCUS",IF(J3753&lt;=2,"?ACTIVATED",IF(J3753&lt;&gt;"","?FAMILIAR",IF(F3753="NEW",IF(ISNA(VLOOKUP(E3753,#REF!,1,FALSE())),"?TYPE_IDENTIFIABLE","?REFERENTIAL"),"_")))))</f>
        <v> </v>
      </c>
      <c r="H3753" s="24" t="str">
        <f>IF(J3753&lt;&gt;1,"",IF(I3753="SBJ","CB","?"))</f>
        <v> </v>
      </c>
      <c r="I3753" s="25" t="str">
        <f>IF(OR(E3753="",E3753="!!!",F3753="NEW"),"",INDEX(B3752:B$2,-1+SUMPRODUCT(MAX(ROW(E3752:E$2)*(E3753=E3752:E$2)))))</f>
        <v> </v>
      </c>
      <c r="J3753" s="25" t="str">
        <f>IF(OR(E3753="",E3753="!!!",F3753="NEW"),"",COUNTBLANK(OFFSET(A$1,,,SUMPRODUCT(MAX(ROW(E$2:E3753)*(E3753=E$2:E3753)))))-COUNTBLANK(OFFSET(A$1,,,SUMPRODUCT(MAX(ROW(E$1:E3752)*(E2=E$1:E3752))))))</f>
        <v> </v>
      </c>
      <c r="K3753" s="25" t="str">
        <f>IF(OR(E3753="",E3753="!!!",F3753="NEW"),"",INDEX(J$1:J3752,SUMPRODUCT(MAX(ROW(E$1:E3752)*(E3753=E$1:E3752)))))</f>
        <v> </v>
      </c>
      <c r="L3753" s="26"/>
    </row>
    <row r="3754" spans="1:12">
      <c r="A3754" s="20" t="s">
        <v>2658</v>
      </c>
      <c r="E3754" s="21">
        <f>IF(D3754="?OLD","!!!","")</f>
        <v/>
      </c>
      <c r="F3754" s="22" t="str">
        <f>IF(OR(E3754="",E3754="!!!"),"",IF(NOT(ISNA(VLOOKUP(E3754,E$1:E3753,1,FALSE()))),"OLD",IF(AND(E3754&lt;&gt;"",E3754&lt;&gt;"!!!"),"NEW","")))</f>
        <v> </v>
      </c>
      <c r="G3754" s="23" t="str">
        <f>IF(OR(E3754="",E3754="!!!"),"",IF(OR(J3754=0,AND(J3754=1,K3754=1),AND(J3754=1,I3754="SBJ"),AND(J3754=1,I3754=0)),"?IN_FOCUS",IF(J3754&lt;=2,"?ACTIVATED",IF(J3754&lt;&gt;"","?FAMILIAR",IF(F3754="NEW",IF(ISNA(VLOOKUP(E3754,#REF!,1,FALSE())),"?TYPE_IDENTIFIABLE","?REFERENTIAL"),"_")))))</f>
        <v> </v>
      </c>
      <c r="H3754" s="24" t="str">
        <f>IF(J3754&lt;&gt;1,"",IF(I3754="SBJ","CB","?"))</f>
        <v> </v>
      </c>
      <c r="I3754" s="25" t="str">
        <f>IF(OR(E3754="",E3754="!!!",F3754="NEW"),"",INDEX(B3753:B$2,-1+SUMPRODUCT(MAX(ROW(E3753:E$2)*(E3754=E3753:E$2)))))</f>
        <v> </v>
      </c>
      <c r="J3754" s="25" t="str">
        <f>IF(OR(E3754="",E3754="!!!",F3754="NEW"),"",COUNTBLANK(OFFSET(A$1,,,SUMPRODUCT(MAX(ROW(E$2:E3754)*(E3754=E$2:E3754)))))-COUNTBLANK(OFFSET(A$1,,,SUMPRODUCT(MAX(ROW(E$1:E3753)*(E2=E$1:E3753))))))</f>
        <v> </v>
      </c>
      <c r="K3754" s="25" t="str">
        <f>IF(OR(E3754="",E3754="!!!",F3754="NEW"),"",INDEX(J$1:J3753,SUMPRODUCT(MAX(ROW(E$1:E3753)*(E3754=E$1:E3753)))))</f>
        <v> </v>
      </c>
      <c r="L3754" s="26"/>
    </row>
    <row r="3755" spans="1:12">
      <c r="A3755" s="20" t="s">
        <v>1145</v>
      </c>
      <c r="E3755" s="21">
        <f>IF(D3755="?OLD","!!!","")</f>
        <v/>
      </c>
      <c r="F3755" s="22" t="str">
        <f>IF(OR(E3755="",E3755="!!!"),"",IF(NOT(ISNA(VLOOKUP(E3755,E$1:E3754,1,FALSE()))),"OLD",IF(AND(E3755&lt;&gt;"",E3755&lt;&gt;"!!!"),"NEW","")))</f>
        <v> </v>
      </c>
      <c r="G3755" s="23" t="str">
        <f>IF(OR(E3755="",E3755="!!!"),"",IF(OR(J3755=0,AND(J3755=1,K3755=1),AND(J3755=1,I3755="SBJ"),AND(J3755=1,I3755=0)),"?IN_FOCUS",IF(J3755&lt;=2,"?ACTIVATED",IF(J3755&lt;&gt;"","?FAMILIAR",IF(F3755="NEW",IF(ISNA(VLOOKUP(E3755,#REF!,1,FALSE())),"?TYPE_IDENTIFIABLE","?REFERENTIAL"),"_")))))</f>
        <v> </v>
      </c>
      <c r="H3755" s="24" t="str">
        <f>IF(J3755&lt;&gt;1,"",IF(I3755="SBJ","CB","?"))</f>
        <v> </v>
      </c>
      <c r="I3755" s="25" t="str">
        <f>IF(OR(E3755="",E3755="!!!",F3755="NEW"),"",INDEX(B3754:B$2,-1+SUMPRODUCT(MAX(ROW(E3754:E$2)*(E3755=E3754:E$2)))))</f>
        <v> </v>
      </c>
      <c r="J3755" s="25" t="str">
        <f>IF(OR(E3755="",E3755="!!!",F3755="NEW"),"",COUNTBLANK(OFFSET(A$1,,,SUMPRODUCT(MAX(ROW(E$2:E3755)*(E3755=E$2:E3755)))))-COUNTBLANK(OFFSET(A$1,,,SUMPRODUCT(MAX(ROW(E$1:E3754)*(E2=E$1:E3754))))))</f>
        <v> </v>
      </c>
      <c r="K3755" s="25" t="str">
        <f>IF(OR(E3755="",E3755="!!!",F3755="NEW"),"",INDEX(J$1:J3754,SUMPRODUCT(MAX(ROW(E$1:E3754)*(E3755=E$1:E3754)))))</f>
        <v> </v>
      </c>
      <c r="L3755" s="26"/>
    </row>
    <row r="3756" spans="1:12">
      <c r="A3756" s="20"/>
    </row>
    <row r="3757" spans="1:12">
      <c r="A3757" s="20" t="s">
        <v>2783</v>
      </c>
    </row>
    <row r="3758" spans="1:12">
      <c r="A3758" s="20" t="s">
        <v>2784</v>
      </c>
      <c r="E3758" s="21">
        <f>IF(D3758="?OLD","!!!","")</f>
        <v/>
      </c>
      <c r="F3758" s="22" t="str">
        <f>IF(OR(E3758="",E3758="!!!"),"",IF(NOT(ISNA(VLOOKUP(E3758,E$1:E3757,1,FALSE()))),"OLD",IF(AND(E3758&lt;&gt;"",E3758&lt;&gt;"!!!"),"NEW","")))</f>
        <v> </v>
      </c>
      <c r="G3758" s="23" t="str">
        <f>IF(OR(E3758="",E3758="!!!"),"",IF(OR(J3758=0,AND(J3758=1,K3758=1),AND(J3758=1,I3758="SBJ"),AND(J3758=1,I3758=0)),"?IN_FOCUS",IF(J3758&lt;=2,"?ACTIVATED",IF(J3758&lt;&gt;"","?FAMILIAR",IF(F3758="NEW",IF(ISNA(VLOOKUP(E3758,#REF!,1,FALSE())),"?TYPE_IDENTIFIABLE","?REFERENTIAL"),"_")))))</f>
        <v> </v>
      </c>
      <c r="H3758" s="24" t="str">
        <f>IF(J3758&lt;&gt;1,"",IF(I3758="SBJ","CB","?"))</f>
        <v> </v>
      </c>
      <c r="I3758" s="25" t="str">
        <f>IF(OR(E3758="",E3758="!!!",F3758="NEW"),"",INDEX(B3757:B$2,-1+SUMPRODUCT(MAX(ROW(E3757:E$2)*(E3758=E3757:E$2)))))</f>
        <v> </v>
      </c>
      <c r="J3758" s="25" t="str">
        <f>IF(OR(E3758="",E3758="!!!",F3758="NEW"),"",COUNTBLANK(OFFSET(A$1,,,SUMPRODUCT(MAX(ROW(E$2:E3758)*(E3758=E$2:E3758)))))-COUNTBLANK(OFFSET(A$1,,,SUMPRODUCT(MAX(ROW(E$1:E3757)*(E2=E$1:E3757))))))</f>
        <v> </v>
      </c>
      <c r="K3758" s="25" t="str">
        <f>IF(OR(E3758="",E3758="!!!",F3758="NEW"),"",INDEX(J$1:J3757,SUMPRODUCT(MAX(ROW(E$1:E3757)*(E3758=E$1:E3757)))))</f>
        <v> </v>
      </c>
      <c r="L3758" s="26"/>
    </row>
    <row r="3759" spans="1:12">
      <c r="A3759" s="20" t="s">
        <v>2785</v>
      </c>
      <c r="B3759" s="27" t="s">
        <v>1149</v>
      </c>
      <c r="E3759" s="21">
        <f>IF(D3759="?OLD","!!!","")</f>
        <v/>
      </c>
      <c r="F3759" s="22" t="str">
        <f>IF(OR(E3759="",E3759="!!!"),"",IF(NOT(ISNA(VLOOKUP(E3759,E$1:E3758,1,FALSE()))),"OLD",IF(AND(E3759&lt;&gt;"",E3759&lt;&gt;"!!!"),"NEW","")))</f>
        <v> </v>
      </c>
      <c r="G3759" s="23" t="str">
        <f>IF(OR(E3759="",E3759="!!!"),"",IF(OR(J3759=0,AND(J3759=1,K3759=1),AND(J3759=1,I3759="SBJ"),AND(J3759=1,I3759=0)),"?IN_FOCUS",IF(J3759&lt;=2,"?ACTIVATED",IF(J3759&lt;&gt;"","?FAMILIAR",IF(F3759="NEW",IF(ISNA(VLOOKUP(E3759,#REF!,1,FALSE())),"?TYPE_IDENTIFIABLE","?REFERENTIAL"),"_")))))</f>
        <v> </v>
      </c>
      <c r="H3759" s="24" t="str">
        <f>IF(J3759&lt;&gt;1,"",IF(I3759="SBJ","CB","?"))</f>
        <v> </v>
      </c>
      <c r="I3759" s="25" t="str">
        <f>IF(OR(E3759="",E3759="!!!",F3759="NEW"),"",INDEX(B3758:B$2,-1+SUMPRODUCT(MAX(ROW(E3758:E$2)*(E3759=E3758:E$2)))))</f>
        <v> </v>
      </c>
      <c r="J3759" s="25" t="str">
        <f>IF(OR(E3759="",E3759="!!!",F3759="NEW"),"",COUNTBLANK(OFFSET(A$1,,,SUMPRODUCT(MAX(ROW(E$2:E3759)*(E3759=E$2:E3759)))))-COUNTBLANK(OFFSET(A$1,,,SUMPRODUCT(MAX(ROW(E$1:E3758)*(E2=E$1:E3758))))))</f>
        <v> </v>
      </c>
      <c r="K3759" s="25" t="str">
        <f>IF(OR(E3759="",E3759="!!!",F3759="NEW"),"",INDEX(J$1:J3758,SUMPRODUCT(MAX(ROW(E$1:E3758)*(E3759=E$1:E3758)))))</f>
        <v> </v>
      </c>
      <c r="L3759" s="26"/>
    </row>
    <row r="3760" spans="1:12">
      <c r="A3760" s="20" t="s">
        <v>1123</v>
      </c>
      <c r="E3760" s="21">
        <f>IF(D3760="?OLD","!!!","")</f>
        <v/>
      </c>
      <c r="F3760" s="22" t="str">
        <f>IF(OR(E3760="",E3760="!!!"),"",IF(NOT(ISNA(VLOOKUP(E3760,E$1:E3759,1,FALSE()))),"OLD",IF(AND(E3760&lt;&gt;"",E3760&lt;&gt;"!!!"),"NEW","")))</f>
        <v> </v>
      </c>
      <c r="G3760" s="23" t="str">
        <f>IF(OR(E3760="",E3760="!!!"),"",IF(OR(J3760=0,AND(J3760=1,K3760=1),AND(J3760=1,I3760="SBJ"),AND(J3760=1,I3760=0)),"?IN_FOCUS",IF(J3760&lt;=2,"?ACTIVATED",IF(J3760&lt;&gt;"","?FAMILIAR",IF(F3760="NEW",IF(ISNA(VLOOKUP(E3760,#REF!,1,FALSE())),"?TYPE_IDENTIFIABLE","?REFERENTIAL"),"_")))))</f>
        <v> </v>
      </c>
      <c r="H3760" s="24" t="str">
        <f>IF(J3760&lt;&gt;1,"",IF(I3760="SBJ","CB","?"))</f>
        <v> </v>
      </c>
      <c r="I3760" s="25" t="str">
        <f>IF(OR(E3760="",E3760="!!!",F3760="NEW"),"",INDEX(B3759:B$2,-1+SUMPRODUCT(MAX(ROW(E3759:E$2)*(E3760=E3759:E$2)))))</f>
        <v> </v>
      </c>
      <c r="J3760" s="25" t="str">
        <f>IF(OR(E3760="",E3760="!!!",F3760="NEW"),"",COUNTBLANK(OFFSET(A$1,,,SUMPRODUCT(MAX(ROW(E$2:E3760)*(E3760=E$2:E3760)))))-COUNTBLANK(OFFSET(A$1,,,SUMPRODUCT(MAX(ROW(E$1:E3759)*(E2=E$1:E3759))))))</f>
        <v> </v>
      </c>
      <c r="K3760" s="25" t="str">
        <f>IF(OR(E3760="",E3760="!!!",F3760="NEW"),"",INDEX(J$1:J3759,SUMPRODUCT(MAX(ROW(E$1:E3759)*(E3760=E$1:E3759)))))</f>
        <v> </v>
      </c>
      <c r="L3760" s="26"/>
    </row>
    <row r="3761" spans="1:12">
      <c r="A3761" s="20" t="s">
        <v>2786</v>
      </c>
      <c r="E3761" s="21">
        <f>IF(D3761="?OLD","!!!","")</f>
        <v/>
      </c>
      <c r="F3761" s="22" t="str">
        <f>IF(OR(E3761="",E3761="!!!"),"",IF(NOT(ISNA(VLOOKUP(E3761,E$1:E3760,1,FALSE()))),"OLD",IF(AND(E3761&lt;&gt;"",E3761&lt;&gt;"!!!"),"NEW","")))</f>
        <v> </v>
      </c>
      <c r="G3761" s="23" t="str">
        <f>IF(OR(E3761="",E3761="!!!"),"",IF(OR(J3761=0,AND(J3761=1,K3761=1),AND(J3761=1,I3761="SBJ"),AND(J3761=1,I3761=0)),"?IN_FOCUS",IF(J3761&lt;=2,"?ACTIVATED",IF(J3761&lt;&gt;"","?FAMILIAR",IF(F3761="NEW",IF(ISNA(VLOOKUP(E3761,#REF!,1,FALSE())),"?TYPE_IDENTIFIABLE","?REFERENTIAL"),"_")))))</f>
        <v> </v>
      </c>
      <c r="H3761" s="24" t="str">
        <f>IF(J3761&lt;&gt;1,"",IF(I3761="SBJ","CB","?"))</f>
        <v> </v>
      </c>
      <c r="I3761" s="25" t="str">
        <f>IF(OR(E3761="",E3761="!!!",F3761="NEW"),"",INDEX(B3760:B$2,-1+SUMPRODUCT(MAX(ROW(E3760:E$2)*(E3761=E3760:E$2)))))</f>
        <v> </v>
      </c>
      <c r="J3761" s="25" t="str">
        <f>IF(OR(E3761="",E3761="!!!",F3761="NEW"),"",COUNTBLANK(OFFSET(A$1,,,SUMPRODUCT(MAX(ROW(E$2:E3761)*(E3761=E$2:E3761)))))-COUNTBLANK(OFFSET(A$1,,,SUMPRODUCT(MAX(ROW(E$1:E3760)*(E2=E$1:E3760))))))</f>
        <v> </v>
      </c>
      <c r="K3761" s="25" t="str">
        <f>IF(OR(E3761="",E3761="!!!",F3761="NEW"),"",INDEX(J$1:J3760,SUMPRODUCT(MAX(ROW(E$1:E3760)*(E3761=E$1:E3760)))))</f>
        <v> </v>
      </c>
      <c r="L3761" s="26"/>
    </row>
    <row r="3762" spans="1:12">
      <c r="A3762" s="20" t="s">
        <v>1121</v>
      </c>
      <c r="E3762" s="21">
        <f>IF(D3762="?OLD","!!!","")</f>
        <v/>
      </c>
      <c r="F3762" s="22" t="str">
        <f>IF(OR(E3762="",E3762="!!!"),"",IF(NOT(ISNA(VLOOKUP(E3762,E$1:E3761,1,FALSE()))),"OLD",IF(AND(E3762&lt;&gt;"",E3762&lt;&gt;"!!!"),"NEW","")))</f>
        <v> </v>
      </c>
      <c r="G3762" s="23" t="str">
        <f>IF(OR(E3762="",E3762="!!!"),"",IF(OR(J3762=0,AND(J3762=1,K3762=1),AND(J3762=1,I3762="SBJ"),AND(J3762=1,I3762=0)),"?IN_FOCUS",IF(J3762&lt;=2,"?ACTIVATED",IF(J3762&lt;&gt;"","?FAMILIAR",IF(F3762="NEW",IF(ISNA(VLOOKUP(E3762,#REF!,1,FALSE())),"?TYPE_IDENTIFIABLE","?REFERENTIAL"),"_")))))</f>
        <v> </v>
      </c>
      <c r="H3762" s="24" t="str">
        <f>IF(J3762&lt;&gt;1,"",IF(I3762="SBJ","CB","?"))</f>
        <v> </v>
      </c>
      <c r="I3762" s="25" t="str">
        <f>IF(OR(E3762="",E3762="!!!",F3762="NEW"),"",INDEX(B3761:B$2,-1+SUMPRODUCT(MAX(ROW(E3761:E$2)*(E3762=E3761:E$2)))))</f>
        <v> </v>
      </c>
      <c r="J3762" s="25" t="str">
        <f>IF(OR(E3762="",E3762="!!!",F3762="NEW"),"",COUNTBLANK(OFFSET(A$1,,,SUMPRODUCT(MAX(ROW(E$2:E3762)*(E3762=E$2:E3762)))))-COUNTBLANK(OFFSET(A$1,,,SUMPRODUCT(MAX(ROW(E$1:E3761)*(E2=E$1:E3761))))))</f>
        <v> </v>
      </c>
      <c r="K3762" s="25" t="str">
        <f>IF(OR(E3762="",E3762="!!!",F3762="NEW"),"",INDEX(J$1:J3761,SUMPRODUCT(MAX(ROW(E$1:E3761)*(E3762=E$1:E3761)))))</f>
        <v> </v>
      </c>
      <c r="L3762" s="26"/>
    </row>
    <row r="3763" spans="1:12">
      <c r="A3763" s="20" t="s">
        <v>1475</v>
      </c>
      <c r="E3763" s="21">
        <f>IF(D3763="?OLD","!!!","")</f>
        <v/>
      </c>
      <c r="F3763" s="22" t="str">
        <f>IF(OR(E3763="",E3763="!!!"),"",IF(NOT(ISNA(VLOOKUP(E3763,E$1:E3762,1,FALSE()))),"OLD",IF(AND(E3763&lt;&gt;"",E3763&lt;&gt;"!!!"),"NEW","")))</f>
        <v> </v>
      </c>
      <c r="G3763" s="23" t="str">
        <f>IF(OR(E3763="",E3763="!!!"),"",IF(OR(J3763=0,AND(J3763=1,K3763=1),AND(J3763=1,I3763="SBJ"),AND(J3763=1,I3763=0)),"?IN_FOCUS",IF(J3763&lt;=2,"?ACTIVATED",IF(J3763&lt;&gt;"","?FAMILIAR",IF(F3763="NEW",IF(ISNA(VLOOKUP(E3763,#REF!,1,FALSE())),"?TYPE_IDENTIFIABLE","?REFERENTIAL"),"_")))))</f>
        <v> </v>
      </c>
      <c r="H3763" s="24" t="str">
        <f>IF(J3763&lt;&gt;1,"",IF(I3763="SBJ","CB","?"))</f>
        <v> </v>
      </c>
      <c r="I3763" s="25" t="str">
        <f>IF(OR(E3763="",E3763="!!!",F3763="NEW"),"",INDEX(B3762:B$2,-1+SUMPRODUCT(MAX(ROW(E3762:E$2)*(E3763=E3762:E$2)))))</f>
        <v> </v>
      </c>
      <c r="J3763" s="25" t="str">
        <f>IF(OR(E3763="",E3763="!!!",F3763="NEW"),"",COUNTBLANK(OFFSET(A$1,,,SUMPRODUCT(MAX(ROW(E$2:E3763)*(E3763=E$2:E3763)))))-COUNTBLANK(OFFSET(A$1,,,SUMPRODUCT(MAX(ROW(E$1:E3762)*(E2=E$1:E3762))))))</f>
        <v> </v>
      </c>
      <c r="K3763" s="25" t="str">
        <f>IF(OR(E3763="",E3763="!!!",F3763="NEW"),"",INDEX(J$1:J3762,SUMPRODUCT(MAX(ROW(E$1:E3762)*(E3763=E$1:E3762)))))</f>
        <v> </v>
      </c>
      <c r="L3763" s="26"/>
    </row>
    <row r="3764" spans="1:12">
      <c r="A3764" s="20" t="s">
        <v>1123</v>
      </c>
      <c r="E3764" s="21">
        <f>IF(D3764="?OLD","!!!","")</f>
        <v/>
      </c>
      <c r="F3764" s="22" t="str">
        <f>IF(OR(E3764="",E3764="!!!"),"",IF(NOT(ISNA(VLOOKUP(E3764,E$1:E3763,1,FALSE()))),"OLD",IF(AND(E3764&lt;&gt;"",E3764&lt;&gt;"!!!"),"NEW","")))</f>
        <v> </v>
      </c>
      <c r="G3764" s="23" t="str">
        <f>IF(OR(E3764="",E3764="!!!"),"",IF(OR(J3764=0,AND(J3764=1,K3764=1),AND(J3764=1,I3764="SBJ"),AND(J3764=1,I3764=0)),"?IN_FOCUS",IF(J3764&lt;=2,"?ACTIVATED",IF(J3764&lt;&gt;"","?FAMILIAR",IF(F3764="NEW",IF(ISNA(VLOOKUP(E3764,#REF!,1,FALSE())),"?TYPE_IDENTIFIABLE","?REFERENTIAL"),"_")))))</f>
        <v> </v>
      </c>
      <c r="H3764" s="24" t="str">
        <f>IF(J3764&lt;&gt;1,"",IF(I3764="SBJ","CB","?"))</f>
        <v> </v>
      </c>
      <c r="I3764" s="25" t="str">
        <f>IF(OR(E3764="",E3764="!!!",F3764="NEW"),"",INDEX(B3763:B$2,-1+SUMPRODUCT(MAX(ROW(E3763:E$2)*(E3764=E3763:E$2)))))</f>
        <v> </v>
      </c>
      <c r="J3764" s="25" t="str">
        <f>IF(OR(E3764="",E3764="!!!",F3764="NEW"),"",COUNTBLANK(OFFSET(A$1,,,SUMPRODUCT(MAX(ROW(E$2:E3764)*(E3764=E$2:E3764)))))-COUNTBLANK(OFFSET(A$1,,,SUMPRODUCT(MAX(ROW(E$1:E3763)*(E2=E$1:E3763))))))</f>
        <v> </v>
      </c>
      <c r="K3764" s="25" t="str">
        <f>IF(OR(E3764="",E3764="!!!",F3764="NEW"),"",INDEX(J$1:J3763,SUMPRODUCT(MAX(ROW(E$1:E3763)*(E3764=E$1:E3763)))))</f>
        <v> </v>
      </c>
      <c r="L3764" s="26"/>
    </row>
    <row r="3765" spans="1:12">
      <c r="A3765" s="20" t="s">
        <v>1121</v>
      </c>
      <c r="E3765" s="21">
        <f>IF(D3765="?OLD","!!!","")</f>
        <v/>
      </c>
      <c r="F3765" s="22" t="str">
        <f>IF(OR(E3765="",E3765="!!!"),"",IF(NOT(ISNA(VLOOKUP(E3765,E$1:E3764,1,FALSE()))),"OLD",IF(AND(E3765&lt;&gt;"",E3765&lt;&gt;"!!!"),"NEW","")))</f>
        <v> </v>
      </c>
      <c r="G3765" s="23" t="str">
        <f>IF(OR(E3765="",E3765="!!!"),"",IF(OR(J3765=0,AND(J3765=1,K3765=1),AND(J3765=1,I3765="SBJ"),AND(J3765=1,I3765=0)),"?IN_FOCUS",IF(J3765&lt;=2,"?ACTIVATED",IF(J3765&lt;&gt;"","?FAMILIAR",IF(F3765="NEW",IF(ISNA(VLOOKUP(E3765,#REF!,1,FALSE())),"?TYPE_IDENTIFIABLE","?REFERENTIAL"),"_")))))</f>
        <v> </v>
      </c>
      <c r="H3765" s="24" t="str">
        <f>IF(J3765&lt;&gt;1,"",IF(I3765="SBJ","CB","?"))</f>
        <v> </v>
      </c>
      <c r="I3765" s="25" t="str">
        <f>IF(OR(E3765="",E3765="!!!",F3765="NEW"),"",INDEX(B3764:B$2,-1+SUMPRODUCT(MAX(ROW(E3764:E$2)*(E3765=E3764:E$2)))))</f>
        <v> </v>
      </c>
      <c r="J3765" s="25" t="str">
        <f>IF(OR(E3765="",E3765="!!!",F3765="NEW"),"",COUNTBLANK(OFFSET(A$1,,,SUMPRODUCT(MAX(ROW(E$2:E3765)*(E3765=E$2:E3765)))))-COUNTBLANK(OFFSET(A$1,,,SUMPRODUCT(MAX(ROW(E$1:E3764)*(E2=E$1:E3764))))))</f>
        <v> </v>
      </c>
      <c r="K3765" s="25" t="str">
        <f>IF(OR(E3765="",E3765="!!!",F3765="NEW"),"",INDEX(J$1:J3764,SUMPRODUCT(MAX(ROW(E$1:E3764)*(E3765=E$1:E3764)))))</f>
        <v> </v>
      </c>
      <c r="L3765" s="26"/>
    </row>
    <row r="3766" spans="1:12">
      <c r="A3766" s="20" t="s">
        <v>2787</v>
      </c>
      <c r="E3766" s="21">
        <f>IF(D3766="?OLD","!!!","")</f>
        <v/>
      </c>
      <c r="F3766" s="22" t="str">
        <f>IF(OR(E3766="",E3766="!!!"),"",IF(NOT(ISNA(VLOOKUP(E3766,E$1:E3765,1,FALSE()))),"OLD",IF(AND(E3766&lt;&gt;"",E3766&lt;&gt;"!!!"),"NEW","")))</f>
        <v> </v>
      </c>
      <c r="G3766" s="23" t="str">
        <f>IF(OR(E3766="",E3766="!!!"),"",IF(OR(J3766=0,AND(J3766=1,K3766=1),AND(J3766=1,I3766="SBJ"),AND(J3766=1,I3766=0)),"?IN_FOCUS",IF(J3766&lt;=2,"?ACTIVATED",IF(J3766&lt;&gt;"","?FAMILIAR",IF(F3766="NEW",IF(ISNA(VLOOKUP(E3766,#REF!,1,FALSE())),"?TYPE_IDENTIFIABLE","?REFERENTIAL"),"_")))))</f>
        <v> </v>
      </c>
      <c r="H3766" s="24" t="str">
        <f>IF(J3766&lt;&gt;1,"",IF(I3766="SBJ","CB","?"))</f>
        <v> </v>
      </c>
      <c r="I3766" s="25" t="str">
        <f>IF(OR(E3766="",E3766="!!!",F3766="NEW"),"",INDEX(B3765:B$2,-1+SUMPRODUCT(MAX(ROW(E3765:E$2)*(E3766=E3765:E$2)))))</f>
        <v> </v>
      </c>
      <c r="J3766" s="25" t="str">
        <f>IF(OR(E3766="",E3766="!!!",F3766="NEW"),"",COUNTBLANK(OFFSET(A$1,,,SUMPRODUCT(MAX(ROW(E$2:E3766)*(E3766=E$2:E3766)))))-COUNTBLANK(OFFSET(A$1,,,SUMPRODUCT(MAX(ROW(E$1:E3765)*(E2=E$1:E3765))))))</f>
        <v> </v>
      </c>
      <c r="K3766" s="25" t="str">
        <f>IF(OR(E3766="",E3766="!!!",F3766="NEW"),"",INDEX(J$1:J3765,SUMPRODUCT(MAX(ROW(E$1:E3765)*(E3766=E$1:E3765)))))</f>
        <v> </v>
      </c>
      <c r="L3766" s="26"/>
    </row>
    <row r="3767" spans="1:12">
      <c r="A3767" s="20" t="s">
        <v>1123</v>
      </c>
      <c r="E3767" s="21">
        <f>IF(D3767="?OLD","!!!","")</f>
        <v/>
      </c>
      <c r="F3767" s="22" t="str">
        <f>IF(OR(E3767="",E3767="!!!"),"",IF(NOT(ISNA(VLOOKUP(E3767,E$1:E3766,1,FALSE()))),"OLD",IF(AND(E3767&lt;&gt;"",E3767&lt;&gt;"!!!"),"NEW","")))</f>
        <v> </v>
      </c>
      <c r="G3767" s="23" t="str">
        <f>IF(OR(E3767="",E3767="!!!"),"",IF(OR(J3767=0,AND(J3767=1,K3767=1),AND(J3767=1,I3767="SBJ"),AND(J3767=1,I3767=0)),"?IN_FOCUS",IF(J3767&lt;=2,"?ACTIVATED",IF(J3767&lt;&gt;"","?FAMILIAR",IF(F3767="NEW",IF(ISNA(VLOOKUP(E3767,#REF!,1,FALSE())),"?TYPE_IDENTIFIABLE","?REFERENTIAL"),"_")))))</f>
        <v> </v>
      </c>
      <c r="H3767" s="24" t="str">
        <f>IF(J3767&lt;&gt;1,"",IF(I3767="SBJ","CB","?"))</f>
        <v> </v>
      </c>
      <c r="I3767" s="25" t="str">
        <f>IF(OR(E3767="",E3767="!!!",F3767="NEW"),"",INDEX(B3766:B$2,-1+SUMPRODUCT(MAX(ROW(E3766:E$2)*(E3767=E3766:E$2)))))</f>
        <v> </v>
      </c>
      <c r="J3767" s="25" t="str">
        <f>IF(OR(E3767="",E3767="!!!",F3767="NEW"),"",COUNTBLANK(OFFSET(A$1,,,SUMPRODUCT(MAX(ROW(E$2:E3767)*(E3767=E$2:E3767)))))-COUNTBLANK(OFFSET(A$1,,,SUMPRODUCT(MAX(ROW(E$1:E3766)*(E2=E$1:E3766))))))</f>
        <v> </v>
      </c>
      <c r="K3767" s="25" t="str">
        <f>IF(OR(E3767="",E3767="!!!",F3767="NEW"),"",INDEX(J$1:J3766,SUMPRODUCT(MAX(ROW(E$1:E3766)*(E3767=E$1:E3766)))))</f>
        <v> </v>
      </c>
      <c r="L3767" s="26"/>
    </row>
    <row r="3768" spans="1:12">
      <c r="A3768" s="20" t="s">
        <v>2788</v>
      </c>
      <c r="E3768" s="21">
        <f>IF(D3768="?OLD","!!!","")</f>
        <v/>
      </c>
      <c r="F3768" s="22" t="str">
        <f>IF(OR(E3768="",E3768="!!!"),"",IF(NOT(ISNA(VLOOKUP(E3768,E$1:E3767,1,FALSE()))),"OLD",IF(AND(E3768&lt;&gt;"",E3768&lt;&gt;"!!!"),"NEW","")))</f>
        <v> </v>
      </c>
      <c r="G3768" s="23" t="str">
        <f>IF(OR(E3768="",E3768="!!!"),"",IF(OR(J3768=0,AND(J3768=1,K3768=1),AND(J3768=1,I3768="SBJ"),AND(J3768=1,I3768=0)),"?IN_FOCUS",IF(J3768&lt;=2,"?ACTIVATED",IF(J3768&lt;&gt;"","?FAMILIAR",IF(F3768="NEW",IF(ISNA(VLOOKUP(E3768,#REF!,1,FALSE())),"?TYPE_IDENTIFIABLE","?REFERENTIAL"),"_")))))</f>
        <v> </v>
      </c>
      <c r="H3768" s="24" t="str">
        <f>IF(J3768&lt;&gt;1,"",IF(I3768="SBJ","CB","?"))</f>
        <v> </v>
      </c>
      <c r="I3768" s="25" t="str">
        <f>IF(OR(E3768="",E3768="!!!",F3768="NEW"),"",INDEX(B3767:B$2,-1+SUMPRODUCT(MAX(ROW(E3767:E$2)*(E3768=E3767:E$2)))))</f>
        <v> </v>
      </c>
      <c r="J3768" s="25" t="str">
        <f>IF(OR(E3768="",E3768="!!!",F3768="NEW"),"",COUNTBLANK(OFFSET(A$1,,,SUMPRODUCT(MAX(ROW(E$2:E3768)*(E3768=E$2:E3768)))))-COUNTBLANK(OFFSET(A$1,,,SUMPRODUCT(MAX(ROW(E$1:E3767)*(E2=E$1:E3767))))))</f>
        <v> </v>
      </c>
      <c r="K3768" s="25" t="str">
        <f>IF(OR(E3768="",E3768="!!!",F3768="NEW"),"",INDEX(J$1:J3767,SUMPRODUCT(MAX(ROW(E$1:E3767)*(E3768=E$1:E3767)))))</f>
        <v> </v>
      </c>
      <c r="L3768" s="26"/>
    </row>
    <row r="3769" spans="1:12">
      <c r="A3769" s="20" t="s">
        <v>2683</v>
      </c>
      <c r="B3769" s="27" t="s">
        <v>1213</v>
      </c>
      <c r="E3769" s="21">
        <f>IF(D3769="?OLD","!!!","")</f>
        <v/>
      </c>
      <c r="F3769" s="22" t="str">
        <f>IF(OR(E3769="",E3769="!!!"),"",IF(NOT(ISNA(VLOOKUP(E3769,E$1:E3768,1,FALSE()))),"OLD",IF(AND(E3769&lt;&gt;"",E3769&lt;&gt;"!!!"),"NEW","")))</f>
        <v> </v>
      </c>
      <c r="G3769" s="23" t="str">
        <f>IF(OR(E3769="",E3769="!!!"),"",IF(OR(J3769=0,AND(J3769=1,K3769=1),AND(J3769=1,I3769="SBJ"),AND(J3769=1,I3769=0)),"?IN_FOCUS",IF(J3769&lt;=2,"?ACTIVATED",IF(J3769&lt;&gt;"","?FAMILIAR",IF(F3769="NEW",IF(ISNA(VLOOKUP(E3769,#REF!,1,FALSE())),"?TYPE_IDENTIFIABLE","?REFERENTIAL"),"_")))))</f>
        <v> </v>
      </c>
      <c r="H3769" s="24" t="str">
        <f>IF(J3769&lt;&gt;1,"",IF(I3769="SBJ","CB","?"))</f>
        <v> </v>
      </c>
      <c r="I3769" s="25" t="str">
        <f>IF(OR(E3769="",E3769="!!!",F3769="NEW"),"",INDEX(B3768:B$2,-1+SUMPRODUCT(MAX(ROW(E3768:E$2)*(E3769=E3768:E$2)))))</f>
        <v> </v>
      </c>
      <c r="J3769" s="25" t="str">
        <f>IF(OR(E3769="",E3769="!!!",F3769="NEW"),"",COUNTBLANK(OFFSET(A$1,,,SUMPRODUCT(MAX(ROW(E$2:E3769)*(E3769=E$2:E3769)))))-COUNTBLANK(OFFSET(A$1,,,SUMPRODUCT(MAX(ROW(E$1:E3768)*(E2=E$1:E3768))))))</f>
        <v> </v>
      </c>
      <c r="K3769" s="25" t="str">
        <f>IF(OR(E3769="",E3769="!!!",F3769="NEW"),"",INDEX(J$1:J3768,SUMPRODUCT(MAX(ROW(E$1:E3768)*(E3769=E$1:E3768)))))</f>
        <v> </v>
      </c>
      <c r="L3769" s="26"/>
    </row>
    <row r="3770" spans="1:12">
      <c r="A3770" s="20" t="s">
        <v>1123</v>
      </c>
      <c r="E3770" s="21">
        <f>IF(D3770="?OLD","!!!","")</f>
        <v/>
      </c>
      <c r="F3770" s="22" t="str">
        <f>IF(OR(E3770="",E3770="!!!"),"",IF(NOT(ISNA(VLOOKUP(E3770,E$1:E3769,1,FALSE()))),"OLD",IF(AND(E3770&lt;&gt;"",E3770&lt;&gt;"!!!"),"NEW","")))</f>
        <v> </v>
      </c>
      <c r="G3770" s="23" t="str">
        <f>IF(OR(E3770="",E3770="!!!"),"",IF(OR(J3770=0,AND(J3770=1,K3770=1),AND(J3770=1,I3770="SBJ"),AND(J3770=1,I3770=0)),"?IN_FOCUS",IF(J3770&lt;=2,"?ACTIVATED",IF(J3770&lt;&gt;"","?FAMILIAR",IF(F3770="NEW",IF(ISNA(VLOOKUP(E3770,#REF!,1,FALSE())),"?TYPE_IDENTIFIABLE","?REFERENTIAL"),"_")))))</f>
        <v> </v>
      </c>
      <c r="H3770" s="24" t="str">
        <f>IF(J3770&lt;&gt;1,"",IF(I3770="SBJ","CB","?"))</f>
        <v> </v>
      </c>
      <c r="I3770" s="25" t="str">
        <f>IF(OR(E3770="",E3770="!!!",F3770="NEW"),"",INDEX(B3769:B$2,-1+SUMPRODUCT(MAX(ROW(E3769:E$2)*(E3770=E3769:E$2)))))</f>
        <v> </v>
      </c>
      <c r="J3770" s="25" t="str">
        <f>IF(OR(E3770="",E3770="!!!",F3770="NEW"),"",COUNTBLANK(OFFSET(A$1,,,SUMPRODUCT(MAX(ROW(E$2:E3770)*(E3770=E$2:E3770)))))-COUNTBLANK(OFFSET(A$1,,,SUMPRODUCT(MAX(ROW(E$1:E3769)*(E2=E$1:E3769))))))</f>
        <v> </v>
      </c>
      <c r="K3770" s="25" t="str">
        <f>IF(OR(E3770="",E3770="!!!",F3770="NEW"),"",INDEX(J$1:J3769,SUMPRODUCT(MAX(ROW(E$1:E3769)*(E3770=E$1:E3769)))))</f>
        <v> </v>
      </c>
      <c r="L3770" s="26"/>
    </row>
    <row r="3771" spans="1:12">
      <c r="A3771" s="20" t="s">
        <v>2789</v>
      </c>
      <c r="E3771" s="21">
        <f>IF(D3771="?OLD","!!!","")</f>
        <v/>
      </c>
      <c r="F3771" s="22" t="str">
        <f>IF(OR(E3771="",E3771="!!!"),"",IF(NOT(ISNA(VLOOKUP(E3771,E$1:E3770,1,FALSE()))),"OLD",IF(AND(E3771&lt;&gt;"",E3771&lt;&gt;"!!!"),"NEW","")))</f>
        <v> </v>
      </c>
      <c r="G3771" s="23" t="str">
        <f>IF(OR(E3771="",E3771="!!!"),"",IF(OR(J3771=0,AND(J3771=1,K3771=1),AND(J3771=1,I3771="SBJ"),AND(J3771=1,I3771=0)),"?IN_FOCUS",IF(J3771&lt;=2,"?ACTIVATED",IF(J3771&lt;&gt;"","?FAMILIAR",IF(F3771="NEW",IF(ISNA(VLOOKUP(E3771,#REF!,1,FALSE())),"?TYPE_IDENTIFIABLE","?REFERENTIAL"),"_")))))</f>
        <v> </v>
      </c>
      <c r="H3771" s="24" t="str">
        <f>IF(J3771&lt;&gt;1,"",IF(I3771="SBJ","CB","?"))</f>
        <v> </v>
      </c>
      <c r="I3771" s="25" t="str">
        <f>IF(OR(E3771="",E3771="!!!",F3771="NEW"),"",INDEX(B3770:B$2,-1+SUMPRODUCT(MAX(ROW(E3770:E$2)*(E3771=E3770:E$2)))))</f>
        <v> </v>
      </c>
      <c r="J3771" s="25" t="str">
        <f>IF(OR(E3771="",E3771="!!!",F3771="NEW"),"",COUNTBLANK(OFFSET(A$1,,,SUMPRODUCT(MAX(ROW(E$2:E3771)*(E3771=E$2:E3771)))))-COUNTBLANK(OFFSET(A$1,,,SUMPRODUCT(MAX(ROW(E$1:E3770)*(E2=E$1:E3770))))))</f>
        <v> </v>
      </c>
      <c r="K3771" s="25" t="str">
        <f>IF(OR(E3771="",E3771="!!!",F3771="NEW"),"",INDEX(J$1:J3770,SUMPRODUCT(MAX(ROW(E$1:E3770)*(E3771=E$1:E3770)))))</f>
        <v> </v>
      </c>
      <c r="L3771" s="26"/>
    </row>
    <row r="3772" spans="1:12">
      <c r="A3772" s="20" t="s">
        <v>2790</v>
      </c>
      <c r="E3772" s="21">
        <f>IF(D3772="?OLD","!!!","")</f>
        <v/>
      </c>
      <c r="F3772" s="22" t="str">
        <f>IF(OR(E3772="",E3772="!!!"),"",IF(NOT(ISNA(VLOOKUP(E3772,E$1:E3771,1,FALSE()))),"OLD",IF(AND(E3772&lt;&gt;"",E3772&lt;&gt;"!!!"),"NEW","")))</f>
        <v> </v>
      </c>
      <c r="G3772" s="23" t="str">
        <f>IF(OR(E3772="",E3772="!!!"),"",IF(OR(J3772=0,AND(J3772=1,K3772=1),AND(J3772=1,I3772="SBJ"),AND(J3772=1,I3772=0)),"?IN_FOCUS",IF(J3772&lt;=2,"?ACTIVATED",IF(J3772&lt;&gt;"","?FAMILIAR",IF(F3772="NEW",IF(ISNA(VLOOKUP(E3772,#REF!,1,FALSE())),"?TYPE_IDENTIFIABLE","?REFERENTIAL"),"_")))))</f>
        <v> </v>
      </c>
      <c r="H3772" s="24" t="str">
        <f>IF(J3772&lt;&gt;1,"",IF(I3772="SBJ","CB","?"))</f>
        <v> </v>
      </c>
      <c r="I3772" s="25" t="str">
        <f>IF(OR(E3772="",E3772="!!!",F3772="NEW"),"",INDEX(B3771:B$2,-1+SUMPRODUCT(MAX(ROW(E3771:E$2)*(E3772=E3771:E$2)))))</f>
        <v> </v>
      </c>
      <c r="J3772" s="25" t="str">
        <f>IF(OR(E3772="",E3772="!!!",F3772="NEW"),"",COUNTBLANK(OFFSET(A$1,,,SUMPRODUCT(MAX(ROW(E$2:E3772)*(E3772=E$2:E3772)))))-COUNTBLANK(OFFSET(A$1,,,SUMPRODUCT(MAX(ROW(E$1:E3771)*(E2=E$1:E3771))))))</f>
        <v> </v>
      </c>
      <c r="K3772" s="25" t="str">
        <f>IF(OR(E3772="",E3772="!!!",F3772="NEW"),"",INDEX(J$1:J3771,SUMPRODUCT(MAX(ROW(E$1:E3771)*(E3772=E$1:E3771)))))</f>
        <v> </v>
      </c>
      <c r="L3772" s="26"/>
    </row>
    <row r="3773" spans="1:12">
      <c r="A3773" s="20" t="s">
        <v>1195</v>
      </c>
      <c r="E3773" s="21">
        <f>IF(D3773="?OLD","!!!","")</f>
        <v/>
      </c>
      <c r="F3773" s="22" t="str">
        <f>IF(OR(E3773="",E3773="!!!"),"",IF(NOT(ISNA(VLOOKUP(E3773,E$1:E3772,1,FALSE()))),"OLD",IF(AND(E3773&lt;&gt;"",E3773&lt;&gt;"!!!"),"NEW","")))</f>
        <v> </v>
      </c>
      <c r="G3773" s="23" t="str">
        <f>IF(OR(E3773="",E3773="!!!"),"",IF(OR(J3773=0,AND(J3773=1,K3773=1),AND(J3773=1,I3773="SBJ"),AND(J3773=1,I3773=0)),"?IN_FOCUS",IF(J3773&lt;=2,"?ACTIVATED",IF(J3773&lt;&gt;"","?FAMILIAR",IF(F3773="NEW",IF(ISNA(VLOOKUP(E3773,#REF!,1,FALSE())),"?TYPE_IDENTIFIABLE","?REFERENTIAL"),"_")))))</f>
        <v> </v>
      </c>
      <c r="H3773" s="24" t="str">
        <f>IF(J3773&lt;&gt;1,"",IF(I3773="SBJ","CB","?"))</f>
        <v> </v>
      </c>
      <c r="I3773" s="25" t="str">
        <f>IF(OR(E3773="",E3773="!!!",F3773="NEW"),"",INDEX(B3772:B$2,-1+SUMPRODUCT(MAX(ROW(E3772:E$2)*(E3773=E3772:E$2)))))</f>
        <v> </v>
      </c>
      <c r="J3773" s="25" t="str">
        <f>IF(OR(E3773="",E3773="!!!",F3773="NEW"),"",COUNTBLANK(OFFSET(A$1,,,SUMPRODUCT(MAX(ROW(E$2:E3773)*(E3773=E$2:E3773)))))-COUNTBLANK(OFFSET(A$1,,,SUMPRODUCT(MAX(ROW(E$1:E3772)*(E2=E$1:E3772))))))</f>
        <v> </v>
      </c>
      <c r="K3773" s="25" t="str">
        <f>IF(OR(E3773="",E3773="!!!",F3773="NEW"),"",INDEX(J$1:J3772,SUMPRODUCT(MAX(ROW(E$1:E3772)*(E3773=E$1:E3772)))))</f>
        <v> </v>
      </c>
      <c r="L3773" s="26"/>
    </row>
    <row r="3774" spans="1:12">
      <c r="A3774" s="20" t="s">
        <v>2791</v>
      </c>
      <c r="E3774" s="21">
        <f>IF(D3774="?OLD","!!!","")</f>
        <v/>
      </c>
      <c r="F3774" s="22" t="str">
        <f>IF(OR(E3774="",E3774="!!!"),"",IF(NOT(ISNA(VLOOKUP(E3774,E$1:E3773,1,FALSE()))),"OLD",IF(AND(E3774&lt;&gt;"",E3774&lt;&gt;"!!!"),"NEW","")))</f>
        <v> </v>
      </c>
      <c r="G3774" s="23" t="str">
        <f>IF(OR(E3774="",E3774="!!!"),"",IF(OR(J3774=0,AND(J3774=1,K3774=1),AND(J3774=1,I3774="SBJ"),AND(J3774=1,I3774=0)),"?IN_FOCUS",IF(J3774&lt;=2,"?ACTIVATED",IF(J3774&lt;&gt;"","?FAMILIAR",IF(F3774="NEW",IF(ISNA(VLOOKUP(E3774,#REF!,1,FALSE())),"?TYPE_IDENTIFIABLE","?REFERENTIAL"),"_")))))</f>
        <v> </v>
      </c>
      <c r="H3774" s="24" t="str">
        <f>IF(J3774&lt;&gt;1,"",IF(I3774="SBJ","CB","?"))</f>
        <v> </v>
      </c>
      <c r="I3774" s="25" t="str">
        <f>IF(OR(E3774="",E3774="!!!",F3774="NEW"),"",INDEX(B3773:B$2,-1+SUMPRODUCT(MAX(ROW(E3773:E$2)*(E3774=E3773:E$2)))))</f>
        <v> </v>
      </c>
      <c r="J3774" s="25" t="str">
        <f>IF(OR(E3774="",E3774="!!!",F3774="NEW"),"",COUNTBLANK(OFFSET(A$1,,,SUMPRODUCT(MAX(ROW(E$2:E3774)*(E3774=E$2:E3774)))))-COUNTBLANK(OFFSET(A$1,,,SUMPRODUCT(MAX(ROW(E$1:E3773)*(E2=E$1:E3773))))))</f>
        <v> </v>
      </c>
      <c r="K3774" s="25" t="str">
        <f>IF(OR(E3774="",E3774="!!!",F3774="NEW"),"",INDEX(J$1:J3773,SUMPRODUCT(MAX(ROW(E$1:E3773)*(E3774=E$1:E3773)))))</f>
        <v> </v>
      </c>
      <c r="L3774" s="26"/>
    </row>
    <row r="3775" spans="1:12">
      <c r="A3775" s="20" t="s">
        <v>1271</v>
      </c>
      <c r="E3775" s="21">
        <f>IF(D3775="?OLD","!!!","")</f>
        <v/>
      </c>
      <c r="F3775" s="22" t="str">
        <f>IF(OR(E3775="",E3775="!!!"),"",IF(NOT(ISNA(VLOOKUP(E3775,E$1:E3774,1,FALSE()))),"OLD",IF(AND(E3775&lt;&gt;"",E3775&lt;&gt;"!!!"),"NEW","")))</f>
        <v> </v>
      </c>
      <c r="G3775" s="23" t="str">
        <f>IF(OR(E3775="",E3775="!!!"),"",IF(OR(J3775=0,AND(J3775=1,K3775=1),AND(J3775=1,I3775="SBJ"),AND(J3775=1,I3775=0)),"?IN_FOCUS",IF(J3775&lt;=2,"?ACTIVATED",IF(J3775&lt;&gt;"","?FAMILIAR",IF(F3775="NEW",IF(ISNA(VLOOKUP(E3775,#REF!,1,FALSE())),"?TYPE_IDENTIFIABLE","?REFERENTIAL"),"_")))))</f>
        <v> </v>
      </c>
      <c r="H3775" s="24" t="str">
        <f>IF(J3775&lt;&gt;1,"",IF(I3775="SBJ","CB","?"))</f>
        <v> </v>
      </c>
      <c r="I3775" s="25" t="str">
        <f>IF(OR(E3775="",E3775="!!!",F3775="NEW"),"",INDEX(B3774:B$2,-1+SUMPRODUCT(MAX(ROW(E3774:E$2)*(E3775=E3774:E$2)))))</f>
        <v> </v>
      </c>
      <c r="J3775" s="25" t="str">
        <f>IF(OR(E3775="",E3775="!!!",F3775="NEW"),"",COUNTBLANK(OFFSET(A$1,,,SUMPRODUCT(MAX(ROW(E$2:E3775)*(E3775=E$2:E3775)))))-COUNTBLANK(OFFSET(A$1,,,SUMPRODUCT(MAX(ROW(E$1:E3774)*(E2=E$1:E3774))))))</f>
        <v> </v>
      </c>
      <c r="K3775" s="25" t="str">
        <f>IF(OR(E3775="",E3775="!!!",F3775="NEW"),"",INDEX(J$1:J3774,SUMPRODUCT(MAX(ROW(E$1:E3774)*(E3775=E$1:E3774)))))</f>
        <v> </v>
      </c>
      <c r="L3775" s="26"/>
    </row>
    <row r="3776" spans="1:12">
      <c r="A3776" s="20" t="s">
        <v>2792</v>
      </c>
      <c r="E3776" s="21">
        <f>IF(D3776="?OLD","!!!","")</f>
        <v/>
      </c>
      <c r="F3776" s="22" t="str">
        <f>IF(OR(E3776="",E3776="!!!"),"",IF(NOT(ISNA(VLOOKUP(E3776,E$1:E3775,1,FALSE()))),"OLD",IF(AND(E3776&lt;&gt;"",E3776&lt;&gt;"!!!"),"NEW","")))</f>
        <v> </v>
      </c>
      <c r="G3776" s="23" t="str">
        <f>IF(OR(E3776="",E3776="!!!"),"",IF(OR(J3776=0,AND(J3776=1,K3776=1),AND(J3776=1,I3776="SBJ"),AND(J3776=1,I3776=0)),"?IN_FOCUS",IF(J3776&lt;=2,"?ACTIVATED",IF(J3776&lt;&gt;"","?FAMILIAR",IF(F3776="NEW",IF(ISNA(VLOOKUP(E3776,#REF!,1,FALSE())),"?TYPE_IDENTIFIABLE","?REFERENTIAL"),"_")))))</f>
        <v> </v>
      </c>
      <c r="H3776" s="24" t="str">
        <f>IF(J3776&lt;&gt;1,"",IF(I3776="SBJ","CB","?"))</f>
        <v> </v>
      </c>
      <c r="I3776" s="25" t="str">
        <f>IF(OR(E3776="",E3776="!!!",F3776="NEW"),"",INDEX(B3775:B$2,-1+SUMPRODUCT(MAX(ROW(E3775:E$2)*(E3776=E3775:E$2)))))</f>
        <v> </v>
      </c>
      <c r="J3776" s="25" t="str">
        <f>IF(OR(E3776="",E3776="!!!",F3776="NEW"),"",COUNTBLANK(OFFSET(A$1,,,SUMPRODUCT(MAX(ROW(E$2:E3776)*(E3776=E$2:E3776)))))-COUNTBLANK(OFFSET(A$1,,,SUMPRODUCT(MAX(ROW(E$1:E3775)*(E2=E$1:E3775))))))</f>
        <v> </v>
      </c>
      <c r="K3776" s="25" t="str">
        <f>IF(OR(E3776="",E3776="!!!",F3776="NEW"),"",INDEX(J$1:J3775,SUMPRODUCT(MAX(ROW(E$1:E3775)*(E3776=E$1:E3775)))))</f>
        <v> </v>
      </c>
      <c r="L3776" s="26"/>
    </row>
    <row r="3777" spans="1:12">
      <c r="A3777" s="20" t="s">
        <v>1123</v>
      </c>
      <c r="E3777" s="21">
        <f>IF(D3777="?OLD","!!!","")</f>
        <v/>
      </c>
      <c r="F3777" s="22" t="str">
        <f>IF(OR(E3777="",E3777="!!!"),"",IF(NOT(ISNA(VLOOKUP(E3777,E$1:E3776,1,FALSE()))),"OLD",IF(AND(E3777&lt;&gt;"",E3777&lt;&gt;"!!!"),"NEW","")))</f>
        <v> </v>
      </c>
      <c r="G3777" s="23" t="str">
        <f>IF(OR(E3777="",E3777="!!!"),"",IF(OR(J3777=0,AND(J3777=1,K3777=1),AND(J3777=1,I3777="SBJ"),AND(J3777=1,I3777=0)),"?IN_FOCUS",IF(J3777&lt;=2,"?ACTIVATED",IF(J3777&lt;&gt;"","?FAMILIAR",IF(F3777="NEW",IF(ISNA(VLOOKUP(E3777,#REF!,1,FALSE())),"?TYPE_IDENTIFIABLE","?REFERENTIAL"),"_")))))</f>
        <v> </v>
      </c>
      <c r="H3777" s="24" t="str">
        <f>IF(J3777&lt;&gt;1,"",IF(I3777="SBJ","CB","?"))</f>
        <v> </v>
      </c>
      <c r="I3777" s="25" t="str">
        <f>IF(OR(E3777="",E3777="!!!",F3777="NEW"),"",INDEX(B3776:B$2,-1+SUMPRODUCT(MAX(ROW(E3776:E$2)*(E3777=E3776:E$2)))))</f>
        <v> </v>
      </c>
      <c r="J3777" s="25" t="str">
        <f>IF(OR(E3777="",E3777="!!!",F3777="NEW"),"",COUNTBLANK(OFFSET(A$1,,,SUMPRODUCT(MAX(ROW(E$2:E3777)*(E3777=E$2:E3777)))))-COUNTBLANK(OFFSET(A$1,,,SUMPRODUCT(MAX(ROW(E$1:E3776)*(E2=E$1:E3776))))))</f>
        <v> </v>
      </c>
      <c r="K3777" s="25" t="str">
        <f>IF(OR(E3777="",E3777="!!!",F3777="NEW"),"",INDEX(J$1:J3776,SUMPRODUCT(MAX(ROW(E$1:E3776)*(E3777=E$1:E3776)))))</f>
        <v> </v>
      </c>
      <c r="L3777" s="26"/>
    </row>
    <row r="3778" spans="1:12">
      <c r="A3778" s="20" t="s">
        <v>2188</v>
      </c>
      <c r="E3778" s="21">
        <f>IF(D3778="?OLD","!!!","")</f>
        <v/>
      </c>
      <c r="F3778" s="22" t="str">
        <f>IF(OR(E3778="",E3778="!!!"),"",IF(NOT(ISNA(VLOOKUP(E3778,E$1:E3777,1,FALSE()))),"OLD",IF(AND(E3778&lt;&gt;"",E3778&lt;&gt;"!!!"),"NEW","")))</f>
        <v> </v>
      </c>
      <c r="G3778" s="23" t="str">
        <f>IF(OR(E3778="",E3778="!!!"),"",IF(OR(J3778=0,AND(J3778=1,K3778=1),AND(J3778=1,I3778="SBJ"),AND(J3778=1,I3778=0)),"?IN_FOCUS",IF(J3778&lt;=2,"?ACTIVATED",IF(J3778&lt;&gt;"","?FAMILIAR",IF(F3778="NEW",IF(ISNA(VLOOKUP(E3778,#REF!,1,FALSE())),"?TYPE_IDENTIFIABLE","?REFERENTIAL"),"_")))))</f>
        <v> </v>
      </c>
      <c r="H3778" s="24" t="str">
        <f>IF(J3778&lt;&gt;1,"",IF(I3778="SBJ","CB","?"))</f>
        <v> </v>
      </c>
      <c r="I3778" s="25" t="str">
        <f>IF(OR(E3778="",E3778="!!!",F3778="NEW"),"",INDEX(B3777:B$2,-1+SUMPRODUCT(MAX(ROW(E3777:E$2)*(E3778=E3777:E$2)))))</f>
        <v> </v>
      </c>
      <c r="J3778" s="25" t="str">
        <f>IF(OR(E3778="",E3778="!!!",F3778="NEW"),"",COUNTBLANK(OFFSET(A$1,,,SUMPRODUCT(MAX(ROW(E$2:E3778)*(E3778=E$2:E3778)))))-COUNTBLANK(OFFSET(A$1,,,SUMPRODUCT(MAX(ROW(E$1:E3777)*(E2=E$1:E3777))))))</f>
        <v> </v>
      </c>
      <c r="K3778" s="25" t="str">
        <f>IF(OR(E3778="",E3778="!!!",F3778="NEW"),"",INDEX(J$1:J3777,SUMPRODUCT(MAX(ROW(E$1:E3777)*(E3778=E$1:E3777)))))</f>
        <v> </v>
      </c>
      <c r="L3778" s="26"/>
    </row>
    <row r="3779" spans="1:12">
      <c r="A3779" s="20" t="s">
        <v>2793</v>
      </c>
      <c r="E3779" s="21">
        <f>IF(D3779="?OLD","!!!","")</f>
        <v/>
      </c>
      <c r="F3779" s="22" t="str">
        <f>IF(OR(E3779="",E3779="!!!"),"",IF(NOT(ISNA(VLOOKUP(E3779,E$1:E3778,1,FALSE()))),"OLD",IF(AND(E3779&lt;&gt;"",E3779&lt;&gt;"!!!"),"NEW","")))</f>
        <v> </v>
      </c>
      <c r="G3779" s="23" t="str">
        <f>IF(OR(E3779="",E3779="!!!"),"",IF(OR(J3779=0,AND(J3779=1,K3779=1),AND(J3779=1,I3779="SBJ"),AND(J3779=1,I3779=0)),"?IN_FOCUS",IF(J3779&lt;=2,"?ACTIVATED",IF(J3779&lt;&gt;"","?FAMILIAR",IF(F3779="NEW",IF(ISNA(VLOOKUP(E3779,#REF!,1,FALSE())),"?TYPE_IDENTIFIABLE","?REFERENTIAL"),"_")))))</f>
        <v> </v>
      </c>
      <c r="H3779" s="24" t="str">
        <f>IF(J3779&lt;&gt;1,"",IF(I3779="SBJ","CB","?"))</f>
        <v> </v>
      </c>
      <c r="I3779" s="25" t="str">
        <f>IF(OR(E3779="",E3779="!!!",F3779="NEW"),"",INDEX(B3778:B$2,-1+SUMPRODUCT(MAX(ROW(E3778:E$2)*(E3779=E3778:E$2)))))</f>
        <v> </v>
      </c>
      <c r="J3779" s="25" t="str">
        <f>IF(OR(E3779="",E3779="!!!",F3779="NEW"),"",COUNTBLANK(OFFSET(A$1,,,SUMPRODUCT(MAX(ROW(E$2:E3779)*(E3779=E$2:E3779)))))-COUNTBLANK(OFFSET(A$1,,,SUMPRODUCT(MAX(ROW(E$1:E3778)*(E2=E$1:E3778))))))</f>
        <v> </v>
      </c>
      <c r="K3779" s="25" t="str">
        <f>IF(OR(E3779="",E3779="!!!",F3779="NEW"),"",INDEX(J$1:J3778,SUMPRODUCT(MAX(ROW(E$1:E3778)*(E3779=E$1:E3778)))))</f>
        <v> </v>
      </c>
      <c r="L3779" s="26"/>
    </row>
    <row r="3780" spans="1:12">
      <c r="A3780" s="20" t="s">
        <v>2794</v>
      </c>
      <c r="E3780" s="21">
        <f>IF(D3780="?OLD","!!!","")</f>
        <v/>
      </c>
      <c r="F3780" s="22" t="str">
        <f>IF(OR(E3780="",E3780="!!!"),"",IF(NOT(ISNA(VLOOKUP(E3780,E$1:E3779,1,FALSE()))),"OLD",IF(AND(E3780&lt;&gt;"",E3780&lt;&gt;"!!!"),"NEW","")))</f>
        <v> </v>
      </c>
      <c r="G3780" s="23" t="str">
        <f>IF(OR(E3780="",E3780="!!!"),"",IF(OR(J3780=0,AND(J3780=1,K3780=1),AND(J3780=1,I3780="SBJ"),AND(J3780=1,I3780=0)),"?IN_FOCUS",IF(J3780&lt;=2,"?ACTIVATED",IF(J3780&lt;&gt;"","?FAMILIAR",IF(F3780="NEW",IF(ISNA(VLOOKUP(E3780,#REF!,1,FALSE())),"?TYPE_IDENTIFIABLE","?REFERENTIAL"),"_")))))</f>
        <v> </v>
      </c>
      <c r="H3780" s="24" t="str">
        <f>IF(J3780&lt;&gt;1,"",IF(I3780="SBJ","CB","?"))</f>
        <v> </v>
      </c>
      <c r="I3780" s="25" t="str">
        <f>IF(OR(E3780="",E3780="!!!",F3780="NEW"),"",INDEX(B3779:B$2,-1+SUMPRODUCT(MAX(ROW(E3779:E$2)*(E3780=E3779:E$2)))))</f>
        <v> </v>
      </c>
      <c r="J3780" s="25" t="str">
        <f>IF(OR(E3780="",E3780="!!!",F3780="NEW"),"",COUNTBLANK(OFFSET(A$1,,,SUMPRODUCT(MAX(ROW(E$2:E3780)*(E3780=E$2:E3780)))))-COUNTBLANK(OFFSET(A$1,,,SUMPRODUCT(MAX(ROW(E$1:E3779)*(E2=E$1:E3779))))))</f>
        <v> </v>
      </c>
      <c r="K3780" s="25" t="str">
        <f>IF(OR(E3780="",E3780="!!!",F3780="NEW"),"",INDEX(J$1:J3779,SUMPRODUCT(MAX(ROW(E$1:E3779)*(E3780=E$1:E3779)))))</f>
        <v> </v>
      </c>
      <c r="L3780" s="26"/>
    </row>
    <row r="3781" spans="1:12">
      <c r="A3781" s="20" t="s">
        <v>2795</v>
      </c>
      <c r="E3781" s="21">
        <f>IF(D3781="?OLD","!!!","")</f>
        <v/>
      </c>
      <c r="F3781" s="22" t="str">
        <f>IF(OR(E3781="",E3781="!!!"),"",IF(NOT(ISNA(VLOOKUP(E3781,E$1:E3780,1,FALSE()))),"OLD",IF(AND(E3781&lt;&gt;"",E3781&lt;&gt;"!!!"),"NEW","")))</f>
        <v> </v>
      </c>
      <c r="G3781" s="23" t="str">
        <f>IF(OR(E3781="",E3781="!!!"),"",IF(OR(J3781=0,AND(J3781=1,K3781=1),AND(J3781=1,I3781="SBJ"),AND(J3781=1,I3781=0)),"?IN_FOCUS",IF(J3781&lt;=2,"?ACTIVATED",IF(J3781&lt;&gt;"","?FAMILIAR",IF(F3781="NEW",IF(ISNA(VLOOKUP(E3781,#REF!,1,FALSE())),"?TYPE_IDENTIFIABLE","?REFERENTIAL"),"_")))))</f>
        <v> </v>
      </c>
      <c r="H3781" s="24" t="str">
        <f>IF(J3781&lt;&gt;1,"",IF(I3781="SBJ","CB","?"))</f>
        <v> </v>
      </c>
      <c r="I3781" s="25" t="str">
        <f>IF(OR(E3781="",E3781="!!!",F3781="NEW"),"",INDEX(B3780:B$2,-1+SUMPRODUCT(MAX(ROW(E3780:E$2)*(E3781=E3780:E$2)))))</f>
        <v> </v>
      </c>
      <c r="J3781" s="25" t="str">
        <f>IF(OR(E3781="",E3781="!!!",F3781="NEW"),"",COUNTBLANK(OFFSET(A$1,,,SUMPRODUCT(MAX(ROW(E$2:E3781)*(E3781=E$2:E3781)))))-COUNTBLANK(OFFSET(A$1,,,SUMPRODUCT(MAX(ROW(E$1:E3780)*(E2=E$1:E3780))))))</f>
        <v> </v>
      </c>
      <c r="K3781" s="25" t="str">
        <f>IF(OR(E3781="",E3781="!!!",F3781="NEW"),"",INDEX(J$1:J3780,SUMPRODUCT(MAX(ROW(E$1:E3780)*(E3781=E$1:E3780)))))</f>
        <v> </v>
      </c>
      <c r="L3781" s="26"/>
    </row>
    <row r="3782" spans="1:12">
      <c r="A3782" s="20" t="s">
        <v>1123</v>
      </c>
      <c r="E3782" s="21">
        <f>IF(D3782="?OLD","!!!","")</f>
        <v/>
      </c>
      <c r="F3782" s="22" t="str">
        <f>IF(OR(E3782="",E3782="!!!"),"",IF(NOT(ISNA(VLOOKUP(E3782,E$1:E3781,1,FALSE()))),"OLD",IF(AND(E3782&lt;&gt;"",E3782&lt;&gt;"!!!"),"NEW","")))</f>
        <v> </v>
      </c>
      <c r="G3782" s="23" t="str">
        <f>IF(OR(E3782="",E3782="!!!"),"",IF(OR(J3782=0,AND(J3782=1,K3782=1),AND(J3782=1,I3782="SBJ"),AND(J3782=1,I3782=0)),"?IN_FOCUS",IF(J3782&lt;=2,"?ACTIVATED",IF(J3782&lt;&gt;"","?FAMILIAR",IF(F3782="NEW",IF(ISNA(VLOOKUP(E3782,#REF!,1,FALSE())),"?TYPE_IDENTIFIABLE","?REFERENTIAL"),"_")))))</f>
        <v> </v>
      </c>
      <c r="H3782" s="24" t="str">
        <f>IF(J3782&lt;&gt;1,"",IF(I3782="SBJ","CB","?"))</f>
        <v> </v>
      </c>
      <c r="I3782" s="25" t="str">
        <f>IF(OR(E3782="",E3782="!!!",F3782="NEW"),"",INDEX(B3781:B$2,-1+SUMPRODUCT(MAX(ROW(E3781:E$2)*(E3782=E3781:E$2)))))</f>
        <v> </v>
      </c>
      <c r="J3782" s="25" t="str">
        <f>IF(OR(E3782="",E3782="!!!",F3782="NEW"),"",COUNTBLANK(OFFSET(A$1,,,SUMPRODUCT(MAX(ROW(E$2:E3782)*(E3782=E$2:E3782)))))-COUNTBLANK(OFFSET(A$1,,,SUMPRODUCT(MAX(ROW(E$1:E3781)*(E2=E$1:E3781))))))</f>
        <v> </v>
      </c>
      <c r="K3782" s="25" t="str">
        <f>IF(OR(E3782="",E3782="!!!",F3782="NEW"),"",INDEX(J$1:J3781,SUMPRODUCT(MAX(ROW(E$1:E3781)*(E3782=E$1:E3781)))))</f>
        <v> </v>
      </c>
      <c r="L3782" s="26"/>
    </row>
    <row r="3783" spans="1:12">
      <c r="A3783" s="20" t="s">
        <v>1731</v>
      </c>
      <c r="B3783" s="27" t="s">
        <v>2496</v>
      </c>
      <c r="C3783" s="27" t="s">
        <v>1133</v>
      </c>
      <c r="E3783" s="21">
        <f>IF(D3783="?OLD","!!!","")</f>
        <v/>
      </c>
      <c r="F3783" s="22" t="str">
        <f>IF(OR(E3783="",E3783="!!!"),"",IF(NOT(ISNA(VLOOKUP(E3783,E$1:E3782,1,FALSE()))),"OLD",IF(AND(E3783&lt;&gt;"",E3783&lt;&gt;"!!!"),"NEW","")))</f>
        <v> </v>
      </c>
      <c r="G3783" s="23" t="str">
        <f>IF(OR(E3783="",E3783="!!!"),"",IF(OR(J3783=0,AND(J3783=1,K3783=1),AND(J3783=1,I3783="SBJ"),AND(J3783=1,I3783=0)),"?IN_FOCUS",IF(J3783&lt;=2,"?ACTIVATED",IF(J3783&lt;&gt;"","?FAMILIAR",IF(F3783="NEW",IF(ISNA(VLOOKUP(E3783,#REF!,1,FALSE())),"?TYPE_IDENTIFIABLE","?REFERENTIAL"),"_")))))</f>
        <v> </v>
      </c>
      <c r="H3783" s="24" t="str">
        <f>IF(J3783&lt;&gt;1,"",IF(I3783="SBJ","CB","?"))</f>
        <v> </v>
      </c>
      <c r="I3783" s="25" t="str">
        <f>IF(OR(E3783="",E3783="!!!",F3783="NEW"),"",INDEX(B3782:B$2,-1+SUMPRODUCT(MAX(ROW(E3782:E$2)*(E3783=E3782:E$2)))))</f>
        <v> </v>
      </c>
      <c r="J3783" s="25" t="str">
        <f>IF(OR(E3783="",E3783="!!!",F3783="NEW"),"",COUNTBLANK(OFFSET(A$1,,,SUMPRODUCT(MAX(ROW(E$2:E3783)*(E3783=E$2:E3783)))))-COUNTBLANK(OFFSET(A$1,,,SUMPRODUCT(MAX(ROW(E$1:E3782)*(E2=E$1:E3782))))))</f>
        <v> </v>
      </c>
      <c r="K3783" s="25" t="str">
        <f>IF(OR(E3783="",E3783="!!!",F3783="NEW"),"",INDEX(J$1:J3782,SUMPRODUCT(MAX(ROW(E$1:E3782)*(E3783=E$1:E3782)))))</f>
        <v> </v>
      </c>
      <c r="L3783" s="26"/>
    </row>
    <row r="3784" spans="1:12">
      <c r="A3784" s="20" t="s">
        <v>2796</v>
      </c>
      <c r="E3784" s="21">
        <f>IF(D3784="?OLD","!!!","")</f>
        <v/>
      </c>
      <c r="F3784" s="22" t="str">
        <f>IF(OR(E3784="",E3784="!!!"),"",IF(NOT(ISNA(VLOOKUP(E3784,E$1:E3783,1,FALSE()))),"OLD",IF(AND(E3784&lt;&gt;"",E3784&lt;&gt;"!!!"),"NEW","")))</f>
        <v> </v>
      </c>
      <c r="G3784" s="23" t="str">
        <f>IF(OR(E3784="",E3784="!!!"),"",IF(OR(J3784=0,AND(J3784=1,K3784=1),AND(J3784=1,I3784="SBJ"),AND(J3784=1,I3784=0)),"?IN_FOCUS",IF(J3784&lt;=2,"?ACTIVATED",IF(J3784&lt;&gt;"","?FAMILIAR",IF(F3784="NEW",IF(ISNA(VLOOKUP(E3784,#REF!,1,FALSE())),"?TYPE_IDENTIFIABLE","?REFERENTIAL"),"_")))))</f>
        <v> </v>
      </c>
      <c r="H3784" s="24" t="str">
        <f>IF(J3784&lt;&gt;1,"",IF(I3784="SBJ","CB","?"))</f>
        <v> </v>
      </c>
      <c r="I3784" s="25" t="str">
        <f>IF(OR(E3784="",E3784="!!!",F3784="NEW"),"",INDEX(B3783:B$2,-1+SUMPRODUCT(MAX(ROW(E3783:E$2)*(E3784=E3783:E$2)))))</f>
        <v> </v>
      </c>
      <c r="J3784" s="25" t="str">
        <f>IF(OR(E3784="",E3784="!!!",F3784="NEW"),"",COUNTBLANK(OFFSET(A$1,,,SUMPRODUCT(MAX(ROW(E$2:E3784)*(E3784=E$2:E3784)))))-COUNTBLANK(OFFSET(A$1,,,SUMPRODUCT(MAX(ROW(E$1:E3783)*(E2=E$1:E3783))))))</f>
        <v> </v>
      </c>
      <c r="K3784" s="25" t="str">
        <f>IF(OR(E3784="",E3784="!!!",F3784="NEW"),"",INDEX(J$1:J3783,SUMPRODUCT(MAX(ROW(E$1:E3783)*(E3784=E$1:E3783)))))</f>
        <v> </v>
      </c>
      <c r="L3784" s="26"/>
    </row>
    <row r="3785" spans="1:12">
      <c r="A3785" s="20" t="s">
        <v>1173</v>
      </c>
      <c r="E3785" s="21">
        <f>IF(D3785="?OLD","!!!","")</f>
        <v/>
      </c>
      <c r="F3785" s="22" t="str">
        <f>IF(OR(E3785="",E3785="!!!"),"",IF(NOT(ISNA(VLOOKUP(E3785,E$1:E3784,1,FALSE()))),"OLD",IF(AND(E3785&lt;&gt;"",E3785&lt;&gt;"!!!"),"NEW","")))</f>
        <v> </v>
      </c>
      <c r="G3785" s="23" t="str">
        <f>IF(OR(E3785="",E3785="!!!"),"",IF(OR(J3785=0,AND(J3785=1,K3785=1),AND(J3785=1,I3785="SBJ"),AND(J3785=1,I3785=0)),"?IN_FOCUS",IF(J3785&lt;=2,"?ACTIVATED",IF(J3785&lt;&gt;"","?FAMILIAR",IF(F3785="NEW",IF(ISNA(VLOOKUP(E3785,#REF!,1,FALSE())),"?TYPE_IDENTIFIABLE","?REFERENTIAL"),"_")))))</f>
        <v> </v>
      </c>
      <c r="H3785" s="24" t="str">
        <f>IF(J3785&lt;&gt;1,"",IF(I3785="SBJ","CB","?"))</f>
        <v> </v>
      </c>
      <c r="I3785" s="25" t="str">
        <f>IF(OR(E3785="",E3785="!!!",F3785="NEW"),"",INDEX(B3784:B$2,-1+SUMPRODUCT(MAX(ROW(E3784:E$2)*(E3785=E3784:E$2)))))</f>
        <v> </v>
      </c>
      <c r="J3785" s="25" t="str">
        <f>IF(OR(E3785="",E3785="!!!",F3785="NEW"),"",COUNTBLANK(OFFSET(A$1,,,SUMPRODUCT(MAX(ROW(E$2:E3785)*(E3785=E$2:E3785)))))-COUNTBLANK(OFFSET(A$1,,,SUMPRODUCT(MAX(ROW(E$1:E3784)*(E2=E$1:E3784))))))</f>
        <v> </v>
      </c>
      <c r="K3785" s="25" t="str">
        <f>IF(OR(E3785="",E3785="!!!",F3785="NEW"),"",INDEX(J$1:J3784,SUMPRODUCT(MAX(ROW(E$1:E3784)*(E3785=E$1:E3784)))))</f>
        <v> </v>
      </c>
      <c r="L3785" s="26"/>
    </row>
    <row r="3786" spans="1:12">
      <c r="A3786" s="20" t="s">
        <v>2797</v>
      </c>
      <c r="B3786" s="27" t="s">
        <v>2798</v>
      </c>
      <c r="E3786" s="21">
        <f>IF(D3786="?OLD","!!!","")</f>
        <v/>
      </c>
      <c r="F3786" s="22" t="str">
        <f>IF(OR(E3786="",E3786="!!!"),"",IF(NOT(ISNA(VLOOKUP(E3786,E$1:E3785,1,FALSE()))),"OLD",IF(AND(E3786&lt;&gt;"",E3786&lt;&gt;"!!!"),"NEW","")))</f>
        <v> </v>
      </c>
      <c r="G3786" s="23" t="str">
        <f>IF(OR(E3786="",E3786="!!!"),"",IF(OR(J3786=0,AND(J3786=1,K3786=1),AND(J3786=1,I3786="SBJ"),AND(J3786=1,I3786=0)),"?IN_FOCUS",IF(J3786&lt;=2,"?ACTIVATED",IF(J3786&lt;&gt;"","?FAMILIAR",IF(F3786="NEW",IF(ISNA(VLOOKUP(E3786,#REF!,1,FALSE())),"?TYPE_IDENTIFIABLE","?REFERENTIAL"),"_")))))</f>
        <v> </v>
      </c>
      <c r="H3786" s="24" t="str">
        <f>IF(J3786&lt;&gt;1,"",IF(I3786="SBJ","CB","?"))</f>
        <v> </v>
      </c>
      <c r="I3786" s="25" t="str">
        <f>IF(OR(E3786="",E3786="!!!",F3786="NEW"),"",INDEX(B3785:B$2,-1+SUMPRODUCT(MAX(ROW(E3785:E$2)*(E3786=E3785:E$2)))))</f>
        <v> </v>
      </c>
      <c r="J3786" s="25" t="str">
        <f>IF(OR(E3786="",E3786="!!!",F3786="NEW"),"",COUNTBLANK(OFFSET(A$1,,,SUMPRODUCT(MAX(ROW(E$2:E3786)*(E3786=E$2:E3786)))))-COUNTBLANK(OFFSET(A$1,,,SUMPRODUCT(MAX(ROW(E$1:E3785)*(E2=E$1:E3785))))))</f>
        <v> </v>
      </c>
      <c r="K3786" s="25" t="str">
        <f>IF(OR(E3786="",E3786="!!!",F3786="NEW"),"",INDEX(J$1:J3785,SUMPRODUCT(MAX(ROW(E$1:E3785)*(E3786=E$1:E3785)))))</f>
        <v> </v>
      </c>
      <c r="L3786" s="26"/>
    </row>
    <row r="3787" spans="1:12">
      <c r="A3787" s="20" t="s">
        <v>2799</v>
      </c>
      <c r="E3787" s="21">
        <f>IF(D3787="?OLD","!!!","")</f>
        <v/>
      </c>
      <c r="F3787" s="22" t="str">
        <f>IF(OR(E3787="",E3787="!!!"),"",IF(NOT(ISNA(VLOOKUP(E3787,E$1:E3786,1,FALSE()))),"OLD",IF(AND(E3787&lt;&gt;"",E3787&lt;&gt;"!!!"),"NEW","")))</f>
        <v> </v>
      </c>
      <c r="G3787" s="23" t="str">
        <f>IF(OR(E3787="",E3787="!!!"),"",IF(OR(J3787=0,AND(J3787=1,K3787=1),AND(J3787=1,I3787="SBJ"),AND(J3787=1,I3787=0)),"?IN_FOCUS",IF(J3787&lt;=2,"?ACTIVATED",IF(J3787&lt;&gt;"","?FAMILIAR",IF(F3787="NEW",IF(ISNA(VLOOKUP(E3787,#REF!,1,FALSE())),"?TYPE_IDENTIFIABLE","?REFERENTIAL"),"_")))))</f>
        <v> </v>
      </c>
      <c r="H3787" s="24" t="str">
        <f>IF(J3787&lt;&gt;1,"",IF(I3787="SBJ","CB","?"))</f>
        <v> </v>
      </c>
      <c r="I3787" s="25" t="str">
        <f>IF(OR(E3787="",E3787="!!!",F3787="NEW"),"",INDEX(B3786:B$2,-1+SUMPRODUCT(MAX(ROW(E3786:E$2)*(E3787=E3786:E$2)))))</f>
        <v> </v>
      </c>
      <c r="J3787" s="25" t="str">
        <f>IF(OR(E3787="",E3787="!!!",F3787="NEW"),"",COUNTBLANK(OFFSET(A$1,,,SUMPRODUCT(MAX(ROW(E$2:E3787)*(E3787=E$2:E3787)))))-COUNTBLANK(OFFSET(A$1,,,SUMPRODUCT(MAX(ROW(E$1:E3786)*(E2=E$1:E3786))))))</f>
        <v> </v>
      </c>
      <c r="K3787" s="25" t="str">
        <f>IF(OR(E3787="",E3787="!!!",F3787="NEW"),"",INDEX(J$1:J3786,SUMPRODUCT(MAX(ROW(E$1:E3786)*(E3787=E$1:E3786)))))</f>
        <v> </v>
      </c>
      <c r="L3787" s="26"/>
    </row>
    <row r="3788" spans="1:12">
      <c r="A3788" s="20" t="s">
        <v>1123</v>
      </c>
      <c r="E3788" s="21">
        <f>IF(D3788="?OLD","!!!","")</f>
        <v/>
      </c>
      <c r="F3788" s="22" t="str">
        <f>IF(OR(E3788="",E3788="!!!"),"",IF(NOT(ISNA(VLOOKUP(E3788,E$1:E3787,1,FALSE()))),"OLD",IF(AND(E3788&lt;&gt;"",E3788&lt;&gt;"!!!"),"NEW","")))</f>
        <v> </v>
      </c>
      <c r="G3788" s="23" t="str">
        <f>IF(OR(E3788="",E3788="!!!"),"",IF(OR(J3788=0,AND(J3788=1,K3788=1),AND(J3788=1,I3788="SBJ"),AND(J3788=1,I3788=0)),"?IN_FOCUS",IF(J3788&lt;=2,"?ACTIVATED",IF(J3788&lt;&gt;"","?FAMILIAR",IF(F3788="NEW",IF(ISNA(VLOOKUP(E3788,#REF!,1,FALSE())),"?TYPE_IDENTIFIABLE","?REFERENTIAL"),"_")))))</f>
        <v> </v>
      </c>
      <c r="H3788" s="24" t="str">
        <f>IF(J3788&lt;&gt;1,"",IF(I3788="SBJ","CB","?"))</f>
        <v> </v>
      </c>
      <c r="I3788" s="25" t="str">
        <f>IF(OR(E3788="",E3788="!!!",F3788="NEW"),"",INDEX(B3787:B$2,-1+SUMPRODUCT(MAX(ROW(E3787:E$2)*(E3788=E3787:E$2)))))</f>
        <v> </v>
      </c>
      <c r="J3788" s="25" t="str">
        <f>IF(OR(E3788="",E3788="!!!",F3788="NEW"),"",COUNTBLANK(OFFSET(A$1,,,SUMPRODUCT(MAX(ROW(E$2:E3788)*(E3788=E$2:E3788)))))-COUNTBLANK(OFFSET(A$1,,,SUMPRODUCT(MAX(ROW(E$1:E3787)*(E2=E$1:E3787))))))</f>
        <v> </v>
      </c>
      <c r="K3788" s="25" t="str">
        <f>IF(OR(E3788="",E3788="!!!",F3788="NEW"),"",INDEX(J$1:J3787,SUMPRODUCT(MAX(ROW(E$1:E3787)*(E3788=E$1:E3787)))))</f>
        <v> </v>
      </c>
      <c r="L3788" s="26"/>
    </row>
    <row r="3789" spans="1:12">
      <c r="A3789" s="20" t="s">
        <v>1181</v>
      </c>
      <c r="B3789" s="27" t="s">
        <v>2800</v>
      </c>
      <c r="C3789" s="27" t="s">
        <v>1133</v>
      </c>
      <c r="E3789" s="21">
        <f>IF(D3789="?OLD","!!!","")</f>
        <v/>
      </c>
      <c r="F3789" s="22" t="str">
        <f>IF(OR(E3789="",E3789="!!!"),"",IF(NOT(ISNA(VLOOKUP(E3789,E$1:E3788,1,FALSE()))),"OLD",IF(AND(E3789&lt;&gt;"",E3789&lt;&gt;"!!!"),"NEW","")))</f>
        <v> </v>
      </c>
      <c r="G3789" s="23" t="str">
        <f>IF(OR(E3789="",E3789="!!!"),"",IF(OR(J3789=0,AND(J3789=1,K3789=1),AND(J3789=1,I3789="SBJ"),AND(J3789=1,I3789=0)),"?IN_FOCUS",IF(J3789&lt;=2,"?ACTIVATED",IF(J3789&lt;&gt;"","?FAMILIAR",IF(F3789="NEW",IF(ISNA(VLOOKUP(E3789,#REF!,1,FALSE())),"?TYPE_IDENTIFIABLE","?REFERENTIAL"),"_")))))</f>
        <v> </v>
      </c>
      <c r="H3789" s="24" t="str">
        <f>IF(J3789&lt;&gt;1,"",IF(I3789="SBJ","CB","?"))</f>
        <v> </v>
      </c>
      <c r="I3789" s="25" t="str">
        <f>IF(OR(E3789="",E3789="!!!",F3789="NEW"),"",INDEX(B3788:B$2,-1+SUMPRODUCT(MAX(ROW(E3788:E$2)*(E3789=E3788:E$2)))))</f>
        <v> </v>
      </c>
      <c r="J3789" s="25" t="str">
        <f>IF(OR(E3789="",E3789="!!!",F3789="NEW"),"",COUNTBLANK(OFFSET(A$1,,,SUMPRODUCT(MAX(ROW(E$2:E3789)*(E3789=E$2:E3789)))))-COUNTBLANK(OFFSET(A$1,,,SUMPRODUCT(MAX(ROW(E$1:E3788)*(E2=E$1:E3788))))))</f>
        <v> </v>
      </c>
      <c r="K3789" s="25" t="str">
        <f>IF(OR(E3789="",E3789="!!!",F3789="NEW"),"",INDEX(J$1:J3788,SUMPRODUCT(MAX(ROW(E$1:E3788)*(E3789=E$1:E3788)))))</f>
        <v> </v>
      </c>
      <c r="L3789" s="26"/>
    </row>
    <row r="3790" spans="1:12">
      <c r="A3790" s="20" t="s">
        <v>2324</v>
      </c>
      <c r="E3790" s="21">
        <f>IF(D3790="?OLD","!!!","")</f>
        <v/>
      </c>
      <c r="F3790" s="22" t="str">
        <f>IF(OR(E3790="",E3790="!!!"),"",IF(NOT(ISNA(VLOOKUP(E3790,E$1:E3789,1,FALSE()))),"OLD",IF(AND(E3790&lt;&gt;"",E3790&lt;&gt;"!!!"),"NEW","")))</f>
        <v> </v>
      </c>
      <c r="G3790" s="23" t="str">
        <f>IF(OR(E3790="",E3790="!!!"),"",IF(OR(J3790=0,AND(J3790=1,K3790=1),AND(J3790=1,I3790="SBJ"),AND(J3790=1,I3790=0)),"?IN_FOCUS",IF(J3790&lt;=2,"?ACTIVATED",IF(J3790&lt;&gt;"","?FAMILIAR",IF(F3790="NEW",IF(ISNA(VLOOKUP(E3790,#REF!,1,FALSE())),"?TYPE_IDENTIFIABLE","?REFERENTIAL"),"_")))))</f>
        <v> </v>
      </c>
      <c r="H3790" s="24" t="str">
        <f>IF(J3790&lt;&gt;1,"",IF(I3790="SBJ","CB","?"))</f>
        <v> </v>
      </c>
      <c r="I3790" s="25" t="str">
        <f>IF(OR(E3790="",E3790="!!!",F3790="NEW"),"",INDEX(B3789:B$2,-1+SUMPRODUCT(MAX(ROW(E3789:E$2)*(E3790=E3789:E$2)))))</f>
        <v> </v>
      </c>
      <c r="J3790" s="25" t="str">
        <f>IF(OR(E3790="",E3790="!!!",F3790="NEW"),"",COUNTBLANK(OFFSET(A$1,,,SUMPRODUCT(MAX(ROW(E$2:E3790)*(E3790=E$2:E3790)))))-COUNTBLANK(OFFSET(A$1,,,SUMPRODUCT(MAX(ROW(E$1:E3789)*(E2=E$1:E3789))))))</f>
        <v> </v>
      </c>
      <c r="K3790" s="25" t="str">
        <f>IF(OR(E3790="",E3790="!!!",F3790="NEW"),"",INDEX(J$1:J3789,SUMPRODUCT(MAX(ROW(E$1:E3789)*(E3790=E$1:E3789)))))</f>
        <v> </v>
      </c>
      <c r="L3790" s="26"/>
    </row>
    <row r="3791" spans="1:12">
      <c r="A3791" s="20" t="s">
        <v>2801</v>
      </c>
      <c r="E3791" s="21">
        <f>IF(D3791="?OLD","!!!","")</f>
        <v/>
      </c>
      <c r="F3791" s="22" t="str">
        <f>IF(OR(E3791="",E3791="!!!"),"",IF(NOT(ISNA(VLOOKUP(E3791,E$1:E3790,1,FALSE()))),"OLD",IF(AND(E3791&lt;&gt;"",E3791&lt;&gt;"!!!"),"NEW","")))</f>
        <v> </v>
      </c>
      <c r="G3791" s="23" t="str">
        <f>IF(OR(E3791="",E3791="!!!"),"",IF(OR(J3791=0,AND(J3791=1,K3791=1),AND(J3791=1,I3791="SBJ"),AND(J3791=1,I3791=0)),"?IN_FOCUS",IF(J3791&lt;=2,"?ACTIVATED",IF(J3791&lt;&gt;"","?FAMILIAR",IF(F3791="NEW",IF(ISNA(VLOOKUP(E3791,#REF!,1,FALSE())),"?TYPE_IDENTIFIABLE","?REFERENTIAL"),"_")))))</f>
        <v> </v>
      </c>
      <c r="H3791" s="24" t="str">
        <f>IF(J3791&lt;&gt;1,"",IF(I3791="SBJ","CB","?"))</f>
        <v> </v>
      </c>
      <c r="I3791" s="25" t="str">
        <f>IF(OR(E3791="",E3791="!!!",F3791="NEW"),"",INDEX(B3790:B$2,-1+SUMPRODUCT(MAX(ROW(E3790:E$2)*(E3791=E3790:E$2)))))</f>
        <v> </v>
      </c>
      <c r="J3791" s="25" t="str">
        <f>IF(OR(E3791="",E3791="!!!",F3791="NEW"),"",COUNTBLANK(OFFSET(A$1,,,SUMPRODUCT(MAX(ROW(E$2:E3791)*(E3791=E$2:E3791)))))-COUNTBLANK(OFFSET(A$1,,,SUMPRODUCT(MAX(ROW(E$1:E3790)*(E2=E$1:E3790))))))</f>
        <v> </v>
      </c>
      <c r="K3791" s="25" t="str">
        <f>IF(OR(E3791="",E3791="!!!",F3791="NEW"),"",INDEX(J$1:J3790,SUMPRODUCT(MAX(ROW(E$1:E3790)*(E3791=E$1:E3790)))))</f>
        <v> </v>
      </c>
      <c r="L3791" s="26"/>
    </row>
    <row r="3792" spans="1:12">
      <c r="A3792" s="20" t="s">
        <v>1130</v>
      </c>
      <c r="E3792" s="21">
        <f>IF(D3792="?OLD","!!!","")</f>
        <v/>
      </c>
      <c r="F3792" s="22" t="str">
        <f>IF(OR(E3792="",E3792="!!!"),"",IF(NOT(ISNA(VLOOKUP(E3792,E$1:E3791,1,FALSE()))),"OLD",IF(AND(E3792&lt;&gt;"",E3792&lt;&gt;"!!!"),"NEW","")))</f>
        <v> </v>
      </c>
      <c r="G3792" s="23" t="str">
        <f>IF(OR(E3792="",E3792="!!!"),"",IF(OR(J3792=0,AND(J3792=1,K3792=1),AND(J3792=1,I3792="SBJ"),AND(J3792=1,I3792=0)),"?IN_FOCUS",IF(J3792&lt;=2,"?ACTIVATED",IF(J3792&lt;&gt;"","?FAMILIAR",IF(F3792="NEW",IF(ISNA(VLOOKUP(E3792,#REF!,1,FALSE())),"?TYPE_IDENTIFIABLE","?REFERENTIAL"),"_")))))</f>
        <v> </v>
      </c>
      <c r="H3792" s="24" t="str">
        <f>IF(J3792&lt;&gt;1,"",IF(I3792="SBJ","CB","?"))</f>
        <v> </v>
      </c>
      <c r="I3792" s="25" t="str">
        <f>IF(OR(E3792="",E3792="!!!",F3792="NEW"),"",INDEX(B3791:B$2,-1+SUMPRODUCT(MAX(ROW(E3791:E$2)*(E3792=E3791:E$2)))))</f>
        <v> </v>
      </c>
      <c r="J3792" s="25" t="str">
        <f>IF(OR(E3792="",E3792="!!!",F3792="NEW"),"",COUNTBLANK(OFFSET(A$1,,,SUMPRODUCT(MAX(ROW(E$2:E3792)*(E3792=E$2:E3792)))))-COUNTBLANK(OFFSET(A$1,,,SUMPRODUCT(MAX(ROW(E$1:E3791)*(E2=E$1:E3791))))))</f>
        <v> </v>
      </c>
      <c r="K3792" s="25" t="str">
        <f>IF(OR(E3792="",E3792="!!!",F3792="NEW"),"",INDEX(J$1:J3791,SUMPRODUCT(MAX(ROW(E$1:E3791)*(E3792=E$1:E3791)))))</f>
        <v> </v>
      </c>
      <c r="L3792" s="26"/>
    </row>
    <row r="3793" spans="1:12">
      <c r="A3793" s="20" t="s">
        <v>2802</v>
      </c>
      <c r="E3793" s="21">
        <f>IF(D3793="?OLD","!!!","")</f>
        <v/>
      </c>
      <c r="F3793" s="22" t="str">
        <f>IF(OR(E3793="",E3793="!!!"),"",IF(NOT(ISNA(VLOOKUP(E3793,E$1:E3792,1,FALSE()))),"OLD",IF(AND(E3793&lt;&gt;"",E3793&lt;&gt;"!!!"),"NEW","")))</f>
        <v> </v>
      </c>
      <c r="G3793" s="23" t="str">
        <f>IF(OR(E3793="",E3793="!!!"),"",IF(OR(J3793=0,AND(J3793=1,K3793=1),AND(J3793=1,I3793="SBJ"),AND(J3793=1,I3793=0)),"?IN_FOCUS",IF(J3793&lt;=2,"?ACTIVATED",IF(J3793&lt;&gt;"","?FAMILIAR",IF(F3793="NEW",IF(ISNA(VLOOKUP(E3793,#REF!,1,FALSE())),"?TYPE_IDENTIFIABLE","?REFERENTIAL"),"_")))))</f>
        <v> </v>
      </c>
      <c r="H3793" s="24" t="str">
        <f>IF(J3793&lt;&gt;1,"",IF(I3793="SBJ","CB","?"))</f>
        <v> </v>
      </c>
      <c r="I3793" s="25" t="str">
        <f>IF(OR(E3793="",E3793="!!!",F3793="NEW"),"",INDEX(B3792:B$2,-1+SUMPRODUCT(MAX(ROW(E3792:E$2)*(E3793=E3792:E$2)))))</f>
        <v> </v>
      </c>
      <c r="J3793" s="25" t="str">
        <f>IF(OR(E3793="",E3793="!!!",F3793="NEW"),"",COUNTBLANK(OFFSET(A$1,,,SUMPRODUCT(MAX(ROW(E$2:E3793)*(E3793=E$2:E3793)))))-COUNTBLANK(OFFSET(A$1,,,SUMPRODUCT(MAX(ROW(E$1:E3792)*(E2=E$1:E3792))))))</f>
        <v> </v>
      </c>
      <c r="K3793" s="25" t="str">
        <f>IF(OR(E3793="",E3793="!!!",F3793="NEW"),"",INDEX(J$1:J3792,SUMPRODUCT(MAX(ROW(E$1:E3792)*(E3793=E$1:E3792)))))</f>
        <v> </v>
      </c>
      <c r="L3793" s="26"/>
    </row>
    <row r="3794" spans="1:12">
      <c r="A3794" s="20" t="s">
        <v>2803</v>
      </c>
      <c r="B3794" s="27" t="s">
        <v>2804</v>
      </c>
      <c r="C3794" s="27" t="s">
        <v>1156</v>
      </c>
      <c r="D3794" s="27" t="s">
        <v>1105</v>
      </c>
      <c r="E3794" s="21">
        <f>IF(D3794="?OLD","!!!","")</f>
        <v/>
      </c>
      <c r="F3794" s="22" t="str">
        <f>IF(OR(E3794="",E3794="!!!"),"",IF(NOT(ISNA(VLOOKUP(E3794,E$1:E3793,1,FALSE()))),"OLD",IF(AND(E3794&lt;&gt;"",E3794&lt;&gt;"!!!"),"NEW","")))</f>
        <v> </v>
      </c>
      <c r="G3794" s="23" t="str">
        <f>IF(OR(E3794="",E3794="!!!"),"",IF(OR(J3794=0,AND(J3794=1,K3794=1),AND(J3794=1,I3794="SBJ"),AND(J3794=1,I3794=0)),"?IN_FOCUS",IF(J3794&lt;=2,"?ACTIVATED",IF(J3794&lt;&gt;"","?FAMILIAR",IF(F3794="NEW",IF(ISNA(VLOOKUP(E3794,#REF!,1,FALSE())),"?TYPE_IDENTIFIABLE","?REFERENTIAL"),"_")))))</f>
        <v> </v>
      </c>
      <c r="H3794" s="24" t="str">
        <f>IF(J3794&lt;&gt;1,"",IF(I3794="SBJ","CB","?"))</f>
        <v> </v>
      </c>
      <c r="I3794" s="25" t="str">
        <f>IF(OR(E3794="",E3794="!!!",F3794="NEW"),"",INDEX(B3793:B$2,-1+SUMPRODUCT(MAX(ROW(E3793:E$2)*(E3794=E3793:E$2)))))</f>
        <v> </v>
      </c>
      <c r="J3794" s="25" t="str">
        <f>IF(OR(E3794="",E3794="!!!",F3794="NEW"),"",COUNTBLANK(OFFSET(A$1,,,SUMPRODUCT(MAX(ROW(E$2:E3794)*(E3794=E$2:E3794)))))-COUNTBLANK(OFFSET(A$1,,,SUMPRODUCT(MAX(ROW(E$1:E3793)*(E2=E$1:E3793))))))</f>
        <v> </v>
      </c>
      <c r="K3794" s="25" t="str">
        <f>IF(OR(E3794="",E3794="!!!",F3794="NEW"),"",INDEX(J$1:J3793,SUMPRODUCT(MAX(ROW(E$1:E3793)*(E3794=E$1:E3793)))))</f>
        <v> </v>
      </c>
      <c r="L3794" s="26"/>
    </row>
    <row r="3795" spans="1:12">
      <c r="A3795" s="20" t="s">
        <v>1145</v>
      </c>
      <c r="E3795" s="21">
        <f>IF(D3795="?OLD","!!!","")</f>
        <v/>
      </c>
      <c r="F3795" s="22" t="str">
        <f>IF(OR(E3795="",E3795="!!!"),"",IF(NOT(ISNA(VLOOKUP(E3795,E$1:E3794,1,FALSE()))),"OLD",IF(AND(E3795&lt;&gt;"",E3795&lt;&gt;"!!!"),"NEW","")))</f>
        <v> </v>
      </c>
      <c r="G3795" s="23" t="str">
        <f>IF(OR(E3795="",E3795="!!!"),"",IF(OR(J3795=0,AND(J3795=1,K3795=1),AND(J3795=1,I3795="SBJ"),AND(J3795=1,I3795=0)),"?IN_FOCUS",IF(J3795&lt;=2,"?ACTIVATED",IF(J3795&lt;&gt;"","?FAMILIAR",IF(F3795="NEW",IF(ISNA(VLOOKUP(E3795,#REF!,1,FALSE())),"?TYPE_IDENTIFIABLE","?REFERENTIAL"),"_")))))</f>
        <v> </v>
      </c>
      <c r="H3795" s="24" t="str">
        <f>IF(J3795&lt;&gt;1,"",IF(I3795="SBJ","CB","?"))</f>
        <v> </v>
      </c>
      <c r="I3795" s="25" t="str">
        <f>IF(OR(E3795="",E3795="!!!",F3795="NEW"),"",INDEX(B3794:B$2,-1+SUMPRODUCT(MAX(ROW(E3794:E$2)*(E3795=E3794:E$2)))))</f>
        <v> </v>
      </c>
      <c r="J3795" s="25" t="str">
        <f>IF(OR(E3795="",E3795="!!!",F3795="NEW"),"",COUNTBLANK(OFFSET(A$1,,,SUMPRODUCT(MAX(ROW(E$2:E3795)*(E3795=E$2:E3795)))))-COUNTBLANK(OFFSET(A$1,,,SUMPRODUCT(MAX(ROW(E$1:E3794)*(E2=E$1:E3794))))))</f>
        <v> </v>
      </c>
      <c r="K3795" s="25" t="str">
        <f>IF(OR(E3795="",E3795="!!!",F3795="NEW"),"",INDEX(J$1:J3794,SUMPRODUCT(MAX(ROW(E$1:E3794)*(E3795=E$1:E3794)))))</f>
        <v> </v>
      </c>
      <c r="L3795" s="26"/>
    </row>
    <row r="3796" spans="1:12">
      <c r="A3796" s="20"/>
    </row>
    <row r="3797" spans="1:12">
      <c r="A3797" s="20" t="s">
        <v>2805</v>
      </c>
    </row>
    <row r="3798" spans="1:12">
      <c r="A3798" s="20" t="s">
        <v>2553</v>
      </c>
      <c r="E3798" s="21">
        <f>IF(D3798="?OLD","!!!","")</f>
        <v/>
      </c>
      <c r="F3798" s="22" t="str">
        <f>IF(OR(E3798="",E3798="!!!"),"",IF(NOT(ISNA(VLOOKUP(E3798,E$1:E3797,1,FALSE()))),"OLD",IF(AND(E3798&lt;&gt;"",E3798&lt;&gt;"!!!"),"NEW","")))</f>
        <v> </v>
      </c>
      <c r="G3798" s="23" t="str">
        <f>IF(OR(E3798="",E3798="!!!"),"",IF(OR(J3798=0,AND(J3798=1,K3798=1),AND(J3798=1,I3798="SBJ"),AND(J3798=1,I3798=0)),"?IN_FOCUS",IF(J3798&lt;=2,"?ACTIVATED",IF(J3798&lt;&gt;"","?FAMILIAR",IF(F3798="NEW",IF(ISNA(VLOOKUP(E3798,#REF!,1,FALSE())),"?TYPE_IDENTIFIABLE","?REFERENTIAL"),"_")))))</f>
        <v> </v>
      </c>
      <c r="H3798" s="24" t="str">
        <f>IF(J3798&lt;&gt;1,"",IF(I3798="SBJ","CB","?"))</f>
        <v> </v>
      </c>
      <c r="I3798" s="25" t="str">
        <f>IF(OR(E3798="",E3798="!!!",F3798="NEW"),"",INDEX(B3797:B$2,-1+SUMPRODUCT(MAX(ROW(E3797:E$2)*(E3798=E3797:E$2)))))</f>
        <v> </v>
      </c>
      <c r="J3798" s="25" t="str">
        <f>IF(OR(E3798="",E3798="!!!",F3798="NEW"),"",COUNTBLANK(OFFSET(A$1,,,SUMPRODUCT(MAX(ROW(E$2:E3798)*(E3798=E$2:E3798)))))-COUNTBLANK(OFFSET(A$1,,,SUMPRODUCT(MAX(ROW(E$1:E3797)*(E2=E$1:E3797))))))</f>
        <v> </v>
      </c>
      <c r="K3798" s="25" t="str">
        <f>IF(OR(E3798="",E3798="!!!",F3798="NEW"),"",INDEX(J$1:J3797,SUMPRODUCT(MAX(ROW(E$1:E3797)*(E3798=E$1:E3797)))))</f>
        <v> </v>
      </c>
      <c r="L3798" s="26"/>
    </row>
    <row r="3799" spans="1:12">
      <c r="A3799" s="20" t="s">
        <v>2806</v>
      </c>
      <c r="E3799" s="21">
        <f>IF(D3799="?OLD","!!!","")</f>
        <v/>
      </c>
      <c r="F3799" s="22" t="str">
        <f>IF(OR(E3799="",E3799="!!!"),"",IF(NOT(ISNA(VLOOKUP(E3799,E$1:E3798,1,FALSE()))),"OLD",IF(AND(E3799&lt;&gt;"",E3799&lt;&gt;"!!!"),"NEW","")))</f>
        <v> </v>
      </c>
      <c r="G3799" s="23" t="str">
        <f>IF(OR(E3799="",E3799="!!!"),"",IF(OR(J3799=0,AND(J3799=1,K3799=1),AND(J3799=1,I3799="SBJ"),AND(J3799=1,I3799=0)),"?IN_FOCUS",IF(J3799&lt;=2,"?ACTIVATED",IF(J3799&lt;&gt;"","?FAMILIAR",IF(F3799="NEW",IF(ISNA(VLOOKUP(E3799,#REF!,1,FALSE())),"?TYPE_IDENTIFIABLE","?REFERENTIAL"),"_")))))</f>
        <v> </v>
      </c>
      <c r="H3799" s="24" t="str">
        <f>IF(J3799&lt;&gt;1,"",IF(I3799="SBJ","CB","?"))</f>
        <v> </v>
      </c>
      <c r="I3799" s="25" t="str">
        <f>IF(OR(E3799="",E3799="!!!",F3799="NEW"),"",INDEX(B3798:B$2,-1+SUMPRODUCT(MAX(ROW(E3798:E$2)*(E3799=E3798:E$2)))))</f>
        <v> </v>
      </c>
      <c r="J3799" s="25" t="str">
        <f>IF(OR(E3799="",E3799="!!!",F3799="NEW"),"",COUNTBLANK(OFFSET(A$1,,,SUMPRODUCT(MAX(ROW(E$2:E3799)*(E3799=E$2:E3799)))))-COUNTBLANK(OFFSET(A$1,,,SUMPRODUCT(MAX(ROW(E$1:E3798)*(E2=E$1:E3798))))))</f>
        <v> </v>
      </c>
      <c r="K3799" s="25" t="str">
        <f>IF(OR(E3799="",E3799="!!!",F3799="NEW"),"",INDEX(J$1:J3798,SUMPRODUCT(MAX(ROW(E$1:E3798)*(E3799=E$1:E3798)))))</f>
        <v> </v>
      </c>
      <c r="L3799" s="26"/>
    </row>
    <row r="3800" spans="1:12">
      <c r="A3800" s="20" t="s">
        <v>2807</v>
      </c>
      <c r="E3800" s="21">
        <f>IF(D3800="?OLD","!!!","")</f>
        <v/>
      </c>
      <c r="F3800" s="22" t="str">
        <f>IF(OR(E3800="",E3800="!!!"),"",IF(NOT(ISNA(VLOOKUP(E3800,E$1:E3799,1,FALSE()))),"OLD",IF(AND(E3800&lt;&gt;"",E3800&lt;&gt;"!!!"),"NEW","")))</f>
        <v> </v>
      </c>
      <c r="G3800" s="23" t="str">
        <f>IF(OR(E3800="",E3800="!!!"),"",IF(OR(J3800=0,AND(J3800=1,K3800=1),AND(J3800=1,I3800="SBJ"),AND(J3800=1,I3800=0)),"?IN_FOCUS",IF(J3800&lt;=2,"?ACTIVATED",IF(J3800&lt;&gt;"","?FAMILIAR",IF(F3800="NEW",IF(ISNA(VLOOKUP(E3800,#REF!,1,FALSE())),"?TYPE_IDENTIFIABLE","?REFERENTIAL"),"_")))))</f>
        <v> </v>
      </c>
      <c r="H3800" s="24" t="str">
        <f>IF(J3800&lt;&gt;1,"",IF(I3800="SBJ","CB","?"))</f>
        <v> </v>
      </c>
      <c r="I3800" s="25" t="str">
        <f>IF(OR(E3800="",E3800="!!!",F3800="NEW"),"",INDEX(B3799:B$2,-1+SUMPRODUCT(MAX(ROW(E3799:E$2)*(E3800=E3799:E$2)))))</f>
        <v> </v>
      </c>
      <c r="J3800" s="25" t="str">
        <f>IF(OR(E3800="",E3800="!!!",F3800="NEW"),"",COUNTBLANK(OFFSET(A$1,,,SUMPRODUCT(MAX(ROW(E$2:E3800)*(E3800=E$2:E3800)))))-COUNTBLANK(OFFSET(A$1,,,SUMPRODUCT(MAX(ROW(E$1:E3799)*(E2=E$1:E3799))))))</f>
        <v> </v>
      </c>
      <c r="K3800" s="25" t="str">
        <f>IF(OR(E3800="",E3800="!!!",F3800="NEW"),"",INDEX(J$1:J3799,SUMPRODUCT(MAX(ROW(E$1:E3799)*(E3800=E$1:E3799)))))</f>
        <v> </v>
      </c>
      <c r="L3800" s="26"/>
    </row>
    <row r="3801" spans="1:12">
      <c r="A3801" s="20" t="s">
        <v>1128</v>
      </c>
      <c r="E3801" s="21">
        <f>IF(D3801="?OLD","!!!","")</f>
        <v/>
      </c>
      <c r="F3801" s="22" t="str">
        <f>IF(OR(E3801="",E3801="!!!"),"",IF(NOT(ISNA(VLOOKUP(E3801,E$1:E3800,1,FALSE()))),"OLD",IF(AND(E3801&lt;&gt;"",E3801&lt;&gt;"!!!"),"NEW","")))</f>
        <v> </v>
      </c>
      <c r="G3801" s="23" t="str">
        <f>IF(OR(E3801="",E3801="!!!"),"",IF(OR(J3801=0,AND(J3801=1,K3801=1),AND(J3801=1,I3801="SBJ"),AND(J3801=1,I3801=0)),"?IN_FOCUS",IF(J3801&lt;=2,"?ACTIVATED",IF(J3801&lt;&gt;"","?FAMILIAR",IF(F3801="NEW",IF(ISNA(VLOOKUP(E3801,#REF!,1,FALSE())),"?TYPE_IDENTIFIABLE","?REFERENTIAL"),"_")))))</f>
        <v> </v>
      </c>
      <c r="H3801" s="24" t="str">
        <f>IF(J3801&lt;&gt;1,"",IF(I3801="SBJ","CB","?"))</f>
        <v> </v>
      </c>
      <c r="I3801" s="25" t="str">
        <f>IF(OR(E3801="",E3801="!!!",F3801="NEW"),"",INDEX(B3800:B$2,-1+SUMPRODUCT(MAX(ROW(E3800:E$2)*(E3801=E3800:E$2)))))</f>
        <v> </v>
      </c>
      <c r="J3801" s="25" t="str">
        <f>IF(OR(E3801="",E3801="!!!",F3801="NEW"),"",COUNTBLANK(OFFSET(A$1,,,SUMPRODUCT(MAX(ROW(E$2:E3801)*(E3801=E$2:E3801)))))-COUNTBLANK(OFFSET(A$1,,,SUMPRODUCT(MAX(ROW(E$1:E3800)*(E2=E$1:E3800))))))</f>
        <v> </v>
      </c>
      <c r="K3801" s="25" t="str">
        <f>IF(OR(E3801="",E3801="!!!",F3801="NEW"),"",INDEX(J$1:J3800,SUMPRODUCT(MAX(ROW(E$1:E3800)*(E3801=E$1:E3800)))))</f>
        <v> </v>
      </c>
      <c r="L3801" s="26"/>
    </row>
    <row r="3802" spans="1:12">
      <c r="A3802" s="20" t="s">
        <v>2808</v>
      </c>
      <c r="E3802" s="21">
        <f>IF(D3802="?OLD","!!!","")</f>
        <v/>
      </c>
      <c r="F3802" s="22" t="str">
        <f>IF(OR(E3802="",E3802="!!!"),"",IF(NOT(ISNA(VLOOKUP(E3802,E$1:E3801,1,FALSE()))),"OLD",IF(AND(E3802&lt;&gt;"",E3802&lt;&gt;"!!!"),"NEW","")))</f>
        <v> </v>
      </c>
      <c r="G3802" s="23" t="str">
        <f>IF(OR(E3802="",E3802="!!!"),"",IF(OR(J3802=0,AND(J3802=1,K3802=1),AND(J3802=1,I3802="SBJ"),AND(J3802=1,I3802=0)),"?IN_FOCUS",IF(J3802&lt;=2,"?ACTIVATED",IF(J3802&lt;&gt;"","?FAMILIAR",IF(F3802="NEW",IF(ISNA(VLOOKUP(E3802,#REF!,1,FALSE())),"?TYPE_IDENTIFIABLE","?REFERENTIAL"),"_")))))</f>
        <v> </v>
      </c>
      <c r="H3802" s="24" t="str">
        <f>IF(J3802&lt;&gt;1,"",IF(I3802="SBJ","CB","?"))</f>
        <v> </v>
      </c>
      <c r="I3802" s="25" t="str">
        <f>IF(OR(E3802="",E3802="!!!",F3802="NEW"),"",INDEX(B3801:B$2,-1+SUMPRODUCT(MAX(ROW(E3801:E$2)*(E3802=E3801:E$2)))))</f>
        <v> </v>
      </c>
      <c r="J3802" s="25" t="str">
        <f>IF(OR(E3802="",E3802="!!!",F3802="NEW"),"",COUNTBLANK(OFFSET(A$1,,,SUMPRODUCT(MAX(ROW(E$2:E3802)*(E3802=E$2:E3802)))))-COUNTBLANK(OFFSET(A$1,,,SUMPRODUCT(MAX(ROW(E$1:E3801)*(E2=E$1:E3801))))))</f>
        <v> </v>
      </c>
      <c r="K3802" s="25" t="str">
        <f>IF(OR(E3802="",E3802="!!!",F3802="NEW"),"",INDEX(J$1:J3801,SUMPRODUCT(MAX(ROW(E$1:E3801)*(E3802=E$1:E3801)))))</f>
        <v> </v>
      </c>
      <c r="L3802" s="26"/>
    </row>
    <row r="3803" spans="1:12">
      <c r="A3803" s="20" t="s">
        <v>2809</v>
      </c>
      <c r="E3803" s="21">
        <f>IF(D3803="?OLD","!!!","")</f>
        <v/>
      </c>
      <c r="F3803" s="22" t="str">
        <f>IF(OR(E3803="",E3803="!!!"),"",IF(NOT(ISNA(VLOOKUP(E3803,E$1:E3802,1,FALSE()))),"OLD",IF(AND(E3803&lt;&gt;"",E3803&lt;&gt;"!!!"),"NEW","")))</f>
        <v> </v>
      </c>
      <c r="G3803" s="23" t="str">
        <f>IF(OR(E3803="",E3803="!!!"),"",IF(OR(J3803=0,AND(J3803=1,K3803=1),AND(J3803=1,I3803="SBJ"),AND(J3803=1,I3803=0)),"?IN_FOCUS",IF(J3803&lt;=2,"?ACTIVATED",IF(J3803&lt;&gt;"","?FAMILIAR",IF(F3803="NEW",IF(ISNA(VLOOKUP(E3803,#REF!,1,FALSE())),"?TYPE_IDENTIFIABLE","?REFERENTIAL"),"_")))))</f>
        <v> </v>
      </c>
      <c r="H3803" s="24" t="str">
        <f>IF(J3803&lt;&gt;1,"",IF(I3803="SBJ","CB","?"))</f>
        <v> </v>
      </c>
      <c r="I3803" s="25" t="str">
        <f>IF(OR(E3803="",E3803="!!!",F3803="NEW"),"",INDEX(B3802:B$2,-1+SUMPRODUCT(MAX(ROW(E3802:E$2)*(E3803=E3802:E$2)))))</f>
        <v> </v>
      </c>
      <c r="J3803" s="25" t="str">
        <f>IF(OR(E3803="",E3803="!!!",F3803="NEW"),"",COUNTBLANK(OFFSET(A$1,,,SUMPRODUCT(MAX(ROW(E$2:E3803)*(E3803=E$2:E3803)))))-COUNTBLANK(OFFSET(A$1,,,SUMPRODUCT(MAX(ROW(E$1:E3802)*(E2=E$1:E3802))))))</f>
        <v> </v>
      </c>
      <c r="K3803" s="25" t="str">
        <f>IF(OR(E3803="",E3803="!!!",F3803="NEW"),"",INDEX(J$1:J3802,SUMPRODUCT(MAX(ROW(E$1:E3802)*(E3803=E$1:E3802)))))</f>
        <v> </v>
      </c>
      <c r="L3803" s="26"/>
    </row>
    <row r="3804" spans="1:12">
      <c r="A3804" s="20" t="s">
        <v>2810</v>
      </c>
      <c r="E3804" s="21">
        <f>IF(D3804="?OLD","!!!","")</f>
        <v/>
      </c>
      <c r="F3804" s="22" t="str">
        <f>IF(OR(E3804="",E3804="!!!"),"",IF(NOT(ISNA(VLOOKUP(E3804,E$1:E3803,1,FALSE()))),"OLD",IF(AND(E3804&lt;&gt;"",E3804&lt;&gt;"!!!"),"NEW","")))</f>
        <v> </v>
      </c>
      <c r="G3804" s="23" t="str">
        <f>IF(OR(E3804="",E3804="!!!"),"",IF(OR(J3804=0,AND(J3804=1,K3804=1),AND(J3804=1,I3804="SBJ"),AND(J3804=1,I3804=0)),"?IN_FOCUS",IF(J3804&lt;=2,"?ACTIVATED",IF(J3804&lt;&gt;"","?FAMILIAR",IF(F3804="NEW",IF(ISNA(VLOOKUP(E3804,#REF!,1,FALSE())),"?TYPE_IDENTIFIABLE","?REFERENTIAL"),"_")))))</f>
        <v> </v>
      </c>
      <c r="H3804" s="24" t="str">
        <f>IF(J3804&lt;&gt;1,"",IF(I3804="SBJ","CB","?"))</f>
        <v> </v>
      </c>
      <c r="I3804" s="25" t="str">
        <f>IF(OR(E3804="",E3804="!!!",F3804="NEW"),"",INDEX(B3803:B$2,-1+SUMPRODUCT(MAX(ROW(E3803:E$2)*(E3804=E3803:E$2)))))</f>
        <v> </v>
      </c>
      <c r="J3804" s="25" t="str">
        <f>IF(OR(E3804="",E3804="!!!",F3804="NEW"),"",COUNTBLANK(OFFSET(A$1,,,SUMPRODUCT(MAX(ROW(E$2:E3804)*(E3804=E$2:E3804)))))-COUNTBLANK(OFFSET(A$1,,,SUMPRODUCT(MAX(ROW(E$1:E3803)*(E2=E$1:E3803))))))</f>
        <v> </v>
      </c>
      <c r="K3804" s="25" t="str">
        <f>IF(OR(E3804="",E3804="!!!",F3804="NEW"),"",INDEX(J$1:J3803,SUMPRODUCT(MAX(ROW(E$1:E3803)*(E3804=E$1:E3803)))))</f>
        <v> </v>
      </c>
      <c r="L3804" s="26"/>
    </row>
    <row r="3805" spans="1:12">
      <c r="A3805" s="20" t="s">
        <v>1391</v>
      </c>
      <c r="E3805" s="21">
        <f>IF(D3805="?OLD","!!!","")</f>
        <v/>
      </c>
      <c r="F3805" s="22" t="str">
        <f>IF(OR(E3805="",E3805="!!!"),"",IF(NOT(ISNA(VLOOKUP(E3805,E$1:E3804,1,FALSE()))),"OLD",IF(AND(E3805&lt;&gt;"",E3805&lt;&gt;"!!!"),"NEW","")))</f>
        <v> </v>
      </c>
      <c r="G3805" s="23" t="str">
        <f>IF(OR(E3805="",E3805="!!!"),"",IF(OR(J3805=0,AND(J3805=1,K3805=1),AND(J3805=1,I3805="SBJ"),AND(J3805=1,I3805=0)),"?IN_FOCUS",IF(J3805&lt;=2,"?ACTIVATED",IF(J3805&lt;&gt;"","?FAMILIAR",IF(F3805="NEW",IF(ISNA(VLOOKUP(E3805,#REF!,1,FALSE())),"?TYPE_IDENTIFIABLE","?REFERENTIAL"),"_")))))</f>
        <v> </v>
      </c>
      <c r="H3805" s="24" t="str">
        <f>IF(J3805&lt;&gt;1,"",IF(I3805="SBJ","CB","?"))</f>
        <v> </v>
      </c>
      <c r="I3805" s="25" t="str">
        <f>IF(OR(E3805="",E3805="!!!",F3805="NEW"),"",INDEX(B3804:B$2,-1+SUMPRODUCT(MAX(ROW(E3804:E$2)*(E3805=E3804:E$2)))))</f>
        <v> </v>
      </c>
      <c r="J3805" s="25" t="str">
        <f>IF(OR(E3805="",E3805="!!!",F3805="NEW"),"",COUNTBLANK(OFFSET(A$1,,,SUMPRODUCT(MAX(ROW(E$2:E3805)*(E3805=E$2:E3805)))))-COUNTBLANK(OFFSET(A$1,,,SUMPRODUCT(MAX(ROW(E$1:E3804)*(E2=E$1:E3804))))))</f>
        <v> </v>
      </c>
      <c r="K3805" s="25" t="str">
        <f>IF(OR(E3805="",E3805="!!!",F3805="NEW"),"",INDEX(J$1:J3804,SUMPRODUCT(MAX(ROW(E$1:E3804)*(E3805=E$1:E3804)))))</f>
        <v> </v>
      </c>
      <c r="L3805" s="26"/>
    </row>
    <row r="3806" spans="1:12">
      <c r="A3806" s="20" t="s">
        <v>1393</v>
      </c>
      <c r="E3806" s="21">
        <f>IF(D3806="?OLD","!!!","")</f>
        <v/>
      </c>
      <c r="F3806" s="22" t="str">
        <f>IF(OR(E3806="",E3806="!!!"),"",IF(NOT(ISNA(VLOOKUP(E3806,E$1:E3805,1,FALSE()))),"OLD",IF(AND(E3806&lt;&gt;"",E3806&lt;&gt;"!!!"),"NEW","")))</f>
        <v> </v>
      </c>
      <c r="G3806" s="23" t="str">
        <f>IF(OR(E3806="",E3806="!!!"),"",IF(OR(J3806=0,AND(J3806=1,K3806=1),AND(J3806=1,I3806="SBJ"),AND(J3806=1,I3806=0)),"?IN_FOCUS",IF(J3806&lt;=2,"?ACTIVATED",IF(J3806&lt;&gt;"","?FAMILIAR",IF(F3806="NEW",IF(ISNA(VLOOKUP(E3806,#REF!,1,FALSE())),"?TYPE_IDENTIFIABLE","?REFERENTIAL"),"_")))))</f>
        <v> </v>
      </c>
      <c r="H3806" s="24" t="str">
        <f>IF(J3806&lt;&gt;1,"",IF(I3806="SBJ","CB","?"))</f>
        <v> </v>
      </c>
      <c r="I3806" s="25" t="str">
        <f>IF(OR(E3806="",E3806="!!!",F3806="NEW"),"",INDEX(B3805:B$2,-1+SUMPRODUCT(MAX(ROW(E3805:E$2)*(E3806=E3805:E$2)))))</f>
        <v> </v>
      </c>
      <c r="J3806" s="25" t="str">
        <f>IF(OR(E3806="",E3806="!!!",F3806="NEW"),"",COUNTBLANK(OFFSET(A$1,,,SUMPRODUCT(MAX(ROW(E$2:E3806)*(E3806=E$2:E3806)))))-COUNTBLANK(OFFSET(A$1,,,SUMPRODUCT(MAX(ROW(E$1:E3805)*(E2=E$1:E3805))))))</f>
        <v> </v>
      </c>
      <c r="K3806" s="25" t="str">
        <f>IF(OR(E3806="",E3806="!!!",F3806="NEW"),"",INDEX(J$1:J3805,SUMPRODUCT(MAX(ROW(E$1:E3805)*(E3806=E$1:E3805)))))</f>
        <v> </v>
      </c>
      <c r="L3806" s="26"/>
    </row>
    <row r="3807" spans="1:12">
      <c r="A3807" s="20" t="s">
        <v>2811</v>
      </c>
      <c r="E3807" s="21">
        <f>IF(D3807="?OLD","!!!","")</f>
        <v/>
      </c>
      <c r="F3807" s="22" t="str">
        <f>IF(OR(E3807="",E3807="!!!"),"",IF(NOT(ISNA(VLOOKUP(E3807,E$1:E3806,1,FALSE()))),"OLD",IF(AND(E3807&lt;&gt;"",E3807&lt;&gt;"!!!"),"NEW","")))</f>
        <v> </v>
      </c>
      <c r="G3807" s="23" t="str">
        <f>IF(OR(E3807="",E3807="!!!"),"",IF(OR(J3807=0,AND(J3807=1,K3807=1),AND(J3807=1,I3807="SBJ"),AND(J3807=1,I3807=0)),"?IN_FOCUS",IF(J3807&lt;=2,"?ACTIVATED",IF(J3807&lt;&gt;"","?FAMILIAR",IF(F3807="NEW",IF(ISNA(VLOOKUP(E3807,#REF!,1,FALSE())),"?TYPE_IDENTIFIABLE","?REFERENTIAL"),"_")))))</f>
        <v> </v>
      </c>
      <c r="H3807" s="24" t="str">
        <f>IF(J3807&lt;&gt;1,"",IF(I3807="SBJ","CB","?"))</f>
        <v> </v>
      </c>
      <c r="I3807" s="25" t="str">
        <f>IF(OR(E3807="",E3807="!!!",F3807="NEW"),"",INDEX(B3806:B$2,-1+SUMPRODUCT(MAX(ROW(E3806:E$2)*(E3807=E3806:E$2)))))</f>
        <v> </v>
      </c>
      <c r="J3807" s="25" t="str">
        <f>IF(OR(E3807="",E3807="!!!",F3807="NEW"),"",COUNTBLANK(OFFSET(A$1,,,SUMPRODUCT(MAX(ROW(E$2:E3807)*(E3807=E$2:E3807)))))-COUNTBLANK(OFFSET(A$1,,,SUMPRODUCT(MAX(ROW(E$1:E3806)*(E2=E$1:E3806))))))</f>
        <v> </v>
      </c>
      <c r="K3807" s="25" t="str">
        <f>IF(OR(E3807="",E3807="!!!",F3807="NEW"),"",INDEX(J$1:J3806,SUMPRODUCT(MAX(ROW(E$1:E3806)*(E3807=E$1:E3806)))))</f>
        <v> </v>
      </c>
      <c r="L3807" s="26"/>
    </row>
    <row r="3808" spans="1:12">
      <c r="A3808" s="20" t="s">
        <v>2812</v>
      </c>
      <c r="E3808" s="21">
        <f>IF(D3808="?OLD","!!!","")</f>
        <v/>
      </c>
      <c r="F3808" s="22" t="str">
        <f>IF(OR(E3808="",E3808="!!!"),"",IF(NOT(ISNA(VLOOKUP(E3808,E$1:E3807,1,FALSE()))),"OLD",IF(AND(E3808&lt;&gt;"",E3808&lt;&gt;"!!!"),"NEW","")))</f>
        <v> </v>
      </c>
      <c r="G3808" s="23" t="str">
        <f>IF(OR(E3808="",E3808="!!!"),"",IF(OR(J3808=0,AND(J3808=1,K3808=1),AND(J3808=1,I3808="SBJ"),AND(J3808=1,I3808=0)),"?IN_FOCUS",IF(J3808&lt;=2,"?ACTIVATED",IF(J3808&lt;&gt;"","?FAMILIAR",IF(F3808="NEW",IF(ISNA(VLOOKUP(E3808,#REF!,1,FALSE())),"?TYPE_IDENTIFIABLE","?REFERENTIAL"),"_")))))</f>
        <v> </v>
      </c>
      <c r="H3808" s="24" t="str">
        <f>IF(J3808&lt;&gt;1,"",IF(I3808="SBJ","CB","?"))</f>
        <v> </v>
      </c>
      <c r="I3808" s="25" t="str">
        <f>IF(OR(E3808="",E3808="!!!",F3808="NEW"),"",INDEX(B3807:B$2,-1+SUMPRODUCT(MAX(ROW(E3807:E$2)*(E3808=E3807:E$2)))))</f>
        <v> </v>
      </c>
      <c r="J3808" s="25" t="str">
        <f>IF(OR(E3808="",E3808="!!!",F3808="NEW"),"",COUNTBLANK(OFFSET(A$1,,,SUMPRODUCT(MAX(ROW(E$2:E3808)*(E3808=E$2:E3808)))))-COUNTBLANK(OFFSET(A$1,,,SUMPRODUCT(MAX(ROW(E$1:E3807)*(E2=E$1:E3807))))))</f>
        <v> </v>
      </c>
      <c r="K3808" s="25" t="str">
        <f>IF(OR(E3808="",E3808="!!!",F3808="NEW"),"",INDEX(J$1:J3807,SUMPRODUCT(MAX(ROW(E$1:E3807)*(E3808=E$1:E3807)))))</f>
        <v> </v>
      </c>
      <c r="L3808" s="26"/>
    </row>
    <row r="3809" spans="1:12">
      <c r="A3809" s="20" t="s">
        <v>2813</v>
      </c>
      <c r="B3809" s="27" t="s">
        <v>1149</v>
      </c>
      <c r="E3809" s="21">
        <f>IF(D3809="?OLD","!!!","")</f>
        <v/>
      </c>
      <c r="F3809" s="22" t="str">
        <f>IF(OR(E3809="",E3809="!!!"),"",IF(NOT(ISNA(VLOOKUP(E3809,E$1:E3808,1,FALSE()))),"OLD",IF(AND(E3809&lt;&gt;"",E3809&lt;&gt;"!!!"),"NEW","")))</f>
        <v> </v>
      </c>
      <c r="G3809" s="23" t="str">
        <f>IF(OR(E3809="",E3809="!!!"),"",IF(OR(J3809=0,AND(J3809=1,K3809=1),AND(J3809=1,I3809="SBJ"),AND(J3809=1,I3809=0)),"?IN_FOCUS",IF(J3809&lt;=2,"?ACTIVATED",IF(J3809&lt;&gt;"","?FAMILIAR",IF(F3809="NEW",IF(ISNA(VLOOKUP(E3809,#REF!,1,FALSE())),"?TYPE_IDENTIFIABLE","?REFERENTIAL"),"_")))))</f>
        <v> </v>
      </c>
      <c r="H3809" s="24" t="str">
        <f>IF(J3809&lt;&gt;1,"",IF(I3809="SBJ","CB","?"))</f>
        <v> </v>
      </c>
      <c r="I3809" s="25" t="str">
        <f>IF(OR(E3809="",E3809="!!!",F3809="NEW"),"",INDEX(B3808:B$2,-1+SUMPRODUCT(MAX(ROW(E3808:E$2)*(E3809=E3808:E$2)))))</f>
        <v> </v>
      </c>
      <c r="J3809" s="25" t="str">
        <f>IF(OR(E3809="",E3809="!!!",F3809="NEW"),"",COUNTBLANK(OFFSET(A$1,,,SUMPRODUCT(MAX(ROW(E$2:E3809)*(E3809=E$2:E3809)))))-COUNTBLANK(OFFSET(A$1,,,SUMPRODUCT(MAX(ROW(E$1:E3808)*(E2=E$1:E3808))))))</f>
        <v> </v>
      </c>
      <c r="K3809" s="25" t="str">
        <f>IF(OR(E3809="",E3809="!!!",F3809="NEW"),"",INDEX(J$1:J3808,SUMPRODUCT(MAX(ROW(E$1:E3808)*(E3809=E$1:E3808)))))</f>
        <v> </v>
      </c>
      <c r="L3809" s="26"/>
    </row>
    <row r="3810" spans="1:12">
      <c r="A3810" s="20" t="s">
        <v>1145</v>
      </c>
      <c r="E3810" s="21">
        <f>IF(D3810="?OLD","!!!","")</f>
        <v/>
      </c>
      <c r="F3810" s="22" t="str">
        <f>IF(OR(E3810="",E3810="!!!"),"",IF(NOT(ISNA(VLOOKUP(E3810,E$1:E3809,1,FALSE()))),"OLD",IF(AND(E3810&lt;&gt;"",E3810&lt;&gt;"!!!"),"NEW","")))</f>
        <v> </v>
      </c>
      <c r="G3810" s="23" t="str">
        <f>IF(OR(E3810="",E3810="!!!"),"",IF(OR(J3810=0,AND(J3810=1,K3810=1),AND(J3810=1,I3810="SBJ"),AND(J3810=1,I3810=0)),"?IN_FOCUS",IF(J3810&lt;=2,"?ACTIVATED",IF(J3810&lt;&gt;"","?FAMILIAR",IF(F3810="NEW",IF(ISNA(VLOOKUP(E3810,#REF!,1,FALSE())),"?TYPE_IDENTIFIABLE","?REFERENTIAL"),"_")))))</f>
        <v> </v>
      </c>
      <c r="H3810" s="24" t="str">
        <f>IF(J3810&lt;&gt;1,"",IF(I3810="SBJ","CB","?"))</f>
        <v> </v>
      </c>
      <c r="I3810" s="25" t="str">
        <f>IF(OR(E3810="",E3810="!!!",F3810="NEW"),"",INDEX(B3809:B$2,-1+SUMPRODUCT(MAX(ROW(E3809:E$2)*(E3810=E3809:E$2)))))</f>
        <v> </v>
      </c>
      <c r="J3810" s="25" t="str">
        <f>IF(OR(E3810="",E3810="!!!",F3810="NEW"),"",COUNTBLANK(OFFSET(A$1,,,SUMPRODUCT(MAX(ROW(E$2:E3810)*(E3810=E$2:E3810)))))-COUNTBLANK(OFFSET(A$1,,,SUMPRODUCT(MAX(ROW(E$1:E3809)*(E2=E$1:E3809))))))</f>
        <v> </v>
      </c>
      <c r="K3810" s="25" t="str">
        <f>IF(OR(E3810="",E3810="!!!",F3810="NEW"),"",INDEX(J$1:J3809,SUMPRODUCT(MAX(ROW(E$1:E3809)*(E3810=E$1:E3809)))))</f>
        <v> </v>
      </c>
      <c r="L3810" s="26"/>
    </row>
    <row r="3811" spans="1:12">
      <c r="A3811" s="20"/>
    </row>
    <row r="3812" spans="1:12">
      <c r="A3812" s="20" t="s">
        <v>2814</v>
      </c>
    </row>
    <row r="3813" spans="1:12">
      <c r="A3813" s="20" t="s">
        <v>1353</v>
      </c>
      <c r="B3813" s="27" t="s">
        <v>1149</v>
      </c>
      <c r="C3813" s="27" t="s">
        <v>1126</v>
      </c>
      <c r="D3813" s="27" t="s">
        <v>1105</v>
      </c>
      <c r="E3813" s="21">
        <f>IF(D3813="?OLD","!!!","")</f>
        <v/>
      </c>
      <c r="F3813" s="22" t="str">
        <f>IF(OR(E3813="",E3813="!!!"),"",IF(NOT(ISNA(VLOOKUP(E3813,E$1:E3812,1,FALSE()))),"OLD",IF(AND(E3813&lt;&gt;"",E3813&lt;&gt;"!!!"),"NEW","")))</f>
        <v> </v>
      </c>
      <c r="G3813" s="23" t="str">
        <f>IF(OR(E3813="",E3813="!!!"),"",IF(OR(J3813=0,AND(J3813=1,K3813=1),AND(J3813=1,I3813="SBJ"),AND(J3813=1,I3813=0)),"?IN_FOCUS",IF(J3813&lt;=2,"?ACTIVATED",IF(J3813&lt;&gt;"","?FAMILIAR",IF(F3813="NEW",IF(ISNA(VLOOKUP(E3813,#REF!,1,FALSE())),"?TYPE_IDENTIFIABLE","?REFERENTIAL"),"_")))))</f>
        <v> </v>
      </c>
      <c r="H3813" s="24" t="str">
        <f>IF(J3813&lt;&gt;1,"",IF(I3813="SBJ","CB","?"))</f>
        <v> </v>
      </c>
      <c r="I3813" s="25" t="str">
        <f>IF(OR(E3813="",E3813="!!!",F3813="NEW"),"",INDEX(B3812:B$2,-1+SUMPRODUCT(MAX(ROW(E3812:E$2)*(E3813=E3812:E$2)))))</f>
        <v> </v>
      </c>
      <c r="J3813" s="25" t="str">
        <f>IF(OR(E3813="",E3813="!!!",F3813="NEW"),"",COUNTBLANK(OFFSET(A$1,,,SUMPRODUCT(MAX(ROW(E$2:E3813)*(E3813=E$2:E3813)))))-COUNTBLANK(OFFSET(A$1,,,SUMPRODUCT(MAX(ROW(E$1:E3812)*(E2=E$1:E3812))))))</f>
        <v> </v>
      </c>
      <c r="K3813" s="25" t="str">
        <f>IF(OR(E3813="",E3813="!!!",F3813="NEW"),"",INDEX(J$1:J3812,SUMPRODUCT(MAX(ROW(E$1:E3812)*(E3813=E$1:E3812)))))</f>
        <v> </v>
      </c>
      <c r="L3813" s="26"/>
    </row>
    <row r="3814" spans="1:12">
      <c r="A3814" s="20" t="s">
        <v>1121</v>
      </c>
      <c r="E3814" s="21">
        <f>IF(D3814="?OLD","!!!","")</f>
        <v/>
      </c>
      <c r="F3814" s="22" t="str">
        <f>IF(OR(E3814="",E3814="!!!"),"",IF(NOT(ISNA(VLOOKUP(E3814,E$1:E3813,1,FALSE()))),"OLD",IF(AND(E3814&lt;&gt;"",E3814&lt;&gt;"!!!"),"NEW","")))</f>
        <v> </v>
      </c>
      <c r="G3814" s="23" t="str">
        <f>IF(OR(E3814="",E3814="!!!"),"",IF(OR(J3814=0,AND(J3814=1,K3814=1),AND(J3814=1,I3814="SBJ"),AND(J3814=1,I3814=0)),"?IN_FOCUS",IF(J3814&lt;=2,"?ACTIVATED",IF(J3814&lt;&gt;"","?FAMILIAR",IF(F3814="NEW",IF(ISNA(VLOOKUP(E3814,#REF!,1,FALSE())),"?TYPE_IDENTIFIABLE","?REFERENTIAL"),"_")))))</f>
        <v> </v>
      </c>
      <c r="H3814" s="24" t="str">
        <f>IF(J3814&lt;&gt;1,"",IF(I3814="SBJ","CB","?"))</f>
        <v> </v>
      </c>
      <c r="I3814" s="25" t="str">
        <f>IF(OR(E3814="",E3814="!!!",F3814="NEW"),"",INDEX(B3813:B$2,-1+SUMPRODUCT(MAX(ROW(E3813:E$2)*(E3814=E3813:E$2)))))</f>
        <v> </v>
      </c>
      <c r="J3814" s="25" t="str">
        <f>IF(OR(E3814="",E3814="!!!",F3814="NEW"),"",COUNTBLANK(OFFSET(A$1,,,SUMPRODUCT(MAX(ROW(E$2:E3814)*(E3814=E$2:E3814)))))-COUNTBLANK(OFFSET(A$1,,,SUMPRODUCT(MAX(ROW(E$1:E3813)*(E2=E$1:E3813))))))</f>
        <v> </v>
      </c>
      <c r="K3814" s="25" t="str">
        <f>IF(OR(E3814="",E3814="!!!",F3814="NEW"),"",INDEX(J$1:J3813,SUMPRODUCT(MAX(ROW(E$1:E3813)*(E3814=E$1:E3813)))))</f>
        <v> </v>
      </c>
      <c r="L3814" s="26"/>
    </row>
    <row r="3815" spans="1:12">
      <c r="A3815" s="20" t="s">
        <v>1128</v>
      </c>
      <c r="E3815" s="21">
        <f>IF(D3815="?OLD","!!!","")</f>
        <v/>
      </c>
      <c r="F3815" s="22" t="str">
        <f>IF(OR(E3815="",E3815="!!!"),"",IF(NOT(ISNA(VLOOKUP(E3815,E$1:E3814,1,FALSE()))),"OLD",IF(AND(E3815&lt;&gt;"",E3815&lt;&gt;"!!!"),"NEW","")))</f>
        <v> </v>
      </c>
      <c r="G3815" s="23" t="str">
        <f>IF(OR(E3815="",E3815="!!!"),"",IF(OR(J3815=0,AND(J3815=1,K3815=1),AND(J3815=1,I3815="SBJ"),AND(J3815=1,I3815=0)),"?IN_FOCUS",IF(J3815&lt;=2,"?ACTIVATED",IF(J3815&lt;&gt;"","?FAMILIAR",IF(F3815="NEW",IF(ISNA(VLOOKUP(E3815,#REF!,1,FALSE())),"?TYPE_IDENTIFIABLE","?REFERENTIAL"),"_")))))</f>
        <v> </v>
      </c>
      <c r="H3815" s="24" t="str">
        <f>IF(J3815&lt;&gt;1,"",IF(I3815="SBJ","CB","?"))</f>
        <v> </v>
      </c>
      <c r="I3815" s="25" t="str">
        <f>IF(OR(E3815="",E3815="!!!",F3815="NEW"),"",INDEX(B3814:B$2,-1+SUMPRODUCT(MAX(ROW(E3814:E$2)*(E3815=E3814:E$2)))))</f>
        <v> </v>
      </c>
      <c r="J3815" s="25" t="str">
        <f>IF(OR(E3815="",E3815="!!!",F3815="NEW"),"",COUNTBLANK(OFFSET(A$1,,,SUMPRODUCT(MAX(ROW(E$2:E3815)*(E3815=E$2:E3815)))))-COUNTBLANK(OFFSET(A$1,,,SUMPRODUCT(MAX(ROW(E$1:E3814)*(E2=E$1:E3814))))))</f>
        <v> </v>
      </c>
      <c r="K3815" s="25" t="str">
        <f>IF(OR(E3815="",E3815="!!!",F3815="NEW"),"",INDEX(J$1:J3814,SUMPRODUCT(MAX(ROW(E$1:E3814)*(E3815=E$1:E3814)))))</f>
        <v> </v>
      </c>
      <c r="L3815" s="26"/>
    </row>
    <row r="3816" spans="1:12">
      <c r="A3816" s="20" t="s">
        <v>1930</v>
      </c>
      <c r="B3816" s="27" t="s">
        <v>1103</v>
      </c>
      <c r="C3816" s="27" t="s">
        <v>1156</v>
      </c>
      <c r="D3816" s="27" t="s">
        <v>1105</v>
      </c>
      <c r="E3816" s="21">
        <f>IF(D3816="?OLD","!!!","")</f>
        <v/>
      </c>
      <c r="F3816" s="22" t="str">
        <f>IF(OR(E3816="",E3816="!!!"),"",IF(NOT(ISNA(VLOOKUP(E3816,E$1:E3815,1,FALSE()))),"OLD",IF(AND(E3816&lt;&gt;"",E3816&lt;&gt;"!!!"),"NEW","")))</f>
        <v> </v>
      </c>
      <c r="G3816" s="23" t="str">
        <f>IF(OR(E3816="",E3816="!!!"),"",IF(OR(J3816=0,AND(J3816=1,K3816=1),AND(J3816=1,I3816="SBJ"),AND(J3816=1,I3816=0)),"?IN_FOCUS",IF(J3816&lt;=2,"?ACTIVATED",IF(J3816&lt;&gt;"","?FAMILIAR",IF(F3816="NEW",IF(ISNA(VLOOKUP(E3816,#REF!,1,FALSE())),"?TYPE_IDENTIFIABLE","?REFERENTIAL"),"_")))))</f>
        <v> </v>
      </c>
      <c r="H3816" s="24" t="str">
        <f>IF(J3816&lt;&gt;1,"",IF(I3816="SBJ","CB","?"))</f>
        <v> </v>
      </c>
      <c r="I3816" s="25" t="str">
        <f>IF(OR(E3816="",E3816="!!!",F3816="NEW"),"",INDEX(B3815:B$2,-1+SUMPRODUCT(MAX(ROW(E3815:E$2)*(E3816=E3815:E$2)))))</f>
        <v> </v>
      </c>
      <c r="J3816" s="25" t="str">
        <f>IF(OR(E3816="",E3816="!!!",F3816="NEW"),"",COUNTBLANK(OFFSET(A$1,,,SUMPRODUCT(MAX(ROW(E$2:E3816)*(E3816=E$2:E3816)))))-COUNTBLANK(OFFSET(A$1,,,SUMPRODUCT(MAX(ROW(E$1:E3815)*(E2=E$1:E3815))))))</f>
        <v> </v>
      </c>
      <c r="K3816" s="25" t="str">
        <f>IF(OR(E3816="",E3816="!!!",F3816="NEW"),"",INDEX(J$1:J3815,SUMPRODUCT(MAX(ROW(E$1:E3815)*(E3816=E$1:E3815)))))</f>
        <v> </v>
      </c>
      <c r="L3816" s="26"/>
    </row>
    <row r="3817" spans="1:12">
      <c r="A3817" s="20" t="s">
        <v>2815</v>
      </c>
      <c r="E3817" s="21">
        <f>IF(D3817="?OLD","!!!","")</f>
        <v/>
      </c>
      <c r="F3817" s="22" t="str">
        <f>IF(OR(E3817="",E3817="!!!"),"",IF(NOT(ISNA(VLOOKUP(E3817,E$1:E3816,1,FALSE()))),"OLD",IF(AND(E3817&lt;&gt;"",E3817&lt;&gt;"!!!"),"NEW","")))</f>
        <v> </v>
      </c>
      <c r="G3817" s="23" t="str">
        <f>IF(OR(E3817="",E3817="!!!"),"",IF(OR(J3817=0,AND(J3817=1,K3817=1),AND(J3817=1,I3817="SBJ"),AND(J3817=1,I3817=0)),"?IN_FOCUS",IF(J3817&lt;=2,"?ACTIVATED",IF(J3817&lt;&gt;"","?FAMILIAR",IF(F3817="NEW",IF(ISNA(VLOOKUP(E3817,#REF!,1,FALSE())),"?TYPE_IDENTIFIABLE","?REFERENTIAL"),"_")))))</f>
        <v> </v>
      </c>
      <c r="H3817" s="24" t="str">
        <f>IF(J3817&lt;&gt;1,"",IF(I3817="SBJ","CB","?"))</f>
        <v> </v>
      </c>
      <c r="I3817" s="25" t="str">
        <f>IF(OR(E3817="",E3817="!!!",F3817="NEW"),"",INDEX(B3816:B$2,-1+SUMPRODUCT(MAX(ROW(E3816:E$2)*(E3817=E3816:E$2)))))</f>
        <v> </v>
      </c>
      <c r="J3817" s="25" t="str">
        <f>IF(OR(E3817="",E3817="!!!",F3817="NEW"),"",COUNTBLANK(OFFSET(A$1,,,SUMPRODUCT(MAX(ROW(E$2:E3817)*(E3817=E$2:E3817)))))-COUNTBLANK(OFFSET(A$1,,,SUMPRODUCT(MAX(ROW(E$1:E3816)*(E2=E$1:E3816))))))</f>
        <v> </v>
      </c>
      <c r="K3817" s="25" t="str">
        <f>IF(OR(E3817="",E3817="!!!",F3817="NEW"),"",INDEX(J$1:J3816,SUMPRODUCT(MAX(ROW(E$1:E3816)*(E3817=E$1:E3816)))))</f>
        <v> </v>
      </c>
      <c r="L3817" s="26"/>
    </row>
    <row r="3818" spans="1:12">
      <c r="A3818" s="20" t="s">
        <v>1123</v>
      </c>
      <c r="E3818" s="21">
        <f>IF(D3818="?OLD","!!!","")</f>
        <v/>
      </c>
      <c r="F3818" s="22" t="str">
        <f>IF(OR(E3818="",E3818="!!!"),"",IF(NOT(ISNA(VLOOKUP(E3818,E$1:E3817,1,FALSE()))),"OLD",IF(AND(E3818&lt;&gt;"",E3818&lt;&gt;"!!!"),"NEW","")))</f>
        <v> </v>
      </c>
      <c r="G3818" s="23" t="str">
        <f>IF(OR(E3818="",E3818="!!!"),"",IF(OR(J3818=0,AND(J3818=1,K3818=1),AND(J3818=1,I3818="SBJ"),AND(J3818=1,I3818=0)),"?IN_FOCUS",IF(J3818&lt;=2,"?ACTIVATED",IF(J3818&lt;&gt;"","?FAMILIAR",IF(F3818="NEW",IF(ISNA(VLOOKUP(E3818,#REF!,1,FALSE())),"?TYPE_IDENTIFIABLE","?REFERENTIAL"),"_")))))</f>
        <v> </v>
      </c>
      <c r="H3818" s="24" t="str">
        <f>IF(J3818&lt;&gt;1,"",IF(I3818="SBJ","CB","?"))</f>
        <v> </v>
      </c>
      <c r="I3818" s="25" t="str">
        <f>IF(OR(E3818="",E3818="!!!",F3818="NEW"),"",INDEX(B3817:B$2,-1+SUMPRODUCT(MAX(ROW(E3817:E$2)*(E3818=E3817:E$2)))))</f>
        <v> </v>
      </c>
      <c r="J3818" s="25" t="str">
        <f>IF(OR(E3818="",E3818="!!!",F3818="NEW"),"",COUNTBLANK(OFFSET(A$1,,,SUMPRODUCT(MAX(ROW(E$2:E3818)*(E3818=E$2:E3818)))))-COUNTBLANK(OFFSET(A$1,,,SUMPRODUCT(MAX(ROW(E$1:E3817)*(E2=E$1:E3817))))))</f>
        <v> </v>
      </c>
      <c r="K3818" s="25" t="str">
        <f>IF(OR(E3818="",E3818="!!!",F3818="NEW"),"",INDEX(J$1:J3817,SUMPRODUCT(MAX(ROW(E$1:E3817)*(E3818=E$1:E3817)))))</f>
        <v> </v>
      </c>
      <c r="L3818" s="26"/>
    </row>
    <row r="3819" spans="1:12">
      <c r="A3819" s="20" t="s">
        <v>2816</v>
      </c>
      <c r="E3819" s="21">
        <f>IF(D3819="?OLD","!!!","")</f>
        <v/>
      </c>
      <c r="F3819" s="22" t="str">
        <f>IF(OR(E3819="",E3819="!!!"),"",IF(NOT(ISNA(VLOOKUP(E3819,E$1:E3818,1,FALSE()))),"OLD",IF(AND(E3819&lt;&gt;"",E3819&lt;&gt;"!!!"),"NEW","")))</f>
        <v> </v>
      </c>
      <c r="G3819" s="23" t="str">
        <f>IF(OR(E3819="",E3819="!!!"),"",IF(OR(J3819=0,AND(J3819=1,K3819=1),AND(J3819=1,I3819="SBJ"),AND(J3819=1,I3819=0)),"?IN_FOCUS",IF(J3819&lt;=2,"?ACTIVATED",IF(J3819&lt;&gt;"","?FAMILIAR",IF(F3819="NEW",IF(ISNA(VLOOKUP(E3819,#REF!,1,FALSE())),"?TYPE_IDENTIFIABLE","?REFERENTIAL"),"_")))))</f>
        <v> </v>
      </c>
      <c r="H3819" s="24" t="str">
        <f>IF(J3819&lt;&gt;1,"",IF(I3819="SBJ","CB","?"))</f>
        <v> </v>
      </c>
      <c r="I3819" s="25" t="str">
        <f>IF(OR(E3819="",E3819="!!!",F3819="NEW"),"",INDEX(B3818:B$2,-1+SUMPRODUCT(MAX(ROW(E3818:E$2)*(E3819=E3818:E$2)))))</f>
        <v> </v>
      </c>
      <c r="J3819" s="25" t="str">
        <f>IF(OR(E3819="",E3819="!!!",F3819="NEW"),"",COUNTBLANK(OFFSET(A$1,,,SUMPRODUCT(MAX(ROW(E$2:E3819)*(E3819=E$2:E3819)))))-COUNTBLANK(OFFSET(A$1,,,SUMPRODUCT(MAX(ROW(E$1:E3818)*(E2=E$1:E3818))))))</f>
        <v> </v>
      </c>
      <c r="K3819" s="25" t="str">
        <f>IF(OR(E3819="",E3819="!!!",F3819="NEW"),"",INDEX(J$1:J3818,SUMPRODUCT(MAX(ROW(E$1:E3818)*(E3819=E$1:E3818)))))</f>
        <v> </v>
      </c>
      <c r="L3819" s="26"/>
    </row>
    <row r="3820" spans="1:12">
      <c r="A3820" s="20" t="s">
        <v>1253</v>
      </c>
      <c r="E3820" s="21">
        <f>IF(D3820="?OLD","!!!","")</f>
        <v/>
      </c>
      <c r="F3820" s="22" t="str">
        <f>IF(OR(E3820="",E3820="!!!"),"",IF(NOT(ISNA(VLOOKUP(E3820,E$1:E3819,1,FALSE()))),"OLD",IF(AND(E3820&lt;&gt;"",E3820&lt;&gt;"!!!"),"NEW","")))</f>
        <v> </v>
      </c>
      <c r="G3820" s="23" t="str">
        <f>IF(OR(E3820="",E3820="!!!"),"",IF(OR(J3820=0,AND(J3820=1,K3820=1),AND(J3820=1,I3820="SBJ"),AND(J3820=1,I3820=0)),"?IN_FOCUS",IF(J3820&lt;=2,"?ACTIVATED",IF(J3820&lt;&gt;"","?FAMILIAR",IF(F3820="NEW",IF(ISNA(VLOOKUP(E3820,#REF!,1,FALSE())),"?TYPE_IDENTIFIABLE","?REFERENTIAL"),"_")))))</f>
        <v> </v>
      </c>
      <c r="H3820" s="24" t="str">
        <f>IF(J3820&lt;&gt;1,"",IF(I3820="SBJ","CB","?"))</f>
        <v> </v>
      </c>
      <c r="I3820" s="25" t="str">
        <f>IF(OR(E3820="",E3820="!!!",F3820="NEW"),"",INDEX(B3819:B$2,-1+SUMPRODUCT(MAX(ROW(E3819:E$2)*(E3820=E3819:E$2)))))</f>
        <v> </v>
      </c>
      <c r="J3820" s="25" t="str">
        <f>IF(OR(E3820="",E3820="!!!",F3820="NEW"),"",COUNTBLANK(OFFSET(A$1,,,SUMPRODUCT(MAX(ROW(E$2:E3820)*(E3820=E$2:E3820)))))-COUNTBLANK(OFFSET(A$1,,,SUMPRODUCT(MAX(ROW(E$1:E3819)*(E2=E$1:E3819))))))</f>
        <v> </v>
      </c>
      <c r="K3820" s="25" t="str">
        <f>IF(OR(E3820="",E3820="!!!",F3820="NEW"),"",INDEX(J$1:J3819,SUMPRODUCT(MAX(ROW(E$1:E3819)*(E3820=E$1:E3819)))))</f>
        <v> </v>
      </c>
      <c r="L3820" s="26"/>
    </row>
    <row r="3821" spans="1:12">
      <c r="A3821" s="20" t="s">
        <v>2817</v>
      </c>
      <c r="E3821" s="21">
        <f>IF(D3821="?OLD","!!!","")</f>
        <v/>
      </c>
      <c r="F3821" s="22" t="str">
        <f>IF(OR(E3821="",E3821="!!!"),"",IF(NOT(ISNA(VLOOKUP(E3821,E$1:E3820,1,FALSE()))),"OLD",IF(AND(E3821&lt;&gt;"",E3821&lt;&gt;"!!!"),"NEW","")))</f>
        <v> </v>
      </c>
      <c r="G3821" s="23" t="str">
        <f>IF(OR(E3821="",E3821="!!!"),"",IF(OR(J3821=0,AND(J3821=1,K3821=1),AND(J3821=1,I3821="SBJ"),AND(J3821=1,I3821=0)),"?IN_FOCUS",IF(J3821&lt;=2,"?ACTIVATED",IF(J3821&lt;&gt;"","?FAMILIAR",IF(F3821="NEW",IF(ISNA(VLOOKUP(E3821,#REF!,1,FALSE())),"?TYPE_IDENTIFIABLE","?REFERENTIAL"),"_")))))</f>
        <v> </v>
      </c>
      <c r="H3821" s="24" t="str">
        <f>IF(J3821&lt;&gt;1,"",IF(I3821="SBJ","CB","?"))</f>
        <v> </v>
      </c>
      <c r="I3821" s="25" t="str">
        <f>IF(OR(E3821="",E3821="!!!",F3821="NEW"),"",INDEX(B3820:B$2,-1+SUMPRODUCT(MAX(ROW(E3820:E$2)*(E3821=E3820:E$2)))))</f>
        <v> </v>
      </c>
      <c r="J3821" s="25" t="str">
        <f>IF(OR(E3821="",E3821="!!!",F3821="NEW"),"",COUNTBLANK(OFFSET(A$1,,,SUMPRODUCT(MAX(ROW(E$2:E3821)*(E3821=E$2:E3821)))))-COUNTBLANK(OFFSET(A$1,,,SUMPRODUCT(MAX(ROW(E$1:E3820)*(E2=E$1:E3820))))))</f>
        <v> </v>
      </c>
      <c r="K3821" s="25" t="str">
        <f>IF(OR(E3821="",E3821="!!!",F3821="NEW"),"",INDEX(J$1:J3820,SUMPRODUCT(MAX(ROW(E$1:E3820)*(E3821=E$1:E3820)))))</f>
        <v> </v>
      </c>
      <c r="L3821" s="26"/>
    </row>
    <row r="3822" spans="1:12">
      <c r="A3822" s="20" t="s">
        <v>1184</v>
      </c>
      <c r="E3822" s="21">
        <f>IF(D3822="?OLD","!!!","")</f>
        <v/>
      </c>
      <c r="F3822" s="22" t="str">
        <f>IF(OR(E3822="",E3822="!!!"),"",IF(NOT(ISNA(VLOOKUP(E3822,E$1:E3821,1,FALSE()))),"OLD",IF(AND(E3822&lt;&gt;"",E3822&lt;&gt;"!!!"),"NEW","")))</f>
        <v> </v>
      </c>
      <c r="G3822" s="23" t="str">
        <f>IF(OR(E3822="",E3822="!!!"),"",IF(OR(J3822=0,AND(J3822=1,K3822=1),AND(J3822=1,I3822="SBJ"),AND(J3822=1,I3822=0)),"?IN_FOCUS",IF(J3822&lt;=2,"?ACTIVATED",IF(J3822&lt;&gt;"","?FAMILIAR",IF(F3822="NEW",IF(ISNA(VLOOKUP(E3822,#REF!,1,FALSE())),"?TYPE_IDENTIFIABLE","?REFERENTIAL"),"_")))))</f>
        <v> </v>
      </c>
      <c r="H3822" s="24" t="str">
        <f>IF(J3822&lt;&gt;1,"",IF(I3822="SBJ","CB","?"))</f>
        <v> </v>
      </c>
      <c r="I3822" s="25" t="str">
        <f>IF(OR(E3822="",E3822="!!!",F3822="NEW"),"",INDEX(B3821:B$2,-1+SUMPRODUCT(MAX(ROW(E3821:E$2)*(E3822=E3821:E$2)))))</f>
        <v> </v>
      </c>
      <c r="J3822" s="25" t="str">
        <f>IF(OR(E3822="",E3822="!!!",F3822="NEW"),"",COUNTBLANK(OFFSET(A$1,,,SUMPRODUCT(MAX(ROW(E$2:E3822)*(E3822=E$2:E3822)))))-COUNTBLANK(OFFSET(A$1,,,SUMPRODUCT(MAX(ROW(E$1:E3821)*(E2=E$1:E3821))))))</f>
        <v> </v>
      </c>
      <c r="K3822" s="25" t="str">
        <f>IF(OR(E3822="",E3822="!!!",F3822="NEW"),"",INDEX(J$1:J3821,SUMPRODUCT(MAX(ROW(E$1:E3821)*(E3822=E$1:E3821)))))</f>
        <v> </v>
      </c>
      <c r="L3822" s="26"/>
    </row>
    <row r="3823" spans="1:12">
      <c r="A3823" s="20" t="s">
        <v>2818</v>
      </c>
      <c r="E3823" s="21">
        <f>IF(D3823="?OLD","!!!","")</f>
        <v/>
      </c>
      <c r="F3823" s="22" t="str">
        <f>IF(OR(E3823="",E3823="!!!"),"",IF(NOT(ISNA(VLOOKUP(E3823,E$1:E3822,1,FALSE()))),"OLD",IF(AND(E3823&lt;&gt;"",E3823&lt;&gt;"!!!"),"NEW","")))</f>
        <v> </v>
      </c>
      <c r="G3823" s="23" t="str">
        <f>IF(OR(E3823="",E3823="!!!"),"",IF(OR(J3823=0,AND(J3823=1,K3823=1),AND(J3823=1,I3823="SBJ"),AND(J3823=1,I3823=0)),"?IN_FOCUS",IF(J3823&lt;=2,"?ACTIVATED",IF(J3823&lt;&gt;"","?FAMILIAR",IF(F3823="NEW",IF(ISNA(VLOOKUP(E3823,#REF!,1,FALSE())),"?TYPE_IDENTIFIABLE","?REFERENTIAL"),"_")))))</f>
        <v> </v>
      </c>
      <c r="H3823" s="24" t="str">
        <f>IF(J3823&lt;&gt;1,"",IF(I3823="SBJ","CB","?"))</f>
        <v> </v>
      </c>
      <c r="I3823" s="25" t="str">
        <f>IF(OR(E3823="",E3823="!!!",F3823="NEW"),"",INDEX(B3822:B$2,-1+SUMPRODUCT(MAX(ROW(E3822:E$2)*(E3823=E3822:E$2)))))</f>
        <v> </v>
      </c>
      <c r="J3823" s="25" t="str">
        <f>IF(OR(E3823="",E3823="!!!",F3823="NEW"),"",COUNTBLANK(OFFSET(A$1,,,SUMPRODUCT(MAX(ROW(E$2:E3823)*(E3823=E$2:E3823)))))-COUNTBLANK(OFFSET(A$1,,,SUMPRODUCT(MAX(ROW(E$1:E3822)*(E2=E$1:E3822))))))</f>
        <v> </v>
      </c>
      <c r="K3823" s="25" t="str">
        <f>IF(OR(E3823="",E3823="!!!",F3823="NEW"),"",INDEX(J$1:J3822,SUMPRODUCT(MAX(ROW(E$1:E3822)*(E3823=E$1:E3822)))))</f>
        <v> </v>
      </c>
      <c r="L3823" s="26"/>
    </row>
    <row r="3824" spans="1:12">
      <c r="A3824" s="20" t="s">
        <v>2819</v>
      </c>
      <c r="E3824" s="21">
        <f>IF(D3824="?OLD","!!!","")</f>
        <v/>
      </c>
      <c r="F3824" s="22" t="str">
        <f>IF(OR(E3824="",E3824="!!!"),"",IF(NOT(ISNA(VLOOKUP(E3824,E$1:E3823,1,FALSE()))),"OLD",IF(AND(E3824&lt;&gt;"",E3824&lt;&gt;"!!!"),"NEW","")))</f>
        <v> </v>
      </c>
      <c r="G3824" s="23" t="str">
        <f>IF(OR(E3824="",E3824="!!!"),"",IF(OR(J3824=0,AND(J3824=1,K3824=1),AND(J3824=1,I3824="SBJ"),AND(J3824=1,I3824=0)),"?IN_FOCUS",IF(J3824&lt;=2,"?ACTIVATED",IF(J3824&lt;&gt;"","?FAMILIAR",IF(F3824="NEW",IF(ISNA(VLOOKUP(E3824,#REF!,1,FALSE())),"?TYPE_IDENTIFIABLE","?REFERENTIAL"),"_")))))</f>
        <v> </v>
      </c>
      <c r="H3824" s="24" t="str">
        <f>IF(J3824&lt;&gt;1,"",IF(I3824="SBJ","CB","?"))</f>
        <v> </v>
      </c>
      <c r="I3824" s="25" t="str">
        <f>IF(OR(E3824="",E3824="!!!",F3824="NEW"),"",INDEX(B3823:B$2,-1+SUMPRODUCT(MAX(ROW(E3823:E$2)*(E3824=E3823:E$2)))))</f>
        <v> </v>
      </c>
      <c r="J3824" s="25" t="str">
        <f>IF(OR(E3824="",E3824="!!!",F3824="NEW"),"",COUNTBLANK(OFFSET(A$1,,,SUMPRODUCT(MAX(ROW(E$2:E3824)*(E3824=E$2:E3824)))))-COUNTBLANK(OFFSET(A$1,,,SUMPRODUCT(MAX(ROW(E$1:E3823)*(E2=E$1:E3823))))))</f>
        <v> </v>
      </c>
      <c r="K3824" s="25" t="str">
        <f>IF(OR(E3824="",E3824="!!!",F3824="NEW"),"",INDEX(J$1:J3823,SUMPRODUCT(MAX(ROW(E$1:E3823)*(E3824=E$1:E3823)))))</f>
        <v> </v>
      </c>
      <c r="L3824" s="26"/>
    </row>
    <row r="3825" spans="1:12">
      <c r="A3825" s="20" t="s">
        <v>2820</v>
      </c>
      <c r="E3825" s="21">
        <f>IF(D3825="?OLD","!!!","")</f>
        <v/>
      </c>
      <c r="F3825" s="22" t="str">
        <f>IF(OR(E3825="",E3825="!!!"),"",IF(NOT(ISNA(VLOOKUP(E3825,E$1:E3824,1,FALSE()))),"OLD",IF(AND(E3825&lt;&gt;"",E3825&lt;&gt;"!!!"),"NEW","")))</f>
        <v> </v>
      </c>
      <c r="G3825" s="23" t="str">
        <f>IF(OR(E3825="",E3825="!!!"),"",IF(OR(J3825=0,AND(J3825=1,K3825=1),AND(J3825=1,I3825="SBJ"),AND(J3825=1,I3825=0)),"?IN_FOCUS",IF(J3825&lt;=2,"?ACTIVATED",IF(J3825&lt;&gt;"","?FAMILIAR",IF(F3825="NEW",IF(ISNA(VLOOKUP(E3825,#REF!,1,FALSE())),"?TYPE_IDENTIFIABLE","?REFERENTIAL"),"_")))))</f>
        <v> </v>
      </c>
      <c r="H3825" s="24" t="str">
        <f>IF(J3825&lt;&gt;1,"",IF(I3825="SBJ","CB","?"))</f>
        <v> </v>
      </c>
      <c r="I3825" s="25" t="str">
        <f>IF(OR(E3825="",E3825="!!!",F3825="NEW"),"",INDEX(B3824:B$2,-1+SUMPRODUCT(MAX(ROW(E3824:E$2)*(E3825=E3824:E$2)))))</f>
        <v> </v>
      </c>
      <c r="J3825" s="25" t="str">
        <f>IF(OR(E3825="",E3825="!!!",F3825="NEW"),"",COUNTBLANK(OFFSET(A$1,,,SUMPRODUCT(MAX(ROW(E$2:E3825)*(E3825=E$2:E3825)))))-COUNTBLANK(OFFSET(A$1,,,SUMPRODUCT(MAX(ROW(E$1:E3824)*(E2=E$1:E3824))))))</f>
        <v> </v>
      </c>
      <c r="K3825" s="25" t="str">
        <f>IF(OR(E3825="",E3825="!!!",F3825="NEW"),"",INDEX(J$1:J3824,SUMPRODUCT(MAX(ROW(E$1:E3824)*(E3825=E$1:E3824)))))</f>
        <v> </v>
      </c>
      <c r="L3825" s="26"/>
    </row>
    <row r="3826" spans="1:12">
      <c r="A3826" s="20" t="s">
        <v>1123</v>
      </c>
      <c r="E3826" s="21">
        <f>IF(D3826="?OLD","!!!","")</f>
        <v/>
      </c>
      <c r="F3826" s="22" t="str">
        <f>IF(OR(E3826="",E3826="!!!"),"",IF(NOT(ISNA(VLOOKUP(E3826,E$1:E3825,1,FALSE()))),"OLD",IF(AND(E3826&lt;&gt;"",E3826&lt;&gt;"!!!"),"NEW","")))</f>
        <v> </v>
      </c>
      <c r="G3826" s="23" t="str">
        <f>IF(OR(E3826="",E3826="!!!"),"",IF(OR(J3826=0,AND(J3826=1,K3826=1),AND(J3826=1,I3826="SBJ"),AND(J3826=1,I3826=0)),"?IN_FOCUS",IF(J3826&lt;=2,"?ACTIVATED",IF(J3826&lt;&gt;"","?FAMILIAR",IF(F3826="NEW",IF(ISNA(VLOOKUP(E3826,#REF!,1,FALSE())),"?TYPE_IDENTIFIABLE","?REFERENTIAL"),"_")))))</f>
        <v> </v>
      </c>
      <c r="H3826" s="24" t="str">
        <f>IF(J3826&lt;&gt;1,"",IF(I3826="SBJ","CB","?"))</f>
        <v> </v>
      </c>
      <c r="I3826" s="25" t="str">
        <f>IF(OR(E3826="",E3826="!!!",F3826="NEW"),"",INDEX(B3825:B$2,-1+SUMPRODUCT(MAX(ROW(E3825:E$2)*(E3826=E3825:E$2)))))</f>
        <v> </v>
      </c>
      <c r="J3826" s="25" t="str">
        <f>IF(OR(E3826="",E3826="!!!",F3826="NEW"),"",COUNTBLANK(OFFSET(A$1,,,SUMPRODUCT(MAX(ROW(E$2:E3826)*(E3826=E$2:E3826)))))-COUNTBLANK(OFFSET(A$1,,,SUMPRODUCT(MAX(ROW(E$1:E3825)*(E2=E$1:E3825))))))</f>
        <v> </v>
      </c>
      <c r="K3826" s="25" t="str">
        <f>IF(OR(E3826="",E3826="!!!",F3826="NEW"),"",INDEX(J$1:J3825,SUMPRODUCT(MAX(ROW(E$1:E3825)*(E3826=E$1:E3825)))))</f>
        <v> </v>
      </c>
      <c r="L3826" s="26"/>
    </row>
    <row r="3827" spans="1:12">
      <c r="A3827" s="20" t="s">
        <v>2821</v>
      </c>
      <c r="E3827" s="21">
        <f>IF(D3827="?OLD","!!!","")</f>
        <v/>
      </c>
      <c r="F3827" s="22" t="str">
        <f>IF(OR(E3827="",E3827="!!!"),"",IF(NOT(ISNA(VLOOKUP(E3827,E$1:E3826,1,FALSE()))),"OLD",IF(AND(E3827&lt;&gt;"",E3827&lt;&gt;"!!!"),"NEW","")))</f>
        <v> </v>
      </c>
      <c r="G3827" s="23" t="str">
        <f>IF(OR(E3827="",E3827="!!!"),"",IF(OR(J3827=0,AND(J3827=1,K3827=1),AND(J3827=1,I3827="SBJ"),AND(J3827=1,I3827=0)),"?IN_FOCUS",IF(J3827&lt;=2,"?ACTIVATED",IF(J3827&lt;&gt;"","?FAMILIAR",IF(F3827="NEW",IF(ISNA(VLOOKUP(E3827,#REF!,1,FALSE())),"?TYPE_IDENTIFIABLE","?REFERENTIAL"),"_")))))</f>
        <v> </v>
      </c>
      <c r="H3827" s="24" t="str">
        <f>IF(J3827&lt;&gt;1,"",IF(I3827="SBJ","CB","?"))</f>
        <v> </v>
      </c>
      <c r="I3827" s="25" t="str">
        <f>IF(OR(E3827="",E3827="!!!",F3827="NEW"),"",INDEX(B3826:B$2,-1+SUMPRODUCT(MAX(ROW(E3826:E$2)*(E3827=E3826:E$2)))))</f>
        <v> </v>
      </c>
      <c r="J3827" s="25" t="str">
        <f>IF(OR(E3827="",E3827="!!!",F3827="NEW"),"",COUNTBLANK(OFFSET(A$1,,,SUMPRODUCT(MAX(ROW(E$2:E3827)*(E3827=E$2:E3827)))))-COUNTBLANK(OFFSET(A$1,,,SUMPRODUCT(MAX(ROW(E$1:E3826)*(E2=E$1:E3826))))))</f>
        <v> </v>
      </c>
      <c r="K3827" s="25" t="str">
        <f>IF(OR(E3827="",E3827="!!!",F3827="NEW"),"",INDEX(J$1:J3826,SUMPRODUCT(MAX(ROW(E$1:E3826)*(E3827=E$1:E3826)))))</f>
        <v> </v>
      </c>
      <c r="L3827" s="26"/>
    </row>
    <row r="3828" spans="1:12">
      <c r="A3828" s="20" t="s">
        <v>2247</v>
      </c>
      <c r="E3828" s="21">
        <f>IF(D3828="?OLD","!!!","")</f>
        <v/>
      </c>
      <c r="F3828" s="22" t="str">
        <f>IF(OR(E3828="",E3828="!!!"),"",IF(NOT(ISNA(VLOOKUP(E3828,E$1:E3827,1,FALSE()))),"OLD",IF(AND(E3828&lt;&gt;"",E3828&lt;&gt;"!!!"),"NEW","")))</f>
        <v> </v>
      </c>
      <c r="G3828" s="23" t="str">
        <f>IF(OR(E3828="",E3828="!!!"),"",IF(OR(J3828=0,AND(J3828=1,K3828=1),AND(J3828=1,I3828="SBJ"),AND(J3828=1,I3828=0)),"?IN_FOCUS",IF(J3828&lt;=2,"?ACTIVATED",IF(J3828&lt;&gt;"","?FAMILIAR",IF(F3828="NEW",IF(ISNA(VLOOKUP(E3828,#REF!,1,FALSE())),"?TYPE_IDENTIFIABLE","?REFERENTIAL"),"_")))))</f>
        <v> </v>
      </c>
      <c r="H3828" s="24" t="str">
        <f>IF(J3828&lt;&gt;1,"",IF(I3828="SBJ","CB","?"))</f>
        <v> </v>
      </c>
      <c r="I3828" s="25" t="str">
        <f>IF(OR(E3828="",E3828="!!!",F3828="NEW"),"",INDEX(B3827:B$2,-1+SUMPRODUCT(MAX(ROW(E3827:E$2)*(E3828=E3827:E$2)))))</f>
        <v> </v>
      </c>
      <c r="J3828" s="25" t="str">
        <f>IF(OR(E3828="",E3828="!!!",F3828="NEW"),"",COUNTBLANK(OFFSET(A$1,,,SUMPRODUCT(MAX(ROW(E$2:E3828)*(E3828=E$2:E3828)))))-COUNTBLANK(OFFSET(A$1,,,SUMPRODUCT(MAX(ROW(E$1:E3827)*(E2=E$1:E3827))))))</f>
        <v> </v>
      </c>
      <c r="K3828" s="25" t="str">
        <f>IF(OR(E3828="",E3828="!!!",F3828="NEW"),"",INDEX(J$1:J3827,SUMPRODUCT(MAX(ROW(E$1:E3827)*(E3828=E$1:E3827)))))</f>
        <v> </v>
      </c>
      <c r="L3828" s="26"/>
    </row>
    <row r="3829" spans="1:12">
      <c r="A3829" s="20" t="s">
        <v>2822</v>
      </c>
      <c r="E3829" s="21">
        <f>IF(D3829="?OLD","!!!","")</f>
        <v/>
      </c>
      <c r="F3829" s="22" t="str">
        <f>IF(OR(E3829="",E3829="!!!"),"",IF(NOT(ISNA(VLOOKUP(E3829,E$1:E3828,1,FALSE()))),"OLD",IF(AND(E3829&lt;&gt;"",E3829&lt;&gt;"!!!"),"NEW","")))</f>
        <v> </v>
      </c>
      <c r="G3829" s="23" t="str">
        <f>IF(OR(E3829="",E3829="!!!"),"",IF(OR(J3829=0,AND(J3829=1,K3829=1),AND(J3829=1,I3829="SBJ"),AND(J3829=1,I3829=0)),"?IN_FOCUS",IF(J3829&lt;=2,"?ACTIVATED",IF(J3829&lt;&gt;"","?FAMILIAR",IF(F3829="NEW",IF(ISNA(VLOOKUP(E3829,#REF!,1,FALSE())),"?TYPE_IDENTIFIABLE","?REFERENTIAL"),"_")))))</f>
        <v> </v>
      </c>
      <c r="H3829" s="24" t="str">
        <f>IF(J3829&lt;&gt;1,"",IF(I3829="SBJ","CB","?"))</f>
        <v> </v>
      </c>
      <c r="I3829" s="25" t="str">
        <f>IF(OR(E3829="",E3829="!!!",F3829="NEW"),"",INDEX(B3828:B$2,-1+SUMPRODUCT(MAX(ROW(E3828:E$2)*(E3829=E3828:E$2)))))</f>
        <v> </v>
      </c>
      <c r="J3829" s="25" t="str">
        <f>IF(OR(E3829="",E3829="!!!",F3829="NEW"),"",COUNTBLANK(OFFSET(A$1,,,SUMPRODUCT(MAX(ROW(E$2:E3829)*(E3829=E$2:E3829)))))-COUNTBLANK(OFFSET(A$1,,,SUMPRODUCT(MAX(ROW(E$1:E3828)*(E2=E$1:E3828))))))</f>
        <v> </v>
      </c>
      <c r="K3829" s="25" t="str">
        <f>IF(OR(E3829="",E3829="!!!",F3829="NEW"),"",INDEX(J$1:J3828,SUMPRODUCT(MAX(ROW(E$1:E3828)*(E3829=E$1:E3828)))))</f>
        <v> </v>
      </c>
      <c r="L3829" s="26"/>
    </row>
    <row r="3830" spans="1:12">
      <c r="A3830" s="20" t="s">
        <v>1249</v>
      </c>
      <c r="E3830" s="21">
        <f>IF(D3830="?OLD","!!!","")</f>
        <v/>
      </c>
      <c r="F3830" s="22" t="str">
        <f>IF(OR(E3830="",E3830="!!!"),"",IF(NOT(ISNA(VLOOKUP(E3830,E$1:E3829,1,FALSE()))),"OLD",IF(AND(E3830&lt;&gt;"",E3830&lt;&gt;"!!!"),"NEW","")))</f>
        <v> </v>
      </c>
      <c r="G3830" s="23" t="str">
        <f>IF(OR(E3830="",E3830="!!!"),"",IF(OR(J3830=0,AND(J3830=1,K3830=1),AND(J3830=1,I3830="SBJ"),AND(J3830=1,I3830=0)),"?IN_FOCUS",IF(J3830&lt;=2,"?ACTIVATED",IF(J3830&lt;&gt;"","?FAMILIAR",IF(F3830="NEW",IF(ISNA(VLOOKUP(E3830,#REF!,1,FALSE())),"?TYPE_IDENTIFIABLE","?REFERENTIAL"),"_")))))</f>
        <v> </v>
      </c>
      <c r="H3830" s="24" t="str">
        <f>IF(J3830&lt;&gt;1,"",IF(I3830="SBJ","CB","?"))</f>
        <v> </v>
      </c>
      <c r="I3830" s="25" t="str">
        <f>IF(OR(E3830="",E3830="!!!",F3830="NEW"),"",INDEX(B3829:B$2,-1+SUMPRODUCT(MAX(ROW(E3829:E$2)*(E3830=E3829:E$2)))))</f>
        <v> </v>
      </c>
      <c r="J3830" s="25" t="str">
        <f>IF(OR(E3830="",E3830="!!!",F3830="NEW"),"",COUNTBLANK(OFFSET(A$1,,,SUMPRODUCT(MAX(ROW(E$2:E3830)*(E3830=E$2:E3830)))))-COUNTBLANK(OFFSET(A$1,,,SUMPRODUCT(MAX(ROW(E$1:E3829)*(E2=E$1:E3829))))))</f>
        <v> </v>
      </c>
      <c r="K3830" s="25" t="str">
        <f>IF(OR(E3830="",E3830="!!!",F3830="NEW"),"",INDEX(J$1:J3829,SUMPRODUCT(MAX(ROW(E$1:E3829)*(E3830=E$1:E3829)))))</f>
        <v> </v>
      </c>
      <c r="L3830" s="26"/>
    </row>
    <row r="3831" spans="1:12">
      <c r="A3831" s="20" t="s">
        <v>2823</v>
      </c>
      <c r="E3831" s="21">
        <f>IF(D3831="?OLD","!!!","")</f>
        <v/>
      </c>
      <c r="F3831" s="22" t="str">
        <f>IF(OR(E3831="",E3831="!!!"),"",IF(NOT(ISNA(VLOOKUP(E3831,E$1:E3830,1,FALSE()))),"OLD",IF(AND(E3831&lt;&gt;"",E3831&lt;&gt;"!!!"),"NEW","")))</f>
        <v> </v>
      </c>
      <c r="G3831" s="23" t="str">
        <f>IF(OR(E3831="",E3831="!!!"),"",IF(OR(J3831=0,AND(J3831=1,K3831=1),AND(J3831=1,I3831="SBJ"),AND(J3831=1,I3831=0)),"?IN_FOCUS",IF(J3831&lt;=2,"?ACTIVATED",IF(J3831&lt;&gt;"","?FAMILIAR",IF(F3831="NEW",IF(ISNA(VLOOKUP(E3831,#REF!,1,FALSE())),"?TYPE_IDENTIFIABLE","?REFERENTIAL"),"_")))))</f>
        <v> </v>
      </c>
      <c r="H3831" s="24" t="str">
        <f>IF(J3831&lt;&gt;1,"",IF(I3831="SBJ","CB","?"))</f>
        <v> </v>
      </c>
      <c r="I3831" s="25" t="str">
        <f>IF(OR(E3831="",E3831="!!!",F3831="NEW"),"",INDEX(B3830:B$2,-1+SUMPRODUCT(MAX(ROW(E3830:E$2)*(E3831=E3830:E$2)))))</f>
        <v> </v>
      </c>
      <c r="J3831" s="25" t="str">
        <f>IF(OR(E3831="",E3831="!!!",F3831="NEW"),"",COUNTBLANK(OFFSET(A$1,,,SUMPRODUCT(MAX(ROW(E$2:E3831)*(E3831=E$2:E3831)))))-COUNTBLANK(OFFSET(A$1,,,SUMPRODUCT(MAX(ROW(E$1:E3830)*(E2=E$1:E3830))))))</f>
        <v> </v>
      </c>
      <c r="K3831" s="25" t="str">
        <f>IF(OR(E3831="",E3831="!!!",F3831="NEW"),"",INDEX(J$1:J3830,SUMPRODUCT(MAX(ROW(E$1:E3830)*(E3831=E$1:E3830)))))</f>
        <v> </v>
      </c>
      <c r="L3831" s="26"/>
    </row>
    <row r="3832" spans="1:12">
      <c r="A3832" s="20" t="s">
        <v>1145</v>
      </c>
      <c r="E3832" s="21">
        <f>IF(D3832="?OLD","!!!","")</f>
        <v/>
      </c>
      <c r="F3832" s="22" t="str">
        <f>IF(OR(E3832="",E3832="!!!"),"",IF(NOT(ISNA(VLOOKUP(E3832,E$1:E3831,1,FALSE()))),"OLD",IF(AND(E3832&lt;&gt;"",E3832&lt;&gt;"!!!"),"NEW","")))</f>
        <v> </v>
      </c>
      <c r="G3832" s="23" t="str">
        <f>IF(OR(E3832="",E3832="!!!"),"",IF(OR(J3832=0,AND(J3832=1,K3832=1),AND(J3832=1,I3832="SBJ"),AND(J3832=1,I3832=0)),"?IN_FOCUS",IF(J3832&lt;=2,"?ACTIVATED",IF(J3832&lt;&gt;"","?FAMILIAR",IF(F3832="NEW",IF(ISNA(VLOOKUP(E3832,#REF!,1,FALSE())),"?TYPE_IDENTIFIABLE","?REFERENTIAL"),"_")))))</f>
        <v> </v>
      </c>
      <c r="H3832" s="24" t="str">
        <f>IF(J3832&lt;&gt;1,"",IF(I3832="SBJ","CB","?"))</f>
        <v> </v>
      </c>
      <c r="I3832" s="25" t="str">
        <f>IF(OR(E3832="",E3832="!!!",F3832="NEW"),"",INDEX(B3831:B$2,-1+SUMPRODUCT(MAX(ROW(E3831:E$2)*(E3832=E3831:E$2)))))</f>
        <v> </v>
      </c>
      <c r="J3832" s="25" t="str">
        <f>IF(OR(E3832="",E3832="!!!",F3832="NEW"),"",COUNTBLANK(OFFSET(A$1,,,SUMPRODUCT(MAX(ROW(E$2:E3832)*(E3832=E$2:E3832)))))-COUNTBLANK(OFFSET(A$1,,,SUMPRODUCT(MAX(ROW(E$1:E3831)*(E2=E$1:E3831))))))</f>
        <v> </v>
      </c>
      <c r="K3832" s="25" t="str">
        <f>IF(OR(E3832="",E3832="!!!",F3832="NEW"),"",INDEX(J$1:J3831,SUMPRODUCT(MAX(ROW(E$1:E3831)*(E3832=E$1:E3831)))))</f>
        <v> </v>
      </c>
      <c r="L3832" s="26"/>
    </row>
    <row r="3833" spans="1:12">
      <c r="A3833" s="20"/>
    </row>
    <row r="3834" spans="1:12">
      <c r="A3834" s="20" t="s">
        <v>2824</v>
      </c>
    </row>
    <row r="3835" spans="1:12">
      <c r="A3835" s="20" t="s">
        <v>2825</v>
      </c>
      <c r="E3835" s="21">
        <f>IF(D3835="?OLD","!!!","")</f>
        <v/>
      </c>
      <c r="F3835" s="22" t="str">
        <f>IF(OR(E3835="",E3835="!!!"),"",IF(NOT(ISNA(VLOOKUP(E3835,E$1:E3834,1,FALSE()))),"OLD",IF(AND(E3835&lt;&gt;"",E3835&lt;&gt;"!!!"),"NEW","")))</f>
        <v> </v>
      </c>
      <c r="G3835" s="23" t="str">
        <f>IF(OR(E3835="",E3835="!!!"),"",IF(OR(J3835=0,AND(J3835=1,K3835=1),AND(J3835=1,I3835="SBJ"),AND(J3835=1,I3835=0)),"?IN_FOCUS",IF(J3835&lt;=2,"?ACTIVATED",IF(J3835&lt;&gt;"","?FAMILIAR",IF(F3835="NEW",IF(ISNA(VLOOKUP(E3835,#REF!,1,FALSE())),"?TYPE_IDENTIFIABLE","?REFERENTIAL"),"_")))))</f>
        <v> </v>
      </c>
      <c r="H3835" s="24" t="str">
        <f>IF(J3835&lt;&gt;1,"",IF(I3835="SBJ","CB","?"))</f>
        <v> </v>
      </c>
      <c r="I3835" s="25" t="str">
        <f>IF(OR(E3835="",E3835="!!!",F3835="NEW"),"",INDEX(B3834:B$2,-1+SUMPRODUCT(MAX(ROW(E3834:E$2)*(E3835=E3834:E$2)))))</f>
        <v> </v>
      </c>
      <c r="J3835" s="25" t="str">
        <f>IF(OR(E3835="",E3835="!!!",F3835="NEW"),"",COUNTBLANK(OFFSET(A$1,,,SUMPRODUCT(MAX(ROW(E$2:E3835)*(E3835=E$2:E3835)))))-COUNTBLANK(OFFSET(A$1,,,SUMPRODUCT(MAX(ROW(E$1:E3834)*(E2=E$1:E3834))))))</f>
        <v> </v>
      </c>
      <c r="K3835" s="25" t="str">
        <f>IF(OR(E3835="",E3835="!!!",F3835="NEW"),"",INDEX(J$1:J3834,SUMPRODUCT(MAX(ROW(E$1:E3834)*(E3835=E$1:E3834)))))</f>
        <v> </v>
      </c>
      <c r="L3835" s="26"/>
    </row>
    <row r="3836" spans="1:12">
      <c r="A3836" s="20" t="s">
        <v>2826</v>
      </c>
      <c r="B3836" s="27" t="s">
        <v>1149</v>
      </c>
      <c r="E3836" s="21">
        <f>IF(D3836="?OLD","!!!","")</f>
        <v/>
      </c>
      <c r="F3836" s="22" t="str">
        <f>IF(OR(E3836="",E3836="!!!"),"",IF(NOT(ISNA(VLOOKUP(E3836,E$1:E3835,1,FALSE()))),"OLD",IF(AND(E3836&lt;&gt;"",E3836&lt;&gt;"!!!"),"NEW","")))</f>
        <v> </v>
      </c>
      <c r="G3836" s="23" t="str">
        <f>IF(OR(E3836="",E3836="!!!"),"",IF(OR(J3836=0,AND(J3836=1,K3836=1),AND(J3836=1,I3836="SBJ"),AND(J3836=1,I3836=0)),"?IN_FOCUS",IF(J3836&lt;=2,"?ACTIVATED",IF(J3836&lt;&gt;"","?FAMILIAR",IF(F3836="NEW",IF(ISNA(VLOOKUP(E3836,#REF!,1,FALSE())),"?TYPE_IDENTIFIABLE","?REFERENTIAL"),"_")))))</f>
        <v> </v>
      </c>
      <c r="H3836" s="24" t="str">
        <f>IF(J3836&lt;&gt;1,"",IF(I3836="SBJ","CB","?"))</f>
        <v> </v>
      </c>
      <c r="I3836" s="25" t="str">
        <f>IF(OR(E3836="",E3836="!!!",F3836="NEW"),"",INDEX(B3835:B$2,-1+SUMPRODUCT(MAX(ROW(E3835:E$2)*(E3836=E3835:E$2)))))</f>
        <v> </v>
      </c>
      <c r="J3836" s="25" t="str">
        <f>IF(OR(E3836="",E3836="!!!",F3836="NEW"),"",COUNTBLANK(OFFSET(A$1,,,SUMPRODUCT(MAX(ROW(E$2:E3836)*(E3836=E$2:E3836)))))-COUNTBLANK(OFFSET(A$1,,,SUMPRODUCT(MAX(ROW(E$1:E3835)*(E2=E$1:E3835))))))</f>
        <v> </v>
      </c>
      <c r="K3836" s="25" t="str">
        <f>IF(OR(E3836="",E3836="!!!",F3836="NEW"),"",INDEX(J$1:J3835,SUMPRODUCT(MAX(ROW(E$1:E3835)*(E3836=E$1:E3835)))))</f>
        <v> </v>
      </c>
      <c r="L3836" s="26"/>
    </row>
    <row r="3837" spans="1:12">
      <c r="A3837" s="20" t="s">
        <v>2827</v>
      </c>
      <c r="E3837" s="21">
        <f>IF(D3837="?OLD","!!!","")</f>
        <v/>
      </c>
      <c r="F3837" s="22" t="str">
        <f>IF(OR(E3837="",E3837="!!!"),"",IF(NOT(ISNA(VLOOKUP(E3837,E$1:E3836,1,FALSE()))),"OLD",IF(AND(E3837&lt;&gt;"",E3837&lt;&gt;"!!!"),"NEW","")))</f>
        <v> </v>
      </c>
      <c r="G3837" s="23" t="str">
        <f>IF(OR(E3837="",E3837="!!!"),"",IF(OR(J3837=0,AND(J3837=1,K3837=1),AND(J3837=1,I3837="SBJ"),AND(J3837=1,I3837=0)),"?IN_FOCUS",IF(J3837&lt;=2,"?ACTIVATED",IF(J3837&lt;&gt;"","?FAMILIAR",IF(F3837="NEW",IF(ISNA(VLOOKUP(E3837,#REF!,1,FALSE())),"?TYPE_IDENTIFIABLE","?REFERENTIAL"),"_")))))</f>
        <v> </v>
      </c>
      <c r="H3837" s="24" t="str">
        <f>IF(J3837&lt;&gt;1,"",IF(I3837="SBJ","CB","?"))</f>
        <v> </v>
      </c>
      <c r="I3837" s="25" t="str">
        <f>IF(OR(E3837="",E3837="!!!",F3837="NEW"),"",INDEX(B3836:B$2,-1+SUMPRODUCT(MAX(ROW(E3836:E$2)*(E3837=E3836:E$2)))))</f>
        <v> </v>
      </c>
      <c r="J3837" s="25" t="str">
        <f>IF(OR(E3837="",E3837="!!!",F3837="NEW"),"",COUNTBLANK(OFFSET(A$1,,,SUMPRODUCT(MAX(ROW(E$2:E3837)*(E3837=E$2:E3837)))))-COUNTBLANK(OFFSET(A$1,,,SUMPRODUCT(MAX(ROW(E$1:E3836)*(E2=E$1:E3836))))))</f>
        <v> </v>
      </c>
      <c r="K3837" s="25" t="str">
        <f>IF(OR(E3837="",E3837="!!!",F3837="NEW"),"",INDEX(J$1:J3836,SUMPRODUCT(MAX(ROW(E$1:E3836)*(E3837=E$1:E3836)))))</f>
        <v> </v>
      </c>
      <c r="L3837" s="26"/>
    </row>
    <row r="3838" spans="1:12">
      <c r="A3838" s="20" t="s">
        <v>1271</v>
      </c>
      <c r="E3838" s="21">
        <f>IF(D3838="?OLD","!!!","")</f>
        <v/>
      </c>
      <c r="F3838" s="22" t="str">
        <f>IF(OR(E3838="",E3838="!!!"),"",IF(NOT(ISNA(VLOOKUP(E3838,E$1:E3837,1,FALSE()))),"OLD",IF(AND(E3838&lt;&gt;"",E3838&lt;&gt;"!!!"),"NEW","")))</f>
        <v> </v>
      </c>
      <c r="G3838" s="23" t="str">
        <f>IF(OR(E3838="",E3838="!!!"),"",IF(OR(J3838=0,AND(J3838=1,K3838=1),AND(J3838=1,I3838="SBJ"),AND(J3838=1,I3838=0)),"?IN_FOCUS",IF(J3838&lt;=2,"?ACTIVATED",IF(J3838&lt;&gt;"","?FAMILIAR",IF(F3838="NEW",IF(ISNA(VLOOKUP(E3838,#REF!,1,FALSE())),"?TYPE_IDENTIFIABLE","?REFERENTIAL"),"_")))))</f>
        <v> </v>
      </c>
      <c r="H3838" s="24" t="str">
        <f>IF(J3838&lt;&gt;1,"",IF(I3838="SBJ","CB","?"))</f>
        <v> </v>
      </c>
      <c r="I3838" s="25" t="str">
        <f>IF(OR(E3838="",E3838="!!!",F3838="NEW"),"",INDEX(B3837:B$2,-1+SUMPRODUCT(MAX(ROW(E3837:E$2)*(E3838=E3837:E$2)))))</f>
        <v> </v>
      </c>
      <c r="J3838" s="25" t="str">
        <f>IF(OR(E3838="",E3838="!!!",F3838="NEW"),"",COUNTBLANK(OFFSET(A$1,,,SUMPRODUCT(MAX(ROW(E$2:E3838)*(E3838=E$2:E3838)))))-COUNTBLANK(OFFSET(A$1,,,SUMPRODUCT(MAX(ROW(E$1:E3837)*(E2=E$1:E3837))))))</f>
        <v> </v>
      </c>
      <c r="K3838" s="25" t="str">
        <f>IF(OR(E3838="",E3838="!!!",F3838="NEW"),"",INDEX(J$1:J3837,SUMPRODUCT(MAX(ROW(E$1:E3837)*(E3838=E$1:E3837)))))</f>
        <v> </v>
      </c>
      <c r="L3838" s="26"/>
    </row>
    <row r="3839" spans="1:12">
      <c r="A3839" s="20" t="s">
        <v>2446</v>
      </c>
      <c r="B3839" s="27" t="s">
        <v>1107</v>
      </c>
      <c r="C3839" s="27" t="s">
        <v>1142</v>
      </c>
      <c r="D3839" s="27" t="s">
        <v>1105</v>
      </c>
      <c r="E3839" s="21">
        <f>IF(D3839="?OLD","!!!","")</f>
        <v/>
      </c>
      <c r="F3839" s="22" t="str">
        <f>IF(OR(E3839="",E3839="!!!"),"",IF(NOT(ISNA(VLOOKUP(E3839,E$1:E3838,1,FALSE()))),"OLD",IF(AND(E3839&lt;&gt;"",E3839&lt;&gt;"!!!"),"NEW","")))</f>
        <v> </v>
      </c>
      <c r="G3839" s="23" t="str">
        <f>IF(OR(E3839="",E3839="!!!"),"",IF(OR(J3839=0,AND(J3839=1,K3839=1),AND(J3839=1,I3839="SBJ"),AND(J3839=1,I3839=0)),"?IN_FOCUS",IF(J3839&lt;=2,"?ACTIVATED",IF(J3839&lt;&gt;"","?FAMILIAR",IF(F3839="NEW",IF(ISNA(VLOOKUP(E3839,#REF!,1,FALSE())),"?TYPE_IDENTIFIABLE","?REFERENTIAL"),"_")))))</f>
        <v> </v>
      </c>
      <c r="H3839" s="24" t="str">
        <f>IF(J3839&lt;&gt;1,"",IF(I3839="SBJ","CB","?"))</f>
        <v> </v>
      </c>
      <c r="I3839" s="25" t="str">
        <f>IF(OR(E3839="",E3839="!!!",F3839="NEW"),"",INDEX(B3838:B$2,-1+SUMPRODUCT(MAX(ROW(E3838:E$2)*(E3839=E3838:E$2)))))</f>
        <v> </v>
      </c>
      <c r="J3839" s="25" t="str">
        <f>IF(OR(E3839="",E3839="!!!",F3839="NEW"),"",COUNTBLANK(OFFSET(A$1,,,SUMPRODUCT(MAX(ROW(E$2:E3839)*(E3839=E$2:E3839)))))-COUNTBLANK(OFFSET(A$1,,,SUMPRODUCT(MAX(ROW(E$1:E3838)*(E2=E$1:E3838))))))</f>
        <v> </v>
      </c>
      <c r="K3839" s="25" t="str">
        <f>IF(OR(E3839="",E3839="!!!",F3839="NEW"),"",INDEX(J$1:J3838,SUMPRODUCT(MAX(ROW(E$1:E3838)*(E3839=E$1:E3838)))))</f>
        <v> </v>
      </c>
      <c r="L3839" s="26"/>
    </row>
    <row r="3840" spans="1:12">
      <c r="A3840" s="20" t="s">
        <v>2521</v>
      </c>
      <c r="E3840" s="21">
        <f>IF(D3840="?OLD","!!!","")</f>
        <v/>
      </c>
      <c r="F3840" s="22" t="str">
        <f>IF(OR(E3840="",E3840="!!!"),"",IF(NOT(ISNA(VLOOKUP(E3840,E$1:E3839,1,FALSE()))),"OLD",IF(AND(E3840&lt;&gt;"",E3840&lt;&gt;"!!!"),"NEW","")))</f>
        <v> </v>
      </c>
      <c r="G3840" s="23" t="str">
        <f>IF(OR(E3840="",E3840="!!!"),"",IF(OR(J3840=0,AND(J3840=1,K3840=1),AND(J3840=1,I3840="SBJ"),AND(J3840=1,I3840=0)),"?IN_FOCUS",IF(J3840&lt;=2,"?ACTIVATED",IF(J3840&lt;&gt;"","?FAMILIAR",IF(F3840="NEW",IF(ISNA(VLOOKUP(E3840,#REF!,1,FALSE())),"?TYPE_IDENTIFIABLE","?REFERENTIAL"),"_")))))</f>
        <v> </v>
      </c>
      <c r="H3840" s="24" t="str">
        <f>IF(J3840&lt;&gt;1,"",IF(I3840="SBJ","CB","?"))</f>
        <v> </v>
      </c>
      <c r="I3840" s="25" t="str">
        <f>IF(OR(E3840="",E3840="!!!",F3840="NEW"),"",INDEX(B3839:B$2,-1+SUMPRODUCT(MAX(ROW(E3839:E$2)*(E3840=E3839:E$2)))))</f>
        <v> </v>
      </c>
      <c r="J3840" s="25" t="str">
        <f>IF(OR(E3840="",E3840="!!!",F3840="NEW"),"",COUNTBLANK(OFFSET(A$1,,,SUMPRODUCT(MAX(ROW(E$2:E3840)*(E3840=E$2:E3840)))))-COUNTBLANK(OFFSET(A$1,,,SUMPRODUCT(MAX(ROW(E$1:E3839)*(E2=E$1:E3839))))))</f>
        <v> </v>
      </c>
      <c r="K3840" s="25" t="str">
        <f>IF(OR(E3840="",E3840="!!!",F3840="NEW"),"",INDEX(J$1:J3839,SUMPRODUCT(MAX(ROW(E$1:E3839)*(E3840=E$1:E3839)))))</f>
        <v> </v>
      </c>
      <c r="L3840" s="26"/>
    </row>
    <row r="3841" spans="1:12">
      <c r="A3841" s="20" t="s">
        <v>1123</v>
      </c>
      <c r="E3841" s="21">
        <f>IF(D3841="?OLD","!!!","")</f>
        <v/>
      </c>
      <c r="F3841" s="22" t="str">
        <f>IF(OR(E3841="",E3841="!!!"),"",IF(NOT(ISNA(VLOOKUP(E3841,E$1:E3840,1,FALSE()))),"OLD",IF(AND(E3841&lt;&gt;"",E3841&lt;&gt;"!!!"),"NEW","")))</f>
        <v> </v>
      </c>
      <c r="G3841" s="23" t="str">
        <f>IF(OR(E3841="",E3841="!!!"),"",IF(OR(J3841=0,AND(J3841=1,K3841=1),AND(J3841=1,I3841="SBJ"),AND(J3841=1,I3841=0)),"?IN_FOCUS",IF(J3841&lt;=2,"?ACTIVATED",IF(J3841&lt;&gt;"","?FAMILIAR",IF(F3841="NEW",IF(ISNA(VLOOKUP(E3841,#REF!,1,FALSE())),"?TYPE_IDENTIFIABLE","?REFERENTIAL"),"_")))))</f>
        <v> </v>
      </c>
      <c r="H3841" s="24" t="str">
        <f>IF(J3841&lt;&gt;1,"",IF(I3841="SBJ","CB","?"))</f>
        <v> </v>
      </c>
      <c r="I3841" s="25" t="str">
        <f>IF(OR(E3841="",E3841="!!!",F3841="NEW"),"",INDEX(B3840:B$2,-1+SUMPRODUCT(MAX(ROW(E3840:E$2)*(E3841=E3840:E$2)))))</f>
        <v> </v>
      </c>
      <c r="J3841" s="25" t="str">
        <f>IF(OR(E3841="",E3841="!!!",F3841="NEW"),"",COUNTBLANK(OFFSET(A$1,,,SUMPRODUCT(MAX(ROW(E$2:E3841)*(E3841=E$2:E3841)))))-COUNTBLANK(OFFSET(A$1,,,SUMPRODUCT(MAX(ROW(E$1:E3840)*(E2=E$1:E3840))))))</f>
        <v> </v>
      </c>
      <c r="K3841" s="25" t="str">
        <f>IF(OR(E3841="",E3841="!!!",F3841="NEW"),"",INDEX(J$1:J3840,SUMPRODUCT(MAX(ROW(E$1:E3840)*(E3841=E$1:E3840)))))</f>
        <v> </v>
      </c>
      <c r="L3841" s="26"/>
    </row>
    <row r="3842" spans="1:12">
      <c r="A3842" s="20" t="s">
        <v>1128</v>
      </c>
      <c r="E3842" s="21">
        <f>IF(D3842="?OLD","!!!","")</f>
        <v/>
      </c>
      <c r="F3842" s="22" t="str">
        <f>IF(OR(E3842="",E3842="!!!"),"",IF(NOT(ISNA(VLOOKUP(E3842,E$1:E3841,1,FALSE()))),"OLD",IF(AND(E3842&lt;&gt;"",E3842&lt;&gt;"!!!"),"NEW","")))</f>
        <v> </v>
      </c>
      <c r="G3842" s="23" t="str">
        <f>IF(OR(E3842="",E3842="!!!"),"",IF(OR(J3842=0,AND(J3842=1,K3842=1),AND(J3842=1,I3842="SBJ"),AND(J3842=1,I3842=0)),"?IN_FOCUS",IF(J3842&lt;=2,"?ACTIVATED",IF(J3842&lt;&gt;"","?FAMILIAR",IF(F3842="NEW",IF(ISNA(VLOOKUP(E3842,#REF!,1,FALSE())),"?TYPE_IDENTIFIABLE","?REFERENTIAL"),"_")))))</f>
        <v> </v>
      </c>
      <c r="H3842" s="24" t="str">
        <f>IF(J3842&lt;&gt;1,"",IF(I3842="SBJ","CB","?"))</f>
        <v> </v>
      </c>
      <c r="I3842" s="25" t="str">
        <f>IF(OR(E3842="",E3842="!!!",F3842="NEW"),"",INDEX(B3841:B$2,-1+SUMPRODUCT(MAX(ROW(E3841:E$2)*(E3842=E3841:E$2)))))</f>
        <v> </v>
      </c>
      <c r="J3842" s="25" t="str">
        <f>IF(OR(E3842="",E3842="!!!",F3842="NEW"),"",COUNTBLANK(OFFSET(A$1,,,SUMPRODUCT(MAX(ROW(E$2:E3842)*(E3842=E$2:E3842)))))-COUNTBLANK(OFFSET(A$1,,,SUMPRODUCT(MAX(ROW(E$1:E3841)*(E2=E$1:E3841))))))</f>
        <v> </v>
      </c>
      <c r="K3842" s="25" t="str">
        <f>IF(OR(E3842="",E3842="!!!",F3842="NEW"),"",INDEX(J$1:J3841,SUMPRODUCT(MAX(ROW(E$1:E3841)*(E3842=E$1:E3841)))))</f>
        <v> </v>
      </c>
      <c r="L3842" s="26"/>
    </row>
    <row r="3843" spans="1:12">
      <c r="A3843" s="20" t="s">
        <v>1494</v>
      </c>
      <c r="B3843" s="27" t="s">
        <v>1110</v>
      </c>
      <c r="C3843" s="27" t="s">
        <v>1126</v>
      </c>
      <c r="D3843" s="27" t="s">
        <v>1105</v>
      </c>
      <c r="E3843" s="21">
        <f>IF(D3843="?OLD","!!!","")</f>
        <v/>
      </c>
      <c r="F3843" s="22" t="str">
        <f>IF(OR(E3843="",E3843="!!!"),"",IF(NOT(ISNA(VLOOKUP(E3843,E$1:E3842,1,FALSE()))),"OLD",IF(AND(E3843&lt;&gt;"",E3843&lt;&gt;"!!!"),"NEW","")))</f>
        <v> </v>
      </c>
      <c r="G3843" s="23" t="str">
        <f>IF(OR(E3843="",E3843="!!!"),"",IF(OR(J3843=0,AND(J3843=1,K3843=1),AND(J3843=1,I3843="SBJ"),AND(J3843=1,I3843=0)),"?IN_FOCUS",IF(J3843&lt;=2,"?ACTIVATED",IF(J3843&lt;&gt;"","?FAMILIAR",IF(F3843="NEW",IF(ISNA(VLOOKUP(E3843,#REF!,1,FALSE())),"?TYPE_IDENTIFIABLE","?REFERENTIAL"),"_")))))</f>
        <v> </v>
      </c>
      <c r="H3843" s="24" t="str">
        <f>IF(J3843&lt;&gt;1,"",IF(I3843="SBJ","CB","?"))</f>
        <v> </v>
      </c>
      <c r="I3843" s="25" t="str">
        <f>IF(OR(E3843="",E3843="!!!",F3843="NEW"),"",INDEX(B3842:B$2,-1+SUMPRODUCT(MAX(ROW(E3842:E$2)*(E3843=E3842:E$2)))))</f>
        <v> </v>
      </c>
      <c r="J3843" s="25" t="str">
        <f>IF(OR(E3843="",E3843="!!!",F3843="NEW"),"",COUNTBLANK(OFFSET(A$1,,,SUMPRODUCT(MAX(ROW(E$2:E3843)*(E3843=E$2:E3843)))))-COUNTBLANK(OFFSET(A$1,,,SUMPRODUCT(MAX(ROW(E$1:E3842)*(E2=E$1:E3842))))))</f>
        <v> </v>
      </c>
      <c r="K3843" s="25" t="str">
        <f>IF(OR(E3843="",E3843="!!!",F3843="NEW"),"",INDEX(J$1:J3842,SUMPRODUCT(MAX(ROW(E$1:E3842)*(E3843=E$1:E3842)))))</f>
        <v> </v>
      </c>
      <c r="L3843" s="26"/>
    </row>
    <row r="3844" spans="1:12">
      <c r="A3844" s="20" t="s">
        <v>2828</v>
      </c>
      <c r="B3844" s="27" t="s">
        <v>1122</v>
      </c>
      <c r="C3844" s="27" t="s">
        <v>1104</v>
      </c>
      <c r="D3844" s="27" t="s">
        <v>1105</v>
      </c>
      <c r="E3844" s="21">
        <f>IF(D3844="?OLD","!!!","")</f>
        <v/>
      </c>
      <c r="F3844" s="22" t="str">
        <f>IF(OR(E3844="",E3844="!!!"),"",IF(NOT(ISNA(VLOOKUP(E3844,E$1:E3843,1,FALSE()))),"OLD",IF(AND(E3844&lt;&gt;"",E3844&lt;&gt;"!!!"),"NEW","")))</f>
        <v> </v>
      </c>
      <c r="G3844" s="23" t="str">
        <f>IF(OR(E3844="",E3844="!!!"),"",IF(OR(J3844=0,AND(J3844=1,K3844=1),AND(J3844=1,I3844="SBJ"),AND(J3844=1,I3844=0)),"?IN_FOCUS",IF(J3844&lt;=2,"?ACTIVATED",IF(J3844&lt;&gt;"","?FAMILIAR",IF(F3844="NEW",IF(ISNA(VLOOKUP(E3844,#REF!,1,FALSE())),"?TYPE_IDENTIFIABLE","?REFERENTIAL"),"_")))))</f>
        <v> </v>
      </c>
      <c r="H3844" s="24" t="str">
        <f>IF(J3844&lt;&gt;1,"",IF(I3844="SBJ","CB","?"))</f>
        <v> </v>
      </c>
      <c r="I3844" s="25" t="str">
        <f>IF(OR(E3844="",E3844="!!!",F3844="NEW"),"",INDEX(B3843:B$2,-1+SUMPRODUCT(MAX(ROW(E3843:E$2)*(E3844=E3843:E$2)))))</f>
        <v> </v>
      </c>
      <c r="J3844" s="25" t="str">
        <f>IF(OR(E3844="",E3844="!!!",F3844="NEW"),"",COUNTBLANK(OFFSET(A$1,,,SUMPRODUCT(MAX(ROW(E$2:E3844)*(E3844=E$2:E3844)))))-COUNTBLANK(OFFSET(A$1,,,SUMPRODUCT(MAX(ROW(E$1:E3843)*(E2=E$1:E3843))))))</f>
        <v> </v>
      </c>
      <c r="K3844" s="25" t="str">
        <f>IF(OR(E3844="",E3844="!!!",F3844="NEW"),"",INDEX(J$1:J3843,SUMPRODUCT(MAX(ROW(E$1:E3843)*(E3844=E$1:E3843)))))</f>
        <v> </v>
      </c>
      <c r="L3844" s="26"/>
    </row>
    <row r="3845" spans="1:12">
      <c r="A3845" s="20" t="s">
        <v>1309</v>
      </c>
      <c r="E3845" s="21">
        <f>IF(D3845="?OLD","!!!","")</f>
        <v/>
      </c>
      <c r="F3845" s="22" t="str">
        <f>IF(OR(E3845="",E3845="!!!"),"",IF(NOT(ISNA(VLOOKUP(E3845,E$1:E3844,1,FALSE()))),"OLD",IF(AND(E3845&lt;&gt;"",E3845&lt;&gt;"!!!"),"NEW","")))</f>
        <v> </v>
      </c>
      <c r="G3845" s="23" t="str">
        <f>IF(OR(E3845="",E3845="!!!"),"",IF(OR(J3845=0,AND(J3845=1,K3845=1),AND(J3845=1,I3845="SBJ"),AND(J3845=1,I3845=0)),"?IN_FOCUS",IF(J3845&lt;=2,"?ACTIVATED",IF(J3845&lt;&gt;"","?FAMILIAR",IF(F3845="NEW",IF(ISNA(VLOOKUP(E3845,#REF!,1,FALSE())),"?TYPE_IDENTIFIABLE","?REFERENTIAL"),"_")))))</f>
        <v> </v>
      </c>
      <c r="H3845" s="24" t="str">
        <f>IF(J3845&lt;&gt;1,"",IF(I3845="SBJ","CB","?"))</f>
        <v> </v>
      </c>
      <c r="I3845" s="25" t="str">
        <f>IF(OR(E3845="",E3845="!!!",F3845="NEW"),"",INDEX(B3844:B$2,-1+SUMPRODUCT(MAX(ROW(E3844:E$2)*(E3845=E3844:E$2)))))</f>
        <v> </v>
      </c>
      <c r="J3845" s="25" t="str">
        <f>IF(OR(E3845="",E3845="!!!",F3845="NEW"),"",COUNTBLANK(OFFSET(A$1,,,SUMPRODUCT(MAX(ROW(E$2:E3845)*(E3845=E$2:E3845)))))-COUNTBLANK(OFFSET(A$1,,,SUMPRODUCT(MAX(ROW(E$1:E3844)*(E2=E$1:E3844))))))</f>
        <v> </v>
      </c>
      <c r="K3845" s="25" t="str">
        <f>IF(OR(E3845="",E3845="!!!",F3845="NEW"),"",INDEX(J$1:J3844,SUMPRODUCT(MAX(ROW(E$1:E3844)*(E3845=E$1:E3844)))))</f>
        <v> </v>
      </c>
      <c r="L3845" s="26"/>
    </row>
    <row r="3846" spans="1:12">
      <c r="A3846" s="20" t="s">
        <v>2829</v>
      </c>
      <c r="E3846" s="21">
        <f>IF(D3846="?OLD","!!!","")</f>
        <v/>
      </c>
      <c r="F3846" s="22" t="str">
        <f>IF(OR(E3846="",E3846="!!!"),"",IF(NOT(ISNA(VLOOKUP(E3846,E$1:E3845,1,FALSE()))),"OLD",IF(AND(E3846&lt;&gt;"",E3846&lt;&gt;"!!!"),"NEW","")))</f>
        <v> </v>
      </c>
      <c r="G3846" s="23" t="str">
        <f>IF(OR(E3846="",E3846="!!!"),"",IF(OR(J3846=0,AND(J3846=1,K3846=1),AND(J3846=1,I3846="SBJ"),AND(J3846=1,I3846=0)),"?IN_FOCUS",IF(J3846&lt;=2,"?ACTIVATED",IF(J3846&lt;&gt;"","?FAMILIAR",IF(F3846="NEW",IF(ISNA(VLOOKUP(E3846,#REF!,1,FALSE())),"?TYPE_IDENTIFIABLE","?REFERENTIAL"),"_")))))</f>
        <v> </v>
      </c>
      <c r="H3846" s="24" t="str">
        <f>IF(J3846&lt;&gt;1,"",IF(I3846="SBJ","CB","?"))</f>
        <v> </v>
      </c>
      <c r="I3846" s="25" t="str">
        <f>IF(OR(E3846="",E3846="!!!",F3846="NEW"),"",INDEX(B3845:B$2,-1+SUMPRODUCT(MAX(ROW(E3845:E$2)*(E3846=E3845:E$2)))))</f>
        <v> </v>
      </c>
      <c r="J3846" s="25" t="str">
        <f>IF(OR(E3846="",E3846="!!!",F3846="NEW"),"",COUNTBLANK(OFFSET(A$1,,,SUMPRODUCT(MAX(ROW(E$2:E3846)*(E3846=E$2:E3846)))))-COUNTBLANK(OFFSET(A$1,,,SUMPRODUCT(MAX(ROW(E$1:E3845)*(E2=E$1:E3845))))))</f>
        <v> </v>
      </c>
      <c r="K3846" s="25" t="str">
        <f>IF(OR(E3846="",E3846="!!!",F3846="NEW"),"",INDEX(J$1:J3845,SUMPRODUCT(MAX(ROW(E$1:E3845)*(E3846=E$1:E3845)))))</f>
        <v> </v>
      </c>
      <c r="L3846" s="26"/>
    </row>
    <row r="3847" spans="1:12">
      <c r="A3847" s="20" t="s">
        <v>2830</v>
      </c>
      <c r="E3847" s="21">
        <f>IF(D3847="?OLD","!!!","")</f>
        <v/>
      </c>
      <c r="F3847" s="22" t="str">
        <f>IF(OR(E3847="",E3847="!!!"),"",IF(NOT(ISNA(VLOOKUP(E3847,E$1:E3846,1,FALSE()))),"OLD",IF(AND(E3847&lt;&gt;"",E3847&lt;&gt;"!!!"),"NEW","")))</f>
        <v> </v>
      </c>
      <c r="G3847" s="23" t="str">
        <f>IF(OR(E3847="",E3847="!!!"),"",IF(OR(J3847=0,AND(J3847=1,K3847=1),AND(J3847=1,I3847="SBJ"),AND(J3847=1,I3847=0)),"?IN_FOCUS",IF(J3847&lt;=2,"?ACTIVATED",IF(J3847&lt;&gt;"","?FAMILIAR",IF(F3847="NEW",IF(ISNA(VLOOKUP(E3847,#REF!,1,FALSE())),"?TYPE_IDENTIFIABLE","?REFERENTIAL"),"_")))))</f>
        <v> </v>
      </c>
      <c r="H3847" s="24" t="str">
        <f>IF(J3847&lt;&gt;1,"",IF(I3847="SBJ","CB","?"))</f>
        <v> </v>
      </c>
      <c r="I3847" s="25" t="str">
        <f>IF(OR(E3847="",E3847="!!!",F3847="NEW"),"",INDEX(B3846:B$2,-1+SUMPRODUCT(MAX(ROW(E3846:E$2)*(E3847=E3846:E$2)))))</f>
        <v> </v>
      </c>
      <c r="J3847" s="25" t="str">
        <f>IF(OR(E3847="",E3847="!!!",F3847="NEW"),"",COUNTBLANK(OFFSET(A$1,,,SUMPRODUCT(MAX(ROW(E$2:E3847)*(E3847=E$2:E3847)))))-COUNTBLANK(OFFSET(A$1,,,SUMPRODUCT(MAX(ROW(E$1:E3846)*(E2=E$1:E3846))))))</f>
        <v> </v>
      </c>
      <c r="K3847" s="25" t="str">
        <f>IF(OR(E3847="",E3847="!!!",F3847="NEW"),"",INDEX(J$1:J3846,SUMPRODUCT(MAX(ROW(E$1:E3846)*(E3847=E$1:E3846)))))</f>
        <v> </v>
      </c>
      <c r="L3847" s="26"/>
    </row>
    <row r="3848" spans="1:12">
      <c r="A3848" s="20" t="s">
        <v>1123</v>
      </c>
      <c r="E3848" s="21">
        <f>IF(D3848="?OLD","!!!","")</f>
        <v/>
      </c>
      <c r="F3848" s="22" t="str">
        <f>IF(OR(E3848="",E3848="!!!"),"",IF(NOT(ISNA(VLOOKUP(E3848,E$1:E3847,1,FALSE()))),"OLD",IF(AND(E3848&lt;&gt;"",E3848&lt;&gt;"!!!"),"NEW","")))</f>
        <v> </v>
      </c>
      <c r="G3848" s="23" t="str">
        <f>IF(OR(E3848="",E3848="!!!"),"",IF(OR(J3848=0,AND(J3848=1,K3848=1),AND(J3848=1,I3848="SBJ"),AND(J3848=1,I3848=0)),"?IN_FOCUS",IF(J3848&lt;=2,"?ACTIVATED",IF(J3848&lt;&gt;"","?FAMILIAR",IF(F3848="NEW",IF(ISNA(VLOOKUP(E3848,#REF!,1,FALSE())),"?TYPE_IDENTIFIABLE","?REFERENTIAL"),"_")))))</f>
        <v> </v>
      </c>
      <c r="H3848" s="24" t="str">
        <f>IF(J3848&lt;&gt;1,"",IF(I3848="SBJ","CB","?"))</f>
        <v> </v>
      </c>
      <c r="I3848" s="25" t="str">
        <f>IF(OR(E3848="",E3848="!!!",F3848="NEW"),"",INDEX(B3847:B$2,-1+SUMPRODUCT(MAX(ROW(E3847:E$2)*(E3848=E3847:E$2)))))</f>
        <v> </v>
      </c>
      <c r="J3848" s="25" t="str">
        <f>IF(OR(E3848="",E3848="!!!",F3848="NEW"),"",COUNTBLANK(OFFSET(A$1,,,SUMPRODUCT(MAX(ROW(E$2:E3848)*(E3848=E$2:E3848)))))-COUNTBLANK(OFFSET(A$1,,,SUMPRODUCT(MAX(ROW(E$1:E3847)*(E2=E$1:E3847))))))</f>
        <v> </v>
      </c>
      <c r="K3848" s="25" t="str">
        <f>IF(OR(E3848="",E3848="!!!",F3848="NEW"),"",INDEX(J$1:J3847,SUMPRODUCT(MAX(ROW(E$1:E3847)*(E3848=E$1:E3847)))))</f>
        <v> </v>
      </c>
      <c r="L3848" s="26"/>
    </row>
    <row r="3849" spans="1:12">
      <c r="A3849" s="20" t="s">
        <v>135</v>
      </c>
      <c r="E3849" s="21">
        <f>IF(D3849="?OLD","!!!","")</f>
        <v/>
      </c>
      <c r="F3849" s="22" t="str">
        <f>IF(OR(E3849="",E3849="!!!"),"",IF(NOT(ISNA(VLOOKUP(E3849,E$1:E3848,1,FALSE()))),"OLD",IF(AND(E3849&lt;&gt;"",E3849&lt;&gt;"!!!"),"NEW","")))</f>
        <v> </v>
      </c>
      <c r="G3849" s="23" t="str">
        <f>IF(OR(E3849="",E3849="!!!"),"",IF(OR(J3849=0,AND(J3849=1,K3849=1),AND(J3849=1,I3849="SBJ"),AND(J3849=1,I3849=0)),"?IN_FOCUS",IF(J3849&lt;=2,"?ACTIVATED",IF(J3849&lt;&gt;"","?FAMILIAR",IF(F3849="NEW",IF(ISNA(VLOOKUP(E3849,#REF!,1,FALSE())),"?TYPE_IDENTIFIABLE","?REFERENTIAL"),"_")))))</f>
        <v> </v>
      </c>
      <c r="H3849" s="24" t="str">
        <f>IF(J3849&lt;&gt;1,"",IF(I3849="SBJ","CB","?"))</f>
        <v> </v>
      </c>
      <c r="I3849" s="25" t="str">
        <f>IF(OR(E3849="",E3849="!!!",F3849="NEW"),"",INDEX(B3848:B$2,-1+SUMPRODUCT(MAX(ROW(E3848:E$2)*(E3849=E3848:E$2)))))</f>
        <v> </v>
      </c>
      <c r="J3849" s="25" t="str">
        <f>IF(OR(E3849="",E3849="!!!",F3849="NEW"),"",COUNTBLANK(OFFSET(A$1,,,SUMPRODUCT(MAX(ROW(E$2:E3849)*(E3849=E$2:E3849)))))-COUNTBLANK(OFFSET(A$1,,,SUMPRODUCT(MAX(ROW(E$1:E3848)*(E2=E$1:E3848))))))</f>
        <v> </v>
      </c>
      <c r="K3849" s="25" t="str">
        <f>IF(OR(E3849="",E3849="!!!",F3849="NEW"),"",INDEX(J$1:J3848,SUMPRODUCT(MAX(ROW(E$1:E3848)*(E3849=E$1:E3848)))))</f>
        <v> </v>
      </c>
      <c r="L3849" s="26"/>
    </row>
    <row r="3850" spans="1:12">
      <c r="A3850" s="20" t="s">
        <v>2831</v>
      </c>
      <c r="E3850" s="21">
        <f>IF(D3850="?OLD","!!!","")</f>
        <v/>
      </c>
      <c r="F3850" s="22" t="str">
        <f>IF(OR(E3850="",E3850="!!!"),"",IF(NOT(ISNA(VLOOKUP(E3850,E$1:E3849,1,FALSE()))),"OLD",IF(AND(E3850&lt;&gt;"",E3850&lt;&gt;"!!!"),"NEW","")))</f>
        <v> </v>
      </c>
      <c r="G3850" s="23" t="str">
        <f>IF(OR(E3850="",E3850="!!!"),"",IF(OR(J3850=0,AND(J3850=1,K3850=1),AND(J3850=1,I3850="SBJ"),AND(J3850=1,I3850=0)),"?IN_FOCUS",IF(J3850&lt;=2,"?ACTIVATED",IF(J3850&lt;&gt;"","?FAMILIAR",IF(F3850="NEW",IF(ISNA(VLOOKUP(E3850,#REF!,1,FALSE())),"?TYPE_IDENTIFIABLE","?REFERENTIAL"),"_")))))</f>
        <v> </v>
      </c>
      <c r="H3850" s="24" t="str">
        <f>IF(J3850&lt;&gt;1,"",IF(I3850="SBJ","CB","?"))</f>
        <v> </v>
      </c>
      <c r="I3850" s="25" t="str">
        <f>IF(OR(E3850="",E3850="!!!",F3850="NEW"),"",INDEX(B3849:B$2,-1+SUMPRODUCT(MAX(ROW(E3849:E$2)*(E3850=E3849:E$2)))))</f>
        <v> </v>
      </c>
      <c r="J3850" s="25" t="str">
        <f>IF(OR(E3850="",E3850="!!!",F3850="NEW"),"",COUNTBLANK(OFFSET(A$1,,,SUMPRODUCT(MAX(ROW(E$2:E3850)*(E3850=E$2:E3850)))))-COUNTBLANK(OFFSET(A$1,,,SUMPRODUCT(MAX(ROW(E$1:E3849)*(E2=E$1:E3849))))))</f>
        <v> </v>
      </c>
      <c r="K3850" s="25" t="str">
        <f>IF(OR(E3850="",E3850="!!!",F3850="NEW"),"",INDEX(J$1:J3849,SUMPRODUCT(MAX(ROW(E$1:E3849)*(E3850=E$1:E3849)))))</f>
        <v> </v>
      </c>
      <c r="L3850" s="26"/>
    </row>
    <row r="3851" spans="1:12">
      <c r="A3851" s="20" t="s">
        <v>1123</v>
      </c>
      <c r="E3851" s="21">
        <f>IF(D3851="?OLD","!!!","")</f>
        <v/>
      </c>
      <c r="F3851" s="22" t="str">
        <f>IF(OR(E3851="",E3851="!!!"),"",IF(NOT(ISNA(VLOOKUP(E3851,E$1:E3850,1,FALSE()))),"OLD",IF(AND(E3851&lt;&gt;"",E3851&lt;&gt;"!!!"),"NEW","")))</f>
        <v> </v>
      </c>
      <c r="G3851" s="23" t="str">
        <f>IF(OR(E3851="",E3851="!!!"),"",IF(OR(J3851=0,AND(J3851=1,K3851=1),AND(J3851=1,I3851="SBJ"),AND(J3851=1,I3851=0)),"?IN_FOCUS",IF(J3851&lt;=2,"?ACTIVATED",IF(J3851&lt;&gt;"","?FAMILIAR",IF(F3851="NEW",IF(ISNA(VLOOKUP(E3851,#REF!,1,FALSE())),"?TYPE_IDENTIFIABLE","?REFERENTIAL"),"_")))))</f>
        <v> </v>
      </c>
      <c r="H3851" s="24" t="str">
        <f>IF(J3851&lt;&gt;1,"",IF(I3851="SBJ","CB","?"))</f>
        <v> </v>
      </c>
      <c r="I3851" s="25" t="str">
        <f>IF(OR(E3851="",E3851="!!!",F3851="NEW"),"",INDEX(B3850:B$2,-1+SUMPRODUCT(MAX(ROW(E3850:E$2)*(E3851=E3850:E$2)))))</f>
        <v> </v>
      </c>
      <c r="J3851" s="25" t="str">
        <f>IF(OR(E3851="",E3851="!!!",F3851="NEW"),"",COUNTBLANK(OFFSET(A$1,,,SUMPRODUCT(MAX(ROW(E$2:E3851)*(E3851=E$2:E3851)))))-COUNTBLANK(OFFSET(A$1,,,SUMPRODUCT(MAX(ROW(E$1:E3850)*(E2=E$1:E3850))))))</f>
        <v> </v>
      </c>
      <c r="K3851" s="25" t="str">
        <f>IF(OR(E3851="",E3851="!!!",F3851="NEW"),"",INDEX(J$1:J3850,SUMPRODUCT(MAX(ROW(E$1:E3850)*(E3851=E$1:E3850)))))</f>
        <v> </v>
      </c>
      <c r="L3851" s="26"/>
    </row>
    <row r="3852" spans="1:12">
      <c r="A3852" s="20" t="s">
        <v>2832</v>
      </c>
      <c r="E3852" s="21">
        <f>IF(D3852="?OLD","!!!","")</f>
        <v/>
      </c>
      <c r="F3852" s="22" t="str">
        <f>IF(OR(E3852="",E3852="!!!"),"",IF(NOT(ISNA(VLOOKUP(E3852,E$1:E3851,1,FALSE()))),"OLD",IF(AND(E3852&lt;&gt;"",E3852&lt;&gt;"!!!"),"NEW","")))</f>
        <v> </v>
      </c>
      <c r="G3852" s="23" t="str">
        <f>IF(OR(E3852="",E3852="!!!"),"",IF(OR(J3852=0,AND(J3852=1,K3852=1),AND(J3852=1,I3852="SBJ"),AND(J3852=1,I3852=0)),"?IN_FOCUS",IF(J3852&lt;=2,"?ACTIVATED",IF(J3852&lt;&gt;"","?FAMILIAR",IF(F3852="NEW",IF(ISNA(VLOOKUP(E3852,#REF!,1,FALSE())),"?TYPE_IDENTIFIABLE","?REFERENTIAL"),"_")))))</f>
        <v> </v>
      </c>
      <c r="H3852" s="24" t="str">
        <f>IF(J3852&lt;&gt;1,"",IF(I3852="SBJ","CB","?"))</f>
        <v> </v>
      </c>
      <c r="I3852" s="25" t="str">
        <f>IF(OR(E3852="",E3852="!!!",F3852="NEW"),"",INDEX(B3851:B$2,-1+SUMPRODUCT(MAX(ROW(E3851:E$2)*(E3852=E3851:E$2)))))</f>
        <v> </v>
      </c>
      <c r="J3852" s="25" t="str">
        <f>IF(OR(E3852="",E3852="!!!",F3852="NEW"),"",COUNTBLANK(OFFSET(A$1,,,SUMPRODUCT(MAX(ROW(E$2:E3852)*(E3852=E$2:E3852)))))-COUNTBLANK(OFFSET(A$1,,,SUMPRODUCT(MAX(ROW(E$1:E3851)*(E2=E$1:E3851))))))</f>
        <v> </v>
      </c>
      <c r="K3852" s="25" t="str">
        <f>IF(OR(E3852="",E3852="!!!",F3852="NEW"),"",INDEX(J$1:J3851,SUMPRODUCT(MAX(ROW(E$1:E3851)*(E3852=E$1:E3851)))))</f>
        <v> </v>
      </c>
      <c r="L3852" s="26"/>
    </row>
    <row r="3853" spans="1:12">
      <c r="A3853" s="20" t="s">
        <v>2833</v>
      </c>
      <c r="E3853" s="21">
        <f>IF(D3853="?OLD","!!!","")</f>
        <v/>
      </c>
      <c r="F3853" s="22" t="str">
        <f>IF(OR(E3853="",E3853="!!!"),"",IF(NOT(ISNA(VLOOKUP(E3853,E$1:E3852,1,FALSE()))),"OLD",IF(AND(E3853&lt;&gt;"",E3853&lt;&gt;"!!!"),"NEW","")))</f>
        <v> </v>
      </c>
      <c r="G3853" s="23" t="str">
        <f>IF(OR(E3853="",E3853="!!!"),"",IF(OR(J3853=0,AND(J3853=1,K3853=1),AND(J3853=1,I3853="SBJ"),AND(J3853=1,I3853=0)),"?IN_FOCUS",IF(J3853&lt;=2,"?ACTIVATED",IF(J3853&lt;&gt;"","?FAMILIAR",IF(F3853="NEW",IF(ISNA(VLOOKUP(E3853,#REF!,1,FALSE())),"?TYPE_IDENTIFIABLE","?REFERENTIAL"),"_")))))</f>
        <v> </v>
      </c>
      <c r="H3853" s="24" t="str">
        <f>IF(J3853&lt;&gt;1,"",IF(I3853="SBJ","CB","?"))</f>
        <v> </v>
      </c>
      <c r="I3853" s="25" t="str">
        <f>IF(OR(E3853="",E3853="!!!",F3853="NEW"),"",INDEX(B3852:B$2,-1+SUMPRODUCT(MAX(ROW(E3852:E$2)*(E3853=E3852:E$2)))))</f>
        <v> </v>
      </c>
      <c r="J3853" s="25" t="str">
        <f>IF(OR(E3853="",E3853="!!!",F3853="NEW"),"",COUNTBLANK(OFFSET(A$1,,,SUMPRODUCT(MAX(ROW(E$2:E3853)*(E3853=E$2:E3853)))))-COUNTBLANK(OFFSET(A$1,,,SUMPRODUCT(MAX(ROW(E$1:E3852)*(E2=E$1:E3852))))))</f>
        <v> </v>
      </c>
      <c r="K3853" s="25" t="str">
        <f>IF(OR(E3853="",E3853="!!!",F3853="NEW"),"",INDEX(J$1:J3852,SUMPRODUCT(MAX(ROW(E$1:E3852)*(E3853=E$1:E3852)))))</f>
        <v> </v>
      </c>
      <c r="L3853" s="26"/>
    </row>
    <row r="3854" spans="1:12">
      <c r="A3854" s="20" t="s">
        <v>2834</v>
      </c>
      <c r="B3854" s="27" t="s">
        <v>1870</v>
      </c>
      <c r="E3854" s="21">
        <f>IF(D3854="?OLD","!!!","")</f>
        <v/>
      </c>
      <c r="F3854" s="22" t="str">
        <f>IF(OR(E3854="",E3854="!!!"),"",IF(NOT(ISNA(VLOOKUP(E3854,E$1:E3853,1,FALSE()))),"OLD",IF(AND(E3854&lt;&gt;"",E3854&lt;&gt;"!!!"),"NEW","")))</f>
        <v> </v>
      </c>
      <c r="G3854" s="23" t="str">
        <f>IF(OR(E3854="",E3854="!!!"),"",IF(OR(J3854=0,AND(J3854=1,K3854=1),AND(J3854=1,I3854="SBJ"),AND(J3854=1,I3854=0)),"?IN_FOCUS",IF(J3854&lt;=2,"?ACTIVATED",IF(J3854&lt;&gt;"","?FAMILIAR",IF(F3854="NEW",IF(ISNA(VLOOKUP(E3854,#REF!,1,FALSE())),"?TYPE_IDENTIFIABLE","?REFERENTIAL"),"_")))))</f>
        <v> </v>
      </c>
      <c r="H3854" s="24" t="str">
        <f>IF(J3854&lt;&gt;1,"",IF(I3854="SBJ","CB","?"))</f>
        <v> </v>
      </c>
      <c r="I3854" s="25" t="str">
        <f>IF(OR(E3854="",E3854="!!!",F3854="NEW"),"",INDEX(B3853:B$2,-1+SUMPRODUCT(MAX(ROW(E3853:E$2)*(E3854=E3853:E$2)))))</f>
        <v> </v>
      </c>
      <c r="J3854" s="25" t="str">
        <f>IF(OR(E3854="",E3854="!!!",F3854="NEW"),"",COUNTBLANK(OFFSET(A$1,,,SUMPRODUCT(MAX(ROW(E$2:E3854)*(E3854=E$2:E3854)))))-COUNTBLANK(OFFSET(A$1,,,SUMPRODUCT(MAX(ROW(E$1:E3853)*(E2=E$1:E3853))))))</f>
        <v> </v>
      </c>
      <c r="K3854" s="25" t="str">
        <f>IF(OR(E3854="",E3854="!!!",F3854="NEW"),"",INDEX(J$1:J3853,SUMPRODUCT(MAX(ROW(E$1:E3853)*(E3854=E$1:E3853)))))</f>
        <v> </v>
      </c>
      <c r="L3854" s="26"/>
    </row>
    <row r="3855" spans="1:12">
      <c r="A3855" s="20" t="s">
        <v>2835</v>
      </c>
      <c r="E3855" s="21">
        <f>IF(D3855="?OLD","!!!","")</f>
        <v/>
      </c>
      <c r="F3855" s="22" t="str">
        <f>IF(OR(E3855="",E3855="!!!"),"",IF(NOT(ISNA(VLOOKUP(E3855,E$1:E3854,1,FALSE()))),"OLD",IF(AND(E3855&lt;&gt;"",E3855&lt;&gt;"!!!"),"NEW","")))</f>
        <v> </v>
      </c>
      <c r="G3855" s="23" t="str">
        <f>IF(OR(E3855="",E3855="!!!"),"",IF(OR(J3855=0,AND(J3855=1,K3855=1),AND(J3855=1,I3855="SBJ"),AND(J3855=1,I3855=0)),"?IN_FOCUS",IF(J3855&lt;=2,"?ACTIVATED",IF(J3855&lt;&gt;"","?FAMILIAR",IF(F3855="NEW",IF(ISNA(VLOOKUP(E3855,#REF!,1,FALSE())),"?TYPE_IDENTIFIABLE","?REFERENTIAL"),"_")))))</f>
        <v> </v>
      </c>
      <c r="H3855" s="24" t="str">
        <f>IF(J3855&lt;&gt;1,"",IF(I3855="SBJ","CB","?"))</f>
        <v> </v>
      </c>
      <c r="I3855" s="25" t="str">
        <f>IF(OR(E3855="",E3855="!!!",F3855="NEW"),"",INDEX(B3854:B$2,-1+SUMPRODUCT(MAX(ROW(E3854:E$2)*(E3855=E3854:E$2)))))</f>
        <v> </v>
      </c>
      <c r="J3855" s="25" t="str">
        <f>IF(OR(E3855="",E3855="!!!",F3855="NEW"),"",COUNTBLANK(OFFSET(A$1,,,SUMPRODUCT(MAX(ROW(E$2:E3855)*(E3855=E$2:E3855)))))-COUNTBLANK(OFFSET(A$1,,,SUMPRODUCT(MAX(ROW(E$1:E3854)*(E2=E$1:E3854))))))</f>
        <v> </v>
      </c>
      <c r="K3855" s="25" t="str">
        <f>IF(OR(E3855="",E3855="!!!",F3855="NEW"),"",INDEX(J$1:J3854,SUMPRODUCT(MAX(ROW(E$1:E3854)*(E3855=E$1:E3854)))))</f>
        <v> </v>
      </c>
      <c r="L3855" s="26"/>
    </row>
    <row r="3856" spans="1:12">
      <c r="A3856" s="20" t="s">
        <v>1270</v>
      </c>
      <c r="B3856" s="27" t="s">
        <v>2162</v>
      </c>
      <c r="C3856" s="27" t="s">
        <v>1126</v>
      </c>
      <c r="D3856" s="27" t="s">
        <v>1105</v>
      </c>
      <c r="E3856" s="21">
        <f>IF(D3856="?OLD","!!!","")</f>
        <v/>
      </c>
      <c r="F3856" s="22" t="str">
        <f>IF(OR(E3856="",E3856="!!!"),"",IF(NOT(ISNA(VLOOKUP(E3856,E$1:E3855,1,FALSE()))),"OLD",IF(AND(E3856&lt;&gt;"",E3856&lt;&gt;"!!!"),"NEW","")))</f>
        <v> </v>
      </c>
      <c r="G3856" s="23" t="str">
        <f>IF(OR(E3856="",E3856="!!!"),"",IF(OR(J3856=0,AND(J3856=1,K3856=1),AND(J3856=1,I3856="SBJ"),AND(J3856=1,I3856=0)),"?IN_FOCUS",IF(J3856&lt;=2,"?ACTIVATED",IF(J3856&lt;&gt;"","?FAMILIAR",IF(F3856="NEW",IF(ISNA(VLOOKUP(E3856,#REF!,1,FALSE())),"?TYPE_IDENTIFIABLE","?REFERENTIAL"),"_")))))</f>
        <v> </v>
      </c>
      <c r="H3856" s="24" t="str">
        <f>IF(J3856&lt;&gt;1,"",IF(I3856="SBJ","CB","?"))</f>
        <v> </v>
      </c>
      <c r="I3856" s="25" t="str">
        <f>IF(OR(E3856="",E3856="!!!",F3856="NEW"),"",INDEX(B3855:B$2,-1+SUMPRODUCT(MAX(ROW(E3855:E$2)*(E3856=E3855:E$2)))))</f>
        <v> </v>
      </c>
      <c r="J3856" s="25" t="str">
        <f>IF(OR(E3856="",E3856="!!!",F3856="NEW"),"",COUNTBLANK(OFFSET(A$1,,,SUMPRODUCT(MAX(ROW(E$2:E3856)*(E3856=E$2:E3856)))))-COUNTBLANK(OFFSET(A$1,,,SUMPRODUCT(MAX(ROW(E$1:E3855)*(E2=E$1:E3855))))))</f>
        <v> </v>
      </c>
      <c r="K3856" s="25" t="str">
        <f>IF(OR(E3856="",E3856="!!!",F3856="NEW"),"",INDEX(J$1:J3855,SUMPRODUCT(MAX(ROW(E$1:E3855)*(E3856=E$1:E3855)))))</f>
        <v> </v>
      </c>
      <c r="L3856" s="26"/>
    </row>
    <row r="3857" spans="1:12">
      <c r="A3857" s="20" t="s">
        <v>1184</v>
      </c>
      <c r="E3857" s="21">
        <f>IF(D3857="?OLD","!!!","")</f>
        <v/>
      </c>
      <c r="F3857" s="22" t="str">
        <f>IF(OR(E3857="",E3857="!!!"),"",IF(NOT(ISNA(VLOOKUP(E3857,E$1:E3856,1,FALSE()))),"OLD",IF(AND(E3857&lt;&gt;"",E3857&lt;&gt;"!!!"),"NEW","")))</f>
        <v> </v>
      </c>
      <c r="G3857" s="23" t="str">
        <f>IF(OR(E3857="",E3857="!!!"),"",IF(OR(J3857=0,AND(J3857=1,K3857=1),AND(J3857=1,I3857="SBJ"),AND(J3857=1,I3857=0)),"?IN_FOCUS",IF(J3857&lt;=2,"?ACTIVATED",IF(J3857&lt;&gt;"","?FAMILIAR",IF(F3857="NEW",IF(ISNA(VLOOKUP(E3857,#REF!,1,FALSE())),"?TYPE_IDENTIFIABLE","?REFERENTIAL"),"_")))))</f>
        <v> </v>
      </c>
      <c r="H3857" s="24" t="str">
        <f>IF(J3857&lt;&gt;1,"",IF(I3857="SBJ","CB","?"))</f>
        <v> </v>
      </c>
      <c r="I3857" s="25" t="str">
        <f>IF(OR(E3857="",E3857="!!!",F3857="NEW"),"",INDEX(B3856:B$2,-1+SUMPRODUCT(MAX(ROW(E3856:E$2)*(E3857=E3856:E$2)))))</f>
        <v> </v>
      </c>
      <c r="J3857" s="25" t="str">
        <f>IF(OR(E3857="",E3857="!!!",F3857="NEW"),"",COUNTBLANK(OFFSET(A$1,,,SUMPRODUCT(MAX(ROW(E$2:E3857)*(E3857=E$2:E3857)))))-COUNTBLANK(OFFSET(A$1,,,SUMPRODUCT(MAX(ROW(E$1:E3856)*(E2=E$1:E3856))))))</f>
        <v> </v>
      </c>
      <c r="K3857" s="25" t="str">
        <f>IF(OR(E3857="",E3857="!!!",F3857="NEW"),"",INDEX(J$1:J3856,SUMPRODUCT(MAX(ROW(E$1:E3856)*(E3857=E$1:E3856)))))</f>
        <v> </v>
      </c>
      <c r="L3857" s="26"/>
    </row>
    <row r="3858" spans="1:12">
      <c r="A3858" s="20" t="s">
        <v>1427</v>
      </c>
      <c r="E3858" s="21">
        <f>IF(D3858="?OLD","!!!","")</f>
        <v/>
      </c>
      <c r="F3858" s="22" t="str">
        <f>IF(OR(E3858="",E3858="!!!"),"",IF(NOT(ISNA(VLOOKUP(E3858,E$1:E3857,1,FALSE()))),"OLD",IF(AND(E3858&lt;&gt;"",E3858&lt;&gt;"!!!"),"NEW","")))</f>
        <v> </v>
      </c>
      <c r="G3858" s="23" t="str">
        <f>IF(OR(E3858="",E3858="!!!"),"",IF(OR(J3858=0,AND(J3858=1,K3858=1),AND(J3858=1,I3858="SBJ"),AND(J3858=1,I3858=0)),"?IN_FOCUS",IF(J3858&lt;=2,"?ACTIVATED",IF(J3858&lt;&gt;"","?FAMILIAR",IF(F3858="NEW",IF(ISNA(VLOOKUP(E3858,#REF!,1,FALSE())),"?TYPE_IDENTIFIABLE","?REFERENTIAL"),"_")))))</f>
        <v> </v>
      </c>
      <c r="H3858" s="24" t="str">
        <f>IF(J3858&lt;&gt;1,"",IF(I3858="SBJ","CB","?"))</f>
        <v> </v>
      </c>
      <c r="I3858" s="25" t="str">
        <f>IF(OR(E3858="",E3858="!!!",F3858="NEW"),"",INDEX(B3857:B$2,-1+SUMPRODUCT(MAX(ROW(E3857:E$2)*(E3858=E3857:E$2)))))</f>
        <v> </v>
      </c>
      <c r="J3858" s="25" t="str">
        <f>IF(OR(E3858="",E3858="!!!",F3858="NEW"),"",COUNTBLANK(OFFSET(A$1,,,SUMPRODUCT(MAX(ROW(E$2:E3858)*(E3858=E$2:E3858)))))-COUNTBLANK(OFFSET(A$1,,,SUMPRODUCT(MAX(ROW(E$1:E3857)*(E2=E$1:E3857))))))</f>
        <v> </v>
      </c>
      <c r="K3858" s="25" t="str">
        <f>IF(OR(E3858="",E3858="!!!",F3858="NEW"),"",INDEX(J$1:J3857,SUMPRODUCT(MAX(ROW(E$1:E3857)*(E3858=E$1:E3857)))))</f>
        <v> </v>
      </c>
      <c r="L3858" s="26"/>
    </row>
    <row r="3859" spans="1:12">
      <c r="A3859" s="20" t="s">
        <v>2836</v>
      </c>
      <c r="E3859" s="21">
        <f>IF(D3859="?OLD","!!!","")</f>
        <v/>
      </c>
      <c r="F3859" s="22" t="str">
        <f>IF(OR(E3859="",E3859="!!!"),"",IF(NOT(ISNA(VLOOKUP(E3859,E$1:E3858,1,FALSE()))),"OLD",IF(AND(E3859&lt;&gt;"",E3859&lt;&gt;"!!!"),"NEW","")))</f>
        <v> </v>
      </c>
      <c r="G3859" s="23" t="str">
        <f>IF(OR(E3859="",E3859="!!!"),"",IF(OR(J3859=0,AND(J3859=1,K3859=1),AND(J3859=1,I3859="SBJ"),AND(J3859=1,I3859=0)),"?IN_FOCUS",IF(J3859&lt;=2,"?ACTIVATED",IF(J3859&lt;&gt;"","?FAMILIAR",IF(F3859="NEW",IF(ISNA(VLOOKUP(E3859,#REF!,1,FALSE())),"?TYPE_IDENTIFIABLE","?REFERENTIAL"),"_")))))</f>
        <v> </v>
      </c>
      <c r="H3859" s="24" t="str">
        <f>IF(J3859&lt;&gt;1,"",IF(I3859="SBJ","CB","?"))</f>
        <v> </v>
      </c>
      <c r="I3859" s="25" t="str">
        <f>IF(OR(E3859="",E3859="!!!",F3859="NEW"),"",INDEX(B3858:B$2,-1+SUMPRODUCT(MAX(ROW(E3858:E$2)*(E3859=E3858:E$2)))))</f>
        <v> </v>
      </c>
      <c r="J3859" s="25" t="str">
        <f>IF(OR(E3859="",E3859="!!!",F3859="NEW"),"",COUNTBLANK(OFFSET(A$1,,,SUMPRODUCT(MAX(ROW(E$2:E3859)*(E3859=E$2:E3859)))))-COUNTBLANK(OFFSET(A$1,,,SUMPRODUCT(MAX(ROW(E$1:E3858)*(E2=E$1:E3858))))))</f>
        <v> </v>
      </c>
      <c r="K3859" s="25" t="str">
        <f>IF(OR(E3859="",E3859="!!!",F3859="NEW"),"",INDEX(J$1:J3858,SUMPRODUCT(MAX(ROW(E$1:E3858)*(E3859=E$1:E3858)))))</f>
        <v> </v>
      </c>
      <c r="L3859" s="26"/>
    </row>
    <row r="3860" spans="1:12">
      <c r="A3860" s="20" t="s">
        <v>2837</v>
      </c>
      <c r="B3860" s="27" t="s">
        <v>1141</v>
      </c>
      <c r="C3860" s="27" t="s">
        <v>1156</v>
      </c>
      <c r="D3860" s="27" t="s">
        <v>1105</v>
      </c>
      <c r="E3860" s="21">
        <f>IF(D3860="?OLD","!!!","")</f>
        <v/>
      </c>
      <c r="F3860" s="22" t="str">
        <f>IF(OR(E3860="",E3860="!!!"),"",IF(NOT(ISNA(VLOOKUP(E3860,E$1:E3859,1,FALSE()))),"OLD",IF(AND(E3860&lt;&gt;"",E3860&lt;&gt;"!!!"),"NEW","")))</f>
        <v> </v>
      </c>
      <c r="G3860" s="23" t="str">
        <f>IF(OR(E3860="",E3860="!!!"),"",IF(OR(J3860=0,AND(J3860=1,K3860=1),AND(J3860=1,I3860="SBJ"),AND(J3860=1,I3860=0)),"?IN_FOCUS",IF(J3860&lt;=2,"?ACTIVATED",IF(J3860&lt;&gt;"","?FAMILIAR",IF(F3860="NEW",IF(ISNA(VLOOKUP(E3860,#REF!,1,FALSE())),"?TYPE_IDENTIFIABLE","?REFERENTIAL"),"_")))))</f>
        <v> </v>
      </c>
      <c r="H3860" s="24" t="str">
        <f>IF(J3860&lt;&gt;1,"",IF(I3860="SBJ","CB","?"))</f>
        <v> </v>
      </c>
      <c r="I3860" s="25" t="str">
        <f>IF(OR(E3860="",E3860="!!!",F3860="NEW"),"",INDEX(B3859:B$2,-1+SUMPRODUCT(MAX(ROW(E3859:E$2)*(E3860=E3859:E$2)))))</f>
        <v> </v>
      </c>
      <c r="J3860" s="25" t="str">
        <f>IF(OR(E3860="",E3860="!!!",F3860="NEW"),"",COUNTBLANK(OFFSET(A$1,,,SUMPRODUCT(MAX(ROW(E$2:E3860)*(E3860=E$2:E3860)))))-COUNTBLANK(OFFSET(A$1,,,SUMPRODUCT(MAX(ROW(E$1:E3859)*(E2=E$1:E3859))))))</f>
        <v> </v>
      </c>
      <c r="K3860" s="25" t="str">
        <f>IF(OR(E3860="",E3860="!!!",F3860="NEW"),"",INDEX(J$1:J3859,SUMPRODUCT(MAX(ROW(E$1:E3859)*(E3860=E$1:E3859)))))</f>
        <v> </v>
      </c>
      <c r="L3860" s="26"/>
    </row>
    <row r="3861" spans="1:12">
      <c r="A3861" s="20" t="s">
        <v>1145</v>
      </c>
      <c r="E3861" s="21">
        <f>IF(D3861="?OLD","!!!","")</f>
        <v/>
      </c>
      <c r="F3861" s="22" t="str">
        <f>IF(OR(E3861="",E3861="!!!"),"",IF(NOT(ISNA(VLOOKUP(E3861,E$1:E3860,1,FALSE()))),"OLD",IF(AND(E3861&lt;&gt;"",E3861&lt;&gt;"!!!"),"NEW","")))</f>
        <v> </v>
      </c>
      <c r="G3861" s="23" t="str">
        <f>IF(OR(E3861="",E3861="!!!"),"",IF(OR(J3861=0,AND(J3861=1,K3861=1),AND(J3861=1,I3861="SBJ"),AND(J3861=1,I3861=0)),"?IN_FOCUS",IF(J3861&lt;=2,"?ACTIVATED",IF(J3861&lt;&gt;"","?FAMILIAR",IF(F3861="NEW",IF(ISNA(VLOOKUP(E3861,#REF!,1,FALSE())),"?TYPE_IDENTIFIABLE","?REFERENTIAL"),"_")))))</f>
        <v> </v>
      </c>
      <c r="H3861" s="24" t="str">
        <f>IF(J3861&lt;&gt;1,"",IF(I3861="SBJ","CB","?"))</f>
        <v> </v>
      </c>
      <c r="I3861" s="25" t="str">
        <f>IF(OR(E3861="",E3861="!!!",F3861="NEW"),"",INDEX(B3860:B$2,-1+SUMPRODUCT(MAX(ROW(E3860:E$2)*(E3861=E3860:E$2)))))</f>
        <v> </v>
      </c>
      <c r="J3861" s="25" t="str">
        <f>IF(OR(E3861="",E3861="!!!",F3861="NEW"),"",COUNTBLANK(OFFSET(A$1,,,SUMPRODUCT(MAX(ROW(E$2:E3861)*(E3861=E$2:E3861)))))-COUNTBLANK(OFFSET(A$1,,,SUMPRODUCT(MAX(ROW(E$1:E3860)*(E2=E$1:E3860))))))</f>
        <v> </v>
      </c>
      <c r="K3861" s="25" t="str">
        <f>IF(OR(E3861="",E3861="!!!",F3861="NEW"),"",INDEX(J$1:J3860,SUMPRODUCT(MAX(ROW(E$1:E3860)*(E3861=E$1:E3860)))))</f>
        <v> </v>
      </c>
      <c r="L3861" s="26"/>
    </row>
    <row r="3862" spans="1:12">
      <c r="A3862" s="20"/>
    </row>
    <row r="3863" spans="1:12">
      <c r="A3863" s="20" t="s">
        <v>2838</v>
      </c>
    </row>
    <row r="3864" spans="1:12">
      <c r="A3864" s="20" t="s">
        <v>1928</v>
      </c>
      <c r="E3864" s="21">
        <f>IF(D3864="?OLD","!!!","")</f>
        <v/>
      </c>
      <c r="F3864" s="22" t="str">
        <f>IF(OR(E3864="",E3864="!!!"),"",IF(NOT(ISNA(VLOOKUP(E3864,E$1:E3863,1,FALSE()))),"OLD",IF(AND(E3864&lt;&gt;"",E3864&lt;&gt;"!!!"),"NEW","")))</f>
        <v> </v>
      </c>
      <c r="G3864" s="23" t="str">
        <f>IF(OR(E3864="",E3864="!!!"),"",IF(OR(J3864=0,AND(J3864=1,K3864=1),AND(J3864=1,I3864="SBJ"),AND(J3864=1,I3864=0)),"?IN_FOCUS",IF(J3864&lt;=2,"?ACTIVATED",IF(J3864&lt;&gt;"","?FAMILIAR",IF(F3864="NEW",IF(ISNA(VLOOKUP(E3864,#REF!,1,FALSE())),"?TYPE_IDENTIFIABLE","?REFERENTIAL"),"_")))))</f>
        <v> </v>
      </c>
      <c r="H3864" s="24" t="str">
        <f>IF(J3864&lt;&gt;1,"",IF(I3864="SBJ","CB","?"))</f>
        <v> </v>
      </c>
      <c r="I3864" s="25" t="str">
        <f>IF(OR(E3864="",E3864="!!!",F3864="NEW"),"",INDEX(B3863:B$2,-1+SUMPRODUCT(MAX(ROW(E3863:E$2)*(E3864=E3863:E$2)))))</f>
        <v> </v>
      </c>
      <c r="J3864" s="25" t="str">
        <f>IF(OR(E3864="",E3864="!!!",F3864="NEW"),"",COUNTBLANK(OFFSET(A$1,,,SUMPRODUCT(MAX(ROW(E$2:E3864)*(E3864=E$2:E3864)))))-COUNTBLANK(OFFSET(A$1,,,SUMPRODUCT(MAX(ROW(E$1:E3863)*(E2=E$1:E3863))))))</f>
        <v> </v>
      </c>
      <c r="K3864" s="25" t="str">
        <f>IF(OR(E3864="",E3864="!!!",F3864="NEW"),"",INDEX(J$1:J3863,SUMPRODUCT(MAX(ROW(E$1:E3863)*(E3864=E$1:E3863)))))</f>
        <v> </v>
      </c>
      <c r="L3864" s="26"/>
    </row>
    <row r="3865" spans="1:12">
      <c r="A3865" s="20" t="s">
        <v>2019</v>
      </c>
      <c r="E3865" s="21">
        <f>IF(D3865="?OLD","!!!","")</f>
        <v/>
      </c>
      <c r="F3865" s="22" t="str">
        <f>IF(OR(E3865="",E3865="!!!"),"",IF(NOT(ISNA(VLOOKUP(E3865,E$1:E3864,1,FALSE()))),"OLD",IF(AND(E3865&lt;&gt;"",E3865&lt;&gt;"!!!"),"NEW","")))</f>
        <v> </v>
      </c>
      <c r="G3865" s="23" t="str">
        <f>IF(OR(E3865="",E3865="!!!"),"",IF(OR(J3865=0,AND(J3865=1,K3865=1),AND(J3865=1,I3865="SBJ"),AND(J3865=1,I3865=0)),"?IN_FOCUS",IF(J3865&lt;=2,"?ACTIVATED",IF(J3865&lt;&gt;"","?FAMILIAR",IF(F3865="NEW",IF(ISNA(VLOOKUP(E3865,#REF!,1,FALSE())),"?TYPE_IDENTIFIABLE","?REFERENTIAL"),"_")))))</f>
        <v> </v>
      </c>
      <c r="H3865" s="24" t="str">
        <f>IF(J3865&lt;&gt;1,"",IF(I3865="SBJ","CB","?"))</f>
        <v> </v>
      </c>
      <c r="I3865" s="25" t="str">
        <f>IF(OR(E3865="",E3865="!!!",F3865="NEW"),"",INDEX(B3864:B$2,-1+SUMPRODUCT(MAX(ROW(E3864:E$2)*(E3865=E3864:E$2)))))</f>
        <v> </v>
      </c>
      <c r="J3865" s="25" t="str">
        <f>IF(OR(E3865="",E3865="!!!",F3865="NEW"),"",COUNTBLANK(OFFSET(A$1,,,SUMPRODUCT(MAX(ROW(E$2:E3865)*(E3865=E$2:E3865)))))-COUNTBLANK(OFFSET(A$1,,,SUMPRODUCT(MAX(ROW(E$1:E3864)*(E2=E$1:E3864))))))</f>
        <v> </v>
      </c>
      <c r="K3865" s="25" t="str">
        <f>IF(OR(E3865="",E3865="!!!",F3865="NEW"),"",INDEX(J$1:J3864,SUMPRODUCT(MAX(ROW(E$1:E3864)*(E3865=E$1:E3864)))))</f>
        <v> </v>
      </c>
      <c r="L3865" s="26"/>
    </row>
    <row r="3866" spans="1:12">
      <c r="A3866" s="20" t="s">
        <v>1242</v>
      </c>
      <c r="B3866" s="27" t="s">
        <v>1213</v>
      </c>
      <c r="C3866" s="27" t="s">
        <v>1126</v>
      </c>
      <c r="D3866" s="27" t="s">
        <v>1105</v>
      </c>
      <c r="E3866" s="21">
        <f>IF(D3866="?OLD","!!!","")</f>
        <v/>
      </c>
      <c r="F3866" s="22" t="str">
        <f>IF(OR(E3866="",E3866="!!!"),"",IF(NOT(ISNA(VLOOKUP(E3866,E$1:E3865,1,FALSE()))),"OLD",IF(AND(E3866&lt;&gt;"",E3866&lt;&gt;"!!!"),"NEW","")))</f>
        <v> </v>
      </c>
      <c r="G3866" s="23" t="str">
        <f>IF(OR(E3866="",E3866="!!!"),"",IF(OR(J3866=0,AND(J3866=1,K3866=1),AND(J3866=1,I3866="SBJ"),AND(J3866=1,I3866=0)),"?IN_FOCUS",IF(J3866&lt;=2,"?ACTIVATED",IF(J3866&lt;&gt;"","?FAMILIAR",IF(F3866="NEW",IF(ISNA(VLOOKUP(E3866,#REF!,1,FALSE())),"?TYPE_IDENTIFIABLE","?REFERENTIAL"),"_")))))</f>
        <v> </v>
      </c>
      <c r="H3866" s="24" t="str">
        <f>IF(J3866&lt;&gt;1,"",IF(I3866="SBJ","CB","?"))</f>
        <v> </v>
      </c>
      <c r="I3866" s="25" t="str">
        <f>IF(OR(E3866="",E3866="!!!",F3866="NEW"),"",INDEX(B3865:B$2,-1+SUMPRODUCT(MAX(ROW(E3865:E$2)*(E3866=E3865:E$2)))))</f>
        <v> </v>
      </c>
      <c r="J3866" s="25" t="str">
        <f>IF(OR(E3866="",E3866="!!!",F3866="NEW"),"",COUNTBLANK(OFFSET(A$1,,,SUMPRODUCT(MAX(ROW(E$2:E3866)*(E3866=E$2:E3866)))))-COUNTBLANK(OFFSET(A$1,,,SUMPRODUCT(MAX(ROW(E$1:E3865)*(E2=E$1:E3865))))))</f>
        <v> </v>
      </c>
      <c r="K3866" s="25" t="str">
        <f>IF(OR(E3866="",E3866="!!!",F3866="NEW"),"",INDEX(J$1:J3865,SUMPRODUCT(MAX(ROW(E$1:E3865)*(E3866=E$1:E3865)))))</f>
        <v> </v>
      </c>
      <c r="L3866" s="26"/>
    </row>
    <row r="3867" spans="1:12">
      <c r="A3867" s="20" t="s">
        <v>2839</v>
      </c>
      <c r="E3867" s="21">
        <f>IF(D3867="?OLD","!!!","")</f>
        <v/>
      </c>
      <c r="F3867" s="22" t="str">
        <f>IF(OR(E3867="",E3867="!!!"),"",IF(NOT(ISNA(VLOOKUP(E3867,E$1:E3866,1,FALSE()))),"OLD",IF(AND(E3867&lt;&gt;"",E3867&lt;&gt;"!!!"),"NEW","")))</f>
        <v> </v>
      </c>
      <c r="G3867" s="23" t="str">
        <f>IF(OR(E3867="",E3867="!!!"),"",IF(OR(J3867=0,AND(J3867=1,K3867=1),AND(J3867=1,I3867="SBJ"),AND(J3867=1,I3867=0)),"?IN_FOCUS",IF(J3867&lt;=2,"?ACTIVATED",IF(J3867&lt;&gt;"","?FAMILIAR",IF(F3867="NEW",IF(ISNA(VLOOKUP(E3867,#REF!,1,FALSE())),"?TYPE_IDENTIFIABLE","?REFERENTIAL"),"_")))))</f>
        <v> </v>
      </c>
      <c r="H3867" s="24" t="str">
        <f>IF(J3867&lt;&gt;1,"",IF(I3867="SBJ","CB","?"))</f>
        <v> </v>
      </c>
      <c r="I3867" s="25" t="str">
        <f>IF(OR(E3867="",E3867="!!!",F3867="NEW"),"",INDEX(B3866:B$2,-1+SUMPRODUCT(MAX(ROW(E3866:E$2)*(E3867=E3866:E$2)))))</f>
        <v> </v>
      </c>
      <c r="J3867" s="25" t="str">
        <f>IF(OR(E3867="",E3867="!!!",F3867="NEW"),"",COUNTBLANK(OFFSET(A$1,,,SUMPRODUCT(MAX(ROW(E$2:E3867)*(E3867=E$2:E3867)))))-COUNTBLANK(OFFSET(A$1,,,SUMPRODUCT(MAX(ROW(E$1:E3866)*(E2=E$1:E3866))))))</f>
        <v> </v>
      </c>
      <c r="K3867" s="25" t="str">
        <f>IF(OR(E3867="",E3867="!!!",F3867="NEW"),"",INDEX(J$1:J3866,SUMPRODUCT(MAX(ROW(E$1:E3866)*(E3867=E$1:E3866)))))</f>
        <v> </v>
      </c>
      <c r="L3867" s="26"/>
    </row>
    <row r="3868" spans="1:12">
      <c r="A3868" s="20" t="s">
        <v>1113</v>
      </c>
      <c r="E3868" s="21">
        <f>IF(D3868="?OLD","!!!","")</f>
        <v/>
      </c>
      <c r="F3868" s="22" t="str">
        <f>IF(OR(E3868="",E3868="!!!"),"",IF(NOT(ISNA(VLOOKUP(E3868,E$1:E3867,1,FALSE()))),"OLD",IF(AND(E3868&lt;&gt;"",E3868&lt;&gt;"!!!"),"NEW","")))</f>
        <v> </v>
      </c>
      <c r="G3868" s="23" t="str">
        <f>IF(OR(E3868="",E3868="!!!"),"",IF(OR(J3868=0,AND(J3868=1,K3868=1),AND(J3868=1,I3868="SBJ"),AND(J3868=1,I3868=0)),"?IN_FOCUS",IF(J3868&lt;=2,"?ACTIVATED",IF(J3868&lt;&gt;"","?FAMILIAR",IF(F3868="NEW",IF(ISNA(VLOOKUP(E3868,#REF!,1,FALSE())),"?TYPE_IDENTIFIABLE","?REFERENTIAL"),"_")))))</f>
        <v> </v>
      </c>
      <c r="H3868" s="24" t="str">
        <f>IF(J3868&lt;&gt;1,"",IF(I3868="SBJ","CB","?"))</f>
        <v> </v>
      </c>
      <c r="I3868" s="25" t="str">
        <f>IF(OR(E3868="",E3868="!!!",F3868="NEW"),"",INDEX(B3867:B$2,-1+SUMPRODUCT(MAX(ROW(E3867:E$2)*(E3868=E3867:E$2)))))</f>
        <v> </v>
      </c>
      <c r="J3868" s="25" t="str">
        <f>IF(OR(E3868="",E3868="!!!",F3868="NEW"),"",COUNTBLANK(OFFSET(A$1,,,SUMPRODUCT(MAX(ROW(E$2:E3868)*(E3868=E$2:E3868)))))-COUNTBLANK(OFFSET(A$1,,,SUMPRODUCT(MAX(ROW(E$1:E3867)*(E2=E$1:E3867))))))</f>
        <v> </v>
      </c>
      <c r="K3868" s="25" t="str">
        <f>IF(OR(E3868="",E3868="!!!",F3868="NEW"),"",INDEX(J$1:J3867,SUMPRODUCT(MAX(ROW(E$1:E3867)*(E3868=E$1:E3867)))))</f>
        <v> </v>
      </c>
      <c r="L3868" s="26"/>
    </row>
    <row r="3869" spans="1:12">
      <c r="A3869" s="20" t="s">
        <v>2840</v>
      </c>
      <c r="B3869" s="27" t="s">
        <v>1149</v>
      </c>
      <c r="E3869" s="21">
        <f>IF(D3869="?OLD","!!!","")</f>
        <v/>
      </c>
      <c r="F3869" s="22" t="str">
        <f>IF(OR(E3869="",E3869="!!!"),"",IF(NOT(ISNA(VLOOKUP(E3869,E$1:E3868,1,FALSE()))),"OLD",IF(AND(E3869&lt;&gt;"",E3869&lt;&gt;"!!!"),"NEW","")))</f>
        <v> </v>
      </c>
      <c r="G3869" s="23" t="str">
        <f>IF(OR(E3869="",E3869="!!!"),"",IF(OR(J3869=0,AND(J3869=1,K3869=1),AND(J3869=1,I3869="SBJ"),AND(J3869=1,I3869=0)),"?IN_FOCUS",IF(J3869&lt;=2,"?ACTIVATED",IF(J3869&lt;&gt;"","?FAMILIAR",IF(F3869="NEW",IF(ISNA(VLOOKUP(E3869,#REF!,1,FALSE())),"?TYPE_IDENTIFIABLE","?REFERENTIAL"),"_")))))</f>
        <v> </v>
      </c>
      <c r="H3869" s="24" t="str">
        <f>IF(J3869&lt;&gt;1,"",IF(I3869="SBJ","CB","?"))</f>
        <v> </v>
      </c>
      <c r="I3869" s="25" t="str">
        <f>IF(OR(E3869="",E3869="!!!",F3869="NEW"),"",INDEX(B3868:B$2,-1+SUMPRODUCT(MAX(ROW(E3868:E$2)*(E3869=E3868:E$2)))))</f>
        <v> </v>
      </c>
      <c r="J3869" s="25" t="str">
        <f>IF(OR(E3869="",E3869="!!!",F3869="NEW"),"",COUNTBLANK(OFFSET(A$1,,,SUMPRODUCT(MAX(ROW(E$2:E3869)*(E3869=E$2:E3869)))))-COUNTBLANK(OFFSET(A$1,,,SUMPRODUCT(MAX(ROW(E$1:E3868)*(E2=E$1:E3868))))))</f>
        <v> </v>
      </c>
      <c r="K3869" s="25" t="str">
        <f>IF(OR(E3869="",E3869="!!!",F3869="NEW"),"",INDEX(J$1:J3868,SUMPRODUCT(MAX(ROW(E$1:E3868)*(E3869=E$1:E3868)))))</f>
        <v> </v>
      </c>
      <c r="L3869" s="26"/>
    </row>
    <row r="3870" spans="1:12">
      <c r="A3870" s="20" t="s">
        <v>11</v>
      </c>
      <c r="E3870" s="21">
        <f>IF(D3870="?OLD","!!!","")</f>
        <v/>
      </c>
      <c r="F3870" s="22" t="str">
        <f>IF(OR(E3870="",E3870="!!!"),"",IF(NOT(ISNA(VLOOKUP(E3870,E$1:E3869,1,FALSE()))),"OLD",IF(AND(E3870&lt;&gt;"",E3870&lt;&gt;"!!!"),"NEW","")))</f>
        <v> </v>
      </c>
      <c r="G3870" s="23" t="str">
        <f>IF(OR(E3870="",E3870="!!!"),"",IF(OR(J3870=0,AND(J3870=1,K3870=1),AND(J3870=1,I3870="SBJ"),AND(J3870=1,I3870=0)),"?IN_FOCUS",IF(J3870&lt;=2,"?ACTIVATED",IF(J3870&lt;&gt;"","?FAMILIAR",IF(F3870="NEW",IF(ISNA(VLOOKUP(E3870,#REF!,1,FALSE())),"?TYPE_IDENTIFIABLE","?REFERENTIAL"),"_")))))</f>
        <v> </v>
      </c>
      <c r="H3870" s="24" t="str">
        <f>IF(J3870&lt;&gt;1,"",IF(I3870="SBJ","CB","?"))</f>
        <v> </v>
      </c>
      <c r="I3870" s="25" t="str">
        <f>IF(OR(E3870="",E3870="!!!",F3870="NEW"),"",INDEX(B3869:B$2,-1+SUMPRODUCT(MAX(ROW(E3869:E$2)*(E3870=E3869:E$2)))))</f>
        <v> </v>
      </c>
      <c r="J3870" s="25" t="str">
        <f>IF(OR(E3870="",E3870="!!!",F3870="NEW"),"",COUNTBLANK(OFFSET(A$1,,,SUMPRODUCT(MAX(ROW(E$2:E3870)*(E3870=E$2:E3870)))))-COUNTBLANK(OFFSET(A$1,,,SUMPRODUCT(MAX(ROW(E$1:E3869)*(E2=E$1:E3869))))))</f>
        <v> </v>
      </c>
      <c r="K3870" s="25" t="str">
        <f>IF(OR(E3870="",E3870="!!!",F3870="NEW"),"",INDEX(J$1:J3869,SUMPRODUCT(MAX(ROW(E$1:E3869)*(E3870=E$1:E3869)))))</f>
        <v> </v>
      </c>
      <c r="L3870" s="26"/>
    </row>
    <row r="3871" spans="1:12">
      <c r="A3871" s="20" t="s">
        <v>1680</v>
      </c>
      <c r="E3871" s="21">
        <f>IF(D3871="?OLD","!!!","")</f>
        <v/>
      </c>
      <c r="F3871" s="22" t="str">
        <f>IF(OR(E3871="",E3871="!!!"),"",IF(NOT(ISNA(VLOOKUP(E3871,E$1:E3870,1,FALSE()))),"OLD",IF(AND(E3871&lt;&gt;"",E3871&lt;&gt;"!!!"),"NEW","")))</f>
        <v> </v>
      </c>
      <c r="G3871" s="23" t="str">
        <f>IF(OR(E3871="",E3871="!!!"),"",IF(OR(J3871=0,AND(J3871=1,K3871=1),AND(J3871=1,I3871="SBJ"),AND(J3871=1,I3871=0)),"?IN_FOCUS",IF(J3871&lt;=2,"?ACTIVATED",IF(J3871&lt;&gt;"","?FAMILIAR",IF(F3871="NEW",IF(ISNA(VLOOKUP(E3871,#REF!,1,FALSE())),"?TYPE_IDENTIFIABLE","?REFERENTIAL"),"_")))))</f>
        <v> </v>
      </c>
      <c r="H3871" s="24" t="str">
        <f>IF(J3871&lt;&gt;1,"",IF(I3871="SBJ","CB","?"))</f>
        <v> </v>
      </c>
      <c r="I3871" s="25" t="str">
        <f>IF(OR(E3871="",E3871="!!!",F3871="NEW"),"",INDEX(B3870:B$2,-1+SUMPRODUCT(MAX(ROW(E3870:E$2)*(E3871=E3870:E$2)))))</f>
        <v> </v>
      </c>
      <c r="J3871" s="25" t="str">
        <f>IF(OR(E3871="",E3871="!!!",F3871="NEW"),"",COUNTBLANK(OFFSET(A$1,,,SUMPRODUCT(MAX(ROW(E$2:E3871)*(E3871=E$2:E3871)))))-COUNTBLANK(OFFSET(A$1,,,SUMPRODUCT(MAX(ROW(E$1:E3870)*(E2=E$1:E3870))))))</f>
        <v> </v>
      </c>
      <c r="K3871" s="25" t="str">
        <f>IF(OR(E3871="",E3871="!!!",F3871="NEW"),"",INDEX(J$1:J3870,SUMPRODUCT(MAX(ROW(E$1:E3870)*(E3871=E$1:E3870)))))</f>
        <v> </v>
      </c>
      <c r="L3871" s="26"/>
    </row>
    <row r="3872" spans="1:12">
      <c r="A3872" s="20" t="s">
        <v>2841</v>
      </c>
      <c r="E3872" s="21">
        <f>IF(D3872="?OLD","!!!","")</f>
        <v/>
      </c>
      <c r="F3872" s="22" t="str">
        <f>IF(OR(E3872="",E3872="!!!"),"",IF(NOT(ISNA(VLOOKUP(E3872,E$1:E3871,1,FALSE()))),"OLD",IF(AND(E3872&lt;&gt;"",E3872&lt;&gt;"!!!"),"NEW","")))</f>
        <v> </v>
      </c>
      <c r="G3872" s="23" t="str">
        <f>IF(OR(E3872="",E3872="!!!"),"",IF(OR(J3872=0,AND(J3872=1,K3872=1),AND(J3872=1,I3872="SBJ"),AND(J3872=1,I3872=0)),"?IN_FOCUS",IF(J3872&lt;=2,"?ACTIVATED",IF(J3872&lt;&gt;"","?FAMILIAR",IF(F3872="NEW",IF(ISNA(VLOOKUP(E3872,#REF!,1,FALSE())),"?TYPE_IDENTIFIABLE","?REFERENTIAL"),"_")))))</f>
        <v> </v>
      </c>
      <c r="H3872" s="24" t="str">
        <f>IF(J3872&lt;&gt;1,"",IF(I3872="SBJ","CB","?"))</f>
        <v> </v>
      </c>
      <c r="I3872" s="25" t="str">
        <f>IF(OR(E3872="",E3872="!!!",F3872="NEW"),"",INDEX(B3871:B$2,-1+SUMPRODUCT(MAX(ROW(E3871:E$2)*(E3872=E3871:E$2)))))</f>
        <v> </v>
      </c>
      <c r="J3872" s="25" t="str">
        <f>IF(OR(E3872="",E3872="!!!",F3872="NEW"),"",COUNTBLANK(OFFSET(A$1,,,SUMPRODUCT(MAX(ROW(E$2:E3872)*(E3872=E$2:E3872)))))-COUNTBLANK(OFFSET(A$1,,,SUMPRODUCT(MAX(ROW(E$1:E3871)*(E2=E$1:E3871))))))</f>
        <v> </v>
      </c>
      <c r="K3872" s="25" t="str">
        <f>IF(OR(E3872="",E3872="!!!",F3872="NEW"),"",INDEX(J$1:J3871,SUMPRODUCT(MAX(ROW(E$1:E3871)*(E3872=E$1:E3871)))))</f>
        <v> </v>
      </c>
      <c r="L3872" s="26"/>
    </row>
    <row r="3873" spans="1:12">
      <c r="A3873" s="20" t="s">
        <v>1123</v>
      </c>
      <c r="E3873" s="21">
        <f>IF(D3873="?OLD","!!!","")</f>
        <v/>
      </c>
      <c r="F3873" s="22" t="str">
        <f>IF(OR(E3873="",E3873="!!!"),"",IF(NOT(ISNA(VLOOKUP(E3873,E$1:E3872,1,FALSE()))),"OLD",IF(AND(E3873&lt;&gt;"",E3873&lt;&gt;"!!!"),"NEW","")))</f>
        <v> </v>
      </c>
      <c r="G3873" s="23" t="str">
        <f>IF(OR(E3873="",E3873="!!!"),"",IF(OR(J3873=0,AND(J3873=1,K3873=1),AND(J3873=1,I3873="SBJ"),AND(J3873=1,I3873=0)),"?IN_FOCUS",IF(J3873&lt;=2,"?ACTIVATED",IF(J3873&lt;&gt;"","?FAMILIAR",IF(F3873="NEW",IF(ISNA(VLOOKUP(E3873,#REF!,1,FALSE())),"?TYPE_IDENTIFIABLE","?REFERENTIAL"),"_")))))</f>
        <v> </v>
      </c>
      <c r="H3873" s="24" t="str">
        <f>IF(J3873&lt;&gt;1,"",IF(I3873="SBJ","CB","?"))</f>
        <v> </v>
      </c>
      <c r="I3873" s="25" t="str">
        <f>IF(OR(E3873="",E3873="!!!",F3873="NEW"),"",INDEX(B3872:B$2,-1+SUMPRODUCT(MAX(ROW(E3872:E$2)*(E3873=E3872:E$2)))))</f>
        <v> </v>
      </c>
      <c r="J3873" s="25" t="str">
        <f>IF(OR(E3873="",E3873="!!!",F3873="NEW"),"",COUNTBLANK(OFFSET(A$1,,,SUMPRODUCT(MAX(ROW(E$2:E3873)*(E3873=E$2:E3873)))))-COUNTBLANK(OFFSET(A$1,,,SUMPRODUCT(MAX(ROW(E$1:E3872)*(E2=E$1:E3872))))))</f>
        <v> </v>
      </c>
      <c r="K3873" s="25" t="str">
        <f>IF(OR(E3873="",E3873="!!!",F3873="NEW"),"",INDEX(J$1:J3872,SUMPRODUCT(MAX(ROW(E$1:E3872)*(E3873=E$1:E3872)))))</f>
        <v> </v>
      </c>
      <c r="L3873" s="26"/>
    </row>
    <row r="3874" spans="1:12">
      <c r="A3874" s="20" t="s">
        <v>135</v>
      </c>
      <c r="E3874" s="21">
        <f>IF(D3874="?OLD","!!!","")</f>
        <v/>
      </c>
      <c r="F3874" s="22" t="str">
        <f>IF(OR(E3874="",E3874="!!!"),"",IF(NOT(ISNA(VLOOKUP(E3874,E$1:E3873,1,FALSE()))),"OLD",IF(AND(E3874&lt;&gt;"",E3874&lt;&gt;"!!!"),"NEW","")))</f>
        <v> </v>
      </c>
      <c r="G3874" s="23" t="str">
        <f>IF(OR(E3874="",E3874="!!!"),"",IF(OR(J3874=0,AND(J3874=1,K3874=1),AND(J3874=1,I3874="SBJ"),AND(J3874=1,I3874=0)),"?IN_FOCUS",IF(J3874&lt;=2,"?ACTIVATED",IF(J3874&lt;&gt;"","?FAMILIAR",IF(F3874="NEW",IF(ISNA(VLOOKUP(E3874,#REF!,1,FALSE())),"?TYPE_IDENTIFIABLE","?REFERENTIAL"),"_")))))</f>
        <v> </v>
      </c>
      <c r="H3874" s="24" t="str">
        <f>IF(J3874&lt;&gt;1,"",IF(I3874="SBJ","CB","?"))</f>
        <v> </v>
      </c>
      <c r="I3874" s="25" t="str">
        <f>IF(OR(E3874="",E3874="!!!",F3874="NEW"),"",INDEX(B3873:B$2,-1+SUMPRODUCT(MAX(ROW(E3873:E$2)*(E3874=E3873:E$2)))))</f>
        <v> </v>
      </c>
      <c r="J3874" s="25" t="str">
        <f>IF(OR(E3874="",E3874="!!!",F3874="NEW"),"",COUNTBLANK(OFFSET(A$1,,,SUMPRODUCT(MAX(ROW(E$2:E3874)*(E3874=E$2:E3874)))))-COUNTBLANK(OFFSET(A$1,,,SUMPRODUCT(MAX(ROW(E$1:E3873)*(E2=E$1:E3873))))))</f>
        <v> </v>
      </c>
      <c r="K3874" s="25" t="str">
        <f>IF(OR(E3874="",E3874="!!!",F3874="NEW"),"",INDEX(J$1:J3873,SUMPRODUCT(MAX(ROW(E$1:E3873)*(E3874=E$1:E3873)))))</f>
        <v> </v>
      </c>
      <c r="L3874" s="26"/>
    </row>
    <row r="3875" spans="1:12">
      <c r="A3875" s="20" t="s">
        <v>1134</v>
      </c>
      <c r="E3875" s="21">
        <f>IF(D3875="?OLD","!!!","")</f>
        <v/>
      </c>
      <c r="F3875" s="22" t="str">
        <f>IF(OR(E3875="",E3875="!!!"),"",IF(NOT(ISNA(VLOOKUP(E3875,E$1:E3874,1,FALSE()))),"OLD",IF(AND(E3875&lt;&gt;"",E3875&lt;&gt;"!!!"),"NEW","")))</f>
        <v> </v>
      </c>
      <c r="G3875" s="23" t="str">
        <f>IF(OR(E3875="",E3875="!!!"),"",IF(OR(J3875=0,AND(J3875=1,K3875=1),AND(J3875=1,I3875="SBJ"),AND(J3875=1,I3875=0)),"?IN_FOCUS",IF(J3875&lt;=2,"?ACTIVATED",IF(J3875&lt;&gt;"","?FAMILIAR",IF(F3875="NEW",IF(ISNA(VLOOKUP(E3875,#REF!,1,FALSE())),"?TYPE_IDENTIFIABLE","?REFERENTIAL"),"_")))))</f>
        <v> </v>
      </c>
      <c r="H3875" s="24" t="str">
        <f>IF(J3875&lt;&gt;1,"",IF(I3875="SBJ","CB","?"))</f>
        <v> </v>
      </c>
      <c r="I3875" s="25" t="str">
        <f>IF(OR(E3875="",E3875="!!!",F3875="NEW"),"",INDEX(B3874:B$2,-1+SUMPRODUCT(MAX(ROW(E3874:E$2)*(E3875=E3874:E$2)))))</f>
        <v> </v>
      </c>
      <c r="J3875" s="25" t="str">
        <f>IF(OR(E3875="",E3875="!!!",F3875="NEW"),"",COUNTBLANK(OFFSET(A$1,,,SUMPRODUCT(MAX(ROW(E$2:E3875)*(E3875=E$2:E3875)))))-COUNTBLANK(OFFSET(A$1,,,SUMPRODUCT(MAX(ROW(E$1:E3874)*(E2=E$1:E3874))))))</f>
        <v> </v>
      </c>
      <c r="K3875" s="25" t="str">
        <f>IF(OR(E3875="",E3875="!!!",F3875="NEW"),"",INDEX(J$1:J3874,SUMPRODUCT(MAX(ROW(E$1:E3874)*(E3875=E$1:E3874)))))</f>
        <v> </v>
      </c>
      <c r="L3875" s="26"/>
    </row>
    <row r="3876" spans="1:12">
      <c r="A3876" s="20" t="s">
        <v>1217</v>
      </c>
      <c r="B3876" s="27" t="s">
        <v>1125</v>
      </c>
      <c r="C3876" s="27" t="s">
        <v>1126</v>
      </c>
      <c r="D3876" s="27" t="s">
        <v>1105</v>
      </c>
      <c r="E3876" s="21">
        <f>IF(D3876="?OLD","!!!","")</f>
        <v/>
      </c>
      <c r="F3876" s="22" t="str">
        <f>IF(OR(E3876="",E3876="!!!"),"",IF(NOT(ISNA(VLOOKUP(E3876,E$1:E3875,1,FALSE()))),"OLD",IF(AND(E3876&lt;&gt;"",E3876&lt;&gt;"!!!"),"NEW","")))</f>
        <v> </v>
      </c>
      <c r="G3876" s="23" t="str">
        <f>IF(OR(E3876="",E3876="!!!"),"",IF(OR(J3876=0,AND(J3876=1,K3876=1),AND(J3876=1,I3876="SBJ"),AND(J3876=1,I3876=0)),"?IN_FOCUS",IF(J3876&lt;=2,"?ACTIVATED",IF(J3876&lt;&gt;"","?FAMILIAR",IF(F3876="NEW",IF(ISNA(VLOOKUP(E3876,#REF!,1,FALSE())),"?TYPE_IDENTIFIABLE","?REFERENTIAL"),"_")))))</f>
        <v> </v>
      </c>
      <c r="H3876" s="24" t="str">
        <f>IF(J3876&lt;&gt;1,"",IF(I3876="SBJ","CB","?"))</f>
        <v> </v>
      </c>
      <c r="I3876" s="25" t="str">
        <f>IF(OR(E3876="",E3876="!!!",F3876="NEW"),"",INDEX(B3875:B$2,-1+SUMPRODUCT(MAX(ROW(E3875:E$2)*(E3876=E3875:E$2)))))</f>
        <v> </v>
      </c>
      <c r="J3876" s="25" t="str">
        <f>IF(OR(E3876="",E3876="!!!",F3876="NEW"),"",COUNTBLANK(OFFSET(A$1,,,SUMPRODUCT(MAX(ROW(E$2:E3876)*(E3876=E$2:E3876)))))-COUNTBLANK(OFFSET(A$1,,,SUMPRODUCT(MAX(ROW(E$1:E3875)*(E2=E$1:E3875))))))</f>
        <v> </v>
      </c>
      <c r="K3876" s="25" t="str">
        <f>IF(OR(E3876="",E3876="!!!",F3876="NEW"),"",INDEX(J$1:J3875,SUMPRODUCT(MAX(ROW(E$1:E3875)*(E3876=E$1:E3875)))))</f>
        <v> </v>
      </c>
      <c r="L3876" s="26"/>
    </row>
    <row r="3877" spans="1:12">
      <c r="A3877" s="20" t="s">
        <v>2842</v>
      </c>
      <c r="E3877" s="21">
        <f>IF(D3877="?OLD","!!!","")</f>
        <v/>
      </c>
      <c r="F3877" s="22" t="str">
        <f>IF(OR(E3877="",E3877="!!!"),"",IF(NOT(ISNA(VLOOKUP(E3877,E$1:E3876,1,FALSE()))),"OLD",IF(AND(E3877&lt;&gt;"",E3877&lt;&gt;"!!!"),"NEW","")))</f>
        <v> </v>
      </c>
      <c r="G3877" s="23" t="str">
        <f>IF(OR(E3877="",E3877="!!!"),"",IF(OR(J3877=0,AND(J3877=1,K3877=1),AND(J3877=1,I3877="SBJ"),AND(J3877=1,I3877=0)),"?IN_FOCUS",IF(J3877&lt;=2,"?ACTIVATED",IF(J3877&lt;&gt;"","?FAMILIAR",IF(F3877="NEW",IF(ISNA(VLOOKUP(E3877,#REF!,1,FALSE())),"?TYPE_IDENTIFIABLE","?REFERENTIAL"),"_")))))</f>
        <v> </v>
      </c>
      <c r="H3877" s="24" t="str">
        <f>IF(J3877&lt;&gt;1,"",IF(I3877="SBJ","CB","?"))</f>
        <v> </v>
      </c>
      <c r="I3877" s="25" t="str">
        <f>IF(OR(E3877="",E3877="!!!",F3877="NEW"),"",INDEX(B3876:B$2,-1+SUMPRODUCT(MAX(ROW(E3876:E$2)*(E3877=E3876:E$2)))))</f>
        <v> </v>
      </c>
      <c r="J3877" s="25" t="str">
        <f>IF(OR(E3877="",E3877="!!!",F3877="NEW"),"",COUNTBLANK(OFFSET(A$1,,,SUMPRODUCT(MAX(ROW(E$2:E3877)*(E3877=E$2:E3877)))))-COUNTBLANK(OFFSET(A$1,,,SUMPRODUCT(MAX(ROW(E$1:E3876)*(E2=E$1:E3876))))))</f>
        <v> </v>
      </c>
      <c r="K3877" s="25" t="str">
        <f>IF(OR(E3877="",E3877="!!!",F3877="NEW"),"",INDEX(J$1:J3876,SUMPRODUCT(MAX(ROW(E$1:E3876)*(E3877=E$1:E3876)))))</f>
        <v> </v>
      </c>
      <c r="L3877" s="26"/>
    </row>
    <row r="3878" spans="1:12">
      <c r="A3878" s="20" t="s">
        <v>2843</v>
      </c>
      <c r="E3878" s="21">
        <f>IF(D3878="?OLD","!!!","")</f>
        <v/>
      </c>
      <c r="F3878" s="22" t="str">
        <f>IF(OR(E3878="",E3878="!!!"),"",IF(NOT(ISNA(VLOOKUP(E3878,E$1:E3877,1,FALSE()))),"OLD",IF(AND(E3878&lt;&gt;"",E3878&lt;&gt;"!!!"),"NEW","")))</f>
        <v> </v>
      </c>
      <c r="G3878" s="23" t="str">
        <f>IF(OR(E3878="",E3878="!!!"),"",IF(OR(J3878=0,AND(J3878=1,K3878=1),AND(J3878=1,I3878="SBJ"),AND(J3878=1,I3878=0)),"?IN_FOCUS",IF(J3878&lt;=2,"?ACTIVATED",IF(J3878&lt;&gt;"","?FAMILIAR",IF(F3878="NEW",IF(ISNA(VLOOKUP(E3878,#REF!,1,FALSE())),"?TYPE_IDENTIFIABLE","?REFERENTIAL"),"_")))))</f>
        <v> </v>
      </c>
      <c r="H3878" s="24" t="str">
        <f>IF(J3878&lt;&gt;1,"",IF(I3878="SBJ","CB","?"))</f>
        <v> </v>
      </c>
      <c r="I3878" s="25" t="str">
        <f>IF(OR(E3878="",E3878="!!!",F3878="NEW"),"",INDEX(B3877:B$2,-1+SUMPRODUCT(MAX(ROW(E3877:E$2)*(E3878=E3877:E$2)))))</f>
        <v> </v>
      </c>
      <c r="J3878" s="25" t="str">
        <f>IF(OR(E3878="",E3878="!!!",F3878="NEW"),"",COUNTBLANK(OFFSET(A$1,,,SUMPRODUCT(MAX(ROW(E$2:E3878)*(E3878=E$2:E3878)))))-COUNTBLANK(OFFSET(A$1,,,SUMPRODUCT(MAX(ROW(E$1:E3877)*(E2=E$1:E3877))))))</f>
        <v> </v>
      </c>
      <c r="K3878" s="25" t="str">
        <f>IF(OR(E3878="",E3878="!!!",F3878="NEW"),"",INDEX(J$1:J3877,SUMPRODUCT(MAX(ROW(E$1:E3877)*(E3878=E$1:E3877)))))</f>
        <v> </v>
      </c>
      <c r="L3878" s="26"/>
    </row>
    <row r="3879" spans="1:12">
      <c r="A3879" s="20" t="s">
        <v>1253</v>
      </c>
      <c r="E3879" s="21">
        <f>IF(D3879="?OLD","!!!","")</f>
        <v/>
      </c>
      <c r="F3879" s="22" t="str">
        <f>IF(OR(E3879="",E3879="!!!"),"",IF(NOT(ISNA(VLOOKUP(E3879,E$1:E3878,1,FALSE()))),"OLD",IF(AND(E3879&lt;&gt;"",E3879&lt;&gt;"!!!"),"NEW","")))</f>
        <v> </v>
      </c>
      <c r="G3879" s="23" t="str">
        <f>IF(OR(E3879="",E3879="!!!"),"",IF(OR(J3879=0,AND(J3879=1,K3879=1),AND(J3879=1,I3879="SBJ"),AND(J3879=1,I3879=0)),"?IN_FOCUS",IF(J3879&lt;=2,"?ACTIVATED",IF(J3879&lt;&gt;"","?FAMILIAR",IF(F3879="NEW",IF(ISNA(VLOOKUP(E3879,#REF!,1,FALSE())),"?TYPE_IDENTIFIABLE","?REFERENTIAL"),"_")))))</f>
        <v> </v>
      </c>
      <c r="H3879" s="24" t="str">
        <f>IF(J3879&lt;&gt;1,"",IF(I3879="SBJ","CB","?"))</f>
        <v> </v>
      </c>
      <c r="I3879" s="25" t="str">
        <f>IF(OR(E3879="",E3879="!!!",F3879="NEW"),"",INDEX(B3878:B$2,-1+SUMPRODUCT(MAX(ROW(E3878:E$2)*(E3879=E3878:E$2)))))</f>
        <v> </v>
      </c>
      <c r="J3879" s="25" t="str">
        <f>IF(OR(E3879="",E3879="!!!",F3879="NEW"),"",COUNTBLANK(OFFSET(A$1,,,SUMPRODUCT(MAX(ROW(E$2:E3879)*(E3879=E$2:E3879)))))-COUNTBLANK(OFFSET(A$1,,,SUMPRODUCT(MAX(ROW(E$1:E3878)*(E2=E$1:E3878))))))</f>
        <v> </v>
      </c>
      <c r="K3879" s="25" t="str">
        <f>IF(OR(E3879="",E3879="!!!",F3879="NEW"),"",INDEX(J$1:J3878,SUMPRODUCT(MAX(ROW(E$1:E3878)*(E3879=E$1:E3878)))))</f>
        <v> </v>
      </c>
      <c r="L3879" s="26"/>
    </row>
    <row r="3880" spans="1:12">
      <c r="A3880" s="20" t="s">
        <v>2844</v>
      </c>
      <c r="E3880" s="21">
        <f>IF(D3880="?OLD","!!!","")</f>
        <v/>
      </c>
      <c r="F3880" s="22" t="str">
        <f>IF(OR(E3880="",E3880="!!!"),"",IF(NOT(ISNA(VLOOKUP(E3880,E$1:E3879,1,FALSE()))),"OLD",IF(AND(E3880&lt;&gt;"",E3880&lt;&gt;"!!!"),"NEW","")))</f>
        <v> </v>
      </c>
      <c r="G3880" s="23" t="str">
        <f>IF(OR(E3880="",E3880="!!!"),"",IF(OR(J3880=0,AND(J3880=1,K3880=1),AND(J3880=1,I3880="SBJ"),AND(J3880=1,I3880=0)),"?IN_FOCUS",IF(J3880&lt;=2,"?ACTIVATED",IF(J3880&lt;&gt;"","?FAMILIAR",IF(F3880="NEW",IF(ISNA(VLOOKUP(E3880,#REF!,1,FALSE())),"?TYPE_IDENTIFIABLE","?REFERENTIAL"),"_")))))</f>
        <v> </v>
      </c>
      <c r="H3880" s="24" t="str">
        <f>IF(J3880&lt;&gt;1,"",IF(I3880="SBJ","CB","?"))</f>
        <v> </v>
      </c>
      <c r="I3880" s="25" t="str">
        <f>IF(OR(E3880="",E3880="!!!",F3880="NEW"),"",INDEX(B3879:B$2,-1+SUMPRODUCT(MAX(ROW(E3879:E$2)*(E3880=E3879:E$2)))))</f>
        <v> </v>
      </c>
      <c r="J3880" s="25" t="str">
        <f>IF(OR(E3880="",E3880="!!!",F3880="NEW"),"",COUNTBLANK(OFFSET(A$1,,,SUMPRODUCT(MAX(ROW(E$2:E3880)*(E3880=E$2:E3880)))))-COUNTBLANK(OFFSET(A$1,,,SUMPRODUCT(MAX(ROW(E$1:E3879)*(E2=E$1:E3879))))))</f>
        <v> </v>
      </c>
      <c r="K3880" s="25" t="str">
        <f>IF(OR(E3880="",E3880="!!!",F3880="NEW"),"",INDEX(J$1:J3879,SUMPRODUCT(MAX(ROW(E$1:E3879)*(E3880=E$1:E3879)))))</f>
        <v> </v>
      </c>
      <c r="L3880" s="26"/>
    </row>
    <row r="3881" spans="1:12">
      <c r="A3881" s="20" t="s">
        <v>2845</v>
      </c>
      <c r="E3881" s="21">
        <f>IF(D3881="?OLD","!!!","")</f>
        <v/>
      </c>
      <c r="F3881" s="22" t="str">
        <f>IF(OR(E3881="",E3881="!!!"),"",IF(NOT(ISNA(VLOOKUP(E3881,E$1:E3880,1,FALSE()))),"OLD",IF(AND(E3881&lt;&gt;"",E3881&lt;&gt;"!!!"),"NEW","")))</f>
        <v> </v>
      </c>
      <c r="G3881" s="23" t="str">
        <f>IF(OR(E3881="",E3881="!!!"),"",IF(OR(J3881=0,AND(J3881=1,K3881=1),AND(J3881=1,I3881="SBJ"),AND(J3881=1,I3881=0)),"?IN_FOCUS",IF(J3881&lt;=2,"?ACTIVATED",IF(J3881&lt;&gt;"","?FAMILIAR",IF(F3881="NEW",IF(ISNA(VLOOKUP(E3881,#REF!,1,FALSE())),"?TYPE_IDENTIFIABLE","?REFERENTIAL"),"_")))))</f>
        <v> </v>
      </c>
      <c r="H3881" s="24" t="str">
        <f>IF(J3881&lt;&gt;1,"",IF(I3881="SBJ","CB","?"))</f>
        <v> </v>
      </c>
      <c r="I3881" s="25" t="str">
        <f>IF(OR(E3881="",E3881="!!!",F3881="NEW"),"",INDEX(B3880:B$2,-1+SUMPRODUCT(MAX(ROW(E3880:E$2)*(E3881=E3880:E$2)))))</f>
        <v> </v>
      </c>
      <c r="J3881" s="25" t="str">
        <f>IF(OR(E3881="",E3881="!!!",F3881="NEW"),"",COUNTBLANK(OFFSET(A$1,,,SUMPRODUCT(MAX(ROW(E$2:E3881)*(E3881=E$2:E3881)))))-COUNTBLANK(OFFSET(A$1,,,SUMPRODUCT(MAX(ROW(E$1:E3880)*(E2=E$1:E3880))))))</f>
        <v> </v>
      </c>
      <c r="K3881" s="25" t="str">
        <f>IF(OR(E3881="",E3881="!!!",F3881="NEW"),"",INDEX(J$1:J3880,SUMPRODUCT(MAX(ROW(E$1:E3880)*(E3881=E$1:E3880)))))</f>
        <v> </v>
      </c>
      <c r="L3881" s="26"/>
    </row>
    <row r="3882" spans="1:12">
      <c r="A3882" s="20" t="s">
        <v>2846</v>
      </c>
      <c r="B3882" s="27" t="s">
        <v>1132</v>
      </c>
      <c r="C3882" s="27" t="s">
        <v>1156</v>
      </c>
      <c r="D3882" s="27" t="s">
        <v>1105</v>
      </c>
      <c r="E3882" s="21">
        <f>IF(D3882="?OLD","!!!","")</f>
        <v/>
      </c>
      <c r="F3882" s="22" t="str">
        <f>IF(OR(E3882="",E3882="!!!"),"",IF(NOT(ISNA(VLOOKUP(E3882,E$1:E3881,1,FALSE()))),"OLD",IF(AND(E3882&lt;&gt;"",E3882&lt;&gt;"!!!"),"NEW","")))</f>
        <v> </v>
      </c>
      <c r="G3882" s="23" t="str">
        <f>IF(OR(E3882="",E3882="!!!"),"",IF(OR(J3882=0,AND(J3882=1,K3882=1),AND(J3882=1,I3882="SBJ"),AND(J3882=1,I3882=0)),"?IN_FOCUS",IF(J3882&lt;=2,"?ACTIVATED",IF(J3882&lt;&gt;"","?FAMILIAR",IF(F3882="NEW",IF(ISNA(VLOOKUP(E3882,#REF!,1,FALSE())),"?TYPE_IDENTIFIABLE","?REFERENTIAL"),"_")))))</f>
        <v> </v>
      </c>
      <c r="H3882" s="24" t="str">
        <f>IF(J3882&lt;&gt;1,"",IF(I3882="SBJ","CB","?"))</f>
        <v> </v>
      </c>
      <c r="I3882" s="25" t="str">
        <f>IF(OR(E3882="",E3882="!!!",F3882="NEW"),"",INDEX(B3881:B$2,-1+SUMPRODUCT(MAX(ROW(E3881:E$2)*(E3882=E3881:E$2)))))</f>
        <v> </v>
      </c>
      <c r="J3882" s="25" t="str">
        <f>IF(OR(E3882="",E3882="!!!",F3882="NEW"),"",COUNTBLANK(OFFSET(A$1,,,SUMPRODUCT(MAX(ROW(E$2:E3882)*(E3882=E$2:E3882)))))-COUNTBLANK(OFFSET(A$1,,,SUMPRODUCT(MAX(ROW(E$1:E3881)*(E2=E$1:E3881))))))</f>
        <v> </v>
      </c>
      <c r="K3882" s="25" t="str">
        <f>IF(OR(E3882="",E3882="!!!",F3882="NEW"),"",INDEX(J$1:J3881,SUMPRODUCT(MAX(ROW(E$1:E3881)*(E3882=E$1:E3881)))))</f>
        <v> </v>
      </c>
      <c r="L3882" s="26"/>
    </row>
    <row r="3883" spans="1:12">
      <c r="A3883" s="20" t="s">
        <v>1145</v>
      </c>
      <c r="E3883" s="21">
        <f>IF(D3883="?OLD","!!!","")</f>
        <v/>
      </c>
      <c r="F3883" s="22" t="str">
        <f>IF(OR(E3883="",E3883="!!!"),"",IF(NOT(ISNA(VLOOKUP(E3883,E$1:E3882,1,FALSE()))),"OLD",IF(AND(E3883&lt;&gt;"",E3883&lt;&gt;"!!!"),"NEW","")))</f>
        <v> </v>
      </c>
      <c r="G3883" s="23" t="str">
        <f>IF(OR(E3883="",E3883="!!!"),"",IF(OR(J3883=0,AND(J3883=1,K3883=1),AND(J3883=1,I3883="SBJ"),AND(J3883=1,I3883=0)),"?IN_FOCUS",IF(J3883&lt;=2,"?ACTIVATED",IF(J3883&lt;&gt;"","?FAMILIAR",IF(F3883="NEW",IF(ISNA(VLOOKUP(E3883,#REF!,1,FALSE())),"?TYPE_IDENTIFIABLE","?REFERENTIAL"),"_")))))</f>
        <v> </v>
      </c>
      <c r="H3883" s="24" t="str">
        <f>IF(J3883&lt;&gt;1,"",IF(I3883="SBJ","CB","?"))</f>
        <v> </v>
      </c>
      <c r="I3883" s="25" t="str">
        <f>IF(OR(E3883="",E3883="!!!",F3883="NEW"),"",INDEX(B3882:B$2,-1+SUMPRODUCT(MAX(ROW(E3882:E$2)*(E3883=E3882:E$2)))))</f>
        <v> </v>
      </c>
      <c r="J3883" s="25" t="str">
        <f>IF(OR(E3883="",E3883="!!!",F3883="NEW"),"",COUNTBLANK(OFFSET(A$1,,,SUMPRODUCT(MAX(ROW(E$2:E3883)*(E3883=E$2:E3883)))))-COUNTBLANK(OFFSET(A$1,,,SUMPRODUCT(MAX(ROW(E$1:E3882)*(E2=E$1:E3882))))))</f>
        <v> </v>
      </c>
      <c r="K3883" s="25" t="str">
        <f>IF(OR(E3883="",E3883="!!!",F3883="NEW"),"",INDEX(J$1:J3882,SUMPRODUCT(MAX(ROW(E$1:E3882)*(E3883=E$1:E3882)))))</f>
        <v> </v>
      </c>
      <c r="L3883" s="26"/>
    </row>
    <row r="3884" spans="1:12">
      <c r="A3884" s="20"/>
    </row>
    <row r="3885" spans="1:12">
      <c r="A3885" s="20" t="s">
        <v>2847</v>
      </c>
    </row>
    <row r="3886" spans="1:12">
      <c r="A3886" s="20" t="s">
        <v>1928</v>
      </c>
      <c r="E3886" s="21">
        <f>IF(D3886="?OLD","!!!","")</f>
        <v/>
      </c>
      <c r="F3886" s="22" t="str">
        <f>IF(OR(E3886="",E3886="!!!"),"",IF(NOT(ISNA(VLOOKUP(E3886,E$1:E3885,1,FALSE()))),"OLD",IF(AND(E3886&lt;&gt;"",E3886&lt;&gt;"!!!"),"NEW","")))</f>
        <v> </v>
      </c>
      <c r="G3886" s="23" t="str">
        <f>IF(OR(E3886="",E3886="!!!"),"",IF(OR(J3886=0,AND(J3886=1,K3886=1),AND(J3886=1,I3886="SBJ"),AND(J3886=1,I3886=0)),"?IN_FOCUS",IF(J3886&lt;=2,"?ACTIVATED",IF(J3886&lt;&gt;"","?FAMILIAR",IF(F3886="NEW",IF(ISNA(VLOOKUP(E3886,#REF!,1,FALSE())),"?TYPE_IDENTIFIABLE","?REFERENTIAL"),"_")))))</f>
        <v> </v>
      </c>
      <c r="H3886" s="24" t="str">
        <f>IF(J3886&lt;&gt;1,"",IF(I3886="SBJ","CB","?"))</f>
        <v> </v>
      </c>
      <c r="I3886" s="25" t="str">
        <f>IF(OR(E3886="",E3886="!!!",F3886="NEW"),"",INDEX(B3885:B$2,-1+SUMPRODUCT(MAX(ROW(E3885:E$2)*(E3886=E3885:E$2)))))</f>
        <v> </v>
      </c>
      <c r="J3886" s="25" t="str">
        <f>IF(OR(E3886="",E3886="!!!",F3886="NEW"),"",COUNTBLANK(OFFSET(A$1,,,SUMPRODUCT(MAX(ROW(E$2:E3886)*(E3886=E$2:E3886)))))-COUNTBLANK(OFFSET(A$1,,,SUMPRODUCT(MAX(ROW(E$1:E3885)*(E2=E$1:E3885))))))</f>
        <v> </v>
      </c>
      <c r="K3886" s="25" t="str">
        <f>IF(OR(E3886="",E3886="!!!",F3886="NEW"),"",INDEX(J$1:J3885,SUMPRODUCT(MAX(ROW(E$1:E3885)*(E3886=E$1:E3885)))))</f>
        <v> </v>
      </c>
      <c r="L3886" s="26"/>
    </row>
    <row r="3887" spans="1:12">
      <c r="A3887" s="20" t="s">
        <v>2792</v>
      </c>
      <c r="E3887" s="21">
        <f>IF(D3887="?OLD","!!!","")</f>
        <v/>
      </c>
      <c r="F3887" s="22" t="str">
        <f>IF(OR(E3887="",E3887="!!!"),"",IF(NOT(ISNA(VLOOKUP(E3887,E$1:E3886,1,FALSE()))),"OLD",IF(AND(E3887&lt;&gt;"",E3887&lt;&gt;"!!!"),"NEW","")))</f>
        <v> </v>
      </c>
      <c r="G3887" s="23" t="str">
        <f>IF(OR(E3887="",E3887="!!!"),"",IF(OR(J3887=0,AND(J3887=1,K3887=1),AND(J3887=1,I3887="SBJ"),AND(J3887=1,I3887=0)),"?IN_FOCUS",IF(J3887&lt;=2,"?ACTIVATED",IF(J3887&lt;&gt;"","?FAMILIAR",IF(F3887="NEW",IF(ISNA(VLOOKUP(E3887,#REF!,1,FALSE())),"?TYPE_IDENTIFIABLE","?REFERENTIAL"),"_")))))</f>
        <v> </v>
      </c>
      <c r="H3887" s="24" t="str">
        <f>IF(J3887&lt;&gt;1,"",IF(I3887="SBJ","CB","?"))</f>
        <v> </v>
      </c>
      <c r="I3887" s="25" t="str">
        <f>IF(OR(E3887="",E3887="!!!",F3887="NEW"),"",INDEX(B3886:B$2,-1+SUMPRODUCT(MAX(ROW(E3886:E$2)*(E3887=E3886:E$2)))))</f>
        <v> </v>
      </c>
      <c r="J3887" s="25" t="str">
        <f>IF(OR(E3887="",E3887="!!!",F3887="NEW"),"",COUNTBLANK(OFFSET(A$1,,,SUMPRODUCT(MAX(ROW(E$2:E3887)*(E3887=E$2:E3887)))))-COUNTBLANK(OFFSET(A$1,,,SUMPRODUCT(MAX(ROW(E$1:E3886)*(E2=E$1:E3886))))))</f>
        <v> </v>
      </c>
      <c r="K3887" s="25" t="str">
        <f>IF(OR(E3887="",E3887="!!!",F3887="NEW"),"",INDEX(J$1:J3886,SUMPRODUCT(MAX(ROW(E$1:E3886)*(E3887=E$1:E3886)))))</f>
        <v> </v>
      </c>
      <c r="L3887" s="26"/>
    </row>
    <row r="3888" spans="1:12">
      <c r="A3888" s="20" t="s">
        <v>1123</v>
      </c>
      <c r="E3888" s="21">
        <f>IF(D3888="?OLD","!!!","")</f>
        <v/>
      </c>
      <c r="F3888" s="22" t="str">
        <f>IF(OR(E3888="",E3888="!!!"),"",IF(NOT(ISNA(VLOOKUP(E3888,E$1:E3887,1,FALSE()))),"OLD",IF(AND(E3888&lt;&gt;"",E3888&lt;&gt;"!!!"),"NEW","")))</f>
        <v> </v>
      </c>
      <c r="G3888" s="23" t="str">
        <f>IF(OR(E3888="",E3888="!!!"),"",IF(OR(J3888=0,AND(J3888=1,K3888=1),AND(J3888=1,I3888="SBJ"),AND(J3888=1,I3888=0)),"?IN_FOCUS",IF(J3888&lt;=2,"?ACTIVATED",IF(J3888&lt;&gt;"","?FAMILIAR",IF(F3888="NEW",IF(ISNA(VLOOKUP(E3888,#REF!,1,FALSE())),"?TYPE_IDENTIFIABLE","?REFERENTIAL"),"_")))))</f>
        <v> </v>
      </c>
      <c r="H3888" s="24" t="str">
        <f>IF(J3888&lt;&gt;1,"",IF(I3888="SBJ","CB","?"))</f>
        <v> </v>
      </c>
      <c r="I3888" s="25" t="str">
        <f>IF(OR(E3888="",E3888="!!!",F3888="NEW"),"",INDEX(B3887:B$2,-1+SUMPRODUCT(MAX(ROW(E3887:E$2)*(E3888=E3887:E$2)))))</f>
        <v> </v>
      </c>
      <c r="J3888" s="25" t="str">
        <f>IF(OR(E3888="",E3888="!!!",F3888="NEW"),"",COUNTBLANK(OFFSET(A$1,,,SUMPRODUCT(MAX(ROW(E$2:E3888)*(E3888=E$2:E3888)))))-COUNTBLANK(OFFSET(A$1,,,SUMPRODUCT(MAX(ROW(E$1:E3887)*(E2=E$1:E3887))))))</f>
        <v> </v>
      </c>
      <c r="K3888" s="25" t="str">
        <f>IF(OR(E3888="",E3888="!!!",F3888="NEW"),"",INDEX(J$1:J3887,SUMPRODUCT(MAX(ROW(E$1:E3887)*(E3888=E$1:E3887)))))</f>
        <v> </v>
      </c>
      <c r="L3888" s="26"/>
    </row>
    <row r="3889" spans="1:12">
      <c r="A3889" s="20" t="s">
        <v>2848</v>
      </c>
      <c r="E3889" s="21">
        <f>IF(D3889="?OLD","!!!","")</f>
        <v/>
      </c>
      <c r="F3889" s="22" t="str">
        <f>IF(OR(E3889="",E3889="!!!"),"",IF(NOT(ISNA(VLOOKUP(E3889,E$1:E3888,1,FALSE()))),"OLD",IF(AND(E3889&lt;&gt;"",E3889&lt;&gt;"!!!"),"NEW","")))</f>
        <v> </v>
      </c>
      <c r="G3889" s="23" t="str">
        <f>IF(OR(E3889="",E3889="!!!"),"",IF(OR(J3889=0,AND(J3889=1,K3889=1),AND(J3889=1,I3889="SBJ"),AND(J3889=1,I3889=0)),"?IN_FOCUS",IF(J3889&lt;=2,"?ACTIVATED",IF(J3889&lt;&gt;"","?FAMILIAR",IF(F3889="NEW",IF(ISNA(VLOOKUP(E3889,#REF!,1,FALSE())),"?TYPE_IDENTIFIABLE","?REFERENTIAL"),"_")))))</f>
        <v> </v>
      </c>
      <c r="H3889" s="24" t="str">
        <f>IF(J3889&lt;&gt;1,"",IF(I3889="SBJ","CB","?"))</f>
        <v> </v>
      </c>
      <c r="I3889" s="25" t="str">
        <f>IF(OR(E3889="",E3889="!!!",F3889="NEW"),"",INDEX(B3888:B$2,-1+SUMPRODUCT(MAX(ROW(E3888:E$2)*(E3889=E3888:E$2)))))</f>
        <v> </v>
      </c>
      <c r="J3889" s="25" t="str">
        <f>IF(OR(E3889="",E3889="!!!",F3889="NEW"),"",COUNTBLANK(OFFSET(A$1,,,SUMPRODUCT(MAX(ROW(E$2:E3889)*(E3889=E$2:E3889)))))-COUNTBLANK(OFFSET(A$1,,,SUMPRODUCT(MAX(ROW(E$1:E3888)*(E2=E$1:E3888))))))</f>
        <v> </v>
      </c>
      <c r="K3889" s="25" t="str">
        <f>IF(OR(E3889="",E3889="!!!",F3889="NEW"),"",INDEX(J$1:J3888,SUMPRODUCT(MAX(ROW(E$1:E3888)*(E3889=E$1:E3888)))))</f>
        <v> </v>
      </c>
      <c r="L3889" s="26"/>
    </row>
    <row r="3890" spans="1:12">
      <c r="A3890" s="20" t="s">
        <v>2849</v>
      </c>
      <c r="E3890" s="21">
        <f>IF(D3890="?OLD","!!!","")</f>
        <v/>
      </c>
      <c r="F3890" s="22" t="str">
        <f>IF(OR(E3890="",E3890="!!!"),"",IF(NOT(ISNA(VLOOKUP(E3890,E$1:E3889,1,FALSE()))),"OLD",IF(AND(E3890&lt;&gt;"",E3890&lt;&gt;"!!!"),"NEW","")))</f>
        <v> </v>
      </c>
      <c r="G3890" s="23" t="str">
        <f>IF(OR(E3890="",E3890="!!!"),"",IF(OR(J3890=0,AND(J3890=1,K3890=1),AND(J3890=1,I3890="SBJ"),AND(J3890=1,I3890=0)),"?IN_FOCUS",IF(J3890&lt;=2,"?ACTIVATED",IF(J3890&lt;&gt;"","?FAMILIAR",IF(F3890="NEW",IF(ISNA(VLOOKUP(E3890,#REF!,1,FALSE())),"?TYPE_IDENTIFIABLE","?REFERENTIAL"),"_")))))</f>
        <v> </v>
      </c>
      <c r="H3890" s="24" t="str">
        <f>IF(J3890&lt;&gt;1,"",IF(I3890="SBJ","CB","?"))</f>
        <v> </v>
      </c>
      <c r="I3890" s="25" t="str">
        <f>IF(OR(E3890="",E3890="!!!",F3890="NEW"),"",INDEX(B3889:B$2,-1+SUMPRODUCT(MAX(ROW(E3889:E$2)*(E3890=E3889:E$2)))))</f>
        <v> </v>
      </c>
      <c r="J3890" s="25" t="str">
        <f>IF(OR(E3890="",E3890="!!!",F3890="NEW"),"",COUNTBLANK(OFFSET(A$1,,,SUMPRODUCT(MAX(ROW(E$2:E3890)*(E3890=E$2:E3890)))))-COUNTBLANK(OFFSET(A$1,,,SUMPRODUCT(MAX(ROW(E$1:E3889)*(E2=E$1:E3889))))))</f>
        <v> </v>
      </c>
      <c r="K3890" s="25" t="str">
        <f>IF(OR(E3890="",E3890="!!!",F3890="NEW"),"",INDEX(J$1:J3889,SUMPRODUCT(MAX(ROW(E$1:E3889)*(E3890=E$1:E3889)))))</f>
        <v> </v>
      </c>
      <c r="L3890" s="26"/>
    </row>
    <row r="3891" spans="1:12">
      <c r="A3891" s="20" t="s">
        <v>2850</v>
      </c>
      <c r="E3891" s="21">
        <f>IF(D3891="?OLD","!!!","")</f>
        <v/>
      </c>
      <c r="F3891" s="22" t="str">
        <f>IF(OR(E3891="",E3891="!!!"),"",IF(NOT(ISNA(VLOOKUP(E3891,E$1:E3890,1,FALSE()))),"OLD",IF(AND(E3891&lt;&gt;"",E3891&lt;&gt;"!!!"),"NEW","")))</f>
        <v> </v>
      </c>
      <c r="G3891" s="23" t="str">
        <f>IF(OR(E3891="",E3891="!!!"),"",IF(OR(J3891=0,AND(J3891=1,K3891=1),AND(J3891=1,I3891="SBJ"),AND(J3891=1,I3891=0)),"?IN_FOCUS",IF(J3891&lt;=2,"?ACTIVATED",IF(J3891&lt;&gt;"","?FAMILIAR",IF(F3891="NEW",IF(ISNA(VLOOKUP(E3891,#REF!,1,FALSE())),"?TYPE_IDENTIFIABLE","?REFERENTIAL"),"_")))))</f>
        <v> </v>
      </c>
      <c r="H3891" s="24" t="str">
        <f>IF(J3891&lt;&gt;1,"",IF(I3891="SBJ","CB","?"))</f>
        <v> </v>
      </c>
      <c r="I3891" s="25" t="str">
        <f>IF(OR(E3891="",E3891="!!!",F3891="NEW"),"",INDEX(B3890:B$2,-1+SUMPRODUCT(MAX(ROW(E3890:E$2)*(E3891=E3890:E$2)))))</f>
        <v> </v>
      </c>
      <c r="J3891" s="25" t="str">
        <f>IF(OR(E3891="",E3891="!!!",F3891="NEW"),"",COUNTBLANK(OFFSET(A$1,,,SUMPRODUCT(MAX(ROW(E$2:E3891)*(E3891=E$2:E3891)))))-COUNTBLANK(OFFSET(A$1,,,SUMPRODUCT(MAX(ROW(E$1:E3890)*(E2=E$1:E3890))))))</f>
        <v> </v>
      </c>
      <c r="K3891" s="25" t="str">
        <f>IF(OR(E3891="",E3891="!!!",F3891="NEW"),"",INDEX(J$1:J3890,SUMPRODUCT(MAX(ROW(E$1:E3890)*(E3891=E$1:E3890)))))</f>
        <v> </v>
      </c>
      <c r="L3891" s="26"/>
    </row>
    <row r="3892" spans="1:12">
      <c r="A3892" s="20" t="s">
        <v>1123</v>
      </c>
      <c r="E3892" s="21">
        <f>IF(D3892="?OLD","!!!","")</f>
        <v/>
      </c>
      <c r="F3892" s="22" t="str">
        <f>IF(OR(E3892="",E3892="!!!"),"",IF(NOT(ISNA(VLOOKUP(E3892,E$1:E3891,1,FALSE()))),"OLD",IF(AND(E3892&lt;&gt;"",E3892&lt;&gt;"!!!"),"NEW","")))</f>
        <v> </v>
      </c>
      <c r="G3892" s="23" t="str">
        <f>IF(OR(E3892="",E3892="!!!"),"",IF(OR(J3892=0,AND(J3892=1,K3892=1),AND(J3892=1,I3892="SBJ"),AND(J3892=1,I3892=0)),"?IN_FOCUS",IF(J3892&lt;=2,"?ACTIVATED",IF(J3892&lt;&gt;"","?FAMILIAR",IF(F3892="NEW",IF(ISNA(VLOOKUP(E3892,#REF!,1,FALSE())),"?TYPE_IDENTIFIABLE","?REFERENTIAL"),"_")))))</f>
        <v> </v>
      </c>
      <c r="H3892" s="24" t="str">
        <f>IF(J3892&lt;&gt;1,"",IF(I3892="SBJ","CB","?"))</f>
        <v> </v>
      </c>
      <c r="I3892" s="25" t="str">
        <f>IF(OR(E3892="",E3892="!!!",F3892="NEW"),"",INDEX(B3891:B$2,-1+SUMPRODUCT(MAX(ROW(E3891:E$2)*(E3892=E3891:E$2)))))</f>
        <v> </v>
      </c>
      <c r="J3892" s="25" t="str">
        <f>IF(OR(E3892="",E3892="!!!",F3892="NEW"),"",COUNTBLANK(OFFSET(A$1,,,SUMPRODUCT(MAX(ROW(E$2:E3892)*(E3892=E$2:E3892)))))-COUNTBLANK(OFFSET(A$1,,,SUMPRODUCT(MAX(ROW(E$1:E3891)*(E2=E$1:E3891))))))</f>
        <v> </v>
      </c>
      <c r="K3892" s="25" t="str">
        <f>IF(OR(E3892="",E3892="!!!",F3892="NEW"),"",INDEX(J$1:J3891,SUMPRODUCT(MAX(ROW(E$1:E3891)*(E3892=E$1:E3891)))))</f>
        <v> </v>
      </c>
      <c r="L3892" s="26"/>
    </row>
    <row r="3893" spans="1:12">
      <c r="A3893" s="20" t="s">
        <v>2851</v>
      </c>
      <c r="E3893" s="21">
        <f>IF(D3893="?OLD","!!!","")</f>
        <v/>
      </c>
      <c r="F3893" s="22" t="str">
        <f>IF(OR(E3893="",E3893="!!!"),"",IF(NOT(ISNA(VLOOKUP(E3893,E$1:E3892,1,FALSE()))),"OLD",IF(AND(E3893&lt;&gt;"",E3893&lt;&gt;"!!!"),"NEW","")))</f>
        <v> </v>
      </c>
      <c r="G3893" s="23" t="str">
        <f>IF(OR(E3893="",E3893="!!!"),"",IF(OR(J3893=0,AND(J3893=1,K3893=1),AND(J3893=1,I3893="SBJ"),AND(J3893=1,I3893=0)),"?IN_FOCUS",IF(J3893&lt;=2,"?ACTIVATED",IF(J3893&lt;&gt;"","?FAMILIAR",IF(F3893="NEW",IF(ISNA(VLOOKUP(E3893,#REF!,1,FALSE())),"?TYPE_IDENTIFIABLE","?REFERENTIAL"),"_")))))</f>
        <v> </v>
      </c>
      <c r="H3893" s="24" t="str">
        <f>IF(J3893&lt;&gt;1,"",IF(I3893="SBJ","CB","?"))</f>
        <v> </v>
      </c>
      <c r="I3893" s="25" t="str">
        <f>IF(OR(E3893="",E3893="!!!",F3893="NEW"),"",INDEX(B3892:B$2,-1+SUMPRODUCT(MAX(ROW(E3892:E$2)*(E3893=E3892:E$2)))))</f>
        <v> </v>
      </c>
      <c r="J3893" s="25" t="str">
        <f>IF(OR(E3893="",E3893="!!!",F3893="NEW"),"",COUNTBLANK(OFFSET(A$1,,,SUMPRODUCT(MAX(ROW(E$2:E3893)*(E3893=E$2:E3893)))))-COUNTBLANK(OFFSET(A$1,,,SUMPRODUCT(MAX(ROW(E$1:E3892)*(E2=E$1:E3892))))))</f>
        <v> </v>
      </c>
      <c r="K3893" s="25" t="str">
        <f>IF(OR(E3893="",E3893="!!!",F3893="NEW"),"",INDEX(J$1:J3892,SUMPRODUCT(MAX(ROW(E$1:E3892)*(E3893=E$1:E3892)))))</f>
        <v> </v>
      </c>
      <c r="L3893" s="26"/>
    </row>
    <row r="3894" spans="1:12">
      <c r="A3894" s="20" t="s">
        <v>2852</v>
      </c>
      <c r="B3894" s="27" t="s">
        <v>1149</v>
      </c>
      <c r="C3894" s="27" t="s">
        <v>1133</v>
      </c>
      <c r="E3894" s="21">
        <f>IF(D3894="?OLD","!!!","")</f>
        <v/>
      </c>
      <c r="F3894" s="22" t="str">
        <f>IF(OR(E3894="",E3894="!!!"),"",IF(NOT(ISNA(VLOOKUP(E3894,E$1:E3893,1,FALSE()))),"OLD",IF(AND(E3894&lt;&gt;"",E3894&lt;&gt;"!!!"),"NEW","")))</f>
        <v> </v>
      </c>
      <c r="G3894" s="23" t="str">
        <f>IF(OR(E3894="",E3894="!!!"),"",IF(OR(J3894=0,AND(J3894=1,K3894=1),AND(J3894=1,I3894="SBJ"),AND(J3894=1,I3894=0)),"?IN_FOCUS",IF(J3894&lt;=2,"?ACTIVATED",IF(J3894&lt;&gt;"","?FAMILIAR",IF(F3894="NEW",IF(ISNA(VLOOKUP(E3894,#REF!,1,FALSE())),"?TYPE_IDENTIFIABLE","?REFERENTIAL"),"_")))))</f>
        <v> </v>
      </c>
      <c r="H3894" s="24" t="str">
        <f>IF(J3894&lt;&gt;1,"",IF(I3894="SBJ","CB","?"))</f>
        <v> </v>
      </c>
      <c r="I3894" s="25" t="str">
        <f>IF(OR(E3894="",E3894="!!!",F3894="NEW"),"",INDEX(B3893:B$2,-1+SUMPRODUCT(MAX(ROW(E3893:E$2)*(E3894=E3893:E$2)))))</f>
        <v> </v>
      </c>
      <c r="J3894" s="25" t="str">
        <f>IF(OR(E3894="",E3894="!!!",F3894="NEW"),"",COUNTBLANK(OFFSET(A$1,,,SUMPRODUCT(MAX(ROW(E$2:E3894)*(E3894=E$2:E3894)))))-COUNTBLANK(OFFSET(A$1,,,SUMPRODUCT(MAX(ROW(E$1:E3893)*(E2=E$1:E3893))))))</f>
        <v> </v>
      </c>
      <c r="K3894" s="25" t="str">
        <f>IF(OR(E3894="",E3894="!!!",F3894="NEW"),"",INDEX(J$1:J3893,SUMPRODUCT(MAX(ROW(E$1:E3893)*(E3894=E$1:E3893)))))</f>
        <v> </v>
      </c>
      <c r="L3894" s="26"/>
    </row>
    <row r="3895" spans="1:12">
      <c r="A3895" s="20" t="s">
        <v>2853</v>
      </c>
      <c r="E3895" s="21">
        <f>IF(D3895="?OLD","!!!","")</f>
        <v/>
      </c>
      <c r="F3895" s="22" t="str">
        <f>IF(OR(E3895="",E3895="!!!"),"",IF(NOT(ISNA(VLOOKUP(E3895,E$1:E3894,1,FALSE()))),"OLD",IF(AND(E3895&lt;&gt;"",E3895&lt;&gt;"!!!"),"NEW","")))</f>
        <v> </v>
      </c>
      <c r="G3895" s="23" t="str">
        <f>IF(OR(E3895="",E3895="!!!"),"",IF(OR(J3895=0,AND(J3895=1,K3895=1),AND(J3895=1,I3895="SBJ"),AND(J3895=1,I3895=0)),"?IN_FOCUS",IF(J3895&lt;=2,"?ACTIVATED",IF(J3895&lt;&gt;"","?FAMILIAR",IF(F3895="NEW",IF(ISNA(VLOOKUP(E3895,#REF!,1,FALSE())),"?TYPE_IDENTIFIABLE","?REFERENTIAL"),"_")))))</f>
        <v> </v>
      </c>
      <c r="H3895" s="24" t="str">
        <f>IF(J3895&lt;&gt;1,"",IF(I3895="SBJ","CB","?"))</f>
        <v> </v>
      </c>
      <c r="I3895" s="25" t="str">
        <f>IF(OR(E3895="",E3895="!!!",F3895="NEW"),"",INDEX(B3894:B$2,-1+SUMPRODUCT(MAX(ROW(E3894:E$2)*(E3895=E3894:E$2)))))</f>
        <v> </v>
      </c>
      <c r="J3895" s="25" t="str">
        <f>IF(OR(E3895="",E3895="!!!",F3895="NEW"),"",COUNTBLANK(OFFSET(A$1,,,SUMPRODUCT(MAX(ROW(E$2:E3895)*(E3895=E$2:E3895)))))-COUNTBLANK(OFFSET(A$1,,,SUMPRODUCT(MAX(ROW(E$1:E3894)*(E2=E$1:E3894))))))</f>
        <v> </v>
      </c>
      <c r="K3895" s="25" t="str">
        <f>IF(OR(E3895="",E3895="!!!",F3895="NEW"),"",INDEX(J$1:J3894,SUMPRODUCT(MAX(ROW(E$1:E3894)*(E3895=E$1:E3894)))))</f>
        <v> </v>
      </c>
      <c r="L3895" s="26"/>
    </row>
    <row r="3896" spans="1:12">
      <c r="A3896" s="20" t="s">
        <v>1145</v>
      </c>
      <c r="E3896" s="21">
        <f>IF(D3896="?OLD","!!!","")</f>
        <v/>
      </c>
      <c r="F3896" s="22" t="str">
        <f>IF(OR(E3896="",E3896="!!!"),"",IF(NOT(ISNA(VLOOKUP(E3896,E$1:E3895,1,FALSE()))),"OLD",IF(AND(E3896&lt;&gt;"",E3896&lt;&gt;"!!!"),"NEW","")))</f>
        <v> </v>
      </c>
      <c r="G3896" s="23" t="str">
        <f>IF(OR(E3896="",E3896="!!!"),"",IF(OR(J3896=0,AND(J3896=1,K3896=1),AND(J3896=1,I3896="SBJ"),AND(J3896=1,I3896=0)),"?IN_FOCUS",IF(J3896&lt;=2,"?ACTIVATED",IF(J3896&lt;&gt;"","?FAMILIAR",IF(F3896="NEW",IF(ISNA(VLOOKUP(E3896,#REF!,1,FALSE())),"?TYPE_IDENTIFIABLE","?REFERENTIAL"),"_")))))</f>
        <v> </v>
      </c>
      <c r="H3896" s="24" t="str">
        <f>IF(J3896&lt;&gt;1,"",IF(I3896="SBJ","CB","?"))</f>
        <v> </v>
      </c>
      <c r="I3896" s="25" t="str">
        <f>IF(OR(E3896="",E3896="!!!",F3896="NEW"),"",INDEX(B3895:B$2,-1+SUMPRODUCT(MAX(ROW(E3895:E$2)*(E3896=E3895:E$2)))))</f>
        <v> </v>
      </c>
      <c r="J3896" s="25" t="str">
        <f>IF(OR(E3896="",E3896="!!!",F3896="NEW"),"",COUNTBLANK(OFFSET(A$1,,,SUMPRODUCT(MAX(ROW(E$2:E3896)*(E3896=E$2:E3896)))))-COUNTBLANK(OFFSET(A$1,,,SUMPRODUCT(MAX(ROW(E$1:E3895)*(E2=E$1:E3895))))))</f>
        <v> </v>
      </c>
      <c r="K3896" s="25" t="str">
        <f>IF(OR(E3896="",E3896="!!!",F3896="NEW"),"",INDEX(J$1:J3895,SUMPRODUCT(MAX(ROW(E$1:E3895)*(E3896=E$1:E3895)))))</f>
        <v> </v>
      </c>
      <c r="L3896" s="26"/>
    </row>
    <row r="3897" spans="1:12">
      <c r="A3897" s="20"/>
    </row>
    <row r="3898" spans="1:12">
      <c r="A3898" s="20" t="s">
        <v>2854</v>
      </c>
    </row>
    <row r="3899" spans="1:12">
      <c r="A3899" s="20" t="s">
        <v>2855</v>
      </c>
      <c r="E3899" s="21">
        <f>IF(D3899="?OLD","!!!","")</f>
        <v/>
      </c>
      <c r="F3899" s="22" t="str">
        <f>IF(OR(E3899="",E3899="!!!"),"",IF(NOT(ISNA(VLOOKUP(E3899,E$1:E3898,1,FALSE()))),"OLD",IF(AND(E3899&lt;&gt;"",E3899&lt;&gt;"!!!"),"NEW","")))</f>
        <v> </v>
      </c>
      <c r="G3899" s="23" t="str">
        <f>IF(OR(E3899="",E3899="!!!"),"",IF(OR(J3899=0,AND(J3899=1,K3899=1),AND(J3899=1,I3899="SBJ"),AND(J3899=1,I3899=0)),"?IN_FOCUS",IF(J3899&lt;=2,"?ACTIVATED",IF(J3899&lt;&gt;"","?FAMILIAR",IF(F3899="NEW",IF(ISNA(VLOOKUP(E3899,#REF!,1,FALSE())),"?TYPE_IDENTIFIABLE","?REFERENTIAL"),"_")))))</f>
        <v> </v>
      </c>
      <c r="H3899" s="24" t="str">
        <f>IF(J3899&lt;&gt;1,"",IF(I3899="SBJ","CB","?"))</f>
        <v> </v>
      </c>
      <c r="I3899" s="25" t="str">
        <f>IF(OR(E3899="",E3899="!!!",F3899="NEW"),"",INDEX(B3898:B$2,-1+SUMPRODUCT(MAX(ROW(E3898:E$2)*(E3899=E3898:E$2)))))</f>
        <v> </v>
      </c>
      <c r="J3899" s="25" t="str">
        <f>IF(OR(E3899="",E3899="!!!",F3899="NEW"),"",COUNTBLANK(OFFSET(A$1,,,SUMPRODUCT(MAX(ROW(E$2:E3899)*(E3899=E$2:E3899)))))-COUNTBLANK(OFFSET(A$1,,,SUMPRODUCT(MAX(ROW(E$1:E3898)*(E2=E$1:E3898))))))</f>
        <v> </v>
      </c>
      <c r="K3899" s="25" t="str">
        <f>IF(OR(E3899="",E3899="!!!",F3899="NEW"),"",INDEX(J$1:J3898,SUMPRODUCT(MAX(ROW(E$1:E3898)*(E3899=E$1:E3898)))))</f>
        <v> </v>
      </c>
      <c r="L3899" s="26"/>
    </row>
    <row r="3900" spans="1:12">
      <c r="A3900" s="20" t="s">
        <v>1470</v>
      </c>
      <c r="E3900" s="21">
        <f>IF(D3900="?OLD","!!!","")</f>
        <v/>
      </c>
      <c r="F3900" s="22" t="str">
        <f>IF(OR(E3900="",E3900="!!!"),"",IF(NOT(ISNA(VLOOKUP(E3900,E$1:E3899,1,FALSE()))),"OLD",IF(AND(E3900&lt;&gt;"",E3900&lt;&gt;"!!!"),"NEW","")))</f>
        <v> </v>
      </c>
      <c r="G3900" s="23" t="str">
        <f>IF(OR(E3900="",E3900="!!!"),"",IF(OR(J3900=0,AND(J3900=1,K3900=1),AND(J3900=1,I3900="SBJ"),AND(J3900=1,I3900=0)),"?IN_FOCUS",IF(J3900&lt;=2,"?ACTIVATED",IF(J3900&lt;&gt;"","?FAMILIAR",IF(F3900="NEW",IF(ISNA(VLOOKUP(E3900,#REF!,1,FALSE())),"?TYPE_IDENTIFIABLE","?REFERENTIAL"),"_")))))</f>
        <v> </v>
      </c>
      <c r="H3900" s="24" t="str">
        <f>IF(J3900&lt;&gt;1,"",IF(I3900="SBJ","CB","?"))</f>
        <v> </v>
      </c>
      <c r="I3900" s="25" t="str">
        <f>IF(OR(E3900="",E3900="!!!",F3900="NEW"),"",INDEX(B3899:B$2,-1+SUMPRODUCT(MAX(ROW(E3899:E$2)*(E3900=E3899:E$2)))))</f>
        <v> </v>
      </c>
      <c r="J3900" s="25" t="str">
        <f>IF(OR(E3900="",E3900="!!!",F3900="NEW"),"",COUNTBLANK(OFFSET(A$1,,,SUMPRODUCT(MAX(ROW(E$2:E3900)*(E3900=E$2:E3900)))))-COUNTBLANK(OFFSET(A$1,,,SUMPRODUCT(MAX(ROW(E$1:E3899)*(E2=E$1:E3899))))))</f>
        <v> </v>
      </c>
      <c r="K3900" s="25" t="str">
        <f>IF(OR(E3900="",E3900="!!!",F3900="NEW"),"",INDEX(J$1:J3899,SUMPRODUCT(MAX(ROW(E$1:E3899)*(E3900=E$1:E3899)))))</f>
        <v> </v>
      </c>
      <c r="L3900" s="26"/>
    </row>
    <row r="3901" spans="1:12">
      <c r="A3901" s="20" t="s">
        <v>1145</v>
      </c>
      <c r="E3901" s="21">
        <f>IF(D3901="?OLD","!!!","")</f>
        <v/>
      </c>
      <c r="F3901" s="22" t="str">
        <f>IF(OR(E3901="",E3901="!!!"),"",IF(NOT(ISNA(VLOOKUP(E3901,E$1:E3900,1,FALSE()))),"OLD",IF(AND(E3901&lt;&gt;"",E3901&lt;&gt;"!!!"),"NEW","")))</f>
        <v> </v>
      </c>
      <c r="G3901" s="23" t="str">
        <f>IF(OR(E3901="",E3901="!!!"),"",IF(OR(J3901=0,AND(J3901=1,K3901=1),AND(J3901=1,I3901="SBJ"),AND(J3901=1,I3901=0)),"?IN_FOCUS",IF(J3901&lt;=2,"?ACTIVATED",IF(J3901&lt;&gt;"","?FAMILIAR",IF(F3901="NEW",IF(ISNA(VLOOKUP(E3901,#REF!,1,FALSE())),"?TYPE_IDENTIFIABLE","?REFERENTIAL"),"_")))))</f>
        <v> </v>
      </c>
      <c r="H3901" s="24" t="str">
        <f>IF(J3901&lt;&gt;1,"",IF(I3901="SBJ","CB","?"))</f>
        <v> </v>
      </c>
      <c r="I3901" s="25" t="str">
        <f>IF(OR(E3901="",E3901="!!!",F3901="NEW"),"",INDEX(B3900:B$2,-1+SUMPRODUCT(MAX(ROW(E3900:E$2)*(E3901=E3900:E$2)))))</f>
        <v> </v>
      </c>
      <c r="J3901" s="25" t="str">
        <f>IF(OR(E3901="",E3901="!!!",F3901="NEW"),"",COUNTBLANK(OFFSET(A$1,,,SUMPRODUCT(MAX(ROW(E$2:E3901)*(E3901=E$2:E3901)))))-COUNTBLANK(OFFSET(A$1,,,SUMPRODUCT(MAX(ROW(E$1:E3900)*(E2=E$1:E3900))))))</f>
        <v> </v>
      </c>
      <c r="K3901" s="25" t="str">
        <f>IF(OR(E3901="",E3901="!!!",F3901="NEW"),"",INDEX(J$1:J3900,SUMPRODUCT(MAX(ROW(E$1:E3900)*(E3901=E$1:E3900)))))</f>
        <v> </v>
      </c>
      <c r="L3901" s="26"/>
    </row>
    <row r="3902" spans="1:12">
      <c r="A3902" s="20"/>
    </row>
    <row r="3903" spans="1:12">
      <c r="A3903" s="20" t="s">
        <v>2856</v>
      </c>
    </row>
    <row r="3904" spans="1:12">
      <c r="A3904" s="20" t="s">
        <v>1225</v>
      </c>
      <c r="B3904" s="27" t="s">
        <v>1149</v>
      </c>
      <c r="C3904" s="27" t="s">
        <v>1108</v>
      </c>
      <c r="D3904" s="27" t="s">
        <v>1105</v>
      </c>
      <c r="E3904" s="21">
        <f>IF(D3904="?OLD","!!!","")</f>
        <v/>
      </c>
      <c r="F3904" s="22" t="str">
        <f>IF(OR(E3904="",E3904="!!!"),"",IF(NOT(ISNA(VLOOKUP(E3904,E$1:E3903,1,FALSE()))),"OLD",IF(AND(E3904&lt;&gt;"",E3904&lt;&gt;"!!!"),"NEW","")))</f>
        <v> </v>
      </c>
      <c r="G3904" s="23" t="str">
        <f>IF(OR(E3904="",E3904="!!!"),"",IF(OR(J3904=0,AND(J3904=1,K3904=1),AND(J3904=1,I3904="SBJ"),AND(J3904=1,I3904=0)),"?IN_FOCUS",IF(J3904&lt;=2,"?ACTIVATED",IF(J3904&lt;&gt;"","?FAMILIAR",IF(F3904="NEW",IF(ISNA(VLOOKUP(E3904,#REF!,1,FALSE())),"?TYPE_IDENTIFIABLE","?REFERENTIAL"),"_")))))</f>
        <v> </v>
      </c>
      <c r="H3904" s="24" t="str">
        <f>IF(J3904&lt;&gt;1,"",IF(I3904="SBJ","CB","?"))</f>
        <v> </v>
      </c>
      <c r="I3904" s="25" t="str">
        <f>IF(OR(E3904="",E3904="!!!",F3904="NEW"),"",INDEX(B3903:B$2,-1+SUMPRODUCT(MAX(ROW(E3903:E$2)*(E3904=E3903:E$2)))))</f>
        <v> </v>
      </c>
      <c r="J3904" s="25" t="str">
        <f>IF(OR(E3904="",E3904="!!!",F3904="NEW"),"",COUNTBLANK(OFFSET(A$1,,,SUMPRODUCT(MAX(ROW(E$2:E3904)*(E3904=E$2:E3904)))))-COUNTBLANK(OFFSET(A$1,,,SUMPRODUCT(MAX(ROW(E$1:E3903)*(E2=E$1:E3903))))))</f>
        <v> </v>
      </c>
      <c r="K3904" s="25" t="str">
        <f>IF(OR(E3904="",E3904="!!!",F3904="NEW"),"",INDEX(J$1:J3903,SUMPRODUCT(MAX(ROW(E$1:E3903)*(E3904=E$1:E3903)))))</f>
        <v> </v>
      </c>
      <c r="L3904" s="26"/>
    </row>
    <row r="3905" spans="1:12">
      <c r="A3905" s="20" t="s">
        <v>1926</v>
      </c>
      <c r="E3905" s="21">
        <f>IF(D3905="?OLD","!!!","")</f>
        <v/>
      </c>
      <c r="F3905" s="22" t="str">
        <f>IF(OR(E3905="",E3905="!!!"),"",IF(NOT(ISNA(VLOOKUP(E3905,E$1:E3904,1,FALSE()))),"OLD",IF(AND(E3905&lt;&gt;"",E3905&lt;&gt;"!!!"),"NEW","")))</f>
        <v> </v>
      </c>
      <c r="G3905" s="23" t="str">
        <f>IF(OR(E3905="",E3905="!!!"),"",IF(OR(J3905=0,AND(J3905=1,K3905=1),AND(J3905=1,I3905="SBJ"),AND(J3905=1,I3905=0)),"?IN_FOCUS",IF(J3905&lt;=2,"?ACTIVATED",IF(J3905&lt;&gt;"","?FAMILIAR",IF(F3905="NEW",IF(ISNA(VLOOKUP(E3905,#REF!,1,FALSE())),"?TYPE_IDENTIFIABLE","?REFERENTIAL"),"_")))))</f>
        <v> </v>
      </c>
      <c r="H3905" s="24" t="str">
        <f>IF(J3905&lt;&gt;1,"",IF(I3905="SBJ","CB","?"))</f>
        <v> </v>
      </c>
      <c r="I3905" s="25" t="str">
        <f>IF(OR(E3905="",E3905="!!!",F3905="NEW"),"",INDEX(B3904:B$2,-1+SUMPRODUCT(MAX(ROW(E3904:E$2)*(E3905=E3904:E$2)))))</f>
        <v> </v>
      </c>
      <c r="J3905" s="25" t="str">
        <f>IF(OR(E3905="",E3905="!!!",F3905="NEW"),"",COUNTBLANK(OFFSET(A$1,,,SUMPRODUCT(MAX(ROW(E$2:E3905)*(E3905=E$2:E3905)))))-COUNTBLANK(OFFSET(A$1,,,SUMPRODUCT(MAX(ROW(E$1:E3904)*(E2=E$1:E3904))))))</f>
        <v> </v>
      </c>
      <c r="K3905" s="25" t="str">
        <f>IF(OR(E3905="",E3905="!!!",F3905="NEW"),"",INDEX(J$1:J3904,SUMPRODUCT(MAX(ROW(E$1:E3904)*(E3905=E$1:E3904)))))</f>
        <v> </v>
      </c>
      <c r="L3905" s="26"/>
    </row>
    <row r="3906" spans="1:12">
      <c r="A3906" s="20" t="s">
        <v>2857</v>
      </c>
      <c r="E3906" s="21">
        <f>IF(D3906="?OLD","!!!","")</f>
        <v/>
      </c>
      <c r="F3906" s="22" t="str">
        <f>IF(OR(E3906="",E3906="!!!"),"",IF(NOT(ISNA(VLOOKUP(E3906,E$1:E3905,1,FALSE()))),"OLD",IF(AND(E3906&lt;&gt;"",E3906&lt;&gt;"!!!"),"NEW","")))</f>
        <v> </v>
      </c>
      <c r="G3906" s="23" t="str">
        <f>IF(OR(E3906="",E3906="!!!"),"",IF(OR(J3906=0,AND(J3906=1,K3906=1),AND(J3906=1,I3906="SBJ"),AND(J3906=1,I3906=0)),"?IN_FOCUS",IF(J3906&lt;=2,"?ACTIVATED",IF(J3906&lt;&gt;"","?FAMILIAR",IF(F3906="NEW",IF(ISNA(VLOOKUP(E3906,#REF!,1,FALSE())),"?TYPE_IDENTIFIABLE","?REFERENTIAL"),"_")))))</f>
        <v> </v>
      </c>
      <c r="H3906" s="24" t="str">
        <f>IF(J3906&lt;&gt;1,"",IF(I3906="SBJ","CB","?"))</f>
        <v> </v>
      </c>
      <c r="I3906" s="25" t="str">
        <f>IF(OR(E3906="",E3906="!!!",F3906="NEW"),"",INDEX(B3905:B$2,-1+SUMPRODUCT(MAX(ROW(E3905:E$2)*(E3906=E3905:E$2)))))</f>
        <v> </v>
      </c>
      <c r="J3906" s="25" t="str">
        <f>IF(OR(E3906="",E3906="!!!",F3906="NEW"),"",COUNTBLANK(OFFSET(A$1,,,SUMPRODUCT(MAX(ROW(E$2:E3906)*(E3906=E$2:E3906)))))-COUNTBLANK(OFFSET(A$1,,,SUMPRODUCT(MAX(ROW(E$1:E3905)*(E2=E$1:E3905))))))</f>
        <v> </v>
      </c>
      <c r="K3906" s="25" t="str">
        <f>IF(OR(E3906="",E3906="!!!",F3906="NEW"),"",INDEX(J$1:J3905,SUMPRODUCT(MAX(ROW(E$1:E3905)*(E3906=E$1:E3905)))))</f>
        <v> </v>
      </c>
      <c r="L3906" s="26"/>
    </row>
    <row r="3907" spans="1:12">
      <c r="A3907" s="20" t="s">
        <v>1253</v>
      </c>
      <c r="E3907" s="21">
        <f>IF(D3907="?OLD","!!!","")</f>
        <v/>
      </c>
      <c r="F3907" s="22" t="str">
        <f>IF(OR(E3907="",E3907="!!!"),"",IF(NOT(ISNA(VLOOKUP(E3907,E$1:E3906,1,FALSE()))),"OLD",IF(AND(E3907&lt;&gt;"",E3907&lt;&gt;"!!!"),"NEW","")))</f>
        <v> </v>
      </c>
      <c r="G3907" s="23" t="str">
        <f>IF(OR(E3907="",E3907="!!!"),"",IF(OR(J3907=0,AND(J3907=1,K3907=1),AND(J3907=1,I3907="SBJ"),AND(J3907=1,I3907=0)),"?IN_FOCUS",IF(J3907&lt;=2,"?ACTIVATED",IF(J3907&lt;&gt;"","?FAMILIAR",IF(F3907="NEW",IF(ISNA(VLOOKUP(E3907,#REF!,1,FALSE())),"?TYPE_IDENTIFIABLE","?REFERENTIAL"),"_")))))</f>
        <v> </v>
      </c>
      <c r="H3907" s="24" t="str">
        <f>IF(J3907&lt;&gt;1,"",IF(I3907="SBJ","CB","?"))</f>
        <v> </v>
      </c>
      <c r="I3907" s="25" t="str">
        <f>IF(OR(E3907="",E3907="!!!",F3907="NEW"),"",INDEX(B3906:B$2,-1+SUMPRODUCT(MAX(ROW(E3906:E$2)*(E3907=E3906:E$2)))))</f>
        <v> </v>
      </c>
      <c r="J3907" s="25" t="str">
        <f>IF(OR(E3907="",E3907="!!!",F3907="NEW"),"",COUNTBLANK(OFFSET(A$1,,,SUMPRODUCT(MAX(ROW(E$2:E3907)*(E3907=E$2:E3907)))))-COUNTBLANK(OFFSET(A$1,,,SUMPRODUCT(MAX(ROW(E$1:E3906)*(E2=E$1:E3906))))))</f>
        <v> </v>
      </c>
      <c r="K3907" s="25" t="str">
        <f>IF(OR(E3907="",E3907="!!!",F3907="NEW"),"",INDEX(J$1:J3906,SUMPRODUCT(MAX(ROW(E$1:E3906)*(E3907=E$1:E3906)))))</f>
        <v> </v>
      </c>
      <c r="L3907" s="26"/>
    </row>
    <row r="3908" spans="1:12">
      <c r="A3908" s="20" t="s">
        <v>2858</v>
      </c>
      <c r="E3908" s="21">
        <f>IF(D3908="?OLD","!!!","")</f>
        <v/>
      </c>
      <c r="F3908" s="22" t="str">
        <f>IF(OR(E3908="",E3908="!!!"),"",IF(NOT(ISNA(VLOOKUP(E3908,E$1:E3907,1,FALSE()))),"OLD",IF(AND(E3908&lt;&gt;"",E3908&lt;&gt;"!!!"),"NEW","")))</f>
        <v> </v>
      </c>
      <c r="G3908" s="23" t="str">
        <f>IF(OR(E3908="",E3908="!!!"),"",IF(OR(J3908=0,AND(J3908=1,K3908=1),AND(J3908=1,I3908="SBJ"),AND(J3908=1,I3908=0)),"?IN_FOCUS",IF(J3908&lt;=2,"?ACTIVATED",IF(J3908&lt;&gt;"","?FAMILIAR",IF(F3908="NEW",IF(ISNA(VLOOKUP(E3908,#REF!,1,FALSE())),"?TYPE_IDENTIFIABLE","?REFERENTIAL"),"_")))))</f>
        <v> </v>
      </c>
      <c r="H3908" s="24" t="str">
        <f>IF(J3908&lt;&gt;1,"",IF(I3908="SBJ","CB","?"))</f>
        <v> </v>
      </c>
      <c r="I3908" s="25" t="str">
        <f>IF(OR(E3908="",E3908="!!!",F3908="NEW"),"",INDEX(B3907:B$2,-1+SUMPRODUCT(MAX(ROW(E3907:E$2)*(E3908=E3907:E$2)))))</f>
        <v> </v>
      </c>
      <c r="J3908" s="25" t="str">
        <f>IF(OR(E3908="",E3908="!!!",F3908="NEW"),"",COUNTBLANK(OFFSET(A$1,,,SUMPRODUCT(MAX(ROW(E$2:E3908)*(E3908=E$2:E3908)))))-COUNTBLANK(OFFSET(A$1,,,SUMPRODUCT(MAX(ROW(E$1:E3907)*(E2=E$1:E3907))))))</f>
        <v> </v>
      </c>
      <c r="K3908" s="25" t="str">
        <f>IF(OR(E3908="",E3908="!!!",F3908="NEW"),"",INDEX(J$1:J3907,SUMPRODUCT(MAX(ROW(E$1:E3907)*(E3908=E$1:E3907)))))</f>
        <v> </v>
      </c>
      <c r="L3908" s="26"/>
    </row>
    <row r="3909" spans="1:12">
      <c r="A3909" s="20" t="s">
        <v>1184</v>
      </c>
      <c r="E3909" s="21">
        <f>IF(D3909="?OLD","!!!","")</f>
        <v/>
      </c>
      <c r="F3909" s="22" t="str">
        <f>IF(OR(E3909="",E3909="!!!"),"",IF(NOT(ISNA(VLOOKUP(E3909,E$1:E3908,1,FALSE()))),"OLD",IF(AND(E3909&lt;&gt;"",E3909&lt;&gt;"!!!"),"NEW","")))</f>
        <v> </v>
      </c>
      <c r="G3909" s="23" t="str">
        <f>IF(OR(E3909="",E3909="!!!"),"",IF(OR(J3909=0,AND(J3909=1,K3909=1),AND(J3909=1,I3909="SBJ"),AND(J3909=1,I3909=0)),"?IN_FOCUS",IF(J3909&lt;=2,"?ACTIVATED",IF(J3909&lt;&gt;"","?FAMILIAR",IF(F3909="NEW",IF(ISNA(VLOOKUP(E3909,#REF!,1,FALSE())),"?TYPE_IDENTIFIABLE","?REFERENTIAL"),"_")))))</f>
        <v> </v>
      </c>
      <c r="H3909" s="24" t="str">
        <f>IF(J3909&lt;&gt;1,"",IF(I3909="SBJ","CB","?"))</f>
        <v> </v>
      </c>
      <c r="I3909" s="25" t="str">
        <f>IF(OR(E3909="",E3909="!!!",F3909="NEW"),"",INDEX(B3908:B$2,-1+SUMPRODUCT(MAX(ROW(E3908:E$2)*(E3909=E3908:E$2)))))</f>
        <v> </v>
      </c>
      <c r="J3909" s="25" t="str">
        <f>IF(OR(E3909="",E3909="!!!",F3909="NEW"),"",COUNTBLANK(OFFSET(A$1,,,SUMPRODUCT(MAX(ROW(E$2:E3909)*(E3909=E$2:E3909)))))-COUNTBLANK(OFFSET(A$1,,,SUMPRODUCT(MAX(ROW(E$1:E3908)*(E2=E$1:E3908))))))</f>
        <v> </v>
      </c>
      <c r="K3909" s="25" t="str">
        <f>IF(OR(E3909="",E3909="!!!",F3909="NEW"),"",INDEX(J$1:J3908,SUMPRODUCT(MAX(ROW(E$1:E3908)*(E3909=E$1:E3908)))))</f>
        <v> </v>
      </c>
      <c r="L3909" s="26"/>
    </row>
    <row r="3910" spans="1:12">
      <c r="A3910" s="20" t="s">
        <v>2859</v>
      </c>
      <c r="E3910" s="21">
        <f>IF(D3910="?OLD","!!!","")</f>
        <v/>
      </c>
      <c r="F3910" s="22" t="str">
        <f>IF(OR(E3910="",E3910="!!!"),"",IF(NOT(ISNA(VLOOKUP(E3910,E$1:E3909,1,FALSE()))),"OLD",IF(AND(E3910&lt;&gt;"",E3910&lt;&gt;"!!!"),"NEW","")))</f>
        <v> </v>
      </c>
      <c r="G3910" s="23" t="str">
        <f>IF(OR(E3910="",E3910="!!!"),"",IF(OR(J3910=0,AND(J3910=1,K3910=1),AND(J3910=1,I3910="SBJ"),AND(J3910=1,I3910=0)),"?IN_FOCUS",IF(J3910&lt;=2,"?ACTIVATED",IF(J3910&lt;&gt;"","?FAMILIAR",IF(F3910="NEW",IF(ISNA(VLOOKUP(E3910,#REF!,1,FALSE())),"?TYPE_IDENTIFIABLE","?REFERENTIAL"),"_")))))</f>
        <v> </v>
      </c>
      <c r="H3910" s="24" t="str">
        <f>IF(J3910&lt;&gt;1,"",IF(I3910="SBJ","CB","?"))</f>
        <v> </v>
      </c>
      <c r="I3910" s="25" t="str">
        <f>IF(OR(E3910="",E3910="!!!",F3910="NEW"),"",INDEX(B3909:B$2,-1+SUMPRODUCT(MAX(ROW(E3909:E$2)*(E3910=E3909:E$2)))))</f>
        <v> </v>
      </c>
      <c r="J3910" s="25" t="str">
        <f>IF(OR(E3910="",E3910="!!!",F3910="NEW"),"",COUNTBLANK(OFFSET(A$1,,,SUMPRODUCT(MAX(ROW(E$2:E3910)*(E3910=E$2:E3910)))))-COUNTBLANK(OFFSET(A$1,,,SUMPRODUCT(MAX(ROW(E$1:E3909)*(E2=E$1:E3909))))))</f>
        <v> </v>
      </c>
      <c r="K3910" s="25" t="str">
        <f>IF(OR(E3910="",E3910="!!!",F3910="NEW"),"",INDEX(J$1:J3909,SUMPRODUCT(MAX(ROW(E$1:E3909)*(E3910=E$1:E3909)))))</f>
        <v> </v>
      </c>
      <c r="L3910" s="26"/>
    </row>
    <row r="3911" spans="1:12">
      <c r="A3911" s="20" t="s">
        <v>1123</v>
      </c>
      <c r="E3911" s="21">
        <f>IF(D3911="?OLD","!!!","")</f>
        <v/>
      </c>
      <c r="F3911" s="22" t="str">
        <f>IF(OR(E3911="",E3911="!!!"),"",IF(NOT(ISNA(VLOOKUP(E3911,E$1:E3910,1,FALSE()))),"OLD",IF(AND(E3911&lt;&gt;"",E3911&lt;&gt;"!!!"),"NEW","")))</f>
        <v> </v>
      </c>
      <c r="G3911" s="23" t="str">
        <f>IF(OR(E3911="",E3911="!!!"),"",IF(OR(J3911=0,AND(J3911=1,K3911=1),AND(J3911=1,I3911="SBJ"),AND(J3911=1,I3911=0)),"?IN_FOCUS",IF(J3911&lt;=2,"?ACTIVATED",IF(J3911&lt;&gt;"","?FAMILIAR",IF(F3911="NEW",IF(ISNA(VLOOKUP(E3911,#REF!,1,FALSE())),"?TYPE_IDENTIFIABLE","?REFERENTIAL"),"_")))))</f>
        <v> </v>
      </c>
      <c r="H3911" s="24" t="str">
        <f>IF(J3911&lt;&gt;1,"",IF(I3911="SBJ","CB","?"))</f>
        <v> </v>
      </c>
      <c r="I3911" s="25" t="str">
        <f>IF(OR(E3911="",E3911="!!!",F3911="NEW"),"",INDEX(B3910:B$2,-1+SUMPRODUCT(MAX(ROW(E3910:E$2)*(E3911=E3910:E$2)))))</f>
        <v> </v>
      </c>
      <c r="J3911" s="25" t="str">
        <f>IF(OR(E3911="",E3911="!!!",F3911="NEW"),"",COUNTBLANK(OFFSET(A$1,,,SUMPRODUCT(MAX(ROW(E$2:E3911)*(E3911=E$2:E3911)))))-COUNTBLANK(OFFSET(A$1,,,SUMPRODUCT(MAX(ROW(E$1:E3910)*(E2=E$1:E3910))))))</f>
        <v> </v>
      </c>
      <c r="K3911" s="25" t="str">
        <f>IF(OR(E3911="",E3911="!!!",F3911="NEW"),"",INDEX(J$1:J3910,SUMPRODUCT(MAX(ROW(E$1:E3910)*(E3911=E$1:E3910)))))</f>
        <v> </v>
      </c>
      <c r="L3911" s="26"/>
    </row>
    <row r="3912" spans="1:12">
      <c r="A3912" s="20" t="s">
        <v>1128</v>
      </c>
      <c r="E3912" s="21">
        <f>IF(D3912="?OLD","!!!","")</f>
        <v/>
      </c>
      <c r="F3912" s="22" t="str">
        <f>IF(OR(E3912="",E3912="!!!"),"",IF(NOT(ISNA(VLOOKUP(E3912,E$1:E3911,1,FALSE()))),"OLD",IF(AND(E3912&lt;&gt;"",E3912&lt;&gt;"!!!"),"NEW","")))</f>
        <v> </v>
      </c>
      <c r="G3912" s="23" t="str">
        <f>IF(OR(E3912="",E3912="!!!"),"",IF(OR(J3912=0,AND(J3912=1,K3912=1),AND(J3912=1,I3912="SBJ"),AND(J3912=1,I3912=0)),"?IN_FOCUS",IF(J3912&lt;=2,"?ACTIVATED",IF(J3912&lt;&gt;"","?FAMILIAR",IF(F3912="NEW",IF(ISNA(VLOOKUP(E3912,#REF!,1,FALSE())),"?TYPE_IDENTIFIABLE","?REFERENTIAL"),"_")))))</f>
        <v> </v>
      </c>
      <c r="H3912" s="24" t="str">
        <f>IF(J3912&lt;&gt;1,"",IF(I3912="SBJ","CB","?"))</f>
        <v> </v>
      </c>
      <c r="I3912" s="25" t="str">
        <f>IF(OR(E3912="",E3912="!!!",F3912="NEW"),"",INDEX(B3911:B$2,-1+SUMPRODUCT(MAX(ROW(E3911:E$2)*(E3912=E3911:E$2)))))</f>
        <v> </v>
      </c>
      <c r="J3912" s="25" t="str">
        <f>IF(OR(E3912="",E3912="!!!",F3912="NEW"),"",COUNTBLANK(OFFSET(A$1,,,SUMPRODUCT(MAX(ROW(E$2:E3912)*(E3912=E$2:E3912)))))-COUNTBLANK(OFFSET(A$1,,,SUMPRODUCT(MAX(ROW(E$1:E3911)*(E2=E$1:E3911))))))</f>
        <v> </v>
      </c>
      <c r="K3912" s="25" t="str">
        <f>IF(OR(E3912="",E3912="!!!",F3912="NEW"),"",INDEX(J$1:J3911,SUMPRODUCT(MAX(ROW(E$1:E3911)*(E3912=E$1:E3911)))))</f>
        <v> </v>
      </c>
      <c r="L3912" s="26"/>
    </row>
    <row r="3913" spans="1:12">
      <c r="A3913" s="20" t="s">
        <v>1112</v>
      </c>
      <c r="E3913" s="21">
        <f>IF(D3913="?OLD","!!!","")</f>
        <v/>
      </c>
      <c r="F3913" s="22" t="str">
        <f>IF(OR(E3913="",E3913="!!!"),"",IF(NOT(ISNA(VLOOKUP(E3913,E$1:E3912,1,FALSE()))),"OLD",IF(AND(E3913&lt;&gt;"",E3913&lt;&gt;"!!!"),"NEW","")))</f>
        <v> </v>
      </c>
      <c r="G3913" s="23" t="str">
        <f>IF(OR(E3913="",E3913="!!!"),"",IF(OR(J3913=0,AND(J3913=1,K3913=1),AND(J3913=1,I3913="SBJ"),AND(J3913=1,I3913=0)),"?IN_FOCUS",IF(J3913&lt;=2,"?ACTIVATED",IF(J3913&lt;&gt;"","?FAMILIAR",IF(F3913="NEW",IF(ISNA(VLOOKUP(E3913,#REF!,1,FALSE())),"?TYPE_IDENTIFIABLE","?REFERENTIAL"),"_")))))</f>
        <v> </v>
      </c>
      <c r="H3913" s="24" t="str">
        <f>IF(J3913&lt;&gt;1,"",IF(I3913="SBJ","CB","?"))</f>
        <v> </v>
      </c>
      <c r="I3913" s="25" t="str">
        <f>IF(OR(E3913="",E3913="!!!",F3913="NEW"),"",INDEX(B3912:B$2,-1+SUMPRODUCT(MAX(ROW(E3912:E$2)*(E3913=E3912:E$2)))))</f>
        <v> </v>
      </c>
      <c r="J3913" s="25" t="str">
        <f>IF(OR(E3913="",E3913="!!!",F3913="NEW"),"",COUNTBLANK(OFFSET(A$1,,,SUMPRODUCT(MAX(ROW(E$2:E3913)*(E3913=E$2:E3913)))))-COUNTBLANK(OFFSET(A$1,,,SUMPRODUCT(MAX(ROW(E$1:E3912)*(E2=E$1:E3912))))))</f>
        <v> </v>
      </c>
      <c r="K3913" s="25" t="str">
        <f>IF(OR(E3913="",E3913="!!!",F3913="NEW"),"",INDEX(J$1:J3912,SUMPRODUCT(MAX(ROW(E$1:E3912)*(E3913=E$1:E3912)))))</f>
        <v> </v>
      </c>
      <c r="L3913" s="26"/>
    </row>
    <row r="3914" spans="1:12">
      <c r="A3914" s="20" t="s">
        <v>2860</v>
      </c>
      <c r="E3914" s="21">
        <f>IF(D3914="?OLD","!!!","")</f>
        <v/>
      </c>
      <c r="F3914" s="22" t="str">
        <f>IF(OR(E3914="",E3914="!!!"),"",IF(NOT(ISNA(VLOOKUP(E3914,E$1:E3913,1,FALSE()))),"OLD",IF(AND(E3914&lt;&gt;"",E3914&lt;&gt;"!!!"),"NEW","")))</f>
        <v> </v>
      </c>
      <c r="G3914" s="23" t="str">
        <f>IF(OR(E3914="",E3914="!!!"),"",IF(OR(J3914=0,AND(J3914=1,K3914=1),AND(J3914=1,I3914="SBJ"),AND(J3914=1,I3914=0)),"?IN_FOCUS",IF(J3914&lt;=2,"?ACTIVATED",IF(J3914&lt;&gt;"","?FAMILIAR",IF(F3914="NEW",IF(ISNA(VLOOKUP(E3914,#REF!,1,FALSE())),"?TYPE_IDENTIFIABLE","?REFERENTIAL"),"_")))))</f>
        <v> </v>
      </c>
      <c r="H3914" s="24" t="str">
        <f>IF(J3914&lt;&gt;1,"",IF(I3914="SBJ","CB","?"))</f>
        <v> </v>
      </c>
      <c r="I3914" s="25" t="str">
        <f>IF(OR(E3914="",E3914="!!!",F3914="NEW"),"",INDEX(B3913:B$2,-1+SUMPRODUCT(MAX(ROW(E3913:E$2)*(E3914=E3913:E$2)))))</f>
        <v> </v>
      </c>
      <c r="J3914" s="25" t="str">
        <f>IF(OR(E3914="",E3914="!!!",F3914="NEW"),"",COUNTBLANK(OFFSET(A$1,,,SUMPRODUCT(MAX(ROW(E$2:E3914)*(E3914=E$2:E3914)))))-COUNTBLANK(OFFSET(A$1,,,SUMPRODUCT(MAX(ROW(E$1:E3913)*(E2=E$1:E3913))))))</f>
        <v> </v>
      </c>
      <c r="K3914" s="25" t="str">
        <f>IF(OR(E3914="",E3914="!!!",F3914="NEW"),"",INDEX(J$1:J3913,SUMPRODUCT(MAX(ROW(E$1:E3913)*(E3914=E$1:E3913)))))</f>
        <v> </v>
      </c>
      <c r="L3914" s="26"/>
    </row>
    <row r="3915" spans="1:12">
      <c r="A3915" s="20" t="s">
        <v>1134</v>
      </c>
      <c r="E3915" s="21">
        <f>IF(D3915="?OLD","!!!","")</f>
        <v/>
      </c>
      <c r="F3915" s="22" t="str">
        <f>IF(OR(E3915="",E3915="!!!"),"",IF(NOT(ISNA(VLOOKUP(E3915,E$1:E3914,1,FALSE()))),"OLD",IF(AND(E3915&lt;&gt;"",E3915&lt;&gt;"!!!"),"NEW","")))</f>
        <v> </v>
      </c>
      <c r="G3915" s="23" t="str">
        <f>IF(OR(E3915="",E3915="!!!"),"",IF(OR(J3915=0,AND(J3915=1,K3915=1),AND(J3915=1,I3915="SBJ"),AND(J3915=1,I3915=0)),"?IN_FOCUS",IF(J3915&lt;=2,"?ACTIVATED",IF(J3915&lt;&gt;"","?FAMILIAR",IF(F3915="NEW",IF(ISNA(VLOOKUP(E3915,#REF!,1,FALSE())),"?TYPE_IDENTIFIABLE","?REFERENTIAL"),"_")))))</f>
        <v> </v>
      </c>
      <c r="H3915" s="24" t="str">
        <f>IF(J3915&lt;&gt;1,"",IF(I3915="SBJ","CB","?"))</f>
        <v> </v>
      </c>
      <c r="I3915" s="25" t="str">
        <f>IF(OR(E3915="",E3915="!!!",F3915="NEW"),"",INDEX(B3914:B$2,-1+SUMPRODUCT(MAX(ROW(E3914:E$2)*(E3915=E3914:E$2)))))</f>
        <v> </v>
      </c>
      <c r="J3915" s="25" t="str">
        <f>IF(OR(E3915="",E3915="!!!",F3915="NEW"),"",COUNTBLANK(OFFSET(A$1,,,SUMPRODUCT(MAX(ROW(E$2:E3915)*(E3915=E$2:E3915)))))-COUNTBLANK(OFFSET(A$1,,,SUMPRODUCT(MAX(ROW(E$1:E3914)*(E2=E$1:E3914))))))</f>
        <v> </v>
      </c>
      <c r="K3915" s="25" t="str">
        <f>IF(OR(E3915="",E3915="!!!",F3915="NEW"),"",INDEX(J$1:J3914,SUMPRODUCT(MAX(ROW(E$1:E3914)*(E3915=E$1:E3914)))))</f>
        <v> </v>
      </c>
      <c r="L3915" s="26"/>
    </row>
    <row r="3916" spans="1:12">
      <c r="A3916" s="20" t="s">
        <v>1217</v>
      </c>
      <c r="B3916" s="27" t="s">
        <v>1107</v>
      </c>
      <c r="C3916" s="27" t="s">
        <v>1126</v>
      </c>
      <c r="D3916" s="27" t="s">
        <v>1105</v>
      </c>
      <c r="E3916" s="21">
        <f>IF(D3916="?OLD","!!!","")</f>
        <v/>
      </c>
      <c r="F3916" s="22" t="str">
        <f>IF(OR(E3916="",E3916="!!!"),"",IF(NOT(ISNA(VLOOKUP(E3916,E$1:E3915,1,FALSE()))),"OLD",IF(AND(E3916&lt;&gt;"",E3916&lt;&gt;"!!!"),"NEW","")))</f>
        <v> </v>
      </c>
      <c r="G3916" s="23" t="str">
        <f>IF(OR(E3916="",E3916="!!!"),"",IF(OR(J3916=0,AND(J3916=1,K3916=1),AND(J3916=1,I3916="SBJ"),AND(J3916=1,I3916=0)),"?IN_FOCUS",IF(J3916&lt;=2,"?ACTIVATED",IF(J3916&lt;&gt;"","?FAMILIAR",IF(F3916="NEW",IF(ISNA(VLOOKUP(E3916,#REF!,1,FALSE())),"?TYPE_IDENTIFIABLE","?REFERENTIAL"),"_")))))</f>
        <v> </v>
      </c>
      <c r="H3916" s="24" t="str">
        <f>IF(J3916&lt;&gt;1,"",IF(I3916="SBJ","CB","?"))</f>
        <v> </v>
      </c>
      <c r="I3916" s="25" t="str">
        <f>IF(OR(E3916="",E3916="!!!",F3916="NEW"),"",INDEX(B3915:B$2,-1+SUMPRODUCT(MAX(ROW(E3915:E$2)*(E3916=E3915:E$2)))))</f>
        <v> </v>
      </c>
      <c r="J3916" s="25" t="str">
        <f>IF(OR(E3916="",E3916="!!!",F3916="NEW"),"",COUNTBLANK(OFFSET(A$1,,,SUMPRODUCT(MAX(ROW(E$2:E3916)*(E3916=E$2:E3916)))))-COUNTBLANK(OFFSET(A$1,,,SUMPRODUCT(MAX(ROW(E$1:E3915)*(E2=E$1:E3915))))))</f>
        <v> </v>
      </c>
      <c r="K3916" s="25" t="str">
        <f>IF(OR(E3916="",E3916="!!!",F3916="NEW"),"",INDEX(J$1:J3915,SUMPRODUCT(MAX(ROW(E$1:E3915)*(E3916=E$1:E3915)))))</f>
        <v> </v>
      </c>
      <c r="L3916" s="26"/>
    </row>
    <row r="3917" spans="1:12">
      <c r="A3917" s="20" t="s">
        <v>1123</v>
      </c>
      <c r="E3917" s="21">
        <f>IF(D3917="?OLD","!!!","")</f>
        <v/>
      </c>
      <c r="F3917" s="22" t="str">
        <f>IF(OR(E3917="",E3917="!!!"),"",IF(NOT(ISNA(VLOOKUP(E3917,E$1:E3916,1,FALSE()))),"OLD",IF(AND(E3917&lt;&gt;"",E3917&lt;&gt;"!!!"),"NEW","")))</f>
        <v> </v>
      </c>
      <c r="G3917" s="23" t="str">
        <f>IF(OR(E3917="",E3917="!!!"),"",IF(OR(J3917=0,AND(J3917=1,K3917=1),AND(J3917=1,I3917="SBJ"),AND(J3917=1,I3917=0)),"?IN_FOCUS",IF(J3917&lt;=2,"?ACTIVATED",IF(J3917&lt;&gt;"","?FAMILIAR",IF(F3917="NEW",IF(ISNA(VLOOKUP(E3917,#REF!,1,FALSE())),"?TYPE_IDENTIFIABLE","?REFERENTIAL"),"_")))))</f>
        <v> </v>
      </c>
      <c r="H3917" s="24" t="str">
        <f>IF(J3917&lt;&gt;1,"",IF(I3917="SBJ","CB","?"))</f>
        <v> </v>
      </c>
      <c r="I3917" s="25" t="str">
        <f>IF(OR(E3917="",E3917="!!!",F3917="NEW"),"",INDEX(B3916:B$2,-1+SUMPRODUCT(MAX(ROW(E3916:E$2)*(E3917=E3916:E$2)))))</f>
        <v> </v>
      </c>
      <c r="J3917" s="25" t="str">
        <f>IF(OR(E3917="",E3917="!!!",F3917="NEW"),"",COUNTBLANK(OFFSET(A$1,,,SUMPRODUCT(MAX(ROW(E$2:E3917)*(E3917=E$2:E3917)))))-COUNTBLANK(OFFSET(A$1,,,SUMPRODUCT(MAX(ROW(E$1:E3916)*(E2=E$1:E3916))))))</f>
        <v> </v>
      </c>
      <c r="K3917" s="25" t="str">
        <f>IF(OR(E3917="",E3917="!!!",F3917="NEW"),"",INDEX(J$1:J3916,SUMPRODUCT(MAX(ROW(E$1:E3916)*(E3917=E$1:E3916)))))</f>
        <v> </v>
      </c>
      <c r="L3917" s="26"/>
    </row>
    <row r="3918" spans="1:12">
      <c r="A3918" s="20" t="s">
        <v>2861</v>
      </c>
      <c r="E3918" s="21">
        <f>IF(D3918="?OLD","!!!","")</f>
        <v/>
      </c>
      <c r="F3918" s="22" t="str">
        <f>IF(OR(E3918="",E3918="!!!"),"",IF(NOT(ISNA(VLOOKUP(E3918,E$1:E3917,1,FALSE()))),"OLD",IF(AND(E3918&lt;&gt;"",E3918&lt;&gt;"!!!"),"NEW","")))</f>
        <v> </v>
      </c>
      <c r="G3918" s="23" t="str">
        <f>IF(OR(E3918="",E3918="!!!"),"",IF(OR(J3918=0,AND(J3918=1,K3918=1),AND(J3918=1,I3918="SBJ"),AND(J3918=1,I3918=0)),"?IN_FOCUS",IF(J3918&lt;=2,"?ACTIVATED",IF(J3918&lt;&gt;"","?FAMILIAR",IF(F3918="NEW",IF(ISNA(VLOOKUP(E3918,#REF!,1,FALSE())),"?TYPE_IDENTIFIABLE","?REFERENTIAL"),"_")))))</f>
        <v> </v>
      </c>
      <c r="H3918" s="24" t="str">
        <f>IF(J3918&lt;&gt;1,"",IF(I3918="SBJ","CB","?"))</f>
        <v> </v>
      </c>
      <c r="I3918" s="25" t="str">
        <f>IF(OR(E3918="",E3918="!!!",F3918="NEW"),"",INDEX(B3917:B$2,-1+SUMPRODUCT(MAX(ROW(E3917:E$2)*(E3918=E3917:E$2)))))</f>
        <v> </v>
      </c>
      <c r="J3918" s="25" t="str">
        <f>IF(OR(E3918="",E3918="!!!",F3918="NEW"),"",COUNTBLANK(OFFSET(A$1,,,SUMPRODUCT(MAX(ROW(E$2:E3918)*(E3918=E$2:E3918)))))-COUNTBLANK(OFFSET(A$1,,,SUMPRODUCT(MAX(ROW(E$1:E3917)*(E2=E$1:E3917))))))</f>
        <v> </v>
      </c>
      <c r="K3918" s="25" t="str">
        <f>IF(OR(E3918="",E3918="!!!",F3918="NEW"),"",INDEX(J$1:J3917,SUMPRODUCT(MAX(ROW(E$1:E3917)*(E3918=E$1:E3917)))))</f>
        <v> </v>
      </c>
      <c r="L3918" s="26"/>
    </row>
    <row r="3919" spans="1:12">
      <c r="A3919" s="20" t="s">
        <v>1697</v>
      </c>
      <c r="E3919" s="21">
        <f>IF(D3919="?OLD","!!!","")</f>
        <v/>
      </c>
      <c r="F3919" s="22" t="str">
        <f>IF(OR(E3919="",E3919="!!!"),"",IF(NOT(ISNA(VLOOKUP(E3919,E$1:E3918,1,FALSE()))),"OLD",IF(AND(E3919&lt;&gt;"",E3919&lt;&gt;"!!!"),"NEW","")))</f>
        <v> </v>
      </c>
      <c r="G3919" s="23" t="str">
        <f>IF(OR(E3919="",E3919="!!!"),"",IF(OR(J3919=0,AND(J3919=1,K3919=1),AND(J3919=1,I3919="SBJ"),AND(J3919=1,I3919=0)),"?IN_FOCUS",IF(J3919&lt;=2,"?ACTIVATED",IF(J3919&lt;&gt;"","?FAMILIAR",IF(F3919="NEW",IF(ISNA(VLOOKUP(E3919,#REF!,1,FALSE())),"?TYPE_IDENTIFIABLE","?REFERENTIAL"),"_")))))</f>
        <v> </v>
      </c>
      <c r="H3919" s="24" t="str">
        <f>IF(J3919&lt;&gt;1,"",IF(I3919="SBJ","CB","?"))</f>
        <v> </v>
      </c>
      <c r="I3919" s="25" t="str">
        <f>IF(OR(E3919="",E3919="!!!",F3919="NEW"),"",INDEX(B3918:B$2,-1+SUMPRODUCT(MAX(ROW(E3918:E$2)*(E3919=E3918:E$2)))))</f>
        <v> </v>
      </c>
      <c r="J3919" s="25" t="str">
        <f>IF(OR(E3919="",E3919="!!!",F3919="NEW"),"",COUNTBLANK(OFFSET(A$1,,,SUMPRODUCT(MAX(ROW(E$2:E3919)*(E3919=E$2:E3919)))))-COUNTBLANK(OFFSET(A$1,,,SUMPRODUCT(MAX(ROW(E$1:E3918)*(E2=E$1:E3918))))))</f>
        <v> </v>
      </c>
      <c r="K3919" s="25" t="str">
        <f>IF(OR(E3919="",E3919="!!!",F3919="NEW"),"",INDEX(J$1:J3918,SUMPRODUCT(MAX(ROW(E$1:E3918)*(E3919=E$1:E3918)))))</f>
        <v> </v>
      </c>
      <c r="L3919" s="26"/>
    </row>
    <row r="3920" spans="1:12">
      <c r="A3920" s="20" t="s">
        <v>1166</v>
      </c>
      <c r="B3920" s="27" t="s">
        <v>1243</v>
      </c>
      <c r="C3920" s="27" t="s">
        <v>1126</v>
      </c>
      <c r="D3920" s="27" t="s">
        <v>1105</v>
      </c>
      <c r="E3920" s="21">
        <f>IF(D3920="?OLD","!!!","")</f>
        <v/>
      </c>
      <c r="F3920" s="22" t="str">
        <f>IF(OR(E3920="",E3920="!!!"),"",IF(NOT(ISNA(VLOOKUP(E3920,E$1:E3919,1,FALSE()))),"OLD",IF(AND(E3920&lt;&gt;"",E3920&lt;&gt;"!!!"),"NEW","")))</f>
        <v> </v>
      </c>
      <c r="G3920" s="23" t="str">
        <f>IF(OR(E3920="",E3920="!!!"),"",IF(OR(J3920=0,AND(J3920=1,K3920=1),AND(J3920=1,I3920="SBJ"),AND(J3920=1,I3920=0)),"?IN_FOCUS",IF(J3920&lt;=2,"?ACTIVATED",IF(J3920&lt;&gt;"","?FAMILIAR",IF(F3920="NEW",IF(ISNA(VLOOKUP(E3920,#REF!,1,FALSE())),"?TYPE_IDENTIFIABLE","?REFERENTIAL"),"_")))))</f>
        <v> </v>
      </c>
      <c r="H3920" s="24" t="str">
        <f>IF(J3920&lt;&gt;1,"",IF(I3920="SBJ","CB","?"))</f>
        <v> </v>
      </c>
      <c r="I3920" s="25" t="str">
        <f>IF(OR(E3920="",E3920="!!!",F3920="NEW"),"",INDEX(B3919:B$2,-1+SUMPRODUCT(MAX(ROW(E3919:E$2)*(E3920=E3919:E$2)))))</f>
        <v> </v>
      </c>
      <c r="J3920" s="25" t="str">
        <f>IF(OR(E3920="",E3920="!!!",F3920="NEW"),"",COUNTBLANK(OFFSET(A$1,,,SUMPRODUCT(MAX(ROW(E$2:E3920)*(E3920=E$2:E3920)))))-COUNTBLANK(OFFSET(A$1,,,SUMPRODUCT(MAX(ROW(E$1:E3919)*(E2=E$1:E3919))))))</f>
        <v> </v>
      </c>
      <c r="K3920" s="25" t="str">
        <f>IF(OR(E3920="",E3920="!!!",F3920="NEW"),"",INDEX(J$1:J3919,SUMPRODUCT(MAX(ROW(E$1:E3919)*(E3920=E$1:E3919)))))</f>
        <v> </v>
      </c>
      <c r="L3920" s="26"/>
    </row>
    <row r="3921" spans="1:12">
      <c r="A3921" s="20" t="s">
        <v>2862</v>
      </c>
      <c r="E3921" s="21">
        <f>IF(D3921="?OLD","!!!","")</f>
        <v/>
      </c>
      <c r="F3921" s="22" t="str">
        <f>IF(OR(E3921="",E3921="!!!"),"",IF(NOT(ISNA(VLOOKUP(E3921,E$1:E3920,1,FALSE()))),"OLD",IF(AND(E3921&lt;&gt;"",E3921&lt;&gt;"!!!"),"NEW","")))</f>
        <v> </v>
      </c>
      <c r="G3921" s="23" t="str">
        <f>IF(OR(E3921="",E3921="!!!"),"",IF(OR(J3921=0,AND(J3921=1,K3921=1),AND(J3921=1,I3921="SBJ"),AND(J3921=1,I3921=0)),"?IN_FOCUS",IF(J3921&lt;=2,"?ACTIVATED",IF(J3921&lt;&gt;"","?FAMILIAR",IF(F3921="NEW",IF(ISNA(VLOOKUP(E3921,#REF!,1,FALSE())),"?TYPE_IDENTIFIABLE","?REFERENTIAL"),"_")))))</f>
        <v> </v>
      </c>
      <c r="H3921" s="24" t="str">
        <f>IF(J3921&lt;&gt;1,"",IF(I3921="SBJ","CB","?"))</f>
        <v> </v>
      </c>
      <c r="I3921" s="25" t="str">
        <f>IF(OR(E3921="",E3921="!!!",F3921="NEW"),"",INDEX(B3920:B$2,-1+SUMPRODUCT(MAX(ROW(E3920:E$2)*(E3921=E3920:E$2)))))</f>
        <v> </v>
      </c>
      <c r="J3921" s="25" t="str">
        <f>IF(OR(E3921="",E3921="!!!",F3921="NEW"),"",COUNTBLANK(OFFSET(A$1,,,SUMPRODUCT(MAX(ROW(E$2:E3921)*(E3921=E$2:E3921)))))-COUNTBLANK(OFFSET(A$1,,,SUMPRODUCT(MAX(ROW(E$1:E3920)*(E2=E$1:E3920))))))</f>
        <v> </v>
      </c>
      <c r="K3921" s="25" t="str">
        <f>IF(OR(E3921="",E3921="!!!",F3921="NEW"),"",INDEX(J$1:J3920,SUMPRODUCT(MAX(ROW(E$1:E3920)*(E3921=E$1:E3920)))))</f>
        <v> </v>
      </c>
      <c r="L3921" s="26"/>
    </row>
    <row r="3922" spans="1:12">
      <c r="A3922" s="20" t="s">
        <v>1173</v>
      </c>
      <c r="E3922" s="21">
        <f>IF(D3922="?OLD","!!!","")</f>
        <v/>
      </c>
      <c r="F3922" s="22" t="str">
        <f>IF(OR(E3922="",E3922="!!!"),"",IF(NOT(ISNA(VLOOKUP(E3922,E$1:E3921,1,FALSE()))),"OLD",IF(AND(E3922&lt;&gt;"",E3922&lt;&gt;"!!!"),"NEW","")))</f>
        <v> </v>
      </c>
      <c r="G3922" s="23" t="str">
        <f>IF(OR(E3922="",E3922="!!!"),"",IF(OR(J3922=0,AND(J3922=1,K3922=1),AND(J3922=1,I3922="SBJ"),AND(J3922=1,I3922=0)),"?IN_FOCUS",IF(J3922&lt;=2,"?ACTIVATED",IF(J3922&lt;&gt;"","?FAMILIAR",IF(F3922="NEW",IF(ISNA(VLOOKUP(E3922,#REF!,1,FALSE())),"?TYPE_IDENTIFIABLE","?REFERENTIAL"),"_")))))</f>
        <v> </v>
      </c>
      <c r="H3922" s="24" t="str">
        <f>IF(J3922&lt;&gt;1,"",IF(I3922="SBJ","CB","?"))</f>
        <v> </v>
      </c>
      <c r="I3922" s="25" t="str">
        <f>IF(OR(E3922="",E3922="!!!",F3922="NEW"),"",INDEX(B3921:B$2,-1+SUMPRODUCT(MAX(ROW(E3921:E$2)*(E3922=E3921:E$2)))))</f>
        <v> </v>
      </c>
      <c r="J3922" s="25" t="str">
        <f>IF(OR(E3922="",E3922="!!!",F3922="NEW"),"",COUNTBLANK(OFFSET(A$1,,,SUMPRODUCT(MAX(ROW(E$2:E3922)*(E3922=E$2:E3922)))))-COUNTBLANK(OFFSET(A$1,,,SUMPRODUCT(MAX(ROW(E$1:E3921)*(E2=E$1:E3921))))))</f>
        <v> </v>
      </c>
      <c r="K3922" s="25" t="str">
        <f>IF(OR(E3922="",E3922="!!!",F3922="NEW"),"",INDEX(J$1:J3921,SUMPRODUCT(MAX(ROW(E$1:E3921)*(E3922=E$1:E3921)))))</f>
        <v> </v>
      </c>
      <c r="L3922" s="26"/>
    </row>
    <row r="3923" spans="1:12">
      <c r="A3923" s="20" t="s">
        <v>2863</v>
      </c>
      <c r="E3923" s="21">
        <f>IF(D3923="?OLD","!!!","")</f>
        <v/>
      </c>
      <c r="F3923" s="22" t="str">
        <f>IF(OR(E3923="",E3923="!!!"),"",IF(NOT(ISNA(VLOOKUP(E3923,E$1:E3922,1,FALSE()))),"OLD",IF(AND(E3923&lt;&gt;"",E3923&lt;&gt;"!!!"),"NEW","")))</f>
        <v> </v>
      </c>
      <c r="G3923" s="23" t="str">
        <f>IF(OR(E3923="",E3923="!!!"),"",IF(OR(J3923=0,AND(J3923=1,K3923=1),AND(J3923=1,I3923="SBJ"),AND(J3923=1,I3923=0)),"?IN_FOCUS",IF(J3923&lt;=2,"?ACTIVATED",IF(J3923&lt;&gt;"","?FAMILIAR",IF(F3923="NEW",IF(ISNA(VLOOKUP(E3923,#REF!,1,FALSE())),"?TYPE_IDENTIFIABLE","?REFERENTIAL"),"_")))))</f>
        <v> </v>
      </c>
      <c r="H3923" s="24" t="str">
        <f>IF(J3923&lt;&gt;1,"",IF(I3923="SBJ","CB","?"))</f>
        <v> </v>
      </c>
      <c r="I3923" s="25" t="str">
        <f>IF(OR(E3923="",E3923="!!!",F3923="NEW"),"",INDEX(B3922:B$2,-1+SUMPRODUCT(MAX(ROW(E3922:E$2)*(E3923=E3922:E$2)))))</f>
        <v> </v>
      </c>
      <c r="J3923" s="25" t="str">
        <f>IF(OR(E3923="",E3923="!!!",F3923="NEW"),"",COUNTBLANK(OFFSET(A$1,,,SUMPRODUCT(MAX(ROW(E$2:E3923)*(E3923=E$2:E3923)))))-COUNTBLANK(OFFSET(A$1,,,SUMPRODUCT(MAX(ROW(E$1:E3922)*(E2=E$1:E3922))))))</f>
        <v> </v>
      </c>
      <c r="K3923" s="25" t="str">
        <f>IF(OR(E3923="",E3923="!!!",F3923="NEW"),"",INDEX(J$1:J3922,SUMPRODUCT(MAX(ROW(E$1:E3922)*(E3923=E$1:E3922)))))</f>
        <v> </v>
      </c>
      <c r="L3923" s="26"/>
    </row>
    <row r="3924" spans="1:12">
      <c r="A3924" s="20" t="s">
        <v>2864</v>
      </c>
      <c r="E3924" s="21">
        <f>IF(D3924="?OLD","!!!","")</f>
        <v/>
      </c>
      <c r="F3924" s="22" t="str">
        <f>IF(OR(E3924="",E3924="!!!"),"",IF(NOT(ISNA(VLOOKUP(E3924,E$1:E3923,1,FALSE()))),"OLD",IF(AND(E3924&lt;&gt;"",E3924&lt;&gt;"!!!"),"NEW","")))</f>
        <v> </v>
      </c>
      <c r="G3924" s="23" t="str">
        <f>IF(OR(E3924="",E3924="!!!"),"",IF(OR(J3924=0,AND(J3924=1,K3924=1),AND(J3924=1,I3924="SBJ"),AND(J3924=1,I3924=0)),"?IN_FOCUS",IF(J3924&lt;=2,"?ACTIVATED",IF(J3924&lt;&gt;"","?FAMILIAR",IF(F3924="NEW",IF(ISNA(VLOOKUP(E3924,#REF!,1,FALSE())),"?TYPE_IDENTIFIABLE","?REFERENTIAL"),"_")))))</f>
        <v> </v>
      </c>
      <c r="H3924" s="24" t="str">
        <f>IF(J3924&lt;&gt;1,"",IF(I3924="SBJ","CB","?"))</f>
        <v> </v>
      </c>
      <c r="I3924" s="25" t="str">
        <f>IF(OR(E3924="",E3924="!!!",F3924="NEW"),"",INDEX(B3923:B$2,-1+SUMPRODUCT(MAX(ROW(E3923:E$2)*(E3924=E3923:E$2)))))</f>
        <v> </v>
      </c>
      <c r="J3924" s="25" t="str">
        <f>IF(OR(E3924="",E3924="!!!",F3924="NEW"),"",COUNTBLANK(OFFSET(A$1,,,SUMPRODUCT(MAX(ROW(E$2:E3924)*(E3924=E$2:E3924)))))-COUNTBLANK(OFFSET(A$1,,,SUMPRODUCT(MAX(ROW(E$1:E3923)*(E2=E$1:E3923))))))</f>
        <v> </v>
      </c>
      <c r="K3924" s="25" t="str">
        <f>IF(OR(E3924="",E3924="!!!",F3924="NEW"),"",INDEX(J$1:J3923,SUMPRODUCT(MAX(ROW(E$1:E3923)*(E3924=E$1:E3923)))))</f>
        <v> </v>
      </c>
      <c r="L3924" s="26"/>
    </row>
    <row r="3925" spans="1:12">
      <c r="A3925" s="20" t="s">
        <v>2481</v>
      </c>
      <c r="E3925" s="21">
        <f>IF(D3925="?OLD","!!!","")</f>
        <v/>
      </c>
      <c r="F3925" s="22" t="str">
        <f>IF(OR(E3925="",E3925="!!!"),"",IF(NOT(ISNA(VLOOKUP(E3925,E$1:E3924,1,FALSE()))),"OLD",IF(AND(E3925&lt;&gt;"",E3925&lt;&gt;"!!!"),"NEW","")))</f>
        <v> </v>
      </c>
      <c r="G3925" s="23" t="str">
        <f>IF(OR(E3925="",E3925="!!!"),"",IF(OR(J3925=0,AND(J3925=1,K3925=1),AND(J3925=1,I3925="SBJ"),AND(J3925=1,I3925=0)),"?IN_FOCUS",IF(J3925&lt;=2,"?ACTIVATED",IF(J3925&lt;&gt;"","?FAMILIAR",IF(F3925="NEW",IF(ISNA(VLOOKUP(E3925,#REF!,1,FALSE())),"?TYPE_IDENTIFIABLE","?REFERENTIAL"),"_")))))</f>
        <v> </v>
      </c>
      <c r="H3925" s="24" t="str">
        <f>IF(J3925&lt;&gt;1,"",IF(I3925="SBJ","CB","?"))</f>
        <v> </v>
      </c>
      <c r="I3925" s="25" t="str">
        <f>IF(OR(E3925="",E3925="!!!",F3925="NEW"),"",INDEX(B3924:B$2,-1+SUMPRODUCT(MAX(ROW(E3924:E$2)*(E3925=E3924:E$2)))))</f>
        <v> </v>
      </c>
      <c r="J3925" s="25" t="str">
        <f>IF(OR(E3925="",E3925="!!!",F3925="NEW"),"",COUNTBLANK(OFFSET(A$1,,,SUMPRODUCT(MAX(ROW(E$2:E3925)*(E3925=E$2:E3925)))))-COUNTBLANK(OFFSET(A$1,,,SUMPRODUCT(MAX(ROW(E$1:E3924)*(E2=E$1:E3924))))))</f>
        <v> </v>
      </c>
      <c r="K3925" s="25" t="str">
        <f>IF(OR(E3925="",E3925="!!!",F3925="NEW"),"",INDEX(J$1:J3924,SUMPRODUCT(MAX(ROW(E$1:E3924)*(E3925=E$1:E3924)))))</f>
        <v> </v>
      </c>
      <c r="L3925" s="26"/>
    </row>
    <row r="3926" spans="1:12">
      <c r="A3926" s="20" t="s">
        <v>1820</v>
      </c>
      <c r="E3926" s="21">
        <f>IF(D3926="?OLD","!!!","")</f>
        <v/>
      </c>
      <c r="F3926" s="22" t="str">
        <f>IF(OR(E3926="",E3926="!!!"),"",IF(NOT(ISNA(VLOOKUP(E3926,E$1:E3925,1,FALSE()))),"OLD",IF(AND(E3926&lt;&gt;"",E3926&lt;&gt;"!!!"),"NEW","")))</f>
        <v> </v>
      </c>
      <c r="G3926" s="23" t="str">
        <f>IF(OR(E3926="",E3926="!!!"),"",IF(OR(J3926=0,AND(J3926=1,K3926=1),AND(J3926=1,I3926="SBJ"),AND(J3926=1,I3926=0)),"?IN_FOCUS",IF(J3926&lt;=2,"?ACTIVATED",IF(J3926&lt;&gt;"","?FAMILIAR",IF(F3926="NEW",IF(ISNA(VLOOKUP(E3926,#REF!,1,FALSE())),"?TYPE_IDENTIFIABLE","?REFERENTIAL"),"_")))))</f>
        <v> </v>
      </c>
      <c r="H3926" s="24" t="str">
        <f>IF(J3926&lt;&gt;1,"",IF(I3926="SBJ","CB","?"))</f>
        <v> </v>
      </c>
      <c r="I3926" s="25" t="str">
        <f>IF(OR(E3926="",E3926="!!!",F3926="NEW"),"",INDEX(B3925:B$2,-1+SUMPRODUCT(MAX(ROW(E3925:E$2)*(E3926=E3925:E$2)))))</f>
        <v> </v>
      </c>
      <c r="J3926" s="25" t="str">
        <f>IF(OR(E3926="",E3926="!!!",F3926="NEW"),"",COUNTBLANK(OFFSET(A$1,,,SUMPRODUCT(MAX(ROW(E$2:E3926)*(E3926=E$2:E3926)))))-COUNTBLANK(OFFSET(A$1,,,SUMPRODUCT(MAX(ROW(E$1:E3925)*(E2=E$1:E3925))))))</f>
        <v> </v>
      </c>
      <c r="K3926" s="25" t="str">
        <f>IF(OR(E3926="",E3926="!!!",F3926="NEW"),"",INDEX(J$1:J3925,SUMPRODUCT(MAX(ROW(E$1:E3925)*(E3926=E$1:E3925)))))</f>
        <v> </v>
      </c>
      <c r="L3926" s="26"/>
    </row>
    <row r="3927" spans="1:12">
      <c r="A3927" s="20" t="s">
        <v>2865</v>
      </c>
      <c r="E3927" s="21">
        <f>IF(D3927="?OLD","!!!","")</f>
        <v/>
      </c>
      <c r="F3927" s="22" t="str">
        <f>IF(OR(E3927="",E3927="!!!"),"",IF(NOT(ISNA(VLOOKUP(E3927,E$1:E3926,1,FALSE()))),"OLD",IF(AND(E3927&lt;&gt;"",E3927&lt;&gt;"!!!"),"NEW","")))</f>
        <v> </v>
      </c>
      <c r="G3927" s="23" t="str">
        <f>IF(OR(E3927="",E3927="!!!"),"",IF(OR(J3927=0,AND(J3927=1,K3927=1),AND(J3927=1,I3927="SBJ"),AND(J3927=1,I3927=0)),"?IN_FOCUS",IF(J3927&lt;=2,"?ACTIVATED",IF(J3927&lt;&gt;"","?FAMILIAR",IF(F3927="NEW",IF(ISNA(VLOOKUP(E3927,#REF!,1,FALSE())),"?TYPE_IDENTIFIABLE","?REFERENTIAL"),"_")))))</f>
        <v> </v>
      </c>
      <c r="H3927" s="24" t="str">
        <f>IF(J3927&lt;&gt;1,"",IF(I3927="SBJ","CB","?"))</f>
        <v> </v>
      </c>
      <c r="I3927" s="25" t="str">
        <f>IF(OR(E3927="",E3927="!!!",F3927="NEW"),"",INDEX(B3926:B$2,-1+SUMPRODUCT(MAX(ROW(E3926:E$2)*(E3927=E3926:E$2)))))</f>
        <v> </v>
      </c>
      <c r="J3927" s="25" t="str">
        <f>IF(OR(E3927="",E3927="!!!",F3927="NEW"),"",COUNTBLANK(OFFSET(A$1,,,SUMPRODUCT(MAX(ROW(E$2:E3927)*(E3927=E$2:E3927)))))-COUNTBLANK(OFFSET(A$1,,,SUMPRODUCT(MAX(ROW(E$1:E3926)*(E2=E$1:E3926))))))</f>
        <v> </v>
      </c>
      <c r="K3927" s="25" t="str">
        <f>IF(OR(E3927="",E3927="!!!",F3927="NEW"),"",INDEX(J$1:J3926,SUMPRODUCT(MAX(ROW(E$1:E3926)*(E3927=E$1:E3926)))))</f>
        <v> </v>
      </c>
      <c r="L3927" s="26"/>
    </row>
    <row r="3928" spans="1:12">
      <c r="A3928" s="20" t="s">
        <v>1987</v>
      </c>
      <c r="B3928" s="27" t="s">
        <v>1115</v>
      </c>
      <c r="E3928" s="21">
        <f>IF(D3928="?OLD","!!!","")</f>
        <v/>
      </c>
      <c r="F3928" s="22" t="str">
        <f>IF(OR(E3928="",E3928="!!!"),"",IF(NOT(ISNA(VLOOKUP(E3928,E$1:E3927,1,FALSE()))),"OLD",IF(AND(E3928&lt;&gt;"",E3928&lt;&gt;"!!!"),"NEW","")))</f>
        <v> </v>
      </c>
      <c r="G3928" s="23" t="str">
        <f>IF(OR(E3928="",E3928="!!!"),"",IF(OR(J3928=0,AND(J3928=1,K3928=1),AND(J3928=1,I3928="SBJ"),AND(J3928=1,I3928=0)),"?IN_FOCUS",IF(J3928&lt;=2,"?ACTIVATED",IF(J3928&lt;&gt;"","?FAMILIAR",IF(F3928="NEW",IF(ISNA(VLOOKUP(E3928,#REF!,1,FALSE())),"?TYPE_IDENTIFIABLE","?REFERENTIAL"),"_")))))</f>
        <v> </v>
      </c>
      <c r="H3928" s="24" t="str">
        <f>IF(J3928&lt;&gt;1,"",IF(I3928="SBJ","CB","?"))</f>
        <v> </v>
      </c>
      <c r="I3928" s="25" t="str">
        <f>IF(OR(E3928="",E3928="!!!",F3928="NEW"),"",INDEX(B3927:B$2,-1+SUMPRODUCT(MAX(ROW(E3927:E$2)*(E3928=E3927:E$2)))))</f>
        <v> </v>
      </c>
      <c r="J3928" s="25" t="str">
        <f>IF(OR(E3928="",E3928="!!!",F3928="NEW"),"",COUNTBLANK(OFFSET(A$1,,,SUMPRODUCT(MAX(ROW(E$2:E3928)*(E3928=E$2:E3928)))))-COUNTBLANK(OFFSET(A$1,,,SUMPRODUCT(MAX(ROW(E$1:E3927)*(E2=E$1:E3927))))))</f>
        <v> </v>
      </c>
      <c r="K3928" s="25" t="str">
        <f>IF(OR(E3928="",E3928="!!!",F3928="NEW"),"",INDEX(J$1:J3927,SUMPRODUCT(MAX(ROW(E$1:E3927)*(E3928=E$1:E3927)))))</f>
        <v> </v>
      </c>
      <c r="L3928" s="26"/>
    </row>
    <row r="3929" spans="1:12">
      <c r="A3929" s="20" t="s">
        <v>1145</v>
      </c>
      <c r="E3929" s="21">
        <f>IF(D3929="?OLD","!!!","")</f>
        <v/>
      </c>
      <c r="F3929" s="22" t="str">
        <f>IF(OR(E3929="",E3929="!!!"),"",IF(NOT(ISNA(VLOOKUP(E3929,E$1:E3928,1,FALSE()))),"OLD",IF(AND(E3929&lt;&gt;"",E3929&lt;&gt;"!!!"),"NEW","")))</f>
        <v> </v>
      </c>
      <c r="G3929" s="23" t="str">
        <f>IF(OR(E3929="",E3929="!!!"),"",IF(OR(J3929=0,AND(J3929=1,K3929=1),AND(J3929=1,I3929="SBJ"),AND(J3929=1,I3929=0)),"?IN_FOCUS",IF(J3929&lt;=2,"?ACTIVATED",IF(J3929&lt;&gt;"","?FAMILIAR",IF(F3929="NEW",IF(ISNA(VLOOKUP(E3929,#REF!,1,FALSE())),"?TYPE_IDENTIFIABLE","?REFERENTIAL"),"_")))))</f>
        <v> </v>
      </c>
      <c r="H3929" s="24" t="str">
        <f>IF(J3929&lt;&gt;1,"",IF(I3929="SBJ","CB","?"))</f>
        <v> </v>
      </c>
      <c r="I3929" s="25" t="str">
        <f>IF(OR(E3929="",E3929="!!!",F3929="NEW"),"",INDEX(B3928:B$2,-1+SUMPRODUCT(MAX(ROW(E3928:E$2)*(E3929=E3928:E$2)))))</f>
        <v> </v>
      </c>
      <c r="J3929" s="25" t="str">
        <f>IF(OR(E3929="",E3929="!!!",F3929="NEW"),"",COUNTBLANK(OFFSET(A$1,,,SUMPRODUCT(MAX(ROW(E$2:E3929)*(E3929=E$2:E3929)))))-COUNTBLANK(OFFSET(A$1,,,SUMPRODUCT(MAX(ROW(E$1:E3928)*(E2=E$1:E3928))))))</f>
        <v> </v>
      </c>
      <c r="K3929" s="25" t="str">
        <f>IF(OR(E3929="",E3929="!!!",F3929="NEW"),"",INDEX(J$1:J3928,SUMPRODUCT(MAX(ROW(E$1:E3928)*(E3929=E$1:E3928)))))</f>
        <v> </v>
      </c>
      <c r="L3929" s="26"/>
    </row>
    <row r="3930" spans="1:12">
      <c r="A3930" s="20"/>
    </row>
    <row r="3931" spans="1:12">
      <c r="A3931" s="20" t="s">
        <v>2866</v>
      </c>
    </row>
    <row r="3932" spans="1:12">
      <c r="A3932" s="20" t="s">
        <v>1633</v>
      </c>
      <c r="B3932" s="27" t="s">
        <v>1149</v>
      </c>
      <c r="C3932" s="27" t="s">
        <v>1126</v>
      </c>
      <c r="D3932" s="27" t="s">
        <v>1105</v>
      </c>
      <c r="E3932" s="21">
        <f>IF(D3932="?OLD","!!!","")</f>
        <v/>
      </c>
      <c r="F3932" s="22" t="str">
        <f>IF(OR(E3932="",E3932="!!!"),"",IF(NOT(ISNA(VLOOKUP(E3932,E$1:E3931,1,FALSE()))),"OLD",IF(AND(E3932&lt;&gt;"",E3932&lt;&gt;"!!!"),"NEW","")))</f>
        <v> </v>
      </c>
      <c r="G3932" s="23" t="str">
        <f>IF(OR(E3932="",E3932="!!!"),"",IF(OR(J3932=0,AND(J3932=1,K3932=1),AND(J3932=1,I3932="SBJ"),AND(J3932=1,I3932=0)),"?IN_FOCUS",IF(J3932&lt;=2,"?ACTIVATED",IF(J3932&lt;&gt;"","?FAMILIAR",IF(F3932="NEW",IF(ISNA(VLOOKUP(E3932,#REF!,1,FALSE())),"?TYPE_IDENTIFIABLE","?REFERENTIAL"),"_")))))</f>
        <v> </v>
      </c>
      <c r="H3932" s="24" t="str">
        <f>IF(J3932&lt;&gt;1,"",IF(I3932="SBJ","CB","?"))</f>
        <v> </v>
      </c>
      <c r="I3932" s="25" t="str">
        <f>IF(OR(E3932="",E3932="!!!",F3932="NEW"),"",INDEX(B3931:B$2,-1+SUMPRODUCT(MAX(ROW(E3931:E$2)*(E3932=E3931:E$2)))))</f>
        <v> </v>
      </c>
      <c r="J3932" s="25" t="str">
        <f>IF(OR(E3932="",E3932="!!!",F3932="NEW"),"",COUNTBLANK(OFFSET(A$1,,,SUMPRODUCT(MAX(ROW(E$2:E3932)*(E3932=E$2:E3932)))))-COUNTBLANK(OFFSET(A$1,,,SUMPRODUCT(MAX(ROW(E$1:E3931)*(E2=E$1:E3931))))))</f>
        <v> </v>
      </c>
      <c r="K3932" s="25" t="str">
        <f>IF(OR(E3932="",E3932="!!!",F3932="NEW"),"",INDEX(J$1:J3931,SUMPRODUCT(MAX(ROW(E$1:E3931)*(E3932=E$1:E3931)))))</f>
        <v> </v>
      </c>
      <c r="L3932" s="26"/>
    </row>
    <row r="3933" spans="1:12">
      <c r="A3933" s="20" t="s">
        <v>2638</v>
      </c>
      <c r="E3933" s="21">
        <f>IF(D3933="?OLD","!!!","")</f>
        <v/>
      </c>
      <c r="F3933" s="22" t="str">
        <f>IF(OR(E3933="",E3933="!!!"),"",IF(NOT(ISNA(VLOOKUP(E3933,E$1:E3932,1,FALSE()))),"OLD",IF(AND(E3933&lt;&gt;"",E3933&lt;&gt;"!!!"),"NEW","")))</f>
        <v> </v>
      </c>
      <c r="G3933" s="23" t="str">
        <f>IF(OR(E3933="",E3933="!!!"),"",IF(OR(J3933=0,AND(J3933=1,K3933=1),AND(J3933=1,I3933="SBJ"),AND(J3933=1,I3933=0)),"?IN_FOCUS",IF(J3933&lt;=2,"?ACTIVATED",IF(J3933&lt;&gt;"","?FAMILIAR",IF(F3933="NEW",IF(ISNA(VLOOKUP(E3933,#REF!,1,FALSE())),"?TYPE_IDENTIFIABLE","?REFERENTIAL"),"_")))))</f>
        <v> </v>
      </c>
      <c r="H3933" s="24" t="str">
        <f>IF(J3933&lt;&gt;1,"",IF(I3933="SBJ","CB","?"))</f>
        <v> </v>
      </c>
      <c r="I3933" s="25" t="str">
        <f>IF(OR(E3933="",E3933="!!!",F3933="NEW"),"",INDEX(B3932:B$2,-1+SUMPRODUCT(MAX(ROW(E3932:E$2)*(E3933=E3932:E$2)))))</f>
        <v> </v>
      </c>
      <c r="J3933" s="25" t="str">
        <f>IF(OR(E3933="",E3933="!!!",F3933="NEW"),"",COUNTBLANK(OFFSET(A$1,,,SUMPRODUCT(MAX(ROW(E$2:E3933)*(E3933=E$2:E3933)))))-COUNTBLANK(OFFSET(A$1,,,SUMPRODUCT(MAX(ROW(E$1:E3932)*(E2=E$1:E3932))))))</f>
        <v> </v>
      </c>
      <c r="K3933" s="25" t="str">
        <f>IF(OR(E3933="",E3933="!!!",F3933="NEW"),"",INDEX(J$1:J3932,SUMPRODUCT(MAX(ROW(E$1:E3932)*(E3933=E$1:E3932)))))</f>
        <v> </v>
      </c>
      <c r="L3933" s="26"/>
    </row>
    <row r="3934" spans="1:12">
      <c r="A3934" s="20" t="s">
        <v>1184</v>
      </c>
      <c r="E3934" s="21">
        <f>IF(D3934="?OLD","!!!","")</f>
        <v/>
      </c>
      <c r="F3934" s="22" t="str">
        <f>IF(OR(E3934="",E3934="!!!"),"",IF(NOT(ISNA(VLOOKUP(E3934,E$1:E3933,1,FALSE()))),"OLD",IF(AND(E3934&lt;&gt;"",E3934&lt;&gt;"!!!"),"NEW","")))</f>
        <v> </v>
      </c>
      <c r="G3934" s="23" t="str">
        <f>IF(OR(E3934="",E3934="!!!"),"",IF(OR(J3934=0,AND(J3934=1,K3934=1),AND(J3934=1,I3934="SBJ"),AND(J3934=1,I3934=0)),"?IN_FOCUS",IF(J3934&lt;=2,"?ACTIVATED",IF(J3934&lt;&gt;"","?FAMILIAR",IF(F3934="NEW",IF(ISNA(VLOOKUP(E3934,#REF!,1,FALSE())),"?TYPE_IDENTIFIABLE","?REFERENTIAL"),"_")))))</f>
        <v> </v>
      </c>
      <c r="H3934" s="24" t="str">
        <f>IF(J3934&lt;&gt;1,"",IF(I3934="SBJ","CB","?"))</f>
        <v> </v>
      </c>
      <c r="I3934" s="25" t="str">
        <f>IF(OR(E3934="",E3934="!!!",F3934="NEW"),"",INDEX(B3933:B$2,-1+SUMPRODUCT(MAX(ROW(E3933:E$2)*(E3934=E3933:E$2)))))</f>
        <v> </v>
      </c>
      <c r="J3934" s="25" t="str">
        <f>IF(OR(E3934="",E3934="!!!",F3934="NEW"),"",COUNTBLANK(OFFSET(A$1,,,SUMPRODUCT(MAX(ROW(E$2:E3934)*(E3934=E$2:E3934)))))-COUNTBLANK(OFFSET(A$1,,,SUMPRODUCT(MAX(ROW(E$1:E3933)*(E2=E$1:E3933))))))</f>
        <v> </v>
      </c>
      <c r="K3934" s="25" t="str">
        <f>IF(OR(E3934="",E3934="!!!",F3934="NEW"),"",INDEX(J$1:J3933,SUMPRODUCT(MAX(ROW(E$1:E3933)*(E3934=E$1:E3933)))))</f>
        <v> </v>
      </c>
      <c r="L3934" s="26"/>
    </row>
    <row r="3935" spans="1:12">
      <c r="A3935" s="20" t="s">
        <v>2867</v>
      </c>
      <c r="E3935" s="21">
        <f>IF(D3935="?OLD","!!!","")</f>
        <v/>
      </c>
      <c r="F3935" s="22" t="str">
        <f>IF(OR(E3935="",E3935="!!!"),"",IF(NOT(ISNA(VLOOKUP(E3935,E$1:E3934,1,FALSE()))),"OLD",IF(AND(E3935&lt;&gt;"",E3935&lt;&gt;"!!!"),"NEW","")))</f>
        <v> </v>
      </c>
      <c r="G3935" s="23" t="str">
        <f>IF(OR(E3935="",E3935="!!!"),"",IF(OR(J3935=0,AND(J3935=1,K3935=1),AND(J3935=1,I3935="SBJ"),AND(J3935=1,I3935=0)),"?IN_FOCUS",IF(J3935&lt;=2,"?ACTIVATED",IF(J3935&lt;&gt;"","?FAMILIAR",IF(F3935="NEW",IF(ISNA(VLOOKUP(E3935,#REF!,1,FALSE())),"?TYPE_IDENTIFIABLE","?REFERENTIAL"),"_")))))</f>
        <v> </v>
      </c>
      <c r="H3935" s="24" t="str">
        <f>IF(J3935&lt;&gt;1,"",IF(I3935="SBJ","CB","?"))</f>
        <v> </v>
      </c>
      <c r="I3935" s="25" t="str">
        <f>IF(OR(E3935="",E3935="!!!",F3935="NEW"),"",INDEX(B3934:B$2,-1+SUMPRODUCT(MAX(ROW(E3934:E$2)*(E3935=E3934:E$2)))))</f>
        <v> </v>
      </c>
      <c r="J3935" s="25" t="str">
        <f>IF(OR(E3935="",E3935="!!!",F3935="NEW"),"",COUNTBLANK(OFFSET(A$1,,,SUMPRODUCT(MAX(ROW(E$2:E3935)*(E3935=E$2:E3935)))))-COUNTBLANK(OFFSET(A$1,,,SUMPRODUCT(MAX(ROW(E$1:E3934)*(E2=E$1:E3934))))))</f>
        <v> </v>
      </c>
      <c r="K3935" s="25" t="str">
        <f>IF(OR(E3935="",E3935="!!!",F3935="NEW"),"",INDEX(J$1:J3934,SUMPRODUCT(MAX(ROW(E$1:E3934)*(E3935=E$1:E3934)))))</f>
        <v> </v>
      </c>
      <c r="L3935" s="26"/>
    </row>
    <row r="3936" spans="1:12">
      <c r="A3936" s="20" t="s">
        <v>2868</v>
      </c>
      <c r="E3936" s="21">
        <f>IF(D3936="?OLD","!!!","")</f>
        <v/>
      </c>
      <c r="F3936" s="22" t="str">
        <f>IF(OR(E3936="",E3936="!!!"),"",IF(NOT(ISNA(VLOOKUP(E3936,E$1:E3935,1,FALSE()))),"OLD",IF(AND(E3936&lt;&gt;"",E3936&lt;&gt;"!!!"),"NEW","")))</f>
        <v> </v>
      </c>
      <c r="G3936" s="23" t="str">
        <f>IF(OR(E3936="",E3936="!!!"),"",IF(OR(J3936=0,AND(J3936=1,K3936=1),AND(J3936=1,I3936="SBJ"),AND(J3936=1,I3936=0)),"?IN_FOCUS",IF(J3936&lt;=2,"?ACTIVATED",IF(J3936&lt;&gt;"","?FAMILIAR",IF(F3936="NEW",IF(ISNA(VLOOKUP(E3936,#REF!,1,FALSE())),"?TYPE_IDENTIFIABLE","?REFERENTIAL"),"_")))))</f>
        <v> </v>
      </c>
      <c r="H3936" s="24" t="str">
        <f>IF(J3936&lt;&gt;1,"",IF(I3936="SBJ","CB","?"))</f>
        <v> </v>
      </c>
      <c r="I3936" s="25" t="str">
        <f>IF(OR(E3936="",E3936="!!!",F3936="NEW"),"",INDEX(B3935:B$2,-1+SUMPRODUCT(MAX(ROW(E3935:E$2)*(E3936=E3935:E$2)))))</f>
        <v> </v>
      </c>
      <c r="J3936" s="25" t="str">
        <f>IF(OR(E3936="",E3936="!!!",F3936="NEW"),"",COUNTBLANK(OFFSET(A$1,,,SUMPRODUCT(MAX(ROW(E$2:E3936)*(E3936=E$2:E3936)))))-COUNTBLANK(OFFSET(A$1,,,SUMPRODUCT(MAX(ROW(E$1:E3935)*(E2=E$1:E3935))))))</f>
        <v> </v>
      </c>
      <c r="K3936" s="25" t="str">
        <f>IF(OR(E3936="",E3936="!!!",F3936="NEW"),"",INDEX(J$1:J3935,SUMPRODUCT(MAX(ROW(E$1:E3935)*(E3936=E$1:E3935)))))</f>
        <v> </v>
      </c>
      <c r="L3936" s="26"/>
    </row>
    <row r="3937" spans="1:12">
      <c r="A3937" s="20" t="s">
        <v>2869</v>
      </c>
      <c r="E3937" s="21">
        <f>IF(D3937="?OLD","!!!","")</f>
        <v/>
      </c>
      <c r="F3937" s="22" t="str">
        <f>IF(OR(E3937="",E3937="!!!"),"",IF(NOT(ISNA(VLOOKUP(E3937,E$1:E3936,1,FALSE()))),"OLD",IF(AND(E3937&lt;&gt;"",E3937&lt;&gt;"!!!"),"NEW","")))</f>
        <v> </v>
      </c>
      <c r="G3937" s="23" t="str">
        <f>IF(OR(E3937="",E3937="!!!"),"",IF(OR(J3937=0,AND(J3937=1,K3937=1),AND(J3937=1,I3937="SBJ"),AND(J3937=1,I3937=0)),"?IN_FOCUS",IF(J3937&lt;=2,"?ACTIVATED",IF(J3937&lt;&gt;"","?FAMILIAR",IF(F3937="NEW",IF(ISNA(VLOOKUP(E3937,#REF!,1,FALSE())),"?TYPE_IDENTIFIABLE","?REFERENTIAL"),"_")))))</f>
        <v> </v>
      </c>
      <c r="H3937" s="24" t="str">
        <f>IF(J3937&lt;&gt;1,"",IF(I3937="SBJ","CB","?"))</f>
        <v> </v>
      </c>
      <c r="I3937" s="25" t="str">
        <f>IF(OR(E3937="",E3937="!!!",F3937="NEW"),"",INDEX(B3936:B$2,-1+SUMPRODUCT(MAX(ROW(E3936:E$2)*(E3937=E3936:E$2)))))</f>
        <v> </v>
      </c>
      <c r="J3937" s="25" t="str">
        <f>IF(OR(E3937="",E3937="!!!",F3937="NEW"),"",COUNTBLANK(OFFSET(A$1,,,SUMPRODUCT(MAX(ROW(E$2:E3937)*(E3937=E$2:E3937)))))-COUNTBLANK(OFFSET(A$1,,,SUMPRODUCT(MAX(ROW(E$1:E3936)*(E2=E$1:E3936))))))</f>
        <v> </v>
      </c>
      <c r="K3937" s="25" t="str">
        <f>IF(OR(E3937="",E3937="!!!",F3937="NEW"),"",INDEX(J$1:J3936,SUMPRODUCT(MAX(ROW(E$1:E3936)*(E3937=E$1:E3936)))))</f>
        <v> </v>
      </c>
      <c r="L3937" s="26"/>
    </row>
    <row r="3938" spans="1:12">
      <c r="A3938" s="20" t="s">
        <v>2870</v>
      </c>
      <c r="E3938" s="21">
        <f>IF(D3938="?OLD","!!!","")</f>
        <v/>
      </c>
      <c r="F3938" s="22" t="str">
        <f>IF(OR(E3938="",E3938="!!!"),"",IF(NOT(ISNA(VLOOKUP(E3938,E$1:E3937,1,FALSE()))),"OLD",IF(AND(E3938&lt;&gt;"",E3938&lt;&gt;"!!!"),"NEW","")))</f>
        <v> </v>
      </c>
      <c r="G3938" s="23" t="str">
        <f>IF(OR(E3938="",E3938="!!!"),"",IF(OR(J3938=0,AND(J3938=1,K3938=1),AND(J3938=1,I3938="SBJ"),AND(J3938=1,I3938=0)),"?IN_FOCUS",IF(J3938&lt;=2,"?ACTIVATED",IF(J3938&lt;&gt;"","?FAMILIAR",IF(F3938="NEW",IF(ISNA(VLOOKUP(E3938,#REF!,1,FALSE())),"?TYPE_IDENTIFIABLE","?REFERENTIAL"),"_")))))</f>
        <v> </v>
      </c>
      <c r="H3938" s="24" t="str">
        <f>IF(J3938&lt;&gt;1,"",IF(I3938="SBJ","CB","?"))</f>
        <v> </v>
      </c>
      <c r="I3938" s="25" t="str">
        <f>IF(OR(E3938="",E3938="!!!",F3938="NEW"),"",INDEX(B3937:B$2,-1+SUMPRODUCT(MAX(ROW(E3937:E$2)*(E3938=E3937:E$2)))))</f>
        <v> </v>
      </c>
      <c r="J3938" s="25" t="str">
        <f>IF(OR(E3938="",E3938="!!!",F3938="NEW"),"",COUNTBLANK(OFFSET(A$1,,,SUMPRODUCT(MAX(ROW(E$2:E3938)*(E3938=E$2:E3938)))))-COUNTBLANK(OFFSET(A$1,,,SUMPRODUCT(MAX(ROW(E$1:E3937)*(E2=E$1:E3937))))))</f>
        <v> </v>
      </c>
      <c r="K3938" s="25" t="str">
        <f>IF(OR(E3938="",E3938="!!!",F3938="NEW"),"",INDEX(J$1:J3937,SUMPRODUCT(MAX(ROW(E$1:E3937)*(E3938=E$1:E3937)))))</f>
        <v> </v>
      </c>
      <c r="L3938" s="26"/>
    </row>
    <row r="3939" spans="1:12">
      <c r="A3939" s="20" t="s">
        <v>1145</v>
      </c>
      <c r="E3939" s="21">
        <f>IF(D3939="?OLD","!!!","")</f>
        <v/>
      </c>
      <c r="F3939" s="22" t="str">
        <f>IF(OR(E3939="",E3939="!!!"),"",IF(NOT(ISNA(VLOOKUP(E3939,E$1:E3938,1,FALSE()))),"OLD",IF(AND(E3939&lt;&gt;"",E3939&lt;&gt;"!!!"),"NEW","")))</f>
        <v> </v>
      </c>
      <c r="G3939" s="23" t="str">
        <f>IF(OR(E3939="",E3939="!!!"),"",IF(OR(J3939=0,AND(J3939=1,K3939=1),AND(J3939=1,I3939="SBJ"),AND(J3939=1,I3939=0)),"?IN_FOCUS",IF(J3939&lt;=2,"?ACTIVATED",IF(J3939&lt;&gt;"","?FAMILIAR",IF(F3939="NEW",IF(ISNA(VLOOKUP(E3939,#REF!,1,FALSE())),"?TYPE_IDENTIFIABLE","?REFERENTIAL"),"_")))))</f>
        <v> </v>
      </c>
      <c r="H3939" s="24" t="str">
        <f>IF(J3939&lt;&gt;1,"",IF(I3939="SBJ","CB","?"))</f>
        <v> </v>
      </c>
      <c r="I3939" s="25" t="str">
        <f>IF(OR(E3939="",E3939="!!!",F3939="NEW"),"",INDEX(B3938:B$2,-1+SUMPRODUCT(MAX(ROW(E3938:E$2)*(E3939=E3938:E$2)))))</f>
        <v> </v>
      </c>
      <c r="J3939" s="25" t="str">
        <f>IF(OR(E3939="",E3939="!!!",F3939="NEW"),"",COUNTBLANK(OFFSET(A$1,,,SUMPRODUCT(MAX(ROW(E$2:E3939)*(E3939=E$2:E3939)))))-COUNTBLANK(OFFSET(A$1,,,SUMPRODUCT(MAX(ROW(E$1:E3938)*(E2=E$1:E3938))))))</f>
        <v> </v>
      </c>
      <c r="K3939" s="25" t="str">
        <f>IF(OR(E3939="",E3939="!!!",F3939="NEW"),"",INDEX(J$1:J3938,SUMPRODUCT(MAX(ROW(E$1:E3938)*(E3939=E$1:E3938)))))</f>
        <v> </v>
      </c>
      <c r="L3939" s="26"/>
    </row>
    <row r="3940" spans="1:12">
      <c r="A3940" s="20"/>
    </row>
    <row r="3941" spans="1:12">
      <c r="A3941" s="20" t="s">
        <v>2871</v>
      </c>
      <c r="E3941" s="21">
        <f>IF(D3941="?OLD","!!!","")</f>
        <v/>
      </c>
      <c r="F3941" s="22" t="str">
        <f>IF(OR(E3941="",E3941="!!!"),"",IF(NOT(ISNA(VLOOKUP(E3941,E$1:E3940,1,FALSE()))),"OLD",IF(AND(E3941&lt;&gt;"",E3941&lt;&gt;"!!!"),"NEW","")))</f>
        <v> </v>
      </c>
      <c r="G3941" s="23" t="str">
        <f>IF(OR(E3941="",E3941="!!!"),"",IF(OR(J3941=0,AND(J3941=1,K3941=1),AND(J3941=1,I3941="SBJ"),AND(J3941=1,I3941=0)),"?IN_FOCUS",IF(J3941&lt;=2,"?ACTIVATED",IF(J3941&lt;&gt;"","?FAMILIAR",IF(F3941="NEW",IF(ISNA(VLOOKUP(E3941,#REF!,1,FALSE())),"?TYPE_IDENTIFIABLE","?REFERENTIAL"),"_")))))</f>
        <v> </v>
      </c>
      <c r="H3941" s="24" t="str">
        <f>IF(J3941&lt;&gt;1,"",IF(I3941="SBJ","CB","?"))</f>
        <v> </v>
      </c>
      <c r="I3941" s="25" t="str">
        <f>IF(OR(E3941="",E3941="!!!",F3941="NEW"),"",INDEX(B3940:B$2,-1+SUMPRODUCT(MAX(ROW(E3940:E$2)*(E3941=E3940:E$2)))))</f>
        <v> </v>
      </c>
      <c r="J3941" s="25" t="str">
        <f>IF(OR(E3941="",E3941="!!!",F3941="NEW"),"",COUNTBLANK(OFFSET(A$1,,,SUMPRODUCT(MAX(ROW(E$2:E3941)*(E3941=E$2:E3941)))))-COUNTBLANK(OFFSET(A$1,,,SUMPRODUCT(MAX(ROW(E$1:E3940)*(E2=E$1:E3940))))))</f>
        <v> </v>
      </c>
      <c r="K3941" s="25" t="str">
        <f>IF(OR(E3941="",E3941="!!!",F3941="NEW"),"",INDEX(J$1:J3940,SUMPRODUCT(MAX(ROW(E$1:E3940)*(E3941=E$1:E3940)))))</f>
        <v> </v>
      </c>
      <c r="L3941" s="26"/>
    </row>
    <row r="3942" spans="1:12">
      <c r="A3942" s="20" t="s">
        <v>2872</v>
      </c>
    </row>
    <row r="3943" spans="1:12">
      <c r="A3943" s="20" t="s">
        <v>2873</v>
      </c>
      <c r="E3943" s="21">
        <f>IF(D3943="?OLD","!!!","")</f>
        <v/>
      </c>
      <c r="F3943" s="22" t="str">
        <f>IF(OR(E3943="",E3943="!!!"),"",IF(NOT(ISNA(VLOOKUP(E3943,E$1:E3942,1,FALSE()))),"OLD",IF(AND(E3943&lt;&gt;"",E3943&lt;&gt;"!!!"),"NEW","")))</f>
        <v> </v>
      </c>
      <c r="G3943" s="23" t="str">
        <f>IF(OR(E3943="",E3943="!!!"),"",IF(OR(J3943=0,AND(J3943=1,K3943=1),AND(J3943=1,I3943="SBJ"),AND(J3943=1,I3943=0)),"?IN_FOCUS",IF(J3943&lt;=2,"?ACTIVATED",IF(J3943&lt;&gt;"","?FAMILIAR",IF(F3943="NEW",IF(ISNA(VLOOKUP(E3943,#REF!,1,FALSE())),"?TYPE_IDENTIFIABLE","?REFERENTIAL"),"_")))))</f>
        <v> </v>
      </c>
      <c r="H3943" s="24" t="str">
        <f>IF(J3943&lt;&gt;1,"",IF(I3943="SBJ","CB","?"))</f>
        <v> </v>
      </c>
      <c r="I3943" s="25" t="str">
        <f>IF(OR(E3943="",E3943="!!!",F3943="NEW"),"",INDEX(B3942:B$2,-1+SUMPRODUCT(MAX(ROW(E3942:E$2)*(E3943=E3942:E$2)))))</f>
        <v> </v>
      </c>
      <c r="J3943" s="25" t="str">
        <f>IF(OR(E3943="",E3943="!!!",F3943="NEW"),"",COUNTBLANK(OFFSET(A$1,,,SUMPRODUCT(MAX(ROW(E$2:E3943)*(E3943=E$2:E3943)))))-COUNTBLANK(OFFSET(A$1,,,SUMPRODUCT(MAX(ROW(E$1:E3942)*(E2=E$1:E3942))))))</f>
        <v> </v>
      </c>
      <c r="K3943" s="25" t="str">
        <f>IF(OR(E3943="",E3943="!!!",F3943="NEW"),"",INDEX(J$1:J3942,SUMPRODUCT(MAX(ROW(E$1:E3942)*(E3943=E$1:E3942)))))</f>
        <v> </v>
      </c>
      <c r="L3943" s="26"/>
    </row>
    <row r="3944" spans="1:12">
      <c r="A3944" s="20" t="s">
        <v>1309</v>
      </c>
      <c r="E3944" s="21">
        <f>IF(D3944="?OLD","!!!","")</f>
        <v/>
      </c>
      <c r="F3944" s="22" t="str">
        <f>IF(OR(E3944="",E3944="!!!"),"",IF(NOT(ISNA(VLOOKUP(E3944,E$1:E3943,1,FALSE()))),"OLD",IF(AND(E3944&lt;&gt;"",E3944&lt;&gt;"!!!"),"NEW","")))</f>
        <v> </v>
      </c>
      <c r="G3944" s="23" t="str">
        <f>IF(OR(E3944="",E3944="!!!"),"",IF(OR(J3944=0,AND(J3944=1,K3944=1),AND(J3944=1,I3944="SBJ"),AND(J3944=1,I3944=0)),"?IN_FOCUS",IF(J3944&lt;=2,"?ACTIVATED",IF(J3944&lt;&gt;"","?FAMILIAR",IF(F3944="NEW",IF(ISNA(VLOOKUP(E3944,#REF!,1,FALSE())),"?TYPE_IDENTIFIABLE","?REFERENTIAL"),"_")))))</f>
        <v> </v>
      </c>
      <c r="H3944" s="24" t="str">
        <f>IF(J3944&lt;&gt;1,"",IF(I3944="SBJ","CB","?"))</f>
        <v> </v>
      </c>
      <c r="I3944" s="25" t="str">
        <f>IF(OR(E3944="",E3944="!!!",F3944="NEW"),"",INDEX(B3943:B$2,-1+SUMPRODUCT(MAX(ROW(E3943:E$2)*(E3944=E3943:E$2)))))</f>
        <v> </v>
      </c>
      <c r="J3944" s="25" t="str">
        <f>IF(OR(E3944="",E3944="!!!",F3944="NEW"),"",COUNTBLANK(OFFSET(A$1,,,SUMPRODUCT(MAX(ROW(E$2:E3944)*(E3944=E$2:E3944)))))-COUNTBLANK(OFFSET(A$1,,,SUMPRODUCT(MAX(ROW(E$1:E3943)*(E2=E$1:E3943))))))</f>
        <v> </v>
      </c>
      <c r="K3944" s="25" t="str">
        <f>IF(OR(E3944="",E3944="!!!",F3944="NEW"),"",INDEX(J$1:J3943,SUMPRODUCT(MAX(ROW(E$1:E3943)*(E3944=E$1:E3943)))))</f>
        <v> </v>
      </c>
      <c r="L3944" s="26"/>
    </row>
    <row r="3945" spans="1:12">
      <c r="A3945" s="20" t="s">
        <v>2874</v>
      </c>
      <c r="B3945" s="27" t="s">
        <v>1149</v>
      </c>
      <c r="E3945" s="21">
        <f>IF(D3945="?OLD","!!!","")</f>
        <v/>
      </c>
      <c r="F3945" s="22" t="str">
        <f>IF(OR(E3945="",E3945="!!!"),"",IF(NOT(ISNA(VLOOKUP(E3945,E$1:E3944,1,FALSE()))),"OLD",IF(AND(E3945&lt;&gt;"",E3945&lt;&gt;"!!!"),"NEW","")))</f>
        <v> </v>
      </c>
      <c r="G3945" s="23" t="str">
        <f>IF(OR(E3945="",E3945="!!!"),"",IF(OR(J3945=0,AND(J3945=1,K3945=1),AND(J3945=1,I3945="SBJ"),AND(J3945=1,I3945=0)),"?IN_FOCUS",IF(J3945&lt;=2,"?ACTIVATED",IF(J3945&lt;&gt;"","?FAMILIAR",IF(F3945="NEW",IF(ISNA(VLOOKUP(E3945,#REF!,1,FALSE())),"?TYPE_IDENTIFIABLE","?REFERENTIAL"),"_")))))</f>
        <v> </v>
      </c>
      <c r="H3945" s="24" t="str">
        <f>IF(J3945&lt;&gt;1,"",IF(I3945="SBJ","CB","?"))</f>
        <v> </v>
      </c>
      <c r="I3945" s="25" t="str">
        <f>IF(OR(E3945="",E3945="!!!",F3945="NEW"),"",INDEX(B3944:B$2,-1+SUMPRODUCT(MAX(ROW(E3944:E$2)*(E3945=E3944:E$2)))))</f>
        <v> </v>
      </c>
      <c r="J3945" s="25" t="str">
        <f>IF(OR(E3945="",E3945="!!!",F3945="NEW"),"",COUNTBLANK(OFFSET(A$1,,,SUMPRODUCT(MAX(ROW(E$2:E3945)*(E3945=E$2:E3945)))))-COUNTBLANK(OFFSET(A$1,,,SUMPRODUCT(MAX(ROW(E$1:E3944)*(E2=E$1:E3944))))))</f>
        <v> </v>
      </c>
      <c r="K3945" s="25" t="str">
        <f>IF(OR(E3945="",E3945="!!!",F3945="NEW"),"",INDEX(J$1:J3944,SUMPRODUCT(MAX(ROW(E$1:E3944)*(E3945=E$1:E3944)))))</f>
        <v> </v>
      </c>
      <c r="L3945" s="26"/>
    </row>
    <row r="3946" spans="1:12">
      <c r="A3946" s="20" t="s">
        <v>1339</v>
      </c>
      <c r="E3946" s="21">
        <f>IF(D3946="?OLD","!!!","")</f>
        <v/>
      </c>
      <c r="F3946" s="22" t="str">
        <f>IF(OR(E3946="",E3946="!!!"),"",IF(NOT(ISNA(VLOOKUP(E3946,E$1:E3945,1,FALSE()))),"OLD",IF(AND(E3946&lt;&gt;"",E3946&lt;&gt;"!!!"),"NEW","")))</f>
        <v> </v>
      </c>
      <c r="G3946" s="23" t="str">
        <f>IF(OR(E3946="",E3946="!!!"),"",IF(OR(J3946=0,AND(J3946=1,K3946=1),AND(J3946=1,I3946="SBJ"),AND(J3946=1,I3946=0)),"?IN_FOCUS",IF(J3946&lt;=2,"?ACTIVATED",IF(J3946&lt;&gt;"","?FAMILIAR",IF(F3946="NEW",IF(ISNA(VLOOKUP(E3946,#REF!,1,FALSE())),"?TYPE_IDENTIFIABLE","?REFERENTIAL"),"_")))))</f>
        <v> </v>
      </c>
      <c r="H3946" s="24" t="str">
        <f>IF(J3946&lt;&gt;1,"",IF(I3946="SBJ","CB","?"))</f>
        <v> </v>
      </c>
      <c r="I3946" s="25" t="str">
        <f>IF(OR(E3946="",E3946="!!!",F3946="NEW"),"",INDEX(B3945:B$2,-1+SUMPRODUCT(MAX(ROW(E3945:E$2)*(E3946=E3945:E$2)))))</f>
        <v> </v>
      </c>
      <c r="J3946" s="25" t="str">
        <f>IF(OR(E3946="",E3946="!!!",F3946="NEW"),"",COUNTBLANK(OFFSET(A$1,,,SUMPRODUCT(MAX(ROW(E$2:E3946)*(E3946=E$2:E3946)))))-COUNTBLANK(OFFSET(A$1,,,SUMPRODUCT(MAX(ROW(E$1:E3945)*(E2=E$1:E3945))))))</f>
        <v> </v>
      </c>
      <c r="K3946" s="25" t="str">
        <f>IF(OR(E3946="",E3946="!!!",F3946="NEW"),"",INDEX(J$1:J3945,SUMPRODUCT(MAX(ROW(E$1:E3945)*(E3946=E$1:E3945)))))</f>
        <v> </v>
      </c>
      <c r="L3946" s="26"/>
    </row>
    <row r="3947" spans="1:12">
      <c r="A3947" s="20" t="s">
        <v>2875</v>
      </c>
      <c r="E3947" s="21">
        <f>IF(D3947="?OLD","!!!","")</f>
        <v/>
      </c>
      <c r="F3947" s="22" t="str">
        <f>IF(OR(E3947="",E3947="!!!"),"",IF(NOT(ISNA(VLOOKUP(E3947,E$1:E3946,1,FALSE()))),"OLD",IF(AND(E3947&lt;&gt;"",E3947&lt;&gt;"!!!"),"NEW","")))</f>
        <v> </v>
      </c>
      <c r="G3947" s="23" t="str">
        <f>IF(OR(E3947="",E3947="!!!"),"",IF(OR(J3947=0,AND(J3947=1,K3947=1),AND(J3947=1,I3947="SBJ"),AND(J3947=1,I3947=0)),"?IN_FOCUS",IF(J3947&lt;=2,"?ACTIVATED",IF(J3947&lt;&gt;"","?FAMILIAR",IF(F3947="NEW",IF(ISNA(VLOOKUP(E3947,#REF!,1,FALSE())),"?TYPE_IDENTIFIABLE","?REFERENTIAL"),"_")))))</f>
        <v> </v>
      </c>
      <c r="H3947" s="24" t="str">
        <f>IF(J3947&lt;&gt;1,"",IF(I3947="SBJ","CB","?"))</f>
        <v> </v>
      </c>
      <c r="I3947" s="25" t="str">
        <f>IF(OR(E3947="",E3947="!!!",F3947="NEW"),"",INDEX(B3946:B$2,-1+SUMPRODUCT(MAX(ROW(E3946:E$2)*(E3947=E3946:E$2)))))</f>
        <v> </v>
      </c>
      <c r="J3947" s="25" t="str">
        <f>IF(OR(E3947="",E3947="!!!",F3947="NEW"),"",COUNTBLANK(OFFSET(A$1,,,SUMPRODUCT(MAX(ROW(E$2:E3947)*(E3947=E$2:E3947)))))-COUNTBLANK(OFFSET(A$1,,,SUMPRODUCT(MAX(ROW(E$1:E3946)*(E2=E$1:E3946))))))</f>
        <v> </v>
      </c>
      <c r="K3947" s="25" t="str">
        <f>IF(OR(E3947="",E3947="!!!",F3947="NEW"),"",INDEX(J$1:J3946,SUMPRODUCT(MAX(ROW(E$1:E3946)*(E3947=E$1:E3946)))))</f>
        <v> </v>
      </c>
      <c r="L3947" s="26"/>
    </row>
    <row r="3948" spans="1:12">
      <c r="A3948" s="20" t="s">
        <v>2876</v>
      </c>
      <c r="E3948" s="21">
        <f>IF(D3948="?OLD","!!!","")</f>
        <v/>
      </c>
      <c r="F3948" s="22" t="str">
        <f>IF(OR(E3948="",E3948="!!!"),"",IF(NOT(ISNA(VLOOKUP(E3948,E$1:E3947,1,FALSE()))),"OLD",IF(AND(E3948&lt;&gt;"",E3948&lt;&gt;"!!!"),"NEW","")))</f>
        <v> </v>
      </c>
      <c r="G3948" s="23" t="str">
        <f>IF(OR(E3948="",E3948="!!!"),"",IF(OR(J3948=0,AND(J3948=1,K3948=1),AND(J3948=1,I3948="SBJ"),AND(J3948=1,I3948=0)),"?IN_FOCUS",IF(J3948&lt;=2,"?ACTIVATED",IF(J3948&lt;&gt;"","?FAMILIAR",IF(F3948="NEW",IF(ISNA(VLOOKUP(E3948,#REF!,1,FALSE())),"?TYPE_IDENTIFIABLE","?REFERENTIAL"),"_")))))</f>
        <v> </v>
      </c>
      <c r="H3948" s="24" t="str">
        <f>IF(J3948&lt;&gt;1,"",IF(I3948="SBJ","CB","?"))</f>
        <v> </v>
      </c>
      <c r="I3948" s="25" t="str">
        <f>IF(OR(E3948="",E3948="!!!",F3948="NEW"),"",INDEX(B3947:B$2,-1+SUMPRODUCT(MAX(ROW(E3947:E$2)*(E3948=E3947:E$2)))))</f>
        <v> </v>
      </c>
      <c r="J3948" s="25" t="str">
        <f>IF(OR(E3948="",E3948="!!!",F3948="NEW"),"",COUNTBLANK(OFFSET(A$1,,,SUMPRODUCT(MAX(ROW(E$2:E3948)*(E3948=E$2:E3948)))))-COUNTBLANK(OFFSET(A$1,,,SUMPRODUCT(MAX(ROW(E$1:E3947)*(E2=E$1:E3947))))))</f>
        <v> </v>
      </c>
      <c r="K3948" s="25" t="str">
        <f>IF(OR(E3948="",E3948="!!!",F3948="NEW"),"",INDEX(J$1:J3947,SUMPRODUCT(MAX(ROW(E$1:E3947)*(E3948=E$1:E3947)))))</f>
        <v> </v>
      </c>
      <c r="L3948" s="26"/>
    </row>
    <row r="3949" spans="1:12">
      <c r="A3949" s="20" t="s">
        <v>1145</v>
      </c>
      <c r="E3949" s="21">
        <f>IF(D3949="?OLD","!!!","")</f>
        <v/>
      </c>
      <c r="F3949" s="22" t="str">
        <f>IF(OR(E3949="",E3949="!!!"),"",IF(NOT(ISNA(VLOOKUP(E3949,E$1:E3948,1,FALSE()))),"OLD",IF(AND(E3949&lt;&gt;"",E3949&lt;&gt;"!!!"),"NEW","")))</f>
        <v> </v>
      </c>
      <c r="G3949" s="23" t="str">
        <f>IF(OR(E3949="",E3949="!!!"),"",IF(OR(J3949=0,AND(J3949=1,K3949=1),AND(J3949=1,I3949="SBJ"),AND(J3949=1,I3949=0)),"?IN_FOCUS",IF(J3949&lt;=2,"?ACTIVATED",IF(J3949&lt;&gt;"","?FAMILIAR",IF(F3949="NEW",IF(ISNA(VLOOKUP(E3949,#REF!,1,FALSE())),"?TYPE_IDENTIFIABLE","?REFERENTIAL"),"_")))))</f>
        <v> </v>
      </c>
      <c r="H3949" s="24" t="str">
        <f>IF(J3949&lt;&gt;1,"",IF(I3949="SBJ","CB","?"))</f>
        <v> </v>
      </c>
      <c r="I3949" s="25" t="str">
        <f>IF(OR(E3949="",E3949="!!!",F3949="NEW"),"",INDEX(B3948:B$2,-1+SUMPRODUCT(MAX(ROW(E3948:E$2)*(E3949=E3948:E$2)))))</f>
        <v> </v>
      </c>
      <c r="J3949" s="25" t="str">
        <f>IF(OR(E3949="",E3949="!!!",F3949="NEW"),"",COUNTBLANK(OFFSET(A$1,,,SUMPRODUCT(MAX(ROW(E$2:E3949)*(E3949=E$2:E3949)))))-COUNTBLANK(OFFSET(A$1,,,SUMPRODUCT(MAX(ROW(E$1:E3948)*(E2=E$1:E3948))))))</f>
        <v> </v>
      </c>
      <c r="K3949" s="25" t="str">
        <f>IF(OR(E3949="",E3949="!!!",F3949="NEW"),"",INDEX(J$1:J3948,SUMPRODUCT(MAX(ROW(E$1:E3948)*(E3949=E$1:E3948)))))</f>
        <v> </v>
      </c>
      <c r="L3949" s="26"/>
    </row>
    <row r="3950" spans="1:12">
      <c r="A3950" s="20"/>
    </row>
    <row r="3951" spans="1:12">
      <c r="A3951" s="20" t="s">
        <v>2871</v>
      </c>
      <c r="E3951" s="21">
        <f>IF(D3951="?OLD","!!!","")</f>
        <v/>
      </c>
      <c r="F3951" s="22" t="str">
        <f>IF(OR(E3951="",E3951="!!!"),"",IF(NOT(ISNA(VLOOKUP(E3951,E$1:E3950,1,FALSE()))),"OLD",IF(AND(E3951&lt;&gt;"",E3951&lt;&gt;"!!!"),"NEW","")))</f>
        <v> </v>
      </c>
      <c r="G3951" s="23" t="str">
        <f>IF(OR(E3951="",E3951="!!!"),"",IF(OR(J3951=0,AND(J3951=1,K3951=1),AND(J3951=1,I3951="SBJ"),AND(J3951=1,I3951=0)),"?IN_FOCUS",IF(J3951&lt;=2,"?ACTIVATED",IF(J3951&lt;&gt;"","?FAMILIAR",IF(F3951="NEW",IF(ISNA(VLOOKUP(E3951,#REF!,1,FALSE())),"?TYPE_IDENTIFIABLE","?REFERENTIAL"),"_")))))</f>
        <v> </v>
      </c>
      <c r="H3951" s="24" t="str">
        <f>IF(J3951&lt;&gt;1,"",IF(I3951="SBJ","CB","?"))</f>
        <v> </v>
      </c>
      <c r="I3951" s="25" t="str">
        <f>IF(OR(E3951="",E3951="!!!",F3951="NEW"),"",INDEX(B3950:B$2,-1+SUMPRODUCT(MAX(ROW(E3950:E$2)*(E3951=E3950:E$2)))))</f>
        <v> </v>
      </c>
      <c r="J3951" s="25" t="str">
        <f>IF(OR(E3951="",E3951="!!!",F3951="NEW"),"",COUNTBLANK(OFFSET(A$1,,,SUMPRODUCT(MAX(ROW(E$2:E3951)*(E3951=E$2:E3951)))))-COUNTBLANK(OFFSET(A$1,,,SUMPRODUCT(MAX(ROW(E$1:E3950)*(E2=E$1:E3950))))))</f>
        <v> </v>
      </c>
      <c r="K3951" s="25" t="str">
        <f>IF(OR(E3951="",E3951="!!!",F3951="NEW"),"",INDEX(J$1:J3950,SUMPRODUCT(MAX(ROW(E$1:E3950)*(E3951=E$1:E3950)))))</f>
        <v> </v>
      </c>
      <c r="L3951" s="26"/>
    </row>
    <row r="3952" spans="1:12">
      <c r="A3952" s="20" t="s">
        <v>2877</v>
      </c>
    </row>
    <row r="3953" spans="1:12">
      <c r="A3953" s="20" t="s">
        <v>958</v>
      </c>
      <c r="E3953" s="21">
        <f>IF(D3953="?OLD","!!!","")</f>
        <v/>
      </c>
      <c r="F3953" s="22" t="str">
        <f>IF(OR(E3953="",E3953="!!!"),"",IF(NOT(ISNA(VLOOKUP(E3953,E$1:E3952,1,FALSE()))),"OLD",IF(AND(E3953&lt;&gt;"",E3953&lt;&gt;"!!!"),"NEW","")))</f>
        <v> </v>
      </c>
      <c r="G3953" s="23" t="str">
        <f>IF(OR(E3953="",E3953="!!!"),"",IF(OR(J3953=0,AND(J3953=1,K3953=1),AND(J3953=1,I3953="SBJ"),AND(J3953=1,I3953=0)),"?IN_FOCUS",IF(J3953&lt;=2,"?ACTIVATED",IF(J3953&lt;&gt;"","?FAMILIAR",IF(F3953="NEW",IF(ISNA(VLOOKUP(E3953,#REF!,1,FALSE())),"?TYPE_IDENTIFIABLE","?REFERENTIAL"),"_")))))</f>
        <v> </v>
      </c>
      <c r="H3953" s="24" t="str">
        <f>IF(J3953&lt;&gt;1,"",IF(I3953="SBJ","CB","?"))</f>
        <v> </v>
      </c>
      <c r="I3953" s="25" t="str">
        <f>IF(OR(E3953="",E3953="!!!",F3953="NEW"),"",INDEX(B3952:B$2,-1+SUMPRODUCT(MAX(ROW(E3952:E$2)*(E3953=E3952:E$2)))))</f>
        <v> </v>
      </c>
      <c r="J3953" s="25" t="str">
        <f>IF(OR(E3953="",E3953="!!!",F3953="NEW"),"",COUNTBLANK(OFFSET(A$1,,,SUMPRODUCT(MAX(ROW(E$2:E3953)*(E3953=E$2:E3953)))))-COUNTBLANK(OFFSET(A$1,,,SUMPRODUCT(MAX(ROW(E$1:E3952)*(E2=E$1:E3952))))))</f>
        <v> </v>
      </c>
      <c r="K3953" s="25" t="str">
        <f>IF(OR(E3953="",E3953="!!!",F3953="NEW"),"",INDEX(J$1:J3952,SUMPRODUCT(MAX(ROW(E$1:E3952)*(E3953=E$1:E3952)))))</f>
        <v> </v>
      </c>
      <c r="L3953" s="26"/>
    </row>
    <row r="3954" spans="1:12">
      <c r="A3954" s="20" t="s">
        <v>2875</v>
      </c>
      <c r="E3954" s="21">
        <f>IF(D3954="?OLD","!!!","")</f>
        <v/>
      </c>
      <c r="F3954" s="22" t="str">
        <f>IF(OR(E3954="",E3954="!!!"),"",IF(NOT(ISNA(VLOOKUP(E3954,E$1:E3953,1,FALSE()))),"OLD",IF(AND(E3954&lt;&gt;"",E3954&lt;&gt;"!!!"),"NEW","")))</f>
        <v> </v>
      </c>
      <c r="G3954" s="23" t="str">
        <f>IF(OR(E3954="",E3954="!!!"),"",IF(OR(J3954=0,AND(J3954=1,K3954=1),AND(J3954=1,I3954="SBJ"),AND(J3954=1,I3954=0)),"?IN_FOCUS",IF(J3954&lt;=2,"?ACTIVATED",IF(J3954&lt;&gt;"","?FAMILIAR",IF(F3954="NEW",IF(ISNA(VLOOKUP(E3954,#REF!,1,FALSE())),"?TYPE_IDENTIFIABLE","?REFERENTIAL"),"_")))))</f>
        <v> </v>
      </c>
      <c r="H3954" s="24" t="str">
        <f>IF(J3954&lt;&gt;1,"",IF(I3954="SBJ","CB","?"))</f>
        <v> </v>
      </c>
      <c r="I3954" s="25" t="str">
        <f>IF(OR(E3954="",E3954="!!!",F3954="NEW"),"",INDEX(B3953:B$2,-1+SUMPRODUCT(MAX(ROW(E3953:E$2)*(E3954=E3953:E$2)))))</f>
        <v> </v>
      </c>
      <c r="J3954" s="25" t="str">
        <f>IF(OR(E3954="",E3954="!!!",F3954="NEW"),"",COUNTBLANK(OFFSET(A$1,,,SUMPRODUCT(MAX(ROW(E$2:E3954)*(E3954=E$2:E3954)))))-COUNTBLANK(OFFSET(A$1,,,SUMPRODUCT(MAX(ROW(E$1:E3953)*(E2=E$1:E3953))))))</f>
        <v> </v>
      </c>
      <c r="K3954" s="25" t="str">
        <f>IF(OR(E3954="",E3954="!!!",F3954="NEW"),"",INDEX(J$1:J3953,SUMPRODUCT(MAX(ROW(E$1:E3953)*(E3954=E$1:E3953)))))</f>
        <v> </v>
      </c>
      <c r="L3954" s="26"/>
    </row>
    <row r="3955" spans="1:12">
      <c r="A3955" s="20" t="s">
        <v>1145</v>
      </c>
      <c r="E3955" s="21">
        <f>IF(D3955="?OLD","!!!","")</f>
        <v/>
      </c>
      <c r="F3955" s="22" t="str">
        <f>IF(OR(E3955="",E3955="!!!"),"",IF(NOT(ISNA(VLOOKUP(E3955,E$1:E3954,1,FALSE()))),"OLD",IF(AND(E3955&lt;&gt;"",E3955&lt;&gt;"!!!"),"NEW","")))</f>
        <v> </v>
      </c>
      <c r="G3955" s="23" t="str">
        <f>IF(OR(E3955="",E3955="!!!"),"",IF(OR(J3955=0,AND(J3955=1,K3955=1),AND(J3955=1,I3955="SBJ"),AND(J3955=1,I3955=0)),"?IN_FOCUS",IF(J3955&lt;=2,"?ACTIVATED",IF(J3955&lt;&gt;"","?FAMILIAR",IF(F3955="NEW",IF(ISNA(VLOOKUP(E3955,#REF!,1,FALSE())),"?TYPE_IDENTIFIABLE","?REFERENTIAL"),"_")))))</f>
        <v> </v>
      </c>
      <c r="H3955" s="24" t="str">
        <f>IF(J3955&lt;&gt;1,"",IF(I3955="SBJ","CB","?"))</f>
        <v> </v>
      </c>
      <c r="I3955" s="25" t="str">
        <f>IF(OR(E3955="",E3955="!!!",F3955="NEW"),"",INDEX(B3954:B$2,-1+SUMPRODUCT(MAX(ROW(E3954:E$2)*(E3955=E3954:E$2)))))</f>
        <v> </v>
      </c>
      <c r="J3955" s="25" t="str">
        <f>IF(OR(E3955="",E3955="!!!",F3955="NEW"),"",COUNTBLANK(OFFSET(A$1,,,SUMPRODUCT(MAX(ROW(E$2:E3955)*(E3955=E$2:E3955)))))-COUNTBLANK(OFFSET(A$1,,,SUMPRODUCT(MAX(ROW(E$1:E3954)*(E2=E$1:E3954))))))</f>
        <v> </v>
      </c>
      <c r="K3955" s="25" t="str">
        <f>IF(OR(E3955="",E3955="!!!",F3955="NEW"),"",INDEX(J$1:J3954,SUMPRODUCT(MAX(ROW(E$1:E3954)*(E3955=E$1:E3954)))))</f>
        <v> </v>
      </c>
      <c r="L3955" s="26"/>
    </row>
    <row r="3956" spans="1:12">
      <c r="A3956" s="20"/>
    </row>
    <row r="3957" spans="1:12">
      <c r="A3957" s="20" t="s">
        <v>2878</v>
      </c>
    </row>
    <row r="3958" spans="1:12">
      <c r="A3958" s="20" t="s">
        <v>1111</v>
      </c>
      <c r="E3958" s="21">
        <f>IF(D3958="?OLD","!!!","")</f>
        <v/>
      </c>
      <c r="F3958" s="22" t="str">
        <f>IF(OR(E3958="",E3958="!!!"),"",IF(NOT(ISNA(VLOOKUP(E3958,E$1:E3957,1,FALSE()))),"OLD",IF(AND(E3958&lt;&gt;"",E3958&lt;&gt;"!!!"),"NEW","")))</f>
        <v> </v>
      </c>
      <c r="G3958" s="23" t="str">
        <f>IF(OR(E3958="",E3958="!!!"),"",IF(OR(J3958=0,AND(J3958=1,K3958=1),AND(J3958=1,I3958="SBJ"),AND(J3958=1,I3958=0)),"?IN_FOCUS",IF(J3958&lt;=2,"?ACTIVATED",IF(J3958&lt;&gt;"","?FAMILIAR",IF(F3958="NEW",IF(ISNA(VLOOKUP(E3958,#REF!,1,FALSE())),"?TYPE_IDENTIFIABLE","?REFERENTIAL"),"_")))))</f>
        <v> </v>
      </c>
      <c r="H3958" s="24" t="str">
        <f>IF(J3958&lt;&gt;1,"",IF(I3958="SBJ","CB","?"))</f>
        <v> </v>
      </c>
      <c r="I3958" s="25" t="str">
        <f>IF(OR(E3958="",E3958="!!!",F3958="NEW"),"",INDEX(B3957:B$2,-1+SUMPRODUCT(MAX(ROW(E3957:E$2)*(E3958=E3957:E$2)))))</f>
        <v> </v>
      </c>
      <c r="J3958" s="25" t="str">
        <f>IF(OR(E3958="",E3958="!!!",F3958="NEW"),"",COUNTBLANK(OFFSET(A$1,,,SUMPRODUCT(MAX(ROW(E$2:E3958)*(E3958=E$2:E3958)))))-COUNTBLANK(OFFSET(A$1,,,SUMPRODUCT(MAX(ROW(E$1:E3957)*(E2=E$1:E3957))))))</f>
        <v> </v>
      </c>
      <c r="K3958" s="25" t="str">
        <f>IF(OR(E3958="",E3958="!!!",F3958="NEW"),"",INDEX(J$1:J3957,SUMPRODUCT(MAX(ROW(E$1:E3957)*(E3958=E$1:E3957)))))</f>
        <v> </v>
      </c>
      <c r="L3958" s="26"/>
    </row>
    <row r="3959" spans="1:12">
      <c r="A3959" s="20" t="s">
        <v>2879</v>
      </c>
      <c r="E3959" s="21">
        <f>IF(D3959="?OLD","!!!","")</f>
        <v/>
      </c>
      <c r="F3959" s="22" t="str">
        <f>IF(OR(E3959="",E3959="!!!"),"",IF(NOT(ISNA(VLOOKUP(E3959,E$1:E3958,1,FALSE()))),"OLD",IF(AND(E3959&lt;&gt;"",E3959&lt;&gt;"!!!"),"NEW","")))</f>
        <v> </v>
      </c>
      <c r="G3959" s="23" t="str">
        <f>IF(OR(E3959="",E3959="!!!"),"",IF(OR(J3959=0,AND(J3959=1,K3959=1),AND(J3959=1,I3959="SBJ"),AND(J3959=1,I3959=0)),"?IN_FOCUS",IF(J3959&lt;=2,"?ACTIVATED",IF(J3959&lt;&gt;"","?FAMILIAR",IF(F3959="NEW",IF(ISNA(VLOOKUP(E3959,#REF!,1,FALSE())),"?TYPE_IDENTIFIABLE","?REFERENTIAL"),"_")))))</f>
        <v> </v>
      </c>
      <c r="H3959" s="24" t="str">
        <f>IF(J3959&lt;&gt;1,"",IF(I3959="SBJ","CB","?"))</f>
        <v> </v>
      </c>
      <c r="I3959" s="25" t="str">
        <f>IF(OR(E3959="",E3959="!!!",F3959="NEW"),"",INDEX(B3958:B$2,-1+SUMPRODUCT(MAX(ROW(E3958:E$2)*(E3959=E3958:E$2)))))</f>
        <v> </v>
      </c>
      <c r="J3959" s="25" t="str">
        <f>IF(OR(E3959="",E3959="!!!",F3959="NEW"),"",COUNTBLANK(OFFSET(A$1,,,SUMPRODUCT(MAX(ROW(E$2:E3959)*(E3959=E$2:E3959)))))-COUNTBLANK(OFFSET(A$1,,,SUMPRODUCT(MAX(ROW(E$1:E3958)*(E2=E$1:E3958))))))</f>
        <v> </v>
      </c>
      <c r="K3959" s="25" t="str">
        <f>IF(OR(E3959="",E3959="!!!",F3959="NEW"),"",INDEX(J$1:J3958,SUMPRODUCT(MAX(ROW(E$1:E3958)*(E3959=E$1:E3958)))))</f>
        <v> </v>
      </c>
      <c r="L3959" s="26"/>
    </row>
    <row r="3960" spans="1:12">
      <c r="A3960" s="20" t="s">
        <v>2007</v>
      </c>
      <c r="E3960" s="21">
        <f>IF(D3960="?OLD","!!!","")</f>
        <v/>
      </c>
      <c r="F3960" s="22" t="str">
        <f>IF(OR(E3960="",E3960="!!!"),"",IF(NOT(ISNA(VLOOKUP(E3960,E$1:E3959,1,FALSE()))),"OLD",IF(AND(E3960&lt;&gt;"",E3960&lt;&gt;"!!!"),"NEW","")))</f>
        <v> </v>
      </c>
      <c r="G3960" s="23" t="str">
        <f>IF(OR(E3960="",E3960="!!!"),"",IF(OR(J3960=0,AND(J3960=1,K3960=1),AND(J3960=1,I3960="SBJ"),AND(J3960=1,I3960=0)),"?IN_FOCUS",IF(J3960&lt;=2,"?ACTIVATED",IF(J3960&lt;&gt;"","?FAMILIAR",IF(F3960="NEW",IF(ISNA(VLOOKUP(E3960,#REF!,1,FALSE())),"?TYPE_IDENTIFIABLE","?REFERENTIAL"),"_")))))</f>
        <v> </v>
      </c>
      <c r="H3960" s="24" t="str">
        <f>IF(J3960&lt;&gt;1,"",IF(I3960="SBJ","CB","?"))</f>
        <v> </v>
      </c>
      <c r="I3960" s="25" t="str">
        <f>IF(OR(E3960="",E3960="!!!",F3960="NEW"),"",INDEX(B3959:B$2,-1+SUMPRODUCT(MAX(ROW(E3959:E$2)*(E3960=E3959:E$2)))))</f>
        <v> </v>
      </c>
      <c r="J3960" s="25" t="str">
        <f>IF(OR(E3960="",E3960="!!!",F3960="NEW"),"",COUNTBLANK(OFFSET(A$1,,,SUMPRODUCT(MAX(ROW(E$2:E3960)*(E3960=E$2:E3960)))))-COUNTBLANK(OFFSET(A$1,,,SUMPRODUCT(MAX(ROW(E$1:E3959)*(E2=E$1:E3959))))))</f>
        <v> </v>
      </c>
      <c r="K3960" s="25" t="str">
        <f>IF(OR(E3960="",E3960="!!!",F3960="NEW"),"",INDEX(J$1:J3959,SUMPRODUCT(MAX(ROW(E$1:E3959)*(E3960=E$1:E3959)))))</f>
        <v> </v>
      </c>
      <c r="L3960" s="26"/>
    </row>
    <row r="3961" spans="1:12">
      <c r="A3961" s="20" t="s">
        <v>2880</v>
      </c>
      <c r="B3961" s="27" t="s">
        <v>1103</v>
      </c>
      <c r="C3961" s="27" t="s">
        <v>1116</v>
      </c>
      <c r="E3961" s="21">
        <f>IF(D3961="?OLD","!!!","")</f>
        <v/>
      </c>
      <c r="F3961" s="22" t="str">
        <f>IF(OR(E3961="",E3961="!!!"),"",IF(NOT(ISNA(VLOOKUP(E3961,E$1:E3960,1,FALSE()))),"OLD",IF(AND(E3961&lt;&gt;"",E3961&lt;&gt;"!!!"),"NEW","")))</f>
        <v> </v>
      </c>
      <c r="G3961" s="23" t="str">
        <f>IF(OR(E3961="",E3961="!!!"),"",IF(OR(J3961=0,AND(J3961=1,K3961=1),AND(J3961=1,I3961="SBJ"),AND(J3961=1,I3961=0)),"?IN_FOCUS",IF(J3961&lt;=2,"?ACTIVATED",IF(J3961&lt;&gt;"","?FAMILIAR",IF(F3961="NEW",IF(ISNA(VLOOKUP(E3961,#REF!,1,FALSE())),"?TYPE_IDENTIFIABLE","?REFERENTIAL"),"_")))))</f>
        <v> </v>
      </c>
      <c r="H3961" s="24" t="str">
        <f>IF(J3961&lt;&gt;1,"",IF(I3961="SBJ","CB","?"))</f>
        <v> </v>
      </c>
      <c r="I3961" s="25" t="str">
        <f>IF(OR(E3961="",E3961="!!!",F3961="NEW"),"",INDEX(B3960:B$2,-1+SUMPRODUCT(MAX(ROW(E3960:E$2)*(E3961=E3960:E$2)))))</f>
        <v> </v>
      </c>
      <c r="J3961" s="25" t="str">
        <f>IF(OR(E3961="",E3961="!!!",F3961="NEW"),"",COUNTBLANK(OFFSET(A$1,,,SUMPRODUCT(MAX(ROW(E$2:E3961)*(E3961=E$2:E3961)))))-COUNTBLANK(OFFSET(A$1,,,SUMPRODUCT(MAX(ROW(E$1:E3960)*(E2=E$1:E3960))))))</f>
        <v> </v>
      </c>
      <c r="K3961" s="25" t="str">
        <f>IF(OR(E3961="",E3961="!!!",F3961="NEW"),"",INDEX(J$1:J3960,SUMPRODUCT(MAX(ROW(E$1:E3960)*(E3961=E$1:E3960)))))</f>
        <v> </v>
      </c>
      <c r="L3961" s="26"/>
    </row>
    <row r="3962" spans="1:12">
      <c r="A3962" s="20" t="s">
        <v>2881</v>
      </c>
      <c r="E3962" s="21">
        <f>IF(D3962="?OLD","!!!","")</f>
        <v/>
      </c>
      <c r="F3962" s="22" t="str">
        <f>IF(OR(E3962="",E3962="!!!"),"",IF(NOT(ISNA(VLOOKUP(E3962,E$1:E3961,1,FALSE()))),"OLD",IF(AND(E3962&lt;&gt;"",E3962&lt;&gt;"!!!"),"NEW","")))</f>
        <v> </v>
      </c>
      <c r="G3962" s="23" t="str">
        <f>IF(OR(E3962="",E3962="!!!"),"",IF(OR(J3962=0,AND(J3962=1,K3962=1),AND(J3962=1,I3962="SBJ"),AND(J3962=1,I3962=0)),"?IN_FOCUS",IF(J3962&lt;=2,"?ACTIVATED",IF(J3962&lt;&gt;"","?FAMILIAR",IF(F3962="NEW",IF(ISNA(VLOOKUP(E3962,#REF!,1,FALSE())),"?TYPE_IDENTIFIABLE","?REFERENTIAL"),"_")))))</f>
        <v> </v>
      </c>
      <c r="H3962" s="24" t="str">
        <f>IF(J3962&lt;&gt;1,"",IF(I3962="SBJ","CB","?"))</f>
        <v> </v>
      </c>
      <c r="I3962" s="25" t="str">
        <f>IF(OR(E3962="",E3962="!!!",F3962="NEW"),"",INDEX(B3961:B$2,-1+SUMPRODUCT(MAX(ROW(E3961:E$2)*(E3962=E3961:E$2)))))</f>
        <v> </v>
      </c>
      <c r="J3962" s="25" t="str">
        <f>IF(OR(E3962="",E3962="!!!",F3962="NEW"),"",COUNTBLANK(OFFSET(A$1,,,SUMPRODUCT(MAX(ROW(E$2:E3962)*(E3962=E$2:E3962)))))-COUNTBLANK(OFFSET(A$1,,,SUMPRODUCT(MAX(ROW(E$1:E3961)*(E2=E$1:E3961))))))</f>
        <v> </v>
      </c>
      <c r="K3962" s="25" t="str">
        <f>IF(OR(E3962="",E3962="!!!",F3962="NEW"),"",INDEX(J$1:J3961,SUMPRODUCT(MAX(ROW(E$1:E3961)*(E3962=E$1:E3961)))))</f>
        <v> </v>
      </c>
      <c r="L3962" s="26"/>
    </row>
    <row r="3963" spans="1:12">
      <c r="A3963" s="20" t="s">
        <v>887</v>
      </c>
      <c r="E3963" s="21">
        <f>IF(D3963="?OLD","!!!","")</f>
        <v/>
      </c>
      <c r="F3963" s="22" t="str">
        <f>IF(OR(E3963="",E3963="!!!"),"",IF(NOT(ISNA(VLOOKUP(E3963,E$1:E3962,1,FALSE()))),"OLD",IF(AND(E3963&lt;&gt;"",E3963&lt;&gt;"!!!"),"NEW","")))</f>
        <v> </v>
      </c>
      <c r="G3963" s="23" t="str">
        <f>IF(OR(E3963="",E3963="!!!"),"",IF(OR(J3963=0,AND(J3963=1,K3963=1),AND(J3963=1,I3963="SBJ"),AND(J3963=1,I3963=0)),"?IN_FOCUS",IF(J3963&lt;=2,"?ACTIVATED",IF(J3963&lt;&gt;"","?FAMILIAR",IF(F3963="NEW",IF(ISNA(VLOOKUP(E3963,#REF!,1,FALSE())),"?TYPE_IDENTIFIABLE","?REFERENTIAL"),"_")))))</f>
        <v> </v>
      </c>
      <c r="H3963" s="24" t="str">
        <f>IF(J3963&lt;&gt;1,"",IF(I3963="SBJ","CB","?"))</f>
        <v> </v>
      </c>
      <c r="I3963" s="25" t="str">
        <f>IF(OR(E3963="",E3963="!!!",F3963="NEW"),"",INDEX(B3962:B$2,-1+SUMPRODUCT(MAX(ROW(E3962:E$2)*(E3963=E3962:E$2)))))</f>
        <v> </v>
      </c>
      <c r="J3963" s="25" t="str">
        <f>IF(OR(E3963="",E3963="!!!",F3963="NEW"),"",COUNTBLANK(OFFSET(A$1,,,SUMPRODUCT(MAX(ROW(E$2:E3963)*(E3963=E$2:E3963)))))-COUNTBLANK(OFFSET(A$1,,,SUMPRODUCT(MAX(ROW(E$1:E3962)*(E2=E$1:E3962))))))</f>
        <v> </v>
      </c>
      <c r="K3963" s="25" t="str">
        <f>IF(OR(E3963="",E3963="!!!",F3963="NEW"),"",INDEX(J$1:J3962,SUMPRODUCT(MAX(ROW(E$1:E3962)*(E3963=E$1:E3962)))))</f>
        <v> </v>
      </c>
      <c r="L3963" s="26"/>
    </row>
    <row r="3964" spans="1:12">
      <c r="A3964" s="20" t="s">
        <v>2882</v>
      </c>
      <c r="E3964" s="21">
        <f>IF(D3964="?OLD","!!!","")</f>
        <v/>
      </c>
      <c r="F3964" s="22" t="str">
        <f>IF(OR(E3964="",E3964="!!!"),"",IF(NOT(ISNA(VLOOKUP(E3964,E$1:E3963,1,FALSE()))),"OLD",IF(AND(E3964&lt;&gt;"",E3964&lt;&gt;"!!!"),"NEW","")))</f>
        <v> </v>
      </c>
      <c r="G3964" s="23" t="str">
        <f>IF(OR(E3964="",E3964="!!!"),"",IF(OR(J3964=0,AND(J3964=1,K3964=1),AND(J3964=1,I3964="SBJ"),AND(J3964=1,I3964=0)),"?IN_FOCUS",IF(J3964&lt;=2,"?ACTIVATED",IF(J3964&lt;&gt;"","?FAMILIAR",IF(F3964="NEW",IF(ISNA(VLOOKUP(E3964,#REF!,1,FALSE())),"?TYPE_IDENTIFIABLE","?REFERENTIAL"),"_")))))</f>
        <v> </v>
      </c>
      <c r="H3964" s="24" t="str">
        <f>IF(J3964&lt;&gt;1,"",IF(I3964="SBJ","CB","?"))</f>
        <v> </v>
      </c>
      <c r="I3964" s="25" t="str">
        <f>IF(OR(E3964="",E3964="!!!",F3964="NEW"),"",INDEX(B3963:B$2,-1+SUMPRODUCT(MAX(ROW(E3963:E$2)*(E3964=E3963:E$2)))))</f>
        <v> </v>
      </c>
      <c r="J3964" s="25" t="str">
        <f>IF(OR(E3964="",E3964="!!!",F3964="NEW"),"",COUNTBLANK(OFFSET(A$1,,,SUMPRODUCT(MAX(ROW(E$2:E3964)*(E3964=E$2:E3964)))))-COUNTBLANK(OFFSET(A$1,,,SUMPRODUCT(MAX(ROW(E$1:E3963)*(E2=E$1:E3963))))))</f>
        <v> </v>
      </c>
      <c r="K3964" s="25" t="str">
        <f>IF(OR(E3964="",E3964="!!!",F3964="NEW"),"",INDEX(J$1:J3963,SUMPRODUCT(MAX(ROW(E$1:E3963)*(E3964=E$1:E3963)))))</f>
        <v> </v>
      </c>
      <c r="L3964" s="26"/>
    </row>
    <row r="3965" spans="1:12">
      <c r="A3965" s="20" t="s">
        <v>2883</v>
      </c>
      <c r="B3965" s="27" t="s">
        <v>1243</v>
      </c>
      <c r="E3965" s="21">
        <f>IF(D3965="?OLD","!!!","")</f>
        <v/>
      </c>
      <c r="F3965" s="22" t="str">
        <f>IF(OR(E3965="",E3965="!!!"),"",IF(NOT(ISNA(VLOOKUP(E3965,E$1:E3964,1,FALSE()))),"OLD",IF(AND(E3965&lt;&gt;"",E3965&lt;&gt;"!!!"),"NEW","")))</f>
        <v> </v>
      </c>
      <c r="G3965" s="23" t="str">
        <f>IF(OR(E3965="",E3965="!!!"),"",IF(OR(J3965=0,AND(J3965=1,K3965=1),AND(J3965=1,I3965="SBJ"),AND(J3965=1,I3965=0)),"?IN_FOCUS",IF(J3965&lt;=2,"?ACTIVATED",IF(J3965&lt;&gt;"","?FAMILIAR",IF(F3965="NEW",IF(ISNA(VLOOKUP(E3965,#REF!,1,FALSE())),"?TYPE_IDENTIFIABLE","?REFERENTIAL"),"_")))))</f>
        <v> </v>
      </c>
      <c r="H3965" s="24" t="str">
        <f>IF(J3965&lt;&gt;1,"",IF(I3965="SBJ","CB","?"))</f>
        <v> </v>
      </c>
      <c r="I3965" s="25" t="str">
        <f>IF(OR(E3965="",E3965="!!!",F3965="NEW"),"",INDEX(B3964:B$2,-1+SUMPRODUCT(MAX(ROW(E3964:E$2)*(E3965=E3964:E$2)))))</f>
        <v> </v>
      </c>
      <c r="J3965" s="25" t="str">
        <f>IF(OR(E3965="",E3965="!!!",F3965="NEW"),"",COUNTBLANK(OFFSET(A$1,,,SUMPRODUCT(MAX(ROW(E$2:E3965)*(E3965=E$2:E3965)))))-COUNTBLANK(OFFSET(A$1,,,SUMPRODUCT(MAX(ROW(E$1:E3964)*(E2=E$1:E3964))))))</f>
        <v> </v>
      </c>
      <c r="K3965" s="25" t="str">
        <f>IF(OR(E3965="",E3965="!!!",F3965="NEW"),"",INDEX(J$1:J3964,SUMPRODUCT(MAX(ROW(E$1:E3964)*(E3965=E$1:E3964)))))</f>
        <v> </v>
      </c>
      <c r="L3965" s="26"/>
    </row>
    <row r="3966" spans="1:12">
      <c r="A3966" s="20" t="s">
        <v>1145</v>
      </c>
      <c r="E3966" s="21">
        <f>IF(D3966="?OLD","!!!","")</f>
        <v/>
      </c>
      <c r="F3966" s="22" t="str">
        <f>IF(OR(E3966="",E3966="!!!"),"",IF(NOT(ISNA(VLOOKUP(E3966,E$1:E3965,1,FALSE()))),"OLD",IF(AND(E3966&lt;&gt;"",E3966&lt;&gt;"!!!"),"NEW","")))</f>
        <v> </v>
      </c>
      <c r="G3966" s="23" t="str">
        <f>IF(OR(E3966="",E3966="!!!"),"",IF(OR(J3966=0,AND(J3966=1,K3966=1),AND(J3966=1,I3966="SBJ"),AND(J3966=1,I3966=0)),"?IN_FOCUS",IF(J3966&lt;=2,"?ACTIVATED",IF(J3966&lt;&gt;"","?FAMILIAR",IF(F3966="NEW",IF(ISNA(VLOOKUP(E3966,#REF!,1,FALSE())),"?TYPE_IDENTIFIABLE","?REFERENTIAL"),"_")))))</f>
        <v> </v>
      </c>
      <c r="H3966" s="24" t="str">
        <f>IF(J3966&lt;&gt;1,"",IF(I3966="SBJ","CB","?"))</f>
        <v> </v>
      </c>
      <c r="I3966" s="25" t="str">
        <f>IF(OR(E3966="",E3966="!!!",F3966="NEW"),"",INDEX(B3965:B$2,-1+SUMPRODUCT(MAX(ROW(E3965:E$2)*(E3966=E3965:E$2)))))</f>
        <v> </v>
      </c>
      <c r="J3966" s="25" t="str">
        <f>IF(OR(E3966="",E3966="!!!",F3966="NEW"),"",COUNTBLANK(OFFSET(A$1,,,SUMPRODUCT(MAX(ROW(E$2:E3966)*(E3966=E$2:E3966)))))-COUNTBLANK(OFFSET(A$1,,,SUMPRODUCT(MAX(ROW(E$1:E3965)*(E2=E$1:E3965))))))</f>
        <v> </v>
      </c>
      <c r="K3966" s="25" t="str">
        <f>IF(OR(E3966="",E3966="!!!",F3966="NEW"),"",INDEX(J$1:J3965,SUMPRODUCT(MAX(ROW(E$1:E3965)*(E3966=E$1:E3965)))))</f>
        <v> </v>
      </c>
      <c r="L3966" s="26"/>
    </row>
    <row r="3967" spans="1:12">
      <c r="A3967" s="20"/>
    </row>
    <row r="3968" spans="1:12">
      <c r="A3968" s="20" t="s">
        <v>2884</v>
      </c>
    </row>
    <row r="3969" spans="1:12">
      <c r="A3969" s="20" t="s">
        <v>1350</v>
      </c>
      <c r="E3969" s="21">
        <f>IF(D3969="?OLD","!!!","")</f>
        <v/>
      </c>
      <c r="F3969" s="22" t="str">
        <f>IF(OR(E3969="",E3969="!!!"),"",IF(NOT(ISNA(VLOOKUP(E3969,E$1:E3968,1,FALSE()))),"OLD",IF(AND(E3969&lt;&gt;"",E3969&lt;&gt;"!!!"),"NEW","")))</f>
        <v> </v>
      </c>
      <c r="G3969" s="23" t="str">
        <f>IF(OR(E3969="",E3969="!!!"),"",IF(OR(J3969=0,AND(J3969=1,K3969=1),AND(J3969=1,I3969="SBJ"),AND(J3969=1,I3969=0)),"?IN_FOCUS",IF(J3969&lt;=2,"?ACTIVATED",IF(J3969&lt;&gt;"","?FAMILIAR",IF(F3969="NEW",IF(ISNA(VLOOKUP(E3969,#REF!,1,FALSE())),"?TYPE_IDENTIFIABLE","?REFERENTIAL"),"_")))))</f>
        <v> </v>
      </c>
      <c r="H3969" s="24" t="str">
        <f>IF(J3969&lt;&gt;1,"",IF(I3969="SBJ","CB","?"))</f>
        <v> </v>
      </c>
      <c r="I3969" s="25" t="str">
        <f>IF(OR(E3969="",E3969="!!!",F3969="NEW"),"",INDEX(B3968:B$2,-1+SUMPRODUCT(MAX(ROW(E3968:E$2)*(E3969=E3968:E$2)))))</f>
        <v> </v>
      </c>
      <c r="J3969" s="25" t="str">
        <f>IF(OR(E3969="",E3969="!!!",F3969="NEW"),"",COUNTBLANK(OFFSET(A$1,,,SUMPRODUCT(MAX(ROW(E$2:E3969)*(E3969=E$2:E3969)))))-COUNTBLANK(OFFSET(A$1,,,SUMPRODUCT(MAX(ROW(E$1:E3968)*(E2=E$1:E3968))))))</f>
        <v> </v>
      </c>
      <c r="K3969" s="25" t="str">
        <f>IF(OR(E3969="",E3969="!!!",F3969="NEW"),"",INDEX(J$1:J3968,SUMPRODUCT(MAX(ROW(E$1:E3968)*(E3969=E$1:E3968)))))</f>
        <v> </v>
      </c>
      <c r="L3969" s="26"/>
    </row>
    <row r="3970" spans="1:12">
      <c r="A3970" s="20" t="s">
        <v>1124</v>
      </c>
      <c r="B3970" s="27" t="s">
        <v>1149</v>
      </c>
      <c r="C3970" s="27" t="s">
        <v>1126</v>
      </c>
      <c r="D3970" s="27" t="s">
        <v>1105</v>
      </c>
      <c r="E3970" s="21">
        <f>IF(D3970="?OLD","!!!","")</f>
        <v/>
      </c>
      <c r="F3970" s="22" t="str">
        <f>IF(OR(E3970="",E3970="!!!"),"",IF(NOT(ISNA(VLOOKUP(E3970,E$1:E3969,1,FALSE()))),"OLD",IF(AND(E3970&lt;&gt;"",E3970&lt;&gt;"!!!"),"NEW","")))</f>
        <v> </v>
      </c>
      <c r="G3970" s="23" t="str">
        <f>IF(OR(E3970="",E3970="!!!"),"",IF(OR(J3970=0,AND(J3970=1,K3970=1),AND(J3970=1,I3970="SBJ"),AND(J3970=1,I3970=0)),"?IN_FOCUS",IF(J3970&lt;=2,"?ACTIVATED",IF(J3970&lt;&gt;"","?FAMILIAR",IF(F3970="NEW",IF(ISNA(VLOOKUP(E3970,#REF!,1,FALSE())),"?TYPE_IDENTIFIABLE","?REFERENTIAL"),"_")))))</f>
        <v> </v>
      </c>
      <c r="H3970" s="24" t="str">
        <f>IF(J3970&lt;&gt;1,"",IF(I3970="SBJ","CB","?"))</f>
        <v> </v>
      </c>
      <c r="I3970" s="25" t="str">
        <f>IF(OR(E3970="",E3970="!!!",F3970="NEW"),"",INDEX(B3969:B$2,-1+SUMPRODUCT(MAX(ROW(E3969:E$2)*(E3970=E3969:E$2)))))</f>
        <v> </v>
      </c>
      <c r="J3970" s="25" t="str">
        <f>IF(OR(E3970="",E3970="!!!",F3970="NEW"),"",COUNTBLANK(OFFSET(A$1,,,SUMPRODUCT(MAX(ROW(E$2:E3970)*(E3970=E$2:E3970)))))-COUNTBLANK(OFFSET(A$1,,,SUMPRODUCT(MAX(ROW(E$1:E3969)*(E2=E$1:E3969))))))</f>
        <v> </v>
      </c>
      <c r="K3970" s="25" t="str">
        <f>IF(OR(E3970="",E3970="!!!",F3970="NEW"),"",INDEX(J$1:J3969,SUMPRODUCT(MAX(ROW(E$1:E3969)*(E3970=E$1:E3969)))))</f>
        <v> </v>
      </c>
      <c r="L3970" s="26"/>
    </row>
    <row r="3971" spans="1:12">
      <c r="A3971" s="20" t="s">
        <v>1123</v>
      </c>
      <c r="E3971" s="21">
        <f>IF(D3971="?OLD","!!!","")</f>
        <v/>
      </c>
      <c r="F3971" s="22" t="str">
        <f>IF(OR(E3971="",E3971="!!!"),"",IF(NOT(ISNA(VLOOKUP(E3971,E$1:E3970,1,FALSE()))),"OLD",IF(AND(E3971&lt;&gt;"",E3971&lt;&gt;"!!!"),"NEW","")))</f>
        <v> </v>
      </c>
      <c r="G3971" s="23" t="str">
        <f>IF(OR(E3971="",E3971="!!!"),"",IF(OR(J3971=0,AND(J3971=1,K3971=1),AND(J3971=1,I3971="SBJ"),AND(J3971=1,I3971=0)),"?IN_FOCUS",IF(J3971&lt;=2,"?ACTIVATED",IF(J3971&lt;&gt;"","?FAMILIAR",IF(F3971="NEW",IF(ISNA(VLOOKUP(E3971,#REF!,1,FALSE())),"?TYPE_IDENTIFIABLE","?REFERENTIAL"),"_")))))</f>
        <v> </v>
      </c>
      <c r="H3971" s="24" t="str">
        <f>IF(J3971&lt;&gt;1,"",IF(I3971="SBJ","CB","?"))</f>
        <v> </v>
      </c>
      <c r="I3971" s="25" t="str">
        <f>IF(OR(E3971="",E3971="!!!",F3971="NEW"),"",INDEX(B3970:B$2,-1+SUMPRODUCT(MAX(ROW(E3970:E$2)*(E3971=E3970:E$2)))))</f>
        <v> </v>
      </c>
      <c r="J3971" s="25" t="str">
        <f>IF(OR(E3971="",E3971="!!!",F3971="NEW"),"",COUNTBLANK(OFFSET(A$1,,,SUMPRODUCT(MAX(ROW(E$2:E3971)*(E3971=E$2:E3971)))))-COUNTBLANK(OFFSET(A$1,,,SUMPRODUCT(MAX(ROW(E$1:E3970)*(E2=E$1:E3970))))))</f>
        <v> </v>
      </c>
      <c r="K3971" s="25" t="str">
        <f>IF(OR(E3971="",E3971="!!!",F3971="NEW"),"",INDEX(J$1:J3970,SUMPRODUCT(MAX(ROW(E$1:E3970)*(E3971=E$1:E3970)))))</f>
        <v> </v>
      </c>
      <c r="L3971" s="26"/>
    </row>
    <row r="3972" spans="1:12">
      <c r="A3972" s="20" t="s">
        <v>2885</v>
      </c>
      <c r="E3972" s="21">
        <f>IF(D3972="?OLD","!!!","")</f>
        <v/>
      </c>
      <c r="F3972" s="22" t="str">
        <f>IF(OR(E3972="",E3972="!!!"),"",IF(NOT(ISNA(VLOOKUP(E3972,E$1:E3971,1,FALSE()))),"OLD",IF(AND(E3972&lt;&gt;"",E3972&lt;&gt;"!!!"),"NEW","")))</f>
        <v> </v>
      </c>
      <c r="G3972" s="23" t="str">
        <f>IF(OR(E3972="",E3972="!!!"),"",IF(OR(J3972=0,AND(J3972=1,K3972=1),AND(J3972=1,I3972="SBJ"),AND(J3972=1,I3972=0)),"?IN_FOCUS",IF(J3972&lt;=2,"?ACTIVATED",IF(J3972&lt;&gt;"","?FAMILIAR",IF(F3972="NEW",IF(ISNA(VLOOKUP(E3972,#REF!,1,FALSE())),"?TYPE_IDENTIFIABLE","?REFERENTIAL"),"_")))))</f>
        <v> </v>
      </c>
      <c r="H3972" s="24" t="str">
        <f>IF(J3972&lt;&gt;1,"",IF(I3972="SBJ","CB","?"))</f>
        <v> </v>
      </c>
      <c r="I3972" s="25" t="str">
        <f>IF(OR(E3972="",E3972="!!!",F3972="NEW"),"",INDEX(B3971:B$2,-1+SUMPRODUCT(MAX(ROW(E3971:E$2)*(E3972=E3971:E$2)))))</f>
        <v> </v>
      </c>
      <c r="J3972" s="25" t="str">
        <f>IF(OR(E3972="",E3972="!!!",F3972="NEW"),"",COUNTBLANK(OFFSET(A$1,,,SUMPRODUCT(MAX(ROW(E$2:E3972)*(E3972=E$2:E3972)))))-COUNTBLANK(OFFSET(A$1,,,SUMPRODUCT(MAX(ROW(E$1:E3971)*(E2=E$1:E3971))))))</f>
        <v> </v>
      </c>
      <c r="K3972" s="25" t="str">
        <f>IF(OR(E3972="",E3972="!!!",F3972="NEW"),"",INDEX(J$1:J3971,SUMPRODUCT(MAX(ROW(E$1:E3971)*(E3972=E$1:E3971)))))</f>
        <v> </v>
      </c>
      <c r="L3972" s="26"/>
    </row>
    <row r="3973" spans="1:12">
      <c r="A3973" s="20" t="s">
        <v>2870</v>
      </c>
      <c r="B3973" s="27" t="s">
        <v>1115</v>
      </c>
      <c r="E3973" s="21">
        <f>IF(D3973="?OLD","!!!","")</f>
        <v/>
      </c>
      <c r="F3973" s="22" t="str">
        <f>IF(OR(E3973="",E3973="!!!"),"",IF(NOT(ISNA(VLOOKUP(E3973,E$1:E3972,1,FALSE()))),"OLD",IF(AND(E3973&lt;&gt;"",E3973&lt;&gt;"!!!"),"NEW","")))</f>
        <v> </v>
      </c>
      <c r="G3973" s="23" t="str">
        <f>IF(OR(E3973="",E3973="!!!"),"",IF(OR(J3973=0,AND(J3973=1,K3973=1),AND(J3973=1,I3973="SBJ"),AND(J3973=1,I3973=0)),"?IN_FOCUS",IF(J3973&lt;=2,"?ACTIVATED",IF(J3973&lt;&gt;"","?FAMILIAR",IF(F3973="NEW",IF(ISNA(VLOOKUP(E3973,#REF!,1,FALSE())),"?TYPE_IDENTIFIABLE","?REFERENTIAL"),"_")))))</f>
        <v> </v>
      </c>
      <c r="H3973" s="24" t="str">
        <f>IF(J3973&lt;&gt;1,"",IF(I3973="SBJ","CB","?"))</f>
        <v> </v>
      </c>
      <c r="I3973" s="25" t="str">
        <f>IF(OR(E3973="",E3973="!!!",F3973="NEW"),"",INDEX(B3972:B$2,-1+SUMPRODUCT(MAX(ROW(E3972:E$2)*(E3973=E3972:E$2)))))</f>
        <v> </v>
      </c>
      <c r="J3973" s="25" t="str">
        <f>IF(OR(E3973="",E3973="!!!",F3973="NEW"),"",COUNTBLANK(OFFSET(A$1,,,SUMPRODUCT(MAX(ROW(E$2:E3973)*(E3973=E$2:E3973)))))-COUNTBLANK(OFFSET(A$1,,,SUMPRODUCT(MAX(ROW(E$1:E3972)*(E2=E$1:E3972))))))</f>
        <v> </v>
      </c>
      <c r="K3973" s="25" t="str">
        <f>IF(OR(E3973="",E3973="!!!",F3973="NEW"),"",INDEX(J$1:J3972,SUMPRODUCT(MAX(ROW(E$1:E3972)*(E3973=E$1:E3972)))))</f>
        <v> </v>
      </c>
      <c r="L3973" s="26"/>
    </row>
    <row r="3974" spans="1:12">
      <c r="A3974" s="20" t="s">
        <v>1403</v>
      </c>
      <c r="B3974" s="27" t="s">
        <v>1141</v>
      </c>
      <c r="C3974" s="27" t="s">
        <v>1142</v>
      </c>
      <c r="D3974" s="27" t="s">
        <v>1105</v>
      </c>
      <c r="E3974" s="21">
        <f>IF(D3974="?OLD","!!!","")</f>
        <v/>
      </c>
      <c r="F3974" s="22" t="str">
        <f>IF(OR(E3974="",E3974="!!!"),"",IF(NOT(ISNA(VLOOKUP(E3974,E$1:E3973,1,FALSE()))),"OLD",IF(AND(E3974&lt;&gt;"",E3974&lt;&gt;"!!!"),"NEW","")))</f>
        <v> </v>
      </c>
      <c r="G3974" s="23" t="str">
        <f>IF(OR(E3974="",E3974="!!!"),"",IF(OR(J3974=0,AND(J3974=1,K3974=1),AND(J3974=1,I3974="SBJ"),AND(J3974=1,I3974=0)),"?IN_FOCUS",IF(J3974&lt;=2,"?ACTIVATED",IF(J3974&lt;&gt;"","?FAMILIAR",IF(F3974="NEW",IF(ISNA(VLOOKUP(E3974,#REF!,1,FALSE())),"?TYPE_IDENTIFIABLE","?REFERENTIAL"),"_")))))</f>
        <v> </v>
      </c>
      <c r="H3974" s="24" t="str">
        <f>IF(J3974&lt;&gt;1,"",IF(I3974="SBJ","CB","?"))</f>
        <v> </v>
      </c>
      <c r="I3974" s="25" t="str">
        <f>IF(OR(E3974="",E3974="!!!",F3974="NEW"),"",INDEX(B3973:B$2,-1+SUMPRODUCT(MAX(ROW(E3973:E$2)*(E3974=E3973:E$2)))))</f>
        <v> </v>
      </c>
      <c r="J3974" s="25" t="str">
        <f>IF(OR(E3974="",E3974="!!!",F3974="NEW"),"",COUNTBLANK(OFFSET(A$1,,,SUMPRODUCT(MAX(ROW(E$2:E3974)*(E3974=E$2:E3974)))))-COUNTBLANK(OFFSET(A$1,,,SUMPRODUCT(MAX(ROW(E$1:E3973)*(E2=E$1:E3973))))))</f>
        <v> </v>
      </c>
      <c r="K3974" s="25" t="str">
        <f>IF(OR(E3974="",E3974="!!!",F3974="NEW"),"",INDEX(J$1:J3973,SUMPRODUCT(MAX(ROW(E$1:E3973)*(E3974=E$1:E3973)))))</f>
        <v> </v>
      </c>
      <c r="L3974" s="26"/>
    </row>
    <row r="3975" spans="1:12">
      <c r="A3975" s="20" t="s">
        <v>1513</v>
      </c>
      <c r="E3975" s="21">
        <f>IF(D3975="?OLD","!!!","")</f>
        <v/>
      </c>
      <c r="F3975" s="22" t="str">
        <f>IF(OR(E3975="",E3975="!!!"),"",IF(NOT(ISNA(VLOOKUP(E3975,E$1:E3974,1,FALSE()))),"OLD",IF(AND(E3975&lt;&gt;"",E3975&lt;&gt;"!!!"),"NEW","")))</f>
        <v> </v>
      </c>
      <c r="G3975" s="23" t="str">
        <f>IF(OR(E3975="",E3975="!!!"),"",IF(OR(J3975=0,AND(J3975=1,K3975=1),AND(J3975=1,I3975="SBJ"),AND(J3975=1,I3975=0)),"?IN_FOCUS",IF(J3975&lt;=2,"?ACTIVATED",IF(J3975&lt;&gt;"","?FAMILIAR",IF(F3975="NEW",IF(ISNA(VLOOKUP(E3975,#REF!,1,FALSE())),"?TYPE_IDENTIFIABLE","?REFERENTIAL"),"_")))))</f>
        <v> </v>
      </c>
      <c r="H3975" s="24" t="str">
        <f>IF(J3975&lt;&gt;1,"",IF(I3975="SBJ","CB","?"))</f>
        <v> </v>
      </c>
      <c r="I3975" s="25" t="str">
        <f>IF(OR(E3975="",E3975="!!!",F3975="NEW"),"",INDEX(B3974:B$2,-1+SUMPRODUCT(MAX(ROW(E3974:E$2)*(E3975=E3974:E$2)))))</f>
        <v> </v>
      </c>
      <c r="J3975" s="25" t="str">
        <f>IF(OR(E3975="",E3975="!!!",F3975="NEW"),"",COUNTBLANK(OFFSET(A$1,,,SUMPRODUCT(MAX(ROW(E$2:E3975)*(E3975=E$2:E3975)))))-COUNTBLANK(OFFSET(A$1,,,SUMPRODUCT(MAX(ROW(E$1:E3974)*(E2=E$1:E3974))))))</f>
        <v> </v>
      </c>
      <c r="K3975" s="25" t="str">
        <f>IF(OR(E3975="",E3975="!!!",F3975="NEW"),"",INDEX(J$1:J3974,SUMPRODUCT(MAX(ROW(E$1:E3974)*(E3975=E$1:E3974)))))</f>
        <v> </v>
      </c>
      <c r="L3975" s="26"/>
    </row>
    <row r="3976" spans="1:12">
      <c r="A3976" s="20" t="s">
        <v>1351</v>
      </c>
      <c r="E3976" s="21">
        <f>IF(D3976="?OLD","!!!","")</f>
        <v/>
      </c>
      <c r="F3976" s="22" t="str">
        <f>IF(OR(E3976="",E3976="!!!"),"",IF(NOT(ISNA(VLOOKUP(E3976,E$1:E3975,1,FALSE()))),"OLD",IF(AND(E3976&lt;&gt;"",E3976&lt;&gt;"!!!"),"NEW","")))</f>
        <v> </v>
      </c>
      <c r="G3976" s="23" t="str">
        <f>IF(OR(E3976="",E3976="!!!"),"",IF(OR(J3976=0,AND(J3976=1,K3976=1),AND(J3976=1,I3976="SBJ"),AND(J3976=1,I3976=0)),"?IN_FOCUS",IF(J3976&lt;=2,"?ACTIVATED",IF(J3976&lt;&gt;"","?FAMILIAR",IF(F3976="NEW",IF(ISNA(VLOOKUP(E3976,#REF!,1,FALSE())),"?TYPE_IDENTIFIABLE","?REFERENTIAL"),"_")))))</f>
        <v> </v>
      </c>
      <c r="H3976" s="24" t="str">
        <f>IF(J3976&lt;&gt;1,"",IF(I3976="SBJ","CB","?"))</f>
        <v> </v>
      </c>
      <c r="I3976" s="25" t="str">
        <f>IF(OR(E3976="",E3976="!!!",F3976="NEW"),"",INDEX(B3975:B$2,-1+SUMPRODUCT(MAX(ROW(E3975:E$2)*(E3976=E3975:E$2)))))</f>
        <v> </v>
      </c>
      <c r="J3976" s="25" t="str">
        <f>IF(OR(E3976="",E3976="!!!",F3976="NEW"),"",COUNTBLANK(OFFSET(A$1,,,SUMPRODUCT(MAX(ROW(E$2:E3976)*(E3976=E$2:E3976)))))-COUNTBLANK(OFFSET(A$1,,,SUMPRODUCT(MAX(ROW(E$1:E3975)*(E2=E$1:E3975))))))</f>
        <v> </v>
      </c>
      <c r="K3976" s="25" t="str">
        <f>IF(OR(E3976="",E3976="!!!",F3976="NEW"),"",INDEX(J$1:J3975,SUMPRODUCT(MAX(ROW(E$1:E3975)*(E3976=E$1:E3975)))))</f>
        <v> </v>
      </c>
      <c r="L3976" s="26"/>
    </row>
    <row r="3977" spans="1:12">
      <c r="A3977" s="20"/>
    </row>
    <row r="3978" spans="1:12">
      <c r="A3978" s="20" t="s">
        <v>2886</v>
      </c>
    </row>
    <row r="3979" spans="1:12">
      <c r="A3979" s="20" t="s">
        <v>1111</v>
      </c>
      <c r="E3979" s="21">
        <f>IF(D3979="?OLD","!!!","")</f>
        <v/>
      </c>
      <c r="F3979" s="22" t="str">
        <f>IF(OR(E3979="",E3979="!!!"),"",IF(NOT(ISNA(VLOOKUP(E3979,E$1:E3978,1,FALSE()))),"OLD",IF(AND(E3979&lt;&gt;"",E3979&lt;&gt;"!!!"),"NEW","")))</f>
        <v> </v>
      </c>
      <c r="G3979" s="23" t="str">
        <f>IF(OR(E3979="",E3979="!!!"),"",IF(OR(J3979=0,AND(J3979=1,K3979=1),AND(J3979=1,I3979="SBJ"),AND(J3979=1,I3979=0)),"?IN_FOCUS",IF(J3979&lt;=2,"?ACTIVATED",IF(J3979&lt;&gt;"","?FAMILIAR",IF(F3979="NEW",IF(ISNA(VLOOKUP(E3979,#REF!,1,FALSE())),"?TYPE_IDENTIFIABLE","?REFERENTIAL"),"_")))))</f>
        <v> </v>
      </c>
      <c r="H3979" s="24" t="str">
        <f>IF(J3979&lt;&gt;1,"",IF(I3979="SBJ","CB","?"))</f>
        <v> </v>
      </c>
      <c r="I3979" s="25" t="str">
        <f>IF(OR(E3979="",E3979="!!!",F3979="NEW"),"",INDEX(B3978:B$2,-1+SUMPRODUCT(MAX(ROW(E3978:E$2)*(E3979=E3978:E$2)))))</f>
        <v> </v>
      </c>
      <c r="J3979" s="25" t="str">
        <f>IF(OR(E3979="",E3979="!!!",F3979="NEW"),"",COUNTBLANK(OFFSET(A$1,,,SUMPRODUCT(MAX(ROW(E$2:E3979)*(E3979=E$2:E3979)))))-COUNTBLANK(OFFSET(A$1,,,SUMPRODUCT(MAX(ROW(E$1:E3978)*(E2=E$1:E3978))))))</f>
        <v> </v>
      </c>
      <c r="K3979" s="25" t="str">
        <f>IF(OR(E3979="",E3979="!!!",F3979="NEW"),"",INDEX(J$1:J3978,SUMPRODUCT(MAX(ROW(E$1:E3978)*(E3979=E$1:E3978)))))</f>
        <v> </v>
      </c>
      <c r="L3979" s="26"/>
    </row>
    <row r="3980" spans="1:12">
      <c r="A3980" s="20" t="s">
        <v>2887</v>
      </c>
      <c r="E3980" s="21">
        <f>IF(D3980="?OLD","!!!","")</f>
        <v/>
      </c>
      <c r="F3980" s="22" t="str">
        <f>IF(OR(E3980="",E3980="!!!"),"",IF(NOT(ISNA(VLOOKUP(E3980,E$1:E3979,1,FALSE()))),"OLD",IF(AND(E3980&lt;&gt;"",E3980&lt;&gt;"!!!"),"NEW","")))</f>
        <v> </v>
      </c>
      <c r="G3980" s="23" t="str">
        <f>IF(OR(E3980="",E3980="!!!"),"",IF(OR(J3980=0,AND(J3980=1,K3980=1),AND(J3980=1,I3980="SBJ"),AND(J3980=1,I3980=0)),"?IN_FOCUS",IF(J3980&lt;=2,"?ACTIVATED",IF(J3980&lt;&gt;"","?FAMILIAR",IF(F3980="NEW",IF(ISNA(VLOOKUP(E3980,#REF!,1,FALSE())),"?TYPE_IDENTIFIABLE","?REFERENTIAL"),"_")))))</f>
        <v> </v>
      </c>
      <c r="H3980" s="24" t="str">
        <f>IF(J3980&lt;&gt;1,"",IF(I3980="SBJ","CB","?"))</f>
        <v> </v>
      </c>
      <c r="I3980" s="25" t="str">
        <f>IF(OR(E3980="",E3980="!!!",F3980="NEW"),"",INDEX(B3979:B$2,-1+SUMPRODUCT(MAX(ROW(E3979:E$2)*(E3980=E3979:E$2)))))</f>
        <v> </v>
      </c>
      <c r="J3980" s="25" t="str">
        <f>IF(OR(E3980="",E3980="!!!",F3980="NEW"),"",COUNTBLANK(OFFSET(A$1,,,SUMPRODUCT(MAX(ROW(E$2:E3980)*(E3980=E$2:E3980)))))-COUNTBLANK(OFFSET(A$1,,,SUMPRODUCT(MAX(ROW(E$1:E3979)*(E2=E$1:E3979))))))</f>
        <v> </v>
      </c>
      <c r="K3980" s="25" t="str">
        <f>IF(OR(E3980="",E3980="!!!",F3980="NEW"),"",INDEX(J$1:J3979,SUMPRODUCT(MAX(ROW(E$1:E3979)*(E3980=E$1:E3979)))))</f>
        <v> </v>
      </c>
      <c r="L3980" s="26"/>
    </row>
    <row r="3981" spans="1:12">
      <c r="A3981" s="20" t="s">
        <v>2888</v>
      </c>
      <c r="E3981" s="21">
        <f>IF(D3981="?OLD","!!!","")</f>
        <v/>
      </c>
      <c r="F3981" s="22" t="str">
        <f>IF(OR(E3981="",E3981="!!!"),"",IF(NOT(ISNA(VLOOKUP(E3981,E$1:E3980,1,FALSE()))),"OLD",IF(AND(E3981&lt;&gt;"",E3981&lt;&gt;"!!!"),"NEW","")))</f>
        <v> </v>
      </c>
      <c r="G3981" s="23" t="str">
        <f>IF(OR(E3981="",E3981="!!!"),"",IF(OR(J3981=0,AND(J3981=1,K3981=1),AND(J3981=1,I3981="SBJ"),AND(J3981=1,I3981=0)),"?IN_FOCUS",IF(J3981&lt;=2,"?ACTIVATED",IF(J3981&lt;&gt;"","?FAMILIAR",IF(F3981="NEW",IF(ISNA(VLOOKUP(E3981,#REF!,1,FALSE())),"?TYPE_IDENTIFIABLE","?REFERENTIAL"),"_")))))</f>
        <v> </v>
      </c>
      <c r="H3981" s="24" t="str">
        <f>IF(J3981&lt;&gt;1,"",IF(I3981="SBJ","CB","?"))</f>
        <v> </v>
      </c>
      <c r="I3981" s="25" t="str">
        <f>IF(OR(E3981="",E3981="!!!",F3981="NEW"),"",INDEX(B3980:B$2,-1+SUMPRODUCT(MAX(ROW(E3980:E$2)*(E3981=E3980:E$2)))))</f>
        <v> </v>
      </c>
      <c r="J3981" s="25" t="str">
        <f>IF(OR(E3981="",E3981="!!!",F3981="NEW"),"",COUNTBLANK(OFFSET(A$1,,,SUMPRODUCT(MAX(ROW(E$2:E3981)*(E3981=E$2:E3981)))))-COUNTBLANK(OFFSET(A$1,,,SUMPRODUCT(MAX(ROW(E$1:E3980)*(E2=E$1:E3980))))))</f>
        <v> </v>
      </c>
      <c r="K3981" s="25" t="str">
        <f>IF(OR(E3981="",E3981="!!!",F3981="NEW"),"",INDEX(J$1:J3980,SUMPRODUCT(MAX(ROW(E$1:E3980)*(E3981=E$1:E3980)))))</f>
        <v> </v>
      </c>
      <c r="L3981" s="26"/>
    </row>
    <row r="3982" spans="1:12">
      <c r="A3982" s="20" t="s">
        <v>2889</v>
      </c>
      <c r="B3982" s="27" t="s">
        <v>1103</v>
      </c>
      <c r="C3982" s="27" t="s">
        <v>1108</v>
      </c>
      <c r="D3982" s="27" t="s">
        <v>1105</v>
      </c>
      <c r="E3982" s="21">
        <f>IF(D3982="?OLD","!!!","")</f>
        <v/>
      </c>
      <c r="F3982" s="22" t="str">
        <f>IF(OR(E3982="",E3982="!!!"),"",IF(NOT(ISNA(VLOOKUP(E3982,E$1:E3981,1,FALSE()))),"OLD",IF(AND(E3982&lt;&gt;"",E3982&lt;&gt;"!!!"),"NEW","")))</f>
        <v> </v>
      </c>
      <c r="G3982" s="23" t="str">
        <f>IF(OR(E3982="",E3982="!!!"),"",IF(OR(J3982=0,AND(J3982=1,K3982=1),AND(J3982=1,I3982="SBJ"),AND(J3982=1,I3982=0)),"?IN_FOCUS",IF(J3982&lt;=2,"?ACTIVATED",IF(J3982&lt;&gt;"","?FAMILIAR",IF(F3982="NEW",IF(ISNA(VLOOKUP(E3982,#REF!,1,FALSE())),"?TYPE_IDENTIFIABLE","?REFERENTIAL"),"_")))))</f>
        <v> </v>
      </c>
      <c r="H3982" s="24" t="str">
        <f>IF(J3982&lt;&gt;1,"",IF(I3982="SBJ","CB","?"))</f>
        <v> </v>
      </c>
      <c r="I3982" s="25" t="str">
        <f>IF(OR(E3982="",E3982="!!!",F3982="NEW"),"",INDEX(B3981:B$2,-1+SUMPRODUCT(MAX(ROW(E3981:E$2)*(E3982=E3981:E$2)))))</f>
        <v> </v>
      </c>
      <c r="J3982" s="25" t="str">
        <f>IF(OR(E3982="",E3982="!!!",F3982="NEW"),"",COUNTBLANK(OFFSET(A$1,,,SUMPRODUCT(MAX(ROW(E$2:E3982)*(E3982=E$2:E3982)))))-COUNTBLANK(OFFSET(A$1,,,SUMPRODUCT(MAX(ROW(E$1:E3981)*(E2=E$1:E3981))))))</f>
        <v> </v>
      </c>
      <c r="K3982" s="25" t="str">
        <f>IF(OR(E3982="",E3982="!!!",F3982="NEW"),"",INDEX(J$1:J3981,SUMPRODUCT(MAX(ROW(E$1:E3981)*(E3982=E$1:E3981)))))</f>
        <v> </v>
      </c>
      <c r="L3982" s="26"/>
    </row>
    <row r="3983" spans="1:12">
      <c r="A3983" s="20" t="s">
        <v>1334</v>
      </c>
      <c r="E3983" s="21">
        <f>IF(D3983="?OLD","!!!","")</f>
        <v/>
      </c>
      <c r="F3983" s="22" t="str">
        <f>IF(OR(E3983="",E3983="!!!"),"",IF(NOT(ISNA(VLOOKUP(E3983,E$1:E3982,1,FALSE()))),"OLD",IF(AND(E3983&lt;&gt;"",E3983&lt;&gt;"!!!"),"NEW","")))</f>
        <v> </v>
      </c>
      <c r="G3983" s="23" t="str">
        <f>IF(OR(E3983="",E3983="!!!"),"",IF(OR(J3983=0,AND(J3983=1,K3983=1),AND(J3983=1,I3983="SBJ"),AND(J3983=1,I3983=0)),"?IN_FOCUS",IF(J3983&lt;=2,"?ACTIVATED",IF(J3983&lt;&gt;"","?FAMILIAR",IF(F3983="NEW",IF(ISNA(VLOOKUP(E3983,#REF!,1,FALSE())),"?TYPE_IDENTIFIABLE","?REFERENTIAL"),"_")))))</f>
        <v> </v>
      </c>
      <c r="H3983" s="24" t="str">
        <f>IF(J3983&lt;&gt;1,"",IF(I3983="SBJ","CB","?"))</f>
        <v> </v>
      </c>
      <c r="I3983" s="25" t="str">
        <f>IF(OR(E3983="",E3983="!!!",F3983="NEW"),"",INDEX(B3982:B$2,-1+SUMPRODUCT(MAX(ROW(E3982:E$2)*(E3983=E3982:E$2)))))</f>
        <v> </v>
      </c>
      <c r="J3983" s="25" t="str">
        <f>IF(OR(E3983="",E3983="!!!",F3983="NEW"),"",COUNTBLANK(OFFSET(A$1,,,SUMPRODUCT(MAX(ROW(E$2:E3983)*(E3983=E$2:E3983)))))-COUNTBLANK(OFFSET(A$1,,,SUMPRODUCT(MAX(ROW(E$1:E3982)*(E2=E$1:E3982))))))</f>
        <v> </v>
      </c>
      <c r="K3983" s="25" t="str">
        <f>IF(OR(E3983="",E3983="!!!",F3983="NEW"),"",INDEX(J$1:J3982,SUMPRODUCT(MAX(ROW(E$1:E3982)*(E3983=E$1:E3982)))))</f>
        <v> </v>
      </c>
      <c r="L3983" s="26"/>
    </row>
    <row r="3984" spans="1:12">
      <c r="A3984" s="20"/>
    </row>
    <row r="3985" spans="1:12">
      <c r="A3985" s="20" t="s">
        <v>2890</v>
      </c>
    </row>
    <row r="3986" spans="1:12">
      <c r="A3986" s="20" t="s">
        <v>1111</v>
      </c>
      <c r="E3986" s="21">
        <f>IF(D3986="?OLD","!!!","")</f>
        <v/>
      </c>
      <c r="F3986" s="22" t="str">
        <f>IF(OR(E3986="",E3986="!!!"),"",IF(NOT(ISNA(VLOOKUP(E3986,E$1:E3985,1,FALSE()))),"OLD",IF(AND(E3986&lt;&gt;"",E3986&lt;&gt;"!!!"),"NEW","")))</f>
        <v> </v>
      </c>
      <c r="G3986" s="23" t="str">
        <f>IF(OR(E3986="",E3986="!!!"),"",IF(OR(J3986=0,AND(J3986=1,K3986=1),AND(J3986=1,I3986="SBJ"),AND(J3986=1,I3986=0)),"?IN_FOCUS",IF(J3986&lt;=2,"?ACTIVATED",IF(J3986&lt;&gt;"","?FAMILIAR",IF(F3986="NEW",IF(ISNA(VLOOKUP(E3986,#REF!,1,FALSE())),"?TYPE_IDENTIFIABLE","?REFERENTIAL"),"_")))))</f>
        <v> </v>
      </c>
      <c r="H3986" s="24" t="str">
        <f>IF(J3986&lt;&gt;1,"",IF(I3986="SBJ","CB","?"))</f>
        <v> </v>
      </c>
      <c r="I3986" s="25" t="str">
        <f>IF(OR(E3986="",E3986="!!!",F3986="NEW"),"",INDEX(B3985:B$2,-1+SUMPRODUCT(MAX(ROW(E3985:E$2)*(E3986=E3985:E$2)))))</f>
        <v> </v>
      </c>
      <c r="J3986" s="25" t="str">
        <f>IF(OR(E3986="",E3986="!!!",F3986="NEW"),"",COUNTBLANK(OFFSET(A$1,,,SUMPRODUCT(MAX(ROW(E$2:E3986)*(E3986=E$2:E3986)))))-COUNTBLANK(OFFSET(A$1,,,SUMPRODUCT(MAX(ROW(E$1:E3985)*(E2=E$1:E3985))))))</f>
        <v> </v>
      </c>
      <c r="K3986" s="25" t="str">
        <f>IF(OR(E3986="",E3986="!!!",F3986="NEW"),"",INDEX(J$1:J3985,SUMPRODUCT(MAX(ROW(E$1:E3985)*(E3986=E$1:E3985)))))</f>
        <v> </v>
      </c>
      <c r="L3986" s="26"/>
    </row>
    <row r="3987" spans="1:12">
      <c r="A3987" s="20" t="s">
        <v>2891</v>
      </c>
      <c r="E3987" s="21">
        <f>IF(D3987="?OLD","!!!","")</f>
        <v/>
      </c>
      <c r="F3987" s="22" t="str">
        <f>IF(OR(E3987="",E3987="!!!"),"",IF(NOT(ISNA(VLOOKUP(E3987,E$1:E3986,1,FALSE()))),"OLD",IF(AND(E3987&lt;&gt;"",E3987&lt;&gt;"!!!"),"NEW","")))</f>
        <v> </v>
      </c>
      <c r="G3987" s="23" t="str">
        <f>IF(OR(E3987="",E3987="!!!"),"",IF(OR(J3987=0,AND(J3987=1,K3987=1),AND(J3987=1,I3987="SBJ"),AND(J3987=1,I3987=0)),"?IN_FOCUS",IF(J3987&lt;=2,"?ACTIVATED",IF(J3987&lt;&gt;"","?FAMILIAR",IF(F3987="NEW",IF(ISNA(VLOOKUP(E3987,#REF!,1,FALSE())),"?TYPE_IDENTIFIABLE","?REFERENTIAL"),"_")))))</f>
        <v> </v>
      </c>
      <c r="H3987" s="24" t="str">
        <f>IF(J3987&lt;&gt;1,"",IF(I3987="SBJ","CB","?"))</f>
        <v> </v>
      </c>
      <c r="I3987" s="25" t="str">
        <f>IF(OR(E3987="",E3987="!!!",F3987="NEW"),"",INDEX(B3986:B$2,-1+SUMPRODUCT(MAX(ROW(E3986:E$2)*(E3987=E3986:E$2)))))</f>
        <v> </v>
      </c>
      <c r="J3987" s="25" t="str">
        <f>IF(OR(E3987="",E3987="!!!",F3987="NEW"),"",COUNTBLANK(OFFSET(A$1,,,SUMPRODUCT(MAX(ROW(E$2:E3987)*(E3987=E$2:E3987)))))-COUNTBLANK(OFFSET(A$1,,,SUMPRODUCT(MAX(ROW(E$1:E3986)*(E2=E$1:E3986))))))</f>
        <v> </v>
      </c>
      <c r="K3987" s="25" t="str">
        <f>IF(OR(E3987="",E3987="!!!",F3987="NEW"),"",INDEX(J$1:J3986,SUMPRODUCT(MAX(ROW(E$1:E3986)*(E3987=E$1:E3986)))))</f>
        <v> </v>
      </c>
      <c r="L3987" s="26"/>
    </row>
    <row r="3988" spans="1:12">
      <c r="A3988" s="20" t="s">
        <v>2892</v>
      </c>
      <c r="E3988" s="21">
        <f>IF(D3988="?OLD","!!!","")</f>
        <v/>
      </c>
      <c r="F3988" s="22" t="str">
        <f>IF(OR(E3988="",E3988="!!!"),"",IF(NOT(ISNA(VLOOKUP(E3988,E$1:E3987,1,FALSE()))),"OLD",IF(AND(E3988&lt;&gt;"",E3988&lt;&gt;"!!!"),"NEW","")))</f>
        <v> </v>
      </c>
      <c r="G3988" s="23" t="str">
        <f>IF(OR(E3988="",E3988="!!!"),"",IF(OR(J3988=0,AND(J3988=1,K3988=1),AND(J3988=1,I3988="SBJ"),AND(J3988=1,I3988=0)),"?IN_FOCUS",IF(J3988&lt;=2,"?ACTIVATED",IF(J3988&lt;&gt;"","?FAMILIAR",IF(F3988="NEW",IF(ISNA(VLOOKUP(E3988,#REF!,1,FALSE())),"?TYPE_IDENTIFIABLE","?REFERENTIAL"),"_")))))</f>
        <v> </v>
      </c>
      <c r="H3988" s="24" t="str">
        <f>IF(J3988&lt;&gt;1,"",IF(I3988="SBJ","CB","?"))</f>
        <v> </v>
      </c>
      <c r="I3988" s="25" t="str">
        <f>IF(OR(E3988="",E3988="!!!",F3988="NEW"),"",INDEX(B3987:B$2,-1+SUMPRODUCT(MAX(ROW(E3987:E$2)*(E3988=E3987:E$2)))))</f>
        <v> </v>
      </c>
      <c r="J3988" s="25" t="str">
        <f>IF(OR(E3988="",E3988="!!!",F3988="NEW"),"",COUNTBLANK(OFFSET(A$1,,,SUMPRODUCT(MAX(ROW(E$2:E3988)*(E3988=E$2:E3988)))))-COUNTBLANK(OFFSET(A$1,,,SUMPRODUCT(MAX(ROW(E$1:E3987)*(E2=E$1:E3987))))))</f>
        <v> </v>
      </c>
      <c r="K3988" s="25" t="str">
        <f>IF(OR(E3988="",E3988="!!!",F3988="NEW"),"",INDEX(J$1:J3987,SUMPRODUCT(MAX(ROW(E$1:E3987)*(E3988=E$1:E3987)))))</f>
        <v> </v>
      </c>
      <c r="L3988" s="26"/>
    </row>
    <row r="3989" spans="1:12">
      <c r="A3989" s="20" t="s">
        <v>1145</v>
      </c>
      <c r="E3989" s="21">
        <f>IF(D3989="?OLD","!!!","")</f>
        <v/>
      </c>
      <c r="F3989" s="22" t="str">
        <f>IF(OR(E3989="",E3989="!!!"),"",IF(NOT(ISNA(VLOOKUP(E3989,E$1:E3988,1,FALSE()))),"OLD",IF(AND(E3989&lt;&gt;"",E3989&lt;&gt;"!!!"),"NEW","")))</f>
        <v> </v>
      </c>
      <c r="G3989" s="23" t="str">
        <f>IF(OR(E3989="",E3989="!!!"),"",IF(OR(J3989=0,AND(J3989=1,K3989=1),AND(J3989=1,I3989="SBJ"),AND(J3989=1,I3989=0)),"?IN_FOCUS",IF(J3989&lt;=2,"?ACTIVATED",IF(J3989&lt;&gt;"","?FAMILIAR",IF(F3989="NEW",IF(ISNA(VLOOKUP(E3989,#REF!,1,FALSE())),"?TYPE_IDENTIFIABLE","?REFERENTIAL"),"_")))))</f>
        <v> </v>
      </c>
      <c r="H3989" s="24" t="str">
        <f>IF(J3989&lt;&gt;1,"",IF(I3989="SBJ","CB","?"))</f>
        <v> </v>
      </c>
      <c r="I3989" s="25" t="str">
        <f>IF(OR(E3989="",E3989="!!!",F3989="NEW"),"",INDEX(B3988:B$2,-1+SUMPRODUCT(MAX(ROW(E3988:E$2)*(E3989=E3988:E$2)))))</f>
        <v> </v>
      </c>
      <c r="J3989" s="25" t="str">
        <f>IF(OR(E3989="",E3989="!!!",F3989="NEW"),"",COUNTBLANK(OFFSET(A$1,,,SUMPRODUCT(MAX(ROW(E$2:E3989)*(E3989=E$2:E3989)))))-COUNTBLANK(OFFSET(A$1,,,SUMPRODUCT(MAX(ROW(E$1:E3988)*(E2=E$1:E3988))))))</f>
        <v> </v>
      </c>
      <c r="K3989" s="25" t="str">
        <f>IF(OR(E3989="",E3989="!!!",F3989="NEW"),"",INDEX(J$1:J3988,SUMPRODUCT(MAX(ROW(E$1:E3988)*(E3989=E$1:E3988)))))</f>
        <v> </v>
      </c>
      <c r="L3989" s="26"/>
    </row>
    <row r="3990" spans="1:12">
      <c r="A3990" s="20"/>
    </row>
    <row r="3991" spans="1:12">
      <c r="A3991" s="20" t="s">
        <v>2893</v>
      </c>
    </row>
    <row r="3992" spans="1:12">
      <c r="A3992" s="20" t="s">
        <v>1633</v>
      </c>
      <c r="B3992" s="27" t="s">
        <v>1149</v>
      </c>
      <c r="C3992" s="27" t="s">
        <v>1126</v>
      </c>
      <c r="D3992" s="27" t="s">
        <v>1105</v>
      </c>
      <c r="E3992" s="21">
        <f>IF(D3992="?OLD","!!!","")</f>
        <v/>
      </c>
      <c r="F3992" s="22" t="str">
        <f>IF(OR(E3992="",E3992="!!!"),"",IF(NOT(ISNA(VLOOKUP(E3992,E$1:E3991,1,FALSE()))),"OLD",IF(AND(E3992&lt;&gt;"",E3992&lt;&gt;"!!!"),"NEW","")))</f>
        <v> </v>
      </c>
      <c r="G3992" s="23" t="str">
        <f>IF(OR(E3992="",E3992="!!!"),"",IF(OR(J3992=0,AND(J3992=1,K3992=1),AND(J3992=1,I3992="SBJ"),AND(J3992=1,I3992=0)),"?IN_FOCUS",IF(J3992&lt;=2,"?ACTIVATED",IF(J3992&lt;&gt;"","?FAMILIAR",IF(F3992="NEW",IF(ISNA(VLOOKUP(E3992,#REF!,1,FALSE())),"?TYPE_IDENTIFIABLE","?REFERENTIAL"),"_")))))</f>
        <v> </v>
      </c>
      <c r="H3992" s="24" t="str">
        <f>IF(J3992&lt;&gt;1,"",IF(I3992="SBJ","CB","?"))</f>
        <v> </v>
      </c>
      <c r="I3992" s="25" t="str">
        <f>IF(OR(E3992="",E3992="!!!",F3992="NEW"),"",INDEX(B3991:B$2,-1+SUMPRODUCT(MAX(ROW(E3991:E$2)*(E3992=E3991:E$2)))))</f>
        <v> </v>
      </c>
      <c r="J3992" s="25" t="str">
        <f>IF(OR(E3992="",E3992="!!!",F3992="NEW"),"",COUNTBLANK(OFFSET(A$1,,,SUMPRODUCT(MAX(ROW(E$2:E3992)*(E3992=E$2:E3992)))))-COUNTBLANK(OFFSET(A$1,,,SUMPRODUCT(MAX(ROW(E$1:E3991)*(E2=E$1:E3991))))))</f>
        <v> </v>
      </c>
      <c r="K3992" s="25" t="str">
        <f>IF(OR(E3992="",E3992="!!!",F3992="NEW"),"",INDEX(J$1:J3991,SUMPRODUCT(MAX(ROW(E$1:E3991)*(E3992=E$1:E3991)))))</f>
        <v> </v>
      </c>
      <c r="L3992" s="26"/>
    </row>
    <row r="3993" spans="1:12">
      <c r="A3993" s="20" t="s">
        <v>1842</v>
      </c>
      <c r="E3993" s="21">
        <f>IF(D3993="?OLD","!!!","")</f>
        <v/>
      </c>
      <c r="F3993" s="22" t="str">
        <f>IF(OR(E3993="",E3993="!!!"),"",IF(NOT(ISNA(VLOOKUP(E3993,E$1:E3992,1,FALSE()))),"OLD",IF(AND(E3993&lt;&gt;"",E3993&lt;&gt;"!!!"),"NEW","")))</f>
        <v> </v>
      </c>
      <c r="G3993" s="23" t="str">
        <f>IF(OR(E3993="",E3993="!!!"),"",IF(OR(J3993=0,AND(J3993=1,K3993=1),AND(J3993=1,I3993="SBJ"),AND(J3993=1,I3993=0)),"?IN_FOCUS",IF(J3993&lt;=2,"?ACTIVATED",IF(J3993&lt;&gt;"","?FAMILIAR",IF(F3993="NEW",IF(ISNA(VLOOKUP(E3993,#REF!,1,FALSE())),"?TYPE_IDENTIFIABLE","?REFERENTIAL"),"_")))))</f>
        <v> </v>
      </c>
      <c r="H3993" s="24" t="str">
        <f>IF(J3993&lt;&gt;1,"",IF(I3993="SBJ","CB","?"))</f>
        <v> </v>
      </c>
      <c r="I3993" s="25" t="str">
        <f>IF(OR(E3993="",E3993="!!!",F3993="NEW"),"",INDEX(B3992:B$2,-1+SUMPRODUCT(MAX(ROW(E3992:E$2)*(E3993=E3992:E$2)))))</f>
        <v> </v>
      </c>
      <c r="J3993" s="25" t="str">
        <f>IF(OR(E3993="",E3993="!!!",F3993="NEW"),"",COUNTBLANK(OFFSET(A$1,,,SUMPRODUCT(MAX(ROW(E$2:E3993)*(E3993=E$2:E3993)))))-COUNTBLANK(OFFSET(A$1,,,SUMPRODUCT(MAX(ROW(E$1:E3992)*(E2=E$1:E3992))))))</f>
        <v> </v>
      </c>
      <c r="K3993" s="25" t="str">
        <f>IF(OR(E3993="",E3993="!!!",F3993="NEW"),"",INDEX(J$1:J3992,SUMPRODUCT(MAX(ROW(E$1:E3992)*(E3993=E$1:E3992)))))</f>
        <v> </v>
      </c>
      <c r="L3993" s="26"/>
    </row>
    <row r="3994" spans="1:12">
      <c r="A3994" s="20" t="s">
        <v>1128</v>
      </c>
      <c r="E3994" s="21">
        <f>IF(D3994="?OLD","!!!","")</f>
        <v/>
      </c>
      <c r="F3994" s="22" t="str">
        <f>IF(OR(E3994="",E3994="!!!"),"",IF(NOT(ISNA(VLOOKUP(E3994,E$1:E3993,1,FALSE()))),"OLD",IF(AND(E3994&lt;&gt;"",E3994&lt;&gt;"!!!"),"NEW","")))</f>
        <v> </v>
      </c>
      <c r="G3994" s="23" t="str">
        <f>IF(OR(E3994="",E3994="!!!"),"",IF(OR(J3994=0,AND(J3994=1,K3994=1),AND(J3994=1,I3994="SBJ"),AND(J3994=1,I3994=0)),"?IN_FOCUS",IF(J3994&lt;=2,"?ACTIVATED",IF(J3994&lt;&gt;"","?FAMILIAR",IF(F3994="NEW",IF(ISNA(VLOOKUP(E3994,#REF!,1,FALSE())),"?TYPE_IDENTIFIABLE","?REFERENTIAL"),"_")))))</f>
        <v> </v>
      </c>
      <c r="H3994" s="24" t="str">
        <f>IF(J3994&lt;&gt;1,"",IF(I3994="SBJ","CB","?"))</f>
        <v> </v>
      </c>
      <c r="I3994" s="25" t="str">
        <f>IF(OR(E3994="",E3994="!!!",F3994="NEW"),"",INDEX(B3993:B$2,-1+SUMPRODUCT(MAX(ROW(E3993:E$2)*(E3994=E3993:E$2)))))</f>
        <v> </v>
      </c>
      <c r="J3994" s="25" t="str">
        <f>IF(OR(E3994="",E3994="!!!",F3994="NEW"),"",COUNTBLANK(OFFSET(A$1,,,SUMPRODUCT(MAX(ROW(E$2:E3994)*(E3994=E$2:E3994)))))-COUNTBLANK(OFFSET(A$1,,,SUMPRODUCT(MAX(ROW(E$1:E3993)*(E2=E$1:E3993))))))</f>
        <v> </v>
      </c>
      <c r="K3994" s="25" t="str">
        <f>IF(OR(E3994="",E3994="!!!",F3994="NEW"),"",INDEX(J$1:J3993,SUMPRODUCT(MAX(ROW(E$1:E3993)*(E3994=E$1:E3993)))))</f>
        <v> </v>
      </c>
      <c r="L3994" s="26"/>
    </row>
    <row r="3995" spans="1:12">
      <c r="A3995" s="20" t="s">
        <v>1134</v>
      </c>
      <c r="E3995" s="21">
        <f>IF(D3995="?OLD","!!!","")</f>
        <v/>
      </c>
      <c r="F3995" s="22" t="str">
        <f>IF(OR(E3995="",E3995="!!!"),"",IF(NOT(ISNA(VLOOKUP(E3995,E$1:E3994,1,FALSE()))),"OLD",IF(AND(E3995&lt;&gt;"",E3995&lt;&gt;"!!!"),"NEW","")))</f>
        <v> </v>
      </c>
      <c r="G3995" s="23" t="str">
        <f>IF(OR(E3995="",E3995="!!!"),"",IF(OR(J3995=0,AND(J3995=1,K3995=1),AND(J3995=1,I3995="SBJ"),AND(J3995=1,I3995=0)),"?IN_FOCUS",IF(J3995&lt;=2,"?ACTIVATED",IF(J3995&lt;&gt;"","?FAMILIAR",IF(F3995="NEW",IF(ISNA(VLOOKUP(E3995,#REF!,1,FALSE())),"?TYPE_IDENTIFIABLE","?REFERENTIAL"),"_")))))</f>
        <v> </v>
      </c>
      <c r="H3995" s="24" t="str">
        <f>IF(J3995&lt;&gt;1,"",IF(I3995="SBJ","CB","?"))</f>
        <v> </v>
      </c>
      <c r="I3995" s="25" t="str">
        <f>IF(OR(E3995="",E3995="!!!",F3995="NEW"),"",INDEX(B3994:B$2,-1+SUMPRODUCT(MAX(ROW(E3994:E$2)*(E3995=E3994:E$2)))))</f>
        <v> </v>
      </c>
      <c r="J3995" s="25" t="str">
        <f>IF(OR(E3995="",E3995="!!!",F3995="NEW"),"",COUNTBLANK(OFFSET(A$1,,,SUMPRODUCT(MAX(ROW(E$2:E3995)*(E3995=E$2:E3995)))))-COUNTBLANK(OFFSET(A$1,,,SUMPRODUCT(MAX(ROW(E$1:E3994)*(E2=E$1:E3994))))))</f>
        <v> </v>
      </c>
      <c r="K3995" s="25" t="str">
        <f>IF(OR(E3995="",E3995="!!!",F3995="NEW"),"",INDEX(J$1:J3994,SUMPRODUCT(MAX(ROW(E$1:E3994)*(E3995=E$1:E3994)))))</f>
        <v> </v>
      </c>
      <c r="L3995" s="26"/>
    </row>
    <row r="3996" spans="1:12">
      <c r="A3996" s="20" t="s">
        <v>2894</v>
      </c>
      <c r="E3996" s="21">
        <f>IF(D3996="?OLD","!!!","")</f>
        <v/>
      </c>
      <c r="F3996" s="22" t="str">
        <f>IF(OR(E3996="",E3996="!!!"),"",IF(NOT(ISNA(VLOOKUP(E3996,E$1:E3995,1,FALSE()))),"OLD",IF(AND(E3996&lt;&gt;"",E3996&lt;&gt;"!!!"),"NEW","")))</f>
        <v> </v>
      </c>
      <c r="G3996" s="23" t="str">
        <f>IF(OR(E3996="",E3996="!!!"),"",IF(OR(J3996=0,AND(J3996=1,K3996=1),AND(J3996=1,I3996="SBJ"),AND(J3996=1,I3996=0)),"?IN_FOCUS",IF(J3996&lt;=2,"?ACTIVATED",IF(J3996&lt;&gt;"","?FAMILIAR",IF(F3996="NEW",IF(ISNA(VLOOKUP(E3996,#REF!,1,FALSE())),"?TYPE_IDENTIFIABLE","?REFERENTIAL"),"_")))))</f>
        <v> </v>
      </c>
      <c r="H3996" s="24" t="str">
        <f>IF(J3996&lt;&gt;1,"",IF(I3996="SBJ","CB","?"))</f>
        <v> </v>
      </c>
      <c r="I3996" s="25" t="str">
        <f>IF(OR(E3996="",E3996="!!!",F3996="NEW"),"",INDEX(B3995:B$2,-1+SUMPRODUCT(MAX(ROW(E3995:E$2)*(E3996=E3995:E$2)))))</f>
        <v> </v>
      </c>
      <c r="J3996" s="25" t="str">
        <f>IF(OR(E3996="",E3996="!!!",F3996="NEW"),"",COUNTBLANK(OFFSET(A$1,,,SUMPRODUCT(MAX(ROW(E$2:E3996)*(E3996=E$2:E3996)))))-COUNTBLANK(OFFSET(A$1,,,SUMPRODUCT(MAX(ROW(E$1:E3995)*(E2=E$1:E3995))))))</f>
        <v> </v>
      </c>
      <c r="K3996" s="25" t="str">
        <f>IF(OR(E3996="",E3996="!!!",F3996="NEW"),"",INDEX(J$1:J3995,SUMPRODUCT(MAX(ROW(E$1:E3995)*(E3996=E$1:E3995)))))</f>
        <v> </v>
      </c>
      <c r="L3996" s="26"/>
    </row>
    <row r="3997" spans="1:12">
      <c r="A3997" s="20" t="s">
        <v>1186</v>
      </c>
      <c r="B3997" s="27" t="s">
        <v>1213</v>
      </c>
      <c r="C3997" s="27" t="s">
        <v>1126</v>
      </c>
      <c r="D3997" s="27" t="s">
        <v>1105</v>
      </c>
      <c r="E3997" s="21">
        <f>IF(D3997="?OLD","!!!","")</f>
        <v/>
      </c>
      <c r="F3997" s="22" t="str">
        <f>IF(OR(E3997="",E3997="!!!"),"",IF(NOT(ISNA(VLOOKUP(E3997,E$1:E3996,1,FALSE()))),"OLD",IF(AND(E3997&lt;&gt;"",E3997&lt;&gt;"!!!"),"NEW","")))</f>
        <v> </v>
      </c>
      <c r="G3997" s="23" t="str">
        <f>IF(OR(E3997="",E3997="!!!"),"",IF(OR(J3997=0,AND(J3997=1,K3997=1),AND(J3997=1,I3997="SBJ"),AND(J3997=1,I3997=0)),"?IN_FOCUS",IF(J3997&lt;=2,"?ACTIVATED",IF(J3997&lt;&gt;"","?FAMILIAR",IF(F3997="NEW",IF(ISNA(VLOOKUP(E3997,#REF!,1,FALSE())),"?TYPE_IDENTIFIABLE","?REFERENTIAL"),"_")))))</f>
        <v> </v>
      </c>
      <c r="H3997" s="24" t="str">
        <f>IF(J3997&lt;&gt;1,"",IF(I3997="SBJ","CB","?"))</f>
        <v> </v>
      </c>
      <c r="I3997" s="25" t="str">
        <f>IF(OR(E3997="",E3997="!!!",F3997="NEW"),"",INDEX(B3996:B$2,-1+SUMPRODUCT(MAX(ROW(E3996:E$2)*(E3997=E3996:E$2)))))</f>
        <v> </v>
      </c>
      <c r="J3997" s="25" t="str">
        <f>IF(OR(E3997="",E3997="!!!",F3997="NEW"),"",COUNTBLANK(OFFSET(A$1,,,SUMPRODUCT(MAX(ROW(E$2:E3997)*(E3997=E$2:E3997)))))-COUNTBLANK(OFFSET(A$1,,,SUMPRODUCT(MAX(ROW(E$1:E3996)*(E2=E$1:E3996))))))</f>
        <v> </v>
      </c>
      <c r="K3997" s="25" t="str">
        <f>IF(OR(E3997="",E3997="!!!",F3997="NEW"),"",INDEX(J$1:J3996,SUMPRODUCT(MAX(ROW(E$1:E3996)*(E3997=E$1:E3996)))))</f>
        <v> </v>
      </c>
      <c r="L3997" s="26"/>
    </row>
    <row r="3998" spans="1:12">
      <c r="A3998" s="20" t="s">
        <v>1101</v>
      </c>
      <c r="E3998" s="21">
        <f>IF(D3998="?OLD","!!!","")</f>
        <v/>
      </c>
      <c r="F3998" s="22" t="str">
        <f>IF(OR(E3998="",E3998="!!!"),"",IF(NOT(ISNA(VLOOKUP(E3998,E$1:E3997,1,FALSE()))),"OLD",IF(AND(E3998&lt;&gt;"",E3998&lt;&gt;"!!!"),"NEW","")))</f>
        <v> </v>
      </c>
      <c r="G3998" s="23" t="str">
        <f>IF(OR(E3998="",E3998="!!!"),"",IF(OR(J3998=0,AND(J3998=1,K3998=1),AND(J3998=1,I3998="SBJ"),AND(J3998=1,I3998=0)),"?IN_FOCUS",IF(J3998&lt;=2,"?ACTIVATED",IF(J3998&lt;&gt;"","?FAMILIAR",IF(F3998="NEW",IF(ISNA(VLOOKUP(E3998,#REF!,1,FALSE())),"?TYPE_IDENTIFIABLE","?REFERENTIAL"),"_")))))</f>
        <v> </v>
      </c>
      <c r="H3998" s="24" t="str">
        <f>IF(J3998&lt;&gt;1,"",IF(I3998="SBJ","CB","?"))</f>
        <v> </v>
      </c>
      <c r="I3998" s="25" t="str">
        <f>IF(OR(E3998="",E3998="!!!",F3998="NEW"),"",INDEX(B3997:B$2,-1+SUMPRODUCT(MAX(ROW(E3997:E$2)*(E3998=E3997:E$2)))))</f>
        <v> </v>
      </c>
      <c r="J3998" s="25" t="str">
        <f>IF(OR(E3998="",E3998="!!!",F3998="NEW"),"",COUNTBLANK(OFFSET(A$1,,,SUMPRODUCT(MAX(ROW(E$2:E3998)*(E3998=E$2:E3998)))))-COUNTBLANK(OFFSET(A$1,,,SUMPRODUCT(MAX(ROW(E$1:E3997)*(E2=E$1:E3997))))))</f>
        <v> </v>
      </c>
      <c r="K3998" s="25" t="str">
        <f>IF(OR(E3998="",E3998="!!!",F3998="NEW"),"",INDEX(J$1:J3997,SUMPRODUCT(MAX(ROW(E$1:E3997)*(E3998=E$1:E3997)))))</f>
        <v> </v>
      </c>
      <c r="L3998" s="26"/>
    </row>
    <row r="3999" spans="1:12">
      <c r="A3999" s="20" t="s">
        <v>2895</v>
      </c>
      <c r="E3999" s="21">
        <f>IF(D3999="?OLD","!!!","")</f>
        <v/>
      </c>
      <c r="F3999" s="22" t="str">
        <f>IF(OR(E3999="",E3999="!!!"),"",IF(NOT(ISNA(VLOOKUP(E3999,E$1:E3998,1,FALSE()))),"OLD",IF(AND(E3999&lt;&gt;"",E3999&lt;&gt;"!!!"),"NEW","")))</f>
        <v> </v>
      </c>
      <c r="G3999" s="23" t="str">
        <f>IF(OR(E3999="",E3999="!!!"),"",IF(OR(J3999=0,AND(J3999=1,K3999=1),AND(J3999=1,I3999="SBJ"),AND(J3999=1,I3999=0)),"?IN_FOCUS",IF(J3999&lt;=2,"?ACTIVATED",IF(J3999&lt;&gt;"","?FAMILIAR",IF(F3999="NEW",IF(ISNA(VLOOKUP(E3999,#REF!,1,FALSE())),"?TYPE_IDENTIFIABLE","?REFERENTIAL"),"_")))))</f>
        <v> </v>
      </c>
      <c r="H3999" s="24" t="str">
        <f>IF(J3999&lt;&gt;1,"",IF(I3999="SBJ","CB","?"))</f>
        <v> </v>
      </c>
      <c r="I3999" s="25" t="str">
        <f>IF(OR(E3999="",E3999="!!!",F3999="NEW"),"",INDEX(B3998:B$2,-1+SUMPRODUCT(MAX(ROW(E3998:E$2)*(E3999=E3998:E$2)))))</f>
        <v> </v>
      </c>
      <c r="J3999" s="25" t="str">
        <f>IF(OR(E3999="",E3999="!!!",F3999="NEW"),"",COUNTBLANK(OFFSET(A$1,,,SUMPRODUCT(MAX(ROW(E$2:E3999)*(E3999=E$2:E3999)))))-COUNTBLANK(OFFSET(A$1,,,SUMPRODUCT(MAX(ROW(E$1:E3998)*(E2=E$1:E3998))))))</f>
        <v> </v>
      </c>
      <c r="K3999" s="25" t="str">
        <f>IF(OR(E3999="",E3999="!!!",F3999="NEW"),"",INDEX(J$1:J3998,SUMPRODUCT(MAX(ROW(E$1:E3998)*(E3999=E$1:E3998)))))</f>
        <v> </v>
      </c>
      <c r="L3999" s="26"/>
    </row>
    <row r="4000" spans="1:12">
      <c r="A4000" s="20" t="s">
        <v>1123</v>
      </c>
      <c r="E4000" s="21">
        <f>IF(D4000="?OLD","!!!","")</f>
        <v/>
      </c>
      <c r="F4000" s="22" t="str">
        <f>IF(OR(E4000="",E4000="!!!"),"",IF(NOT(ISNA(VLOOKUP(E4000,E$1:E3999,1,FALSE()))),"OLD",IF(AND(E4000&lt;&gt;"",E4000&lt;&gt;"!!!"),"NEW","")))</f>
        <v> </v>
      </c>
      <c r="G4000" s="23" t="str">
        <f>IF(OR(E4000="",E4000="!!!"),"",IF(OR(J4000=0,AND(J4000=1,K4000=1),AND(J4000=1,I4000="SBJ"),AND(J4000=1,I4000=0)),"?IN_FOCUS",IF(J4000&lt;=2,"?ACTIVATED",IF(J4000&lt;&gt;"","?FAMILIAR",IF(F4000="NEW",IF(ISNA(VLOOKUP(E4000,#REF!,1,FALSE())),"?TYPE_IDENTIFIABLE","?REFERENTIAL"),"_")))))</f>
        <v> </v>
      </c>
      <c r="H4000" s="24" t="str">
        <f>IF(J4000&lt;&gt;1,"",IF(I4000="SBJ","CB","?"))</f>
        <v> </v>
      </c>
      <c r="I4000" s="25" t="str">
        <f>IF(OR(E4000="",E4000="!!!",F4000="NEW"),"",INDEX(B3999:B$2,-1+SUMPRODUCT(MAX(ROW(E3999:E$2)*(E4000=E3999:E$2)))))</f>
        <v> </v>
      </c>
      <c r="J4000" s="25" t="str">
        <f>IF(OR(E4000="",E4000="!!!",F4000="NEW"),"",COUNTBLANK(OFFSET(A$1,,,SUMPRODUCT(MAX(ROW(E$2:E4000)*(E4000=E$2:E4000)))))-COUNTBLANK(OFFSET(A$1,,,SUMPRODUCT(MAX(ROW(E$1:E3999)*(E2=E$1:E3999))))))</f>
        <v> </v>
      </c>
      <c r="K4000" s="25" t="str">
        <f>IF(OR(E4000="",E4000="!!!",F4000="NEW"),"",INDEX(J$1:J3999,SUMPRODUCT(MAX(ROW(E$1:E3999)*(E4000=E$1:E3999)))))</f>
        <v> </v>
      </c>
      <c r="L4000" s="26"/>
    </row>
    <row r="4001" spans="1:12">
      <c r="A4001" s="20" t="s">
        <v>2052</v>
      </c>
      <c r="E4001" s="21">
        <f>IF(D4001="?OLD","!!!","")</f>
        <v/>
      </c>
      <c r="F4001" s="22" t="str">
        <f>IF(OR(E4001="",E4001="!!!"),"",IF(NOT(ISNA(VLOOKUP(E4001,E$1:E4000,1,FALSE()))),"OLD",IF(AND(E4001&lt;&gt;"",E4001&lt;&gt;"!!!"),"NEW","")))</f>
        <v> </v>
      </c>
      <c r="G4001" s="23" t="str">
        <f>IF(OR(E4001="",E4001="!!!"),"",IF(OR(J4001=0,AND(J4001=1,K4001=1),AND(J4001=1,I4001="SBJ"),AND(J4001=1,I4001=0)),"?IN_FOCUS",IF(J4001&lt;=2,"?ACTIVATED",IF(J4001&lt;&gt;"","?FAMILIAR",IF(F4001="NEW",IF(ISNA(VLOOKUP(E4001,#REF!,1,FALSE())),"?TYPE_IDENTIFIABLE","?REFERENTIAL"),"_")))))</f>
        <v> </v>
      </c>
      <c r="H4001" s="24" t="str">
        <f>IF(J4001&lt;&gt;1,"",IF(I4001="SBJ","CB","?"))</f>
        <v> </v>
      </c>
      <c r="I4001" s="25" t="str">
        <f>IF(OR(E4001="",E4001="!!!",F4001="NEW"),"",INDEX(B4000:B$2,-1+SUMPRODUCT(MAX(ROW(E4000:E$2)*(E4001=E4000:E$2)))))</f>
        <v> </v>
      </c>
      <c r="J4001" s="25" t="str">
        <f>IF(OR(E4001="",E4001="!!!",F4001="NEW"),"",COUNTBLANK(OFFSET(A$1,,,SUMPRODUCT(MAX(ROW(E$2:E4001)*(E4001=E$2:E4001)))))-COUNTBLANK(OFFSET(A$1,,,SUMPRODUCT(MAX(ROW(E$1:E4000)*(E2=E$1:E4000))))))</f>
        <v> </v>
      </c>
      <c r="K4001" s="25" t="str">
        <f>IF(OR(E4001="",E4001="!!!",F4001="NEW"),"",INDEX(J$1:J4000,SUMPRODUCT(MAX(ROW(E$1:E4000)*(E4001=E$1:E4000)))))</f>
        <v> </v>
      </c>
      <c r="L4001" s="26"/>
    </row>
    <row r="4002" spans="1:12">
      <c r="A4002" s="20" t="s">
        <v>1305</v>
      </c>
      <c r="B4002" s="27" t="s">
        <v>1107</v>
      </c>
      <c r="C4002" s="27" t="s">
        <v>1116</v>
      </c>
      <c r="D4002" s="27" t="s">
        <v>1105</v>
      </c>
      <c r="E4002" s="21">
        <f>IF(D4002="?OLD","!!!","")</f>
        <v/>
      </c>
      <c r="F4002" s="22" t="str">
        <f>IF(OR(E4002="",E4002="!!!"),"",IF(NOT(ISNA(VLOOKUP(E4002,E$1:E4001,1,FALSE()))),"OLD",IF(AND(E4002&lt;&gt;"",E4002&lt;&gt;"!!!"),"NEW","")))</f>
        <v> </v>
      </c>
      <c r="G4002" s="23" t="str">
        <f>IF(OR(E4002="",E4002="!!!"),"",IF(OR(J4002=0,AND(J4002=1,K4002=1),AND(J4002=1,I4002="SBJ"),AND(J4002=1,I4002=0)),"?IN_FOCUS",IF(J4002&lt;=2,"?ACTIVATED",IF(J4002&lt;&gt;"","?FAMILIAR",IF(F4002="NEW",IF(ISNA(VLOOKUP(E4002,#REF!,1,FALSE())),"?TYPE_IDENTIFIABLE","?REFERENTIAL"),"_")))))</f>
        <v> </v>
      </c>
      <c r="H4002" s="24" t="str">
        <f>IF(J4002&lt;&gt;1,"",IF(I4002="SBJ","CB","?"))</f>
        <v> </v>
      </c>
      <c r="I4002" s="25" t="str">
        <f>IF(OR(E4002="",E4002="!!!",F4002="NEW"),"",INDEX(B4001:B$2,-1+SUMPRODUCT(MAX(ROW(E4001:E$2)*(E4002=E4001:E$2)))))</f>
        <v> </v>
      </c>
      <c r="J4002" s="25" t="str">
        <f>IF(OR(E4002="",E4002="!!!",F4002="NEW"),"",COUNTBLANK(OFFSET(A$1,,,SUMPRODUCT(MAX(ROW(E$2:E4002)*(E4002=E$2:E4002)))))-COUNTBLANK(OFFSET(A$1,,,SUMPRODUCT(MAX(ROW(E$1:E4001)*(E2=E$1:E4001))))))</f>
        <v> </v>
      </c>
      <c r="K4002" s="25" t="str">
        <f>IF(OR(E4002="",E4002="!!!",F4002="NEW"),"",INDEX(J$1:J4001,SUMPRODUCT(MAX(ROW(E$1:E4001)*(E4002=E$1:E4001)))))</f>
        <v> </v>
      </c>
      <c r="L4002" s="26"/>
    </row>
    <row r="4003" spans="1:12">
      <c r="A4003" s="20" t="s">
        <v>1239</v>
      </c>
      <c r="E4003" s="21">
        <f>IF(D4003="?OLD","!!!","")</f>
        <v/>
      </c>
      <c r="F4003" s="22" t="str">
        <f>IF(OR(E4003="",E4003="!!!"),"",IF(NOT(ISNA(VLOOKUP(E4003,E$1:E4002,1,FALSE()))),"OLD",IF(AND(E4003&lt;&gt;"",E4003&lt;&gt;"!!!"),"NEW","")))</f>
        <v> </v>
      </c>
      <c r="G4003" s="23" t="str">
        <f>IF(OR(E4003="",E4003="!!!"),"",IF(OR(J4003=0,AND(J4003=1,K4003=1),AND(J4003=1,I4003="SBJ"),AND(J4003=1,I4003=0)),"?IN_FOCUS",IF(J4003&lt;=2,"?ACTIVATED",IF(J4003&lt;&gt;"","?FAMILIAR",IF(F4003="NEW",IF(ISNA(VLOOKUP(E4003,#REF!,1,FALSE())),"?TYPE_IDENTIFIABLE","?REFERENTIAL"),"_")))))</f>
        <v> </v>
      </c>
      <c r="H4003" s="24" t="str">
        <f>IF(J4003&lt;&gt;1,"",IF(I4003="SBJ","CB","?"))</f>
        <v> </v>
      </c>
      <c r="I4003" s="25" t="str">
        <f>IF(OR(E4003="",E4003="!!!",F4003="NEW"),"",INDEX(B4002:B$2,-1+SUMPRODUCT(MAX(ROW(E4002:E$2)*(E4003=E4002:E$2)))))</f>
        <v> </v>
      </c>
      <c r="J4003" s="25" t="str">
        <f>IF(OR(E4003="",E4003="!!!",F4003="NEW"),"",COUNTBLANK(OFFSET(A$1,,,SUMPRODUCT(MAX(ROW(E$2:E4003)*(E4003=E$2:E4003)))))-COUNTBLANK(OFFSET(A$1,,,SUMPRODUCT(MAX(ROW(E$1:E4002)*(E2=E$1:E4002))))))</f>
        <v> </v>
      </c>
      <c r="K4003" s="25" t="str">
        <f>IF(OR(E4003="",E4003="!!!",F4003="NEW"),"",INDEX(J$1:J4002,SUMPRODUCT(MAX(ROW(E$1:E4002)*(E4003=E$1:E4002)))))</f>
        <v> </v>
      </c>
      <c r="L4003" s="26"/>
    </row>
    <row r="4004" spans="1:12">
      <c r="A4004" s="20" t="s">
        <v>2896</v>
      </c>
      <c r="E4004" s="21">
        <f>IF(D4004="?OLD","!!!","")</f>
        <v/>
      </c>
      <c r="F4004" s="22" t="str">
        <f>IF(OR(E4004="",E4004="!!!"),"",IF(NOT(ISNA(VLOOKUP(E4004,E$1:E4003,1,FALSE()))),"OLD",IF(AND(E4004&lt;&gt;"",E4004&lt;&gt;"!!!"),"NEW","")))</f>
        <v> </v>
      </c>
      <c r="G4004" s="23" t="str">
        <f>IF(OR(E4004="",E4004="!!!"),"",IF(OR(J4004=0,AND(J4004=1,K4004=1),AND(J4004=1,I4004="SBJ"),AND(J4004=1,I4004=0)),"?IN_FOCUS",IF(J4004&lt;=2,"?ACTIVATED",IF(J4004&lt;&gt;"","?FAMILIAR",IF(F4004="NEW",IF(ISNA(VLOOKUP(E4004,#REF!,1,FALSE())),"?TYPE_IDENTIFIABLE","?REFERENTIAL"),"_")))))</f>
        <v> </v>
      </c>
      <c r="H4004" s="24" t="str">
        <f>IF(J4004&lt;&gt;1,"",IF(I4004="SBJ","CB","?"))</f>
        <v> </v>
      </c>
      <c r="I4004" s="25" t="str">
        <f>IF(OR(E4004="",E4004="!!!",F4004="NEW"),"",INDEX(B4003:B$2,-1+SUMPRODUCT(MAX(ROW(E4003:E$2)*(E4004=E4003:E$2)))))</f>
        <v> </v>
      </c>
      <c r="J4004" s="25" t="str">
        <f>IF(OR(E4004="",E4004="!!!",F4004="NEW"),"",COUNTBLANK(OFFSET(A$1,,,SUMPRODUCT(MAX(ROW(E$2:E4004)*(E4004=E$2:E4004)))))-COUNTBLANK(OFFSET(A$1,,,SUMPRODUCT(MAX(ROW(E$1:E4003)*(E2=E$1:E4003))))))</f>
        <v> </v>
      </c>
      <c r="K4004" s="25" t="str">
        <f>IF(OR(E4004="",E4004="!!!",F4004="NEW"),"",INDEX(J$1:J4003,SUMPRODUCT(MAX(ROW(E$1:E4003)*(E4004=E$1:E4003)))))</f>
        <v> </v>
      </c>
      <c r="L4004" s="26"/>
    </row>
    <row r="4005" spans="1:12">
      <c r="A4005" s="20" t="s">
        <v>2897</v>
      </c>
      <c r="B4005" s="27" t="s">
        <v>1243</v>
      </c>
      <c r="E4005" s="21">
        <f>IF(D4005="?OLD","!!!","")</f>
        <v/>
      </c>
      <c r="F4005" s="22" t="str">
        <f>IF(OR(E4005="",E4005="!!!"),"",IF(NOT(ISNA(VLOOKUP(E4005,E$1:E4004,1,FALSE()))),"OLD",IF(AND(E4005&lt;&gt;"",E4005&lt;&gt;"!!!"),"NEW","")))</f>
        <v> </v>
      </c>
      <c r="G4005" s="23" t="str">
        <f>IF(OR(E4005="",E4005="!!!"),"",IF(OR(J4005=0,AND(J4005=1,K4005=1),AND(J4005=1,I4005="SBJ"),AND(J4005=1,I4005=0)),"?IN_FOCUS",IF(J4005&lt;=2,"?ACTIVATED",IF(J4005&lt;&gt;"","?FAMILIAR",IF(F4005="NEW",IF(ISNA(VLOOKUP(E4005,#REF!,1,FALSE())),"?TYPE_IDENTIFIABLE","?REFERENTIAL"),"_")))))</f>
        <v> </v>
      </c>
      <c r="H4005" s="24" t="str">
        <f>IF(J4005&lt;&gt;1,"",IF(I4005="SBJ","CB","?"))</f>
        <v> </v>
      </c>
      <c r="I4005" s="25" t="str">
        <f>IF(OR(E4005="",E4005="!!!",F4005="NEW"),"",INDEX(B4004:B$2,-1+SUMPRODUCT(MAX(ROW(E4004:E$2)*(E4005=E4004:E$2)))))</f>
        <v> </v>
      </c>
      <c r="J4005" s="25" t="str">
        <f>IF(OR(E4005="",E4005="!!!",F4005="NEW"),"",COUNTBLANK(OFFSET(A$1,,,SUMPRODUCT(MAX(ROW(E$2:E4005)*(E4005=E$2:E4005)))))-COUNTBLANK(OFFSET(A$1,,,SUMPRODUCT(MAX(ROW(E$1:E4004)*(E2=E$1:E4004))))))</f>
        <v> </v>
      </c>
      <c r="K4005" s="25" t="str">
        <f>IF(OR(E4005="",E4005="!!!",F4005="NEW"),"",INDEX(J$1:J4004,SUMPRODUCT(MAX(ROW(E$1:E4004)*(E4005=E$1:E4004)))))</f>
        <v> </v>
      </c>
      <c r="L4005" s="26"/>
    </row>
    <row r="4006" spans="1:12">
      <c r="A4006" s="20" t="s">
        <v>2898</v>
      </c>
      <c r="E4006" s="21">
        <f>IF(D4006="?OLD","!!!","")</f>
        <v/>
      </c>
      <c r="F4006" s="22" t="str">
        <f>IF(OR(E4006="",E4006="!!!"),"",IF(NOT(ISNA(VLOOKUP(E4006,E$1:E4005,1,FALSE()))),"OLD",IF(AND(E4006&lt;&gt;"",E4006&lt;&gt;"!!!"),"NEW","")))</f>
        <v> </v>
      </c>
      <c r="G4006" s="23" t="str">
        <f>IF(OR(E4006="",E4006="!!!"),"",IF(OR(J4006=0,AND(J4006=1,K4006=1),AND(J4006=1,I4006="SBJ"),AND(J4006=1,I4006=0)),"?IN_FOCUS",IF(J4006&lt;=2,"?ACTIVATED",IF(J4006&lt;&gt;"","?FAMILIAR",IF(F4006="NEW",IF(ISNA(VLOOKUP(E4006,#REF!,1,FALSE())),"?TYPE_IDENTIFIABLE","?REFERENTIAL"),"_")))))</f>
        <v> </v>
      </c>
      <c r="H4006" s="24" t="str">
        <f>IF(J4006&lt;&gt;1,"",IF(I4006="SBJ","CB","?"))</f>
        <v> </v>
      </c>
      <c r="I4006" s="25" t="str">
        <f>IF(OR(E4006="",E4006="!!!",F4006="NEW"),"",INDEX(B4005:B$2,-1+SUMPRODUCT(MAX(ROW(E4005:E$2)*(E4006=E4005:E$2)))))</f>
        <v> </v>
      </c>
      <c r="J4006" s="25" t="str">
        <f>IF(OR(E4006="",E4006="!!!",F4006="NEW"),"",COUNTBLANK(OFFSET(A$1,,,SUMPRODUCT(MAX(ROW(E$2:E4006)*(E4006=E$2:E4006)))))-COUNTBLANK(OFFSET(A$1,,,SUMPRODUCT(MAX(ROW(E$1:E4005)*(E2=E$1:E4005))))))</f>
        <v> </v>
      </c>
      <c r="K4006" s="25" t="str">
        <f>IF(OR(E4006="",E4006="!!!",F4006="NEW"),"",INDEX(J$1:J4005,SUMPRODUCT(MAX(ROW(E$1:E4005)*(E4006=E$1:E4005)))))</f>
        <v> </v>
      </c>
      <c r="L4006" s="26"/>
    </row>
    <row r="4007" spans="1:12">
      <c r="A4007" s="20" t="s">
        <v>1123</v>
      </c>
      <c r="E4007" s="21">
        <f>IF(D4007="?OLD","!!!","")</f>
        <v/>
      </c>
      <c r="F4007" s="22" t="str">
        <f>IF(OR(E4007="",E4007="!!!"),"",IF(NOT(ISNA(VLOOKUP(E4007,E$1:E4006,1,FALSE()))),"OLD",IF(AND(E4007&lt;&gt;"",E4007&lt;&gt;"!!!"),"NEW","")))</f>
        <v> </v>
      </c>
      <c r="G4007" s="23" t="str">
        <f>IF(OR(E4007="",E4007="!!!"),"",IF(OR(J4007=0,AND(J4007=1,K4007=1),AND(J4007=1,I4007="SBJ"),AND(J4007=1,I4007=0)),"?IN_FOCUS",IF(J4007&lt;=2,"?ACTIVATED",IF(J4007&lt;&gt;"","?FAMILIAR",IF(F4007="NEW",IF(ISNA(VLOOKUP(E4007,#REF!,1,FALSE())),"?TYPE_IDENTIFIABLE","?REFERENTIAL"),"_")))))</f>
        <v> </v>
      </c>
      <c r="H4007" s="24" t="str">
        <f>IF(J4007&lt;&gt;1,"",IF(I4007="SBJ","CB","?"))</f>
        <v> </v>
      </c>
      <c r="I4007" s="25" t="str">
        <f>IF(OR(E4007="",E4007="!!!",F4007="NEW"),"",INDEX(B4006:B$2,-1+SUMPRODUCT(MAX(ROW(E4006:E$2)*(E4007=E4006:E$2)))))</f>
        <v> </v>
      </c>
      <c r="J4007" s="25" t="str">
        <f>IF(OR(E4007="",E4007="!!!",F4007="NEW"),"",COUNTBLANK(OFFSET(A$1,,,SUMPRODUCT(MAX(ROW(E$2:E4007)*(E4007=E$2:E4007)))))-COUNTBLANK(OFFSET(A$1,,,SUMPRODUCT(MAX(ROW(E$1:E4006)*(E2=E$1:E4006))))))</f>
        <v> </v>
      </c>
      <c r="K4007" s="25" t="str">
        <f>IF(OR(E4007="",E4007="!!!",F4007="NEW"),"",INDEX(J$1:J4006,SUMPRODUCT(MAX(ROW(E$1:E4006)*(E4007=E$1:E4006)))))</f>
        <v> </v>
      </c>
      <c r="L4007" s="26"/>
    </row>
    <row r="4008" spans="1:12">
      <c r="A4008" s="20" t="s">
        <v>2899</v>
      </c>
      <c r="E4008" s="21">
        <f>IF(D4008="?OLD","!!!","")</f>
        <v/>
      </c>
      <c r="F4008" s="22" t="str">
        <f>IF(OR(E4008="",E4008="!!!"),"",IF(NOT(ISNA(VLOOKUP(E4008,E$1:E4007,1,FALSE()))),"OLD",IF(AND(E4008&lt;&gt;"",E4008&lt;&gt;"!!!"),"NEW","")))</f>
        <v> </v>
      </c>
      <c r="G4008" s="23" t="str">
        <f>IF(OR(E4008="",E4008="!!!"),"",IF(OR(J4008=0,AND(J4008=1,K4008=1),AND(J4008=1,I4008="SBJ"),AND(J4008=1,I4008=0)),"?IN_FOCUS",IF(J4008&lt;=2,"?ACTIVATED",IF(J4008&lt;&gt;"","?FAMILIAR",IF(F4008="NEW",IF(ISNA(VLOOKUP(E4008,#REF!,1,FALSE())),"?TYPE_IDENTIFIABLE","?REFERENTIAL"),"_")))))</f>
        <v> </v>
      </c>
      <c r="H4008" s="24" t="str">
        <f>IF(J4008&lt;&gt;1,"",IF(I4008="SBJ","CB","?"))</f>
        <v> </v>
      </c>
      <c r="I4008" s="25" t="str">
        <f>IF(OR(E4008="",E4008="!!!",F4008="NEW"),"",INDEX(B4007:B$2,-1+SUMPRODUCT(MAX(ROW(E4007:E$2)*(E4008=E4007:E$2)))))</f>
        <v> </v>
      </c>
      <c r="J4008" s="25" t="str">
        <f>IF(OR(E4008="",E4008="!!!",F4008="NEW"),"",COUNTBLANK(OFFSET(A$1,,,SUMPRODUCT(MAX(ROW(E$2:E4008)*(E4008=E$2:E4008)))))-COUNTBLANK(OFFSET(A$1,,,SUMPRODUCT(MAX(ROW(E$1:E4007)*(E2=E$1:E4007))))))</f>
        <v> </v>
      </c>
      <c r="K4008" s="25" t="str">
        <f>IF(OR(E4008="",E4008="!!!",F4008="NEW"),"",INDEX(J$1:J4007,SUMPRODUCT(MAX(ROW(E$1:E4007)*(E4008=E$1:E4007)))))</f>
        <v> </v>
      </c>
      <c r="L4008" s="26"/>
    </row>
    <row r="4009" spans="1:12">
      <c r="A4009" s="20" t="s">
        <v>2900</v>
      </c>
      <c r="B4009" s="27" t="s">
        <v>1144</v>
      </c>
      <c r="C4009" s="27" t="s">
        <v>1126</v>
      </c>
      <c r="D4009" s="27" t="s">
        <v>1105</v>
      </c>
      <c r="E4009" s="21">
        <f>IF(D4009="?OLD","!!!","")</f>
        <v/>
      </c>
      <c r="F4009" s="22" t="str">
        <f>IF(OR(E4009="",E4009="!!!"),"",IF(NOT(ISNA(VLOOKUP(E4009,E$1:E4008,1,FALSE()))),"OLD",IF(AND(E4009&lt;&gt;"",E4009&lt;&gt;"!!!"),"NEW","")))</f>
        <v> </v>
      </c>
      <c r="G4009" s="23" t="str">
        <f>IF(OR(E4009="",E4009="!!!"),"",IF(OR(J4009=0,AND(J4009=1,K4009=1),AND(J4009=1,I4009="SBJ"),AND(J4009=1,I4009=0)),"?IN_FOCUS",IF(J4009&lt;=2,"?ACTIVATED",IF(J4009&lt;&gt;"","?FAMILIAR",IF(F4009="NEW",IF(ISNA(VLOOKUP(E4009,#REF!,1,FALSE())),"?TYPE_IDENTIFIABLE","?REFERENTIAL"),"_")))))</f>
        <v> </v>
      </c>
      <c r="H4009" s="24" t="str">
        <f>IF(J4009&lt;&gt;1,"",IF(I4009="SBJ","CB","?"))</f>
        <v> </v>
      </c>
      <c r="I4009" s="25" t="str">
        <f>IF(OR(E4009="",E4009="!!!",F4009="NEW"),"",INDEX(B4008:B$2,-1+SUMPRODUCT(MAX(ROW(E4008:E$2)*(E4009=E4008:E$2)))))</f>
        <v> </v>
      </c>
      <c r="J4009" s="25" t="str">
        <f>IF(OR(E4009="",E4009="!!!",F4009="NEW"),"",COUNTBLANK(OFFSET(A$1,,,SUMPRODUCT(MAX(ROW(E$2:E4009)*(E4009=E$2:E4009)))))-COUNTBLANK(OFFSET(A$1,,,SUMPRODUCT(MAX(ROW(E$1:E4008)*(E2=E$1:E4008))))))</f>
        <v> </v>
      </c>
      <c r="K4009" s="25" t="str">
        <f>IF(OR(E4009="",E4009="!!!",F4009="NEW"),"",INDEX(J$1:J4008,SUMPRODUCT(MAX(ROW(E$1:E4008)*(E4009=E$1:E4008)))))</f>
        <v> </v>
      </c>
      <c r="L4009" s="26"/>
    </row>
    <row r="4010" spans="1:12">
      <c r="A4010" s="20" t="s">
        <v>1249</v>
      </c>
      <c r="E4010" s="21">
        <f>IF(D4010="?OLD","!!!","")</f>
        <v/>
      </c>
      <c r="F4010" s="22" t="str">
        <f>IF(OR(E4010="",E4010="!!!"),"",IF(NOT(ISNA(VLOOKUP(E4010,E$1:E4009,1,FALSE()))),"OLD",IF(AND(E4010&lt;&gt;"",E4010&lt;&gt;"!!!"),"NEW","")))</f>
        <v> </v>
      </c>
      <c r="G4010" s="23" t="str">
        <f>IF(OR(E4010="",E4010="!!!"),"",IF(OR(J4010=0,AND(J4010=1,K4010=1),AND(J4010=1,I4010="SBJ"),AND(J4010=1,I4010=0)),"?IN_FOCUS",IF(J4010&lt;=2,"?ACTIVATED",IF(J4010&lt;&gt;"","?FAMILIAR",IF(F4010="NEW",IF(ISNA(VLOOKUP(E4010,#REF!,1,FALSE())),"?TYPE_IDENTIFIABLE","?REFERENTIAL"),"_")))))</f>
        <v> </v>
      </c>
      <c r="H4010" s="24" t="str">
        <f>IF(J4010&lt;&gt;1,"",IF(I4010="SBJ","CB","?"))</f>
        <v> </v>
      </c>
      <c r="I4010" s="25" t="str">
        <f>IF(OR(E4010="",E4010="!!!",F4010="NEW"),"",INDEX(B4009:B$2,-1+SUMPRODUCT(MAX(ROW(E4009:E$2)*(E4010=E4009:E$2)))))</f>
        <v> </v>
      </c>
      <c r="J4010" s="25" t="str">
        <f>IF(OR(E4010="",E4010="!!!",F4010="NEW"),"",COUNTBLANK(OFFSET(A$1,,,SUMPRODUCT(MAX(ROW(E$2:E4010)*(E4010=E$2:E4010)))))-COUNTBLANK(OFFSET(A$1,,,SUMPRODUCT(MAX(ROW(E$1:E4009)*(E2=E$1:E4009))))))</f>
        <v> </v>
      </c>
      <c r="K4010" s="25" t="str">
        <f>IF(OR(E4010="",E4010="!!!",F4010="NEW"),"",INDEX(J$1:J4009,SUMPRODUCT(MAX(ROW(E$1:E4009)*(E4010=E$1:E4009)))))</f>
        <v> </v>
      </c>
      <c r="L4010" s="26"/>
    </row>
    <row r="4011" spans="1:12">
      <c r="A4011" s="20" t="s">
        <v>2901</v>
      </c>
      <c r="E4011" s="21">
        <f>IF(D4011="?OLD","!!!","")</f>
        <v/>
      </c>
      <c r="F4011" s="22" t="str">
        <f>IF(OR(E4011="",E4011="!!!"),"",IF(NOT(ISNA(VLOOKUP(E4011,E$1:E4010,1,FALSE()))),"OLD",IF(AND(E4011&lt;&gt;"",E4011&lt;&gt;"!!!"),"NEW","")))</f>
        <v> </v>
      </c>
      <c r="G4011" s="23" t="str">
        <f>IF(OR(E4011="",E4011="!!!"),"",IF(OR(J4011=0,AND(J4011=1,K4011=1),AND(J4011=1,I4011="SBJ"),AND(J4011=1,I4011=0)),"?IN_FOCUS",IF(J4011&lt;=2,"?ACTIVATED",IF(J4011&lt;&gt;"","?FAMILIAR",IF(F4011="NEW",IF(ISNA(VLOOKUP(E4011,#REF!,1,FALSE())),"?TYPE_IDENTIFIABLE","?REFERENTIAL"),"_")))))</f>
        <v> </v>
      </c>
      <c r="H4011" s="24" t="str">
        <f>IF(J4011&lt;&gt;1,"",IF(I4011="SBJ","CB","?"))</f>
        <v> </v>
      </c>
      <c r="I4011" s="25" t="str">
        <f>IF(OR(E4011="",E4011="!!!",F4011="NEW"),"",INDEX(B4010:B$2,-1+SUMPRODUCT(MAX(ROW(E4010:E$2)*(E4011=E4010:E$2)))))</f>
        <v> </v>
      </c>
      <c r="J4011" s="25" t="str">
        <f>IF(OR(E4011="",E4011="!!!",F4011="NEW"),"",COUNTBLANK(OFFSET(A$1,,,SUMPRODUCT(MAX(ROW(E$2:E4011)*(E4011=E$2:E4011)))))-COUNTBLANK(OFFSET(A$1,,,SUMPRODUCT(MAX(ROW(E$1:E4010)*(E2=E$1:E4010))))))</f>
        <v> </v>
      </c>
      <c r="K4011" s="25" t="str">
        <f>IF(OR(E4011="",E4011="!!!",F4011="NEW"),"",INDEX(J$1:J4010,SUMPRODUCT(MAX(ROW(E$1:E4010)*(E4011=E$1:E4010)))))</f>
        <v> </v>
      </c>
      <c r="L4011" s="26"/>
    </row>
    <row r="4012" spans="1:12">
      <c r="A4012" s="20" t="s">
        <v>1145</v>
      </c>
      <c r="E4012" s="21">
        <f>IF(D4012="?OLD","!!!","")</f>
        <v/>
      </c>
      <c r="F4012" s="22" t="str">
        <f>IF(OR(E4012="",E4012="!!!"),"",IF(NOT(ISNA(VLOOKUP(E4012,E$1:E4011,1,FALSE()))),"OLD",IF(AND(E4012&lt;&gt;"",E4012&lt;&gt;"!!!"),"NEW","")))</f>
        <v> </v>
      </c>
      <c r="G4012" s="23" t="str">
        <f>IF(OR(E4012="",E4012="!!!"),"",IF(OR(J4012=0,AND(J4012=1,K4012=1),AND(J4012=1,I4012="SBJ"),AND(J4012=1,I4012=0)),"?IN_FOCUS",IF(J4012&lt;=2,"?ACTIVATED",IF(J4012&lt;&gt;"","?FAMILIAR",IF(F4012="NEW",IF(ISNA(VLOOKUP(E4012,#REF!,1,FALSE())),"?TYPE_IDENTIFIABLE","?REFERENTIAL"),"_")))))</f>
        <v> </v>
      </c>
      <c r="H4012" s="24" t="str">
        <f>IF(J4012&lt;&gt;1,"",IF(I4012="SBJ","CB","?"))</f>
        <v> </v>
      </c>
      <c r="I4012" s="25" t="str">
        <f>IF(OR(E4012="",E4012="!!!",F4012="NEW"),"",INDEX(B4011:B$2,-1+SUMPRODUCT(MAX(ROW(E4011:E$2)*(E4012=E4011:E$2)))))</f>
        <v> </v>
      </c>
      <c r="J4012" s="25" t="str">
        <f>IF(OR(E4012="",E4012="!!!",F4012="NEW"),"",COUNTBLANK(OFFSET(A$1,,,SUMPRODUCT(MAX(ROW(E$2:E4012)*(E4012=E$2:E4012)))))-COUNTBLANK(OFFSET(A$1,,,SUMPRODUCT(MAX(ROW(E$1:E4011)*(E2=E$1:E4011))))))</f>
        <v> </v>
      </c>
      <c r="K4012" s="25" t="str">
        <f>IF(OR(E4012="",E4012="!!!",F4012="NEW"),"",INDEX(J$1:J4011,SUMPRODUCT(MAX(ROW(E$1:E4011)*(E4012=E$1:E4011)))))</f>
        <v> </v>
      </c>
      <c r="L4012" s="26"/>
    </row>
    <row r="4013" spans="1:12">
      <c r="A4013" s="20"/>
    </row>
    <row r="4014" spans="1:12">
      <c r="A4014" s="20" t="s">
        <v>2902</v>
      </c>
    </row>
    <row r="4015" spans="1:12">
      <c r="A4015" s="20" t="s">
        <v>2903</v>
      </c>
      <c r="E4015" s="21">
        <f>IF(D4015="?OLD","!!!","")</f>
        <v/>
      </c>
      <c r="F4015" s="22" t="str">
        <f>IF(OR(E4015="",E4015="!!!"),"",IF(NOT(ISNA(VLOOKUP(E4015,E$1:E4014,1,FALSE()))),"OLD",IF(AND(E4015&lt;&gt;"",E4015&lt;&gt;"!!!"),"NEW","")))</f>
        <v> </v>
      </c>
      <c r="G4015" s="23" t="str">
        <f>IF(OR(E4015="",E4015="!!!"),"",IF(OR(J4015=0,AND(J4015=1,K4015=1),AND(J4015=1,I4015="SBJ"),AND(J4015=1,I4015=0)),"?IN_FOCUS",IF(J4015&lt;=2,"?ACTIVATED",IF(J4015&lt;&gt;"","?FAMILIAR",IF(F4015="NEW",IF(ISNA(VLOOKUP(E4015,#REF!,1,FALSE())),"?TYPE_IDENTIFIABLE","?REFERENTIAL"),"_")))))</f>
        <v> </v>
      </c>
      <c r="H4015" s="24" t="str">
        <f>IF(J4015&lt;&gt;1,"",IF(I4015="SBJ","CB","?"))</f>
        <v> </v>
      </c>
      <c r="I4015" s="25" t="str">
        <f>IF(OR(E4015="",E4015="!!!",F4015="NEW"),"",INDEX(B4014:B$2,-1+SUMPRODUCT(MAX(ROW(E4014:E$2)*(E4015=E4014:E$2)))))</f>
        <v> </v>
      </c>
      <c r="J4015" s="25" t="str">
        <f>IF(OR(E4015="",E4015="!!!",F4015="NEW"),"",COUNTBLANK(OFFSET(A$1,,,SUMPRODUCT(MAX(ROW(E$2:E4015)*(E4015=E$2:E4015)))))-COUNTBLANK(OFFSET(A$1,,,SUMPRODUCT(MAX(ROW(E$1:E4014)*(E2=E$1:E4014))))))</f>
        <v> </v>
      </c>
      <c r="K4015" s="25" t="str">
        <f>IF(OR(E4015="",E4015="!!!",F4015="NEW"),"",INDEX(J$1:J4014,SUMPRODUCT(MAX(ROW(E$1:E4014)*(E4015=E$1:E4014)))))</f>
        <v> </v>
      </c>
      <c r="L4015" s="26"/>
    </row>
    <row r="4016" spans="1:12">
      <c r="A4016" s="20" t="s">
        <v>1124</v>
      </c>
      <c r="B4016" s="27" t="s">
        <v>1122</v>
      </c>
      <c r="C4016" s="27" t="s">
        <v>1126</v>
      </c>
      <c r="D4016" s="27" t="s">
        <v>1105</v>
      </c>
      <c r="E4016" s="21">
        <f>IF(D4016="?OLD","!!!","")</f>
        <v/>
      </c>
      <c r="F4016" s="22" t="str">
        <f>IF(OR(E4016="",E4016="!!!"),"",IF(NOT(ISNA(VLOOKUP(E4016,E$1:E4015,1,FALSE()))),"OLD",IF(AND(E4016&lt;&gt;"",E4016&lt;&gt;"!!!"),"NEW","")))</f>
        <v> </v>
      </c>
      <c r="G4016" s="23" t="str">
        <f>IF(OR(E4016="",E4016="!!!"),"",IF(OR(J4016=0,AND(J4016=1,K4016=1),AND(J4016=1,I4016="SBJ"),AND(J4016=1,I4016=0)),"?IN_FOCUS",IF(J4016&lt;=2,"?ACTIVATED",IF(J4016&lt;&gt;"","?FAMILIAR",IF(F4016="NEW",IF(ISNA(VLOOKUP(E4016,#REF!,1,FALSE())),"?TYPE_IDENTIFIABLE","?REFERENTIAL"),"_")))))</f>
        <v> </v>
      </c>
      <c r="H4016" s="24" t="str">
        <f>IF(J4016&lt;&gt;1,"",IF(I4016="SBJ","CB","?"))</f>
        <v> </v>
      </c>
      <c r="I4016" s="25" t="str">
        <f>IF(OR(E4016="",E4016="!!!",F4016="NEW"),"",INDEX(B4015:B$2,-1+SUMPRODUCT(MAX(ROW(E4015:E$2)*(E4016=E4015:E$2)))))</f>
        <v> </v>
      </c>
      <c r="J4016" s="25" t="str">
        <f>IF(OR(E4016="",E4016="!!!",F4016="NEW"),"",COUNTBLANK(OFFSET(A$1,,,SUMPRODUCT(MAX(ROW(E$2:E4016)*(E4016=E$2:E4016)))))-COUNTBLANK(OFFSET(A$1,,,SUMPRODUCT(MAX(ROW(E$1:E4015)*(E2=E$1:E4015))))))</f>
        <v> </v>
      </c>
      <c r="K4016" s="25" t="str">
        <f>IF(OR(E4016="",E4016="!!!",F4016="NEW"),"",INDEX(J$1:J4015,SUMPRODUCT(MAX(ROW(E$1:E4015)*(E4016=E$1:E4015)))))</f>
        <v> </v>
      </c>
      <c r="L4016" s="26"/>
    </row>
    <row r="4017" spans="1:12">
      <c r="A4017" s="20" t="s">
        <v>1258</v>
      </c>
      <c r="E4017" s="21">
        <f>IF(D4017="?OLD","!!!","")</f>
        <v/>
      </c>
      <c r="F4017" s="22" t="str">
        <f>IF(OR(E4017="",E4017="!!!"),"",IF(NOT(ISNA(VLOOKUP(E4017,E$1:E4016,1,FALSE()))),"OLD",IF(AND(E4017&lt;&gt;"",E4017&lt;&gt;"!!!"),"NEW","")))</f>
        <v> </v>
      </c>
      <c r="G4017" s="23" t="str">
        <f>IF(OR(E4017="",E4017="!!!"),"",IF(OR(J4017=0,AND(J4017=1,K4017=1),AND(J4017=1,I4017="SBJ"),AND(J4017=1,I4017=0)),"?IN_FOCUS",IF(J4017&lt;=2,"?ACTIVATED",IF(J4017&lt;&gt;"","?FAMILIAR",IF(F4017="NEW",IF(ISNA(VLOOKUP(E4017,#REF!,1,FALSE())),"?TYPE_IDENTIFIABLE","?REFERENTIAL"),"_")))))</f>
        <v> </v>
      </c>
      <c r="H4017" s="24" t="str">
        <f>IF(J4017&lt;&gt;1,"",IF(I4017="SBJ","CB","?"))</f>
        <v> </v>
      </c>
      <c r="I4017" s="25" t="str">
        <f>IF(OR(E4017="",E4017="!!!",F4017="NEW"),"",INDEX(B4016:B$2,-1+SUMPRODUCT(MAX(ROW(E4016:E$2)*(E4017=E4016:E$2)))))</f>
        <v> </v>
      </c>
      <c r="J4017" s="25" t="str">
        <f>IF(OR(E4017="",E4017="!!!",F4017="NEW"),"",COUNTBLANK(OFFSET(A$1,,,SUMPRODUCT(MAX(ROW(E$2:E4017)*(E4017=E$2:E4017)))))-COUNTBLANK(OFFSET(A$1,,,SUMPRODUCT(MAX(ROW(E$1:E4016)*(E2=E$1:E4016))))))</f>
        <v> </v>
      </c>
      <c r="K4017" s="25" t="str">
        <f>IF(OR(E4017="",E4017="!!!",F4017="NEW"),"",INDEX(J$1:J4016,SUMPRODUCT(MAX(ROW(E$1:E4016)*(E4017=E$1:E4016)))))</f>
        <v> </v>
      </c>
      <c r="L4017" s="26"/>
    </row>
    <row r="4018" spans="1:12">
      <c r="A4018" s="20" t="s">
        <v>1123</v>
      </c>
      <c r="E4018" s="21">
        <f>IF(D4018="?OLD","!!!","")</f>
        <v/>
      </c>
      <c r="F4018" s="22" t="str">
        <f>IF(OR(E4018="",E4018="!!!"),"",IF(NOT(ISNA(VLOOKUP(E4018,E$1:E4017,1,FALSE()))),"OLD",IF(AND(E4018&lt;&gt;"",E4018&lt;&gt;"!!!"),"NEW","")))</f>
        <v> </v>
      </c>
      <c r="G4018" s="23" t="str">
        <f>IF(OR(E4018="",E4018="!!!"),"",IF(OR(J4018=0,AND(J4018=1,K4018=1),AND(J4018=1,I4018="SBJ"),AND(J4018=1,I4018=0)),"?IN_FOCUS",IF(J4018&lt;=2,"?ACTIVATED",IF(J4018&lt;&gt;"","?FAMILIAR",IF(F4018="NEW",IF(ISNA(VLOOKUP(E4018,#REF!,1,FALSE())),"?TYPE_IDENTIFIABLE","?REFERENTIAL"),"_")))))</f>
        <v> </v>
      </c>
      <c r="H4018" s="24" t="str">
        <f>IF(J4018&lt;&gt;1,"",IF(I4018="SBJ","CB","?"))</f>
        <v> </v>
      </c>
      <c r="I4018" s="25" t="str">
        <f>IF(OR(E4018="",E4018="!!!",F4018="NEW"),"",INDEX(B4017:B$2,-1+SUMPRODUCT(MAX(ROW(E4017:E$2)*(E4018=E4017:E$2)))))</f>
        <v> </v>
      </c>
      <c r="J4018" s="25" t="str">
        <f>IF(OR(E4018="",E4018="!!!",F4018="NEW"),"",COUNTBLANK(OFFSET(A$1,,,SUMPRODUCT(MAX(ROW(E$2:E4018)*(E4018=E$2:E4018)))))-COUNTBLANK(OFFSET(A$1,,,SUMPRODUCT(MAX(ROW(E$1:E4017)*(E2=E$1:E4017))))))</f>
        <v> </v>
      </c>
      <c r="K4018" s="25" t="str">
        <f>IF(OR(E4018="",E4018="!!!",F4018="NEW"),"",INDEX(J$1:J4017,SUMPRODUCT(MAX(ROW(E$1:E4017)*(E4018=E$1:E4017)))))</f>
        <v> </v>
      </c>
      <c r="L4018" s="26"/>
    </row>
    <row r="4019" spans="1:12">
      <c r="A4019" s="20" t="s">
        <v>135</v>
      </c>
      <c r="E4019" s="21">
        <f>IF(D4019="?OLD","!!!","")</f>
        <v/>
      </c>
      <c r="F4019" s="22" t="str">
        <f>IF(OR(E4019="",E4019="!!!"),"",IF(NOT(ISNA(VLOOKUP(E4019,E$1:E4018,1,FALSE()))),"OLD",IF(AND(E4019&lt;&gt;"",E4019&lt;&gt;"!!!"),"NEW","")))</f>
        <v> </v>
      </c>
      <c r="G4019" s="23" t="str">
        <f>IF(OR(E4019="",E4019="!!!"),"",IF(OR(J4019=0,AND(J4019=1,K4019=1),AND(J4019=1,I4019="SBJ"),AND(J4019=1,I4019=0)),"?IN_FOCUS",IF(J4019&lt;=2,"?ACTIVATED",IF(J4019&lt;&gt;"","?FAMILIAR",IF(F4019="NEW",IF(ISNA(VLOOKUP(E4019,#REF!,1,FALSE())),"?TYPE_IDENTIFIABLE","?REFERENTIAL"),"_")))))</f>
        <v> </v>
      </c>
      <c r="H4019" s="24" t="str">
        <f>IF(J4019&lt;&gt;1,"",IF(I4019="SBJ","CB","?"))</f>
        <v> </v>
      </c>
      <c r="I4019" s="25" t="str">
        <f>IF(OR(E4019="",E4019="!!!",F4019="NEW"),"",INDEX(B4018:B$2,-1+SUMPRODUCT(MAX(ROW(E4018:E$2)*(E4019=E4018:E$2)))))</f>
        <v> </v>
      </c>
      <c r="J4019" s="25" t="str">
        <f>IF(OR(E4019="",E4019="!!!",F4019="NEW"),"",COUNTBLANK(OFFSET(A$1,,,SUMPRODUCT(MAX(ROW(E$2:E4019)*(E4019=E$2:E4019)))))-COUNTBLANK(OFFSET(A$1,,,SUMPRODUCT(MAX(ROW(E$1:E4018)*(E2=E$1:E4018))))))</f>
        <v> </v>
      </c>
      <c r="K4019" s="25" t="str">
        <f>IF(OR(E4019="",E4019="!!!",F4019="NEW"),"",INDEX(J$1:J4018,SUMPRODUCT(MAX(ROW(E$1:E4018)*(E4019=E$1:E4018)))))</f>
        <v> </v>
      </c>
      <c r="L4019" s="26"/>
    </row>
    <row r="4020" spans="1:12">
      <c r="A4020" s="20" t="s">
        <v>2360</v>
      </c>
      <c r="B4020" s="27" t="s">
        <v>1259</v>
      </c>
      <c r="E4020" s="21">
        <f>IF(D4020="?OLD","!!!","")</f>
        <v/>
      </c>
      <c r="F4020" s="22" t="str">
        <f>IF(OR(E4020="",E4020="!!!"),"",IF(NOT(ISNA(VLOOKUP(E4020,E$1:E4019,1,FALSE()))),"OLD",IF(AND(E4020&lt;&gt;"",E4020&lt;&gt;"!!!"),"NEW","")))</f>
        <v> </v>
      </c>
      <c r="G4020" s="23" t="str">
        <f>IF(OR(E4020="",E4020="!!!"),"",IF(OR(J4020=0,AND(J4020=1,K4020=1),AND(J4020=1,I4020="SBJ"),AND(J4020=1,I4020=0)),"?IN_FOCUS",IF(J4020&lt;=2,"?ACTIVATED",IF(J4020&lt;&gt;"","?FAMILIAR",IF(F4020="NEW",IF(ISNA(VLOOKUP(E4020,#REF!,1,FALSE())),"?TYPE_IDENTIFIABLE","?REFERENTIAL"),"_")))))</f>
        <v> </v>
      </c>
      <c r="H4020" s="24" t="str">
        <f>IF(J4020&lt;&gt;1,"",IF(I4020="SBJ","CB","?"))</f>
        <v> </v>
      </c>
      <c r="I4020" s="25" t="str">
        <f>IF(OR(E4020="",E4020="!!!",F4020="NEW"),"",INDEX(B4019:B$2,-1+SUMPRODUCT(MAX(ROW(E4019:E$2)*(E4020=E4019:E$2)))))</f>
        <v> </v>
      </c>
      <c r="J4020" s="25" t="str">
        <f>IF(OR(E4020="",E4020="!!!",F4020="NEW"),"",COUNTBLANK(OFFSET(A$1,,,SUMPRODUCT(MAX(ROW(E$2:E4020)*(E4020=E$2:E4020)))))-COUNTBLANK(OFFSET(A$1,,,SUMPRODUCT(MAX(ROW(E$1:E4019)*(E2=E$1:E4019))))))</f>
        <v> </v>
      </c>
      <c r="K4020" s="25" t="str">
        <f>IF(OR(E4020="",E4020="!!!",F4020="NEW"),"",INDEX(J$1:J4019,SUMPRODUCT(MAX(ROW(E$1:E4019)*(E4020=E$1:E4019)))))</f>
        <v> </v>
      </c>
      <c r="L4020" s="26"/>
    </row>
    <row r="4021" spans="1:12">
      <c r="A4021" s="20" t="s">
        <v>2361</v>
      </c>
      <c r="E4021" s="21">
        <f>IF(D4021="?OLD","!!!","")</f>
        <v/>
      </c>
      <c r="F4021" s="22" t="str">
        <f>IF(OR(E4021="",E4021="!!!"),"",IF(NOT(ISNA(VLOOKUP(E4021,E$1:E4020,1,FALSE()))),"OLD",IF(AND(E4021&lt;&gt;"",E4021&lt;&gt;"!!!"),"NEW","")))</f>
        <v> </v>
      </c>
      <c r="G4021" s="23" t="str">
        <f>IF(OR(E4021="",E4021="!!!"),"",IF(OR(J4021=0,AND(J4021=1,K4021=1),AND(J4021=1,I4021="SBJ"),AND(J4021=1,I4021=0)),"?IN_FOCUS",IF(J4021&lt;=2,"?ACTIVATED",IF(J4021&lt;&gt;"","?FAMILIAR",IF(F4021="NEW",IF(ISNA(VLOOKUP(E4021,#REF!,1,FALSE())),"?TYPE_IDENTIFIABLE","?REFERENTIAL"),"_")))))</f>
        <v> </v>
      </c>
      <c r="H4021" s="24" t="str">
        <f>IF(J4021&lt;&gt;1,"",IF(I4021="SBJ","CB","?"))</f>
        <v> </v>
      </c>
      <c r="I4021" s="25" t="str">
        <f>IF(OR(E4021="",E4021="!!!",F4021="NEW"),"",INDEX(B4020:B$2,-1+SUMPRODUCT(MAX(ROW(E4020:E$2)*(E4021=E4020:E$2)))))</f>
        <v> </v>
      </c>
      <c r="J4021" s="25" t="str">
        <f>IF(OR(E4021="",E4021="!!!",F4021="NEW"),"",COUNTBLANK(OFFSET(A$1,,,SUMPRODUCT(MAX(ROW(E$2:E4021)*(E4021=E$2:E4021)))))-COUNTBLANK(OFFSET(A$1,,,SUMPRODUCT(MAX(ROW(E$1:E4020)*(E2=E$1:E4020))))))</f>
        <v> </v>
      </c>
      <c r="K4021" s="25" t="str">
        <f>IF(OR(E4021="",E4021="!!!",F4021="NEW"),"",INDEX(J$1:J4020,SUMPRODUCT(MAX(ROW(E$1:E4020)*(E4021=E$1:E4020)))))</f>
        <v> </v>
      </c>
      <c r="L4021" s="26"/>
    </row>
    <row r="4022" spans="1:12">
      <c r="A4022" s="20" t="s">
        <v>1123</v>
      </c>
      <c r="E4022" s="21">
        <f>IF(D4022="?OLD","!!!","")</f>
        <v/>
      </c>
      <c r="F4022" s="22" t="str">
        <f>IF(OR(E4022="",E4022="!!!"),"",IF(NOT(ISNA(VLOOKUP(E4022,E$1:E4021,1,FALSE()))),"OLD",IF(AND(E4022&lt;&gt;"",E4022&lt;&gt;"!!!"),"NEW","")))</f>
        <v> </v>
      </c>
      <c r="G4022" s="23" t="str">
        <f>IF(OR(E4022="",E4022="!!!"),"",IF(OR(J4022=0,AND(J4022=1,K4022=1),AND(J4022=1,I4022="SBJ"),AND(J4022=1,I4022=0)),"?IN_FOCUS",IF(J4022&lt;=2,"?ACTIVATED",IF(J4022&lt;&gt;"","?FAMILIAR",IF(F4022="NEW",IF(ISNA(VLOOKUP(E4022,#REF!,1,FALSE())),"?TYPE_IDENTIFIABLE","?REFERENTIAL"),"_")))))</f>
        <v> </v>
      </c>
      <c r="H4022" s="24" t="str">
        <f>IF(J4022&lt;&gt;1,"",IF(I4022="SBJ","CB","?"))</f>
        <v> </v>
      </c>
      <c r="I4022" s="25" t="str">
        <f>IF(OR(E4022="",E4022="!!!",F4022="NEW"),"",INDEX(B4021:B$2,-1+SUMPRODUCT(MAX(ROW(E4021:E$2)*(E4022=E4021:E$2)))))</f>
        <v> </v>
      </c>
      <c r="J4022" s="25" t="str">
        <f>IF(OR(E4022="",E4022="!!!",F4022="NEW"),"",COUNTBLANK(OFFSET(A$1,,,SUMPRODUCT(MAX(ROW(E$2:E4022)*(E4022=E$2:E4022)))))-COUNTBLANK(OFFSET(A$1,,,SUMPRODUCT(MAX(ROW(E$1:E4021)*(E2=E$1:E4021))))))</f>
        <v> </v>
      </c>
      <c r="K4022" s="25" t="str">
        <f>IF(OR(E4022="",E4022="!!!",F4022="NEW"),"",INDEX(J$1:J4021,SUMPRODUCT(MAX(ROW(E$1:E4021)*(E4022=E$1:E4021)))))</f>
        <v> </v>
      </c>
      <c r="L4022" s="26"/>
    </row>
    <row r="4023" spans="1:12">
      <c r="A4023" s="20" t="s">
        <v>1124</v>
      </c>
      <c r="B4023" s="27" t="s">
        <v>1149</v>
      </c>
      <c r="C4023" s="27" t="s">
        <v>1126</v>
      </c>
      <c r="D4023" s="27" t="s">
        <v>1105</v>
      </c>
      <c r="E4023" s="21">
        <f>IF(D4023="?OLD","!!!","")</f>
        <v/>
      </c>
      <c r="F4023" s="22" t="str">
        <f>IF(OR(E4023="",E4023="!!!"),"",IF(NOT(ISNA(VLOOKUP(E4023,E$1:E4022,1,FALSE()))),"OLD",IF(AND(E4023&lt;&gt;"",E4023&lt;&gt;"!!!"),"NEW","")))</f>
        <v> </v>
      </c>
      <c r="G4023" s="23" t="str">
        <f>IF(OR(E4023="",E4023="!!!"),"",IF(OR(J4023=0,AND(J4023=1,K4023=1),AND(J4023=1,I4023="SBJ"),AND(J4023=1,I4023=0)),"?IN_FOCUS",IF(J4023&lt;=2,"?ACTIVATED",IF(J4023&lt;&gt;"","?FAMILIAR",IF(F4023="NEW",IF(ISNA(VLOOKUP(E4023,#REF!,1,FALSE())),"?TYPE_IDENTIFIABLE","?REFERENTIAL"),"_")))))</f>
        <v> </v>
      </c>
      <c r="H4023" s="24" t="str">
        <f>IF(J4023&lt;&gt;1,"",IF(I4023="SBJ","CB","?"))</f>
        <v> </v>
      </c>
      <c r="I4023" s="25" t="str">
        <f>IF(OR(E4023="",E4023="!!!",F4023="NEW"),"",INDEX(B4022:B$2,-1+SUMPRODUCT(MAX(ROW(E4022:E$2)*(E4023=E4022:E$2)))))</f>
        <v> </v>
      </c>
      <c r="J4023" s="25" t="str">
        <f>IF(OR(E4023="",E4023="!!!",F4023="NEW"),"",COUNTBLANK(OFFSET(A$1,,,SUMPRODUCT(MAX(ROW(E$2:E4023)*(E4023=E$2:E4023)))))-COUNTBLANK(OFFSET(A$1,,,SUMPRODUCT(MAX(ROW(E$1:E4022)*(E2=E$1:E4022))))))</f>
        <v> </v>
      </c>
      <c r="K4023" s="25" t="str">
        <f>IF(OR(E4023="",E4023="!!!",F4023="NEW"),"",INDEX(J$1:J4022,SUMPRODUCT(MAX(ROW(E$1:E4022)*(E4023=E$1:E4022)))))</f>
        <v> </v>
      </c>
      <c r="L4023" s="26"/>
    </row>
    <row r="4024" spans="1:12">
      <c r="A4024" s="20" t="s">
        <v>1842</v>
      </c>
      <c r="E4024" s="21">
        <f>IF(D4024="?OLD","!!!","")</f>
        <v/>
      </c>
      <c r="F4024" s="22" t="str">
        <f>IF(OR(E4024="",E4024="!!!"),"",IF(NOT(ISNA(VLOOKUP(E4024,E$1:E4023,1,FALSE()))),"OLD",IF(AND(E4024&lt;&gt;"",E4024&lt;&gt;"!!!"),"NEW","")))</f>
        <v> </v>
      </c>
      <c r="G4024" s="23" t="str">
        <f>IF(OR(E4024="",E4024="!!!"),"",IF(OR(J4024=0,AND(J4024=1,K4024=1),AND(J4024=1,I4024="SBJ"),AND(J4024=1,I4024=0)),"?IN_FOCUS",IF(J4024&lt;=2,"?ACTIVATED",IF(J4024&lt;&gt;"","?FAMILIAR",IF(F4024="NEW",IF(ISNA(VLOOKUP(E4024,#REF!,1,FALSE())),"?TYPE_IDENTIFIABLE","?REFERENTIAL"),"_")))))</f>
        <v> </v>
      </c>
      <c r="H4024" s="24" t="str">
        <f>IF(J4024&lt;&gt;1,"",IF(I4024="SBJ","CB","?"))</f>
        <v> </v>
      </c>
      <c r="I4024" s="25" t="str">
        <f>IF(OR(E4024="",E4024="!!!",F4024="NEW"),"",INDEX(B4023:B$2,-1+SUMPRODUCT(MAX(ROW(E4023:E$2)*(E4024=E4023:E$2)))))</f>
        <v> </v>
      </c>
      <c r="J4024" s="25" t="str">
        <f>IF(OR(E4024="",E4024="!!!",F4024="NEW"),"",COUNTBLANK(OFFSET(A$1,,,SUMPRODUCT(MAX(ROW(E$2:E4024)*(E4024=E$2:E4024)))))-COUNTBLANK(OFFSET(A$1,,,SUMPRODUCT(MAX(ROW(E$1:E4023)*(E2=E$1:E4023))))))</f>
        <v> </v>
      </c>
      <c r="K4024" s="25" t="str">
        <f>IF(OR(E4024="",E4024="!!!",F4024="NEW"),"",INDEX(J$1:J4023,SUMPRODUCT(MAX(ROW(E$1:E4023)*(E4024=E$1:E4023)))))</f>
        <v> </v>
      </c>
      <c r="L4024" s="26"/>
    </row>
    <row r="4025" spans="1:12">
      <c r="A4025" s="20" t="s">
        <v>1128</v>
      </c>
      <c r="E4025" s="21">
        <f>IF(D4025="?OLD","!!!","")</f>
        <v/>
      </c>
      <c r="F4025" s="22" t="str">
        <f>IF(OR(E4025="",E4025="!!!"),"",IF(NOT(ISNA(VLOOKUP(E4025,E$1:E4024,1,FALSE()))),"OLD",IF(AND(E4025&lt;&gt;"",E4025&lt;&gt;"!!!"),"NEW","")))</f>
        <v> </v>
      </c>
      <c r="G4025" s="23" t="str">
        <f>IF(OR(E4025="",E4025="!!!"),"",IF(OR(J4025=0,AND(J4025=1,K4025=1),AND(J4025=1,I4025="SBJ"),AND(J4025=1,I4025=0)),"?IN_FOCUS",IF(J4025&lt;=2,"?ACTIVATED",IF(J4025&lt;&gt;"","?FAMILIAR",IF(F4025="NEW",IF(ISNA(VLOOKUP(E4025,#REF!,1,FALSE())),"?TYPE_IDENTIFIABLE","?REFERENTIAL"),"_")))))</f>
        <v> </v>
      </c>
      <c r="H4025" s="24" t="str">
        <f>IF(J4025&lt;&gt;1,"",IF(I4025="SBJ","CB","?"))</f>
        <v> </v>
      </c>
      <c r="I4025" s="25" t="str">
        <f>IF(OR(E4025="",E4025="!!!",F4025="NEW"),"",INDEX(B4024:B$2,-1+SUMPRODUCT(MAX(ROW(E4024:E$2)*(E4025=E4024:E$2)))))</f>
        <v> </v>
      </c>
      <c r="J4025" s="25" t="str">
        <f>IF(OR(E4025="",E4025="!!!",F4025="NEW"),"",COUNTBLANK(OFFSET(A$1,,,SUMPRODUCT(MAX(ROW(E$2:E4025)*(E4025=E$2:E4025)))))-COUNTBLANK(OFFSET(A$1,,,SUMPRODUCT(MAX(ROW(E$1:E4024)*(E2=E$1:E4024))))))</f>
        <v> </v>
      </c>
      <c r="K4025" s="25" t="str">
        <f>IF(OR(E4025="",E4025="!!!",F4025="NEW"),"",INDEX(J$1:J4024,SUMPRODUCT(MAX(ROW(E$1:E4024)*(E4025=E$1:E4024)))))</f>
        <v> </v>
      </c>
      <c r="L4025" s="26"/>
    </row>
    <row r="4026" spans="1:12">
      <c r="A4026" s="20" t="s">
        <v>2904</v>
      </c>
      <c r="E4026" s="21">
        <f>IF(D4026="?OLD","!!!","")</f>
        <v/>
      </c>
      <c r="F4026" s="22" t="str">
        <f>IF(OR(E4026="",E4026="!!!"),"",IF(NOT(ISNA(VLOOKUP(E4026,E$1:E4025,1,FALSE()))),"OLD",IF(AND(E4026&lt;&gt;"",E4026&lt;&gt;"!!!"),"NEW","")))</f>
        <v> </v>
      </c>
      <c r="G4026" s="23" t="str">
        <f>IF(OR(E4026="",E4026="!!!"),"",IF(OR(J4026=0,AND(J4026=1,K4026=1),AND(J4026=1,I4026="SBJ"),AND(J4026=1,I4026=0)),"?IN_FOCUS",IF(J4026&lt;=2,"?ACTIVATED",IF(J4026&lt;&gt;"","?FAMILIAR",IF(F4026="NEW",IF(ISNA(VLOOKUP(E4026,#REF!,1,FALSE())),"?TYPE_IDENTIFIABLE","?REFERENTIAL"),"_")))))</f>
        <v> </v>
      </c>
      <c r="H4026" s="24" t="str">
        <f>IF(J4026&lt;&gt;1,"",IF(I4026="SBJ","CB","?"))</f>
        <v> </v>
      </c>
      <c r="I4026" s="25" t="str">
        <f>IF(OR(E4026="",E4026="!!!",F4026="NEW"),"",INDEX(B4025:B$2,-1+SUMPRODUCT(MAX(ROW(E4025:E$2)*(E4026=E4025:E$2)))))</f>
        <v> </v>
      </c>
      <c r="J4026" s="25" t="str">
        <f>IF(OR(E4026="",E4026="!!!",F4026="NEW"),"",COUNTBLANK(OFFSET(A$1,,,SUMPRODUCT(MAX(ROW(E$2:E4026)*(E4026=E$2:E4026)))))-COUNTBLANK(OFFSET(A$1,,,SUMPRODUCT(MAX(ROW(E$1:E4025)*(E2=E$1:E4025))))))</f>
        <v> </v>
      </c>
      <c r="K4026" s="25" t="str">
        <f>IF(OR(E4026="",E4026="!!!",F4026="NEW"),"",INDEX(J$1:J4025,SUMPRODUCT(MAX(ROW(E$1:E4025)*(E4026=E$1:E4025)))))</f>
        <v> </v>
      </c>
      <c r="L4026" s="26"/>
    </row>
    <row r="4027" spans="1:12">
      <c r="A4027" s="20" t="s">
        <v>471</v>
      </c>
      <c r="E4027" s="21">
        <f>IF(D4027="?OLD","!!!","")</f>
        <v/>
      </c>
      <c r="F4027" s="22" t="str">
        <f>IF(OR(E4027="",E4027="!!!"),"",IF(NOT(ISNA(VLOOKUP(E4027,E$1:E4026,1,FALSE()))),"OLD",IF(AND(E4027&lt;&gt;"",E4027&lt;&gt;"!!!"),"NEW","")))</f>
        <v> </v>
      </c>
      <c r="G4027" s="23" t="str">
        <f>IF(OR(E4027="",E4027="!!!"),"",IF(OR(J4027=0,AND(J4027=1,K4027=1),AND(J4027=1,I4027="SBJ"),AND(J4027=1,I4027=0)),"?IN_FOCUS",IF(J4027&lt;=2,"?ACTIVATED",IF(J4027&lt;&gt;"","?FAMILIAR",IF(F4027="NEW",IF(ISNA(VLOOKUP(E4027,#REF!,1,FALSE())),"?TYPE_IDENTIFIABLE","?REFERENTIAL"),"_")))))</f>
        <v> </v>
      </c>
      <c r="H4027" s="24" t="str">
        <f>IF(J4027&lt;&gt;1,"",IF(I4027="SBJ","CB","?"))</f>
        <v> </v>
      </c>
      <c r="I4027" s="25" t="str">
        <f>IF(OR(E4027="",E4027="!!!",F4027="NEW"),"",INDEX(B4026:B$2,-1+SUMPRODUCT(MAX(ROW(E4026:E$2)*(E4027=E4026:E$2)))))</f>
        <v> </v>
      </c>
      <c r="J4027" s="25" t="str">
        <f>IF(OR(E4027="",E4027="!!!",F4027="NEW"),"",COUNTBLANK(OFFSET(A$1,,,SUMPRODUCT(MAX(ROW(E$2:E4027)*(E4027=E$2:E4027)))))-COUNTBLANK(OFFSET(A$1,,,SUMPRODUCT(MAX(ROW(E$1:E4026)*(E2=E$1:E4026))))))</f>
        <v> </v>
      </c>
      <c r="K4027" s="25" t="str">
        <f>IF(OR(E4027="",E4027="!!!",F4027="NEW"),"",INDEX(J$1:J4026,SUMPRODUCT(MAX(ROW(E$1:E4026)*(E4027=E$1:E4026)))))</f>
        <v> </v>
      </c>
      <c r="L4027" s="26"/>
    </row>
    <row r="4028" spans="1:12">
      <c r="A4028" s="20" t="s">
        <v>1123</v>
      </c>
      <c r="E4028" s="21">
        <f>IF(D4028="?OLD","!!!","")</f>
        <v/>
      </c>
      <c r="F4028" s="22" t="str">
        <f>IF(OR(E4028="",E4028="!!!"),"",IF(NOT(ISNA(VLOOKUP(E4028,E$1:E4027,1,FALSE()))),"OLD",IF(AND(E4028&lt;&gt;"",E4028&lt;&gt;"!!!"),"NEW","")))</f>
        <v> </v>
      </c>
      <c r="G4028" s="23" t="str">
        <f>IF(OR(E4028="",E4028="!!!"),"",IF(OR(J4028=0,AND(J4028=1,K4028=1),AND(J4028=1,I4028="SBJ"),AND(J4028=1,I4028=0)),"?IN_FOCUS",IF(J4028&lt;=2,"?ACTIVATED",IF(J4028&lt;&gt;"","?FAMILIAR",IF(F4028="NEW",IF(ISNA(VLOOKUP(E4028,#REF!,1,FALSE())),"?TYPE_IDENTIFIABLE","?REFERENTIAL"),"_")))))</f>
        <v> </v>
      </c>
      <c r="H4028" s="24" t="str">
        <f>IF(J4028&lt;&gt;1,"",IF(I4028="SBJ","CB","?"))</f>
        <v> </v>
      </c>
      <c r="I4028" s="25" t="str">
        <f>IF(OR(E4028="",E4028="!!!",F4028="NEW"),"",INDEX(B4027:B$2,-1+SUMPRODUCT(MAX(ROW(E4027:E$2)*(E4028=E4027:E$2)))))</f>
        <v> </v>
      </c>
      <c r="J4028" s="25" t="str">
        <f>IF(OR(E4028="",E4028="!!!",F4028="NEW"),"",COUNTBLANK(OFFSET(A$1,,,SUMPRODUCT(MAX(ROW(E$2:E4028)*(E4028=E$2:E4028)))))-COUNTBLANK(OFFSET(A$1,,,SUMPRODUCT(MAX(ROW(E$1:E4027)*(E2=E$1:E4027))))))</f>
        <v> </v>
      </c>
      <c r="K4028" s="25" t="str">
        <f>IF(OR(E4028="",E4028="!!!",F4028="NEW"),"",INDEX(J$1:J4027,SUMPRODUCT(MAX(ROW(E$1:E4027)*(E4028=E$1:E4027)))))</f>
        <v> </v>
      </c>
      <c r="L4028" s="26"/>
    </row>
    <row r="4029" spans="1:12">
      <c r="A4029" s="20" t="s">
        <v>2905</v>
      </c>
      <c r="E4029" s="21">
        <f>IF(D4029="?OLD","!!!","")</f>
        <v/>
      </c>
      <c r="F4029" s="22" t="str">
        <f>IF(OR(E4029="",E4029="!!!"),"",IF(NOT(ISNA(VLOOKUP(E4029,E$1:E4028,1,FALSE()))),"OLD",IF(AND(E4029&lt;&gt;"",E4029&lt;&gt;"!!!"),"NEW","")))</f>
        <v> </v>
      </c>
      <c r="G4029" s="23" t="str">
        <f>IF(OR(E4029="",E4029="!!!"),"",IF(OR(J4029=0,AND(J4029=1,K4029=1),AND(J4029=1,I4029="SBJ"),AND(J4029=1,I4029=0)),"?IN_FOCUS",IF(J4029&lt;=2,"?ACTIVATED",IF(J4029&lt;&gt;"","?FAMILIAR",IF(F4029="NEW",IF(ISNA(VLOOKUP(E4029,#REF!,1,FALSE())),"?TYPE_IDENTIFIABLE","?REFERENTIAL"),"_")))))</f>
        <v> </v>
      </c>
      <c r="H4029" s="24" t="str">
        <f>IF(J4029&lt;&gt;1,"",IF(I4029="SBJ","CB","?"))</f>
        <v> </v>
      </c>
      <c r="I4029" s="25" t="str">
        <f>IF(OR(E4029="",E4029="!!!",F4029="NEW"),"",INDEX(B4028:B$2,-1+SUMPRODUCT(MAX(ROW(E4028:E$2)*(E4029=E4028:E$2)))))</f>
        <v> </v>
      </c>
      <c r="J4029" s="25" t="str">
        <f>IF(OR(E4029="",E4029="!!!",F4029="NEW"),"",COUNTBLANK(OFFSET(A$1,,,SUMPRODUCT(MAX(ROW(E$2:E4029)*(E4029=E$2:E4029)))))-COUNTBLANK(OFFSET(A$1,,,SUMPRODUCT(MAX(ROW(E$1:E4028)*(E2=E$1:E4028))))))</f>
        <v> </v>
      </c>
      <c r="K4029" s="25" t="str">
        <f>IF(OR(E4029="",E4029="!!!",F4029="NEW"),"",INDEX(J$1:J4028,SUMPRODUCT(MAX(ROW(E$1:E4028)*(E4029=E$1:E4028)))))</f>
        <v> </v>
      </c>
      <c r="L4029" s="26"/>
    </row>
    <row r="4030" spans="1:12">
      <c r="A4030" s="20" t="s">
        <v>1186</v>
      </c>
      <c r="B4030" s="27" t="s">
        <v>1115</v>
      </c>
      <c r="C4030" s="27" t="s">
        <v>1126</v>
      </c>
      <c r="D4030" s="27" t="s">
        <v>1105</v>
      </c>
      <c r="E4030" s="21">
        <f>IF(D4030="?OLD","!!!","")</f>
        <v/>
      </c>
      <c r="F4030" s="22" t="str">
        <f>IF(OR(E4030="",E4030="!!!"),"",IF(NOT(ISNA(VLOOKUP(E4030,E$1:E4029,1,FALSE()))),"OLD",IF(AND(E4030&lt;&gt;"",E4030&lt;&gt;"!!!"),"NEW","")))</f>
        <v> </v>
      </c>
      <c r="G4030" s="23" t="str">
        <f>IF(OR(E4030="",E4030="!!!"),"",IF(OR(J4030=0,AND(J4030=1,K4030=1),AND(J4030=1,I4030="SBJ"),AND(J4030=1,I4030=0)),"?IN_FOCUS",IF(J4030&lt;=2,"?ACTIVATED",IF(J4030&lt;&gt;"","?FAMILIAR",IF(F4030="NEW",IF(ISNA(VLOOKUP(E4030,#REF!,1,FALSE())),"?TYPE_IDENTIFIABLE","?REFERENTIAL"),"_")))))</f>
        <v> </v>
      </c>
      <c r="H4030" s="24" t="str">
        <f>IF(J4030&lt;&gt;1,"",IF(I4030="SBJ","CB","?"))</f>
        <v> </v>
      </c>
      <c r="I4030" s="25" t="str">
        <f>IF(OR(E4030="",E4030="!!!",F4030="NEW"),"",INDEX(B4029:B$2,-1+SUMPRODUCT(MAX(ROW(E4029:E$2)*(E4030=E4029:E$2)))))</f>
        <v> </v>
      </c>
      <c r="J4030" s="25" t="str">
        <f>IF(OR(E4030="",E4030="!!!",F4030="NEW"),"",COUNTBLANK(OFFSET(A$1,,,SUMPRODUCT(MAX(ROW(E$2:E4030)*(E4030=E$2:E4030)))))-COUNTBLANK(OFFSET(A$1,,,SUMPRODUCT(MAX(ROW(E$1:E4029)*(E2=E$1:E4029))))))</f>
        <v> </v>
      </c>
      <c r="K4030" s="25" t="str">
        <f>IF(OR(E4030="",E4030="!!!",F4030="NEW"),"",INDEX(J$1:J4029,SUMPRODUCT(MAX(ROW(E$1:E4029)*(E4030=E$1:E4029)))))</f>
        <v> </v>
      </c>
      <c r="L4030" s="26"/>
    </row>
    <row r="4031" spans="1:12">
      <c r="A4031" s="20" t="s">
        <v>1184</v>
      </c>
      <c r="E4031" s="21">
        <f>IF(D4031="?OLD","!!!","")</f>
        <v/>
      </c>
      <c r="F4031" s="22" t="str">
        <f>IF(OR(E4031="",E4031="!!!"),"",IF(NOT(ISNA(VLOOKUP(E4031,E$1:E4030,1,FALSE()))),"OLD",IF(AND(E4031&lt;&gt;"",E4031&lt;&gt;"!!!"),"NEW","")))</f>
        <v> </v>
      </c>
      <c r="G4031" s="23" t="str">
        <f>IF(OR(E4031="",E4031="!!!"),"",IF(OR(J4031=0,AND(J4031=1,K4031=1),AND(J4031=1,I4031="SBJ"),AND(J4031=1,I4031=0)),"?IN_FOCUS",IF(J4031&lt;=2,"?ACTIVATED",IF(J4031&lt;&gt;"","?FAMILIAR",IF(F4031="NEW",IF(ISNA(VLOOKUP(E4031,#REF!,1,FALSE())),"?TYPE_IDENTIFIABLE","?REFERENTIAL"),"_")))))</f>
        <v> </v>
      </c>
      <c r="H4031" s="24" t="str">
        <f>IF(J4031&lt;&gt;1,"",IF(I4031="SBJ","CB","?"))</f>
        <v> </v>
      </c>
      <c r="I4031" s="25" t="str">
        <f>IF(OR(E4031="",E4031="!!!",F4031="NEW"),"",INDEX(B4030:B$2,-1+SUMPRODUCT(MAX(ROW(E4030:E$2)*(E4031=E4030:E$2)))))</f>
        <v> </v>
      </c>
      <c r="J4031" s="25" t="str">
        <f>IF(OR(E4031="",E4031="!!!",F4031="NEW"),"",COUNTBLANK(OFFSET(A$1,,,SUMPRODUCT(MAX(ROW(E$2:E4031)*(E4031=E$2:E4031)))))-COUNTBLANK(OFFSET(A$1,,,SUMPRODUCT(MAX(ROW(E$1:E4030)*(E2=E$1:E4030))))))</f>
        <v> </v>
      </c>
      <c r="K4031" s="25" t="str">
        <f>IF(OR(E4031="",E4031="!!!",F4031="NEW"),"",INDEX(J$1:J4030,SUMPRODUCT(MAX(ROW(E$1:E4030)*(E4031=E$1:E4030)))))</f>
        <v> </v>
      </c>
      <c r="L4031" s="26"/>
    </row>
    <row r="4032" spans="1:12">
      <c r="A4032" s="20" t="s">
        <v>2604</v>
      </c>
      <c r="E4032" s="21">
        <f>IF(D4032="?OLD","!!!","")</f>
        <v/>
      </c>
      <c r="F4032" s="22" t="str">
        <f>IF(OR(E4032="",E4032="!!!"),"",IF(NOT(ISNA(VLOOKUP(E4032,E$1:E4031,1,FALSE()))),"OLD",IF(AND(E4032&lt;&gt;"",E4032&lt;&gt;"!!!"),"NEW","")))</f>
        <v> </v>
      </c>
      <c r="G4032" s="23" t="str">
        <f>IF(OR(E4032="",E4032="!!!"),"",IF(OR(J4032=0,AND(J4032=1,K4032=1),AND(J4032=1,I4032="SBJ"),AND(J4032=1,I4032=0)),"?IN_FOCUS",IF(J4032&lt;=2,"?ACTIVATED",IF(J4032&lt;&gt;"","?FAMILIAR",IF(F4032="NEW",IF(ISNA(VLOOKUP(E4032,#REF!,1,FALSE())),"?TYPE_IDENTIFIABLE","?REFERENTIAL"),"_")))))</f>
        <v> </v>
      </c>
      <c r="H4032" s="24" t="str">
        <f>IF(J4032&lt;&gt;1,"",IF(I4032="SBJ","CB","?"))</f>
        <v> </v>
      </c>
      <c r="I4032" s="25" t="str">
        <f>IF(OR(E4032="",E4032="!!!",F4032="NEW"),"",INDEX(B4031:B$2,-1+SUMPRODUCT(MAX(ROW(E4031:E$2)*(E4032=E4031:E$2)))))</f>
        <v> </v>
      </c>
      <c r="J4032" s="25" t="str">
        <f>IF(OR(E4032="",E4032="!!!",F4032="NEW"),"",COUNTBLANK(OFFSET(A$1,,,SUMPRODUCT(MAX(ROW(E$2:E4032)*(E4032=E$2:E4032)))))-COUNTBLANK(OFFSET(A$1,,,SUMPRODUCT(MAX(ROW(E$1:E4031)*(E2=E$1:E4031))))))</f>
        <v> </v>
      </c>
      <c r="K4032" s="25" t="str">
        <f>IF(OR(E4032="",E4032="!!!",F4032="NEW"),"",INDEX(J$1:J4031,SUMPRODUCT(MAX(ROW(E$1:E4031)*(E4032=E$1:E4031)))))</f>
        <v> </v>
      </c>
      <c r="L4032" s="26"/>
    </row>
    <row r="4033" spans="1:12">
      <c r="A4033" s="20" t="s">
        <v>1145</v>
      </c>
      <c r="E4033" s="21">
        <f>IF(D4033="?OLD","!!!","")</f>
        <v/>
      </c>
      <c r="F4033" s="22" t="str">
        <f>IF(OR(E4033="",E4033="!!!"),"",IF(NOT(ISNA(VLOOKUP(E4033,E$1:E4032,1,FALSE()))),"OLD",IF(AND(E4033&lt;&gt;"",E4033&lt;&gt;"!!!"),"NEW","")))</f>
        <v> </v>
      </c>
      <c r="G4033" s="23" t="str">
        <f>IF(OR(E4033="",E4033="!!!"),"",IF(OR(J4033=0,AND(J4033=1,K4033=1),AND(J4033=1,I4033="SBJ"),AND(J4033=1,I4033=0)),"?IN_FOCUS",IF(J4033&lt;=2,"?ACTIVATED",IF(J4033&lt;&gt;"","?FAMILIAR",IF(F4033="NEW",IF(ISNA(VLOOKUP(E4033,#REF!,1,FALSE())),"?TYPE_IDENTIFIABLE","?REFERENTIAL"),"_")))))</f>
        <v> </v>
      </c>
      <c r="H4033" s="24" t="str">
        <f>IF(J4033&lt;&gt;1,"",IF(I4033="SBJ","CB","?"))</f>
        <v> </v>
      </c>
      <c r="I4033" s="25" t="str">
        <f>IF(OR(E4033="",E4033="!!!",F4033="NEW"),"",INDEX(B4032:B$2,-1+SUMPRODUCT(MAX(ROW(E4032:E$2)*(E4033=E4032:E$2)))))</f>
        <v> </v>
      </c>
      <c r="J4033" s="25" t="str">
        <f>IF(OR(E4033="",E4033="!!!",F4033="NEW"),"",COUNTBLANK(OFFSET(A$1,,,SUMPRODUCT(MAX(ROW(E$2:E4033)*(E4033=E$2:E4033)))))-COUNTBLANK(OFFSET(A$1,,,SUMPRODUCT(MAX(ROW(E$1:E4032)*(E2=E$1:E4032))))))</f>
        <v> </v>
      </c>
      <c r="K4033" s="25" t="str">
        <f>IF(OR(E4033="",E4033="!!!",F4033="NEW"),"",INDEX(J$1:J4032,SUMPRODUCT(MAX(ROW(E$1:E4032)*(E4033=E$1:E4032)))))</f>
        <v> </v>
      </c>
      <c r="L4033" s="26"/>
    </row>
    <row r="4034" spans="1:12">
      <c r="A4034" s="20"/>
    </row>
    <row r="4035" spans="1:12">
      <c r="A4035" s="20" t="s">
        <v>2906</v>
      </c>
    </row>
    <row r="4036" spans="1:12">
      <c r="A4036" s="20" t="s">
        <v>1368</v>
      </c>
      <c r="E4036" s="21">
        <f>IF(D4036="?OLD","!!!","")</f>
        <v/>
      </c>
      <c r="F4036" s="22" t="str">
        <f>IF(OR(E4036="",E4036="!!!"),"",IF(NOT(ISNA(VLOOKUP(E4036,E$1:E4035,1,FALSE()))),"OLD",IF(AND(E4036&lt;&gt;"",E4036&lt;&gt;"!!!"),"NEW","")))</f>
        <v> </v>
      </c>
      <c r="G4036" s="23" t="str">
        <f>IF(OR(E4036="",E4036="!!!"),"",IF(OR(J4036=0,AND(J4036=1,K4036=1),AND(J4036=1,I4036="SBJ"),AND(J4036=1,I4036=0)),"?IN_FOCUS",IF(J4036&lt;=2,"?ACTIVATED",IF(J4036&lt;&gt;"","?FAMILIAR",IF(F4036="NEW",IF(ISNA(VLOOKUP(E4036,#REF!,1,FALSE())),"?TYPE_IDENTIFIABLE","?REFERENTIAL"),"_")))))</f>
        <v> </v>
      </c>
      <c r="H4036" s="24" t="str">
        <f>IF(J4036&lt;&gt;1,"",IF(I4036="SBJ","CB","?"))</f>
        <v> </v>
      </c>
      <c r="I4036" s="25" t="str">
        <f>IF(OR(E4036="",E4036="!!!",F4036="NEW"),"",INDEX(B4035:B$2,-1+SUMPRODUCT(MAX(ROW(E4035:E$2)*(E4036=E4035:E$2)))))</f>
        <v> </v>
      </c>
      <c r="J4036" s="25" t="str">
        <f>IF(OR(E4036="",E4036="!!!",F4036="NEW"),"",COUNTBLANK(OFFSET(A$1,,,SUMPRODUCT(MAX(ROW(E$2:E4036)*(E4036=E$2:E4036)))))-COUNTBLANK(OFFSET(A$1,,,SUMPRODUCT(MAX(ROW(E$1:E4035)*(E2=E$1:E4035))))))</f>
        <v> </v>
      </c>
      <c r="K4036" s="25" t="str">
        <f>IF(OR(E4036="",E4036="!!!",F4036="NEW"),"",INDEX(J$1:J4035,SUMPRODUCT(MAX(ROW(E$1:E4035)*(E4036=E$1:E4035)))))</f>
        <v> </v>
      </c>
      <c r="L4036" s="26"/>
    </row>
    <row r="4037" spans="1:12">
      <c r="A4037" s="20" t="s">
        <v>1184</v>
      </c>
      <c r="E4037" s="21">
        <f>IF(D4037="?OLD","!!!","")</f>
        <v/>
      </c>
      <c r="F4037" s="22" t="str">
        <f>IF(OR(E4037="",E4037="!!!"),"",IF(NOT(ISNA(VLOOKUP(E4037,E$1:E4036,1,FALSE()))),"OLD",IF(AND(E4037&lt;&gt;"",E4037&lt;&gt;"!!!"),"NEW","")))</f>
        <v> </v>
      </c>
      <c r="G4037" s="23" t="str">
        <f>IF(OR(E4037="",E4037="!!!"),"",IF(OR(J4037=0,AND(J4037=1,K4037=1),AND(J4037=1,I4037="SBJ"),AND(J4037=1,I4037=0)),"?IN_FOCUS",IF(J4037&lt;=2,"?ACTIVATED",IF(J4037&lt;&gt;"","?FAMILIAR",IF(F4037="NEW",IF(ISNA(VLOOKUP(E4037,#REF!,1,FALSE())),"?TYPE_IDENTIFIABLE","?REFERENTIAL"),"_")))))</f>
        <v> </v>
      </c>
      <c r="H4037" s="24" t="str">
        <f>IF(J4037&lt;&gt;1,"",IF(I4037="SBJ","CB","?"))</f>
        <v> </v>
      </c>
      <c r="I4037" s="25" t="str">
        <f>IF(OR(E4037="",E4037="!!!",F4037="NEW"),"",INDEX(B4036:B$2,-1+SUMPRODUCT(MAX(ROW(E4036:E$2)*(E4037=E4036:E$2)))))</f>
        <v> </v>
      </c>
      <c r="J4037" s="25" t="str">
        <f>IF(OR(E4037="",E4037="!!!",F4037="NEW"),"",COUNTBLANK(OFFSET(A$1,,,SUMPRODUCT(MAX(ROW(E$2:E4037)*(E4037=E$2:E4037)))))-COUNTBLANK(OFFSET(A$1,,,SUMPRODUCT(MAX(ROW(E$1:E4036)*(E2=E$1:E4036))))))</f>
        <v> </v>
      </c>
      <c r="K4037" s="25" t="str">
        <f>IF(OR(E4037="",E4037="!!!",F4037="NEW"),"",INDEX(J$1:J4036,SUMPRODUCT(MAX(ROW(E$1:E4036)*(E4037=E$1:E4036)))))</f>
        <v> </v>
      </c>
      <c r="L4037" s="26"/>
    </row>
    <row r="4038" spans="1:12">
      <c r="A4038" s="20" t="s">
        <v>2907</v>
      </c>
      <c r="E4038" s="21">
        <f>IF(D4038="?OLD","!!!","")</f>
        <v/>
      </c>
      <c r="F4038" s="22" t="str">
        <f>IF(OR(E4038="",E4038="!!!"),"",IF(NOT(ISNA(VLOOKUP(E4038,E$1:E4037,1,FALSE()))),"OLD",IF(AND(E4038&lt;&gt;"",E4038&lt;&gt;"!!!"),"NEW","")))</f>
        <v> </v>
      </c>
      <c r="G4038" s="23" t="str">
        <f>IF(OR(E4038="",E4038="!!!"),"",IF(OR(J4038=0,AND(J4038=1,K4038=1),AND(J4038=1,I4038="SBJ"),AND(J4038=1,I4038=0)),"?IN_FOCUS",IF(J4038&lt;=2,"?ACTIVATED",IF(J4038&lt;&gt;"","?FAMILIAR",IF(F4038="NEW",IF(ISNA(VLOOKUP(E4038,#REF!,1,FALSE())),"?TYPE_IDENTIFIABLE","?REFERENTIAL"),"_")))))</f>
        <v> </v>
      </c>
      <c r="H4038" s="24" t="str">
        <f>IF(J4038&lt;&gt;1,"",IF(I4038="SBJ","CB","?"))</f>
        <v> </v>
      </c>
      <c r="I4038" s="25" t="str">
        <f>IF(OR(E4038="",E4038="!!!",F4038="NEW"),"",INDEX(B4037:B$2,-1+SUMPRODUCT(MAX(ROW(E4037:E$2)*(E4038=E4037:E$2)))))</f>
        <v> </v>
      </c>
      <c r="J4038" s="25" t="str">
        <f>IF(OR(E4038="",E4038="!!!",F4038="NEW"),"",COUNTBLANK(OFFSET(A$1,,,SUMPRODUCT(MAX(ROW(E$2:E4038)*(E4038=E$2:E4038)))))-COUNTBLANK(OFFSET(A$1,,,SUMPRODUCT(MAX(ROW(E$1:E4037)*(E2=E$1:E4037))))))</f>
        <v> </v>
      </c>
      <c r="K4038" s="25" t="str">
        <f>IF(OR(E4038="",E4038="!!!",F4038="NEW"),"",INDEX(J$1:J4037,SUMPRODUCT(MAX(ROW(E$1:E4037)*(E4038=E$1:E4037)))))</f>
        <v> </v>
      </c>
      <c r="L4038" s="26"/>
    </row>
    <row r="4039" spans="1:12">
      <c r="A4039" s="20" t="s">
        <v>2453</v>
      </c>
      <c r="B4039" s="27" t="s">
        <v>1103</v>
      </c>
      <c r="C4039" s="27" t="s">
        <v>1156</v>
      </c>
      <c r="D4039" s="27" t="s">
        <v>1105</v>
      </c>
      <c r="E4039" s="21">
        <f>IF(D4039="?OLD","!!!","")</f>
        <v/>
      </c>
      <c r="F4039" s="22" t="str">
        <f>IF(OR(E4039="",E4039="!!!"),"",IF(NOT(ISNA(VLOOKUP(E4039,E$1:E4038,1,FALSE()))),"OLD",IF(AND(E4039&lt;&gt;"",E4039&lt;&gt;"!!!"),"NEW","")))</f>
        <v> </v>
      </c>
      <c r="G4039" s="23" t="str">
        <f>IF(OR(E4039="",E4039="!!!"),"",IF(OR(J4039=0,AND(J4039=1,K4039=1),AND(J4039=1,I4039="SBJ"),AND(J4039=1,I4039=0)),"?IN_FOCUS",IF(J4039&lt;=2,"?ACTIVATED",IF(J4039&lt;&gt;"","?FAMILIAR",IF(F4039="NEW",IF(ISNA(VLOOKUP(E4039,#REF!,1,FALSE())),"?TYPE_IDENTIFIABLE","?REFERENTIAL"),"_")))))</f>
        <v> </v>
      </c>
      <c r="H4039" s="24" t="str">
        <f>IF(J4039&lt;&gt;1,"",IF(I4039="SBJ","CB","?"))</f>
        <v> </v>
      </c>
      <c r="I4039" s="25" t="str">
        <f>IF(OR(E4039="",E4039="!!!",F4039="NEW"),"",INDEX(B4038:B$2,-1+SUMPRODUCT(MAX(ROW(E4038:E$2)*(E4039=E4038:E$2)))))</f>
        <v> </v>
      </c>
      <c r="J4039" s="25" t="str">
        <f>IF(OR(E4039="",E4039="!!!",F4039="NEW"),"",COUNTBLANK(OFFSET(A$1,,,SUMPRODUCT(MAX(ROW(E$2:E4039)*(E4039=E$2:E4039)))))-COUNTBLANK(OFFSET(A$1,,,SUMPRODUCT(MAX(ROW(E$1:E4038)*(E2=E$1:E4038))))))</f>
        <v> </v>
      </c>
      <c r="K4039" s="25" t="str">
        <f>IF(OR(E4039="",E4039="!!!",F4039="NEW"),"",INDEX(J$1:J4038,SUMPRODUCT(MAX(ROW(E$1:E4038)*(E4039=E$1:E4038)))))</f>
        <v> </v>
      </c>
      <c r="L4039" s="26"/>
    </row>
    <row r="4040" spans="1:12">
      <c r="A4040" s="20" t="s">
        <v>2908</v>
      </c>
      <c r="E4040" s="21">
        <f>IF(D4040="?OLD","!!!","")</f>
        <v/>
      </c>
      <c r="F4040" s="22" t="str">
        <f>IF(OR(E4040="",E4040="!!!"),"",IF(NOT(ISNA(VLOOKUP(E4040,E$1:E4039,1,FALSE()))),"OLD",IF(AND(E4040&lt;&gt;"",E4040&lt;&gt;"!!!"),"NEW","")))</f>
        <v> </v>
      </c>
      <c r="G4040" s="23" t="str">
        <f>IF(OR(E4040="",E4040="!!!"),"",IF(OR(J4040=0,AND(J4040=1,K4040=1),AND(J4040=1,I4040="SBJ"),AND(J4040=1,I4040=0)),"?IN_FOCUS",IF(J4040&lt;=2,"?ACTIVATED",IF(J4040&lt;&gt;"","?FAMILIAR",IF(F4040="NEW",IF(ISNA(VLOOKUP(E4040,#REF!,1,FALSE())),"?TYPE_IDENTIFIABLE","?REFERENTIAL"),"_")))))</f>
        <v> </v>
      </c>
      <c r="H4040" s="24" t="str">
        <f>IF(J4040&lt;&gt;1,"",IF(I4040="SBJ","CB","?"))</f>
        <v> </v>
      </c>
      <c r="I4040" s="25" t="str">
        <f>IF(OR(E4040="",E4040="!!!",F4040="NEW"),"",INDEX(B4039:B$2,-1+SUMPRODUCT(MAX(ROW(E4039:E$2)*(E4040=E4039:E$2)))))</f>
        <v> </v>
      </c>
      <c r="J4040" s="25" t="str">
        <f>IF(OR(E4040="",E4040="!!!",F4040="NEW"),"",COUNTBLANK(OFFSET(A$1,,,SUMPRODUCT(MAX(ROW(E$2:E4040)*(E4040=E$2:E4040)))))-COUNTBLANK(OFFSET(A$1,,,SUMPRODUCT(MAX(ROW(E$1:E4039)*(E2=E$1:E4039))))))</f>
        <v> </v>
      </c>
      <c r="K4040" s="25" t="str">
        <f>IF(OR(E4040="",E4040="!!!",F4040="NEW"),"",INDEX(J$1:J4039,SUMPRODUCT(MAX(ROW(E$1:E4039)*(E4040=E$1:E4039)))))</f>
        <v> </v>
      </c>
      <c r="L4040" s="26"/>
    </row>
    <row r="4041" spans="1:12">
      <c r="A4041" s="20" t="s">
        <v>1145</v>
      </c>
      <c r="E4041" s="21">
        <f>IF(D4041="?OLD","!!!","")</f>
        <v/>
      </c>
      <c r="F4041" s="22" t="str">
        <f>IF(OR(E4041="",E4041="!!!"),"",IF(NOT(ISNA(VLOOKUP(E4041,E$1:E4040,1,FALSE()))),"OLD",IF(AND(E4041&lt;&gt;"",E4041&lt;&gt;"!!!"),"NEW","")))</f>
        <v> </v>
      </c>
      <c r="G4041" s="23" t="str">
        <f>IF(OR(E4041="",E4041="!!!"),"",IF(OR(J4041=0,AND(J4041=1,K4041=1),AND(J4041=1,I4041="SBJ"),AND(J4041=1,I4041=0)),"?IN_FOCUS",IF(J4041&lt;=2,"?ACTIVATED",IF(J4041&lt;&gt;"","?FAMILIAR",IF(F4041="NEW",IF(ISNA(VLOOKUP(E4041,#REF!,1,FALSE())),"?TYPE_IDENTIFIABLE","?REFERENTIAL"),"_")))))</f>
        <v> </v>
      </c>
      <c r="H4041" s="24" t="str">
        <f>IF(J4041&lt;&gt;1,"",IF(I4041="SBJ","CB","?"))</f>
        <v> </v>
      </c>
      <c r="I4041" s="25" t="str">
        <f>IF(OR(E4041="",E4041="!!!",F4041="NEW"),"",INDEX(B4040:B$2,-1+SUMPRODUCT(MAX(ROW(E4040:E$2)*(E4041=E4040:E$2)))))</f>
        <v> </v>
      </c>
      <c r="J4041" s="25" t="str">
        <f>IF(OR(E4041="",E4041="!!!",F4041="NEW"),"",COUNTBLANK(OFFSET(A$1,,,SUMPRODUCT(MAX(ROW(E$2:E4041)*(E4041=E$2:E4041)))))-COUNTBLANK(OFFSET(A$1,,,SUMPRODUCT(MAX(ROW(E$1:E4040)*(E2=E$1:E4040))))))</f>
        <v> </v>
      </c>
      <c r="K4041" s="25" t="str">
        <f>IF(OR(E4041="",E4041="!!!",F4041="NEW"),"",INDEX(J$1:J4040,SUMPRODUCT(MAX(ROW(E$1:E4040)*(E4041=E$1:E4040)))))</f>
        <v> </v>
      </c>
      <c r="L4041" s="26"/>
    </row>
    <row r="4042" spans="1:12">
      <c r="A4042" s="20"/>
    </row>
    <row r="4043" spans="1:12">
      <c r="A4043" s="20" t="s">
        <v>2909</v>
      </c>
    </row>
    <row r="4044" spans="1:12">
      <c r="A4044" s="20" t="s">
        <v>1406</v>
      </c>
      <c r="E4044" s="21">
        <f>IF(D4044="?OLD","!!!","")</f>
        <v/>
      </c>
      <c r="F4044" s="22" t="str">
        <f>IF(OR(E4044="",E4044="!!!"),"",IF(NOT(ISNA(VLOOKUP(E4044,E$1:E4043,1,FALSE()))),"OLD",IF(AND(E4044&lt;&gt;"",E4044&lt;&gt;"!!!"),"NEW","")))</f>
        <v> </v>
      </c>
      <c r="G4044" s="23" t="str">
        <f>IF(OR(E4044="",E4044="!!!"),"",IF(OR(J4044=0,AND(J4044=1,K4044=1),AND(J4044=1,I4044="SBJ"),AND(J4044=1,I4044=0)),"?IN_FOCUS",IF(J4044&lt;=2,"?ACTIVATED",IF(J4044&lt;&gt;"","?FAMILIAR",IF(F4044="NEW",IF(ISNA(VLOOKUP(E4044,#REF!,1,FALSE())),"?TYPE_IDENTIFIABLE","?REFERENTIAL"),"_")))))</f>
        <v> </v>
      </c>
      <c r="H4044" s="24" t="str">
        <f>IF(J4044&lt;&gt;1,"",IF(I4044="SBJ","CB","?"))</f>
        <v> </v>
      </c>
      <c r="I4044" s="25" t="str">
        <f>IF(OR(E4044="",E4044="!!!",F4044="NEW"),"",INDEX(B4043:B$2,-1+SUMPRODUCT(MAX(ROW(E4043:E$2)*(E4044=E4043:E$2)))))</f>
        <v> </v>
      </c>
      <c r="J4044" s="25" t="str">
        <f>IF(OR(E4044="",E4044="!!!",F4044="NEW"),"",COUNTBLANK(OFFSET(A$1,,,SUMPRODUCT(MAX(ROW(E$2:E4044)*(E4044=E$2:E4044)))))-COUNTBLANK(OFFSET(A$1,,,SUMPRODUCT(MAX(ROW(E$1:E4043)*(E2=E$1:E4043))))))</f>
        <v> </v>
      </c>
      <c r="K4044" s="25" t="str">
        <f>IF(OR(E4044="",E4044="!!!",F4044="NEW"),"",INDEX(J$1:J4043,SUMPRODUCT(MAX(ROW(E$1:E4043)*(E4044=E$1:E4043)))))</f>
        <v> </v>
      </c>
      <c r="L4044" s="26"/>
    </row>
    <row r="4045" spans="1:12">
      <c r="A4045" s="20" t="s">
        <v>1217</v>
      </c>
      <c r="B4045" s="27" t="s">
        <v>1149</v>
      </c>
      <c r="C4045" s="27" t="s">
        <v>1126</v>
      </c>
      <c r="D4045" s="27" t="s">
        <v>1105</v>
      </c>
      <c r="E4045" s="21">
        <f>IF(D4045="?OLD","!!!","")</f>
        <v/>
      </c>
      <c r="F4045" s="22" t="str">
        <f>IF(OR(E4045="",E4045="!!!"),"",IF(NOT(ISNA(VLOOKUP(E4045,E$1:E4044,1,FALSE()))),"OLD",IF(AND(E4045&lt;&gt;"",E4045&lt;&gt;"!!!"),"NEW","")))</f>
        <v> </v>
      </c>
      <c r="G4045" s="23" t="str">
        <f>IF(OR(E4045="",E4045="!!!"),"",IF(OR(J4045=0,AND(J4045=1,K4045=1),AND(J4045=1,I4045="SBJ"),AND(J4045=1,I4045=0)),"?IN_FOCUS",IF(J4045&lt;=2,"?ACTIVATED",IF(J4045&lt;&gt;"","?FAMILIAR",IF(F4045="NEW",IF(ISNA(VLOOKUP(E4045,#REF!,1,FALSE())),"?TYPE_IDENTIFIABLE","?REFERENTIAL"),"_")))))</f>
        <v> </v>
      </c>
      <c r="H4045" s="24" t="str">
        <f>IF(J4045&lt;&gt;1,"",IF(I4045="SBJ","CB","?"))</f>
        <v> </v>
      </c>
      <c r="I4045" s="25" t="str">
        <f>IF(OR(E4045="",E4045="!!!",F4045="NEW"),"",INDEX(B4044:B$2,-1+SUMPRODUCT(MAX(ROW(E4044:E$2)*(E4045=E4044:E$2)))))</f>
        <v> </v>
      </c>
      <c r="J4045" s="25" t="str">
        <f>IF(OR(E4045="",E4045="!!!",F4045="NEW"),"",COUNTBLANK(OFFSET(A$1,,,SUMPRODUCT(MAX(ROW(E$2:E4045)*(E4045=E$2:E4045)))))-COUNTBLANK(OFFSET(A$1,,,SUMPRODUCT(MAX(ROW(E$1:E4044)*(E2=E$1:E4044))))))</f>
        <v> </v>
      </c>
      <c r="K4045" s="25" t="str">
        <f>IF(OR(E4045="",E4045="!!!",F4045="NEW"),"",INDEX(J$1:J4044,SUMPRODUCT(MAX(ROW(E$1:E4044)*(E4045=E$1:E4044)))))</f>
        <v> </v>
      </c>
      <c r="L4045" s="26"/>
    </row>
    <row r="4046" spans="1:12">
      <c r="A4046" s="20" t="s">
        <v>1123</v>
      </c>
      <c r="E4046" s="21">
        <f>IF(D4046="?OLD","!!!","")</f>
        <v/>
      </c>
      <c r="F4046" s="22" t="str">
        <f>IF(OR(E4046="",E4046="!!!"),"",IF(NOT(ISNA(VLOOKUP(E4046,E$1:E4045,1,FALSE()))),"OLD",IF(AND(E4046&lt;&gt;"",E4046&lt;&gt;"!!!"),"NEW","")))</f>
        <v> </v>
      </c>
      <c r="G4046" s="23" t="str">
        <f>IF(OR(E4046="",E4046="!!!"),"",IF(OR(J4046=0,AND(J4046=1,K4046=1),AND(J4046=1,I4046="SBJ"),AND(J4046=1,I4046=0)),"?IN_FOCUS",IF(J4046&lt;=2,"?ACTIVATED",IF(J4046&lt;&gt;"","?FAMILIAR",IF(F4046="NEW",IF(ISNA(VLOOKUP(E4046,#REF!,1,FALSE())),"?TYPE_IDENTIFIABLE","?REFERENTIAL"),"_")))))</f>
        <v> </v>
      </c>
      <c r="H4046" s="24" t="str">
        <f>IF(J4046&lt;&gt;1,"",IF(I4046="SBJ","CB","?"))</f>
        <v> </v>
      </c>
      <c r="I4046" s="25" t="str">
        <f>IF(OR(E4046="",E4046="!!!",F4046="NEW"),"",INDEX(B4045:B$2,-1+SUMPRODUCT(MAX(ROW(E4045:E$2)*(E4046=E4045:E$2)))))</f>
        <v> </v>
      </c>
      <c r="J4046" s="25" t="str">
        <f>IF(OR(E4046="",E4046="!!!",F4046="NEW"),"",COUNTBLANK(OFFSET(A$1,,,SUMPRODUCT(MAX(ROW(E$2:E4046)*(E4046=E$2:E4046)))))-COUNTBLANK(OFFSET(A$1,,,SUMPRODUCT(MAX(ROW(E$1:E4045)*(E2=E$1:E4045))))))</f>
        <v> </v>
      </c>
      <c r="K4046" s="25" t="str">
        <f>IF(OR(E4046="",E4046="!!!",F4046="NEW"),"",INDEX(J$1:J4045,SUMPRODUCT(MAX(ROW(E$1:E4045)*(E4046=E$1:E4045)))))</f>
        <v> </v>
      </c>
      <c r="L4046" s="26"/>
    </row>
    <row r="4047" spans="1:12">
      <c r="A4047" s="20" t="s">
        <v>1253</v>
      </c>
      <c r="E4047" s="21">
        <f>IF(D4047="?OLD","!!!","")</f>
        <v/>
      </c>
      <c r="F4047" s="22" t="str">
        <f>IF(OR(E4047="",E4047="!!!"),"",IF(NOT(ISNA(VLOOKUP(E4047,E$1:E4046,1,FALSE()))),"OLD",IF(AND(E4047&lt;&gt;"",E4047&lt;&gt;"!!!"),"NEW","")))</f>
        <v> </v>
      </c>
      <c r="G4047" s="23" t="str">
        <f>IF(OR(E4047="",E4047="!!!"),"",IF(OR(J4047=0,AND(J4047=1,K4047=1),AND(J4047=1,I4047="SBJ"),AND(J4047=1,I4047=0)),"?IN_FOCUS",IF(J4047&lt;=2,"?ACTIVATED",IF(J4047&lt;&gt;"","?FAMILIAR",IF(F4047="NEW",IF(ISNA(VLOOKUP(E4047,#REF!,1,FALSE())),"?TYPE_IDENTIFIABLE","?REFERENTIAL"),"_")))))</f>
        <v> </v>
      </c>
      <c r="H4047" s="24" t="str">
        <f>IF(J4047&lt;&gt;1,"",IF(I4047="SBJ","CB","?"))</f>
        <v> </v>
      </c>
      <c r="I4047" s="25" t="str">
        <f>IF(OR(E4047="",E4047="!!!",F4047="NEW"),"",INDEX(B4046:B$2,-1+SUMPRODUCT(MAX(ROW(E4046:E$2)*(E4047=E4046:E$2)))))</f>
        <v> </v>
      </c>
      <c r="J4047" s="25" t="str">
        <f>IF(OR(E4047="",E4047="!!!",F4047="NEW"),"",COUNTBLANK(OFFSET(A$1,,,SUMPRODUCT(MAX(ROW(E$2:E4047)*(E4047=E$2:E4047)))))-COUNTBLANK(OFFSET(A$1,,,SUMPRODUCT(MAX(ROW(E$1:E4046)*(E2=E$1:E4046))))))</f>
        <v> </v>
      </c>
      <c r="K4047" s="25" t="str">
        <f>IF(OR(E4047="",E4047="!!!",F4047="NEW"),"",INDEX(J$1:J4046,SUMPRODUCT(MAX(ROW(E$1:E4046)*(E4047=E$1:E4046)))))</f>
        <v> </v>
      </c>
      <c r="L4047" s="26"/>
    </row>
    <row r="4048" spans="1:12">
      <c r="A4048" s="20" t="s">
        <v>2910</v>
      </c>
      <c r="E4048" s="21">
        <f>IF(D4048="?OLD","!!!","")</f>
        <v/>
      </c>
      <c r="F4048" s="22" t="str">
        <f>IF(OR(E4048="",E4048="!!!"),"",IF(NOT(ISNA(VLOOKUP(E4048,E$1:E4047,1,FALSE()))),"OLD",IF(AND(E4048&lt;&gt;"",E4048&lt;&gt;"!!!"),"NEW","")))</f>
        <v> </v>
      </c>
      <c r="G4048" s="23" t="str">
        <f>IF(OR(E4048="",E4048="!!!"),"",IF(OR(J4048=0,AND(J4048=1,K4048=1),AND(J4048=1,I4048="SBJ"),AND(J4048=1,I4048=0)),"?IN_FOCUS",IF(J4048&lt;=2,"?ACTIVATED",IF(J4048&lt;&gt;"","?FAMILIAR",IF(F4048="NEW",IF(ISNA(VLOOKUP(E4048,#REF!,1,FALSE())),"?TYPE_IDENTIFIABLE","?REFERENTIAL"),"_")))))</f>
        <v> </v>
      </c>
      <c r="H4048" s="24" t="str">
        <f>IF(J4048&lt;&gt;1,"",IF(I4048="SBJ","CB","?"))</f>
        <v> </v>
      </c>
      <c r="I4048" s="25" t="str">
        <f>IF(OR(E4048="",E4048="!!!",F4048="NEW"),"",INDEX(B4047:B$2,-1+SUMPRODUCT(MAX(ROW(E4047:E$2)*(E4048=E4047:E$2)))))</f>
        <v> </v>
      </c>
      <c r="J4048" s="25" t="str">
        <f>IF(OR(E4048="",E4048="!!!",F4048="NEW"),"",COUNTBLANK(OFFSET(A$1,,,SUMPRODUCT(MAX(ROW(E$2:E4048)*(E4048=E$2:E4048)))))-COUNTBLANK(OFFSET(A$1,,,SUMPRODUCT(MAX(ROW(E$1:E4047)*(E2=E$1:E4047))))))</f>
        <v> </v>
      </c>
      <c r="K4048" s="25" t="str">
        <f>IF(OR(E4048="",E4048="!!!",F4048="NEW"),"",INDEX(J$1:J4047,SUMPRODUCT(MAX(ROW(E$1:E4047)*(E4048=E$1:E4047)))))</f>
        <v> </v>
      </c>
      <c r="L4048" s="26"/>
    </row>
    <row r="4049" spans="1:12">
      <c r="A4049" s="20" t="s">
        <v>1846</v>
      </c>
      <c r="E4049" s="21">
        <f>IF(D4049="?OLD","!!!","")</f>
        <v/>
      </c>
      <c r="F4049" s="22" t="str">
        <f>IF(OR(E4049="",E4049="!!!"),"",IF(NOT(ISNA(VLOOKUP(E4049,E$1:E4048,1,FALSE()))),"OLD",IF(AND(E4049&lt;&gt;"",E4049&lt;&gt;"!!!"),"NEW","")))</f>
        <v> </v>
      </c>
      <c r="G4049" s="23" t="str">
        <f>IF(OR(E4049="",E4049="!!!"),"",IF(OR(J4049=0,AND(J4049=1,K4049=1),AND(J4049=1,I4049="SBJ"),AND(J4049=1,I4049=0)),"?IN_FOCUS",IF(J4049&lt;=2,"?ACTIVATED",IF(J4049&lt;&gt;"","?FAMILIAR",IF(F4049="NEW",IF(ISNA(VLOOKUP(E4049,#REF!,1,FALSE())),"?TYPE_IDENTIFIABLE","?REFERENTIAL"),"_")))))</f>
        <v> </v>
      </c>
      <c r="H4049" s="24" t="str">
        <f>IF(J4049&lt;&gt;1,"",IF(I4049="SBJ","CB","?"))</f>
        <v> </v>
      </c>
      <c r="I4049" s="25" t="str">
        <f>IF(OR(E4049="",E4049="!!!",F4049="NEW"),"",INDEX(B4048:B$2,-1+SUMPRODUCT(MAX(ROW(E4048:E$2)*(E4049=E4048:E$2)))))</f>
        <v> </v>
      </c>
      <c r="J4049" s="25" t="str">
        <f>IF(OR(E4049="",E4049="!!!",F4049="NEW"),"",COUNTBLANK(OFFSET(A$1,,,SUMPRODUCT(MAX(ROW(E$2:E4049)*(E4049=E$2:E4049)))))-COUNTBLANK(OFFSET(A$1,,,SUMPRODUCT(MAX(ROW(E$1:E4048)*(E2=E$1:E4048))))))</f>
        <v> </v>
      </c>
      <c r="K4049" s="25" t="str">
        <f>IF(OR(E4049="",E4049="!!!",F4049="NEW"),"",INDEX(J$1:J4048,SUMPRODUCT(MAX(ROW(E$1:E4048)*(E4049=E$1:E4048)))))</f>
        <v> </v>
      </c>
      <c r="L4049" s="26"/>
    </row>
    <row r="4050" spans="1:12">
      <c r="A4050" s="20" t="s">
        <v>1123</v>
      </c>
      <c r="E4050" s="21">
        <f>IF(D4050="?OLD","!!!","")</f>
        <v/>
      </c>
      <c r="F4050" s="22" t="str">
        <f>IF(OR(E4050="",E4050="!!!"),"",IF(NOT(ISNA(VLOOKUP(E4050,E$1:E4049,1,FALSE()))),"OLD",IF(AND(E4050&lt;&gt;"",E4050&lt;&gt;"!!!"),"NEW","")))</f>
        <v> </v>
      </c>
      <c r="G4050" s="23" t="str">
        <f>IF(OR(E4050="",E4050="!!!"),"",IF(OR(J4050=0,AND(J4050=1,K4050=1),AND(J4050=1,I4050="SBJ"),AND(J4050=1,I4050=0)),"?IN_FOCUS",IF(J4050&lt;=2,"?ACTIVATED",IF(J4050&lt;&gt;"","?FAMILIAR",IF(F4050="NEW",IF(ISNA(VLOOKUP(E4050,#REF!,1,FALSE())),"?TYPE_IDENTIFIABLE","?REFERENTIAL"),"_")))))</f>
        <v> </v>
      </c>
      <c r="H4050" s="24" t="str">
        <f>IF(J4050&lt;&gt;1,"",IF(I4050="SBJ","CB","?"))</f>
        <v> </v>
      </c>
      <c r="I4050" s="25" t="str">
        <f>IF(OR(E4050="",E4050="!!!",F4050="NEW"),"",INDEX(B4049:B$2,-1+SUMPRODUCT(MAX(ROW(E4049:E$2)*(E4050=E4049:E$2)))))</f>
        <v> </v>
      </c>
      <c r="J4050" s="25" t="str">
        <f>IF(OR(E4050="",E4050="!!!",F4050="NEW"),"",COUNTBLANK(OFFSET(A$1,,,SUMPRODUCT(MAX(ROW(E$2:E4050)*(E4050=E$2:E4050)))))-COUNTBLANK(OFFSET(A$1,,,SUMPRODUCT(MAX(ROW(E$1:E4049)*(E2=E$1:E4049))))))</f>
        <v> </v>
      </c>
      <c r="K4050" s="25" t="str">
        <f>IF(OR(E4050="",E4050="!!!",F4050="NEW"),"",INDEX(J$1:J4049,SUMPRODUCT(MAX(ROW(E$1:E4049)*(E4050=E$1:E4049)))))</f>
        <v> </v>
      </c>
      <c r="L4050" s="26"/>
    </row>
    <row r="4051" spans="1:12">
      <c r="A4051" s="20" t="s">
        <v>2911</v>
      </c>
      <c r="E4051" s="21">
        <f>IF(D4051="?OLD","!!!","")</f>
        <v/>
      </c>
      <c r="F4051" s="22" t="str">
        <f>IF(OR(E4051="",E4051="!!!"),"",IF(NOT(ISNA(VLOOKUP(E4051,E$1:E4050,1,FALSE()))),"OLD",IF(AND(E4051&lt;&gt;"",E4051&lt;&gt;"!!!"),"NEW","")))</f>
        <v> </v>
      </c>
      <c r="G4051" s="23" t="str">
        <f>IF(OR(E4051="",E4051="!!!"),"",IF(OR(J4051=0,AND(J4051=1,K4051=1),AND(J4051=1,I4051="SBJ"),AND(J4051=1,I4051=0)),"?IN_FOCUS",IF(J4051&lt;=2,"?ACTIVATED",IF(J4051&lt;&gt;"","?FAMILIAR",IF(F4051="NEW",IF(ISNA(VLOOKUP(E4051,#REF!,1,FALSE())),"?TYPE_IDENTIFIABLE","?REFERENTIAL"),"_")))))</f>
        <v> </v>
      </c>
      <c r="H4051" s="24" t="str">
        <f>IF(J4051&lt;&gt;1,"",IF(I4051="SBJ","CB","?"))</f>
        <v> </v>
      </c>
      <c r="I4051" s="25" t="str">
        <f>IF(OR(E4051="",E4051="!!!",F4051="NEW"),"",INDEX(B4050:B$2,-1+SUMPRODUCT(MAX(ROW(E4050:E$2)*(E4051=E4050:E$2)))))</f>
        <v> </v>
      </c>
      <c r="J4051" s="25" t="str">
        <f>IF(OR(E4051="",E4051="!!!",F4051="NEW"),"",COUNTBLANK(OFFSET(A$1,,,SUMPRODUCT(MAX(ROW(E$2:E4051)*(E4051=E$2:E4051)))))-COUNTBLANK(OFFSET(A$1,,,SUMPRODUCT(MAX(ROW(E$1:E4050)*(E2=E$1:E4050))))))</f>
        <v> </v>
      </c>
      <c r="K4051" s="25" t="str">
        <f>IF(OR(E4051="",E4051="!!!",F4051="NEW"),"",INDEX(J$1:J4050,SUMPRODUCT(MAX(ROW(E$1:E4050)*(E4051=E$1:E4050)))))</f>
        <v> </v>
      </c>
      <c r="L4051" s="26"/>
    </row>
    <row r="4052" spans="1:12">
      <c r="A4052" s="20" t="s">
        <v>1123</v>
      </c>
      <c r="E4052" s="21">
        <f>IF(D4052="?OLD","!!!","")</f>
        <v/>
      </c>
      <c r="F4052" s="22" t="str">
        <f>IF(OR(E4052="",E4052="!!!"),"",IF(NOT(ISNA(VLOOKUP(E4052,E$1:E4051,1,FALSE()))),"OLD",IF(AND(E4052&lt;&gt;"",E4052&lt;&gt;"!!!"),"NEW","")))</f>
        <v> </v>
      </c>
      <c r="G4052" s="23" t="str">
        <f>IF(OR(E4052="",E4052="!!!"),"",IF(OR(J4052=0,AND(J4052=1,K4052=1),AND(J4052=1,I4052="SBJ"),AND(J4052=1,I4052=0)),"?IN_FOCUS",IF(J4052&lt;=2,"?ACTIVATED",IF(J4052&lt;&gt;"","?FAMILIAR",IF(F4052="NEW",IF(ISNA(VLOOKUP(E4052,#REF!,1,FALSE())),"?TYPE_IDENTIFIABLE","?REFERENTIAL"),"_")))))</f>
        <v> </v>
      </c>
      <c r="H4052" s="24" t="str">
        <f>IF(J4052&lt;&gt;1,"",IF(I4052="SBJ","CB","?"))</f>
        <v> </v>
      </c>
      <c r="I4052" s="25" t="str">
        <f>IF(OR(E4052="",E4052="!!!",F4052="NEW"),"",INDEX(B4051:B$2,-1+SUMPRODUCT(MAX(ROW(E4051:E$2)*(E4052=E4051:E$2)))))</f>
        <v> </v>
      </c>
      <c r="J4052" s="25" t="str">
        <f>IF(OR(E4052="",E4052="!!!",F4052="NEW"),"",COUNTBLANK(OFFSET(A$1,,,SUMPRODUCT(MAX(ROW(E$2:E4052)*(E4052=E$2:E4052)))))-COUNTBLANK(OFFSET(A$1,,,SUMPRODUCT(MAX(ROW(E$1:E4051)*(E2=E$1:E4051))))))</f>
        <v> </v>
      </c>
      <c r="K4052" s="25" t="str">
        <f>IF(OR(E4052="",E4052="!!!",F4052="NEW"),"",INDEX(J$1:J4051,SUMPRODUCT(MAX(ROW(E$1:E4051)*(E4052=E$1:E4051)))))</f>
        <v> </v>
      </c>
      <c r="L4052" s="26"/>
    </row>
    <row r="4053" spans="1:12">
      <c r="A4053" s="20" t="s">
        <v>135</v>
      </c>
      <c r="E4053" s="21">
        <f>IF(D4053="?OLD","!!!","")</f>
        <v/>
      </c>
      <c r="F4053" s="22" t="str">
        <f>IF(OR(E4053="",E4053="!!!"),"",IF(NOT(ISNA(VLOOKUP(E4053,E$1:E4052,1,FALSE()))),"OLD",IF(AND(E4053&lt;&gt;"",E4053&lt;&gt;"!!!"),"NEW","")))</f>
        <v> </v>
      </c>
      <c r="G4053" s="23" t="str">
        <f>IF(OR(E4053="",E4053="!!!"),"",IF(OR(J4053=0,AND(J4053=1,K4053=1),AND(J4053=1,I4053="SBJ"),AND(J4053=1,I4053=0)),"?IN_FOCUS",IF(J4053&lt;=2,"?ACTIVATED",IF(J4053&lt;&gt;"","?FAMILIAR",IF(F4053="NEW",IF(ISNA(VLOOKUP(E4053,#REF!,1,FALSE())),"?TYPE_IDENTIFIABLE","?REFERENTIAL"),"_")))))</f>
        <v> </v>
      </c>
      <c r="H4053" s="24" t="str">
        <f>IF(J4053&lt;&gt;1,"",IF(I4053="SBJ","CB","?"))</f>
        <v> </v>
      </c>
      <c r="I4053" s="25" t="str">
        <f>IF(OR(E4053="",E4053="!!!",F4053="NEW"),"",INDEX(B4052:B$2,-1+SUMPRODUCT(MAX(ROW(E4052:E$2)*(E4053=E4052:E$2)))))</f>
        <v> </v>
      </c>
      <c r="J4053" s="25" t="str">
        <f>IF(OR(E4053="",E4053="!!!",F4053="NEW"),"",COUNTBLANK(OFFSET(A$1,,,SUMPRODUCT(MAX(ROW(E$2:E4053)*(E4053=E$2:E4053)))))-COUNTBLANK(OFFSET(A$1,,,SUMPRODUCT(MAX(ROW(E$1:E4052)*(E2=E$1:E4052))))))</f>
        <v> </v>
      </c>
      <c r="K4053" s="25" t="str">
        <f>IF(OR(E4053="",E4053="!!!",F4053="NEW"),"",INDEX(J$1:J4052,SUMPRODUCT(MAX(ROW(E$1:E4052)*(E4053=E$1:E4052)))))</f>
        <v> </v>
      </c>
      <c r="L4053" s="26"/>
    </row>
    <row r="4054" spans="1:12">
      <c r="A4054" s="20" t="s">
        <v>1139</v>
      </c>
      <c r="E4054" s="21">
        <f>IF(D4054="?OLD","!!!","")</f>
        <v/>
      </c>
      <c r="F4054" s="22" t="str">
        <f>IF(OR(E4054="",E4054="!!!"),"",IF(NOT(ISNA(VLOOKUP(E4054,E$1:E4053,1,FALSE()))),"OLD",IF(AND(E4054&lt;&gt;"",E4054&lt;&gt;"!!!"),"NEW","")))</f>
        <v> </v>
      </c>
      <c r="G4054" s="23" t="str">
        <f>IF(OR(E4054="",E4054="!!!"),"",IF(OR(J4054=0,AND(J4054=1,K4054=1),AND(J4054=1,I4054="SBJ"),AND(J4054=1,I4054=0)),"?IN_FOCUS",IF(J4054&lt;=2,"?ACTIVATED",IF(J4054&lt;&gt;"","?FAMILIAR",IF(F4054="NEW",IF(ISNA(VLOOKUP(E4054,#REF!,1,FALSE())),"?TYPE_IDENTIFIABLE","?REFERENTIAL"),"_")))))</f>
        <v> </v>
      </c>
      <c r="H4054" s="24" t="str">
        <f>IF(J4054&lt;&gt;1,"",IF(I4054="SBJ","CB","?"))</f>
        <v> </v>
      </c>
      <c r="I4054" s="25" t="str">
        <f>IF(OR(E4054="",E4054="!!!",F4054="NEW"),"",INDEX(B4053:B$2,-1+SUMPRODUCT(MAX(ROW(E4053:E$2)*(E4054=E4053:E$2)))))</f>
        <v> </v>
      </c>
      <c r="J4054" s="25" t="str">
        <f>IF(OR(E4054="",E4054="!!!",F4054="NEW"),"",COUNTBLANK(OFFSET(A$1,,,SUMPRODUCT(MAX(ROW(E$2:E4054)*(E4054=E$2:E4054)))))-COUNTBLANK(OFFSET(A$1,,,SUMPRODUCT(MAX(ROW(E$1:E4053)*(E2=E$1:E4053))))))</f>
        <v> </v>
      </c>
      <c r="K4054" s="25" t="str">
        <f>IF(OR(E4054="",E4054="!!!",F4054="NEW"),"",INDEX(J$1:J4053,SUMPRODUCT(MAX(ROW(E$1:E4053)*(E4054=E$1:E4053)))))</f>
        <v> </v>
      </c>
      <c r="L4054" s="26"/>
    </row>
    <row r="4055" spans="1:12">
      <c r="A4055" s="20" t="s">
        <v>1154</v>
      </c>
      <c r="E4055" s="21">
        <f>IF(D4055="?OLD","!!!","")</f>
        <v/>
      </c>
      <c r="F4055" s="22" t="str">
        <f>IF(OR(E4055="",E4055="!!!"),"",IF(NOT(ISNA(VLOOKUP(E4055,E$1:E4054,1,FALSE()))),"OLD",IF(AND(E4055&lt;&gt;"",E4055&lt;&gt;"!!!"),"NEW","")))</f>
        <v> </v>
      </c>
      <c r="G4055" s="23" t="str">
        <f>IF(OR(E4055="",E4055="!!!"),"",IF(OR(J4055=0,AND(J4055=1,K4055=1),AND(J4055=1,I4055="SBJ"),AND(J4055=1,I4055=0)),"?IN_FOCUS",IF(J4055&lt;=2,"?ACTIVATED",IF(J4055&lt;&gt;"","?FAMILIAR",IF(F4055="NEW",IF(ISNA(VLOOKUP(E4055,#REF!,1,FALSE())),"?TYPE_IDENTIFIABLE","?REFERENTIAL"),"_")))))</f>
        <v> </v>
      </c>
      <c r="H4055" s="24" t="str">
        <f>IF(J4055&lt;&gt;1,"",IF(I4055="SBJ","CB","?"))</f>
        <v> </v>
      </c>
      <c r="I4055" s="25" t="str">
        <f>IF(OR(E4055="",E4055="!!!",F4055="NEW"),"",INDEX(B4054:B$2,-1+SUMPRODUCT(MAX(ROW(E4054:E$2)*(E4055=E4054:E$2)))))</f>
        <v> </v>
      </c>
      <c r="J4055" s="25" t="str">
        <f>IF(OR(E4055="",E4055="!!!",F4055="NEW"),"",COUNTBLANK(OFFSET(A$1,,,SUMPRODUCT(MAX(ROW(E$2:E4055)*(E4055=E$2:E4055)))))-COUNTBLANK(OFFSET(A$1,,,SUMPRODUCT(MAX(ROW(E$1:E4054)*(E2=E$1:E4054))))))</f>
        <v> </v>
      </c>
      <c r="K4055" s="25" t="str">
        <f>IF(OR(E4055="",E4055="!!!",F4055="NEW"),"",INDEX(J$1:J4054,SUMPRODUCT(MAX(ROW(E$1:E4054)*(E4055=E$1:E4054)))))</f>
        <v> </v>
      </c>
      <c r="L4055" s="26"/>
    </row>
    <row r="4056" spans="1:12">
      <c r="A4056" s="20" t="s">
        <v>1306</v>
      </c>
      <c r="B4056" s="27" t="s">
        <v>1107</v>
      </c>
      <c r="C4056" s="27" t="s">
        <v>1156</v>
      </c>
      <c r="D4056" s="27" t="s">
        <v>1105</v>
      </c>
      <c r="E4056" s="21">
        <f>IF(D4056="?OLD","!!!","")</f>
        <v/>
      </c>
      <c r="F4056" s="22" t="str">
        <f>IF(OR(E4056="",E4056="!!!"),"",IF(NOT(ISNA(VLOOKUP(E4056,E$1:E4055,1,FALSE()))),"OLD",IF(AND(E4056&lt;&gt;"",E4056&lt;&gt;"!!!"),"NEW","")))</f>
        <v> </v>
      </c>
      <c r="G4056" s="23" t="str">
        <f>IF(OR(E4056="",E4056="!!!"),"",IF(OR(J4056=0,AND(J4056=1,K4056=1),AND(J4056=1,I4056="SBJ"),AND(J4056=1,I4056=0)),"?IN_FOCUS",IF(J4056&lt;=2,"?ACTIVATED",IF(J4056&lt;&gt;"","?FAMILIAR",IF(F4056="NEW",IF(ISNA(VLOOKUP(E4056,#REF!,1,FALSE())),"?TYPE_IDENTIFIABLE","?REFERENTIAL"),"_")))))</f>
        <v> </v>
      </c>
      <c r="H4056" s="24" t="str">
        <f>IF(J4056&lt;&gt;1,"",IF(I4056="SBJ","CB","?"))</f>
        <v> </v>
      </c>
      <c r="I4056" s="25" t="str">
        <f>IF(OR(E4056="",E4056="!!!",F4056="NEW"),"",INDEX(B4055:B$2,-1+SUMPRODUCT(MAX(ROW(E4055:E$2)*(E4056=E4055:E$2)))))</f>
        <v> </v>
      </c>
      <c r="J4056" s="25" t="str">
        <f>IF(OR(E4056="",E4056="!!!",F4056="NEW"),"",COUNTBLANK(OFFSET(A$1,,,SUMPRODUCT(MAX(ROW(E$2:E4056)*(E4056=E$2:E4056)))))-COUNTBLANK(OFFSET(A$1,,,SUMPRODUCT(MAX(ROW(E$1:E4055)*(E2=E$1:E4055))))))</f>
        <v> </v>
      </c>
      <c r="K4056" s="25" t="str">
        <f>IF(OR(E4056="",E4056="!!!",F4056="NEW"),"",INDEX(J$1:J4055,SUMPRODUCT(MAX(ROW(E$1:E4055)*(E4056=E$1:E4055)))))</f>
        <v> </v>
      </c>
      <c r="L4056" s="26"/>
    </row>
    <row r="4057" spans="1:12">
      <c r="A4057" s="20" t="s">
        <v>1124</v>
      </c>
      <c r="B4057" s="27" t="s">
        <v>1122</v>
      </c>
      <c r="C4057" s="27" t="s">
        <v>1126</v>
      </c>
      <c r="D4057" s="27" t="s">
        <v>1105</v>
      </c>
      <c r="E4057" s="21">
        <f>IF(D4057="?OLD","!!!","")</f>
        <v/>
      </c>
      <c r="F4057" s="22" t="str">
        <f>IF(OR(E4057="",E4057="!!!"),"",IF(NOT(ISNA(VLOOKUP(E4057,E$1:E4056,1,FALSE()))),"OLD",IF(AND(E4057&lt;&gt;"",E4057&lt;&gt;"!!!"),"NEW","")))</f>
        <v> </v>
      </c>
      <c r="G4057" s="23" t="str">
        <f>IF(OR(E4057="",E4057="!!!"),"",IF(OR(J4057=0,AND(J4057=1,K4057=1),AND(J4057=1,I4057="SBJ"),AND(J4057=1,I4057=0)),"?IN_FOCUS",IF(J4057&lt;=2,"?ACTIVATED",IF(J4057&lt;&gt;"","?FAMILIAR",IF(F4057="NEW",IF(ISNA(VLOOKUP(E4057,#REF!,1,FALSE())),"?TYPE_IDENTIFIABLE","?REFERENTIAL"),"_")))))</f>
        <v> </v>
      </c>
      <c r="H4057" s="24" t="str">
        <f>IF(J4057&lt;&gt;1,"",IF(I4057="SBJ","CB","?"))</f>
        <v> </v>
      </c>
      <c r="I4057" s="25" t="str">
        <f>IF(OR(E4057="",E4057="!!!",F4057="NEW"),"",INDEX(B4056:B$2,-1+SUMPRODUCT(MAX(ROW(E4056:E$2)*(E4057=E4056:E$2)))))</f>
        <v> </v>
      </c>
      <c r="J4057" s="25" t="str">
        <f>IF(OR(E4057="",E4057="!!!",F4057="NEW"),"",COUNTBLANK(OFFSET(A$1,,,SUMPRODUCT(MAX(ROW(E$2:E4057)*(E4057=E$2:E4057)))))-COUNTBLANK(OFFSET(A$1,,,SUMPRODUCT(MAX(ROW(E$1:E4056)*(E2=E$1:E4056))))))</f>
        <v> </v>
      </c>
      <c r="K4057" s="25" t="str">
        <f>IF(OR(E4057="",E4057="!!!",F4057="NEW"),"",INDEX(J$1:J4056,SUMPRODUCT(MAX(ROW(E$1:E4056)*(E4057=E$1:E4056)))))</f>
        <v> </v>
      </c>
      <c r="L4057" s="26"/>
    </row>
    <row r="4058" spans="1:12">
      <c r="A4058" s="20" t="s">
        <v>2912</v>
      </c>
      <c r="E4058" s="21">
        <f>IF(D4058="?OLD","!!!","")</f>
        <v/>
      </c>
      <c r="F4058" s="22" t="str">
        <f>IF(OR(E4058="",E4058="!!!"),"",IF(NOT(ISNA(VLOOKUP(E4058,E$1:E4057,1,FALSE()))),"OLD",IF(AND(E4058&lt;&gt;"",E4058&lt;&gt;"!!!"),"NEW","")))</f>
        <v> </v>
      </c>
      <c r="G4058" s="23" t="str">
        <f>IF(OR(E4058="",E4058="!!!"),"",IF(OR(J4058=0,AND(J4058=1,K4058=1),AND(J4058=1,I4058="SBJ"),AND(J4058=1,I4058=0)),"?IN_FOCUS",IF(J4058&lt;=2,"?ACTIVATED",IF(J4058&lt;&gt;"","?FAMILIAR",IF(F4058="NEW",IF(ISNA(VLOOKUP(E4058,#REF!,1,FALSE())),"?TYPE_IDENTIFIABLE","?REFERENTIAL"),"_")))))</f>
        <v> </v>
      </c>
      <c r="H4058" s="24" t="str">
        <f>IF(J4058&lt;&gt;1,"",IF(I4058="SBJ","CB","?"))</f>
        <v> </v>
      </c>
      <c r="I4058" s="25" t="str">
        <f>IF(OR(E4058="",E4058="!!!",F4058="NEW"),"",INDEX(B4057:B$2,-1+SUMPRODUCT(MAX(ROW(E4057:E$2)*(E4058=E4057:E$2)))))</f>
        <v> </v>
      </c>
      <c r="J4058" s="25" t="str">
        <f>IF(OR(E4058="",E4058="!!!",F4058="NEW"),"",COUNTBLANK(OFFSET(A$1,,,SUMPRODUCT(MAX(ROW(E$2:E4058)*(E4058=E$2:E4058)))))-COUNTBLANK(OFFSET(A$1,,,SUMPRODUCT(MAX(ROW(E$1:E4057)*(E2=E$1:E4057))))))</f>
        <v> </v>
      </c>
      <c r="K4058" s="25" t="str">
        <f>IF(OR(E4058="",E4058="!!!",F4058="NEW"),"",INDEX(J$1:J4057,SUMPRODUCT(MAX(ROW(E$1:E4057)*(E4058=E$1:E4057)))))</f>
        <v> </v>
      </c>
      <c r="L4058" s="26"/>
    </row>
    <row r="4059" spans="1:12">
      <c r="A4059" s="20" t="s">
        <v>2913</v>
      </c>
      <c r="E4059" s="21">
        <f>IF(D4059="?OLD","!!!","")</f>
        <v/>
      </c>
      <c r="F4059" s="22" t="str">
        <f>IF(OR(E4059="",E4059="!!!"),"",IF(NOT(ISNA(VLOOKUP(E4059,E$1:E4058,1,FALSE()))),"OLD",IF(AND(E4059&lt;&gt;"",E4059&lt;&gt;"!!!"),"NEW","")))</f>
        <v> </v>
      </c>
      <c r="G4059" s="23" t="str">
        <f>IF(OR(E4059="",E4059="!!!"),"",IF(OR(J4059=0,AND(J4059=1,K4059=1),AND(J4059=1,I4059="SBJ"),AND(J4059=1,I4059=0)),"?IN_FOCUS",IF(J4059&lt;=2,"?ACTIVATED",IF(J4059&lt;&gt;"","?FAMILIAR",IF(F4059="NEW",IF(ISNA(VLOOKUP(E4059,#REF!,1,FALSE())),"?TYPE_IDENTIFIABLE","?REFERENTIAL"),"_")))))</f>
        <v> </v>
      </c>
      <c r="H4059" s="24" t="str">
        <f>IF(J4059&lt;&gt;1,"",IF(I4059="SBJ","CB","?"))</f>
        <v> </v>
      </c>
      <c r="I4059" s="25" t="str">
        <f>IF(OR(E4059="",E4059="!!!",F4059="NEW"),"",INDEX(B4058:B$2,-1+SUMPRODUCT(MAX(ROW(E4058:E$2)*(E4059=E4058:E$2)))))</f>
        <v> </v>
      </c>
      <c r="J4059" s="25" t="str">
        <f>IF(OR(E4059="",E4059="!!!",F4059="NEW"),"",COUNTBLANK(OFFSET(A$1,,,SUMPRODUCT(MAX(ROW(E$2:E4059)*(E4059=E$2:E4059)))))-COUNTBLANK(OFFSET(A$1,,,SUMPRODUCT(MAX(ROW(E$1:E4058)*(E2=E$1:E4058))))))</f>
        <v> </v>
      </c>
      <c r="K4059" s="25" t="str">
        <f>IF(OR(E4059="",E4059="!!!",F4059="NEW"),"",INDEX(J$1:J4058,SUMPRODUCT(MAX(ROW(E$1:E4058)*(E4059=E$1:E4058)))))</f>
        <v> </v>
      </c>
      <c r="L4059" s="26"/>
    </row>
    <row r="4060" spans="1:12">
      <c r="A4060" s="20" t="s">
        <v>1145</v>
      </c>
      <c r="E4060" s="21">
        <f>IF(D4060="?OLD","!!!","")</f>
        <v/>
      </c>
      <c r="F4060" s="22" t="str">
        <f>IF(OR(E4060="",E4060="!!!"),"",IF(NOT(ISNA(VLOOKUP(E4060,E$1:E4059,1,FALSE()))),"OLD",IF(AND(E4060&lt;&gt;"",E4060&lt;&gt;"!!!"),"NEW","")))</f>
        <v> </v>
      </c>
      <c r="G4060" s="23" t="str">
        <f>IF(OR(E4060="",E4060="!!!"),"",IF(OR(J4060=0,AND(J4060=1,K4060=1),AND(J4060=1,I4060="SBJ"),AND(J4060=1,I4060=0)),"?IN_FOCUS",IF(J4060&lt;=2,"?ACTIVATED",IF(J4060&lt;&gt;"","?FAMILIAR",IF(F4060="NEW",IF(ISNA(VLOOKUP(E4060,#REF!,1,FALSE())),"?TYPE_IDENTIFIABLE","?REFERENTIAL"),"_")))))</f>
        <v> </v>
      </c>
      <c r="H4060" s="24" t="str">
        <f>IF(J4060&lt;&gt;1,"",IF(I4060="SBJ","CB","?"))</f>
        <v> </v>
      </c>
      <c r="I4060" s="25" t="str">
        <f>IF(OR(E4060="",E4060="!!!",F4060="NEW"),"",INDEX(B4059:B$2,-1+SUMPRODUCT(MAX(ROW(E4059:E$2)*(E4060=E4059:E$2)))))</f>
        <v> </v>
      </c>
      <c r="J4060" s="25" t="str">
        <f>IF(OR(E4060="",E4060="!!!",F4060="NEW"),"",COUNTBLANK(OFFSET(A$1,,,SUMPRODUCT(MAX(ROW(E$2:E4060)*(E4060=E$2:E4060)))))-COUNTBLANK(OFFSET(A$1,,,SUMPRODUCT(MAX(ROW(E$1:E4059)*(E2=E$1:E4059))))))</f>
        <v> </v>
      </c>
      <c r="K4060" s="25" t="str">
        <f>IF(OR(E4060="",E4060="!!!",F4060="NEW"),"",INDEX(J$1:J4059,SUMPRODUCT(MAX(ROW(E$1:E4059)*(E4060=E$1:E4059)))))</f>
        <v> </v>
      </c>
      <c r="L4060" s="26"/>
    </row>
    <row r="4061" spans="1:12">
      <c r="A4061" s="20"/>
    </row>
    <row r="4062" spans="1:12">
      <c r="A4062" s="20" t="s">
        <v>2914</v>
      </c>
    </row>
    <row r="4063" spans="1:12">
      <c r="A4063" s="20" t="s">
        <v>1547</v>
      </c>
      <c r="E4063" s="21">
        <f>IF(D4063="?OLD","!!!","")</f>
        <v/>
      </c>
      <c r="F4063" s="22" t="str">
        <f>IF(OR(E4063="",E4063="!!!"),"",IF(NOT(ISNA(VLOOKUP(E4063,E$1:E4062,1,FALSE()))),"OLD",IF(AND(E4063&lt;&gt;"",E4063&lt;&gt;"!!!"),"NEW","")))</f>
        <v> </v>
      </c>
      <c r="G4063" s="23" t="str">
        <f>IF(OR(E4063="",E4063="!!!"),"",IF(OR(J4063=0,AND(J4063=1,K4063=1),AND(J4063=1,I4063="SBJ"),AND(J4063=1,I4063=0)),"?IN_FOCUS",IF(J4063&lt;=2,"?ACTIVATED",IF(J4063&lt;&gt;"","?FAMILIAR",IF(F4063="NEW",IF(ISNA(VLOOKUP(E4063,#REF!,1,FALSE())),"?TYPE_IDENTIFIABLE","?REFERENTIAL"),"_")))))</f>
        <v> </v>
      </c>
      <c r="H4063" s="24" t="str">
        <f>IF(J4063&lt;&gt;1,"",IF(I4063="SBJ","CB","?"))</f>
        <v> </v>
      </c>
      <c r="I4063" s="25" t="str">
        <f>IF(OR(E4063="",E4063="!!!",F4063="NEW"),"",INDEX(B4062:B$2,-1+SUMPRODUCT(MAX(ROW(E4062:E$2)*(E4063=E4062:E$2)))))</f>
        <v> </v>
      </c>
      <c r="J4063" s="25" t="str">
        <f>IF(OR(E4063="",E4063="!!!",F4063="NEW"),"",COUNTBLANK(OFFSET(A$1,,,SUMPRODUCT(MAX(ROW(E$2:E4063)*(E4063=E$2:E4063)))))-COUNTBLANK(OFFSET(A$1,,,SUMPRODUCT(MAX(ROW(E$1:E4062)*(E2=E$1:E4062))))))</f>
        <v> </v>
      </c>
      <c r="K4063" s="25" t="str">
        <f>IF(OR(E4063="",E4063="!!!",F4063="NEW"),"",INDEX(J$1:J4062,SUMPRODUCT(MAX(ROW(E$1:E4062)*(E4063=E$1:E4062)))))</f>
        <v> </v>
      </c>
      <c r="L4063" s="26"/>
    </row>
    <row r="4064" spans="1:12">
      <c r="A4064" s="20" t="s">
        <v>1590</v>
      </c>
      <c r="E4064" s="21">
        <f>IF(D4064="?OLD","!!!","")</f>
        <v/>
      </c>
      <c r="F4064" s="22" t="str">
        <f>IF(OR(E4064="",E4064="!!!"),"",IF(NOT(ISNA(VLOOKUP(E4064,E$1:E4063,1,FALSE()))),"OLD",IF(AND(E4064&lt;&gt;"",E4064&lt;&gt;"!!!"),"NEW","")))</f>
        <v> </v>
      </c>
      <c r="G4064" s="23" t="str">
        <f>IF(OR(E4064="",E4064="!!!"),"",IF(OR(J4064=0,AND(J4064=1,K4064=1),AND(J4064=1,I4064="SBJ"),AND(J4064=1,I4064=0)),"?IN_FOCUS",IF(J4064&lt;=2,"?ACTIVATED",IF(J4064&lt;&gt;"","?FAMILIAR",IF(F4064="NEW",IF(ISNA(VLOOKUP(E4064,#REF!,1,FALSE())),"?TYPE_IDENTIFIABLE","?REFERENTIAL"),"_")))))</f>
        <v> </v>
      </c>
      <c r="H4064" s="24" t="str">
        <f>IF(J4064&lt;&gt;1,"",IF(I4064="SBJ","CB","?"))</f>
        <v> </v>
      </c>
      <c r="I4064" s="25" t="str">
        <f>IF(OR(E4064="",E4064="!!!",F4064="NEW"),"",INDEX(B4063:B$2,-1+SUMPRODUCT(MAX(ROW(E4063:E$2)*(E4064=E4063:E$2)))))</f>
        <v> </v>
      </c>
      <c r="J4064" s="25" t="str">
        <f>IF(OR(E4064="",E4064="!!!",F4064="NEW"),"",COUNTBLANK(OFFSET(A$1,,,SUMPRODUCT(MAX(ROW(E$2:E4064)*(E4064=E$2:E4064)))))-COUNTBLANK(OFFSET(A$1,,,SUMPRODUCT(MAX(ROW(E$1:E4063)*(E2=E$1:E4063))))))</f>
        <v> </v>
      </c>
      <c r="K4064" s="25" t="str">
        <f>IF(OR(E4064="",E4064="!!!",F4064="NEW"),"",INDEX(J$1:J4063,SUMPRODUCT(MAX(ROW(E$1:E4063)*(E4064=E$1:E4063)))))</f>
        <v> </v>
      </c>
      <c r="L4064" s="26"/>
    </row>
    <row r="4065" spans="1:12">
      <c r="A4065" s="20" t="s">
        <v>1242</v>
      </c>
      <c r="B4065" s="27" t="s">
        <v>1213</v>
      </c>
      <c r="C4065" s="27" t="s">
        <v>1126</v>
      </c>
      <c r="D4065" s="27" t="s">
        <v>1105</v>
      </c>
      <c r="E4065" s="21">
        <f>IF(D4065="?OLD","!!!","")</f>
        <v/>
      </c>
      <c r="F4065" s="22" t="str">
        <f>IF(OR(E4065="",E4065="!!!"),"",IF(NOT(ISNA(VLOOKUP(E4065,E$1:E4064,1,FALSE()))),"OLD",IF(AND(E4065&lt;&gt;"",E4065&lt;&gt;"!!!"),"NEW","")))</f>
        <v> </v>
      </c>
      <c r="G4065" s="23" t="str">
        <f>IF(OR(E4065="",E4065="!!!"),"",IF(OR(J4065=0,AND(J4065=1,K4065=1),AND(J4065=1,I4065="SBJ"),AND(J4065=1,I4065=0)),"?IN_FOCUS",IF(J4065&lt;=2,"?ACTIVATED",IF(J4065&lt;&gt;"","?FAMILIAR",IF(F4065="NEW",IF(ISNA(VLOOKUP(E4065,#REF!,1,FALSE())),"?TYPE_IDENTIFIABLE","?REFERENTIAL"),"_")))))</f>
        <v> </v>
      </c>
      <c r="H4065" s="24" t="str">
        <f>IF(J4065&lt;&gt;1,"",IF(I4065="SBJ","CB","?"))</f>
        <v> </v>
      </c>
      <c r="I4065" s="25" t="str">
        <f>IF(OR(E4065="",E4065="!!!",F4065="NEW"),"",INDEX(B4064:B$2,-1+SUMPRODUCT(MAX(ROW(E4064:E$2)*(E4065=E4064:E$2)))))</f>
        <v> </v>
      </c>
      <c r="J4065" s="25" t="str">
        <f>IF(OR(E4065="",E4065="!!!",F4065="NEW"),"",COUNTBLANK(OFFSET(A$1,,,SUMPRODUCT(MAX(ROW(E$2:E4065)*(E4065=E$2:E4065)))))-COUNTBLANK(OFFSET(A$1,,,SUMPRODUCT(MAX(ROW(E$1:E4064)*(E2=E$1:E4064))))))</f>
        <v> </v>
      </c>
      <c r="K4065" s="25" t="str">
        <f>IF(OR(E4065="",E4065="!!!",F4065="NEW"),"",INDEX(J$1:J4064,SUMPRODUCT(MAX(ROW(E$1:E4064)*(E4065=E$1:E4064)))))</f>
        <v> </v>
      </c>
      <c r="L4065" s="26"/>
    </row>
    <row r="4066" spans="1:12">
      <c r="A4066" s="20" t="s">
        <v>1757</v>
      </c>
      <c r="B4066" s="27" t="s">
        <v>1107</v>
      </c>
      <c r="C4066" s="27" t="s">
        <v>1758</v>
      </c>
      <c r="E4066" s="21">
        <f>IF(D4066="?OLD","!!!","")</f>
        <v/>
      </c>
      <c r="F4066" s="22" t="str">
        <f>IF(OR(E4066="",E4066="!!!"),"",IF(NOT(ISNA(VLOOKUP(E4066,E$1:E4065,1,FALSE()))),"OLD",IF(AND(E4066&lt;&gt;"",E4066&lt;&gt;"!!!"),"NEW","")))</f>
        <v> </v>
      </c>
      <c r="G4066" s="23" t="str">
        <f>IF(OR(E4066="",E4066="!!!"),"",IF(OR(J4066=0,AND(J4066=1,K4066=1),AND(J4066=1,I4066="SBJ"),AND(J4066=1,I4066=0)),"?IN_FOCUS",IF(J4066&lt;=2,"?ACTIVATED",IF(J4066&lt;&gt;"","?FAMILIAR",IF(F4066="NEW",IF(ISNA(VLOOKUP(E4066,#REF!,1,FALSE())),"?TYPE_IDENTIFIABLE","?REFERENTIAL"),"_")))))</f>
        <v> </v>
      </c>
      <c r="H4066" s="24" t="str">
        <f>IF(J4066&lt;&gt;1,"",IF(I4066="SBJ","CB","?"))</f>
        <v> </v>
      </c>
      <c r="I4066" s="25" t="str">
        <f>IF(OR(E4066="",E4066="!!!",F4066="NEW"),"",INDEX(B4065:B$2,-1+SUMPRODUCT(MAX(ROW(E4065:E$2)*(E4066=E4065:E$2)))))</f>
        <v> </v>
      </c>
      <c r="J4066" s="25" t="str">
        <f>IF(OR(E4066="",E4066="!!!",F4066="NEW"),"",COUNTBLANK(OFFSET(A$1,,,SUMPRODUCT(MAX(ROW(E$2:E4066)*(E4066=E$2:E4066)))))-COUNTBLANK(OFFSET(A$1,,,SUMPRODUCT(MAX(ROW(E$1:E4065)*(E2=E$1:E4065))))))</f>
        <v> </v>
      </c>
      <c r="K4066" s="25" t="str">
        <f>IF(OR(E4066="",E4066="!!!",F4066="NEW"),"",INDEX(J$1:J4065,SUMPRODUCT(MAX(ROW(E$1:E4065)*(E4066=E$1:E4065)))))</f>
        <v> </v>
      </c>
      <c r="L4066" s="26"/>
    </row>
    <row r="4067" spans="1:12">
      <c r="A4067" s="20" t="s">
        <v>1134</v>
      </c>
      <c r="E4067" s="21">
        <f>IF(D4067="?OLD","!!!","")</f>
        <v/>
      </c>
      <c r="F4067" s="22" t="str">
        <f>IF(OR(E4067="",E4067="!!!"),"",IF(NOT(ISNA(VLOOKUP(E4067,E$1:E4066,1,FALSE()))),"OLD",IF(AND(E4067&lt;&gt;"",E4067&lt;&gt;"!!!"),"NEW","")))</f>
        <v> </v>
      </c>
      <c r="G4067" s="23" t="str">
        <f>IF(OR(E4067="",E4067="!!!"),"",IF(OR(J4067=0,AND(J4067=1,K4067=1),AND(J4067=1,I4067="SBJ"),AND(J4067=1,I4067=0)),"?IN_FOCUS",IF(J4067&lt;=2,"?ACTIVATED",IF(J4067&lt;&gt;"","?FAMILIAR",IF(F4067="NEW",IF(ISNA(VLOOKUP(E4067,#REF!,1,FALSE())),"?TYPE_IDENTIFIABLE","?REFERENTIAL"),"_")))))</f>
        <v> </v>
      </c>
      <c r="H4067" s="24" t="str">
        <f>IF(J4067&lt;&gt;1,"",IF(I4067="SBJ","CB","?"))</f>
        <v> </v>
      </c>
      <c r="I4067" s="25" t="str">
        <f>IF(OR(E4067="",E4067="!!!",F4067="NEW"),"",INDEX(B4066:B$2,-1+SUMPRODUCT(MAX(ROW(E4066:E$2)*(E4067=E4066:E$2)))))</f>
        <v> </v>
      </c>
      <c r="J4067" s="25" t="str">
        <f>IF(OR(E4067="",E4067="!!!",F4067="NEW"),"",COUNTBLANK(OFFSET(A$1,,,SUMPRODUCT(MAX(ROW(E$2:E4067)*(E4067=E$2:E4067)))))-COUNTBLANK(OFFSET(A$1,,,SUMPRODUCT(MAX(ROW(E$1:E4066)*(E2=E$1:E4066))))))</f>
        <v> </v>
      </c>
      <c r="K4067" s="25" t="str">
        <f>IF(OR(E4067="",E4067="!!!",F4067="NEW"),"",INDEX(J$1:J4066,SUMPRODUCT(MAX(ROW(E$1:E4066)*(E4067=E$1:E4066)))))</f>
        <v> </v>
      </c>
      <c r="L4067" s="26"/>
    </row>
    <row r="4068" spans="1:12">
      <c r="A4068" s="20" t="s">
        <v>2862</v>
      </c>
      <c r="E4068" s="21">
        <f>IF(D4068="?OLD","!!!","")</f>
        <v/>
      </c>
      <c r="F4068" s="22" t="str">
        <f>IF(OR(E4068="",E4068="!!!"),"",IF(NOT(ISNA(VLOOKUP(E4068,E$1:E4067,1,FALSE()))),"OLD",IF(AND(E4068&lt;&gt;"",E4068&lt;&gt;"!!!"),"NEW","")))</f>
        <v> </v>
      </c>
      <c r="G4068" s="23" t="str">
        <f>IF(OR(E4068="",E4068="!!!"),"",IF(OR(J4068=0,AND(J4068=1,K4068=1),AND(J4068=1,I4068="SBJ"),AND(J4068=1,I4068=0)),"?IN_FOCUS",IF(J4068&lt;=2,"?ACTIVATED",IF(J4068&lt;&gt;"","?FAMILIAR",IF(F4068="NEW",IF(ISNA(VLOOKUP(E4068,#REF!,1,FALSE())),"?TYPE_IDENTIFIABLE","?REFERENTIAL"),"_")))))</f>
        <v> </v>
      </c>
      <c r="H4068" s="24" t="str">
        <f>IF(J4068&lt;&gt;1,"",IF(I4068="SBJ","CB","?"))</f>
        <v> </v>
      </c>
      <c r="I4068" s="25" t="str">
        <f>IF(OR(E4068="",E4068="!!!",F4068="NEW"),"",INDEX(B4067:B$2,-1+SUMPRODUCT(MAX(ROW(E4067:E$2)*(E4068=E4067:E$2)))))</f>
        <v> </v>
      </c>
      <c r="J4068" s="25" t="str">
        <f>IF(OR(E4068="",E4068="!!!",F4068="NEW"),"",COUNTBLANK(OFFSET(A$1,,,SUMPRODUCT(MAX(ROW(E$2:E4068)*(E4068=E$2:E4068)))))-COUNTBLANK(OFFSET(A$1,,,SUMPRODUCT(MAX(ROW(E$1:E4067)*(E2=E$1:E4067))))))</f>
        <v> </v>
      </c>
      <c r="K4068" s="25" t="str">
        <f>IF(OR(E4068="",E4068="!!!",F4068="NEW"),"",INDEX(J$1:J4067,SUMPRODUCT(MAX(ROW(E$1:E4067)*(E4068=E$1:E4067)))))</f>
        <v> </v>
      </c>
      <c r="L4068" s="26"/>
    </row>
    <row r="4069" spans="1:12">
      <c r="A4069" s="20" t="s">
        <v>2915</v>
      </c>
      <c r="E4069" s="21">
        <f>IF(D4069="?OLD","!!!","")</f>
        <v/>
      </c>
      <c r="F4069" s="22" t="str">
        <f>IF(OR(E4069="",E4069="!!!"),"",IF(NOT(ISNA(VLOOKUP(E4069,E$1:E4068,1,FALSE()))),"OLD",IF(AND(E4069&lt;&gt;"",E4069&lt;&gt;"!!!"),"NEW","")))</f>
        <v> </v>
      </c>
      <c r="G4069" s="23" t="str">
        <f>IF(OR(E4069="",E4069="!!!"),"",IF(OR(J4069=0,AND(J4069=1,K4069=1),AND(J4069=1,I4069="SBJ"),AND(J4069=1,I4069=0)),"?IN_FOCUS",IF(J4069&lt;=2,"?ACTIVATED",IF(J4069&lt;&gt;"","?FAMILIAR",IF(F4069="NEW",IF(ISNA(VLOOKUP(E4069,#REF!,1,FALSE())),"?TYPE_IDENTIFIABLE","?REFERENTIAL"),"_")))))</f>
        <v> </v>
      </c>
      <c r="H4069" s="24" t="str">
        <f>IF(J4069&lt;&gt;1,"",IF(I4069="SBJ","CB","?"))</f>
        <v> </v>
      </c>
      <c r="I4069" s="25" t="str">
        <f>IF(OR(E4069="",E4069="!!!",F4069="NEW"),"",INDEX(B4068:B$2,-1+SUMPRODUCT(MAX(ROW(E4068:E$2)*(E4069=E4068:E$2)))))</f>
        <v> </v>
      </c>
      <c r="J4069" s="25" t="str">
        <f>IF(OR(E4069="",E4069="!!!",F4069="NEW"),"",COUNTBLANK(OFFSET(A$1,,,SUMPRODUCT(MAX(ROW(E$2:E4069)*(E4069=E$2:E4069)))))-COUNTBLANK(OFFSET(A$1,,,SUMPRODUCT(MAX(ROW(E$1:E4068)*(E2=E$1:E4068))))))</f>
        <v> </v>
      </c>
      <c r="K4069" s="25" t="str">
        <f>IF(OR(E4069="",E4069="!!!",F4069="NEW"),"",INDEX(J$1:J4068,SUMPRODUCT(MAX(ROW(E$1:E4068)*(E4069=E$1:E4068)))))</f>
        <v> </v>
      </c>
      <c r="L4069" s="26"/>
    </row>
    <row r="4070" spans="1:12">
      <c r="A4070" s="20" t="s">
        <v>1123</v>
      </c>
      <c r="E4070" s="21">
        <f>IF(D4070="?OLD","!!!","")</f>
        <v/>
      </c>
      <c r="F4070" s="22" t="str">
        <f>IF(OR(E4070="",E4070="!!!"),"",IF(NOT(ISNA(VLOOKUP(E4070,E$1:E4069,1,FALSE()))),"OLD",IF(AND(E4070&lt;&gt;"",E4070&lt;&gt;"!!!"),"NEW","")))</f>
        <v> </v>
      </c>
      <c r="G4070" s="23" t="str">
        <f>IF(OR(E4070="",E4070="!!!"),"",IF(OR(J4070=0,AND(J4070=1,K4070=1),AND(J4070=1,I4070="SBJ"),AND(J4070=1,I4070=0)),"?IN_FOCUS",IF(J4070&lt;=2,"?ACTIVATED",IF(J4070&lt;&gt;"","?FAMILIAR",IF(F4070="NEW",IF(ISNA(VLOOKUP(E4070,#REF!,1,FALSE())),"?TYPE_IDENTIFIABLE","?REFERENTIAL"),"_")))))</f>
        <v> </v>
      </c>
      <c r="H4070" s="24" t="str">
        <f>IF(J4070&lt;&gt;1,"",IF(I4070="SBJ","CB","?"))</f>
        <v> </v>
      </c>
      <c r="I4070" s="25" t="str">
        <f>IF(OR(E4070="",E4070="!!!",F4070="NEW"),"",INDEX(B4069:B$2,-1+SUMPRODUCT(MAX(ROW(E4069:E$2)*(E4070=E4069:E$2)))))</f>
        <v> </v>
      </c>
      <c r="J4070" s="25" t="str">
        <f>IF(OR(E4070="",E4070="!!!",F4070="NEW"),"",COUNTBLANK(OFFSET(A$1,,,SUMPRODUCT(MAX(ROW(E$2:E4070)*(E4070=E$2:E4070)))))-COUNTBLANK(OFFSET(A$1,,,SUMPRODUCT(MAX(ROW(E$1:E4069)*(E2=E$1:E4069))))))</f>
        <v> </v>
      </c>
      <c r="K4070" s="25" t="str">
        <f>IF(OR(E4070="",E4070="!!!",F4070="NEW"),"",INDEX(J$1:J4069,SUMPRODUCT(MAX(ROW(E$1:E4069)*(E4070=E$1:E4069)))))</f>
        <v> </v>
      </c>
      <c r="L4070" s="26"/>
    </row>
    <row r="4071" spans="1:12">
      <c r="A4071" s="20" t="s">
        <v>2916</v>
      </c>
      <c r="E4071" s="21">
        <f>IF(D4071="?OLD","!!!","")</f>
        <v/>
      </c>
      <c r="F4071" s="22" t="str">
        <f>IF(OR(E4071="",E4071="!!!"),"",IF(NOT(ISNA(VLOOKUP(E4071,E$1:E4070,1,FALSE()))),"OLD",IF(AND(E4071&lt;&gt;"",E4071&lt;&gt;"!!!"),"NEW","")))</f>
        <v> </v>
      </c>
      <c r="G4071" s="23" t="str">
        <f>IF(OR(E4071="",E4071="!!!"),"",IF(OR(J4071=0,AND(J4071=1,K4071=1),AND(J4071=1,I4071="SBJ"),AND(J4071=1,I4071=0)),"?IN_FOCUS",IF(J4071&lt;=2,"?ACTIVATED",IF(J4071&lt;&gt;"","?FAMILIAR",IF(F4071="NEW",IF(ISNA(VLOOKUP(E4071,#REF!,1,FALSE())),"?TYPE_IDENTIFIABLE","?REFERENTIAL"),"_")))))</f>
        <v> </v>
      </c>
      <c r="H4071" s="24" t="str">
        <f>IF(J4071&lt;&gt;1,"",IF(I4071="SBJ","CB","?"))</f>
        <v> </v>
      </c>
      <c r="I4071" s="25" t="str">
        <f>IF(OR(E4071="",E4071="!!!",F4071="NEW"),"",INDEX(B4070:B$2,-1+SUMPRODUCT(MAX(ROW(E4070:E$2)*(E4071=E4070:E$2)))))</f>
        <v> </v>
      </c>
      <c r="J4071" s="25" t="str">
        <f>IF(OR(E4071="",E4071="!!!",F4071="NEW"),"",COUNTBLANK(OFFSET(A$1,,,SUMPRODUCT(MAX(ROW(E$2:E4071)*(E4071=E$2:E4071)))))-COUNTBLANK(OFFSET(A$1,,,SUMPRODUCT(MAX(ROW(E$1:E4070)*(E2=E$1:E4070))))))</f>
        <v> </v>
      </c>
      <c r="K4071" s="25" t="str">
        <f>IF(OR(E4071="",E4071="!!!",F4071="NEW"),"",INDEX(J$1:J4070,SUMPRODUCT(MAX(ROW(E$1:E4070)*(E4071=E$1:E4070)))))</f>
        <v> </v>
      </c>
      <c r="L4071" s="26"/>
    </row>
    <row r="4072" spans="1:12">
      <c r="A4072" s="20" t="s">
        <v>1230</v>
      </c>
      <c r="E4072" s="21">
        <f>IF(D4072="?OLD","!!!","")</f>
        <v/>
      </c>
      <c r="F4072" s="22" t="str">
        <f>IF(OR(E4072="",E4072="!!!"),"",IF(NOT(ISNA(VLOOKUP(E4072,E$1:E4071,1,FALSE()))),"OLD",IF(AND(E4072&lt;&gt;"",E4072&lt;&gt;"!!!"),"NEW","")))</f>
        <v> </v>
      </c>
      <c r="G4072" s="23" t="str">
        <f>IF(OR(E4072="",E4072="!!!"),"",IF(OR(J4072=0,AND(J4072=1,K4072=1),AND(J4072=1,I4072="SBJ"),AND(J4072=1,I4072=0)),"?IN_FOCUS",IF(J4072&lt;=2,"?ACTIVATED",IF(J4072&lt;&gt;"","?FAMILIAR",IF(F4072="NEW",IF(ISNA(VLOOKUP(E4072,#REF!,1,FALSE())),"?TYPE_IDENTIFIABLE","?REFERENTIAL"),"_")))))</f>
        <v> </v>
      </c>
      <c r="H4072" s="24" t="str">
        <f>IF(J4072&lt;&gt;1,"",IF(I4072="SBJ","CB","?"))</f>
        <v> </v>
      </c>
      <c r="I4072" s="25" t="str">
        <f>IF(OR(E4072="",E4072="!!!",F4072="NEW"),"",INDEX(B4071:B$2,-1+SUMPRODUCT(MAX(ROW(E4071:E$2)*(E4072=E4071:E$2)))))</f>
        <v> </v>
      </c>
      <c r="J4072" s="25" t="str">
        <f>IF(OR(E4072="",E4072="!!!",F4072="NEW"),"",COUNTBLANK(OFFSET(A$1,,,SUMPRODUCT(MAX(ROW(E$2:E4072)*(E4072=E$2:E4072)))))-COUNTBLANK(OFFSET(A$1,,,SUMPRODUCT(MAX(ROW(E$1:E4071)*(E2=E$1:E4071))))))</f>
        <v> </v>
      </c>
      <c r="K4072" s="25" t="str">
        <f>IF(OR(E4072="",E4072="!!!",F4072="NEW"),"",INDEX(J$1:J4071,SUMPRODUCT(MAX(ROW(E$1:E4071)*(E4072=E$1:E4071)))))</f>
        <v> </v>
      </c>
      <c r="L4072" s="26"/>
    </row>
    <row r="4073" spans="1:12">
      <c r="A4073" s="20" t="s">
        <v>1217</v>
      </c>
      <c r="B4073" s="27" t="s">
        <v>1259</v>
      </c>
      <c r="C4073" s="27" t="s">
        <v>1126</v>
      </c>
      <c r="D4073" s="27" t="s">
        <v>1105</v>
      </c>
      <c r="E4073" s="21">
        <f>IF(D4073="?OLD","!!!","")</f>
        <v/>
      </c>
      <c r="F4073" s="22" t="str">
        <f>IF(OR(E4073="",E4073="!!!"),"",IF(NOT(ISNA(VLOOKUP(E4073,E$1:E4072,1,FALSE()))),"OLD",IF(AND(E4073&lt;&gt;"",E4073&lt;&gt;"!!!"),"NEW","")))</f>
        <v> </v>
      </c>
      <c r="G4073" s="23" t="str">
        <f>IF(OR(E4073="",E4073="!!!"),"",IF(OR(J4073=0,AND(J4073=1,K4073=1),AND(J4073=1,I4073="SBJ"),AND(J4073=1,I4073=0)),"?IN_FOCUS",IF(J4073&lt;=2,"?ACTIVATED",IF(J4073&lt;&gt;"","?FAMILIAR",IF(F4073="NEW",IF(ISNA(VLOOKUP(E4073,#REF!,1,FALSE())),"?TYPE_IDENTIFIABLE","?REFERENTIAL"),"_")))))</f>
        <v> </v>
      </c>
      <c r="H4073" s="24" t="str">
        <f>IF(J4073&lt;&gt;1,"",IF(I4073="SBJ","CB","?"))</f>
        <v> </v>
      </c>
      <c r="I4073" s="25" t="str">
        <f>IF(OR(E4073="",E4073="!!!",F4073="NEW"),"",INDEX(B4072:B$2,-1+SUMPRODUCT(MAX(ROW(E4072:E$2)*(E4073=E4072:E$2)))))</f>
        <v> </v>
      </c>
      <c r="J4073" s="25" t="str">
        <f>IF(OR(E4073="",E4073="!!!",F4073="NEW"),"",COUNTBLANK(OFFSET(A$1,,,SUMPRODUCT(MAX(ROW(E$2:E4073)*(E4073=E$2:E4073)))))-COUNTBLANK(OFFSET(A$1,,,SUMPRODUCT(MAX(ROW(E$1:E4072)*(E2=E$1:E4072))))))</f>
        <v> </v>
      </c>
      <c r="K4073" s="25" t="str">
        <f>IF(OR(E4073="",E4073="!!!",F4073="NEW"),"",INDEX(J$1:J4072,SUMPRODUCT(MAX(ROW(E$1:E4072)*(E4073=E$1:E4072)))))</f>
        <v> </v>
      </c>
      <c r="L4073" s="26"/>
    </row>
    <row r="4074" spans="1:12">
      <c r="A4074" s="20" t="s">
        <v>2917</v>
      </c>
      <c r="E4074" s="21">
        <f>IF(D4074="?OLD","!!!","")</f>
        <v/>
      </c>
      <c r="F4074" s="22" t="str">
        <f>IF(OR(E4074="",E4074="!!!"),"",IF(NOT(ISNA(VLOOKUP(E4074,E$1:E4073,1,FALSE()))),"OLD",IF(AND(E4074&lt;&gt;"",E4074&lt;&gt;"!!!"),"NEW","")))</f>
        <v> </v>
      </c>
      <c r="G4074" s="23" t="str">
        <f>IF(OR(E4074="",E4074="!!!"),"",IF(OR(J4074=0,AND(J4074=1,K4074=1),AND(J4074=1,I4074="SBJ"),AND(J4074=1,I4074=0)),"?IN_FOCUS",IF(J4074&lt;=2,"?ACTIVATED",IF(J4074&lt;&gt;"","?FAMILIAR",IF(F4074="NEW",IF(ISNA(VLOOKUP(E4074,#REF!,1,FALSE())),"?TYPE_IDENTIFIABLE","?REFERENTIAL"),"_")))))</f>
        <v> </v>
      </c>
      <c r="H4074" s="24" t="str">
        <f>IF(J4074&lt;&gt;1,"",IF(I4074="SBJ","CB","?"))</f>
        <v> </v>
      </c>
      <c r="I4074" s="25" t="str">
        <f>IF(OR(E4074="",E4074="!!!",F4074="NEW"),"",INDEX(B4073:B$2,-1+SUMPRODUCT(MAX(ROW(E4073:E$2)*(E4074=E4073:E$2)))))</f>
        <v> </v>
      </c>
      <c r="J4074" s="25" t="str">
        <f>IF(OR(E4074="",E4074="!!!",F4074="NEW"),"",COUNTBLANK(OFFSET(A$1,,,SUMPRODUCT(MAX(ROW(E$2:E4074)*(E4074=E$2:E4074)))))-COUNTBLANK(OFFSET(A$1,,,SUMPRODUCT(MAX(ROW(E$1:E4073)*(E2=E$1:E4073))))))</f>
        <v> </v>
      </c>
      <c r="K4074" s="25" t="str">
        <f>IF(OR(E4074="",E4074="!!!",F4074="NEW"),"",INDEX(J$1:J4073,SUMPRODUCT(MAX(ROW(E$1:E4073)*(E4074=E$1:E4073)))))</f>
        <v> </v>
      </c>
      <c r="L4074" s="26"/>
    </row>
    <row r="4075" spans="1:12">
      <c r="A4075" s="20" t="s">
        <v>1231</v>
      </c>
      <c r="E4075" s="21">
        <f>IF(D4075="?OLD","!!!","")</f>
        <v/>
      </c>
      <c r="F4075" s="22" t="str">
        <f>IF(OR(E4075="",E4075="!!!"),"",IF(NOT(ISNA(VLOOKUP(E4075,E$1:E4074,1,FALSE()))),"OLD",IF(AND(E4075&lt;&gt;"",E4075&lt;&gt;"!!!"),"NEW","")))</f>
        <v> </v>
      </c>
      <c r="G4075" s="23" t="str">
        <f>IF(OR(E4075="",E4075="!!!"),"",IF(OR(J4075=0,AND(J4075=1,K4075=1),AND(J4075=1,I4075="SBJ"),AND(J4075=1,I4075=0)),"?IN_FOCUS",IF(J4075&lt;=2,"?ACTIVATED",IF(J4075&lt;&gt;"","?FAMILIAR",IF(F4075="NEW",IF(ISNA(VLOOKUP(E4075,#REF!,1,FALSE())),"?TYPE_IDENTIFIABLE","?REFERENTIAL"),"_")))))</f>
        <v> </v>
      </c>
      <c r="H4075" s="24" t="str">
        <f>IF(J4075&lt;&gt;1,"",IF(I4075="SBJ","CB","?"))</f>
        <v> </v>
      </c>
      <c r="I4075" s="25" t="str">
        <f>IF(OR(E4075="",E4075="!!!",F4075="NEW"),"",INDEX(B4074:B$2,-1+SUMPRODUCT(MAX(ROW(E4074:E$2)*(E4075=E4074:E$2)))))</f>
        <v> </v>
      </c>
      <c r="J4075" s="25" t="str">
        <f>IF(OR(E4075="",E4075="!!!",F4075="NEW"),"",COUNTBLANK(OFFSET(A$1,,,SUMPRODUCT(MAX(ROW(E$2:E4075)*(E4075=E$2:E4075)))))-COUNTBLANK(OFFSET(A$1,,,SUMPRODUCT(MAX(ROW(E$1:E4074)*(E2=E$1:E4074))))))</f>
        <v> </v>
      </c>
      <c r="K4075" s="25" t="str">
        <f>IF(OR(E4075="",E4075="!!!",F4075="NEW"),"",INDEX(J$1:J4074,SUMPRODUCT(MAX(ROW(E$1:E4074)*(E4075=E$1:E4074)))))</f>
        <v> </v>
      </c>
      <c r="L4075" s="26"/>
    </row>
    <row r="4076" spans="1:12">
      <c r="A4076" s="20" t="s">
        <v>2918</v>
      </c>
      <c r="E4076" s="21">
        <f>IF(D4076="?OLD","!!!","")</f>
        <v/>
      </c>
      <c r="F4076" s="22" t="str">
        <f>IF(OR(E4076="",E4076="!!!"),"",IF(NOT(ISNA(VLOOKUP(E4076,E$1:E4075,1,FALSE()))),"OLD",IF(AND(E4076&lt;&gt;"",E4076&lt;&gt;"!!!"),"NEW","")))</f>
        <v> </v>
      </c>
      <c r="G4076" s="23" t="str">
        <f>IF(OR(E4076="",E4076="!!!"),"",IF(OR(J4076=0,AND(J4076=1,K4076=1),AND(J4076=1,I4076="SBJ"),AND(J4076=1,I4076=0)),"?IN_FOCUS",IF(J4076&lt;=2,"?ACTIVATED",IF(J4076&lt;&gt;"","?FAMILIAR",IF(F4076="NEW",IF(ISNA(VLOOKUP(E4076,#REF!,1,FALSE())),"?TYPE_IDENTIFIABLE","?REFERENTIAL"),"_")))))</f>
        <v> </v>
      </c>
      <c r="H4076" s="24" t="str">
        <f>IF(J4076&lt;&gt;1,"",IF(I4076="SBJ","CB","?"))</f>
        <v> </v>
      </c>
      <c r="I4076" s="25" t="str">
        <f>IF(OR(E4076="",E4076="!!!",F4076="NEW"),"",INDEX(B4075:B$2,-1+SUMPRODUCT(MAX(ROW(E4075:E$2)*(E4076=E4075:E$2)))))</f>
        <v> </v>
      </c>
      <c r="J4076" s="25" t="str">
        <f>IF(OR(E4076="",E4076="!!!",F4076="NEW"),"",COUNTBLANK(OFFSET(A$1,,,SUMPRODUCT(MAX(ROW(E$2:E4076)*(E4076=E$2:E4076)))))-COUNTBLANK(OFFSET(A$1,,,SUMPRODUCT(MAX(ROW(E$1:E4075)*(E2=E$1:E4075))))))</f>
        <v> </v>
      </c>
      <c r="K4076" s="25" t="str">
        <f>IF(OR(E4076="",E4076="!!!",F4076="NEW"),"",INDEX(J$1:J4075,SUMPRODUCT(MAX(ROW(E$1:E4075)*(E4076=E$1:E4075)))))</f>
        <v> </v>
      </c>
      <c r="L4076" s="26"/>
    </row>
    <row r="4077" spans="1:12">
      <c r="A4077" s="20" t="s">
        <v>1145</v>
      </c>
      <c r="E4077" s="21">
        <f>IF(D4077="?OLD","!!!","")</f>
        <v/>
      </c>
      <c r="F4077" s="22" t="str">
        <f>IF(OR(E4077="",E4077="!!!"),"",IF(NOT(ISNA(VLOOKUP(E4077,E$1:E4076,1,FALSE()))),"OLD",IF(AND(E4077&lt;&gt;"",E4077&lt;&gt;"!!!"),"NEW","")))</f>
        <v> </v>
      </c>
      <c r="G4077" s="23" t="str">
        <f>IF(OR(E4077="",E4077="!!!"),"",IF(OR(J4077=0,AND(J4077=1,K4077=1),AND(J4077=1,I4077="SBJ"),AND(J4077=1,I4077=0)),"?IN_FOCUS",IF(J4077&lt;=2,"?ACTIVATED",IF(J4077&lt;&gt;"","?FAMILIAR",IF(F4077="NEW",IF(ISNA(VLOOKUP(E4077,#REF!,1,FALSE())),"?TYPE_IDENTIFIABLE","?REFERENTIAL"),"_")))))</f>
        <v> </v>
      </c>
      <c r="H4077" s="24" t="str">
        <f>IF(J4077&lt;&gt;1,"",IF(I4077="SBJ","CB","?"))</f>
        <v> </v>
      </c>
      <c r="I4077" s="25" t="str">
        <f>IF(OR(E4077="",E4077="!!!",F4077="NEW"),"",INDEX(B4076:B$2,-1+SUMPRODUCT(MAX(ROW(E4076:E$2)*(E4077=E4076:E$2)))))</f>
        <v> </v>
      </c>
      <c r="J4077" s="25" t="str">
        <f>IF(OR(E4077="",E4077="!!!",F4077="NEW"),"",COUNTBLANK(OFFSET(A$1,,,SUMPRODUCT(MAX(ROW(E$2:E4077)*(E4077=E$2:E4077)))))-COUNTBLANK(OFFSET(A$1,,,SUMPRODUCT(MAX(ROW(E$1:E4076)*(E2=E$1:E4076))))))</f>
        <v> </v>
      </c>
      <c r="K4077" s="25" t="str">
        <f>IF(OR(E4077="",E4077="!!!",F4077="NEW"),"",INDEX(J$1:J4076,SUMPRODUCT(MAX(ROW(E$1:E4076)*(E4077=E$1:E4076)))))</f>
        <v> </v>
      </c>
      <c r="L4077" s="26"/>
    </row>
    <row r="4078" spans="1:12">
      <c r="A4078" s="20"/>
    </row>
    <row r="4079" spans="1:12">
      <c r="A4079" s="20" t="s">
        <v>2919</v>
      </c>
    </row>
    <row r="4080" spans="1:12">
      <c r="A4080" s="20" t="s">
        <v>2920</v>
      </c>
      <c r="B4080" s="27" t="s">
        <v>1149</v>
      </c>
      <c r="E4080" s="21">
        <f>IF(D4080="?OLD","!!!","")</f>
        <v/>
      </c>
      <c r="F4080" s="22" t="str">
        <f>IF(OR(E4080="",E4080="!!!"),"",IF(NOT(ISNA(VLOOKUP(E4080,E$1:E4079,1,FALSE()))),"OLD",IF(AND(E4080&lt;&gt;"",E4080&lt;&gt;"!!!"),"NEW","")))</f>
        <v> </v>
      </c>
      <c r="G4080" s="23" t="str">
        <f>IF(OR(E4080="",E4080="!!!"),"",IF(OR(J4080=0,AND(J4080=1,K4080=1),AND(J4080=1,I4080="SBJ"),AND(J4080=1,I4080=0)),"?IN_FOCUS",IF(J4080&lt;=2,"?ACTIVATED",IF(J4080&lt;&gt;"","?FAMILIAR",IF(F4080="NEW",IF(ISNA(VLOOKUP(E4080,#REF!,1,FALSE())),"?TYPE_IDENTIFIABLE","?REFERENTIAL"),"_")))))</f>
        <v> </v>
      </c>
      <c r="H4080" s="24" t="str">
        <f>IF(J4080&lt;&gt;1,"",IF(I4080="SBJ","CB","?"))</f>
        <v> </v>
      </c>
      <c r="I4080" s="25" t="str">
        <f>IF(OR(E4080="",E4080="!!!",F4080="NEW"),"",INDEX(B4079:B$2,-1+SUMPRODUCT(MAX(ROW(E4079:E$2)*(E4080=E4079:E$2)))))</f>
        <v> </v>
      </c>
      <c r="J4080" s="25" t="str">
        <f>IF(OR(E4080="",E4080="!!!",F4080="NEW"),"",COUNTBLANK(OFFSET(A$1,,,SUMPRODUCT(MAX(ROW(E$2:E4080)*(E4080=E$2:E4080)))))-COUNTBLANK(OFFSET(A$1,,,SUMPRODUCT(MAX(ROW(E$1:E4079)*(E2=E$1:E4079))))))</f>
        <v> </v>
      </c>
      <c r="K4080" s="25" t="str">
        <f>IF(OR(E4080="",E4080="!!!",F4080="NEW"),"",INDEX(J$1:J4079,SUMPRODUCT(MAX(ROW(E$1:E4079)*(E4080=E$1:E4079)))))</f>
        <v> </v>
      </c>
      <c r="L4080" s="26"/>
    </row>
    <row r="4081" spans="1:12">
      <c r="A4081" s="20" t="s">
        <v>1249</v>
      </c>
      <c r="E4081" s="21">
        <f>IF(D4081="?OLD","!!!","")</f>
        <v/>
      </c>
      <c r="F4081" s="22" t="str">
        <f>IF(OR(E4081="",E4081="!!!"),"",IF(NOT(ISNA(VLOOKUP(E4081,E$1:E4080,1,FALSE()))),"OLD",IF(AND(E4081&lt;&gt;"",E4081&lt;&gt;"!!!"),"NEW","")))</f>
        <v> </v>
      </c>
      <c r="G4081" s="23" t="str">
        <f>IF(OR(E4081="",E4081="!!!"),"",IF(OR(J4081=0,AND(J4081=1,K4081=1),AND(J4081=1,I4081="SBJ"),AND(J4081=1,I4081=0)),"?IN_FOCUS",IF(J4081&lt;=2,"?ACTIVATED",IF(J4081&lt;&gt;"","?FAMILIAR",IF(F4081="NEW",IF(ISNA(VLOOKUP(E4081,#REF!,1,FALSE())),"?TYPE_IDENTIFIABLE","?REFERENTIAL"),"_")))))</f>
        <v> </v>
      </c>
      <c r="H4081" s="24" t="str">
        <f>IF(J4081&lt;&gt;1,"",IF(I4081="SBJ","CB","?"))</f>
        <v> </v>
      </c>
      <c r="I4081" s="25" t="str">
        <f>IF(OR(E4081="",E4081="!!!",F4081="NEW"),"",INDEX(B4080:B$2,-1+SUMPRODUCT(MAX(ROW(E4080:E$2)*(E4081=E4080:E$2)))))</f>
        <v> </v>
      </c>
      <c r="J4081" s="25" t="str">
        <f>IF(OR(E4081="",E4081="!!!",F4081="NEW"),"",COUNTBLANK(OFFSET(A$1,,,SUMPRODUCT(MAX(ROW(E$2:E4081)*(E4081=E$2:E4081)))))-COUNTBLANK(OFFSET(A$1,,,SUMPRODUCT(MAX(ROW(E$1:E4080)*(E2=E$1:E4080))))))</f>
        <v> </v>
      </c>
      <c r="K4081" s="25" t="str">
        <f>IF(OR(E4081="",E4081="!!!",F4081="NEW"),"",INDEX(J$1:J4080,SUMPRODUCT(MAX(ROW(E$1:E4080)*(E4081=E$1:E4080)))))</f>
        <v> </v>
      </c>
      <c r="L4081" s="26"/>
    </row>
    <row r="4082" spans="1:12">
      <c r="A4082" s="20" t="s">
        <v>1415</v>
      </c>
      <c r="E4082" s="21">
        <f>IF(D4082="?OLD","!!!","")</f>
        <v/>
      </c>
      <c r="F4082" s="22" t="str">
        <f>IF(OR(E4082="",E4082="!!!"),"",IF(NOT(ISNA(VLOOKUP(E4082,E$1:E4081,1,FALSE()))),"OLD",IF(AND(E4082&lt;&gt;"",E4082&lt;&gt;"!!!"),"NEW","")))</f>
        <v> </v>
      </c>
      <c r="G4082" s="23" t="str">
        <f>IF(OR(E4082="",E4082="!!!"),"",IF(OR(J4082=0,AND(J4082=1,K4082=1),AND(J4082=1,I4082="SBJ"),AND(J4082=1,I4082=0)),"?IN_FOCUS",IF(J4082&lt;=2,"?ACTIVATED",IF(J4082&lt;&gt;"","?FAMILIAR",IF(F4082="NEW",IF(ISNA(VLOOKUP(E4082,#REF!,1,FALSE())),"?TYPE_IDENTIFIABLE","?REFERENTIAL"),"_")))))</f>
        <v> </v>
      </c>
      <c r="H4082" s="24" t="str">
        <f>IF(J4082&lt;&gt;1,"",IF(I4082="SBJ","CB","?"))</f>
        <v> </v>
      </c>
      <c r="I4082" s="25" t="str">
        <f>IF(OR(E4082="",E4082="!!!",F4082="NEW"),"",INDEX(B4081:B$2,-1+SUMPRODUCT(MAX(ROW(E4081:E$2)*(E4082=E4081:E$2)))))</f>
        <v> </v>
      </c>
      <c r="J4082" s="25" t="str">
        <f>IF(OR(E4082="",E4082="!!!",F4082="NEW"),"",COUNTBLANK(OFFSET(A$1,,,SUMPRODUCT(MAX(ROW(E$2:E4082)*(E4082=E$2:E4082)))))-COUNTBLANK(OFFSET(A$1,,,SUMPRODUCT(MAX(ROW(E$1:E4081)*(E2=E$1:E4081))))))</f>
        <v> </v>
      </c>
      <c r="K4082" s="25" t="str">
        <f>IF(OR(E4082="",E4082="!!!",F4082="NEW"),"",INDEX(J$1:J4081,SUMPRODUCT(MAX(ROW(E$1:E4081)*(E4082=E$1:E4081)))))</f>
        <v> </v>
      </c>
      <c r="L4082" s="26"/>
    </row>
    <row r="4083" spans="1:12">
      <c r="A4083" s="20" t="s">
        <v>2921</v>
      </c>
      <c r="E4083" s="21">
        <f>IF(D4083="?OLD","!!!","")</f>
        <v/>
      </c>
      <c r="F4083" s="22" t="str">
        <f>IF(OR(E4083="",E4083="!!!"),"",IF(NOT(ISNA(VLOOKUP(E4083,E$1:E4082,1,FALSE()))),"OLD",IF(AND(E4083&lt;&gt;"",E4083&lt;&gt;"!!!"),"NEW","")))</f>
        <v> </v>
      </c>
      <c r="G4083" s="23" t="str">
        <f>IF(OR(E4083="",E4083="!!!"),"",IF(OR(J4083=0,AND(J4083=1,K4083=1),AND(J4083=1,I4083="SBJ"),AND(J4083=1,I4083=0)),"?IN_FOCUS",IF(J4083&lt;=2,"?ACTIVATED",IF(J4083&lt;&gt;"","?FAMILIAR",IF(F4083="NEW",IF(ISNA(VLOOKUP(E4083,#REF!,1,FALSE())),"?TYPE_IDENTIFIABLE","?REFERENTIAL"),"_")))))</f>
        <v> </v>
      </c>
      <c r="H4083" s="24" t="str">
        <f>IF(J4083&lt;&gt;1,"",IF(I4083="SBJ","CB","?"))</f>
        <v> </v>
      </c>
      <c r="I4083" s="25" t="str">
        <f>IF(OR(E4083="",E4083="!!!",F4083="NEW"),"",INDEX(B4082:B$2,-1+SUMPRODUCT(MAX(ROW(E4082:E$2)*(E4083=E4082:E$2)))))</f>
        <v> </v>
      </c>
      <c r="J4083" s="25" t="str">
        <f>IF(OR(E4083="",E4083="!!!",F4083="NEW"),"",COUNTBLANK(OFFSET(A$1,,,SUMPRODUCT(MAX(ROW(E$2:E4083)*(E4083=E$2:E4083)))))-COUNTBLANK(OFFSET(A$1,,,SUMPRODUCT(MAX(ROW(E$1:E4082)*(E2=E$1:E4082))))))</f>
        <v> </v>
      </c>
      <c r="K4083" s="25" t="str">
        <f>IF(OR(E4083="",E4083="!!!",F4083="NEW"),"",INDEX(J$1:J4082,SUMPRODUCT(MAX(ROW(E$1:E4082)*(E4083=E$1:E4082)))))</f>
        <v> </v>
      </c>
      <c r="L4083" s="26"/>
    </row>
    <row r="4084" spans="1:12">
      <c r="A4084" s="20" t="s">
        <v>1134</v>
      </c>
      <c r="E4084" s="21">
        <f>IF(D4084="?OLD","!!!","")</f>
        <v/>
      </c>
      <c r="F4084" s="22" t="str">
        <f>IF(OR(E4084="",E4084="!!!"),"",IF(NOT(ISNA(VLOOKUP(E4084,E$1:E4083,1,FALSE()))),"OLD",IF(AND(E4084&lt;&gt;"",E4084&lt;&gt;"!!!"),"NEW","")))</f>
        <v> </v>
      </c>
      <c r="G4084" s="23" t="str">
        <f>IF(OR(E4084="",E4084="!!!"),"",IF(OR(J4084=0,AND(J4084=1,K4084=1),AND(J4084=1,I4084="SBJ"),AND(J4084=1,I4084=0)),"?IN_FOCUS",IF(J4084&lt;=2,"?ACTIVATED",IF(J4084&lt;&gt;"","?FAMILIAR",IF(F4084="NEW",IF(ISNA(VLOOKUP(E4084,#REF!,1,FALSE())),"?TYPE_IDENTIFIABLE","?REFERENTIAL"),"_")))))</f>
        <v> </v>
      </c>
      <c r="H4084" s="24" t="str">
        <f>IF(J4084&lt;&gt;1,"",IF(I4084="SBJ","CB","?"))</f>
        <v> </v>
      </c>
      <c r="I4084" s="25" t="str">
        <f>IF(OR(E4084="",E4084="!!!",F4084="NEW"),"",INDEX(B4083:B$2,-1+SUMPRODUCT(MAX(ROW(E4083:E$2)*(E4084=E4083:E$2)))))</f>
        <v> </v>
      </c>
      <c r="J4084" s="25" t="str">
        <f>IF(OR(E4084="",E4084="!!!",F4084="NEW"),"",COUNTBLANK(OFFSET(A$1,,,SUMPRODUCT(MAX(ROW(E$2:E4084)*(E4084=E$2:E4084)))))-COUNTBLANK(OFFSET(A$1,,,SUMPRODUCT(MAX(ROW(E$1:E4083)*(E2=E$1:E4083))))))</f>
        <v> </v>
      </c>
      <c r="K4084" s="25" t="str">
        <f>IF(OR(E4084="",E4084="!!!",F4084="NEW"),"",INDEX(J$1:J4083,SUMPRODUCT(MAX(ROW(E$1:E4083)*(E4084=E$1:E4083)))))</f>
        <v> </v>
      </c>
      <c r="L4084" s="26"/>
    </row>
    <row r="4085" spans="1:12">
      <c r="A4085" s="20" t="s">
        <v>1120</v>
      </c>
      <c r="E4085" s="21">
        <f>IF(D4085="?OLD","!!!","")</f>
        <v/>
      </c>
      <c r="F4085" s="22" t="str">
        <f>IF(OR(E4085="",E4085="!!!"),"",IF(NOT(ISNA(VLOOKUP(E4085,E$1:E4084,1,FALSE()))),"OLD",IF(AND(E4085&lt;&gt;"",E4085&lt;&gt;"!!!"),"NEW","")))</f>
        <v> </v>
      </c>
      <c r="G4085" s="23" t="str">
        <f>IF(OR(E4085="",E4085="!!!"),"",IF(OR(J4085=0,AND(J4085=1,K4085=1),AND(J4085=1,I4085="SBJ"),AND(J4085=1,I4085=0)),"?IN_FOCUS",IF(J4085&lt;=2,"?ACTIVATED",IF(J4085&lt;&gt;"","?FAMILIAR",IF(F4085="NEW",IF(ISNA(VLOOKUP(E4085,#REF!,1,FALSE())),"?TYPE_IDENTIFIABLE","?REFERENTIAL"),"_")))))</f>
        <v> </v>
      </c>
      <c r="H4085" s="24" t="str">
        <f>IF(J4085&lt;&gt;1,"",IF(I4085="SBJ","CB","?"))</f>
        <v> </v>
      </c>
      <c r="I4085" s="25" t="str">
        <f>IF(OR(E4085="",E4085="!!!",F4085="NEW"),"",INDEX(B4084:B$2,-1+SUMPRODUCT(MAX(ROW(E4084:E$2)*(E4085=E4084:E$2)))))</f>
        <v> </v>
      </c>
      <c r="J4085" s="25" t="str">
        <f>IF(OR(E4085="",E4085="!!!",F4085="NEW"),"",COUNTBLANK(OFFSET(A$1,,,SUMPRODUCT(MAX(ROW(E$2:E4085)*(E4085=E$2:E4085)))))-COUNTBLANK(OFFSET(A$1,,,SUMPRODUCT(MAX(ROW(E$1:E4084)*(E2=E$1:E4084))))))</f>
        <v> </v>
      </c>
      <c r="K4085" s="25" t="str">
        <f>IF(OR(E4085="",E4085="!!!",F4085="NEW"),"",INDEX(J$1:J4084,SUMPRODUCT(MAX(ROW(E$1:E4084)*(E4085=E$1:E4084)))))</f>
        <v> </v>
      </c>
      <c r="L4085" s="26"/>
    </row>
    <row r="4086" spans="1:12">
      <c r="A4086" s="20" t="s">
        <v>2922</v>
      </c>
      <c r="E4086" s="21">
        <f>IF(D4086="?OLD","!!!","")</f>
        <v/>
      </c>
      <c r="F4086" s="22" t="str">
        <f>IF(OR(E4086="",E4086="!!!"),"",IF(NOT(ISNA(VLOOKUP(E4086,E$1:E4085,1,FALSE()))),"OLD",IF(AND(E4086&lt;&gt;"",E4086&lt;&gt;"!!!"),"NEW","")))</f>
        <v> </v>
      </c>
      <c r="G4086" s="23" t="str">
        <f>IF(OR(E4086="",E4086="!!!"),"",IF(OR(J4086=0,AND(J4086=1,K4086=1),AND(J4086=1,I4086="SBJ"),AND(J4086=1,I4086=0)),"?IN_FOCUS",IF(J4086&lt;=2,"?ACTIVATED",IF(J4086&lt;&gt;"","?FAMILIAR",IF(F4086="NEW",IF(ISNA(VLOOKUP(E4086,#REF!,1,FALSE())),"?TYPE_IDENTIFIABLE","?REFERENTIAL"),"_")))))</f>
        <v> </v>
      </c>
      <c r="H4086" s="24" t="str">
        <f>IF(J4086&lt;&gt;1,"",IF(I4086="SBJ","CB","?"))</f>
        <v> </v>
      </c>
      <c r="I4086" s="25" t="str">
        <f>IF(OR(E4086="",E4086="!!!",F4086="NEW"),"",INDEX(B4085:B$2,-1+SUMPRODUCT(MAX(ROW(E4085:E$2)*(E4086=E4085:E$2)))))</f>
        <v> </v>
      </c>
      <c r="J4086" s="25" t="str">
        <f>IF(OR(E4086="",E4086="!!!",F4086="NEW"),"",COUNTBLANK(OFFSET(A$1,,,SUMPRODUCT(MAX(ROW(E$2:E4086)*(E4086=E$2:E4086)))))-COUNTBLANK(OFFSET(A$1,,,SUMPRODUCT(MAX(ROW(E$1:E4085)*(E2=E$1:E4085))))))</f>
        <v> </v>
      </c>
      <c r="K4086" s="25" t="str">
        <f>IF(OR(E4086="",E4086="!!!",F4086="NEW"),"",INDEX(J$1:J4085,SUMPRODUCT(MAX(ROW(E$1:E4085)*(E4086=E$1:E4085)))))</f>
        <v> </v>
      </c>
      <c r="L4086" s="26"/>
    </row>
    <row r="4087" spans="1:12">
      <c r="A4087" s="20" t="s">
        <v>2923</v>
      </c>
      <c r="B4087" s="27" t="s">
        <v>1103</v>
      </c>
      <c r="C4087" s="27" t="s">
        <v>1289</v>
      </c>
      <c r="E4087" s="21">
        <f>IF(D4087="?OLD","!!!","")</f>
        <v/>
      </c>
      <c r="F4087" s="22" t="str">
        <f>IF(OR(E4087="",E4087="!!!"),"",IF(NOT(ISNA(VLOOKUP(E4087,E$1:E4086,1,FALSE()))),"OLD",IF(AND(E4087&lt;&gt;"",E4087&lt;&gt;"!!!"),"NEW","")))</f>
        <v> </v>
      </c>
      <c r="G4087" s="23" t="str">
        <f>IF(OR(E4087="",E4087="!!!"),"",IF(OR(J4087=0,AND(J4087=1,K4087=1),AND(J4087=1,I4087="SBJ"),AND(J4087=1,I4087=0)),"?IN_FOCUS",IF(J4087&lt;=2,"?ACTIVATED",IF(J4087&lt;&gt;"","?FAMILIAR",IF(F4087="NEW",IF(ISNA(VLOOKUP(E4087,#REF!,1,FALSE())),"?TYPE_IDENTIFIABLE","?REFERENTIAL"),"_")))))</f>
        <v> </v>
      </c>
      <c r="H4087" s="24" t="str">
        <f>IF(J4087&lt;&gt;1,"",IF(I4087="SBJ","CB","?"))</f>
        <v> </v>
      </c>
      <c r="I4087" s="25" t="str">
        <f>IF(OR(E4087="",E4087="!!!",F4087="NEW"),"",INDEX(B4086:B$2,-1+SUMPRODUCT(MAX(ROW(E4086:E$2)*(E4087=E4086:E$2)))))</f>
        <v> </v>
      </c>
      <c r="J4087" s="25" t="str">
        <f>IF(OR(E4087="",E4087="!!!",F4087="NEW"),"",COUNTBLANK(OFFSET(A$1,,,SUMPRODUCT(MAX(ROW(E$2:E4087)*(E4087=E$2:E4087)))))-COUNTBLANK(OFFSET(A$1,,,SUMPRODUCT(MAX(ROW(E$1:E4086)*(E2=E$1:E4086))))))</f>
        <v> </v>
      </c>
      <c r="K4087" s="25" t="str">
        <f>IF(OR(E4087="",E4087="!!!",F4087="NEW"),"",INDEX(J$1:J4086,SUMPRODUCT(MAX(ROW(E$1:E4086)*(E4087=E$1:E4086)))))</f>
        <v> </v>
      </c>
      <c r="L4087" s="26"/>
    </row>
    <row r="4088" spans="1:12">
      <c r="A4088" s="20" t="s">
        <v>1111</v>
      </c>
      <c r="E4088" s="21">
        <f>IF(D4088="?OLD","!!!","")</f>
        <v/>
      </c>
      <c r="F4088" s="22" t="str">
        <f>IF(OR(E4088="",E4088="!!!"),"",IF(NOT(ISNA(VLOOKUP(E4088,E$1:E4087,1,FALSE()))),"OLD",IF(AND(E4088&lt;&gt;"",E4088&lt;&gt;"!!!"),"NEW","")))</f>
        <v> </v>
      </c>
      <c r="G4088" s="23" t="str">
        <f>IF(OR(E4088="",E4088="!!!"),"",IF(OR(J4088=0,AND(J4088=1,K4088=1),AND(J4088=1,I4088="SBJ"),AND(J4088=1,I4088=0)),"?IN_FOCUS",IF(J4088&lt;=2,"?ACTIVATED",IF(J4088&lt;&gt;"","?FAMILIAR",IF(F4088="NEW",IF(ISNA(VLOOKUP(E4088,#REF!,1,FALSE())),"?TYPE_IDENTIFIABLE","?REFERENTIAL"),"_")))))</f>
        <v> </v>
      </c>
      <c r="H4088" s="24" t="str">
        <f>IF(J4088&lt;&gt;1,"",IF(I4088="SBJ","CB","?"))</f>
        <v> </v>
      </c>
      <c r="I4088" s="25" t="str">
        <f>IF(OR(E4088="",E4088="!!!",F4088="NEW"),"",INDEX(B4087:B$2,-1+SUMPRODUCT(MAX(ROW(E4087:E$2)*(E4088=E4087:E$2)))))</f>
        <v> </v>
      </c>
      <c r="J4088" s="25" t="str">
        <f>IF(OR(E4088="",E4088="!!!",F4088="NEW"),"",COUNTBLANK(OFFSET(A$1,,,SUMPRODUCT(MAX(ROW(E$2:E4088)*(E4088=E$2:E4088)))))-COUNTBLANK(OFFSET(A$1,,,SUMPRODUCT(MAX(ROW(E$1:E4087)*(E2=E$1:E4087))))))</f>
        <v> </v>
      </c>
      <c r="K4088" s="25" t="str">
        <f>IF(OR(E4088="",E4088="!!!",F4088="NEW"),"",INDEX(J$1:J4087,SUMPRODUCT(MAX(ROW(E$1:E4087)*(E4088=E$1:E4087)))))</f>
        <v> </v>
      </c>
      <c r="L4088" s="26"/>
    </row>
    <row r="4089" spans="1:12">
      <c r="A4089" s="20" t="s">
        <v>1140</v>
      </c>
      <c r="B4089" s="27" t="s">
        <v>1259</v>
      </c>
      <c r="C4089" s="27" t="s">
        <v>1126</v>
      </c>
      <c r="D4089" s="27" t="s">
        <v>1105</v>
      </c>
      <c r="E4089" s="21">
        <f>IF(D4089="?OLD","!!!","")</f>
        <v/>
      </c>
      <c r="F4089" s="22" t="str">
        <f>IF(OR(E4089="",E4089="!!!"),"",IF(NOT(ISNA(VLOOKUP(E4089,E$1:E4088,1,FALSE()))),"OLD",IF(AND(E4089&lt;&gt;"",E4089&lt;&gt;"!!!"),"NEW","")))</f>
        <v> </v>
      </c>
      <c r="G4089" s="23" t="str">
        <f>IF(OR(E4089="",E4089="!!!"),"",IF(OR(J4089=0,AND(J4089=1,K4089=1),AND(J4089=1,I4089="SBJ"),AND(J4089=1,I4089=0)),"?IN_FOCUS",IF(J4089&lt;=2,"?ACTIVATED",IF(J4089&lt;&gt;"","?FAMILIAR",IF(F4089="NEW",IF(ISNA(VLOOKUP(E4089,#REF!,1,FALSE())),"?TYPE_IDENTIFIABLE","?REFERENTIAL"),"_")))))</f>
        <v> </v>
      </c>
      <c r="H4089" s="24" t="str">
        <f>IF(J4089&lt;&gt;1,"",IF(I4089="SBJ","CB","?"))</f>
        <v> </v>
      </c>
      <c r="I4089" s="25" t="str">
        <f>IF(OR(E4089="",E4089="!!!",F4089="NEW"),"",INDEX(B4088:B$2,-1+SUMPRODUCT(MAX(ROW(E4088:E$2)*(E4089=E4088:E$2)))))</f>
        <v> </v>
      </c>
      <c r="J4089" s="25" t="str">
        <f>IF(OR(E4089="",E4089="!!!",F4089="NEW"),"",COUNTBLANK(OFFSET(A$1,,,SUMPRODUCT(MAX(ROW(E$2:E4089)*(E4089=E$2:E4089)))))-COUNTBLANK(OFFSET(A$1,,,SUMPRODUCT(MAX(ROW(E$1:E4088)*(E2=E$1:E4088))))))</f>
        <v> </v>
      </c>
      <c r="K4089" s="25" t="str">
        <f>IF(OR(E4089="",E4089="!!!",F4089="NEW"),"",INDEX(J$1:J4088,SUMPRODUCT(MAX(ROW(E$1:E4088)*(E4089=E$1:E4088)))))</f>
        <v> </v>
      </c>
      <c r="L4089" s="26"/>
    </row>
    <row r="4090" spans="1:12">
      <c r="A4090" s="20" t="s">
        <v>1926</v>
      </c>
      <c r="E4090" s="21">
        <f>IF(D4090="?OLD","!!!","")</f>
        <v/>
      </c>
      <c r="F4090" s="22" t="str">
        <f>IF(OR(E4090="",E4090="!!!"),"",IF(NOT(ISNA(VLOOKUP(E4090,E$1:E4089,1,FALSE()))),"OLD",IF(AND(E4090&lt;&gt;"",E4090&lt;&gt;"!!!"),"NEW","")))</f>
        <v> </v>
      </c>
      <c r="G4090" s="23" t="str">
        <f>IF(OR(E4090="",E4090="!!!"),"",IF(OR(J4090=0,AND(J4090=1,K4090=1),AND(J4090=1,I4090="SBJ"),AND(J4090=1,I4090=0)),"?IN_FOCUS",IF(J4090&lt;=2,"?ACTIVATED",IF(J4090&lt;&gt;"","?FAMILIAR",IF(F4090="NEW",IF(ISNA(VLOOKUP(E4090,#REF!,1,FALSE())),"?TYPE_IDENTIFIABLE","?REFERENTIAL"),"_")))))</f>
        <v> </v>
      </c>
      <c r="H4090" s="24" t="str">
        <f>IF(J4090&lt;&gt;1,"",IF(I4090="SBJ","CB","?"))</f>
        <v> </v>
      </c>
      <c r="I4090" s="25" t="str">
        <f>IF(OR(E4090="",E4090="!!!",F4090="NEW"),"",INDEX(B4089:B$2,-1+SUMPRODUCT(MAX(ROW(E4089:E$2)*(E4090=E4089:E$2)))))</f>
        <v> </v>
      </c>
      <c r="J4090" s="25" t="str">
        <f>IF(OR(E4090="",E4090="!!!",F4090="NEW"),"",COUNTBLANK(OFFSET(A$1,,,SUMPRODUCT(MAX(ROW(E$2:E4090)*(E4090=E$2:E4090)))))-COUNTBLANK(OFFSET(A$1,,,SUMPRODUCT(MAX(ROW(E$1:E4089)*(E2=E$1:E4089))))))</f>
        <v> </v>
      </c>
      <c r="K4090" s="25" t="str">
        <f>IF(OR(E4090="",E4090="!!!",F4090="NEW"),"",INDEX(J$1:J4089,SUMPRODUCT(MAX(ROW(E$1:E4089)*(E4090=E$1:E4089)))))</f>
        <v> </v>
      </c>
      <c r="L4090" s="26"/>
    </row>
    <row r="4091" spans="1:12">
      <c r="A4091" s="20" t="s">
        <v>1616</v>
      </c>
      <c r="E4091" s="21">
        <f>IF(D4091="?OLD","!!!","")</f>
        <v/>
      </c>
      <c r="F4091" s="22" t="str">
        <f>IF(OR(E4091="",E4091="!!!"),"",IF(NOT(ISNA(VLOOKUP(E4091,E$1:E4090,1,FALSE()))),"OLD",IF(AND(E4091&lt;&gt;"",E4091&lt;&gt;"!!!"),"NEW","")))</f>
        <v> </v>
      </c>
      <c r="G4091" s="23" t="str">
        <f>IF(OR(E4091="",E4091="!!!"),"",IF(OR(J4091=0,AND(J4091=1,K4091=1),AND(J4091=1,I4091="SBJ"),AND(J4091=1,I4091=0)),"?IN_FOCUS",IF(J4091&lt;=2,"?ACTIVATED",IF(J4091&lt;&gt;"","?FAMILIAR",IF(F4091="NEW",IF(ISNA(VLOOKUP(E4091,#REF!,1,FALSE())),"?TYPE_IDENTIFIABLE","?REFERENTIAL"),"_")))))</f>
        <v> </v>
      </c>
      <c r="H4091" s="24" t="str">
        <f>IF(J4091&lt;&gt;1,"",IF(I4091="SBJ","CB","?"))</f>
        <v> </v>
      </c>
      <c r="I4091" s="25" t="str">
        <f>IF(OR(E4091="",E4091="!!!",F4091="NEW"),"",INDEX(B4090:B$2,-1+SUMPRODUCT(MAX(ROW(E4090:E$2)*(E4091=E4090:E$2)))))</f>
        <v> </v>
      </c>
      <c r="J4091" s="25" t="str">
        <f>IF(OR(E4091="",E4091="!!!",F4091="NEW"),"",COUNTBLANK(OFFSET(A$1,,,SUMPRODUCT(MAX(ROW(E$2:E4091)*(E4091=E$2:E4091)))))-COUNTBLANK(OFFSET(A$1,,,SUMPRODUCT(MAX(ROW(E$1:E4090)*(E2=E$1:E4090))))))</f>
        <v> </v>
      </c>
      <c r="K4091" s="25" t="str">
        <f>IF(OR(E4091="",E4091="!!!",F4091="NEW"),"",INDEX(J$1:J4090,SUMPRODUCT(MAX(ROW(E$1:E4090)*(E4091=E$1:E4090)))))</f>
        <v> </v>
      </c>
      <c r="L4091" s="26"/>
    </row>
    <row r="4092" spans="1:12">
      <c r="A4092" s="20" t="s">
        <v>2924</v>
      </c>
      <c r="E4092" s="21">
        <f>IF(D4092="?OLD","!!!","")</f>
        <v/>
      </c>
      <c r="F4092" s="22" t="str">
        <f>IF(OR(E4092="",E4092="!!!"),"",IF(NOT(ISNA(VLOOKUP(E4092,E$1:E4091,1,FALSE()))),"OLD",IF(AND(E4092&lt;&gt;"",E4092&lt;&gt;"!!!"),"NEW","")))</f>
        <v> </v>
      </c>
      <c r="G4092" s="23" t="str">
        <f>IF(OR(E4092="",E4092="!!!"),"",IF(OR(J4092=0,AND(J4092=1,K4092=1),AND(J4092=1,I4092="SBJ"),AND(J4092=1,I4092=0)),"?IN_FOCUS",IF(J4092&lt;=2,"?ACTIVATED",IF(J4092&lt;&gt;"","?FAMILIAR",IF(F4092="NEW",IF(ISNA(VLOOKUP(E4092,#REF!,1,FALSE())),"?TYPE_IDENTIFIABLE","?REFERENTIAL"),"_")))))</f>
        <v> </v>
      </c>
      <c r="H4092" s="24" t="str">
        <f>IF(J4092&lt;&gt;1,"",IF(I4092="SBJ","CB","?"))</f>
        <v> </v>
      </c>
      <c r="I4092" s="25" t="str">
        <f>IF(OR(E4092="",E4092="!!!",F4092="NEW"),"",INDEX(B4091:B$2,-1+SUMPRODUCT(MAX(ROW(E4091:E$2)*(E4092=E4091:E$2)))))</f>
        <v> </v>
      </c>
      <c r="J4092" s="25" t="str">
        <f>IF(OR(E4092="",E4092="!!!",F4092="NEW"),"",COUNTBLANK(OFFSET(A$1,,,SUMPRODUCT(MAX(ROW(E$2:E4092)*(E4092=E$2:E4092)))))-COUNTBLANK(OFFSET(A$1,,,SUMPRODUCT(MAX(ROW(E$1:E4091)*(E2=E$1:E4091))))))</f>
        <v> </v>
      </c>
      <c r="K4092" s="25" t="str">
        <f>IF(OR(E4092="",E4092="!!!",F4092="NEW"),"",INDEX(J$1:J4091,SUMPRODUCT(MAX(ROW(E$1:E4091)*(E4092=E$1:E4091)))))</f>
        <v> </v>
      </c>
      <c r="L4092" s="26"/>
    </row>
    <row r="4093" spans="1:12">
      <c r="A4093" s="20" t="s">
        <v>2925</v>
      </c>
      <c r="E4093" s="21">
        <f>IF(D4093="?OLD","!!!","")</f>
        <v/>
      </c>
      <c r="F4093" s="22" t="str">
        <f>IF(OR(E4093="",E4093="!!!"),"",IF(NOT(ISNA(VLOOKUP(E4093,E$1:E4092,1,FALSE()))),"OLD",IF(AND(E4093&lt;&gt;"",E4093&lt;&gt;"!!!"),"NEW","")))</f>
        <v> </v>
      </c>
      <c r="G4093" s="23" t="str">
        <f>IF(OR(E4093="",E4093="!!!"),"",IF(OR(J4093=0,AND(J4093=1,K4093=1),AND(J4093=1,I4093="SBJ"),AND(J4093=1,I4093=0)),"?IN_FOCUS",IF(J4093&lt;=2,"?ACTIVATED",IF(J4093&lt;&gt;"","?FAMILIAR",IF(F4093="NEW",IF(ISNA(VLOOKUP(E4093,#REF!,1,FALSE())),"?TYPE_IDENTIFIABLE","?REFERENTIAL"),"_")))))</f>
        <v> </v>
      </c>
      <c r="H4093" s="24" t="str">
        <f>IF(J4093&lt;&gt;1,"",IF(I4093="SBJ","CB","?"))</f>
        <v> </v>
      </c>
      <c r="I4093" s="25" t="str">
        <f>IF(OR(E4093="",E4093="!!!",F4093="NEW"),"",INDEX(B4092:B$2,-1+SUMPRODUCT(MAX(ROW(E4092:E$2)*(E4093=E4092:E$2)))))</f>
        <v> </v>
      </c>
      <c r="J4093" s="25" t="str">
        <f>IF(OR(E4093="",E4093="!!!",F4093="NEW"),"",COUNTBLANK(OFFSET(A$1,,,SUMPRODUCT(MAX(ROW(E$2:E4093)*(E4093=E$2:E4093)))))-COUNTBLANK(OFFSET(A$1,,,SUMPRODUCT(MAX(ROW(E$1:E4092)*(E2=E$1:E4092))))))</f>
        <v> </v>
      </c>
      <c r="K4093" s="25" t="str">
        <f>IF(OR(E4093="",E4093="!!!",F4093="NEW"),"",INDEX(J$1:J4092,SUMPRODUCT(MAX(ROW(E$1:E4092)*(E4093=E$1:E4092)))))</f>
        <v> </v>
      </c>
      <c r="L4093" s="26"/>
    </row>
    <row r="4094" spans="1:12">
      <c r="A4094" s="20" t="s">
        <v>1145</v>
      </c>
      <c r="E4094" s="21">
        <f>IF(D4094="?OLD","!!!","")</f>
        <v/>
      </c>
      <c r="F4094" s="22" t="str">
        <f>IF(OR(E4094="",E4094="!!!"),"",IF(NOT(ISNA(VLOOKUP(E4094,E$1:E4093,1,FALSE()))),"OLD",IF(AND(E4094&lt;&gt;"",E4094&lt;&gt;"!!!"),"NEW","")))</f>
        <v> </v>
      </c>
      <c r="G4094" s="23" t="str">
        <f>IF(OR(E4094="",E4094="!!!"),"",IF(OR(J4094=0,AND(J4094=1,K4094=1),AND(J4094=1,I4094="SBJ"),AND(J4094=1,I4094=0)),"?IN_FOCUS",IF(J4094&lt;=2,"?ACTIVATED",IF(J4094&lt;&gt;"","?FAMILIAR",IF(F4094="NEW",IF(ISNA(VLOOKUP(E4094,#REF!,1,FALSE())),"?TYPE_IDENTIFIABLE","?REFERENTIAL"),"_")))))</f>
        <v> </v>
      </c>
      <c r="H4094" s="24" t="str">
        <f>IF(J4094&lt;&gt;1,"",IF(I4094="SBJ","CB","?"))</f>
        <v> </v>
      </c>
      <c r="I4094" s="25" t="str">
        <f>IF(OR(E4094="",E4094="!!!",F4094="NEW"),"",INDEX(B4093:B$2,-1+SUMPRODUCT(MAX(ROW(E4093:E$2)*(E4094=E4093:E$2)))))</f>
        <v> </v>
      </c>
      <c r="J4094" s="25" t="str">
        <f>IF(OR(E4094="",E4094="!!!",F4094="NEW"),"",COUNTBLANK(OFFSET(A$1,,,SUMPRODUCT(MAX(ROW(E$2:E4094)*(E4094=E$2:E4094)))))-COUNTBLANK(OFFSET(A$1,,,SUMPRODUCT(MAX(ROW(E$1:E4093)*(E2=E$1:E4093))))))</f>
        <v> </v>
      </c>
      <c r="K4094" s="25" t="str">
        <f>IF(OR(E4094="",E4094="!!!",F4094="NEW"),"",INDEX(J$1:J4093,SUMPRODUCT(MAX(ROW(E$1:E4093)*(E4094=E$1:E4093)))))</f>
        <v> </v>
      </c>
      <c r="L4094" s="26"/>
    </row>
    <row r="4095" spans="1:12">
      <c r="A4095" s="20"/>
    </row>
    <row r="4096" spans="1:12">
      <c r="A4096" s="20" t="s">
        <v>2926</v>
      </c>
    </row>
    <row r="4097" spans="1:12">
      <c r="A4097" s="20" t="s">
        <v>1353</v>
      </c>
      <c r="B4097" s="27" t="s">
        <v>1149</v>
      </c>
      <c r="C4097" s="27" t="s">
        <v>1126</v>
      </c>
      <c r="D4097" s="27" t="s">
        <v>1105</v>
      </c>
      <c r="E4097" s="21">
        <f>IF(D4097="?OLD","!!!","")</f>
        <v/>
      </c>
      <c r="F4097" s="22" t="str">
        <f>IF(OR(E4097="",E4097="!!!"),"",IF(NOT(ISNA(VLOOKUP(E4097,E$1:E4096,1,FALSE()))),"OLD",IF(AND(E4097&lt;&gt;"",E4097&lt;&gt;"!!!"),"NEW","")))</f>
        <v> </v>
      </c>
      <c r="G4097" s="23" t="str">
        <f>IF(OR(E4097="",E4097="!!!"),"",IF(OR(J4097=0,AND(J4097=1,K4097=1),AND(J4097=1,I4097="SBJ"),AND(J4097=1,I4097=0)),"?IN_FOCUS",IF(J4097&lt;=2,"?ACTIVATED",IF(J4097&lt;&gt;"","?FAMILIAR",IF(F4097="NEW",IF(ISNA(VLOOKUP(E4097,#REF!,1,FALSE())),"?TYPE_IDENTIFIABLE","?REFERENTIAL"),"_")))))</f>
        <v> </v>
      </c>
      <c r="H4097" s="24" t="str">
        <f>IF(J4097&lt;&gt;1,"",IF(I4097="SBJ","CB","?"))</f>
        <v> </v>
      </c>
      <c r="I4097" s="25" t="str">
        <f>IF(OR(E4097="",E4097="!!!",F4097="NEW"),"",INDEX(B4096:B$2,-1+SUMPRODUCT(MAX(ROW(E4096:E$2)*(E4097=E4096:E$2)))))</f>
        <v> </v>
      </c>
      <c r="J4097" s="25" t="str">
        <f>IF(OR(E4097="",E4097="!!!",F4097="NEW"),"",COUNTBLANK(OFFSET(A$1,,,SUMPRODUCT(MAX(ROW(E$2:E4097)*(E4097=E$2:E4097)))))-COUNTBLANK(OFFSET(A$1,,,SUMPRODUCT(MAX(ROW(E$1:E4096)*(E2=E$1:E4096))))))</f>
        <v> </v>
      </c>
      <c r="K4097" s="25" t="str">
        <f>IF(OR(E4097="",E4097="!!!",F4097="NEW"),"",INDEX(J$1:J4096,SUMPRODUCT(MAX(ROW(E$1:E4096)*(E4097=E$1:E4096)))))</f>
        <v> </v>
      </c>
      <c r="L4097" s="26"/>
    </row>
    <row r="4098" spans="1:12">
      <c r="A4098" s="20" t="s">
        <v>2927</v>
      </c>
      <c r="E4098" s="21">
        <f>IF(D4098="?OLD","!!!","")</f>
        <v/>
      </c>
      <c r="F4098" s="22" t="str">
        <f>IF(OR(E4098="",E4098="!!!"),"",IF(NOT(ISNA(VLOOKUP(E4098,E$1:E4097,1,FALSE()))),"OLD",IF(AND(E4098&lt;&gt;"",E4098&lt;&gt;"!!!"),"NEW","")))</f>
        <v> </v>
      </c>
      <c r="G4098" s="23" t="str">
        <f>IF(OR(E4098="",E4098="!!!"),"",IF(OR(J4098=0,AND(J4098=1,K4098=1),AND(J4098=1,I4098="SBJ"),AND(J4098=1,I4098=0)),"?IN_FOCUS",IF(J4098&lt;=2,"?ACTIVATED",IF(J4098&lt;&gt;"","?FAMILIAR",IF(F4098="NEW",IF(ISNA(VLOOKUP(E4098,#REF!,1,FALSE())),"?TYPE_IDENTIFIABLE","?REFERENTIAL"),"_")))))</f>
        <v> </v>
      </c>
      <c r="H4098" s="24" t="str">
        <f>IF(J4098&lt;&gt;1,"",IF(I4098="SBJ","CB","?"))</f>
        <v> </v>
      </c>
      <c r="I4098" s="25" t="str">
        <f>IF(OR(E4098="",E4098="!!!",F4098="NEW"),"",INDEX(B4097:B$2,-1+SUMPRODUCT(MAX(ROW(E4097:E$2)*(E4098=E4097:E$2)))))</f>
        <v> </v>
      </c>
      <c r="J4098" s="25" t="str">
        <f>IF(OR(E4098="",E4098="!!!",F4098="NEW"),"",COUNTBLANK(OFFSET(A$1,,,SUMPRODUCT(MAX(ROW(E$2:E4098)*(E4098=E$2:E4098)))))-COUNTBLANK(OFFSET(A$1,,,SUMPRODUCT(MAX(ROW(E$1:E4097)*(E2=E$1:E4097))))))</f>
        <v> </v>
      </c>
      <c r="K4098" s="25" t="str">
        <f>IF(OR(E4098="",E4098="!!!",F4098="NEW"),"",INDEX(J$1:J4097,SUMPRODUCT(MAX(ROW(E$1:E4097)*(E4098=E$1:E4097)))))</f>
        <v> </v>
      </c>
      <c r="L4098" s="26"/>
    </row>
    <row r="4099" spans="1:12">
      <c r="A4099" s="20" t="s">
        <v>1123</v>
      </c>
      <c r="E4099" s="21">
        <f>IF(D4099="?OLD","!!!","")</f>
        <v/>
      </c>
      <c r="F4099" s="22" t="str">
        <f>IF(OR(E4099="",E4099="!!!"),"",IF(NOT(ISNA(VLOOKUP(E4099,E$1:E4098,1,FALSE()))),"OLD",IF(AND(E4099&lt;&gt;"",E4099&lt;&gt;"!!!"),"NEW","")))</f>
        <v> </v>
      </c>
      <c r="G4099" s="23" t="str">
        <f>IF(OR(E4099="",E4099="!!!"),"",IF(OR(J4099=0,AND(J4099=1,K4099=1),AND(J4099=1,I4099="SBJ"),AND(J4099=1,I4099=0)),"?IN_FOCUS",IF(J4099&lt;=2,"?ACTIVATED",IF(J4099&lt;&gt;"","?FAMILIAR",IF(F4099="NEW",IF(ISNA(VLOOKUP(E4099,#REF!,1,FALSE())),"?TYPE_IDENTIFIABLE","?REFERENTIAL"),"_")))))</f>
        <v> </v>
      </c>
      <c r="H4099" s="24" t="str">
        <f>IF(J4099&lt;&gt;1,"",IF(I4099="SBJ","CB","?"))</f>
        <v> </v>
      </c>
      <c r="I4099" s="25" t="str">
        <f>IF(OR(E4099="",E4099="!!!",F4099="NEW"),"",INDEX(B4098:B$2,-1+SUMPRODUCT(MAX(ROW(E4098:E$2)*(E4099=E4098:E$2)))))</f>
        <v> </v>
      </c>
      <c r="J4099" s="25" t="str">
        <f>IF(OR(E4099="",E4099="!!!",F4099="NEW"),"",COUNTBLANK(OFFSET(A$1,,,SUMPRODUCT(MAX(ROW(E$2:E4099)*(E4099=E$2:E4099)))))-COUNTBLANK(OFFSET(A$1,,,SUMPRODUCT(MAX(ROW(E$1:E4098)*(E2=E$1:E4098))))))</f>
        <v> </v>
      </c>
      <c r="K4099" s="25" t="str">
        <f>IF(OR(E4099="",E4099="!!!",F4099="NEW"),"",INDEX(J$1:J4098,SUMPRODUCT(MAX(ROW(E$1:E4098)*(E4099=E$1:E4098)))))</f>
        <v> </v>
      </c>
      <c r="L4099" s="26"/>
    </row>
    <row r="4100" spans="1:12">
      <c r="A4100" s="20" t="s">
        <v>135</v>
      </c>
      <c r="E4100" s="21">
        <f>IF(D4100="?OLD","!!!","")</f>
        <v/>
      </c>
      <c r="F4100" s="22" t="str">
        <f>IF(OR(E4100="",E4100="!!!"),"",IF(NOT(ISNA(VLOOKUP(E4100,E$1:E4099,1,FALSE()))),"OLD",IF(AND(E4100&lt;&gt;"",E4100&lt;&gt;"!!!"),"NEW","")))</f>
        <v> </v>
      </c>
      <c r="G4100" s="23" t="str">
        <f>IF(OR(E4100="",E4100="!!!"),"",IF(OR(J4100=0,AND(J4100=1,K4100=1),AND(J4100=1,I4100="SBJ"),AND(J4100=1,I4100=0)),"?IN_FOCUS",IF(J4100&lt;=2,"?ACTIVATED",IF(J4100&lt;&gt;"","?FAMILIAR",IF(F4100="NEW",IF(ISNA(VLOOKUP(E4100,#REF!,1,FALSE())),"?TYPE_IDENTIFIABLE","?REFERENTIAL"),"_")))))</f>
        <v> </v>
      </c>
      <c r="H4100" s="24" t="str">
        <f>IF(J4100&lt;&gt;1,"",IF(I4100="SBJ","CB","?"))</f>
        <v> </v>
      </c>
      <c r="I4100" s="25" t="str">
        <f>IF(OR(E4100="",E4100="!!!",F4100="NEW"),"",INDEX(B4099:B$2,-1+SUMPRODUCT(MAX(ROW(E4099:E$2)*(E4100=E4099:E$2)))))</f>
        <v> </v>
      </c>
      <c r="J4100" s="25" t="str">
        <f>IF(OR(E4100="",E4100="!!!",F4100="NEW"),"",COUNTBLANK(OFFSET(A$1,,,SUMPRODUCT(MAX(ROW(E$2:E4100)*(E4100=E$2:E4100)))))-COUNTBLANK(OFFSET(A$1,,,SUMPRODUCT(MAX(ROW(E$1:E4099)*(E2=E$1:E4099))))))</f>
        <v> </v>
      </c>
      <c r="K4100" s="25" t="str">
        <f>IF(OR(E4100="",E4100="!!!",F4100="NEW"),"",INDEX(J$1:J4099,SUMPRODUCT(MAX(ROW(E$1:E4099)*(E4100=E$1:E4099)))))</f>
        <v> </v>
      </c>
      <c r="L4100" s="26"/>
    </row>
    <row r="4101" spans="1:12">
      <c r="A4101" s="20" t="s">
        <v>1474</v>
      </c>
      <c r="B4101" s="27" t="s">
        <v>1122</v>
      </c>
      <c r="C4101" s="27" t="s">
        <v>1126</v>
      </c>
      <c r="D4101" s="27" t="s">
        <v>1105</v>
      </c>
      <c r="E4101" s="21">
        <f>IF(D4101="?OLD","!!!","")</f>
        <v/>
      </c>
      <c r="F4101" s="22" t="str">
        <f>IF(OR(E4101="",E4101="!!!"),"",IF(NOT(ISNA(VLOOKUP(E4101,E$1:E4100,1,FALSE()))),"OLD",IF(AND(E4101&lt;&gt;"",E4101&lt;&gt;"!!!"),"NEW","")))</f>
        <v> </v>
      </c>
      <c r="G4101" s="23" t="str">
        <f>IF(OR(E4101="",E4101="!!!"),"",IF(OR(J4101=0,AND(J4101=1,K4101=1),AND(J4101=1,I4101="SBJ"),AND(J4101=1,I4101=0)),"?IN_FOCUS",IF(J4101&lt;=2,"?ACTIVATED",IF(J4101&lt;&gt;"","?FAMILIAR",IF(F4101="NEW",IF(ISNA(VLOOKUP(E4101,#REF!,1,FALSE())),"?TYPE_IDENTIFIABLE","?REFERENTIAL"),"_")))))</f>
        <v> </v>
      </c>
      <c r="H4101" s="24" t="str">
        <f>IF(J4101&lt;&gt;1,"",IF(I4101="SBJ","CB","?"))</f>
        <v> </v>
      </c>
      <c r="I4101" s="25" t="str">
        <f>IF(OR(E4101="",E4101="!!!",F4101="NEW"),"",INDEX(B4100:B$2,-1+SUMPRODUCT(MAX(ROW(E4100:E$2)*(E4101=E4100:E$2)))))</f>
        <v> </v>
      </c>
      <c r="J4101" s="25" t="str">
        <f>IF(OR(E4101="",E4101="!!!",F4101="NEW"),"",COUNTBLANK(OFFSET(A$1,,,SUMPRODUCT(MAX(ROW(E$2:E4101)*(E4101=E$2:E4101)))))-COUNTBLANK(OFFSET(A$1,,,SUMPRODUCT(MAX(ROW(E$1:E4100)*(E2=E$1:E4100))))))</f>
        <v> </v>
      </c>
      <c r="K4101" s="25" t="str">
        <f>IF(OR(E4101="",E4101="!!!",F4101="NEW"),"",INDEX(J$1:J4100,SUMPRODUCT(MAX(ROW(E$1:E4100)*(E4101=E$1:E4100)))))</f>
        <v> </v>
      </c>
      <c r="L4101" s="26"/>
    </row>
    <row r="4102" spans="1:12">
      <c r="A4102" s="20" t="s">
        <v>2928</v>
      </c>
      <c r="E4102" s="21">
        <f>IF(D4102="?OLD","!!!","")</f>
        <v/>
      </c>
      <c r="F4102" s="22" t="str">
        <f>IF(OR(E4102="",E4102="!!!"),"",IF(NOT(ISNA(VLOOKUP(E4102,E$1:E4101,1,FALSE()))),"OLD",IF(AND(E4102&lt;&gt;"",E4102&lt;&gt;"!!!"),"NEW","")))</f>
        <v> </v>
      </c>
      <c r="G4102" s="23" t="str">
        <f>IF(OR(E4102="",E4102="!!!"),"",IF(OR(J4102=0,AND(J4102=1,K4102=1),AND(J4102=1,I4102="SBJ"),AND(J4102=1,I4102=0)),"?IN_FOCUS",IF(J4102&lt;=2,"?ACTIVATED",IF(J4102&lt;&gt;"","?FAMILIAR",IF(F4102="NEW",IF(ISNA(VLOOKUP(E4102,#REF!,1,FALSE())),"?TYPE_IDENTIFIABLE","?REFERENTIAL"),"_")))))</f>
        <v> </v>
      </c>
      <c r="H4102" s="24" t="str">
        <f>IF(J4102&lt;&gt;1,"",IF(I4102="SBJ","CB","?"))</f>
        <v> </v>
      </c>
      <c r="I4102" s="25" t="str">
        <f>IF(OR(E4102="",E4102="!!!",F4102="NEW"),"",INDEX(B4101:B$2,-1+SUMPRODUCT(MAX(ROW(E4101:E$2)*(E4102=E4101:E$2)))))</f>
        <v> </v>
      </c>
      <c r="J4102" s="25" t="str">
        <f>IF(OR(E4102="",E4102="!!!",F4102="NEW"),"",COUNTBLANK(OFFSET(A$1,,,SUMPRODUCT(MAX(ROW(E$2:E4102)*(E4102=E$2:E4102)))))-COUNTBLANK(OFFSET(A$1,,,SUMPRODUCT(MAX(ROW(E$1:E4101)*(E2=E$1:E4101))))))</f>
        <v> </v>
      </c>
      <c r="K4102" s="25" t="str">
        <f>IF(OR(E4102="",E4102="!!!",F4102="NEW"),"",INDEX(J$1:J4101,SUMPRODUCT(MAX(ROW(E$1:E4101)*(E4102=E$1:E4101)))))</f>
        <v> </v>
      </c>
      <c r="L4102" s="26"/>
    </row>
    <row r="4103" spans="1:12">
      <c r="A4103" s="20" t="s">
        <v>1249</v>
      </c>
      <c r="E4103" s="21">
        <f>IF(D4103="?OLD","!!!","")</f>
        <v/>
      </c>
      <c r="F4103" s="22" t="str">
        <f>IF(OR(E4103="",E4103="!!!"),"",IF(NOT(ISNA(VLOOKUP(E4103,E$1:E4102,1,FALSE()))),"OLD",IF(AND(E4103&lt;&gt;"",E4103&lt;&gt;"!!!"),"NEW","")))</f>
        <v> </v>
      </c>
      <c r="G4103" s="23" t="str">
        <f>IF(OR(E4103="",E4103="!!!"),"",IF(OR(J4103=0,AND(J4103=1,K4103=1),AND(J4103=1,I4103="SBJ"),AND(J4103=1,I4103=0)),"?IN_FOCUS",IF(J4103&lt;=2,"?ACTIVATED",IF(J4103&lt;&gt;"","?FAMILIAR",IF(F4103="NEW",IF(ISNA(VLOOKUP(E4103,#REF!,1,FALSE())),"?TYPE_IDENTIFIABLE","?REFERENTIAL"),"_")))))</f>
        <v> </v>
      </c>
      <c r="H4103" s="24" t="str">
        <f>IF(J4103&lt;&gt;1,"",IF(I4103="SBJ","CB","?"))</f>
        <v> </v>
      </c>
      <c r="I4103" s="25" t="str">
        <f>IF(OR(E4103="",E4103="!!!",F4103="NEW"),"",INDEX(B4102:B$2,-1+SUMPRODUCT(MAX(ROW(E4102:E$2)*(E4103=E4102:E$2)))))</f>
        <v> </v>
      </c>
      <c r="J4103" s="25" t="str">
        <f>IF(OR(E4103="",E4103="!!!",F4103="NEW"),"",COUNTBLANK(OFFSET(A$1,,,SUMPRODUCT(MAX(ROW(E$2:E4103)*(E4103=E$2:E4103)))))-COUNTBLANK(OFFSET(A$1,,,SUMPRODUCT(MAX(ROW(E$1:E4102)*(E2=E$1:E4102))))))</f>
        <v> </v>
      </c>
      <c r="K4103" s="25" t="str">
        <f>IF(OR(E4103="",E4103="!!!",F4103="NEW"),"",INDEX(J$1:J4102,SUMPRODUCT(MAX(ROW(E$1:E4102)*(E4103=E$1:E4102)))))</f>
        <v> </v>
      </c>
      <c r="L4103" s="26"/>
    </row>
    <row r="4104" spans="1:12">
      <c r="A4104" s="20" t="s">
        <v>2035</v>
      </c>
      <c r="E4104" s="21">
        <f>IF(D4104="?OLD","!!!","")</f>
        <v/>
      </c>
      <c r="F4104" s="22" t="str">
        <f>IF(OR(E4104="",E4104="!!!"),"",IF(NOT(ISNA(VLOOKUP(E4104,E$1:E4103,1,FALSE()))),"OLD",IF(AND(E4104&lt;&gt;"",E4104&lt;&gt;"!!!"),"NEW","")))</f>
        <v> </v>
      </c>
      <c r="G4104" s="23" t="str">
        <f>IF(OR(E4104="",E4104="!!!"),"",IF(OR(J4104=0,AND(J4104=1,K4104=1),AND(J4104=1,I4104="SBJ"),AND(J4104=1,I4104=0)),"?IN_FOCUS",IF(J4104&lt;=2,"?ACTIVATED",IF(J4104&lt;&gt;"","?FAMILIAR",IF(F4104="NEW",IF(ISNA(VLOOKUP(E4104,#REF!,1,FALSE())),"?TYPE_IDENTIFIABLE","?REFERENTIAL"),"_")))))</f>
        <v> </v>
      </c>
      <c r="H4104" s="24" t="str">
        <f>IF(J4104&lt;&gt;1,"",IF(I4104="SBJ","CB","?"))</f>
        <v> </v>
      </c>
      <c r="I4104" s="25" t="str">
        <f>IF(OR(E4104="",E4104="!!!",F4104="NEW"),"",INDEX(B4103:B$2,-1+SUMPRODUCT(MAX(ROW(E4103:E$2)*(E4104=E4103:E$2)))))</f>
        <v> </v>
      </c>
      <c r="J4104" s="25" t="str">
        <f>IF(OR(E4104="",E4104="!!!",F4104="NEW"),"",COUNTBLANK(OFFSET(A$1,,,SUMPRODUCT(MAX(ROW(E$2:E4104)*(E4104=E$2:E4104)))))-COUNTBLANK(OFFSET(A$1,,,SUMPRODUCT(MAX(ROW(E$1:E4103)*(E2=E$1:E4103))))))</f>
        <v> </v>
      </c>
      <c r="K4104" s="25" t="str">
        <f>IF(OR(E4104="",E4104="!!!",F4104="NEW"),"",INDEX(J$1:J4103,SUMPRODUCT(MAX(ROW(E$1:E4103)*(E4104=E$1:E4103)))))</f>
        <v> </v>
      </c>
      <c r="L4104" s="26"/>
    </row>
    <row r="4105" spans="1:12">
      <c r="A4105" s="20" t="s">
        <v>2929</v>
      </c>
      <c r="E4105" s="21">
        <f>IF(D4105="?OLD","!!!","")</f>
        <v/>
      </c>
      <c r="F4105" s="22" t="str">
        <f>IF(OR(E4105="",E4105="!!!"),"",IF(NOT(ISNA(VLOOKUP(E4105,E$1:E4104,1,FALSE()))),"OLD",IF(AND(E4105&lt;&gt;"",E4105&lt;&gt;"!!!"),"NEW","")))</f>
        <v> </v>
      </c>
      <c r="G4105" s="23" t="str">
        <f>IF(OR(E4105="",E4105="!!!"),"",IF(OR(J4105=0,AND(J4105=1,K4105=1),AND(J4105=1,I4105="SBJ"),AND(J4105=1,I4105=0)),"?IN_FOCUS",IF(J4105&lt;=2,"?ACTIVATED",IF(J4105&lt;&gt;"","?FAMILIAR",IF(F4105="NEW",IF(ISNA(VLOOKUP(E4105,#REF!,1,FALSE())),"?TYPE_IDENTIFIABLE","?REFERENTIAL"),"_")))))</f>
        <v> </v>
      </c>
      <c r="H4105" s="24" t="str">
        <f>IF(J4105&lt;&gt;1,"",IF(I4105="SBJ","CB","?"))</f>
        <v> </v>
      </c>
      <c r="I4105" s="25" t="str">
        <f>IF(OR(E4105="",E4105="!!!",F4105="NEW"),"",INDEX(B4104:B$2,-1+SUMPRODUCT(MAX(ROW(E4104:E$2)*(E4105=E4104:E$2)))))</f>
        <v> </v>
      </c>
      <c r="J4105" s="25" t="str">
        <f>IF(OR(E4105="",E4105="!!!",F4105="NEW"),"",COUNTBLANK(OFFSET(A$1,,,SUMPRODUCT(MAX(ROW(E$2:E4105)*(E4105=E$2:E4105)))))-COUNTBLANK(OFFSET(A$1,,,SUMPRODUCT(MAX(ROW(E$1:E4104)*(E2=E$1:E4104))))))</f>
        <v> </v>
      </c>
      <c r="K4105" s="25" t="str">
        <f>IF(OR(E4105="",E4105="!!!",F4105="NEW"),"",INDEX(J$1:J4104,SUMPRODUCT(MAX(ROW(E$1:E4104)*(E4105=E$1:E4104)))))</f>
        <v> </v>
      </c>
      <c r="L4105" s="26"/>
    </row>
    <row r="4106" spans="1:12">
      <c r="A4106" s="20" t="s">
        <v>2453</v>
      </c>
      <c r="E4106" s="21">
        <f>IF(D4106="?OLD","!!!","")</f>
        <v/>
      </c>
      <c r="F4106" s="22" t="str">
        <f>IF(OR(E4106="",E4106="!!!"),"",IF(NOT(ISNA(VLOOKUP(E4106,E$1:E4105,1,FALSE()))),"OLD",IF(AND(E4106&lt;&gt;"",E4106&lt;&gt;"!!!"),"NEW","")))</f>
        <v> </v>
      </c>
      <c r="G4106" s="23" t="str">
        <f>IF(OR(E4106="",E4106="!!!"),"",IF(OR(J4106=0,AND(J4106=1,K4106=1),AND(J4106=1,I4106="SBJ"),AND(J4106=1,I4106=0)),"?IN_FOCUS",IF(J4106&lt;=2,"?ACTIVATED",IF(J4106&lt;&gt;"","?FAMILIAR",IF(F4106="NEW",IF(ISNA(VLOOKUP(E4106,#REF!,1,FALSE())),"?TYPE_IDENTIFIABLE","?REFERENTIAL"),"_")))))</f>
        <v> </v>
      </c>
      <c r="H4106" s="24" t="str">
        <f>IF(J4106&lt;&gt;1,"",IF(I4106="SBJ","CB","?"))</f>
        <v> </v>
      </c>
      <c r="I4106" s="25" t="str">
        <f>IF(OR(E4106="",E4106="!!!",F4106="NEW"),"",INDEX(B4105:B$2,-1+SUMPRODUCT(MAX(ROW(E4105:E$2)*(E4106=E4105:E$2)))))</f>
        <v> </v>
      </c>
      <c r="J4106" s="25" t="str">
        <f>IF(OR(E4106="",E4106="!!!",F4106="NEW"),"",COUNTBLANK(OFFSET(A$1,,,SUMPRODUCT(MAX(ROW(E$2:E4106)*(E4106=E$2:E4106)))))-COUNTBLANK(OFFSET(A$1,,,SUMPRODUCT(MAX(ROW(E$1:E4105)*(E2=E$1:E4105))))))</f>
        <v> </v>
      </c>
      <c r="K4106" s="25" t="str">
        <f>IF(OR(E4106="",E4106="!!!",F4106="NEW"),"",INDEX(J$1:J4105,SUMPRODUCT(MAX(ROW(E$1:E4105)*(E4106=E$1:E4105)))))</f>
        <v> </v>
      </c>
      <c r="L4106" s="26"/>
    </row>
    <row r="4107" spans="1:12">
      <c r="A4107" s="20" t="s">
        <v>1123</v>
      </c>
      <c r="E4107" s="21">
        <f>IF(D4107="?OLD","!!!","")</f>
        <v/>
      </c>
      <c r="F4107" s="22" t="str">
        <f>IF(OR(E4107="",E4107="!!!"),"",IF(NOT(ISNA(VLOOKUP(E4107,E$1:E4106,1,FALSE()))),"OLD",IF(AND(E4107&lt;&gt;"",E4107&lt;&gt;"!!!"),"NEW","")))</f>
        <v> </v>
      </c>
      <c r="G4107" s="23" t="str">
        <f>IF(OR(E4107="",E4107="!!!"),"",IF(OR(J4107=0,AND(J4107=1,K4107=1),AND(J4107=1,I4107="SBJ"),AND(J4107=1,I4107=0)),"?IN_FOCUS",IF(J4107&lt;=2,"?ACTIVATED",IF(J4107&lt;&gt;"","?FAMILIAR",IF(F4107="NEW",IF(ISNA(VLOOKUP(E4107,#REF!,1,FALSE())),"?TYPE_IDENTIFIABLE","?REFERENTIAL"),"_")))))</f>
        <v> </v>
      </c>
      <c r="H4107" s="24" t="str">
        <f>IF(J4107&lt;&gt;1,"",IF(I4107="SBJ","CB","?"))</f>
        <v> </v>
      </c>
      <c r="I4107" s="25" t="str">
        <f>IF(OR(E4107="",E4107="!!!",F4107="NEW"),"",INDEX(B4106:B$2,-1+SUMPRODUCT(MAX(ROW(E4106:E$2)*(E4107=E4106:E$2)))))</f>
        <v> </v>
      </c>
      <c r="J4107" s="25" t="str">
        <f>IF(OR(E4107="",E4107="!!!",F4107="NEW"),"",COUNTBLANK(OFFSET(A$1,,,SUMPRODUCT(MAX(ROW(E$2:E4107)*(E4107=E$2:E4107)))))-COUNTBLANK(OFFSET(A$1,,,SUMPRODUCT(MAX(ROW(E$1:E4106)*(E2=E$1:E4106))))))</f>
        <v> </v>
      </c>
      <c r="K4107" s="25" t="str">
        <f>IF(OR(E4107="",E4107="!!!",F4107="NEW"),"",INDEX(J$1:J4106,SUMPRODUCT(MAX(ROW(E$1:E4106)*(E4107=E$1:E4106)))))</f>
        <v> </v>
      </c>
      <c r="L4107" s="26"/>
    </row>
    <row r="4108" spans="1:12">
      <c r="A4108" s="20" t="s">
        <v>2930</v>
      </c>
      <c r="E4108" s="21">
        <f>IF(D4108="?OLD","!!!","")</f>
        <v/>
      </c>
      <c r="F4108" s="22" t="str">
        <f>IF(OR(E4108="",E4108="!!!"),"",IF(NOT(ISNA(VLOOKUP(E4108,E$1:E4107,1,FALSE()))),"OLD",IF(AND(E4108&lt;&gt;"",E4108&lt;&gt;"!!!"),"NEW","")))</f>
        <v> </v>
      </c>
      <c r="G4108" s="23" t="str">
        <f>IF(OR(E4108="",E4108="!!!"),"",IF(OR(J4108=0,AND(J4108=1,K4108=1),AND(J4108=1,I4108="SBJ"),AND(J4108=1,I4108=0)),"?IN_FOCUS",IF(J4108&lt;=2,"?ACTIVATED",IF(J4108&lt;&gt;"","?FAMILIAR",IF(F4108="NEW",IF(ISNA(VLOOKUP(E4108,#REF!,1,FALSE())),"?TYPE_IDENTIFIABLE","?REFERENTIAL"),"_")))))</f>
        <v> </v>
      </c>
      <c r="H4108" s="24" t="str">
        <f>IF(J4108&lt;&gt;1,"",IF(I4108="SBJ","CB","?"))</f>
        <v> </v>
      </c>
      <c r="I4108" s="25" t="str">
        <f>IF(OR(E4108="",E4108="!!!",F4108="NEW"),"",INDEX(B4107:B$2,-1+SUMPRODUCT(MAX(ROW(E4107:E$2)*(E4108=E4107:E$2)))))</f>
        <v> </v>
      </c>
      <c r="J4108" s="25" t="str">
        <f>IF(OR(E4108="",E4108="!!!",F4108="NEW"),"",COUNTBLANK(OFFSET(A$1,,,SUMPRODUCT(MAX(ROW(E$2:E4108)*(E4108=E$2:E4108)))))-COUNTBLANK(OFFSET(A$1,,,SUMPRODUCT(MAX(ROW(E$1:E4107)*(E2=E$1:E4107))))))</f>
        <v> </v>
      </c>
      <c r="K4108" s="25" t="str">
        <f>IF(OR(E4108="",E4108="!!!",F4108="NEW"),"",INDEX(J$1:J4107,SUMPRODUCT(MAX(ROW(E$1:E4107)*(E4108=E$1:E4107)))))</f>
        <v> </v>
      </c>
      <c r="L4108" s="26"/>
    </row>
    <row r="4109" spans="1:12">
      <c r="A4109" s="20" t="s">
        <v>1206</v>
      </c>
      <c r="E4109" s="21">
        <f>IF(D4109="?OLD","!!!","")</f>
        <v/>
      </c>
      <c r="F4109" s="22" t="str">
        <f>IF(OR(E4109="",E4109="!!!"),"",IF(NOT(ISNA(VLOOKUP(E4109,E$1:E4108,1,FALSE()))),"OLD",IF(AND(E4109&lt;&gt;"",E4109&lt;&gt;"!!!"),"NEW","")))</f>
        <v> </v>
      </c>
      <c r="G4109" s="23" t="str">
        <f>IF(OR(E4109="",E4109="!!!"),"",IF(OR(J4109=0,AND(J4109=1,K4109=1),AND(J4109=1,I4109="SBJ"),AND(J4109=1,I4109=0)),"?IN_FOCUS",IF(J4109&lt;=2,"?ACTIVATED",IF(J4109&lt;&gt;"","?FAMILIAR",IF(F4109="NEW",IF(ISNA(VLOOKUP(E4109,#REF!,1,FALSE())),"?TYPE_IDENTIFIABLE","?REFERENTIAL"),"_")))))</f>
        <v> </v>
      </c>
      <c r="H4109" s="24" t="str">
        <f>IF(J4109&lt;&gt;1,"",IF(I4109="SBJ","CB","?"))</f>
        <v> </v>
      </c>
      <c r="I4109" s="25" t="str">
        <f>IF(OR(E4109="",E4109="!!!",F4109="NEW"),"",INDEX(B4108:B$2,-1+SUMPRODUCT(MAX(ROW(E4108:E$2)*(E4109=E4108:E$2)))))</f>
        <v> </v>
      </c>
      <c r="J4109" s="25" t="str">
        <f>IF(OR(E4109="",E4109="!!!",F4109="NEW"),"",COUNTBLANK(OFFSET(A$1,,,SUMPRODUCT(MAX(ROW(E$2:E4109)*(E4109=E$2:E4109)))))-COUNTBLANK(OFFSET(A$1,,,SUMPRODUCT(MAX(ROW(E$1:E4108)*(E2=E$1:E4108))))))</f>
        <v> </v>
      </c>
      <c r="K4109" s="25" t="str">
        <f>IF(OR(E4109="",E4109="!!!",F4109="NEW"),"",INDEX(J$1:J4108,SUMPRODUCT(MAX(ROW(E$1:E4108)*(E4109=E$1:E4108)))))</f>
        <v> </v>
      </c>
      <c r="L4109" s="26"/>
    </row>
    <row r="4110" spans="1:12">
      <c r="A4110" s="20" t="s">
        <v>2931</v>
      </c>
      <c r="B4110" s="27" t="s">
        <v>1122</v>
      </c>
      <c r="C4110" s="27" t="s">
        <v>1210</v>
      </c>
      <c r="E4110" s="21">
        <f>IF(D4110="?OLD","!!!","")</f>
        <v/>
      </c>
      <c r="F4110" s="22" t="str">
        <f>IF(OR(E4110="",E4110="!!!"),"",IF(NOT(ISNA(VLOOKUP(E4110,E$1:E4109,1,FALSE()))),"OLD",IF(AND(E4110&lt;&gt;"",E4110&lt;&gt;"!!!"),"NEW","")))</f>
        <v> </v>
      </c>
      <c r="G4110" s="23" t="str">
        <f>IF(OR(E4110="",E4110="!!!"),"",IF(OR(J4110=0,AND(J4110=1,K4110=1),AND(J4110=1,I4110="SBJ"),AND(J4110=1,I4110=0)),"?IN_FOCUS",IF(J4110&lt;=2,"?ACTIVATED",IF(J4110&lt;&gt;"","?FAMILIAR",IF(F4110="NEW",IF(ISNA(VLOOKUP(E4110,#REF!,1,FALSE())),"?TYPE_IDENTIFIABLE","?REFERENTIAL"),"_")))))</f>
        <v> </v>
      </c>
      <c r="H4110" s="24" t="str">
        <f>IF(J4110&lt;&gt;1,"",IF(I4110="SBJ","CB","?"))</f>
        <v> </v>
      </c>
      <c r="I4110" s="25" t="str">
        <f>IF(OR(E4110="",E4110="!!!",F4110="NEW"),"",INDEX(B4109:B$2,-1+SUMPRODUCT(MAX(ROW(E4109:E$2)*(E4110=E4109:E$2)))))</f>
        <v> </v>
      </c>
      <c r="J4110" s="25" t="str">
        <f>IF(OR(E4110="",E4110="!!!",F4110="NEW"),"",COUNTBLANK(OFFSET(A$1,,,SUMPRODUCT(MAX(ROW(E$2:E4110)*(E4110=E$2:E4110)))))-COUNTBLANK(OFFSET(A$1,,,SUMPRODUCT(MAX(ROW(E$1:E4109)*(E2=E$1:E4109))))))</f>
        <v> </v>
      </c>
      <c r="K4110" s="25" t="str">
        <f>IF(OR(E4110="",E4110="!!!",F4110="NEW"),"",INDEX(J$1:J4109,SUMPRODUCT(MAX(ROW(E$1:E4109)*(E4110=E$1:E4109)))))</f>
        <v> </v>
      </c>
      <c r="L4110" s="26"/>
    </row>
    <row r="4111" spans="1:12">
      <c r="A4111" s="20" t="s">
        <v>1218</v>
      </c>
      <c r="E4111" s="21">
        <f>IF(D4111="?OLD","!!!","")</f>
        <v/>
      </c>
      <c r="F4111" s="22" t="str">
        <f>IF(OR(E4111="",E4111="!!!"),"",IF(NOT(ISNA(VLOOKUP(E4111,E$1:E4110,1,FALSE()))),"OLD",IF(AND(E4111&lt;&gt;"",E4111&lt;&gt;"!!!"),"NEW","")))</f>
        <v> </v>
      </c>
      <c r="G4111" s="23" t="str">
        <f>IF(OR(E4111="",E4111="!!!"),"",IF(OR(J4111=0,AND(J4111=1,K4111=1),AND(J4111=1,I4111="SBJ"),AND(J4111=1,I4111=0)),"?IN_FOCUS",IF(J4111&lt;=2,"?ACTIVATED",IF(J4111&lt;&gt;"","?FAMILIAR",IF(F4111="NEW",IF(ISNA(VLOOKUP(E4111,#REF!,1,FALSE())),"?TYPE_IDENTIFIABLE","?REFERENTIAL"),"_")))))</f>
        <v> </v>
      </c>
      <c r="H4111" s="24" t="str">
        <f>IF(J4111&lt;&gt;1,"",IF(I4111="SBJ","CB","?"))</f>
        <v> </v>
      </c>
      <c r="I4111" s="25" t="str">
        <f>IF(OR(E4111="",E4111="!!!",F4111="NEW"),"",INDEX(B4110:B$2,-1+SUMPRODUCT(MAX(ROW(E4110:E$2)*(E4111=E4110:E$2)))))</f>
        <v> </v>
      </c>
      <c r="J4111" s="25" t="str">
        <f>IF(OR(E4111="",E4111="!!!",F4111="NEW"),"",COUNTBLANK(OFFSET(A$1,,,SUMPRODUCT(MAX(ROW(E$2:E4111)*(E4111=E$2:E4111)))))-COUNTBLANK(OFFSET(A$1,,,SUMPRODUCT(MAX(ROW(E$1:E4110)*(E2=E$1:E4110))))))</f>
        <v> </v>
      </c>
      <c r="K4111" s="25" t="str">
        <f>IF(OR(E4111="",E4111="!!!",F4111="NEW"),"",INDEX(J$1:J4110,SUMPRODUCT(MAX(ROW(E$1:E4110)*(E4111=E$1:E4110)))))</f>
        <v> </v>
      </c>
      <c r="L4111" s="26"/>
    </row>
    <row r="4112" spans="1:12">
      <c r="A4112" s="20" t="s">
        <v>2932</v>
      </c>
      <c r="E4112" s="21">
        <f>IF(D4112="?OLD","!!!","")</f>
        <v/>
      </c>
      <c r="F4112" s="22" t="str">
        <f>IF(OR(E4112="",E4112="!!!"),"",IF(NOT(ISNA(VLOOKUP(E4112,E$1:E4111,1,FALSE()))),"OLD",IF(AND(E4112&lt;&gt;"",E4112&lt;&gt;"!!!"),"NEW","")))</f>
        <v> </v>
      </c>
      <c r="G4112" s="23" t="str">
        <f>IF(OR(E4112="",E4112="!!!"),"",IF(OR(J4112=0,AND(J4112=1,K4112=1),AND(J4112=1,I4112="SBJ"),AND(J4112=1,I4112=0)),"?IN_FOCUS",IF(J4112&lt;=2,"?ACTIVATED",IF(J4112&lt;&gt;"","?FAMILIAR",IF(F4112="NEW",IF(ISNA(VLOOKUP(E4112,#REF!,1,FALSE())),"?TYPE_IDENTIFIABLE","?REFERENTIAL"),"_")))))</f>
        <v> </v>
      </c>
      <c r="H4112" s="24" t="str">
        <f>IF(J4112&lt;&gt;1,"",IF(I4112="SBJ","CB","?"))</f>
        <v> </v>
      </c>
      <c r="I4112" s="25" t="str">
        <f>IF(OR(E4112="",E4112="!!!",F4112="NEW"),"",INDEX(B4111:B$2,-1+SUMPRODUCT(MAX(ROW(E4111:E$2)*(E4112=E4111:E$2)))))</f>
        <v> </v>
      </c>
      <c r="J4112" s="25" t="str">
        <f>IF(OR(E4112="",E4112="!!!",F4112="NEW"),"",COUNTBLANK(OFFSET(A$1,,,SUMPRODUCT(MAX(ROW(E$2:E4112)*(E4112=E$2:E4112)))))-COUNTBLANK(OFFSET(A$1,,,SUMPRODUCT(MAX(ROW(E$1:E4111)*(E2=E$1:E4111))))))</f>
        <v> </v>
      </c>
      <c r="K4112" s="25" t="str">
        <f>IF(OR(E4112="",E4112="!!!",F4112="NEW"),"",INDEX(J$1:J4111,SUMPRODUCT(MAX(ROW(E$1:E4111)*(E4112=E$1:E4111)))))</f>
        <v> </v>
      </c>
      <c r="L4112" s="26"/>
    </row>
    <row r="4113" spans="1:12">
      <c r="A4113" s="20" t="s">
        <v>1145</v>
      </c>
      <c r="E4113" s="21">
        <f>IF(D4113="?OLD","!!!","")</f>
        <v/>
      </c>
      <c r="F4113" s="22" t="str">
        <f>IF(OR(E4113="",E4113="!!!"),"",IF(NOT(ISNA(VLOOKUP(E4113,E$1:E4112,1,FALSE()))),"OLD",IF(AND(E4113&lt;&gt;"",E4113&lt;&gt;"!!!"),"NEW","")))</f>
        <v> </v>
      </c>
      <c r="G4113" s="23" t="str">
        <f>IF(OR(E4113="",E4113="!!!"),"",IF(OR(J4113=0,AND(J4113=1,K4113=1),AND(J4113=1,I4113="SBJ"),AND(J4113=1,I4113=0)),"?IN_FOCUS",IF(J4113&lt;=2,"?ACTIVATED",IF(J4113&lt;&gt;"","?FAMILIAR",IF(F4113="NEW",IF(ISNA(VLOOKUP(E4113,#REF!,1,FALSE())),"?TYPE_IDENTIFIABLE","?REFERENTIAL"),"_")))))</f>
        <v> </v>
      </c>
      <c r="H4113" s="24" t="str">
        <f>IF(J4113&lt;&gt;1,"",IF(I4113="SBJ","CB","?"))</f>
        <v> </v>
      </c>
      <c r="I4113" s="25" t="str">
        <f>IF(OR(E4113="",E4113="!!!",F4113="NEW"),"",INDEX(B4112:B$2,-1+SUMPRODUCT(MAX(ROW(E4112:E$2)*(E4113=E4112:E$2)))))</f>
        <v> </v>
      </c>
      <c r="J4113" s="25" t="str">
        <f>IF(OR(E4113="",E4113="!!!",F4113="NEW"),"",COUNTBLANK(OFFSET(A$1,,,SUMPRODUCT(MAX(ROW(E$2:E4113)*(E4113=E$2:E4113)))))-COUNTBLANK(OFFSET(A$1,,,SUMPRODUCT(MAX(ROW(E$1:E4112)*(E2=E$1:E4112))))))</f>
        <v> </v>
      </c>
      <c r="K4113" s="25" t="str">
        <f>IF(OR(E4113="",E4113="!!!",F4113="NEW"),"",INDEX(J$1:J4112,SUMPRODUCT(MAX(ROW(E$1:E4112)*(E4113=E$1:E4112)))))</f>
        <v> </v>
      </c>
      <c r="L4113" s="26"/>
    </row>
    <row r="4114" spans="1:12">
      <c r="A4114" s="20"/>
    </row>
    <row r="4115" spans="1:12">
      <c r="A4115" s="20" t="s">
        <v>2933</v>
      </c>
    </row>
    <row r="4116" spans="1:12">
      <c r="A4116" s="20" t="s">
        <v>1822</v>
      </c>
      <c r="E4116" s="21">
        <f>IF(D4116="?OLD","!!!","")</f>
        <v/>
      </c>
      <c r="F4116" s="22" t="str">
        <f>IF(OR(E4116="",E4116="!!!"),"",IF(NOT(ISNA(VLOOKUP(E4116,E$1:E4115,1,FALSE()))),"OLD",IF(AND(E4116&lt;&gt;"",E4116&lt;&gt;"!!!"),"NEW","")))</f>
        <v> </v>
      </c>
      <c r="G4116" s="23" t="str">
        <f>IF(OR(E4116="",E4116="!!!"),"",IF(OR(J4116=0,AND(J4116=1,K4116=1),AND(J4116=1,I4116="SBJ"),AND(J4116=1,I4116=0)),"?IN_FOCUS",IF(J4116&lt;=2,"?ACTIVATED",IF(J4116&lt;&gt;"","?FAMILIAR",IF(F4116="NEW",IF(ISNA(VLOOKUP(E4116,#REF!,1,FALSE())),"?TYPE_IDENTIFIABLE","?REFERENTIAL"),"_")))))</f>
        <v> </v>
      </c>
      <c r="H4116" s="24" t="str">
        <f>IF(J4116&lt;&gt;1,"",IF(I4116="SBJ","CB","?"))</f>
        <v> </v>
      </c>
      <c r="I4116" s="25" t="str">
        <f>IF(OR(E4116="",E4116="!!!",F4116="NEW"),"",INDEX(B4115:B$2,-1+SUMPRODUCT(MAX(ROW(E4115:E$2)*(E4116=E4115:E$2)))))</f>
        <v> </v>
      </c>
      <c r="J4116" s="25" t="str">
        <f>IF(OR(E4116="",E4116="!!!",F4116="NEW"),"",COUNTBLANK(OFFSET(A$1,,,SUMPRODUCT(MAX(ROW(E$2:E4116)*(E4116=E$2:E4116)))))-COUNTBLANK(OFFSET(A$1,,,SUMPRODUCT(MAX(ROW(E$1:E4115)*(E2=E$1:E4115))))))</f>
        <v> </v>
      </c>
      <c r="K4116" s="25" t="str">
        <f>IF(OR(E4116="",E4116="!!!",F4116="NEW"),"",INDEX(J$1:J4115,SUMPRODUCT(MAX(ROW(E$1:E4115)*(E4116=E$1:E4115)))))</f>
        <v> </v>
      </c>
      <c r="L4116" s="26"/>
    </row>
    <row r="4117" spans="1:12">
      <c r="A4117" s="20" t="s">
        <v>2934</v>
      </c>
      <c r="B4117" s="27" t="s">
        <v>1122</v>
      </c>
      <c r="E4117" s="21">
        <f>IF(D4117="?OLD","!!!","")</f>
        <v/>
      </c>
      <c r="F4117" s="22" t="str">
        <f>IF(OR(E4117="",E4117="!!!"),"",IF(NOT(ISNA(VLOOKUP(E4117,E$1:E4116,1,FALSE()))),"OLD",IF(AND(E4117&lt;&gt;"",E4117&lt;&gt;"!!!"),"NEW","")))</f>
        <v> </v>
      </c>
      <c r="G4117" s="23" t="str">
        <f>IF(OR(E4117="",E4117="!!!"),"",IF(OR(J4117=0,AND(J4117=1,K4117=1),AND(J4117=1,I4117="SBJ"),AND(J4117=1,I4117=0)),"?IN_FOCUS",IF(J4117&lt;=2,"?ACTIVATED",IF(J4117&lt;&gt;"","?FAMILIAR",IF(F4117="NEW",IF(ISNA(VLOOKUP(E4117,#REF!,1,FALSE())),"?TYPE_IDENTIFIABLE","?REFERENTIAL"),"_")))))</f>
        <v> </v>
      </c>
      <c r="H4117" s="24" t="str">
        <f>IF(J4117&lt;&gt;1,"",IF(I4117="SBJ","CB","?"))</f>
        <v> </v>
      </c>
      <c r="I4117" s="25" t="str">
        <f>IF(OR(E4117="",E4117="!!!",F4117="NEW"),"",INDEX(B4116:B$2,-1+SUMPRODUCT(MAX(ROW(E4116:E$2)*(E4117=E4116:E$2)))))</f>
        <v> </v>
      </c>
      <c r="J4117" s="25" t="str">
        <f>IF(OR(E4117="",E4117="!!!",F4117="NEW"),"",COUNTBLANK(OFFSET(A$1,,,SUMPRODUCT(MAX(ROW(E$2:E4117)*(E4117=E$2:E4117)))))-COUNTBLANK(OFFSET(A$1,,,SUMPRODUCT(MAX(ROW(E$1:E4116)*(E2=E$1:E4116))))))</f>
        <v> </v>
      </c>
      <c r="K4117" s="25" t="str">
        <f>IF(OR(E4117="",E4117="!!!",F4117="NEW"),"",INDEX(J$1:J4116,SUMPRODUCT(MAX(ROW(E$1:E4116)*(E4117=E$1:E4116)))))</f>
        <v> </v>
      </c>
      <c r="L4117" s="26"/>
    </row>
    <row r="4118" spans="1:12">
      <c r="A4118" s="20" t="s">
        <v>2935</v>
      </c>
      <c r="E4118" s="21">
        <f>IF(D4118="?OLD","!!!","")</f>
        <v/>
      </c>
      <c r="F4118" s="22" t="str">
        <f>IF(OR(E4118="",E4118="!!!"),"",IF(NOT(ISNA(VLOOKUP(E4118,E$1:E4117,1,FALSE()))),"OLD",IF(AND(E4118&lt;&gt;"",E4118&lt;&gt;"!!!"),"NEW","")))</f>
        <v> </v>
      </c>
      <c r="G4118" s="23" t="str">
        <f>IF(OR(E4118="",E4118="!!!"),"",IF(OR(J4118=0,AND(J4118=1,K4118=1),AND(J4118=1,I4118="SBJ"),AND(J4118=1,I4118=0)),"?IN_FOCUS",IF(J4118&lt;=2,"?ACTIVATED",IF(J4118&lt;&gt;"","?FAMILIAR",IF(F4118="NEW",IF(ISNA(VLOOKUP(E4118,#REF!,1,FALSE())),"?TYPE_IDENTIFIABLE","?REFERENTIAL"),"_")))))</f>
        <v> </v>
      </c>
      <c r="H4118" s="24" t="str">
        <f>IF(J4118&lt;&gt;1,"",IF(I4118="SBJ","CB","?"))</f>
        <v> </v>
      </c>
      <c r="I4118" s="25" t="str">
        <f>IF(OR(E4118="",E4118="!!!",F4118="NEW"),"",INDEX(B4117:B$2,-1+SUMPRODUCT(MAX(ROW(E4117:E$2)*(E4118=E4117:E$2)))))</f>
        <v> </v>
      </c>
      <c r="J4118" s="25" t="str">
        <f>IF(OR(E4118="",E4118="!!!",F4118="NEW"),"",COUNTBLANK(OFFSET(A$1,,,SUMPRODUCT(MAX(ROW(E$2:E4118)*(E4118=E$2:E4118)))))-COUNTBLANK(OFFSET(A$1,,,SUMPRODUCT(MAX(ROW(E$1:E4117)*(E2=E$1:E4117))))))</f>
        <v> </v>
      </c>
      <c r="K4118" s="25" t="str">
        <f>IF(OR(E4118="",E4118="!!!",F4118="NEW"),"",INDEX(J$1:J4117,SUMPRODUCT(MAX(ROW(E$1:E4117)*(E4118=E$1:E4117)))))</f>
        <v> </v>
      </c>
      <c r="L4118" s="26"/>
    </row>
    <row r="4119" spans="1:12">
      <c r="A4119" s="20" t="s">
        <v>2713</v>
      </c>
      <c r="B4119" s="27" t="s">
        <v>1243</v>
      </c>
      <c r="E4119" s="21">
        <f>IF(D4119="?OLD","!!!","")</f>
        <v/>
      </c>
      <c r="F4119" s="22" t="str">
        <f>IF(OR(E4119="",E4119="!!!"),"",IF(NOT(ISNA(VLOOKUP(E4119,E$1:E4118,1,FALSE()))),"OLD",IF(AND(E4119&lt;&gt;"",E4119&lt;&gt;"!!!"),"NEW","")))</f>
        <v> </v>
      </c>
      <c r="G4119" s="23" t="str">
        <f>IF(OR(E4119="",E4119="!!!"),"",IF(OR(J4119=0,AND(J4119=1,K4119=1),AND(J4119=1,I4119="SBJ"),AND(J4119=1,I4119=0)),"?IN_FOCUS",IF(J4119&lt;=2,"?ACTIVATED",IF(J4119&lt;&gt;"","?FAMILIAR",IF(F4119="NEW",IF(ISNA(VLOOKUP(E4119,#REF!,1,FALSE())),"?TYPE_IDENTIFIABLE","?REFERENTIAL"),"_")))))</f>
        <v> </v>
      </c>
      <c r="H4119" s="24" t="str">
        <f>IF(J4119&lt;&gt;1,"",IF(I4119="SBJ","CB","?"))</f>
        <v> </v>
      </c>
      <c r="I4119" s="25" t="str">
        <f>IF(OR(E4119="",E4119="!!!",F4119="NEW"),"",INDEX(B4118:B$2,-1+SUMPRODUCT(MAX(ROW(E4118:E$2)*(E4119=E4118:E$2)))))</f>
        <v> </v>
      </c>
      <c r="J4119" s="25" t="str">
        <f>IF(OR(E4119="",E4119="!!!",F4119="NEW"),"",COUNTBLANK(OFFSET(A$1,,,SUMPRODUCT(MAX(ROW(E$2:E4119)*(E4119=E$2:E4119)))))-COUNTBLANK(OFFSET(A$1,,,SUMPRODUCT(MAX(ROW(E$1:E4118)*(E2=E$1:E4118))))))</f>
        <v> </v>
      </c>
      <c r="K4119" s="25" t="str">
        <f>IF(OR(E4119="",E4119="!!!",F4119="NEW"),"",INDEX(J$1:J4118,SUMPRODUCT(MAX(ROW(E$1:E4118)*(E4119=E$1:E4118)))))</f>
        <v> </v>
      </c>
      <c r="L4119" s="26"/>
    </row>
    <row r="4120" spans="1:12">
      <c r="A4120" s="20" t="s">
        <v>1123</v>
      </c>
      <c r="E4120" s="21">
        <f>IF(D4120="?OLD","!!!","")</f>
        <v/>
      </c>
      <c r="F4120" s="22" t="str">
        <f>IF(OR(E4120="",E4120="!!!"),"",IF(NOT(ISNA(VLOOKUP(E4120,E$1:E4119,1,FALSE()))),"OLD",IF(AND(E4120&lt;&gt;"",E4120&lt;&gt;"!!!"),"NEW","")))</f>
        <v> </v>
      </c>
      <c r="G4120" s="23" t="str">
        <f>IF(OR(E4120="",E4120="!!!"),"",IF(OR(J4120=0,AND(J4120=1,K4120=1),AND(J4120=1,I4120="SBJ"),AND(J4120=1,I4120=0)),"?IN_FOCUS",IF(J4120&lt;=2,"?ACTIVATED",IF(J4120&lt;&gt;"","?FAMILIAR",IF(F4120="NEW",IF(ISNA(VLOOKUP(E4120,#REF!,1,FALSE())),"?TYPE_IDENTIFIABLE","?REFERENTIAL"),"_")))))</f>
        <v> </v>
      </c>
      <c r="H4120" s="24" t="str">
        <f>IF(J4120&lt;&gt;1,"",IF(I4120="SBJ","CB","?"))</f>
        <v> </v>
      </c>
      <c r="I4120" s="25" t="str">
        <f>IF(OR(E4120="",E4120="!!!",F4120="NEW"),"",INDEX(B4119:B$2,-1+SUMPRODUCT(MAX(ROW(E4119:E$2)*(E4120=E4119:E$2)))))</f>
        <v> </v>
      </c>
      <c r="J4120" s="25" t="str">
        <f>IF(OR(E4120="",E4120="!!!",F4120="NEW"),"",COUNTBLANK(OFFSET(A$1,,,SUMPRODUCT(MAX(ROW(E$2:E4120)*(E4120=E$2:E4120)))))-COUNTBLANK(OFFSET(A$1,,,SUMPRODUCT(MAX(ROW(E$1:E4119)*(E2=E$1:E4119))))))</f>
        <v> </v>
      </c>
      <c r="K4120" s="25" t="str">
        <f>IF(OR(E4120="",E4120="!!!",F4120="NEW"),"",INDEX(J$1:J4119,SUMPRODUCT(MAX(ROW(E$1:E4119)*(E4120=E$1:E4119)))))</f>
        <v> </v>
      </c>
      <c r="L4120" s="26"/>
    </row>
    <row r="4121" spans="1:12">
      <c r="A4121" s="20" t="s">
        <v>1121</v>
      </c>
      <c r="E4121" s="21">
        <f>IF(D4121="?OLD","!!!","")</f>
        <v/>
      </c>
      <c r="F4121" s="22" t="str">
        <f>IF(OR(E4121="",E4121="!!!"),"",IF(NOT(ISNA(VLOOKUP(E4121,E$1:E4120,1,FALSE()))),"OLD",IF(AND(E4121&lt;&gt;"",E4121&lt;&gt;"!!!"),"NEW","")))</f>
        <v> </v>
      </c>
      <c r="G4121" s="23" t="str">
        <f>IF(OR(E4121="",E4121="!!!"),"",IF(OR(J4121=0,AND(J4121=1,K4121=1),AND(J4121=1,I4121="SBJ"),AND(J4121=1,I4121=0)),"?IN_FOCUS",IF(J4121&lt;=2,"?ACTIVATED",IF(J4121&lt;&gt;"","?FAMILIAR",IF(F4121="NEW",IF(ISNA(VLOOKUP(E4121,#REF!,1,FALSE())),"?TYPE_IDENTIFIABLE","?REFERENTIAL"),"_")))))</f>
        <v> </v>
      </c>
      <c r="H4121" s="24" t="str">
        <f>IF(J4121&lt;&gt;1,"",IF(I4121="SBJ","CB","?"))</f>
        <v> </v>
      </c>
      <c r="I4121" s="25" t="str">
        <f>IF(OR(E4121="",E4121="!!!",F4121="NEW"),"",INDEX(B4120:B$2,-1+SUMPRODUCT(MAX(ROW(E4120:E$2)*(E4121=E4120:E$2)))))</f>
        <v> </v>
      </c>
      <c r="J4121" s="25" t="str">
        <f>IF(OR(E4121="",E4121="!!!",F4121="NEW"),"",COUNTBLANK(OFFSET(A$1,,,SUMPRODUCT(MAX(ROW(E$2:E4121)*(E4121=E$2:E4121)))))-COUNTBLANK(OFFSET(A$1,,,SUMPRODUCT(MAX(ROW(E$1:E4120)*(E2=E$1:E4120))))))</f>
        <v> </v>
      </c>
      <c r="K4121" s="25" t="str">
        <f>IF(OR(E4121="",E4121="!!!",F4121="NEW"),"",INDEX(J$1:J4120,SUMPRODUCT(MAX(ROW(E$1:E4120)*(E4121=E$1:E4120)))))</f>
        <v> </v>
      </c>
      <c r="L4121" s="26"/>
    </row>
    <row r="4122" spans="1:12">
      <c r="A4122" s="20" t="s">
        <v>2936</v>
      </c>
      <c r="B4122" s="27" t="s">
        <v>1213</v>
      </c>
      <c r="C4122" s="27" t="s">
        <v>1108</v>
      </c>
      <c r="D4122" s="27" t="s">
        <v>1105</v>
      </c>
      <c r="E4122" s="21">
        <f>IF(D4122="?OLD","!!!","")</f>
        <v/>
      </c>
      <c r="F4122" s="22" t="str">
        <f>IF(OR(E4122="",E4122="!!!"),"",IF(NOT(ISNA(VLOOKUP(E4122,E$1:E4121,1,FALSE()))),"OLD",IF(AND(E4122&lt;&gt;"",E4122&lt;&gt;"!!!"),"NEW","")))</f>
        <v> </v>
      </c>
      <c r="G4122" s="23" t="str">
        <f>IF(OR(E4122="",E4122="!!!"),"",IF(OR(J4122=0,AND(J4122=1,K4122=1),AND(J4122=1,I4122="SBJ"),AND(J4122=1,I4122=0)),"?IN_FOCUS",IF(J4122&lt;=2,"?ACTIVATED",IF(J4122&lt;&gt;"","?FAMILIAR",IF(F4122="NEW",IF(ISNA(VLOOKUP(E4122,#REF!,1,FALSE())),"?TYPE_IDENTIFIABLE","?REFERENTIAL"),"_")))))</f>
        <v> </v>
      </c>
      <c r="H4122" s="24" t="str">
        <f>IF(J4122&lt;&gt;1,"",IF(I4122="SBJ","CB","?"))</f>
        <v> </v>
      </c>
      <c r="I4122" s="25" t="str">
        <f>IF(OR(E4122="",E4122="!!!",F4122="NEW"),"",INDEX(B4121:B$2,-1+SUMPRODUCT(MAX(ROW(E4121:E$2)*(E4122=E4121:E$2)))))</f>
        <v> </v>
      </c>
      <c r="J4122" s="25" t="str">
        <f>IF(OR(E4122="",E4122="!!!",F4122="NEW"),"",COUNTBLANK(OFFSET(A$1,,,SUMPRODUCT(MAX(ROW(E$2:E4122)*(E4122=E$2:E4122)))))-COUNTBLANK(OFFSET(A$1,,,SUMPRODUCT(MAX(ROW(E$1:E4121)*(E2=E$1:E4121))))))</f>
        <v> </v>
      </c>
      <c r="K4122" s="25" t="str">
        <f>IF(OR(E4122="",E4122="!!!",F4122="NEW"),"",INDEX(J$1:J4121,SUMPRODUCT(MAX(ROW(E$1:E4121)*(E4122=E$1:E4121)))))</f>
        <v> </v>
      </c>
      <c r="L4122" s="26"/>
    </row>
    <row r="4123" spans="1:12">
      <c r="A4123" s="20" t="s">
        <v>1842</v>
      </c>
      <c r="E4123" s="21">
        <f>IF(D4123="?OLD","!!!","")</f>
        <v/>
      </c>
      <c r="F4123" s="22" t="str">
        <f>IF(OR(E4123="",E4123="!!!"),"",IF(NOT(ISNA(VLOOKUP(E4123,E$1:E4122,1,FALSE()))),"OLD",IF(AND(E4123&lt;&gt;"",E4123&lt;&gt;"!!!"),"NEW","")))</f>
        <v> </v>
      </c>
      <c r="G4123" s="23" t="str">
        <f>IF(OR(E4123="",E4123="!!!"),"",IF(OR(J4123=0,AND(J4123=1,K4123=1),AND(J4123=1,I4123="SBJ"),AND(J4123=1,I4123=0)),"?IN_FOCUS",IF(J4123&lt;=2,"?ACTIVATED",IF(J4123&lt;&gt;"","?FAMILIAR",IF(F4123="NEW",IF(ISNA(VLOOKUP(E4123,#REF!,1,FALSE())),"?TYPE_IDENTIFIABLE","?REFERENTIAL"),"_")))))</f>
        <v> </v>
      </c>
      <c r="H4123" s="24" t="str">
        <f>IF(J4123&lt;&gt;1,"",IF(I4123="SBJ","CB","?"))</f>
        <v> </v>
      </c>
      <c r="I4123" s="25" t="str">
        <f>IF(OR(E4123="",E4123="!!!",F4123="NEW"),"",INDEX(B4122:B$2,-1+SUMPRODUCT(MAX(ROW(E4122:E$2)*(E4123=E4122:E$2)))))</f>
        <v> </v>
      </c>
      <c r="J4123" s="25" t="str">
        <f>IF(OR(E4123="",E4123="!!!",F4123="NEW"),"",COUNTBLANK(OFFSET(A$1,,,SUMPRODUCT(MAX(ROW(E$2:E4123)*(E4123=E$2:E4123)))))-COUNTBLANK(OFFSET(A$1,,,SUMPRODUCT(MAX(ROW(E$1:E4122)*(E2=E$1:E4122))))))</f>
        <v> </v>
      </c>
      <c r="K4123" s="25" t="str">
        <f>IF(OR(E4123="",E4123="!!!",F4123="NEW"),"",INDEX(J$1:J4122,SUMPRODUCT(MAX(ROW(E$1:E4122)*(E4123=E$1:E4122)))))</f>
        <v> </v>
      </c>
      <c r="L4123" s="26"/>
    </row>
    <row r="4124" spans="1:12">
      <c r="A4124" s="20" t="s">
        <v>1128</v>
      </c>
      <c r="E4124" s="21">
        <f>IF(D4124="?OLD","!!!","")</f>
        <v/>
      </c>
      <c r="F4124" s="22" t="str">
        <f>IF(OR(E4124="",E4124="!!!"),"",IF(NOT(ISNA(VLOOKUP(E4124,E$1:E4123,1,FALSE()))),"OLD",IF(AND(E4124&lt;&gt;"",E4124&lt;&gt;"!!!"),"NEW","")))</f>
        <v> </v>
      </c>
      <c r="G4124" s="23" t="str">
        <f>IF(OR(E4124="",E4124="!!!"),"",IF(OR(J4124=0,AND(J4124=1,K4124=1),AND(J4124=1,I4124="SBJ"),AND(J4124=1,I4124=0)),"?IN_FOCUS",IF(J4124&lt;=2,"?ACTIVATED",IF(J4124&lt;&gt;"","?FAMILIAR",IF(F4124="NEW",IF(ISNA(VLOOKUP(E4124,#REF!,1,FALSE())),"?TYPE_IDENTIFIABLE","?REFERENTIAL"),"_")))))</f>
        <v> </v>
      </c>
      <c r="H4124" s="24" t="str">
        <f>IF(J4124&lt;&gt;1,"",IF(I4124="SBJ","CB","?"))</f>
        <v> </v>
      </c>
      <c r="I4124" s="25" t="str">
        <f>IF(OR(E4124="",E4124="!!!",F4124="NEW"),"",INDEX(B4123:B$2,-1+SUMPRODUCT(MAX(ROW(E4123:E$2)*(E4124=E4123:E$2)))))</f>
        <v> </v>
      </c>
      <c r="J4124" s="25" t="str">
        <f>IF(OR(E4124="",E4124="!!!",F4124="NEW"),"",COUNTBLANK(OFFSET(A$1,,,SUMPRODUCT(MAX(ROW(E$2:E4124)*(E4124=E$2:E4124)))))-COUNTBLANK(OFFSET(A$1,,,SUMPRODUCT(MAX(ROW(E$1:E4123)*(E2=E$1:E4123))))))</f>
        <v> </v>
      </c>
      <c r="K4124" s="25" t="str">
        <f>IF(OR(E4124="",E4124="!!!",F4124="NEW"),"",INDEX(J$1:J4123,SUMPRODUCT(MAX(ROW(E$1:E4123)*(E4124=E$1:E4123)))))</f>
        <v> </v>
      </c>
      <c r="L4124" s="26"/>
    </row>
    <row r="4125" spans="1:12">
      <c r="A4125" s="20" t="s">
        <v>1134</v>
      </c>
      <c r="E4125" s="21">
        <f>IF(D4125="?OLD","!!!","")</f>
        <v/>
      </c>
      <c r="F4125" s="22" t="str">
        <f>IF(OR(E4125="",E4125="!!!"),"",IF(NOT(ISNA(VLOOKUP(E4125,E$1:E4124,1,FALSE()))),"OLD",IF(AND(E4125&lt;&gt;"",E4125&lt;&gt;"!!!"),"NEW","")))</f>
        <v> </v>
      </c>
      <c r="G4125" s="23" t="str">
        <f>IF(OR(E4125="",E4125="!!!"),"",IF(OR(J4125=0,AND(J4125=1,K4125=1),AND(J4125=1,I4125="SBJ"),AND(J4125=1,I4125=0)),"?IN_FOCUS",IF(J4125&lt;=2,"?ACTIVATED",IF(J4125&lt;&gt;"","?FAMILIAR",IF(F4125="NEW",IF(ISNA(VLOOKUP(E4125,#REF!,1,FALSE())),"?TYPE_IDENTIFIABLE","?REFERENTIAL"),"_")))))</f>
        <v> </v>
      </c>
      <c r="H4125" s="24" t="str">
        <f>IF(J4125&lt;&gt;1,"",IF(I4125="SBJ","CB","?"))</f>
        <v> </v>
      </c>
      <c r="I4125" s="25" t="str">
        <f>IF(OR(E4125="",E4125="!!!",F4125="NEW"),"",INDEX(B4124:B$2,-1+SUMPRODUCT(MAX(ROW(E4124:E$2)*(E4125=E4124:E$2)))))</f>
        <v> </v>
      </c>
      <c r="J4125" s="25" t="str">
        <f>IF(OR(E4125="",E4125="!!!",F4125="NEW"),"",COUNTBLANK(OFFSET(A$1,,,SUMPRODUCT(MAX(ROW(E$2:E4125)*(E4125=E$2:E4125)))))-COUNTBLANK(OFFSET(A$1,,,SUMPRODUCT(MAX(ROW(E$1:E4124)*(E2=E$1:E4124))))))</f>
        <v> </v>
      </c>
      <c r="K4125" s="25" t="str">
        <f>IF(OR(E4125="",E4125="!!!",F4125="NEW"),"",INDEX(J$1:J4124,SUMPRODUCT(MAX(ROW(E$1:E4124)*(E4125=E$1:E4124)))))</f>
        <v> </v>
      </c>
      <c r="L4125" s="26"/>
    </row>
    <row r="4126" spans="1:12">
      <c r="A4126" s="20" t="s">
        <v>2862</v>
      </c>
      <c r="E4126" s="21">
        <f>IF(D4126="?OLD","!!!","")</f>
        <v/>
      </c>
      <c r="F4126" s="22" t="str">
        <f>IF(OR(E4126="",E4126="!!!"),"",IF(NOT(ISNA(VLOOKUP(E4126,E$1:E4125,1,FALSE()))),"OLD",IF(AND(E4126&lt;&gt;"",E4126&lt;&gt;"!!!"),"NEW","")))</f>
        <v> </v>
      </c>
      <c r="G4126" s="23" t="str">
        <f>IF(OR(E4126="",E4126="!!!"),"",IF(OR(J4126=0,AND(J4126=1,K4126=1),AND(J4126=1,I4126="SBJ"),AND(J4126=1,I4126=0)),"?IN_FOCUS",IF(J4126&lt;=2,"?ACTIVATED",IF(J4126&lt;&gt;"","?FAMILIAR",IF(F4126="NEW",IF(ISNA(VLOOKUP(E4126,#REF!,1,FALSE())),"?TYPE_IDENTIFIABLE","?REFERENTIAL"),"_")))))</f>
        <v> </v>
      </c>
      <c r="H4126" s="24" t="str">
        <f>IF(J4126&lt;&gt;1,"",IF(I4126="SBJ","CB","?"))</f>
        <v> </v>
      </c>
      <c r="I4126" s="25" t="str">
        <f>IF(OR(E4126="",E4126="!!!",F4126="NEW"),"",INDEX(B4125:B$2,-1+SUMPRODUCT(MAX(ROW(E4125:E$2)*(E4126=E4125:E$2)))))</f>
        <v> </v>
      </c>
      <c r="J4126" s="25" t="str">
        <f>IF(OR(E4126="",E4126="!!!",F4126="NEW"),"",COUNTBLANK(OFFSET(A$1,,,SUMPRODUCT(MAX(ROW(E$2:E4126)*(E4126=E$2:E4126)))))-COUNTBLANK(OFFSET(A$1,,,SUMPRODUCT(MAX(ROW(E$1:E4125)*(E2=E$1:E4125))))))</f>
        <v> </v>
      </c>
      <c r="K4126" s="25" t="str">
        <f>IF(OR(E4126="",E4126="!!!",F4126="NEW"),"",INDEX(J$1:J4125,SUMPRODUCT(MAX(ROW(E$1:E4125)*(E4126=E$1:E4125)))))</f>
        <v> </v>
      </c>
      <c r="L4126" s="26"/>
    </row>
    <row r="4127" spans="1:12">
      <c r="A4127" s="20" t="s">
        <v>2937</v>
      </c>
      <c r="E4127" s="21">
        <f>IF(D4127="?OLD","!!!","")</f>
        <v/>
      </c>
      <c r="F4127" s="22" t="str">
        <f>IF(OR(E4127="",E4127="!!!"),"",IF(NOT(ISNA(VLOOKUP(E4127,E$1:E4126,1,FALSE()))),"OLD",IF(AND(E4127&lt;&gt;"",E4127&lt;&gt;"!!!"),"NEW","")))</f>
        <v> </v>
      </c>
      <c r="G4127" s="23" t="str">
        <f>IF(OR(E4127="",E4127="!!!"),"",IF(OR(J4127=0,AND(J4127=1,K4127=1),AND(J4127=1,I4127="SBJ"),AND(J4127=1,I4127=0)),"?IN_FOCUS",IF(J4127&lt;=2,"?ACTIVATED",IF(J4127&lt;&gt;"","?FAMILIAR",IF(F4127="NEW",IF(ISNA(VLOOKUP(E4127,#REF!,1,FALSE())),"?TYPE_IDENTIFIABLE","?REFERENTIAL"),"_")))))</f>
        <v> </v>
      </c>
      <c r="H4127" s="24" t="str">
        <f>IF(J4127&lt;&gt;1,"",IF(I4127="SBJ","CB","?"))</f>
        <v> </v>
      </c>
      <c r="I4127" s="25" t="str">
        <f>IF(OR(E4127="",E4127="!!!",F4127="NEW"),"",INDEX(B4126:B$2,-1+SUMPRODUCT(MAX(ROW(E4126:E$2)*(E4127=E4126:E$2)))))</f>
        <v> </v>
      </c>
      <c r="J4127" s="25" t="str">
        <f>IF(OR(E4127="",E4127="!!!",F4127="NEW"),"",COUNTBLANK(OFFSET(A$1,,,SUMPRODUCT(MAX(ROW(E$2:E4127)*(E4127=E$2:E4127)))))-COUNTBLANK(OFFSET(A$1,,,SUMPRODUCT(MAX(ROW(E$1:E4126)*(E2=E$1:E4126))))))</f>
        <v> </v>
      </c>
      <c r="K4127" s="25" t="str">
        <f>IF(OR(E4127="",E4127="!!!",F4127="NEW"),"",INDEX(J$1:J4126,SUMPRODUCT(MAX(ROW(E$1:E4126)*(E4127=E$1:E4126)))))</f>
        <v> </v>
      </c>
      <c r="L4127" s="26"/>
    </row>
    <row r="4128" spans="1:12">
      <c r="A4128" s="20" t="s">
        <v>1139</v>
      </c>
      <c r="E4128" s="21">
        <f>IF(D4128="?OLD","!!!","")</f>
        <v/>
      </c>
      <c r="F4128" s="22" t="str">
        <f>IF(OR(E4128="",E4128="!!!"),"",IF(NOT(ISNA(VLOOKUP(E4128,E$1:E4127,1,FALSE()))),"OLD",IF(AND(E4128&lt;&gt;"",E4128&lt;&gt;"!!!"),"NEW","")))</f>
        <v> </v>
      </c>
      <c r="G4128" s="23" t="str">
        <f>IF(OR(E4128="",E4128="!!!"),"",IF(OR(J4128=0,AND(J4128=1,K4128=1),AND(J4128=1,I4128="SBJ"),AND(J4128=1,I4128=0)),"?IN_FOCUS",IF(J4128&lt;=2,"?ACTIVATED",IF(J4128&lt;&gt;"","?FAMILIAR",IF(F4128="NEW",IF(ISNA(VLOOKUP(E4128,#REF!,1,FALSE())),"?TYPE_IDENTIFIABLE","?REFERENTIAL"),"_")))))</f>
        <v> </v>
      </c>
      <c r="H4128" s="24" t="str">
        <f>IF(J4128&lt;&gt;1,"",IF(I4128="SBJ","CB","?"))</f>
        <v> </v>
      </c>
      <c r="I4128" s="25" t="str">
        <f>IF(OR(E4128="",E4128="!!!",F4128="NEW"),"",INDEX(B4127:B$2,-1+SUMPRODUCT(MAX(ROW(E4127:E$2)*(E4128=E4127:E$2)))))</f>
        <v> </v>
      </c>
      <c r="J4128" s="25" t="str">
        <f>IF(OR(E4128="",E4128="!!!",F4128="NEW"),"",COUNTBLANK(OFFSET(A$1,,,SUMPRODUCT(MAX(ROW(E$2:E4128)*(E4128=E$2:E4128)))))-COUNTBLANK(OFFSET(A$1,,,SUMPRODUCT(MAX(ROW(E$1:E4127)*(E2=E$1:E4127))))))</f>
        <v> </v>
      </c>
      <c r="K4128" s="25" t="str">
        <f>IF(OR(E4128="",E4128="!!!",F4128="NEW"),"",INDEX(J$1:J4127,SUMPRODUCT(MAX(ROW(E$1:E4127)*(E4128=E$1:E4127)))))</f>
        <v> </v>
      </c>
      <c r="L4128" s="26"/>
    </row>
    <row r="4129" spans="1:12">
      <c r="A4129" s="20" t="s">
        <v>2938</v>
      </c>
      <c r="E4129" s="21">
        <f>IF(D4129="?OLD","!!!","")</f>
        <v/>
      </c>
      <c r="F4129" s="22" t="str">
        <f>IF(OR(E4129="",E4129="!!!"),"",IF(NOT(ISNA(VLOOKUP(E4129,E$1:E4128,1,FALSE()))),"OLD",IF(AND(E4129&lt;&gt;"",E4129&lt;&gt;"!!!"),"NEW","")))</f>
        <v> </v>
      </c>
      <c r="G4129" s="23" t="str">
        <f>IF(OR(E4129="",E4129="!!!"),"",IF(OR(J4129=0,AND(J4129=1,K4129=1),AND(J4129=1,I4129="SBJ"),AND(J4129=1,I4129=0)),"?IN_FOCUS",IF(J4129&lt;=2,"?ACTIVATED",IF(J4129&lt;&gt;"","?FAMILIAR",IF(F4129="NEW",IF(ISNA(VLOOKUP(E4129,#REF!,1,FALSE())),"?TYPE_IDENTIFIABLE","?REFERENTIAL"),"_")))))</f>
        <v> </v>
      </c>
      <c r="H4129" s="24" t="str">
        <f>IF(J4129&lt;&gt;1,"",IF(I4129="SBJ","CB","?"))</f>
        <v> </v>
      </c>
      <c r="I4129" s="25" t="str">
        <f>IF(OR(E4129="",E4129="!!!",F4129="NEW"),"",INDEX(B4128:B$2,-1+SUMPRODUCT(MAX(ROW(E4128:E$2)*(E4129=E4128:E$2)))))</f>
        <v> </v>
      </c>
      <c r="J4129" s="25" t="str">
        <f>IF(OR(E4129="",E4129="!!!",F4129="NEW"),"",COUNTBLANK(OFFSET(A$1,,,SUMPRODUCT(MAX(ROW(E$2:E4129)*(E4129=E$2:E4129)))))-COUNTBLANK(OFFSET(A$1,,,SUMPRODUCT(MAX(ROW(E$1:E4128)*(E2=E$1:E4128))))))</f>
        <v> </v>
      </c>
      <c r="K4129" s="25" t="str">
        <f>IF(OR(E4129="",E4129="!!!",F4129="NEW"),"",INDEX(J$1:J4128,SUMPRODUCT(MAX(ROW(E$1:E4128)*(E4129=E$1:E4128)))))</f>
        <v> </v>
      </c>
      <c r="L4129" s="26"/>
    </row>
    <row r="4130" spans="1:12">
      <c r="A4130" s="20" t="s">
        <v>2939</v>
      </c>
      <c r="E4130" s="21">
        <f>IF(D4130="?OLD","!!!","")</f>
        <v/>
      </c>
      <c r="F4130" s="22" t="str">
        <f>IF(OR(E4130="",E4130="!!!"),"",IF(NOT(ISNA(VLOOKUP(E4130,E$1:E4129,1,FALSE()))),"OLD",IF(AND(E4130&lt;&gt;"",E4130&lt;&gt;"!!!"),"NEW","")))</f>
        <v> </v>
      </c>
      <c r="G4130" s="23" t="str">
        <f>IF(OR(E4130="",E4130="!!!"),"",IF(OR(J4130=0,AND(J4130=1,K4130=1),AND(J4130=1,I4130="SBJ"),AND(J4130=1,I4130=0)),"?IN_FOCUS",IF(J4130&lt;=2,"?ACTIVATED",IF(J4130&lt;&gt;"","?FAMILIAR",IF(F4130="NEW",IF(ISNA(VLOOKUP(E4130,#REF!,1,FALSE())),"?TYPE_IDENTIFIABLE","?REFERENTIAL"),"_")))))</f>
        <v> </v>
      </c>
      <c r="H4130" s="24" t="str">
        <f>IF(J4130&lt;&gt;1,"",IF(I4130="SBJ","CB","?"))</f>
        <v> </v>
      </c>
      <c r="I4130" s="25" t="str">
        <f>IF(OR(E4130="",E4130="!!!",F4130="NEW"),"",INDEX(B4129:B$2,-1+SUMPRODUCT(MAX(ROW(E4129:E$2)*(E4130=E4129:E$2)))))</f>
        <v> </v>
      </c>
      <c r="J4130" s="25" t="str">
        <f>IF(OR(E4130="",E4130="!!!",F4130="NEW"),"",COUNTBLANK(OFFSET(A$1,,,SUMPRODUCT(MAX(ROW(E$2:E4130)*(E4130=E$2:E4130)))))-COUNTBLANK(OFFSET(A$1,,,SUMPRODUCT(MAX(ROW(E$1:E4129)*(E2=E$1:E4129))))))</f>
        <v> </v>
      </c>
      <c r="K4130" s="25" t="str">
        <f>IF(OR(E4130="",E4130="!!!",F4130="NEW"),"",INDEX(J$1:J4129,SUMPRODUCT(MAX(ROW(E$1:E4129)*(E4130=E$1:E4129)))))</f>
        <v> </v>
      </c>
      <c r="L4130" s="26"/>
    </row>
    <row r="4131" spans="1:12">
      <c r="A4131" s="20" t="s">
        <v>1249</v>
      </c>
      <c r="E4131" s="21">
        <f>IF(D4131="?OLD","!!!","")</f>
        <v/>
      </c>
      <c r="F4131" s="22" t="str">
        <f>IF(OR(E4131="",E4131="!!!"),"",IF(NOT(ISNA(VLOOKUP(E4131,E$1:E4130,1,FALSE()))),"OLD",IF(AND(E4131&lt;&gt;"",E4131&lt;&gt;"!!!"),"NEW","")))</f>
        <v> </v>
      </c>
      <c r="G4131" s="23" t="str">
        <f>IF(OR(E4131="",E4131="!!!"),"",IF(OR(J4131=0,AND(J4131=1,K4131=1),AND(J4131=1,I4131="SBJ"),AND(J4131=1,I4131=0)),"?IN_FOCUS",IF(J4131&lt;=2,"?ACTIVATED",IF(J4131&lt;&gt;"","?FAMILIAR",IF(F4131="NEW",IF(ISNA(VLOOKUP(E4131,#REF!,1,FALSE())),"?TYPE_IDENTIFIABLE","?REFERENTIAL"),"_")))))</f>
        <v> </v>
      </c>
      <c r="H4131" s="24" t="str">
        <f>IF(J4131&lt;&gt;1,"",IF(I4131="SBJ","CB","?"))</f>
        <v> </v>
      </c>
      <c r="I4131" s="25" t="str">
        <f>IF(OR(E4131="",E4131="!!!",F4131="NEW"),"",INDEX(B4130:B$2,-1+SUMPRODUCT(MAX(ROW(E4130:E$2)*(E4131=E4130:E$2)))))</f>
        <v> </v>
      </c>
      <c r="J4131" s="25" t="str">
        <f>IF(OR(E4131="",E4131="!!!",F4131="NEW"),"",COUNTBLANK(OFFSET(A$1,,,SUMPRODUCT(MAX(ROW(E$2:E4131)*(E4131=E$2:E4131)))))-COUNTBLANK(OFFSET(A$1,,,SUMPRODUCT(MAX(ROW(E$1:E4130)*(E2=E$1:E4130))))))</f>
        <v> </v>
      </c>
      <c r="K4131" s="25" t="str">
        <f>IF(OR(E4131="",E4131="!!!",F4131="NEW"),"",INDEX(J$1:J4130,SUMPRODUCT(MAX(ROW(E$1:E4130)*(E4131=E$1:E4130)))))</f>
        <v> </v>
      </c>
      <c r="L4131" s="26"/>
    </row>
    <row r="4132" spans="1:12">
      <c r="A4132" s="20" t="s">
        <v>2940</v>
      </c>
      <c r="E4132" s="21">
        <f>IF(D4132="?OLD","!!!","")</f>
        <v/>
      </c>
      <c r="F4132" s="22" t="str">
        <f>IF(OR(E4132="",E4132="!!!"),"",IF(NOT(ISNA(VLOOKUP(E4132,E$1:E4131,1,FALSE()))),"OLD",IF(AND(E4132&lt;&gt;"",E4132&lt;&gt;"!!!"),"NEW","")))</f>
        <v> </v>
      </c>
      <c r="G4132" s="23" t="str">
        <f>IF(OR(E4132="",E4132="!!!"),"",IF(OR(J4132=0,AND(J4132=1,K4132=1),AND(J4132=1,I4132="SBJ"),AND(J4132=1,I4132=0)),"?IN_FOCUS",IF(J4132&lt;=2,"?ACTIVATED",IF(J4132&lt;&gt;"","?FAMILIAR",IF(F4132="NEW",IF(ISNA(VLOOKUP(E4132,#REF!,1,FALSE())),"?TYPE_IDENTIFIABLE","?REFERENTIAL"),"_")))))</f>
        <v> </v>
      </c>
      <c r="H4132" s="24" t="str">
        <f>IF(J4132&lt;&gt;1,"",IF(I4132="SBJ","CB","?"))</f>
        <v> </v>
      </c>
      <c r="I4132" s="25" t="str">
        <f>IF(OR(E4132="",E4132="!!!",F4132="NEW"),"",INDEX(B4131:B$2,-1+SUMPRODUCT(MAX(ROW(E4131:E$2)*(E4132=E4131:E$2)))))</f>
        <v> </v>
      </c>
      <c r="J4132" s="25" t="str">
        <f>IF(OR(E4132="",E4132="!!!",F4132="NEW"),"",COUNTBLANK(OFFSET(A$1,,,SUMPRODUCT(MAX(ROW(E$2:E4132)*(E4132=E$2:E4132)))))-COUNTBLANK(OFFSET(A$1,,,SUMPRODUCT(MAX(ROW(E$1:E4131)*(E2=E$1:E4131))))))</f>
        <v> </v>
      </c>
      <c r="K4132" s="25" t="str">
        <f>IF(OR(E4132="",E4132="!!!",F4132="NEW"),"",INDEX(J$1:J4131,SUMPRODUCT(MAX(ROW(E$1:E4131)*(E4132=E$1:E4131)))))</f>
        <v> </v>
      </c>
      <c r="L4132" s="26"/>
    </row>
    <row r="4133" spans="1:12">
      <c r="A4133" s="20" t="s">
        <v>1123</v>
      </c>
      <c r="E4133" s="21">
        <f>IF(D4133="?OLD","!!!","")</f>
        <v/>
      </c>
      <c r="F4133" s="22" t="str">
        <f>IF(OR(E4133="",E4133="!!!"),"",IF(NOT(ISNA(VLOOKUP(E4133,E$1:E4132,1,FALSE()))),"OLD",IF(AND(E4133&lt;&gt;"",E4133&lt;&gt;"!!!"),"NEW","")))</f>
        <v> </v>
      </c>
      <c r="G4133" s="23" t="str">
        <f>IF(OR(E4133="",E4133="!!!"),"",IF(OR(J4133=0,AND(J4133=1,K4133=1),AND(J4133=1,I4133="SBJ"),AND(J4133=1,I4133=0)),"?IN_FOCUS",IF(J4133&lt;=2,"?ACTIVATED",IF(J4133&lt;&gt;"","?FAMILIAR",IF(F4133="NEW",IF(ISNA(VLOOKUP(E4133,#REF!,1,FALSE())),"?TYPE_IDENTIFIABLE","?REFERENTIAL"),"_")))))</f>
        <v> </v>
      </c>
      <c r="H4133" s="24" t="str">
        <f>IF(J4133&lt;&gt;1,"",IF(I4133="SBJ","CB","?"))</f>
        <v> </v>
      </c>
      <c r="I4133" s="25" t="str">
        <f>IF(OR(E4133="",E4133="!!!",F4133="NEW"),"",INDEX(B4132:B$2,-1+SUMPRODUCT(MAX(ROW(E4132:E$2)*(E4133=E4132:E$2)))))</f>
        <v> </v>
      </c>
      <c r="J4133" s="25" t="str">
        <f>IF(OR(E4133="",E4133="!!!",F4133="NEW"),"",COUNTBLANK(OFFSET(A$1,,,SUMPRODUCT(MAX(ROW(E$2:E4133)*(E4133=E$2:E4133)))))-COUNTBLANK(OFFSET(A$1,,,SUMPRODUCT(MAX(ROW(E$1:E4132)*(E2=E$1:E4132))))))</f>
        <v> </v>
      </c>
      <c r="K4133" s="25" t="str">
        <f>IF(OR(E4133="",E4133="!!!",F4133="NEW"),"",INDEX(J$1:J4132,SUMPRODUCT(MAX(ROW(E$1:E4132)*(E4133=E$1:E4132)))))</f>
        <v> </v>
      </c>
      <c r="L4133" s="26"/>
    </row>
    <row r="4134" spans="1:12">
      <c r="A4134" s="20" t="s">
        <v>1271</v>
      </c>
      <c r="E4134" s="21">
        <f>IF(D4134="?OLD","!!!","")</f>
        <v/>
      </c>
      <c r="F4134" s="22" t="str">
        <f>IF(OR(E4134="",E4134="!!!"),"",IF(NOT(ISNA(VLOOKUP(E4134,E$1:E4133,1,FALSE()))),"OLD",IF(AND(E4134&lt;&gt;"",E4134&lt;&gt;"!!!"),"NEW","")))</f>
        <v> </v>
      </c>
      <c r="G4134" s="23" t="str">
        <f>IF(OR(E4134="",E4134="!!!"),"",IF(OR(J4134=0,AND(J4134=1,K4134=1),AND(J4134=1,I4134="SBJ"),AND(J4134=1,I4134=0)),"?IN_FOCUS",IF(J4134&lt;=2,"?ACTIVATED",IF(J4134&lt;&gt;"","?FAMILIAR",IF(F4134="NEW",IF(ISNA(VLOOKUP(E4134,#REF!,1,FALSE())),"?TYPE_IDENTIFIABLE","?REFERENTIAL"),"_")))))</f>
        <v> </v>
      </c>
      <c r="H4134" s="24" t="str">
        <f>IF(J4134&lt;&gt;1,"",IF(I4134="SBJ","CB","?"))</f>
        <v> </v>
      </c>
      <c r="I4134" s="25" t="str">
        <f>IF(OR(E4134="",E4134="!!!",F4134="NEW"),"",INDEX(B4133:B$2,-1+SUMPRODUCT(MAX(ROW(E4133:E$2)*(E4134=E4133:E$2)))))</f>
        <v> </v>
      </c>
      <c r="J4134" s="25" t="str">
        <f>IF(OR(E4134="",E4134="!!!",F4134="NEW"),"",COUNTBLANK(OFFSET(A$1,,,SUMPRODUCT(MAX(ROW(E$2:E4134)*(E4134=E$2:E4134)))))-COUNTBLANK(OFFSET(A$1,,,SUMPRODUCT(MAX(ROW(E$1:E4133)*(E2=E$1:E4133))))))</f>
        <v> </v>
      </c>
      <c r="K4134" s="25" t="str">
        <f>IF(OR(E4134="",E4134="!!!",F4134="NEW"),"",INDEX(J$1:J4133,SUMPRODUCT(MAX(ROW(E$1:E4133)*(E4134=E$1:E4133)))))</f>
        <v> </v>
      </c>
      <c r="L4134" s="26"/>
    </row>
    <row r="4135" spans="1:12">
      <c r="A4135" s="20" t="s">
        <v>2941</v>
      </c>
      <c r="B4135" s="27" t="s">
        <v>1132</v>
      </c>
      <c r="C4135" s="27" t="s">
        <v>1133</v>
      </c>
      <c r="E4135" s="21">
        <f>IF(D4135="?OLD","!!!","")</f>
        <v/>
      </c>
      <c r="F4135" s="22" t="str">
        <f>IF(OR(E4135="",E4135="!!!"),"",IF(NOT(ISNA(VLOOKUP(E4135,E$1:E4134,1,FALSE()))),"OLD",IF(AND(E4135&lt;&gt;"",E4135&lt;&gt;"!!!"),"NEW","")))</f>
        <v> </v>
      </c>
      <c r="G4135" s="23" t="str">
        <f>IF(OR(E4135="",E4135="!!!"),"",IF(OR(J4135=0,AND(J4135=1,K4135=1),AND(J4135=1,I4135="SBJ"),AND(J4135=1,I4135=0)),"?IN_FOCUS",IF(J4135&lt;=2,"?ACTIVATED",IF(J4135&lt;&gt;"","?FAMILIAR",IF(F4135="NEW",IF(ISNA(VLOOKUP(E4135,#REF!,1,FALSE())),"?TYPE_IDENTIFIABLE","?REFERENTIAL"),"_")))))</f>
        <v> </v>
      </c>
      <c r="H4135" s="24" t="str">
        <f>IF(J4135&lt;&gt;1,"",IF(I4135="SBJ","CB","?"))</f>
        <v> </v>
      </c>
      <c r="I4135" s="25" t="str">
        <f>IF(OR(E4135="",E4135="!!!",F4135="NEW"),"",INDEX(B4134:B$2,-1+SUMPRODUCT(MAX(ROW(E4134:E$2)*(E4135=E4134:E$2)))))</f>
        <v> </v>
      </c>
      <c r="J4135" s="25" t="str">
        <f>IF(OR(E4135="",E4135="!!!",F4135="NEW"),"",COUNTBLANK(OFFSET(A$1,,,SUMPRODUCT(MAX(ROW(E$2:E4135)*(E4135=E$2:E4135)))))-COUNTBLANK(OFFSET(A$1,,,SUMPRODUCT(MAX(ROW(E$1:E4134)*(E2=E$1:E4134))))))</f>
        <v> </v>
      </c>
      <c r="K4135" s="25" t="str">
        <f>IF(OR(E4135="",E4135="!!!",F4135="NEW"),"",INDEX(J$1:J4134,SUMPRODUCT(MAX(ROW(E$1:E4134)*(E4135=E$1:E4134)))))</f>
        <v> </v>
      </c>
      <c r="L4135" s="26"/>
    </row>
    <row r="4136" spans="1:12">
      <c r="A4136" s="20" t="s">
        <v>1124</v>
      </c>
      <c r="B4136" s="27" t="s">
        <v>1125</v>
      </c>
      <c r="C4136" s="27" t="s">
        <v>1126</v>
      </c>
      <c r="D4136" s="27" t="s">
        <v>1105</v>
      </c>
      <c r="E4136" s="21">
        <f>IF(D4136="?OLD","!!!","")</f>
        <v/>
      </c>
      <c r="F4136" s="22" t="str">
        <f>IF(OR(E4136="",E4136="!!!"),"",IF(NOT(ISNA(VLOOKUP(E4136,E$1:E4135,1,FALSE()))),"OLD",IF(AND(E4136&lt;&gt;"",E4136&lt;&gt;"!!!"),"NEW","")))</f>
        <v> </v>
      </c>
      <c r="G4136" s="23" t="str">
        <f>IF(OR(E4136="",E4136="!!!"),"",IF(OR(J4136=0,AND(J4136=1,K4136=1),AND(J4136=1,I4136="SBJ"),AND(J4136=1,I4136=0)),"?IN_FOCUS",IF(J4136&lt;=2,"?ACTIVATED",IF(J4136&lt;&gt;"","?FAMILIAR",IF(F4136="NEW",IF(ISNA(VLOOKUP(E4136,#REF!,1,FALSE())),"?TYPE_IDENTIFIABLE","?REFERENTIAL"),"_")))))</f>
        <v> </v>
      </c>
      <c r="H4136" s="24" t="str">
        <f>IF(J4136&lt;&gt;1,"",IF(I4136="SBJ","CB","?"))</f>
        <v> </v>
      </c>
      <c r="I4136" s="25" t="str">
        <f>IF(OR(E4136="",E4136="!!!",F4136="NEW"),"",INDEX(B4135:B$2,-1+SUMPRODUCT(MAX(ROW(E4135:E$2)*(E4136=E4135:E$2)))))</f>
        <v> </v>
      </c>
      <c r="J4136" s="25" t="str">
        <f>IF(OR(E4136="",E4136="!!!",F4136="NEW"),"",COUNTBLANK(OFFSET(A$1,,,SUMPRODUCT(MAX(ROW(E$2:E4136)*(E4136=E$2:E4136)))))-COUNTBLANK(OFFSET(A$1,,,SUMPRODUCT(MAX(ROW(E$1:E4135)*(E2=E$1:E4135))))))</f>
        <v> </v>
      </c>
      <c r="K4136" s="25" t="str">
        <f>IF(OR(E4136="",E4136="!!!",F4136="NEW"),"",INDEX(J$1:J4135,SUMPRODUCT(MAX(ROW(E$1:E4135)*(E4136=E$1:E4135)))))</f>
        <v> </v>
      </c>
      <c r="L4136" s="26"/>
    </row>
    <row r="4137" spans="1:12">
      <c r="A4137" s="20" t="s">
        <v>2942</v>
      </c>
      <c r="E4137" s="21">
        <f>IF(D4137="?OLD","!!!","")</f>
        <v/>
      </c>
      <c r="F4137" s="22" t="str">
        <f>IF(OR(E4137="",E4137="!!!"),"",IF(NOT(ISNA(VLOOKUP(E4137,E$1:E4136,1,FALSE()))),"OLD",IF(AND(E4137&lt;&gt;"",E4137&lt;&gt;"!!!"),"NEW","")))</f>
        <v> </v>
      </c>
      <c r="G4137" s="23" t="str">
        <f>IF(OR(E4137="",E4137="!!!"),"",IF(OR(J4137=0,AND(J4137=1,K4137=1),AND(J4137=1,I4137="SBJ"),AND(J4137=1,I4137=0)),"?IN_FOCUS",IF(J4137&lt;=2,"?ACTIVATED",IF(J4137&lt;&gt;"","?FAMILIAR",IF(F4137="NEW",IF(ISNA(VLOOKUP(E4137,#REF!,1,FALSE())),"?TYPE_IDENTIFIABLE","?REFERENTIAL"),"_")))))</f>
        <v> </v>
      </c>
      <c r="H4137" s="24" t="str">
        <f>IF(J4137&lt;&gt;1,"",IF(I4137="SBJ","CB","?"))</f>
        <v> </v>
      </c>
      <c r="I4137" s="25" t="str">
        <f>IF(OR(E4137="",E4137="!!!",F4137="NEW"),"",INDEX(B4136:B$2,-1+SUMPRODUCT(MAX(ROW(E4136:E$2)*(E4137=E4136:E$2)))))</f>
        <v> </v>
      </c>
      <c r="J4137" s="25" t="str">
        <f>IF(OR(E4137="",E4137="!!!",F4137="NEW"),"",COUNTBLANK(OFFSET(A$1,,,SUMPRODUCT(MAX(ROW(E$2:E4137)*(E4137=E$2:E4137)))))-COUNTBLANK(OFFSET(A$1,,,SUMPRODUCT(MAX(ROW(E$1:E4136)*(E2=E$1:E4136))))))</f>
        <v> </v>
      </c>
      <c r="K4137" s="25" t="str">
        <f>IF(OR(E4137="",E4137="!!!",F4137="NEW"),"",INDEX(J$1:J4136,SUMPRODUCT(MAX(ROW(E$1:E4136)*(E4137=E$1:E4136)))))</f>
        <v> </v>
      </c>
      <c r="L4137" s="26"/>
    </row>
    <row r="4138" spans="1:12">
      <c r="A4138" s="20" t="s">
        <v>1184</v>
      </c>
      <c r="E4138" s="21">
        <f>IF(D4138="?OLD","!!!","")</f>
        <v/>
      </c>
      <c r="F4138" s="22" t="str">
        <f>IF(OR(E4138="",E4138="!!!"),"",IF(NOT(ISNA(VLOOKUP(E4138,E$1:E4137,1,FALSE()))),"OLD",IF(AND(E4138&lt;&gt;"",E4138&lt;&gt;"!!!"),"NEW","")))</f>
        <v> </v>
      </c>
      <c r="G4138" s="23" t="str">
        <f>IF(OR(E4138="",E4138="!!!"),"",IF(OR(J4138=0,AND(J4138=1,K4138=1),AND(J4138=1,I4138="SBJ"),AND(J4138=1,I4138=0)),"?IN_FOCUS",IF(J4138&lt;=2,"?ACTIVATED",IF(J4138&lt;&gt;"","?FAMILIAR",IF(F4138="NEW",IF(ISNA(VLOOKUP(E4138,#REF!,1,FALSE())),"?TYPE_IDENTIFIABLE","?REFERENTIAL"),"_")))))</f>
        <v> </v>
      </c>
      <c r="H4138" s="24" t="str">
        <f>IF(J4138&lt;&gt;1,"",IF(I4138="SBJ","CB","?"))</f>
        <v> </v>
      </c>
      <c r="I4138" s="25" t="str">
        <f>IF(OR(E4138="",E4138="!!!",F4138="NEW"),"",INDEX(B4137:B$2,-1+SUMPRODUCT(MAX(ROW(E4137:E$2)*(E4138=E4137:E$2)))))</f>
        <v> </v>
      </c>
      <c r="J4138" s="25" t="str">
        <f>IF(OR(E4138="",E4138="!!!",F4138="NEW"),"",COUNTBLANK(OFFSET(A$1,,,SUMPRODUCT(MAX(ROW(E$2:E4138)*(E4138=E$2:E4138)))))-COUNTBLANK(OFFSET(A$1,,,SUMPRODUCT(MAX(ROW(E$1:E4137)*(E2=E$1:E4137))))))</f>
        <v> </v>
      </c>
      <c r="K4138" s="25" t="str">
        <f>IF(OR(E4138="",E4138="!!!",F4138="NEW"),"",INDEX(J$1:J4137,SUMPRODUCT(MAX(ROW(E$1:E4137)*(E4138=E$1:E4137)))))</f>
        <v> </v>
      </c>
      <c r="L4138" s="26"/>
    </row>
    <row r="4139" spans="1:12">
      <c r="A4139" s="20" t="s">
        <v>1664</v>
      </c>
      <c r="E4139" s="21">
        <f>IF(D4139="?OLD","!!!","")</f>
        <v/>
      </c>
      <c r="F4139" s="22" t="str">
        <f>IF(OR(E4139="",E4139="!!!"),"",IF(NOT(ISNA(VLOOKUP(E4139,E$1:E4138,1,FALSE()))),"OLD",IF(AND(E4139&lt;&gt;"",E4139&lt;&gt;"!!!"),"NEW","")))</f>
        <v> </v>
      </c>
      <c r="G4139" s="23" t="str">
        <f>IF(OR(E4139="",E4139="!!!"),"",IF(OR(J4139=0,AND(J4139=1,K4139=1),AND(J4139=1,I4139="SBJ"),AND(J4139=1,I4139=0)),"?IN_FOCUS",IF(J4139&lt;=2,"?ACTIVATED",IF(J4139&lt;&gt;"","?FAMILIAR",IF(F4139="NEW",IF(ISNA(VLOOKUP(E4139,#REF!,1,FALSE())),"?TYPE_IDENTIFIABLE","?REFERENTIAL"),"_")))))</f>
        <v> </v>
      </c>
      <c r="H4139" s="24" t="str">
        <f>IF(J4139&lt;&gt;1,"",IF(I4139="SBJ","CB","?"))</f>
        <v> </v>
      </c>
      <c r="I4139" s="25" t="str">
        <f>IF(OR(E4139="",E4139="!!!",F4139="NEW"),"",INDEX(B4138:B$2,-1+SUMPRODUCT(MAX(ROW(E4138:E$2)*(E4139=E4138:E$2)))))</f>
        <v> </v>
      </c>
      <c r="J4139" s="25" t="str">
        <f>IF(OR(E4139="",E4139="!!!",F4139="NEW"),"",COUNTBLANK(OFFSET(A$1,,,SUMPRODUCT(MAX(ROW(E$2:E4139)*(E4139=E$2:E4139)))))-COUNTBLANK(OFFSET(A$1,,,SUMPRODUCT(MAX(ROW(E$1:E4138)*(E2=E$1:E4138))))))</f>
        <v> </v>
      </c>
      <c r="K4139" s="25" t="str">
        <f>IF(OR(E4139="",E4139="!!!",F4139="NEW"),"",INDEX(J$1:J4138,SUMPRODUCT(MAX(ROW(E$1:E4138)*(E4139=E$1:E4138)))))</f>
        <v> </v>
      </c>
      <c r="L4139" s="26"/>
    </row>
    <row r="4140" spans="1:12">
      <c r="A4140" s="20" t="s">
        <v>2943</v>
      </c>
      <c r="B4140" s="27" t="s">
        <v>1132</v>
      </c>
      <c r="C4140" s="27" t="s">
        <v>1156</v>
      </c>
      <c r="D4140" s="27" t="s">
        <v>1105</v>
      </c>
      <c r="E4140" s="21">
        <f>IF(D4140="?OLD","!!!","")</f>
        <v/>
      </c>
      <c r="F4140" s="22" t="str">
        <f>IF(OR(E4140="",E4140="!!!"),"",IF(NOT(ISNA(VLOOKUP(E4140,E$1:E4139,1,FALSE()))),"OLD",IF(AND(E4140&lt;&gt;"",E4140&lt;&gt;"!!!"),"NEW","")))</f>
        <v> </v>
      </c>
      <c r="G4140" s="23" t="str">
        <f>IF(OR(E4140="",E4140="!!!"),"",IF(OR(J4140=0,AND(J4140=1,K4140=1),AND(J4140=1,I4140="SBJ"),AND(J4140=1,I4140=0)),"?IN_FOCUS",IF(J4140&lt;=2,"?ACTIVATED",IF(J4140&lt;&gt;"","?FAMILIAR",IF(F4140="NEW",IF(ISNA(VLOOKUP(E4140,#REF!,1,FALSE())),"?TYPE_IDENTIFIABLE","?REFERENTIAL"),"_")))))</f>
        <v> </v>
      </c>
      <c r="H4140" s="24" t="str">
        <f>IF(J4140&lt;&gt;1,"",IF(I4140="SBJ","CB","?"))</f>
        <v> </v>
      </c>
      <c r="I4140" s="25" t="str">
        <f>IF(OR(E4140="",E4140="!!!",F4140="NEW"),"",INDEX(B4139:B$2,-1+SUMPRODUCT(MAX(ROW(E4139:E$2)*(E4140=E4139:E$2)))))</f>
        <v> </v>
      </c>
      <c r="J4140" s="25" t="str">
        <f>IF(OR(E4140="",E4140="!!!",F4140="NEW"),"",COUNTBLANK(OFFSET(A$1,,,SUMPRODUCT(MAX(ROW(E$2:E4140)*(E4140=E$2:E4140)))))-COUNTBLANK(OFFSET(A$1,,,SUMPRODUCT(MAX(ROW(E$1:E4139)*(E2=E$1:E4139))))))</f>
        <v> </v>
      </c>
      <c r="K4140" s="25" t="str">
        <f>IF(OR(E4140="",E4140="!!!",F4140="NEW"),"",INDEX(J$1:J4139,SUMPRODUCT(MAX(ROW(E$1:E4139)*(E4140=E$1:E4139)))))</f>
        <v> </v>
      </c>
      <c r="L4140" s="26"/>
    </row>
    <row r="4141" spans="1:12">
      <c r="A4141" s="20" t="s">
        <v>1242</v>
      </c>
      <c r="B4141" s="27" t="s">
        <v>1144</v>
      </c>
      <c r="C4141" s="27" t="s">
        <v>1126</v>
      </c>
      <c r="D4141" s="27" t="s">
        <v>1105</v>
      </c>
      <c r="E4141" s="21">
        <f>IF(D4141="?OLD","!!!","")</f>
        <v/>
      </c>
      <c r="F4141" s="22" t="str">
        <f>IF(OR(E4141="",E4141="!!!"),"",IF(NOT(ISNA(VLOOKUP(E4141,E$1:E4140,1,FALSE()))),"OLD",IF(AND(E4141&lt;&gt;"",E4141&lt;&gt;"!!!"),"NEW","")))</f>
        <v> </v>
      </c>
      <c r="G4141" s="23" t="str">
        <f>IF(OR(E4141="",E4141="!!!"),"",IF(OR(J4141=0,AND(J4141=1,K4141=1),AND(J4141=1,I4141="SBJ"),AND(J4141=1,I4141=0)),"?IN_FOCUS",IF(J4141&lt;=2,"?ACTIVATED",IF(J4141&lt;&gt;"","?FAMILIAR",IF(F4141="NEW",IF(ISNA(VLOOKUP(E4141,#REF!,1,FALSE())),"?TYPE_IDENTIFIABLE","?REFERENTIAL"),"_")))))</f>
        <v> </v>
      </c>
      <c r="H4141" s="24" t="str">
        <f>IF(J4141&lt;&gt;1,"",IF(I4141="SBJ","CB","?"))</f>
        <v> </v>
      </c>
      <c r="I4141" s="25" t="str">
        <f>IF(OR(E4141="",E4141="!!!",F4141="NEW"),"",INDEX(B4140:B$2,-1+SUMPRODUCT(MAX(ROW(E4140:E$2)*(E4141=E4140:E$2)))))</f>
        <v> </v>
      </c>
      <c r="J4141" s="25" t="str">
        <f>IF(OR(E4141="",E4141="!!!",F4141="NEW"),"",COUNTBLANK(OFFSET(A$1,,,SUMPRODUCT(MAX(ROW(E$2:E4141)*(E4141=E$2:E4141)))))-COUNTBLANK(OFFSET(A$1,,,SUMPRODUCT(MAX(ROW(E$1:E4140)*(E2=E$1:E4140))))))</f>
        <v> </v>
      </c>
      <c r="K4141" s="25" t="str">
        <f>IF(OR(E4141="",E4141="!!!",F4141="NEW"),"",INDEX(J$1:J4140,SUMPRODUCT(MAX(ROW(E$1:E4140)*(E4141=E$1:E4140)))))</f>
        <v> </v>
      </c>
      <c r="L4141" s="26"/>
    </row>
    <row r="4142" spans="1:12">
      <c r="A4142" s="20" t="s">
        <v>2944</v>
      </c>
      <c r="E4142" s="21">
        <f>IF(D4142="?OLD","!!!","")</f>
        <v/>
      </c>
      <c r="F4142" s="22" t="str">
        <f>IF(OR(E4142="",E4142="!!!"),"",IF(NOT(ISNA(VLOOKUP(E4142,E$1:E4141,1,FALSE()))),"OLD",IF(AND(E4142&lt;&gt;"",E4142&lt;&gt;"!!!"),"NEW","")))</f>
        <v> </v>
      </c>
      <c r="G4142" s="23" t="str">
        <f>IF(OR(E4142="",E4142="!!!"),"",IF(OR(J4142=0,AND(J4142=1,K4142=1),AND(J4142=1,I4142="SBJ"),AND(J4142=1,I4142=0)),"?IN_FOCUS",IF(J4142&lt;=2,"?ACTIVATED",IF(J4142&lt;&gt;"","?FAMILIAR",IF(F4142="NEW",IF(ISNA(VLOOKUP(E4142,#REF!,1,FALSE())),"?TYPE_IDENTIFIABLE","?REFERENTIAL"),"_")))))</f>
        <v> </v>
      </c>
      <c r="H4142" s="24" t="str">
        <f>IF(J4142&lt;&gt;1,"",IF(I4142="SBJ","CB","?"))</f>
        <v> </v>
      </c>
      <c r="I4142" s="25" t="str">
        <f>IF(OR(E4142="",E4142="!!!",F4142="NEW"),"",INDEX(B4141:B$2,-1+SUMPRODUCT(MAX(ROW(E4141:E$2)*(E4142=E4141:E$2)))))</f>
        <v> </v>
      </c>
      <c r="J4142" s="25" t="str">
        <f>IF(OR(E4142="",E4142="!!!",F4142="NEW"),"",COUNTBLANK(OFFSET(A$1,,,SUMPRODUCT(MAX(ROW(E$2:E4142)*(E4142=E$2:E4142)))))-COUNTBLANK(OFFSET(A$1,,,SUMPRODUCT(MAX(ROW(E$1:E4141)*(E2=E$1:E4141))))))</f>
        <v> </v>
      </c>
      <c r="K4142" s="25" t="str">
        <f>IF(OR(E4142="",E4142="!!!",F4142="NEW"),"",INDEX(J$1:J4141,SUMPRODUCT(MAX(ROW(E$1:E4141)*(E4142=E$1:E4141)))))</f>
        <v> </v>
      </c>
      <c r="L4142" s="26"/>
    </row>
    <row r="4143" spans="1:12">
      <c r="A4143" s="20" t="s">
        <v>2103</v>
      </c>
      <c r="B4143" s="27" t="s">
        <v>1144</v>
      </c>
      <c r="E4143" s="21">
        <f>IF(D4143="?OLD","!!!","")</f>
        <v/>
      </c>
      <c r="F4143" s="22" t="str">
        <f>IF(OR(E4143="",E4143="!!!"),"",IF(NOT(ISNA(VLOOKUP(E4143,E$1:E4142,1,FALSE()))),"OLD",IF(AND(E4143&lt;&gt;"",E4143&lt;&gt;"!!!"),"NEW","")))</f>
        <v> </v>
      </c>
      <c r="G4143" s="23" t="str">
        <f>IF(OR(E4143="",E4143="!!!"),"",IF(OR(J4143=0,AND(J4143=1,K4143=1),AND(J4143=1,I4143="SBJ"),AND(J4143=1,I4143=0)),"?IN_FOCUS",IF(J4143&lt;=2,"?ACTIVATED",IF(J4143&lt;&gt;"","?FAMILIAR",IF(F4143="NEW",IF(ISNA(VLOOKUP(E4143,#REF!,1,FALSE())),"?TYPE_IDENTIFIABLE","?REFERENTIAL"),"_")))))</f>
        <v> </v>
      </c>
      <c r="H4143" s="24" t="str">
        <f>IF(J4143&lt;&gt;1,"",IF(I4143="SBJ","CB","?"))</f>
        <v> </v>
      </c>
      <c r="I4143" s="25" t="str">
        <f>IF(OR(E4143="",E4143="!!!",F4143="NEW"),"",INDEX(B4142:B$2,-1+SUMPRODUCT(MAX(ROW(E4142:E$2)*(E4143=E4142:E$2)))))</f>
        <v> </v>
      </c>
      <c r="J4143" s="25" t="str">
        <f>IF(OR(E4143="",E4143="!!!",F4143="NEW"),"",COUNTBLANK(OFFSET(A$1,,,SUMPRODUCT(MAX(ROW(E$2:E4143)*(E4143=E$2:E4143)))))-COUNTBLANK(OFFSET(A$1,,,SUMPRODUCT(MAX(ROW(E$1:E4142)*(E2=E$1:E4142))))))</f>
        <v> </v>
      </c>
      <c r="K4143" s="25" t="str">
        <f>IF(OR(E4143="",E4143="!!!",F4143="NEW"),"",INDEX(J$1:J4142,SUMPRODUCT(MAX(ROW(E$1:E4142)*(E4143=E$1:E4142)))))</f>
        <v> </v>
      </c>
      <c r="L4143" s="26"/>
    </row>
    <row r="4144" spans="1:12">
      <c r="A4144" s="20" t="s">
        <v>1145</v>
      </c>
      <c r="E4144" s="21">
        <f>IF(D4144="?OLD","!!!","")</f>
        <v/>
      </c>
      <c r="F4144" s="22" t="str">
        <f>IF(OR(E4144="",E4144="!!!"),"",IF(NOT(ISNA(VLOOKUP(E4144,E$1:E4143,1,FALSE()))),"OLD",IF(AND(E4144&lt;&gt;"",E4144&lt;&gt;"!!!"),"NEW","")))</f>
        <v> </v>
      </c>
      <c r="G4144" s="23" t="str">
        <f>IF(OR(E4144="",E4144="!!!"),"",IF(OR(J4144=0,AND(J4144=1,K4144=1),AND(J4144=1,I4144="SBJ"),AND(J4144=1,I4144=0)),"?IN_FOCUS",IF(J4144&lt;=2,"?ACTIVATED",IF(J4144&lt;&gt;"","?FAMILIAR",IF(F4144="NEW",IF(ISNA(VLOOKUP(E4144,#REF!,1,FALSE())),"?TYPE_IDENTIFIABLE","?REFERENTIAL"),"_")))))</f>
        <v> </v>
      </c>
      <c r="H4144" s="24" t="str">
        <f>IF(J4144&lt;&gt;1,"",IF(I4144="SBJ","CB","?"))</f>
        <v> </v>
      </c>
      <c r="I4144" s="25" t="str">
        <f>IF(OR(E4144="",E4144="!!!",F4144="NEW"),"",INDEX(B4143:B$2,-1+SUMPRODUCT(MAX(ROW(E4143:E$2)*(E4144=E4143:E$2)))))</f>
        <v> </v>
      </c>
      <c r="J4144" s="25" t="str">
        <f>IF(OR(E4144="",E4144="!!!",F4144="NEW"),"",COUNTBLANK(OFFSET(A$1,,,SUMPRODUCT(MAX(ROW(E$2:E4144)*(E4144=E$2:E4144)))))-COUNTBLANK(OFFSET(A$1,,,SUMPRODUCT(MAX(ROW(E$1:E4143)*(E2=E$1:E4143))))))</f>
        <v> </v>
      </c>
      <c r="K4144" s="25" t="str">
        <f>IF(OR(E4144="",E4144="!!!",F4144="NEW"),"",INDEX(J$1:J4143,SUMPRODUCT(MAX(ROW(E$1:E4143)*(E4144=E$1:E4143)))))</f>
        <v> </v>
      </c>
      <c r="L4144" s="26"/>
    </row>
    <row r="4145" spans="1:12">
      <c r="A4145" s="20"/>
    </row>
    <row r="4146" spans="1:12">
      <c r="A4146" s="20" t="s">
        <v>2945</v>
      </c>
    </row>
    <row r="4147" spans="1:12">
      <c r="A4147" s="20" t="s">
        <v>2946</v>
      </c>
      <c r="E4147" s="21">
        <f>IF(D4147="?OLD","!!!","")</f>
        <v/>
      </c>
      <c r="F4147" s="22" t="str">
        <f>IF(OR(E4147="",E4147="!!!"),"",IF(NOT(ISNA(VLOOKUP(E4147,E$1:E4146,1,FALSE()))),"OLD",IF(AND(E4147&lt;&gt;"",E4147&lt;&gt;"!!!"),"NEW","")))</f>
        <v> </v>
      </c>
      <c r="G4147" s="23" t="str">
        <f>IF(OR(E4147="",E4147="!!!"),"",IF(OR(J4147=0,AND(J4147=1,K4147=1),AND(J4147=1,I4147="SBJ"),AND(J4147=1,I4147=0)),"?IN_FOCUS",IF(J4147&lt;=2,"?ACTIVATED",IF(J4147&lt;&gt;"","?FAMILIAR",IF(F4147="NEW",IF(ISNA(VLOOKUP(E4147,#REF!,1,FALSE())),"?TYPE_IDENTIFIABLE","?REFERENTIAL"),"_")))))</f>
        <v> </v>
      </c>
      <c r="H4147" s="24" t="str">
        <f>IF(J4147&lt;&gt;1,"",IF(I4147="SBJ","CB","?"))</f>
        <v> </v>
      </c>
      <c r="I4147" s="25" t="str">
        <f>IF(OR(E4147="",E4147="!!!",F4147="NEW"),"",INDEX(B4146:B$2,-1+SUMPRODUCT(MAX(ROW(E4146:E$2)*(E4147=E4146:E$2)))))</f>
        <v> </v>
      </c>
      <c r="J4147" s="25" t="str">
        <f>IF(OR(E4147="",E4147="!!!",F4147="NEW"),"",COUNTBLANK(OFFSET(A$1,,,SUMPRODUCT(MAX(ROW(E$2:E4147)*(E4147=E$2:E4147)))))-COUNTBLANK(OFFSET(A$1,,,SUMPRODUCT(MAX(ROW(E$1:E4146)*(E2=E$1:E4146))))))</f>
        <v> </v>
      </c>
      <c r="K4147" s="25" t="str">
        <f>IF(OR(E4147="",E4147="!!!",F4147="NEW"),"",INDEX(J$1:J4146,SUMPRODUCT(MAX(ROW(E$1:E4146)*(E4147=E$1:E4146)))))</f>
        <v> </v>
      </c>
      <c r="L4147" s="26"/>
    </row>
    <row r="4148" spans="1:12">
      <c r="A4148" s="20" t="s">
        <v>2947</v>
      </c>
      <c r="E4148" s="21">
        <f>IF(D4148="?OLD","!!!","")</f>
        <v/>
      </c>
      <c r="F4148" s="22" t="str">
        <f>IF(OR(E4148="",E4148="!!!"),"",IF(NOT(ISNA(VLOOKUP(E4148,E$1:E4147,1,FALSE()))),"OLD",IF(AND(E4148&lt;&gt;"",E4148&lt;&gt;"!!!"),"NEW","")))</f>
        <v> </v>
      </c>
      <c r="G4148" s="23" t="str">
        <f>IF(OR(E4148="",E4148="!!!"),"",IF(OR(J4148=0,AND(J4148=1,K4148=1),AND(J4148=1,I4148="SBJ"),AND(J4148=1,I4148=0)),"?IN_FOCUS",IF(J4148&lt;=2,"?ACTIVATED",IF(J4148&lt;&gt;"","?FAMILIAR",IF(F4148="NEW",IF(ISNA(VLOOKUP(E4148,#REF!,1,FALSE())),"?TYPE_IDENTIFIABLE","?REFERENTIAL"),"_")))))</f>
        <v> </v>
      </c>
      <c r="H4148" s="24" t="str">
        <f>IF(J4148&lt;&gt;1,"",IF(I4148="SBJ","CB","?"))</f>
        <v> </v>
      </c>
      <c r="I4148" s="25" t="str">
        <f>IF(OR(E4148="",E4148="!!!",F4148="NEW"),"",INDEX(B4147:B$2,-1+SUMPRODUCT(MAX(ROW(E4147:E$2)*(E4148=E4147:E$2)))))</f>
        <v> </v>
      </c>
      <c r="J4148" s="25" t="str">
        <f>IF(OR(E4148="",E4148="!!!",F4148="NEW"),"",COUNTBLANK(OFFSET(A$1,,,SUMPRODUCT(MAX(ROW(E$2:E4148)*(E4148=E$2:E4148)))))-COUNTBLANK(OFFSET(A$1,,,SUMPRODUCT(MAX(ROW(E$1:E4147)*(E2=E$1:E4147))))))</f>
        <v> </v>
      </c>
      <c r="K4148" s="25" t="str">
        <f>IF(OR(E4148="",E4148="!!!",F4148="NEW"),"",INDEX(J$1:J4147,SUMPRODUCT(MAX(ROW(E$1:E4147)*(E4148=E$1:E4147)))))</f>
        <v> </v>
      </c>
      <c r="L4148" s="26"/>
    </row>
    <row r="4149" spans="1:12">
      <c r="A4149" s="20" t="s">
        <v>1123</v>
      </c>
      <c r="E4149" s="21">
        <f>IF(D4149="?OLD","!!!","")</f>
        <v/>
      </c>
      <c r="F4149" s="22" t="str">
        <f>IF(OR(E4149="",E4149="!!!"),"",IF(NOT(ISNA(VLOOKUP(E4149,E$1:E4148,1,FALSE()))),"OLD",IF(AND(E4149&lt;&gt;"",E4149&lt;&gt;"!!!"),"NEW","")))</f>
        <v> </v>
      </c>
      <c r="G4149" s="23" t="str">
        <f>IF(OR(E4149="",E4149="!!!"),"",IF(OR(J4149=0,AND(J4149=1,K4149=1),AND(J4149=1,I4149="SBJ"),AND(J4149=1,I4149=0)),"?IN_FOCUS",IF(J4149&lt;=2,"?ACTIVATED",IF(J4149&lt;&gt;"","?FAMILIAR",IF(F4149="NEW",IF(ISNA(VLOOKUP(E4149,#REF!,1,FALSE())),"?TYPE_IDENTIFIABLE","?REFERENTIAL"),"_")))))</f>
        <v> </v>
      </c>
      <c r="H4149" s="24" t="str">
        <f>IF(J4149&lt;&gt;1,"",IF(I4149="SBJ","CB","?"))</f>
        <v> </v>
      </c>
      <c r="I4149" s="25" t="str">
        <f>IF(OR(E4149="",E4149="!!!",F4149="NEW"),"",INDEX(B4148:B$2,-1+SUMPRODUCT(MAX(ROW(E4148:E$2)*(E4149=E4148:E$2)))))</f>
        <v> </v>
      </c>
      <c r="J4149" s="25" t="str">
        <f>IF(OR(E4149="",E4149="!!!",F4149="NEW"),"",COUNTBLANK(OFFSET(A$1,,,SUMPRODUCT(MAX(ROW(E$2:E4149)*(E4149=E$2:E4149)))))-COUNTBLANK(OFFSET(A$1,,,SUMPRODUCT(MAX(ROW(E$1:E4148)*(E2=E$1:E4148))))))</f>
        <v> </v>
      </c>
      <c r="K4149" s="25" t="str">
        <f>IF(OR(E4149="",E4149="!!!",F4149="NEW"),"",INDEX(J$1:J4148,SUMPRODUCT(MAX(ROW(E$1:E4148)*(E4149=E$1:E4148)))))</f>
        <v> </v>
      </c>
      <c r="L4149" s="26"/>
    </row>
    <row r="4150" spans="1:12">
      <c r="A4150" s="20" t="s">
        <v>2948</v>
      </c>
      <c r="E4150" s="21">
        <f>IF(D4150="?OLD","!!!","")</f>
        <v/>
      </c>
      <c r="F4150" s="22" t="str">
        <f>IF(OR(E4150="",E4150="!!!"),"",IF(NOT(ISNA(VLOOKUP(E4150,E$1:E4149,1,FALSE()))),"OLD",IF(AND(E4150&lt;&gt;"",E4150&lt;&gt;"!!!"),"NEW","")))</f>
        <v> </v>
      </c>
      <c r="G4150" s="23" t="str">
        <f>IF(OR(E4150="",E4150="!!!"),"",IF(OR(J4150=0,AND(J4150=1,K4150=1),AND(J4150=1,I4150="SBJ"),AND(J4150=1,I4150=0)),"?IN_FOCUS",IF(J4150&lt;=2,"?ACTIVATED",IF(J4150&lt;&gt;"","?FAMILIAR",IF(F4150="NEW",IF(ISNA(VLOOKUP(E4150,#REF!,1,FALSE())),"?TYPE_IDENTIFIABLE","?REFERENTIAL"),"_")))))</f>
        <v> </v>
      </c>
      <c r="H4150" s="24" t="str">
        <f>IF(J4150&lt;&gt;1,"",IF(I4150="SBJ","CB","?"))</f>
        <v> </v>
      </c>
      <c r="I4150" s="25" t="str">
        <f>IF(OR(E4150="",E4150="!!!",F4150="NEW"),"",INDEX(B4149:B$2,-1+SUMPRODUCT(MAX(ROW(E4149:E$2)*(E4150=E4149:E$2)))))</f>
        <v> </v>
      </c>
      <c r="J4150" s="25" t="str">
        <f>IF(OR(E4150="",E4150="!!!",F4150="NEW"),"",COUNTBLANK(OFFSET(A$1,,,SUMPRODUCT(MAX(ROW(E$2:E4150)*(E4150=E$2:E4150)))))-COUNTBLANK(OFFSET(A$1,,,SUMPRODUCT(MAX(ROW(E$1:E4149)*(E2=E$1:E4149))))))</f>
        <v> </v>
      </c>
      <c r="K4150" s="25" t="str">
        <f>IF(OR(E4150="",E4150="!!!",F4150="NEW"),"",INDEX(J$1:J4149,SUMPRODUCT(MAX(ROW(E$1:E4149)*(E4150=E$1:E4149)))))</f>
        <v> </v>
      </c>
      <c r="L4150" s="26"/>
    </row>
    <row r="4151" spans="1:12">
      <c r="A4151" s="20" t="s">
        <v>2488</v>
      </c>
      <c r="B4151" s="27" t="s">
        <v>1149</v>
      </c>
      <c r="E4151" s="21">
        <f>IF(D4151="?OLD","!!!","")</f>
        <v/>
      </c>
      <c r="F4151" s="22" t="str">
        <f>IF(OR(E4151="",E4151="!!!"),"",IF(NOT(ISNA(VLOOKUP(E4151,E$1:E4150,1,FALSE()))),"OLD",IF(AND(E4151&lt;&gt;"",E4151&lt;&gt;"!!!"),"NEW","")))</f>
        <v> </v>
      </c>
      <c r="G4151" s="23" t="str">
        <f>IF(OR(E4151="",E4151="!!!"),"",IF(OR(J4151=0,AND(J4151=1,K4151=1),AND(J4151=1,I4151="SBJ"),AND(J4151=1,I4151=0)),"?IN_FOCUS",IF(J4151&lt;=2,"?ACTIVATED",IF(J4151&lt;&gt;"","?FAMILIAR",IF(F4151="NEW",IF(ISNA(VLOOKUP(E4151,#REF!,1,FALSE())),"?TYPE_IDENTIFIABLE","?REFERENTIAL"),"_")))))</f>
        <v> </v>
      </c>
      <c r="H4151" s="24" t="str">
        <f>IF(J4151&lt;&gt;1,"",IF(I4151="SBJ","CB","?"))</f>
        <v> </v>
      </c>
      <c r="I4151" s="25" t="str">
        <f>IF(OR(E4151="",E4151="!!!",F4151="NEW"),"",INDEX(B4150:B$2,-1+SUMPRODUCT(MAX(ROW(E4150:E$2)*(E4151=E4150:E$2)))))</f>
        <v> </v>
      </c>
      <c r="J4151" s="25" t="str">
        <f>IF(OR(E4151="",E4151="!!!",F4151="NEW"),"",COUNTBLANK(OFFSET(A$1,,,SUMPRODUCT(MAX(ROW(E$2:E4151)*(E4151=E$2:E4151)))))-COUNTBLANK(OFFSET(A$1,,,SUMPRODUCT(MAX(ROW(E$1:E4150)*(E2=E$1:E4150))))))</f>
        <v> </v>
      </c>
      <c r="K4151" s="25" t="str">
        <f>IF(OR(E4151="",E4151="!!!",F4151="NEW"),"",INDEX(J$1:J4150,SUMPRODUCT(MAX(ROW(E$1:E4150)*(E4151=E$1:E4150)))))</f>
        <v> </v>
      </c>
      <c r="L4151" s="26"/>
    </row>
    <row r="4152" spans="1:12">
      <c r="A4152" s="20" t="s">
        <v>2324</v>
      </c>
      <c r="E4152" s="21">
        <f>IF(D4152="?OLD","!!!","")</f>
        <v/>
      </c>
      <c r="F4152" s="22" t="str">
        <f>IF(OR(E4152="",E4152="!!!"),"",IF(NOT(ISNA(VLOOKUP(E4152,E$1:E4151,1,FALSE()))),"OLD",IF(AND(E4152&lt;&gt;"",E4152&lt;&gt;"!!!"),"NEW","")))</f>
        <v> </v>
      </c>
      <c r="G4152" s="23" t="str">
        <f>IF(OR(E4152="",E4152="!!!"),"",IF(OR(J4152=0,AND(J4152=1,K4152=1),AND(J4152=1,I4152="SBJ"),AND(J4152=1,I4152=0)),"?IN_FOCUS",IF(J4152&lt;=2,"?ACTIVATED",IF(J4152&lt;&gt;"","?FAMILIAR",IF(F4152="NEW",IF(ISNA(VLOOKUP(E4152,#REF!,1,FALSE())),"?TYPE_IDENTIFIABLE","?REFERENTIAL"),"_")))))</f>
        <v> </v>
      </c>
      <c r="H4152" s="24" t="str">
        <f>IF(J4152&lt;&gt;1,"",IF(I4152="SBJ","CB","?"))</f>
        <v> </v>
      </c>
      <c r="I4152" s="25" t="str">
        <f>IF(OR(E4152="",E4152="!!!",F4152="NEW"),"",INDEX(B4151:B$2,-1+SUMPRODUCT(MAX(ROW(E4151:E$2)*(E4152=E4151:E$2)))))</f>
        <v> </v>
      </c>
      <c r="J4152" s="25" t="str">
        <f>IF(OR(E4152="",E4152="!!!",F4152="NEW"),"",COUNTBLANK(OFFSET(A$1,,,SUMPRODUCT(MAX(ROW(E$2:E4152)*(E4152=E$2:E4152)))))-COUNTBLANK(OFFSET(A$1,,,SUMPRODUCT(MAX(ROW(E$1:E4151)*(E2=E$1:E4151))))))</f>
        <v> </v>
      </c>
      <c r="K4152" s="25" t="str">
        <f>IF(OR(E4152="",E4152="!!!",F4152="NEW"),"",INDEX(J$1:J4151,SUMPRODUCT(MAX(ROW(E$1:E4151)*(E4152=E$1:E4151)))))</f>
        <v> </v>
      </c>
      <c r="L4152" s="26"/>
    </row>
    <row r="4153" spans="1:12">
      <c r="A4153" s="20" t="s">
        <v>2949</v>
      </c>
      <c r="E4153" s="21">
        <f>IF(D4153="?OLD","!!!","")</f>
        <v/>
      </c>
      <c r="F4153" s="22" t="str">
        <f>IF(OR(E4153="",E4153="!!!"),"",IF(NOT(ISNA(VLOOKUP(E4153,E$1:E4152,1,FALSE()))),"OLD",IF(AND(E4153&lt;&gt;"",E4153&lt;&gt;"!!!"),"NEW","")))</f>
        <v> </v>
      </c>
      <c r="G4153" s="23" t="str">
        <f>IF(OR(E4153="",E4153="!!!"),"",IF(OR(J4153=0,AND(J4153=1,K4153=1),AND(J4153=1,I4153="SBJ"),AND(J4153=1,I4153=0)),"?IN_FOCUS",IF(J4153&lt;=2,"?ACTIVATED",IF(J4153&lt;&gt;"","?FAMILIAR",IF(F4153="NEW",IF(ISNA(VLOOKUP(E4153,#REF!,1,FALSE())),"?TYPE_IDENTIFIABLE","?REFERENTIAL"),"_")))))</f>
        <v> </v>
      </c>
      <c r="H4153" s="24" t="str">
        <f>IF(J4153&lt;&gt;1,"",IF(I4153="SBJ","CB","?"))</f>
        <v> </v>
      </c>
      <c r="I4153" s="25" t="str">
        <f>IF(OR(E4153="",E4153="!!!",F4153="NEW"),"",INDEX(B4152:B$2,-1+SUMPRODUCT(MAX(ROW(E4152:E$2)*(E4153=E4152:E$2)))))</f>
        <v> </v>
      </c>
      <c r="J4153" s="25" t="str">
        <f>IF(OR(E4153="",E4153="!!!",F4153="NEW"),"",COUNTBLANK(OFFSET(A$1,,,SUMPRODUCT(MAX(ROW(E$2:E4153)*(E4153=E$2:E4153)))))-COUNTBLANK(OFFSET(A$1,,,SUMPRODUCT(MAX(ROW(E$1:E4152)*(E2=E$1:E4152))))))</f>
        <v> </v>
      </c>
      <c r="K4153" s="25" t="str">
        <f>IF(OR(E4153="",E4153="!!!",F4153="NEW"),"",INDEX(J$1:J4152,SUMPRODUCT(MAX(ROW(E$1:E4152)*(E4153=E$1:E4152)))))</f>
        <v> </v>
      </c>
      <c r="L4153" s="26"/>
    </row>
    <row r="4154" spans="1:12">
      <c r="A4154" s="20" t="s">
        <v>2950</v>
      </c>
      <c r="E4154" s="21">
        <f>IF(D4154="?OLD","!!!","")</f>
        <v/>
      </c>
      <c r="F4154" s="22" t="str">
        <f>IF(OR(E4154="",E4154="!!!"),"",IF(NOT(ISNA(VLOOKUP(E4154,E$1:E4153,1,FALSE()))),"OLD",IF(AND(E4154&lt;&gt;"",E4154&lt;&gt;"!!!"),"NEW","")))</f>
        <v> </v>
      </c>
      <c r="G4154" s="23" t="str">
        <f>IF(OR(E4154="",E4154="!!!"),"",IF(OR(J4154=0,AND(J4154=1,K4154=1),AND(J4154=1,I4154="SBJ"),AND(J4154=1,I4154=0)),"?IN_FOCUS",IF(J4154&lt;=2,"?ACTIVATED",IF(J4154&lt;&gt;"","?FAMILIAR",IF(F4154="NEW",IF(ISNA(VLOOKUP(E4154,#REF!,1,FALSE())),"?TYPE_IDENTIFIABLE","?REFERENTIAL"),"_")))))</f>
        <v> </v>
      </c>
      <c r="H4154" s="24" t="str">
        <f>IF(J4154&lt;&gt;1,"",IF(I4154="SBJ","CB","?"))</f>
        <v> </v>
      </c>
      <c r="I4154" s="25" t="str">
        <f>IF(OR(E4154="",E4154="!!!",F4154="NEW"),"",INDEX(B4153:B$2,-1+SUMPRODUCT(MAX(ROW(E4153:E$2)*(E4154=E4153:E$2)))))</f>
        <v> </v>
      </c>
      <c r="J4154" s="25" t="str">
        <f>IF(OR(E4154="",E4154="!!!",F4154="NEW"),"",COUNTBLANK(OFFSET(A$1,,,SUMPRODUCT(MAX(ROW(E$2:E4154)*(E4154=E$2:E4154)))))-COUNTBLANK(OFFSET(A$1,,,SUMPRODUCT(MAX(ROW(E$1:E4153)*(E2=E$1:E4153))))))</f>
        <v> </v>
      </c>
      <c r="K4154" s="25" t="str">
        <f>IF(OR(E4154="",E4154="!!!",F4154="NEW"),"",INDEX(J$1:J4153,SUMPRODUCT(MAX(ROW(E$1:E4153)*(E4154=E$1:E4153)))))</f>
        <v> </v>
      </c>
      <c r="L4154" s="26"/>
    </row>
    <row r="4155" spans="1:12">
      <c r="A4155" s="20" t="s">
        <v>1184</v>
      </c>
      <c r="E4155" s="21">
        <f>IF(D4155="?OLD","!!!","")</f>
        <v/>
      </c>
      <c r="F4155" s="22" t="str">
        <f>IF(OR(E4155="",E4155="!!!"),"",IF(NOT(ISNA(VLOOKUP(E4155,E$1:E4154,1,FALSE()))),"OLD",IF(AND(E4155&lt;&gt;"",E4155&lt;&gt;"!!!"),"NEW","")))</f>
        <v> </v>
      </c>
      <c r="G4155" s="23" t="str">
        <f>IF(OR(E4155="",E4155="!!!"),"",IF(OR(J4155=0,AND(J4155=1,K4155=1),AND(J4155=1,I4155="SBJ"),AND(J4155=1,I4155=0)),"?IN_FOCUS",IF(J4155&lt;=2,"?ACTIVATED",IF(J4155&lt;&gt;"","?FAMILIAR",IF(F4155="NEW",IF(ISNA(VLOOKUP(E4155,#REF!,1,FALSE())),"?TYPE_IDENTIFIABLE","?REFERENTIAL"),"_")))))</f>
        <v> </v>
      </c>
      <c r="H4155" s="24" t="str">
        <f>IF(J4155&lt;&gt;1,"",IF(I4155="SBJ","CB","?"))</f>
        <v> </v>
      </c>
      <c r="I4155" s="25" t="str">
        <f>IF(OR(E4155="",E4155="!!!",F4155="NEW"),"",INDEX(B4154:B$2,-1+SUMPRODUCT(MAX(ROW(E4154:E$2)*(E4155=E4154:E$2)))))</f>
        <v> </v>
      </c>
      <c r="J4155" s="25" t="str">
        <f>IF(OR(E4155="",E4155="!!!",F4155="NEW"),"",COUNTBLANK(OFFSET(A$1,,,SUMPRODUCT(MAX(ROW(E$2:E4155)*(E4155=E$2:E4155)))))-COUNTBLANK(OFFSET(A$1,,,SUMPRODUCT(MAX(ROW(E$1:E4154)*(E2=E$1:E4154))))))</f>
        <v> </v>
      </c>
      <c r="K4155" s="25" t="str">
        <f>IF(OR(E4155="",E4155="!!!",F4155="NEW"),"",INDEX(J$1:J4154,SUMPRODUCT(MAX(ROW(E$1:E4154)*(E4155=E$1:E4154)))))</f>
        <v> </v>
      </c>
      <c r="L4155" s="26"/>
    </row>
    <row r="4156" spans="1:12">
      <c r="A4156" s="20" t="s">
        <v>2630</v>
      </c>
      <c r="E4156" s="21">
        <f>IF(D4156="?OLD","!!!","")</f>
        <v/>
      </c>
      <c r="F4156" s="22" t="str">
        <f>IF(OR(E4156="",E4156="!!!"),"",IF(NOT(ISNA(VLOOKUP(E4156,E$1:E4155,1,FALSE()))),"OLD",IF(AND(E4156&lt;&gt;"",E4156&lt;&gt;"!!!"),"NEW","")))</f>
        <v> </v>
      </c>
      <c r="G4156" s="23" t="str">
        <f>IF(OR(E4156="",E4156="!!!"),"",IF(OR(J4156=0,AND(J4156=1,K4156=1),AND(J4156=1,I4156="SBJ"),AND(J4156=1,I4156=0)),"?IN_FOCUS",IF(J4156&lt;=2,"?ACTIVATED",IF(J4156&lt;&gt;"","?FAMILIAR",IF(F4156="NEW",IF(ISNA(VLOOKUP(E4156,#REF!,1,FALSE())),"?TYPE_IDENTIFIABLE","?REFERENTIAL"),"_")))))</f>
        <v> </v>
      </c>
      <c r="H4156" s="24" t="str">
        <f>IF(J4156&lt;&gt;1,"",IF(I4156="SBJ","CB","?"))</f>
        <v> </v>
      </c>
      <c r="I4156" s="25" t="str">
        <f>IF(OR(E4156="",E4156="!!!",F4156="NEW"),"",INDEX(B4155:B$2,-1+SUMPRODUCT(MAX(ROW(E4155:E$2)*(E4156=E4155:E$2)))))</f>
        <v> </v>
      </c>
      <c r="J4156" s="25" t="str">
        <f>IF(OR(E4156="",E4156="!!!",F4156="NEW"),"",COUNTBLANK(OFFSET(A$1,,,SUMPRODUCT(MAX(ROW(E$2:E4156)*(E4156=E$2:E4156)))))-COUNTBLANK(OFFSET(A$1,,,SUMPRODUCT(MAX(ROW(E$1:E4155)*(E2=E$1:E4155))))))</f>
        <v> </v>
      </c>
      <c r="K4156" s="25" t="str">
        <f>IF(OR(E4156="",E4156="!!!",F4156="NEW"),"",INDEX(J$1:J4155,SUMPRODUCT(MAX(ROW(E$1:E4155)*(E4156=E$1:E4155)))))</f>
        <v> </v>
      </c>
      <c r="L4156" s="26"/>
    </row>
    <row r="4157" spans="1:12">
      <c r="A4157" s="20" t="s">
        <v>2631</v>
      </c>
      <c r="E4157" s="21">
        <f>IF(D4157="?OLD","!!!","")</f>
        <v/>
      </c>
      <c r="F4157" s="22" t="str">
        <f>IF(OR(E4157="",E4157="!!!"),"",IF(NOT(ISNA(VLOOKUP(E4157,E$1:E4156,1,FALSE()))),"OLD",IF(AND(E4157&lt;&gt;"",E4157&lt;&gt;"!!!"),"NEW","")))</f>
        <v> </v>
      </c>
      <c r="G4157" s="23" t="str">
        <f>IF(OR(E4157="",E4157="!!!"),"",IF(OR(J4157=0,AND(J4157=1,K4157=1),AND(J4157=1,I4157="SBJ"),AND(J4157=1,I4157=0)),"?IN_FOCUS",IF(J4157&lt;=2,"?ACTIVATED",IF(J4157&lt;&gt;"","?FAMILIAR",IF(F4157="NEW",IF(ISNA(VLOOKUP(E4157,#REF!,1,FALSE())),"?TYPE_IDENTIFIABLE","?REFERENTIAL"),"_")))))</f>
        <v> </v>
      </c>
      <c r="H4157" s="24" t="str">
        <f>IF(J4157&lt;&gt;1,"",IF(I4157="SBJ","CB","?"))</f>
        <v> </v>
      </c>
      <c r="I4157" s="25" t="str">
        <f>IF(OR(E4157="",E4157="!!!",F4157="NEW"),"",INDEX(B4156:B$2,-1+SUMPRODUCT(MAX(ROW(E4156:E$2)*(E4157=E4156:E$2)))))</f>
        <v> </v>
      </c>
      <c r="J4157" s="25" t="str">
        <f>IF(OR(E4157="",E4157="!!!",F4157="NEW"),"",COUNTBLANK(OFFSET(A$1,,,SUMPRODUCT(MAX(ROW(E$2:E4157)*(E4157=E$2:E4157)))))-COUNTBLANK(OFFSET(A$1,,,SUMPRODUCT(MAX(ROW(E$1:E4156)*(E2=E$1:E4156))))))</f>
        <v> </v>
      </c>
      <c r="K4157" s="25" t="str">
        <f>IF(OR(E4157="",E4157="!!!",F4157="NEW"),"",INDEX(J$1:J4156,SUMPRODUCT(MAX(ROW(E$1:E4156)*(E4157=E$1:E4156)))))</f>
        <v> </v>
      </c>
      <c r="L4157" s="26"/>
    </row>
    <row r="4158" spans="1:12">
      <c r="A4158" s="20" t="s">
        <v>2951</v>
      </c>
      <c r="E4158" s="21">
        <f>IF(D4158="?OLD","!!!","")</f>
        <v/>
      </c>
      <c r="F4158" s="22" t="str">
        <f>IF(OR(E4158="",E4158="!!!"),"",IF(NOT(ISNA(VLOOKUP(E4158,E$1:E4157,1,FALSE()))),"OLD",IF(AND(E4158&lt;&gt;"",E4158&lt;&gt;"!!!"),"NEW","")))</f>
        <v> </v>
      </c>
      <c r="G4158" s="23" t="str">
        <f>IF(OR(E4158="",E4158="!!!"),"",IF(OR(J4158=0,AND(J4158=1,K4158=1),AND(J4158=1,I4158="SBJ"),AND(J4158=1,I4158=0)),"?IN_FOCUS",IF(J4158&lt;=2,"?ACTIVATED",IF(J4158&lt;&gt;"","?FAMILIAR",IF(F4158="NEW",IF(ISNA(VLOOKUP(E4158,#REF!,1,FALSE())),"?TYPE_IDENTIFIABLE","?REFERENTIAL"),"_")))))</f>
        <v> </v>
      </c>
      <c r="H4158" s="24" t="str">
        <f>IF(J4158&lt;&gt;1,"",IF(I4158="SBJ","CB","?"))</f>
        <v> </v>
      </c>
      <c r="I4158" s="25" t="str">
        <f>IF(OR(E4158="",E4158="!!!",F4158="NEW"),"",INDEX(B4157:B$2,-1+SUMPRODUCT(MAX(ROW(E4157:E$2)*(E4158=E4157:E$2)))))</f>
        <v> </v>
      </c>
      <c r="J4158" s="25" t="str">
        <f>IF(OR(E4158="",E4158="!!!",F4158="NEW"),"",COUNTBLANK(OFFSET(A$1,,,SUMPRODUCT(MAX(ROW(E$2:E4158)*(E4158=E$2:E4158)))))-COUNTBLANK(OFFSET(A$1,,,SUMPRODUCT(MAX(ROW(E$1:E4157)*(E2=E$1:E4157))))))</f>
        <v> </v>
      </c>
      <c r="K4158" s="25" t="str">
        <f>IF(OR(E4158="",E4158="!!!",F4158="NEW"),"",INDEX(J$1:J4157,SUMPRODUCT(MAX(ROW(E$1:E4157)*(E4158=E$1:E4157)))))</f>
        <v> </v>
      </c>
      <c r="L4158" s="26"/>
    </row>
    <row r="4159" spans="1:12">
      <c r="A4159" s="20" t="s">
        <v>1392</v>
      </c>
      <c r="E4159" s="21">
        <f>IF(D4159="?OLD","!!!","")</f>
        <v/>
      </c>
      <c r="F4159" s="22" t="str">
        <f>IF(OR(E4159="",E4159="!!!"),"",IF(NOT(ISNA(VLOOKUP(E4159,E$1:E4158,1,FALSE()))),"OLD",IF(AND(E4159&lt;&gt;"",E4159&lt;&gt;"!!!"),"NEW","")))</f>
        <v> </v>
      </c>
      <c r="G4159" s="23" t="str">
        <f>IF(OR(E4159="",E4159="!!!"),"",IF(OR(J4159=0,AND(J4159=1,K4159=1),AND(J4159=1,I4159="SBJ"),AND(J4159=1,I4159=0)),"?IN_FOCUS",IF(J4159&lt;=2,"?ACTIVATED",IF(J4159&lt;&gt;"","?FAMILIAR",IF(F4159="NEW",IF(ISNA(VLOOKUP(E4159,#REF!,1,FALSE())),"?TYPE_IDENTIFIABLE","?REFERENTIAL"),"_")))))</f>
        <v> </v>
      </c>
      <c r="H4159" s="24" t="str">
        <f>IF(J4159&lt;&gt;1,"",IF(I4159="SBJ","CB","?"))</f>
        <v> </v>
      </c>
      <c r="I4159" s="25" t="str">
        <f>IF(OR(E4159="",E4159="!!!",F4159="NEW"),"",INDEX(B4158:B$2,-1+SUMPRODUCT(MAX(ROW(E4158:E$2)*(E4159=E4158:E$2)))))</f>
        <v> </v>
      </c>
      <c r="J4159" s="25" t="str">
        <f>IF(OR(E4159="",E4159="!!!",F4159="NEW"),"",COUNTBLANK(OFFSET(A$1,,,SUMPRODUCT(MAX(ROW(E$2:E4159)*(E4159=E$2:E4159)))))-COUNTBLANK(OFFSET(A$1,,,SUMPRODUCT(MAX(ROW(E$1:E4158)*(E2=E$1:E4158))))))</f>
        <v> </v>
      </c>
      <c r="K4159" s="25" t="str">
        <f>IF(OR(E4159="",E4159="!!!",F4159="NEW"),"",INDEX(J$1:J4158,SUMPRODUCT(MAX(ROW(E$1:E4158)*(E4159=E$1:E4158)))))</f>
        <v> </v>
      </c>
      <c r="L4159" s="26"/>
    </row>
    <row r="4160" spans="1:12">
      <c r="A4160" s="20" t="s">
        <v>2632</v>
      </c>
      <c r="E4160" s="21">
        <f>IF(D4160="?OLD","!!!","")</f>
        <v/>
      </c>
      <c r="F4160" s="22" t="str">
        <f>IF(OR(E4160="",E4160="!!!"),"",IF(NOT(ISNA(VLOOKUP(E4160,E$1:E4159,1,FALSE()))),"OLD",IF(AND(E4160&lt;&gt;"",E4160&lt;&gt;"!!!"),"NEW","")))</f>
        <v> </v>
      </c>
      <c r="G4160" s="23" t="str">
        <f>IF(OR(E4160="",E4160="!!!"),"",IF(OR(J4160=0,AND(J4160=1,K4160=1),AND(J4160=1,I4160="SBJ"),AND(J4160=1,I4160=0)),"?IN_FOCUS",IF(J4160&lt;=2,"?ACTIVATED",IF(J4160&lt;&gt;"","?FAMILIAR",IF(F4160="NEW",IF(ISNA(VLOOKUP(E4160,#REF!,1,FALSE())),"?TYPE_IDENTIFIABLE","?REFERENTIAL"),"_")))))</f>
        <v> </v>
      </c>
      <c r="H4160" s="24" t="str">
        <f>IF(J4160&lt;&gt;1,"",IF(I4160="SBJ","CB","?"))</f>
        <v> </v>
      </c>
      <c r="I4160" s="25" t="str">
        <f>IF(OR(E4160="",E4160="!!!",F4160="NEW"),"",INDEX(B4159:B$2,-1+SUMPRODUCT(MAX(ROW(E4159:E$2)*(E4160=E4159:E$2)))))</f>
        <v> </v>
      </c>
      <c r="J4160" s="25" t="str">
        <f>IF(OR(E4160="",E4160="!!!",F4160="NEW"),"",COUNTBLANK(OFFSET(A$1,,,SUMPRODUCT(MAX(ROW(E$2:E4160)*(E4160=E$2:E4160)))))-COUNTBLANK(OFFSET(A$1,,,SUMPRODUCT(MAX(ROW(E$1:E4159)*(E2=E$1:E4159))))))</f>
        <v> </v>
      </c>
      <c r="K4160" s="25" t="str">
        <f>IF(OR(E4160="",E4160="!!!",F4160="NEW"),"",INDEX(J$1:J4159,SUMPRODUCT(MAX(ROW(E$1:E4159)*(E4160=E$1:E4159)))))</f>
        <v> </v>
      </c>
      <c r="L4160" s="26"/>
    </row>
    <row r="4161" spans="1:12">
      <c r="A4161" s="20" t="s">
        <v>1123</v>
      </c>
      <c r="E4161" s="21">
        <f>IF(D4161="?OLD","!!!","")</f>
        <v/>
      </c>
      <c r="F4161" s="22" t="str">
        <f>IF(OR(E4161="",E4161="!!!"),"",IF(NOT(ISNA(VLOOKUP(E4161,E$1:E4160,1,FALSE()))),"OLD",IF(AND(E4161&lt;&gt;"",E4161&lt;&gt;"!!!"),"NEW","")))</f>
        <v> </v>
      </c>
      <c r="G4161" s="23" t="str">
        <f>IF(OR(E4161="",E4161="!!!"),"",IF(OR(J4161=0,AND(J4161=1,K4161=1),AND(J4161=1,I4161="SBJ"),AND(J4161=1,I4161=0)),"?IN_FOCUS",IF(J4161&lt;=2,"?ACTIVATED",IF(J4161&lt;&gt;"","?FAMILIAR",IF(F4161="NEW",IF(ISNA(VLOOKUP(E4161,#REF!,1,FALSE())),"?TYPE_IDENTIFIABLE","?REFERENTIAL"),"_")))))</f>
        <v> </v>
      </c>
      <c r="H4161" s="24" t="str">
        <f>IF(J4161&lt;&gt;1,"",IF(I4161="SBJ","CB","?"))</f>
        <v> </v>
      </c>
      <c r="I4161" s="25" t="str">
        <f>IF(OR(E4161="",E4161="!!!",F4161="NEW"),"",INDEX(B4160:B$2,-1+SUMPRODUCT(MAX(ROW(E4160:E$2)*(E4161=E4160:E$2)))))</f>
        <v> </v>
      </c>
      <c r="J4161" s="25" t="str">
        <f>IF(OR(E4161="",E4161="!!!",F4161="NEW"),"",COUNTBLANK(OFFSET(A$1,,,SUMPRODUCT(MAX(ROW(E$2:E4161)*(E4161=E$2:E4161)))))-COUNTBLANK(OFFSET(A$1,,,SUMPRODUCT(MAX(ROW(E$1:E4160)*(E2=E$1:E4160))))))</f>
        <v> </v>
      </c>
      <c r="K4161" s="25" t="str">
        <f>IF(OR(E4161="",E4161="!!!",F4161="NEW"),"",INDEX(J$1:J4160,SUMPRODUCT(MAX(ROW(E$1:E4160)*(E4161=E$1:E4160)))))</f>
        <v> </v>
      </c>
      <c r="L4161" s="26"/>
    </row>
    <row r="4162" spans="1:12">
      <c r="A4162" s="20" t="s">
        <v>2952</v>
      </c>
      <c r="E4162" s="21">
        <f>IF(D4162="?OLD","!!!","")</f>
        <v/>
      </c>
      <c r="F4162" s="22" t="str">
        <f>IF(OR(E4162="",E4162="!!!"),"",IF(NOT(ISNA(VLOOKUP(E4162,E$1:E4161,1,FALSE()))),"OLD",IF(AND(E4162&lt;&gt;"",E4162&lt;&gt;"!!!"),"NEW","")))</f>
        <v> </v>
      </c>
      <c r="G4162" s="23" t="str">
        <f>IF(OR(E4162="",E4162="!!!"),"",IF(OR(J4162=0,AND(J4162=1,K4162=1),AND(J4162=1,I4162="SBJ"),AND(J4162=1,I4162=0)),"?IN_FOCUS",IF(J4162&lt;=2,"?ACTIVATED",IF(J4162&lt;&gt;"","?FAMILIAR",IF(F4162="NEW",IF(ISNA(VLOOKUP(E4162,#REF!,1,FALSE())),"?TYPE_IDENTIFIABLE","?REFERENTIAL"),"_")))))</f>
        <v> </v>
      </c>
      <c r="H4162" s="24" t="str">
        <f>IF(J4162&lt;&gt;1,"",IF(I4162="SBJ","CB","?"))</f>
        <v> </v>
      </c>
      <c r="I4162" s="25" t="str">
        <f>IF(OR(E4162="",E4162="!!!",F4162="NEW"),"",INDEX(B4161:B$2,-1+SUMPRODUCT(MAX(ROW(E4161:E$2)*(E4162=E4161:E$2)))))</f>
        <v> </v>
      </c>
      <c r="J4162" s="25" t="str">
        <f>IF(OR(E4162="",E4162="!!!",F4162="NEW"),"",COUNTBLANK(OFFSET(A$1,,,SUMPRODUCT(MAX(ROW(E$2:E4162)*(E4162=E$2:E4162)))))-COUNTBLANK(OFFSET(A$1,,,SUMPRODUCT(MAX(ROW(E$1:E4161)*(E2=E$1:E4161))))))</f>
        <v> </v>
      </c>
      <c r="K4162" s="25" t="str">
        <f>IF(OR(E4162="",E4162="!!!",F4162="NEW"),"",INDEX(J$1:J4161,SUMPRODUCT(MAX(ROW(E$1:E4161)*(E4162=E$1:E4161)))))</f>
        <v> </v>
      </c>
      <c r="L4162" s="26"/>
    </row>
    <row r="4163" spans="1:12">
      <c r="A4163" s="20" t="s">
        <v>1186</v>
      </c>
      <c r="B4163" s="27" t="s">
        <v>1243</v>
      </c>
      <c r="C4163" s="27" t="s">
        <v>1126</v>
      </c>
      <c r="D4163" s="27" t="s">
        <v>1105</v>
      </c>
      <c r="E4163" s="21">
        <f>IF(D4163="?OLD","!!!","")</f>
        <v/>
      </c>
      <c r="F4163" s="22" t="str">
        <f>IF(OR(E4163="",E4163="!!!"),"",IF(NOT(ISNA(VLOOKUP(E4163,E$1:E4162,1,FALSE()))),"OLD",IF(AND(E4163&lt;&gt;"",E4163&lt;&gt;"!!!"),"NEW","")))</f>
        <v> </v>
      </c>
      <c r="G4163" s="23" t="str">
        <f>IF(OR(E4163="",E4163="!!!"),"",IF(OR(J4163=0,AND(J4163=1,K4163=1),AND(J4163=1,I4163="SBJ"),AND(J4163=1,I4163=0)),"?IN_FOCUS",IF(J4163&lt;=2,"?ACTIVATED",IF(J4163&lt;&gt;"","?FAMILIAR",IF(F4163="NEW",IF(ISNA(VLOOKUP(E4163,#REF!,1,FALSE())),"?TYPE_IDENTIFIABLE","?REFERENTIAL"),"_")))))</f>
        <v> </v>
      </c>
      <c r="H4163" s="24" t="str">
        <f>IF(J4163&lt;&gt;1,"",IF(I4163="SBJ","CB","?"))</f>
        <v> </v>
      </c>
      <c r="I4163" s="25" t="str">
        <f>IF(OR(E4163="",E4163="!!!",F4163="NEW"),"",INDEX(B4162:B$2,-1+SUMPRODUCT(MAX(ROW(E4162:E$2)*(E4163=E4162:E$2)))))</f>
        <v> </v>
      </c>
      <c r="J4163" s="25" t="str">
        <f>IF(OR(E4163="",E4163="!!!",F4163="NEW"),"",COUNTBLANK(OFFSET(A$1,,,SUMPRODUCT(MAX(ROW(E$2:E4163)*(E4163=E$2:E4163)))))-COUNTBLANK(OFFSET(A$1,,,SUMPRODUCT(MAX(ROW(E$1:E4162)*(E2=E$1:E4162))))))</f>
        <v> </v>
      </c>
      <c r="K4163" s="25" t="str">
        <f>IF(OR(E4163="",E4163="!!!",F4163="NEW"),"",INDEX(J$1:J4162,SUMPRODUCT(MAX(ROW(E$1:E4162)*(E4163=E$1:E4162)))))</f>
        <v> </v>
      </c>
      <c r="L4163" s="26"/>
    </row>
    <row r="4164" spans="1:12">
      <c r="A4164" s="20" t="s">
        <v>1184</v>
      </c>
      <c r="E4164" s="21">
        <f>IF(D4164="?OLD","!!!","")</f>
        <v/>
      </c>
      <c r="F4164" s="22" t="str">
        <f>IF(OR(E4164="",E4164="!!!"),"",IF(NOT(ISNA(VLOOKUP(E4164,E$1:E4163,1,FALSE()))),"OLD",IF(AND(E4164&lt;&gt;"",E4164&lt;&gt;"!!!"),"NEW","")))</f>
        <v> </v>
      </c>
      <c r="G4164" s="23" t="str">
        <f>IF(OR(E4164="",E4164="!!!"),"",IF(OR(J4164=0,AND(J4164=1,K4164=1),AND(J4164=1,I4164="SBJ"),AND(J4164=1,I4164=0)),"?IN_FOCUS",IF(J4164&lt;=2,"?ACTIVATED",IF(J4164&lt;&gt;"","?FAMILIAR",IF(F4164="NEW",IF(ISNA(VLOOKUP(E4164,#REF!,1,FALSE())),"?TYPE_IDENTIFIABLE","?REFERENTIAL"),"_")))))</f>
        <v> </v>
      </c>
      <c r="H4164" s="24" t="str">
        <f>IF(J4164&lt;&gt;1,"",IF(I4164="SBJ","CB","?"))</f>
        <v> </v>
      </c>
      <c r="I4164" s="25" t="str">
        <f>IF(OR(E4164="",E4164="!!!",F4164="NEW"),"",INDEX(B4163:B$2,-1+SUMPRODUCT(MAX(ROW(E4163:E$2)*(E4164=E4163:E$2)))))</f>
        <v> </v>
      </c>
      <c r="J4164" s="25" t="str">
        <f>IF(OR(E4164="",E4164="!!!",F4164="NEW"),"",COUNTBLANK(OFFSET(A$1,,,SUMPRODUCT(MAX(ROW(E$2:E4164)*(E4164=E$2:E4164)))))-COUNTBLANK(OFFSET(A$1,,,SUMPRODUCT(MAX(ROW(E$1:E4163)*(E2=E$1:E4163))))))</f>
        <v> </v>
      </c>
      <c r="K4164" s="25" t="str">
        <f>IF(OR(E4164="",E4164="!!!",F4164="NEW"),"",INDEX(J$1:J4163,SUMPRODUCT(MAX(ROW(E$1:E4163)*(E4164=E$1:E4163)))))</f>
        <v> </v>
      </c>
      <c r="L4164" s="26"/>
    </row>
    <row r="4165" spans="1:12">
      <c r="A4165" s="20" t="s">
        <v>2125</v>
      </c>
      <c r="E4165" s="21">
        <f>IF(D4165="?OLD","!!!","")</f>
        <v/>
      </c>
      <c r="F4165" s="22" t="str">
        <f>IF(OR(E4165="",E4165="!!!"),"",IF(NOT(ISNA(VLOOKUP(E4165,E$1:E4164,1,FALSE()))),"OLD",IF(AND(E4165&lt;&gt;"",E4165&lt;&gt;"!!!"),"NEW","")))</f>
        <v> </v>
      </c>
      <c r="G4165" s="23" t="str">
        <f>IF(OR(E4165="",E4165="!!!"),"",IF(OR(J4165=0,AND(J4165=1,K4165=1),AND(J4165=1,I4165="SBJ"),AND(J4165=1,I4165=0)),"?IN_FOCUS",IF(J4165&lt;=2,"?ACTIVATED",IF(J4165&lt;&gt;"","?FAMILIAR",IF(F4165="NEW",IF(ISNA(VLOOKUP(E4165,#REF!,1,FALSE())),"?TYPE_IDENTIFIABLE","?REFERENTIAL"),"_")))))</f>
        <v> </v>
      </c>
      <c r="H4165" s="24" t="str">
        <f>IF(J4165&lt;&gt;1,"",IF(I4165="SBJ","CB","?"))</f>
        <v> </v>
      </c>
      <c r="I4165" s="25" t="str">
        <f>IF(OR(E4165="",E4165="!!!",F4165="NEW"),"",INDEX(B4164:B$2,-1+SUMPRODUCT(MAX(ROW(E4164:E$2)*(E4165=E4164:E$2)))))</f>
        <v> </v>
      </c>
      <c r="J4165" s="25" t="str">
        <f>IF(OR(E4165="",E4165="!!!",F4165="NEW"),"",COUNTBLANK(OFFSET(A$1,,,SUMPRODUCT(MAX(ROW(E$2:E4165)*(E4165=E$2:E4165)))))-COUNTBLANK(OFFSET(A$1,,,SUMPRODUCT(MAX(ROW(E$1:E4164)*(E2=E$1:E4164))))))</f>
        <v> </v>
      </c>
      <c r="K4165" s="25" t="str">
        <f>IF(OR(E4165="",E4165="!!!",F4165="NEW"),"",INDEX(J$1:J4164,SUMPRODUCT(MAX(ROW(E$1:E4164)*(E4165=E$1:E4164)))))</f>
        <v> </v>
      </c>
      <c r="L4165" s="26"/>
    </row>
    <row r="4166" spans="1:12">
      <c r="A4166" s="20" t="s">
        <v>2953</v>
      </c>
      <c r="E4166" s="21">
        <f>IF(D4166="?OLD","!!!","")</f>
        <v/>
      </c>
      <c r="F4166" s="22" t="str">
        <f>IF(OR(E4166="",E4166="!!!"),"",IF(NOT(ISNA(VLOOKUP(E4166,E$1:E4165,1,FALSE()))),"OLD",IF(AND(E4166&lt;&gt;"",E4166&lt;&gt;"!!!"),"NEW","")))</f>
        <v> </v>
      </c>
      <c r="G4166" s="23" t="str">
        <f>IF(OR(E4166="",E4166="!!!"),"",IF(OR(J4166=0,AND(J4166=1,K4166=1),AND(J4166=1,I4166="SBJ"),AND(J4166=1,I4166=0)),"?IN_FOCUS",IF(J4166&lt;=2,"?ACTIVATED",IF(J4166&lt;&gt;"","?FAMILIAR",IF(F4166="NEW",IF(ISNA(VLOOKUP(E4166,#REF!,1,FALSE())),"?TYPE_IDENTIFIABLE","?REFERENTIAL"),"_")))))</f>
        <v> </v>
      </c>
      <c r="H4166" s="24" t="str">
        <f>IF(J4166&lt;&gt;1,"",IF(I4166="SBJ","CB","?"))</f>
        <v> </v>
      </c>
      <c r="I4166" s="25" t="str">
        <f>IF(OR(E4166="",E4166="!!!",F4166="NEW"),"",INDEX(B4165:B$2,-1+SUMPRODUCT(MAX(ROW(E4165:E$2)*(E4166=E4165:E$2)))))</f>
        <v> </v>
      </c>
      <c r="J4166" s="25" t="str">
        <f>IF(OR(E4166="",E4166="!!!",F4166="NEW"),"",COUNTBLANK(OFFSET(A$1,,,SUMPRODUCT(MAX(ROW(E$2:E4166)*(E4166=E$2:E4166)))))-COUNTBLANK(OFFSET(A$1,,,SUMPRODUCT(MAX(ROW(E$1:E4165)*(E2=E$1:E4165))))))</f>
        <v> </v>
      </c>
      <c r="K4166" s="25" t="str">
        <f>IF(OR(E4166="",E4166="!!!",F4166="NEW"),"",INDEX(J$1:J4165,SUMPRODUCT(MAX(ROW(E$1:E4165)*(E4166=E$1:E4165)))))</f>
        <v> </v>
      </c>
      <c r="L4166" s="26"/>
    </row>
    <row r="4167" spans="1:12">
      <c r="A4167" s="20" t="s">
        <v>2954</v>
      </c>
      <c r="E4167" s="21">
        <f>IF(D4167="?OLD","!!!","")</f>
        <v/>
      </c>
      <c r="F4167" s="22" t="str">
        <f>IF(OR(E4167="",E4167="!!!"),"",IF(NOT(ISNA(VLOOKUP(E4167,E$1:E4166,1,FALSE()))),"OLD",IF(AND(E4167&lt;&gt;"",E4167&lt;&gt;"!!!"),"NEW","")))</f>
        <v> </v>
      </c>
      <c r="G4167" s="23" t="str">
        <f>IF(OR(E4167="",E4167="!!!"),"",IF(OR(J4167=0,AND(J4167=1,K4167=1),AND(J4167=1,I4167="SBJ"),AND(J4167=1,I4167=0)),"?IN_FOCUS",IF(J4167&lt;=2,"?ACTIVATED",IF(J4167&lt;&gt;"","?FAMILIAR",IF(F4167="NEW",IF(ISNA(VLOOKUP(E4167,#REF!,1,FALSE())),"?TYPE_IDENTIFIABLE","?REFERENTIAL"),"_")))))</f>
        <v> </v>
      </c>
      <c r="H4167" s="24" t="str">
        <f>IF(J4167&lt;&gt;1,"",IF(I4167="SBJ","CB","?"))</f>
        <v> </v>
      </c>
      <c r="I4167" s="25" t="str">
        <f>IF(OR(E4167="",E4167="!!!",F4167="NEW"),"",INDEX(B4166:B$2,-1+SUMPRODUCT(MAX(ROW(E4166:E$2)*(E4167=E4166:E$2)))))</f>
        <v> </v>
      </c>
      <c r="J4167" s="25" t="str">
        <f>IF(OR(E4167="",E4167="!!!",F4167="NEW"),"",COUNTBLANK(OFFSET(A$1,,,SUMPRODUCT(MAX(ROW(E$2:E4167)*(E4167=E$2:E4167)))))-COUNTBLANK(OFFSET(A$1,,,SUMPRODUCT(MAX(ROW(E$1:E4166)*(E2=E$1:E4166))))))</f>
        <v> </v>
      </c>
      <c r="K4167" s="25" t="str">
        <f>IF(OR(E4167="",E4167="!!!",F4167="NEW"),"",INDEX(J$1:J4166,SUMPRODUCT(MAX(ROW(E$1:E4166)*(E4167=E$1:E4166)))))</f>
        <v> </v>
      </c>
      <c r="L4167" s="26"/>
    </row>
    <row r="4168" spans="1:12">
      <c r="A4168" s="20" t="s">
        <v>1145</v>
      </c>
      <c r="E4168" s="21">
        <f>IF(D4168="?OLD","!!!","")</f>
        <v/>
      </c>
      <c r="F4168" s="22" t="str">
        <f>IF(OR(E4168="",E4168="!!!"),"",IF(NOT(ISNA(VLOOKUP(E4168,E$1:E4167,1,FALSE()))),"OLD",IF(AND(E4168&lt;&gt;"",E4168&lt;&gt;"!!!"),"NEW","")))</f>
        <v> </v>
      </c>
      <c r="G4168" s="23" t="str">
        <f>IF(OR(E4168="",E4168="!!!"),"",IF(OR(J4168=0,AND(J4168=1,K4168=1),AND(J4168=1,I4168="SBJ"),AND(J4168=1,I4168=0)),"?IN_FOCUS",IF(J4168&lt;=2,"?ACTIVATED",IF(J4168&lt;&gt;"","?FAMILIAR",IF(F4168="NEW",IF(ISNA(VLOOKUP(E4168,#REF!,1,FALSE())),"?TYPE_IDENTIFIABLE","?REFERENTIAL"),"_")))))</f>
        <v> </v>
      </c>
      <c r="H4168" s="24" t="str">
        <f>IF(J4168&lt;&gt;1,"",IF(I4168="SBJ","CB","?"))</f>
        <v> </v>
      </c>
      <c r="I4168" s="25" t="str">
        <f>IF(OR(E4168="",E4168="!!!",F4168="NEW"),"",INDEX(B4167:B$2,-1+SUMPRODUCT(MAX(ROW(E4167:E$2)*(E4168=E4167:E$2)))))</f>
        <v> </v>
      </c>
      <c r="J4168" s="25" t="str">
        <f>IF(OR(E4168="",E4168="!!!",F4168="NEW"),"",COUNTBLANK(OFFSET(A$1,,,SUMPRODUCT(MAX(ROW(E$2:E4168)*(E4168=E$2:E4168)))))-COUNTBLANK(OFFSET(A$1,,,SUMPRODUCT(MAX(ROW(E$1:E4167)*(E2=E$1:E4167))))))</f>
        <v> </v>
      </c>
      <c r="K4168" s="25" t="str">
        <f>IF(OR(E4168="",E4168="!!!",F4168="NEW"),"",INDEX(J$1:J4167,SUMPRODUCT(MAX(ROW(E$1:E4167)*(E4168=E$1:E4167)))))</f>
        <v> </v>
      </c>
      <c r="L4168" s="26"/>
    </row>
    <row r="4169" spans="1:12">
      <c r="A4169" s="20"/>
    </row>
    <row r="4170" spans="1:12">
      <c r="A4170" s="20" t="s">
        <v>2955</v>
      </c>
    </row>
    <row r="4171" spans="1:12">
      <c r="A4171" s="20" t="s">
        <v>1353</v>
      </c>
      <c r="B4171" s="27" t="s">
        <v>1149</v>
      </c>
      <c r="C4171" s="27" t="s">
        <v>1126</v>
      </c>
      <c r="D4171" s="27" t="s">
        <v>1105</v>
      </c>
      <c r="E4171" s="21">
        <f>IF(D4171="?OLD","!!!","")</f>
        <v/>
      </c>
      <c r="F4171" s="22" t="str">
        <f>IF(OR(E4171="",E4171="!!!"),"",IF(NOT(ISNA(VLOOKUP(E4171,E$1:E4170,1,FALSE()))),"OLD",IF(AND(E4171&lt;&gt;"",E4171&lt;&gt;"!!!"),"NEW","")))</f>
        <v> </v>
      </c>
      <c r="G4171" s="23" t="str">
        <f>IF(OR(E4171="",E4171="!!!"),"",IF(OR(J4171=0,AND(J4171=1,K4171=1),AND(J4171=1,I4171="SBJ"),AND(J4171=1,I4171=0)),"?IN_FOCUS",IF(J4171&lt;=2,"?ACTIVATED",IF(J4171&lt;&gt;"","?FAMILIAR",IF(F4171="NEW",IF(ISNA(VLOOKUP(E4171,#REF!,1,FALSE())),"?TYPE_IDENTIFIABLE","?REFERENTIAL"),"_")))))</f>
        <v> </v>
      </c>
      <c r="H4171" s="24" t="str">
        <f>IF(J4171&lt;&gt;1,"",IF(I4171="SBJ","CB","?"))</f>
        <v> </v>
      </c>
      <c r="I4171" s="25" t="str">
        <f>IF(OR(E4171="",E4171="!!!",F4171="NEW"),"",INDEX(B4170:B$2,-1+SUMPRODUCT(MAX(ROW(E4170:E$2)*(E4171=E4170:E$2)))))</f>
        <v> </v>
      </c>
      <c r="J4171" s="25" t="str">
        <f>IF(OR(E4171="",E4171="!!!",F4171="NEW"),"",COUNTBLANK(OFFSET(A$1,,,SUMPRODUCT(MAX(ROW(E$2:E4171)*(E4171=E$2:E4171)))))-COUNTBLANK(OFFSET(A$1,,,SUMPRODUCT(MAX(ROW(E$1:E4170)*(E2=E$1:E4170))))))</f>
        <v> </v>
      </c>
      <c r="K4171" s="25" t="str">
        <f>IF(OR(E4171="",E4171="!!!",F4171="NEW"),"",INDEX(J$1:J4170,SUMPRODUCT(MAX(ROW(E$1:E4170)*(E4171=E$1:E4170)))))</f>
        <v> </v>
      </c>
      <c r="L4171" s="26"/>
    </row>
    <row r="4172" spans="1:12">
      <c r="A4172" s="20" t="s">
        <v>2956</v>
      </c>
      <c r="E4172" s="21">
        <f>IF(D4172="?OLD","!!!","")</f>
        <v/>
      </c>
      <c r="F4172" s="22" t="str">
        <f>IF(OR(E4172="",E4172="!!!"),"",IF(NOT(ISNA(VLOOKUP(E4172,E$1:E4171,1,FALSE()))),"OLD",IF(AND(E4172&lt;&gt;"",E4172&lt;&gt;"!!!"),"NEW","")))</f>
        <v> </v>
      </c>
      <c r="G4172" s="23" t="str">
        <f>IF(OR(E4172="",E4172="!!!"),"",IF(OR(J4172=0,AND(J4172=1,K4172=1),AND(J4172=1,I4172="SBJ"),AND(J4172=1,I4172=0)),"?IN_FOCUS",IF(J4172&lt;=2,"?ACTIVATED",IF(J4172&lt;&gt;"","?FAMILIAR",IF(F4172="NEW",IF(ISNA(VLOOKUP(E4172,#REF!,1,FALSE())),"?TYPE_IDENTIFIABLE","?REFERENTIAL"),"_")))))</f>
        <v> </v>
      </c>
      <c r="H4172" s="24" t="str">
        <f>IF(J4172&lt;&gt;1,"",IF(I4172="SBJ","CB","?"))</f>
        <v> </v>
      </c>
      <c r="I4172" s="25" t="str">
        <f>IF(OR(E4172="",E4172="!!!",F4172="NEW"),"",INDEX(B4171:B$2,-1+SUMPRODUCT(MAX(ROW(E4171:E$2)*(E4172=E4171:E$2)))))</f>
        <v> </v>
      </c>
      <c r="J4172" s="25" t="str">
        <f>IF(OR(E4172="",E4172="!!!",F4172="NEW"),"",COUNTBLANK(OFFSET(A$1,,,SUMPRODUCT(MAX(ROW(E$2:E4172)*(E4172=E$2:E4172)))))-COUNTBLANK(OFFSET(A$1,,,SUMPRODUCT(MAX(ROW(E$1:E4171)*(E2=E$1:E4171))))))</f>
        <v> </v>
      </c>
      <c r="K4172" s="25" t="str">
        <f>IF(OR(E4172="",E4172="!!!",F4172="NEW"),"",INDEX(J$1:J4171,SUMPRODUCT(MAX(ROW(E$1:E4171)*(E4172=E$1:E4171)))))</f>
        <v> </v>
      </c>
      <c r="L4172" s="26"/>
    </row>
    <row r="4173" spans="1:12">
      <c r="A4173" s="20" t="s">
        <v>2957</v>
      </c>
      <c r="E4173" s="21">
        <f>IF(D4173="?OLD","!!!","")</f>
        <v/>
      </c>
      <c r="F4173" s="22" t="str">
        <f>IF(OR(E4173="",E4173="!!!"),"",IF(NOT(ISNA(VLOOKUP(E4173,E$1:E4172,1,FALSE()))),"OLD",IF(AND(E4173&lt;&gt;"",E4173&lt;&gt;"!!!"),"NEW","")))</f>
        <v> </v>
      </c>
      <c r="G4173" s="23" t="str">
        <f>IF(OR(E4173="",E4173="!!!"),"",IF(OR(J4173=0,AND(J4173=1,K4173=1),AND(J4173=1,I4173="SBJ"),AND(J4173=1,I4173=0)),"?IN_FOCUS",IF(J4173&lt;=2,"?ACTIVATED",IF(J4173&lt;&gt;"","?FAMILIAR",IF(F4173="NEW",IF(ISNA(VLOOKUP(E4173,#REF!,1,FALSE())),"?TYPE_IDENTIFIABLE","?REFERENTIAL"),"_")))))</f>
        <v> </v>
      </c>
      <c r="H4173" s="24" t="str">
        <f>IF(J4173&lt;&gt;1,"",IF(I4173="SBJ","CB","?"))</f>
        <v> </v>
      </c>
      <c r="I4173" s="25" t="str">
        <f>IF(OR(E4173="",E4173="!!!",F4173="NEW"),"",INDEX(B4172:B$2,-1+SUMPRODUCT(MAX(ROW(E4172:E$2)*(E4173=E4172:E$2)))))</f>
        <v> </v>
      </c>
      <c r="J4173" s="25" t="str">
        <f>IF(OR(E4173="",E4173="!!!",F4173="NEW"),"",COUNTBLANK(OFFSET(A$1,,,SUMPRODUCT(MAX(ROW(E$2:E4173)*(E4173=E$2:E4173)))))-COUNTBLANK(OFFSET(A$1,,,SUMPRODUCT(MAX(ROW(E$1:E4172)*(E2=E$1:E4172))))))</f>
        <v> </v>
      </c>
      <c r="K4173" s="25" t="str">
        <f>IF(OR(E4173="",E4173="!!!",F4173="NEW"),"",INDEX(J$1:J4172,SUMPRODUCT(MAX(ROW(E$1:E4172)*(E4173=E$1:E4172)))))</f>
        <v> </v>
      </c>
      <c r="L4173" s="26"/>
    </row>
    <row r="4174" spans="1:12">
      <c r="A4174" s="20" t="s">
        <v>1186</v>
      </c>
      <c r="B4174" s="27" t="s">
        <v>1107</v>
      </c>
      <c r="C4174" s="27" t="s">
        <v>1142</v>
      </c>
      <c r="D4174" s="27" t="s">
        <v>1105</v>
      </c>
      <c r="E4174" s="21">
        <f>IF(D4174="?OLD","!!!","")</f>
        <v/>
      </c>
      <c r="F4174" s="22" t="str">
        <f>IF(OR(E4174="",E4174="!!!"),"",IF(NOT(ISNA(VLOOKUP(E4174,E$1:E4173,1,FALSE()))),"OLD",IF(AND(E4174&lt;&gt;"",E4174&lt;&gt;"!!!"),"NEW","")))</f>
        <v> </v>
      </c>
      <c r="G4174" s="23" t="str">
        <f>IF(OR(E4174="",E4174="!!!"),"",IF(OR(J4174=0,AND(J4174=1,K4174=1),AND(J4174=1,I4174="SBJ"),AND(J4174=1,I4174=0)),"?IN_FOCUS",IF(J4174&lt;=2,"?ACTIVATED",IF(J4174&lt;&gt;"","?FAMILIAR",IF(F4174="NEW",IF(ISNA(VLOOKUP(E4174,#REF!,1,FALSE())),"?TYPE_IDENTIFIABLE","?REFERENTIAL"),"_")))))</f>
        <v> </v>
      </c>
      <c r="H4174" s="24" t="str">
        <f>IF(J4174&lt;&gt;1,"",IF(I4174="SBJ","CB","?"))</f>
        <v> </v>
      </c>
      <c r="I4174" s="25" t="str">
        <f>IF(OR(E4174="",E4174="!!!",F4174="NEW"),"",INDEX(B4173:B$2,-1+SUMPRODUCT(MAX(ROW(E4173:E$2)*(E4174=E4173:E$2)))))</f>
        <v> </v>
      </c>
      <c r="J4174" s="25" t="str">
        <f>IF(OR(E4174="",E4174="!!!",F4174="NEW"),"",COUNTBLANK(OFFSET(A$1,,,SUMPRODUCT(MAX(ROW(E$2:E4174)*(E4174=E$2:E4174)))))-COUNTBLANK(OFFSET(A$1,,,SUMPRODUCT(MAX(ROW(E$1:E4173)*(E2=E$1:E4173))))))</f>
        <v> </v>
      </c>
      <c r="K4174" s="25" t="str">
        <f>IF(OR(E4174="",E4174="!!!",F4174="NEW"),"",INDEX(J$1:J4173,SUMPRODUCT(MAX(ROW(E$1:E4173)*(E4174=E$1:E4173)))))</f>
        <v> </v>
      </c>
      <c r="L4174" s="26"/>
    </row>
    <row r="4175" spans="1:12">
      <c r="A4175" s="20" t="s">
        <v>2958</v>
      </c>
      <c r="E4175" s="21">
        <f>IF(D4175="?OLD","!!!","")</f>
        <v/>
      </c>
      <c r="F4175" s="22" t="str">
        <f>IF(OR(E4175="",E4175="!!!"),"",IF(NOT(ISNA(VLOOKUP(E4175,E$1:E4174,1,FALSE()))),"OLD",IF(AND(E4175&lt;&gt;"",E4175&lt;&gt;"!!!"),"NEW","")))</f>
        <v> </v>
      </c>
      <c r="G4175" s="23" t="str">
        <f>IF(OR(E4175="",E4175="!!!"),"",IF(OR(J4175=0,AND(J4175=1,K4175=1),AND(J4175=1,I4175="SBJ"),AND(J4175=1,I4175=0)),"?IN_FOCUS",IF(J4175&lt;=2,"?ACTIVATED",IF(J4175&lt;&gt;"","?FAMILIAR",IF(F4175="NEW",IF(ISNA(VLOOKUP(E4175,#REF!,1,FALSE())),"?TYPE_IDENTIFIABLE","?REFERENTIAL"),"_")))))</f>
        <v> </v>
      </c>
      <c r="H4175" s="24" t="str">
        <f>IF(J4175&lt;&gt;1,"",IF(I4175="SBJ","CB","?"))</f>
        <v> </v>
      </c>
      <c r="I4175" s="25" t="str">
        <f>IF(OR(E4175="",E4175="!!!",F4175="NEW"),"",INDEX(B4174:B$2,-1+SUMPRODUCT(MAX(ROW(E4174:E$2)*(E4175=E4174:E$2)))))</f>
        <v> </v>
      </c>
      <c r="J4175" s="25" t="str">
        <f>IF(OR(E4175="",E4175="!!!",F4175="NEW"),"",COUNTBLANK(OFFSET(A$1,,,SUMPRODUCT(MAX(ROW(E$2:E4175)*(E4175=E$2:E4175)))))-COUNTBLANK(OFFSET(A$1,,,SUMPRODUCT(MAX(ROW(E$1:E4174)*(E2=E$1:E4174))))))</f>
        <v> </v>
      </c>
      <c r="K4175" s="25" t="str">
        <f>IF(OR(E4175="",E4175="!!!",F4175="NEW"),"",INDEX(J$1:J4174,SUMPRODUCT(MAX(ROW(E$1:E4174)*(E4175=E$1:E4174)))))</f>
        <v> </v>
      </c>
      <c r="L4175" s="26"/>
    </row>
    <row r="4176" spans="1:12">
      <c r="A4176" s="20" t="s">
        <v>1249</v>
      </c>
      <c r="E4176" s="21">
        <f>IF(D4176="?OLD","!!!","")</f>
        <v/>
      </c>
      <c r="F4176" s="22" t="str">
        <f>IF(OR(E4176="",E4176="!!!"),"",IF(NOT(ISNA(VLOOKUP(E4176,E$1:E4175,1,FALSE()))),"OLD",IF(AND(E4176&lt;&gt;"",E4176&lt;&gt;"!!!"),"NEW","")))</f>
        <v> </v>
      </c>
      <c r="G4176" s="23" t="str">
        <f>IF(OR(E4176="",E4176="!!!"),"",IF(OR(J4176=0,AND(J4176=1,K4176=1),AND(J4176=1,I4176="SBJ"),AND(J4176=1,I4176=0)),"?IN_FOCUS",IF(J4176&lt;=2,"?ACTIVATED",IF(J4176&lt;&gt;"","?FAMILIAR",IF(F4176="NEW",IF(ISNA(VLOOKUP(E4176,#REF!,1,FALSE())),"?TYPE_IDENTIFIABLE","?REFERENTIAL"),"_")))))</f>
        <v> </v>
      </c>
      <c r="H4176" s="24" t="str">
        <f>IF(J4176&lt;&gt;1,"",IF(I4176="SBJ","CB","?"))</f>
        <v> </v>
      </c>
      <c r="I4176" s="25" t="str">
        <f>IF(OR(E4176="",E4176="!!!",F4176="NEW"),"",INDEX(B4175:B$2,-1+SUMPRODUCT(MAX(ROW(E4175:E$2)*(E4176=E4175:E$2)))))</f>
        <v> </v>
      </c>
      <c r="J4176" s="25" t="str">
        <f>IF(OR(E4176="",E4176="!!!",F4176="NEW"),"",COUNTBLANK(OFFSET(A$1,,,SUMPRODUCT(MAX(ROW(E$2:E4176)*(E4176=E$2:E4176)))))-COUNTBLANK(OFFSET(A$1,,,SUMPRODUCT(MAX(ROW(E$1:E4175)*(E2=E$1:E4175))))))</f>
        <v> </v>
      </c>
      <c r="K4176" s="25" t="str">
        <f>IF(OR(E4176="",E4176="!!!",F4176="NEW"),"",INDEX(J$1:J4175,SUMPRODUCT(MAX(ROW(E$1:E4175)*(E4176=E$1:E4175)))))</f>
        <v> </v>
      </c>
      <c r="L4176" s="26"/>
    </row>
    <row r="4177" spans="1:12">
      <c r="A4177" s="20" t="s">
        <v>2959</v>
      </c>
      <c r="E4177" s="21">
        <f>IF(D4177="?OLD","!!!","")</f>
        <v/>
      </c>
      <c r="F4177" s="22" t="str">
        <f>IF(OR(E4177="",E4177="!!!"),"",IF(NOT(ISNA(VLOOKUP(E4177,E$1:E4176,1,FALSE()))),"OLD",IF(AND(E4177&lt;&gt;"",E4177&lt;&gt;"!!!"),"NEW","")))</f>
        <v> </v>
      </c>
      <c r="G4177" s="23" t="str">
        <f>IF(OR(E4177="",E4177="!!!"),"",IF(OR(J4177=0,AND(J4177=1,K4177=1),AND(J4177=1,I4177="SBJ"),AND(J4177=1,I4177=0)),"?IN_FOCUS",IF(J4177&lt;=2,"?ACTIVATED",IF(J4177&lt;&gt;"","?FAMILIAR",IF(F4177="NEW",IF(ISNA(VLOOKUP(E4177,#REF!,1,FALSE())),"?TYPE_IDENTIFIABLE","?REFERENTIAL"),"_")))))</f>
        <v> </v>
      </c>
      <c r="H4177" s="24" t="str">
        <f>IF(J4177&lt;&gt;1,"",IF(I4177="SBJ","CB","?"))</f>
        <v> </v>
      </c>
      <c r="I4177" s="25" t="str">
        <f>IF(OR(E4177="",E4177="!!!",F4177="NEW"),"",INDEX(B4176:B$2,-1+SUMPRODUCT(MAX(ROW(E4176:E$2)*(E4177=E4176:E$2)))))</f>
        <v> </v>
      </c>
      <c r="J4177" s="25" t="str">
        <f>IF(OR(E4177="",E4177="!!!",F4177="NEW"),"",COUNTBLANK(OFFSET(A$1,,,SUMPRODUCT(MAX(ROW(E$2:E4177)*(E4177=E$2:E4177)))))-COUNTBLANK(OFFSET(A$1,,,SUMPRODUCT(MAX(ROW(E$1:E4176)*(E2=E$1:E4176))))))</f>
        <v> </v>
      </c>
      <c r="K4177" s="25" t="str">
        <f>IF(OR(E4177="",E4177="!!!",F4177="NEW"),"",INDEX(J$1:J4176,SUMPRODUCT(MAX(ROW(E$1:E4176)*(E4177=E$1:E4176)))))</f>
        <v> </v>
      </c>
      <c r="L4177" s="26"/>
    </row>
    <row r="4178" spans="1:12">
      <c r="A4178" s="20" t="s">
        <v>2960</v>
      </c>
      <c r="E4178" s="21">
        <f>IF(D4178="?OLD","!!!","")</f>
        <v/>
      </c>
      <c r="F4178" s="22" t="str">
        <f>IF(OR(E4178="",E4178="!!!"),"",IF(NOT(ISNA(VLOOKUP(E4178,E$1:E4177,1,FALSE()))),"OLD",IF(AND(E4178&lt;&gt;"",E4178&lt;&gt;"!!!"),"NEW","")))</f>
        <v> </v>
      </c>
      <c r="G4178" s="23" t="str">
        <f>IF(OR(E4178="",E4178="!!!"),"",IF(OR(J4178=0,AND(J4178=1,K4178=1),AND(J4178=1,I4178="SBJ"),AND(J4178=1,I4178=0)),"?IN_FOCUS",IF(J4178&lt;=2,"?ACTIVATED",IF(J4178&lt;&gt;"","?FAMILIAR",IF(F4178="NEW",IF(ISNA(VLOOKUP(E4178,#REF!,1,FALSE())),"?TYPE_IDENTIFIABLE","?REFERENTIAL"),"_")))))</f>
        <v> </v>
      </c>
      <c r="H4178" s="24" t="str">
        <f>IF(J4178&lt;&gt;1,"",IF(I4178="SBJ","CB","?"))</f>
        <v> </v>
      </c>
      <c r="I4178" s="25" t="str">
        <f>IF(OR(E4178="",E4178="!!!",F4178="NEW"),"",INDEX(B4177:B$2,-1+SUMPRODUCT(MAX(ROW(E4177:E$2)*(E4178=E4177:E$2)))))</f>
        <v> </v>
      </c>
      <c r="J4178" s="25" t="str">
        <f>IF(OR(E4178="",E4178="!!!",F4178="NEW"),"",COUNTBLANK(OFFSET(A$1,,,SUMPRODUCT(MAX(ROW(E$2:E4178)*(E4178=E$2:E4178)))))-COUNTBLANK(OFFSET(A$1,,,SUMPRODUCT(MAX(ROW(E$1:E4177)*(E2=E$1:E4177))))))</f>
        <v> </v>
      </c>
      <c r="K4178" s="25" t="str">
        <f>IF(OR(E4178="",E4178="!!!",F4178="NEW"),"",INDEX(J$1:J4177,SUMPRODUCT(MAX(ROW(E$1:E4177)*(E4178=E$1:E4177)))))</f>
        <v> </v>
      </c>
      <c r="L4178" s="26"/>
    </row>
    <row r="4179" spans="1:12">
      <c r="A4179" s="20" t="s">
        <v>2940</v>
      </c>
      <c r="E4179" s="21">
        <f>IF(D4179="?OLD","!!!","")</f>
        <v/>
      </c>
      <c r="F4179" s="22" t="str">
        <f>IF(OR(E4179="",E4179="!!!"),"",IF(NOT(ISNA(VLOOKUP(E4179,E$1:E4178,1,FALSE()))),"OLD",IF(AND(E4179&lt;&gt;"",E4179&lt;&gt;"!!!"),"NEW","")))</f>
        <v> </v>
      </c>
      <c r="G4179" s="23" t="str">
        <f>IF(OR(E4179="",E4179="!!!"),"",IF(OR(J4179=0,AND(J4179=1,K4179=1),AND(J4179=1,I4179="SBJ"),AND(J4179=1,I4179=0)),"?IN_FOCUS",IF(J4179&lt;=2,"?ACTIVATED",IF(J4179&lt;&gt;"","?FAMILIAR",IF(F4179="NEW",IF(ISNA(VLOOKUP(E4179,#REF!,1,FALSE())),"?TYPE_IDENTIFIABLE","?REFERENTIAL"),"_")))))</f>
        <v> </v>
      </c>
      <c r="H4179" s="24" t="str">
        <f>IF(J4179&lt;&gt;1,"",IF(I4179="SBJ","CB","?"))</f>
        <v> </v>
      </c>
      <c r="I4179" s="25" t="str">
        <f>IF(OR(E4179="",E4179="!!!",F4179="NEW"),"",INDEX(B4178:B$2,-1+SUMPRODUCT(MAX(ROW(E4178:E$2)*(E4179=E4178:E$2)))))</f>
        <v> </v>
      </c>
      <c r="J4179" s="25" t="str">
        <f>IF(OR(E4179="",E4179="!!!",F4179="NEW"),"",COUNTBLANK(OFFSET(A$1,,,SUMPRODUCT(MAX(ROW(E$2:E4179)*(E4179=E$2:E4179)))))-COUNTBLANK(OFFSET(A$1,,,SUMPRODUCT(MAX(ROW(E$1:E4178)*(E2=E$1:E4178))))))</f>
        <v> </v>
      </c>
      <c r="K4179" s="25" t="str">
        <f>IF(OR(E4179="",E4179="!!!",F4179="NEW"),"",INDEX(J$1:J4178,SUMPRODUCT(MAX(ROW(E$1:E4178)*(E4179=E$1:E4178)))))</f>
        <v> </v>
      </c>
      <c r="L4179" s="26"/>
    </row>
    <row r="4180" spans="1:12">
      <c r="A4180" s="20" t="s">
        <v>1123</v>
      </c>
      <c r="E4180" s="21">
        <f>IF(D4180="?OLD","!!!","")</f>
        <v/>
      </c>
      <c r="F4180" s="22" t="str">
        <f>IF(OR(E4180="",E4180="!!!"),"",IF(NOT(ISNA(VLOOKUP(E4180,E$1:E4179,1,FALSE()))),"OLD",IF(AND(E4180&lt;&gt;"",E4180&lt;&gt;"!!!"),"NEW","")))</f>
        <v> </v>
      </c>
      <c r="G4180" s="23" t="str">
        <f>IF(OR(E4180="",E4180="!!!"),"",IF(OR(J4180=0,AND(J4180=1,K4180=1),AND(J4180=1,I4180="SBJ"),AND(J4180=1,I4180=0)),"?IN_FOCUS",IF(J4180&lt;=2,"?ACTIVATED",IF(J4180&lt;&gt;"","?FAMILIAR",IF(F4180="NEW",IF(ISNA(VLOOKUP(E4180,#REF!,1,FALSE())),"?TYPE_IDENTIFIABLE","?REFERENTIAL"),"_")))))</f>
        <v> </v>
      </c>
      <c r="H4180" s="24" t="str">
        <f>IF(J4180&lt;&gt;1,"",IF(I4180="SBJ","CB","?"))</f>
        <v> </v>
      </c>
      <c r="I4180" s="25" t="str">
        <f>IF(OR(E4180="",E4180="!!!",F4180="NEW"),"",INDEX(B4179:B$2,-1+SUMPRODUCT(MAX(ROW(E4179:E$2)*(E4180=E4179:E$2)))))</f>
        <v> </v>
      </c>
      <c r="J4180" s="25" t="str">
        <f>IF(OR(E4180="",E4180="!!!",F4180="NEW"),"",COUNTBLANK(OFFSET(A$1,,,SUMPRODUCT(MAX(ROW(E$2:E4180)*(E4180=E$2:E4180)))))-COUNTBLANK(OFFSET(A$1,,,SUMPRODUCT(MAX(ROW(E$1:E4179)*(E2=E$1:E4179))))))</f>
        <v> </v>
      </c>
      <c r="K4180" s="25" t="str">
        <f>IF(OR(E4180="",E4180="!!!",F4180="NEW"),"",INDEX(J$1:J4179,SUMPRODUCT(MAX(ROW(E$1:E4179)*(E4180=E$1:E4179)))))</f>
        <v> </v>
      </c>
      <c r="L4180" s="26"/>
    </row>
    <row r="4181" spans="1:12">
      <c r="A4181" s="20" t="s">
        <v>228</v>
      </c>
      <c r="E4181" s="21">
        <f>IF(D4181="?OLD","!!!","")</f>
        <v/>
      </c>
      <c r="F4181" s="22" t="str">
        <f>IF(OR(E4181="",E4181="!!!"),"",IF(NOT(ISNA(VLOOKUP(E4181,E$1:E4180,1,FALSE()))),"OLD",IF(AND(E4181&lt;&gt;"",E4181&lt;&gt;"!!!"),"NEW","")))</f>
        <v> </v>
      </c>
      <c r="G4181" s="23" t="str">
        <f>IF(OR(E4181="",E4181="!!!"),"",IF(OR(J4181=0,AND(J4181=1,K4181=1),AND(J4181=1,I4181="SBJ"),AND(J4181=1,I4181=0)),"?IN_FOCUS",IF(J4181&lt;=2,"?ACTIVATED",IF(J4181&lt;&gt;"","?FAMILIAR",IF(F4181="NEW",IF(ISNA(VLOOKUP(E4181,#REF!,1,FALSE())),"?TYPE_IDENTIFIABLE","?REFERENTIAL"),"_")))))</f>
        <v> </v>
      </c>
      <c r="H4181" s="24" t="str">
        <f>IF(J4181&lt;&gt;1,"",IF(I4181="SBJ","CB","?"))</f>
        <v> </v>
      </c>
      <c r="I4181" s="25" t="str">
        <f>IF(OR(E4181="",E4181="!!!",F4181="NEW"),"",INDEX(B4180:B$2,-1+SUMPRODUCT(MAX(ROW(E4180:E$2)*(E4181=E4180:E$2)))))</f>
        <v> </v>
      </c>
      <c r="J4181" s="25" t="str">
        <f>IF(OR(E4181="",E4181="!!!",F4181="NEW"),"",COUNTBLANK(OFFSET(A$1,,,SUMPRODUCT(MAX(ROW(E$2:E4181)*(E4181=E$2:E4181)))))-COUNTBLANK(OFFSET(A$1,,,SUMPRODUCT(MAX(ROW(E$1:E4180)*(E2=E$1:E4180))))))</f>
        <v> </v>
      </c>
      <c r="K4181" s="25" t="str">
        <f>IF(OR(E4181="",E4181="!!!",F4181="NEW"),"",INDEX(J$1:J4180,SUMPRODUCT(MAX(ROW(E$1:E4180)*(E4181=E$1:E4180)))))</f>
        <v> </v>
      </c>
      <c r="L4181" s="26"/>
    </row>
    <row r="4182" spans="1:12">
      <c r="A4182" s="20" t="s">
        <v>1124</v>
      </c>
      <c r="B4182" s="27" t="s">
        <v>1259</v>
      </c>
      <c r="C4182" s="27" t="s">
        <v>1126</v>
      </c>
      <c r="D4182" s="27" t="s">
        <v>1105</v>
      </c>
      <c r="E4182" s="21">
        <f>IF(D4182="?OLD","!!!","")</f>
        <v/>
      </c>
      <c r="F4182" s="22" t="str">
        <f>IF(OR(E4182="",E4182="!!!"),"",IF(NOT(ISNA(VLOOKUP(E4182,E$1:E4181,1,FALSE()))),"OLD",IF(AND(E4182&lt;&gt;"",E4182&lt;&gt;"!!!"),"NEW","")))</f>
        <v> </v>
      </c>
      <c r="G4182" s="23" t="str">
        <f>IF(OR(E4182="",E4182="!!!"),"",IF(OR(J4182=0,AND(J4182=1,K4182=1),AND(J4182=1,I4182="SBJ"),AND(J4182=1,I4182=0)),"?IN_FOCUS",IF(J4182&lt;=2,"?ACTIVATED",IF(J4182&lt;&gt;"","?FAMILIAR",IF(F4182="NEW",IF(ISNA(VLOOKUP(E4182,#REF!,1,FALSE())),"?TYPE_IDENTIFIABLE","?REFERENTIAL"),"_")))))</f>
        <v> </v>
      </c>
      <c r="H4182" s="24" t="str">
        <f>IF(J4182&lt;&gt;1,"",IF(I4182="SBJ","CB","?"))</f>
        <v> </v>
      </c>
      <c r="I4182" s="25" t="str">
        <f>IF(OR(E4182="",E4182="!!!",F4182="NEW"),"",INDEX(B4181:B$2,-1+SUMPRODUCT(MAX(ROW(E4181:E$2)*(E4182=E4181:E$2)))))</f>
        <v> </v>
      </c>
      <c r="J4182" s="25" t="str">
        <f>IF(OR(E4182="",E4182="!!!",F4182="NEW"),"",COUNTBLANK(OFFSET(A$1,,,SUMPRODUCT(MAX(ROW(E$2:E4182)*(E4182=E$2:E4182)))))-COUNTBLANK(OFFSET(A$1,,,SUMPRODUCT(MAX(ROW(E$1:E4181)*(E2=E$1:E4181))))))</f>
        <v> </v>
      </c>
      <c r="K4182" s="25" t="str">
        <f>IF(OR(E4182="",E4182="!!!",F4182="NEW"),"",INDEX(J$1:J4181,SUMPRODUCT(MAX(ROW(E$1:E4181)*(E4182=E$1:E4181)))))</f>
        <v> </v>
      </c>
      <c r="L4182" s="26"/>
    </row>
    <row r="4183" spans="1:12">
      <c r="A4183" s="20" t="s">
        <v>2961</v>
      </c>
      <c r="E4183" s="21">
        <f>IF(D4183="?OLD","!!!","")</f>
        <v/>
      </c>
      <c r="F4183" s="22" t="str">
        <f>IF(OR(E4183="",E4183="!!!"),"",IF(NOT(ISNA(VLOOKUP(E4183,E$1:E4182,1,FALSE()))),"OLD",IF(AND(E4183&lt;&gt;"",E4183&lt;&gt;"!!!"),"NEW","")))</f>
        <v> </v>
      </c>
      <c r="G4183" s="23" t="str">
        <f>IF(OR(E4183="",E4183="!!!"),"",IF(OR(J4183=0,AND(J4183=1,K4183=1),AND(J4183=1,I4183="SBJ"),AND(J4183=1,I4183=0)),"?IN_FOCUS",IF(J4183&lt;=2,"?ACTIVATED",IF(J4183&lt;&gt;"","?FAMILIAR",IF(F4183="NEW",IF(ISNA(VLOOKUP(E4183,#REF!,1,FALSE())),"?TYPE_IDENTIFIABLE","?REFERENTIAL"),"_")))))</f>
        <v> </v>
      </c>
      <c r="H4183" s="24" t="str">
        <f>IF(J4183&lt;&gt;1,"",IF(I4183="SBJ","CB","?"))</f>
        <v> </v>
      </c>
      <c r="I4183" s="25" t="str">
        <f>IF(OR(E4183="",E4183="!!!",F4183="NEW"),"",INDEX(B4182:B$2,-1+SUMPRODUCT(MAX(ROW(E4182:E$2)*(E4183=E4182:E$2)))))</f>
        <v> </v>
      </c>
      <c r="J4183" s="25" t="str">
        <f>IF(OR(E4183="",E4183="!!!",F4183="NEW"),"",COUNTBLANK(OFFSET(A$1,,,SUMPRODUCT(MAX(ROW(E$2:E4183)*(E4183=E$2:E4183)))))-COUNTBLANK(OFFSET(A$1,,,SUMPRODUCT(MAX(ROW(E$1:E4182)*(E2=E$1:E4182))))))</f>
        <v> </v>
      </c>
      <c r="K4183" s="25" t="str">
        <f>IF(OR(E4183="",E4183="!!!",F4183="NEW"),"",INDEX(J$1:J4182,SUMPRODUCT(MAX(ROW(E$1:E4182)*(E4183=E$1:E4182)))))</f>
        <v> </v>
      </c>
      <c r="L4183" s="26"/>
    </row>
    <row r="4184" spans="1:12">
      <c r="A4184" s="20" t="s">
        <v>2938</v>
      </c>
      <c r="E4184" s="21">
        <f>IF(D4184="?OLD","!!!","")</f>
        <v/>
      </c>
      <c r="F4184" s="22" t="str">
        <f>IF(OR(E4184="",E4184="!!!"),"",IF(NOT(ISNA(VLOOKUP(E4184,E$1:E4183,1,FALSE()))),"OLD",IF(AND(E4184&lt;&gt;"",E4184&lt;&gt;"!!!"),"NEW","")))</f>
        <v> </v>
      </c>
      <c r="G4184" s="23" t="str">
        <f>IF(OR(E4184="",E4184="!!!"),"",IF(OR(J4184=0,AND(J4184=1,K4184=1),AND(J4184=1,I4184="SBJ"),AND(J4184=1,I4184=0)),"?IN_FOCUS",IF(J4184&lt;=2,"?ACTIVATED",IF(J4184&lt;&gt;"","?FAMILIAR",IF(F4184="NEW",IF(ISNA(VLOOKUP(E4184,#REF!,1,FALSE())),"?TYPE_IDENTIFIABLE","?REFERENTIAL"),"_")))))</f>
        <v> </v>
      </c>
      <c r="H4184" s="24" t="str">
        <f>IF(J4184&lt;&gt;1,"",IF(I4184="SBJ","CB","?"))</f>
        <v> </v>
      </c>
      <c r="I4184" s="25" t="str">
        <f>IF(OR(E4184="",E4184="!!!",F4184="NEW"),"",INDEX(B4183:B$2,-1+SUMPRODUCT(MAX(ROW(E4183:E$2)*(E4184=E4183:E$2)))))</f>
        <v> </v>
      </c>
      <c r="J4184" s="25" t="str">
        <f>IF(OR(E4184="",E4184="!!!",F4184="NEW"),"",COUNTBLANK(OFFSET(A$1,,,SUMPRODUCT(MAX(ROW(E$2:E4184)*(E4184=E$2:E4184)))))-COUNTBLANK(OFFSET(A$1,,,SUMPRODUCT(MAX(ROW(E$1:E4183)*(E2=E$1:E4183))))))</f>
        <v> </v>
      </c>
      <c r="K4184" s="25" t="str">
        <f>IF(OR(E4184="",E4184="!!!",F4184="NEW"),"",INDEX(J$1:J4183,SUMPRODUCT(MAX(ROW(E$1:E4183)*(E4184=E$1:E4183)))))</f>
        <v> </v>
      </c>
      <c r="L4184" s="26"/>
    </row>
    <row r="4185" spans="1:12">
      <c r="A4185" s="20" t="s">
        <v>2962</v>
      </c>
      <c r="E4185" s="21">
        <f>IF(D4185="?OLD","!!!","")</f>
        <v/>
      </c>
      <c r="F4185" s="22" t="str">
        <f>IF(OR(E4185="",E4185="!!!"),"",IF(NOT(ISNA(VLOOKUP(E4185,E$1:E4184,1,FALSE()))),"OLD",IF(AND(E4185&lt;&gt;"",E4185&lt;&gt;"!!!"),"NEW","")))</f>
        <v> </v>
      </c>
      <c r="G4185" s="23" t="str">
        <f>IF(OR(E4185="",E4185="!!!"),"",IF(OR(J4185=0,AND(J4185=1,K4185=1),AND(J4185=1,I4185="SBJ"),AND(J4185=1,I4185=0)),"?IN_FOCUS",IF(J4185&lt;=2,"?ACTIVATED",IF(J4185&lt;&gt;"","?FAMILIAR",IF(F4185="NEW",IF(ISNA(VLOOKUP(E4185,#REF!,1,FALSE())),"?TYPE_IDENTIFIABLE","?REFERENTIAL"),"_")))))</f>
        <v> </v>
      </c>
      <c r="H4185" s="24" t="str">
        <f>IF(J4185&lt;&gt;1,"",IF(I4185="SBJ","CB","?"))</f>
        <v> </v>
      </c>
      <c r="I4185" s="25" t="str">
        <f>IF(OR(E4185="",E4185="!!!",F4185="NEW"),"",INDEX(B4184:B$2,-1+SUMPRODUCT(MAX(ROW(E4184:E$2)*(E4185=E4184:E$2)))))</f>
        <v> </v>
      </c>
      <c r="J4185" s="25" t="str">
        <f>IF(OR(E4185="",E4185="!!!",F4185="NEW"),"",COUNTBLANK(OFFSET(A$1,,,SUMPRODUCT(MAX(ROW(E$2:E4185)*(E4185=E$2:E4185)))))-COUNTBLANK(OFFSET(A$1,,,SUMPRODUCT(MAX(ROW(E$1:E4184)*(E2=E$1:E4184))))))</f>
        <v> </v>
      </c>
      <c r="K4185" s="25" t="str">
        <f>IF(OR(E4185="",E4185="!!!",F4185="NEW"),"",INDEX(J$1:J4184,SUMPRODUCT(MAX(ROW(E$1:E4184)*(E4185=E$1:E4184)))))</f>
        <v> </v>
      </c>
      <c r="L4185" s="26"/>
    </row>
    <row r="4186" spans="1:12">
      <c r="A4186" s="20" t="s">
        <v>2963</v>
      </c>
      <c r="E4186" s="21">
        <f>IF(D4186="?OLD","!!!","")</f>
        <v/>
      </c>
      <c r="F4186" s="22" t="str">
        <f>IF(OR(E4186="",E4186="!!!"),"",IF(NOT(ISNA(VLOOKUP(E4186,E$1:E4185,1,FALSE()))),"OLD",IF(AND(E4186&lt;&gt;"",E4186&lt;&gt;"!!!"),"NEW","")))</f>
        <v> </v>
      </c>
      <c r="G4186" s="23" t="str">
        <f>IF(OR(E4186="",E4186="!!!"),"",IF(OR(J4186=0,AND(J4186=1,K4186=1),AND(J4186=1,I4186="SBJ"),AND(J4186=1,I4186=0)),"?IN_FOCUS",IF(J4186&lt;=2,"?ACTIVATED",IF(J4186&lt;&gt;"","?FAMILIAR",IF(F4186="NEW",IF(ISNA(VLOOKUP(E4186,#REF!,1,FALSE())),"?TYPE_IDENTIFIABLE","?REFERENTIAL"),"_")))))</f>
        <v> </v>
      </c>
      <c r="H4186" s="24" t="str">
        <f>IF(J4186&lt;&gt;1,"",IF(I4186="SBJ","CB","?"))</f>
        <v> </v>
      </c>
      <c r="I4186" s="25" t="str">
        <f>IF(OR(E4186="",E4186="!!!",F4186="NEW"),"",INDEX(B4185:B$2,-1+SUMPRODUCT(MAX(ROW(E4185:E$2)*(E4186=E4185:E$2)))))</f>
        <v> </v>
      </c>
      <c r="J4186" s="25" t="str">
        <f>IF(OR(E4186="",E4186="!!!",F4186="NEW"),"",COUNTBLANK(OFFSET(A$1,,,SUMPRODUCT(MAX(ROW(E$2:E4186)*(E4186=E$2:E4186)))))-COUNTBLANK(OFFSET(A$1,,,SUMPRODUCT(MAX(ROW(E$1:E4185)*(E2=E$1:E4185))))))</f>
        <v> </v>
      </c>
      <c r="K4186" s="25" t="str">
        <f>IF(OR(E4186="",E4186="!!!",F4186="NEW"),"",INDEX(J$1:J4185,SUMPRODUCT(MAX(ROW(E$1:E4185)*(E4186=E$1:E4185)))))</f>
        <v> </v>
      </c>
      <c r="L4186" s="26"/>
    </row>
    <row r="4187" spans="1:12">
      <c r="A4187" s="20" t="s">
        <v>1145</v>
      </c>
      <c r="E4187" s="21">
        <f>IF(D4187="?OLD","!!!","")</f>
        <v/>
      </c>
      <c r="F4187" s="22" t="str">
        <f>IF(OR(E4187="",E4187="!!!"),"",IF(NOT(ISNA(VLOOKUP(E4187,E$1:E4186,1,FALSE()))),"OLD",IF(AND(E4187&lt;&gt;"",E4187&lt;&gt;"!!!"),"NEW","")))</f>
        <v> </v>
      </c>
      <c r="G4187" s="23" t="str">
        <f>IF(OR(E4187="",E4187="!!!"),"",IF(OR(J4187=0,AND(J4187=1,K4187=1),AND(J4187=1,I4187="SBJ"),AND(J4187=1,I4187=0)),"?IN_FOCUS",IF(J4187&lt;=2,"?ACTIVATED",IF(J4187&lt;&gt;"","?FAMILIAR",IF(F4187="NEW",IF(ISNA(VLOOKUP(E4187,#REF!,1,FALSE())),"?TYPE_IDENTIFIABLE","?REFERENTIAL"),"_")))))</f>
        <v> </v>
      </c>
      <c r="H4187" s="24" t="str">
        <f>IF(J4187&lt;&gt;1,"",IF(I4187="SBJ","CB","?"))</f>
        <v> </v>
      </c>
      <c r="I4187" s="25" t="str">
        <f>IF(OR(E4187="",E4187="!!!",F4187="NEW"),"",INDEX(B4186:B$2,-1+SUMPRODUCT(MAX(ROW(E4186:E$2)*(E4187=E4186:E$2)))))</f>
        <v> </v>
      </c>
      <c r="J4187" s="25" t="str">
        <f>IF(OR(E4187="",E4187="!!!",F4187="NEW"),"",COUNTBLANK(OFFSET(A$1,,,SUMPRODUCT(MAX(ROW(E$2:E4187)*(E4187=E$2:E4187)))))-COUNTBLANK(OFFSET(A$1,,,SUMPRODUCT(MAX(ROW(E$1:E4186)*(E2=E$1:E4186))))))</f>
        <v> </v>
      </c>
      <c r="K4187" s="25" t="str">
        <f>IF(OR(E4187="",E4187="!!!",F4187="NEW"),"",INDEX(J$1:J4186,SUMPRODUCT(MAX(ROW(E$1:E4186)*(E4187=E$1:E4186)))))</f>
        <v> </v>
      </c>
      <c r="L4187" s="26"/>
    </row>
    <row r="4188" spans="1:12">
      <c r="A4188" s="20"/>
    </row>
    <row r="4189" spans="1:12">
      <c r="A4189" s="20" t="s">
        <v>2964</v>
      </c>
    </row>
    <row r="4190" spans="1:12">
      <c r="A4190" s="20" t="s">
        <v>2965</v>
      </c>
      <c r="E4190" s="21">
        <f>IF(D4190="?OLD","!!!","")</f>
        <v/>
      </c>
      <c r="F4190" s="22" t="str">
        <f>IF(OR(E4190="",E4190="!!!"),"",IF(NOT(ISNA(VLOOKUP(E4190,E$1:E4189,1,FALSE()))),"OLD",IF(AND(E4190&lt;&gt;"",E4190&lt;&gt;"!!!"),"NEW","")))</f>
        <v> </v>
      </c>
      <c r="G4190" s="23" t="str">
        <f>IF(OR(E4190="",E4190="!!!"),"",IF(OR(J4190=0,AND(J4190=1,K4190=1),AND(J4190=1,I4190="SBJ"),AND(J4190=1,I4190=0)),"?IN_FOCUS",IF(J4190&lt;=2,"?ACTIVATED",IF(J4190&lt;&gt;"","?FAMILIAR",IF(F4190="NEW",IF(ISNA(VLOOKUP(E4190,#REF!,1,FALSE())),"?TYPE_IDENTIFIABLE","?REFERENTIAL"),"_")))))</f>
        <v> </v>
      </c>
      <c r="H4190" s="24" t="str">
        <f>IF(J4190&lt;&gt;1,"",IF(I4190="SBJ","CB","?"))</f>
        <v> </v>
      </c>
      <c r="I4190" s="25" t="str">
        <f>IF(OR(E4190="",E4190="!!!",F4190="NEW"),"",INDEX(B4189:B$2,-1+SUMPRODUCT(MAX(ROW(E4189:E$2)*(E4190=E4189:E$2)))))</f>
        <v> </v>
      </c>
      <c r="J4190" s="25" t="str">
        <f>IF(OR(E4190="",E4190="!!!",F4190="NEW"),"",COUNTBLANK(OFFSET(A$1,,,SUMPRODUCT(MAX(ROW(E$2:E4190)*(E4190=E$2:E4190)))))-COUNTBLANK(OFFSET(A$1,,,SUMPRODUCT(MAX(ROW(E$1:E4189)*(E2=E$1:E4189))))))</f>
        <v> </v>
      </c>
      <c r="K4190" s="25" t="str">
        <f>IF(OR(E4190="",E4190="!!!",F4190="NEW"),"",INDEX(J$1:J4189,SUMPRODUCT(MAX(ROW(E$1:E4189)*(E4190=E$1:E4189)))))</f>
        <v> </v>
      </c>
      <c r="L4190" s="26"/>
    </row>
    <row r="4191" spans="1:12">
      <c r="A4191" s="20" t="s">
        <v>2966</v>
      </c>
      <c r="B4191" s="27" t="s">
        <v>1149</v>
      </c>
      <c r="E4191" s="21">
        <f>IF(D4191="?OLD","!!!","")</f>
        <v/>
      </c>
      <c r="F4191" s="22" t="str">
        <f>IF(OR(E4191="",E4191="!!!"),"",IF(NOT(ISNA(VLOOKUP(E4191,E$1:E4190,1,FALSE()))),"OLD",IF(AND(E4191&lt;&gt;"",E4191&lt;&gt;"!!!"),"NEW","")))</f>
        <v> </v>
      </c>
      <c r="G4191" s="23" t="str">
        <f>IF(OR(E4191="",E4191="!!!"),"",IF(OR(J4191=0,AND(J4191=1,K4191=1),AND(J4191=1,I4191="SBJ"),AND(J4191=1,I4191=0)),"?IN_FOCUS",IF(J4191&lt;=2,"?ACTIVATED",IF(J4191&lt;&gt;"","?FAMILIAR",IF(F4191="NEW",IF(ISNA(VLOOKUP(E4191,#REF!,1,FALSE())),"?TYPE_IDENTIFIABLE","?REFERENTIAL"),"_")))))</f>
        <v> </v>
      </c>
      <c r="H4191" s="24" t="str">
        <f>IF(J4191&lt;&gt;1,"",IF(I4191="SBJ","CB","?"))</f>
        <v> </v>
      </c>
      <c r="I4191" s="25" t="str">
        <f>IF(OR(E4191="",E4191="!!!",F4191="NEW"),"",INDEX(B4190:B$2,-1+SUMPRODUCT(MAX(ROW(E4190:E$2)*(E4191=E4190:E$2)))))</f>
        <v> </v>
      </c>
      <c r="J4191" s="25" t="str">
        <f>IF(OR(E4191="",E4191="!!!",F4191="NEW"),"",COUNTBLANK(OFFSET(A$1,,,SUMPRODUCT(MAX(ROW(E$2:E4191)*(E4191=E$2:E4191)))))-COUNTBLANK(OFFSET(A$1,,,SUMPRODUCT(MAX(ROW(E$1:E4190)*(E2=E$1:E4190))))))</f>
        <v> </v>
      </c>
      <c r="K4191" s="25" t="str">
        <f>IF(OR(E4191="",E4191="!!!",F4191="NEW"),"",INDEX(J$1:J4190,SUMPRODUCT(MAX(ROW(E$1:E4190)*(E4191=E$1:E4190)))))</f>
        <v> </v>
      </c>
      <c r="L4191" s="26"/>
    </row>
    <row r="4192" spans="1:12">
      <c r="A4192" s="20" t="s">
        <v>1128</v>
      </c>
      <c r="E4192" s="21">
        <f>IF(D4192="?OLD","!!!","")</f>
        <v/>
      </c>
      <c r="F4192" s="22" t="str">
        <f>IF(OR(E4192="",E4192="!!!"),"",IF(NOT(ISNA(VLOOKUP(E4192,E$1:E4191,1,FALSE()))),"OLD",IF(AND(E4192&lt;&gt;"",E4192&lt;&gt;"!!!"),"NEW","")))</f>
        <v> </v>
      </c>
      <c r="G4192" s="23" t="str">
        <f>IF(OR(E4192="",E4192="!!!"),"",IF(OR(J4192=0,AND(J4192=1,K4192=1),AND(J4192=1,I4192="SBJ"),AND(J4192=1,I4192=0)),"?IN_FOCUS",IF(J4192&lt;=2,"?ACTIVATED",IF(J4192&lt;&gt;"","?FAMILIAR",IF(F4192="NEW",IF(ISNA(VLOOKUP(E4192,#REF!,1,FALSE())),"?TYPE_IDENTIFIABLE","?REFERENTIAL"),"_")))))</f>
        <v> </v>
      </c>
      <c r="H4192" s="24" t="str">
        <f>IF(J4192&lt;&gt;1,"",IF(I4192="SBJ","CB","?"))</f>
        <v> </v>
      </c>
      <c r="I4192" s="25" t="str">
        <f>IF(OR(E4192="",E4192="!!!",F4192="NEW"),"",INDEX(B4191:B$2,-1+SUMPRODUCT(MAX(ROW(E4191:E$2)*(E4192=E4191:E$2)))))</f>
        <v> </v>
      </c>
      <c r="J4192" s="25" t="str">
        <f>IF(OR(E4192="",E4192="!!!",F4192="NEW"),"",COUNTBLANK(OFFSET(A$1,,,SUMPRODUCT(MAX(ROW(E$2:E4192)*(E4192=E$2:E4192)))))-COUNTBLANK(OFFSET(A$1,,,SUMPRODUCT(MAX(ROW(E$1:E4191)*(E2=E$1:E4191))))))</f>
        <v> </v>
      </c>
      <c r="K4192" s="25" t="str">
        <f>IF(OR(E4192="",E4192="!!!",F4192="NEW"),"",INDEX(J$1:J4191,SUMPRODUCT(MAX(ROW(E$1:E4191)*(E4192=E$1:E4191)))))</f>
        <v> </v>
      </c>
      <c r="L4192" s="26"/>
    </row>
    <row r="4193" spans="1:12">
      <c r="A4193" s="20" t="s">
        <v>2967</v>
      </c>
      <c r="E4193" s="21">
        <f>IF(D4193="?OLD","!!!","")</f>
        <v/>
      </c>
      <c r="F4193" s="22" t="str">
        <f>IF(OR(E4193="",E4193="!!!"),"",IF(NOT(ISNA(VLOOKUP(E4193,E$1:E4192,1,FALSE()))),"OLD",IF(AND(E4193&lt;&gt;"",E4193&lt;&gt;"!!!"),"NEW","")))</f>
        <v> </v>
      </c>
      <c r="G4193" s="23" t="str">
        <f>IF(OR(E4193="",E4193="!!!"),"",IF(OR(J4193=0,AND(J4193=1,K4193=1),AND(J4193=1,I4193="SBJ"),AND(J4193=1,I4193=0)),"?IN_FOCUS",IF(J4193&lt;=2,"?ACTIVATED",IF(J4193&lt;&gt;"","?FAMILIAR",IF(F4193="NEW",IF(ISNA(VLOOKUP(E4193,#REF!,1,FALSE())),"?TYPE_IDENTIFIABLE","?REFERENTIAL"),"_")))))</f>
        <v> </v>
      </c>
      <c r="H4193" s="24" t="str">
        <f>IF(J4193&lt;&gt;1,"",IF(I4193="SBJ","CB","?"))</f>
        <v> </v>
      </c>
      <c r="I4193" s="25" t="str">
        <f>IF(OR(E4193="",E4193="!!!",F4193="NEW"),"",INDEX(B4192:B$2,-1+SUMPRODUCT(MAX(ROW(E4192:E$2)*(E4193=E4192:E$2)))))</f>
        <v> </v>
      </c>
      <c r="J4193" s="25" t="str">
        <f>IF(OR(E4193="",E4193="!!!",F4193="NEW"),"",COUNTBLANK(OFFSET(A$1,,,SUMPRODUCT(MAX(ROW(E$2:E4193)*(E4193=E$2:E4193)))))-COUNTBLANK(OFFSET(A$1,,,SUMPRODUCT(MAX(ROW(E$1:E4192)*(E2=E$1:E4192))))))</f>
        <v> </v>
      </c>
      <c r="K4193" s="25" t="str">
        <f>IF(OR(E4193="",E4193="!!!",F4193="NEW"),"",INDEX(J$1:J4192,SUMPRODUCT(MAX(ROW(E$1:E4192)*(E4193=E$1:E4192)))))</f>
        <v> </v>
      </c>
      <c r="L4193" s="26"/>
    </row>
    <row r="4194" spans="1:12">
      <c r="A4194" s="20" t="s">
        <v>1123</v>
      </c>
      <c r="E4194" s="21">
        <f>IF(D4194="?OLD","!!!","")</f>
        <v/>
      </c>
      <c r="F4194" s="22" t="str">
        <f>IF(OR(E4194="",E4194="!!!"),"",IF(NOT(ISNA(VLOOKUP(E4194,E$1:E4193,1,FALSE()))),"OLD",IF(AND(E4194&lt;&gt;"",E4194&lt;&gt;"!!!"),"NEW","")))</f>
        <v> </v>
      </c>
      <c r="G4194" s="23" t="str">
        <f>IF(OR(E4194="",E4194="!!!"),"",IF(OR(J4194=0,AND(J4194=1,K4194=1),AND(J4194=1,I4194="SBJ"),AND(J4194=1,I4194=0)),"?IN_FOCUS",IF(J4194&lt;=2,"?ACTIVATED",IF(J4194&lt;&gt;"","?FAMILIAR",IF(F4194="NEW",IF(ISNA(VLOOKUP(E4194,#REF!,1,FALSE())),"?TYPE_IDENTIFIABLE","?REFERENTIAL"),"_")))))</f>
        <v> </v>
      </c>
      <c r="H4194" s="24" t="str">
        <f>IF(J4194&lt;&gt;1,"",IF(I4194="SBJ","CB","?"))</f>
        <v> </v>
      </c>
      <c r="I4194" s="25" t="str">
        <f>IF(OR(E4194="",E4194="!!!",F4194="NEW"),"",INDEX(B4193:B$2,-1+SUMPRODUCT(MAX(ROW(E4193:E$2)*(E4194=E4193:E$2)))))</f>
        <v> </v>
      </c>
      <c r="J4194" s="25" t="str">
        <f>IF(OR(E4194="",E4194="!!!",F4194="NEW"),"",COUNTBLANK(OFFSET(A$1,,,SUMPRODUCT(MAX(ROW(E$2:E4194)*(E4194=E$2:E4194)))))-COUNTBLANK(OFFSET(A$1,,,SUMPRODUCT(MAX(ROW(E$1:E4193)*(E2=E$1:E4193))))))</f>
        <v> </v>
      </c>
      <c r="K4194" s="25" t="str">
        <f>IF(OR(E4194="",E4194="!!!",F4194="NEW"),"",INDEX(J$1:J4193,SUMPRODUCT(MAX(ROW(E$1:E4193)*(E4194=E$1:E4193)))))</f>
        <v> </v>
      </c>
      <c r="L4194" s="26"/>
    </row>
    <row r="4195" spans="1:12">
      <c r="A4195" s="20" t="s">
        <v>1139</v>
      </c>
      <c r="E4195" s="21">
        <f>IF(D4195="?OLD","!!!","")</f>
        <v/>
      </c>
      <c r="F4195" s="22" t="str">
        <f>IF(OR(E4195="",E4195="!!!"),"",IF(NOT(ISNA(VLOOKUP(E4195,E$1:E4194,1,FALSE()))),"OLD",IF(AND(E4195&lt;&gt;"",E4195&lt;&gt;"!!!"),"NEW","")))</f>
        <v> </v>
      </c>
      <c r="G4195" s="23" t="str">
        <f>IF(OR(E4195="",E4195="!!!"),"",IF(OR(J4195=0,AND(J4195=1,K4195=1),AND(J4195=1,I4195="SBJ"),AND(J4195=1,I4195=0)),"?IN_FOCUS",IF(J4195&lt;=2,"?ACTIVATED",IF(J4195&lt;&gt;"","?FAMILIAR",IF(F4195="NEW",IF(ISNA(VLOOKUP(E4195,#REF!,1,FALSE())),"?TYPE_IDENTIFIABLE","?REFERENTIAL"),"_")))))</f>
        <v> </v>
      </c>
      <c r="H4195" s="24" t="str">
        <f>IF(J4195&lt;&gt;1,"",IF(I4195="SBJ","CB","?"))</f>
        <v> </v>
      </c>
      <c r="I4195" s="25" t="str">
        <f>IF(OR(E4195="",E4195="!!!",F4195="NEW"),"",INDEX(B4194:B$2,-1+SUMPRODUCT(MAX(ROW(E4194:E$2)*(E4195=E4194:E$2)))))</f>
        <v> </v>
      </c>
      <c r="J4195" s="25" t="str">
        <f>IF(OR(E4195="",E4195="!!!",F4195="NEW"),"",COUNTBLANK(OFFSET(A$1,,,SUMPRODUCT(MAX(ROW(E$2:E4195)*(E4195=E$2:E4195)))))-COUNTBLANK(OFFSET(A$1,,,SUMPRODUCT(MAX(ROW(E$1:E4194)*(E2=E$1:E4194))))))</f>
        <v> </v>
      </c>
      <c r="K4195" s="25" t="str">
        <f>IF(OR(E4195="",E4195="!!!",F4195="NEW"),"",INDEX(J$1:J4194,SUMPRODUCT(MAX(ROW(E$1:E4194)*(E4195=E$1:E4194)))))</f>
        <v> </v>
      </c>
      <c r="L4195" s="26"/>
    </row>
    <row r="4196" spans="1:12">
      <c r="A4196" s="20" t="s">
        <v>2968</v>
      </c>
      <c r="E4196" s="21">
        <f>IF(D4196="?OLD","!!!","")</f>
        <v/>
      </c>
      <c r="F4196" s="22" t="str">
        <f>IF(OR(E4196="",E4196="!!!"),"",IF(NOT(ISNA(VLOOKUP(E4196,E$1:E4195,1,FALSE()))),"OLD",IF(AND(E4196&lt;&gt;"",E4196&lt;&gt;"!!!"),"NEW","")))</f>
        <v> </v>
      </c>
      <c r="G4196" s="23" t="str">
        <f>IF(OR(E4196="",E4196="!!!"),"",IF(OR(J4196=0,AND(J4196=1,K4196=1),AND(J4196=1,I4196="SBJ"),AND(J4196=1,I4196=0)),"?IN_FOCUS",IF(J4196&lt;=2,"?ACTIVATED",IF(J4196&lt;&gt;"","?FAMILIAR",IF(F4196="NEW",IF(ISNA(VLOOKUP(E4196,#REF!,1,FALSE())),"?TYPE_IDENTIFIABLE","?REFERENTIAL"),"_")))))</f>
        <v> </v>
      </c>
      <c r="H4196" s="24" t="str">
        <f>IF(J4196&lt;&gt;1,"",IF(I4196="SBJ","CB","?"))</f>
        <v> </v>
      </c>
      <c r="I4196" s="25" t="str">
        <f>IF(OR(E4196="",E4196="!!!",F4196="NEW"),"",INDEX(B4195:B$2,-1+SUMPRODUCT(MAX(ROW(E4195:E$2)*(E4196=E4195:E$2)))))</f>
        <v> </v>
      </c>
      <c r="J4196" s="25" t="str">
        <f>IF(OR(E4196="",E4196="!!!",F4196="NEW"),"",COUNTBLANK(OFFSET(A$1,,,SUMPRODUCT(MAX(ROW(E$2:E4196)*(E4196=E$2:E4196)))))-COUNTBLANK(OFFSET(A$1,,,SUMPRODUCT(MAX(ROW(E$1:E4195)*(E2=E$1:E4195))))))</f>
        <v> </v>
      </c>
      <c r="K4196" s="25" t="str">
        <f>IF(OR(E4196="",E4196="!!!",F4196="NEW"),"",INDEX(J$1:J4195,SUMPRODUCT(MAX(ROW(E$1:E4195)*(E4196=E$1:E4195)))))</f>
        <v> </v>
      </c>
      <c r="L4196" s="26"/>
    </row>
    <row r="4197" spans="1:12">
      <c r="A4197" s="20" t="s">
        <v>2969</v>
      </c>
      <c r="E4197" s="21">
        <f>IF(D4197="?OLD","!!!","")</f>
        <v/>
      </c>
      <c r="F4197" s="22" t="str">
        <f>IF(OR(E4197="",E4197="!!!"),"",IF(NOT(ISNA(VLOOKUP(E4197,E$1:E4196,1,FALSE()))),"OLD",IF(AND(E4197&lt;&gt;"",E4197&lt;&gt;"!!!"),"NEW","")))</f>
        <v> </v>
      </c>
      <c r="G4197" s="23" t="str">
        <f>IF(OR(E4197="",E4197="!!!"),"",IF(OR(J4197=0,AND(J4197=1,K4197=1),AND(J4197=1,I4197="SBJ"),AND(J4197=1,I4197=0)),"?IN_FOCUS",IF(J4197&lt;=2,"?ACTIVATED",IF(J4197&lt;&gt;"","?FAMILIAR",IF(F4197="NEW",IF(ISNA(VLOOKUP(E4197,#REF!,1,FALSE())),"?TYPE_IDENTIFIABLE","?REFERENTIAL"),"_")))))</f>
        <v> </v>
      </c>
      <c r="H4197" s="24" t="str">
        <f>IF(J4197&lt;&gt;1,"",IF(I4197="SBJ","CB","?"))</f>
        <v> </v>
      </c>
      <c r="I4197" s="25" t="str">
        <f>IF(OR(E4197="",E4197="!!!",F4197="NEW"),"",INDEX(B4196:B$2,-1+SUMPRODUCT(MAX(ROW(E4196:E$2)*(E4197=E4196:E$2)))))</f>
        <v> </v>
      </c>
      <c r="J4197" s="25" t="str">
        <f>IF(OR(E4197="",E4197="!!!",F4197="NEW"),"",COUNTBLANK(OFFSET(A$1,,,SUMPRODUCT(MAX(ROW(E$2:E4197)*(E4197=E$2:E4197)))))-COUNTBLANK(OFFSET(A$1,,,SUMPRODUCT(MAX(ROW(E$1:E4196)*(E2=E$1:E4196))))))</f>
        <v> </v>
      </c>
      <c r="K4197" s="25" t="str">
        <f>IF(OR(E4197="",E4197="!!!",F4197="NEW"),"",INDEX(J$1:J4196,SUMPRODUCT(MAX(ROW(E$1:E4196)*(E4197=E$1:E4196)))))</f>
        <v> </v>
      </c>
      <c r="L4197" s="26"/>
    </row>
    <row r="4198" spans="1:12">
      <c r="A4198" s="20" t="s">
        <v>2970</v>
      </c>
      <c r="E4198" s="21">
        <f>IF(D4198="?OLD","!!!","")</f>
        <v/>
      </c>
      <c r="F4198" s="22" t="str">
        <f>IF(OR(E4198="",E4198="!!!"),"",IF(NOT(ISNA(VLOOKUP(E4198,E$1:E4197,1,FALSE()))),"OLD",IF(AND(E4198&lt;&gt;"",E4198&lt;&gt;"!!!"),"NEW","")))</f>
        <v> </v>
      </c>
      <c r="G4198" s="23" t="str">
        <f>IF(OR(E4198="",E4198="!!!"),"",IF(OR(J4198=0,AND(J4198=1,K4198=1),AND(J4198=1,I4198="SBJ"),AND(J4198=1,I4198=0)),"?IN_FOCUS",IF(J4198&lt;=2,"?ACTIVATED",IF(J4198&lt;&gt;"","?FAMILIAR",IF(F4198="NEW",IF(ISNA(VLOOKUP(E4198,#REF!,1,FALSE())),"?TYPE_IDENTIFIABLE","?REFERENTIAL"),"_")))))</f>
        <v> </v>
      </c>
      <c r="H4198" s="24" t="str">
        <f>IF(J4198&lt;&gt;1,"",IF(I4198="SBJ","CB","?"))</f>
        <v> </v>
      </c>
      <c r="I4198" s="25" t="str">
        <f>IF(OR(E4198="",E4198="!!!",F4198="NEW"),"",INDEX(B4197:B$2,-1+SUMPRODUCT(MAX(ROW(E4197:E$2)*(E4198=E4197:E$2)))))</f>
        <v> </v>
      </c>
      <c r="J4198" s="25" t="str">
        <f>IF(OR(E4198="",E4198="!!!",F4198="NEW"),"",COUNTBLANK(OFFSET(A$1,,,SUMPRODUCT(MAX(ROW(E$2:E4198)*(E4198=E$2:E4198)))))-COUNTBLANK(OFFSET(A$1,,,SUMPRODUCT(MAX(ROW(E$1:E4197)*(E2=E$1:E4197))))))</f>
        <v> </v>
      </c>
      <c r="K4198" s="25" t="str">
        <f>IF(OR(E4198="",E4198="!!!",F4198="NEW"),"",INDEX(J$1:J4197,SUMPRODUCT(MAX(ROW(E$1:E4197)*(E4198=E$1:E4197)))))</f>
        <v> </v>
      </c>
      <c r="L4198" s="26"/>
    </row>
    <row r="4199" spans="1:12">
      <c r="A4199" s="20" t="s">
        <v>1123</v>
      </c>
      <c r="E4199" s="21">
        <f>IF(D4199="?OLD","!!!","")</f>
        <v/>
      </c>
      <c r="F4199" s="22" t="str">
        <f>IF(OR(E4199="",E4199="!!!"),"",IF(NOT(ISNA(VLOOKUP(E4199,E$1:E4198,1,FALSE()))),"OLD",IF(AND(E4199&lt;&gt;"",E4199&lt;&gt;"!!!"),"NEW","")))</f>
        <v> </v>
      </c>
      <c r="G4199" s="23" t="str">
        <f>IF(OR(E4199="",E4199="!!!"),"",IF(OR(J4199=0,AND(J4199=1,K4199=1),AND(J4199=1,I4199="SBJ"),AND(J4199=1,I4199=0)),"?IN_FOCUS",IF(J4199&lt;=2,"?ACTIVATED",IF(J4199&lt;&gt;"","?FAMILIAR",IF(F4199="NEW",IF(ISNA(VLOOKUP(E4199,#REF!,1,FALSE())),"?TYPE_IDENTIFIABLE","?REFERENTIAL"),"_")))))</f>
        <v> </v>
      </c>
      <c r="H4199" s="24" t="str">
        <f>IF(J4199&lt;&gt;1,"",IF(I4199="SBJ","CB","?"))</f>
        <v> </v>
      </c>
      <c r="I4199" s="25" t="str">
        <f>IF(OR(E4199="",E4199="!!!",F4199="NEW"),"",INDEX(B4198:B$2,-1+SUMPRODUCT(MAX(ROW(E4198:E$2)*(E4199=E4198:E$2)))))</f>
        <v> </v>
      </c>
      <c r="J4199" s="25" t="str">
        <f>IF(OR(E4199="",E4199="!!!",F4199="NEW"),"",COUNTBLANK(OFFSET(A$1,,,SUMPRODUCT(MAX(ROW(E$2:E4199)*(E4199=E$2:E4199)))))-COUNTBLANK(OFFSET(A$1,,,SUMPRODUCT(MAX(ROW(E$1:E4198)*(E2=E$1:E4198))))))</f>
        <v> </v>
      </c>
      <c r="K4199" s="25" t="str">
        <f>IF(OR(E4199="",E4199="!!!",F4199="NEW"),"",INDEX(J$1:J4198,SUMPRODUCT(MAX(ROW(E$1:E4198)*(E4199=E$1:E4198)))))</f>
        <v> </v>
      </c>
      <c r="L4199" s="26"/>
    </row>
    <row r="4200" spans="1:12">
      <c r="A4200" s="20" t="s">
        <v>2971</v>
      </c>
      <c r="E4200" s="21">
        <f>IF(D4200="?OLD","!!!","")</f>
        <v/>
      </c>
      <c r="F4200" s="22" t="str">
        <f>IF(OR(E4200="",E4200="!!!"),"",IF(NOT(ISNA(VLOOKUP(E4200,E$1:E4199,1,FALSE()))),"OLD",IF(AND(E4200&lt;&gt;"",E4200&lt;&gt;"!!!"),"NEW","")))</f>
        <v> </v>
      </c>
      <c r="G4200" s="23" t="str">
        <f>IF(OR(E4200="",E4200="!!!"),"",IF(OR(J4200=0,AND(J4200=1,K4200=1),AND(J4200=1,I4200="SBJ"),AND(J4200=1,I4200=0)),"?IN_FOCUS",IF(J4200&lt;=2,"?ACTIVATED",IF(J4200&lt;&gt;"","?FAMILIAR",IF(F4200="NEW",IF(ISNA(VLOOKUP(E4200,#REF!,1,FALSE())),"?TYPE_IDENTIFIABLE","?REFERENTIAL"),"_")))))</f>
        <v> </v>
      </c>
      <c r="H4200" s="24" t="str">
        <f>IF(J4200&lt;&gt;1,"",IF(I4200="SBJ","CB","?"))</f>
        <v> </v>
      </c>
      <c r="I4200" s="25" t="str">
        <f>IF(OR(E4200="",E4200="!!!",F4200="NEW"),"",INDEX(B4199:B$2,-1+SUMPRODUCT(MAX(ROW(E4199:E$2)*(E4200=E4199:E$2)))))</f>
        <v> </v>
      </c>
      <c r="J4200" s="25" t="str">
        <f>IF(OR(E4200="",E4200="!!!",F4200="NEW"),"",COUNTBLANK(OFFSET(A$1,,,SUMPRODUCT(MAX(ROW(E$2:E4200)*(E4200=E$2:E4200)))))-COUNTBLANK(OFFSET(A$1,,,SUMPRODUCT(MAX(ROW(E$1:E4199)*(E2=E$1:E4199))))))</f>
        <v> </v>
      </c>
      <c r="K4200" s="25" t="str">
        <f>IF(OR(E4200="",E4200="!!!",F4200="NEW"),"",INDEX(J$1:J4199,SUMPRODUCT(MAX(ROW(E$1:E4199)*(E4200=E$1:E4199)))))</f>
        <v> </v>
      </c>
      <c r="L4200" s="26"/>
    </row>
    <row r="4201" spans="1:12">
      <c r="A4201" s="20" t="s">
        <v>1123</v>
      </c>
      <c r="E4201" s="21">
        <f>IF(D4201="?OLD","!!!","")</f>
        <v/>
      </c>
      <c r="F4201" s="22" t="str">
        <f>IF(OR(E4201="",E4201="!!!"),"",IF(NOT(ISNA(VLOOKUP(E4201,E$1:E4200,1,FALSE()))),"OLD",IF(AND(E4201&lt;&gt;"",E4201&lt;&gt;"!!!"),"NEW","")))</f>
        <v> </v>
      </c>
      <c r="G4201" s="23" t="str">
        <f>IF(OR(E4201="",E4201="!!!"),"",IF(OR(J4201=0,AND(J4201=1,K4201=1),AND(J4201=1,I4201="SBJ"),AND(J4201=1,I4201=0)),"?IN_FOCUS",IF(J4201&lt;=2,"?ACTIVATED",IF(J4201&lt;&gt;"","?FAMILIAR",IF(F4201="NEW",IF(ISNA(VLOOKUP(E4201,#REF!,1,FALSE())),"?TYPE_IDENTIFIABLE","?REFERENTIAL"),"_")))))</f>
        <v> </v>
      </c>
      <c r="H4201" s="24" t="str">
        <f>IF(J4201&lt;&gt;1,"",IF(I4201="SBJ","CB","?"))</f>
        <v> </v>
      </c>
      <c r="I4201" s="25" t="str">
        <f>IF(OR(E4201="",E4201="!!!",F4201="NEW"),"",INDEX(B4200:B$2,-1+SUMPRODUCT(MAX(ROW(E4200:E$2)*(E4201=E4200:E$2)))))</f>
        <v> </v>
      </c>
      <c r="J4201" s="25" t="str">
        <f>IF(OR(E4201="",E4201="!!!",F4201="NEW"),"",COUNTBLANK(OFFSET(A$1,,,SUMPRODUCT(MAX(ROW(E$2:E4201)*(E4201=E$2:E4201)))))-COUNTBLANK(OFFSET(A$1,,,SUMPRODUCT(MAX(ROW(E$1:E4200)*(E2=E$1:E4200))))))</f>
        <v> </v>
      </c>
      <c r="K4201" s="25" t="str">
        <f>IF(OR(E4201="",E4201="!!!",F4201="NEW"),"",INDEX(J$1:J4200,SUMPRODUCT(MAX(ROW(E$1:E4200)*(E4201=E$1:E4200)))))</f>
        <v> </v>
      </c>
      <c r="L4201" s="26"/>
    </row>
    <row r="4202" spans="1:12">
      <c r="A4202" s="20" t="s">
        <v>135</v>
      </c>
      <c r="E4202" s="21">
        <f>IF(D4202="?OLD","!!!","")</f>
        <v/>
      </c>
      <c r="F4202" s="22" t="str">
        <f>IF(OR(E4202="",E4202="!!!"),"",IF(NOT(ISNA(VLOOKUP(E4202,E$1:E4201,1,FALSE()))),"OLD",IF(AND(E4202&lt;&gt;"",E4202&lt;&gt;"!!!"),"NEW","")))</f>
        <v> </v>
      </c>
      <c r="G4202" s="23" t="str">
        <f>IF(OR(E4202="",E4202="!!!"),"",IF(OR(J4202=0,AND(J4202=1,K4202=1),AND(J4202=1,I4202="SBJ"),AND(J4202=1,I4202=0)),"?IN_FOCUS",IF(J4202&lt;=2,"?ACTIVATED",IF(J4202&lt;&gt;"","?FAMILIAR",IF(F4202="NEW",IF(ISNA(VLOOKUP(E4202,#REF!,1,FALSE())),"?TYPE_IDENTIFIABLE","?REFERENTIAL"),"_")))))</f>
        <v> </v>
      </c>
      <c r="H4202" s="24" t="str">
        <f>IF(J4202&lt;&gt;1,"",IF(I4202="SBJ","CB","?"))</f>
        <v> </v>
      </c>
      <c r="I4202" s="25" t="str">
        <f>IF(OR(E4202="",E4202="!!!",F4202="NEW"),"",INDEX(B4201:B$2,-1+SUMPRODUCT(MAX(ROW(E4201:E$2)*(E4202=E4201:E$2)))))</f>
        <v> </v>
      </c>
      <c r="J4202" s="25" t="str">
        <f>IF(OR(E4202="",E4202="!!!",F4202="NEW"),"",COUNTBLANK(OFFSET(A$1,,,SUMPRODUCT(MAX(ROW(E$2:E4202)*(E4202=E$2:E4202)))))-COUNTBLANK(OFFSET(A$1,,,SUMPRODUCT(MAX(ROW(E$1:E4201)*(E2=E$1:E4201))))))</f>
        <v> </v>
      </c>
      <c r="K4202" s="25" t="str">
        <f>IF(OR(E4202="",E4202="!!!",F4202="NEW"),"",INDEX(J$1:J4201,SUMPRODUCT(MAX(ROW(E$1:E4201)*(E4202=E$1:E4201)))))</f>
        <v> </v>
      </c>
      <c r="L4202" s="26"/>
    </row>
    <row r="4203" spans="1:12">
      <c r="A4203" s="20" t="s">
        <v>2635</v>
      </c>
      <c r="E4203" s="21">
        <f>IF(D4203="?OLD","!!!","")</f>
        <v/>
      </c>
      <c r="F4203" s="22" t="str">
        <f>IF(OR(E4203="",E4203="!!!"),"",IF(NOT(ISNA(VLOOKUP(E4203,E$1:E4202,1,FALSE()))),"OLD",IF(AND(E4203&lt;&gt;"",E4203&lt;&gt;"!!!"),"NEW","")))</f>
        <v> </v>
      </c>
      <c r="G4203" s="23" t="str">
        <f>IF(OR(E4203="",E4203="!!!"),"",IF(OR(J4203=0,AND(J4203=1,K4203=1),AND(J4203=1,I4203="SBJ"),AND(J4203=1,I4203=0)),"?IN_FOCUS",IF(J4203&lt;=2,"?ACTIVATED",IF(J4203&lt;&gt;"","?FAMILIAR",IF(F4203="NEW",IF(ISNA(VLOOKUP(E4203,#REF!,1,FALSE())),"?TYPE_IDENTIFIABLE","?REFERENTIAL"),"_")))))</f>
        <v> </v>
      </c>
      <c r="H4203" s="24" t="str">
        <f>IF(J4203&lt;&gt;1,"",IF(I4203="SBJ","CB","?"))</f>
        <v> </v>
      </c>
      <c r="I4203" s="25" t="str">
        <f>IF(OR(E4203="",E4203="!!!",F4203="NEW"),"",INDEX(B4202:B$2,-1+SUMPRODUCT(MAX(ROW(E4202:E$2)*(E4203=E4202:E$2)))))</f>
        <v> </v>
      </c>
      <c r="J4203" s="25" t="str">
        <f>IF(OR(E4203="",E4203="!!!",F4203="NEW"),"",COUNTBLANK(OFFSET(A$1,,,SUMPRODUCT(MAX(ROW(E$2:E4203)*(E4203=E$2:E4203)))))-COUNTBLANK(OFFSET(A$1,,,SUMPRODUCT(MAX(ROW(E$1:E4202)*(E2=E$1:E4202))))))</f>
        <v> </v>
      </c>
      <c r="K4203" s="25" t="str">
        <f>IF(OR(E4203="",E4203="!!!",F4203="NEW"),"",INDEX(J$1:J4202,SUMPRODUCT(MAX(ROW(E$1:E4202)*(E4203=E$1:E4202)))))</f>
        <v> </v>
      </c>
      <c r="L4203" s="26"/>
    </row>
    <row r="4204" spans="1:12">
      <c r="A4204" s="20" t="s">
        <v>115</v>
      </c>
      <c r="E4204" s="21">
        <f>IF(D4204="?OLD","!!!","")</f>
        <v/>
      </c>
      <c r="F4204" s="22" t="str">
        <f>IF(OR(E4204="",E4204="!!!"),"",IF(NOT(ISNA(VLOOKUP(E4204,E$1:E4203,1,FALSE()))),"OLD",IF(AND(E4204&lt;&gt;"",E4204&lt;&gt;"!!!"),"NEW","")))</f>
        <v> </v>
      </c>
      <c r="G4204" s="23" t="str">
        <f>IF(OR(E4204="",E4204="!!!"),"",IF(OR(J4204=0,AND(J4204=1,K4204=1),AND(J4204=1,I4204="SBJ"),AND(J4204=1,I4204=0)),"?IN_FOCUS",IF(J4204&lt;=2,"?ACTIVATED",IF(J4204&lt;&gt;"","?FAMILIAR",IF(F4204="NEW",IF(ISNA(VLOOKUP(E4204,#REF!,1,FALSE())),"?TYPE_IDENTIFIABLE","?REFERENTIAL"),"_")))))</f>
        <v> </v>
      </c>
      <c r="H4204" s="24" t="str">
        <f>IF(J4204&lt;&gt;1,"",IF(I4204="SBJ","CB","?"))</f>
        <v> </v>
      </c>
      <c r="I4204" s="25" t="str">
        <f>IF(OR(E4204="",E4204="!!!",F4204="NEW"),"",INDEX(B4203:B$2,-1+SUMPRODUCT(MAX(ROW(E4203:E$2)*(E4204=E4203:E$2)))))</f>
        <v> </v>
      </c>
      <c r="J4204" s="25" t="str">
        <f>IF(OR(E4204="",E4204="!!!",F4204="NEW"),"",COUNTBLANK(OFFSET(A$1,,,SUMPRODUCT(MAX(ROW(E$2:E4204)*(E4204=E$2:E4204)))))-COUNTBLANK(OFFSET(A$1,,,SUMPRODUCT(MAX(ROW(E$1:E4203)*(E2=E$1:E4203))))))</f>
        <v> </v>
      </c>
      <c r="K4204" s="25" t="str">
        <f>IF(OR(E4204="",E4204="!!!",F4204="NEW"),"",INDEX(J$1:J4203,SUMPRODUCT(MAX(ROW(E$1:E4203)*(E4204=E$1:E4203)))))</f>
        <v> </v>
      </c>
      <c r="L4204" s="26"/>
    </row>
    <row r="4205" spans="1:12">
      <c r="A4205" s="20" t="s">
        <v>2324</v>
      </c>
      <c r="E4205" s="21">
        <f>IF(D4205="?OLD","!!!","")</f>
        <v/>
      </c>
      <c r="F4205" s="22" t="str">
        <f>IF(OR(E4205="",E4205="!!!"),"",IF(NOT(ISNA(VLOOKUP(E4205,E$1:E4204,1,FALSE()))),"OLD",IF(AND(E4205&lt;&gt;"",E4205&lt;&gt;"!!!"),"NEW","")))</f>
        <v> </v>
      </c>
      <c r="G4205" s="23" t="str">
        <f>IF(OR(E4205="",E4205="!!!"),"",IF(OR(J4205=0,AND(J4205=1,K4205=1),AND(J4205=1,I4205="SBJ"),AND(J4205=1,I4205=0)),"?IN_FOCUS",IF(J4205&lt;=2,"?ACTIVATED",IF(J4205&lt;&gt;"","?FAMILIAR",IF(F4205="NEW",IF(ISNA(VLOOKUP(E4205,#REF!,1,FALSE())),"?TYPE_IDENTIFIABLE","?REFERENTIAL"),"_")))))</f>
        <v> </v>
      </c>
      <c r="H4205" s="24" t="str">
        <f>IF(J4205&lt;&gt;1,"",IF(I4205="SBJ","CB","?"))</f>
        <v> </v>
      </c>
      <c r="I4205" s="25" t="str">
        <f>IF(OR(E4205="",E4205="!!!",F4205="NEW"),"",INDEX(B4204:B$2,-1+SUMPRODUCT(MAX(ROW(E4204:E$2)*(E4205=E4204:E$2)))))</f>
        <v> </v>
      </c>
      <c r="J4205" s="25" t="str">
        <f>IF(OR(E4205="",E4205="!!!",F4205="NEW"),"",COUNTBLANK(OFFSET(A$1,,,SUMPRODUCT(MAX(ROW(E$2:E4205)*(E4205=E$2:E4205)))))-COUNTBLANK(OFFSET(A$1,,,SUMPRODUCT(MAX(ROW(E$1:E4204)*(E2=E$1:E4204))))))</f>
        <v> </v>
      </c>
      <c r="K4205" s="25" t="str">
        <f>IF(OR(E4205="",E4205="!!!",F4205="NEW"),"",INDEX(J$1:J4204,SUMPRODUCT(MAX(ROW(E$1:E4204)*(E4205=E$1:E4204)))))</f>
        <v> </v>
      </c>
      <c r="L4205" s="26"/>
    </row>
    <row r="4206" spans="1:12">
      <c r="A4206" s="20" t="s">
        <v>2636</v>
      </c>
      <c r="B4206" s="27" t="s">
        <v>1122</v>
      </c>
      <c r="E4206" s="21">
        <f>IF(D4206="?OLD","!!!","")</f>
        <v/>
      </c>
      <c r="F4206" s="22" t="str">
        <f>IF(OR(E4206="",E4206="!!!"),"",IF(NOT(ISNA(VLOOKUP(E4206,E$1:E4205,1,FALSE()))),"OLD",IF(AND(E4206&lt;&gt;"",E4206&lt;&gt;"!!!"),"NEW","")))</f>
        <v> </v>
      </c>
      <c r="G4206" s="23" t="str">
        <f>IF(OR(E4206="",E4206="!!!"),"",IF(OR(J4206=0,AND(J4206=1,K4206=1),AND(J4206=1,I4206="SBJ"),AND(J4206=1,I4206=0)),"?IN_FOCUS",IF(J4206&lt;=2,"?ACTIVATED",IF(J4206&lt;&gt;"","?FAMILIAR",IF(F4206="NEW",IF(ISNA(VLOOKUP(E4206,#REF!,1,FALSE())),"?TYPE_IDENTIFIABLE","?REFERENTIAL"),"_")))))</f>
        <v> </v>
      </c>
      <c r="H4206" s="24" t="str">
        <f>IF(J4206&lt;&gt;1,"",IF(I4206="SBJ","CB","?"))</f>
        <v> </v>
      </c>
      <c r="I4206" s="25" t="str">
        <f>IF(OR(E4206="",E4206="!!!",F4206="NEW"),"",INDEX(B4205:B$2,-1+SUMPRODUCT(MAX(ROW(E4205:E$2)*(E4206=E4205:E$2)))))</f>
        <v> </v>
      </c>
      <c r="J4206" s="25" t="str">
        <f>IF(OR(E4206="",E4206="!!!",F4206="NEW"),"",COUNTBLANK(OFFSET(A$1,,,SUMPRODUCT(MAX(ROW(E$2:E4206)*(E4206=E$2:E4206)))))-COUNTBLANK(OFFSET(A$1,,,SUMPRODUCT(MAX(ROW(E$1:E4205)*(E2=E$1:E4205))))))</f>
        <v> </v>
      </c>
      <c r="K4206" s="25" t="str">
        <f>IF(OR(E4206="",E4206="!!!",F4206="NEW"),"",INDEX(J$1:J4205,SUMPRODUCT(MAX(ROW(E$1:E4205)*(E4206=E$1:E4205)))))</f>
        <v> </v>
      </c>
      <c r="L4206" s="26"/>
    </row>
    <row r="4207" spans="1:12">
      <c r="A4207" s="20" t="s">
        <v>1145</v>
      </c>
      <c r="E4207" s="21">
        <f>IF(D4207="?OLD","!!!","")</f>
        <v/>
      </c>
      <c r="F4207" s="22" t="str">
        <f>IF(OR(E4207="",E4207="!!!"),"",IF(NOT(ISNA(VLOOKUP(E4207,E$1:E4206,1,FALSE()))),"OLD",IF(AND(E4207&lt;&gt;"",E4207&lt;&gt;"!!!"),"NEW","")))</f>
        <v> </v>
      </c>
      <c r="G4207" s="23" t="str">
        <f>IF(OR(E4207="",E4207="!!!"),"",IF(OR(J4207=0,AND(J4207=1,K4207=1),AND(J4207=1,I4207="SBJ"),AND(J4207=1,I4207=0)),"?IN_FOCUS",IF(J4207&lt;=2,"?ACTIVATED",IF(J4207&lt;&gt;"","?FAMILIAR",IF(F4207="NEW",IF(ISNA(VLOOKUP(E4207,#REF!,1,FALSE())),"?TYPE_IDENTIFIABLE","?REFERENTIAL"),"_")))))</f>
        <v> </v>
      </c>
      <c r="H4207" s="24" t="str">
        <f>IF(J4207&lt;&gt;1,"",IF(I4207="SBJ","CB","?"))</f>
        <v> </v>
      </c>
      <c r="I4207" s="25" t="str">
        <f>IF(OR(E4207="",E4207="!!!",F4207="NEW"),"",INDEX(B4206:B$2,-1+SUMPRODUCT(MAX(ROW(E4206:E$2)*(E4207=E4206:E$2)))))</f>
        <v> </v>
      </c>
      <c r="J4207" s="25" t="str">
        <f>IF(OR(E4207="",E4207="!!!",F4207="NEW"),"",COUNTBLANK(OFFSET(A$1,,,SUMPRODUCT(MAX(ROW(E$2:E4207)*(E4207=E$2:E4207)))))-COUNTBLANK(OFFSET(A$1,,,SUMPRODUCT(MAX(ROW(E$1:E4206)*(E2=E$1:E4206))))))</f>
        <v> </v>
      </c>
      <c r="K4207" s="25" t="str">
        <f>IF(OR(E4207="",E4207="!!!",F4207="NEW"),"",INDEX(J$1:J4206,SUMPRODUCT(MAX(ROW(E$1:E4206)*(E4207=E$1:E4206)))))</f>
        <v> </v>
      </c>
      <c r="L4207" s="26"/>
    </row>
    <row r="4208" spans="1:12">
      <c r="A4208" s="20"/>
    </row>
    <row r="4209" spans="1:12">
      <c r="A4209" s="20" t="s">
        <v>2972</v>
      </c>
    </row>
    <row r="4210" spans="1:12">
      <c r="A4210" s="20" t="s">
        <v>2973</v>
      </c>
      <c r="E4210" s="21">
        <f>IF(D4210="?OLD","!!!","")</f>
        <v/>
      </c>
      <c r="F4210" s="22" t="str">
        <f>IF(OR(E4210="",E4210="!!!"),"",IF(NOT(ISNA(VLOOKUP(E4210,E$1:E4209,1,FALSE()))),"OLD",IF(AND(E4210&lt;&gt;"",E4210&lt;&gt;"!!!"),"NEW","")))</f>
        <v> </v>
      </c>
      <c r="G4210" s="23" t="str">
        <f>IF(OR(E4210="",E4210="!!!"),"",IF(OR(J4210=0,AND(J4210=1,K4210=1),AND(J4210=1,I4210="SBJ"),AND(J4210=1,I4210=0)),"?IN_FOCUS",IF(J4210&lt;=2,"?ACTIVATED",IF(J4210&lt;&gt;"","?FAMILIAR",IF(F4210="NEW",IF(ISNA(VLOOKUP(E4210,#REF!,1,FALSE())),"?TYPE_IDENTIFIABLE","?REFERENTIAL"),"_")))))</f>
        <v> </v>
      </c>
      <c r="H4210" s="24" t="str">
        <f>IF(J4210&lt;&gt;1,"",IF(I4210="SBJ","CB","?"))</f>
        <v> </v>
      </c>
      <c r="I4210" s="25" t="str">
        <f>IF(OR(E4210="",E4210="!!!",F4210="NEW"),"",INDEX(B4209:B$2,-1+SUMPRODUCT(MAX(ROW(E4209:E$2)*(E4210=E4209:E$2)))))</f>
        <v> </v>
      </c>
      <c r="J4210" s="25" t="str">
        <f>IF(OR(E4210="",E4210="!!!",F4210="NEW"),"",COUNTBLANK(OFFSET(A$1,,,SUMPRODUCT(MAX(ROW(E$2:E4210)*(E4210=E$2:E4210)))))-COUNTBLANK(OFFSET(A$1,,,SUMPRODUCT(MAX(ROW(E$1:E4209)*(E2=E$1:E4209))))))</f>
        <v> </v>
      </c>
      <c r="K4210" s="25" t="str">
        <f>IF(OR(E4210="",E4210="!!!",F4210="NEW"),"",INDEX(J$1:J4209,SUMPRODUCT(MAX(ROW(E$1:E4209)*(E4210=E$1:E4209)))))</f>
        <v> </v>
      </c>
      <c r="L4210" s="26"/>
    </row>
    <row r="4211" spans="1:12">
      <c r="A4211" s="20" t="s">
        <v>1130</v>
      </c>
      <c r="E4211" s="21">
        <f>IF(D4211="?OLD","!!!","")</f>
        <v/>
      </c>
      <c r="F4211" s="22" t="str">
        <f>IF(OR(E4211="",E4211="!!!"),"",IF(NOT(ISNA(VLOOKUP(E4211,E$1:E4210,1,FALSE()))),"OLD",IF(AND(E4211&lt;&gt;"",E4211&lt;&gt;"!!!"),"NEW","")))</f>
        <v> </v>
      </c>
      <c r="G4211" s="23" t="str">
        <f>IF(OR(E4211="",E4211="!!!"),"",IF(OR(J4211=0,AND(J4211=1,K4211=1),AND(J4211=1,I4211="SBJ"),AND(J4211=1,I4211=0)),"?IN_FOCUS",IF(J4211&lt;=2,"?ACTIVATED",IF(J4211&lt;&gt;"","?FAMILIAR",IF(F4211="NEW",IF(ISNA(VLOOKUP(E4211,#REF!,1,FALSE())),"?TYPE_IDENTIFIABLE","?REFERENTIAL"),"_")))))</f>
        <v> </v>
      </c>
      <c r="H4211" s="24" t="str">
        <f>IF(J4211&lt;&gt;1,"",IF(I4211="SBJ","CB","?"))</f>
        <v> </v>
      </c>
      <c r="I4211" s="25" t="str">
        <f>IF(OR(E4211="",E4211="!!!",F4211="NEW"),"",INDEX(B4210:B$2,-1+SUMPRODUCT(MAX(ROW(E4210:E$2)*(E4211=E4210:E$2)))))</f>
        <v> </v>
      </c>
      <c r="J4211" s="25" t="str">
        <f>IF(OR(E4211="",E4211="!!!",F4211="NEW"),"",COUNTBLANK(OFFSET(A$1,,,SUMPRODUCT(MAX(ROW(E$2:E4211)*(E4211=E$2:E4211)))))-COUNTBLANK(OFFSET(A$1,,,SUMPRODUCT(MAX(ROW(E$1:E4210)*(E2=E$1:E4210))))))</f>
        <v> </v>
      </c>
      <c r="K4211" s="25" t="str">
        <f>IF(OR(E4211="",E4211="!!!",F4211="NEW"),"",INDEX(J$1:J4210,SUMPRODUCT(MAX(ROW(E$1:E4210)*(E4211=E$1:E4210)))))</f>
        <v> </v>
      </c>
      <c r="L4211" s="26"/>
    </row>
    <row r="4212" spans="1:12">
      <c r="A4212" s="20" t="s">
        <v>1183</v>
      </c>
      <c r="B4212" s="27" t="s">
        <v>1107</v>
      </c>
      <c r="C4212" s="27" t="s">
        <v>1126</v>
      </c>
      <c r="D4212" s="27" t="s">
        <v>1105</v>
      </c>
      <c r="E4212" s="21">
        <f>IF(D4212="?OLD","!!!","")</f>
        <v/>
      </c>
      <c r="F4212" s="22" t="str">
        <f>IF(OR(E4212="",E4212="!!!"),"",IF(NOT(ISNA(VLOOKUP(E4212,E$1:E4211,1,FALSE()))),"OLD",IF(AND(E4212&lt;&gt;"",E4212&lt;&gt;"!!!"),"NEW","")))</f>
        <v> </v>
      </c>
      <c r="G4212" s="23" t="str">
        <f>IF(OR(E4212="",E4212="!!!"),"",IF(OR(J4212=0,AND(J4212=1,K4212=1),AND(J4212=1,I4212="SBJ"),AND(J4212=1,I4212=0)),"?IN_FOCUS",IF(J4212&lt;=2,"?ACTIVATED",IF(J4212&lt;&gt;"","?FAMILIAR",IF(F4212="NEW",IF(ISNA(VLOOKUP(E4212,#REF!,1,FALSE())),"?TYPE_IDENTIFIABLE","?REFERENTIAL"),"_")))))</f>
        <v> </v>
      </c>
      <c r="H4212" s="24" t="str">
        <f>IF(J4212&lt;&gt;1,"",IF(I4212="SBJ","CB","?"))</f>
        <v> </v>
      </c>
      <c r="I4212" s="25" t="str">
        <f>IF(OR(E4212="",E4212="!!!",F4212="NEW"),"",INDEX(B4211:B$2,-1+SUMPRODUCT(MAX(ROW(E4211:E$2)*(E4212=E4211:E$2)))))</f>
        <v> </v>
      </c>
      <c r="J4212" s="25" t="str">
        <f>IF(OR(E4212="",E4212="!!!",F4212="NEW"),"",COUNTBLANK(OFFSET(A$1,,,SUMPRODUCT(MAX(ROW(E$2:E4212)*(E4212=E$2:E4212)))))-COUNTBLANK(OFFSET(A$1,,,SUMPRODUCT(MAX(ROW(E$1:E4211)*(E2=E$1:E4211))))))</f>
        <v> </v>
      </c>
      <c r="K4212" s="25" t="str">
        <f>IF(OR(E4212="",E4212="!!!",F4212="NEW"),"",INDEX(J$1:J4211,SUMPRODUCT(MAX(ROW(E$1:E4211)*(E4212=E$1:E4211)))))</f>
        <v> </v>
      </c>
      <c r="L4212" s="26"/>
    </row>
    <row r="4213" spans="1:12">
      <c r="A4213" s="20" t="s">
        <v>1522</v>
      </c>
      <c r="E4213" s="21">
        <f>IF(D4213="?OLD","!!!","")</f>
        <v/>
      </c>
      <c r="F4213" s="22" t="str">
        <f>IF(OR(E4213="",E4213="!!!"),"",IF(NOT(ISNA(VLOOKUP(E4213,E$1:E4212,1,FALSE()))),"OLD",IF(AND(E4213&lt;&gt;"",E4213&lt;&gt;"!!!"),"NEW","")))</f>
        <v> </v>
      </c>
      <c r="G4213" s="23" t="str">
        <f>IF(OR(E4213="",E4213="!!!"),"",IF(OR(J4213=0,AND(J4213=1,K4213=1),AND(J4213=1,I4213="SBJ"),AND(J4213=1,I4213=0)),"?IN_FOCUS",IF(J4213&lt;=2,"?ACTIVATED",IF(J4213&lt;&gt;"","?FAMILIAR",IF(F4213="NEW",IF(ISNA(VLOOKUP(E4213,#REF!,1,FALSE())),"?TYPE_IDENTIFIABLE","?REFERENTIAL"),"_")))))</f>
        <v> </v>
      </c>
      <c r="H4213" s="24" t="str">
        <f>IF(J4213&lt;&gt;1,"",IF(I4213="SBJ","CB","?"))</f>
        <v> </v>
      </c>
      <c r="I4213" s="25" t="str">
        <f>IF(OR(E4213="",E4213="!!!",F4213="NEW"),"",INDEX(B4212:B$2,-1+SUMPRODUCT(MAX(ROW(E4212:E$2)*(E4213=E4212:E$2)))))</f>
        <v> </v>
      </c>
      <c r="J4213" s="25" t="str">
        <f>IF(OR(E4213="",E4213="!!!",F4213="NEW"),"",COUNTBLANK(OFFSET(A$1,,,SUMPRODUCT(MAX(ROW(E$2:E4213)*(E4213=E$2:E4213)))))-COUNTBLANK(OFFSET(A$1,,,SUMPRODUCT(MAX(ROW(E$1:E4212)*(E2=E$1:E4212))))))</f>
        <v> </v>
      </c>
      <c r="K4213" s="25" t="str">
        <f>IF(OR(E4213="",E4213="!!!",F4213="NEW"),"",INDEX(J$1:J4212,SUMPRODUCT(MAX(ROW(E$1:E4212)*(E4213=E$1:E4212)))))</f>
        <v> </v>
      </c>
      <c r="L4213" s="26"/>
    </row>
    <row r="4214" spans="1:12">
      <c r="A4214" s="20" t="s">
        <v>2974</v>
      </c>
      <c r="E4214" s="21">
        <f>IF(D4214="?OLD","!!!","")</f>
        <v/>
      </c>
      <c r="F4214" s="22" t="str">
        <f>IF(OR(E4214="",E4214="!!!"),"",IF(NOT(ISNA(VLOOKUP(E4214,E$1:E4213,1,FALSE()))),"OLD",IF(AND(E4214&lt;&gt;"",E4214&lt;&gt;"!!!"),"NEW","")))</f>
        <v> </v>
      </c>
      <c r="G4214" s="23" t="str">
        <f>IF(OR(E4214="",E4214="!!!"),"",IF(OR(J4214=0,AND(J4214=1,K4214=1),AND(J4214=1,I4214="SBJ"),AND(J4214=1,I4214=0)),"?IN_FOCUS",IF(J4214&lt;=2,"?ACTIVATED",IF(J4214&lt;&gt;"","?FAMILIAR",IF(F4214="NEW",IF(ISNA(VLOOKUP(E4214,#REF!,1,FALSE())),"?TYPE_IDENTIFIABLE","?REFERENTIAL"),"_")))))</f>
        <v> </v>
      </c>
      <c r="H4214" s="24" t="str">
        <f>IF(J4214&lt;&gt;1,"",IF(I4214="SBJ","CB","?"))</f>
        <v> </v>
      </c>
      <c r="I4214" s="25" t="str">
        <f>IF(OR(E4214="",E4214="!!!",F4214="NEW"),"",INDEX(B4213:B$2,-1+SUMPRODUCT(MAX(ROW(E4213:E$2)*(E4214=E4213:E$2)))))</f>
        <v> </v>
      </c>
      <c r="J4214" s="25" t="str">
        <f>IF(OR(E4214="",E4214="!!!",F4214="NEW"),"",COUNTBLANK(OFFSET(A$1,,,SUMPRODUCT(MAX(ROW(E$2:E4214)*(E4214=E$2:E4214)))))-COUNTBLANK(OFFSET(A$1,,,SUMPRODUCT(MAX(ROW(E$1:E4213)*(E2=E$1:E4213))))))</f>
        <v> </v>
      </c>
      <c r="K4214" s="25" t="str">
        <f>IF(OR(E4214="",E4214="!!!",F4214="NEW"),"",INDEX(J$1:J4213,SUMPRODUCT(MAX(ROW(E$1:E4213)*(E4214=E$1:E4213)))))</f>
        <v> </v>
      </c>
      <c r="L4214" s="26"/>
    </row>
    <row r="4215" spans="1:12">
      <c r="A4215" s="20" t="s">
        <v>2975</v>
      </c>
      <c r="B4215" s="27" t="s">
        <v>1149</v>
      </c>
      <c r="E4215" s="21">
        <f>IF(D4215="?OLD","!!!","")</f>
        <v/>
      </c>
      <c r="F4215" s="22" t="str">
        <f>IF(OR(E4215="",E4215="!!!"),"",IF(NOT(ISNA(VLOOKUP(E4215,E$1:E4214,1,FALSE()))),"OLD",IF(AND(E4215&lt;&gt;"",E4215&lt;&gt;"!!!"),"NEW","")))</f>
        <v> </v>
      </c>
      <c r="G4215" s="23" t="str">
        <f>IF(OR(E4215="",E4215="!!!"),"",IF(OR(J4215=0,AND(J4215=1,K4215=1),AND(J4215=1,I4215="SBJ"),AND(J4215=1,I4215=0)),"?IN_FOCUS",IF(J4215&lt;=2,"?ACTIVATED",IF(J4215&lt;&gt;"","?FAMILIAR",IF(F4215="NEW",IF(ISNA(VLOOKUP(E4215,#REF!,1,FALSE())),"?TYPE_IDENTIFIABLE","?REFERENTIAL"),"_")))))</f>
        <v> </v>
      </c>
      <c r="H4215" s="24" t="str">
        <f>IF(J4215&lt;&gt;1,"",IF(I4215="SBJ","CB","?"))</f>
        <v> </v>
      </c>
      <c r="I4215" s="25" t="str">
        <f>IF(OR(E4215="",E4215="!!!",F4215="NEW"),"",INDEX(B4214:B$2,-1+SUMPRODUCT(MAX(ROW(E4214:E$2)*(E4215=E4214:E$2)))))</f>
        <v> </v>
      </c>
      <c r="J4215" s="25" t="str">
        <f>IF(OR(E4215="",E4215="!!!",F4215="NEW"),"",COUNTBLANK(OFFSET(A$1,,,SUMPRODUCT(MAX(ROW(E$2:E4215)*(E4215=E$2:E4215)))))-COUNTBLANK(OFFSET(A$1,,,SUMPRODUCT(MAX(ROW(E$1:E4214)*(E2=E$1:E4214))))))</f>
        <v> </v>
      </c>
      <c r="K4215" s="25" t="str">
        <f>IF(OR(E4215="",E4215="!!!",F4215="NEW"),"",INDEX(J$1:J4214,SUMPRODUCT(MAX(ROW(E$1:E4214)*(E4215=E$1:E4214)))))</f>
        <v> </v>
      </c>
      <c r="L4215" s="26"/>
    </row>
    <row r="4216" spans="1:12">
      <c r="A4216" s="20" t="s">
        <v>2976</v>
      </c>
      <c r="E4216" s="21">
        <f>IF(D4216="?OLD","!!!","")</f>
        <v/>
      </c>
      <c r="F4216" s="22" t="str">
        <f>IF(OR(E4216="",E4216="!!!"),"",IF(NOT(ISNA(VLOOKUP(E4216,E$1:E4215,1,FALSE()))),"OLD",IF(AND(E4216&lt;&gt;"",E4216&lt;&gt;"!!!"),"NEW","")))</f>
        <v> </v>
      </c>
      <c r="G4216" s="23" t="str">
        <f>IF(OR(E4216="",E4216="!!!"),"",IF(OR(J4216=0,AND(J4216=1,K4216=1),AND(J4216=1,I4216="SBJ"),AND(J4216=1,I4216=0)),"?IN_FOCUS",IF(J4216&lt;=2,"?ACTIVATED",IF(J4216&lt;&gt;"","?FAMILIAR",IF(F4216="NEW",IF(ISNA(VLOOKUP(E4216,#REF!,1,FALSE())),"?TYPE_IDENTIFIABLE","?REFERENTIAL"),"_")))))</f>
        <v> </v>
      </c>
      <c r="H4216" s="24" t="str">
        <f>IF(J4216&lt;&gt;1,"",IF(I4216="SBJ","CB","?"))</f>
        <v> </v>
      </c>
      <c r="I4216" s="25" t="str">
        <f>IF(OR(E4216="",E4216="!!!",F4216="NEW"),"",INDEX(B4215:B$2,-1+SUMPRODUCT(MAX(ROW(E4215:E$2)*(E4216=E4215:E$2)))))</f>
        <v> </v>
      </c>
      <c r="J4216" s="25" t="str">
        <f>IF(OR(E4216="",E4216="!!!",F4216="NEW"),"",COUNTBLANK(OFFSET(A$1,,,SUMPRODUCT(MAX(ROW(E$2:E4216)*(E4216=E$2:E4216)))))-COUNTBLANK(OFFSET(A$1,,,SUMPRODUCT(MAX(ROW(E$1:E4215)*(E2=E$1:E4215))))))</f>
        <v> </v>
      </c>
      <c r="K4216" s="25" t="str">
        <f>IF(OR(E4216="",E4216="!!!",F4216="NEW"),"",INDEX(J$1:J4215,SUMPRODUCT(MAX(ROW(E$1:E4215)*(E4216=E$1:E4215)))))</f>
        <v> </v>
      </c>
      <c r="L4216" s="26"/>
    </row>
    <row r="4217" spans="1:12">
      <c r="A4217" s="20" t="s">
        <v>1123</v>
      </c>
      <c r="E4217" s="21">
        <f>IF(D4217="?OLD","!!!","")</f>
        <v/>
      </c>
      <c r="F4217" s="22" t="str">
        <f>IF(OR(E4217="",E4217="!!!"),"",IF(NOT(ISNA(VLOOKUP(E4217,E$1:E4216,1,FALSE()))),"OLD",IF(AND(E4217&lt;&gt;"",E4217&lt;&gt;"!!!"),"NEW","")))</f>
        <v> </v>
      </c>
      <c r="G4217" s="23" t="str">
        <f>IF(OR(E4217="",E4217="!!!"),"",IF(OR(J4217=0,AND(J4217=1,K4217=1),AND(J4217=1,I4217="SBJ"),AND(J4217=1,I4217=0)),"?IN_FOCUS",IF(J4217&lt;=2,"?ACTIVATED",IF(J4217&lt;&gt;"","?FAMILIAR",IF(F4217="NEW",IF(ISNA(VLOOKUP(E4217,#REF!,1,FALSE())),"?TYPE_IDENTIFIABLE","?REFERENTIAL"),"_")))))</f>
        <v> </v>
      </c>
      <c r="H4217" s="24" t="str">
        <f>IF(J4217&lt;&gt;1,"",IF(I4217="SBJ","CB","?"))</f>
        <v> </v>
      </c>
      <c r="I4217" s="25" t="str">
        <f>IF(OR(E4217="",E4217="!!!",F4217="NEW"),"",INDEX(B4216:B$2,-1+SUMPRODUCT(MAX(ROW(E4216:E$2)*(E4217=E4216:E$2)))))</f>
        <v> </v>
      </c>
      <c r="J4217" s="25" t="str">
        <f>IF(OR(E4217="",E4217="!!!",F4217="NEW"),"",COUNTBLANK(OFFSET(A$1,,,SUMPRODUCT(MAX(ROW(E$2:E4217)*(E4217=E$2:E4217)))))-COUNTBLANK(OFFSET(A$1,,,SUMPRODUCT(MAX(ROW(E$1:E4216)*(E2=E$1:E4216))))))</f>
        <v> </v>
      </c>
      <c r="K4217" s="25" t="str">
        <f>IF(OR(E4217="",E4217="!!!",F4217="NEW"),"",INDEX(J$1:J4216,SUMPRODUCT(MAX(ROW(E$1:E4216)*(E4217=E$1:E4216)))))</f>
        <v> </v>
      </c>
      <c r="L4217" s="26"/>
    </row>
    <row r="4218" spans="1:12">
      <c r="A4218" s="20" t="s">
        <v>2977</v>
      </c>
      <c r="B4218" s="27" t="s">
        <v>1115</v>
      </c>
      <c r="C4218" s="27" t="s">
        <v>1133</v>
      </c>
      <c r="E4218" s="21">
        <f>IF(D4218="?OLD","!!!","")</f>
        <v/>
      </c>
      <c r="F4218" s="22" t="str">
        <f>IF(OR(E4218="",E4218="!!!"),"",IF(NOT(ISNA(VLOOKUP(E4218,E$1:E4217,1,FALSE()))),"OLD",IF(AND(E4218&lt;&gt;"",E4218&lt;&gt;"!!!"),"NEW","")))</f>
        <v> </v>
      </c>
      <c r="G4218" s="23" t="str">
        <f>IF(OR(E4218="",E4218="!!!"),"",IF(OR(J4218=0,AND(J4218=1,K4218=1),AND(J4218=1,I4218="SBJ"),AND(J4218=1,I4218=0)),"?IN_FOCUS",IF(J4218&lt;=2,"?ACTIVATED",IF(J4218&lt;&gt;"","?FAMILIAR",IF(F4218="NEW",IF(ISNA(VLOOKUP(E4218,#REF!,1,FALSE())),"?TYPE_IDENTIFIABLE","?REFERENTIAL"),"_")))))</f>
        <v> </v>
      </c>
      <c r="H4218" s="24" t="str">
        <f>IF(J4218&lt;&gt;1,"",IF(I4218="SBJ","CB","?"))</f>
        <v> </v>
      </c>
      <c r="I4218" s="25" t="str">
        <f>IF(OR(E4218="",E4218="!!!",F4218="NEW"),"",INDEX(B4217:B$2,-1+SUMPRODUCT(MAX(ROW(E4217:E$2)*(E4218=E4217:E$2)))))</f>
        <v> </v>
      </c>
      <c r="J4218" s="25" t="str">
        <f>IF(OR(E4218="",E4218="!!!",F4218="NEW"),"",COUNTBLANK(OFFSET(A$1,,,SUMPRODUCT(MAX(ROW(E$2:E4218)*(E4218=E$2:E4218)))))-COUNTBLANK(OFFSET(A$1,,,SUMPRODUCT(MAX(ROW(E$1:E4217)*(E2=E$1:E4217))))))</f>
        <v> </v>
      </c>
      <c r="K4218" s="25" t="str">
        <f>IF(OR(E4218="",E4218="!!!",F4218="NEW"),"",INDEX(J$1:J4217,SUMPRODUCT(MAX(ROW(E$1:E4217)*(E4218=E$1:E4217)))))</f>
        <v> </v>
      </c>
      <c r="L4218" s="26"/>
    </row>
    <row r="4219" spans="1:12">
      <c r="A4219" s="20" t="s">
        <v>1123</v>
      </c>
      <c r="E4219" s="21">
        <f>IF(D4219="?OLD","!!!","")</f>
        <v/>
      </c>
      <c r="F4219" s="22" t="str">
        <f>IF(OR(E4219="",E4219="!!!"),"",IF(NOT(ISNA(VLOOKUP(E4219,E$1:E4218,1,FALSE()))),"OLD",IF(AND(E4219&lt;&gt;"",E4219&lt;&gt;"!!!"),"NEW","")))</f>
        <v> </v>
      </c>
      <c r="G4219" s="23" t="str">
        <f>IF(OR(E4219="",E4219="!!!"),"",IF(OR(J4219=0,AND(J4219=1,K4219=1),AND(J4219=1,I4219="SBJ"),AND(J4219=1,I4219=0)),"?IN_FOCUS",IF(J4219&lt;=2,"?ACTIVATED",IF(J4219&lt;&gt;"","?FAMILIAR",IF(F4219="NEW",IF(ISNA(VLOOKUP(E4219,#REF!,1,FALSE())),"?TYPE_IDENTIFIABLE","?REFERENTIAL"),"_")))))</f>
        <v> </v>
      </c>
      <c r="H4219" s="24" t="str">
        <f>IF(J4219&lt;&gt;1,"",IF(I4219="SBJ","CB","?"))</f>
        <v> </v>
      </c>
      <c r="I4219" s="25" t="str">
        <f>IF(OR(E4219="",E4219="!!!",F4219="NEW"),"",INDEX(B4218:B$2,-1+SUMPRODUCT(MAX(ROW(E4218:E$2)*(E4219=E4218:E$2)))))</f>
        <v> </v>
      </c>
      <c r="J4219" s="25" t="str">
        <f>IF(OR(E4219="",E4219="!!!",F4219="NEW"),"",COUNTBLANK(OFFSET(A$1,,,SUMPRODUCT(MAX(ROW(E$2:E4219)*(E4219=E$2:E4219)))))-COUNTBLANK(OFFSET(A$1,,,SUMPRODUCT(MAX(ROW(E$1:E4218)*(E2=E$1:E4218))))))</f>
        <v> </v>
      </c>
      <c r="K4219" s="25" t="str">
        <f>IF(OR(E4219="",E4219="!!!",F4219="NEW"),"",INDEX(J$1:J4218,SUMPRODUCT(MAX(ROW(E$1:E4218)*(E4219=E$1:E4218)))))</f>
        <v> </v>
      </c>
      <c r="L4219" s="26"/>
    </row>
    <row r="4220" spans="1:12">
      <c r="A4220" s="20" t="s">
        <v>1537</v>
      </c>
      <c r="E4220" s="21">
        <f>IF(D4220="?OLD","!!!","")</f>
        <v/>
      </c>
      <c r="F4220" s="22" t="str">
        <f>IF(OR(E4220="",E4220="!!!"),"",IF(NOT(ISNA(VLOOKUP(E4220,E$1:E4219,1,FALSE()))),"OLD",IF(AND(E4220&lt;&gt;"",E4220&lt;&gt;"!!!"),"NEW","")))</f>
        <v> </v>
      </c>
      <c r="G4220" s="23" t="str">
        <f>IF(OR(E4220="",E4220="!!!"),"",IF(OR(J4220=0,AND(J4220=1,K4220=1),AND(J4220=1,I4220="SBJ"),AND(J4220=1,I4220=0)),"?IN_FOCUS",IF(J4220&lt;=2,"?ACTIVATED",IF(J4220&lt;&gt;"","?FAMILIAR",IF(F4220="NEW",IF(ISNA(VLOOKUP(E4220,#REF!,1,FALSE())),"?TYPE_IDENTIFIABLE","?REFERENTIAL"),"_")))))</f>
        <v> </v>
      </c>
      <c r="H4220" s="24" t="str">
        <f>IF(J4220&lt;&gt;1,"",IF(I4220="SBJ","CB","?"))</f>
        <v> </v>
      </c>
      <c r="I4220" s="25" t="str">
        <f>IF(OR(E4220="",E4220="!!!",F4220="NEW"),"",INDEX(B4219:B$2,-1+SUMPRODUCT(MAX(ROW(E4219:E$2)*(E4220=E4219:E$2)))))</f>
        <v> </v>
      </c>
      <c r="J4220" s="25" t="str">
        <f>IF(OR(E4220="",E4220="!!!",F4220="NEW"),"",COUNTBLANK(OFFSET(A$1,,,SUMPRODUCT(MAX(ROW(E$2:E4220)*(E4220=E$2:E4220)))))-COUNTBLANK(OFFSET(A$1,,,SUMPRODUCT(MAX(ROW(E$1:E4219)*(E2=E$1:E4219))))))</f>
        <v> </v>
      </c>
      <c r="K4220" s="25" t="str">
        <f>IF(OR(E4220="",E4220="!!!",F4220="NEW"),"",INDEX(J$1:J4219,SUMPRODUCT(MAX(ROW(E$1:E4219)*(E4220=E$1:E4219)))))</f>
        <v> </v>
      </c>
      <c r="L4220" s="26"/>
    </row>
    <row r="4221" spans="1:12">
      <c r="A4221" s="20" t="s">
        <v>1123</v>
      </c>
      <c r="E4221" s="21">
        <f>IF(D4221="?OLD","!!!","")</f>
        <v/>
      </c>
      <c r="F4221" s="22" t="str">
        <f>IF(OR(E4221="",E4221="!!!"),"",IF(NOT(ISNA(VLOOKUP(E4221,E$1:E4220,1,FALSE()))),"OLD",IF(AND(E4221&lt;&gt;"",E4221&lt;&gt;"!!!"),"NEW","")))</f>
        <v> </v>
      </c>
      <c r="G4221" s="23" t="str">
        <f>IF(OR(E4221="",E4221="!!!"),"",IF(OR(J4221=0,AND(J4221=1,K4221=1),AND(J4221=1,I4221="SBJ"),AND(J4221=1,I4221=0)),"?IN_FOCUS",IF(J4221&lt;=2,"?ACTIVATED",IF(J4221&lt;&gt;"","?FAMILIAR",IF(F4221="NEW",IF(ISNA(VLOOKUP(E4221,#REF!,1,FALSE())),"?TYPE_IDENTIFIABLE","?REFERENTIAL"),"_")))))</f>
        <v> </v>
      </c>
      <c r="H4221" s="24" t="str">
        <f>IF(J4221&lt;&gt;1,"",IF(I4221="SBJ","CB","?"))</f>
        <v> </v>
      </c>
      <c r="I4221" s="25" t="str">
        <f>IF(OR(E4221="",E4221="!!!",F4221="NEW"),"",INDEX(B4220:B$2,-1+SUMPRODUCT(MAX(ROW(E4220:E$2)*(E4221=E4220:E$2)))))</f>
        <v> </v>
      </c>
      <c r="J4221" s="25" t="str">
        <f>IF(OR(E4221="",E4221="!!!",F4221="NEW"),"",COUNTBLANK(OFFSET(A$1,,,SUMPRODUCT(MAX(ROW(E$2:E4221)*(E4221=E$2:E4221)))))-COUNTBLANK(OFFSET(A$1,,,SUMPRODUCT(MAX(ROW(E$1:E4220)*(E2=E$1:E4220))))))</f>
        <v> </v>
      </c>
      <c r="K4221" s="25" t="str">
        <f>IF(OR(E4221="",E4221="!!!",F4221="NEW"),"",INDEX(J$1:J4220,SUMPRODUCT(MAX(ROW(E$1:E4220)*(E4221=E$1:E4220)))))</f>
        <v> </v>
      </c>
      <c r="L4221" s="26"/>
    </row>
    <row r="4222" spans="1:12">
      <c r="A4222" s="20" t="s">
        <v>2978</v>
      </c>
      <c r="E4222" s="21">
        <f>IF(D4222="?OLD","!!!","")</f>
        <v/>
      </c>
      <c r="F4222" s="22" t="str">
        <f>IF(OR(E4222="",E4222="!!!"),"",IF(NOT(ISNA(VLOOKUP(E4222,E$1:E4221,1,FALSE()))),"OLD",IF(AND(E4222&lt;&gt;"",E4222&lt;&gt;"!!!"),"NEW","")))</f>
        <v> </v>
      </c>
      <c r="G4222" s="23" t="str">
        <f>IF(OR(E4222="",E4222="!!!"),"",IF(OR(J4222=0,AND(J4222=1,K4222=1),AND(J4222=1,I4222="SBJ"),AND(J4222=1,I4222=0)),"?IN_FOCUS",IF(J4222&lt;=2,"?ACTIVATED",IF(J4222&lt;&gt;"","?FAMILIAR",IF(F4222="NEW",IF(ISNA(VLOOKUP(E4222,#REF!,1,FALSE())),"?TYPE_IDENTIFIABLE","?REFERENTIAL"),"_")))))</f>
        <v> </v>
      </c>
      <c r="H4222" s="24" t="str">
        <f>IF(J4222&lt;&gt;1,"",IF(I4222="SBJ","CB","?"))</f>
        <v> </v>
      </c>
      <c r="I4222" s="25" t="str">
        <f>IF(OR(E4222="",E4222="!!!",F4222="NEW"),"",INDEX(B4221:B$2,-1+SUMPRODUCT(MAX(ROW(E4221:E$2)*(E4222=E4221:E$2)))))</f>
        <v> </v>
      </c>
      <c r="J4222" s="25" t="str">
        <f>IF(OR(E4222="",E4222="!!!",F4222="NEW"),"",COUNTBLANK(OFFSET(A$1,,,SUMPRODUCT(MAX(ROW(E$2:E4222)*(E4222=E$2:E4222)))))-COUNTBLANK(OFFSET(A$1,,,SUMPRODUCT(MAX(ROW(E$1:E4221)*(E2=E$1:E4221))))))</f>
        <v> </v>
      </c>
      <c r="K4222" s="25" t="str">
        <f>IF(OR(E4222="",E4222="!!!",F4222="NEW"),"",INDEX(J$1:J4221,SUMPRODUCT(MAX(ROW(E$1:E4221)*(E4222=E$1:E4221)))))</f>
        <v> </v>
      </c>
      <c r="L4222" s="26"/>
    </row>
    <row r="4223" spans="1:12">
      <c r="A4223" s="20" t="s">
        <v>2979</v>
      </c>
      <c r="E4223" s="21">
        <f>IF(D4223="?OLD","!!!","")</f>
        <v/>
      </c>
      <c r="F4223" s="22" t="str">
        <f>IF(OR(E4223="",E4223="!!!"),"",IF(NOT(ISNA(VLOOKUP(E4223,E$1:E4222,1,FALSE()))),"OLD",IF(AND(E4223&lt;&gt;"",E4223&lt;&gt;"!!!"),"NEW","")))</f>
        <v> </v>
      </c>
      <c r="G4223" s="23" t="str">
        <f>IF(OR(E4223="",E4223="!!!"),"",IF(OR(J4223=0,AND(J4223=1,K4223=1),AND(J4223=1,I4223="SBJ"),AND(J4223=1,I4223=0)),"?IN_FOCUS",IF(J4223&lt;=2,"?ACTIVATED",IF(J4223&lt;&gt;"","?FAMILIAR",IF(F4223="NEW",IF(ISNA(VLOOKUP(E4223,#REF!,1,FALSE())),"?TYPE_IDENTIFIABLE","?REFERENTIAL"),"_")))))</f>
        <v> </v>
      </c>
      <c r="H4223" s="24" t="str">
        <f>IF(J4223&lt;&gt;1,"",IF(I4223="SBJ","CB","?"))</f>
        <v> </v>
      </c>
      <c r="I4223" s="25" t="str">
        <f>IF(OR(E4223="",E4223="!!!",F4223="NEW"),"",INDEX(B4222:B$2,-1+SUMPRODUCT(MAX(ROW(E4222:E$2)*(E4223=E4222:E$2)))))</f>
        <v> </v>
      </c>
      <c r="J4223" s="25" t="str">
        <f>IF(OR(E4223="",E4223="!!!",F4223="NEW"),"",COUNTBLANK(OFFSET(A$1,,,SUMPRODUCT(MAX(ROW(E$2:E4223)*(E4223=E$2:E4223)))))-COUNTBLANK(OFFSET(A$1,,,SUMPRODUCT(MAX(ROW(E$1:E4222)*(E2=E$1:E4222))))))</f>
        <v> </v>
      </c>
      <c r="K4223" s="25" t="str">
        <f>IF(OR(E4223="",E4223="!!!",F4223="NEW"),"",INDEX(J$1:J4222,SUMPRODUCT(MAX(ROW(E$1:E4222)*(E4223=E$1:E4222)))))</f>
        <v> </v>
      </c>
      <c r="L4223" s="26"/>
    </row>
    <row r="4224" spans="1:12">
      <c r="A4224" s="20" t="s">
        <v>2980</v>
      </c>
      <c r="E4224" s="21">
        <f>IF(D4224="?OLD","!!!","")</f>
        <v/>
      </c>
      <c r="F4224" s="22" t="str">
        <f>IF(OR(E4224="",E4224="!!!"),"",IF(NOT(ISNA(VLOOKUP(E4224,E$1:E4223,1,FALSE()))),"OLD",IF(AND(E4224&lt;&gt;"",E4224&lt;&gt;"!!!"),"NEW","")))</f>
        <v> </v>
      </c>
      <c r="G4224" s="23" t="str">
        <f>IF(OR(E4224="",E4224="!!!"),"",IF(OR(J4224=0,AND(J4224=1,K4224=1),AND(J4224=1,I4224="SBJ"),AND(J4224=1,I4224=0)),"?IN_FOCUS",IF(J4224&lt;=2,"?ACTIVATED",IF(J4224&lt;&gt;"","?FAMILIAR",IF(F4224="NEW",IF(ISNA(VLOOKUP(E4224,#REF!,1,FALSE())),"?TYPE_IDENTIFIABLE","?REFERENTIAL"),"_")))))</f>
        <v> </v>
      </c>
      <c r="H4224" s="24" t="str">
        <f>IF(J4224&lt;&gt;1,"",IF(I4224="SBJ","CB","?"))</f>
        <v> </v>
      </c>
      <c r="I4224" s="25" t="str">
        <f>IF(OR(E4224="",E4224="!!!",F4224="NEW"),"",INDEX(B4223:B$2,-1+SUMPRODUCT(MAX(ROW(E4223:E$2)*(E4224=E4223:E$2)))))</f>
        <v> </v>
      </c>
      <c r="J4224" s="25" t="str">
        <f>IF(OR(E4224="",E4224="!!!",F4224="NEW"),"",COUNTBLANK(OFFSET(A$1,,,SUMPRODUCT(MAX(ROW(E$2:E4224)*(E4224=E$2:E4224)))))-COUNTBLANK(OFFSET(A$1,,,SUMPRODUCT(MAX(ROW(E$1:E4223)*(E2=E$1:E4223))))))</f>
        <v> </v>
      </c>
      <c r="K4224" s="25" t="str">
        <f>IF(OR(E4224="",E4224="!!!",F4224="NEW"),"",INDEX(J$1:J4223,SUMPRODUCT(MAX(ROW(E$1:E4223)*(E4224=E$1:E4223)))))</f>
        <v> </v>
      </c>
      <c r="L4224" s="26"/>
    </row>
    <row r="4225" spans="1:12">
      <c r="A4225" s="20" t="s">
        <v>2981</v>
      </c>
      <c r="E4225" s="21">
        <f>IF(D4225="?OLD","!!!","")</f>
        <v/>
      </c>
      <c r="F4225" s="22" t="str">
        <f>IF(OR(E4225="",E4225="!!!"),"",IF(NOT(ISNA(VLOOKUP(E4225,E$1:E4224,1,FALSE()))),"OLD",IF(AND(E4225&lt;&gt;"",E4225&lt;&gt;"!!!"),"NEW","")))</f>
        <v> </v>
      </c>
      <c r="G4225" s="23" t="str">
        <f>IF(OR(E4225="",E4225="!!!"),"",IF(OR(J4225=0,AND(J4225=1,K4225=1),AND(J4225=1,I4225="SBJ"),AND(J4225=1,I4225=0)),"?IN_FOCUS",IF(J4225&lt;=2,"?ACTIVATED",IF(J4225&lt;&gt;"","?FAMILIAR",IF(F4225="NEW",IF(ISNA(VLOOKUP(E4225,#REF!,1,FALSE())),"?TYPE_IDENTIFIABLE","?REFERENTIAL"),"_")))))</f>
        <v> </v>
      </c>
      <c r="H4225" s="24" t="str">
        <f>IF(J4225&lt;&gt;1,"",IF(I4225="SBJ","CB","?"))</f>
        <v> </v>
      </c>
      <c r="I4225" s="25" t="str">
        <f>IF(OR(E4225="",E4225="!!!",F4225="NEW"),"",INDEX(B4224:B$2,-1+SUMPRODUCT(MAX(ROW(E4224:E$2)*(E4225=E4224:E$2)))))</f>
        <v> </v>
      </c>
      <c r="J4225" s="25" t="str">
        <f>IF(OR(E4225="",E4225="!!!",F4225="NEW"),"",COUNTBLANK(OFFSET(A$1,,,SUMPRODUCT(MAX(ROW(E$2:E4225)*(E4225=E$2:E4225)))))-COUNTBLANK(OFFSET(A$1,,,SUMPRODUCT(MAX(ROW(E$1:E4224)*(E2=E$1:E4224))))))</f>
        <v> </v>
      </c>
      <c r="K4225" s="25" t="str">
        <f>IF(OR(E4225="",E4225="!!!",F4225="NEW"),"",INDEX(J$1:J4224,SUMPRODUCT(MAX(ROW(E$1:E4224)*(E4225=E$1:E4224)))))</f>
        <v> </v>
      </c>
      <c r="L4225" s="26"/>
    </row>
    <row r="4226" spans="1:12">
      <c r="A4226" s="20" t="s">
        <v>2813</v>
      </c>
      <c r="B4226" s="27" t="s">
        <v>1115</v>
      </c>
      <c r="E4226" s="21">
        <f>IF(D4226="?OLD","!!!","")</f>
        <v/>
      </c>
      <c r="F4226" s="22" t="str">
        <f>IF(OR(E4226="",E4226="!!!"),"",IF(NOT(ISNA(VLOOKUP(E4226,E$1:E4225,1,FALSE()))),"OLD",IF(AND(E4226&lt;&gt;"",E4226&lt;&gt;"!!!"),"NEW","")))</f>
        <v> </v>
      </c>
      <c r="G4226" s="23" t="str">
        <f>IF(OR(E4226="",E4226="!!!"),"",IF(OR(J4226=0,AND(J4226=1,K4226=1),AND(J4226=1,I4226="SBJ"),AND(J4226=1,I4226=0)),"?IN_FOCUS",IF(J4226&lt;=2,"?ACTIVATED",IF(J4226&lt;&gt;"","?FAMILIAR",IF(F4226="NEW",IF(ISNA(VLOOKUP(E4226,#REF!,1,FALSE())),"?TYPE_IDENTIFIABLE","?REFERENTIAL"),"_")))))</f>
        <v> </v>
      </c>
      <c r="H4226" s="24" t="str">
        <f>IF(J4226&lt;&gt;1,"",IF(I4226="SBJ","CB","?"))</f>
        <v> </v>
      </c>
      <c r="I4226" s="25" t="str">
        <f>IF(OR(E4226="",E4226="!!!",F4226="NEW"),"",INDEX(B4225:B$2,-1+SUMPRODUCT(MAX(ROW(E4225:E$2)*(E4226=E4225:E$2)))))</f>
        <v> </v>
      </c>
      <c r="J4226" s="25" t="str">
        <f>IF(OR(E4226="",E4226="!!!",F4226="NEW"),"",COUNTBLANK(OFFSET(A$1,,,SUMPRODUCT(MAX(ROW(E$2:E4226)*(E4226=E$2:E4226)))))-COUNTBLANK(OFFSET(A$1,,,SUMPRODUCT(MAX(ROW(E$1:E4225)*(E2=E$1:E4225))))))</f>
        <v> </v>
      </c>
      <c r="K4226" s="25" t="str">
        <f>IF(OR(E4226="",E4226="!!!",F4226="NEW"),"",INDEX(J$1:J4225,SUMPRODUCT(MAX(ROW(E$1:E4225)*(E4226=E$1:E4225)))))</f>
        <v> </v>
      </c>
      <c r="L4226" s="26"/>
    </row>
    <row r="4227" spans="1:12">
      <c r="A4227" s="20" t="s">
        <v>1145</v>
      </c>
      <c r="E4227" s="21">
        <f>IF(D4227="?OLD","!!!","")</f>
        <v/>
      </c>
      <c r="F4227" s="22" t="str">
        <f>IF(OR(E4227="",E4227="!!!"),"",IF(NOT(ISNA(VLOOKUP(E4227,E$1:E4226,1,FALSE()))),"OLD",IF(AND(E4227&lt;&gt;"",E4227&lt;&gt;"!!!"),"NEW","")))</f>
        <v> </v>
      </c>
      <c r="G4227" s="23" t="str">
        <f>IF(OR(E4227="",E4227="!!!"),"",IF(OR(J4227=0,AND(J4227=1,K4227=1),AND(J4227=1,I4227="SBJ"),AND(J4227=1,I4227=0)),"?IN_FOCUS",IF(J4227&lt;=2,"?ACTIVATED",IF(J4227&lt;&gt;"","?FAMILIAR",IF(F4227="NEW",IF(ISNA(VLOOKUP(E4227,#REF!,1,FALSE())),"?TYPE_IDENTIFIABLE","?REFERENTIAL"),"_")))))</f>
        <v> </v>
      </c>
      <c r="H4227" s="24" t="str">
        <f>IF(J4227&lt;&gt;1,"",IF(I4227="SBJ","CB","?"))</f>
        <v> </v>
      </c>
      <c r="I4227" s="25" t="str">
        <f>IF(OR(E4227="",E4227="!!!",F4227="NEW"),"",INDEX(B4226:B$2,-1+SUMPRODUCT(MAX(ROW(E4226:E$2)*(E4227=E4226:E$2)))))</f>
        <v> </v>
      </c>
      <c r="J4227" s="25" t="str">
        <f>IF(OR(E4227="",E4227="!!!",F4227="NEW"),"",COUNTBLANK(OFFSET(A$1,,,SUMPRODUCT(MAX(ROW(E$2:E4227)*(E4227=E$2:E4227)))))-COUNTBLANK(OFFSET(A$1,,,SUMPRODUCT(MAX(ROW(E$1:E4226)*(E2=E$1:E4226))))))</f>
        <v> </v>
      </c>
      <c r="K4227" s="25" t="str">
        <f>IF(OR(E4227="",E4227="!!!",F4227="NEW"),"",INDEX(J$1:J4226,SUMPRODUCT(MAX(ROW(E$1:E4226)*(E4227=E$1:E4226)))))</f>
        <v> </v>
      </c>
      <c r="L4227" s="26"/>
    </row>
    <row r="4228" spans="1:12">
      <c r="A4228" s="20"/>
    </row>
    <row r="4229" spans="1:12">
      <c r="A4229" s="20" t="s">
        <v>2982</v>
      </c>
    </row>
    <row r="4230" spans="1:12">
      <c r="A4230" s="20" t="s">
        <v>1277</v>
      </c>
      <c r="E4230" s="21">
        <f>IF(D4230="?OLD","!!!","")</f>
        <v/>
      </c>
      <c r="F4230" s="22" t="str">
        <f>IF(OR(E4230="",E4230="!!!"),"",IF(NOT(ISNA(VLOOKUP(E4230,E$1:E4229,1,FALSE()))),"OLD",IF(AND(E4230&lt;&gt;"",E4230&lt;&gt;"!!!"),"NEW","")))</f>
        <v> </v>
      </c>
      <c r="G4230" s="23" t="str">
        <f>IF(OR(E4230="",E4230="!!!"),"",IF(OR(J4230=0,AND(J4230=1,K4230=1),AND(J4230=1,I4230="SBJ"),AND(J4230=1,I4230=0)),"?IN_FOCUS",IF(J4230&lt;=2,"?ACTIVATED",IF(J4230&lt;&gt;"","?FAMILIAR",IF(F4230="NEW",IF(ISNA(VLOOKUP(E4230,#REF!,1,FALSE())),"?TYPE_IDENTIFIABLE","?REFERENTIAL"),"_")))))</f>
        <v> </v>
      </c>
      <c r="H4230" s="24" t="str">
        <f>IF(J4230&lt;&gt;1,"",IF(I4230="SBJ","CB","?"))</f>
        <v> </v>
      </c>
      <c r="I4230" s="25" t="str">
        <f>IF(OR(E4230="",E4230="!!!",F4230="NEW"),"",INDEX(B4229:B$2,-1+SUMPRODUCT(MAX(ROW(E4229:E$2)*(E4230=E4229:E$2)))))</f>
        <v> </v>
      </c>
      <c r="J4230" s="25" t="str">
        <f>IF(OR(E4230="",E4230="!!!",F4230="NEW"),"",COUNTBLANK(OFFSET(A$1,,,SUMPRODUCT(MAX(ROW(E$2:E4230)*(E4230=E$2:E4230)))))-COUNTBLANK(OFFSET(A$1,,,SUMPRODUCT(MAX(ROW(E$1:E4229)*(E2=E$1:E4229))))))</f>
        <v> </v>
      </c>
      <c r="K4230" s="25" t="str">
        <f>IF(OR(E4230="",E4230="!!!",F4230="NEW"),"",INDEX(J$1:J4229,SUMPRODUCT(MAX(ROW(E$1:E4229)*(E4230=E$1:E4229)))))</f>
        <v> </v>
      </c>
      <c r="L4230" s="26"/>
    </row>
    <row r="4231" spans="1:12">
      <c r="A4231" s="20" t="s">
        <v>2411</v>
      </c>
      <c r="E4231" s="21">
        <f>IF(D4231="?OLD","!!!","")</f>
        <v/>
      </c>
      <c r="F4231" s="22" t="str">
        <f>IF(OR(E4231="",E4231="!!!"),"",IF(NOT(ISNA(VLOOKUP(E4231,E$1:E4230,1,FALSE()))),"OLD",IF(AND(E4231&lt;&gt;"",E4231&lt;&gt;"!!!"),"NEW","")))</f>
        <v> </v>
      </c>
      <c r="G4231" s="23" t="str">
        <f>IF(OR(E4231="",E4231="!!!"),"",IF(OR(J4231=0,AND(J4231=1,K4231=1),AND(J4231=1,I4231="SBJ"),AND(J4231=1,I4231=0)),"?IN_FOCUS",IF(J4231&lt;=2,"?ACTIVATED",IF(J4231&lt;&gt;"","?FAMILIAR",IF(F4231="NEW",IF(ISNA(VLOOKUP(E4231,#REF!,1,FALSE())),"?TYPE_IDENTIFIABLE","?REFERENTIAL"),"_")))))</f>
        <v> </v>
      </c>
      <c r="H4231" s="24" t="str">
        <f>IF(J4231&lt;&gt;1,"",IF(I4231="SBJ","CB","?"))</f>
        <v> </v>
      </c>
      <c r="I4231" s="25" t="str">
        <f>IF(OR(E4231="",E4231="!!!",F4231="NEW"),"",INDEX(B4230:B$2,-1+SUMPRODUCT(MAX(ROW(E4230:E$2)*(E4231=E4230:E$2)))))</f>
        <v> </v>
      </c>
      <c r="J4231" s="25" t="str">
        <f>IF(OR(E4231="",E4231="!!!",F4231="NEW"),"",COUNTBLANK(OFFSET(A$1,,,SUMPRODUCT(MAX(ROW(E$2:E4231)*(E4231=E$2:E4231)))))-COUNTBLANK(OFFSET(A$1,,,SUMPRODUCT(MAX(ROW(E$1:E4230)*(E2=E$1:E4230))))))</f>
        <v> </v>
      </c>
      <c r="K4231" s="25" t="str">
        <f>IF(OR(E4231="",E4231="!!!",F4231="NEW"),"",INDEX(J$1:J4230,SUMPRODUCT(MAX(ROW(E$1:E4230)*(E4231=E$1:E4230)))))</f>
        <v> </v>
      </c>
      <c r="L4231" s="26"/>
    </row>
    <row r="4232" spans="1:12">
      <c r="A4232" s="20" t="s">
        <v>1101</v>
      </c>
      <c r="E4232" s="21">
        <f>IF(D4232="?OLD","!!!","")</f>
        <v/>
      </c>
      <c r="F4232" s="22" t="str">
        <f>IF(OR(E4232="",E4232="!!!"),"",IF(NOT(ISNA(VLOOKUP(E4232,E$1:E4231,1,FALSE()))),"OLD",IF(AND(E4232&lt;&gt;"",E4232&lt;&gt;"!!!"),"NEW","")))</f>
        <v> </v>
      </c>
      <c r="G4232" s="23" t="str">
        <f>IF(OR(E4232="",E4232="!!!"),"",IF(OR(J4232=0,AND(J4232=1,K4232=1),AND(J4232=1,I4232="SBJ"),AND(J4232=1,I4232=0)),"?IN_FOCUS",IF(J4232&lt;=2,"?ACTIVATED",IF(J4232&lt;&gt;"","?FAMILIAR",IF(F4232="NEW",IF(ISNA(VLOOKUP(E4232,#REF!,1,FALSE())),"?TYPE_IDENTIFIABLE","?REFERENTIAL"),"_")))))</f>
        <v> </v>
      </c>
      <c r="H4232" s="24" t="str">
        <f>IF(J4232&lt;&gt;1,"",IF(I4232="SBJ","CB","?"))</f>
        <v> </v>
      </c>
      <c r="I4232" s="25" t="str">
        <f>IF(OR(E4232="",E4232="!!!",F4232="NEW"),"",INDEX(B4231:B$2,-1+SUMPRODUCT(MAX(ROW(E4231:E$2)*(E4232=E4231:E$2)))))</f>
        <v> </v>
      </c>
      <c r="J4232" s="25" t="str">
        <f>IF(OR(E4232="",E4232="!!!",F4232="NEW"),"",COUNTBLANK(OFFSET(A$1,,,SUMPRODUCT(MAX(ROW(E$2:E4232)*(E4232=E$2:E4232)))))-COUNTBLANK(OFFSET(A$1,,,SUMPRODUCT(MAX(ROW(E$1:E4231)*(E2=E$1:E4231))))))</f>
        <v> </v>
      </c>
      <c r="K4232" s="25" t="str">
        <f>IF(OR(E4232="",E4232="!!!",F4232="NEW"),"",INDEX(J$1:J4231,SUMPRODUCT(MAX(ROW(E$1:E4231)*(E4232=E$1:E4231)))))</f>
        <v> </v>
      </c>
      <c r="L4232" s="26"/>
    </row>
    <row r="4233" spans="1:12">
      <c r="A4233" s="20" t="s">
        <v>1274</v>
      </c>
      <c r="E4233" s="21">
        <f>IF(D4233="?OLD","!!!","")</f>
        <v/>
      </c>
      <c r="F4233" s="22" t="str">
        <f>IF(OR(E4233="",E4233="!!!"),"",IF(NOT(ISNA(VLOOKUP(E4233,E$1:E4232,1,FALSE()))),"OLD",IF(AND(E4233&lt;&gt;"",E4233&lt;&gt;"!!!"),"NEW","")))</f>
        <v> </v>
      </c>
      <c r="G4233" s="23" t="str">
        <f>IF(OR(E4233="",E4233="!!!"),"",IF(OR(J4233=0,AND(J4233=1,K4233=1),AND(J4233=1,I4233="SBJ"),AND(J4233=1,I4233=0)),"?IN_FOCUS",IF(J4233&lt;=2,"?ACTIVATED",IF(J4233&lt;&gt;"","?FAMILIAR",IF(F4233="NEW",IF(ISNA(VLOOKUP(E4233,#REF!,1,FALSE())),"?TYPE_IDENTIFIABLE","?REFERENTIAL"),"_")))))</f>
        <v> </v>
      </c>
      <c r="H4233" s="24" t="str">
        <f>IF(J4233&lt;&gt;1,"",IF(I4233="SBJ","CB","?"))</f>
        <v> </v>
      </c>
      <c r="I4233" s="25" t="str">
        <f>IF(OR(E4233="",E4233="!!!",F4233="NEW"),"",INDEX(B4232:B$2,-1+SUMPRODUCT(MAX(ROW(E4232:E$2)*(E4233=E4232:E$2)))))</f>
        <v> </v>
      </c>
      <c r="J4233" s="25" t="str">
        <f>IF(OR(E4233="",E4233="!!!",F4233="NEW"),"",COUNTBLANK(OFFSET(A$1,,,SUMPRODUCT(MAX(ROW(E$2:E4233)*(E4233=E$2:E4233)))))-COUNTBLANK(OFFSET(A$1,,,SUMPRODUCT(MAX(ROW(E$1:E4232)*(E2=E$1:E4232))))))</f>
        <v> </v>
      </c>
      <c r="K4233" s="25" t="str">
        <f>IF(OR(E4233="",E4233="!!!",F4233="NEW"),"",INDEX(J$1:J4232,SUMPRODUCT(MAX(ROW(E$1:E4232)*(E4233=E$1:E4232)))))</f>
        <v> </v>
      </c>
      <c r="L4233" s="26"/>
    </row>
    <row r="4234" spans="1:12">
      <c r="A4234" s="20" t="s">
        <v>2983</v>
      </c>
      <c r="B4234" s="27" t="s">
        <v>1107</v>
      </c>
      <c r="C4234" s="27" t="s">
        <v>1156</v>
      </c>
      <c r="D4234" s="27" t="s">
        <v>1105</v>
      </c>
      <c r="E4234" s="21">
        <f>IF(D4234="?OLD","!!!","")</f>
        <v/>
      </c>
      <c r="F4234" s="22" t="str">
        <f>IF(OR(E4234="",E4234="!!!"),"",IF(NOT(ISNA(VLOOKUP(E4234,E$1:E4233,1,FALSE()))),"OLD",IF(AND(E4234&lt;&gt;"",E4234&lt;&gt;"!!!"),"NEW","")))</f>
        <v> </v>
      </c>
      <c r="G4234" s="23" t="str">
        <f>IF(OR(E4234="",E4234="!!!"),"",IF(OR(J4234=0,AND(J4234=1,K4234=1),AND(J4234=1,I4234="SBJ"),AND(J4234=1,I4234=0)),"?IN_FOCUS",IF(J4234&lt;=2,"?ACTIVATED",IF(J4234&lt;&gt;"","?FAMILIAR",IF(F4234="NEW",IF(ISNA(VLOOKUP(E4234,#REF!,1,FALSE())),"?TYPE_IDENTIFIABLE","?REFERENTIAL"),"_")))))</f>
        <v> </v>
      </c>
      <c r="H4234" s="24" t="str">
        <f>IF(J4234&lt;&gt;1,"",IF(I4234="SBJ","CB","?"))</f>
        <v> </v>
      </c>
      <c r="I4234" s="25" t="str">
        <f>IF(OR(E4234="",E4234="!!!",F4234="NEW"),"",INDEX(B4233:B$2,-1+SUMPRODUCT(MAX(ROW(E4233:E$2)*(E4234=E4233:E$2)))))</f>
        <v> </v>
      </c>
      <c r="J4234" s="25" t="str">
        <f>IF(OR(E4234="",E4234="!!!",F4234="NEW"),"",COUNTBLANK(OFFSET(A$1,,,SUMPRODUCT(MAX(ROW(E$2:E4234)*(E4234=E$2:E4234)))))-COUNTBLANK(OFFSET(A$1,,,SUMPRODUCT(MAX(ROW(E$1:E4233)*(E2=E$1:E4233))))))</f>
        <v> </v>
      </c>
      <c r="K4234" s="25" t="str">
        <f>IF(OR(E4234="",E4234="!!!",F4234="NEW"),"",INDEX(J$1:J4233,SUMPRODUCT(MAX(ROW(E$1:E4233)*(E4234=E$1:E4233)))))</f>
        <v> </v>
      </c>
      <c r="L4234" s="26"/>
    </row>
    <row r="4235" spans="1:12">
      <c r="A4235" s="20" t="s">
        <v>1217</v>
      </c>
      <c r="B4235" s="27" t="s">
        <v>1149</v>
      </c>
      <c r="C4235" s="27" t="s">
        <v>1126</v>
      </c>
      <c r="D4235" s="27" t="s">
        <v>1105</v>
      </c>
      <c r="E4235" s="21">
        <f>IF(D4235="?OLD","!!!","")</f>
        <v/>
      </c>
      <c r="F4235" s="22" t="str">
        <f>IF(OR(E4235="",E4235="!!!"),"",IF(NOT(ISNA(VLOOKUP(E4235,E$1:E4234,1,FALSE()))),"OLD",IF(AND(E4235&lt;&gt;"",E4235&lt;&gt;"!!!"),"NEW","")))</f>
        <v> </v>
      </c>
      <c r="G4235" s="23" t="str">
        <f>IF(OR(E4235="",E4235="!!!"),"",IF(OR(J4235=0,AND(J4235=1,K4235=1),AND(J4235=1,I4235="SBJ"),AND(J4235=1,I4235=0)),"?IN_FOCUS",IF(J4235&lt;=2,"?ACTIVATED",IF(J4235&lt;&gt;"","?FAMILIAR",IF(F4235="NEW",IF(ISNA(VLOOKUP(E4235,#REF!,1,FALSE())),"?TYPE_IDENTIFIABLE","?REFERENTIAL"),"_")))))</f>
        <v> </v>
      </c>
      <c r="H4235" s="24" t="str">
        <f>IF(J4235&lt;&gt;1,"",IF(I4235="SBJ","CB","?"))</f>
        <v> </v>
      </c>
      <c r="I4235" s="25" t="str">
        <f>IF(OR(E4235="",E4235="!!!",F4235="NEW"),"",INDEX(B4234:B$2,-1+SUMPRODUCT(MAX(ROW(E4234:E$2)*(E4235=E4234:E$2)))))</f>
        <v> </v>
      </c>
      <c r="J4235" s="25" t="str">
        <f>IF(OR(E4235="",E4235="!!!",F4235="NEW"),"",COUNTBLANK(OFFSET(A$1,,,SUMPRODUCT(MAX(ROW(E$2:E4235)*(E4235=E$2:E4235)))))-COUNTBLANK(OFFSET(A$1,,,SUMPRODUCT(MAX(ROW(E$1:E4234)*(E2=E$1:E4234))))))</f>
        <v> </v>
      </c>
      <c r="K4235" s="25" t="str">
        <f>IF(OR(E4235="",E4235="!!!",F4235="NEW"),"",INDEX(J$1:J4234,SUMPRODUCT(MAX(ROW(E$1:E4234)*(E4235=E$1:E4234)))))</f>
        <v> </v>
      </c>
      <c r="L4235" s="26"/>
    </row>
    <row r="4236" spans="1:12">
      <c r="A4236" s="20" t="s">
        <v>2956</v>
      </c>
      <c r="E4236" s="21">
        <f>IF(D4236="?OLD","!!!","")</f>
        <v/>
      </c>
      <c r="F4236" s="22" t="str">
        <f>IF(OR(E4236="",E4236="!!!"),"",IF(NOT(ISNA(VLOOKUP(E4236,E$1:E4235,1,FALSE()))),"OLD",IF(AND(E4236&lt;&gt;"",E4236&lt;&gt;"!!!"),"NEW","")))</f>
        <v> </v>
      </c>
      <c r="G4236" s="23" t="str">
        <f>IF(OR(E4236="",E4236="!!!"),"",IF(OR(J4236=0,AND(J4236=1,K4236=1),AND(J4236=1,I4236="SBJ"),AND(J4236=1,I4236=0)),"?IN_FOCUS",IF(J4236&lt;=2,"?ACTIVATED",IF(J4236&lt;&gt;"","?FAMILIAR",IF(F4236="NEW",IF(ISNA(VLOOKUP(E4236,#REF!,1,FALSE())),"?TYPE_IDENTIFIABLE","?REFERENTIAL"),"_")))))</f>
        <v> </v>
      </c>
      <c r="H4236" s="24" t="str">
        <f>IF(J4236&lt;&gt;1,"",IF(I4236="SBJ","CB","?"))</f>
        <v> </v>
      </c>
      <c r="I4236" s="25" t="str">
        <f>IF(OR(E4236="",E4236="!!!",F4236="NEW"),"",INDEX(B4235:B$2,-1+SUMPRODUCT(MAX(ROW(E4235:E$2)*(E4236=E4235:E$2)))))</f>
        <v> </v>
      </c>
      <c r="J4236" s="25" t="str">
        <f>IF(OR(E4236="",E4236="!!!",F4236="NEW"),"",COUNTBLANK(OFFSET(A$1,,,SUMPRODUCT(MAX(ROW(E$2:E4236)*(E4236=E$2:E4236)))))-COUNTBLANK(OFFSET(A$1,,,SUMPRODUCT(MAX(ROW(E$1:E4235)*(E2=E$1:E4235))))))</f>
        <v> </v>
      </c>
      <c r="K4236" s="25" t="str">
        <f>IF(OR(E4236="",E4236="!!!",F4236="NEW"),"",INDEX(J$1:J4235,SUMPRODUCT(MAX(ROW(E$1:E4235)*(E4236=E$1:E4235)))))</f>
        <v> </v>
      </c>
      <c r="L4236" s="26"/>
    </row>
    <row r="4237" spans="1:12">
      <c r="A4237" s="20" t="s">
        <v>2984</v>
      </c>
      <c r="B4237" s="27" t="s">
        <v>1213</v>
      </c>
      <c r="E4237" s="21">
        <f>IF(D4237="?OLD","!!!","")</f>
        <v/>
      </c>
      <c r="F4237" s="22" t="str">
        <f>IF(OR(E4237="",E4237="!!!"),"",IF(NOT(ISNA(VLOOKUP(E4237,E$1:E4236,1,FALSE()))),"OLD",IF(AND(E4237&lt;&gt;"",E4237&lt;&gt;"!!!"),"NEW","")))</f>
        <v> </v>
      </c>
      <c r="G4237" s="23" t="str">
        <f>IF(OR(E4237="",E4237="!!!"),"",IF(OR(J4237=0,AND(J4237=1,K4237=1),AND(J4237=1,I4237="SBJ"),AND(J4237=1,I4237=0)),"?IN_FOCUS",IF(J4237&lt;=2,"?ACTIVATED",IF(J4237&lt;&gt;"","?FAMILIAR",IF(F4237="NEW",IF(ISNA(VLOOKUP(E4237,#REF!,1,FALSE())),"?TYPE_IDENTIFIABLE","?REFERENTIAL"),"_")))))</f>
        <v> </v>
      </c>
      <c r="H4237" s="24" t="str">
        <f>IF(J4237&lt;&gt;1,"",IF(I4237="SBJ","CB","?"))</f>
        <v> </v>
      </c>
      <c r="I4237" s="25" t="str">
        <f>IF(OR(E4237="",E4237="!!!",F4237="NEW"),"",INDEX(B4236:B$2,-1+SUMPRODUCT(MAX(ROW(E4236:E$2)*(E4237=E4236:E$2)))))</f>
        <v> </v>
      </c>
      <c r="J4237" s="25" t="str">
        <f>IF(OR(E4237="",E4237="!!!",F4237="NEW"),"",COUNTBLANK(OFFSET(A$1,,,SUMPRODUCT(MAX(ROW(E$2:E4237)*(E4237=E$2:E4237)))))-COUNTBLANK(OFFSET(A$1,,,SUMPRODUCT(MAX(ROW(E$1:E4236)*(E2=E$1:E4236))))))</f>
        <v> </v>
      </c>
      <c r="K4237" s="25" t="str">
        <f>IF(OR(E4237="",E4237="!!!",F4237="NEW"),"",INDEX(J$1:J4236,SUMPRODUCT(MAX(ROW(E$1:E4236)*(E4237=E$1:E4236)))))</f>
        <v> </v>
      </c>
      <c r="L4237" s="26"/>
    </row>
    <row r="4238" spans="1:12">
      <c r="A4238" s="20" t="s">
        <v>1184</v>
      </c>
      <c r="E4238" s="21">
        <f>IF(D4238="?OLD","!!!","")</f>
        <v/>
      </c>
      <c r="F4238" s="22" t="str">
        <f>IF(OR(E4238="",E4238="!!!"),"",IF(NOT(ISNA(VLOOKUP(E4238,E$1:E4237,1,FALSE()))),"OLD",IF(AND(E4238&lt;&gt;"",E4238&lt;&gt;"!!!"),"NEW","")))</f>
        <v> </v>
      </c>
      <c r="G4238" s="23" t="str">
        <f>IF(OR(E4238="",E4238="!!!"),"",IF(OR(J4238=0,AND(J4238=1,K4238=1),AND(J4238=1,I4238="SBJ"),AND(J4238=1,I4238=0)),"?IN_FOCUS",IF(J4238&lt;=2,"?ACTIVATED",IF(J4238&lt;&gt;"","?FAMILIAR",IF(F4238="NEW",IF(ISNA(VLOOKUP(E4238,#REF!,1,FALSE())),"?TYPE_IDENTIFIABLE","?REFERENTIAL"),"_")))))</f>
        <v> </v>
      </c>
      <c r="H4238" s="24" t="str">
        <f>IF(J4238&lt;&gt;1,"",IF(I4238="SBJ","CB","?"))</f>
        <v> </v>
      </c>
      <c r="I4238" s="25" t="str">
        <f>IF(OR(E4238="",E4238="!!!",F4238="NEW"),"",INDEX(B4237:B$2,-1+SUMPRODUCT(MAX(ROW(E4237:E$2)*(E4238=E4237:E$2)))))</f>
        <v> </v>
      </c>
      <c r="J4238" s="25" t="str">
        <f>IF(OR(E4238="",E4238="!!!",F4238="NEW"),"",COUNTBLANK(OFFSET(A$1,,,SUMPRODUCT(MAX(ROW(E$2:E4238)*(E4238=E$2:E4238)))))-COUNTBLANK(OFFSET(A$1,,,SUMPRODUCT(MAX(ROW(E$1:E4237)*(E2=E$1:E4237))))))</f>
        <v> </v>
      </c>
      <c r="K4238" s="25" t="str">
        <f>IF(OR(E4238="",E4238="!!!",F4238="NEW"),"",INDEX(J$1:J4237,SUMPRODUCT(MAX(ROW(E$1:E4237)*(E4238=E$1:E4237)))))</f>
        <v> </v>
      </c>
      <c r="L4238" s="26"/>
    </row>
    <row r="4239" spans="1:12">
      <c r="A4239" s="20" t="s">
        <v>2985</v>
      </c>
      <c r="E4239" s="21">
        <f>IF(D4239="?OLD","!!!","")</f>
        <v/>
      </c>
      <c r="F4239" s="22" t="str">
        <f>IF(OR(E4239="",E4239="!!!"),"",IF(NOT(ISNA(VLOOKUP(E4239,E$1:E4238,1,FALSE()))),"OLD",IF(AND(E4239&lt;&gt;"",E4239&lt;&gt;"!!!"),"NEW","")))</f>
        <v> </v>
      </c>
      <c r="G4239" s="23" t="str">
        <f>IF(OR(E4239="",E4239="!!!"),"",IF(OR(J4239=0,AND(J4239=1,K4239=1),AND(J4239=1,I4239="SBJ"),AND(J4239=1,I4239=0)),"?IN_FOCUS",IF(J4239&lt;=2,"?ACTIVATED",IF(J4239&lt;&gt;"","?FAMILIAR",IF(F4239="NEW",IF(ISNA(VLOOKUP(E4239,#REF!,1,FALSE())),"?TYPE_IDENTIFIABLE","?REFERENTIAL"),"_")))))</f>
        <v> </v>
      </c>
      <c r="H4239" s="24" t="str">
        <f>IF(J4239&lt;&gt;1,"",IF(I4239="SBJ","CB","?"))</f>
        <v> </v>
      </c>
      <c r="I4239" s="25" t="str">
        <f>IF(OR(E4239="",E4239="!!!",F4239="NEW"),"",INDEX(B4238:B$2,-1+SUMPRODUCT(MAX(ROW(E4238:E$2)*(E4239=E4238:E$2)))))</f>
        <v> </v>
      </c>
      <c r="J4239" s="25" t="str">
        <f>IF(OR(E4239="",E4239="!!!",F4239="NEW"),"",COUNTBLANK(OFFSET(A$1,,,SUMPRODUCT(MAX(ROW(E$2:E4239)*(E4239=E$2:E4239)))))-COUNTBLANK(OFFSET(A$1,,,SUMPRODUCT(MAX(ROW(E$1:E4238)*(E2=E$1:E4238))))))</f>
        <v> </v>
      </c>
      <c r="K4239" s="25" t="str">
        <f>IF(OR(E4239="",E4239="!!!",F4239="NEW"),"",INDEX(J$1:J4238,SUMPRODUCT(MAX(ROW(E$1:E4238)*(E4239=E$1:E4238)))))</f>
        <v> </v>
      </c>
      <c r="L4239" s="26"/>
    </row>
    <row r="4240" spans="1:12">
      <c r="A4240" s="20" t="s">
        <v>1123</v>
      </c>
      <c r="E4240" s="21">
        <f>IF(D4240="?OLD","!!!","")</f>
        <v/>
      </c>
      <c r="F4240" s="22" t="str">
        <f>IF(OR(E4240="",E4240="!!!"),"",IF(NOT(ISNA(VLOOKUP(E4240,E$1:E4239,1,FALSE()))),"OLD",IF(AND(E4240&lt;&gt;"",E4240&lt;&gt;"!!!"),"NEW","")))</f>
        <v> </v>
      </c>
      <c r="G4240" s="23" t="str">
        <f>IF(OR(E4240="",E4240="!!!"),"",IF(OR(J4240=0,AND(J4240=1,K4240=1),AND(J4240=1,I4240="SBJ"),AND(J4240=1,I4240=0)),"?IN_FOCUS",IF(J4240&lt;=2,"?ACTIVATED",IF(J4240&lt;&gt;"","?FAMILIAR",IF(F4240="NEW",IF(ISNA(VLOOKUP(E4240,#REF!,1,FALSE())),"?TYPE_IDENTIFIABLE","?REFERENTIAL"),"_")))))</f>
        <v> </v>
      </c>
      <c r="H4240" s="24" t="str">
        <f>IF(J4240&lt;&gt;1,"",IF(I4240="SBJ","CB","?"))</f>
        <v> </v>
      </c>
      <c r="I4240" s="25" t="str">
        <f>IF(OR(E4240="",E4240="!!!",F4240="NEW"),"",INDEX(B4239:B$2,-1+SUMPRODUCT(MAX(ROW(E4239:E$2)*(E4240=E4239:E$2)))))</f>
        <v> </v>
      </c>
      <c r="J4240" s="25" t="str">
        <f>IF(OR(E4240="",E4240="!!!",F4240="NEW"),"",COUNTBLANK(OFFSET(A$1,,,SUMPRODUCT(MAX(ROW(E$2:E4240)*(E4240=E$2:E4240)))))-COUNTBLANK(OFFSET(A$1,,,SUMPRODUCT(MAX(ROW(E$1:E4239)*(E2=E$1:E4239))))))</f>
        <v> </v>
      </c>
      <c r="K4240" s="25" t="str">
        <f>IF(OR(E4240="",E4240="!!!",F4240="NEW"),"",INDEX(J$1:J4239,SUMPRODUCT(MAX(ROW(E$1:E4239)*(E4240=E$1:E4239)))))</f>
        <v> </v>
      </c>
      <c r="L4240" s="26"/>
    </row>
    <row r="4241" spans="1:12">
      <c r="A4241" s="20" t="s">
        <v>2986</v>
      </c>
      <c r="E4241" s="21">
        <f>IF(D4241="?OLD","!!!","")</f>
        <v/>
      </c>
      <c r="F4241" s="22" t="str">
        <f>IF(OR(E4241="",E4241="!!!"),"",IF(NOT(ISNA(VLOOKUP(E4241,E$1:E4240,1,FALSE()))),"OLD",IF(AND(E4241&lt;&gt;"",E4241&lt;&gt;"!!!"),"NEW","")))</f>
        <v> </v>
      </c>
      <c r="G4241" s="23" t="str">
        <f>IF(OR(E4241="",E4241="!!!"),"",IF(OR(J4241=0,AND(J4241=1,K4241=1),AND(J4241=1,I4241="SBJ"),AND(J4241=1,I4241=0)),"?IN_FOCUS",IF(J4241&lt;=2,"?ACTIVATED",IF(J4241&lt;&gt;"","?FAMILIAR",IF(F4241="NEW",IF(ISNA(VLOOKUP(E4241,#REF!,1,FALSE())),"?TYPE_IDENTIFIABLE","?REFERENTIAL"),"_")))))</f>
        <v> </v>
      </c>
      <c r="H4241" s="24" t="str">
        <f>IF(J4241&lt;&gt;1,"",IF(I4241="SBJ","CB","?"))</f>
        <v> </v>
      </c>
      <c r="I4241" s="25" t="str">
        <f>IF(OR(E4241="",E4241="!!!",F4241="NEW"),"",INDEX(B4240:B$2,-1+SUMPRODUCT(MAX(ROW(E4240:E$2)*(E4241=E4240:E$2)))))</f>
        <v> </v>
      </c>
      <c r="J4241" s="25" t="str">
        <f>IF(OR(E4241="",E4241="!!!",F4241="NEW"),"",COUNTBLANK(OFFSET(A$1,,,SUMPRODUCT(MAX(ROW(E$2:E4241)*(E4241=E$2:E4241)))))-COUNTBLANK(OFFSET(A$1,,,SUMPRODUCT(MAX(ROW(E$1:E4240)*(E2=E$1:E4240))))))</f>
        <v> </v>
      </c>
      <c r="K4241" s="25" t="str">
        <f>IF(OR(E4241="",E4241="!!!",F4241="NEW"),"",INDEX(J$1:J4240,SUMPRODUCT(MAX(ROW(E$1:E4240)*(E4241=E$1:E4240)))))</f>
        <v> </v>
      </c>
      <c r="L4241" s="26"/>
    </row>
    <row r="4242" spans="1:12">
      <c r="A4242" s="20" t="s">
        <v>1128</v>
      </c>
      <c r="E4242" s="21">
        <f>IF(D4242="?OLD","!!!","")</f>
        <v/>
      </c>
      <c r="F4242" s="22" t="str">
        <f>IF(OR(E4242="",E4242="!!!"),"",IF(NOT(ISNA(VLOOKUP(E4242,E$1:E4241,1,FALSE()))),"OLD",IF(AND(E4242&lt;&gt;"",E4242&lt;&gt;"!!!"),"NEW","")))</f>
        <v> </v>
      </c>
      <c r="G4242" s="23" t="str">
        <f>IF(OR(E4242="",E4242="!!!"),"",IF(OR(J4242=0,AND(J4242=1,K4242=1),AND(J4242=1,I4242="SBJ"),AND(J4242=1,I4242=0)),"?IN_FOCUS",IF(J4242&lt;=2,"?ACTIVATED",IF(J4242&lt;&gt;"","?FAMILIAR",IF(F4242="NEW",IF(ISNA(VLOOKUP(E4242,#REF!,1,FALSE())),"?TYPE_IDENTIFIABLE","?REFERENTIAL"),"_")))))</f>
        <v> </v>
      </c>
      <c r="H4242" s="24" t="str">
        <f>IF(J4242&lt;&gt;1,"",IF(I4242="SBJ","CB","?"))</f>
        <v> </v>
      </c>
      <c r="I4242" s="25" t="str">
        <f>IF(OR(E4242="",E4242="!!!",F4242="NEW"),"",INDEX(B4241:B$2,-1+SUMPRODUCT(MAX(ROW(E4241:E$2)*(E4242=E4241:E$2)))))</f>
        <v> </v>
      </c>
      <c r="J4242" s="25" t="str">
        <f>IF(OR(E4242="",E4242="!!!",F4242="NEW"),"",COUNTBLANK(OFFSET(A$1,,,SUMPRODUCT(MAX(ROW(E$2:E4242)*(E4242=E$2:E4242)))))-COUNTBLANK(OFFSET(A$1,,,SUMPRODUCT(MAX(ROW(E$1:E4241)*(E2=E$1:E4241))))))</f>
        <v> </v>
      </c>
      <c r="K4242" s="25" t="str">
        <f>IF(OR(E4242="",E4242="!!!",F4242="NEW"),"",INDEX(J$1:J4241,SUMPRODUCT(MAX(ROW(E$1:E4241)*(E4242=E$1:E4241)))))</f>
        <v> </v>
      </c>
      <c r="L4242" s="26"/>
    </row>
    <row r="4243" spans="1:12">
      <c r="A4243" s="20" t="s">
        <v>2987</v>
      </c>
      <c r="E4243" s="21">
        <f>IF(D4243="?OLD","!!!","")</f>
        <v/>
      </c>
      <c r="F4243" s="22" t="str">
        <f>IF(OR(E4243="",E4243="!!!"),"",IF(NOT(ISNA(VLOOKUP(E4243,E$1:E4242,1,FALSE()))),"OLD",IF(AND(E4243&lt;&gt;"",E4243&lt;&gt;"!!!"),"NEW","")))</f>
        <v> </v>
      </c>
      <c r="G4243" s="23" t="str">
        <f>IF(OR(E4243="",E4243="!!!"),"",IF(OR(J4243=0,AND(J4243=1,K4243=1),AND(J4243=1,I4243="SBJ"),AND(J4243=1,I4243=0)),"?IN_FOCUS",IF(J4243&lt;=2,"?ACTIVATED",IF(J4243&lt;&gt;"","?FAMILIAR",IF(F4243="NEW",IF(ISNA(VLOOKUP(E4243,#REF!,1,FALSE())),"?TYPE_IDENTIFIABLE","?REFERENTIAL"),"_")))))</f>
        <v> </v>
      </c>
      <c r="H4243" s="24" t="str">
        <f>IF(J4243&lt;&gt;1,"",IF(I4243="SBJ","CB","?"))</f>
        <v> </v>
      </c>
      <c r="I4243" s="25" t="str">
        <f>IF(OR(E4243="",E4243="!!!",F4243="NEW"),"",INDEX(B4242:B$2,-1+SUMPRODUCT(MAX(ROW(E4242:E$2)*(E4243=E4242:E$2)))))</f>
        <v> </v>
      </c>
      <c r="J4243" s="25" t="str">
        <f>IF(OR(E4243="",E4243="!!!",F4243="NEW"),"",COUNTBLANK(OFFSET(A$1,,,SUMPRODUCT(MAX(ROW(E$2:E4243)*(E4243=E$2:E4243)))))-COUNTBLANK(OFFSET(A$1,,,SUMPRODUCT(MAX(ROW(E$1:E4242)*(E2=E$1:E4242))))))</f>
        <v> </v>
      </c>
      <c r="K4243" s="25" t="str">
        <f>IF(OR(E4243="",E4243="!!!",F4243="NEW"),"",INDEX(J$1:J4242,SUMPRODUCT(MAX(ROW(E$1:E4242)*(E4243=E$1:E4242)))))</f>
        <v> </v>
      </c>
      <c r="L4243" s="26"/>
    </row>
    <row r="4244" spans="1:12">
      <c r="A4244" s="20" t="s">
        <v>2988</v>
      </c>
      <c r="E4244" s="21">
        <f>IF(D4244="?OLD","!!!","")</f>
        <v/>
      </c>
      <c r="F4244" s="22" t="str">
        <f>IF(OR(E4244="",E4244="!!!"),"",IF(NOT(ISNA(VLOOKUP(E4244,E$1:E4243,1,FALSE()))),"OLD",IF(AND(E4244&lt;&gt;"",E4244&lt;&gt;"!!!"),"NEW","")))</f>
        <v> </v>
      </c>
      <c r="G4244" s="23" t="str">
        <f>IF(OR(E4244="",E4244="!!!"),"",IF(OR(J4244=0,AND(J4244=1,K4244=1),AND(J4244=1,I4244="SBJ"),AND(J4244=1,I4244=0)),"?IN_FOCUS",IF(J4244&lt;=2,"?ACTIVATED",IF(J4244&lt;&gt;"","?FAMILIAR",IF(F4244="NEW",IF(ISNA(VLOOKUP(E4244,#REF!,1,FALSE())),"?TYPE_IDENTIFIABLE","?REFERENTIAL"),"_")))))</f>
        <v> </v>
      </c>
      <c r="H4244" s="24" t="str">
        <f>IF(J4244&lt;&gt;1,"",IF(I4244="SBJ","CB","?"))</f>
        <v> </v>
      </c>
      <c r="I4244" s="25" t="str">
        <f>IF(OR(E4244="",E4244="!!!",F4244="NEW"),"",INDEX(B4243:B$2,-1+SUMPRODUCT(MAX(ROW(E4243:E$2)*(E4244=E4243:E$2)))))</f>
        <v> </v>
      </c>
      <c r="J4244" s="25" t="str">
        <f>IF(OR(E4244="",E4244="!!!",F4244="NEW"),"",COUNTBLANK(OFFSET(A$1,,,SUMPRODUCT(MAX(ROW(E$2:E4244)*(E4244=E$2:E4244)))))-COUNTBLANK(OFFSET(A$1,,,SUMPRODUCT(MAX(ROW(E$1:E4243)*(E2=E$1:E4243))))))</f>
        <v> </v>
      </c>
      <c r="K4244" s="25" t="str">
        <f>IF(OR(E4244="",E4244="!!!",F4244="NEW"),"",INDEX(J$1:J4243,SUMPRODUCT(MAX(ROW(E$1:E4243)*(E4244=E$1:E4243)))))</f>
        <v> </v>
      </c>
      <c r="L4244" s="26"/>
    </row>
    <row r="4245" spans="1:12">
      <c r="A4245" s="20" t="s">
        <v>2989</v>
      </c>
      <c r="E4245" s="21">
        <f>IF(D4245="?OLD","!!!","")</f>
        <v/>
      </c>
      <c r="F4245" s="22" t="str">
        <f>IF(OR(E4245="",E4245="!!!"),"",IF(NOT(ISNA(VLOOKUP(E4245,E$1:E4244,1,FALSE()))),"OLD",IF(AND(E4245&lt;&gt;"",E4245&lt;&gt;"!!!"),"NEW","")))</f>
        <v> </v>
      </c>
      <c r="G4245" s="23" t="str">
        <f>IF(OR(E4245="",E4245="!!!"),"",IF(OR(J4245=0,AND(J4245=1,K4245=1),AND(J4245=1,I4245="SBJ"),AND(J4245=1,I4245=0)),"?IN_FOCUS",IF(J4245&lt;=2,"?ACTIVATED",IF(J4245&lt;&gt;"","?FAMILIAR",IF(F4245="NEW",IF(ISNA(VLOOKUP(E4245,#REF!,1,FALSE())),"?TYPE_IDENTIFIABLE","?REFERENTIAL"),"_")))))</f>
        <v> </v>
      </c>
      <c r="H4245" s="24" t="str">
        <f>IF(J4245&lt;&gt;1,"",IF(I4245="SBJ","CB","?"))</f>
        <v> </v>
      </c>
      <c r="I4245" s="25" t="str">
        <f>IF(OR(E4245="",E4245="!!!",F4245="NEW"),"",INDEX(B4244:B$2,-1+SUMPRODUCT(MAX(ROW(E4244:E$2)*(E4245=E4244:E$2)))))</f>
        <v> </v>
      </c>
      <c r="J4245" s="25" t="str">
        <f>IF(OR(E4245="",E4245="!!!",F4245="NEW"),"",COUNTBLANK(OFFSET(A$1,,,SUMPRODUCT(MAX(ROW(E$2:E4245)*(E4245=E$2:E4245)))))-COUNTBLANK(OFFSET(A$1,,,SUMPRODUCT(MAX(ROW(E$1:E4244)*(E2=E$1:E4244))))))</f>
        <v> </v>
      </c>
      <c r="K4245" s="25" t="str">
        <f>IF(OR(E4245="",E4245="!!!",F4245="NEW"),"",INDEX(J$1:J4244,SUMPRODUCT(MAX(ROW(E$1:E4244)*(E4245=E$1:E4244)))))</f>
        <v> </v>
      </c>
      <c r="L4245" s="26"/>
    </row>
    <row r="4246" spans="1:12">
      <c r="A4246" s="20" t="s">
        <v>1145</v>
      </c>
      <c r="E4246" s="21">
        <f>IF(D4246="?OLD","!!!","")</f>
        <v/>
      </c>
      <c r="F4246" s="22" t="str">
        <f>IF(OR(E4246="",E4246="!!!"),"",IF(NOT(ISNA(VLOOKUP(E4246,E$1:E4245,1,FALSE()))),"OLD",IF(AND(E4246&lt;&gt;"",E4246&lt;&gt;"!!!"),"NEW","")))</f>
        <v> </v>
      </c>
      <c r="G4246" s="23" t="str">
        <f>IF(OR(E4246="",E4246="!!!"),"",IF(OR(J4246=0,AND(J4246=1,K4246=1),AND(J4246=1,I4246="SBJ"),AND(J4246=1,I4246=0)),"?IN_FOCUS",IF(J4246&lt;=2,"?ACTIVATED",IF(J4246&lt;&gt;"","?FAMILIAR",IF(F4246="NEW",IF(ISNA(VLOOKUP(E4246,#REF!,1,FALSE())),"?TYPE_IDENTIFIABLE","?REFERENTIAL"),"_")))))</f>
        <v> </v>
      </c>
      <c r="H4246" s="24" t="str">
        <f>IF(J4246&lt;&gt;1,"",IF(I4246="SBJ","CB","?"))</f>
        <v> </v>
      </c>
      <c r="I4246" s="25" t="str">
        <f>IF(OR(E4246="",E4246="!!!",F4246="NEW"),"",INDEX(B4245:B$2,-1+SUMPRODUCT(MAX(ROW(E4245:E$2)*(E4246=E4245:E$2)))))</f>
        <v> </v>
      </c>
      <c r="J4246" s="25" t="str">
        <f>IF(OR(E4246="",E4246="!!!",F4246="NEW"),"",COUNTBLANK(OFFSET(A$1,,,SUMPRODUCT(MAX(ROW(E$2:E4246)*(E4246=E$2:E4246)))))-COUNTBLANK(OFFSET(A$1,,,SUMPRODUCT(MAX(ROW(E$1:E4245)*(E2=E$1:E4245))))))</f>
        <v> </v>
      </c>
      <c r="K4246" s="25" t="str">
        <f>IF(OR(E4246="",E4246="!!!",F4246="NEW"),"",INDEX(J$1:J4245,SUMPRODUCT(MAX(ROW(E$1:E4245)*(E4246=E$1:E4245)))))</f>
        <v> </v>
      </c>
      <c r="L4246" s="26"/>
    </row>
    <row r="4247" spans="1:12">
      <c r="A4247" s="20"/>
    </row>
    <row r="4248" spans="1:12">
      <c r="A4248" s="20" t="s">
        <v>2990</v>
      </c>
    </row>
    <row r="4249" spans="1:12">
      <c r="A4249" s="20" t="s">
        <v>1433</v>
      </c>
      <c r="E4249" s="21">
        <f>IF(D4249="?OLD","!!!","")</f>
        <v/>
      </c>
      <c r="F4249" s="22" t="str">
        <f>IF(OR(E4249="",E4249="!!!"),"",IF(NOT(ISNA(VLOOKUP(E4249,E$1:E4248,1,FALSE()))),"OLD",IF(AND(E4249&lt;&gt;"",E4249&lt;&gt;"!!!"),"NEW","")))</f>
        <v> </v>
      </c>
      <c r="G4249" s="23" t="str">
        <f>IF(OR(E4249="",E4249="!!!"),"",IF(OR(J4249=0,AND(J4249=1,K4249=1),AND(J4249=1,I4249="SBJ"),AND(J4249=1,I4249=0)),"?IN_FOCUS",IF(J4249&lt;=2,"?ACTIVATED",IF(J4249&lt;&gt;"","?FAMILIAR",IF(F4249="NEW",IF(ISNA(VLOOKUP(E4249,#REF!,1,FALSE())),"?TYPE_IDENTIFIABLE","?REFERENTIAL"),"_")))))</f>
        <v> </v>
      </c>
      <c r="H4249" s="24" t="str">
        <f>IF(J4249&lt;&gt;1,"",IF(I4249="SBJ","CB","?"))</f>
        <v> </v>
      </c>
      <c r="I4249" s="25" t="str">
        <f>IF(OR(E4249="",E4249="!!!",F4249="NEW"),"",INDEX(B4248:B$2,-1+SUMPRODUCT(MAX(ROW(E4248:E$2)*(E4249=E4248:E$2)))))</f>
        <v> </v>
      </c>
      <c r="J4249" s="25" t="str">
        <f>IF(OR(E4249="",E4249="!!!",F4249="NEW"),"",COUNTBLANK(OFFSET(A$1,,,SUMPRODUCT(MAX(ROW(E$2:E4249)*(E4249=E$2:E4249)))))-COUNTBLANK(OFFSET(A$1,,,SUMPRODUCT(MAX(ROW(E$1:E4248)*(E2=E$1:E4248))))))</f>
        <v> </v>
      </c>
      <c r="K4249" s="25" t="str">
        <f>IF(OR(E4249="",E4249="!!!",F4249="NEW"),"",INDEX(J$1:J4248,SUMPRODUCT(MAX(ROW(E$1:E4248)*(E4249=E$1:E4248)))))</f>
        <v> </v>
      </c>
      <c r="L4249" s="26"/>
    </row>
    <row r="4250" spans="1:12">
      <c r="A4250" s="20" t="s">
        <v>1123</v>
      </c>
      <c r="E4250" s="21">
        <f>IF(D4250="?OLD","!!!","")</f>
        <v/>
      </c>
      <c r="F4250" s="22" t="str">
        <f>IF(OR(E4250="",E4250="!!!"),"",IF(NOT(ISNA(VLOOKUP(E4250,E$1:E4249,1,FALSE()))),"OLD",IF(AND(E4250&lt;&gt;"",E4250&lt;&gt;"!!!"),"NEW","")))</f>
        <v> </v>
      </c>
      <c r="G4250" s="23" t="str">
        <f>IF(OR(E4250="",E4250="!!!"),"",IF(OR(J4250=0,AND(J4250=1,K4250=1),AND(J4250=1,I4250="SBJ"),AND(J4250=1,I4250=0)),"?IN_FOCUS",IF(J4250&lt;=2,"?ACTIVATED",IF(J4250&lt;&gt;"","?FAMILIAR",IF(F4250="NEW",IF(ISNA(VLOOKUP(E4250,#REF!,1,FALSE())),"?TYPE_IDENTIFIABLE","?REFERENTIAL"),"_")))))</f>
        <v> </v>
      </c>
      <c r="H4250" s="24" t="str">
        <f>IF(J4250&lt;&gt;1,"",IF(I4250="SBJ","CB","?"))</f>
        <v> </v>
      </c>
      <c r="I4250" s="25" t="str">
        <f>IF(OR(E4250="",E4250="!!!",F4250="NEW"),"",INDEX(B4249:B$2,-1+SUMPRODUCT(MAX(ROW(E4249:E$2)*(E4250=E4249:E$2)))))</f>
        <v> </v>
      </c>
      <c r="J4250" s="25" t="str">
        <f>IF(OR(E4250="",E4250="!!!",F4250="NEW"),"",COUNTBLANK(OFFSET(A$1,,,SUMPRODUCT(MAX(ROW(E$2:E4250)*(E4250=E$2:E4250)))))-COUNTBLANK(OFFSET(A$1,,,SUMPRODUCT(MAX(ROW(E$1:E4249)*(E2=E$1:E4249))))))</f>
        <v> </v>
      </c>
      <c r="K4250" s="25" t="str">
        <f>IF(OR(E4250="",E4250="!!!",F4250="NEW"),"",INDEX(J$1:J4249,SUMPRODUCT(MAX(ROW(E$1:E4249)*(E4250=E$1:E4249)))))</f>
        <v> </v>
      </c>
      <c r="L4250" s="26"/>
    </row>
    <row r="4251" spans="1:12">
      <c r="A4251" s="20" t="s">
        <v>1537</v>
      </c>
      <c r="E4251" s="21">
        <f>IF(D4251="?OLD","!!!","")</f>
        <v/>
      </c>
      <c r="F4251" s="22" t="str">
        <f>IF(OR(E4251="",E4251="!!!"),"",IF(NOT(ISNA(VLOOKUP(E4251,E$1:E4250,1,FALSE()))),"OLD",IF(AND(E4251&lt;&gt;"",E4251&lt;&gt;"!!!"),"NEW","")))</f>
        <v> </v>
      </c>
      <c r="G4251" s="23" t="str">
        <f>IF(OR(E4251="",E4251="!!!"),"",IF(OR(J4251=0,AND(J4251=1,K4251=1),AND(J4251=1,I4251="SBJ"),AND(J4251=1,I4251=0)),"?IN_FOCUS",IF(J4251&lt;=2,"?ACTIVATED",IF(J4251&lt;&gt;"","?FAMILIAR",IF(F4251="NEW",IF(ISNA(VLOOKUP(E4251,#REF!,1,FALSE())),"?TYPE_IDENTIFIABLE","?REFERENTIAL"),"_")))))</f>
        <v> </v>
      </c>
      <c r="H4251" s="24" t="str">
        <f>IF(J4251&lt;&gt;1,"",IF(I4251="SBJ","CB","?"))</f>
        <v> </v>
      </c>
      <c r="I4251" s="25" t="str">
        <f>IF(OR(E4251="",E4251="!!!",F4251="NEW"),"",INDEX(B4250:B$2,-1+SUMPRODUCT(MAX(ROW(E4250:E$2)*(E4251=E4250:E$2)))))</f>
        <v> </v>
      </c>
      <c r="J4251" s="25" t="str">
        <f>IF(OR(E4251="",E4251="!!!",F4251="NEW"),"",COUNTBLANK(OFFSET(A$1,,,SUMPRODUCT(MAX(ROW(E$2:E4251)*(E4251=E$2:E4251)))))-COUNTBLANK(OFFSET(A$1,,,SUMPRODUCT(MAX(ROW(E$1:E4250)*(E2=E$1:E4250))))))</f>
        <v> </v>
      </c>
      <c r="K4251" s="25" t="str">
        <f>IF(OR(E4251="",E4251="!!!",F4251="NEW"),"",INDEX(J$1:J4250,SUMPRODUCT(MAX(ROW(E$1:E4250)*(E4251=E$1:E4250)))))</f>
        <v> </v>
      </c>
      <c r="L4251" s="26"/>
    </row>
    <row r="4252" spans="1:12">
      <c r="A4252" s="20" t="s">
        <v>1123</v>
      </c>
      <c r="E4252" s="21">
        <f>IF(D4252="?OLD","!!!","")</f>
        <v/>
      </c>
      <c r="F4252" s="22" t="str">
        <f>IF(OR(E4252="",E4252="!!!"),"",IF(NOT(ISNA(VLOOKUP(E4252,E$1:E4251,1,FALSE()))),"OLD",IF(AND(E4252&lt;&gt;"",E4252&lt;&gt;"!!!"),"NEW","")))</f>
        <v> </v>
      </c>
      <c r="G4252" s="23" t="str">
        <f>IF(OR(E4252="",E4252="!!!"),"",IF(OR(J4252=0,AND(J4252=1,K4252=1),AND(J4252=1,I4252="SBJ"),AND(J4252=1,I4252=0)),"?IN_FOCUS",IF(J4252&lt;=2,"?ACTIVATED",IF(J4252&lt;&gt;"","?FAMILIAR",IF(F4252="NEW",IF(ISNA(VLOOKUP(E4252,#REF!,1,FALSE())),"?TYPE_IDENTIFIABLE","?REFERENTIAL"),"_")))))</f>
        <v> </v>
      </c>
      <c r="H4252" s="24" t="str">
        <f>IF(J4252&lt;&gt;1,"",IF(I4252="SBJ","CB","?"))</f>
        <v> </v>
      </c>
      <c r="I4252" s="25" t="str">
        <f>IF(OR(E4252="",E4252="!!!",F4252="NEW"),"",INDEX(B4251:B$2,-1+SUMPRODUCT(MAX(ROW(E4251:E$2)*(E4252=E4251:E$2)))))</f>
        <v> </v>
      </c>
      <c r="J4252" s="25" t="str">
        <f>IF(OR(E4252="",E4252="!!!",F4252="NEW"),"",COUNTBLANK(OFFSET(A$1,,,SUMPRODUCT(MAX(ROW(E$2:E4252)*(E4252=E$2:E4252)))))-COUNTBLANK(OFFSET(A$1,,,SUMPRODUCT(MAX(ROW(E$1:E4251)*(E2=E$1:E4251))))))</f>
        <v> </v>
      </c>
      <c r="K4252" s="25" t="str">
        <f>IF(OR(E4252="",E4252="!!!",F4252="NEW"),"",INDEX(J$1:J4251,SUMPRODUCT(MAX(ROW(E$1:E4251)*(E4252=E$1:E4251)))))</f>
        <v> </v>
      </c>
      <c r="L4252" s="26"/>
    </row>
    <row r="4253" spans="1:12">
      <c r="A4253" s="20" t="s">
        <v>1507</v>
      </c>
      <c r="B4253" s="27" t="s">
        <v>1149</v>
      </c>
      <c r="C4253" s="27" t="s">
        <v>1108</v>
      </c>
      <c r="D4253" s="27" t="s">
        <v>1105</v>
      </c>
      <c r="E4253" s="21">
        <f>IF(D4253="?OLD","!!!","")</f>
        <v/>
      </c>
      <c r="F4253" s="22" t="str">
        <f>IF(OR(E4253="",E4253="!!!"),"",IF(NOT(ISNA(VLOOKUP(E4253,E$1:E4252,1,FALSE()))),"OLD",IF(AND(E4253&lt;&gt;"",E4253&lt;&gt;"!!!"),"NEW","")))</f>
        <v> </v>
      </c>
      <c r="G4253" s="23" t="str">
        <f>IF(OR(E4253="",E4253="!!!"),"",IF(OR(J4253=0,AND(J4253=1,K4253=1),AND(J4253=1,I4253="SBJ"),AND(J4253=1,I4253=0)),"?IN_FOCUS",IF(J4253&lt;=2,"?ACTIVATED",IF(J4253&lt;&gt;"","?FAMILIAR",IF(F4253="NEW",IF(ISNA(VLOOKUP(E4253,#REF!,1,FALSE())),"?TYPE_IDENTIFIABLE","?REFERENTIAL"),"_")))))</f>
        <v> </v>
      </c>
      <c r="H4253" s="24" t="str">
        <f>IF(J4253&lt;&gt;1,"",IF(I4253="SBJ","CB","?"))</f>
        <v> </v>
      </c>
      <c r="I4253" s="25" t="str">
        <f>IF(OR(E4253="",E4253="!!!",F4253="NEW"),"",INDEX(B4252:B$2,-1+SUMPRODUCT(MAX(ROW(E4252:E$2)*(E4253=E4252:E$2)))))</f>
        <v> </v>
      </c>
      <c r="J4253" s="25" t="str">
        <f>IF(OR(E4253="",E4253="!!!",F4253="NEW"),"",COUNTBLANK(OFFSET(A$1,,,SUMPRODUCT(MAX(ROW(E$2:E4253)*(E4253=E$2:E4253)))))-COUNTBLANK(OFFSET(A$1,,,SUMPRODUCT(MAX(ROW(E$1:E4252)*(E2=E$1:E4252))))))</f>
        <v> </v>
      </c>
      <c r="K4253" s="25" t="str">
        <f>IF(OR(E4253="",E4253="!!!",F4253="NEW"),"",INDEX(J$1:J4252,SUMPRODUCT(MAX(ROW(E$1:E4252)*(E4253=E$1:E4252)))))</f>
        <v> </v>
      </c>
      <c r="L4253" s="26"/>
    </row>
    <row r="4254" spans="1:12">
      <c r="A4254" s="20" t="s">
        <v>1128</v>
      </c>
      <c r="E4254" s="21">
        <f>IF(D4254="?OLD","!!!","")</f>
        <v/>
      </c>
      <c r="F4254" s="22" t="str">
        <f>IF(OR(E4254="",E4254="!!!"),"",IF(NOT(ISNA(VLOOKUP(E4254,E$1:E4253,1,FALSE()))),"OLD",IF(AND(E4254&lt;&gt;"",E4254&lt;&gt;"!!!"),"NEW","")))</f>
        <v> </v>
      </c>
      <c r="G4254" s="23" t="str">
        <f>IF(OR(E4254="",E4254="!!!"),"",IF(OR(J4254=0,AND(J4254=1,K4254=1),AND(J4254=1,I4254="SBJ"),AND(J4254=1,I4254=0)),"?IN_FOCUS",IF(J4254&lt;=2,"?ACTIVATED",IF(J4254&lt;&gt;"","?FAMILIAR",IF(F4254="NEW",IF(ISNA(VLOOKUP(E4254,#REF!,1,FALSE())),"?TYPE_IDENTIFIABLE","?REFERENTIAL"),"_")))))</f>
        <v> </v>
      </c>
      <c r="H4254" s="24" t="str">
        <f>IF(J4254&lt;&gt;1,"",IF(I4254="SBJ","CB","?"))</f>
        <v> </v>
      </c>
      <c r="I4254" s="25" t="str">
        <f>IF(OR(E4254="",E4254="!!!",F4254="NEW"),"",INDEX(B4253:B$2,-1+SUMPRODUCT(MAX(ROW(E4253:E$2)*(E4254=E4253:E$2)))))</f>
        <v> </v>
      </c>
      <c r="J4254" s="25" t="str">
        <f>IF(OR(E4254="",E4254="!!!",F4254="NEW"),"",COUNTBLANK(OFFSET(A$1,,,SUMPRODUCT(MAX(ROW(E$2:E4254)*(E4254=E$2:E4254)))))-COUNTBLANK(OFFSET(A$1,,,SUMPRODUCT(MAX(ROW(E$1:E4253)*(E2=E$1:E4253))))))</f>
        <v> </v>
      </c>
      <c r="K4254" s="25" t="str">
        <f>IF(OR(E4254="",E4254="!!!",F4254="NEW"),"",INDEX(J$1:J4253,SUMPRODUCT(MAX(ROW(E$1:E4253)*(E4254=E$1:E4253)))))</f>
        <v> </v>
      </c>
      <c r="L4254" s="26"/>
    </row>
    <row r="4255" spans="1:12">
      <c r="A4255" s="20" t="s">
        <v>2638</v>
      </c>
      <c r="E4255" s="21">
        <f>IF(D4255="?OLD","!!!","")</f>
        <v/>
      </c>
      <c r="F4255" s="22" t="str">
        <f>IF(OR(E4255="",E4255="!!!"),"",IF(NOT(ISNA(VLOOKUP(E4255,E$1:E4254,1,FALSE()))),"OLD",IF(AND(E4255&lt;&gt;"",E4255&lt;&gt;"!!!"),"NEW","")))</f>
        <v> </v>
      </c>
      <c r="G4255" s="23" t="str">
        <f>IF(OR(E4255="",E4255="!!!"),"",IF(OR(J4255=0,AND(J4255=1,K4255=1),AND(J4255=1,I4255="SBJ"),AND(J4255=1,I4255=0)),"?IN_FOCUS",IF(J4255&lt;=2,"?ACTIVATED",IF(J4255&lt;&gt;"","?FAMILIAR",IF(F4255="NEW",IF(ISNA(VLOOKUP(E4255,#REF!,1,FALSE())),"?TYPE_IDENTIFIABLE","?REFERENTIAL"),"_")))))</f>
        <v> </v>
      </c>
      <c r="H4255" s="24" t="str">
        <f>IF(J4255&lt;&gt;1,"",IF(I4255="SBJ","CB","?"))</f>
        <v> </v>
      </c>
      <c r="I4255" s="25" t="str">
        <f>IF(OR(E4255="",E4255="!!!",F4255="NEW"),"",INDEX(B4254:B$2,-1+SUMPRODUCT(MAX(ROW(E4254:E$2)*(E4255=E4254:E$2)))))</f>
        <v> </v>
      </c>
      <c r="J4255" s="25" t="str">
        <f>IF(OR(E4255="",E4255="!!!",F4255="NEW"),"",COUNTBLANK(OFFSET(A$1,,,SUMPRODUCT(MAX(ROW(E$2:E4255)*(E4255=E$2:E4255)))))-COUNTBLANK(OFFSET(A$1,,,SUMPRODUCT(MAX(ROW(E$1:E4254)*(E2=E$1:E4254))))))</f>
        <v> </v>
      </c>
      <c r="K4255" s="25" t="str">
        <f>IF(OR(E4255="",E4255="!!!",F4255="NEW"),"",INDEX(J$1:J4254,SUMPRODUCT(MAX(ROW(E$1:E4254)*(E4255=E$1:E4254)))))</f>
        <v> </v>
      </c>
      <c r="L4255" s="26"/>
    </row>
    <row r="4256" spans="1:12">
      <c r="A4256" s="20" t="s">
        <v>2938</v>
      </c>
      <c r="E4256" s="21">
        <f>IF(D4256="?OLD","!!!","")</f>
        <v/>
      </c>
      <c r="F4256" s="22" t="str">
        <f>IF(OR(E4256="",E4256="!!!"),"",IF(NOT(ISNA(VLOOKUP(E4256,E$1:E4255,1,FALSE()))),"OLD",IF(AND(E4256&lt;&gt;"",E4256&lt;&gt;"!!!"),"NEW","")))</f>
        <v> </v>
      </c>
      <c r="G4256" s="23" t="str">
        <f>IF(OR(E4256="",E4256="!!!"),"",IF(OR(J4256=0,AND(J4256=1,K4256=1),AND(J4256=1,I4256="SBJ"),AND(J4256=1,I4256=0)),"?IN_FOCUS",IF(J4256&lt;=2,"?ACTIVATED",IF(J4256&lt;&gt;"","?FAMILIAR",IF(F4256="NEW",IF(ISNA(VLOOKUP(E4256,#REF!,1,FALSE())),"?TYPE_IDENTIFIABLE","?REFERENTIAL"),"_")))))</f>
        <v> </v>
      </c>
      <c r="H4256" s="24" t="str">
        <f>IF(J4256&lt;&gt;1,"",IF(I4256="SBJ","CB","?"))</f>
        <v> </v>
      </c>
      <c r="I4256" s="25" t="str">
        <f>IF(OR(E4256="",E4256="!!!",F4256="NEW"),"",INDEX(B4255:B$2,-1+SUMPRODUCT(MAX(ROW(E4255:E$2)*(E4256=E4255:E$2)))))</f>
        <v> </v>
      </c>
      <c r="J4256" s="25" t="str">
        <f>IF(OR(E4256="",E4256="!!!",F4256="NEW"),"",COUNTBLANK(OFFSET(A$1,,,SUMPRODUCT(MAX(ROW(E$2:E4256)*(E4256=E$2:E4256)))))-COUNTBLANK(OFFSET(A$1,,,SUMPRODUCT(MAX(ROW(E$1:E4255)*(E2=E$1:E4255))))))</f>
        <v> </v>
      </c>
      <c r="K4256" s="25" t="str">
        <f>IF(OR(E4256="",E4256="!!!",F4256="NEW"),"",INDEX(J$1:J4255,SUMPRODUCT(MAX(ROW(E$1:E4255)*(E4256=E$1:E4255)))))</f>
        <v> </v>
      </c>
      <c r="L4256" s="26"/>
    </row>
    <row r="4257" spans="1:12">
      <c r="A4257" s="20" t="s">
        <v>2991</v>
      </c>
      <c r="B4257" s="27" t="s">
        <v>1213</v>
      </c>
      <c r="E4257" s="21">
        <f>IF(D4257="?OLD","!!!","")</f>
        <v/>
      </c>
      <c r="F4257" s="22" t="str">
        <f>IF(OR(E4257="",E4257="!!!"),"",IF(NOT(ISNA(VLOOKUP(E4257,E$1:E4256,1,FALSE()))),"OLD",IF(AND(E4257&lt;&gt;"",E4257&lt;&gt;"!!!"),"NEW","")))</f>
        <v> </v>
      </c>
      <c r="G4257" s="23" t="str">
        <f>IF(OR(E4257="",E4257="!!!"),"",IF(OR(J4257=0,AND(J4257=1,K4257=1),AND(J4257=1,I4257="SBJ"),AND(J4257=1,I4257=0)),"?IN_FOCUS",IF(J4257&lt;=2,"?ACTIVATED",IF(J4257&lt;&gt;"","?FAMILIAR",IF(F4257="NEW",IF(ISNA(VLOOKUP(E4257,#REF!,1,FALSE())),"?TYPE_IDENTIFIABLE","?REFERENTIAL"),"_")))))</f>
        <v> </v>
      </c>
      <c r="H4257" s="24" t="str">
        <f>IF(J4257&lt;&gt;1,"",IF(I4257="SBJ","CB","?"))</f>
        <v> </v>
      </c>
      <c r="I4257" s="25" t="str">
        <f>IF(OR(E4257="",E4257="!!!",F4257="NEW"),"",INDEX(B4256:B$2,-1+SUMPRODUCT(MAX(ROW(E4256:E$2)*(E4257=E4256:E$2)))))</f>
        <v> </v>
      </c>
      <c r="J4257" s="25" t="str">
        <f>IF(OR(E4257="",E4257="!!!",F4257="NEW"),"",COUNTBLANK(OFFSET(A$1,,,SUMPRODUCT(MAX(ROW(E$2:E4257)*(E4257=E$2:E4257)))))-COUNTBLANK(OFFSET(A$1,,,SUMPRODUCT(MAX(ROW(E$1:E4256)*(E2=E$1:E4256))))))</f>
        <v> </v>
      </c>
      <c r="K4257" s="25" t="str">
        <f>IF(OR(E4257="",E4257="!!!",F4257="NEW"),"",INDEX(J$1:J4256,SUMPRODUCT(MAX(ROW(E$1:E4256)*(E4257=E$1:E4256)))))</f>
        <v> </v>
      </c>
      <c r="L4257" s="26"/>
    </row>
    <row r="4258" spans="1:12">
      <c r="A4258" s="20" t="s">
        <v>1145</v>
      </c>
      <c r="E4258" s="21">
        <f>IF(D4258="?OLD","!!!","")</f>
        <v/>
      </c>
      <c r="F4258" s="22" t="str">
        <f>IF(OR(E4258="",E4258="!!!"),"",IF(NOT(ISNA(VLOOKUP(E4258,E$1:E4257,1,FALSE()))),"OLD",IF(AND(E4258&lt;&gt;"",E4258&lt;&gt;"!!!"),"NEW","")))</f>
        <v> </v>
      </c>
      <c r="G4258" s="23" t="str">
        <f>IF(OR(E4258="",E4258="!!!"),"",IF(OR(J4258=0,AND(J4258=1,K4258=1),AND(J4258=1,I4258="SBJ"),AND(J4258=1,I4258=0)),"?IN_FOCUS",IF(J4258&lt;=2,"?ACTIVATED",IF(J4258&lt;&gt;"","?FAMILIAR",IF(F4258="NEW",IF(ISNA(VLOOKUP(E4258,#REF!,1,FALSE())),"?TYPE_IDENTIFIABLE","?REFERENTIAL"),"_")))))</f>
        <v> </v>
      </c>
      <c r="H4258" s="24" t="str">
        <f>IF(J4258&lt;&gt;1,"",IF(I4258="SBJ","CB","?"))</f>
        <v> </v>
      </c>
      <c r="I4258" s="25" t="str">
        <f>IF(OR(E4258="",E4258="!!!",F4258="NEW"),"",INDEX(B4257:B$2,-1+SUMPRODUCT(MAX(ROW(E4257:E$2)*(E4258=E4257:E$2)))))</f>
        <v> </v>
      </c>
      <c r="J4258" s="25" t="str">
        <f>IF(OR(E4258="",E4258="!!!",F4258="NEW"),"",COUNTBLANK(OFFSET(A$1,,,SUMPRODUCT(MAX(ROW(E$2:E4258)*(E4258=E$2:E4258)))))-COUNTBLANK(OFFSET(A$1,,,SUMPRODUCT(MAX(ROW(E$1:E4257)*(E2=E$1:E4257))))))</f>
        <v> </v>
      </c>
      <c r="K4258" s="25" t="str">
        <f>IF(OR(E4258="",E4258="!!!",F4258="NEW"),"",INDEX(J$1:J4257,SUMPRODUCT(MAX(ROW(E$1:E4257)*(E4258=E$1:E4257)))))</f>
        <v> </v>
      </c>
      <c r="L4258" s="26"/>
    </row>
    <row r="4259" spans="1:12">
      <c r="A4259" s="20"/>
    </row>
    <row r="4260" spans="1:12">
      <c r="A4260" s="20" t="s">
        <v>2992</v>
      </c>
    </row>
    <row r="4261" spans="1:12">
      <c r="A4261" s="20" t="s">
        <v>2993</v>
      </c>
      <c r="E4261" s="21">
        <f>IF(D4261="?OLD","!!!","")</f>
        <v/>
      </c>
      <c r="F4261" s="22" t="str">
        <f>IF(OR(E4261="",E4261="!!!"),"",IF(NOT(ISNA(VLOOKUP(E4261,E$1:E4260,1,FALSE()))),"OLD",IF(AND(E4261&lt;&gt;"",E4261&lt;&gt;"!!!"),"NEW","")))</f>
        <v> </v>
      </c>
      <c r="G4261" s="23" t="str">
        <f>IF(OR(E4261="",E4261="!!!"),"",IF(OR(J4261=0,AND(J4261=1,K4261=1),AND(J4261=1,I4261="SBJ"),AND(J4261=1,I4261=0)),"?IN_FOCUS",IF(J4261&lt;=2,"?ACTIVATED",IF(J4261&lt;&gt;"","?FAMILIAR",IF(F4261="NEW",IF(ISNA(VLOOKUP(E4261,#REF!,1,FALSE())),"?TYPE_IDENTIFIABLE","?REFERENTIAL"),"_")))))</f>
        <v> </v>
      </c>
      <c r="H4261" s="24" t="str">
        <f>IF(J4261&lt;&gt;1,"",IF(I4261="SBJ","CB","?"))</f>
        <v> </v>
      </c>
      <c r="I4261" s="25" t="str">
        <f>IF(OR(E4261="",E4261="!!!",F4261="NEW"),"",INDEX(B4260:B$2,-1+SUMPRODUCT(MAX(ROW(E4260:E$2)*(E4261=E4260:E$2)))))</f>
        <v> </v>
      </c>
      <c r="J4261" s="25" t="str">
        <f>IF(OR(E4261="",E4261="!!!",F4261="NEW"),"",COUNTBLANK(OFFSET(A$1,,,SUMPRODUCT(MAX(ROW(E$2:E4261)*(E4261=E$2:E4261)))))-COUNTBLANK(OFFSET(A$1,,,SUMPRODUCT(MAX(ROW(E$1:E4260)*(E2=E$1:E4260))))))</f>
        <v> </v>
      </c>
      <c r="K4261" s="25" t="str">
        <f>IF(OR(E4261="",E4261="!!!",F4261="NEW"),"",INDEX(J$1:J4260,SUMPRODUCT(MAX(ROW(E$1:E4260)*(E4261=E$1:E4260)))))</f>
        <v> </v>
      </c>
      <c r="L4261" s="26"/>
    </row>
    <row r="4262" spans="1:12">
      <c r="A4262" s="20" t="s">
        <v>2994</v>
      </c>
      <c r="E4262" s="21">
        <f>IF(D4262="?OLD","!!!","")</f>
        <v/>
      </c>
      <c r="F4262" s="22" t="str">
        <f>IF(OR(E4262="",E4262="!!!"),"",IF(NOT(ISNA(VLOOKUP(E4262,E$1:E4261,1,FALSE()))),"OLD",IF(AND(E4262&lt;&gt;"",E4262&lt;&gt;"!!!"),"NEW","")))</f>
        <v> </v>
      </c>
      <c r="G4262" s="23" t="str">
        <f>IF(OR(E4262="",E4262="!!!"),"",IF(OR(J4262=0,AND(J4262=1,K4262=1),AND(J4262=1,I4262="SBJ"),AND(J4262=1,I4262=0)),"?IN_FOCUS",IF(J4262&lt;=2,"?ACTIVATED",IF(J4262&lt;&gt;"","?FAMILIAR",IF(F4262="NEW",IF(ISNA(VLOOKUP(E4262,#REF!,1,FALSE())),"?TYPE_IDENTIFIABLE","?REFERENTIAL"),"_")))))</f>
        <v> </v>
      </c>
      <c r="H4262" s="24" t="str">
        <f>IF(J4262&lt;&gt;1,"",IF(I4262="SBJ","CB","?"))</f>
        <v> </v>
      </c>
      <c r="I4262" s="25" t="str">
        <f>IF(OR(E4262="",E4262="!!!",F4262="NEW"),"",INDEX(B4261:B$2,-1+SUMPRODUCT(MAX(ROW(E4261:E$2)*(E4262=E4261:E$2)))))</f>
        <v> </v>
      </c>
      <c r="J4262" s="25" t="str">
        <f>IF(OR(E4262="",E4262="!!!",F4262="NEW"),"",COUNTBLANK(OFFSET(A$1,,,SUMPRODUCT(MAX(ROW(E$2:E4262)*(E4262=E$2:E4262)))))-COUNTBLANK(OFFSET(A$1,,,SUMPRODUCT(MAX(ROW(E$1:E4261)*(E2=E$1:E4261))))))</f>
        <v> </v>
      </c>
      <c r="K4262" s="25" t="str">
        <f>IF(OR(E4262="",E4262="!!!",F4262="NEW"),"",INDEX(J$1:J4261,SUMPRODUCT(MAX(ROW(E$1:E4261)*(E4262=E$1:E4261)))))</f>
        <v> </v>
      </c>
      <c r="L4262" s="26"/>
    </row>
    <row r="4263" spans="1:12">
      <c r="A4263" s="20" t="s">
        <v>2995</v>
      </c>
      <c r="E4263" s="21">
        <f>IF(D4263="?OLD","!!!","")</f>
        <v/>
      </c>
      <c r="F4263" s="22" t="str">
        <f>IF(OR(E4263="",E4263="!!!"),"",IF(NOT(ISNA(VLOOKUP(E4263,E$1:E4262,1,FALSE()))),"OLD",IF(AND(E4263&lt;&gt;"",E4263&lt;&gt;"!!!"),"NEW","")))</f>
        <v> </v>
      </c>
      <c r="G4263" s="23" t="str">
        <f>IF(OR(E4263="",E4263="!!!"),"",IF(OR(J4263=0,AND(J4263=1,K4263=1),AND(J4263=1,I4263="SBJ"),AND(J4263=1,I4263=0)),"?IN_FOCUS",IF(J4263&lt;=2,"?ACTIVATED",IF(J4263&lt;&gt;"","?FAMILIAR",IF(F4263="NEW",IF(ISNA(VLOOKUP(E4263,#REF!,1,FALSE())),"?TYPE_IDENTIFIABLE","?REFERENTIAL"),"_")))))</f>
        <v> </v>
      </c>
      <c r="H4263" s="24" t="str">
        <f>IF(J4263&lt;&gt;1,"",IF(I4263="SBJ","CB","?"))</f>
        <v> </v>
      </c>
      <c r="I4263" s="25" t="str">
        <f>IF(OR(E4263="",E4263="!!!",F4263="NEW"),"",INDEX(B4262:B$2,-1+SUMPRODUCT(MAX(ROW(E4262:E$2)*(E4263=E4262:E$2)))))</f>
        <v> </v>
      </c>
      <c r="J4263" s="25" t="str">
        <f>IF(OR(E4263="",E4263="!!!",F4263="NEW"),"",COUNTBLANK(OFFSET(A$1,,,SUMPRODUCT(MAX(ROW(E$2:E4263)*(E4263=E$2:E4263)))))-COUNTBLANK(OFFSET(A$1,,,SUMPRODUCT(MAX(ROW(E$1:E4262)*(E2=E$1:E4262))))))</f>
        <v> </v>
      </c>
      <c r="K4263" s="25" t="str">
        <f>IF(OR(E4263="",E4263="!!!",F4263="NEW"),"",INDEX(J$1:J4262,SUMPRODUCT(MAX(ROW(E$1:E4262)*(E4263=E$1:E4262)))))</f>
        <v> </v>
      </c>
      <c r="L4263" s="26"/>
    </row>
    <row r="4264" spans="1:12">
      <c r="A4264" s="20" t="s">
        <v>2996</v>
      </c>
      <c r="B4264" s="27" t="s">
        <v>1149</v>
      </c>
      <c r="E4264" s="21">
        <f>IF(D4264="?OLD","!!!","")</f>
        <v/>
      </c>
      <c r="F4264" s="22" t="str">
        <f>IF(OR(E4264="",E4264="!!!"),"",IF(NOT(ISNA(VLOOKUP(E4264,E$1:E4263,1,FALSE()))),"OLD",IF(AND(E4264&lt;&gt;"",E4264&lt;&gt;"!!!"),"NEW","")))</f>
        <v> </v>
      </c>
      <c r="G4264" s="23" t="str">
        <f>IF(OR(E4264="",E4264="!!!"),"",IF(OR(J4264=0,AND(J4264=1,K4264=1),AND(J4264=1,I4264="SBJ"),AND(J4264=1,I4264=0)),"?IN_FOCUS",IF(J4264&lt;=2,"?ACTIVATED",IF(J4264&lt;&gt;"","?FAMILIAR",IF(F4264="NEW",IF(ISNA(VLOOKUP(E4264,#REF!,1,FALSE())),"?TYPE_IDENTIFIABLE","?REFERENTIAL"),"_")))))</f>
        <v> </v>
      </c>
      <c r="H4264" s="24" t="str">
        <f>IF(J4264&lt;&gt;1,"",IF(I4264="SBJ","CB","?"))</f>
        <v> </v>
      </c>
      <c r="I4264" s="25" t="str">
        <f>IF(OR(E4264="",E4264="!!!",F4264="NEW"),"",INDEX(B4263:B$2,-1+SUMPRODUCT(MAX(ROW(E4263:E$2)*(E4264=E4263:E$2)))))</f>
        <v> </v>
      </c>
      <c r="J4264" s="25" t="str">
        <f>IF(OR(E4264="",E4264="!!!",F4264="NEW"),"",COUNTBLANK(OFFSET(A$1,,,SUMPRODUCT(MAX(ROW(E$2:E4264)*(E4264=E$2:E4264)))))-COUNTBLANK(OFFSET(A$1,,,SUMPRODUCT(MAX(ROW(E$1:E4263)*(E2=E$1:E4263))))))</f>
        <v> </v>
      </c>
      <c r="K4264" s="25" t="str">
        <f>IF(OR(E4264="",E4264="!!!",F4264="NEW"),"",INDEX(J$1:J4263,SUMPRODUCT(MAX(ROW(E$1:E4263)*(E4264=E$1:E4263)))))</f>
        <v> </v>
      </c>
      <c r="L4264" s="26"/>
    </row>
    <row r="4265" spans="1:12">
      <c r="A4265" s="20" t="s">
        <v>2008</v>
      </c>
      <c r="E4265" s="21">
        <f>IF(D4265="?OLD","!!!","")</f>
        <v/>
      </c>
      <c r="F4265" s="22" t="str">
        <f>IF(OR(E4265="",E4265="!!!"),"",IF(NOT(ISNA(VLOOKUP(E4265,E$1:E4264,1,FALSE()))),"OLD",IF(AND(E4265&lt;&gt;"",E4265&lt;&gt;"!!!"),"NEW","")))</f>
        <v> </v>
      </c>
      <c r="G4265" s="23" t="str">
        <f>IF(OR(E4265="",E4265="!!!"),"",IF(OR(J4265=0,AND(J4265=1,K4265=1),AND(J4265=1,I4265="SBJ"),AND(J4265=1,I4265=0)),"?IN_FOCUS",IF(J4265&lt;=2,"?ACTIVATED",IF(J4265&lt;&gt;"","?FAMILIAR",IF(F4265="NEW",IF(ISNA(VLOOKUP(E4265,#REF!,1,FALSE())),"?TYPE_IDENTIFIABLE","?REFERENTIAL"),"_")))))</f>
        <v> </v>
      </c>
      <c r="H4265" s="24" t="str">
        <f>IF(J4265&lt;&gt;1,"",IF(I4265="SBJ","CB","?"))</f>
        <v> </v>
      </c>
      <c r="I4265" s="25" t="str">
        <f>IF(OR(E4265="",E4265="!!!",F4265="NEW"),"",INDEX(B4264:B$2,-1+SUMPRODUCT(MAX(ROW(E4264:E$2)*(E4265=E4264:E$2)))))</f>
        <v> </v>
      </c>
      <c r="J4265" s="25" t="str">
        <f>IF(OR(E4265="",E4265="!!!",F4265="NEW"),"",COUNTBLANK(OFFSET(A$1,,,SUMPRODUCT(MAX(ROW(E$2:E4265)*(E4265=E$2:E4265)))))-COUNTBLANK(OFFSET(A$1,,,SUMPRODUCT(MAX(ROW(E$1:E4264)*(E2=E$1:E4264))))))</f>
        <v> </v>
      </c>
      <c r="K4265" s="25" t="str">
        <f>IF(OR(E4265="",E4265="!!!",F4265="NEW"),"",INDEX(J$1:J4264,SUMPRODUCT(MAX(ROW(E$1:E4264)*(E4265=E$1:E4264)))))</f>
        <v> </v>
      </c>
      <c r="L4265" s="26"/>
    </row>
    <row r="4266" spans="1:12">
      <c r="A4266" s="20" t="s">
        <v>1130</v>
      </c>
      <c r="E4266" s="21">
        <f>IF(D4266="?OLD","!!!","")</f>
        <v/>
      </c>
      <c r="F4266" s="22" t="str">
        <f>IF(OR(E4266="",E4266="!!!"),"",IF(NOT(ISNA(VLOOKUP(E4266,E$1:E4265,1,FALSE()))),"OLD",IF(AND(E4266&lt;&gt;"",E4266&lt;&gt;"!!!"),"NEW","")))</f>
        <v> </v>
      </c>
      <c r="G4266" s="23" t="str">
        <f>IF(OR(E4266="",E4266="!!!"),"",IF(OR(J4266=0,AND(J4266=1,K4266=1),AND(J4266=1,I4266="SBJ"),AND(J4266=1,I4266=0)),"?IN_FOCUS",IF(J4266&lt;=2,"?ACTIVATED",IF(J4266&lt;&gt;"","?FAMILIAR",IF(F4266="NEW",IF(ISNA(VLOOKUP(E4266,#REF!,1,FALSE())),"?TYPE_IDENTIFIABLE","?REFERENTIAL"),"_")))))</f>
        <v> </v>
      </c>
      <c r="H4266" s="24" t="str">
        <f>IF(J4266&lt;&gt;1,"",IF(I4266="SBJ","CB","?"))</f>
        <v> </v>
      </c>
      <c r="I4266" s="25" t="str">
        <f>IF(OR(E4266="",E4266="!!!",F4266="NEW"),"",INDEX(B4265:B$2,-1+SUMPRODUCT(MAX(ROW(E4265:E$2)*(E4266=E4265:E$2)))))</f>
        <v> </v>
      </c>
      <c r="J4266" s="25" t="str">
        <f>IF(OR(E4266="",E4266="!!!",F4266="NEW"),"",COUNTBLANK(OFFSET(A$1,,,SUMPRODUCT(MAX(ROW(E$2:E4266)*(E4266=E$2:E4266)))))-COUNTBLANK(OFFSET(A$1,,,SUMPRODUCT(MAX(ROW(E$1:E4265)*(E2=E$1:E4265))))))</f>
        <v> </v>
      </c>
      <c r="K4266" s="25" t="str">
        <f>IF(OR(E4266="",E4266="!!!",F4266="NEW"),"",INDEX(J$1:J4265,SUMPRODUCT(MAX(ROW(E$1:E4265)*(E4266=E$1:E4265)))))</f>
        <v> </v>
      </c>
      <c r="L4266" s="26"/>
    </row>
    <row r="4267" spans="1:12">
      <c r="A4267" s="20" t="s">
        <v>2997</v>
      </c>
      <c r="E4267" s="21">
        <f>IF(D4267="?OLD","!!!","")</f>
        <v/>
      </c>
      <c r="F4267" s="22" t="str">
        <f>IF(OR(E4267="",E4267="!!!"),"",IF(NOT(ISNA(VLOOKUP(E4267,E$1:E4266,1,FALSE()))),"OLD",IF(AND(E4267&lt;&gt;"",E4267&lt;&gt;"!!!"),"NEW","")))</f>
        <v> </v>
      </c>
      <c r="G4267" s="23" t="str">
        <f>IF(OR(E4267="",E4267="!!!"),"",IF(OR(J4267=0,AND(J4267=1,K4267=1),AND(J4267=1,I4267="SBJ"),AND(J4267=1,I4267=0)),"?IN_FOCUS",IF(J4267&lt;=2,"?ACTIVATED",IF(J4267&lt;&gt;"","?FAMILIAR",IF(F4267="NEW",IF(ISNA(VLOOKUP(E4267,#REF!,1,FALSE())),"?TYPE_IDENTIFIABLE","?REFERENTIAL"),"_")))))</f>
        <v> </v>
      </c>
      <c r="H4267" s="24" t="str">
        <f>IF(J4267&lt;&gt;1,"",IF(I4267="SBJ","CB","?"))</f>
        <v> </v>
      </c>
      <c r="I4267" s="25" t="str">
        <f>IF(OR(E4267="",E4267="!!!",F4267="NEW"),"",INDEX(B4266:B$2,-1+SUMPRODUCT(MAX(ROW(E4266:E$2)*(E4267=E4266:E$2)))))</f>
        <v> </v>
      </c>
      <c r="J4267" s="25" t="str">
        <f>IF(OR(E4267="",E4267="!!!",F4267="NEW"),"",COUNTBLANK(OFFSET(A$1,,,SUMPRODUCT(MAX(ROW(E$2:E4267)*(E4267=E$2:E4267)))))-COUNTBLANK(OFFSET(A$1,,,SUMPRODUCT(MAX(ROW(E$1:E4266)*(E2=E$1:E4266))))))</f>
        <v> </v>
      </c>
      <c r="K4267" s="25" t="str">
        <f>IF(OR(E4267="",E4267="!!!",F4267="NEW"),"",INDEX(J$1:J4266,SUMPRODUCT(MAX(ROW(E$1:E4266)*(E4267=E$1:E4266)))))</f>
        <v> </v>
      </c>
      <c r="L4267" s="26"/>
    </row>
    <row r="4268" spans="1:12">
      <c r="A4268" s="20" t="s">
        <v>1249</v>
      </c>
      <c r="E4268" s="21">
        <f>IF(D4268="?OLD","!!!","")</f>
        <v/>
      </c>
      <c r="F4268" s="22" t="str">
        <f>IF(OR(E4268="",E4268="!!!"),"",IF(NOT(ISNA(VLOOKUP(E4268,E$1:E4267,1,FALSE()))),"OLD",IF(AND(E4268&lt;&gt;"",E4268&lt;&gt;"!!!"),"NEW","")))</f>
        <v> </v>
      </c>
      <c r="G4268" s="23" t="str">
        <f>IF(OR(E4268="",E4268="!!!"),"",IF(OR(J4268=0,AND(J4268=1,K4268=1),AND(J4268=1,I4268="SBJ"),AND(J4268=1,I4268=0)),"?IN_FOCUS",IF(J4268&lt;=2,"?ACTIVATED",IF(J4268&lt;&gt;"","?FAMILIAR",IF(F4268="NEW",IF(ISNA(VLOOKUP(E4268,#REF!,1,FALSE())),"?TYPE_IDENTIFIABLE","?REFERENTIAL"),"_")))))</f>
        <v> </v>
      </c>
      <c r="H4268" s="24" t="str">
        <f>IF(J4268&lt;&gt;1,"",IF(I4268="SBJ","CB","?"))</f>
        <v> </v>
      </c>
      <c r="I4268" s="25" t="str">
        <f>IF(OR(E4268="",E4268="!!!",F4268="NEW"),"",INDEX(B4267:B$2,-1+SUMPRODUCT(MAX(ROW(E4267:E$2)*(E4268=E4267:E$2)))))</f>
        <v> </v>
      </c>
      <c r="J4268" s="25" t="str">
        <f>IF(OR(E4268="",E4268="!!!",F4268="NEW"),"",COUNTBLANK(OFFSET(A$1,,,SUMPRODUCT(MAX(ROW(E$2:E4268)*(E4268=E$2:E4268)))))-COUNTBLANK(OFFSET(A$1,,,SUMPRODUCT(MAX(ROW(E$1:E4267)*(E2=E$1:E4267))))))</f>
        <v> </v>
      </c>
      <c r="K4268" s="25" t="str">
        <f>IF(OR(E4268="",E4268="!!!",F4268="NEW"),"",INDEX(J$1:J4267,SUMPRODUCT(MAX(ROW(E$1:E4267)*(E4268=E$1:E4267)))))</f>
        <v> </v>
      </c>
      <c r="L4268" s="26"/>
    </row>
    <row r="4269" spans="1:12">
      <c r="A4269" s="20" t="s">
        <v>2998</v>
      </c>
      <c r="B4269" s="27" t="s">
        <v>1132</v>
      </c>
      <c r="C4269" s="27" t="s">
        <v>1126</v>
      </c>
      <c r="D4269" s="27" t="s">
        <v>1105</v>
      </c>
      <c r="E4269" s="21">
        <f>IF(D4269="?OLD","!!!","")</f>
        <v/>
      </c>
      <c r="F4269" s="22" t="str">
        <f>IF(OR(E4269="",E4269="!!!"),"",IF(NOT(ISNA(VLOOKUP(E4269,E$1:E4268,1,FALSE()))),"OLD",IF(AND(E4269&lt;&gt;"",E4269&lt;&gt;"!!!"),"NEW","")))</f>
        <v> </v>
      </c>
      <c r="G4269" s="23" t="str">
        <f>IF(OR(E4269="",E4269="!!!"),"",IF(OR(J4269=0,AND(J4269=1,K4269=1),AND(J4269=1,I4269="SBJ"),AND(J4269=1,I4269=0)),"?IN_FOCUS",IF(J4269&lt;=2,"?ACTIVATED",IF(J4269&lt;&gt;"","?FAMILIAR",IF(F4269="NEW",IF(ISNA(VLOOKUP(E4269,#REF!,1,FALSE())),"?TYPE_IDENTIFIABLE","?REFERENTIAL"),"_")))))</f>
        <v> </v>
      </c>
      <c r="H4269" s="24" t="str">
        <f>IF(J4269&lt;&gt;1,"",IF(I4269="SBJ","CB","?"))</f>
        <v> </v>
      </c>
      <c r="I4269" s="25" t="str">
        <f>IF(OR(E4269="",E4269="!!!",F4269="NEW"),"",INDEX(B4268:B$2,-1+SUMPRODUCT(MAX(ROW(E4268:E$2)*(E4269=E4268:E$2)))))</f>
        <v> </v>
      </c>
      <c r="J4269" s="25" t="str">
        <f>IF(OR(E4269="",E4269="!!!",F4269="NEW"),"",COUNTBLANK(OFFSET(A$1,,,SUMPRODUCT(MAX(ROW(E$2:E4269)*(E4269=E$2:E4269)))))-COUNTBLANK(OFFSET(A$1,,,SUMPRODUCT(MAX(ROW(E$1:E4268)*(E2=E$1:E4268))))))</f>
        <v> </v>
      </c>
      <c r="K4269" s="25" t="str">
        <f>IF(OR(E4269="",E4269="!!!",F4269="NEW"),"",INDEX(J$1:J4268,SUMPRODUCT(MAX(ROW(E$1:E4268)*(E4269=E$1:E4268)))))</f>
        <v> </v>
      </c>
      <c r="L4269" s="26"/>
    </row>
    <row r="4270" spans="1:12">
      <c r="A4270" s="20" t="s">
        <v>2999</v>
      </c>
      <c r="E4270" s="21">
        <f>IF(D4270="?OLD","!!!","")</f>
        <v/>
      </c>
      <c r="F4270" s="22" t="str">
        <f>IF(OR(E4270="",E4270="!!!"),"",IF(NOT(ISNA(VLOOKUP(E4270,E$1:E4269,1,FALSE()))),"OLD",IF(AND(E4270&lt;&gt;"",E4270&lt;&gt;"!!!"),"NEW","")))</f>
        <v> </v>
      </c>
      <c r="G4270" s="23" t="str">
        <f>IF(OR(E4270="",E4270="!!!"),"",IF(OR(J4270=0,AND(J4270=1,K4270=1),AND(J4270=1,I4270="SBJ"),AND(J4270=1,I4270=0)),"?IN_FOCUS",IF(J4270&lt;=2,"?ACTIVATED",IF(J4270&lt;&gt;"","?FAMILIAR",IF(F4270="NEW",IF(ISNA(VLOOKUP(E4270,#REF!,1,FALSE())),"?TYPE_IDENTIFIABLE","?REFERENTIAL"),"_")))))</f>
        <v> </v>
      </c>
      <c r="H4270" s="24" t="str">
        <f>IF(J4270&lt;&gt;1,"",IF(I4270="SBJ","CB","?"))</f>
        <v> </v>
      </c>
      <c r="I4270" s="25" t="str">
        <f>IF(OR(E4270="",E4270="!!!",F4270="NEW"),"",INDEX(B4269:B$2,-1+SUMPRODUCT(MAX(ROW(E4269:E$2)*(E4270=E4269:E$2)))))</f>
        <v> </v>
      </c>
      <c r="J4270" s="25" t="str">
        <f>IF(OR(E4270="",E4270="!!!",F4270="NEW"),"",COUNTBLANK(OFFSET(A$1,,,SUMPRODUCT(MAX(ROW(E$2:E4270)*(E4270=E$2:E4270)))))-COUNTBLANK(OFFSET(A$1,,,SUMPRODUCT(MAX(ROW(E$1:E4269)*(E2=E$1:E4269))))))</f>
        <v> </v>
      </c>
      <c r="K4270" s="25" t="str">
        <f>IF(OR(E4270="",E4270="!!!",F4270="NEW"),"",INDEX(J$1:J4269,SUMPRODUCT(MAX(ROW(E$1:E4269)*(E4270=E$1:E4269)))))</f>
        <v> </v>
      </c>
      <c r="L4270" s="26"/>
    </row>
    <row r="4271" spans="1:12">
      <c r="A4271" s="20" t="s">
        <v>3000</v>
      </c>
      <c r="E4271" s="21">
        <f>IF(D4271="?OLD","!!!","")</f>
        <v/>
      </c>
      <c r="F4271" s="22" t="str">
        <f>IF(OR(E4271="",E4271="!!!"),"",IF(NOT(ISNA(VLOOKUP(E4271,E$1:E4270,1,FALSE()))),"OLD",IF(AND(E4271&lt;&gt;"",E4271&lt;&gt;"!!!"),"NEW","")))</f>
        <v> </v>
      </c>
      <c r="G4271" s="23" t="str">
        <f>IF(OR(E4271="",E4271="!!!"),"",IF(OR(J4271=0,AND(J4271=1,K4271=1),AND(J4271=1,I4271="SBJ"),AND(J4271=1,I4271=0)),"?IN_FOCUS",IF(J4271&lt;=2,"?ACTIVATED",IF(J4271&lt;&gt;"","?FAMILIAR",IF(F4271="NEW",IF(ISNA(VLOOKUP(E4271,#REF!,1,FALSE())),"?TYPE_IDENTIFIABLE","?REFERENTIAL"),"_")))))</f>
        <v> </v>
      </c>
      <c r="H4271" s="24" t="str">
        <f>IF(J4271&lt;&gt;1,"",IF(I4271="SBJ","CB","?"))</f>
        <v> </v>
      </c>
      <c r="I4271" s="25" t="str">
        <f>IF(OR(E4271="",E4271="!!!",F4271="NEW"),"",INDEX(B4270:B$2,-1+SUMPRODUCT(MAX(ROW(E4270:E$2)*(E4271=E4270:E$2)))))</f>
        <v> </v>
      </c>
      <c r="J4271" s="25" t="str">
        <f>IF(OR(E4271="",E4271="!!!",F4271="NEW"),"",COUNTBLANK(OFFSET(A$1,,,SUMPRODUCT(MAX(ROW(E$2:E4271)*(E4271=E$2:E4271)))))-COUNTBLANK(OFFSET(A$1,,,SUMPRODUCT(MAX(ROW(E$1:E4270)*(E2=E$1:E4270))))))</f>
        <v> </v>
      </c>
      <c r="K4271" s="25" t="str">
        <f>IF(OR(E4271="",E4271="!!!",F4271="NEW"),"",INDEX(J$1:J4270,SUMPRODUCT(MAX(ROW(E$1:E4270)*(E4271=E$1:E4270)))))</f>
        <v> </v>
      </c>
      <c r="L4271" s="26"/>
    </row>
    <row r="4272" spans="1:12">
      <c r="A4272" s="20" t="s">
        <v>3001</v>
      </c>
      <c r="E4272" s="21">
        <f>IF(D4272="?OLD","!!!","")</f>
        <v/>
      </c>
      <c r="F4272" s="22" t="str">
        <f>IF(OR(E4272="",E4272="!!!"),"",IF(NOT(ISNA(VLOOKUP(E4272,E$1:E4271,1,FALSE()))),"OLD",IF(AND(E4272&lt;&gt;"",E4272&lt;&gt;"!!!"),"NEW","")))</f>
        <v> </v>
      </c>
      <c r="G4272" s="23" t="str">
        <f>IF(OR(E4272="",E4272="!!!"),"",IF(OR(J4272=0,AND(J4272=1,K4272=1),AND(J4272=1,I4272="SBJ"),AND(J4272=1,I4272=0)),"?IN_FOCUS",IF(J4272&lt;=2,"?ACTIVATED",IF(J4272&lt;&gt;"","?FAMILIAR",IF(F4272="NEW",IF(ISNA(VLOOKUP(E4272,#REF!,1,FALSE())),"?TYPE_IDENTIFIABLE","?REFERENTIAL"),"_")))))</f>
        <v> </v>
      </c>
      <c r="H4272" s="24" t="str">
        <f>IF(J4272&lt;&gt;1,"",IF(I4272="SBJ","CB","?"))</f>
        <v> </v>
      </c>
      <c r="I4272" s="25" t="str">
        <f>IF(OR(E4272="",E4272="!!!",F4272="NEW"),"",INDEX(B4271:B$2,-1+SUMPRODUCT(MAX(ROW(E4271:E$2)*(E4272=E4271:E$2)))))</f>
        <v> </v>
      </c>
      <c r="J4272" s="25" t="str">
        <f>IF(OR(E4272="",E4272="!!!",F4272="NEW"),"",COUNTBLANK(OFFSET(A$1,,,SUMPRODUCT(MAX(ROW(E$2:E4272)*(E4272=E$2:E4272)))))-COUNTBLANK(OFFSET(A$1,,,SUMPRODUCT(MAX(ROW(E$1:E4271)*(E2=E$1:E4271))))))</f>
        <v> </v>
      </c>
      <c r="K4272" s="25" t="str">
        <f>IF(OR(E4272="",E4272="!!!",F4272="NEW"),"",INDEX(J$1:J4271,SUMPRODUCT(MAX(ROW(E$1:E4271)*(E4272=E$1:E4271)))))</f>
        <v> </v>
      </c>
      <c r="L4272" s="26"/>
    </row>
    <row r="4273" spans="1:12">
      <c r="A4273" s="20" t="s">
        <v>1145</v>
      </c>
      <c r="E4273" s="21">
        <f>IF(D4273="?OLD","!!!","")</f>
        <v/>
      </c>
      <c r="F4273" s="22" t="str">
        <f>IF(OR(E4273="",E4273="!!!"),"",IF(NOT(ISNA(VLOOKUP(E4273,E$1:E4272,1,FALSE()))),"OLD",IF(AND(E4273&lt;&gt;"",E4273&lt;&gt;"!!!"),"NEW","")))</f>
        <v> </v>
      </c>
      <c r="G4273" s="23" t="str">
        <f>IF(OR(E4273="",E4273="!!!"),"",IF(OR(J4273=0,AND(J4273=1,K4273=1),AND(J4273=1,I4273="SBJ"),AND(J4273=1,I4273=0)),"?IN_FOCUS",IF(J4273&lt;=2,"?ACTIVATED",IF(J4273&lt;&gt;"","?FAMILIAR",IF(F4273="NEW",IF(ISNA(VLOOKUP(E4273,#REF!,1,FALSE())),"?TYPE_IDENTIFIABLE","?REFERENTIAL"),"_")))))</f>
        <v> </v>
      </c>
      <c r="H4273" s="24" t="str">
        <f>IF(J4273&lt;&gt;1,"",IF(I4273="SBJ","CB","?"))</f>
        <v> </v>
      </c>
      <c r="I4273" s="25" t="str">
        <f>IF(OR(E4273="",E4273="!!!",F4273="NEW"),"",INDEX(B4272:B$2,-1+SUMPRODUCT(MAX(ROW(E4272:E$2)*(E4273=E4272:E$2)))))</f>
        <v> </v>
      </c>
      <c r="J4273" s="25" t="str">
        <f>IF(OR(E4273="",E4273="!!!",F4273="NEW"),"",COUNTBLANK(OFFSET(A$1,,,SUMPRODUCT(MAX(ROW(E$2:E4273)*(E4273=E$2:E4273)))))-COUNTBLANK(OFFSET(A$1,,,SUMPRODUCT(MAX(ROW(E$1:E4272)*(E2=E$1:E4272))))))</f>
        <v> </v>
      </c>
      <c r="K4273" s="25" t="str">
        <f>IF(OR(E4273="",E4273="!!!",F4273="NEW"),"",INDEX(J$1:J4272,SUMPRODUCT(MAX(ROW(E$1:E4272)*(E4273=E$1:E4272)))))</f>
        <v> </v>
      </c>
      <c r="L4273" s="26"/>
    </row>
    <row r="4274" spans="1:12">
      <c r="A4274" s="20"/>
    </row>
    <row r="4275" spans="1:12">
      <c r="A4275" s="20" t="s">
        <v>3002</v>
      </c>
    </row>
    <row r="4276" spans="1:12">
      <c r="A4276" s="20" t="s">
        <v>1111</v>
      </c>
      <c r="E4276" s="21">
        <f>IF(D4276="?OLD","!!!","")</f>
        <v/>
      </c>
      <c r="F4276" s="22" t="str">
        <f>IF(OR(E4276="",E4276="!!!"),"",IF(NOT(ISNA(VLOOKUP(E4276,E$1:E4275,1,FALSE()))),"OLD",IF(AND(E4276&lt;&gt;"",E4276&lt;&gt;"!!!"),"NEW","")))</f>
        <v> </v>
      </c>
      <c r="G4276" s="23" t="str">
        <f>IF(OR(E4276="",E4276="!!!"),"",IF(OR(J4276=0,AND(J4276=1,K4276=1),AND(J4276=1,I4276="SBJ"),AND(J4276=1,I4276=0)),"?IN_FOCUS",IF(J4276&lt;=2,"?ACTIVATED",IF(J4276&lt;&gt;"","?FAMILIAR",IF(F4276="NEW",IF(ISNA(VLOOKUP(E4276,#REF!,1,FALSE())),"?TYPE_IDENTIFIABLE","?REFERENTIAL"),"_")))))</f>
        <v> </v>
      </c>
      <c r="H4276" s="24" t="str">
        <f>IF(J4276&lt;&gt;1,"",IF(I4276="SBJ","CB","?"))</f>
        <v> </v>
      </c>
      <c r="I4276" s="25" t="str">
        <f>IF(OR(E4276="",E4276="!!!",F4276="NEW"),"",INDEX(B4275:B$2,-1+SUMPRODUCT(MAX(ROW(E4275:E$2)*(E4276=E4275:E$2)))))</f>
        <v> </v>
      </c>
      <c r="J4276" s="25" t="str">
        <f>IF(OR(E4276="",E4276="!!!",F4276="NEW"),"",COUNTBLANK(OFFSET(A$1,,,SUMPRODUCT(MAX(ROW(E$2:E4276)*(E4276=E$2:E4276)))))-COUNTBLANK(OFFSET(A$1,,,SUMPRODUCT(MAX(ROW(E$1:E4275)*(E2=E$1:E4275))))))</f>
        <v> </v>
      </c>
      <c r="K4276" s="25" t="str">
        <f>IF(OR(E4276="",E4276="!!!",F4276="NEW"),"",INDEX(J$1:J4275,SUMPRODUCT(MAX(ROW(E$1:E4275)*(E4276=E$1:E4275)))))</f>
        <v> </v>
      </c>
      <c r="L4276" s="26"/>
    </row>
    <row r="4277" spans="1:12">
      <c r="A4277" s="20" t="s">
        <v>2101</v>
      </c>
      <c r="E4277" s="21">
        <f>IF(D4277="?OLD","!!!","")</f>
        <v/>
      </c>
      <c r="F4277" s="22" t="str">
        <f>IF(OR(E4277="",E4277="!!!"),"",IF(NOT(ISNA(VLOOKUP(E4277,E$1:E4276,1,FALSE()))),"OLD",IF(AND(E4277&lt;&gt;"",E4277&lt;&gt;"!!!"),"NEW","")))</f>
        <v> </v>
      </c>
      <c r="G4277" s="23" t="str">
        <f>IF(OR(E4277="",E4277="!!!"),"",IF(OR(J4277=0,AND(J4277=1,K4277=1),AND(J4277=1,I4277="SBJ"),AND(J4277=1,I4277=0)),"?IN_FOCUS",IF(J4277&lt;=2,"?ACTIVATED",IF(J4277&lt;&gt;"","?FAMILIAR",IF(F4277="NEW",IF(ISNA(VLOOKUP(E4277,#REF!,1,FALSE())),"?TYPE_IDENTIFIABLE","?REFERENTIAL"),"_")))))</f>
        <v> </v>
      </c>
      <c r="H4277" s="24" t="str">
        <f>IF(J4277&lt;&gt;1,"",IF(I4277="SBJ","CB","?"))</f>
        <v> </v>
      </c>
      <c r="I4277" s="25" t="str">
        <f>IF(OR(E4277="",E4277="!!!",F4277="NEW"),"",INDEX(B4276:B$2,-1+SUMPRODUCT(MAX(ROW(E4276:E$2)*(E4277=E4276:E$2)))))</f>
        <v> </v>
      </c>
      <c r="J4277" s="25" t="str">
        <f>IF(OR(E4277="",E4277="!!!",F4277="NEW"),"",COUNTBLANK(OFFSET(A$1,,,SUMPRODUCT(MAX(ROW(E$2:E4277)*(E4277=E$2:E4277)))))-COUNTBLANK(OFFSET(A$1,,,SUMPRODUCT(MAX(ROW(E$1:E4276)*(E2=E$1:E4276))))))</f>
        <v> </v>
      </c>
      <c r="K4277" s="25" t="str">
        <f>IF(OR(E4277="",E4277="!!!",F4277="NEW"),"",INDEX(J$1:J4276,SUMPRODUCT(MAX(ROW(E$1:E4276)*(E4277=E$1:E4276)))))</f>
        <v> </v>
      </c>
      <c r="L4277" s="26"/>
    </row>
    <row r="4278" spans="1:12">
      <c r="A4278" s="20" t="s">
        <v>2196</v>
      </c>
      <c r="B4278" s="27" t="s">
        <v>1107</v>
      </c>
      <c r="C4278" s="27" t="s">
        <v>1142</v>
      </c>
      <c r="D4278" s="27" t="s">
        <v>1105</v>
      </c>
      <c r="E4278" s="21">
        <f>IF(D4278="?OLD","!!!","")</f>
        <v/>
      </c>
      <c r="F4278" s="22" t="str">
        <f>IF(OR(E4278="",E4278="!!!"),"",IF(NOT(ISNA(VLOOKUP(E4278,E$1:E4277,1,FALSE()))),"OLD",IF(AND(E4278&lt;&gt;"",E4278&lt;&gt;"!!!"),"NEW","")))</f>
        <v> </v>
      </c>
      <c r="G4278" s="23" t="str">
        <f>IF(OR(E4278="",E4278="!!!"),"",IF(OR(J4278=0,AND(J4278=1,K4278=1),AND(J4278=1,I4278="SBJ"),AND(J4278=1,I4278=0)),"?IN_FOCUS",IF(J4278&lt;=2,"?ACTIVATED",IF(J4278&lt;&gt;"","?FAMILIAR",IF(F4278="NEW",IF(ISNA(VLOOKUP(E4278,#REF!,1,FALSE())),"?TYPE_IDENTIFIABLE","?REFERENTIAL"),"_")))))</f>
        <v> </v>
      </c>
      <c r="H4278" s="24" t="str">
        <f>IF(J4278&lt;&gt;1,"",IF(I4278="SBJ","CB","?"))</f>
        <v> </v>
      </c>
      <c r="I4278" s="25" t="str">
        <f>IF(OR(E4278="",E4278="!!!",F4278="NEW"),"",INDEX(B4277:B$2,-1+SUMPRODUCT(MAX(ROW(E4277:E$2)*(E4278=E4277:E$2)))))</f>
        <v> </v>
      </c>
      <c r="J4278" s="25" t="str">
        <f>IF(OR(E4278="",E4278="!!!",F4278="NEW"),"",COUNTBLANK(OFFSET(A$1,,,SUMPRODUCT(MAX(ROW(E$2:E4278)*(E4278=E$2:E4278)))))-COUNTBLANK(OFFSET(A$1,,,SUMPRODUCT(MAX(ROW(E$1:E4277)*(E2=E$1:E4277))))))</f>
        <v> </v>
      </c>
      <c r="K4278" s="25" t="str">
        <f>IF(OR(E4278="",E4278="!!!",F4278="NEW"),"",INDEX(J$1:J4277,SUMPRODUCT(MAX(ROW(E$1:E4277)*(E4278=E$1:E4277)))))</f>
        <v> </v>
      </c>
      <c r="L4278" s="26"/>
    </row>
    <row r="4279" spans="1:12">
      <c r="A4279" s="20" t="s">
        <v>1351</v>
      </c>
      <c r="E4279" s="21">
        <f>IF(D4279="?OLD","!!!","")</f>
        <v/>
      </c>
      <c r="F4279" s="22" t="str">
        <f>IF(OR(E4279="",E4279="!!!"),"",IF(NOT(ISNA(VLOOKUP(E4279,E$1:E4278,1,FALSE()))),"OLD",IF(AND(E4279&lt;&gt;"",E4279&lt;&gt;"!!!"),"NEW","")))</f>
        <v> </v>
      </c>
      <c r="G4279" s="23" t="str">
        <f>IF(OR(E4279="",E4279="!!!"),"",IF(OR(J4279=0,AND(J4279=1,K4279=1),AND(J4279=1,I4279="SBJ"),AND(J4279=1,I4279=0)),"?IN_FOCUS",IF(J4279&lt;=2,"?ACTIVATED",IF(J4279&lt;&gt;"","?FAMILIAR",IF(F4279="NEW",IF(ISNA(VLOOKUP(E4279,#REF!,1,FALSE())),"?TYPE_IDENTIFIABLE","?REFERENTIAL"),"_")))))</f>
        <v> </v>
      </c>
      <c r="H4279" s="24" t="str">
        <f>IF(J4279&lt;&gt;1,"",IF(I4279="SBJ","CB","?"))</f>
        <v> </v>
      </c>
      <c r="I4279" s="25" t="str">
        <f>IF(OR(E4279="",E4279="!!!",F4279="NEW"),"",INDEX(B4278:B$2,-1+SUMPRODUCT(MAX(ROW(E4278:E$2)*(E4279=E4278:E$2)))))</f>
        <v> </v>
      </c>
      <c r="J4279" s="25" t="str">
        <f>IF(OR(E4279="",E4279="!!!",F4279="NEW"),"",COUNTBLANK(OFFSET(A$1,,,SUMPRODUCT(MAX(ROW(E$2:E4279)*(E4279=E$2:E4279)))))-COUNTBLANK(OFFSET(A$1,,,SUMPRODUCT(MAX(ROW(E$1:E4278)*(E2=E$1:E4278))))))</f>
        <v> </v>
      </c>
      <c r="K4279" s="25" t="str">
        <f>IF(OR(E4279="",E4279="!!!",F4279="NEW"),"",INDEX(J$1:J4278,SUMPRODUCT(MAX(ROW(E$1:E4278)*(E4279=E$1:E4278)))))</f>
        <v> </v>
      </c>
      <c r="L4279" s="26"/>
    </row>
    <row r="4280" spans="1:12">
      <c r="A4280" s="20" t="s">
        <v>1111</v>
      </c>
      <c r="E4280" s="21">
        <f>IF(D4280="?OLD","!!!","")</f>
        <v/>
      </c>
      <c r="F4280" s="22" t="str">
        <f>IF(OR(E4280="",E4280="!!!"),"",IF(NOT(ISNA(VLOOKUP(E4280,E$1:E4279,1,FALSE()))),"OLD",IF(AND(E4280&lt;&gt;"",E4280&lt;&gt;"!!!"),"NEW","")))</f>
        <v> </v>
      </c>
      <c r="G4280" s="23" t="str">
        <f>IF(OR(E4280="",E4280="!!!"),"",IF(OR(J4280=0,AND(J4280=1,K4280=1),AND(J4280=1,I4280="SBJ"),AND(J4280=1,I4280=0)),"?IN_FOCUS",IF(J4280&lt;=2,"?ACTIVATED",IF(J4280&lt;&gt;"","?FAMILIAR",IF(F4280="NEW",IF(ISNA(VLOOKUP(E4280,#REF!,1,FALSE())),"?TYPE_IDENTIFIABLE","?REFERENTIAL"),"_")))))</f>
        <v> </v>
      </c>
      <c r="H4280" s="24" t="str">
        <f>IF(J4280&lt;&gt;1,"",IF(I4280="SBJ","CB","?"))</f>
        <v> </v>
      </c>
      <c r="I4280" s="25" t="str">
        <f>IF(OR(E4280="",E4280="!!!",F4280="NEW"),"",INDEX(B4279:B$2,-1+SUMPRODUCT(MAX(ROW(E4279:E$2)*(E4280=E4279:E$2)))))</f>
        <v> </v>
      </c>
      <c r="J4280" s="25" t="str">
        <f>IF(OR(E4280="",E4280="!!!",F4280="NEW"),"",COUNTBLANK(OFFSET(A$1,,,SUMPRODUCT(MAX(ROW(E$2:E4280)*(E4280=E$2:E4280)))))-COUNTBLANK(OFFSET(A$1,,,SUMPRODUCT(MAX(ROW(E$1:E4279)*(E2=E$1:E4279))))))</f>
        <v> </v>
      </c>
      <c r="K4280" s="25" t="str">
        <f>IF(OR(E4280="",E4280="!!!",F4280="NEW"),"",INDEX(J$1:J4279,SUMPRODUCT(MAX(ROW(E$1:E4279)*(E4280=E$1:E4279)))))</f>
        <v> </v>
      </c>
      <c r="L4280" s="26"/>
    </row>
    <row r="4281" spans="1:12">
      <c r="A4281" s="20" t="s">
        <v>3003</v>
      </c>
      <c r="E4281" s="21">
        <f>IF(D4281="?OLD","!!!","")</f>
        <v/>
      </c>
      <c r="F4281" s="22" t="str">
        <f>IF(OR(E4281="",E4281="!!!"),"",IF(NOT(ISNA(VLOOKUP(E4281,E$1:E4280,1,FALSE()))),"OLD",IF(AND(E4281&lt;&gt;"",E4281&lt;&gt;"!!!"),"NEW","")))</f>
        <v> </v>
      </c>
      <c r="G4281" s="23" t="str">
        <f>IF(OR(E4281="",E4281="!!!"),"",IF(OR(J4281=0,AND(J4281=1,K4281=1),AND(J4281=1,I4281="SBJ"),AND(J4281=1,I4281=0)),"?IN_FOCUS",IF(J4281&lt;=2,"?ACTIVATED",IF(J4281&lt;&gt;"","?FAMILIAR",IF(F4281="NEW",IF(ISNA(VLOOKUP(E4281,#REF!,1,FALSE())),"?TYPE_IDENTIFIABLE","?REFERENTIAL"),"_")))))</f>
        <v> </v>
      </c>
      <c r="H4281" s="24" t="str">
        <f>IF(J4281&lt;&gt;1,"",IF(I4281="SBJ","CB","?"))</f>
        <v> </v>
      </c>
      <c r="I4281" s="25" t="str">
        <f>IF(OR(E4281="",E4281="!!!",F4281="NEW"),"",INDEX(B4280:B$2,-1+SUMPRODUCT(MAX(ROW(E4280:E$2)*(E4281=E4280:E$2)))))</f>
        <v> </v>
      </c>
      <c r="J4281" s="25" t="str">
        <f>IF(OR(E4281="",E4281="!!!",F4281="NEW"),"",COUNTBLANK(OFFSET(A$1,,,SUMPRODUCT(MAX(ROW(E$2:E4281)*(E4281=E$2:E4281)))))-COUNTBLANK(OFFSET(A$1,,,SUMPRODUCT(MAX(ROW(E$1:E4280)*(E2=E$1:E4280))))))</f>
        <v> </v>
      </c>
      <c r="K4281" s="25" t="str">
        <f>IF(OR(E4281="",E4281="!!!",F4281="NEW"),"",INDEX(J$1:J4280,SUMPRODUCT(MAX(ROW(E$1:E4280)*(E4281=E$1:E4280)))))</f>
        <v> </v>
      </c>
      <c r="L4281" s="26"/>
    </row>
    <row r="4282" spans="1:12">
      <c r="A4282" s="20" t="s">
        <v>1225</v>
      </c>
      <c r="B4282" s="27" t="s">
        <v>1149</v>
      </c>
      <c r="C4282" s="27" t="s">
        <v>1108</v>
      </c>
      <c r="D4282" s="27" t="s">
        <v>1105</v>
      </c>
      <c r="E4282" s="21">
        <f>IF(D4282="?OLD","!!!","")</f>
        <v/>
      </c>
      <c r="F4282" s="22" t="str">
        <f>IF(OR(E4282="",E4282="!!!"),"",IF(NOT(ISNA(VLOOKUP(E4282,E$1:E4281,1,FALSE()))),"OLD",IF(AND(E4282&lt;&gt;"",E4282&lt;&gt;"!!!"),"NEW","")))</f>
        <v> </v>
      </c>
      <c r="G4282" s="23" t="str">
        <f>IF(OR(E4282="",E4282="!!!"),"",IF(OR(J4282=0,AND(J4282=1,K4282=1),AND(J4282=1,I4282="SBJ"),AND(J4282=1,I4282=0)),"?IN_FOCUS",IF(J4282&lt;=2,"?ACTIVATED",IF(J4282&lt;&gt;"","?FAMILIAR",IF(F4282="NEW",IF(ISNA(VLOOKUP(E4282,#REF!,1,FALSE())),"?TYPE_IDENTIFIABLE","?REFERENTIAL"),"_")))))</f>
        <v> </v>
      </c>
      <c r="H4282" s="24" t="str">
        <f>IF(J4282&lt;&gt;1,"",IF(I4282="SBJ","CB","?"))</f>
        <v> </v>
      </c>
      <c r="I4282" s="25" t="str">
        <f>IF(OR(E4282="",E4282="!!!",F4282="NEW"),"",INDEX(B4281:B$2,-1+SUMPRODUCT(MAX(ROW(E4281:E$2)*(E4282=E4281:E$2)))))</f>
        <v> </v>
      </c>
      <c r="J4282" s="25" t="str">
        <f>IF(OR(E4282="",E4282="!!!",F4282="NEW"),"",COUNTBLANK(OFFSET(A$1,,,SUMPRODUCT(MAX(ROW(E$2:E4282)*(E4282=E$2:E4282)))))-COUNTBLANK(OFFSET(A$1,,,SUMPRODUCT(MAX(ROW(E$1:E4281)*(E2=E$1:E4281))))))</f>
        <v> </v>
      </c>
      <c r="K4282" s="25" t="str">
        <f>IF(OR(E4282="",E4282="!!!",F4282="NEW"),"",INDEX(J$1:J4281,SUMPRODUCT(MAX(ROW(E$1:E4281)*(E4282=E$1:E4281)))))</f>
        <v> </v>
      </c>
      <c r="L4282" s="26"/>
    </row>
    <row r="4283" spans="1:12">
      <c r="A4283" s="20" t="s">
        <v>1145</v>
      </c>
      <c r="E4283" s="21">
        <f>IF(D4283="?OLD","!!!","")</f>
        <v/>
      </c>
      <c r="F4283" s="22" t="str">
        <f>IF(OR(E4283="",E4283="!!!"),"",IF(NOT(ISNA(VLOOKUP(E4283,E$1:E4282,1,FALSE()))),"OLD",IF(AND(E4283&lt;&gt;"",E4283&lt;&gt;"!!!"),"NEW","")))</f>
        <v> </v>
      </c>
      <c r="G4283" s="23" t="str">
        <f>IF(OR(E4283="",E4283="!!!"),"",IF(OR(J4283=0,AND(J4283=1,K4283=1),AND(J4283=1,I4283="SBJ"),AND(J4283=1,I4283=0)),"?IN_FOCUS",IF(J4283&lt;=2,"?ACTIVATED",IF(J4283&lt;&gt;"","?FAMILIAR",IF(F4283="NEW",IF(ISNA(VLOOKUP(E4283,#REF!,1,FALSE())),"?TYPE_IDENTIFIABLE","?REFERENTIAL"),"_")))))</f>
        <v> </v>
      </c>
      <c r="H4283" s="24" t="str">
        <f>IF(J4283&lt;&gt;1,"",IF(I4283="SBJ","CB","?"))</f>
        <v> </v>
      </c>
      <c r="I4283" s="25" t="str">
        <f>IF(OR(E4283="",E4283="!!!",F4283="NEW"),"",INDEX(B4282:B$2,-1+SUMPRODUCT(MAX(ROW(E4282:E$2)*(E4283=E4282:E$2)))))</f>
        <v> </v>
      </c>
      <c r="J4283" s="25" t="str">
        <f>IF(OR(E4283="",E4283="!!!",F4283="NEW"),"",COUNTBLANK(OFFSET(A$1,,,SUMPRODUCT(MAX(ROW(E$2:E4283)*(E4283=E$2:E4283)))))-COUNTBLANK(OFFSET(A$1,,,SUMPRODUCT(MAX(ROW(E$1:E4282)*(E2=E$1:E4282))))))</f>
        <v> </v>
      </c>
      <c r="K4283" s="25" t="str">
        <f>IF(OR(E4283="",E4283="!!!",F4283="NEW"),"",INDEX(J$1:J4282,SUMPRODUCT(MAX(ROW(E$1:E4282)*(E4283=E$1:E4282)))))</f>
        <v> </v>
      </c>
      <c r="L4283" s="26"/>
    </row>
    <row r="4284" spans="1:12">
      <c r="A4284" s="20"/>
    </row>
    <row r="4285" spans="1:12">
      <c r="A4285" s="20" t="s">
        <v>3004</v>
      </c>
    </row>
    <row r="4286" spans="1:12">
      <c r="A4286" s="20" t="s">
        <v>1111</v>
      </c>
      <c r="E4286" s="21">
        <f>IF(D4286="?OLD","!!!","")</f>
        <v/>
      </c>
      <c r="F4286" s="22" t="str">
        <f>IF(OR(E4286="",E4286="!!!"),"",IF(NOT(ISNA(VLOOKUP(E4286,E$1:E4285,1,FALSE()))),"OLD",IF(AND(E4286&lt;&gt;"",E4286&lt;&gt;"!!!"),"NEW","")))</f>
        <v> </v>
      </c>
      <c r="G4286" s="23" t="str">
        <f>IF(OR(E4286="",E4286="!!!"),"",IF(OR(J4286=0,AND(J4286=1,K4286=1),AND(J4286=1,I4286="SBJ"),AND(J4286=1,I4286=0)),"?IN_FOCUS",IF(J4286&lt;=2,"?ACTIVATED",IF(J4286&lt;&gt;"","?FAMILIAR",IF(F4286="NEW",IF(ISNA(VLOOKUP(E4286,#REF!,1,FALSE())),"?TYPE_IDENTIFIABLE","?REFERENTIAL"),"_")))))</f>
        <v> </v>
      </c>
      <c r="H4286" s="24" t="str">
        <f>IF(J4286&lt;&gt;1,"",IF(I4286="SBJ","CB","?"))</f>
        <v> </v>
      </c>
      <c r="I4286" s="25" t="str">
        <f>IF(OR(E4286="",E4286="!!!",F4286="NEW"),"",INDEX(B4285:B$2,-1+SUMPRODUCT(MAX(ROW(E4285:E$2)*(E4286=E4285:E$2)))))</f>
        <v> </v>
      </c>
      <c r="J4286" s="25" t="str">
        <f>IF(OR(E4286="",E4286="!!!",F4286="NEW"),"",COUNTBLANK(OFFSET(A$1,,,SUMPRODUCT(MAX(ROW(E$2:E4286)*(E4286=E$2:E4286)))))-COUNTBLANK(OFFSET(A$1,,,SUMPRODUCT(MAX(ROW(E$1:E4285)*(E2=E$1:E4285))))))</f>
        <v> </v>
      </c>
      <c r="K4286" s="25" t="str">
        <f>IF(OR(E4286="",E4286="!!!",F4286="NEW"),"",INDEX(J$1:J4285,SUMPRODUCT(MAX(ROW(E$1:E4285)*(E4286=E$1:E4285)))))</f>
        <v> </v>
      </c>
      <c r="L4286" s="26"/>
    </row>
    <row r="4287" spans="1:12">
      <c r="A4287" s="20" t="s">
        <v>1436</v>
      </c>
      <c r="E4287" s="21">
        <f>IF(D4287="?OLD","!!!","")</f>
        <v/>
      </c>
      <c r="F4287" s="22" t="str">
        <f>IF(OR(E4287="",E4287="!!!"),"",IF(NOT(ISNA(VLOOKUP(E4287,E$1:E4286,1,FALSE()))),"OLD",IF(AND(E4287&lt;&gt;"",E4287&lt;&gt;"!!!"),"NEW","")))</f>
        <v> </v>
      </c>
      <c r="G4287" s="23" t="str">
        <f>IF(OR(E4287="",E4287="!!!"),"",IF(OR(J4287=0,AND(J4287=1,K4287=1),AND(J4287=1,I4287="SBJ"),AND(J4287=1,I4287=0)),"?IN_FOCUS",IF(J4287&lt;=2,"?ACTIVATED",IF(J4287&lt;&gt;"","?FAMILIAR",IF(F4287="NEW",IF(ISNA(VLOOKUP(E4287,#REF!,1,FALSE())),"?TYPE_IDENTIFIABLE","?REFERENTIAL"),"_")))))</f>
        <v> </v>
      </c>
      <c r="H4287" s="24" t="str">
        <f>IF(J4287&lt;&gt;1,"",IF(I4287="SBJ","CB","?"))</f>
        <v> </v>
      </c>
      <c r="I4287" s="25" t="str">
        <f>IF(OR(E4287="",E4287="!!!",F4287="NEW"),"",INDEX(B4286:B$2,-1+SUMPRODUCT(MAX(ROW(E4286:E$2)*(E4287=E4286:E$2)))))</f>
        <v> </v>
      </c>
      <c r="J4287" s="25" t="str">
        <f>IF(OR(E4287="",E4287="!!!",F4287="NEW"),"",COUNTBLANK(OFFSET(A$1,,,SUMPRODUCT(MAX(ROW(E$2:E4287)*(E4287=E$2:E4287)))))-COUNTBLANK(OFFSET(A$1,,,SUMPRODUCT(MAX(ROW(E$1:E4286)*(E2=E$1:E4286))))))</f>
        <v> </v>
      </c>
      <c r="K4287" s="25" t="str">
        <f>IF(OR(E4287="",E4287="!!!",F4287="NEW"),"",INDEX(J$1:J4286,SUMPRODUCT(MAX(ROW(E$1:E4286)*(E4287=E$1:E4286)))))</f>
        <v> </v>
      </c>
      <c r="L4287" s="26"/>
    </row>
    <row r="4288" spans="1:12">
      <c r="A4288" s="20" t="s">
        <v>1114</v>
      </c>
      <c r="B4288" s="27" t="s">
        <v>1149</v>
      </c>
      <c r="C4288" s="27" t="s">
        <v>1116</v>
      </c>
      <c r="D4288" s="27" t="s">
        <v>1105</v>
      </c>
      <c r="E4288" s="21">
        <f>IF(D4288="?OLD","!!!","")</f>
        <v/>
      </c>
      <c r="F4288" s="22" t="str">
        <f>IF(OR(E4288="",E4288="!!!"),"",IF(NOT(ISNA(VLOOKUP(E4288,E$1:E4287,1,FALSE()))),"OLD",IF(AND(E4288&lt;&gt;"",E4288&lt;&gt;"!!!"),"NEW","")))</f>
        <v> </v>
      </c>
      <c r="G4288" s="23" t="str">
        <f>IF(OR(E4288="",E4288="!!!"),"",IF(OR(J4288=0,AND(J4288=1,K4288=1),AND(J4288=1,I4288="SBJ"),AND(J4288=1,I4288=0)),"?IN_FOCUS",IF(J4288&lt;=2,"?ACTIVATED",IF(J4288&lt;&gt;"","?FAMILIAR",IF(F4288="NEW",IF(ISNA(VLOOKUP(E4288,#REF!,1,FALSE())),"?TYPE_IDENTIFIABLE","?REFERENTIAL"),"_")))))</f>
        <v> </v>
      </c>
      <c r="H4288" s="24" t="str">
        <f>IF(J4288&lt;&gt;1,"",IF(I4288="SBJ","CB","?"))</f>
        <v> </v>
      </c>
      <c r="I4288" s="25" t="str">
        <f>IF(OR(E4288="",E4288="!!!",F4288="NEW"),"",INDEX(B4287:B$2,-1+SUMPRODUCT(MAX(ROW(E4287:E$2)*(E4288=E4287:E$2)))))</f>
        <v> </v>
      </c>
      <c r="J4288" s="25" t="str">
        <f>IF(OR(E4288="",E4288="!!!",F4288="NEW"),"",COUNTBLANK(OFFSET(A$1,,,SUMPRODUCT(MAX(ROW(E$2:E4288)*(E4288=E$2:E4288)))))-COUNTBLANK(OFFSET(A$1,,,SUMPRODUCT(MAX(ROW(E$1:E4287)*(E2=E$1:E4287))))))</f>
        <v> </v>
      </c>
      <c r="K4288" s="25" t="str">
        <f>IF(OR(E4288="",E4288="!!!",F4288="NEW"),"",INDEX(J$1:J4287,SUMPRODUCT(MAX(ROW(E$1:E4287)*(E4288=E$1:E4287)))))</f>
        <v> </v>
      </c>
      <c r="L4288" s="26"/>
    </row>
    <row r="4289" spans="1:12">
      <c r="A4289" s="20" t="s">
        <v>1033</v>
      </c>
      <c r="E4289" s="21">
        <f>IF(D4289="?OLD","!!!","")</f>
        <v/>
      </c>
      <c r="F4289" s="22" t="str">
        <f>IF(OR(E4289="",E4289="!!!"),"",IF(NOT(ISNA(VLOOKUP(E4289,E$1:E4288,1,FALSE()))),"OLD",IF(AND(E4289&lt;&gt;"",E4289&lt;&gt;"!!!"),"NEW","")))</f>
        <v> </v>
      </c>
      <c r="G4289" s="23" t="str">
        <f>IF(OR(E4289="",E4289="!!!"),"",IF(OR(J4289=0,AND(J4289=1,K4289=1),AND(J4289=1,I4289="SBJ"),AND(J4289=1,I4289=0)),"?IN_FOCUS",IF(J4289&lt;=2,"?ACTIVATED",IF(J4289&lt;&gt;"","?FAMILIAR",IF(F4289="NEW",IF(ISNA(VLOOKUP(E4289,#REF!,1,FALSE())),"?TYPE_IDENTIFIABLE","?REFERENTIAL"),"_")))))</f>
        <v> </v>
      </c>
      <c r="H4289" s="24" t="str">
        <f>IF(J4289&lt;&gt;1,"",IF(I4289="SBJ","CB","?"))</f>
        <v> </v>
      </c>
      <c r="I4289" s="25" t="str">
        <f>IF(OR(E4289="",E4289="!!!",F4289="NEW"),"",INDEX(B4288:B$2,-1+SUMPRODUCT(MAX(ROW(E4288:E$2)*(E4289=E4288:E$2)))))</f>
        <v> </v>
      </c>
      <c r="J4289" s="25" t="str">
        <f>IF(OR(E4289="",E4289="!!!",F4289="NEW"),"",COUNTBLANK(OFFSET(A$1,,,SUMPRODUCT(MAX(ROW(E$2:E4289)*(E4289=E$2:E4289)))))-COUNTBLANK(OFFSET(A$1,,,SUMPRODUCT(MAX(ROW(E$1:E4288)*(E2=E$1:E4288))))))</f>
        <v> </v>
      </c>
      <c r="K4289" s="25" t="str">
        <f>IF(OR(E4289="",E4289="!!!",F4289="NEW"),"",INDEX(J$1:J4288,SUMPRODUCT(MAX(ROW(E$1:E4288)*(E4289=E$1:E4288)))))</f>
        <v> </v>
      </c>
      <c r="L4289" s="26"/>
    </row>
    <row r="4290" spans="1:12">
      <c r="A4290" s="20" t="s">
        <v>1351</v>
      </c>
      <c r="E4290" s="21">
        <f>IF(D4290="?OLD","!!!","")</f>
        <v/>
      </c>
      <c r="F4290" s="22" t="str">
        <f>IF(OR(E4290="",E4290="!!!"),"",IF(NOT(ISNA(VLOOKUP(E4290,E$1:E4289,1,FALSE()))),"OLD",IF(AND(E4290&lt;&gt;"",E4290&lt;&gt;"!!!"),"NEW","")))</f>
        <v> </v>
      </c>
      <c r="G4290" s="23" t="str">
        <f>IF(OR(E4290="",E4290="!!!"),"",IF(OR(J4290=0,AND(J4290=1,K4290=1),AND(J4290=1,I4290="SBJ"),AND(J4290=1,I4290=0)),"?IN_FOCUS",IF(J4290&lt;=2,"?ACTIVATED",IF(J4290&lt;&gt;"","?FAMILIAR",IF(F4290="NEW",IF(ISNA(VLOOKUP(E4290,#REF!,1,FALSE())),"?TYPE_IDENTIFIABLE","?REFERENTIAL"),"_")))))</f>
        <v> </v>
      </c>
      <c r="H4290" s="24" t="str">
        <f>IF(J4290&lt;&gt;1,"",IF(I4290="SBJ","CB","?"))</f>
        <v> </v>
      </c>
      <c r="I4290" s="25" t="str">
        <f>IF(OR(E4290="",E4290="!!!",F4290="NEW"),"",INDEX(B4289:B$2,-1+SUMPRODUCT(MAX(ROW(E4289:E$2)*(E4290=E4289:E$2)))))</f>
        <v> </v>
      </c>
      <c r="J4290" s="25" t="str">
        <f>IF(OR(E4290="",E4290="!!!",F4290="NEW"),"",COUNTBLANK(OFFSET(A$1,,,SUMPRODUCT(MAX(ROW(E$2:E4290)*(E4290=E$2:E4290)))))-COUNTBLANK(OFFSET(A$1,,,SUMPRODUCT(MAX(ROW(E$1:E4289)*(E2=E$1:E4289))))))</f>
        <v> </v>
      </c>
      <c r="K4290" s="25" t="str">
        <f>IF(OR(E4290="",E4290="!!!",F4290="NEW"),"",INDEX(J$1:J4289,SUMPRODUCT(MAX(ROW(E$1:E4289)*(E4290=E$1:E4289)))))</f>
        <v> </v>
      </c>
      <c r="L4290" s="26"/>
    </row>
    <row r="4291" spans="1:12">
      <c r="A4291" s="20"/>
    </row>
    <row r="4292" spans="1:12">
      <c r="A4292" s="20" t="s">
        <v>3005</v>
      </c>
    </row>
    <row r="4293" spans="1:12">
      <c r="A4293" s="20" t="s">
        <v>3006</v>
      </c>
      <c r="E4293" s="21">
        <f>IF(D4293="?OLD","!!!","")</f>
        <v/>
      </c>
      <c r="F4293" s="22" t="str">
        <f>IF(OR(E4293="",E4293="!!!"),"",IF(NOT(ISNA(VLOOKUP(E4293,E$1:E4292,1,FALSE()))),"OLD",IF(AND(E4293&lt;&gt;"",E4293&lt;&gt;"!!!"),"NEW","")))</f>
        <v> </v>
      </c>
      <c r="G4293" s="23" t="str">
        <f>IF(OR(E4293="",E4293="!!!"),"",IF(OR(J4293=0,AND(J4293=1,K4293=1),AND(J4293=1,I4293="SBJ"),AND(J4293=1,I4293=0)),"?IN_FOCUS",IF(J4293&lt;=2,"?ACTIVATED",IF(J4293&lt;&gt;"","?FAMILIAR",IF(F4293="NEW",IF(ISNA(VLOOKUP(E4293,#REF!,1,FALSE())),"?TYPE_IDENTIFIABLE","?REFERENTIAL"),"_")))))</f>
        <v> </v>
      </c>
      <c r="H4293" s="24" t="str">
        <f>IF(J4293&lt;&gt;1,"",IF(I4293="SBJ","CB","?"))</f>
        <v> </v>
      </c>
      <c r="I4293" s="25" t="str">
        <f>IF(OR(E4293="",E4293="!!!",F4293="NEW"),"",INDEX(B4292:B$2,-1+SUMPRODUCT(MAX(ROW(E4292:E$2)*(E4293=E4292:E$2)))))</f>
        <v> </v>
      </c>
      <c r="J4293" s="25" t="str">
        <f>IF(OR(E4293="",E4293="!!!",F4293="NEW"),"",COUNTBLANK(OFFSET(A$1,,,SUMPRODUCT(MAX(ROW(E$2:E4293)*(E4293=E$2:E4293)))))-COUNTBLANK(OFFSET(A$1,,,SUMPRODUCT(MAX(ROW(E$1:E4292)*(E2=E$1:E4292))))))</f>
        <v> </v>
      </c>
      <c r="K4293" s="25" t="str">
        <f>IF(OR(E4293="",E4293="!!!",F4293="NEW"),"",INDEX(J$1:J4292,SUMPRODUCT(MAX(ROW(E$1:E4292)*(E4293=E$1:E4292)))))</f>
        <v> </v>
      </c>
      <c r="L4293" s="26"/>
    </row>
    <row r="4294" spans="1:12">
      <c r="A4294" s="20" t="s">
        <v>3007</v>
      </c>
      <c r="B4294" s="27" t="s">
        <v>1149</v>
      </c>
      <c r="C4294" s="27" t="s">
        <v>1108</v>
      </c>
      <c r="D4294" s="27" t="s">
        <v>1105</v>
      </c>
      <c r="E4294" s="21">
        <f>IF(D4294="?OLD","!!!","")</f>
        <v/>
      </c>
      <c r="F4294" s="22" t="str">
        <f>IF(OR(E4294="",E4294="!!!"),"",IF(NOT(ISNA(VLOOKUP(E4294,E$1:E4293,1,FALSE()))),"OLD",IF(AND(E4294&lt;&gt;"",E4294&lt;&gt;"!!!"),"NEW","")))</f>
        <v> </v>
      </c>
      <c r="G4294" s="23" t="str">
        <f>IF(OR(E4294="",E4294="!!!"),"",IF(OR(J4294=0,AND(J4294=1,K4294=1),AND(J4294=1,I4294="SBJ"),AND(J4294=1,I4294=0)),"?IN_FOCUS",IF(J4294&lt;=2,"?ACTIVATED",IF(J4294&lt;&gt;"","?FAMILIAR",IF(F4294="NEW",IF(ISNA(VLOOKUP(E4294,#REF!,1,FALSE())),"?TYPE_IDENTIFIABLE","?REFERENTIAL"),"_")))))</f>
        <v> </v>
      </c>
      <c r="H4294" s="24" t="str">
        <f>IF(J4294&lt;&gt;1,"",IF(I4294="SBJ","CB","?"))</f>
        <v> </v>
      </c>
      <c r="I4294" s="25" t="str">
        <f>IF(OR(E4294="",E4294="!!!",F4294="NEW"),"",INDEX(B4293:B$2,-1+SUMPRODUCT(MAX(ROW(E4293:E$2)*(E4294=E4293:E$2)))))</f>
        <v> </v>
      </c>
      <c r="J4294" s="25" t="str">
        <f>IF(OR(E4294="",E4294="!!!",F4294="NEW"),"",COUNTBLANK(OFFSET(A$1,,,SUMPRODUCT(MAX(ROW(E$2:E4294)*(E4294=E$2:E4294)))))-COUNTBLANK(OFFSET(A$1,,,SUMPRODUCT(MAX(ROW(E$1:E4293)*(E2=E$1:E4293))))))</f>
        <v> </v>
      </c>
      <c r="K4294" s="25" t="str">
        <f>IF(OR(E4294="",E4294="!!!",F4294="NEW"),"",INDEX(J$1:J4293,SUMPRODUCT(MAX(ROW(E$1:E4293)*(E4294=E$1:E4293)))))</f>
        <v> </v>
      </c>
      <c r="L4294" s="26"/>
    </row>
    <row r="4295" spans="1:12">
      <c r="A4295" s="20" t="s">
        <v>1590</v>
      </c>
      <c r="E4295" s="21">
        <f>IF(D4295="?OLD","!!!","")</f>
        <v/>
      </c>
      <c r="F4295" s="22" t="str">
        <f>IF(OR(E4295="",E4295="!!!"),"",IF(NOT(ISNA(VLOOKUP(E4295,E$1:E4294,1,FALSE()))),"OLD",IF(AND(E4295&lt;&gt;"",E4295&lt;&gt;"!!!"),"NEW","")))</f>
        <v> </v>
      </c>
      <c r="G4295" s="23" t="str">
        <f>IF(OR(E4295="",E4295="!!!"),"",IF(OR(J4295=0,AND(J4295=1,K4295=1),AND(J4295=1,I4295="SBJ"),AND(J4295=1,I4295=0)),"?IN_FOCUS",IF(J4295&lt;=2,"?ACTIVATED",IF(J4295&lt;&gt;"","?FAMILIAR",IF(F4295="NEW",IF(ISNA(VLOOKUP(E4295,#REF!,1,FALSE())),"?TYPE_IDENTIFIABLE","?REFERENTIAL"),"_")))))</f>
        <v> </v>
      </c>
      <c r="H4295" s="24" t="str">
        <f>IF(J4295&lt;&gt;1,"",IF(I4295="SBJ","CB","?"))</f>
        <v> </v>
      </c>
      <c r="I4295" s="25" t="str">
        <f>IF(OR(E4295="",E4295="!!!",F4295="NEW"),"",INDEX(B4294:B$2,-1+SUMPRODUCT(MAX(ROW(E4294:E$2)*(E4295=E4294:E$2)))))</f>
        <v> </v>
      </c>
      <c r="J4295" s="25" t="str">
        <f>IF(OR(E4295="",E4295="!!!",F4295="NEW"),"",COUNTBLANK(OFFSET(A$1,,,SUMPRODUCT(MAX(ROW(E$2:E4295)*(E4295=E$2:E4295)))))-COUNTBLANK(OFFSET(A$1,,,SUMPRODUCT(MAX(ROW(E$1:E4294)*(E2=E$1:E4294))))))</f>
        <v> </v>
      </c>
      <c r="K4295" s="25" t="str">
        <f>IF(OR(E4295="",E4295="!!!",F4295="NEW"),"",INDEX(J$1:J4294,SUMPRODUCT(MAX(ROW(E$1:E4294)*(E4295=E$1:E4294)))))</f>
        <v> </v>
      </c>
      <c r="L4295" s="26"/>
    </row>
    <row r="4296" spans="1:12">
      <c r="A4296" s="20" t="s">
        <v>1127</v>
      </c>
      <c r="E4296" s="21">
        <f>IF(D4296="?OLD","!!!","")</f>
        <v/>
      </c>
      <c r="F4296" s="22" t="str">
        <f>IF(OR(E4296="",E4296="!!!"),"",IF(NOT(ISNA(VLOOKUP(E4296,E$1:E4295,1,FALSE()))),"OLD",IF(AND(E4296&lt;&gt;"",E4296&lt;&gt;"!!!"),"NEW","")))</f>
        <v> </v>
      </c>
      <c r="G4296" s="23" t="str">
        <f>IF(OR(E4296="",E4296="!!!"),"",IF(OR(J4296=0,AND(J4296=1,K4296=1),AND(J4296=1,I4296="SBJ"),AND(J4296=1,I4296=0)),"?IN_FOCUS",IF(J4296&lt;=2,"?ACTIVATED",IF(J4296&lt;&gt;"","?FAMILIAR",IF(F4296="NEW",IF(ISNA(VLOOKUP(E4296,#REF!,1,FALSE())),"?TYPE_IDENTIFIABLE","?REFERENTIAL"),"_")))))</f>
        <v> </v>
      </c>
      <c r="H4296" s="24" t="str">
        <f>IF(J4296&lt;&gt;1,"",IF(I4296="SBJ","CB","?"))</f>
        <v> </v>
      </c>
      <c r="I4296" s="25" t="str">
        <f>IF(OR(E4296="",E4296="!!!",F4296="NEW"),"",INDEX(B4295:B$2,-1+SUMPRODUCT(MAX(ROW(E4295:E$2)*(E4296=E4295:E$2)))))</f>
        <v> </v>
      </c>
      <c r="J4296" s="25" t="str">
        <f>IF(OR(E4296="",E4296="!!!",F4296="NEW"),"",COUNTBLANK(OFFSET(A$1,,,SUMPRODUCT(MAX(ROW(E$2:E4296)*(E4296=E$2:E4296)))))-COUNTBLANK(OFFSET(A$1,,,SUMPRODUCT(MAX(ROW(E$1:E4295)*(E2=E$1:E4295))))))</f>
        <v> </v>
      </c>
      <c r="K4296" s="25" t="str">
        <f>IF(OR(E4296="",E4296="!!!",F4296="NEW"),"",INDEX(J$1:J4295,SUMPRODUCT(MAX(ROW(E$1:E4295)*(E4296=E$1:E4295)))))</f>
        <v> </v>
      </c>
      <c r="L4296" s="26"/>
    </row>
    <row r="4297" spans="1:12">
      <c r="A4297" s="20" t="s">
        <v>1134</v>
      </c>
      <c r="E4297" s="21">
        <f>IF(D4297="?OLD","!!!","")</f>
        <v/>
      </c>
      <c r="F4297" s="22" t="str">
        <f>IF(OR(E4297="",E4297="!!!"),"",IF(NOT(ISNA(VLOOKUP(E4297,E$1:E4296,1,FALSE()))),"OLD",IF(AND(E4297&lt;&gt;"",E4297&lt;&gt;"!!!"),"NEW","")))</f>
        <v> </v>
      </c>
      <c r="G4297" s="23" t="str">
        <f>IF(OR(E4297="",E4297="!!!"),"",IF(OR(J4297=0,AND(J4297=1,K4297=1),AND(J4297=1,I4297="SBJ"),AND(J4297=1,I4297=0)),"?IN_FOCUS",IF(J4297&lt;=2,"?ACTIVATED",IF(J4297&lt;&gt;"","?FAMILIAR",IF(F4297="NEW",IF(ISNA(VLOOKUP(E4297,#REF!,1,FALSE())),"?TYPE_IDENTIFIABLE","?REFERENTIAL"),"_")))))</f>
        <v> </v>
      </c>
      <c r="H4297" s="24" t="str">
        <f>IF(J4297&lt;&gt;1,"",IF(I4297="SBJ","CB","?"))</f>
        <v> </v>
      </c>
      <c r="I4297" s="25" t="str">
        <f>IF(OR(E4297="",E4297="!!!",F4297="NEW"),"",INDEX(B4296:B$2,-1+SUMPRODUCT(MAX(ROW(E4296:E$2)*(E4297=E4296:E$2)))))</f>
        <v> </v>
      </c>
      <c r="J4297" s="25" t="str">
        <f>IF(OR(E4297="",E4297="!!!",F4297="NEW"),"",COUNTBLANK(OFFSET(A$1,,,SUMPRODUCT(MAX(ROW(E$2:E4297)*(E4297=E$2:E4297)))))-COUNTBLANK(OFFSET(A$1,,,SUMPRODUCT(MAX(ROW(E$1:E4296)*(E2=E$1:E4296))))))</f>
        <v> </v>
      </c>
      <c r="K4297" s="25" t="str">
        <f>IF(OR(E4297="",E4297="!!!",F4297="NEW"),"",INDEX(J$1:J4296,SUMPRODUCT(MAX(ROW(E$1:E4296)*(E4297=E$1:E4296)))))</f>
        <v> </v>
      </c>
      <c r="L4297" s="26"/>
    </row>
    <row r="4298" spans="1:12">
      <c r="A4298" s="20" t="s">
        <v>3008</v>
      </c>
      <c r="E4298" s="21">
        <f>IF(D4298="?OLD","!!!","")</f>
        <v/>
      </c>
      <c r="F4298" s="22" t="str">
        <f>IF(OR(E4298="",E4298="!!!"),"",IF(NOT(ISNA(VLOOKUP(E4298,E$1:E4297,1,FALSE()))),"OLD",IF(AND(E4298&lt;&gt;"",E4298&lt;&gt;"!!!"),"NEW","")))</f>
        <v> </v>
      </c>
      <c r="G4298" s="23" t="str">
        <f>IF(OR(E4298="",E4298="!!!"),"",IF(OR(J4298=0,AND(J4298=1,K4298=1),AND(J4298=1,I4298="SBJ"),AND(J4298=1,I4298=0)),"?IN_FOCUS",IF(J4298&lt;=2,"?ACTIVATED",IF(J4298&lt;&gt;"","?FAMILIAR",IF(F4298="NEW",IF(ISNA(VLOOKUP(E4298,#REF!,1,FALSE())),"?TYPE_IDENTIFIABLE","?REFERENTIAL"),"_")))))</f>
        <v> </v>
      </c>
      <c r="H4298" s="24" t="str">
        <f>IF(J4298&lt;&gt;1,"",IF(I4298="SBJ","CB","?"))</f>
        <v> </v>
      </c>
      <c r="I4298" s="25" t="str">
        <f>IF(OR(E4298="",E4298="!!!",F4298="NEW"),"",INDEX(B4297:B$2,-1+SUMPRODUCT(MAX(ROW(E4297:E$2)*(E4298=E4297:E$2)))))</f>
        <v> </v>
      </c>
      <c r="J4298" s="25" t="str">
        <f>IF(OR(E4298="",E4298="!!!",F4298="NEW"),"",COUNTBLANK(OFFSET(A$1,,,SUMPRODUCT(MAX(ROW(E$2:E4298)*(E4298=E$2:E4298)))))-COUNTBLANK(OFFSET(A$1,,,SUMPRODUCT(MAX(ROW(E$1:E4297)*(E2=E$1:E4297))))))</f>
        <v> </v>
      </c>
      <c r="K4298" s="25" t="str">
        <f>IF(OR(E4298="",E4298="!!!",F4298="NEW"),"",INDEX(J$1:J4297,SUMPRODUCT(MAX(ROW(E$1:E4297)*(E4298=E$1:E4297)))))</f>
        <v> </v>
      </c>
      <c r="L4298" s="26"/>
    </row>
    <row r="4299" spans="1:12">
      <c r="A4299" s="20" t="s">
        <v>2938</v>
      </c>
      <c r="E4299" s="21">
        <f>IF(D4299="?OLD","!!!","")</f>
        <v/>
      </c>
      <c r="F4299" s="22" t="str">
        <f>IF(OR(E4299="",E4299="!!!"),"",IF(NOT(ISNA(VLOOKUP(E4299,E$1:E4298,1,FALSE()))),"OLD",IF(AND(E4299&lt;&gt;"",E4299&lt;&gt;"!!!"),"NEW","")))</f>
        <v> </v>
      </c>
      <c r="G4299" s="23" t="str">
        <f>IF(OR(E4299="",E4299="!!!"),"",IF(OR(J4299=0,AND(J4299=1,K4299=1),AND(J4299=1,I4299="SBJ"),AND(J4299=1,I4299=0)),"?IN_FOCUS",IF(J4299&lt;=2,"?ACTIVATED",IF(J4299&lt;&gt;"","?FAMILIAR",IF(F4299="NEW",IF(ISNA(VLOOKUP(E4299,#REF!,1,FALSE())),"?TYPE_IDENTIFIABLE","?REFERENTIAL"),"_")))))</f>
        <v> </v>
      </c>
      <c r="H4299" s="24" t="str">
        <f>IF(J4299&lt;&gt;1,"",IF(I4299="SBJ","CB","?"))</f>
        <v> </v>
      </c>
      <c r="I4299" s="25" t="str">
        <f>IF(OR(E4299="",E4299="!!!",F4299="NEW"),"",INDEX(B4298:B$2,-1+SUMPRODUCT(MAX(ROW(E4298:E$2)*(E4299=E4298:E$2)))))</f>
        <v> </v>
      </c>
      <c r="J4299" s="25" t="str">
        <f>IF(OR(E4299="",E4299="!!!",F4299="NEW"),"",COUNTBLANK(OFFSET(A$1,,,SUMPRODUCT(MAX(ROW(E$2:E4299)*(E4299=E$2:E4299)))))-COUNTBLANK(OFFSET(A$1,,,SUMPRODUCT(MAX(ROW(E$1:E4298)*(E2=E$1:E4298))))))</f>
        <v> </v>
      </c>
      <c r="K4299" s="25" t="str">
        <f>IF(OR(E4299="",E4299="!!!",F4299="NEW"),"",INDEX(J$1:J4298,SUMPRODUCT(MAX(ROW(E$1:E4298)*(E4299=E$1:E4298)))))</f>
        <v> </v>
      </c>
      <c r="L4299" s="26"/>
    </row>
    <row r="4300" spans="1:12">
      <c r="A4300" s="20" t="s">
        <v>3009</v>
      </c>
      <c r="E4300" s="21">
        <f>IF(D4300="?OLD","!!!","")</f>
        <v/>
      </c>
      <c r="F4300" s="22" t="str">
        <f>IF(OR(E4300="",E4300="!!!"),"",IF(NOT(ISNA(VLOOKUP(E4300,E$1:E4299,1,FALSE()))),"OLD",IF(AND(E4300&lt;&gt;"",E4300&lt;&gt;"!!!"),"NEW","")))</f>
        <v> </v>
      </c>
      <c r="G4300" s="23" t="str">
        <f>IF(OR(E4300="",E4300="!!!"),"",IF(OR(J4300=0,AND(J4300=1,K4300=1),AND(J4300=1,I4300="SBJ"),AND(J4300=1,I4300=0)),"?IN_FOCUS",IF(J4300&lt;=2,"?ACTIVATED",IF(J4300&lt;&gt;"","?FAMILIAR",IF(F4300="NEW",IF(ISNA(VLOOKUP(E4300,#REF!,1,FALSE())),"?TYPE_IDENTIFIABLE","?REFERENTIAL"),"_")))))</f>
        <v> </v>
      </c>
      <c r="H4300" s="24" t="str">
        <f>IF(J4300&lt;&gt;1,"",IF(I4300="SBJ","CB","?"))</f>
        <v> </v>
      </c>
      <c r="I4300" s="25" t="str">
        <f>IF(OR(E4300="",E4300="!!!",F4300="NEW"),"",INDEX(B4299:B$2,-1+SUMPRODUCT(MAX(ROW(E4299:E$2)*(E4300=E4299:E$2)))))</f>
        <v> </v>
      </c>
      <c r="J4300" s="25" t="str">
        <f>IF(OR(E4300="",E4300="!!!",F4300="NEW"),"",COUNTBLANK(OFFSET(A$1,,,SUMPRODUCT(MAX(ROW(E$2:E4300)*(E4300=E$2:E4300)))))-COUNTBLANK(OFFSET(A$1,,,SUMPRODUCT(MAX(ROW(E$1:E4299)*(E2=E$1:E4299))))))</f>
        <v> </v>
      </c>
      <c r="K4300" s="25" t="str">
        <f>IF(OR(E4300="",E4300="!!!",F4300="NEW"),"",INDEX(J$1:J4299,SUMPRODUCT(MAX(ROW(E$1:E4299)*(E4300=E$1:E4299)))))</f>
        <v> </v>
      </c>
      <c r="L4300" s="26"/>
    </row>
    <row r="4301" spans="1:12">
      <c r="A4301" s="20" t="s">
        <v>1145</v>
      </c>
      <c r="E4301" s="21">
        <f>IF(D4301="?OLD","!!!","")</f>
        <v/>
      </c>
      <c r="F4301" s="22" t="str">
        <f>IF(OR(E4301="",E4301="!!!"),"",IF(NOT(ISNA(VLOOKUP(E4301,E$1:E4300,1,FALSE()))),"OLD",IF(AND(E4301&lt;&gt;"",E4301&lt;&gt;"!!!"),"NEW","")))</f>
        <v> </v>
      </c>
      <c r="G4301" s="23" t="str">
        <f>IF(OR(E4301="",E4301="!!!"),"",IF(OR(J4301=0,AND(J4301=1,K4301=1),AND(J4301=1,I4301="SBJ"),AND(J4301=1,I4301=0)),"?IN_FOCUS",IF(J4301&lt;=2,"?ACTIVATED",IF(J4301&lt;&gt;"","?FAMILIAR",IF(F4301="NEW",IF(ISNA(VLOOKUP(E4301,#REF!,1,FALSE())),"?TYPE_IDENTIFIABLE","?REFERENTIAL"),"_")))))</f>
        <v> </v>
      </c>
      <c r="H4301" s="24" t="str">
        <f>IF(J4301&lt;&gt;1,"",IF(I4301="SBJ","CB","?"))</f>
        <v> </v>
      </c>
      <c r="I4301" s="25" t="str">
        <f>IF(OR(E4301="",E4301="!!!",F4301="NEW"),"",INDEX(B4300:B$2,-1+SUMPRODUCT(MAX(ROW(E4300:E$2)*(E4301=E4300:E$2)))))</f>
        <v> </v>
      </c>
      <c r="J4301" s="25" t="str">
        <f>IF(OR(E4301="",E4301="!!!",F4301="NEW"),"",COUNTBLANK(OFFSET(A$1,,,SUMPRODUCT(MAX(ROW(E$2:E4301)*(E4301=E$2:E4301)))))-COUNTBLANK(OFFSET(A$1,,,SUMPRODUCT(MAX(ROW(E$1:E4300)*(E2=E$1:E4300))))))</f>
        <v> </v>
      </c>
      <c r="K4301" s="25" t="str">
        <f>IF(OR(E4301="",E4301="!!!",F4301="NEW"),"",INDEX(J$1:J4300,SUMPRODUCT(MAX(ROW(E$1:E4300)*(E4301=E$1:E4300)))))</f>
        <v> </v>
      </c>
      <c r="L4301" s="26"/>
    </row>
    <row r="4302" spans="1:12">
      <c r="A4302" s="20"/>
    </row>
    <row r="4303" spans="1:12">
      <c r="A4303" s="20" t="s">
        <v>3010</v>
      </c>
    </row>
    <row r="4304" spans="1:12">
      <c r="A4304" s="20" t="s">
        <v>1873</v>
      </c>
      <c r="E4304" s="21">
        <f>IF(D4304="?OLD","!!!","")</f>
        <v/>
      </c>
      <c r="F4304" s="22" t="str">
        <f>IF(OR(E4304="",E4304="!!!"),"",IF(NOT(ISNA(VLOOKUP(E4304,E$1:E4303,1,FALSE()))),"OLD",IF(AND(E4304&lt;&gt;"",E4304&lt;&gt;"!!!"),"NEW","")))</f>
        <v> </v>
      </c>
      <c r="G4304" s="23" t="str">
        <f>IF(OR(E4304="",E4304="!!!"),"",IF(OR(J4304=0,AND(J4304=1,K4304=1),AND(J4304=1,I4304="SBJ"),AND(J4304=1,I4304=0)),"?IN_FOCUS",IF(J4304&lt;=2,"?ACTIVATED",IF(J4304&lt;&gt;"","?FAMILIAR",IF(F4304="NEW",IF(ISNA(VLOOKUP(E4304,#REF!,1,FALSE())),"?TYPE_IDENTIFIABLE","?REFERENTIAL"),"_")))))</f>
        <v> </v>
      </c>
      <c r="H4304" s="24" t="str">
        <f>IF(J4304&lt;&gt;1,"",IF(I4304="SBJ","CB","?"))</f>
        <v> </v>
      </c>
      <c r="I4304" s="25" t="str">
        <f>IF(OR(E4304="",E4304="!!!",F4304="NEW"),"",INDEX(B4303:B$2,-1+SUMPRODUCT(MAX(ROW(E4303:E$2)*(E4304=E4303:E$2)))))</f>
        <v> </v>
      </c>
      <c r="J4304" s="25" t="str">
        <f>IF(OR(E4304="",E4304="!!!",F4304="NEW"),"",COUNTBLANK(OFFSET(A$1,,,SUMPRODUCT(MAX(ROW(E$2:E4304)*(E4304=E$2:E4304)))))-COUNTBLANK(OFFSET(A$1,,,SUMPRODUCT(MAX(ROW(E$1:E4303)*(E2=E$1:E4303))))))</f>
        <v> </v>
      </c>
      <c r="K4304" s="25" t="str">
        <f>IF(OR(E4304="",E4304="!!!",F4304="NEW"),"",INDEX(J$1:J4303,SUMPRODUCT(MAX(ROW(E$1:E4303)*(E4304=E$1:E4303)))))</f>
        <v> </v>
      </c>
      <c r="L4304" s="26"/>
    </row>
    <row r="4305" spans="1:12">
      <c r="A4305" s="20" t="s">
        <v>135</v>
      </c>
      <c r="B4305" s="27" t="s">
        <v>1149</v>
      </c>
      <c r="C4305" s="27" t="s">
        <v>1133</v>
      </c>
      <c r="E4305" s="21">
        <f>IF(D4305="?OLD","!!!","")</f>
        <v/>
      </c>
      <c r="F4305" s="22" t="str">
        <f>IF(OR(E4305="",E4305="!!!"),"",IF(NOT(ISNA(VLOOKUP(E4305,E$1:E4304,1,FALSE()))),"OLD",IF(AND(E4305&lt;&gt;"",E4305&lt;&gt;"!!!"),"NEW","")))</f>
        <v> </v>
      </c>
      <c r="G4305" s="23" t="str">
        <f>IF(OR(E4305="",E4305="!!!"),"",IF(OR(J4305=0,AND(J4305=1,K4305=1),AND(J4305=1,I4305="SBJ"),AND(J4305=1,I4305=0)),"?IN_FOCUS",IF(J4305&lt;=2,"?ACTIVATED",IF(J4305&lt;&gt;"","?FAMILIAR",IF(F4305="NEW",IF(ISNA(VLOOKUP(E4305,#REF!,1,FALSE())),"?TYPE_IDENTIFIABLE","?REFERENTIAL"),"_")))))</f>
        <v> </v>
      </c>
      <c r="H4305" s="24" t="str">
        <f>IF(J4305&lt;&gt;1,"",IF(I4305="SBJ","CB","?"))</f>
        <v> </v>
      </c>
      <c r="I4305" s="25" t="str">
        <f>IF(OR(E4305="",E4305="!!!",F4305="NEW"),"",INDEX(B4304:B$2,-1+SUMPRODUCT(MAX(ROW(E4304:E$2)*(E4305=E4304:E$2)))))</f>
        <v> </v>
      </c>
      <c r="J4305" s="25" t="str">
        <f>IF(OR(E4305="",E4305="!!!",F4305="NEW"),"",COUNTBLANK(OFFSET(A$1,,,SUMPRODUCT(MAX(ROW(E$2:E4305)*(E4305=E$2:E4305)))))-COUNTBLANK(OFFSET(A$1,,,SUMPRODUCT(MAX(ROW(E$1:E4304)*(E2=E$1:E4304))))))</f>
        <v> </v>
      </c>
      <c r="K4305" s="25" t="str">
        <f>IF(OR(E4305="",E4305="!!!",F4305="NEW"),"",INDEX(J$1:J4304,SUMPRODUCT(MAX(ROW(E$1:E4304)*(E4305=E$1:E4304)))))</f>
        <v> </v>
      </c>
      <c r="L4305" s="26"/>
    </row>
    <row r="4306" spans="1:12">
      <c r="A4306" s="20" t="s">
        <v>3011</v>
      </c>
      <c r="E4306" s="21">
        <f>IF(D4306="?OLD","!!!","")</f>
        <v/>
      </c>
      <c r="F4306" s="22" t="str">
        <f>IF(OR(E4306="",E4306="!!!"),"",IF(NOT(ISNA(VLOOKUP(E4306,E$1:E4305,1,FALSE()))),"OLD",IF(AND(E4306&lt;&gt;"",E4306&lt;&gt;"!!!"),"NEW","")))</f>
        <v> </v>
      </c>
      <c r="G4306" s="23" t="str">
        <f>IF(OR(E4306="",E4306="!!!"),"",IF(OR(J4306=0,AND(J4306=1,K4306=1),AND(J4306=1,I4306="SBJ"),AND(J4306=1,I4306=0)),"?IN_FOCUS",IF(J4306&lt;=2,"?ACTIVATED",IF(J4306&lt;&gt;"","?FAMILIAR",IF(F4306="NEW",IF(ISNA(VLOOKUP(E4306,#REF!,1,FALSE())),"?TYPE_IDENTIFIABLE","?REFERENTIAL"),"_")))))</f>
        <v> </v>
      </c>
      <c r="H4306" s="24" t="str">
        <f>IF(J4306&lt;&gt;1,"",IF(I4306="SBJ","CB","?"))</f>
        <v> </v>
      </c>
      <c r="I4306" s="25" t="str">
        <f>IF(OR(E4306="",E4306="!!!",F4306="NEW"),"",INDEX(B4305:B$2,-1+SUMPRODUCT(MAX(ROW(E4305:E$2)*(E4306=E4305:E$2)))))</f>
        <v> </v>
      </c>
      <c r="J4306" s="25" t="str">
        <f>IF(OR(E4306="",E4306="!!!",F4306="NEW"),"",COUNTBLANK(OFFSET(A$1,,,SUMPRODUCT(MAX(ROW(E$2:E4306)*(E4306=E$2:E4306)))))-COUNTBLANK(OFFSET(A$1,,,SUMPRODUCT(MAX(ROW(E$1:E4305)*(E2=E$1:E4305))))))</f>
        <v> </v>
      </c>
      <c r="K4306" s="25" t="str">
        <f>IF(OR(E4306="",E4306="!!!",F4306="NEW"),"",INDEX(J$1:J4305,SUMPRODUCT(MAX(ROW(E$1:E4305)*(E4306=E$1:E4305)))))</f>
        <v> </v>
      </c>
      <c r="L4306" s="26"/>
    </row>
    <row r="4307" spans="1:12">
      <c r="A4307" s="20" t="s">
        <v>1123</v>
      </c>
      <c r="E4307" s="21">
        <f>IF(D4307="?OLD","!!!","")</f>
        <v/>
      </c>
      <c r="F4307" s="22" t="str">
        <f>IF(OR(E4307="",E4307="!!!"),"",IF(NOT(ISNA(VLOOKUP(E4307,E$1:E4306,1,FALSE()))),"OLD",IF(AND(E4307&lt;&gt;"",E4307&lt;&gt;"!!!"),"NEW","")))</f>
        <v> </v>
      </c>
      <c r="G4307" s="23" t="str">
        <f>IF(OR(E4307="",E4307="!!!"),"",IF(OR(J4307=0,AND(J4307=1,K4307=1),AND(J4307=1,I4307="SBJ"),AND(J4307=1,I4307=0)),"?IN_FOCUS",IF(J4307&lt;=2,"?ACTIVATED",IF(J4307&lt;&gt;"","?FAMILIAR",IF(F4307="NEW",IF(ISNA(VLOOKUP(E4307,#REF!,1,FALSE())),"?TYPE_IDENTIFIABLE","?REFERENTIAL"),"_")))))</f>
        <v> </v>
      </c>
      <c r="H4307" s="24" t="str">
        <f>IF(J4307&lt;&gt;1,"",IF(I4307="SBJ","CB","?"))</f>
        <v> </v>
      </c>
      <c r="I4307" s="25" t="str">
        <f>IF(OR(E4307="",E4307="!!!",F4307="NEW"),"",INDEX(B4306:B$2,-1+SUMPRODUCT(MAX(ROW(E4306:E$2)*(E4307=E4306:E$2)))))</f>
        <v> </v>
      </c>
      <c r="J4307" s="25" t="str">
        <f>IF(OR(E4307="",E4307="!!!",F4307="NEW"),"",COUNTBLANK(OFFSET(A$1,,,SUMPRODUCT(MAX(ROW(E$2:E4307)*(E4307=E$2:E4307)))))-COUNTBLANK(OFFSET(A$1,,,SUMPRODUCT(MAX(ROW(E$1:E4306)*(E2=E$1:E4306))))))</f>
        <v> </v>
      </c>
      <c r="K4307" s="25" t="str">
        <f>IF(OR(E4307="",E4307="!!!",F4307="NEW"),"",INDEX(J$1:J4306,SUMPRODUCT(MAX(ROW(E$1:E4306)*(E4307=E$1:E4306)))))</f>
        <v> </v>
      </c>
      <c r="L4307" s="26"/>
    </row>
    <row r="4308" spans="1:12">
      <c r="A4308" s="20" t="s">
        <v>1369</v>
      </c>
      <c r="E4308" s="21">
        <f>IF(D4308="?OLD","!!!","")</f>
        <v/>
      </c>
      <c r="F4308" s="22" t="str">
        <f>IF(OR(E4308="",E4308="!!!"),"",IF(NOT(ISNA(VLOOKUP(E4308,E$1:E4307,1,FALSE()))),"OLD",IF(AND(E4308&lt;&gt;"",E4308&lt;&gt;"!!!"),"NEW","")))</f>
        <v> </v>
      </c>
      <c r="G4308" s="23" t="str">
        <f>IF(OR(E4308="",E4308="!!!"),"",IF(OR(J4308=0,AND(J4308=1,K4308=1),AND(J4308=1,I4308="SBJ"),AND(J4308=1,I4308=0)),"?IN_FOCUS",IF(J4308&lt;=2,"?ACTIVATED",IF(J4308&lt;&gt;"","?FAMILIAR",IF(F4308="NEW",IF(ISNA(VLOOKUP(E4308,#REF!,1,FALSE())),"?TYPE_IDENTIFIABLE","?REFERENTIAL"),"_")))))</f>
        <v> </v>
      </c>
      <c r="H4308" s="24" t="str">
        <f>IF(J4308&lt;&gt;1,"",IF(I4308="SBJ","CB","?"))</f>
        <v> </v>
      </c>
      <c r="I4308" s="25" t="str">
        <f>IF(OR(E4308="",E4308="!!!",F4308="NEW"),"",INDEX(B4307:B$2,-1+SUMPRODUCT(MAX(ROW(E4307:E$2)*(E4308=E4307:E$2)))))</f>
        <v> </v>
      </c>
      <c r="J4308" s="25" t="str">
        <f>IF(OR(E4308="",E4308="!!!",F4308="NEW"),"",COUNTBLANK(OFFSET(A$1,,,SUMPRODUCT(MAX(ROW(E$2:E4308)*(E4308=E$2:E4308)))))-COUNTBLANK(OFFSET(A$1,,,SUMPRODUCT(MAX(ROW(E$1:E4307)*(E2=E$1:E4307))))))</f>
        <v> </v>
      </c>
      <c r="K4308" s="25" t="str">
        <f>IF(OR(E4308="",E4308="!!!",F4308="NEW"),"",INDEX(J$1:J4307,SUMPRODUCT(MAX(ROW(E$1:E4307)*(E4308=E$1:E4307)))))</f>
        <v> </v>
      </c>
      <c r="L4308" s="26"/>
    </row>
    <row r="4309" spans="1:12">
      <c r="A4309" s="20" t="s">
        <v>1123</v>
      </c>
      <c r="E4309" s="21">
        <f>IF(D4309="?OLD","!!!","")</f>
        <v/>
      </c>
      <c r="F4309" s="22" t="str">
        <f>IF(OR(E4309="",E4309="!!!"),"",IF(NOT(ISNA(VLOOKUP(E4309,E$1:E4308,1,FALSE()))),"OLD",IF(AND(E4309&lt;&gt;"",E4309&lt;&gt;"!!!"),"NEW","")))</f>
        <v> </v>
      </c>
      <c r="G4309" s="23" t="str">
        <f>IF(OR(E4309="",E4309="!!!"),"",IF(OR(J4309=0,AND(J4309=1,K4309=1),AND(J4309=1,I4309="SBJ"),AND(J4309=1,I4309=0)),"?IN_FOCUS",IF(J4309&lt;=2,"?ACTIVATED",IF(J4309&lt;&gt;"","?FAMILIAR",IF(F4309="NEW",IF(ISNA(VLOOKUP(E4309,#REF!,1,FALSE())),"?TYPE_IDENTIFIABLE","?REFERENTIAL"),"_")))))</f>
        <v> </v>
      </c>
      <c r="H4309" s="24" t="str">
        <f>IF(J4309&lt;&gt;1,"",IF(I4309="SBJ","CB","?"))</f>
        <v> </v>
      </c>
      <c r="I4309" s="25" t="str">
        <f>IF(OR(E4309="",E4309="!!!",F4309="NEW"),"",INDEX(B4308:B$2,-1+SUMPRODUCT(MAX(ROW(E4308:E$2)*(E4309=E4308:E$2)))))</f>
        <v> </v>
      </c>
      <c r="J4309" s="25" t="str">
        <f>IF(OR(E4309="",E4309="!!!",F4309="NEW"),"",COUNTBLANK(OFFSET(A$1,,,SUMPRODUCT(MAX(ROW(E$2:E4309)*(E4309=E$2:E4309)))))-COUNTBLANK(OFFSET(A$1,,,SUMPRODUCT(MAX(ROW(E$1:E4308)*(E2=E$1:E4308))))))</f>
        <v> </v>
      </c>
      <c r="K4309" s="25" t="str">
        <f>IF(OR(E4309="",E4309="!!!",F4309="NEW"),"",INDEX(J$1:J4308,SUMPRODUCT(MAX(ROW(E$1:E4308)*(E4309=E$1:E4308)))))</f>
        <v> </v>
      </c>
      <c r="L4309" s="26"/>
    </row>
    <row r="4310" spans="1:12">
      <c r="A4310" s="20" t="s">
        <v>1228</v>
      </c>
      <c r="B4310" s="27" t="s">
        <v>1122</v>
      </c>
      <c r="C4310" s="27" t="s">
        <v>1126</v>
      </c>
      <c r="D4310" s="27" t="s">
        <v>1105</v>
      </c>
      <c r="E4310" s="21">
        <f>IF(D4310="?OLD","!!!","")</f>
        <v/>
      </c>
      <c r="F4310" s="22" t="str">
        <f>IF(OR(E4310="",E4310="!!!"),"",IF(NOT(ISNA(VLOOKUP(E4310,E$1:E4309,1,FALSE()))),"OLD",IF(AND(E4310&lt;&gt;"",E4310&lt;&gt;"!!!"),"NEW","")))</f>
        <v> </v>
      </c>
      <c r="G4310" s="23" t="str">
        <f>IF(OR(E4310="",E4310="!!!"),"",IF(OR(J4310=0,AND(J4310=1,K4310=1),AND(J4310=1,I4310="SBJ"),AND(J4310=1,I4310=0)),"?IN_FOCUS",IF(J4310&lt;=2,"?ACTIVATED",IF(J4310&lt;&gt;"","?FAMILIAR",IF(F4310="NEW",IF(ISNA(VLOOKUP(E4310,#REF!,1,FALSE())),"?TYPE_IDENTIFIABLE","?REFERENTIAL"),"_")))))</f>
        <v> </v>
      </c>
      <c r="H4310" s="24" t="str">
        <f>IF(J4310&lt;&gt;1,"",IF(I4310="SBJ","CB","?"))</f>
        <v> </v>
      </c>
      <c r="I4310" s="25" t="str">
        <f>IF(OR(E4310="",E4310="!!!",F4310="NEW"),"",INDEX(B4309:B$2,-1+SUMPRODUCT(MAX(ROW(E4309:E$2)*(E4310=E4309:E$2)))))</f>
        <v> </v>
      </c>
      <c r="J4310" s="25" t="str">
        <f>IF(OR(E4310="",E4310="!!!",F4310="NEW"),"",COUNTBLANK(OFFSET(A$1,,,SUMPRODUCT(MAX(ROW(E$2:E4310)*(E4310=E$2:E4310)))))-COUNTBLANK(OFFSET(A$1,,,SUMPRODUCT(MAX(ROW(E$1:E4309)*(E2=E$1:E4309))))))</f>
        <v> </v>
      </c>
      <c r="K4310" s="25" t="str">
        <f>IF(OR(E4310="",E4310="!!!",F4310="NEW"),"",INDEX(J$1:J4309,SUMPRODUCT(MAX(ROW(E$1:E4309)*(E4310=E$1:E4309)))))</f>
        <v> </v>
      </c>
      <c r="L4310" s="26"/>
    </row>
    <row r="4311" spans="1:12">
      <c r="A4311" s="20" t="s">
        <v>3012</v>
      </c>
      <c r="E4311" s="21">
        <f>IF(D4311="?OLD","!!!","")</f>
        <v/>
      </c>
      <c r="F4311" s="22" t="str">
        <f>IF(OR(E4311="",E4311="!!!"),"",IF(NOT(ISNA(VLOOKUP(E4311,E$1:E4310,1,FALSE()))),"OLD",IF(AND(E4311&lt;&gt;"",E4311&lt;&gt;"!!!"),"NEW","")))</f>
        <v> </v>
      </c>
      <c r="G4311" s="23" t="str">
        <f>IF(OR(E4311="",E4311="!!!"),"",IF(OR(J4311=0,AND(J4311=1,K4311=1),AND(J4311=1,I4311="SBJ"),AND(J4311=1,I4311=0)),"?IN_FOCUS",IF(J4311&lt;=2,"?ACTIVATED",IF(J4311&lt;&gt;"","?FAMILIAR",IF(F4311="NEW",IF(ISNA(VLOOKUP(E4311,#REF!,1,FALSE())),"?TYPE_IDENTIFIABLE","?REFERENTIAL"),"_")))))</f>
        <v> </v>
      </c>
      <c r="H4311" s="24" t="str">
        <f>IF(J4311&lt;&gt;1,"",IF(I4311="SBJ","CB","?"))</f>
        <v> </v>
      </c>
      <c r="I4311" s="25" t="str">
        <f>IF(OR(E4311="",E4311="!!!",F4311="NEW"),"",INDEX(B4310:B$2,-1+SUMPRODUCT(MAX(ROW(E4310:E$2)*(E4311=E4310:E$2)))))</f>
        <v> </v>
      </c>
      <c r="J4311" s="25" t="str">
        <f>IF(OR(E4311="",E4311="!!!",F4311="NEW"),"",COUNTBLANK(OFFSET(A$1,,,SUMPRODUCT(MAX(ROW(E$2:E4311)*(E4311=E$2:E4311)))))-COUNTBLANK(OFFSET(A$1,,,SUMPRODUCT(MAX(ROW(E$1:E4310)*(E2=E$1:E4310))))))</f>
        <v> </v>
      </c>
      <c r="K4311" s="25" t="str">
        <f>IF(OR(E4311="",E4311="!!!",F4311="NEW"),"",INDEX(J$1:J4310,SUMPRODUCT(MAX(ROW(E$1:E4310)*(E4311=E$1:E4310)))))</f>
        <v> </v>
      </c>
      <c r="L4311" s="26"/>
    </row>
    <row r="4312" spans="1:12">
      <c r="A4312" s="20" t="s">
        <v>1123</v>
      </c>
      <c r="E4312" s="21">
        <f>IF(D4312="?OLD","!!!","")</f>
        <v/>
      </c>
      <c r="F4312" s="22" t="str">
        <f>IF(OR(E4312="",E4312="!!!"),"",IF(NOT(ISNA(VLOOKUP(E4312,E$1:E4311,1,FALSE()))),"OLD",IF(AND(E4312&lt;&gt;"",E4312&lt;&gt;"!!!"),"NEW","")))</f>
        <v> </v>
      </c>
      <c r="G4312" s="23" t="str">
        <f>IF(OR(E4312="",E4312="!!!"),"",IF(OR(J4312=0,AND(J4312=1,K4312=1),AND(J4312=1,I4312="SBJ"),AND(J4312=1,I4312=0)),"?IN_FOCUS",IF(J4312&lt;=2,"?ACTIVATED",IF(J4312&lt;&gt;"","?FAMILIAR",IF(F4312="NEW",IF(ISNA(VLOOKUP(E4312,#REF!,1,FALSE())),"?TYPE_IDENTIFIABLE","?REFERENTIAL"),"_")))))</f>
        <v> </v>
      </c>
      <c r="H4312" s="24" t="str">
        <f>IF(J4312&lt;&gt;1,"",IF(I4312="SBJ","CB","?"))</f>
        <v> </v>
      </c>
      <c r="I4312" s="25" t="str">
        <f>IF(OR(E4312="",E4312="!!!",F4312="NEW"),"",INDEX(B4311:B$2,-1+SUMPRODUCT(MAX(ROW(E4311:E$2)*(E4312=E4311:E$2)))))</f>
        <v> </v>
      </c>
      <c r="J4312" s="25" t="str">
        <f>IF(OR(E4312="",E4312="!!!",F4312="NEW"),"",COUNTBLANK(OFFSET(A$1,,,SUMPRODUCT(MAX(ROW(E$2:E4312)*(E4312=E$2:E4312)))))-COUNTBLANK(OFFSET(A$1,,,SUMPRODUCT(MAX(ROW(E$1:E4311)*(E2=E$1:E4311))))))</f>
        <v> </v>
      </c>
      <c r="K4312" s="25" t="str">
        <f>IF(OR(E4312="",E4312="!!!",F4312="NEW"),"",INDEX(J$1:J4311,SUMPRODUCT(MAX(ROW(E$1:E4311)*(E4312=E$1:E4311)))))</f>
        <v> </v>
      </c>
      <c r="L4312" s="26"/>
    </row>
    <row r="4313" spans="1:12">
      <c r="A4313" s="20" t="s">
        <v>2593</v>
      </c>
      <c r="E4313" s="21">
        <f>IF(D4313="?OLD","!!!","")</f>
        <v/>
      </c>
      <c r="F4313" s="22" t="str">
        <f>IF(OR(E4313="",E4313="!!!"),"",IF(NOT(ISNA(VLOOKUP(E4313,E$1:E4312,1,FALSE()))),"OLD",IF(AND(E4313&lt;&gt;"",E4313&lt;&gt;"!!!"),"NEW","")))</f>
        <v> </v>
      </c>
      <c r="G4313" s="23" t="str">
        <f>IF(OR(E4313="",E4313="!!!"),"",IF(OR(J4313=0,AND(J4313=1,K4313=1),AND(J4313=1,I4313="SBJ"),AND(J4313=1,I4313=0)),"?IN_FOCUS",IF(J4313&lt;=2,"?ACTIVATED",IF(J4313&lt;&gt;"","?FAMILIAR",IF(F4313="NEW",IF(ISNA(VLOOKUP(E4313,#REF!,1,FALSE())),"?TYPE_IDENTIFIABLE","?REFERENTIAL"),"_")))))</f>
        <v> </v>
      </c>
      <c r="H4313" s="24" t="str">
        <f>IF(J4313&lt;&gt;1,"",IF(I4313="SBJ","CB","?"))</f>
        <v> </v>
      </c>
      <c r="I4313" s="25" t="str">
        <f>IF(OR(E4313="",E4313="!!!",F4313="NEW"),"",INDEX(B4312:B$2,-1+SUMPRODUCT(MAX(ROW(E4312:E$2)*(E4313=E4312:E$2)))))</f>
        <v> </v>
      </c>
      <c r="J4313" s="25" t="str">
        <f>IF(OR(E4313="",E4313="!!!",F4313="NEW"),"",COUNTBLANK(OFFSET(A$1,,,SUMPRODUCT(MAX(ROW(E$2:E4313)*(E4313=E$2:E4313)))))-COUNTBLANK(OFFSET(A$1,,,SUMPRODUCT(MAX(ROW(E$1:E4312)*(E2=E$1:E4312))))))</f>
        <v> </v>
      </c>
      <c r="K4313" s="25" t="str">
        <f>IF(OR(E4313="",E4313="!!!",F4313="NEW"),"",INDEX(J$1:J4312,SUMPRODUCT(MAX(ROW(E$1:E4312)*(E4313=E$1:E4312)))))</f>
        <v> </v>
      </c>
      <c r="L4313" s="26"/>
    </row>
    <row r="4314" spans="1:12">
      <c r="A4314" s="20" t="s">
        <v>2633</v>
      </c>
      <c r="B4314" s="27" t="s">
        <v>1149</v>
      </c>
      <c r="C4314" s="27" t="s">
        <v>1156</v>
      </c>
      <c r="D4314" s="27" t="s">
        <v>1105</v>
      </c>
      <c r="E4314" s="21">
        <f>IF(D4314="?OLD","!!!","")</f>
        <v/>
      </c>
      <c r="F4314" s="22" t="str">
        <f>IF(OR(E4314="",E4314="!!!"),"",IF(NOT(ISNA(VLOOKUP(E4314,E$1:E4313,1,FALSE()))),"OLD",IF(AND(E4314&lt;&gt;"",E4314&lt;&gt;"!!!"),"NEW","")))</f>
        <v> </v>
      </c>
      <c r="G4314" s="23" t="str">
        <f>IF(OR(E4314="",E4314="!!!"),"",IF(OR(J4314=0,AND(J4314=1,K4314=1),AND(J4314=1,I4314="SBJ"),AND(J4314=1,I4314=0)),"?IN_FOCUS",IF(J4314&lt;=2,"?ACTIVATED",IF(J4314&lt;&gt;"","?FAMILIAR",IF(F4314="NEW",IF(ISNA(VLOOKUP(E4314,#REF!,1,FALSE())),"?TYPE_IDENTIFIABLE","?REFERENTIAL"),"_")))))</f>
        <v> </v>
      </c>
      <c r="H4314" s="24" t="str">
        <f>IF(J4314&lt;&gt;1,"",IF(I4314="SBJ","CB","?"))</f>
        <v> </v>
      </c>
      <c r="I4314" s="25" t="str">
        <f>IF(OR(E4314="",E4314="!!!",F4314="NEW"),"",INDEX(B4313:B$2,-1+SUMPRODUCT(MAX(ROW(E4313:E$2)*(E4314=E4313:E$2)))))</f>
        <v> </v>
      </c>
      <c r="J4314" s="25" t="str">
        <f>IF(OR(E4314="",E4314="!!!",F4314="NEW"),"",COUNTBLANK(OFFSET(A$1,,,SUMPRODUCT(MAX(ROW(E$2:E4314)*(E4314=E$2:E4314)))))-COUNTBLANK(OFFSET(A$1,,,SUMPRODUCT(MAX(ROW(E$1:E4313)*(E2=E$1:E4313))))))</f>
        <v> </v>
      </c>
      <c r="K4314" s="25" t="str">
        <f>IF(OR(E4314="",E4314="!!!",F4314="NEW"),"",INDEX(J$1:J4313,SUMPRODUCT(MAX(ROW(E$1:E4313)*(E4314=E$1:E4313)))))</f>
        <v> </v>
      </c>
      <c r="L4314" s="26"/>
    </row>
    <row r="4315" spans="1:12">
      <c r="A4315" s="20" t="s">
        <v>3013</v>
      </c>
      <c r="E4315" s="21">
        <f>IF(D4315="?OLD","!!!","")</f>
        <v/>
      </c>
      <c r="F4315" s="22" t="str">
        <f>IF(OR(E4315="",E4315="!!!"),"",IF(NOT(ISNA(VLOOKUP(E4315,E$1:E4314,1,FALSE()))),"OLD",IF(AND(E4315&lt;&gt;"",E4315&lt;&gt;"!!!"),"NEW","")))</f>
        <v> </v>
      </c>
      <c r="G4315" s="23" t="str">
        <f>IF(OR(E4315="",E4315="!!!"),"",IF(OR(J4315=0,AND(J4315=1,K4315=1),AND(J4315=1,I4315="SBJ"),AND(J4315=1,I4315=0)),"?IN_FOCUS",IF(J4315&lt;=2,"?ACTIVATED",IF(J4315&lt;&gt;"","?FAMILIAR",IF(F4315="NEW",IF(ISNA(VLOOKUP(E4315,#REF!,1,FALSE())),"?TYPE_IDENTIFIABLE","?REFERENTIAL"),"_")))))</f>
        <v> </v>
      </c>
      <c r="H4315" s="24" t="str">
        <f>IF(J4315&lt;&gt;1,"",IF(I4315="SBJ","CB","?"))</f>
        <v> </v>
      </c>
      <c r="I4315" s="25" t="str">
        <f>IF(OR(E4315="",E4315="!!!",F4315="NEW"),"",INDEX(B4314:B$2,-1+SUMPRODUCT(MAX(ROW(E4314:E$2)*(E4315=E4314:E$2)))))</f>
        <v> </v>
      </c>
      <c r="J4315" s="25" t="str">
        <f>IF(OR(E4315="",E4315="!!!",F4315="NEW"),"",COUNTBLANK(OFFSET(A$1,,,SUMPRODUCT(MAX(ROW(E$2:E4315)*(E4315=E$2:E4315)))))-COUNTBLANK(OFFSET(A$1,,,SUMPRODUCT(MAX(ROW(E$1:E4314)*(E2=E$1:E4314))))))</f>
        <v> </v>
      </c>
      <c r="K4315" s="25" t="str">
        <f>IF(OR(E4315="",E4315="!!!",F4315="NEW"),"",INDEX(J$1:J4314,SUMPRODUCT(MAX(ROW(E$1:E4314)*(E4315=E$1:E4314)))))</f>
        <v> </v>
      </c>
      <c r="L4315" s="26"/>
    </row>
    <row r="4316" spans="1:12">
      <c r="A4316" s="20" t="s">
        <v>1242</v>
      </c>
      <c r="B4316" s="27" t="s">
        <v>1213</v>
      </c>
      <c r="C4316" s="27" t="s">
        <v>1126</v>
      </c>
      <c r="D4316" s="27" t="s">
        <v>1105</v>
      </c>
      <c r="E4316" s="21">
        <f>IF(D4316="?OLD","!!!","")</f>
        <v/>
      </c>
      <c r="F4316" s="22" t="str">
        <f>IF(OR(E4316="",E4316="!!!"),"",IF(NOT(ISNA(VLOOKUP(E4316,E$1:E4315,1,FALSE()))),"OLD",IF(AND(E4316&lt;&gt;"",E4316&lt;&gt;"!!!"),"NEW","")))</f>
        <v> </v>
      </c>
      <c r="G4316" s="23" t="str">
        <f>IF(OR(E4316="",E4316="!!!"),"",IF(OR(J4316=0,AND(J4316=1,K4316=1),AND(J4316=1,I4316="SBJ"),AND(J4316=1,I4316=0)),"?IN_FOCUS",IF(J4316&lt;=2,"?ACTIVATED",IF(J4316&lt;&gt;"","?FAMILIAR",IF(F4316="NEW",IF(ISNA(VLOOKUP(E4316,#REF!,1,FALSE())),"?TYPE_IDENTIFIABLE","?REFERENTIAL"),"_")))))</f>
        <v> </v>
      </c>
      <c r="H4316" s="24" t="str">
        <f>IF(J4316&lt;&gt;1,"",IF(I4316="SBJ","CB","?"))</f>
        <v> </v>
      </c>
      <c r="I4316" s="25" t="str">
        <f>IF(OR(E4316="",E4316="!!!",F4316="NEW"),"",INDEX(B4315:B$2,-1+SUMPRODUCT(MAX(ROW(E4315:E$2)*(E4316=E4315:E$2)))))</f>
        <v> </v>
      </c>
      <c r="J4316" s="25" t="str">
        <f>IF(OR(E4316="",E4316="!!!",F4316="NEW"),"",COUNTBLANK(OFFSET(A$1,,,SUMPRODUCT(MAX(ROW(E$2:E4316)*(E4316=E$2:E4316)))))-COUNTBLANK(OFFSET(A$1,,,SUMPRODUCT(MAX(ROW(E$1:E4315)*(E2=E$1:E4315))))))</f>
        <v> </v>
      </c>
      <c r="K4316" s="25" t="str">
        <f>IF(OR(E4316="",E4316="!!!",F4316="NEW"),"",INDEX(J$1:J4315,SUMPRODUCT(MAX(ROW(E$1:E4315)*(E4316=E$1:E4315)))))</f>
        <v> </v>
      </c>
      <c r="L4316" s="26"/>
    </row>
    <row r="4317" spans="1:12">
      <c r="A4317" s="20" t="s">
        <v>1206</v>
      </c>
      <c r="E4317" s="21">
        <f>IF(D4317="?OLD","!!!","")</f>
        <v/>
      </c>
      <c r="F4317" s="22" t="str">
        <f>IF(OR(E4317="",E4317="!!!"),"",IF(NOT(ISNA(VLOOKUP(E4317,E$1:E4316,1,FALSE()))),"OLD",IF(AND(E4317&lt;&gt;"",E4317&lt;&gt;"!!!"),"NEW","")))</f>
        <v> </v>
      </c>
      <c r="G4317" s="23" t="str">
        <f>IF(OR(E4317="",E4317="!!!"),"",IF(OR(J4317=0,AND(J4317=1,K4317=1),AND(J4317=1,I4317="SBJ"),AND(J4317=1,I4317=0)),"?IN_FOCUS",IF(J4317&lt;=2,"?ACTIVATED",IF(J4317&lt;&gt;"","?FAMILIAR",IF(F4317="NEW",IF(ISNA(VLOOKUP(E4317,#REF!,1,FALSE())),"?TYPE_IDENTIFIABLE","?REFERENTIAL"),"_")))))</f>
        <v> </v>
      </c>
      <c r="H4317" s="24" t="str">
        <f>IF(J4317&lt;&gt;1,"",IF(I4317="SBJ","CB","?"))</f>
        <v> </v>
      </c>
      <c r="I4317" s="25" t="str">
        <f>IF(OR(E4317="",E4317="!!!",F4317="NEW"),"",INDEX(B4316:B$2,-1+SUMPRODUCT(MAX(ROW(E4316:E$2)*(E4317=E4316:E$2)))))</f>
        <v> </v>
      </c>
      <c r="J4317" s="25" t="str">
        <f>IF(OR(E4317="",E4317="!!!",F4317="NEW"),"",COUNTBLANK(OFFSET(A$1,,,SUMPRODUCT(MAX(ROW(E$2:E4317)*(E4317=E$2:E4317)))))-COUNTBLANK(OFFSET(A$1,,,SUMPRODUCT(MAX(ROW(E$1:E4316)*(E2=E$1:E4316))))))</f>
        <v> </v>
      </c>
      <c r="K4317" s="25" t="str">
        <f>IF(OR(E4317="",E4317="!!!",F4317="NEW"),"",INDEX(J$1:J4316,SUMPRODUCT(MAX(ROW(E$1:E4316)*(E4317=E$1:E4316)))))</f>
        <v> </v>
      </c>
      <c r="L4317" s="26"/>
    </row>
    <row r="4318" spans="1:12">
      <c r="A4318" s="20" t="s">
        <v>3014</v>
      </c>
      <c r="E4318" s="21">
        <f>IF(D4318="?OLD","!!!","")</f>
        <v/>
      </c>
      <c r="F4318" s="22" t="str">
        <f>IF(OR(E4318="",E4318="!!!"),"",IF(NOT(ISNA(VLOOKUP(E4318,E$1:E4317,1,FALSE()))),"OLD",IF(AND(E4318&lt;&gt;"",E4318&lt;&gt;"!!!"),"NEW","")))</f>
        <v> </v>
      </c>
      <c r="G4318" s="23" t="str">
        <f>IF(OR(E4318="",E4318="!!!"),"",IF(OR(J4318=0,AND(J4318=1,K4318=1),AND(J4318=1,I4318="SBJ"),AND(J4318=1,I4318=0)),"?IN_FOCUS",IF(J4318&lt;=2,"?ACTIVATED",IF(J4318&lt;&gt;"","?FAMILIAR",IF(F4318="NEW",IF(ISNA(VLOOKUP(E4318,#REF!,1,FALSE())),"?TYPE_IDENTIFIABLE","?REFERENTIAL"),"_")))))</f>
        <v> </v>
      </c>
      <c r="H4318" s="24" t="str">
        <f>IF(J4318&lt;&gt;1,"",IF(I4318="SBJ","CB","?"))</f>
        <v> </v>
      </c>
      <c r="I4318" s="25" t="str">
        <f>IF(OR(E4318="",E4318="!!!",F4318="NEW"),"",INDEX(B4317:B$2,-1+SUMPRODUCT(MAX(ROW(E4317:E$2)*(E4318=E4317:E$2)))))</f>
        <v> </v>
      </c>
      <c r="J4318" s="25" t="str">
        <f>IF(OR(E4318="",E4318="!!!",F4318="NEW"),"",COUNTBLANK(OFFSET(A$1,,,SUMPRODUCT(MAX(ROW(E$2:E4318)*(E4318=E$2:E4318)))))-COUNTBLANK(OFFSET(A$1,,,SUMPRODUCT(MAX(ROW(E$1:E4317)*(E2=E$1:E4317))))))</f>
        <v> </v>
      </c>
      <c r="K4318" s="25" t="str">
        <f>IF(OR(E4318="",E4318="!!!",F4318="NEW"),"",INDEX(J$1:J4317,SUMPRODUCT(MAX(ROW(E$1:E4317)*(E4318=E$1:E4317)))))</f>
        <v> </v>
      </c>
      <c r="L4318" s="26"/>
    </row>
    <row r="4319" spans="1:12">
      <c r="A4319" s="20" t="s">
        <v>3015</v>
      </c>
      <c r="B4319" s="27" t="s">
        <v>1213</v>
      </c>
      <c r="C4319" s="27" t="s">
        <v>1210</v>
      </c>
      <c r="E4319" s="21">
        <f>IF(D4319="?OLD","!!!","")</f>
        <v/>
      </c>
      <c r="F4319" s="22" t="str">
        <f>IF(OR(E4319="",E4319="!!!"),"",IF(NOT(ISNA(VLOOKUP(E4319,E$1:E4318,1,FALSE()))),"OLD",IF(AND(E4319&lt;&gt;"",E4319&lt;&gt;"!!!"),"NEW","")))</f>
        <v> </v>
      </c>
      <c r="G4319" s="23" t="str">
        <f>IF(OR(E4319="",E4319="!!!"),"",IF(OR(J4319=0,AND(J4319=1,K4319=1),AND(J4319=1,I4319="SBJ"),AND(J4319=1,I4319=0)),"?IN_FOCUS",IF(J4319&lt;=2,"?ACTIVATED",IF(J4319&lt;&gt;"","?FAMILIAR",IF(F4319="NEW",IF(ISNA(VLOOKUP(E4319,#REF!,1,FALSE())),"?TYPE_IDENTIFIABLE","?REFERENTIAL"),"_")))))</f>
        <v> </v>
      </c>
      <c r="H4319" s="24" t="str">
        <f>IF(J4319&lt;&gt;1,"",IF(I4319="SBJ","CB","?"))</f>
        <v> </v>
      </c>
      <c r="I4319" s="25" t="str">
        <f>IF(OR(E4319="",E4319="!!!",F4319="NEW"),"",INDEX(B4318:B$2,-1+SUMPRODUCT(MAX(ROW(E4318:E$2)*(E4319=E4318:E$2)))))</f>
        <v> </v>
      </c>
      <c r="J4319" s="25" t="str">
        <f>IF(OR(E4319="",E4319="!!!",F4319="NEW"),"",COUNTBLANK(OFFSET(A$1,,,SUMPRODUCT(MAX(ROW(E$2:E4319)*(E4319=E$2:E4319)))))-COUNTBLANK(OFFSET(A$1,,,SUMPRODUCT(MAX(ROW(E$1:E4318)*(E2=E$1:E4318))))))</f>
        <v> </v>
      </c>
      <c r="K4319" s="25" t="str">
        <f>IF(OR(E4319="",E4319="!!!",F4319="NEW"),"",INDEX(J$1:J4318,SUMPRODUCT(MAX(ROW(E$1:E4318)*(E4319=E$1:E4318)))))</f>
        <v> </v>
      </c>
      <c r="L4319" s="26"/>
    </row>
    <row r="4320" spans="1:12">
      <c r="A4320" s="20" t="s">
        <v>1145</v>
      </c>
      <c r="E4320" s="21">
        <f>IF(D4320="?OLD","!!!","")</f>
        <v/>
      </c>
      <c r="F4320" s="22" t="str">
        <f>IF(OR(E4320="",E4320="!!!"),"",IF(NOT(ISNA(VLOOKUP(E4320,E$1:E4319,1,FALSE()))),"OLD",IF(AND(E4320&lt;&gt;"",E4320&lt;&gt;"!!!"),"NEW","")))</f>
        <v> </v>
      </c>
      <c r="G4320" s="23" t="str">
        <f>IF(OR(E4320="",E4320="!!!"),"",IF(OR(J4320=0,AND(J4320=1,K4320=1),AND(J4320=1,I4320="SBJ"),AND(J4320=1,I4320=0)),"?IN_FOCUS",IF(J4320&lt;=2,"?ACTIVATED",IF(J4320&lt;&gt;"","?FAMILIAR",IF(F4320="NEW",IF(ISNA(VLOOKUP(E4320,#REF!,1,FALSE())),"?TYPE_IDENTIFIABLE","?REFERENTIAL"),"_")))))</f>
        <v> </v>
      </c>
      <c r="H4320" s="24" t="str">
        <f>IF(J4320&lt;&gt;1,"",IF(I4320="SBJ","CB","?"))</f>
        <v> </v>
      </c>
      <c r="I4320" s="25" t="str">
        <f>IF(OR(E4320="",E4320="!!!",F4320="NEW"),"",INDEX(B4319:B$2,-1+SUMPRODUCT(MAX(ROW(E4319:E$2)*(E4320=E4319:E$2)))))</f>
        <v> </v>
      </c>
      <c r="J4320" s="25" t="str">
        <f>IF(OR(E4320="",E4320="!!!",F4320="NEW"),"",COUNTBLANK(OFFSET(A$1,,,SUMPRODUCT(MAX(ROW(E$2:E4320)*(E4320=E$2:E4320)))))-COUNTBLANK(OFFSET(A$1,,,SUMPRODUCT(MAX(ROW(E$1:E4319)*(E2=E$1:E4319))))))</f>
        <v> </v>
      </c>
      <c r="K4320" s="25" t="str">
        <f>IF(OR(E4320="",E4320="!!!",F4320="NEW"),"",INDEX(J$1:J4319,SUMPRODUCT(MAX(ROW(E$1:E4319)*(E4320=E$1:E4319)))))</f>
        <v> </v>
      </c>
      <c r="L4320" s="26"/>
    </row>
    <row r="4321" spans="1:12">
      <c r="A4321" s="20"/>
    </row>
    <row r="4322" spans="1:12">
      <c r="A4322" s="20" t="s">
        <v>3016</v>
      </c>
    </row>
    <row r="4323" spans="1:12">
      <c r="A4323" s="20" t="s">
        <v>3017</v>
      </c>
      <c r="E4323" s="21">
        <f>IF(D4323="?OLD","!!!","")</f>
        <v/>
      </c>
      <c r="F4323" s="22" t="str">
        <f>IF(OR(E4323="",E4323="!!!"),"",IF(NOT(ISNA(VLOOKUP(E4323,E$1:E4322,1,FALSE()))),"OLD",IF(AND(E4323&lt;&gt;"",E4323&lt;&gt;"!!!"),"NEW","")))</f>
        <v> </v>
      </c>
      <c r="G4323" s="23" t="str">
        <f>IF(OR(E4323="",E4323="!!!"),"",IF(OR(J4323=0,AND(J4323=1,K4323=1),AND(J4323=1,I4323="SBJ"),AND(J4323=1,I4323=0)),"?IN_FOCUS",IF(J4323&lt;=2,"?ACTIVATED",IF(J4323&lt;&gt;"","?FAMILIAR",IF(F4323="NEW",IF(ISNA(VLOOKUP(E4323,#REF!,1,FALSE())),"?TYPE_IDENTIFIABLE","?REFERENTIAL"),"_")))))</f>
        <v> </v>
      </c>
      <c r="H4323" s="24" t="str">
        <f>IF(J4323&lt;&gt;1,"",IF(I4323="SBJ","CB","?"))</f>
        <v> </v>
      </c>
      <c r="I4323" s="25" t="str">
        <f>IF(OR(E4323="",E4323="!!!",F4323="NEW"),"",INDEX(B4322:B$2,-1+SUMPRODUCT(MAX(ROW(E4322:E$2)*(E4323=E4322:E$2)))))</f>
        <v> </v>
      </c>
      <c r="J4323" s="25" t="str">
        <f>IF(OR(E4323="",E4323="!!!",F4323="NEW"),"",COUNTBLANK(OFFSET(A$1,,,SUMPRODUCT(MAX(ROW(E$2:E4323)*(E4323=E$2:E4323)))))-COUNTBLANK(OFFSET(A$1,,,SUMPRODUCT(MAX(ROW(E$1:E4322)*(E2=E$1:E4322))))))</f>
        <v> </v>
      </c>
      <c r="K4323" s="25" t="str">
        <f>IF(OR(E4323="",E4323="!!!",F4323="NEW"),"",INDEX(J$1:J4322,SUMPRODUCT(MAX(ROW(E$1:E4322)*(E4323=E$1:E4322)))))</f>
        <v> </v>
      </c>
      <c r="L4323" s="26"/>
    </row>
    <row r="4324" spans="1:12">
      <c r="A4324" s="20" t="s">
        <v>2277</v>
      </c>
      <c r="B4324" s="27" t="s">
        <v>1243</v>
      </c>
      <c r="E4324" s="21">
        <f>IF(D4324="?OLD","!!!","")</f>
        <v/>
      </c>
      <c r="F4324" s="22" t="str">
        <f>IF(OR(E4324="",E4324="!!!"),"",IF(NOT(ISNA(VLOOKUP(E4324,E$1:E4323,1,FALSE()))),"OLD",IF(AND(E4324&lt;&gt;"",E4324&lt;&gt;"!!!"),"NEW","")))</f>
        <v> </v>
      </c>
      <c r="G4324" s="23" t="str">
        <f>IF(OR(E4324="",E4324="!!!"),"",IF(OR(J4324=0,AND(J4324=1,K4324=1),AND(J4324=1,I4324="SBJ"),AND(J4324=1,I4324=0)),"?IN_FOCUS",IF(J4324&lt;=2,"?ACTIVATED",IF(J4324&lt;&gt;"","?FAMILIAR",IF(F4324="NEW",IF(ISNA(VLOOKUP(E4324,#REF!,1,FALSE())),"?TYPE_IDENTIFIABLE","?REFERENTIAL"),"_")))))</f>
        <v> </v>
      </c>
      <c r="H4324" s="24" t="str">
        <f>IF(J4324&lt;&gt;1,"",IF(I4324="SBJ","CB","?"))</f>
        <v> </v>
      </c>
      <c r="I4324" s="25" t="str">
        <f>IF(OR(E4324="",E4324="!!!",F4324="NEW"),"",INDEX(B4323:B$2,-1+SUMPRODUCT(MAX(ROW(E4323:E$2)*(E4324=E4323:E$2)))))</f>
        <v> </v>
      </c>
      <c r="J4324" s="25" t="str">
        <f>IF(OR(E4324="",E4324="!!!",F4324="NEW"),"",COUNTBLANK(OFFSET(A$1,,,SUMPRODUCT(MAX(ROW(E$2:E4324)*(E4324=E$2:E4324)))))-COUNTBLANK(OFFSET(A$1,,,SUMPRODUCT(MAX(ROW(E$1:E4323)*(E2=E$1:E4323))))))</f>
        <v> </v>
      </c>
      <c r="K4324" s="25" t="str">
        <f>IF(OR(E4324="",E4324="!!!",F4324="NEW"),"",INDEX(J$1:J4323,SUMPRODUCT(MAX(ROW(E$1:E4323)*(E4324=E$1:E4323)))))</f>
        <v> </v>
      </c>
      <c r="L4324" s="26"/>
    </row>
    <row r="4325" spans="1:12">
      <c r="A4325" s="20" t="s">
        <v>1120</v>
      </c>
      <c r="E4325" s="21">
        <f>IF(D4325="?OLD","!!!","")</f>
        <v/>
      </c>
      <c r="F4325" s="22" t="str">
        <f>IF(OR(E4325="",E4325="!!!"),"",IF(NOT(ISNA(VLOOKUP(E4325,E$1:E4324,1,FALSE()))),"OLD",IF(AND(E4325&lt;&gt;"",E4325&lt;&gt;"!!!"),"NEW","")))</f>
        <v> </v>
      </c>
      <c r="G4325" s="23" t="str">
        <f>IF(OR(E4325="",E4325="!!!"),"",IF(OR(J4325=0,AND(J4325=1,K4325=1),AND(J4325=1,I4325="SBJ"),AND(J4325=1,I4325=0)),"?IN_FOCUS",IF(J4325&lt;=2,"?ACTIVATED",IF(J4325&lt;&gt;"","?FAMILIAR",IF(F4325="NEW",IF(ISNA(VLOOKUP(E4325,#REF!,1,FALSE())),"?TYPE_IDENTIFIABLE","?REFERENTIAL"),"_")))))</f>
        <v> </v>
      </c>
      <c r="H4325" s="24" t="str">
        <f>IF(J4325&lt;&gt;1,"",IF(I4325="SBJ","CB","?"))</f>
        <v> </v>
      </c>
      <c r="I4325" s="25" t="str">
        <f>IF(OR(E4325="",E4325="!!!",F4325="NEW"),"",INDEX(B4324:B$2,-1+SUMPRODUCT(MAX(ROW(E4324:E$2)*(E4325=E4324:E$2)))))</f>
        <v> </v>
      </c>
      <c r="J4325" s="25" t="str">
        <f>IF(OR(E4325="",E4325="!!!",F4325="NEW"),"",COUNTBLANK(OFFSET(A$1,,,SUMPRODUCT(MAX(ROW(E$2:E4325)*(E4325=E$2:E4325)))))-COUNTBLANK(OFFSET(A$1,,,SUMPRODUCT(MAX(ROW(E$1:E4324)*(E2=E$1:E4324))))))</f>
        <v> </v>
      </c>
      <c r="K4325" s="25" t="str">
        <f>IF(OR(E4325="",E4325="!!!",F4325="NEW"),"",INDEX(J$1:J4324,SUMPRODUCT(MAX(ROW(E$1:E4324)*(E4325=E$1:E4324)))))</f>
        <v> </v>
      </c>
      <c r="L4325" s="26"/>
    </row>
    <row r="4326" spans="1:12">
      <c r="A4326" s="20" t="s">
        <v>3018</v>
      </c>
      <c r="E4326" s="21">
        <f>IF(D4326="?OLD","!!!","")</f>
        <v/>
      </c>
      <c r="F4326" s="22" t="str">
        <f>IF(OR(E4326="",E4326="!!!"),"",IF(NOT(ISNA(VLOOKUP(E4326,E$1:E4325,1,FALSE()))),"OLD",IF(AND(E4326&lt;&gt;"",E4326&lt;&gt;"!!!"),"NEW","")))</f>
        <v> </v>
      </c>
      <c r="G4326" s="23" t="str">
        <f>IF(OR(E4326="",E4326="!!!"),"",IF(OR(J4326=0,AND(J4326=1,K4326=1),AND(J4326=1,I4326="SBJ"),AND(J4326=1,I4326=0)),"?IN_FOCUS",IF(J4326&lt;=2,"?ACTIVATED",IF(J4326&lt;&gt;"","?FAMILIAR",IF(F4326="NEW",IF(ISNA(VLOOKUP(E4326,#REF!,1,FALSE())),"?TYPE_IDENTIFIABLE","?REFERENTIAL"),"_")))))</f>
        <v> </v>
      </c>
      <c r="H4326" s="24" t="str">
        <f>IF(J4326&lt;&gt;1,"",IF(I4326="SBJ","CB","?"))</f>
        <v> </v>
      </c>
      <c r="I4326" s="25" t="str">
        <f>IF(OR(E4326="",E4326="!!!",F4326="NEW"),"",INDEX(B4325:B$2,-1+SUMPRODUCT(MAX(ROW(E4325:E$2)*(E4326=E4325:E$2)))))</f>
        <v> </v>
      </c>
      <c r="J4326" s="25" t="str">
        <f>IF(OR(E4326="",E4326="!!!",F4326="NEW"),"",COUNTBLANK(OFFSET(A$1,,,SUMPRODUCT(MAX(ROW(E$2:E4326)*(E4326=E$2:E4326)))))-COUNTBLANK(OFFSET(A$1,,,SUMPRODUCT(MAX(ROW(E$1:E4325)*(E2=E$1:E4325))))))</f>
        <v> </v>
      </c>
      <c r="K4326" s="25" t="str">
        <f>IF(OR(E4326="",E4326="!!!",F4326="NEW"),"",INDEX(J$1:J4325,SUMPRODUCT(MAX(ROW(E$1:E4325)*(E4326=E$1:E4325)))))</f>
        <v> </v>
      </c>
      <c r="L4326" s="26"/>
    </row>
    <row r="4327" spans="1:12">
      <c r="A4327" s="20" t="s">
        <v>1123</v>
      </c>
      <c r="E4327" s="21">
        <f>IF(D4327="?OLD","!!!","")</f>
        <v/>
      </c>
      <c r="F4327" s="22" t="str">
        <f>IF(OR(E4327="",E4327="!!!"),"",IF(NOT(ISNA(VLOOKUP(E4327,E$1:E4326,1,FALSE()))),"OLD",IF(AND(E4327&lt;&gt;"",E4327&lt;&gt;"!!!"),"NEW","")))</f>
        <v> </v>
      </c>
      <c r="G4327" s="23" t="str">
        <f>IF(OR(E4327="",E4327="!!!"),"",IF(OR(J4327=0,AND(J4327=1,K4327=1),AND(J4327=1,I4327="SBJ"),AND(J4327=1,I4327=0)),"?IN_FOCUS",IF(J4327&lt;=2,"?ACTIVATED",IF(J4327&lt;&gt;"","?FAMILIAR",IF(F4327="NEW",IF(ISNA(VLOOKUP(E4327,#REF!,1,FALSE())),"?TYPE_IDENTIFIABLE","?REFERENTIAL"),"_")))))</f>
        <v> </v>
      </c>
      <c r="H4327" s="24" t="str">
        <f>IF(J4327&lt;&gt;1,"",IF(I4327="SBJ","CB","?"))</f>
        <v> </v>
      </c>
      <c r="I4327" s="25" t="str">
        <f>IF(OR(E4327="",E4327="!!!",F4327="NEW"),"",INDEX(B4326:B$2,-1+SUMPRODUCT(MAX(ROW(E4326:E$2)*(E4327=E4326:E$2)))))</f>
        <v> </v>
      </c>
      <c r="J4327" s="25" t="str">
        <f>IF(OR(E4327="",E4327="!!!",F4327="NEW"),"",COUNTBLANK(OFFSET(A$1,,,SUMPRODUCT(MAX(ROW(E$2:E4327)*(E4327=E$2:E4327)))))-COUNTBLANK(OFFSET(A$1,,,SUMPRODUCT(MAX(ROW(E$1:E4326)*(E2=E$1:E4326))))))</f>
        <v> </v>
      </c>
      <c r="K4327" s="25" t="str">
        <f>IF(OR(E4327="",E4327="!!!",F4327="NEW"),"",INDEX(J$1:J4326,SUMPRODUCT(MAX(ROW(E$1:E4326)*(E4327=E$1:E4326)))))</f>
        <v> </v>
      </c>
      <c r="L4327" s="26"/>
    </row>
    <row r="4328" spans="1:12">
      <c r="A4328" s="20" t="s">
        <v>1224</v>
      </c>
      <c r="E4328" s="21">
        <f>IF(D4328="?OLD","!!!","")</f>
        <v/>
      </c>
      <c r="F4328" s="22" t="str">
        <f>IF(OR(E4328="",E4328="!!!"),"",IF(NOT(ISNA(VLOOKUP(E4328,E$1:E4327,1,FALSE()))),"OLD",IF(AND(E4328&lt;&gt;"",E4328&lt;&gt;"!!!"),"NEW","")))</f>
        <v> </v>
      </c>
      <c r="G4328" s="23" t="str">
        <f>IF(OR(E4328="",E4328="!!!"),"",IF(OR(J4328=0,AND(J4328=1,K4328=1),AND(J4328=1,I4328="SBJ"),AND(J4328=1,I4328=0)),"?IN_FOCUS",IF(J4328&lt;=2,"?ACTIVATED",IF(J4328&lt;&gt;"","?FAMILIAR",IF(F4328="NEW",IF(ISNA(VLOOKUP(E4328,#REF!,1,FALSE())),"?TYPE_IDENTIFIABLE","?REFERENTIAL"),"_")))))</f>
        <v> </v>
      </c>
      <c r="H4328" s="24" t="str">
        <f>IF(J4328&lt;&gt;1,"",IF(I4328="SBJ","CB","?"))</f>
        <v> </v>
      </c>
      <c r="I4328" s="25" t="str">
        <f>IF(OR(E4328="",E4328="!!!",F4328="NEW"),"",INDEX(B4327:B$2,-1+SUMPRODUCT(MAX(ROW(E4327:E$2)*(E4328=E4327:E$2)))))</f>
        <v> </v>
      </c>
      <c r="J4328" s="25" t="str">
        <f>IF(OR(E4328="",E4328="!!!",F4328="NEW"),"",COUNTBLANK(OFFSET(A$1,,,SUMPRODUCT(MAX(ROW(E$2:E4328)*(E4328=E$2:E4328)))))-COUNTBLANK(OFFSET(A$1,,,SUMPRODUCT(MAX(ROW(E$1:E4327)*(E2=E$1:E4327))))))</f>
        <v> </v>
      </c>
      <c r="K4328" s="25" t="str">
        <f>IF(OR(E4328="",E4328="!!!",F4328="NEW"),"",INDEX(J$1:J4327,SUMPRODUCT(MAX(ROW(E$1:E4327)*(E4328=E$1:E4327)))))</f>
        <v> </v>
      </c>
      <c r="L4328" s="26"/>
    </row>
    <row r="4329" spans="1:12">
      <c r="A4329" s="20" t="s">
        <v>396</v>
      </c>
      <c r="E4329" s="21">
        <f>IF(D4329="?OLD","!!!","")</f>
        <v/>
      </c>
      <c r="F4329" s="22" t="str">
        <f>IF(OR(E4329="",E4329="!!!"),"",IF(NOT(ISNA(VLOOKUP(E4329,E$1:E4328,1,FALSE()))),"OLD",IF(AND(E4329&lt;&gt;"",E4329&lt;&gt;"!!!"),"NEW","")))</f>
        <v> </v>
      </c>
      <c r="G4329" s="23" t="str">
        <f>IF(OR(E4329="",E4329="!!!"),"",IF(OR(J4329=0,AND(J4329=1,K4329=1),AND(J4329=1,I4329="SBJ"),AND(J4329=1,I4329=0)),"?IN_FOCUS",IF(J4329&lt;=2,"?ACTIVATED",IF(J4329&lt;&gt;"","?FAMILIAR",IF(F4329="NEW",IF(ISNA(VLOOKUP(E4329,#REF!,1,FALSE())),"?TYPE_IDENTIFIABLE","?REFERENTIAL"),"_")))))</f>
        <v> </v>
      </c>
      <c r="H4329" s="24" t="str">
        <f>IF(J4329&lt;&gt;1,"",IF(I4329="SBJ","CB","?"))</f>
        <v> </v>
      </c>
      <c r="I4329" s="25" t="str">
        <f>IF(OR(E4329="",E4329="!!!",F4329="NEW"),"",INDEX(B4328:B$2,-1+SUMPRODUCT(MAX(ROW(E4328:E$2)*(E4329=E4328:E$2)))))</f>
        <v> </v>
      </c>
      <c r="J4329" s="25" t="str">
        <f>IF(OR(E4329="",E4329="!!!",F4329="NEW"),"",COUNTBLANK(OFFSET(A$1,,,SUMPRODUCT(MAX(ROW(E$2:E4329)*(E4329=E$2:E4329)))))-COUNTBLANK(OFFSET(A$1,,,SUMPRODUCT(MAX(ROW(E$1:E4328)*(E2=E$1:E4328))))))</f>
        <v> </v>
      </c>
      <c r="K4329" s="25" t="str">
        <f>IF(OR(E4329="",E4329="!!!",F4329="NEW"),"",INDEX(J$1:J4328,SUMPRODUCT(MAX(ROW(E$1:E4328)*(E4329=E$1:E4328)))))</f>
        <v> </v>
      </c>
      <c r="L4329" s="26"/>
    </row>
    <row r="4330" spans="1:12">
      <c r="A4330" s="20" t="s">
        <v>3019</v>
      </c>
      <c r="E4330" s="21">
        <f>IF(D4330="?OLD","!!!","")</f>
        <v/>
      </c>
      <c r="F4330" s="22" t="str">
        <f>IF(OR(E4330="",E4330="!!!"),"",IF(NOT(ISNA(VLOOKUP(E4330,E$1:E4329,1,FALSE()))),"OLD",IF(AND(E4330&lt;&gt;"",E4330&lt;&gt;"!!!"),"NEW","")))</f>
        <v> </v>
      </c>
      <c r="G4330" s="23" t="str">
        <f>IF(OR(E4330="",E4330="!!!"),"",IF(OR(J4330=0,AND(J4330=1,K4330=1),AND(J4330=1,I4330="SBJ"),AND(J4330=1,I4330=0)),"?IN_FOCUS",IF(J4330&lt;=2,"?ACTIVATED",IF(J4330&lt;&gt;"","?FAMILIAR",IF(F4330="NEW",IF(ISNA(VLOOKUP(E4330,#REF!,1,FALSE())),"?TYPE_IDENTIFIABLE","?REFERENTIAL"),"_")))))</f>
        <v> </v>
      </c>
      <c r="H4330" s="24" t="str">
        <f>IF(J4330&lt;&gt;1,"",IF(I4330="SBJ","CB","?"))</f>
        <v> </v>
      </c>
      <c r="I4330" s="25" t="str">
        <f>IF(OR(E4330="",E4330="!!!",F4330="NEW"),"",INDEX(B4329:B$2,-1+SUMPRODUCT(MAX(ROW(E4329:E$2)*(E4330=E4329:E$2)))))</f>
        <v> </v>
      </c>
      <c r="J4330" s="25" t="str">
        <f>IF(OR(E4330="",E4330="!!!",F4330="NEW"),"",COUNTBLANK(OFFSET(A$1,,,SUMPRODUCT(MAX(ROW(E$2:E4330)*(E4330=E$2:E4330)))))-COUNTBLANK(OFFSET(A$1,,,SUMPRODUCT(MAX(ROW(E$1:E4329)*(E2=E$1:E4329))))))</f>
        <v> </v>
      </c>
      <c r="K4330" s="25" t="str">
        <f>IF(OR(E4330="",E4330="!!!",F4330="NEW"),"",INDEX(J$1:J4329,SUMPRODUCT(MAX(ROW(E$1:E4329)*(E4330=E$1:E4329)))))</f>
        <v> </v>
      </c>
      <c r="L4330" s="26"/>
    </row>
    <row r="4331" spans="1:12">
      <c r="A4331" s="20" t="s">
        <v>703</v>
      </c>
      <c r="E4331" s="21">
        <f>IF(D4331="?OLD","!!!","")</f>
        <v/>
      </c>
      <c r="F4331" s="22" t="str">
        <f>IF(OR(E4331="",E4331="!!!"),"",IF(NOT(ISNA(VLOOKUP(E4331,E$1:E4330,1,FALSE()))),"OLD",IF(AND(E4331&lt;&gt;"",E4331&lt;&gt;"!!!"),"NEW","")))</f>
        <v> </v>
      </c>
      <c r="G4331" s="23" t="str">
        <f>IF(OR(E4331="",E4331="!!!"),"",IF(OR(J4331=0,AND(J4331=1,K4331=1),AND(J4331=1,I4331="SBJ"),AND(J4331=1,I4331=0)),"?IN_FOCUS",IF(J4331&lt;=2,"?ACTIVATED",IF(J4331&lt;&gt;"","?FAMILIAR",IF(F4331="NEW",IF(ISNA(VLOOKUP(E4331,#REF!,1,FALSE())),"?TYPE_IDENTIFIABLE","?REFERENTIAL"),"_")))))</f>
        <v> </v>
      </c>
      <c r="H4331" s="24" t="str">
        <f>IF(J4331&lt;&gt;1,"",IF(I4331="SBJ","CB","?"))</f>
        <v> </v>
      </c>
      <c r="I4331" s="25" t="str">
        <f>IF(OR(E4331="",E4331="!!!",F4331="NEW"),"",INDEX(B4330:B$2,-1+SUMPRODUCT(MAX(ROW(E4330:E$2)*(E4331=E4330:E$2)))))</f>
        <v> </v>
      </c>
      <c r="J4331" s="25" t="str">
        <f>IF(OR(E4331="",E4331="!!!",F4331="NEW"),"",COUNTBLANK(OFFSET(A$1,,,SUMPRODUCT(MAX(ROW(E$2:E4331)*(E4331=E$2:E4331)))))-COUNTBLANK(OFFSET(A$1,,,SUMPRODUCT(MAX(ROW(E$1:E4330)*(E2=E$1:E4330))))))</f>
        <v> </v>
      </c>
      <c r="K4331" s="25" t="str">
        <f>IF(OR(E4331="",E4331="!!!",F4331="NEW"),"",INDEX(J$1:J4330,SUMPRODUCT(MAX(ROW(E$1:E4330)*(E4331=E$1:E4330)))))</f>
        <v> </v>
      </c>
      <c r="L4331" s="26"/>
    </row>
    <row r="4332" spans="1:12">
      <c r="A4332" s="20" t="s">
        <v>1494</v>
      </c>
      <c r="B4332" s="27" t="s">
        <v>1115</v>
      </c>
      <c r="C4332" s="27" t="s">
        <v>1126</v>
      </c>
      <c r="D4332" s="27" t="s">
        <v>1105</v>
      </c>
      <c r="E4332" s="21">
        <f>IF(D4332="?OLD","!!!","")</f>
        <v/>
      </c>
      <c r="F4332" s="22" t="str">
        <f>IF(OR(E4332="",E4332="!!!"),"",IF(NOT(ISNA(VLOOKUP(E4332,E$1:E4331,1,FALSE()))),"OLD",IF(AND(E4332&lt;&gt;"",E4332&lt;&gt;"!!!"),"NEW","")))</f>
        <v> </v>
      </c>
      <c r="G4332" s="23" t="str">
        <f>IF(OR(E4332="",E4332="!!!"),"",IF(OR(J4332=0,AND(J4332=1,K4332=1),AND(J4332=1,I4332="SBJ"),AND(J4332=1,I4332=0)),"?IN_FOCUS",IF(J4332&lt;=2,"?ACTIVATED",IF(J4332&lt;&gt;"","?FAMILIAR",IF(F4332="NEW",IF(ISNA(VLOOKUP(E4332,#REF!,1,FALSE())),"?TYPE_IDENTIFIABLE","?REFERENTIAL"),"_")))))</f>
        <v> </v>
      </c>
      <c r="H4332" s="24" t="str">
        <f>IF(J4332&lt;&gt;1,"",IF(I4332="SBJ","CB","?"))</f>
        <v> </v>
      </c>
      <c r="I4332" s="25" t="str">
        <f>IF(OR(E4332="",E4332="!!!",F4332="NEW"),"",INDEX(B4331:B$2,-1+SUMPRODUCT(MAX(ROW(E4331:E$2)*(E4332=E4331:E$2)))))</f>
        <v> </v>
      </c>
      <c r="J4332" s="25" t="str">
        <f>IF(OR(E4332="",E4332="!!!",F4332="NEW"),"",COUNTBLANK(OFFSET(A$1,,,SUMPRODUCT(MAX(ROW(E$2:E4332)*(E4332=E$2:E4332)))))-COUNTBLANK(OFFSET(A$1,,,SUMPRODUCT(MAX(ROW(E$1:E4331)*(E2=E$1:E4331))))))</f>
        <v> </v>
      </c>
      <c r="K4332" s="25" t="str">
        <f>IF(OR(E4332="",E4332="!!!",F4332="NEW"),"",INDEX(J$1:J4331,SUMPRODUCT(MAX(ROW(E$1:E4331)*(E4332=E$1:E4331)))))</f>
        <v> </v>
      </c>
      <c r="L4332" s="26"/>
    </row>
    <row r="4333" spans="1:12">
      <c r="A4333" s="20" t="s">
        <v>3020</v>
      </c>
      <c r="E4333" s="21">
        <f>IF(D4333="?OLD","!!!","")</f>
        <v/>
      </c>
      <c r="F4333" s="22" t="str">
        <f>IF(OR(E4333="",E4333="!!!"),"",IF(NOT(ISNA(VLOOKUP(E4333,E$1:E4332,1,FALSE()))),"OLD",IF(AND(E4333&lt;&gt;"",E4333&lt;&gt;"!!!"),"NEW","")))</f>
        <v> </v>
      </c>
      <c r="G4333" s="23" t="str">
        <f>IF(OR(E4333="",E4333="!!!"),"",IF(OR(J4333=0,AND(J4333=1,K4333=1),AND(J4333=1,I4333="SBJ"),AND(J4333=1,I4333=0)),"?IN_FOCUS",IF(J4333&lt;=2,"?ACTIVATED",IF(J4333&lt;&gt;"","?FAMILIAR",IF(F4333="NEW",IF(ISNA(VLOOKUP(E4333,#REF!,1,FALSE())),"?TYPE_IDENTIFIABLE","?REFERENTIAL"),"_")))))</f>
        <v> </v>
      </c>
      <c r="H4333" s="24" t="str">
        <f>IF(J4333&lt;&gt;1,"",IF(I4333="SBJ","CB","?"))</f>
        <v> </v>
      </c>
      <c r="I4333" s="25" t="str">
        <f>IF(OR(E4333="",E4333="!!!",F4333="NEW"),"",INDEX(B4332:B$2,-1+SUMPRODUCT(MAX(ROW(E4332:E$2)*(E4333=E4332:E$2)))))</f>
        <v> </v>
      </c>
      <c r="J4333" s="25" t="str">
        <f>IF(OR(E4333="",E4333="!!!",F4333="NEW"),"",COUNTBLANK(OFFSET(A$1,,,SUMPRODUCT(MAX(ROW(E$2:E4333)*(E4333=E$2:E4333)))))-COUNTBLANK(OFFSET(A$1,,,SUMPRODUCT(MAX(ROW(E$1:E4332)*(E2=E$1:E4332))))))</f>
        <v> </v>
      </c>
      <c r="K4333" s="25" t="str">
        <f>IF(OR(E4333="",E4333="!!!",F4333="NEW"),"",INDEX(J$1:J4332,SUMPRODUCT(MAX(ROW(E$1:E4332)*(E4333=E$1:E4332)))))</f>
        <v> </v>
      </c>
      <c r="L4333" s="26"/>
    </row>
    <row r="4334" spans="1:12">
      <c r="A4334" s="20" t="s">
        <v>1351</v>
      </c>
      <c r="E4334" s="21">
        <f>IF(D4334="?OLD","!!!","")</f>
        <v/>
      </c>
      <c r="F4334" s="22" t="str">
        <f>IF(OR(E4334="",E4334="!!!"),"",IF(NOT(ISNA(VLOOKUP(E4334,E$1:E4333,1,FALSE()))),"OLD",IF(AND(E4334&lt;&gt;"",E4334&lt;&gt;"!!!"),"NEW","")))</f>
        <v> </v>
      </c>
      <c r="G4334" s="23" t="str">
        <f>IF(OR(E4334="",E4334="!!!"),"",IF(OR(J4334=0,AND(J4334=1,K4334=1),AND(J4334=1,I4334="SBJ"),AND(J4334=1,I4334=0)),"?IN_FOCUS",IF(J4334&lt;=2,"?ACTIVATED",IF(J4334&lt;&gt;"","?FAMILIAR",IF(F4334="NEW",IF(ISNA(VLOOKUP(E4334,#REF!,1,FALSE())),"?TYPE_IDENTIFIABLE","?REFERENTIAL"),"_")))))</f>
        <v> </v>
      </c>
      <c r="H4334" s="24" t="str">
        <f>IF(J4334&lt;&gt;1,"",IF(I4334="SBJ","CB","?"))</f>
        <v> </v>
      </c>
      <c r="I4334" s="25" t="str">
        <f>IF(OR(E4334="",E4334="!!!",F4334="NEW"),"",INDEX(B4333:B$2,-1+SUMPRODUCT(MAX(ROW(E4333:E$2)*(E4334=E4333:E$2)))))</f>
        <v> </v>
      </c>
      <c r="J4334" s="25" t="str">
        <f>IF(OR(E4334="",E4334="!!!",F4334="NEW"),"",COUNTBLANK(OFFSET(A$1,,,SUMPRODUCT(MAX(ROW(E$2:E4334)*(E4334=E$2:E4334)))))-COUNTBLANK(OFFSET(A$1,,,SUMPRODUCT(MAX(ROW(E$1:E4333)*(E2=E$1:E4333))))))</f>
        <v> </v>
      </c>
      <c r="K4334" s="25" t="str">
        <f>IF(OR(E4334="",E4334="!!!",F4334="NEW"),"",INDEX(J$1:J4333,SUMPRODUCT(MAX(ROW(E$1:E4333)*(E4334=E$1:E4333)))))</f>
        <v> </v>
      </c>
      <c r="L4334" s="26"/>
    </row>
    <row r="4335" spans="1:12">
      <c r="A4335" s="20"/>
    </row>
    <row r="4336" spans="1:12">
      <c r="A4336" s="20" t="s">
        <v>3021</v>
      </c>
    </row>
    <row r="4337" spans="1:12">
      <c r="A4337" s="20" t="s">
        <v>3022</v>
      </c>
      <c r="E4337" s="21">
        <f>IF(D4337="?OLD","!!!","")</f>
        <v/>
      </c>
      <c r="F4337" s="22" t="str">
        <f>IF(OR(E4337="",E4337="!!!"),"",IF(NOT(ISNA(VLOOKUP(E4337,E$1:E4336,1,FALSE()))),"OLD",IF(AND(E4337&lt;&gt;"",E4337&lt;&gt;"!!!"),"NEW","")))</f>
        <v> </v>
      </c>
      <c r="G4337" s="23" t="str">
        <f>IF(OR(E4337="",E4337="!!!"),"",IF(OR(J4337=0,AND(J4337=1,K4337=1),AND(J4337=1,I4337="SBJ"),AND(J4337=1,I4337=0)),"?IN_FOCUS",IF(J4337&lt;=2,"?ACTIVATED",IF(J4337&lt;&gt;"","?FAMILIAR",IF(F4337="NEW",IF(ISNA(VLOOKUP(E4337,#REF!,1,FALSE())),"?TYPE_IDENTIFIABLE","?REFERENTIAL"),"_")))))</f>
        <v> </v>
      </c>
      <c r="H4337" s="24" t="str">
        <f>IF(J4337&lt;&gt;1,"",IF(I4337="SBJ","CB","?"))</f>
        <v> </v>
      </c>
      <c r="I4337" s="25" t="str">
        <f>IF(OR(E4337="",E4337="!!!",F4337="NEW"),"",INDEX(B4336:B$2,-1+SUMPRODUCT(MAX(ROW(E4336:E$2)*(E4337=E4336:E$2)))))</f>
        <v> </v>
      </c>
      <c r="J4337" s="25" t="str">
        <f>IF(OR(E4337="",E4337="!!!",F4337="NEW"),"",COUNTBLANK(OFFSET(A$1,,,SUMPRODUCT(MAX(ROW(E$2:E4337)*(E4337=E$2:E4337)))))-COUNTBLANK(OFFSET(A$1,,,SUMPRODUCT(MAX(ROW(E$1:E4336)*(E2=E$1:E4336))))))</f>
        <v> </v>
      </c>
      <c r="K4337" s="25" t="str">
        <f>IF(OR(E4337="",E4337="!!!",F4337="NEW"),"",INDEX(J$1:J4336,SUMPRODUCT(MAX(ROW(E$1:E4336)*(E4337=E$1:E4336)))))</f>
        <v> </v>
      </c>
      <c r="L4337" s="26"/>
    </row>
    <row r="4338" spans="1:12">
      <c r="A4338" s="20" t="s">
        <v>1128</v>
      </c>
      <c r="E4338" s="21">
        <f>IF(D4338="?OLD","!!!","")</f>
        <v/>
      </c>
      <c r="F4338" s="22" t="str">
        <f>IF(OR(E4338="",E4338="!!!"),"",IF(NOT(ISNA(VLOOKUP(E4338,E$1:E4337,1,FALSE()))),"OLD",IF(AND(E4338&lt;&gt;"",E4338&lt;&gt;"!!!"),"NEW","")))</f>
        <v> </v>
      </c>
      <c r="G4338" s="23" t="str">
        <f>IF(OR(E4338="",E4338="!!!"),"",IF(OR(J4338=0,AND(J4338=1,K4338=1),AND(J4338=1,I4338="SBJ"),AND(J4338=1,I4338=0)),"?IN_FOCUS",IF(J4338&lt;=2,"?ACTIVATED",IF(J4338&lt;&gt;"","?FAMILIAR",IF(F4338="NEW",IF(ISNA(VLOOKUP(E4338,#REF!,1,FALSE())),"?TYPE_IDENTIFIABLE","?REFERENTIAL"),"_")))))</f>
        <v> </v>
      </c>
      <c r="H4338" s="24" t="str">
        <f>IF(J4338&lt;&gt;1,"",IF(I4338="SBJ","CB","?"))</f>
        <v> </v>
      </c>
      <c r="I4338" s="25" t="str">
        <f>IF(OR(E4338="",E4338="!!!",F4338="NEW"),"",INDEX(B4337:B$2,-1+SUMPRODUCT(MAX(ROW(E4337:E$2)*(E4338=E4337:E$2)))))</f>
        <v> </v>
      </c>
      <c r="J4338" s="25" t="str">
        <f>IF(OR(E4338="",E4338="!!!",F4338="NEW"),"",COUNTBLANK(OFFSET(A$1,,,SUMPRODUCT(MAX(ROW(E$2:E4338)*(E4338=E$2:E4338)))))-COUNTBLANK(OFFSET(A$1,,,SUMPRODUCT(MAX(ROW(E$1:E4337)*(E2=E$1:E4337))))))</f>
        <v> </v>
      </c>
      <c r="K4338" s="25" t="str">
        <f>IF(OR(E4338="",E4338="!!!",F4338="NEW"),"",INDEX(J$1:J4337,SUMPRODUCT(MAX(ROW(E$1:E4337)*(E4338=E$1:E4337)))))</f>
        <v> </v>
      </c>
      <c r="L4338" s="26"/>
    </row>
    <row r="4339" spans="1:12">
      <c r="A4339" s="20" t="s">
        <v>3023</v>
      </c>
      <c r="E4339" s="21">
        <f>IF(D4339="?OLD","!!!","")</f>
        <v/>
      </c>
      <c r="F4339" s="22" t="str">
        <f>IF(OR(E4339="",E4339="!!!"),"",IF(NOT(ISNA(VLOOKUP(E4339,E$1:E4338,1,FALSE()))),"OLD",IF(AND(E4339&lt;&gt;"",E4339&lt;&gt;"!!!"),"NEW","")))</f>
        <v> </v>
      </c>
      <c r="G4339" s="23" t="str">
        <f>IF(OR(E4339="",E4339="!!!"),"",IF(OR(J4339=0,AND(J4339=1,K4339=1),AND(J4339=1,I4339="SBJ"),AND(J4339=1,I4339=0)),"?IN_FOCUS",IF(J4339&lt;=2,"?ACTIVATED",IF(J4339&lt;&gt;"","?FAMILIAR",IF(F4339="NEW",IF(ISNA(VLOOKUP(E4339,#REF!,1,FALSE())),"?TYPE_IDENTIFIABLE","?REFERENTIAL"),"_")))))</f>
        <v> </v>
      </c>
      <c r="H4339" s="24" t="str">
        <f>IF(J4339&lt;&gt;1,"",IF(I4339="SBJ","CB","?"))</f>
        <v> </v>
      </c>
      <c r="I4339" s="25" t="str">
        <f>IF(OR(E4339="",E4339="!!!",F4339="NEW"),"",INDEX(B4338:B$2,-1+SUMPRODUCT(MAX(ROW(E4338:E$2)*(E4339=E4338:E$2)))))</f>
        <v> </v>
      </c>
      <c r="J4339" s="25" t="str">
        <f>IF(OR(E4339="",E4339="!!!",F4339="NEW"),"",COUNTBLANK(OFFSET(A$1,,,SUMPRODUCT(MAX(ROW(E$2:E4339)*(E4339=E$2:E4339)))))-COUNTBLANK(OFFSET(A$1,,,SUMPRODUCT(MAX(ROW(E$1:E4338)*(E2=E$1:E4338))))))</f>
        <v> </v>
      </c>
      <c r="K4339" s="25" t="str">
        <f>IF(OR(E4339="",E4339="!!!",F4339="NEW"),"",INDEX(J$1:J4338,SUMPRODUCT(MAX(ROW(E$1:E4338)*(E4339=E$1:E4338)))))</f>
        <v> </v>
      </c>
      <c r="L4339" s="26"/>
    </row>
    <row r="4340" spans="1:12">
      <c r="A4340" s="20" t="s">
        <v>2593</v>
      </c>
      <c r="E4340" s="21">
        <f>IF(D4340="?OLD","!!!","")</f>
        <v/>
      </c>
      <c r="F4340" s="22" t="str">
        <f>IF(OR(E4340="",E4340="!!!"),"",IF(NOT(ISNA(VLOOKUP(E4340,E$1:E4339,1,FALSE()))),"OLD",IF(AND(E4340&lt;&gt;"",E4340&lt;&gt;"!!!"),"NEW","")))</f>
        <v> </v>
      </c>
      <c r="G4340" s="23" t="str">
        <f>IF(OR(E4340="",E4340="!!!"),"",IF(OR(J4340=0,AND(J4340=1,K4340=1),AND(J4340=1,I4340="SBJ"),AND(J4340=1,I4340=0)),"?IN_FOCUS",IF(J4340&lt;=2,"?ACTIVATED",IF(J4340&lt;&gt;"","?FAMILIAR",IF(F4340="NEW",IF(ISNA(VLOOKUP(E4340,#REF!,1,FALSE())),"?TYPE_IDENTIFIABLE","?REFERENTIAL"),"_")))))</f>
        <v> </v>
      </c>
      <c r="H4340" s="24" t="str">
        <f>IF(J4340&lt;&gt;1,"",IF(I4340="SBJ","CB","?"))</f>
        <v> </v>
      </c>
      <c r="I4340" s="25" t="str">
        <f>IF(OR(E4340="",E4340="!!!",F4340="NEW"),"",INDEX(B4339:B$2,-1+SUMPRODUCT(MAX(ROW(E4339:E$2)*(E4340=E4339:E$2)))))</f>
        <v> </v>
      </c>
      <c r="J4340" s="25" t="str">
        <f>IF(OR(E4340="",E4340="!!!",F4340="NEW"),"",COUNTBLANK(OFFSET(A$1,,,SUMPRODUCT(MAX(ROW(E$2:E4340)*(E4340=E$2:E4340)))))-COUNTBLANK(OFFSET(A$1,,,SUMPRODUCT(MAX(ROW(E$1:E4339)*(E2=E$1:E4339))))))</f>
        <v> </v>
      </c>
      <c r="K4340" s="25" t="str">
        <f>IF(OR(E4340="",E4340="!!!",F4340="NEW"),"",INDEX(J$1:J4339,SUMPRODUCT(MAX(ROW(E$1:E4339)*(E4340=E$1:E4339)))))</f>
        <v> </v>
      </c>
      <c r="L4340" s="26"/>
    </row>
    <row r="4341" spans="1:12">
      <c r="A4341" s="20" t="s">
        <v>3024</v>
      </c>
      <c r="B4341" s="27" t="s">
        <v>1149</v>
      </c>
      <c r="C4341" s="27" t="s">
        <v>1156</v>
      </c>
      <c r="D4341" s="27" t="s">
        <v>1105</v>
      </c>
      <c r="E4341" s="21">
        <f>IF(D4341="?OLD","!!!","")</f>
        <v/>
      </c>
      <c r="F4341" s="22" t="str">
        <f>IF(OR(E4341="",E4341="!!!"),"",IF(NOT(ISNA(VLOOKUP(E4341,E$1:E4340,1,FALSE()))),"OLD",IF(AND(E4341&lt;&gt;"",E4341&lt;&gt;"!!!"),"NEW","")))</f>
        <v> </v>
      </c>
      <c r="G4341" s="23" t="str">
        <f>IF(OR(E4341="",E4341="!!!"),"",IF(OR(J4341=0,AND(J4341=1,K4341=1),AND(J4341=1,I4341="SBJ"),AND(J4341=1,I4341=0)),"?IN_FOCUS",IF(J4341&lt;=2,"?ACTIVATED",IF(J4341&lt;&gt;"","?FAMILIAR",IF(F4341="NEW",IF(ISNA(VLOOKUP(E4341,#REF!,1,FALSE())),"?TYPE_IDENTIFIABLE","?REFERENTIAL"),"_")))))</f>
        <v> </v>
      </c>
      <c r="H4341" s="24" t="str">
        <f>IF(J4341&lt;&gt;1,"",IF(I4341="SBJ","CB","?"))</f>
        <v> </v>
      </c>
      <c r="I4341" s="25" t="str">
        <f>IF(OR(E4341="",E4341="!!!",F4341="NEW"),"",INDEX(B4340:B$2,-1+SUMPRODUCT(MAX(ROW(E4340:E$2)*(E4341=E4340:E$2)))))</f>
        <v> </v>
      </c>
      <c r="J4341" s="25" t="str">
        <f>IF(OR(E4341="",E4341="!!!",F4341="NEW"),"",COUNTBLANK(OFFSET(A$1,,,SUMPRODUCT(MAX(ROW(E$2:E4341)*(E4341=E$2:E4341)))))-COUNTBLANK(OFFSET(A$1,,,SUMPRODUCT(MAX(ROW(E$1:E4340)*(E2=E$1:E4340))))))</f>
        <v> </v>
      </c>
      <c r="K4341" s="25" t="str">
        <f>IF(OR(E4341="",E4341="!!!",F4341="NEW"),"",INDEX(J$1:J4340,SUMPRODUCT(MAX(ROW(E$1:E4340)*(E4341=E$1:E4340)))))</f>
        <v> </v>
      </c>
      <c r="L4341" s="26"/>
    </row>
    <row r="4342" spans="1:12">
      <c r="A4342" s="20" t="s">
        <v>1123</v>
      </c>
      <c r="E4342" s="21">
        <f>IF(D4342="?OLD","!!!","")</f>
        <v/>
      </c>
      <c r="F4342" s="22" t="str">
        <f>IF(OR(E4342="",E4342="!!!"),"",IF(NOT(ISNA(VLOOKUP(E4342,E$1:E4341,1,FALSE()))),"OLD",IF(AND(E4342&lt;&gt;"",E4342&lt;&gt;"!!!"),"NEW","")))</f>
        <v> </v>
      </c>
      <c r="G4342" s="23" t="str">
        <f>IF(OR(E4342="",E4342="!!!"),"",IF(OR(J4342=0,AND(J4342=1,K4342=1),AND(J4342=1,I4342="SBJ"),AND(J4342=1,I4342=0)),"?IN_FOCUS",IF(J4342&lt;=2,"?ACTIVATED",IF(J4342&lt;&gt;"","?FAMILIAR",IF(F4342="NEW",IF(ISNA(VLOOKUP(E4342,#REF!,1,FALSE())),"?TYPE_IDENTIFIABLE","?REFERENTIAL"),"_")))))</f>
        <v> </v>
      </c>
      <c r="H4342" s="24" t="str">
        <f>IF(J4342&lt;&gt;1,"",IF(I4342="SBJ","CB","?"))</f>
        <v> </v>
      </c>
      <c r="I4342" s="25" t="str">
        <f>IF(OR(E4342="",E4342="!!!",F4342="NEW"),"",INDEX(B4341:B$2,-1+SUMPRODUCT(MAX(ROW(E4341:E$2)*(E4342=E4341:E$2)))))</f>
        <v> </v>
      </c>
      <c r="J4342" s="25" t="str">
        <f>IF(OR(E4342="",E4342="!!!",F4342="NEW"),"",COUNTBLANK(OFFSET(A$1,,,SUMPRODUCT(MAX(ROW(E$2:E4342)*(E4342=E$2:E4342)))))-COUNTBLANK(OFFSET(A$1,,,SUMPRODUCT(MAX(ROW(E$1:E4341)*(E2=E$1:E4341))))))</f>
        <v> </v>
      </c>
      <c r="K4342" s="25" t="str">
        <f>IF(OR(E4342="",E4342="!!!",F4342="NEW"),"",INDEX(J$1:J4341,SUMPRODUCT(MAX(ROW(E$1:E4341)*(E4342=E$1:E4341)))))</f>
        <v> </v>
      </c>
      <c r="L4342" s="26"/>
    </row>
    <row r="4343" spans="1:12">
      <c r="A4343" s="20" t="s">
        <v>1195</v>
      </c>
      <c r="E4343" s="21">
        <f>IF(D4343="?OLD","!!!","")</f>
        <v/>
      </c>
      <c r="F4343" s="22" t="str">
        <f>IF(OR(E4343="",E4343="!!!"),"",IF(NOT(ISNA(VLOOKUP(E4343,E$1:E4342,1,FALSE()))),"OLD",IF(AND(E4343&lt;&gt;"",E4343&lt;&gt;"!!!"),"NEW","")))</f>
        <v> </v>
      </c>
      <c r="G4343" s="23" t="str">
        <f>IF(OR(E4343="",E4343="!!!"),"",IF(OR(J4343=0,AND(J4343=1,K4343=1),AND(J4343=1,I4343="SBJ"),AND(J4343=1,I4343=0)),"?IN_FOCUS",IF(J4343&lt;=2,"?ACTIVATED",IF(J4343&lt;&gt;"","?FAMILIAR",IF(F4343="NEW",IF(ISNA(VLOOKUP(E4343,#REF!,1,FALSE())),"?TYPE_IDENTIFIABLE","?REFERENTIAL"),"_")))))</f>
        <v> </v>
      </c>
      <c r="H4343" s="24" t="str">
        <f>IF(J4343&lt;&gt;1,"",IF(I4343="SBJ","CB","?"))</f>
        <v> </v>
      </c>
      <c r="I4343" s="25" t="str">
        <f>IF(OR(E4343="",E4343="!!!",F4343="NEW"),"",INDEX(B4342:B$2,-1+SUMPRODUCT(MAX(ROW(E4342:E$2)*(E4343=E4342:E$2)))))</f>
        <v> </v>
      </c>
      <c r="J4343" s="25" t="str">
        <f>IF(OR(E4343="",E4343="!!!",F4343="NEW"),"",COUNTBLANK(OFFSET(A$1,,,SUMPRODUCT(MAX(ROW(E$2:E4343)*(E4343=E$2:E4343)))))-COUNTBLANK(OFFSET(A$1,,,SUMPRODUCT(MAX(ROW(E$1:E4342)*(E2=E$1:E4342))))))</f>
        <v> </v>
      </c>
      <c r="K4343" s="25" t="str">
        <f>IF(OR(E4343="",E4343="!!!",F4343="NEW"),"",INDEX(J$1:J4342,SUMPRODUCT(MAX(ROW(E$1:E4342)*(E4343=E$1:E4342)))))</f>
        <v> </v>
      </c>
      <c r="L4343" s="26"/>
    </row>
    <row r="4344" spans="1:12">
      <c r="A4344" s="20" t="s">
        <v>1298</v>
      </c>
      <c r="B4344" s="27" t="s">
        <v>1110</v>
      </c>
      <c r="C4344" s="27" t="s">
        <v>1133</v>
      </c>
      <c r="E4344" s="21">
        <f>IF(D4344="?OLD","!!!","")</f>
        <v/>
      </c>
      <c r="F4344" s="22" t="str">
        <f>IF(OR(E4344="",E4344="!!!"),"",IF(NOT(ISNA(VLOOKUP(E4344,E$1:E4343,1,FALSE()))),"OLD",IF(AND(E4344&lt;&gt;"",E4344&lt;&gt;"!!!"),"NEW","")))</f>
        <v> </v>
      </c>
      <c r="G4344" s="23" t="str">
        <f>IF(OR(E4344="",E4344="!!!"),"",IF(OR(J4344=0,AND(J4344=1,K4344=1),AND(J4344=1,I4344="SBJ"),AND(J4344=1,I4344=0)),"?IN_FOCUS",IF(J4344&lt;=2,"?ACTIVATED",IF(J4344&lt;&gt;"","?FAMILIAR",IF(F4344="NEW",IF(ISNA(VLOOKUP(E4344,#REF!,1,FALSE())),"?TYPE_IDENTIFIABLE","?REFERENTIAL"),"_")))))</f>
        <v> </v>
      </c>
      <c r="H4344" s="24" t="str">
        <f>IF(J4344&lt;&gt;1,"",IF(I4344="SBJ","CB","?"))</f>
        <v> </v>
      </c>
      <c r="I4344" s="25" t="str">
        <f>IF(OR(E4344="",E4344="!!!",F4344="NEW"),"",INDEX(B4343:B$2,-1+SUMPRODUCT(MAX(ROW(E4343:E$2)*(E4344=E4343:E$2)))))</f>
        <v> </v>
      </c>
      <c r="J4344" s="25" t="str">
        <f>IF(OR(E4344="",E4344="!!!",F4344="NEW"),"",COUNTBLANK(OFFSET(A$1,,,SUMPRODUCT(MAX(ROW(E$2:E4344)*(E4344=E$2:E4344)))))-COUNTBLANK(OFFSET(A$1,,,SUMPRODUCT(MAX(ROW(E$1:E4343)*(E2=E$1:E4343))))))</f>
        <v> </v>
      </c>
      <c r="K4344" s="25" t="str">
        <f>IF(OR(E4344="",E4344="!!!",F4344="NEW"),"",INDEX(J$1:J4343,SUMPRODUCT(MAX(ROW(E$1:E4343)*(E4344=E$1:E4343)))))</f>
        <v> </v>
      </c>
      <c r="L4344" s="26"/>
    </row>
    <row r="4345" spans="1:12">
      <c r="A4345" s="20" t="s">
        <v>3025</v>
      </c>
      <c r="B4345" s="27" t="s">
        <v>1115</v>
      </c>
      <c r="E4345" s="21">
        <f>IF(D4345="?OLD","!!!","")</f>
        <v/>
      </c>
      <c r="F4345" s="22" t="str">
        <f>IF(OR(E4345="",E4345="!!!"),"",IF(NOT(ISNA(VLOOKUP(E4345,E$1:E4344,1,FALSE()))),"OLD",IF(AND(E4345&lt;&gt;"",E4345&lt;&gt;"!!!"),"NEW","")))</f>
        <v> </v>
      </c>
      <c r="G4345" s="23" t="str">
        <f>IF(OR(E4345="",E4345="!!!"),"",IF(OR(J4345=0,AND(J4345=1,K4345=1),AND(J4345=1,I4345="SBJ"),AND(J4345=1,I4345=0)),"?IN_FOCUS",IF(J4345&lt;=2,"?ACTIVATED",IF(J4345&lt;&gt;"","?FAMILIAR",IF(F4345="NEW",IF(ISNA(VLOOKUP(E4345,#REF!,1,FALSE())),"?TYPE_IDENTIFIABLE","?REFERENTIAL"),"_")))))</f>
        <v> </v>
      </c>
      <c r="H4345" s="24" t="str">
        <f>IF(J4345&lt;&gt;1,"",IF(I4345="SBJ","CB","?"))</f>
        <v> </v>
      </c>
      <c r="I4345" s="25" t="str">
        <f>IF(OR(E4345="",E4345="!!!",F4345="NEW"),"",INDEX(B4344:B$2,-1+SUMPRODUCT(MAX(ROW(E4344:E$2)*(E4345=E4344:E$2)))))</f>
        <v> </v>
      </c>
      <c r="J4345" s="25" t="str">
        <f>IF(OR(E4345="",E4345="!!!",F4345="NEW"),"",COUNTBLANK(OFFSET(A$1,,,SUMPRODUCT(MAX(ROW(E$2:E4345)*(E4345=E$2:E4345)))))-COUNTBLANK(OFFSET(A$1,,,SUMPRODUCT(MAX(ROW(E$1:E4344)*(E2=E$1:E4344))))))</f>
        <v> </v>
      </c>
      <c r="K4345" s="25" t="str">
        <f>IF(OR(E4345="",E4345="!!!",F4345="NEW"),"",INDEX(J$1:J4344,SUMPRODUCT(MAX(ROW(E$1:E4344)*(E4345=E$1:E4344)))))</f>
        <v> </v>
      </c>
      <c r="L4345" s="26"/>
    </row>
    <row r="4346" spans="1:12">
      <c r="A4346" s="20" t="s">
        <v>1693</v>
      </c>
      <c r="E4346" s="21">
        <f>IF(D4346="?OLD","!!!","")</f>
        <v/>
      </c>
      <c r="F4346" s="22" t="str">
        <f>IF(OR(E4346="",E4346="!!!"),"",IF(NOT(ISNA(VLOOKUP(E4346,E$1:E4345,1,FALSE()))),"OLD",IF(AND(E4346&lt;&gt;"",E4346&lt;&gt;"!!!"),"NEW","")))</f>
        <v> </v>
      </c>
      <c r="G4346" s="23" t="str">
        <f>IF(OR(E4346="",E4346="!!!"),"",IF(OR(J4346=0,AND(J4346=1,K4346=1),AND(J4346=1,I4346="SBJ"),AND(J4346=1,I4346=0)),"?IN_FOCUS",IF(J4346&lt;=2,"?ACTIVATED",IF(J4346&lt;&gt;"","?FAMILIAR",IF(F4346="NEW",IF(ISNA(VLOOKUP(E4346,#REF!,1,FALSE())),"?TYPE_IDENTIFIABLE","?REFERENTIAL"),"_")))))</f>
        <v> </v>
      </c>
      <c r="H4346" s="24" t="str">
        <f>IF(J4346&lt;&gt;1,"",IF(I4346="SBJ","CB","?"))</f>
        <v> </v>
      </c>
      <c r="I4346" s="25" t="str">
        <f>IF(OR(E4346="",E4346="!!!",F4346="NEW"),"",INDEX(B4345:B$2,-1+SUMPRODUCT(MAX(ROW(E4345:E$2)*(E4346=E4345:E$2)))))</f>
        <v> </v>
      </c>
      <c r="J4346" s="25" t="str">
        <f>IF(OR(E4346="",E4346="!!!",F4346="NEW"),"",COUNTBLANK(OFFSET(A$1,,,SUMPRODUCT(MAX(ROW(E$2:E4346)*(E4346=E$2:E4346)))))-COUNTBLANK(OFFSET(A$1,,,SUMPRODUCT(MAX(ROW(E$1:E4345)*(E2=E$1:E4345))))))</f>
        <v> </v>
      </c>
      <c r="K4346" s="25" t="str">
        <f>IF(OR(E4346="",E4346="!!!",F4346="NEW"),"",INDEX(J$1:J4345,SUMPRODUCT(MAX(ROW(E$1:E4345)*(E4346=E$1:E4345)))))</f>
        <v> </v>
      </c>
      <c r="L4346" s="26"/>
    </row>
    <row r="4347" spans="1:12">
      <c r="A4347" s="20" t="s">
        <v>3026</v>
      </c>
      <c r="E4347" s="21">
        <f>IF(D4347="?OLD","!!!","")</f>
        <v/>
      </c>
      <c r="F4347" s="22" t="str">
        <f>IF(OR(E4347="",E4347="!!!"),"",IF(NOT(ISNA(VLOOKUP(E4347,E$1:E4346,1,FALSE()))),"OLD",IF(AND(E4347&lt;&gt;"",E4347&lt;&gt;"!!!"),"NEW","")))</f>
        <v> </v>
      </c>
      <c r="G4347" s="23" t="str">
        <f>IF(OR(E4347="",E4347="!!!"),"",IF(OR(J4347=0,AND(J4347=1,K4347=1),AND(J4347=1,I4347="SBJ"),AND(J4347=1,I4347=0)),"?IN_FOCUS",IF(J4347&lt;=2,"?ACTIVATED",IF(J4347&lt;&gt;"","?FAMILIAR",IF(F4347="NEW",IF(ISNA(VLOOKUP(E4347,#REF!,1,FALSE())),"?TYPE_IDENTIFIABLE","?REFERENTIAL"),"_")))))</f>
        <v> </v>
      </c>
      <c r="H4347" s="24" t="str">
        <f>IF(J4347&lt;&gt;1,"",IF(I4347="SBJ","CB","?"))</f>
        <v> </v>
      </c>
      <c r="I4347" s="25" t="str">
        <f>IF(OR(E4347="",E4347="!!!",F4347="NEW"),"",INDEX(B4346:B$2,-1+SUMPRODUCT(MAX(ROW(E4346:E$2)*(E4347=E4346:E$2)))))</f>
        <v> </v>
      </c>
      <c r="J4347" s="25" t="str">
        <f>IF(OR(E4347="",E4347="!!!",F4347="NEW"),"",COUNTBLANK(OFFSET(A$1,,,SUMPRODUCT(MAX(ROW(E$2:E4347)*(E4347=E$2:E4347)))))-COUNTBLANK(OFFSET(A$1,,,SUMPRODUCT(MAX(ROW(E$1:E4346)*(E2=E$1:E4346))))))</f>
        <v> </v>
      </c>
      <c r="K4347" s="25" t="str">
        <f>IF(OR(E4347="",E4347="!!!",F4347="NEW"),"",INDEX(J$1:J4346,SUMPRODUCT(MAX(ROW(E$1:E4346)*(E4347=E$1:E4346)))))</f>
        <v> </v>
      </c>
      <c r="L4347" s="26"/>
    </row>
    <row r="4348" spans="1:12">
      <c r="A4348" s="20" t="s">
        <v>3027</v>
      </c>
      <c r="E4348" s="21">
        <f>IF(D4348="?OLD","!!!","")</f>
        <v/>
      </c>
      <c r="F4348" s="22" t="str">
        <f>IF(OR(E4348="",E4348="!!!"),"",IF(NOT(ISNA(VLOOKUP(E4348,E$1:E4347,1,FALSE()))),"OLD",IF(AND(E4348&lt;&gt;"",E4348&lt;&gt;"!!!"),"NEW","")))</f>
        <v> </v>
      </c>
      <c r="G4348" s="23" t="str">
        <f>IF(OR(E4348="",E4348="!!!"),"",IF(OR(J4348=0,AND(J4348=1,K4348=1),AND(J4348=1,I4348="SBJ"),AND(J4348=1,I4348=0)),"?IN_FOCUS",IF(J4348&lt;=2,"?ACTIVATED",IF(J4348&lt;&gt;"","?FAMILIAR",IF(F4348="NEW",IF(ISNA(VLOOKUP(E4348,#REF!,1,FALSE())),"?TYPE_IDENTIFIABLE","?REFERENTIAL"),"_")))))</f>
        <v> </v>
      </c>
      <c r="H4348" s="24" t="str">
        <f>IF(J4348&lt;&gt;1,"",IF(I4348="SBJ","CB","?"))</f>
        <v> </v>
      </c>
      <c r="I4348" s="25" t="str">
        <f>IF(OR(E4348="",E4348="!!!",F4348="NEW"),"",INDEX(B4347:B$2,-1+SUMPRODUCT(MAX(ROW(E4347:E$2)*(E4348=E4347:E$2)))))</f>
        <v> </v>
      </c>
      <c r="J4348" s="25" t="str">
        <f>IF(OR(E4348="",E4348="!!!",F4348="NEW"),"",COUNTBLANK(OFFSET(A$1,,,SUMPRODUCT(MAX(ROW(E$2:E4348)*(E4348=E$2:E4348)))))-COUNTBLANK(OFFSET(A$1,,,SUMPRODUCT(MAX(ROW(E$1:E4347)*(E2=E$1:E4347))))))</f>
        <v> </v>
      </c>
      <c r="K4348" s="25" t="str">
        <f>IF(OR(E4348="",E4348="!!!",F4348="NEW"),"",INDEX(J$1:J4347,SUMPRODUCT(MAX(ROW(E$1:E4347)*(E4348=E$1:E4347)))))</f>
        <v> </v>
      </c>
      <c r="L4348" s="26"/>
    </row>
    <row r="4349" spans="1:12">
      <c r="A4349" s="20" t="s">
        <v>1134</v>
      </c>
      <c r="E4349" s="21">
        <f>IF(D4349="?OLD","!!!","")</f>
        <v/>
      </c>
      <c r="F4349" s="22" t="str">
        <f>IF(OR(E4349="",E4349="!!!"),"",IF(NOT(ISNA(VLOOKUP(E4349,E$1:E4348,1,FALSE()))),"OLD",IF(AND(E4349&lt;&gt;"",E4349&lt;&gt;"!!!"),"NEW","")))</f>
        <v> </v>
      </c>
      <c r="G4349" s="23" t="str">
        <f>IF(OR(E4349="",E4349="!!!"),"",IF(OR(J4349=0,AND(J4349=1,K4349=1),AND(J4349=1,I4349="SBJ"),AND(J4349=1,I4349=0)),"?IN_FOCUS",IF(J4349&lt;=2,"?ACTIVATED",IF(J4349&lt;&gt;"","?FAMILIAR",IF(F4349="NEW",IF(ISNA(VLOOKUP(E4349,#REF!,1,FALSE())),"?TYPE_IDENTIFIABLE","?REFERENTIAL"),"_")))))</f>
        <v> </v>
      </c>
      <c r="H4349" s="24" t="str">
        <f>IF(J4349&lt;&gt;1,"",IF(I4349="SBJ","CB","?"))</f>
        <v> </v>
      </c>
      <c r="I4349" s="25" t="str">
        <f>IF(OR(E4349="",E4349="!!!",F4349="NEW"),"",INDEX(B4348:B$2,-1+SUMPRODUCT(MAX(ROW(E4348:E$2)*(E4349=E4348:E$2)))))</f>
        <v> </v>
      </c>
      <c r="J4349" s="25" t="str">
        <f>IF(OR(E4349="",E4349="!!!",F4349="NEW"),"",COUNTBLANK(OFFSET(A$1,,,SUMPRODUCT(MAX(ROW(E$2:E4349)*(E4349=E$2:E4349)))))-COUNTBLANK(OFFSET(A$1,,,SUMPRODUCT(MAX(ROW(E$1:E4348)*(E2=E$1:E4348))))))</f>
        <v> </v>
      </c>
      <c r="K4349" s="25" t="str">
        <f>IF(OR(E4349="",E4349="!!!",F4349="NEW"),"",INDEX(J$1:J4348,SUMPRODUCT(MAX(ROW(E$1:E4348)*(E4349=E$1:E4348)))))</f>
        <v> </v>
      </c>
      <c r="L4349" s="26"/>
    </row>
    <row r="4350" spans="1:12">
      <c r="A4350" s="20" t="s">
        <v>1253</v>
      </c>
      <c r="E4350" s="21">
        <f>IF(D4350="?OLD","!!!","")</f>
        <v/>
      </c>
      <c r="F4350" s="22" t="str">
        <f>IF(OR(E4350="",E4350="!!!"),"",IF(NOT(ISNA(VLOOKUP(E4350,E$1:E4349,1,FALSE()))),"OLD",IF(AND(E4350&lt;&gt;"",E4350&lt;&gt;"!!!"),"NEW","")))</f>
        <v> </v>
      </c>
      <c r="G4350" s="23" t="str">
        <f>IF(OR(E4350="",E4350="!!!"),"",IF(OR(J4350=0,AND(J4350=1,K4350=1),AND(J4350=1,I4350="SBJ"),AND(J4350=1,I4350=0)),"?IN_FOCUS",IF(J4350&lt;=2,"?ACTIVATED",IF(J4350&lt;&gt;"","?FAMILIAR",IF(F4350="NEW",IF(ISNA(VLOOKUP(E4350,#REF!,1,FALSE())),"?TYPE_IDENTIFIABLE","?REFERENTIAL"),"_")))))</f>
        <v> </v>
      </c>
      <c r="H4350" s="24" t="str">
        <f>IF(J4350&lt;&gt;1,"",IF(I4350="SBJ","CB","?"))</f>
        <v> </v>
      </c>
      <c r="I4350" s="25" t="str">
        <f>IF(OR(E4350="",E4350="!!!",F4350="NEW"),"",INDEX(B4349:B$2,-1+SUMPRODUCT(MAX(ROW(E4349:E$2)*(E4350=E4349:E$2)))))</f>
        <v> </v>
      </c>
      <c r="J4350" s="25" t="str">
        <f>IF(OR(E4350="",E4350="!!!",F4350="NEW"),"",COUNTBLANK(OFFSET(A$1,,,SUMPRODUCT(MAX(ROW(E$2:E4350)*(E4350=E$2:E4350)))))-COUNTBLANK(OFFSET(A$1,,,SUMPRODUCT(MAX(ROW(E$1:E4349)*(E2=E$1:E4349))))))</f>
        <v> </v>
      </c>
      <c r="K4350" s="25" t="str">
        <f>IF(OR(E4350="",E4350="!!!",F4350="NEW"),"",INDEX(J$1:J4349,SUMPRODUCT(MAX(ROW(E$1:E4349)*(E4350=E$1:E4349)))))</f>
        <v> </v>
      </c>
      <c r="L4350" s="26"/>
    </row>
    <row r="4351" spans="1:12">
      <c r="A4351" s="20" t="s">
        <v>1552</v>
      </c>
      <c r="E4351" s="21">
        <f>IF(D4351="?OLD","!!!","")</f>
        <v/>
      </c>
      <c r="F4351" s="22" t="str">
        <f>IF(OR(E4351="",E4351="!!!"),"",IF(NOT(ISNA(VLOOKUP(E4351,E$1:E4350,1,FALSE()))),"OLD",IF(AND(E4351&lt;&gt;"",E4351&lt;&gt;"!!!"),"NEW","")))</f>
        <v> </v>
      </c>
      <c r="G4351" s="23" t="str">
        <f>IF(OR(E4351="",E4351="!!!"),"",IF(OR(J4351=0,AND(J4351=1,K4351=1),AND(J4351=1,I4351="SBJ"),AND(J4351=1,I4351=0)),"?IN_FOCUS",IF(J4351&lt;=2,"?ACTIVATED",IF(J4351&lt;&gt;"","?FAMILIAR",IF(F4351="NEW",IF(ISNA(VLOOKUP(E4351,#REF!,1,FALSE())),"?TYPE_IDENTIFIABLE","?REFERENTIAL"),"_")))))</f>
        <v> </v>
      </c>
      <c r="H4351" s="24" t="str">
        <f>IF(J4351&lt;&gt;1,"",IF(I4351="SBJ","CB","?"))</f>
        <v> </v>
      </c>
      <c r="I4351" s="25" t="str">
        <f>IF(OR(E4351="",E4351="!!!",F4351="NEW"),"",INDEX(B4350:B$2,-1+SUMPRODUCT(MAX(ROW(E4350:E$2)*(E4351=E4350:E$2)))))</f>
        <v> </v>
      </c>
      <c r="J4351" s="25" t="str">
        <f>IF(OR(E4351="",E4351="!!!",F4351="NEW"),"",COUNTBLANK(OFFSET(A$1,,,SUMPRODUCT(MAX(ROW(E$2:E4351)*(E4351=E$2:E4351)))))-COUNTBLANK(OFFSET(A$1,,,SUMPRODUCT(MAX(ROW(E$1:E4350)*(E2=E$1:E4350))))))</f>
        <v> </v>
      </c>
      <c r="K4351" s="25" t="str">
        <f>IF(OR(E4351="",E4351="!!!",F4351="NEW"),"",INDEX(J$1:J4350,SUMPRODUCT(MAX(ROW(E$1:E4350)*(E4351=E$1:E4350)))))</f>
        <v> </v>
      </c>
      <c r="L4351" s="26"/>
    </row>
    <row r="4352" spans="1:12">
      <c r="A4352" s="20" t="s">
        <v>1145</v>
      </c>
      <c r="E4352" s="21">
        <f>IF(D4352="?OLD","!!!","")</f>
        <v/>
      </c>
      <c r="F4352" s="22" t="str">
        <f>IF(OR(E4352="",E4352="!!!"),"",IF(NOT(ISNA(VLOOKUP(E4352,E$1:E4351,1,FALSE()))),"OLD",IF(AND(E4352&lt;&gt;"",E4352&lt;&gt;"!!!"),"NEW","")))</f>
        <v> </v>
      </c>
      <c r="G4352" s="23" t="str">
        <f>IF(OR(E4352="",E4352="!!!"),"",IF(OR(J4352=0,AND(J4352=1,K4352=1),AND(J4352=1,I4352="SBJ"),AND(J4352=1,I4352=0)),"?IN_FOCUS",IF(J4352&lt;=2,"?ACTIVATED",IF(J4352&lt;&gt;"","?FAMILIAR",IF(F4352="NEW",IF(ISNA(VLOOKUP(E4352,#REF!,1,FALSE())),"?TYPE_IDENTIFIABLE","?REFERENTIAL"),"_")))))</f>
        <v> </v>
      </c>
      <c r="H4352" s="24" t="str">
        <f>IF(J4352&lt;&gt;1,"",IF(I4352="SBJ","CB","?"))</f>
        <v> </v>
      </c>
      <c r="I4352" s="25" t="str">
        <f>IF(OR(E4352="",E4352="!!!",F4352="NEW"),"",INDEX(B4351:B$2,-1+SUMPRODUCT(MAX(ROW(E4351:E$2)*(E4352=E4351:E$2)))))</f>
        <v> </v>
      </c>
      <c r="J4352" s="25" t="str">
        <f>IF(OR(E4352="",E4352="!!!",F4352="NEW"),"",COUNTBLANK(OFFSET(A$1,,,SUMPRODUCT(MAX(ROW(E$2:E4352)*(E4352=E$2:E4352)))))-COUNTBLANK(OFFSET(A$1,,,SUMPRODUCT(MAX(ROW(E$1:E4351)*(E2=E$1:E4351))))))</f>
        <v> </v>
      </c>
      <c r="K4352" s="25" t="str">
        <f>IF(OR(E4352="",E4352="!!!",F4352="NEW"),"",INDEX(J$1:J4351,SUMPRODUCT(MAX(ROW(E$1:E4351)*(E4352=E$1:E4351)))))</f>
        <v> </v>
      </c>
      <c r="L4352" s="26"/>
    </row>
    <row r="4353" spans="1:12">
      <c r="A4353" s="20"/>
    </row>
    <row r="4354" spans="1:12">
      <c r="A4354" s="20" t="s">
        <v>3028</v>
      </c>
    </row>
    <row r="4355" spans="1:12">
      <c r="A4355" s="20" t="s">
        <v>1277</v>
      </c>
      <c r="E4355" s="21">
        <f>IF(D4355="?OLD","!!!","")</f>
        <v/>
      </c>
      <c r="F4355" s="22" t="str">
        <f>IF(OR(E4355="",E4355="!!!"),"",IF(NOT(ISNA(VLOOKUP(E4355,E$1:E4354,1,FALSE()))),"OLD",IF(AND(E4355&lt;&gt;"",E4355&lt;&gt;"!!!"),"NEW","")))</f>
        <v> </v>
      </c>
      <c r="G4355" s="23" t="str">
        <f>IF(OR(E4355="",E4355="!!!"),"",IF(OR(J4355=0,AND(J4355=1,K4355=1),AND(J4355=1,I4355="SBJ"),AND(J4355=1,I4355=0)),"?IN_FOCUS",IF(J4355&lt;=2,"?ACTIVATED",IF(J4355&lt;&gt;"","?FAMILIAR",IF(F4355="NEW",IF(ISNA(VLOOKUP(E4355,#REF!,1,FALSE())),"?TYPE_IDENTIFIABLE","?REFERENTIAL"),"_")))))</f>
        <v> </v>
      </c>
      <c r="H4355" s="24" t="str">
        <f>IF(J4355&lt;&gt;1,"",IF(I4355="SBJ","CB","?"))</f>
        <v> </v>
      </c>
      <c r="I4355" s="25" t="str">
        <f>IF(OR(E4355="",E4355="!!!",F4355="NEW"),"",INDEX(B4354:B$2,-1+SUMPRODUCT(MAX(ROW(E4354:E$2)*(E4355=E4354:E$2)))))</f>
        <v> </v>
      </c>
      <c r="J4355" s="25" t="str">
        <f>IF(OR(E4355="",E4355="!!!",F4355="NEW"),"",COUNTBLANK(OFFSET(A$1,,,SUMPRODUCT(MAX(ROW(E$2:E4355)*(E4355=E$2:E4355)))))-COUNTBLANK(OFFSET(A$1,,,SUMPRODUCT(MAX(ROW(E$1:E4354)*(E2=E$1:E4354))))))</f>
        <v> </v>
      </c>
      <c r="K4355" s="25" t="str">
        <f>IF(OR(E4355="",E4355="!!!",F4355="NEW"),"",INDEX(J$1:J4354,SUMPRODUCT(MAX(ROW(E$1:E4354)*(E4355=E$1:E4354)))))</f>
        <v> </v>
      </c>
      <c r="L4355" s="26"/>
    </row>
    <row r="4356" spans="1:12">
      <c r="A4356" s="20" t="s">
        <v>3029</v>
      </c>
      <c r="E4356" s="21">
        <f>IF(D4356="?OLD","!!!","")</f>
        <v/>
      </c>
      <c r="F4356" s="22" t="str">
        <f>IF(OR(E4356="",E4356="!!!"),"",IF(NOT(ISNA(VLOOKUP(E4356,E$1:E4355,1,FALSE()))),"OLD",IF(AND(E4356&lt;&gt;"",E4356&lt;&gt;"!!!"),"NEW","")))</f>
        <v> </v>
      </c>
      <c r="G4356" s="23" t="str">
        <f>IF(OR(E4356="",E4356="!!!"),"",IF(OR(J4356=0,AND(J4356=1,K4356=1),AND(J4356=1,I4356="SBJ"),AND(J4356=1,I4356=0)),"?IN_FOCUS",IF(J4356&lt;=2,"?ACTIVATED",IF(J4356&lt;&gt;"","?FAMILIAR",IF(F4356="NEW",IF(ISNA(VLOOKUP(E4356,#REF!,1,FALSE())),"?TYPE_IDENTIFIABLE","?REFERENTIAL"),"_")))))</f>
        <v> </v>
      </c>
      <c r="H4356" s="24" t="str">
        <f>IF(J4356&lt;&gt;1,"",IF(I4356="SBJ","CB","?"))</f>
        <v> </v>
      </c>
      <c r="I4356" s="25" t="str">
        <f>IF(OR(E4356="",E4356="!!!",F4356="NEW"),"",INDEX(B4355:B$2,-1+SUMPRODUCT(MAX(ROW(E4355:E$2)*(E4356=E4355:E$2)))))</f>
        <v> </v>
      </c>
      <c r="J4356" s="25" t="str">
        <f>IF(OR(E4356="",E4356="!!!",F4356="NEW"),"",COUNTBLANK(OFFSET(A$1,,,SUMPRODUCT(MAX(ROW(E$2:E4356)*(E4356=E$2:E4356)))))-COUNTBLANK(OFFSET(A$1,,,SUMPRODUCT(MAX(ROW(E$1:E4355)*(E2=E$1:E4355))))))</f>
        <v> </v>
      </c>
      <c r="K4356" s="25" t="str">
        <f>IF(OR(E4356="",E4356="!!!",F4356="NEW"),"",INDEX(J$1:J4355,SUMPRODUCT(MAX(ROW(E$1:E4355)*(E4356=E$1:E4355)))))</f>
        <v> </v>
      </c>
      <c r="L4356" s="26"/>
    </row>
    <row r="4357" spans="1:12">
      <c r="A4357" s="20" t="s">
        <v>2910</v>
      </c>
      <c r="E4357" s="21">
        <f>IF(D4357="?OLD","!!!","")</f>
        <v/>
      </c>
      <c r="F4357" s="22" t="str">
        <f>IF(OR(E4357="",E4357="!!!"),"",IF(NOT(ISNA(VLOOKUP(E4357,E$1:E4356,1,FALSE()))),"OLD",IF(AND(E4357&lt;&gt;"",E4357&lt;&gt;"!!!"),"NEW","")))</f>
        <v> </v>
      </c>
      <c r="G4357" s="23" t="str">
        <f>IF(OR(E4357="",E4357="!!!"),"",IF(OR(J4357=0,AND(J4357=1,K4357=1),AND(J4357=1,I4357="SBJ"),AND(J4357=1,I4357=0)),"?IN_FOCUS",IF(J4357&lt;=2,"?ACTIVATED",IF(J4357&lt;&gt;"","?FAMILIAR",IF(F4357="NEW",IF(ISNA(VLOOKUP(E4357,#REF!,1,FALSE())),"?TYPE_IDENTIFIABLE","?REFERENTIAL"),"_")))))</f>
        <v> </v>
      </c>
      <c r="H4357" s="24" t="str">
        <f>IF(J4357&lt;&gt;1,"",IF(I4357="SBJ","CB","?"))</f>
        <v> </v>
      </c>
      <c r="I4357" s="25" t="str">
        <f>IF(OR(E4357="",E4357="!!!",F4357="NEW"),"",INDEX(B4356:B$2,-1+SUMPRODUCT(MAX(ROW(E4356:E$2)*(E4357=E4356:E$2)))))</f>
        <v> </v>
      </c>
      <c r="J4357" s="25" t="str">
        <f>IF(OR(E4357="",E4357="!!!",F4357="NEW"),"",COUNTBLANK(OFFSET(A$1,,,SUMPRODUCT(MAX(ROW(E$2:E4357)*(E4357=E$2:E4357)))))-COUNTBLANK(OFFSET(A$1,,,SUMPRODUCT(MAX(ROW(E$1:E4356)*(E2=E$1:E4356))))))</f>
        <v> </v>
      </c>
      <c r="K4357" s="25" t="str">
        <f>IF(OR(E4357="",E4357="!!!",F4357="NEW"),"",INDEX(J$1:J4356,SUMPRODUCT(MAX(ROW(E$1:E4356)*(E4357=E$1:E4356)))))</f>
        <v> </v>
      </c>
      <c r="L4357" s="26"/>
    </row>
    <row r="4358" spans="1:12">
      <c r="A4358" s="20" t="s">
        <v>3030</v>
      </c>
      <c r="E4358" s="21">
        <f>IF(D4358="?OLD","!!!","")</f>
        <v/>
      </c>
      <c r="F4358" s="22" t="str">
        <f>IF(OR(E4358="",E4358="!!!"),"",IF(NOT(ISNA(VLOOKUP(E4358,E$1:E4357,1,FALSE()))),"OLD",IF(AND(E4358&lt;&gt;"",E4358&lt;&gt;"!!!"),"NEW","")))</f>
        <v> </v>
      </c>
      <c r="G4358" s="23" t="str">
        <f>IF(OR(E4358="",E4358="!!!"),"",IF(OR(J4358=0,AND(J4358=1,K4358=1),AND(J4358=1,I4358="SBJ"),AND(J4358=1,I4358=0)),"?IN_FOCUS",IF(J4358&lt;=2,"?ACTIVATED",IF(J4358&lt;&gt;"","?FAMILIAR",IF(F4358="NEW",IF(ISNA(VLOOKUP(E4358,#REF!,1,FALSE())),"?TYPE_IDENTIFIABLE","?REFERENTIAL"),"_")))))</f>
        <v> </v>
      </c>
      <c r="H4358" s="24" t="str">
        <f>IF(J4358&lt;&gt;1,"",IF(I4358="SBJ","CB","?"))</f>
        <v> </v>
      </c>
      <c r="I4358" s="25" t="str">
        <f>IF(OR(E4358="",E4358="!!!",F4358="NEW"),"",INDEX(B4357:B$2,-1+SUMPRODUCT(MAX(ROW(E4357:E$2)*(E4358=E4357:E$2)))))</f>
        <v> </v>
      </c>
      <c r="J4358" s="25" t="str">
        <f>IF(OR(E4358="",E4358="!!!",F4358="NEW"),"",COUNTBLANK(OFFSET(A$1,,,SUMPRODUCT(MAX(ROW(E$2:E4358)*(E4358=E$2:E4358)))))-COUNTBLANK(OFFSET(A$1,,,SUMPRODUCT(MAX(ROW(E$1:E4357)*(E2=E$1:E4357))))))</f>
        <v> </v>
      </c>
      <c r="K4358" s="25" t="str">
        <f>IF(OR(E4358="",E4358="!!!",F4358="NEW"),"",INDEX(J$1:J4357,SUMPRODUCT(MAX(ROW(E$1:E4357)*(E4358=E$1:E4357)))))</f>
        <v> </v>
      </c>
      <c r="L4358" s="26"/>
    </row>
    <row r="4359" spans="1:12">
      <c r="A4359" s="20" t="s">
        <v>1507</v>
      </c>
      <c r="B4359" s="27" t="s">
        <v>1149</v>
      </c>
      <c r="C4359" s="27" t="s">
        <v>1108</v>
      </c>
      <c r="D4359" s="27" t="s">
        <v>1105</v>
      </c>
      <c r="E4359" s="21">
        <f>IF(D4359="?OLD","!!!","")</f>
        <v/>
      </c>
      <c r="F4359" s="22" t="str">
        <f>IF(OR(E4359="",E4359="!!!"),"",IF(NOT(ISNA(VLOOKUP(E4359,E$1:E4358,1,FALSE()))),"OLD",IF(AND(E4359&lt;&gt;"",E4359&lt;&gt;"!!!"),"NEW","")))</f>
        <v> </v>
      </c>
      <c r="G4359" s="23" t="str">
        <f>IF(OR(E4359="",E4359="!!!"),"",IF(OR(J4359=0,AND(J4359=1,K4359=1),AND(J4359=1,I4359="SBJ"),AND(J4359=1,I4359=0)),"?IN_FOCUS",IF(J4359&lt;=2,"?ACTIVATED",IF(J4359&lt;&gt;"","?FAMILIAR",IF(F4359="NEW",IF(ISNA(VLOOKUP(E4359,#REF!,1,FALSE())),"?TYPE_IDENTIFIABLE","?REFERENTIAL"),"_")))))</f>
        <v> </v>
      </c>
      <c r="H4359" s="24" t="str">
        <f>IF(J4359&lt;&gt;1,"",IF(I4359="SBJ","CB","?"))</f>
        <v> </v>
      </c>
      <c r="I4359" s="25" t="str">
        <f>IF(OR(E4359="",E4359="!!!",F4359="NEW"),"",INDEX(B4358:B$2,-1+SUMPRODUCT(MAX(ROW(E4358:E$2)*(E4359=E4358:E$2)))))</f>
        <v> </v>
      </c>
      <c r="J4359" s="25" t="str">
        <f>IF(OR(E4359="",E4359="!!!",F4359="NEW"),"",COUNTBLANK(OFFSET(A$1,,,SUMPRODUCT(MAX(ROW(E$2:E4359)*(E4359=E$2:E4359)))))-COUNTBLANK(OFFSET(A$1,,,SUMPRODUCT(MAX(ROW(E$1:E4358)*(E2=E$1:E4358))))))</f>
        <v> </v>
      </c>
      <c r="K4359" s="25" t="str">
        <f>IF(OR(E4359="",E4359="!!!",F4359="NEW"),"",INDEX(J$1:J4358,SUMPRODUCT(MAX(ROW(E$1:E4358)*(E4359=E$1:E4358)))))</f>
        <v> </v>
      </c>
      <c r="L4359" s="26"/>
    </row>
    <row r="4360" spans="1:12">
      <c r="A4360" s="20" t="s">
        <v>1229</v>
      </c>
      <c r="E4360" s="21">
        <f>IF(D4360="?OLD","!!!","")</f>
        <v/>
      </c>
      <c r="F4360" s="22" t="str">
        <f>IF(OR(E4360="",E4360="!!!"),"",IF(NOT(ISNA(VLOOKUP(E4360,E$1:E4359,1,FALSE()))),"OLD",IF(AND(E4360&lt;&gt;"",E4360&lt;&gt;"!!!"),"NEW","")))</f>
        <v> </v>
      </c>
      <c r="G4360" s="23" t="str">
        <f>IF(OR(E4360="",E4360="!!!"),"",IF(OR(J4360=0,AND(J4360=1,K4360=1),AND(J4360=1,I4360="SBJ"),AND(J4360=1,I4360=0)),"?IN_FOCUS",IF(J4360&lt;=2,"?ACTIVATED",IF(J4360&lt;&gt;"","?FAMILIAR",IF(F4360="NEW",IF(ISNA(VLOOKUP(E4360,#REF!,1,FALSE())),"?TYPE_IDENTIFIABLE","?REFERENTIAL"),"_")))))</f>
        <v> </v>
      </c>
      <c r="H4360" s="24" t="str">
        <f>IF(J4360&lt;&gt;1,"",IF(I4360="SBJ","CB","?"))</f>
        <v> </v>
      </c>
      <c r="I4360" s="25" t="str">
        <f>IF(OR(E4360="",E4360="!!!",F4360="NEW"),"",INDEX(B4359:B$2,-1+SUMPRODUCT(MAX(ROW(E4359:E$2)*(E4360=E4359:E$2)))))</f>
        <v> </v>
      </c>
      <c r="J4360" s="25" t="str">
        <f>IF(OR(E4360="",E4360="!!!",F4360="NEW"),"",COUNTBLANK(OFFSET(A$1,,,SUMPRODUCT(MAX(ROW(E$2:E4360)*(E4360=E$2:E4360)))))-COUNTBLANK(OFFSET(A$1,,,SUMPRODUCT(MAX(ROW(E$1:E4359)*(E2=E$1:E4359))))))</f>
        <v> </v>
      </c>
      <c r="K4360" s="25" t="str">
        <f>IF(OR(E4360="",E4360="!!!",F4360="NEW"),"",INDEX(J$1:J4359,SUMPRODUCT(MAX(ROW(E$1:E4359)*(E4360=E$1:E4359)))))</f>
        <v> </v>
      </c>
      <c r="L4360" s="26"/>
    </row>
    <row r="4361" spans="1:12">
      <c r="A4361" s="20" t="s">
        <v>1173</v>
      </c>
      <c r="E4361" s="21">
        <f>IF(D4361="?OLD","!!!","")</f>
        <v/>
      </c>
      <c r="F4361" s="22" t="str">
        <f>IF(OR(E4361="",E4361="!!!"),"",IF(NOT(ISNA(VLOOKUP(E4361,E$1:E4360,1,FALSE()))),"OLD",IF(AND(E4361&lt;&gt;"",E4361&lt;&gt;"!!!"),"NEW","")))</f>
        <v> </v>
      </c>
      <c r="G4361" s="23" t="str">
        <f>IF(OR(E4361="",E4361="!!!"),"",IF(OR(J4361=0,AND(J4361=1,K4361=1),AND(J4361=1,I4361="SBJ"),AND(J4361=1,I4361=0)),"?IN_FOCUS",IF(J4361&lt;=2,"?ACTIVATED",IF(J4361&lt;&gt;"","?FAMILIAR",IF(F4361="NEW",IF(ISNA(VLOOKUP(E4361,#REF!,1,FALSE())),"?TYPE_IDENTIFIABLE","?REFERENTIAL"),"_")))))</f>
        <v> </v>
      </c>
      <c r="H4361" s="24" t="str">
        <f>IF(J4361&lt;&gt;1,"",IF(I4361="SBJ","CB","?"))</f>
        <v> </v>
      </c>
      <c r="I4361" s="25" t="str">
        <f>IF(OR(E4361="",E4361="!!!",F4361="NEW"),"",INDEX(B4360:B$2,-1+SUMPRODUCT(MAX(ROW(E4360:E$2)*(E4361=E4360:E$2)))))</f>
        <v> </v>
      </c>
      <c r="J4361" s="25" t="str">
        <f>IF(OR(E4361="",E4361="!!!",F4361="NEW"),"",COUNTBLANK(OFFSET(A$1,,,SUMPRODUCT(MAX(ROW(E$2:E4361)*(E4361=E$2:E4361)))))-COUNTBLANK(OFFSET(A$1,,,SUMPRODUCT(MAX(ROW(E$1:E4360)*(E2=E$1:E4360))))))</f>
        <v> </v>
      </c>
      <c r="K4361" s="25" t="str">
        <f>IF(OR(E4361="",E4361="!!!",F4361="NEW"),"",INDEX(J$1:J4360,SUMPRODUCT(MAX(ROW(E$1:E4360)*(E4361=E$1:E4360)))))</f>
        <v> </v>
      </c>
      <c r="L4361" s="26"/>
    </row>
    <row r="4362" spans="1:12">
      <c r="A4362" s="20" t="s">
        <v>3031</v>
      </c>
      <c r="E4362" s="21">
        <f>IF(D4362="?OLD","!!!","")</f>
        <v/>
      </c>
      <c r="F4362" s="22" t="str">
        <f>IF(OR(E4362="",E4362="!!!"),"",IF(NOT(ISNA(VLOOKUP(E4362,E$1:E4361,1,FALSE()))),"OLD",IF(AND(E4362&lt;&gt;"",E4362&lt;&gt;"!!!"),"NEW","")))</f>
        <v> </v>
      </c>
      <c r="G4362" s="23" t="str">
        <f>IF(OR(E4362="",E4362="!!!"),"",IF(OR(J4362=0,AND(J4362=1,K4362=1),AND(J4362=1,I4362="SBJ"),AND(J4362=1,I4362=0)),"?IN_FOCUS",IF(J4362&lt;=2,"?ACTIVATED",IF(J4362&lt;&gt;"","?FAMILIAR",IF(F4362="NEW",IF(ISNA(VLOOKUP(E4362,#REF!,1,FALSE())),"?TYPE_IDENTIFIABLE","?REFERENTIAL"),"_")))))</f>
        <v> </v>
      </c>
      <c r="H4362" s="24" t="str">
        <f>IF(J4362&lt;&gt;1,"",IF(I4362="SBJ","CB","?"))</f>
        <v> </v>
      </c>
      <c r="I4362" s="25" t="str">
        <f>IF(OR(E4362="",E4362="!!!",F4362="NEW"),"",INDEX(B4361:B$2,-1+SUMPRODUCT(MAX(ROW(E4361:E$2)*(E4362=E4361:E$2)))))</f>
        <v> </v>
      </c>
      <c r="J4362" s="25" t="str">
        <f>IF(OR(E4362="",E4362="!!!",F4362="NEW"),"",COUNTBLANK(OFFSET(A$1,,,SUMPRODUCT(MAX(ROW(E$2:E4362)*(E4362=E$2:E4362)))))-COUNTBLANK(OFFSET(A$1,,,SUMPRODUCT(MAX(ROW(E$1:E4361)*(E2=E$1:E4361))))))</f>
        <v> </v>
      </c>
      <c r="K4362" s="25" t="str">
        <f>IF(OR(E4362="",E4362="!!!",F4362="NEW"),"",INDEX(J$1:J4361,SUMPRODUCT(MAX(ROW(E$1:E4361)*(E4362=E$1:E4361)))))</f>
        <v> </v>
      </c>
      <c r="L4362" s="26"/>
    </row>
    <row r="4363" spans="1:12">
      <c r="A4363" s="20" t="s">
        <v>2277</v>
      </c>
      <c r="B4363" s="27" t="s">
        <v>1243</v>
      </c>
      <c r="E4363" s="21">
        <f>IF(D4363="?OLD","!!!","")</f>
        <v/>
      </c>
      <c r="F4363" s="22" t="str">
        <f>IF(OR(E4363="",E4363="!!!"),"",IF(NOT(ISNA(VLOOKUP(E4363,E$1:E4362,1,FALSE()))),"OLD",IF(AND(E4363&lt;&gt;"",E4363&lt;&gt;"!!!"),"NEW","")))</f>
        <v> </v>
      </c>
      <c r="G4363" s="23" t="str">
        <f>IF(OR(E4363="",E4363="!!!"),"",IF(OR(J4363=0,AND(J4363=1,K4363=1),AND(J4363=1,I4363="SBJ"),AND(J4363=1,I4363=0)),"?IN_FOCUS",IF(J4363&lt;=2,"?ACTIVATED",IF(J4363&lt;&gt;"","?FAMILIAR",IF(F4363="NEW",IF(ISNA(VLOOKUP(E4363,#REF!,1,FALSE())),"?TYPE_IDENTIFIABLE","?REFERENTIAL"),"_")))))</f>
        <v> </v>
      </c>
      <c r="H4363" s="24" t="str">
        <f>IF(J4363&lt;&gt;1,"",IF(I4363="SBJ","CB","?"))</f>
        <v> </v>
      </c>
      <c r="I4363" s="25" t="str">
        <f>IF(OR(E4363="",E4363="!!!",F4363="NEW"),"",INDEX(B4362:B$2,-1+SUMPRODUCT(MAX(ROW(E4362:E$2)*(E4363=E4362:E$2)))))</f>
        <v> </v>
      </c>
      <c r="J4363" s="25" t="str">
        <f>IF(OR(E4363="",E4363="!!!",F4363="NEW"),"",COUNTBLANK(OFFSET(A$1,,,SUMPRODUCT(MAX(ROW(E$2:E4363)*(E4363=E$2:E4363)))))-COUNTBLANK(OFFSET(A$1,,,SUMPRODUCT(MAX(ROW(E$1:E4362)*(E2=E$1:E4362))))))</f>
        <v> </v>
      </c>
      <c r="K4363" s="25" t="str">
        <f>IF(OR(E4363="",E4363="!!!",F4363="NEW"),"",INDEX(J$1:J4362,SUMPRODUCT(MAX(ROW(E$1:E4362)*(E4363=E$1:E4362)))))</f>
        <v> </v>
      </c>
      <c r="L4363" s="26"/>
    </row>
    <row r="4364" spans="1:12">
      <c r="A4364" s="20" t="s">
        <v>1184</v>
      </c>
      <c r="E4364" s="21">
        <f>IF(D4364="?OLD","!!!","")</f>
        <v/>
      </c>
      <c r="F4364" s="22" t="str">
        <f>IF(OR(E4364="",E4364="!!!"),"",IF(NOT(ISNA(VLOOKUP(E4364,E$1:E4363,1,FALSE()))),"OLD",IF(AND(E4364&lt;&gt;"",E4364&lt;&gt;"!!!"),"NEW","")))</f>
        <v> </v>
      </c>
      <c r="G4364" s="23" t="str">
        <f>IF(OR(E4364="",E4364="!!!"),"",IF(OR(J4364=0,AND(J4364=1,K4364=1),AND(J4364=1,I4364="SBJ"),AND(J4364=1,I4364=0)),"?IN_FOCUS",IF(J4364&lt;=2,"?ACTIVATED",IF(J4364&lt;&gt;"","?FAMILIAR",IF(F4364="NEW",IF(ISNA(VLOOKUP(E4364,#REF!,1,FALSE())),"?TYPE_IDENTIFIABLE","?REFERENTIAL"),"_")))))</f>
        <v> </v>
      </c>
      <c r="H4364" s="24" t="str">
        <f>IF(J4364&lt;&gt;1,"",IF(I4364="SBJ","CB","?"))</f>
        <v> </v>
      </c>
      <c r="I4364" s="25" t="str">
        <f>IF(OR(E4364="",E4364="!!!",F4364="NEW"),"",INDEX(B4363:B$2,-1+SUMPRODUCT(MAX(ROW(E4363:E$2)*(E4364=E4363:E$2)))))</f>
        <v> </v>
      </c>
      <c r="J4364" s="25" t="str">
        <f>IF(OR(E4364="",E4364="!!!",F4364="NEW"),"",COUNTBLANK(OFFSET(A$1,,,SUMPRODUCT(MAX(ROW(E$2:E4364)*(E4364=E$2:E4364)))))-COUNTBLANK(OFFSET(A$1,,,SUMPRODUCT(MAX(ROW(E$1:E4363)*(E2=E$1:E4363))))))</f>
        <v> </v>
      </c>
      <c r="K4364" s="25" t="str">
        <f>IF(OR(E4364="",E4364="!!!",F4364="NEW"),"",INDEX(J$1:J4363,SUMPRODUCT(MAX(ROW(E$1:E4363)*(E4364=E$1:E4363)))))</f>
        <v> </v>
      </c>
      <c r="L4364" s="26"/>
    </row>
    <row r="4365" spans="1:12">
      <c r="A4365" s="20" t="s">
        <v>3032</v>
      </c>
      <c r="E4365" s="21">
        <f>IF(D4365="?OLD","!!!","")</f>
        <v/>
      </c>
      <c r="F4365" s="22" t="str">
        <f>IF(OR(E4365="",E4365="!!!"),"",IF(NOT(ISNA(VLOOKUP(E4365,E$1:E4364,1,FALSE()))),"OLD",IF(AND(E4365&lt;&gt;"",E4365&lt;&gt;"!!!"),"NEW","")))</f>
        <v> </v>
      </c>
      <c r="G4365" s="23" t="str">
        <f>IF(OR(E4365="",E4365="!!!"),"",IF(OR(J4365=0,AND(J4365=1,K4365=1),AND(J4365=1,I4365="SBJ"),AND(J4365=1,I4365=0)),"?IN_FOCUS",IF(J4365&lt;=2,"?ACTIVATED",IF(J4365&lt;&gt;"","?FAMILIAR",IF(F4365="NEW",IF(ISNA(VLOOKUP(E4365,#REF!,1,FALSE())),"?TYPE_IDENTIFIABLE","?REFERENTIAL"),"_")))))</f>
        <v> </v>
      </c>
      <c r="H4365" s="24" t="str">
        <f>IF(J4365&lt;&gt;1,"",IF(I4365="SBJ","CB","?"))</f>
        <v> </v>
      </c>
      <c r="I4365" s="25" t="str">
        <f>IF(OR(E4365="",E4365="!!!",F4365="NEW"),"",INDEX(B4364:B$2,-1+SUMPRODUCT(MAX(ROW(E4364:E$2)*(E4365=E4364:E$2)))))</f>
        <v> </v>
      </c>
      <c r="J4365" s="25" t="str">
        <f>IF(OR(E4365="",E4365="!!!",F4365="NEW"),"",COUNTBLANK(OFFSET(A$1,,,SUMPRODUCT(MAX(ROW(E$2:E4365)*(E4365=E$2:E4365)))))-COUNTBLANK(OFFSET(A$1,,,SUMPRODUCT(MAX(ROW(E$1:E4364)*(E2=E$1:E4364))))))</f>
        <v> </v>
      </c>
      <c r="K4365" s="25" t="str">
        <f>IF(OR(E4365="",E4365="!!!",F4365="NEW"),"",INDEX(J$1:J4364,SUMPRODUCT(MAX(ROW(E$1:E4364)*(E4365=E$1:E4364)))))</f>
        <v> </v>
      </c>
      <c r="L4365" s="26"/>
    </row>
    <row r="4366" spans="1:12">
      <c r="A4366" s="20" t="s">
        <v>1123</v>
      </c>
      <c r="E4366" s="21">
        <f>IF(D4366="?OLD","!!!","")</f>
        <v/>
      </c>
      <c r="F4366" s="22" t="str">
        <f>IF(OR(E4366="",E4366="!!!"),"",IF(NOT(ISNA(VLOOKUP(E4366,E$1:E4365,1,FALSE()))),"OLD",IF(AND(E4366&lt;&gt;"",E4366&lt;&gt;"!!!"),"NEW","")))</f>
        <v> </v>
      </c>
      <c r="G4366" s="23" t="str">
        <f>IF(OR(E4366="",E4366="!!!"),"",IF(OR(J4366=0,AND(J4366=1,K4366=1),AND(J4366=1,I4366="SBJ"),AND(J4366=1,I4366=0)),"?IN_FOCUS",IF(J4366&lt;=2,"?ACTIVATED",IF(J4366&lt;&gt;"","?FAMILIAR",IF(F4366="NEW",IF(ISNA(VLOOKUP(E4366,#REF!,1,FALSE())),"?TYPE_IDENTIFIABLE","?REFERENTIAL"),"_")))))</f>
        <v> </v>
      </c>
      <c r="H4366" s="24" t="str">
        <f>IF(J4366&lt;&gt;1,"",IF(I4366="SBJ","CB","?"))</f>
        <v> </v>
      </c>
      <c r="I4366" s="25" t="str">
        <f>IF(OR(E4366="",E4366="!!!",F4366="NEW"),"",INDEX(B4365:B$2,-1+SUMPRODUCT(MAX(ROW(E4365:E$2)*(E4366=E4365:E$2)))))</f>
        <v> </v>
      </c>
      <c r="J4366" s="25" t="str">
        <f>IF(OR(E4366="",E4366="!!!",F4366="NEW"),"",COUNTBLANK(OFFSET(A$1,,,SUMPRODUCT(MAX(ROW(E$2:E4366)*(E4366=E$2:E4366)))))-COUNTBLANK(OFFSET(A$1,,,SUMPRODUCT(MAX(ROW(E$1:E4365)*(E2=E$1:E4365))))))</f>
        <v> </v>
      </c>
      <c r="K4366" s="25" t="str">
        <f>IF(OR(E4366="",E4366="!!!",F4366="NEW"),"",INDEX(J$1:J4365,SUMPRODUCT(MAX(ROW(E$1:E4365)*(E4366=E$1:E4365)))))</f>
        <v> </v>
      </c>
      <c r="L4366" s="26"/>
    </row>
    <row r="4367" spans="1:12">
      <c r="A4367" s="20" t="s">
        <v>3033</v>
      </c>
      <c r="E4367" s="21">
        <f>IF(D4367="?OLD","!!!","")</f>
        <v/>
      </c>
      <c r="F4367" s="22" t="str">
        <f>IF(OR(E4367="",E4367="!!!"),"",IF(NOT(ISNA(VLOOKUP(E4367,E$1:E4366,1,FALSE()))),"OLD",IF(AND(E4367&lt;&gt;"",E4367&lt;&gt;"!!!"),"NEW","")))</f>
        <v> </v>
      </c>
      <c r="G4367" s="23" t="str">
        <f>IF(OR(E4367="",E4367="!!!"),"",IF(OR(J4367=0,AND(J4367=1,K4367=1),AND(J4367=1,I4367="SBJ"),AND(J4367=1,I4367=0)),"?IN_FOCUS",IF(J4367&lt;=2,"?ACTIVATED",IF(J4367&lt;&gt;"","?FAMILIAR",IF(F4367="NEW",IF(ISNA(VLOOKUP(E4367,#REF!,1,FALSE())),"?TYPE_IDENTIFIABLE","?REFERENTIAL"),"_")))))</f>
        <v> </v>
      </c>
      <c r="H4367" s="24" t="str">
        <f>IF(J4367&lt;&gt;1,"",IF(I4367="SBJ","CB","?"))</f>
        <v> </v>
      </c>
      <c r="I4367" s="25" t="str">
        <f>IF(OR(E4367="",E4367="!!!",F4367="NEW"),"",INDEX(B4366:B$2,-1+SUMPRODUCT(MAX(ROW(E4366:E$2)*(E4367=E4366:E$2)))))</f>
        <v> </v>
      </c>
      <c r="J4367" s="25" t="str">
        <f>IF(OR(E4367="",E4367="!!!",F4367="NEW"),"",COUNTBLANK(OFFSET(A$1,,,SUMPRODUCT(MAX(ROW(E$2:E4367)*(E4367=E$2:E4367)))))-COUNTBLANK(OFFSET(A$1,,,SUMPRODUCT(MAX(ROW(E$1:E4366)*(E2=E$1:E4366))))))</f>
        <v> </v>
      </c>
      <c r="K4367" s="25" t="str">
        <f>IF(OR(E4367="",E4367="!!!",F4367="NEW"),"",INDEX(J$1:J4366,SUMPRODUCT(MAX(ROW(E$1:E4366)*(E4367=E$1:E4366)))))</f>
        <v> </v>
      </c>
      <c r="L4367" s="26"/>
    </row>
    <row r="4368" spans="1:12">
      <c r="A4368" s="20" t="s">
        <v>1271</v>
      </c>
      <c r="E4368" s="21">
        <f>IF(D4368="?OLD","!!!","")</f>
        <v/>
      </c>
      <c r="F4368" s="22" t="str">
        <f>IF(OR(E4368="",E4368="!!!"),"",IF(NOT(ISNA(VLOOKUP(E4368,E$1:E4367,1,FALSE()))),"OLD",IF(AND(E4368&lt;&gt;"",E4368&lt;&gt;"!!!"),"NEW","")))</f>
        <v> </v>
      </c>
      <c r="G4368" s="23" t="str">
        <f>IF(OR(E4368="",E4368="!!!"),"",IF(OR(J4368=0,AND(J4368=1,K4368=1),AND(J4368=1,I4368="SBJ"),AND(J4368=1,I4368=0)),"?IN_FOCUS",IF(J4368&lt;=2,"?ACTIVATED",IF(J4368&lt;&gt;"","?FAMILIAR",IF(F4368="NEW",IF(ISNA(VLOOKUP(E4368,#REF!,1,FALSE())),"?TYPE_IDENTIFIABLE","?REFERENTIAL"),"_")))))</f>
        <v> </v>
      </c>
      <c r="H4368" s="24" t="str">
        <f>IF(J4368&lt;&gt;1,"",IF(I4368="SBJ","CB","?"))</f>
        <v> </v>
      </c>
      <c r="I4368" s="25" t="str">
        <f>IF(OR(E4368="",E4368="!!!",F4368="NEW"),"",INDEX(B4367:B$2,-1+SUMPRODUCT(MAX(ROW(E4367:E$2)*(E4368=E4367:E$2)))))</f>
        <v> </v>
      </c>
      <c r="J4368" s="25" t="str">
        <f>IF(OR(E4368="",E4368="!!!",F4368="NEW"),"",COUNTBLANK(OFFSET(A$1,,,SUMPRODUCT(MAX(ROW(E$2:E4368)*(E4368=E$2:E4368)))))-COUNTBLANK(OFFSET(A$1,,,SUMPRODUCT(MAX(ROW(E$1:E4367)*(E2=E$1:E4367))))))</f>
        <v> </v>
      </c>
      <c r="K4368" s="25" t="str">
        <f>IF(OR(E4368="",E4368="!!!",F4368="NEW"),"",INDEX(J$1:J4367,SUMPRODUCT(MAX(ROW(E$1:E4367)*(E4368=E$1:E4367)))))</f>
        <v> </v>
      </c>
      <c r="L4368" s="26"/>
    </row>
    <row r="4369" spans="1:12">
      <c r="A4369" s="20" t="s">
        <v>1418</v>
      </c>
      <c r="E4369" s="21">
        <f>IF(D4369="?OLD","!!!","")</f>
        <v/>
      </c>
      <c r="F4369" s="22" t="str">
        <f>IF(OR(E4369="",E4369="!!!"),"",IF(NOT(ISNA(VLOOKUP(E4369,E$1:E4368,1,FALSE()))),"OLD",IF(AND(E4369&lt;&gt;"",E4369&lt;&gt;"!!!"),"NEW","")))</f>
        <v> </v>
      </c>
      <c r="G4369" s="23" t="str">
        <f>IF(OR(E4369="",E4369="!!!"),"",IF(OR(J4369=0,AND(J4369=1,K4369=1),AND(J4369=1,I4369="SBJ"),AND(J4369=1,I4369=0)),"?IN_FOCUS",IF(J4369&lt;=2,"?ACTIVATED",IF(J4369&lt;&gt;"","?FAMILIAR",IF(F4369="NEW",IF(ISNA(VLOOKUP(E4369,#REF!,1,FALSE())),"?TYPE_IDENTIFIABLE","?REFERENTIAL"),"_")))))</f>
        <v> </v>
      </c>
      <c r="H4369" s="24" t="str">
        <f>IF(J4369&lt;&gt;1,"",IF(I4369="SBJ","CB","?"))</f>
        <v> </v>
      </c>
      <c r="I4369" s="25" t="str">
        <f>IF(OR(E4369="",E4369="!!!",F4369="NEW"),"",INDEX(B4368:B$2,-1+SUMPRODUCT(MAX(ROW(E4368:E$2)*(E4369=E4368:E$2)))))</f>
        <v> </v>
      </c>
      <c r="J4369" s="25" t="str">
        <f>IF(OR(E4369="",E4369="!!!",F4369="NEW"),"",COUNTBLANK(OFFSET(A$1,,,SUMPRODUCT(MAX(ROW(E$2:E4369)*(E4369=E$2:E4369)))))-COUNTBLANK(OFFSET(A$1,,,SUMPRODUCT(MAX(ROW(E$1:E4368)*(E2=E$1:E4368))))))</f>
        <v> </v>
      </c>
      <c r="K4369" s="25" t="str">
        <f>IF(OR(E4369="",E4369="!!!",F4369="NEW"),"",INDEX(J$1:J4368,SUMPRODUCT(MAX(ROW(E$1:E4368)*(E4369=E$1:E4368)))))</f>
        <v> </v>
      </c>
      <c r="L4369" s="26"/>
    </row>
    <row r="4370" spans="1:12">
      <c r="A4370" s="20" t="s">
        <v>1123</v>
      </c>
      <c r="E4370" s="21">
        <f>IF(D4370="?OLD","!!!","")</f>
        <v/>
      </c>
      <c r="F4370" s="22" t="str">
        <f>IF(OR(E4370="",E4370="!!!"),"",IF(NOT(ISNA(VLOOKUP(E4370,E$1:E4369,1,FALSE()))),"OLD",IF(AND(E4370&lt;&gt;"",E4370&lt;&gt;"!!!"),"NEW","")))</f>
        <v> </v>
      </c>
      <c r="G4370" s="23" t="str">
        <f>IF(OR(E4370="",E4370="!!!"),"",IF(OR(J4370=0,AND(J4370=1,K4370=1),AND(J4370=1,I4370="SBJ"),AND(J4370=1,I4370=0)),"?IN_FOCUS",IF(J4370&lt;=2,"?ACTIVATED",IF(J4370&lt;&gt;"","?FAMILIAR",IF(F4370="NEW",IF(ISNA(VLOOKUP(E4370,#REF!,1,FALSE())),"?TYPE_IDENTIFIABLE","?REFERENTIAL"),"_")))))</f>
        <v> </v>
      </c>
      <c r="H4370" s="24" t="str">
        <f>IF(J4370&lt;&gt;1,"",IF(I4370="SBJ","CB","?"))</f>
        <v> </v>
      </c>
      <c r="I4370" s="25" t="str">
        <f>IF(OR(E4370="",E4370="!!!",F4370="NEW"),"",INDEX(B4369:B$2,-1+SUMPRODUCT(MAX(ROW(E4369:E$2)*(E4370=E4369:E$2)))))</f>
        <v> </v>
      </c>
      <c r="J4370" s="25" t="str">
        <f>IF(OR(E4370="",E4370="!!!",F4370="NEW"),"",COUNTBLANK(OFFSET(A$1,,,SUMPRODUCT(MAX(ROW(E$2:E4370)*(E4370=E$2:E4370)))))-COUNTBLANK(OFFSET(A$1,,,SUMPRODUCT(MAX(ROW(E$1:E4369)*(E2=E$1:E4369))))))</f>
        <v> </v>
      </c>
      <c r="K4370" s="25" t="str">
        <f>IF(OR(E4370="",E4370="!!!",F4370="NEW"),"",INDEX(J$1:J4369,SUMPRODUCT(MAX(ROW(E$1:E4369)*(E4370=E$1:E4369)))))</f>
        <v> </v>
      </c>
      <c r="L4370" s="26"/>
    </row>
    <row r="4371" spans="1:12">
      <c r="A4371" s="20" t="s">
        <v>1197</v>
      </c>
      <c r="E4371" s="21">
        <f>IF(D4371="?OLD","!!!","")</f>
        <v/>
      </c>
      <c r="F4371" s="22" t="str">
        <f>IF(OR(E4371="",E4371="!!!"),"",IF(NOT(ISNA(VLOOKUP(E4371,E$1:E4370,1,FALSE()))),"OLD",IF(AND(E4371&lt;&gt;"",E4371&lt;&gt;"!!!"),"NEW","")))</f>
        <v> </v>
      </c>
      <c r="G4371" s="23" t="str">
        <f>IF(OR(E4371="",E4371="!!!"),"",IF(OR(J4371=0,AND(J4371=1,K4371=1),AND(J4371=1,I4371="SBJ"),AND(J4371=1,I4371=0)),"?IN_FOCUS",IF(J4371&lt;=2,"?ACTIVATED",IF(J4371&lt;&gt;"","?FAMILIAR",IF(F4371="NEW",IF(ISNA(VLOOKUP(E4371,#REF!,1,FALSE())),"?TYPE_IDENTIFIABLE","?REFERENTIAL"),"_")))))</f>
        <v> </v>
      </c>
      <c r="H4371" s="24" t="str">
        <f>IF(J4371&lt;&gt;1,"",IF(I4371="SBJ","CB","?"))</f>
        <v> </v>
      </c>
      <c r="I4371" s="25" t="str">
        <f>IF(OR(E4371="",E4371="!!!",F4371="NEW"),"",INDEX(B4370:B$2,-1+SUMPRODUCT(MAX(ROW(E4370:E$2)*(E4371=E4370:E$2)))))</f>
        <v> </v>
      </c>
      <c r="J4371" s="25" t="str">
        <f>IF(OR(E4371="",E4371="!!!",F4371="NEW"),"",COUNTBLANK(OFFSET(A$1,,,SUMPRODUCT(MAX(ROW(E$2:E4371)*(E4371=E$2:E4371)))))-COUNTBLANK(OFFSET(A$1,,,SUMPRODUCT(MAX(ROW(E$1:E4370)*(E2=E$1:E4370))))))</f>
        <v> </v>
      </c>
      <c r="K4371" s="25" t="str">
        <f>IF(OR(E4371="",E4371="!!!",F4371="NEW"),"",INDEX(J$1:J4370,SUMPRODUCT(MAX(ROW(E$1:E4370)*(E4371=E$1:E4370)))))</f>
        <v> </v>
      </c>
      <c r="L4371" s="26"/>
    </row>
    <row r="4372" spans="1:12">
      <c r="A4372" s="20" t="s">
        <v>1249</v>
      </c>
      <c r="E4372" s="21">
        <f>IF(D4372="?OLD","!!!","")</f>
        <v/>
      </c>
      <c r="F4372" s="22" t="str">
        <f>IF(OR(E4372="",E4372="!!!"),"",IF(NOT(ISNA(VLOOKUP(E4372,E$1:E4371,1,FALSE()))),"OLD",IF(AND(E4372&lt;&gt;"",E4372&lt;&gt;"!!!"),"NEW","")))</f>
        <v> </v>
      </c>
      <c r="G4372" s="23" t="str">
        <f>IF(OR(E4372="",E4372="!!!"),"",IF(OR(J4372=0,AND(J4372=1,K4372=1),AND(J4372=1,I4372="SBJ"),AND(J4372=1,I4372=0)),"?IN_FOCUS",IF(J4372&lt;=2,"?ACTIVATED",IF(J4372&lt;&gt;"","?FAMILIAR",IF(F4372="NEW",IF(ISNA(VLOOKUP(E4372,#REF!,1,FALSE())),"?TYPE_IDENTIFIABLE","?REFERENTIAL"),"_")))))</f>
        <v> </v>
      </c>
      <c r="H4372" s="24" t="str">
        <f>IF(J4372&lt;&gt;1,"",IF(I4372="SBJ","CB","?"))</f>
        <v> </v>
      </c>
      <c r="I4372" s="25" t="str">
        <f>IF(OR(E4372="",E4372="!!!",F4372="NEW"),"",INDEX(B4371:B$2,-1+SUMPRODUCT(MAX(ROW(E4371:E$2)*(E4372=E4371:E$2)))))</f>
        <v> </v>
      </c>
      <c r="J4372" s="25" t="str">
        <f>IF(OR(E4372="",E4372="!!!",F4372="NEW"),"",COUNTBLANK(OFFSET(A$1,,,SUMPRODUCT(MAX(ROW(E$2:E4372)*(E4372=E$2:E4372)))))-COUNTBLANK(OFFSET(A$1,,,SUMPRODUCT(MAX(ROW(E$1:E4371)*(E2=E$1:E4371))))))</f>
        <v> </v>
      </c>
      <c r="K4372" s="25" t="str">
        <f>IF(OR(E4372="",E4372="!!!",F4372="NEW"),"",INDEX(J$1:J4371,SUMPRODUCT(MAX(ROW(E$1:E4371)*(E4372=E$1:E4371)))))</f>
        <v> </v>
      </c>
      <c r="L4372" s="26"/>
    </row>
    <row r="4373" spans="1:12">
      <c r="A4373" s="20" t="s">
        <v>2007</v>
      </c>
      <c r="E4373" s="21">
        <f>IF(D4373="?OLD","!!!","")</f>
        <v/>
      </c>
      <c r="F4373" s="22" t="str">
        <f>IF(OR(E4373="",E4373="!!!"),"",IF(NOT(ISNA(VLOOKUP(E4373,E$1:E4372,1,FALSE()))),"OLD",IF(AND(E4373&lt;&gt;"",E4373&lt;&gt;"!!!"),"NEW","")))</f>
        <v> </v>
      </c>
      <c r="G4373" s="23" t="str">
        <f>IF(OR(E4373="",E4373="!!!"),"",IF(OR(J4373=0,AND(J4373=1,K4373=1),AND(J4373=1,I4373="SBJ"),AND(J4373=1,I4373=0)),"?IN_FOCUS",IF(J4373&lt;=2,"?ACTIVATED",IF(J4373&lt;&gt;"","?FAMILIAR",IF(F4373="NEW",IF(ISNA(VLOOKUP(E4373,#REF!,1,FALSE())),"?TYPE_IDENTIFIABLE","?REFERENTIAL"),"_")))))</f>
        <v> </v>
      </c>
      <c r="H4373" s="24" t="str">
        <f>IF(J4373&lt;&gt;1,"",IF(I4373="SBJ","CB","?"))</f>
        <v> </v>
      </c>
      <c r="I4373" s="25" t="str">
        <f>IF(OR(E4373="",E4373="!!!",F4373="NEW"),"",INDEX(B4372:B$2,-1+SUMPRODUCT(MAX(ROW(E4372:E$2)*(E4373=E4372:E$2)))))</f>
        <v> </v>
      </c>
      <c r="J4373" s="25" t="str">
        <f>IF(OR(E4373="",E4373="!!!",F4373="NEW"),"",COUNTBLANK(OFFSET(A$1,,,SUMPRODUCT(MAX(ROW(E$2:E4373)*(E4373=E$2:E4373)))))-COUNTBLANK(OFFSET(A$1,,,SUMPRODUCT(MAX(ROW(E$1:E4372)*(E2=E$1:E4372))))))</f>
        <v> </v>
      </c>
      <c r="K4373" s="25" t="str">
        <f>IF(OR(E4373="",E4373="!!!",F4373="NEW"),"",INDEX(J$1:J4372,SUMPRODUCT(MAX(ROW(E$1:E4372)*(E4373=E$1:E4372)))))</f>
        <v> </v>
      </c>
      <c r="L4373" s="26"/>
    </row>
    <row r="4374" spans="1:12">
      <c r="A4374" s="20" t="s">
        <v>3034</v>
      </c>
      <c r="B4374" s="27" t="s">
        <v>1110</v>
      </c>
      <c r="C4374" s="27" t="s">
        <v>1116</v>
      </c>
      <c r="E4374" s="21">
        <f>IF(D4374="?OLD","!!!","")</f>
        <v/>
      </c>
      <c r="F4374" s="22" t="str">
        <f>IF(OR(E4374="",E4374="!!!"),"",IF(NOT(ISNA(VLOOKUP(E4374,E$1:E4373,1,FALSE()))),"OLD",IF(AND(E4374&lt;&gt;"",E4374&lt;&gt;"!!!"),"NEW","")))</f>
        <v> </v>
      </c>
      <c r="G4374" s="23" t="str">
        <f>IF(OR(E4374="",E4374="!!!"),"",IF(OR(J4374=0,AND(J4374=1,K4374=1),AND(J4374=1,I4374="SBJ"),AND(J4374=1,I4374=0)),"?IN_FOCUS",IF(J4374&lt;=2,"?ACTIVATED",IF(J4374&lt;&gt;"","?FAMILIAR",IF(F4374="NEW",IF(ISNA(VLOOKUP(E4374,#REF!,1,FALSE())),"?TYPE_IDENTIFIABLE","?REFERENTIAL"),"_")))))</f>
        <v> </v>
      </c>
      <c r="H4374" s="24" t="str">
        <f>IF(J4374&lt;&gt;1,"",IF(I4374="SBJ","CB","?"))</f>
        <v> </v>
      </c>
      <c r="I4374" s="25" t="str">
        <f>IF(OR(E4374="",E4374="!!!",F4374="NEW"),"",INDEX(B4373:B$2,-1+SUMPRODUCT(MAX(ROW(E4373:E$2)*(E4374=E4373:E$2)))))</f>
        <v> </v>
      </c>
      <c r="J4374" s="25" t="str">
        <f>IF(OR(E4374="",E4374="!!!",F4374="NEW"),"",COUNTBLANK(OFFSET(A$1,,,SUMPRODUCT(MAX(ROW(E$2:E4374)*(E4374=E$2:E4374)))))-COUNTBLANK(OFFSET(A$1,,,SUMPRODUCT(MAX(ROW(E$1:E4373)*(E2=E$1:E4373))))))</f>
        <v> </v>
      </c>
      <c r="K4374" s="25" t="str">
        <f>IF(OR(E4374="",E4374="!!!",F4374="NEW"),"",INDEX(J$1:J4373,SUMPRODUCT(MAX(ROW(E$1:E4373)*(E4374=E$1:E4373)))))</f>
        <v> </v>
      </c>
      <c r="L4374" s="26"/>
    </row>
    <row r="4375" spans="1:12">
      <c r="A4375" s="20" t="s">
        <v>1117</v>
      </c>
      <c r="E4375" s="21">
        <f>IF(D4375="?OLD","!!!","")</f>
        <v/>
      </c>
      <c r="F4375" s="22" t="str">
        <f>IF(OR(E4375="",E4375="!!!"),"",IF(NOT(ISNA(VLOOKUP(E4375,E$1:E4374,1,FALSE()))),"OLD",IF(AND(E4375&lt;&gt;"",E4375&lt;&gt;"!!!"),"NEW","")))</f>
        <v> </v>
      </c>
      <c r="G4375" s="23" t="str">
        <f>IF(OR(E4375="",E4375="!!!"),"",IF(OR(J4375=0,AND(J4375=1,K4375=1),AND(J4375=1,I4375="SBJ"),AND(J4375=1,I4375=0)),"?IN_FOCUS",IF(J4375&lt;=2,"?ACTIVATED",IF(J4375&lt;&gt;"","?FAMILIAR",IF(F4375="NEW",IF(ISNA(VLOOKUP(E4375,#REF!,1,FALSE())),"?TYPE_IDENTIFIABLE","?REFERENTIAL"),"_")))))</f>
        <v> </v>
      </c>
      <c r="H4375" s="24" t="str">
        <f>IF(J4375&lt;&gt;1,"",IF(I4375="SBJ","CB","?"))</f>
        <v> </v>
      </c>
      <c r="I4375" s="25" t="str">
        <f>IF(OR(E4375="",E4375="!!!",F4375="NEW"),"",INDEX(B4374:B$2,-1+SUMPRODUCT(MAX(ROW(E4374:E$2)*(E4375=E4374:E$2)))))</f>
        <v> </v>
      </c>
      <c r="J4375" s="25" t="str">
        <f>IF(OR(E4375="",E4375="!!!",F4375="NEW"),"",COUNTBLANK(OFFSET(A$1,,,SUMPRODUCT(MAX(ROW(E$2:E4375)*(E4375=E$2:E4375)))))-COUNTBLANK(OFFSET(A$1,,,SUMPRODUCT(MAX(ROW(E$1:E4374)*(E2=E$1:E4374))))))</f>
        <v> </v>
      </c>
      <c r="K4375" s="25" t="str">
        <f>IF(OR(E4375="",E4375="!!!",F4375="NEW"),"",INDEX(J$1:J4374,SUMPRODUCT(MAX(ROW(E$1:E4374)*(E4375=E$1:E4374)))))</f>
        <v> </v>
      </c>
      <c r="L4375" s="26"/>
    </row>
    <row r="4376" spans="1:12">
      <c r="A4376" s="20" t="s">
        <v>1120</v>
      </c>
      <c r="E4376" s="21">
        <f>IF(D4376="?OLD","!!!","")</f>
        <v/>
      </c>
      <c r="F4376" s="22" t="str">
        <f>IF(OR(E4376="",E4376="!!!"),"",IF(NOT(ISNA(VLOOKUP(E4376,E$1:E4375,1,FALSE()))),"OLD",IF(AND(E4376&lt;&gt;"",E4376&lt;&gt;"!!!"),"NEW","")))</f>
        <v> </v>
      </c>
      <c r="G4376" s="23" t="str">
        <f>IF(OR(E4376="",E4376="!!!"),"",IF(OR(J4376=0,AND(J4376=1,K4376=1),AND(J4376=1,I4376="SBJ"),AND(J4376=1,I4376=0)),"?IN_FOCUS",IF(J4376&lt;=2,"?ACTIVATED",IF(J4376&lt;&gt;"","?FAMILIAR",IF(F4376="NEW",IF(ISNA(VLOOKUP(E4376,#REF!,1,FALSE())),"?TYPE_IDENTIFIABLE","?REFERENTIAL"),"_")))))</f>
        <v> </v>
      </c>
      <c r="H4376" s="24" t="str">
        <f>IF(J4376&lt;&gt;1,"",IF(I4376="SBJ","CB","?"))</f>
        <v> </v>
      </c>
      <c r="I4376" s="25" t="str">
        <f>IF(OR(E4376="",E4376="!!!",F4376="NEW"),"",INDEX(B4375:B$2,-1+SUMPRODUCT(MAX(ROW(E4375:E$2)*(E4376=E4375:E$2)))))</f>
        <v> </v>
      </c>
      <c r="J4376" s="25" t="str">
        <f>IF(OR(E4376="",E4376="!!!",F4376="NEW"),"",COUNTBLANK(OFFSET(A$1,,,SUMPRODUCT(MAX(ROW(E$2:E4376)*(E4376=E$2:E4376)))))-COUNTBLANK(OFFSET(A$1,,,SUMPRODUCT(MAX(ROW(E$1:E4375)*(E2=E$1:E4375))))))</f>
        <v> </v>
      </c>
      <c r="K4376" s="25" t="str">
        <f>IF(OR(E4376="",E4376="!!!",F4376="NEW"),"",INDEX(J$1:J4375,SUMPRODUCT(MAX(ROW(E$1:E4375)*(E4376=E$1:E4375)))))</f>
        <v> </v>
      </c>
      <c r="L4376" s="26"/>
    </row>
    <row r="4377" spans="1:12">
      <c r="A4377" s="20" t="s">
        <v>3035</v>
      </c>
      <c r="E4377" s="21">
        <f>IF(D4377="?OLD","!!!","")</f>
        <v/>
      </c>
      <c r="F4377" s="22" t="str">
        <f>IF(OR(E4377="",E4377="!!!"),"",IF(NOT(ISNA(VLOOKUP(E4377,E$1:E4376,1,FALSE()))),"OLD",IF(AND(E4377&lt;&gt;"",E4377&lt;&gt;"!!!"),"NEW","")))</f>
        <v> </v>
      </c>
      <c r="G4377" s="23" t="str">
        <f>IF(OR(E4377="",E4377="!!!"),"",IF(OR(J4377=0,AND(J4377=1,K4377=1),AND(J4377=1,I4377="SBJ"),AND(J4377=1,I4377=0)),"?IN_FOCUS",IF(J4377&lt;=2,"?ACTIVATED",IF(J4377&lt;&gt;"","?FAMILIAR",IF(F4377="NEW",IF(ISNA(VLOOKUP(E4377,#REF!,1,FALSE())),"?TYPE_IDENTIFIABLE","?REFERENTIAL"),"_")))))</f>
        <v> </v>
      </c>
      <c r="H4377" s="24" t="str">
        <f>IF(J4377&lt;&gt;1,"",IF(I4377="SBJ","CB","?"))</f>
        <v> </v>
      </c>
      <c r="I4377" s="25" t="str">
        <f>IF(OR(E4377="",E4377="!!!",F4377="NEW"),"",INDEX(B4376:B$2,-1+SUMPRODUCT(MAX(ROW(E4376:E$2)*(E4377=E4376:E$2)))))</f>
        <v> </v>
      </c>
      <c r="J4377" s="25" t="str">
        <f>IF(OR(E4377="",E4377="!!!",F4377="NEW"),"",COUNTBLANK(OFFSET(A$1,,,SUMPRODUCT(MAX(ROW(E$2:E4377)*(E4377=E$2:E4377)))))-COUNTBLANK(OFFSET(A$1,,,SUMPRODUCT(MAX(ROW(E$1:E4376)*(E2=E$1:E4376))))))</f>
        <v> </v>
      </c>
      <c r="K4377" s="25" t="str">
        <f>IF(OR(E4377="",E4377="!!!",F4377="NEW"),"",INDEX(J$1:J4376,SUMPRODUCT(MAX(ROW(E$1:E4376)*(E4377=E$1:E4376)))))</f>
        <v> </v>
      </c>
      <c r="L4377" s="26"/>
    </row>
    <row r="4378" spans="1:12">
      <c r="A4378" s="20" t="s">
        <v>1113</v>
      </c>
      <c r="E4378" s="21">
        <f>IF(D4378="?OLD","!!!","")</f>
        <v/>
      </c>
      <c r="F4378" s="22" t="str">
        <f>IF(OR(E4378="",E4378="!!!"),"",IF(NOT(ISNA(VLOOKUP(E4378,E$1:E4377,1,FALSE()))),"OLD",IF(AND(E4378&lt;&gt;"",E4378&lt;&gt;"!!!"),"NEW","")))</f>
        <v> </v>
      </c>
      <c r="G4378" s="23" t="str">
        <f>IF(OR(E4378="",E4378="!!!"),"",IF(OR(J4378=0,AND(J4378=1,K4378=1),AND(J4378=1,I4378="SBJ"),AND(J4378=1,I4378=0)),"?IN_FOCUS",IF(J4378&lt;=2,"?ACTIVATED",IF(J4378&lt;&gt;"","?FAMILIAR",IF(F4378="NEW",IF(ISNA(VLOOKUP(E4378,#REF!,1,FALSE())),"?TYPE_IDENTIFIABLE","?REFERENTIAL"),"_")))))</f>
        <v> </v>
      </c>
      <c r="H4378" s="24" t="str">
        <f>IF(J4378&lt;&gt;1,"",IF(I4378="SBJ","CB","?"))</f>
        <v> </v>
      </c>
      <c r="I4378" s="25" t="str">
        <f>IF(OR(E4378="",E4378="!!!",F4378="NEW"),"",INDEX(B4377:B$2,-1+SUMPRODUCT(MAX(ROW(E4377:E$2)*(E4378=E4377:E$2)))))</f>
        <v> </v>
      </c>
      <c r="J4378" s="25" t="str">
        <f>IF(OR(E4378="",E4378="!!!",F4378="NEW"),"",COUNTBLANK(OFFSET(A$1,,,SUMPRODUCT(MAX(ROW(E$2:E4378)*(E4378=E$2:E4378)))))-COUNTBLANK(OFFSET(A$1,,,SUMPRODUCT(MAX(ROW(E$1:E4377)*(E2=E$1:E4377))))))</f>
        <v> </v>
      </c>
      <c r="K4378" s="25" t="str">
        <f>IF(OR(E4378="",E4378="!!!",F4378="NEW"),"",INDEX(J$1:J4377,SUMPRODUCT(MAX(ROW(E$1:E4377)*(E4378=E$1:E4377)))))</f>
        <v> </v>
      </c>
      <c r="L4378" s="26"/>
    </row>
    <row r="4379" spans="1:12">
      <c r="A4379" s="20" t="s">
        <v>1184</v>
      </c>
      <c r="E4379" s="21">
        <f>IF(D4379="?OLD","!!!","")</f>
        <v/>
      </c>
      <c r="F4379" s="22" t="str">
        <f>IF(OR(E4379="",E4379="!!!"),"",IF(NOT(ISNA(VLOOKUP(E4379,E$1:E4378,1,FALSE()))),"OLD",IF(AND(E4379&lt;&gt;"",E4379&lt;&gt;"!!!"),"NEW","")))</f>
        <v> </v>
      </c>
      <c r="G4379" s="23" t="str">
        <f>IF(OR(E4379="",E4379="!!!"),"",IF(OR(J4379=0,AND(J4379=1,K4379=1),AND(J4379=1,I4379="SBJ"),AND(J4379=1,I4379=0)),"?IN_FOCUS",IF(J4379&lt;=2,"?ACTIVATED",IF(J4379&lt;&gt;"","?FAMILIAR",IF(F4379="NEW",IF(ISNA(VLOOKUP(E4379,#REF!,1,FALSE())),"?TYPE_IDENTIFIABLE","?REFERENTIAL"),"_")))))</f>
        <v> </v>
      </c>
      <c r="H4379" s="24" t="str">
        <f>IF(J4379&lt;&gt;1,"",IF(I4379="SBJ","CB","?"))</f>
        <v> </v>
      </c>
      <c r="I4379" s="25" t="str">
        <f>IF(OR(E4379="",E4379="!!!",F4379="NEW"),"",INDEX(B4378:B$2,-1+SUMPRODUCT(MAX(ROW(E4378:E$2)*(E4379=E4378:E$2)))))</f>
        <v> </v>
      </c>
      <c r="J4379" s="25" t="str">
        <f>IF(OR(E4379="",E4379="!!!",F4379="NEW"),"",COUNTBLANK(OFFSET(A$1,,,SUMPRODUCT(MAX(ROW(E$2:E4379)*(E4379=E$2:E4379)))))-COUNTBLANK(OFFSET(A$1,,,SUMPRODUCT(MAX(ROW(E$1:E4378)*(E2=E$1:E4378))))))</f>
        <v> </v>
      </c>
      <c r="K4379" s="25" t="str">
        <f>IF(OR(E4379="",E4379="!!!",F4379="NEW"),"",INDEX(J$1:J4378,SUMPRODUCT(MAX(ROW(E$1:E4378)*(E4379=E$1:E4378)))))</f>
        <v> </v>
      </c>
      <c r="L4379" s="26"/>
    </row>
    <row r="4380" spans="1:12">
      <c r="A4380" s="20" t="s">
        <v>3036</v>
      </c>
      <c r="E4380" s="21">
        <f>IF(D4380="?OLD","!!!","")</f>
        <v/>
      </c>
      <c r="F4380" s="22" t="str">
        <f>IF(OR(E4380="",E4380="!!!"),"",IF(NOT(ISNA(VLOOKUP(E4380,E$1:E4379,1,FALSE()))),"OLD",IF(AND(E4380&lt;&gt;"",E4380&lt;&gt;"!!!"),"NEW","")))</f>
        <v> </v>
      </c>
      <c r="G4380" s="23" t="str">
        <f>IF(OR(E4380="",E4380="!!!"),"",IF(OR(J4380=0,AND(J4380=1,K4380=1),AND(J4380=1,I4380="SBJ"),AND(J4380=1,I4380=0)),"?IN_FOCUS",IF(J4380&lt;=2,"?ACTIVATED",IF(J4380&lt;&gt;"","?FAMILIAR",IF(F4380="NEW",IF(ISNA(VLOOKUP(E4380,#REF!,1,FALSE())),"?TYPE_IDENTIFIABLE","?REFERENTIAL"),"_")))))</f>
        <v> </v>
      </c>
      <c r="H4380" s="24" t="str">
        <f>IF(J4380&lt;&gt;1,"",IF(I4380="SBJ","CB","?"))</f>
        <v> </v>
      </c>
      <c r="I4380" s="25" t="str">
        <f>IF(OR(E4380="",E4380="!!!",F4380="NEW"),"",INDEX(B4379:B$2,-1+SUMPRODUCT(MAX(ROW(E4379:E$2)*(E4380=E4379:E$2)))))</f>
        <v> </v>
      </c>
      <c r="J4380" s="25" t="str">
        <f>IF(OR(E4380="",E4380="!!!",F4380="NEW"),"",COUNTBLANK(OFFSET(A$1,,,SUMPRODUCT(MAX(ROW(E$2:E4380)*(E4380=E$2:E4380)))))-COUNTBLANK(OFFSET(A$1,,,SUMPRODUCT(MAX(ROW(E$1:E4379)*(E2=E$1:E4379))))))</f>
        <v> </v>
      </c>
      <c r="K4380" s="25" t="str">
        <f>IF(OR(E4380="",E4380="!!!",F4380="NEW"),"",INDEX(J$1:J4379,SUMPRODUCT(MAX(ROW(E$1:E4379)*(E4380=E$1:E4379)))))</f>
        <v> </v>
      </c>
      <c r="L4380" s="26"/>
    </row>
    <row r="4381" spans="1:12">
      <c r="A4381" s="20" t="s">
        <v>3037</v>
      </c>
      <c r="E4381" s="21">
        <f>IF(D4381="?OLD","!!!","")</f>
        <v/>
      </c>
      <c r="F4381" s="22" t="str">
        <f>IF(OR(E4381="",E4381="!!!"),"",IF(NOT(ISNA(VLOOKUP(E4381,E$1:E4380,1,FALSE()))),"OLD",IF(AND(E4381&lt;&gt;"",E4381&lt;&gt;"!!!"),"NEW","")))</f>
        <v> </v>
      </c>
      <c r="G4381" s="23" t="str">
        <f>IF(OR(E4381="",E4381="!!!"),"",IF(OR(J4381=0,AND(J4381=1,K4381=1),AND(J4381=1,I4381="SBJ"),AND(J4381=1,I4381=0)),"?IN_FOCUS",IF(J4381&lt;=2,"?ACTIVATED",IF(J4381&lt;&gt;"","?FAMILIAR",IF(F4381="NEW",IF(ISNA(VLOOKUP(E4381,#REF!,1,FALSE())),"?TYPE_IDENTIFIABLE","?REFERENTIAL"),"_")))))</f>
        <v> </v>
      </c>
      <c r="H4381" s="24" t="str">
        <f>IF(J4381&lt;&gt;1,"",IF(I4381="SBJ","CB","?"))</f>
        <v> </v>
      </c>
      <c r="I4381" s="25" t="str">
        <f>IF(OR(E4381="",E4381="!!!",F4381="NEW"),"",INDEX(B4380:B$2,-1+SUMPRODUCT(MAX(ROW(E4380:E$2)*(E4381=E4380:E$2)))))</f>
        <v> </v>
      </c>
      <c r="J4381" s="25" t="str">
        <f>IF(OR(E4381="",E4381="!!!",F4381="NEW"),"",COUNTBLANK(OFFSET(A$1,,,SUMPRODUCT(MAX(ROW(E$2:E4381)*(E4381=E$2:E4381)))))-COUNTBLANK(OFFSET(A$1,,,SUMPRODUCT(MAX(ROW(E$1:E4380)*(E2=E$1:E4380))))))</f>
        <v> </v>
      </c>
      <c r="K4381" s="25" t="str">
        <f>IF(OR(E4381="",E4381="!!!",F4381="NEW"),"",INDEX(J$1:J4380,SUMPRODUCT(MAX(ROW(E$1:E4380)*(E4381=E$1:E4380)))))</f>
        <v> </v>
      </c>
      <c r="L4381" s="26"/>
    </row>
    <row r="4382" spans="1:12">
      <c r="A4382" s="20" t="s">
        <v>2123</v>
      </c>
      <c r="E4382" s="21">
        <f>IF(D4382="?OLD","!!!","")</f>
        <v/>
      </c>
      <c r="F4382" s="22" t="str">
        <f>IF(OR(E4382="",E4382="!!!"),"",IF(NOT(ISNA(VLOOKUP(E4382,E$1:E4381,1,FALSE()))),"OLD",IF(AND(E4382&lt;&gt;"",E4382&lt;&gt;"!!!"),"NEW","")))</f>
        <v> </v>
      </c>
      <c r="G4382" s="23" t="str">
        <f>IF(OR(E4382="",E4382="!!!"),"",IF(OR(J4382=0,AND(J4382=1,K4382=1),AND(J4382=1,I4382="SBJ"),AND(J4382=1,I4382=0)),"?IN_FOCUS",IF(J4382&lt;=2,"?ACTIVATED",IF(J4382&lt;&gt;"","?FAMILIAR",IF(F4382="NEW",IF(ISNA(VLOOKUP(E4382,#REF!,1,FALSE())),"?TYPE_IDENTIFIABLE","?REFERENTIAL"),"_")))))</f>
        <v> </v>
      </c>
      <c r="H4382" s="24" t="str">
        <f>IF(J4382&lt;&gt;1,"",IF(I4382="SBJ","CB","?"))</f>
        <v> </v>
      </c>
      <c r="I4382" s="25" t="str">
        <f>IF(OR(E4382="",E4382="!!!",F4382="NEW"),"",INDEX(B4381:B$2,-1+SUMPRODUCT(MAX(ROW(E4381:E$2)*(E4382=E4381:E$2)))))</f>
        <v> </v>
      </c>
      <c r="J4382" s="25" t="str">
        <f>IF(OR(E4382="",E4382="!!!",F4382="NEW"),"",COUNTBLANK(OFFSET(A$1,,,SUMPRODUCT(MAX(ROW(E$2:E4382)*(E4382=E$2:E4382)))))-COUNTBLANK(OFFSET(A$1,,,SUMPRODUCT(MAX(ROW(E$1:E4381)*(E2=E$1:E4381))))))</f>
        <v> </v>
      </c>
      <c r="K4382" s="25" t="str">
        <f>IF(OR(E4382="",E4382="!!!",F4382="NEW"),"",INDEX(J$1:J4381,SUMPRODUCT(MAX(ROW(E$1:E4381)*(E4382=E$1:E4381)))))</f>
        <v> </v>
      </c>
      <c r="L4382" s="26"/>
    </row>
    <row r="4383" spans="1:12">
      <c r="A4383" s="20" t="s">
        <v>1123</v>
      </c>
      <c r="E4383" s="21">
        <f>IF(D4383="?OLD","!!!","")</f>
        <v/>
      </c>
      <c r="F4383" s="22" t="str">
        <f>IF(OR(E4383="",E4383="!!!"),"",IF(NOT(ISNA(VLOOKUP(E4383,E$1:E4382,1,FALSE()))),"OLD",IF(AND(E4383&lt;&gt;"",E4383&lt;&gt;"!!!"),"NEW","")))</f>
        <v> </v>
      </c>
      <c r="G4383" s="23" t="str">
        <f>IF(OR(E4383="",E4383="!!!"),"",IF(OR(J4383=0,AND(J4383=1,K4383=1),AND(J4383=1,I4383="SBJ"),AND(J4383=1,I4383=0)),"?IN_FOCUS",IF(J4383&lt;=2,"?ACTIVATED",IF(J4383&lt;&gt;"","?FAMILIAR",IF(F4383="NEW",IF(ISNA(VLOOKUP(E4383,#REF!,1,FALSE())),"?TYPE_IDENTIFIABLE","?REFERENTIAL"),"_")))))</f>
        <v> </v>
      </c>
      <c r="H4383" s="24" t="str">
        <f>IF(J4383&lt;&gt;1,"",IF(I4383="SBJ","CB","?"))</f>
        <v> </v>
      </c>
      <c r="I4383" s="25" t="str">
        <f>IF(OR(E4383="",E4383="!!!",F4383="NEW"),"",INDEX(B4382:B$2,-1+SUMPRODUCT(MAX(ROW(E4382:E$2)*(E4383=E4382:E$2)))))</f>
        <v> </v>
      </c>
      <c r="J4383" s="25" t="str">
        <f>IF(OR(E4383="",E4383="!!!",F4383="NEW"),"",COUNTBLANK(OFFSET(A$1,,,SUMPRODUCT(MAX(ROW(E$2:E4383)*(E4383=E$2:E4383)))))-COUNTBLANK(OFFSET(A$1,,,SUMPRODUCT(MAX(ROW(E$1:E4382)*(E2=E$1:E4382))))))</f>
        <v> </v>
      </c>
      <c r="K4383" s="25" t="str">
        <f>IF(OR(E4383="",E4383="!!!",F4383="NEW"),"",INDEX(J$1:J4382,SUMPRODUCT(MAX(ROW(E$1:E4382)*(E4383=E$1:E4382)))))</f>
        <v> </v>
      </c>
      <c r="L4383" s="26"/>
    </row>
    <row r="4384" spans="1:12">
      <c r="A4384" s="20" t="s">
        <v>1184</v>
      </c>
      <c r="E4384" s="21">
        <f>IF(D4384="?OLD","!!!","")</f>
        <v/>
      </c>
      <c r="F4384" s="22" t="str">
        <f>IF(OR(E4384="",E4384="!!!"),"",IF(NOT(ISNA(VLOOKUP(E4384,E$1:E4383,1,FALSE()))),"OLD",IF(AND(E4384&lt;&gt;"",E4384&lt;&gt;"!!!"),"NEW","")))</f>
        <v> </v>
      </c>
      <c r="G4384" s="23" t="str">
        <f>IF(OR(E4384="",E4384="!!!"),"",IF(OR(J4384=0,AND(J4384=1,K4384=1),AND(J4384=1,I4384="SBJ"),AND(J4384=1,I4384=0)),"?IN_FOCUS",IF(J4384&lt;=2,"?ACTIVATED",IF(J4384&lt;&gt;"","?FAMILIAR",IF(F4384="NEW",IF(ISNA(VLOOKUP(E4384,#REF!,1,FALSE())),"?TYPE_IDENTIFIABLE","?REFERENTIAL"),"_")))))</f>
        <v> </v>
      </c>
      <c r="H4384" s="24" t="str">
        <f>IF(J4384&lt;&gt;1,"",IF(I4384="SBJ","CB","?"))</f>
        <v> </v>
      </c>
      <c r="I4384" s="25" t="str">
        <f>IF(OR(E4384="",E4384="!!!",F4384="NEW"),"",INDEX(B4383:B$2,-1+SUMPRODUCT(MAX(ROW(E4383:E$2)*(E4384=E4383:E$2)))))</f>
        <v> </v>
      </c>
      <c r="J4384" s="25" t="str">
        <f>IF(OR(E4384="",E4384="!!!",F4384="NEW"),"",COUNTBLANK(OFFSET(A$1,,,SUMPRODUCT(MAX(ROW(E$2:E4384)*(E4384=E$2:E4384)))))-COUNTBLANK(OFFSET(A$1,,,SUMPRODUCT(MAX(ROW(E$1:E4383)*(E2=E$1:E4383))))))</f>
        <v> </v>
      </c>
      <c r="K4384" s="25" t="str">
        <f>IF(OR(E4384="",E4384="!!!",F4384="NEW"),"",INDEX(J$1:J4383,SUMPRODUCT(MAX(ROW(E$1:E4383)*(E4384=E$1:E4383)))))</f>
        <v> </v>
      </c>
      <c r="L4384" s="26"/>
    </row>
    <row r="4385" spans="1:12">
      <c r="A4385" s="20" t="s">
        <v>3038</v>
      </c>
      <c r="E4385" s="21">
        <f>IF(D4385="?OLD","!!!","")</f>
        <v/>
      </c>
      <c r="F4385" s="22" t="str">
        <f>IF(OR(E4385="",E4385="!!!"),"",IF(NOT(ISNA(VLOOKUP(E4385,E$1:E4384,1,FALSE()))),"OLD",IF(AND(E4385&lt;&gt;"",E4385&lt;&gt;"!!!"),"NEW","")))</f>
        <v> </v>
      </c>
      <c r="G4385" s="23" t="str">
        <f>IF(OR(E4385="",E4385="!!!"),"",IF(OR(J4385=0,AND(J4385=1,K4385=1),AND(J4385=1,I4385="SBJ"),AND(J4385=1,I4385=0)),"?IN_FOCUS",IF(J4385&lt;=2,"?ACTIVATED",IF(J4385&lt;&gt;"","?FAMILIAR",IF(F4385="NEW",IF(ISNA(VLOOKUP(E4385,#REF!,1,FALSE())),"?TYPE_IDENTIFIABLE","?REFERENTIAL"),"_")))))</f>
        <v> </v>
      </c>
      <c r="H4385" s="24" t="str">
        <f>IF(J4385&lt;&gt;1,"",IF(I4385="SBJ","CB","?"))</f>
        <v> </v>
      </c>
      <c r="I4385" s="25" t="str">
        <f>IF(OR(E4385="",E4385="!!!",F4385="NEW"),"",INDEX(B4384:B$2,-1+SUMPRODUCT(MAX(ROW(E4384:E$2)*(E4385=E4384:E$2)))))</f>
        <v> </v>
      </c>
      <c r="J4385" s="25" t="str">
        <f>IF(OR(E4385="",E4385="!!!",F4385="NEW"),"",COUNTBLANK(OFFSET(A$1,,,SUMPRODUCT(MAX(ROW(E$2:E4385)*(E4385=E$2:E4385)))))-COUNTBLANK(OFFSET(A$1,,,SUMPRODUCT(MAX(ROW(E$1:E4384)*(E2=E$1:E4384))))))</f>
        <v> </v>
      </c>
      <c r="K4385" s="25" t="str">
        <f>IF(OR(E4385="",E4385="!!!",F4385="NEW"),"",INDEX(J$1:J4384,SUMPRODUCT(MAX(ROW(E$1:E4384)*(E4385=E$1:E4384)))))</f>
        <v> </v>
      </c>
      <c r="L4385" s="26"/>
    </row>
    <row r="4386" spans="1:12">
      <c r="A4386" s="20" t="s">
        <v>1249</v>
      </c>
      <c r="E4386" s="21">
        <f>IF(D4386="?OLD","!!!","")</f>
        <v/>
      </c>
      <c r="F4386" s="22" t="str">
        <f>IF(OR(E4386="",E4386="!!!"),"",IF(NOT(ISNA(VLOOKUP(E4386,E$1:E4385,1,FALSE()))),"OLD",IF(AND(E4386&lt;&gt;"",E4386&lt;&gt;"!!!"),"NEW","")))</f>
        <v> </v>
      </c>
      <c r="G4386" s="23" t="str">
        <f>IF(OR(E4386="",E4386="!!!"),"",IF(OR(J4386=0,AND(J4386=1,K4386=1),AND(J4386=1,I4386="SBJ"),AND(J4386=1,I4386=0)),"?IN_FOCUS",IF(J4386&lt;=2,"?ACTIVATED",IF(J4386&lt;&gt;"","?FAMILIAR",IF(F4386="NEW",IF(ISNA(VLOOKUP(E4386,#REF!,1,FALSE())),"?TYPE_IDENTIFIABLE","?REFERENTIAL"),"_")))))</f>
        <v> </v>
      </c>
      <c r="H4386" s="24" t="str">
        <f>IF(J4386&lt;&gt;1,"",IF(I4386="SBJ","CB","?"))</f>
        <v> </v>
      </c>
      <c r="I4386" s="25" t="str">
        <f>IF(OR(E4386="",E4386="!!!",F4386="NEW"),"",INDEX(B4385:B$2,-1+SUMPRODUCT(MAX(ROW(E4385:E$2)*(E4386=E4385:E$2)))))</f>
        <v> </v>
      </c>
      <c r="J4386" s="25" t="str">
        <f>IF(OR(E4386="",E4386="!!!",F4386="NEW"),"",COUNTBLANK(OFFSET(A$1,,,SUMPRODUCT(MAX(ROW(E$2:E4386)*(E4386=E$2:E4386)))))-COUNTBLANK(OFFSET(A$1,,,SUMPRODUCT(MAX(ROW(E$1:E4385)*(E2=E$1:E4385))))))</f>
        <v> </v>
      </c>
      <c r="K4386" s="25" t="str">
        <f>IF(OR(E4386="",E4386="!!!",F4386="NEW"),"",INDEX(J$1:J4385,SUMPRODUCT(MAX(ROW(E$1:E4385)*(E4386=E$1:E4385)))))</f>
        <v> </v>
      </c>
      <c r="L4386" s="26"/>
    </row>
    <row r="4387" spans="1:12">
      <c r="A4387" s="20" t="s">
        <v>3039</v>
      </c>
      <c r="E4387" s="21">
        <f>IF(D4387="?OLD","!!!","")</f>
        <v/>
      </c>
      <c r="F4387" s="22" t="str">
        <f>IF(OR(E4387="",E4387="!!!"),"",IF(NOT(ISNA(VLOOKUP(E4387,E$1:E4386,1,FALSE()))),"OLD",IF(AND(E4387&lt;&gt;"",E4387&lt;&gt;"!!!"),"NEW","")))</f>
        <v> </v>
      </c>
      <c r="G4387" s="23" t="str">
        <f>IF(OR(E4387="",E4387="!!!"),"",IF(OR(J4387=0,AND(J4387=1,K4387=1),AND(J4387=1,I4387="SBJ"),AND(J4387=1,I4387=0)),"?IN_FOCUS",IF(J4387&lt;=2,"?ACTIVATED",IF(J4387&lt;&gt;"","?FAMILIAR",IF(F4387="NEW",IF(ISNA(VLOOKUP(E4387,#REF!,1,FALSE())),"?TYPE_IDENTIFIABLE","?REFERENTIAL"),"_")))))</f>
        <v> </v>
      </c>
      <c r="H4387" s="24" t="str">
        <f>IF(J4387&lt;&gt;1,"",IF(I4387="SBJ","CB","?"))</f>
        <v> </v>
      </c>
      <c r="I4387" s="25" t="str">
        <f>IF(OR(E4387="",E4387="!!!",F4387="NEW"),"",INDEX(B4386:B$2,-1+SUMPRODUCT(MAX(ROW(E4386:E$2)*(E4387=E4386:E$2)))))</f>
        <v> </v>
      </c>
      <c r="J4387" s="25" t="str">
        <f>IF(OR(E4387="",E4387="!!!",F4387="NEW"),"",COUNTBLANK(OFFSET(A$1,,,SUMPRODUCT(MAX(ROW(E$2:E4387)*(E4387=E$2:E4387)))))-COUNTBLANK(OFFSET(A$1,,,SUMPRODUCT(MAX(ROW(E$1:E4386)*(E2=E$1:E4386))))))</f>
        <v> </v>
      </c>
      <c r="K4387" s="25" t="str">
        <f>IF(OR(E4387="",E4387="!!!",F4387="NEW"),"",INDEX(J$1:J4386,SUMPRODUCT(MAX(ROW(E$1:E4386)*(E4387=E$1:E4386)))))</f>
        <v> </v>
      </c>
      <c r="L4387" s="26"/>
    </row>
    <row r="4388" spans="1:12">
      <c r="A4388" s="20" t="s">
        <v>3040</v>
      </c>
      <c r="E4388" s="21">
        <f>IF(D4388="?OLD","!!!","")</f>
        <v/>
      </c>
      <c r="F4388" s="22" t="str">
        <f>IF(OR(E4388="",E4388="!!!"),"",IF(NOT(ISNA(VLOOKUP(E4388,E$1:E4387,1,FALSE()))),"OLD",IF(AND(E4388&lt;&gt;"",E4388&lt;&gt;"!!!"),"NEW","")))</f>
        <v> </v>
      </c>
      <c r="G4388" s="23" t="str">
        <f>IF(OR(E4388="",E4388="!!!"),"",IF(OR(J4388=0,AND(J4388=1,K4388=1),AND(J4388=1,I4388="SBJ"),AND(J4388=1,I4388=0)),"?IN_FOCUS",IF(J4388&lt;=2,"?ACTIVATED",IF(J4388&lt;&gt;"","?FAMILIAR",IF(F4388="NEW",IF(ISNA(VLOOKUP(E4388,#REF!,1,FALSE())),"?TYPE_IDENTIFIABLE","?REFERENTIAL"),"_")))))</f>
        <v> </v>
      </c>
      <c r="H4388" s="24" t="str">
        <f>IF(J4388&lt;&gt;1,"",IF(I4388="SBJ","CB","?"))</f>
        <v> </v>
      </c>
      <c r="I4388" s="25" t="str">
        <f>IF(OR(E4388="",E4388="!!!",F4388="NEW"),"",INDEX(B4387:B$2,-1+SUMPRODUCT(MAX(ROW(E4387:E$2)*(E4388=E4387:E$2)))))</f>
        <v> </v>
      </c>
      <c r="J4388" s="25" t="str">
        <f>IF(OR(E4388="",E4388="!!!",F4388="NEW"),"",COUNTBLANK(OFFSET(A$1,,,SUMPRODUCT(MAX(ROW(E$2:E4388)*(E4388=E$2:E4388)))))-COUNTBLANK(OFFSET(A$1,,,SUMPRODUCT(MAX(ROW(E$1:E4387)*(E2=E$1:E4387))))))</f>
        <v> </v>
      </c>
      <c r="K4388" s="25" t="str">
        <f>IF(OR(E4388="",E4388="!!!",F4388="NEW"),"",INDEX(J$1:J4387,SUMPRODUCT(MAX(ROW(E$1:E4387)*(E4388=E$1:E4387)))))</f>
        <v> </v>
      </c>
      <c r="L4388" s="26"/>
    </row>
    <row r="4389" spans="1:12">
      <c r="A4389" s="20" t="s">
        <v>1145</v>
      </c>
      <c r="E4389" s="21">
        <f>IF(D4389="?OLD","!!!","")</f>
        <v/>
      </c>
      <c r="F4389" s="22" t="str">
        <f>IF(OR(E4389="",E4389="!!!"),"",IF(NOT(ISNA(VLOOKUP(E4389,E$1:E4388,1,FALSE()))),"OLD",IF(AND(E4389&lt;&gt;"",E4389&lt;&gt;"!!!"),"NEW","")))</f>
        <v> </v>
      </c>
      <c r="G4389" s="23" t="str">
        <f>IF(OR(E4389="",E4389="!!!"),"",IF(OR(J4389=0,AND(J4389=1,K4389=1),AND(J4389=1,I4389="SBJ"),AND(J4389=1,I4389=0)),"?IN_FOCUS",IF(J4389&lt;=2,"?ACTIVATED",IF(J4389&lt;&gt;"","?FAMILIAR",IF(F4389="NEW",IF(ISNA(VLOOKUP(E4389,#REF!,1,FALSE())),"?TYPE_IDENTIFIABLE","?REFERENTIAL"),"_")))))</f>
        <v> </v>
      </c>
      <c r="H4389" s="24" t="str">
        <f>IF(J4389&lt;&gt;1,"",IF(I4389="SBJ","CB","?"))</f>
        <v> </v>
      </c>
      <c r="I4389" s="25" t="str">
        <f>IF(OR(E4389="",E4389="!!!",F4389="NEW"),"",INDEX(B4388:B$2,-1+SUMPRODUCT(MAX(ROW(E4388:E$2)*(E4389=E4388:E$2)))))</f>
        <v> </v>
      </c>
      <c r="J4389" s="25" t="str">
        <f>IF(OR(E4389="",E4389="!!!",F4389="NEW"),"",COUNTBLANK(OFFSET(A$1,,,SUMPRODUCT(MAX(ROW(E$2:E4389)*(E4389=E$2:E4389)))))-COUNTBLANK(OFFSET(A$1,,,SUMPRODUCT(MAX(ROW(E$1:E4388)*(E2=E$1:E4388))))))</f>
        <v> </v>
      </c>
      <c r="K4389" s="25" t="str">
        <f>IF(OR(E4389="",E4389="!!!",F4389="NEW"),"",INDEX(J$1:J4388,SUMPRODUCT(MAX(ROW(E$1:E4388)*(E4389=E$1:E4388)))))</f>
        <v> </v>
      </c>
      <c r="L4389" s="26"/>
    </row>
    <row r="4390" spans="1:12">
      <c r="A4390" s="20"/>
    </row>
    <row r="4391" spans="1:12">
      <c r="A4391" s="20" t="s">
        <v>3041</v>
      </c>
    </row>
    <row r="4392" spans="1:12">
      <c r="A4392" s="20" t="s">
        <v>1368</v>
      </c>
      <c r="E4392" s="21">
        <f>IF(D4392="?OLD","!!!","")</f>
        <v/>
      </c>
      <c r="F4392" s="22" t="str">
        <f>IF(OR(E4392="",E4392="!!!"),"",IF(NOT(ISNA(VLOOKUP(E4392,E$1:E4391,1,FALSE()))),"OLD",IF(AND(E4392&lt;&gt;"",E4392&lt;&gt;"!!!"),"NEW","")))</f>
        <v> </v>
      </c>
      <c r="G4392" s="23" t="str">
        <f>IF(OR(E4392="",E4392="!!!"),"",IF(OR(J4392=0,AND(J4392=1,K4392=1),AND(J4392=1,I4392="SBJ"),AND(J4392=1,I4392=0)),"?IN_FOCUS",IF(J4392&lt;=2,"?ACTIVATED",IF(J4392&lt;&gt;"","?FAMILIAR",IF(F4392="NEW",IF(ISNA(VLOOKUP(E4392,#REF!,1,FALSE())),"?TYPE_IDENTIFIABLE","?REFERENTIAL"),"_")))))</f>
        <v> </v>
      </c>
      <c r="H4392" s="24" t="str">
        <f>IF(J4392&lt;&gt;1,"",IF(I4392="SBJ","CB","?"))</f>
        <v> </v>
      </c>
      <c r="I4392" s="25" t="str">
        <f>IF(OR(E4392="",E4392="!!!",F4392="NEW"),"",INDEX(B4391:B$2,-1+SUMPRODUCT(MAX(ROW(E4391:E$2)*(E4392=E4391:E$2)))))</f>
        <v> </v>
      </c>
      <c r="J4392" s="25" t="str">
        <f>IF(OR(E4392="",E4392="!!!",F4392="NEW"),"",COUNTBLANK(OFFSET(A$1,,,SUMPRODUCT(MAX(ROW(E$2:E4392)*(E4392=E$2:E4392)))))-COUNTBLANK(OFFSET(A$1,,,SUMPRODUCT(MAX(ROW(E$1:E4391)*(E2=E$1:E4391))))))</f>
        <v> </v>
      </c>
      <c r="K4392" s="25" t="str">
        <f>IF(OR(E4392="",E4392="!!!",F4392="NEW"),"",INDEX(J$1:J4391,SUMPRODUCT(MAX(ROW(E$1:E4391)*(E4392=E$1:E4391)))))</f>
        <v> </v>
      </c>
      <c r="L4392" s="26"/>
    </row>
    <row r="4393" spans="1:12">
      <c r="A4393" s="20" t="s">
        <v>396</v>
      </c>
      <c r="E4393" s="21">
        <f>IF(D4393="?OLD","!!!","")</f>
        <v/>
      </c>
      <c r="F4393" s="22" t="str">
        <f>IF(OR(E4393="",E4393="!!!"),"",IF(NOT(ISNA(VLOOKUP(E4393,E$1:E4392,1,FALSE()))),"OLD",IF(AND(E4393&lt;&gt;"",E4393&lt;&gt;"!!!"),"NEW","")))</f>
        <v> </v>
      </c>
      <c r="G4393" s="23" t="str">
        <f>IF(OR(E4393="",E4393="!!!"),"",IF(OR(J4393=0,AND(J4393=1,K4393=1),AND(J4393=1,I4393="SBJ"),AND(J4393=1,I4393=0)),"?IN_FOCUS",IF(J4393&lt;=2,"?ACTIVATED",IF(J4393&lt;&gt;"","?FAMILIAR",IF(F4393="NEW",IF(ISNA(VLOOKUP(E4393,#REF!,1,FALSE())),"?TYPE_IDENTIFIABLE","?REFERENTIAL"),"_")))))</f>
        <v> </v>
      </c>
      <c r="H4393" s="24" t="str">
        <f>IF(J4393&lt;&gt;1,"",IF(I4393="SBJ","CB","?"))</f>
        <v> </v>
      </c>
      <c r="I4393" s="25" t="str">
        <f>IF(OR(E4393="",E4393="!!!",F4393="NEW"),"",INDEX(B4392:B$2,-1+SUMPRODUCT(MAX(ROW(E4392:E$2)*(E4393=E4392:E$2)))))</f>
        <v> </v>
      </c>
      <c r="J4393" s="25" t="str">
        <f>IF(OR(E4393="",E4393="!!!",F4393="NEW"),"",COUNTBLANK(OFFSET(A$1,,,SUMPRODUCT(MAX(ROW(E$2:E4393)*(E4393=E$2:E4393)))))-COUNTBLANK(OFFSET(A$1,,,SUMPRODUCT(MAX(ROW(E$1:E4392)*(E2=E$1:E4392))))))</f>
        <v> </v>
      </c>
      <c r="K4393" s="25" t="str">
        <f>IF(OR(E4393="",E4393="!!!",F4393="NEW"),"",INDEX(J$1:J4392,SUMPRODUCT(MAX(ROW(E$1:E4392)*(E4393=E$1:E4392)))))</f>
        <v> </v>
      </c>
      <c r="L4393" s="26"/>
    </row>
    <row r="4394" spans="1:12">
      <c r="A4394" s="20" t="s">
        <v>1174</v>
      </c>
      <c r="E4394" s="21">
        <f>IF(D4394="?OLD","!!!","")</f>
        <v/>
      </c>
      <c r="F4394" s="22" t="str">
        <f>IF(OR(E4394="",E4394="!!!"),"",IF(NOT(ISNA(VLOOKUP(E4394,E$1:E4393,1,FALSE()))),"OLD",IF(AND(E4394&lt;&gt;"",E4394&lt;&gt;"!!!"),"NEW","")))</f>
        <v> </v>
      </c>
      <c r="G4394" s="23" t="str">
        <f>IF(OR(E4394="",E4394="!!!"),"",IF(OR(J4394=0,AND(J4394=1,K4394=1),AND(J4394=1,I4394="SBJ"),AND(J4394=1,I4394=0)),"?IN_FOCUS",IF(J4394&lt;=2,"?ACTIVATED",IF(J4394&lt;&gt;"","?FAMILIAR",IF(F4394="NEW",IF(ISNA(VLOOKUP(E4394,#REF!,1,FALSE())),"?TYPE_IDENTIFIABLE","?REFERENTIAL"),"_")))))</f>
        <v> </v>
      </c>
      <c r="H4394" s="24" t="str">
        <f>IF(J4394&lt;&gt;1,"",IF(I4394="SBJ","CB","?"))</f>
        <v> </v>
      </c>
      <c r="I4394" s="25" t="str">
        <f>IF(OR(E4394="",E4394="!!!",F4394="NEW"),"",INDEX(B4393:B$2,-1+SUMPRODUCT(MAX(ROW(E4393:E$2)*(E4394=E4393:E$2)))))</f>
        <v> </v>
      </c>
      <c r="J4394" s="25" t="str">
        <f>IF(OR(E4394="",E4394="!!!",F4394="NEW"),"",COUNTBLANK(OFFSET(A$1,,,SUMPRODUCT(MAX(ROW(E$2:E4394)*(E4394=E$2:E4394)))))-COUNTBLANK(OFFSET(A$1,,,SUMPRODUCT(MAX(ROW(E$1:E4393)*(E2=E$1:E4393))))))</f>
        <v> </v>
      </c>
      <c r="K4394" s="25" t="str">
        <f>IF(OR(E4394="",E4394="!!!",F4394="NEW"),"",INDEX(J$1:J4393,SUMPRODUCT(MAX(ROW(E$1:E4393)*(E4394=E$1:E4393)))))</f>
        <v> </v>
      </c>
      <c r="L4394" s="26"/>
    </row>
    <row r="4395" spans="1:12">
      <c r="A4395" s="20" t="s">
        <v>1055</v>
      </c>
      <c r="B4395" s="27" t="s">
        <v>1103</v>
      </c>
      <c r="C4395" s="27" t="s">
        <v>1156</v>
      </c>
      <c r="D4395" s="27" t="s">
        <v>1105</v>
      </c>
      <c r="E4395" s="21">
        <f>IF(D4395="?OLD","!!!","")</f>
        <v/>
      </c>
      <c r="F4395" s="22" t="str">
        <f>IF(OR(E4395="",E4395="!!!"),"",IF(NOT(ISNA(VLOOKUP(E4395,E$1:E4394,1,FALSE()))),"OLD",IF(AND(E4395&lt;&gt;"",E4395&lt;&gt;"!!!"),"NEW","")))</f>
        <v> </v>
      </c>
      <c r="G4395" s="23" t="str">
        <f>IF(OR(E4395="",E4395="!!!"),"",IF(OR(J4395=0,AND(J4395=1,K4395=1),AND(J4395=1,I4395="SBJ"),AND(J4395=1,I4395=0)),"?IN_FOCUS",IF(J4395&lt;=2,"?ACTIVATED",IF(J4395&lt;&gt;"","?FAMILIAR",IF(F4395="NEW",IF(ISNA(VLOOKUP(E4395,#REF!,1,FALSE())),"?TYPE_IDENTIFIABLE","?REFERENTIAL"),"_")))))</f>
        <v> </v>
      </c>
      <c r="H4395" s="24" t="str">
        <f>IF(J4395&lt;&gt;1,"",IF(I4395="SBJ","CB","?"))</f>
        <v> </v>
      </c>
      <c r="I4395" s="25" t="str">
        <f>IF(OR(E4395="",E4395="!!!",F4395="NEW"),"",INDEX(B4394:B$2,-1+SUMPRODUCT(MAX(ROW(E4394:E$2)*(E4395=E4394:E$2)))))</f>
        <v> </v>
      </c>
      <c r="J4395" s="25" t="str">
        <f>IF(OR(E4395="",E4395="!!!",F4395="NEW"),"",COUNTBLANK(OFFSET(A$1,,,SUMPRODUCT(MAX(ROW(E$2:E4395)*(E4395=E$2:E4395)))))-COUNTBLANK(OFFSET(A$1,,,SUMPRODUCT(MAX(ROW(E$1:E4394)*(E2=E$1:E4394))))))</f>
        <v> </v>
      </c>
      <c r="K4395" s="25" t="str">
        <f>IF(OR(E4395="",E4395="!!!",F4395="NEW"),"",INDEX(J$1:J4394,SUMPRODUCT(MAX(ROW(E$1:E4394)*(E4395=E$1:E4394)))))</f>
        <v> </v>
      </c>
      <c r="L4395" s="26"/>
    </row>
    <row r="4396" spans="1:12">
      <c r="A4396" s="20" t="s">
        <v>1184</v>
      </c>
      <c r="E4396" s="21">
        <f>IF(D4396="?OLD","!!!","")</f>
        <v/>
      </c>
      <c r="F4396" s="22" t="str">
        <f>IF(OR(E4396="",E4396="!!!"),"",IF(NOT(ISNA(VLOOKUP(E4396,E$1:E4395,1,FALSE()))),"OLD",IF(AND(E4396&lt;&gt;"",E4396&lt;&gt;"!!!"),"NEW","")))</f>
        <v> </v>
      </c>
      <c r="G4396" s="23" t="str">
        <f>IF(OR(E4396="",E4396="!!!"),"",IF(OR(J4396=0,AND(J4396=1,K4396=1),AND(J4396=1,I4396="SBJ"),AND(J4396=1,I4396=0)),"?IN_FOCUS",IF(J4396&lt;=2,"?ACTIVATED",IF(J4396&lt;&gt;"","?FAMILIAR",IF(F4396="NEW",IF(ISNA(VLOOKUP(E4396,#REF!,1,FALSE())),"?TYPE_IDENTIFIABLE","?REFERENTIAL"),"_")))))</f>
        <v> </v>
      </c>
      <c r="H4396" s="24" t="str">
        <f>IF(J4396&lt;&gt;1,"",IF(I4396="SBJ","CB","?"))</f>
        <v> </v>
      </c>
      <c r="I4396" s="25" t="str">
        <f>IF(OR(E4396="",E4396="!!!",F4396="NEW"),"",INDEX(B4395:B$2,-1+SUMPRODUCT(MAX(ROW(E4395:E$2)*(E4396=E4395:E$2)))))</f>
        <v> </v>
      </c>
      <c r="J4396" s="25" t="str">
        <f>IF(OR(E4396="",E4396="!!!",F4396="NEW"),"",COUNTBLANK(OFFSET(A$1,,,SUMPRODUCT(MAX(ROW(E$2:E4396)*(E4396=E$2:E4396)))))-COUNTBLANK(OFFSET(A$1,,,SUMPRODUCT(MAX(ROW(E$1:E4395)*(E2=E$1:E4395))))))</f>
        <v> </v>
      </c>
      <c r="K4396" s="25" t="str">
        <f>IF(OR(E4396="",E4396="!!!",F4396="NEW"),"",INDEX(J$1:J4395,SUMPRODUCT(MAX(ROW(E$1:E4395)*(E4396=E$1:E4395)))))</f>
        <v> </v>
      </c>
      <c r="L4396" s="26"/>
    </row>
    <row r="4397" spans="1:12">
      <c r="A4397" s="20" t="s">
        <v>3042</v>
      </c>
      <c r="E4397" s="21">
        <f>IF(D4397="?OLD","!!!","")</f>
        <v/>
      </c>
      <c r="F4397" s="22" t="str">
        <f>IF(OR(E4397="",E4397="!!!"),"",IF(NOT(ISNA(VLOOKUP(E4397,E$1:E4396,1,FALSE()))),"OLD",IF(AND(E4397&lt;&gt;"",E4397&lt;&gt;"!!!"),"NEW","")))</f>
        <v> </v>
      </c>
      <c r="G4397" s="23" t="str">
        <f>IF(OR(E4397="",E4397="!!!"),"",IF(OR(J4397=0,AND(J4397=1,K4397=1),AND(J4397=1,I4397="SBJ"),AND(J4397=1,I4397=0)),"?IN_FOCUS",IF(J4397&lt;=2,"?ACTIVATED",IF(J4397&lt;&gt;"","?FAMILIAR",IF(F4397="NEW",IF(ISNA(VLOOKUP(E4397,#REF!,1,FALSE())),"?TYPE_IDENTIFIABLE","?REFERENTIAL"),"_")))))</f>
        <v> </v>
      </c>
      <c r="H4397" s="24" t="str">
        <f>IF(J4397&lt;&gt;1,"",IF(I4397="SBJ","CB","?"))</f>
        <v> </v>
      </c>
      <c r="I4397" s="25" t="str">
        <f>IF(OR(E4397="",E4397="!!!",F4397="NEW"),"",INDEX(B4396:B$2,-1+SUMPRODUCT(MAX(ROW(E4396:E$2)*(E4397=E4396:E$2)))))</f>
        <v> </v>
      </c>
      <c r="J4397" s="25" t="str">
        <f>IF(OR(E4397="",E4397="!!!",F4397="NEW"),"",COUNTBLANK(OFFSET(A$1,,,SUMPRODUCT(MAX(ROW(E$2:E4397)*(E4397=E$2:E4397)))))-COUNTBLANK(OFFSET(A$1,,,SUMPRODUCT(MAX(ROW(E$1:E4396)*(E2=E$1:E4396))))))</f>
        <v> </v>
      </c>
      <c r="K4397" s="25" t="str">
        <f>IF(OR(E4397="",E4397="!!!",F4397="NEW"),"",INDEX(J$1:J4396,SUMPRODUCT(MAX(ROW(E$1:E4396)*(E4397=E$1:E4396)))))</f>
        <v> </v>
      </c>
      <c r="L4397" s="26"/>
    </row>
    <row r="4398" spans="1:12">
      <c r="A4398" s="20" t="s">
        <v>1111</v>
      </c>
      <c r="E4398" s="21">
        <f>IF(D4398="?OLD","!!!","")</f>
        <v/>
      </c>
      <c r="F4398" s="22" t="str">
        <f>IF(OR(E4398="",E4398="!!!"),"",IF(NOT(ISNA(VLOOKUP(E4398,E$1:E4397,1,FALSE()))),"OLD",IF(AND(E4398&lt;&gt;"",E4398&lt;&gt;"!!!"),"NEW","")))</f>
        <v> </v>
      </c>
      <c r="G4398" s="23" t="str">
        <f>IF(OR(E4398="",E4398="!!!"),"",IF(OR(J4398=0,AND(J4398=1,K4398=1),AND(J4398=1,I4398="SBJ"),AND(J4398=1,I4398=0)),"?IN_FOCUS",IF(J4398&lt;=2,"?ACTIVATED",IF(J4398&lt;&gt;"","?FAMILIAR",IF(F4398="NEW",IF(ISNA(VLOOKUP(E4398,#REF!,1,FALSE())),"?TYPE_IDENTIFIABLE","?REFERENTIAL"),"_")))))</f>
        <v> </v>
      </c>
      <c r="H4398" s="24" t="str">
        <f>IF(J4398&lt;&gt;1,"",IF(I4398="SBJ","CB","?"))</f>
        <v> </v>
      </c>
      <c r="I4398" s="25" t="str">
        <f>IF(OR(E4398="",E4398="!!!",F4398="NEW"),"",INDEX(B4397:B$2,-1+SUMPRODUCT(MAX(ROW(E4397:E$2)*(E4398=E4397:E$2)))))</f>
        <v> </v>
      </c>
      <c r="J4398" s="25" t="str">
        <f>IF(OR(E4398="",E4398="!!!",F4398="NEW"),"",COUNTBLANK(OFFSET(A$1,,,SUMPRODUCT(MAX(ROW(E$2:E4398)*(E4398=E$2:E4398)))))-COUNTBLANK(OFFSET(A$1,,,SUMPRODUCT(MAX(ROW(E$1:E4397)*(E2=E$1:E4397))))))</f>
        <v> </v>
      </c>
      <c r="K4398" s="25" t="str">
        <f>IF(OR(E4398="",E4398="!!!",F4398="NEW"),"",INDEX(J$1:J4397,SUMPRODUCT(MAX(ROW(E$1:E4397)*(E4398=E$1:E4397)))))</f>
        <v> </v>
      </c>
      <c r="L4398" s="26"/>
    </row>
    <row r="4399" spans="1:12">
      <c r="A4399" s="20" t="s">
        <v>1909</v>
      </c>
      <c r="E4399" s="21">
        <f>IF(D4399="?OLD","!!!","")</f>
        <v/>
      </c>
      <c r="F4399" s="22" t="str">
        <f>IF(OR(E4399="",E4399="!!!"),"",IF(NOT(ISNA(VLOOKUP(E4399,E$1:E4398,1,FALSE()))),"OLD",IF(AND(E4399&lt;&gt;"",E4399&lt;&gt;"!!!"),"NEW","")))</f>
        <v> </v>
      </c>
      <c r="G4399" s="23" t="str">
        <f>IF(OR(E4399="",E4399="!!!"),"",IF(OR(J4399=0,AND(J4399=1,K4399=1),AND(J4399=1,I4399="SBJ"),AND(J4399=1,I4399=0)),"?IN_FOCUS",IF(J4399&lt;=2,"?ACTIVATED",IF(J4399&lt;&gt;"","?FAMILIAR",IF(F4399="NEW",IF(ISNA(VLOOKUP(E4399,#REF!,1,FALSE())),"?TYPE_IDENTIFIABLE","?REFERENTIAL"),"_")))))</f>
        <v> </v>
      </c>
      <c r="H4399" s="24" t="str">
        <f>IF(J4399&lt;&gt;1,"",IF(I4399="SBJ","CB","?"))</f>
        <v> </v>
      </c>
      <c r="I4399" s="25" t="str">
        <f>IF(OR(E4399="",E4399="!!!",F4399="NEW"),"",INDEX(B4398:B$2,-1+SUMPRODUCT(MAX(ROW(E4398:E$2)*(E4399=E4398:E$2)))))</f>
        <v> </v>
      </c>
      <c r="J4399" s="25" t="str">
        <f>IF(OR(E4399="",E4399="!!!",F4399="NEW"),"",COUNTBLANK(OFFSET(A$1,,,SUMPRODUCT(MAX(ROW(E$2:E4399)*(E4399=E$2:E4399)))))-COUNTBLANK(OFFSET(A$1,,,SUMPRODUCT(MAX(ROW(E$1:E4398)*(E2=E$1:E4398))))))</f>
        <v> </v>
      </c>
      <c r="K4399" s="25" t="str">
        <f>IF(OR(E4399="",E4399="!!!",F4399="NEW"),"",INDEX(J$1:J4398,SUMPRODUCT(MAX(ROW(E$1:E4398)*(E4399=E$1:E4398)))))</f>
        <v> </v>
      </c>
      <c r="L4399" s="26"/>
    </row>
    <row r="4400" spans="1:12">
      <c r="A4400" s="20" t="s">
        <v>3043</v>
      </c>
      <c r="E4400" s="21">
        <f>IF(D4400="?OLD","!!!","")</f>
        <v/>
      </c>
      <c r="F4400" s="22" t="str">
        <f>IF(OR(E4400="",E4400="!!!"),"",IF(NOT(ISNA(VLOOKUP(E4400,E$1:E4399,1,FALSE()))),"OLD",IF(AND(E4400&lt;&gt;"",E4400&lt;&gt;"!!!"),"NEW","")))</f>
        <v> </v>
      </c>
      <c r="G4400" s="23" t="str">
        <f>IF(OR(E4400="",E4400="!!!"),"",IF(OR(J4400=0,AND(J4400=1,K4400=1),AND(J4400=1,I4400="SBJ"),AND(J4400=1,I4400=0)),"?IN_FOCUS",IF(J4400&lt;=2,"?ACTIVATED",IF(J4400&lt;&gt;"","?FAMILIAR",IF(F4400="NEW",IF(ISNA(VLOOKUP(E4400,#REF!,1,FALSE())),"?TYPE_IDENTIFIABLE","?REFERENTIAL"),"_")))))</f>
        <v> </v>
      </c>
      <c r="H4400" s="24" t="str">
        <f>IF(J4400&lt;&gt;1,"",IF(I4400="SBJ","CB","?"))</f>
        <v> </v>
      </c>
      <c r="I4400" s="25" t="str">
        <f>IF(OR(E4400="",E4400="!!!",F4400="NEW"),"",INDEX(B4399:B$2,-1+SUMPRODUCT(MAX(ROW(E4399:E$2)*(E4400=E4399:E$2)))))</f>
        <v> </v>
      </c>
      <c r="J4400" s="25" t="str">
        <f>IF(OR(E4400="",E4400="!!!",F4400="NEW"),"",COUNTBLANK(OFFSET(A$1,,,SUMPRODUCT(MAX(ROW(E$2:E4400)*(E4400=E$2:E4400)))))-COUNTBLANK(OFFSET(A$1,,,SUMPRODUCT(MAX(ROW(E$1:E4399)*(E2=E$1:E4399))))))</f>
        <v> </v>
      </c>
      <c r="K4400" s="25" t="str">
        <f>IF(OR(E4400="",E4400="!!!",F4400="NEW"),"",INDEX(J$1:J4399,SUMPRODUCT(MAX(ROW(E$1:E4399)*(E4400=E$1:E4399)))))</f>
        <v> </v>
      </c>
      <c r="L4400" s="26"/>
    </row>
    <row r="4401" spans="1:12">
      <c r="A4401" s="20" t="s">
        <v>3044</v>
      </c>
      <c r="E4401" s="21">
        <f>IF(D4401="?OLD","!!!","")</f>
        <v/>
      </c>
      <c r="F4401" s="22" t="str">
        <f>IF(OR(E4401="",E4401="!!!"),"",IF(NOT(ISNA(VLOOKUP(E4401,E$1:E4400,1,FALSE()))),"OLD",IF(AND(E4401&lt;&gt;"",E4401&lt;&gt;"!!!"),"NEW","")))</f>
        <v> </v>
      </c>
      <c r="G4401" s="23" t="str">
        <f>IF(OR(E4401="",E4401="!!!"),"",IF(OR(J4401=0,AND(J4401=1,K4401=1),AND(J4401=1,I4401="SBJ"),AND(J4401=1,I4401=0)),"?IN_FOCUS",IF(J4401&lt;=2,"?ACTIVATED",IF(J4401&lt;&gt;"","?FAMILIAR",IF(F4401="NEW",IF(ISNA(VLOOKUP(E4401,#REF!,1,FALSE())),"?TYPE_IDENTIFIABLE","?REFERENTIAL"),"_")))))</f>
        <v> </v>
      </c>
      <c r="H4401" s="24" t="str">
        <f>IF(J4401&lt;&gt;1,"",IF(I4401="SBJ","CB","?"))</f>
        <v> </v>
      </c>
      <c r="I4401" s="25" t="str">
        <f>IF(OR(E4401="",E4401="!!!",F4401="NEW"),"",INDEX(B4400:B$2,-1+SUMPRODUCT(MAX(ROW(E4400:E$2)*(E4401=E4400:E$2)))))</f>
        <v> </v>
      </c>
      <c r="J4401" s="25" t="str">
        <f>IF(OR(E4401="",E4401="!!!",F4401="NEW"),"",COUNTBLANK(OFFSET(A$1,,,SUMPRODUCT(MAX(ROW(E$2:E4401)*(E4401=E$2:E4401)))))-COUNTBLANK(OFFSET(A$1,,,SUMPRODUCT(MAX(ROW(E$1:E4400)*(E2=E$1:E4400))))))</f>
        <v> </v>
      </c>
      <c r="K4401" s="25" t="str">
        <f>IF(OR(E4401="",E4401="!!!",F4401="NEW"),"",INDEX(J$1:J4400,SUMPRODUCT(MAX(ROW(E$1:E4400)*(E4401=E$1:E4400)))))</f>
        <v> </v>
      </c>
      <c r="L4401" s="26"/>
    </row>
    <row r="4402" spans="1:12">
      <c r="A4402" s="20" t="s">
        <v>3045</v>
      </c>
      <c r="B4402" s="27" t="s">
        <v>1103</v>
      </c>
      <c r="C4402" s="27" t="s">
        <v>1156</v>
      </c>
      <c r="D4402" s="27" t="s">
        <v>1105</v>
      </c>
      <c r="E4402" s="21">
        <f>IF(D4402="?OLD","!!!","")</f>
        <v/>
      </c>
      <c r="F4402" s="22" t="str">
        <f>IF(OR(E4402="",E4402="!!!"),"",IF(NOT(ISNA(VLOOKUP(E4402,E$1:E4401,1,FALSE()))),"OLD",IF(AND(E4402&lt;&gt;"",E4402&lt;&gt;"!!!"),"NEW","")))</f>
        <v> </v>
      </c>
      <c r="G4402" s="23" t="str">
        <f>IF(OR(E4402="",E4402="!!!"),"",IF(OR(J4402=0,AND(J4402=1,K4402=1),AND(J4402=1,I4402="SBJ"),AND(J4402=1,I4402=0)),"?IN_FOCUS",IF(J4402&lt;=2,"?ACTIVATED",IF(J4402&lt;&gt;"","?FAMILIAR",IF(F4402="NEW",IF(ISNA(VLOOKUP(E4402,#REF!,1,FALSE())),"?TYPE_IDENTIFIABLE","?REFERENTIAL"),"_")))))</f>
        <v> </v>
      </c>
      <c r="H4402" s="24" t="str">
        <f>IF(J4402&lt;&gt;1,"",IF(I4402="SBJ","CB","?"))</f>
        <v> </v>
      </c>
      <c r="I4402" s="25" t="str">
        <f>IF(OR(E4402="",E4402="!!!",F4402="NEW"),"",INDEX(B4401:B$2,-1+SUMPRODUCT(MAX(ROW(E4401:E$2)*(E4402=E4401:E$2)))))</f>
        <v> </v>
      </c>
      <c r="J4402" s="25" t="str">
        <f>IF(OR(E4402="",E4402="!!!",F4402="NEW"),"",COUNTBLANK(OFFSET(A$1,,,SUMPRODUCT(MAX(ROW(E$2:E4402)*(E4402=E$2:E4402)))))-COUNTBLANK(OFFSET(A$1,,,SUMPRODUCT(MAX(ROW(E$1:E4401)*(E2=E$1:E4401))))))</f>
        <v> </v>
      </c>
      <c r="K4402" s="25" t="str">
        <f>IF(OR(E4402="",E4402="!!!",F4402="NEW"),"",INDEX(J$1:J4401,SUMPRODUCT(MAX(ROW(E$1:E4401)*(E4402=E$1:E4401)))))</f>
        <v> </v>
      </c>
      <c r="L4402" s="26"/>
    </row>
    <row r="4403" spans="1:12">
      <c r="A4403" s="20" t="s">
        <v>1123</v>
      </c>
      <c r="E4403" s="21">
        <f>IF(D4403="?OLD","!!!","")</f>
        <v/>
      </c>
      <c r="F4403" s="22" t="str">
        <f>IF(OR(E4403="",E4403="!!!"),"",IF(NOT(ISNA(VLOOKUP(E4403,E$1:E4402,1,FALSE()))),"OLD",IF(AND(E4403&lt;&gt;"",E4403&lt;&gt;"!!!"),"NEW","")))</f>
        <v> </v>
      </c>
      <c r="G4403" s="23" t="str">
        <f>IF(OR(E4403="",E4403="!!!"),"",IF(OR(J4403=0,AND(J4403=1,K4403=1),AND(J4403=1,I4403="SBJ"),AND(J4403=1,I4403=0)),"?IN_FOCUS",IF(J4403&lt;=2,"?ACTIVATED",IF(J4403&lt;&gt;"","?FAMILIAR",IF(F4403="NEW",IF(ISNA(VLOOKUP(E4403,#REF!,1,FALSE())),"?TYPE_IDENTIFIABLE","?REFERENTIAL"),"_")))))</f>
        <v> </v>
      </c>
      <c r="H4403" s="24" t="str">
        <f>IF(J4403&lt;&gt;1,"",IF(I4403="SBJ","CB","?"))</f>
        <v> </v>
      </c>
      <c r="I4403" s="25" t="str">
        <f>IF(OR(E4403="",E4403="!!!",F4403="NEW"),"",INDEX(B4402:B$2,-1+SUMPRODUCT(MAX(ROW(E4402:E$2)*(E4403=E4402:E$2)))))</f>
        <v> </v>
      </c>
      <c r="J4403" s="25" t="str">
        <f>IF(OR(E4403="",E4403="!!!",F4403="NEW"),"",COUNTBLANK(OFFSET(A$1,,,SUMPRODUCT(MAX(ROW(E$2:E4403)*(E4403=E$2:E4403)))))-COUNTBLANK(OFFSET(A$1,,,SUMPRODUCT(MAX(ROW(E$1:E4402)*(E2=E$1:E4402))))))</f>
        <v> </v>
      </c>
      <c r="K4403" s="25" t="str">
        <f>IF(OR(E4403="",E4403="!!!",F4403="NEW"),"",INDEX(J$1:J4402,SUMPRODUCT(MAX(ROW(E$1:E4402)*(E4403=E$1:E4402)))))</f>
        <v> </v>
      </c>
      <c r="L4403" s="26"/>
    </row>
    <row r="4404" spans="1:12">
      <c r="A4404" s="20" t="s">
        <v>1653</v>
      </c>
      <c r="B4404" s="27" t="s">
        <v>1110</v>
      </c>
      <c r="C4404" s="27" t="s">
        <v>1133</v>
      </c>
      <c r="E4404" s="21">
        <f>IF(D4404="?OLD","!!!","")</f>
        <v/>
      </c>
      <c r="F4404" s="22" t="str">
        <f>IF(OR(E4404="",E4404="!!!"),"",IF(NOT(ISNA(VLOOKUP(E4404,E$1:E4403,1,FALSE()))),"OLD",IF(AND(E4404&lt;&gt;"",E4404&lt;&gt;"!!!"),"NEW","")))</f>
        <v> </v>
      </c>
      <c r="G4404" s="23" t="str">
        <f>IF(OR(E4404="",E4404="!!!"),"",IF(OR(J4404=0,AND(J4404=1,K4404=1),AND(J4404=1,I4404="SBJ"),AND(J4404=1,I4404=0)),"?IN_FOCUS",IF(J4404&lt;=2,"?ACTIVATED",IF(J4404&lt;&gt;"","?FAMILIAR",IF(F4404="NEW",IF(ISNA(VLOOKUP(E4404,#REF!,1,FALSE())),"?TYPE_IDENTIFIABLE","?REFERENTIAL"),"_")))))</f>
        <v> </v>
      </c>
      <c r="H4404" s="24" t="str">
        <f>IF(J4404&lt;&gt;1,"",IF(I4404="SBJ","CB","?"))</f>
        <v> </v>
      </c>
      <c r="I4404" s="25" t="str">
        <f>IF(OR(E4404="",E4404="!!!",F4404="NEW"),"",INDEX(B4403:B$2,-1+SUMPRODUCT(MAX(ROW(E4403:E$2)*(E4404=E4403:E$2)))))</f>
        <v> </v>
      </c>
      <c r="J4404" s="25" t="str">
        <f>IF(OR(E4404="",E4404="!!!",F4404="NEW"),"",COUNTBLANK(OFFSET(A$1,,,SUMPRODUCT(MAX(ROW(E$2:E4404)*(E4404=E$2:E4404)))))-COUNTBLANK(OFFSET(A$1,,,SUMPRODUCT(MAX(ROW(E$1:E4403)*(E2=E$1:E4403))))))</f>
        <v> </v>
      </c>
      <c r="K4404" s="25" t="str">
        <f>IF(OR(E4404="",E4404="!!!",F4404="NEW"),"",INDEX(J$1:J4403,SUMPRODUCT(MAX(ROW(E$1:E4403)*(E4404=E$1:E4403)))))</f>
        <v> </v>
      </c>
      <c r="L4404" s="26"/>
    </row>
    <row r="4405" spans="1:12">
      <c r="A4405" s="20" t="s">
        <v>1124</v>
      </c>
      <c r="B4405" s="27" t="s">
        <v>1259</v>
      </c>
      <c r="C4405" s="27" t="s">
        <v>1126</v>
      </c>
      <c r="D4405" s="27" t="s">
        <v>1105</v>
      </c>
      <c r="E4405" s="21">
        <f>IF(D4405="?OLD","!!!","")</f>
        <v/>
      </c>
      <c r="F4405" s="22" t="str">
        <f>IF(OR(E4405="",E4405="!!!"),"",IF(NOT(ISNA(VLOOKUP(E4405,E$1:E4404,1,FALSE()))),"OLD",IF(AND(E4405&lt;&gt;"",E4405&lt;&gt;"!!!"),"NEW","")))</f>
        <v> </v>
      </c>
      <c r="G4405" s="23" t="str">
        <f>IF(OR(E4405="",E4405="!!!"),"",IF(OR(J4405=0,AND(J4405=1,K4405=1),AND(J4405=1,I4405="SBJ"),AND(J4405=1,I4405=0)),"?IN_FOCUS",IF(J4405&lt;=2,"?ACTIVATED",IF(J4405&lt;&gt;"","?FAMILIAR",IF(F4405="NEW",IF(ISNA(VLOOKUP(E4405,#REF!,1,FALSE())),"?TYPE_IDENTIFIABLE","?REFERENTIAL"),"_")))))</f>
        <v> </v>
      </c>
      <c r="H4405" s="24" t="str">
        <f>IF(J4405&lt;&gt;1,"",IF(I4405="SBJ","CB","?"))</f>
        <v> </v>
      </c>
      <c r="I4405" s="25" t="str">
        <f>IF(OR(E4405="",E4405="!!!",F4405="NEW"),"",INDEX(B4404:B$2,-1+SUMPRODUCT(MAX(ROW(E4404:E$2)*(E4405=E4404:E$2)))))</f>
        <v> </v>
      </c>
      <c r="J4405" s="25" t="str">
        <f>IF(OR(E4405="",E4405="!!!",F4405="NEW"),"",COUNTBLANK(OFFSET(A$1,,,SUMPRODUCT(MAX(ROW(E$2:E4405)*(E4405=E$2:E4405)))))-COUNTBLANK(OFFSET(A$1,,,SUMPRODUCT(MAX(ROW(E$1:E4404)*(E2=E$1:E4404))))))</f>
        <v> </v>
      </c>
      <c r="K4405" s="25" t="str">
        <f>IF(OR(E4405="",E4405="!!!",F4405="NEW"),"",INDEX(J$1:J4404,SUMPRODUCT(MAX(ROW(E$1:E4404)*(E4405=E$1:E4404)))))</f>
        <v> </v>
      </c>
      <c r="L4405" s="26"/>
    </row>
    <row r="4406" spans="1:12">
      <c r="A4406" s="20" t="s">
        <v>3046</v>
      </c>
      <c r="E4406" s="21">
        <f>IF(D4406="?OLD","!!!","")</f>
        <v/>
      </c>
      <c r="F4406" s="22" t="str">
        <f>IF(OR(E4406="",E4406="!!!"),"",IF(NOT(ISNA(VLOOKUP(E4406,E$1:E4405,1,FALSE()))),"OLD",IF(AND(E4406&lt;&gt;"",E4406&lt;&gt;"!!!"),"NEW","")))</f>
        <v> </v>
      </c>
      <c r="G4406" s="23" t="str">
        <f>IF(OR(E4406="",E4406="!!!"),"",IF(OR(J4406=0,AND(J4406=1,K4406=1),AND(J4406=1,I4406="SBJ"),AND(J4406=1,I4406=0)),"?IN_FOCUS",IF(J4406&lt;=2,"?ACTIVATED",IF(J4406&lt;&gt;"","?FAMILIAR",IF(F4406="NEW",IF(ISNA(VLOOKUP(E4406,#REF!,1,FALSE())),"?TYPE_IDENTIFIABLE","?REFERENTIAL"),"_")))))</f>
        <v> </v>
      </c>
      <c r="H4406" s="24" t="str">
        <f>IF(J4406&lt;&gt;1,"",IF(I4406="SBJ","CB","?"))</f>
        <v> </v>
      </c>
      <c r="I4406" s="25" t="str">
        <f>IF(OR(E4406="",E4406="!!!",F4406="NEW"),"",INDEX(B4405:B$2,-1+SUMPRODUCT(MAX(ROW(E4405:E$2)*(E4406=E4405:E$2)))))</f>
        <v> </v>
      </c>
      <c r="J4406" s="25" t="str">
        <f>IF(OR(E4406="",E4406="!!!",F4406="NEW"),"",COUNTBLANK(OFFSET(A$1,,,SUMPRODUCT(MAX(ROW(E$2:E4406)*(E4406=E$2:E4406)))))-COUNTBLANK(OFFSET(A$1,,,SUMPRODUCT(MAX(ROW(E$1:E4405)*(E2=E$1:E4405))))))</f>
        <v> </v>
      </c>
      <c r="K4406" s="25" t="str">
        <f>IF(OR(E4406="",E4406="!!!",F4406="NEW"),"",INDEX(J$1:J4405,SUMPRODUCT(MAX(ROW(E$1:E4405)*(E4406=E$1:E4405)))))</f>
        <v> </v>
      </c>
      <c r="L4406" s="26"/>
    </row>
    <row r="4407" spans="1:12">
      <c r="A4407" s="20" t="s">
        <v>2938</v>
      </c>
      <c r="E4407" s="21">
        <f>IF(D4407="?OLD","!!!","")</f>
        <v/>
      </c>
      <c r="F4407" s="22" t="str">
        <f>IF(OR(E4407="",E4407="!!!"),"",IF(NOT(ISNA(VLOOKUP(E4407,E$1:E4406,1,FALSE()))),"OLD",IF(AND(E4407&lt;&gt;"",E4407&lt;&gt;"!!!"),"NEW","")))</f>
        <v> </v>
      </c>
      <c r="G4407" s="23" t="str">
        <f>IF(OR(E4407="",E4407="!!!"),"",IF(OR(J4407=0,AND(J4407=1,K4407=1),AND(J4407=1,I4407="SBJ"),AND(J4407=1,I4407=0)),"?IN_FOCUS",IF(J4407&lt;=2,"?ACTIVATED",IF(J4407&lt;&gt;"","?FAMILIAR",IF(F4407="NEW",IF(ISNA(VLOOKUP(E4407,#REF!,1,FALSE())),"?TYPE_IDENTIFIABLE","?REFERENTIAL"),"_")))))</f>
        <v> </v>
      </c>
      <c r="H4407" s="24" t="str">
        <f>IF(J4407&lt;&gt;1,"",IF(I4407="SBJ","CB","?"))</f>
        <v> </v>
      </c>
      <c r="I4407" s="25" t="str">
        <f>IF(OR(E4407="",E4407="!!!",F4407="NEW"),"",INDEX(B4406:B$2,-1+SUMPRODUCT(MAX(ROW(E4406:E$2)*(E4407=E4406:E$2)))))</f>
        <v> </v>
      </c>
      <c r="J4407" s="25" t="str">
        <f>IF(OR(E4407="",E4407="!!!",F4407="NEW"),"",COUNTBLANK(OFFSET(A$1,,,SUMPRODUCT(MAX(ROW(E$2:E4407)*(E4407=E$2:E4407)))))-COUNTBLANK(OFFSET(A$1,,,SUMPRODUCT(MAX(ROW(E$1:E4406)*(E2=E$1:E4406))))))</f>
        <v> </v>
      </c>
      <c r="K4407" s="25" t="str">
        <f>IF(OR(E4407="",E4407="!!!",F4407="NEW"),"",INDEX(J$1:J4406,SUMPRODUCT(MAX(ROW(E$1:E4406)*(E4407=E$1:E4406)))))</f>
        <v> </v>
      </c>
      <c r="L4407" s="26"/>
    </row>
    <row r="4408" spans="1:12">
      <c r="A4408" s="20" t="s">
        <v>2991</v>
      </c>
      <c r="B4408" s="27" t="s">
        <v>1115</v>
      </c>
      <c r="E4408" s="21">
        <f>IF(D4408="?OLD","!!!","")</f>
        <v/>
      </c>
      <c r="F4408" s="22" t="str">
        <f>IF(OR(E4408="",E4408="!!!"),"",IF(NOT(ISNA(VLOOKUP(E4408,E$1:E4407,1,FALSE()))),"OLD",IF(AND(E4408&lt;&gt;"",E4408&lt;&gt;"!!!"),"NEW","")))</f>
        <v> </v>
      </c>
      <c r="G4408" s="23" t="str">
        <f>IF(OR(E4408="",E4408="!!!"),"",IF(OR(J4408=0,AND(J4408=1,K4408=1),AND(J4408=1,I4408="SBJ"),AND(J4408=1,I4408=0)),"?IN_FOCUS",IF(J4408&lt;=2,"?ACTIVATED",IF(J4408&lt;&gt;"","?FAMILIAR",IF(F4408="NEW",IF(ISNA(VLOOKUP(E4408,#REF!,1,FALSE())),"?TYPE_IDENTIFIABLE","?REFERENTIAL"),"_")))))</f>
        <v> </v>
      </c>
      <c r="H4408" s="24" t="str">
        <f>IF(J4408&lt;&gt;1,"",IF(I4408="SBJ","CB","?"))</f>
        <v> </v>
      </c>
      <c r="I4408" s="25" t="str">
        <f>IF(OR(E4408="",E4408="!!!",F4408="NEW"),"",INDEX(B4407:B$2,-1+SUMPRODUCT(MAX(ROW(E4407:E$2)*(E4408=E4407:E$2)))))</f>
        <v> </v>
      </c>
      <c r="J4408" s="25" t="str">
        <f>IF(OR(E4408="",E4408="!!!",F4408="NEW"),"",COUNTBLANK(OFFSET(A$1,,,SUMPRODUCT(MAX(ROW(E$2:E4408)*(E4408=E$2:E4408)))))-COUNTBLANK(OFFSET(A$1,,,SUMPRODUCT(MAX(ROW(E$1:E4407)*(E2=E$1:E4407))))))</f>
        <v> </v>
      </c>
      <c r="K4408" s="25" t="str">
        <f>IF(OR(E4408="",E4408="!!!",F4408="NEW"),"",INDEX(J$1:J4407,SUMPRODUCT(MAX(ROW(E$1:E4407)*(E4408=E$1:E4407)))))</f>
        <v> </v>
      </c>
      <c r="L4408" s="26"/>
    </row>
    <row r="4409" spans="1:12">
      <c r="A4409" s="20" t="s">
        <v>1145</v>
      </c>
      <c r="E4409" s="21">
        <f>IF(D4409="?OLD","!!!","")</f>
        <v/>
      </c>
      <c r="F4409" s="22" t="str">
        <f>IF(OR(E4409="",E4409="!!!"),"",IF(NOT(ISNA(VLOOKUP(E4409,E$1:E4408,1,FALSE()))),"OLD",IF(AND(E4409&lt;&gt;"",E4409&lt;&gt;"!!!"),"NEW","")))</f>
        <v> </v>
      </c>
      <c r="G4409" s="23" t="str">
        <f>IF(OR(E4409="",E4409="!!!"),"",IF(OR(J4409=0,AND(J4409=1,K4409=1),AND(J4409=1,I4409="SBJ"),AND(J4409=1,I4409=0)),"?IN_FOCUS",IF(J4409&lt;=2,"?ACTIVATED",IF(J4409&lt;&gt;"","?FAMILIAR",IF(F4409="NEW",IF(ISNA(VLOOKUP(E4409,#REF!,1,FALSE())),"?TYPE_IDENTIFIABLE","?REFERENTIAL"),"_")))))</f>
        <v> </v>
      </c>
      <c r="H4409" s="24" t="str">
        <f>IF(J4409&lt;&gt;1,"",IF(I4409="SBJ","CB","?"))</f>
        <v> </v>
      </c>
      <c r="I4409" s="25" t="str">
        <f>IF(OR(E4409="",E4409="!!!",F4409="NEW"),"",INDEX(B4408:B$2,-1+SUMPRODUCT(MAX(ROW(E4408:E$2)*(E4409=E4408:E$2)))))</f>
        <v> </v>
      </c>
      <c r="J4409" s="25" t="str">
        <f>IF(OR(E4409="",E4409="!!!",F4409="NEW"),"",COUNTBLANK(OFFSET(A$1,,,SUMPRODUCT(MAX(ROW(E$2:E4409)*(E4409=E$2:E4409)))))-COUNTBLANK(OFFSET(A$1,,,SUMPRODUCT(MAX(ROW(E$1:E4408)*(E2=E$1:E4408))))))</f>
        <v> </v>
      </c>
      <c r="K4409" s="25" t="str">
        <f>IF(OR(E4409="",E4409="!!!",F4409="NEW"),"",INDEX(J$1:J4408,SUMPRODUCT(MAX(ROW(E$1:E4408)*(E4409=E$1:E4408)))))</f>
        <v> </v>
      </c>
      <c r="L4409" s="26"/>
    </row>
    <row r="4410" spans="1:12">
      <c r="A4410" s="20"/>
    </row>
    <row r="4411" spans="1:12">
      <c r="A4411" s="20" t="s">
        <v>3047</v>
      </c>
    </row>
    <row r="4412" spans="1:12">
      <c r="A4412" s="20" t="s">
        <v>3048</v>
      </c>
      <c r="B4412" s="27" t="s">
        <v>1213</v>
      </c>
      <c r="C4412" s="27" t="s">
        <v>1126</v>
      </c>
      <c r="D4412" s="27" t="s">
        <v>1105</v>
      </c>
      <c r="E4412" s="21">
        <f>IF(D4412="?OLD","!!!","")</f>
        <v/>
      </c>
      <c r="F4412" s="22" t="str">
        <f>IF(OR(E4412="",E4412="!!!"),"",IF(NOT(ISNA(VLOOKUP(E4412,E$1:E4411,1,FALSE()))),"OLD",IF(AND(E4412&lt;&gt;"",E4412&lt;&gt;"!!!"),"NEW","")))</f>
        <v> </v>
      </c>
      <c r="G4412" s="23" t="str">
        <f>IF(OR(E4412="",E4412="!!!"),"",IF(OR(J4412=0,AND(J4412=1,K4412=1),AND(J4412=1,I4412="SBJ"),AND(J4412=1,I4412=0)),"?IN_FOCUS",IF(J4412&lt;=2,"?ACTIVATED",IF(J4412&lt;&gt;"","?FAMILIAR",IF(F4412="NEW",IF(ISNA(VLOOKUP(E4412,#REF!,1,FALSE())),"?TYPE_IDENTIFIABLE","?REFERENTIAL"),"_")))))</f>
        <v> </v>
      </c>
      <c r="H4412" s="24" t="str">
        <f>IF(J4412&lt;&gt;1,"",IF(I4412="SBJ","CB","?"))</f>
        <v> </v>
      </c>
      <c r="I4412" s="25" t="str">
        <f>IF(OR(E4412="",E4412="!!!",F4412="NEW"),"",INDEX(B4411:B$2,-1+SUMPRODUCT(MAX(ROW(E4411:E$2)*(E4412=E4411:E$2)))))</f>
        <v> </v>
      </c>
      <c r="J4412" s="25" t="str">
        <f>IF(OR(E4412="",E4412="!!!",F4412="NEW"),"",COUNTBLANK(OFFSET(A$1,,,SUMPRODUCT(MAX(ROW(E$2:E4412)*(E4412=E$2:E4412)))))-COUNTBLANK(OFFSET(A$1,,,SUMPRODUCT(MAX(ROW(E$1:E4411)*(E2=E$1:E4411))))))</f>
        <v> </v>
      </c>
      <c r="K4412" s="25" t="str">
        <f>IF(OR(E4412="",E4412="!!!",F4412="NEW"),"",INDEX(J$1:J4411,SUMPRODUCT(MAX(ROW(E$1:E4411)*(E4412=E$1:E4411)))))</f>
        <v> </v>
      </c>
      <c r="L4412" s="26"/>
    </row>
    <row r="4413" spans="1:12">
      <c r="A4413" s="20" t="s">
        <v>3049</v>
      </c>
      <c r="E4413" s="21">
        <f>IF(D4413="?OLD","!!!","")</f>
        <v/>
      </c>
      <c r="F4413" s="22" t="str">
        <f>IF(OR(E4413="",E4413="!!!"),"",IF(NOT(ISNA(VLOOKUP(E4413,E$1:E4412,1,FALSE()))),"OLD",IF(AND(E4413&lt;&gt;"",E4413&lt;&gt;"!!!"),"NEW","")))</f>
        <v> </v>
      </c>
      <c r="G4413" s="23" t="str">
        <f>IF(OR(E4413="",E4413="!!!"),"",IF(OR(J4413=0,AND(J4413=1,K4413=1),AND(J4413=1,I4413="SBJ"),AND(J4413=1,I4413=0)),"?IN_FOCUS",IF(J4413&lt;=2,"?ACTIVATED",IF(J4413&lt;&gt;"","?FAMILIAR",IF(F4413="NEW",IF(ISNA(VLOOKUP(E4413,#REF!,1,FALSE())),"?TYPE_IDENTIFIABLE","?REFERENTIAL"),"_")))))</f>
        <v> </v>
      </c>
      <c r="H4413" s="24" t="str">
        <f>IF(J4413&lt;&gt;1,"",IF(I4413="SBJ","CB","?"))</f>
        <v> </v>
      </c>
      <c r="I4413" s="25" t="str">
        <f>IF(OR(E4413="",E4413="!!!",F4413="NEW"),"",INDEX(B4412:B$2,-1+SUMPRODUCT(MAX(ROW(E4412:E$2)*(E4413=E4412:E$2)))))</f>
        <v> </v>
      </c>
      <c r="J4413" s="25" t="str">
        <f>IF(OR(E4413="",E4413="!!!",F4413="NEW"),"",COUNTBLANK(OFFSET(A$1,,,SUMPRODUCT(MAX(ROW(E$2:E4413)*(E4413=E$2:E4413)))))-COUNTBLANK(OFFSET(A$1,,,SUMPRODUCT(MAX(ROW(E$1:E4412)*(E2=E$1:E4412))))))</f>
        <v> </v>
      </c>
      <c r="K4413" s="25" t="str">
        <f>IF(OR(E4413="",E4413="!!!",F4413="NEW"),"",INDEX(J$1:J4412,SUMPRODUCT(MAX(ROW(E$1:E4412)*(E4413=E$1:E4412)))))</f>
        <v> </v>
      </c>
      <c r="L4413" s="26"/>
    </row>
    <row r="4414" spans="1:12">
      <c r="A4414" s="20" t="s">
        <v>1249</v>
      </c>
      <c r="E4414" s="21">
        <f>IF(D4414="?OLD","!!!","")</f>
        <v/>
      </c>
      <c r="F4414" s="22" t="str">
        <f>IF(OR(E4414="",E4414="!!!"),"",IF(NOT(ISNA(VLOOKUP(E4414,E$1:E4413,1,FALSE()))),"OLD",IF(AND(E4414&lt;&gt;"",E4414&lt;&gt;"!!!"),"NEW","")))</f>
        <v> </v>
      </c>
      <c r="G4414" s="23" t="str">
        <f>IF(OR(E4414="",E4414="!!!"),"",IF(OR(J4414=0,AND(J4414=1,K4414=1),AND(J4414=1,I4414="SBJ"),AND(J4414=1,I4414=0)),"?IN_FOCUS",IF(J4414&lt;=2,"?ACTIVATED",IF(J4414&lt;&gt;"","?FAMILIAR",IF(F4414="NEW",IF(ISNA(VLOOKUP(E4414,#REF!,1,FALSE())),"?TYPE_IDENTIFIABLE","?REFERENTIAL"),"_")))))</f>
        <v> </v>
      </c>
      <c r="H4414" s="24" t="str">
        <f>IF(J4414&lt;&gt;1,"",IF(I4414="SBJ","CB","?"))</f>
        <v> </v>
      </c>
      <c r="I4414" s="25" t="str">
        <f>IF(OR(E4414="",E4414="!!!",F4414="NEW"),"",INDEX(B4413:B$2,-1+SUMPRODUCT(MAX(ROW(E4413:E$2)*(E4414=E4413:E$2)))))</f>
        <v> </v>
      </c>
      <c r="J4414" s="25" t="str">
        <f>IF(OR(E4414="",E4414="!!!",F4414="NEW"),"",COUNTBLANK(OFFSET(A$1,,,SUMPRODUCT(MAX(ROW(E$2:E4414)*(E4414=E$2:E4414)))))-COUNTBLANK(OFFSET(A$1,,,SUMPRODUCT(MAX(ROW(E$1:E4413)*(E2=E$1:E4413))))))</f>
        <v> </v>
      </c>
      <c r="K4414" s="25" t="str">
        <f>IF(OR(E4414="",E4414="!!!",F4414="NEW"),"",INDEX(J$1:J4413,SUMPRODUCT(MAX(ROW(E$1:E4413)*(E4414=E$1:E4413)))))</f>
        <v> </v>
      </c>
      <c r="L4414" s="26"/>
    </row>
    <row r="4415" spans="1:12">
      <c r="A4415" s="20" t="s">
        <v>1665</v>
      </c>
      <c r="E4415" s="21">
        <f>IF(D4415="?OLD","!!!","")</f>
        <v/>
      </c>
      <c r="F4415" s="22" t="str">
        <f>IF(OR(E4415="",E4415="!!!"),"",IF(NOT(ISNA(VLOOKUP(E4415,E$1:E4414,1,FALSE()))),"OLD",IF(AND(E4415&lt;&gt;"",E4415&lt;&gt;"!!!"),"NEW","")))</f>
        <v> </v>
      </c>
      <c r="G4415" s="23" t="str">
        <f>IF(OR(E4415="",E4415="!!!"),"",IF(OR(J4415=0,AND(J4415=1,K4415=1),AND(J4415=1,I4415="SBJ"),AND(J4415=1,I4415=0)),"?IN_FOCUS",IF(J4415&lt;=2,"?ACTIVATED",IF(J4415&lt;&gt;"","?FAMILIAR",IF(F4415="NEW",IF(ISNA(VLOOKUP(E4415,#REF!,1,FALSE())),"?TYPE_IDENTIFIABLE","?REFERENTIAL"),"_")))))</f>
        <v> </v>
      </c>
      <c r="H4415" s="24" t="str">
        <f>IF(J4415&lt;&gt;1,"",IF(I4415="SBJ","CB","?"))</f>
        <v> </v>
      </c>
      <c r="I4415" s="25" t="str">
        <f>IF(OR(E4415="",E4415="!!!",F4415="NEW"),"",INDEX(B4414:B$2,-1+SUMPRODUCT(MAX(ROW(E4414:E$2)*(E4415=E4414:E$2)))))</f>
        <v> </v>
      </c>
      <c r="J4415" s="25" t="str">
        <f>IF(OR(E4415="",E4415="!!!",F4415="NEW"),"",COUNTBLANK(OFFSET(A$1,,,SUMPRODUCT(MAX(ROW(E$2:E4415)*(E4415=E$2:E4415)))))-COUNTBLANK(OFFSET(A$1,,,SUMPRODUCT(MAX(ROW(E$1:E4414)*(E2=E$1:E4414))))))</f>
        <v> </v>
      </c>
      <c r="K4415" s="25" t="str">
        <f>IF(OR(E4415="",E4415="!!!",F4415="NEW"),"",INDEX(J$1:J4414,SUMPRODUCT(MAX(ROW(E$1:E4414)*(E4415=E$1:E4414)))))</f>
        <v> </v>
      </c>
      <c r="L4415" s="26"/>
    </row>
    <row r="4416" spans="1:12">
      <c r="A4416" s="20" t="s">
        <v>1540</v>
      </c>
      <c r="B4416" s="27" t="s">
        <v>1103</v>
      </c>
      <c r="C4416" s="27" t="s">
        <v>1156</v>
      </c>
      <c r="D4416" s="27" t="s">
        <v>1105</v>
      </c>
      <c r="E4416" s="21">
        <f>IF(D4416="?OLD","!!!","")</f>
        <v/>
      </c>
      <c r="F4416" s="22" t="str">
        <f>IF(OR(E4416="",E4416="!!!"),"",IF(NOT(ISNA(VLOOKUP(E4416,E$1:E4415,1,FALSE()))),"OLD",IF(AND(E4416&lt;&gt;"",E4416&lt;&gt;"!!!"),"NEW","")))</f>
        <v> </v>
      </c>
      <c r="G4416" s="23" t="str">
        <f>IF(OR(E4416="",E4416="!!!"),"",IF(OR(J4416=0,AND(J4416=1,K4416=1),AND(J4416=1,I4416="SBJ"),AND(J4416=1,I4416=0)),"?IN_FOCUS",IF(J4416&lt;=2,"?ACTIVATED",IF(J4416&lt;&gt;"","?FAMILIAR",IF(F4416="NEW",IF(ISNA(VLOOKUP(E4416,#REF!,1,FALSE())),"?TYPE_IDENTIFIABLE","?REFERENTIAL"),"_")))))</f>
        <v> </v>
      </c>
      <c r="H4416" s="24" t="str">
        <f>IF(J4416&lt;&gt;1,"",IF(I4416="SBJ","CB","?"))</f>
        <v> </v>
      </c>
      <c r="I4416" s="25" t="str">
        <f>IF(OR(E4416="",E4416="!!!",F4416="NEW"),"",INDEX(B4415:B$2,-1+SUMPRODUCT(MAX(ROW(E4415:E$2)*(E4416=E4415:E$2)))))</f>
        <v> </v>
      </c>
      <c r="J4416" s="25" t="str">
        <f>IF(OR(E4416="",E4416="!!!",F4416="NEW"),"",COUNTBLANK(OFFSET(A$1,,,SUMPRODUCT(MAX(ROW(E$2:E4416)*(E4416=E$2:E4416)))))-COUNTBLANK(OFFSET(A$1,,,SUMPRODUCT(MAX(ROW(E$1:E4415)*(E2=E$1:E4415))))))</f>
        <v> </v>
      </c>
      <c r="K4416" s="25" t="str">
        <f>IF(OR(E4416="",E4416="!!!",F4416="NEW"),"",INDEX(J$1:J4415,SUMPRODUCT(MAX(ROW(E$1:E4415)*(E4416=E$1:E4415)))))</f>
        <v> </v>
      </c>
      <c r="L4416" s="26"/>
    </row>
    <row r="4417" spans="1:12">
      <c r="A4417" s="20" t="s">
        <v>1134</v>
      </c>
      <c r="E4417" s="21">
        <f>IF(D4417="?OLD","!!!","")</f>
        <v/>
      </c>
      <c r="F4417" s="22" t="str">
        <f>IF(OR(E4417="",E4417="!!!"),"",IF(NOT(ISNA(VLOOKUP(E4417,E$1:E4416,1,FALSE()))),"OLD",IF(AND(E4417&lt;&gt;"",E4417&lt;&gt;"!!!"),"NEW","")))</f>
        <v> </v>
      </c>
      <c r="G4417" s="23" t="str">
        <f>IF(OR(E4417="",E4417="!!!"),"",IF(OR(J4417=0,AND(J4417=1,K4417=1),AND(J4417=1,I4417="SBJ"),AND(J4417=1,I4417=0)),"?IN_FOCUS",IF(J4417&lt;=2,"?ACTIVATED",IF(J4417&lt;&gt;"","?FAMILIAR",IF(F4417="NEW",IF(ISNA(VLOOKUP(E4417,#REF!,1,FALSE())),"?TYPE_IDENTIFIABLE","?REFERENTIAL"),"_")))))</f>
        <v> </v>
      </c>
      <c r="H4417" s="24" t="str">
        <f>IF(J4417&lt;&gt;1,"",IF(I4417="SBJ","CB","?"))</f>
        <v> </v>
      </c>
      <c r="I4417" s="25" t="str">
        <f>IF(OR(E4417="",E4417="!!!",F4417="NEW"),"",INDEX(B4416:B$2,-1+SUMPRODUCT(MAX(ROW(E4416:E$2)*(E4417=E4416:E$2)))))</f>
        <v> </v>
      </c>
      <c r="J4417" s="25" t="str">
        <f>IF(OR(E4417="",E4417="!!!",F4417="NEW"),"",COUNTBLANK(OFFSET(A$1,,,SUMPRODUCT(MAX(ROW(E$2:E4417)*(E4417=E$2:E4417)))))-COUNTBLANK(OFFSET(A$1,,,SUMPRODUCT(MAX(ROW(E$1:E4416)*(E2=E$1:E4416))))))</f>
        <v> </v>
      </c>
      <c r="K4417" s="25" t="str">
        <f>IF(OR(E4417="",E4417="!!!",F4417="NEW"),"",INDEX(J$1:J4416,SUMPRODUCT(MAX(ROW(E$1:E4416)*(E4417=E$1:E4416)))))</f>
        <v> </v>
      </c>
      <c r="L4417" s="26"/>
    </row>
    <row r="4418" spans="1:12">
      <c r="A4418" s="20" t="s">
        <v>135</v>
      </c>
      <c r="B4418" s="27" t="s">
        <v>1149</v>
      </c>
      <c r="C4418" s="27" t="s">
        <v>1133</v>
      </c>
      <c r="E4418" s="21">
        <f>IF(D4418="?OLD","!!!","")</f>
        <v/>
      </c>
      <c r="F4418" s="22" t="str">
        <f>IF(OR(E4418="",E4418="!!!"),"",IF(NOT(ISNA(VLOOKUP(E4418,E$1:E4417,1,FALSE()))),"OLD",IF(AND(E4418&lt;&gt;"",E4418&lt;&gt;"!!!"),"NEW","")))</f>
        <v> </v>
      </c>
      <c r="G4418" s="23" t="str">
        <f>IF(OR(E4418="",E4418="!!!"),"",IF(OR(J4418=0,AND(J4418=1,K4418=1),AND(J4418=1,I4418="SBJ"),AND(J4418=1,I4418=0)),"?IN_FOCUS",IF(J4418&lt;=2,"?ACTIVATED",IF(J4418&lt;&gt;"","?FAMILIAR",IF(F4418="NEW",IF(ISNA(VLOOKUP(E4418,#REF!,1,FALSE())),"?TYPE_IDENTIFIABLE","?REFERENTIAL"),"_")))))</f>
        <v> </v>
      </c>
      <c r="H4418" s="24" t="str">
        <f>IF(J4418&lt;&gt;1,"",IF(I4418="SBJ","CB","?"))</f>
        <v> </v>
      </c>
      <c r="I4418" s="25" t="str">
        <f>IF(OR(E4418="",E4418="!!!",F4418="NEW"),"",INDEX(B4417:B$2,-1+SUMPRODUCT(MAX(ROW(E4417:E$2)*(E4418=E4417:E$2)))))</f>
        <v> </v>
      </c>
      <c r="J4418" s="25" t="str">
        <f>IF(OR(E4418="",E4418="!!!",F4418="NEW"),"",COUNTBLANK(OFFSET(A$1,,,SUMPRODUCT(MAX(ROW(E$2:E4418)*(E4418=E$2:E4418)))))-COUNTBLANK(OFFSET(A$1,,,SUMPRODUCT(MAX(ROW(E$1:E4417)*(E2=E$1:E4417))))))</f>
        <v> </v>
      </c>
      <c r="K4418" s="25" t="str">
        <f>IF(OR(E4418="",E4418="!!!",F4418="NEW"),"",INDEX(J$1:J4417,SUMPRODUCT(MAX(ROW(E$1:E4417)*(E4418=E$1:E4417)))))</f>
        <v> </v>
      </c>
      <c r="L4418" s="26"/>
    </row>
    <row r="4419" spans="1:12">
      <c r="A4419" s="20" t="s">
        <v>3050</v>
      </c>
      <c r="E4419" s="21">
        <f>IF(D4419="?OLD","!!!","")</f>
        <v/>
      </c>
      <c r="F4419" s="22" t="str">
        <f>IF(OR(E4419="",E4419="!!!"),"",IF(NOT(ISNA(VLOOKUP(E4419,E$1:E4418,1,FALSE()))),"OLD",IF(AND(E4419&lt;&gt;"",E4419&lt;&gt;"!!!"),"NEW","")))</f>
        <v> </v>
      </c>
      <c r="G4419" s="23" t="str">
        <f>IF(OR(E4419="",E4419="!!!"),"",IF(OR(J4419=0,AND(J4419=1,K4419=1),AND(J4419=1,I4419="SBJ"),AND(J4419=1,I4419=0)),"?IN_FOCUS",IF(J4419&lt;=2,"?ACTIVATED",IF(J4419&lt;&gt;"","?FAMILIAR",IF(F4419="NEW",IF(ISNA(VLOOKUP(E4419,#REF!,1,FALSE())),"?TYPE_IDENTIFIABLE","?REFERENTIAL"),"_")))))</f>
        <v> </v>
      </c>
      <c r="H4419" s="24" t="str">
        <f>IF(J4419&lt;&gt;1,"",IF(I4419="SBJ","CB","?"))</f>
        <v> </v>
      </c>
      <c r="I4419" s="25" t="str">
        <f>IF(OR(E4419="",E4419="!!!",F4419="NEW"),"",INDEX(B4418:B$2,-1+SUMPRODUCT(MAX(ROW(E4418:E$2)*(E4419=E4418:E$2)))))</f>
        <v> </v>
      </c>
      <c r="J4419" s="25" t="str">
        <f>IF(OR(E4419="",E4419="!!!",F4419="NEW"),"",COUNTBLANK(OFFSET(A$1,,,SUMPRODUCT(MAX(ROW(E$2:E4419)*(E4419=E$2:E4419)))))-COUNTBLANK(OFFSET(A$1,,,SUMPRODUCT(MAX(ROW(E$1:E4418)*(E2=E$1:E4418))))))</f>
        <v> </v>
      </c>
      <c r="K4419" s="25" t="str">
        <f>IF(OR(E4419="",E4419="!!!",F4419="NEW"),"",INDEX(J$1:J4418,SUMPRODUCT(MAX(ROW(E$1:E4418)*(E4419=E$1:E4418)))))</f>
        <v> </v>
      </c>
      <c r="L4419" s="26"/>
    </row>
    <row r="4420" spans="1:12">
      <c r="A4420" s="20" t="s">
        <v>1123</v>
      </c>
      <c r="E4420" s="21">
        <f>IF(D4420="?OLD","!!!","")</f>
        <v/>
      </c>
      <c r="F4420" s="22" t="str">
        <f>IF(OR(E4420="",E4420="!!!"),"",IF(NOT(ISNA(VLOOKUP(E4420,E$1:E4419,1,FALSE()))),"OLD",IF(AND(E4420&lt;&gt;"",E4420&lt;&gt;"!!!"),"NEW","")))</f>
        <v> </v>
      </c>
      <c r="G4420" s="23" t="str">
        <f>IF(OR(E4420="",E4420="!!!"),"",IF(OR(J4420=0,AND(J4420=1,K4420=1),AND(J4420=1,I4420="SBJ"),AND(J4420=1,I4420=0)),"?IN_FOCUS",IF(J4420&lt;=2,"?ACTIVATED",IF(J4420&lt;&gt;"","?FAMILIAR",IF(F4420="NEW",IF(ISNA(VLOOKUP(E4420,#REF!,1,FALSE())),"?TYPE_IDENTIFIABLE","?REFERENTIAL"),"_")))))</f>
        <v> </v>
      </c>
      <c r="H4420" s="24" t="str">
        <f>IF(J4420&lt;&gt;1,"",IF(I4420="SBJ","CB","?"))</f>
        <v> </v>
      </c>
      <c r="I4420" s="25" t="str">
        <f>IF(OR(E4420="",E4420="!!!",F4420="NEW"),"",INDEX(B4419:B$2,-1+SUMPRODUCT(MAX(ROW(E4419:E$2)*(E4420=E4419:E$2)))))</f>
        <v> </v>
      </c>
      <c r="J4420" s="25" t="str">
        <f>IF(OR(E4420="",E4420="!!!",F4420="NEW"),"",COUNTBLANK(OFFSET(A$1,,,SUMPRODUCT(MAX(ROW(E$2:E4420)*(E4420=E$2:E4420)))))-COUNTBLANK(OFFSET(A$1,,,SUMPRODUCT(MAX(ROW(E$1:E4419)*(E2=E$1:E4419))))))</f>
        <v> </v>
      </c>
      <c r="K4420" s="25" t="str">
        <f>IF(OR(E4420="",E4420="!!!",F4420="NEW"),"",INDEX(J$1:J4419,SUMPRODUCT(MAX(ROW(E$1:E4419)*(E4420=E$1:E4419)))))</f>
        <v> </v>
      </c>
      <c r="L4420" s="26"/>
    </row>
    <row r="4421" spans="1:12">
      <c r="A4421" s="20" t="s">
        <v>1239</v>
      </c>
      <c r="E4421" s="21">
        <f>IF(D4421="?OLD","!!!","")</f>
        <v/>
      </c>
      <c r="F4421" s="22" t="str">
        <f>IF(OR(E4421="",E4421="!!!"),"",IF(NOT(ISNA(VLOOKUP(E4421,E$1:E4420,1,FALSE()))),"OLD",IF(AND(E4421&lt;&gt;"",E4421&lt;&gt;"!!!"),"NEW","")))</f>
        <v> </v>
      </c>
      <c r="G4421" s="23" t="str">
        <f>IF(OR(E4421="",E4421="!!!"),"",IF(OR(J4421=0,AND(J4421=1,K4421=1),AND(J4421=1,I4421="SBJ"),AND(J4421=1,I4421=0)),"?IN_FOCUS",IF(J4421&lt;=2,"?ACTIVATED",IF(J4421&lt;&gt;"","?FAMILIAR",IF(F4421="NEW",IF(ISNA(VLOOKUP(E4421,#REF!,1,FALSE())),"?TYPE_IDENTIFIABLE","?REFERENTIAL"),"_")))))</f>
        <v> </v>
      </c>
      <c r="H4421" s="24" t="str">
        <f>IF(J4421&lt;&gt;1,"",IF(I4421="SBJ","CB","?"))</f>
        <v> </v>
      </c>
      <c r="I4421" s="25" t="str">
        <f>IF(OR(E4421="",E4421="!!!",F4421="NEW"),"",INDEX(B4420:B$2,-1+SUMPRODUCT(MAX(ROW(E4420:E$2)*(E4421=E4420:E$2)))))</f>
        <v> </v>
      </c>
      <c r="J4421" s="25" t="str">
        <f>IF(OR(E4421="",E4421="!!!",F4421="NEW"),"",COUNTBLANK(OFFSET(A$1,,,SUMPRODUCT(MAX(ROW(E$2:E4421)*(E4421=E$2:E4421)))))-COUNTBLANK(OFFSET(A$1,,,SUMPRODUCT(MAX(ROW(E$1:E4420)*(E2=E$1:E4420))))))</f>
        <v> </v>
      </c>
      <c r="K4421" s="25" t="str">
        <f>IF(OR(E4421="",E4421="!!!",F4421="NEW"),"",INDEX(J$1:J4420,SUMPRODUCT(MAX(ROW(E$1:E4420)*(E4421=E$1:E4420)))))</f>
        <v> </v>
      </c>
      <c r="L4421" s="26"/>
    </row>
    <row r="4422" spans="1:12">
      <c r="A4422" s="20" t="s">
        <v>3051</v>
      </c>
      <c r="E4422" s="21">
        <f>IF(D4422="?OLD","!!!","")</f>
        <v/>
      </c>
      <c r="F4422" s="22" t="str">
        <f>IF(OR(E4422="",E4422="!!!"),"",IF(NOT(ISNA(VLOOKUP(E4422,E$1:E4421,1,FALSE()))),"OLD",IF(AND(E4422&lt;&gt;"",E4422&lt;&gt;"!!!"),"NEW","")))</f>
        <v> </v>
      </c>
      <c r="G4422" s="23" t="str">
        <f>IF(OR(E4422="",E4422="!!!"),"",IF(OR(J4422=0,AND(J4422=1,K4422=1),AND(J4422=1,I4422="SBJ"),AND(J4422=1,I4422=0)),"?IN_FOCUS",IF(J4422&lt;=2,"?ACTIVATED",IF(J4422&lt;&gt;"","?FAMILIAR",IF(F4422="NEW",IF(ISNA(VLOOKUP(E4422,#REF!,1,FALSE())),"?TYPE_IDENTIFIABLE","?REFERENTIAL"),"_")))))</f>
        <v> </v>
      </c>
      <c r="H4422" s="24" t="str">
        <f>IF(J4422&lt;&gt;1,"",IF(I4422="SBJ","CB","?"))</f>
        <v> </v>
      </c>
      <c r="I4422" s="25" t="str">
        <f>IF(OR(E4422="",E4422="!!!",F4422="NEW"),"",INDEX(B4421:B$2,-1+SUMPRODUCT(MAX(ROW(E4421:E$2)*(E4422=E4421:E$2)))))</f>
        <v> </v>
      </c>
      <c r="J4422" s="25" t="str">
        <f>IF(OR(E4422="",E4422="!!!",F4422="NEW"),"",COUNTBLANK(OFFSET(A$1,,,SUMPRODUCT(MAX(ROW(E$2:E4422)*(E4422=E$2:E4422)))))-COUNTBLANK(OFFSET(A$1,,,SUMPRODUCT(MAX(ROW(E$1:E4421)*(E2=E$1:E4421))))))</f>
        <v> </v>
      </c>
      <c r="K4422" s="25" t="str">
        <f>IF(OR(E4422="",E4422="!!!",F4422="NEW"),"",INDEX(J$1:J4421,SUMPRODUCT(MAX(ROW(E$1:E4421)*(E4422=E$1:E4421)))))</f>
        <v> </v>
      </c>
      <c r="L4422" s="26"/>
    </row>
    <row r="4423" spans="1:12">
      <c r="A4423" s="20" t="s">
        <v>1231</v>
      </c>
      <c r="E4423" s="21">
        <f>IF(D4423="?OLD","!!!","")</f>
        <v/>
      </c>
      <c r="F4423" s="22" t="str">
        <f>IF(OR(E4423="",E4423="!!!"),"",IF(NOT(ISNA(VLOOKUP(E4423,E$1:E4422,1,FALSE()))),"OLD",IF(AND(E4423&lt;&gt;"",E4423&lt;&gt;"!!!"),"NEW","")))</f>
        <v> </v>
      </c>
      <c r="G4423" s="23" t="str">
        <f>IF(OR(E4423="",E4423="!!!"),"",IF(OR(J4423=0,AND(J4423=1,K4423=1),AND(J4423=1,I4423="SBJ"),AND(J4423=1,I4423=0)),"?IN_FOCUS",IF(J4423&lt;=2,"?ACTIVATED",IF(J4423&lt;&gt;"","?FAMILIAR",IF(F4423="NEW",IF(ISNA(VLOOKUP(E4423,#REF!,1,FALSE())),"?TYPE_IDENTIFIABLE","?REFERENTIAL"),"_")))))</f>
        <v> </v>
      </c>
      <c r="H4423" s="24" t="str">
        <f>IF(J4423&lt;&gt;1,"",IF(I4423="SBJ","CB","?"))</f>
        <v> </v>
      </c>
      <c r="I4423" s="25" t="str">
        <f>IF(OR(E4423="",E4423="!!!",F4423="NEW"),"",INDEX(B4422:B$2,-1+SUMPRODUCT(MAX(ROW(E4422:E$2)*(E4423=E4422:E$2)))))</f>
        <v> </v>
      </c>
      <c r="J4423" s="25" t="str">
        <f>IF(OR(E4423="",E4423="!!!",F4423="NEW"),"",COUNTBLANK(OFFSET(A$1,,,SUMPRODUCT(MAX(ROW(E$2:E4423)*(E4423=E$2:E4423)))))-COUNTBLANK(OFFSET(A$1,,,SUMPRODUCT(MAX(ROW(E$1:E4422)*(E2=E$1:E4422))))))</f>
        <v> </v>
      </c>
      <c r="K4423" s="25" t="str">
        <f>IF(OR(E4423="",E4423="!!!",F4423="NEW"),"",INDEX(J$1:J4422,SUMPRODUCT(MAX(ROW(E$1:E4422)*(E4423=E$1:E4422)))))</f>
        <v> </v>
      </c>
      <c r="L4423" s="26"/>
    </row>
    <row r="4424" spans="1:12">
      <c r="A4424" s="20" t="s">
        <v>3052</v>
      </c>
      <c r="E4424" s="21">
        <f>IF(D4424="?OLD","!!!","")</f>
        <v/>
      </c>
      <c r="F4424" s="22" t="str">
        <f>IF(OR(E4424="",E4424="!!!"),"",IF(NOT(ISNA(VLOOKUP(E4424,E$1:E4423,1,FALSE()))),"OLD",IF(AND(E4424&lt;&gt;"",E4424&lt;&gt;"!!!"),"NEW","")))</f>
        <v> </v>
      </c>
      <c r="G4424" s="23" t="str">
        <f>IF(OR(E4424="",E4424="!!!"),"",IF(OR(J4424=0,AND(J4424=1,K4424=1),AND(J4424=1,I4424="SBJ"),AND(J4424=1,I4424=0)),"?IN_FOCUS",IF(J4424&lt;=2,"?ACTIVATED",IF(J4424&lt;&gt;"","?FAMILIAR",IF(F4424="NEW",IF(ISNA(VLOOKUP(E4424,#REF!,1,FALSE())),"?TYPE_IDENTIFIABLE","?REFERENTIAL"),"_")))))</f>
        <v> </v>
      </c>
      <c r="H4424" s="24" t="str">
        <f>IF(J4424&lt;&gt;1,"",IF(I4424="SBJ","CB","?"))</f>
        <v> </v>
      </c>
      <c r="I4424" s="25" t="str">
        <f>IF(OR(E4424="",E4424="!!!",F4424="NEW"),"",INDEX(B4423:B$2,-1+SUMPRODUCT(MAX(ROW(E4423:E$2)*(E4424=E4423:E$2)))))</f>
        <v> </v>
      </c>
      <c r="J4424" s="25" t="str">
        <f>IF(OR(E4424="",E4424="!!!",F4424="NEW"),"",COUNTBLANK(OFFSET(A$1,,,SUMPRODUCT(MAX(ROW(E$2:E4424)*(E4424=E$2:E4424)))))-COUNTBLANK(OFFSET(A$1,,,SUMPRODUCT(MAX(ROW(E$1:E4423)*(E2=E$1:E4423))))))</f>
        <v> </v>
      </c>
      <c r="K4424" s="25" t="str">
        <f>IF(OR(E4424="",E4424="!!!",F4424="NEW"),"",INDEX(J$1:J4423,SUMPRODUCT(MAX(ROW(E$1:E4423)*(E4424=E$1:E4423)))))</f>
        <v> </v>
      </c>
      <c r="L4424" s="26"/>
    </row>
    <row r="4425" spans="1:12">
      <c r="A4425" s="20" t="s">
        <v>2897</v>
      </c>
      <c r="B4425" s="27" t="s">
        <v>1132</v>
      </c>
      <c r="C4425" s="27" t="s">
        <v>1104</v>
      </c>
      <c r="D4425" s="27" t="s">
        <v>1105</v>
      </c>
      <c r="E4425" s="21">
        <f>IF(D4425="?OLD","!!!","")</f>
        <v/>
      </c>
      <c r="F4425" s="22" t="str">
        <f>IF(OR(E4425="",E4425="!!!"),"",IF(NOT(ISNA(VLOOKUP(E4425,E$1:E4424,1,FALSE()))),"OLD",IF(AND(E4425&lt;&gt;"",E4425&lt;&gt;"!!!"),"NEW","")))</f>
        <v> </v>
      </c>
      <c r="G4425" s="23" t="str">
        <f>IF(OR(E4425="",E4425="!!!"),"",IF(OR(J4425=0,AND(J4425=1,K4425=1),AND(J4425=1,I4425="SBJ"),AND(J4425=1,I4425=0)),"?IN_FOCUS",IF(J4425&lt;=2,"?ACTIVATED",IF(J4425&lt;&gt;"","?FAMILIAR",IF(F4425="NEW",IF(ISNA(VLOOKUP(E4425,#REF!,1,FALSE())),"?TYPE_IDENTIFIABLE","?REFERENTIAL"),"_")))))</f>
        <v> </v>
      </c>
      <c r="H4425" s="24" t="str">
        <f>IF(J4425&lt;&gt;1,"",IF(I4425="SBJ","CB","?"))</f>
        <v> </v>
      </c>
      <c r="I4425" s="25" t="str">
        <f>IF(OR(E4425="",E4425="!!!",F4425="NEW"),"",INDEX(B4424:B$2,-1+SUMPRODUCT(MAX(ROW(E4424:E$2)*(E4425=E4424:E$2)))))</f>
        <v> </v>
      </c>
      <c r="J4425" s="25" t="str">
        <f>IF(OR(E4425="",E4425="!!!",F4425="NEW"),"",COUNTBLANK(OFFSET(A$1,,,SUMPRODUCT(MAX(ROW(E$2:E4425)*(E4425=E$2:E4425)))))-COUNTBLANK(OFFSET(A$1,,,SUMPRODUCT(MAX(ROW(E$1:E4424)*(E2=E$1:E4424))))))</f>
        <v> </v>
      </c>
      <c r="K4425" s="25" t="str">
        <f>IF(OR(E4425="",E4425="!!!",F4425="NEW"),"",INDEX(J$1:J4424,SUMPRODUCT(MAX(ROW(E$1:E4424)*(E4425=E$1:E4424)))))</f>
        <v> </v>
      </c>
      <c r="L4425" s="26"/>
    </row>
    <row r="4426" spans="1:12">
      <c r="A4426" s="20" t="s">
        <v>3053</v>
      </c>
      <c r="B4426" s="27" t="s">
        <v>1141</v>
      </c>
      <c r="C4426" s="27" t="s">
        <v>1108</v>
      </c>
      <c r="D4426" s="27" t="s">
        <v>1105</v>
      </c>
      <c r="E4426" s="21">
        <f>IF(D4426="?OLD","!!!","")</f>
        <v/>
      </c>
      <c r="F4426" s="22" t="str">
        <f>IF(OR(E4426="",E4426="!!!"),"",IF(NOT(ISNA(VLOOKUP(E4426,E$1:E4425,1,FALSE()))),"OLD",IF(AND(E4426&lt;&gt;"",E4426&lt;&gt;"!!!"),"NEW","")))</f>
        <v> </v>
      </c>
      <c r="G4426" s="23" t="str">
        <f>IF(OR(E4426="",E4426="!!!"),"",IF(OR(J4426=0,AND(J4426=1,K4426=1),AND(J4426=1,I4426="SBJ"),AND(J4426=1,I4426=0)),"?IN_FOCUS",IF(J4426&lt;=2,"?ACTIVATED",IF(J4426&lt;&gt;"","?FAMILIAR",IF(F4426="NEW",IF(ISNA(VLOOKUP(E4426,#REF!,1,FALSE())),"?TYPE_IDENTIFIABLE","?REFERENTIAL"),"_")))))</f>
        <v> </v>
      </c>
      <c r="H4426" s="24" t="str">
        <f>IF(J4426&lt;&gt;1,"",IF(I4426="SBJ","CB","?"))</f>
        <v> </v>
      </c>
      <c r="I4426" s="25" t="str">
        <f>IF(OR(E4426="",E4426="!!!",F4426="NEW"),"",INDEX(B4425:B$2,-1+SUMPRODUCT(MAX(ROW(E4425:E$2)*(E4426=E4425:E$2)))))</f>
        <v> </v>
      </c>
      <c r="J4426" s="25" t="str">
        <f>IF(OR(E4426="",E4426="!!!",F4426="NEW"),"",COUNTBLANK(OFFSET(A$1,,,SUMPRODUCT(MAX(ROW(E$2:E4426)*(E4426=E$2:E4426)))))-COUNTBLANK(OFFSET(A$1,,,SUMPRODUCT(MAX(ROW(E$1:E4425)*(E2=E$1:E4425))))))</f>
        <v> </v>
      </c>
      <c r="K4426" s="25" t="str">
        <f>IF(OR(E4426="",E4426="!!!",F4426="NEW"),"",INDEX(J$1:J4425,SUMPRODUCT(MAX(ROW(E$1:E4425)*(E4426=E$1:E4425)))))</f>
        <v> </v>
      </c>
      <c r="L4426" s="26"/>
    </row>
    <row r="4427" spans="1:12">
      <c r="A4427" s="20" t="s">
        <v>1123</v>
      </c>
      <c r="E4427" s="21">
        <f>IF(D4427="?OLD","!!!","")</f>
        <v/>
      </c>
      <c r="F4427" s="22" t="str">
        <f>IF(OR(E4427="",E4427="!!!"),"",IF(NOT(ISNA(VLOOKUP(E4427,E$1:E4426,1,FALSE()))),"OLD",IF(AND(E4427&lt;&gt;"",E4427&lt;&gt;"!!!"),"NEW","")))</f>
        <v> </v>
      </c>
      <c r="G4427" s="23" t="str">
        <f>IF(OR(E4427="",E4427="!!!"),"",IF(OR(J4427=0,AND(J4427=1,K4427=1),AND(J4427=1,I4427="SBJ"),AND(J4427=1,I4427=0)),"?IN_FOCUS",IF(J4427&lt;=2,"?ACTIVATED",IF(J4427&lt;&gt;"","?FAMILIAR",IF(F4427="NEW",IF(ISNA(VLOOKUP(E4427,#REF!,1,FALSE())),"?TYPE_IDENTIFIABLE","?REFERENTIAL"),"_")))))</f>
        <v> </v>
      </c>
      <c r="H4427" s="24" t="str">
        <f>IF(J4427&lt;&gt;1,"",IF(I4427="SBJ","CB","?"))</f>
        <v> </v>
      </c>
      <c r="I4427" s="25" t="str">
        <f>IF(OR(E4427="",E4427="!!!",F4427="NEW"),"",INDEX(B4426:B$2,-1+SUMPRODUCT(MAX(ROW(E4426:E$2)*(E4427=E4426:E$2)))))</f>
        <v> </v>
      </c>
      <c r="J4427" s="25" t="str">
        <f>IF(OR(E4427="",E4427="!!!",F4427="NEW"),"",COUNTBLANK(OFFSET(A$1,,,SUMPRODUCT(MAX(ROW(E$2:E4427)*(E4427=E$2:E4427)))))-COUNTBLANK(OFFSET(A$1,,,SUMPRODUCT(MAX(ROW(E$1:E4426)*(E2=E$1:E4426))))))</f>
        <v> </v>
      </c>
      <c r="K4427" s="25" t="str">
        <f>IF(OR(E4427="",E4427="!!!",F4427="NEW"),"",INDEX(J$1:J4426,SUMPRODUCT(MAX(ROW(E$1:E4426)*(E4427=E$1:E4426)))))</f>
        <v> </v>
      </c>
      <c r="L4427" s="26"/>
    </row>
    <row r="4428" spans="1:12">
      <c r="A4428" s="20" t="s">
        <v>1128</v>
      </c>
      <c r="E4428" s="21">
        <f>IF(D4428="?OLD","!!!","")</f>
        <v/>
      </c>
      <c r="F4428" s="22" t="str">
        <f>IF(OR(E4428="",E4428="!!!"),"",IF(NOT(ISNA(VLOOKUP(E4428,E$1:E4427,1,FALSE()))),"OLD",IF(AND(E4428&lt;&gt;"",E4428&lt;&gt;"!!!"),"NEW","")))</f>
        <v> </v>
      </c>
      <c r="G4428" s="23" t="str">
        <f>IF(OR(E4428="",E4428="!!!"),"",IF(OR(J4428=0,AND(J4428=1,K4428=1),AND(J4428=1,I4428="SBJ"),AND(J4428=1,I4428=0)),"?IN_FOCUS",IF(J4428&lt;=2,"?ACTIVATED",IF(J4428&lt;&gt;"","?FAMILIAR",IF(F4428="NEW",IF(ISNA(VLOOKUP(E4428,#REF!,1,FALSE())),"?TYPE_IDENTIFIABLE","?REFERENTIAL"),"_")))))</f>
        <v> </v>
      </c>
      <c r="H4428" s="24" t="str">
        <f>IF(J4428&lt;&gt;1,"",IF(I4428="SBJ","CB","?"))</f>
        <v> </v>
      </c>
      <c r="I4428" s="25" t="str">
        <f>IF(OR(E4428="",E4428="!!!",F4428="NEW"),"",INDEX(B4427:B$2,-1+SUMPRODUCT(MAX(ROW(E4427:E$2)*(E4428=E4427:E$2)))))</f>
        <v> </v>
      </c>
      <c r="J4428" s="25" t="str">
        <f>IF(OR(E4428="",E4428="!!!",F4428="NEW"),"",COUNTBLANK(OFFSET(A$1,,,SUMPRODUCT(MAX(ROW(E$2:E4428)*(E4428=E$2:E4428)))))-COUNTBLANK(OFFSET(A$1,,,SUMPRODUCT(MAX(ROW(E$1:E4427)*(E2=E$1:E4427))))))</f>
        <v> </v>
      </c>
      <c r="K4428" s="25" t="str">
        <f>IF(OR(E4428="",E4428="!!!",F4428="NEW"),"",INDEX(J$1:J4427,SUMPRODUCT(MAX(ROW(E$1:E4427)*(E4428=E$1:E4427)))))</f>
        <v> </v>
      </c>
      <c r="L4428" s="26"/>
    </row>
    <row r="4429" spans="1:12">
      <c r="A4429" s="20" t="s">
        <v>1124</v>
      </c>
      <c r="B4429" s="27" t="s">
        <v>1259</v>
      </c>
      <c r="C4429" s="27" t="s">
        <v>1126</v>
      </c>
      <c r="D4429" s="27" t="s">
        <v>1105</v>
      </c>
      <c r="E4429" s="21">
        <f>IF(D4429="?OLD","!!!","")</f>
        <v/>
      </c>
      <c r="F4429" s="22" t="str">
        <f>IF(OR(E4429="",E4429="!!!"),"",IF(NOT(ISNA(VLOOKUP(E4429,E$1:E4428,1,FALSE()))),"OLD",IF(AND(E4429&lt;&gt;"",E4429&lt;&gt;"!!!"),"NEW","")))</f>
        <v> </v>
      </c>
      <c r="G4429" s="23" t="str">
        <f>IF(OR(E4429="",E4429="!!!"),"",IF(OR(J4429=0,AND(J4429=1,K4429=1),AND(J4429=1,I4429="SBJ"),AND(J4429=1,I4429=0)),"?IN_FOCUS",IF(J4429&lt;=2,"?ACTIVATED",IF(J4429&lt;&gt;"","?FAMILIAR",IF(F4429="NEW",IF(ISNA(VLOOKUP(E4429,#REF!,1,FALSE())),"?TYPE_IDENTIFIABLE","?REFERENTIAL"),"_")))))</f>
        <v> </v>
      </c>
      <c r="H4429" s="24" t="str">
        <f>IF(J4429&lt;&gt;1,"",IF(I4429="SBJ","CB","?"))</f>
        <v> </v>
      </c>
      <c r="I4429" s="25" t="str">
        <f>IF(OR(E4429="",E4429="!!!",F4429="NEW"),"",INDEX(B4428:B$2,-1+SUMPRODUCT(MAX(ROW(E4428:E$2)*(E4429=E4428:E$2)))))</f>
        <v> </v>
      </c>
      <c r="J4429" s="25" t="str">
        <f>IF(OR(E4429="",E4429="!!!",F4429="NEW"),"",COUNTBLANK(OFFSET(A$1,,,SUMPRODUCT(MAX(ROW(E$2:E4429)*(E4429=E$2:E4429)))))-COUNTBLANK(OFFSET(A$1,,,SUMPRODUCT(MAX(ROW(E$1:E4428)*(E2=E$1:E4428))))))</f>
        <v> </v>
      </c>
      <c r="K4429" s="25" t="str">
        <f>IF(OR(E4429="",E4429="!!!",F4429="NEW"),"",INDEX(J$1:J4428,SUMPRODUCT(MAX(ROW(E$1:E4428)*(E4429=E$1:E4428)))))</f>
        <v> </v>
      </c>
      <c r="L4429" s="26"/>
    </row>
    <row r="4430" spans="1:12">
      <c r="A4430" s="20" t="s">
        <v>3054</v>
      </c>
      <c r="E4430" s="21">
        <f>IF(D4430="?OLD","!!!","")</f>
        <v/>
      </c>
      <c r="F4430" s="22" t="str">
        <f>IF(OR(E4430="",E4430="!!!"),"",IF(NOT(ISNA(VLOOKUP(E4430,E$1:E4429,1,FALSE()))),"OLD",IF(AND(E4430&lt;&gt;"",E4430&lt;&gt;"!!!"),"NEW","")))</f>
        <v> </v>
      </c>
      <c r="G4430" s="23" t="str">
        <f>IF(OR(E4430="",E4430="!!!"),"",IF(OR(J4430=0,AND(J4430=1,K4430=1),AND(J4430=1,I4430="SBJ"),AND(J4430=1,I4430=0)),"?IN_FOCUS",IF(J4430&lt;=2,"?ACTIVATED",IF(J4430&lt;&gt;"","?FAMILIAR",IF(F4430="NEW",IF(ISNA(VLOOKUP(E4430,#REF!,1,FALSE())),"?TYPE_IDENTIFIABLE","?REFERENTIAL"),"_")))))</f>
        <v> </v>
      </c>
      <c r="H4430" s="24" t="str">
        <f>IF(J4430&lt;&gt;1,"",IF(I4430="SBJ","CB","?"))</f>
        <v> </v>
      </c>
      <c r="I4430" s="25" t="str">
        <f>IF(OR(E4430="",E4430="!!!",F4430="NEW"),"",INDEX(B4429:B$2,-1+SUMPRODUCT(MAX(ROW(E4429:E$2)*(E4430=E4429:E$2)))))</f>
        <v> </v>
      </c>
      <c r="J4430" s="25" t="str">
        <f>IF(OR(E4430="",E4430="!!!",F4430="NEW"),"",COUNTBLANK(OFFSET(A$1,,,SUMPRODUCT(MAX(ROW(E$2:E4430)*(E4430=E$2:E4430)))))-COUNTBLANK(OFFSET(A$1,,,SUMPRODUCT(MAX(ROW(E$1:E4429)*(E2=E$1:E4429))))))</f>
        <v> </v>
      </c>
      <c r="K4430" s="25" t="str">
        <f>IF(OR(E4430="",E4430="!!!",F4430="NEW"),"",INDEX(J$1:J4429,SUMPRODUCT(MAX(ROW(E$1:E4429)*(E4430=E$1:E4429)))))</f>
        <v> </v>
      </c>
      <c r="L4430" s="26"/>
    </row>
    <row r="4431" spans="1:12">
      <c r="A4431" s="20" t="s">
        <v>3055</v>
      </c>
      <c r="E4431" s="21">
        <f>IF(D4431="?OLD","!!!","")</f>
        <v/>
      </c>
      <c r="F4431" s="22" t="str">
        <f>IF(OR(E4431="",E4431="!!!"),"",IF(NOT(ISNA(VLOOKUP(E4431,E$1:E4430,1,FALSE()))),"OLD",IF(AND(E4431&lt;&gt;"",E4431&lt;&gt;"!!!"),"NEW","")))</f>
        <v> </v>
      </c>
      <c r="G4431" s="23" t="str">
        <f>IF(OR(E4431="",E4431="!!!"),"",IF(OR(J4431=0,AND(J4431=1,K4431=1),AND(J4431=1,I4431="SBJ"),AND(J4431=1,I4431=0)),"?IN_FOCUS",IF(J4431&lt;=2,"?ACTIVATED",IF(J4431&lt;&gt;"","?FAMILIAR",IF(F4431="NEW",IF(ISNA(VLOOKUP(E4431,#REF!,1,FALSE())),"?TYPE_IDENTIFIABLE","?REFERENTIAL"),"_")))))</f>
        <v> </v>
      </c>
      <c r="H4431" s="24" t="str">
        <f>IF(J4431&lt;&gt;1,"",IF(I4431="SBJ","CB","?"))</f>
        <v> </v>
      </c>
      <c r="I4431" s="25" t="str">
        <f>IF(OR(E4431="",E4431="!!!",F4431="NEW"),"",INDEX(B4430:B$2,-1+SUMPRODUCT(MAX(ROW(E4430:E$2)*(E4431=E4430:E$2)))))</f>
        <v> </v>
      </c>
      <c r="J4431" s="25" t="str">
        <f>IF(OR(E4431="",E4431="!!!",F4431="NEW"),"",COUNTBLANK(OFFSET(A$1,,,SUMPRODUCT(MAX(ROW(E$2:E4431)*(E4431=E$2:E4431)))))-COUNTBLANK(OFFSET(A$1,,,SUMPRODUCT(MAX(ROW(E$1:E4430)*(E2=E$1:E4430))))))</f>
        <v> </v>
      </c>
      <c r="K4431" s="25" t="str">
        <f>IF(OR(E4431="",E4431="!!!",F4431="NEW"),"",INDEX(J$1:J4430,SUMPRODUCT(MAX(ROW(E$1:E4430)*(E4431=E$1:E4430)))))</f>
        <v> </v>
      </c>
      <c r="L4431" s="26"/>
    </row>
    <row r="4432" spans="1:12">
      <c r="A4432" s="20" t="s">
        <v>3056</v>
      </c>
      <c r="E4432" s="21">
        <f>IF(D4432="?OLD","!!!","")</f>
        <v/>
      </c>
      <c r="F4432" s="22" t="str">
        <f>IF(OR(E4432="",E4432="!!!"),"",IF(NOT(ISNA(VLOOKUP(E4432,E$1:E4431,1,FALSE()))),"OLD",IF(AND(E4432&lt;&gt;"",E4432&lt;&gt;"!!!"),"NEW","")))</f>
        <v> </v>
      </c>
      <c r="G4432" s="23" t="str">
        <f>IF(OR(E4432="",E4432="!!!"),"",IF(OR(J4432=0,AND(J4432=1,K4432=1),AND(J4432=1,I4432="SBJ"),AND(J4432=1,I4432=0)),"?IN_FOCUS",IF(J4432&lt;=2,"?ACTIVATED",IF(J4432&lt;&gt;"","?FAMILIAR",IF(F4432="NEW",IF(ISNA(VLOOKUP(E4432,#REF!,1,FALSE())),"?TYPE_IDENTIFIABLE","?REFERENTIAL"),"_")))))</f>
        <v> </v>
      </c>
      <c r="H4432" s="24" t="str">
        <f>IF(J4432&lt;&gt;1,"",IF(I4432="SBJ","CB","?"))</f>
        <v> </v>
      </c>
      <c r="I4432" s="25" t="str">
        <f>IF(OR(E4432="",E4432="!!!",F4432="NEW"),"",INDEX(B4431:B$2,-1+SUMPRODUCT(MAX(ROW(E4431:E$2)*(E4432=E4431:E$2)))))</f>
        <v> </v>
      </c>
      <c r="J4432" s="25" t="str">
        <f>IF(OR(E4432="",E4432="!!!",F4432="NEW"),"",COUNTBLANK(OFFSET(A$1,,,SUMPRODUCT(MAX(ROW(E$2:E4432)*(E4432=E$2:E4432)))))-COUNTBLANK(OFFSET(A$1,,,SUMPRODUCT(MAX(ROW(E$1:E4431)*(E2=E$1:E4431))))))</f>
        <v> </v>
      </c>
      <c r="K4432" s="25" t="str">
        <f>IF(OR(E4432="",E4432="!!!",F4432="NEW"),"",INDEX(J$1:J4431,SUMPRODUCT(MAX(ROW(E$1:E4431)*(E4432=E$1:E4431)))))</f>
        <v> </v>
      </c>
      <c r="L4432" s="26"/>
    </row>
    <row r="4433" spans="1:12">
      <c r="A4433" s="20" t="s">
        <v>3057</v>
      </c>
      <c r="B4433" s="27" t="s">
        <v>1132</v>
      </c>
      <c r="C4433" s="27" t="s">
        <v>1116</v>
      </c>
      <c r="E4433" s="21">
        <f>IF(D4433="?OLD","!!!","")</f>
        <v/>
      </c>
      <c r="F4433" s="22" t="str">
        <f>IF(OR(E4433="",E4433="!!!"),"",IF(NOT(ISNA(VLOOKUP(E4433,E$1:E4432,1,FALSE()))),"OLD",IF(AND(E4433&lt;&gt;"",E4433&lt;&gt;"!!!"),"NEW","")))</f>
        <v> </v>
      </c>
      <c r="G4433" s="23" t="str">
        <f>IF(OR(E4433="",E4433="!!!"),"",IF(OR(J4433=0,AND(J4433=1,K4433=1),AND(J4433=1,I4433="SBJ"),AND(J4433=1,I4433=0)),"?IN_FOCUS",IF(J4433&lt;=2,"?ACTIVATED",IF(J4433&lt;&gt;"","?FAMILIAR",IF(F4433="NEW",IF(ISNA(VLOOKUP(E4433,#REF!,1,FALSE())),"?TYPE_IDENTIFIABLE","?REFERENTIAL"),"_")))))</f>
        <v> </v>
      </c>
      <c r="H4433" s="24" t="str">
        <f>IF(J4433&lt;&gt;1,"",IF(I4433="SBJ","CB","?"))</f>
        <v> </v>
      </c>
      <c r="I4433" s="25" t="str">
        <f>IF(OR(E4433="",E4433="!!!",F4433="NEW"),"",INDEX(B4432:B$2,-1+SUMPRODUCT(MAX(ROW(E4432:E$2)*(E4433=E4432:E$2)))))</f>
        <v> </v>
      </c>
      <c r="J4433" s="25" t="str">
        <f>IF(OR(E4433="",E4433="!!!",F4433="NEW"),"",COUNTBLANK(OFFSET(A$1,,,SUMPRODUCT(MAX(ROW(E$2:E4433)*(E4433=E$2:E4433)))))-COUNTBLANK(OFFSET(A$1,,,SUMPRODUCT(MAX(ROW(E$1:E4432)*(E2=E$1:E4432))))))</f>
        <v> </v>
      </c>
      <c r="K4433" s="25" t="str">
        <f>IF(OR(E4433="",E4433="!!!",F4433="NEW"),"",INDEX(J$1:J4432,SUMPRODUCT(MAX(ROW(E$1:E4432)*(E4433=E$1:E4432)))))</f>
        <v> </v>
      </c>
      <c r="L4433" s="26"/>
    </row>
    <row r="4434" spans="1:12">
      <c r="A4434" s="20" t="s">
        <v>1130</v>
      </c>
      <c r="E4434" s="21">
        <f>IF(D4434="?OLD","!!!","")</f>
        <v/>
      </c>
      <c r="F4434" s="22" t="str">
        <f>IF(OR(E4434="",E4434="!!!"),"",IF(NOT(ISNA(VLOOKUP(E4434,E$1:E4433,1,FALSE()))),"OLD",IF(AND(E4434&lt;&gt;"",E4434&lt;&gt;"!!!"),"NEW","")))</f>
        <v> </v>
      </c>
      <c r="G4434" s="23" t="str">
        <f>IF(OR(E4434="",E4434="!!!"),"",IF(OR(J4434=0,AND(J4434=1,K4434=1),AND(J4434=1,I4434="SBJ"),AND(J4434=1,I4434=0)),"?IN_FOCUS",IF(J4434&lt;=2,"?ACTIVATED",IF(J4434&lt;&gt;"","?FAMILIAR",IF(F4434="NEW",IF(ISNA(VLOOKUP(E4434,#REF!,1,FALSE())),"?TYPE_IDENTIFIABLE","?REFERENTIAL"),"_")))))</f>
        <v> </v>
      </c>
      <c r="H4434" s="24" t="str">
        <f>IF(J4434&lt;&gt;1,"",IF(I4434="SBJ","CB","?"))</f>
        <v> </v>
      </c>
      <c r="I4434" s="25" t="str">
        <f>IF(OR(E4434="",E4434="!!!",F4434="NEW"),"",INDEX(B4433:B$2,-1+SUMPRODUCT(MAX(ROW(E4433:E$2)*(E4434=E4433:E$2)))))</f>
        <v> </v>
      </c>
      <c r="J4434" s="25" t="str">
        <f>IF(OR(E4434="",E4434="!!!",F4434="NEW"),"",COUNTBLANK(OFFSET(A$1,,,SUMPRODUCT(MAX(ROW(E$2:E4434)*(E4434=E$2:E4434)))))-COUNTBLANK(OFFSET(A$1,,,SUMPRODUCT(MAX(ROW(E$1:E4433)*(E2=E$1:E4433))))))</f>
        <v> </v>
      </c>
      <c r="K4434" s="25" t="str">
        <f>IF(OR(E4434="",E4434="!!!",F4434="NEW"),"",INDEX(J$1:J4433,SUMPRODUCT(MAX(ROW(E$1:E4433)*(E4434=E$1:E4433)))))</f>
        <v> </v>
      </c>
      <c r="L4434" s="26"/>
    </row>
    <row r="4435" spans="1:12">
      <c r="A4435" s="20" t="s">
        <v>2704</v>
      </c>
      <c r="E4435" s="21">
        <f>IF(D4435="?OLD","!!!","")</f>
        <v/>
      </c>
      <c r="F4435" s="22" t="str">
        <f>IF(OR(E4435="",E4435="!!!"),"",IF(NOT(ISNA(VLOOKUP(E4435,E$1:E4434,1,FALSE()))),"OLD",IF(AND(E4435&lt;&gt;"",E4435&lt;&gt;"!!!"),"NEW","")))</f>
        <v> </v>
      </c>
      <c r="G4435" s="23" t="str">
        <f>IF(OR(E4435="",E4435="!!!"),"",IF(OR(J4435=0,AND(J4435=1,K4435=1),AND(J4435=1,I4435="SBJ"),AND(J4435=1,I4435=0)),"?IN_FOCUS",IF(J4435&lt;=2,"?ACTIVATED",IF(J4435&lt;&gt;"","?FAMILIAR",IF(F4435="NEW",IF(ISNA(VLOOKUP(E4435,#REF!,1,FALSE())),"?TYPE_IDENTIFIABLE","?REFERENTIAL"),"_")))))</f>
        <v> </v>
      </c>
      <c r="H4435" s="24" t="str">
        <f>IF(J4435&lt;&gt;1,"",IF(I4435="SBJ","CB","?"))</f>
        <v> </v>
      </c>
      <c r="I4435" s="25" t="str">
        <f>IF(OR(E4435="",E4435="!!!",F4435="NEW"),"",INDEX(B4434:B$2,-1+SUMPRODUCT(MAX(ROW(E4434:E$2)*(E4435=E4434:E$2)))))</f>
        <v> </v>
      </c>
      <c r="J4435" s="25" t="str">
        <f>IF(OR(E4435="",E4435="!!!",F4435="NEW"),"",COUNTBLANK(OFFSET(A$1,,,SUMPRODUCT(MAX(ROW(E$2:E4435)*(E4435=E$2:E4435)))))-COUNTBLANK(OFFSET(A$1,,,SUMPRODUCT(MAX(ROW(E$1:E4434)*(E2=E$1:E4434))))))</f>
        <v> </v>
      </c>
      <c r="K4435" s="25" t="str">
        <f>IF(OR(E4435="",E4435="!!!",F4435="NEW"),"",INDEX(J$1:J4434,SUMPRODUCT(MAX(ROW(E$1:E4434)*(E4435=E$1:E4434)))))</f>
        <v> </v>
      </c>
      <c r="L4435" s="26"/>
    </row>
    <row r="4436" spans="1:12">
      <c r="A4436" s="20" t="s">
        <v>3058</v>
      </c>
      <c r="B4436" s="27" t="s">
        <v>1307</v>
      </c>
      <c r="C4436" s="27" t="s">
        <v>1108</v>
      </c>
      <c r="D4436" s="27" t="s">
        <v>1105</v>
      </c>
      <c r="E4436" s="21">
        <f>IF(D4436="?OLD","!!!","")</f>
        <v/>
      </c>
      <c r="F4436" s="22" t="str">
        <f>IF(OR(E4436="",E4436="!!!"),"",IF(NOT(ISNA(VLOOKUP(E4436,E$1:E4435,1,FALSE()))),"OLD",IF(AND(E4436&lt;&gt;"",E4436&lt;&gt;"!!!"),"NEW","")))</f>
        <v> </v>
      </c>
      <c r="G4436" s="23" t="str">
        <f>IF(OR(E4436="",E4436="!!!"),"",IF(OR(J4436=0,AND(J4436=1,K4436=1),AND(J4436=1,I4436="SBJ"),AND(J4436=1,I4436=0)),"?IN_FOCUS",IF(J4436&lt;=2,"?ACTIVATED",IF(J4436&lt;&gt;"","?FAMILIAR",IF(F4436="NEW",IF(ISNA(VLOOKUP(E4436,#REF!,1,FALSE())),"?TYPE_IDENTIFIABLE","?REFERENTIAL"),"_")))))</f>
        <v> </v>
      </c>
      <c r="H4436" s="24" t="str">
        <f>IF(J4436&lt;&gt;1,"",IF(I4436="SBJ","CB","?"))</f>
        <v> </v>
      </c>
      <c r="I4436" s="25" t="str">
        <f>IF(OR(E4436="",E4436="!!!",F4436="NEW"),"",INDEX(B4435:B$2,-1+SUMPRODUCT(MAX(ROW(E4435:E$2)*(E4436=E4435:E$2)))))</f>
        <v> </v>
      </c>
      <c r="J4436" s="25" t="str">
        <f>IF(OR(E4436="",E4436="!!!",F4436="NEW"),"",COUNTBLANK(OFFSET(A$1,,,SUMPRODUCT(MAX(ROW(E$2:E4436)*(E4436=E$2:E4436)))))-COUNTBLANK(OFFSET(A$1,,,SUMPRODUCT(MAX(ROW(E$1:E4435)*(E2=E$1:E4435))))))</f>
        <v> </v>
      </c>
      <c r="K4436" s="25" t="str">
        <f>IF(OR(E4436="",E4436="!!!",F4436="NEW"),"",INDEX(J$1:J4435,SUMPRODUCT(MAX(ROW(E$1:E4435)*(E4436=E$1:E4435)))))</f>
        <v> </v>
      </c>
      <c r="L4436" s="26"/>
    </row>
    <row r="4437" spans="1:12">
      <c r="A4437" s="20" t="s">
        <v>1145</v>
      </c>
      <c r="E4437" s="21">
        <f>IF(D4437="?OLD","!!!","")</f>
        <v/>
      </c>
      <c r="F4437" s="22" t="str">
        <f>IF(OR(E4437="",E4437="!!!"),"",IF(NOT(ISNA(VLOOKUP(E4437,E$1:E4436,1,FALSE()))),"OLD",IF(AND(E4437&lt;&gt;"",E4437&lt;&gt;"!!!"),"NEW","")))</f>
        <v> </v>
      </c>
      <c r="G4437" s="23" t="str">
        <f>IF(OR(E4437="",E4437="!!!"),"",IF(OR(J4437=0,AND(J4437=1,K4437=1),AND(J4437=1,I4437="SBJ"),AND(J4437=1,I4437=0)),"?IN_FOCUS",IF(J4437&lt;=2,"?ACTIVATED",IF(J4437&lt;&gt;"","?FAMILIAR",IF(F4437="NEW",IF(ISNA(VLOOKUP(E4437,#REF!,1,FALSE())),"?TYPE_IDENTIFIABLE","?REFERENTIAL"),"_")))))</f>
        <v> </v>
      </c>
      <c r="H4437" s="24" t="str">
        <f>IF(J4437&lt;&gt;1,"",IF(I4437="SBJ","CB","?"))</f>
        <v> </v>
      </c>
      <c r="I4437" s="25" t="str">
        <f>IF(OR(E4437="",E4437="!!!",F4437="NEW"),"",INDEX(B4436:B$2,-1+SUMPRODUCT(MAX(ROW(E4436:E$2)*(E4437=E4436:E$2)))))</f>
        <v> </v>
      </c>
      <c r="J4437" s="25" t="str">
        <f>IF(OR(E4437="",E4437="!!!",F4437="NEW"),"",COUNTBLANK(OFFSET(A$1,,,SUMPRODUCT(MAX(ROW(E$2:E4437)*(E4437=E$2:E4437)))))-COUNTBLANK(OFFSET(A$1,,,SUMPRODUCT(MAX(ROW(E$1:E4436)*(E2=E$1:E4436))))))</f>
        <v> </v>
      </c>
      <c r="K4437" s="25" t="str">
        <f>IF(OR(E4437="",E4437="!!!",F4437="NEW"),"",INDEX(J$1:J4436,SUMPRODUCT(MAX(ROW(E$1:E4436)*(E4437=E$1:E4436)))))</f>
        <v> </v>
      </c>
      <c r="L4437" s="26"/>
    </row>
    <row r="4438" spans="1:12">
      <c r="A4438" s="20"/>
    </row>
    <row r="4439" spans="1:12">
      <c r="A4439" s="20" t="s">
        <v>3059</v>
      </c>
    </row>
    <row r="4440" spans="1:12">
      <c r="A4440" s="20" t="s">
        <v>1406</v>
      </c>
      <c r="E4440" s="21">
        <f>IF(D4440="?OLD","!!!","")</f>
        <v/>
      </c>
      <c r="F4440" s="22" t="str">
        <f>IF(OR(E4440="",E4440="!!!"),"",IF(NOT(ISNA(VLOOKUP(E4440,E$1:E4439,1,FALSE()))),"OLD",IF(AND(E4440&lt;&gt;"",E4440&lt;&gt;"!!!"),"NEW","")))</f>
        <v> </v>
      </c>
      <c r="G4440" s="23" t="str">
        <f>IF(OR(E4440="",E4440="!!!"),"",IF(OR(J4440=0,AND(J4440=1,K4440=1),AND(J4440=1,I4440="SBJ"),AND(J4440=1,I4440=0)),"?IN_FOCUS",IF(J4440&lt;=2,"?ACTIVATED",IF(J4440&lt;&gt;"","?FAMILIAR",IF(F4440="NEW",IF(ISNA(VLOOKUP(E4440,#REF!,1,FALSE())),"?TYPE_IDENTIFIABLE","?REFERENTIAL"),"_")))))</f>
        <v> </v>
      </c>
      <c r="H4440" s="24" t="str">
        <f>IF(J4440&lt;&gt;1,"",IF(I4440="SBJ","CB","?"))</f>
        <v> </v>
      </c>
      <c r="I4440" s="25" t="str">
        <f>IF(OR(E4440="",E4440="!!!",F4440="NEW"),"",INDEX(B4439:B$2,-1+SUMPRODUCT(MAX(ROW(E4439:E$2)*(E4440=E4439:E$2)))))</f>
        <v> </v>
      </c>
      <c r="J4440" s="25" t="str">
        <f>IF(OR(E4440="",E4440="!!!",F4440="NEW"),"",COUNTBLANK(OFFSET(A$1,,,SUMPRODUCT(MAX(ROW(E$2:E4440)*(E4440=E$2:E4440)))))-COUNTBLANK(OFFSET(A$1,,,SUMPRODUCT(MAX(ROW(E$1:E4439)*(E2=E$1:E4439))))))</f>
        <v> </v>
      </c>
      <c r="K4440" s="25" t="str">
        <f>IF(OR(E4440="",E4440="!!!",F4440="NEW"),"",INDEX(J$1:J4439,SUMPRODUCT(MAX(ROW(E$1:E4439)*(E4440=E$1:E4439)))))</f>
        <v> </v>
      </c>
      <c r="L4440" s="26"/>
    </row>
    <row r="4441" spans="1:12">
      <c r="A4441" s="20" t="s">
        <v>3060</v>
      </c>
      <c r="E4441" s="21">
        <f>IF(D4441="?OLD","!!!","")</f>
        <v/>
      </c>
      <c r="F4441" s="22" t="str">
        <f>IF(OR(E4441="",E4441="!!!"),"",IF(NOT(ISNA(VLOOKUP(E4441,E$1:E4440,1,FALSE()))),"OLD",IF(AND(E4441&lt;&gt;"",E4441&lt;&gt;"!!!"),"NEW","")))</f>
        <v> </v>
      </c>
      <c r="G4441" s="23" t="str">
        <f>IF(OR(E4441="",E4441="!!!"),"",IF(OR(J4441=0,AND(J4441=1,K4441=1),AND(J4441=1,I4441="SBJ"),AND(J4441=1,I4441=0)),"?IN_FOCUS",IF(J4441&lt;=2,"?ACTIVATED",IF(J4441&lt;&gt;"","?FAMILIAR",IF(F4441="NEW",IF(ISNA(VLOOKUP(E4441,#REF!,1,FALSE())),"?TYPE_IDENTIFIABLE","?REFERENTIAL"),"_")))))</f>
        <v> </v>
      </c>
      <c r="H4441" s="24" t="str">
        <f>IF(J4441&lt;&gt;1,"",IF(I4441="SBJ","CB","?"))</f>
        <v> </v>
      </c>
      <c r="I4441" s="25" t="str">
        <f>IF(OR(E4441="",E4441="!!!",F4441="NEW"),"",INDEX(B4440:B$2,-1+SUMPRODUCT(MAX(ROW(E4440:E$2)*(E4441=E4440:E$2)))))</f>
        <v> </v>
      </c>
      <c r="J4441" s="25" t="str">
        <f>IF(OR(E4441="",E4441="!!!",F4441="NEW"),"",COUNTBLANK(OFFSET(A$1,,,SUMPRODUCT(MAX(ROW(E$2:E4441)*(E4441=E$2:E4441)))))-COUNTBLANK(OFFSET(A$1,,,SUMPRODUCT(MAX(ROW(E$1:E4440)*(E2=E$1:E4440))))))</f>
        <v> </v>
      </c>
      <c r="K4441" s="25" t="str">
        <f>IF(OR(E4441="",E4441="!!!",F4441="NEW"),"",INDEX(J$1:J4440,SUMPRODUCT(MAX(ROW(E$1:E4440)*(E4441=E$1:E4440)))))</f>
        <v> </v>
      </c>
      <c r="L4441" s="26"/>
    </row>
    <row r="4442" spans="1:12">
      <c r="A4442" s="20" t="s">
        <v>1123</v>
      </c>
      <c r="E4442" s="21">
        <f>IF(D4442="?OLD","!!!","")</f>
        <v/>
      </c>
      <c r="F4442" s="22" t="str">
        <f>IF(OR(E4442="",E4442="!!!"),"",IF(NOT(ISNA(VLOOKUP(E4442,E$1:E4441,1,FALSE()))),"OLD",IF(AND(E4442&lt;&gt;"",E4442&lt;&gt;"!!!"),"NEW","")))</f>
        <v> </v>
      </c>
      <c r="G4442" s="23" t="str">
        <f>IF(OR(E4442="",E4442="!!!"),"",IF(OR(J4442=0,AND(J4442=1,K4442=1),AND(J4442=1,I4442="SBJ"),AND(J4442=1,I4442=0)),"?IN_FOCUS",IF(J4442&lt;=2,"?ACTIVATED",IF(J4442&lt;&gt;"","?FAMILIAR",IF(F4442="NEW",IF(ISNA(VLOOKUP(E4442,#REF!,1,FALSE())),"?TYPE_IDENTIFIABLE","?REFERENTIAL"),"_")))))</f>
        <v> </v>
      </c>
      <c r="H4442" s="24" t="str">
        <f>IF(J4442&lt;&gt;1,"",IF(I4442="SBJ","CB","?"))</f>
        <v> </v>
      </c>
      <c r="I4442" s="25" t="str">
        <f>IF(OR(E4442="",E4442="!!!",F4442="NEW"),"",INDEX(B4441:B$2,-1+SUMPRODUCT(MAX(ROW(E4441:E$2)*(E4442=E4441:E$2)))))</f>
        <v> </v>
      </c>
      <c r="J4442" s="25" t="str">
        <f>IF(OR(E4442="",E4442="!!!",F4442="NEW"),"",COUNTBLANK(OFFSET(A$1,,,SUMPRODUCT(MAX(ROW(E$2:E4442)*(E4442=E$2:E4442)))))-COUNTBLANK(OFFSET(A$1,,,SUMPRODUCT(MAX(ROW(E$1:E4441)*(E2=E$1:E4441))))))</f>
        <v> </v>
      </c>
      <c r="K4442" s="25" t="str">
        <f>IF(OR(E4442="",E4442="!!!",F4442="NEW"),"",INDEX(J$1:J4441,SUMPRODUCT(MAX(ROW(E$1:E4441)*(E4442=E$1:E4441)))))</f>
        <v> </v>
      </c>
      <c r="L4442" s="26"/>
    </row>
    <row r="4443" spans="1:12">
      <c r="A4443" s="20" t="s">
        <v>135</v>
      </c>
      <c r="E4443" s="21">
        <f>IF(D4443="?OLD","!!!","")</f>
        <v/>
      </c>
      <c r="F4443" s="22" t="str">
        <f>IF(OR(E4443="",E4443="!!!"),"",IF(NOT(ISNA(VLOOKUP(E4443,E$1:E4442,1,FALSE()))),"OLD",IF(AND(E4443&lt;&gt;"",E4443&lt;&gt;"!!!"),"NEW","")))</f>
        <v> </v>
      </c>
      <c r="G4443" s="23" t="str">
        <f>IF(OR(E4443="",E4443="!!!"),"",IF(OR(J4443=0,AND(J4443=1,K4443=1),AND(J4443=1,I4443="SBJ"),AND(J4443=1,I4443=0)),"?IN_FOCUS",IF(J4443&lt;=2,"?ACTIVATED",IF(J4443&lt;&gt;"","?FAMILIAR",IF(F4443="NEW",IF(ISNA(VLOOKUP(E4443,#REF!,1,FALSE())),"?TYPE_IDENTIFIABLE","?REFERENTIAL"),"_")))))</f>
        <v> </v>
      </c>
      <c r="H4443" s="24" t="str">
        <f>IF(J4443&lt;&gt;1,"",IF(I4443="SBJ","CB","?"))</f>
        <v> </v>
      </c>
      <c r="I4443" s="25" t="str">
        <f>IF(OR(E4443="",E4443="!!!",F4443="NEW"),"",INDEX(B4442:B$2,-1+SUMPRODUCT(MAX(ROW(E4442:E$2)*(E4443=E4442:E$2)))))</f>
        <v> </v>
      </c>
      <c r="J4443" s="25" t="str">
        <f>IF(OR(E4443="",E4443="!!!",F4443="NEW"),"",COUNTBLANK(OFFSET(A$1,,,SUMPRODUCT(MAX(ROW(E$2:E4443)*(E4443=E$2:E4443)))))-COUNTBLANK(OFFSET(A$1,,,SUMPRODUCT(MAX(ROW(E$1:E4442)*(E2=E$1:E4442))))))</f>
        <v> </v>
      </c>
      <c r="K4443" s="25" t="str">
        <f>IF(OR(E4443="",E4443="!!!",F4443="NEW"),"",INDEX(J$1:J4442,SUMPRODUCT(MAX(ROW(E$1:E4442)*(E4443=E$1:E4442)))))</f>
        <v> </v>
      </c>
      <c r="L4443" s="26"/>
    </row>
    <row r="4444" spans="1:12">
      <c r="A4444" s="20" t="s">
        <v>3061</v>
      </c>
      <c r="E4444" s="21">
        <f>IF(D4444="?OLD","!!!","")</f>
        <v/>
      </c>
      <c r="F4444" s="22" t="str">
        <f>IF(OR(E4444="",E4444="!!!"),"",IF(NOT(ISNA(VLOOKUP(E4444,E$1:E4443,1,FALSE()))),"OLD",IF(AND(E4444&lt;&gt;"",E4444&lt;&gt;"!!!"),"NEW","")))</f>
        <v> </v>
      </c>
      <c r="G4444" s="23" t="str">
        <f>IF(OR(E4444="",E4444="!!!"),"",IF(OR(J4444=0,AND(J4444=1,K4444=1),AND(J4444=1,I4444="SBJ"),AND(J4444=1,I4444=0)),"?IN_FOCUS",IF(J4444&lt;=2,"?ACTIVATED",IF(J4444&lt;&gt;"","?FAMILIAR",IF(F4444="NEW",IF(ISNA(VLOOKUP(E4444,#REF!,1,FALSE())),"?TYPE_IDENTIFIABLE","?REFERENTIAL"),"_")))))</f>
        <v> </v>
      </c>
      <c r="H4444" s="24" t="str">
        <f>IF(J4444&lt;&gt;1,"",IF(I4444="SBJ","CB","?"))</f>
        <v> </v>
      </c>
      <c r="I4444" s="25" t="str">
        <f>IF(OR(E4444="",E4444="!!!",F4444="NEW"),"",INDEX(B4443:B$2,-1+SUMPRODUCT(MAX(ROW(E4443:E$2)*(E4444=E4443:E$2)))))</f>
        <v> </v>
      </c>
      <c r="J4444" s="25" t="str">
        <f>IF(OR(E4444="",E4444="!!!",F4444="NEW"),"",COUNTBLANK(OFFSET(A$1,,,SUMPRODUCT(MAX(ROW(E$2:E4444)*(E4444=E$2:E4444)))))-COUNTBLANK(OFFSET(A$1,,,SUMPRODUCT(MAX(ROW(E$1:E4443)*(E2=E$1:E4443))))))</f>
        <v> </v>
      </c>
      <c r="K4444" s="25" t="str">
        <f>IF(OR(E4444="",E4444="!!!",F4444="NEW"),"",INDEX(J$1:J4443,SUMPRODUCT(MAX(ROW(E$1:E4443)*(E4444=E$1:E4443)))))</f>
        <v> </v>
      </c>
      <c r="L4444" s="26"/>
    </row>
    <row r="4445" spans="1:12">
      <c r="A4445" s="20" t="s">
        <v>3062</v>
      </c>
      <c r="B4445" s="27" t="s">
        <v>1122</v>
      </c>
      <c r="E4445" s="21">
        <f>IF(D4445="?OLD","!!!","")</f>
        <v/>
      </c>
      <c r="F4445" s="22" t="str">
        <f>IF(OR(E4445="",E4445="!!!"),"",IF(NOT(ISNA(VLOOKUP(E4445,E$1:E4444,1,FALSE()))),"OLD",IF(AND(E4445&lt;&gt;"",E4445&lt;&gt;"!!!"),"NEW","")))</f>
        <v> </v>
      </c>
      <c r="G4445" s="23" t="str">
        <f>IF(OR(E4445="",E4445="!!!"),"",IF(OR(J4445=0,AND(J4445=1,K4445=1),AND(J4445=1,I4445="SBJ"),AND(J4445=1,I4445=0)),"?IN_FOCUS",IF(J4445&lt;=2,"?ACTIVATED",IF(J4445&lt;&gt;"","?FAMILIAR",IF(F4445="NEW",IF(ISNA(VLOOKUP(E4445,#REF!,1,FALSE())),"?TYPE_IDENTIFIABLE","?REFERENTIAL"),"_")))))</f>
        <v> </v>
      </c>
      <c r="H4445" s="24" t="str">
        <f>IF(J4445&lt;&gt;1,"",IF(I4445="SBJ","CB","?"))</f>
        <v> </v>
      </c>
      <c r="I4445" s="25" t="str">
        <f>IF(OR(E4445="",E4445="!!!",F4445="NEW"),"",INDEX(B4444:B$2,-1+SUMPRODUCT(MAX(ROW(E4444:E$2)*(E4445=E4444:E$2)))))</f>
        <v> </v>
      </c>
      <c r="J4445" s="25" t="str">
        <f>IF(OR(E4445="",E4445="!!!",F4445="NEW"),"",COUNTBLANK(OFFSET(A$1,,,SUMPRODUCT(MAX(ROW(E$2:E4445)*(E4445=E$2:E4445)))))-COUNTBLANK(OFFSET(A$1,,,SUMPRODUCT(MAX(ROW(E$1:E4444)*(E2=E$1:E4444))))))</f>
        <v> </v>
      </c>
      <c r="K4445" s="25" t="str">
        <f>IF(OR(E4445="",E4445="!!!",F4445="NEW"),"",INDEX(J$1:J4444,SUMPRODUCT(MAX(ROW(E$1:E4444)*(E4445=E$1:E4444)))))</f>
        <v> </v>
      </c>
      <c r="L4445" s="26"/>
    </row>
    <row r="4446" spans="1:12">
      <c r="A4446" s="20" t="s">
        <v>3063</v>
      </c>
      <c r="E4446" s="21">
        <f>IF(D4446="?OLD","!!!","")</f>
        <v/>
      </c>
      <c r="F4446" s="22" t="str">
        <f>IF(OR(E4446="",E4446="!!!"),"",IF(NOT(ISNA(VLOOKUP(E4446,E$1:E4445,1,FALSE()))),"OLD",IF(AND(E4446&lt;&gt;"",E4446&lt;&gt;"!!!"),"NEW","")))</f>
        <v> </v>
      </c>
      <c r="G4446" s="23" t="str">
        <f>IF(OR(E4446="",E4446="!!!"),"",IF(OR(J4446=0,AND(J4446=1,K4446=1),AND(J4446=1,I4446="SBJ"),AND(J4446=1,I4446=0)),"?IN_FOCUS",IF(J4446&lt;=2,"?ACTIVATED",IF(J4446&lt;&gt;"","?FAMILIAR",IF(F4446="NEW",IF(ISNA(VLOOKUP(E4446,#REF!,1,FALSE())),"?TYPE_IDENTIFIABLE","?REFERENTIAL"),"_")))))</f>
        <v> </v>
      </c>
      <c r="H4446" s="24" t="str">
        <f>IF(J4446&lt;&gt;1,"",IF(I4446="SBJ","CB","?"))</f>
        <v> </v>
      </c>
      <c r="I4446" s="25" t="str">
        <f>IF(OR(E4446="",E4446="!!!",F4446="NEW"),"",INDEX(B4445:B$2,-1+SUMPRODUCT(MAX(ROW(E4445:E$2)*(E4446=E4445:E$2)))))</f>
        <v> </v>
      </c>
      <c r="J4446" s="25" t="str">
        <f>IF(OR(E4446="",E4446="!!!",F4446="NEW"),"",COUNTBLANK(OFFSET(A$1,,,SUMPRODUCT(MAX(ROW(E$2:E4446)*(E4446=E$2:E4446)))))-COUNTBLANK(OFFSET(A$1,,,SUMPRODUCT(MAX(ROW(E$1:E4445)*(E2=E$1:E4445))))))</f>
        <v> </v>
      </c>
      <c r="K4446" s="25" t="str">
        <f>IF(OR(E4446="",E4446="!!!",F4446="NEW"),"",INDEX(J$1:J4445,SUMPRODUCT(MAX(ROW(E$1:E4445)*(E4446=E$1:E4445)))))</f>
        <v> </v>
      </c>
      <c r="L4446" s="26"/>
    </row>
    <row r="4447" spans="1:12">
      <c r="A4447" s="20" t="s">
        <v>3064</v>
      </c>
      <c r="B4447" s="27" t="s">
        <v>1122</v>
      </c>
      <c r="E4447" s="21">
        <f>IF(D4447="?OLD","!!!","")</f>
        <v/>
      </c>
      <c r="F4447" s="22" t="str">
        <f>IF(OR(E4447="",E4447="!!!"),"",IF(NOT(ISNA(VLOOKUP(E4447,E$1:E4446,1,FALSE()))),"OLD",IF(AND(E4447&lt;&gt;"",E4447&lt;&gt;"!!!"),"NEW","")))</f>
        <v> </v>
      </c>
      <c r="G4447" s="23" t="str">
        <f>IF(OR(E4447="",E4447="!!!"),"",IF(OR(J4447=0,AND(J4447=1,K4447=1),AND(J4447=1,I4447="SBJ"),AND(J4447=1,I4447=0)),"?IN_FOCUS",IF(J4447&lt;=2,"?ACTIVATED",IF(J4447&lt;&gt;"","?FAMILIAR",IF(F4447="NEW",IF(ISNA(VLOOKUP(E4447,#REF!,1,FALSE())),"?TYPE_IDENTIFIABLE","?REFERENTIAL"),"_")))))</f>
        <v> </v>
      </c>
      <c r="H4447" s="24" t="str">
        <f>IF(J4447&lt;&gt;1,"",IF(I4447="SBJ","CB","?"))</f>
        <v> </v>
      </c>
      <c r="I4447" s="25" t="str">
        <f>IF(OR(E4447="",E4447="!!!",F4447="NEW"),"",INDEX(B4446:B$2,-1+SUMPRODUCT(MAX(ROW(E4446:E$2)*(E4447=E4446:E$2)))))</f>
        <v> </v>
      </c>
      <c r="J4447" s="25" t="str">
        <f>IF(OR(E4447="",E4447="!!!",F4447="NEW"),"",COUNTBLANK(OFFSET(A$1,,,SUMPRODUCT(MAX(ROW(E$2:E4447)*(E4447=E$2:E4447)))))-COUNTBLANK(OFFSET(A$1,,,SUMPRODUCT(MAX(ROW(E$1:E4446)*(E2=E$1:E4446))))))</f>
        <v> </v>
      </c>
      <c r="K4447" s="25" t="str">
        <f>IF(OR(E4447="",E4447="!!!",F4447="NEW"),"",INDEX(J$1:J4446,SUMPRODUCT(MAX(ROW(E$1:E4446)*(E4447=E$1:E4446)))))</f>
        <v> </v>
      </c>
      <c r="L4447" s="26"/>
    </row>
    <row r="4448" spans="1:12">
      <c r="A4448" s="20" t="s">
        <v>3065</v>
      </c>
      <c r="E4448" s="21">
        <f>IF(D4448="?OLD","!!!","")</f>
        <v/>
      </c>
      <c r="F4448" s="22" t="str">
        <f>IF(OR(E4448="",E4448="!!!"),"",IF(NOT(ISNA(VLOOKUP(E4448,E$1:E4447,1,FALSE()))),"OLD",IF(AND(E4448&lt;&gt;"",E4448&lt;&gt;"!!!"),"NEW","")))</f>
        <v> </v>
      </c>
      <c r="G4448" s="23" t="str">
        <f>IF(OR(E4448="",E4448="!!!"),"",IF(OR(J4448=0,AND(J4448=1,K4448=1),AND(J4448=1,I4448="SBJ"),AND(J4448=1,I4448=0)),"?IN_FOCUS",IF(J4448&lt;=2,"?ACTIVATED",IF(J4448&lt;&gt;"","?FAMILIAR",IF(F4448="NEW",IF(ISNA(VLOOKUP(E4448,#REF!,1,FALSE())),"?TYPE_IDENTIFIABLE","?REFERENTIAL"),"_")))))</f>
        <v> </v>
      </c>
      <c r="H4448" s="24" t="str">
        <f>IF(J4448&lt;&gt;1,"",IF(I4448="SBJ","CB","?"))</f>
        <v> </v>
      </c>
      <c r="I4448" s="25" t="str">
        <f>IF(OR(E4448="",E4448="!!!",F4448="NEW"),"",INDEX(B4447:B$2,-1+SUMPRODUCT(MAX(ROW(E4447:E$2)*(E4448=E4447:E$2)))))</f>
        <v> </v>
      </c>
      <c r="J4448" s="25" t="str">
        <f>IF(OR(E4448="",E4448="!!!",F4448="NEW"),"",COUNTBLANK(OFFSET(A$1,,,SUMPRODUCT(MAX(ROW(E$2:E4448)*(E4448=E$2:E4448)))))-COUNTBLANK(OFFSET(A$1,,,SUMPRODUCT(MAX(ROW(E$1:E4447)*(E2=E$1:E4447))))))</f>
        <v> </v>
      </c>
      <c r="K4448" s="25" t="str">
        <f>IF(OR(E4448="",E4448="!!!",F4448="NEW"),"",INDEX(J$1:J4447,SUMPRODUCT(MAX(ROW(E$1:E4447)*(E4448=E$1:E4447)))))</f>
        <v> </v>
      </c>
      <c r="L4448" s="26"/>
    </row>
    <row r="4449" spans="1:12">
      <c r="A4449" s="20" t="s">
        <v>1239</v>
      </c>
      <c r="E4449" s="21">
        <f>IF(D4449="?OLD","!!!","")</f>
        <v/>
      </c>
      <c r="F4449" s="22" t="str">
        <f>IF(OR(E4449="",E4449="!!!"),"",IF(NOT(ISNA(VLOOKUP(E4449,E$1:E4448,1,FALSE()))),"OLD",IF(AND(E4449&lt;&gt;"",E4449&lt;&gt;"!!!"),"NEW","")))</f>
        <v> </v>
      </c>
      <c r="G4449" s="23" t="str">
        <f>IF(OR(E4449="",E4449="!!!"),"",IF(OR(J4449=0,AND(J4449=1,K4449=1),AND(J4449=1,I4449="SBJ"),AND(J4449=1,I4449=0)),"?IN_FOCUS",IF(J4449&lt;=2,"?ACTIVATED",IF(J4449&lt;&gt;"","?FAMILIAR",IF(F4449="NEW",IF(ISNA(VLOOKUP(E4449,#REF!,1,FALSE())),"?TYPE_IDENTIFIABLE","?REFERENTIAL"),"_")))))</f>
        <v> </v>
      </c>
      <c r="H4449" s="24" t="str">
        <f>IF(J4449&lt;&gt;1,"",IF(I4449="SBJ","CB","?"))</f>
        <v> </v>
      </c>
      <c r="I4449" s="25" t="str">
        <f>IF(OR(E4449="",E4449="!!!",F4449="NEW"),"",INDEX(B4448:B$2,-1+SUMPRODUCT(MAX(ROW(E4448:E$2)*(E4449=E4448:E$2)))))</f>
        <v> </v>
      </c>
      <c r="J4449" s="25" t="str">
        <f>IF(OR(E4449="",E4449="!!!",F4449="NEW"),"",COUNTBLANK(OFFSET(A$1,,,SUMPRODUCT(MAX(ROW(E$2:E4449)*(E4449=E$2:E4449)))))-COUNTBLANK(OFFSET(A$1,,,SUMPRODUCT(MAX(ROW(E$1:E4448)*(E2=E$1:E4448))))))</f>
        <v> </v>
      </c>
      <c r="K4449" s="25" t="str">
        <f>IF(OR(E4449="",E4449="!!!",F4449="NEW"),"",INDEX(J$1:J4448,SUMPRODUCT(MAX(ROW(E$1:E4448)*(E4449=E$1:E4448)))))</f>
        <v> </v>
      </c>
      <c r="L4449" s="26"/>
    </row>
    <row r="4450" spans="1:12">
      <c r="A4450" s="20" t="s">
        <v>1123</v>
      </c>
      <c r="E4450" s="21">
        <f>IF(D4450="?OLD","!!!","")</f>
        <v/>
      </c>
      <c r="F4450" s="22" t="str">
        <f>IF(OR(E4450="",E4450="!!!"),"",IF(NOT(ISNA(VLOOKUP(E4450,E$1:E4449,1,FALSE()))),"OLD",IF(AND(E4450&lt;&gt;"",E4450&lt;&gt;"!!!"),"NEW","")))</f>
        <v> </v>
      </c>
      <c r="G4450" s="23" t="str">
        <f>IF(OR(E4450="",E4450="!!!"),"",IF(OR(J4450=0,AND(J4450=1,K4450=1),AND(J4450=1,I4450="SBJ"),AND(J4450=1,I4450=0)),"?IN_FOCUS",IF(J4450&lt;=2,"?ACTIVATED",IF(J4450&lt;&gt;"","?FAMILIAR",IF(F4450="NEW",IF(ISNA(VLOOKUP(E4450,#REF!,1,FALSE())),"?TYPE_IDENTIFIABLE","?REFERENTIAL"),"_")))))</f>
        <v> </v>
      </c>
      <c r="H4450" s="24" t="str">
        <f>IF(J4450&lt;&gt;1,"",IF(I4450="SBJ","CB","?"))</f>
        <v> </v>
      </c>
      <c r="I4450" s="25" t="str">
        <f>IF(OR(E4450="",E4450="!!!",F4450="NEW"),"",INDEX(B4449:B$2,-1+SUMPRODUCT(MAX(ROW(E4449:E$2)*(E4450=E4449:E$2)))))</f>
        <v> </v>
      </c>
      <c r="J4450" s="25" t="str">
        <f>IF(OR(E4450="",E4450="!!!",F4450="NEW"),"",COUNTBLANK(OFFSET(A$1,,,SUMPRODUCT(MAX(ROW(E$2:E4450)*(E4450=E$2:E4450)))))-COUNTBLANK(OFFSET(A$1,,,SUMPRODUCT(MAX(ROW(E$1:E4449)*(E2=E$1:E4449))))))</f>
        <v> </v>
      </c>
      <c r="K4450" s="25" t="str">
        <f>IF(OR(E4450="",E4450="!!!",F4450="NEW"),"",INDEX(J$1:J4449,SUMPRODUCT(MAX(ROW(E$1:E4449)*(E4450=E$1:E4449)))))</f>
        <v> </v>
      </c>
      <c r="L4450" s="26"/>
    </row>
    <row r="4451" spans="1:12">
      <c r="A4451" s="20" t="s">
        <v>3066</v>
      </c>
      <c r="E4451" s="21">
        <f>IF(D4451="?OLD","!!!","")</f>
        <v/>
      </c>
      <c r="F4451" s="22" t="str">
        <f>IF(OR(E4451="",E4451="!!!"),"",IF(NOT(ISNA(VLOOKUP(E4451,E$1:E4450,1,FALSE()))),"OLD",IF(AND(E4451&lt;&gt;"",E4451&lt;&gt;"!!!"),"NEW","")))</f>
        <v> </v>
      </c>
      <c r="G4451" s="23" t="str">
        <f>IF(OR(E4451="",E4451="!!!"),"",IF(OR(J4451=0,AND(J4451=1,K4451=1),AND(J4451=1,I4451="SBJ"),AND(J4451=1,I4451=0)),"?IN_FOCUS",IF(J4451&lt;=2,"?ACTIVATED",IF(J4451&lt;&gt;"","?FAMILIAR",IF(F4451="NEW",IF(ISNA(VLOOKUP(E4451,#REF!,1,FALSE())),"?TYPE_IDENTIFIABLE","?REFERENTIAL"),"_")))))</f>
        <v> </v>
      </c>
      <c r="H4451" s="24" t="str">
        <f>IF(J4451&lt;&gt;1,"",IF(I4451="SBJ","CB","?"))</f>
        <v> </v>
      </c>
      <c r="I4451" s="25" t="str">
        <f>IF(OR(E4451="",E4451="!!!",F4451="NEW"),"",INDEX(B4450:B$2,-1+SUMPRODUCT(MAX(ROW(E4450:E$2)*(E4451=E4450:E$2)))))</f>
        <v> </v>
      </c>
      <c r="J4451" s="25" t="str">
        <f>IF(OR(E4451="",E4451="!!!",F4451="NEW"),"",COUNTBLANK(OFFSET(A$1,,,SUMPRODUCT(MAX(ROW(E$2:E4451)*(E4451=E$2:E4451)))))-COUNTBLANK(OFFSET(A$1,,,SUMPRODUCT(MAX(ROW(E$1:E4450)*(E2=E$1:E4450))))))</f>
        <v> </v>
      </c>
      <c r="K4451" s="25" t="str">
        <f>IF(OR(E4451="",E4451="!!!",F4451="NEW"),"",INDEX(J$1:J4450,SUMPRODUCT(MAX(ROW(E$1:E4450)*(E4451=E$1:E4450)))))</f>
        <v> </v>
      </c>
      <c r="L4451" s="26"/>
    </row>
    <row r="4452" spans="1:12">
      <c r="A4452" s="20" t="s">
        <v>1123</v>
      </c>
      <c r="E4452" s="21">
        <f>IF(D4452="?OLD","!!!","")</f>
        <v/>
      </c>
      <c r="F4452" s="22" t="str">
        <f>IF(OR(E4452="",E4452="!!!"),"",IF(NOT(ISNA(VLOOKUP(E4452,E$1:E4451,1,FALSE()))),"OLD",IF(AND(E4452&lt;&gt;"",E4452&lt;&gt;"!!!"),"NEW","")))</f>
        <v> </v>
      </c>
      <c r="G4452" s="23" t="str">
        <f>IF(OR(E4452="",E4452="!!!"),"",IF(OR(J4452=0,AND(J4452=1,K4452=1),AND(J4452=1,I4452="SBJ"),AND(J4452=1,I4452=0)),"?IN_FOCUS",IF(J4452&lt;=2,"?ACTIVATED",IF(J4452&lt;&gt;"","?FAMILIAR",IF(F4452="NEW",IF(ISNA(VLOOKUP(E4452,#REF!,1,FALSE())),"?TYPE_IDENTIFIABLE","?REFERENTIAL"),"_")))))</f>
        <v> </v>
      </c>
      <c r="H4452" s="24" t="str">
        <f>IF(J4452&lt;&gt;1,"",IF(I4452="SBJ","CB","?"))</f>
        <v> </v>
      </c>
      <c r="I4452" s="25" t="str">
        <f>IF(OR(E4452="",E4452="!!!",F4452="NEW"),"",INDEX(B4451:B$2,-1+SUMPRODUCT(MAX(ROW(E4451:E$2)*(E4452=E4451:E$2)))))</f>
        <v> </v>
      </c>
      <c r="J4452" s="25" t="str">
        <f>IF(OR(E4452="",E4452="!!!",F4452="NEW"),"",COUNTBLANK(OFFSET(A$1,,,SUMPRODUCT(MAX(ROW(E$2:E4452)*(E4452=E$2:E4452)))))-COUNTBLANK(OFFSET(A$1,,,SUMPRODUCT(MAX(ROW(E$1:E4451)*(E2=E$1:E4451))))))</f>
        <v> </v>
      </c>
      <c r="K4452" s="25" t="str">
        <f>IF(OR(E4452="",E4452="!!!",F4452="NEW"),"",INDEX(J$1:J4451,SUMPRODUCT(MAX(ROW(E$1:E4451)*(E4452=E$1:E4451)))))</f>
        <v> </v>
      </c>
      <c r="L4452" s="26"/>
    </row>
    <row r="4453" spans="1:12">
      <c r="A4453" s="20" t="s">
        <v>1128</v>
      </c>
      <c r="E4453" s="21">
        <f>IF(D4453="?OLD","!!!","")</f>
        <v/>
      </c>
      <c r="F4453" s="22" t="str">
        <f>IF(OR(E4453="",E4453="!!!"),"",IF(NOT(ISNA(VLOOKUP(E4453,E$1:E4452,1,FALSE()))),"OLD",IF(AND(E4453&lt;&gt;"",E4453&lt;&gt;"!!!"),"NEW","")))</f>
        <v> </v>
      </c>
      <c r="G4453" s="23" t="str">
        <f>IF(OR(E4453="",E4453="!!!"),"",IF(OR(J4453=0,AND(J4453=1,K4453=1),AND(J4453=1,I4453="SBJ"),AND(J4453=1,I4453=0)),"?IN_FOCUS",IF(J4453&lt;=2,"?ACTIVATED",IF(J4453&lt;&gt;"","?FAMILIAR",IF(F4453="NEW",IF(ISNA(VLOOKUP(E4453,#REF!,1,FALSE())),"?TYPE_IDENTIFIABLE","?REFERENTIAL"),"_")))))</f>
        <v> </v>
      </c>
      <c r="H4453" s="24" t="str">
        <f>IF(J4453&lt;&gt;1,"",IF(I4453="SBJ","CB","?"))</f>
        <v> </v>
      </c>
      <c r="I4453" s="25" t="str">
        <f>IF(OR(E4453="",E4453="!!!",F4453="NEW"),"",INDEX(B4452:B$2,-1+SUMPRODUCT(MAX(ROW(E4452:E$2)*(E4453=E4452:E$2)))))</f>
        <v> </v>
      </c>
      <c r="J4453" s="25" t="str">
        <f>IF(OR(E4453="",E4453="!!!",F4453="NEW"),"",COUNTBLANK(OFFSET(A$1,,,SUMPRODUCT(MAX(ROW(E$2:E4453)*(E4453=E$2:E4453)))))-COUNTBLANK(OFFSET(A$1,,,SUMPRODUCT(MAX(ROW(E$1:E4452)*(E2=E$1:E4452))))))</f>
        <v> </v>
      </c>
      <c r="K4453" s="25" t="str">
        <f>IF(OR(E4453="",E4453="!!!",F4453="NEW"),"",INDEX(J$1:J4452,SUMPRODUCT(MAX(ROW(E$1:E4452)*(E4453=E$1:E4452)))))</f>
        <v> </v>
      </c>
      <c r="L4453" s="26"/>
    </row>
    <row r="4454" spans="1:12">
      <c r="A4454" s="20" t="s">
        <v>1691</v>
      </c>
      <c r="B4454" s="27" t="s">
        <v>1132</v>
      </c>
      <c r="C4454" s="27" t="s">
        <v>1142</v>
      </c>
      <c r="D4454" s="27" t="s">
        <v>1105</v>
      </c>
      <c r="E4454" s="21">
        <f>IF(D4454="?OLD","!!!","")</f>
        <v/>
      </c>
      <c r="F4454" s="22" t="str">
        <f>IF(OR(E4454="",E4454="!!!"),"",IF(NOT(ISNA(VLOOKUP(E4454,E$1:E4453,1,FALSE()))),"OLD",IF(AND(E4454&lt;&gt;"",E4454&lt;&gt;"!!!"),"NEW","")))</f>
        <v> </v>
      </c>
      <c r="G4454" s="23" t="str">
        <f>IF(OR(E4454="",E4454="!!!"),"",IF(OR(J4454=0,AND(J4454=1,K4454=1),AND(J4454=1,I4454="SBJ"),AND(J4454=1,I4454=0)),"?IN_FOCUS",IF(J4454&lt;=2,"?ACTIVATED",IF(J4454&lt;&gt;"","?FAMILIAR",IF(F4454="NEW",IF(ISNA(VLOOKUP(E4454,#REF!,1,FALSE())),"?TYPE_IDENTIFIABLE","?REFERENTIAL"),"_")))))</f>
        <v> </v>
      </c>
      <c r="H4454" s="24" t="str">
        <f>IF(J4454&lt;&gt;1,"",IF(I4454="SBJ","CB","?"))</f>
        <v> </v>
      </c>
      <c r="I4454" s="25" t="str">
        <f>IF(OR(E4454="",E4454="!!!",F4454="NEW"),"",INDEX(B4453:B$2,-1+SUMPRODUCT(MAX(ROW(E4453:E$2)*(E4454=E4453:E$2)))))</f>
        <v> </v>
      </c>
      <c r="J4454" s="25" t="str">
        <f>IF(OR(E4454="",E4454="!!!",F4454="NEW"),"",COUNTBLANK(OFFSET(A$1,,,SUMPRODUCT(MAX(ROW(E$2:E4454)*(E4454=E$2:E4454)))))-COUNTBLANK(OFFSET(A$1,,,SUMPRODUCT(MAX(ROW(E$1:E4453)*(E2=E$1:E4453))))))</f>
        <v> </v>
      </c>
      <c r="K4454" s="25" t="str">
        <f>IF(OR(E4454="",E4454="!!!",F4454="NEW"),"",INDEX(J$1:J4453,SUMPRODUCT(MAX(ROW(E$1:E4453)*(E4454=E$1:E4453)))))</f>
        <v> </v>
      </c>
      <c r="L4454" s="26"/>
    </row>
    <row r="4455" spans="1:12">
      <c r="A4455" s="20" t="s">
        <v>1511</v>
      </c>
      <c r="E4455" s="21">
        <f>IF(D4455="?OLD","!!!","")</f>
        <v/>
      </c>
      <c r="F4455" s="22" t="str">
        <f>IF(OR(E4455="",E4455="!!!"),"",IF(NOT(ISNA(VLOOKUP(E4455,E$1:E4454,1,FALSE()))),"OLD",IF(AND(E4455&lt;&gt;"",E4455&lt;&gt;"!!!"),"NEW","")))</f>
        <v> </v>
      </c>
      <c r="G4455" s="23" t="str">
        <f>IF(OR(E4455="",E4455="!!!"),"",IF(OR(J4455=0,AND(J4455=1,K4455=1),AND(J4455=1,I4455="SBJ"),AND(J4455=1,I4455=0)),"?IN_FOCUS",IF(J4455&lt;=2,"?ACTIVATED",IF(J4455&lt;&gt;"","?FAMILIAR",IF(F4455="NEW",IF(ISNA(VLOOKUP(E4455,#REF!,1,FALSE())),"?TYPE_IDENTIFIABLE","?REFERENTIAL"),"_")))))</f>
        <v> </v>
      </c>
      <c r="H4455" s="24" t="str">
        <f>IF(J4455&lt;&gt;1,"",IF(I4455="SBJ","CB","?"))</f>
        <v> </v>
      </c>
      <c r="I4455" s="25" t="str">
        <f>IF(OR(E4455="",E4455="!!!",F4455="NEW"),"",INDEX(B4454:B$2,-1+SUMPRODUCT(MAX(ROW(E4454:E$2)*(E4455=E4454:E$2)))))</f>
        <v> </v>
      </c>
      <c r="J4455" s="25" t="str">
        <f>IF(OR(E4455="",E4455="!!!",F4455="NEW"),"",COUNTBLANK(OFFSET(A$1,,,SUMPRODUCT(MAX(ROW(E$2:E4455)*(E4455=E$2:E4455)))))-COUNTBLANK(OFFSET(A$1,,,SUMPRODUCT(MAX(ROW(E$1:E4454)*(E2=E$1:E4454))))))</f>
        <v> </v>
      </c>
      <c r="K4455" s="25" t="str">
        <f>IF(OR(E4455="",E4455="!!!",F4455="NEW"),"",INDEX(J$1:J4454,SUMPRODUCT(MAX(ROW(E$1:E4454)*(E4455=E$1:E4454)))))</f>
        <v> </v>
      </c>
      <c r="L4455" s="26"/>
    </row>
    <row r="4456" spans="1:12">
      <c r="A4456" s="20" t="s">
        <v>1123</v>
      </c>
      <c r="E4456" s="21">
        <f>IF(D4456="?OLD","!!!","")</f>
        <v/>
      </c>
      <c r="F4456" s="22" t="str">
        <f>IF(OR(E4456="",E4456="!!!"),"",IF(NOT(ISNA(VLOOKUP(E4456,E$1:E4455,1,FALSE()))),"OLD",IF(AND(E4456&lt;&gt;"",E4456&lt;&gt;"!!!"),"NEW","")))</f>
        <v> </v>
      </c>
      <c r="G4456" s="23" t="str">
        <f>IF(OR(E4456="",E4456="!!!"),"",IF(OR(J4456=0,AND(J4456=1,K4456=1),AND(J4456=1,I4456="SBJ"),AND(J4456=1,I4456=0)),"?IN_FOCUS",IF(J4456&lt;=2,"?ACTIVATED",IF(J4456&lt;&gt;"","?FAMILIAR",IF(F4456="NEW",IF(ISNA(VLOOKUP(E4456,#REF!,1,FALSE())),"?TYPE_IDENTIFIABLE","?REFERENTIAL"),"_")))))</f>
        <v> </v>
      </c>
      <c r="H4456" s="24" t="str">
        <f>IF(J4456&lt;&gt;1,"",IF(I4456="SBJ","CB","?"))</f>
        <v> </v>
      </c>
      <c r="I4456" s="25" t="str">
        <f>IF(OR(E4456="",E4456="!!!",F4456="NEW"),"",INDEX(B4455:B$2,-1+SUMPRODUCT(MAX(ROW(E4455:E$2)*(E4456=E4455:E$2)))))</f>
        <v> </v>
      </c>
      <c r="J4456" s="25" t="str">
        <f>IF(OR(E4456="",E4456="!!!",F4456="NEW"),"",COUNTBLANK(OFFSET(A$1,,,SUMPRODUCT(MAX(ROW(E$2:E4456)*(E4456=E$2:E4456)))))-COUNTBLANK(OFFSET(A$1,,,SUMPRODUCT(MAX(ROW(E$1:E4455)*(E2=E$1:E4455))))))</f>
        <v> </v>
      </c>
      <c r="K4456" s="25" t="str">
        <f>IF(OR(E4456="",E4456="!!!",F4456="NEW"),"",INDEX(J$1:J4455,SUMPRODUCT(MAX(ROW(E$1:E4455)*(E4456=E$1:E4455)))))</f>
        <v> </v>
      </c>
      <c r="L4456" s="26"/>
    </row>
    <row r="4457" spans="1:12">
      <c r="A4457" s="20" t="s">
        <v>423</v>
      </c>
      <c r="E4457" s="21">
        <f>IF(D4457="?OLD","!!!","")</f>
        <v/>
      </c>
      <c r="F4457" s="22" t="str">
        <f>IF(OR(E4457="",E4457="!!!"),"",IF(NOT(ISNA(VLOOKUP(E4457,E$1:E4456,1,FALSE()))),"OLD",IF(AND(E4457&lt;&gt;"",E4457&lt;&gt;"!!!"),"NEW","")))</f>
        <v> </v>
      </c>
      <c r="G4457" s="23" t="str">
        <f>IF(OR(E4457="",E4457="!!!"),"",IF(OR(J4457=0,AND(J4457=1,K4457=1),AND(J4457=1,I4457="SBJ"),AND(J4457=1,I4457=0)),"?IN_FOCUS",IF(J4457&lt;=2,"?ACTIVATED",IF(J4457&lt;&gt;"","?FAMILIAR",IF(F4457="NEW",IF(ISNA(VLOOKUP(E4457,#REF!,1,FALSE())),"?TYPE_IDENTIFIABLE","?REFERENTIAL"),"_")))))</f>
        <v> </v>
      </c>
      <c r="H4457" s="24" t="str">
        <f>IF(J4457&lt;&gt;1,"",IF(I4457="SBJ","CB","?"))</f>
        <v> </v>
      </c>
      <c r="I4457" s="25" t="str">
        <f>IF(OR(E4457="",E4457="!!!",F4457="NEW"),"",INDEX(B4456:B$2,-1+SUMPRODUCT(MAX(ROW(E4456:E$2)*(E4457=E4456:E$2)))))</f>
        <v> </v>
      </c>
      <c r="J4457" s="25" t="str">
        <f>IF(OR(E4457="",E4457="!!!",F4457="NEW"),"",COUNTBLANK(OFFSET(A$1,,,SUMPRODUCT(MAX(ROW(E$2:E4457)*(E4457=E$2:E4457)))))-COUNTBLANK(OFFSET(A$1,,,SUMPRODUCT(MAX(ROW(E$1:E4456)*(E2=E$1:E4456))))))</f>
        <v> </v>
      </c>
      <c r="K4457" s="25" t="str">
        <f>IF(OR(E4457="",E4457="!!!",F4457="NEW"),"",INDEX(J$1:J4456,SUMPRODUCT(MAX(ROW(E$1:E4456)*(E4457=E$1:E4456)))))</f>
        <v> </v>
      </c>
      <c r="L4457" s="26"/>
    </row>
    <row r="4458" spans="1:12">
      <c r="A4458" s="20" t="s">
        <v>1128</v>
      </c>
      <c r="E4458" s="21">
        <f>IF(D4458="?OLD","!!!","")</f>
        <v/>
      </c>
      <c r="F4458" s="22" t="str">
        <f>IF(OR(E4458="",E4458="!!!"),"",IF(NOT(ISNA(VLOOKUP(E4458,E$1:E4457,1,FALSE()))),"OLD",IF(AND(E4458&lt;&gt;"",E4458&lt;&gt;"!!!"),"NEW","")))</f>
        <v> </v>
      </c>
      <c r="G4458" s="23" t="str">
        <f>IF(OR(E4458="",E4458="!!!"),"",IF(OR(J4458=0,AND(J4458=1,K4458=1),AND(J4458=1,I4458="SBJ"),AND(J4458=1,I4458=0)),"?IN_FOCUS",IF(J4458&lt;=2,"?ACTIVATED",IF(J4458&lt;&gt;"","?FAMILIAR",IF(F4458="NEW",IF(ISNA(VLOOKUP(E4458,#REF!,1,FALSE())),"?TYPE_IDENTIFIABLE","?REFERENTIAL"),"_")))))</f>
        <v> </v>
      </c>
      <c r="H4458" s="24" t="str">
        <f>IF(J4458&lt;&gt;1,"",IF(I4458="SBJ","CB","?"))</f>
        <v> </v>
      </c>
      <c r="I4458" s="25" t="str">
        <f>IF(OR(E4458="",E4458="!!!",F4458="NEW"),"",INDEX(B4457:B$2,-1+SUMPRODUCT(MAX(ROW(E4457:E$2)*(E4458=E4457:E$2)))))</f>
        <v> </v>
      </c>
      <c r="J4458" s="25" t="str">
        <f>IF(OR(E4458="",E4458="!!!",F4458="NEW"),"",COUNTBLANK(OFFSET(A$1,,,SUMPRODUCT(MAX(ROW(E$2:E4458)*(E4458=E$2:E4458)))))-COUNTBLANK(OFFSET(A$1,,,SUMPRODUCT(MAX(ROW(E$1:E4457)*(E2=E$1:E4457))))))</f>
        <v> </v>
      </c>
      <c r="K4458" s="25" t="str">
        <f>IF(OR(E4458="",E4458="!!!",F4458="NEW"),"",INDEX(J$1:J4457,SUMPRODUCT(MAX(ROW(E$1:E4457)*(E4458=E$1:E4457)))))</f>
        <v> </v>
      </c>
      <c r="L4458" s="26"/>
    </row>
    <row r="4459" spans="1:12">
      <c r="A4459" s="20" t="s">
        <v>1217</v>
      </c>
      <c r="B4459" s="27" t="s">
        <v>1870</v>
      </c>
      <c r="C4459" s="27" t="s">
        <v>1126</v>
      </c>
      <c r="D4459" s="27" t="s">
        <v>1105</v>
      </c>
      <c r="E4459" s="21">
        <f>IF(D4459="?OLD","!!!","")</f>
        <v/>
      </c>
      <c r="F4459" s="22" t="str">
        <f>IF(OR(E4459="",E4459="!!!"),"",IF(NOT(ISNA(VLOOKUP(E4459,E$1:E4458,1,FALSE()))),"OLD",IF(AND(E4459&lt;&gt;"",E4459&lt;&gt;"!!!"),"NEW","")))</f>
        <v> </v>
      </c>
      <c r="G4459" s="23" t="str">
        <f>IF(OR(E4459="",E4459="!!!"),"",IF(OR(J4459=0,AND(J4459=1,K4459=1),AND(J4459=1,I4459="SBJ"),AND(J4459=1,I4459=0)),"?IN_FOCUS",IF(J4459&lt;=2,"?ACTIVATED",IF(J4459&lt;&gt;"","?FAMILIAR",IF(F4459="NEW",IF(ISNA(VLOOKUP(E4459,#REF!,1,FALSE())),"?TYPE_IDENTIFIABLE","?REFERENTIAL"),"_")))))</f>
        <v> </v>
      </c>
      <c r="H4459" s="24" t="str">
        <f>IF(J4459&lt;&gt;1,"",IF(I4459="SBJ","CB","?"))</f>
        <v> </v>
      </c>
      <c r="I4459" s="25" t="str">
        <f>IF(OR(E4459="",E4459="!!!",F4459="NEW"),"",INDEX(B4458:B$2,-1+SUMPRODUCT(MAX(ROW(E4458:E$2)*(E4459=E4458:E$2)))))</f>
        <v> </v>
      </c>
      <c r="J4459" s="25" t="str">
        <f>IF(OR(E4459="",E4459="!!!",F4459="NEW"),"",COUNTBLANK(OFFSET(A$1,,,SUMPRODUCT(MAX(ROW(E$2:E4459)*(E4459=E$2:E4459)))))-COUNTBLANK(OFFSET(A$1,,,SUMPRODUCT(MAX(ROW(E$1:E4458)*(E2=E$1:E4458))))))</f>
        <v> </v>
      </c>
      <c r="K4459" s="25" t="str">
        <f>IF(OR(E4459="",E4459="!!!",F4459="NEW"),"",INDEX(J$1:J4458,SUMPRODUCT(MAX(ROW(E$1:E4458)*(E4459=E$1:E4458)))))</f>
        <v> </v>
      </c>
      <c r="L4459" s="26"/>
    </row>
    <row r="4460" spans="1:12">
      <c r="A4460" s="20" t="s">
        <v>1328</v>
      </c>
      <c r="E4460" s="21">
        <f>IF(D4460="?OLD","!!!","")</f>
        <v/>
      </c>
      <c r="F4460" s="22" t="str">
        <f>IF(OR(E4460="",E4460="!!!"),"",IF(NOT(ISNA(VLOOKUP(E4460,E$1:E4459,1,FALSE()))),"OLD",IF(AND(E4460&lt;&gt;"",E4460&lt;&gt;"!!!"),"NEW","")))</f>
        <v> </v>
      </c>
      <c r="G4460" s="23" t="str">
        <f>IF(OR(E4460="",E4460="!!!"),"",IF(OR(J4460=0,AND(J4460=1,K4460=1),AND(J4460=1,I4460="SBJ"),AND(J4460=1,I4460=0)),"?IN_FOCUS",IF(J4460&lt;=2,"?ACTIVATED",IF(J4460&lt;&gt;"","?FAMILIAR",IF(F4460="NEW",IF(ISNA(VLOOKUP(E4460,#REF!,1,FALSE())),"?TYPE_IDENTIFIABLE","?REFERENTIAL"),"_")))))</f>
        <v> </v>
      </c>
      <c r="H4460" s="24" t="str">
        <f>IF(J4460&lt;&gt;1,"",IF(I4460="SBJ","CB","?"))</f>
        <v> </v>
      </c>
      <c r="I4460" s="25" t="str">
        <f>IF(OR(E4460="",E4460="!!!",F4460="NEW"),"",INDEX(B4459:B$2,-1+SUMPRODUCT(MAX(ROW(E4459:E$2)*(E4460=E4459:E$2)))))</f>
        <v> </v>
      </c>
      <c r="J4460" s="25" t="str">
        <f>IF(OR(E4460="",E4460="!!!",F4460="NEW"),"",COUNTBLANK(OFFSET(A$1,,,SUMPRODUCT(MAX(ROW(E$2:E4460)*(E4460=E$2:E4460)))))-COUNTBLANK(OFFSET(A$1,,,SUMPRODUCT(MAX(ROW(E$1:E4459)*(E2=E$1:E4459))))))</f>
        <v> </v>
      </c>
      <c r="K4460" s="25" t="str">
        <f>IF(OR(E4460="",E4460="!!!",F4460="NEW"),"",INDEX(J$1:J4459,SUMPRODUCT(MAX(ROW(E$1:E4459)*(E4460=E$1:E4459)))))</f>
        <v> </v>
      </c>
      <c r="L4460" s="26"/>
    </row>
    <row r="4461" spans="1:12">
      <c r="A4461" s="20" t="s">
        <v>1218</v>
      </c>
      <c r="E4461" s="21">
        <f>IF(D4461="?OLD","!!!","")</f>
        <v/>
      </c>
      <c r="F4461" s="22" t="str">
        <f>IF(OR(E4461="",E4461="!!!"),"",IF(NOT(ISNA(VLOOKUP(E4461,E$1:E4460,1,FALSE()))),"OLD",IF(AND(E4461&lt;&gt;"",E4461&lt;&gt;"!!!"),"NEW","")))</f>
        <v> </v>
      </c>
      <c r="G4461" s="23" t="str">
        <f>IF(OR(E4461="",E4461="!!!"),"",IF(OR(J4461=0,AND(J4461=1,K4461=1),AND(J4461=1,I4461="SBJ"),AND(J4461=1,I4461=0)),"?IN_FOCUS",IF(J4461&lt;=2,"?ACTIVATED",IF(J4461&lt;&gt;"","?FAMILIAR",IF(F4461="NEW",IF(ISNA(VLOOKUP(E4461,#REF!,1,FALSE())),"?TYPE_IDENTIFIABLE","?REFERENTIAL"),"_")))))</f>
        <v> </v>
      </c>
      <c r="H4461" s="24" t="str">
        <f>IF(J4461&lt;&gt;1,"",IF(I4461="SBJ","CB","?"))</f>
        <v> </v>
      </c>
      <c r="I4461" s="25" t="str">
        <f>IF(OR(E4461="",E4461="!!!",F4461="NEW"),"",INDEX(B4460:B$2,-1+SUMPRODUCT(MAX(ROW(E4460:E$2)*(E4461=E4460:E$2)))))</f>
        <v> </v>
      </c>
      <c r="J4461" s="25" t="str">
        <f>IF(OR(E4461="",E4461="!!!",F4461="NEW"),"",COUNTBLANK(OFFSET(A$1,,,SUMPRODUCT(MAX(ROW(E$2:E4461)*(E4461=E$2:E4461)))))-COUNTBLANK(OFFSET(A$1,,,SUMPRODUCT(MAX(ROW(E$1:E4460)*(E2=E$1:E4460))))))</f>
        <v> </v>
      </c>
      <c r="K4461" s="25" t="str">
        <f>IF(OR(E4461="",E4461="!!!",F4461="NEW"),"",INDEX(J$1:J4460,SUMPRODUCT(MAX(ROW(E$1:E4460)*(E4461=E$1:E4460)))))</f>
        <v> </v>
      </c>
      <c r="L4461" s="26"/>
    </row>
    <row r="4462" spans="1:12">
      <c r="A4462" s="20" t="s">
        <v>3067</v>
      </c>
      <c r="E4462" s="21">
        <f>IF(D4462="?OLD","!!!","")</f>
        <v/>
      </c>
      <c r="F4462" s="22" t="str">
        <f>IF(OR(E4462="",E4462="!!!"),"",IF(NOT(ISNA(VLOOKUP(E4462,E$1:E4461,1,FALSE()))),"OLD",IF(AND(E4462&lt;&gt;"",E4462&lt;&gt;"!!!"),"NEW","")))</f>
        <v> </v>
      </c>
      <c r="G4462" s="23" t="str">
        <f>IF(OR(E4462="",E4462="!!!"),"",IF(OR(J4462=0,AND(J4462=1,K4462=1),AND(J4462=1,I4462="SBJ"),AND(J4462=1,I4462=0)),"?IN_FOCUS",IF(J4462&lt;=2,"?ACTIVATED",IF(J4462&lt;&gt;"","?FAMILIAR",IF(F4462="NEW",IF(ISNA(VLOOKUP(E4462,#REF!,1,FALSE())),"?TYPE_IDENTIFIABLE","?REFERENTIAL"),"_")))))</f>
        <v> </v>
      </c>
      <c r="H4462" s="24" t="str">
        <f>IF(J4462&lt;&gt;1,"",IF(I4462="SBJ","CB","?"))</f>
        <v> </v>
      </c>
      <c r="I4462" s="25" t="str">
        <f>IF(OR(E4462="",E4462="!!!",F4462="NEW"),"",INDEX(B4461:B$2,-1+SUMPRODUCT(MAX(ROW(E4461:E$2)*(E4462=E4461:E$2)))))</f>
        <v> </v>
      </c>
      <c r="J4462" s="25" t="str">
        <f>IF(OR(E4462="",E4462="!!!",F4462="NEW"),"",COUNTBLANK(OFFSET(A$1,,,SUMPRODUCT(MAX(ROW(E$2:E4462)*(E4462=E$2:E4462)))))-COUNTBLANK(OFFSET(A$1,,,SUMPRODUCT(MAX(ROW(E$1:E4461)*(E2=E$1:E4461))))))</f>
        <v> </v>
      </c>
      <c r="K4462" s="25" t="str">
        <f>IF(OR(E4462="",E4462="!!!",F4462="NEW"),"",INDEX(J$1:J4461,SUMPRODUCT(MAX(ROW(E$1:E4461)*(E4462=E$1:E4461)))))</f>
        <v> </v>
      </c>
      <c r="L4462" s="26"/>
    </row>
    <row r="4463" spans="1:12">
      <c r="A4463" s="20" t="s">
        <v>1195</v>
      </c>
      <c r="E4463" s="21">
        <f>IF(D4463="?OLD","!!!","")</f>
        <v/>
      </c>
      <c r="F4463" s="22" t="str">
        <f>IF(OR(E4463="",E4463="!!!"),"",IF(NOT(ISNA(VLOOKUP(E4463,E$1:E4462,1,FALSE()))),"OLD",IF(AND(E4463&lt;&gt;"",E4463&lt;&gt;"!!!"),"NEW","")))</f>
        <v> </v>
      </c>
      <c r="G4463" s="23" t="str">
        <f>IF(OR(E4463="",E4463="!!!"),"",IF(OR(J4463=0,AND(J4463=1,K4463=1),AND(J4463=1,I4463="SBJ"),AND(J4463=1,I4463=0)),"?IN_FOCUS",IF(J4463&lt;=2,"?ACTIVATED",IF(J4463&lt;&gt;"","?FAMILIAR",IF(F4463="NEW",IF(ISNA(VLOOKUP(E4463,#REF!,1,FALSE())),"?TYPE_IDENTIFIABLE","?REFERENTIAL"),"_")))))</f>
        <v> </v>
      </c>
      <c r="H4463" s="24" t="str">
        <f>IF(J4463&lt;&gt;1,"",IF(I4463="SBJ","CB","?"))</f>
        <v> </v>
      </c>
      <c r="I4463" s="25" t="str">
        <f>IF(OR(E4463="",E4463="!!!",F4463="NEW"),"",INDEX(B4462:B$2,-1+SUMPRODUCT(MAX(ROW(E4462:E$2)*(E4463=E4462:E$2)))))</f>
        <v> </v>
      </c>
      <c r="J4463" s="25" t="str">
        <f>IF(OR(E4463="",E4463="!!!",F4463="NEW"),"",COUNTBLANK(OFFSET(A$1,,,SUMPRODUCT(MAX(ROW(E$2:E4463)*(E4463=E$2:E4463)))))-COUNTBLANK(OFFSET(A$1,,,SUMPRODUCT(MAX(ROW(E$1:E4462)*(E2=E$1:E4462))))))</f>
        <v> </v>
      </c>
      <c r="K4463" s="25" t="str">
        <f>IF(OR(E4463="",E4463="!!!",F4463="NEW"),"",INDEX(J$1:J4462,SUMPRODUCT(MAX(ROW(E$1:E4462)*(E4463=E$1:E4462)))))</f>
        <v> </v>
      </c>
      <c r="L4463" s="26"/>
    </row>
    <row r="4464" spans="1:12">
      <c r="A4464" s="20" t="s">
        <v>1154</v>
      </c>
      <c r="B4464" s="27" t="s">
        <v>1141</v>
      </c>
      <c r="C4464" s="27" t="s">
        <v>1116</v>
      </c>
      <c r="D4464" s="27" t="s">
        <v>1105</v>
      </c>
      <c r="E4464" s="21">
        <f>IF(D4464="?OLD","!!!","")</f>
        <v/>
      </c>
      <c r="F4464" s="22" t="str">
        <f>IF(OR(E4464="",E4464="!!!"),"",IF(NOT(ISNA(VLOOKUP(E4464,E$1:E4463,1,FALSE()))),"OLD",IF(AND(E4464&lt;&gt;"",E4464&lt;&gt;"!!!"),"NEW","")))</f>
        <v> </v>
      </c>
      <c r="G4464" s="23" t="str">
        <f>IF(OR(E4464="",E4464="!!!"),"",IF(OR(J4464=0,AND(J4464=1,K4464=1),AND(J4464=1,I4464="SBJ"),AND(J4464=1,I4464=0)),"?IN_FOCUS",IF(J4464&lt;=2,"?ACTIVATED",IF(J4464&lt;&gt;"","?FAMILIAR",IF(F4464="NEW",IF(ISNA(VLOOKUP(E4464,#REF!,1,FALSE())),"?TYPE_IDENTIFIABLE","?REFERENTIAL"),"_")))))</f>
        <v> </v>
      </c>
      <c r="H4464" s="24" t="str">
        <f>IF(J4464&lt;&gt;1,"",IF(I4464="SBJ","CB","?"))</f>
        <v> </v>
      </c>
      <c r="I4464" s="25" t="str">
        <f>IF(OR(E4464="",E4464="!!!",F4464="NEW"),"",INDEX(B4463:B$2,-1+SUMPRODUCT(MAX(ROW(E4463:E$2)*(E4464=E4463:E$2)))))</f>
        <v> </v>
      </c>
      <c r="J4464" s="25" t="str">
        <f>IF(OR(E4464="",E4464="!!!",F4464="NEW"),"",COUNTBLANK(OFFSET(A$1,,,SUMPRODUCT(MAX(ROW(E$2:E4464)*(E4464=E$2:E4464)))))-COUNTBLANK(OFFSET(A$1,,,SUMPRODUCT(MAX(ROW(E$1:E4463)*(E2=E$1:E4463))))))</f>
        <v> </v>
      </c>
      <c r="K4464" s="25" t="str">
        <f>IF(OR(E4464="",E4464="!!!",F4464="NEW"),"",INDEX(J$1:J4463,SUMPRODUCT(MAX(ROW(E$1:E4463)*(E4464=E$1:E4463)))))</f>
        <v> </v>
      </c>
      <c r="L4464" s="26"/>
    </row>
    <row r="4465" spans="1:12">
      <c r="A4465" s="20" t="s">
        <v>3068</v>
      </c>
      <c r="E4465" s="21">
        <f>IF(D4465="?OLD","!!!","")</f>
        <v/>
      </c>
      <c r="F4465" s="22" t="str">
        <f>IF(OR(E4465="",E4465="!!!"),"",IF(NOT(ISNA(VLOOKUP(E4465,E$1:E4464,1,FALSE()))),"OLD",IF(AND(E4465&lt;&gt;"",E4465&lt;&gt;"!!!"),"NEW","")))</f>
        <v> </v>
      </c>
      <c r="G4465" s="23" t="str">
        <f>IF(OR(E4465="",E4465="!!!"),"",IF(OR(J4465=0,AND(J4465=1,K4465=1),AND(J4465=1,I4465="SBJ"),AND(J4465=1,I4465=0)),"?IN_FOCUS",IF(J4465&lt;=2,"?ACTIVATED",IF(J4465&lt;&gt;"","?FAMILIAR",IF(F4465="NEW",IF(ISNA(VLOOKUP(E4465,#REF!,1,FALSE())),"?TYPE_IDENTIFIABLE","?REFERENTIAL"),"_")))))</f>
        <v> </v>
      </c>
      <c r="H4465" s="24" t="str">
        <f>IF(J4465&lt;&gt;1,"",IF(I4465="SBJ","CB","?"))</f>
        <v> </v>
      </c>
      <c r="I4465" s="25" t="str">
        <f>IF(OR(E4465="",E4465="!!!",F4465="NEW"),"",INDEX(B4464:B$2,-1+SUMPRODUCT(MAX(ROW(E4464:E$2)*(E4465=E4464:E$2)))))</f>
        <v> </v>
      </c>
      <c r="J4465" s="25" t="str">
        <f>IF(OR(E4465="",E4465="!!!",F4465="NEW"),"",COUNTBLANK(OFFSET(A$1,,,SUMPRODUCT(MAX(ROW(E$2:E4465)*(E4465=E$2:E4465)))))-COUNTBLANK(OFFSET(A$1,,,SUMPRODUCT(MAX(ROW(E$1:E4464)*(E2=E$1:E4464))))))</f>
        <v> </v>
      </c>
      <c r="K4465" s="25" t="str">
        <f>IF(OR(E4465="",E4465="!!!",F4465="NEW"),"",INDEX(J$1:J4464,SUMPRODUCT(MAX(ROW(E$1:E4464)*(E4465=E$1:E4464)))))</f>
        <v> </v>
      </c>
      <c r="L4465" s="26"/>
    </row>
    <row r="4466" spans="1:12">
      <c r="A4466" s="20" t="s">
        <v>1123</v>
      </c>
      <c r="E4466" s="21">
        <f>IF(D4466="?OLD","!!!","")</f>
        <v/>
      </c>
      <c r="F4466" s="22" t="str">
        <f>IF(OR(E4466="",E4466="!!!"),"",IF(NOT(ISNA(VLOOKUP(E4466,E$1:E4465,1,FALSE()))),"OLD",IF(AND(E4466&lt;&gt;"",E4466&lt;&gt;"!!!"),"NEW","")))</f>
        <v> </v>
      </c>
      <c r="G4466" s="23" t="str">
        <f>IF(OR(E4466="",E4466="!!!"),"",IF(OR(J4466=0,AND(J4466=1,K4466=1),AND(J4466=1,I4466="SBJ"),AND(J4466=1,I4466=0)),"?IN_FOCUS",IF(J4466&lt;=2,"?ACTIVATED",IF(J4466&lt;&gt;"","?FAMILIAR",IF(F4466="NEW",IF(ISNA(VLOOKUP(E4466,#REF!,1,FALSE())),"?TYPE_IDENTIFIABLE","?REFERENTIAL"),"_")))))</f>
        <v> </v>
      </c>
      <c r="H4466" s="24" t="str">
        <f>IF(J4466&lt;&gt;1,"",IF(I4466="SBJ","CB","?"))</f>
        <v> </v>
      </c>
      <c r="I4466" s="25" t="str">
        <f>IF(OR(E4466="",E4466="!!!",F4466="NEW"),"",INDEX(B4465:B$2,-1+SUMPRODUCT(MAX(ROW(E4465:E$2)*(E4466=E4465:E$2)))))</f>
        <v> </v>
      </c>
      <c r="J4466" s="25" t="str">
        <f>IF(OR(E4466="",E4466="!!!",F4466="NEW"),"",COUNTBLANK(OFFSET(A$1,,,SUMPRODUCT(MAX(ROW(E$2:E4466)*(E4466=E$2:E4466)))))-COUNTBLANK(OFFSET(A$1,,,SUMPRODUCT(MAX(ROW(E$1:E4465)*(E2=E$1:E4465))))))</f>
        <v> </v>
      </c>
      <c r="K4466" s="25" t="str">
        <f>IF(OR(E4466="",E4466="!!!",F4466="NEW"),"",INDEX(J$1:J4465,SUMPRODUCT(MAX(ROW(E$1:E4465)*(E4466=E$1:E4465)))))</f>
        <v> </v>
      </c>
      <c r="L4466" s="26"/>
    </row>
    <row r="4467" spans="1:12">
      <c r="A4467" s="20" t="s">
        <v>1293</v>
      </c>
      <c r="E4467" s="21">
        <f>IF(D4467="?OLD","!!!","")</f>
        <v/>
      </c>
      <c r="F4467" s="22" t="str">
        <f>IF(OR(E4467="",E4467="!!!"),"",IF(NOT(ISNA(VLOOKUP(E4467,E$1:E4466,1,FALSE()))),"OLD",IF(AND(E4467&lt;&gt;"",E4467&lt;&gt;"!!!"),"NEW","")))</f>
        <v> </v>
      </c>
      <c r="G4467" s="23" t="str">
        <f>IF(OR(E4467="",E4467="!!!"),"",IF(OR(J4467=0,AND(J4467=1,K4467=1),AND(J4467=1,I4467="SBJ"),AND(J4467=1,I4467=0)),"?IN_FOCUS",IF(J4467&lt;=2,"?ACTIVATED",IF(J4467&lt;&gt;"","?FAMILIAR",IF(F4467="NEW",IF(ISNA(VLOOKUP(E4467,#REF!,1,FALSE())),"?TYPE_IDENTIFIABLE","?REFERENTIAL"),"_")))))</f>
        <v> </v>
      </c>
      <c r="H4467" s="24" t="str">
        <f>IF(J4467&lt;&gt;1,"",IF(I4467="SBJ","CB","?"))</f>
        <v> </v>
      </c>
      <c r="I4467" s="25" t="str">
        <f>IF(OR(E4467="",E4467="!!!",F4467="NEW"),"",INDEX(B4466:B$2,-1+SUMPRODUCT(MAX(ROW(E4466:E$2)*(E4467=E4466:E$2)))))</f>
        <v> </v>
      </c>
      <c r="J4467" s="25" t="str">
        <f>IF(OR(E4467="",E4467="!!!",F4467="NEW"),"",COUNTBLANK(OFFSET(A$1,,,SUMPRODUCT(MAX(ROW(E$2:E4467)*(E4467=E$2:E4467)))))-COUNTBLANK(OFFSET(A$1,,,SUMPRODUCT(MAX(ROW(E$1:E4466)*(E2=E$1:E4466))))))</f>
        <v> </v>
      </c>
      <c r="K4467" s="25" t="str">
        <f>IF(OR(E4467="",E4467="!!!",F4467="NEW"),"",INDEX(J$1:J4466,SUMPRODUCT(MAX(ROW(E$1:E4466)*(E4467=E$1:E4466)))))</f>
        <v> </v>
      </c>
      <c r="L4467" s="26"/>
    </row>
    <row r="4468" spans="1:12">
      <c r="A4468" s="20" t="s">
        <v>3069</v>
      </c>
      <c r="E4468" s="21">
        <f>IF(D4468="?OLD","!!!","")</f>
        <v/>
      </c>
      <c r="F4468" s="22" t="str">
        <f>IF(OR(E4468="",E4468="!!!"),"",IF(NOT(ISNA(VLOOKUP(E4468,E$1:E4467,1,FALSE()))),"OLD",IF(AND(E4468&lt;&gt;"",E4468&lt;&gt;"!!!"),"NEW","")))</f>
        <v> </v>
      </c>
      <c r="G4468" s="23" t="str">
        <f>IF(OR(E4468="",E4468="!!!"),"",IF(OR(J4468=0,AND(J4468=1,K4468=1),AND(J4468=1,I4468="SBJ"),AND(J4468=1,I4468=0)),"?IN_FOCUS",IF(J4468&lt;=2,"?ACTIVATED",IF(J4468&lt;&gt;"","?FAMILIAR",IF(F4468="NEW",IF(ISNA(VLOOKUP(E4468,#REF!,1,FALSE())),"?TYPE_IDENTIFIABLE","?REFERENTIAL"),"_")))))</f>
        <v> </v>
      </c>
      <c r="H4468" s="24" t="str">
        <f>IF(J4468&lt;&gt;1,"",IF(I4468="SBJ","CB","?"))</f>
        <v> </v>
      </c>
      <c r="I4468" s="25" t="str">
        <f>IF(OR(E4468="",E4468="!!!",F4468="NEW"),"",INDEX(B4467:B$2,-1+SUMPRODUCT(MAX(ROW(E4467:E$2)*(E4468=E4467:E$2)))))</f>
        <v> </v>
      </c>
      <c r="J4468" s="25" t="str">
        <f>IF(OR(E4468="",E4468="!!!",F4468="NEW"),"",COUNTBLANK(OFFSET(A$1,,,SUMPRODUCT(MAX(ROW(E$2:E4468)*(E4468=E$2:E4468)))))-COUNTBLANK(OFFSET(A$1,,,SUMPRODUCT(MAX(ROW(E$1:E4467)*(E2=E$1:E4467))))))</f>
        <v> </v>
      </c>
      <c r="K4468" s="25" t="str">
        <f>IF(OR(E4468="",E4468="!!!",F4468="NEW"),"",INDEX(J$1:J4467,SUMPRODUCT(MAX(ROW(E$1:E4467)*(E4468=E$1:E4467)))))</f>
        <v> </v>
      </c>
      <c r="L4468" s="26"/>
    </row>
    <row r="4469" spans="1:12">
      <c r="A4469" s="20" t="s">
        <v>3070</v>
      </c>
      <c r="B4469" s="27" t="s">
        <v>1125</v>
      </c>
      <c r="E4469" s="21">
        <f>IF(D4469="?OLD","!!!","")</f>
        <v/>
      </c>
      <c r="F4469" s="22" t="str">
        <f>IF(OR(E4469="",E4469="!!!"),"",IF(NOT(ISNA(VLOOKUP(E4469,E$1:E4468,1,FALSE()))),"OLD",IF(AND(E4469&lt;&gt;"",E4469&lt;&gt;"!!!"),"NEW","")))</f>
        <v> </v>
      </c>
      <c r="G4469" s="23" t="str">
        <f>IF(OR(E4469="",E4469="!!!"),"",IF(OR(J4469=0,AND(J4469=1,K4469=1),AND(J4469=1,I4469="SBJ"),AND(J4469=1,I4469=0)),"?IN_FOCUS",IF(J4469&lt;=2,"?ACTIVATED",IF(J4469&lt;&gt;"","?FAMILIAR",IF(F4469="NEW",IF(ISNA(VLOOKUP(E4469,#REF!,1,FALSE())),"?TYPE_IDENTIFIABLE","?REFERENTIAL"),"_")))))</f>
        <v> </v>
      </c>
      <c r="H4469" s="24" t="str">
        <f>IF(J4469&lt;&gt;1,"",IF(I4469="SBJ","CB","?"))</f>
        <v> </v>
      </c>
      <c r="I4469" s="25" t="str">
        <f>IF(OR(E4469="",E4469="!!!",F4469="NEW"),"",INDEX(B4468:B$2,-1+SUMPRODUCT(MAX(ROW(E4468:E$2)*(E4469=E4468:E$2)))))</f>
        <v> </v>
      </c>
      <c r="J4469" s="25" t="str">
        <f>IF(OR(E4469="",E4469="!!!",F4469="NEW"),"",COUNTBLANK(OFFSET(A$1,,,SUMPRODUCT(MAX(ROW(E$2:E4469)*(E4469=E$2:E4469)))))-COUNTBLANK(OFFSET(A$1,,,SUMPRODUCT(MAX(ROW(E$1:E4468)*(E2=E$1:E4468))))))</f>
        <v> </v>
      </c>
      <c r="K4469" s="25" t="str">
        <f>IF(OR(E4469="",E4469="!!!",F4469="NEW"),"",INDEX(J$1:J4468,SUMPRODUCT(MAX(ROW(E$1:E4468)*(E4469=E$1:E4468)))))</f>
        <v> </v>
      </c>
      <c r="L4469" s="26"/>
    </row>
    <row r="4470" spans="1:12">
      <c r="A4470" s="20" t="s">
        <v>3071</v>
      </c>
      <c r="E4470" s="21">
        <f>IF(D4470="?OLD","!!!","")</f>
        <v/>
      </c>
      <c r="F4470" s="22" t="str">
        <f>IF(OR(E4470="",E4470="!!!"),"",IF(NOT(ISNA(VLOOKUP(E4470,E$1:E4469,1,FALSE()))),"OLD",IF(AND(E4470&lt;&gt;"",E4470&lt;&gt;"!!!"),"NEW","")))</f>
        <v> </v>
      </c>
      <c r="G4470" s="23" t="str">
        <f>IF(OR(E4470="",E4470="!!!"),"",IF(OR(J4470=0,AND(J4470=1,K4470=1),AND(J4470=1,I4470="SBJ"),AND(J4470=1,I4470=0)),"?IN_FOCUS",IF(J4470&lt;=2,"?ACTIVATED",IF(J4470&lt;&gt;"","?FAMILIAR",IF(F4470="NEW",IF(ISNA(VLOOKUP(E4470,#REF!,1,FALSE())),"?TYPE_IDENTIFIABLE","?REFERENTIAL"),"_")))))</f>
        <v> </v>
      </c>
      <c r="H4470" s="24" t="str">
        <f>IF(J4470&lt;&gt;1,"",IF(I4470="SBJ","CB","?"))</f>
        <v> </v>
      </c>
      <c r="I4470" s="25" t="str">
        <f>IF(OR(E4470="",E4470="!!!",F4470="NEW"),"",INDEX(B4469:B$2,-1+SUMPRODUCT(MAX(ROW(E4469:E$2)*(E4470=E4469:E$2)))))</f>
        <v> </v>
      </c>
      <c r="J4470" s="25" t="str">
        <f>IF(OR(E4470="",E4470="!!!",F4470="NEW"),"",COUNTBLANK(OFFSET(A$1,,,SUMPRODUCT(MAX(ROW(E$2:E4470)*(E4470=E$2:E4470)))))-COUNTBLANK(OFFSET(A$1,,,SUMPRODUCT(MAX(ROW(E$1:E4469)*(E2=E$1:E4469))))))</f>
        <v> </v>
      </c>
      <c r="K4470" s="25" t="str">
        <f>IF(OR(E4470="",E4470="!!!",F4470="NEW"),"",INDEX(J$1:J4469,SUMPRODUCT(MAX(ROW(E$1:E4469)*(E4470=E$1:E4469)))))</f>
        <v> </v>
      </c>
      <c r="L4470" s="26"/>
    </row>
    <row r="4471" spans="1:12">
      <c r="A4471" s="20" t="s">
        <v>1249</v>
      </c>
      <c r="E4471" s="21">
        <f>IF(D4471="?OLD","!!!","")</f>
        <v/>
      </c>
      <c r="F4471" s="22" t="str">
        <f>IF(OR(E4471="",E4471="!!!"),"",IF(NOT(ISNA(VLOOKUP(E4471,E$1:E4470,1,FALSE()))),"OLD",IF(AND(E4471&lt;&gt;"",E4471&lt;&gt;"!!!"),"NEW","")))</f>
        <v> </v>
      </c>
      <c r="G4471" s="23" t="str">
        <f>IF(OR(E4471="",E4471="!!!"),"",IF(OR(J4471=0,AND(J4471=1,K4471=1),AND(J4471=1,I4471="SBJ"),AND(J4471=1,I4471=0)),"?IN_FOCUS",IF(J4471&lt;=2,"?ACTIVATED",IF(J4471&lt;&gt;"","?FAMILIAR",IF(F4471="NEW",IF(ISNA(VLOOKUP(E4471,#REF!,1,FALSE())),"?TYPE_IDENTIFIABLE","?REFERENTIAL"),"_")))))</f>
        <v> </v>
      </c>
      <c r="H4471" s="24" t="str">
        <f>IF(J4471&lt;&gt;1,"",IF(I4471="SBJ","CB","?"))</f>
        <v> </v>
      </c>
      <c r="I4471" s="25" t="str">
        <f>IF(OR(E4471="",E4471="!!!",F4471="NEW"),"",INDEX(B4470:B$2,-1+SUMPRODUCT(MAX(ROW(E4470:E$2)*(E4471=E4470:E$2)))))</f>
        <v> </v>
      </c>
      <c r="J4471" s="25" t="str">
        <f>IF(OR(E4471="",E4471="!!!",F4471="NEW"),"",COUNTBLANK(OFFSET(A$1,,,SUMPRODUCT(MAX(ROW(E$2:E4471)*(E4471=E$2:E4471)))))-COUNTBLANK(OFFSET(A$1,,,SUMPRODUCT(MAX(ROW(E$1:E4470)*(E2=E$1:E4470))))))</f>
        <v> </v>
      </c>
      <c r="K4471" s="25" t="str">
        <f>IF(OR(E4471="",E4471="!!!",F4471="NEW"),"",INDEX(J$1:J4470,SUMPRODUCT(MAX(ROW(E$1:E4470)*(E4471=E$1:E4470)))))</f>
        <v> </v>
      </c>
      <c r="L4471" s="26"/>
    </row>
    <row r="4472" spans="1:12">
      <c r="A4472" s="20" t="s">
        <v>1421</v>
      </c>
      <c r="B4472" s="27" t="s">
        <v>1132</v>
      </c>
      <c r="C4472" s="27" t="s">
        <v>1126</v>
      </c>
      <c r="D4472" s="27" t="s">
        <v>1105</v>
      </c>
      <c r="E4472" s="21">
        <f>IF(D4472="?OLD","!!!","")</f>
        <v/>
      </c>
      <c r="F4472" s="22" t="str">
        <f>IF(OR(E4472="",E4472="!!!"),"",IF(NOT(ISNA(VLOOKUP(E4472,E$1:E4471,1,FALSE()))),"OLD",IF(AND(E4472&lt;&gt;"",E4472&lt;&gt;"!!!"),"NEW","")))</f>
        <v> </v>
      </c>
      <c r="G4472" s="23" t="str">
        <f>IF(OR(E4472="",E4472="!!!"),"",IF(OR(J4472=0,AND(J4472=1,K4472=1),AND(J4472=1,I4472="SBJ"),AND(J4472=1,I4472=0)),"?IN_FOCUS",IF(J4472&lt;=2,"?ACTIVATED",IF(J4472&lt;&gt;"","?FAMILIAR",IF(F4472="NEW",IF(ISNA(VLOOKUP(E4472,#REF!,1,FALSE())),"?TYPE_IDENTIFIABLE","?REFERENTIAL"),"_")))))</f>
        <v> </v>
      </c>
      <c r="H4472" s="24" t="str">
        <f>IF(J4472&lt;&gt;1,"",IF(I4472="SBJ","CB","?"))</f>
        <v> </v>
      </c>
      <c r="I4472" s="25" t="str">
        <f>IF(OR(E4472="",E4472="!!!",F4472="NEW"),"",INDEX(B4471:B$2,-1+SUMPRODUCT(MAX(ROW(E4471:E$2)*(E4472=E4471:E$2)))))</f>
        <v> </v>
      </c>
      <c r="J4472" s="25" t="str">
        <f>IF(OR(E4472="",E4472="!!!",F4472="NEW"),"",COUNTBLANK(OFFSET(A$1,,,SUMPRODUCT(MAX(ROW(E$2:E4472)*(E4472=E$2:E4472)))))-COUNTBLANK(OFFSET(A$1,,,SUMPRODUCT(MAX(ROW(E$1:E4471)*(E2=E$1:E4471))))))</f>
        <v> </v>
      </c>
      <c r="K4472" s="25" t="str">
        <f>IF(OR(E4472="",E4472="!!!",F4472="NEW"),"",INDEX(J$1:J4471,SUMPRODUCT(MAX(ROW(E$1:E4471)*(E4472=E$1:E4471)))))</f>
        <v> </v>
      </c>
      <c r="L4472" s="26"/>
    </row>
    <row r="4473" spans="1:12">
      <c r="A4473" s="20" t="s">
        <v>1101</v>
      </c>
      <c r="E4473" s="21">
        <f>IF(D4473="?OLD","!!!","")</f>
        <v/>
      </c>
      <c r="F4473" s="22" t="str">
        <f>IF(OR(E4473="",E4473="!!!"),"",IF(NOT(ISNA(VLOOKUP(E4473,E$1:E4472,1,FALSE()))),"OLD",IF(AND(E4473&lt;&gt;"",E4473&lt;&gt;"!!!"),"NEW","")))</f>
        <v> </v>
      </c>
      <c r="G4473" s="23" t="str">
        <f>IF(OR(E4473="",E4473="!!!"),"",IF(OR(J4473=0,AND(J4473=1,K4473=1),AND(J4473=1,I4473="SBJ"),AND(J4473=1,I4473=0)),"?IN_FOCUS",IF(J4473&lt;=2,"?ACTIVATED",IF(J4473&lt;&gt;"","?FAMILIAR",IF(F4473="NEW",IF(ISNA(VLOOKUP(E4473,#REF!,1,FALSE())),"?TYPE_IDENTIFIABLE","?REFERENTIAL"),"_")))))</f>
        <v> </v>
      </c>
      <c r="H4473" s="24" t="str">
        <f>IF(J4473&lt;&gt;1,"",IF(I4473="SBJ","CB","?"))</f>
        <v> </v>
      </c>
      <c r="I4473" s="25" t="str">
        <f>IF(OR(E4473="",E4473="!!!",F4473="NEW"),"",INDEX(B4472:B$2,-1+SUMPRODUCT(MAX(ROW(E4472:E$2)*(E4473=E4472:E$2)))))</f>
        <v> </v>
      </c>
      <c r="J4473" s="25" t="str">
        <f>IF(OR(E4473="",E4473="!!!",F4473="NEW"),"",COUNTBLANK(OFFSET(A$1,,,SUMPRODUCT(MAX(ROW(E$2:E4473)*(E4473=E$2:E4473)))))-COUNTBLANK(OFFSET(A$1,,,SUMPRODUCT(MAX(ROW(E$1:E4472)*(E2=E$1:E4472))))))</f>
        <v> </v>
      </c>
      <c r="K4473" s="25" t="str">
        <f>IF(OR(E4473="",E4473="!!!",F4473="NEW"),"",INDEX(J$1:J4472,SUMPRODUCT(MAX(ROW(E$1:E4472)*(E4473=E$1:E4472)))))</f>
        <v> </v>
      </c>
      <c r="L4473" s="26"/>
    </row>
    <row r="4474" spans="1:12">
      <c r="A4474" s="20" t="s">
        <v>3072</v>
      </c>
      <c r="E4474" s="21">
        <f>IF(D4474="?OLD","!!!","")</f>
        <v/>
      </c>
      <c r="F4474" s="22" t="str">
        <f>IF(OR(E4474="",E4474="!!!"),"",IF(NOT(ISNA(VLOOKUP(E4474,E$1:E4473,1,FALSE()))),"OLD",IF(AND(E4474&lt;&gt;"",E4474&lt;&gt;"!!!"),"NEW","")))</f>
        <v> </v>
      </c>
      <c r="G4474" s="23" t="str">
        <f>IF(OR(E4474="",E4474="!!!"),"",IF(OR(J4474=0,AND(J4474=1,K4474=1),AND(J4474=1,I4474="SBJ"),AND(J4474=1,I4474=0)),"?IN_FOCUS",IF(J4474&lt;=2,"?ACTIVATED",IF(J4474&lt;&gt;"","?FAMILIAR",IF(F4474="NEW",IF(ISNA(VLOOKUP(E4474,#REF!,1,FALSE())),"?TYPE_IDENTIFIABLE","?REFERENTIAL"),"_")))))</f>
        <v> </v>
      </c>
      <c r="H4474" s="24" t="str">
        <f>IF(J4474&lt;&gt;1,"",IF(I4474="SBJ","CB","?"))</f>
        <v> </v>
      </c>
      <c r="I4474" s="25" t="str">
        <f>IF(OR(E4474="",E4474="!!!",F4474="NEW"),"",INDEX(B4473:B$2,-1+SUMPRODUCT(MAX(ROW(E4473:E$2)*(E4474=E4473:E$2)))))</f>
        <v> </v>
      </c>
      <c r="J4474" s="25" t="str">
        <f>IF(OR(E4474="",E4474="!!!",F4474="NEW"),"",COUNTBLANK(OFFSET(A$1,,,SUMPRODUCT(MAX(ROW(E$2:E4474)*(E4474=E$2:E4474)))))-COUNTBLANK(OFFSET(A$1,,,SUMPRODUCT(MAX(ROW(E$1:E4473)*(E2=E$1:E4473))))))</f>
        <v> </v>
      </c>
      <c r="K4474" s="25" t="str">
        <f>IF(OR(E4474="",E4474="!!!",F4474="NEW"),"",INDEX(J$1:J4473,SUMPRODUCT(MAX(ROW(E$1:E4473)*(E4474=E$1:E4473)))))</f>
        <v> </v>
      </c>
      <c r="L4474" s="26"/>
    </row>
    <row r="4475" spans="1:12">
      <c r="A4475" s="20" t="s">
        <v>1145</v>
      </c>
      <c r="E4475" s="21">
        <f>IF(D4475="?OLD","!!!","")</f>
        <v/>
      </c>
      <c r="F4475" s="22" t="str">
        <f>IF(OR(E4475="",E4475="!!!"),"",IF(NOT(ISNA(VLOOKUP(E4475,E$1:E4474,1,FALSE()))),"OLD",IF(AND(E4475&lt;&gt;"",E4475&lt;&gt;"!!!"),"NEW","")))</f>
        <v> </v>
      </c>
      <c r="G4475" s="23" t="str">
        <f>IF(OR(E4475="",E4475="!!!"),"",IF(OR(J4475=0,AND(J4475=1,K4475=1),AND(J4475=1,I4475="SBJ"),AND(J4475=1,I4475=0)),"?IN_FOCUS",IF(J4475&lt;=2,"?ACTIVATED",IF(J4475&lt;&gt;"","?FAMILIAR",IF(F4475="NEW",IF(ISNA(VLOOKUP(E4475,#REF!,1,FALSE())),"?TYPE_IDENTIFIABLE","?REFERENTIAL"),"_")))))</f>
        <v> </v>
      </c>
      <c r="H4475" s="24" t="str">
        <f>IF(J4475&lt;&gt;1,"",IF(I4475="SBJ","CB","?"))</f>
        <v> </v>
      </c>
      <c r="I4475" s="25" t="str">
        <f>IF(OR(E4475="",E4475="!!!",F4475="NEW"),"",INDEX(B4474:B$2,-1+SUMPRODUCT(MAX(ROW(E4474:E$2)*(E4475=E4474:E$2)))))</f>
        <v> </v>
      </c>
      <c r="J4475" s="25" t="str">
        <f>IF(OR(E4475="",E4475="!!!",F4475="NEW"),"",COUNTBLANK(OFFSET(A$1,,,SUMPRODUCT(MAX(ROW(E$2:E4475)*(E4475=E$2:E4475)))))-COUNTBLANK(OFFSET(A$1,,,SUMPRODUCT(MAX(ROW(E$1:E4474)*(E2=E$1:E4474))))))</f>
        <v> </v>
      </c>
      <c r="K4475" s="25" t="str">
        <f>IF(OR(E4475="",E4475="!!!",F4475="NEW"),"",INDEX(J$1:J4474,SUMPRODUCT(MAX(ROW(E$1:E4474)*(E4475=E$1:E4474)))))</f>
        <v> </v>
      </c>
      <c r="L4475" s="26"/>
    </row>
    <row r="4476" spans="1:12">
      <c r="A4476" s="20"/>
    </row>
    <row r="4477" spans="1:12">
      <c r="A4477" s="20" t="s">
        <v>3073</v>
      </c>
    </row>
    <row r="4478" spans="1:12">
      <c r="A4478" s="20" t="s">
        <v>1507</v>
      </c>
      <c r="B4478" s="27" t="s">
        <v>1149</v>
      </c>
      <c r="C4478" s="27" t="s">
        <v>1108</v>
      </c>
      <c r="D4478" s="27" t="s">
        <v>1105</v>
      </c>
      <c r="E4478" s="21">
        <f>IF(D4478="?OLD","!!!","")</f>
        <v/>
      </c>
      <c r="F4478" s="22" t="str">
        <f>IF(OR(E4478="",E4478="!!!"),"",IF(NOT(ISNA(VLOOKUP(E4478,E$1:E4477,1,FALSE()))),"OLD",IF(AND(E4478&lt;&gt;"",E4478&lt;&gt;"!!!"),"NEW","")))</f>
        <v> </v>
      </c>
      <c r="G4478" s="23" t="str">
        <f>IF(OR(E4478="",E4478="!!!"),"",IF(OR(J4478=0,AND(J4478=1,K4478=1),AND(J4478=1,I4478="SBJ"),AND(J4478=1,I4478=0)),"?IN_FOCUS",IF(J4478&lt;=2,"?ACTIVATED",IF(J4478&lt;&gt;"","?FAMILIAR",IF(F4478="NEW",IF(ISNA(VLOOKUP(E4478,#REF!,1,FALSE())),"?TYPE_IDENTIFIABLE","?REFERENTIAL"),"_")))))</f>
        <v> </v>
      </c>
      <c r="H4478" s="24" t="str">
        <f>IF(J4478&lt;&gt;1,"",IF(I4478="SBJ","CB","?"))</f>
        <v> </v>
      </c>
      <c r="I4478" s="25" t="str">
        <f>IF(OR(E4478="",E4478="!!!",F4478="NEW"),"",INDEX(B4477:B$2,-1+SUMPRODUCT(MAX(ROW(E4477:E$2)*(E4478=E4477:E$2)))))</f>
        <v> </v>
      </c>
      <c r="J4478" s="25" t="str">
        <f>IF(OR(E4478="",E4478="!!!",F4478="NEW"),"",COUNTBLANK(OFFSET(A$1,,,SUMPRODUCT(MAX(ROW(E$2:E4478)*(E4478=E$2:E4478)))))-COUNTBLANK(OFFSET(A$1,,,SUMPRODUCT(MAX(ROW(E$1:E4477)*(E2=E$1:E4477))))))</f>
        <v> </v>
      </c>
      <c r="K4478" s="25" t="str">
        <f>IF(OR(E4478="",E4478="!!!",F4478="NEW"),"",INDEX(J$1:J4477,SUMPRODUCT(MAX(ROW(E$1:E4477)*(E4478=E$1:E4477)))))</f>
        <v> </v>
      </c>
      <c r="L4478" s="26"/>
    </row>
    <row r="4479" spans="1:12">
      <c r="A4479" s="20" t="s">
        <v>3074</v>
      </c>
      <c r="E4479" s="21">
        <f>IF(D4479="?OLD","!!!","")</f>
        <v/>
      </c>
      <c r="F4479" s="22" t="str">
        <f>IF(OR(E4479="",E4479="!!!"),"",IF(NOT(ISNA(VLOOKUP(E4479,E$1:E4478,1,FALSE()))),"OLD",IF(AND(E4479&lt;&gt;"",E4479&lt;&gt;"!!!"),"NEW","")))</f>
        <v> </v>
      </c>
      <c r="G4479" s="23" t="str">
        <f>IF(OR(E4479="",E4479="!!!"),"",IF(OR(J4479=0,AND(J4479=1,K4479=1),AND(J4479=1,I4479="SBJ"),AND(J4479=1,I4479=0)),"?IN_FOCUS",IF(J4479&lt;=2,"?ACTIVATED",IF(J4479&lt;&gt;"","?FAMILIAR",IF(F4479="NEW",IF(ISNA(VLOOKUP(E4479,#REF!,1,FALSE())),"?TYPE_IDENTIFIABLE","?REFERENTIAL"),"_")))))</f>
        <v> </v>
      </c>
      <c r="H4479" s="24" t="str">
        <f>IF(J4479&lt;&gt;1,"",IF(I4479="SBJ","CB","?"))</f>
        <v> </v>
      </c>
      <c r="I4479" s="25" t="str">
        <f>IF(OR(E4479="",E4479="!!!",F4479="NEW"),"",INDEX(B4478:B$2,-1+SUMPRODUCT(MAX(ROW(E4478:E$2)*(E4479=E4478:E$2)))))</f>
        <v> </v>
      </c>
      <c r="J4479" s="25" t="str">
        <f>IF(OR(E4479="",E4479="!!!",F4479="NEW"),"",COUNTBLANK(OFFSET(A$1,,,SUMPRODUCT(MAX(ROW(E$2:E4479)*(E4479=E$2:E4479)))))-COUNTBLANK(OFFSET(A$1,,,SUMPRODUCT(MAX(ROW(E$1:E4478)*(E2=E$1:E4478))))))</f>
        <v> </v>
      </c>
      <c r="K4479" s="25" t="str">
        <f>IF(OR(E4479="",E4479="!!!",F4479="NEW"),"",INDEX(J$1:J4478,SUMPRODUCT(MAX(ROW(E$1:E4478)*(E4479=E$1:E4478)))))</f>
        <v> </v>
      </c>
      <c r="L4479" s="26"/>
    </row>
    <row r="4480" spans="1:12">
      <c r="A4480" s="20" t="s">
        <v>3075</v>
      </c>
      <c r="E4480" s="21">
        <f>IF(D4480="?OLD","!!!","")</f>
        <v/>
      </c>
      <c r="F4480" s="22" t="str">
        <f>IF(OR(E4480="",E4480="!!!"),"",IF(NOT(ISNA(VLOOKUP(E4480,E$1:E4479,1,FALSE()))),"OLD",IF(AND(E4480&lt;&gt;"",E4480&lt;&gt;"!!!"),"NEW","")))</f>
        <v> </v>
      </c>
      <c r="G4480" s="23" t="str">
        <f>IF(OR(E4480="",E4480="!!!"),"",IF(OR(J4480=0,AND(J4480=1,K4480=1),AND(J4480=1,I4480="SBJ"),AND(J4480=1,I4480=0)),"?IN_FOCUS",IF(J4480&lt;=2,"?ACTIVATED",IF(J4480&lt;&gt;"","?FAMILIAR",IF(F4480="NEW",IF(ISNA(VLOOKUP(E4480,#REF!,1,FALSE())),"?TYPE_IDENTIFIABLE","?REFERENTIAL"),"_")))))</f>
        <v> </v>
      </c>
      <c r="H4480" s="24" t="str">
        <f>IF(J4480&lt;&gt;1,"",IF(I4480="SBJ","CB","?"))</f>
        <v> </v>
      </c>
      <c r="I4480" s="25" t="str">
        <f>IF(OR(E4480="",E4480="!!!",F4480="NEW"),"",INDEX(B4479:B$2,-1+SUMPRODUCT(MAX(ROW(E4479:E$2)*(E4480=E4479:E$2)))))</f>
        <v> </v>
      </c>
      <c r="J4480" s="25" t="str">
        <f>IF(OR(E4480="",E4480="!!!",F4480="NEW"),"",COUNTBLANK(OFFSET(A$1,,,SUMPRODUCT(MAX(ROW(E$2:E4480)*(E4480=E$2:E4480)))))-COUNTBLANK(OFFSET(A$1,,,SUMPRODUCT(MAX(ROW(E$1:E4479)*(E2=E$1:E4479))))))</f>
        <v> </v>
      </c>
      <c r="K4480" s="25" t="str">
        <f>IF(OR(E4480="",E4480="!!!",F4480="NEW"),"",INDEX(J$1:J4479,SUMPRODUCT(MAX(ROW(E$1:E4479)*(E4480=E$1:E4479)))))</f>
        <v> </v>
      </c>
      <c r="L4480" s="26"/>
    </row>
    <row r="4481" spans="1:12">
      <c r="A4481" s="20" t="s">
        <v>1351</v>
      </c>
      <c r="E4481" s="21">
        <f>IF(D4481="?OLD","!!!","")</f>
        <v/>
      </c>
      <c r="F4481" s="22" t="str">
        <f>IF(OR(E4481="",E4481="!!!"),"",IF(NOT(ISNA(VLOOKUP(E4481,E$1:E4480,1,FALSE()))),"OLD",IF(AND(E4481&lt;&gt;"",E4481&lt;&gt;"!!!"),"NEW","")))</f>
        <v> </v>
      </c>
      <c r="G4481" s="23" t="str">
        <f>IF(OR(E4481="",E4481="!!!"),"",IF(OR(J4481=0,AND(J4481=1,K4481=1),AND(J4481=1,I4481="SBJ"),AND(J4481=1,I4481=0)),"?IN_FOCUS",IF(J4481&lt;=2,"?ACTIVATED",IF(J4481&lt;&gt;"","?FAMILIAR",IF(F4481="NEW",IF(ISNA(VLOOKUP(E4481,#REF!,1,FALSE())),"?TYPE_IDENTIFIABLE","?REFERENTIAL"),"_")))))</f>
        <v> </v>
      </c>
      <c r="H4481" s="24" t="str">
        <f>IF(J4481&lt;&gt;1,"",IF(I4481="SBJ","CB","?"))</f>
        <v> </v>
      </c>
      <c r="I4481" s="25" t="str">
        <f>IF(OR(E4481="",E4481="!!!",F4481="NEW"),"",INDEX(B4480:B$2,-1+SUMPRODUCT(MAX(ROW(E4480:E$2)*(E4481=E4480:E$2)))))</f>
        <v> </v>
      </c>
      <c r="J4481" s="25" t="str">
        <f>IF(OR(E4481="",E4481="!!!",F4481="NEW"),"",COUNTBLANK(OFFSET(A$1,,,SUMPRODUCT(MAX(ROW(E$2:E4481)*(E4481=E$2:E4481)))))-COUNTBLANK(OFFSET(A$1,,,SUMPRODUCT(MAX(ROW(E$1:E4480)*(E2=E$1:E4480))))))</f>
        <v> </v>
      </c>
      <c r="K4481" s="25" t="str">
        <f>IF(OR(E4481="",E4481="!!!",F4481="NEW"),"",INDEX(J$1:J4480,SUMPRODUCT(MAX(ROW(E$1:E4480)*(E4481=E$1:E4480)))))</f>
        <v> </v>
      </c>
      <c r="L4481" s="26"/>
    </row>
    <row r="4482" spans="1:12">
      <c r="A4482" s="20"/>
    </row>
    <row r="4483" spans="1:12">
      <c r="A4483" s="20" t="s">
        <v>3076</v>
      </c>
    </row>
    <row r="4484" spans="1:12">
      <c r="A4484" s="20" t="s">
        <v>3077</v>
      </c>
      <c r="E4484" s="21">
        <f>IF(D4484="?OLD","!!!","")</f>
        <v/>
      </c>
      <c r="F4484" s="22" t="str">
        <f>IF(OR(E4484="",E4484="!!!"),"",IF(NOT(ISNA(VLOOKUP(E4484,E$1:E4483,1,FALSE()))),"OLD",IF(AND(E4484&lt;&gt;"",E4484&lt;&gt;"!!!"),"NEW","")))</f>
        <v> </v>
      </c>
      <c r="G4484" s="23" t="str">
        <f>IF(OR(E4484="",E4484="!!!"),"",IF(OR(J4484=0,AND(J4484=1,K4484=1),AND(J4484=1,I4484="SBJ"),AND(J4484=1,I4484=0)),"?IN_FOCUS",IF(J4484&lt;=2,"?ACTIVATED",IF(J4484&lt;&gt;"","?FAMILIAR",IF(F4484="NEW",IF(ISNA(VLOOKUP(E4484,#REF!,1,FALSE())),"?TYPE_IDENTIFIABLE","?REFERENTIAL"),"_")))))</f>
        <v> </v>
      </c>
      <c r="H4484" s="24" t="str">
        <f>IF(J4484&lt;&gt;1,"",IF(I4484="SBJ","CB","?"))</f>
        <v> </v>
      </c>
      <c r="I4484" s="25" t="str">
        <f>IF(OR(E4484="",E4484="!!!",F4484="NEW"),"",INDEX(B4483:B$2,-1+SUMPRODUCT(MAX(ROW(E4483:E$2)*(E4484=E4483:E$2)))))</f>
        <v> </v>
      </c>
      <c r="J4484" s="25" t="str">
        <f>IF(OR(E4484="",E4484="!!!",F4484="NEW"),"",COUNTBLANK(OFFSET(A$1,,,SUMPRODUCT(MAX(ROW(E$2:E4484)*(E4484=E$2:E4484)))))-COUNTBLANK(OFFSET(A$1,,,SUMPRODUCT(MAX(ROW(E$1:E4483)*(E2=E$1:E4483))))))</f>
        <v> </v>
      </c>
      <c r="K4484" s="25" t="str">
        <f>IF(OR(E4484="",E4484="!!!",F4484="NEW"),"",INDEX(J$1:J4483,SUMPRODUCT(MAX(ROW(E$1:E4483)*(E4484=E$1:E4483)))))</f>
        <v> </v>
      </c>
      <c r="L4484" s="26"/>
    </row>
    <row r="4485" spans="1:12">
      <c r="A4485" s="20" t="s">
        <v>1134</v>
      </c>
      <c r="E4485" s="21">
        <f>IF(D4485="?OLD","!!!","")</f>
        <v/>
      </c>
      <c r="F4485" s="22" t="str">
        <f>IF(OR(E4485="",E4485="!!!"),"",IF(NOT(ISNA(VLOOKUP(E4485,E$1:E4484,1,FALSE()))),"OLD",IF(AND(E4485&lt;&gt;"",E4485&lt;&gt;"!!!"),"NEW","")))</f>
        <v> </v>
      </c>
      <c r="G4485" s="23" t="str">
        <f>IF(OR(E4485="",E4485="!!!"),"",IF(OR(J4485=0,AND(J4485=1,K4485=1),AND(J4485=1,I4485="SBJ"),AND(J4485=1,I4485=0)),"?IN_FOCUS",IF(J4485&lt;=2,"?ACTIVATED",IF(J4485&lt;&gt;"","?FAMILIAR",IF(F4485="NEW",IF(ISNA(VLOOKUP(E4485,#REF!,1,FALSE())),"?TYPE_IDENTIFIABLE","?REFERENTIAL"),"_")))))</f>
        <v> </v>
      </c>
      <c r="H4485" s="24" t="str">
        <f>IF(J4485&lt;&gt;1,"",IF(I4485="SBJ","CB","?"))</f>
        <v> </v>
      </c>
      <c r="I4485" s="25" t="str">
        <f>IF(OR(E4485="",E4485="!!!",F4485="NEW"),"",INDEX(B4484:B$2,-1+SUMPRODUCT(MAX(ROW(E4484:E$2)*(E4485=E4484:E$2)))))</f>
        <v> </v>
      </c>
      <c r="J4485" s="25" t="str">
        <f>IF(OR(E4485="",E4485="!!!",F4485="NEW"),"",COUNTBLANK(OFFSET(A$1,,,SUMPRODUCT(MAX(ROW(E$2:E4485)*(E4485=E$2:E4485)))))-COUNTBLANK(OFFSET(A$1,,,SUMPRODUCT(MAX(ROW(E$1:E4484)*(E2=E$1:E4484))))))</f>
        <v> </v>
      </c>
      <c r="K4485" s="25" t="str">
        <f>IF(OR(E4485="",E4485="!!!",F4485="NEW"),"",INDEX(J$1:J4484,SUMPRODUCT(MAX(ROW(E$1:E4484)*(E4485=E$1:E4484)))))</f>
        <v> </v>
      </c>
      <c r="L4485" s="26"/>
    </row>
    <row r="4486" spans="1:12">
      <c r="A4486" s="20" t="s">
        <v>3078</v>
      </c>
      <c r="E4486" s="21">
        <f>IF(D4486="?OLD","!!!","")</f>
        <v/>
      </c>
      <c r="F4486" s="22" t="str">
        <f>IF(OR(E4486="",E4486="!!!"),"",IF(NOT(ISNA(VLOOKUP(E4486,E$1:E4485,1,FALSE()))),"OLD",IF(AND(E4486&lt;&gt;"",E4486&lt;&gt;"!!!"),"NEW","")))</f>
        <v> </v>
      </c>
      <c r="G4486" s="23" t="str">
        <f>IF(OR(E4486="",E4486="!!!"),"",IF(OR(J4486=0,AND(J4486=1,K4486=1),AND(J4486=1,I4486="SBJ"),AND(J4486=1,I4486=0)),"?IN_FOCUS",IF(J4486&lt;=2,"?ACTIVATED",IF(J4486&lt;&gt;"","?FAMILIAR",IF(F4486="NEW",IF(ISNA(VLOOKUP(E4486,#REF!,1,FALSE())),"?TYPE_IDENTIFIABLE","?REFERENTIAL"),"_")))))</f>
        <v> </v>
      </c>
      <c r="H4486" s="24" t="str">
        <f>IF(J4486&lt;&gt;1,"",IF(I4486="SBJ","CB","?"))</f>
        <v> </v>
      </c>
      <c r="I4486" s="25" t="str">
        <f>IF(OR(E4486="",E4486="!!!",F4486="NEW"),"",INDEX(B4485:B$2,-1+SUMPRODUCT(MAX(ROW(E4485:E$2)*(E4486=E4485:E$2)))))</f>
        <v> </v>
      </c>
      <c r="J4486" s="25" t="str">
        <f>IF(OR(E4486="",E4486="!!!",F4486="NEW"),"",COUNTBLANK(OFFSET(A$1,,,SUMPRODUCT(MAX(ROW(E$2:E4486)*(E4486=E$2:E4486)))))-COUNTBLANK(OFFSET(A$1,,,SUMPRODUCT(MAX(ROW(E$1:E4485)*(E2=E$1:E4485))))))</f>
        <v> </v>
      </c>
      <c r="K4486" s="25" t="str">
        <f>IF(OR(E4486="",E4486="!!!",F4486="NEW"),"",INDEX(J$1:J4485,SUMPRODUCT(MAX(ROW(E$1:E4485)*(E4486=E$1:E4485)))))</f>
        <v> </v>
      </c>
      <c r="L4486" s="26"/>
    </row>
    <row r="4487" spans="1:12">
      <c r="A4487" s="20" t="s">
        <v>1231</v>
      </c>
      <c r="E4487" s="21">
        <f>IF(D4487="?OLD","!!!","")</f>
        <v/>
      </c>
      <c r="F4487" s="22" t="str">
        <f>IF(OR(E4487="",E4487="!!!"),"",IF(NOT(ISNA(VLOOKUP(E4487,E$1:E4486,1,FALSE()))),"OLD",IF(AND(E4487&lt;&gt;"",E4487&lt;&gt;"!!!"),"NEW","")))</f>
        <v> </v>
      </c>
      <c r="G4487" s="23" t="str">
        <f>IF(OR(E4487="",E4487="!!!"),"",IF(OR(J4487=0,AND(J4487=1,K4487=1),AND(J4487=1,I4487="SBJ"),AND(J4487=1,I4487=0)),"?IN_FOCUS",IF(J4487&lt;=2,"?ACTIVATED",IF(J4487&lt;&gt;"","?FAMILIAR",IF(F4487="NEW",IF(ISNA(VLOOKUP(E4487,#REF!,1,FALSE())),"?TYPE_IDENTIFIABLE","?REFERENTIAL"),"_")))))</f>
        <v> </v>
      </c>
      <c r="H4487" s="24" t="str">
        <f>IF(J4487&lt;&gt;1,"",IF(I4487="SBJ","CB","?"))</f>
        <v> </v>
      </c>
      <c r="I4487" s="25" t="str">
        <f>IF(OR(E4487="",E4487="!!!",F4487="NEW"),"",INDEX(B4486:B$2,-1+SUMPRODUCT(MAX(ROW(E4486:E$2)*(E4487=E4486:E$2)))))</f>
        <v> </v>
      </c>
      <c r="J4487" s="25" t="str">
        <f>IF(OR(E4487="",E4487="!!!",F4487="NEW"),"",COUNTBLANK(OFFSET(A$1,,,SUMPRODUCT(MAX(ROW(E$2:E4487)*(E4487=E$2:E4487)))))-COUNTBLANK(OFFSET(A$1,,,SUMPRODUCT(MAX(ROW(E$1:E4486)*(E2=E$1:E4486))))))</f>
        <v> </v>
      </c>
      <c r="K4487" s="25" t="str">
        <f>IF(OR(E4487="",E4487="!!!",F4487="NEW"),"",INDEX(J$1:J4486,SUMPRODUCT(MAX(ROW(E$1:E4486)*(E4487=E$1:E4486)))))</f>
        <v> </v>
      </c>
      <c r="L4487" s="26"/>
    </row>
    <row r="4488" spans="1:12">
      <c r="A4488" s="20" t="s">
        <v>3079</v>
      </c>
      <c r="B4488" s="27" t="s">
        <v>1103</v>
      </c>
      <c r="C4488" s="27" t="s">
        <v>1116</v>
      </c>
      <c r="D4488" s="27" t="s">
        <v>1105</v>
      </c>
      <c r="E4488" s="21">
        <f>IF(D4488="?OLD","!!!","")</f>
        <v/>
      </c>
      <c r="F4488" s="22" t="str">
        <f>IF(OR(E4488="",E4488="!!!"),"",IF(NOT(ISNA(VLOOKUP(E4488,E$1:E4487,1,FALSE()))),"OLD",IF(AND(E4488&lt;&gt;"",E4488&lt;&gt;"!!!"),"NEW","")))</f>
        <v> </v>
      </c>
      <c r="G4488" s="23" t="str">
        <f>IF(OR(E4488="",E4488="!!!"),"",IF(OR(J4488=0,AND(J4488=1,K4488=1),AND(J4488=1,I4488="SBJ"),AND(J4488=1,I4488=0)),"?IN_FOCUS",IF(J4488&lt;=2,"?ACTIVATED",IF(J4488&lt;&gt;"","?FAMILIAR",IF(F4488="NEW",IF(ISNA(VLOOKUP(E4488,#REF!,1,FALSE())),"?TYPE_IDENTIFIABLE","?REFERENTIAL"),"_")))))</f>
        <v> </v>
      </c>
      <c r="H4488" s="24" t="str">
        <f>IF(J4488&lt;&gt;1,"",IF(I4488="SBJ","CB","?"))</f>
        <v> </v>
      </c>
      <c r="I4488" s="25" t="str">
        <f>IF(OR(E4488="",E4488="!!!",F4488="NEW"),"",INDEX(B4487:B$2,-1+SUMPRODUCT(MAX(ROW(E4487:E$2)*(E4488=E4487:E$2)))))</f>
        <v> </v>
      </c>
      <c r="J4488" s="25" t="str">
        <f>IF(OR(E4488="",E4488="!!!",F4488="NEW"),"",COUNTBLANK(OFFSET(A$1,,,SUMPRODUCT(MAX(ROW(E$2:E4488)*(E4488=E$2:E4488)))))-COUNTBLANK(OFFSET(A$1,,,SUMPRODUCT(MAX(ROW(E$1:E4487)*(E2=E$1:E4487))))))</f>
        <v> </v>
      </c>
      <c r="K4488" s="25" t="str">
        <f>IF(OR(E4488="",E4488="!!!",F4488="NEW"),"",INDEX(J$1:J4487,SUMPRODUCT(MAX(ROW(E$1:E4487)*(E4488=E$1:E4487)))))</f>
        <v> </v>
      </c>
      <c r="L4488" s="26"/>
    </row>
    <row r="4489" spans="1:12">
      <c r="A4489" s="20" t="s">
        <v>1123</v>
      </c>
      <c r="E4489" s="21">
        <f>IF(D4489="?OLD","!!!","")</f>
        <v/>
      </c>
      <c r="F4489" s="22" t="str">
        <f>IF(OR(E4489="",E4489="!!!"),"",IF(NOT(ISNA(VLOOKUP(E4489,E$1:E4488,1,FALSE()))),"OLD",IF(AND(E4489&lt;&gt;"",E4489&lt;&gt;"!!!"),"NEW","")))</f>
        <v> </v>
      </c>
      <c r="G4489" s="23" t="str">
        <f>IF(OR(E4489="",E4489="!!!"),"",IF(OR(J4489=0,AND(J4489=1,K4489=1),AND(J4489=1,I4489="SBJ"),AND(J4489=1,I4489=0)),"?IN_FOCUS",IF(J4489&lt;=2,"?ACTIVATED",IF(J4489&lt;&gt;"","?FAMILIAR",IF(F4489="NEW",IF(ISNA(VLOOKUP(E4489,#REF!,1,FALSE())),"?TYPE_IDENTIFIABLE","?REFERENTIAL"),"_")))))</f>
        <v> </v>
      </c>
      <c r="H4489" s="24" t="str">
        <f>IF(J4489&lt;&gt;1,"",IF(I4489="SBJ","CB","?"))</f>
        <v> </v>
      </c>
      <c r="I4489" s="25" t="str">
        <f>IF(OR(E4489="",E4489="!!!",F4489="NEW"),"",INDEX(B4488:B$2,-1+SUMPRODUCT(MAX(ROW(E4488:E$2)*(E4489=E4488:E$2)))))</f>
        <v> </v>
      </c>
      <c r="J4489" s="25" t="str">
        <f>IF(OR(E4489="",E4489="!!!",F4489="NEW"),"",COUNTBLANK(OFFSET(A$1,,,SUMPRODUCT(MAX(ROW(E$2:E4489)*(E4489=E$2:E4489)))))-COUNTBLANK(OFFSET(A$1,,,SUMPRODUCT(MAX(ROW(E$1:E4488)*(E2=E$1:E4488))))))</f>
        <v> </v>
      </c>
      <c r="K4489" s="25" t="str">
        <f>IF(OR(E4489="",E4489="!!!",F4489="NEW"),"",INDEX(J$1:J4488,SUMPRODUCT(MAX(ROW(E$1:E4488)*(E4489=E$1:E4488)))))</f>
        <v> </v>
      </c>
      <c r="L4489" s="26"/>
    </row>
    <row r="4490" spans="1:12">
      <c r="A4490" s="20" t="s">
        <v>135</v>
      </c>
      <c r="E4490" s="21">
        <f>IF(D4490="?OLD","!!!","")</f>
        <v/>
      </c>
      <c r="F4490" s="22" t="str">
        <f>IF(OR(E4490="",E4490="!!!"),"",IF(NOT(ISNA(VLOOKUP(E4490,E$1:E4489,1,FALSE()))),"OLD",IF(AND(E4490&lt;&gt;"",E4490&lt;&gt;"!!!"),"NEW","")))</f>
        <v> </v>
      </c>
      <c r="G4490" s="23" t="str">
        <f>IF(OR(E4490="",E4490="!!!"),"",IF(OR(J4490=0,AND(J4490=1,K4490=1),AND(J4490=1,I4490="SBJ"),AND(J4490=1,I4490=0)),"?IN_FOCUS",IF(J4490&lt;=2,"?ACTIVATED",IF(J4490&lt;&gt;"","?FAMILIAR",IF(F4490="NEW",IF(ISNA(VLOOKUP(E4490,#REF!,1,FALSE())),"?TYPE_IDENTIFIABLE","?REFERENTIAL"),"_")))))</f>
        <v> </v>
      </c>
      <c r="H4490" s="24" t="str">
        <f>IF(J4490&lt;&gt;1,"",IF(I4490="SBJ","CB","?"))</f>
        <v> </v>
      </c>
      <c r="I4490" s="25" t="str">
        <f>IF(OR(E4490="",E4490="!!!",F4490="NEW"),"",INDEX(B4489:B$2,-1+SUMPRODUCT(MAX(ROW(E4489:E$2)*(E4490=E4489:E$2)))))</f>
        <v> </v>
      </c>
      <c r="J4490" s="25" t="str">
        <f>IF(OR(E4490="",E4490="!!!",F4490="NEW"),"",COUNTBLANK(OFFSET(A$1,,,SUMPRODUCT(MAX(ROW(E$2:E4490)*(E4490=E$2:E4490)))))-COUNTBLANK(OFFSET(A$1,,,SUMPRODUCT(MAX(ROW(E$1:E4489)*(E2=E$1:E4489))))))</f>
        <v> </v>
      </c>
      <c r="K4490" s="25" t="str">
        <f>IF(OR(E4490="",E4490="!!!",F4490="NEW"),"",INDEX(J$1:J4489,SUMPRODUCT(MAX(ROW(E$1:E4489)*(E4490=E$1:E4489)))))</f>
        <v> </v>
      </c>
      <c r="L4490" s="26"/>
    </row>
    <row r="4491" spans="1:12">
      <c r="A4491" s="20" t="s">
        <v>763</v>
      </c>
      <c r="B4491" s="27" t="s">
        <v>1259</v>
      </c>
      <c r="E4491" s="21">
        <f>IF(D4491="?OLD","!!!","")</f>
        <v/>
      </c>
      <c r="F4491" s="22" t="str">
        <f>IF(OR(E4491="",E4491="!!!"),"",IF(NOT(ISNA(VLOOKUP(E4491,E$1:E4490,1,FALSE()))),"OLD",IF(AND(E4491&lt;&gt;"",E4491&lt;&gt;"!!!"),"NEW","")))</f>
        <v> </v>
      </c>
      <c r="G4491" s="23" t="str">
        <f>IF(OR(E4491="",E4491="!!!"),"",IF(OR(J4491=0,AND(J4491=1,K4491=1),AND(J4491=1,I4491="SBJ"),AND(J4491=1,I4491=0)),"?IN_FOCUS",IF(J4491&lt;=2,"?ACTIVATED",IF(J4491&lt;&gt;"","?FAMILIAR",IF(F4491="NEW",IF(ISNA(VLOOKUP(E4491,#REF!,1,FALSE())),"?TYPE_IDENTIFIABLE","?REFERENTIAL"),"_")))))</f>
        <v> </v>
      </c>
      <c r="H4491" s="24" t="str">
        <f>IF(J4491&lt;&gt;1,"",IF(I4491="SBJ","CB","?"))</f>
        <v> </v>
      </c>
      <c r="I4491" s="25" t="str">
        <f>IF(OR(E4491="",E4491="!!!",F4491="NEW"),"",INDEX(B4490:B$2,-1+SUMPRODUCT(MAX(ROW(E4490:E$2)*(E4491=E4490:E$2)))))</f>
        <v> </v>
      </c>
      <c r="J4491" s="25" t="str">
        <f>IF(OR(E4491="",E4491="!!!",F4491="NEW"),"",COUNTBLANK(OFFSET(A$1,,,SUMPRODUCT(MAX(ROW(E$2:E4491)*(E4491=E$2:E4491)))))-COUNTBLANK(OFFSET(A$1,,,SUMPRODUCT(MAX(ROW(E$1:E4490)*(E2=E$1:E4490))))))</f>
        <v> </v>
      </c>
      <c r="K4491" s="25" t="str">
        <f>IF(OR(E4491="",E4491="!!!",F4491="NEW"),"",INDEX(J$1:J4490,SUMPRODUCT(MAX(ROW(E$1:E4490)*(E4491=E$1:E4490)))))</f>
        <v> </v>
      </c>
      <c r="L4491" s="26"/>
    </row>
    <row r="4492" spans="1:12">
      <c r="A4492" s="20" t="s">
        <v>3080</v>
      </c>
      <c r="E4492" s="21">
        <f>IF(D4492="?OLD","!!!","")</f>
        <v/>
      </c>
      <c r="F4492" s="22" t="str">
        <f>IF(OR(E4492="",E4492="!!!"),"",IF(NOT(ISNA(VLOOKUP(E4492,E$1:E4491,1,FALSE()))),"OLD",IF(AND(E4492&lt;&gt;"",E4492&lt;&gt;"!!!"),"NEW","")))</f>
        <v> </v>
      </c>
      <c r="G4492" s="23" t="str">
        <f>IF(OR(E4492="",E4492="!!!"),"",IF(OR(J4492=0,AND(J4492=1,K4492=1),AND(J4492=1,I4492="SBJ"),AND(J4492=1,I4492=0)),"?IN_FOCUS",IF(J4492&lt;=2,"?ACTIVATED",IF(J4492&lt;&gt;"","?FAMILIAR",IF(F4492="NEW",IF(ISNA(VLOOKUP(E4492,#REF!,1,FALSE())),"?TYPE_IDENTIFIABLE","?REFERENTIAL"),"_")))))</f>
        <v> </v>
      </c>
      <c r="H4492" s="24" t="str">
        <f>IF(J4492&lt;&gt;1,"",IF(I4492="SBJ","CB","?"))</f>
        <v> </v>
      </c>
      <c r="I4492" s="25" t="str">
        <f>IF(OR(E4492="",E4492="!!!",F4492="NEW"),"",INDEX(B4491:B$2,-1+SUMPRODUCT(MAX(ROW(E4491:E$2)*(E4492=E4491:E$2)))))</f>
        <v> </v>
      </c>
      <c r="J4492" s="25" t="str">
        <f>IF(OR(E4492="",E4492="!!!",F4492="NEW"),"",COUNTBLANK(OFFSET(A$1,,,SUMPRODUCT(MAX(ROW(E$2:E4492)*(E4492=E$2:E4492)))))-COUNTBLANK(OFFSET(A$1,,,SUMPRODUCT(MAX(ROW(E$1:E4491)*(E2=E$1:E4491))))))</f>
        <v> </v>
      </c>
      <c r="K4492" s="25" t="str">
        <f>IF(OR(E4492="",E4492="!!!",F4492="NEW"),"",INDEX(J$1:J4491,SUMPRODUCT(MAX(ROW(E$1:E4491)*(E4492=E$1:E4491)))))</f>
        <v> </v>
      </c>
      <c r="L4492" s="26"/>
    </row>
    <row r="4493" spans="1:12">
      <c r="A4493" s="20" t="s">
        <v>1173</v>
      </c>
      <c r="E4493" s="21">
        <f>IF(D4493="?OLD","!!!","")</f>
        <v/>
      </c>
      <c r="F4493" s="22" t="str">
        <f>IF(OR(E4493="",E4493="!!!"),"",IF(NOT(ISNA(VLOOKUP(E4493,E$1:E4492,1,FALSE()))),"OLD",IF(AND(E4493&lt;&gt;"",E4493&lt;&gt;"!!!"),"NEW","")))</f>
        <v> </v>
      </c>
      <c r="G4493" s="23" t="str">
        <f>IF(OR(E4493="",E4493="!!!"),"",IF(OR(J4493=0,AND(J4493=1,K4493=1),AND(J4493=1,I4493="SBJ"),AND(J4493=1,I4493=0)),"?IN_FOCUS",IF(J4493&lt;=2,"?ACTIVATED",IF(J4493&lt;&gt;"","?FAMILIAR",IF(F4493="NEW",IF(ISNA(VLOOKUP(E4493,#REF!,1,FALSE())),"?TYPE_IDENTIFIABLE","?REFERENTIAL"),"_")))))</f>
        <v> </v>
      </c>
      <c r="H4493" s="24" t="str">
        <f>IF(J4493&lt;&gt;1,"",IF(I4493="SBJ","CB","?"))</f>
        <v> </v>
      </c>
      <c r="I4493" s="25" t="str">
        <f>IF(OR(E4493="",E4493="!!!",F4493="NEW"),"",INDEX(B4492:B$2,-1+SUMPRODUCT(MAX(ROW(E4492:E$2)*(E4493=E4492:E$2)))))</f>
        <v> </v>
      </c>
      <c r="J4493" s="25" t="str">
        <f>IF(OR(E4493="",E4493="!!!",F4493="NEW"),"",COUNTBLANK(OFFSET(A$1,,,SUMPRODUCT(MAX(ROW(E$2:E4493)*(E4493=E$2:E4493)))))-COUNTBLANK(OFFSET(A$1,,,SUMPRODUCT(MAX(ROW(E$1:E4492)*(E2=E$1:E4492))))))</f>
        <v> </v>
      </c>
      <c r="K4493" s="25" t="str">
        <f>IF(OR(E4493="",E4493="!!!",F4493="NEW"),"",INDEX(J$1:J4492,SUMPRODUCT(MAX(ROW(E$1:E4492)*(E4493=E$1:E4492)))))</f>
        <v> </v>
      </c>
      <c r="L4493" s="26"/>
    </row>
    <row r="4494" spans="1:12">
      <c r="A4494" s="20" t="s">
        <v>1166</v>
      </c>
      <c r="B4494" s="27" t="s">
        <v>1115</v>
      </c>
      <c r="C4494" s="27" t="s">
        <v>1126</v>
      </c>
      <c r="D4494" s="27" t="s">
        <v>1105</v>
      </c>
      <c r="E4494" s="21">
        <f>IF(D4494="?OLD","!!!","")</f>
        <v/>
      </c>
      <c r="F4494" s="22" t="str">
        <f>IF(OR(E4494="",E4494="!!!"),"",IF(NOT(ISNA(VLOOKUP(E4494,E$1:E4493,1,FALSE()))),"OLD",IF(AND(E4494&lt;&gt;"",E4494&lt;&gt;"!!!"),"NEW","")))</f>
        <v> </v>
      </c>
      <c r="G4494" s="23" t="str">
        <f>IF(OR(E4494="",E4494="!!!"),"",IF(OR(J4494=0,AND(J4494=1,K4494=1),AND(J4494=1,I4494="SBJ"),AND(J4494=1,I4494=0)),"?IN_FOCUS",IF(J4494&lt;=2,"?ACTIVATED",IF(J4494&lt;&gt;"","?FAMILIAR",IF(F4494="NEW",IF(ISNA(VLOOKUP(E4494,#REF!,1,FALSE())),"?TYPE_IDENTIFIABLE","?REFERENTIAL"),"_")))))</f>
        <v> </v>
      </c>
      <c r="H4494" s="24" t="str">
        <f>IF(J4494&lt;&gt;1,"",IF(I4494="SBJ","CB","?"))</f>
        <v> </v>
      </c>
      <c r="I4494" s="25" t="str">
        <f>IF(OR(E4494="",E4494="!!!",F4494="NEW"),"",INDEX(B4493:B$2,-1+SUMPRODUCT(MAX(ROW(E4493:E$2)*(E4494=E4493:E$2)))))</f>
        <v> </v>
      </c>
      <c r="J4494" s="25" t="str">
        <f>IF(OR(E4494="",E4494="!!!",F4494="NEW"),"",COUNTBLANK(OFFSET(A$1,,,SUMPRODUCT(MAX(ROW(E$2:E4494)*(E4494=E$2:E4494)))))-COUNTBLANK(OFFSET(A$1,,,SUMPRODUCT(MAX(ROW(E$1:E4493)*(E2=E$1:E4493))))))</f>
        <v> </v>
      </c>
      <c r="K4494" s="25" t="str">
        <f>IF(OR(E4494="",E4494="!!!",F4494="NEW"),"",INDEX(J$1:J4493,SUMPRODUCT(MAX(ROW(E$1:E4493)*(E4494=E$1:E4493)))))</f>
        <v> </v>
      </c>
      <c r="L4494" s="26"/>
    </row>
    <row r="4495" spans="1:12">
      <c r="A4495" s="20" t="s">
        <v>2099</v>
      </c>
      <c r="E4495" s="21">
        <f>IF(D4495="?OLD","!!!","")</f>
        <v/>
      </c>
      <c r="F4495" s="22" t="str">
        <f>IF(OR(E4495="",E4495="!!!"),"",IF(NOT(ISNA(VLOOKUP(E4495,E$1:E4494,1,FALSE()))),"OLD",IF(AND(E4495&lt;&gt;"",E4495&lt;&gt;"!!!"),"NEW","")))</f>
        <v> </v>
      </c>
      <c r="G4495" s="23" t="str">
        <f>IF(OR(E4495="",E4495="!!!"),"",IF(OR(J4495=0,AND(J4495=1,K4495=1),AND(J4495=1,I4495="SBJ"),AND(J4495=1,I4495=0)),"?IN_FOCUS",IF(J4495&lt;=2,"?ACTIVATED",IF(J4495&lt;&gt;"","?FAMILIAR",IF(F4495="NEW",IF(ISNA(VLOOKUP(E4495,#REF!,1,FALSE())),"?TYPE_IDENTIFIABLE","?REFERENTIAL"),"_")))))</f>
        <v> </v>
      </c>
      <c r="H4495" s="24" t="str">
        <f>IF(J4495&lt;&gt;1,"",IF(I4495="SBJ","CB","?"))</f>
        <v> </v>
      </c>
      <c r="I4495" s="25" t="str">
        <f>IF(OR(E4495="",E4495="!!!",F4495="NEW"),"",INDEX(B4494:B$2,-1+SUMPRODUCT(MAX(ROW(E4494:E$2)*(E4495=E4494:E$2)))))</f>
        <v> </v>
      </c>
      <c r="J4495" s="25" t="str">
        <f>IF(OR(E4495="",E4495="!!!",F4495="NEW"),"",COUNTBLANK(OFFSET(A$1,,,SUMPRODUCT(MAX(ROW(E$2:E4495)*(E4495=E$2:E4495)))))-COUNTBLANK(OFFSET(A$1,,,SUMPRODUCT(MAX(ROW(E$1:E4494)*(E2=E$1:E4494))))))</f>
        <v> </v>
      </c>
      <c r="K4495" s="25" t="str">
        <f>IF(OR(E4495="",E4495="!!!",F4495="NEW"),"",INDEX(J$1:J4494,SUMPRODUCT(MAX(ROW(E$1:E4494)*(E4495=E$1:E4494)))))</f>
        <v> </v>
      </c>
      <c r="L4495" s="26"/>
    </row>
    <row r="4496" spans="1:12">
      <c r="A4496" s="20" t="s">
        <v>1186</v>
      </c>
      <c r="B4496" s="27" t="s">
        <v>1141</v>
      </c>
      <c r="C4496" s="27" t="s">
        <v>1126</v>
      </c>
      <c r="D4496" s="27" t="s">
        <v>1105</v>
      </c>
      <c r="E4496" s="21">
        <f>IF(D4496="?OLD","!!!","")</f>
        <v/>
      </c>
      <c r="F4496" s="22" t="str">
        <f>IF(OR(E4496="",E4496="!!!"),"",IF(NOT(ISNA(VLOOKUP(E4496,E$1:E4495,1,FALSE()))),"OLD",IF(AND(E4496&lt;&gt;"",E4496&lt;&gt;"!!!"),"NEW","")))</f>
        <v> </v>
      </c>
      <c r="G4496" s="23" t="str">
        <f>IF(OR(E4496="",E4496="!!!"),"",IF(OR(J4496=0,AND(J4496=1,K4496=1),AND(J4496=1,I4496="SBJ"),AND(J4496=1,I4496=0)),"?IN_FOCUS",IF(J4496&lt;=2,"?ACTIVATED",IF(J4496&lt;&gt;"","?FAMILIAR",IF(F4496="NEW",IF(ISNA(VLOOKUP(E4496,#REF!,1,FALSE())),"?TYPE_IDENTIFIABLE","?REFERENTIAL"),"_")))))</f>
        <v> </v>
      </c>
      <c r="H4496" s="24" t="str">
        <f>IF(J4496&lt;&gt;1,"",IF(I4496="SBJ","CB","?"))</f>
        <v> </v>
      </c>
      <c r="I4496" s="25" t="str">
        <f>IF(OR(E4496="",E4496="!!!",F4496="NEW"),"",INDEX(B4495:B$2,-1+SUMPRODUCT(MAX(ROW(E4495:E$2)*(E4496=E4495:E$2)))))</f>
        <v> </v>
      </c>
      <c r="J4496" s="25" t="str">
        <f>IF(OR(E4496="",E4496="!!!",F4496="NEW"),"",COUNTBLANK(OFFSET(A$1,,,SUMPRODUCT(MAX(ROW(E$2:E4496)*(E4496=E$2:E4496)))))-COUNTBLANK(OFFSET(A$1,,,SUMPRODUCT(MAX(ROW(E$1:E4495)*(E2=E$1:E4495))))))</f>
        <v> </v>
      </c>
      <c r="K4496" s="25" t="str">
        <f>IF(OR(E4496="",E4496="!!!",F4496="NEW"),"",INDEX(J$1:J4495,SUMPRODUCT(MAX(ROW(E$1:E4495)*(E4496=E$1:E4495)))))</f>
        <v> </v>
      </c>
      <c r="L4496" s="26"/>
    </row>
    <row r="4497" spans="1:12">
      <c r="A4497" s="20" t="s">
        <v>2126</v>
      </c>
      <c r="B4497" s="27" t="s">
        <v>1144</v>
      </c>
      <c r="E4497" s="21">
        <f>IF(D4497="?OLD","!!!","")</f>
        <v/>
      </c>
      <c r="F4497" s="22" t="str">
        <f>IF(OR(E4497="",E4497="!!!"),"",IF(NOT(ISNA(VLOOKUP(E4497,E$1:E4496,1,FALSE()))),"OLD",IF(AND(E4497&lt;&gt;"",E4497&lt;&gt;"!!!"),"NEW","")))</f>
        <v> </v>
      </c>
      <c r="G4497" s="23" t="str">
        <f>IF(OR(E4497="",E4497="!!!"),"",IF(OR(J4497=0,AND(J4497=1,K4497=1),AND(J4497=1,I4497="SBJ"),AND(J4497=1,I4497=0)),"?IN_FOCUS",IF(J4497&lt;=2,"?ACTIVATED",IF(J4497&lt;&gt;"","?FAMILIAR",IF(F4497="NEW",IF(ISNA(VLOOKUP(E4497,#REF!,1,FALSE())),"?TYPE_IDENTIFIABLE","?REFERENTIAL"),"_")))))</f>
        <v> </v>
      </c>
      <c r="H4497" s="24" t="str">
        <f>IF(J4497&lt;&gt;1,"",IF(I4497="SBJ","CB","?"))</f>
        <v> </v>
      </c>
      <c r="I4497" s="25" t="str">
        <f>IF(OR(E4497="",E4497="!!!",F4497="NEW"),"",INDEX(B4496:B$2,-1+SUMPRODUCT(MAX(ROW(E4496:E$2)*(E4497=E4496:E$2)))))</f>
        <v> </v>
      </c>
      <c r="J4497" s="25" t="str">
        <f>IF(OR(E4497="",E4497="!!!",F4497="NEW"),"",COUNTBLANK(OFFSET(A$1,,,SUMPRODUCT(MAX(ROW(E$2:E4497)*(E4497=E$2:E4497)))))-COUNTBLANK(OFFSET(A$1,,,SUMPRODUCT(MAX(ROW(E$1:E4496)*(E2=E$1:E4496))))))</f>
        <v> </v>
      </c>
      <c r="K4497" s="25" t="str">
        <f>IF(OR(E4497="",E4497="!!!",F4497="NEW"),"",INDEX(J$1:J4496,SUMPRODUCT(MAX(ROW(E$1:E4496)*(E4497=E$1:E4496)))))</f>
        <v> </v>
      </c>
      <c r="L4497" s="26"/>
    </row>
    <row r="4498" spans="1:12">
      <c r="A4498" s="20" t="s">
        <v>1123</v>
      </c>
      <c r="E4498" s="21">
        <f>IF(D4498="?OLD","!!!","")</f>
        <v/>
      </c>
      <c r="F4498" s="22" t="str">
        <f>IF(OR(E4498="",E4498="!!!"),"",IF(NOT(ISNA(VLOOKUP(E4498,E$1:E4497,1,FALSE()))),"OLD",IF(AND(E4498&lt;&gt;"",E4498&lt;&gt;"!!!"),"NEW","")))</f>
        <v> </v>
      </c>
      <c r="G4498" s="23" t="str">
        <f>IF(OR(E4498="",E4498="!!!"),"",IF(OR(J4498=0,AND(J4498=1,K4498=1),AND(J4498=1,I4498="SBJ"),AND(J4498=1,I4498=0)),"?IN_FOCUS",IF(J4498&lt;=2,"?ACTIVATED",IF(J4498&lt;&gt;"","?FAMILIAR",IF(F4498="NEW",IF(ISNA(VLOOKUP(E4498,#REF!,1,FALSE())),"?TYPE_IDENTIFIABLE","?REFERENTIAL"),"_")))))</f>
        <v> </v>
      </c>
      <c r="H4498" s="24" t="str">
        <f>IF(J4498&lt;&gt;1,"",IF(I4498="SBJ","CB","?"))</f>
        <v> </v>
      </c>
      <c r="I4498" s="25" t="str">
        <f>IF(OR(E4498="",E4498="!!!",F4498="NEW"),"",INDEX(B4497:B$2,-1+SUMPRODUCT(MAX(ROW(E4497:E$2)*(E4498=E4497:E$2)))))</f>
        <v> </v>
      </c>
      <c r="J4498" s="25" t="str">
        <f>IF(OR(E4498="",E4498="!!!",F4498="NEW"),"",COUNTBLANK(OFFSET(A$1,,,SUMPRODUCT(MAX(ROW(E$2:E4498)*(E4498=E$2:E4498)))))-COUNTBLANK(OFFSET(A$1,,,SUMPRODUCT(MAX(ROW(E$1:E4497)*(E2=E$1:E4497))))))</f>
        <v> </v>
      </c>
      <c r="K4498" s="25" t="str">
        <f>IF(OR(E4498="",E4498="!!!",F4498="NEW"),"",INDEX(J$1:J4497,SUMPRODUCT(MAX(ROW(E$1:E4497)*(E4498=E$1:E4497)))))</f>
        <v> </v>
      </c>
      <c r="L4498" s="26"/>
    </row>
    <row r="4499" spans="1:12">
      <c r="A4499" s="20" t="s">
        <v>1181</v>
      </c>
      <c r="B4499" s="27" t="s">
        <v>1125</v>
      </c>
      <c r="C4499" s="27" t="s">
        <v>1133</v>
      </c>
      <c r="E4499" s="21">
        <f>IF(D4499="?OLD","!!!","")</f>
        <v/>
      </c>
      <c r="F4499" s="22" t="str">
        <f>IF(OR(E4499="",E4499="!!!"),"",IF(NOT(ISNA(VLOOKUP(E4499,E$1:E4498,1,FALSE()))),"OLD",IF(AND(E4499&lt;&gt;"",E4499&lt;&gt;"!!!"),"NEW","")))</f>
        <v> </v>
      </c>
      <c r="G4499" s="23" t="str">
        <f>IF(OR(E4499="",E4499="!!!"),"",IF(OR(J4499=0,AND(J4499=1,K4499=1),AND(J4499=1,I4499="SBJ"),AND(J4499=1,I4499=0)),"?IN_FOCUS",IF(J4499&lt;=2,"?ACTIVATED",IF(J4499&lt;&gt;"","?FAMILIAR",IF(F4499="NEW",IF(ISNA(VLOOKUP(E4499,#REF!,1,FALSE())),"?TYPE_IDENTIFIABLE","?REFERENTIAL"),"_")))))</f>
        <v> </v>
      </c>
      <c r="H4499" s="24" t="str">
        <f>IF(J4499&lt;&gt;1,"",IF(I4499="SBJ","CB","?"))</f>
        <v> </v>
      </c>
      <c r="I4499" s="25" t="str">
        <f>IF(OR(E4499="",E4499="!!!",F4499="NEW"),"",INDEX(B4498:B$2,-1+SUMPRODUCT(MAX(ROW(E4498:E$2)*(E4499=E4498:E$2)))))</f>
        <v> </v>
      </c>
      <c r="J4499" s="25" t="str">
        <f>IF(OR(E4499="",E4499="!!!",F4499="NEW"),"",COUNTBLANK(OFFSET(A$1,,,SUMPRODUCT(MAX(ROW(E$2:E4499)*(E4499=E$2:E4499)))))-COUNTBLANK(OFFSET(A$1,,,SUMPRODUCT(MAX(ROW(E$1:E4498)*(E2=E$1:E4498))))))</f>
        <v> </v>
      </c>
      <c r="K4499" s="25" t="str">
        <f>IF(OR(E4499="",E4499="!!!",F4499="NEW"),"",INDEX(J$1:J4498,SUMPRODUCT(MAX(ROW(E$1:E4498)*(E4499=E$1:E4498)))))</f>
        <v> </v>
      </c>
      <c r="L4499" s="26"/>
    </row>
    <row r="4500" spans="1:12">
      <c r="A4500" s="20" t="s">
        <v>1101</v>
      </c>
      <c r="E4500" s="21">
        <f>IF(D4500="?OLD","!!!","")</f>
        <v/>
      </c>
      <c r="F4500" s="22" t="str">
        <f>IF(OR(E4500="",E4500="!!!"),"",IF(NOT(ISNA(VLOOKUP(E4500,E$1:E4499,1,FALSE()))),"OLD",IF(AND(E4500&lt;&gt;"",E4500&lt;&gt;"!!!"),"NEW","")))</f>
        <v> </v>
      </c>
      <c r="G4500" s="23" t="str">
        <f>IF(OR(E4500="",E4500="!!!"),"",IF(OR(J4500=0,AND(J4500=1,K4500=1),AND(J4500=1,I4500="SBJ"),AND(J4500=1,I4500=0)),"?IN_FOCUS",IF(J4500&lt;=2,"?ACTIVATED",IF(J4500&lt;&gt;"","?FAMILIAR",IF(F4500="NEW",IF(ISNA(VLOOKUP(E4500,#REF!,1,FALSE())),"?TYPE_IDENTIFIABLE","?REFERENTIAL"),"_")))))</f>
        <v> </v>
      </c>
      <c r="H4500" s="24" t="str">
        <f>IF(J4500&lt;&gt;1,"",IF(I4500="SBJ","CB","?"))</f>
        <v> </v>
      </c>
      <c r="I4500" s="25" t="str">
        <f>IF(OR(E4500="",E4500="!!!",F4500="NEW"),"",INDEX(B4499:B$2,-1+SUMPRODUCT(MAX(ROW(E4499:E$2)*(E4500=E4499:E$2)))))</f>
        <v> </v>
      </c>
      <c r="J4500" s="25" t="str">
        <f>IF(OR(E4500="",E4500="!!!",F4500="NEW"),"",COUNTBLANK(OFFSET(A$1,,,SUMPRODUCT(MAX(ROW(E$2:E4500)*(E4500=E$2:E4500)))))-COUNTBLANK(OFFSET(A$1,,,SUMPRODUCT(MAX(ROW(E$1:E4499)*(E2=E$1:E4499))))))</f>
        <v> </v>
      </c>
      <c r="K4500" s="25" t="str">
        <f>IF(OR(E4500="",E4500="!!!",F4500="NEW"),"",INDEX(J$1:J4499,SUMPRODUCT(MAX(ROW(E$1:E4499)*(E4500=E$1:E4499)))))</f>
        <v> </v>
      </c>
      <c r="L4500" s="26"/>
    </row>
    <row r="4501" spans="1:12">
      <c r="A4501" s="20" t="s">
        <v>3081</v>
      </c>
      <c r="E4501" s="21">
        <f>IF(D4501="?OLD","!!!","")</f>
        <v/>
      </c>
      <c r="F4501" s="22" t="str">
        <f>IF(OR(E4501="",E4501="!!!"),"",IF(NOT(ISNA(VLOOKUP(E4501,E$1:E4500,1,FALSE()))),"OLD",IF(AND(E4501&lt;&gt;"",E4501&lt;&gt;"!!!"),"NEW","")))</f>
        <v> </v>
      </c>
      <c r="G4501" s="23" t="str">
        <f>IF(OR(E4501="",E4501="!!!"),"",IF(OR(J4501=0,AND(J4501=1,K4501=1),AND(J4501=1,I4501="SBJ"),AND(J4501=1,I4501=0)),"?IN_FOCUS",IF(J4501&lt;=2,"?ACTIVATED",IF(J4501&lt;&gt;"","?FAMILIAR",IF(F4501="NEW",IF(ISNA(VLOOKUP(E4501,#REF!,1,FALSE())),"?TYPE_IDENTIFIABLE","?REFERENTIAL"),"_")))))</f>
        <v> </v>
      </c>
      <c r="H4501" s="24" t="str">
        <f>IF(J4501&lt;&gt;1,"",IF(I4501="SBJ","CB","?"))</f>
        <v> </v>
      </c>
      <c r="I4501" s="25" t="str">
        <f>IF(OR(E4501="",E4501="!!!",F4501="NEW"),"",INDEX(B4500:B$2,-1+SUMPRODUCT(MAX(ROW(E4500:E$2)*(E4501=E4500:E$2)))))</f>
        <v> </v>
      </c>
      <c r="J4501" s="25" t="str">
        <f>IF(OR(E4501="",E4501="!!!",F4501="NEW"),"",COUNTBLANK(OFFSET(A$1,,,SUMPRODUCT(MAX(ROW(E$2:E4501)*(E4501=E$2:E4501)))))-COUNTBLANK(OFFSET(A$1,,,SUMPRODUCT(MAX(ROW(E$1:E4500)*(E2=E$1:E4500))))))</f>
        <v> </v>
      </c>
      <c r="K4501" s="25" t="str">
        <f>IF(OR(E4501="",E4501="!!!",F4501="NEW"),"",INDEX(J$1:J4500,SUMPRODUCT(MAX(ROW(E$1:E4500)*(E4501=E$1:E4500)))))</f>
        <v> </v>
      </c>
      <c r="L4501" s="26"/>
    </row>
    <row r="4502" spans="1:12">
      <c r="A4502" s="20" t="s">
        <v>3082</v>
      </c>
      <c r="E4502" s="21">
        <f>IF(D4502="?OLD","!!!","")</f>
        <v/>
      </c>
      <c r="F4502" s="22" t="str">
        <f>IF(OR(E4502="",E4502="!!!"),"",IF(NOT(ISNA(VLOOKUP(E4502,E$1:E4501,1,FALSE()))),"OLD",IF(AND(E4502&lt;&gt;"",E4502&lt;&gt;"!!!"),"NEW","")))</f>
        <v> </v>
      </c>
      <c r="G4502" s="23" t="str">
        <f>IF(OR(E4502="",E4502="!!!"),"",IF(OR(J4502=0,AND(J4502=1,K4502=1),AND(J4502=1,I4502="SBJ"),AND(J4502=1,I4502=0)),"?IN_FOCUS",IF(J4502&lt;=2,"?ACTIVATED",IF(J4502&lt;&gt;"","?FAMILIAR",IF(F4502="NEW",IF(ISNA(VLOOKUP(E4502,#REF!,1,FALSE())),"?TYPE_IDENTIFIABLE","?REFERENTIAL"),"_")))))</f>
        <v> </v>
      </c>
      <c r="H4502" s="24" t="str">
        <f>IF(J4502&lt;&gt;1,"",IF(I4502="SBJ","CB","?"))</f>
        <v> </v>
      </c>
      <c r="I4502" s="25" t="str">
        <f>IF(OR(E4502="",E4502="!!!",F4502="NEW"),"",INDEX(B4501:B$2,-1+SUMPRODUCT(MAX(ROW(E4501:E$2)*(E4502=E4501:E$2)))))</f>
        <v> </v>
      </c>
      <c r="J4502" s="25" t="str">
        <f>IF(OR(E4502="",E4502="!!!",F4502="NEW"),"",COUNTBLANK(OFFSET(A$1,,,SUMPRODUCT(MAX(ROW(E$2:E4502)*(E4502=E$2:E4502)))))-COUNTBLANK(OFFSET(A$1,,,SUMPRODUCT(MAX(ROW(E$1:E4501)*(E2=E$1:E4501))))))</f>
        <v> </v>
      </c>
      <c r="K4502" s="25" t="str">
        <f>IF(OR(E4502="",E4502="!!!",F4502="NEW"),"",INDEX(J$1:J4501,SUMPRODUCT(MAX(ROW(E$1:E4501)*(E4502=E$1:E4501)))))</f>
        <v> </v>
      </c>
      <c r="L4502" s="26"/>
    </row>
    <row r="4503" spans="1:12">
      <c r="A4503" s="20" t="s">
        <v>3083</v>
      </c>
      <c r="E4503" s="21">
        <f>IF(D4503="?OLD","!!!","")</f>
        <v/>
      </c>
      <c r="F4503" s="22" t="str">
        <f>IF(OR(E4503="",E4503="!!!"),"",IF(NOT(ISNA(VLOOKUP(E4503,E$1:E4502,1,FALSE()))),"OLD",IF(AND(E4503&lt;&gt;"",E4503&lt;&gt;"!!!"),"NEW","")))</f>
        <v> </v>
      </c>
      <c r="G4503" s="23" t="str">
        <f>IF(OR(E4503="",E4503="!!!"),"",IF(OR(J4503=0,AND(J4503=1,K4503=1),AND(J4503=1,I4503="SBJ"),AND(J4503=1,I4503=0)),"?IN_FOCUS",IF(J4503&lt;=2,"?ACTIVATED",IF(J4503&lt;&gt;"","?FAMILIAR",IF(F4503="NEW",IF(ISNA(VLOOKUP(E4503,#REF!,1,FALSE())),"?TYPE_IDENTIFIABLE","?REFERENTIAL"),"_")))))</f>
        <v> </v>
      </c>
      <c r="H4503" s="24" t="str">
        <f>IF(J4503&lt;&gt;1,"",IF(I4503="SBJ","CB","?"))</f>
        <v> </v>
      </c>
      <c r="I4503" s="25" t="str">
        <f>IF(OR(E4503="",E4503="!!!",F4503="NEW"),"",INDEX(B4502:B$2,-1+SUMPRODUCT(MAX(ROW(E4502:E$2)*(E4503=E4502:E$2)))))</f>
        <v> </v>
      </c>
      <c r="J4503" s="25" t="str">
        <f>IF(OR(E4503="",E4503="!!!",F4503="NEW"),"",COUNTBLANK(OFFSET(A$1,,,SUMPRODUCT(MAX(ROW(E$2:E4503)*(E4503=E$2:E4503)))))-COUNTBLANK(OFFSET(A$1,,,SUMPRODUCT(MAX(ROW(E$1:E4502)*(E2=E$1:E4502))))))</f>
        <v> </v>
      </c>
      <c r="K4503" s="25" t="str">
        <f>IF(OR(E4503="",E4503="!!!",F4503="NEW"),"",INDEX(J$1:J4502,SUMPRODUCT(MAX(ROW(E$1:E4502)*(E4503=E$1:E4502)))))</f>
        <v> </v>
      </c>
      <c r="L4503" s="26"/>
    </row>
    <row r="4504" spans="1:12">
      <c r="A4504" s="20" t="s">
        <v>1173</v>
      </c>
      <c r="E4504" s="21">
        <f>IF(D4504="?OLD","!!!","")</f>
        <v/>
      </c>
      <c r="F4504" s="22" t="str">
        <f>IF(OR(E4504="",E4504="!!!"),"",IF(NOT(ISNA(VLOOKUP(E4504,E$1:E4503,1,FALSE()))),"OLD",IF(AND(E4504&lt;&gt;"",E4504&lt;&gt;"!!!"),"NEW","")))</f>
        <v> </v>
      </c>
      <c r="G4504" s="23" t="str">
        <f>IF(OR(E4504="",E4504="!!!"),"",IF(OR(J4504=0,AND(J4504=1,K4504=1),AND(J4504=1,I4504="SBJ"),AND(J4504=1,I4504=0)),"?IN_FOCUS",IF(J4504&lt;=2,"?ACTIVATED",IF(J4504&lt;&gt;"","?FAMILIAR",IF(F4504="NEW",IF(ISNA(VLOOKUP(E4504,#REF!,1,FALSE())),"?TYPE_IDENTIFIABLE","?REFERENTIAL"),"_")))))</f>
        <v> </v>
      </c>
      <c r="H4504" s="24" t="str">
        <f>IF(J4504&lt;&gt;1,"",IF(I4504="SBJ","CB","?"))</f>
        <v> </v>
      </c>
      <c r="I4504" s="25" t="str">
        <f>IF(OR(E4504="",E4504="!!!",F4504="NEW"),"",INDEX(B4503:B$2,-1+SUMPRODUCT(MAX(ROW(E4503:E$2)*(E4504=E4503:E$2)))))</f>
        <v> </v>
      </c>
      <c r="J4504" s="25" t="str">
        <f>IF(OR(E4504="",E4504="!!!",F4504="NEW"),"",COUNTBLANK(OFFSET(A$1,,,SUMPRODUCT(MAX(ROW(E$2:E4504)*(E4504=E$2:E4504)))))-COUNTBLANK(OFFSET(A$1,,,SUMPRODUCT(MAX(ROW(E$1:E4503)*(E2=E$1:E4503))))))</f>
        <v> </v>
      </c>
      <c r="K4504" s="25" t="str">
        <f>IF(OR(E4504="",E4504="!!!",F4504="NEW"),"",INDEX(J$1:J4503,SUMPRODUCT(MAX(ROW(E$1:E4503)*(E4504=E$1:E4503)))))</f>
        <v> </v>
      </c>
      <c r="L4504" s="26"/>
    </row>
    <row r="4505" spans="1:12">
      <c r="A4505" s="20" t="s">
        <v>3033</v>
      </c>
      <c r="E4505" s="21">
        <f>IF(D4505="?OLD","!!!","")</f>
        <v/>
      </c>
      <c r="F4505" s="22" t="str">
        <f>IF(OR(E4505="",E4505="!!!"),"",IF(NOT(ISNA(VLOOKUP(E4505,E$1:E4504,1,FALSE()))),"OLD",IF(AND(E4505&lt;&gt;"",E4505&lt;&gt;"!!!"),"NEW","")))</f>
        <v> </v>
      </c>
      <c r="G4505" s="23" t="str">
        <f>IF(OR(E4505="",E4505="!!!"),"",IF(OR(J4505=0,AND(J4505=1,K4505=1),AND(J4505=1,I4505="SBJ"),AND(J4505=1,I4505=0)),"?IN_FOCUS",IF(J4505&lt;=2,"?ACTIVATED",IF(J4505&lt;&gt;"","?FAMILIAR",IF(F4505="NEW",IF(ISNA(VLOOKUP(E4505,#REF!,1,FALSE())),"?TYPE_IDENTIFIABLE","?REFERENTIAL"),"_")))))</f>
        <v> </v>
      </c>
      <c r="H4505" s="24" t="str">
        <f>IF(J4505&lt;&gt;1,"",IF(I4505="SBJ","CB","?"))</f>
        <v> </v>
      </c>
      <c r="I4505" s="25" t="str">
        <f>IF(OR(E4505="",E4505="!!!",F4505="NEW"),"",INDEX(B4504:B$2,-1+SUMPRODUCT(MAX(ROW(E4504:E$2)*(E4505=E4504:E$2)))))</f>
        <v> </v>
      </c>
      <c r="J4505" s="25" t="str">
        <f>IF(OR(E4505="",E4505="!!!",F4505="NEW"),"",COUNTBLANK(OFFSET(A$1,,,SUMPRODUCT(MAX(ROW(E$2:E4505)*(E4505=E$2:E4505)))))-COUNTBLANK(OFFSET(A$1,,,SUMPRODUCT(MAX(ROW(E$1:E4504)*(E2=E$1:E4504))))))</f>
        <v> </v>
      </c>
      <c r="K4505" s="25" t="str">
        <f>IF(OR(E4505="",E4505="!!!",F4505="NEW"),"",INDEX(J$1:J4504,SUMPRODUCT(MAX(ROW(E$1:E4504)*(E4505=E$1:E4504)))))</f>
        <v> </v>
      </c>
      <c r="L4505" s="26"/>
    </row>
    <row r="4506" spans="1:12">
      <c r="A4506" s="20" t="s">
        <v>3084</v>
      </c>
      <c r="E4506" s="21">
        <f>IF(D4506="?OLD","!!!","")</f>
        <v/>
      </c>
      <c r="F4506" s="22" t="str">
        <f>IF(OR(E4506="",E4506="!!!"),"",IF(NOT(ISNA(VLOOKUP(E4506,E$1:E4505,1,FALSE()))),"OLD",IF(AND(E4506&lt;&gt;"",E4506&lt;&gt;"!!!"),"NEW","")))</f>
        <v> </v>
      </c>
      <c r="G4506" s="23" t="str">
        <f>IF(OR(E4506="",E4506="!!!"),"",IF(OR(J4506=0,AND(J4506=1,K4506=1),AND(J4506=1,I4506="SBJ"),AND(J4506=1,I4506=0)),"?IN_FOCUS",IF(J4506&lt;=2,"?ACTIVATED",IF(J4506&lt;&gt;"","?FAMILIAR",IF(F4506="NEW",IF(ISNA(VLOOKUP(E4506,#REF!,1,FALSE())),"?TYPE_IDENTIFIABLE","?REFERENTIAL"),"_")))))</f>
        <v> </v>
      </c>
      <c r="H4506" s="24" t="str">
        <f>IF(J4506&lt;&gt;1,"",IF(I4506="SBJ","CB","?"))</f>
        <v> </v>
      </c>
      <c r="I4506" s="25" t="str">
        <f>IF(OR(E4506="",E4506="!!!",F4506="NEW"),"",INDEX(B4505:B$2,-1+SUMPRODUCT(MAX(ROW(E4505:E$2)*(E4506=E4505:E$2)))))</f>
        <v> </v>
      </c>
      <c r="J4506" s="25" t="str">
        <f>IF(OR(E4506="",E4506="!!!",F4506="NEW"),"",COUNTBLANK(OFFSET(A$1,,,SUMPRODUCT(MAX(ROW(E$2:E4506)*(E4506=E$2:E4506)))))-COUNTBLANK(OFFSET(A$1,,,SUMPRODUCT(MAX(ROW(E$1:E4505)*(E2=E$1:E4505))))))</f>
        <v> </v>
      </c>
      <c r="K4506" s="25" t="str">
        <f>IF(OR(E4506="",E4506="!!!",F4506="NEW"),"",INDEX(J$1:J4505,SUMPRODUCT(MAX(ROW(E$1:E4505)*(E4506=E$1:E4505)))))</f>
        <v> </v>
      </c>
      <c r="L4506" s="26"/>
    </row>
    <row r="4507" spans="1:12">
      <c r="A4507" s="20" t="s">
        <v>1130</v>
      </c>
      <c r="E4507" s="21">
        <f>IF(D4507="?OLD","!!!","")</f>
        <v/>
      </c>
      <c r="F4507" s="22" t="str">
        <f>IF(OR(E4507="",E4507="!!!"),"",IF(NOT(ISNA(VLOOKUP(E4507,E$1:E4506,1,FALSE()))),"OLD",IF(AND(E4507&lt;&gt;"",E4507&lt;&gt;"!!!"),"NEW","")))</f>
        <v> </v>
      </c>
      <c r="G4507" s="23" t="str">
        <f>IF(OR(E4507="",E4507="!!!"),"",IF(OR(J4507=0,AND(J4507=1,K4507=1),AND(J4507=1,I4507="SBJ"),AND(J4507=1,I4507=0)),"?IN_FOCUS",IF(J4507&lt;=2,"?ACTIVATED",IF(J4507&lt;&gt;"","?FAMILIAR",IF(F4507="NEW",IF(ISNA(VLOOKUP(E4507,#REF!,1,FALSE())),"?TYPE_IDENTIFIABLE","?REFERENTIAL"),"_")))))</f>
        <v> </v>
      </c>
      <c r="H4507" s="24" t="str">
        <f>IF(J4507&lt;&gt;1,"",IF(I4507="SBJ","CB","?"))</f>
        <v> </v>
      </c>
      <c r="I4507" s="25" t="str">
        <f>IF(OR(E4507="",E4507="!!!",F4507="NEW"),"",INDEX(B4506:B$2,-1+SUMPRODUCT(MAX(ROW(E4506:E$2)*(E4507=E4506:E$2)))))</f>
        <v> </v>
      </c>
      <c r="J4507" s="25" t="str">
        <f>IF(OR(E4507="",E4507="!!!",F4507="NEW"),"",COUNTBLANK(OFFSET(A$1,,,SUMPRODUCT(MAX(ROW(E$2:E4507)*(E4507=E$2:E4507)))))-COUNTBLANK(OFFSET(A$1,,,SUMPRODUCT(MAX(ROW(E$1:E4506)*(E2=E$1:E4506))))))</f>
        <v> </v>
      </c>
      <c r="K4507" s="25" t="str">
        <f>IF(OR(E4507="",E4507="!!!",F4507="NEW"),"",INDEX(J$1:J4506,SUMPRODUCT(MAX(ROW(E$1:E4506)*(E4507=E$1:E4506)))))</f>
        <v> </v>
      </c>
      <c r="L4507" s="26"/>
    </row>
    <row r="4508" spans="1:12">
      <c r="A4508" s="20" t="s">
        <v>2153</v>
      </c>
      <c r="B4508" s="27" t="s">
        <v>1141</v>
      </c>
      <c r="C4508" s="27" t="s">
        <v>1126</v>
      </c>
      <c r="D4508" s="27" t="s">
        <v>1105</v>
      </c>
      <c r="E4508" s="21">
        <f>IF(D4508="?OLD","!!!","")</f>
        <v/>
      </c>
      <c r="F4508" s="22" t="str">
        <f>IF(OR(E4508="",E4508="!!!"),"",IF(NOT(ISNA(VLOOKUP(E4508,E$1:E4507,1,FALSE()))),"OLD",IF(AND(E4508&lt;&gt;"",E4508&lt;&gt;"!!!"),"NEW","")))</f>
        <v> </v>
      </c>
      <c r="G4508" s="23" t="str">
        <f>IF(OR(E4508="",E4508="!!!"),"",IF(OR(J4508=0,AND(J4508=1,K4508=1),AND(J4508=1,I4508="SBJ"),AND(J4508=1,I4508=0)),"?IN_FOCUS",IF(J4508&lt;=2,"?ACTIVATED",IF(J4508&lt;&gt;"","?FAMILIAR",IF(F4508="NEW",IF(ISNA(VLOOKUP(E4508,#REF!,1,FALSE())),"?TYPE_IDENTIFIABLE","?REFERENTIAL"),"_")))))</f>
        <v> </v>
      </c>
      <c r="H4508" s="24" t="str">
        <f>IF(J4508&lt;&gt;1,"",IF(I4508="SBJ","CB","?"))</f>
        <v> </v>
      </c>
      <c r="I4508" s="25" t="str">
        <f>IF(OR(E4508="",E4508="!!!",F4508="NEW"),"",INDEX(B4507:B$2,-1+SUMPRODUCT(MAX(ROW(E4507:E$2)*(E4508=E4507:E$2)))))</f>
        <v> </v>
      </c>
      <c r="J4508" s="25" t="str">
        <f>IF(OR(E4508="",E4508="!!!",F4508="NEW"),"",COUNTBLANK(OFFSET(A$1,,,SUMPRODUCT(MAX(ROW(E$2:E4508)*(E4508=E$2:E4508)))))-COUNTBLANK(OFFSET(A$1,,,SUMPRODUCT(MAX(ROW(E$1:E4507)*(E2=E$1:E4507))))))</f>
        <v> </v>
      </c>
      <c r="K4508" s="25" t="str">
        <f>IF(OR(E4508="",E4508="!!!",F4508="NEW"),"",INDEX(J$1:J4507,SUMPRODUCT(MAX(ROW(E$1:E4507)*(E4508=E$1:E4507)))))</f>
        <v> </v>
      </c>
      <c r="L4508" s="26"/>
    </row>
    <row r="4509" spans="1:12">
      <c r="A4509" s="20" t="s">
        <v>1334</v>
      </c>
      <c r="E4509" s="21">
        <f>IF(D4509="?OLD","!!!","")</f>
        <v/>
      </c>
      <c r="F4509" s="22" t="str">
        <f>IF(OR(E4509="",E4509="!!!"),"",IF(NOT(ISNA(VLOOKUP(E4509,E$1:E4508,1,FALSE()))),"OLD",IF(AND(E4509&lt;&gt;"",E4509&lt;&gt;"!!!"),"NEW","")))</f>
        <v> </v>
      </c>
      <c r="G4509" s="23" t="str">
        <f>IF(OR(E4509="",E4509="!!!"),"",IF(OR(J4509=0,AND(J4509=1,K4509=1),AND(J4509=1,I4509="SBJ"),AND(J4509=1,I4509=0)),"?IN_FOCUS",IF(J4509&lt;=2,"?ACTIVATED",IF(J4509&lt;&gt;"","?FAMILIAR",IF(F4509="NEW",IF(ISNA(VLOOKUP(E4509,#REF!,1,FALSE())),"?TYPE_IDENTIFIABLE","?REFERENTIAL"),"_")))))</f>
        <v> </v>
      </c>
      <c r="H4509" s="24" t="str">
        <f>IF(J4509&lt;&gt;1,"",IF(I4509="SBJ","CB","?"))</f>
        <v> </v>
      </c>
      <c r="I4509" s="25" t="str">
        <f>IF(OR(E4509="",E4509="!!!",F4509="NEW"),"",INDEX(B4508:B$2,-1+SUMPRODUCT(MAX(ROW(E4508:E$2)*(E4509=E4508:E$2)))))</f>
        <v> </v>
      </c>
      <c r="J4509" s="25" t="str">
        <f>IF(OR(E4509="",E4509="!!!",F4509="NEW"),"",COUNTBLANK(OFFSET(A$1,,,SUMPRODUCT(MAX(ROW(E$2:E4509)*(E4509=E$2:E4509)))))-COUNTBLANK(OFFSET(A$1,,,SUMPRODUCT(MAX(ROW(E$1:E4508)*(E2=E$1:E4508))))))</f>
        <v> </v>
      </c>
      <c r="K4509" s="25" t="str">
        <f>IF(OR(E4509="",E4509="!!!",F4509="NEW"),"",INDEX(J$1:J4508,SUMPRODUCT(MAX(ROW(E$1:E4508)*(E4509=E$1:E4508)))))</f>
        <v> </v>
      </c>
      <c r="L4509" s="26"/>
    </row>
    <row r="4510" spans="1:12">
      <c r="A4510" s="20"/>
    </row>
    <row r="4511" spans="1:12">
      <c r="A4511" s="20" t="s">
        <v>3085</v>
      </c>
    </row>
    <row r="4512" spans="1:12">
      <c r="A4512" s="20" t="s">
        <v>2207</v>
      </c>
      <c r="E4512" s="21">
        <f>IF(D4512="?OLD","!!!","")</f>
        <v/>
      </c>
      <c r="F4512" s="22" t="str">
        <f>IF(OR(E4512="",E4512="!!!"),"",IF(NOT(ISNA(VLOOKUP(E4512,E$1:E4511,1,FALSE()))),"OLD",IF(AND(E4512&lt;&gt;"",E4512&lt;&gt;"!!!"),"NEW","")))</f>
        <v> </v>
      </c>
      <c r="G4512" s="23" t="str">
        <f>IF(OR(E4512="",E4512="!!!"),"",IF(OR(J4512=0,AND(J4512=1,K4512=1),AND(J4512=1,I4512="SBJ"),AND(J4512=1,I4512=0)),"?IN_FOCUS",IF(J4512&lt;=2,"?ACTIVATED",IF(J4512&lt;&gt;"","?FAMILIAR",IF(F4512="NEW",IF(ISNA(VLOOKUP(E4512,#REF!,1,FALSE())),"?TYPE_IDENTIFIABLE","?REFERENTIAL"),"_")))))</f>
        <v> </v>
      </c>
      <c r="H4512" s="24" t="str">
        <f>IF(J4512&lt;&gt;1,"",IF(I4512="SBJ","CB","?"))</f>
        <v> </v>
      </c>
      <c r="I4512" s="25" t="str">
        <f>IF(OR(E4512="",E4512="!!!",F4512="NEW"),"",INDEX(B4511:B$2,-1+SUMPRODUCT(MAX(ROW(E4511:E$2)*(E4512=E4511:E$2)))))</f>
        <v> </v>
      </c>
      <c r="J4512" s="25" t="str">
        <f>IF(OR(E4512="",E4512="!!!",F4512="NEW"),"",COUNTBLANK(OFFSET(A$1,,,SUMPRODUCT(MAX(ROW(E$2:E4512)*(E4512=E$2:E4512)))))-COUNTBLANK(OFFSET(A$1,,,SUMPRODUCT(MAX(ROW(E$1:E4511)*(E2=E$1:E4511))))))</f>
        <v> </v>
      </c>
      <c r="K4512" s="25" t="str">
        <f>IF(OR(E4512="",E4512="!!!",F4512="NEW"),"",INDEX(J$1:J4511,SUMPRODUCT(MAX(ROW(E$1:E4511)*(E4512=E$1:E4511)))))</f>
        <v> </v>
      </c>
      <c r="L4512" s="26"/>
    </row>
    <row r="4513" spans="1:12">
      <c r="A4513" s="20" t="s">
        <v>2007</v>
      </c>
      <c r="E4513" s="21">
        <f>IF(D4513="?OLD","!!!","")</f>
        <v/>
      </c>
      <c r="F4513" s="22" t="str">
        <f>IF(OR(E4513="",E4513="!!!"),"",IF(NOT(ISNA(VLOOKUP(E4513,E$1:E4512,1,FALSE()))),"OLD",IF(AND(E4513&lt;&gt;"",E4513&lt;&gt;"!!!"),"NEW","")))</f>
        <v> </v>
      </c>
      <c r="G4513" s="23" t="str">
        <f>IF(OR(E4513="",E4513="!!!"),"",IF(OR(J4513=0,AND(J4513=1,K4513=1),AND(J4513=1,I4513="SBJ"),AND(J4513=1,I4513=0)),"?IN_FOCUS",IF(J4513&lt;=2,"?ACTIVATED",IF(J4513&lt;&gt;"","?FAMILIAR",IF(F4513="NEW",IF(ISNA(VLOOKUP(E4513,#REF!,1,FALSE())),"?TYPE_IDENTIFIABLE","?REFERENTIAL"),"_")))))</f>
        <v> </v>
      </c>
      <c r="H4513" s="24" t="str">
        <f>IF(J4513&lt;&gt;1,"",IF(I4513="SBJ","CB","?"))</f>
        <v> </v>
      </c>
      <c r="I4513" s="25" t="str">
        <f>IF(OR(E4513="",E4513="!!!",F4513="NEW"),"",INDEX(B4512:B$2,-1+SUMPRODUCT(MAX(ROW(E4512:E$2)*(E4513=E4512:E$2)))))</f>
        <v> </v>
      </c>
      <c r="J4513" s="25" t="str">
        <f>IF(OR(E4513="",E4513="!!!",F4513="NEW"),"",COUNTBLANK(OFFSET(A$1,,,SUMPRODUCT(MAX(ROW(E$2:E4513)*(E4513=E$2:E4513)))))-COUNTBLANK(OFFSET(A$1,,,SUMPRODUCT(MAX(ROW(E$1:E4512)*(E2=E$1:E4512))))))</f>
        <v> </v>
      </c>
      <c r="K4513" s="25" t="str">
        <f>IF(OR(E4513="",E4513="!!!",F4513="NEW"),"",INDEX(J$1:J4512,SUMPRODUCT(MAX(ROW(E$1:E4512)*(E4513=E$1:E4512)))))</f>
        <v> </v>
      </c>
      <c r="L4513" s="26"/>
    </row>
    <row r="4514" spans="1:12">
      <c r="A4514" s="20" t="s">
        <v>3086</v>
      </c>
      <c r="B4514" s="27" t="s">
        <v>1103</v>
      </c>
      <c r="C4514" s="27" t="s">
        <v>1116</v>
      </c>
      <c r="E4514" s="21">
        <f>IF(D4514="?OLD","!!!","")</f>
        <v/>
      </c>
      <c r="F4514" s="22" t="str">
        <f>IF(OR(E4514="",E4514="!!!"),"",IF(NOT(ISNA(VLOOKUP(E4514,E$1:E4513,1,FALSE()))),"OLD",IF(AND(E4514&lt;&gt;"",E4514&lt;&gt;"!!!"),"NEW","")))</f>
        <v> </v>
      </c>
      <c r="G4514" s="23" t="str">
        <f>IF(OR(E4514="",E4514="!!!"),"",IF(OR(J4514=0,AND(J4514=1,K4514=1),AND(J4514=1,I4514="SBJ"),AND(J4514=1,I4514=0)),"?IN_FOCUS",IF(J4514&lt;=2,"?ACTIVATED",IF(J4514&lt;&gt;"","?FAMILIAR",IF(F4514="NEW",IF(ISNA(VLOOKUP(E4514,#REF!,1,FALSE())),"?TYPE_IDENTIFIABLE","?REFERENTIAL"),"_")))))</f>
        <v> </v>
      </c>
      <c r="H4514" s="24" t="str">
        <f>IF(J4514&lt;&gt;1,"",IF(I4514="SBJ","CB","?"))</f>
        <v> </v>
      </c>
      <c r="I4514" s="25" t="str">
        <f>IF(OR(E4514="",E4514="!!!",F4514="NEW"),"",INDEX(B4513:B$2,-1+SUMPRODUCT(MAX(ROW(E4513:E$2)*(E4514=E4513:E$2)))))</f>
        <v> </v>
      </c>
      <c r="J4514" s="25" t="str">
        <f>IF(OR(E4514="",E4514="!!!",F4514="NEW"),"",COUNTBLANK(OFFSET(A$1,,,SUMPRODUCT(MAX(ROW(E$2:E4514)*(E4514=E$2:E4514)))))-COUNTBLANK(OFFSET(A$1,,,SUMPRODUCT(MAX(ROW(E$1:E4513)*(E2=E$1:E4513))))))</f>
        <v> </v>
      </c>
      <c r="K4514" s="25" t="str">
        <f>IF(OR(E4514="",E4514="!!!",F4514="NEW"),"",INDEX(J$1:J4513,SUMPRODUCT(MAX(ROW(E$1:E4513)*(E4514=E$1:E4513)))))</f>
        <v> </v>
      </c>
      <c r="L4514" s="26"/>
    </row>
    <row r="4515" spans="1:12">
      <c r="A4515" s="20" t="s">
        <v>2312</v>
      </c>
      <c r="B4515" s="27" t="s">
        <v>1149</v>
      </c>
      <c r="E4515" s="21">
        <f>IF(D4515="?OLD","!!!","")</f>
        <v/>
      </c>
      <c r="F4515" s="22" t="str">
        <f>IF(OR(E4515="",E4515="!!!"),"",IF(NOT(ISNA(VLOOKUP(E4515,E$1:E4514,1,FALSE()))),"OLD",IF(AND(E4515&lt;&gt;"",E4515&lt;&gt;"!!!"),"NEW","")))</f>
        <v> </v>
      </c>
      <c r="G4515" s="23" t="str">
        <f>IF(OR(E4515="",E4515="!!!"),"",IF(OR(J4515=0,AND(J4515=1,K4515=1),AND(J4515=1,I4515="SBJ"),AND(J4515=1,I4515=0)),"?IN_FOCUS",IF(J4515&lt;=2,"?ACTIVATED",IF(J4515&lt;&gt;"","?FAMILIAR",IF(F4515="NEW",IF(ISNA(VLOOKUP(E4515,#REF!,1,FALSE())),"?TYPE_IDENTIFIABLE","?REFERENTIAL"),"_")))))</f>
        <v> </v>
      </c>
      <c r="H4515" s="24" t="str">
        <f>IF(J4515&lt;&gt;1,"",IF(I4515="SBJ","CB","?"))</f>
        <v> </v>
      </c>
      <c r="I4515" s="25" t="str">
        <f>IF(OR(E4515="",E4515="!!!",F4515="NEW"),"",INDEX(B4514:B$2,-1+SUMPRODUCT(MAX(ROW(E4514:E$2)*(E4515=E4514:E$2)))))</f>
        <v> </v>
      </c>
      <c r="J4515" s="25" t="str">
        <f>IF(OR(E4515="",E4515="!!!",F4515="NEW"),"",COUNTBLANK(OFFSET(A$1,,,SUMPRODUCT(MAX(ROW(E$2:E4515)*(E4515=E$2:E4515)))))-COUNTBLANK(OFFSET(A$1,,,SUMPRODUCT(MAX(ROW(E$1:E4514)*(E2=E$1:E4514))))))</f>
        <v> </v>
      </c>
      <c r="K4515" s="25" t="str">
        <f>IF(OR(E4515="",E4515="!!!",F4515="NEW"),"",INDEX(J$1:J4514,SUMPRODUCT(MAX(ROW(E$1:E4514)*(E4515=E$1:E4514)))))</f>
        <v> </v>
      </c>
      <c r="L4515" s="26"/>
    </row>
    <row r="4516" spans="1:12">
      <c r="A4516" s="20" t="s">
        <v>1128</v>
      </c>
      <c r="E4516" s="21">
        <f>IF(D4516="?OLD","!!!","")</f>
        <v/>
      </c>
      <c r="F4516" s="22" t="str">
        <f>IF(OR(E4516="",E4516="!!!"),"",IF(NOT(ISNA(VLOOKUP(E4516,E$1:E4515,1,FALSE()))),"OLD",IF(AND(E4516&lt;&gt;"",E4516&lt;&gt;"!!!"),"NEW","")))</f>
        <v> </v>
      </c>
      <c r="G4516" s="23" t="str">
        <f>IF(OR(E4516="",E4516="!!!"),"",IF(OR(J4516=0,AND(J4516=1,K4516=1),AND(J4516=1,I4516="SBJ"),AND(J4516=1,I4516=0)),"?IN_FOCUS",IF(J4516&lt;=2,"?ACTIVATED",IF(J4516&lt;&gt;"","?FAMILIAR",IF(F4516="NEW",IF(ISNA(VLOOKUP(E4516,#REF!,1,FALSE())),"?TYPE_IDENTIFIABLE","?REFERENTIAL"),"_")))))</f>
        <v> </v>
      </c>
      <c r="H4516" s="24" t="str">
        <f>IF(J4516&lt;&gt;1,"",IF(I4516="SBJ","CB","?"))</f>
        <v> </v>
      </c>
      <c r="I4516" s="25" t="str">
        <f>IF(OR(E4516="",E4516="!!!",F4516="NEW"),"",INDEX(B4515:B$2,-1+SUMPRODUCT(MAX(ROW(E4515:E$2)*(E4516=E4515:E$2)))))</f>
        <v> </v>
      </c>
      <c r="J4516" s="25" t="str">
        <f>IF(OR(E4516="",E4516="!!!",F4516="NEW"),"",COUNTBLANK(OFFSET(A$1,,,SUMPRODUCT(MAX(ROW(E$2:E4516)*(E4516=E$2:E4516)))))-COUNTBLANK(OFFSET(A$1,,,SUMPRODUCT(MAX(ROW(E$1:E4515)*(E2=E$1:E4515))))))</f>
        <v> </v>
      </c>
      <c r="K4516" s="25" t="str">
        <f>IF(OR(E4516="",E4516="!!!",F4516="NEW"),"",INDEX(J$1:J4515,SUMPRODUCT(MAX(ROW(E$1:E4515)*(E4516=E$1:E4515)))))</f>
        <v> </v>
      </c>
      <c r="L4516" s="26"/>
    </row>
    <row r="4517" spans="1:12">
      <c r="A4517" s="20" t="s">
        <v>2411</v>
      </c>
      <c r="E4517" s="21">
        <f>IF(D4517="?OLD","!!!","")</f>
        <v/>
      </c>
      <c r="F4517" s="22" t="str">
        <f>IF(OR(E4517="",E4517="!!!"),"",IF(NOT(ISNA(VLOOKUP(E4517,E$1:E4516,1,FALSE()))),"OLD",IF(AND(E4517&lt;&gt;"",E4517&lt;&gt;"!!!"),"NEW","")))</f>
        <v> </v>
      </c>
      <c r="G4517" s="23" t="str">
        <f>IF(OR(E4517="",E4517="!!!"),"",IF(OR(J4517=0,AND(J4517=1,K4517=1),AND(J4517=1,I4517="SBJ"),AND(J4517=1,I4517=0)),"?IN_FOCUS",IF(J4517&lt;=2,"?ACTIVATED",IF(J4517&lt;&gt;"","?FAMILIAR",IF(F4517="NEW",IF(ISNA(VLOOKUP(E4517,#REF!,1,FALSE())),"?TYPE_IDENTIFIABLE","?REFERENTIAL"),"_")))))</f>
        <v> </v>
      </c>
      <c r="H4517" s="24" t="str">
        <f>IF(J4517&lt;&gt;1,"",IF(I4517="SBJ","CB","?"))</f>
        <v> </v>
      </c>
      <c r="I4517" s="25" t="str">
        <f>IF(OR(E4517="",E4517="!!!",F4517="NEW"),"",INDEX(B4516:B$2,-1+SUMPRODUCT(MAX(ROW(E4516:E$2)*(E4517=E4516:E$2)))))</f>
        <v> </v>
      </c>
      <c r="J4517" s="25" t="str">
        <f>IF(OR(E4517="",E4517="!!!",F4517="NEW"),"",COUNTBLANK(OFFSET(A$1,,,SUMPRODUCT(MAX(ROW(E$2:E4517)*(E4517=E$2:E4517)))))-COUNTBLANK(OFFSET(A$1,,,SUMPRODUCT(MAX(ROW(E$1:E4516)*(E2=E$1:E4516))))))</f>
        <v> </v>
      </c>
      <c r="K4517" s="25" t="str">
        <f>IF(OR(E4517="",E4517="!!!",F4517="NEW"),"",INDEX(J$1:J4516,SUMPRODUCT(MAX(ROW(E$1:E4516)*(E4517=E$1:E4516)))))</f>
        <v> </v>
      </c>
      <c r="L4517" s="26"/>
    </row>
    <row r="4518" spans="1:12">
      <c r="A4518" s="20" t="s">
        <v>3087</v>
      </c>
      <c r="B4518" s="27" t="s">
        <v>1107</v>
      </c>
      <c r="C4518" s="27" t="s">
        <v>1210</v>
      </c>
      <c r="E4518" s="21">
        <f>IF(D4518="?OLD","!!!","")</f>
        <v/>
      </c>
      <c r="F4518" s="22" t="str">
        <f>IF(OR(E4518="",E4518="!!!"),"",IF(NOT(ISNA(VLOOKUP(E4518,E$1:E4517,1,FALSE()))),"OLD",IF(AND(E4518&lt;&gt;"",E4518&lt;&gt;"!!!"),"NEW","")))</f>
        <v> </v>
      </c>
      <c r="G4518" s="23" t="str">
        <f>IF(OR(E4518="",E4518="!!!"),"",IF(OR(J4518=0,AND(J4518=1,K4518=1),AND(J4518=1,I4518="SBJ"),AND(J4518=1,I4518=0)),"?IN_FOCUS",IF(J4518&lt;=2,"?ACTIVATED",IF(J4518&lt;&gt;"","?FAMILIAR",IF(F4518="NEW",IF(ISNA(VLOOKUP(E4518,#REF!,1,FALSE())),"?TYPE_IDENTIFIABLE","?REFERENTIAL"),"_")))))</f>
        <v> </v>
      </c>
      <c r="H4518" s="24" t="str">
        <f>IF(J4518&lt;&gt;1,"",IF(I4518="SBJ","CB","?"))</f>
        <v> </v>
      </c>
      <c r="I4518" s="25" t="str">
        <f>IF(OR(E4518="",E4518="!!!",F4518="NEW"),"",INDEX(B4517:B$2,-1+SUMPRODUCT(MAX(ROW(E4517:E$2)*(E4518=E4517:E$2)))))</f>
        <v> </v>
      </c>
      <c r="J4518" s="25" t="str">
        <f>IF(OR(E4518="",E4518="!!!",F4518="NEW"),"",COUNTBLANK(OFFSET(A$1,,,SUMPRODUCT(MAX(ROW(E$2:E4518)*(E4518=E$2:E4518)))))-COUNTBLANK(OFFSET(A$1,,,SUMPRODUCT(MAX(ROW(E$1:E4517)*(E2=E$1:E4517))))))</f>
        <v> </v>
      </c>
      <c r="K4518" s="25" t="str">
        <f>IF(OR(E4518="",E4518="!!!",F4518="NEW"),"",INDEX(J$1:J4517,SUMPRODUCT(MAX(ROW(E$1:E4517)*(E4518=E$1:E4517)))))</f>
        <v> </v>
      </c>
      <c r="L4518" s="26"/>
    </row>
    <row r="4519" spans="1:12">
      <c r="A4519" s="20" t="s">
        <v>1145</v>
      </c>
      <c r="E4519" s="21">
        <f>IF(D4519="?OLD","!!!","")</f>
        <v/>
      </c>
      <c r="F4519" s="22" t="str">
        <f>IF(OR(E4519="",E4519="!!!"),"",IF(NOT(ISNA(VLOOKUP(E4519,E$1:E4518,1,FALSE()))),"OLD",IF(AND(E4519&lt;&gt;"",E4519&lt;&gt;"!!!"),"NEW","")))</f>
        <v> </v>
      </c>
      <c r="G4519" s="23" t="str">
        <f>IF(OR(E4519="",E4519="!!!"),"",IF(OR(J4519=0,AND(J4519=1,K4519=1),AND(J4519=1,I4519="SBJ"),AND(J4519=1,I4519=0)),"?IN_FOCUS",IF(J4519&lt;=2,"?ACTIVATED",IF(J4519&lt;&gt;"","?FAMILIAR",IF(F4519="NEW",IF(ISNA(VLOOKUP(E4519,#REF!,1,FALSE())),"?TYPE_IDENTIFIABLE","?REFERENTIAL"),"_")))))</f>
        <v> </v>
      </c>
      <c r="H4519" s="24" t="str">
        <f>IF(J4519&lt;&gt;1,"",IF(I4519="SBJ","CB","?"))</f>
        <v> </v>
      </c>
      <c r="I4519" s="25" t="str">
        <f>IF(OR(E4519="",E4519="!!!",F4519="NEW"),"",INDEX(B4518:B$2,-1+SUMPRODUCT(MAX(ROW(E4518:E$2)*(E4519=E4518:E$2)))))</f>
        <v> </v>
      </c>
      <c r="J4519" s="25" t="str">
        <f>IF(OR(E4519="",E4519="!!!",F4519="NEW"),"",COUNTBLANK(OFFSET(A$1,,,SUMPRODUCT(MAX(ROW(E$2:E4519)*(E4519=E$2:E4519)))))-COUNTBLANK(OFFSET(A$1,,,SUMPRODUCT(MAX(ROW(E$1:E4518)*(E2=E$1:E4518))))))</f>
        <v> </v>
      </c>
      <c r="K4519" s="25" t="str">
        <f>IF(OR(E4519="",E4519="!!!",F4519="NEW"),"",INDEX(J$1:J4518,SUMPRODUCT(MAX(ROW(E$1:E4518)*(E4519=E$1:E4518)))))</f>
        <v> </v>
      </c>
      <c r="L4519" s="26"/>
    </row>
    <row r="4520" spans="1:12">
      <c r="A4520" s="20"/>
    </row>
    <row r="4521" spans="1:12">
      <c r="A4521" s="20" t="s">
        <v>3088</v>
      </c>
    </row>
    <row r="4522" spans="1:12">
      <c r="A4522" s="20" t="s">
        <v>1368</v>
      </c>
      <c r="E4522" s="21">
        <f>IF(D4522="?OLD","!!!","")</f>
        <v/>
      </c>
      <c r="F4522" s="22" t="str">
        <f>IF(OR(E4522="",E4522="!!!"),"",IF(NOT(ISNA(VLOOKUP(E4522,E$1:E4521,1,FALSE()))),"OLD",IF(AND(E4522&lt;&gt;"",E4522&lt;&gt;"!!!"),"NEW","")))</f>
        <v> </v>
      </c>
      <c r="G4522" s="23" t="str">
        <f>IF(OR(E4522="",E4522="!!!"),"",IF(OR(J4522=0,AND(J4522=1,K4522=1),AND(J4522=1,I4522="SBJ"),AND(J4522=1,I4522=0)),"?IN_FOCUS",IF(J4522&lt;=2,"?ACTIVATED",IF(J4522&lt;&gt;"","?FAMILIAR",IF(F4522="NEW",IF(ISNA(VLOOKUP(E4522,#REF!,1,FALSE())),"?TYPE_IDENTIFIABLE","?REFERENTIAL"),"_")))))</f>
        <v> </v>
      </c>
      <c r="H4522" s="24" t="str">
        <f>IF(J4522&lt;&gt;1,"",IF(I4522="SBJ","CB","?"))</f>
        <v> </v>
      </c>
      <c r="I4522" s="25" t="str">
        <f>IF(OR(E4522="",E4522="!!!",F4522="NEW"),"",INDEX(B4521:B$2,-1+SUMPRODUCT(MAX(ROW(E4521:E$2)*(E4522=E4521:E$2)))))</f>
        <v> </v>
      </c>
      <c r="J4522" s="25" t="str">
        <f>IF(OR(E4522="",E4522="!!!",F4522="NEW"),"",COUNTBLANK(OFFSET(A$1,,,SUMPRODUCT(MAX(ROW(E$2:E4522)*(E4522=E$2:E4522)))))-COUNTBLANK(OFFSET(A$1,,,SUMPRODUCT(MAX(ROW(E$1:E4521)*(E2=E$1:E4521))))))</f>
        <v> </v>
      </c>
      <c r="K4522" s="25" t="str">
        <f>IF(OR(E4522="",E4522="!!!",F4522="NEW"),"",INDEX(J$1:J4521,SUMPRODUCT(MAX(ROW(E$1:E4521)*(E4522=E$1:E4521)))))</f>
        <v> </v>
      </c>
      <c r="L4522" s="26"/>
    </row>
    <row r="4523" spans="1:12">
      <c r="A4523" s="20" t="s">
        <v>1444</v>
      </c>
      <c r="E4523" s="21">
        <f>IF(D4523="?OLD","!!!","")</f>
        <v/>
      </c>
      <c r="F4523" s="22" t="str">
        <f>IF(OR(E4523="",E4523="!!!"),"",IF(NOT(ISNA(VLOOKUP(E4523,E$1:E4522,1,FALSE()))),"OLD",IF(AND(E4523&lt;&gt;"",E4523&lt;&gt;"!!!"),"NEW","")))</f>
        <v> </v>
      </c>
      <c r="G4523" s="23" t="str">
        <f>IF(OR(E4523="",E4523="!!!"),"",IF(OR(J4523=0,AND(J4523=1,K4523=1),AND(J4523=1,I4523="SBJ"),AND(J4523=1,I4523=0)),"?IN_FOCUS",IF(J4523&lt;=2,"?ACTIVATED",IF(J4523&lt;&gt;"","?FAMILIAR",IF(F4523="NEW",IF(ISNA(VLOOKUP(E4523,#REF!,1,FALSE())),"?TYPE_IDENTIFIABLE","?REFERENTIAL"),"_")))))</f>
        <v> </v>
      </c>
      <c r="H4523" s="24" t="str">
        <f>IF(J4523&lt;&gt;1,"",IF(I4523="SBJ","CB","?"))</f>
        <v> </v>
      </c>
      <c r="I4523" s="25" t="str">
        <f>IF(OR(E4523="",E4523="!!!",F4523="NEW"),"",INDEX(B4522:B$2,-1+SUMPRODUCT(MAX(ROW(E4522:E$2)*(E4523=E4522:E$2)))))</f>
        <v> </v>
      </c>
      <c r="J4523" s="25" t="str">
        <f>IF(OR(E4523="",E4523="!!!",F4523="NEW"),"",COUNTBLANK(OFFSET(A$1,,,SUMPRODUCT(MAX(ROW(E$2:E4523)*(E4523=E$2:E4523)))))-COUNTBLANK(OFFSET(A$1,,,SUMPRODUCT(MAX(ROW(E$1:E4522)*(E2=E$1:E4522))))))</f>
        <v> </v>
      </c>
      <c r="K4523" s="25" t="str">
        <f>IF(OR(E4523="",E4523="!!!",F4523="NEW"),"",INDEX(J$1:J4522,SUMPRODUCT(MAX(ROW(E$1:E4522)*(E4523=E$1:E4522)))))</f>
        <v> </v>
      </c>
      <c r="L4523" s="26"/>
    </row>
    <row r="4524" spans="1:12">
      <c r="A4524" s="20" t="s">
        <v>1494</v>
      </c>
      <c r="B4524" s="27" t="s">
        <v>1213</v>
      </c>
      <c r="C4524" s="27" t="s">
        <v>1126</v>
      </c>
      <c r="D4524" s="27" t="s">
        <v>1105</v>
      </c>
      <c r="E4524" s="21">
        <f>IF(D4524="?OLD","!!!","")</f>
        <v/>
      </c>
      <c r="F4524" s="22" t="str">
        <f>IF(OR(E4524="",E4524="!!!"),"",IF(NOT(ISNA(VLOOKUP(E4524,E$1:E4523,1,FALSE()))),"OLD",IF(AND(E4524&lt;&gt;"",E4524&lt;&gt;"!!!"),"NEW","")))</f>
        <v> </v>
      </c>
      <c r="G4524" s="23" t="str">
        <f>IF(OR(E4524="",E4524="!!!"),"",IF(OR(J4524=0,AND(J4524=1,K4524=1),AND(J4524=1,I4524="SBJ"),AND(J4524=1,I4524=0)),"?IN_FOCUS",IF(J4524&lt;=2,"?ACTIVATED",IF(J4524&lt;&gt;"","?FAMILIAR",IF(F4524="NEW",IF(ISNA(VLOOKUP(E4524,#REF!,1,FALSE())),"?TYPE_IDENTIFIABLE","?REFERENTIAL"),"_")))))</f>
        <v> </v>
      </c>
      <c r="H4524" s="24" t="str">
        <f>IF(J4524&lt;&gt;1,"",IF(I4524="SBJ","CB","?"))</f>
        <v> </v>
      </c>
      <c r="I4524" s="25" t="str">
        <f>IF(OR(E4524="",E4524="!!!",F4524="NEW"),"",INDEX(B4523:B$2,-1+SUMPRODUCT(MAX(ROW(E4523:E$2)*(E4524=E4523:E$2)))))</f>
        <v> </v>
      </c>
      <c r="J4524" s="25" t="str">
        <f>IF(OR(E4524="",E4524="!!!",F4524="NEW"),"",COUNTBLANK(OFFSET(A$1,,,SUMPRODUCT(MAX(ROW(E$2:E4524)*(E4524=E$2:E4524)))))-COUNTBLANK(OFFSET(A$1,,,SUMPRODUCT(MAX(ROW(E$1:E4523)*(E2=E$1:E4523))))))</f>
        <v> </v>
      </c>
      <c r="K4524" s="25" t="str">
        <f>IF(OR(E4524="",E4524="!!!",F4524="NEW"),"",INDEX(J$1:J4523,SUMPRODUCT(MAX(ROW(E$1:E4523)*(E4524=E$1:E4523)))))</f>
        <v> </v>
      </c>
      <c r="L4524" s="26"/>
    </row>
    <row r="4525" spans="1:12">
      <c r="A4525" s="20" t="s">
        <v>3089</v>
      </c>
      <c r="B4525" s="27" t="s">
        <v>1149</v>
      </c>
      <c r="E4525" s="21">
        <f>IF(D4525="?OLD","!!!","")</f>
        <v/>
      </c>
      <c r="F4525" s="22" t="str">
        <f>IF(OR(E4525="",E4525="!!!"),"",IF(NOT(ISNA(VLOOKUP(E4525,E$1:E4524,1,FALSE()))),"OLD",IF(AND(E4525&lt;&gt;"",E4525&lt;&gt;"!!!"),"NEW","")))</f>
        <v> </v>
      </c>
      <c r="G4525" s="23" t="str">
        <f>IF(OR(E4525="",E4525="!!!"),"",IF(OR(J4525=0,AND(J4525=1,K4525=1),AND(J4525=1,I4525="SBJ"),AND(J4525=1,I4525=0)),"?IN_FOCUS",IF(J4525&lt;=2,"?ACTIVATED",IF(J4525&lt;&gt;"","?FAMILIAR",IF(F4525="NEW",IF(ISNA(VLOOKUP(E4525,#REF!,1,FALSE())),"?TYPE_IDENTIFIABLE","?REFERENTIAL"),"_")))))</f>
        <v> </v>
      </c>
      <c r="H4525" s="24" t="str">
        <f>IF(J4525&lt;&gt;1,"",IF(I4525="SBJ","CB","?"))</f>
        <v> </v>
      </c>
      <c r="I4525" s="25" t="str">
        <f>IF(OR(E4525="",E4525="!!!",F4525="NEW"),"",INDEX(B4524:B$2,-1+SUMPRODUCT(MAX(ROW(E4524:E$2)*(E4525=E4524:E$2)))))</f>
        <v> </v>
      </c>
      <c r="J4525" s="25" t="str">
        <f>IF(OR(E4525="",E4525="!!!",F4525="NEW"),"",COUNTBLANK(OFFSET(A$1,,,SUMPRODUCT(MAX(ROW(E$2:E4525)*(E4525=E$2:E4525)))))-COUNTBLANK(OFFSET(A$1,,,SUMPRODUCT(MAX(ROW(E$1:E4524)*(E2=E$1:E4524))))))</f>
        <v> </v>
      </c>
      <c r="K4525" s="25" t="str">
        <f>IF(OR(E4525="",E4525="!!!",F4525="NEW"),"",INDEX(J$1:J4524,SUMPRODUCT(MAX(ROW(E$1:E4524)*(E4525=E$1:E4524)))))</f>
        <v> </v>
      </c>
      <c r="L4525" s="26"/>
    </row>
    <row r="4526" spans="1:12">
      <c r="A4526" s="20" t="s">
        <v>2073</v>
      </c>
      <c r="E4526" s="21">
        <f>IF(D4526="?OLD","!!!","")</f>
        <v/>
      </c>
      <c r="F4526" s="22" t="str">
        <f>IF(OR(E4526="",E4526="!!!"),"",IF(NOT(ISNA(VLOOKUP(E4526,E$1:E4525,1,FALSE()))),"OLD",IF(AND(E4526&lt;&gt;"",E4526&lt;&gt;"!!!"),"NEW","")))</f>
        <v> </v>
      </c>
      <c r="G4526" s="23" t="str">
        <f>IF(OR(E4526="",E4526="!!!"),"",IF(OR(J4526=0,AND(J4526=1,K4526=1),AND(J4526=1,I4526="SBJ"),AND(J4526=1,I4526=0)),"?IN_FOCUS",IF(J4526&lt;=2,"?ACTIVATED",IF(J4526&lt;&gt;"","?FAMILIAR",IF(F4526="NEW",IF(ISNA(VLOOKUP(E4526,#REF!,1,FALSE())),"?TYPE_IDENTIFIABLE","?REFERENTIAL"),"_")))))</f>
        <v> </v>
      </c>
      <c r="H4526" s="24" t="str">
        <f>IF(J4526&lt;&gt;1,"",IF(I4526="SBJ","CB","?"))</f>
        <v> </v>
      </c>
      <c r="I4526" s="25" t="str">
        <f>IF(OR(E4526="",E4526="!!!",F4526="NEW"),"",INDEX(B4525:B$2,-1+SUMPRODUCT(MAX(ROW(E4525:E$2)*(E4526=E4525:E$2)))))</f>
        <v> </v>
      </c>
      <c r="J4526" s="25" t="str">
        <f>IF(OR(E4526="",E4526="!!!",F4526="NEW"),"",COUNTBLANK(OFFSET(A$1,,,SUMPRODUCT(MAX(ROW(E$2:E4526)*(E4526=E$2:E4526)))))-COUNTBLANK(OFFSET(A$1,,,SUMPRODUCT(MAX(ROW(E$1:E4525)*(E2=E$1:E4525))))))</f>
        <v> </v>
      </c>
      <c r="K4526" s="25" t="str">
        <f>IF(OR(E4526="",E4526="!!!",F4526="NEW"),"",INDEX(J$1:J4525,SUMPRODUCT(MAX(ROW(E$1:E4525)*(E4526=E$1:E4525)))))</f>
        <v> </v>
      </c>
      <c r="L4526" s="26"/>
    </row>
    <row r="4527" spans="1:12">
      <c r="A4527" s="20" t="s">
        <v>1249</v>
      </c>
      <c r="E4527" s="21">
        <f>IF(D4527="?OLD","!!!","")</f>
        <v/>
      </c>
      <c r="F4527" s="22" t="str">
        <f>IF(OR(E4527="",E4527="!!!"),"",IF(NOT(ISNA(VLOOKUP(E4527,E$1:E4526,1,FALSE()))),"OLD",IF(AND(E4527&lt;&gt;"",E4527&lt;&gt;"!!!"),"NEW","")))</f>
        <v> </v>
      </c>
      <c r="G4527" s="23" t="str">
        <f>IF(OR(E4527="",E4527="!!!"),"",IF(OR(J4527=0,AND(J4527=1,K4527=1),AND(J4527=1,I4527="SBJ"),AND(J4527=1,I4527=0)),"?IN_FOCUS",IF(J4527&lt;=2,"?ACTIVATED",IF(J4527&lt;&gt;"","?FAMILIAR",IF(F4527="NEW",IF(ISNA(VLOOKUP(E4527,#REF!,1,FALSE())),"?TYPE_IDENTIFIABLE","?REFERENTIAL"),"_")))))</f>
        <v> </v>
      </c>
      <c r="H4527" s="24" t="str">
        <f>IF(J4527&lt;&gt;1,"",IF(I4527="SBJ","CB","?"))</f>
        <v> </v>
      </c>
      <c r="I4527" s="25" t="str">
        <f>IF(OR(E4527="",E4527="!!!",F4527="NEW"),"",INDEX(B4526:B$2,-1+SUMPRODUCT(MAX(ROW(E4526:E$2)*(E4527=E4526:E$2)))))</f>
        <v> </v>
      </c>
      <c r="J4527" s="25" t="str">
        <f>IF(OR(E4527="",E4527="!!!",F4527="NEW"),"",COUNTBLANK(OFFSET(A$1,,,SUMPRODUCT(MAX(ROW(E$2:E4527)*(E4527=E$2:E4527)))))-COUNTBLANK(OFFSET(A$1,,,SUMPRODUCT(MAX(ROW(E$1:E4526)*(E2=E$1:E4526))))))</f>
        <v> </v>
      </c>
      <c r="K4527" s="25" t="str">
        <f>IF(OR(E4527="",E4527="!!!",F4527="NEW"),"",INDEX(J$1:J4526,SUMPRODUCT(MAX(ROW(E$1:E4526)*(E4527=E$1:E4526)))))</f>
        <v> </v>
      </c>
      <c r="L4527" s="26"/>
    </row>
    <row r="4528" spans="1:12">
      <c r="A4528" s="20" t="s">
        <v>1262</v>
      </c>
      <c r="E4528" s="21">
        <f>IF(D4528="?OLD","!!!","")</f>
        <v/>
      </c>
      <c r="F4528" s="22" t="str">
        <f>IF(OR(E4528="",E4528="!!!"),"",IF(NOT(ISNA(VLOOKUP(E4528,E$1:E4527,1,FALSE()))),"OLD",IF(AND(E4528&lt;&gt;"",E4528&lt;&gt;"!!!"),"NEW","")))</f>
        <v> </v>
      </c>
      <c r="G4528" s="23" t="str">
        <f>IF(OR(E4528="",E4528="!!!"),"",IF(OR(J4528=0,AND(J4528=1,K4528=1),AND(J4528=1,I4528="SBJ"),AND(J4528=1,I4528=0)),"?IN_FOCUS",IF(J4528&lt;=2,"?ACTIVATED",IF(J4528&lt;&gt;"","?FAMILIAR",IF(F4528="NEW",IF(ISNA(VLOOKUP(E4528,#REF!,1,FALSE())),"?TYPE_IDENTIFIABLE","?REFERENTIAL"),"_")))))</f>
        <v> </v>
      </c>
      <c r="H4528" s="24" t="str">
        <f>IF(J4528&lt;&gt;1,"",IF(I4528="SBJ","CB","?"))</f>
        <v> </v>
      </c>
      <c r="I4528" s="25" t="str">
        <f>IF(OR(E4528="",E4528="!!!",F4528="NEW"),"",INDEX(B4527:B$2,-1+SUMPRODUCT(MAX(ROW(E4527:E$2)*(E4528=E4527:E$2)))))</f>
        <v> </v>
      </c>
      <c r="J4528" s="25" t="str">
        <f>IF(OR(E4528="",E4528="!!!",F4528="NEW"),"",COUNTBLANK(OFFSET(A$1,,,SUMPRODUCT(MAX(ROW(E$2:E4528)*(E4528=E$2:E4528)))))-COUNTBLANK(OFFSET(A$1,,,SUMPRODUCT(MAX(ROW(E$1:E4527)*(E2=E$1:E4527))))))</f>
        <v> </v>
      </c>
      <c r="K4528" s="25" t="str">
        <f>IF(OR(E4528="",E4528="!!!",F4528="NEW"),"",INDEX(J$1:J4527,SUMPRODUCT(MAX(ROW(E$1:E4527)*(E4528=E$1:E4527)))))</f>
        <v> </v>
      </c>
      <c r="L4528" s="26"/>
    </row>
    <row r="4529" spans="1:12">
      <c r="A4529" s="20" t="s">
        <v>1145</v>
      </c>
      <c r="E4529" s="21">
        <f>IF(D4529="?OLD","!!!","")</f>
        <v/>
      </c>
      <c r="F4529" s="22" t="str">
        <f>IF(OR(E4529="",E4529="!!!"),"",IF(NOT(ISNA(VLOOKUP(E4529,E$1:E4528,1,FALSE()))),"OLD",IF(AND(E4529&lt;&gt;"",E4529&lt;&gt;"!!!"),"NEW","")))</f>
        <v> </v>
      </c>
      <c r="G4529" s="23" t="str">
        <f>IF(OR(E4529="",E4529="!!!"),"",IF(OR(J4529=0,AND(J4529=1,K4529=1),AND(J4529=1,I4529="SBJ"),AND(J4529=1,I4529=0)),"?IN_FOCUS",IF(J4529&lt;=2,"?ACTIVATED",IF(J4529&lt;&gt;"","?FAMILIAR",IF(F4529="NEW",IF(ISNA(VLOOKUP(E4529,#REF!,1,FALSE())),"?TYPE_IDENTIFIABLE","?REFERENTIAL"),"_")))))</f>
        <v> </v>
      </c>
      <c r="H4529" s="24" t="str">
        <f>IF(J4529&lt;&gt;1,"",IF(I4529="SBJ","CB","?"))</f>
        <v> </v>
      </c>
      <c r="I4529" s="25" t="str">
        <f>IF(OR(E4529="",E4529="!!!",F4529="NEW"),"",INDEX(B4528:B$2,-1+SUMPRODUCT(MAX(ROW(E4528:E$2)*(E4529=E4528:E$2)))))</f>
        <v> </v>
      </c>
      <c r="J4529" s="25" t="str">
        <f>IF(OR(E4529="",E4529="!!!",F4529="NEW"),"",COUNTBLANK(OFFSET(A$1,,,SUMPRODUCT(MAX(ROW(E$2:E4529)*(E4529=E$2:E4529)))))-COUNTBLANK(OFFSET(A$1,,,SUMPRODUCT(MAX(ROW(E$1:E4528)*(E2=E$1:E4528))))))</f>
        <v> </v>
      </c>
      <c r="K4529" s="25" t="str">
        <f>IF(OR(E4529="",E4529="!!!",F4529="NEW"),"",INDEX(J$1:J4528,SUMPRODUCT(MAX(ROW(E$1:E4528)*(E4529=E$1:E4528)))))</f>
        <v> </v>
      </c>
      <c r="L4529" s="26"/>
    </row>
    <row r="4530" spans="1:12">
      <c r="A4530" s="20"/>
    </row>
    <row r="4531" spans="1:12">
      <c r="A4531" s="20" t="s">
        <v>3090</v>
      </c>
    </row>
    <row r="4532" spans="1:12">
      <c r="A4532" s="20" t="s">
        <v>1191</v>
      </c>
      <c r="B4532" s="27" t="s">
        <v>1149</v>
      </c>
      <c r="C4532" s="27" t="s">
        <v>1126</v>
      </c>
      <c r="D4532" s="27" t="s">
        <v>1105</v>
      </c>
      <c r="E4532" s="21">
        <f>IF(D4532="?OLD","!!!","")</f>
        <v/>
      </c>
      <c r="F4532" s="22" t="str">
        <f>IF(OR(E4532="",E4532="!!!"),"",IF(NOT(ISNA(VLOOKUP(E4532,E$1:E4531,1,FALSE()))),"OLD",IF(AND(E4532&lt;&gt;"",E4532&lt;&gt;"!!!"),"NEW","")))</f>
        <v> </v>
      </c>
      <c r="G4532" s="23" t="str">
        <f>IF(OR(E4532="",E4532="!!!"),"",IF(OR(J4532=0,AND(J4532=1,K4532=1),AND(J4532=1,I4532="SBJ"),AND(J4532=1,I4532=0)),"?IN_FOCUS",IF(J4532&lt;=2,"?ACTIVATED",IF(J4532&lt;&gt;"","?FAMILIAR",IF(F4532="NEW",IF(ISNA(VLOOKUP(E4532,#REF!,1,FALSE())),"?TYPE_IDENTIFIABLE","?REFERENTIAL"),"_")))))</f>
        <v> </v>
      </c>
      <c r="H4532" s="24" t="str">
        <f>IF(J4532&lt;&gt;1,"",IF(I4532="SBJ","CB","?"))</f>
        <v> </v>
      </c>
      <c r="I4532" s="25" t="str">
        <f>IF(OR(E4532="",E4532="!!!",F4532="NEW"),"",INDEX(B4531:B$2,-1+SUMPRODUCT(MAX(ROW(E4531:E$2)*(E4532=E4531:E$2)))))</f>
        <v> </v>
      </c>
      <c r="J4532" s="25" t="str">
        <f>IF(OR(E4532="",E4532="!!!",F4532="NEW"),"",COUNTBLANK(OFFSET(A$1,,,SUMPRODUCT(MAX(ROW(E$2:E4532)*(E4532=E$2:E4532)))))-COUNTBLANK(OFFSET(A$1,,,SUMPRODUCT(MAX(ROW(E$1:E4531)*(E2=E$1:E4531))))))</f>
        <v> </v>
      </c>
      <c r="K4532" s="25" t="str">
        <f>IF(OR(E4532="",E4532="!!!",F4532="NEW"),"",INDEX(J$1:J4531,SUMPRODUCT(MAX(ROW(E$1:E4531)*(E4532=E$1:E4531)))))</f>
        <v> </v>
      </c>
      <c r="L4532" s="26"/>
    </row>
    <row r="4533" spans="1:12">
      <c r="A4533" s="20" t="s">
        <v>1528</v>
      </c>
      <c r="E4533" s="21">
        <f>IF(D4533="?OLD","!!!","")</f>
        <v/>
      </c>
      <c r="F4533" s="22" t="str">
        <f>IF(OR(E4533="",E4533="!!!"),"",IF(NOT(ISNA(VLOOKUP(E4533,E$1:E4532,1,FALSE()))),"OLD",IF(AND(E4533&lt;&gt;"",E4533&lt;&gt;"!!!"),"NEW","")))</f>
        <v> </v>
      </c>
      <c r="G4533" s="23" t="str">
        <f>IF(OR(E4533="",E4533="!!!"),"",IF(OR(J4533=0,AND(J4533=1,K4533=1),AND(J4533=1,I4533="SBJ"),AND(J4533=1,I4533=0)),"?IN_FOCUS",IF(J4533&lt;=2,"?ACTIVATED",IF(J4533&lt;&gt;"","?FAMILIAR",IF(F4533="NEW",IF(ISNA(VLOOKUP(E4533,#REF!,1,FALSE())),"?TYPE_IDENTIFIABLE","?REFERENTIAL"),"_")))))</f>
        <v> </v>
      </c>
      <c r="H4533" s="24" t="str">
        <f>IF(J4533&lt;&gt;1,"",IF(I4533="SBJ","CB","?"))</f>
        <v> </v>
      </c>
      <c r="I4533" s="25" t="str">
        <f>IF(OR(E4533="",E4533="!!!",F4533="NEW"),"",INDEX(B4532:B$2,-1+SUMPRODUCT(MAX(ROW(E4532:E$2)*(E4533=E4532:E$2)))))</f>
        <v> </v>
      </c>
      <c r="J4533" s="25" t="str">
        <f>IF(OR(E4533="",E4533="!!!",F4533="NEW"),"",COUNTBLANK(OFFSET(A$1,,,SUMPRODUCT(MAX(ROW(E$2:E4533)*(E4533=E$2:E4533)))))-COUNTBLANK(OFFSET(A$1,,,SUMPRODUCT(MAX(ROW(E$1:E4532)*(E2=E$1:E4532))))))</f>
        <v> </v>
      </c>
      <c r="K4533" s="25" t="str">
        <f>IF(OR(E4533="",E4533="!!!",F4533="NEW"),"",INDEX(J$1:J4532,SUMPRODUCT(MAX(ROW(E$1:E4532)*(E4533=E$1:E4532)))))</f>
        <v> </v>
      </c>
      <c r="L4533" s="26"/>
    </row>
    <row r="4534" spans="1:12">
      <c r="A4534" s="20" t="s">
        <v>3091</v>
      </c>
      <c r="E4534" s="21">
        <f>IF(D4534="?OLD","!!!","")</f>
        <v/>
      </c>
      <c r="F4534" s="22" t="str">
        <f>IF(OR(E4534="",E4534="!!!"),"",IF(NOT(ISNA(VLOOKUP(E4534,E$1:E4533,1,FALSE()))),"OLD",IF(AND(E4534&lt;&gt;"",E4534&lt;&gt;"!!!"),"NEW","")))</f>
        <v> </v>
      </c>
      <c r="G4534" s="23" t="str">
        <f>IF(OR(E4534="",E4534="!!!"),"",IF(OR(J4534=0,AND(J4534=1,K4534=1),AND(J4534=1,I4534="SBJ"),AND(J4534=1,I4534=0)),"?IN_FOCUS",IF(J4534&lt;=2,"?ACTIVATED",IF(J4534&lt;&gt;"","?FAMILIAR",IF(F4534="NEW",IF(ISNA(VLOOKUP(E4534,#REF!,1,FALSE())),"?TYPE_IDENTIFIABLE","?REFERENTIAL"),"_")))))</f>
        <v> </v>
      </c>
      <c r="H4534" s="24" t="str">
        <f>IF(J4534&lt;&gt;1,"",IF(I4534="SBJ","CB","?"))</f>
        <v> </v>
      </c>
      <c r="I4534" s="25" t="str">
        <f>IF(OR(E4534="",E4534="!!!",F4534="NEW"),"",INDEX(B4533:B$2,-1+SUMPRODUCT(MAX(ROW(E4533:E$2)*(E4534=E4533:E$2)))))</f>
        <v> </v>
      </c>
      <c r="J4534" s="25" t="str">
        <f>IF(OR(E4534="",E4534="!!!",F4534="NEW"),"",COUNTBLANK(OFFSET(A$1,,,SUMPRODUCT(MAX(ROW(E$2:E4534)*(E4534=E$2:E4534)))))-COUNTBLANK(OFFSET(A$1,,,SUMPRODUCT(MAX(ROW(E$1:E4533)*(E2=E$1:E4533))))))</f>
        <v> </v>
      </c>
      <c r="K4534" s="25" t="str">
        <f>IF(OR(E4534="",E4534="!!!",F4534="NEW"),"",INDEX(J$1:J4533,SUMPRODUCT(MAX(ROW(E$1:E4533)*(E4534=E$1:E4533)))))</f>
        <v> </v>
      </c>
      <c r="L4534" s="26"/>
    </row>
    <row r="4535" spans="1:12">
      <c r="A4535" s="20" t="s">
        <v>2907</v>
      </c>
      <c r="B4535" s="27" t="s">
        <v>1103</v>
      </c>
      <c r="C4535" s="27" t="s">
        <v>1116</v>
      </c>
      <c r="D4535" s="27" t="s">
        <v>1105</v>
      </c>
      <c r="E4535" s="21">
        <f>IF(D4535="?OLD","!!!","")</f>
        <v/>
      </c>
      <c r="F4535" s="22" t="str">
        <f>IF(OR(E4535="",E4535="!!!"),"",IF(NOT(ISNA(VLOOKUP(E4535,E$1:E4534,1,FALSE()))),"OLD",IF(AND(E4535&lt;&gt;"",E4535&lt;&gt;"!!!"),"NEW","")))</f>
        <v> </v>
      </c>
      <c r="G4535" s="23" t="str">
        <f>IF(OR(E4535="",E4535="!!!"),"",IF(OR(J4535=0,AND(J4535=1,K4535=1),AND(J4535=1,I4535="SBJ"),AND(J4535=1,I4535=0)),"?IN_FOCUS",IF(J4535&lt;=2,"?ACTIVATED",IF(J4535&lt;&gt;"","?FAMILIAR",IF(F4535="NEW",IF(ISNA(VLOOKUP(E4535,#REF!,1,FALSE())),"?TYPE_IDENTIFIABLE","?REFERENTIAL"),"_")))))</f>
        <v> </v>
      </c>
      <c r="H4535" s="24" t="str">
        <f>IF(J4535&lt;&gt;1,"",IF(I4535="SBJ","CB","?"))</f>
        <v> </v>
      </c>
      <c r="I4535" s="25" t="str">
        <f>IF(OR(E4535="",E4535="!!!",F4535="NEW"),"",INDEX(B4534:B$2,-1+SUMPRODUCT(MAX(ROW(E4534:E$2)*(E4535=E4534:E$2)))))</f>
        <v> </v>
      </c>
      <c r="J4535" s="25" t="str">
        <f>IF(OR(E4535="",E4535="!!!",F4535="NEW"),"",COUNTBLANK(OFFSET(A$1,,,SUMPRODUCT(MAX(ROW(E$2:E4535)*(E4535=E$2:E4535)))))-COUNTBLANK(OFFSET(A$1,,,SUMPRODUCT(MAX(ROW(E$1:E4534)*(E2=E$1:E4534))))))</f>
        <v> </v>
      </c>
      <c r="K4535" s="25" t="str">
        <f>IF(OR(E4535="",E4535="!!!",F4535="NEW"),"",INDEX(J$1:J4534,SUMPRODUCT(MAX(ROW(E$1:E4534)*(E4535=E$1:E4534)))))</f>
        <v> </v>
      </c>
      <c r="L4535" s="26"/>
    </row>
    <row r="4536" spans="1:12">
      <c r="A4536" s="20" t="s">
        <v>1184</v>
      </c>
      <c r="E4536" s="21">
        <f>IF(D4536="?OLD","!!!","")</f>
        <v/>
      </c>
      <c r="F4536" s="22" t="str">
        <f>IF(OR(E4536="",E4536="!!!"),"",IF(NOT(ISNA(VLOOKUP(E4536,E$1:E4535,1,FALSE()))),"OLD",IF(AND(E4536&lt;&gt;"",E4536&lt;&gt;"!!!"),"NEW","")))</f>
        <v> </v>
      </c>
      <c r="G4536" s="23" t="str">
        <f>IF(OR(E4536="",E4536="!!!"),"",IF(OR(J4536=0,AND(J4536=1,K4536=1),AND(J4536=1,I4536="SBJ"),AND(J4536=1,I4536=0)),"?IN_FOCUS",IF(J4536&lt;=2,"?ACTIVATED",IF(J4536&lt;&gt;"","?FAMILIAR",IF(F4536="NEW",IF(ISNA(VLOOKUP(E4536,#REF!,1,FALSE())),"?TYPE_IDENTIFIABLE","?REFERENTIAL"),"_")))))</f>
        <v> </v>
      </c>
      <c r="H4536" s="24" t="str">
        <f>IF(J4536&lt;&gt;1,"",IF(I4536="SBJ","CB","?"))</f>
        <v> </v>
      </c>
      <c r="I4536" s="25" t="str">
        <f>IF(OR(E4536="",E4536="!!!",F4536="NEW"),"",INDEX(B4535:B$2,-1+SUMPRODUCT(MAX(ROW(E4535:E$2)*(E4536=E4535:E$2)))))</f>
        <v> </v>
      </c>
      <c r="J4536" s="25" t="str">
        <f>IF(OR(E4536="",E4536="!!!",F4536="NEW"),"",COUNTBLANK(OFFSET(A$1,,,SUMPRODUCT(MAX(ROW(E$2:E4536)*(E4536=E$2:E4536)))))-COUNTBLANK(OFFSET(A$1,,,SUMPRODUCT(MAX(ROW(E$1:E4535)*(E2=E$1:E4535))))))</f>
        <v> </v>
      </c>
      <c r="K4536" s="25" t="str">
        <f>IF(OR(E4536="",E4536="!!!",F4536="NEW"),"",INDEX(J$1:J4535,SUMPRODUCT(MAX(ROW(E$1:E4535)*(E4536=E$1:E4535)))))</f>
        <v> </v>
      </c>
      <c r="L4536" s="26"/>
    </row>
    <row r="4537" spans="1:12">
      <c r="A4537" s="20" t="s">
        <v>3092</v>
      </c>
      <c r="B4537" s="27" t="s">
        <v>1107</v>
      </c>
      <c r="C4537" s="27" t="s">
        <v>1108</v>
      </c>
      <c r="D4537" s="27" t="s">
        <v>1105</v>
      </c>
      <c r="E4537" s="21">
        <f>IF(D4537="?OLD","!!!","")</f>
        <v/>
      </c>
      <c r="F4537" s="22" t="str">
        <f>IF(OR(E4537="",E4537="!!!"),"",IF(NOT(ISNA(VLOOKUP(E4537,E$1:E4536,1,FALSE()))),"OLD",IF(AND(E4537&lt;&gt;"",E4537&lt;&gt;"!!!"),"NEW","")))</f>
        <v> </v>
      </c>
      <c r="G4537" s="23" t="str">
        <f>IF(OR(E4537="",E4537="!!!"),"",IF(OR(J4537=0,AND(J4537=1,K4537=1),AND(J4537=1,I4537="SBJ"),AND(J4537=1,I4537=0)),"?IN_FOCUS",IF(J4537&lt;=2,"?ACTIVATED",IF(J4537&lt;&gt;"","?FAMILIAR",IF(F4537="NEW",IF(ISNA(VLOOKUP(E4537,#REF!,1,FALSE())),"?TYPE_IDENTIFIABLE","?REFERENTIAL"),"_")))))</f>
        <v> </v>
      </c>
      <c r="H4537" s="24" t="str">
        <f>IF(J4537&lt;&gt;1,"",IF(I4537="SBJ","CB","?"))</f>
        <v> </v>
      </c>
      <c r="I4537" s="25" t="str">
        <f>IF(OR(E4537="",E4537="!!!",F4537="NEW"),"",INDEX(B4536:B$2,-1+SUMPRODUCT(MAX(ROW(E4536:E$2)*(E4537=E4536:E$2)))))</f>
        <v> </v>
      </c>
      <c r="J4537" s="25" t="str">
        <f>IF(OR(E4537="",E4537="!!!",F4537="NEW"),"",COUNTBLANK(OFFSET(A$1,,,SUMPRODUCT(MAX(ROW(E$2:E4537)*(E4537=E$2:E4537)))))-COUNTBLANK(OFFSET(A$1,,,SUMPRODUCT(MAX(ROW(E$1:E4536)*(E2=E$1:E4536))))))</f>
        <v> </v>
      </c>
      <c r="K4537" s="25" t="str">
        <f>IF(OR(E4537="",E4537="!!!",F4537="NEW"),"",INDEX(J$1:J4536,SUMPRODUCT(MAX(ROW(E$1:E4536)*(E4537=E$1:E4536)))))</f>
        <v> </v>
      </c>
      <c r="L4537" s="26"/>
    </row>
    <row r="4538" spans="1:12">
      <c r="A4538" s="20" t="s">
        <v>1123</v>
      </c>
      <c r="E4538" s="21">
        <f>IF(D4538="?OLD","!!!","")</f>
        <v/>
      </c>
      <c r="F4538" s="22" t="str">
        <f>IF(OR(E4538="",E4538="!!!"),"",IF(NOT(ISNA(VLOOKUP(E4538,E$1:E4537,1,FALSE()))),"OLD",IF(AND(E4538&lt;&gt;"",E4538&lt;&gt;"!!!"),"NEW","")))</f>
        <v> </v>
      </c>
      <c r="G4538" s="23" t="str">
        <f>IF(OR(E4538="",E4538="!!!"),"",IF(OR(J4538=0,AND(J4538=1,K4538=1),AND(J4538=1,I4538="SBJ"),AND(J4538=1,I4538=0)),"?IN_FOCUS",IF(J4538&lt;=2,"?ACTIVATED",IF(J4538&lt;&gt;"","?FAMILIAR",IF(F4538="NEW",IF(ISNA(VLOOKUP(E4538,#REF!,1,FALSE())),"?TYPE_IDENTIFIABLE","?REFERENTIAL"),"_")))))</f>
        <v> </v>
      </c>
      <c r="H4538" s="24" t="str">
        <f>IF(J4538&lt;&gt;1,"",IF(I4538="SBJ","CB","?"))</f>
        <v> </v>
      </c>
      <c r="I4538" s="25" t="str">
        <f>IF(OR(E4538="",E4538="!!!",F4538="NEW"),"",INDEX(B4537:B$2,-1+SUMPRODUCT(MAX(ROW(E4537:E$2)*(E4538=E4537:E$2)))))</f>
        <v> </v>
      </c>
      <c r="J4538" s="25" t="str">
        <f>IF(OR(E4538="",E4538="!!!",F4538="NEW"),"",COUNTBLANK(OFFSET(A$1,,,SUMPRODUCT(MAX(ROW(E$2:E4538)*(E4538=E$2:E4538)))))-COUNTBLANK(OFFSET(A$1,,,SUMPRODUCT(MAX(ROW(E$1:E4537)*(E2=E$1:E4537))))))</f>
        <v> </v>
      </c>
      <c r="K4538" s="25" t="str">
        <f>IF(OR(E4538="",E4538="!!!",F4538="NEW"),"",INDEX(J$1:J4537,SUMPRODUCT(MAX(ROW(E$1:E4537)*(E4538=E$1:E4537)))))</f>
        <v> </v>
      </c>
      <c r="L4538" s="26"/>
    </row>
    <row r="4539" spans="1:12">
      <c r="A4539" s="20" t="s">
        <v>1443</v>
      </c>
      <c r="B4539" s="27" t="s">
        <v>1103</v>
      </c>
      <c r="C4539" s="27" t="s">
        <v>1108</v>
      </c>
      <c r="D4539" s="27" t="s">
        <v>1105</v>
      </c>
      <c r="E4539" s="21">
        <f>IF(D4539="?OLD","!!!","")</f>
        <v/>
      </c>
      <c r="F4539" s="22" t="str">
        <f>IF(OR(E4539="",E4539="!!!"),"",IF(NOT(ISNA(VLOOKUP(E4539,E$1:E4538,1,FALSE()))),"OLD",IF(AND(E4539&lt;&gt;"",E4539&lt;&gt;"!!!"),"NEW","")))</f>
        <v> </v>
      </c>
      <c r="G4539" s="23" t="str">
        <f>IF(OR(E4539="",E4539="!!!"),"",IF(OR(J4539=0,AND(J4539=1,K4539=1),AND(J4539=1,I4539="SBJ"),AND(J4539=1,I4539=0)),"?IN_FOCUS",IF(J4539&lt;=2,"?ACTIVATED",IF(J4539&lt;&gt;"","?FAMILIAR",IF(F4539="NEW",IF(ISNA(VLOOKUP(E4539,#REF!,1,FALSE())),"?TYPE_IDENTIFIABLE","?REFERENTIAL"),"_")))))</f>
        <v> </v>
      </c>
      <c r="H4539" s="24" t="str">
        <f>IF(J4539&lt;&gt;1,"",IF(I4539="SBJ","CB","?"))</f>
        <v> </v>
      </c>
      <c r="I4539" s="25" t="str">
        <f>IF(OR(E4539="",E4539="!!!",F4539="NEW"),"",INDEX(B4538:B$2,-1+SUMPRODUCT(MAX(ROW(E4538:E$2)*(E4539=E4538:E$2)))))</f>
        <v> </v>
      </c>
      <c r="J4539" s="25" t="str">
        <f>IF(OR(E4539="",E4539="!!!",F4539="NEW"),"",COUNTBLANK(OFFSET(A$1,,,SUMPRODUCT(MAX(ROW(E$2:E4539)*(E4539=E$2:E4539)))))-COUNTBLANK(OFFSET(A$1,,,SUMPRODUCT(MAX(ROW(E$1:E4538)*(E2=E$1:E4538))))))</f>
        <v> </v>
      </c>
      <c r="K4539" s="25" t="str">
        <f>IF(OR(E4539="",E4539="!!!",F4539="NEW"),"",INDEX(J$1:J4538,SUMPRODUCT(MAX(ROW(E$1:E4538)*(E4539=E$1:E4538)))))</f>
        <v> </v>
      </c>
      <c r="L4539" s="26"/>
    </row>
    <row r="4540" spans="1:12">
      <c r="A4540" s="20" t="s">
        <v>1123</v>
      </c>
      <c r="E4540" s="21">
        <f>IF(D4540="?OLD","!!!","")</f>
        <v/>
      </c>
      <c r="F4540" s="22" t="str">
        <f>IF(OR(E4540="",E4540="!!!"),"",IF(NOT(ISNA(VLOOKUP(E4540,E$1:E4539,1,FALSE()))),"OLD",IF(AND(E4540&lt;&gt;"",E4540&lt;&gt;"!!!"),"NEW","")))</f>
        <v> </v>
      </c>
      <c r="G4540" s="23" t="str">
        <f>IF(OR(E4540="",E4540="!!!"),"",IF(OR(J4540=0,AND(J4540=1,K4540=1),AND(J4540=1,I4540="SBJ"),AND(J4540=1,I4540=0)),"?IN_FOCUS",IF(J4540&lt;=2,"?ACTIVATED",IF(J4540&lt;&gt;"","?FAMILIAR",IF(F4540="NEW",IF(ISNA(VLOOKUP(E4540,#REF!,1,FALSE())),"?TYPE_IDENTIFIABLE","?REFERENTIAL"),"_")))))</f>
        <v> </v>
      </c>
      <c r="H4540" s="24" t="str">
        <f>IF(J4540&lt;&gt;1,"",IF(I4540="SBJ","CB","?"))</f>
        <v> </v>
      </c>
      <c r="I4540" s="25" t="str">
        <f>IF(OR(E4540="",E4540="!!!",F4540="NEW"),"",INDEX(B4539:B$2,-1+SUMPRODUCT(MAX(ROW(E4539:E$2)*(E4540=E4539:E$2)))))</f>
        <v> </v>
      </c>
      <c r="J4540" s="25" t="str">
        <f>IF(OR(E4540="",E4540="!!!",F4540="NEW"),"",COUNTBLANK(OFFSET(A$1,,,SUMPRODUCT(MAX(ROW(E$2:E4540)*(E4540=E$2:E4540)))))-COUNTBLANK(OFFSET(A$1,,,SUMPRODUCT(MAX(ROW(E$1:E4539)*(E2=E$1:E4539))))))</f>
        <v> </v>
      </c>
      <c r="K4540" s="25" t="str">
        <f>IF(OR(E4540="",E4540="!!!",F4540="NEW"),"",INDEX(J$1:J4539,SUMPRODUCT(MAX(ROW(E$1:E4539)*(E4540=E$1:E4539)))))</f>
        <v> </v>
      </c>
      <c r="L4540" s="26"/>
    </row>
    <row r="4541" spans="1:12">
      <c r="A4541" s="20" t="s">
        <v>1128</v>
      </c>
      <c r="E4541" s="21">
        <f>IF(D4541="?OLD","!!!","")</f>
        <v/>
      </c>
      <c r="F4541" s="22" t="str">
        <f>IF(OR(E4541="",E4541="!!!"),"",IF(NOT(ISNA(VLOOKUP(E4541,E$1:E4540,1,FALSE()))),"OLD",IF(AND(E4541&lt;&gt;"",E4541&lt;&gt;"!!!"),"NEW","")))</f>
        <v> </v>
      </c>
      <c r="G4541" s="23" t="str">
        <f>IF(OR(E4541="",E4541="!!!"),"",IF(OR(J4541=0,AND(J4541=1,K4541=1),AND(J4541=1,I4541="SBJ"),AND(J4541=1,I4541=0)),"?IN_FOCUS",IF(J4541&lt;=2,"?ACTIVATED",IF(J4541&lt;&gt;"","?FAMILIAR",IF(F4541="NEW",IF(ISNA(VLOOKUP(E4541,#REF!,1,FALSE())),"?TYPE_IDENTIFIABLE","?REFERENTIAL"),"_")))))</f>
        <v> </v>
      </c>
      <c r="H4541" s="24" t="str">
        <f>IF(J4541&lt;&gt;1,"",IF(I4541="SBJ","CB","?"))</f>
        <v> </v>
      </c>
      <c r="I4541" s="25" t="str">
        <f>IF(OR(E4541="",E4541="!!!",F4541="NEW"),"",INDEX(B4540:B$2,-1+SUMPRODUCT(MAX(ROW(E4540:E$2)*(E4541=E4540:E$2)))))</f>
        <v> </v>
      </c>
      <c r="J4541" s="25" t="str">
        <f>IF(OR(E4541="",E4541="!!!",F4541="NEW"),"",COUNTBLANK(OFFSET(A$1,,,SUMPRODUCT(MAX(ROW(E$2:E4541)*(E4541=E$2:E4541)))))-COUNTBLANK(OFFSET(A$1,,,SUMPRODUCT(MAX(ROW(E$1:E4540)*(E2=E$1:E4540))))))</f>
        <v> </v>
      </c>
      <c r="K4541" s="25" t="str">
        <f>IF(OR(E4541="",E4541="!!!",F4541="NEW"),"",INDEX(J$1:J4540,SUMPRODUCT(MAX(ROW(E$1:E4540)*(E4541=E$1:E4540)))))</f>
        <v> </v>
      </c>
      <c r="L4541" s="26"/>
    </row>
    <row r="4542" spans="1:12">
      <c r="A4542" s="20" t="s">
        <v>3093</v>
      </c>
      <c r="E4542" s="21">
        <f>IF(D4542="?OLD","!!!","")</f>
        <v/>
      </c>
      <c r="F4542" s="22" t="str">
        <f>IF(OR(E4542="",E4542="!!!"),"",IF(NOT(ISNA(VLOOKUP(E4542,E$1:E4541,1,FALSE()))),"OLD",IF(AND(E4542&lt;&gt;"",E4542&lt;&gt;"!!!"),"NEW","")))</f>
        <v> </v>
      </c>
      <c r="G4542" s="23" t="str">
        <f>IF(OR(E4542="",E4542="!!!"),"",IF(OR(J4542=0,AND(J4542=1,K4542=1),AND(J4542=1,I4542="SBJ"),AND(J4542=1,I4542=0)),"?IN_FOCUS",IF(J4542&lt;=2,"?ACTIVATED",IF(J4542&lt;&gt;"","?FAMILIAR",IF(F4542="NEW",IF(ISNA(VLOOKUP(E4542,#REF!,1,FALSE())),"?TYPE_IDENTIFIABLE","?REFERENTIAL"),"_")))))</f>
        <v> </v>
      </c>
      <c r="H4542" s="24" t="str">
        <f>IF(J4542&lt;&gt;1,"",IF(I4542="SBJ","CB","?"))</f>
        <v> </v>
      </c>
      <c r="I4542" s="25" t="str">
        <f>IF(OR(E4542="",E4542="!!!",F4542="NEW"),"",INDEX(B4541:B$2,-1+SUMPRODUCT(MAX(ROW(E4541:E$2)*(E4542=E4541:E$2)))))</f>
        <v> </v>
      </c>
      <c r="J4542" s="25" t="str">
        <f>IF(OR(E4542="",E4542="!!!",F4542="NEW"),"",COUNTBLANK(OFFSET(A$1,,,SUMPRODUCT(MAX(ROW(E$2:E4542)*(E4542=E$2:E4542)))))-COUNTBLANK(OFFSET(A$1,,,SUMPRODUCT(MAX(ROW(E$1:E4541)*(E2=E$1:E4541))))))</f>
        <v> </v>
      </c>
      <c r="K4542" s="25" t="str">
        <f>IF(OR(E4542="",E4542="!!!",F4542="NEW"),"",INDEX(J$1:J4541,SUMPRODUCT(MAX(ROW(E$1:E4541)*(E4542=E$1:E4541)))))</f>
        <v> </v>
      </c>
      <c r="L4542" s="26"/>
    </row>
    <row r="4543" spans="1:12">
      <c r="A4543" s="20" t="s">
        <v>3094</v>
      </c>
      <c r="E4543" s="21">
        <f>IF(D4543="?OLD","!!!","")</f>
        <v/>
      </c>
      <c r="F4543" s="22" t="str">
        <f>IF(OR(E4543="",E4543="!!!"),"",IF(NOT(ISNA(VLOOKUP(E4543,E$1:E4542,1,FALSE()))),"OLD",IF(AND(E4543&lt;&gt;"",E4543&lt;&gt;"!!!"),"NEW","")))</f>
        <v> </v>
      </c>
      <c r="G4543" s="23" t="str">
        <f>IF(OR(E4543="",E4543="!!!"),"",IF(OR(J4543=0,AND(J4543=1,K4543=1),AND(J4543=1,I4543="SBJ"),AND(J4543=1,I4543=0)),"?IN_FOCUS",IF(J4543&lt;=2,"?ACTIVATED",IF(J4543&lt;&gt;"","?FAMILIAR",IF(F4543="NEW",IF(ISNA(VLOOKUP(E4543,#REF!,1,FALSE())),"?TYPE_IDENTIFIABLE","?REFERENTIAL"),"_")))))</f>
        <v> </v>
      </c>
      <c r="H4543" s="24" t="str">
        <f>IF(J4543&lt;&gt;1,"",IF(I4543="SBJ","CB","?"))</f>
        <v> </v>
      </c>
      <c r="I4543" s="25" t="str">
        <f>IF(OR(E4543="",E4543="!!!",F4543="NEW"),"",INDEX(B4542:B$2,-1+SUMPRODUCT(MAX(ROW(E4542:E$2)*(E4543=E4542:E$2)))))</f>
        <v> </v>
      </c>
      <c r="J4543" s="25" t="str">
        <f>IF(OR(E4543="",E4543="!!!",F4543="NEW"),"",COUNTBLANK(OFFSET(A$1,,,SUMPRODUCT(MAX(ROW(E$2:E4543)*(E4543=E$2:E4543)))))-COUNTBLANK(OFFSET(A$1,,,SUMPRODUCT(MAX(ROW(E$1:E4542)*(E2=E$1:E4542))))))</f>
        <v> </v>
      </c>
      <c r="K4543" s="25" t="str">
        <f>IF(OR(E4543="",E4543="!!!",F4543="NEW"),"",INDEX(J$1:J4542,SUMPRODUCT(MAX(ROW(E$1:E4542)*(E4543=E$1:E4542)))))</f>
        <v> </v>
      </c>
      <c r="L4543" s="26"/>
    </row>
    <row r="4544" spans="1:12">
      <c r="A4544" s="20" t="s">
        <v>1339</v>
      </c>
      <c r="E4544" s="21">
        <f>IF(D4544="?OLD","!!!","")</f>
        <v/>
      </c>
      <c r="F4544" s="22" t="str">
        <f>IF(OR(E4544="",E4544="!!!"),"",IF(NOT(ISNA(VLOOKUP(E4544,E$1:E4543,1,FALSE()))),"OLD",IF(AND(E4544&lt;&gt;"",E4544&lt;&gt;"!!!"),"NEW","")))</f>
        <v> </v>
      </c>
      <c r="G4544" s="23" t="str">
        <f>IF(OR(E4544="",E4544="!!!"),"",IF(OR(J4544=0,AND(J4544=1,K4544=1),AND(J4544=1,I4544="SBJ"),AND(J4544=1,I4544=0)),"?IN_FOCUS",IF(J4544&lt;=2,"?ACTIVATED",IF(J4544&lt;&gt;"","?FAMILIAR",IF(F4544="NEW",IF(ISNA(VLOOKUP(E4544,#REF!,1,FALSE())),"?TYPE_IDENTIFIABLE","?REFERENTIAL"),"_")))))</f>
        <v> </v>
      </c>
      <c r="H4544" s="24" t="str">
        <f>IF(J4544&lt;&gt;1,"",IF(I4544="SBJ","CB","?"))</f>
        <v> </v>
      </c>
      <c r="I4544" s="25" t="str">
        <f>IF(OR(E4544="",E4544="!!!",F4544="NEW"),"",INDEX(B4543:B$2,-1+SUMPRODUCT(MAX(ROW(E4543:E$2)*(E4544=E4543:E$2)))))</f>
        <v> </v>
      </c>
      <c r="J4544" s="25" t="str">
        <f>IF(OR(E4544="",E4544="!!!",F4544="NEW"),"",COUNTBLANK(OFFSET(A$1,,,SUMPRODUCT(MAX(ROW(E$2:E4544)*(E4544=E$2:E4544)))))-COUNTBLANK(OFFSET(A$1,,,SUMPRODUCT(MAX(ROW(E$1:E4543)*(E2=E$1:E4543))))))</f>
        <v> </v>
      </c>
      <c r="K4544" s="25" t="str">
        <f>IF(OR(E4544="",E4544="!!!",F4544="NEW"),"",INDEX(J$1:J4543,SUMPRODUCT(MAX(ROW(E$1:E4543)*(E4544=E$1:E4543)))))</f>
        <v> </v>
      </c>
      <c r="L4544" s="26"/>
    </row>
    <row r="4545" spans="1:12">
      <c r="A4545" s="20" t="s">
        <v>1242</v>
      </c>
      <c r="B4545" s="27" t="s">
        <v>1115</v>
      </c>
      <c r="C4545" s="27" t="s">
        <v>1126</v>
      </c>
      <c r="D4545" s="27" t="s">
        <v>1105</v>
      </c>
      <c r="E4545" s="21">
        <f>IF(D4545="?OLD","!!!","")</f>
        <v/>
      </c>
      <c r="F4545" s="22" t="str">
        <f>IF(OR(E4545="",E4545="!!!"),"",IF(NOT(ISNA(VLOOKUP(E4545,E$1:E4544,1,FALSE()))),"OLD",IF(AND(E4545&lt;&gt;"",E4545&lt;&gt;"!!!"),"NEW","")))</f>
        <v> </v>
      </c>
      <c r="G4545" s="23" t="str">
        <f>IF(OR(E4545="",E4545="!!!"),"",IF(OR(J4545=0,AND(J4545=1,K4545=1),AND(J4545=1,I4545="SBJ"),AND(J4545=1,I4545=0)),"?IN_FOCUS",IF(J4545&lt;=2,"?ACTIVATED",IF(J4545&lt;&gt;"","?FAMILIAR",IF(F4545="NEW",IF(ISNA(VLOOKUP(E4545,#REF!,1,FALSE())),"?TYPE_IDENTIFIABLE","?REFERENTIAL"),"_")))))</f>
        <v> </v>
      </c>
      <c r="H4545" s="24" t="str">
        <f>IF(J4545&lt;&gt;1,"",IF(I4545="SBJ","CB","?"))</f>
        <v> </v>
      </c>
      <c r="I4545" s="25" t="str">
        <f>IF(OR(E4545="",E4545="!!!",F4545="NEW"),"",INDEX(B4544:B$2,-1+SUMPRODUCT(MAX(ROW(E4544:E$2)*(E4545=E4544:E$2)))))</f>
        <v> </v>
      </c>
      <c r="J4545" s="25" t="str">
        <f>IF(OR(E4545="",E4545="!!!",F4545="NEW"),"",COUNTBLANK(OFFSET(A$1,,,SUMPRODUCT(MAX(ROW(E$2:E4545)*(E4545=E$2:E4545)))))-COUNTBLANK(OFFSET(A$1,,,SUMPRODUCT(MAX(ROW(E$1:E4544)*(E2=E$1:E4544))))))</f>
        <v> </v>
      </c>
      <c r="K4545" s="25" t="str">
        <f>IF(OR(E4545="",E4545="!!!",F4545="NEW"),"",INDEX(J$1:J4544,SUMPRODUCT(MAX(ROW(E$1:E4544)*(E4545=E$1:E4544)))))</f>
        <v> </v>
      </c>
      <c r="L4545" s="26"/>
    </row>
    <row r="4546" spans="1:12">
      <c r="A4546" s="20" t="s">
        <v>1127</v>
      </c>
      <c r="E4546" s="21">
        <f>IF(D4546="?OLD","!!!","")</f>
        <v/>
      </c>
      <c r="F4546" s="22" t="str">
        <f>IF(OR(E4546="",E4546="!!!"),"",IF(NOT(ISNA(VLOOKUP(E4546,E$1:E4545,1,FALSE()))),"OLD",IF(AND(E4546&lt;&gt;"",E4546&lt;&gt;"!!!"),"NEW","")))</f>
        <v> </v>
      </c>
      <c r="G4546" s="23" t="str">
        <f>IF(OR(E4546="",E4546="!!!"),"",IF(OR(J4546=0,AND(J4546=1,K4546=1),AND(J4546=1,I4546="SBJ"),AND(J4546=1,I4546=0)),"?IN_FOCUS",IF(J4546&lt;=2,"?ACTIVATED",IF(J4546&lt;&gt;"","?FAMILIAR",IF(F4546="NEW",IF(ISNA(VLOOKUP(E4546,#REF!,1,FALSE())),"?TYPE_IDENTIFIABLE","?REFERENTIAL"),"_")))))</f>
        <v> </v>
      </c>
      <c r="H4546" s="24" t="str">
        <f>IF(J4546&lt;&gt;1,"",IF(I4546="SBJ","CB","?"))</f>
        <v> </v>
      </c>
      <c r="I4546" s="25" t="str">
        <f>IF(OR(E4546="",E4546="!!!",F4546="NEW"),"",INDEX(B4545:B$2,-1+SUMPRODUCT(MAX(ROW(E4545:E$2)*(E4546=E4545:E$2)))))</f>
        <v> </v>
      </c>
      <c r="J4546" s="25" t="str">
        <f>IF(OR(E4546="",E4546="!!!",F4546="NEW"),"",COUNTBLANK(OFFSET(A$1,,,SUMPRODUCT(MAX(ROW(E$2:E4546)*(E4546=E$2:E4546)))))-COUNTBLANK(OFFSET(A$1,,,SUMPRODUCT(MAX(ROW(E$1:E4545)*(E2=E$1:E4545))))))</f>
        <v> </v>
      </c>
      <c r="K4546" s="25" t="str">
        <f>IF(OR(E4546="",E4546="!!!",F4546="NEW"),"",INDEX(J$1:J4545,SUMPRODUCT(MAX(ROW(E$1:E4545)*(E4546=E$1:E4545)))))</f>
        <v> </v>
      </c>
      <c r="L4546" s="26"/>
    </row>
    <row r="4547" spans="1:12">
      <c r="A4547" s="20" t="s">
        <v>1134</v>
      </c>
      <c r="E4547" s="21">
        <f>IF(D4547="?OLD","!!!","")</f>
        <v/>
      </c>
      <c r="F4547" s="22" t="str">
        <f>IF(OR(E4547="",E4547="!!!"),"",IF(NOT(ISNA(VLOOKUP(E4547,E$1:E4546,1,FALSE()))),"OLD",IF(AND(E4547&lt;&gt;"",E4547&lt;&gt;"!!!"),"NEW","")))</f>
        <v> </v>
      </c>
      <c r="G4547" s="23" t="str">
        <f>IF(OR(E4547="",E4547="!!!"),"",IF(OR(J4547=0,AND(J4547=1,K4547=1),AND(J4547=1,I4547="SBJ"),AND(J4547=1,I4547=0)),"?IN_FOCUS",IF(J4547&lt;=2,"?ACTIVATED",IF(J4547&lt;&gt;"","?FAMILIAR",IF(F4547="NEW",IF(ISNA(VLOOKUP(E4547,#REF!,1,FALSE())),"?TYPE_IDENTIFIABLE","?REFERENTIAL"),"_")))))</f>
        <v> </v>
      </c>
      <c r="H4547" s="24" t="str">
        <f>IF(J4547&lt;&gt;1,"",IF(I4547="SBJ","CB","?"))</f>
        <v> </v>
      </c>
      <c r="I4547" s="25" t="str">
        <f>IF(OR(E4547="",E4547="!!!",F4547="NEW"),"",INDEX(B4546:B$2,-1+SUMPRODUCT(MAX(ROW(E4546:E$2)*(E4547=E4546:E$2)))))</f>
        <v> </v>
      </c>
      <c r="J4547" s="25" t="str">
        <f>IF(OR(E4547="",E4547="!!!",F4547="NEW"),"",COUNTBLANK(OFFSET(A$1,,,SUMPRODUCT(MAX(ROW(E$2:E4547)*(E4547=E$2:E4547)))))-COUNTBLANK(OFFSET(A$1,,,SUMPRODUCT(MAX(ROW(E$1:E4546)*(E2=E$1:E4546))))))</f>
        <v> </v>
      </c>
      <c r="K4547" s="25" t="str">
        <f>IF(OR(E4547="",E4547="!!!",F4547="NEW"),"",INDEX(J$1:J4546,SUMPRODUCT(MAX(ROW(E$1:E4546)*(E4547=E$1:E4546)))))</f>
        <v> </v>
      </c>
      <c r="L4547" s="26"/>
    </row>
    <row r="4548" spans="1:12">
      <c r="A4548" s="20" t="s">
        <v>3095</v>
      </c>
      <c r="E4548" s="21">
        <f>IF(D4548="?OLD","!!!","")</f>
        <v/>
      </c>
      <c r="F4548" s="22" t="str">
        <f>IF(OR(E4548="",E4548="!!!"),"",IF(NOT(ISNA(VLOOKUP(E4548,E$1:E4547,1,FALSE()))),"OLD",IF(AND(E4548&lt;&gt;"",E4548&lt;&gt;"!!!"),"NEW","")))</f>
        <v> </v>
      </c>
      <c r="G4548" s="23" t="str">
        <f>IF(OR(E4548="",E4548="!!!"),"",IF(OR(J4548=0,AND(J4548=1,K4548=1),AND(J4548=1,I4548="SBJ"),AND(J4548=1,I4548=0)),"?IN_FOCUS",IF(J4548&lt;=2,"?ACTIVATED",IF(J4548&lt;&gt;"","?FAMILIAR",IF(F4548="NEW",IF(ISNA(VLOOKUP(E4548,#REF!,1,FALSE())),"?TYPE_IDENTIFIABLE","?REFERENTIAL"),"_")))))</f>
        <v> </v>
      </c>
      <c r="H4548" s="24" t="str">
        <f>IF(J4548&lt;&gt;1,"",IF(I4548="SBJ","CB","?"))</f>
        <v> </v>
      </c>
      <c r="I4548" s="25" t="str">
        <f>IF(OR(E4548="",E4548="!!!",F4548="NEW"),"",INDEX(B4547:B$2,-1+SUMPRODUCT(MAX(ROW(E4547:E$2)*(E4548=E4547:E$2)))))</f>
        <v> </v>
      </c>
      <c r="J4548" s="25" t="str">
        <f>IF(OR(E4548="",E4548="!!!",F4548="NEW"),"",COUNTBLANK(OFFSET(A$1,,,SUMPRODUCT(MAX(ROW(E$2:E4548)*(E4548=E$2:E4548)))))-COUNTBLANK(OFFSET(A$1,,,SUMPRODUCT(MAX(ROW(E$1:E4547)*(E2=E$1:E4547))))))</f>
        <v> </v>
      </c>
      <c r="K4548" s="25" t="str">
        <f>IF(OR(E4548="",E4548="!!!",F4548="NEW"),"",INDEX(J$1:J4547,SUMPRODUCT(MAX(ROW(E$1:E4547)*(E4548=E$1:E4547)))))</f>
        <v> </v>
      </c>
      <c r="L4548" s="26"/>
    </row>
    <row r="4549" spans="1:12">
      <c r="A4549" s="20" t="s">
        <v>3096</v>
      </c>
      <c r="E4549" s="21">
        <f>IF(D4549="?OLD","!!!","")</f>
        <v/>
      </c>
      <c r="F4549" s="22" t="str">
        <f>IF(OR(E4549="",E4549="!!!"),"",IF(NOT(ISNA(VLOOKUP(E4549,E$1:E4548,1,FALSE()))),"OLD",IF(AND(E4549&lt;&gt;"",E4549&lt;&gt;"!!!"),"NEW","")))</f>
        <v> </v>
      </c>
      <c r="G4549" s="23" t="str">
        <f>IF(OR(E4549="",E4549="!!!"),"",IF(OR(J4549=0,AND(J4549=1,K4549=1),AND(J4549=1,I4549="SBJ"),AND(J4549=1,I4549=0)),"?IN_FOCUS",IF(J4549&lt;=2,"?ACTIVATED",IF(J4549&lt;&gt;"","?FAMILIAR",IF(F4549="NEW",IF(ISNA(VLOOKUP(E4549,#REF!,1,FALSE())),"?TYPE_IDENTIFIABLE","?REFERENTIAL"),"_")))))</f>
        <v> </v>
      </c>
      <c r="H4549" s="24" t="str">
        <f>IF(J4549&lt;&gt;1,"",IF(I4549="SBJ","CB","?"))</f>
        <v> </v>
      </c>
      <c r="I4549" s="25" t="str">
        <f>IF(OR(E4549="",E4549="!!!",F4549="NEW"),"",INDEX(B4548:B$2,-1+SUMPRODUCT(MAX(ROW(E4548:E$2)*(E4549=E4548:E$2)))))</f>
        <v> </v>
      </c>
      <c r="J4549" s="25" t="str">
        <f>IF(OR(E4549="",E4549="!!!",F4549="NEW"),"",COUNTBLANK(OFFSET(A$1,,,SUMPRODUCT(MAX(ROW(E$2:E4549)*(E4549=E$2:E4549)))))-COUNTBLANK(OFFSET(A$1,,,SUMPRODUCT(MAX(ROW(E$1:E4548)*(E2=E$1:E4548))))))</f>
        <v> </v>
      </c>
      <c r="K4549" s="25" t="str">
        <f>IF(OR(E4549="",E4549="!!!",F4549="NEW"),"",INDEX(J$1:J4548,SUMPRODUCT(MAX(ROW(E$1:E4548)*(E4549=E$1:E4548)))))</f>
        <v> </v>
      </c>
      <c r="L4549" s="26"/>
    </row>
    <row r="4550" spans="1:12">
      <c r="A4550" s="20" t="s">
        <v>1930</v>
      </c>
      <c r="B4550" s="27" t="s">
        <v>1144</v>
      </c>
      <c r="E4550" s="21">
        <f>IF(D4550="?OLD","!!!","")</f>
        <v/>
      </c>
      <c r="F4550" s="22" t="str">
        <f>IF(OR(E4550="",E4550="!!!"),"",IF(NOT(ISNA(VLOOKUP(E4550,E$1:E4549,1,FALSE()))),"OLD",IF(AND(E4550&lt;&gt;"",E4550&lt;&gt;"!!!"),"NEW","")))</f>
        <v> </v>
      </c>
      <c r="G4550" s="23" t="str">
        <f>IF(OR(E4550="",E4550="!!!"),"",IF(OR(J4550=0,AND(J4550=1,K4550=1),AND(J4550=1,I4550="SBJ"),AND(J4550=1,I4550=0)),"?IN_FOCUS",IF(J4550&lt;=2,"?ACTIVATED",IF(J4550&lt;&gt;"","?FAMILIAR",IF(F4550="NEW",IF(ISNA(VLOOKUP(E4550,#REF!,1,FALSE())),"?TYPE_IDENTIFIABLE","?REFERENTIAL"),"_")))))</f>
        <v> </v>
      </c>
      <c r="H4550" s="24" t="str">
        <f>IF(J4550&lt;&gt;1,"",IF(I4550="SBJ","CB","?"))</f>
        <v> </v>
      </c>
      <c r="I4550" s="25" t="str">
        <f>IF(OR(E4550="",E4550="!!!",F4550="NEW"),"",INDEX(B4549:B$2,-1+SUMPRODUCT(MAX(ROW(E4549:E$2)*(E4550=E4549:E$2)))))</f>
        <v> </v>
      </c>
      <c r="J4550" s="25" t="str">
        <f>IF(OR(E4550="",E4550="!!!",F4550="NEW"),"",COUNTBLANK(OFFSET(A$1,,,SUMPRODUCT(MAX(ROW(E$2:E4550)*(E4550=E$2:E4550)))))-COUNTBLANK(OFFSET(A$1,,,SUMPRODUCT(MAX(ROW(E$1:E4549)*(E2=E$1:E4549))))))</f>
        <v> </v>
      </c>
      <c r="K4550" s="25" t="str">
        <f>IF(OR(E4550="",E4550="!!!",F4550="NEW"),"",INDEX(J$1:J4549,SUMPRODUCT(MAX(ROW(E$1:E4549)*(E4550=E$1:E4549)))))</f>
        <v> </v>
      </c>
      <c r="L4550" s="26"/>
    </row>
    <row r="4551" spans="1:12">
      <c r="A4551" s="20" t="s">
        <v>1130</v>
      </c>
      <c r="E4551" s="21">
        <f>IF(D4551="?OLD","!!!","")</f>
        <v/>
      </c>
      <c r="F4551" s="22" t="str">
        <f>IF(OR(E4551="",E4551="!!!"),"",IF(NOT(ISNA(VLOOKUP(E4551,E$1:E4550,1,FALSE()))),"OLD",IF(AND(E4551&lt;&gt;"",E4551&lt;&gt;"!!!"),"NEW","")))</f>
        <v> </v>
      </c>
      <c r="G4551" s="23" t="str">
        <f>IF(OR(E4551="",E4551="!!!"),"",IF(OR(J4551=0,AND(J4551=1,K4551=1),AND(J4551=1,I4551="SBJ"),AND(J4551=1,I4551=0)),"?IN_FOCUS",IF(J4551&lt;=2,"?ACTIVATED",IF(J4551&lt;&gt;"","?FAMILIAR",IF(F4551="NEW",IF(ISNA(VLOOKUP(E4551,#REF!,1,FALSE())),"?TYPE_IDENTIFIABLE","?REFERENTIAL"),"_")))))</f>
        <v> </v>
      </c>
      <c r="H4551" s="24" t="str">
        <f>IF(J4551&lt;&gt;1,"",IF(I4551="SBJ","CB","?"))</f>
        <v> </v>
      </c>
      <c r="I4551" s="25" t="str">
        <f>IF(OR(E4551="",E4551="!!!",F4551="NEW"),"",INDEX(B4550:B$2,-1+SUMPRODUCT(MAX(ROW(E4550:E$2)*(E4551=E4550:E$2)))))</f>
        <v> </v>
      </c>
      <c r="J4551" s="25" t="str">
        <f>IF(OR(E4551="",E4551="!!!",F4551="NEW"),"",COUNTBLANK(OFFSET(A$1,,,SUMPRODUCT(MAX(ROW(E$2:E4551)*(E4551=E$2:E4551)))))-COUNTBLANK(OFFSET(A$1,,,SUMPRODUCT(MAX(ROW(E$1:E4550)*(E2=E$1:E4550))))))</f>
        <v> </v>
      </c>
      <c r="K4551" s="25" t="str">
        <f>IF(OR(E4551="",E4551="!!!",F4551="NEW"),"",INDEX(J$1:J4550,SUMPRODUCT(MAX(ROW(E$1:E4550)*(E4551=E$1:E4550)))))</f>
        <v> </v>
      </c>
      <c r="L4551" s="26"/>
    </row>
    <row r="4552" spans="1:12">
      <c r="A4552" s="20" t="s">
        <v>2740</v>
      </c>
      <c r="E4552" s="21">
        <f>IF(D4552="?OLD","!!!","")</f>
        <v/>
      </c>
      <c r="F4552" s="22" t="str">
        <f>IF(OR(E4552="",E4552="!!!"),"",IF(NOT(ISNA(VLOOKUP(E4552,E$1:E4551,1,FALSE()))),"OLD",IF(AND(E4552&lt;&gt;"",E4552&lt;&gt;"!!!"),"NEW","")))</f>
        <v> </v>
      </c>
      <c r="G4552" s="23" t="str">
        <f>IF(OR(E4552="",E4552="!!!"),"",IF(OR(J4552=0,AND(J4552=1,K4552=1),AND(J4552=1,I4552="SBJ"),AND(J4552=1,I4552=0)),"?IN_FOCUS",IF(J4552&lt;=2,"?ACTIVATED",IF(J4552&lt;&gt;"","?FAMILIAR",IF(F4552="NEW",IF(ISNA(VLOOKUP(E4552,#REF!,1,FALSE())),"?TYPE_IDENTIFIABLE","?REFERENTIAL"),"_")))))</f>
        <v> </v>
      </c>
      <c r="H4552" s="24" t="str">
        <f>IF(J4552&lt;&gt;1,"",IF(I4552="SBJ","CB","?"))</f>
        <v> </v>
      </c>
      <c r="I4552" s="25" t="str">
        <f>IF(OR(E4552="",E4552="!!!",F4552="NEW"),"",INDEX(B4551:B$2,-1+SUMPRODUCT(MAX(ROW(E4551:E$2)*(E4552=E4551:E$2)))))</f>
        <v> </v>
      </c>
      <c r="J4552" s="25" t="str">
        <f>IF(OR(E4552="",E4552="!!!",F4552="NEW"),"",COUNTBLANK(OFFSET(A$1,,,SUMPRODUCT(MAX(ROW(E$2:E4552)*(E4552=E$2:E4552)))))-COUNTBLANK(OFFSET(A$1,,,SUMPRODUCT(MAX(ROW(E$1:E4551)*(E2=E$1:E4551))))))</f>
        <v> </v>
      </c>
      <c r="K4552" s="25" t="str">
        <f>IF(OR(E4552="",E4552="!!!",F4552="NEW"),"",INDEX(J$1:J4551,SUMPRODUCT(MAX(ROW(E$1:E4551)*(E4552=E$1:E4551)))))</f>
        <v> </v>
      </c>
      <c r="L4552" s="26"/>
    </row>
    <row r="4553" spans="1:12">
      <c r="A4553" s="20" t="s">
        <v>2035</v>
      </c>
      <c r="E4553" s="21">
        <f>IF(D4553="?OLD","!!!","")</f>
        <v/>
      </c>
      <c r="F4553" s="22" t="str">
        <f>IF(OR(E4553="",E4553="!!!"),"",IF(NOT(ISNA(VLOOKUP(E4553,E$1:E4552,1,FALSE()))),"OLD",IF(AND(E4553&lt;&gt;"",E4553&lt;&gt;"!!!"),"NEW","")))</f>
        <v> </v>
      </c>
      <c r="G4553" s="23" t="str">
        <f>IF(OR(E4553="",E4553="!!!"),"",IF(OR(J4553=0,AND(J4553=1,K4553=1),AND(J4553=1,I4553="SBJ"),AND(J4553=1,I4553=0)),"?IN_FOCUS",IF(J4553&lt;=2,"?ACTIVATED",IF(J4553&lt;&gt;"","?FAMILIAR",IF(F4553="NEW",IF(ISNA(VLOOKUP(E4553,#REF!,1,FALSE())),"?TYPE_IDENTIFIABLE","?REFERENTIAL"),"_")))))</f>
        <v> </v>
      </c>
      <c r="H4553" s="24" t="str">
        <f>IF(J4553&lt;&gt;1,"",IF(I4553="SBJ","CB","?"))</f>
        <v> </v>
      </c>
      <c r="I4553" s="25" t="str">
        <f>IF(OR(E4553="",E4553="!!!",F4553="NEW"),"",INDEX(B4552:B$2,-1+SUMPRODUCT(MAX(ROW(E4552:E$2)*(E4553=E4552:E$2)))))</f>
        <v> </v>
      </c>
      <c r="J4553" s="25" t="str">
        <f>IF(OR(E4553="",E4553="!!!",F4553="NEW"),"",COUNTBLANK(OFFSET(A$1,,,SUMPRODUCT(MAX(ROW(E$2:E4553)*(E4553=E$2:E4553)))))-COUNTBLANK(OFFSET(A$1,,,SUMPRODUCT(MAX(ROW(E$1:E4552)*(E2=E$1:E4552))))))</f>
        <v> </v>
      </c>
      <c r="K4553" s="25" t="str">
        <f>IF(OR(E4553="",E4553="!!!",F4553="NEW"),"",INDEX(J$1:J4552,SUMPRODUCT(MAX(ROW(E$1:E4552)*(E4553=E$1:E4552)))))</f>
        <v> </v>
      </c>
      <c r="L4553" s="26"/>
    </row>
    <row r="4554" spans="1:12">
      <c r="A4554" s="20" t="s">
        <v>3097</v>
      </c>
      <c r="E4554" s="21">
        <f>IF(D4554="?OLD","!!!","")</f>
        <v/>
      </c>
      <c r="F4554" s="22" t="str">
        <f>IF(OR(E4554="",E4554="!!!"),"",IF(NOT(ISNA(VLOOKUP(E4554,E$1:E4553,1,FALSE()))),"OLD",IF(AND(E4554&lt;&gt;"",E4554&lt;&gt;"!!!"),"NEW","")))</f>
        <v> </v>
      </c>
      <c r="G4554" s="23" t="str">
        <f>IF(OR(E4554="",E4554="!!!"),"",IF(OR(J4554=0,AND(J4554=1,K4554=1),AND(J4554=1,I4554="SBJ"),AND(J4554=1,I4554=0)),"?IN_FOCUS",IF(J4554&lt;=2,"?ACTIVATED",IF(J4554&lt;&gt;"","?FAMILIAR",IF(F4554="NEW",IF(ISNA(VLOOKUP(E4554,#REF!,1,FALSE())),"?TYPE_IDENTIFIABLE","?REFERENTIAL"),"_")))))</f>
        <v> </v>
      </c>
      <c r="H4554" s="24" t="str">
        <f>IF(J4554&lt;&gt;1,"",IF(I4554="SBJ","CB","?"))</f>
        <v> </v>
      </c>
      <c r="I4554" s="25" t="str">
        <f>IF(OR(E4554="",E4554="!!!",F4554="NEW"),"",INDEX(B4553:B$2,-1+SUMPRODUCT(MAX(ROW(E4553:E$2)*(E4554=E4553:E$2)))))</f>
        <v> </v>
      </c>
      <c r="J4554" s="25" t="str">
        <f>IF(OR(E4554="",E4554="!!!",F4554="NEW"),"",COUNTBLANK(OFFSET(A$1,,,SUMPRODUCT(MAX(ROW(E$2:E4554)*(E4554=E$2:E4554)))))-COUNTBLANK(OFFSET(A$1,,,SUMPRODUCT(MAX(ROW(E$1:E4553)*(E2=E$1:E4553))))))</f>
        <v> </v>
      </c>
      <c r="K4554" s="25" t="str">
        <f>IF(OR(E4554="",E4554="!!!",F4554="NEW"),"",INDEX(J$1:J4553,SUMPRODUCT(MAX(ROW(E$1:E4553)*(E4554=E$1:E4553)))))</f>
        <v> </v>
      </c>
      <c r="L4554" s="26"/>
    </row>
    <row r="4555" spans="1:12">
      <c r="A4555" s="20" t="s">
        <v>1123</v>
      </c>
      <c r="E4555" s="21">
        <f>IF(D4555="?OLD","!!!","")</f>
        <v/>
      </c>
      <c r="F4555" s="22" t="str">
        <f>IF(OR(E4555="",E4555="!!!"),"",IF(NOT(ISNA(VLOOKUP(E4555,E$1:E4554,1,FALSE()))),"OLD",IF(AND(E4555&lt;&gt;"",E4555&lt;&gt;"!!!"),"NEW","")))</f>
        <v> </v>
      </c>
      <c r="G4555" s="23" t="str">
        <f>IF(OR(E4555="",E4555="!!!"),"",IF(OR(J4555=0,AND(J4555=1,K4555=1),AND(J4555=1,I4555="SBJ"),AND(J4555=1,I4555=0)),"?IN_FOCUS",IF(J4555&lt;=2,"?ACTIVATED",IF(J4555&lt;&gt;"","?FAMILIAR",IF(F4555="NEW",IF(ISNA(VLOOKUP(E4555,#REF!,1,FALSE())),"?TYPE_IDENTIFIABLE","?REFERENTIAL"),"_")))))</f>
        <v> </v>
      </c>
      <c r="H4555" s="24" t="str">
        <f>IF(J4555&lt;&gt;1,"",IF(I4555="SBJ","CB","?"))</f>
        <v> </v>
      </c>
      <c r="I4555" s="25" t="str">
        <f>IF(OR(E4555="",E4555="!!!",F4555="NEW"),"",INDEX(B4554:B$2,-1+SUMPRODUCT(MAX(ROW(E4554:E$2)*(E4555=E4554:E$2)))))</f>
        <v> </v>
      </c>
      <c r="J4555" s="25" t="str">
        <f>IF(OR(E4555="",E4555="!!!",F4555="NEW"),"",COUNTBLANK(OFFSET(A$1,,,SUMPRODUCT(MAX(ROW(E$2:E4555)*(E4555=E$2:E4555)))))-COUNTBLANK(OFFSET(A$1,,,SUMPRODUCT(MAX(ROW(E$1:E4554)*(E2=E$1:E4554))))))</f>
        <v> </v>
      </c>
      <c r="K4555" s="25" t="str">
        <f>IF(OR(E4555="",E4555="!!!",F4555="NEW"),"",INDEX(J$1:J4554,SUMPRODUCT(MAX(ROW(E$1:E4554)*(E4555=E$1:E4554)))))</f>
        <v> </v>
      </c>
      <c r="L4555" s="26"/>
    </row>
    <row r="4556" spans="1:12">
      <c r="A4556" s="20" t="s">
        <v>1699</v>
      </c>
      <c r="E4556" s="21">
        <f>IF(D4556="?OLD","!!!","")</f>
        <v/>
      </c>
      <c r="F4556" s="22" t="str">
        <f>IF(OR(E4556="",E4556="!!!"),"",IF(NOT(ISNA(VLOOKUP(E4556,E$1:E4555,1,FALSE()))),"OLD",IF(AND(E4556&lt;&gt;"",E4556&lt;&gt;"!!!"),"NEW","")))</f>
        <v> </v>
      </c>
      <c r="G4556" s="23" t="str">
        <f>IF(OR(E4556="",E4556="!!!"),"",IF(OR(J4556=0,AND(J4556=1,K4556=1),AND(J4556=1,I4556="SBJ"),AND(J4556=1,I4556=0)),"?IN_FOCUS",IF(J4556&lt;=2,"?ACTIVATED",IF(J4556&lt;&gt;"","?FAMILIAR",IF(F4556="NEW",IF(ISNA(VLOOKUP(E4556,#REF!,1,FALSE())),"?TYPE_IDENTIFIABLE","?REFERENTIAL"),"_")))))</f>
        <v> </v>
      </c>
      <c r="H4556" s="24" t="str">
        <f>IF(J4556&lt;&gt;1,"",IF(I4556="SBJ","CB","?"))</f>
        <v> </v>
      </c>
      <c r="I4556" s="25" t="str">
        <f>IF(OR(E4556="",E4556="!!!",F4556="NEW"),"",INDEX(B4555:B$2,-1+SUMPRODUCT(MAX(ROW(E4555:E$2)*(E4556=E4555:E$2)))))</f>
        <v> </v>
      </c>
      <c r="J4556" s="25" t="str">
        <f>IF(OR(E4556="",E4556="!!!",F4556="NEW"),"",COUNTBLANK(OFFSET(A$1,,,SUMPRODUCT(MAX(ROW(E$2:E4556)*(E4556=E$2:E4556)))))-COUNTBLANK(OFFSET(A$1,,,SUMPRODUCT(MAX(ROW(E$1:E4555)*(E2=E$1:E4555))))))</f>
        <v> </v>
      </c>
      <c r="K4556" s="25" t="str">
        <f>IF(OR(E4556="",E4556="!!!",F4556="NEW"),"",INDEX(J$1:J4555,SUMPRODUCT(MAX(ROW(E$1:E4555)*(E4556=E$1:E4555)))))</f>
        <v> </v>
      </c>
      <c r="L4556" s="26"/>
    </row>
    <row r="4557" spans="1:12">
      <c r="A4557" s="20" t="s">
        <v>1909</v>
      </c>
      <c r="E4557" s="21">
        <f>IF(D4557="?OLD","!!!","")</f>
        <v/>
      </c>
      <c r="F4557" s="22" t="str">
        <f>IF(OR(E4557="",E4557="!!!"),"",IF(NOT(ISNA(VLOOKUP(E4557,E$1:E4556,1,FALSE()))),"OLD",IF(AND(E4557&lt;&gt;"",E4557&lt;&gt;"!!!"),"NEW","")))</f>
        <v> </v>
      </c>
      <c r="G4557" s="23" t="str">
        <f>IF(OR(E4557="",E4557="!!!"),"",IF(OR(J4557=0,AND(J4557=1,K4557=1),AND(J4557=1,I4557="SBJ"),AND(J4557=1,I4557=0)),"?IN_FOCUS",IF(J4557&lt;=2,"?ACTIVATED",IF(J4557&lt;&gt;"","?FAMILIAR",IF(F4557="NEW",IF(ISNA(VLOOKUP(E4557,#REF!,1,FALSE())),"?TYPE_IDENTIFIABLE","?REFERENTIAL"),"_")))))</f>
        <v> </v>
      </c>
      <c r="H4557" s="24" t="str">
        <f>IF(J4557&lt;&gt;1,"",IF(I4557="SBJ","CB","?"))</f>
        <v> </v>
      </c>
      <c r="I4557" s="25" t="str">
        <f>IF(OR(E4557="",E4557="!!!",F4557="NEW"),"",INDEX(B4556:B$2,-1+SUMPRODUCT(MAX(ROW(E4556:E$2)*(E4557=E4556:E$2)))))</f>
        <v> </v>
      </c>
      <c r="J4557" s="25" t="str">
        <f>IF(OR(E4557="",E4557="!!!",F4557="NEW"),"",COUNTBLANK(OFFSET(A$1,,,SUMPRODUCT(MAX(ROW(E$2:E4557)*(E4557=E$2:E4557)))))-COUNTBLANK(OFFSET(A$1,,,SUMPRODUCT(MAX(ROW(E$1:E4556)*(E2=E$1:E4556))))))</f>
        <v> </v>
      </c>
      <c r="K4557" s="25" t="str">
        <f>IF(OR(E4557="",E4557="!!!",F4557="NEW"),"",INDEX(J$1:J4556,SUMPRODUCT(MAX(ROW(E$1:E4556)*(E4557=E$1:E4556)))))</f>
        <v> </v>
      </c>
      <c r="L4557" s="26"/>
    </row>
    <row r="4558" spans="1:12">
      <c r="A4558" s="20" t="s">
        <v>1123</v>
      </c>
      <c r="E4558" s="21">
        <f>IF(D4558="?OLD","!!!","")</f>
        <v/>
      </c>
      <c r="F4558" s="22" t="str">
        <f>IF(OR(E4558="",E4558="!!!"),"",IF(NOT(ISNA(VLOOKUP(E4558,E$1:E4557,1,FALSE()))),"OLD",IF(AND(E4558&lt;&gt;"",E4558&lt;&gt;"!!!"),"NEW","")))</f>
        <v> </v>
      </c>
      <c r="G4558" s="23" t="str">
        <f>IF(OR(E4558="",E4558="!!!"),"",IF(OR(J4558=0,AND(J4558=1,K4558=1),AND(J4558=1,I4558="SBJ"),AND(J4558=1,I4558=0)),"?IN_FOCUS",IF(J4558&lt;=2,"?ACTIVATED",IF(J4558&lt;&gt;"","?FAMILIAR",IF(F4558="NEW",IF(ISNA(VLOOKUP(E4558,#REF!,1,FALSE())),"?TYPE_IDENTIFIABLE","?REFERENTIAL"),"_")))))</f>
        <v> </v>
      </c>
      <c r="H4558" s="24" t="str">
        <f>IF(J4558&lt;&gt;1,"",IF(I4558="SBJ","CB","?"))</f>
        <v> </v>
      </c>
      <c r="I4558" s="25" t="str">
        <f>IF(OR(E4558="",E4558="!!!",F4558="NEW"),"",INDEX(B4557:B$2,-1+SUMPRODUCT(MAX(ROW(E4557:E$2)*(E4558=E4557:E$2)))))</f>
        <v> </v>
      </c>
      <c r="J4558" s="25" t="str">
        <f>IF(OR(E4558="",E4558="!!!",F4558="NEW"),"",COUNTBLANK(OFFSET(A$1,,,SUMPRODUCT(MAX(ROW(E$2:E4558)*(E4558=E$2:E4558)))))-COUNTBLANK(OFFSET(A$1,,,SUMPRODUCT(MAX(ROW(E$1:E4557)*(E2=E$1:E4557))))))</f>
        <v> </v>
      </c>
      <c r="K4558" s="25" t="str">
        <f>IF(OR(E4558="",E4558="!!!",F4558="NEW"),"",INDEX(J$1:J4557,SUMPRODUCT(MAX(ROW(E$1:E4557)*(E4558=E$1:E4557)))))</f>
        <v> </v>
      </c>
      <c r="L4558" s="26"/>
    </row>
    <row r="4559" spans="1:12">
      <c r="A4559" s="20" t="s">
        <v>1181</v>
      </c>
      <c r="B4559" s="27" t="s">
        <v>1313</v>
      </c>
      <c r="C4559" s="27" t="s">
        <v>1133</v>
      </c>
      <c r="E4559" s="21">
        <f>IF(D4559="?OLD","!!!","")</f>
        <v/>
      </c>
      <c r="F4559" s="22" t="str">
        <f>IF(OR(E4559="",E4559="!!!"),"",IF(NOT(ISNA(VLOOKUP(E4559,E$1:E4558,1,FALSE()))),"OLD",IF(AND(E4559&lt;&gt;"",E4559&lt;&gt;"!!!"),"NEW","")))</f>
        <v> </v>
      </c>
      <c r="G4559" s="23" t="str">
        <f>IF(OR(E4559="",E4559="!!!"),"",IF(OR(J4559=0,AND(J4559=1,K4559=1),AND(J4559=1,I4559="SBJ"),AND(J4559=1,I4559=0)),"?IN_FOCUS",IF(J4559&lt;=2,"?ACTIVATED",IF(J4559&lt;&gt;"","?FAMILIAR",IF(F4559="NEW",IF(ISNA(VLOOKUP(E4559,#REF!,1,FALSE())),"?TYPE_IDENTIFIABLE","?REFERENTIAL"),"_")))))</f>
        <v> </v>
      </c>
      <c r="H4559" s="24" t="str">
        <f>IF(J4559&lt;&gt;1,"",IF(I4559="SBJ","CB","?"))</f>
        <v> </v>
      </c>
      <c r="I4559" s="25" t="str">
        <f>IF(OR(E4559="",E4559="!!!",F4559="NEW"),"",INDEX(B4558:B$2,-1+SUMPRODUCT(MAX(ROW(E4558:E$2)*(E4559=E4558:E$2)))))</f>
        <v> </v>
      </c>
      <c r="J4559" s="25" t="str">
        <f>IF(OR(E4559="",E4559="!!!",F4559="NEW"),"",COUNTBLANK(OFFSET(A$1,,,SUMPRODUCT(MAX(ROW(E$2:E4559)*(E4559=E$2:E4559)))))-COUNTBLANK(OFFSET(A$1,,,SUMPRODUCT(MAX(ROW(E$1:E4558)*(E2=E$1:E4558))))))</f>
        <v> </v>
      </c>
      <c r="K4559" s="25" t="str">
        <f>IF(OR(E4559="",E4559="!!!",F4559="NEW"),"",INDEX(J$1:J4558,SUMPRODUCT(MAX(ROW(E$1:E4558)*(E4559=E$1:E4558)))))</f>
        <v> </v>
      </c>
      <c r="L4559" s="26"/>
    </row>
    <row r="4560" spans="1:12">
      <c r="A4560" s="20" t="s">
        <v>3098</v>
      </c>
      <c r="E4560" s="21">
        <f>IF(D4560="?OLD","!!!","")</f>
        <v/>
      </c>
      <c r="F4560" s="22" t="str">
        <f>IF(OR(E4560="",E4560="!!!"),"",IF(NOT(ISNA(VLOOKUP(E4560,E$1:E4559,1,FALSE()))),"OLD",IF(AND(E4560&lt;&gt;"",E4560&lt;&gt;"!!!"),"NEW","")))</f>
        <v> </v>
      </c>
      <c r="G4560" s="23" t="str">
        <f>IF(OR(E4560="",E4560="!!!"),"",IF(OR(J4560=0,AND(J4560=1,K4560=1),AND(J4560=1,I4560="SBJ"),AND(J4560=1,I4560=0)),"?IN_FOCUS",IF(J4560&lt;=2,"?ACTIVATED",IF(J4560&lt;&gt;"","?FAMILIAR",IF(F4560="NEW",IF(ISNA(VLOOKUP(E4560,#REF!,1,FALSE())),"?TYPE_IDENTIFIABLE","?REFERENTIAL"),"_")))))</f>
        <v> </v>
      </c>
      <c r="H4560" s="24" t="str">
        <f>IF(J4560&lt;&gt;1,"",IF(I4560="SBJ","CB","?"))</f>
        <v> </v>
      </c>
      <c r="I4560" s="25" t="str">
        <f>IF(OR(E4560="",E4560="!!!",F4560="NEW"),"",INDEX(B4559:B$2,-1+SUMPRODUCT(MAX(ROW(E4559:E$2)*(E4560=E4559:E$2)))))</f>
        <v> </v>
      </c>
      <c r="J4560" s="25" t="str">
        <f>IF(OR(E4560="",E4560="!!!",F4560="NEW"),"",COUNTBLANK(OFFSET(A$1,,,SUMPRODUCT(MAX(ROW(E$2:E4560)*(E4560=E$2:E4560)))))-COUNTBLANK(OFFSET(A$1,,,SUMPRODUCT(MAX(ROW(E$1:E4559)*(E2=E$1:E4559))))))</f>
        <v> </v>
      </c>
      <c r="K4560" s="25" t="str">
        <f>IF(OR(E4560="",E4560="!!!",F4560="NEW"),"",INDEX(J$1:J4559,SUMPRODUCT(MAX(ROW(E$1:E4559)*(E4560=E$1:E4559)))))</f>
        <v> </v>
      </c>
      <c r="L4560" s="26"/>
    </row>
    <row r="4561" spans="1:12">
      <c r="A4561" s="20" t="s">
        <v>1369</v>
      </c>
      <c r="E4561" s="21">
        <f>IF(D4561="?OLD","!!!","")</f>
        <v/>
      </c>
      <c r="F4561" s="22" t="str">
        <f>IF(OR(E4561="",E4561="!!!"),"",IF(NOT(ISNA(VLOOKUP(E4561,E$1:E4560,1,FALSE()))),"OLD",IF(AND(E4561&lt;&gt;"",E4561&lt;&gt;"!!!"),"NEW","")))</f>
        <v> </v>
      </c>
      <c r="G4561" s="23" t="str">
        <f>IF(OR(E4561="",E4561="!!!"),"",IF(OR(J4561=0,AND(J4561=1,K4561=1),AND(J4561=1,I4561="SBJ"),AND(J4561=1,I4561=0)),"?IN_FOCUS",IF(J4561&lt;=2,"?ACTIVATED",IF(J4561&lt;&gt;"","?FAMILIAR",IF(F4561="NEW",IF(ISNA(VLOOKUP(E4561,#REF!,1,FALSE())),"?TYPE_IDENTIFIABLE","?REFERENTIAL"),"_")))))</f>
        <v> </v>
      </c>
      <c r="H4561" s="24" t="str">
        <f>IF(J4561&lt;&gt;1,"",IF(I4561="SBJ","CB","?"))</f>
        <v> </v>
      </c>
      <c r="I4561" s="25" t="str">
        <f>IF(OR(E4561="",E4561="!!!",F4561="NEW"),"",INDEX(B4560:B$2,-1+SUMPRODUCT(MAX(ROW(E4560:E$2)*(E4561=E4560:E$2)))))</f>
        <v> </v>
      </c>
      <c r="J4561" s="25" t="str">
        <f>IF(OR(E4561="",E4561="!!!",F4561="NEW"),"",COUNTBLANK(OFFSET(A$1,,,SUMPRODUCT(MAX(ROW(E$2:E4561)*(E4561=E$2:E4561)))))-COUNTBLANK(OFFSET(A$1,,,SUMPRODUCT(MAX(ROW(E$1:E4560)*(E2=E$1:E4560))))))</f>
        <v> </v>
      </c>
      <c r="K4561" s="25" t="str">
        <f>IF(OR(E4561="",E4561="!!!",F4561="NEW"),"",INDEX(J$1:J4560,SUMPRODUCT(MAX(ROW(E$1:E4560)*(E4561=E$1:E4560)))))</f>
        <v> </v>
      </c>
      <c r="L4561" s="26"/>
    </row>
    <row r="4562" spans="1:12">
      <c r="A4562" s="20" t="s">
        <v>1475</v>
      </c>
      <c r="E4562" s="21">
        <f>IF(D4562="?OLD","!!!","")</f>
        <v/>
      </c>
      <c r="F4562" s="22" t="str">
        <f>IF(OR(E4562="",E4562="!!!"),"",IF(NOT(ISNA(VLOOKUP(E4562,E$1:E4561,1,FALSE()))),"OLD",IF(AND(E4562&lt;&gt;"",E4562&lt;&gt;"!!!"),"NEW","")))</f>
        <v> </v>
      </c>
      <c r="G4562" s="23" t="str">
        <f>IF(OR(E4562="",E4562="!!!"),"",IF(OR(J4562=0,AND(J4562=1,K4562=1),AND(J4562=1,I4562="SBJ"),AND(J4562=1,I4562=0)),"?IN_FOCUS",IF(J4562&lt;=2,"?ACTIVATED",IF(J4562&lt;&gt;"","?FAMILIAR",IF(F4562="NEW",IF(ISNA(VLOOKUP(E4562,#REF!,1,FALSE())),"?TYPE_IDENTIFIABLE","?REFERENTIAL"),"_")))))</f>
        <v> </v>
      </c>
      <c r="H4562" s="24" t="str">
        <f>IF(J4562&lt;&gt;1,"",IF(I4562="SBJ","CB","?"))</f>
        <v> </v>
      </c>
      <c r="I4562" s="25" t="str">
        <f>IF(OR(E4562="",E4562="!!!",F4562="NEW"),"",INDEX(B4561:B$2,-1+SUMPRODUCT(MAX(ROW(E4561:E$2)*(E4562=E4561:E$2)))))</f>
        <v> </v>
      </c>
      <c r="J4562" s="25" t="str">
        <f>IF(OR(E4562="",E4562="!!!",F4562="NEW"),"",COUNTBLANK(OFFSET(A$1,,,SUMPRODUCT(MAX(ROW(E$2:E4562)*(E4562=E$2:E4562)))))-COUNTBLANK(OFFSET(A$1,,,SUMPRODUCT(MAX(ROW(E$1:E4561)*(E2=E$1:E4561))))))</f>
        <v> </v>
      </c>
      <c r="K4562" s="25" t="str">
        <f>IF(OR(E4562="",E4562="!!!",F4562="NEW"),"",INDEX(J$1:J4561,SUMPRODUCT(MAX(ROW(E$1:E4561)*(E4562=E$1:E4561)))))</f>
        <v> </v>
      </c>
      <c r="L4562" s="26"/>
    </row>
    <row r="4563" spans="1:12">
      <c r="A4563" s="20" t="s">
        <v>1351</v>
      </c>
      <c r="E4563" s="21">
        <f>IF(D4563="?OLD","!!!","")</f>
        <v/>
      </c>
      <c r="F4563" s="22" t="str">
        <f>IF(OR(E4563="",E4563="!!!"),"",IF(NOT(ISNA(VLOOKUP(E4563,E$1:E4562,1,FALSE()))),"OLD",IF(AND(E4563&lt;&gt;"",E4563&lt;&gt;"!!!"),"NEW","")))</f>
        <v> </v>
      </c>
      <c r="G4563" s="23" t="str">
        <f>IF(OR(E4563="",E4563="!!!"),"",IF(OR(J4563=0,AND(J4563=1,K4563=1),AND(J4563=1,I4563="SBJ"),AND(J4563=1,I4563=0)),"?IN_FOCUS",IF(J4563&lt;=2,"?ACTIVATED",IF(J4563&lt;&gt;"","?FAMILIAR",IF(F4563="NEW",IF(ISNA(VLOOKUP(E4563,#REF!,1,FALSE())),"?TYPE_IDENTIFIABLE","?REFERENTIAL"),"_")))))</f>
        <v> </v>
      </c>
      <c r="H4563" s="24" t="str">
        <f>IF(J4563&lt;&gt;1,"",IF(I4563="SBJ","CB","?"))</f>
        <v> </v>
      </c>
      <c r="I4563" s="25" t="str">
        <f>IF(OR(E4563="",E4563="!!!",F4563="NEW"),"",INDEX(B4562:B$2,-1+SUMPRODUCT(MAX(ROW(E4562:E$2)*(E4563=E4562:E$2)))))</f>
        <v> </v>
      </c>
      <c r="J4563" s="25" t="str">
        <f>IF(OR(E4563="",E4563="!!!",F4563="NEW"),"",COUNTBLANK(OFFSET(A$1,,,SUMPRODUCT(MAX(ROW(E$2:E4563)*(E4563=E$2:E4563)))))-COUNTBLANK(OFFSET(A$1,,,SUMPRODUCT(MAX(ROW(E$1:E4562)*(E2=E$1:E4562))))))</f>
        <v> </v>
      </c>
      <c r="K4563" s="25" t="str">
        <f>IF(OR(E4563="",E4563="!!!",F4563="NEW"),"",INDEX(J$1:J4562,SUMPRODUCT(MAX(ROW(E$1:E4562)*(E4563=E$1:E4562)))))</f>
        <v> </v>
      </c>
      <c r="L4563" s="26"/>
    </row>
    <row r="4564" spans="1:12">
      <c r="A4564" s="20"/>
    </row>
    <row r="4565" spans="1:12">
      <c r="A4565" s="20" t="s">
        <v>3099</v>
      </c>
    </row>
    <row r="4566" spans="1:12">
      <c r="A4566" s="20" t="s">
        <v>1111</v>
      </c>
      <c r="E4566" s="21">
        <f>IF(D4566="?OLD","!!!","")</f>
        <v/>
      </c>
      <c r="F4566" s="22" t="str">
        <f>IF(OR(E4566="",E4566="!!!"),"",IF(NOT(ISNA(VLOOKUP(E4566,E$1:E4565,1,FALSE()))),"OLD",IF(AND(E4566&lt;&gt;"",E4566&lt;&gt;"!!!"),"NEW","")))</f>
        <v> </v>
      </c>
      <c r="G4566" s="23" t="str">
        <f>IF(OR(E4566="",E4566="!!!"),"",IF(OR(J4566=0,AND(J4566=1,K4566=1),AND(J4566=1,I4566="SBJ"),AND(J4566=1,I4566=0)),"?IN_FOCUS",IF(J4566&lt;=2,"?ACTIVATED",IF(J4566&lt;&gt;"","?FAMILIAR",IF(F4566="NEW",IF(ISNA(VLOOKUP(E4566,#REF!,1,FALSE())),"?TYPE_IDENTIFIABLE","?REFERENTIAL"),"_")))))</f>
        <v> </v>
      </c>
      <c r="H4566" s="24" t="str">
        <f>IF(J4566&lt;&gt;1,"",IF(I4566="SBJ","CB","?"))</f>
        <v> </v>
      </c>
      <c r="I4566" s="25" t="str">
        <f>IF(OR(E4566="",E4566="!!!",F4566="NEW"),"",INDEX(B4565:B$2,-1+SUMPRODUCT(MAX(ROW(E4565:E$2)*(E4566=E4565:E$2)))))</f>
        <v> </v>
      </c>
      <c r="J4566" s="25" t="str">
        <f>IF(OR(E4566="",E4566="!!!",F4566="NEW"),"",COUNTBLANK(OFFSET(A$1,,,SUMPRODUCT(MAX(ROW(E$2:E4566)*(E4566=E$2:E4566)))))-COUNTBLANK(OFFSET(A$1,,,SUMPRODUCT(MAX(ROW(E$1:E4565)*(E2=E$1:E4565))))))</f>
        <v> </v>
      </c>
      <c r="K4566" s="25" t="str">
        <f>IF(OR(E4566="",E4566="!!!",F4566="NEW"),"",INDEX(J$1:J4565,SUMPRODUCT(MAX(ROW(E$1:E4565)*(E4566=E$1:E4565)))))</f>
        <v> </v>
      </c>
      <c r="L4566" s="26"/>
    </row>
    <row r="4567" spans="1:12">
      <c r="A4567" s="20" t="s">
        <v>1973</v>
      </c>
      <c r="E4567" s="21">
        <f>IF(D4567="?OLD","!!!","")</f>
        <v/>
      </c>
      <c r="F4567" s="22" t="str">
        <f>IF(OR(E4567="",E4567="!!!"),"",IF(NOT(ISNA(VLOOKUP(E4567,E$1:E4566,1,FALSE()))),"OLD",IF(AND(E4567&lt;&gt;"",E4567&lt;&gt;"!!!"),"NEW","")))</f>
        <v> </v>
      </c>
      <c r="G4567" s="23" t="str">
        <f>IF(OR(E4567="",E4567="!!!"),"",IF(OR(J4567=0,AND(J4567=1,K4567=1),AND(J4567=1,I4567="SBJ"),AND(J4567=1,I4567=0)),"?IN_FOCUS",IF(J4567&lt;=2,"?ACTIVATED",IF(J4567&lt;&gt;"","?FAMILIAR",IF(F4567="NEW",IF(ISNA(VLOOKUP(E4567,#REF!,1,FALSE())),"?TYPE_IDENTIFIABLE","?REFERENTIAL"),"_")))))</f>
        <v> </v>
      </c>
      <c r="H4567" s="24" t="str">
        <f>IF(J4567&lt;&gt;1,"",IF(I4567="SBJ","CB","?"))</f>
        <v> </v>
      </c>
      <c r="I4567" s="25" t="str">
        <f>IF(OR(E4567="",E4567="!!!",F4567="NEW"),"",INDEX(B4566:B$2,-1+SUMPRODUCT(MAX(ROW(E4566:E$2)*(E4567=E4566:E$2)))))</f>
        <v> </v>
      </c>
      <c r="J4567" s="25" t="str">
        <f>IF(OR(E4567="",E4567="!!!",F4567="NEW"),"",COUNTBLANK(OFFSET(A$1,,,SUMPRODUCT(MAX(ROW(E$2:E4567)*(E4567=E$2:E4567)))))-COUNTBLANK(OFFSET(A$1,,,SUMPRODUCT(MAX(ROW(E$1:E4566)*(E2=E$1:E4566))))))</f>
        <v> </v>
      </c>
      <c r="K4567" s="25" t="str">
        <f>IF(OR(E4567="",E4567="!!!",F4567="NEW"),"",INDEX(J$1:J4566,SUMPRODUCT(MAX(ROW(E$1:E4566)*(E4567=E$1:E4566)))))</f>
        <v> </v>
      </c>
      <c r="L4567" s="26"/>
    </row>
    <row r="4568" spans="1:12">
      <c r="A4568" s="20" t="s">
        <v>1124</v>
      </c>
      <c r="B4568" s="27" t="s">
        <v>1149</v>
      </c>
      <c r="C4568" s="27" t="s">
        <v>1126</v>
      </c>
      <c r="D4568" s="27" t="s">
        <v>1105</v>
      </c>
      <c r="E4568" s="21">
        <f>IF(D4568="?OLD","!!!","")</f>
        <v/>
      </c>
      <c r="F4568" s="22" t="str">
        <f>IF(OR(E4568="",E4568="!!!"),"",IF(NOT(ISNA(VLOOKUP(E4568,E$1:E4567,1,FALSE()))),"OLD",IF(AND(E4568&lt;&gt;"",E4568&lt;&gt;"!!!"),"NEW","")))</f>
        <v> </v>
      </c>
      <c r="G4568" s="23" t="str">
        <f>IF(OR(E4568="",E4568="!!!"),"",IF(OR(J4568=0,AND(J4568=1,K4568=1),AND(J4568=1,I4568="SBJ"),AND(J4568=1,I4568=0)),"?IN_FOCUS",IF(J4568&lt;=2,"?ACTIVATED",IF(J4568&lt;&gt;"","?FAMILIAR",IF(F4568="NEW",IF(ISNA(VLOOKUP(E4568,#REF!,1,FALSE())),"?TYPE_IDENTIFIABLE","?REFERENTIAL"),"_")))))</f>
        <v> </v>
      </c>
      <c r="H4568" s="24" t="str">
        <f>IF(J4568&lt;&gt;1,"",IF(I4568="SBJ","CB","?"))</f>
        <v> </v>
      </c>
      <c r="I4568" s="25" t="str">
        <f>IF(OR(E4568="",E4568="!!!",F4568="NEW"),"",INDEX(B4567:B$2,-1+SUMPRODUCT(MAX(ROW(E4567:E$2)*(E4568=E4567:E$2)))))</f>
        <v> </v>
      </c>
      <c r="J4568" s="25" t="str">
        <f>IF(OR(E4568="",E4568="!!!",F4568="NEW"),"",COUNTBLANK(OFFSET(A$1,,,SUMPRODUCT(MAX(ROW(E$2:E4568)*(E4568=E$2:E4568)))))-COUNTBLANK(OFFSET(A$1,,,SUMPRODUCT(MAX(ROW(E$1:E4567)*(E2=E$1:E4567))))))</f>
        <v> </v>
      </c>
      <c r="K4568" s="25" t="str">
        <f>IF(OR(E4568="",E4568="!!!",F4568="NEW"),"",INDEX(J$1:J4567,SUMPRODUCT(MAX(ROW(E$1:E4567)*(E4568=E$1:E4567)))))</f>
        <v> </v>
      </c>
      <c r="L4568" s="26"/>
    </row>
    <row r="4569" spans="1:12">
      <c r="A4569" s="20" t="s">
        <v>3100</v>
      </c>
      <c r="E4569" s="21">
        <f>IF(D4569="?OLD","!!!","")</f>
        <v/>
      </c>
      <c r="F4569" s="22" t="str">
        <f>IF(OR(E4569="",E4569="!!!"),"",IF(NOT(ISNA(VLOOKUP(E4569,E$1:E4568,1,FALSE()))),"OLD",IF(AND(E4569&lt;&gt;"",E4569&lt;&gt;"!!!"),"NEW","")))</f>
        <v> </v>
      </c>
      <c r="G4569" s="23" t="str">
        <f>IF(OR(E4569="",E4569="!!!"),"",IF(OR(J4569=0,AND(J4569=1,K4569=1),AND(J4569=1,I4569="SBJ"),AND(J4569=1,I4569=0)),"?IN_FOCUS",IF(J4569&lt;=2,"?ACTIVATED",IF(J4569&lt;&gt;"","?FAMILIAR",IF(F4569="NEW",IF(ISNA(VLOOKUP(E4569,#REF!,1,FALSE())),"?TYPE_IDENTIFIABLE","?REFERENTIAL"),"_")))))</f>
        <v> </v>
      </c>
      <c r="H4569" s="24" t="str">
        <f>IF(J4569&lt;&gt;1,"",IF(I4569="SBJ","CB","?"))</f>
        <v> </v>
      </c>
      <c r="I4569" s="25" t="str">
        <f>IF(OR(E4569="",E4569="!!!",F4569="NEW"),"",INDEX(B4568:B$2,-1+SUMPRODUCT(MAX(ROW(E4568:E$2)*(E4569=E4568:E$2)))))</f>
        <v> </v>
      </c>
      <c r="J4569" s="25" t="str">
        <f>IF(OR(E4569="",E4569="!!!",F4569="NEW"),"",COUNTBLANK(OFFSET(A$1,,,SUMPRODUCT(MAX(ROW(E$2:E4569)*(E4569=E$2:E4569)))))-COUNTBLANK(OFFSET(A$1,,,SUMPRODUCT(MAX(ROW(E$1:E4568)*(E2=E$1:E4568))))))</f>
        <v> </v>
      </c>
      <c r="K4569" s="25" t="str">
        <f>IF(OR(E4569="",E4569="!!!",F4569="NEW"),"",INDEX(J$1:J4568,SUMPRODUCT(MAX(ROW(E$1:E4568)*(E4569=E$1:E4568)))))</f>
        <v> </v>
      </c>
      <c r="L4569" s="26"/>
    </row>
    <row r="4570" spans="1:12">
      <c r="A4570" s="20" t="s">
        <v>1249</v>
      </c>
      <c r="E4570" s="21">
        <f>IF(D4570="?OLD","!!!","")</f>
        <v/>
      </c>
      <c r="F4570" s="22" t="str">
        <f>IF(OR(E4570="",E4570="!!!"),"",IF(NOT(ISNA(VLOOKUP(E4570,E$1:E4569,1,FALSE()))),"OLD",IF(AND(E4570&lt;&gt;"",E4570&lt;&gt;"!!!"),"NEW","")))</f>
        <v> </v>
      </c>
      <c r="G4570" s="23" t="str">
        <f>IF(OR(E4570="",E4570="!!!"),"",IF(OR(J4570=0,AND(J4570=1,K4570=1),AND(J4570=1,I4570="SBJ"),AND(J4570=1,I4570=0)),"?IN_FOCUS",IF(J4570&lt;=2,"?ACTIVATED",IF(J4570&lt;&gt;"","?FAMILIAR",IF(F4570="NEW",IF(ISNA(VLOOKUP(E4570,#REF!,1,FALSE())),"?TYPE_IDENTIFIABLE","?REFERENTIAL"),"_")))))</f>
        <v> </v>
      </c>
      <c r="H4570" s="24" t="str">
        <f>IF(J4570&lt;&gt;1,"",IF(I4570="SBJ","CB","?"))</f>
        <v> </v>
      </c>
      <c r="I4570" s="25" t="str">
        <f>IF(OR(E4570="",E4570="!!!",F4570="NEW"),"",INDEX(B4569:B$2,-1+SUMPRODUCT(MAX(ROW(E4569:E$2)*(E4570=E4569:E$2)))))</f>
        <v> </v>
      </c>
      <c r="J4570" s="25" t="str">
        <f>IF(OR(E4570="",E4570="!!!",F4570="NEW"),"",COUNTBLANK(OFFSET(A$1,,,SUMPRODUCT(MAX(ROW(E$2:E4570)*(E4570=E$2:E4570)))))-COUNTBLANK(OFFSET(A$1,,,SUMPRODUCT(MAX(ROW(E$1:E4569)*(E2=E$1:E4569))))))</f>
        <v> </v>
      </c>
      <c r="K4570" s="25" t="str">
        <f>IF(OR(E4570="",E4570="!!!",F4570="NEW"),"",INDEX(J$1:J4569,SUMPRODUCT(MAX(ROW(E$1:E4569)*(E4570=E$1:E4569)))))</f>
        <v> </v>
      </c>
      <c r="L4570" s="26"/>
    </row>
    <row r="4571" spans="1:12">
      <c r="A4571" s="20" t="s">
        <v>3101</v>
      </c>
      <c r="E4571" s="21">
        <f>IF(D4571="?OLD","!!!","")</f>
        <v/>
      </c>
      <c r="F4571" s="22" t="str">
        <f>IF(OR(E4571="",E4571="!!!"),"",IF(NOT(ISNA(VLOOKUP(E4571,E$1:E4570,1,FALSE()))),"OLD",IF(AND(E4571&lt;&gt;"",E4571&lt;&gt;"!!!"),"NEW","")))</f>
        <v> </v>
      </c>
      <c r="G4571" s="23" t="str">
        <f>IF(OR(E4571="",E4571="!!!"),"",IF(OR(J4571=0,AND(J4571=1,K4571=1),AND(J4571=1,I4571="SBJ"),AND(J4571=1,I4571=0)),"?IN_FOCUS",IF(J4571&lt;=2,"?ACTIVATED",IF(J4571&lt;&gt;"","?FAMILIAR",IF(F4571="NEW",IF(ISNA(VLOOKUP(E4571,#REF!,1,FALSE())),"?TYPE_IDENTIFIABLE","?REFERENTIAL"),"_")))))</f>
        <v> </v>
      </c>
      <c r="H4571" s="24" t="str">
        <f>IF(J4571&lt;&gt;1,"",IF(I4571="SBJ","CB","?"))</f>
        <v> </v>
      </c>
      <c r="I4571" s="25" t="str">
        <f>IF(OR(E4571="",E4571="!!!",F4571="NEW"),"",INDEX(B4570:B$2,-1+SUMPRODUCT(MAX(ROW(E4570:E$2)*(E4571=E4570:E$2)))))</f>
        <v> </v>
      </c>
      <c r="J4571" s="25" t="str">
        <f>IF(OR(E4571="",E4571="!!!",F4571="NEW"),"",COUNTBLANK(OFFSET(A$1,,,SUMPRODUCT(MAX(ROW(E$2:E4571)*(E4571=E$2:E4571)))))-COUNTBLANK(OFFSET(A$1,,,SUMPRODUCT(MAX(ROW(E$1:E4570)*(E2=E$1:E4570))))))</f>
        <v> </v>
      </c>
      <c r="K4571" s="25" t="str">
        <f>IF(OR(E4571="",E4571="!!!",F4571="NEW"),"",INDEX(J$1:J4570,SUMPRODUCT(MAX(ROW(E$1:E4570)*(E4571=E$1:E4570)))))</f>
        <v> </v>
      </c>
      <c r="L4571" s="26"/>
    </row>
    <row r="4572" spans="1:12">
      <c r="A4572" s="20" t="s">
        <v>11</v>
      </c>
      <c r="E4572" s="21">
        <f>IF(D4572="?OLD","!!!","")</f>
        <v/>
      </c>
      <c r="F4572" s="22" t="str">
        <f>IF(OR(E4572="",E4572="!!!"),"",IF(NOT(ISNA(VLOOKUP(E4572,E$1:E4571,1,FALSE()))),"OLD",IF(AND(E4572&lt;&gt;"",E4572&lt;&gt;"!!!"),"NEW","")))</f>
        <v> </v>
      </c>
      <c r="G4572" s="23" t="str">
        <f>IF(OR(E4572="",E4572="!!!"),"",IF(OR(J4572=0,AND(J4572=1,K4572=1),AND(J4572=1,I4572="SBJ"),AND(J4572=1,I4572=0)),"?IN_FOCUS",IF(J4572&lt;=2,"?ACTIVATED",IF(J4572&lt;&gt;"","?FAMILIAR",IF(F4572="NEW",IF(ISNA(VLOOKUP(E4572,#REF!,1,FALSE())),"?TYPE_IDENTIFIABLE","?REFERENTIAL"),"_")))))</f>
        <v> </v>
      </c>
      <c r="H4572" s="24" t="str">
        <f>IF(J4572&lt;&gt;1,"",IF(I4572="SBJ","CB","?"))</f>
        <v> </v>
      </c>
      <c r="I4572" s="25" t="str">
        <f>IF(OR(E4572="",E4572="!!!",F4572="NEW"),"",INDEX(B4571:B$2,-1+SUMPRODUCT(MAX(ROW(E4571:E$2)*(E4572=E4571:E$2)))))</f>
        <v> </v>
      </c>
      <c r="J4572" s="25" t="str">
        <f>IF(OR(E4572="",E4572="!!!",F4572="NEW"),"",COUNTBLANK(OFFSET(A$1,,,SUMPRODUCT(MAX(ROW(E$2:E4572)*(E4572=E$2:E4572)))))-COUNTBLANK(OFFSET(A$1,,,SUMPRODUCT(MAX(ROW(E$1:E4571)*(E2=E$1:E4571))))))</f>
        <v> </v>
      </c>
      <c r="K4572" s="25" t="str">
        <f>IF(OR(E4572="",E4572="!!!",F4572="NEW"),"",INDEX(J$1:J4571,SUMPRODUCT(MAX(ROW(E$1:E4571)*(E4572=E$1:E4571)))))</f>
        <v> </v>
      </c>
      <c r="L4572" s="26"/>
    </row>
    <row r="4573" spans="1:12">
      <c r="A4573" s="20" t="s">
        <v>3102</v>
      </c>
      <c r="E4573" s="21">
        <f>IF(D4573="?OLD","!!!","")</f>
        <v/>
      </c>
      <c r="F4573" s="22" t="str">
        <f>IF(OR(E4573="",E4573="!!!"),"",IF(NOT(ISNA(VLOOKUP(E4573,E$1:E4572,1,FALSE()))),"OLD",IF(AND(E4573&lt;&gt;"",E4573&lt;&gt;"!!!"),"NEW","")))</f>
        <v> </v>
      </c>
      <c r="G4573" s="23" t="str">
        <f>IF(OR(E4573="",E4573="!!!"),"",IF(OR(J4573=0,AND(J4573=1,K4573=1),AND(J4573=1,I4573="SBJ"),AND(J4573=1,I4573=0)),"?IN_FOCUS",IF(J4573&lt;=2,"?ACTIVATED",IF(J4573&lt;&gt;"","?FAMILIAR",IF(F4573="NEW",IF(ISNA(VLOOKUP(E4573,#REF!,1,FALSE())),"?TYPE_IDENTIFIABLE","?REFERENTIAL"),"_")))))</f>
        <v> </v>
      </c>
      <c r="H4573" s="24" t="str">
        <f>IF(J4573&lt;&gt;1,"",IF(I4573="SBJ","CB","?"))</f>
        <v> </v>
      </c>
      <c r="I4573" s="25" t="str">
        <f>IF(OR(E4573="",E4573="!!!",F4573="NEW"),"",INDEX(B4572:B$2,-1+SUMPRODUCT(MAX(ROW(E4572:E$2)*(E4573=E4572:E$2)))))</f>
        <v> </v>
      </c>
      <c r="J4573" s="25" t="str">
        <f>IF(OR(E4573="",E4573="!!!",F4573="NEW"),"",COUNTBLANK(OFFSET(A$1,,,SUMPRODUCT(MAX(ROW(E$2:E4573)*(E4573=E$2:E4573)))))-COUNTBLANK(OFFSET(A$1,,,SUMPRODUCT(MAX(ROW(E$1:E4572)*(E2=E$1:E4572))))))</f>
        <v> </v>
      </c>
      <c r="K4573" s="25" t="str">
        <f>IF(OR(E4573="",E4573="!!!",F4573="NEW"),"",INDEX(J$1:J4572,SUMPRODUCT(MAX(ROW(E$1:E4572)*(E4573=E$1:E4572)))))</f>
        <v> </v>
      </c>
      <c r="L4573" s="26"/>
    </row>
    <row r="4574" spans="1:12">
      <c r="A4574" s="20" t="s">
        <v>2658</v>
      </c>
      <c r="E4574" s="21">
        <f>IF(D4574="?OLD","!!!","")</f>
        <v/>
      </c>
      <c r="F4574" s="22" t="str">
        <f>IF(OR(E4574="",E4574="!!!"),"",IF(NOT(ISNA(VLOOKUP(E4574,E$1:E4573,1,FALSE()))),"OLD",IF(AND(E4574&lt;&gt;"",E4574&lt;&gt;"!!!"),"NEW","")))</f>
        <v> </v>
      </c>
      <c r="G4574" s="23" t="str">
        <f>IF(OR(E4574="",E4574="!!!"),"",IF(OR(J4574=0,AND(J4574=1,K4574=1),AND(J4574=1,I4574="SBJ"),AND(J4574=1,I4574=0)),"?IN_FOCUS",IF(J4574&lt;=2,"?ACTIVATED",IF(J4574&lt;&gt;"","?FAMILIAR",IF(F4574="NEW",IF(ISNA(VLOOKUP(E4574,#REF!,1,FALSE())),"?TYPE_IDENTIFIABLE","?REFERENTIAL"),"_")))))</f>
        <v> </v>
      </c>
      <c r="H4574" s="24" t="str">
        <f>IF(J4574&lt;&gt;1,"",IF(I4574="SBJ","CB","?"))</f>
        <v> </v>
      </c>
      <c r="I4574" s="25" t="str">
        <f>IF(OR(E4574="",E4574="!!!",F4574="NEW"),"",INDEX(B4573:B$2,-1+SUMPRODUCT(MAX(ROW(E4573:E$2)*(E4574=E4573:E$2)))))</f>
        <v> </v>
      </c>
      <c r="J4574" s="25" t="str">
        <f>IF(OR(E4574="",E4574="!!!",F4574="NEW"),"",COUNTBLANK(OFFSET(A$1,,,SUMPRODUCT(MAX(ROW(E$2:E4574)*(E4574=E$2:E4574)))))-COUNTBLANK(OFFSET(A$1,,,SUMPRODUCT(MAX(ROW(E$1:E4573)*(E2=E$1:E4573))))))</f>
        <v> </v>
      </c>
      <c r="K4574" s="25" t="str">
        <f>IF(OR(E4574="",E4574="!!!",F4574="NEW"),"",INDEX(J$1:J4573,SUMPRODUCT(MAX(ROW(E$1:E4573)*(E4574=E$1:E4573)))))</f>
        <v> </v>
      </c>
      <c r="L4574" s="26"/>
    </row>
    <row r="4575" spans="1:12">
      <c r="A4575" s="20" t="s">
        <v>1123</v>
      </c>
      <c r="E4575" s="21">
        <f>IF(D4575="?OLD","!!!","")</f>
        <v/>
      </c>
      <c r="F4575" s="22" t="str">
        <f>IF(OR(E4575="",E4575="!!!"),"",IF(NOT(ISNA(VLOOKUP(E4575,E$1:E4574,1,FALSE()))),"OLD",IF(AND(E4575&lt;&gt;"",E4575&lt;&gt;"!!!"),"NEW","")))</f>
        <v> </v>
      </c>
      <c r="G4575" s="23" t="str">
        <f>IF(OR(E4575="",E4575="!!!"),"",IF(OR(J4575=0,AND(J4575=1,K4575=1),AND(J4575=1,I4575="SBJ"),AND(J4575=1,I4575=0)),"?IN_FOCUS",IF(J4575&lt;=2,"?ACTIVATED",IF(J4575&lt;&gt;"","?FAMILIAR",IF(F4575="NEW",IF(ISNA(VLOOKUP(E4575,#REF!,1,FALSE())),"?TYPE_IDENTIFIABLE","?REFERENTIAL"),"_")))))</f>
        <v> </v>
      </c>
      <c r="H4575" s="24" t="str">
        <f>IF(J4575&lt;&gt;1,"",IF(I4575="SBJ","CB","?"))</f>
        <v> </v>
      </c>
      <c r="I4575" s="25" t="str">
        <f>IF(OR(E4575="",E4575="!!!",F4575="NEW"),"",INDEX(B4574:B$2,-1+SUMPRODUCT(MAX(ROW(E4574:E$2)*(E4575=E4574:E$2)))))</f>
        <v> </v>
      </c>
      <c r="J4575" s="25" t="str">
        <f>IF(OR(E4575="",E4575="!!!",F4575="NEW"),"",COUNTBLANK(OFFSET(A$1,,,SUMPRODUCT(MAX(ROW(E$2:E4575)*(E4575=E$2:E4575)))))-COUNTBLANK(OFFSET(A$1,,,SUMPRODUCT(MAX(ROW(E$1:E4574)*(E2=E$1:E4574))))))</f>
        <v> </v>
      </c>
      <c r="K4575" s="25" t="str">
        <f>IF(OR(E4575="",E4575="!!!",F4575="NEW"),"",INDEX(J$1:J4574,SUMPRODUCT(MAX(ROW(E$1:E4574)*(E4575=E$1:E4574)))))</f>
        <v> </v>
      </c>
      <c r="L4575" s="26"/>
    </row>
    <row r="4576" spans="1:12">
      <c r="A4576" s="20" t="s">
        <v>3103</v>
      </c>
      <c r="E4576" s="21">
        <f>IF(D4576="?OLD","!!!","")</f>
        <v/>
      </c>
      <c r="F4576" s="22" t="str">
        <f>IF(OR(E4576="",E4576="!!!"),"",IF(NOT(ISNA(VLOOKUP(E4576,E$1:E4575,1,FALSE()))),"OLD",IF(AND(E4576&lt;&gt;"",E4576&lt;&gt;"!!!"),"NEW","")))</f>
        <v> </v>
      </c>
      <c r="G4576" s="23" t="str">
        <f>IF(OR(E4576="",E4576="!!!"),"",IF(OR(J4576=0,AND(J4576=1,K4576=1),AND(J4576=1,I4576="SBJ"),AND(J4576=1,I4576=0)),"?IN_FOCUS",IF(J4576&lt;=2,"?ACTIVATED",IF(J4576&lt;&gt;"","?FAMILIAR",IF(F4576="NEW",IF(ISNA(VLOOKUP(E4576,#REF!,1,FALSE())),"?TYPE_IDENTIFIABLE","?REFERENTIAL"),"_")))))</f>
        <v> </v>
      </c>
      <c r="H4576" s="24" t="str">
        <f>IF(J4576&lt;&gt;1,"",IF(I4576="SBJ","CB","?"))</f>
        <v> </v>
      </c>
      <c r="I4576" s="25" t="str">
        <f>IF(OR(E4576="",E4576="!!!",F4576="NEW"),"",INDEX(B4575:B$2,-1+SUMPRODUCT(MAX(ROW(E4575:E$2)*(E4576=E4575:E$2)))))</f>
        <v> </v>
      </c>
      <c r="J4576" s="25" t="str">
        <f>IF(OR(E4576="",E4576="!!!",F4576="NEW"),"",COUNTBLANK(OFFSET(A$1,,,SUMPRODUCT(MAX(ROW(E$2:E4576)*(E4576=E$2:E4576)))))-COUNTBLANK(OFFSET(A$1,,,SUMPRODUCT(MAX(ROW(E$1:E4575)*(E2=E$1:E4575))))))</f>
        <v> </v>
      </c>
      <c r="K4576" s="25" t="str">
        <f>IF(OR(E4576="",E4576="!!!",F4576="NEW"),"",INDEX(J$1:J4575,SUMPRODUCT(MAX(ROW(E$1:E4575)*(E4576=E$1:E4575)))))</f>
        <v> </v>
      </c>
      <c r="L4576" s="26"/>
    </row>
    <row r="4577" spans="1:12">
      <c r="A4577" s="20" t="s">
        <v>3104</v>
      </c>
      <c r="E4577" s="21">
        <f>IF(D4577="?OLD","!!!","")</f>
        <v/>
      </c>
      <c r="F4577" s="22" t="str">
        <f>IF(OR(E4577="",E4577="!!!"),"",IF(NOT(ISNA(VLOOKUP(E4577,E$1:E4576,1,FALSE()))),"OLD",IF(AND(E4577&lt;&gt;"",E4577&lt;&gt;"!!!"),"NEW","")))</f>
        <v> </v>
      </c>
      <c r="G4577" s="23" t="str">
        <f>IF(OR(E4577="",E4577="!!!"),"",IF(OR(J4577=0,AND(J4577=1,K4577=1),AND(J4577=1,I4577="SBJ"),AND(J4577=1,I4577=0)),"?IN_FOCUS",IF(J4577&lt;=2,"?ACTIVATED",IF(J4577&lt;&gt;"","?FAMILIAR",IF(F4577="NEW",IF(ISNA(VLOOKUP(E4577,#REF!,1,FALSE())),"?TYPE_IDENTIFIABLE","?REFERENTIAL"),"_")))))</f>
        <v> </v>
      </c>
      <c r="H4577" s="24" t="str">
        <f>IF(J4577&lt;&gt;1,"",IF(I4577="SBJ","CB","?"))</f>
        <v> </v>
      </c>
      <c r="I4577" s="25" t="str">
        <f>IF(OR(E4577="",E4577="!!!",F4577="NEW"),"",INDEX(B4576:B$2,-1+SUMPRODUCT(MAX(ROW(E4576:E$2)*(E4577=E4576:E$2)))))</f>
        <v> </v>
      </c>
      <c r="J4577" s="25" t="str">
        <f>IF(OR(E4577="",E4577="!!!",F4577="NEW"),"",COUNTBLANK(OFFSET(A$1,,,SUMPRODUCT(MAX(ROW(E$2:E4577)*(E4577=E$2:E4577)))))-COUNTBLANK(OFFSET(A$1,,,SUMPRODUCT(MAX(ROW(E$1:E4576)*(E2=E$1:E4576))))))</f>
        <v> </v>
      </c>
      <c r="K4577" s="25" t="str">
        <f>IF(OR(E4577="",E4577="!!!",F4577="NEW"),"",INDEX(J$1:J4576,SUMPRODUCT(MAX(ROW(E$1:E4576)*(E4577=E$1:E4576)))))</f>
        <v> </v>
      </c>
      <c r="L4577" s="26"/>
    </row>
    <row r="4578" spans="1:12">
      <c r="A4578" s="20" t="s">
        <v>1123</v>
      </c>
      <c r="E4578" s="21">
        <f>IF(D4578="?OLD","!!!","")</f>
        <v/>
      </c>
      <c r="F4578" s="22" t="str">
        <f>IF(OR(E4578="",E4578="!!!"),"",IF(NOT(ISNA(VLOOKUP(E4578,E$1:E4577,1,FALSE()))),"OLD",IF(AND(E4578&lt;&gt;"",E4578&lt;&gt;"!!!"),"NEW","")))</f>
        <v> </v>
      </c>
      <c r="G4578" s="23" t="str">
        <f>IF(OR(E4578="",E4578="!!!"),"",IF(OR(J4578=0,AND(J4578=1,K4578=1),AND(J4578=1,I4578="SBJ"),AND(J4578=1,I4578=0)),"?IN_FOCUS",IF(J4578&lt;=2,"?ACTIVATED",IF(J4578&lt;&gt;"","?FAMILIAR",IF(F4578="NEW",IF(ISNA(VLOOKUP(E4578,#REF!,1,FALSE())),"?TYPE_IDENTIFIABLE","?REFERENTIAL"),"_")))))</f>
        <v> </v>
      </c>
      <c r="H4578" s="24" t="str">
        <f>IF(J4578&lt;&gt;1,"",IF(I4578="SBJ","CB","?"))</f>
        <v> </v>
      </c>
      <c r="I4578" s="25" t="str">
        <f>IF(OR(E4578="",E4578="!!!",F4578="NEW"),"",INDEX(B4577:B$2,-1+SUMPRODUCT(MAX(ROW(E4577:E$2)*(E4578=E4577:E$2)))))</f>
        <v> </v>
      </c>
      <c r="J4578" s="25" t="str">
        <f>IF(OR(E4578="",E4578="!!!",F4578="NEW"),"",COUNTBLANK(OFFSET(A$1,,,SUMPRODUCT(MAX(ROW(E$2:E4578)*(E4578=E$2:E4578)))))-COUNTBLANK(OFFSET(A$1,,,SUMPRODUCT(MAX(ROW(E$1:E4577)*(E2=E$1:E4577))))))</f>
        <v> </v>
      </c>
      <c r="K4578" s="25" t="str">
        <f>IF(OR(E4578="",E4578="!!!",F4578="NEW"),"",INDEX(J$1:J4577,SUMPRODUCT(MAX(ROW(E$1:E4577)*(E4578=E$1:E4577)))))</f>
        <v> </v>
      </c>
      <c r="L4578" s="26"/>
    </row>
    <row r="4579" spans="1:12">
      <c r="A4579" s="20" t="s">
        <v>1271</v>
      </c>
      <c r="E4579" s="21">
        <f>IF(D4579="?OLD","!!!","")</f>
        <v/>
      </c>
      <c r="F4579" s="22" t="str">
        <f>IF(OR(E4579="",E4579="!!!"),"",IF(NOT(ISNA(VLOOKUP(E4579,E$1:E4578,1,FALSE()))),"OLD",IF(AND(E4579&lt;&gt;"",E4579&lt;&gt;"!!!"),"NEW","")))</f>
        <v> </v>
      </c>
      <c r="G4579" s="23" t="str">
        <f>IF(OR(E4579="",E4579="!!!"),"",IF(OR(J4579=0,AND(J4579=1,K4579=1),AND(J4579=1,I4579="SBJ"),AND(J4579=1,I4579=0)),"?IN_FOCUS",IF(J4579&lt;=2,"?ACTIVATED",IF(J4579&lt;&gt;"","?FAMILIAR",IF(F4579="NEW",IF(ISNA(VLOOKUP(E4579,#REF!,1,FALSE())),"?TYPE_IDENTIFIABLE","?REFERENTIAL"),"_")))))</f>
        <v> </v>
      </c>
      <c r="H4579" s="24" t="str">
        <f>IF(J4579&lt;&gt;1,"",IF(I4579="SBJ","CB","?"))</f>
        <v> </v>
      </c>
      <c r="I4579" s="25" t="str">
        <f>IF(OR(E4579="",E4579="!!!",F4579="NEW"),"",INDEX(B4578:B$2,-1+SUMPRODUCT(MAX(ROW(E4578:E$2)*(E4579=E4578:E$2)))))</f>
        <v> </v>
      </c>
      <c r="J4579" s="25" t="str">
        <f>IF(OR(E4579="",E4579="!!!",F4579="NEW"),"",COUNTBLANK(OFFSET(A$1,,,SUMPRODUCT(MAX(ROW(E$2:E4579)*(E4579=E$2:E4579)))))-COUNTBLANK(OFFSET(A$1,,,SUMPRODUCT(MAX(ROW(E$1:E4578)*(E2=E$1:E4578))))))</f>
        <v> </v>
      </c>
      <c r="K4579" s="25" t="str">
        <f>IF(OR(E4579="",E4579="!!!",F4579="NEW"),"",INDEX(J$1:J4578,SUMPRODUCT(MAX(ROW(E$1:E4578)*(E4579=E$1:E4578)))))</f>
        <v> </v>
      </c>
      <c r="L4579" s="26"/>
    </row>
    <row r="4580" spans="1:12">
      <c r="A4580" s="20" t="s">
        <v>3105</v>
      </c>
      <c r="E4580" s="21">
        <f>IF(D4580="?OLD","!!!","")</f>
        <v/>
      </c>
      <c r="F4580" s="22" t="str">
        <f>IF(OR(E4580="",E4580="!!!"),"",IF(NOT(ISNA(VLOOKUP(E4580,E$1:E4579,1,FALSE()))),"OLD",IF(AND(E4580&lt;&gt;"",E4580&lt;&gt;"!!!"),"NEW","")))</f>
        <v> </v>
      </c>
      <c r="G4580" s="23" t="str">
        <f>IF(OR(E4580="",E4580="!!!"),"",IF(OR(J4580=0,AND(J4580=1,K4580=1),AND(J4580=1,I4580="SBJ"),AND(J4580=1,I4580=0)),"?IN_FOCUS",IF(J4580&lt;=2,"?ACTIVATED",IF(J4580&lt;&gt;"","?FAMILIAR",IF(F4580="NEW",IF(ISNA(VLOOKUP(E4580,#REF!,1,FALSE())),"?TYPE_IDENTIFIABLE","?REFERENTIAL"),"_")))))</f>
        <v> </v>
      </c>
      <c r="H4580" s="24" t="str">
        <f>IF(J4580&lt;&gt;1,"",IF(I4580="SBJ","CB","?"))</f>
        <v> </v>
      </c>
      <c r="I4580" s="25" t="str">
        <f>IF(OR(E4580="",E4580="!!!",F4580="NEW"),"",INDEX(B4579:B$2,-1+SUMPRODUCT(MAX(ROW(E4579:E$2)*(E4580=E4579:E$2)))))</f>
        <v> </v>
      </c>
      <c r="J4580" s="25" t="str">
        <f>IF(OR(E4580="",E4580="!!!",F4580="NEW"),"",COUNTBLANK(OFFSET(A$1,,,SUMPRODUCT(MAX(ROW(E$2:E4580)*(E4580=E$2:E4580)))))-COUNTBLANK(OFFSET(A$1,,,SUMPRODUCT(MAX(ROW(E$1:E4579)*(E2=E$1:E4579))))))</f>
        <v> </v>
      </c>
      <c r="K4580" s="25" t="str">
        <f>IF(OR(E4580="",E4580="!!!",F4580="NEW"),"",INDEX(J$1:J4579,SUMPRODUCT(MAX(ROW(E$1:E4579)*(E4580=E$1:E4579)))))</f>
        <v> </v>
      </c>
      <c r="L4580" s="26"/>
    </row>
    <row r="4581" spans="1:12">
      <c r="A4581" s="20" t="s">
        <v>3106</v>
      </c>
      <c r="E4581" s="21">
        <f>IF(D4581="?OLD","!!!","")</f>
        <v/>
      </c>
      <c r="F4581" s="22" t="str">
        <f>IF(OR(E4581="",E4581="!!!"),"",IF(NOT(ISNA(VLOOKUP(E4581,E$1:E4580,1,FALSE()))),"OLD",IF(AND(E4581&lt;&gt;"",E4581&lt;&gt;"!!!"),"NEW","")))</f>
        <v> </v>
      </c>
      <c r="G4581" s="23" t="str">
        <f>IF(OR(E4581="",E4581="!!!"),"",IF(OR(J4581=0,AND(J4581=1,K4581=1),AND(J4581=1,I4581="SBJ"),AND(J4581=1,I4581=0)),"?IN_FOCUS",IF(J4581&lt;=2,"?ACTIVATED",IF(J4581&lt;&gt;"","?FAMILIAR",IF(F4581="NEW",IF(ISNA(VLOOKUP(E4581,#REF!,1,FALSE())),"?TYPE_IDENTIFIABLE","?REFERENTIAL"),"_")))))</f>
        <v> </v>
      </c>
      <c r="H4581" s="24" t="str">
        <f>IF(J4581&lt;&gt;1,"",IF(I4581="SBJ","CB","?"))</f>
        <v> </v>
      </c>
      <c r="I4581" s="25" t="str">
        <f>IF(OR(E4581="",E4581="!!!",F4581="NEW"),"",INDEX(B4580:B$2,-1+SUMPRODUCT(MAX(ROW(E4580:E$2)*(E4581=E4580:E$2)))))</f>
        <v> </v>
      </c>
      <c r="J4581" s="25" t="str">
        <f>IF(OR(E4581="",E4581="!!!",F4581="NEW"),"",COUNTBLANK(OFFSET(A$1,,,SUMPRODUCT(MAX(ROW(E$2:E4581)*(E4581=E$2:E4581)))))-COUNTBLANK(OFFSET(A$1,,,SUMPRODUCT(MAX(ROW(E$1:E4580)*(E2=E$1:E4580))))))</f>
        <v> </v>
      </c>
      <c r="K4581" s="25" t="str">
        <f>IF(OR(E4581="",E4581="!!!",F4581="NEW"),"",INDEX(J$1:J4580,SUMPRODUCT(MAX(ROW(E$1:E4580)*(E4581=E$1:E4580)))))</f>
        <v> </v>
      </c>
      <c r="L4581" s="26"/>
    </row>
    <row r="4582" spans="1:12">
      <c r="A4582" s="20" t="s">
        <v>3107</v>
      </c>
      <c r="E4582" s="21">
        <f>IF(D4582="?OLD","!!!","")</f>
        <v/>
      </c>
      <c r="F4582" s="22" t="str">
        <f>IF(OR(E4582="",E4582="!!!"),"",IF(NOT(ISNA(VLOOKUP(E4582,E$1:E4581,1,FALSE()))),"OLD",IF(AND(E4582&lt;&gt;"",E4582&lt;&gt;"!!!"),"NEW","")))</f>
        <v> </v>
      </c>
      <c r="G4582" s="23" t="str">
        <f>IF(OR(E4582="",E4582="!!!"),"",IF(OR(J4582=0,AND(J4582=1,K4582=1),AND(J4582=1,I4582="SBJ"),AND(J4582=1,I4582=0)),"?IN_FOCUS",IF(J4582&lt;=2,"?ACTIVATED",IF(J4582&lt;&gt;"","?FAMILIAR",IF(F4582="NEW",IF(ISNA(VLOOKUP(E4582,#REF!,1,FALSE())),"?TYPE_IDENTIFIABLE","?REFERENTIAL"),"_")))))</f>
        <v> </v>
      </c>
      <c r="H4582" s="24" t="str">
        <f>IF(J4582&lt;&gt;1,"",IF(I4582="SBJ","CB","?"))</f>
        <v> </v>
      </c>
      <c r="I4582" s="25" t="str">
        <f>IF(OR(E4582="",E4582="!!!",F4582="NEW"),"",INDEX(B4581:B$2,-1+SUMPRODUCT(MAX(ROW(E4581:E$2)*(E4582=E4581:E$2)))))</f>
        <v> </v>
      </c>
      <c r="J4582" s="25" t="str">
        <f>IF(OR(E4582="",E4582="!!!",F4582="NEW"),"",COUNTBLANK(OFFSET(A$1,,,SUMPRODUCT(MAX(ROW(E$2:E4582)*(E4582=E$2:E4582)))))-COUNTBLANK(OFFSET(A$1,,,SUMPRODUCT(MAX(ROW(E$1:E4581)*(E2=E$1:E4581))))))</f>
        <v> </v>
      </c>
      <c r="K4582" s="25" t="str">
        <f>IF(OR(E4582="",E4582="!!!",F4582="NEW"),"",INDEX(J$1:J4581,SUMPRODUCT(MAX(ROW(E$1:E4581)*(E4582=E$1:E4581)))))</f>
        <v> </v>
      </c>
      <c r="L4582" s="26"/>
    </row>
    <row r="4583" spans="1:12">
      <c r="A4583" s="20" t="s">
        <v>1891</v>
      </c>
      <c r="E4583" s="21">
        <f>IF(D4583="?OLD","!!!","")</f>
        <v/>
      </c>
      <c r="F4583" s="22" t="str">
        <f>IF(OR(E4583="",E4583="!!!"),"",IF(NOT(ISNA(VLOOKUP(E4583,E$1:E4582,1,FALSE()))),"OLD",IF(AND(E4583&lt;&gt;"",E4583&lt;&gt;"!!!"),"NEW","")))</f>
        <v> </v>
      </c>
      <c r="G4583" s="23" t="str">
        <f>IF(OR(E4583="",E4583="!!!"),"",IF(OR(J4583=0,AND(J4583=1,K4583=1),AND(J4583=1,I4583="SBJ"),AND(J4583=1,I4583=0)),"?IN_FOCUS",IF(J4583&lt;=2,"?ACTIVATED",IF(J4583&lt;&gt;"","?FAMILIAR",IF(F4583="NEW",IF(ISNA(VLOOKUP(E4583,#REF!,1,FALSE())),"?TYPE_IDENTIFIABLE","?REFERENTIAL"),"_")))))</f>
        <v> </v>
      </c>
      <c r="H4583" s="24" t="str">
        <f>IF(J4583&lt;&gt;1,"",IF(I4583="SBJ","CB","?"))</f>
        <v> </v>
      </c>
      <c r="I4583" s="25" t="str">
        <f>IF(OR(E4583="",E4583="!!!",F4583="NEW"),"",INDEX(B4582:B$2,-1+SUMPRODUCT(MAX(ROW(E4582:E$2)*(E4583=E4582:E$2)))))</f>
        <v> </v>
      </c>
      <c r="J4583" s="25" t="str">
        <f>IF(OR(E4583="",E4583="!!!",F4583="NEW"),"",COUNTBLANK(OFFSET(A$1,,,SUMPRODUCT(MAX(ROW(E$2:E4583)*(E4583=E$2:E4583)))))-COUNTBLANK(OFFSET(A$1,,,SUMPRODUCT(MAX(ROW(E$1:E4582)*(E2=E$1:E4582))))))</f>
        <v> </v>
      </c>
      <c r="K4583" s="25" t="str">
        <f>IF(OR(E4583="",E4583="!!!",F4583="NEW"),"",INDEX(J$1:J4582,SUMPRODUCT(MAX(ROW(E$1:E4582)*(E4583=E$1:E4582)))))</f>
        <v> </v>
      </c>
      <c r="L4583" s="26"/>
    </row>
    <row r="4584" spans="1:12">
      <c r="A4584" s="20" t="s">
        <v>1145</v>
      </c>
      <c r="E4584" s="21">
        <f>IF(D4584="?OLD","!!!","")</f>
        <v/>
      </c>
      <c r="F4584" s="22" t="str">
        <f>IF(OR(E4584="",E4584="!!!"),"",IF(NOT(ISNA(VLOOKUP(E4584,E$1:E4583,1,FALSE()))),"OLD",IF(AND(E4584&lt;&gt;"",E4584&lt;&gt;"!!!"),"NEW","")))</f>
        <v> </v>
      </c>
      <c r="G4584" s="23" t="str">
        <f>IF(OR(E4584="",E4584="!!!"),"",IF(OR(J4584=0,AND(J4584=1,K4584=1),AND(J4584=1,I4584="SBJ"),AND(J4584=1,I4584=0)),"?IN_FOCUS",IF(J4584&lt;=2,"?ACTIVATED",IF(J4584&lt;&gt;"","?FAMILIAR",IF(F4584="NEW",IF(ISNA(VLOOKUP(E4584,#REF!,1,FALSE())),"?TYPE_IDENTIFIABLE","?REFERENTIAL"),"_")))))</f>
        <v> </v>
      </c>
      <c r="H4584" s="24" t="str">
        <f>IF(J4584&lt;&gt;1,"",IF(I4584="SBJ","CB","?"))</f>
        <v> </v>
      </c>
      <c r="I4584" s="25" t="str">
        <f>IF(OR(E4584="",E4584="!!!",F4584="NEW"),"",INDEX(B4583:B$2,-1+SUMPRODUCT(MAX(ROW(E4583:E$2)*(E4584=E4583:E$2)))))</f>
        <v> </v>
      </c>
      <c r="J4584" s="25" t="str">
        <f>IF(OR(E4584="",E4584="!!!",F4584="NEW"),"",COUNTBLANK(OFFSET(A$1,,,SUMPRODUCT(MAX(ROW(E$2:E4584)*(E4584=E$2:E4584)))))-COUNTBLANK(OFFSET(A$1,,,SUMPRODUCT(MAX(ROW(E$1:E4583)*(E2=E$1:E4583))))))</f>
        <v> </v>
      </c>
      <c r="K4584" s="25" t="str">
        <f>IF(OR(E4584="",E4584="!!!",F4584="NEW"),"",INDEX(J$1:J4583,SUMPRODUCT(MAX(ROW(E$1:E4583)*(E4584=E$1:E4583)))))</f>
        <v> </v>
      </c>
      <c r="L4584" s="26"/>
    </row>
    <row r="4585" spans="1:12">
      <c r="A4585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2024-07-11T06:10:53Z</dcterms:created>
  <dcterms:modified xsi:type="dcterms:W3CDTF">2024-07-11T06:10:53Z</dcterms:modified>
</cp:coreProperties>
</file>