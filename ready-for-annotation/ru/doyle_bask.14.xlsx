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<sst xmlns="http://schemas.openxmlformats.org/spreadsheetml/2006/main" count="8480" uniqueCount="3108">
  <si>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</si>
  <si>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</si>
  <si>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</si>
  <si>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</si>
  <si>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</si>
  <si>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</si>
  <si>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</si>
  <si>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</si>
  <si>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</si>
  <si>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</si>
  <si>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</si>
  <si>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</si>
  <si>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один</t>
  </si>
  <si>
    <t>Одним из недостатков Шерлока Холмса — если только это можно назвать недостатком — было то , что он никогда и ни с кем не делился своими планами вплоть до их свершения .</t>
  </si>
  <si>
    <t>file://conllu/ru/doyle_bask.14.conllu#s1_0</t>
  </si>
  <si>
    <t>2</t>
  </si>
  <si>
    <t>3</t>
  </si>
  <si>
    <t>объяснять</t>
  </si>
  <si>
    <t>Такая скрытность объяснялась отчасти властной натурой этого человека , любившего повелевать окружающими и поражать их воображение , отчасти профессиональной осторожностью , не позволявшей ему рисковать без нужды .</t>
  </si>
  <si>
    <t>file://conllu/ru/doyle_bask.14.conllu#s2_0</t>
  </si>
  <si>
    <t>12</t>
  </si>
  <si>
    <t>доставлять</t>
  </si>
  <si>
    <t>Как бы то ни было , эта черта характера Шерлока Холмса доставляла много неприятностей тем , кто работал с ним в качестве его агентов или помощников .</t>
  </si>
  <si>
    <t>file://conllu/ru/doyle_bask.14.conllu#s3_0</t>
  </si>
  <si>
    <t>4</t>
  </si>
  <si>
    <t>страдать</t>
  </si>
  <si>
    <t>Я сам часто страдал от нее , но то , что мне пришлось вытерпеть за это долгое путешествие в темноте , превзошло все мои прошлые муки .</t>
  </si>
  <si>
    <t>file://conllu/ru/doyle_bask.14.conllu#s4_0</t>
  </si>
  <si>
    <t>5</t>
  </si>
  <si>
    <t>предстоять</t>
  </si>
  <si>
    <t>Нам предстояло нелегкое испытание , мы были готовы нанести последний , решающий удар , а Холмс упорно молчал , и я мог только догадываться о его планах .</t>
  </si>
  <si>
    <t>file://conllu/ru/doyle_bask.14.conllu#s5_0</t>
  </si>
  <si>
    <t>6</t>
  </si>
  <si>
    <t>дойти</t>
  </si>
  <si>
    <t>Мое нервное напряжение дошло до предела , как вдруг в лицо нам пахнуло холодным ветром , и , глянув в темноту , на пустынные просторы , тянувшиеся по обеим сторонам узкой дороги , я понял , что мы снова очутились на болотах .</t>
  </si>
  <si>
    <t>file://conllu/ru/doyle_bask.14.conllu#s6_0</t>
  </si>
  <si>
    <t>7</t>
  </si>
  <si>
    <t>шаг</t>
  </si>
  <si>
    <t>Каждый шаг лошадей , каждый поворот колес приближал нас к развязке всех этих событий .</t>
  </si>
  <si>
    <t>file://conllu/ru/doyle_bask.14.conllu#s7_0</t>
  </si>
  <si>
    <t>8</t>
  </si>
  <si>
    <t>10</t>
  </si>
  <si>
    <t>быть (быть нельзя)</t>
  </si>
  <si>
    <t>В присутствии возницы , нанятого в Кумби-Треси , нельзя было говорить о деле , и мы , несмотря на все свое волнение , беседовали о каких-то пустяках .</t>
  </si>
  <si>
    <t>file://conllu/ru/doyle_bask.14.conllu#s8_0</t>
  </si>
  <si>
    <t>9</t>
  </si>
  <si>
    <t>вздохнуть</t>
  </si>
  <si>
    <t>Я облегченно вздохнул , когда в стороне от дороги показался коттедж Френкленда , от которого оставалось две три мили до Баскервиль холла и до того места , где должна была разыграться заключительная сцена трагедии .</t>
  </si>
  <si>
    <t>file://conllu/ru/doyle_bask.14.conllu#s9_0</t>
  </si>
  <si>
    <t>проездить</t>
  </si>
  <si>
    <t>Не останавливаясь у подъезда , мы проехали к калитке в тисовой аллее , расплатились с возницей , отправили его обратно в Кумби-Треси , а сами пошли по направлению к Меррипит-хаус .</t>
  </si>
  <si>
    <t>file://conllu/ru/doyle_bask.14.conllu#s10_0</t>
  </si>
  <si>
    <t>11</t>
  </si>
  <si>
    <t>оружие</t>
  </si>
  <si>
    <t>— Вы с оружием , Лестрейд ?</t>
  </si>
  <si>
    <t>file://conllu/ru/doyle_bask.14.conllu#s11_0</t>
  </si>
  <si>
    <t>улыбнуться</t>
  </si>
  <si>
    <t>Маленький сыщик улыбнулся : — Раз на мне брюки , значит , и задний карман у них есть , а раз есть задний карман , значит , он не пустует .</t>
  </si>
  <si>
    <t>file://conllu/ru/doyle_bask.14.conllu#s12_0</t>
  </si>
  <si>
    <t>13</t>
  </si>
  <si>
    <t>прекрасно</t>
  </si>
  <si>
    <t>— Вот и прекрасно !</t>
  </si>
  <si>
    <t>file://conllu/ru/doyle_bask.14.conllu#s13_0</t>
  </si>
  <si>
    <t>14</t>
  </si>
  <si>
    <t>приготовиться</t>
  </si>
  <si>
    <t>Мы с Уотсоном тоже приготовились ко всяким неожиданностям .</t>
  </si>
  <si>
    <t>file://conllu/ru/doyle_bask.14.conllu#s14_0</t>
  </si>
  <si>
    <t>15</t>
  </si>
  <si>
    <t>видеть</t>
  </si>
  <si>
    <t>— Я вижу , вы настроены очень серьезно , мистер Холмс .</t>
  </si>
  <si>
    <t>file://conllu/ru/doyle_bask.14.conllu#s15_0</t>
  </si>
  <si>
    <t>16</t>
  </si>
  <si>
    <t>требоваться</t>
  </si>
  <si>
    <t>А что от нас теперь требуется в этой игре ?</t>
  </si>
  <si>
    <t>file://conllu/ru/doyle_bask.14.conllu#s16_0</t>
  </si>
  <si>
    <t>17</t>
  </si>
  <si>
    <t>— Требуется терпение .</t>
  </si>
  <si>
    <t>file://conllu/ru/doyle_bask.14.conllu#s17_0</t>
  </si>
  <si>
    <t>18</t>
  </si>
  <si>
    <t>ждать</t>
  </si>
  <si>
    <t>Будем ждать .</t>
  </si>
  <si>
    <t>file://conllu/ru/doyle_bask.14.conllu#s18_0</t>
  </si>
  <si>
    <t>19</t>
  </si>
  <si>
    <t>веселый</t>
  </si>
  <si>
    <t>— Действительно , места здесь не очень веселые !</t>
  </si>
  <si>
    <t>file://conllu/ru/doyle_bask.14.conllu#s19_0</t>
  </si>
  <si>
    <t>20</t>
  </si>
  <si>
    <t>повести</t>
  </si>
  <si>
    <t>— Сыщик повел плечами , глядя на мрачные склоны холмов и туман , озером разлившийся над Гримпенской трясиной .</t>
  </si>
  <si>
    <t>file://conllu/ru/doyle_bask.14.conllu#s20_0</t>
  </si>
  <si>
    <t>21</t>
  </si>
  <si>
    <t>гореть</t>
  </si>
  <si>
    <t>— А вон где-то горит огонек .</t>
  </si>
  <si>
    <t>file://conllu/ru/doyle_bask.14.conllu#s21_0</t>
  </si>
  <si>
    <t>22</t>
  </si>
  <si>
    <t>Меррипит-хаус</t>
  </si>
  <si>
    <t>— Это Меррипит-хаус — конечная цель нашего путешествия .</t>
  </si>
  <si>
    <t>file://conllu/ru/doyle_bask.14.conllu#s22_0</t>
  </si>
  <si>
    <t>23</t>
  </si>
  <si>
    <t>попросать</t>
  </si>
  <si>
    <t>Теперь попрошу вас ступать как можно тише и говорить шепотом .</t>
  </si>
  <si>
    <t>file://conllu/ru/doyle_bask.14.conllu#s23_0</t>
  </si>
  <si>
    <t>24</t>
  </si>
  <si>
    <t>шагать</t>
  </si>
  <si>
    <t>Мы осторожно шагали по тропинке , которая вела к дому , но ярдов за двести от него Холмс остановился .</t>
  </si>
  <si>
    <t>file://conllu/ru/doyle_bask.14.conllu#s24_0</t>
  </si>
  <si>
    <t>25</t>
  </si>
  <si>
    <t>надо</t>
  </si>
  <si>
    <t>— Дальше не надо , — сказал он .</t>
  </si>
  <si>
    <t>file://conllu/ru/doyle_bask.14.conllu#s25_0</t>
  </si>
  <si>
    <t>26</t>
  </si>
  <si>
    <t>послужать</t>
  </si>
  <si>
    <t>— Вот эти валуны послужат нам прекрасной ширмой .</t>
  </si>
  <si>
    <t>file://conllu/ru/doyle_bask.14.conllu#s26_0</t>
  </si>
  <si>
    <t>27</t>
  </si>
  <si>
    <t>здесь</t>
  </si>
  <si>
    <t>— Здесь и будем ждать ?</t>
  </si>
  <si>
    <t>file://conllu/ru/doyle_bask.14.conllu#s27_0</t>
  </si>
  <si>
    <t>28</t>
  </si>
  <si>
    <t>устроить</t>
  </si>
  <si>
    <t>— Да , устроим засаду .</t>
  </si>
  <si>
    <t>file://conllu/ru/doyle_bask.14.conllu#s28_0</t>
  </si>
  <si>
    <t>29</t>
  </si>
  <si>
    <t>Стануть</t>
  </si>
  <si>
    <t>Станьте вот сюда , Лестрейд .</t>
  </si>
  <si>
    <t>file://conllu/ru/doyle_bask.14.conllu#s29_0</t>
  </si>
  <si>
    <t>30</t>
  </si>
  <si>
    <t>Уотсно</t>
  </si>
  <si>
    <t>Уотсон , ведь вы бывали в доме ?</t>
  </si>
  <si>
    <t>file://conllu/ru/doyle_bask.14.conllu#s30_0</t>
  </si>
  <si>
    <t>31</t>
  </si>
  <si>
    <t>знать</t>
  </si>
  <si>
    <t>Расположение комнат знаете ?</t>
  </si>
  <si>
    <t>file://conllu/ru/doyle_bask.14.conllu#s31_0</t>
  </si>
  <si>
    <t>32</t>
  </si>
  <si>
    <t>что</t>
  </si>
  <si>
    <t>Вон те окна с переплетом — что это ?</t>
  </si>
  <si>
    <t>file://conllu/ru/doyle_bask.14.conllu#s32_0</t>
  </si>
  <si>
    <t>33</t>
  </si>
  <si>
    <t>кухня</t>
  </si>
  <si>
    <t>— По-моему , кухня .</t>
  </si>
  <si>
    <t>file://conllu/ru/doyle_bask.14.conllu#s33_0</t>
  </si>
  <si>
    <t>34</t>
  </si>
  <si>
    <t>следующий</t>
  </si>
  <si>
    <t>— А следующее , ярко освещенное ?</t>
  </si>
  <si>
    <t>file://conllu/ru/doyle_bask.14.conllu#s34_0</t>
  </si>
  <si>
    <t>35</t>
  </si>
  <si>
    <t>столовий</t>
  </si>
  <si>
    <t>— Это столовая .</t>
  </si>
  <si>
    <t>file://conllu/ru/doyle_bask.14.conllu#s35_0</t>
  </si>
  <si>
    <t>36</t>
  </si>
  <si>
    <t>поднять</t>
  </si>
  <si>
    <t>— Шторы подняты .</t>
  </si>
  <si>
    <t>file://conllu/ru/doyle_bask.14.conllu#s36_0</t>
  </si>
  <si>
    <t>37</t>
  </si>
  <si>
    <t>хороший</t>
  </si>
  <si>
    <t>Вы лучше меня знаете , как туда пройти .</t>
  </si>
  <si>
    <t>file://conllu/ru/doyle_bask.14.conllu#s37_0</t>
  </si>
  <si>
    <t>38</t>
  </si>
  <si>
    <t>Заглянить</t>
  </si>
  <si>
    <t>Загляните в окно — что они там делают ?</t>
  </si>
  <si>
    <t>file://conllu/ru/doyle_bask.14.conllu#s38_0</t>
  </si>
  <si>
    <t>39</t>
  </si>
  <si>
    <t>бог</t>
  </si>
  <si>
    <t>Только , ради бога , тише .</t>
  </si>
  <si>
    <t>file://conllu/ru/doyle_bask.14.conllu#s39_0</t>
  </si>
  <si>
    <t>40</t>
  </si>
  <si>
    <t>слышать</t>
  </si>
  <si>
    <t>Как бы вас не услышали .</t>
  </si>
  <si>
    <t>file://conllu/ru/doyle_bask.14.conllu#s40_0</t>
  </si>
  <si>
    <t>41</t>
  </si>
  <si>
    <t>подкрасться</t>
  </si>
  <si>
    <t>Я подкрался на цыпочках к низкой каменной ограде , окружающей чахлый садик Стэплтонов , и , пробираясь в ее тени , дошел до того места , откуда можно было заглянуть в незанавешенное окно .</t>
  </si>
  <si>
    <t>file://conllu/ru/doyle_bask.14.conllu#s41_0</t>
  </si>
  <si>
    <t>42</t>
  </si>
  <si>
    <t>быть (быть комната)</t>
  </si>
  <si>
    <t>В комнате были двое мужчин — сэр Генри и Стэплтон .</t>
  </si>
  <si>
    <t>file://conllu/ru/doyle_bask.14.conllu#s42_0</t>
  </si>
  <si>
    <t>43</t>
  </si>
  <si>
    <t>сидеть</t>
  </si>
  <si>
    <t>Они сидели друг против друга за круглым столом , ко мне в профиль , и курили сигары .</t>
  </si>
  <si>
    <t>file://conllu/ru/doyle_bask.14.conllu#s43_0</t>
  </si>
  <si>
    <t>44</t>
  </si>
  <si>
    <t>стоять</t>
  </si>
  <si>
    <t>Перед ними стояли чашки с кофе и вино .</t>
  </si>
  <si>
    <t>file://conllu/ru/doyle_bask.14.conllu#s44_0</t>
  </si>
  <si>
    <t>45</t>
  </si>
  <si>
    <t>слушать (слушать говорить)</t>
  </si>
  <si>
    <t>Стэплтон оживленно говорил о чем-то , но баронет сидел бледный и слушал его невнимательно .</t>
  </si>
  <si>
    <t>file://conllu/ru/doyle_bask.14.conllu#s45_0</t>
  </si>
  <si>
    <t>46</t>
  </si>
  <si>
    <t>давать</t>
  </si>
  <si>
    <t>Ему , вероятно , не давала покоя мысль о скором возвращении домой по зловещим болотам .</t>
  </si>
  <si>
    <t>file://conllu/ru/doyle_bask.14.conllu#s46_0</t>
  </si>
  <si>
    <t>47</t>
  </si>
  <si>
    <t>встасть</t>
  </si>
  <si>
    <t>Но вот Стэплтон встал и вышел из комнаты , а сэр Генри подлил себе вина в стакан и откинулся на спинку стула , попыхивая сигарой .</t>
  </si>
  <si>
    <t>file://conllu/ru/doyle_bask.14.conllu#s47_0</t>
  </si>
  <si>
    <t>48</t>
  </si>
  <si>
    <t>Я услышал скрип двери , потом похрустывание гравия на тропинке .</t>
  </si>
  <si>
    <t>file://conllu/ru/doyle_bask.14.conllu#s48_0</t>
  </si>
  <si>
    <t>49</t>
  </si>
  <si>
    <t>приближаться</t>
  </si>
  <si>
    <t>Шаги приближались ко мне .</t>
  </si>
  <si>
    <t>file://conllu/ru/doyle_bask.14.conllu#s49_0</t>
  </si>
  <si>
    <t>50</t>
  </si>
  <si>
    <t>Выглянув из-за стены , я увидел , что натуралист остановился у небольшого сарая в углу сада .</t>
  </si>
  <si>
    <t>file://conllu/ru/doyle_bask.14.conllu#s50_0</t>
  </si>
  <si>
    <t>51</t>
  </si>
  <si>
    <t>Звякнуть</t>
  </si>
  <si>
    <t>Звякнул ключ в замке , и в сарае послышалась какая-то возня .</t>
  </si>
  <si>
    <t>file://conllu/ru/doyle_bask.14.conllu#s51_0</t>
  </si>
  <si>
    <t>52</t>
  </si>
  <si>
    <t>пробыть</t>
  </si>
  <si>
    <t>Стэплтон пробыл там не больше двух минут , снова звякнул ключом , прошел мимо меня и исчез в доме .</t>
  </si>
  <si>
    <t>file://conllu/ru/doyle_bask.14.conllu#s52_0</t>
  </si>
  <si>
    <t>53</t>
  </si>
  <si>
    <t>Я увидел , что он вернулся к своему гостю ; осторожно пробравшись к товарищам , я рассказал им все это .</t>
  </si>
  <si>
    <t>file://conllu/ru/doyle_bask.14.conllu#s53_0</t>
  </si>
  <si>
    <t>54</t>
  </si>
  <si>
    <t>спросить</t>
  </si>
  <si>
    <t>— Значит , женщина не с ними ? — спросил Холмс , когда я кончил .</t>
  </si>
  <si>
    <t>file://conllu/ru/doyle_bask.14.conllu#s54_0</t>
  </si>
  <si>
    <t>55</t>
  </si>
  <si>
    <t>нет</t>
  </si>
  <si>
    <t>— Нет .</t>
  </si>
  <si>
    <t>file://conllu/ru/doyle_bask.14.conllu#s55_0</t>
  </si>
  <si>
    <t>56</t>
  </si>
  <si>
    <t>где</t>
  </si>
  <si>
    <t>— Тогда где же она ?</t>
  </si>
  <si>
    <t>file://conllu/ru/doyle_bask.14.conllu#s56_0</t>
  </si>
  <si>
    <t>57</t>
  </si>
  <si>
    <t>темный</t>
  </si>
  <si>
    <t>Ведь , кроме кухни и столовой , все окна темные .</t>
  </si>
  <si>
    <t>file://conllu/ru/doyle_bask.14.conllu#s57_0</t>
  </si>
  <si>
    <t>58</t>
  </si>
  <si>
    <t>— Право , не знаю .</t>
  </si>
  <si>
    <t>file://conllu/ru/doyle_bask.14.conllu#s58_0</t>
  </si>
  <si>
    <t>59</t>
  </si>
  <si>
    <t>говорить</t>
  </si>
  <si>
    <t>Я уже говорил , что над Гримпенской трясиной стлался густой белый туман .</t>
  </si>
  <si>
    <t>file://conllu/ru/doyle_bask.14.conllu#s59_0</t>
  </si>
  <si>
    <t>60</t>
  </si>
  <si>
    <t>ползти</t>
  </si>
  <si>
    <t>Он медленно полз в нашу сторону , окружая нас и справа и слева низким , но плотным валом .</t>
  </si>
  <si>
    <t>file://conllu/ru/doyle_bask.14.conllu#s60_0</t>
  </si>
  <si>
    <t>61</t>
  </si>
  <si>
    <t>превращать</t>
  </si>
  <si>
    <t>Лившийся сверху лунный свет превращал его в мерцающее ледяное поле , над которым , словно черные пики , вздымались верхушки отдаленных гранитных столбов .</t>
  </si>
  <si>
    <t>file://conllu/ru/doyle_bask.14.conllu#s61_0</t>
  </si>
  <si>
    <t>62</t>
  </si>
  <si>
    <t>повернуться</t>
  </si>
  <si>
    <t>Холмс повернулся в ту сторону и , глядя на эту медленно подползающую белую стену , нетерпеливо пробормотал : — Смотрите , Уотсон , туман движется прямо на нас .</t>
  </si>
  <si>
    <t>file://conllu/ru/doyle_bask.14.conllu#s62_0</t>
  </si>
  <si>
    <t>63</t>
  </si>
  <si>
    <t>нехороший</t>
  </si>
  <si>
    <t>— А это нехорошо ?</t>
  </si>
  <si>
    <t>file://conllu/ru/doyle_bask.14.conllu#s63_0</t>
  </si>
  <si>
    <t>64</t>
  </si>
  <si>
    <t>некуда</t>
  </si>
  <si>
    <t>— Хуже некуда !</t>
  </si>
  <si>
    <t>file://conllu/ru/doyle_bask.14.conllu#s64_0</t>
  </si>
  <si>
    <t>65</t>
  </si>
  <si>
    <t>туман</t>
  </si>
  <si>
    <t>Туман — единственное , что может нарушить мои планы .</t>
  </si>
  <si>
    <t>file://conllu/ru/doyle_bask.14.conllu#s65_0</t>
  </si>
  <si>
    <t>66</t>
  </si>
  <si>
    <t>задержиться</t>
  </si>
  <si>
    <t>Но сэр Генри там не задержится .</t>
  </si>
  <si>
    <t>file://conllu/ru/doyle_bask.14.conllu#s66_0</t>
  </si>
  <si>
    <t>67</t>
  </si>
  <si>
    <t>час</t>
  </si>
  <si>
    <t>Уже десять часов .</t>
  </si>
  <si>
    <t>file://conllu/ru/doyle_bask.14.conllu#s67_0</t>
  </si>
  <si>
    <t>68</t>
  </si>
  <si>
    <t>зависеть</t>
  </si>
  <si>
    <t>Теперь все — и наш успех и даже его жизнь — зависит от того , выйдет ли он прежде , чем туман доползет до тропинки , или нет .</t>
  </si>
  <si>
    <t>file://conllu/ru/doyle_bask.14.conllu#s68_0</t>
  </si>
  <si>
    <t>69</t>
  </si>
  <si>
    <t>быть (быть чистый)</t>
  </si>
  <si>
    <t>Ночное небо было чистое , без единого облачка .</t>
  </si>
  <si>
    <t>file://conllu/ru/doyle_bask.14.conllu#s69_0</t>
  </si>
  <si>
    <t>70</t>
  </si>
  <si>
    <t>поблескивать</t>
  </si>
  <si>
    <t>Звезды холодно поблескивали в вышине , луна заливала болота мягким неверным светом .</t>
  </si>
  <si>
    <t>file://conllu/ru/doyle_bask.14.conllu#s70_0</t>
  </si>
  <si>
    <t>71</t>
  </si>
  <si>
    <t>чернеть</t>
  </si>
  <si>
    <t>Прямо перед нами смутно чернели очертания дома с остроконечной крышей , словно ощетинившейся трубами , которые четко выступали на звездном небе .</t>
  </si>
  <si>
    <t>file://conllu/ru/doyle_bask.14.conllu#s71_0</t>
  </si>
  <si>
    <t>72</t>
  </si>
  <si>
    <t>падать</t>
  </si>
  <si>
    <t>Широкие золотые полосы падали из окон нижнего этажа в сад и дальше , на болота .</t>
  </si>
  <si>
    <t>file://conllu/ru/doyle_bask.14.conllu#s72_0</t>
  </si>
  <si>
    <t>73</t>
  </si>
  <si>
    <t>погаснуть</t>
  </si>
  <si>
    <t>Одна из них вдруг погасла .</t>
  </si>
  <si>
    <t>file://conllu/ru/doyle_bask.14.conllu#s73_0</t>
  </si>
  <si>
    <t>74</t>
  </si>
  <si>
    <t>выйти</t>
  </si>
  <si>
    <t>Слуги вышли из кухни .</t>
  </si>
  <si>
    <t>file://conllu/ru/doyle_bask.14.conllu#s74_0</t>
  </si>
  <si>
    <t>75</t>
  </si>
  <si>
    <t>Теперь лампа горела только в столовой , где те двое — убийца хозяин и ничего не подозревающий гость — покуривали сигары и продолжали свой разговор .</t>
  </si>
  <si>
    <t>file://conllu/ru/doyle_bask.14.conllu#s75_0</t>
  </si>
  <si>
    <t>76</t>
  </si>
  <si>
    <t>пелен</t>
  </si>
  <si>
    <t>Белая волокнистая пелена , затянувшая почти все болото , с каждой минутой приближалась к дому .</t>
  </si>
  <si>
    <t>file://conllu/ru/doyle_bask.14.conllu#s76_0</t>
  </si>
  <si>
    <t>77</t>
  </si>
  <si>
    <t>завиваться</t>
  </si>
  <si>
    <t>Первые прозрачные клочья уже завивались у золотистого квадрата освещенного окна .</t>
  </si>
  <si>
    <t>file://conllu/ru/doyle_bask.14.conllu#s77_0</t>
  </si>
  <si>
    <t>78</t>
  </si>
  <si>
    <t>исчезнуть</t>
  </si>
  <si>
    <t>Дальняя стена сада совсем исчезла в этой клубящейся мгле , над которой виднелись только верхушки деревьев .</t>
  </si>
  <si>
    <t>file://conllu/ru/doyle_bask.14.conllu#s78_0</t>
  </si>
  <si>
    <t>79</t>
  </si>
  <si>
    <t>казаться</t>
  </si>
  <si>
    <t>Вот белесые кольца показались с обеих сторон дома и медленно слились в плотный вал , и верхний этаж с крышей всплыл над ним , точно волшебный корабль на волнах призрачного моря .</t>
  </si>
  <si>
    <t>file://conllu/ru/doyle_bask.14.conllu#s79_0</t>
  </si>
  <si>
    <t>80</t>
  </si>
  <si>
    <t>ударить</t>
  </si>
  <si>
    <t>Холмс яростно ударил кулаком о камень , за которым мы стояли , и вне себя от нетерпения топнул ногой .</t>
  </si>
  <si>
    <t>file://conllu/ru/doyle_bask.14.conllu#s80_0</t>
  </si>
  <si>
    <t>81</t>
  </si>
  <si>
    <t>затянуть</t>
  </si>
  <si>
    <t>— Если он не появится через четверть часа , тропинку затянет туманом , а через пол часа мы уже не сможем разглядеть собственную руку в этой тьме .</t>
  </si>
  <si>
    <t>file://conllu/ru/doyle_bask.14.conllu#s81_0</t>
  </si>
  <si>
    <t>82</t>
  </si>
  <si>
    <t>Отойти</t>
  </si>
  <si>
    <t>— Отойдем немного назад , там выше .</t>
  </si>
  <si>
    <t>file://conllu/ru/doyle_bask.14.conllu#s82_0</t>
  </si>
  <si>
    <t>83</t>
  </si>
  <si>
    <t>делать</t>
  </si>
  <si>
    <t>— Да , пожалуй , так и сделаем .</t>
  </si>
  <si>
    <t>file://conllu/ru/doyle_bask.14.conllu#s83_0</t>
  </si>
  <si>
    <t>84</t>
  </si>
  <si>
    <t>отступать</t>
  </si>
  <si>
    <t>По мере того как туман надвигался на нас , мы отступали все дальше и дальше , пока не очутились в полумиле от дома .</t>
  </si>
  <si>
    <t>file://conllu/ru/doyle_bask.14.conllu#s84_0</t>
  </si>
  <si>
    <t>85</t>
  </si>
  <si>
    <t>подбирать</t>
  </si>
  <si>
    <t>Но сплошное белесое море , посеребренное сверху луной , подбиралось и туда , продолжая свое медленное , неуклонное наступление .</t>
  </si>
  <si>
    <t>file://conllu/ru/doyle_bask.14.conllu#s85_0</t>
  </si>
  <si>
    <t>86</t>
  </si>
  <si>
    <t>зайти</t>
  </si>
  <si>
    <t>— Мы слишком далеко зашли , — сказал Холмс .</t>
  </si>
  <si>
    <t>file://conllu/ru/doyle_bask.14.conllu#s86_0</t>
  </si>
  <si>
    <t>87</t>
  </si>
  <si>
    <t>рискованный</t>
  </si>
  <si>
    <t>— Это уже рискованно : его могут настигнуть прежде , чем он дойдет до нас .</t>
  </si>
  <si>
    <t>file://conllu/ru/doyle_bask.14.conllu#s87_0</t>
  </si>
  <si>
    <t>88</t>
  </si>
  <si>
    <t>остаться</t>
  </si>
  <si>
    <t>Ну , будь что будет , останемся здесь .</t>
  </si>
  <si>
    <t>file://conllu/ru/doyle_bask.14.conllu#s88_0</t>
  </si>
  <si>
    <t>89</t>
  </si>
  <si>
    <t>опуститься</t>
  </si>
  <si>
    <t>Он опустился на колени и приложил ухо к земле .</t>
  </si>
  <si>
    <t>file://conllu/ru/doyle_bask.14.conllu#s89_0</t>
  </si>
  <si>
    <t>90</t>
  </si>
  <si>
    <t>слава</t>
  </si>
  <si>
    <t>— Слава богу !</t>
  </si>
  <si>
    <t>file://conllu/ru/doyle_bask.14.conllu#s90_0</t>
  </si>
  <si>
    <t>91</t>
  </si>
  <si>
    <t>идти</t>
  </si>
  <si>
    <t>Кажется , идет !</t>
  </si>
  <si>
    <t>file://conllu/ru/doyle_bask.14.conllu#s91_0</t>
  </si>
  <si>
    <t>92</t>
  </si>
  <si>
    <t>слышаться</t>
  </si>
  <si>
    <t>В тишине болот послышались быстрые шаги .</t>
  </si>
  <si>
    <t>file://conllu/ru/doyle_bask.14.conllu#s92_0</t>
  </si>
  <si>
    <t>93</t>
  </si>
  <si>
    <t>всматриваться</t>
  </si>
  <si>
    <t>Пригнувшись за валунами , мы напряженно всматривались в подступавшую к нам мутно -серебристую стену .</t>
  </si>
  <si>
    <t>file://conllu/ru/doyle_bask.14.conllu#s93_0</t>
  </si>
  <si>
    <t>94</t>
  </si>
  <si>
    <t>Шаги все приближались , и вот из тумана , словно распахнув перед собой занавес , выступил тот , кого мы поджидали .</t>
  </si>
  <si>
    <t>file://conllu/ru/doyle_bask.14.conllu#s94_0</t>
  </si>
  <si>
    <t>95</t>
  </si>
  <si>
    <t>осмотреться</t>
  </si>
  <si>
    <t>Увидя над собой чистое звездное небо , он с удивлением осмотрелся по сторонам .</t>
  </si>
  <si>
    <t>file://conllu/ru/doyle_bask.14.conllu#s95_0</t>
  </si>
  <si>
    <t>96</t>
  </si>
  <si>
    <t>Потом быстро зашагал по тропинке , прошел мимо нас и стал подниматься вверх по отлогому склону , начинавшемуся сразу за валунами .</t>
  </si>
  <si>
    <t>file://conllu/ru/doyle_bask.14.conllu#s96_0</t>
  </si>
  <si>
    <t>97</t>
  </si>
  <si>
    <t>оглядываться</t>
  </si>
  <si>
    <t>На ходу он то и дело оглядывался через плечо , видимо остерегаясь чего-то .</t>
  </si>
  <si>
    <t>file://conllu/ru/doyle_bask.14.conllu#s97_0</t>
  </si>
  <si>
    <t>98</t>
  </si>
  <si>
    <t>Тсс</t>
  </si>
  <si>
    <t>— Тсс ! — шепнул Холмс и щелкнул курком , — Смотрите !</t>
  </si>
  <si>
    <t>file://conllu/ru/doyle_bask.14.conllu#s98_0</t>
  </si>
  <si>
    <t>99</t>
  </si>
  <si>
    <t>вот</t>
  </si>
  <si>
    <t>Вот она !</t>
  </si>
  <si>
    <t>file://conllu/ru/doyle_bask.14.conllu#s99_0</t>
  </si>
  <si>
    <t>100</t>
  </si>
  <si>
    <t>В самой гуще подползающего к нам тумана послышался мерный , дробный топот .</t>
  </si>
  <si>
    <t>file://conllu/ru/doyle_bask.14.conllu#s100_0</t>
  </si>
  <si>
    <t>101</t>
  </si>
  <si>
    <t>быть (быть ярд)</t>
  </si>
  <si>
    <t>Белая стена была от нас уже ярдах в пятидесяти , и мы трое вперили в нее взгляд , не зная , какое чудовище появится оттуда .</t>
  </si>
  <si>
    <t>file://conllu/ru/doyle_bask.14.conllu#s101_0</t>
  </si>
  <si>
    <t>102</t>
  </si>
  <si>
    <t>взглянуть</t>
  </si>
  <si>
    <t>Стоя рядом с Холмсом , я мельком взглянул ему в лицо — бледное , взволнованное , с горящими при лунном свете глазами .</t>
  </si>
  <si>
    <t>file://conllu/ru/doyle_bask.14.conllu#s102_0</t>
  </si>
  <si>
    <t>103</t>
  </si>
  <si>
    <t>преобразить</t>
  </si>
  <si>
    <t>И вдруг оно преобразилось : взгляд стал сосредоточен и суров , рот приоткрылся от изумления .</t>
  </si>
  <si>
    <t>file://conllu/ru/doyle_bask.14.conllu#s103_0</t>
  </si>
  <si>
    <t>104</t>
  </si>
  <si>
    <t>вскрикнуть</t>
  </si>
  <si>
    <t>В ту же секунду Лестрейд вскрикнул от ужаса и упал ничком на землю .</t>
  </si>
  <si>
    <t>file://conllu/ru/doyle_bask.14.conllu#s104_0</t>
  </si>
  <si>
    <t>105</t>
  </si>
  <si>
    <t>выпрямиться</t>
  </si>
  <si>
    <t>Я выпрямился и , почти парализованный тем зрелищем , которое явилось моим глазам , потянулся ослабевшей рукой к револьверу .</t>
  </si>
  <si>
    <t>file://conllu/ru/doyle_bask.14.conllu#s105_0</t>
  </si>
  <si>
    <t>106</t>
  </si>
  <si>
    <t>да</t>
  </si>
  <si>
    <t>Да !</t>
  </si>
  <si>
    <t>file://conllu/ru/doyle_bask.14.conllu#s106_0</t>
  </si>
  <si>
    <t>107</t>
  </si>
  <si>
    <t>быть (быть собака)</t>
  </si>
  <si>
    <t>Это была собака , огромная , черная как смоль .</t>
  </si>
  <si>
    <t>file://conllu/ru/doyle_bask.14.conllu#s107_0</t>
  </si>
  <si>
    <t>108</t>
  </si>
  <si>
    <t>видывать</t>
  </si>
  <si>
    <t>Но такой собаки еще никто из нас , смертных , не видывал .</t>
  </si>
  <si>
    <t>file://conllu/ru/doyle_bask.14.conllu#s108_0</t>
  </si>
  <si>
    <t>109</t>
  </si>
  <si>
    <t>вырываться</t>
  </si>
  <si>
    <t>Из ее отверстой пасти вырывалось пламя , глаза метали искры , по морде и загривку переливался мерцающий огонь .</t>
  </si>
  <si>
    <t>file://conllu/ru/doyle_bask.14.conllu#s109_0</t>
  </si>
  <si>
    <t>110</t>
  </si>
  <si>
    <t>мочь</t>
  </si>
  <si>
    <t>Ни в чьем воспаленном мозгу не могло бы возникнуть видение более страшное , более омерзительное , чем это адское существо , выскочившее на нас из тумана .</t>
  </si>
  <si>
    <t>file://conllu/ru/doyle_bask.14.conllu#s110_0</t>
  </si>
  <si>
    <t>111</t>
  </si>
  <si>
    <t>несться</t>
  </si>
  <si>
    <t>Чудовище неслось по тропинке огромными прыжками , принюхиваясь к следам нашего друга .</t>
  </si>
  <si>
    <t>file://conllu/ru/doyle_bask.14.conllu#s111_0</t>
  </si>
  <si>
    <t>112</t>
  </si>
  <si>
    <t>опомниться</t>
  </si>
  <si>
    <t>Мы опомнились лишь после того , как оно промчалось мимо .</t>
  </si>
  <si>
    <t>file://conllu/ru/doyle_bask.14.conllu#s112_0</t>
  </si>
  <si>
    <t>113</t>
  </si>
  <si>
    <t>выстрелять</t>
  </si>
  <si>
    <t>Тогда и я и Холмс выстрелили одновременно , и раздавшийся вслед за этим оглушительный рев убедил нас , что по меньшей мере одна из пуль попала в цель .</t>
  </si>
  <si>
    <t>file://conllu/ru/doyle_bask.14.conllu#s113_0</t>
  </si>
  <si>
    <t>114</t>
  </si>
  <si>
    <t>остановиться</t>
  </si>
  <si>
    <t>Но собака не остановилась и продолжала мчаться вперед .</t>
  </si>
  <si>
    <t>file://conllu/ru/doyle_bask.14.conllu#s114_0</t>
  </si>
  <si>
    <t>115</t>
  </si>
  <si>
    <t>Мы видели , как сэр Генри оглянулся , мертвенно бледный при свете луны , поднял в ужасе руки и замер в этой беспомощной позе , не сводя глаз с чудовища , которое настигало его .</t>
  </si>
  <si>
    <t>file://conllu/ru/doyle_bask.14.conllu#s115_0</t>
  </si>
  <si>
    <t>116</t>
  </si>
  <si>
    <t>рассеять</t>
  </si>
  <si>
    <t>Но голос взвывшей от боли собаки рассеял все наши страхи .</t>
  </si>
  <si>
    <t>file://conllu/ru/doyle_bask.14.conllu#s116_0</t>
  </si>
  <si>
    <t>117</t>
  </si>
  <si>
    <t>Кто?</t>
  </si>
  <si>
    <t>уязвить</t>
  </si>
  <si>
    <t>Кто уязвим , тот и смертен , и если она ранена , значит , ее можно и убить .</t>
  </si>
  <si>
    <t>file://conllu/ru/doyle_bask.14.conllu#s117_0</t>
  </si>
  <si>
    <t>118</t>
  </si>
  <si>
    <t>бежать</t>
  </si>
  <si>
    <t>Боже , как бежал в ту ночь Холмс !</t>
  </si>
  <si>
    <t>file://conllu/ru/doyle_bask.14.conllu#s118_0</t>
  </si>
  <si>
    <t>119</t>
  </si>
  <si>
    <t>считать</t>
  </si>
  <si>
    <t>Я всегда считался хорошим бегуном , но он опередил меня на такое же расстояние , на какое я сам опередил маленького сыщика .</t>
  </si>
  <si>
    <t>file://conllu/ru/doyle_bask.14.conllu#s119_0</t>
  </si>
  <si>
    <t>120</t>
  </si>
  <si>
    <t>нестись</t>
  </si>
  <si>
    <t>Мы неслись по тропинке и слышали непрекращающиеся крики сэра Генри и глухой рев собаки .</t>
  </si>
  <si>
    <t>file://conllu/ru/doyle_bask.14.conllu#s120_0</t>
  </si>
  <si>
    <t>121</t>
  </si>
  <si>
    <t>подоспеть</t>
  </si>
  <si>
    <t>Я подоспел в ту минуту , когда она кинулась на свою жертву , повалила ее на землю и уже примеривалась схватить за горло .</t>
  </si>
  <si>
    <t>file://conllu/ru/doyle_bask.14.conllu#s121_0</t>
  </si>
  <si>
    <t>122</t>
  </si>
  <si>
    <t>всадить</t>
  </si>
  <si>
    <t>Но Холмс всадил ей в бок одну за другой пять пуль .</t>
  </si>
  <si>
    <t>file://conllu/ru/doyle_bask.14.conllu#s122_0</t>
  </si>
  <si>
    <t>123</t>
  </si>
  <si>
    <t>взвыть</t>
  </si>
  <si>
    <t>Собака взвыла в последний раз , яростно щелкнула зубами , повалилась на спину и , судорожно дернув всеми четырьмя лапами , замерла .</t>
  </si>
  <si>
    <t>file://conllu/ru/doyle_bask.14.conllu#s123_0</t>
  </si>
  <si>
    <t>124</t>
  </si>
  <si>
    <t>нагнуться</t>
  </si>
  <si>
    <t>Я нагнулся над ней , задыхаясь от бега , и приставил дуло револьвера к этой страшной светящейся морде , но выстрелить мне не пришлось — исполинская собака была мертва .</t>
  </si>
  <si>
    <t>file://conllu/ru/doyle_bask.14.conllu#s124_0</t>
  </si>
  <si>
    <t>125</t>
  </si>
  <si>
    <t>лежать</t>
  </si>
  <si>
    <t>Сэр Генри лежал без сознания там , где она настигла его .</t>
  </si>
  <si>
    <t>file://conllu/ru/doyle_bask.14.conllu#s125_0</t>
  </si>
  <si>
    <t>126</t>
  </si>
  <si>
    <t>срыть</t>
  </si>
  <si>
    <t>Мы сорвали с него воротничок , и Холмс возблагодарил судьбу , убедившись , что он не ранен и что наша помощь подоспела вовремя .</t>
  </si>
  <si>
    <t>file://conllu/ru/doyle_bask.14.conllu#s126_0</t>
  </si>
  <si>
    <t>127</t>
  </si>
  <si>
    <t>дрогнуть</t>
  </si>
  <si>
    <t>А потом веки у сэра Генри дрогнули и он слабо шевельнулся .</t>
  </si>
  <si>
    <t>file://conllu/ru/doyle_bask.14.conllu#s127_0</t>
  </si>
  <si>
    <t>128</t>
  </si>
  <si>
    <t>просунуть</t>
  </si>
  <si>
    <t>Лестрейд просунул ему между зубами горлышко фляги с бренди , и через секунду на нас глянули два испуганных глаза .</t>
  </si>
  <si>
    <t>file://conllu/ru/doyle_bask.14.conllu#s128_0</t>
  </si>
  <si>
    <t>129</t>
  </si>
  <si>
    <t>шептать</t>
  </si>
  <si>
    <t>— Боже мой ! — прошептал баронет .</t>
  </si>
  <si>
    <t>file://conllu/ru/doyle_bask.14.conllu#s129_0</t>
  </si>
  <si>
    <t>130</t>
  </si>
  <si>
    <t>быть</t>
  </si>
  <si>
    <t>— Что это было ?</t>
  </si>
  <si>
    <t>file://conllu/ru/doyle_bask.14.conllu#s130_0</t>
  </si>
  <si>
    <t>131</t>
  </si>
  <si>
    <t>Что это , чёрт возьми , было ?</t>
  </si>
  <si>
    <t>file://conllu/ru/doyle_bask.14.conllu#s131_0</t>
  </si>
  <si>
    <t>132</t>
  </si>
  <si>
    <t>— Чем бы оно ни было , оно мертво , — сказал Холмс .</t>
  </si>
  <si>
    <t>file://conllu/ru/doyle_bask.14.conllu#s132_0</t>
  </si>
  <si>
    <t>133</t>
  </si>
  <si>
    <t>покончить</t>
  </si>
  <si>
    <t>— С привидением , которое преследовало ваш род , покончено навсегда .</t>
  </si>
  <si>
    <t>file://conllu/ru/doyle_bask.14.conllu#s133_0</t>
  </si>
  <si>
    <t>134</t>
  </si>
  <si>
    <t>Чудовище , лежавшее перед нами , поистине могло кого угодно испугать своими размерами и мощью .</t>
  </si>
  <si>
    <t>file://conllu/ru/doyle_bask.14.conllu#s134_0</t>
  </si>
  <si>
    <t>135</t>
  </si>
  <si>
    <t>быть (быть ищейка)</t>
  </si>
  <si>
    <t>Это была не чистокровная ищейка и не чистокровный мастиф , а , видимо , помесь — поджарый , страшный пес величиной с молодую львицу .</t>
  </si>
  <si>
    <t>file://conllu/ru/doyle_bask.14.conllu#s135_0</t>
  </si>
  <si>
    <t>136</t>
  </si>
  <si>
    <t>светиться</t>
  </si>
  <si>
    <t>Даже сейчас , несмотря на неподвижность смерти , его огромная пасть все еще светилась голубоватым пламенем , глубоко сидящие дикие глаза были обведены огненными кругами .</t>
  </si>
  <si>
    <t>file://conllu/ru/doyle_bask.14.conllu#s136_0</t>
  </si>
  <si>
    <t>137</t>
  </si>
  <si>
    <t>дотронуться</t>
  </si>
  <si>
    <t>Я дотронулся до этой светящейся головы и , отняв руку , увидел , что мои пальцы тоже засветились в темноте .</t>
  </si>
  <si>
    <t>file://conllu/ru/doyle_bask.14.conllu#s137_0</t>
  </si>
  <si>
    <t>138</t>
  </si>
  <si>
    <t>фосфор</t>
  </si>
  <si>
    <t>— Фосфор , — сказал я .</t>
  </si>
  <si>
    <t>file://conllu/ru/doyle_bask.14.conllu#s138_0</t>
  </si>
  <si>
    <t>139</t>
  </si>
  <si>
    <t>препарат</t>
  </si>
  <si>
    <t>— Да , и какой-то особый препарат , — подтвердил Холмс , потянув носом .</t>
  </si>
  <si>
    <t>file://conllu/ru/doyle_bask.14.conllu#s139_0</t>
  </si>
  <si>
    <t>140</t>
  </si>
  <si>
    <t>запах</t>
  </si>
  <si>
    <t>— Без запаха , чтобы у собаки не исчезло чутье .</t>
  </si>
  <si>
    <t>file://conllu/ru/doyle_bask.14.conllu#s140_0</t>
  </si>
  <si>
    <t>141</t>
  </si>
  <si>
    <t>простить</t>
  </si>
  <si>
    <t>Простите нас , сэр Генри , что мы подвергли вас такому страшному испытанию .</t>
  </si>
  <si>
    <t>file://conllu/ru/doyle_bask.14.conllu#s141_0</t>
  </si>
  <si>
    <t>142</t>
  </si>
  <si>
    <t>готовиться</t>
  </si>
  <si>
    <t>Я готовился увидеть собаку , но никак не ожидал , что это будет такое чудовище .</t>
  </si>
  <si>
    <t>file://conllu/ru/doyle_bask.14.conllu#s142_0</t>
  </si>
  <si>
    <t>143</t>
  </si>
  <si>
    <t>мешать</t>
  </si>
  <si>
    <t>К тому же нам помешал туман , и мы не смогли оказать псу достойную встречу .</t>
  </si>
  <si>
    <t>file://conllu/ru/doyle_bask.14.conllu#s143_0</t>
  </si>
  <si>
    <t>144</t>
  </si>
  <si>
    <t>спасти</t>
  </si>
  <si>
    <t>— Вы спасли мне жизнь .</t>
  </si>
  <si>
    <t>file://conllu/ru/doyle_bask.14.conllu#s144_0</t>
  </si>
  <si>
    <t>145</t>
  </si>
  <si>
    <t>подвергнуть</t>
  </si>
  <si>
    <t>— Подвергнув ее сначала опасности . . .</t>
  </si>
  <si>
    <t>file://conllu/ru/doyle_bask.14.conllu#s145_0</t>
  </si>
  <si>
    <t>146</t>
  </si>
  <si>
    <t>Ну как , можете встать ?</t>
  </si>
  <si>
    <t>file://conllu/ru/doyle_bask.14.conllu#s146_0</t>
  </si>
  <si>
    <t>147</t>
  </si>
  <si>
    <t>дать</t>
  </si>
  <si>
    <t>— Дайте мне еще один глоток этого бренди , и тогда все будет в порядке .</t>
  </si>
  <si>
    <t>file://conllu/ru/doyle_bask.14.conllu#s147_0</t>
  </si>
  <si>
    <t>148</t>
  </si>
  <si>
    <t>Ну вот !</t>
  </si>
  <si>
    <t>file://conllu/ru/doyle_bask.14.conllu#s148_0</t>
  </si>
  <si>
    <t>149</t>
  </si>
  <si>
    <t>встать</t>
  </si>
  <si>
    <t>Теперь с вашей помощью я встану .</t>
  </si>
  <si>
    <t>file://conllu/ru/doyle_bask.14.conllu#s149_0</t>
  </si>
  <si>
    <t>150</t>
  </si>
  <si>
    <t>намерен</t>
  </si>
  <si>
    <t>А что вы намерены делать дальше ?</t>
  </si>
  <si>
    <t>file://conllu/ru/doyle_bask.14.conllu#s150_0</t>
  </si>
  <si>
    <t>151</t>
  </si>
  <si>
    <t>Пока?</t>
  </si>
  <si>
    <t>оставить</t>
  </si>
  <si>
    <t>— Пока оставим вас здесь — вы уже достаточно натерпелись за сегодняшнюю ночь , — а потом кто-нибудь из нас вернется с вами домой .</t>
  </si>
  <si>
    <t>file://conllu/ru/doyle_bask.14.conllu#s151_0</t>
  </si>
  <si>
    <t>152</t>
  </si>
  <si>
    <t>пробовать</t>
  </si>
  <si>
    <t>Баронет попробовал подняться , но не смог .</t>
  </si>
  <si>
    <t>file://conllu/ru/doyle_bask.14.conllu#s152_0</t>
  </si>
  <si>
    <t>153</t>
  </si>
  <si>
    <t>быть (быть бледный)</t>
  </si>
  <si>
    <t>Он был бледен как полотно и дрожал всем телом .</t>
  </si>
  <si>
    <t>file://conllu/ru/doyle_bask.14.conllu#s153_0</t>
  </si>
  <si>
    <t>154</t>
  </si>
  <si>
    <t>подвести</t>
  </si>
  <si>
    <t>Мы подвели его к валуну .</t>
  </si>
  <si>
    <t>file://conllu/ru/doyle_bask.14.conllu#s154_0</t>
  </si>
  <si>
    <t>155</t>
  </si>
  <si>
    <t>сесть</t>
  </si>
  <si>
    <t>Он сел там , дрожа всем телом , и закрыл лицо руками .</t>
  </si>
  <si>
    <t>file://conllu/ru/doyle_bask.14.conllu#s155_0</t>
  </si>
  <si>
    <t>156</t>
  </si>
  <si>
    <t>прийтись</t>
  </si>
  <si>
    <t>— А теперь нам придется уйти , — сказал Холмс .</t>
  </si>
  <si>
    <t>file://conllu/ru/doyle_bask.14.conllu#s156_0</t>
  </si>
  <si>
    <t>157</t>
  </si>
  <si>
    <t>— Надо кончить начатое дело .</t>
  </si>
  <si>
    <t>file://conllu/ru/doyle_bask.14.conllu#s157_0</t>
  </si>
  <si>
    <t>158</t>
  </si>
  <si>
    <t>минута</t>
  </si>
  <si>
    <t>Дорога каждая минута .</t>
  </si>
  <si>
    <t>file://conllu/ru/doyle_bask.14.conllu#s158_0</t>
  </si>
  <si>
    <t>159</t>
  </si>
  <si>
    <t>налицо</t>
  </si>
  <si>
    <t>Состав преступления теперь налицо , остается только схватить преступника . . .</t>
  </si>
  <si>
    <t>file://conllu/ru/doyle_bask.14.conllu#s159_0</t>
  </si>
  <si>
    <t>160</t>
  </si>
  <si>
    <t>Дердить</t>
  </si>
  <si>
    <t>Держу пари , в доме его уже не окажется , — продолжал Холмс , быстро шагая рядом с нами по тропинке .</t>
  </si>
  <si>
    <t>file://conllu/ru/doyle_bask.14.conllu#s160_0</t>
  </si>
  <si>
    <t>161</t>
  </si>
  <si>
    <t>— Он не мог не слышать выстрелов и понял , что игра проиграна .</t>
  </si>
  <si>
    <t>file://conllu/ru/doyle_bask.14.conllu#s161_0</t>
  </si>
  <si>
    <t>162</t>
  </si>
  <si>
    <t>— Ну что вы !</t>
  </si>
  <si>
    <t>file://conllu/ru/doyle_bask.14.conllu#s162_0</t>
  </si>
  <si>
    <t>163</t>
  </si>
  <si>
    <t>быть (быть далеко)</t>
  </si>
  <si>
    <t>Это было далеко от дома , к тому же туман приглушает звуки .</t>
  </si>
  <si>
    <t>file://conllu/ru/doyle_bask.14.conllu#s163_0</t>
  </si>
  <si>
    <t>164</t>
  </si>
  <si>
    <t>— Можете не сомневаться , что он кинулся следом за собакой , ведь ее надо было оттащить от тела .</t>
  </si>
  <si>
    <t>file://conllu/ru/doyle_bask.14.conllu#s164_0</t>
  </si>
  <si>
    <t>165</t>
  </si>
  <si>
    <t>застануть</t>
  </si>
  <si>
    <t>Нет , мы его уже не застанем !</t>
  </si>
  <si>
    <t>file://conllu/ru/doyle_bask.14.conllu#s165_0</t>
  </si>
  <si>
    <t>166</t>
  </si>
  <si>
    <t>Но на всякий случай надо обшарить все уголки .</t>
  </si>
  <si>
    <t>file://conllu/ru/doyle_bask.14.conllu#s166_0</t>
  </si>
  <si>
    <t>167</t>
  </si>
  <si>
    <t>открыть</t>
  </si>
  <si>
    <t>Входная дверь была открыта настежь , и , вбежав в дом , мы быстро осмотрели комнату за комнатой , к удивлению дряхлого слуги , встретившего нас в коридоре .</t>
  </si>
  <si>
    <t>file://conllu/ru/doyle_bask.14.conllu#s167_0</t>
  </si>
  <si>
    <t>168</t>
  </si>
  <si>
    <t>Свет горел только в столовой , но Холмс взял оттуда лампу и обошел с ней все закоулки в доме .</t>
  </si>
  <si>
    <t>file://conllu/ru/doyle_bask.14.conllu#s168_0</t>
  </si>
  <si>
    <t>169</t>
  </si>
  <si>
    <t>Человек , которого мы искали , исчез бесследно .</t>
  </si>
  <si>
    <t>file://conllu/ru/doyle_bask.14.conllu#s169_0</t>
  </si>
  <si>
    <t>170</t>
  </si>
  <si>
    <t>Однако?</t>
  </si>
  <si>
    <t>оказаться</t>
  </si>
  <si>
    <t>Однако на втором этаже дверь одной из спален оказалась запертой .</t>
  </si>
  <si>
    <t>file://conllu/ru/doyle_bask.14.conllu#s170_0</t>
  </si>
  <si>
    <t>171</t>
  </si>
  <si>
    <t>— Там кто-то есть ! — крикнул Лестрейд .</t>
  </si>
  <si>
    <t>file://conllu/ru/doyle_bask.14.conllu#s171_0</t>
  </si>
  <si>
    <t>172</t>
  </si>
  <si>
    <t>— Я слышу , что кто-то шевелится .</t>
  </si>
  <si>
    <t>file://conllu/ru/doyle_bask.14.conllu#s172_0</t>
  </si>
  <si>
    <t>173</t>
  </si>
  <si>
    <t>Откройте эту дверь !</t>
  </si>
  <si>
    <t>file://conllu/ru/doyle_bask.14.conllu#s173_0</t>
  </si>
  <si>
    <t>174</t>
  </si>
  <si>
    <t>В комнате послышался слабый стон и шорох .</t>
  </si>
  <si>
    <t>file://conllu/ru/doyle_bask.14.conllu#s174_0</t>
  </si>
  <si>
    <t>175</t>
  </si>
  <si>
    <t>Холмс ударил ногой чуть повыше замка , и дверь распахнулась настежь .</t>
  </si>
  <si>
    <t>file://conllu/ru/doyle_bask.14.conllu#s175_0</t>
  </si>
  <si>
    <t>176</t>
  </si>
  <si>
    <t>врыться</t>
  </si>
  <si>
    <t>Держа револьверы наготове , мы ворвались туда .</t>
  </si>
  <si>
    <t>file://conllu/ru/doyle_bask.14.conllu#s176_0</t>
  </si>
  <si>
    <t>177</t>
  </si>
  <si>
    <t>Но дерзостного негодяя , за которым мы охотились , не оказалось и тут .</t>
  </si>
  <si>
    <t>file://conllu/ru/doyle_bask.14.conllu#s177_0</t>
  </si>
  <si>
    <t>178</t>
  </si>
  <si>
    <t>предстать</t>
  </si>
  <si>
    <t>Вместо него глазам нашим предстало нечто до такой степени странное и неожиданное , что мы замерли на месте .</t>
  </si>
  <si>
    <t>file://conllu/ru/doyle_bask.14.conllu#s178_0</t>
  </si>
  <si>
    <t>179</t>
  </si>
  <si>
    <t>представлять</t>
  </si>
  <si>
    <t>Эта комната представляла собой маленький музей .</t>
  </si>
  <si>
    <t>file://conllu/ru/doyle_bask.14.conllu#s179_0</t>
  </si>
  <si>
    <t>180</t>
  </si>
  <si>
    <t>заставить</t>
  </si>
  <si>
    <t>Ее стены были сплошь заставлены стеклянными ящиками , где хранилась коллекция мотыльков и бабочек — любимое детище этой сложной и преступной натуры .</t>
  </si>
  <si>
    <t>file://conllu/ru/doyle_bask.14.conllu#s180_0</t>
  </si>
  <si>
    <t>181</t>
  </si>
  <si>
    <t>поднимать</t>
  </si>
  <si>
    <t>Посередине поднималась толстая подпорка , подведенная под трухлявые балясины потолка .</t>
  </si>
  <si>
    <t>file://conllu/ru/doyle_bask.14.conllu#s181_0</t>
  </si>
  <si>
    <t>182</t>
  </si>
  <si>
    <t>И у этой подпорки стоял человек , привязанный к ней простынями , которые укутывали его с головы до ног , так что в первую минуту даже нельзя было разобрать , кто это — мужчина или женщина .</t>
  </si>
  <si>
    <t>file://conllu/ru/doyle_bask.14.conllu#s182_0</t>
  </si>
  <si>
    <t>183</t>
  </si>
  <si>
    <t>Одно полотнище шло вокруг горла , другое закрывало нижнюю часть лица , оставляя открытыми только глаза , которые с немым вопросом смотрели на нас , полные ужаса и стыда .</t>
  </si>
  <si>
    <t>file://conllu/ru/doyle_bask.14.conllu#s183_0</t>
  </si>
  <si>
    <t>184</t>
  </si>
  <si>
    <t>В мгновение ока мы сорвали эти путы , вынули кляп , и к нашим ногам упала не кто иная , как миссис Стэплтон .</t>
  </si>
  <si>
    <t>file://conllu/ru/doyle_bask.14.conllu#s184_0</t>
  </si>
  <si>
    <t>185</t>
  </si>
  <si>
    <t>Голова ее опустилась на грудь , и я увидел красный рубец у нее на шее от удара плетью .</t>
  </si>
  <si>
    <t>file://conllu/ru/doyle_bask.14.conllu#s185_0</t>
  </si>
  <si>
    <t>186</t>
  </si>
  <si>
    <t>Мерзавец</t>
  </si>
  <si>
    <t>— Мерзавец ! — крикнул Холмс .</t>
  </si>
  <si>
    <t>file://conllu/ru/doyle_bask.14.conllu#s186_0</t>
  </si>
  <si>
    <t>187</t>
  </si>
  <si>
    <t>Лестрейд</t>
  </si>
  <si>
    <t>— Лестрейд , где бренди ?</t>
  </si>
  <si>
    <t>file://conllu/ru/doyle_bask.14.conllu#s187_0</t>
  </si>
  <si>
    <t>188</t>
  </si>
  <si>
    <t>Посадить</t>
  </si>
  <si>
    <t>Посадите ее на стул .</t>
  </si>
  <si>
    <t>file://conllu/ru/doyle_bask.14.conllu#s188_0</t>
  </si>
  <si>
    <t>189</t>
  </si>
  <si>
    <t>довести</t>
  </si>
  <si>
    <t>Такие пытки кого угодно доведут до обморока !</t>
  </si>
  <si>
    <t>file://conllu/ru/doyle_bask.14.conllu#s189_0</t>
  </si>
  <si>
    <t>190</t>
  </si>
  <si>
    <t>Миссис Стэплтон открыла глаза .</t>
  </si>
  <si>
    <t>file://conllu/ru/doyle_bask.14.conllu#s190_0</t>
  </si>
  <si>
    <t>191</t>
  </si>
  <si>
    <t>спастись</t>
  </si>
  <si>
    <t>— Он спасся ? — спросила она .</t>
  </si>
  <si>
    <t>file://conllu/ru/doyle_bask.14.conllu#s191_0</t>
  </si>
  <si>
    <t>192</t>
  </si>
  <si>
    <t>убежать</t>
  </si>
  <si>
    <t>— Он убежал ?</t>
  </si>
  <si>
    <t>file://conllu/ru/doyle_bask.14.conllu#s192_0</t>
  </si>
  <si>
    <t>193</t>
  </si>
  <si>
    <t>— От нас он никуда не убежит , сударыня .</t>
  </si>
  <si>
    <t>file://conllu/ru/doyle_bask.14.conllu#s193_0</t>
  </si>
  <si>
    <t>194</t>
  </si>
  <si>
    <t>муж</t>
  </si>
  <si>
    <t>— Нет , нет , я не про мужа .</t>
  </si>
  <si>
    <t>file://conllu/ru/doyle_bask.14.conllu#s194_0</t>
  </si>
  <si>
    <t>195</t>
  </si>
  <si>
    <t>Сэр Генри . . . спасся ?</t>
  </si>
  <si>
    <t>file://conllu/ru/doyle_bask.14.conllu#s195_0</t>
  </si>
  <si>
    <t>196</t>
  </si>
  <si>
    <t>— Да .</t>
  </si>
  <si>
    <t>file://conllu/ru/doyle_bask.14.conllu#s196_0</t>
  </si>
  <si>
    <t>197</t>
  </si>
  <si>
    <t>собака</t>
  </si>
  <si>
    <t>— А собака ?</t>
  </si>
  <si>
    <t>file://conllu/ru/doyle_bask.14.conllu#s197_0</t>
  </si>
  <si>
    <t>198</t>
  </si>
  <si>
    <t>убит</t>
  </si>
  <si>
    <t>— Убита !</t>
  </si>
  <si>
    <t>file://conllu/ru/doyle_bask.14.conllu#s198_0</t>
  </si>
  <si>
    <t>199</t>
  </si>
  <si>
    <t>вырваться</t>
  </si>
  <si>
    <t>У нее вырвался долгий вздох облегчения : — Слава богу !</t>
  </si>
  <si>
    <t>file://conllu/ru/doyle_bask.14.conllu#s199_0</t>
  </si>
  <si>
    <t>200</t>
  </si>
  <si>
    <t>Слава богу !</t>
  </si>
  <si>
    <t>file://conllu/ru/doyle_bask.14.conllu#s200_0</t>
  </si>
  <si>
    <t>201</t>
  </si>
  <si>
    <t>Негодяй</t>
  </si>
  <si>
    <t>Негодяй !</t>
  </si>
  <si>
    <t>file://conllu/ru/doyle_bask.14.conllu#s201_0</t>
  </si>
  <si>
    <t>202</t>
  </si>
  <si>
    <t>смотреть</t>
  </si>
  <si>
    <t>Смотрите , что он со мной сделал !</t>
  </si>
  <si>
    <t>file://conllu/ru/doyle_bask.14.conllu#s202_0</t>
  </si>
  <si>
    <t>203</t>
  </si>
  <si>
    <t>засучить</t>
  </si>
  <si>
    <t>— Она засучила оба рукава , и мы увидели , что ее руки все в синяках .</t>
  </si>
  <si>
    <t>file://conllu/ru/doyle_bask.14.conllu#s203_0</t>
  </si>
  <si>
    <t>204</t>
  </si>
  <si>
    <t>ничто</t>
  </si>
  <si>
    <t>— Но это еще ничего . . . это ничего .</t>
  </si>
  <si>
    <t>file://conllu/ru/doyle_bask.14.conllu#s204_0</t>
  </si>
  <si>
    <t>205</t>
  </si>
  <si>
    <t>истерзать</t>
  </si>
  <si>
    <t>Он истерзал , он опоганил мою душу .</t>
  </si>
  <si>
    <t>file://conllu/ru/doyle_bask.14.conllu#s205_0</t>
  </si>
  <si>
    <t>206</t>
  </si>
  <si>
    <t>теплиться</t>
  </si>
  <si>
    <t>Пока у меня теплилась надежда , что этот человек любит меня , я все сносила , все : дурное обращение , одиночество , жизнь , полную обмана . . .</t>
  </si>
  <si>
    <t>file://conllu/ru/doyle_bask.14.conllu#s206_0</t>
  </si>
  <si>
    <t>207</t>
  </si>
  <si>
    <t>лгать</t>
  </si>
  <si>
    <t>Но он лгал мне , я была орудием в его руках !</t>
  </si>
  <si>
    <t>file://conllu/ru/doyle_bask.14.conllu#s207_0</t>
  </si>
  <si>
    <t>208</t>
  </si>
  <si>
    <t>выдержать</t>
  </si>
  <si>
    <t>— Она не выдержала и разрыдалась .</t>
  </si>
  <si>
    <t>file://conllu/ru/doyle_bask.14.conllu#s208_0</t>
  </si>
  <si>
    <t>209</t>
  </si>
  <si>
    <t>— Да , сударыня , у вас нет никаких оснований желать ему добра , — сказал Холмс .</t>
  </si>
  <si>
    <t>file://conllu/ru/doyle_bask.14.conllu#s209_0</t>
  </si>
  <si>
    <t>210</t>
  </si>
  <si>
    <t>— Так откройте же , где его искать .</t>
  </si>
  <si>
    <t>file://conllu/ru/doyle_bask.14.conllu#s210_0</t>
  </si>
  <si>
    <t>211</t>
  </si>
  <si>
    <t>воспользуться</t>
  </si>
  <si>
    <t>Если вы были его сообщницей , воспользуйтесь случаем загладить свою вину — помогите нам .</t>
  </si>
  <si>
    <t>file://conllu/ru/doyle_bask.14.conllu#s211_0</t>
  </si>
  <si>
    <t>212</t>
  </si>
  <si>
    <t>— Он может спрятаться только в одном месте , больше ему некуда деваться , — ответила она .</t>
  </si>
  <si>
    <t>file://conllu/ru/doyle_bask.14.conllu#s212_0</t>
  </si>
  <si>
    <t>213</t>
  </si>
  <si>
    <t>— В самом сердце трясины есть островок , на котором был когда-то рудник .</t>
  </si>
  <si>
    <t>file://conllu/ru/doyle_bask.14.conllu#s213_0</t>
  </si>
  <si>
    <t>214</t>
  </si>
  <si>
    <t>держать</t>
  </si>
  <si>
    <t>Там он и держал свою собаку , и там у него все приготовлено на тот случай , если придется бежать .</t>
  </si>
  <si>
    <t>file://conllu/ru/doyle_bask.14.conllu#s214_0</t>
  </si>
  <si>
    <t>215</t>
  </si>
  <si>
    <t>Вот куда он мог скрыться .</t>
  </si>
  <si>
    <t>file://conllu/ru/doyle_bask.14.conllu#s215_0</t>
  </si>
  <si>
    <t>216</t>
  </si>
  <si>
    <t>светить</t>
  </si>
  <si>
    <t>Холмс посветил в окно лампой .</t>
  </si>
  <si>
    <t>file://conllu/ru/doyle_bask.14.conllu#s216_0</t>
  </si>
  <si>
    <t>217</t>
  </si>
  <si>
    <t>Туман , словно белая вата , лип к стеклу .</t>
  </si>
  <si>
    <t>file://conllu/ru/doyle_bask.14.conllu#s217_0</t>
  </si>
  <si>
    <t>218</t>
  </si>
  <si>
    <t>сказать (сказать смотреть)</t>
  </si>
  <si>
    <t>— Смотрите , — сказал он .</t>
  </si>
  <si>
    <t>file://conllu/ru/doyle_bask.14.conllu#s218_0</t>
  </si>
  <si>
    <t>219</t>
  </si>
  <si>
    <t>— Сегодня ночью никто не сможет пробраться на Гримпенскую трясину .</t>
  </si>
  <si>
    <t>file://conllu/ru/doyle_bask.14.conllu#s219_0</t>
  </si>
  <si>
    <t>220</t>
  </si>
  <si>
    <t>рассмеяться</t>
  </si>
  <si>
    <t>Миссис Стэплтон рассмеялась и захлопала в ладоши .</t>
  </si>
  <si>
    <t>file://conllu/ru/doyle_bask.14.conllu#s220_0</t>
  </si>
  <si>
    <t>221</t>
  </si>
  <si>
    <t>сверкнуть</t>
  </si>
  <si>
    <t>Глаза ее сверкнули недобрым огнем .</t>
  </si>
  <si>
    <t>file://conllu/ru/doyle_bask.14.conllu#s221_0</t>
  </si>
  <si>
    <t>222</t>
  </si>
  <si>
    <t>найти</t>
  </si>
  <si>
    <t>— Туда-то он найдет дорогу , а обратно не выберется ! — воскликнула она .</t>
  </si>
  <si>
    <t>file://conllu/ru/doyle_bask.14.conllu#s222_0</t>
  </si>
  <si>
    <t>223</t>
  </si>
  <si>
    <t>разглядеть</t>
  </si>
  <si>
    <t>— Разве в такую ночь разглядишь вехи ?</t>
  </si>
  <si>
    <t>file://conllu/ru/doyle_bask.14.conllu#s223_0</t>
  </si>
  <si>
    <t>224</t>
  </si>
  <si>
    <t>Вместе?</t>
  </si>
  <si>
    <t>ставить</t>
  </si>
  <si>
    <t>Мы ставили их вместе , чтобы наметить тропу через трясину .</t>
  </si>
  <si>
    <t>file://conllu/ru/doyle_bask.14.conllu#s224_0</t>
  </si>
  <si>
    <t>225</t>
  </si>
  <si>
    <t>догадаться</t>
  </si>
  <si>
    <t>Ах , почему я не догадалась убрать их сегодня !</t>
  </si>
  <si>
    <t>file://conllu/ru/doyle_bask.14.conllu#s225_0</t>
  </si>
  <si>
    <t>226</t>
  </si>
  <si>
    <t>быть (быть власть)</t>
  </si>
  <si>
    <t>Тогда он был бы в вашей власти !</t>
  </si>
  <si>
    <t>file://conllu/ru/doyle_bask.14.conllu#s226_0</t>
  </si>
  <si>
    <t>227</t>
  </si>
  <si>
    <t>быть (быть нечего)</t>
  </si>
  <si>
    <t>При таком тумане о погоне нечего было и думать .</t>
  </si>
  <si>
    <t>file://conllu/ru/doyle_bask.14.conllu#s227_0</t>
  </si>
  <si>
    <t>228</t>
  </si>
  <si>
    <t>Мы оставили Лестрейда полновластным хозяином Меррипит-хаус , а сами вместе с сэром Генри вернулись в Баскервиль холл .</t>
  </si>
  <si>
    <t>file://conllu/ru/doyle_bask.14.conllu#s228_0</t>
  </si>
  <si>
    <t>229</t>
  </si>
  <si>
    <t>нельзя</t>
  </si>
  <si>
    <t>Скрывать от него историю Стэплтонов больше было нельзя .</t>
  </si>
  <si>
    <t>file://conllu/ru/doyle_bask.14.conllu#s229_0</t>
  </si>
  <si>
    <t>230</t>
  </si>
  <si>
    <t>принять</t>
  </si>
  <si>
    <t>Узнав всю правду о любимой женщине , он мужественно принял этот удар .</t>
  </si>
  <si>
    <t>file://conllu/ru/doyle_bask.14.conllu#s230_0</t>
  </si>
  <si>
    <t>231</t>
  </si>
  <si>
    <t>пройти</t>
  </si>
  <si>
    <t>Однако пережитое ночью потрясение не прошло даром для баронета .</t>
  </si>
  <si>
    <t>file://conllu/ru/doyle_bask.14.conllu#s231_0</t>
  </si>
  <si>
    <t>232</t>
  </si>
  <si>
    <t>К утру он лежал без памяти в горячке под надзором доктора Мортимера .</t>
  </si>
  <si>
    <t>file://conllu/ru/doyle_bask.14.conllu#s232_0</t>
  </si>
  <si>
    <t>233</t>
  </si>
  <si>
    <t>быть (быть сужден)</t>
  </si>
  <si>
    <t>В дальнейшем им обоим было суждено совершить кругосветное путешествие , и только после него сэр Генри снова стал тем же веселым , здоровым человеком , какой приехал когда-то в Англию наследником этого злополучного поместья .</t>
  </si>
  <si>
    <t>file://conllu/ru/doyle_bask.14.conllu#s233_0</t>
  </si>
  <si>
    <t>234</t>
  </si>
  <si>
    <t>подходить</t>
  </si>
  <si>
    <t>А теперь мое странное повествование быстро подходит к концу .</t>
  </si>
  <si>
    <t>file://conllu/ru/doyle_bask.14.conllu#s234_0</t>
  </si>
  <si>
    <t>235</t>
  </si>
  <si>
    <t>стараться</t>
  </si>
  <si>
    <t>Записывая его , я старался , чтобы читатель делил вместе с нами все те страхи и смутные догадки , которые так долго омрачали нашу жизнь и завершились такой трагедией .</t>
  </si>
  <si>
    <t>file://conllu/ru/doyle_bask.14.conllu#s235_0</t>
  </si>
  <si>
    <t>236</t>
  </si>
  <si>
    <t>К утру туман рассеялся , и миссис Стэплтон проводила нас к тому месту , где начиналась тропинка , ведущая через трясину .</t>
  </si>
  <si>
    <t>file://conllu/ru/doyle_bask.14.conllu#s236_0</t>
  </si>
  <si>
    <t>237</t>
  </si>
  <si>
    <t>направлять</t>
  </si>
  <si>
    <t>Эта женщина с такой охотой и радостью направляла нас по следам мужа , что нам только тогда и стало ясно , как страшна была ее жизнь .</t>
  </si>
  <si>
    <t>file://conllu/ru/doyle_bask.14.conllu#s237_0</t>
  </si>
  <si>
    <t>238</t>
  </si>
  <si>
    <t>расстаться</t>
  </si>
  <si>
    <t>Мы расстались с ней на узкой торфяной полоске , полуостровом вдававшейся в трясину .</t>
  </si>
  <si>
    <t>file://conllu/ru/doyle_bask.14.conllu#s238_0</t>
  </si>
  <si>
    <t>239</t>
  </si>
  <si>
    <t>намечать</t>
  </si>
  <si>
    <t>Маленькие прутики , воткнутые то там , то сям , намечали тропу , извивающуюся зигзагом от кочки к кочке , между затянутыми зеленью окнами , которые преградили бы путь всякому , кто был незнаком с этими местами .</t>
  </si>
  <si>
    <t>file://conllu/ru/doyle_bask.14.conllu#s239_0</t>
  </si>
  <si>
    <t>240</t>
  </si>
  <si>
    <t>подниматься</t>
  </si>
  <si>
    <t>От гниющего камыша и покрытых илом водорослей над трясиной поднимались тяжелые испарения .</t>
  </si>
  <si>
    <t>file://conllu/ru/doyle_bask.14.conllu#s240_0</t>
  </si>
  <si>
    <t>241</t>
  </si>
  <si>
    <t>оступаться</t>
  </si>
  <si>
    <t>Мы то и дело оступались , уходя по колено в темную зыбкую топь , мягкими кругами расходившуюся на поверхности .</t>
  </si>
  <si>
    <t>file://conllu/ru/doyle_bask.14.conllu#s241_0</t>
  </si>
  <si>
    <t>242</t>
  </si>
  <si>
    <t>присасываться</t>
  </si>
  <si>
    <t>Вязкая жижа присасывалась к нашим ногам , и ее хватка была настолько сильна , что казалось , чья-то цепкая рука тянет нас в эти мерзостные глубины .</t>
  </si>
  <si>
    <t>file://conllu/ru/doyle_bask.14.conllu#s242_0</t>
  </si>
  <si>
    <t>243</t>
  </si>
  <si>
    <t>попаться</t>
  </si>
  <si>
    <t>На глаза нам попалось только одно единственное доказательство , что не мы первые идем по этому опасному пути .</t>
  </si>
  <si>
    <t>file://conllu/ru/doyle_bask.14.conllu#s243_0</t>
  </si>
  <si>
    <t>244</t>
  </si>
  <si>
    <t>На кочке , поросшей болотной травой , лежало что-то темное .</t>
  </si>
  <si>
    <t>file://conllu/ru/doyle_bask.14.conllu#s244_0</t>
  </si>
  <si>
    <t>245</t>
  </si>
  <si>
    <t>тянуться</t>
  </si>
  <si>
    <t>Потянувшись туда .</t>
  </si>
  <si>
    <t>file://conllu/ru/doyle_bask.14.conllu#s245_0</t>
  </si>
  <si>
    <t>246</t>
  </si>
  <si>
    <t>уйти</t>
  </si>
  <si>
    <t>Холмс сразу ушел по пояс в тину , и если б не мы , вряд ли ему удалось бы когда-нибудь почувствовать под ногой твердую землю .</t>
  </si>
  <si>
    <t>file://conllu/ru/doyle_bask.14.conllu#s246_0</t>
  </si>
  <si>
    <t>247</t>
  </si>
  <si>
    <t>Он держал в руке старый черный башмак .</t>
  </si>
  <si>
    <t>file://conllu/ru/doyle_bask.14.conllu#s247_0</t>
  </si>
  <si>
    <t>248</t>
  </si>
  <si>
    <t>Внутри была метка : &amp;quot; Мейерс .</t>
  </si>
  <si>
    <t>file://conllu/ru/doyle_bask.14.conllu#s248_0</t>
  </si>
  <si>
    <t>249</t>
  </si>
  <si>
    <t>Торонто</t>
  </si>
  <si>
    <t>Торонто &amp;quot; .</t>
  </si>
  <si>
    <t>file://conllu/ru/doyle_bask.14.conllu#s249_0</t>
  </si>
  <si>
    <t>250</t>
  </si>
  <si>
    <t>стоить</t>
  </si>
  <si>
    <t>— Из-за такой находки стоило принять грязевую ванну .</t>
  </si>
  <si>
    <t>file://conllu/ru/doyle_bask.14.conllu#s250_0</t>
  </si>
  <si>
    <t>251</t>
  </si>
  <si>
    <t>Вот он , пропавший башмак нашего друга !</t>
  </si>
  <si>
    <t>file://conllu/ru/doyle_bask.14.conllu#s251_0</t>
  </si>
  <si>
    <t>252</t>
  </si>
  <si>
    <t>бросить</t>
  </si>
  <si>
    <t>— Брошенный второпях Стэплтоном ?</t>
  </si>
  <si>
    <t>file://conllu/ru/doyle_bask.14.conllu#s252_0</t>
  </si>
  <si>
    <t>253</t>
  </si>
  <si>
    <t>верный</t>
  </si>
  <si>
    <t>— Совершенно верно .</t>
  </si>
  <si>
    <t>file://conllu/ru/doyle_bask.14.conllu#s253_0</t>
  </si>
  <si>
    <t>254</t>
  </si>
  <si>
    <t>выпустить</t>
  </si>
  <si>
    <t>Он так и не выпустил его из рук , после того как дал собаке понюхать , наводя её на след .</t>
  </si>
  <si>
    <t>file://conllu/ru/doyle_bask.14.conllu#s254_0</t>
  </si>
  <si>
    <t>255</t>
  </si>
  <si>
    <t>броситься</t>
  </si>
  <si>
    <t>Когда он понял , что игра проиграна , он так и бросился бежать , держа его в руках .</t>
  </si>
  <si>
    <t>file://conllu/ru/doyle_bask.14.conllu#s255_0</t>
  </si>
  <si>
    <t>256</t>
  </si>
  <si>
    <t>А в этом месте бросил .</t>
  </si>
  <si>
    <t>file://conllu/ru/doyle_bask.14.conllu#s256_0</t>
  </si>
  <si>
    <t>257</t>
  </si>
  <si>
    <t>Теперь мы , по крайней мере , знаем , что до этого места он добрался благополучно .</t>
  </si>
  <si>
    <t>file://conllu/ru/doyle_bask.14.conllu#s257_0</t>
  </si>
  <si>
    <t>258</t>
  </si>
  <si>
    <t>удаться</t>
  </si>
  <si>
    <t>Но больше нам ничего не удалось узнать , хотя догадываться мы могли о многом .</t>
  </si>
  <si>
    <t>file://conllu/ru/doyle_bask.14.conllu#s258_0</t>
  </si>
  <si>
    <t>259</t>
  </si>
  <si>
    <t>Разглядеть на тропинке следы не было никакой возможности — их сразу же затягивало тиной .</t>
  </si>
  <si>
    <t>file://conllu/ru/doyle_bask.14.conllu#s259_0</t>
  </si>
  <si>
    <t>260</t>
  </si>
  <si>
    <t>решить</t>
  </si>
  <si>
    <t>Мы решили , что они обнаружатся на более сухом месте , однако все поиски были тщетны .</t>
  </si>
  <si>
    <t>file://conllu/ru/doyle_bask.14.conllu#s260_0</t>
  </si>
  <si>
    <t>261</t>
  </si>
  <si>
    <t>Если земля говорила правду , то Стэплтону так и не удалось добраться до своего убежища на островке , к которому он стремился в ту памятную нам туманную ночь .</t>
  </si>
  <si>
    <t>file://conllu/ru/doyle_bask.14.conllu#s261_0</t>
  </si>
  <si>
    <t>262</t>
  </si>
  <si>
    <t>погрести</t>
  </si>
  <si>
    <t>Этот холодный , жестокий человек был навеки погребен в самом сердце зловонной Гримпенской трясины , засосавшей его в свою бездонную глубину .</t>
  </si>
  <si>
    <t>file://conllu/ru/doyle_bask.14.conllu#s262_0</t>
  </si>
  <si>
    <t>263</t>
  </si>
  <si>
    <t>Мы нашли немало его следов на опоясанном топью островке , где он прятал своего страшного сообщника .</t>
  </si>
  <si>
    <t>file://conllu/ru/doyle_bask.14.conllu#s263_0</t>
  </si>
  <si>
    <t>264</t>
  </si>
  <si>
    <t>Огромный ворот и шахта , до половины заваленная щебнем , говорили , что когда-то здесь был рудник .</t>
  </si>
  <si>
    <t>file://conllu/ru/doyle_bask.14.conllu#s264_0</t>
  </si>
  <si>
    <t>265</t>
  </si>
  <si>
    <t>Рядом с ним стояли развалившиеся лачуги рудокопов , которых , вероятно , выгнали отсюда ядовитые болотные испарения .</t>
  </si>
  <si>
    <t>file://conllu/ru/doyle_bask.14.conllu#s265_0</t>
  </si>
  <si>
    <t>266</t>
  </si>
  <si>
    <t>В одной из этих лачуг мы нашли кольцо в стене , цепь и множество обглоданных костей .</t>
  </si>
  <si>
    <t>file://conllu/ru/doyle_bask.14.conllu#s266_0</t>
  </si>
  <si>
    <t>267</t>
  </si>
  <si>
    <t>дергнуть</t>
  </si>
  <si>
    <t>Здесь , вероятно , Стэплтон и держал своего пса .</t>
  </si>
  <si>
    <t>file://conllu/ru/doyle_bask.14.conllu#s267_0</t>
  </si>
  <si>
    <t>268</t>
  </si>
  <si>
    <t>валяться</t>
  </si>
  <si>
    <t>Среди мусора валялся скелет собаки с оставшимся на нем клочком рыжей шерсти .</t>
  </si>
  <si>
    <t>file://conllu/ru/doyle_bask.14.conllu#s268_0</t>
  </si>
  <si>
    <t>269</t>
  </si>
  <si>
    <t>воскликнуть</t>
  </si>
  <si>
    <t>— Боже мой ! — воскликнул Холмс .</t>
  </si>
  <si>
    <t>file://conllu/ru/doyle_bask.14.conllu#s269_0</t>
  </si>
  <si>
    <t>270</t>
  </si>
  <si>
    <t>спаниель</t>
  </si>
  <si>
    <t>— Да это спаниель !</t>
  </si>
  <si>
    <t>file://conllu/ru/doyle_bask.14.conllu#s270_0</t>
  </si>
  <si>
    <t>271</t>
  </si>
  <si>
    <t>уводить</t>
  </si>
  <si>
    <t>Бедный Мортимер больше никогда не уводит своего любимца .</t>
  </si>
  <si>
    <t>file://conllu/ru/doyle_bask.14.conllu#s271_0</t>
  </si>
  <si>
    <t>272</t>
  </si>
  <si>
    <t>думать (думать открыть)</t>
  </si>
  <si>
    <t>Ну что ж , теперь , я думаю , этот островок открыл нам все свои тайны .</t>
  </si>
  <si>
    <t>file://conllu/ru/doyle_bask.14.conllu#s272_0</t>
  </si>
  <si>
    <t>273</t>
  </si>
  <si>
    <t>быть (быть нетрудный)</t>
  </si>
  <si>
    <t>Спрятать собаку было нетрудно , а вот попробуйте заставить ее молчать !</t>
  </si>
  <si>
    <t>file://conllu/ru/doyle_bask.14.conllu#s273_0</t>
  </si>
  <si>
    <t>274</t>
  </si>
  <si>
    <t>Отсюда и шел этот вой , от которого людям даже днем становилось не по себе .</t>
  </si>
  <si>
    <t>file://conllu/ru/doyle_bask.14.conllu#s274_0</t>
  </si>
  <si>
    <t>275</t>
  </si>
  <si>
    <t>В случае крайней необходимости Стэплтон мог бы перевести собаку в сарай , поближе к дому , но на такой риск можно было пойти только в самую критическую минуту , в расчете на близкую развязку .</t>
  </si>
  <si>
    <t>file://conllu/ru/doyle_bask.14.conllu#s275_0</t>
  </si>
  <si>
    <t>276</t>
  </si>
  <si>
    <t>паста</t>
  </si>
  <si>
    <t>А вот эта паста в жестянке — тот самый светящийся состав , которым он смазывал своего пса .</t>
  </si>
  <si>
    <t>file://conllu/ru/doyle_bask.14.conllu#s276_0</t>
  </si>
  <si>
    <t>277</t>
  </si>
  <si>
    <t>натолкнуть</t>
  </si>
  <si>
    <t>Его натолкнуло на эту мысль не что иное , как легенда о чудовищной собаке Баскервилей , и он решил разделаться таким способом с сэром Чарльзом .</t>
  </si>
  <si>
    <t>file://conllu/ru/doyle_bask.14.conllu#s277_0</t>
  </si>
  <si>
    <t>278</t>
  </si>
  <si>
    <t>неудивительный</t>
  </si>
  <si>
    <t>Теперь неудивительно , что злосчастный каторжник пустился наутек ( как , впрочем , и наш друг , да и мы сами были недалеки от этого ) , когда эдакое страшилище выскочило на него из темноты .</t>
  </si>
  <si>
    <t>file://conllu/ru/doyle_bask.14.conllu#s278_0</t>
  </si>
  <si>
    <t>279</t>
  </si>
  <si>
    <t>придумать</t>
  </si>
  <si>
    <t>Стэплтон хитро придумал !</t>
  </si>
  <si>
    <t>file://conllu/ru/doyle_bask.14.conllu#s279_0</t>
  </si>
  <si>
    <t>280</t>
  </si>
  <si>
    <t>Уж не говоря о том , что собака помогла бы ему убить его жертву , кто из здешних фермеров решился бы поближе познакомиться с ней ?</t>
  </si>
  <si>
    <t>file://conllu/ru/doyle_bask.14.conllu#s280_0</t>
  </si>
  <si>
    <t>281</t>
  </si>
  <si>
    <t>тварь</t>
  </si>
  <si>
    <t>С такой тварью достаточно и одной встречи .</t>
  </si>
  <si>
    <t>file://conllu/ru/doyle_bask.14.conllu#s281_0</t>
  </si>
  <si>
    <t>282</t>
  </si>
  <si>
    <t>А ведь ее многие видели на болотах .</t>
  </si>
  <si>
    <t>file://conllu/ru/doyle_bask.14.conllu#s282_0</t>
  </si>
  <si>
    <t>283</t>
  </si>
  <si>
    <t>повторять (повторять говорить)</t>
  </si>
  <si>
    <t>Я говорил об этом в Лондоне , Уотсон , и повторяю опять : нам никогда не приходилось иметь дело с человеком более опасным , чем тот , кто лежит теперь там !</t>
  </si>
  <si>
    <t>file://conllu/ru/doyle_bask.14.conllu#s283_0</t>
  </si>
  <si>
    <t>284</t>
  </si>
  <si>
    <t>показать</t>
  </si>
  <si>
    <t>— И он показал на зелено бурую трясину , уходившую вдаль , к пологим склонам торфяных болот .</t>
  </si>
  <si>
    <t>file://conllu/ru/doyle_bask.14.conllu#s284_0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</si>
  <si>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</si>
  <si>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</si>
  <si>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</si>
  <si>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</si>
  <si>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</si>
  <si>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</si>
  <si>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</si>
  <si>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</si>
  <si>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</si>
  <si>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</si>
  <si>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</si>
  <si>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Одним из недостатков Шерлока Холмса — если только это можно назвать недостатком — было то, что он никогда и ни с кем не делился своими планами вплоть до их свершения.</t>
  </si>
  <si>
    <t>Одним</t>
  </si>
  <si>
    <t>из</t>
  </si>
  <si>
    <t>недостатков</t>
  </si>
  <si>
    <t>other</t>
  </si>
  <si>
    <t>def-np.poss</t>
  </si>
  <si>
    <t>?OLD</t>
  </si>
  <si>
    <t>Шерлока</t>
  </si>
  <si>
    <t>other_2</t>
  </si>
  <si>
    <t>ne</t>
  </si>
  <si>
    <t>Холмса</t>
  </si>
  <si>
    <t>other_3</t>
  </si>
  <si>
    <t>—</t>
  </si>
  <si>
    <t>если</t>
  </si>
  <si>
    <t>только</t>
  </si>
  <si>
    <t>это</t>
  </si>
  <si>
    <t>OBJ_3</t>
  </si>
  <si>
    <t>pron.pds</t>
  </si>
  <si>
    <t>можно</t>
  </si>
  <si>
    <t>назвать</t>
  </si>
  <si>
    <t>недостатком</t>
  </si>
  <si>
    <t>было</t>
  </si>
  <si>
    <t>то</t>
  </si>
  <si>
    <t>SBJ_2</t>
  </si>
  <si>
    <t>,</t>
  </si>
  <si>
    <t>он</t>
  </si>
  <si>
    <t>SBJ_4</t>
  </si>
  <si>
    <t>pron</t>
  </si>
  <si>
    <t>никогда</t>
  </si>
  <si>
    <t>и</t>
  </si>
  <si>
    <t>ни</t>
  </si>
  <si>
    <t>с</t>
  </si>
  <si>
    <t>кем</t>
  </si>
  <si>
    <t>other_4</t>
  </si>
  <si>
    <t>pron.pint</t>
  </si>
  <si>
    <t>не</t>
  </si>
  <si>
    <t>делился</t>
  </si>
  <si>
    <t>своими</t>
  </si>
  <si>
    <t>планами</t>
  </si>
  <si>
    <t>вплоть</t>
  </si>
  <si>
    <t>до</t>
  </si>
  <si>
    <t>их</t>
  </si>
  <si>
    <t>other_5</t>
  </si>
  <si>
    <t>pron.ppos</t>
  </si>
  <si>
    <t>свершения</t>
  </si>
  <si>
    <t>OBJ_4</t>
  </si>
  <si>
    <t>.</t>
  </si>
  <si>
    <t># text = Такая скрытность объяснялась отчасти властной натурой этого человека, любившего повелевать окружающими и поражать их воображение, отчасти профессиональной осторожностью, не позволявшей ему рисковать без нужды.</t>
  </si>
  <si>
    <t>Такая</t>
  </si>
  <si>
    <t>скрытность</t>
  </si>
  <si>
    <t>SBJ</t>
  </si>
  <si>
    <t>объяснялась</t>
  </si>
  <si>
    <t>отчасти</t>
  </si>
  <si>
    <t>властной</t>
  </si>
  <si>
    <t>натурой</t>
  </si>
  <si>
    <t>этого</t>
  </si>
  <si>
    <t>человека</t>
  </si>
  <si>
    <t>def-np.dem</t>
  </si>
  <si>
    <t>любившего</t>
  </si>
  <si>
    <t>повелевать</t>
  </si>
  <si>
    <t>окружающими</t>
  </si>
  <si>
    <t>поражать</t>
  </si>
  <si>
    <t>воображение</t>
  </si>
  <si>
    <t>OBJ_6</t>
  </si>
  <si>
    <t>профессиональной</t>
  </si>
  <si>
    <t>осторожностью</t>
  </si>
  <si>
    <t>позволявшей</t>
  </si>
  <si>
    <t>ему</t>
  </si>
  <si>
    <t>OBJ_8</t>
  </si>
  <si>
    <t>рисковать</t>
  </si>
  <si>
    <t>без</t>
  </si>
  <si>
    <t>нужды</t>
  </si>
  <si>
    <t># text = Как бы то ни было, эта черта характера Шерлока Холмса доставляла много неприятностей тем, кто работал с ним в качестве его агентов или помощников.</t>
  </si>
  <si>
    <t>Как</t>
  </si>
  <si>
    <t>бы</t>
  </si>
  <si>
    <t>эта</t>
  </si>
  <si>
    <t>черта</t>
  </si>
  <si>
    <t>характера</t>
  </si>
  <si>
    <t>доставляла</t>
  </si>
  <si>
    <t>много</t>
  </si>
  <si>
    <t>неприятностей</t>
  </si>
  <si>
    <t>тем</t>
  </si>
  <si>
    <t>кто</t>
  </si>
  <si>
    <t>работал</t>
  </si>
  <si>
    <t>ним</t>
  </si>
  <si>
    <t>в</t>
  </si>
  <si>
    <t>качестве</t>
  </si>
  <si>
    <t>его</t>
  </si>
  <si>
    <t>агентов</t>
  </si>
  <si>
    <t>или</t>
  </si>
  <si>
    <t>помощников</t>
  </si>
  <si>
    <t># text = Я сам часто страдал от нее, но то, что мне пришлось вытерпеть за это долгое путешествие в темноте, превзошло все мои прошлые муки.</t>
  </si>
  <si>
    <t>Я</t>
  </si>
  <si>
    <t>сам</t>
  </si>
  <si>
    <t>часто</t>
  </si>
  <si>
    <t>страдал</t>
  </si>
  <si>
    <t>от</t>
  </si>
  <si>
    <t>нее</t>
  </si>
  <si>
    <t>но</t>
  </si>
  <si>
    <t>мне</t>
  </si>
  <si>
    <t>пришлось</t>
  </si>
  <si>
    <t>вытерпеть</t>
  </si>
  <si>
    <t>за</t>
  </si>
  <si>
    <t>долгое</t>
  </si>
  <si>
    <t>путешествие</t>
  </si>
  <si>
    <t>темноте</t>
  </si>
  <si>
    <t>превзошло</t>
  </si>
  <si>
    <t>все</t>
  </si>
  <si>
    <t>мои</t>
  </si>
  <si>
    <t>прошлые</t>
  </si>
  <si>
    <t>муки</t>
  </si>
  <si>
    <t>indef-np.quant</t>
  </si>
  <si>
    <t># text = Нам предстояло нелегкое испытание, мы были готовы нанести последний, решающий удар, а Холмс упорно молчал, и я мог только догадываться о его планах.</t>
  </si>
  <si>
    <t>Нам</t>
  </si>
  <si>
    <t>OBJ</t>
  </si>
  <si>
    <t>предстояло</t>
  </si>
  <si>
    <t>нелегкое</t>
  </si>
  <si>
    <t>испытание</t>
  </si>
  <si>
    <t>мы</t>
  </si>
  <si>
    <t>были</t>
  </si>
  <si>
    <t>готовы</t>
  </si>
  <si>
    <t>нанести</t>
  </si>
  <si>
    <t>последний</t>
  </si>
  <si>
    <t>решающий</t>
  </si>
  <si>
    <t>удар</t>
  </si>
  <si>
    <t>а</t>
  </si>
  <si>
    <t>Холмс</t>
  </si>
  <si>
    <t>упорно</t>
  </si>
  <si>
    <t>молчал</t>
  </si>
  <si>
    <t>я</t>
  </si>
  <si>
    <t>мог</t>
  </si>
  <si>
    <t>догадываться</t>
  </si>
  <si>
    <t>о</t>
  </si>
  <si>
    <t>планах</t>
  </si>
  <si>
    <t># text = Мое нервное напряжение дошло до предела, как вдруг в лицо нам пахнуло холодным ветром, и, глянув в темноту, на пустынные просторы, тянувшиеся по обеим сторонам узкой дороги, я понял, что мы снова очутились на болотах.</t>
  </si>
  <si>
    <t>Мое</t>
  </si>
  <si>
    <t>нервное</t>
  </si>
  <si>
    <t>напряжение</t>
  </si>
  <si>
    <t>дошло</t>
  </si>
  <si>
    <t>предела</t>
  </si>
  <si>
    <t>как</t>
  </si>
  <si>
    <t>вдруг</t>
  </si>
  <si>
    <t>лицо</t>
  </si>
  <si>
    <t>нам</t>
  </si>
  <si>
    <t>OBJ_2</t>
  </si>
  <si>
    <t>пахнуло</t>
  </si>
  <si>
    <t>холодным</t>
  </si>
  <si>
    <t>ветром</t>
  </si>
  <si>
    <t>глянув</t>
  </si>
  <si>
    <t>темноту</t>
  </si>
  <si>
    <t>на</t>
  </si>
  <si>
    <t>пустынные</t>
  </si>
  <si>
    <t>просторы</t>
  </si>
  <si>
    <t>тянувшиеся</t>
  </si>
  <si>
    <t>по</t>
  </si>
  <si>
    <t>обеим</t>
  </si>
  <si>
    <t>сторонам</t>
  </si>
  <si>
    <t>узкой</t>
  </si>
  <si>
    <t>дороги</t>
  </si>
  <si>
    <t>понял</t>
  </si>
  <si>
    <t>SBJ_3</t>
  </si>
  <si>
    <t>снова</t>
  </si>
  <si>
    <t>очутились</t>
  </si>
  <si>
    <t>болотах</t>
  </si>
  <si>
    <t># text = Каждый шаг лошадей, каждый поворот колес приближал нас к развязке всех этих событий.</t>
  </si>
  <si>
    <t>Каждый</t>
  </si>
  <si>
    <t>лошадей</t>
  </si>
  <si>
    <t>каждый</t>
  </si>
  <si>
    <t>поворот</t>
  </si>
  <si>
    <t>колес</t>
  </si>
  <si>
    <t>приближал</t>
  </si>
  <si>
    <t>нас</t>
  </si>
  <si>
    <t>к</t>
  </si>
  <si>
    <t>развязке</t>
  </si>
  <si>
    <t>всех</t>
  </si>
  <si>
    <t>этих</t>
  </si>
  <si>
    <t>событий</t>
  </si>
  <si>
    <t># text = В присутствии возницы, нанятого в Кумби-Треси, нельзя было говорить о деле, и мы, несмотря на все свое волнение, беседовали о каких-то пустяках.</t>
  </si>
  <si>
    <t>В</t>
  </si>
  <si>
    <t>присутствии</t>
  </si>
  <si>
    <t>возницы</t>
  </si>
  <si>
    <t>нанятого</t>
  </si>
  <si>
    <t>Кумби-Треси</t>
  </si>
  <si>
    <t>деле</t>
  </si>
  <si>
    <t>несмотря</t>
  </si>
  <si>
    <t>свое</t>
  </si>
  <si>
    <t>волнение</t>
  </si>
  <si>
    <t>беседовали</t>
  </si>
  <si>
    <t>каких-то</t>
  </si>
  <si>
    <t>пустяках</t>
  </si>
  <si>
    <t>indef-np</t>
  </si>
  <si>
    <t># text = Я облегченно вздохнул, когда в стороне от дороги показался коттедж Френкленда, от которого оставалось две-три мили до Баскервиль-холла и до того места, где должна была разыграться заключительная сцена трагедии.</t>
  </si>
  <si>
    <t>облегченно</t>
  </si>
  <si>
    <t>вздохнул</t>
  </si>
  <si>
    <t>когда</t>
  </si>
  <si>
    <t>стороне</t>
  </si>
  <si>
    <t>показался</t>
  </si>
  <si>
    <t>коттедж</t>
  </si>
  <si>
    <t>Френкленда</t>
  </si>
  <si>
    <t>которого</t>
  </si>
  <si>
    <t>оставалось</t>
  </si>
  <si>
    <t>две</t>
  </si>
  <si>
    <t>три</t>
  </si>
  <si>
    <t>мили</t>
  </si>
  <si>
    <t>Баскервиль</t>
  </si>
  <si>
    <t>холла</t>
  </si>
  <si>
    <t>того</t>
  </si>
  <si>
    <t>места</t>
  </si>
  <si>
    <t>other_6</t>
  </si>
  <si>
    <t>должна</t>
  </si>
  <si>
    <t>была</t>
  </si>
  <si>
    <t>разыграться</t>
  </si>
  <si>
    <t>заключительная</t>
  </si>
  <si>
    <t>сцена</t>
  </si>
  <si>
    <t>SBJ_8</t>
  </si>
  <si>
    <t>трагедии</t>
  </si>
  <si>
    <t># text = Не останавливаясь у подъезда, мы проехали к калитке в тисовой аллее, расплатились с возницей, отправили его обратно в Кумби-Треси, а сами пошли по направлению к Меррипит-хаус.</t>
  </si>
  <si>
    <t>Не</t>
  </si>
  <si>
    <t>останавливаясь</t>
  </si>
  <si>
    <t>у</t>
  </si>
  <si>
    <t>подъезда</t>
  </si>
  <si>
    <t>проехали</t>
  </si>
  <si>
    <t>калитке</t>
  </si>
  <si>
    <t>тисовой</t>
  </si>
  <si>
    <t>аллее</t>
  </si>
  <si>
    <t>расплатились</t>
  </si>
  <si>
    <t>возницей</t>
  </si>
  <si>
    <t>отправили</t>
  </si>
  <si>
    <t>обратно</t>
  </si>
  <si>
    <t>сами</t>
  </si>
  <si>
    <t>пошли</t>
  </si>
  <si>
    <t>направлению</t>
  </si>
  <si>
    <t># text = — Вы с оружием, Лестрейд?</t>
  </si>
  <si>
    <t>Вы</t>
  </si>
  <si>
    <t>оружием</t>
  </si>
  <si>
    <t>?</t>
  </si>
  <si>
    <t># text = Маленький сыщик улыбнулся: — Раз на мне брюки, значит, и задний карман у них есть, а раз есть задний карман, значит, он не пустует.</t>
  </si>
  <si>
    <t>Маленький</t>
  </si>
  <si>
    <t>сыщик</t>
  </si>
  <si>
    <t>улыбнулся</t>
  </si>
  <si>
    <t>:</t>
  </si>
  <si>
    <t>Раз</t>
  </si>
  <si>
    <t>брюки</t>
  </si>
  <si>
    <t>значит</t>
  </si>
  <si>
    <t>задний</t>
  </si>
  <si>
    <t>карман</t>
  </si>
  <si>
    <t>них</t>
  </si>
  <si>
    <t>есть</t>
  </si>
  <si>
    <t>раз</t>
  </si>
  <si>
    <t>пустует</t>
  </si>
  <si>
    <t># text = — Вот и прекрасно!</t>
  </si>
  <si>
    <t>Вот</t>
  </si>
  <si>
    <t>!</t>
  </si>
  <si>
    <t># text = Мы с Уотсоном тоже приготовились ко всяким неожиданностям.</t>
  </si>
  <si>
    <t>Мы</t>
  </si>
  <si>
    <t>Уотсоном</t>
  </si>
  <si>
    <t>тоже</t>
  </si>
  <si>
    <t>приготовились</t>
  </si>
  <si>
    <t>ко</t>
  </si>
  <si>
    <t>всяким</t>
  </si>
  <si>
    <t>неожиданностям</t>
  </si>
  <si>
    <t># text = — Я вижу, вы настроены очень серьезно, мистер Холмс.</t>
  </si>
  <si>
    <t>вижу</t>
  </si>
  <si>
    <t>вы</t>
  </si>
  <si>
    <t>настроены</t>
  </si>
  <si>
    <t>очень</t>
  </si>
  <si>
    <t>серьезно</t>
  </si>
  <si>
    <t>мистер</t>
  </si>
  <si>
    <t># text = А что от нас теперь требуется в этой игре?</t>
  </si>
  <si>
    <t>А</t>
  </si>
  <si>
    <t>теперь</t>
  </si>
  <si>
    <t>требуется</t>
  </si>
  <si>
    <t>этой</t>
  </si>
  <si>
    <t>игре</t>
  </si>
  <si>
    <t># text = — Требуется терпение.</t>
  </si>
  <si>
    <t>Требуется</t>
  </si>
  <si>
    <t>терпение</t>
  </si>
  <si>
    <t># text = Будем ждать.</t>
  </si>
  <si>
    <t>Будем</t>
  </si>
  <si>
    <t># text = — Действительно, места здесь не очень веселые!</t>
  </si>
  <si>
    <t>Действительно</t>
  </si>
  <si>
    <t>веселые</t>
  </si>
  <si>
    <t># text = — Сыщик повел плечами, глядя на мрачные склоны холмов и туман, озером разлившийся над Гримпенской трясиной.</t>
  </si>
  <si>
    <t>Сыщик</t>
  </si>
  <si>
    <t>повел</t>
  </si>
  <si>
    <t>плечами</t>
  </si>
  <si>
    <t>глядя</t>
  </si>
  <si>
    <t>мрачные</t>
  </si>
  <si>
    <t>склоны</t>
  </si>
  <si>
    <t>холмов</t>
  </si>
  <si>
    <t>озером</t>
  </si>
  <si>
    <t>разлившийся</t>
  </si>
  <si>
    <t>над</t>
  </si>
  <si>
    <t>Гримпенской</t>
  </si>
  <si>
    <t>трясиной</t>
  </si>
  <si>
    <t># text = — А вон где-то горит огонек.</t>
  </si>
  <si>
    <t>вон</t>
  </si>
  <si>
    <t>где-то</t>
  </si>
  <si>
    <t>горит</t>
  </si>
  <si>
    <t>огонек</t>
  </si>
  <si>
    <t># text = — Это Меррипит-хаус — конечная цель нашего путешествия.</t>
  </si>
  <si>
    <t>Это</t>
  </si>
  <si>
    <t>конечная</t>
  </si>
  <si>
    <t>цель</t>
  </si>
  <si>
    <t>нашего</t>
  </si>
  <si>
    <t>путешествия</t>
  </si>
  <si>
    <t># text = Теперь попрошу вас ступать как можно тише и говорить шепотом.</t>
  </si>
  <si>
    <t>Теперь</t>
  </si>
  <si>
    <t>попрошу</t>
  </si>
  <si>
    <t>вас</t>
  </si>
  <si>
    <t>ступать</t>
  </si>
  <si>
    <t>тише</t>
  </si>
  <si>
    <t>шепотом</t>
  </si>
  <si>
    <t># text = Мы осторожно шагали по тропинке, которая вела к дому, но ярдов за двести от него Холмс остановился.</t>
  </si>
  <si>
    <t>осторожно</t>
  </si>
  <si>
    <t>шагали</t>
  </si>
  <si>
    <t>тропинке</t>
  </si>
  <si>
    <t>которая</t>
  </si>
  <si>
    <t>вела</t>
  </si>
  <si>
    <t>дому</t>
  </si>
  <si>
    <t>ярдов</t>
  </si>
  <si>
    <t>двести</t>
  </si>
  <si>
    <t>него</t>
  </si>
  <si>
    <t>остановился</t>
  </si>
  <si>
    <t># text = — Дальше не надо, — сказал он.</t>
  </si>
  <si>
    <t>Дальше</t>
  </si>
  <si>
    <t>сказал</t>
  </si>
  <si>
    <t># text = — Вот эти валуны послужат нам прекрасной ширмой.</t>
  </si>
  <si>
    <t>эти</t>
  </si>
  <si>
    <t>валуны</t>
  </si>
  <si>
    <t>послужат</t>
  </si>
  <si>
    <t>прекрасной</t>
  </si>
  <si>
    <t>ширмой</t>
  </si>
  <si>
    <t># text = — Здесь и будем ждать?</t>
  </si>
  <si>
    <t>Здесь</t>
  </si>
  <si>
    <t>будем</t>
  </si>
  <si>
    <t># text = — Да, устроим засаду.</t>
  </si>
  <si>
    <t>Да</t>
  </si>
  <si>
    <t>устроим</t>
  </si>
  <si>
    <t>засаду</t>
  </si>
  <si>
    <t># text = Станьте вот сюда, Лестрейд.</t>
  </si>
  <si>
    <t>Станьте</t>
  </si>
  <si>
    <t>сюда</t>
  </si>
  <si>
    <t># text = Уотсон, ведь вы бывали в доме?</t>
  </si>
  <si>
    <t>Уотсон</t>
  </si>
  <si>
    <t>ведь</t>
  </si>
  <si>
    <t>бывали</t>
  </si>
  <si>
    <t>доме</t>
  </si>
  <si>
    <t># text = Расположение комнат знаете?</t>
  </si>
  <si>
    <t>Расположение</t>
  </si>
  <si>
    <t>комнат</t>
  </si>
  <si>
    <t>знаете</t>
  </si>
  <si>
    <t># text = Вон те окна с переплетом — что это?</t>
  </si>
  <si>
    <t>Вон</t>
  </si>
  <si>
    <t>те</t>
  </si>
  <si>
    <t>окна</t>
  </si>
  <si>
    <t>переплетом</t>
  </si>
  <si>
    <t># text = — По-моему, кухня.</t>
  </si>
  <si>
    <t>По-моему</t>
  </si>
  <si>
    <t># text = — А следующее, ярко освещенное?</t>
  </si>
  <si>
    <t>следующее</t>
  </si>
  <si>
    <t>ярко</t>
  </si>
  <si>
    <t>освещенное</t>
  </si>
  <si>
    <t># text = — Это столовая.</t>
  </si>
  <si>
    <t>столовая</t>
  </si>
  <si>
    <t># text = — Шторы подняты.</t>
  </si>
  <si>
    <t>Шторы</t>
  </si>
  <si>
    <t>подняты</t>
  </si>
  <si>
    <t># text = Вы лучше меня знаете, как туда пройти.</t>
  </si>
  <si>
    <t>лучше</t>
  </si>
  <si>
    <t>меня</t>
  </si>
  <si>
    <t>туда</t>
  </si>
  <si>
    <t># text = Загляните в окно — что они там делают?</t>
  </si>
  <si>
    <t>Загляните</t>
  </si>
  <si>
    <t>окно</t>
  </si>
  <si>
    <t>они</t>
  </si>
  <si>
    <t>там</t>
  </si>
  <si>
    <t>делают</t>
  </si>
  <si>
    <t># text = Только, ради бога, тише.</t>
  </si>
  <si>
    <t>Только</t>
  </si>
  <si>
    <t>ради</t>
  </si>
  <si>
    <t>бога</t>
  </si>
  <si>
    <t># text = Как бы вас не услышали.</t>
  </si>
  <si>
    <t>услышали</t>
  </si>
  <si>
    <t># text = Я подкрался на цыпочках к низкой каменной ограде, окружающей чахлый садик Стэплтонов, и, пробираясь в ее тени, дошел до того места, откуда можно было заглянуть в незанавешенное окно.</t>
  </si>
  <si>
    <t>подкрался</t>
  </si>
  <si>
    <t>цыпочках</t>
  </si>
  <si>
    <t>низкой</t>
  </si>
  <si>
    <t>каменной</t>
  </si>
  <si>
    <t>ограде</t>
  </si>
  <si>
    <t>окружающей</t>
  </si>
  <si>
    <t>чахлый</t>
  </si>
  <si>
    <t>садик</t>
  </si>
  <si>
    <t>Стэплтонов</t>
  </si>
  <si>
    <t>пробираясь</t>
  </si>
  <si>
    <t>ее</t>
  </si>
  <si>
    <t>other_7</t>
  </si>
  <si>
    <t>тени</t>
  </si>
  <si>
    <t>дошел</t>
  </si>
  <si>
    <t>откуда</t>
  </si>
  <si>
    <t>заглянуть</t>
  </si>
  <si>
    <t>незанавешенное</t>
  </si>
  <si>
    <t># text = В комнате были двое мужчин — сэр Генри и Стэплтон.</t>
  </si>
  <si>
    <t>комнате</t>
  </si>
  <si>
    <t>двое</t>
  </si>
  <si>
    <t>мужчин</t>
  </si>
  <si>
    <t>сэр</t>
  </si>
  <si>
    <t>Генри</t>
  </si>
  <si>
    <t>Стэплтон</t>
  </si>
  <si>
    <t># text = Они сидели друг против друга за круглым столом, ко мне в профиль, и курили сигары.</t>
  </si>
  <si>
    <t>Они</t>
  </si>
  <si>
    <t>сидели</t>
  </si>
  <si>
    <t>друг</t>
  </si>
  <si>
    <t>против</t>
  </si>
  <si>
    <t>друга</t>
  </si>
  <si>
    <t>круглым</t>
  </si>
  <si>
    <t>столом</t>
  </si>
  <si>
    <t>профиль</t>
  </si>
  <si>
    <t>курили</t>
  </si>
  <si>
    <t>сигары</t>
  </si>
  <si>
    <t># text = Перед ними стояли чашки с кофе и вино.</t>
  </si>
  <si>
    <t>Перед</t>
  </si>
  <si>
    <t>ними</t>
  </si>
  <si>
    <t>стояли</t>
  </si>
  <si>
    <t>чашки</t>
  </si>
  <si>
    <t>кофе</t>
  </si>
  <si>
    <t>вино</t>
  </si>
  <si>
    <t># text = Стэплтон оживленно говорил о чем-то, но баронет сидел бледный и слушал его невнимательно.</t>
  </si>
  <si>
    <t>оживленно</t>
  </si>
  <si>
    <t>говорил</t>
  </si>
  <si>
    <t>чем-то</t>
  </si>
  <si>
    <t>баронет</t>
  </si>
  <si>
    <t>сидел</t>
  </si>
  <si>
    <t>бледный</t>
  </si>
  <si>
    <t>слушал</t>
  </si>
  <si>
    <t>невнимательно</t>
  </si>
  <si>
    <t># text = Ему, вероятно, не давала покоя мысль о скором возвращении домой по зловещим болотам.</t>
  </si>
  <si>
    <t>Ему</t>
  </si>
  <si>
    <t>вероятно</t>
  </si>
  <si>
    <t>давала</t>
  </si>
  <si>
    <t>покоя</t>
  </si>
  <si>
    <t>мысль</t>
  </si>
  <si>
    <t>скором</t>
  </si>
  <si>
    <t>возвращении</t>
  </si>
  <si>
    <t>домой</t>
  </si>
  <si>
    <t>зловещим</t>
  </si>
  <si>
    <t>болотам</t>
  </si>
  <si>
    <t># text = Но вот Стэплтон встал и вышел из комнаты, а сэр Генри подлил себе вина в стакан и откинулся на спинку стула, попыхивая сигарой.</t>
  </si>
  <si>
    <t>Но</t>
  </si>
  <si>
    <t>встал</t>
  </si>
  <si>
    <t>вышел</t>
  </si>
  <si>
    <t>комнаты</t>
  </si>
  <si>
    <t>подлил</t>
  </si>
  <si>
    <t>себе</t>
  </si>
  <si>
    <t>вина</t>
  </si>
  <si>
    <t>стакан</t>
  </si>
  <si>
    <t>откинулся</t>
  </si>
  <si>
    <t>спинку</t>
  </si>
  <si>
    <t>стула</t>
  </si>
  <si>
    <t>попыхивая</t>
  </si>
  <si>
    <t>сигарой</t>
  </si>
  <si>
    <t># text = Я услышал скрип двери, потом похрустывание гравия на тропинке.</t>
  </si>
  <si>
    <t>услышал</t>
  </si>
  <si>
    <t>скрип</t>
  </si>
  <si>
    <t>двери</t>
  </si>
  <si>
    <t>потом</t>
  </si>
  <si>
    <t>похрустывание</t>
  </si>
  <si>
    <t>гравия</t>
  </si>
  <si>
    <t># text = Шаги приближались ко мне.</t>
  </si>
  <si>
    <t>Шаги</t>
  </si>
  <si>
    <t>приближались</t>
  </si>
  <si>
    <t># text = Выглянув из-за стены, я увидел, что натуралист остановился у небольшого сарая в углу сада.</t>
  </si>
  <si>
    <t>Выглянув</t>
  </si>
  <si>
    <t>из-за</t>
  </si>
  <si>
    <t>стены</t>
  </si>
  <si>
    <t>увидел</t>
  </si>
  <si>
    <t>натуралист</t>
  </si>
  <si>
    <t>небольшого</t>
  </si>
  <si>
    <t>сарая</t>
  </si>
  <si>
    <t>углу</t>
  </si>
  <si>
    <t>сада</t>
  </si>
  <si>
    <t># text = Звякнул ключ в замке, и в сарае послышалась какая-то возня.</t>
  </si>
  <si>
    <t>Звякнул</t>
  </si>
  <si>
    <t>ключ</t>
  </si>
  <si>
    <t>замке</t>
  </si>
  <si>
    <t>сарае</t>
  </si>
  <si>
    <t>послышалась</t>
  </si>
  <si>
    <t>какая-то</t>
  </si>
  <si>
    <t>возня</t>
  </si>
  <si>
    <t># text = Стэплтон пробыл там не больше двух минут, снова звякнул ключом, прошел мимо меня и исчез в доме.</t>
  </si>
  <si>
    <t>пробыл</t>
  </si>
  <si>
    <t>больше</t>
  </si>
  <si>
    <t>двух</t>
  </si>
  <si>
    <t>минут</t>
  </si>
  <si>
    <t>звякнул</t>
  </si>
  <si>
    <t>ключом</t>
  </si>
  <si>
    <t>прошел</t>
  </si>
  <si>
    <t>мимо</t>
  </si>
  <si>
    <t>исчез</t>
  </si>
  <si>
    <t># text = Я увидел, что он вернулся к своему гостю; осторожно пробравшись к товарищам, я рассказал им все это.</t>
  </si>
  <si>
    <t>вернулся</t>
  </si>
  <si>
    <t>своему</t>
  </si>
  <si>
    <t>гостю</t>
  </si>
  <si>
    <t>;</t>
  </si>
  <si>
    <t>пробравшись</t>
  </si>
  <si>
    <t>товарищам</t>
  </si>
  <si>
    <t>рассказал</t>
  </si>
  <si>
    <t>им</t>
  </si>
  <si>
    <t># text = — Значит, женщина не с ними? — спросил Холмс, когда я кончил.</t>
  </si>
  <si>
    <t>Значит</t>
  </si>
  <si>
    <t>женщина</t>
  </si>
  <si>
    <t>спросил</t>
  </si>
  <si>
    <t>кончил</t>
  </si>
  <si>
    <t># text = — Нет.</t>
  </si>
  <si>
    <t>Нет</t>
  </si>
  <si>
    <t># text = — Тогда где же она?</t>
  </si>
  <si>
    <t>Тогда</t>
  </si>
  <si>
    <t>же</t>
  </si>
  <si>
    <t>она</t>
  </si>
  <si>
    <t># text = Ведь, кроме кухни и столовой, все окна темные.</t>
  </si>
  <si>
    <t>Ведь</t>
  </si>
  <si>
    <t>кроме</t>
  </si>
  <si>
    <t>кухни</t>
  </si>
  <si>
    <t>столовой</t>
  </si>
  <si>
    <t>темные</t>
  </si>
  <si>
    <t># text = — Право, не знаю.</t>
  </si>
  <si>
    <t>Право</t>
  </si>
  <si>
    <t>знаю</t>
  </si>
  <si>
    <t># text = Я уже говорил, что над Гримпенской трясиной стлался густой белый туман.</t>
  </si>
  <si>
    <t>уже</t>
  </si>
  <si>
    <t>стлался</t>
  </si>
  <si>
    <t>густой</t>
  </si>
  <si>
    <t>белый</t>
  </si>
  <si>
    <t># text = Он медленно полз в нашу сторону, окружая нас и справа и слева низким, но плотным валом.</t>
  </si>
  <si>
    <t>Он</t>
  </si>
  <si>
    <t>медленно</t>
  </si>
  <si>
    <t>полз</t>
  </si>
  <si>
    <t>нашу</t>
  </si>
  <si>
    <t>сторону</t>
  </si>
  <si>
    <t>окружая</t>
  </si>
  <si>
    <t>справа</t>
  </si>
  <si>
    <t>слева</t>
  </si>
  <si>
    <t>низким</t>
  </si>
  <si>
    <t>плотным</t>
  </si>
  <si>
    <t>валом</t>
  </si>
  <si>
    <t># text = Лившийся сверху лунный свет превращал его в мерцающее ледяное поле, над которым, словно черные пики, вздымались верхушки отдаленных гранитных столбов.</t>
  </si>
  <si>
    <t>Лившийся</t>
  </si>
  <si>
    <t>сверху</t>
  </si>
  <si>
    <t>лунный</t>
  </si>
  <si>
    <t>свет</t>
  </si>
  <si>
    <t>превращал</t>
  </si>
  <si>
    <t>мерцающее</t>
  </si>
  <si>
    <t>ледяное</t>
  </si>
  <si>
    <t>поле</t>
  </si>
  <si>
    <t>которым</t>
  </si>
  <si>
    <t>словно</t>
  </si>
  <si>
    <t>черные</t>
  </si>
  <si>
    <t>пики</t>
  </si>
  <si>
    <t>вздымались</t>
  </si>
  <si>
    <t>верхушки</t>
  </si>
  <si>
    <t>отдаленных</t>
  </si>
  <si>
    <t>гранитных</t>
  </si>
  <si>
    <t>столбов</t>
  </si>
  <si>
    <t># text = Холмс повернулся в ту сторону и, глядя на эту медленно подползающую белую стену, нетерпеливо пробормотал: — Смотрите, Уотсон, туман движется прямо на нас.</t>
  </si>
  <si>
    <t>повернулся</t>
  </si>
  <si>
    <t>ту</t>
  </si>
  <si>
    <t>эту</t>
  </si>
  <si>
    <t>подползающую</t>
  </si>
  <si>
    <t>белую</t>
  </si>
  <si>
    <t>стену</t>
  </si>
  <si>
    <t>нетерпеливо</t>
  </si>
  <si>
    <t>пробормотал</t>
  </si>
  <si>
    <t>Смотрите</t>
  </si>
  <si>
    <t>движется</t>
  </si>
  <si>
    <t>прямо</t>
  </si>
  <si>
    <t># text = — А это нехорошо?</t>
  </si>
  <si>
    <t>нехорошо</t>
  </si>
  <si>
    <t># text = — Хуже некуда!</t>
  </si>
  <si>
    <t>Хуже</t>
  </si>
  <si>
    <t># text = Туман — единственное, что может нарушить мои планы.</t>
  </si>
  <si>
    <t>Туман</t>
  </si>
  <si>
    <t>единственное</t>
  </si>
  <si>
    <t>может</t>
  </si>
  <si>
    <t>нарушить</t>
  </si>
  <si>
    <t>планы</t>
  </si>
  <si>
    <t># text = Но сэр Генри там не задержится.</t>
  </si>
  <si>
    <t>задержится</t>
  </si>
  <si>
    <t># text = Уже десять часов.</t>
  </si>
  <si>
    <t>Уже</t>
  </si>
  <si>
    <t>десять</t>
  </si>
  <si>
    <t>часов</t>
  </si>
  <si>
    <t># text = Теперь все — и наш успех и даже его жизнь — зависит от того, выйдет ли он прежде, чем туман доползет до тропинки, или нет.</t>
  </si>
  <si>
    <t>наш</t>
  </si>
  <si>
    <t>успех</t>
  </si>
  <si>
    <t>даже</t>
  </si>
  <si>
    <t>жизнь</t>
  </si>
  <si>
    <t>зависит</t>
  </si>
  <si>
    <t>выйдет</t>
  </si>
  <si>
    <t>ли</t>
  </si>
  <si>
    <t>прежде</t>
  </si>
  <si>
    <t>чем</t>
  </si>
  <si>
    <t>доползет</t>
  </si>
  <si>
    <t>тропинки</t>
  </si>
  <si>
    <t># text = Ночное небо было чистое, без единого облачка.</t>
  </si>
  <si>
    <t>Ночное</t>
  </si>
  <si>
    <t>небо</t>
  </si>
  <si>
    <t>чистое</t>
  </si>
  <si>
    <t>единого</t>
  </si>
  <si>
    <t>облачка</t>
  </si>
  <si>
    <t># text = Звезды холодно поблескивали в вышине, луна заливала болота мягким неверным светом.</t>
  </si>
  <si>
    <t>Звезды</t>
  </si>
  <si>
    <t>холодно</t>
  </si>
  <si>
    <t>поблескивали</t>
  </si>
  <si>
    <t>вышине</t>
  </si>
  <si>
    <t>луна</t>
  </si>
  <si>
    <t>заливала</t>
  </si>
  <si>
    <t>болота</t>
  </si>
  <si>
    <t>мягким</t>
  </si>
  <si>
    <t>неверным</t>
  </si>
  <si>
    <t>светом</t>
  </si>
  <si>
    <t># text = Прямо перед нами смутно чернели очертания дома с остроконечной крышей, словно ощетинившейся трубами, которые четко выступали на звездном небе.</t>
  </si>
  <si>
    <t>Прямо</t>
  </si>
  <si>
    <t>перед</t>
  </si>
  <si>
    <t>нами</t>
  </si>
  <si>
    <t>смутно</t>
  </si>
  <si>
    <t>чернели</t>
  </si>
  <si>
    <t>очертания</t>
  </si>
  <si>
    <t>дома</t>
  </si>
  <si>
    <t>остроконечной</t>
  </si>
  <si>
    <t>крышей</t>
  </si>
  <si>
    <t>ощетинившейся</t>
  </si>
  <si>
    <t>трубами</t>
  </si>
  <si>
    <t>которые</t>
  </si>
  <si>
    <t>четко</t>
  </si>
  <si>
    <t>выступали</t>
  </si>
  <si>
    <t>звездном</t>
  </si>
  <si>
    <t>небе</t>
  </si>
  <si>
    <t># text = Широкие золотые полосы падали из окон нижнего этажа в сад и дальше, на болота.</t>
  </si>
  <si>
    <t>Широкие</t>
  </si>
  <si>
    <t>золотые</t>
  </si>
  <si>
    <t>полосы</t>
  </si>
  <si>
    <t>падали</t>
  </si>
  <si>
    <t>окон</t>
  </si>
  <si>
    <t>нижнего</t>
  </si>
  <si>
    <t>этажа</t>
  </si>
  <si>
    <t>сад</t>
  </si>
  <si>
    <t>дальше</t>
  </si>
  <si>
    <t># text = Одна из них вдруг погасла.</t>
  </si>
  <si>
    <t>Одна</t>
  </si>
  <si>
    <t>погасла</t>
  </si>
  <si>
    <t># text = Слуги вышли из кухни.</t>
  </si>
  <si>
    <t>Слуги</t>
  </si>
  <si>
    <t>вышли</t>
  </si>
  <si>
    <t># text = Теперь лампа горела только в столовой, где те двое — убийца-хозяин и ничего не подозревающий гость — покуривали сигары и продолжали свой разговор.</t>
  </si>
  <si>
    <t>лампа</t>
  </si>
  <si>
    <t>горела</t>
  </si>
  <si>
    <t>убийца</t>
  </si>
  <si>
    <t>хозяин</t>
  </si>
  <si>
    <t>ничего</t>
  </si>
  <si>
    <t>pron.pind</t>
  </si>
  <si>
    <t>подозревающий</t>
  </si>
  <si>
    <t>гость</t>
  </si>
  <si>
    <t>покуривали</t>
  </si>
  <si>
    <t>продолжали</t>
  </si>
  <si>
    <t>свой</t>
  </si>
  <si>
    <t>разговор</t>
  </si>
  <si>
    <t># text = Белая волокнистая пелена, затянувшая почти все болото, с каждой минутой приближалась к дому.</t>
  </si>
  <si>
    <t>Белая</t>
  </si>
  <si>
    <t>волокнистая</t>
  </si>
  <si>
    <t>пелена</t>
  </si>
  <si>
    <t>затянувшая</t>
  </si>
  <si>
    <t>почти</t>
  </si>
  <si>
    <t>болото</t>
  </si>
  <si>
    <t>каждой</t>
  </si>
  <si>
    <t>минутой</t>
  </si>
  <si>
    <t>приближалась</t>
  </si>
  <si>
    <t># text = Первые прозрачные клочья уже завивались у золотистого квадрата освещенного окна.</t>
  </si>
  <si>
    <t>Первые</t>
  </si>
  <si>
    <t>прозрачные</t>
  </si>
  <si>
    <t>клочья</t>
  </si>
  <si>
    <t>завивались</t>
  </si>
  <si>
    <t>золотистого</t>
  </si>
  <si>
    <t>квадрата</t>
  </si>
  <si>
    <t>освещенного</t>
  </si>
  <si>
    <t># text = Дальняя стена сада совсем исчезла в этой клубящейся мгле, над которой виднелись только верхушки деревьев.</t>
  </si>
  <si>
    <t>Дальняя</t>
  </si>
  <si>
    <t>стена</t>
  </si>
  <si>
    <t>совсем</t>
  </si>
  <si>
    <t>исчезла</t>
  </si>
  <si>
    <t>клубящейся</t>
  </si>
  <si>
    <t>мгле</t>
  </si>
  <si>
    <t>которой</t>
  </si>
  <si>
    <t>виднелись</t>
  </si>
  <si>
    <t>деревьев</t>
  </si>
  <si>
    <t># text = Вот белесые кольца показались с обеих сторон дома и медленно слились в плотный вал, и верхний этаж с крышей всплыл над ним, точно волшебный корабль на волнах призрачного моря.</t>
  </si>
  <si>
    <t>белесые</t>
  </si>
  <si>
    <t>кольца</t>
  </si>
  <si>
    <t>показались</t>
  </si>
  <si>
    <t>обеих</t>
  </si>
  <si>
    <t>сторон</t>
  </si>
  <si>
    <t>слились</t>
  </si>
  <si>
    <t>плотный</t>
  </si>
  <si>
    <t>вал</t>
  </si>
  <si>
    <t>верхний</t>
  </si>
  <si>
    <t>этаж</t>
  </si>
  <si>
    <t>всплыл</t>
  </si>
  <si>
    <t>точно</t>
  </si>
  <si>
    <t>волшебный</t>
  </si>
  <si>
    <t>корабль</t>
  </si>
  <si>
    <t>волнах</t>
  </si>
  <si>
    <t>призрачного</t>
  </si>
  <si>
    <t>моря</t>
  </si>
  <si>
    <t># text = Холмс яростно ударил кулаком о камень, за которым мы стояли, и вне себя от нетерпения топнул ногой.</t>
  </si>
  <si>
    <t>яростно</t>
  </si>
  <si>
    <t>ударил</t>
  </si>
  <si>
    <t>кулаком</t>
  </si>
  <si>
    <t>камень</t>
  </si>
  <si>
    <t>вне</t>
  </si>
  <si>
    <t>себя</t>
  </si>
  <si>
    <t>нетерпения</t>
  </si>
  <si>
    <t>топнул</t>
  </si>
  <si>
    <t>ногой</t>
  </si>
  <si>
    <t># text = — Если он не появится через четверть часа, тропинку затянет туманом, а через полчаса мы уже не сможем разглядеть собственную руку в этой тьме.</t>
  </si>
  <si>
    <t>Если</t>
  </si>
  <si>
    <t>появится</t>
  </si>
  <si>
    <t>через</t>
  </si>
  <si>
    <t>четверть</t>
  </si>
  <si>
    <t>часа</t>
  </si>
  <si>
    <t>тропинку</t>
  </si>
  <si>
    <t>затянет</t>
  </si>
  <si>
    <t>туманом</t>
  </si>
  <si>
    <t>пол</t>
  </si>
  <si>
    <t>сможем</t>
  </si>
  <si>
    <t>собственную</t>
  </si>
  <si>
    <t>руку</t>
  </si>
  <si>
    <t>тьме</t>
  </si>
  <si>
    <t># text = — Отойдем немного назад, там выше.</t>
  </si>
  <si>
    <t>Отойдем</t>
  </si>
  <si>
    <t>немного</t>
  </si>
  <si>
    <t>назад</t>
  </si>
  <si>
    <t>выше</t>
  </si>
  <si>
    <t># text = — Да, пожалуй, так и сделаем.</t>
  </si>
  <si>
    <t>пожалуй</t>
  </si>
  <si>
    <t>так</t>
  </si>
  <si>
    <t>сделаем</t>
  </si>
  <si>
    <t># text = По мере того как туман надвигался на нас, мы отступали все дальше и дальше, пока не очутились в полумиле от дома.</t>
  </si>
  <si>
    <t>По</t>
  </si>
  <si>
    <t>мере</t>
  </si>
  <si>
    <t>надвигался</t>
  </si>
  <si>
    <t>отступали</t>
  </si>
  <si>
    <t>пока</t>
  </si>
  <si>
    <t>полумиле</t>
  </si>
  <si>
    <t># text = Но сплошное белесое море, посеребренное сверху луной, подбиралось и туда, продолжая свое медленное, неуклонное наступление.</t>
  </si>
  <si>
    <t>сплошное</t>
  </si>
  <si>
    <t>белесое</t>
  </si>
  <si>
    <t>море</t>
  </si>
  <si>
    <t>посеребренное</t>
  </si>
  <si>
    <t>луной</t>
  </si>
  <si>
    <t>подбиралось</t>
  </si>
  <si>
    <t>продолжая</t>
  </si>
  <si>
    <t>медленное</t>
  </si>
  <si>
    <t>неуклонное</t>
  </si>
  <si>
    <t>наступление</t>
  </si>
  <si>
    <t># text = — Мы слишком далеко зашли, — сказал Холмс.</t>
  </si>
  <si>
    <t>слишком</t>
  </si>
  <si>
    <t>далеко</t>
  </si>
  <si>
    <t>зашли</t>
  </si>
  <si>
    <t># text = — Это уже рискованно: его могут настигнуть прежде, чем он дойдет до нас.</t>
  </si>
  <si>
    <t>рискованно</t>
  </si>
  <si>
    <t>могут</t>
  </si>
  <si>
    <t>настигнуть</t>
  </si>
  <si>
    <t>SBJ_5</t>
  </si>
  <si>
    <t>дойдет</t>
  </si>
  <si>
    <t># text = Ну, будь что будет, останемся здесь.</t>
  </si>
  <si>
    <t>Ну</t>
  </si>
  <si>
    <t>будь</t>
  </si>
  <si>
    <t>будет</t>
  </si>
  <si>
    <t>останемся</t>
  </si>
  <si>
    <t># text = Он опустился на колени и приложил ухо к земле.</t>
  </si>
  <si>
    <t>опустился</t>
  </si>
  <si>
    <t>колени</t>
  </si>
  <si>
    <t>приложил</t>
  </si>
  <si>
    <t>ухо</t>
  </si>
  <si>
    <t>земле</t>
  </si>
  <si>
    <t># text = — Слава богу!</t>
  </si>
  <si>
    <t>Слава</t>
  </si>
  <si>
    <t>богу</t>
  </si>
  <si>
    <t># text = Кажется, идет!</t>
  </si>
  <si>
    <t>Кажется</t>
  </si>
  <si>
    <t>идет</t>
  </si>
  <si>
    <t># text = В тишине болот послышались быстрые шаги.</t>
  </si>
  <si>
    <t>тишине</t>
  </si>
  <si>
    <t>болот</t>
  </si>
  <si>
    <t>послышались</t>
  </si>
  <si>
    <t>быстрые</t>
  </si>
  <si>
    <t>шаги</t>
  </si>
  <si>
    <t># text = Пригнувшись за валунами, мы напряженно всматривались в подступавшую к нам мутно-серебристую стену.</t>
  </si>
  <si>
    <t>Пригнувшись</t>
  </si>
  <si>
    <t>валунами</t>
  </si>
  <si>
    <t>напряженно</t>
  </si>
  <si>
    <t>всматривались</t>
  </si>
  <si>
    <t>подступавшую</t>
  </si>
  <si>
    <t>мутно</t>
  </si>
  <si>
    <t>-серебристую</t>
  </si>
  <si>
    <t># text = Шаги все приближались, и вот из тумана, словно распахнув перед собой занавес, выступил тот, кого мы поджидали.</t>
  </si>
  <si>
    <t>тумана</t>
  </si>
  <si>
    <t>распахнув</t>
  </si>
  <si>
    <t>собой</t>
  </si>
  <si>
    <t>занавес</t>
  </si>
  <si>
    <t>выступил</t>
  </si>
  <si>
    <t>тот</t>
  </si>
  <si>
    <t>кого</t>
  </si>
  <si>
    <t>поджидали</t>
  </si>
  <si>
    <t># text = Увидя над собой чистое звездное небо, он с удивлением осмотрелся по сторонам.</t>
  </si>
  <si>
    <t>Увидя</t>
  </si>
  <si>
    <t>звездное</t>
  </si>
  <si>
    <t>удивлением</t>
  </si>
  <si>
    <t>осмотрелся</t>
  </si>
  <si>
    <t># text = Потом быстро зашагал по тропинке, прошел мимо нас и стал подниматься вверх по отлогому склону, начинавшемуся сразу за валунами.</t>
  </si>
  <si>
    <t>Потом</t>
  </si>
  <si>
    <t>быстро</t>
  </si>
  <si>
    <t>зашагал</t>
  </si>
  <si>
    <t>стал</t>
  </si>
  <si>
    <t>вверх</t>
  </si>
  <si>
    <t>отлогому</t>
  </si>
  <si>
    <t>склону</t>
  </si>
  <si>
    <t>начинавшемуся</t>
  </si>
  <si>
    <t>сразу</t>
  </si>
  <si>
    <t># text = На ходу он то и дело оглядывался через плечо, видимо остерегаясь чего-то.</t>
  </si>
  <si>
    <t>На</t>
  </si>
  <si>
    <t>ходу</t>
  </si>
  <si>
    <t>дело</t>
  </si>
  <si>
    <t>оглядывался</t>
  </si>
  <si>
    <t>плечо</t>
  </si>
  <si>
    <t>видимо</t>
  </si>
  <si>
    <t>остерегаясь</t>
  </si>
  <si>
    <t>чего-то</t>
  </si>
  <si>
    <t># text = — Тсс! — шепнул Холмс и щелкнул курком, — Смотрите!</t>
  </si>
  <si>
    <t>шепнул</t>
  </si>
  <si>
    <t>щелкнул</t>
  </si>
  <si>
    <t>курком</t>
  </si>
  <si>
    <t># text = Вот она!</t>
  </si>
  <si>
    <t># text = В самой гуще подползающего к нам тумана послышался мерный, дробный топот.</t>
  </si>
  <si>
    <t>самой</t>
  </si>
  <si>
    <t>гуще</t>
  </si>
  <si>
    <t>подползающего</t>
  </si>
  <si>
    <t>послышался</t>
  </si>
  <si>
    <t>мерный</t>
  </si>
  <si>
    <t>дробный</t>
  </si>
  <si>
    <t>топот</t>
  </si>
  <si>
    <t># text = Белая стена была от нас уже ярдах в пятидесяти, и мы трое вперили в нее взгляд, не зная, какое чудовище появится оттуда.</t>
  </si>
  <si>
    <t>ярдах</t>
  </si>
  <si>
    <t>пятидесяти</t>
  </si>
  <si>
    <t>трое</t>
  </si>
  <si>
    <t>вперили</t>
  </si>
  <si>
    <t>взгляд</t>
  </si>
  <si>
    <t>зная</t>
  </si>
  <si>
    <t>какое</t>
  </si>
  <si>
    <t>чудовище</t>
  </si>
  <si>
    <t>оттуда</t>
  </si>
  <si>
    <t># text = Стоя рядом с Холмсом, я мельком взглянул ему в лицо — бледное, взволнованное, с горящими при лунном свете глазами.</t>
  </si>
  <si>
    <t>Стоя</t>
  </si>
  <si>
    <t>рядом</t>
  </si>
  <si>
    <t>Холмсом</t>
  </si>
  <si>
    <t>мельком</t>
  </si>
  <si>
    <t>взглянул</t>
  </si>
  <si>
    <t>бледное</t>
  </si>
  <si>
    <t>взволнованное</t>
  </si>
  <si>
    <t>горящими</t>
  </si>
  <si>
    <t>при</t>
  </si>
  <si>
    <t>лунном</t>
  </si>
  <si>
    <t>свете</t>
  </si>
  <si>
    <t>глазами</t>
  </si>
  <si>
    <t># text = И вдруг оно преобразилось: взгляд стал сосредоточен и суров, рот приоткрылся от изумления.</t>
  </si>
  <si>
    <t>И</t>
  </si>
  <si>
    <t>оно</t>
  </si>
  <si>
    <t>преобразилось</t>
  </si>
  <si>
    <t>сосредоточен</t>
  </si>
  <si>
    <t>суров</t>
  </si>
  <si>
    <t>рот</t>
  </si>
  <si>
    <t>приоткрылся</t>
  </si>
  <si>
    <t>изумления</t>
  </si>
  <si>
    <t># text = В ту же секунду Лестрейд вскрикнул от ужаса и упал ничком на землю.</t>
  </si>
  <si>
    <t>секунду</t>
  </si>
  <si>
    <t>вскрикнул</t>
  </si>
  <si>
    <t>ужаса</t>
  </si>
  <si>
    <t>упал</t>
  </si>
  <si>
    <t>ничком</t>
  </si>
  <si>
    <t>землю</t>
  </si>
  <si>
    <t># text = Я выпрямился и, почти парализованный тем зрелищем, которое явилось моим глазам, потянулся ослабевшей рукой к револьверу.</t>
  </si>
  <si>
    <t>выпрямился</t>
  </si>
  <si>
    <t>парализованный</t>
  </si>
  <si>
    <t>зрелищем</t>
  </si>
  <si>
    <t>которое</t>
  </si>
  <si>
    <t>SBJ_6</t>
  </si>
  <si>
    <t>явилось</t>
  </si>
  <si>
    <t>моим</t>
  </si>
  <si>
    <t>глазам</t>
  </si>
  <si>
    <t>потянулся</t>
  </si>
  <si>
    <t>ослабевшей</t>
  </si>
  <si>
    <t>рукой</t>
  </si>
  <si>
    <t>револьверу</t>
  </si>
  <si>
    <t># text = Да!</t>
  </si>
  <si>
    <t># text = Это была собака, огромная, черная как смоль.</t>
  </si>
  <si>
    <t>огромная</t>
  </si>
  <si>
    <t>черная</t>
  </si>
  <si>
    <t>смоль</t>
  </si>
  <si>
    <t># text = Но такой собаки еще никто из нас, смертных, не видывал.</t>
  </si>
  <si>
    <t>такой</t>
  </si>
  <si>
    <t>собаки</t>
  </si>
  <si>
    <t>еще</t>
  </si>
  <si>
    <t>никто</t>
  </si>
  <si>
    <t>смертных</t>
  </si>
  <si>
    <t>видывал</t>
  </si>
  <si>
    <t># text = Из ее отверстой пасти вырывалось пламя, глаза метали искры, по морде и загривку переливался мерцающий огонь.</t>
  </si>
  <si>
    <t>Из</t>
  </si>
  <si>
    <t>отверстой</t>
  </si>
  <si>
    <t>пасти</t>
  </si>
  <si>
    <t>вырывалось</t>
  </si>
  <si>
    <t>пламя</t>
  </si>
  <si>
    <t>глаза</t>
  </si>
  <si>
    <t>метали</t>
  </si>
  <si>
    <t>искры</t>
  </si>
  <si>
    <t>морде</t>
  </si>
  <si>
    <t>загривку</t>
  </si>
  <si>
    <t>переливался</t>
  </si>
  <si>
    <t>мерцающий</t>
  </si>
  <si>
    <t>огонь</t>
  </si>
  <si>
    <t># text = Ни в чьем воспаленном мозгу не могло бы возникнуть видение более страшное, более омерзительное, чем это адское существо, выскочившее на нас из тумана.</t>
  </si>
  <si>
    <t>Ни</t>
  </si>
  <si>
    <t>чьем</t>
  </si>
  <si>
    <t>воспаленном</t>
  </si>
  <si>
    <t>мозгу</t>
  </si>
  <si>
    <t>могло</t>
  </si>
  <si>
    <t>возникнуть</t>
  </si>
  <si>
    <t>видение</t>
  </si>
  <si>
    <t>более</t>
  </si>
  <si>
    <t>страшное</t>
  </si>
  <si>
    <t>омерзительное</t>
  </si>
  <si>
    <t>адское</t>
  </si>
  <si>
    <t>существо</t>
  </si>
  <si>
    <t>выскочившее</t>
  </si>
  <si>
    <t>other_8</t>
  </si>
  <si>
    <t># text = Чудовище неслось по тропинке огромными прыжками, принюхиваясь к следам нашего друга.</t>
  </si>
  <si>
    <t>Чудовище</t>
  </si>
  <si>
    <t>неслось</t>
  </si>
  <si>
    <t>огромными</t>
  </si>
  <si>
    <t>прыжками</t>
  </si>
  <si>
    <t>принюхиваясь</t>
  </si>
  <si>
    <t>следам</t>
  </si>
  <si>
    <t># text = Мы опомнились лишь после того, как оно промчалось мимо.</t>
  </si>
  <si>
    <t>опомнились</t>
  </si>
  <si>
    <t>лишь</t>
  </si>
  <si>
    <t>после</t>
  </si>
  <si>
    <t>промчалось</t>
  </si>
  <si>
    <t># text = Тогда и я и Холмс выстрелили одновременно, и раздавшийся вслед за этим оглушительный рев убедил нас, что по меньшей мере одна из пуль попала в цель.</t>
  </si>
  <si>
    <t>выстрелили</t>
  </si>
  <si>
    <t>одновременно</t>
  </si>
  <si>
    <t>раздавшийся</t>
  </si>
  <si>
    <t>вслед</t>
  </si>
  <si>
    <t>этим</t>
  </si>
  <si>
    <t>оглушительный</t>
  </si>
  <si>
    <t>рев</t>
  </si>
  <si>
    <t>убедил</t>
  </si>
  <si>
    <t>меньшей</t>
  </si>
  <si>
    <t>одна</t>
  </si>
  <si>
    <t>пуль</t>
  </si>
  <si>
    <t>попала</t>
  </si>
  <si>
    <t># text = Но собака не остановилась и продолжала мчаться вперед.</t>
  </si>
  <si>
    <t>остановилась</t>
  </si>
  <si>
    <t>продолжала</t>
  </si>
  <si>
    <t>мчаться</t>
  </si>
  <si>
    <t>вперед</t>
  </si>
  <si>
    <t># text = Мы видели, как сэр Генри оглянулся, мертвенно-бледный при свете луны, поднял в ужасе руки и замер в этой беспомощной позе, не сводя глаз с чудовища, которое настигало его.</t>
  </si>
  <si>
    <t>видели</t>
  </si>
  <si>
    <t>оглянулся</t>
  </si>
  <si>
    <t>мертвенно</t>
  </si>
  <si>
    <t>луны</t>
  </si>
  <si>
    <t>поднял</t>
  </si>
  <si>
    <t>ужасе</t>
  </si>
  <si>
    <t>руки</t>
  </si>
  <si>
    <t>замер</t>
  </si>
  <si>
    <t>беспомощной</t>
  </si>
  <si>
    <t>позе</t>
  </si>
  <si>
    <t>сводя</t>
  </si>
  <si>
    <t>глаз</t>
  </si>
  <si>
    <t>чудовища</t>
  </si>
  <si>
    <t>настигало</t>
  </si>
  <si>
    <t># text = Но голос взвывшей от боли собаки рассеял все наши страхи.</t>
  </si>
  <si>
    <t>голос</t>
  </si>
  <si>
    <t>взвывшей</t>
  </si>
  <si>
    <t>боли</t>
  </si>
  <si>
    <t>рассеял</t>
  </si>
  <si>
    <t>наши</t>
  </si>
  <si>
    <t>страхи</t>
  </si>
  <si>
    <t># text = Кто уязвим, тот и смертен, и если она ранена, значит, ее можно и убить.</t>
  </si>
  <si>
    <t>Кто</t>
  </si>
  <si>
    <t>уязвим</t>
  </si>
  <si>
    <t>смертен</t>
  </si>
  <si>
    <t>ранена</t>
  </si>
  <si>
    <t>убить</t>
  </si>
  <si>
    <t># text = Боже, как бежал в ту ночь Холмс!</t>
  </si>
  <si>
    <t>Боже</t>
  </si>
  <si>
    <t>бежал</t>
  </si>
  <si>
    <t>ночь</t>
  </si>
  <si>
    <t># text = Я всегда считался хорошим бегуном, но он опередил меня на такое же расстояние, на какое я сам опередил маленького сыщика.</t>
  </si>
  <si>
    <t>всегда</t>
  </si>
  <si>
    <t>считался</t>
  </si>
  <si>
    <t>хорошим</t>
  </si>
  <si>
    <t>бегуном</t>
  </si>
  <si>
    <t>опередил</t>
  </si>
  <si>
    <t>такое</t>
  </si>
  <si>
    <t>расстояние</t>
  </si>
  <si>
    <t>маленького</t>
  </si>
  <si>
    <t>сыщика</t>
  </si>
  <si>
    <t># text = Мы неслись по тропинке и слышали непрекращающиеся крики сэра Генри и глухой рев собаки.</t>
  </si>
  <si>
    <t>неслись</t>
  </si>
  <si>
    <t>слышали</t>
  </si>
  <si>
    <t>непрекращающиеся</t>
  </si>
  <si>
    <t>крики</t>
  </si>
  <si>
    <t>сэра</t>
  </si>
  <si>
    <t>глухой</t>
  </si>
  <si>
    <t># text = Я подоспел в ту минуту, когда она кинулась на свою жертву, повалила ее на землю и уже примеривалась схватить за горло.</t>
  </si>
  <si>
    <t>подоспел</t>
  </si>
  <si>
    <t>минуту</t>
  </si>
  <si>
    <t>кинулась</t>
  </si>
  <si>
    <t>свою</t>
  </si>
  <si>
    <t>жертву</t>
  </si>
  <si>
    <t>повалила</t>
  </si>
  <si>
    <t>примеривалась</t>
  </si>
  <si>
    <t>схватить</t>
  </si>
  <si>
    <t>горло</t>
  </si>
  <si>
    <t># text = Но Холмс всадил ей в бок одну за другой пять пуль.</t>
  </si>
  <si>
    <t>всадил</t>
  </si>
  <si>
    <t>ей</t>
  </si>
  <si>
    <t>бок</t>
  </si>
  <si>
    <t>одну</t>
  </si>
  <si>
    <t>другой</t>
  </si>
  <si>
    <t>пять</t>
  </si>
  <si>
    <t># text = Собака взвыла в последний раз, яростно щелкнула зубами, повалилась на спину и, судорожно дернув всеми четырьмя лапами, замерла.</t>
  </si>
  <si>
    <t>Собака</t>
  </si>
  <si>
    <t>взвыла</t>
  </si>
  <si>
    <t>щелкнула</t>
  </si>
  <si>
    <t>зубами</t>
  </si>
  <si>
    <t>повалилась</t>
  </si>
  <si>
    <t>спину</t>
  </si>
  <si>
    <t>судорожно</t>
  </si>
  <si>
    <t>дернув</t>
  </si>
  <si>
    <t>всеми</t>
  </si>
  <si>
    <t>четырьмя</t>
  </si>
  <si>
    <t>лапами</t>
  </si>
  <si>
    <t>замерла</t>
  </si>
  <si>
    <t># text = Я нагнулся над ней, задыхаясь от бега, и приставил дуло револьвера к этой страшной светящейся морде, но выстрелить мне не пришлось — исполинская собака была мертва.</t>
  </si>
  <si>
    <t>нагнулся</t>
  </si>
  <si>
    <t>ней</t>
  </si>
  <si>
    <t>задыхаясь</t>
  </si>
  <si>
    <t>бега</t>
  </si>
  <si>
    <t>приставил</t>
  </si>
  <si>
    <t>дуло</t>
  </si>
  <si>
    <t>револьвера</t>
  </si>
  <si>
    <t>страшной</t>
  </si>
  <si>
    <t>светящейся</t>
  </si>
  <si>
    <t>выстрелить</t>
  </si>
  <si>
    <t>OBJ_5</t>
  </si>
  <si>
    <t>исполинская</t>
  </si>
  <si>
    <t>мертва</t>
  </si>
  <si>
    <t># text = Сэр Генри лежал без сознания там, где она настигла его.</t>
  </si>
  <si>
    <t>Сэр</t>
  </si>
  <si>
    <t>лежал</t>
  </si>
  <si>
    <t>сознания</t>
  </si>
  <si>
    <t>настигла</t>
  </si>
  <si>
    <t># text = Мы сорвали с него воротничок, и Холмс возблагодарил судьбу, убедившись, что он не ранен и что наша помощь подоспела вовремя.</t>
  </si>
  <si>
    <t>сорвали</t>
  </si>
  <si>
    <t>воротничок</t>
  </si>
  <si>
    <t>возблагодарил</t>
  </si>
  <si>
    <t>судьбу</t>
  </si>
  <si>
    <t>убедившись</t>
  </si>
  <si>
    <t>ранен</t>
  </si>
  <si>
    <t>наша</t>
  </si>
  <si>
    <t>помощь</t>
  </si>
  <si>
    <t>подоспела</t>
  </si>
  <si>
    <t>вовремя</t>
  </si>
  <si>
    <t># text = А потом веки у сэра Генри дрогнули и он слабо шевельнулся.</t>
  </si>
  <si>
    <t>веки</t>
  </si>
  <si>
    <t>дрогнули</t>
  </si>
  <si>
    <t>слабо</t>
  </si>
  <si>
    <t>шевельнулся</t>
  </si>
  <si>
    <t># text = Лестрейд просунул ему между зубами горлышко фляги с бренди, и через секунду на нас глянули два испуганных глаза.</t>
  </si>
  <si>
    <t>просунул</t>
  </si>
  <si>
    <t>между</t>
  </si>
  <si>
    <t>горлышко</t>
  </si>
  <si>
    <t>фляги</t>
  </si>
  <si>
    <t>бренди</t>
  </si>
  <si>
    <t>глянули</t>
  </si>
  <si>
    <t>два</t>
  </si>
  <si>
    <t>испуганных</t>
  </si>
  <si>
    <t># text = — Боже мой! — прошептал баронет.</t>
  </si>
  <si>
    <t>мой</t>
  </si>
  <si>
    <t>прошептал</t>
  </si>
  <si>
    <t># text = — Что это было?</t>
  </si>
  <si>
    <t>Что</t>
  </si>
  <si>
    <t># text = Что это, чёрт возьми, было?</t>
  </si>
  <si>
    <t>чёрт</t>
  </si>
  <si>
    <t>возьми</t>
  </si>
  <si>
    <t># text = — Чем бы оно ни было, оно мертво, — сказал Холмс.</t>
  </si>
  <si>
    <t>Чем</t>
  </si>
  <si>
    <t>мертво</t>
  </si>
  <si>
    <t># text = — С привидением, которое преследовало ваш род, покончено навсегда.</t>
  </si>
  <si>
    <t>С</t>
  </si>
  <si>
    <t>привидением</t>
  </si>
  <si>
    <t>преследовало</t>
  </si>
  <si>
    <t>ваш</t>
  </si>
  <si>
    <t>род</t>
  </si>
  <si>
    <t>покончено</t>
  </si>
  <si>
    <t>навсегда</t>
  </si>
  <si>
    <t># text = Чудовище, лежавшее перед нами, поистине могло кого угодно испугать своими размерами и мощью.</t>
  </si>
  <si>
    <t>лежавшее</t>
  </si>
  <si>
    <t>поистине</t>
  </si>
  <si>
    <t>угодно</t>
  </si>
  <si>
    <t>испугать</t>
  </si>
  <si>
    <t>размерами</t>
  </si>
  <si>
    <t>мощью</t>
  </si>
  <si>
    <t># text = Это была не чистокровная ищейка и не чистокровный мастиф, а, видимо, помесь — поджарый, страшный пес величиной с молодую львицу.</t>
  </si>
  <si>
    <t>чистокровная</t>
  </si>
  <si>
    <t>ищейка</t>
  </si>
  <si>
    <t>чистокровный</t>
  </si>
  <si>
    <t>мастиф</t>
  </si>
  <si>
    <t>помесь</t>
  </si>
  <si>
    <t>поджарый</t>
  </si>
  <si>
    <t>страшный</t>
  </si>
  <si>
    <t>пес</t>
  </si>
  <si>
    <t>величиной</t>
  </si>
  <si>
    <t>молодую</t>
  </si>
  <si>
    <t>львицу</t>
  </si>
  <si>
    <t># text = Даже сейчас, несмотря на неподвижность смерти, его огромная пасть все еще светилась голубоватым пламенем, глубоко сидящие дикие глаза были обведены огненными кругами.</t>
  </si>
  <si>
    <t>Даже</t>
  </si>
  <si>
    <t>сейчас</t>
  </si>
  <si>
    <t>неподвижность</t>
  </si>
  <si>
    <t>смерти</t>
  </si>
  <si>
    <t>пасть</t>
  </si>
  <si>
    <t>светилась</t>
  </si>
  <si>
    <t>голубоватым</t>
  </si>
  <si>
    <t>пламенем</t>
  </si>
  <si>
    <t>глубоко</t>
  </si>
  <si>
    <t>сидящие</t>
  </si>
  <si>
    <t>дикие</t>
  </si>
  <si>
    <t>обведены</t>
  </si>
  <si>
    <t>огненными</t>
  </si>
  <si>
    <t>кругами</t>
  </si>
  <si>
    <t># text = Я дотронулся до этой светящейся головы и, отняв руку, увидел, что мои пальцы тоже засветились в темноте.</t>
  </si>
  <si>
    <t>дотронулся</t>
  </si>
  <si>
    <t>головы</t>
  </si>
  <si>
    <t>отняв</t>
  </si>
  <si>
    <t>пальцы</t>
  </si>
  <si>
    <t>засветились</t>
  </si>
  <si>
    <t># text = — Фосфор, — сказал я.</t>
  </si>
  <si>
    <t>Фосфор</t>
  </si>
  <si>
    <t># text = — Да, и какой-то особый препарат, — подтвердил Холмс, потянув носом.</t>
  </si>
  <si>
    <t>какой-то</t>
  </si>
  <si>
    <t>особый</t>
  </si>
  <si>
    <t>подтвердил</t>
  </si>
  <si>
    <t>потянув</t>
  </si>
  <si>
    <t>носом</t>
  </si>
  <si>
    <t># text = — Без запаха, чтобы у собаки не исчезло чутье.</t>
  </si>
  <si>
    <t>Без</t>
  </si>
  <si>
    <t>запаха</t>
  </si>
  <si>
    <t>чтобы</t>
  </si>
  <si>
    <t>исчезло</t>
  </si>
  <si>
    <t>чутье</t>
  </si>
  <si>
    <t># text = Простите нас, сэр Генри, что мы подвергли вас такому страшному испытанию.</t>
  </si>
  <si>
    <t>Простите</t>
  </si>
  <si>
    <t>подвергли</t>
  </si>
  <si>
    <t>такому</t>
  </si>
  <si>
    <t>страшному</t>
  </si>
  <si>
    <t>испытанию</t>
  </si>
  <si>
    <t># text = Я готовился увидеть собаку, но никак не ожидал, что это будет такое чудовище.</t>
  </si>
  <si>
    <t>готовился</t>
  </si>
  <si>
    <t>увидеть</t>
  </si>
  <si>
    <t>собаку</t>
  </si>
  <si>
    <t>никак</t>
  </si>
  <si>
    <t>ожидал</t>
  </si>
  <si>
    <t># text = К тому же нам помешал туман, и мы не смогли оказать псу достойную встречу.</t>
  </si>
  <si>
    <t>К</t>
  </si>
  <si>
    <t>тому</t>
  </si>
  <si>
    <t>помешал</t>
  </si>
  <si>
    <t>смогли</t>
  </si>
  <si>
    <t>оказать</t>
  </si>
  <si>
    <t>псу</t>
  </si>
  <si>
    <t>достойную</t>
  </si>
  <si>
    <t>встречу</t>
  </si>
  <si>
    <t># text = — Вы спасли мне жизнь.</t>
  </si>
  <si>
    <t>спасли</t>
  </si>
  <si>
    <t># text = — Подвергнув ее сначала опасности...</t>
  </si>
  <si>
    <t>Подвергнув</t>
  </si>
  <si>
    <t>сначала</t>
  </si>
  <si>
    <t>опасности</t>
  </si>
  <si>
    <t># text = Ну как, можете встать?</t>
  </si>
  <si>
    <t>можете</t>
  </si>
  <si>
    <t># text = — Дайте мне еще один глоток этого бренди, и тогда все будет в порядке.</t>
  </si>
  <si>
    <t>Дайте</t>
  </si>
  <si>
    <t>глоток</t>
  </si>
  <si>
    <t>тогда</t>
  </si>
  <si>
    <t>порядке</t>
  </si>
  <si>
    <t># text = Ну вот!</t>
  </si>
  <si>
    <t># text = Теперь с вашей помощью я встану.</t>
  </si>
  <si>
    <t>вашей</t>
  </si>
  <si>
    <t>помощью</t>
  </si>
  <si>
    <t>встану</t>
  </si>
  <si>
    <t># text = А что вы намерены делать дальше?</t>
  </si>
  <si>
    <t>намерены</t>
  </si>
  <si>
    <t># text = — Пока оставим вас здесь — вы уже достаточно натерпелись за сегодняшнюю ночь, — а потом кто-нибудь из нас вернется с вами домой.</t>
  </si>
  <si>
    <t>Пока</t>
  </si>
  <si>
    <t>оставим</t>
  </si>
  <si>
    <t>достаточно</t>
  </si>
  <si>
    <t>натерпелись</t>
  </si>
  <si>
    <t>сегодняшнюю</t>
  </si>
  <si>
    <t>кто-нибудь</t>
  </si>
  <si>
    <t>вернется</t>
  </si>
  <si>
    <t>вами</t>
  </si>
  <si>
    <t># text = Баронет попробовал подняться, но не смог.</t>
  </si>
  <si>
    <t>Баронет</t>
  </si>
  <si>
    <t>попробовал</t>
  </si>
  <si>
    <t>подняться</t>
  </si>
  <si>
    <t>смог</t>
  </si>
  <si>
    <t># text = Он был бледен как полотно и дрожал всем телом.</t>
  </si>
  <si>
    <t>был</t>
  </si>
  <si>
    <t>бледен</t>
  </si>
  <si>
    <t>полотно</t>
  </si>
  <si>
    <t>дрожал</t>
  </si>
  <si>
    <t>всем</t>
  </si>
  <si>
    <t>телом</t>
  </si>
  <si>
    <t># text = Мы подвели его к валуну.</t>
  </si>
  <si>
    <t>подвели</t>
  </si>
  <si>
    <t>валуну</t>
  </si>
  <si>
    <t># text = Он сел там, дрожа всем телом, и закрыл лицо руками.</t>
  </si>
  <si>
    <t>сел</t>
  </si>
  <si>
    <t>дрожа</t>
  </si>
  <si>
    <t>закрыл</t>
  </si>
  <si>
    <t>руками</t>
  </si>
  <si>
    <t># text = — А теперь нам придется уйти, — сказал Холмс.</t>
  </si>
  <si>
    <t>придется</t>
  </si>
  <si>
    <t># text = — Надо кончить начатое дело.</t>
  </si>
  <si>
    <t>Надо</t>
  </si>
  <si>
    <t>кончить</t>
  </si>
  <si>
    <t>начатое</t>
  </si>
  <si>
    <t># text = Дорога каждая минута.</t>
  </si>
  <si>
    <t>Дорога</t>
  </si>
  <si>
    <t>каждая</t>
  </si>
  <si>
    <t># text = Состав преступления теперь налицо, остается только схватить преступника...</t>
  </si>
  <si>
    <t>Состав</t>
  </si>
  <si>
    <t>преступления</t>
  </si>
  <si>
    <t>остается</t>
  </si>
  <si>
    <t>преступника</t>
  </si>
  <si>
    <t># text = Держу пари, в доме его уже не окажется, — продолжал Холмс, быстро шагая рядом с нами по тропинке.</t>
  </si>
  <si>
    <t>Держу</t>
  </si>
  <si>
    <t>пари</t>
  </si>
  <si>
    <t>окажется</t>
  </si>
  <si>
    <t>продолжал</t>
  </si>
  <si>
    <t>шагая</t>
  </si>
  <si>
    <t># text = — Он не мог не слышать выстрелов и понял, что игра проиграна.</t>
  </si>
  <si>
    <t>выстрелов</t>
  </si>
  <si>
    <t>игра</t>
  </si>
  <si>
    <t>проиграна</t>
  </si>
  <si>
    <t># text = — Ну что вы!</t>
  </si>
  <si>
    <t># text = Это было далеко от дома, к тому же туман приглушает звуки.</t>
  </si>
  <si>
    <t>приглушает</t>
  </si>
  <si>
    <t>звуки</t>
  </si>
  <si>
    <t># text = — Можете не сомневаться, что он кинулся следом за собакой, ведь ее надо было оттащить от тела.</t>
  </si>
  <si>
    <t>Можете</t>
  </si>
  <si>
    <t>сомневаться</t>
  </si>
  <si>
    <t>кинулся</t>
  </si>
  <si>
    <t>следом</t>
  </si>
  <si>
    <t>собакой</t>
  </si>
  <si>
    <t>оттащить</t>
  </si>
  <si>
    <t>тела</t>
  </si>
  <si>
    <t># text = Нет, мы его уже не застанем!</t>
  </si>
  <si>
    <t>застанем</t>
  </si>
  <si>
    <t># text = Но на всякий случай надо обшарить все уголки.</t>
  </si>
  <si>
    <t>всякий</t>
  </si>
  <si>
    <t>случай</t>
  </si>
  <si>
    <t>обшарить</t>
  </si>
  <si>
    <t>уголки</t>
  </si>
  <si>
    <t># text = Входная дверь была открыта настежь, и, вбежав в дом, мы быстро осмотрели комнату за комнатой, к удивлению дряхлого слуги, встретившего нас в коридоре.</t>
  </si>
  <si>
    <t>Входная</t>
  </si>
  <si>
    <t>дверь</t>
  </si>
  <si>
    <t>открыта</t>
  </si>
  <si>
    <t>настежь</t>
  </si>
  <si>
    <t>вбежав</t>
  </si>
  <si>
    <t>дом</t>
  </si>
  <si>
    <t>осмотрели</t>
  </si>
  <si>
    <t>комнату</t>
  </si>
  <si>
    <t>комнатой</t>
  </si>
  <si>
    <t>удивлению</t>
  </si>
  <si>
    <t>дряхлого</t>
  </si>
  <si>
    <t>слуги</t>
  </si>
  <si>
    <t>встретившего</t>
  </si>
  <si>
    <t>коридоре</t>
  </si>
  <si>
    <t># text = Свет горел только в столовой, но Холмс взял оттуда лампу и обошел с ней все закоулки в доме.</t>
  </si>
  <si>
    <t>Свет</t>
  </si>
  <si>
    <t>горел</t>
  </si>
  <si>
    <t>взял</t>
  </si>
  <si>
    <t>лампу</t>
  </si>
  <si>
    <t>обошел</t>
  </si>
  <si>
    <t>закоулки</t>
  </si>
  <si>
    <t># text = Человек, которого мы искали, исчез бесследно.</t>
  </si>
  <si>
    <t>Человек</t>
  </si>
  <si>
    <t>искали</t>
  </si>
  <si>
    <t>бесследно</t>
  </si>
  <si>
    <t># text = Однако на втором этаже дверь одной из спален оказалась запертой.</t>
  </si>
  <si>
    <t>Однако</t>
  </si>
  <si>
    <t>втором</t>
  </si>
  <si>
    <t>этаже</t>
  </si>
  <si>
    <t>одной</t>
  </si>
  <si>
    <t>спален</t>
  </si>
  <si>
    <t>оказалась</t>
  </si>
  <si>
    <t>запертой</t>
  </si>
  <si>
    <t># text = — Там кто-то есть! — крикнул Лестрейд.</t>
  </si>
  <si>
    <t>Там</t>
  </si>
  <si>
    <t>кто-то</t>
  </si>
  <si>
    <t>крикнул</t>
  </si>
  <si>
    <t># text = — Я слышу, что кто-то шевелится.</t>
  </si>
  <si>
    <t>слышу</t>
  </si>
  <si>
    <t>шевелится</t>
  </si>
  <si>
    <t># text = Откройте эту дверь!</t>
  </si>
  <si>
    <t>Откройте</t>
  </si>
  <si>
    <t># text = В комнате послышался слабый стон и шорох.</t>
  </si>
  <si>
    <t>слабый</t>
  </si>
  <si>
    <t>стон</t>
  </si>
  <si>
    <t>шорох</t>
  </si>
  <si>
    <t># text = Холмс ударил ногой чуть повыше замка, и дверь распахнулась настежь.</t>
  </si>
  <si>
    <t>чуть</t>
  </si>
  <si>
    <t>повыше</t>
  </si>
  <si>
    <t>замка</t>
  </si>
  <si>
    <t>распахнулась</t>
  </si>
  <si>
    <t># text = Держа револьверы наготове, мы ворвались туда.</t>
  </si>
  <si>
    <t>Держа</t>
  </si>
  <si>
    <t>револьверы</t>
  </si>
  <si>
    <t>наготове</t>
  </si>
  <si>
    <t>ворвались</t>
  </si>
  <si>
    <t># text = Но дерзостного негодяя, за которым мы охотились, не оказалось и тут.</t>
  </si>
  <si>
    <t>дерзостного</t>
  </si>
  <si>
    <t>негодяя</t>
  </si>
  <si>
    <t>охотились</t>
  </si>
  <si>
    <t>оказалось</t>
  </si>
  <si>
    <t>тут</t>
  </si>
  <si>
    <t># text = Вместо него глазам нашим предстало нечто до такой степени странное и неожиданное, что мы замерли на месте.</t>
  </si>
  <si>
    <t>Вместо</t>
  </si>
  <si>
    <t>нашим</t>
  </si>
  <si>
    <t>предстало</t>
  </si>
  <si>
    <t>нечто</t>
  </si>
  <si>
    <t>степени</t>
  </si>
  <si>
    <t>странное</t>
  </si>
  <si>
    <t>неожиданное</t>
  </si>
  <si>
    <t>замерли</t>
  </si>
  <si>
    <t>месте</t>
  </si>
  <si>
    <t># text = Эта комната представляла собой маленький музей.</t>
  </si>
  <si>
    <t>Эта</t>
  </si>
  <si>
    <t>комната</t>
  </si>
  <si>
    <t>представляла</t>
  </si>
  <si>
    <t>маленький</t>
  </si>
  <si>
    <t>музей</t>
  </si>
  <si>
    <t># text = Ее стены были сплошь заставлены стеклянными ящиками, где хранилась коллекция мотыльков и бабочек — любимое детище этой сложной и преступной натуры.</t>
  </si>
  <si>
    <t>Ее</t>
  </si>
  <si>
    <t>сплошь</t>
  </si>
  <si>
    <t>заставлены</t>
  </si>
  <si>
    <t>стеклянными</t>
  </si>
  <si>
    <t>ящиками</t>
  </si>
  <si>
    <t>хранилась</t>
  </si>
  <si>
    <t>коллекция</t>
  </si>
  <si>
    <t>мотыльков</t>
  </si>
  <si>
    <t>бабочек</t>
  </si>
  <si>
    <t>любимое</t>
  </si>
  <si>
    <t>детище</t>
  </si>
  <si>
    <t>сложной</t>
  </si>
  <si>
    <t>преступной</t>
  </si>
  <si>
    <t>натуры</t>
  </si>
  <si>
    <t># text = Посередине поднималась толстая подпорка, подведенная под трухлявые балясины потолка.</t>
  </si>
  <si>
    <t>Посередине</t>
  </si>
  <si>
    <t>поднималась</t>
  </si>
  <si>
    <t>толстая</t>
  </si>
  <si>
    <t>подпорка</t>
  </si>
  <si>
    <t>подведенная</t>
  </si>
  <si>
    <t>под</t>
  </si>
  <si>
    <t>трухлявые</t>
  </si>
  <si>
    <t>балясины</t>
  </si>
  <si>
    <t>потолка</t>
  </si>
  <si>
    <t># text = И у этой подпорки стоял человек, привязанный к ней простынями, которые укутывали его с головы до ног, так что в первую минуту даже нельзя было разобрать, кто это — мужчина или женщина.</t>
  </si>
  <si>
    <t>подпорки</t>
  </si>
  <si>
    <t>стоял</t>
  </si>
  <si>
    <t>человек</t>
  </si>
  <si>
    <t>привязанный</t>
  </si>
  <si>
    <t>простынями</t>
  </si>
  <si>
    <t>укутывали</t>
  </si>
  <si>
    <t>ног</t>
  </si>
  <si>
    <t>первую</t>
  </si>
  <si>
    <t>разобрать</t>
  </si>
  <si>
    <t>мужчина</t>
  </si>
  <si>
    <t>SBJ_9</t>
  </si>
  <si>
    <t># text = Одно полотнище шло вокруг горла, другое закрывало нижнюю часть лица, оставляя открытыми только глаза, которые с немым вопросом смотрели на нас, полные ужаса и стыда.</t>
  </si>
  <si>
    <t>Одно</t>
  </si>
  <si>
    <t>полотнище</t>
  </si>
  <si>
    <t>шло</t>
  </si>
  <si>
    <t>вокруг</t>
  </si>
  <si>
    <t>горла</t>
  </si>
  <si>
    <t>другое</t>
  </si>
  <si>
    <t>закрывало</t>
  </si>
  <si>
    <t>нижнюю</t>
  </si>
  <si>
    <t>часть</t>
  </si>
  <si>
    <t>лица</t>
  </si>
  <si>
    <t>оставляя</t>
  </si>
  <si>
    <t>открытыми</t>
  </si>
  <si>
    <t>немым</t>
  </si>
  <si>
    <t>вопросом</t>
  </si>
  <si>
    <t>смотрели</t>
  </si>
  <si>
    <t>полные</t>
  </si>
  <si>
    <t>стыда</t>
  </si>
  <si>
    <t># text = В мгновение ока мы сорвали эти путы, вынули кляп, и к нашим ногам упала не кто иная, как миссис Стэплтон.</t>
  </si>
  <si>
    <t>мгновение</t>
  </si>
  <si>
    <t>ока</t>
  </si>
  <si>
    <t>путы</t>
  </si>
  <si>
    <t>вынули</t>
  </si>
  <si>
    <t>кляп</t>
  </si>
  <si>
    <t>ногам</t>
  </si>
  <si>
    <t>упала</t>
  </si>
  <si>
    <t>иная</t>
  </si>
  <si>
    <t>миссис</t>
  </si>
  <si>
    <t># text = Голова ее опустилась на грудь, и я увидел красный рубец у нее на шее от удара плетью.</t>
  </si>
  <si>
    <t>Голова</t>
  </si>
  <si>
    <t>опустилась</t>
  </si>
  <si>
    <t>грудь</t>
  </si>
  <si>
    <t>красный</t>
  </si>
  <si>
    <t>рубец</t>
  </si>
  <si>
    <t>шее</t>
  </si>
  <si>
    <t>удара</t>
  </si>
  <si>
    <t>плетью</t>
  </si>
  <si>
    <t># text = — Мерзавец! — крикнул Холмс.</t>
  </si>
  <si>
    <t># text = — Лестрейд, где бренди?</t>
  </si>
  <si>
    <t># text = Посадите ее на стул.</t>
  </si>
  <si>
    <t>Посадите</t>
  </si>
  <si>
    <t>стул</t>
  </si>
  <si>
    <t># text = Такие пытки кого угодно доведут до обморока!</t>
  </si>
  <si>
    <t>Такие</t>
  </si>
  <si>
    <t>пытки</t>
  </si>
  <si>
    <t>доведут</t>
  </si>
  <si>
    <t>обморока</t>
  </si>
  <si>
    <t># text = Миссис Стэплтон открыла глаза.</t>
  </si>
  <si>
    <t>Миссис</t>
  </si>
  <si>
    <t>открыла</t>
  </si>
  <si>
    <t># text = — Он спасся? — спросила она.</t>
  </si>
  <si>
    <t>спасся</t>
  </si>
  <si>
    <t>спросила</t>
  </si>
  <si>
    <t># text = — Он убежал?</t>
  </si>
  <si>
    <t>убежал</t>
  </si>
  <si>
    <t># text = — От нас он никуда не убежит, сударыня.</t>
  </si>
  <si>
    <t>От</t>
  </si>
  <si>
    <t>никуда</t>
  </si>
  <si>
    <t>убежит</t>
  </si>
  <si>
    <t>сударыня</t>
  </si>
  <si>
    <t># text = — Нет, нет, я не про мужа.</t>
  </si>
  <si>
    <t>про</t>
  </si>
  <si>
    <t>мужа</t>
  </si>
  <si>
    <t># text = Сэр Генри... спасся?</t>
  </si>
  <si>
    <t># text = — Да.</t>
  </si>
  <si>
    <t># text = — А собака?</t>
  </si>
  <si>
    <t># text = — Убита!</t>
  </si>
  <si>
    <t>Убита</t>
  </si>
  <si>
    <t># text = У нее вырвался долгий вздох облегчения: — Слава богу!</t>
  </si>
  <si>
    <t>У</t>
  </si>
  <si>
    <t>вырвался</t>
  </si>
  <si>
    <t>долгий</t>
  </si>
  <si>
    <t>вздох</t>
  </si>
  <si>
    <t>облегчения</t>
  </si>
  <si>
    <t># text = Слава богу!</t>
  </si>
  <si>
    <t># text = Негодяй!</t>
  </si>
  <si>
    <t># text = Смотрите, что он со мной сделал!</t>
  </si>
  <si>
    <t>со</t>
  </si>
  <si>
    <t>мной</t>
  </si>
  <si>
    <t>сделал</t>
  </si>
  <si>
    <t># text = — Она засучила оба рукава, и мы увидели, что ее руки все в синяках.</t>
  </si>
  <si>
    <t>Она</t>
  </si>
  <si>
    <t>засучила</t>
  </si>
  <si>
    <t>оба</t>
  </si>
  <si>
    <t>рукава</t>
  </si>
  <si>
    <t>увидели</t>
  </si>
  <si>
    <t>синяках</t>
  </si>
  <si>
    <t># text = — Но это еще ничего... это ничего.</t>
  </si>
  <si>
    <t># text = Он истерзал, он опоганил мою душу.</t>
  </si>
  <si>
    <t>истерзал</t>
  </si>
  <si>
    <t>опоганил</t>
  </si>
  <si>
    <t>мою</t>
  </si>
  <si>
    <t>душу</t>
  </si>
  <si>
    <t># text = Пока у меня теплилась надежда, что этот человек любит меня, я все сносила, все: дурное обращение, одиночество, жизнь, полную обмана...</t>
  </si>
  <si>
    <t>теплилась</t>
  </si>
  <si>
    <t>надежда</t>
  </si>
  <si>
    <t>этот</t>
  </si>
  <si>
    <t>любит</t>
  </si>
  <si>
    <t>сносила</t>
  </si>
  <si>
    <t>дурное</t>
  </si>
  <si>
    <t>обращение</t>
  </si>
  <si>
    <t>одиночество</t>
  </si>
  <si>
    <t>полную</t>
  </si>
  <si>
    <t>обмана</t>
  </si>
  <si>
    <t># text = Но он лгал мне, я была орудием в его руках!</t>
  </si>
  <si>
    <t>лгал</t>
  </si>
  <si>
    <t>орудием</t>
  </si>
  <si>
    <t>руках</t>
  </si>
  <si>
    <t># text = — Она не выдержала и разрыдалась.</t>
  </si>
  <si>
    <t>выдержала</t>
  </si>
  <si>
    <t>разрыдалась</t>
  </si>
  <si>
    <t># text = — Да, сударыня, у вас нет никаких оснований желать ему добра, — сказал Холмс.</t>
  </si>
  <si>
    <t>никаких</t>
  </si>
  <si>
    <t>оснований</t>
  </si>
  <si>
    <t>желать</t>
  </si>
  <si>
    <t>добра</t>
  </si>
  <si>
    <t># text = — Так откройте же, где его искать.</t>
  </si>
  <si>
    <t>Так</t>
  </si>
  <si>
    <t>откройте</t>
  </si>
  <si>
    <t>искать</t>
  </si>
  <si>
    <t># text = Если вы были его сообщницей, воспользуйтесь случаем загладить свою вину — помогите нам.</t>
  </si>
  <si>
    <t>сообщницей</t>
  </si>
  <si>
    <t>воспользуйтесь</t>
  </si>
  <si>
    <t>случаем</t>
  </si>
  <si>
    <t>загладить</t>
  </si>
  <si>
    <t>вину</t>
  </si>
  <si>
    <t>помогите</t>
  </si>
  <si>
    <t># text = — Он может спрятаться только в одном месте, больше ему некуда деваться, — ответила она.</t>
  </si>
  <si>
    <t>спрятаться</t>
  </si>
  <si>
    <t>одном</t>
  </si>
  <si>
    <t>деваться</t>
  </si>
  <si>
    <t>ответила</t>
  </si>
  <si>
    <t># text = — В самом сердце трясины есть островок, на котором был когда-то рудник.</t>
  </si>
  <si>
    <t>самом</t>
  </si>
  <si>
    <t>сердце</t>
  </si>
  <si>
    <t>трясины</t>
  </si>
  <si>
    <t>островок</t>
  </si>
  <si>
    <t>котором</t>
  </si>
  <si>
    <t>когда-то</t>
  </si>
  <si>
    <t>рудник</t>
  </si>
  <si>
    <t># text = Там он и держал свою собаку, и там у него все приготовлено на тот случай, если придется бежать.</t>
  </si>
  <si>
    <t>держал</t>
  </si>
  <si>
    <t>приготовлено</t>
  </si>
  <si>
    <t># text = Вот куда он мог скрыться.</t>
  </si>
  <si>
    <t>куда</t>
  </si>
  <si>
    <t>скрыться</t>
  </si>
  <si>
    <t># text = Холмс посветил в окно лампой.</t>
  </si>
  <si>
    <t>посветил</t>
  </si>
  <si>
    <t>лампой</t>
  </si>
  <si>
    <t># text = Туман, словно белая вата, лип к стеклу.</t>
  </si>
  <si>
    <t>белая</t>
  </si>
  <si>
    <t>вата</t>
  </si>
  <si>
    <t>лип</t>
  </si>
  <si>
    <t>стеклу</t>
  </si>
  <si>
    <t># text = — Смотрите, — сказал он.</t>
  </si>
  <si>
    <t># text = — Сегодня ночью никто не сможет пробраться на Гримпенскую трясину.</t>
  </si>
  <si>
    <t>Сегодня</t>
  </si>
  <si>
    <t>ночью</t>
  </si>
  <si>
    <t>сможет</t>
  </si>
  <si>
    <t>пробраться</t>
  </si>
  <si>
    <t>Гримпенскую</t>
  </si>
  <si>
    <t>трясину</t>
  </si>
  <si>
    <t># text = Миссис Стэплтон рассмеялась и захлопала в ладоши.</t>
  </si>
  <si>
    <t>рассмеялась</t>
  </si>
  <si>
    <t>захлопала</t>
  </si>
  <si>
    <t>ладоши</t>
  </si>
  <si>
    <t># text = Глаза ее сверкнули недобрым огнем.</t>
  </si>
  <si>
    <t>Глаза</t>
  </si>
  <si>
    <t>сверкнули</t>
  </si>
  <si>
    <t>недобрым</t>
  </si>
  <si>
    <t>огнем</t>
  </si>
  <si>
    <t># text = — Туда-то он найдет дорогу, а обратно не выберется! — воскликнула она.</t>
  </si>
  <si>
    <t>Туда-то</t>
  </si>
  <si>
    <t>найдет</t>
  </si>
  <si>
    <t>дорогу</t>
  </si>
  <si>
    <t>выберется</t>
  </si>
  <si>
    <t>воскликнула</t>
  </si>
  <si>
    <t># text = — Разве в такую ночь разглядишь вехи?</t>
  </si>
  <si>
    <t>Разве</t>
  </si>
  <si>
    <t>такую</t>
  </si>
  <si>
    <t>разглядишь</t>
  </si>
  <si>
    <t>вехи</t>
  </si>
  <si>
    <t># text = Мы ставили их вместе, чтобы наметить тропу через трясину.</t>
  </si>
  <si>
    <t>ставили</t>
  </si>
  <si>
    <t>вместе</t>
  </si>
  <si>
    <t>наметить</t>
  </si>
  <si>
    <t>тропу</t>
  </si>
  <si>
    <t># text = Ах, почему я не догадалась убрать их сегодня!</t>
  </si>
  <si>
    <t>Ах</t>
  </si>
  <si>
    <t>почему</t>
  </si>
  <si>
    <t>догадалась</t>
  </si>
  <si>
    <t>убрать</t>
  </si>
  <si>
    <t>сегодня</t>
  </si>
  <si>
    <t># text = Тогда он был бы в вашей власти!</t>
  </si>
  <si>
    <t>власти</t>
  </si>
  <si>
    <t># text = При таком тумане о погоне нечего было и думать.</t>
  </si>
  <si>
    <t>При</t>
  </si>
  <si>
    <t>таком</t>
  </si>
  <si>
    <t>тумане</t>
  </si>
  <si>
    <t>погоне</t>
  </si>
  <si>
    <t>нечего</t>
  </si>
  <si>
    <t>думать</t>
  </si>
  <si>
    <t># text = Мы оставили Лестрейда полновластным хозяином Меррипит-хаус, а сами вместе с сэром Генри вернулись в Баскервиль-холл.</t>
  </si>
  <si>
    <t>оставили</t>
  </si>
  <si>
    <t>Лестрейда</t>
  </si>
  <si>
    <t>полновластным</t>
  </si>
  <si>
    <t>хозяином</t>
  </si>
  <si>
    <t>сэром</t>
  </si>
  <si>
    <t>вернулись</t>
  </si>
  <si>
    <t>холл</t>
  </si>
  <si>
    <t># text = Скрывать от него историю Стэплтонов больше было нельзя.</t>
  </si>
  <si>
    <t>Скрывать</t>
  </si>
  <si>
    <t>историю</t>
  </si>
  <si>
    <t># text = Узнав всю правду о любимой женщине, он мужественно принял этот удар.</t>
  </si>
  <si>
    <t>Узнав</t>
  </si>
  <si>
    <t>всю</t>
  </si>
  <si>
    <t>правду</t>
  </si>
  <si>
    <t>любимой</t>
  </si>
  <si>
    <t>женщине</t>
  </si>
  <si>
    <t>мужественно</t>
  </si>
  <si>
    <t>принял</t>
  </si>
  <si>
    <t># text = Однако пережитое ночью потрясение не прошло даром для баронета.</t>
  </si>
  <si>
    <t>пережитое</t>
  </si>
  <si>
    <t>потрясение</t>
  </si>
  <si>
    <t>прошло</t>
  </si>
  <si>
    <t>даром</t>
  </si>
  <si>
    <t>для</t>
  </si>
  <si>
    <t>баронета</t>
  </si>
  <si>
    <t># text = К утру он лежал без памяти в горячке под надзором доктора Мортимера.</t>
  </si>
  <si>
    <t>утру</t>
  </si>
  <si>
    <t>памяти</t>
  </si>
  <si>
    <t>горячке</t>
  </si>
  <si>
    <t>надзором</t>
  </si>
  <si>
    <t>доктора</t>
  </si>
  <si>
    <t>Мортимера</t>
  </si>
  <si>
    <t># text = В дальнейшем им обоим было суждено совершить кругосветное путешествие, и только после него сэр Генри снова стал тем же веселым, здоровым человеком, какой приехал когда-то в Англию наследником этого злополучного поместья.</t>
  </si>
  <si>
    <t>дальнейшем</t>
  </si>
  <si>
    <t>обоим</t>
  </si>
  <si>
    <t>суждено</t>
  </si>
  <si>
    <t>совершить</t>
  </si>
  <si>
    <t>кругосветное</t>
  </si>
  <si>
    <t>веселым</t>
  </si>
  <si>
    <t>здоровым</t>
  </si>
  <si>
    <t>человеком</t>
  </si>
  <si>
    <t>какой</t>
  </si>
  <si>
    <t>приехал</t>
  </si>
  <si>
    <t>Англию</t>
  </si>
  <si>
    <t>наследником</t>
  </si>
  <si>
    <t>злополучного</t>
  </si>
  <si>
    <t>поместья</t>
  </si>
  <si>
    <t># text = А теперь мое странное повествование быстро подходит к концу.</t>
  </si>
  <si>
    <t>мое</t>
  </si>
  <si>
    <t>повествование</t>
  </si>
  <si>
    <t>подходит</t>
  </si>
  <si>
    <t>концу</t>
  </si>
  <si>
    <t># text = Записывая его, я старался, чтобы читатель делил вместе с нами все те страхи и смутные догадки, которые так долго омрачали нашу жизнь и завершились такой трагедией.</t>
  </si>
  <si>
    <t>Записывая</t>
  </si>
  <si>
    <t>старался</t>
  </si>
  <si>
    <t>читатель</t>
  </si>
  <si>
    <t>делил</t>
  </si>
  <si>
    <t>смутные</t>
  </si>
  <si>
    <t>догадки</t>
  </si>
  <si>
    <t>долго</t>
  </si>
  <si>
    <t>омрачали</t>
  </si>
  <si>
    <t>завершились</t>
  </si>
  <si>
    <t>трагедией</t>
  </si>
  <si>
    <t># text = К утру туман рассеялся, и миссис Стэплтон проводила нас к тому месту, где начиналась тропинка, ведущая через трясину.</t>
  </si>
  <si>
    <t>рассеялся</t>
  </si>
  <si>
    <t>проводила</t>
  </si>
  <si>
    <t>месту</t>
  </si>
  <si>
    <t>начиналась</t>
  </si>
  <si>
    <t>тропинка</t>
  </si>
  <si>
    <t>ведущая</t>
  </si>
  <si>
    <t># text = Эта женщина с такой охотой и радостью направляла нас по следам мужа, что нам только тогда и стало ясно, как страшна была ее жизнь.</t>
  </si>
  <si>
    <t>охотой</t>
  </si>
  <si>
    <t>радостью</t>
  </si>
  <si>
    <t>направляла</t>
  </si>
  <si>
    <t>стало</t>
  </si>
  <si>
    <t>ясно</t>
  </si>
  <si>
    <t>страшна</t>
  </si>
  <si>
    <t># text = Мы расстались с ней на узкой торфяной полоске, полуостровом вдававшейся в трясину.</t>
  </si>
  <si>
    <t>расстались</t>
  </si>
  <si>
    <t>торфяной</t>
  </si>
  <si>
    <t>полоске</t>
  </si>
  <si>
    <t>полуостровом</t>
  </si>
  <si>
    <t>вдававшейся</t>
  </si>
  <si>
    <t># text = Маленькие прутики, воткнутые то там, то сям, намечали тропу, извивающуюся зигзагом от кочки к кочке, между затянутыми зеленью окнами, которые преградили бы путь всякому, кто был незнаком с этими местами.</t>
  </si>
  <si>
    <t>Маленькие</t>
  </si>
  <si>
    <t>прутики</t>
  </si>
  <si>
    <t>воткнутые</t>
  </si>
  <si>
    <t>сям</t>
  </si>
  <si>
    <t>намечали</t>
  </si>
  <si>
    <t>извивающуюся</t>
  </si>
  <si>
    <t>зигзагом</t>
  </si>
  <si>
    <t>кочки</t>
  </si>
  <si>
    <t>кочке</t>
  </si>
  <si>
    <t>затянутыми</t>
  </si>
  <si>
    <t>зеленью</t>
  </si>
  <si>
    <t>окнами</t>
  </si>
  <si>
    <t>преградили</t>
  </si>
  <si>
    <t>путь</t>
  </si>
  <si>
    <t>OBJ_9</t>
  </si>
  <si>
    <t>всякому</t>
  </si>
  <si>
    <t>SBJ_11</t>
  </si>
  <si>
    <t>незнаком</t>
  </si>
  <si>
    <t>этими</t>
  </si>
  <si>
    <t>местами</t>
  </si>
  <si>
    <t>other_11</t>
  </si>
  <si>
    <t># text = От гниющего камыша и покрытых илом водорослей над трясиной поднимались тяжелые испарения.</t>
  </si>
  <si>
    <t>гниющего</t>
  </si>
  <si>
    <t>камыша</t>
  </si>
  <si>
    <t>покрытых</t>
  </si>
  <si>
    <t>илом</t>
  </si>
  <si>
    <t>водорослей</t>
  </si>
  <si>
    <t>поднимались</t>
  </si>
  <si>
    <t>тяжелые</t>
  </si>
  <si>
    <t>испарения</t>
  </si>
  <si>
    <t># text = Мы то и дело оступались, уходя по колено в темную зыбкую топь, мягкими кругами расходившуюся на поверхности.</t>
  </si>
  <si>
    <t>оступались</t>
  </si>
  <si>
    <t>уходя</t>
  </si>
  <si>
    <t>колено</t>
  </si>
  <si>
    <t>темную</t>
  </si>
  <si>
    <t>зыбкую</t>
  </si>
  <si>
    <t>топь</t>
  </si>
  <si>
    <t>мягкими</t>
  </si>
  <si>
    <t>расходившуюся</t>
  </si>
  <si>
    <t>поверхности</t>
  </si>
  <si>
    <t># text = Вязкая жижа присасывалась к нашим ногам, и ее хватка была настолько сильна, что казалось, чья-то цепкая рука тянет нас в эти мерзостные глубины.</t>
  </si>
  <si>
    <t>Вязкая</t>
  </si>
  <si>
    <t>жижа</t>
  </si>
  <si>
    <t>присасывалась</t>
  </si>
  <si>
    <t>хватка</t>
  </si>
  <si>
    <t>настолько</t>
  </si>
  <si>
    <t>сильна</t>
  </si>
  <si>
    <t>казалось</t>
  </si>
  <si>
    <t>чья-то</t>
  </si>
  <si>
    <t>цепкая</t>
  </si>
  <si>
    <t>рука</t>
  </si>
  <si>
    <t>тянет</t>
  </si>
  <si>
    <t>мерзостные</t>
  </si>
  <si>
    <t>глубины</t>
  </si>
  <si>
    <t># text = На глаза нам попалось только одно-единственное доказательство, что не мы первые идем по этому опасному пути.</t>
  </si>
  <si>
    <t>попалось</t>
  </si>
  <si>
    <t>одно</t>
  </si>
  <si>
    <t>доказательство</t>
  </si>
  <si>
    <t>первые</t>
  </si>
  <si>
    <t>идем</t>
  </si>
  <si>
    <t>этому</t>
  </si>
  <si>
    <t>опасному</t>
  </si>
  <si>
    <t>пути</t>
  </si>
  <si>
    <t># text = На кочке, поросшей болотной травой, лежало что-то темное.</t>
  </si>
  <si>
    <t>поросшей</t>
  </si>
  <si>
    <t>болотной</t>
  </si>
  <si>
    <t>травой</t>
  </si>
  <si>
    <t>лежало</t>
  </si>
  <si>
    <t>что-то</t>
  </si>
  <si>
    <t>темное</t>
  </si>
  <si>
    <t># text = Потянувшись туда.</t>
  </si>
  <si>
    <t>Потянувшись</t>
  </si>
  <si>
    <t># text = Холмс сразу ушел по пояс в тину, и если б не мы, вряд ли ему удалось бы когда-нибудь почувствовать под ногой твердую землю.</t>
  </si>
  <si>
    <t>ушел</t>
  </si>
  <si>
    <t>пояс</t>
  </si>
  <si>
    <t>тину</t>
  </si>
  <si>
    <t>б</t>
  </si>
  <si>
    <t>вряд</t>
  </si>
  <si>
    <t>удалось</t>
  </si>
  <si>
    <t>когда-нибудь</t>
  </si>
  <si>
    <t>почувствовать</t>
  </si>
  <si>
    <t>твердую</t>
  </si>
  <si>
    <t># text = Он держал в руке старый черный башмак.</t>
  </si>
  <si>
    <t>руке</t>
  </si>
  <si>
    <t>старый</t>
  </si>
  <si>
    <t>черный</t>
  </si>
  <si>
    <t>башмак</t>
  </si>
  <si>
    <t>--</t>
  </si>
  <si>
    <t># text = Внутри была метка: \"Мейерс.</t>
  </si>
  <si>
    <t>Внутри</t>
  </si>
  <si>
    <t>метка</t>
  </si>
  <si>
    <t>&amp;quot;</t>
  </si>
  <si>
    <t>Мейерс</t>
  </si>
  <si>
    <t># text = Торонто\".</t>
  </si>
  <si>
    <t># text = — Из-за такой находки стоило принять грязевую ванну.</t>
  </si>
  <si>
    <t>Из-за</t>
  </si>
  <si>
    <t>находки</t>
  </si>
  <si>
    <t>стоило</t>
  </si>
  <si>
    <t>грязевую</t>
  </si>
  <si>
    <t>ванну</t>
  </si>
  <si>
    <t># text = Вот он, пропавший башмак нашего друга!</t>
  </si>
  <si>
    <t>пропавший</t>
  </si>
  <si>
    <t># text = — Брошенный второпях Стэплтоном?</t>
  </si>
  <si>
    <t>Брошенный</t>
  </si>
  <si>
    <t>второпях</t>
  </si>
  <si>
    <t>Стэплтоном</t>
  </si>
  <si>
    <t># text = — Совершенно верно.</t>
  </si>
  <si>
    <t>Совершенно</t>
  </si>
  <si>
    <t>верно</t>
  </si>
  <si>
    <t># text = Он так и не выпустил его из рук, после того как дал собаке понюхать, наводя её на след.</t>
  </si>
  <si>
    <t>выпустил</t>
  </si>
  <si>
    <t>рук</t>
  </si>
  <si>
    <t>дал</t>
  </si>
  <si>
    <t>собаке</t>
  </si>
  <si>
    <t>понюхать</t>
  </si>
  <si>
    <t>наводя</t>
  </si>
  <si>
    <t>её</t>
  </si>
  <si>
    <t>след</t>
  </si>
  <si>
    <t># text = Когда он понял, что игра проиграна, он так и бросился бежать, держа его в руках.</t>
  </si>
  <si>
    <t>Когда</t>
  </si>
  <si>
    <t>бросился</t>
  </si>
  <si>
    <t>держа</t>
  </si>
  <si>
    <t># text = А в этом месте бросил.</t>
  </si>
  <si>
    <t>этом</t>
  </si>
  <si>
    <t>бросил</t>
  </si>
  <si>
    <t># text = Теперь мы, по крайней мере, знаем, что до этого места он добрался благополучно.</t>
  </si>
  <si>
    <t>крайней</t>
  </si>
  <si>
    <t>знаем</t>
  </si>
  <si>
    <t>добрался</t>
  </si>
  <si>
    <t>благополучно</t>
  </si>
  <si>
    <t># text = Но больше нам ничего не удалось узнать, хотя догадываться мы могли о многом.</t>
  </si>
  <si>
    <t>узнать</t>
  </si>
  <si>
    <t>хотя</t>
  </si>
  <si>
    <t>могли</t>
  </si>
  <si>
    <t>многом</t>
  </si>
  <si>
    <t># text = Разглядеть на тропинке следы не было никакой возможности — их сразу же затягивало тиной.</t>
  </si>
  <si>
    <t>Разглядеть</t>
  </si>
  <si>
    <t>следы</t>
  </si>
  <si>
    <t>никакой</t>
  </si>
  <si>
    <t>возможности</t>
  </si>
  <si>
    <t>затягивало</t>
  </si>
  <si>
    <t>тиной</t>
  </si>
  <si>
    <t># text = Мы решили, что они обнаружатся на более сухом месте, однако все поиски были тщетны.</t>
  </si>
  <si>
    <t>решили</t>
  </si>
  <si>
    <t>обнаружатся</t>
  </si>
  <si>
    <t>сухом</t>
  </si>
  <si>
    <t>однако</t>
  </si>
  <si>
    <t>поиски</t>
  </si>
  <si>
    <t>тщетны</t>
  </si>
  <si>
    <t># text = Если земля говорила правду, то Стэплтону так и не удалось добраться до своего убежища на островке, к которому он стремился в ту памятную нам туманную ночь.</t>
  </si>
  <si>
    <t>земля</t>
  </si>
  <si>
    <t>говорила</t>
  </si>
  <si>
    <t>Стэплтону</t>
  </si>
  <si>
    <t>добраться</t>
  </si>
  <si>
    <t>своего</t>
  </si>
  <si>
    <t>убежища</t>
  </si>
  <si>
    <t>островке</t>
  </si>
  <si>
    <t>которому</t>
  </si>
  <si>
    <t>стремился</t>
  </si>
  <si>
    <t>памятную</t>
  </si>
  <si>
    <t>туманную</t>
  </si>
  <si>
    <t># text = Этот холодный, жестокий человек был навеки погребен в самом сердце зловонной Гримпенской трясины, засосавшей его в свою бездонную глубину.</t>
  </si>
  <si>
    <t>Этот</t>
  </si>
  <si>
    <t>холодный</t>
  </si>
  <si>
    <t>жестокий</t>
  </si>
  <si>
    <t>навеки</t>
  </si>
  <si>
    <t>погребен</t>
  </si>
  <si>
    <t>зловонной</t>
  </si>
  <si>
    <t>засосавшей</t>
  </si>
  <si>
    <t>бездонную</t>
  </si>
  <si>
    <t>глубину</t>
  </si>
  <si>
    <t># text = Мы нашли немало его следов на опоясанном топью островке, где он прятал своего страшного сообщника.</t>
  </si>
  <si>
    <t>нашли</t>
  </si>
  <si>
    <t>немало</t>
  </si>
  <si>
    <t>следов</t>
  </si>
  <si>
    <t>опоясанном</t>
  </si>
  <si>
    <t>топью</t>
  </si>
  <si>
    <t>прятал</t>
  </si>
  <si>
    <t>страшного</t>
  </si>
  <si>
    <t>сообщника</t>
  </si>
  <si>
    <t># text = Огромный ворот и шахта, до половины заваленная щебнем, говорили, что когда-то здесь был рудник.</t>
  </si>
  <si>
    <t>Огромный</t>
  </si>
  <si>
    <t>ворот</t>
  </si>
  <si>
    <t>шахта</t>
  </si>
  <si>
    <t>половины</t>
  </si>
  <si>
    <t>заваленная</t>
  </si>
  <si>
    <t>щебнем</t>
  </si>
  <si>
    <t>говорили</t>
  </si>
  <si>
    <t># text = Рядом с ним стояли развалившиеся лачуги рудокопов, которых, вероятно, выгнали отсюда ядовитые болотные испарения.</t>
  </si>
  <si>
    <t>Рядом</t>
  </si>
  <si>
    <t>развалившиеся</t>
  </si>
  <si>
    <t>лачуги</t>
  </si>
  <si>
    <t>рудокопов</t>
  </si>
  <si>
    <t>которых</t>
  </si>
  <si>
    <t>выгнали</t>
  </si>
  <si>
    <t>отсюда</t>
  </si>
  <si>
    <t>ядовитые</t>
  </si>
  <si>
    <t>болотные</t>
  </si>
  <si>
    <t># text = В одной из этих лачуг мы нашли кольцо в стене, цепь и множество обглоданных костей.</t>
  </si>
  <si>
    <t>лачуг</t>
  </si>
  <si>
    <t>кольцо</t>
  </si>
  <si>
    <t>стене</t>
  </si>
  <si>
    <t>цепь</t>
  </si>
  <si>
    <t>множество</t>
  </si>
  <si>
    <t>обглоданных</t>
  </si>
  <si>
    <t>костей</t>
  </si>
  <si>
    <t># text = Здесь, вероятно, Стэплтон и держал своего пса.</t>
  </si>
  <si>
    <t>пса</t>
  </si>
  <si>
    <t># text = Среди мусора валялся скелет собаки с оставшимся на нем клочком рыжей шерсти.</t>
  </si>
  <si>
    <t>Среди</t>
  </si>
  <si>
    <t>мусора</t>
  </si>
  <si>
    <t>валялся</t>
  </si>
  <si>
    <t>скелет</t>
  </si>
  <si>
    <t>оставшимся</t>
  </si>
  <si>
    <t>нем</t>
  </si>
  <si>
    <t>клочком</t>
  </si>
  <si>
    <t>рыжей</t>
  </si>
  <si>
    <t>шерсти</t>
  </si>
  <si>
    <t># text = — Боже мой! — воскликнул Холмс.</t>
  </si>
  <si>
    <t>воскликнул</t>
  </si>
  <si>
    <t># text = — Да это спаниель!</t>
  </si>
  <si>
    <t># text = Бедный Мортимер больше никогда не уводит своего любимца.</t>
  </si>
  <si>
    <t>Бедный</t>
  </si>
  <si>
    <t>Мортимер</t>
  </si>
  <si>
    <t>уводит</t>
  </si>
  <si>
    <t>любимца</t>
  </si>
  <si>
    <t># text = Ну что ж, теперь, я думаю, этот островок открыл нам все свои тайны.</t>
  </si>
  <si>
    <t>ж</t>
  </si>
  <si>
    <t>думаю</t>
  </si>
  <si>
    <t>открыл</t>
  </si>
  <si>
    <t>свои</t>
  </si>
  <si>
    <t>тайны</t>
  </si>
  <si>
    <t># text = Спрятать собаку было нетрудно, а вот попробуйте заставить ее молчать!</t>
  </si>
  <si>
    <t>Спрятать</t>
  </si>
  <si>
    <t>нетрудно</t>
  </si>
  <si>
    <t>попробуйте</t>
  </si>
  <si>
    <t>молчать</t>
  </si>
  <si>
    <t># text = Отсюда и шел этот вой, от которого людям даже днем становилось не по себе.</t>
  </si>
  <si>
    <t>Отсюда</t>
  </si>
  <si>
    <t>шел</t>
  </si>
  <si>
    <t>вой</t>
  </si>
  <si>
    <t>людям</t>
  </si>
  <si>
    <t>днем</t>
  </si>
  <si>
    <t>становилось</t>
  </si>
  <si>
    <t># text = В случае крайней необходимости Стэплтон мог бы перевести собаку в сарай, поближе к дому, но на такой риск можно было пойти только в самую критическую минуту, в расчете на близкую развязку.</t>
  </si>
  <si>
    <t>случае</t>
  </si>
  <si>
    <t>необходимости</t>
  </si>
  <si>
    <t>перевести</t>
  </si>
  <si>
    <t>сарай</t>
  </si>
  <si>
    <t>поближе</t>
  </si>
  <si>
    <t>риск</t>
  </si>
  <si>
    <t>пойти</t>
  </si>
  <si>
    <t>самую</t>
  </si>
  <si>
    <t>критическую</t>
  </si>
  <si>
    <t>расчете</t>
  </si>
  <si>
    <t>близкую</t>
  </si>
  <si>
    <t>развязку</t>
  </si>
  <si>
    <t># text = А вот эта паста в жестянке — тот самый светящийся состав, которым он смазывал своего пса.</t>
  </si>
  <si>
    <t>жестянке</t>
  </si>
  <si>
    <t>самый</t>
  </si>
  <si>
    <t>светящийся</t>
  </si>
  <si>
    <t>состав</t>
  </si>
  <si>
    <t>смазывал</t>
  </si>
  <si>
    <t># text = Его натолкнуло на эту мысль не что иное, как легенда о чудовищной собаке Баскервилей, и он решил разделаться таким способом с сэром Чарльзом.</t>
  </si>
  <si>
    <t>Его</t>
  </si>
  <si>
    <t>натолкнуло</t>
  </si>
  <si>
    <t>иное</t>
  </si>
  <si>
    <t>легенда</t>
  </si>
  <si>
    <t>чудовищной</t>
  </si>
  <si>
    <t>Баскервилей</t>
  </si>
  <si>
    <t>решил</t>
  </si>
  <si>
    <t>разделаться</t>
  </si>
  <si>
    <t>таким</t>
  </si>
  <si>
    <t>способом</t>
  </si>
  <si>
    <t>Чарльзом</t>
  </si>
  <si>
    <t># text = Теперь неудивительно, что злосчастный каторжник пустился наутек (как, впрочем, и наш друг, да и мы сами были недалеки от этого), когда эдакое страшилище выскочило на него из темноты.</t>
  </si>
  <si>
    <t>неудивительно</t>
  </si>
  <si>
    <t>злосчастный</t>
  </si>
  <si>
    <t>каторжник</t>
  </si>
  <si>
    <t>пустился</t>
  </si>
  <si>
    <t>наутек</t>
  </si>
  <si>
    <t>(</t>
  </si>
  <si>
    <t>впрочем</t>
  </si>
  <si>
    <t>недалеки</t>
  </si>
  <si>
    <t>)</t>
  </si>
  <si>
    <t>эдакое</t>
  </si>
  <si>
    <t>страшилище</t>
  </si>
  <si>
    <t>выскочило</t>
  </si>
  <si>
    <t>темноты</t>
  </si>
  <si>
    <t># text = Стэплтон хитро придумал!</t>
  </si>
  <si>
    <t>хитро</t>
  </si>
  <si>
    <t>придумал</t>
  </si>
  <si>
    <t># text = Уж не говоря о том, что собака помогла бы ему убить его жертву, кто из здешних фермеров решился бы поближе познакомиться с ней?</t>
  </si>
  <si>
    <t>Уж</t>
  </si>
  <si>
    <t>говоря</t>
  </si>
  <si>
    <t>том</t>
  </si>
  <si>
    <t>помогла</t>
  </si>
  <si>
    <t>здешних</t>
  </si>
  <si>
    <t>фермеров</t>
  </si>
  <si>
    <t>решился</t>
  </si>
  <si>
    <t>познакомиться</t>
  </si>
  <si>
    <t># text = С такой тварью достаточно и одной встречи.</t>
  </si>
  <si>
    <t>тварью</t>
  </si>
  <si>
    <t>встречи</t>
  </si>
  <si>
    <t># text = А ведь ее многие видели на болотах.</t>
  </si>
  <si>
    <t>многие</t>
  </si>
  <si>
    <t># text = Я говорил об этом в Лондоне, Уотсон, и повторяю опять: нам никогда не приходилось иметь дело с человеком более опасным, чем тот, кто лежит теперь там!</t>
  </si>
  <si>
    <t>об</t>
  </si>
  <si>
    <t>Лондоне</t>
  </si>
  <si>
    <t>повторяю</t>
  </si>
  <si>
    <t>опять</t>
  </si>
  <si>
    <t>приходилось</t>
  </si>
  <si>
    <t>иметь</t>
  </si>
  <si>
    <t>опасным</t>
  </si>
  <si>
    <t>лежит</t>
  </si>
  <si>
    <t># text = — И он показал на зелено-бурую трясину, уходившую вдаль, к пологим склонам торфяных болот.</t>
  </si>
  <si>
    <t>показал</t>
  </si>
  <si>
    <t>зелено</t>
  </si>
  <si>
    <t>бурую</t>
  </si>
  <si>
    <t>уходившую</t>
  </si>
  <si>
    <t>вдаль</t>
  </si>
  <si>
    <t>пологим</t>
  </si>
  <si>
    <t>склонам</t>
  </si>
  <si>
    <t>торфяных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</si>
</sst>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8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16</v>
      </c>
      <c r="C3" s="6" t="s">
        <v>11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16</v>
      </c>
      <c r="B4" s="6" t="s">
        <v>20</v>
      </c>
      <c r="C4" s="6" t="s">
        <v>11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24</v>
      </c>
      <c r="B5" s="6" t="s">
        <v>24</v>
      </c>
      <c r="C5" s="6" t="s">
        <v>11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28</v>
      </c>
      <c r="B6" s="6" t="s">
        <v>15</v>
      </c>
      <c r="C6" s="6" t="s">
        <v>11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32</v>
      </c>
      <c r="B7" s="6" t="s">
        <v>24</v>
      </c>
      <c r="C7" s="6" t="s">
        <v>11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36</v>
      </c>
      <c r="B8" s="6" t="s">
        <v>15</v>
      </c>
      <c r="C8" s="6" t="s">
        <v>11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40</v>
      </c>
      <c r="B9" s="6" t="s">
        <v>41</v>
      </c>
      <c r="C9" s="6" t="s">
        <v>11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45</v>
      </c>
      <c r="B10" s="6" t="s">
        <v>16</v>
      </c>
      <c r="C10" s="6" t="s">
        <v>11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41</v>
      </c>
      <c r="B11" s="6" t="s">
        <v>36</v>
      </c>
      <c r="C11" s="6" t="s">
        <v>11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52</v>
      </c>
      <c r="B12" s="6" t="s">
        <v>24</v>
      </c>
      <c r="C12" s="6" t="s">
        <v>11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20</v>
      </c>
      <c r="B13" s="6" t="s">
        <v>16</v>
      </c>
      <c r="C13" s="6" t="s">
        <v>11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59</v>
      </c>
      <c r="B14" s="6" t="s">
        <v>24</v>
      </c>
      <c r="C14" s="6" t="s">
        <v>11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63</v>
      </c>
      <c r="B15" s="6" t="s">
        <v>28</v>
      </c>
      <c r="C15" s="6" t="s">
        <v>11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67</v>
      </c>
      <c r="B16" s="6" t="s">
        <v>16</v>
      </c>
      <c r="C16" s="6" t="s">
        <v>11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71</v>
      </c>
      <c r="B17" s="6" t="s">
        <v>32</v>
      </c>
      <c r="C17" s="6" t="s">
        <v>11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75</v>
      </c>
      <c r="B18" s="6" t="s">
        <v>15</v>
      </c>
      <c r="C18" s="6" t="s">
        <v>11</v>
      </c>
      <c r="D18" s="7" t="s">
        <v>72</v>
      </c>
      <c r="E18" s="8" t="s">
        <v>76</v>
      </c>
      <c r="F18" s="6" t="s">
        <v>77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78</v>
      </c>
      <c r="B19" s="6" t="s">
        <v>15</v>
      </c>
      <c r="C19" s="6" t="s">
        <v>11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82</v>
      </c>
      <c r="B20" s="6" t="s">
        <v>40</v>
      </c>
      <c r="C20" s="6" t="s">
        <v>11</v>
      </c>
      <c r="D20" s="7" t="s">
        <v>83</v>
      </c>
      <c r="E20" s="8" t="s">
        <v>84</v>
      </c>
      <c r="F20" s="6" t="s">
        <v>85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86</v>
      </c>
      <c r="B21" s="6" t="s">
        <v>16</v>
      </c>
      <c r="C21" s="6" t="s">
        <v>11</v>
      </c>
      <c r="D21" s="7" t="s">
        <v>87</v>
      </c>
      <c r="E21" s="8" t="s">
        <v>88</v>
      </c>
      <c r="F21" s="6" t="s">
        <v>89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90</v>
      </c>
      <c r="B22" s="6" t="s">
        <v>28</v>
      </c>
      <c r="C22" s="6" t="s">
        <v>11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94</v>
      </c>
      <c r="B23" s="6" t="s">
        <v>16</v>
      </c>
      <c r="C23" s="6" t="s">
        <v>11</v>
      </c>
      <c r="D23" s="7" t="s">
        <v>95</v>
      </c>
      <c r="E23" s="8" t="s">
        <v>96</v>
      </c>
      <c r="F23" s="6" t="s">
        <v>97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98</v>
      </c>
      <c r="B24" s="6" t="s">
        <v>15</v>
      </c>
      <c r="C24" s="6" t="s">
        <v>11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102</v>
      </c>
      <c r="B25" s="6" t="s">
        <v>16</v>
      </c>
      <c r="C25" s="6" t="s">
        <v>11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106</v>
      </c>
      <c r="B26" s="6" t="s">
        <v>24</v>
      </c>
      <c r="C26" s="6" t="s">
        <v>11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110</v>
      </c>
      <c r="B27" s="6" t="s">
        <v>28</v>
      </c>
      <c r="C27" s="6" t="s">
        <v>11</v>
      </c>
      <c r="D27" s="7" t="s">
        <v>111</v>
      </c>
      <c r="E27" s="8" t="s">
        <v>112</v>
      </c>
      <c r="F27" s="6" t="s">
        <v>113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114</v>
      </c>
      <c r="B28" s="6" t="s">
        <v>15</v>
      </c>
      <c r="C28" s="6" t="s">
        <v>11</v>
      </c>
      <c r="D28" s="7" t="s">
        <v>115</v>
      </c>
      <c r="E28" s="8" t="s">
        <v>116</v>
      </c>
      <c r="F28" s="6" t="s">
        <v>117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118</v>
      </c>
      <c r="B29" s="6" t="s">
        <v>24</v>
      </c>
      <c r="C29" s="6" t="s">
        <v>11</v>
      </c>
      <c r="D29" s="7" t="s">
        <v>119</v>
      </c>
      <c r="E29" s="8" t="s">
        <v>120</v>
      </c>
      <c r="F29" s="6" t="s">
        <v>121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122</v>
      </c>
      <c r="B30" s="6" t="s">
        <v>10</v>
      </c>
      <c r="C30" s="6" t="s">
        <v>11</v>
      </c>
      <c r="D30" s="7" t="s">
        <v>123</v>
      </c>
      <c r="E30" s="8" t="s">
        <v>124</v>
      </c>
      <c r="F30" s="6" t="s">
        <v>125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126</v>
      </c>
      <c r="B31" s="6" t="s">
        <v>10</v>
      </c>
      <c r="C31" s="6" t="s">
        <v>11</v>
      </c>
      <c r="D31" s="7" t="s">
        <v>127</v>
      </c>
      <c r="E31" s="8" t="s">
        <v>128</v>
      </c>
      <c r="F31" s="6" t="s">
        <v>129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130</v>
      </c>
      <c r="B32" s="6" t="s">
        <v>16</v>
      </c>
      <c r="C32" s="6" t="s">
        <v>11</v>
      </c>
      <c r="D32" s="7" t="s">
        <v>131</v>
      </c>
      <c r="E32" s="8" t="s">
        <v>132</v>
      </c>
      <c r="F32" s="6" t="s">
        <v>133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134</v>
      </c>
      <c r="B33" s="6" t="s">
        <v>36</v>
      </c>
      <c r="C33" s="6" t="s">
        <v>11</v>
      </c>
      <c r="D33" s="7" t="s">
        <v>135</v>
      </c>
      <c r="E33" s="8" t="s">
        <v>136</v>
      </c>
      <c r="F33" s="6" t="s">
        <v>137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138</v>
      </c>
      <c r="B34" s="6" t="s">
        <v>24</v>
      </c>
      <c r="C34" s="6" t="s">
        <v>11</v>
      </c>
      <c r="D34" s="7" t="s">
        <v>139</v>
      </c>
      <c r="E34" s="8" t="s">
        <v>140</v>
      </c>
      <c r="F34" s="6" t="s">
        <v>141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142</v>
      </c>
      <c r="B35" s="6" t="s">
        <v>16</v>
      </c>
      <c r="C35" s="6" t="s">
        <v>11</v>
      </c>
      <c r="D35" s="7" t="s">
        <v>143</v>
      </c>
      <c r="E35" s="8" t="s">
        <v>144</v>
      </c>
      <c r="F35" s="6" t="s">
        <v>145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146</v>
      </c>
      <c r="B36" s="6" t="s">
        <v>16</v>
      </c>
      <c r="C36" s="6" t="s">
        <v>11</v>
      </c>
      <c r="D36" s="7" t="s">
        <v>147</v>
      </c>
      <c r="E36" s="8" t="s">
        <v>148</v>
      </c>
      <c r="F36" s="6" t="s">
        <v>149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150</v>
      </c>
      <c r="B37" s="6" t="s">
        <v>16</v>
      </c>
      <c r="C37" s="6" t="s">
        <v>11</v>
      </c>
      <c r="D37" s="7" t="s">
        <v>151</v>
      </c>
      <c r="E37" s="8" t="s">
        <v>152</v>
      </c>
      <c r="F37" s="6" t="s">
        <v>153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154</v>
      </c>
      <c r="B38" s="6" t="s">
        <v>15</v>
      </c>
      <c r="C38" s="6" t="s">
        <v>11</v>
      </c>
      <c r="D38" s="7" t="s">
        <v>155</v>
      </c>
      <c r="E38" s="8" t="s">
        <v>156</v>
      </c>
      <c r="F38" s="6" t="s">
        <v>157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158</v>
      </c>
      <c r="B39" s="6" t="s">
        <v>10</v>
      </c>
      <c r="C39" s="6" t="s">
        <v>11</v>
      </c>
      <c r="D39" s="7" t="s">
        <v>159</v>
      </c>
      <c r="E39" s="8" t="s">
        <v>160</v>
      </c>
      <c r="F39" s="6" t="s">
        <v>161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162</v>
      </c>
      <c r="B40" s="6" t="s">
        <v>24</v>
      </c>
      <c r="C40" s="6" t="s">
        <v>11</v>
      </c>
      <c r="D40" s="7" t="s">
        <v>163</v>
      </c>
      <c r="E40" s="8" t="s">
        <v>164</v>
      </c>
      <c r="F40" s="6" t="s">
        <v>165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166</v>
      </c>
      <c r="B41" s="6" t="s">
        <v>28</v>
      </c>
      <c r="C41" s="6" t="s">
        <v>11</v>
      </c>
      <c r="D41" s="7" t="s">
        <v>167</v>
      </c>
      <c r="E41" s="8" t="s">
        <v>168</v>
      </c>
      <c r="F41" s="6" t="s">
        <v>169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170</v>
      </c>
      <c r="B42" s="6" t="s">
        <v>15</v>
      </c>
      <c r="C42" s="6" t="s">
        <v>11</v>
      </c>
      <c r="D42" s="7" t="s">
        <v>171</v>
      </c>
      <c r="E42" s="8" t="s">
        <v>172</v>
      </c>
      <c r="F42" s="6" t="s">
        <v>173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174</v>
      </c>
      <c r="B43" s="6" t="s">
        <v>16</v>
      </c>
      <c r="C43" s="6" t="s">
        <v>11</v>
      </c>
      <c r="D43" s="7" t="s">
        <v>175</v>
      </c>
      <c r="E43" s="8" t="s">
        <v>176</v>
      </c>
      <c r="F43" s="6" t="s">
        <v>177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178</v>
      </c>
      <c r="B44" s="6" t="s">
        <v>15</v>
      </c>
      <c r="C44" s="6" t="s">
        <v>11</v>
      </c>
      <c r="D44" s="7" t="s">
        <v>179</v>
      </c>
      <c r="E44" s="8" t="s">
        <v>180</v>
      </c>
      <c r="F44" s="6" t="s">
        <v>181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182</v>
      </c>
      <c r="B45" s="6" t="s">
        <v>16</v>
      </c>
      <c r="C45" s="6" t="s">
        <v>11</v>
      </c>
      <c r="D45" s="7" t="s">
        <v>183</v>
      </c>
      <c r="E45" s="8" t="s">
        <v>184</v>
      </c>
      <c r="F45" s="6" t="s">
        <v>185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186</v>
      </c>
      <c r="B46" s="6" t="s">
        <v>20</v>
      </c>
      <c r="C46" s="6" t="s">
        <v>11</v>
      </c>
      <c r="D46" s="7" t="s">
        <v>187</v>
      </c>
      <c r="E46" s="8" t="s">
        <v>188</v>
      </c>
      <c r="F46" s="6" t="s">
        <v>189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190</v>
      </c>
      <c r="B47" s="6" t="s">
        <v>32</v>
      </c>
      <c r="C47" s="6" t="s">
        <v>11</v>
      </c>
      <c r="D47" s="7" t="s">
        <v>191</v>
      </c>
      <c r="E47" s="8" t="s">
        <v>192</v>
      </c>
      <c r="F47" s="6" t="s">
        <v>193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194</v>
      </c>
      <c r="B48" s="6" t="s">
        <v>24</v>
      </c>
      <c r="C48" s="6" t="s">
        <v>11</v>
      </c>
      <c r="D48" s="7" t="s">
        <v>195</v>
      </c>
      <c r="E48" s="8" t="s">
        <v>196</v>
      </c>
      <c r="F48" s="6" t="s">
        <v>197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198</v>
      </c>
      <c r="B49" s="6" t="s">
        <v>15</v>
      </c>
      <c r="C49" s="6" t="s">
        <v>11</v>
      </c>
      <c r="D49" s="7" t="s">
        <v>167</v>
      </c>
      <c r="E49" s="8" t="s">
        <v>199</v>
      </c>
      <c r="F49" s="6" t="s">
        <v>200</v>
      </c>
      <c r="G49" s="9">
        <f>IF(A49=1,"_",IF(C49="_","???",C49))</f>
        <v/>
      </c>
      <c r="H49" s="10" t="s">
        <v>11</v>
      </c>
      <c r="I49" s="11" t="s">
        <v>11</v>
      </c>
      <c r="J49" s="12"/>
    </row>
    <row r="50" spans="1:10" ht="60" customHeight="1">
      <c r="A50" s="6" t="s">
        <v>201</v>
      </c>
      <c r="B50" s="6" t="s">
        <v>15</v>
      </c>
      <c r="C50" s="6" t="s">
        <v>11</v>
      </c>
      <c r="D50" s="7" t="s">
        <v>202</v>
      </c>
      <c r="E50" s="8" t="s">
        <v>203</v>
      </c>
      <c r="F50" s="6" t="s">
        <v>204</v>
      </c>
      <c r="G50" s="9">
        <f>IF(A50=1,"_",IF(C50="_","???",C50))</f>
        <v/>
      </c>
      <c r="H50" s="10" t="s">
        <v>11</v>
      </c>
      <c r="I50" s="11" t="s">
        <v>11</v>
      </c>
      <c r="J50" s="12"/>
    </row>
    <row r="51" spans="1:10" ht="60" customHeight="1">
      <c r="A51" s="6" t="s">
        <v>205</v>
      </c>
      <c r="B51" s="6" t="s">
        <v>32</v>
      </c>
      <c r="C51" s="6" t="s">
        <v>11</v>
      </c>
      <c r="D51" s="7" t="s">
        <v>68</v>
      </c>
      <c r="E51" s="8" t="s">
        <v>206</v>
      </c>
      <c r="F51" s="6" t="s">
        <v>207</v>
      </c>
      <c r="G51" s="9">
        <f>IF(A51=1,"_",IF(C51="_","???",C51))</f>
        <v/>
      </c>
      <c r="H51" s="10" t="s">
        <v>11</v>
      </c>
      <c r="I51" s="11" t="s">
        <v>11</v>
      </c>
      <c r="J51" s="12"/>
    </row>
    <row r="52" spans="1:10" ht="60" customHeight="1">
      <c r="A52" s="6" t="s">
        <v>208</v>
      </c>
      <c r="B52" s="6" t="s">
        <v>10</v>
      </c>
      <c r="C52" s="6" t="s">
        <v>11</v>
      </c>
      <c r="D52" s="7" t="s">
        <v>209</v>
      </c>
      <c r="E52" s="8" t="s">
        <v>210</v>
      </c>
      <c r="F52" s="6" t="s">
        <v>211</v>
      </c>
      <c r="G52" s="9">
        <f>IF(A52=1,"_",IF(C52="_","???",C52))</f>
        <v/>
      </c>
      <c r="H52" s="10" t="s">
        <v>11</v>
      </c>
      <c r="I52" s="11" t="s">
        <v>11</v>
      </c>
      <c r="J52" s="12"/>
    </row>
    <row r="53" spans="1:10" ht="60" customHeight="1">
      <c r="A53" s="6" t="s">
        <v>212</v>
      </c>
      <c r="B53" s="6" t="s">
        <v>15</v>
      </c>
      <c r="C53" s="6" t="s">
        <v>11</v>
      </c>
      <c r="D53" s="7" t="s">
        <v>213</v>
      </c>
      <c r="E53" s="8" t="s">
        <v>214</v>
      </c>
      <c r="F53" s="6" t="s">
        <v>215</v>
      </c>
      <c r="G53" s="9">
        <f>IF(A53=1,"_",IF(C53="_","???",C53))</f>
        <v/>
      </c>
      <c r="H53" s="10" t="s">
        <v>11</v>
      </c>
      <c r="I53" s="11" t="s">
        <v>11</v>
      </c>
      <c r="J53" s="12"/>
    </row>
    <row r="54" spans="1:10" ht="60" customHeight="1">
      <c r="A54" s="6" t="s">
        <v>216</v>
      </c>
      <c r="B54" s="6" t="s">
        <v>15</v>
      </c>
      <c r="C54" s="6" t="s">
        <v>11</v>
      </c>
      <c r="D54" s="7" t="s">
        <v>68</v>
      </c>
      <c r="E54" s="8" t="s">
        <v>217</v>
      </c>
      <c r="F54" s="6" t="s">
        <v>218</v>
      </c>
      <c r="G54" s="9">
        <f>IF(A54=1,"_",IF(C54="_","???",C54))</f>
        <v/>
      </c>
      <c r="H54" s="10" t="s">
        <v>11</v>
      </c>
      <c r="I54" s="11" t="s">
        <v>11</v>
      </c>
      <c r="J54" s="12"/>
    </row>
    <row r="55" spans="1:10" ht="60" customHeight="1">
      <c r="A55" s="6" t="s">
        <v>219</v>
      </c>
      <c r="B55" s="6" t="s">
        <v>41</v>
      </c>
      <c r="C55" s="6" t="s">
        <v>11</v>
      </c>
      <c r="D55" s="7" t="s">
        <v>220</v>
      </c>
      <c r="E55" s="8" t="s">
        <v>221</v>
      </c>
      <c r="F55" s="6" t="s">
        <v>222</v>
      </c>
      <c r="G55" s="9">
        <f>IF(A55=1,"_",IF(C55="_","???",C55))</f>
        <v/>
      </c>
      <c r="H55" s="10" t="s">
        <v>11</v>
      </c>
      <c r="I55" s="11" t="s">
        <v>11</v>
      </c>
      <c r="J55" s="12"/>
    </row>
    <row r="56" spans="1:10" ht="60" customHeight="1">
      <c r="A56" s="6" t="s">
        <v>223</v>
      </c>
      <c r="B56" s="6" t="s">
        <v>15</v>
      </c>
      <c r="C56" s="6" t="s">
        <v>11</v>
      </c>
      <c r="D56" s="7" t="s">
        <v>224</v>
      </c>
      <c r="E56" s="8" t="s">
        <v>225</v>
      </c>
      <c r="F56" s="6" t="s">
        <v>226</v>
      </c>
      <c r="G56" s="9">
        <f>IF(A56=1,"_",IF(C56="_","???",C56))</f>
        <v/>
      </c>
      <c r="H56" s="10" t="s">
        <v>11</v>
      </c>
      <c r="I56" s="11" t="s">
        <v>11</v>
      </c>
      <c r="J56" s="12"/>
    </row>
    <row r="57" spans="1:10" ht="60" customHeight="1">
      <c r="A57" s="6" t="s">
        <v>227</v>
      </c>
      <c r="B57" s="6" t="s">
        <v>16</v>
      </c>
      <c r="C57" s="6" t="s">
        <v>11</v>
      </c>
      <c r="D57" s="7" t="s">
        <v>228</v>
      </c>
      <c r="E57" s="8" t="s">
        <v>229</v>
      </c>
      <c r="F57" s="6" t="s">
        <v>230</v>
      </c>
      <c r="G57" s="9">
        <f>IF(A57=1,"_",IF(C57="_","???",C57))</f>
        <v/>
      </c>
      <c r="H57" s="10" t="s">
        <v>11</v>
      </c>
      <c r="I57" s="11" t="s">
        <v>11</v>
      </c>
      <c r="J57" s="12"/>
    </row>
    <row r="58" spans="1:10" ht="60" customHeight="1">
      <c r="A58" s="6" t="s">
        <v>231</v>
      </c>
      <c r="B58" s="6" t="s">
        <v>41</v>
      </c>
      <c r="C58" s="6" t="s">
        <v>11</v>
      </c>
      <c r="D58" s="7" t="s">
        <v>232</v>
      </c>
      <c r="E58" s="8" t="s">
        <v>233</v>
      </c>
      <c r="F58" s="6" t="s">
        <v>234</v>
      </c>
      <c r="G58" s="9">
        <f>IF(A58=1,"_",IF(C58="_","???",C58))</f>
        <v/>
      </c>
      <c r="H58" s="10" t="s">
        <v>11</v>
      </c>
      <c r="I58" s="11" t="s">
        <v>11</v>
      </c>
      <c r="J58" s="12"/>
    </row>
    <row r="59" spans="1:10" ht="60" customHeight="1">
      <c r="A59" s="6" t="s">
        <v>235</v>
      </c>
      <c r="B59" s="6" t="s">
        <v>28</v>
      </c>
      <c r="C59" s="6" t="s">
        <v>11</v>
      </c>
      <c r="D59" s="7" t="s">
        <v>131</v>
      </c>
      <c r="E59" s="8" t="s">
        <v>236</v>
      </c>
      <c r="F59" s="6" t="s">
        <v>237</v>
      </c>
      <c r="G59" s="9">
        <f>IF(A59=1,"_",IF(C59="_","???",C59))</f>
        <v/>
      </c>
      <c r="H59" s="10" t="s">
        <v>11</v>
      </c>
      <c r="I59" s="11" t="s">
        <v>11</v>
      </c>
      <c r="J59" s="12"/>
    </row>
    <row r="60" spans="1:10" ht="60" customHeight="1">
      <c r="A60" s="6" t="s">
        <v>238</v>
      </c>
      <c r="B60" s="6" t="s">
        <v>16</v>
      </c>
      <c r="C60" s="6" t="s">
        <v>11</v>
      </c>
      <c r="D60" s="7" t="s">
        <v>239</v>
      </c>
      <c r="E60" s="8" t="s">
        <v>240</v>
      </c>
      <c r="F60" s="6" t="s">
        <v>241</v>
      </c>
      <c r="G60" s="9">
        <f>IF(A60=1,"_",IF(C60="_","???",C60))</f>
        <v/>
      </c>
      <c r="H60" s="10" t="s">
        <v>11</v>
      </c>
      <c r="I60" s="11" t="s">
        <v>11</v>
      </c>
      <c r="J60" s="12"/>
    </row>
    <row r="61" spans="1:10" ht="60" customHeight="1">
      <c r="A61" s="6" t="s">
        <v>242</v>
      </c>
      <c r="B61" s="6" t="s">
        <v>16</v>
      </c>
      <c r="C61" s="6" t="s">
        <v>11</v>
      </c>
      <c r="D61" s="7" t="s">
        <v>243</v>
      </c>
      <c r="E61" s="8" t="s">
        <v>244</v>
      </c>
      <c r="F61" s="6" t="s">
        <v>245</v>
      </c>
      <c r="G61" s="9">
        <f>IF(A61=1,"_",IF(C61="_","???",C61))</f>
        <v/>
      </c>
      <c r="H61" s="10" t="s">
        <v>11</v>
      </c>
      <c r="I61" s="11" t="s">
        <v>11</v>
      </c>
      <c r="J61" s="12"/>
    </row>
    <row r="62" spans="1:10" ht="60" customHeight="1">
      <c r="A62" s="6" t="s">
        <v>246</v>
      </c>
      <c r="B62" s="6" t="s">
        <v>28</v>
      </c>
      <c r="C62" s="6" t="s">
        <v>11</v>
      </c>
      <c r="D62" s="7" t="s">
        <v>247</v>
      </c>
      <c r="E62" s="8" t="s">
        <v>248</v>
      </c>
      <c r="F62" s="6" t="s">
        <v>249</v>
      </c>
      <c r="G62" s="9">
        <f>IF(A62=1,"_",IF(C62="_","???",C62))</f>
        <v/>
      </c>
      <c r="H62" s="10" t="s">
        <v>11</v>
      </c>
      <c r="I62" s="11" t="s">
        <v>11</v>
      </c>
      <c r="J62" s="12"/>
    </row>
    <row r="63" spans="1:10" ht="60" customHeight="1">
      <c r="A63" s="6" t="s">
        <v>250</v>
      </c>
      <c r="B63" s="6" t="s">
        <v>15</v>
      </c>
      <c r="C63" s="6" t="s">
        <v>11</v>
      </c>
      <c r="D63" s="7" t="s">
        <v>251</v>
      </c>
      <c r="E63" s="8" t="s">
        <v>252</v>
      </c>
      <c r="F63" s="6" t="s">
        <v>253</v>
      </c>
      <c r="G63" s="9">
        <f>IF(A63=1,"_",IF(C63="_","???",C63))</f>
        <v/>
      </c>
      <c r="H63" s="10" t="s">
        <v>11</v>
      </c>
      <c r="I63" s="11" t="s">
        <v>11</v>
      </c>
      <c r="J63" s="12"/>
    </row>
    <row r="64" spans="1:10" ht="60" customHeight="1">
      <c r="A64" s="6" t="s">
        <v>254</v>
      </c>
      <c r="B64" s="6" t="s">
        <v>24</v>
      </c>
      <c r="C64" s="6" t="s">
        <v>11</v>
      </c>
      <c r="D64" s="7" t="s">
        <v>255</v>
      </c>
      <c r="E64" s="8" t="s">
        <v>256</v>
      </c>
      <c r="F64" s="6" t="s">
        <v>257</v>
      </c>
      <c r="G64" s="9">
        <f>IF(A64=1,"_",IF(C64="_","???",C64))</f>
        <v/>
      </c>
      <c r="H64" s="10" t="s">
        <v>11</v>
      </c>
      <c r="I64" s="11" t="s">
        <v>11</v>
      </c>
      <c r="J64" s="12"/>
    </row>
    <row r="65" spans="1:10" ht="60" customHeight="1">
      <c r="A65" s="6" t="s">
        <v>258</v>
      </c>
      <c r="B65" s="6" t="s">
        <v>16</v>
      </c>
      <c r="C65" s="6" t="s">
        <v>11</v>
      </c>
      <c r="D65" s="7" t="s">
        <v>259</v>
      </c>
      <c r="E65" s="8" t="s">
        <v>260</v>
      </c>
      <c r="F65" s="6" t="s">
        <v>261</v>
      </c>
      <c r="G65" s="9">
        <f>IF(A65=1,"_",IF(C65="_","???",C65))</f>
        <v/>
      </c>
      <c r="H65" s="10" t="s">
        <v>11</v>
      </c>
      <c r="I65" s="11" t="s">
        <v>11</v>
      </c>
      <c r="J65" s="12"/>
    </row>
    <row r="66" spans="1:10" ht="60" customHeight="1">
      <c r="A66" s="6" t="s">
        <v>262</v>
      </c>
      <c r="B66" s="6" t="s">
        <v>10</v>
      </c>
      <c r="C66" s="6" t="s">
        <v>11</v>
      </c>
      <c r="D66" s="7" t="s">
        <v>263</v>
      </c>
      <c r="E66" s="8" t="s">
        <v>264</v>
      </c>
      <c r="F66" s="6" t="s">
        <v>265</v>
      </c>
      <c r="G66" s="9">
        <f>IF(A66=1,"_",IF(C66="_","???",C66))</f>
        <v/>
      </c>
      <c r="H66" s="10" t="s">
        <v>11</v>
      </c>
      <c r="I66" s="11" t="s">
        <v>11</v>
      </c>
      <c r="J66" s="12"/>
    </row>
    <row r="67" spans="1:10" ht="60" customHeight="1">
      <c r="A67" s="6" t="s">
        <v>266</v>
      </c>
      <c r="B67" s="6" t="s">
        <v>32</v>
      </c>
      <c r="C67" s="6" t="s">
        <v>11</v>
      </c>
      <c r="D67" s="7" t="s">
        <v>267</v>
      </c>
      <c r="E67" s="8" t="s">
        <v>268</v>
      </c>
      <c r="F67" s="6" t="s">
        <v>269</v>
      </c>
      <c r="G67" s="9">
        <f>IF(A67=1,"_",IF(C67="_","???",C67))</f>
        <v/>
      </c>
      <c r="H67" s="10" t="s">
        <v>11</v>
      </c>
      <c r="I67" s="11" t="s">
        <v>11</v>
      </c>
      <c r="J67" s="12"/>
    </row>
    <row r="68" spans="1:10" ht="60" customHeight="1">
      <c r="A68" s="6" t="s">
        <v>270</v>
      </c>
      <c r="B68" s="6" t="s">
        <v>16</v>
      </c>
      <c r="C68" s="6" t="s">
        <v>11</v>
      </c>
      <c r="D68" s="7" t="s">
        <v>271</v>
      </c>
      <c r="E68" s="8" t="s">
        <v>272</v>
      </c>
      <c r="F68" s="6" t="s">
        <v>273</v>
      </c>
      <c r="G68" s="9">
        <f>IF(A68=1,"_",IF(C68="_","???",C68))</f>
        <v/>
      </c>
      <c r="H68" s="10" t="s">
        <v>11</v>
      </c>
      <c r="I68" s="11" t="s">
        <v>11</v>
      </c>
      <c r="J68" s="12"/>
    </row>
    <row r="69" spans="1:10" ht="60" customHeight="1">
      <c r="A69" s="6" t="s">
        <v>274</v>
      </c>
      <c r="B69" s="6" t="s">
        <v>20</v>
      </c>
      <c r="C69" s="6" t="s">
        <v>11</v>
      </c>
      <c r="D69" s="7" t="s">
        <v>275</v>
      </c>
      <c r="E69" s="8" t="s">
        <v>276</v>
      </c>
      <c r="F69" s="6" t="s">
        <v>277</v>
      </c>
      <c r="G69" s="9">
        <f>IF(A69=1,"_",IF(C69="_","???",C69))</f>
        <v/>
      </c>
      <c r="H69" s="10" t="s">
        <v>11</v>
      </c>
      <c r="I69" s="11" t="s">
        <v>11</v>
      </c>
      <c r="J69" s="12"/>
    </row>
    <row r="70" spans="1:10" ht="60" customHeight="1">
      <c r="A70" s="6" t="s">
        <v>278</v>
      </c>
      <c r="B70" s="6" t="s">
        <v>16</v>
      </c>
      <c r="C70" s="6" t="s">
        <v>11</v>
      </c>
      <c r="D70" s="7" t="s">
        <v>279</v>
      </c>
      <c r="E70" s="8" t="s">
        <v>280</v>
      </c>
      <c r="F70" s="6" t="s">
        <v>281</v>
      </c>
      <c r="G70" s="9">
        <f>IF(A70=1,"_",IF(C70="_","???",C70))</f>
        <v/>
      </c>
      <c r="H70" s="10" t="s">
        <v>11</v>
      </c>
      <c r="I70" s="11" t="s">
        <v>11</v>
      </c>
      <c r="J70" s="12"/>
    </row>
    <row r="71" spans="1:10" ht="60" customHeight="1">
      <c r="A71" s="6" t="s">
        <v>282</v>
      </c>
      <c r="B71" s="6" t="s">
        <v>16</v>
      </c>
      <c r="C71" s="6" t="s">
        <v>11</v>
      </c>
      <c r="D71" s="7" t="s">
        <v>283</v>
      </c>
      <c r="E71" s="8" t="s">
        <v>284</v>
      </c>
      <c r="F71" s="6" t="s">
        <v>285</v>
      </c>
      <c r="G71" s="9">
        <f>IF(A71=1,"_",IF(C71="_","???",C71))</f>
        <v/>
      </c>
      <c r="H71" s="10" t="s">
        <v>11</v>
      </c>
      <c r="I71" s="11" t="s">
        <v>11</v>
      </c>
      <c r="J71" s="12"/>
    </row>
    <row r="72" spans="1:10" ht="60" customHeight="1">
      <c r="A72" s="6" t="s">
        <v>286</v>
      </c>
      <c r="B72" s="6" t="s">
        <v>28</v>
      </c>
      <c r="C72" s="6" t="s">
        <v>11</v>
      </c>
      <c r="D72" s="7" t="s">
        <v>287</v>
      </c>
      <c r="E72" s="8" t="s">
        <v>288</v>
      </c>
      <c r="F72" s="6" t="s">
        <v>289</v>
      </c>
      <c r="G72" s="9">
        <f>IF(A72=1,"_",IF(C72="_","???",C72))</f>
        <v/>
      </c>
      <c r="H72" s="10" t="s">
        <v>11</v>
      </c>
      <c r="I72" s="11" t="s">
        <v>11</v>
      </c>
      <c r="J72" s="12"/>
    </row>
    <row r="73" spans="1:10" ht="60" customHeight="1">
      <c r="A73" s="6" t="s">
        <v>290</v>
      </c>
      <c r="B73" s="6" t="s">
        <v>24</v>
      </c>
      <c r="C73" s="6" t="s">
        <v>11</v>
      </c>
      <c r="D73" s="7" t="s">
        <v>291</v>
      </c>
      <c r="E73" s="8" t="s">
        <v>292</v>
      </c>
      <c r="F73" s="6" t="s">
        <v>293</v>
      </c>
      <c r="G73" s="9">
        <f>IF(A73=1,"_",IF(C73="_","???",C73))</f>
        <v/>
      </c>
      <c r="H73" s="10" t="s">
        <v>11</v>
      </c>
      <c r="I73" s="11" t="s">
        <v>11</v>
      </c>
      <c r="J73" s="12"/>
    </row>
    <row r="74" spans="1:10" ht="60" customHeight="1">
      <c r="A74" s="6" t="s">
        <v>294</v>
      </c>
      <c r="B74" s="6" t="s">
        <v>28</v>
      </c>
      <c r="C74" s="6" t="s">
        <v>11</v>
      </c>
      <c r="D74" s="7" t="s">
        <v>295</v>
      </c>
      <c r="E74" s="8" t="s">
        <v>296</v>
      </c>
      <c r="F74" s="6" t="s">
        <v>297</v>
      </c>
      <c r="G74" s="9">
        <f>IF(A74=1,"_",IF(C74="_","???",C74))</f>
        <v/>
      </c>
      <c r="H74" s="10" t="s">
        <v>11</v>
      </c>
      <c r="I74" s="11" t="s">
        <v>11</v>
      </c>
      <c r="J74" s="12"/>
    </row>
    <row r="75" spans="1:10" ht="60" customHeight="1">
      <c r="A75" s="6" t="s">
        <v>298</v>
      </c>
      <c r="B75" s="6" t="s">
        <v>15</v>
      </c>
      <c r="C75" s="6" t="s">
        <v>11</v>
      </c>
      <c r="D75" s="7" t="s">
        <v>299</v>
      </c>
      <c r="E75" s="8" t="s">
        <v>300</v>
      </c>
      <c r="F75" s="6" t="s">
        <v>301</v>
      </c>
      <c r="G75" s="9">
        <f>IF(A75=1,"_",IF(C75="_","???",C75))</f>
        <v/>
      </c>
      <c r="H75" s="10" t="s">
        <v>11</v>
      </c>
      <c r="I75" s="11" t="s">
        <v>11</v>
      </c>
      <c r="J75" s="12"/>
    </row>
    <row r="76" spans="1:10" ht="60" customHeight="1">
      <c r="A76" s="6" t="s">
        <v>302</v>
      </c>
      <c r="B76" s="6" t="s">
        <v>16</v>
      </c>
      <c r="C76" s="6" t="s">
        <v>11</v>
      </c>
      <c r="D76" s="7" t="s">
        <v>91</v>
      </c>
      <c r="E76" s="8" t="s">
        <v>303</v>
      </c>
      <c r="F76" s="6" t="s">
        <v>304</v>
      </c>
      <c r="G76" s="9">
        <f>IF(A76=1,"_",IF(C76="_","???",C76))</f>
        <v/>
      </c>
      <c r="H76" s="10" t="s">
        <v>11</v>
      </c>
      <c r="I76" s="11" t="s">
        <v>11</v>
      </c>
      <c r="J76" s="12"/>
    </row>
    <row r="77" spans="1:10" ht="60" customHeight="1">
      <c r="A77" s="6" t="s">
        <v>305</v>
      </c>
      <c r="B77" s="6" t="s">
        <v>16</v>
      </c>
      <c r="C77" s="6" t="s">
        <v>11</v>
      </c>
      <c r="D77" s="7" t="s">
        <v>306</v>
      </c>
      <c r="E77" s="8" t="s">
        <v>307</v>
      </c>
      <c r="F77" s="6" t="s">
        <v>308</v>
      </c>
      <c r="G77" s="9">
        <f>IF(A77=1,"_",IF(C77="_","???",C77))</f>
        <v/>
      </c>
      <c r="H77" s="10" t="s">
        <v>11</v>
      </c>
      <c r="I77" s="11" t="s">
        <v>11</v>
      </c>
      <c r="J77" s="12"/>
    </row>
    <row r="78" spans="1:10" ht="60" customHeight="1">
      <c r="A78" s="6" t="s">
        <v>309</v>
      </c>
      <c r="B78" s="6" t="s">
        <v>28</v>
      </c>
      <c r="C78" s="6" t="s">
        <v>11</v>
      </c>
      <c r="D78" s="7" t="s">
        <v>310</v>
      </c>
      <c r="E78" s="8" t="s">
        <v>311</v>
      </c>
      <c r="F78" s="6" t="s">
        <v>312</v>
      </c>
      <c r="G78" s="9">
        <f>IF(A78=1,"_",IF(C78="_","???",C78))</f>
        <v/>
      </c>
      <c r="H78" s="10" t="s">
        <v>11</v>
      </c>
      <c r="I78" s="11" t="s">
        <v>11</v>
      </c>
      <c r="J78" s="12"/>
    </row>
    <row r="79" spans="1:10" ht="60" customHeight="1">
      <c r="A79" s="6" t="s">
        <v>313</v>
      </c>
      <c r="B79" s="6" t="s">
        <v>28</v>
      </c>
      <c r="C79" s="6" t="s">
        <v>11</v>
      </c>
      <c r="D79" s="7" t="s">
        <v>314</v>
      </c>
      <c r="E79" s="8" t="s">
        <v>315</v>
      </c>
      <c r="F79" s="6" t="s">
        <v>316</v>
      </c>
      <c r="G79" s="9">
        <f>IF(A79=1,"_",IF(C79="_","???",C79))</f>
        <v/>
      </c>
      <c r="H79" s="10" t="s">
        <v>11</v>
      </c>
      <c r="I79" s="11" t="s">
        <v>11</v>
      </c>
      <c r="J79" s="12"/>
    </row>
    <row r="80" spans="1:10" ht="60" customHeight="1">
      <c r="A80" s="6" t="s">
        <v>317</v>
      </c>
      <c r="B80" s="6" t="s">
        <v>24</v>
      </c>
      <c r="C80" s="6" t="s">
        <v>11</v>
      </c>
      <c r="D80" s="7" t="s">
        <v>318</v>
      </c>
      <c r="E80" s="8" t="s">
        <v>319</v>
      </c>
      <c r="F80" s="6" t="s">
        <v>320</v>
      </c>
      <c r="G80" s="9">
        <f>IF(A80=1,"_",IF(C80="_","???",C80))</f>
        <v/>
      </c>
      <c r="H80" s="10" t="s">
        <v>11</v>
      </c>
      <c r="I80" s="11" t="s">
        <v>11</v>
      </c>
      <c r="J80" s="12"/>
    </row>
    <row r="81" spans="1:10" ht="60" customHeight="1">
      <c r="A81" s="6" t="s">
        <v>321</v>
      </c>
      <c r="B81" s="6" t="s">
        <v>16</v>
      </c>
      <c r="C81" s="6" t="s">
        <v>11</v>
      </c>
      <c r="D81" s="7" t="s">
        <v>322</v>
      </c>
      <c r="E81" s="8" t="s">
        <v>323</v>
      </c>
      <c r="F81" s="6" t="s">
        <v>324</v>
      </c>
      <c r="G81" s="9">
        <f>IF(A81=1,"_",IF(C81="_","???",C81))</f>
        <v/>
      </c>
      <c r="H81" s="10" t="s">
        <v>11</v>
      </c>
      <c r="I81" s="11" t="s">
        <v>11</v>
      </c>
      <c r="J81" s="12"/>
    </row>
    <row r="82" spans="1:10" ht="60" customHeight="1">
      <c r="A82" s="6" t="s">
        <v>325</v>
      </c>
      <c r="B82" s="6" t="s">
        <v>52</v>
      </c>
      <c r="C82" s="6" t="s">
        <v>11</v>
      </c>
      <c r="D82" s="7" t="s">
        <v>326</v>
      </c>
      <c r="E82" s="8" t="s">
        <v>327</v>
      </c>
      <c r="F82" s="6" t="s">
        <v>328</v>
      </c>
      <c r="G82" s="9">
        <f>IF(A82=1,"_",IF(C82="_","???",C82))</f>
        <v/>
      </c>
      <c r="H82" s="10" t="s">
        <v>11</v>
      </c>
      <c r="I82" s="11" t="s">
        <v>11</v>
      </c>
      <c r="J82" s="12"/>
    </row>
    <row r="83" spans="1:10" ht="60" customHeight="1">
      <c r="A83" s="6" t="s">
        <v>329</v>
      </c>
      <c r="B83" s="6" t="s">
        <v>15</v>
      </c>
      <c r="C83" s="6" t="s">
        <v>11</v>
      </c>
      <c r="D83" s="7" t="s">
        <v>330</v>
      </c>
      <c r="E83" s="8" t="s">
        <v>331</v>
      </c>
      <c r="F83" s="6" t="s">
        <v>332</v>
      </c>
      <c r="G83" s="9">
        <f>IF(A83=1,"_",IF(C83="_","???",C83))</f>
        <v/>
      </c>
      <c r="H83" s="10" t="s">
        <v>11</v>
      </c>
      <c r="I83" s="11" t="s">
        <v>11</v>
      </c>
      <c r="J83" s="12"/>
    </row>
    <row r="84" spans="1:10" ht="60" customHeight="1">
      <c r="A84" s="6" t="s">
        <v>333</v>
      </c>
      <c r="B84" s="6" t="s">
        <v>40</v>
      </c>
      <c r="C84" s="6" t="s">
        <v>11</v>
      </c>
      <c r="D84" s="7" t="s">
        <v>334</v>
      </c>
      <c r="E84" s="8" t="s">
        <v>335</v>
      </c>
      <c r="F84" s="6" t="s">
        <v>336</v>
      </c>
      <c r="G84" s="9">
        <f>IF(A84=1,"_",IF(C84="_","???",C84))</f>
        <v/>
      </c>
      <c r="H84" s="10" t="s">
        <v>11</v>
      </c>
      <c r="I84" s="11" t="s">
        <v>11</v>
      </c>
      <c r="J84" s="12"/>
    </row>
    <row r="85" spans="1:10" ht="60" customHeight="1">
      <c r="A85" s="6" t="s">
        <v>337</v>
      </c>
      <c r="B85" s="6" t="s">
        <v>52</v>
      </c>
      <c r="C85" s="6" t="s">
        <v>11</v>
      </c>
      <c r="D85" s="7" t="s">
        <v>338</v>
      </c>
      <c r="E85" s="8" t="s">
        <v>339</v>
      </c>
      <c r="F85" s="6" t="s">
        <v>340</v>
      </c>
      <c r="G85" s="9">
        <f>IF(A85=1,"_",IF(C85="_","???",C85))</f>
        <v/>
      </c>
      <c r="H85" s="10" t="s">
        <v>11</v>
      </c>
      <c r="I85" s="11" t="s">
        <v>11</v>
      </c>
      <c r="J85" s="12"/>
    </row>
    <row r="86" spans="1:10" ht="60" customHeight="1">
      <c r="A86" s="6" t="s">
        <v>341</v>
      </c>
      <c r="B86" s="6" t="s">
        <v>41</v>
      </c>
      <c r="C86" s="6" t="s">
        <v>11</v>
      </c>
      <c r="D86" s="7" t="s">
        <v>342</v>
      </c>
      <c r="E86" s="8" t="s">
        <v>343</v>
      </c>
      <c r="F86" s="6" t="s">
        <v>344</v>
      </c>
      <c r="G86" s="9">
        <f>IF(A86=1,"_",IF(C86="_","???",C86))</f>
        <v/>
      </c>
      <c r="H86" s="10" t="s">
        <v>11</v>
      </c>
      <c r="I86" s="11" t="s">
        <v>11</v>
      </c>
      <c r="J86" s="12"/>
    </row>
    <row r="87" spans="1:10" ht="60" customHeight="1">
      <c r="A87" s="6" t="s">
        <v>345</v>
      </c>
      <c r="B87" s="6" t="s">
        <v>28</v>
      </c>
      <c r="C87" s="6" t="s">
        <v>11</v>
      </c>
      <c r="D87" s="7" t="s">
        <v>346</v>
      </c>
      <c r="E87" s="8" t="s">
        <v>347</v>
      </c>
      <c r="F87" s="6" t="s">
        <v>348</v>
      </c>
      <c r="G87" s="9">
        <f>IF(A87=1,"_",IF(C87="_","???",C87))</f>
        <v/>
      </c>
      <c r="H87" s="10" t="s">
        <v>11</v>
      </c>
      <c r="I87" s="11" t="s">
        <v>11</v>
      </c>
      <c r="J87" s="12"/>
    </row>
    <row r="88" spans="1:10" ht="60" customHeight="1">
      <c r="A88" s="6" t="s">
        <v>349</v>
      </c>
      <c r="B88" s="6" t="s">
        <v>24</v>
      </c>
      <c r="C88" s="6" t="s">
        <v>11</v>
      </c>
      <c r="D88" s="7" t="s">
        <v>350</v>
      </c>
      <c r="E88" s="8" t="s">
        <v>351</v>
      </c>
      <c r="F88" s="6" t="s">
        <v>352</v>
      </c>
      <c r="G88" s="9">
        <f>IF(A88=1,"_",IF(C88="_","???",C88))</f>
        <v/>
      </c>
      <c r="H88" s="10" t="s">
        <v>11</v>
      </c>
      <c r="I88" s="11" t="s">
        <v>11</v>
      </c>
      <c r="J88" s="12"/>
    </row>
    <row r="89" spans="1:10" ht="60" customHeight="1">
      <c r="A89" s="6" t="s">
        <v>353</v>
      </c>
      <c r="B89" s="6" t="s">
        <v>36</v>
      </c>
      <c r="C89" s="6" t="s">
        <v>11</v>
      </c>
      <c r="D89" s="7" t="s">
        <v>354</v>
      </c>
      <c r="E89" s="8" t="s">
        <v>355</v>
      </c>
      <c r="F89" s="6" t="s">
        <v>356</v>
      </c>
      <c r="G89" s="9">
        <f>IF(A89=1,"_",IF(C89="_","???",C89))</f>
        <v/>
      </c>
      <c r="H89" s="10" t="s">
        <v>11</v>
      </c>
      <c r="I89" s="11" t="s">
        <v>11</v>
      </c>
      <c r="J89" s="12"/>
    </row>
    <row r="90" spans="1:10" ht="60" customHeight="1">
      <c r="A90" s="6" t="s">
        <v>357</v>
      </c>
      <c r="B90" s="6" t="s">
        <v>15</v>
      </c>
      <c r="C90" s="6" t="s">
        <v>11</v>
      </c>
      <c r="D90" s="7" t="s">
        <v>358</v>
      </c>
      <c r="E90" s="8" t="s">
        <v>359</v>
      </c>
      <c r="F90" s="6" t="s">
        <v>360</v>
      </c>
      <c r="G90" s="9">
        <f>IF(A90=1,"_",IF(C90="_","???",C90))</f>
        <v/>
      </c>
      <c r="H90" s="10" t="s">
        <v>11</v>
      </c>
      <c r="I90" s="11" t="s">
        <v>11</v>
      </c>
      <c r="J90" s="12"/>
    </row>
    <row r="91" spans="1:10" ht="60" customHeight="1">
      <c r="A91" s="6" t="s">
        <v>361</v>
      </c>
      <c r="B91" s="6" t="s">
        <v>15</v>
      </c>
      <c r="C91" s="6" t="s">
        <v>11</v>
      </c>
      <c r="D91" s="7" t="s">
        <v>362</v>
      </c>
      <c r="E91" s="8" t="s">
        <v>363</v>
      </c>
      <c r="F91" s="6" t="s">
        <v>364</v>
      </c>
      <c r="G91" s="9">
        <f>IF(A91=1,"_",IF(C91="_","???",C91))</f>
        <v/>
      </c>
      <c r="H91" s="10" t="s">
        <v>11</v>
      </c>
      <c r="I91" s="11" t="s">
        <v>11</v>
      </c>
      <c r="J91" s="12"/>
    </row>
    <row r="92" spans="1:10" ht="60" customHeight="1">
      <c r="A92" s="6" t="s">
        <v>365</v>
      </c>
      <c r="B92" s="6" t="s">
        <v>16</v>
      </c>
      <c r="C92" s="6" t="s">
        <v>11</v>
      </c>
      <c r="D92" s="7" t="s">
        <v>366</v>
      </c>
      <c r="E92" s="8" t="s">
        <v>367</v>
      </c>
      <c r="F92" s="6" t="s">
        <v>368</v>
      </c>
      <c r="G92" s="9">
        <f>IF(A92=1,"_",IF(C92="_","???",C92))</f>
        <v/>
      </c>
      <c r="H92" s="10" t="s">
        <v>11</v>
      </c>
      <c r="I92" s="11" t="s">
        <v>11</v>
      </c>
      <c r="J92" s="12"/>
    </row>
    <row r="93" spans="1:10" ht="60" customHeight="1">
      <c r="A93" s="6" t="s">
        <v>369</v>
      </c>
      <c r="B93" s="6" t="s">
        <v>24</v>
      </c>
      <c r="C93" s="6" t="s">
        <v>11</v>
      </c>
      <c r="D93" s="7" t="s">
        <v>370</v>
      </c>
      <c r="E93" s="8" t="s">
        <v>371</v>
      </c>
      <c r="F93" s="6" t="s">
        <v>372</v>
      </c>
      <c r="G93" s="9">
        <f>IF(A93=1,"_",IF(C93="_","???",C93))</f>
        <v/>
      </c>
      <c r="H93" s="10" t="s">
        <v>11</v>
      </c>
      <c r="I93" s="11" t="s">
        <v>11</v>
      </c>
      <c r="J93" s="12"/>
    </row>
    <row r="94" spans="1:10" ht="60" customHeight="1">
      <c r="A94" s="6" t="s">
        <v>373</v>
      </c>
      <c r="B94" s="6" t="s">
        <v>36</v>
      </c>
      <c r="C94" s="6" t="s">
        <v>11</v>
      </c>
      <c r="D94" s="7" t="s">
        <v>374</v>
      </c>
      <c r="E94" s="8" t="s">
        <v>375</v>
      </c>
      <c r="F94" s="6" t="s">
        <v>376</v>
      </c>
      <c r="G94" s="9">
        <f>IF(A94=1,"_",IF(C94="_","???",C94))</f>
        <v/>
      </c>
      <c r="H94" s="10" t="s">
        <v>11</v>
      </c>
      <c r="I94" s="11" t="s">
        <v>11</v>
      </c>
      <c r="J94" s="12"/>
    </row>
    <row r="95" spans="1:10" ht="60" customHeight="1">
      <c r="A95" s="6" t="s">
        <v>377</v>
      </c>
      <c r="B95" s="6" t="s">
        <v>16</v>
      </c>
      <c r="C95" s="6" t="s">
        <v>11</v>
      </c>
      <c r="D95" s="7" t="s">
        <v>202</v>
      </c>
      <c r="E95" s="8" t="s">
        <v>378</v>
      </c>
      <c r="F95" s="6" t="s">
        <v>379</v>
      </c>
      <c r="G95" s="9">
        <f>IF(A95=1,"_",IF(C95="_","???",C95))</f>
        <v/>
      </c>
      <c r="H95" s="10" t="s">
        <v>11</v>
      </c>
      <c r="I95" s="11" t="s">
        <v>11</v>
      </c>
      <c r="J95" s="12"/>
    </row>
    <row r="96" spans="1:10" ht="60" customHeight="1">
      <c r="A96" s="6" t="s">
        <v>380</v>
      </c>
      <c r="B96" s="6" t="s">
        <v>52</v>
      </c>
      <c r="C96" s="6" t="s">
        <v>11</v>
      </c>
      <c r="D96" s="7" t="s">
        <v>381</v>
      </c>
      <c r="E96" s="8" t="s">
        <v>382</v>
      </c>
      <c r="F96" s="6" t="s">
        <v>383</v>
      </c>
      <c r="G96" s="9">
        <f>IF(A96=1,"_",IF(C96="_","???",C96))</f>
        <v/>
      </c>
      <c r="H96" s="10" t="s">
        <v>11</v>
      </c>
      <c r="I96" s="11" t="s">
        <v>11</v>
      </c>
      <c r="J96" s="12"/>
    </row>
    <row r="97" spans="1:10" ht="60" customHeight="1">
      <c r="A97" s="6" t="s">
        <v>384</v>
      </c>
      <c r="B97" s="6" t="s">
        <v>16</v>
      </c>
      <c r="C97" s="6" t="s">
        <v>11</v>
      </c>
      <c r="D97" s="7" t="s">
        <v>103</v>
      </c>
      <c r="E97" s="8" t="s">
        <v>385</v>
      </c>
      <c r="F97" s="6" t="s">
        <v>386</v>
      </c>
      <c r="G97" s="9">
        <f>IF(A97=1,"_",IF(C97="_","???",C97))</f>
        <v/>
      </c>
      <c r="H97" s="10" t="s">
        <v>11</v>
      </c>
      <c r="I97" s="11" t="s">
        <v>11</v>
      </c>
      <c r="J97" s="12"/>
    </row>
    <row r="98" spans="1:10" ht="60" customHeight="1">
      <c r="A98" s="6" t="s">
        <v>387</v>
      </c>
      <c r="B98" s="6" t="s">
        <v>36</v>
      </c>
      <c r="C98" s="6" t="s">
        <v>11</v>
      </c>
      <c r="D98" s="7" t="s">
        <v>388</v>
      </c>
      <c r="E98" s="8" t="s">
        <v>389</v>
      </c>
      <c r="F98" s="6" t="s">
        <v>390</v>
      </c>
      <c r="G98" s="9">
        <f>IF(A98=1,"_",IF(C98="_","???",C98))</f>
        <v/>
      </c>
      <c r="H98" s="10" t="s">
        <v>11</v>
      </c>
      <c r="I98" s="11" t="s">
        <v>11</v>
      </c>
      <c r="J98" s="12"/>
    </row>
    <row r="99" spans="1:10" ht="60" customHeight="1">
      <c r="A99" s="6" t="s">
        <v>391</v>
      </c>
      <c r="B99" s="6" t="s">
        <v>15</v>
      </c>
      <c r="C99" s="6" t="s">
        <v>11</v>
      </c>
      <c r="D99" s="7" t="s">
        <v>392</v>
      </c>
      <c r="E99" s="8" t="s">
        <v>393</v>
      </c>
      <c r="F99" s="6" t="s">
        <v>394</v>
      </c>
      <c r="G99" s="9">
        <f>IF(A99=1,"_",IF(C99="_","???",C99))</f>
        <v/>
      </c>
      <c r="H99" s="10" t="s">
        <v>11</v>
      </c>
      <c r="I99" s="11" t="s">
        <v>11</v>
      </c>
      <c r="J99" s="12"/>
    </row>
    <row r="100" spans="1:10" ht="60" customHeight="1">
      <c r="A100" s="6" t="s">
        <v>395</v>
      </c>
      <c r="B100" s="6" t="s">
        <v>10</v>
      </c>
      <c r="C100" s="6" t="s">
        <v>11</v>
      </c>
      <c r="D100" s="7" t="s">
        <v>396</v>
      </c>
      <c r="E100" s="8" t="s">
        <v>397</v>
      </c>
      <c r="F100" s="6" t="s">
        <v>398</v>
      </c>
      <c r="G100" s="9">
        <f>IF(A100=1,"_",IF(C100="_","???",C100))</f>
        <v/>
      </c>
      <c r="H100" s="10" t="s">
        <v>11</v>
      </c>
      <c r="I100" s="11" t="s">
        <v>11</v>
      </c>
      <c r="J100" s="12"/>
    </row>
    <row r="101" spans="1:10" ht="60" customHeight="1">
      <c r="A101" s="6" t="s">
        <v>399</v>
      </c>
      <c r="B101" s="6" t="s">
        <v>40</v>
      </c>
      <c r="C101" s="6" t="s">
        <v>11</v>
      </c>
      <c r="D101" s="7" t="s">
        <v>370</v>
      </c>
      <c r="E101" s="8" t="s">
        <v>400</v>
      </c>
      <c r="F101" s="6" t="s">
        <v>401</v>
      </c>
      <c r="G101" s="9">
        <f>IF(A101=1,"_",IF(C101="_","???",C101))</f>
        <v/>
      </c>
      <c r="H101" s="10" t="s">
        <v>11</v>
      </c>
      <c r="I101" s="11" t="s">
        <v>11</v>
      </c>
      <c r="J101" s="12"/>
    </row>
    <row r="102" spans="1:10" ht="60" customHeight="1">
      <c r="A102" s="6" t="s">
        <v>402</v>
      </c>
      <c r="B102" s="6" t="s">
        <v>16</v>
      </c>
      <c r="C102" s="6" t="s">
        <v>11</v>
      </c>
      <c r="D102" s="7" t="s">
        <v>403</v>
      </c>
      <c r="E102" s="8" t="s">
        <v>404</v>
      </c>
      <c r="F102" s="6" t="s">
        <v>405</v>
      </c>
      <c r="G102" s="9">
        <f>IF(A102=1,"_",IF(C102="_","???",C102))</f>
        <v/>
      </c>
      <c r="H102" s="10" t="s">
        <v>11</v>
      </c>
      <c r="I102" s="11" t="s">
        <v>11</v>
      </c>
      <c r="J102" s="12"/>
    </row>
    <row r="103" spans="1:10" ht="60" customHeight="1">
      <c r="A103" s="6" t="s">
        <v>406</v>
      </c>
      <c r="B103" s="6" t="s">
        <v>40</v>
      </c>
      <c r="C103" s="6" t="s">
        <v>11</v>
      </c>
      <c r="D103" s="7" t="s">
        <v>407</v>
      </c>
      <c r="E103" s="8" t="s">
        <v>408</v>
      </c>
      <c r="F103" s="6" t="s">
        <v>409</v>
      </c>
      <c r="G103" s="9">
        <f>IF(A103=1,"_",IF(C103="_","???",C103))</f>
        <v/>
      </c>
      <c r="H103" s="10" t="s">
        <v>11</v>
      </c>
      <c r="I103" s="11" t="s">
        <v>11</v>
      </c>
      <c r="J103" s="12"/>
    </row>
    <row r="104" spans="1:10" ht="60" customHeight="1">
      <c r="A104" s="6" t="s">
        <v>410</v>
      </c>
      <c r="B104" s="6" t="s">
        <v>24</v>
      </c>
      <c r="C104" s="6" t="s">
        <v>11</v>
      </c>
      <c r="D104" s="7" t="s">
        <v>411</v>
      </c>
      <c r="E104" s="8" t="s">
        <v>412</v>
      </c>
      <c r="F104" s="6" t="s">
        <v>413</v>
      </c>
      <c r="G104" s="9">
        <f>IF(A104=1,"_",IF(C104="_","???",C104))</f>
        <v/>
      </c>
      <c r="H104" s="10" t="s">
        <v>11</v>
      </c>
      <c r="I104" s="11" t="s">
        <v>11</v>
      </c>
      <c r="J104" s="12"/>
    </row>
    <row r="105" spans="1:10" ht="60" customHeight="1">
      <c r="A105" s="6" t="s">
        <v>414</v>
      </c>
      <c r="B105" s="6" t="s">
        <v>32</v>
      </c>
      <c r="C105" s="6" t="s">
        <v>11</v>
      </c>
      <c r="D105" s="7" t="s">
        <v>415</v>
      </c>
      <c r="E105" s="8" t="s">
        <v>416</v>
      </c>
      <c r="F105" s="6" t="s">
        <v>417</v>
      </c>
      <c r="G105" s="9">
        <f>IF(A105=1,"_",IF(C105="_","???",C105))</f>
        <v/>
      </c>
      <c r="H105" s="10" t="s">
        <v>11</v>
      </c>
      <c r="I105" s="11" t="s">
        <v>11</v>
      </c>
      <c r="J105" s="12"/>
    </row>
    <row r="106" spans="1:10" ht="60" customHeight="1">
      <c r="A106" s="6" t="s">
        <v>418</v>
      </c>
      <c r="B106" s="6" t="s">
        <v>15</v>
      </c>
      <c r="C106" s="6" t="s">
        <v>11</v>
      </c>
      <c r="D106" s="7" t="s">
        <v>419</v>
      </c>
      <c r="E106" s="8" t="s">
        <v>420</v>
      </c>
      <c r="F106" s="6" t="s">
        <v>421</v>
      </c>
      <c r="G106" s="9">
        <f>IF(A106=1,"_",IF(C106="_","???",C106))</f>
        <v/>
      </c>
      <c r="H106" s="10" t="s">
        <v>11</v>
      </c>
      <c r="I106" s="11" t="s">
        <v>11</v>
      </c>
      <c r="J106" s="12"/>
    </row>
    <row r="107" spans="1:10" ht="60" customHeight="1">
      <c r="A107" s="6" t="s">
        <v>422</v>
      </c>
      <c r="B107" s="6" t="s">
        <v>10</v>
      </c>
      <c r="C107" s="6" t="s">
        <v>11</v>
      </c>
      <c r="D107" s="7" t="s">
        <v>423</v>
      </c>
      <c r="E107" s="8" t="s">
        <v>424</v>
      </c>
      <c r="F107" s="6" t="s">
        <v>425</v>
      </c>
      <c r="G107" s="9">
        <f>IF(A107=1,"_",IF(C107="_","???",C107))</f>
        <v/>
      </c>
      <c r="H107" s="10" t="s">
        <v>11</v>
      </c>
      <c r="I107" s="11" t="s">
        <v>11</v>
      </c>
      <c r="J107" s="12"/>
    </row>
    <row r="108" spans="1:10" ht="60" customHeight="1">
      <c r="A108" s="6" t="s">
        <v>426</v>
      </c>
      <c r="B108" s="6" t="s">
        <v>15</v>
      </c>
      <c r="C108" s="6" t="s">
        <v>11</v>
      </c>
      <c r="D108" s="7" t="s">
        <v>427</v>
      </c>
      <c r="E108" s="8" t="s">
        <v>428</v>
      </c>
      <c r="F108" s="6" t="s">
        <v>429</v>
      </c>
      <c r="G108" s="9">
        <f>IF(A108=1,"_",IF(C108="_","???",C108))</f>
        <v/>
      </c>
      <c r="H108" s="10" t="s">
        <v>11</v>
      </c>
      <c r="I108" s="11" t="s">
        <v>11</v>
      </c>
      <c r="J108" s="12"/>
    </row>
    <row r="109" spans="1:10" ht="60" customHeight="1">
      <c r="A109" s="6" t="s">
        <v>430</v>
      </c>
      <c r="B109" s="6" t="s">
        <v>20</v>
      </c>
      <c r="C109" s="6" t="s">
        <v>11</v>
      </c>
      <c r="D109" s="7" t="s">
        <v>431</v>
      </c>
      <c r="E109" s="8" t="s">
        <v>432</v>
      </c>
      <c r="F109" s="6" t="s">
        <v>433</v>
      </c>
      <c r="G109" s="9">
        <f>IF(A109=1,"_",IF(C109="_","???",C109))</f>
        <v/>
      </c>
      <c r="H109" s="10" t="s">
        <v>11</v>
      </c>
      <c r="I109" s="11" t="s">
        <v>11</v>
      </c>
      <c r="J109" s="12"/>
    </row>
    <row r="110" spans="1:10" ht="60" customHeight="1">
      <c r="A110" s="6" t="s">
        <v>434</v>
      </c>
      <c r="B110" s="6" t="s">
        <v>28</v>
      </c>
      <c r="C110" s="6" t="s">
        <v>11</v>
      </c>
      <c r="D110" s="7" t="s">
        <v>435</v>
      </c>
      <c r="E110" s="8" t="s">
        <v>436</v>
      </c>
      <c r="F110" s="6" t="s">
        <v>437</v>
      </c>
      <c r="G110" s="9">
        <f>IF(A110=1,"_",IF(C110="_","???",C110))</f>
        <v/>
      </c>
      <c r="H110" s="10" t="s">
        <v>11</v>
      </c>
      <c r="I110" s="11" t="s">
        <v>11</v>
      </c>
      <c r="J110" s="12"/>
    </row>
    <row r="111" spans="1:10" ht="60" customHeight="1">
      <c r="A111" s="6" t="s">
        <v>438</v>
      </c>
      <c r="B111" s="6" t="s">
        <v>36</v>
      </c>
      <c r="C111" s="6" t="s">
        <v>11</v>
      </c>
      <c r="D111" s="7" t="s">
        <v>439</v>
      </c>
      <c r="E111" s="8" t="s">
        <v>440</v>
      </c>
      <c r="F111" s="6" t="s">
        <v>441</v>
      </c>
      <c r="G111" s="9">
        <f>IF(A111=1,"_",IF(C111="_","???",C111))</f>
        <v/>
      </c>
      <c r="H111" s="10" t="s">
        <v>11</v>
      </c>
      <c r="I111" s="11" t="s">
        <v>11</v>
      </c>
      <c r="J111" s="12"/>
    </row>
    <row r="112" spans="1:10" ht="60" customHeight="1">
      <c r="A112" s="6" t="s">
        <v>442</v>
      </c>
      <c r="B112" s="6" t="s">
        <v>15</v>
      </c>
      <c r="C112" s="6" t="s">
        <v>11</v>
      </c>
      <c r="D112" s="7" t="s">
        <v>443</v>
      </c>
      <c r="E112" s="8" t="s">
        <v>444</v>
      </c>
      <c r="F112" s="6" t="s">
        <v>445</v>
      </c>
      <c r="G112" s="9">
        <f>IF(A112=1,"_",IF(C112="_","???",C112))</f>
        <v/>
      </c>
      <c r="H112" s="10" t="s">
        <v>11</v>
      </c>
      <c r="I112" s="11" t="s">
        <v>11</v>
      </c>
      <c r="J112" s="12"/>
    </row>
    <row r="113" spans="1:10" ht="60" customHeight="1">
      <c r="A113" s="6" t="s">
        <v>446</v>
      </c>
      <c r="B113" s="6" t="s">
        <v>15</v>
      </c>
      <c r="C113" s="6" t="s">
        <v>11</v>
      </c>
      <c r="D113" s="7" t="s">
        <v>447</v>
      </c>
      <c r="E113" s="8" t="s">
        <v>448</v>
      </c>
      <c r="F113" s="6" t="s">
        <v>449</v>
      </c>
      <c r="G113" s="9">
        <f>IF(A113=1,"_",IF(C113="_","???",C113))</f>
        <v/>
      </c>
      <c r="H113" s="10" t="s">
        <v>11</v>
      </c>
      <c r="I113" s="11" t="s">
        <v>11</v>
      </c>
      <c r="J113" s="12"/>
    </row>
    <row r="114" spans="1:10" ht="60" customHeight="1">
      <c r="A114" s="6" t="s">
        <v>450</v>
      </c>
      <c r="B114" s="6" t="s">
        <v>32</v>
      </c>
      <c r="C114" s="6" t="s">
        <v>11</v>
      </c>
      <c r="D114" s="7" t="s">
        <v>451</v>
      </c>
      <c r="E114" s="8" t="s">
        <v>452</v>
      </c>
      <c r="F114" s="6" t="s">
        <v>453</v>
      </c>
      <c r="G114" s="9">
        <f>IF(A114=1,"_",IF(C114="_","???",C114))</f>
        <v/>
      </c>
      <c r="H114" s="10" t="s">
        <v>11</v>
      </c>
      <c r="I114" s="11" t="s">
        <v>11</v>
      </c>
      <c r="J114" s="12"/>
    </row>
    <row r="115" spans="1:10" ht="60" customHeight="1">
      <c r="A115" s="6" t="s">
        <v>454</v>
      </c>
      <c r="B115" s="6" t="s">
        <v>24</v>
      </c>
      <c r="C115" s="6" t="s">
        <v>11</v>
      </c>
      <c r="D115" s="7" t="s">
        <v>455</v>
      </c>
      <c r="E115" s="8" t="s">
        <v>456</v>
      </c>
      <c r="F115" s="6" t="s">
        <v>457</v>
      </c>
      <c r="G115" s="9">
        <f>IF(A115=1,"_",IF(C115="_","???",C115))</f>
        <v/>
      </c>
      <c r="H115" s="10" t="s">
        <v>11</v>
      </c>
      <c r="I115" s="11" t="s">
        <v>11</v>
      </c>
      <c r="J115" s="12"/>
    </row>
    <row r="116" spans="1:10" ht="60" customHeight="1">
      <c r="A116" s="6" t="s">
        <v>458</v>
      </c>
      <c r="B116" s="6" t="s">
        <v>15</v>
      </c>
      <c r="C116" s="6" t="s">
        <v>11</v>
      </c>
      <c r="D116" s="7" t="s">
        <v>68</v>
      </c>
      <c r="E116" s="8" t="s">
        <v>459</v>
      </c>
      <c r="F116" s="6" t="s">
        <v>460</v>
      </c>
      <c r="G116" s="9">
        <f>IF(A116=1,"_",IF(C116="_","???",C116))</f>
        <v/>
      </c>
      <c r="H116" s="10" t="s">
        <v>11</v>
      </c>
      <c r="I116" s="11" t="s">
        <v>11</v>
      </c>
      <c r="J116" s="12"/>
    </row>
    <row r="117" spans="1:10" ht="60" customHeight="1">
      <c r="A117" s="6" t="s">
        <v>461</v>
      </c>
      <c r="B117" s="6" t="s">
        <v>36</v>
      </c>
      <c r="C117" s="6" t="s">
        <v>11</v>
      </c>
      <c r="D117" s="7" t="s">
        <v>462</v>
      </c>
      <c r="E117" s="8" t="s">
        <v>463</v>
      </c>
      <c r="F117" s="6" t="s">
        <v>464</v>
      </c>
      <c r="G117" s="9">
        <f>IF(A117=1,"_",IF(C117="_","???",C117))</f>
        <v/>
      </c>
      <c r="H117" s="10" t="s">
        <v>11</v>
      </c>
      <c r="I117" s="11" t="s">
        <v>11</v>
      </c>
      <c r="J117" s="12"/>
    </row>
    <row r="118" spans="1:10" ht="60" customHeight="1">
      <c r="A118" s="6" t="s">
        <v>465</v>
      </c>
      <c r="B118" s="6" t="s">
        <v>15</v>
      </c>
      <c r="C118" s="6" t="s">
        <v>466</v>
      </c>
      <c r="D118" s="7" t="s">
        <v>467</v>
      </c>
      <c r="E118" s="8" t="s">
        <v>468</v>
      </c>
      <c r="F118" s="6" t="s">
        <v>469</v>
      </c>
      <c r="G118" s="9">
        <f>IF(A118=1,"_",IF(C118="_","???",C118))</f>
        <v/>
      </c>
      <c r="H118" s="10" t="s">
        <v>11</v>
      </c>
      <c r="I118" s="11" t="s">
        <v>11</v>
      </c>
      <c r="J118" s="12"/>
    </row>
    <row r="119" spans="1:10" ht="60" customHeight="1">
      <c r="A119" s="6" t="s">
        <v>470</v>
      </c>
      <c r="B119" s="6" t="s">
        <v>24</v>
      </c>
      <c r="C119" s="6" t="s">
        <v>11</v>
      </c>
      <c r="D119" s="7" t="s">
        <v>471</v>
      </c>
      <c r="E119" s="8" t="s">
        <v>472</v>
      </c>
      <c r="F119" s="6" t="s">
        <v>473</v>
      </c>
      <c r="G119" s="9">
        <f>IF(A119=1,"_",IF(C119="_","???",C119))</f>
        <v/>
      </c>
      <c r="H119" s="10" t="s">
        <v>11</v>
      </c>
      <c r="I119" s="11" t="s">
        <v>11</v>
      </c>
      <c r="J119" s="12"/>
    </row>
    <row r="120" spans="1:10" ht="60" customHeight="1">
      <c r="A120" s="6" t="s">
        <v>474</v>
      </c>
      <c r="B120" s="6" t="s">
        <v>16</v>
      </c>
      <c r="C120" s="6" t="s">
        <v>11</v>
      </c>
      <c r="D120" s="7" t="s">
        <v>475</v>
      </c>
      <c r="E120" s="8" t="s">
        <v>476</v>
      </c>
      <c r="F120" s="6" t="s">
        <v>477</v>
      </c>
      <c r="G120" s="9">
        <f>IF(A120=1,"_",IF(C120="_","???",C120))</f>
        <v/>
      </c>
      <c r="H120" s="10" t="s">
        <v>11</v>
      </c>
      <c r="I120" s="11" t="s">
        <v>11</v>
      </c>
      <c r="J120" s="12"/>
    </row>
    <row r="121" spans="1:10" ht="60" customHeight="1">
      <c r="A121" s="6" t="s">
        <v>478</v>
      </c>
      <c r="B121" s="6" t="s">
        <v>15</v>
      </c>
      <c r="C121" s="6" t="s">
        <v>11</v>
      </c>
      <c r="D121" s="7" t="s">
        <v>479</v>
      </c>
      <c r="E121" s="8" t="s">
        <v>480</v>
      </c>
      <c r="F121" s="6" t="s">
        <v>481</v>
      </c>
      <c r="G121" s="9">
        <f>IF(A121=1,"_",IF(C121="_","???",C121))</f>
        <v/>
      </c>
      <c r="H121" s="10" t="s">
        <v>11</v>
      </c>
      <c r="I121" s="11" t="s">
        <v>11</v>
      </c>
      <c r="J121" s="12"/>
    </row>
    <row r="122" spans="1:10" ht="60" customHeight="1">
      <c r="A122" s="6" t="s">
        <v>482</v>
      </c>
      <c r="B122" s="6" t="s">
        <v>15</v>
      </c>
      <c r="C122" s="6" t="s">
        <v>11</v>
      </c>
      <c r="D122" s="7" t="s">
        <v>483</v>
      </c>
      <c r="E122" s="8" t="s">
        <v>484</v>
      </c>
      <c r="F122" s="6" t="s">
        <v>485</v>
      </c>
      <c r="G122" s="9">
        <f>IF(A122=1,"_",IF(C122="_","???",C122))</f>
        <v/>
      </c>
      <c r="H122" s="10" t="s">
        <v>11</v>
      </c>
      <c r="I122" s="11" t="s">
        <v>11</v>
      </c>
      <c r="J122" s="12"/>
    </row>
    <row r="123" spans="1:10" ht="60" customHeight="1">
      <c r="A123" s="6" t="s">
        <v>486</v>
      </c>
      <c r="B123" s="6" t="s">
        <v>16</v>
      </c>
      <c r="C123" s="6" t="s">
        <v>11</v>
      </c>
      <c r="D123" s="7" t="s">
        <v>487</v>
      </c>
      <c r="E123" s="8" t="s">
        <v>488</v>
      </c>
      <c r="F123" s="6" t="s">
        <v>489</v>
      </c>
      <c r="G123" s="9">
        <f>IF(A123=1,"_",IF(C123="_","???",C123))</f>
        <v/>
      </c>
      <c r="H123" s="10" t="s">
        <v>11</v>
      </c>
      <c r="I123" s="11" t="s">
        <v>11</v>
      </c>
      <c r="J123" s="12"/>
    </row>
    <row r="124" spans="1:10" ht="60" customHeight="1">
      <c r="A124" s="6" t="s">
        <v>490</v>
      </c>
      <c r="B124" s="6" t="s">
        <v>15</v>
      </c>
      <c r="C124" s="6" t="s">
        <v>11</v>
      </c>
      <c r="D124" s="7" t="s">
        <v>491</v>
      </c>
      <c r="E124" s="8" t="s">
        <v>492</v>
      </c>
      <c r="F124" s="6" t="s">
        <v>493</v>
      </c>
      <c r="G124" s="9">
        <f>IF(A124=1,"_",IF(C124="_","???",C124))</f>
        <v/>
      </c>
      <c r="H124" s="10" t="s">
        <v>11</v>
      </c>
      <c r="I124" s="11" t="s">
        <v>11</v>
      </c>
      <c r="J124" s="12"/>
    </row>
    <row r="125" spans="1:10" ht="60" customHeight="1">
      <c r="A125" s="6" t="s">
        <v>494</v>
      </c>
      <c r="B125" s="6" t="s">
        <v>15</v>
      </c>
      <c r="C125" s="6" t="s">
        <v>11</v>
      </c>
      <c r="D125" s="7" t="s">
        <v>495</v>
      </c>
      <c r="E125" s="8" t="s">
        <v>496</v>
      </c>
      <c r="F125" s="6" t="s">
        <v>497</v>
      </c>
      <c r="G125" s="9">
        <f>IF(A125=1,"_",IF(C125="_","???",C125))</f>
        <v/>
      </c>
      <c r="H125" s="10" t="s">
        <v>11</v>
      </c>
      <c r="I125" s="11" t="s">
        <v>11</v>
      </c>
      <c r="J125" s="12"/>
    </row>
    <row r="126" spans="1:10" ht="60" customHeight="1">
      <c r="A126" s="6" t="s">
        <v>498</v>
      </c>
      <c r="B126" s="6" t="s">
        <v>16</v>
      </c>
      <c r="C126" s="6" t="s">
        <v>11</v>
      </c>
      <c r="D126" s="7" t="s">
        <v>499</v>
      </c>
      <c r="E126" s="8" t="s">
        <v>500</v>
      </c>
      <c r="F126" s="6" t="s">
        <v>501</v>
      </c>
      <c r="G126" s="9">
        <f>IF(A126=1,"_",IF(C126="_","???",C126))</f>
        <v/>
      </c>
      <c r="H126" s="10" t="s">
        <v>11</v>
      </c>
      <c r="I126" s="11" t="s">
        <v>11</v>
      </c>
      <c r="J126" s="12"/>
    </row>
    <row r="127" spans="1:10" ht="60" customHeight="1">
      <c r="A127" s="6" t="s">
        <v>502</v>
      </c>
      <c r="B127" s="6" t="s">
        <v>15</v>
      </c>
      <c r="C127" s="6" t="s">
        <v>11</v>
      </c>
      <c r="D127" s="7" t="s">
        <v>503</v>
      </c>
      <c r="E127" s="8" t="s">
        <v>504</v>
      </c>
      <c r="F127" s="6" t="s">
        <v>505</v>
      </c>
      <c r="G127" s="9">
        <f>IF(A127=1,"_",IF(C127="_","???",C127))</f>
        <v/>
      </c>
      <c r="H127" s="10" t="s">
        <v>11</v>
      </c>
      <c r="I127" s="11" t="s">
        <v>11</v>
      </c>
      <c r="J127" s="12"/>
    </row>
    <row r="128" spans="1:10" ht="60" customHeight="1">
      <c r="A128" s="6" t="s">
        <v>506</v>
      </c>
      <c r="B128" s="6" t="s">
        <v>36</v>
      </c>
      <c r="C128" s="6" t="s">
        <v>11</v>
      </c>
      <c r="D128" s="7" t="s">
        <v>507</v>
      </c>
      <c r="E128" s="8" t="s">
        <v>508</v>
      </c>
      <c r="F128" s="6" t="s">
        <v>509</v>
      </c>
      <c r="G128" s="9">
        <f>IF(A128=1,"_",IF(C128="_","???",C128))</f>
        <v/>
      </c>
      <c r="H128" s="10" t="s">
        <v>11</v>
      </c>
      <c r="I128" s="11" t="s">
        <v>11</v>
      </c>
      <c r="J128" s="12"/>
    </row>
    <row r="129" spans="1:10" ht="60" customHeight="1">
      <c r="A129" s="6" t="s">
        <v>510</v>
      </c>
      <c r="B129" s="6" t="s">
        <v>15</v>
      </c>
      <c r="C129" s="6" t="s">
        <v>11</v>
      </c>
      <c r="D129" s="7" t="s">
        <v>511</v>
      </c>
      <c r="E129" s="8" t="s">
        <v>512</v>
      </c>
      <c r="F129" s="6" t="s">
        <v>513</v>
      </c>
      <c r="G129" s="9">
        <f>IF(A129=1,"_",IF(C129="_","???",C129))</f>
        <v/>
      </c>
      <c r="H129" s="10" t="s">
        <v>11</v>
      </c>
      <c r="I129" s="11" t="s">
        <v>11</v>
      </c>
      <c r="J129" s="12"/>
    </row>
    <row r="130" spans="1:10" ht="60" customHeight="1">
      <c r="A130" s="6" t="s">
        <v>514</v>
      </c>
      <c r="B130" s="6" t="s">
        <v>32</v>
      </c>
      <c r="C130" s="6" t="s">
        <v>11</v>
      </c>
      <c r="D130" s="7" t="s">
        <v>515</v>
      </c>
      <c r="E130" s="8" t="s">
        <v>516</v>
      </c>
      <c r="F130" s="6" t="s">
        <v>517</v>
      </c>
      <c r="G130" s="9">
        <f>IF(A130=1,"_",IF(C130="_","???",C130))</f>
        <v/>
      </c>
      <c r="H130" s="10" t="s">
        <v>11</v>
      </c>
      <c r="I130" s="11" t="s">
        <v>11</v>
      </c>
      <c r="J130" s="12"/>
    </row>
    <row r="131" spans="1:10" ht="60" customHeight="1">
      <c r="A131" s="6" t="s">
        <v>518</v>
      </c>
      <c r="B131" s="6" t="s">
        <v>24</v>
      </c>
      <c r="C131" s="6" t="s">
        <v>11</v>
      </c>
      <c r="D131" s="7" t="s">
        <v>519</v>
      </c>
      <c r="E131" s="8" t="s">
        <v>520</v>
      </c>
      <c r="F131" s="6" t="s">
        <v>521</v>
      </c>
      <c r="G131" s="9">
        <f>IF(A131=1,"_",IF(C131="_","???",C131))</f>
        <v/>
      </c>
      <c r="H131" s="10" t="s">
        <v>11</v>
      </c>
      <c r="I131" s="11" t="s">
        <v>11</v>
      </c>
      <c r="J131" s="12"/>
    </row>
    <row r="132" spans="1:10" ht="60" customHeight="1">
      <c r="A132" s="6" t="s">
        <v>522</v>
      </c>
      <c r="B132" s="6" t="s">
        <v>10</v>
      </c>
      <c r="C132" s="6" t="s">
        <v>11</v>
      </c>
      <c r="D132" s="7" t="s">
        <v>135</v>
      </c>
      <c r="E132" s="8" t="s">
        <v>523</v>
      </c>
      <c r="F132" s="6" t="s">
        <v>524</v>
      </c>
      <c r="G132" s="9">
        <f>IF(A132=1,"_",IF(C132="_","???",C132))</f>
        <v/>
      </c>
      <c r="H132" s="10" t="s">
        <v>11</v>
      </c>
      <c r="I132" s="11" t="s">
        <v>11</v>
      </c>
      <c r="J132" s="12"/>
    </row>
    <row r="133" spans="1:10" ht="60" customHeight="1">
      <c r="A133" s="6" t="s">
        <v>525</v>
      </c>
      <c r="B133" s="6" t="s">
        <v>32</v>
      </c>
      <c r="C133" s="6" t="s">
        <v>11</v>
      </c>
      <c r="D133" s="7" t="s">
        <v>519</v>
      </c>
      <c r="E133" s="8" t="s">
        <v>526</v>
      </c>
      <c r="F133" s="6" t="s">
        <v>527</v>
      </c>
      <c r="G133" s="9">
        <f>IF(A133=1,"_",IF(C133="_","???",C133))</f>
        <v/>
      </c>
      <c r="H133" s="10" t="s">
        <v>11</v>
      </c>
      <c r="I133" s="11" t="s">
        <v>11</v>
      </c>
      <c r="J133" s="12"/>
    </row>
    <row r="134" spans="1:10" ht="60" customHeight="1">
      <c r="A134" s="6" t="s">
        <v>528</v>
      </c>
      <c r="B134" s="6" t="s">
        <v>41</v>
      </c>
      <c r="C134" s="6" t="s">
        <v>11</v>
      </c>
      <c r="D134" s="7" t="s">
        <v>529</v>
      </c>
      <c r="E134" s="8" t="s">
        <v>530</v>
      </c>
      <c r="F134" s="6" t="s">
        <v>531</v>
      </c>
      <c r="G134" s="9">
        <f>IF(A134=1,"_",IF(C134="_","???",C134))</f>
        <v/>
      </c>
      <c r="H134" s="10" t="s">
        <v>11</v>
      </c>
      <c r="I134" s="11" t="s">
        <v>11</v>
      </c>
      <c r="J134" s="12"/>
    </row>
    <row r="135" spans="1:10" ht="60" customHeight="1">
      <c r="A135" s="6" t="s">
        <v>532</v>
      </c>
      <c r="B135" s="6" t="s">
        <v>40</v>
      </c>
      <c r="C135" s="6" t="s">
        <v>11</v>
      </c>
      <c r="D135" s="7" t="s">
        <v>439</v>
      </c>
      <c r="E135" s="8" t="s">
        <v>533</v>
      </c>
      <c r="F135" s="6" t="s">
        <v>534</v>
      </c>
      <c r="G135" s="9">
        <f>IF(A135=1,"_",IF(C135="_","???",C135))</f>
        <v/>
      </c>
      <c r="H135" s="10" t="s">
        <v>11</v>
      </c>
      <c r="I135" s="11" t="s">
        <v>11</v>
      </c>
      <c r="J135" s="12"/>
    </row>
    <row r="136" spans="1:10" ht="60" customHeight="1">
      <c r="A136" s="6" t="s">
        <v>535</v>
      </c>
      <c r="B136" s="6" t="s">
        <v>15</v>
      </c>
      <c r="C136" s="6" t="s">
        <v>11</v>
      </c>
      <c r="D136" s="7" t="s">
        <v>536</v>
      </c>
      <c r="E136" s="8" t="s">
        <v>537</v>
      </c>
      <c r="F136" s="6" t="s">
        <v>538</v>
      </c>
      <c r="G136" s="9">
        <f>IF(A136=1,"_",IF(C136="_","???",C136))</f>
        <v/>
      </c>
      <c r="H136" s="10" t="s">
        <v>11</v>
      </c>
      <c r="I136" s="11" t="s">
        <v>11</v>
      </c>
      <c r="J136" s="12"/>
    </row>
    <row r="137" spans="1:10" ht="60" customHeight="1">
      <c r="A137" s="6" t="s">
        <v>539</v>
      </c>
      <c r="B137" s="6" t="s">
        <v>63</v>
      </c>
      <c r="C137" s="6" t="s">
        <v>11</v>
      </c>
      <c r="D137" s="7" t="s">
        <v>540</v>
      </c>
      <c r="E137" s="8" t="s">
        <v>541</v>
      </c>
      <c r="F137" s="6" t="s">
        <v>542</v>
      </c>
      <c r="G137" s="9">
        <f>IF(A137=1,"_",IF(C137="_","???",C137))</f>
        <v/>
      </c>
      <c r="H137" s="10" t="s">
        <v>11</v>
      </c>
      <c r="I137" s="11" t="s">
        <v>11</v>
      </c>
      <c r="J137" s="12"/>
    </row>
    <row r="138" spans="1:10" ht="60" customHeight="1">
      <c r="A138" s="6" t="s">
        <v>543</v>
      </c>
      <c r="B138" s="6" t="s">
        <v>15</v>
      </c>
      <c r="C138" s="6" t="s">
        <v>11</v>
      </c>
      <c r="D138" s="7" t="s">
        <v>544</v>
      </c>
      <c r="E138" s="8" t="s">
        <v>545</v>
      </c>
      <c r="F138" s="6" t="s">
        <v>546</v>
      </c>
      <c r="G138" s="9">
        <f>IF(A138=1,"_",IF(C138="_","???",C138))</f>
        <v/>
      </c>
      <c r="H138" s="10" t="s">
        <v>11</v>
      </c>
      <c r="I138" s="11" t="s">
        <v>11</v>
      </c>
      <c r="J138" s="12"/>
    </row>
    <row r="139" spans="1:10" ht="60" customHeight="1">
      <c r="A139" s="6" t="s">
        <v>547</v>
      </c>
      <c r="B139" s="6" t="s">
        <v>15</v>
      </c>
      <c r="C139" s="6" t="s">
        <v>11</v>
      </c>
      <c r="D139" s="7" t="s">
        <v>548</v>
      </c>
      <c r="E139" s="8" t="s">
        <v>549</v>
      </c>
      <c r="F139" s="6" t="s">
        <v>550</v>
      </c>
      <c r="G139" s="9">
        <f>IF(A139=1,"_",IF(C139="_","???",C139))</f>
        <v/>
      </c>
      <c r="H139" s="10" t="s">
        <v>11</v>
      </c>
      <c r="I139" s="11" t="s">
        <v>11</v>
      </c>
      <c r="J139" s="12"/>
    </row>
    <row r="140" spans="1:10" ht="60" customHeight="1">
      <c r="A140" s="6" t="s">
        <v>551</v>
      </c>
      <c r="B140" s="6" t="s">
        <v>36</v>
      </c>
      <c r="C140" s="6" t="s">
        <v>11</v>
      </c>
      <c r="D140" s="7" t="s">
        <v>552</v>
      </c>
      <c r="E140" s="8" t="s">
        <v>553</v>
      </c>
      <c r="F140" s="6" t="s">
        <v>554</v>
      </c>
      <c r="G140" s="9">
        <f>IF(A140=1,"_",IF(C140="_","???",C140))</f>
        <v/>
      </c>
      <c r="H140" s="10" t="s">
        <v>11</v>
      </c>
      <c r="I140" s="11" t="s">
        <v>11</v>
      </c>
      <c r="J140" s="12"/>
    </row>
    <row r="141" spans="1:10" ht="60" customHeight="1">
      <c r="A141" s="6" t="s">
        <v>555</v>
      </c>
      <c r="B141" s="6" t="s">
        <v>16</v>
      </c>
      <c r="C141" s="6" t="s">
        <v>11</v>
      </c>
      <c r="D141" s="7" t="s">
        <v>556</v>
      </c>
      <c r="E141" s="8" t="s">
        <v>557</v>
      </c>
      <c r="F141" s="6" t="s">
        <v>558</v>
      </c>
      <c r="G141" s="9">
        <f>IF(A141=1,"_",IF(C141="_","???",C141))</f>
        <v/>
      </c>
      <c r="H141" s="10" t="s">
        <v>11</v>
      </c>
      <c r="I141" s="11" t="s">
        <v>11</v>
      </c>
      <c r="J141" s="12"/>
    </row>
    <row r="142" spans="1:10" ht="60" customHeight="1">
      <c r="A142" s="6" t="s">
        <v>559</v>
      </c>
      <c r="B142" s="6" t="s">
        <v>10</v>
      </c>
      <c r="C142" s="6" t="s">
        <v>11</v>
      </c>
      <c r="D142" s="7" t="s">
        <v>560</v>
      </c>
      <c r="E142" s="8" t="s">
        <v>561</v>
      </c>
      <c r="F142" s="6" t="s">
        <v>562</v>
      </c>
      <c r="G142" s="9">
        <f>IF(A142=1,"_",IF(C142="_","???",C142))</f>
        <v/>
      </c>
      <c r="H142" s="10" t="s">
        <v>11</v>
      </c>
      <c r="I142" s="11" t="s">
        <v>11</v>
      </c>
      <c r="J142" s="12"/>
    </row>
    <row r="143" spans="1:10" ht="60" customHeight="1">
      <c r="A143" s="6" t="s">
        <v>563</v>
      </c>
      <c r="B143" s="6" t="s">
        <v>15</v>
      </c>
      <c r="C143" s="6" t="s">
        <v>11</v>
      </c>
      <c r="D143" s="7" t="s">
        <v>564</v>
      </c>
      <c r="E143" s="8" t="s">
        <v>565</v>
      </c>
      <c r="F143" s="6" t="s">
        <v>566</v>
      </c>
      <c r="G143" s="9">
        <f>IF(A143=1,"_",IF(C143="_","???",C143))</f>
        <v/>
      </c>
      <c r="H143" s="10" t="s">
        <v>11</v>
      </c>
      <c r="I143" s="11" t="s">
        <v>11</v>
      </c>
      <c r="J143" s="12"/>
    </row>
    <row r="144" spans="1:10" ht="60" customHeight="1">
      <c r="A144" s="6" t="s">
        <v>567</v>
      </c>
      <c r="B144" s="6" t="s">
        <v>28</v>
      </c>
      <c r="C144" s="6" t="s">
        <v>11</v>
      </c>
      <c r="D144" s="7" t="s">
        <v>568</v>
      </c>
      <c r="E144" s="8" t="s">
        <v>569</v>
      </c>
      <c r="F144" s="6" t="s">
        <v>570</v>
      </c>
      <c r="G144" s="9">
        <f>IF(A144=1,"_",IF(C144="_","???",C144))</f>
        <v/>
      </c>
      <c r="H144" s="10" t="s">
        <v>11</v>
      </c>
      <c r="I144" s="11" t="s">
        <v>11</v>
      </c>
      <c r="J144" s="12"/>
    </row>
    <row r="145" spans="1:10" ht="60" customHeight="1">
      <c r="A145" s="6" t="s">
        <v>571</v>
      </c>
      <c r="B145" s="6" t="s">
        <v>16</v>
      </c>
      <c r="C145" s="6" t="s">
        <v>11</v>
      </c>
      <c r="D145" s="7" t="s">
        <v>572</v>
      </c>
      <c r="E145" s="8" t="s">
        <v>573</v>
      </c>
      <c r="F145" s="6" t="s">
        <v>574</v>
      </c>
      <c r="G145" s="9">
        <f>IF(A145=1,"_",IF(C145="_","???",C145))</f>
        <v/>
      </c>
      <c r="H145" s="10" t="s">
        <v>11</v>
      </c>
      <c r="I145" s="11" t="s">
        <v>11</v>
      </c>
      <c r="J145" s="12"/>
    </row>
    <row r="146" spans="1:10" ht="60" customHeight="1">
      <c r="A146" s="6" t="s">
        <v>575</v>
      </c>
      <c r="B146" s="6" t="s">
        <v>15</v>
      </c>
      <c r="C146" s="6" t="s">
        <v>11</v>
      </c>
      <c r="D146" s="7" t="s">
        <v>576</v>
      </c>
      <c r="E146" s="8" t="s">
        <v>577</v>
      </c>
      <c r="F146" s="6" t="s">
        <v>578</v>
      </c>
      <c r="G146" s="9">
        <f>IF(A146=1,"_",IF(C146="_","???",C146))</f>
        <v/>
      </c>
      <c r="H146" s="10" t="s">
        <v>11</v>
      </c>
      <c r="I146" s="11" t="s">
        <v>11</v>
      </c>
      <c r="J146" s="12"/>
    </row>
    <row r="147" spans="1:10" ht="60" customHeight="1">
      <c r="A147" s="6" t="s">
        <v>579</v>
      </c>
      <c r="B147" s="6" t="s">
        <v>24</v>
      </c>
      <c r="C147" s="6" t="s">
        <v>11</v>
      </c>
      <c r="D147" s="7" t="s">
        <v>439</v>
      </c>
      <c r="E147" s="8" t="s">
        <v>580</v>
      </c>
      <c r="F147" s="6" t="s">
        <v>581</v>
      </c>
      <c r="G147" s="9">
        <f>IF(A147=1,"_",IF(C147="_","???",C147))</f>
        <v/>
      </c>
      <c r="H147" s="10" t="s">
        <v>11</v>
      </c>
      <c r="I147" s="11" t="s">
        <v>11</v>
      </c>
      <c r="J147" s="12"/>
    </row>
    <row r="148" spans="1:10" ht="60" customHeight="1">
      <c r="A148" s="6" t="s">
        <v>582</v>
      </c>
      <c r="B148" s="6" t="s">
        <v>15</v>
      </c>
      <c r="C148" s="6" t="s">
        <v>11</v>
      </c>
      <c r="D148" s="7" t="s">
        <v>583</v>
      </c>
      <c r="E148" s="8" t="s">
        <v>584</v>
      </c>
      <c r="F148" s="6" t="s">
        <v>585</v>
      </c>
      <c r="G148" s="9">
        <f>IF(A148=1,"_",IF(C148="_","???",C148))</f>
        <v/>
      </c>
      <c r="H148" s="10" t="s">
        <v>11</v>
      </c>
      <c r="I148" s="11" t="s">
        <v>11</v>
      </c>
      <c r="J148" s="12"/>
    </row>
    <row r="149" spans="1:10" ht="60" customHeight="1">
      <c r="A149" s="6" t="s">
        <v>586</v>
      </c>
      <c r="B149" s="6" t="s">
        <v>15</v>
      </c>
      <c r="C149" s="6" t="s">
        <v>11</v>
      </c>
      <c r="D149" s="7" t="s">
        <v>396</v>
      </c>
      <c r="E149" s="8" t="s">
        <v>587</v>
      </c>
      <c r="F149" s="6" t="s">
        <v>588</v>
      </c>
      <c r="G149" s="9">
        <f>IF(A149=1,"_",IF(C149="_","???",C149))</f>
        <v/>
      </c>
      <c r="H149" s="10" t="s">
        <v>11</v>
      </c>
      <c r="I149" s="11" t="s">
        <v>11</v>
      </c>
      <c r="J149" s="12"/>
    </row>
    <row r="150" spans="1:10" ht="60" customHeight="1">
      <c r="A150" s="6" t="s">
        <v>589</v>
      </c>
      <c r="B150" s="6" t="s">
        <v>32</v>
      </c>
      <c r="C150" s="6" t="s">
        <v>11</v>
      </c>
      <c r="D150" s="7" t="s">
        <v>590</v>
      </c>
      <c r="E150" s="8" t="s">
        <v>591</v>
      </c>
      <c r="F150" s="6" t="s">
        <v>592</v>
      </c>
      <c r="G150" s="9">
        <f>IF(A150=1,"_",IF(C150="_","???",C150))</f>
        <v/>
      </c>
      <c r="H150" s="10" t="s">
        <v>11</v>
      </c>
      <c r="I150" s="11" t="s">
        <v>11</v>
      </c>
      <c r="J150" s="12"/>
    </row>
    <row r="151" spans="1:10" ht="60" customHeight="1">
      <c r="A151" s="6" t="s">
        <v>593</v>
      </c>
      <c r="B151" s="6" t="s">
        <v>24</v>
      </c>
      <c r="C151" s="6" t="s">
        <v>11</v>
      </c>
      <c r="D151" s="7" t="s">
        <v>594</v>
      </c>
      <c r="E151" s="8" t="s">
        <v>595</v>
      </c>
      <c r="F151" s="6" t="s">
        <v>596</v>
      </c>
      <c r="G151" s="9">
        <f>IF(A151=1,"_",IF(C151="_","???",C151))</f>
        <v/>
      </c>
      <c r="H151" s="10" t="s">
        <v>11</v>
      </c>
      <c r="I151" s="11" t="s">
        <v>11</v>
      </c>
      <c r="J151" s="12"/>
    </row>
    <row r="152" spans="1:10" ht="60" customHeight="1">
      <c r="A152" s="6" t="s">
        <v>597</v>
      </c>
      <c r="B152" s="6" t="s">
        <v>16</v>
      </c>
      <c r="C152" s="6" t="s">
        <v>598</v>
      </c>
      <c r="D152" s="7" t="s">
        <v>599</v>
      </c>
      <c r="E152" s="8" t="s">
        <v>600</v>
      </c>
      <c r="F152" s="6" t="s">
        <v>601</v>
      </c>
      <c r="G152" s="9">
        <f>IF(A152=1,"_",IF(C152="_","???",C152))</f>
        <v/>
      </c>
      <c r="H152" s="10" t="s">
        <v>11</v>
      </c>
      <c r="I152" s="11" t="s">
        <v>11</v>
      </c>
      <c r="J152" s="12"/>
    </row>
    <row r="153" spans="1:10" ht="60" customHeight="1">
      <c r="A153" s="6" t="s">
        <v>602</v>
      </c>
      <c r="B153" s="6" t="s">
        <v>15</v>
      </c>
      <c r="C153" s="6" t="s">
        <v>11</v>
      </c>
      <c r="D153" s="7" t="s">
        <v>603</v>
      </c>
      <c r="E153" s="8" t="s">
        <v>604</v>
      </c>
      <c r="F153" s="6" t="s">
        <v>605</v>
      </c>
      <c r="G153" s="9">
        <f>IF(A153=1,"_",IF(C153="_","???",C153))</f>
        <v/>
      </c>
      <c r="H153" s="10" t="s">
        <v>11</v>
      </c>
      <c r="I153" s="11" t="s">
        <v>11</v>
      </c>
      <c r="J153" s="12"/>
    </row>
    <row r="154" spans="1:10" ht="60" customHeight="1">
      <c r="A154" s="6" t="s">
        <v>606</v>
      </c>
      <c r="B154" s="6" t="s">
        <v>15</v>
      </c>
      <c r="C154" s="6" t="s">
        <v>11</v>
      </c>
      <c r="D154" s="7" t="s">
        <v>607</v>
      </c>
      <c r="E154" s="8" t="s">
        <v>608</v>
      </c>
      <c r="F154" s="6" t="s">
        <v>609</v>
      </c>
      <c r="G154" s="9">
        <f>IF(A154=1,"_",IF(C154="_","???",C154))</f>
        <v/>
      </c>
      <c r="H154" s="10" t="s">
        <v>11</v>
      </c>
      <c r="I154" s="11" t="s">
        <v>11</v>
      </c>
      <c r="J154" s="12"/>
    </row>
    <row r="155" spans="1:10" ht="60" customHeight="1">
      <c r="A155" s="6" t="s">
        <v>610</v>
      </c>
      <c r="B155" s="6" t="s">
        <v>15</v>
      </c>
      <c r="C155" s="6" t="s">
        <v>11</v>
      </c>
      <c r="D155" s="7" t="s">
        <v>611</v>
      </c>
      <c r="E155" s="8" t="s">
        <v>612</v>
      </c>
      <c r="F155" s="6" t="s">
        <v>613</v>
      </c>
      <c r="G155" s="9">
        <f>IF(A155=1,"_",IF(C155="_","???",C155))</f>
        <v/>
      </c>
      <c r="H155" s="10" t="s">
        <v>11</v>
      </c>
      <c r="I155" s="11" t="s">
        <v>11</v>
      </c>
      <c r="J155" s="12"/>
    </row>
    <row r="156" spans="1:10" ht="60" customHeight="1">
      <c r="A156" s="6" t="s">
        <v>614</v>
      </c>
      <c r="B156" s="6" t="s">
        <v>15</v>
      </c>
      <c r="C156" s="6" t="s">
        <v>11</v>
      </c>
      <c r="D156" s="7" t="s">
        <v>615</v>
      </c>
      <c r="E156" s="8" t="s">
        <v>616</v>
      </c>
      <c r="F156" s="6" t="s">
        <v>617</v>
      </c>
      <c r="G156" s="9">
        <f>IF(A156=1,"_",IF(C156="_","???",C156))</f>
        <v/>
      </c>
      <c r="H156" s="10" t="s">
        <v>11</v>
      </c>
      <c r="I156" s="11" t="s">
        <v>11</v>
      </c>
      <c r="J156" s="12"/>
    </row>
    <row r="157" spans="1:10" ht="60" customHeight="1">
      <c r="A157" s="6" t="s">
        <v>618</v>
      </c>
      <c r="B157" s="6" t="s">
        <v>28</v>
      </c>
      <c r="C157" s="6" t="s">
        <v>11</v>
      </c>
      <c r="D157" s="7" t="s">
        <v>619</v>
      </c>
      <c r="E157" s="8" t="s">
        <v>620</v>
      </c>
      <c r="F157" s="6" t="s">
        <v>621</v>
      </c>
      <c r="G157" s="9">
        <f>IF(A157=1,"_",IF(C157="_","???",C157))</f>
        <v/>
      </c>
      <c r="H157" s="10" t="s">
        <v>11</v>
      </c>
      <c r="I157" s="11" t="s">
        <v>11</v>
      </c>
      <c r="J157" s="12"/>
    </row>
    <row r="158" spans="1:10" ht="60" customHeight="1">
      <c r="A158" s="6" t="s">
        <v>622</v>
      </c>
      <c r="B158" s="6" t="s">
        <v>15</v>
      </c>
      <c r="C158" s="6" t="s">
        <v>11</v>
      </c>
      <c r="D158" s="7" t="s">
        <v>107</v>
      </c>
      <c r="E158" s="8" t="s">
        <v>623</v>
      </c>
      <c r="F158" s="6" t="s">
        <v>624</v>
      </c>
      <c r="G158" s="9">
        <f>IF(A158=1,"_",IF(C158="_","???",C158))</f>
        <v/>
      </c>
      <c r="H158" s="10" t="s">
        <v>11</v>
      </c>
      <c r="I158" s="11" t="s">
        <v>11</v>
      </c>
      <c r="J158" s="12"/>
    </row>
    <row r="159" spans="1:10" ht="60" customHeight="1">
      <c r="A159" s="6" t="s">
        <v>625</v>
      </c>
      <c r="B159" s="6" t="s">
        <v>16</v>
      </c>
      <c r="C159" s="6" t="s">
        <v>11</v>
      </c>
      <c r="D159" s="7" t="s">
        <v>626</v>
      </c>
      <c r="E159" s="8" t="s">
        <v>627</v>
      </c>
      <c r="F159" s="6" t="s">
        <v>628</v>
      </c>
      <c r="G159" s="9">
        <f>IF(A159=1,"_",IF(C159="_","???",C159))</f>
        <v/>
      </c>
      <c r="H159" s="10" t="s">
        <v>11</v>
      </c>
      <c r="I159" s="11" t="s">
        <v>11</v>
      </c>
      <c r="J159" s="12"/>
    </row>
    <row r="160" spans="1:10" ht="60" customHeight="1">
      <c r="A160" s="6" t="s">
        <v>629</v>
      </c>
      <c r="B160" s="6" t="s">
        <v>24</v>
      </c>
      <c r="C160" s="6" t="s">
        <v>11</v>
      </c>
      <c r="D160" s="7" t="s">
        <v>630</v>
      </c>
      <c r="E160" s="8" t="s">
        <v>631</v>
      </c>
      <c r="F160" s="6" t="s">
        <v>632</v>
      </c>
      <c r="G160" s="9">
        <f>IF(A160=1,"_",IF(C160="_","???",C160))</f>
        <v/>
      </c>
      <c r="H160" s="10" t="s">
        <v>11</v>
      </c>
      <c r="I160" s="11" t="s">
        <v>11</v>
      </c>
      <c r="J160" s="12"/>
    </row>
    <row r="161" spans="1:10" ht="60" customHeight="1">
      <c r="A161" s="6" t="s">
        <v>633</v>
      </c>
      <c r="B161" s="6" t="s">
        <v>10</v>
      </c>
      <c r="C161" s="6" t="s">
        <v>11</v>
      </c>
      <c r="D161" s="7" t="s">
        <v>634</v>
      </c>
      <c r="E161" s="8" t="s">
        <v>635</v>
      </c>
      <c r="F161" s="6" t="s">
        <v>636</v>
      </c>
      <c r="G161" s="9">
        <f>IF(A161=1,"_",IF(C161="_","???",C161))</f>
        <v/>
      </c>
      <c r="H161" s="10" t="s">
        <v>11</v>
      </c>
      <c r="I161" s="11" t="s">
        <v>11</v>
      </c>
      <c r="J161" s="12"/>
    </row>
    <row r="162" spans="1:10" ht="60" customHeight="1">
      <c r="A162" s="6" t="s">
        <v>637</v>
      </c>
      <c r="B162" s="6" t="s">
        <v>24</v>
      </c>
      <c r="C162" s="6" t="s">
        <v>11</v>
      </c>
      <c r="D162" s="7" t="s">
        <v>439</v>
      </c>
      <c r="E162" s="8" t="s">
        <v>638</v>
      </c>
      <c r="F162" s="6" t="s">
        <v>639</v>
      </c>
      <c r="G162" s="9">
        <f>IF(A162=1,"_",IF(C162="_","???",C162))</f>
        <v/>
      </c>
      <c r="H162" s="10" t="s">
        <v>11</v>
      </c>
      <c r="I162" s="11" t="s">
        <v>11</v>
      </c>
      <c r="J162" s="12"/>
    </row>
    <row r="163" spans="1:10" ht="60" customHeight="1">
      <c r="A163" s="6" t="s">
        <v>640</v>
      </c>
      <c r="B163" s="6" t="s">
        <v>16</v>
      </c>
      <c r="C163" s="6" t="s">
        <v>11</v>
      </c>
      <c r="D163" s="7" t="s">
        <v>135</v>
      </c>
      <c r="E163" s="8" t="s">
        <v>641</v>
      </c>
      <c r="F163" s="6" t="s">
        <v>642</v>
      </c>
      <c r="G163" s="9">
        <f>IF(A163=1,"_",IF(C163="_","???",C163))</f>
        <v/>
      </c>
      <c r="H163" s="10" t="s">
        <v>11</v>
      </c>
      <c r="I163" s="11" t="s">
        <v>11</v>
      </c>
      <c r="J163" s="12"/>
    </row>
    <row r="164" spans="1:10" ht="60" customHeight="1">
      <c r="A164" s="6" t="s">
        <v>643</v>
      </c>
      <c r="B164" s="6" t="s">
        <v>15</v>
      </c>
      <c r="C164" s="6" t="s">
        <v>11</v>
      </c>
      <c r="D164" s="7" t="s">
        <v>644</v>
      </c>
      <c r="E164" s="8" t="s">
        <v>645</v>
      </c>
      <c r="F164" s="6" t="s">
        <v>646</v>
      </c>
      <c r="G164" s="9">
        <f>IF(A164=1,"_",IF(C164="_","???",C164))</f>
        <v/>
      </c>
      <c r="H164" s="10" t="s">
        <v>11</v>
      </c>
      <c r="I164" s="11" t="s">
        <v>11</v>
      </c>
      <c r="J164" s="12"/>
    </row>
    <row r="165" spans="1:10" ht="60" customHeight="1">
      <c r="A165" s="6" t="s">
        <v>647</v>
      </c>
      <c r="B165" s="6" t="s">
        <v>15</v>
      </c>
      <c r="C165" s="6" t="s">
        <v>11</v>
      </c>
      <c r="D165" s="7" t="s">
        <v>439</v>
      </c>
      <c r="E165" s="8" t="s">
        <v>648</v>
      </c>
      <c r="F165" s="6" t="s">
        <v>649</v>
      </c>
      <c r="G165" s="9">
        <f>IF(A165=1,"_",IF(C165="_","???",C165))</f>
        <v/>
      </c>
      <c r="H165" s="10" t="s">
        <v>11</v>
      </c>
      <c r="I165" s="11" t="s">
        <v>11</v>
      </c>
      <c r="J165" s="12"/>
    </row>
    <row r="166" spans="1:10" ht="60" customHeight="1">
      <c r="A166" s="6" t="s">
        <v>650</v>
      </c>
      <c r="B166" s="6" t="s">
        <v>36</v>
      </c>
      <c r="C166" s="6" t="s">
        <v>11</v>
      </c>
      <c r="D166" s="7" t="s">
        <v>651</v>
      </c>
      <c r="E166" s="8" t="s">
        <v>652</v>
      </c>
      <c r="F166" s="6" t="s">
        <v>653</v>
      </c>
      <c r="G166" s="9">
        <f>IF(A166=1,"_",IF(C166="_","???",C166))</f>
        <v/>
      </c>
      <c r="H166" s="10" t="s">
        <v>11</v>
      </c>
      <c r="I166" s="11" t="s">
        <v>11</v>
      </c>
      <c r="J166" s="12"/>
    </row>
    <row r="167" spans="1:10" ht="60" customHeight="1">
      <c r="A167" s="6" t="s">
        <v>654</v>
      </c>
      <c r="B167" s="6" t="s">
        <v>28</v>
      </c>
      <c r="C167" s="6" t="s">
        <v>11</v>
      </c>
      <c r="D167" s="7" t="s">
        <v>107</v>
      </c>
      <c r="E167" s="8" t="s">
        <v>655</v>
      </c>
      <c r="F167" s="6" t="s">
        <v>656</v>
      </c>
      <c r="G167" s="9">
        <f>IF(A167=1,"_",IF(C167="_","???",C167))</f>
        <v/>
      </c>
      <c r="H167" s="10" t="s">
        <v>11</v>
      </c>
      <c r="I167" s="11" t="s">
        <v>11</v>
      </c>
      <c r="J167" s="12"/>
    </row>
    <row r="168" spans="1:10" ht="60" customHeight="1">
      <c r="A168" s="6" t="s">
        <v>657</v>
      </c>
      <c r="B168" s="6" t="s">
        <v>24</v>
      </c>
      <c r="C168" s="6" t="s">
        <v>11</v>
      </c>
      <c r="D168" s="7" t="s">
        <v>658</v>
      </c>
      <c r="E168" s="8" t="s">
        <v>659</v>
      </c>
      <c r="F168" s="6" t="s">
        <v>660</v>
      </c>
      <c r="G168" s="9">
        <f>IF(A168=1,"_",IF(C168="_","???",C168))</f>
        <v/>
      </c>
      <c r="H168" s="10" t="s">
        <v>11</v>
      </c>
      <c r="I168" s="11" t="s">
        <v>11</v>
      </c>
      <c r="J168" s="12"/>
    </row>
    <row r="169" spans="1:10" ht="60" customHeight="1">
      <c r="A169" s="6" t="s">
        <v>661</v>
      </c>
      <c r="B169" s="6" t="s">
        <v>15</v>
      </c>
      <c r="C169" s="6" t="s">
        <v>11</v>
      </c>
      <c r="D169" s="7" t="s">
        <v>91</v>
      </c>
      <c r="E169" s="8" t="s">
        <v>662</v>
      </c>
      <c r="F169" s="6" t="s">
        <v>663</v>
      </c>
      <c r="G169" s="9">
        <f>IF(A169=1,"_",IF(C169="_","???",C169))</f>
        <v/>
      </c>
      <c r="H169" s="10" t="s">
        <v>11</v>
      </c>
      <c r="I169" s="11" t="s">
        <v>11</v>
      </c>
      <c r="J169" s="12"/>
    </row>
    <row r="170" spans="1:10" ht="60" customHeight="1">
      <c r="A170" s="6" t="s">
        <v>664</v>
      </c>
      <c r="B170" s="6" t="s">
        <v>36</v>
      </c>
      <c r="C170" s="6" t="s">
        <v>11</v>
      </c>
      <c r="D170" s="7" t="s">
        <v>314</v>
      </c>
      <c r="E170" s="8" t="s">
        <v>665</v>
      </c>
      <c r="F170" s="6" t="s">
        <v>666</v>
      </c>
      <c r="G170" s="9">
        <f>IF(A170=1,"_",IF(C170="_","???",C170))</f>
        <v/>
      </c>
      <c r="H170" s="10" t="s">
        <v>11</v>
      </c>
      <c r="I170" s="11" t="s">
        <v>11</v>
      </c>
      <c r="J170" s="12"/>
    </row>
    <row r="171" spans="1:10" ht="60" customHeight="1">
      <c r="A171" s="6" t="s">
        <v>667</v>
      </c>
      <c r="B171" s="6" t="s">
        <v>45</v>
      </c>
      <c r="C171" s="6" t="s">
        <v>668</v>
      </c>
      <c r="D171" s="7" t="s">
        <v>669</v>
      </c>
      <c r="E171" s="8" t="s">
        <v>670</v>
      </c>
      <c r="F171" s="6" t="s">
        <v>671</v>
      </c>
      <c r="G171" s="9">
        <f>IF(A171=1,"_",IF(C171="_","???",C171))</f>
        <v/>
      </c>
      <c r="H171" s="10" t="s">
        <v>11</v>
      </c>
      <c r="I171" s="11" t="s">
        <v>11</v>
      </c>
      <c r="J171" s="12"/>
    </row>
    <row r="172" spans="1:10" ht="60" customHeight="1">
      <c r="A172" s="6" t="s">
        <v>672</v>
      </c>
      <c r="B172" s="6" t="s">
        <v>24</v>
      </c>
      <c r="C172" s="6" t="s">
        <v>11</v>
      </c>
      <c r="D172" s="7" t="s">
        <v>519</v>
      </c>
      <c r="E172" s="8" t="s">
        <v>673</v>
      </c>
      <c r="F172" s="6" t="s">
        <v>674</v>
      </c>
      <c r="G172" s="9">
        <f>IF(A172=1,"_",IF(C172="_","???",C172))</f>
        <v/>
      </c>
      <c r="H172" s="10" t="s">
        <v>11</v>
      </c>
      <c r="I172" s="11" t="s">
        <v>11</v>
      </c>
      <c r="J172" s="12"/>
    </row>
    <row r="173" spans="1:10" ht="60" customHeight="1">
      <c r="A173" s="6" t="s">
        <v>675</v>
      </c>
      <c r="B173" s="6" t="s">
        <v>16</v>
      </c>
      <c r="C173" s="6" t="s">
        <v>11</v>
      </c>
      <c r="D173" s="7" t="s">
        <v>167</v>
      </c>
      <c r="E173" s="8" t="s">
        <v>676</v>
      </c>
      <c r="F173" s="6" t="s">
        <v>677</v>
      </c>
      <c r="G173" s="9">
        <f>IF(A173=1,"_",IF(C173="_","???",C173))</f>
        <v/>
      </c>
      <c r="H173" s="10" t="s">
        <v>11</v>
      </c>
      <c r="I173" s="11" t="s">
        <v>11</v>
      </c>
      <c r="J173" s="12"/>
    </row>
    <row r="174" spans="1:10" ht="60" customHeight="1">
      <c r="A174" s="6" t="s">
        <v>678</v>
      </c>
      <c r="B174" s="6" t="s">
        <v>10</v>
      </c>
      <c r="C174" s="6" t="s">
        <v>11</v>
      </c>
      <c r="D174" s="7" t="s">
        <v>658</v>
      </c>
      <c r="E174" s="8" t="s">
        <v>679</v>
      </c>
      <c r="F174" s="6" t="s">
        <v>680</v>
      </c>
      <c r="G174" s="9">
        <f>IF(A174=1,"_",IF(C174="_","???",C174))</f>
        <v/>
      </c>
      <c r="H174" s="10" t="s">
        <v>11</v>
      </c>
      <c r="I174" s="11" t="s">
        <v>11</v>
      </c>
      <c r="J174" s="12"/>
    </row>
    <row r="175" spans="1:10" ht="60" customHeight="1">
      <c r="A175" s="6" t="s">
        <v>681</v>
      </c>
      <c r="B175" s="6" t="s">
        <v>16</v>
      </c>
      <c r="C175" s="6" t="s">
        <v>11</v>
      </c>
      <c r="D175" s="7" t="s">
        <v>370</v>
      </c>
      <c r="E175" s="8" t="s">
        <v>682</v>
      </c>
      <c r="F175" s="6" t="s">
        <v>683</v>
      </c>
      <c r="G175" s="9">
        <f>IF(A175=1,"_",IF(C175="_","???",C175))</f>
        <v/>
      </c>
      <c r="H175" s="10" t="s">
        <v>11</v>
      </c>
      <c r="I175" s="11" t="s">
        <v>11</v>
      </c>
      <c r="J175" s="12"/>
    </row>
    <row r="176" spans="1:10" ht="60" customHeight="1">
      <c r="A176" s="6" t="s">
        <v>684</v>
      </c>
      <c r="B176" s="6" t="s">
        <v>15</v>
      </c>
      <c r="C176" s="6" t="s">
        <v>11</v>
      </c>
      <c r="D176" s="7" t="s">
        <v>322</v>
      </c>
      <c r="E176" s="8" t="s">
        <v>685</v>
      </c>
      <c r="F176" s="6" t="s">
        <v>686</v>
      </c>
      <c r="G176" s="9">
        <f>IF(A176=1,"_",IF(C176="_","???",C176))</f>
        <v/>
      </c>
      <c r="H176" s="10" t="s">
        <v>11</v>
      </c>
      <c r="I176" s="11" t="s">
        <v>11</v>
      </c>
      <c r="J176" s="12"/>
    </row>
    <row r="177" spans="1:10" ht="60" customHeight="1">
      <c r="A177" s="6" t="s">
        <v>687</v>
      </c>
      <c r="B177" s="6" t="s">
        <v>32</v>
      </c>
      <c r="C177" s="6" t="s">
        <v>11</v>
      </c>
      <c r="D177" s="7" t="s">
        <v>688</v>
      </c>
      <c r="E177" s="8" t="s">
        <v>689</v>
      </c>
      <c r="F177" s="6" t="s">
        <v>690</v>
      </c>
      <c r="G177" s="9">
        <f>IF(A177=1,"_",IF(C177="_","???",C177))</f>
        <v/>
      </c>
      <c r="H177" s="10" t="s">
        <v>11</v>
      </c>
      <c r="I177" s="11" t="s">
        <v>11</v>
      </c>
      <c r="J177" s="12"/>
    </row>
    <row r="178" spans="1:10" ht="60" customHeight="1">
      <c r="A178" s="6" t="s">
        <v>691</v>
      </c>
      <c r="B178" s="6" t="s">
        <v>52</v>
      </c>
      <c r="C178" s="6" t="s">
        <v>11</v>
      </c>
      <c r="D178" s="7" t="s">
        <v>669</v>
      </c>
      <c r="E178" s="8" t="s">
        <v>692</v>
      </c>
      <c r="F178" s="6" t="s">
        <v>693</v>
      </c>
      <c r="G178" s="9">
        <f>IF(A178=1,"_",IF(C178="_","???",C178))</f>
        <v/>
      </c>
      <c r="H178" s="10" t="s">
        <v>11</v>
      </c>
      <c r="I178" s="11" t="s">
        <v>11</v>
      </c>
      <c r="J178" s="12"/>
    </row>
    <row r="179" spans="1:10" ht="60" customHeight="1">
      <c r="A179" s="6" t="s">
        <v>694</v>
      </c>
      <c r="B179" s="6" t="s">
        <v>28</v>
      </c>
      <c r="C179" s="6" t="s">
        <v>11</v>
      </c>
      <c r="D179" s="7" t="s">
        <v>695</v>
      </c>
      <c r="E179" s="8" t="s">
        <v>696</v>
      </c>
      <c r="F179" s="6" t="s">
        <v>697</v>
      </c>
      <c r="G179" s="9">
        <f>IF(A179=1,"_",IF(C179="_","???",C179))</f>
        <v/>
      </c>
      <c r="H179" s="10" t="s">
        <v>11</v>
      </c>
      <c r="I179" s="11" t="s">
        <v>11</v>
      </c>
      <c r="J179" s="12"/>
    </row>
    <row r="180" spans="1:10" ht="60" customHeight="1">
      <c r="A180" s="6" t="s">
        <v>698</v>
      </c>
      <c r="B180" s="6" t="s">
        <v>16</v>
      </c>
      <c r="C180" s="6" t="s">
        <v>11</v>
      </c>
      <c r="D180" s="7" t="s">
        <v>699</v>
      </c>
      <c r="E180" s="8" t="s">
        <v>700</v>
      </c>
      <c r="F180" s="6" t="s">
        <v>701</v>
      </c>
      <c r="G180" s="9">
        <f>IF(A180=1,"_",IF(C180="_","???",C180))</f>
        <v/>
      </c>
      <c r="H180" s="10" t="s">
        <v>11</v>
      </c>
      <c r="I180" s="11" t="s">
        <v>11</v>
      </c>
      <c r="J180" s="12"/>
    </row>
    <row r="181" spans="1:10" ht="60" customHeight="1">
      <c r="A181" s="6" t="s">
        <v>702</v>
      </c>
      <c r="B181" s="6" t="s">
        <v>28</v>
      </c>
      <c r="C181" s="6" t="s">
        <v>11</v>
      </c>
      <c r="D181" s="7" t="s">
        <v>703</v>
      </c>
      <c r="E181" s="8" t="s">
        <v>704</v>
      </c>
      <c r="F181" s="6" t="s">
        <v>705</v>
      </c>
      <c r="G181" s="9">
        <f>IF(A181=1,"_",IF(C181="_","???",C181))</f>
        <v/>
      </c>
      <c r="H181" s="10" t="s">
        <v>11</v>
      </c>
      <c r="I181" s="11" t="s">
        <v>11</v>
      </c>
      <c r="J181" s="12"/>
    </row>
    <row r="182" spans="1:10" ht="60" customHeight="1">
      <c r="A182" s="6" t="s">
        <v>706</v>
      </c>
      <c r="B182" s="6" t="s">
        <v>15</v>
      </c>
      <c r="C182" s="6" t="s">
        <v>11</v>
      </c>
      <c r="D182" s="7" t="s">
        <v>707</v>
      </c>
      <c r="E182" s="8" t="s">
        <v>708</v>
      </c>
      <c r="F182" s="6" t="s">
        <v>709</v>
      </c>
      <c r="G182" s="9">
        <f>IF(A182=1,"_",IF(C182="_","???",C182))</f>
        <v/>
      </c>
      <c r="H182" s="10" t="s">
        <v>11</v>
      </c>
      <c r="I182" s="11" t="s">
        <v>11</v>
      </c>
      <c r="J182" s="12"/>
    </row>
    <row r="183" spans="1:10" ht="60" customHeight="1">
      <c r="A183" s="6" t="s">
        <v>710</v>
      </c>
      <c r="B183" s="6" t="s">
        <v>28</v>
      </c>
      <c r="C183" s="6" t="s">
        <v>11</v>
      </c>
      <c r="D183" s="7" t="s">
        <v>183</v>
      </c>
      <c r="E183" s="8" t="s">
        <v>711</v>
      </c>
      <c r="F183" s="6" t="s">
        <v>712</v>
      </c>
      <c r="G183" s="9">
        <f>IF(A183=1,"_",IF(C183="_","???",C183))</f>
        <v/>
      </c>
      <c r="H183" s="10" t="s">
        <v>11</v>
      </c>
      <c r="I183" s="11" t="s">
        <v>11</v>
      </c>
      <c r="J183" s="12"/>
    </row>
    <row r="184" spans="1:10" ht="60" customHeight="1">
      <c r="A184" s="6" t="s">
        <v>713</v>
      </c>
      <c r="B184" s="6" t="s">
        <v>16</v>
      </c>
      <c r="C184" s="6" t="s">
        <v>11</v>
      </c>
      <c r="D184" s="7" t="s">
        <v>366</v>
      </c>
      <c r="E184" s="8" t="s">
        <v>714</v>
      </c>
      <c r="F184" s="6" t="s">
        <v>715</v>
      </c>
      <c r="G184" s="9">
        <f>IF(A184=1,"_",IF(C184="_","???",C184))</f>
        <v/>
      </c>
      <c r="H184" s="10" t="s">
        <v>11</v>
      </c>
      <c r="I184" s="11" t="s">
        <v>11</v>
      </c>
      <c r="J184" s="12"/>
    </row>
    <row r="185" spans="1:10" ht="60" customHeight="1">
      <c r="A185" s="6" t="s">
        <v>716</v>
      </c>
      <c r="B185" s="6" t="s">
        <v>28</v>
      </c>
      <c r="C185" s="6" t="s">
        <v>466</v>
      </c>
      <c r="D185" s="7" t="s">
        <v>503</v>
      </c>
      <c r="E185" s="8" t="s">
        <v>717</v>
      </c>
      <c r="F185" s="6" t="s">
        <v>718</v>
      </c>
      <c r="G185" s="9">
        <f>IF(A185=1,"_",IF(C185="_","???",C185))</f>
        <v/>
      </c>
      <c r="H185" s="10" t="s">
        <v>11</v>
      </c>
      <c r="I185" s="11" t="s">
        <v>11</v>
      </c>
      <c r="J185" s="12"/>
    </row>
    <row r="186" spans="1:10" ht="60" customHeight="1">
      <c r="A186" s="6" t="s">
        <v>719</v>
      </c>
      <c r="B186" s="6" t="s">
        <v>16</v>
      </c>
      <c r="C186" s="6" t="s">
        <v>11</v>
      </c>
      <c r="D186" s="7" t="s">
        <v>358</v>
      </c>
      <c r="E186" s="8" t="s">
        <v>720</v>
      </c>
      <c r="F186" s="6" t="s">
        <v>721</v>
      </c>
      <c r="G186" s="9">
        <f>IF(A186=1,"_",IF(C186="_","???",C186))</f>
        <v/>
      </c>
      <c r="H186" s="10" t="s">
        <v>11</v>
      </c>
      <c r="I186" s="11" t="s">
        <v>11</v>
      </c>
      <c r="J186" s="12"/>
    </row>
    <row r="187" spans="1:10" ht="60" customHeight="1">
      <c r="A187" s="6" t="s">
        <v>722</v>
      </c>
      <c r="B187" s="6" t="s">
        <v>15</v>
      </c>
      <c r="C187" s="6" t="s">
        <v>11</v>
      </c>
      <c r="D187" s="7" t="s">
        <v>723</v>
      </c>
      <c r="E187" s="8" t="s">
        <v>724</v>
      </c>
      <c r="F187" s="6" t="s">
        <v>725</v>
      </c>
      <c r="G187" s="9">
        <f>IF(A187=1,"_",IF(C187="_","???",C187))</f>
        <v/>
      </c>
      <c r="H187" s="10" t="s">
        <v>11</v>
      </c>
      <c r="I187" s="11" t="s">
        <v>11</v>
      </c>
      <c r="J187" s="12"/>
    </row>
    <row r="188" spans="1:10" ht="60" customHeight="1">
      <c r="A188" s="6" t="s">
        <v>726</v>
      </c>
      <c r="B188" s="6" t="s">
        <v>15</v>
      </c>
      <c r="C188" s="6" t="s">
        <v>11</v>
      </c>
      <c r="D188" s="7" t="s">
        <v>727</v>
      </c>
      <c r="E188" s="8" t="s">
        <v>728</v>
      </c>
      <c r="F188" s="6" t="s">
        <v>729</v>
      </c>
      <c r="G188" s="9">
        <f>IF(A188=1,"_",IF(C188="_","???",C188))</f>
        <v/>
      </c>
      <c r="H188" s="10" t="s">
        <v>11</v>
      </c>
      <c r="I188" s="11" t="s">
        <v>11</v>
      </c>
      <c r="J188" s="12"/>
    </row>
    <row r="189" spans="1:10" ht="60" customHeight="1">
      <c r="A189" s="6" t="s">
        <v>730</v>
      </c>
      <c r="B189" s="6" t="s">
        <v>10</v>
      </c>
      <c r="C189" s="6" t="s">
        <v>11</v>
      </c>
      <c r="D189" s="7" t="s">
        <v>731</v>
      </c>
      <c r="E189" s="8" t="s">
        <v>732</v>
      </c>
      <c r="F189" s="6" t="s">
        <v>733</v>
      </c>
      <c r="G189" s="9">
        <f>IF(A189=1,"_",IF(C189="_","???",C189))</f>
        <v/>
      </c>
      <c r="H189" s="10" t="s">
        <v>11</v>
      </c>
      <c r="I189" s="11" t="s">
        <v>11</v>
      </c>
      <c r="J189" s="12"/>
    </row>
    <row r="190" spans="1:10" ht="60" customHeight="1">
      <c r="A190" s="6" t="s">
        <v>734</v>
      </c>
      <c r="B190" s="6" t="s">
        <v>28</v>
      </c>
      <c r="C190" s="6" t="s">
        <v>11</v>
      </c>
      <c r="D190" s="7" t="s">
        <v>735</v>
      </c>
      <c r="E190" s="8" t="s">
        <v>736</v>
      </c>
      <c r="F190" s="6" t="s">
        <v>737</v>
      </c>
      <c r="G190" s="9">
        <f>IF(A190=1,"_",IF(C190="_","???",C190))</f>
        <v/>
      </c>
      <c r="H190" s="10" t="s">
        <v>11</v>
      </c>
      <c r="I190" s="11" t="s">
        <v>11</v>
      </c>
      <c r="J190" s="12"/>
    </row>
    <row r="191" spans="1:10" ht="60" customHeight="1">
      <c r="A191" s="6" t="s">
        <v>738</v>
      </c>
      <c r="B191" s="6" t="s">
        <v>16</v>
      </c>
      <c r="C191" s="6" t="s">
        <v>11</v>
      </c>
      <c r="D191" s="7" t="s">
        <v>658</v>
      </c>
      <c r="E191" s="8" t="s">
        <v>739</v>
      </c>
      <c r="F191" s="6" t="s">
        <v>740</v>
      </c>
      <c r="G191" s="9">
        <f>IF(A191=1,"_",IF(C191="_","???",C191))</f>
        <v/>
      </c>
      <c r="H191" s="10" t="s">
        <v>11</v>
      </c>
      <c r="I191" s="11" t="s">
        <v>11</v>
      </c>
      <c r="J191" s="12"/>
    </row>
    <row r="192" spans="1:10" ht="60" customHeight="1">
      <c r="A192" s="6" t="s">
        <v>741</v>
      </c>
      <c r="B192" s="6" t="s">
        <v>16</v>
      </c>
      <c r="C192" s="6" t="s">
        <v>11</v>
      </c>
      <c r="D192" s="7" t="s">
        <v>742</v>
      </c>
      <c r="E192" s="8" t="s">
        <v>743</v>
      </c>
      <c r="F192" s="6" t="s">
        <v>744</v>
      </c>
      <c r="G192" s="9">
        <f>IF(A192=1,"_",IF(C192="_","???",C192))</f>
        <v/>
      </c>
      <c r="H192" s="10" t="s">
        <v>11</v>
      </c>
      <c r="I192" s="11" t="s">
        <v>11</v>
      </c>
      <c r="J192" s="12"/>
    </row>
    <row r="193" spans="1:10" ht="60" customHeight="1">
      <c r="A193" s="6" t="s">
        <v>745</v>
      </c>
      <c r="B193" s="6" t="s">
        <v>16</v>
      </c>
      <c r="C193" s="6" t="s">
        <v>11</v>
      </c>
      <c r="D193" s="7" t="s">
        <v>746</v>
      </c>
      <c r="E193" s="8" t="s">
        <v>747</v>
      </c>
      <c r="F193" s="6" t="s">
        <v>748</v>
      </c>
      <c r="G193" s="9">
        <f>IF(A193=1,"_",IF(C193="_","???",C193))</f>
        <v/>
      </c>
      <c r="H193" s="10" t="s">
        <v>11</v>
      </c>
      <c r="I193" s="11" t="s">
        <v>11</v>
      </c>
      <c r="J193" s="12"/>
    </row>
    <row r="194" spans="1:10" ht="60" customHeight="1">
      <c r="A194" s="6" t="s">
        <v>749</v>
      </c>
      <c r="B194" s="6" t="s">
        <v>36</v>
      </c>
      <c r="C194" s="6" t="s">
        <v>11</v>
      </c>
      <c r="D194" s="7" t="s">
        <v>746</v>
      </c>
      <c r="E194" s="8" t="s">
        <v>750</v>
      </c>
      <c r="F194" s="6" t="s">
        <v>751</v>
      </c>
      <c r="G194" s="9">
        <f>IF(A194=1,"_",IF(C194="_","???",C194))</f>
        <v/>
      </c>
      <c r="H194" s="10" t="s">
        <v>11</v>
      </c>
      <c r="I194" s="11" t="s">
        <v>11</v>
      </c>
      <c r="J194" s="12"/>
    </row>
    <row r="195" spans="1:10" ht="60" customHeight="1">
      <c r="A195" s="6" t="s">
        <v>752</v>
      </c>
      <c r="B195" s="6" t="s">
        <v>45</v>
      </c>
      <c r="C195" s="6" t="s">
        <v>11</v>
      </c>
      <c r="D195" s="7" t="s">
        <v>753</v>
      </c>
      <c r="E195" s="8" t="s">
        <v>754</v>
      </c>
      <c r="F195" s="6" t="s">
        <v>755</v>
      </c>
      <c r="G195" s="9">
        <f>IF(A195=1,"_",IF(C195="_","???",C195))</f>
        <v/>
      </c>
      <c r="H195" s="10" t="s">
        <v>11</v>
      </c>
      <c r="I195" s="11" t="s">
        <v>11</v>
      </c>
      <c r="J195" s="12"/>
    </row>
    <row r="196" spans="1:10" ht="60" customHeight="1">
      <c r="A196" s="6" t="s">
        <v>756</v>
      </c>
      <c r="B196" s="6" t="s">
        <v>32</v>
      </c>
      <c r="C196" s="6" t="s">
        <v>11</v>
      </c>
      <c r="D196" s="7" t="s">
        <v>742</v>
      </c>
      <c r="E196" s="8" t="s">
        <v>757</v>
      </c>
      <c r="F196" s="6" t="s">
        <v>758</v>
      </c>
      <c r="G196" s="9">
        <f>IF(A196=1,"_",IF(C196="_","???",C196))</f>
        <v/>
      </c>
      <c r="H196" s="10" t="s">
        <v>11</v>
      </c>
      <c r="I196" s="11" t="s">
        <v>11</v>
      </c>
      <c r="J196" s="12"/>
    </row>
    <row r="197" spans="1:10" ht="60" customHeight="1">
      <c r="A197" s="6" t="s">
        <v>759</v>
      </c>
      <c r="B197" s="6" t="s">
        <v>15</v>
      </c>
      <c r="C197" s="6" t="s">
        <v>11</v>
      </c>
      <c r="D197" s="7" t="s">
        <v>423</v>
      </c>
      <c r="E197" s="8" t="s">
        <v>760</v>
      </c>
      <c r="F197" s="6" t="s">
        <v>761</v>
      </c>
      <c r="G197" s="9">
        <f>IF(A197=1,"_",IF(C197="_","???",C197))</f>
        <v/>
      </c>
      <c r="H197" s="10" t="s">
        <v>11</v>
      </c>
      <c r="I197" s="11" t="s">
        <v>11</v>
      </c>
      <c r="J197" s="12"/>
    </row>
    <row r="198" spans="1:10" ht="60" customHeight="1">
      <c r="A198" s="6" t="s">
        <v>762</v>
      </c>
      <c r="B198" s="6" t="s">
        <v>16</v>
      </c>
      <c r="C198" s="6" t="s">
        <v>11</v>
      </c>
      <c r="D198" s="7" t="s">
        <v>763</v>
      </c>
      <c r="E198" s="8" t="s">
        <v>764</v>
      </c>
      <c r="F198" s="6" t="s">
        <v>765</v>
      </c>
      <c r="G198" s="9">
        <f>IF(A198=1,"_",IF(C198="_","???",C198))</f>
        <v/>
      </c>
      <c r="H198" s="10" t="s">
        <v>11</v>
      </c>
      <c r="I198" s="11" t="s">
        <v>11</v>
      </c>
      <c r="J198" s="12"/>
    </row>
    <row r="199" spans="1:10" ht="60" customHeight="1">
      <c r="A199" s="6" t="s">
        <v>766</v>
      </c>
      <c r="B199" s="6" t="s">
        <v>15</v>
      </c>
      <c r="C199" s="6" t="s">
        <v>11</v>
      </c>
      <c r="D199" s="7" t="s">
        <v>767</v>
      </c>
      <c r="E199" s="8" t="s">
        <v>768</v>
      </c>
      <c r="F199" s="6" t="s">
        <v>769</v>
      </c>
      <c r="G199" s="9">
        <f>IF(A199=1,"_",IF(C199="_","???",C199))</f>
        <v/>
      </c>
      <c r="H199" s="10" t="s">
        <v>11</v>
      </c>
      <c r="I199" s="11" t="s">
        <v>11</v>
      </c>
      <c r="J199" s="12"/>
    </row>
    <row r="200" spans="1:10" ht="60" customHeight="1">
      <c r="A200" s="6" t="s">
        <v>770</v>
      </c>
      <c r="B200" s="6" t="s">
        <v>16</v>
      </c>
      <c r="C200" s="6" t="s">
        <v>11</v>
      </c>
      <c r="D200" s="7" t="s">
        <v>771</v>
      </c>
      <c r="E200" s="8" t="s">
        <v>772</v>
      </c>
      <c r="F200" s="6" t="s">
        <v>773</v>
      </c>
      <c r="G200" s="9">
        <f>IF(A200=1,"_",IF(C200="_","???",C200))</f>
        <v/>
      </c>
      <c r="H200" s="10" t="s">
        <v>11</v>
      </c>
      <c r="I200" s="11" t="s">
        <v>11</v>
      </c>
      <c r="J200" s="12"/>
    </row>
    <row r="201" spans="1:10" ht="60" customHeight="1">
      <c r="A201" s="6" t="s">
        <v>774</v>
      </c>
      <c r="B201" s="6" t="s">
        <v>10</v>
      </c>
      <c r="C201" s="6" t="s">
        <v>11</v>
      </c>
      <c r="D201" s="7" t="s">
        <v>362</v>
      </c>
      <c r="E201" s="8" t="s">
        <v>775</v>
      </c>
      <c r="F201" s="6" t="s">
        <v>776</v>
      </c>
      <c r="G201" s="9">
        <f>IF(A201=1,"_",IF(C201="_","???",C201))</f>
        <v/>
      </c>
      <c r="H201" s="10" t="s">
        <v>11</v>
      </c>
      <c r="I201" s="11" t="s">
        <v>11</v>
      </c>
      <c r="J201" s="12"/>
    </row>
    <row r="202" spans="1:10" ht="60" customHeight="1">
      <c r="A202" s="6" t="s">
        <v>777</v>
      </c>
      <c r="B202" s="6" t="s">
        <v>10</v>
      </c>
      <c r="C202" s="6" t="s">
        <v>11</v>
      </c>
      <c r="D202" s="7" t="s">
        <v>778</v>
      </c>
      <c r="E202" s="8" t="s">
        <v>779</v>
      </c>
      <c r="F202" s="6" t="s">
        <v>780</v>
      </c>
      <c r="G202" s="9">
        <f>IF(A202=1,"_",IF(C202="_","???",C202))</f>
        <v/>
      </c>
      <c r="H202" s="10" t="s">
        <v>11</v>
      </c>
      <c r="I202" s="11" t="s">
        <v>11</v>
      </c>
      <c r="J202" s="12"/>
    </row>
    <row r="203" spans="1:10" ht="60" customHeight="1">
      <c r="A203" s="6" t="s">
        <v>781</v>
      </c>
      <c r="B203" s="6" t="s">
        <v>10</v>
      </c>
      <c r="C203" s="6" t="s">
        <v>11</v>
      </c>
      <c r="D203" s="7" t="s">
        <v>782</v>
      </c>
      <c r="E203" s="8" t="s">
        <v>783</v>
      </c>
      <c r="F203" s="6" t="s">
        <v>784</v>
      </c>
      <c r="G203" s="9">
        <f>IF(A203=1,"_",IF(C203="_","???",C203))</f>
        <v/>
      </c>
      <c r="H203" s="10" t="s">
        <v>11</v>
      </c>
      <c r="I203" s="11" t="s">
        <v>11</v>
      </c>
      <c r="J203" s="12"/>
    </row>
    <row r="204" spans="1:10" ht="60" customHeight="1">
      <c r="A204" s="6" t="s">
        <v>785</v>
      </c>
      <c r="B204" s="6" t="s">
        <v>16</v>
      </c>
      <c r="C204" s="6" t="s">
        <v>11</v>
      </c>
      <c r="D204" s="7" t="s">
        <v>786</v>
      </c>
      <c r="E204" s="8" t="s">
        <v>787</v>
      </c>
      <c r="F204" s="6" t="s">
        <v>788</v>
      </c>
      <c r="G204" s="9">
        <f>IF(A204=1,"_",IF(C204="_","???",C204))</f>
        <v/>
      </c>
      <c r="H204" s="10" t="s">
        <v>11</v>
      </c>
      <c r="I204" s="11" t="s">
        <v>11</v>
      </c>
      <c r="J204" s="12"/>
    </row>
    <row r="205" spans="1:10" ht="60" customHeight="1">
      <c r="A205" s="6" t="s">
        <v>789</v>
      </c>
      <c r="B205" s="6" t="s">
        <v>41</v>
      </c>
      <c r="C205" s="6" t="s">
        <v>11</v>
      </c>
      <c r="D205" s="7" t="s">
        <v>790</v>
      </c>
      <c r="E205" s="8" t="s">
        <v>791</v>
      </c>
      <c r="F205" s="6" t="s">
        <v>792</v>
      </c>
      <c r="G205" s="9">
        <f>IF(A205=1,"_",IF(C205="_","???",C205))</f>
        <v/>
      </c>
      <c r="H205" s="10" t="s">
        <v>11</v>
      </c>
      <c r="I205" s="11" t="s">
        <v>11</v>
      </c>
      <c r="J205" s="12"/>
    </row>
    <row r="206" spans="1:10" ht="60" customHeight="1">
      <c r="A206" s="6" t="s">
        <v>793</v>
      </c>
      <c r="B206" s="6" t="s">
        <v>15</v>
      </c>
      <c r="C206" s="6" t="s">
        <v>11</v>
      </c>
      <c r="D206" s="7" t="s">
        <v>794</v>
      </c>
      <c r="E206" s="8" t="s">
        <v>795</v>
      </c>
      <c r="F206" s="6" t="s">
        <v>796</v>
      </c>
      <c r="G206" s="9">
        <f>IF(A206=1,"_",IF(C206="_","???",C206))</f>
        <v/>
      </c>
      <c r="H206" s="10" t="s">
        <v>11</v>
      </c>
      <c r="I206" s="11" t="s">
        <v>11</v>
      </c>
      <c r="J206" s="12"/>
    </row>
    <row r="207" spans="1:10" ht="60" customHeight="1">
      <c r="A207" s="6" t="s">
        <v>797</v>
      </c>
      <c r="B207" s="6" t="s">
        <v>24</v>
      </c>
      <c r="C207" s="6" t="s">
        <v>598</v>
      </c>
      <c r="D207" s="7" t="s">
        <v>798</v>
      </c>
      <c r="E207" s="8" t="s">
        <v>799</v>
      </c>
      <c r="F207" s="6" t="s">
        <v>800</v>
      </c>
      <c r="G207" s="9">
        <f>IF(A207=1,"_",IF(C207="_","???",C207))</f>
        <v/>
      </c>
      <c r="H207" s="10" t="s">
        <v>11</v>
      </c>
      <c r="I207" s="11" t="s">
        <v>11</v>
      </c>
      <c r="J207" s="12"/>
    </row>
    <row r="208" spans="1:10" ht="60" customHeight="1">
      <c r="A208" s="6" t="s">
        <v>801</v>
      </c>
      <c r="B208" s="6" t="s">
        <v>16</v>
      </c>
      <c r="C208" s="6" t="s">
        <v>11</v>
      </c>
      <c r="D208" s="7" t="s">
        <v>802</v>
      </c>
      <c r="E208" s="8" t="s">
        <v>803</v>
      </c>
      <c r="F208" s="6" t="s">
        <v>804</v>
      </c>
      <c r="G208" s="9">
        <f>IF(A208=1,"_",IF(C208="_","???",C208))</f>
        <v/>
      </c>
      <c r="H208" s="10" t="s">
        <v>11</v>
      </c>
      <c r="I208" s="11" t="s">
        <v>11</v>
      </c>
      <c r="J208" s="12"/>
    </row>
    <row r="209" spans="1:10" ht="60" customHeight="1">
      <c r="A209" s="6" t="s">
        <v>805</v>
      </c>
      <c r="B209" s="6" t="s">
        <v>24</v>
      </c>
      <c r="C209" s="6" t="s">
        <v>11</v>
      </c>
      <c r="D209" s="7" t="s">
        <v>806</v>
      </c>
      <c r="E209" s="8" t="s">
        <v>807</v>
      </c>
      <c r="F209" s="6" t="s">
        <v>808</v>
      </c>
      <c r="G209" s="9">
        <f>IF(A209=1,"_",IF(C209="_","???",C209))</f>
        <v/>
      </c>
      <c r="H209" s="10" t="s">
        <v>11</v>
      </c>
      <c r="I209" s="11" t="s">
        <v>11</v>
      </c>
      <c r="J209" s="12"/>
    </row>
    <row r="210" spans="1:10" ht="60" customHeight="1">
      <c r="A210" s="6" t="s">
        <v>809</v>
      </c>
      <c r="B210" s="6" t="s">
        <v>40</v>
      </c>
      <c r="C210" s="6" t="s">
        <v>11</v>
      </c>
      <c r="D210" s="7" t="s">
        <v>224</v>
      </c>
      <c r="E210" s="8" t="s">
        <v>810</v>
      </c>
      <c r="F210" s="6" t="s">
        <v>811</v>
      </c>
      <c r="G210" s="9">
        <f>IF(A210=1,"_",IF(C210="_","???",C210))</f>
        <v/>
      </c>
      <c r="H210" s="10" t="s">
        <v>11</v>
      </c>
      <c r="I210" s="11" t="s">
        <v>11</v>
      </c>
      <c r="J210" s="12"/>
    </row>
    <row r="211" spans="1:10" ht="60" customHeight="1">
      <c r="A211" s="6" t="s">
        <v>812</v>
      </c>
      <c r="B211" s="6" t="s">
        <v>16</v>
      </c>
      <c r="C211" s="6" t="s">
        <v>11</v>
      </c>
      <c r="D211" s="7" t="s">
        <v>658</v>
      </c>
      <c r="E211" s="8" t="s">
        <v>813</v>
      </c>
      <c r="F211" s="6" t="s">
        <v>814</v>
      </c>
      <c r="G211" s="9">
        <f>IF(A211=1,"_",IF(C211="_","???",C211))</f>
        <v/>
      </c>
      <c r="H211" s="10" t="s">
        <v>11</v>
      </c>
      <c r="I211" s="11" t="s">
        <v>11</v>
      </c>
      <c r="J211" s="12"/>
    </row>
    <row r="212" spans="1:10" ht="60" customHeight="1">
      <c r="A212" s="6" t="s">
        <v>815</v>
      </c>
      <c r="B212" s="6" t="s">
        <v>36</v>
      </c>
      <c r="C212" s="6" t="s">
        <v>11</v>
      </c>
      <c r="D212" s="7" t="s">
        <v>816</v>
      </c>
      <c r="E212" s="8" t="s">
        <v>817</v>
      </c>
      <c r="F212" s="6" t="s">
        <v>818</v>
      </c>
      <c r="G212" s="9">
        <f>IF(A212=1,"_",IF(C212="_","???",C212))</f>
        <v/>
      </c>
      <c r="H212" s="10" t="s">
        <v>11</v>
      </c>
      <c r="I212" s="11" t="s">
        <v>11</v>
      </c>
      <c r="J212" s="12"/>
    </row>
    <row r="213" spans="1:10" ht="60" customHeight="1">
      <c r="A213" s="6" t="s">
        <v>819</v>
      </c>
      <c r="B213" s="6" t="s">
        <v>16</v>
      </c>
      <c r="C213" s="6" t="s">
        <v>11</v>
      </c>
      <c r="D213" s="7" t="s">
        <v>439</v>
      </c>
      <c r="E213" s="8" t="s">
        <v>820</v>
      </c>
      <c r="F213" s="6" t="s">
        <v>821</v>
      </c>
      <c r="G213" s="9">
        <f>IF(A213=1,"_",IF(C213="_","???",C213))</f>
        <v/>
      </c>
      <c r="H213" s="10" t="s">
        <v>11</v>
      </c>
      <c r="I213" s="11" t="s">
        <v>11</v>
      </c>
      <c r="J213" s="12"/>
    </row>
    <row r="214" spans="1:10" ht="60" customHeight="1">
      <c r="A214" s="6" t="s">
        <v>822</v>
      </c>
      <c r="B214" s="6" t="s">
        <v>32</v>
      </c>
      <c r="C214" s="6" t="s">
        <v>11</v>
      </c>
      <c r="D214" s="7" t="s">
        <v>519</v>
      </c>
      <c r="E214" s="8" t="s">
        <v>823</v>
      </c>
      <c r="F214" s="6" t="s">
        <v>824</v>
      </c>
      <c r="G214" s="9">
        <f>IF(A214=1,"_",IF(C214="_","???",C214))</f>
        <v/>
      </c>
      <c r="H214" s="10" t="s">
        <v>11</v>
      </c>
      <c r="I214" s="11" t="s">
        <v>11</v>
      </c>
      <c r="J214" s="12"/>
    </row>
    <row r="215" spans="1:10" ht="60" customHeight="1">
      <c r="A215" s="6" t="s">
        <v>825</v>
      </c>
      <c r="B215" s="6" t="s">
        <v>24</v>
      </c>
      <c r="C215" s="6" t="s">
        <v>11</v>
      </c>
      <c r="D215" s="7" t="s">
        <v>826</v>
      </c>
      <c r="E215" s="8" t="s">
        <v>827</v>
      </c>
      <c r="F215" s="6" t="s">
        <v>828</v>
      </c>
      <c r="G215" s="9">
        <f>IF(A215=1,"_",IF(C215="_","???",C215))</f>
        <v/>
      </c>
      <c r="H215" s="10" t="s">
        <v>11</v>
      </c>
      <c r="I215" s="11" t="s">
        <v>11</v>
      </c>
      <c r="J215" s="12"/>
    </row>
    <row r="216" spans="1:10" ht="60" customHeight="1">
      <c r="A216" s="6" t="s">
        <v>829</v>
      </c>
      <c r="B216" s="6" t="s">
        <v>24</v>
      </c>
      <c r="C216" s="6" t="s">
        <v>11</v>
      </c>
      <c r="D216" s="7" t="s">
        <v>439</v>
      </c>
      <c r="E216" s="8" t="s">
        <v>830</v>
      </c>
      <c r="F216" s="6" t="s">
        <v>831</v>
      </c>
      <c r="G216" s="9">
        <f>IF(A216=1,"_",IF(C216="_","???",C216))</f>
        <v/>
      </c>
      <c r="H216" s="10" t="s">
        <v>11</v>
      </c>
      <c r="I216" s="11" t="s">
        <v>11</v>
      </c>
      <c r="J216" s="12"/>
    </row>
    <row r="217" spans="1:10" ht="60" customHeight="1">
      <c r="A217" s="6" t="s">
        <v>832</v>
      </c>
      <c r="B217" s="6" t="s">
        <v>15</v>
      </c>
      <c r="C217" s="6" t="s">
        <v>11</v>
      </c>
      <c r="D217" s="7" t="s">
        <v>833</v>
      </c>
      <c r="E217" s="8" t="s">
        <v>834</v>
      </c>
      <c r="F217" s="6" t="s">
        <v>835</v>
      </c>
      <c r="G217" s="9">
        <f>IF(A217=1,"_",IF(C217="_","???",C217))</f>
        <v/>
      </c>
      <c r="H217" s="10" t="s">
        <v>11</v>
      </c>
      <c r="I217" s="11" t="s">
        <v>11</v>
      </c>
      <c r="J217" s="12"/>
    </row>
    <row r="218" spans="1:10" ht="60" customHeight="1">
      <c r="A218" s="6" t="s">
        <v>836</v>
      </c>
      <c r="B218" s="6" t="s">
        <v>10</v>
      </c>
      <c r="C218" s="6" t="s">
        <v>11</v>
      </c>
      <c r="D218" s="7" t="s">
        <v>263</v>
      </c>
      <c r="E218" s="8" t="s">
        <v>837</v>
      </c>
      <c r="F218" s="6" t="s">
        <v>838</v>
      </c>
      <c r="G218" s="9">
        <f>IF(A218=1,"_",IF(C218="_","???",C218))</f>
        <v/>
      </c>
      <c r="H218" s="10" t="s">
        <v>11</v>
      </c>
      <c r="I218" s="11" t="s">
        <v>11</v>
      </c>
      <c r="J218" s="12"/>
    </row>
    <row r="219" spans="1:10" ht="60" customHeight="1">
      <c r="A219" s="6" t="s">
        <v>839</v>
      </c>
      <c r="B219" s="6" t="s">
        <v>28</v>
      </c>
      <c r="C219" s="6" t="s">
        <v>11</v>
      </c>
      <c r="D219" s="7" t="s">
        <v>840</v>
      </c>
      <c r="E219" s="8" t="s">
        <v>841</v>
      </c>
      <c r="F219" s="6" t="s">
        <v>842</v>
      </c>
      <c r="G219" s="9">
        <f>IF(A219=1,"_",IF(C219="_","???",C219))</f>
        <v/>
      </c>
      <c r="H219" s="10" t="s">
        <v>11</v>
      </c>
      <c r="I219" s="11" t="s">
        <v>11</v>
      </c>
      <c r="J219" s="12"/>
    </row>
    <row r="220" spans="1:10" ht="60" customHeight="1">
      <c r="A220" s="6" t="s">
        <v>843</v>
      </c>
      <c r="B220" s="6" t="s">
        <v>32</v>
      </c>
      <c r="C220" s="6" t="s">
        <v>11</v>
      </c>
      <c r="D220" s="7" t="s">
        <v>439</v>
      </c>
      <c r="E220" s="8" t="s">
        <v>844</v>
      </c>
      <c r="F220" s="6" t="s">
        <v>845</v>
      </c>
      <c r="G220" s="9">
        <f>IF(A220=1,"_",IF(C220="_","???",C220))</f>
        <v/>
      </c>
      <c r="H220" s="10" t="s">
        <v>11</v>
      </c>
      <c r="I220" s="11" t="s">
        <v>11</v>
      </c>
      <c r="J220" s="12"/>
    </row>
    <row r="221" spans="1:10" ht="60" customHeight="1">
      <c r="A221" s="6" t="s">
        <v>846</v>
      </c>
      <c r="B221" s="6" t="s">
        <v>16</v>
      </c>
      <c r="C221" s="6" t="s">
        <v>11</v>
      </c>
      <c r="D221" s="7" t="s">
        <v>847</v>
      </c>
      <c r="E221" s="8" t="s">
        <v>848</v>
      </c>
      <c r="F221" s="6" t="s">
        <v>849</v>
      </c>
      <c r="G221" s="9">
        <f>IF(A221=1,"_",IF(C221="_","???",C221))</f>
        <v/>
      </c>
      <c r="H221" s="10" t="s">
        <v>11</v>
      </c>
      <c r="I221" s="11" t="s">
        <v>11</v>
      </c>
      <c r="J221" s="12"/>
    </row>
    <row r="222" spans="1:10" ht="60" customHeight="1">
      <c r="A222" s="6" t="s">
        <v>850</v>
      </c>
      <c r="B222" s="6" t="s">
        <v>16</v>
      </c>
      <c r="C222" s="6" t="s">
        <v>11</v>
      </c>
      <c r="D222" s="7" t="s">
        <v>851</v>
      </c>
      <c r="E222" s="8" t="s">
        <v>852</v>
      </c>
      <c r="F222" s="6" t="s">
        <v>853</v>
      </c>
      <c r="G222" s="9">
        <f>IF(A222=1,"_",IF(C222="_","???",C222))</f>
        <v/>
      </c>
      <c r="H222" s="10" t="s">
        <v>11</v>
      </c>
      <c r="I222" s="11" t="s">
        <v>11</v>
      </c>
      <c r="J222" s="12"/>
    </row>
    <row r="223" spans="1:10" ht="60" customHeight="1">
      <c r="A223" s="6" t="s">
        <v>854</v>
      </c>
      <c r="B223" s="6" t="s">
        <v>24</v>
      </c>
      <c r="C223" s="6" t="s">
        <v>11</v>
      </c>
      <c r="D223" s="7" t="s">
        <v>855</v>
      </c>
      <c r="E223" s="8" t="s">
        <v>856</v>
      </c>
      <c r="F223" s="6" t="s">
        <v>857</v>
      </c>
      <c r="G223" s="9">
        <f>IF(A223=1,"_",IF(C223="_","???",C223))</f>
        <v/>
      </c>
      <c r="H223" s="10" t="s">
        <v>11</v>
      </c>
      <c r="I223" s="11" t="s">
        <v>11</v>
      </c>
      <c r="J223" s="12"/>
    </row>
    <row r="224" spans="1:10" ht="60" customHeight="1">
      <c r="A224" s="6" t="s">
        <v>858</v>
      </c>
      <c r="B224" s="6" t="s">
        <v>32</v>
      </c>
      <c r="C224" s="6" t="s">
        <v>11</v>
      </c>
      <c r="D224" s="7" t="s">
        <v>859</v>
      </c>
      <c r="E224" s="8" t="s">
        <v>860</v>
      </c>
      <c r="F224" s="6" t="s">
        <v>861</v>
      </c>
      <c r="G224" s="9">
        <f>IF(A224=1,"_",IF(C224="_","???",C224))</f>
        <v/>
      </c>
      <c r="H224" s="10" t="s">
        <v>11</v>
      </c>
      <c r="I224" s="11" t="s">
        <v>11</v>
      </c>
      <c r="J224" s="12"/>
    </row>
    <row r="225" spans="1:10" ht="60" customHeight="1">
      <c r="A225" s="6" t="s">
        <v>862</v>
      </c>
      <c r="B225" s="6" t="s">
        <v>15</v>
      </c>
      <c r="C225" s="6" t="s">
        <v>863</v>
      </c>
      <c r="D225" s="7" t="s">
        <v>864</v>
      </c>
      <c r="E225" s="8" t="s">
        <v>865</v>
      </c>
      <c r="F225" s="6" t="s">
        <v>866</v>
      </c>
      <c r="G225" s="9">
        <f>IF(A225=1,"_",IF(C225="_","???",C225))</f>
        <v/>
      </c>
      <c r="H225" s="10" t="s">
        <v>11</v>
      </c>
      <c r="I225" s="11" t="s">
        <v>11</v>
      </c>
      <c r="J225" s="12"/>
    </row>
    <row r="226" spans="1:10" ht="60" customHeight="1">
      <c r="A226" s="6" t="s">
        <v>867</v>
      </c>
      <c r="B226" s="6" t="s">
        <v>32</v>
      </c>
      <c r="C226" s="6" t="s">
        <v>11</v>
      </c>
      <c r="D226" s="7" t="s">
        <v>868</v>
      </c>
      <c r="E226" s="8" t="s">
        <v>869</v>
      </c>
      <c r="F226" s="6" t="s">
        <v>870</v>
      </c>
      <c r="G226" s="9">
        <f>IF(A226=1,"_",IF(C226="_","???",C226))</f>
        <v/>
      </c>
      <c r="H226" s="10" t="s">
        <v>11</v>
      </c>
      <c r="I226" s="11" t="s">
        <v>11</v>
      </c>
      <c r="J226" s="12"/>
    </row>
    <row r="227" spans="1:10" ht="60" customHeight="1">
      <c r="A227" s="6" t="s">
        <v>871</v>
      </c>
      <c r="B227" s="6" t="s">
        <v>16</v>
      </c>
      <c r="C227" s="6" t="s">
        <v>11</v>
      </c>
      <c r="D227" s="7" t="s">
        <v>872</v>
      </c>
      <c r="E227" s="8" t="s">
        <v>873</v>
      </c>
      <c r="F227" s="6" t="s">
        <v>874</v>
      </c>
      <c r="G227" s="9">
        <f>IF(A227=1,"_",IF(C227="_","???",C227))</f>
        <v/>
      </c>
      <c r="H227" s="10" t="s">
        <v>11</v>
      </c>
      <c r="I227" s="11" t="s">
        <v>11</v>
      </c>
      <c r="J227" s="12"/>
    </row>
    <row r="228" spans="1:10" ht="60" customHeight="1">
      <c r="A228" s="6" t="s">
        <v>875</v>
      </c>
      <c r="B228" s="6" t="s">
        <v>36</v>
      </c>
      <c r="C228" s="6" t="s">
        <v>11</v>
      </c>
      <c r="D228" s="7" t="s">
        <v>876</v>
      </c>
      <c r="E228" s="8" t="s">
        <v>877</v>
      </c>
      <c r="F228" s="6" t="s">
        <v>878</v>
      </c>
      <c r="G228" s="9">
        <f>IF(A228=1,"_",IF(C228="_","???",C228))</f>
        <v/>
      </c>
      <c r="H228" s="10" t="s">
        <v>11</v>
      </c>
      <c r="I228" s="11" t="s">
        <v>11</v>
      </c>
      <c r="J228" s="12"/>
    </row>
    <row r="229" spans="1:10" ht="60" customHeight="1">
      <c r="A229" s="6" t="s">
        <v>879</v>
      </c>
      <c r="B229" s="6" t="s">
        <v>15</v>
      </c>
      <c r="C229" s="6" t="s">
        <v>11</v>
      </c>
      <c r="D229" s="7" t="s">
        <v>599</v>
      </c>
      <c r="E229" s="8" t="s">
        <v>880</v>
      </c>
      <c r="F229" s="6" t="s">
        <v>881</v>
      </c>
      <c r="G229" s="9">
        <f>IF(A229=1,"_",IF(C229="_","???",C229))</f>
        <v/>
      </c>
      <c r="H229" s="10" t="s">
        <v>11</v>
      </c>
      <c r="I229" s="11" t="s">
        <v>11</v>
      </c>
      <c r="J229" s="12"/>
    </row>
    <row r="230" spans="1:10" ht="60" customHeight="1">
      <c r="A230" s="6" t="s">
        <v>882</v>
      </c>
      <c r="B230" s="6" t="s">
        <v>40</v>
      </c>
      <c r="C230" s="6" t="s">
        <v>11</v>
      </c>
      <c r="D230" s="7" t="s">
        <v>883</v>
      </c>
      <c r="E230" s="8" t="s">
        <v>884</v>
      </c>
      <c r="F230" s="6" t="s">
        <v>885</v>
      </c>
      <c r="G230" s="9">
        <f>IF(A230=1,"_",IF(C230="_","???",C230))</f>
        <v/>
      </c>
      <c r="H230" s="10" t="s">
        <v>11</v>
      </c>
      <c r="I230" s="11" t="s">
        <v>11</v>
      </c>
      <c r="J230" s="12"/>
    </row>
    <row r="231" spans="1:10" ht="60" customHeight="1">
      <c r="A231" s="6" t="s">
        <v>886</v>
      </c>
      <c r="B231" s="6" t="s">
        <v>41</v>
      </c>
      <c r="C231" s="6" t="s">
        <v>11</v>
      </c>
      <c r="D231" s="7" t="s">
        <v>887</v>
      </c>
      <c r="E231" s="8" t="s">
        <v>888</v>
      </c>
      <c r="F231" s="6" t="s">
        <v>889</v>
      </c>
      <c r="G231" s="9">
        <f>IF(A231=1,"_",IF(C231="_","???",C231))</f>
        <v/>
      </c>
      <c r="H231" s="10" t="s">
        <v>11</v>
      </c>
      <c r="I231" s="11" t="s">
        <v>11</v>
      </c>
      <c r="J231" s="12"/>
    </row>
    <row r="232" spans="1:10" ht="60" customHeight="1">
      <c r="A232" s="6" t="s">
        <v>890</v>
      </c>
      <c r="B232" s="6" t="s">
        <v>32</v>
      </c>
      <c r="C232" s="6" t="s">
        <v>668</v>
      </c>
      <c r="D232" s="7" t="s">
        <v>891</v>
      </c>
      <c r="E232" s="8" t="s">
        <v>892</v>
      </c>
      <c r="F232" s="6" t="s">
        <v>893</v>
      </c>
      <c r="G232" s="9">
        <f>IF(A232=1,"_",IF(C232="_","???",C232))</f>
        <v/>
      </c>
      <c r="H232" s="10" t="s">
        <v>11</v>
      </c>
      <c r="I232" s="11" t="s">
        <v>11</v>
      </c>
      <c r="J232" s="12"/>
    </row>
    <row r="233" spans="1:10" ht="60" customHeight="1">
      <c r="A233" s="6" t="s">
        <v>894</v>
      </c>
      <c r="B233" s="6" t="s">
        <v>24</v>
      </c>
      <c r="C233" s="6" t="s">
        <v>11</v>
      </c>
      <c r="D233" s="7" t="s">
        <v>499</v>
      </c>
      <c r="E233" s="8" t="s">
        <v>895</v>
      </c>
      <c r="F233" s="6" t="s">
        <v>896</v>
      </c>
      <c r="G233" s="9">
        <f>IF(A233=1,"_",IF(C233="_","???",C233))</f>
        <v/>
      </c>
      <c r="H233" s="10" t="s">
        <v>11</v>
      </c>
      <c r="I233" s="11" t="s">
        <v>11</v>
      </c>
      <c r="J233" s="12"/>
    </row>
    <row r="234" spans="1:10" ht="60" customHeight="1">
      <c r="A234" s="6" t="s">
        <v>897</v>
      </c>
      <c r="B234" s="6" t="s">
        <v>28</v>
      </c>
      <c r="C234" s="6" t="s">
        <v>11</v>
      </c>
      <c r="D234" s="7" t="s">
        <v>898</v>
      </c>
      <c r="E234" s="8" t="s">
        <v>899</v>
      </c>
      <c r="F234" s="6" t="s">
        <v>900</v>
      </c>
      <c r="G234" s="9">
        <f>IF(A234=1,"_",IF(C234="_","???",C234))</f>
        <v/>
      </c>
      <c r="H234" s="10" t="s">
        <v>11</v>
      </c>
      <c r="I234" s="11" t="s">
        <v>11</v>
      </c>
      <c r="J234" s="12"/>
    </row>
    <row r="235" spans="1:10" ht="60" customHeight="1">
      <c r="A235" s="6" t="s">
        <v>901</v>
      </c>
      <c r="B235" s="6" t="s">
        <v>36</v>
      </c>
      <c r="C235" s="6" t="s">
        <v>11</v>
      </c>
      <c r="D235" s="7" t="s">
        <v>902</v>
      </c>
      <c r="E235" s="8" t="s">
        <v>903</v>
      </c>
      <c r="F235" s="6" t="s">
        <v>904</v>
      </c>
      <c r="G235" s="9">
        <f>IF(A235=1,"_",IF(C235="_","???",C235))</f>
        <v/>
      </c>
      <c r="H235" s="10" t="s">
        <v>11</v>
      </c>
      <c r="I235" s="11" t="s">
        <v>11</v>
      </c>
      <c r="J235" s="12"/>
    </row>
    <row r="236" spans="1:10" ht="60" customHeight="1">
      <c r="A236" s="6" t="s">
        <v>905</v>
      </c>
      <c r="B236" s="6" t="s">
        <v>28</v>
      </c>
      <c r="C236" s="6" t="s">
        <v>863</v>
      </c>
      <c r="D236" s="7" t="s">
        <v>906</v>
      </c>
      <c r="E236" s="8" t="s">
        <v>907</v>
      </c>
      <c r="F236" s="6" t="s">
        <v>908</v>
      </c>
      <c r="G236" s="9">
        <f>IF(A236=1,"_",IF(C236="_","???",C236))</f>
        <v/>
      </c>
      <c r="H236" s="10" t="s">
        <v>11</v>
      </c>
      <c r="I236" s="11" t="s">
        <v>11</v>
      </c>
      <c r="J236" s="12"/>
    </row>
    <row r="237" spans="1:10" ht="60" customHeight="1">
      <c r="A237" s="6" t="s">
        <v>909</v>
      </c>
      <c r="B237" s="6" t="s">
        <v>24</v>
      </c>
      <c r="C237" s="6" t="s">
        <v>11</v>
      </c>
      <c r="D237" s="7" t="s">
        <v>462</v>
      </c>
      <c r="E237" s="8" t="s">
        <v>910</v>
      </c>
      <c r="F237" s="6" t="s">
        <v>911</v>
      </c>
      <c r="G237" s="9">
        <f>IF(A237=1,"_",IF(C237="_","???",C237))</f>
        <v/>
      </c>
      <c r="H237" s="10" t="s">
        <v>11</v>
      </c>
      <c r="I237" s="11" t="s">
        <v>11</v>
      </c>
      <c r="J237" s="12"/>
    </row>
    <row r="238" spans="1:10" ht="60" customHeight="1">
      <c r="A238" s="6" t="s">
        <v>912</v>
      </c>
      <c r="B238" s="6" t="s">
        <v>40</v>
      </c>
      <c r="C238" s="6" t="s">
        <v>11</v>
      </c>
      <c r="D238" s="7" t="s">
        <v>913</v>
      </c>
      <c r="E238" s="8" t="s">
        <v>914</v>
      </c>
      <c r="F238" s="6" t="s">
        <v>915</v>
      </c>
      <c r="G238" s="9">
        <f>IF(A238=1,"_",IF(C238="_","???",C238))</f>
        <v/>
      </c>
      <c r="H238" s="10" t="s">
        <v>11</v>
      </c>
      <c r="I238" s="11" t="s">
        <v>11</v>
      </c>
      <c r="J238" s="12"/>
    </row>
    <row r="239" spans="1:10" ht="60" customHeight="1">
      <c r="A239" s="6" t="s">
        <v>916</v>
      </c>
      <c r="B239" s="6" t="s">
        <v>15</v>
      </c>
      <c r="C239" s="6" t="s">
        <v>11</v>
      </c>
      <c r="D239" s="7" t="s">
        <v>917</v>
      </c>
      <c r="E239" s="8" t="s">
        <v>918</v>
      </c>
      <c r="F239" s="6" t="s">
        <v>919</v>
      </c>
      <c r="G239" s="9">
        <f>IF(A239=1,"_",IF(C239="_","???",C239))</f>
        <v/>
      </c>
      <c r="H239" s="10" t="s">
        <v>11</v>
      </c>
      <c r="I239" s="11" t="s">
        <v>11</v>
      </c>
      <c r="J239" s="12"/>
    </row>
    <row r="240" spans="1:10" ht="60" customHeight="1">
      <c r="A240" s="6" t="s">
        <v>920</v>
      </c>
      <c r="B240" s="6" t="s">
        <v>52</v>
      </c>
      <c r="C240" s="6" t="s">
        <v>11</v>
      </c>
      <c r="D240" s="7" t="s">
        <v>921</v>
      </c>
      <c r="E240" s="8" t="s">
        <v>922</v>
      </c>
      <c r="F240" s="6" t="s">
        <v>923</v>
      </c>
      <c r="G240" s="9">
        <f>IF(A240=1,"_",IF(C240="_","???",C240))</f>
        <v/>
      </c>
      <c r="H240" s="10" t="s">
        <v>11</v>
      </c>
      <c r="I240" s="11" t="s">
        <v>11</v>
      </c>
      <c r="J240" s="12"/>
    </row>
    <row r="241" spans="1:10" ht="60" customHeight="1">
      <c r="A241" s="6" t="s">
        <v>924</v>
      </c>
      <c r="B241" s="6" t="s">
        <v>41</v>
      </c>
      <c r="C241" s="6" t="s">
        <v>11</v>
      </c>
      <c r="D241" s="7" t="s">
        <v>925</v>
      </c>
      <c r="E241" s="8" t="s">
        <v>926</v>
      </c>
      <c r="F241" s="6" t="s">
        <v>927</v>
      </c>
      <c r="G241" s="9">
        <f>IF(A241=1,"_",IF(C241="_","???",C241))</f>
        <v/>
      </c>
      <c r="H241" s="10" t="s">
        <v>11</v>
      </c>
      <c r="I241" s="11" t="s">
        <v>11</v>
      </c>
      <c r="J241" s="12"/>
    </row>
    <row r="242" spans="1:10" ht="60" customHeight="1">
      <c r="A242" s="6" t="s">
        <v>928</v>
      </c>
      <c r="B242" s="6" t="s">
        <v>28</v>
      </c>
      <c r="C242" s="6" t="s">
        <v>11</v>
      </c>
      <c r="D242" s="7" t="s">
        <v>929</v>
      </c>
      <c r="E242" s="8" t="s">
        <v>930</v>
      </c>
      <c r="F242" s="6" t="s">
        <v>931</v>
      </c>
      <c r="G242" s="9">
        <f>IF(A242=1,"_",IF(C242="_","???",C242))</f>
        <v/>
      </c>
      <c r="H242" s="10" t="s">
        <v>11</v>
      </c>
      <c r="I242" s="11" t="s">
        <v>11</v>
      </c>
      <c r="J242" s="12"/>
    </row>
    <row r="243" spans="1:10" ht="60" customHeight="1">
      <c r="A243" s="6" t="s">
        <v>932</v>
      </c>
      <c r="B243" s="6" t="s">
        <v>16</v>
      </c>
      <c r="C243" s="6" t="s">
        <v>11</v>
      </c>
      <c r="D243" s="7" t="s">
        <v>933</v>
      </c>
      <c r="E243" s="8" t="s">
        <v>934</v>
      </c>
      <c r="F243" s="6" t="s">
        <v>935</v>
      </c>
      <c r="G243" s="9">
        <f>IF(A243=1,"_",IF(C243="_","???",C243))</f>
        <v/>
      </c>
      <c r="H243" s="10" t="s">
        <v>11</v>
      </c>
      <c r="I243" s="11" t="s">
        <v>11</v>
      </c>
      <c r="J243" s="12"/>
    </row>
    <row r="244" spans="1:10" ht="60" customHeight="1">
      <c r="A244" s="6" t="s">
        <v>936</v>
      </c>
      <c r="B244" s="6" t="s">
        <v>24</v>
      </c>
      <c r="C244" s="6" t="s">
        <v>11</v>
      </c>
      <c r="D244" s="7" t="s">
        <v>937</v>
      </c>
      <c r="E244" s="8" t="s">
        <v>938</v>
      </c>
      <c r="F244" s="6" t="s">
        <v>939</v>
      </c>
      <c r="G244" s="9">
        <f>IF(A244=1,"_",IF(C244="_","???",C244))</f>
        <v/>
      </c>
      <c r="H244" s="10" t="s">
        <v>11</v>
      </c>
      <c r="I244" s="11" t="s">
        <v>11</v>
      </c>
      <c r="J244" s="12"/>
    </row>
    <row r="245" spans="1:10" ht="60" customHeight="1">
      <c r="A245" s="6" t="s">
        <v>940</v>
      </c>
      <c r="B245" s="6" t="s">
        <v>40</v>
      </c>
      <c r="C245" s="6" t="s">
        <v>11</v>
      </c>
      <c r="D245" s="7" t="s">
        <v>499</v>
      </c>
      <c r="E245" s="8" t="s">
        <v>941</v>
      </c>
      <c r="F245" s="6" t="s">
        <v>942</v>
      </c>
      <c r="G245" s="9">
        <f>IF(A245=1,"_",IF(C245="_","???",C245))</f>
        <v/>
      </c>
      <c r="H245" s="10" t="s">
        <v>11</v>
      </c>
      <c r="I245" s="11" t="s">
        <v>11</v>
      </c>
      <c r="J245" s="12"/>
    </row>
    <row r="246" spans="1:10" ht="60" customHeight="1">
      <c r="A246" s="6" t="s">
        <v>943</v>
      </c>
      <c r="B246" s="6" t="s">
        <v>10</v>
      </c>
      <c r="C246" s="6" t="s">
        <v>11</v>
      </c>
      <c r="D246" s="7" t="s">
        <v>944</v>
      </c>
      <c r="E246" s="8" t="s">
        <v>945</v>
      </c>
      <c r="F246" s="6" t="s">
        <v>946</v>
      </c>
      <c r="G246" s="9">
        <f>IF(A246=1,"_",IF(C246="_","???",C246))</f>
        <v/>
      </c>
      <c r="H246" s="10" t="s">
        <v>11</v>
      </c>
      <c r="I246" s="11" t="s">
        <v>11</v>
      </c>
      <c r="J246" s="12"/>
    </row>
    <row r="247" spans="1:10" ht="60" customHeight="1">
      <c r="A247" s="6" t="s">
        <v>947</v>
      </c>
      <c r="B247" s="6" t="s">
        <v>16</v>
      </c>
      <c r="C247" s="6" t="s">
        <v>11</v>
      </c>
      <c r="D247" s="7" t="s">
        <v>948</v>
      </c>
      <c r="E247" s="8" t="s">
        <v>949</v>
      </c>
      <c r="F247" s="6" t="s">
        <v>950</v>
      </c>
      <c r="G247" s="9">
        <f>IF(A247=1,"_",IF(C247="_","???",C247))</f>
        <v/>
      </c>
      <c r="H247" s="10" t="s">
        <v>11</v>
      </c>
      <c r="I247" s="11" t="s">
        <v>11</v>
      </c>
      <c r="J247" s="12"/>
    </row>
    <row r="248" spans="1:10" ht="60" customHeight="1">
      <c r="A248" s="6" t="s">
        <v>951</v>
      </c>
      <c r="B248" s="6" t="s">
        <v>15</v>
      </c>
      <c r="C248" s="6" t="s">
        <v>11</v>
      </c>
      <c r="D248" s="7" t="s">
        <v>826</v>
      </c>
      <c r="E248" s="8" t="s">
        <v>952</v>
      </c>
      <c r="F248" s="6" t="s">
        <v>953</v>
      </c>
      <c r="G248" s="9">
        <f>IF(A248=1,"_",IF(C248="_","???",C248))</f>
        <v/>
      </c>
      <c r="H248" s="10" t="s">
        <v>11</v>
      </c>
      <c r="I248" s="11" t="s">
        <v>11</v>
      </c>
      <c r="J248" s="12"/>
    </row>
    <row r="249" spans="1:10" ht="60" customHeight="1">
      <c r="A249" s="6" t="s">
        <v>954</v>
      </c>
      <c r="B249" s="6" t="s">
        <v>15</v>
      </c>
      <c r="C249" s="6" t="s">
        <v>11</v>
      </c>
      <c r="D249" s="7" t="s">
        <v>519</v>
      </c>
      <c r="E249" s="8" t="s">
        <v>955</v>
      </c>
      <c r="F249" s="6" t="s">
        <v>956</v>
      </c>
      <c r="G249" s="9">
        <f>IF(A249=1,"_",IF(C249="_","???",C249))</f>
        <v/>
      </c>
      <c r="H249" s="10" t="s">
        <v>11</v>
      </c>
      <c r="I249" s="11" t="s">
        <v>11</v>
      </c>
      <c r="J249" s="12"/>
    </row>
    <row r="250" spans="1:10" ht="60" customHeight="1">
      <c r="A250" s="6" t="s">
        <v>957</v>
      </c>
      <c r="B250" s="6" t="s">
        <v>10</v>
      </c>
      <c r="C250" s="6" t="s">
        <v>11</v>
      </c>
      <c r="D250" s="7" t="s">
        <v>958</v>
      </c>
      <c r="E250" s="8" t="s">
        <v>959</v>
      </c>
      <c r="F250" s="6" t="s">
        <v>960</v>
      </c>
      <c r="G250" s="9">
        <f>IF(A250=1,"_",IF(C250="_","???",C250))</f>
        <v/>
      </c>
      <c r="H250" s="10" t="s">
        <v>11</v>
      </c>
      <c r="I250" s="11" t="s">
        <v>11</v>
      </c>
      <c r="J250" s="12"/>
    </row>
    <row r="251" spans="1:10" ht="60" customHeight="1">
      <c r="A251" s="6" t="s">
        <v>961</v>
      </c>
      <c r="B251" s="6" t="s">
        <v>28</v>
      </c>
      <c r="C251" s="6" t="s">
        <v>11</v>
      </c>
      <c r="D251" s="7" t="s">
        <v>962</v>
      </c>
      <c r="E251" s="8" t="s">
        <v>963</v>
      </c>
      <c r="F251" s="6" t="s">
        <v>964</v>
      </c>
      <c r="G251" s="9">
        <f>IF(A251=1,"_",IF(C251="_","???",C251))</f>
        <v/>
      </c>
      <c r="H251" s="10" t="s">
        <v>11</v>
      </c>
      <c r="I251" s="11" t="s">
        <v>11</v>
      </c>
      <c r="J251" s="12"/>
    </row>
    <row r="252" spans="1:10" ht="60" customHeight="1">
      <c r="A252" s="6" t="s">
        <v>965</v>
      </c>
      <c r="B252" s="6" t="s">
        <v>10</v>
      </c>
      <c r="C252" s="6" t="s">
        <v>11</v>
      </c>
      <c r="D252" s="7" t="s">
        <v>396</v>
      </c>
      <c r="E252" s="8" t="s">
        <v>966</v>
      </c>
      <c r="F252" s="6" t="s">
        <v>967</v>
      </c>
      <c r="G252" s="9">
        <f>IF(A252=1,"_",IF(C252="_","???",C252))</f>
        <v/>
      </c>
      <c r="H252" s="10" t="s">
        <v>11</v>
      </c>
      <c r="I252" s="11" t="s">
        <v>11</v>
      </c>
      <c r="J252" s="12"/>
    </row>
    <row r="253" spans="1:10" ht="60" customHeight="1">
      <c r="A253" s="6" t="s">
        <v>968</v>
      </c>
      <c r="B253" s="6" t="s">
        <v>15</v>
      </c>
      <c r="C253" s="6" t="s">
        <v>11</v>
      </c>
      <c r="D253" s="7" t="s">
        <v>969</v>
      </c>
      <c r="E253" s="8" t="s">
        <v>970</v>
      </c>
      <c r="F253" s="6" t="s">
        <v>971</v>
      </c>
      <c r="G253" s="9">
        <f>IF(A253=1,"_",IF(C253="_","???",C253))</f>
        <v/>
      </c>
      <c r="H253" s="10" t="s">
        <v>11</v>
      </c>
      <c r="I253" s="11" t="s">
        <v>11</v>
      </c>
      <c r="J253" s="12"/>
    </row>
    <row r="254" spans="1:10" ht="60" customHeight="1">
      <c r="A254" s="6" t="s">
        <v>972</v>
      </c>
      <c r="B254" s="6" t="s">
        <v>16</v>
      </c>
      <c r="C254" s="6" t="s">
        <v>11</v>
      </c>
      <c r="D254" s="7" t="s">
        <v>973</v>
      </c>
      <c r="E254" s="8" t="s">
        <v>974</v>
      </c>
      <c r="F254" s="6" t="s">
        <v>975</v>
      </c>
      <c r="G254" s="9">
        <f>IF(A254=1,"_",IF(C254="_","???",C254))</f>
        <v/>
      </c>
      <c r="H254" s="10" t="s">
        <v>11</v>
      </c>
      <c r="I254" s="11" t="s">
        <v>11</v>
      </c>
      <c r="J254" s="12"/>
    </row>
    <row r="255" spans="1:10" ht="60" customHeight="1">
      <c r="A255" s="6" t="s">
        <v>976</v>
      </c>
      <c r="B255" s="6" t="s">
        <v>28</v>
      </c>
      <c r="C255" s="6" t="s">
        <v>11</v>
      </c>
      <c r="D255" s="7" t="s">
        <v>977</v>
      </c>
      <c r="E255" s="8" t="s">
        <v>978</v>
      </c>
      <c r="F255" s="6" t="s">
        <v>979</v>
      </c>
      <c r="G255" s="9">
        <f>IF(A255=1,"_",IF(C255="_","???",C255))</f>
        <v/>
      </c>
      <c r="H255" s="10" t="s">
        <v>11</v>
      </c>
      <c r="I255" s="11" t="s">
        <v>11</v>
      </c>
      <c r="J255" s="12"/>
    </row>
    <row r="256" spans="1:10" ht="60" customHeight="1">
      <c r="A256" s="6" t="s">
        <v>980</v>
      </c>
      <c r="B256" s="6" t="s">
        <v>20</v>
      </c>
      <c r="C256" s="6" t="s">
        <v>11</v>
      </c>
      <c r="D256" s="7" t="s">
        <v>981</v>
      </c>
      <c r="E256" s="8" t="s">
        <v>982</v>
      </c>
      <c r="F256" s="6" t="s">
        <v>983</v>
      </c>
      <c r="G256" s="9">
        <f>IF(A256=1,"_",IF(C256="_","???",C256))</f>
        <v/>
      </c>
      <c r="H256" s="10" t="s">
        <v>11</v>
      </c>
      <c r="I256" s="11" t="s">
        <v>11</v>
      </c>
      <c r="J256" s="12"/>
    </row>
    <row r="257" spans="1:10" ht="60" customHeight="1">
      <c r="A257" s="6" t="s">
        <v>984</v>
      </c>
      <c r="B257" s="6" t="s">
        <v>28</v>
      </c>
      <c r="C257" s="6" t="s">
        <v>11</v>
      </c>
      <c r="D257" s="7" t="s">
        <v>969</v>
      </c>
      <c r="E257" s="8" t="s">
        <v>985</v>
      </c>
      <c r="F257" s="6" t="s">
        <v>986</v>
      </c>
      <c r="G257" s="9">
        <f>IF(A257=1,"_",IF(C257="_","???",C257))</f>
        <v/>
      </c>
      <c r="H257" s="10" t="s">
        <v>11</v>
      </c>
      <c r="I257" s="11" t="s">
        <v>11</v>
      </c>
      <c r="J257" s="12"/>
    </row>
    <row r="258" spans="1:10" ht="60" customHeight="1">
      <c r="A258" s="6" t="s">
        <v>987</v>
      </c>
      <c r="B258" s="6" t="s">
        <v>40</v>
      </c>
      <c r="C258" s="6" t="s">
        <v>11</v>
      </c>
      <c r="D258" s="7" t="s">
        <v>131</v>
      </c>
      <c r="E258" s="8" t="s">
        <v>988</v>
      </c>
      <c r="F258" s="6" t="s">
        <v>989</v>
      </c>
      <c r="G258" s="9">
        <f>IF(A258=1,"_",IF(C258="_","???",C258))</f>
        <v/>
      </c>
      <c r="H258" s="10" t="s">
        <v>11</v>
      </c>
      <c r="I258" s="11" t="s">
        <v>11</v>
      </c>
      <c r="J258" s="12"/>
    </row>
    <row r="259" spans="1:10" ht="60" customHeight="1">
      <c r="A259" s="6" t="s">
        <v>990</v>
      </c>
      <c r="B259" s="6" t="s">
        <v>32</v>
      </c>
      <c r="C259" s="6" t="s">
        <v>11</v>
      </c>
      <c r="D259" s="7" t="s">
        <v>991</v>
      </c>
      <c r="E259" s="8" t="s">
        <v>992</v>
      </c>
      <c r="F259" s="6" t="s">
        <v>993</v>
      </c>
      <c r="G259" s="9">
        <f>IF(A259=1,"_",IF(C259="_","???",C259))</f>
        <v/>
      </c>
      <c r="H259" s="10" t="s">
        <v>11</v>
      </c>
      <c r="I259" s="11" t="s">
        <v>11</v>
      </c>
      <c r="J259" s="12"/>
    </row>
    <row r="260" spans="1:10" ht="60" customHeight="1">
      <c r="A260" s="6" t="s">
        <v>994</v>
      </c>
      <c r="B260" s="6" t="s">
        <v>32</v>
      </c>
      <c r="C260" s="6" t="s">
        <v>11</v>
      </c>
      <c r="D260" s="7" t="s">
        <v>519</v>
      </c>
      <c r="E260" s="8" t="s">
        <v>995</v>
      </c>
      <c r="F260" s="6" t="s">
        <v>996</v>
      </c>
      <c r="G260" s="9">
        <f>IF(A260=1,"_",IF(C260="_","???",C260))</f>
        <v/>
      </c>
      <c r="H260" s="10" t="s">
        <v>11</v>
      </c>
      <c r="I260" s="11" t="s">
        <v>11</v>
      </c>
      <c r="J260" s="12"/>
    </row>
    <row r="261" spans="1:10" ht="60" customHeight="1">
      <c r="A261" s="6" t="s">
        <v>997</v>
      </c>
      <c r="B261" s="6" t="s">
        <v>15</v>
      </c>
      <c r="C261" s="6" t="s">
        <v>668</v>
      </c>
      <c r="D261" s="7" t="s">
        <v>998</v>
      </c>
      <c r="E261" s="8" t="s">
        <v>999</v>
      </c>
      <c r="F261" s="6" t="s">
        <v>1000</v>
      </c>
      <c r="G261" s="9">
        <f>IF(A261=1,"_",IF(C261="_","???",C261))</f>
        <v/>
      </c>
      <c r="H261" s="10" t="s">
        <v>11</v>
      </c>
      <c r="I261" s="11" t="s">
        <v>11</v>
      </c>
      <c r="J261" s="12"/>
    </row>
    <row r="262" spans="1:10" ht="60" customHeight="1">
      <c r="A262" s="6" t="s">
        <v>1001</v>
      </c>
      <c r="B262" s="6" t="s">
        <v>52</v>
      </c>
      <c r="C262" s="6" t="s">
        <v>11</v>
      </c>
      <c r="D262" s="7" t="s">
        <v>991</v>
      </c>
      <c r="E262" s="8" t="s">
        <v>1002</v>
      </c>
      <c r="F262" s="6" t="s">
        <v>1003</v>
      </c>
      <c r="G262" s="9">
        <f>IF(A262=1,"_",IF(C262="_","???",C262))</f>
        <v/>
      </c>
      <c r="H262" s="10" t="s">
        <v>11</v>
      </c>
      <c r="I262" s="11" t="s">
        <v>11</v>
      </c>
      <c r="J262" s="12"/>
    </row>
    <row r="263" spans="1:10" ht="60" customHeight="1">
      <c r="A263" s="6" t="s">
        <v>1004</v>
      </c>
      <c r="B263" s="6" t="s">
        <v>40</v>
      </c>
      <c r="C263" s="6" t="s">
        <v>11</v>
      </c>
      <c r="D263" s="7" t="s">
        <v>1005</v>
      </c>
      <c r="E263" s="8" t="s">
        <v>1006</v>
      </c>
      <c r="F263" s="6" t="s">
        <v>1007</v>
      </c>
      <c r="G263" s="9">
        <f>IF(A263=1,"_",IF(C263="_","???",C263))</f>
        <v/>
      </c>
      <c r="H263" s="10" t="s">
        <v>11</v>
      </c>
      <c r="I263" s="11" t="s">
        <v>11</v>
      </c>
      <c r="J263" s="12"/>
    </row>
    <row r="264" spans="1:10" ht="60" customHeight="1">
      <c r="A264" s="6" t="s">
        <v>1008</v>
      </c>
      <c r="B264" s="6" t="s">
        <v>15</v>
      </c>
      <c r="C264" s="6" t="s">
        <v>11</v>
      </c>
      <c r="D264" s="7" t="s">
        <v>855</v>
      </c>
      <c r="E264" s="8" t="s">
        <v>1009</v>
      </c>
      <c r="F264" s="6" t="s">
        <v>1010</v>
      </c>
      <c r="G264" s="9">
        <f>IF(A264=1,"_",IF(C264="_","???",C264))</f>
        <v/>
      </c>
      <c r="H264" s="10" t="s">
        <v>11</v>
      </c>
      <c r="I264" s="11" t="s">
        <v>11</v>
      </c>
      <c r="J264" s="12"/>
    </row>
    <row r="265" spans="1:10" ht="60" customHeight="1">
      <c r="A265" s="6" t="s">
        <v>1011</v>
      </c>
      <c r="B265" s="6" t="s">
        <v>52</v>
      </c>
      <c r="C265" s="6" t="s">
        <v>11</v>
      </c>
      <c r="D265" s="7" t="s">
        <v>239</v>
      </c>
      <c r="E265" s="8" t="s">
        <v>1012</v>
      </c>
      <c r="F265" s="6" t="s">
        <v>1013</v>
      </c>
      <c r="G265" s="9">
        <f>IF(A265=1,"_",IF(C265="_","???",C265))</f>
        <v/>
      </c>
      <c r="H265" s="10" t="s">
        <v>11</v>
      </c>
      <c r="I265" s="11" t="s">
        <v>11</v>
      </c>
      <c r="J265" s="12"/>
    </row>
    <row r="266" spans="1:10" ht="60" customHeight="1">
      <c r="A266" s="6" t="s">
        <v>1014</v>
      </c>
      <c r="B266" s="6" t="s">
        <v>24</v>
      </c>
      <c r="C266" s="6" t="s">
        <v>11</v>
      </c>
      <c r="D266" s="7" t="s">
        <v>183</v>
      </c>
      <c r="E266" s="8" t="s">
        <v>1015</v>
      </c>
      <c r="F266" s="6" t="s">
        <v>1016</v>
      </c>
      <c r="G266" s="9">
        <f>IF(A266=1,"_",IF(C266="_","???",C266))</f>
        <v/>
      </c>
      <c r="H266" s="10" t="s">
        <v>11</v>
      </c>
      <c r="I266" s="11" t="s">
        <v>11</v>
      </c>
      <c r="J266" s="12"/>
    </row>
    <row r="267" spans="1:10" ht="60" customHeight="1">
      <c r="A267" s="6" t="s">
        <v>1017</v>
      </c>
      <c r="B267" s="6" t="s">
        <v>36</v>
      </c>
      <c r="C267" s="6" t="s">
        <v>11</v>
      </c>
      <c r="D267" s="7" t="s">
        <v>855</v>
      </c>
      <c r="E267" s="8" t="s">
        <v>1018</v>
      </c>
      <c r="F267" s="6" t="s">
        <v>1019</v>
      </c>
      <c r="G267" s="9">
        <f>IF(A267=1,"_",IF(C267="_","???",C267))</f>
        <v/>
      </c>
      <c r="H267" s="10" t="s">
        <v>11</v>
      </c>
      <c r="I267" s="11" t="s">
        <v>11</v>
      </c>
      <c r="J267" s="12"/>
    </row>
    <row r="268" spans="1:10" ht="60" customHeight="1">
      <c r="A268" s="6" t="s">
        <v>1020</v>
      </c>
      <c r="B268" s="6" t="s">
        <v>36</v>
      </c>
      <c r="C268" s="6" t="s">
        <v>11</v>
      </c>
      <c r="D268" s="7" t="s">
        <v>1021</v>
      </c>
      <c r="E268" s="8" t="s">
        <v>1022</v>
      </c>
      <c r="F268" s="6" t="s">
        <v>1023</v>
      </c>
      <c r="G268" s="9">
        <f>IF(A268=1,"_",IF(C268="_","???",C268))</f>
        <v/>
      </c>
      <c r="H268" s="10" t="s">
        <v>11</v>
      </c>
      <c r="I268" s="11" t="s">
        <v>11</v>
      </c>
      <c r="J268" s="12"/>
    </row>
    <row r="269" spans="1:10" ht="60" customHeight="1">
      <c r="A269" s="6" t="s">
        <v>1024</v>
      </c>
      <c r="B269" s="6" t="s">
        <v>16</v>
      </c>
      <c r="C269" s="6" t="s">
        <v>11</v>
      </c>
      <c r="D269" s="7" t="s">
        <v>1025</v>
      </c>
      <c r="E269" s="8" t="s">
        <v>1026</v>
      </c>
      <c r="F269" s="6" t="s">
        <v>1027</v>
      </c>
      <c r="G269" s="9">
        <f>IF(A269=1,"_",IF(C269="_","???",C269))</f>
        <v/>
      </c>
      <c r="H269" s="10" t="s">
        <v>11</v>
      </c>
      <c r="I269" s="11" t="s">
        <v>11</v>
      </c>
      <c r="J269" s="12"/>
    </row>
    <row r="270" spans="1:10" ht="60" customHeight="1">
      <c r="A270" s="6" t="s">
        <v>1028</v>
      </c>
      <c r="B270" s="6" t="s">
        <v>32</v>
      </c>
      <c r="C270" s="6" t="s">
        <v>11</v>
      </c>
      <c r="D270" s="7" t="s">
        <v>1029</v>
      </c>
      <c r="E270" s="8" t="s">
        <v>1030</v>
      </c>
      <c r="F270" s="6" t="s">
        <v>1031</v>
      </c>
      <c r="G270" s="9">
        <f>IF(A270=1,"_",IF(C270="_","???",C270))</f>
        <v/>
      </c>
      <c r="H270" s="10" t="s">
        <v>11</v>
      </c>
      <c r="I270" s="11" t="s">
        <v>11</v>
      </c>
      <c r="J270" s="12"/>
    </row>
    <row r="271" spans="1:10" ht="60" customHeight="1">
      <c r="A271" s="6" t="s">
        <v>1032</v>
      </c>
      <c r="B271" s="6" t="s">
        <v>24</v>
      </c>
      <c r="C271" s="6" t="s">
        <v>11</v>
      </c>
      <c r="D271" s="7" t="s">
        <v>1033</v>
      </c>
      <c r="E271" s="8" t="s">
        <v>1034</v>
      </c>
      <c r="F271" s="6" t="s">
        <v>1035</v>
      </c>
      <c r="G271" s="9">
        <f>IF(A271=1,"_",IF(C271="_","???",C271))</f>
        <v/>
      </c>
      <c r="H271" s="10" t="s">
        <v>11</v>
      </c>
      <c r="I271" s="11" t="s">
        <v>11</v>
      </c>
      <c r="J271" s="12"/>
    </row>
    <row r="272" spans="1:10" ht="60" customHeight="1">
      <c r="A272" s="6" t="s">
        <v>1036</v>
      </c>
      <c r="B272" s="6" t="s">
        <v>32</v>
      </c>
      <c r="C272" s="6" t="s">
        <v>11</v>
      </c>
      <c r="D272" s="7" t="s">
        <v>1037</v>
      </c>
      <c r="E272" s="8" t="s">
        <v>1038</v>
      </c>
      <c r="F272" s="6" t="s">
        <v>1039</v>
      </c>
      <c r="G272" s="9">
        <f>IF(A272=1,"_",IF(C272="_","???",C272))</f>
        <v/>
      </c>
      <c r="H272" s="10" t="s">
        <v>11</v>
      </c>
      <c r="I272" s="11" t="s">
        <v>11</v>
      </c>
      <c r="J272" s="12"/>
    </row>
    <row r="273" spans="1:10" ht="60" customHeight="1">
      <c r="A273" s="6" t="s">
        <v>1040</v>
      </c>
      <c r="B273" s="6" t="s">
        <v>40</v>
      </c>
      <c r="C273" s="6" t="s">
        <v>11</v>
      </c>
      <c r="D273" s="7" t="s">
        <v>1041</v>
      </c>
      <c r="E273" s="8" t="s">
        <v>1042</v>
      </c>
      <c r="F273" s="6" t="s">
        <v>1043</v>
      </c>
      <c r="G273" s="9">
        <f>IF(A273=1,"_",IF(C273="_","???",C273))</f>
        <v/>
      </c>
      <c r="H273" s="10" t="s">
        <v>11</v>
      </c>
      <c r="I273" s="11" t="s">
        <v>11</v>
      </c>
      <c r="J273" s="12"/>
    </row>
    <row r="274" spans="1:10" ht="60" customHeight="1">
      <c r="A274" s="6" t="s">
        <v>1044</v>
      </c>
      <c r="B274" s="6" t="s">
        <v>16</v>
      </c>
      <c r="C274" s="6" t="s">
        <v>11</v>
      </c>
      <c r="D274" s="7" t="s">
        <v>1045</v>
      </c>
      <c r="E274" s="8" t="s">
        <v>1046</v>
      </c>
      <c r="F274" s="6" t="s">
        <v>1047</v>
      </c>
      <c r="G274" s="9">
        <f>IF(A274=1,"_",IF(C274="_","???",C274))</f>
        <v/>
      </c>
      <c r="H274" s="10" t="s">
        <v>11</v>
      </c>
      <c r="I274" s="11" t="s">
        <v>11</v>
      </c>
      <c r="J274" s="12"/>
    </row>
    <row r="275" spans="1:10" ht="60" customHeight="1">
      <c r="A275" s="6" t="s">
        <v>1048</v>
      </c>
      <c r="B275" s="6" t="s">
        <v>16</v>
      </c>
      <c r="C275" s="6" t="s">
        <v>11</v>
      </c>
      <c r="D275" s="7" t="s">
        <v>366</v>
      </c>
      <c r="E275" s="8" t="s">
        <v>1049</v>
      </c>
      <c r="F275" s="6" t="s">
        <v>1050</v>
      </c>
      <c r="G275" s="9">
        <f>IF(A275=1,"_",IF(C275="_","???",C275))</f>
        <v/>
      </c>
      <c r="H275" s="10" t="s">
        <v>11</v>
      </c>
      <c r="I275" s="11" t="s">
        <v>11</v>
      </c>
      <c r="J275" s="12"/>
    </row>
    <row r="276" spans="1:10" ht="60" customHeight="1">
      <c r="A276" s="6" t="s">
        <v>1051</v>
      </c>
      <c r="B276" s="6" t="s">
        <v>32</v>
      </c>
      <c r="C276" s="6" t="s">
        <v>11</v>
      </c>
      <c r="D276" s="7" t="s">
        <v>439</v>
      </c>
      <c r="E276" s="8" t="s">
        <v>1052</v>
      </c>
      <c r="F276" s="6" t="s">
        <v>1053</v>
      </c>
      <c r="G276" s="9">
        <f>IF(A276=1,"_",IF(C276="_","???",C276))</f>
        <v/>
      </c>
      <c r="H276" s="10" t="s">
        <v>11</v>
      </c>
      <c r="I276" s="11" t="s">
        <v>11</v>
      </c>
      <c r="J276" s="12"/>
    </row>
    <row r="277" spans="1:10" ht="60" customHeight="1">
      <c r="A277" s="6" t="s">
        <v>1054</v>
      </c>
      <c r="B277" s="6" t="s">
        <v>24</v>
      </c>
      <c r="C277" s="6" t="s">
        <v>11</v>
      </c>
      <c r="D277" s="7" t="s">
        <v>1055</v>
      </c>
      <c r="E277" s="8" t="s">
        <v>1056</v>
      </c>
      <c r="F277" s="6" t="s">
        <v>1057</v>
      </c>
      <c r="G277" s="9">
        <f>IF(A277=1,"_",IF(C277="_","???",C277))</f>
        <v/>
      </c>
      <c r="H277" s="10" t="s">
        <v>11</v>
      </c>
      <c r="I277" s="11" t="s">
        <v>11</v>
      </c>
      <c r="J277" s="12"/>
    </row>
    <row r="278" spans="1:10" ht="60" customHeight="1">
      <c r="A278" s="6" t="s">
        <v>1058</v>
      </c>
      <c r="B278" s="6" t="s">
        <v>15</v>
      </c>
      <c r="C278" s="6" t="s">
        <v>11</v>
      </c>
      <c r="D278" s="7" t="s">
        <v>1059</v>
      </c>
      <c r="E278" s="8" t="s">
        <v>1060</v>
      </c>
      <c r="F278" s="6" t="s">
        <v>1061</v>
      </c>
      <c r="G278" s="9">
        <f>IF(A278=1,"_",IF(C278="_","???",C278))</f>
        <v/>
      </c>
      <c r="H278" s="10" t="s">
        <v>11</v>
      </c>
      <c r="I278" s="11" t="s">
        <v>11</v>
      </c>
      <c r="J278" s="12"/>
    </row>
    <row r="279" spans="1:10" ht="60" customHeight="1">
      <c r="A279" s="6" t="s">
        <v>1062</v>
      </c>
      <c r="B279" s="6" t="s">
        <v>15</v>
      </c>
      <c r="C279" s="6" t="s">
        <v>11</v>
      </c>
      <c r="D279" s="7" t="s">
        <v>1063</v>
      </c>
      <c r="E279" s="8" t="s">
        <v>1064</v>
      </c>
      <c r="F279" s="6" t="s">
        <v>1065</v>
      </c>
      <c r="G279" s="9">
        <f>IF(A279=1,"_",IF(C279="_","???",C279))</f>
        <v/>
      </c>
      <c r="H279" s="10" t="s">
        <v>11</v>
      </c>
      <c r="I279" s="11" t="s">
        <v>11</v>
      </c>
      <c r="J279" s="12"/>
    </row>
    <row r="280" spans="1:10" ht="60" customHeight="1">
      <c r="A280" s="6" t="s">
        <v>1066</v>
      </c>
      <c r="B280" s="6" t="s">
        <v>16</v>
      </c>
      <c r="C280" s="6" t="s">
        <v>11</v>
      </c>
      <c r="D280" s="7" t="s">
        <v>1067</v>
      </c>
      <c r="E280" s="8" t="s">
        <v>1068</v>
      </c>
      <c r="F280" s="6" t="s">
        <v>1069</v>
      </c>
      <c r="G280" s="9">
        <f>IF(A280=1,"_",IF(C280="_","???",C280))</f>
        <v/>
      </c>
      <c r="H280" s="10" t="s">
        <v>11</v>
      </c>
      <c r="I280" s="11" t="s">
        <v>11</v>
      </c>
      <c r="J280" s="12"/>
    </row>
    <row r="281" spans="1:10" ht="60" customHeight="1">
      <c r="A281" s="6" t="s">
        <v>1070</v>
      </c>
      <c r="B281" s="6" t="s">
        <v>16</v>
      </c>
      <c r="C281" s="6" t="s">
        <v>11</v>
      </c>
      <c r="D281" s="7" t="s">
        <v>239</v>
      </c>
      <c r="E281" s="8" t="s">
        <v>1071</v>
      </c>
      <c r="F281" s="6" t="s">
        <v>1072</v>
      </c>
      <c r="G281" s="9">
        <f>IF(A281=1,"_",IF(C281="_","???",C281))</f>
        <v/>
      </c>
      <c r="H281" s="10" t="s">
        <v>11</v>
      </c>
      <c r="I281" s="11" t="s">
        <v>11</v>
      </c>
      <c r="J281" s="12"/>
    </row>
    <row r="282" spans="1:10" ht="60" customHeight="1">
      <c r="A282" s="6" t="s">
        <v>1073</v>
      </c>
      <c r="B282" s="6" t="s">
        <v>16</v>
      </c>
      <c r="C282" s="6" t="s">
        <v>11</v>
      </c>
      <c r="D282" s="7" t="s">
        <v>1074</v>
      </c>
      <c r="E282" s="8" t="s">
        <v>1075</v>
      </c>
      <c r="F282" s="6" t="s">
        <v>1076</v>
      </c>
      <c r="G282" s="9">
        <f>IF(A282=1,"_",IF(C282="_","???",C282))</f>
        <v/>
      </c>
      <c r="H282" s="10" t="s">
        <v>11</v>
      </c>
      <c r="I282" s="11" t="s">
        <v>11</v>
      </c>
      <c r="J282" s="12"/>
    </row>
    <row r="283" spans="1:10" ht="60" customHeight="1">
      <c r="A283" s="6" t="s">
        <v>1077</v>
      </c>
      <c r="B283" s="6" t="s">
        <v>28</v>
      </c>
      <c r="C283" s="6" t="s">
        <v>11</v>
      </c>
      <c r="D283" s="7" t="s">
        <v>68</v>
      </c>
      <c r="E283" s="8" t="s">
        <v>1078</v>
      </c>
      <c r="F283" s="6" t="s">
        <v>1079</v>
      </c>
      <c r="G283" s="9">
        <f>IF(A283=1,"_",IF(C283="_","???",C283))</f>
        <v/>
      </c>
      <c r="H283" s="10" t="s">
        <v>11</v>
      </c>
      <c r="I283" s="11" t="s">
        <v>11</v>
      </c>
      <c r="J283" s="12"/>
    </row>
    <row r="284" spans="1:10" ht="60" customHeight="1">
      <c r="A284" s="6" t="s">
        <v>1080</v>
      </c>
      <c r="B284" s="6" t="s">
        <v>52</v>
      </c>
      <c r="C284" s="6" t="s">
        <v>11</v>
      </c>
      <c r="D284" s="7" t="s">
        <v>1081</v>
      </c>
      <c r="E284" s="8" t="s">
        <v>1082</v>
      </c>
      <c r="F284" s="6" t="s">
        <v>1083</v>
      </c>
      <c r="G284" s="9">
        <f>IF(A284=1,"_",IF(C284="_","???",C284))</f>
        <v/>
      </c>
      <c r="H284" s="10" t="s">
        <v>11</v>
      </c>
      <c r="I284" s="11" t="s">
        <v>11</v>
      </c>
      <c r="J284" s="12"/>
    </row>
    <row r="285" spans="1:10" ht="60" customHeight="1">
      <c r="A285" s="6" t="s">
        <v>1084</v>
      </c>
      <c r="B285" s="6" t="s">
        <v>24</v>
      </c>
      <c r="C285" s="6" t="s">
        <v>11</v>
      </c>
      <c r="D285" s="7" t="s">
        <v>1085</v>
      </c>
      <c r="E285" s="8" t="s">
        <v>1086</v>
      </c>
      <c r="F285" s="6" t="s">
        <v>1087</v>
      </c>
      <c r="G285" s="9">
        <f>IF(A285=1,"_",IF(C285="_","???",C285))</f>
        <v/>
      </c>
      <c r="H285" s="10" t="s">
        <v>11</v>
      </c>
      <c r="I285" s="11" t="s">
        <v>11</v>
      </c>
      <c r="J28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58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1088</v>
      </c>
      <c r="B1" s="13" t="s">
        <v>1089</v>
      </c>
      <c r="C1" s="13" t="s">
        <v>1090</v>
      </c>
      <c r="D1" s="13" t="s">
        <v>1091</v>
      </c>
      <c r="E1" s="14" t="s">
        <v>1092</v>
      </c>
      <c r="F1" s="15" t="s">
        <v>1093</v>
      </c>
      <c r="G1" s="16" t="s">
        <v>1094</v>
      </c>
      <c r="H1" s="17" t="s">
        <v>1095</v>
      </c>
      <c r="I1" s="18" t="s">
        <v>1096</v>
      </c>
      <c r="J1" s="18" t="s">
        <v>1097</v>
      </c>
      <c r="K1" s="18" t="s">
        <v>1098</v>
      </c>
      <c r="L1" s="19" t="s">
        <v>9</v>
      </c>
    </row>
    <row r="2" spans="1:12">
      <c r="A2" s="20" t="s">
        <v>1099</v>
      </c>
    </row>
    <row r="3" spans="1:12">
      <c r="A3" s="20" t="s">
        <v>1100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1101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1102</v>
      </c>
      <c r="B5" s="27" t="s">
        <v>1103</v>
      </c>
      <c r="C5" s="27" t="s">
        <v>1104</v>
      </c>
      <c r="D5" s="27" t="s">
        <v>1105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1106</v>
      </c>
      <c r="B6" s="27" t="s">
        <v>1107</v>
      </c>
      <c r="C6" s="27" t="s">
        <v>1108</v>
      </c>
      <c r="D6" s="27" t="s">
        <v>1105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1109</v>
      </c>
      <c r="B7" s="27" t="s">
        <v>1110</v>
      </c>
      <c r="C7" s="27" t="s">
        <v>1108</v>
      </c>
      <c r="D7" s="27" t="s">
        <v>1105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1111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1112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1113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1114</v>
      </c>
      <c r="B11" s="27" t="s">
        <v>1115</v>
      </c>
      <c r="C11" s="27" t="s">
        <v>1116</v>
      </c>
      <c r="D11" s="27" t="s">
        <v>1105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1117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1118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1119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1111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1120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1121</v>
      </c>
      <c r="B17" s="27" t="s">
        <v>1122</v>
      </c>
      <c r="C17" s="27" t="s">
        <v>1116</v>
      </c>
      <c r="D17" s="27" t="s">
        <v>1105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1123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135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1124</v>
      </c>
      <c r="B20" s="27" t="s">
        <v>1125</v>
      </c>
      <c r="C20" s="27" t="s">
        <v>1126</v>
      </c>
      <c r="D20" s="27" t="s">
        <v>1105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1127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1128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1129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1130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1131</v>
      </c>
      <c r="B25" s="27" t="s">
        <v>1132</v>
      </c>
      <c r="C25" s="27" t="s">
        <v>1133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1134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1135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1136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1137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1138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1139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1140</v>
      </c>
      <c r="B32" s="27" t="s">
        <v>1141</v>
      </c>
      <c r="C32" s="27" t="s">
        <v>1142</v>
      </c>
      <c r="D32" s="27" t="s">
        <v>1105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1143</v>
      </c>
      <c r="B33" s="27" t="s">
        <v>1144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1145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/>
    </row>
    <row r="36" spans="1:12">
      <c r="A36" s="20" t="s">
        <v>1146</v>
      </c>
    </row>
    <row r="37" spans="1:12">
      <c r="A37" s="20" t="s">
        <v>1147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1148</v>
      </c>
      <c r="B38" s="27" t="s">
        <v>1149</v>
      </c>
      <c r="C38" s="27" t="s">
        <v>1116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1150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1151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1152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1153</v>
      </c>
      <c r="B42" s="27" t="s">
        <v>1103</v>
      </c>
      <c r="C42" s="27" t="s">
        <v>1104</v>
      </c>
      <c r="D42" s="27" t="s">
        <v>1105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1154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1155</v>
      </c>
      <c r="B44" s="27" t="s">
        <v>1107</v>
      </c>
      <c r="C44" s="27" t="s">
        <v>1156</v>
      </c>
      <c r="D44" s="27" t="s">
        <v>1105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1123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1157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1158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1159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1128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1160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1140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1161</v>
      </c>
      <c r="B52" s="27" t="s">
        <v>1162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1123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1151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1163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1164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1123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1134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1165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1166</v>
      </c>
      <c r="B60" s="27" t="s">
        <v>1167</v>
      </c>
      <c r="C60" s="27" t="s">
        <v>1126</v>
      </c>
      <c r="D60" s="27" t="s">
        <v>1105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1168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1169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1170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1145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/>
    </row>
    <row r="66" spans="1:12">
      <c r="A66" s="20" t="s">
        <v>1171</v>
      </c>
    </row>
    <row r="67" spans="1:12">
      <c r="A67" s="20" t="s">
        <v>1172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1173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1121</v>
      </c>
      <c r="B69" s="27" t="s">
        <v>1107</v>
      </c>
      <c r="C69" s="27" t="s">
        <v>1116</v>
      </c>
      <c r="D69" s="27" t="s">
        <v>1105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1129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1120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1123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1174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1175</v>
      </c>
      <c r="B74" s="27" t="s">
        <v>1149</v>
      </c>
      <c r="C74" s="27" t="s">
        <v>1156</v>
      </c>
      <c r="D74" s="27" t="s">
        <v>1105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1176</v>
      </c>
      <c r="B75" s="27" t="s">
        <v>1107</v>
      </c>
      <c r="C75" s="27" t="s">
        <v>1104</v>
      </c>
      <c r="D75" s="27" t="s">
        <v>1105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1106</v>
      </c>
      <c r="B76" s="27" t="s">
        <v>1110</v>
      </c>
      <c r="C76" s="27" t="s">
        <v>1108</v>
      </c>
      <c r="D76" s="27" t="s">
        <v>1105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1109</v>
      </c>
      <c r="B77" s="27" t="s">
        <v>1132</v>
      </c>
      <c r="C77" s="27" t="s">
        <v>1108</v>
      </c>
      <c r="D77" s="27" t="s">
        <v>1105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1177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1178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1179</v>
      </c>
      <c r="B80" s="27" t="s">
        <v>1103</v>
      </c>
      <c r="C80" s="27" t="s">
        <v>1156</v>
      </c>
      <c r="D80" s="27" t="s">
        <v>1105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1180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1123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1181</v>
      </c>
      <c r="B83" s="27" t="s">
        <v>1125</v>
      </c>
      <c r="C83" s="27" t="s">
        <v>1133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1182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1130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1183</v>
      </c>
      <c r="B86" s="27" t="s">
        <v>1132</v>
      </c>
      <c r="C86" s="27" t="s">
        <v>1126</v>
      </c>
      <c r="D86" s="27" t="s">
        <v>1105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1184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1185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1186</v>
      </c>
      <c r="B89" s="27" t="s">
        <v>1141</v>
      </c>
      <c r="C89" s="27" t="s">
        <v>1126</v>
      </c>
      <c r="D89" s="27" t="s">
        <v>1105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1187</v>
      </c>
      <c r="B90" s="27" t="s">
        <v>1132</v>
      </c>
      <c r="C90" s="27" t="s">
        <v>1104</v>
      </c>
      <c r="D90" s="27" t="s">
        <v>1105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1188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1189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1145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/>
    </row>
    <row r="95" spans="1:12">
      <c r="A95" s="20" t="s">
        <v>1190</v>
      </c>
    </row>
    <row r="96" spans="1:12">
      <c r="A96" s="20" t="s">
        <v>1191</v>
      </c>
      <c r="B96" s="27" t="s">
        <v>1149</v>
      </c>
      <c r="C96" s="27" t="s">
        <v>1126</v>
      </c>
      <c r="D96" s="27" t="s">
        <v>1105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1192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1193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1194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1195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1196</v>
      </c>
      <c r="B101" s="27" t="s">
        <v>1103</v>
      </c>
      <c r="C101" s="27" t="s">
        <v>1126</v>
      </c>
      <c r="D101" s="27" t="s">
        <v>1105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1123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1197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1121</v>
      </c>
      <c r="B104" s="27" t="s">
        <v>1103</v>
      </c>
      <c r="C104" s="27" t="s">
        <v>1116</v>
      </c>
      <c r="D104" s="27" t="s">
        <v>1105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1123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135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1198</v>
      </c>
      <c r="B107" s="27" t="s">
        <v>1115</v>
      </c>
      <c r="C107" s="27" t="s">
        <v>1126</v>
      </c>
      <c r="D107" s="27" t="s">
        <v>1105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1199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1200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1201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1114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1202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1203</v>
      </c>
      <c r="B113" s="27" t="s">
        <v>1132</v>
      </c>
      <c r="C113" s="27" t="s">
        <v>1156</v>
      </c>
      <c r="D113" s="27" t="s">
        <v>1105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1184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1204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1123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1205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1206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1207</v>
      </c>
      <c r="B119" s="27" t="s">
        <v>1141</v>
      </c>
      <c r="C119" s="27" t="s">
        <v>1142</v>
      </c>
      <c r="D119" s="27" t="s">
        <v>1105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1208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1209</v>
      </c>
      <c r="B121" s="27" t="s">
        <v>1144</v>
      </c>
      <c r="C121" s="27" t="s">
        <v>1210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1145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/>
    </row>
    <row r="124" spans="1:12">
      <c r="A124" s="20" t="s">
        <v>1211</v>
      </c>
    </row>
    <row r="125" spans="1:12">
      <c r="A125" s="20" t="s">
        <v>1212</v>
      </c>
      <c r="B125" s="27" t="s">
        <v>1213</v>
      </c>
      <c r="C125" s="27" t="s">
        <v>1126</v>
      </c>
      <c r="D125" s="27" t="s">
        <v>1105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1214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1215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1216</v>
      </c>
      <c r="B128" s="27" t="s">
        <v>1213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1123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1217</v>
      </c>
      <c r="B130" s="27" t="s">
        <v>1122</v>
      </c>
      <c r="C130" s="27" t="s">
        <v>1126</v>
      </c>
      <c r="D130" s="27" t="s">
        <v>1105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1218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1219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1220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1221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1123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1222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1223</v>
      </c>
      <c r="B137" s="27" t="s">
        <v>1115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1123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1224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1225</v>
      </c>
      <c r="B140" s="27" t="s">
        <v>1122</v>
      </c>
      <c r="C140" s="27" t="s">
        <v>1108</v>
      </c>
      <c r="D140" s="27" t="s">
        <v>1105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1226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1227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1123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1128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1228</v>
      </c>
      <c r="B145" s="27" t="s">
        <v>1122</v>
      </c>
      <c r="C145" s="27" t="s">
        <v>1126</v>
      </c>
      <c r="D145" s="27" t="s">
        <v>1105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1229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1113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1230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1231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1186</v>
      </c>
      <c r="B150" s="27" t="s">
        <v>1132</v>
      </c>
      <c r="C150" s="27" t="s">
        <v>1142</v>
      </c>
      <c r="D150" s="27" t="s">
        <v>1105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1232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1145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/>
    </row>
    <row r="154" spans="1:12">
      <c r="A154" s="20" t="s">
        <v>1233</v>
      </c>
    </row>
    <row r="155" spans="1:12">
      <c r="A155" s="20" t="s">
        <v>1234</v>
      </c>
      <c r="B155" s="27" t="s">
        <v>1107</v>
      </c>
      <c r="C155" s="27" t="s">
        <v>1142</v>
      </c>
      <c r="D155" s="27" t="s">
        <v>1105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1235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1236</v>
      </c>
      <c r="B157" s="27" t="s">
        <v>1149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1237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1139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1238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1123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1239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1240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1184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1241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1242</v>
      </c>
      <c r="B166" s="27" t="s">
        <v>1243</v>
      </c>
      <c r="C166" s="27" t="s">
        <v>1126</v>
      </c>
      <c r="D166" s="27" t="s">
        <v>1105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1244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1245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1246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1123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1128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1123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1247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1184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1248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1123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1249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1250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1251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1123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1252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1253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1254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1255</v>
      </c>
      <c r="B184" s="27" t="s">
        <v>1110</v>
      </c>
      <c r="C184" s="27" t="s">
        <v>1210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1256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1257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1123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1228</v>
      </c>
      <c r="B188" s="27" t="s">
        <v>1122</v>
      </c>
      <c r="C188" s="27" t="s">
        <v>1126</v>
      </c>
      <c r="D188" s="27" t="s">
        <v>1105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1258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1123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135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1217</v>
      </c>
      <c r="B192" s="27" t="s">
        <v>1259</v>
      </c>
      <c r="C192" s="27" t="s">
        <v>1126</v>
      </c>
      <c r="D192" s="27" t="s">
        <v>1105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1260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1261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1249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1262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1145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/>
    </row>
    <row r="199" spans="1:12">
      <c r="A199" s="20" t="s">
        <v>1263</v>
      </c>
    </row>
    <row r="200" spans="1:12">
      <c r="A200" s="20" t="s">
        <v>1264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37</v>
      </c>
      <c r="B201" s="27" t="s">
        <v>1103</v>
      </c>
      <c r="C201" s="27" t="s">
        <v>1210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1265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1123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1266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1267</v>
      </c>
      <c r="B205" s="27" t="s">
        <v>1122</v>
      </c>
      <c r="C205" s="27" t="s">
        <v>1210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1268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1269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1270</v>
      </c>
      <c r="B208" s="27" t="s">
        <v>1243</v>
      </c>
      <c r="C208" s="27" t="s">
        <v>1126</v>
      </c>
      <c r="D208" s="27" t="s">
        <v>1105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1271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1272</v>
      </c>
      <c r="B210" s="27" t="s">
        <v>1107</v>
      </c>
      <c r="C210" s="27" t="s">
        <v>1104</v>
      </c>
      <c r="D210" s="27" t="s">
        <v>1105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1273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1274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1275</v>
      </c>
      <c r="B213" s="27" t="s">
        <v>1110</v>
      </c>
      <c r="C213" s="27" t="s">
        <v>1156</v>
      </c>
      <c r="D213" s="27" t="s">
        <v>1105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1145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/>
    </row>
    <row r="216" spans="1:12">
      <c r="A216" s="20" t="s">
        <v>1276</v>
      </c>
    </row>
    <row r="217" spans="1:12">
      <c r="A217" s="20" t="s">
        <v>1277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1278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1279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1123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1280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1184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1281</v>
      </c>
      <c r="B223" s="27" t="s">
        <v>1132</v>
      </c>
      <c r="C223" s="27" t="s">
        <v>1108</v>
      </c>
      <c r="D223" s="27" t="s">
        <v>1105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1123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883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1120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239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1231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1282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1123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1128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1217</v>
      </c>
      <c r="B232" s="27" t="s">
        <v>1122</v>
      </c>
      <c r="C232" s="27" t="s">
        <v>1126</v>
      </c>
      <c r="D232" s="27" t="s">
        <v>1105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1123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1283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1249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1206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1284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1285</v>
      </c>
      <c r="B238" s="27" t="s">
        <v>1107</v>
      </c>
      <c r="C238" s="27" t="s">
        <v>1210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1123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1286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1231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1287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1288</v>
      </c>
      <c r="B243" s="27" t="s">
        <v>1107</v>
      </c>
      <c r="C243" s="27" t="s">
        <v>1289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1145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/>
    </row>
    <row r="246" spans="1:12">
      <c r="A246" s="20" t="s">
        <v>1290</v>
      </c>
    </row>
    <row r="247" spans="1:12">
      <c r="A247" s="20" t="s">
        <v>1191</v>
      </c>
      <c r="B247" s="27" t="s">
        <v>1149</v>
      </c>
      <c r="C247" s="27" t="s">
        <v>1126</v>
      </c>
      <c r="D247" s="27" t="s">
        <v>1105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1291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1292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1123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1293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1184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1294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1195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1257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1295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1296</v>
      </c>
      <c r="B257" s="27" t="s">
        <v>1122</v>
      </c>
      <c r="C257" s="27" t="s">
        <v>1104</v>
      </c>
      <c r="D257" s="27" t="s">
        <v>1105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1297</v>
      </c>
      <c r="B258" s="27" t="s">
        <v>1110</v>
      </c>
      <c r="C258" s="27" t="s">
        <v>1108</v>
      </c>
      <c r="D258" s="27" t="s">
        <v>1105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1123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1195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1298</v>
      </c>
      <c r="B261" s="27" t="s">
        <v>1132</v>
      </c>
      <c r="C261" s="27" t="s">
        <v>1133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1299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1300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11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1301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1302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1139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1303</v>
      </c>
      <c r="B268" s="27" t="s">
        <v>1141</v>
      </c>
      <c r="C268" s="27" t="s">
        <v>1108</v>
      </c>
      <c r="D268" s="27" t="s">
        <v>1105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11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1304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1128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1139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1305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1306</v>
      </c>
      <c r="B274" s="27" t="s">
        <v>1307</v>
      </c>
      <c r="C274" s="27" t="s">
        <v>1156</v>
      </c>
      <c r="D274" s="27" t="s">
        <v>1105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1123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228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1308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1309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1310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1311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1312</v>
      </c>
      <c r="B281" s="27" t="s">
        <v>1313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1314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1145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/>
    </row>
    <row r="285" spans="1:12">
      <c r="A285" s="20" t="s">
        <v>1315</v>
      </c>
    </row>
    <row r="286" spans="1:12">
      <c r="A286" s="20" t="s">
        <v>1316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1317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1318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1319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1123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1217</v>
      </c>
      <c r="B291" s="27" t="s">
        <v>1149</v>
      </c>
      <c r="C291" s="27" t="s">
        <v>1126</v>
      </c>
      <c r="D291" s="27" t="s">
        <v>1105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1320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1271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1321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1184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1322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1323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1123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1324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1130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1325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1123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1326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1186</v>
      </c>
      <c r="B304" s="27" t="s">
        <v>1243</v>
      </c>
      <c r="C304" s="27" t="s">
        <v>1126</v>
      </c>
      <c r="D304" s="27" t="s">
        <v>1105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1327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1184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1281</v>
      </c>
      <c r="B307" s="27" t="s">
        <v>1107</v>
      </c>
      <c r="C307" s="27" t="s">
        <v>1108</v>
      </c>
      <c r="D307" s="27" t="s">
        <v>1105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1123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1224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1328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1329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1253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1330</v>
      </c>
      <c r="B313" s="27" t="s">
        <v>1107</v>
      </c>
      <c r="C313" s="27" t="s">
        <v>1104</v>
      </c>
      <c r="D313" s="27" t="s">
        <v>1105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1271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95</v>
      </c>
      <c r="B315" s="27" t="s">
        <v>1110</v>
      </c>
      <c r="C315" s="27" t="s">
        <v>1108</v>
      </c>
      <c r="D315" s="27" t="s">
        <v>1105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1145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/>
    </row>
    <row r="318" spans="1:12">
      <c r="A318" s="20" t="s">
        <v>1331</v>
      </c>
    </row>
    <row r="319" spans="1:12">
      <c r="A319" s="20" t="s">
        <v>1111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1332</v>
      </c>
      <c r="B320" s="27" t="s">
        <v>1149</v>
      </c>
      <c r="C320" s="27" t="s">
        <v>1126</v>
      </c>
      <c r="D320" s="27" t="s">
        <v>1105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1130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1333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1123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727</v>
      </c>
      <c r="B324" s="27" t="s">
        <v>1103</v>
      </c>
      <c r="C324" s="27" t="s">
        <v>1108</v>
      </c>
      <c r="D324" s="27" t="s">
        <v>1105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1334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/>
    </row>
    <row r="327" spans="1:12">
      <c r="A327" s="20" t="s">
        <v>1335</v>
      </c>
    </row>
    <row r="328" spans="1:12">
      <c r="A328" s="20" t="s">
        <v>1336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1337</v>
      </c>
      <c r="B329" s="27" t="s">
        <v>1149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1338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1339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1111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1340</v>
      </c>
      <c r="B333" s="27" t="s">
        <v>1259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1249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1198</v>
      </c>
      <c r="B335" s="27" t="s">
        <v>1132</v>
      </c>
      <c r="C335" s="27" t="s">
        <v>1126</v>
      </c>
      <c r="D335" s="27" t="s">
        <v>1105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1341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1123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1342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1123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1128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1343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1344</v>
      </c>
      <c r="B342" s="27" t="s">
        <v>1122</v>
      </c>
      <c r="C342" s="27" t="s">
        <v>1104</v>
      </c>
      <c r="D342" s="27" t="s">
        <v>1105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1318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1345</v>
      </c>
      <c r="B344" s="27" t="s">
        <v>1110</v>
      </c>
      <c r="C344" s="27" t="s">
        <v>1126</v>
      </c>
      <c r="D344" s="27" t="s">
        <v>1105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1346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1123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1224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1347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1346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1343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1344</v>
      </c>
      <c r="B351" s="27" t="s">
        <v>1259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1123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1342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1123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1124</v>
      </c>
      <c r="B355" s="27" t="s">
        <v>1259</v>
      </c>
      <c r="C355" s="27" t="s">
        <v>1126</v>
      </c>
      <c r="D355" s="27" t="s">
        <v>1105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1134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1348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1145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/>
    </row>
    <row r="360" spans="1:12">
      <c r="A360" s="20" t="s">
        <v>1349</v>
      </c>
    </row>
    <row r="361" spans="1:12">
      <c r="A361" s="20" t="s">
        <v>1111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1350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1128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60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1351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/>
    </row>
    <row r="367" spans="1:12">
      <c r="A367" s="20" t="s">
        <v>1352</v>
      </c>
    </row>
    <row r="368" spans="1:12">
      <c r="A368" s="20" t="s">
        <v>1353</v>
      </c>
      <c r="B368" s="27" t="s">
        <v>1149</v>
      </c>
      <c r="C368" s="27" t="s">
        <v>1126</v>
      </c>
      <c r="D368" s="27" t="s">
        <v>1105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1130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1354</v>
      </c>
      <c r="B370" s="27" t="s">
        <v>1103</v>
      </c>
      <c r="C370" s="27" t="s">
        <v>1108</v>
      </c>
      <c r="D370" s="27" t="s">
        <v>1105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1355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1356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1357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1358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1359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1145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/>
    </row>
    <row r="378" spans="1:12">
      <c r="A378" s="20" t="s">
        <v>1360</v>
      </c>
    </row>
    <row r="379" spans="1:12">
      <c r="A379" s="20" t="s">
        <v>1111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1191</v>
      </c>
      <c r="B380" s="27" t="s">
        <v>1149</v>
      </c>
      <c r="C380" s="27" t="s">
        <v>1126</v>
      </c>
      <c r="D380" s="27" t="s">
        <v>1105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1361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1123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1362</v>
      </c>
      <c r="B383" s="27" t="s">
        <v>1122</v>
      </c>
      <c r="C383" s="27" t="s">
        <v>1126</v>
      </c>
      <c r="D383" s="27" t="s">
        <v>1105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1363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1364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1365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1123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1366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1225</v>
      </c>
      <c r="B389" s="27" t="s">
        <v>1107</v>
      </c>
      <c r="C389" s="27" t="s">
        <v>1108</v>
      </c>
      <c r="D389" s="27" t="s">
        <v>1105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1145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/>
    </row>
    <row r="392" spans="1:12">
      <c r="A392" s="20" t="s">
        <v>1367</v>
      </c>
    </row>
    <row r="393" spans="1:12">
      <c r="A393" s="20" t="s">
        <v>1368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135</v>
      </c>
      <c r="B394" s="27" t="s">
        <v>1149</v>
      </c>
      <c r="C394" s="27" t="s">
        <v>1133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1195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1270</v>
      </c>
      <c r="B396" s="27" t="s">
        <v>1103</v>
      </c>
      <c r="C396" s="27" t="s">
        <v>1126</v>
      </c>
      <c r="D396" s="27" t="s">
        <v>1105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1369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1370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1184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1371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1372</v>
      </c>
      <c r="B401" s="27" t="s">
        <v>1103</v>
      </c>
      <c r="C401" s="27" t="s">
        <v>1156</v>
      </c>
      <c r="D401" s="27" t="s">
        <v>1105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1334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/>
    </row>
    <row r="404" spans="1:12">
      <c r="A404" s="20" t="s">
        <v>1373</v>
      </c>
    </row>
    <row r="405" spans="1:12">
      <c r="A405" s="20" t="s">
        <v>1111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1374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1375</v>
      </c>
      <c r="B407" s="27" t="s">
        <v>1149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1145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/>
    </row>
    <row r="410" spans="1:12">
      <c r="A410" s="20" t="s">
        <v>1376</v>
      </c>
    </row>
    <row r="411" spans="1:12">
      <c r="A411" s="20" t="s">
        <v>1377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79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1145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/>
    </row>
    <row r="415" spans="1:12">
      <c r="A415" s="20" t="s">
        <v>1378</v>
      </c>
    </row>
    <row r="416" spans="1:12">
      <c r="A416" s="20" t="s">
        <v>1111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1379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1123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1306</v>
      </c>
      <c r="B419" s="27" t="s">
        <v>1149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115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1134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1364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1380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1351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/>
    </row>
    <row r="426" spans="1:12">
      <c r="A426" s="20" t="s">
        <v>1381</v>
      </c>
    </row>
    <row r="427" spans="1:12">
      <c r="A427" s="20" t="s">
        <v>1111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1382</v>
      </c>
      <c r="B428" s="27" t="s">
        <v>1149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1383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1384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1123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1385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1249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1386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1387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1388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1128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263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1123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1389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1390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1391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1392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1393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1145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/>
    </row>
    <row r="447" spans="1:12">
      <c r="A447" s="20" t="s">
        <v>1394</v>
      </c>
    </row>
    <row r="448" spans="1:12">
      <c r="A448" s="20" t="s">
        <v>1111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1368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1395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1396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1397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1398</v>
      </c>
      <c r="B453" s="27" t="s">
        <v>1149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1145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/>
    </row>
    <row r="456" spans="1:12">
      <c r="A456" s="20" t="s">
        <v>1399</v>
      </c>
    </row>
    <row r="457" spans="1:12">
      <c r="A457" s="20" t="s">
        <v>1111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1400</v>
      </c>
      <c r="B458" s="27" t="s">
        <v>1149</v>
      </c>
      <c r="C458" s="27" t="s">
        <v>1116</v>
      </c>
      <c r="D458" s="27" t="s">
        <v>1105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95</v>
      </c>
      <c r="B459" s="27" t="s">
        <v>1103</v>
      </c>
      <c r="C459" s="27" t="s">
        <v>1108</v>
      </c>
      <c r="D459" s="27" t="s">
        <v>1105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1111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1401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1402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1403</v>
      </c>
      <c r="B463" s="27" t="s">
        <v>1110</v>
      </c>
      <c r="C463" s="27" t="s">
        <v>1142</v>
      </c>
      <c r="D463" s="27" t="s">
        <v>1105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1404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1145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/>
    </row>
    <row r="467" spans="1:12">
      <c r="A467" s="20" t="s">
        <v>1405</v>
      </c>
    </row>
    <row r="468" spans="1:12">
      <c r="A468" s="20" t="s">
        <v>1406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1407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1408</v>
      </c>
      <c r="B470" s="27" t="s">
        <v>1213</v>
      </c>
      <c r="C470" s="27" t="s">
        <v>1126</v>
      </c>
      <c r="D470" s="27" t="s">
        <v>1105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1409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1239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1117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1410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1128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239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1411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1145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/>
    </row>
    <row r="480" spans="1:12">
      <c r="A480" s="20" t="s">
        <v>1412</v>
      </c>
    </row>
    <row r="481" spans="1:12">
      <c r="A481" s="20" t="s">
        <v>1353</v>
      </c>
      <c r="B481" s="27" t="s">
        <v>1149</v>
      </c>
      <c r="C481" s="27" t="s">
        <v>1126</v>
      </c>
      <c r="D481" s="27" t="s">
        <v>1105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1413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1414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1253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1415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1123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1416</v>
      </c>
      <c r="B487" s="27" t="s">
        <v>1259</v>
      </c>
      <c r="C487" s="27" t="s">
        <v>1133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1417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1271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1418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1123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1197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1419</v>
      </c>
      <c r="B493" s="27" t="s">
        <v>1132</v>
      </c>
      <c r="C493" s="27" t="s">
        <v>1210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1201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1420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1195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1421</v>
      </c>
      <c r="B497" s="27" t="s">
        <v>1132</v>
      </c>
      <c r="C497" s="27" t="s">
        <v>1126</v>
      </c>
      <c r="D497" s="27" t="s">
        <v>1105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1225</v>
      </c>
      <c r="B498" s="27" t="s">
        <v>1125</v>
      </c>
      <c r="C498" s="27" t="s">
        <v>1108</v>
      </c>
      <c r="D498" s="27" t="s">
        <v>1105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1422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1145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/>
    </row>
    <row r="502" spans="1:12">
      <c r="A502" s="20" t="s">
        <v>1423</v>
      </c>
    </row>
    <row r="503" spans="1:12">
      <c r="A503" s="20" t="s">
        <v>1111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1424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1134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107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1123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1111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1425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1124</v>
      </c>
      <c r="B510" s="27" t="s">
        <v>1122</v>
      </c>
      <c r="C510" s="27" t="s">
        <v>1126</v>
      </c>
      <c r="D510" s="27" t="s">
        <v>1105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1145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/>
    </row>
    <row r="513" spans="1:12">
      <c r="A513" s="20" t="s">
        <v>1426</v>
      </c>
    </row>
    <row r="514" spans="1:12">
      <c r="A514" s="20" t="s">
        <v>1111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1350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1427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1428</v>
      </c>
      <c r="B517" s="27" t="s">
        <v>1149</v>
      </c>
      <c r="C517" s="27" t="s">
        <v>1156</v>
      </c>
      <c r="D517" s="27" t="s">
        <v>1105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1429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1242</v>
      </c>
      <c r="B519" s="27" t="s">
        <v>1213</v>
      </c>
      <c r="C519" s="27" t="s">
        <v>1126</v>
      </c>
      <c r="D519" s="27" t="s">
        <v>1105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1430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1431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1145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/>
    </row>
    <row r="524" spans="1:12">
      <c r="A524" s="20" t="s">
        <v>1432</v>
      </c>
    </row>
    <row r="525" spans="1:12">
      <c r="A525" s="20" t="s">
        <v>1111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1433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1128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1434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79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1334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/>
    </row>
    <row r="532" spans="1:12">
      <c r="A532" s="20" t="s">
        <v>1435</v>
      </c>
    </row>
    <row r="533" spans="1:12">
      <c r="A533" s="20" t="s">
        <v>1111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1436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1123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1437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1438</v>
      </c>
      <c r="B537" s="27" t="s">
        <v>1213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1145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/>
    </row>
    <row r="540" spans="1:12">
      <c r="A540" s="20" t="s">
        <v>1439</v>
      </c>
    </row>
    <row r="541" spans="1:12">
      <c r="A541" s="20" t="s">
        <v>1440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396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1441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1123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727</v>
      </c>
      <c r="B545" s="27" t="s">
        <v>1149</v>
      </c>
      <c r="C545" s="27" t="s">
        <v>1108</v>
      </c>
      <c r="D545" s="27" t="s">
        <v>1105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1145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/>
    </row>
    <row r="548" spans="1:12">
      <c r="A548" s="20" t="s">
        <v>1442</v>
      </c>
    </row>
    <row r="549" spans="1:12">
      <c r="A549" s="20" t="s">
        <v>1443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1123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1444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1362</v>
      </c>
      <c r="B552" s="27" t="s">
        <v>1122</v>
      </c>
      <c r="C552" s="27" t="s">
        <v>1126</v>
      </c>
      <c r="D552" s="27" t="s">
        <v>1105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1445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1184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1446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1334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/>
    </row>
    <row r="558" spans="1:12">
      <c r="A558" s="20" t="s">
        <v>1447</v>
      </c>
    </row>
    <row r="559" spans="1:12">
      <c r="A559" s="20" t="s">
        <v>1448</v>
      </c>
      <c r="B559" s="27" t="s">
        <v>1149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1449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1450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1334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/>
    </row>
    <row r="564" spans="1:12">
      <c r="A564" s="20" t="s">
        <v>1451</v>
      </c>
    </row>
    <row r="565" spans="1:12">
      <c r="A565" s="20" t="s">
        <v>1452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1453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1454</v>
      </c>
      <c r="B567" s="27" t="s">
        <v>1149</v>
      </c>
      <c r="C567" s="27" t="s">
        <v>1156</v>
      </c>
      <c r="D567" s="27" t="s">
        <v>1105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1130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1455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1111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135</v>
      </c>
      <c r="B571" s="27" t="s">
        <v>1103</v>
      </c>
      <c r="C571" s="27" t="s">
        <v>1133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1114</v>
      </c>
      <c r="B572" s="27" t="s">
        <v>1149</v>
      </c>
      <c r="C572" s="27" t="s">
        <v>1116</v>
      </c>
      <c r="D572" s="27" t="s">
        <v>1105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1334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/>
    </row>
    <row r="575" spans="1:12">
      <c r="A575" s="20" t="s">
        <v>1456</v>
      </c>
    </row>
    <row r="576" spans="1:12">
      <c r="A576" s="20" t="s">
        <v>1111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1457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1123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139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1145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/>
    </row>
    <row r="582" spans="1:12">
      <c r="A582" s="20" t="s">
        <v>1458</v>
      </c>
    </row>
    <row r="583" spans="1:12">
      <c r="A583" s="20" t="s">
        <v>1111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1368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1459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1123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1460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1461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1334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/>
    </row>
    <row r="591" spans="1:12">
      <c r="A591" s="20" t="s">
        <v>1462</v>
      </c>
    </row>
    <row r="592" spans="1:12">
      <c r="A592" s="20" t="s">
        <v>1111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1400</v>
      </c>
      <c r="B593" s="27" t="s">
        <v>1149</v>
      </c>
      <c r="C593" s="27" t="s">
        <v>1116</v>
      </c>
      <c r="D593" s="27" t="s">
        <v>1105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1463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1145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/>
    </row>
    <row r="597" spans="1:12">
      <c r="A597" s="20" t="s">
        <v>1464</v>
      </c>
    </row>
    <row r="598" spans="1:12">
      <c r="A598" s="20" t="s">
        <v>1111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1465</v>
      </c>
      <c r="B599" s="27" t="s">
        <v>1149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1466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1145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/>
    </row>
    <row r="603" spans="1:12">
      <c r="A603" s="20" t="s">
        <v>1467</v>
      </c>
    </row>
    <row r="604" spans="1:12">
      <c r="A604" s="20" t="s">
        <v>1332</v>
      </c>
      <c r="B604" s="27" t="s">
        <v>1149</v>
      </c>
      <c r="C604" s="27" t="s">
        <v>1126</v>
      </c>
      <c r="D604" s="27" t="s">
        <v>1105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1468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1469</v>
      </c>
      <c r="B606" s="27" t="s">
        <v>1115</v>
      </c>
      <c r="C606" s="27" t="s">
        <v>1126</v>
      </c>
      <c r="D606" s="27" t="s">
        <v>1105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1450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1123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1239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1470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891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1145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/>
    </row>
    <row r="614" spans="1:12">
      <c r="A614" s="20" t="s">
        <v>1471</v>
      </c>
    </row>
    <row r="615" spans="1:12">
      <c r="A615" s="20" t="s">
        <v>1472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1184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1473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1111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135</v>
      </c>
      <c r="B619" s="27" t="s">
        <v>1243</v>
      </c>
      <c r="C619" s="27" t="s">
        <v>1133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1474</v>
      </c>
      <c r="B620" s="27" t="s">
        <v>1122</v>
      </c>
      <c r="C620" s="27" t="s">
        <v>1126</v>
      </c>
      <c r="D620" s="27" t="s">
        <v>1105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1475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1476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1334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/>
    </row>
    <row r="625" spans="1:12">
      <c r="A625" s="20" t="s">
        <v>1477</v>
      </c>
    </row>
    <row r="626" spans="1:12">
      <c r="A626" s="20" t="s">
        <v>1478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1123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1479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1480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1123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1410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1145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/>
    </row>
    <row r="634" spans="1:12">
      <c r="A634" s="20" t="s">
        <v>1481</v>
      </c>
    </row>
    <row r="635" spans="1:12">
      <c r="A635" s="20" t="s">
        <v>1172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1173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1408</v>
      </c>
      <c r="B637" s="27" t="s">
        <v>1213</v>
      </c>
      <c r="C637" s="27" t="s">
        <v>1126</v>
      </c>
      <c r="D637" s="27" t="s">
        <v>1105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1134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1482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1145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/>
    </row>
    <row r="642" spans="1:12">
      <c r="A642" s="20" t="s">
        <v>1483</v>
      </c>
    </row>
    <row r="643" spans="1:12">
      <c r="A643" s="20" t="s">
        <v>1191</v>
      </c>
      <c r="B643" s="27" t="s">
        <v>1149</v>
      </c>
      <c r="C643" s="27" t="s">
        <v>1126</v>
      </c>
      <c r="D643" s="27" t="s">
        <v>1105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1484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1249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1485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1271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1486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1487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1488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1123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1489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1490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1491</v>
      </c>
      <c r="B654" s="27" t="s">
        <v>1259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1492</v>
      </c>
      <c r="B655" s="27" t="s">
        <v>1132</v>
      </c>
      <c r="C655" s="27" t="s">
        <v>1108</v>
      </c>
      <c r="D655" s="27" t="s">
        <v>1105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1123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1128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1123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1493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1184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1494</v>
      </c>
      <c r="B661" s="27" t="s">
        <v>1495</v>
      </c>
      <c r="C661" s="27" t="s">
        <v>1142</v>
      </c>
      <c r="D661" s="27" t="s">
        <v>1105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1496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1123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1497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1139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1305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1306</v>
      </c>
      <c r="B667" s="27" t="s">
        <v>1141</v>
      </c>
      <c r="C667" s="27" t="s">
        <v>1156</v>
      </c>
      <c r="D667" s="27" t="s">
        <v>1105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1123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1498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1117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1120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1499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1184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1500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1473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1145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/>
    </row>
    <row r="678" spans="1:12">
      <c r="A678" s="20" t="s">
        <v>1501</v>
      </c>
    </row>
    <row r="679" spans="1:12">
      <c r="A679" s="20" t="s">
        <v>1277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1502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1218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1503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1504</v>
      </c>
      <c r="B683" s="27" t="s">
        <v>1103</v>
      </c>
      <c r="C683" s="27" t="s">
        <v>1210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1111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1505</v>
      </c>
      <c r="B685" s="27" t="s">
        <v>1149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1506</v>
      </c>
      <c r="B686" s="27" t="s">
        <v>1107</v>
      </c>
      <c r="C686" s="27" t="s">
        <v>1108</v>
      </c>
      <c r="D686" s="27" t="s">
        <v>1105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1128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1507</v>
      </c>
      <c r="B688" s="27" t="s">
        <v>1110</v>
      </c>
      <c r="C688" s="27" t="s">
        <v>1108</v>
      </c>
      <c r="D688" s="27" t="s">
        <v>1105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1145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/>
    </row>
    <row r="691" spans="1:12">
      <c r="A691" s="20" t="s">
        <v>1508</v>
      </c>
    </row>
    <row r="692" spans="1:12">
      <c r="A692" s="20" t="s">
        <v>1509</v>
      </c>
      <c r="B692" s="27" t="s">
        <v>1149</v>
      </c>
      <c r="C692" s="27" t="s">
        <v>1126</v>
      </c>
      <c r="D692" s="27" t="s">
        <v>1105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1510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1511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1512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1513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1201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1514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1515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1123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1357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1198</v>
      </c>
      <c r="B702" s="27" t="s">
        <v>1107</v>
      </c>
      <c r="C702" s="27" t="s">
        <v>1126</v>
      </c>
      <c r="D702" s="27" t="s">
        <v>1105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1184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1516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1123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1128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1517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1518</v>
      </c>
      <c r="B708" s="27" t="s">
        <v>1243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1145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/>
    </row>
    <row r="711" spans="1:12">
      <c r="A711" s="20" t="s">
        <v>1519</v>
      </c>
    </row>
    <row r="712" spans="1:12">
      <c r="A712" s="20" t="s">
        <v>1520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1521</v>
      </c>
      <c r="B713" s="27" t="s">
        <v>1103</v>
      </c>
      <c r="C713" s="27" t="s">
        <v>1126</v>
      </c>
      <c r="D713" s="27" t="s">
        <v>1105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1522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1523</v>
      </c>
      <c r="B715" s="27" t="s">
        <v>1149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1130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1524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1128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1525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1145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/>
    </row>
    <row r="722" spans="1:12">
      <c r="A722" s="20" t="s">
        <v>1526</v>
      </c>
    </row>
    <row r="723" spans="1:12">
      <c r="A723" s="20" t="s">
        <v>1507</v>
      </c>
      <c r="B723" s="27" t="s">
        <v>1149</v>
      </c>
      <c r="C723" s="27" t="s">
        <v>1108</v>
      </c>
      <c r="D723" s="27" t="s">
        <v>1105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1527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1528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1231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1529</v>
      </c>
      <c r="B727" s="27" t="s">
        <v>1103</v>
      </c>
      <c r="C727" s="27" t="s">
        <v>1133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1123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1197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1530</v>
      </c>
      <c r="B730" s="27" t="s">
        <v>1122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1531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1532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1128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1533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1186</v>
      </c>
      <c r="B735" s="27" t="s">
        <v>1243</v>
      </c>
      <c r="C735" s="27" t="s">
        <v>1126</v>
      </c>
      <c r="D735" s="27" t="s">
        <v>1105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1534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1145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/>
    </row>
    <row r="739" spans="1:12">
      <c r="A739" s="20" t="s">
        <v>1535</v>
      </c>
    </row>
    <row r="740" spans="1:12">
      <c r="A740" s="20" t="s">
        <v>1536</v>
      </c>
      <c r="B740" s="27" t="s">
        <v>1213</v>
      </c>
      <c r="C740" s="27" t="s">
        <v>1126</v>
      </c>
      <c r="D740" s="27" t="s">
        <v>1105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1123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1537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1123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1134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1538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1539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1540</v>
      </c>
      <c r="B747" s="27" t="s">
        <v>1149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1231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1541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1542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1543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1253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1544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1545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1145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/>
    </row>
    <row r="757" spans="1:12">
      <c r="A757" s="20" t="s">
        <v>1546</v>
      </c>
    </row>
    <row r="758" spans="1:12">
      <c r="A758" s="20" t="s">
        <v>1547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396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1507</v>
      </c>
      <c r="B760" s="27" t="s">
        <v>1149</v>
      </c>
      <c r="C760" s="27" t="s">
        <v>1108</v>
      </c>
      <c r="D760" s="27" t="s">
        <v>1105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1548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1128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1549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1101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1550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1123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1224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1505</v>
      </c>
      <c r="B768" s="27" t="s">
        <v>1122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1506</v>
      </c>
      <c r="B769" s="27" t="s">
        <v>1110</v>
      </c>
      <c r="C769" s="27" t="s">
        <v>1108</v>
      </c>
      <c r="D769" s="27" t="s">
        <v>1105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1551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1552</v>
      </c>
      <c r="B771" s="27" t="s">
        <v>1243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1553</v>
      </c>
      <c r="B772" s="27" t="s">
        <v>1243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1184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1554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1128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1555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1249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1556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1557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1123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1558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1559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1145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/>
    </row>
    <row r="785" spans="1:12">
      <c r="A785" s="20" t="s">
        <v>1560</v>
      </c>
    </row>
    <row r="786" spans="1:12">
      <c r="A786" s="20" t="s">
        <v>1191</v>
      </c>
      <c r="B786" s="27" t="s">
        <v>1149</v>
      </c>
      <c r="C786" s="27" t="s">
        <v>1126</v>
      </c>
      <c r="D786" s="27" t="s">
        <v>1105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1561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1562</v>
      </c>
      <c r="B788" s="27" t="s">
        <v>1213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1563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1123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1564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1565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1566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1249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1415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1145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/>
    </row>
    <row r="798" spans="1:12">
      <c r="A798" s="20" t="s">
        <v>1567</v>
      </c>
    </row>
    <row r="799" spans="1:12">
      <c r="A799" s="20" t="s">
        <v>1568</v>
      </c>
      <c r="B799" s="27" t="s">
        <v>1149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1569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1357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1198</v>
      </c>
      <c r="B802" s="27" t="s">
        <v>1103</v>
      </c>
      <c r="C802" s="27" t="s">
        <v>1126</v>
      </c>
      <c r="D802" s="27" t="s">
        <v>1105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1145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/>
    </row>
    <row r="805" spans="1:12">
      <c r="A805" s="20" t="s">
        <v>1570</v>
      </c>
    </row>
    <row r="806" spans="1:12">
      <c r="A806" s="20" t="s">
        <v>1571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1572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1573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1123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1228</v>
      </c>
      <c r="B810" s="27" t="s">
        <v>1149</v>
      </c>
      <c r="C810" s="27" t="s">
        <v>1126</v>
      </c>
      <c r="D810" s="27" t="s">
        <v>1105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1574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1123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135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1575</v>
      </c>
      <c r="B814" s="27" t="s">
        <v>1122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1422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1318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1576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1577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1184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1578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1579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1145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/>
    </row>
    <row r="824" spans="1:12">
      <c r="A824" s="20" t="s">
        <v>1580</v>
      </c>
    </row>
    <row r="825" spans="1:12">
      <c r="A825" s="20" t="s">
        <v>1581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1582</v>
      </c>
      <c r="B826" s="27" t="s">
        <v>1149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1184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1583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1123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1128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1184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1584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1585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1586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1587</v>
      </c>
      <c r="B835" s="27" t="s">
        <v>1122</v>
      </c>
      <c r="C835" s="27" t="s">
        <v>1289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1145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/>
    </row>
    <row r="838" spans="1:12">
      <c r="A838" s="20" t="s">
        <v>1588</v>
      </c>
    </row>
    <row r="839" spans="1:12">
      <c r="A839" s="20" t="s">
        <v>1507</v>
      </c>
      <c r="B839" s="27" t="s">
        <v>1149</v>
      </c>
      <c r="C839" s="27" t="s">
        <v>1108</v>
      </c>
      <c r="D839" s="27" t="s">
        <v>1105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1589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1475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1134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1590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1591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1592</v>
      </c>
      <c r="B845" s="27" t="s">
        <v>1103</v>
      </c>
      <c r="C845" s="27" t="s">
        <v>1210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1123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1260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1593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1594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1123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1595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1596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1469</v>
      </c>
      <c r="B853" s="27" t="s">
        <v>1107</v>
      </c>
      <c r="C853" s="27" t="s">
        <v>1126</v>
      </c>
      <c r="D853" s="27" t="s">
        <v>1105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1128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1597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1184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1446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1145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/>
    </row>
    <row r="860" spans="1:12">
      <c r="A860" s="20" t="s">
        <v>1598</v>
      </c>
    </row>
    <row r="861" spans="1:12">
      <c r="A861" s="20" t="s">
        <v>1191</v>
      </c>
      <c r="B861" s="27" t="s">
        <v>1149</v>
      </c>
      <c r="C861" s="27" t="s">
        <v>1126</v>
      </c>
      <c r="D861" s="27" t="s">
        <v>1105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1574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1123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135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1124</v>
      </c>
      <c r="B865" s="27" t="s">
        <v>1122</v>
      </c>
      <c r="C865" s="27" t="s">
        <v>1126</v>
      </c>
      <c r="D865" s="27" t="s">
        <v>1105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1599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1271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1600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1601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1602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1413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1603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1271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1604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1123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1228</v>
      </c>
      <c r="B876" s="27" t="s">
        <v>1122</v>
      </c>
      <c r="C876" s="27" t="s">
        <v>1126</v>
      </c>
      <c r="D876" s="27" t="s">
        <v>1105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1605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1606</v>
      </c>
      <c r="B878" s="27" t="s">
        <v>1243</v>
      </c>
      <c r="C878" s="27" t="s">
        <v>1126</v>
      </c>
      <c r="D878" s="27" t="s">
        <v>1105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1206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1114</v>
      </c>
      <c r="B880" s="27" t="s">
        <v>1243</v>
      </c>
      <c r="C880" s="27" t="s">
        <v>1116</v>
      </c>
      <c r="D880" s="27" t="s">
        <v>1105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1145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/>
    </row>
    <row r="883" spans="1:12">
      <c r="A883" s="20" t="s">
        <v>1607</v>
      </c>
    </row>
    <row r="884" spans="1:12">
      <c r="A884" s="20" t="s">
        <v>1111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1608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1123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1609</v>
      </c>
      <c r="B887" s="27" t="s">
        <v>1149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1134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1130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1521</v>
      </c>
      <c r="B890" s="27" t="s">
        <v>1103</v>
      </c>
      <c r="C890" s="27" t="s">
        <v>1126</v>
      </c>
      <c r="D890" s="27" t="s">
        <v>1105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1334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1111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1610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1225</v>
      </c>
      <c r="B894" s="27" t="s">
        <v>1149</v>
      </c>
      <c r="C894" s="27" t="s">
        <v>1108</v>
      </c>
      <c r="D894" s="27" t="s">
        <v>1105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1123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1293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1228</v>
      </c>
      <c r="B897" s="27" t="s">
        <v>1122</v>
      </c>
      <c r="C897" s="27" t="s">
        <v>1126</v>
      </c>
      <c r="D897" s="27" t="s">
        <v>1105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1611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1145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/>
    </row>
    <row r="901" spans="1:12">
      <c r="A901" s="20" t="s">
        <v>1612</v>
      </c>
    </row>
    <row r="902" spans="1:12">
      <c r="A902" s="20" t="s">
        <v>1111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1613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1145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/>
    </row>
    <row r="906" spans="1:12">
      <c r="A906" s="20" t="s">
        <v>1614</v>
      </c>
    </row>
    <row r="907" spans="1:12">
      <c r="A907" s="20" t="s">
        <v>1111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1615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228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1616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1617</v>
      </c>
      <c r="B911" s="27" t="s">
        <v>1149</v>
      </c>
      <c r="C911" s="27" t="s">
        <v>1126</v>
      </c>
      <c r="D911" s="27" t="s">
        <v>1105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1334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/>
    </row>
    <row r="914" spans="1:12">
      <c r="A914" s="20" t="s">
        <v>1618</v>
      </c>
    </row>
    <row r="915" spans="1:12">
      <c r="A915" s="20" t="s">
        <v>1619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1123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1620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1621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1128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1622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1123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1206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1454</v>
      </c>
      <c r="B923" s="27" t="s">
        <v>1149</v>
      </c>
      <c r="C923" s="27" t="s">
        <v>1210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1623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1145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/>
    </row>
    <row r="927" spans="1:12">
      <c r="A927" s="20" t="s">
        <v>1624</v>
      </c>
    </row>
    <row r="928" spans="1:12">
      <c r="A928" s="20" t="s">
        <v>1111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1625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1123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1134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1626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1145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/>
    </row>
    <row r="935" spans="1:12">
      <c r="A935" s="20" t="s">
        <v>1627</v>
      </c>
    </row>
    <row r="936" spans="1:12">
      <c r="A936" s="20" t="s">
        <v>1191</v>
      </c>
      <c r="B936" s="27" t="s">
        <v>1149</v>
      </c>
      <c r="C936" s="27" t="s">
        <v>1126</v>
      </c>
      <c r="D936" s="27" t="s">
        <v>1105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1628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1528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1123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135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1391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1392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1393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1629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1630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1631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263</v>
      </c>
      <c r="B947" s="27" t="s">
        <v>1122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1145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/>
    </row>
    <row r="950" spans="1:12">
      <c r="A950" s="20" t="s">
        <v>1632</v>
      </c>
    </row>
    <row r="951" spans="1:12">
      <c r="A951" s="20" t="s">
        <v>1633</v>
      </c>
      <c r="B951" s="27" t="s">
        <v>1149</v>
      </c>
      <c r="C951" s="27" t="s">
        <v>1126</v>
      </c>
      <c r="D951" s="27" t="s">
        <v>1105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1634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1635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1184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1636</v>
      </c>
      <c r="B955" s="27" t="s">
        <v>1107</v>
      </c>
      <c r="C955" s="27" t="s">
        <v>1142</v>
      </c>
      <c r="D955" s="27" t="s">
        <v>1105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1637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1123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1638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1270</v>
      </c>
      <c r="B959" s="27" t="s">
        <v>1243</v>
      </c>
      <c r="C959" s="27" t="s">
        <v>1126</v>
      </c>
      <c r="D959" s="27" t="s">
        <v>1105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1128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1639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1128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1640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1641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1123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1197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1642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1643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1145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/>
    </row>
    <row r="971" spans="1:12">
      <c r="A971" s="20" t="s">
        <v>1644</v>
      </c>
    </row>
    <row r="972" spans="1:12">
      <c r="A972" s="20" t="s">
        <v>1645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1646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1647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1648</v>
      </c>
      <c r="B975" s="27" t="s">
        <v>1213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1649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1186</v>
      </c>
      <c r="B977" s="27" t="s">
        <v>1213</v>
      </c>
      <c r="C977" s="27" t="s">
        <v>1126</v>
      </c>
      <c r="D977" s="27" t="s">
        <v>1105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1184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1650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1651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1652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1123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1391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1653</v>
      </c>
      <c r="B984" s="27" t="s">
        <v>1110</v>
      </c>
      <c r="C984" s="27" t="s">
        <v>1133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1123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1654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1655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1656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1123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1657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1658</v>
      </c>
      <c r="B991" s="27" t="s">
        <v>1259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1659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1660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1661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1145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/>
    </row>
    <row r="997" spans="1:12">
      <c r="A997" s="20" t="s">
        <v>1662</v>
      </c>
    </row>
    <row r="998" spans="1:12">
      <c r="A998" s="20" t="s">
        <v>1225</v>
      </c>
      <c r="B998" s="27" t="s">
        <v>1149</v>
      </c>
      <c r="C998" s="27" t="s">
        <v>1108</v>
      </c>
      <c r="D998" s="27" t="s">
        <v>1105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1663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1184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1664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1637</v>
      </c>
      <c r="B1002" s="27" t="s">
        <v>1103</v>
      </c>
      <c r="C1002" s="27" t="s">
        <v>1156</v>
      </c>
      <c r="D1002" s="27" t="s">
        <v>1105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1128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1123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1385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1249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1665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1634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1666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1667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1668</v>
      </c>
      <c r="B1011" s="27" t="s">
        <v>1110</v>
      </c>
      <c r="C1011" s="27" t="s">
        <v>1156</v>
      </c>
      <c r="D1011" s="27" t="s">
        <v>1105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1123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1669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1670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1339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1111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1671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1123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1443</v>
      </c>
      <c r="B1019" s="27" t="s">
        <v>1110</v>
      </c>
      <c r="C1019" s="27" t="s">
        <v>1108</v>
      </c>
      <c r="D1019" s="27" t="s">
        <v>1105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1123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263</v>
      </c>
      <c r="B1021" s="27" t="s">
        <v>1125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1672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1673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1249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1270</v>
      </c>
      <c r="B1025" s="27" t="s">
        <v>1132</v>
      </c>
      <c r="C1025" s="27" t="s">
        <v>1126</v>
      </c>
      <c r="D1025" s="27" t="s">
        <v>1105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1145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/>
    </row>
    <row r="1028" spans="1:12">
      <c r="A1028" s="20" t="s">
        <v>1674</v>
      </c>
    </row>
    <row r="1029" spans="1:12">
      <c r="A1029" s="20" t="s">
        <v>1111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1368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1114</v>
      </c>
      <c r="B1031" s="27" t="s">
        <v>1149</v>
      </c>
      <c r="C1031" s="27" t="s">
        <v>1116</v>
      </c>
      <c r="D1031" s="27" t="s">
        <v>1105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1675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1334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/>
    </row>
    <row r="1035" spans="1:12">
      <c r="A1035" s="20" t="s">
        <v>1676</v>
      </c>
    </row>
    <row r="1036" spans="1:12">
      <c r="A1036" s="20" t="s">
        <v>1111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1677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259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1351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/>
    </row>
    <row r="1041" spans="1:12">
      <c r="A1041" s="20" t="s">
        <v>1678</v>
      </c>
    </row>
    <row r="1042" spans="1:12">
      <c r="A1042" s="20" t="s">
        <v>1679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1111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1680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1123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135</v>
      </c>
      <c r="B1046" s="27" t="s">
        <v>1122</v>
      </c>
      <c r="C1046" s="27" t="s">
        <v>1133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1681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1682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1207</v>
      </c>
      <c r="B1049" s="27" t="s">
        <v>1132</v>
      </c>
      <c r="C1049" s="27" t="s">
        <v>1142</v>
      </c>
      <c r="D1049" s="27" t="s">
        <v>1105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1683</v>
      </c>
      <c r="B1050" s="27" t="s">
        <v>1115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1145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/>
    </row>
    <row r="1053" spans="1:12">
      <c r="A1053" s="20" t="s">
        <v>1684</v>
      </c>
    </row>
    <row r="1054" spans="1:12">
      <c r="A1054" s="20" t="s">
        <v>1547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1505</v>
      </c>
      <c r="B1055" s="27" t="s">
        <v>1149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1506</v>
      </c>
      <c r="B1056" s="27" t="s">
        <v>1107</v>
      </c>
      <c r="C1056" s="27" t="s">
        <v>1108</v>
      </c>
      <c r="D1056" s="27" t="s">
        <v>1105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1475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1134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1685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1145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/>
    </row>
    <row r="1062" spans="1:12">
      <c r="A1062" s="20" t="s">
        <v>1686</v>
      </c>
    </row>
    <row r="1063" spans="1:12">
      <c r="A1063" s="20" t="s">
        <v>1687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1688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1689</v>
      </c>
      <c r="B1065" s="27" t="s">
        <v>1103</v>
      </c>
      <c r="C1065" s="27" t="s">
        <v>1210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1145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/>
    </row>
    <row r="1068" spans="1:12">
      <c r="A1068" s="20" t="s">
        <v>1690</v>
      </c>
    </row>
    <row r="1069" spans="1:12">
      <c r="A1069" s="20" t="s">
        <v>1406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1206</v>
      </c>
      <c r="B1070" s="27" t="s">
        <v>1149</v>
      </c>
      <c r="C1070" s="27" t="s">
        <v>1126</v>
      </c>
      <c r="D1070" s="27" t="s">
        <v>1105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1111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1128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1691</v>
      </c>
      <c r="B1073" s="27" t="s">
        <v>1107</v>
      </c>
      <c r="C1073" s="27" t="s">
        <v>1142</v>
      </c>
      <c r="D1073" s="27" t="s">
        <v>1105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1692</v>
      </c>
      <c r="B1074" s="27" t="s">
        <v>1149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1128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1693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1186</v>
      </c>
      <c r="B1077" s="27" t="s">
        <v>1110</v>
      </c>
      <c r="C1077" s="27" t="s">
        <v>1142</v>
      </c>
      <c r="D1077" s="27" t="s">
        <v>1105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1694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1111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1695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1195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1305</v>
      </c>
      <c r="B1082" s="27" t="s">
        <v>1103</v>
      </c>
      <c r="C1082" s="27" t="s">
        <v>1116</v>
      </c>
      <c r="D1082" s="27" t="s">
        <v>1105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1123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1696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1697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1124</v>
      </c>
      <c r="B1086" s="27" t="s">
        <v>1259</v>
      </c>
      <c r="C1086" s="27" t="s">
        <v>1126</v>
      </c>
      <c r="D1086" s="27" t="s">
        <v>1105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1698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1123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1699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263</v>
      </c>
      <c r="B1090" s="27" t="s">
        <v>1125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1700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1139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1701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1123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1188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224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1145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/>
    </row>
    <row r="1099" spans="1:12">
      <c r="A1099" s="20" t="s">
        <v>1702</v>
      </c>
    </row>
    <row r="1100" spans="1:12">
      <c r="A1100" s="20" t="s">
        <v>1703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1704</v>
      </c>
      <c r="B1101" s="27" t="s">
        <v>1149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1120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1705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1123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1169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1706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1707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1145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/>
    </row>
    <row r="1110" spans="1:12">
      <c r="A1110" s="20" t="s">
        <v>1708</v>
      </c>
    </row>
    <row r="1111" spans="1:12">
      <c r="A1111" s="20" t="s">
        <v>1709</v>
      </c>
      <c r="B1111" s="27" t="s">
        <v>1149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1710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1711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1184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1712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1123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1713</v>
      </c>
      <c r="B1117" s="27" t="s">
        <v>1122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1714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1715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1716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1717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1718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1145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/>
    </row>
    <row r="1125" spans="1:12">
      <c r="A1125" s="20" t="s">
        <v>1719</v>
      </c>
    </row>
    <row r="1126" spans="1:12">
      <c r="A1126" s="20" t="s">
        <v>1720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1721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1722</v>
      </c>
      <c r="B1128" s="27" t="s">
        <v>1103</v>
      </c>
      <c r="C1128" s="27" t="s">
        <v>1126</v>
      </c>
      <c r="D1128" s="27" t="s">
        <v>1105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1723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1724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1725</v>
      </c>
      <c r="B1131" s="27" t="s">
        <v>1149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1726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1130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1727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1728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1123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1654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1729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1730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1123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1731</v>
      </c>
      <c r="B1141" s="27" t="s">
        <v>1125</v>
      </c>
      <c r="C1141" s="27" t="s">
        <v>1133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1732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1733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1249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1734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1735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1145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/>
    </row>
    <row r="1149" spans="1:12">
      <c r="A1149" s="20" t="s">
        <v>1736</v>
      </c>
    </row>
    <row r="1150" spans="1:12">
      <c r="A1150" s="20" t="s">
        <v>1737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1738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1739</v>
      </c>
      <c r="B1152" s="27" t="s">
        <v>1149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1740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1101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1741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1742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1743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1184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1744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1128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1745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1123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1249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1715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1145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/>
    </row>
    <row r="1167" spans="1:12">
      <c r="A1167" s="20" t="s">
        <v>1746</v>
      </c>
    </row>
    <row r="1168" spans="1:12">
      <c r="A1168" s="20" t="s">
        <v>1747</v>
      </c>
      <c r="B1168" s="27" t="s">
        <v>1149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1101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1345</v>
      </c>
      <c r="B1170" s="27" t="s">
        <v>1107</v>
      </c>
      <c r="C1170" s="27" t="s">
        <v>1126</v>
      </c>
      <c r="D1170" s="27" t="s">
        <v>1105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1240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1748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1145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/>
    </row>
    <row r="1175" spans="1:12">
      <c r="A1175" s="20" t="s">
        <v>1749</v>
      </c>
    </row>
    <row r="1176" spans="1:12">
      <c r="A1176" s="20" t="s">
        <v>1750</v>
      </c>
      <c r="B1176" s="27" t="s">
        <v>1149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1751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1101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1621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1145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/>
    </row>
    <row r="1182" spans="1:12">
      <c r="A1182" s="20" t="s">
        <v>1752</v>
      </c>
    </row>
    <row r="1183" spans="1:12">
      <c r="A1183" s="20" t="s">
        <v>1406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1753</v>
      </c>
      <c r="B1184" s="27" t="s">
        <v>1149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1754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1113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1184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1622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1123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228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1453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1503</v>
      </c>
      <c r="B1192" s="27" t="s">
        <v>1259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1111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1755</v>
      </c>
      <c r="B1194" s="27" t="s">
        <v>1259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11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1756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1128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1757</v>
      </c>
      <c r="B1198" s="27" t="s">
        <v>1110</v>
      </c>
      <c r="C1198" s="27" t="s">
        <v>1758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1134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1759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1760</v>
      </c>
      <c r="B1201" s="27" t="s">
        <v>1259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1111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1761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1518</v>
      </c>
      <c r="B1204" s="27" t="s">
        <v>1115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1128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1762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1763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1764</v>
      </c>
      <c r="B1208" s="27" t="s">
        <v>1144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1145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/>
    </row>
    <row r="1211" spans="1:12">
      <c r="A1211" s="20" t="s">
        <v>1765</v>
      </c>
    </row>
    <row r="1212" spans="1:12">
      <c r="A1212" s="20" t="s">
        <v>1766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1767</v>
      </c>
      <c r="B1213" s="27" t="s">
        <v>1149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1768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1123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1769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1770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1206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1771</v>
      </c>
      <c r="B1219" s="27" t="s">
        <v>1243</v>
      </c>
      <c r="C1219" s="27" t="s">
        <v>1210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1123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1130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1772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1773</v>
      </c>
      <c r="B1223" s="27" t="s">
        <v>1107</v>
      </c>
      <c r="C1223" s="27" t="s">
        <v>1210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1774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1271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1418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1145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/>
    </row>
    <row r="1229" spans="1:12">
      <c r="A1229" s="20" t="s">
        <v>1775</v>
      </c>
    </row>
    <row r="1230" spans="1:12">
      <c r="A1230" s="20" t="s">
        <v>1776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1777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1778</v>
      </c>
      <c r="B1232" s="27" t="s">
        <v>1149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1628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1779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1318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1780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1781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1782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1454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1145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/>
    </row>
    <row r="1242" spans="1:12">
      <c r="A1242" s="20" t="s">
        <v>1783</v>
      </c>
    </row>
    <row r="1243" spans="1:12">
      <c r="A1243" s="20" t="s">
        <v>1784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1785</v>
      </c>
      <c r="B1244" s="27" t="s">
        <v>1149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1579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1786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1787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1184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1371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1788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1789</v>
      </c>
      <c r="B1251" s="27" t="s">
        <v>1103</v>
      </c>
      <c r="C1251" s="27" t="s">
        <v>1156</v>
      </c>
      <c r="D1251" s="27" t="s">
        <v>1105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1123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1391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1790</v>
      </c>
      <c r="B1254" s="27" t="s">
        <v>1110</v>
      </c>
      <c r="C1254" s="27" t="s">
        <v>1133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1791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1113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1658</v>
      </c>
      <c r="B1257" s="27" t="s">
        <v>1259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1792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1145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/>
    </row>
    <row r="1261" spans="1:12">
      <c r="A1261" s="20" t="s">
        <v>1793</v>
      </c>
    </row>
    <row r="1262" spans="1:12">
      <c r="A1262" s="20" t="s">
        <v>1350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1794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1795</v>
      </c>
      <c r="B1264" s="27" t="s">
        <v>1149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1796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1130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1797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1798</v>
      </c>
      <c r="B1268" s="27" t="s">
        <v>1103</v>
      </c>
      <c r="C1268" s="27" t="s">
        <v>1210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1726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1128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1634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1799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1184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1800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1801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1123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1128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1802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1803</v>
      </c>
      <c r="B1279" s="27" t="s">
        <v>1122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1130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1728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1804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1391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1183</v>
      </c>
      <c r="B1284" s="27" t="s">
        <v>1107</v>
      </c>
      <c r="C1284" s="27" t="s">
        <v>1126</v>
      </c>
      <c r="D1284" s="27" t="s">
        <v>1105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1123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1805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1806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1807</v>
      </c>
      <c r="B1288" s="27" t="s">
        <v>1243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1249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1808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1809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1810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1145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/>
    </row>
    <row r="1295" spans="1:12">
      <c r="A1295" s="20" t="s">
        <v>1811</v>
      </c>
    </row>
    <row r="1296" spans="1:12">
      <c r="A1296" s="20" t="s">
        <v>1225</v>
      </c>
      <c r="B1296" s="27" t="s">
        <v>1149</v>
      </c>
      <c r="C1296" s="27" t="s">
        <v>1108</v>
      </c>
      <c r="D1296" s="27" t="s">
        <v>1105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1812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1813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1814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1231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1815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1123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1201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1653</v>
      </c>
      <c r="B1304" s="27" t="s">
        <v>1110</v>
      </c>
      <c r="C1304" s="27" t="s">
        <v>1133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1217</v>
      </c>
      <c r="B1305" s="27" t="s">
        <v>1259</v>
      </c>
      <c r="C1305" s="27" t="s">
        <v>1126</v>
      </c>
      <c r="D1305" s="27" t="s">
        <v>1105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1522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1123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1128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1816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1817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1195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1818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1819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1820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1145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/>
    </row>
    <row r="1317" spans="1:12">
      <c r="A1317" s="20" t="s">
        <v>1821</v>
      </c>
    </row>
    <row r="1318" spans="1:12">
      <c r="A1318" s="20" t="s">
        <v>1111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1822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1124</v>
      </c>
      <c r="B1320" s="27" t="s">
        <v>1122</v>
      </c>
      <c r="C1320" s="27" t="s">
        <v>1126</v>
      </c>
      <c r="D1320" s="27" t="s">
        <v>1105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1134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1823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1824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1825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1826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1123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1827</v>
      </c>
      <c r="B1327" s="27" t="s">
        <v>1213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1828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1829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1123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1224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1824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1830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1826</v>
      </c>
      <c r="B1334" s="27" t="s">
        <v>1107</v>
      </c>
      <c r="C1334" s="27" t="s">
        <v>1210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1217</v>
      </c>
      <c r="B1335" s="27" t="s">
        <v>1122</v>
      </c>
      <c r="C1335" s="27" t="s">
        <v>1126</v>
      </c>
      <c r="D1335" s="27" t="s">
        <v>1105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1628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1134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1831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859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1832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1833</v>
      </c>
      <c r="B1341" s="27" t="s">
        <v>1115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1184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1371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1834</v>
      </c>
      <c r="B1344" s="27" t="s">
        <v>1110</v>
      </c>
      <c r="C1344" s="27" t="s">
        <v>1156</v>
      </c>
      <c r="D1344" s="27" t="s">
        <v>1105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1145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/>
    </row>
    <row r="1347" spans="1:12">
      <c r="A1347" s="20" t="s">
        <v>1835</v>
      </c>
    </row>
    <row r="1348" spans="1:12">
      <c r="A1348" s="20" t="s">
        <v>1111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1836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1837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1838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1123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1475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1839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1145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/>
    </row>
    <row r="1357" spans="1:12">
      <c r="A1357" s="20" t="s">
        <v>1840</v>
      </c>
    </row>
    <row r="1358" spans="1:12">
      <c r="A1358" s="20" t="s">
        <v>1111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1436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1123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1841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1123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1842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1128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1843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1145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/>
    </row>
    <row r="1368" spans="1:12">
      <c r="A1368" s="20" t="s">
        <v>1844</v>
      </c>
    </row>
    <row r="1369" spans="1:12">
      <c r="A1369" s="20" t="s">
        <v>1845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1846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1305</v>
      </c>
      <c r="B1371" s="27" t="s">
        <v>1110</v>
      </c>
      <c r="C1371" s="27" t="s">
        <v>1116</v>
      </c>
      <c r="D1371" s="27" t="s">
        <v>1105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1239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263</v>
      </c>
      <c r="B1373" s="27" t="s">
        <v>1122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1847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1249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1270</v>
      </c>
      <c r="B1376" s="27" t="s">
        <v>1107</v>
      </c>
      <c r="C1376" s="27" t="s">
        <v>1126</v>
      </c>
      <c r="D1376" s="27" t="s">
        <v>1105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1123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1217</v>
      </c>
      <c r="B1378" s="27" t="s">
        <v>1149</v>
      </c>
      <c r="C1378" s="27" t="s">
        <v>1126</v>
      </c>
      <c r="D1378" s="27" t="s">
        <v>1105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1848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1206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1745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1128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1745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1123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1849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1134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1261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1184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1850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1195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1726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1145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/>
    </row>
    <row r="1394" spans="1:12">
      <c r="A1394" s="20" t="s">
        <v>1851</v>
      </c>
    </row>
    <row r="1395" spans="1:12">
      <c r="A1395" s="20" t="s">
        <v>1547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1852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1853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1854</v>
      </c>
      <c r="B1398" s="27" t="s">
        <v>1149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1123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1855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1646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1856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1123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1857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1128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1470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1123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1858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1284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1859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1123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1860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1861</v>
      </c>
      <c r="B1413" s="27" t="s">
        <v>1243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1145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/>
    </row>
    <row r="1416" spans="1:12">
      <c r="A1416" s="20" t="s">
        <v>1862</v>
      </c>
    </row>
    <row r="1417" spans="1:12">
      <c r="A1417" s="20" t="s">
        <v>1111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1353</v>
      </c>
      <c r="B1418" s="27" t="s">
        <v>1149</v>
      </c>
      <c r="C1418" s="27" t="s">
        <v>1126</v>
      </c>
      <c r="D1418" s="27" t="s">
        <v>1105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1863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1864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1865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1123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1111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1425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1225</v>
      </c>
      <c r="B1425" s="27" t="s">
        <v>1122</v>
      </c>
      <c r="C1425" s="27" t="s">
        <v>1108</v>
      </c>
      <c r="D1425" s="27" t="s">
        <v>1105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1145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/>
    </row>
    <row r="1428" spans="1:12">
      <c r="A1428" s="20" t="s">
        <v>1866</v>
      </c>
    </row>
    <row r="1429" spans="1:12">
      <c r="A1429" s="20" t="s">
        <v>1111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1400</v>
      </c>
      <c r="B1430" s="27" t="s">
        <v>1149</v>
      </c>
      <c r="C1430" s="27" t="s">
        <v>1116</v>
      </c>
      <c r="D1430" s="27" t="s">
        <v>1105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1628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1867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1339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1186</v>
      </c>
      <c r="B1434" s="27" t="s">
        <v>1115</v>
      </c>
      <c r="C1434" s="27" t="s">
        <v>1126</v>
      </c>
      <c r="D1434" s="27" t="s">
        <v>1105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1868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1869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1698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1123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1699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1124</v>
      </c>
      <c r="B1440" s="27" t="s">
        <v>1870</v>
      </c>
      <c r="C1440" s="27" t="s">
        <v>1126</v>
      </c>
      <c r="D1440" s="27" t="s">
        <v>1105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1871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1139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1270</v>
      </c>
      <c r="B1443" s="27" t="s">
        <v>1141</v>
      </c>
      <c r="C1443" s="27" t="s">
        <v>1126</v>
      </c>
      <c r="D1443" s="27" t="s">
        <v>1105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1145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/>
    </row>
    <row r="1446" spans="1:12">
      <c r="A1446" s="20" t="s">
        <v>1872</v>
      </c>
    </row>
    <row r="1447" spans="1:12">
      <c r="A1447" s="20" t="s">
        <v>1873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1123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1874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135</v>
      </c>
      <c r="B1450" s="27" t="s">
        <v>1122</v>
      </c>
      <c r="C1450" s="27" t="s">
        <v>1133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1875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1123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1876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115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1145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/>
    </row>
    <row r="1457" spans="1:12">
      <c r="A1457" s="20" t="s">
        <v>1877</v>
      </c>
    </row>
    <row r="1458" spans="1:12">
      <c r="A1458" s="20" t="s">
        <v>1633</v>
      </c>
      <c r="B1458" s="27" t="s">
        <v>1149</v>
      </c>
      <c r="C1458" s="27" t="s">
        <v>1126</v>
      </c>
      <c r="D1458" s="27" t="s">
        <v>1105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1878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1249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1879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1128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1880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1881</v>
      </c>
      <c r="B1464" s="27" t="s">
        <v>1243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1271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1882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1145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/>
    </row>
    <row r="1469" spans="1:12">
      <c r="A1469" s="20" t="s">
        <v>1883</v>
      </c>
    </row>
    <row r="1470" spans="1:12">
      <c r="A1470" s="20" t="s">
        <v>1111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1884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1885</v>
      </c>
      <c r="B1472" s="27" t="s">
        <v>1213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1351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/>
    </row>
    <row r="1475" spans="1:12">
      <c r="A1475" s="20" t="s">
        <v>1886</v>
      </c>
    </row>
    <row r="1476" spans="1:12">
      <c r="A1476" s="20" t="s">
        <v>1887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1123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1888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1351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/>
    </row>
    <row r="1481" spans="1:12">
      <c r="A1481" s="20" t="s">
        <v>1889</v>
      </c>
    </row>
    <row r="1482" spans="1:12">
      <c r="A1482" s="20" t="s">
        <v>1277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1890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1891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1892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1893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1894</v>
      </c>
      <c r="B1487" s="27" t="s">
        <v>1149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1145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/>
    </row>
    <row r="1490" spans="1:12">
      <c r="A1490" s="20" t="s">
        <v>1895</v>
      </c>
    </row>
    <row r="1491" spans="1:12">
      <c r="A1491" s="20" t="s">
        <v>1896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1201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1897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1123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1217</v>
      </c>
      <c r="B1495" s="27" t="s">
        <v>1149</v>
      </c>
      <c r="C1495" s="27" t="s">
        <v>1126</v>
      </c>
      <c r="D1495" s="27" t="s">
        <v>1105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1898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1899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1184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1900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1271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1242</v>
      </c>
      <c r="B1501" s="27" t="s">
        <v>1110</v>
      </c>
      <c r="C1501" s="27" t="s">
        <v>1126</v>
      </c>
      <c r="D1501" s="27" t="s">
        <v>1105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1901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1902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1668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1145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/>
    </row>
    <row r="1507" spans="1:12">
      <c r="A1507" s="20" t="s">
        <v>1903</v>
      </c>
    </row>
    <row r="1508" spans="1:12">
      <c r="A1508" s="20" t="s">
        <v>1568</v>
      </c>
      <c r="B1508" s="27" t="s">
        <v>1149</v>
      </c>
      <c r="C1508" s="27" t="s">
        <v>1210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1206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1569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1123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1128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396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1101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1904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1123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1654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1905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1721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1906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1907</v>
      </c>
      <c r="B1521" s="27" t="s">
        <v>1144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1123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1908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1909</v>
      </c>
      <c r="B1524" s="27" t="s">
        <v>1122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1123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1910</v>
      </c>
      <c r="B1526" s="27" t="s">
        <v>1144</v>
      </c>
      <c r="C1526" s="27" t="s">
        <v>1133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1217</v>
      </c>
      <c r="B1527" s="27" t="s">
        <v>1125</v>
      </c>
      <c r="C1527" s="27" t="s">
        <v>1126</v>
      </c>
      <c r="D1527" s="27" t="s">
        <v>1105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1911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1145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/>
    </row>
    <row r="1531" spans="1:12">
      <c r="A1531" s="20" t="s">
        <v>1912</v>
      </c>
    </row>
    <row r="1532" spans="1:12">
      <c r="A1532" s="20" t="s">
        <v>1913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1391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1906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1705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1914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1704</v>
      </c>
      <c r="B1537" s="27" t="s">
        <v>1243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1123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1124</v>
      </c>
      <c r="B1539" s="27" t="s">
        <v>1149</v>
      </c>
      <c r="C1539" s="27" t="s">
        <v>1126</v>
      </c>
      <c r="D1539" s="27" t="s">
        <v>1105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1130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1915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1916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1253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1255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1145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/>
    </row>
    <row r="1547" spans="1:12">
      <c r="A1547" s="20" t="s">
        <v>1917</v>
      </c>
    </row>
    <row r="1548" spans="1:12">
      <c r="A1548" s="20" t="s">
        <v>1918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1919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1920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1253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1415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1123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1595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1596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1270</v>
      </c>
      <c r="B1556" s="27" t="s">
        <v>1107</v>
      </c>
      <c r="C1556" s="27" t="s">
        <v>1126</v>
      </c>
      <c r="D1556" s="27" t="s">
        <v>1105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1128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1921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925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1922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1253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1923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1924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1123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1925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1926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1201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1897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1145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/>
    </row>
    <row r="1571" spans="1:12">
      <c r="A1571" s="20" t="s">
        <v>1927</v>
      </c>
    </row>
    <row r="1572" spans="1:12">
      <c r="A1572" s="20" t="s">
        <v>1928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1929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1124</v>
      </c>
      <c r="B1574" s="27" t="s">
        <v>1149</v>
      </c>
      <c r="C1574" s="27" t="s">
        <v>1126</v>
      </c>
      <c r="D1574" s="27" t="s">
        <v>1105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1121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1128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1930</v>
      </c>
      <c r="B1577" s="27" t="s">
        <v>1103</v>
      </c>
      <c r="C1577" s="27" t="s">
        <v>1156</v>
      </c>
      <c r="D1577" s="27" t="s">
        <v>1105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1931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1824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1932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1123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1933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1934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1935</v>
      </c>
      <c r="B1584" s="27" t="s">
        <v>1107</v>
      </c>
      <c r="C1584" s="27" t="s">
        <v>1133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1145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/>
    </row>
    <row r="1587" spans="1:12">
      <c r="A1587" s="20" t="s">
        <v>1936</v>
      </c>
    </row>
    <row r="1588" spans="1:12">
      <c r="A1588" s="20" t="s">
        <v>1111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392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1351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1111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1937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1225</v>
      </c>
      <c r="B1593" s="27" t="s">
        <v>1122</v>
      </c>
      <c r="C1593" s="27" t="s">
        <v>1108</v>
      </c>
      <c r="D1593" s="27" t="s">
        <v>1105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1128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1938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1939</v>
      </c>
      <c r="B1596" s="27" t="s">
        <v>1115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1123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1111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1671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1351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/>
    </row>
    <row r="1602" spans="1:12">
      <c r="A1602" s="20" t="s">
        <v>1940</v>
      </c>
    </row>
    <row r="1603" spans="1:12">
      <c r="A1603" s="20" t="s">
        <v>1350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1617</v>
      </c>
      <c r="B1604" s="27" t="s">
        <v>1149</v>
      </c>
      <c r="C1604" s="27" t="s">
        <v>1126</v>
      </c>
      <c r="D1604" s="27" t="s">
        <v>1105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1351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/>
    </row>
    <row r="1607" spans="1:12">
      <c r="A1607" s="20" t="s">
        <v>1941</v>
      </c>
    </row>
    <row r="1608" spans="1:12">
      <c r="A1608" s="20" t="s">
        <v>1277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1942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1943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1944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1271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1242</v>
      </c>
      <c r="B1613" s="27" t="s">
        <v>1132</v>
      </c>
      <c r="C1613" s="27" t="s">
        <v>1126</v>
      </c>
      <c r="D1613" s="27" t="s">
        <v>1105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1904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1945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1946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1123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1947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1948</v>
      </c>
      <c r="B1619" s="27" t="s">
        <v>1149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1145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/>
    </row>
    <row r="1622" spans="1:12">
      <c r="A1622" s="20" t="s">
        <v>1949</v>
      </c>
    </row>
    <row r="1623" spans="1:12">
      <c r="A1623" s="20" t="s">
        <v>1766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1785</v>
      </c>
      <c r="B1624" s="27" t="s">
        <v>1149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1309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1195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1270</v>
      </c>
      <c r="B1627" s="27" t="s">
        <v>1103</v>
      </c>
      <c r="C1627" s="27" t="s">
        <v>1126</v>
      </c>
      <c r="D1627" s="27" t="s">
        <v>1105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1628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1950</v>
      </c>
      <c r="B1629" s="27" t="s">
        <v>1103</v>
      </c>
      <c r="C1629" s="27" t="s">
        <v>1104</v>
      </c>
      <c r="D1629" s="27" t="s">
        <v>1105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1184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1951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1123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1128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1217</v>
      </c>
      <c r="B1634" s="27" t="s">
        <v>1122</v>
      </c>
      <c r="C1634" s="27" t="s">
        <v>1126</v>
      </c>
      <c r="D1634" s="27" t="s">
        <v>1105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1952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1953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1184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1196</v>
      </c>
      <c r="B1638" s="27" t="s">
        <v>1107</v>
      </c>
      <c r="C1638" s="27" t="s">
        <v>1126</v>
      </c>
      <c r="D1638" s="27" t="s">
        <v>1105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1954</v>
      </c>
      <c r="B1639" s="27" t="s">
        <v>1243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1123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1134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1955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1123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1956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1957</v>
      </c>
      <c r="B1645" s="27" t="s">
        <v>1125</v>
      </c>
      <c r="C1645" s="27" t="s">
        <v>1289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1823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1958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1145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/>
    </row>
    <row r="1650" spans="1:12">
      <c r="A1650" s="20" t="s">
        <v>1959</v>
      </c>
    </row>
    <row r="1651" spans="1:12">
      <c r="A1651" s="20" t="s">
        <v>1960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1961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1130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1962</v>
      </c>
      <c r="B1654" s="27" t="s">
        <v>1110</v>
      </c>
      <c r="C1654" s="27" t="s">
        <v>1108</v>
      </c>
      <c r="D1654" s="27" t="s">
        <v>1105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1123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1228</v>
      </c>
      <c r="B1656" s="27" t="s">
        <v>1149</v>
      </c>
      <c r="C1656" s="27" t="s">
        <v>1126</v>
      </c>
      <c r="D1656" s="27" t="s">
        <v>1105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1963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1964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1166</v>
      </c>
      <c r="B1659" s="27" t="s">
        <v>1213</v>
      </c>
      <c r="C1659" s="27" t="s">
        <v>1126</v>
      </c>
      <c r="D1659" s="27" t="s">
        <v>1105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1184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1241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1111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1965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1123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1966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1123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1130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1967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1968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1969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1970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1971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1145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/>
    </row>
    <row r="1675" spans="1:12">
      <c r="A1675" s="20" t="s">
        <v>1972</v>
      </c>
    </row>
    <row r="1676" spans="1:12">
      <c r="A1676" s="20" t="s">
        <v>1973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1240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1974</v>
      </c>
      <c r="B1678" s="27" t="s">
        <v>1149</v>
      </c>
      <c r="C1678" s="27" t="s">
        <v>1126</v>
      </c>
      <c r="D1678" s="27" t="s">
        <v>1105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1975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1339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1954</v>
      </c>
      <c r="B1681" s="27" t="s">
        <v>1122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1921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1976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1128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1977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1123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1978</v>
      </c>
      <c r="B1687" s="27" t="s">
        <v>1259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1979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1195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1980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1145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/>
    </row>
    <row r="1693" spans="1:12">
      <c r="A1693" s="20" t="s">
        <v>1981</v>
      </c>
    </row>
    <row r="1694" spans="1:12">
      <c r="A1694" s="20" t="s">
        <v>1277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1664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1616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1982</v>
      </c>
      <c r="B1697" s="27" t="s">
        <v>1103</v>
      </c>
      <c r="C1697" s="27" t="s">
        <v>1156</v>
      </c>
      <c r="D1697" s="27" t="s">
        <v>1105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727</v>
      </c>
      <c r="B1698" s="27" t="s">
        <v>1149</v>
      </c>
      <c r="C1698" s="27" t="s">
        <v>1108</v>
      </c>
      <c r="D1698" s="27" t="s">
        <v>1105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1983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1195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1984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1128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1985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1986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1249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1987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1145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/>
    </row>
    <row r="1709" spans="1:12">
      <c r="A1709" s="20" t="s">
        <v>1988</v>
      </c>
    </row>
    <row r="1710" spans="1:12">
      <c r="A1710" s="20" t="s">
        <v>1191</v>
      </c>
      <c r="B1710" s="27" t="s">
        <v>1149</v>
      </c>
      <c r="C1710" s="27" t="s">
        <v>1126</v>
      </c>
      <c r="D1710" s="27" t="s">
        <v>1105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1989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1128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1123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1770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1990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1180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1991</v>
      </c>
      <c r="B1717" s="27" t="s">
        <v>1132</v>
      </c>
      <c r="C1717" s="27" t="s">
        <v>1156</v>
      </c>
      <c r="D1717" s="27" t="s">
        <v>1105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1123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1992</v>
      </c>
      <c r="B1719" s="27" t="s">
        <v>1993</v>
      </c>
      <c r="C1719" s="27" t="s">
        <v>1133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1994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1995</v>
      </c>
      <c r="B1721" s="27" t="s">
        <v>1495</v>
      </c>
      <c r="C1721" s="27" t="s">
        <v>1142</v>
      </c>
      <c r="D1721" s="27" t="s">
        <v>1105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1996</v>
      </c>
      <c r="B1722" s="27" t="s">
        <v>1162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1123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1997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1998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1999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1271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2000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1145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/>
    </row>
    <row r="1731" spans="1:12">
      <c r="A1731" s="20" t="s">
        <v>2001</v>
      </c>
    </row>
    <row r="1732" spans="1:12">
      <c r="A1732" s="20" t="s">
        <v>1436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1351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/>
    </row>
    <row r="1735" spans="1:12">
      <c r="A1735" s="20" t="s">
        <v>2002</v>
      </c>
    </row>
    <row r="1736" spans="1:12">
      <c r="A1736" s="20" t="s">
        <v>1400</v>
      </c>
      <c r="B1736" s="27" t="s">
        <v>1149</v>
      </c>
      <c r="C1736" s="27" t="s">
        <v>1116</v>
      </c>
      <c r="D1736" s="27" t="s">
        <v>1105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1309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763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1123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2003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1123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2004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1239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2005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1145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/>
    </row>
    <row r="1747" spans="1:12">
      <c r="A1747" s="20" t="s">
        <v>2006</v>
      </c>
    </row>
    <row r="1748" spans="1:12">
      <c r="A1748" s="20" t="s">
        <v>1547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2007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2008</v>
      </c>
      <c r="B1750" s="27" t="s">
        <v>1122</v>
      </c>
      <c r="C1750" s="27" t="s">
        <v>1116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2009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2010</v>
      </c>
      <c r="B1752" s="27" t="s">
        <v>1149</v>
      </c>
      <c r="C1752" s="27" t="s">
        <v>1758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1101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1270</v>
      </c>
      <c r="B1754" s="27" t="s">
        <v>1107</v>
      </c>
      <c r="C1754" s="27" t="s">
        <v>1126</v>
      </c>
      <c r="D1754" s="27" t="s">
        <v>1105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1123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2011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1123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1134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2012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1145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/>
    </row>
    <row r="1762" spans="1:12">
      <c r="A1762" s="20" t="s">
        <v>2013</v>
      </c>
    </row>
    <row r="1763" spans="1:12">
      <c r="A1763" s="20" t="s">
        <v>2014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1494</v>
      </c>
      <c r="B1764" s="27" t="s">
        <v>1107</v>
      </c>
      <c r="C1764" s="27" t="s">
        <v>1142</v>
      </c>
      <c r="D1764" s="27" t="s">
        <v>1105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2015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2016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2017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2018</v>
      </c>
      <c r="B1768" s="27" t="s">
        <v>1149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1123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2019</v>
      </c>
      <c r="B1770" s="27" t="s">
        <v>1122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2020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2021</v>
      </c>
      <c r="B1772" s="27" t="s">
        <v>1243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1123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1253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2022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1128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2023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2024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2025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2026</v>
      </c>
      <c r="B1780" s="27" t="s">
        <v>1125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1145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/>
    </row>
    <row r="1783" spans="1:12">
      <c r="A1783" s="20" t="s">
        <v>2027</v>
      </c>
    </row>
    <row r="1784" spans="1:12">
      <c r="A1784" s="20" t="s">
        <v>2028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1184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2029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2030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2031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1134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2032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1173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2033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2034</v>
      </c>
      <c r="B1793" s="27" t="s">
        <v>1243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2035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2036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1123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2035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2037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1123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1699</v>
      </c>
      <c r="B1800" s="27" t="s">
        <v>1495</v>
      </c>
      <c r="C1800" s="27" t="s">
        <v>1758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1114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2038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2039</v>
      </c>
      <c r="B1803" s="27" t="s">
        <v>1307</v>
      </c>
      <c r="C1803" s="27" t="s">
        <v>1156</v>
      </c>
      <c r="D1803" s="27" t="s">
        <v>1105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1123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2040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1249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1270</v>
      </c>
      <c r="B1807" s="27" t="s">
        <v>2041</v>
      </c>
      <c r="C1807" s="27" t="s">
        <v>1126</v>
      </c>
      <c r="D1807" s="27" t="s">
        <v>1105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1101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1904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1145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/>
    </row>
    <row r="1812" spans="1:12">
      <c r="A1812" s="20" t="s">
        <v>2042</v>
      </c>
    </row>
    <row r="1813" spans="1:12">
      <c r="A1813" s="20" t="s">
        <v>2043</v>
      </c>
      <c r="B1813" s="27" t="s">
        <v>1149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2044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1253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1415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2045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2046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1123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2047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1271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2048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1403</v>
      </c>
      <c r="B1823" s="27" t="s">
        <v>1132</v>
      </c>
      <c r="C1823" s="27" t="s">
        <v>1142</v>
      </c>
      <c r="D1823" s="27" t="s">
        <v>1105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1513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1145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/>
    </row>
    <row r="1827" spans="1:12">
      <c r="A1827" s="20" t="s">
        <v>2049</v>
      </c>
    </row>
    <row r="1828" spans="1:12">
      <c r="A1828" s="20" t="s">
        <v>1353</v>
      </c>
      <c r="B1828" s="27" t="s">
        <v>1149</v>
      </c>
      <c r="C1828" s="27" t="s">
        <v>1126</v>
      </c>
      <c r="D1828" s="27" t="s">
        <v>1105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2050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2051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2052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1305</v>
      </c>
      <c r="B1832" s="27" t="s">
        <v>1103</v>
      </c>
      <c r="C1832" s="27" t="s">
        <v>1116</v>
      </c>
      <c r="D1832" s="27" t="s">
        <v>1105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1123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1239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1974</v>
      </c>
      <c r="B1835" s="27" t="s">
        <v>1259</v>
      </c>
      <c r="C1835" s="27" t="s">
        <v>1126</v>
      </c>
      <c r="D1835" s="27" t="s">
        <v>1105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2053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1596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1145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/>
    </row>
    <row r="1840" spans="1:12">
      <c r="A1840" s="20" t="s">
        <v>2054</v>
      </c>
    </row>
    <row r="1841" spans="1:12">
      <c r="A1841" s="20" t="s">
        <v>1615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1128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1228</v>
      </c>
      <c r="B1843" s="27" t="s">
        <v>1149</v>
      </c>
      <c r="C1843" s="27" t="s">
        <v>1126</v>
      </c>
      <c r="D1843" s="27" t="s">
        <v>1105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1128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1225</v>
      </c>
      <c r="B1845" s="27" t="s">
        <v>1107</v>
      </c>
      <c r="C1845" s="27" t="s">
        <v>1108</v>
      </c>
      <c r="D1845" s="27" t="s">
        <v>1105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2055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2056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1123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1128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2057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2058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1201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2059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2060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2061</v>
      </c>
      <c r="B1855" s="27" t="s">
        <v>1110</v>
      </c>
      <c r="C1855" s="27" t="s">
        <v>1156</v>
      </c>
      <c r="D1855" s="27" t="s">
        <v>1105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2062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1270</v>
      </c>
      <c r="B1857" s="27" t="s">
        <v>1115</v>
      </c>
      <c r="C1857" s="27" t="s">
        <v>1126</v>
      </c>
      <c r="D1857" s="27" t="s">
        <v>1105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1123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135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1253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2063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1846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2064</v>
      </c>
      <c r="B1863" s="27" t="s">
        <v>1125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1101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2065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2066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1184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1402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1145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/>
    </row>
    <row r="1871" spans="1:12">
      <c r="A1871" s="20" t="s">
        <v>2067</v>
      </c>
    </row>
    <row r="1872" spans="1:12">
      <c r="A1872" s="20" t="s">
        <v>1547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763</v>
      </c>
      <c r="B1873" s="27" t="s">
        <v>1149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1134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2068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1128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2069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2070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2071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1145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/>
    </row>
    <row r="1882" spans="1:12">
      <c r="A1882" s="20" t="s">
        <v>2072</v>
      </c>
    </row>
    <row r="1883" spans="1:12">
      <c r="A1883" s="20" t="s">
        <v>1353</v>
      </c>
      <c r="B1883" s="27" t="s">
        <v>1149</v>
      </c>
      <c r="C1883" s="27" t="s">
        <v>1126</v>
      </c>
      <c r="D1883" s="27" t="s">
        <v>1105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2073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1123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1239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 t="s">
        <v>1505</v>
      </c>
      <c r="B1887" s="27" t="s">
        <v>1122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1506</v>
      </c>
      <c r="B1888" s="27" t="s">
        <v>1110</v>
      </c>
      <c r="C1888" s="27" t="s">
        <v>1108</v>
      </c>
      <c r="D1888" s="27" t="s">
        <v>1105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2074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1123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2075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11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1532</v>
      </c>
      <c r="B1893" s="27" t="s">
        <v>1259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1968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1970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2076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1123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2077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1184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2078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2079</v>
      </c>
      <c r="B1901" s="27" t="s">
        <v>1115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1128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2080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1184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1371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2081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2082</v>
      </c>
      <c r="B1907" s="27" t="s">
        <v>1110</v>
      </c>
      <c r="C1907" s="27" t="s">
        <v>1156</v>
      </c>
      <c r="D1907" s="27" t="s">
        <v>1105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1123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1134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2083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2084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1130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2085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1123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1992</v>
      </c>
      <c r="B1915" s="27" t="s">
        <v>1993</v>
      </c>
      <c r="C1915" s="27" t="s">
        <v>1133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2086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1186</v>
      </c>
      <c r="B1917" s="27" t="s">
        <v>1162</v>
      </c>
      <c r="C1917" s="27" t="s">
        <v>1126</v>
      </c>
      <c r="D1917" s="27" t="s">
        <v>1105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1145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/>
    </row>
    <row r="1920" spans="1:12">
      <c r="A1920" s="20" t="s">
        <v>2087</v>
      </c>
    </row>
    <row r="1921" spans="1:12">
      <c r="A1921" s="20" t="s">
        <v>1547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2088</v>
      </c>
      <c r="B1922" s="27" t="s">
        <v>1149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2089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1195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2090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2008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2091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1206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2092</v>
      </c>
      <c r="B1929" s="27" t="s">
        <v>1107</v>
      </c>
      <c r="C1929" s="27" t="s">
        <v>1142</v>
      </c>
      <c r="D1929" s="27" t="s">
        <v>1105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2093</v>
      </c>
      <c r="B1930" s="27" t="s">
        <v>1213</v>
      </c>
      <c r="C1930" s="27" t="s">
        <v>1210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1145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/>
    </row>
    <row r="1933" spans="1:12">
      <c r="A1933" s="20" t="s">
        <v>2094</v>
      </c>
    </row>
    <row r="1934" spans="1:12">
      <c r="A1934" s="20" t="s">
        <v>2095</v>
      </c>
      <c r="B1934" s="27" t="s">
        <v>1149</v>
      </c>
      <c r="C1934" s="27" t="s">
        <v>1133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2096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1123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1909</v>
      </c>
      <c r="B1937" s="27" t="s">
        <v>1122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1128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2097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1123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1128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1112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1617</v>
      </c>
      <c r="B1943" s="27" t="s">
        <v>1259</v>
      </c>
      <c r="C1943" s="27" t="s">
        <v>1126</v>
      </c>
      <c r="D1943" s="27" t="s">
        <v>1105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2098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1123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1342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1123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1494</v>
      </c>
      <c r="B1948" s="27" t="s">
        <v>1115</v>
      </c>
      <c r="C1948" s="27" t="s">
        <v>1126</v>
      </c>
      <c r="D1948" s="27" t="s">
        <v>1105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1117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1128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2099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1145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/>
    </row>
    <row r="1954" spans="1:12">
      <c r="A1954" s="20" t="s">
        <v>2100</v>
      </c>
    </row>
    <row r="1955" spans="1:12">
      <c r="A1955" s="20" t="s">
        <v>2101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1123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1239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2102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1184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1664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2103</v>
      </c>
      <c r="B1961" s="27" t="s">
        <v>1103</v>
      </c>
      <c r="C1961" s="27" t="s">
        <v>1156</v>
      </c>
      <c r="D1961" s="27" t="s">
        <v>1105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1225</v>
      </c>
      <c r="B1962" s="27" t="s">
        <v>1149</v>
      </c>
      <c r="C1962" s="27" t="s">
        <v>1108</v>
      </c>
      <c r="D1962" s="27" t="s">
        <v>1105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1351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/>
    </row>
    <row r="1965" spans="1:12">
      <c r="A1965" s="20" t="s">
        <v>2104</v>
      </c>
    </row>
    <row r="1966" spans="1:12">
      <c r="A1966" s="20" t="s">
        <v>1191</v>
      </c>
      <c r="B1966" s="27" t="s">
        <v>1149</v>
      </c>
      <c r="C1966" s="27" t="s">
        <v>1126</v>
      </c>
      <c r="D1966" s="27" t="s">
        <v>1105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2105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2106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2107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2108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1123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1197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1124</v>
      </c>
      <c r="B1973" s="27" t="s">
        <v>1122</v>
      </c>
      <c r="C1973" s="27" t="s">
        <v>1126</v>
      </c>
      <c r="D1973" s="27" t="s">
        <v>1105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2109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1469</v>
      </c>
      <c r="B1975" s="27" t="s">
        <v>1243</v>
      </c>
      <c r="C1975" s="27" t="s">
        <v>1126</v>
      </c>
      <c r="D1975" s="27" t="s">
        <v>1105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1249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2110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1616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2111</v>
      </c>
      <c r="B1979" s="27" t="s">
        <v>1107</v>
      </c>
      <c r="C1979" s="27" t="s">
        <v>1116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1123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1249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1956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1228</v>
      </c>
      <c r="B1983" s="27" t="s">
        <v>1259</v>
      </c>
      <c r="C1983" s="27" t="s">
        <v>1126</v>
      </c>
      <c r="D1983" s="27" t="s">
        <v>1105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1192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2109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2112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2113</v>
      </c>
      <c r="B1987" s="27" t="s">
        <v>1115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1145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/>
    </row>
    <row r="1990" spans="1:12">
      <c r="A1990" s="20" t="s">
        <v>2114</v>
      </c>
    </row>
    <row r="1991" spans="1:12">
      <c r="A1991" s="20" t="s">
        <v>1353</v>
      </c>
      <c r="B1991" s="27" t="s">
        <v>1149</v>
      </c>
      <c r="C1991" s="27" t="s">
        <v>1126</v>
      </c>
      <c r="D1991" s="27" t="s">
        <v>1105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2115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1253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1415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1128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2116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2117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2118</v>
      </c>
      <c r="B1998" s="27" t="s">
        <v>1122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2119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1506</v>
      </c>
      <c r="B2000" s="27" t="s">
        <v>1132</v>
      </c>
      <c r="C2000" s="27" t="s">
        <v>1108</v>
      </c>
      <c r="D2000" s="27" t="s">
        <v>1105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1128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2120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2061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2008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1145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/>
    </row>
    <row r="2007" spans="1:12">
      <c r="A2007" s="20" t="s">
        <v>2121</v>
      </c>
    </row>
    <row r="2008" spans="1:12">
      <c r="A2008" s="20" t="s">
        <v>1191</v>
      </c>
      <c r="B2008" s="27" t="s">
        <v>1149</v>
      </c>
      <c r="C2008" s="27" t="s">
        <v>1126</v>
      </c>
      <c r="D2008" s="27" t="s">
        <v>1105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2122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1184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1664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2123</v>
      </c>
      <c r="B2012" s="27" t="s">
        <v>1103</v>
      </c>
      <c r="C2012" s="27" t="s">
        <v>1156</v>
      </c>
      <c r="D2012" s="27" t="s">
        <v>1105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1123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1293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1617</v>
      </c>
      <c r="B2015" s="27" t="s">
        <v>1259</v>
      </c>
      <c r="C2015" s="27" t="s">
        <v>1126</v>
      </c>
      <c r="D2015" s="27" t="s">
        <v>1105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2124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1249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2125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2126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1123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2127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1494</v>
      </c>
      <c r="B2022" s="27" t="s">
        <v>1144</v>
      </c>
      <c r="C2022" s="27" t="s">
        <v>1126</v>
      </c>
      <c r="D2022" s="27" t="s">
        <v>1105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1249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1987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1128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1628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2128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 t="s">
        <v>2129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1201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2130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1145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/>
    </row>
    <row r="2033" spans="1:12">
      <c r="A2033" s="20" t="s">
        <v>2131</v>
      </c>
    </row>
    <row r="2034" spans="1:12">
      <c r="A2034" s="20" t="s">
        <v>1547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1225</v>
      </c>
      <c r="B2035" s="27" t="s">
        <v>1149</v>
      </c>
      <c r="C2035" s="27" t="s">
        <v>1108</v>
      </c>
      <c r="D2035" s="27" t="s">
        <v>1105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2132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2133</v>
      </c>
      <c r="B2037" s="27" t="s">
        <v>1213</v>
      </c>
      <c r="C2037" s="27" t="s">
        <v>1126</v>
      </c>
      <c r="D2037" s="27" t="s">
        <v>1105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1184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2134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2135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1201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2136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2137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2065</v>
      </c>
      <c r="B2044" s="27" t="s">
        <v>1107</v>
      </c>
      <c r="C2044" s="27" t="s">
        <v>1210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1145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/>
    </row>
    <row r="2047" spans="1:12">
      <c r="A2047" s="20" t="s">
        <v>2138</v>
      </c>
    </row>
    <row r="2048" spans="1:12">
      <c r="A2048" s="20" t="s">
        <v>2139</v>
      </c>
      <c r="B2048" s="27" t="s">
        <v>1149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2140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1184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1221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1347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1123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1812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2141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2142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1123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2143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1249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2144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1128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1123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2145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2146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2147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2148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2149</v>
      </c>
      <c r="B2067" s="27" t="s">
        <v>1141</v>
      </c>
      <c r="C2067" s="27" t="s">
        <v>1210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1123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2150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1145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/>
    </row>
    <row r="2072" spans="1:12">
      <c r="A2072" s="20" t="s">
        <v>2151</v>
      </c>
    </row>
    <row r="2073" spans="1:12">
      <c r="A2073" s="20" t="s">
        <v>1191</v>
      </c>
      <c r="B2073" s="27" t="s">
        <v>1149</v>
      </c>
      <c r="C2073" s="27" t="s">
        <v>1126</v>
      </c>
      <c r="D2073" s="27" t="s">
        <v>1105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2152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1391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2153</v>
      </c>
      <c r="B2076" s="27" t="s">
        <v>1103</v>
      </c>
      <c r="C2076" s="27" t="s">
        <v>1126</v>
      </c>
      <c r="D2076" s="27" t="s">
        <v>1105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1123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2154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1195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2155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1123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1128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2156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2157</v>
      </c>
      <c r="B2084" s="27" t="s">
        <v>1243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2158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1271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1371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2159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2160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2022</v>
      </c>
      <c r="B2090" s="27" t="s">
        <v>1144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1123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1197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2161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1198</v>
      </c>
      <c r="B2094" s="27" t="s">
        <v>2162</v>
      </c>
      <c r="C2094" s="27" t="s">
        <v>1126</v>
      </c>
      <c r="D2094" s="27" t="s">
        <v>1105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1134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1199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1111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2163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763</v>
      </c>
      <c r="B2099" s="27" t="s">
        <v>1993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1309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2164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1145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/>
    </row>
    <row r="2104" spans="1:12">
      <c r="A2104" s="20" t="s">
        <v>2165</v>
      </c>
    </row>
    <row r="2105" spans="1:12">
      <c r="A2105" s="20" t="s">
        <v>2166</v>
      </c>
      <c r="B2105" s="27" t="s">
        <v>1149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1506</v>
      </c>
      <c r="B2106" s="27" t="s">
        <v>1107</v>
      </c>
      <c r="C2106" s="27" t="s">
        <v>1108</v>
      </c>
      <c r="D2106" s="27" t="s">
        <v>1105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2167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1169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2168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1475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1123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228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1617</v>
      </c>
      <c r="B2113" s="27" t="s">
        <v>1259</v>
      </c>
      <c r="C2113" s="27" t="s">
        <v>1126</v>
      </c>
      <c r="D2113" s="27" t="s">
        <v>1105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2169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1186</v>
      </c>
      <c r="B2115" s="27" t="s">
        <v>1115</v>
      </c>
      <c r="C2115" s="27" t="s">
        <v>1126</v>
      </c>
      <c r="D2115" s="27" t="s">
        <v>1105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1145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/>
    </row>
    <row r="2118" spans="1:12">
      <c r="A2118" s="20" t="s">
        <v>2170</v>
      </c>
    </row>
    <row r="2119" spans="1:12">
      <c r="A2119" s="20" t="s">
        <v>1353</v>
      </c>
      <c r="B2119" s="27" t="s">
        <v>1149</v>
      </c>
      <c r="C2119" s="27" t="s">
        <v>1126</v>
      </c>
      <c r="D2119" s="27" t="s">
        <v>1105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2171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 t="s">
        <v>1130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1421</v>
      </c>
      <c r="B2122" s="27" t="s">
        <v>1103</v>
      </c>
      <c r="C2122" s="27" t="s">
        <v>1126</v>
      </c>
      <c r="D2122" s="27" t="s">
        <v>1105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2172</v>
      </c>
      <c r="B2123" s="27" t="s">
        <v>1213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1123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1128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1225</v>
      </c>
      <c r="B2126" s="27" t="s">
        <v>1122</v>
      </c>
      <c r="C2126" s="27" t="s">
        <v>1108</v>
      </c>
      <c r="D2126" s="27" t="s">
        <v>1105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2173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2174</v>
      </c>
      <c r="B2128" s="27" t="s">
        <v>1243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1123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2175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1123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135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1124</v>
      </c>
      <c r="B2133" s="27" t="s">
        <v>1125</v>
      </c>
      <c r="C2133" s="27" t="s">
        <v>1126</v>
      </c>
      <c r="D2133" s="27" t="s">
        <v>1105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1134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2176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1128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135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2177</v>
      </c>
      <c r="B2138" s="27" t="s">
        <v>1307</v>
      </c>
      <c r="C2138" s="27" t="s">
        <v>1142</v>
      </c>
      <c r="D2138" s="27" t="s">
        <v>1105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2178</v>
      </c>
      <c r="B2139" s="27" t="s">
        <v>1870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2179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2180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1145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/>
    </row>
    <row r="2144" spans="1:12">
      <c r="A2144" s="20" t="s">
        <v>2181</v>
      </c>
    </row>
    <row r="2145" spans="1:12">
      <c r="A2145" s="20" t="s">
        <v>1368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1564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2182</v>
      </c>
      <c r="B2147" s="27" t="s">
        <v>1149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1318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2119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1506</v>
      </c>
      <c r="B2150" s="27" t="s">
        <v>1110</v>
      </c>
      <c r="C2150" s="27" t="s">
        <v>1108</v>
      </c>
      <c r="D2150" s="27" t="s">
        <v>1105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2183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1128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1124</v>
      </c>
      <c r="B2153" s="27" t="s">
        <v>1122</v>
      </c>
      <c r="C2153" s="27" t="s">
        <v>1126</v>
      </c>
      <c r="D2153" s="27" t="s">
        <v>1105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2184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2185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1145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/>
    </row>
    <row r="2158" spans="1:12">
      <c r="A2158" s="20" t="s">
        <v>2186</v>
      </c>
    </row>
    <row r="2159" spans="1:12">
      <c r="A2159" s="20" t="s">
        <v>727</v>
      </c>
      <c r="B2159" s="27" t="s">
        <v>1149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2187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1166</v>
      </c>
      <c r="B2161" s="27" t="s">
        <v>1213</v>
      </c>
      <c r="C2161" s="27" t="s">
        <v>1126</v>
      </c>
      <c r="D2161" s="27" t="s">
        <v>1105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2188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2142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2189</v>
      </c>
      <c r="B2164" s="27" t="s">
        <v>1213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2190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1130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2191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1123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1128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 t="s">
        <v>1824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1982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1249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1270</v>
      </c>
      <c r="B2173" s="27" t="s">
        <v>1107</v>
      </c>
      <c r="C2173" s="27" t="s">
        <v>1126</v>
      </c>
      <c r="D2173" s="27" t="s">
        <v>1105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2192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2193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 t="s">
        <v>2194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2019</v>
      </c>
      <c r="B2177" s="27" t="s">
        <v>1107</v>
      </c>
      <c r="C2177" s="27" t="s">
        <v>1210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1145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/>
    </row>
    <row r="2180" spans="1:12">
      <c r="A2180" s="20" t="s">
        <v>2195</v>
      </c>
    </row>
    <row r="2181" spans="1:12">
      <c r="A2181" s="20" t="s">
        <v>1111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2101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2196</v>
      </c>
      <c r="B2183" s="27" t="s">
        <v>1107</v>
      </c>
      <c r="C2183" s="27" t="s">
        <v>1142</v>
      </c>
      <c r="D2183" s="27" t="s">
        <v>1105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1351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1111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2197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1530</v>
      </c>
      <c r="B2187" s="27" t="s">
        <v>1149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1145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/>
    </row>
    <row r="2190" spans="1:12">
      <c r="A2190" s="20" t="s">
        <v>2198</v>
      </c>
    </row>
    <row r="2191" spans="1:12">
      <c r="A2191" s="20" t="s">
        <v>1111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2199</v>
      </c>
      <c r="B2192" s="27" t="s">
        <v>1149</v>
      </c>
      <c r="C2192" s="27" t="s">
        <v>1133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1114</v>
      </c>
      <c r="B2193" s="27" t="s">
        <v>1149</v>
      </c>
      <c r="C2193" s="27" t="s">
        <v>1116</v>
      </c>
      <c r="D2193" s="27" t="s">
        <v>1105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1120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1334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/>
    </row>
    <row r="2197" spans="1:12">
      <c r="A2197" s="20" t="s">
        <v>2200</v>
      </c>
    </row>
    <row r="2198" spans="1:12">
      <c r="A2198" s="20" t="s">
        <v>2199</v>
      </c>
      <c r="B2198" s="27" t="s">
        <v>1103</v>
      </c>
      <c r="C2198" s="27" t="s">
        <v>1133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1114</v>
      </c>
      <c r="B2199" s="27" t="s">
        <v>1149</v>
      </c>
      <c r="C2199" s="27" t="s">
        <v>1116</v>
      </c>
      <c r="D2199" s="27" t="s">
        <v>1105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1123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2201</v>
      </c>
      <c r="B2201" s="27" t="s">
        <v>1122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2202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1123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1120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1334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/>
    </row>
    <row r="2207" spans="1:12">
      <c r="A2207" s="20" t="s">
        <v>2203</v>
      </c>
    </row>
    <row r="2208" spans="1:12">
      <c r="A2208" s="20" t="s">
        <v>1111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2204</v>
      </c>
      <c r="B2209" s="27" t="s">
        <v>1103</v>
      </c>
      <c r="C2209" s="27" t="s">
        <v>1133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1173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1974</v>
      </c>
      <c r="B2211" s="27" t="s">
        <v>1149</v>
      </c>
      <c r="C2211" s="27" t="s">
        <v>1126</v>
      </c>
      <c r="D2211" s="27" t="s">
        <v>1105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1129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1120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1123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1974</v>
      </c>
      <c r="B2215" s="27" t="s">
        <v>1122</v>
      </c>
      <c r="C2215" s="27" t="s">
        <v>1126</v>
      </c>
      <c r="D2215" s="27" t="s">
        <v>1105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2205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1123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1111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1425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1225</v>
      </c>
      <c r="B2220" s="27" t="s">
        <v>1122</v>
      </c>
      <c r="C2220" s="27" t="s">
        <v>1108</v>
      </c>
      <c r="D2220" s="27" t="s">
        <v>1105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1145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/>
    </row>
    <row r="2223" spans="1:12">
      <c r="A2223" s="20" t="s">
        <v>2206</v>
      </c>
    </row>
    <row r="2224" spans="1:12">
      <c r="A2224" s="20" t="s">
        <v>1111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2207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2208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1123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1992</v>
      </c>
      <c r="B2228" s="27" t="s">
        <v>1259</v>
      </c>
      <c r="C2228" s="27" t="s">
        <v>1133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2209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2210</v>
      </c>
      <c r="B2230" s="27" t="s">
        <v>1132</v>
      </c>
      <c r="C2230" s="27" t="s">
        <v>1142</v>
      </c>
      <c r="D2230" s="27" t="s">
        <v>1105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2211</v>
      </c>
      <c r="B2231" s="27" t="s">
        <v>1115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1123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2212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2213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1145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/>
    </row>
    <row r="2237" spans="1:12">
      <c r="A2237" s="20" t="s">
        <v>2214</v>
      </c>
    </row>
    <row r="2238" spans="1:12">
      <c r="A2238" s="20" t="s">
        <v>2043</v>
      </c>
      <c r="B2238" s="27" t="s">
        <v>1149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1123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2215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1721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1722</v>
      </c>
      <c r="B2242" s="27" t="s">
        <v>1110</v>
      </c>
      <c r="C2242" s="27" t="s">
        <v>1126</v>
      </c>
      <c r="D2242" s="27" t="s">
        <v>1105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1123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2216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2032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1910</v>
      </c>
      <c r="B2246" s="27" t="s">
        <v>1243</v>
      </c>
      <c r="C2246" s="27" t="s">
        <v>1133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2217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2218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1136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2219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1128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2220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1145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/>
    </row>
    <row r="2255" spans="1:12">
      <c r="A2255" s="20" t="s">
        <v>2221</v>
      </c>
    </row>
    <row r="2256" spans="1:12">
      <c r="A2256" s="20" t="s">
        <v>1400</v>
      </c>
      <c r="B2256" s="27" t="s">
        <v>1149</v>
      </c>
      <c r="C2256" s="27" t="s">
        <v>1116</v>
      </c>
      <c r="D2256" s="27" t="s">
        <v>1105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1309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1134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2222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2223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1128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1134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2224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2225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1123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1224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1123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1933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 t="s">
        <v>1123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2226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 t="s">
        <v>1111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2227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1123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2228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2229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2230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1130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2231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2232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1145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/>
    </row>
    <row r="2282" spans="1:12">
      <c r="A2282" s="20" t="s">
        <v>2233</v>
      </c>
    </row>
    <row r="2283" spans="1:12">
      <c r="A2283" s="20" t="s">
        <v>2234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2235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1123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1283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1249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2236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2237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1123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1186</v>
      </c>
      <c r="B2291" s="27" t="s">
        <v>1107</v>
      </c>
      <c r="C2291" s="27" t="s">
        <v>1142</v>
      </c>
      <c r="D2291" s="27" t="s">
        <v>1105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2003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2238</v>
      </c>
      <c r="B2293" s="27" t="s">
        <v>1149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1206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2009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2239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2240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2241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1123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2242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2243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2244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2019</v>
      </c>
      <c r="B2303" s="27" t="s">
        <v>1122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1218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2245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2246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2247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1145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/>
    </row>
    <row r="2310" spans="1:12">
      <c r="A2310" s="20" t="s">
        <v>2248</v>
      </c>
    </row>
    <row r="2311" spans="1:12">
      <c r="A2311" s="20" t="s">
        <v>1191</v>
      </c>
      <c r="B2311" s="27" t="s">
        <v>1149</v>
      </c>
      <c r="C2311" s="27" t="s">
        <v>1126</v>
      </c>
      <c r="D2311" s="27" t="s">
        <v>1105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2249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1139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1371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2160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2250</v>
      </c>
      <c r="B2316" s="27" t="s">
        <v>1103</v>
      </c>
      <c r="C2316" s="27" t="s">
        <v>1156</v>
      </c>
      <c r="D2316" s="27" t="s">
        <v>1105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1128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1123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2251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1833</v>
      </c>
      <c r="B2320" s="27" t="s">
        <v>1115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1123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1574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1123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 t="s">
        <v>135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1207</v>
      </c>
      <c r="B2325" s="27" t="s">
        <v>1132</v>
      </c>
      <c r="C2325" s="27" t="s">
        <v>1142</v>
      </c>
      <c r="D2325" s="27" t="s">
        <v>1105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2252</v>
      </c>
      <c r="B2326" s="27" t="s">
        <v>1259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1355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2253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1184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1204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1145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/>
    </row>
    <row r="2333" spans="1:12">
      <c r="A2333" s="20" t="s">
        <v>2254</v>
      </c>
    </row>
    <row r="2334" spans="1:12">
      <c r="A2334" s="20" t="s">
        <v>1111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2255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1123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1111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1425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1228</v>
      </c>
      <c r="B2339" s="27" t="s">
        <v>1122</v>
      </c>
      <c r="C2339" s="27" t="s">
        <v>1126</v>
      </c>
      <c r="D2339" s="27" t="s">
        <v>1105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1145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/>
    </row>
    <row r="2342" spans="1:12">
      <c r="A2342" s="20" t="s">
        <v>2256</v>
      </c>
    </row>
    <row r="2343" spans="1:12">
      <c r="A2343" s="20" t="s">
        <v>1111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1436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1123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1128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2257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2258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552</v>
      </c>
      <c r="B2349" s="27" t="s">
        <v>1103</v>
      </c>
      <c r="C2349" s="27" t="s">
        <v>1289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1123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1111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2259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1225</v>
      </c>
      <c r="B2353" s="27" t="s">
        <v>1122</v>
      </c>
      <c r="C2353" s="27" t="s">
        <v>1108</v>
      </c>
      <c r="D2353" s="27" t="s">
        <v>1105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1123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2260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2261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1145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/>
    </row>
    <row r="2359" spans="1:12">
      <c r="A2359" s="20" t="s">
        <v>2262</v>
      </c>
    </row>
    <row r="2360" spans="1:12">
      <c r="A2360" s="20" t="s">
        <v>1111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2263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2264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1123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2265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1318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2008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1134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2266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2267</v>
      </c>
      <c r="B2369" s="27" t="s">
        <v>1122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1145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/>
    </row>
    <row r="2372" spans="1:12">
      <c r="A2372" s="20" t="s">
        <v>2268</v>
      </c>
    </row>
    <row r="2373" spans="1:12">
      <c r="A2373" s="20" t="s">
        <v>2269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1270</v>
      </c>
      <c r="B2374" s="27" t="s">
        <v>1213</v>
      </c>
      <c r="C2374" s="27" t="s">
        <v>1126</v>
      </c>
      <c r="D2374" s="27" t="s">
        <v>1105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1123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1505</v>
      </c>
      <c r="B2376" s="27" t="s">
        <v>1107</v>
      </c>
      <c r="C2376" s="27" t="s">
        <v>1104</v>
      </c>
      <c r="D2376" s="27" t="s">
        <v>1105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1506</v>
      </c>
      <c r="B2377" s="27" t="s">
        <v>1110</v>
      </c>
      <c r="C2377" s="27" t="s">
        <v>1108</v>
      </c>
      <c r="D2377" s="27" t="s">
        <v>1105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1123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135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1217</v>
      </c>
      <c r="B2380" s="27" t="s">
        <v>1125</v>
      </c>
      <c r="C2380" s="27" t="s">
        <v>1126</v>
      </c>
      <c r="D2380" s="27" t="s">
        <v>1105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2270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1408</v>
      </c>
      <c r="B2382" s="27" t="s">
        <v>1144</v>
      </c>
      <c r="C2382" s="27" t="s">
        <v>1126</v>
      </c>
      <c r="D2382" s="27" t="s">
        <v>1105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2271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2272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2273</v>
      </c>
      <c r="B2385" s="27" t="s">
        <v>1144</v>
      </c>
      <c r="C2385" s="27" t="s">
        <v>1116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1145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/>
    </row>
    <row r="2388" spans="1:12">
      <c r="A2388" s="20" t="s">
        <v>2274</v>
      </c>
    </row>
    <row r="2389" spans="1:12">
      <c r="A2389" s="20" t="s">
        <v>1191</v>
      </c>
      <c r="B2389" s="27" t="s">
        <v>1149</v>
      </c>
      <c r="C2389" s="27" t="s">
        <v>1126</v>
      </c>
      <c r="D2389" s="27" t="s">
        <v>1105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2275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2276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2277</v>
      </c>
      <c r="B2392" s="27" t="s">
        <v>1243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1123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1197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2278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1134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2279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 t="s">
        <v>1123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135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1114</v>
      </c>
      <c r="B2400" s="27" t="s">
        <v>1259</v>
      </c>
      <c r="C2400" s="27" t="s">
        <v>1116</v>
      </c>
      <c r="D2400" s="27" t="s">
        <v>1105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1875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2110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1957</v>
      </c>
      <c r="B2403" s="27" t="s">
        <v>1107</v>
      </c>
      <c r="C2403" s="27" t="s">
        <v>1116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1145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/>
    </row>
    <row r="2406" spans="1:12">
      <c r="A2406" s="20" t="s">
        <v>2280</v>
      </c>
    </row>
    <row r="2407" spans="1:12">
      <c r="A2407" s="20" t="s">
        <v>2281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2282</v>
      </c>
      <c r="B2408" s="27" t="s">
        <v>1103</v>
      </c>
      <c r="C2408" s="27" t="s">
        <v>1116</v>
      </c>
      <c r="D2408" s="27" t="s">
        <v>1105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1616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1242</v>
      </c>
      <c r="B2410" s="27" t="s">
        <v>1213</v>
      </c>
      <c r="C2410" s="27" t="s">
        <v>1126</v>
      </c>
      <c r="D2410" s="27" t="s">
        <v>1105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2283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263</v>
      </c>
      <c r="B2412" s="27" t="s">
        <v>1149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1123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1128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1217</v>
      </c>
      <c r="B2415" s="27" t="s">
        <v>1122</v>
      </c>
      <c r="C2415" s="27" t="s">
        <v>1126</v>
      </c>
      <c r="D2415" s="27" t="s">
        <v>1105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1134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2284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2285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2286</v>
      </c>
      <c r="B2419" s="27" t="s">
        <v>1115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2287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 t="s">
        <v>2288</v>
      </c>
      <c r="B2421" s="27" t="s">
        <v>1115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1145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/>
    </row>
    <row r="2424" spans="1:12">
      <c r="A2424" s="20" t="s">
        <v>2289</v>
      </c>
    </row>
    <row r="2425" spans="1:12">
      <c r="A2425" s="20" t="s">
        <v>1111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1332</v>
      </c>
      <c r="B2426" s="27" t="s">
        <v>1149</v>
      </c>
      <c r="C2426" s="27" t="s">
        <v>1126</v>
      </c>
      <c r="D2426" s="27" t="s">
        <v>1105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2290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1198</v>
      </c>
      <c r="B2428" s="27" t="s">
        <v>1213</v>
      </c>
      <c r="C2428" s="27" t="s">
        <v>1126</v>
      </c>
      <c r="D2428" s="27" t="s">
        <v>1105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1694</v>
      </c>
      <c r="B2429" s="27" t="s">
        <v>1213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1145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/>
    </row>
    <row r="2432" spans="1:12">
      <c r="A2432" s="20" t="s">
        <v>2291</v>
      </c>
    </row>
    <row r="2433" spans="1:12">
      <c r="A2433" s="20" t="s">
        <v>1111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2292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1494</v>
      </c>
      <c r="B2435" s="27" t="s">
        <v>1213</v>
      </c>
      <c r="C2435" s="27" t="s">
        <v>1126</v>
      </c>
      <c r="D2435" s="27" t="s">
        <v>1105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2293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2294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1145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1145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1145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/>
    </row>
    <row r="2442" spans="1:12">
      <c r="A2442" s="20" t="s">
        <v>2295</v>
      </c>
    </row>
    <row r="2443" spans="1:12">
      <c r="A2443" s="20" t="s">
        <v>1873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1239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1123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2296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590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1334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/>
    </row>
    <row r="2450" spans="1:12">
      <c r="A2450" s="20" t="s">
        <v>2297</v>
      </c>
    </row>
    <row r="2451" spans="1:12">
      <c r="A2451" s="20" t="s">
        <v>1111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2298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1198</v>
      </c>
      <c r="B2453" s="27" t="s">
        <v>1213</v>
      </c>
      <c r="C2453" s="27" t="s">
        <v>1126</v>
      </c>
      <c r="D2453" s="27" t="s">
        <v>1105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2009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12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2299</v>
      </c>
      <c r="B2456" s="27" t="s">
        <v>1149</v>
      </c>
      <c r="C2456" s="27" t="s">
        <v>1104</v>
      </c>
      <c r="D2456" s="27" t="s">
        <v>1105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1154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2191</v>
      </c>
      <c r="B2458" s="27" t="s">
        <v>1107</v>
      </c>
      <c r="C2458" s="27" t="s">
        <v>1156</v>
      </c>
      <c r="D2458" s="27" t="s">
        <v>1105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1123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1128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2300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1206</v>
      </c>
      <c r="B2462" s="27" t="s">
        <v>1122</v>
      </c>
      <c r="C2462" s="27" t="s">
        <v>1126</v>
      </c>
      <c r="D2462" s="27" t="s">
        <v>1105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1875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 t="s">
        <v>1184</v>
      </c>
      <c r="E2464" s="21">
        <f>IF(D2464="?OLD","!!!","")</f>
        <v/>
      </c>
      <c r="F2464" s="22" t="str">
        <f>IF(OR(E2464="",E2464="!!!"),"",IF(NOT(ISNA(VLOOKUP(E2464,E$1:E2463,1,FALSE()))),"OLD",IF(AND(E2464&lt;&gt;"",E2464&lt;&gt;"!!!"),"NEW","")))</f>
        <v> </v>
      </c>
      <c r="G2464" s="23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4" t="str">
        <f>IF(J2464&lt;&gt;1,"",IF(I2464="SBJ","CB","?"))</f>
        <v> </v>
      </c>
      <c r="I2464" s="25" t="str">
        <f>IF(OR(E2464="",E2464="!!!",F2464="NEW"),"",INDEX(B2463:B$2,-1+SUMPRODUCT(MAX(ROW(E2463:E$2)*(E2464=E2463:E$2)))))</f>
        <v> </v>
      </c>
      <c r="J2464" s="25" t="str">
        <f>IF(OR(E2464="",E2464="!!!",F2464="NEW"),"",COUNTBLANK(OFFSET(A$1,,,SUMPRODUCT(MAX(ROW(E$2:E2464)*(E2464=E$2:E2464)))))-COUNTBLANK(OFFSET(A$1,,,SUMPRODUCT(MAX(ROW(E$1:E2463)*(E2=E$1:E2463))))))</f>
        <v> </v>
      </c>
      <c r="K2464" s="25" t="str">
        <f>IF(OR(E2464="",E2464="!!!",F2464="NEW"),"",INDEX(J$1:J2463,SUMPRODUCT(MAX(ROW(E$1:E2463)*(E2464=E$1:E2463)))))</f>
        <v> </v>
      </c>
      <c r="L2464" s="26"/>
    </row>
    <row r="2465" spans="1:12">
      <c r="A2465" s="20" t="s">
        <v>2301</v>
      </c>
      <c r="B2465" s="27" t="s">
        <v>1103</v>
      </c>
      <c r="C2465" s="27" t="s">
        <v>1210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1145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/>
    </row>
    <row r="2468" spans="1:12">
      <c r="A2468" s="20" t="s">
        <v>2302</v>
      </c>
    </row>
    <row r="2469" spans="1:12">
      <c r="A2469" s="20" t="s">
        <v>1873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396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1351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/>
    </row>
    <row r="2473" spans="1:12">
      <c r="A2473" s="20" t="s">
        <v>2303</v>
      </c>
    </row>
    <row r="2474" spans="1:12">
      <c r="A2474" s="20" t="s">
        <v>1406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1130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2304</v>
      </c>
      <c r="B2476" s="27" t="s">
        <v>1107</v>
      </c>
      <c r="C2476" s="27" t="s">
        <v>1142</v>
      </c>
      <c r="D2476" s="27" t="s">
        <v>1105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2305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1228</v>
      </c>
      <c r="B2478" s="27" t="s">
        <v>1149</v>
      </c>
      <c r="C2478" s="27" t="s">
        <v>1126</v>
      </c>
      <c r="D2478" s="27" t="s">
        <v>1105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2306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1145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/>
    </row>
    <row r="2482" spans="1:12">
      <c r="A2482" s="20" t="s">
        <v>2307</v>
      </c>
    </row>
    <row r="2483" spans="1:12">
      <c r="A2483" s="20" t="s">
        <v>1368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135</v>
      </c>
      <c r="B2484" s="27" t="s">
        <v>1243</v>
      </c>
      <c r="C2484" s="27" t="s">
        <v>1133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1362</v>
      </c>
      <c r="B2485" s="27" t="s">
        <v>1149</v>
      </c>
      <c r="C2485" s="27" t="s">
        <v>1126</v>
      </c>
      <c r="D2485" s="27" t="s">
        <v>1105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2308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334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1745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1334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/>
    </row>
    <row r="2491" spans="1:12">
      <c r="A2491" s="20" t="s">
        <v>2309</v>
      </c>
    </row>
    <row r="2492" spans="1:12">
      <c r="A2492" s="20" t="s">
        <v>1111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2310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2311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1408</v>
      </c>
      <c r="B2495" s="27" t="s">
        <v>1213</v>
      </c>
      <c r="C2495" s="27" t="s">
        <v>1126</v>
      </c>
      <c r="D2495" s="27" t="s">
        <v>1105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115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1111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1362</v>
      </c>
      <c r="B2498" s="27" t="s">
        <v>1122</v>
      </c>
      <c r="C2498" s="27" t="s">
        <v>1126</v>
      </c>
      <c r="D2498" s="27" t="s">
        <v>1105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1628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2312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2313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1201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2314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2103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1123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1111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1224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1564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2315</v>
      </c>
      <c r="B2509" s="27" t="s">
        <v>1125</v>
      </c>
      <c r="C2509" s="27" t="s">
        <v>1133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1101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 t="s">
        <v>1270</v>
      </c>
      <c r="B2511" s="27" t="s">
        <v>1132</v>
      </c>
      <c r="C2511" s="27" t="s">
        <v>1126</v>
      </c>
      <c r="D2511" s="27" t="s">
        <v>1105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2316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1130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2317</v>
      </c>
      <c r="B2514" s="27" t="s">
        <v>1132</v>
      </c>
      <c r="C2514" s="27" t="s">
        <v>1126</v>
      </c>
      <c r="D2514" s="27" t="s">
        <v>1105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1543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1145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/>
    </row>
    <row r="2518" spans="1:12">
      <c r="A2518" s="20" t="s">
        <v>2318</v>
      </c>
    </row>
    <row r="2519" spans="1:12">
      <c r="A2519" s="20" t="s">
        <v>2319</v>
      </c>
      <c r="B2519" s="27" t="s">
        <v>1149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2320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2321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1123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1197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1134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2322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1145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/>
    </row>
    <row r="2528" spans="1:12">
      <c r="A2528" s="20" t="s">
        <v>2323</v>
      </c>
    </row>
    <row r="2529" spans="1:12">
      <c r="A2529" s="20" t="s">
        <v>1633</v>
      </c>
      <c r="B2529" s="27" t="s">
        <v>1149</v>
      </c>
      <c r="C2529" s="27" t="s">
        <v>1126</v>
      </c>
      <c r="D2529" s="27" t="s">
        <v>1105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2324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2325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1239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2326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1128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2327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2328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2329</v>
      </c>
      <c r="B2537" s="27" t="s">
        <v>1107</v>
      </c>
      <c r="C2537" s="27" t="s">
        <v>1210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 t="s">
        <v>1145</v>
      </c>
      <c r="E2538" s="21">
        <f>IF(D2538="?OLD","!!!","")</f>
        <v/>
      </c>
      <c r="F2538" s="22" t="str">
        <f>IF(OR(E2538="",E2538="!!!"),"",IF(NOT(ISNA(VLOOKUP(E2538,E$1:E2537,1,FALSE()))),"OLD",IF(AND(E2538&lt;&gt;"",E2538&lt;&gt;"!!!"),"NEW","")))</f>
        <v> </v>
      </c>
      <c r="G2538" s="23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4" t="str">
        <f>IF(J2538&lt;&gt;1,"",IF(I2538="SBJ","CB","?"))</f>
        <v> </v>
      </c>
      <c r="I2538" s="25" t="str">
        <f>IF(OR(E2538="",E2538="!!!",F2538="NEW"),"",INDEX(B2537:B$2,-1+SUMPRODUCT(MAX(ROW(E2537:E$2)*(E2538=E2537:E$2)))))</f>
        <v> </v>
      </c>
      <c r="J2538" s="25" t="str">
        <f>IF(OR(E2538="",E2538="!!!",F2538="NEW"),"",COUNTBLANK(OFFSET(A$1,,,SUMPRODUCT(MAX(ROW(E$2:E2538)*(E2538=E$2:E2538)))))-COUNTBLANK(OFFSET(A$1,,,SUMPRODUCT(MAX(ROW(E$1:E2537)*(E2=E$1:E2537))))))</f>
        <v> </v>
      </c>
      <c r="K2538" s="25" t="str">
        <f>IF(OR(E2538="",E2538="!!!",F2538="NEW"),"",INDEX(J$1:J2537,SUMPRODUCT(MAX(ROW(E$1:E2537)*(E2538=E$1:E2537)))))</f>
        <v> </v>
      </c>
      <c r="L2538" s="26"/>
    </row>
    <row r="2539" spans="1:12">
      <c r="A2539" s="20"/>
    </row>
    <row r="2540" spans="1:12">
      <c r="A2540" s="20" t="s">
        <v>2330</v>
      </c>
    </row>
    <row r="2541" spans="1:12">
      <c r="A2541" s="20" t="s">
        <v>1353</v>
      </c>
      <c r="B2541" s="27" t="s">
        <v>1149</v>
      </c>
      <c r="C2541" s="27" t="s">
        <v>1126</v>
      </c>
      <c r="D2541" s="27" t="s">
        <v>1105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2331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1186</v>
      </c>
      <c r="B2543" s="27" t="s">
        <v>1213</v>
      </c>
      <c r="C2543" s="27" t="s">
        <v>1126</v>
      </c>
      <c r="D2543" s="27" t="s">
        <v>1105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1271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2332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 t="s">
        <v>1145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/>
    </row>
    <row r="2548" spans="1:12">
      <c r="A2548" s="20" t="s">
        <v>2333</v>
      </c>
    </row>
    <row r="2549" spans="1:12">
      <c r="A2549" s="20" t="s">
        <v>1633</v>
      </c>
      <c r="B2549" s="27" t="s">
        <v>1149</v>
      </c>
      <c r="C2549" s="27" t="s">
        <v>1126</v>
      </c>
      <c r="D2549" s="27" t="s">
        <v>1105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2334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1475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1123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2335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 t="s">
        <v>2328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2329</v>
      </c>
      <c r="B2555" s="27" t="s">
        <v>1107</v>
      </c>
      <c r="C2555" s="27" t="s">
        <v>1210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1123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1128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2336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1241</v>
      </c>
      <c r="B2559" s="27" t="s">
        <v>1243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2337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1145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/>
    </row>
    <row r="2563" spans="1:12">
      <c r="A2563" s="20" t="s">
        <v>2338</v>
      </c>
    </row>
    <row r="2564" spans="1:12">
      <c r="A2564" s="20" t="s">
        <v>1111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1368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1369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1242</v>
      </c>
      <c r="B2567" s="27" t="s">
        <v>1213</v>
      </c>
      <c r="C2567" s="27" t="s">
        <v>1126</v>
      </c>
      <c r="D2567" s="27" t="s">
        <v>1105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2339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948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1123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1111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1425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1225</v>
      </c>
      <c r="B2573" s="27" t="s">
        <v>1259</v>
      </c>
      <c r="C2573" s="27" t="s">
        <v>1108</v>
      </c>
      <c r="D2573" s="27" t="s">
        <v>1105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1145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/>
    </row>
    <row r="2576" spans="1:12">
      <c r="A2576" s="20" t="s">
        <v>2340</v>
      </c>
    </row>
    <row r="2577" spans="1:12">
      <c r="A2577" s="20" t="s">
        <v>1111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2341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2342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2343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1930</v>
      </c>
      <c r="B2581" s="27" t="s">
        <v>1243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1145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/>
    </row>
    <row r="2584" spans="1:12">
      <c r="A2584" s="20" t="s">
        <v>2344</v>
      </c>
    </row>
    <row r="2585" spans="1:12">
      <c r="A2585" s="20" t="s">
        <v>2345</v>
      </c>
      <c r="B2585" s="27" t="s">
        <v>1149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2346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626</v>
      </c>
      <c r="B2587" s="27" t="s">
        <v>1103</v>
      </c>
      <c r="C2587" s="27" t="s">
        <v>1210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1145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/>
    </row>
    <row r="2590" spans="1:12">
      <c r="A2590" s="20" t="s">
        <v>2347</v>
      </c>
    </row>
    <row r="2591" spans="1:12">
      <c r="A2591" s="20" t="s">
        <v>2348</v>
      </c>
      <c r="B2591" s="27" t="s">
        <v>1149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2349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1369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630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1123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2350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1113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2129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2351</v>
      </c>
      <c r="B2599" s="27" t="s">
        <v>1115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1145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1145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1145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/>
    </row>
    <row r="2604" spans="1:12">
      <c r="A2604" s="20" t="s">
        <v>2352</v>
      </c>
    </row>
    <row r="2605" spans="1:12">
      <c r="A2605" s="20" t="s">
        <v>2353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2354</v>
      </c>
      <c r="B2606" s="27" t="s">
        <v>1149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1123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1184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1446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1186</v>
      </c>
      <c r="B2610" s="27" t="s">
        <v>1122</v>
      </c>
      <c r="C2610" s="27" t="s">
        <v>1126</v>
      </c>
      <c r="D2610" s="27" t="s">
        <v>1105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1628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1134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2355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1123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1111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2356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1225</v>
      </c>
      <c r="B2617" s="27" t="s">
        <v>1259</v>
      </c>
      <c r="C2617" s="27" t="s">
        <v>1108</v>
      </c>
      <c r="D2617" s="27" t="s">
        <v>1105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 t="s">
        <v>1123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1919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2357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1961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1130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1722</v>
      </c>
      <c r="B2623" s="27" t="s">
        <v>1141</v>
      </c>
      <c r="C2623" s="27" t="s">
        <v>1126</v>
      </c>
      <c r="D2623" s="27" t="s">
        <v>1105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1253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1415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1145</v>
      </c>
      <c r="E2626" s="21">
        <f>IF(D2626="?OLD","!!!","")</f>
        <v/>
      </c>
      <c r="F2626" s="22" t="str">
        <f>IF(OR(E2626="",E2626="!!!"),"",IF(NOT(ISNA(VLOOKUP(E2626,E$1:E2625,1,FALSE()))),"OLD",IF(AND(E2626&lt;&gt;"",E2626&lt;&gt;"!!!"),"NEW","")))</f>
        <v> </v>
      </c>
      <c r="G2626" s="23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4" t="str">
        <f>IF(J2626&lt;&gt;1,"",IF(I2626="SBJ","CB","?"))</f>
        <v> </v>
      </c>
      <c r="I2626" s="25" t="str">
        <f>IF(OR(E2626="",E2626="!!!",F2626="NEW"),"",INDEX(B2625:B$2,-1+SUMPRODUCT(MAX(ROW(E2625:E$2)*(E2626=E2625:E$2)))))</f>
        <v> </v>
      </c>
      <c r="J2626" s="25" t="str">
        <f>IF(OR(E2626="",E2626="!!!",F2626="NEW"),"",COUNTBLANK(OFFSET(A$1,,,SUMPRODUCT(MAX(ROW(E$2:E2626)*(E2626=E$2:E2626)))))-COUNTBLANK(OFFSET(A$1,,,SUMPRODUCT(MAX(ROW(E$1:E2625)*(E2=E$1:E2625))))))</f>
        <v> </v>
      </c>
      <c r="K2626" s="25" t="str">
        <f>IF(OR(E2626="",E2626="!!!",F2626="NEW"),"",INDEX(J$1:J2625,SUMPRODUCT(MAX(ROW(E$1:E2625)*(E2626=E$1:E2625)))))</f>
        <v> </v>
      </c>
      <c r="L2626" s="26"/>
    </row>
    <row r="2627" spans="1:12">
      <c r="A2627" s="20"/>
    </row>
    <row r="2628" spans="1:12">
      <c r="A2628" s="20" t="s">
        <v>2358</v>
      </c>
    </row>
    <row r="2629" spans="1:12">
      <c r="A2629" s="20" t="s">
        <v>1111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1633</v>
      </c>
      <c r="B2630" s="27" t="s">
        <v>1149</v>
      </c>
      <c r="C2630" s="27" t="s">
        <v>1126</v>
      </c>
      <c r="D2630" s="27" t="s">
        <v>1105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1134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1229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1134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167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 t="s">
        <v>2359</v>
      </c>
      <c r="E2635" s="21">
        <f>IF(D2635="?OLD","!!!","")</f>
        <v/>
      </c>
      <c r="F2635" s="22" t="str">
        <f>IF(OR(E2635="",E2635="!!!"),"",IF(NOT(ISNA(VLOOKUP(E2635,E$1:E2634,1,FALSE()))),"OLD",IF(AND(E2635&lt;&gt;"",E2635&lt;&gt;"!!!"),"NEW","")))</f>
        <v> </v>
      </c>
      <c r="G2635" s="23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4" t="str">
        <f>IF(J2635&lt;&gt;1,"",IF(I2635="SBJ","CB","?"))</f>
        <v> </v>
      </c>
      <c r="I2635" s="25" t="str">
        <f>IF(OR(E2635="",E2635="!!!",F2635="NEW"),"",INDEX(B2634:B$2,-1+SUMPRODUCT(MAX(ROW(E2634:E$2)*(E2635=E2634:E$2)))))</f>
        <v> </v>
      </c>
      <c r="J2635" s="25" t="str">
        <f>IF(OR(E2635="",E2635="!!!",F2635="NEW"),"",COUNTBLANK(OFFSET(A$1,,,SUMPRODUCT(MAX(ROW(E$2:E2635)*(E2635=E$2:E2635)))))-COUNTBLANK(OFFSET(A$1,,,SUMPRODUCT(MAX(ROW(E$1:E2634)*(E2=E$1:E2634))))))</f>
        <v> </v>
      </c>
      <c r="K2635" s="25" t="str">
        <f>IF(OR(E2635="",E2635="!!!",F2635="NEW"),"",INDEX(J$1:J2634,SUMPRODUCT(MAX(ROW(E$1:E2634)*(E2635=E$1:E2634)))))</f>
        <v> </v>
      </c>
      <c r="L2635" s="26"/>
    </row>
    <row r="2636" spans="1:12">
      <c r="A2636" s="20" t="s">
        <v>1128</v>
      </c>
      <c r="E2636" s="21">
        <f>IF(D2636="?OLD","!!!","")</f>
        <v/>
      </c>
      <c r="F2636" s="22" t="str">
        <f>IF(OR(E2636="",E2636="!!!"),"",IF(NOT(ISNA(VLOOKUP(E2636,E$1:E2635,1,FALSE()))),"OLD",IF(AND(E2636&lt;&gt;"",E2636&lt;&gt;"!!!"),"NEW","")))</f>
        <v> </v>
      </c>
      <c r="G2636" s="23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4" t="str">
        <f>IF(J2636&lt;&gt;1,"",IF(I2636="SBJ","CB","?"))</f>
        <v> </v>
      </c>
      <c r="I2636" s="25" t="str">
        <f>IF(OR(E2636="",E2636="!!!",F2636="NEW"),"",INDEX(B2635:B$2,-1+SUMPRODUCT(MAX(ROW(E2635:E$2)*(E2636=E2635:E$2)))))</f>
        <v> </v>
      </c>
      <c r="J2636" s="25" t="str">
        <f>IF(OR(E2636="",E2636="!!!",F2636="NEW"),"",COUNTBLANK(OFFSET(A$1,,,SUMPRODUCT(MAX(ROW(E$2:E2636)*(E2636=E$2:E2636)))))-COUNTBLANK(OFFSET(A$1,,,SUMPRODUCT(MAX(ROW(E$1:E2635)*(E2=E$1:E2635))))))</f>
        <v> </v>
      </c>
      <c r="K2636" s="25" t="str">
        <f>IF(OR(E2636="",E2636="!!!",F2636="NEW"),"",INDEX(J$1:J2635,SUMPRODUCT(MAX(ROW(E$1:E2635)*(E2636=E$1:E2635)))))</f>
        <v> </v>
      </c>
      <c r="L2636" s="26"/>
    </row>
    <row r="2637" spans="1:12">
      <c r="A2637" s="20" t="s">
        <v>1258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1123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135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2360</v>
      </c>
      <c r="B2640" s="27" t="s">
        <v>1259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2361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1145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/>
    </row>
    <row r="2644" spans="1:12">
      <c r="A2644" s="20" t="s">
        <v>2362</v>
      </c>
    </row>
    <row r="2645" spans="1:12">
      <c r="A2645" s="20" t="s">
        <v>1111</v>
      </c>
      <c r="E2645" s="21">
        <f>IF(D2645="?OLD","!!!","")</f>
        <v/>
      </c>
      <c r="F2645" s="22" t="str">
        <f>IF(OR(E2645="",E2645="!!!"),"",IF(NOT(ISNA(VLOOKUP(E2645,E$1:E2644,1,FALSE()))),"OLD",IF(AND(E2645&lt;&gt;"",E2645&lt;&gt;"!!!"),"NEW","")))</f>
        <v> </v>
      </c>
      <c r="G2645" s="23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4" t="str">
        <f>IF(J2645&lt;&gt;1,"",IF(I2645="SBJ","CB","?"))</f>
        <v> </v>
      </c>
      <c r="I2645" s="25" t="str">
        <f>IF(OR(E2645="",E2645="!!!",F2645="NEW"),"",INDEX(B2644:B$2,-1+SUMPRODUCT(MAX(ROW(E2644:E$2)*(E2645=E2644:E$2)))))</f>
        <v> </v>
      </c>
      <c r="J2645" s="25" t="str">
        <f>IF(OR(E2645="",E2645="!!!",F2645="NEW"),"",COUNTBLANK(OFFSET(A$1,,,SUMPRODUCT(MAX(ROW(E$2:E2645)*(E2645=E$2:E2645)))))-COUNTBLANK(OFFSET(A$1,,,SUMPRODUCT(MAX(ROW(E$1:E2644)*(E2=E$1:E2644))))))</f>
        <v> </v>
      </c>
      <c r="K2645" s="25" t="str">
        <f>IF(OR(E2645="",E2645="!!!",F2645="NEW"),"",INDEX(J$1:J2644,SUMPRODUCT(MAX(ROW(E$1:E2644)*(E2645=E$1:E2644)))))</f>
        <v> </v>
      </c>
      <c r="L2645" s="26"/>
    </row>
    <row r="2646" spans="1:12">
      <c r="A2646" s="20" t="s">
        <v>1873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 t="s">
        <v>135</v>
      </c>
      <c r="B2647" s="27" t="s">
        <v>1103</v>
      </c>
      <c r="C2647" s="27" t="s">
        <v>1133</v>
      </c>
      <c r="E2647" s="21">
        <f>IF(D2647="?OLD","!!!","")</f>
        <v/>
      </c>
      <c r="F2647" s="22" t="str">
        <f>IF(OR(E2647="",E2647="!!!"),"",IF(NOT(ISNA(VLOOKUP(E2647,E$1:E2646,1,FALSE()))),"OLD",IF(AND(E2647&lt;&gt;"",E2647&lt;&gt;"!!!"),"NEW","")))</f>
        <v> </v>
      </c>
      <c r="G2647" s="23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4" t="str">
        <f>IF(J2647&lt;&gt;1,"",IF(I2647="SBJ","CB","?"))</f>
        <v> </v>
      </c>
      <c r="I2647" s="25" t="str">
        <f>IF(OR(E2647="",E2647="!!!",F2647="NEW"),"",INDEX(B2646:B$2,-1+SUMPRODUCT(MAX(ROW(E2646:E$2)*(E2647=E2646:E$2)))))</f>
        <v> </v>
      </c>
      <c r="J2647" s="25" t="str">
        <f>IF(OR(E2647="",E2647="!!!",F2647="NEW"),"",COUNTBLANK(OFFSET(A$1,,,SUMPRODUCT(MAX(ROW(E$2:E2647)*(E2647=E$2:E2647)))))-COUNTBLANK(OFFSET(A$1,,,SUMPRODUCT(MAX(ROW(E$1:E2646)*(E2=E$1:E2646))))))</f>
        <v> </v>
      </c>
      <c r="K2647" s="25" t="str">
        <f>IF(OR(E2647="",E2647="!!!",F2647="NEW"),"",INDEX(J$1:J2646,SUMPRODUCT(MAX(ROW(E$1:E2646)*(E2647=E$1:E2646)))))</f>
        <v> </v>
      </c>
      <c r="L2647" s="26"/>
    </row>
    <row r="2648" spans="1:12">
      <c r="A2648" s="20" t="s">
        <v>1362</v>
      </c>
      <c r="B2648" s="27" t="s">
        <v>1149</v>
      </c>
      <c r="C2648" s="27" t="s">
        <v>1126</v>
      </c>
      <c r="D2648" s="27" t="s">
        <v>1105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1351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/>
    </row>
    <row r="2651" spans="1:12">
      <c r="A2651" s="20" t="s">
        <v>2363</v>
      </c>
    </row>
    <row r="2652" spans="1:12">
      <c r="A2652" s="20" t="s">
        <v>1400</v>
      </c>
      <c r="B2652" s="27" t="s">
        <v>1149</v>
      </c>
      <c r="C2652" s="27" t="s">
        <v>1116</v>
      </c>
      <c r="D2652" s="27" t="s">
        <v>1105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1120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1864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1195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1726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1123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1271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2282</v>
      </c>
      <c r="B2659" s="27" t="s">
        <v>1107</v>
      </c>
      <c r="C2659" s="27" t="s">
        <v>1116</v>
      </c>
      <c r="D2659" s="27" t="s">
        <v>1105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1616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263</v>
      </c>
      <c r="B2661" s="27" t="s">
        <v>1122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2364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2365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1145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/>
    </row>
    <row r="2666" spans="1:12">
      <c r="A2666" s="20" t="s">
        <v>2366</v>
      </c>
    </row>
    <row r="2667" spans="1:12">
      <c r="A2667" s="20" t="s">
        <v>1111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2367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1134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2368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1123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 t="s">
        <v>135</v>
      </c>
      <c r="E2672" s="21">
        <f>IF(D2672="?OLD","!!!","")</f>
        <v/>
      </c>
      <c r="F2672" s="22" t="str">
        <f>IF(OR(E2672="",E2672="!!!"),"",IF(NOT(ISNA(VLOOKUP(E2672,E$1:E2671,1,FALSE()))),"OLD",IF(AND(E2672&lt;&gt;"",E2672&lt;&gt;"!!!"),"NEW","")))</f>
        <v> </v>
      </c>
      <c r="G2672" s="23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4" t="str">
        <f>IF(J2672&lt;&gt;1,"",IF(I2672="SBJ","CB","?"))</f>
        <v> </v>
      </c>
      <c r="I2672" s="25" t="str">
        <f>IF(OR(E2672="",E2672="!!!",F2672="NEW"),"",INDEX(B2671:B$2,-1+SUMPRODUCT(MAX(ROW(E2671:E$2)*(E2672=E2671:E$2)))))</f>
        <v> </v>
      </c>
      <c r="J2672" s="25" t="str">
        <f>IF(OR(E2672="",E2672="!!!",F2672="NEW"),"",COUNTBLANK(OFFSET(A$1,,,SUMPRODUCT(MAX(ROW(E$2:E2672)*(E2672=E$2:E2672)))))-COUNTBLANK(OFFSET(A$1,,,SUMPRODUCT(MAX(ROW(E$1:E2671)*(E2=E$1:E2671))))))</f>
        <v> </v>
      </c>
      <c r="K2672" s="25" t="str">
        <f>IF(OR(E2672="",E2672="!!!",F2672="NEW"),"",INDEX(J$1:J2671,SUMPRODUCT(MAX(ROW(E$1:E2671)*(E2672=E$1:E2671)))))</f>
        <v> </v>
      </c>
      <c r="L2672" s="26"/>
    </row>
    <row r="2673" spans="1:12">
      <c r="A2673" s="20" t="s">
        <v>1124</v>
      </c>
      <c r="B2673" s="27" t="s">
        <v>1259</v>
      </c>
      <c r="C2673" s="27" t="s">
        <v>1126</v>
      </c>
      <c r="D2673" s="27" t="s">
        <v>1105</v>
      </c>
      <c r="E2673" s="21">
        <f>IF(D2673="?OLD","!!!","")</f>
        <v/>
      </c>
      <c r="F2673" s="22" t="str">
        <f>IF(OR(E2673="",E2673="!!!"),"",IF(NOT(ISNA(VLOOKUP(E2673,E$1:E2672,1,FALSE()))),"OLD",IF(AND(E2673&lt;&gt;"",E2673&lt;&gt;"!!!"),"NEW","")))</f>
        <v> </v>
      </c>
      <c r="G2673" s="23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4" t="str">
        <f>IF(J2673&lt;&gt;1,"",IF(I2673="SBJ","CB","?"))</f>
        <v> </v>
      </c>
      <c r="I2673" s="25" t="str">
        <f>IF(OR(E2673="",E2673="!!!",F2673="NEW"),"",INDEX(B2672:B$2,-1+SUMPRODUCT(MAX(ROW(E2672:E$2)*(E2673=E2672:E$2)))))</f>
        <v> </v>
      </c>
      <c r="J2673" s="25" t="str">
        <f>IF(OR(E2673="",E2673="!!!",F2673="NEW"),"",COUNTBLANK(OFFSET(A$1,,,SUMPRODUCT(MAX(ROW(E$2:E2673)*(E2673=E$2:E2673)))))-COUNTBLANK(OFFSET(A$1,,,SUMPRODUCT(MAX(ROW(E$1:E2672)*(E2=E$1:E2672))))))</f>
        <v> </v>
      </c>
      <c r="K2673" s="25" t="str">
        <f>IF(OR(E2673="",E2673="!!!",F2673="NEW"),"",INDEX(J$1:J2672,SUMPRODUCT(MAX(ROW(E$1:E2672)*(E2673=E$1:E2672)))))</f>
        <v> </v>
      </c>
      <c r="L2673" s="26"/>
    </row>
    <row r="2674" spans="1:12">
      <c r="A2674" s="20" t="s">
        <v>2369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2370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1201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2371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 t="s">
        <v>1123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1444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1494</v>
      </c>
      <c r="B2680" s="27" t="s">
        <v>2162</v>
      </c>
      <c r="C2680" s="27" t="s">
        <v>1126</v>
      </c>
      <c r="D2680" s="27" t="s">
        <v>1105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107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1120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2372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 t="s">
        <v>1195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2373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 t="s">
        <v>1145</v>
      </c>
      <c r="E2686" s="21">
        <f>IF(D2686="?OLD","!!!","")</f>
        <v/>
      </c>
      <c r="F2686" s="22" t="str">
        <f>IF(OR(E2686="",E2686="!!!"),"",IF(NOT(ISNA(VLOOKUP(E2686,E$1:E2685,1,FALSE()))),"OLD",IF(AND(E2686&lt;&gt;"",E2686&lt;&gt;"!!!"),"NEW","")))</f>
        <v> </v>
      </c>
      <c r="G2686" s="23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4" t="str">
        <f>IF(J2686&lt;&gt;1,"",IF(I2686="SBJ","CB","?"))</f>
        <v> </v>
      </c>
      <c r="I2686" s="25" t="str">
        <f>IF(OR(E2686="",E2686="!!!",F2686="NEW"),"",INDEX(B2685:B$2,-1+SUMPRODUCT(MAX(ROW(E2685:E$2)*(E2686=E2685:E$2)))))</f>
        <v> </v>
      </c>
      <c r="J2686" s="25" t="str">
        <f>IF(OR(E2686="",E2686="!!!",F2686="NEW"),"",COUNTBLANK(OFFSET(A$1,,,SUMPRODUCT(MAX(ROW(E$2:E2686)*(E2686=E$2:E2686)))))-COUNTBLANK(OFFSET(A$1,,,SUMPRODUCT(MAX(ROW(E$1:E2685)*(E2=E$1:E2685))))))</f>
        <v> </v>
      </c>
      <c r="K2686" s="25" t="str">
        <f>IF(OR(E2686="",E2686="!!!",F2686="NEW"),"",INDEX(J$1:J2685,SUMPRODUCT(MAX(ROW(E$1:E2685)*(E2686=E$1:E2685)))))</f>
        <v> </v>
      </c>
      <c r="L2686" s="26"/>
    </row>
    <row r="2687" spans="1:12">
      <c r="A2687" s="20"/>
    </row>
    <row r="2688" spans="1:12">
      <c r="A2688" s="20" t="s">
        <v>2374</v>
      </c>
    </row>
    <row r="2689" spans="1:12">
      <c r="A2689" s="20" t="s">
        <v>1613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1123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1217</v>
      </c>
      <c r="B2691" s="27" t="s">
        <v>1149</v>
      </c>
      <c r="C2691" s="27" t="s">
        <v>1126</v>
      </c>
      <c r="D2691" s="27" t="s">
        <v>1105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1186</v>
      </c>
      <c r="B2692" s="27" t="s">
        <v>1213</v>
      </c>
      <c r="C2692" s="27" t="s">
        <v>1126</v>
      </c>
      <c r="D2692" s="27" t="s">
        <v>1105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1628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1134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 t="s">
        <v>2375</v>
      </c>
      <c r="E2695" s="21">
        <f>IF(D2695="?OLD","!!!","")</f>
        <v/>
      </c>
      <c r="F2695" s="22" t="str">
        <f>IF(OR(E2695="",E2695="!!!"),"",IF(NOT(ISNA(VLOOKUP(E2695,E$1:E2694,1,FALSE()))),"OLD",IF(AND(E2695&lt;&gt;"",E2695&lt;&gt;"!!!"),"NEW","")))</f>
        <v> </v>
      </c>
      <c r="G2695" s="23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4" t="str">
        <f>IF(J2695&lt;&gt;1,"",IF(I2695="SBJ","CB","?"))</f>
        <v> </v>
      </c>
      <c r="I2695" s="25" t="str">
        <f>IF(OR(E2695="",E2695="!!!",F2695="NEW"),"",INDEX(B2694:B$2,-1+SUMPRODUCT(MAX(ROW(E2694:E$2)*(E2695=E2694:E$2)))))</f>
        <v> </v>
      </c>
      <c r="J2695" s="25" t="str">
        <f>IF(OR(E2695="",E2695="!!!",F2695="NEW"),"",COUNTBLANK(OFFSET(A$1,,,SUMPRODUCT(MAX(ROW(E$2:E2695)*(E2695=E$2:E2695)))))-COUNTBLANK(OFFSET(A$1,,,SUMPRODUCT(MAX(ROW(E$1:E2694)*(E2=E$1:E2694))))))</f>
        <v> </v>
      </c>
      <c r="K2695" s="25" t="str">
        <f>IF(OR(E2695="",E2695="!!!",F2695="NEW"),"",INDEX(J$1:J2694,SUMPRODUCT(MAX(ROW(E$1:E2694)*(E2695=E$1:E2694)))))</f>
        <v> </v>
      </c>
      <c r="L2695" s="26"/>
    </row>
    <row r="2696" spans="1:12">
      <c r="A2696" s="20" t="s">
        <v>1351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/>
    </row>
    <row r="2698" spans="1:12">
      <c r="A2698" s="20" t="s">
        <v>2376</v>
      </c>
    </row>
    <row r="2699" spans="1:12">
      <c r="A2699" s="20" t="s">
        <v>1547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1249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2377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2378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107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2379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1206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2380</v>
      </c>
      <c r="B2706" s="27" t="s">
        <v>1243</v>
      </c>
      <c r="C2706" s="27" t="s">
        <v>1210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1145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/>
    </row>
    <row r="2709" spans="1:12">
      <c r="A2709" s="20" t="s">
        <v>2381</v>
      </c>
    </row>
    <row r="2710" spans="1:12">
      <c r="A2710" s="20" t="s">
        <v>2382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2383</v>
      </c>
      <c r="B2711" s="27" t="s">
        <v>1149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1309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2384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2385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1123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1128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1123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 t="s">
        <v>2386</v>
      </c>
      <c r="E2718" s="21">
        <f>IF(D2718="?OLD","!!!","")</f>
        <v/>
      </c>
      <c r="F2718" s="22" t="str">
        <f>IF(OR(E2718="",E2718="!!!"),"",IF(NOT(ISNA(VLOOKUP(E2718,E$1:E2717,1,FALSE()))),"OLD",IF(AND(E2718&lt;&gt;"",E2718&lt;&gt;"!!!"),"NEW","")))</f>
        <v> </v>
      </c>
      <c r="G2718" s="23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4" t="str">
        <f>IF(J2718&lt;&gt;1,"",IF(I2718="SBJ","CB","?"))</f>
        <v> </v>
      </c>
      <c r="I2718" s="25" t="str">
        <f>IF(OR(E2718="",E2718="!!!",F2718="NEW"),"",INDEX(B2717:B$2,-1+SUMPRODUCT(MAX(ROW(E2717:E$2)*(E2718=E2717:E$2)))))</f>
        <v> </v>
      </c>
      <c r="J2718" s="25" t="str">
        <f>IF(OR(E2718="",E2718="!!!",F2718="NEW"),"",COUNTBLANK(OFFSET(A$1,,,SUMPRODUCT(MAX(ROW(E$2:E2718)*(E2718=E$2:E2718)))))-COUNTBLANK(OFFSET(A$1,,,SUMPRODUCT(MAX(ROW(E$1:E2717)*(E2=E$1:E2717))))))</f>
        <v> </v>
      </c>
      <c r="K2718" s="25" t="str">
        <f>IF(OR(E2718="",E2718="!!!",F2718="NEW"),"",INDEX(J$1:J2717,SUMPRODUCT(MAX(ROW(E$1:E2717)*(E2718=E$1:E2717)))))</f>
        <v> </v>
      </c>
      <c r="L2718" s="26"/>
    </row>
    <row r="2719" spans="1:12">
      <c r="A2719" s="20" t="s">
        <v>1184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2387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1123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1217</v>
      </c>
      <c r="B2722" s="27" t="s">
        <v>1122</v>
      </c>
      <c r="C2722" s="27" t="s">
        <v>1126</v>
      </c>
      <c r="D2722" s="27" t="s">
        <v>1105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1919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2388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2389</v>
      </c>
      <c r="B2725" s="27" t="s">
        <v>1243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1201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2390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1123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1271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2391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2392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2393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1123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2394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1270</v>
      </c>
      <c r="B2735" s="27" t="s">
        <v>1144</v>
      </c>
      <c r="C2735" s="27" t="s">
        <v>1126</v>
      </c>
      <c r="D2735" s="27" t="s">
        <v>1105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1184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2395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1145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/>
    </row>
    <row r="2740" spans="1:12">
      <c r="A2740" s="20" t="s">
        <v>2396</v>
      </c>
    </row>
    <row r="2741" spans="1:12">
      <c r="A2741" s="20" t="s">
        <v>2397</v>
      </c>
      <c r="B2741" s="27" t="s">
        <v>1149</v>
      </c>
      <c r="E2741" s="21">
        <f>IF(D2741="?OLD","!!!","")</f>
        <v/>
      </c>
      <c r="F2741" s="22" t="str">
        <f>IF(OR(E2741="",E2741="!!!"),"",IF(NOT(ISNA(VLOOKUP(E2741,E$1:E2740,1,FALSE()))),"OLD",IF(AND(E2741&lt;&gt;"",E2741&lt;&gt;"!!!"),"NEW","")))</f>
        <v> </v>
      </c>
      <c r="G2741" s="23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4" t="str">
        <f>IF(J2741&lt;&gt;1,"",IF(I2741="SBJ","CB","?"))</f>
        <v> </v>
      </c>
      <c r="I2741" s="25" t="str">
        <f>IF(OR(E2741="",E2741="!!!",F2741="NEW"),"",INDEX(B2740:B$2,-1+SUMPRODUCT(MAX(ROW(E2740:E$2)*(E2741=E2740:E$2)))))</f>
        <v> </v>
      </c>
      <c r="J2741" s="25" t="str">
        <f>IF(OR(E2741="",E2741="!!!",F2741="NEW"),"",COUNTBLANK(OFFSET(A$1,,,SUMPRODUCT(MAX(ROW(E$2:E2741)*(E2741=E$2:E2741)))))-COUNTBLANK(OFFSET(A$1,,,SUMPRODUCT(MAX(ROW(E$1:E2740)*(E2=E$1:E2740))))))</f>
        <v> </v>
      </c>
      <c r="K2741" s="25" t="str">
        <f>IF(OR(E2741="",E2741="!!!",F2741="NEW"),"",INDEX(J$1:J2740,SUMPRODUCT(MAX(ROW(E$1:E2740)*(E2741=E$1:E2740)))))</f>
        <v> </v>
      </c>
      <c r="L2741" s="26"/>
    </row>
    <row r="2742" spans="1:12">
      <c r="A2742" s="20" t="s">
        <v>2398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1113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1184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1622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1123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1197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1225</v>
      </c>
      <c r="B2748" s="27" t="s">
        <v>1122</v>
      </c>
      <c r="C2748" s="27" t="s">
        <v>1108</v>
      </c>
      <c r="D2748" s="27" t="s">
        <v>1105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2399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1958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2400</v>
      </c>
      <c r="B2751" s="27" t="s">
        <v>1243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1128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2401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1130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2153</v>
      </c>
      <c r="B2755" s="27" t="s">
        <v>1107</v>
      </c>
      <c r="C2755" s="27" t="s">
        <v>1126</v>
      </c>
      <c r="D2755" s="27" t="s">
        <v>1105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1206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2402</v>
      </c>
      <c r="B2757" s="27" t="s">
        <v>1122</v>
      </c>
      <c r="C2757" s="27" t="s">
        <v>1210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1184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 t="s">
        <v>1446</v>
      </c>
      <c r="E2759" s="21">
        <f>IF(D2759="?OLD","!!!","")</f>
        <v/>
      </c>
      <c r="F2759" s="22" t="str">
        <f>IF(OR(E2759="",E2759="!!!"),"",IF(NOT(ISNA(VLOOKUP(E2759,E$1:E2758,1,FALSE()))),"OLD",IF(AND(E2759&lt;&gt;"",E2759&lt;&gt;"!!!"),"NEW","")))</f>
        <v> </v>
      </c>
      <c r="G2759" s="23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4" t="str">
        <f>IF(J2759&lt;&gt;1,"",IF(I2759="SBJ","CB","?"))</f>
        <v> </v>
      </c>
      <c r="I2759" s="25" t="str">
        <f>IF(OR(E2759="",E2759="!!!",F2759="NEW"),"",INDEX(B2758:B$2,-1+SUMPRODUCT(MAX(ROW(E2758:E$2)*(E2759=E2758:E$2)))))</f>
        <v> </v>
      </c>
      <c r="J2759" s="25" t="str">
        <f>IF(OR(E2759="",E2759="!!!",F2759="NEW"),"",COUNTBLANK(OFFSET(A$1,,,SUMPRODUCT(MAX(ROW(E$2:E2759)*(E2759=E$2:E2759)))))-COUNTBLANK(OFFSET(A$1,,,SUMPRODUCT(MAX(ROW(E$1:E2758)*(E2=E$1:E2758))))))</f>
        <v> </v>
      </c>
      <c r="K2759" s="25" t="str">
        <f>IF(OR(E2759="",E2759="!!!",F2759="NEW"),"",INDEX(J$1:J2758,SUMPRODUCT(MAX(ROW(E$1:E2758)*(E2759=E$1:E2758)))))</f>
        <v> </v>
      </c>
      <c r="L2759" s="26"/>
    </row>
    <row r="2760" spans="1:12">
      <c r="A2760" s="20" t="s">
        <v>1145</v>
      </c>
      <c r="E2760" s="21">
        <f>IF(D2760="?OLD","!!!","")</f>
        <v/>
      </c>
      <c r="F2760" s="22" t="str">
        <f>IF(OR(E2760="",E2760="!!!"),"",IF(NOT(ISNA(VLOOKUP(E2760,E$1:E2759,1,FALSE()))),"OLD",IF(AND(E2760&lt;&gt;"",E2760&lt;&gt;"!!!"),"NEW","")))</f>
        <v> </v>
      </c>
      <c r="G2760" s="23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4" t="str">
        <f>IF(J2760&lt;&gt;1,"",IF(I2760="SBJ","CB","?"))</f>
        <v> </v>
      </c>
      <c r="I2760" s="25" t="str">
        <f>IF(OR(E2760="",E2760="!!!",F2760="NEW"),"",INDEX(B2759:B$2,-1+SUMPRODUCT(MAX(ROW(E2759:E$2)*(E2760=E2759:E$2)))))</f>
        <v> </v>
      </c>
      <c r="J2760" s="25" t="str">
        <f>IF(OR(E2760="",E2760="!!!",F2760="NEW"),"",COUNTBLANK(OFFSET(A$1,,,SUMPRODUCT(MAX(ROW(E$2:E2760)*(E2760=E$2:E2760)))))-COUNTBLANK(OFFSET(A$1,,,SUMPRODUCT(MAX(ROW(E$1:E2759)*(E2=E$1:E2759))))))</f>
        <v> </v>
      </c>
      <c r="K2760" s="25" t="str">
        <f>IF(OR(E2760="",E2760="!!!",F2760="NEW"),"",INDEX(J$1:J2759,SUMPRODUCT(MAX(ROW(E$1:E2759)*(E2760=E$1:E2759)))))</f>
        <v> </v>
      </c>
      <c r="L2760" s="26"/>
    </row>
    <row r="2761" spans="1:12">
      <c r="A2761" s="20"/>
    </row>
    <row r="2762" spans="1:12">
      <c r="A2762" s="20" t="s">
        <v>2403</v>
      </c>
    </row>
    <row r="2763" spans="1:12">
      <c r="A2763" s="20" t="s">
        <v>2404</v>
      </c>
      <c r="B2763" s="27" t="s">
        <v>1149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1123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1298</v>
      </c>
      <c r="B2765" s="27" t="s">
        <v>1115</v>
      </c>
      <c r="C2765" s="27" t="s">
        <v>1133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1217</v>
      </c>
      <c r="B2766" s="27" t="s">
        <v>1259</v>
      </c>
      <c r="C2766" s="27" t="s">
        <v>1126</v>
      </c>
      <c r="D2766" s="27" t="s">
        <v>1105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2405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1123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1597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2406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1145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/>
    </row>
    <row r="2773" spans="1:12">
      <c r="A2773" s="20" t="s">
        <v>2407</v>
      </c>
    </row>
    <row r="2774" spans="1:12">
      <c r="A2774" s="20" t="s">
        <v>2408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1249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2409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2410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2383</v>
      </c>
      <c r="B2778" s="27" t="s">
        <v>1149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 t="s">
        <v>2411</v>
      </c>
      <c r="E2779" s="21">
        <f>IF(D2779="?OLD","!!!","")</f>
        <v/>
      </c>
      <c r="F2779" s="22" t="str">
        <f>IF(OR(E2779="",E2779="!!!"),"",IF(NOT(ISNA(VLOOKUP(E2779,E$1:E2778,1,FALSE()))),"OLD",IF(AND(E2779&lt;&gt;"",E2779&lt;&gt;"!!!"),"NEW","")))</f>
        <v> </v>
      </c>
      <c r="G2779" s="23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4" t="str">
        <f>IF(J2779&lt;&gt;1,"",IF(I2779="SBJ","CB","?"))</f>
        <v> </v>
      </c>
      <c r="I2779" s="25" t="str">
        <f>IF(OR(E2779="",E2779="!!!",F2779="NEW"),"",INDEX(B2778:B$2,-1+SUMPRODUCT(MAX(ROW(E2778:E$2)*(E2779=E2778:E$2)))))</f>
        <v> </v>
      </c>
      <c r="J2779" s="25" t="str">
        <f>IF(OR(E2779="",E2779="!!!",F2779="NEW"),"",COUNTBLANK(OFFSET(A$1,,,SUMPRODUCT(MAX(ROW(E$2:E2779)*(E2779=E$2:E2779)))))-COUNTBLANK(OFFSET(A$1,,,SUMPRODUCT(MAX(ROW(E$1:E2778)*(E2=E$1:E2778))))))</f>
        <v> </v>
      </c>
      <c r="K2779" s="25" t="str">
        <f>IF(OR(E2779="",E2779="!!!",F2779="NEW"),"",INDEX(J$1:J2778,SUMPRODUCT(MAX(ROW(E$1:E2778)*(E2779=E$1:E2778)))))</f>
        <v> </v>
      </c>
      <c r="L2779" s="26"/>
    </row>
    <row r="2780" spans="1:12">
      <c r="A2780" s="20" t="s">
        <v>1101</v>
      </c>
      <c r="E2780" s="21">
        <f>IF(D2780="?OLD","!!!","")</f>
        <v/>
      </c>
      <c r="F2780" s="22" t="str">
        <f>IF(OR(E2780="",E2780="!!!"),"",IF(NOT(ISNA(VLOOKUP(E2780,E$1:E2779,1,FALSE()))),"OLD",IF(AND(E2780&lt;&gt;"",E2780&lt;&gt;"!!!"),"NEW","")))</f>
        <v> </v>
      </c>
      <c r="G2780" s="23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4" t="str">
        <f>IF(J2780&lt;&gt;1,"",IF(I2780="SBJ","CB","?"))</f>
        <v> </v>
      </c>
      <c r="I2780" s="25" t="str">
        <f>IF(OR(E2780="",E2780="!!!",F2780="NEW"),"",INDEX(B2779:B$2,-1+SUMPRODUCT(MAX(ROW(E2779:E$2)*(E2780=E2779:E$2)))))</f>
        <v> </v>
      </c>
      <c r="J2780" s="25" t="str">
        <f>IF(OR(E2780="",E2780="!!!",F2780="NEW"),"",COUNTBLANK(OFFSET(A$1,,,SUMPRODUCT(MAX(ROW(E$2:E2780)*(E2780=E$2:E2780)))))-COUNTBLANK(OFFSET(A$1,,,SUMPRODUCT(MAX(ROW(E$1:E2779)*(E2=E$1:E2779))))))</f>
        <v> </v>
      </c>
      <c r="K2780" s="25" t="str">
        <f>IF(OR(E2780="",E2780="!!!",F2780="NEW"),"",INDEX(J$1:J2779,SUMPRODUCT(MAX(ROW(E$1:E2779)*(E2780=E$1:E2779)))))</f>
        <v> </v>
      </c>
      <c r="L2780" s="26"/>
    </row>
    <row r="2781" spans="1:12">
      <c r="A2781" s="20" t="s">
        <v>2412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2413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2414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1145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/>
    </row>
    <row r="2786" spans="1:12">
      <c r="A2786" s="20" t="s">
        <v>2415</v>
      </c>
    </row>
    <row r="2787" spans="1:12">
      <c r="A2787" s="20" t="s">
        <v>1111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2416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2417</v>
      </c>
      <c r="B2789" s="27" t="s">
        <v>1149</v>
      </c>
      <c r="C2789" s="27" t="s">
        <v>1133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1346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1351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1111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2418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 t="s">
        <v>727</v>
      </c>
      <c r="B2794" s="27" t="s">
        <v>1122</v>
      </c>
      <c r="C2794" s="27" t="s">
        <v>1108</v>
      </c>
      <c r="D2794" s="27" t="s">
        <v>1105</v>
      </c>
      <c r="E2794" s="21">
        <f>IF(D2794="?OLD","!!!","")</f>
        <v/>
      </c>
      <c r="F2794" s="22" t="str">
        <f>IF(OR(E2794="",E2794="!!!"),"",IF(NOT(ISNA(VLOOKUP(E2794,E$1:E2793,1,FALSE()))),"OLD",IF(AND(E2794&lt;&gt;"",E2794&lt;&gt;"!!!"),"NEW","")))</f>
        <v> </v>
      </c>
      <c r="G2794" s="23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4" t="str">
        <f>IF(J2794&lt;&gt;1,"",IF(I2794="SBJ","CB","?"))</f>
        <v> </v>
      </c>
      <c r="I2794" s="25" t="str">
        <f>IF(OR(E2794="",E2794="!!!",F2794="NEW"),"",INDEX(B2793:B$2,-1+SUMPRODUCT(MAX(ROW(E2793:E$2)*(E2794=E2793:E$2)))))</f>
        <v> </v>
      </c>
      <c r="J2794" s="25" t="str">
        <f>IF(OR(E2794="",E2794="!!!",F2794="NEW"),"",COUNTBLANK(OFFSET(A$1,,,SUMPRODUCT(MAX(ROW(E$2:E2794)*(E2794=E$2:E2794)))))-COUNTBLANK(OFFSET(A$1,,,SUMPRODUCT(MAX(ROW(E$1:E2793)*(E2=E$1:E2793))))))</f>
        <v> </v>
      </c>
      <c r="K2794" s="25" t="str">
        <f>IF(OR(E2794="",E2794="!!!",F2794="NEW"),"",INDEX(J$1:J2793,SUMPRODUCT(MAX(ROW(E$1:E2793)*(E2794=E$1:E2793)))))</f>
        <v> </v>
      </c>
      <c r="L2794" s="26"/>
    </row>
    <row r="2795" spans="1:12">
      <c r="A2795" s="20" t="s">
        <v>1145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/>
    </row>
    <row r="2797" spans="1:12">
      <c r="A2797" s="20" t="s">
        <v>2419</v>
      </c>
    </row>
    <row r="2798" spans="1:12">
      <c r="A2798" s="20" t="s">
        <v>1111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1191</v>
      </c>
      <c r="B2799" s="27" t="s">
        <v>1149</v>
      </c>
      <c r="C2799" s="27" t="s">
        <v>1126</v>
      </c>
      <c r="D2799" s="27" t="s">
        <v>1105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2420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 t="s">
        <v>1123</v>
      </c>
      <c r="E2801" s="21">
        <f>IF(D2801="?OLD","!!!","")</f>
        <v/>
      </c>
      <c r="F2801" s="22" t="str">
        <f>IF(OR(E2801="",E2801="!!!"),"",IF(NOT(ISNA(VLOOKUP(E2801,E$1:E2800,1,FALSE()))),"OLD",IF(AND(E2801&lt;&gt;"",E2801&lt;&gt;"!!!"),"NEW","")))</f>
        <v> </v>
      </c>
      <c r="G2801" s="23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4" t="str">
        <f>IF(J2801&lt;&gt;1,"",IF(I2801="SBJ","CB","?"))</f>
        <v> </v>
      </c>
      <c r="I2801" s="25" t="str">
        <f>IF(OR(E2801="",E2801="!!!",F2801="NEW"),"",INDEX(B2800:B$2,-1+SUMPRODUCT(MAX(ROW(E2800:E$2)*(E2801=E2800:E$2)))))</f>
        <v> </v>
      </c>
      <c r="J2801" s="25" t="str">
        <f>IF(OR(E2801="",E2801="!!!",F2801="NEW"),"",COUNTBLANK(OFFSET(A$1,,,SUMPRODUCT(MAX(ROW(E$2:E2801)*(E2801=E$2:E2801)))))-COUNTBLANK(OFFSET(A$1,,,SUMPRODUCT(MAX(ROW(E$1:E2800)*(E2=E$1:E2800))))))</f>
        <v> </v>
      </c>
      <c r="K2801" s="25" t="str">
        <f>IF(OR(E2801="",E2801="!!!",F2801="NEW"),"",INDEX(J$1:J2800,SUMPRODUCT(MAX(ROW(E$1:E2800)*(E2801=E$1:E2800)))))</f>
        <v> </v>
      </c>
      <c r="L2801" s="26"/>
    </row>
    <row r="2802" spans="1:12">
      <c r="A2802" s="20" t="s">
        <v>135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2417</v>
      </c>
      <c r="B2803" s="27" t="s">
        <v>1122</v>
      </c>
      <c r="C2803" s="27" t="s">
        <v>1133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2421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1145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/>
    </row>
    <row r="2807" spans="1:12">
      <c r="A2807" s="20" t="s">
        <v>2422</v>
      </c>
    </row>
    <row r="2808" spans="1:12">
      <c r="A2808" s="20" t="s">
        <v>2423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1665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2383</v>
      </c>
      <c r="B2810" s="27" t="s">
        <v>1213</v>
      </c>
      <c r="C2810" s="27" t="s">
        <v>1156</v>
      </c>
      <c r="D2810" s="27" t="s">
        <v>1105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1351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/>
    </row>
    <row r="2813" spans="1:12">
      <c r="A2813" s="20" t="s">
        <v>2424</v>
      </c>
    </row>
    <row r="2814" spans="1:12">
      <c r="A2814" s="20" t="s">
        <v>1277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1502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1945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2425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2426</v>
      </c>
      <c r="B2818" s="27" t="s">
        <v>1149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 t="s">
        <v>1128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2427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1145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/>
    </row>
    <row r="2823" spans="1:12">
      <c r="A2823" s="20" t="s">
        <v>2428</v>
      </c>
    </row>
    <row r="2824" spans="1:12">
      <c r="A2824" s="20" t="s">
        <v>1225</v>
      </c>
      <c r="B2824" s="27" t="s">
        <v>1149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1813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1820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2429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2430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2431</v>
      </c>
      <c r="B2829" s="27" t="s">
        <v>1149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1123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1128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2383</v>
      </c>
      <c r="B2832" s="27" t="s">
        <v>1122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 t="s">
        <v>2432</v>
      </c>
      <c r="E2833" s="21">
        <f>IF(D2833="?OLD","!!!","")</f>
        <v/>
      </c>
      <c r="F2833" s="22" t="str">
        <f>IF(OR(E2833="",E2833="!!!"),"",IF(NOT(ISNA(VLOOKUP(E2833,E$1:E2832,1,FALSE()))),"OLD",IF(AND(E2833&lt;&gt;"",E2833&lt;&gt;"!!!"),"NEW","")))</f>
        <v> </v>
      </c>
      <c r="G2833" s="23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4" t="str">
        <f>IF(J2833&lt;&gt;1,"",IF(I2833="SBJ","CB","?"))</f>
        <v> </v>
      </c>
      <c r="I2833" s="25" t="str">
        <f>IF(OR(E2833="",E2833="!!!",F2833="NEW"),"",INDEX(B2832:B$2,-1+SUMPRODUCT(MAX(ROW(E2832:E$2)*(E2833=E2832:E$2)))))</f>
        <v> </v>
      </c>
      <c r="J2833" s="25" t="str">
        <f>IF(OR(E2833="",E2833="!!!",F2833="NEW"),"",COUNTBLANK(OFFSET(A$1,,,SUMPRODUCT(MAX(ROW(E$2:E2833)*(E2833=E$2:E2833)))))-COUNTBLANK(OFFSET(A$1,,,SUMPRODUCT(MAX(ROW(E$1:E2832)*(E2=E$1:E2832))))))</f>
        <v> </v>
      </c>
      <c r="K2833" s="25" t="str">
        <f>IF(OR(E2833="",E2833="!!!",F2833="NEW"),"",INDEX(J$1:J2832,SUMPRODUCT(MAX(ROW(E$1:E2832)*(E2833=E$1:E2832)))))</f>
        <v> </v>
      </c>
      <c r="L2833" s="26"/>
    </row>
    <row r="2834" spans="1:12">
      <c r="A2834" s="20" t="s">
        <v>2385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 t="s">
        <v>1145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/>
    </row>
    <row r="2837" spans="1:12">
      <c r="A2837" s="20" t="s">
        <v>2433</v>
      </c>
    </row>
    <row r="2838" spans="1:12">
      <c r="A2838" s="20" t="s">
        <v>2434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 t="s">
        <v>2435</v>
      </c>
      <c r="B2839" s="27" t="s">
        <v>1243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2436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 t="s">
        <v>1123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1217</v>
      </c>
      <c r="B2842" s="27" t="s">
        <v>1149</v>
      </c>
      <c r="C2842" s="27" t="s">
        <v>1126</v>
      </c>
      <c r="D2842" s="27" t="s">
        <v>1105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2437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1470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1145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/>
    </row>
    <row r="2847" spans="1:12">
      <c r="A2847" s="20" t="s">
        <v>2438</v>
      </c>
    </row>
    <row r="2848" spans="1:12">
      <c r="A2848" s="20" t="s">
        <v>1547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2439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2440</v>
      </c>
      <c r="B2850" s="27" t="s">
        <v>1149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 t="s">
        <v>1123</v>
      </c>
      <c r="E2851" s="21">
        <f>IF(D2851="?OLD","!!!","")</f>
        <v/>
      </c>
      <c r="F2851" s="22" t="str">
        <f>IF(OR(E2851="",E2851="!!!"),"",IF(NOT(ISNA(VLOOKUP(E2851,E$1:E2850,1,FALSE()))),"OLD",IF(AND(E2851&lt;&gt;"",E2851&lt;&gt;"!!!"),"NEW","")))</f>
        <v> </v>
      </c>
      <c r="G2851" s="23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4" t="str">
        <f>IF(J2851&lt;&gt;1,"",IF(I2851="SBJ","CB","?"))</f>
        <v> </v>
      </c>
      <c r="I2851" s="25" t="str">
        <f>IF(OR(E2851="",E2851="!!!",F2851="NEW"),"",INDEX(B2850:B$2,-1+SUMPRODUCT(MAX(ROW(E2850:E$2)*(E2851=E2850:E$2)))))</f>
        <v> </v>
      </c>
      <c r="J2851" s="25" t="str">
        <f>IF(OR(E2851="",E2851="!!!",F2851="NEW"),"",COUNTBLANK(OFFSET(A$1,,,SUMPRODUCT(MAX(ROW(E$2:E2851)*(E2851=E$2:E2851)))))-COUNTBLANK(OFFSET(A$1,,,SUMPRODUCT(MAX(ROW(E$1:E2850)*(E2=E$1:E2850))))))</f>
        <v> </v>
      </c>
      <c r="K2851" s="25" t="str">
        <f>IF(OR(E2851="",E2851="!!!",F2851="NEW"),"",INDEX(J$1:J2850,SUMPRODUCT(MAX(ROW(E$1:E2850)*(E2851=E$1:E2850)))))</f>
        <v> </v>
      </c>
      <c r="L2851" s="26"/>
    </row>
    <row r="2852" spans="1:12">
      <c r="A2852" s="20" t="s">
        <v>1201</v>
      </c>
      <c r="E2852" s="21">
        <f>IF(D2852="?OLD","!!!","")</f>
        <v/>
      </c>
      <c r="F2852" s="22" t="str">
        <f>IF(OR(E2852="",E2852="!!!"),"",IF(NOT(ISNA(VLOOKUP(E2852,E$1:E2851,1,FALSE()))),"OLD",IF(AND(E2852&lt;&gt;"",E2852&lt;&gt;"!!!"),"NEW","")))</f>
        <v> </v>
      </c>
      <c r="G2852" s="23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4" t="str">
        <f>IF(J2852&lt;&gt;1,"",IF(I2852="SBJ","CB","?"))</f>
        <v> </v>
      </c>
      <c r="I2852" s="25" t="str">
        <f>IF(OR(E2852="",E2852="!!!",F2852="NEW"),"",INDEX(B2851:B$2,-1+SUMPRODUCT(MAX(ROW(E2851:E$2)*(E2852=E2851:E$2)))))</f>
        <v> </v>
      </c>
      <c r="J2852" s="25" t="str">
        <f>IF(OR(E2852="",E2852="!!!",F2852="NEW"),"",COUNTBLANK(OFFSET(A$1,,,SUMPRODUCT(MAX(ROW(E$2:E2852)*(E2852=E$2:E2852)))))-COUNTBLANK(OFFSET(A$1,,,SUMPRODUCT(MAX(ROW(E$1:E2851)*(E2=E$1:E2851))))))</f>
        <v> </v>
      </c>
      <c r="K2852" s="25" t="str">
        <f>IF(OR(E2852="",E2852="!!!",F2852="NEW"),"",INDEX(J$1:J2851,SUMPRODUCT(MAX(ROW(E$1:E2851)*(E2852=E$1:E2851)))))</f>
        <v> </v>
      </c>
      <c r="L2852" s="26"/>
    </row>
    <row r="2853" spans="1:12">
      <c r="A2853" s="20" t="s">
        <v>1653</v>
      </c>
      <c r="B2853" s="27" t="s">
        <v>1110</v>
      </c>
      <c r="C2853" s="27" t="s">
        <v>1133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 t="s">
        <v>1217</v>
      </c>
      <c r="B2854" s="27" t="s">
        <v>1259</v>
      </c>
      <c r="C2854" s="27" t="s">
        <v>1126</v>
      </c>
      <c r="D2854" s="27" t="s">
        <v>1105</v>
      </c>
      <c r="E2854" s="21">
        <f>IF(D2854="?OLD","!!!","")</f>
        <v/>
      </c>
      <c r="F2854" s="22" t="str">
        <f>IF(OR(E2854="",E2854="!!!"),"",IF(NOT(ISNA(VLOOKUP(E2854,E$1:E2853,1,FALSE()))),"OLD",IF(AND(E2854&lt;&gt;"",E2854&lt;&gt;"!!!"),"NEW","")))</f>
        <v> </v>
      </c>
      <c r="G2854" s="23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4" t="str">
        <f>IF(J2854&lt;&gt;1,"",IF(I2854="SBJ","CB","?"))</f>
        <v> </v>
      </c>
      <c r="I2854" s="25" t="str">
        <f>IF(OR(E2854="",E2854="!!!",F2854="NEW"),"",INDEX(B2853:B$2,-1+SUMPRODUCT(MAX(ROW(E2853:E$2)*(E2854=E2853:E$2)))))</f>
        <v> </v>
      </c>
      <c r="J2854" s="25" t="str">
        <f>IF(OR(E2854="",E2854="!!!",F2854="NEW"),"",COUNTBLANK(OFFSET(A$1,,,SUMPRODUCT(MAX(ROW(E$2:E2854)*(E2854=E$2:E2854)))))-COUNTBLANK(OFFSET(A$1,,,SUMPRODUCT(MAX(ROW(E$1:E2853)*(E2=E$1:E2853))))))</f>
        <v> </v>
      </c>
      <c r="K2854" s="25" t="str">
        <f>IF(OR(E2854="",E2854="!!!",F2854="NEW"),"",INDEX(J$1:J2853,SUMPRODUCT(MAX(ROW(E$1:E2853)*(E2854=E$1:E2853)))))</f>
        <v> </v>
      </c>
      <c r="L2854" s="26"/>
    </row>
    <row r="2855" spans="1:12">
      <c r="A2855" s="20" t="s">
        <v>2441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1123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1134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2442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1128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 t="s">
        <v>2443</v>
      </c>
      <c r="E2860" s="21">
        <f>IF(D2860="?OLD","!!!","")</f>
        <v/>
      </c>
      <c r="F2860" s="22" t="str">
        <f>IF(OR(E2860="",E2860="!!!"),"",IF(NOT(ISNA(VLOOKUP(E2860,E$1:E2859,1,FALSE()))),"OLD",IF(AND(E2860&lt;&gt;"",E2860&lt;&gt;"!!!"),"NEW","")))</f>
        <v> </v>
      </c>
      <c r="G2860" s="23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4" t="str">
        <f>IF(J2860&lt;&gt;1,"",IF(I2860="SBJ","CB","?"))</f>
        <v> </v>
      </c>
      <c r="I2860" s="25" t="str">
        <f>IF(OR(E2860="",E2860="!!!",F2860="NEW"),"",INDEX(B2859:B$2,-1+SUMPRODUCT(MAX(ROW(E2859:E$2)*(E2860=E2859:E$2)))))</f>
        <v> </v>
      </c>
      <c r="J2860" s="25" t="str">
        <f>IF(OR(E2860="",E2860="!!!",F2860="NEW"),"",COUNTBLANK(OFFSET(A$1,,,SUMPRODUCT(MAX(ROW(E$2:E2860)*(E2860=E$2:E2860)))))-COUNTBLANK(OFFSET(A$1,,,SUMPRODUCT(MAX(ROW(E$1:E2859)*(E2=E$1:E2859))))))</f>
        <v> </v>
      </c>
      <c r="K2860" s="25" t="str">
        <f>IF(OR(E2860="",E2860="!!!",F2860="NEW"),"",INDEX(J$1:J2859,SUMPRODUCT(MAX(ROW(E$1:E2859)*(E2860=E$1:E2859)))))</f>
        <v> </v>
      </c>
      <c r="L2860" s="26"/>
    </row>
    <row r="2861" spans="1:12">
      <c r="A2861" s="20" t="s">
        <v>1145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/>
    </row>
    <row r="2863" spans="1:12">
      <c r="A2863" s="20" t="s">
        <v>2444</v>
      </c>
    </row>
    <row r="2864" spans="1:12">
      <c r="A2864" s="20" t="s">
        <v>2445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1421</v>
      </c>
      <c r="B2865" s="27" t="s">
        <v>1103</v>
      </c>
      <c r="C2865" s="27" t="s">
        <v>1126</v>
      </c>
      <c r="D2865" s="27" t="s">
        <v>1105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1996</v>
      </c>
      <c r="B2866" s="27" t="s">
        <v>1213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 t="s">
        <v>2446</v>
      </c>
      <c r="B2867" s="27" t="s">
        <v>1107</v>
      </c>
      <c r="C2867" s="27" t="s">
        <v>1142</v>
      </c>
      <c r="D2867" s="27" t="s">
        <v>1105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2447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2448</v>
      </c>
      <c r="B2869" s="27" t="s">
        <v>1149</v>
      </c>
      <c r="C2869" s="27" t="s">
        <v>1116</v>
      </c>
      <c r="D2869" s="27" t="s">
        <v>1105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1139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2007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 t="s">
        <v>2449</v>
      </c>
      <c r="B2872" s="27" t="s">
        <v>1103</v>
      </c>
      <c r="C2872" s="27" t="s">
        <v>1116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 t="s">
        <v>2450</v>
      </c>
      <c r="E2873" s="21">
        <f>IF(D2873="?OLD","!!!","")</f>
        <v/>
      </c>
      <c r="F2873" s="22" t="str">
        <f>IF(OR(E2873="",E2873="!!!"),"",IF(NOT(ISNA(VLOOKUP(E2873,E$1:E2872,1,FALSE()))),"OLD",IF(AND(E2873&lt;&gt;"",E2873&lt;&gt;"!!!"),"NEW","")))</f>
        <v> </v>
      </c>
      <c r="G2873" s="23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4" t="str">
        <f>IF(J2873&lt;&gt;1,"",IF(I2873="SBJ","CB","?"))</f>
        <v> </v>
      </c>
      <c r="I2873" s="25" t="str">
        <f>IF(OR(E2873="",E2873="!!!",F2873="NEW"),"",INDEX(B2872:B$2,-1+SUMPRODUCT(MAX(ROW(E2872:E$2)*(E2873=E2872:E$2)))))</f>
        <v> </v>
      </c>
      <c r="J2873" s="25" t="str">
        <f>IF(OR(E2873="",E2873="!!!",F2873="NEW"),"",COUNTBLANK(OFFSET(A$1,,,SUMPRODUCT(MAX(ROW(E$2:E2873)*(E2873=E$2:E2873)))))-COUNTBLANK(OFFSET(A$1,,,SUMPRODUCT(MAX(ROW(E$1:E2872)*(E2=E$1:E2872))))))</f>
        <v> </v>
      </c>
      <c r="K2873" s="25" t="str">
        <f>IF(OR(E2873="",E2873="!!!",F2873="NEW"),"",INDEX(J$1:J2872,SUMPRODUCT(MAX(ROW(E$1:E2872)*(E2873=E$1:E2872)))))</f>
        <v> </v>
      </c>
      <c r="L2873" s="26"/>
    </row>
    <row r="2874" spans="1:12">
      <c r="A2874" s="20" t="s">
        <v>1128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2451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1123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 t="s">
        <v>135</v>
      </c>
      <c r="B2877" s="27" t="s">
        <v>1243</v>
      </c>
      <c r="C2877" s="27" t="s">
        <v>1133</v>
      </c>
      <c r="E2877" s="21">
        <f>IF(D2877="?OLD","!!!","")</f>
        <v/>
      </c>
      <c r="F2877" s="22" t="str">
        <f>IF(OR(E2877="",E2877="!!!"),"",IF(NOT(ISNA(VLOOKUP(E2877,E$1:E2876,1,FALSE()))),"OLD",IF(AND(E2877&lt;&gt;"",E2877&lt;&gt;"!!!"),"NEW","")))</f>
        <v> </v>
      </c>
      <c r="G2877" s="23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4" t="str">
        <f>IF(J2877&lt;&gt;1,"",IF(I2877="SBJ","CB","?"))</f>
        <v> </v>
      </c>
      <c r="I2877" s="25" t="str">
        <f>IF(OR(E2877="",E2877="!!!",F2877="NEW"),"",INDEX(B2876:B$2,-1+SUMPRODUCT(MAX(ROW(E2876:E$2)*(E2877=E2876:E$2)))))</f>
        <v> </v>
      </c>
      <c r="J2877" s="25" t="str">
        <f>IF(OR(E2877="",E2877="!!!",F2877="NEW"),"",COUNTBLANK(OFFSET(A$1,,,SUMPRODUCT(MAX(ROW(E$2:E2877)*(E2877=E$2:E2877)))))-COUNTBLANK(OFFSET(A$1,,,SUMPRODUCT(MAX(ROW(E$1:E2876)*(E2=E$1:E2876))))))</f>
        <v> </v>
      </c>
      <c r="K2877" s="25" t="str">
        <f>IF(OR(E2877="",E2877="!!!",F2877="NEW"),"",INDEX(J$1:J2876,SUMPRODUCT(MAX(ROW(E$1:E2876)*(E2877=E$1:E2876)))))</f>
        <v> </v>
      </c>
      <c r="L2877" s="26"/>
    </row>
    <row r="2878" spans="1:12">
      <c r="A2878" s="20" t="s">
        <v>1217</v>
      </c>
      <c r="B2878" s="27" t="s">
        <v>1122</v>
      </c>
      <c r="C2878" s="27" t="s">
        <v>1126</v>
      </c>
      <c r="D2878" s="27" t="s">
        <v>1105</v>
      </c>
      <c r="E2878" s="21">
        <f>IF(D2878="?OLD","!!!","")</f>
        <v/>
      </c>
      <c r="F2878" s="22" t="str">
        <f>IF(OR(E2878="",E2878="!!!"),"",IF(NOT(ISNA(VLOOKUP(E2878,E$1:E2877,1,FALSE()))),"OLD",IF(AND(E2878&lt;&gt;"",E2878&lt;&gt;"!!!"),"NEW","")))</f>
        <v> </v>
      </c>
      <c r="G2878" s="23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4" t="str">
        <f>IF(J2878&lt;&gt;1,"",IF(I2878="SBJ","CB","?"))</f>
        <v> </v>
      </c>
      <c r="I2878" s="25" t="str">
        <f>IF(OR(E2878="",E2878="!!!",F2878="NEW"),"",INDEX(B2877:B$2,-1+SUMPRODUCT(MAX(ROW(E2877:E$2)*(E2878=E2877:E$2)))))</f>
        <v> </v>
      </c>
      <c r="J2878" s="25" t="str">
        <f>IF(OR(E2878="",E2878="!!!",F2878="NEW"),"",COUNTBLANK(OFFSET(A$1,,,SUMPRODUCT(MAX(ROW(E$2:E2878)*(E2878=E$2:E2878)))))-COUNTBLANK(OFFSET(A$1,,,SUMPRODUCT(MAX(ROW(E$1:E2877)*(E2=E$1:E2877))))))</f>
        <v> </v>
      </c>
      <c r="K2878" s="25" t="str">
        <f>IF(OR(E2878="",E2878="!!!",F2878="NEW"),"",INDEX(J$1:J2877,SUMPRODUCT(MAX(ROW(E$1:E2877)*(E2878=E$1:E2877)))))</f>
        <v> </v>
      </c>
      <c r="L2878" s="26"/>
    </row>
    <row r="2879" spans="1:12">
      <c r="A2879" s="20" t="s">
        <v>2452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1249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2453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 t="s">
        <v>1145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/>
    </row>
    <row r="2884" spans="1:12">
      <c r="A2884" s="20" t="s">
        <v>2454</v>
      </c>
    </row>
    <row r="2885" spans="1:12">
      <c r="A2885" s="20" t="s">
        <v>2455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2456</v>
      </c>
      <c r="B2886" s="27" t="s">
        <v>1149</v>
      </c>
      <c r="C2886" s="27" t="s">
        <v>1156</v>
      </c>
      <c r="D2886" s="27" t="s">
        <v>1105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2457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1906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2458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2459</v>
      </c>
      <c r="B2890" s="27" t="s">
        <v>1213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1145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/>
    </row>
    <row r="2893" spans="1:12">
      <c r="A2893" s="20" t="s">
        <v>2460</v>
      </c>
    </row>
    <row r="2894" spans="1:12">
      <c r="A2894" s="20" t="s">
        <v>2461</v>
      </c>
      <c r="B2894" s="27" t="s">
        <v>1107</v>
      </c>
      <c r="C2894" s="27" t="s">
        <v>1142</v>
      </c>
      <c r="D2894" s="27" t="s">
        <v>1105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1573</v>
      </c>
      <c r="B2895" s="27" t="s">
        <v>1149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 t="s">
        <v>1218</v>
      </c>
      <c r="E2896" s="21">
        <f>IF(D2896="?OLD","!!!","")</f>
        <v/>
      </c>
      <c r="F2896" s="22" t="str">
        <f>IF(OR(E2896="",E2896="!!!"),"",IF(NOT(ISNA(VLOOKUP(E2896,E$1:E2895,1,FALSE()))),"OLD",IF(AND(E2896&lt;&gt;"",E2896&lt;&gt;"!!!"),"NEW","")))</f>
        <v> </v>
      </c>
      <c r="G2896" s="23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4" t="str">
        <f>IF(J2896&lt;&gt;1,"",IF(I2896="SBJ","CB","?"))</f>
        <v> </v>
      </c>
      <c r="I2896" s="25" t="str">
        <f>IF(OR(E2896="",E2896="!!!",F2896="NEW"),"",INDEX(B2895:B$2,-1+SUMPRODUCT(MAX(ROW(E2895:E$2)*(E2896=E2895:E$2)))))</f>
        <v> </v>
      </c>
      <c r="J2896" s="25" t="str">
        <f>IF(OR(E2896="",E2896="!!!",F2896="NEW"),"",COUNTBLANK(OFFSET(A$1,,,SUMPRODUCT(MAX(ROW(E$2:E2896)*(E2896=E$2:E2896)))))-COUNTBLANK(OFFSET(A$1,,,SUMPRODUCT(MAX(ROW(E$1:E2895)*(E2=E$1:E2895))))))</f>
        <v> </v>
      </c>
      <c r="K2896" s="25" t="str">
        <f>IF(OR(E2896="",E2896="!!!",F2896="NEW"),"",INDEX(J$1:J2895,SUMPRODUCT(MAX(ROW(E$1:E2895)*(E2896=E$1:E2895)))))</f>
        <v> </v>
      </c>
      <c r="L2896" s="26"/>
    </row>
    <row r="2897" spans="1:12">
      <c r="A2897" s="20" t="s">
        <v>2462</v>
      </c>
      <c r="E2897" s="21">
        <f>IF(D2897="?OLD","!!!","")</f>
        <v/>
      </c>
      <c r="F2897" s="22" t="str">
        <f>IF(OR(E2897="",E2897="!!!"),"",IF(NOT(ISNA(VLOOKUP(E2897,E$1:E2896,1,FALSE()))),"OLD",IF(AND(E2897&lt;&gt;"",E2897&lt;&gt;"!!!"),"NEW","")))</f>
        <v> </v>
      </c>
      <c r="G2897" s="23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4" t="str">
        <f>IF(J2897&lt;&gt;1,"",IF(I2897="SBJ","CB","?"))</f>
        <v> </v>
      </c>
      <c r="I2897" s="25" t="str">
        <f>IF(OR(E2897="",E2897="!!!",F2897="NEW"),"",INDEX(B2896:B$2,-1+SUMPRODUCT(MAX(ROW(E2896:E$2)*(E2897=E2896:E$2)))))</f>
        <v> </v>
      </c>
      <c r="J2897" s="25" t="str">
        <f>IF(OR(E2897="",E2897="!!!",F2897="NEW"),"",COUNTBLANK(OFFSET(A$1,,,SUMPRODUCT(MAX(ROW(E$2:E2897)*(E2897=E$2:E2897)))))-COUNTBLANK(OFFSET(A$1,,,SUMPRODUCT(MAX(ROW(E$1:E2896)*(E2=E$1:E2896))))))</f>
        <v> </v>
      </c>
      <c r="K2897" s="25" t="str">
        <f>IF(OR(E2897="",E2897="!!!",F2897="NEW"),"",INDEX(J$1:J2896,SUMPRODUCT(MAX(ROW(E$1:E2896)*(E2897=E$1:E2896)))))</f>
        <v> </v>
      </c>
      <c r="L2897" s="26"/>
    </row>
    <row r="2898" spans="1:12">
      <c r="A2898" s="20" t="s">
        <v>2463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2464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 t="s">
        <v>2465</v>
      </c>
      <c r="E2900" s="21">
        <f>IF(D2900="?OLD","!!!","")</f>
        <v/>
      </c>
      <c r="F2900" s="22" t="str">
        <f>IF(OR(E2900="",E2900="!!!"),"",IF(NOT(ISNA(VLOOKUP(E2900,E$1:E2899,1,FALSE()))),"OLD",IF(AND(E2900&lt;&gt;"",E2900&lt;&gt;"!!!"),"NEW","")))</f>
        <v> </v>
      </c>
      <c r="G2900" s="23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4" t="str">
        <f>IF(J2900&lt;&gt;1,"",IF(I2900="SBJ","CB","?"))</f>
        <v> </v>
      </c>
      <c r="I2900" s="25" t="str">
        <f>IF(OR(E2900="",E2900="!!!",F2900="NEW"),"",INDEX(B2899:B$2,-1+SUMPRODUCT(MAX(ROW(E2899:E$2)*(E2900=E2899:E$2)))))</f>
        <v> </v>
      </c>
      <c r="J2900" s="25" t="str">
        <f>IF(OR(E2900="",E2900="!!!",F2900="NEW"),"",COUNTBLANK(OFFSET(A$1,,,SUMPRODUCT(MAX(ROW(E$2:E2900)*(E2900=E$2:E2900)))))-COUNTBLANK(OFFSET(A$1,,,SUMPRODUCT(MAX(ROW(E$1:E2899)*(E2=E$1:E2899))))))</f>
        <v> </v>
      </c>
      <c r="K2900" s="25" t="str">
        <f>IF(OR(E2900="",E2900="!!!",F2900="NEW"),"",INDEX(J$1:J2899,SUMPRODUCT(MAX(ROW(E$1:E2899)*(E2900=E$1:E2899)))))</f>
        <v> </v>
      </c>
      <c r="L2900" s="26"/>
    </row>
    <row r="2901" spans="1:12">
      <c r="A2901" s="20" t="s">
        <v>1123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228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 t="s">
        <v>2466</v>
      </c>
      <c r="E2903" s="21">
        <f>IF(D2903="?OLD","!!!","")</f>
        <v/>
      </c>
      <c r="F2903" s="22" t="str">
        <f>IF(OR(E2903="",E2903="!!!"),"",IF(NOT(ISNA(VLOOKUP(E2903,E$1:E2902,1,FALSE()))),"OLD",IF(AND(E2903&lt;&gt;"",E2903&lt;&gt;"!!!"),"NEW","")))</f>
        <v> </v>
      </c>
      <c r="G2903" s="23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4" t="str">
        <f>IF(J2903&lt;&gt;1,"",IF(I2903="SBJ","CB","?"))</f>
        <v> </v>
      </c>
      <c r="I2903" s="25" t="str">
        <f>IF(OR(E2903="",E2903="!!!",F2903="NEW"),"",INDEX(B2902:B$2,-1+SUMPRODUCT(MAX(ROW(E2902:E$2)*(E2903=E2902:E$2)))))</f>
        <v> </v>
      </c>
      <c r="J2903" s="25" t="str">
        <f>IF(OR(E2903="",E2903="!!!",F2903="NEW"),"",COUNTBLANK(OFFSET(A$1,,,SUMPRODUCT(MAX(ROW(E$2:E2903)*(E2903=E$2:E2903)))))-COUNTBLANK(OFFSET(A$1,,,SUMPRODUCT(MAX(ROW(E$1:E2902)*(E2=E$1:E2902))))))</f>
        <v> </v>
      </c>
      <c r="K2903" s="25" t="str">
        <f>IF(OR(E2903="",E2903="!!!",F2903="NEW"),"",INDEX(J$1:J2902,SUMPRODUCT(MAX(ROW(E$1:E2902)*(E2903=E$1:E2902)))))</f>
        <v> </v>
      </c>
      <c r="L2903" s="26"/>
    </row>
    <row r="2904" spans="1:12">
      <c r="A2904" s="20" t="s">
        <v>2467</v>
      </c>
      <c r="B2904" s="27" t="s">
        <v>1259</v>
      </c>
      <c r="E2904" s="21">
        <f>IF(D2904="?OLD","!!!","")</f>
        <v/>
      </c>
      <c r="F2904" s="22" t="str">
        <f>IF(OR(E2904="",E2904="!!!"),"",IF(NOT(ISNA(VLOOKUP(E2904,E$1:E2903,1,FALSE()))),"OLD",IF(AND(E2904&lt;&gt;"",E2904&lt;&gt;"!!!"),"NEW","")))</f>
        <v> </v>
      </c>
      <c r="G2904" s="23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4" t="str">
        <f>IF(J2904&lt;&gt;1,"",IF(I2904="SBJ","CB","?"))</f>
        <v> </v>
      </c>
      <c r="I2904" s="25" t="str">
        <f>IF(OR(E2904="",E2904="!!!",F2904="NEW"),"",INDEX(B2903:B$2,-1+SUMPRODUCT(MAX(ROW(E2903:E$2)*(E2904=E2903:E$2)))))</f>
        <v> </v>
      </c>
      <c r="J2904" s="25" t="str">
        <f>IF(OR(E2904="",E2904="!!!",F2904="NEW"),"",COUNTBLANK(OFFSET(A$1,,,SUMPRODUCT(MAX(ROW(E$2:E2904)*(E2904=E$2:E2904)))))-COUNTBLANK(OFFSET(A$1,,,SUMPRODUCT(MAX(ROW(E$1:E2903)*(E2=E$1:E2903))))))</f>
        <v> </v>
      </c>
      <c r="K2904" s="25" t="str">
        <f>IF(OR(E2904="",E2904="!!!",F2904="NEW"),"",INDEX(J$1:J2903,SUMPRODUCT(MAX(ROW(E$1:E2903)*(E2904=E$1:E2903)))))</f>
        <v> </v>
      </c>
      <c r="L2904" s="26"/>
    </row>
    <row r="2905" spans="1:12">
      <c r="A2905" s="20" t="s">
        <v>2468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1128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2469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1111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2470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2471</v>
      </c>
      <c r="B2910" s="27" t="s">
        <v>1132</v>
      </c>
      <c r="C2910" s="27" t="s">
        <v>1104</v>
      </c>
      <c r="D2910" s="27" t="s">
        <v>1105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 t="s">
        <v>1371</v>
      </c>
      <c r="E2911" s="21">
        <f>IF(D2911="?OLD","!!!","")</f>
        <v/>
      </c>
      <c r="F2911" s="22" t="str">
        <f>IF(OR(E2911="",E2911="!!!"),"",IF(NOT(ISNA(VLOOKUP(E2911,E$1:E2910,1,FALSE()))),"OLD",IF(AND(E2911&lt;&gt;"",E2911&lt;&gt;"!!!"),"NEW","")))</f>
        <v> </v>
      </c>
      <c r="G2911" s="23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4" t="str">
        <f>IF(J2911&lt;&gt;1,"",IF(I2911="SBJ","CB","?"))</f>
        <v> </v>
      </c>
      <c r="I2911" s="25" t="str">
        <f>IF(OR(E2911="",E2911="!!!",F2911="NEW"),"",INDEX(B2910:B$2,-1+SUMPRODUCT(MAX(ROW(E2910:E$2)*(E2911=E2910:E$2)))))</f>
        <v> </v>
      </c>
      <c r="J2911" s="25" t="str">
        <f>IF(OR(E2911="",E2911="!!!",F2911="NEW"),"",COUNTBLANK(OFFSET(A$1,,,SUMPRODUCT(MAX(ROW(E$2:E2911)*(E2911=E$2:E2911)))))-COUNTBLANK(OFFSET(A$1,,,SUMPRODUCT(MAX(ROW(E$1:E2910)*(E2=E$1:E2910))))))</f>
        <v> </v>
      </c>
      <c r="K2911" s="25" t="str">
        <f>IF(OR(E2911="",E2911="!!!",F2911="NEW"),"",INDEX(J$1:J2910,SUMPRODUCT(MAX(ROW(E$1:E2910)*(E2911=E$1:E2910)))))</f>
        <v> </v>
      </c>
      <c r="L2911" s="26"/>
    </row>
    <row r="2912" spans="1:12">
      <c r="A2912" s="20" t="s">
        <v>2472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 t="s">
        <v>1128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2473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2474</v>
      </c>
      <c r="B2915" s="27" t="s">
        <v>1141</v>
      </c>
      <c r="C2915" s="27" t="s">
        <v>1156</v>
      </c>
      <c r="D2915" s="27" t="s">
        <v>1105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1145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/>
    </row>
    <row r="2918" spans="1:12">
      <c r="A2918" s="20" t="s">
        <v>2475</v>
      </c>
    </row>
    <row r="2919" spans="1:12">
      <c r="A2919" s="20" t="s">
        <v>2476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2477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2478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2479</v>
      </c>
      <c r="B2922" s="27" t="s">
        <v>1149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1123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 t="s">
        <v>2480</v>
      </c>
      <c r="E2924" s="21">
        <f>IF(D2924="?OLD","!!!","")</f>
        <v/>
      </c>
      <c r="F2924" s="22" t="str">
        <f>IF(OR(E2924="",E2924="!!!"),"",IF(NOT(ISNA(VLOOKUP(E2924,E$1:E2923,1,FALSE()))),"OLD",IF(AND(E2924&lt;&gt;"",E2924&lt;&gt;"!!!"),"NEW","")))</f>
        <v> </v>
      </c>
      <c r="G2924" s="23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4" t="str">
        <f>IF(J2924&lt;&gt;1,"",IF(I2924="SBJ","CB","?"))</f>
        <v> </v>
      </c>
      <c r="I2924" s="25" t="str">
        <f>IF(OR(E2924="",E2924="!!!",F2924="NEW"),"",INDEX(B2923:B$2,-1+SUMPRODUCT(MAX(ROW(E2923:E$2)*(E2924=E2923:E$2)))))</f>
        <v> </v>
      </c>
      <c r="J2924" s="25" t="str">
        <f>IF(OR(E2924="",E2924="!!!",F2924="NEW"),"",COUNTBLANK(OFFSET(A$1,,,SUMPRODUCT(MAX(ROW(E$2:E2924)*(E2924=E$2:E2924)))))-COUNTBLANK(OFFSET(A$1,,,SUMPRODUCT(MAX(ROW(E$1:E2923)*(E2=E$1:E2923))))))</f>
        <v> </v>
      </c>
      <c r="K2924" s="25" t="str">
        <f>IF(OR(E2924="",E2924="!!!",F2924="NEW"),"",INDEX(J$1:J2923,SUMPRODUCT(MAX(ROW(E$1:E2923)*(E2924=E$1:E2923)))))</f>
        <v> </v>
      </c>
      <c r="L2924" s="26"/>
    </row>
    <row r="2925" spans="1:12">
      <c r="A2925" s="20" t="s">
        <v>2481</v>
      </c>
      <c r="E2925" s="21">
        <f>IF(D2925="?OLD","!!!","")</f>
        <v/>
      </c>
      <c r="F2925" s="22" t="str">
        <f>IF(OR(E2925="",E2925="!!!"),"",IF(NOT(ISNA(VLOOKUP(E2925,E$1:E2924,1,FALSE()))),"OLD",IF(AND(E2925&lt;&gt;"",E2925&lt;&gt;"!!!"),"NEW","")))</f>
        <v> </v>
      </c>
      <c r="G2925" s="23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4" t="str">
        <f>IF(J2925&lt;&gt;1,"",IF(I2925="SBJ","CB","?"))</f>
        <v> </v>
      </c>
      <c r="I2925" s="25" t="str">
        <f>IF(OR(E2925="",E2925="!!!",F2925="NEW"),"",INDEX(B2924:B$2,-1+SUMPRODUCT(MAX(ROW(E2924:E$2)*(E2925=E2924:E$2)))))</f>
        <v> </v>
      </c>
      <c r="J2925" s="25" t="str">
        <f>IF(OR(E2925="",E2925="!!!",F2925="NEW"),"",COUNTBLANK(OFFSET(A$1,,,SUMPRODUCT(MAX(ROW(E$2:E2925)*(E2925=E$2:E2925)))))-COUNTBLANK(OFFSET(A$1,,,SUMPRODUCT(MAX(ROW(E$1:E2924)*(E2=E$1:E2924))))))</f>
        <v> </v>
      </c>
      <c r="K2925" s="25" t="str">
        <f>IF(OR(E2925="",E2925="!!!",F2925="NEW"),"",INDEX(J$1:J2924,SUMPRODUCT(MAX(ROW(E$1:E2924)*(E2925=E$1:E2924)))))</f>
        <v> </v>
      </c>
      <c r="L2925" s="26"/>
    </row>
    <row r="2926" spans="1:12">
      <c r="A2926" s="20" t="s">
        <v>2482</v>
      </c>
      <c r="E2926" s="21">
        <f>IF(D2926="?OLD","!!!","")</f>
        <v/>
      </c>
      <c r="F2926" s="22" t="str">
        <f>IF(OR(E2926="",E2926="!!!"),"",IF(NOT(ISNA(VLOOKUP(E2926,E$1:E2925,1,FALSE()))),"OLD",IF(AND(E2926&lt;&gt;"",E2926&lt;&gt;"!!!"),"NEW","")))</f>
        <v> </v>
      </c>
      <c r="G2926" s="23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4" t="str">
        <f>IF(J2926&lt;&gt;1,"",IF(I2926="SBJ","CB","?"))</f>
        <v> </v>
      </c>
      <c r="I2926" s="25" t="str">
        <f>IF(OR(E2926="",E2926="!!!",F2926="NEW"),"",INDEX(B2925:B$2,-1+SUMPRODUCT(MAX(ROW(E2925:E$2)*(E2926=E2925:E$2)))))</f>
        <v> </v>
      </c>
      <c r="J2926" s="25" t="str">
        <f>IF(OR(E2926="",E2926="!!!",F2926="NEW"),"",COUNTBLANK(OFFSET(A$1,,,SUMPRODUCT(MAX(ROW(E$2:E2926)*(E2926=E$2:E2926)))))-COUNTBLANK(OFFSET(A$1,,,SUMPRODUCT(MAX(ROW(E$1:E2925)*(E2=E$1:E2925))))))</f>
        <v> </v>
      </c>
      <c r="K2926" s="25" t="str">
        <f>IF(OR(E2926="",E2926="!!!",F2926="NEW"),"",INDEX(J$1:J2925,SUMPRODUCT(MAX(ROW(E$1:E2925)*(E2926=E$1:E2925)))))</f>
        <v> </v>
      </c>
      <c r="L2926" s="26"/>
    </row>
    <row r="2927" spans="1:12">
      <c r="A2927" s="20" t="s">
        <v>2483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2484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1145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/>
    </row>
    <row r="2931" spans="1:12">
      <c r="A2931" s="20" t="s">
        <v>2485</v>
      </c>
    </row>
    <row r="2932" spans="1:12">
      <c r="A2932" s="20" t="s">
        <v>1973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1318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1371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 t="s">
        <v>2486</v>
      </c>
      <c r="B2935" s="27" t="s">
        <v>1103</v>
      </c>
      <c r="C2935" s="27" t="s">
        <v>1156</v>
      </c>
      <c r="D2935" s="27" t="s">
        <v>1105</v>
      </c>
      <c r="E2935" s="21">
        <f>IF(D2935="?OLD","!!!","")</f>
        <v/>
      </c>
      <c r="F2935" s="22" t="str">
        <f>IF(OR(E2935="",E2935="!!!"),"",IF(NOT(ISNA(VLOOKUP(E2935,E$1:E2934,1,FALSE()))),"OLD",IF(AND(E2935&lt;&gt;"",E2935&lt;&gt;"!!!"),"NEW","")))</f>
        <v> </v>
      </c>
      <c r="G2935" s="23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4" t="str">
        <f>IF(J2935&lt;&gt;1,"",IF(I2935="SBJ","CB","?"))</f>
        <v> </v>
      </c>
      <c r="I2935" s="25" t="str">
        <f>IF(OR(E2935="",E2935="!!!",F2935="NEW"),"",INDEX(B2934:B$2,-1+SUMPRODUCT(MAX(ROW(E2934:E$2)*(E2935=E2934:E$2)))))</f>
        <v> </v>
      </c>
      <c r="J2935" s="25" t="str">
        <f>IF(OR(E2935="",E2935="!!!",F2935="NEW"),"",COUNTBLANK(OFFSET(A$1,,,SUMPRODUCT(MAX(ROW(E$2:E2935)*(E2935=E$2:E2935)))))-COUNTBLANK(OFFSET(A$1,,,SUMPRODUCT(MAX(ROW(E$1:E2934)*(E2=E$1:E2934))))))</f>
        <v> </v>
      </c>
      <c r="K2935" s="25" t="str">
        <f>IF(OR(E2935="",E2935="!!!",F2935="NEW"),"",INDEX(J$1:J2934,SUMPRODUCT(MAX(ROW(E$1:E2934)*(E2935=E$1:E2934)))))</f>
        <v> </v>
      </c>
      <c r="L2935" s="26"/>
    </row>
    <row r="2936" spans="1:12">
      <c r="A2936" s="20" t="s">
        <v>2487</v>
      </c>
      <c r="E2936" s="21">
        <f>IF(D2936="?OLD","!!!","")</f>
        <v/>
      </c>
      <c r="F2936" s="22" t="str">
        <f>IF(OR(E2936="",E2936="!!!"),"",IF(NOT(ISNA(VLOOKUP(E2936,E$1:E2935,1,FALSE()))),"OLD",IF(AND(E2936&lt;&gt;"",E2936&lt;&gt;"!!!"),"NEW","")))</f>
        <v> </v>
      </c>
      <c r="G2936" s="23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4" t="str">
        <f>IF(J2936&lt;&gt;1,"",IF(I2936="SBJ","CB","?"))</f>
        <v> </v>
      </c>
      <c r="I2936" s="25" t="str">
        <f>IF(OR(E2936="",E2936="!!!",F2936="NEW"),"",INDEX(B2935:B$2,-1+SUMPRODUCT(MAX(ROW(E2935:E$2)*(E2936=E2935:E$2)))))</f>
        <v> </v>
      </c>
      <c r="J2936" s="25" t="str">
        <f>IF(OR(E2936="",E2936="!!!",F2936="NEW"),"",COUNTBLANK(OFFSET(A$1,,,SUMPRODUCT(MAX(ROW(E$2:E2936)*(E2936=E$2:E2936)))))-COUNTBLANK(OFFSET(A$1,,,SUMPRODUCT(MAX(ROW(E$1:E2935)*(E2=E$1:E2935))))))</f>
        <v> </v>
      </c>
      <c r="K2936" s="25" t="str">
        <f>IF(OR(E2936="",E2936="!!!",F2936="NEW"),"",INDEX(J$1:J2935,SUMPRODUCT(MAX(ROW(E$1:E2935)*(E2936=E$1:E2935)))))</f>
        <v> </v>
      </c>
      <c r="L2936" s="26"/>
    </row>
    <row r="2937" spans="1:12">
      <c r="A2937" s="20" t="s">
        <v>2488</v>
      </c>
      <c r="B2937" s="27" t="s">
        <v>1149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1123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2489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1271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2153</v>
      </c>
      <c r="B2941" s="27" t="s">
        <v>1110</v>
      </c>
      <c r="C2941" s="27" t="s">
        <v>1126</v>
      </c>
      <c r="D2941" s="27" t="s">
        <v>1105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2490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1123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1731</v>
      </c>
      <c r="B2944" s="27" t="s">
        <v>1870</v>
      </c>
      <c r="C2944" s="27" t="s">
        <v>1133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2491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1186</v>
      </c>
      <c r="B2946" s="27" t="s">
        <v>2162</v>
      </c>
      <c r="C2946" s="27" t="s">
        <v>1126</v>
      </c>
      <c r="D2946" s="27" t="s">
        <v>1105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 t="s">
        <v>1130</v>
      </c>
      <c r="E2947" s="21">
        <f>IF(D2947="?OLD","!!!","")</f>
        <v/>
      </c>
      <c r="F2947" s="22" t="str">
        <f>IF(OR(E2947="",E2947="!!!"),"",IF(NOT(ISNA(VLOOKUP(E2947,E$1:E2946,1,FALSE()))),"OLD",IF(AND(E2947&lt;&gt;"",E2947&lt;&gt;"!!!"),"NEW","")))</f>
        <v> </v>
      </c>
      <c r="G2947" s="23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4" t="str">
        <f>IF(J2947&lt;&gt;1,"",IF(I2947="SBJ","CB","?"))</f>
        <v> </v>
      </c>
      <c r="I2947" s="25" t="str">
        <f>IF(OR(E2947="",E2947="!!!",F2947="NEW"),"",INDEX(B2946:B$2,-1+SUMPRODUCT(MAX(ROW(E2946:E$2)*(E2947=E2946:E$2)))))</f>
        <v> </v>
      </c>
      <c r="J2947" s="25" t="str">
        <f>IF(OR(E2947="",E2947="!!!",F2947="NEW"),"",COUNTBLANK(OFFSET(A$1,,,SUMPRODUCT(MAX(ROW(E$2:E2947)*(E2947=E$2:E2947)))))-COUNTBLANK(OFFSET(A$1,,,SUMPRODUCT(MAX(ROW(E$1:E2946)*(E2=E$1:E2946))))))</f>
        <v> </v>
      </c>
      <c r="K2947" s="25" t="str">
        <f>IF(OR(E2947="",E2947="!!!",F2947="NEW"),"",INDEX(J$1:J2946,SUMPRODUCT(MAX(ROW(E$1:E2946)*(E2947=E$1:E2946)))))</f>
        <v> </v>
      </c>
      <c r="L2947" s="26"/>
    </row>
    <row r="2948" spans="1:12">
      <c r="A2948" s="20" t="s">
        <v>2250</v>
      </c>
      <c r="E2948" s="21">
        <f>IF(D2948="?OLD","!!!","")</f>
        <v/>
      </c>
      <c r="F2948" s="22" t="str">
        <f>IF(OR(E2948="",E2948="!!!"),"",IF(NOT(ISNA(VLOOKUP(E2948,E$1:E2947,1,FALSE()))),"OLD",IF(AND(E2948&lt;&gt;"",E2948&lt;&gt;"!!!"),"NEW","")))</f>
        <v> </v>
      </c>
      <c r="G2948" s="23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4" t="str">
        <f>IF(J2948&lt;&gt;1,"",IF(I2948="SBJ","CB","?"))</f>
        <v> </v>
      </c>
      <c r="I2948" s="25" t="str">
        <f>IF(OR(E2948="",E2948="!!!",F2948="NEW"),"",INDEX(B2947:B$2,-1+SUMPRODUCT(MAX(ROW(E2947:E$2)*(E2948=E2947:E$2)))))</f>
        <v> </v>
      </c>
      <c r="J2948" s="25" t="str">
        <f>IF(OR(E2948="",E2948="!!!",F2948="NEW"),"",COUNTBLANK(OFFSET(A$1,,,SUMPRODUCT(MAX(ROW(E$2:E2948)*(E2948=E$2:E2948)))))-COUNTBLANK(OFFSET(A$1,,,SUMPRODUCT(MAX(ROW(E$1:E2947)*(E2=E$1:E2947))))))</f>
        <v> </v>
      </c>
      <c r="K2948" s="25" t="str">
        <f>IF(OR(E2948="",E2948="!!!",F2948="NEW"),"",INDEX(J$1:J2947,SUMPRODUCT(MAX(ROW(E$1:E2947)*(E2948=E$1:E2947)))))</f>
        <v> </v>
      </c>
      <c r="L2948" s="26"/>
    </row>
    <row r="2949" spans="1:12">
      <c r="A2949" s="20" t="s">
        <v>1139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2492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1123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1842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135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1184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2493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2123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1693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883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 t="s">
        <v>1120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2494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 t="s">
        <v>1123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1181</v>
      </c>
      <c r="B2962" s="27" t="s">
        <v>1495</v>
      </c>
      <c r="C2962" s="27" t="s">
        <v>1133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 t="s">
        <v>1114</v>
      </c>
      <c r="B2963" s="27" t="s">
        <v>2041</v>
      </c>
      <c r="C2963" s="27" t="s">
        <v>1116</v>
      </c>
      <c r="D2963" s="27" t="s">
        <v>1105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 t="s">
        <v>1111</v>
      </c>
      <c r="E2964" s="21">
        <f>IF(D2964="?OLD","!!!","")</f>
        <v/>
      </c>
      <c r="F2964" s="22" t="str">
        <f>IF(OR(E2964="",E2964="!!!"),"",IF(NOT(ISNA(VLOOKUP(E2964,E$1:E2963,1,FALSE()))),"OLD",IF(AND(E2964&lt;&gt;"",E2964&lt;&gt;"!!!"),"NEW","")))</f>
        <v> </v>
      </c>
      <c r="G2964" s="23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4" t="str">
        <f>IF(J2964&lt;&gt;1,"",IF(I2964="SBJ","CB","?"))</f>
        <v> </v>
      </c>
      <c r="I2964" s="25" t="str">
        <f>IF(OR(E2964="",E2964="!!!",F2964="NEW"),"",INDEX(B2963:B$2,-1+SUMPRODUCT(MAX(ROW(E2963:E$2)*(E2964=E2963:E$2)))))</f>
        <v> </v>
      </c>
      <c r="J2964" s="25" t="str">
        <f>IF(OR(E2964="",E2964="!!!",F2964="NEW"),"",COUNTBLANK(OFFSET(A$1,,,SUMPRODUCT(MAX(ROW(E$2:E2964)*(E2964=E$2:E2964)))))-COUNTBLANK(OFFSET(A$1,,,SUMPRODUCT(MAX(ROW(E$1:E2963)*(E2=E$1:E2963))))))</f>
        <v> </v>
      </c>
      <c r="K2964" s="25" t="str">
        <f>IF(OR(E2964="",E2964="!!!",F2964="NEW"),"",INDEX(J$1:J2963,SUMPRODUCT(MAX(ROW(E$1:E2963)*(E2964=E$1:E2963)))))</f>
        <v> </v>
      </c>
      <c r="L2964" s="26"/>
    </row>
    <row r="2965" spans="1:12">
      <c r="A2965" s="20" t="s">
        <v>2495</v>
      </c>
      <c r="B2965" s="27" t="s">
        <v>2496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1188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 t="s">
        <v>1609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1145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/>
    </row>
    <row r="2970" spans="1:12">
      <c r="A2970" s="20" t="s">
        <v>2497</v>
      </c>
    </row>
    <row r="2971" spans="1:12">
      <c r="A2971" s="20" t="s">
        <v>2498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2499</v>
      </c>
      <c r="B2972" s="27" t="s">
        <v>1149</v>
      </c>
      <c r="C2972" s="27" t="s">
        <v>1210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 t="s">
        <v>2500</v>
      </c>
      <c r="E2973" s="21">
        <f>IF(D2973="?OLD","!!!","")</f>
        <v/>
      </c>
      <c r="F2973" s="22" t="str">
        <f>IF(OR(E2973="",E2973="!!!"),"",IF(NOT(ISNA(VLOOKUP(E2973,E$1:E2972,1,FALSE()))),"OLD",IF(AND(E2973&lt;&gt;"",E2973&lt;&gt;"!!!"),"NEW","")))</f>
        <v> </v>
      </c>
      <c r="G2973" s="23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4" t="str">
        <f>IF(J2973&lt;&gt;1,"",IF(I2973="SBJ","CB","?"))</f>
        <v> </v>
      </c>
      <c r="I2973" s="25" t="str">
        <f>IF(OR(E2973="",E2973="!!!",F2973="NEW"),"",INDEX(B2972:B$2,-1+SUMPRODUCT(MAX(ROW(E2972:E$2)*(E2973=E2972:E$2)))))</f>
        <v> </v>
      </c>
      <c r="J2973" s="25" t="str">
        <f>IF(OR(E2973="",E2973="!!!",F2973="NEW"),"",COUNTBLANK(OFFSET(A$1,,,SUMPRODUCT(MAX(ROW(E$2:E2973)*(E2973=E$2:E2973)))))-COUNTBLANK(OFFSET(A$1,,,SUMPRODUCT(MAX(ROW(E$1:E2972)*(E2=E$1:E2972))))))</f>
        <v> </v>
      </c>
      <c r="K2973" s="25" t="str">
        <f>IF(OR(E2973="",E2973="!!!",F2973="NEW"),"",INDEX(J$1:J2972,SUMPRODUCT(MAX(ROW(E$1:E2972)*(E2973=E$1:E2972)))))</f>
        <v> </v>
      </c>
      <c r="L2973" s="26"/>
    </row>
    <row r="2974" spans="1:12">
      <c r="A2974" s="20" t="s">
        <v>2501</v>
      </c>
      <c r="E2974" s="21">
        <f>IF(D2974="?OLD","!!!","")</f>
        <v/>
      </c>
      <c r="F2974" s="22" t="str">
        <f>IF(OR(E2974="",E2974="!!!"),"",IF(NOT(ISNA(VLOOKUP(E2974,E$1:E2973,1,FALSE()))),"OLD",IF(AND(E2974&lt;&gt;"",E2974&lt;&gt;"!!!"),"NEW","")))</f>
        <v> </v>
      </c>
      <c r="G2974" s="23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4" t="str">
        <f>IF(J2974&lt;&gt;1,"",IF(I2974="SBJ","CB","?"))</f>
        <v> </v>
      </c>
      <c r="I2974" s="25" t="str">
        <f>IF(OR(E2974="",E2974="!!!",F2974="NEW"),"",INDEX(B2973:B$2,-1+SUMPRODUCT(MAX(ROW(E2973:E$2)*(E2974=E2973:E$2)))))</f>
        <v> </v>
      </c>
      <c r="J2974" s="25" t="str">
        <f>IF(OR(E2974="",E2974="!!!",F2974="NEW"),"",COUNTBLANK(OFFSET(A$1,,,SUMPRODUCT(MAX(ROW(E$2:E2974)*(E2974=E$2:E2974)))))-COUNTBLANK(OFFSET(A$1,,,SUMPRODUCT(MAX(ROW(E$1:E2973)*(E2=E$1:E2973))))))</f>
        <v> </v>
      </c>
      <c r="K2974" s="25" t="str">
        <f>IF(OR(E2974="",E2974="!!!",F2974="NEW"),"",INDEX(J$1:J2973,SUMPRODUCT(MAX(ROW(E$1:E2973)*(E2974=E$1:E2973)))))</f>
        <v> </v>
      </c>
      <c r="L2974" s="26"/>
    </row>
    <row r="2975" spans="1:12">
      <c r="A2975" s="20" t="s">
        <v>2502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1123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2503</v>
      </c>
      <c r="B2977" s="27" t="s">
        <v>1122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2504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2505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2506</v>
      </c>
      <c r="B2980" s="27" t="s">
        <v>1243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2507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1123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2508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 t="s">
        <v>2509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1113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2019</v>
      </c>
      <c r="B2986" s="27" t="s">
        <v>1115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1123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1731</v>
      </c>
      <c r="B2988" s="27" t="s">
        <v>1870</v>
      </c>
      <c r="C2988" s="27" t="s">
        <v>1133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1130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2510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2511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 t="s">
        <v>2512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 t="s">
        <v>1249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 t="s">
        <v>1270</v>
      </c>
      <c r="B2994" s="27" t="s">
        <v>1141</v>
      </c>
      <c r="C2994" s="27" t="s">
        <v>1126</v>
      </c>
      <c r="D2994" s="27" t="s">
        <v>1105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1123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2513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1984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1128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2514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 t="s">
        <v>1145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/>
    </row>
    <row r="3002" spans="1:12">
      <c r="A3002" s="20" t="s">
        <v>2515</v>
      </c>
    </row>
    <row r="3003" spans="1:12">
      <c r="A3003" s="20" t="s">
        <v>1277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2516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2517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1217</v>
      </c>
      <c r="B3006" s="27" t="s">
        <v>1149</v>
      </c>
      <c r="C3006" s="27" t="s">
        <v>1126</v>
      </c>
      <c r="D3006" s="27" t="s">
        <v>1105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 t="s">
        <v>2171</v>
      </c>
      <c r="E3007" s="21">
        <f>IF(D3007="?OLD","!!!","")</f>
        <v/>
      </c>
      <c r="F3007" s="22" t="str">
        <f>IF(OR(E3007="",E3007="!!!"),"",IF(NOT(ISNA(VLOOKUP(E3007,E$1:E3006,1,FALSE()))),"OLD",IF(AND(E3007&lt;&gt;"",E3007&lt;&gt;"!!!"),"NEW","")))</f>
        <v> </v>
      </c>
      <c r="G3007" s="23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4" t="str">
        <f>IF(J3007&lt;&gt;1,"",IF(I3007="SBJ","CB","?"))</f>
        <v> </v>
      </c>
      <c r="I3007" s="25" t="str">
        <f>IF(OR(E3007="",E3007="!!!",F3007="NEW"),"",INDEX(B3006:B$2,-1+SUMPRODUCT(MAX(ROW(E3006:E$2)*(E3007=E3006:E$2)))))</f>
        <v> </v>
      </c>
      <c r="J3007" s="25" t="str">
        <f>IF(OR(E3007="",E3007="!!!",F3007="NEW"),"",COUNTBLANK(OFFSET(A$1,,,SUMPRODUCT(MAX(ROW(E$2:E3007)*(E3007=E$2:E3007)))))-COUNTBLANK(OFFSET(A$1,,,SUMPRODUCT(MAX(ROW(E$1:E3006)*(E2=E$1:E3006))))))</f>
        <v> </v>
      </c>
      <c r="K3007" s="25" t="str">
        <f>IF(OR(E3007="",E3007="!!!",F3007="NEW"),"",INDEX(J$1:J3006,SUMPRODUCT(MAX(ROW(E$1:E3006)*(E3007=E$1:E3006)))))</f>
        <v> </v>
      </c>
      <c r="L3007" s="26"/>
    </row>
    <row r="3008" spans="1:12">
      <c r="A3008" s="20" t="s">
        <v>1427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2518</v>
      </c>
      <c r="B3009" s="27" t="s">
        <v>1213</v>
      </c>
      <c r="C3009" s="27" t="s">
        <v>1156</v>
      </c>
      <c r="D3009" s="27" t="s">
        <v>1105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 t="s">
        <v>1123</v>
      </c>
      <c r="E3010" s="21">
        <f>IF(D3010="?OLD","!!!","")</f>
        <v/>
      </c>
      <c r="F3010" s="22" t="str">
        <f>IF(OR(E3010="",E3010="!!!"),"",IF(NOT(ISNA(VLOOKUP(E3010,E$1:E3009,1,FALSE()))),"OLD",IF(AND(E3010&lt;&gt;"",E3010&lt;&gt;"!!!"),"NEW","")))</f>
        <v> </v>
      </c>
      <c r="G3010" s="23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4" t="str">
        <f>IF(J3010&lt;&gt;1,"",IF(I3010="SBJ","CB","?"))</f>
        <v> </v>
      </c>
      <c r="I3010" s="25" t="str">
        <f>IF(OR(E3010="",E3010="!!!",F3010="NEW"),"",INDEX(B3009:B$2,-1+SUMPRODUCT(MAX(ROW(E3009:E$2)*(E3010=E3009:E$2)))))</f>
        <v> </v>
      </c>
      <c r="J3010" s="25" t="str">
        <f>IF(OR(E3010="",E3010="!!!",F3010="NEW"),"",COUNTBLANK(OFFSET(A$1,,,SUMPRODUCT(MAX(ROW(E$2:E3010)*(E3010=E$2:E3010)))))-COUNTBLANK(OFFSET(A$1,,,SUMPRODUCT(MAX(ROW(E$1:E3009)*(E2=E$1:E3009))))))</f>
        <v> </v>
      </c>
      <c r="K3010" s="25" t="str">
        <f>IF(OR(E3010="",E3010="!!!",F3010="NEW"),"",INDEX(J$1:J3009,SUMPRODUCT(MAX(ROW(E$1:E3009)*(E3010=E$1:E3009)))))</f>
        <v> </v>
      </c>
      <c r="L3010" s="26"/>
    </row>
    <row r="3011" spans="1:12">
      <c r="A3011" s="20" t="s">
        <v>2519</v>
      </c>
      <c r="E3011" s="21">
        <f>IF(D3011="?OLD","!!!","")</f>
        <v/>
      </c>
      <c r="F3011" s="22" t="str">
        <f>IF(OR(E3011="",E3011="!!!"),"",IF(NOT(ISNA(VLOOKUP(E3011,E$1:E3010,1,FALSE()))),"OLD",IF(AND(E3011&lt;&gt;"",E3011&lt;&gt;"!!!"),"NEW","")))</f>
        <v> </v>
      </c>
      <c r="G3011" s="23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4" t="str">
        <f>IF(J3011&lt;&gt;1,"",IF(I3011="SBJ","CB","?"))</f>
        <v> </v>
      </c>
      <c r="I3011" s="25" t="str">
        <f>IF(OR(E3011="",E3011="!!!",F3011="NEW"),"",INDEX(B3010:B$2,-1+SUMPRODUCT(MAX(ROW(E3010:E$2)*(E3011=E3010:E$2)))))</f>
        <v> </v>
      </c>
      <c r="J3011" s="25" t="str">
        <f>IF(OR(E3011="",E3011="!!!",F3011="NEW"),"",COUNTBLANK(OFFSET(A$1,,,SUMPRODUCT(MAX(ROW(E$2:E3011)*(E3011=E$2:E3011)))))-COUNTBLANK(OFFSET(A$1,,,SUMPRODUCT(MAX(ROW(E$1:E3010)*(E2=E$1:E3010))))))</f>
        <v> </v>
      </c>
      <c r="K3011" s="25" t="str">
        <f>IF(OR(E3011="",E3011="!!!",F3011="NEW"),"",INDEX(J$1:J3010,SUMPRODUCT(MAX(ROW(E$1:E3010)*(E3011=E$1:E3010)))))</f>
        <v> </v>
      </c>
      <c r="L3011" s="26"/>
    </row>
    <row r="3012" spans="1:12">
      <c r="A3012" s="20" t="s">
        <v>2520</v>
      </c>
      <c r="B3012" s="27" t="s">
        <v>1243</v>
      </c>
      <c r="E3012" s="21">
        <f>IF(D3012="?OLD","!!!","")</f>
        <v/>
      </c>
      <c r="F3012" s="22" t="str">
        <f>IF(OR(E3012="",E3012="!!!"),"",IF(NOT(ISNA(VLOOKUP(E3012,E$1:E3011,1,FALSE()))),"OLD",IF(AND(E3012&lt;&gt;"",E3012&lt;&gt;"!!!"),"NEW","")))</f>
        <v> </v>
      </c>
      <c r="G3012" s="23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4" t="str">
        <f>IF(J3012&lt;&gt;1,"",IF(I3012="SBJ","CB","?"))</f>
        <v> </v>
      </c>
      <c r="I3012" s="25" t="str">
        <f>IF(OR(E3012="",E3012="!!!",F3012="NEW"),"",INDEX(B3011:B$2,-1+SUMPRODUCT(MAX(ROW(E3011:E$2)*(E3012=E3011:E$2)))))</f>
        <v> </v>
      </c>
      <c r="J3012" s="25" t="str">
        <f>IF(OR(E3012="",E3012="!!!",F3012="NEW"),"",COUNTBLANK(OFFSET(A$1,,,SUMPRODUCT(MAX(ROW(E$2:E3012)*(E3012=E$2:E3012)))))-COUNTBLANK(OFFSET(A$1,,,SUMPRODUCT(MAX(ROW(E$1:E3011)*(E2=E$1:E3011))))))</f>
        <v> </v>
      </c>
      <c r="K3012" s="25" t="str">
        <f>IF(OR(E3012="",E3012="!!!",F3012="NEW"),"",INDEX(J$1:J3011,SUMPRODUCT(MAX(ROW(E$1:E3011)*(E3012=E$1:E3011)))))</f>
        <v> </v>
      </c>
      <c r="L3012" s="26"/>
    </row>
    <row r="3013" spans="1:12">
      <c r="A3013" s="20" t="s">
        <v>1123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1128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1271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2446</v>
      </c>
      <c r="B3016" s="27" t="s">
        <v>1110</v>
      </c>
      <c r="C3016" s="27" t="s">
        <v>1142</v>
      </c>
      <c r="D3016" s="27" t="s">
        <v>1105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2521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2522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1134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1181</v>
      </c>
      <c r="B3020" s="27" t="s">
        <v>1122</v>
      </c>
      <c r="C3020" s="27" t="s">
        <v>1133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2523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1123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1239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 t="s">
        <v>2524</v>
      </c>
      <c r="E3024" s="21">
        <f>IF(D3024="?OLD","!!!","")</f>
        <v/>
      </c>
      <c r="F3024" s="22" t="str">
        <f>IF(OR(E3024="",E3024="!!!"),"",IF(NOT(ISNA(VLOOKUP(E3024,E$1:E3023,1,FALSE()))),"OLD",IF(AND(E3024&lt;&gt;"",E3024&lt;&gt;"!!!"),"NEW","")))</f>
        <v> </v>
      </c>
      <c r="G3024" s="23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4" t="str">
        <f>IF(J3024&lt;&gt;1,"",IF(I3024="SBJ","CB","?"))</f>
        <v> </v>
      </c>
      <c r="I3024" s="25" t="str">
        <f>IF(OR(E3024="",E3024="!!!",F3024="NEW"),"",INDEX(B3023:B$2,-1+SUMPRODUCT(MAX(ROW(E3023:E$2)*(E3024=E3023:E$2)))))</f>
        <v> </v>
      </c>
      <c r="J3024" s="25" t="str">
        <f>IF(OR(E3024="",E3024="!!!",F3024="NEW"),"",COUNTBLANK(OFFSET(A$1,,,SUMPRODUCT(MAX(ROW(E$2:E3024)*(E3024=E$2:E3024)))))-COUNTBLANK(OFFSET(A$1,,,SUMPRODUCT(MAX(ROW(E$1:E3023)*(E2=E$1:E3023))))))</f>
        <v> </v>
      </c>
      <c r="K3024" s="25" t="str">
        <f>IF(OR(E3024="",E3024="!!!",F3024="NEW"),"",INDEX(J$1:J3023,SUMPRODUCT(MAX(ROW(E$1:E3023)*(E3024=E$1:E3023)))))</f>
        <v> </v>
      </c>
      <c r="L3024" s="26"/>
    </row>
    <row r="3025" spans="1:12">
      <c r="A3025" s="20" t="s">
        <v>1507</v>
      </c>
      <c r="B3025" s="27" t="s">
        <v>1132</v>
      </c>
      <c r="C3025" s="27" t="s">
        <v>1108</v>
      </c>
      <c r="D3025" s="27" t="s">
        <v>1105</v>
      </c>
      <c r="E3025" s="21">
        <f>IF(D3025="?OLD","!!!","")</f>
        <v/>
      </c>
      <c r="F3025" s="22" t="str">
        <f>IF(OR(E3025="",E3025="!!!"),"",IF(NOT(ISNA(VLOOKUP(E3025,E$1:E3024,1,FALSE()))),"OLD",IF(AND(E3025&lt;&gt;"",E3025&lt;&gt;"!!!"),"NEW","")))</f>
        <v> </v>
      </c>
      <c r="G3025" s="23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4" t="str">
        <f>IF(J3025&lt;&gt;1,"",IF(I3025="SBJ","CB","?"))</f>
        <v> </v>
      </c>
      <c r="I3025" s="25" t="str">
        <f>IF(OR(E3025="",E3025="!!!",F3025="NEW"),"",INDEX(B3024:B$2,-1+SUMPRODUCT(MAX(ROW(E3024:E$2)*(E3025=E3024:E$2)))))</f>
        <v> </v>
      </c>
      <c r="J3025" s="25" t="str">
        <f>IF(OR(E3025="",E3025="!!!",F3025="NEW"),"",COUNTBLANK(OFFSET(A$1,,,SUMPRODUCT(MAX(ROW(E$2:E3025)*(E3025=E$2:E3025)))))-COUNTBLANK(OFFSET(A$1,,,SUMPRODUCT(MAX(ROW(E$1:E3024)*(E2=E$1:E3024))))))</f>
        <v> </v>
      </c>
      <c r="K3025" s="25" t="str">
        <f>IF(OR(E3025="",E3025="!!!",F3025="NEW"),"",INDEX(J$1:J3024,SUMPRODUCT(MAX(ROW(E$1:E3024)*(E3025=E$1:E3024)))))</f>
        <v> </v>
      </c>
      <c r="L3025" s="26"/>
    </row>
    <row r="3026" spans="1:12">
      <c r="A3026" s="20" t="s">
        <v>1145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/>
    </row>
    <row r="3028" spans="1:12">
      <c r="A3028" s="20" t="s">
        <v>2525</v>
      </c>
    </row>
    <row r="3029" spans="1:12">
      <c r="A3029" s="20" t="s">
        <v>2526</v>
      </c>
      <c r="B3029" s="27" t="s">
        <v>1149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1494</v>
      </c>
      <c r="B3030" s="27" t="s">
        <v>1107</v>
      </c>
      <c r="C3030" s="27" t="s">
        <v>1142</v>
      </c>
      <c r="D3030" s="27" t="s">
        <v>1105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2527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1249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2528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1123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 t="s">
        <v>1128</v>
      </c>
      <c r="E3035" s="21">
        <f>IF(D3035="?OLD","!!!","")</f>
        <v/>
      </c>
      <c r="F3035" s="22" t="str">
        <f>IF(OR(E3035="",E3035="!!!"),"",IF(NOT(ISNA(VLOOKUP(E3035,E$1:E3034,1,FALSE()))),"OLD",IF(AND(E3035&lt;&gt;"",E3035&lt;&gt;"!!!"),"NEW","")))</f>
        <v> </v>
      </c>
      <c r="G3035" s="23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4" t="str">
        <f>IF(J3035&lt;&gt;1,"",IF(I3035="SBJ","CB","?"))</f>
        <v> </v>
      </c>
      <c r="I3035" s="25" t="str">
        <f>IF(OR(E3035="",E3035="!!!",F3035="NEW"),"",INDEX(B3034:B$2,-1+SUMPRODUCT(MAX(ROW(E3034:E$2)*(E3035=E3034:E$2)))))</f>
        <v> </v>
      </c>
      <c r="J3035" s="25" t="str">
        <f>IF(OR(E3035="",E3035="!!!",F3035="NEW"),"",COUNTBLANK(OFFSET(A$1,,,SUMPRODUCT(MAX(ROW(E$2:E3035)*(E3035=E$2:E3035)))))-COUNTBLANK(OFFSET(A$1,,,SUMPRODUCT(MAX(ROW(E$1:E3034)*(E2=E$1:E3034))))))</f>
        <v> </v>
      </c>
      <c r="K3035" s="25" t="str">
        <f>IF(OR(E3035="",E3035="!!!",F3035="NEW"),"",INDEX(J$1:J3034,SUMPRODUCT(MAX(ROW(E$1:E3034)*(E3035=E$1:E3034)))))</f>
        <v> </v>
      </c>
      <c r="L3035" s="26"/>
    </row>
    <row r="3036" spans="1:12">
      <c r="A3036" s="20" t="s">
        <v>1228</v>
      </c>
      <c r="B3036" s="27" t="s">
        <v>1122</v>
      </c>
      <c r="C3036" s="27" t="s">
        <v>1126</v>
      </c>
      <c r="D3036" s="27" t="s">
        <v>1105</v>
      </c>
      <c r="E3036" s="21">
        <f>IF(D3036="?OLD","!!!","")</f>
        <v/>
      </c>
      <c r="F3036" s="22" t="str">
        <f>IF(OR(E3036="",E3036="!!!"),"",IF(NOT(ISNA(VLOOKUP(E3036,E$1:E3035,1,FALSE()))),"OLD",IF(AND(E3036&lt;&gt;"",E3036&lt;&gt;"!!!"),"NEW","")))</f>
        <v> </v>
      </c>
      <c r="G3036" s="23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4" t="str">
        <f>IF(J3036&lt;&gt;1,"",IF(I3036="SBJ","CB","?"))</f>
        <v> </v>
      </c>
      <c r="I3036" s="25" t="str">
        <f>IF(OR(E3036="",E3036="!!!",F3036="NEW"),"",INDEX(B3035:B$2,-1+SUMPRODUCT(MAX(ROW(E3035:E$2)*(E3036=E3035:E$2)))))</f>
        <v> </v>
      </c>
      <c r="J3036" s="25" t="str">
        <f>IF(OR(E3036="",E3036="!!!",F3036="NEW"),"",COUNTBLANK(OFFSET(A$1,,,SUMPRODUCT(MAX(ROW(E$2:E3036)*(E3036=E$2:E3036)))))-COUNTBLANK(OFFSET(A$1,,,SUMPRODUCT(MAX(ROW(E$1:E3035)*(E2=E$1:E3035))))))</f>
        <v> </v>
      </c>
      <c r="K3036" s="25" t="str">
        <f>IF(OR(E3036="",E3036="!!!",F3036="NEW"),"",INDEX(J$1:J3035,SUMPRODUCT(MAX(ROW(E$1:E3035)*(E3036=E$1:E3035)))))</f>
        <v> </v>
      </c>
      <c r="L3036" s="26"/>
    </row>
    <row r="3037" spans="1:12">
      <c r="A3037" s="20" t="s">
        <v>1574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2529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2530</v>
      </c>
      <c r="B3039" s="27" t="s">
        <v>1243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1318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1196</v>
      </c>
      <c r="B3041" s="27" t="s">
        <v>1107</v>
      </c>
      <c r="C3041" s="27" t="s">
        <v>1126</v>
      </c>
      <c r="D3041" s="27" t="s">
        <v>1105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1249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 t="s">
        <v>2531</v>
      </c>
      <c r="E3043" s="21">
        <f>IF(D3043="?OLD","!!!","")</f>
        <v/>
      </c>
      <c r="F3043" s="22" t="str">
        <f>IF(OR(E3043="",E3043="!!!"),"",IF(NOT(ISNA(VLOOKUP(E3043,E$1:E3042,1,FALSE()))),"OLD",IF(AND(E3043&lt;&gt;"",E3043&lt;&gt;"!!!"),"NEW","")))</f>
        <v> </v>
      </c>
      <c r="G3043" s="23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4" t="str">
        <f>IF(J3043&lt;&gt;1,"",IF(I3043="SBJ","CB","?"))</f>
        <v> </v>
      </c>
      <c r="I3043" s="25" t="str">
        <f>IF(OR(E3043="",E3043="!!!",F3043="NEW"),"",INDEX(B3042:B$2,-1+SUMPRODUCT(MAX(ROW(E3042:E$2)*(E3043=E3042:E$2)))))</f>
        <v> </v>
      </c>
      <c r="J3043" s="25" t="str">
        <f>IF(OR(E3043="",E3043="!!!",F3043="NEW"),"",COUNTBLANK(OFFSET(A$1,,,SUMPRODUCT(MAX(ROW(E$2:E3043)*(E3043=E$2:E3043)))))-COUNTBLANK(OFFSET(A$1,,,SUMPRODUCT(MAX(ROW(E$1:E3042)*(E2=E$1:E3042))))))</f>
        <v> </v>
      </c>
      <c r="K3043" s="25" t="str">
        <f>IF(OR(E3043="",E3043="!!!",F3043="NEW"),"",INDEX(J$1:J3042,SUMPRODUCT(MAX(ROW(E$1:E3042)*(E3043=E$1:E3042)))))</f>
        <v> </v>
      </c>
      <c r="L3043" s="26"/>
    </row>
    <row r="3044" spans="1:12">
      <c r="A3044" s="20" t="s">
        <v>1195</v>
      </c>
      <c r="E3044" s="21">
        <f>IF(D3044="?OLD","!!!","")</f>
        <v/>
      </c>
      <c r="F3044" s="22" t="str">
        <f>IF(OR(E3044="",E3044="!!!"),"",IF(NOT(ISNA(VLOOKUP(E3044,E$1:E3043,1,FALSE()))),"OLD",IF(AND(E3044&lt;&gt;"",E3044&lt;&gt;"!!!"),"NEW","")))</f>
        <v> </v>
      </c>
      <c r="G3044" s="23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4" t="str">
        <f>IF(J3044&lt;&gt;1,"",IF(I3044="SBJ","CB","?"))</f>
        <v> </v>
      </c>
      <c r="I3044" s="25" t="str">
        <f>IF(OR(E3044="",E3044="!!!",F3044="NEW"),"",INDEX(B3043:B$2,-1+SUMPRODUCT(MAX(ROW(E3043:E$2)*(E3044=E3043:E$2)))))</f>
        <v> </v>
      </c>
      <c r="J3044" s="25" t="str">
        <f>IF(OR(E3044="",E3044="!!!",F3044="NEW"),"",COUNTBLANK(OFFSET(A$1,,,SUMPRODUCT(MAX(ROW(E$2:E3044)*(E3044=E$2:E3044)))))-COUNTBLANK(OFFSET(A$1,,,SUMPRODUCT(MAX(ROW(E$1:E3043)*(E2=E$1:E3043))))))</f>
        <v> </v>
      </c>
      <c r="K3044" s="25" t="str">
        <f>IF(OR(E3044="",E3044="!!!",F3044="NEW"),"",INDEX(J$1:J3043,SUMPRODUCT(MAX(ROW(E$1:E3043)*(E3044=E$1:E3043)))))</f>
        <v> </v>
      </c>
      <c r="L3044" s="26"/>
    </row>
    <row r="3045" spans="1:12">
      <c r="A3045" s="20" t="s">
        <v>2532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2533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1145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/>
    </row>
    <row r="3049" spans="1:12">
      <c r="A3049" s="20" t="s">
        <v>2534</v>
      </c>
    </row>
    <row r="3050" spans="1:12">
      <c r="A3050" s="20" t="s">
        <v>1111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723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1351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1111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2418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1225</v>
      </c>
      <c r="B3055" s="27" t="s">
        <v>1122</v>
      </c>
      <c r="C3055" s="27" t="s">
        <v>1108</v>
      </c>
      <c r="D3055" s="27" t="s">
        <v>1105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1145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/>
    </row>
    <row r="3058" spans="1:12">
      <c r="A3058" s="20" t="s">
        <v>2535</v>
      </c>
    </row>
    <row r="3059" spans="1:12">
      <c r="A3059" s="20" t="s">
        <v>1111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727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 t="s">
        <v>1123</v>
      </c>
      <c r="E3061" s="21">
        <f>IF(D3061="?OLD","!!!","")</f>
        <v/>
      </c>
      <c r="F3061" s="22" t="str">
        <f>IF(OR(E3061="",E3061="!!!"),"",IF(NOT(ISNA(VLOOKUP(E3061,E$1:E3060,1,FALSE()))),"OLD",IF(AND(E3061&lt;&gt;"",E3061&lt;&gt;"!!!"),"NEW","")))</f>
        <v> </v>
      </c>
      <c r="G3061" s="23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4" t="str">
        <f>IF(J3061&lt;&gt;1,"",IF(I3061="SBJ","CB","?"))</f>
        <v> </v>
      </c>
      <c r="I3061" s="25" t="str">
        <f>IF(OR(E3061="",E3061="!!!",F3061="NEW"),"",INDEX(B3060:B$2,-1+SUMPRODUCT(MAX(ROW(E3060:E$2)*(E3061=E3060:E$2)))))</f>
        <v> </v>
      </c>
      <c r="J3061" s="25" t="str">
        <f>IF(OR(E3061="",E3061="!!!",F3061="NEW"),"",COUNTBLANK(OFFSET(A$1,,,SUMPRODUCT(MAX(ROW(E$2:E3061)*(E3061=E$2:E3061)))))-COUNTBLANK(OFFSET(A$1,,,SUMPRODUCT(MAX(ROW(E$1:E3060)*(E2=E$1:E3060))))))</f>
        <v> </v>
      </c>
      <c r="K3061" s="25" t="str">
        <f>IF(OR(E3061="",E3061="!!!",F3061="NEW"),"",INDEX(J$1:J3060,SUMPRODUCT(MAX(ROW(E$1:E3060)*(E3061=E$1:E3060)))))</f>
        <v> </v>
      </c>
      <c r="L3061" s="26"/>
    </row>
    <row r="3062" spans="1:12">
      <c r="A3062" s="20" t="s">
        <v>228</v>
      </c>
      <c r="E3062" s="21">
        <f>IF(D3062="?OLD","!!!","")</f>
        <v/>
      </c>
      <c r="F3062" s="22" t="str">
        <f>IF(OR(E3062="",E3062="!!!"),"",IF(NOT(ISNA(VLOOKUP(E3062,E$1:E3061,1,FALSE()))),"OLD",IF(AND(E3062&lt;&gt;"",E3062&lt;&gt;"!!!"),"NEW","")))</f>
        <v> </v>
      </c>
      <c r="G3062" s="23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4" t="str">
        <f>IF(J3062&lt;&gt;1,"",IF(I3062="SBJ","CB","?"))</f>
        <v> </v>
      </c>
      <c r="I3062" s="25" t="str">
        <f>IF(OR(E3062="",E3062="!!!",F3062="NEW"),"",INDEX(B3061:B$2,-1+SUMPRODUCT(MAX(ROW(E3061:E$2)*(E3062=E3061:E$2)))))</f>
        <v> </v>
      </c>
      <c r="J3062" s="25" t="str">
        <f>IF(OR(E3062="",E3062="!!!",F3062="NEW"),"",COUNTBLANK(OFFSET(A$1,,,SUMPRODUCT(MAX(ROW(E$2:E3062)*(E3062=E$2:E3062)))))-COUNTBLANK(OFFSET(A$1,,,SUMPRODUCT(MAX(ROW(E$1:E3061)*(E2=E$1:E3061))))))</f>
        <v> </v>
      </c>
      <c r="K3062" s="25" t="str">
        <f>IF(OR(E3062="",E3062="!!!",F3062="NEW"),"",INDEX(J$1:J3061,SUMPRODUCT(MAX(ROW(E$1:E3061)*(E3062=E$1:E3061)))))</f>
        <v> </v>
      </c>
      <c r="L3062" s="26"/>
    </row>
    <row r="3063" spans="1:12">
      <c r="A3063" s="20" t="s">
        <v>2191</v>
      </c>
      <c r="B3063" s="27" t="s">
        <v>1122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1334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/>
    </row>
    <row r="3066" spans="1:12">
      <c r="A3066" s="20" t="s">
        <v>2536</v>
      </c>
    </row>
    <row r="3067" spans="1:12">
      <c r="A3067" s="20" t="s">
        <v>2537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1494</v>
      </c>
      <c r="B3068" s="27" t="s">
        <v>1213</v>
      </c>
      <c r="C3068" s="27" t="s">
        <v>1126</v>
      </c>
      <c r="D3068" s="27" t="s">
        <v>1105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1249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2538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1145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/>
    </row>
    <row r="3073" spans="1:12">
      <c r="A3073" s="20" t="s">
        <v>2539</v>
      </c>
    </row>
    <row r="3074" spans="1:12">
      <c r="A3074" s="20" t="s">
        <v>2540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2541</v>
      </c>
      <c r="B3075" s="27" t="s">
        <v>1149</v>
      </c>
      <c r="C3075" s="27" t="s">
        <v>1116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1910</v>
      </c>
      <c r="B3076" s="27" t="s">
        <v>1213</v>
      </c>
      <c r="C3076" s="27" t="s">
        <v>1133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2217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2542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1139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 t="s">
        <v>2543</v>
      </c>
      <c r="E3080" s="21">
        <f>IF(D3080="?OLD","!!!","")</f>
        <v/>
      </c>
      <c r="F3080" s="22" t="str">
        <f>IF(OR(E3080="",E3080="!!!"),"",IF(NOT(ISNA(VLOOKUP(E3080,E$1:E3079,1,FALSE()))),"OLD",IF(AND(E3080&lt;&gt;"",E3080&lt;&gt;"!!!"),"NEW","")))</f>
        <v> </v>
      </c>
      <c r="G3080" s="23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4" t="str">
        <f>IF(J3080&lt;&gt;1,"",IF(I3080="SBJ","CB","?"))</f>
        <v> </v>
      </c>
      <c r="I3080" s="25" t="str">
        <f>IF(OR(E3080="",E3080="!!!",F3080="NEW"),"",INDEX(B3079:B$2,-1+SUMPRODUCT(MAX(ROW(E3079:E$2)*(E3080=E3079:E$2)))))</f>
        <v> </v>
      </c>
      <c r="J3080" s="25" t="str">
        <f>IF(OR(E3080="",E3080="!!!",F3080="NEW"),"",COUNTBLANK(OFFSET(A$1,,,SUMPRODUCT(MAX(ROW(E$2:E3080)*(E3080=E$2:E3080)))))-COUNTBLANK(OFFSET(A$1,,,SUMPRODUCT(MAX(ROW(E$1:E3079)*(E2=E$1:E3079))))))</f>
        <v> </v>
      </c>
      <c r="K3080" s="25" t="str">
        <f>IF(OR(E3080="",E3080="!!!",F3080="NEW"),"",INDEX(J$1:J3079,SUMPRODUCT(MAX(ROW(E$1:E3079)*(E3080=E$1:E3079)))))</f>
        <v> </v>
      </c>
      <c r="L3080" s="26"/>
    </row>
    <row r="3081" spans="1:12">
      <c r="A3081" s="20" t="s">
        <v>1351</v>
      </c>
      <c r="E3081" s="21">
        <f>IF(D3081="?OLD","!!!","")</f>
        <v/>
      </c>
      <c r="F3081" s="22" t="str">
        <f>IF(OR(E3081="",E3081="!!!"),"",IF(NOT(ISNA(VLOOKUP(E3081,E$1:E3080,1,FALSE()))),"OLD",IF(AND(E3081&lt;&gt;"",E3081&lt;&gt;"!!!"),"NEW","")))</f>
        <v> </v>
      </c>
      <c r="G3081" s="23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4" t="str">
        <f>IF(J3081&lt;&gt;1,"",IF(I3081="SBJ","CB","?"))</f>
        <v> </v>
      </c>
      <c r="I3081" s="25" t="str">
        <f>IF(OR(E3081="",E3081="!!!",F3081="NEW"),"",INDEX(B3080:B$2,-1+SUMPRODUCT(MAX(ROW(E3080:E$2)*(E3081=E3080:E$2)))))</f>
        <v> </v>
      </c>
      <c r="J3081" s="25" t="str">
        <f>IF(OR(E3081="",E3081="!!!",F3081="NEW"),"",COUNTBLANK(OFFSET(A$1,,,SUMPRODUCT(MAX(ROW(E$2:E3081)*(E3081=E$2:E3081)))))-COUNTBLANK(OFFSET(A$1,,,SUMPRODUCT(MAX(ROW(E$1:E3080)*(E2=E$1:E3080))))))</f>
        <v> </v>
      </c>
      <c r="K3081" s="25" t="str">
        <f>IF(OR(E3081="",E3081="!!!",F3081="NEW"),"",INDEX(J$1:J3080,SUMPRODUCT(MAX(ROW(E$1:E3080)*(E3081=E$1:E3080)))))</f>
        <v> </v>
      </c>
      <c r="L3081" s="26"/>
    </row>
    <row r="3082" spans="1:12">
      <c r="A3082" s="20"/>
    </row>
    <row r="3083" spans="1:12">
      <c r="A3083" s="20" t="s">
        <v>2544</v>
      </c>
    </row>
    <row r="3084" spans="1:12">
      <c r="A3084" s="20" t="s">
        <v>2545</v>
      </c>
      <c r="B3084" s="27" t="s">
        <v>1149</v>
      </c>
      <c r="C3084" s="27" t="s">
        <v>1108</v>
      </c>
      <c r="D3084" s="27" t="s">
        <v>1105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1507</v>
      </c>
      <c r="B3085" s="27" t="s">
        <v>1107</v>
      </c>
      <c r="C3085" s="27" t="s">
        <v>1108</v>
      </c>
      <c r="D3085" s="27" t="s">
        <v>1105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2546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2019</v>
      </c>
      <c r="B3087" s="27" t="s">
        <v>1213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 t="s">
        <v>1145</v>
      </c>
      <c r="E3088" s="21">
        <f>IF(D3088="?OLD","!!!","")</f>
        <v/>
      </c>
      <c r="F3088" s="22" t="str">
        <f>IF(OR(E3088="",E3088="!!!"),"",IF(NOT(ISNA(VLOOKUP(E3088,E$1:E3087,1,FALSE()))),"OLD",IF(AND(E3088&lt;&gt;"",E3088&lt;&gt;"!!!"),"NEW","")))</f>
        <v> </v>
      </c>
      <c r="G3088" s="23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4" t="str">
        <f>IF(J3088&lt;&gt;1,"",IF(I3088="SBJ","CB","?"))</f>
        <v> </v>
      </c>
      <c r="I3088" s="25" t="str">
        <f>IF(OR(E3088="",E3088="!!!",F3088="NEW"),"",INDEX(B3087:B$2,-1+SUMPRODUCT(MAX(ROW(E3087:E$2)*(E3088=E3087:E$2)))))</f>
        <v> </v>
      </c>
      <c r="J3088" s="25" t="str">
        <f>IF(OR(E3088="",E3088="!!!",F3088="NEW"),"",COUNTBLANK(OFFSET(A$1,,,SUMPRODUCT(MAX(ROW(E$2:E3088)*(E3088=E$2:E3088)))))-COUNTBLANK(OFFSET(A$1,,,SUMPRODUCT(MAX(ROW(E$1:E3087)*(E2=E$1:E3087))))))</f>
        <v> </v>
      </c>
      <c r="K3088" s="25" t="str">
        <f>IF(OR(E3088="",E3088="!!!",F3088="NEW"),"",INDEX(J$1:J3087,SUMPRODUCT(MAX(ROW(E$1:E3087)*(E3088=E$1:E3087)))))</f>
        <v> </v>
      </c>
      <c r="L3088" s="26"/>
    </row>
    <row r="3089" spans="1:12">
      <c r="A3089" s="20"/>
    </row>
    <row r="3090" spans="1:12">
      <c r="A3090" s="20" t="s">
        <v>2547</v>
      </c>
    </row>
    <row r="3091" spans="1:12">
      <c r="A3091" s="20" t="s">
        <v>1111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 t="s">
        <v>1633</v>
      </c>
      <c r="B3092" s="27" t="s">
        <v>1149</v>
      </c>
      <c r="C3092" s="27" t="s">
        <v>1126</v>
      </c>
      <c r="D3092" s="27" t="s">
        <v>1105</v>
      </c>
      <c r="E3092" s="21">
        <f>IF(D3092="?OLD","!!!","")</f>
        <v/>
      </c>
      <c r="F3092" s="22" t="str">
        <f>IF(OR(E3092="",E3092="!!!"),"",IF(NOT(ISNA(VLOOKUP(E3092,E$1:E3091,1,FALSE()))),"OLD",IF(AND(E3092&lt;&gt;"",E3092&lt;&gt;"!!!"),"NEW","")))</f>
        <v> </v>
      </c>
      <c r="G3092" s="23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4" t="str">
        <f>IF(J3092&lt;&gt;1,"",IF(I3092="SBJ","CB","?"))</f>
        <v> </v>
      </c>
      <c r="I3092" s="25" t="str">
        <f>IF(OR(E3092="",E3092="!!!",F3092="NEW"),"",INDEX(B3091:B$2,-1+SUMPRODUCT(MAX(ROW(E3091:E$2)*(E3092=E3091:E$2)))))</f>
        <v> </v>
      </c>
      <c r="J3092" s="25" t="str">
        <f>IF(OR(E3092="",E3092="!!!",F3092="NEW"),"",COUNTBLANK(OFFSET(A$1,,,SUMPRODUCT(MAX(ROW(E$2:E3092)*(E3092=E$2:E3092)))))-COUNTBLANK(OFFSET(A$1,,,SUMPRODUCT(MAX(ROW(E$1:E3091)*(E2=E$1:E3091))))))</f>
        <v> </v>
      </c>
      <c r="K3092" s="25" t="str">
        <f>IF(OR(E3092="",E3092="!!!",F3092="NEW"),"",INDEX(J$1:J3091,SUMPRODUCT(MAX(ROW(E$1:E3091)*(E3092=E$1:E3091)))))</f>
        <v> </v>
      </c>
      <c r="L3092" s="26"/>
    </row>
    <row r="3093" spans="1:12">
      <c r="A3093" s="20" t="s">
        <v>2548</v>
      </c>
      <c r="E3093" s="21">
        <f>IF(D3093="?OLD","!!!","")</f>
        <v/>
      </c>
      <c r="F3093" s="22" t="str">
        <f>IF(OR(E3093="",E3093="!!!"),"",IF(NOT(ISNA(VLOOKUP(E3093,E$1:E3092,1,FALSE()))),"OLD",IF(AND(E3093&lt;&gt;"",E3093&lt;&gt;"!!!"),"NEW","")))</f>
        <v> </v>
      </c>
      <c r="G3093" s="23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4" t="str">
        <f>IF(J3093&lt;&gt;1,"",IF(I3093="SBJ","CB","?"))</f>
        <v> </v>
      </c>
      <c r="I3093" s="25" t="str">
        <f>IF(OR(E3093="",E3093="!!!",F3093="NEW"),"",INDEX(B3092:B$2,-1+SUMPRODUCT(MAX(ROW(E3092:E$2)*(E3093=E3092:E$2)))))</f>
        <v> </v>
      </c>
      <c r="J3093" s="25" t="str">
        <f>IF(OR(E3093="",E3093="!!!",F3093="NEW"),"",COUNTBLANK(OFFSET(A$1,,,SUMPRODUCT(MAX(ROW(E$2:E3093)*(E3093=E$2:E3093)))))-COUNTBLANK(OFFSET(A$1,,,SUMPRODUCT(MAX(ROW(E$1:E3092)*(E2=E$1:E3092))))))</f>
        <v> </v>
      </c>
      <c r="K3093" s="25" t="str">
        <f>IF(OR(E3093="",E3093="!!!",F3093="NEW"),"",INDEX(J$1:J3092,SUMPRODUCT(MAX(ROW(E$1:E3092)*(E3093=E$1:E3092)))))</f>
        <v> </v>
      </c>
      <c r="L3093" s="26"/>
    </row>
    <row r="3094" spans="1:12">
      <c r="A3094" s="20" t="s">
        <v>1334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1111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2549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1617</v>
      </c>
      <c r="B3097" s="27" t="s">
        <v>1122</v>
      </c>
      <c r="C3097" s="27" t="s">
        <v>1126</v>
      </c>
      <c r="D3097" s="27" t="s">
        <v>1105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 t="s">
        <v>1145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/>
    </row>
    <row r="3100" spans="1:12">
      <c r="A3100" s="20" t="s">
        <v>2550</v>
      </c>
    </row>
    <row r="3101" spans="1:12">
      <c r="A3101" s="20" t="s">
        <v>1111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1633</v>
      </c>
      <c r="B3102" s="27" t="s">
        <v>1149</v>
      </c>
      <c r="C3102" s="27" t="s">
        <v>1126</v>
      </c>
      <c r="D3102" s="27" t="s">
        <v>1105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2551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1334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/>
    </row>
    <row r="3106" spans="1:12">
      <c r="A3106" s="20" t="s">
        <v>2552</v>
      </c>
    </row>
    <row r="3107" spans="1:12">
      <c r="A3107" s="20" t="s">
        <v>1111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2553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1270</v>
      </c>
      <c r="B3109" s="27" t="s">
        <v>1103</v>
      </c>
      <c r="C3109" s="27" t="s">
        <v>1126</v>
      </c>
      <c r="D3109" s="27" t="s">
        <v>1105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1124</v>
      </c>
      <c r="B3110" s="27" t="s">
        <v>1149</v>
      </c>
      <c r="C3110" s="27" t="s">
        <v>1126</v>
      </c>
      <c r="D3110" s="27" t="s">
        <v>1105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2554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1134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2555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1123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2556</v>
      </c>
      <c r="B3115" s="27" t="s">
        <v>1149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1145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/>
    </row>
    <row r="3118" spans="1:12">
      <c r="A3118" s="20" t="s">
        <v>2557</v>
      </c>
    </row>
    <row r="3119" spans="1:12">
      <c r="A3119" s="20" t="s">
        <v>1111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1613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1123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224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1123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1228</v>
      </c>
      <c r="B3124" s="27" t="s">
        <v>1149</v>
      </c>
      <c r="C3124" s="27" t="s">
        <v>1126</v>
      </c>
      <c r="D3124" s="27" t="s">
        <v>1105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1134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2558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2559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 t="s">
        <v>1145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/>
    </row>
    <row r="3130" spans="1:12">
      <c r="A3130" s="20" t="s">
        <v>2560</v>
      </c>
    </row>
    <row r="3131" spans="1:12">
      <c r="A3131" s="20" t="s">
        <v>2166</v>
      </c>
      <c r="B3131" s="27" t="s">
        <v>1149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1506</v>
      </c>
      <c r="B3132" s="27" t="s">
        <v>1107</v>
      </c>
      <c r="C3132" s="27" t="s">
        <v>1108</v>
      </c>
      <c r="D3132" s="27" t="s">
        <v>1105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 t="s">
        <v>1145</v>
      </c>
      <c r="E3133" s="21">
        <f>IF(D3133="?OLD","!!!","")</f>
        <v/>
      </c>
      <c r="F3133" s="22" t="str">
        <f>IF(OR(E3133="",E3133="!!!"),"",IF(NOT(ISNA(VLOOKUP(E3133,E$1:E3132,1,FALSE()))),"OLD",IF(AND(E3133&lt;&gt;"",E3133&lt;&gt;"!!!"),"NEW","")))</f>
        <v> </v>
      </c>
      <c r="G3133" s="23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4" t="str">
        <f>IF(J3133&lt;&gt;1,"",IF(I3133="SBJ","CB","?"))</f>
        <v> </v>
      </c>
      <c r="I3133" s="25" t="str">
        <f>IF(OR(E3133="",E3133="!!!",F3133="NEW"),"",INDEX(B3132:B$2,-1+SUMPRODUCT(MAX(ROW(E3132:E$2)*(E3133=E3132:E$2)))))</f>
        <v> </v>
      </c>
      <c r="J3133" s="25" t="str">
        <f>IF(OR(E3133="",E3133="!!!",F3133="NEW"),"",COUNTBLANK(OFFSET(A$1,,,SUMPRODUCT(MAX(ROW(E$2:E3133)*(E3133=E$2:E3133)))))-COUNTBLANK(OFFSET(A$1,,,SUMPRODUCT(MAX(ROW(E$1:E3132)*(E2=E$1:E3132))))))</f>
        <v> </v>
      </c>
      <c r="K3133" s="25" t="str">
        <f>IF(OR(E3133="",E3133="!!!",F3133="NEW"),"",INDEX(J$1:J3132,SUMPRODUCT(MAX(ROW(E$1:E3132)*(E3133=E$1:E3132)))))</f>
        <v> </v>
      </c>
      <c r="L3133" s="26"/>
    </row>
    <row r="3134" spans="1:12">
      <c r="A3134" s="20" t="s">
        <v>1145</v>
      </c>
      <c r="E3134" s="21">
        <f>IF(D3134="?OLD","!!!","")</f>
        <v/>
      </c>
      <c r="F3134" s="22" t="str">
        <f>IF(OR(E3134="",E3134="!!!"),"",IF(NOT(ISNA(VLOOKUP(E3134,E$1:E3133,1,FALSE()))),"OLD",IF(AND(E3134&lt;&gt;"",E3134&lt;&gt;"!!!"),"NEW","")))</f>
        <v> </v>
      </c>
      <c r="G3134" s="23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4" t="str">
        <f>IF(J3134&lt;&gt;1,"",IF(I3134="SBJ","CB","?"))</f>
        <v> </v>
      </c>
      <c r="I3134" s="25" t="str">
        <f>IF(OR(E3134="",E3134="!!!",F3134="NEW"),"",INDEX(B3133:B$2,-1+SUMPRODUCT(MAX(ROW(E3133:E$2)*(E3134=E3133:E$2)))))</f>
        <v> </v>
      </c>
      <c r="J3134" s="25" t="str">
        <f>IF(OR(E3134="",E3134="!!!",F3134="NEW"),"",COUNTBLANK(OFFSET(A$1,,,SUMPRODUCT(MAX(ROW(E$2:E3134)*(E3134=E$2:E3134)))))-COUNTBLANK(OFFSET(A$1,,,SUMPRODUCT(MAX(ROW(E$1:E3133)*(E2=E$1:E3133))))))</f>
        <v> </v>
      </c>
      <c r="K3134" s="25" t="str">
        <f>IF(OR(E3134="",E3134="!!!",F3134="NEW"),"",INDEX(J$1:J3133,SUMPRODUCT(MAX(ROW(E$1:E3133)*(E3134=E$1:E3133)))))</f>
        <v> </v>
      </c>
      <c r="L3134" s="26"/>
    </row>
    <row r="3135" spans="1:12">
      <c r="A3135" s="20" t="s">
        <v>1145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2548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1334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/>
    </row>
    <row r="3139" spans="1:12">
      <c r="A3139" s="20" t="s">
        <v>2561</v>
      </c>
    </row>
    <row r="3140" spans="1:12">
      <c r="A3140" s="20" t="s">
        <v>1111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1436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1145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/>
    </row>
    <row r="3144" spans="1:12">
      <c r="A3144" s="20" t="s">
        <v>2562</v>
      </c>
    </row>
    <row r="3145" spans="1:12">
      <c r="A3145" s="20" t="s">
        <v>1111</v>
      </c>
      <c r="E3145" s="21">
        <f>IF(D3145="?OLD","!!!","")</f>
        <v/>
      </c>
      <c r="F3145" s="22" t="str">
        <f>IF(OR(E3145="",E3145="!!!"),"",IF(NOT(ISNA(VLOOKUP(E3145,E$1:E3144,1,FALSE()))),"OLD",IF(AND(E3145&lt;&gt;"",E3145&lt;&gt;"!!!"),"NEW","")))</f>
        <v> </v>
      </c>
      <c r="G3145" s="23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4" t="str">
        <f>IF(J3145&lt;&gt;1,"",IF(I3145="SBJ","CB","?"))</f>
        <v> </v>
      </c>
      <c r="I3145" s="25" t="str">
        <f>IF(OR(E3145="",E3145="!!!",F3145="NEW"),"",INDEX(B3144:B$2,-1+SUMPRODUCT(MAX(ROW(E3144:E$2)*(E3145=E3144:E$2)))))</f>
        <v> </v>
      </c>
      <c r="J3145" s="25" t="str">
        <f>IF(OR(E3145="",E3145="!!!",F3145="NEW"),"",COUNTBLANK(OFFSET(A$1,,,SUMPRODUCT(MAX(ROW(E$2:E3145)*(E3145=E$2:E3145)))))-COUNTBLANK(OFFSET(A$1,,,SUMPRODUCT(MAX(ROW(E$1:E3144)*(E2=E$1:E3144))))))</f>
        <v> </v>
      </c>
      <c r="K3145" s="25" t="str">
        <f>IF(OR(E3145="",E3145="!!!",F3145="NEW"),"",INDEX(J$1:J3144,SUMPRODUCT(MAX(ROW(E$1:E3144)*(E3145=E$1:E3144)))))</f>
        <v> </v>
      </c>
      <c r="L3145" s="26"/>
    </row>
    <row r="3146" spans="1:12">
      <c r="A3146" s="20" t="s">
        <v>1368</v>
      </c>
      <c r="E3146" s="21">
        <f>IF(D3146="?OLD","!!!","")</f>
        <v/>
      </c>
      <c r="F3146" s="22" t="str">
        <f>IF(OR(E3146="",E3146="!!!"),"",IF(NOT(ISNA(VLOOKUP(E3146,E$1:E3145,1,FALSE()))),"OLD",IF(AND(E3146&lt;&gt;"",E3146&lt;&gt;"!!!"),"NEW","")))</f>
        <v> </v>
      </c>
      <c r="G3146" s="23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4" t="str">
        <f>IF(J3146&lt;&gt;1,"",IF(I3146="SBJ","CB","?"))</f>
        <v> </v>
      </c>
      <c r="I3146" s="25" t="str">
        <f>IF(OR(E3146="",E3146="!!!",F3146="NEW"),"",INDEX(B3145:B$2,-1+SUMPRODUCT(MAX(ROW(E3145:E$2)*(E3146=E3145:E$2)))))</f>
        <v> </v>
      </c>
      <c r="J3146" s="25" t="str">
        <f>IF(OR(E3146="",E3146="!!!",F3146="NEW"),"",COUNTBLANK(OFFSET(A$1,,,SUMPRODUCT(MAX(ROW(E$2:E3146)*(E3146=E$2:E3146)))))-COUNTBLANK(OFFSET(A$1,,,SUMPRODUCT(MAX(ROW(E$1:E3145)*(E2=E$1:E3145))))))</f>
        <v> </v>
      </c>
      <c r="K3146" s="25" t="str">
        <f>IF(OR(E3146="",E3146="!!!",F3146="NEW"),"",INDEX(J$1:J3145,SUMPRODUCT(MAX(ROW(E$1:E3145)*(E3146=E$1:E3145)))))</f>
        <v> </v>
      </c>
      <c r="L3146" s="26"/>
    </row>
    <row r="3147" spans="1:12">
      <c r="A3147" s="20" t="s">
        <v>763</v>
      </c>
      <c r="E3147" s="21">
        <f>IF(D3147="?OLD","!!!","")</f>
        <v/>
      </c>
      <c r="F3147" s="22" t="str">
        <f>IF(OR(E3147="",E3147="!!!"),"",IF(NOT(ISNA(VLOOKUP(E3147,E$1:E3146,1,FALSE()))),"OLD",IF(AND(E3147&lt;&gt;"",E3147&lt;&gt;"!!!"),"NEW","")))</f>
        <v> </v>
      </c>
      <c r="G3147" s="23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4" t="str">
        <f>IF(J3147&lt;&gt;1,"",IF(I3147="SBJ","CB","?"))</f>
        <v> </v>
      </c>
      <c r="I3147" s="25" t="str">
        <f>IF(OR(E3147="",E3147="!!!",F3147="NEW"),"",INDEX(B3146:B$2,-1+SUMPRODUCT(MAX(ROW(E3146:E$2)*(E3147=E3146:E$2)))))</f>
        <v> </v>
      </c>
      <c r="J3147" s="25" t="str">
        <f>IF(OR(E3147="",E3147="!!!",F3147="NEW"),"",COUNTBLANK(OFFSET(A$1,,,SUMPRODUCT(MAX(ROW(E$2:E3147)*(E3147=E$2:E3147)))))-COUNTBLANK(OFFSET(A$1,,,SUMPRODUCT(MAX(ROW(E$1:E3146)*(E2=E$1:E3146))))))</f>
        <v> </v>
      </c>
      <c r="K3147" s="25" t="str">
        <f>IF(OR(E3147="",E3147="!!!",F3147="NEW"),"",INDEX(J$1:J3146,SUMPRODUCT(MAX(ROW(E$1:E3146)*(E3147=E$1:E3146)))))</f>
        <v> </v>
      </c>
      <c r="L3147" s="26"/>
    </row>
    <row r="3148" spans="1:12">
      <c r="A3148" s="20" t="s">
        <v>1334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/>
    </row>
    <row r="3150" spans="1:12">
      <c r="A3150" s="20" t="s">
        <v>2563</v>
      </c>
    </row>
    <row r="3151" spans="1:12">
      <c r="A3151" s="20" t="s">
        <v>1111</v>
      </c>
      <c r="E3151" s="21">
        <f>IF(D3151="?OLD","!!!","")</f>
        <v/>
      </c>
      <c r="F3151" s="22" t="str">
        <f>IF(OR(E3151="",E3151="!!!"),"",IF(NOT(ISNA(VLOOKUP(E3151,E$1:E3150,1,FALSE()))),"OLD",IF(AND(E3151&lt;&gt;"",E3151&lt;&gt;"!!!"),"NEW","")))</f>
        <v> </v>
      </c>
      <c r="G3151" s="23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4" t="str">
        <f>IF(J3151&lt;&gt;1,"",IF(I3151="SBJ","CB","?"))</f>
        <v> </v>
      </c>
      <c r="I3151" s="25" t="str">
        <f>IF(OR(E3151="",E3151="!!!",F3151="NEW"),"",INDEX(B3150:B$2,-1+SUMPRODUCT(MAX(ROW(E3150:E$2)*(E3151=E3150:E$2)))))</f>
        <v> </v>
      </c>
      <c r="J3151" s="25" t="str">
        <f>IF(OR(E3151="",E3151="!!!",F3151="NEW"),"",COUNTBLANK(OFFSET(A$1,,,SUMPRODUCT(MAX(ROW(E$2:E3151)*(E3151=E$2:E3151)))))-COUNTBLANK(OFFSET(A$1,,,SUMPRODUCT(MAX(ROW(E$1:E3150)*(E2=E$1:E3150))))))</f>
        <v> </v>
      </c>
      <c r="K3151" s="25" t="str">
        <f>IF(OR(E3151="",E3151="!!!",F3151="NEW"),"",INDEX(J$1:J3150,SUMPRODUCT(MAX(ROW(E$1:E3150)*(E3151=E$1:E3150)))))</f>
        <v> </v>
      </c>
      <c r="L3151" s="26"/>
    </row>
    <row r="3152" spans="1:12">
      <c r="A3152" s="20" t="s">
        <v>2564</v>
      </c>
      <c r="E3152" s="21">
        <f>IF(D3152="?OLD","!!!","")</f>
        <v/>
      </c>
      <c r="F3152" s="22" t="str">
        <f>IF(OR(E3152="",E3152="!!!"),"",IF(NOT(ISNA(VLOOKUP(E3152,E$1:E3151,1,FALSE()))),"OLD",IF(AND(E3152&lt;&gt;"",E3152&lt;&gt;"!!!"),"NEW","")))</f>
        <v> </v>
      </c>
      <c r="G3152" s="23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4" t="str">
        <f>IF(J3152&lt;&gt;1,"",IF(I3152="SBJ","CB","?"))</f>
        <v> </v>
      </c>
      <c r="I3152" s="25" t="str">
        <f>IF(OR(E3152="",E3152="!!!",F3152="NEW"),"",INDEX(B3151:B$2,-1+SUMPRODUCT(MAX(ROW(E3151:E$2)*(E3152=E3151:E$2)))))</f>
        <v> </v>
      </c>
      <c r="J3152" s="25" t="str">
        <f>IF(OR(E3152="",E3152="!!!",F3152="NEW"),"",COUNTBLANK(OFFSET(A$1,,,SUMPRODUCT(MAX(ROW(E$2:E3152)*(E3152=E$2:E3152)))))-COUNTBLANK(OFFSET(A$1,,,SUMPRODUCT(MAX(ROW(E$1:E3151)*(E2=E$1:E3151))))))</f>
        <v> </v>
      </c>
      <c r="K3152" s="25" t="str">
        <f>IF(OR(E3152="",E3152="!!!",F3152="NEW"),"",INDEX(J$1:J3151,SUMPRODUCT(MAX(ROW(E$1:E3151)*(E3152=E$1:E3151)))))</f>
        <v> </v>
      </c>
      <c r="L3152" s="26"/>
    </row>
    <row r="3153" spans="1:12">
      <c r="A3153" s="20" t="s">
        <v>1351</v>
      </c>
      <c r="E3153" s="21">
        <f>IF(D3153="?OLD","!!!","")</f>
        <v/>
      </c>
      <c r="F3153" s="22" t="str">
        <f>IF(OR(E3153="",E3153="!!!"),"",IF(NOT(ISNA(VLOOKUP(E3153,E$1:E3152,1,FALSE()))),"OLD",IF(AND(E3153&lt;&gt;"",E3153&lt;&gt;"!!!"),"NEW","")))</f>
        <v> </v>
      </c>
      <c r="G3153" s="23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4" t="str">
        <f>IF(J3153&lt;&gt;1,"",IF(I3153="SBJ","CB","?"))</f>
        <v> </v>
      </c>
      <c r="I3153" s="25" t="str">
        <f>IF(OR(E3153="",E3153="!!!",F3153="NEW"),"",INDEX(B3152:B$2,-1+SUMPRODUCT(MAX(ROW(E3152:E$2)*(E3153=E3152:E$2)))))</f>
        <v> </v>
      </c>
      <c r="J3153" s="25" t="str">
        <f>IF(OR(E3153="",E3153="!!!",F3153="NEW"),"",COUNTBLANK(OFFSET(A$1,,,SUMPRODUCT(MAX(ROW(E$2:E3153)*(E3153=E$2:E3153)))))-COUNTBLANK(OFFSET(A$1,,,SUMPRODUCT(MAX(ROW(E$1:E3152)*(E2=E$1:E3152))))))</f>
        <v> </v>
      </c>
      <c r="K3153" s="25" t="str">
        <f>IF(OR(E3153="",E3153="!!!",F3153="NEW"),"",INDEX(J$1:J3152,SUMPRODUCT(MAX(ROW(E$1:E3152)*(E3153=E$1:E3152)))))</f>
        <v> </v>
      </c>
      <c r="L3153" s="26"/>
    </row>
    <row r="3154" spans="1:12">
      <c r="A3154" s="20"/>
    </row>
    <row r="3155" spans="1:12">
      <c r="A3155" s="20" t="s">
        <v>2565</v>
      </c>
    </row>
    <row r="3156" spans="1:12">
      <c r="A3156" s="20" t="s">
        <v>2566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 t="s">
        <v>1196</v>
      </c>
      <c r="B3157" s="27" t="s">
        <v>1103</v>
      </c>
      <c r="C3157" s="27" t="s">
        <v>1126</v>
      </c>
      <c r="D3157" s="27" t="s">
        <v>1105</v>
      </c>
      <c r="E3157" s="21">
        <f>IF(D3157="?OLD","!!!","")</f>
        <v/>
      </c>
      <c r="F3157" s="22" t="str">
        <f>IF(OR(E3157="",E3157="!!!"),"",IF(NOT(ISNA(VLOOKUP(E3157,E$1:E3156,1,FALSE()))),"OLD",IF(AND(E3157&lt;&gt;"",E3157&lt;&gt;"!!!"),"NEW","")))</f>
        <v> </v>
      </c>
      <c r="G3157" s="23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4" t="str">
        <f>IF(J3157&lt;&gt;1,"",IF(I3157="SBJ","CB","?"))</f>
        <v> </v>
      </c>
      <c r="I3157" s="25" t="str">
        <f>IF(OR(E3157="",E3157="!!!",F3157="NEW"),"",INDEX(B3156:B$2,-1+SUMPRODUCT(MAX(ROW(E3156:E$2)*(E3157=E3156:E$2)))))</f>
        <v> </v>
      </c>
      <c r="J3157" s="25" t="str">
        <f>IF(OR(E3157="",E3157="!!!",F3157="NEW"),"",COUNTBLANK(OFFSET(A$1,,,SUMPRODUCT(MAX(ROW(E$2:E3157)*(E3157=E$2:E3157)))))-COUNTBLANK(OFFSET(A$1,,,SUMPRODUCT(MAX(ROW(E$1:E3156)*(E2=E$1:E3156))))))</f>
        <v> </v>
      </c>
      <c r="K3157" s="25" t="str">
        <f>IF(OR(E3157="",E3157="!!!",F3157="NEW"),"",INDEX(J$1:J3156,SUMPRODUCT(MAX(ROW(E$1:E3156)*(E3157=E$1:E3156)))))</f>
        <v> </v>
      </c>
      <c r="L3157" s="26"/>
    </row>
    <row r="3158" spans="1:12">
      <c r="A3158" s="20" t="s">
        <v>2567</v>
      </c>
      <c r="E3158" s="21">
        <f>IF(D3158="?OLD","!!!","")</f>
        <v/>
      </c>
      <c r="F3158" s="22" t="str">
        <f>IF(OR(E3158="",E3158="!!!"),"",IF(NOT(ISNA(VLOOKUP(E3158,E$1:E3157,1,FALSE()))),"OLD",IF(AND(E3158&lt;&gt;"",E3158&lt;&gt;"!!!"),"NEW","")))</f>
        <v> </v>
      </c>
      <c r="G3158" s="23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4" t="str">
        <f>IF(J3158&lt;&gt;1,"",IF(I3158="SBJ","CB","?"))</f>
        <v> </v>
      </c>
      <c r="I3158" s="25" t="str">
        <f>IF(OR(E3158="",E3158="!!!",F3158="NEW"),"",INDEX(B3157:B$2,-1+SUMPRODUCT(MAX(ROW(E3157:E$2)*(E3158=E3157:E$2)))))</f>
        <v> </v>
      </c>
      <c r="J3158" s="25" t="str">
        <f>IF(OR(E3158="",E3158="!!!",F3158="NEW"),"",COUNTBLANK(OFFSET(A$1,,,SUMPRODUCT(MAX(ROW(E$2:E3158)*(E3158=E$2:E3158)))))-COUNTBLANK(OFFSET(A$1,,,SUMPRODUCT(MAX(ROW(E$1:E3157)*(E2=E$1:E3157))))))</f>
        <v> </v>
      </c>
      <c r="K3158" s="25" t="str">
        <f>IF(OR(E3158="",E3158="!!!",F3158="NEW"),"",INDEX(J$1:J3157,SUMPRODUCT(MAX(ROW(E$1:E3157)*(E3158=E$1:E3157)))))</f>
        <v> </v>
      </c>
      <c r="L3158" s="26"/>
    </row>
    <row r="3159" spans="1:12">
      <c r="A3159" s="20" t="s">
        <v>2568</v>
      </c>
      <c r="E3159" s="21">
        <f>IF(D3159="?OLD","!!!","")</f>
        <v/>
      </c>
      <c r="F3159" s="22" t="str">
        <f>IF(OR(E3159="",E3159="!!!"),"",IF(NOT(ISNA(VLOOKUP(E3159,E$1:E3158,1,FALSE()))),"OLD",IF(AND(E3159&lt;&gt;"",E3159&lt;&gt;"!!!"),"NEW","")))</f>
        <v> </v>
      </c>
      <c r="G3159" s="23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4" t="str">
        <f>IF(J3159&lt;&gt;1,"",IF(I3159="SBJ","CB","?"))</f>
        <v> </v>
      </c>
      <c r="I3159" s="25" t="str">
        <f>IF(OR(E3159="",E3159="!!!",F3159="NEW"),"",INDEX(B3158:B$2,-1+SUMPRODUCT(MAX(ROW(E3158:E$2)*(E3159=E3158:E$2)))))</f>
        <v> </v>
      </c>
      <c r="J3159" s="25" t="str">
        <f>IF(OR(E3159="",E3159="!!!",F3159="NEW"),"",COUNTBLANK(OFFSET(A$1,,,SUMPRODUCT(MAX(ROW(E$2:E3159)*(E3159=E$2:E3159)))))-COUNTBLANK(OFFSET(A$1,,,SUMPRODUCT(MAX(ROW(E$1:E3158)*(E2=E$1:E3158))))))</f>
        <v> </v>
      </c>
      <c r="K3159" s="25" t="str">
        <f>IF(OR(E3159="",E3159="!!!",F3159="NEW"),"",INDEX(J$1:J3158,SUMPRODUCT(MAX(ROW(E$1:E3158)*(E3159=E$1:E3158)))))</f>
        <v> </v>
      </c>
      <c r="L3159" s="26"/>
    </row>
    <row r="3160" spans="1:12">
      <c r="A3160" s="20" t="s">
        <v>2569</v>
      </c>
      <c r="B3160" s="27" t="s">
        <v>1149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2570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1339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1111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1884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 t="s">
        <v>1885</v>
      </c>
      <c r="B3165" s="27" t="s">
        <v>1144</v>
      </c>
      <c r="E3165" s="21">
        <f>IF(D3165="?OLD","!!!","")</f>
        <v/>
      </c>
      <c r="F3165" s="22" t="str">
        <f>IF(OR(E3165="",E3165="!!!"),"",IF(NOT(ISNA(VLOOKUP(E3165,E$1:E3164,1,FALSE()))),"OLD",IF(AND(E3165&lt;&gt;"",E3165&lt;&gt;"!!!"),"NEW","")))</f>
        <v> </v>
      </c>
      <c r="G3165" s="23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4" t="str">
        <f>IF(J3165&lt;&gt;1,"",IF(I3165="SBJ","CB","?"))</f>
        <v> </v>
      </c>
      <c r="I3165" s="25" t="str">
        <f>IF(OR(E3165="",E3165="!!!",F3165="NEW"),"",INDEX(B3164:B$2,-1+SUMPRODUCT(MAX(ROW(E3164:E$2)*(E3165=E3164:E$2)))))</f>
        <v> </v>
      </c>
      <c r="J3165" s="25" t="str">
        <f>IF(OR(E3165="",E3165="!!!",F3165="NEW"),"",COUNTBLANK(OFFSET(A$1,,,SUMPRODUCT(MAX(ROW(E$2:E3165)*(E3165=E$2:E3165)))))-COUNTBLANK(OFFSET(A$1,,,SUMPRODUCT(MAX(ROW(E$1:E3164)*(E2=E$1:E3164))))))</f>
        <v> </v>
      </c>
      <c r="K3165" s="25" t="str">
        <f>IF(OR(E3165="",E3165="!!!",F3165="NEW"),"",INDEX(J$1:J3164,SUMPRODUCT(MAX(ROW(E$1:E3164)*(E3165=E$1:E3164)))))</f>
        <v> </v>
      </c>
      <c r="L3165" s="26"/>
    </row>
    <row r="3166" spans="1:12">
      <c r="A3166" s="20" t="s">
        <v>1351</v>
      </c>
      <c r="E3166" s="21">
        <f>IF(D3166="?OLD","!!!","")</f>
        <v/>
      </c>
      <c r="F3166" s="22" t="str">
        <f>IF(OR(E3166="",E3166="!!!"),"",IF(NOT(ISNA(VLOOKUP(E3166,E$1:E3165,1,FALSE()))),"OLD",IF(AND(E3166&lt;&gt;"",E3166&lt;&gt;"!!!"),"NEW","")))</f>
        <v> </v>
      </c>
      <c r="G3166" s="23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4" t="str">
        <f>IF(J3166&lt;&gt;1,"",IF(I3166="SBJ","CB","?"))</f>
        <v> </v>
      </c>
      <c r="I3166" s="25" t="str">
        <f>IF(OR(E3166="",E3166="!!!",F3166="NEW"),"",INDEX(B3165:B$2,-1+SUMPRODUCT(MAX(ROW(E3165:E$2)*(E3166=E3165:E$2)))))</f>
        <v> </v>
      </c>
      <c r="J3166" s="25" t="str">
        <f>IF(OR(E3166="",E3166="!!!",F3166="NEW"),"",COUNTBLANK(OFFSET(A$1,,,SUMPRODUCT(MAX(ROW(E$2:E3166)*(E3166=E$2:E3166)))))-COUNTBLANK(OFFSET(A$1,,,SUMPRODUCT(MAX(ROW(E$1:E3165)*(E2=E$1:E3165))))))</f>
        <v> </v>
      </c>
      <c r="K3166" s="25" t="str">
        <f>IF(OR(E3166="",E3166="!!!",F3166="NEW"),"",INDEX(J$1:J3165,SUMPRODUCT(MAX(ROW(E$1:E3165)*(E3166=E$1:E3165)))))</f>
        <v> </v>
      </c>
      <c r="L3166" s="26"/>
    </row>
    <row r="3167" spans="1:12">
      <c r="A3167" s="20"/>
    </row>
    <row r="3168" spans="1:12">
      <c r="A3168" s="20" t="s">
        <v>2571</v>
      </c>
    </row>
    <row r="3169" spans="1:12">
      <c r="A3169" s="20" t="s">
        <v>1884</v>
      </c>
      <c r="E3169" s="21">
        <f>IF(D3169="?OLD","!!!","")</f>
        <v/>
      </c>
      <c r="F3169" s="22" t="str">
        <f>IF(OR(E3169="",E3169="!!!"),"",IF(NOT(ISNA(VLOOKUP(E3169,E$1:E3168,1,FALSE()))),"OLD",IF(AND(E3169&lt;&gt;"",E3169&lt;&gt;"!!!"),"NEW","")))</f>
        <v> </v>
      </c>
      <c r="G3169" s="23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4" t="str">
        <f>IF(J3169&lt;&gt;1,"",IF(I3169="SBJ","CB","?"))</f>
        <v> </v>
      </c>
      <c r="I3169" s="25" t="str">
        <f>IF(OR(E3169="",E3169="!!!",F3169="NEW"),"",INDEX(B3168:B$2,-1+SUMPRODUCT(MAX(ROW(E3168:E$2)*(E3169=E3168:E$2)))))</f>
        <v> </v>
      </c>
      <c r="J3169" s="25" t="str">
        <f>IF(OR(E3169="",E3169="!!!",F3169="NEW"),"",COUNTBLANK(OFFSET(A$1,,,SUMPRODUCT(MAX(ROW(E$2:E3169)*(E3169=E$2:E3169)))))-COUNTBLANK(OFFSET(A$1,,,SUMPRODUCT(MAX(ROW(E$1:E3168)*(E2=E$1:E3168))))))</f>
        <v> </v>
      </c>
      <c r="K3169" s="25" t="str">
        <f>IF(OR(E3169="",E3169="!!!",F3169="NEW"),"",INDEX(J$1:J3168,SUMPRODUCT(MAX(ROW(E$1:E3168)*(E3169=E$1:E3168)))))</f>
        <v> </v>
      </c>
      <c r="L3169" s="26"/>
    </row>
    <row r="3170" spans="1:12">
      <c r="A3170" s="20" t="s">
        <v>1885</v>
      </c>
      <c r="E3170" s="21">
        <f>IF(D3170="?OLD","!!!","")</f>
        <v/>
      </c>
      <c r="F3170" s="22" t="str">
        <f>IF(OR(E3170="",E3170="!!!"),"",IF(NOT(ISNA(VLOOKUP(E3170,E$1:E3169,1,FALSE()))),"OLD",IF(AND(E3170&lt;&gt;"",E3170&lt;&gt;"!!!"),"NEW","")))</f>
        <v> </v>
      </c>
      <c r="G3170" s="23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4" t="str">
        <f>IF(J3170&lt;&gt;1,"",IF(I3170="SBJ","CB","?"))</f>
        <v> </v>
      </c>
      <c r="I3170" s="25" t="str">
        <f>IF(OR(E3170="",E3170="!!!",F3170="NEW"),"",INDEX(B3169:B$2,-1+SUMPRODUCT(MAX(ROW(E3169:E$2)*(E3170=E3169:E$2)))))</f>
        <v> </v>
      </c>
      <c r="J3170" s="25" t="str">
        <f>IF(OR(E3170="",E3170="!!!",F3170="NEW"),"",COUNTBLANK(OFFSET(A$1,,,SUMPRODUCT(MAX(ROW(E$2:E3170)*(E3170=E$2:E3170)))))-COUNTBLANK(OFFSET(A$1,,,SUMPRODUCT(MAX(ROW(E$1:E3169)*(E2=E$1:E3169))))))</f>
        <v> </v>
      </c>
      <c r="K3170" s="25" t="str">
        <f>IF(OR(E3170="",E3170="!!!",F3170="NEW"),"",INDEX(J$1:J3169,SUMPRODUCT(MAX(ROW(E$1:E3169)*(E3170=E$1:E3169)))))</f>
        <v> </v>
      </c>
      <c r="L3170" s="26"/>
    </row>
    <row r="3171" spans="1:12">
      <c r="A3171" s="20" t="s">
        <v>1351</v>
      </c>
      <c r="E3171" s="21">
        <f>IF(D3171="?OLD","!!!","")</f>
        <v/>
      </c>
      <c r="F3171" s="22" t="str">
        <f>IF(OR(E3171="",E3171="!!!"),"",IF(NOT(ISNA(VLOOKUP(E3171,E$1:E3170,1,FALSE()))),"OLD",IF(AND(E3171&lt;&gt;"",E3171&lt;&gt;"!!!"),"NEW","")))</f>
        <v> </v>
      </c>
      <c r="G3171" s="23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4" t="str">
        <f>IF(J3171&lt;&gt;1,"",IF(I3171="SBJ","CB","?"))</f>
        <v> </v>
      </c>
      <c r="I3171" s="25" t="str">
        <f>IF(OR(E3171="",E3171="!!!",F3171="NEW"),"",INDEX(B3170:B$2,-1+SUMPRODUCT(MAX(ROW(E3170:E$2)*(E3171=E3170:E$2)))))</f>
        <v> </v>
      </c>
      <c r="J3171" s="25" t="str">
        <f>IF(OR(E3171="",E3171="!!!",F3171="NEW"),"",COUNTBLANK(OFFSET(A$1,,,SUMPRODUCT(MAX(ROW(E$2:E3171)*(E3171=E$2:E3171)))))-COUNTBLANK(OFFSET(A$1,,,SUMPRODUCT(MAX(ROW(E$1:E3170)*(E2=E$1:E3170))))))</f>
        <v> </v>
      </c>
      <c r="K3171" s="25" t="str">
        <f>IF(OR(E3171="",E3171="!!!",F3171="NEW"),"",INDEX(J$1:J3170,SUMPRODUCT(MAX(ROW(E$1:E3170)*(E3171=E$1:E3170)))))</f>
        <v> </v>
      </c>
      <c r="L3171" s="26"/>
    </row>
    <row r="3172" spans="1:12">
      <c r="A3172" s="20"/>
    </row>
    <row r="3173" spans="1:12">
      <c r="A3173" s="20" t="s">
        <v>2572</v>
      </c>
    </row>
    <row r="3174" spans="1:12">
      <c r="A3174" s="20" t="s">
        <v>778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 t="s">
        <v>1351</v>
      </c>
      <c r="E3175" s="21">
        <f>IF(D3175="?OLD","!!!","")</f>
        <v/>
      </c>
      <c r="F3175" s="22" t="str">
        <f>IF(OR(E3175="",E3175="!!!"),"",IF(NOT(ISNA(VLOOKUP(E3175,E$1:E3174,1,FALSE()))),"OLD",IF(AND(E3175&lt;&gt;"",E3175&lt;&gt;"!!!"),"NEW","")))</f>
        <v> </v>
      </c>
      <c r="G3175" s="23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4" t="str">
        <f>IF(J3175&lt;&gt;1,"",IF(I3175="SBJ","CB","?"))</f>
        <v> </v>
      </c>
      <c r="I3175" s="25" t="str">
        <f>IF(OR(E3175="",E3175="!!!",F3175="NEW"),"",INDEX(B3174:B$2,-1+SUMPRODUCT(MAX(ROW(E3174:E$2)*(E3175=E3174:E$2)))))</f>
        <v> </v>
      </c>
      <c r="J3175" s="25" t="str">
        <f>IF(OR(E3175="",E3175="!!!",F3175="NEW"),"",COUNTBLANK(OFFSET(A$1,,,SUMPRODUCT(MAX(ROW(E$2:E3175)*(E3175=E$2:E3175)))))-COUNTBLANK(OFFSET(A$1,,,SUMPRODUCT(MAX(ROW(E$1:E3174)*(E2=E$1:E3174))))))</f>
        <v> </v>
      </c>
      <c r="K3175" s="25" t="str">
        <f>IF(OR(E3175="",E3175="!!!",F3175="NEW"),"",INDEX(J$1:J3174,SUMPRODUCT(MAX(ROW(E$1:E3174)*(E3175=E$1:E3174)))))</f>
        <v> </v>
      </c>
      <c r="L3175" s="26"/>
    </row>
    <row r="3176" spans="1:12">
      <c r="A3176" s="20"/>
    </row>
    <row r="3177" spans="1:12">
      <c r="A3177" s="20" t="s">
        <v>2573</v>
      </c>
    </row>
    <row r="3178" spans="1:12">
      <c r="A3178" s="20" t="s">
        <v>1671</v>
      </c>
      <c r="E3178" s="21">
        <f>IF(D3178="?OLD","!!!","")</f>
        <v/>
      </c>
      <c r="F3178" s="22" t="str">
        <f>IF(OR(E3178="",E3178="!!!"),"",IF(NOT(ISNA(VLOOKUP(E3178,E$1:E3177,1,FALSE()))),"OLD",IF(AND(E3178&lt;&gt;"",E3178&lt;&gt;"!!!"),"NEW","")))</f>
        <v> </v>
      </c>
      <c r="G3178" s="23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4" t="str">
        <f>IF(J3178&lt;&gt;1,"",IF(I3178="SBJ","CB","?"))</f>
        <v> </v>
      </c>
      <c r="I3178" s="25" t="str">
        <f>IF(OR(E3178="",E3178="!!!",F3178="NEW"),"",INDEX(B3177:B$2,-1+SUMPRODUCT(MAX(ROW(E3177:E$2)*(E3178=E3177:E$2)))))</f>
        <v> </v>
      </c>
      <c r="J3178" s="25" t="str">
        <f>IF(OR(E3178="",E3178="!!!",F3178="NEW"),"",COUNTBLANK(OFFSET(A$1,,,SUMPRODUCT(MAX(ROW(E$2:E3178)*(E3178=E$2:E3178)))))-COUNTBLANK(OFFSET(A$1,,,SUMPRODUCT(MAX(ROW(E$1:E3177)*(E2=E$1:E3177))))))</f>
        <v> </v>
      </c>
      <c r="K3178" s="25" t="str">
        <f>IF(OR(E3178="",E3178="!!!",F3178="NEW"),"",INDEX(J$1:J3177,SUMPRODUCT(MAX(ROW(E$1:E3177)*(E3178=E$1:E3177)))))</f>
        <v> </v>
      </c>
      <c r="L3178" s="26"/>
    </row>
    <row r="3179" spans="1:12">
      <c r="A3179" s="20" t="s">
        <v>1123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135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1124</v>
      </c>
      <c r="B3181" s="27" t="s">
        <v>1122</v>
      </c>
      <c r="C3181" s="27" t="s">
        <v>1126</v>
      </c>
      <c r="D3181" s="27" t="s">
        <v>1105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2574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2575</v>
      </c>
      <c r="B3183" s="27" t="s">
        <v>1107</v>
      </c>
      <c r="C3183" s="27" t="s">
        <v>1126</v>
      </c>
      <c r="D3183" s="27" t="s">
        <v>1105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2576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1351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/>
    </row>
    <row r="3187" spans="1:12">
      <c r="A3187" s="20" t="s">
        <v>2577</v>
      </c>
    </row>
    <row r="3188" spans="1:12">
      <c r="A3188" s="20" t="s">
        <v>1111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2578</v>
      </c>
      <c r="B3189" s="27" t="s">
        <v>1149</v>
      </c>
      <c r="C3189" s="27" t="s">
        <v>1126</v>
      </c>
      <c r="D3189" s="27" t="s">
        <v>1105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2579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2580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2581</v>
      </c>
      <c r="B3192" s="27" t="s">
        <v>1103</v>
      </c>
      <c r="C3192" s="27" t="s">
        <v>1210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1123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 t="s">
        <v>1128</v>
      </c>
      <c r="E3194" s="21">
        <f>IF(D3194="?OLD","!!!","")</f>
        <v/>
      </c>
      <c r="F3194" s="22" t="str">
        <f>IF(OR(E3194="",E3194="!!!"),"",IF(NOT(ISNA(VLOOKUP(E3194,E$1:E3193,1,FALSE()))),"OLD",IF(AND(E3194&lt;&gt;"",E3194&lt;&gt;"!!!"),"NEW","")))</f>
        <v> </v>
      </c>
      <c r="G3194" s="23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4" t="str">
        <f>IF(J3194&lt;&gt;1,"",IF(I3194="SBJ","CB","?"))</f>
        <v> </v>
      </c>
      <c r="I3194" s="25" t="str">
        <f>IF(OR(E3194="",E3194="!!!",F3194="NEW"),"",INDEX(B3193:B$2,-1+SUMPRODUCT(MAX(ROW(E3193:E$2)*(E3194=E3193:E$2)))))</f>
        <v> </v>
      </c>
      <c r="J3194" s="25" t="str">
        <f>IF(OR(E3194="",E3194="!!!",F3194="NEW"),"",COUNTBLANK(OFFSET(A$1,,,SUMPRODUCT(MAX(ROW(E$2:E3194)*(E3194=E$2:E3194)))))-COUNTBLANK(OFFSET(A$1,,,SUMPRODUCT(MAX(ROW(E$1:E3193)*(E2=E$1:E3193))))))</f>
        <v> </v>
      </c>
      <c r="K3194" s="25" t="str">
        <f>IF(OR(E3194="",E3194="!!!",F3194="NEW"),"",INDEX(J$1:J3193,SUMPRODUCT(MAX(ROW(E$1:E3193)*(E3194=E$1:E3193)))))</f>
        <v> </v>
      </c>
      <c r="L3194" s="26"/>
    </row>
    <row r="3195" spans="1:12">
      <c r="A3195" s="20" t="s">
        <v>1217</v>
      </c>
      <c r="B3195" s="27" t="s">
        <v>1122</v>
      </c>
      <c r="C3195" s="27" t="s">
        <v>1126</v>
      </c>
      <c r="D3195" s="27" t="s">
        <v>1105</v>
      </c>
      <c r="E3195" s="21">
        <f>IF(D3195="?OLD","!!!","")</f>
        <v/>
      </c>
      <c r="F3195" s="22" t="str">
        <f>IF(OR(E3195="",E3195="!!!"),"",IF(NOT(ISNA(VLOOKUP(E3195,E$1:E3194,1,FALSE()))),"OLD",IF(AND(E3195&lt;&gt;"",E3195&lt;&gt;"!!!"),"NEW","")))</f>
        <v> </v>
      </c>
      <c r="G3195" s="23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4" t="str">
        <f>IF(J3195&lt;&gt;1,"",IF(I3195="SBJ","CB","?"))</f>
        <v> </v>
      </c>
      <c r="I3195" s="25" t="str">
        <f>IF(OR(E3195="",E3195="!!!",F3195="NEW"),"",INDEX(B3194:B$2,-1+SUMPRODUCT(MAX(ROW(E3194:E$2)*(E3195=E3194:E$2)))))</f>
        <v> </v>
      </c>
      <c r="J3195" s="25" t="str">
        <f>IF(OR(E3195="",E3195="!!!",F3195="NEW"),"",COUNTBLANK(OFFSET(A$1,,,SUMPRODUCT(MAX(ROW(E$2:E3195)*(E3195=E$2:E3195)))))-COUNTBLANK(OFFSET(A$1,,,SUMPRODUCT(MAX(ROW(E$1:E3194)*(E2=E$1:E3194))))))</f>
        <v> </v>
      </c>
      <c r="K3195" s="25" t="str">
        <f>IF(OR(E3195="",E3195="!!!",F3195="NEW"),"",INDEX(J$1:J3194,SUMPRODUCT(MAX(ROW(E$1:E3194)*(E3195=E$1:E3194)))))</f>
        <v> </v>
      </c>
      <c r="L3195" s="26"/>
    </row>
    <row r="3196" spans="1:12">
      <c r="A3196" s="20" t="s">
        <v>2582</v>
      </c>
      <c r="E3196" s="21">
        <f>IF(D3196="?OLD","!!!","")</f>
        <v/>
      </c>
      <c r="F3196" s="22" t="str">
        <f>IF(OR(E3196="",E3196="!!!"),"",IF(NOT(ISNA(VLOOKUP(E3196,E$1:E3195,1,FALSE()))),"OLD",IF(AND(E3196&lt;&gt;"",E3196&lt;&gt;"!!!"),"NEW","")))</f>
        <v> </v>
      </c>
      <c r="G3196" s="23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4" t="str">
        <f>IF(J3196&lt;&gt;1,"",IF(I3196="SBJ","CB","?"))</f>
        <v> </v>
      </c>
      <c r="I3196" s="25" t="str">
        <f>IF(OR(E3196="",E3196="!!!",F3196="NEW"),"",INDEX(B3195:B$2,-1+SUMPRODUCT(MAX(ROW(E3195:E$2)*(E3196=E3195:E$2)))))</f>
        <v> </v>
      </c>
      <c r="J3196" s="25" t="str">
        <f>IF(OR(E3196="",E3196="!!!",F3196="NEW"),"",COUNTBLANK(OFFSET(A$1,,,SUMPRODUCT(MAX(ROW(E$2:E3196)*(E3196=E$2:E3196)))))-COUNTBLANK(OFFSET(A$1,,,SUMPRODUCT(MAX(ROW(E$1:E3195)*(E2=E$1:E3195))))))</f>
        <v> </v>
      </c>
      <c r="K3196" s="25" t="str">
        <f>IF(OR(E3196="",E3196="!!!",F3196="NEW"),"",INDEX(J$1:J3195,SUMPRODUCT(MAX(ROW(E$1:E3195)*(E3196=E$1:E3195)))))</f>
        <v> </v>
      </c>
      <c r="L3196" s="26"/>
    </row>
    <row r="3197" spans="1:12">
      <c r="A3197" s="20" t="s">
        <v>1123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135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1494</v>
      </c>
      <c r="B3199" s="27" t="s">
        <v>1132</v>
      </c>
      <c r="C3199" s="27" t="s">
        <v>1142</v>
      </c>
      <c r="D3199" s="27" t="s">
        <v>1105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2079</v>
      </c>
      <c r="B3200" s="27" t="s">
        <v>1259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1206</v>
      </c>
      <c r="B3201" s="27" t="s">
        <v>1107</v>
      </c>
      <c r="C3201" s="27" t="s">
        <v>1126</v>
      </c>
      <c r="D3201" s="27" t="s">
        <v>1105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1184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2583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1145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/>
    </row>
    <row r="3206" spans="1:12">
      <c r="A3206" s="20" t="s">
        <v>2584</v>
      </c>
    </row>
    <row r="3207" spans="1:12">
      <c r="A3207" s="20" t="s">
        <v>1111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 t="s">
        <v>1547</v>
      </c>
      <c r="E3208" s="21">
        <f>IF(D3208="?OLD","!!!","")</f>
        <v/>
      </c>
      <c r="F3208" s="22" t="str">
        <f>IF(OR(E3208="",E3208="!!!"),"",IF(NOT(ISNA(VLOOKUP(E3208,E$1:E3207,1,FALSE()))),"OLD",IF(AND(E3208&lt;&gt;"",E3208&lt;&gt;"!!!"),"NEW","")))</f>
        <v> </v>
      </c>
      <c r="G3208" s="23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4" t="str">
        <f>IF(J3208&lt;&gt;1,"",IF(I3208="SBJ","CB","?"))</f>
        <v> </v>
      </c>
      <c r="I3208" s="25" t="str">
        <f>IF(OR(E3208="",E3208="!!!",F3208="NEW"),"",INDEX(B3207:B$2,-1+SUMPRODUCT(MAX(ROW(E3207:E$2)*(E3208=E3207:E$2)))))</f>
        <v> </v>
      </c>
      <c r="J3208" s="25" t="str">
        <f>IF(OR(E3208="",E3208="!!!",F3208="NEW"),"",COUNTBLANK(OFFSET(A$1,,,SUMPRODUCT(MAX(ROW(E$2:E3208)*(E3208=E$2:E3208)))))-COUNTBLANK(OFFSET(A$1,,,SUMPRODUCT(MAX(ROW(E$1:E3207)*(E2=E$1:E3207))))))</f>
        <v> </v>
      </c>
      <c r="K3208" s="25" t="str">
        <f>IF(OR(E3208="",E3208="!!!",F3208="NEW"),"",INDEX(J$1:J3207,SUMPRODUCT(MAX(ROW(E$1:E3207)*(E3208=E$1:E3207)))))</f>
        <v> </v>
      </c>
      <c r="L3208" s="26"/>
    </row>
    <row r="3209" spans="1:12">
      <c r="A3209" s="20" t="s">
        <v>1114</v>
      </c>
      <c r="B3209" s="27" t="s">
        <v>1122</v>
      </c>
      <c r="C3209" s="27" t="s">
        <v>1116</v>
      </c>
      <c r="D3209" s="27" t="s">
        <v>1105</v>
      </c>
      <c r="E3209" s="21">
        <f>IF(D3209="?OLD","!!!","")</f>
        <v/>
      </c>
      <c r="F3209" s="22" t="str">
        <f>IF(OR(E3209="",E3209="!!!"),"",IF(NOT(ISNA(VLOOKUP(E3209,E$1:E3208,1,FALSE()))),"OLD",IF(AND(E3209&lt;&gt;"",E3209&lt;&gt;"!!!"),"NEW","")))</f>
        <v> </v>
      </c>
      <c r="G3209" s="23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4" t="str">
        <f>IF(J3209&lt;&gt;1,"",IF(I3209="SBJ","CB","?"))</f>
        <v> </v>
      </c>
      <c r="I3209" s="25" t="str">
        <f>IF(OR(E3209="",E3209="!!!",F3209="NEW"),"",INDEX(B3208:B$2,-1+SUMPRODUCT(MAX(ROW(E3208:E$2)*(E3209=E3208:E$2)))))</f>
        <v> </v>
      </c>
      <c r="J3209" s="25" t="str">
        <f>IF(OR(E3209="",E3209="!!!",F3209="NEW"),"",COUNTBLANK(OFFSET(A$1,,,SUMPRODUCT(MAX(ROW(E$2:E3209)*(E3209=E$2:E3209)))))-COUNTBLANK(OFFSET(A$1,,,SUMPRODUCT(MAX(ROW(E$1:E3208)*(E2=E$1:E3208))))))</f>
        <v> </v>
      </c>
      <c r="K3209" s="25" t="str">
        <f>IF(OR(E3209="",E3209="!!!",F3209="NEW"),"",INDEX(J$1:J3208,SUMPRODUCT(MAX(ROW(E$1:E3208)*(E3209=E$1:E3208)))))</f>
        <v> </v>
      </c>
      <c r="L3209" s="26"/>
    </row>
    <row r="3210" spans="1:12">
      <c r="A3210" s="20" t="s">
        <v>2009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 t="s">
        <v>1757</v>
      </c>
      <c r="B3211" s="27" t="s">
        <v>1103</v>
      </c>
      <c r="C3211" s="27" t="s">
        <v>1758</v>
      </c>
      <c r="E3211" s="21">
        <f>IF(D3211="?OLD","!!!","")</f>
        <v/>
      </c>
      <c r="F3211" s="22" t="str">
        <f>IF(OR(E3211="",E3211="!!!"),"",IF(NOT(ISNA(VLOOKUP(E3211,E$1:E3210,1,FALSE()))),"OLD",IF(AND(E3211&lt;&gt;"",E3211&lt;&gt;"!!!"),"NEW","")))</f>
        <v> </v>
      </c>
      <c r="G3211" s="23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4" t="str">
        <f>IF(J3211&lt;&gt;1,"",IF(I3211="SBJ","CB","?"))</f>
        <v> </v>
      </c>
      <c r="I3211" s="25" t="str">
        <f>IF(OR(E3211="",E3211="!!!",F3211="NEW"),"",INDEX(B3210:B$2,-1+SUMPRODUCT(MAX(ROW(E3210:E$2)*(E3211=E3210:E$2)))))</f>
        <v> </v>
      </c>
      <c r="J3211" s="25" t="str">
        <f>IF(OR(E3211="",E3211="!!!",F3211="NEW"),"",COUNTBLANK(OFFSET(A$1,,,SUMPRODUCT(MAX(ROW(E$2:E3211)*(E3211=E$2:E3211)))))-COUNTBLANK(OFFSET(A$1,,,SUMPRODUCT(MAX(ROW(E$1:E3210)*(E2=E$1:E3210))))))</f>
        <v> </v>
      </c>
      <c r="K3211" s="25" t="str">
        <f>IF(OR(E3211="",E3211="!!!",F3211="NEW"),"",INDEX(J$1:J3210,SUMPRODUCT(MAX(ROW(E$1:E3210)*(E3211=E$1:E3210)))))</f>
        <v> </v>
      </c>
      <c r="L3211" s="26"/>
    </row>
    <row r="3212" spans="1:12">
      <c r="A3212" s="20" t="s">
        <v>1145</v>
      </c>
      <c r="E3212" s="21">
        <f>IF(D3212="?OLD","!!!","")</f>
        <v/>
      </c>
      <c r="F3212" s="22" t="str">
        <f>IF(OR(E3212="",E3212="!!!"),"",IF(NOT(ISNA(VLOOKUP(E3212,E$1:E3211,1,FALSE()))),"OLD",IF(AND(E3212&lt;&gt;"",E3212&lt;&gt;"!!!"),"NEW","")))</f>
        <v> </v>
      </c>
      <c r="G3212" s="23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4" t="str">
        <f>IF(J3212&lt;&gt;1,"",IF(I3212="SBJ","CB","?"))</f>
        <v> </v>
      </c>
      <c r="I3212" s="25" t="str">
        <f>IF(OR(E3212="",E3212="!!!",F3212="NEW"),"",INDEX(B3211:B$2,-1+SUMPRODUCT(MAX(ROW(E3211:E$2)*(E3212=E3211:E$2)))))</f>
        <v> </v>
      </c>
      <c r="J3212" s="25" t="str">
        <f>IF(OR(E3212="",E3212="!!!",F3212="NEW"),"",COUNTBLANK(OFFSET(A$1,,,SUMPRODUCT(MAX(ROW(E$2:E3212)*(E3212=E$2:E3212)))))-COUNTBLANK(OFFSET(A$1,,,SUMPRODUCT(MAX(ROW(E$1:E3211)*(E2=E$1:E3211))))))</f>
        <v> </v>
      </c>
      <c r="K3212" s="25" t="str">
        <f>IF(OR(E3212="",E3212="!!!",F3212="NEW"),"",INDEX(J$1:J3211,SUMPRODUCT(MAX(ROW(E$1:E3211)*(E3212=E$1:E3211)))))</f>
        <v> </v>
      </c>
      <c r="L3212" s="26"/>
    </row>
    <row r="3213" spans="1:12">
      <c r="A3213" s="20" t="s">
        <v>1145</v>
      </c>
      <c r="E3213" s="21">
        <f>IF(D3213="?OLD","!!!","")</f>
        <v/>
      </c>
      <c r="F3213" s="22" t="str">
        <f>IF(OR(E3213="",E3213="!!!"),"",IF(NOT(ISNA(VLOOKUP(E3213,E$1:E3212,1,FALSE()))),"OLD",IF(AND(E3213&lt;&gt;"",E3213&lt;&gt;"!!!"),"NEW","")))</f>
        <v> </v>
      </c>
      <c r="G3213" s="23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4" t="str">
        <f>IF(J3213&lt;&gt;1,"",IF(I3213="SBJ","CB","?"))</f>
        <v> </v>
      </c>
      <c r="I3213" s="25" t="str">
        <f>IF(OR(E3213="",E3213="!!!",F3213="NEW"),"",INDEX(B3212:B$2,-1+SUMPRODUCT(MAX(ROW(E3212:E$2)*(E3213=E3212:E$2)))))</f>
        <v> </v>
      </c>
      <c r="J3213" s="25" t="str">
        <f>IF(OR(E3213="",E3213="!!!",F3213="NEW"),"",COUNTBLANK(OFFSET(A$1,,,SUMPRODUCT(MAX(ROW(E$2:E3213)*(E3213=E$2:E3213)))))-COUNTBLANK(OFFSET(A$1,,,SUMPRODUCT(MAX(ROW(E$1:E3212)*(E2=E$1:E3212))))))</f>
        <v> </v>
      </c>
      <c r="K3213" s="25" t="str">
        <f>IF(OR(E3213="",E3213="!!!",F3213="NEW"),"",INDEX(J$1:J3212,SUMPRODUCT(MAX(ROW(E$1:E3212)*(E3213=E$1:E3212)))))</f>
        <v> </v>
      </c>
      <c r="L3213" s="26"/>
    </row>
    <row r="3214" spans="1:12">
      <c r="A3214" s="20" t="s">
        <v>1145</v>
      </c>
      <c r="E3214" s="21">
        <f>IF(D3214="?OLD","!!!","")</f>
        <v/>
      </c>
      <c r="F3214" s="22" t="str">
        <f>IF(OR(E3214="",E3214="!!!"),"",IF(NOT(ISNA(VLOOKUP(E3214,E$1:E3213,1,FALSE()))),"OLD",IF(AND(E3214&lt;&gt;"",E3214&lt;&gt;"!!!"),"NEW","")))</f>
        <v> </v>
      </c>
      <c r="G3214" s="23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4" t="str">
        <f>IF(J3214&lt;&gt;1,"",IF(I3214="SBJ","CB","?"))</f>
        <v> </v>
      </c>
      <c r="I3214" s="25" t="str">
        <f>IF(OR(E3214="",E3214="!!!",F3214="NEW"),"",INDEX(B3213:B$2,-1+SUMPRODUCT(MAX(ROW(E3213:E$2)*(E3214=E3213:E$2)))))</f>
        <v> </v>
      </c>
      <c r="J3214" s="25" t="str">
        <f>IF(OR(E3214="",E3214="!!!",F3214="NEW"),"",COUNTBLANK(OFFSET(A$1,,,SUMPRODUCT(MAX(ROW(E$2:E3214)*(E3214=E$2:E3214)))))-COUNTBLANK(OFFSET(A$1,,,SUMPRODUCT(MAX(ROW(E$1:E3213)*(E2=E$1:E3213))))))</f>
        <v> </v>
      </c>
      <c r="K3214" s="25" t="str">
        <f>IF(OR(E3214="",E3214="!!!",F3214="NEW"),"",INDEX(J$1:J3213,SUMPRODUCT(MAX(ROW(E$1:E3213)*(E3214=E$1:E3213)))))</f>
        <v> </v>
      </c>
      <c r="L3214" s="26"/>
    </row>
    <row r="3215" spans="1:12">
      <c r="A3215" s="20" t="s">
        <v>1114</v>
      </c>
      <c r="B3215" s="27" t="s">
        <v>1149</v>
      </c>
      <c r="C3215" s="27" t="s">
        <v>1116</v>
      </c>
      <c r="D3215" s="27" t="s">
        <v>1105</v>
      </c>
      <c r="E3215" s="21">
        <f>IF(D3215="?OLD","!!!","")</f>
        <v/>
      </c>
      <c r="F3215" s="22" t="str">
        <f>IF(OR(E3215="",E3215="!!!"),"",IF(NOT(ISNA(VLOOKUP(E3215,E$1:E3214,1,FALSE()))),"OLD",IF(AND(E3215&lt;&gt;"",E3215&lt;&gt;"!!!"),"NEW","")))</f>
        <v> </v>
      </c>
      <c r="G3215" s="23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4" t="str">
        <f>IF(J3215&lt;&gt;1,"",IF(I3215="SBJ","CB","?"))</f>
        <v> </v>
      </c>
      <c r="I3215" s="25" t="str">
        <f>IF(OR(E3215="",E3215="!!!",F3215="NEW"),"",INDEX(B3214:B$2,-1+SUMPRODUCT(MAX(ROW(E3214:E$2)*(E3215=E3214:E$2)))))</f>
        <v> </v>
      </c>
      <c r="J3215" s="25" t="str">
        <f>IF(OR(E3215="",E3215="!!!",F3215="NEW"),"",COUNTBLANK(OFFSET(A$1,,,SUMPRODUCT(MAX(ROW(E$2:E3215)*(E3215=E$2:E3215)))))-COUNTBLANK(OFFSET(A$1,,,SUMPRODUCT(MAX(ROW(E$1:E3214)*(E2=E$1:E3214))))))</f>
        <v> </v>
      </c>
      <c r="K3215" s="25" t="str">
        <f>IF(OR(E3215="",E3215="!!!",F3215="NEW"),"",INDEX(J$1:J3214,SUMPRODUCT(MAX(ROW(E$1:E3214)*(E3215=E$1:E3214)))))</f>
        <v> </v>
      </c>
      <c r="L3215" s="26"/>
    </row>
    <row r="3216" spans="1:12">
      <c r="A3216" s="20" t="s">
        <v>1757</v>
      </c>
      <c r="B3216" s="27" t="s">
        <v>1103</v>
      </c>
      <c r="C3216" s="27" t="s">
        <v>1758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1145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/>
    </row>
    <row r="3219" spans="1:12">
      <c r="A3219" s="20" t="s">
        <v>2585</v>
      </c>
    </row>
    <row r="3220" spans="1:12">
      <c r="A3220" s="20" t="s">
        <v>1633</v>
      </c>
      <c r="B3220" s="27" t="s">
        <v>1149</v>
      </c>
      <c r="C3220" s="27" t="s">
        <v>1126</v>
      </c>
      <c r="D3220" s="27" t="s">
        <v>1105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2586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1123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 t="s">
        <v>1124</v>
      </c>
      <c r="B3223" s="27" t="s">
        <v>1122</v>
      </c>
      <c r="C3223" s="27" t="s">
        <v>1126</v>
      </c>
      <c r="D3223" s="27" t="s">
        <v>1105</v>
      </c>
      <c r="E3223" s="21">
        <f>IF(D3223="?OLD","!!!","")</f>
        <v/>
      </c>
      <c r="F3223" s="22" t="str">
        <f>IF(OR(E3223="",E3223="!!!"),"",IF(NOT(ISNA(VLOOKUP(E3223,E$1:E3222,1,FALSE()))),"OLD",IF(AND(E3223&lt;&gt;"",E3223&lt;&gt;"!!!"),"NEW","")))</f>
        <v> </v>
      </c>
      <c r="G3223" s="23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4" t="str">
        <f>IF(J3223&lt;&gt;1,"",IF(I3223="SBJ","CB","?"))</f>
        <v> </v>
      </c>
      <c r="I3223" s="25" t="str">
        <f>IF(OR(E3223="",E3223="!!!",F3223="NEW"),"",INDEX(B3222:B$2,-1+SUMPRODUCT(MAX(ROW(E3222:E$2)*(E3223=E3222:E$2)))))</f>
        <v> </v>
      </c>
      <c r="J3223" s="25" t="str">
        <f>IF(OR(E3223="",E3223="!!!",F3223="NEW"),"",COUNTBLANK(OFFSET(A$1,,,SUMPRODUCT(MAX(ROW(E$2:E3223)*(E3223=E$2:E3223)))))-COUNTBLANK(OFFSET(A$1,,,SUMPRODUCT(MAX(ROW(E$1:E3222)*(E2=E$1:E3222))))))</f>
        <v> </v>
      </c>
      <c r="K3223" s="25" t="str">
        <f>IF(OR(E3223="",E3223="!!!",F3223="NEW"),"",INDEX(J$1:J3222,SUMPRODUCT(MAX(ROW(E$1:E3222)*(E3223=E$1:E3222)))))</f>
        <v> </v>
      </c>
      <c r="L3223" s="26"/>
    </row>
    <row r="3224" spans="1:12">
      <c r="A3224" s="20" t="s">
        <v>2587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2588</v>
      </c>
      <c r="B3225" s="27" t="s">
        <v>1110</v>
      </c>
      <c r="C3225" s="27" t="s">
        <v>1142</v>
      </c>
      <c r="D3225" s="27" t="s">
        <v>1105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 t="s">
        <v>2589</v>
      </c>
      <c r="B3226" s="27" t="s">
        <v>1243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1145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/>
    </row>
    <row r="3229" spans="1:12">
      <c r="A3229" s="20" t="s">
        <v>2590</v>
      </c>
    </row>
    <row r="3230" spans="1:12">
      <c r="A3230" s="20" t="s">
        <v>2310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1318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 t="s">
        <v>1469</v>
      </c>
      <c r="B3232" s="27" t="s">
        <v>1103</v>
      </c>
      <c r="C3232" s="27" t="s">
        <v>1126</v>
      </c>
      <c r="D3232" s="27" t="s">
        <v>1105</v>
      </c>
      <c r="E3232" s="21">
        <f>IF(D3232="?OLD","!!!","")</f>
        <v/>
      </c>
      <c r="F3232" s="22" t="str">
        <f>IF(OR(E3232="",E3232="!!!"),"",IF(NOT(ISNA(VLOOKUP(E3232,E$1:E3231,1,FALSE()))),"OLD",IF(AND(E3232&lt;&gt;"",E3232&lt;&gt;"!!!"),"NEW","")))</f>
        <v> </v>
      </c>
      <c r="G3232" s="23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4" t="str">
        <f>IF(J3232&lt;&gt;1,"",IF(I3232="SBJ","CB","?"))</f>
        <v> </v>
      </c>
      <c r="I3232" s="25" t="str">
        <f>IF(OR(E3232="",E3232="!!!",F3232="NEW"),"",INDEX(B3231:B$2,-1+SUMPRODUCT(MAX(ROW(E3231:E$2)*(E3232=E3231:E$2)))))</f>
        <v> </v>
      </c>
      <c r="J3232" s="25" t="str">
        <f>IF(OR(E3232="",E3232="!!!",F3232="NEW"),"",COUNTBLANK(OFFSET(A$1,,,SUMPRODUCT(MAX(ROW(E$2:E3232)*(E3232=E$2:E3232)))))-COUNTBLANK(OFFSET(A$1,,,SUMPRODUCT(MAX(ROW(E$1:E3231)*(E2=E$1:E3231))))))</f>
        <v> </v>
      </c>
      <c r="K3232" s="25" t="str">
        <f>IF(OR(E3232="",E3232="!!!",F3232="NEW"),"",INDEX(J$1:J3231,SUMPRODUCT(MAX(ROW(E$1:E3231)*(E3232=E$1:E3231)))))</f>
        <v> </v>
      </c>
      <c r="L3232" s="26"/>
    </row>
    <row r="3233" spans="1:12">
      <c r="A3233" s="20" t="s">
        <v>2591</v>
      </c>
      <c r="E3233" s="21">
        <f>IF(D3233="?OLD","!!!","")</f>
        <v/>
      </c>
      <c r="F3233" s="22" t="str">
        <f>IF(OR(E3233="",E3233="!!!"),"",IF(NOT(ISNA(VLOOKUP(E3233,E$1:E3232,1,FALSE()))),"OLD",IF(AND(E3233&lt;&gt;"",E3233&lt;&gt;"!!!"),"NEW","")))</f>
        <v> </v>
      </c>
      <c r="G3233" s="23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4" t="str">
        <f>IF(J3233&lt;&gt;1,"",IF(I3233="SBJ","CB","?"))</f>
        <v> </v>
      </c>
      <c r="I3233" s="25" t="str">
        <f>IF(OR(E3233="",E3233="!!!",F3233="NEW"),"",INDEX(B3232:B$2,-1+SUMPRODUCT(MAX(ROW(E3232:E$2)*(E3233=E3232:E$2)))))</f>
        <v> </v>
      </c>
      <c r="J3233" s="25" t="str">
        <f>IF(OR(E3233="",E3233="!!!",F3233="NEW"),"",COUNTBLANK(OFFSET(A$1,,,SUMPRODUCT(MAX(ROW(E$2:E3233)*(E3233=E$2:E3233)))))-COUNTBLANK(OFFSET(A$1,,,SUMPRODUCT(MAX(ROW(E$1:E3232)*(E2=E$1:E3232))))))</f>
        <v> </v>
      </c>
      <c r="K3233" s="25" t="str">
        <f>IF(OR(E3233="",E3233="!!!",F3233="NEW"),"",INDEX(J$1:J3232,SUMPRODUCT(MAX(ROW(E$1:E3232)*(E3233=E$1:E3232)))))</f>
        <v> </v>
      </c>
      <c r="L3233" s="26"/>
    </row>
    <row r="3234" spans="1:12">
      <c r="A3234" s="20" t="s">
        <v>2592</v>
      </c>
      <c r="B3234" s="27" t="s">
        <v>1149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 t="s">
        <v>1123</v>
      </c>
      <c r="E3235" s="21">
        <f>IF(D3235="?OLD","!!!","")</f>
        <v/>
      </c>
      <c r="F3235" s="22" t="str">
        <f>IF(OR(E3235="",E3235="!!!"),"",IF(NOT(ISNA(VLOOKUP(E3235,E$1:E3234,1,FALSE()))),"OLD",IF(AND(E3235&lt;&gt;"",E3235&lt;&gt;"!!!"),"NEW","")))</f>
        <v> </v>
      </c>
      <c r="G3235" s="23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4" t="str">
        <f>IF(J3235&lt;&gt;1,"",IF(I3235="SBJ","CB","?"))</f>
        <v> </v>
      </c>
      <c r="I3235" s="25" t="str">
        <f>IF(OR(E3235="",E3235="!!!",F3235="NEW"),"",INDEX(B3234:B$2,-1+SUMPRODUCT(MAX(ROW(E3234:E$2)*(E3235=E3234:E$2)))))</f>
        <v> </v>
      </c>
      <c r="J3235" s="25" t="str">
        <f>IF(OR(E3235="",E3235="!!!",F3235="NEW"),"",COUNTBLANK(OFFSET(A$1,,,SUMPRODUCT(MAX(ROW(E$2:E3235)*(E3235=E$2:E3235)))))-COUNTBLANK(OFFSET(A$1,,,SUMPRODUCT(MAX(ROW(E$1:E3234)*(E2=E$1:E3234))))))</f>
        <v> </v>
      </c>
      <c r="K3235" s="25" t="str">
        <f>IF(OR(E3235="",E3235="!!!",F3235="NEW"),"",INDEX(J$1:J3234,SUMPRODUCT(MAX(ROW(E$1:E3234)*(E3235=E$1:E3234)))))</f>
        <v> </v>
      </c>
      <c r="L3235" s="26"/>
    </row>
    <row r="3236" spans="1:12">
      <c r="A3236" s="20" t="s">
        <v>135</v>
      </c>
      <c r="E3236" s="21">
        <f>IF(D3236="?OLD","!!!","")</f>
        <v/>
      </c>
      <c r="F3236" s="22" t="str">
        <f>IF(OR(E3236="",E3236="!!!"),"",IF(NOT(ISNA(VLOOKUP(E3236,E$1:E3235,1,FALSE()))),"OLD",IF(AND(E3236&lt;&gt;"",E3236&lt;&gt;"!!!"),"NEW","")))</f>
        <v> </v>
      </c>
      <c r="G3236" s="23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4" t="str">
        <f>IF(J3236&lt;&gt;1,"",IF(I3236="SBJ","CB","?"))</f>
        <v> </v>
      </c>
      <c r="I3236" s="25" t="str">
        <f>IF(OR(E3236="",E3236="!!!",F3236="NEW"),"",INDEX(B3235:B$2,-1+SUMPRODUCT(MAX(ROW(E3235:E$2)*(E3236=E3235:E$2)))))</f>
        <v> </v>
      </c>
      <c r="J3236" s="25" t="str">
        <f>IF(OR(E3236="",E3236="!!!",F3236="NEW"),"",COUNTBLANK(OFFSET(A$1,,,SUMPRODUCT(MAX(ROW(E$2:E3236)*(E3236=E$2:E3236)))))-COUNTBLANK(OFFSET(A$1,,,SUMPRODUCT(MAX(ROW(E$1:E3235)*(E2=E$1:E3235))))))</f>
        <v> </v>
      </c>
      <c r="K3236" s="25" t="str">
        <f>IF(OR(E3236="",E3236="!!!",F3236="NEW"),"",INDEX(J$1:J3235,SUMPRODUCT(MAX(ROW(E$1:E3235)*(E3236=E$1:E3235)))))</f>
        <v> </v>
      </c>
      <c r="L3236" s="26"/>
    </row>
    <row r="3237" spans="1:12">
      <c r="A3237" s="20" t="s">
        <v>2593</v>
      </c>
      <c r="E3237" s="21">
        <f>IF(D3237="?OLD","!!!","")</f>
        <v/>
      </c>
      <c r="F3237" s="22" t="str">
        <f>IF(OR(E3237="",E3237="!!!"),"",IF(NOT(ISNA(VLOOKUP(E3237,E$1:E3236,1,FALSE()))),"OLD",IF(AND(E3237&lt;&gt;"",E3237&lt;&gt;"!!!"),"NEW","")))</f>
        <v> </v>
      </c>
      <c r="G3237" s="23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4" t="str">
        <f>IF(J3237&lt;&gt;1,"",IF(I3237="SBJ","CB","?"))</f>
        <v> </v>
      </c>
      <c r="I3237" s="25" t="str">
        <f>IF(OR(E3237="",E3237="!!!",F3237="NEW"),"",INDEX(B3236:B$2,-1+SUMPRODUCT(MAX(ROW(E3236:E$2)*(E3237=E3236:E$2)))))</f>
        <v> </v>
      </c>
      <c r="J3237" s="25" t="str">
        <f>IF(OR(E3237="",E3237="!!!",F3237="NEW"),"",COUNTBLANK(OFFSET(A$1,,,SUMPRODUCT(MAX(ROW(E$2:E3237)*(E3237=E$2:E3237)))))-COUNTBLANK(OFFSET(A$1,,,SUMPRODUCT(MAX(ROW(E$1:E3236)*(E2=E$1:E3236))))))</f>
        <v> </v>
      </c>
      <c r="K3237" s="25" t="str">
        <f>IF(OR(E3237="",E3237="!!!",F3237="NEW"),"",INDEX(J$1:J3236,SUMPRODUCT(MAX(ROW(E$1:E3236)*(E3237=E$1:E3236)))))</f>
        <v> </v>
      </c>
      <c r="L3237" s="26"/>
    </row>
    <row r="3238" spans="1:12">
      <c r="A3238" s="20" t="s">
        <v>2488</v>
      </c>
      <c r="B3238" s="27" t="s">
        <v>1259</v>
      </c>
      <c r="C3238" s="27" t="s">
        <v>1156</v>
      </c>
      <c r="D3238" s="27" t="s">
        <v>1105</v>
      </c>
      <c r="E3238" s="21">
        <f>IF(D3238="?OLD","!!!","")</f>
        <v/>
      </c>
      <c r="F3238" s="22" t="str">
        <f>IF(OR(E3238="",E3238="!!!"),"",IF(NOT(ISNA(VLOOKUP(E3238,E$1:E3237,1,FALSE()))),"OLD",IF(AND(E3238&lt;&gt;"",E3238&lt;&gt;"!!!"),"NEW","")))</f>
        <v> </v>
      </c>
      <c r="G3238" s="23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4" t="str">
        <f>IF(J3238&lt;&gt;1,"",IF(I3238="SBJ","CB","?"))</f>
        <v> </v>
      </c>
      <c r="I3238" s="25" t="str">
        <f>IF(OR(E3238="",E3238="!!!",F3238="NEW"),"",INDEX(B3237:B$2,-1+SUMPRODUCT(MAX(ROW(E3237:E$2)*(E3238=E3237:E$2)))))</f>
        <v> </v>
      </c>
      <c r="J3238" s="25" t="str">
        <f>IF(OR(E3238="",E3238="!!!",F3238="NEW"),"",COUNTBLANK(OFFSET(A$1,,,SUMPRODUCT(MAX(ROW(E$2:E3238)*(E3238=E$2:E3238)))))-COUNTBLANK(OFFSET(A$1,,,SUMPRODUCT(MAX(ROW(E$1:E3237)*(E2=E$1:E3237))))))</f>
        <v> </v>
      </c>
      <c r="K3238" s="25" t="str">
        <f>IF(OR(E3238="",E3238="!!!",F3238="NEW"),"",INDEX(J$1:J3237,SUMPRODUCT(MAX(ROW(E$1:E3237)*(E3238=E$1:E3237)))))</f>
        <v> </v>
      </c>
      <c r="L3238" s="26"/>
    </row>
    <row r="3239" spans="1:12">
      <c r="A3239" s="20" t="s">
        <v>2594</v>
      </c>
      <c r="E3239" s="21">
        <f>IF(D3239="?OLD","!!!","")</f>
        <v/>
      </c>
      <c r="F3239" s="22" t="str">
        <f>IF(OR(E3239="",E3239="!!!"),"",IF(NOT(ISNA(VLOOKUP(E3239,E$1:E3238,1,FALSE()))),"OLD",IF(AND(E3239&lt;&gt;"",E3239&lt;&gt;"!!!"),"NEW","")))</f>
        <v> </v>
      </c>
      <c r="G3239" s="23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4" t="str">
        <f>IF(J3239&lt;&gt;1,"",IF(I3239="SBJ","CB","?"))</f>
        <v> </v>
      </c>
      <c r="I3239" s="25" t="str">
        <f>IF(OR(E3239="",E3239="!!!",F3239="NEW"),"",INDEX(B3238:B$2,-1+SUMPRODUCT(MAX(ROW(E3238:E$2)*(E3239=E3238:E$2)))))</f>
        <v> </v>
      </c>
      <c r="J3239" s="25" t="str">
        <f>IF(OR(E3239="",E3239="!!!",F3239="NEW"),"",COUNTBLANK(OFFSET(A$1,,,SUMPRODUCT(MAX(ROW(E$2:E3239)*(E3239=E$2:E3239)))))-COUNTBLANK(OFFSET(A$1,,,SUMPRODUCT(MAX(ROW(E$1:E3238)*(E2=E$1:E3238))))))</f>
        <v> </v>
      </c>
      <c r="K3239" s="25" t="str">
        <f>IF(OR(E3239="",E3239="!!!",F3239="NEW"),"",INDEX(J$1:J3238,SUMPRODUCT(MAX(ROW(E$1:E3238)*(E3239=E$1:E3238)))))</f>
        <v> </v>
      </c>
      <c r="L3239" s="26"/>
    </row>
    <row r="3240" spans="1:12">
      <c r="A3240" s="20" t="s">
        <v>1469</v>
      </c>
      <c r="B3240" s="27" t="s">
        <v>1115</v>
      </c>
      <c r="C3240" s="27" t="s">
        <v>1126</v>
      </c>
      <c r="D3240" s="27" t="s">
        <v>1105</v>
      </c>
      <c r="E3240" s="21">
        <f>IF(D3240="?OLD","!!!","")</f>
        <v/>
      </c>
      <c r="F3240" s="22" t="str">
        <f>IF(OR(E3240="",E3240="!!!"),"",IF(NOT(ISNA(VLOOKUP(E3240,E$1:E3239,1,FALSE()))),"OLD",IF(AND(E3240&lt;&gt;"",E3240&lt;&gt;"!!!"),"NEW","")))</f>
        <v> </v>
      </c>
      <c r="G3240" s="23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4" t="str">
        <f>IF(J3240&lt;&gt;1,"",IF(I3240="SBJ","CB","?"))</f>
        <v> </v>
      </c>
      <c r="I3240" s="25" t="str">
        <f>IF(OR(E3240="",E3240="!!!",F3240="NEW"),"",INDEX(B3239:B$2,-1+SUMPRODUCT(MAX(ROW(E3239:E$2)*(E3240=E3239:E$2)))))</f>
        <v> </v>
      </c>
      <c r="J3240" s="25" t="str">
        <f>IF(OR(E3240="",E3240="!!!",F3240="NEW"),"",COUNTBLANK(OFFSET(A$1,,,SUMPRODUCT(MAX(ROW(E$2:E3240)*(E3240=E$2:E3240)))))-COUNTBLANK(OFFSET(A$1,,,SUMPRODUCT(MAX(ROW(E$1:E3239)*(E2=E$1:E3239))))))</f>
        <v> </v>
      </c>
      <c r="K3240" s="25" t="str">
        <f>IF(OR(E3240="",E3240="!!!",F3240="NEW"),"",INDEX(J$1:J3239,SUMPRODUCT(MAX(ROW(E$1:E3239)*(E3240=E$1:E3239)))))</f>
        <v> </v>
      </c>
      <c r="L3240" s="26"/>
    </row>
    <row r="3241" spans="1:12">
      <c r="A3241" s="20" t="s">
        <v>1123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1228</v>
      </c>
      <c r="B3242" s="27" t="s">
        <v>1125</v>
      </c>
      <c r="C3242" s="27" t="s">
        <v>1126</v>
      </c>
      <c r="D3242" s="27" t="s">
        <v>1105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1206</v>
      </c>
      <c r="B3243" s="27" t="s">
        <v>1144</v>
      </c>
      <c r="C3243" s="27" t="s">
        <v>1126</v>
      </c>
      <c r="D3243" s="27" t="s">
        <v>1105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2595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1123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1206</v>
      </c>
      <c r="B3246" s="27" t="s">
        <v>1149</v>
      </c>
      <c r="C3246" s="27" t="s">
        <v>1126</v>
      </c>
      <c r="D3246" s="27" t="s">
        <v>1105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1339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2596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 t="s">
        <v>2597</v>
      </c>
      <c r="E3249" s="21">
        <f>IF(D3249="?OLD","!!!","")</f>
        <v/>
      </c>
      <c r="F3249" s="22" t="str">
        <f>IF(OR(E3249="",E3249="!!!"),"",IF(NOT(ISNA(VLOOKUP(E3249,E$1:E3248,1,FALSE()))),"OLD",IF(AND(E3249&lt;&gt;"",E3249&lt;&gt;"!!!"),"NEW","")))</f>
        <v> </v>
      </c>
      <c r="G3249" s="23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4" t="str">
        <f>IF(J3249&lt;&gt;1,"",IF(I3249="SBJ","CB","?"))</f>
        <v> </v>
      </c>
      <c r="I3249" s="25" t="str">
        <f>IF(OR(E3249="",E3249="!!!",F3249="NEW"),"",INDEX(B3248:B$2,-1+SUMPRODUCT(MAX(ROW(E3248:E$2)*(E3249=E3248:E$2)))))</f>
        <v> </v>
      </c>
      <c r="J3249" s="25" t="str">
        <f>IF(OR(E3249="",E3249="!!!",F3249="NEW"),"",COUNTBLANK(OFFSET(A$1,,,SUMPRODUCT(MAX(ROW(E$2:E3249)*(E3249=E$2:E3249)))))-COUNTBLANK(OFFSET(A$1,,,SUMPRODUCT(MAX(ROW(E$1:E3248)*(E2=E$1:E3248))))))</f>
        <v> </v>
      </c>
      <c r="K3249" s="25" t="str">
        <f>IF(OR(E3249="",E3249="!!!",F3249="NEW"),"",INDEX(J$1:J3248,SUMPRODUCT(MAX(ROW(E$1:E3248)*(E3249=E$1:E3248)))))</f>
        <v> </v>
      </c>
      <c r="L3249" s="26"/>
    </row>
    <row r="3250" spans="1:12">
      <c r="A3250" s="20" t="s">
        <v>1123</v>
      </c>
      <c r="E3250" s="21">
        <f>IF(D3250="?OLD","!!!","")</f>
        <v/>
      </c>
      <c r="F3250" s="22" t="str">
        <f>IF(OR(E3250="",E3250="!!!"),"",IF(NOT(ISNA(VLOOKUP(E3250,E$1:E3249,1,FALSE()))),"OLD",IF(AND(E3250&lt;&gt;"",E3250&lt;&gt;"!!!"),"NEW","")))</f>
        <v> </v>
      </c>
      <c r="G3250" s="23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4" t="str">
        <f>IF(J3250&lt;&gt;1,"",IF(I3250="SBJ","CB","?"))</f>
        <v> </v>
      </c>
      <c r="I3250" s="25" t="str">
        <f>IF(OR(E3250="",E3250="!!!",F3250="NEW"),"",INDEX(B3249:B$2,-1+SUMPRODUCT(MAX(ROW(E3249:E$2)*(E3250=E3249:E$2)))))</f>
        <v> </v>
      </c>
      <c r="J3250" s="25" t="str">
        <f>IF(OR(E3250="",E3250="!!!",F3250="NEW"),"",COUNTBLANK(OFFSET(A$1,,,SUMPRODUCT(MAX(ROW(E$2:E3250)*(E3250=E$2:E3250)))))-COUNTBLANK(OFFSET(A$1,,,SUMPRODUCT(MAX(ROW(E$1:E3249)*(E2=E$1:E3249))))))</f>
        <v> </v>
      </c>
      <c r="K3250" s="25" t="str">
        <f>IF(OR(E3250="",E3250="!!!",F3250="NEW"),"",INDEX(J$1:J3249,SUMPRODUCT(MAX(ROW(E$1:E3249)*(E3250=E$1:E3249)))))</f>
        <v> </v>
      </c>
      <c r="L3250" s="26"/>
    </row>
    <row r="3251" spans="1:12">
      <c r="A3251" s="20" t="s">
        <v>2598</v>
      </c>
      <c r="E3251" s="21">
        <f>IF(D3251="?OLD","!!!","")</f>
        <v/>
      </c>
      <c r="F3251" s="22" t="str">
        <f>IF(OR(E3251="",E3251="!!!"),"",IF(NOT(ISNA(VLOOKUP(E3251,E$1:E3250,1,FALSE()))),"OLD",IF(AND(E3251&lt;&gt;"",E3251&lt;&gt;"!!!"),"NEW","")))</f>
        <v> </v>
      </c>
      <c r="G3251" s="23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4" t="str">
        <f>IF(J3251&lt;&gt;1,"",IF(I3251="SBJ","CB","?"))</f>
        <v> </v>
      </c>
      <c r="I3251" s="25" t="str">
        <f>IF(OR(E3251="",E3251="!!!",F3251="NEW"),"",INDEX(B3250:B$2,-1+SUMPRODUCT(MAX(ROW(E3250:E$2)*(E3251=E3250:E$2)))))</f>
        <v> </v>
      </c>
      <c r="J3251" s="25" t="str">
        <f>IF(OR(E3251="",E3251="!!!",F3251="NEW"),"",COUNTBLANK(OFFSET(A$1,,,SUMPRODUCT(MAX(ROW(E$2:E3251)*(E3251=E$2:E3251)))))-COUNTBLANK(OFFSET(A$1,,,SUMPRODUCT(MAX(ROW(E$1:E3250)*(E2=E$1:E3250))))))</f>
        <v> </v>
      </c>
      <c r="K3251" s="25" t="str">
        <f>IF(OR(E3251="",E3251="!!!",F3251="NEW"),"",INDEX(J$1:J3250,SUMPRODUCT(MAX(ROW(E$1:E3250)*(E3251=E$1:E3250)))))</f>
        <v> </v>
      </c>
      <c r="L3251" s="26"/>
    </row>
    <row r="3252" spans="1:12">
      <c r="A3252" s="20" t="s">
        <v>1123</v>
      </c>
      <c r="E3252" s="21">
        <f>IF(D3252="?OLD","!!!","")</f>
        <v/>
      </c>
      <c r="F3252" s="22" t="str">
        <f>IF(OR(E3252="",E3252="!!!"),"",IF(NOT(ISNA(VLOOKUP(E3252,E$1:E3251,1,FALSE()))),"OLD",IF(AND(E3252&lt;&gt;"",E3252&lt;&gt;"!!!"),"NEW","")))</f>
        <v> </v>
      </c>
      <c r="G3252" s="23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4" t="str">
        <f>IF(J3252&lt;&gt;1,"",IF(I3252="SBJ","CB","?"))</f>
        <v> </v>
      </c>
      <c r="I3252" s="25" t="str">
        <f>IF(OR(E3252="",E3252="!!!",F3252="NEW"),"",INDEX(B3251:B$2,-1+SUMPRODUCT(MAX(ROW(E3251:E$2)*(E3252=E3251:E$2)))))</f>
        <v> </v>
      </c>
      <c r="J3252" s="25" t="str">
        <f>IF(OR(E3252="",E3252="!!!",F3252="NEW"),"",COUNTBLANK(OFFSET(A$1,,,SUMPRODUCT(MAX(ROW(E$2:E3252)*(E3252=E$2:E3252)))))-COUNTBLANK(OFFSET(A$1,,,SUMPRODUCT(MAX(ROW(E$1:E3251)*(E2=E$1:E3251))))))</f>
        <v> </v>
      </c>
      <c r="K3252" s="25" t="str">
        <f>IF(OR(E3252="",E3252="!!!",F3252="NEW"),"",INDEX(J$1:J3251,SUMPRODUCT(MAX(ROW(E$1:E3251)*(E3252=E$1:E3251)))))</f>
        <v> </v>
      </c>
      <c r="L3252" s="26"/>
    </row>
    <row r="3253" spans="1:12">
      <c r="A3253" s="20" t="s">
        <v>1694</v>
      </c>
      <c r="E3253" s="21">
        <f>IF(D3253="?OLD","!!!","")</f>
        <v/>
      </c>
      <c r="F3253" s="22" t="str">
        <f>IF(OR(E3253="",E3253="!!!"),"",IF(NOT(ISNA(VLOOKUP(E3253,E$1:E3252,1,FALSE()))),"OLD",IF(AND(E3253&lt;&gt;"",E3253&lt;&gt;"!!!"),"NEW","")))</f>
        <v> </v>
      </c>
      <c r="G3253" s="23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4" t="str">
        <f>IF(J3253&lt;&gt;1,"",IF(I3253="SBJ","CB","?"))</f>
        <v> </v>
      </c>
      <c r="I3253" s="25" t="str">
        <f>IF(OR(E3253="",E3253="!!!",F3253="NEW"),"",INDEX(B3252:B$2,-1+SUMPRODUCT(MAX(ROW(E3252:E$2)*(E3253=E3252:E$2)))))</f>
        <v> </v>
      </c>
      <c r="J3253" s="25" t="str">
        <f>IF(OR(E3253="",E3253="!!!",F3253="NEW"),"",COUNTBLANK(OFFSET(A$1,,,SUMPRODUCT(MAX(ROW(E$2:E3253)*(E3253=E$2:E3253)))))-COUNTBLANK(OFFSET(A$1,,,SUMPRODUCT(MAX(ROW(E$1:E3252)*(E2=E$1:E3252))))))</f>
        <v> </v>
      </c>
      <c r="K3253" s="25" t="str">
        <f>IF(OR(E3253="",E3253="!!!",F3253="NEW"),"",INDEX(J$1:J3252,SUMPRODUCT(MAX(ROW(E$1:E3252)*(E3253=E$1:E3252)))))</f>
        <v> </v>
      </c>
      <c r="L3253" s="26"/>
    </row>
    <row r="3254" spans="1:12">
      <c r="A3254" s="20" t="s">
        <v>1123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2599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 t="s">
        <v>2600</v>
      </c>
      <c r="E3256" s="21">
        <f>IF(D3256="?OLD","!!!","")</f>
        <v/>
      </c>
      <c r="F3256" s="22" t="str">
        <f>IF(OR(E3256="",E3256="!!!"),"",IF(NOT(ISNA(VLOOKUP(E3256,E$1:E3255,1,FALSE()))),"OLD",IF(AND(E3256&lt;&gt;"",E3256&lt;&gt;"!!!"),"NEW","")))</f>
        <v> </v>
      </c>
      <c r="G3256" s="23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4" t="str">
        <f>IF(J3256&lt;&gt;1,"",IF(I3256="SBJ","CB","?"))</f>
        <v> </v>
      </c>
      <c r="I3256" s="25" t="str">
        <f>IF(OR(E3256="",E3256="!!!",F3256="NEW"),"",INDEX(B3255:B$2,-1+SUMPRODUCT(MAX(ROW(E3255:E$2)*(E3256=E3255:E$2)))))</f>
        <v> </v>
      </c>
      <c r="J3256" s="25" t="str">
        <f>IF(OR(E3256="",E3256="!!!",F3256="NEW"),"",COUNTBLANK(OFFSET(A$1,,,SUMPRODUCT(MAX(ROW(E$2:E3256)*(E3256=E$2:E3256)))))-COUNTBLANK(OFFSET(A$1,,,SUMPRODUCT(MAX(ROW(E$1:E3255)*(E2=E$1:E3255))))))</f>
        <v> </v>
      </c>
      <c r="K3256" s="25" t="str">
        <f>IF(OR(E3256="",E3256="!!!",F3256="NEW"),"",INDEX(J$1:J3255,SUMPRODUCT(MAX(ROW(E$1:E3255)*(E3256=E$1:E3255)))))</f>
        <v> </v>
      </c>
      <c r="L3256" s="26"/>
    </row>
    <row r="3257" spans="1:12">
      <c r="A3257" s="20" t="s">
        <v>1145</v>
      </c>
      <c r="E3257" s="21">
        <f>IF(D3257="?OLD","!!!","")</f>
        <v/>
      </c>
      <c r="F3257" s="22" t="str">
        <f>IF(OR(E3257="",E3257="!!!"),"",IF(NOT(ISNA(VLOOKUP(E3257,E$1:E3256,1,FALSE()))),"OLD",IF(AND(E3257&lt;&gt;"",E3257&lt;&gt;"!!!"),"NEW","")))</f>
        <v> </v>
      </c>
      <c r="G3257" s="23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4" t="str">
        <f>IF(J3257&lt;&gt;1,"",IF(I3257="SBJ","CB","?"))</f>
        <v> </v>
      </c>
      <c r="I3257" s="25" t="str">
        <f>IF(OR(E3257="",E3257="!!!",F3257="NEW"),"",INDEX(B3256:B$2,-1+SUMPRODUCT(MAX(ROW(E3256:E$2)*(E3257=E3256:E$2)))))</f>
        <v> </v>
      </c>
      <c r="J3257" s="25" t="str">
        <f>IF(OR(E3257="",E3257="!!!",F3257="NEW"),"",COUNTBLANK(OFFSET(A$1,,,SUMPRODUCT(MAX(ROW(E$2:E3257)*(E3257=E$2:E3257)))))-COUNTBLANK(OFFSET(A$1,,,SUMPRODUCT(MAX(ROW(E$1:E3256)*(E2=E$1:E3256))))))</f>
        <v> </v>
      </c>
      <c r="K3257" s="25" t="str">
        <f>IF(OR(E3257="",E3257="!!!",F3257="NEW"),"",INDEX(J$1:J3256,SUMPRODUCT(MAX(ROW(E$1:E3256)*(E3257=E$1:E3256)))))</f>
        <v> </v>
      </c>
      <c r="L3257" s="26"/>
    </row>
    <row r="3258" spans="1:12">
      <c r="A3258" s="20" t="s">
        <v>1145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1145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/>
    </row>
    <row r="3261" spans="1:12">
      <c r="A3261" s="20" t="s">
        <v>2601</v>
      </c>
    </row>
    <row r="3262" spans="1:12">
      <c r="A3262" s="20" t="s">
        <v>1547</v>
      </c>
      <c r="E3262" s="21">
        <f>IF(D3262="?OLD","!!!","")</f>
        <v/>
      </c>
      <c r="F3262" s="22" t="str">
        <f>IF(OR(E3262="",E3262="!!!"),"",IF(NOT(ISNA(VLOOKUP(E3262,E$1:E3261,1,FALSE()))),"OLD",IF(AND(E3262&lt;&gt;"",E3262&lt;&gt;"!!!"),"NEW","")))</f>
        <v> </v>
      </c>
      <c r="G3262" s="23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4" t="str">
        <f>IF(J3262&lt;&gt;1,"",IF(I3262="SBJ","CB","?"))</f>
        <v> </v>
      </c>
      <c r="I3262" s="25" t="str">
        <f>IF(OR(E3262="",E3262="!!!",F3262="NEW"),"",INDEX(B3261:B$2,-1+SUMPRODUCT(MAX(ROW(E3261:E$2)*(E3262=E3261:E$2)))))</f>
        <v> </v>
      </c>
      <c r="J3262" s="25" t="str">
        <f>IF(OR(E3262="",E3262="!!!",F3262="NEW"),"",COUNTBLANK(OFFSET(A$1,,,SUMPRODUCT(MAX(ROW(E$2:E3262)*(E3262=E$2:E3262)))))-COUNTBLANK(OFFSET(A$1,,,SUMPRODUCT(MAX(ROW(E$1:E3261)*(E2=E$1:E3261))))))</f>
        <v> </v>
      </c>
      <c r="K3262" s="25" t="str">
        <f>IF(OR(E3262="",E3262="!!!",F3262="NEW"),"",INDEX(J$1:J3261,SUMPRODUCT(MAX(ROW(E$1:E3261)*(E3262=E$1:E3261)))))</f>
        <v> </v>
      </c>
      <c r="L3262" s="26"/>
    </row>
    <row r="3263" spans="1:12">
      <c r="A3263" s="20" t="s">
        <v>1124</v>
      </c>
      <c r="B3263" s="27" t="s">
        <v>1149</v>
      </c>
      <c r="C3263" s="27" t="s">
        <v>1126</v>
      </c>
      <c r="D3263" s="27" t="s">
        <v>1105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2602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1198</v>
      </c>
      <c r="B3265" s="27" t="s">
        <v>1213</v>
      </c>
      <c r="C3265" s="27" t="s">
        <v>1126</v>
      </c>
      <c r="D3265" s="27" t="s">
        <v>1105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1123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 t="s">
        <v>1228</v>
      </c>
      <c r="B3267" s="27" t="s">
        <v>1122</v>
      </c>
      <c r="C3267" s="27" t="s">
        <v>1126</v>
      </c>
      <c r="D3267" s="27" t="s">
        <v>1105</v>
      </c>
      <c r="E3267" s="21">
        <f>IF(D3267="?OLD","!!!","")</f>
        <v/>
      </c>
      <c r="F3267" s="22" t="str">
        <f>IF(OR(E3267="",E3267="!!!"),"",IF(NOT(ISNA(VLOOKUP(E3267,E$1:E3266,1,FALSE()))),"OLD",IF(AND(E3267&lt;&gt;"",E3267&lt;&gt;"!!!"),"NEW","")))</f>
        <v> </v>
      </c>
      <c r="G3267" s="23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4" t="str">
        <f>IF(J3267&lt;&gt;1,"",IF(I3267="SBJ","CB","?"))</f>
        <v> </v>
      </c>
      <c r="I3267" s="25" t="str">
        <f>IF(OR(E3267="",E3267="!!!",F3267="NEW"),"",INDEX(B3266:B$2,-1+SUMPRODUCT(MAX(ROW(E3266:E$2)*(E3267=E3266:E$2)))))</f>
        <v> </v>
      </c>
      <c r="J3267" s="25" t="str">
        <f>IF(OR(E3267="",E3267="!!!",F3267="NEW"),"",COUNTBLANK(OFFSET(A$1,,,SUMPRODUCT(MAX(ROW(E$2:E3267)*(E3267=E$2:E3267)))))-COUNTBLANK(OFFSET(A$1,,,SUMPRODUCT(MAX(ROW(E$1:E3266)*(E2=E$1:E3266))))))</f>
        <v> </v>
      </c>
      <c r="K3267" s="25" t="str">
        <f>IF(OR(E3267="",E3267="!!!",F3267="NEW"),"",INDEX(J$1:J3266,SUMPRODUCT(MAX(ROW(E$1:E3266)*(E3267=E$1:E3266)))))</f>
        <v> </v>
      </c>
      <c r="L3267" s="26"/>
    </row>
    <row r="3268" spans="1:12">
      <c r="A3268" s="20" t="s">
        <v>1309</v>
      </c>
      <c r="E3268" s="21">
        <f>IF(D3268="?OLD","!!!","")</f>
        <v/>
      </c>
      <c r="F3268" s="22" t="str">
        <f>IF(OR(E3268="",E3268="!!!"),"",IF(NOT(ISNA(VLOOKUP(E3268,E$1:E3267,1,FALSE()))),"OLD",IF(AND(E3268&lt;&gt;"",E3268&lt;&gt;"!!!"),"NEW","")))</f>
        <v> </v>
      </c>
      <c r="G3268" s="23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4" t="str">
        <f>IF(J3268&lt;&gt;1,"",IF(I3268="SBJ","CB","?"))</f>
        <v> </v>
      </c>
      <c r="I3268" s="25" t="str">
        <f>IF(OR(E3268="",E3268="!!!",F3268="NEW"),"",INDEX(B3267:B$2,-1+SUMPRODUCT(MAX(ROW(E3267:E$2)*(E3268=E3267:E$2)))))</f>
        <v> </v>
      </c>
      <c r="J3268" s="25" t="str">
        <f>IF(OR(E3268="",E3268="!!!",F3268="NEW"),"",COUNTBLANK(OFFSET(A$1,,,SUMPRODUCT(MAX(ROW(E$2:E3268)*(E3268=E$2:E3268)))))-COUNTBLANK(OFFSET(A$1,,,SUMPRODUCT(MAX(ROW(E$1:E3267)*(E2=E$1:E3267))))))</f>
        <v> </v>
      </c>
      <c r="K3268" s="25" t="str">
        <f>IF(OR(E3268="",E3268="!!!",F3268="NEW"),"",INDEX(J$1:J3267,SUMPRODUCT(MAX(ROW(E$1:E3267)*(E3268=E$1:E3267)))))</f>
        <v> </v>
      </c>
      <c r="L3268" s="26"/>
    </row>
    <row r="3269" spans="1:12">
      <c r="A3269" s="20" t="s">
        <v>2603</v>
      </c>
      <c r="E3269" s="21">
        <f>IF(D3269="?OLD","!!!","")</f>
        <v/>
      </c>
      <c r="F3269" s="22" t="str">
        <f>IF(OR(E3269="",E3269="!!!"),"",IF(NOT(ISNA(VLOOKUP(E3269,E$1:E3268,1,FALSE()))),"OLD",IF(AND(E3269&lt;&gt;"",E3269&lt;&gt;"!!!"),"NEW","")))</f>
        <v> </v>
      </c>
      <c r="G3269" s="23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4" t="str">
        <f>IF(J3269&lt;&gt;1,"",IF(I3269="SBJ","CB","?"))</f>
        <v> </v>
      </c>
      <c r="I3269" s="25" t="str">
        <f>IF(OR(E3269="",E3269="!!!",F3269="NEW"),"",INDEX(B3268:B$2,-1+SUMPRODUCT(MAX(ROW(E3268:E$2)*(E3269=E3268:E$2)))))</f>
        <v> </v>
      </c>
      <c r="J3269" s="25" t="str">
        <f>IF(OR(E3269="",E3269="!!!",F3269="NEW"),"",COUNTBLANK(OFFSET(A$1,,,SUMPRODUCT(MAX(ROW(E$2:E3269)*(E3269=E$2:E3269)))))-COUNTBLANK(OFFSET(A$1,,,SUMPRODUCT(MAX(ROW(E$1:E3268)*(E2=E$1:E3268))))))</f>
        <v> </v>
      </c>
      <c r="K3269" s="25" t="str">
        <f>IF(OR(E3269="",E3269="!!!",F3269="NEW"),"",INDEX(J$1:J3268,SUMPRODUCT(MAX(ROW(E$1:E3268)*(E3269=E$1:E3268)))))</f>
        <v> </v>
      </c>
      <c r="L3269" s="26"/>
    </row>
    <row r="3270" spans="1:12">
      <c r="A3270" s="20" t="s">
        <v>1184</v>
      </c>
      <c r="E3270" s="21">
        <f>IF(D3270="?OLD","!!!","")</f>
        <v/>
      </c>
      <c r="F3270" s="22" t="str">
        <f>IF(OR(E3270="",E3270="!!!"),"",IF(NOT(ISNA(VLOOKUP(E3270,E$1:E3269,1,FALSE()))),"OLD",IF(AND(E3270&lt;&gt;"",E3270&lt;&gt;"!!!"),"NEW","")))</f>
        <v> </v>
      </c>
      <c r="G3270" s="23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4" t="str">
        <f>IF(J3270&lt;&gt;1,"",IF(I3270="SBJ","CB","?"))</f>
        <v> </v>
      </c>
      <c r="I3270" s="25" t="str">
        <f>IF(OR(E3270="",E3270="!!!",F3270="NEW"),"",INDEX(B3269:B$2,-1+SUMPRODUCT(MAX(ROW(E3269:E$2)*(E3270=E3269:E$2)))))</f>
        <v> </v>
      </c>
      <c r="J3270" s="25" t="str">
        <f>IF(OR(E3270="",E3270="!!!",F3270="NEW"),"",COUNTBLANK(OFFSET(A$1,,,SUMPRODUCT(MAX(ROW(E$2:E3270)*(E3270=E$2:E3270)))))-COUNTBLANK(OFFSET(A$1,,,SUMPRODUCT(MAX(ROW(E$1:E3269)*(E2=E$1:E3269))))))</f>
        <v> </v>
      </c>
      <c r="K3270" s="25" t="str">
        <f>IF(OR(E3270="",E3270="!!!",F3270="NEW"),"",INDEX(J$1:J3269,SUMPRODUCT(MAX(ROW(E$1:E3269)*(E3270=E$1:E3269)))))</f>
        <v> </v>
      </c>
      <c r="L3270" s="26"/>
    </row>
    <row r="3271" spans="1:12">
      <c r="A3271" s="20" t="s">
        <v>1186</v>
      </c>
      <c r="B3271" s="27" t="s">
        <v>1110</v>
      </c>
      <c r="C3271" s="27" t="s">
        <v>1142</v>
      </c>
      <c r="D3271" s="27" t="s">
        <v>1105</v>
      </c>
      <c r="E3271" s="21">
        <f>IF(D3271="?OLD","!!!","")</f>
        <v/>
      </c>
      <c r="F3271" s="22" t="str">
        <f>IF(OR(E3271="",E3271="!!!"),"",IF(NOT(ISNA(VLOOKUP(E3271,E$1:E3270,1,FALSE()))),"OLD",IF(AND(E3271&lt;&gt;"",E3271&lt;&gt;"!!!"),"NEW","")))</f>
        <v> </v>
      </c>
      <c r="G3271" s="23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4" t="str">
        <f>IF(J3271&lt;&gt;1,"",IF(I3271="SBJ","CB","?"))</f>
        <v> </v>
      </c>
      <c r="I3271" s="25" t="str">
        <f>IF(OR(E3271="",E3271="!!!",F3271="NEW"),"",INDEX(B3270:B$2,-1+SUMPRODUCT(MAX(ROW(E3270:E$2)*(E3271=E3270:E$2)))))</f>
        <v> </v>
      </c>
      <c r="J3271" s="25" t="str">
        <f>IF(OR(E3271="",E3271="!!!",F3271="NEW"),"",COUNTBLANK(OFFSET(A$1,,,SUMPRODUCT(MAX(ROW(E$2:E3271)*(E3271=E$2:E3271)))))-COUNTBLANK(OFFSET(A$1,,,SUMPRODUCT(MAX(ROW(E$1:E3270)*(E2=E$1:E3270))))))</f>
        <v> </v>
      </c>
      <c r="K3271" s="25" t="str">
        <f>IF(OR(E3271="",E3271="!!!",F3271="NEW"),"",INDEX(J$1:J3270,SUMPRODUCT(MAX(ROW(E$1:E3270)*(E3271=E$1:E3270)))))</f>
        <v> </v>
      </c>
      <c r="L3271" s="26"/>
    </row>
    <row r="3272" spans="1:12">
      <c r="A3272" s="20" t="s">
        <v>2604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1351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/>
    </row>
    <row r="3275" spans="1:12">
      <c r="A3275" s="20" t="s">
        <v>2605</v>
      </c>
    </row>
    <row r="3276" spans="1:12">
      <c r="A3276" s="20" t="s">
        <v>1111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 t="s">
        <v>2578</v>
      </c>
      <c r="B3277" s="27" t="s">
        <v>1149</v>
      </c>
      <c r="C3277" s="27" t="s">
        <v>1126</v>
      </c>
      <c r="D3277" s="27" t="s">
        <v>1105</v>
      </c>
      <c r="E3277" s="21">
        <f>IF(D3277="?OLD","!!!","")</f>
        <v/>
      </c>
      <c r="F3277" s="22" t="str">
        <f>IF(OR(E3277="",E3277="!!!"),"",IF(NOT(ISNA(VLOOKUP(E3277,E$1:E3276,1,FALSE()))),"OLD",IF(AND(E3277&lt;&gt;"",E3277&lt;&gt;"!!!"),"NEW","")))</f>
        <v> </v>
      </c>
      <c r="G3277" s="23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4" t="str">
        <f>IF(J3277&lt;&gt;1,"",IF(I3277="SBJ","CB","?"))</f>
        <v> </v>
      </c>
      <c r="I3277" s="25" t="str">
        <f>IF(OR(E3277="",E3277="!!!",F3277="NEW"),"",INDEX(B3276:B$2,-1+SUMPRODUCT(MAX(ROW(E3276:E$2)*(E3277=E3276:E$2)))))</f>
        <v> </v>
      </c>
      <c r="J3277" s="25" t="str">
        <f>IF(OR(E3277="",E3277="!!!",F3277="NEW"),"",COUNTBLANK(OFFSET(A$1,,,SUMPRODUCT(MAX(ROW(E$2:E3277)*(E3277=E$2:E3277)))))-COUNTBLANK(OFFSET(A$1,,,SUMPRODUCT(MAX(ROW(E$1:E3276)*(E2=E$1:E3276))))))</f>
        <v> </v>
      </c>
      <c r="K3277" s="25" t="str">
        <f>IF(OR(E3277="",E3277="!!!",F3277="NEW"),"",INDEX(J$1:J3276,SUMPRODUCT(MAX(ROW(E$1:E3276)*(E3277=E$1:E3276)))))</f>
        <v> </v>
      </c>
      <c r="L3277" s="26"/>
    </row>
    <row r="3278" spans="1:12">
      <c r="A3278" s="20" t="s">
        <v>1134</v>
      </c>
      <c r="E3278" s="21">
        <f>IF(D3278="?OLD","!!!","")</f>
        <v/>
      </c>
      <c r="F3278" s="22" t="str">
        <f>IF(OR(E3278="",E3278="!!!"),"",IF(NOT(ISNA(VLOOKUP(E3278,E$1:E3277,1,FALSE()))),"OLD",IF(AND(E3278&lt;&gt;"",E3278&lt;&gt;"!!!"),"NEW","")))</f>
        <v> </v>
      </c>
      <c r="G3278" s="23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4" t="str">
        <f>IF(J3278&lt;&gt;1,"",IF(I3278="SBJ","CB","?"))</f>
        <v> </v>
      </c>
      <c r="I3278" s="25" t="str">
        <f>IF(OR(E3278="",E3278="!!!",F3278="NEW"),"",INDEX(B3277:B$2,-1+SUMPRODUCT(MAX(ROW(E3277:E$2)*(E3278=E3277:E$2)))))</f>
        <v> </v>
      </c>
      <c r="J3278" s="25" t="str">
        <f>IF(OR(E3278="",E3278="!!!",F3278="NEW"),"",COUNTBLANK(OFFSET(A$1,,,SUMPRODUCT(MAX(ROW(E$2:E3278)*(E3278=E$2:E3278)))))-COUNTBLANK(OFFSET(A$1,,,SUMPRODUCT(MAX(ROW(E$1:E3277)*(E2=E$1:E3277))))))</f>
        <v> </v>
      </c>
      <c r="K3278" s="25" t="str">
        <f>IF(OR(E3278="",E3278="!!!",F3278="NEW"),"",INDEX(J$1:J3277,SUMPRODUCT(MAX(ROW(E$1:E3277)*(E3278=E$1:E3277)))))</f>
        <v> </v>
      </c>
      <c r="L3278" s="26"/>
    </row>
    <row r="3279" spans="1:12">
      <c r="A3279" s="20" t="s">
        <v>2606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 t="s">
        <v>1128</v>
      </c>
      <c r="E3280" s="21">
        <f>IF(D3280="?OLD","!!!","")</f>
        <v/>
      </c>
      <c r="F3280" s="22" t="str">
        <f>IF(OR(E3280="",E3280="!!!"),"",IF(NOT(ISNA(VLOOKUP(E3280,E$1:E3279,1,FALSE()))),"OLD",IF(AND(E3280&lt;&gt;"",E3280&lt;&gt;"!!!"),"NEW","")))</f>
        <v> </v>
      </c>
      <c r="G3280" s="23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4" t="str">
        <f>IF(J3280&lt;&gt;1,"",IF(I3280="SBJ","CB","?"))</f>
        <v> </v>
      </c>
      <c r="I3280" s="25" t="str">
        <f>IF(OR(E3280="",E3280="!!!",F3280="NEW"),"",INDEX(B3279:B$2,-1+SUMPRODUCT(MAX(ROW(E3279:E$2)*(E3280=E3279:E$2)))))</f>
        <v> </v>
      </c>
      <c r="J3280" s="25" t="str">
        <f>IF(OR(E3280="",E3280="!!!",F3280="NEW"),"",COUNTBLANK(OFFSET(A$1,,,SUMPRODUCT(MAX(ROW(E$2:E3280)*(E3280=E$2:E3280)))))-COUNTBLANK(OFFSET(A$1,,,SUMPRODUCT(MAX(ROW(E$1:E3279)*(E2=E$1:E3279))))))</f>
        <v> </v>
      </c>
      <c r="K3280" s="25" t="str">
        <f>IF(OR(E3280="",E3280="!!!",F3280="NEW"),"",INDEX(J$1:J3279,SUMPRODUCT(MAX(ROW(E$1:E3279)*(E3280=E$1:E3279)))))</f>
        <v> </v>
      </c>
      <c r="L3280" s="26"/>
    </row>
    <row r="3281" spans="1:12">
      <c r="A3281" s="20" t="s">
        <v>2607</v>
      </c>
      <c r="E3281" s="21">
        <f>IF(D3281="?OLD","!!!","")</f>
        <v/>
      </c>
      <c r="F3281" s="22" t="str">
        <f>IF(OR(E3281="",E3281="!!!"),"",IF(NOT(ISNA(VLOOKUP(E3281,E$1:E3280,1,FALSE()))),"OLD",IF(AND(E3281&lt;&gt;"",E3281&lt;&gt;"!!!"),"NEW","")))</f>
        <v> </v>
      </c>
      <c r="G3281" s="23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4" t="str">
        <f>IF(J3281&lt;&gt;1,"",IF(I3281="SBJ","CB","?"))</f>
        <v> </v>
      </c>
      <c r="I3281" s="25" t="str">
        <f>IF(OR(E3281="",E3281="!!!",F3281="NEW"),"",INDEX(B3280:B$2,-1+SUMPRODUCT(MAX(ROW(E3280:E$2)*(E3281=E3280:E$2)))))</f>
        <v> </v>
      </c>
      <c r="J3281" s="25" t="str">
        <f>IF(OR(E3281="",E3281="!!!",F3281="NEW"),"",COUNTBLANK(OFFSET(A$1,,,SUMPRODUCT(MAX(ROW(E$2:E3281)*(E3281=E$2:E3281)))))-COUNTBLANK(OFFSET(A$1,,,SUMPRODUCT(MAX(ROW(E$1:E3280)*(E2=E$1:E3280))))))</f>
        <v> </v>
      </c>
      <c r="K3281" s="25" t="str">
        <f>IF(OR(E3281="",E3281="!!!",F3281="NEW"),"",INDEX(J$1:J3280,SUMPRODUCT(MAX(ROW(E$1:E3280)*(E3281=E$1:E3280)))))</f>
        <v> </v>
      </c>
      <c r="L3281" s="26"/>
    </row>
    <row r="3282" spans="1:12">
      <c r="A3282" s="20" t="s">
        <v>1145</v>
      </c>
      <c r="E3282" s="21">
        <f>IF(D3282="?OLD","!!!","")</f>
        <v/>
      </c>
      <c r="F3282" s="22" t="str">
        <f>IF(OR(E3282="",E3282="!!!"),"",IF(NOT(ISNA(VLOOKUP(E3282,E$1:E3281,1,FALSE()))),"OLD",IF(AND(E3282&lt;&gt;"",E3282&lt;&gt;"!!!"),"NEW","")))</f>
        <v> </v>
      </c>
      <c r="G3282" s="23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4" t="str">
        <f>IF(J3282&lt;&gt;1,"",IF(I3282="SBJ","CB","?"))</f>
        <v> </v>
      </c>
      <c r="I3282" s="25" t="str">
        <f>IF(OR(E3282="",E3282="!!!",F3282="NEW"),"",INDEX(B3281:B$2,-1+SUMPRODUCT(MAX(ROW(E3281:E$2)*(E3282=E3281:E$2)))))</f>
        <v> </v>
      </c>
      <c r="J3282" s="25" t="str">
        <f>IF(OR(E3282="",E3282="!!!",F3282="NEW"),"",COUNTBLANK(OFFSET(A$1,,,SUMPRODUCT(MAX(ROW(E$2:E3282)*(E3282=E$2:E3282)))))-COUNTBLANK(OFFSET(A$1,,,SUMPRODUCT(MAX(ROW(E$1:E3281)*(E2=E$1:E3281))))))</f>
        <v> </v>
      </c>
      <c r="K3282" s="25" t="str">
        <f>IF(OR(E3282="",E3282="!!!",F3282="NEW"),"",INDEX(J$1:J3281,SUMPRODUCT(MAX(ROW(E$1:E3281)*(E3282=E$1:E3281)))))</f>
        <v> </v>
      </c>
      <c r="L3282" s="26"/>
    </row>
    <row r="3283" spans="1:12">
      <c r="A3283" s="20"/>
    </row>
    <row r="3284" spans="1:12">
      <c r="A3284" s="20" t="s">
        <v>2608</v>
      </c>
    </row>
    <row r="3285" spans="1:12">
      <c r="A3285" s="20" t="s">
        <v>1111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1436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1123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 t="s">
        <v>2556</v>
      </c>
      <c r="B3288" s="27" t="s">
        <v>1149</v>
      </c>
      <c r="E3288" s="21">
        <f>IF(D3288="?OLD","!!!","")</f>
        <v/>
      </c>
      <c r="F3288" s="22" t="str">
        <f>IF(OR(E3288="",E3288="!!!"),"",IF(NOT(ISNA(VLOOKUP(E3288,E$1:E3287,1,FALSE()))),"OLD",IF(AND(E3288&lt;&gt;"",E3288&lt;&gt;"!!!"),"NEW","")))</f>
        <v> </v>
      </c>
      <c r="G3288" s="23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4" t="str">
        <f>IF(J3288&lt;&gt;1,"",IF(I3288="SBJ","CB","?"))</f>
        <v> </v>
      </c>
      <c r="I3288" s="25" t="str">
        <f>IF(OR(E3288="",E3288="!!!",F3288="NEW"),"",INDEX(B3287:B$2,-1+SUMPRODUCT(MAX(ROW(E3287:E$2)*(E3288=E3287:E$2)))))</f>
        <v> </v>
      </c>
      <c r="J3288" s="25" t="str">
        <f>IF(OR(E3288="",E3288="!!!",F3288="NEW"),"",COUNTBLANK(OFFSET(A$1,,,SUMPRODUCT(MAX(ROW(E$2:E3288)*(E3288=E$2:E3288)))))-COUNTBLANK(OFFSET(A$1,,,SUMPRODUCT(MAX(ROW(E$1:E3287)*(E2=E$1:E3287))))))</f>
        <v> </v>
      </c>
      <c r="K3288" s="25" t="str">
        <f>IF(OR(E3288="",E3288="!!!",F3288="NEW"),"",INDEX(J$1:J3287,SUMPRODUCT(MAX(ROW(E$1:E3287)*(E3288=E$1:E3287)))))</f>
        <v> </v>
      </c>
      <c r="L3288" s="26"/>
    </row>
    <row r="3289" spans="1:12">
      <c r="A3289" s="20" t="s">
        <v>1123</v>
      </c>
      <c r="E3289" s="21">
        <f>IF(D3289="?OLD","!!!","")</f>
        <v/>
      </c>
      <c r="F3289" s="22" t="str">
        <f>IF(OR(E3289="",E3289="!!!"),"",IF(NOT(ISNA(VLOOKUP(E3289,E$1:E3288,1,FALSE()))),"OLD",IF(AND(E3289&lt;&gt;"",E3289&lt;&gt;"!!!"),"NEW","")))</f>
        <v> </v>
      </c>
      <c r="G3289" s="23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4" t="str">
        <f>IF(J3289&lt;&gt;1,"",IF(I3289="SBJ","CB","?"))</f>
        <v> </v>
      </c>
      <c r="I3289" s="25" t="str">
        <f>IF(OR(E3289="",E3289="!!!",F3289="NEW"),"",INDEX(B3288:B$2,-1+SUMPRODUCT(MAX(ROW(E3288:E$2)*(E3289=E3288:E$2)))))</f>
        <v> </v>
      </c>
      <c r="J3289" s="25" t="str">
        <f>IF(OR(E3289="",E3289="!!!",F3289="NEW"),"",COUNTBLANK(OFFSET(A$1,,,SUMPRODUCT(MAX(ROW(E$2:E3289)*(E3289=E$2:E3289)))))-COUNTBLANK(OFFSET(A$1,,,SUMPRODUCT(MAX(ROW(E$1:E3288)*(E2=E$1:E3288))))))</f>
        <v> </v>
      </c>
      <c r="K3289" s="25" t="str">
        <f>IF(OR(E3289="",E3289="!!!",F3289="NEW"),"",INDEX(J$1:J3288,SUMPRODUCT(MAX(ROW(E$1:E3288)*(E3289=E$1:E3288)))))</f>
        <v> </v>
      </c>
      <c r="L3289" s="26"/>
    </row>
    <row r="3290" spans="1:12">
      <c r="A3290" s="20" t="s">
        <v>1318</v>
      </c>
      <c r="E3290" s="21">
        <f>IF(D3290="?OLD","!!!","")</f>
        <v/>
      </c>
      <c r="F3290" s="22" t="str">
        <f>IF(OR(E3290="",E3290="!!!"),"",IF(NOT(ISNA(VLOOKUP(E3290,E$1:E3289,1,FALSE()))),"OLD",IF(AND(E3290&lt;&gt;"",E3290&lt;&gt;"!!!"),"NEW","")))</f>
        <v> </v>
      </c>
      <c r="G3290" s="23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4" t="str">
        <f>IF(J3290&lt;&gt;1,"",IF(I3290="SBJ","CB","?"))</f>
        <v> </v>
      </c>
      <c r="I3290" s="25" t="str">
        <f>IF(OR(E3290="",E3290="!!!",F3290="NEW"),"",INDEX(B3289:B$2,-1+SUMPRODUCT(MAX(ROW(E3289:E$2)*(E3290=E3289:E$2)))))</f>
        <v> </v>
      </c>
      <c r="J3290" s="25" t="str">
        <f>IF(OR(E3290="",E3290="!!!",F3290="NEW"),"",COUNTBLANK(OFFSET(A$1,,,SUMPRODUCT(MAX(ROW(E$2:E3290)*(E3290=E$2:E3290)))))-COUNTBLANK(OFFSET(A$1,,,SUMPRODUCT(MAX(ROW(E$1:E3289)*(E2=E$1:E3289))))))</f>
        <v> </v>
      </c>
      <c r="K3290" s="25" t="str">
        <f>IF(OR(E3290="",E3290="!!!",F3290="NEW"),"",INDEX(J$1:J3289,SUMPRODUCT(MAX(ROW(E$1:E3289)*(E3290=E$1:E3289)))))</f>
        <v> </v>
      </c>
      <c r="L3290" s="26"/>
    </row>
    <row r="3291" spans="1:12">
      <c r="A3291" s="20" t="s">
        <v>1408</v>
      </c>
      <c r="B3291" s="27" t="s">
        <v>1103</v>
      </c>
      <c r="C3291" s="27" t="s">
        <v>1126</v>
      </c>
      <c r="D3291" s="27" t="s">
        <v>1105</v>
      </c>
      <c r="E3291" s="21">
        <f>IF(D3291="?OLD","!!!","")</f>
        <v/>
      </c>
      <c r="F3291" s="22" t="str">
        <f>IF(OR(E3291="",E3291="!!!"),"",IF(NOT(ISNA(VLOOKUP(E3291,E$1:E3290,1,FALSE()))),"OLD",IF(AND(E3291&lt;&gt;"",E3291&lt;&gt;"!!!"),"NEW","")))</f>
        <v> </v>
      </c>
      <c r="G3291" s="23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4" t="str">
        <f>IF(J3291&lt;&gt;1,"",IF(I3291="SBJ","CB","?"))</f>
        <v> </v>
      </c>
      <c r="I3291" s="25" t="str">
        <f>IF(OR(E3291="",E3291="!!!",F3291="NEW"),"",INDEX(B3290:B$2,-1+SUMPRODUCT(MAX(ROW(E3290:E$2)*(E3291=E3290:E$2)))))</f>
        <v> </v>
      </c>
      <c r="J3291" s="25" t="str">
        <f>IF(OR(E3291="",E3291="!!!",F3291="NEW"),"",COUNTBLANK(OFFSET(A$1,,,SUMPRODUCT(MAX(ROW(E$2:E3291)*(E3291=E$2:E3291)))))-COUNTBLANK(OFFSET(A$1,,,SUMPRODUCT(MAX(ROW(E$1:E3290)*(E2=E$1:E3290))))))</f>
        <v> </v>
      </c>
      <c r="K3291" s="25" t="str">
        <f>IF(OR(E3291="",E3291="!!!",F3291="NEW"),"",INDEX(J$1:J3290,SUMPRODUCT(MAX(ROW(E$1:E3290)*(E3291=E$1:E3290)))))</f>
        <v> </v>
      </c>
      <c r="L3291" s="26"/>
    </row>
    <row r="3292" spans="1:12">
      <c r="A3292" s="20" t="s">
        <v>224</v>
      </c>
      <c r="E3292" s="21">
        <f>IF(D3292="?OLD","!!!","")</f>
        <v/>
      </c>
      <c r="F3292" s="22" t="str">
        <f>IF(OR(E3292="",E3292="!!!"),"",IF(NOT(ISNA(VLOOKUP(E3292,E$1:E3291,1,FALSE()))),"OLD",IF(AND(E3292&lt;&gt;"",E3292&lt;&gt;"!!!"),"NEW","")))</f>
        <v> </v>
      </c>
      <c r="G3292" s="23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4" t="str">
        <f>IF(J3292&lt;&gt;1,"",IF(I3292="SBJ","CB","?"))</f>
        <v> </v>
      </c>
      <c r="I3292" s="25" t="str">
        <f>IF(OR(E3292="",E3292="!!!",F3292="NEW"),"",INDEX(B3291:B$2,-1+SUMPRODUCT(MAX(ROW(E3291:E$2)*(E3292=E3291:E$2)))))</f>
        <v> </v>
      </c>
      <c r="J3292" s="25" t="str">
        <f>IF(OR(E3292="",E3292="!!!",F3292="NEW"),"",COUNTBLANK(OFFSET(A$1,,,SUMPRODUCT(MAX(ROW(E$2:E3292)*(E3292=E$2:E3292)))))-COUNTBLANK(OFFSET(A$1,,,SUMPRODUCT(MAX(ROW(E$1:E3291)*(E2=E$1:E3291))))))</f>
        <v> </v>
      </c>
      <c r="K3292" s="25" t="str">
        <f>IF(OR(E3292="",E3292="!!!",F3292="NEW"),"",INDEX(J$1:J3291,SUMPRODUCT(MAX(ROW(E$1:E3291)*(E3292=E$1:E3291)))))</f>
        <v> </v>
      </c>
      <c r="L3292" s="26"/>
    </row>
    <row r="3293" spans="1:12">
      <c r="A3293" s="20" t="s">
        <v>2609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2610</v>
      </c>
      <c r="B3294" s="27" t="s">
        <v>1149</v>
      </c>
      <c r="C3294" s="27" t="s">
        <v>1289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 t="s">
        <v>2611</v>
      </c>
      <c r="E3295" s="21">
        <f>IF(D3295="?OLD","!!!","")</f>
        <v/>
      </c>
      <c r="F3295" s="22" t="str">
        <f>IF(OR(E3295="",E3295="!!!"),"",IF(NOT(ISNA(VLOOKUP(E3295,E$1:E3294,1,FALSE()))),"OLD",IF(AND(E3295&lt;&gt;"",E3295&lt;&gt;"!!!"),"NEW","")))</f>
        <v> </v>
      </c>
      <c r="G3295" s="23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4" t="str">
        <f>IF(J3295&lt;&gt;1,"",IF(I3295="SBJ","CB","?"))</f>
        <v> </v>
      </c>
      <c r="I3295" s="25" t="str">
        <f>IF(OR(E3295="",E3295="!!!",F3295="NEW"),"",INDEX(B3294:B$2,-1+SUMPRODUCT(MAX(ROW(E3294:E$2)*(E3295=E3294:E$2)))))</f>
        <v> </v>
      </c>
      <c r="J3295" s="25" t="str">
        <f>IF(OR(E3295="",E3295="!!!",F3295="NEW"),"",COUNTBLANK(OFFSET(A$1,,,SUMPRODUCT(MAX(ROW(E$2:E3295)*(E3295=E$2:E3295)))))-COUNTBLANK(OFFSET(A$1,,,SUMPRODUCT(MAX(ROW(E$1:E3294)*(E2=E$1:E3294))))))</f>
        <v> </v>
      </c>
      <c r="K3295" s="25" t="str">
        <f>IF(OR(E3295="",E3295="!!!",F3295="NEW"),"",INDEX(J$1:J3294,SUMPRODUCT(MAX(ROW(E$1:E3294)*(E3295=E$1:E3294)))))</f>
        <v> </v>
      </c>
      <c r="L3295" s="26"/>
    </row>
    <row r="3296" spans="1:12">
      <c r="A3296" s="20" t="s">
        <v>1166</v>
      </c>
      <c r="B3296" s="27" t="s">
        <v>1115</v>
      </c>
      <c r="C3296" s="27" t="s">
        <v>1126</v>
      </c>
      <c r="D3296" s="27" t="s">
        <v>1105</v>
      </c>
      <c r="E3296" s="21">
        <f>IF(D3296="?OLD","!!!","")</f>
        <v/>
      </c>
      <c r="F3296" s="22" t="str">
        <f>IF(OR(E3296="",E3296="!!!"),"",IF(NOT(ISNA(VLOOKUP(E3296,E$1:E3295,1,FALSE()))),"OLD",IF(AND(E3296&lt;&gt;"",E3296&lt;&gt;"!!!"),"NEW","")))</f>
        <v> </v>
      </c>
      <c r="G3296" s="23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4" t="str">
        <f>IF(J3296&lt;&gt;1,"",IF(I3296="SBJ","CB","?"))</f>
        <v> </v>
      </c>
      <c r="I3296" s="25" t="str">
        <f>IF(OR(E3296="",E3296="!!!",F3296="NEW"),"",INDEX(B3295:B$2,-1+SUMPRODUCT(MAX(ROW(E3295:E$2)*(E3296=E3295:E$2)))))</f>
        <v> </v>
      </c>
      <c r="J3296" s="25" t="str">
        <f>IF(OR(E3296="",E3296="!!!",F3296="NEW"),"",COUNTBLANK(OFFSET(A$1,,,SUMPRODUCT(MAX(ROW(E$2:E3296)*(E3296=E$2:E3296)))))-COUNTBLANK(OFFSET(A$1,,,SUMPRODUCT(MAX(ROW(E$1:E3295)*(E2=E$1:E3295))))))</f>
        <v> </v>
      </c>
      <c r="K3296" s="25" t="str">
        <f>IF(OR(E3296="",E3296="!!!",F3296="NEW"),"",INDEX(J$1:J3295,SUMPRODUCT(MAX(ROW(E$1:E3295)*(E3296=E$1:E3295)))))</f>
        <v> </v>
      </c>
      <c r="L3296" s="26"/>
    </row>
    <row r="3297" spans="1:12">
      <c r="A3297" s="20" t="s">
        <v>2612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1123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 t="s">
        <v>1111</v>
      </c>
      <c r="E3299" s="21">
        <f>IF(D3299="?OLD","!!!","")</f>
        <v/>
      </c>
      <c r="F3299" s="22" t="str">
        <f>IF(OR(E3299="",E3299="!!!"),"",IF(NOT(ISNA(VLOOKUP(E3299,E$1:E3298,1,FALSE()))),"OLD",IF(AND(E3299&lt;&gt;"",E3299&lt;&gt;"!!!"),"NEW","")))</f>
        <v> </v>
      </c>
      <c r="G3299" s="23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4" t="str">
        <f>IF(J3299&lt;&gt;1,"",IF(I3299="SBJ","CB","?"))</f>
        <v> </v>
      </c>
      <c r="I3299" s="25" t="str">
        <f>IF(OR(E3299="",E3299="!!!",F3299="NEW"),"",INDEX(B3298:B$2,-1+SUMPRODUCT(MAX(ROW(E3298:E$2)*(E3299=E3298:E$2)))))</f>
        <v> </v>
      </c>
      <c r="J3299" s="25" t="str">
        <f>IF(OR(E3299="",E3299="!!!",F3299="NEW"),"",COUNTBLANK(OFFSET(A$1,,,SUMPRODUCT(MAX(ROW(E$2:E3299)*(E3299=E$2:E3299)))))-COUNTBLANK(OFFSET(A$1,,,SUMPRODUCT(MAX(ROW(E$1:E3298)*(E2=E$1:E3298))))))</f>
        <v> </v>
      </c>
      <c r="K3299" s="25" t="str">
        <f>IF(OR(E3299="",E3299="!!!",F3299="NEW"),"",INDEX(J$1:J3298,SUMPRODUCT(MAX(ROW(E$1:E3298)*(E3299=E$1:E3298)))))</f>
        <v> </v>
      </c>
      <c r="L3299" s="26"/>
    </row>
    <row r="3300" spans="1:12">
      <c r="A3300" s="20" t="s">
        <v>1425</v>
      </c>
      <c r="E3300" s="21">
        <f>IF(D3300="?OLD","!!!","")</f>
        <v/>
      </c>
      <c r="F3300" s="22" t="str">
        <f>IF(OR(E3300="",E3300="!!!"),"",IF(NOT(ISNA(VLOOKUP(E3300,E$1:E3299,1,FALSE()))),"OLD",IF(AND(E3300&lt;&gt;"",E3300&lt;&gt;"!!!"),"NEW","")))</f>
        <v> </v>
      </c>
      <c r="G3300" s="23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4" t="str">
        <f>IF(J3300&lt;&gt;1,"",IF(I3300="SBJ","CB","?"))</f>
        <v> </v>
      </c>
      <c r="I3300" s="25" t="str">
        <f>IF(OR(E3300="",E3300="!!!",F3300="NEW"),"",INDEX(B3299:B$2,-1+SUMPRODUCT(MAX(ROW(E3299:E$2)*(E3300=E3299:E$2)))))</f>
        <v> </v>
      </c>
      <c r="J3300" s="25" t="str">
        <f>IF(OR(E3300="",E3300="!!!",F3300="NEW"),"",COUNTBLANK(OFFSET(A$1,,,SUMPRODUCT(MAX(ROW(E$2:E3300)*(E3300=E$2:E3300)))))-COUNTBLANK(OFFSET(A$1,,,SUMPRODUCT(MAX(ROW(E$1:E3299)*(E2=E$1:E3299))))))</f>
        <v> </v>
      </c>
      <c r="K3300" s="25" t="str">
        <f>IF(OR(E3300="",E3300="!!!",F3300="NEW"),"",INDEX(J$1:J3299,SUMPRODUCT(MAX(ROW(E$1:E3299)*(E3300=E$1:E3299)))))</f>
        <v> </v>
      </c>
      <c r="L3300" s="26"/>
    </row>
    <row r="3301" spans="1:12">
      <c r="A3301" s="20" t="s">
        <v>1225</v>
      </c>
      <c r="B3301" s="27" t="s">
        <v>1122</v>
      </c>
      <c r="C3301" s="27" t="s">
        <v>1108</v>
      </c>
      <c r="D3301" s="27" t="s">
        <v>1105</v>
      </c>
      <c r="E3301" s="21">
        <f>IF(D3301="?OLD","!!!","")</f>
        <v/>
      </c>
      <c r="F3301" s="22" t="str">
        <f>IF(OR(E3301="",E3301="!!!"),"",IF(NOT(ISNA(VLOOKUP(E3301,E$1:E3300,1,FALSE()))),"OLD",IF(AND(E3301&lt;&gt;"",E3301&lt;&gt;"!!!"),"NEW","")))</f>
        <v> </v>
      </c>
      <c r="G3301" s="23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4" t="str">
        <f>IF(J3301&lt;&gt;1,"",IF(I3301="SBJ","CB","?"))</f>
        <v> </v>
      </c>
      <c r="I3301" s="25" t="str">
        <f>IF(OR(E3301="",E3301="!!!",F3301="NEW"),"",INDEX(B3300:B$2,-1+SUMPRODUCT(MAX(ROW(E3300:E$2)*(E3301=E3300:E$2)))))</f>
        <v> </v>
      </c>
      <c r="J3301" s="25" t="str">
        <f>IF(OR(E3301="",E3301="!!!",F3301="NEW"),"",COUNTBLANK(OFFSET(A$1,,,SUMPRODUCT(MAX(ROW(E$2:E3301)*(E3301=E$2:E3301)))))-COUNTBLANK(OFFSET(A$1,,,SUMPRODUCT(MAX(ROW(E$1:E3300)*(E2=E$1:E3300))))))</f>
        <v> </v>
      </c>
      <c r="K3301" s="25" t="str">
        <f>IF(OR(E3301="",E3301="!!!",F3301="NEW"),"",INDEX(J$1:J3300,SUMPRODUCT(MAX(ROW(E$1:E3300)*(E3301=E$1:E3300)))))</f>
        <v> </v>
      </c>
      <c r="L3301" s="26"/>
    </row>
    <row r="3302" spans="1:12">
      <c r="A3302" s="20" t="s">
        <v>1145</v>
      </c>
      <c r="E3302" s="21">
        <f>IF(D3302="?OLD","!!!","")</f>
        <v/>
      </c>
      <c r="F3302" s="22" t="str">
        <f>IF(OR(E3302="",E3302="!!!"),"",IF(NOT(ISNA(VLOOKUP(E3302,E$1:E3301,1,FALSE()))),"OLD",IF(AND(E3302&lt;&gt;"",E3302&lt;&gt;"!!!"),"NEW","")))</f>
        <v> </v>
      </c>
      <c r="G3302" s="23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4" t="str">
        <f>IF(J3302&lt;&gt;1,"",IF(I3302="SBJ","CB","?"))</f>
        <v> </v>
      </c>
      <c r="I3302" s="25" t="str">
        <f>IF(OR(E3302="",E3302="!!!",F3302="NEW"),"",INDEX(B3301:B$2,-1+SUMPRODUCT(MAX(ROW(E3301:E$2)*(E3302=E3301:E$2)))))</f>
        <v> </v>
      </c>
      <c r="J3302" s="25" t="str">
        <f>IF(OR(E3302="",E3302="!!!",F3302="NEW"),"",COUNTBLANK(OFFSET(A$1,,,SUMPRODUCT(MAX(ROW(E$2:E3302)*(E3302=E$2:E3302)))))-COUNTBLANK(OFFSET(A$1,,,SUMPRODUCT(MAX(ROW(E$1:E3301)*(E2=E$1:E3301))))))</f>
        <v> </v>
      </c>
      <c r="K3302" s="25" t="str">
        <f>IF(OR(E3302="",E3302="!!!",F3302="NEW"),"",INDEX(J$1:J3301,SUMPRODUCT(MAX(ROW(E$1:E3301)*(E3302=E$1:E3301)))))</f>
        <v> </v>
      </c>
      <c r="L3302" s="26"/>
    </row>
    <row r="3303" spans="1:12">
      <c r="A3303" s="20"/>
    </row>
    <row r="3304" spans="1:12">
      <c r="A3304" s="20" t="s">
        <v>2613</v>
      </c>
    </row>
    <row r="3305" spans="1:12">
      <c r="A3305" s="20" t="s">
        <v>1111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2614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2615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1616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1123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 t="s">
        <v>228</v>
      </c>
      <c r="E3310" s="21">
        <f>IF(D3310="?OLD","!!!","")</f>
        <v/>
      </c>
      <c r="F3310" s="22" t="str">
        <f>IF(OR(E3310="",E3310="!!!"),"",IF(NOT(ISNA(VLOOKUP(E3310,E$1:E3309,1,FALSE()))),"OLD",IF(AND(E3310&lt;&gt;"",E3310&lt;&gt;"!!!"),"NEW","")))</f>
        <v> </v>
      </c>
      <c r="G3310" s="23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4" t="str">
        <f>IF(J3310&lt;&gt;1,"",IF(I3310="SBJ","CB","?"))</f>
        <v> </v>
      </c>
      <c r="I3310" s="25" t="str">
        <f>IF(OR(E3310="",E3310="!!!",F3310="NEW"),"",INDEX(B3309:B$2,-1+SUMPRODUCT(MAX(ROW(E3309:E$2)*(E3310=E3309:E$2)))))</f>
        <v> </v>
      </c>
      <c r="J3310" s="25" t="str">
        <f>IF(OR(E3310="",E3310="!!!",F3310="NEW"),"",COUNTBLANK(OFFSET(A$1,,,SUMPRODUCT(MAX(ROW(E$2:E3310)*(E3310=E$2:E3310)))))-COUNTBLANK(OFFSET(A$1,,,SUMPRODUCT(MAX(ROW(E$1:E3309)*(E2=E$1:E3309))))))</f>
        <v> </v>
      </c>
      <c r="K3310" s="25" t="str">
        <f>IF(OR(E3310="",E3310="!!!",F3310="NEW"),"",INDEX(J$1:J3309,SUMPRODUCT(MAX(ROW(E$1:E3309)*(E3310=E$1:E3309)))))</f>
        <v> </v>
      </c>
      <c r="L3310" s="26"/>
    </row>
    <row r="3311" spans="1:12">
      <c r="A3311" s="20" t="s">
        <v>1186</v>
      </c>
      <c r="B3311" s="27" t="s">
        <v>1115</v>
      </c>
      <c r="C3311" s="27" t="s">
        <v>1126</v>
      </c>
      <c r="D3311" s="27" t="s">
        <v>1105</v>
      </c>
      <c r="E3311" s="21">
        <f>IF(D3311="?OLD","!!!","")</f>
        <v/>
      </c>
      <c r="F3311" s="22" t="str">
        <f>IF(OR(E3311="",E3311="!!!"),"",IF(NOT(ISNA(VLOOKUP(E3311,E$1:E3310,1,FALSE()))),"OLD",IF(AND(E3311&lt;&gt;"",E3311&lt;&gt;"!!!"),"NEW","")))</f>
        <v> </v>
      </c>
      <c r="G3311" s="23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4" t="str">
        <f>IF(J3311&lt;&gt;1,"",IF(I3311="SBJ","CB","?"))</f>
        <v> </v>
      </c>
      <c r="I3311" s="25" t="str">
        <f>IF(OR(E3311="",E3311="!!!",F3311="NEW"),"",INDEX(B3310:B$2,-1+SUMPRODUCT(MAX(ROW(E3310:E$2)*(E3311=E3310:E$2)))))</f>
        <v> </v>
      </c>
      <c r="J3311" s="25" t="str">
        <f>IF(OR(E3311="",E3311="!!!",F3311="NEW"),"",COUNTBLANK(OFFSET(A$1,,,SUMPRODUCT(MAX(ROW(E$2:E3311)*(E3311=E$2:E3311)))))-COUNTBLANK(OFFSET(A$1,,,SUMPRODUCT(MAX(ROW(E$1:E3310)*(E2=E$1:E3310))))))</f>
        <v> </v>
      </c>
      <c r="K3311" s="25" t="str">
        <f>IF(OR(E3311="",E3311="!!!",F3311="NEW"),"",INDEX(J$1:J3310,SUMPRODUCT(MAX(ROW(E$1:E3310)*(E3311=E$1:E3310)))))</f>
        <v> </v>
      </c>
      <c r="L3311" s="26"/>
    </row>
    <row r="3312" spans="1:12">
      <c r="A3312" s="20" t="s">
        <v>2616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1145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/>
    </row>
    <row r="3315" spans="1:12">
      <c r="A3315" s="20" t="s">
        <v>2617</v>
      </c>
    </row>
    <row r="3316" spans="1:12">
      <c r="A3316" s="20" t="s">
        <v>1822</v>
      </c>
      <c r="E3316" s="21">
        <f>IF(D3316="?OLD","!!!","")</f>
        <v/>
      </c>
      <c r="F3316" s="22" t="str">
        <f>IF(OR(E3316="",E3316="!!!"),"",IF(NOT(ISNA(VLOOKUP(E3316,E$1:E3315,1,FALSE()))),"OLD",IF(AND(E3316&lt;&gt;"",E3316&lt;&gt;"!!!"),"NEW","")))</f>
        <v> </v>
      </c>
      <c r="G3316" s="23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4" t="str">
        <f>IF(J3316&lt;&gt;1,"",IF(I3316="SBJ","CB","?"))</f>
        <v> </v>
      </c>
      <c r="I3316" s="25" t="str">
        <f>IF(OR(E3316="",E3316="!!!",F3316="NEW"),"",INDEX(B3315:B$2,-1+SUMPRODUCT(MAX(ROW(E3315:E$2)*(E3316=E3315:E$2)))))</f>
        <v> </v>
      </c>
      <c r="J3316" s="25" t="str">
        <f>IF(OR(E3316="",E3316="!!!",F3316="NEW"),"",COUNTBLANK(OFFSET(A$1,,,SUMPRODUCT(MAX(ROW(E$2:E3316)*(E3316=E$2:E3316)))))-COUNTBLANK(OFFSET(A$1,,,SUMPRODUCT(MAX(ROW(E$1:E3315)*(E2=E$1:E3315))))))</f>
        <v> </v>
      </c>
      <c r="K3316" s="25" t="str">
        <f>IF(OR(E3316="",E3316="!!!",F3316="NEW"),"",INDEX(J$1:J3315,SUMPRODUCT(MAX(ROW(E$1:E3315)*(E3316=E$1:E3315)))))</f>
        <v> </v>
      </c>
      <c r="L3316" s="26"/>
    </row>
    <row r="3317" spans="1:12">
      <c r="A3317" s="20" t="s">
        <v>1362</v>
      </c>
      <c r="B3317" s="27" t="s">
        <v>1122</v>
      </c>
      <c r="C3317" s="27" t="s">
        <v>1126</v>
      </c>
      <c r="D3317" s="27" t="s">
        <v>1105</v>
      </c>
      <c r="E3317" s="21">
        <f>IF(D3317="?OLD","!!!","")</f>
        <v/>
      </c>
      <c r="F3317" s="22" t="str">
        <f>IF(OR(E3317="",E3317="!!!"),"",IF(NOT(ISNA(VLOOKUP(E3317,E$1:E3316,1,FALSE()))),"OLD",IF(AND(E3317&lt;&gt;"",E3317&lt;&gt;"!!!"),"NEW","")))</f>
        <v> </v>
      </c>
      <c r="G3317" s="23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4" t="str">
        <f>IF(J3317&lt;&gt;1,"",IF(I3317="SBJ","CB","?"))</f>
        <v> </v>
      </c>
      <c r="I3317" s="25" t="str">
        <f>IF(OR(E3317="",E3317="!!!",F3317="NEW"),"",INDEX(B3316:B$2,-1+SUMPRODUCT(MAX(ROW(E3316:E$2)*(E3317=E3316:E$2)))))</f>
        <v> </v>
      </c>
      <c r="J3317" s="25" t="str">
        <f>IF(OR(E3317="",E3317="!!!",F3317="NEW"),"",COUNTBLANK(OFFSET(A$1,,,SUMPRODUCT(MAX(ROW(E$2:E3317)*(E3317=E$2:E3317)))))-COUNTBLANK(OFFSET(A$1,,,SUMPRODUCT(MAX(ROW(E$1:E3316)*(E2=E$1:E3316))))))</f>
        <v> </v>
      </c>
      <c r="K3317" s="25" t="str">
        <f>IF(OR(E3317="",E3317="!!!",F3317="NEW"),"",INDEX(J$1:J3316,SUMPRODUCT(MAX(ROW(E$1:E3316)*(E3317=E$1:E3316)))))</f>
        <v> </v>
      </c>
      <c r="L3317" s="26"/>
    </row>
    <row r="3318" spans="1:12">
      <c r="A3318" s="20" t="s">
        <v>1218</v>
      </c>
      <c r="E3318" s="21">
        <f>IF(D3318="?OLD","!!!","")</f>
        <v/>
      </c>
      <c r="F3318" s="22" t="str">
        <f>IF(OR(E3318="",E3318="!!!"),"",IF(NOT(ISNA(VLOOKUP(E3318,E$1:E3317,1,FALSE()))),"OLD",IF(AND(E3318&lt;&gt;"",E3318&lt;&gt;"!!!"),"NEW","")))</f>
        <v> </v>
      </c>
      <c r="G3318" s="23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4" t="str">
        <f>IF(J3318&lt;&gt;1,"",IF(I3318="SBJ","CB","?"))</f>
        <v> </v>
      </c>
      <c r="I3318" s="25" t="str">
        <f>IF(OR(E3318="",E3318="!!!",F3318="NEW"),"",INDEX(B3317:B$2,-1+SUMPRODUCT(MAX(ROW(E3317:E$2)*(E3318=E3317:E$2)))))</f>
        <v> </v>
      </c>
      <c r="J3318" s="25" t="str">
        <f>IF(OR(E3318="",E3318="!!!",F3318="NEW"),"",COUNTBLANK(OFFSET(A$1,,,SUMPRODUCT(MAX(ROW(E$2:E3318)*(E3318=E$2:E3318)))))-COUNTBLANK(OFFSET(A$1,,,SUMPRODUCT(MAX(ROW(E$1:E3317)*(E2=E$1:E3317))))))</f>
        <v> </v>
      </c>
      <c r="K3318" s="25" t="str">
        <f>IF(OR(E3318="",E3318="!!!",F3318="NEW"),"",INDEX(J$1:J3317,SUMPRODUCT(MAX(ROW(E$1:E3317)*(E3318=E$1:E3317)))))</f>
        <v> </v>
      </c>
      <c r="L3318" s="26"/>
    </row>
    <row r="3319" spans="1:12">
      <c r="A3319" s="20" t="s">
        <v>1186</v>
      </c>
      <c r="B3319" s="27" t="s">
        <v>1107</v>
      </c>
      <c r="C3319" s="27" t="s">
        <v>1142</v>
      </c>
      <c r="D3319" s="27" t="s">
        <v>1105</v>
      </c>
      <c r="E3319" s="21">
        <f>IF(D3319="?OLD","!!!","")</f>
        <v/>
      </c>
      <c r="F3319" s="22" t="str">
        <f>IF(OR(E3319="",E3319="!!!"),"",IF(NOT(ISNA(VLOOKUP(E3319,E$1:E3318,1,FALSE()))),"OLD",IF(AND(E3319&lt;&gt;"",E3319&lt;&gt;"!!!"),"NEW","")))</f>
        <v> </v>
      </c>
      <c r="G3319" s="23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4" t="str">
        <f>IF(J3319&lt;&gt;1,"",IF(I3319="SBJ","CB","?"))</f>
        <v> </v>
      </c>
      <c r="I3319" s="25" t="str">
        <f>IF(OR(E3319="",E3319="!!!",F3319="NEW"),"",INDEX(B3318:B$2,-1+SUMPRODUCT(MAX(ROW(E3318:E$2)*(E3319=E3318:E$2)))))</f>
        <v> </v>
      </c>
      <c r="J3319" s="25" t="str">
        <f>IF(OR(E3319="",E3319="!!!",F3319="NEW"),"",COUNTBLANK(OFFSET(A$1,,,SUMPRODUCT(MAX(ROW(E$2:E3319)*(E3319=E$2:E3319)))))-COUNTBLANK(OFFSET(A$1,,,SUMPRODUCT(MAX(ROW(E$1:E3318)*(E2=E$1:E3318))))))</f>
        <v> </v>
      </c>
      <c r="K3319" s="25" t="str">
        <f>IF(OR(E3319="",E3319="!!!",F3319="NEW"),"",INDEX(J$1:J3318,SUMPRODUCT(MAX(ROW(E$1:E3318)*(E3319=E$1:E3318)))))</f>
        <v> </v>
      </c>
      <c r="L3319" s="26"/>
    </row>
    <row r="3320" spans="1:12">
      <c r="A3320" s="20" t="s">
        <v>2618</v>
      </c>
      <c r="E3320" s="21">
        <f>IF(D3320="?OLD","!!!","")</f>
        <v/>
      </c>
      <c r="F3320" s="22" t="str">
        <f>IF(OR(E3320="",E3320="!!!"),"",IF(NOT(ISNA(VLOOKUP(E3320,E$1:E3319,1,FALSE()))),"OLD",IF(AND(E3320&lt;&gt;"",E3320&lt;&gt;"!!!"),"NEW","")))</f>
        <v> </v>
      </c>
      <c r="G3320" s="23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4" t="str">
        <f>IF(J3320&lt;&gt;1,"",IF(I3320="SBJ","CB","?"))</f>
        <v> </v>
      </c>
      <c r="I3320" s="25" t="str">
        <f>IF(OR(E3320="",E3320="!!!",F3320="NEW"),"",INDEX(B3319:B$2,-1+SUMPRODUCT(MAX(ROW(E3319:E$2)*(E3320=E3319:E$2)))))</f>
        <v> </v>
      </c>
      <c r="J3320" s="25" t="str">
        <f>IF(OR(E3320="",E3320="!!!",F3320="NEW"),"",COUNTBLANK(OFFSET(A$1,,,SUMPRODUCT(MAX(ROW(E$2:E3320)*(E3320=E$2:E3320)))))-COUNTBLANK(OFFSET(A$1,,,SUMPRODUCT(MAX(ROW(E$1:E3319)*(E2=E$1:E3319))))))</f>
        <v> </v>
      </c>
      <c r="K3320" s="25" t="str">
        <f>IF(OR(E3320="",E3320="!!!",F3320="NEW"),"",INDEX(J$1:J3319,SUMPRODUCT(MAX(ROW(E$1:E3319)*(E3320=E$1:E3319)))))</f>
        <v> </v>
      </c>
      <c r="L3320" s="26"/>
    </row>
    <row r="3321" spans="1:12">
      <c r="A3321" s="20" t="s">
        <v>1123</v>
      </c>
      <c r="E3321" s="21">
        <f>IF(D3321="?OLD","!!!","")</f>
        <v/>
      </c>
      <c r="F3321" s="22" t="str">
        <f>IF(OR(E3321="",E3321="!!!"),"",IF(NOT(ISNA(VLOOKUP(E3321,E$1:E3320,1,FALSE()))),"OLD",IF(AND(E3321&lt;&gt;"",E3321&lt;&gt;"!!!"),"NEW","")))</f>
        <v> </v>
      </c>
      <c r="G3321" s="23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4" t="str">
        <f>IF(J3321&lt;&gt;1,"",IF(I3321="SBJ","CB","?"))</f>
        <v> </v>
      </c>
      <c r="I3321" s="25" t="str">
        <f>IF(OR(E3321="",E3321="!!!",F3321="NEW"),"",INDEX(B3320:B$2,-1+SUMPRODUCT(MAX(ROW(E3320:E$2)*(E3321=E3320:E$2)))))</f>
        <v> </v>
      </c>
      <c r="J3321" s="25" t="str">
        <f>IF(OR(E3321="",E3321="!!!",F3321="NEW"),"",COUNTBLANK(OFFSET(A$1,,,SUMPRODUCT(MAX(ROW(E$2:E3321)*(E3321=E$2:E3321)))))-COUNTBLANK(OFFSET(A$1,,,SUMPRODUCT(MAX(ROW(E$1:E3320)*(E2=E$1:E3320))))))</f>
        <v> </v>
      </c>
      <c r="K3321" s="25" t="str">
        <f>IF(OR(E3321="",E3321="!!!",F3321="NEW"),"",INDEX(J$1:J3320,SUMPRODUCT(MAX(ROW(E$1:E3320)*(E3321=E$1:E3320)))))</f>
        <v> </v>
      </c>
      <c r="L3321" s="26"/>
    </row>
    <row r="3322" spans="1:12">
      <c r="A3322" s="20" t="s">
        <v>2619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2620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 t="s">
        <v>2621</v>
      </c>
      <c r="E3324" s="21">
        <f>IF(D3324="?OLD","!!!","")</f>
        <v/>
      </c>
      <c r="F3324" s="22" t="str">
        <f>IF(OR(E3324="",E3324="!!!"),"",IF(NOT(ISNA(VLOOKUP(E3324,E$1:E3323,1,FALSE()))),"OLD",IF(AND(E3324&lt;&gt;"",E3324&lt;&gt;"!!!"),"NEW","")))</f>
        <v> </v>
      </c>
      <c r="G3324" s="23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4" t="str">
        <f>IF(J3324&lt;&gt;1,"",IF(I3324="SBJ","CB","?"))</f>
        <v> </v>
      </c>
      <c r="I3324" s="25" t="str">
        <f>IF(OR(E3324="",E3324="!!!",F3324="NEW"),"",INDEX(B3323:B$2,-1+SUMPRODUCT(MAX(ROW(E3323:E$2)*(E3324=E3323:E$2)))))</f>
        <v> </v>
      </c>
      <c r="J3324" s="25" t="str">
        <f>IF(OR(E3324="",E3324="!!!",F3324="NEW"),"",COUNTBLANK(OFFSET(A$1,,,SUMPRODUCT(MAX(ROW(E$2:E3324)*(E3324=E$2:E3324)))))-COUNTBLANK(OFFSET(A$1,,,SUMPRODUCT(MAX(ROW(E$1:E3323)*(E2=E$1:E3323))))))</f>
        <v> </v>
      </c>
      <c r="K3324" s="25" t="str">
        <f>IF(OR(E3324="",E3324="!!!",F3324="NEW"),"",INDEX(J$1:J3323,SUMPRODUCT(MAX(ROW(E$1:E3323)*(E3324=E$1:E3323)))))</f>
        <v> </v>
      </c>
      <c r="L3324" s="26"/>
    </row>
    <row r="3325" spans="1:12">
      <c r="A3325" s="20" t="s">
        <v>2125</v>
      </c>
      <c r="E3325" s="21">
        <f>IF(D3325="?OLD","!!!","")</f>
        <v/>
      </c>
      <c r="F3325" s="22" t="str">
        <f>IF(OR(E3325="",E3325="!!!"),"",IF(NOT(ISNA(VLOOKUP(E3325,E$1:E3324,1,FALSE()))),"OLD",IF(AND(E3325&lt;&gt;"",E3325&lt;&gt;"!!!"),"NEW","")))</f>
        <v> </v>
      </c>
      <c r="G3325" s="23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4" t="str">
        <f>IF(J3325&lt;&gt;1,"",IF(I3325="SBJ","CB","?"))</f>
        <v> </v>
      </c>
      <c r="I3325" s="25" t="str">
        <f>IF(OR(E3325="",E3325="!!!",F3325="NEW"),"",INDEX(B3324:B$2,-1+SUMPRODUCT(MAX(ROW(E3324:E$2)*(E3325=E3324:E$2)))))</f>
        <v> </v>
      </c>
      <c r="J3325" s="25" t="str">
        <f>IF(OR(E3325="",E3325="!!!",F3325="NEW"),"",COUNTBLANK(OFFSET(A$1,,,SUMPRODUCT(MAX(ROW(E$2:E3325)*(E3325=E$2:E3325)))))-COUNTBLANK(OFFSET(A$1,,,SUMPRODUCT(MAX(ROW(E$1:E3324)*(E2=E$1:E3324))))))</f>
        <v> </v>
      </c>
      <c r="K3325" s="25" t="str">
        <f>IF(OR(E3325="",E3325="!!!",F3325="NEW"),"",INDEX(J$1:J3324,SUMPRODUCT(MAX(ROW(E$1:E3324)*(E3325=E$1:E3324)))))</f>
        <v> </v>
      </c>
      <c r="L3325" s="26"/>
    </row>
    <row r="3326" spans="1:12">
      <c r="A3326" s="20" t="s">
        <v>2622</v>
      </c>
      <c r="B3326" s="27" t="s">
        <v>1243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 t="s">
        <v>1111</v>
      </c>
      <c r="E3327" s="21">
        <f>IF(D3327="?OLD","!!!","")</f>
        <v/>
      </c>
      <c r="F3327" s="22" t="str">
        <f>IF(OR(E3327="",E3327="!!!"),"",IF(NOT(ISNA(VLOOKUP(E3327,E$1:E3326,1,FALSE()))),"OLD",IF(AND(E3327&lt;&gt;"",E3327&lt;&gt;"!!!"),"NEW","")))</f>
        <v> </v>
      </c>
      <c r="G3327" s="23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4" t="str">
        <f>IF(J3327&lt;&gt;1,"",IF(I3327="SBJ","CB","?"))</f>
        <v> </v>
      </c>
      <c r="I3327" s="25" t="str">
        <f>IF(OR(E3327="",E3327="!!!",F3327="NEW"),"",INDEX(B3326:B$2,-1+SUMPRODUCT(MAX(ROW(E3326:E$2)*(E3327=E3326:E$2)))))</f>
        <v> </v>
      </c>
      <c r="J3327" s="25" t="str">
        <f>IF(OR(E3327="",E3327="!!!",F3327="NEW"),"",COUNTBLANK(OFFSET(A$1,,,SUMPRODUCT(MAX(ROW(E$2:E3327)*(E3327=E$2:E3327)))))-COUNTBLANK(OFFSET(A$1,,,SUMPRODUCT(MAX(ROW(E$1:E3326)*(E2=E$1:E3326))))))</f>
        <v> </v>
      </c>
      <c r="K3327" s="25" t="str">
        <f>IF(OR(E3327="",E3327="!!!",F3327="NEW"),"",INDEX(J$1:J3326,SUMPRODUCT(MAX(ROW(E$1:E3326)*(E3327=E$1:E3326)))))</f>
        <v> </v>
      </c>
      <c r="L3327" s="26"/>
    </row>
    <row r="3328" spans="1:12">
      <c r="A3328" s="20" t="s">
        <v>2623</v>
      </c>
      <c r="E3328" s="21">
        <f>IF(D3328="?OLD","!!!","")</f>
        <v/>
      </c>
      <c r="F3328" s="22" t="str">
        <f>IF(OR(E3328="",E3328="!!!"),"",IF(NOT(ISNA(VLOOKUP(E3328,E$1:E3327,1,FALSE()))),"OLD",IF(AND(E3328&lt;&gt;"",E3328&lt;&gt;"!!!"),"NEW","")))</f>
        <v> </v>
      </c>
      <c r="G3328" s="23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4" t="str">
        <f>IF(J3328&lt;&gt;1,"",IF(I3328="SBJ","CB","?"))</f>
        <v> </v>
      </c>
      <c r="I3328" s="25" t="str">
        <f>IF(OR(E3328="",E3328="!!!",F3328="NEW"),"",INDEX(B3327:B$2,-1+SUMPRODUCT(MAX(ROW(E3327:E$2)*(E3328=E3327:E$2)))))</f>
        <v> </v>
      </c>
      <c r="J3328" s="25" t="str">
        <f>IF(OR(E3328="",E3328="!!!",F3328="NEW"),"",COUNTBLANK(OFFSET(A$1,,,SUMPRODUCT(MAX(ROW(E$2:E3328)*(E3328=E$2:E3328)))))-COUNTBLANK(OFFSET(A$1,,,SUMPRODUCT(MAX(ROW(E$1:E3327)*(E2=E$1:E3327))))))</f>
        <v> </v>
      </c>
      <c r="K3328" s="25" t="str">
        <f>IF(OR(E3328="",E3328="!!!",F3328="NEW"),"",INDEX(J$1:J3327,SUMPRODUCT(MAX(ROW(E$1:E3327)*(E3328=E$1:E3327)))))</f>
        <v> </v>
      </c>
      <c r="L3328" s="26"/>
    </row>
    <row r="3329" spans="1:12">
      <c r="A3329" s="20" t="s">
        <v>1242</v>
      </c>
      <c r="B3329" s="27" t="s">
        <v>1115</v>
      </c>
      <c r="C3329" s="27" t="s">
        <v>1126</v>
      </c>
      <c r="D3329" s="27" t="s">
        <v>1105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1145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/>
    </row>
    <row r="3332" spans="1:12">
      <c r="A3332" s="20" t="s">
        <v>2624</v>
      </c>
    </row>
    <row r="3333" spans="1:12">
      <c r="A3333" s="20" t="s">
        <v>1111</v>
      </c>
      <c r="E3333" s="21">
        <f>IF(D3333="?OLD","!!!","")</f>
        <v/>
      </c>
      <c r="F3333" s="22" t="str">
        <f>IF(OR(E3333="",E3333="!!!"),"",IF(NOT(ISNA(VLOOKUP(E3333,E$1:E3332,1,FALSE()))),"OLD",IF(AND(E3333&lt;&gt;"",E3333&lt;&gt;"!!!"),"NEW","")))</f>
        <v> </v>
      </c>
      <c r="G3333" s="23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4" t="str">
        <f>IF(J3333&lt;&gt;1,"",IF(I3333="SBJ","CB","?"))</f>
        <v> </v>
      </c>
      <c r="I3333" s="25" t="str">
        <f>IF(OR(E3333="",E3333="!!!",F3333="NEW"),"",INDEX(B3332:B$2,-1+SUMPRODUCT(MAX(ROW(E3332:E$2)*(E3333=E3332:E$2)))))</f>
        <v> </v>
      </c>
      <c r="J3333" s="25" t="str">
        <f>IF(OR(E3333="",E3333="!!!",F3333="NEW"),"",COUNTBLANK(OFFSET(A$1,,,SUMPRODUCT(MAX(ROW(E$2:E3333)*(E3333=E$2:E3333)))))-COUNTBLANK(OFFSET(A$1,,,SUMPRODUCT(MAX(ROW(E$1:E3332)*(E2=E$1:E3332))))))</f>
        <v> </v>
      </c>
      <c r="K3333" s="25" t="str">
        <f>IF(OR(E3333="",E3333="!!!",F3333="NEW"),"",INDEX(J$1:J3332,SUMPRODUCT(MAX(ROW(E$1:E3332)*(E3333=E$1:E3332)))))</f>
        <v> </v>
      </c>
      <c r="L3333" s="26"/>
    </row>
    <row r="3334" spans="1:12">
      <c r="A3334" s="20" t="s">
        <v>1633</v>
      </c>
      <c r="B3334" s="27" t="s">
        <v>1149</v>
      </c>
      <c r="C3334" s="27" t="s">
        <v>1126</v>
      </c>
      <c r="D3334" s="27" t="s">
        <v>1105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1681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2625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1113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 t="s">
        <v>1184</v>
      </c>
      <c r="E3338" s="21">
        <f>IF(D3338="?OLD","!!!","")</f>
        <v/>
      </c>
      <c r="F3338" s="22" t="str">
        <f>IF(OR(E3338="",E3338="!!!"),"",IF(NOT(ISNA(VLOOKUP(E3338,E$1:E3337,1,FALSE()))),"OLD",IF(AND(E3338&lt;&gt;"",E3338&lt;&gt;"!!!"),"NEW","")))</f>
        <v> </v>
      </c>
      <c r="G3338" s="23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4" t="str">
        <f>IF(J3338&lt;&gt;1,"",IF(I3338="SBJ","CB","?"))</f>
        <v> </v>
      </c>
      <c r="I3338" s="25" t="str">
        <f>IF(OR(E3338="",E3338="!!!",F3338="NEW"),"",INDEX(B3337:B$2,-1+SUMPRODUCT(MAX(ROW(E3337:E$2)*(E3338=E3337:E$2)))))</f>
        <v> </v>
      </c>
      <c r="J3338" s="25" t="str">
        <f>IF(OR(E3338="",E3338="!!!",F3338="NEW"),"",COUNTBLANK(OFFSET(A$1,,,SUMPRODUCT(MAX(ROW(E$2:E3338)*(E3338=E$2:E3338)))))-COUNTBLANK(OFFSET(A$1,,,SUMPRODUCT(MAX(ROW(E$1:E3337)*(E2=E$1:E3337))))))</f>
        <v> </v>
      </c>
      <c r="K3338" s="25" t="str">
        <f>IF(OR(E3338="",E3338="!!!",F3338="NEW"),"",INDEX(J$1:J3337,SUMPRODUCT(MAX(ROW(E$1:E3337)*(E3338=E$1:E3337)))))</f>
        <v> </v>
      </c>
      <c r="L3338" s="26"/>
    </row>
    <row r="3339" spans="1:12">
      <c r="A3339" s="20" t="s">
        <v>2626</v>
      </c>
      <c r="E3339" s="21">
        <f>IF(D3339="?OLD","!!!","")</f>
        <v/>
      </c>
      <c r="F3339" s="22" t="str">
        <f>IF(OR(E3339="",E3339="!!!"),"",IF(NOT(ISNA(VLOOKUP(E3339,E$1:E3338,1,FALSE()))),"OLD",IF(AND(E3339&lt;&gt;"",E3339&lt;&gt;"!!!"),"NEW","")))</f>
        <v> </v>
      </c>
      <c r="G3339" s="23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4" t="str">
        <f>IF(J3339&lt;&gt;1,"",IF(I3339="SBJ","CB","?"))</f>
        <v> </v>
      </c>
      <c r="I3339" s="25" t="str">
        <f>IF(OR(E3339="",E3339="!!!",F3339="NEW"),"",INDEX(B3338:B$2,-1+SUMPRODUCT(MAX(ROW(E3338:E$2)*(E3339=E3338:E$2)))))</f>
        <v> </v>
      </c>
      <c r="J3339" s="25" t="str">
        <f>IF(OR(E3339="",E3339="!!!",F3339="NEW"),"",COUNTBLANK(OFFSET(A$1,,,SUMPRODUCT(MAX(ROW(E$2:E3339)*(E3339=E$2:E3339)))))-COUNTBLANK(OFFSET(A$1,,,SUMPRODUCT(MAX(ROW(E$1:E3338)*(E2=E$1:E3338))))))</f>
        <v> </v>
      </c>
      <c r="K3339" s="25" t="str">
        <f>IF(OR(E3339="",E3339="!!!",F3339="NEW"),"",INDEX(J$1:J3338,SUMPRODUCT(MAX(ROW(E$1:E3338)*(E3339=E$1:E3338)))))</f>
        <v> </v>
      </c>
      <c r="L3339" s="26"/>
    </row>
    <row r="3340" spans="1:12">
      <c r="A3340" s="20" t="s">
        <v>2453</v>
      </c>
      <c r="B3340" s="27" t="s">
        <v>1107</v>
      </c>
      <c r="C3340" s="27" t="s">
        <v>1210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1123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 t="s">
        <v>1590</v>
      </c>
      <c r="E3342" s="21">
        <f>IF(D3342="?OLD","!!!","")</f>
        <v/>
      </c>
      <c r="F3342" s="22" t="str">
        <f>IF(OR(E3342="",E3342="!!!"),"",IF(NOT(ISNA(VLOOKUP(E3342,E$1:E3341,1,FALSE()))),"OLD",IF(AND(E3342&lt;&gt;"",E3342&lt;&gt;"!!!"),"NEW","")))</f>
        <v> </v>
      </c>
      <c r="G3342" s="23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4" t="str">
        <f>IF(J3342&lt;&gt;1,"",IF(I3342="SBJ","CB","?"))</f>
        <v> </v>
      </c>
      <c r="I3342" s="25" t="str">
        <f>IF(OR(E3342="",E3342="!!!",F3342="NEW"),"",INDEX(B3341:B$2,-1+SUMPRODUCT(MAX(ROW(E3341:E$2)*(E3342=E3341:E$2)))))</f>
        <v> </v>
      </c>
      <c r="J3342" s="25" t="str">
        <f>IF(OR(E3342="",E3342="!!!",F3342="NEW"),"",COUNTBLANK(OFFSET(A$1,,,SUMPRODUCT(MAX(ROW(E$2:E3342)*(E3342=E$2:E3342)))))-COUNTBLANK(OFFSET(A$1,,,SUMPRODUCT(MAX(ROW(E$1:E3341)*(E2=E$1:E3341))))))</f>
        <v> </v>
      </c>
      <c r="K3342" s="25" t="str">
        <f>IF(OR(E3342="",E3342="!!!",F3342="NEW"),"",INDEX(J$1:J3341,SUMPRODUCT(MAX(ROW(E$1:E3341)*(E3342=E$1:E3341)))))</f>
        <v> </v>
      </c>
      <c r="L3342" s="26"/>
    </row>
    <row r="3343" spans="1:12">
      <c r="A3343" s="20" t="s">
        <v>1166</v>
      </c>
      <c r="B3343" s="27" t="s">
        <v>1115</v>
      </c>
      <c r="C3343" s="27" t="s">
        <v>1126</v>
      </c>
      <c r="D3343" s="27" t="s">
        <v>1105</v>
      </c>
      <c r="E3343" s="21">
        <f>IF(D3343="?OLD","!!!","")</f>
        <v/>
      </c>
      <c r="F3343" s="22" t="str">
        <f>IF(OR(E3343="",E3343="!!!"),"",IF(NOT(ISNA(VLOOKUP(E3343,E$1:E3342,1,FALSE()))),"OLD",IF(AND(E3343&lt;&gt;"",E3343&lt;&gt;"!!!"),"NEW","")))</f>
        <v> </v>
      </c>
      <c r="G3343" s="23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4" t="str">
        <f>IF(J3343&lt;&gt;1,"",IF(I3343="SBJ","CB","?"))</f>
        <v> </v>
      </c>
      <c r="I3343" s="25" t="str">
        <f>IF(OR(E3343="",E3343="!!!",F3343="NEW"),"",INDEX(B3342:B$2,-1+SUMPRODUCT(MAX(ROW(E3342:E$2)*(E3343=E3342:E$2)))))</f>
        <v> </v>
      </c>
      <c r="J3343" s="25" t="str">
        <f>IF(OR(E3343="",E3343="!!!",F3343="NEW"),"",COUNTBLANK(OFFSET(A$1,,,SUMPRODUCT(MAX(ROW(E$2:E3343)*(E3343=E$2:E3343)))))-COUNTBLANK(OFFSET(A$1,,,SUMPRODUCT(MAX(ROW(E$1:E3342)*(E2=E$1:E3342))))))</f>
        <v> </v>
      </c>
      <c r="K3343" s="25" t="str">
        <f>IF(OR(E3343="",E3343="!!!",F3343="NEW"),"",INDEX(J$1:J3342,SUMPRODUCT(MAX(ROW(E$1:E3342)*(E3343=E$1:E3342)))))</f>
        <v> </v>
      </c>
      <c r="L3343" s="26"/>
    </row>
    <row r="3344" spans="1:12">
      <c r="A3344" s="20" t="s">
        <v>259</v>
      </c>
      <c r="E3344" s="21">
        <f>IF(D3344="?OLD","!!!","")</f>
        <v/>
      </c>
      <c r="F3344" s="22" t="str">
        <f>IF(OR(E3344="",E3344="!!!"),"",IF(NOT(ISNA(VLOOKUP(E3344,E$1:E3343,1,FALSE()))),"OLD",IF(AND(E3344&lt;&gt;"",E3344&lt;&gt;"!!!"),"NEW","")))</f>
        <v> </v>
      </c>
      <c r="G3344" s="23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4" t="str">
        <f>IF(J3344&lt;&gt;1,"",IF(I3344="SBJ","CB","?"))</f>
        <v> </v>
      </c>
      <c r="I3344" s="25" t="str">
        <f>IF(OR(E3344="",E3344="!!!",F3344="NEW"),"",INDEX(B3343:B$2,-1+SUMPRODUCT(MAX(ROW(E3343:E$2)*(E3344=E3343:E$2)))))</f>
        <v> </v>
      </c>
      <c r="J3344" s="25" t="str">
        <f>IF(OR(E3344="",E3344="!!!",F3344="NEW"),"",COUNTBLANK(OFFSET(A$1,,,SUMPRODUCT(MAX(ROW(E$2:E3344)*(E3344=E$2:E3344)))))-COUNTBLANK(OFFSET(A$1,,,SUMPRODUCT(MAX(ROW(E$1:E3343)*(E2=E$1:E3343))))))</f>
        <v> </v>
      </c>
      <c r="K3344" s="25" t="str">
        <f>IF(OR(E3344="",E3344="!!!",F3344="NEW"),"",INDEX(J$1:J3343,SUMPRODUCT(MAX(ROW(E$1:E3343)*(E3344=E$1:E3343)))))</f>
        <v> </v>
      </c>
      <c r="L3344" s="26"/>
    </row>
    <row r="3345" spans="1:12">
      <c r="A3345" s="20" t="s">
        <v>2627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 t="s">
        <v>1123</v>
      </c>
      <c r="E3346" s="21">
        <f>IF(D3346="?OLD","!!!","")</f>
        <v/>
      </c>
      <c r="F3346" s="22" t="str">
        <f>IF(OR(E3346="",E3346="!!!"),"",IF(NOT(ISNA(VLOOKUP(E3346,E$1:E3345,1,FALSE()))),"OLD",IF(AND(E3346&lt;&gt;"",E3346&lt;&gt;"!!!"),"NEW","")))</f>
        <v> </v>
      </c>
      <c r="G3346" s="23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4" t="str">
        <f>IF(J3346&lt;&gt;1,"",IF(I3346="SBJ","CB","?"))</f>
        <v> </v>
      </c>
      <c r="I3346" s="25" t="str">
        <f>IF(OR(E3346="",E3346="!!!",F3346="NEW"),"",INDEX(B3345:B$2,-1+SUMPRODUCT(MAX(ROW(E3345:E$2)*(E3346=E3345:E$2)))))</f>
        <v> </v>
      </c>
      <c r="J3346" s="25" t="str">
        <f>IF(OR(E3346="",E3346="!!!",F3346="NEW"),"",COUNTBLANK(OFFSET(A$1,,,SUMPRODUCT(MAX(ROW(E$2:E3346)*(E3346=E$2:E3346)))))-COUNTBLANK(OFFSET(A$1,,,SUMPRODUCT(MAX(ROW(E$1:E3345)*(E2=E$1:E3345))))))</f>
        <v> </v>
      </c>
      <c r="K3346" s="25" t="str">
        <f>IF(OR(E3346="",E3346="!!!",F3346="NEW"),"",INDEX(J$1:J3345,SUMPRODUCT(MAX(ROW(E$1:E3345)*(E3346=E$1:E3345)))))</f>
        <v> </v>
      </c>
      <c r="L3346" s="26"/>
    </row>
    <row r="3347" spans="1:12">
      <c r="A3347" s="20" t="s">
        <v>1111</v>
      </c>
      <c r="E3347" s="21">
        <f>IF(D3347="?OLD","!!!","")</f>
        <v/>
      </c>
      <c r="F3347" s="22" t="str">
        <f>IF(OR(E3347="",E3347="!!!"),"",IF(NOT(ISNA(VLOOKUP(E3347,E$1:E3346,1,FALSE()))),"OLD",IF(AND(E3347&lt;&gt;"",E3347&lt;&gt;"!!!"),"NEW","")))</f>
        <v> </v>
      </c>
      <c r="G3347" s="23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4" t="str">
        <f>IF(J3347&lt;&gt;1,"",IF(I3347="SBJ","CB","?"))</f>
        <v> </v>
      </c>
      <c r="I3347" s="25" t="str">
        <f>IF(OR(E3347="",E3347="!!!",F3347="NEW"),"",INDEX(B3346:B$2,-1+SUMPRODUCT(MAX(ROW(E3346:E$2)*(E3347=E3346:E$2)))))</f>
        <v> </v>
      </c>
      <c r="J3347" s="25" t="str">
        <f>IF(OR(E3347="",E3347="!!!",F3347="NEW"),"",COUNTBLANK(OFFSET(A$1,,,SUMPRODUCT(MAX(ROW(E$2:E3347)*(E3347=E$2:E3347)))))-COUNTBLANK(OFFSET(A$1,,,SUMPRODUCT(MAX(ROW(E$1:E3346)*(E2=E$1:E3346))))))</f>
        <v> </v>
      </c>
      <c r="K3347" s="25" t="str">
        <f>IF(OR(E3347="",E3347="!!!",F3347="NEW"),"",INDEX(J$1:J3346,SUMPRODUCT(MAX(ROW(E$1:E3346)*(E3347=E$1:E3346)))))</f>
        <v> </v>
      </c>
      <c r="L3347" s="26"/>
    </row>
    <row r="3348" spans="1:12">
      <c r="A3348" s="20" t="s">
        <v>2628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1617</v>
      </c>
      <c r="B3349" s="27" t="s">
        <v>1259</v>
      </c>
      <c r="C3349" s="27" t="s">
        <v>1126</v>
      </c>
      <c r="D3349" s="27" t="s">
        <v>1105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1145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/>
    </row>
    <row r="3352" spans="1:12">
      <c r="A3352" s="20" t="s">
        <v>2629</v>
      </c>
    </row>
    <row r="3353" spans="1:12">
      <c r="A3353" s="20" t="s">
        <v>1111</v>
      </c>
      <c r="E3353" s="21">
        <f>IF(D3353="?OLD","!!!","")</f>
        <v/>
      </c>
      <c r="F3353" s="22" t="str">
        <f>IF(OR(E3353="",E3353="!!!"),"",IF(NOT(ISNA(VLOOKUP(E3353,E$1:E3352,1,FALSE()))),"OLD",IF(AND(E3353&lt;&gt;"",E3353&lt;&gt;"!!!"),"NEW","")))</f>
        <v> </v>
      </c>
      <c r="G3353" s="23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4" t="str">
        <f>IF(J3353&lt;&gt;1,"",IF(I3353="SBJ","CB","?"))</f>
        <v> </v>
      </c>
      <c r="I3353" s="25" t="str">
        <f>IF(OR(E3353="",E3353="!!!",F3353="NEW"),"",INDEX(B3352:B$2,-1+SUMPRODUCT(MAX(ROW(E3352:E$2)*(E3353=E3352:E$2)))))</f>
        <v> </v>
      </c>
      <c r="J3353" s="25" t="str">
        <f>IF(OR(E3353="",E3353="!!!",F3353="NEW"),"",COUNTBLANK(OFFSET(A$1,,,SUMPRODUCT(MAX(ROW(E$2:E3353)*(E3353=E$2:E3353)))))-COUNTBLANK(OFFSET(A$1,,,SUMPRODUCT(MAX(ROW(E$1:E3352)*(E2=E$1:E3352))))))</f>
        <v> </v>
      </c>
      <c r="K3353" s="25" t="str">
        <f>IF(OR(E3353="",E3353="!!!",F3353="NEW"),"",INDEX(J$1:J3352,SUMPRODUCT(MAX(ROW(E$1:E3352)*(E3353=E$1:E3352)))))</f>
        <v> </v>
      </c>
      <c r="L3353" s="26"/>
    </row>
    <row r="3354" spans="1:12">
      <c r="A3354" s="20" t="s">
        <v>1277</v>
      </c>
      <c r="E3354" s="21">
        <f>IF(D3354="?OLD","!!!","")</f>
        <v/>
      </c>
      <c r="F3354" s="22" t="str">
        <f>IF(OR(E3354="",E3354="!!!"),"",IF(NOT(ISNA(VLOOKUP(E3354,E$1:E3353,1,FALSE()))),"OLD",IF(AND(E3354&lt;&gt;"",E3354&lt;&gt;"!!!"),"NEW","")))</f>
        <v> </v>
      </c>
      <c r="G3354" s="23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4" t="str">
        <f>IF(J3354&lt;&gt;1,"",IF(I3354="SBJ","CB","?"))</f>
        <v> </v>
      </c>
      <c r="I3354" s="25" t="str">
        <f>IF(OR(E3354="",E3354="!!!",F3354="NEW"),"",INDEX(B3353:B$2,-1+SUMPRODUCT(MAX(ROW(E3353:E$2)*(E3354=E3353:E$2)))))</f>
        <v> </v>
      </c>
      <c r="J3354" s="25" t="str">
        <f>IF(OR(E3354="",E3354="!!!",F3354="NEW"),"",COUNTBLANK(OFFSET(A$1,,,SUMPRODUCT(MAX(ROW(E$2:E3354)*(E3354=E$2:E3354)))))-COUNTBLANK(OFFSET(A$1,,,SUMPRODUCT(MAX(ROW(E$1:E3353)*(E2=E$1:E3353))))))</f>
        <v> </v>
      </c>
      <c r="K3354" s="25" t="str">
        <f>IF(OR(E3354="",E3354="!!!",F3354="NEW"),"",INDEX(J$1:J3353,SUMPRODUCT(MAX(ROW(E$1:E3353)*(E3354=E$1:E3353)))))</f>
        <v> </v>
      </c>
      <c r="L3354" s="26"/>
    </row>
    <row r="3355" spans="1:12">
      <c r="A3355" s="20" t="s">
        <v>2630</v>
      </c>
      <c r="E3355" s="21">
        <f>IF(D3355="?OLD","!!!","")</f>
        <v/>
      </c>
      <c r="F3355" s="22" t="str">
        <f>IF(OR(E3355="",E3355="!!!"),"",IF(NOT(ISNA(VLOOKUP(E3355,E$1:E3354,1,FALSE()))),"OLD",IF(AND(E3355&lt;&gt;"",E3355&lt;&gt;"!!!"),"NEW","")))</f>
        <v> </v>
      </c>
      <c r="G3355" s="23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4" t="str">
        <f>IF(J3355&lt;&gt;1,"",IF(I3355="SBJ","CB","?"))</f>
        <v> </v>
      </c>
      <c r="I3355" s="25" t="str">
        <f>IF(OR(E3355="",E3355="!!!",F3355="NEW"),"",INDEX(B3354:B$2,-1+SUMPRODUCT(MAX(ROW(E3354:E$2)*(E3355=E3354:E$2)))))</f>
        <v> </v>
      </c>
      <c r="J3355" s="25" t="str">
        <f>IF(OR(E3355="",E3355="!!!",F3355="NEW"),"",COUNTBLANK(OFFSET(A$1,,,SUMPRODUCT(MAX(ROW(E$2:E3355)*(E3355=E$2:E3355)))))-COUNTBLANK(OFFSET(A$1,,,SUMPRODUCT(MAX(ROW(E$1:E3354)*(E2=E$1:E3354))))))</f>
        <v> </v>
      </c>
      <c r="K3355" s="25" t="str">
        <f>IF(OR(E3355="",E3355="!!!",F3355="NEW"),"",INDEX(J$1:J3354,SUMPRODUCT(MAX(ROW(E$1:E3354)*(E3355=E$1:E3354)))))</f>
        <v> </v>
      </c>
      <c r="L3355" s="26"/>
    </row>
    <row r="3356" spans="1:12">
      <c r="A3356" s="20" t="s">
        <v>2631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 t="s">
        <v>2632</v>
      </c>
      <c r="E3357" s="21">
        <f>IF(D3357="?OLD","!!!","")</f>
        <v/>
      </c>
      <c r="F3357" s="22" t="str">
        <f>IF(OR(E3357="",E3357="!!!"),"",IF(NOT(ISNA(VLOOKUP(E3357,E$1:E3356,1,FALSE()))),"OLD",IF(AND(E3357&lt;&gt;"",E3357&lt;&gt;"!!!"),"NEW","")))</f>
        <v> </v>
      </c>
      <c r="G3357" s="23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4" t="str">
        <f>IF(J3357&lt;&gt;1,"",IF(I3357="SBJ","CB","?"))</f>
        <v> </v>
      </c>
      <c r="I3357" s="25" t="str">
        <f>IF(OR(E3357="",E3357="!!!",F3357="NEW"),"",INDEX(B3356:B$2,-1+SUMPRODUCT(MAX(ROW(E3356:E$2)*(E3357=E3356:E$2)))))</f>
        <v> </v>
      </c>
      <c r="J3357" s="25" t="str">
        <f>IF(OR(E3357="",E3357="!!!",F3357="NEW"),"",COUNTBLANK(OFFSET(A$1,,,SUMPRODUCT(MAX(ROW(E$2:E3357)*(E3357=E$2:E3357)))))-COUNTBLANK(OFFSET(A$1,,,SUMPRODUCT(MAX(ROW(E$1:E3356)*(E2=E$1:E3356))))))</f>
        <v> </v>
      </c>
      <c r="K3357" s="25" t="str">
        <f>IF(OR(E3357="",E3357="!!!",F3357="NEW"),"",INDEX(J$1:J3356,SUMPRODUCT(MAX(ROW(E$1:E3356)*(E3357=E$1:E3356)))))</f>
        <v> </v>
      </c>
      <c r="L3357" s="26"/>
    </row>
    <row r="3358" spans="1:12">
      <c r="A3358" s="20" t="s">
        <v>1346</v>
      </c>
      <c r="E3358" s="21">
        <f>IF(D3358="?OLD","!!!","")</f>
        <v/>
      </c>
      <c r="F3358" s="22" t="str">
        <f>IF(OR(E3358="",E3358="!!!"),"",IF(NOT(ISNA(VLOOKUP(E3358,E$1:E3357,1,FALSE()))),"OLD",IF(AND(E3358&lt;&gt;"",E3358&lt;&gt;"!!!"),"NEW","")))</f>
        <v> </v>
      </c>
      <c r="G3358" s="23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4" t="str">
        <f>IF(J3358&lt;&gt;1,"",IF(I3358="SBJ","CB","?"))</f>
        <v> </v>
      </c>
      <c r="I3358" s="25" t="str">
        <f>IF(OR(E3358="",E3358="!!!",F3358="NEW"),"",INDEX(B3357:B$2,-1+SUMPRODUCT(MAX(ROW(E3357:E$2)*(E3358=E3357:E$2)))))</f>
        <v> </v>
      </c>
      <c r="J3358" s="25" t="str">
        <f>IF(OR(E3358="",E3358="!!!",F3358="NEW"),"",COUNTBLANK(OFFSET(A$1,,,SUMPRODUCT(MAX(ROW(E$2:E3358)*(E3358=E$2:E3358)))))-COUNTBLANK(OFFSET(A$1,,,SUMPRODUCT(MAX(ROW(E$1:E3357)*(E2=E$1:E3357))))))</f>
        <v> </v>
      </c>
      <c r="K3358" s="25" t="str">
        <f>IF(OR(E3358="",E3358="!!!",F3358="NEW"),"",INDEX(J$1:J3357,SUMPRODUCT(MAX(ROW(E$1:E3357)*(E3358=E$1:E3357)))))</f>
        <v> </v>
      </c>
      <c r="L3358" s="26"/>
    </row>
    <row r="3359" spans="1:12">
      <c r="A3359" s="20" t="s">
        <v>2633</v>
      </c>
      <c r="B3359" s="27" t="s">
        <v>1149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1123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 t="s">
        <v>1249</v>
      </c>
      <c r="E3361" s="21">
        <f>IF(D3361="?OLD","!!!","")</f>
        <v/>
      </c>
      <c r="F3361" s="22" t="str">
        <f>IF(OR(E3361="",E3361="!!!"),"",IF(NOT(ISNA(VLOOKUP(E3361,E$1:E3360,1,FALSE()))),"OLD",IF(AND(E3361&lt;&gt;"",E3361&lt;&gt;"!!!"),"NEW","")))</f>
        <v> </v>
      </c>
      <c r="G3361" s="23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4" t="str">
        <f>IF(J3361&lt;&gt;1,"",IF(I3361="SBJ","CB","?"))</f>
        <v> </v>
      </c>
      <c r="I3361" s="25" t="str">
        <f>IF(OR(E3361="",E3361="!!!",F3361="NEW"),"",INDEX(B3360:B$2,-1+SUMPRODUCT(MAX(ROW(E3360:E$2)*(E3361=E3360:E$2)))))</f>
        <v> </v>
      </c>
      <c r="J3361" s="25" t="str">
        <f>IF(OR(E3361="",E3361="!!!",F3361="NEW"),"",COUNTBLANK(OFFSET(A$1,,,SUMPRODUCT(MAX(ROW(E$2:E3361)*(E3361=E$2:E3361)))))-COUNTBLANK(OFFSET(A$1,,,SUMPRODUCT(MAX(ROW(E$1:E3360)*(E2=E$1:E3360))))))</f>
        <v> </v>
      </c>
      <c r="K3361" s="25" t="str">
        <f>IF(OR(E3361="",E3361="!!!",F3361="NEW"),"",INDEX(J$1:J3360,SUMPRODUCT(MAX(ROW(E$1:E3360)*(E3361=E$1:E3360)))))</f>
        <v> </v>
      </c>
      <c r="L3361" s="26"/>
    </row>
    <row r="3362" spans="1:12">
      <c r="A3362" s="20" t="s">
        <v>2634</v>
      </c>
      <c r="B3362" s="27" t="s">
        <v>1110</v>
      </c>
      <c r="C3362" s="27" t="s">
        <v>1133</v>
      </c>
      <c r="E3362" s="21">
        <f>IF(D3362="?OLD","!!!","")</f>
        <v/>
      </c>
      <c r="F3362" s="22" t="str">
        <f>IF(OR(E3362="",E3362="!!!"),"",IF(NOT(ISNA(VLOOKUP(E3362,E$1:E3361,1,FALSE()))),"OLD",IF(AND(E3362&lt;&gt;"",E3362&lt;&gt;"!!!"),"NEW","")))</f>
        <v> </v>
      </c>
      <c r="G3362" s="23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4" t="str">
        <f>IF(J3362&lt;&gt;1,"",IF(I3362="SBJ","CB","?"))</f>
        <v> </v>
      </c>
      <c r="I3362" s="25" t="str">
        <f>IF(OR(E3362="",E3362="!!!",F3362="NEW"),"",INDEX(B3361:B$2,-1+SUMPRODUCT(MAX(ROW(E3361:E$2)*(E3362=E3361:E$2)))))</f>
        <v> </v>
      </c>
      <c r="J3362" s="25" t="str">
        <f>IF(OR(E3362="",E3362="!!!",F3362="NEW"),"",COUNTBLANK(OFFSET(A$1,,,SUMPRODUCT(MAX(ROW(E$2:E3362)*(E3362=E$2:E3362)))))-COUNTBLANK(OFFSET(A$1,,,SUMPRODUCT(MAX(ROW(E$1:E3361)*(E2=E$1:E3361))))))</f>
        <v> </v>
      </c>
      <c r="K3362" s="25" t="str">
        <f>IF(OR(E3362="",E3362="!!!",F3362="NEW"),"",INDEX(J$1:J3361,SUMPRODUCT(MAX(ROW(E$1:E3361)*(E3362=E$1:E3361)))))</f>
        <v> </v>
      </c>
      <c r="L3362" s="26"/>
    </row>
    <row r="3363" spans="1:12">
      <c r="A3363" s="20" t="s">
        <v>2324</v>
      </c>
      <c r="E3363" s="21">
        <f>IF(D3363="?OLD","!!!","")</f>
        <v/>
      </c>
      <c r="F3363" s="22" t="str">
        <f>IF(OR(E3363="",E3363="!!!"),"",IF(NOT(ISNA(VLOOKUP(E3363,E$1:E3362,1,FALSE()))),"OLD",IF(AND(E3363&lt;&gt;"",E3363&lt;&gt;"!!!"),"NEW","")))</f>
        <v> </v>
      </c>
      <c r="G3363" s="23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4" t="str">
        <f>IF(J3363&lt;&gt;1,"",IF(I3363="SBJ","CB","?"))</f>
        <v> </v>
      </c>
      <c r="I3363" s="25" t="str">
        <f>IF(OR(E3363="",E3363="!!!",F3363="NEW"),"",INDEX(B3362:B$2,-1+SUMPRODUCT(MAX(ROW(E3362:E$2)*(E3363=E3362:E$2)))))</f>
        <v> </v>
      </c>
      <c r="J3363" s="25" t="str">
        <f>IF(OR(E3363="",E3363="!!!",F3363="NEW"),"",COUNTBLANK(OFFSET(A$1,,,SUMPRODUCT(MAX(ROW(E$2:E3363)*(E3363=E$2:E3363)))))-COUNTBLANK(OFFSET(A$1,,,SUMPRODUCT(MAX(ROW(E$1:E3362)*(E2=E$1:E3362))))))</f>
        <v> </v>
      </c>
      <c r="K3363" s="25" t="str">
        <f>IF(OR(E3363="",E3363="!!!",F3363="NEW"),"",INDEX(J$1:J3362,SUMPRODUCT(MAX(ROW(E$1:E3362)*(E3363=E$1:E3362)))))</f>
        <v> </v>
      </c>
      <c r="L3363" s="26"/>
    </row>
    <row r="3364" spans="1:12">
      <c r="A3364" s="20" t="s">
        <v>2635</v>
      </c>
      <c r="E3364" s="21">
        <f>IF(D3364="?OLD","!!!","")</f>
        <v/>
      </c>
      <c r="F3364" s="22" t="str">
        <f>IF(OR(E3364="",E3364="!!!"),"",IF(NOT(ISNA(VLOOKUP(E3364,E$1:E3363,1,FALSE()))),"OLD",IF(AND(E3364&lt;&gt;"",E3364&lt;&gt;"!!!"),"NEW","")))</f>
        <v> </v>
      </c>
      <c r="G3364" s="23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4" t="str">
        <f>IF(J3364&lt;&gt;1,"",IF(I3364="SBJ","CB","?"))</f>
        <v> </v>
      </c>
      <c r="I3364" s="25" t="str">
        <f>IF(OR(E3364="",E3364="!!!",F3364="NEW"),"",INDEX(B3363:B$2,-1+SUMPRODUCT(MAX(ROW(E3363:E$2)*(E3364=E3363:E$2)))))</f>
        <v> </v>
      </c>
      <c r="J3364" s="25" t="str">
        <f>IF(OR(E3364="",E3364="!!!",F3364="NEW"),"",COUNTBLANK(OFFSET(A$1,,,SUMPRODUCT(MAX(ROW(E$2:E3364)*(E3364=E$2:E3364)))))-COUNTBLANK(OFFSET(A$1,,,SUMPRODUCT(MAX(ROW(E$1:E3363)*(E2=E$1:E3363))))))</f>
        <v> </v>
      </c>
      <c r="K3364" s="25" t="str">
        <f>IF(OR(E3364="",E3364="!!!",F3364="NEW"),"",INDEX(J$1:J3363,SUMPRODUCT(MAX(ROW(E$1:E3363)*(E3364=E$1:E3363)))))</f>
        <v> </v>
      </c>
      <c r="L3364" s="26"/>
    </row>
    <row r="3365" spans="1:12">
      <c r="A3365" s="20" t="s">
        <v>2636</v>
      </c>
      <c r="B3365" s="27" t="s">
        <v>1259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1145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/>
    </row>
    <row r="3368" spans="1:12">
      <c r="A3368" s="20" t="s">
        <v>2637</v>
      </c>
    </row>
    <row r="3369" spans="1:12">
      <c r="A3369" s="20" t="s">
        <v>2416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 t="s">
        <v>1124</v>
      </c>
      <c r="B3370" s="27" t="s">
        <v>1149</v>
      </c>
      <c r="C3370" s="27" t="s">
        <v>1126</v>
      </c>
      <c r="D3370" s="27" t="s">
        <v>1105</v>
      </c>
      <c r="E3370" s="21">
        <f>IF(D3370="?OLD","!!!","")</f>
        <v/>
      </c>
      <c r="F3370" s="22" t="str">
        <f>IF(OR(E3370="",E3370="!!!"),"",IF(NOT(ISNA(VLOOKUP(E3370,E$1:E3369,1,FALSE()))),"OLD",IF(AND(E3370&lt;&gt;"",E3370&lt;&gt;"!!!"),"NEW","")))</f>
        <v> </v>
      </c>
      <c r="G3370" s="23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4" t="str">
        <f>IF(J3370&lt;&gt;1,"",IF(I3370="SBJ","CB","?"))</f>
        <v> </v>
      </c>
      <c r="I3370" s="25" t="str">
        <f>IF(OR(E3370="",E3370="!!!",F3370="NEW"),"",INDEX(B3369:B$2,-1+SUMPRODUCT(MAX(ROW(E3369:E$2)*(E3370=E3369:E$2)))))</f>
        <v> </v>
      </c>
      <c r="J3370" s="25" t="str">
        <f>IF(OR(E3370="",E3370="!!!",F3370="NEW"),"",COUNTBLANK(OFFSET(A$1,,,SUMPRODUCT(MAX(ROW(E$2:E3370)*(E3370=E$2:E3370)))))-COUNTBLANK(OFFSET(A$1,,,SUMPRODUCT(MAX(ROW(E$1:E3369)*(E2=E$1:E3369))))))</f>
        <v> </v>
      </c>
      <c r="K3370" s="25" t="str">
        <f>IF(OR(E3370="",E3370="!!!",F3370="NEW"),"",INDEX(J$1:J3369,SUMPRODUCT(MAX(ROW(E$1:E3369)*(E3370=E$1:E3369)))))</f>
        <v> </v>
      </c>
      <c r="L3370" s="26"/>
    </row>
    <row r="3371" spans="1:12">
      <c r="A3371" s="20" t="s">
        <v>1128</v>
      </c>
      <c r="E3371" s="21">
        <f>IF(D3371="?OLD","!!!","")</f>
        <v/>
      </c>
      <c r="F3371" s="22" t="str">
        <f>IF(OR(E3371="",E3371="!!!"),"",IF(NOT(ISNA(VLOOKUP(E3371,E$1:E3370,1,FALSE()))),"OLD",IF(AND(E3371&lt;&gt;"",E3371&lt;&gt;"!!!"),"NEW","")))</f>
        <v> </v>
      </c>
      <c r="G3371" s="23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4" t="str">
        <f>IF(J3371&lt;&gt;1,"",IF(I3371="SBJ","CB","?"))</f>
        <v> </v>
      </c>
      <c r="I3371" s="25" t="str">
        <f>IF(OR(E3371="",E3371="!!!",F3371="NEW"),"",INDEX(B3370:B$2,-1+SUMPRODUCT(MAX(ROW(E3370:E$2)*(E3371=E3370:E$2)))))</f>
        <v> </v>
      </c>
      <c r="J3371" s="25" t="str">
        <f>IF(OR(E3371="",E3371="!!!",F3371="NEW"),"",COUNTBLANK(OFFSET(A$1,,,SUMPRODUCT(MAX(ROW(E$2:E3371)*(E3371=E$2:E3371)))))-COUNTBLANK(OFFSET(A$1,,,SUMPRODUCT(MAX(ROW(E$1:E3370)*(E2=E$1:E3370))))))</f>
        <v> </v>
      </c>
      <c r="K3371" s="25" t="str">
        <f>IF(OR(E3371="",E3371="!!!",F3371="NEW"),"",INDEX(J$1:J3370,SUMPRODUCT(MAX(ROW(E$1:E3370)*(E3371=E$1:E3370)))))</f>
        <v> </v>
      </c>
      <c r="L3371" s="26"/>
    </row>
    <row r="3372" spans="1:12">
      <c r="A3372" s="20" t="s">
        <v>2638</v>
      </c>
      <c r="E3372" s="21">
        <f>IF(D3372="?OLD","!!!","")</f>
        <v/>
      </c>
      <c r="F3372" s="22" t="str">
        <f>IF(OR(E3372="",E3372="!!!"),"",IF(NOT(ISNA(VLOOKUP(E3372,E$1:E3371,1,FALSE()))),"OLD",IF(AND(E3372&lt;&gt;"",E3372&lt;&gt;"!!!"),"NEW","")))</f>
        <v> </v>
      </c>
      <c r="G3372" s="23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4" t="str">
        <f>IF(J3372&lt;&gt;1,"",IF(I3372="SBJ","CB","?"))</f>
        <v> </v>
      </c>
      <c r="I3372" s="25" t="str">
        <f>IF(OR(E3372="",E3372="!!!",F3372="NEW"),"",INDEX(B3371:B$2,-1+SUMPRODUCT(MAX(ROW(E3371:E$2)*(E3372=E3371:E$2)))))</f>
        <v> </v>
      </c>
      <c r="J3372" s="25" t="str">
        <f>IF(OR(E3372="",E3372="!!!",F3372="NEW"),"",COUNTBLANK(OFFSET(A$1,,,SUMPRODUCT(MAX(ROW(E$2:E3372)*(E3372=E$2:E3372)))))-COUNTBLANK(OFFSET(A$1,,,SUMPRODUCT(MAX(ROW(E$1:E3371)*(E2=E$1:E3371))))))</f>
        <v> </v>
      </c>
      <c r="K3372" s="25" t="str">
        <f>IF(OR(E3372="",E3372="!!!",F3372="NEW"),"",INDEX(J$1:J3371,SUMPRODUCT(MAX(ROW(E$1:E3371)*(E3372=E$1:E3371)))))</f>
        <v> </v>
      </c>
      <c r="L3372" s="26"/>
    </row>
    <row r="3373" spans="1:12">
      <c r="A3373" s="20" t="s">
        <v>2125</v>
      </c>
      <c r="E3373" s="21">
        <f>IF(D3373="?OLD","!!!","")</f>
        <v/>
      </c>
      <c r="F3373" s="22" t="str">
        <f>IF(OR(E3373="",E3373="!!!"),"",IF(NOT(ISNA(VLOOKUP(E3373,E$1:E3372,1,FALSE()))),"OLD",IF(AND(E3373&lt;&gt;"",E3373&lt;&gt;"!!!"),"NEW","")))</f>
        <v> </v>
      </c>
      <c r="G3373" s="23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4" t="str">
        <f>IF(J3373&lt;&gt;1,"",IF(I3373="SBJ","CB","?"))</f>
        <v> </v>
      </c>
      <c r="I3373" s="25" t="str">
        <f>IF(OR(E3373="",E3373="!!!",F3373="NEW"),"",INDEX(B3372:B$2,-1+SUMPRODUCT(MAX(ROW(E3372:E$2)*(E3373=E3372:E$2)))))</f>
        <v> </v>
      </c>
      <c r="J3373" s="25" t="str">
        <f>IF(OR(E3373="",E3373="!!!",F3373="NEW"),"",COUNTBLANK(OFFSET(A$1,,,SUMPRODUCT(MAX(ROW(E$2:E3373)*(E3373=E$2:E3373)))))-COUNTBLANK(OFFSET(A$1,,,SUMPRODUCT(MAX(ROW(E$1:E3372)*(E2=E$1:E3372))))))</f>
        <v> </v>
      </c>
      <c r="K3373" s="25" t="str">
        <f>IF(OR(E3373="",E3373="!!!",F3373="NEW"),"",INDEX(J$1:J3372,SUMPRODUCT(MAX(ROW(E$1:E3372)*(E3373=E$1:E3372)))))</f>
        <v> </v>
      </c>
      <c r="L3373" s="26"/>
    </row>
    <row r="3374" spans="1:12">
      <c r="A3374" s="20" t="s">
        <v>2277</v>
      </c>
      <c r="B3374" s="27" t="s">
        <v>1213</v>
      </c>
      <c r="E3374" s="21">
        <f>IF(D3374="?OLD","!!!","")</f>
        <v/>
      </c>
      <c r="F3374" s="22" t="str">
        <f>IF(OR(E3374="",E3374="!!!"),"",IF(NOT(ISNA(VLOOKUP(E3374,E$1:E3373,1,FALSE()))),"OLD",IF(AND(E3374&lt;&gt;"",E3374&lt;&gt;"!!!"),"NEW","")))</f>
        <v> </v>
      </c>
      <c r="G3374" s="23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4" t="str">
        <f>IF(J3374&lt;&gt;1,"",IF(I3374="SBJ","CB","?"))</f>
        <v> </v>
      </c>
      <c r="I3374" s="25" t="str">
        <f>IF(OR(E3374="",E3374="!!!",F3374="NEW"),"",INDEX(B3373:B$2,-1+SUMPRODUCT(MAX(ROW(E3373:E$2)*(E3374=E3373:E$2)))))</f>
        <v> </v>
      </c>
      <c r="J3374" s="25" t="str">
        <f>IF(OR(E3374="",E3374="!!!",F3374="NEW"),"",COUNTBLANK(OFFSET(A$1,,,SUMPRODUCT(MAX(ROW(E$2:E3374)*(E3374=E$2:E3374)))))-COUNTBLANK(OFFSET(A$1,,,SUMPRODUCT(MAX(ROW(E$1:E3373)*(E2=E$1:E3373))))))</f>
        <v> </v>
      </c>
      <c r="K3374" s="25" t="str">
        <f>IF(OR(E3374="",E3374="!!!",F3374="NEW"),"",INDEX(J$1:J3373,SUMPRODUCT(MAX(ROW(E$1:E3373)*(E3374=E$1:E3373)))))</f>
        <v> </v>
      </c>
      <c r="L3374" s="26"/>
    </row>
    <row r="3375" spans="1:12">
      <c r="A3375" s="20" t="s">
        <v>1123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1128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1475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1318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 t="s">
        <v>1421</v>
      </c>
      <c r="B3379" s="27" t="s">
        <v>1107</v>
      </c>
      <c r="C3379" s="27" t="s">
        <v>1126</v>
      </c>
      <c r="D3379" s="27" t="s">
        <v>1105</v>
      </c>
      <c r="E3379" s="21">
        <f>IF(D3379="?OLD","!!!","")</f>
        <v/>
      </c>
      <c r="F3379" s="22" t="str">
        <f>IF(OR(E3379="",E3379="!!!"),"",IF(NOT(ISNA(VLOOKUP(E3379,E$1:E3378,1,FALSE()))),"OLD",IF(AND(E3379&lt;&gt;"",E3379&lt;&gt;"!!!"),"NEW","")))</f>
        <v> </v>
      </c>
      <c r="G3379" s="23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4" t="str">
        <f>IF(J3379&lt;&gt;1,"",IF(I3379="SBJ","CB","?"))</f>
        <v> </v>
      </c>
      <c r="I3379" s="25" t="str">
        <f>IF(OR(E3379="",E3379="!!!",F3379="NEW"),"",INDEX(B3378:B$2,-1+SUMPRODUCT(MAX(ROW(E3378:E$2)*(E3379=E3378:E$2)))))</f>
        <v> </v>
      </c>
      <c r="J3379" s="25" t="str">
        <f>IF(OR(E3379="",E3379="!!!",F3379="NEW"),"",COUNTBLANK(OFFSET(A$1,,,SUMPRODUCT(MAX(ROW(E$2:E3379)*(E3379=E$2:E3379)))))-COUNTBLANK(OFFSET(A$1,,,SUMPRODUCT(MAX(ROW(E$1:E3378)*(E2=E$1:E3378))))))</f>
        <v> </v>
      </c>
      <c r="K3379" s="25" t="str">
        <f>IF(OR(E3379="",E3379="!!!",F3379="NEW"),"",INDEX(J$1:J3378,SUMPRODUCT(MAX(ROW(E$1:E3378)*(E3379=E$1:E3378)))))</f>
        <v> </v>
      </c>
      <c r="L3379" s="26"/>
    </row>
    <row r="3380" spans="1:12">
      <c r="A3380" s="20" t="s">
        <v>1206</v>
      </c>
      <c r="B3380" s="27" t="s">
        <v>1122</v>
      </c>
      <c r="C3380" s="27" t="s">
        <v>1126</v>
      </c>
      <c r="D3380" s="27" t="s">
        <v>1105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 t="s">
        <v>2639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1249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 t="s">
        <v>1909</v>
      </c>
      <c r="E3383" s="21">
        <f>IF(D3383="?OLD","!!!","")</f>
        <v/>
      </c>
      <c r="F3383" s="22" t="str">
        <f>IF(OR(E3383="",E3383="!!!"),"",IF(NOT(ISNA(VLOOKUP(E3383,E$1:E3382,1,FALSE()))),"OLD",IF(AND(E3383&lt;&gt;"",E3383&lt;&gt;"!!!"),"NEW","")))</f>
        <v> </v>
      </c>
      <c r="G3383" s="23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4" t="str">
        <f>IF(J3383&lt;&gt;1,"",IF(I3383="SBJ","CB","?"))</f>
        <v> </v>
      </c>
      <c r="I3383" s="25" t="str">
        <f>IF(OR(E3383="",E3383="!!!",F3383="NEW"),"",INDEX(B3382:B$2,-1+SUMPRODUCT(MAX(ROW(E3382:E$2)*(E3383=E3382:E$2)))))</f>
        <v> </v>
      </c>
      <c r="J3383" s="25" t="str">
        <f>IF(OR(E3383="",E3383="!!!",F3383="NEW"),"",COUNTBLANK(OFFSET(A$1,,,SUMPRODUCT(MAX(ROW(E$2:E3383)*(E3383=E$2:E3383)))))-COUNTBLANK(OFFSET(A$1,,,SUMPRODUCT(MAX(ROW(E$1:E3382)*(E2=E$1:E3382))))))</f>
        <v> </v>
      </c>
      <c r="K3383" s="25" t="str">
        <f>IF(OR(E3383="",E3383="!!!",F3383="NEW"),"",INDEX(J$1:J3382,SUMPRODUCT(MAX(ROW(E$1:E3382)*(E3383=E$1:E3382)))))</f>
        <v> </v>
      </c>
      <c r="L3383" s="26"/>
    </row>
    <row r="3384" spans="1:12">
      <c r="A3384" s="20" t="s">
        <v>2378</v>
      </c>
      <c r="B3384" s="27" t="s">
        <v>1107</v>
      </c>
      <c r="C3384" s="27" t="s">
        <v>1156</v>
      </c>
      <c r="D3384" s="27" t="s">
        <v>1105</v>
      </c>
      <c r="E3384" s="21">
        <f>IF(D3384="?OLD","!!!","")</f>
        <v/>
      </c>
      <c r="F3384" s="22" t="str">
        <f>IF(OR(E3384="",E3384="!!!"),"",IF(NOT(ISNA(VLOOKUP(E3384,E$1:E3383,1,FALSE()))),"OLD",IF(AND(E3384&lt;&gt;"",E3384&lt;&gt;"!!!"),"NEW","")))</f>
        <v> </v>
      </c>
      <c r="G3384" s="23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4" t="str">
        <f>IF(J3384&lt;&gt;1,"",IF(I3384="SBJ","CB","?"))</f>
        <v> </v>
      </c>
      <c r="I3384" s="25" t="str">
        <f>IF(OR(E3384="",E3384="!!!",F3384="NEW"),"",INDEX(B3383:B$2,-1+SUMPRODUCT(MAX(ROW(E3383:E$2)*(E3384=E3383:E$2)))))</f>
        <v> </v>
      </c>
      <c r="J3384" s="25" t="str">
        <f>IF(OR(E3384="",E3384="!!!",F3384="NEW"),"",COUNTBLANK(OFFSET(A$1,,,SUMPRODUCT(MAX(ROW(E$2:E3384)*(E3384=E$2:E3384)))))-COUNTBLANK(OFFSET(A$1,,,SUMPRODUCT(MAX(ROW(E$1:E3383)*(E2=E$1:E3383))))))</f>
        <v> </v>
      </c>
      <c r="K3384" s="25" t="str">
        <f>IF(OR(E3384="",E3384="!!!",F3384="NEW"),"",INDEX(J$1:J3383,SUMPRODUCT(MAX(ROW(E$1:E3383)*(E3384=E$1:E3383)))))</f>
        <v> </v>
      </c>
      <c r="L3384" s="26"/>
    </row>
    <row r="3385" spans="1:12">
      <c r="A3385" s="20" t="s">
        <v>1123</v>
      </c>
      <c r="E3385" s="21">
        <f>IF(D3385="?OLD","!!!","")</f>
        <v/>
      </c>
      <c r="F3385" s="22" t="str">
        <f>IF(OR(E3385="",E3385="!!!"),"",IF(NOT(ISNA(VLOOKUP(E3385,E$1:E3384,1,FALSE()))),"OLD",IF(AND(E3385&lt;&gt;"",E3385&lt;&gt;"!!!"),"NEW","")))</f>
        <v> </v>
      </c>
      <c r="G3385" s="23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4" t="str">
        <f>IF(J3385&lt;&gt;1,"",IF(I3385="SBJ","CB","?"))</f>
        <v> </v>
      </c>
      <c r="I3385" s="25" t="str">
        <f>IF(OR(E3385="",E3385="!!!",F3385="NEW"),"",INDEX(B3384:B$2,-1+SUMPRODUCT(MAX(ROW(E3384:E$2)*(E3385=E3384:E$2)))))</f>
        <v> </v>
      </c>
      <c r="J3385" s="25" t="str">
        <f>IF(OR(E3385="",E3385="!!!",F3385="NEW"),"",COUNTBLANK(OFFSET(A$1,,,SUMPRODUCT(MAX(ROW(E$2:E3385)*(E3385=E$2:E3385)))))-COUNTBLANK(OFFSET(A$1,,,SUMPRODUCT(MAX(ROW(E$1:E3384)*(E2=E$1:E3384))))))</f>
        <v> </v>
      </c>
      <c r="K3385" s="25" t="str">
        <f>IF(OR(E3385="",E3385="!!!",F3385="NEW"),"",INDEX(J$1:J3384,SUMPRODUCT(MAX(ROW(E$1:E3384)*(E3385=E$1:E3384)))))</f>
        <v> </v>
      </c>
      <c r="L3385" s="26"/>
    </row>
    <row r="3386" spans="1:12">
      <c r="A3386" s="20" t="s">
        <v>1112</v>
      </c>
      <c r="E3386" s="21">
        <f>IF(D3386="?OLD","!!!","")</f>
        <v/>
      </c>
      <c r="F3386" s="22" t="str">
        <f>IF(OR(E3386="",E3386="!!!"),"",IF(NOT(ISNA(VLOOKUP(E3386,E$1:E3385,1,FALSE()))),"OLD",IF(AND(E3386&lt;&gt;"",E3386&lt;&gt;"!!!"),"NEW","")))</f>
        <v> </v>
      </c>
      <c r="G3386" s="23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4" t="str">
        <f>IF(J3386&lt;&gt;1,"",IF(I3386="SBJ","CB","?"))</f>
        <v> </v>
      </c>
      <c r="I3386" s="25" t="str">
        <f>IF(OR(E3386="",E3386="!!!",F3386="NEW"),"",INDEX(B3385:B$2,-1+SUMPRODUCT(MAX(ROW(E3385:E$2)*(E3386=E3385:E$2)))))</f>
        <v> </v>
      </c>
      <c r="J3386" s="25" t="str">
        <f>IF(OR(E3386="",E3386="!!!",F3386="NEW"),"",COUNTBLANK(OFFSET(A$1,,,SUMPRODUCT(MAX(ROW(E$2:E3386)*(E3386=E$2:E3386)))))-COUNTBLANK(OFFSET(A$1,,,SUMPRODUCT(MAX(ROW(E$1:E3385)*(E2=E$1:E3385))))))</f>
        <v> </v>
      </c>
      <c r="K3386" s="25" t="str">
        <f>IF(OR(E3386="",E3386="!!!",F3386="NEW"),"",INDEX(J$1:J3385,SUMPRODUCT(MAX(ROW(E$1:E3385)*(E3386=E$1:E3385)))))</f>
        <v> </v>
      </c>
      <c r="L3386" s="26"/>
    </row>
    <row r="3387" spans="1:12">
      <c r="A3387" s="20" t="s">
        <v>2339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 t="s">
        <v>471</v>
      </c>
      <c r="E3388" s="21">
        <f>IF(D3388="?OLD","!!!","")</f>
        <v/>
      </c>
      <c r="F3388" s="22" t="str">
        <f>IF(OR(E3388="",E3388="!!!"),"",IF(NOT(ISNA(VLOOKUP(E3388,E$1:E3387,1,FALSE()))),"OLD",IF(AND(E3388&lt;&gt;"",E3388&lt;&gt;"!!!"),"NEW","")))</f>
        <v> </v>
      </c>
      <c r="G3388" s="23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4" t="str">
        <f>IF(J3388&lt;&gt;1,"",IF(I3388="SBJ","CB","?"))</f>
        <v> </v>
      </c>
      <c r="I3388" s="25" t="str">
        <f>IF(OR(E3388="",E3388="!!!",F3388="NEW"),"",INDEX(B3387:B$2,-1+SUMPRODUCT(MAX(ROW(E3387:E$2)*(E3388=E3387:E$2)))))</f>
        <v> </v>
      </c>
      <c r="J3388" s="25" t="str">
        <f>IF(OR(E3388="",E3388="!!!",F3388="NEW"),"",COUNTBLANK(OFFSET(A$1,,,SUMPRODUCT(MAX(ROW(E$2:E3388)*(E3388=E$2:E3388)))))-COUNTBLANK(OFFSET(A$1,,,SUMPRODUCT(MAX(ROW(E$1:E3387)*(E2=E$1:E3387))))))</f>
        <v> </v>
      </c>
      <c r="K3388" s="25" t="str">
        <f>IF(OR(E3388="",E3388="!!!",F3388="NEW"),"",INDEX(J$1:J3387,SUMPRODUCT(MAX(ROW(E$1:E3387)*(E3388=E$1:E3387)))))</f>
        <v> </v>
      </c>
      <c r="L3388" s="26"/>
    </row>
    <row r="3389" spans="1:12">
      <c r="A3389" s="20" t="s">
        <v>1145</v>
      </c>
      <c r="E3389" s="21">
        <f>IF(D3389="?OLD","!!!","")</f>
        <v/>
      </c>
      <c r="F3389" s="22" t="str">
        <f>IF(OR(E3389="",E3389="!!!"),"",IF(NOT(ISNA(VLOOKUP(E3389,E$1:E3388,1,FALSE()))),"OLD",IF(AND(E3389&lt;&gt;"",E3389&lt;&gt;"!!!"),"NEW","")))</f>
        <v> </v>
      </c>
      <c r="G3389" s="23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4" t="str">
        <f>IF(J3389&lt;&gt;1,"",IF(I3389="SBJ","CB","?"))</f>
        <v> </v>
      </c>
      <c r="I3389" s="25" t="str">
        <f>IF(OR(E3389="",E3389="!!!",F3389="NEW"),"",INDEX(B3388:B$2,-1+SUMPRODUCT(MAX(ROW(E3388:E$2)*(E3389=E3388:E$2)))))</f>
        <v> </v>
      </c>
      <c r="J3389" s="25" t="str">
        <f>IF(OR(E3389="",E3389="!!!",F3389="NEW"),"",COUNTBLANK(OFFSET(A$1,,,SUMPRODUCT(MAX(ROW(E$2:E3389)*(E3389=E$2:E3389)))))-COUNTBLANK(OFFSET(A$1,,,SUMPRODUCT(MAX(ROW(E$1:E3388)*(E2=E$1:E3388))))))</f>
        <v> </v>
      </c>
      <c r="K3389" s="25" t="str">
        <f>IF(OR(E3389="",E3389="!!!",F3389="NEW"),"",INDEX(J$1:J3388,SUMPRODUCT(MAX(ROW(E$1:E3388)*(E3389=E$1:E3388)))))</f>
        <v> </v>
      </c>
      <c r="L3389" s="26"/>
    </row>
    <row r="3390" spans="1:12">
      <c r="A3390" s="20"/>
    </row>
    <row r="3391" spans="1:12">
      <c r="A3391" s="20" t="s">
        <v>2640</v>
      </c>
    </row>
    <row r="3392" spans="1:12">
      <c r="A3392" s="20" t="s">
        <v>1350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2641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 t="s">
        <v>1124</v>
      </c>
      <c r="B3394" s="27" t="s">
        <v>1149</v>
      </c>
      <c r="C3394" s="27" t="s">
        <v>1126</v>
      </c>
      <c r="D3394" s="27" t="s">
        <v>1105</v>
      </c>
      <c r="E3394" s="21">
        <f>IF(D3394="?OLD","!!!","")</f>
        <v/>
      </c>
      <c r="F3394" s="22" t="str">
        <f>IF(OR(E3394="",E3394="!!!"),"",IF(NOT(ISNA(VLOOKUP(E3394,E$1:E3393,1,FALSE()))),"OLD",IF(AND(E3394&lt;&gt;"",E3394&lt;&gt;"!!!"),"NEW","")))</f>
        <v> </v>
      </c>
      <c r="G3394" s="23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4" t="str">
        <f>IF(J3394&lt;&gt;1,"",IF(I3394="SBJ","CB","?"))</f>
        <v> </v>
      </c>
      <c r="I3394" s="25" t="str">
        <f>IF(OR(E3394="",E3394="!!!",F3394="NEW"),"",INDEX(B3393:B$2,-1+SUMPRODUCT(MAX(ROW(E3393:E$2)*(E3394=E3393:E$2)))))</f>
        <v> </v>
      </c>
      <c r="J3394" s="25" t="str">
        <f>IF(OR(E3394="",E3394="!!!",F3394="NEW"),"",COUNTBLANK(OFFSET(A$1,,,SUMPRODUCT(MAX(ROW(E$2:E3394)*(E3394=E$2:E3394)))))-COUNTBLANK(OFFSET(A$1,,,SUMPRODUCT(MAX(ROW(E$1:E3393)*(E2=E$1:E3393))))))</f>
        <v> </v>
      </c>
      <c r="K3394" s="25" t="str">
        <f>IF(OR(E3394="",E3394="!!!",F3394="NEW"),"",INDEX(J$1:J3393,SUMPRODUCT(MAX(ROW(E$1:E3393)*(E3394=E$1:E3393)))))</f>
        <v> </v>
      </c>
      <c r="L3394" s="26"/>
    </row>
    <row r="3395" spans="1:12">
      <c r="A3395" s="20" t="s">
        <v>1229</v>
      </c>
      <c r="E3395" s="21">
        <f>IF(D3395="?OLD","!!!","")</f>
        <v/>
      </c>
      <c r="F3395" s="22" t="str">
        <f>IF(OR(E3395="",E3395="!!!"),"",IF(NOT(ISNA(VLOOKUP(E3395,E$1:E3394,1,FALSE()))),"OLD",IF(AND(E3395&lt;&gt;"",E3395&lt;&gt;"!!!"),"NEW","")))</f>
        <v> </v>
      </c>
      <c r="G3395" s="23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4" t="str">
        <f>IF(J3395&lt;&gt;1,"",IF(I3395="SBJ","CB","?"))</f>
        <v> </v>
      </c>
      <c r="I3395" s="25" t="str">
        <f>IF(OR(E3395="",E3395="!!!",F3395="NEW"),"",INDEX(B3394:B$2,-1+SUMPRODUCT(MAX(ROW(E3394:E$2)*(E3395=E3394:E$2)))))</f>
        <v> </v>
      </c>
      <c r="J3395" s="25" t="str">
        <f>IF(OR(E3395="",E3395="!!!",F3395="NEW"),"",COUNTBLANK(OFFSET(A$1,,,SUMPRODUCT(MAX(ROW(E$2:E3395)*(E3395=E$2:E3395)))))-COUNTBLANK(OFFSET(A$1,,,SUMPRODUCT(MAX(ROW(E$1:E3394)*(E2=E$1:E3394))))))</f>
        <v> </v>
      </c>
      <c r="K3395" s="25" t="str">
        <f>IF(OR(E3395="",E3395="!!!",F3395="NEW"),"",INDEX(J$1:J3394,SUMPRODUCT(MAX(ROW(E$1:E3394)*(E3395=E$1:E3394)))))</f>
        <v> </v>
      </c>
      <c r="L3395" s="26"/>
    </row>
    <row r="3396" spans="1:12">
      <c r="A3396" s="20" t="s">
        <v>2642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1145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/>
    </row>
    <row r="3399" spans="1:12">
      <c r="A3399" s="20" t="s">
        <v>2643</v>
      </c>
    </row>
    <row r="3400" spans="1:12">
      <c r="A3400" s="20" t="s">
        <v>1225</v>
      </c>
      <c r="B3400" s="27" t="s">
        <v>1149</v>
      </c>
      <c r="C3400" s="27" t="s">
        <v>1108</v>
      </c>
      <c r="D3400" s="27" t="s">
        <v>1105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2644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1184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 t="s">
        <v>1473</v>
      </c>
      <c r="E3403" s="21">
        <f>IF(D3403="?OLD","!!!","")</f>
        <v/>
      </c>
      <c r="F3403" s="22" t="str">
        <f>IF(OR(E3403="",E3403="!!!"),"",IF(NOT(ISNA(VLOOKUP(E3403,E$1:E3402,1,FALSE()))),"OLD",IF(AND(E3403&lt;&gt;"",E3403&lt;&gt;"!!!"),"NEW","")))</f>
        <v> </v>
      </c>
      <c r="G3403" s="23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4" t="str">
        <f>IF(J3403&lt;&gt;1,"",IF(I3403="SBJ","CB","?"))</f>
        <v> </v>
      </c>
      <c r="I3403" s="25" t="str">
        <f>IF(OR(E3403="",E3403="!!!",F3403="NEW"),"",INDEX(B3402:B$2,-1+SUMPRODUCT(MAX(ROW(E3402:E$2)*(E3403=E3402:E$2)))))</f>
        <v> </v>
      </c>
      <c r="J3403" s="25" t="str">
        <f>IF(OR(E3403="",E3403="!!!",F3403="NEW"),"",COUNTBLANK(OFFSET(A$1,,,SUMPRODUCT(MAX(ROW(E$2:E3403)*(E3403=E$2:E3403)))))-COUNTBLANK(OFFSET(A$1,,,SUMPRODUCT(MAX(ROW(E$1:E3402)*(E2=E$1:E3402))))))</f>
        <v> </v>
      </c>
      <c r="K3403" s="25" t="str">
        <f>IF(OR(E3403="",E3403="!!!",F3403="NEW"),"",INDEX(J$1:J3402,SUMPRODUCT(MAX(ROW(E$1:E3402)*(E3403=E$1:E3402)))))</f>
        <v> </v>
      </c>
      <c r="L3403" s="26"/>
    </row>
    <row r="3404" spans="1:12">
      <c r="A3404" s="20" t="s">
        <v>2645</v>
      </c>
      <c r="E3404" s="21">
        <f>IF(D3404="?OLD","!!!","")</f>
        <v/>
      </c>
      <c r="F3404" s="22" t="str">
        <f>IF(OR(E3404="",E3404="!!!"),"",IF(NOT(ISNA(VLOOKUP(E3404,E$1:E3403,1,FALSE()))),"OLD",IF(AND(E3404&lt;&gt;"",E3404&lt;&gt;"!!!"),"NEW","")))</f>
        <v> </v>
      </c>
      <c r="G3404" s="23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4" t="str">
        <f>IF(J3404&lt;&gt;1,"",IF(I3404="SBJ","CB","?"))</f>
        <v> </v>
      </c>
      <c r="I3404" s="25" t="str">
        <f>IF(OR(E3404="",E3404="!!!",F3404="NEW"),"",INDEX(B3403:B$2,-1+SUMPRODUCT(MAX(ROW(E3403:E$2)*(E3404=E3403:E$2)))))</f>
        <v> </v>
      </c>
      <c r="J3404" s="25" t="str">
        <f>IF(OR(E3404="",E3404="!!!",F3404="NEW"),"",COUNTBLANK(OFFSET(A$1,,,SUMPRODUCT(MAX(ROW(E$2:E3404)*(E3404=E$2:E3404)))))-COUNTBLANK(OFFSET(A$1,,,SUMPRODUCT(MAX(ROW(E$1:E3403)*(E2=E$1:E3403))))))</f>
        <v> </v>
      </c>
      <c r="K3404" s="25" t="str">
        <f>IF(OR(E3404="",E3404="!!!",F3404="NEW"),"",INDEX(J$1:J3403,SUMPRODUCT(MAX(ROW(E$1:E3403)*(E3404=E$1:E3403)))))</f>
        <v> </v>
      </c>
      <c r="L3404" s="26"/>
    </row>
    <row r="3405" spans="1:12">
      <c r="A3405" s="20" t="s">
        <v>1145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/>
    </row>
    <row r="3407" spans="1:12">
      <c r="A3407" s="20" t="s">
        <v>2646</v>
      </c>
    </row>
    <row r="3408" spans="1:12">
      <c r="A3408" s="20" t="s">
        <v>1679</v>
      </c>
      <c r="E3408" s="21">
        <f>IF(D3408="?OLD","!!!","")</f>
        <v/>
      </c>
      <c r="F3408" s="22" t="str">
        <f>IF(OR(E3408="",E3408="!!!"),"",IF(NOT(ISNA(VLOOKUP(E3408,E$1:E3407,1,FALSE()))),"OLD",IF(AND(E3408&lt;&gt;"",E3408&lt;&gt;"!!!"),"NEW","")))</f>
        <v> </v>
      </c>
      <c r="G3408" s="23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4" t="str">
        <f>IF(J3408&lt;&gt;1,"",IF(I3408="SBJ","CB","?"))</f>
        <v> </v>
      </c>
      <c r="I3408" s="25" t="str">
        <f>IF(OR(E3408="",E3408="!!!",F3408="NEW"),"",INDEX(B3407:B$2,-1+SUMPRODUCT(MAX(ROW(E3407:E$2)*(E3408=E3407:E$2)))))</f>
        <v> </v>
      </c>
      <c r="J3408" s="25" t="str">
        <f>IF(OR(E3408="",E3408="!!!",F3408="NEW"),"",COUNTBLANK(OFFSET(A$1,,,SUMPRODUCT(MAX(ROW(E$2:E3408)*(E3408=E$2:E3408)))))-COUNTBLANK(OFFSET(A$1,,,SUMPRODUCT(MAX(ROW(E$1:E3407)*(E2=E$1:E3407))))))</f>
        <v> </v>
      </c>
      <c r="K3408" s="25" t="str">
        <f>IF(OR(E3408="",E3408="!!!",F3408="NEW"),"",INDEX(J$1:J3407,SUMPRODUCT(MAX(ROW(E$1:E3407)*(E3408=E$1:E3407)))))</f>
        <v> </v>
      </c>
      <c r="L3408" s="26"/>
    </row>
    <row r="3409" spans="1:12">
      <c r="A3409" s="20" t="s">
        <v>1123</v>
      </c>
      <c r="E3409" s="21">
        <f>IF(D3409="?OLD","!!!","")</f>
        <v/>
      </c>
      <c r="F3409" s="22" t="str">
        <f>IF(OR(E3409="",E3409="!!!"),"",IF(NOT(ISNA(VLOOKUP(E3409,E$1:E3408,1,FALSE()))),"OLD",IF(AND(E3409&lt;&gt;"",E3409&lt;&gt;"!!!"),"NEW","")))</f>
        <v> </v>
      </c>
      <c r="G3409" s="23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4" t="str">
        <f>IF(J3409&lt;&gt;1,"",IF(I3409="SBJ","CB","?"))</f>
        <v> </v>
      </c>
      <c r="I3409" s="25" t="str">
        <f>IF(OR(E3409="",E3409="!!!",F3409="NEW"),"",INDEX(B3408:B$2,-1+SUMPRODUCT(MAX(ROW(E3408:E$2)*(E3409=E3408:E$2)))))</f>
        <v> </v>
      </c>
      <c r="J3409" s="25" t="str">
        <f>IF(OR(E3409="",E3409="!!!",F3409="NEW"),"",COUNTBLANK(OFFSET(A$1,,,SUMPRODUCT(MAX(ROW(E$2:E3409)*(E3409=E$2:E3409)))))-COUNTBLANK(OFFSET(A$1,,,SUMPRODUCT(MAX(ROW(E$1:E3408)*(E2=E$1:E3408))))))</f>
        <v> </v>
      </c>
      <c r="K3409" s="25" t="str">
        <f>IF(OR(E3409="",E3409="!!!",F3409="NEW"),"",INDEX(J$1:J3408,SUMPRODUCT(MAX(ROW(E$1:E3408)*(E3409=E$1:E3408)))))</f>
        <v> </v>
      </c>
      <c r="L3409" s="26"/>
    </row>
    <row r="3410" spans="1:12">
      <c r="A3410" s="20" t="s">
        <v>1654</v>
      </c>
      <c r="E3410" s="21">
        <f>IF(D3410="?OLD","!!!","")</f>
        <v/>
      </c>
      <c r="F3410" s="22" t="str">
        <f>IF(OR(E3410="",E3410="!!!"),"",IF(NOT(ISNA(VLOOKUP(E3410,E$1:E3409,1,FALSE()))),"OLD",IF(AND(E3410&lt;&gt;"",E3410&lt;&gt;"!!!"),"NEW","")))</f>
        <v> </v>
      </c>
      <c r="G3410" s="23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4" t="str">
        <f>IF(J3410&lt;&gt;1,"",IF(I3410="SBJ","CB","?"))</f>
        <v> </v>
      </c>
      <c r="I3410" s="25" t="str">
        <f>IF(OR(E3410="",E3410="!!!",F3410="NEW"),"",INDEX(B3409:B$2,-1+SUMPRODUCT(MAX(ROW(E3409:E$2)*(E3410=E3409:E$2)))))</f>
        <v> </v>
      </c>
      <c r="J3410" s="25" t="str">
        <f>IF(OR(E3410="",E3410="!!!",F3410="NEW"),"",COUNTBLANK(OFFSET(A$1,,,SUMPRODUCT(MAX(ROW(E$2:E3410)*(E3410=E$2:E3410)))))-COUNTBLANK(OFFSET(A$1,,,SUMPRODUCT(MAX(ROW(E$1:E3409)*(E2=E$1:E3409))))))</f>
        <v> </v>
      </c>
      <c r="K3410" s="25" t="str">
        <f>IF(OR(E3410="",E3410="!!!",F3410="NEW"),"",INDEX(J$1:J3409,SUMPRODUCT(MAX(ROW(E$1:E3409)*(E3410=E$1:E3409)))))</f>
        <v> </v>
      </c>
      <c r="L3410" s="26"/>
    </row>
    <row r="3411" spans="1:12">
      <c r="A3411" s="20" t="s">
        <v>2647</v>
      </c>
      <c r="E3411" s="21">
        <f>IF(D3411="?OLD","!!!","")</f>
        <v/>
      </c>
      <c r="F3411" s="22" t="str">
        <f>IF(OR(E3411="",E3411="!!!"),"",IF(NOT(ISNA(VLOOKUP(E3411,E$1:E3410,1,FALSE()))),"OLD",IF(AND(E3411&lt;&gt;"",E3411&lt;&gt;"!!!"),"NEW","")))</f>
        <v> </v>
      </c>
      <c r="G3411" s="23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4" t="str">
        <f>IF(J3411&lt;&gt;1,"",IF(I3411="SBJ","CB","?"))</f>
        <v> </v>
      </c>
      <c r="I3411" s="25" t="str">
        <f>IF(OR(E3411="",E3411="!!!",F3411="NEW"),"",INDEX(B3410:B$2,-1+SUMPRODUCT(MAX(ROW(E3410:E$2)*(E3411=E3410:E$2)))))</f>
        <v> </v>
      </c>
      <c r="J3411" s="25" t="str">
        <f>IF(OR(E3411="",E3411="!!!",F3411="NEW"),"",COUNTBLANK(OFFSET(A$1,,,SUMPRODUCT(MAX(ROW(E$2:E3411)*(E3411=E$2:E3411)))))-COUNTBLANK(OFFSET(A$1,,,SUMPRODUCT(MAX(ROW(E$1:E3410)*(E2=E$1:E3410))))))</f>
        <v> </v>
      </c>
      <c r="K3411" s="25" t="str">
        <f>IF(OR(E3411="",E3411="!!!",F3411="NEW"),"",INDEX(J$1:J3410,SUMPRODUCT(MAX(ROW(E$1:E3410)*(E3411=E$1:E3410)))))</f>
        <v> </v>
      </c>
      <c r="L3411" s="26"/>
    </row>
    <row r="3412" spans="1:12">
      <c r="A3412" s="20" t="s">
        <v>2648</v>
      </c>
      <c r="E3412" s="21">
        <f>IF(D3412="?OLD","!!!","")</f>
        <v/>
      </c>
      <c r="F3412" s="22" t="str">
        <f>IF(OR(E3412="",E3412="!!!"),"",IF(NOT(ISNA(VLOOKUP(E3412,E$1:E3411,1,FALSE()))),"OLD",IF(AND(E3412&lt;&gt;"",E3412&lt;&gt;"!!!"),"NEW","")))</f>
        <v> </v>
      </c>
      <c r="G3412" s="23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4" t="str">
        <f>IF(J3412&lt;&gt;1,"",IF(I3412="SBJ","CB","?"))</f>
        <v> </v>
      </c>
      <c r="I3412" s="25" t="str">
        <f>IF(OR(E3412="",E3412="!!!",F3412="NEW"),"",INDEX(B3411:B$2,-1+SUMPRODUCT(MAX(ROW(E3411:E$2)*(E3412=E3411:E$2)))))</f>
        <v> </v>
      </c>
      <c r="J3412" s="25" t="str">
        <f>IF(OR(E3412="",E3412="!!!",F3412="NEW"),"",COUNTBLANK(OFFSET(A$1,,,SUMPRODUCT(MAX(ROW(E$2:E3412)*(E3412=E$2:E3412)))))-COUNTBLANK(OFFSET(A$1,,,SUMPRODUCT(MAX(ROW(E$1:E3411)*(E2=E$1:E3411))))))</f>
        <v> </v>
      </c>
      <c r="K3412" s="25" t="str">
        <f>IF(OR(E3412="",E3412="!!!",F3412="NEW"),"",INDEX(J$1:J3411,SUMPRODUCT(MAX(ROW(E$1:E3411)*(E3412=E$1:E3411)))))</f>
        <v> </v>
      </c>
      <c r="L3412" s="26"/>
    </row>
    <row r="3413" spans="1:12">
      <c r="A3413" s="20" t="s">
        <v>1123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2649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1271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2650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1145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/>
    </row>
    <row r="3419" spans="1:12">
      <c r="A3419" s="20" t="s">
        <v>2651</v>
      </c>
    </row>
    <row r="3420" spans="1:12">
      <c r="A3420" s="20" t="s">
        <v>1111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 t="s">
        <v>1671</v>
      </c>
      <c r="E3421" s="21">
        <f>IF(D3421="?OLD","!!!","")</f>
        <v/>
      </c>
      <c r="F3421" s="22" t="str">
        <f>IF(OR(E3421="",E3421="!!!"),"",IF(NOT(ISNA(VLOOKUP(E3421,E$1:E3420,1,FALSE()))),"OLD",IF(AND(E3421&lt;&gt;"",E3421&lt;&gt;"!!!"),"NEW","")))</f>
        <v> </v>
      </c>
      <c r="G3421" s="23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4" t="str">
        <f>IF(J3421&lt;&gt;1,"",IF(I3421="SBJ","CB","?"))</f>
        <v> </v>
      </c>
      <c r="I3421" s="25" t="str">
        <f>IF(OR(E3421="",E3421="!!!",F3421="NEW"),"",INDEX(B3420:B$2,-1+SUMPRODUCT(MAX(ROW(E3420:E$2)*(E3421=E3420:E$2)))))</f>
        <v> </v>
      </c>
      <c r="J3421" s="25" t="str">
        <f>IF(OR(E3421="",E3421="!!!",F3421="NEW"),"",COUNTBLANK(OFFSET(A$1,,,SUMPRODUCT(MAX(ROW(E$2:E3421)*(E3421=E$2:E3421)))))-COUNTBLANK(OFFSET(A$1,,,SUMPRODUCT(MAX(ROW(E$1:E3420)*(E2=E$1:E3420))))))</f>
        <v> </v>
      </c>
      <c r="K3421" s="25" t="str">
        <f>IF(OR(E3421="",E3421="!!!",F3421="NEW"),"",INDEX(J$1:J3420,SUMPRODUCT(MAX(ROW(E$1:E3420)*(E3421=E$1:E3420)))))</f>
        <v> </v>
      </c>
      <c r="L3421" s="26"/>
    </row>
    <row r="3422" spans="1:12">
      <c r="A3422" s="20" t="s">
        <v>1123</v>
      </c>
      <c r="E3422" s="21">
        <f>IF(D3422="?OLD","!!!","")</f>
        <v/>
      </c>
      <c r="F3422" s="22" t="str">
        <f>IF(OR(E3422="",E3422="!!!"),"",IF(NOT(ISNA(VLOOKUP(E3422,E$1:E3421,1,FALSE()))),"OLD",IF(AND(E3422&lt;&gt;"",E3422&lt;&gt;"!!!"),"NEW","")))</f>
        <v> </v>
      </c>
      <c r="G3422" s="23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4" t="str">
        <f>IF(J3422&lt;&gt;1,"",IF(I3422="SBJ","CB","?"))</f>
        <v> </v>
      </c>
      <c r="I3422" s="25" t="str">
        <f>IF(OR(E3422="",E3422="!!!",F3422="NEW"),"",INDEX(B3421:B$2,-1+SUMPRODUCT(MAX(ROW(E3421:E$2)*(E3422=E3421:E$2)))))</f>
        <v> </v>
      </c>
      <c r="J3422" s="25" t="str">
        <f>IF(OR(E3422="",E3422="!!!",F3422="NEW"),"",COUNTBLANK(OFFSET(A$1,,,SUMPRODUCT(MAX(ROW(E$2:E3422)*(E3422=E$2:E3422)))))-COUNTBLANK(OFFSET(A$1,,,SUMPRODUCT(MAX(ROW(E$1:E3421)*(E2=E$1:E3421))))))</f>
        <v> </v>
      </c>
      <c r="K3422" s="25" t="str">
        <f>IF(OR(E3422="",E3422="!!!",F3422="NEW"),"",INDEX(J$1:J3421,SUMPRODUCT(MAX(ROW(E$1:E3421)*(E3422=E$1:E3421)))))</f>
        <v> </v>
      </c>
      <c r="L3422" s="26"/>
    </row>
    <row r="3423" spans="1:12">
      <c r="A3423" s="20" t="s">
        <v>1111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1425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1124</v>
      </c>
      <c r="B3425" s="27" t="s">
        <v>1122</v>
      </c>
      <c r="C3425" s="27" t="s">
        <v>1126</v>
      </c>
      <c r="D3425" s="27" t="s">
        <v>1105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1145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/>
    </row>
    <row r="3428" spans="1:12">
      <c r="A3428" s="20" t="s">
        <v>2652</v>
      </c>
    </row>
    <row r="3429" spans="1:12">
      <c r="A3429" s="20" t="s">
        <v>1111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2653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2654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2010</v>
      </c>
      <c r="B3432" s="27" t="s">
        <v>1149</v>
      </c>
      <c r="C3432" s="27" t="s">
        <v>1758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1134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2655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 t="s">
        <v>2656</v>
      </c>
      <c r="E3435" s="21">
        <f>IF(D3435="?OLD","!!!","")</f>
        <v/>
      </c>
      <c r="F3435" s="22" t="str">
        <f>IF(OR(E3435="",E3435="!!!"),"",IF(NOT(ISNA(VLOOKUP(E3435,E$1:E3434,1,FALSE()))),"OLD",IF(AND(E3435&lt;&gt;"",E3435&lt;&gt;"!!!"),"NEW","")))</f>
        <v> </v>
      </c>
      <c r="G3435" s="23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4" t="str">
        <f>IF(J3435&lt;&gt;1,"",IF(I3435="SBJ","CB","?"))</f>
        <v> </v>
      </c>
      <c r="I3435" s="25" t="str">
        <f>IF(OR(E3435="",E3435="!!!",F3435="NEW"),"",INDEX(B3434:B$2,-1+SUMPRODUCT(MAX(ROW(E3434:E$2)*(E3435=E3434:E$2)))))</f>
        <v> </v>
      </c>
      <c r="J3435" s="25" t="str">
        <f>IF(OR(E3435="",E3435="!!!",F3435="NEW"),"",COUNTBLANK(OFFSET(A$1,,,SUMPRODUCT(MAX(ROW(E$2:E3435)*(E3435=E$2:E3435)))))-COUNTBLANK(OFFSET(A$1,,,SUMPRODUCT(MAX(ROW(E$1:E3434)*(E2=E$1:E3434))))))</f>
        <v> </v>
      </c>
      <c r="K3435" s="25" t="str">
        <f>IF(OR(E3435="",E3435="!!!",F3435="NEW"),"",INDEX(J$1:J3434,SUMPRODUCT(MAX(ROW(E$1:E3434)*(E3435=E$1:E3434)))))</f>
        <v> </v>
      </c>
      <c r="L3435" s="26"/>
    </row>
    <row r="3436" spans="1:12">
      <c r="A3436" s="20" t="s">
        <v>1249</v>
      </c>
      <c r="E3436" s="21">
        <f>IF(D3436="?OLD","!!!","")</f>
        <v/>
      </c>
      <c r="F3436" s="22" t="str">
        <f>IF(OR(E3436="",E3436="!!!"),"",IF(NOT(ISNA(VLOOKUP(E3436,E$1:E3435,1,FALSE()))),"OLD",IF(AND(E3436&lt;&gt;"",E3436&lt;&gt;"!!!"),"NEW","")))</f>
        <v> </v>
      </c>
      <c r="G3436" s="23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4" t="str">
        <f>IF(J3436&lt;&gt;1,"",IF(I3436="SBJ","CB","?"))</f>
        <v> </v>
      </c>
      <c r="I3436" s="25" t="str">
        <f>IF(OR(E3436="",E3436="!!!",F3436="NEW"),"",INDEX(B3435:B$2,-1+SUMPRODUCT(MAX(ROW(E3435:E$2)*(E3436=E3435:E$2)))))</f>
        <v> </v>
      </c>
      <c r="J3436" s="25" t="str">
        <f>IF(OR(E3436="",E3436="!!!",F3436="NEW"),"",COUNTBLANK(OFFSET(A$1,,,SUMPRODUCT(MAX(ROW(E$2:E3436)*(E3436=E$2:E3436)))))-COUNTBLANK(OFFSET(A$1,,,SUMPRODUCT(MAX(ROW(E$1:E3435)*(E2=E$1:E3435))))))</f>
        <v> </v>
      </c>
      <c r="K3436" s="25" t="str">
        <f>IF(OR(E3436="",E3436="!!!",F3436="NEW"),"",INDEX(J$1:J3435,SUMPRODUCT(MAX(ROW(E$1:E3435)*(E3436=E$1:E3435)))))</f>
        <v> </v>
      </c>
      <c r="L3436" s="26"/>
    </row>
    <row r="3437" spans="1:12">
      <c r="A3437" s="20" t="s">
        <v>2657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 t="s">
        <v>2658</v>
      </c>
      <c r="E3438" s="21">
        <f>IF(D3438="?OLD","!!!","")</f>
        <v/>
      </c>
      <c r="F3438" s="22" t="str">
        <f>IF(OR(E3438="",E3438="!!!"),"",IF(NOT(ISNA(VLOOKUP(E3438,E$1:E3437,1,FALSE()))),"OLD",IF(AND(E3438&lt;&gt;"",E3438&lt;&gt;"!!!"),"NEW","")))</f>
        <v> </v>
      </c>
      <c r="G3438" s="23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4" t="str">
        <f>IF(J3438&lt;&gt;1,"",IF(I3438="SBJ","CB","?"))</f>
        <v> </v>
      </c>
      <c r="I3438" s="25" t="str">
        <f>IF(OR(E3438="",E3438="!!!",F3438="NEW"),"",INDEX(B3437:B$2,-1+SUMPRODUCT(MAX(ROW(E3437:E$2)*(E3438=E3437:E$2)))))</f>
        <v> </v>
      </c>
      <c r="J3438" s="25" t="str">
        <f>IF(OR(E3438="",E3438="!!!",F3438="NEW"),"",COUNTBLANK(OFFSET(A$1,,,SUMPRODUCT(MAX(ROW(E$2:E3438)*(E3438=E$2:E3438)))))-COUNTBLANK(OFFSET(A$1,,,SUMPRODUCT(MAX(ROW(E$1:E3437)*(E2=E$1:E3437))))))</f>
        <v> </v>
      </c>
      <c r="K3438" s="25" t="str">
        <f>IF(OR(E3438="",E3438="!!!",F3438="NEW"),"",INDEX(J$1:J3437,SUMPRODUCT(MAX(ROW(E$1:E3437)*(E3438=E$1:E3437)))))</f>
        <v> </v>
      </c>
      <c r="L3438" s="26"/>
    </row>
    <row r="3439" spans="1:12">
      <c r="A3439" s="20" t="s">
        <v>1145</v>
      </c>
      <c r="E3439" s="21">
        <f>IF(D3439="?OLD","!!!","")</f>
        <v/>
      </c>
      <c r="F3439" s="22" t="str">
        <f>IF(OR(E3439="",E3439="!!!"),"",IF(NOT(ISNA(VLOOKUP(E3439,E$1:E3438,1,FALSE()))),"OLD",IF(AND(E3439&lt;&gt;"",E3439&lt;&gt;"!!!"),"NEW","")))</f>
        <v> </v>
      </c>
      <c r="G3439" s="23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4" t="str">
        <f>IF(J3439&lt;&gt;1,"",IF(I3439="SBJ","CB","?"))</f>
        <v> </v>
      </c>
      <c r="I3439" s="25" t="str">
        <f>IF(OR(E3439="",E3439="!!!",F3439="NEW"),"",INDEX(B3438:B$2,-1+SUMPRODUCT(MAX(ROW(E3438:E$2)*(E3439=E3438:E$2)))))</f>
        <v> </v>
      </c>
      <c r="J3439" s="25" t="str">
        <f>IF(OR(E3439="",E3439="!!!",F3439="NEW"),"",COUNTBLANK(OFFSET(A$1,,,SUMPRODUCT(MAX(ROW(E$2:E3439)*(E3439=E$2:E3439)))))-COUNTBLANK(OFFSET(A$1,,,SUMPRODUCT(MAX(ROW(E$1:E3438)*(E2=E$1:E3438))))))</f>
        <v> </v>
      </c>
      <c r="K3439" s="25" t="str">
        <f>IF(OR(E3439="",E3439="!!!",F3439="NEW"),"",INDEX(J$1:J3438,SUMPRODUCT(MAX(ROW(E$1:E3438)*(E3439=E$1:E3438)))))</f>
        <v> </v>
      </c>
      <c r="L3439" s="26"/>
    </row>
    <row r="3440" spans="1:12">
      <c r="A3440" s="20"/>
    </row>
    <row r="3441" spans="1:12">
      <c r="A3441" s="20" t="s">
        <v>2659</v>
      </c>
    </row>
    <row r="3442" spans="1:12">
      <c r="A3442" s="20" t="s">
        <v>2545</v>
      </c>
      <c r="B3442" s="27" t="s">
        <v>1149</v>
      </c>
      <c r="C3442" s="27" t="s">
        <v>1108</v>
      </c>
      <c r="D3442" s="27" t="s">
        <v>1105</v>
      </c>
      <c r="E3442" s="21">
        <f>IF(D3442="?OLD","!!!","")</f>
        <v/>
      </c>
      <c r="F3442" s="22" t="str">
        <f>IF(OR(E3442="",E3442="!!!"),"",IF(NOT(ISNA(VLOOKUP(E3442,E$1:E3441,1,FALSE()))),"OLD",IF(AND(E3442&lt;&gt;"",E3442&lt;&gt;"!!!"),"NEW","")))</f>
        <v> </v>
      </c>
      <c r="G3442" s="23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4" t="str">
        <f>IF(J3442&lt;&gt;1,"",IF(I3442="SBJ","CB","?"))</f>
        <v> </v>
      </c>
      <c r="I3442" s="25" t="str">
        <f>IF(OR(E3442="",E3442="!!!",F3442="NEW"),"",INDEX(B3441:B$2,-1+SUMPRODUCT(MAX(ROW(E3441:E$2)*(E3442=E3441:E$2)))))</f>
        <v> </v>
      </c>
      <c r="J3442" s="25" t="str">
        <f>IF(OR(E3442="",E3442="!!!",F3442="NEW"),"",COUNTBLANK(OFFSET(A$1,,,SUMPRODUCT(MAX(ROW(E$2:E3442)*(E3442=E$2:E3442)))))-COUNTBLANK(OFFSET(A$1,,,SUMPRODUCT(MAX(ROW(E$1:E3441)*(E2=E$1:E3441))))))</f>
        <v> </v>
      </c>
      <c r="K3442" s="25" t="str">
        <f>IF(OR(E3442="",E3442="!!!",F3442="NEW"),"",INDEX(J$1:J3441,SUMPRODUCT(MAX(ROW(E$1:E3441)*(E3442=E$1:E3441)))))</f>
        <v> </v>
      </c>
      <c r="L3442" s="26"/>
    </row>
    <row r="3443" spans="1:12">
      <c r="A3443" s="20" t="s">
        <v>1507</v>
      </c>
      <c r="B3443" s="27" t="s">
        <v>1107</v>
      </c>
      <c r="C3443" s="27" t="s">
        <v>1108</v>
      </c>
      <c r="D3443" s="27" t="s">
        <v>1105</v>
      </c>
      <c r="E3443" s="21">
        <f>IF(D3443="?OLD","!!!","")</f>
        <v/>
      </c>
      <c r="F3443" s="22" t="str">
        <f>IF(OR(E3443="",E3443="!!!"),"",IF(NOT(ISNA(VLOOKUP(E3443,E$1:E3442,1,FALSE()))),"OLD",IF(AND(E3443&lt;&gt;"",E3443&lt;&gt;"!!!"),"NEW","")))</f>
        <v> </v>
      </c>
      <c r="G3443" s="23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4" t="str">
        <f>IF(J3443&lt;&gt;1,"",IF(I3443="SBJ","CB","?"))</f>
        <v> </v>
      </c>
      <c r="I3443" s="25" t="str">
        <f>IF(OR(E3443="",E3443="!!!",F3443="NEW"),"",INDEX(B3442:B$2,-1+SUMPRODUCT(MAX(ROW(E3442:E$2)*(E3443=E3442:E$2)))))</f>
        <v> </v>
      </c>
      <c r="J3443" s="25" t="str">
        <f>IF(OR(E3443="",E3443="!!!",F3443="NEW"),"",COUNTBLANK(OFFSET(A$1,,,SUMPRODUCT(MAX(ROW(E$2:E3443)*(E3443=E$2:E3443)))))-COUNTBLANK(OFFSET(A$1,,,SUMPRODUCT(MAX(ROW(E$1:E3442)*(E2=E$1:E3442))))))</f>
        <v> </v>
      </c>
      <c r="K3443" s="25" t="str">
        <f>IF(OR(E3443="",E3443="!!!",F3443="NEW"),"",INDEX(J$1:J3442,SUMPRODUCT(MAX(ROW(E$1:E3442)*(E3443=E$1:E3442)))))</f>
        <v> </v>
      </c>
      <c r="L3443" s="26"/>
    </row>
    <row r="3444" spans="1:12">
      <c r="A3444" s="20" t="s">
        <v>2660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1128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 t="s">
        <v>2661</v>
      </c>
      <c r="E3446" s="21">
        <f>IF(D3446="?OLD","!!!","")</f>
        <v/>
      </c>
      <c r="F3446" s="22" t="str">
        <f>IF(OR(E3446="",E3446="!!!"),"",IF(NOT(ISNA(VLOOKUP(E3446,E$1:E3445,1,FALSE()))),"OLD",IF(AND(E3446&lt;&gt;"",E3446&lt;&gt;"!!!"),"NEW","")))</f>
        <v> </v>
      </c>
      <c r="G3446" s="23" t="str">
        <f>IF(OR(E3446="",E3446="!!!"),"",IF(OR(J3446=0,AND(J3446=1,K3446=1),AND(J3446=1,I3446="SBJ"),AND(J3446=1,I3446=0)),"?IN_FOCUS",IF(J3446&lt;=2,"?ACTIVATED",IF(J3446&lt;&gt;"","?FAMILIAR",IF(F3446="NEW",IF(ISNA(VLOOKUP(E3446,#REF!,1,FALSE())),"?TYPE_IDENTIFIABLE","?REFERENTIAL"),"_")))))</f>
        <v> </v>
      </c>
      <c r="H3446" s="24" t="str">
        <f>IF(J3446&lt;&gt;1,"",IF(I3446="SBJ","CB","?"))</f>
        <v> </v>
      </c>
      <c r="I3446" s="25" t="str">
        <f>IF(OR(E3446="",E3446="!!!",F3446="NEW"),"",INDEX(B3445:B$2,-1+SUMPRODUCT(MAX(ROW(E3445:E$2)*(E3446=E3445:E$2)))))</f>
        <v> </v>
      </c>
      <c r="J3446" s="25" t="str">
        <f>IF(OR(E3446="",E3446="!!!",F3446="NEW"),"",COUNTBLANK(OFFSET(A$1,,,SUMPRODUCT(MAX(ROW(E$2:E3446)*(E3446=E$2:E3446)))))-COUNTBLANK(OFFSET(A$1,,,SUMPRODUCT(MAX(ROW(E$1:E3445)*(E2=E$1:E3445))))))</f>
        <v> </v>
      </c>
      <c r="K3446" s="25" t="str">
        <f>IF(OR(E3446="",E3446="!!!",F3446="NEW"),"",INDEX(J$1:J3445,SUMPRODUCT(MAX(ROW(E$1:E3445)*(E3446=E$1:E3445)))))</f>
        <v> </v>
      </c>
      <c r="L3446" s="26"/>
    </row>
    <row r="3447" spans="1:12">
      <c r="A3447" s="20" t="s">
        <v>1184</v>
      </c>
      <c r="E3447" s="21">
        <f>IF(D3447="?OLD","!!!","")</f>
        <v/>
      </c>
      <c r="F3447" s="22" t="str">
        <f>IF(OR(E3447="",E3447="!!!"),"",IF(NOT(ISNA(VLOOKUP(E3447,E$1:E3446,1,FALSE()))),"OLD",IF(AND(E3447&lt;&gt;"",E3447&lt;&gt;"!!!"),"NEW","")))</f>
        <v> </v>
      </c>
      <c r="G3447" s="23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4" t="str">
        <f>IF(J3447&lt;&gt;1,"",IF(I3447="SBJ","CB","?"))</f>
        <v> </v>
      </c>
      <c r="I3447" s="25" t="str">
        <f>IF(OR(E3447="",E3447="!!!",F3447="NEW"),"",INDEX(B3446:B$2,-1+SUMPRODUCT(MAX(ROW(E3446:E$2)*(E3447=E3446:E$2)))))</f>
        <v> </v>
      </c>
      <c r="J3447" s="25" t="str">
        <f>IF(OR(E3447="",E3447="!!!",F3447="NEW"),"",COUNTBLANK(OFFSET(A$1,,,SUMPRODUCT(MAX(ROW(E$2:E3447)*(E3447=E$2:E3447)))))-COUNTBLANK(OFFSET(A$1,,,SUMPRODUCT(MAX(ROW(E$1:E3446)*(E2=E$1:E3446))))))</f>
        <v> </v>
      </c>
      <c r="K3447" s="25" t="str">
        <f>IF(OR(E3447="",E3447="!!!",F3447="NEW"),"",INDEX(J$1:J3446,SUMPRODUCT(MAX(ROW(E$1:E3446)*(E3447=E$1:E3446)))))</f>
        <v> </v>
      </c>
      <c r="L3447" s="26"/>
    </row>
    <row r="3448" spans="1:12">
      <c r="A3448" s="20" t="s">
        <v>2662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1145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/>
    </row>
    <row r="3451" spans="1:12">
      <c r="A3451" s="20" t="s">
        <v>2663</v>
      </c>
    </row>
    <row r="3452" spans="1:12">
      <c r="A3452" s="20" t="s">
        <v>2664</v>
      </c>
      <c r="B3452" s="27" t="s">
        <v>1149</v>
      </c>
      <c r="E3452" s="21">
        <f>IF(D3452="?OLD","!!!","")</f>
        <v/>
      </c>
      <c r="F3452" s="22" t="str">
        <f>IF(OR(E3452="",E3452="!!!"),"",IF(NOT(ISNA(VLOOKUP(E3452,E$1:E3451,1,FALSE()))),"OLD",IF(AND(E3452&lt;&gt;"",E3452&lt;&gt;"!!!"),"NEW","")))</f>
        <v> </v>
      </c>
      <c r="G3452" s="23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4" t="str">
        <f>IF(J3452&lt;&gt;1,"",IF(I3452="SBJ","CB","?"))</f>
        <v> </v>
      </c>
      <c r="I3452" s="25" t="str">
        <f>IF(OR(E3452="",E3452="!!!",F3452="NEW"),"",INDEX(B3451:B$2,-1+SUMPRODUCT(MAX(ROW(E3451:E$2)*(E3452=E3451:E$2)))))</f>
        <v> </v>
      </c>
      <c r="J3452" s="25" t="str">
        <f>IF(OR(E3452="",E3452="!!!",F3452="NEW"),"",COUNTBLANK(OFFSET(A$1,,,SUMPRODUCT(MAX(ROW(E$2:E3452)*(E3452=E$2:E3452)))))-COUNTBLANK(OFFSET(A$1,,,SUMPRODUCT(MAX(ROW(E$1:E3451)*(E2=E$1:E3451))))))</f>
        <v> </v>
      </c>
      <c r="K3452" s="25" t="str">
        <f>IF(OR(E3452="",E3452="!!!",F3452="NEW"),"",INDEX(J$1:J3451,SUMPRODUCT(MAX(ROW(E$1:E3451)*(E3452=E$1:E3451)))))</f>
        <v> </v>
      </c>
      <c r="L3452" s="26"/>
    </row>
    <row r="3453" spans="1:12">
      <c r="A3453" s="20" t="s">
        <v>1494</v>
      </c>
      <c r="B3453" s="27" t="s">
        <v>1107</v>
      </c>
      <c r="C3453" s="27" t="s">
        <v>1142</v>
      </c>
      <c r="D3453" s="27" t="s">
        <v>1105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 t="s">
        <v>2665</v>
      </c>
      <c r="E3454" s="21">
        <f>IF(D3454="?OLD","!!!","")</f>
        <v/>
      </c>
      <c r="F3454" s="22" t="str">
        <f>IF(OR(E3454="",E3454="!!!"),"",IF(NOT(ISNA(VLOOKUP(E3454,E$1:E3453,1,FALSE()))),"OLD",IF(AND(E3454&lt;&gt;"",E3454&lt;&gt;"!!!"),"NEW","")))</f>
        <v> </v>
      </c>
      <c r="G3454" s="23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4" t="str">
        <f>IF(J3454&lt;&gt;1,"",IF(I3454="SBJ","CB","?"))</f>
        <v> </v>
      </c>
      <c r="I3454" s="25" t="str">
        <f>IF(OR(E3454="",E3454="!!!",F3454="NEW"),"",INDEX(B3453:B$2,-1+SUMPRODUCT(MAX(ROW(E3453:E$2)*(E3454=E3453:E$2)))))</f>
        <v> </v>
      </c>
      <c r="J3454" s="25" t="str">
        <f>IF(OR(E3454="",E3454="!!!",F3454="NEW"),"",COUNTBLANK(OFFSET(A$1,,,SUMPRODUCT(MAX(ROW(E$2:E3454)*(E3454=E$2:E3454)))))-COUNTBLANK(OFFSET(A$1,,,SUMPRODUCT(MAX(ROW(E$1:E3453)*(E2=E$1:E3453))))))</f>
        <v> </v>
      </c>
      <c r="K3454" s="25" t="str">
        <f>IF(OR(E3454="",E3454="!!!",F3454="NEW"),"",INDEX(J$1:J3453,SUMPRODUCT(MAX(ROW(E$1:E3453)*(E3454=E$1:E3453)))))</f>
        <v> </v>
      </c>
      <c r="L3454" s="26"/>
    </row>
    <row r="3455" spans="1:12">
      <c r="A3455" s="20" t="s">
        <v>2666</v>
      </c>
      <c r="E3455" s="21">
        <f>IF(D3455="?OLD","!!!","")</f>
        <v/>
      </c>
      <c r="F3455" s="22" t="str">
        <f>IF(OR(E3455="",E3455="!!!"),"",IF(NOT(ISNA(VLOOKUP(E3455,E$1:E3454,1,FALSE()))),"OLD",IF(AND(E3455&lt;&gt;"",E3455&lt;&gt;"!!!"),"NEW","")))</f>
        <v> </v>
      </c>
      <c r="G3455" s="23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4" t="str">
        <f>IF(J3455&lt;&gt;1,"",IF(I3455="SBJ","CB","?"))</f>
        <v> </v>
      </c>
      <c r="I3455" s="25" t="str">
        <f>IF(OR(E3455="",E3455="!!!",F3455="NEW"),"",INDEX(B3454:B$2,-1+SUMPRODUCT(MAX(ROW(E3454:E$2)*(E3455=E3454:E$2)))))</f>
        <v> </v>
      </c>
      <c r="J3455" s="25" t="str">
        <f>IF(OR(E3455="",E3455="!!!",F3455="NEW"),"",COUNTBLANK(OFFSET(A$1,,,SUMPRODUCT(MAX(ROW(E$2:E3455)*(E3455=E$2:E3455)))))-COUNTBLANK(OFFSET(A$1,,,SUMPRODUCT(MAX(ROW(E$1:E3454)*(E2=E$1:E3454))))))</f>
        <v> </v>
      </c>
      <c r="K3455" s="25" t="str">
        <f>IF(OR(E3455="",E3455="!!!",F3455="NEW"),"",INDEX(J$1:J3454,SUMPRODUCT(MAX(ROW(E$1:E3454)*(E3455=E$1:E3454)))))</f>
        <v> </v>
      </c>
      <c r="L3455" s="26"/>
    </row>
    <row r="3456" spans="1:12">
      <c r="A3456" s="20" t="s">
        <v>2667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1145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/>
    </row>
    <row r="3459" spans="1:12">
      <c r="A3459" s="20" t="s">
        <v>2668</v>
      </c>
    </row>
    <row r="3460" spans="1:12">
      <c r="A3460" s="20" t="s">
        <v>1111</v>
      </c>
      <c r="E3460" s="21">
        <f>IF(D3460="?OLD","!!!","")</f>
        <v/>
      </c>
      <c r="F3460" s="22" t="str">
        <f>IF(OR(E3460="",E3460="!!!"),"",IF(NOT(ISNA(VLOOKUP(E3460,E$1:E3459,1,FALSE()))),"OLD",IF(AND(E3460&lt;&gt;"",E3460&lt;&gt;"!!!"),"NEW","")))</f>
        <v> </v>
      </c>
      <c r="G3460" s="23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4" t="str">
        <f>IF(J3460&lt;&gt;1,"",IF(I3460="SBJ","CB","?"))</f>
        <v> </v>
      </c>
      <c r="I3460" s="25" t="str">
        <f>IF(OR(E3460="",E3460="!!!",F3460="NEW"),"",INDEX(B3459:B$2,-1+SUMPRODUCT(MAX(ROW(E3459:E$2)*(E3460=E3459:E$2)))))</f>
        <v> </v>
      </c>
      <c r="J3460" s="25" t="str">
        <f>IF(OR(E3460="",E3460="!!!",F3460="NEW"),"",COUNTBLANK(OFFSET(A$1,,,SUMPRODUCT(MAX(ROW(E$2:E3460)*(E3460=E$2:E3460)))))-COUNTBLANK(OFFSET(A$1,,,SUMPRODUCT(MAX(ROW(E$1:E3459)*(E2=E$1:E3459))))))</f>
        <v> </v>
      </c>
      <c r="K3460" s="25" t="str">
        <f>IF(OR(E3460="",E3460="!!!",F3460="NEW"),"",INDEX(J$1:J3459,SUMPRODUCT(MAX(ROW(E$1:E3459)*(E3460=E$1:E3459)))))</f>
        <v> </v>
      </c>
      <c r="L3460" s="26"/>
    </row>
    <row r="3461" spans="1:12">
      <c r="A3461" s="20" t="s">
        <v>2669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1124</v>
      </c>
      <c r="B3462" s="27" t="s">
        <v>1149</v>
      </c>
      <c r="C3462" s="27" t="s">
        <v>1126</v>
      </c>
      <c r="D3462" s="27" t="s">
        <v>1105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2670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2671</v>
      </c>
      <c r="B3464" s="27" t="s">
        <v>1213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1123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1224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1327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 t="s">
        <v>1134</v>
      </c>
      <c r="E3468" s="21">
        <f>IF(D3468="?OLD","!!!","")</f>
        <v/>
      </c>
      <c r="F3468" s="22" t="str">
        <f>IF(OR(E3468="",E3468="!!!"),"",IF(NOT(ISNA(VLOOKUP(E3468,E$1:E3467,1,FALSE()))),"OLD",IF(AND(E3468&lt;&gt;"",E3468&lt;&gt;"!!!"),"NEW","")))</f>
        <v> </v>
      </c>
      <c r="G3468" s="23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4" t="str">
        <f>IF(J3468&lt;&gt;1,"",IF(I3468="SBJ","CB","?"))</f>
        <v> </v>
      </c>
      <c r="I3468" s="25" t="str">
        <f>IF(OR(E3468="",E3468="!!!",F3468="NEW"),"",INDEX(B3467:B$2,-1+SUMPRODUCT(MAX(ROW(E3467:E$2)*(E3468=E3467:E$2)))))</f>
        <v> </v>
      </c>
      <c r="J3468" s="25" t="str">
        <f>IF(OR(E3468="",E3468="!!!",F3468="NEW"),"",COUNTBLANK(OFFSET(A$1,,,SUMPRODUCT(MAX(ROW(E$2:E3468)*(E3468=E$2:E3468)))))-COUNTBLANK(OFFSET(A$1,,,SUMPRODUCT(MAX(ROW(E$1:E3467)*(E2=E$1:E3467))))))</f>
        <v> </v>
      </c>
      <c r="K3468" s="25" t="str">
        <f>IF(OR(E3468="",E3468="!!!",F3468="NEW"),"",INDEX(J$1:J3467,SUMPRODUCT(MAX(ROW(E$1:E3467)*(E3468=E$1:E3467)))))</f>
        <v> </v>
      </c>
      <c r="L3468" s="26"/>
    </row>
    <row r="3469" spans="1:12">
      <c r="A3469" s="20" t="s">
        <v>2672</v>
      </c>
      <c r="E3469" s="21">
        <f>IF(D3469="?OLD","!!!","")</f>
        <v/>
      </c>
      <c r="F3469" s="22" t="str">
        <f>IF(OR(E3469="",E3469="!!!"),"",IF(NOT(ISNA(VLOOKUP(E3469,E$1:E3468,1,FALSE()))),"OLD",IF(AND(E3469&lt;&gt;"",E3469&lt;&gt;"!!!"),"NEW","")))</f>
        <v> </v>
      </c>
      <c r="G3469" s="23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4" t="str">
        <f>IF(J3469&lt;&gt;1,"",IF(I3469="SBJ","CB","?"))</f>
        <v> </v>
      </c>
      <c r="I3469" s="25" t="str">
        <f>IF(OR(E3469="",E3469="!!!",F3469="NEW"),"",INDEX(B3468:B$2,-1+SUMPRODUCT(MAX(ROW(E3468:E$2)*(E3469=E3468:E$2)))))</f>
        <v> </v>
      </c>
      <c r="J3469" s="25" t="str">
        <f>IF(OR(E3469="",E3469="!!!",F3469="NEW"),"",COUNTBLANK(OFFSET(A$1,,,SUMPRODUCT(MAX(ROW(E$2:E3469)*(E3469=E$2:E3469)))))-COUNTBLANK(OFFSET(A$1,,,SUMPRODUCT(MAX(ROW(E$1:E3468)*(E2=E$1:E3468))))))</f>
        <v> </v>
      </c>
      <c r="K3469" s="25" t="str">
        <f>IF(OR(E3469="",E3469="!!!",F3469="NEW"),"",INDEX(J$1:J3468,SUMPRODUCT(MAX(ROW(E$1:E3468)*(E3469=E$1:E3468)))))</f>
        <v> </v>
      </c>
      <c r="L3469" s="26"/>
    </row>
    <row r="3470" spans="1:12">
      <c r="A3470" s="20" t="s">
        <v>1351</v>
      </c>
      <c r="E3470" s="21">
        <f>IF(D3470="?OLD","!!!","")</f>
        <v/>
      </c>
      <c r="F3470" s="22" t="str">
        <f>IF(OR(E3470="",E3470="!!!"),"",IF(NOT(ISNA(VLOOKUP(E3470,E$1:E3469,1,FALSE()))),"OLD",IF(AND(E3470&lt;&gt;"",E3470&lt;&gt;"!!!"),"NEW","")))</f>
        <v> </v>
      </c>
      <c r="G3470" s="23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4" t="str">
        <f>IF(J3470&lt;&gt;1,"",IF(I3470="SBJ","CB","?"))</f>
        <v> </v>
      </c>
      <c r="I3470" s="25" t="str">
        <f>IF(OR(E3470="",E3470="!!!",F3470="NEW"),"",INDEX(B3469:B$2,-1+SUMPRODUCT(MAX(ROW(E3469:E$2)*(E3470=E3469:E$2)))))</f>
        <v> </v>
      </c>
      <c r="J3470" s="25" t="str">
        <f>IF(OR(E3470="",E3470="!!!",F3470="NEW"),"",COUNTBLANK(OFFSET(A$1,,,SUMPRODUCT(MAX(ROW(E$2:E3470)*(E3470=E$2:E3470)))))-COUNTBLANK(OFFSET(A$1,,,SUMPRODUCT(MAX(ROW(E$1:E3469)*(E2=E$1:E3469))))))</f>
        <v> </v>
      </c>
      <c r="K3470" s="25" t="str">
        <f>IF(OR(E3470="",E3470="!!!",F3470="NEW"),"",INDEX(J$1:J3469,SUMPRODUCT(MAX(ROW(E$1:E3469)*(E3470=E$1:E3469)))))</f>
        <v> </v>
      </c>
      <c r="L3470" s="26"/>
    </row>
    <row r="3471" spans="1:12">
      <c r="A3471" s="20" t="s">
        <v>1111</v>
      </c>
      <c r="E3471" s="21">
        <f>IF(D3471="?OLD","!!!","")</f>
        <v/>
      </c>
      <c r="F3471" s="22" t="str">
        <f>IF(OR(E3471="",E3471="!!!"),"",IF(NOT(ISNA(VLOOKUP(E3471,E$1:E3470,1,FALSE()))),"OLD",IF(AND(E3471&lt;&gt;"",E3471&lt;&gt;"!!!"),"NEW","")))</f>
        <v> </v>
      </c>
      <c r="G3471" s="23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4" t="str">
        <f>IF(J3471&lt;&gt;1,"",IF(I3471="SBJ","CB","?"))</f>
        <v> </v>
      </c>
      <c r="I3471" s="25" t="str">
        <f>IF(OR(E3471="",E3471="!!!",F3471="NEW"),"",INDEX(B3470:B$2,-1+SUMPRODUCT(MAX(ROW(E3470:E$2)*(E3471=E3470:E$2)))))</f>
        <v> </v>
      </c>
      <c r="J3471" s="25" t="str">
        <f>IF(OR(E3471="",E3471="!!!",F3471="NEW"),"",COUNTBLANK(OFFSET(A$1,,,SUMPRODUCT(MAX(ROW(E$2:E3471)*(E3471=E$2:E3471)))))-COUNTBLANK(OFFSET(A$1,,,SUMPRODUCT(MAX(ROW(E$1:E3470)*(E2=E$1:E3470))))))</f>
        <v> </v>
      </c>
      <c r="K3471" s="25" t="str">
        <f>IF(OR(E3471="",E3471="!!!",F3471="NEW"),"",INDEX(J$1:J3470,SUMPRODUCT(MAX(ROW(E$1:E3470)*(E3471=E$1:E3470)))))</f>
        <v> </v>
      </c>
      <c r="L3471" s="26"/>
    </row>
    <row r="3472" spans="1:12">
      <c r="A3472" s="20" t="s">
        <v>2673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 t="s">
        <v>1617</v>
      </c>
      <c r="B3473" s="27" t="s">
        <v>1259</v>
      </c>
      <c r="C3473" s="27" t="s">
        <v>1126</v>
      </c>
      <c r="D3473" s="27" t="s">
        <v>1105</v>
      </c>
      <c r="E3473" s="21">
        <f>IF(D3473="?OLD","!!!","")</f>
        <v/>
      </c>
      <c r="F3473" s="22" t="str">
        <f>IF(OR(E3473="",E3473="!!!"),"",IF(NOT(ISNA(VLOOKUP(E3473,E$1:E3472,1,FALSE()))),"OLD",IF(AND(E3473&lt;&gt;"",E3473&lt;&gt;"!!!"),"NEW","")))</f>
        <v> </v>
      </c>
      <c r="G3473" s="23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4" t="str">
        <f>IF(J3473&lt;&gt;1,"",IF(I3473="SBJ","CB","?"))</f>
        <v> </v>
      </c>
      <c r="I3473" s="25" t="str">
        <f>IF(OR(E3473="",E3473="!!!",F3473="NEW"),"",INDEX(B3472:B$2,-1+SUMPRODUCT(MAX(ROW(E3472:E$2)*(E3473=E3472:E$2)))))</f>
        <v> </v>
      </c>
      <c r="J3473" s="25" t="str">
        <f>IF(OR(E3473="",E3473="!!!",F3473="NEW"),"",COUNTBLANK(OFFSET(A$1,,,SUMPRODUCT(MAX(ROW(E$2:E3473)*(E3473=E$2:E3473)))))-COUNTBLANK(OFFSET(A$1,,,SUMPRODUCT(MAX(ROW(E$1:E3472)*(E2=E$1:E3472))))))</f>
        <v> </v>
      </c>
      <c r="K3473" s="25" t="str">
        <f>IF(OR(E3473="",E3473="!!!",F3473="NEW"),"",INDEX(J$1:J3472,SUMPRODUCT(MAX(ROW(E$1:E3472)*(E3473=E$1:E3472)))))</f>
        <v> </v>
      </c>
      <c r="L3473" s="26"/>
    </row>
    <row r="3474" spans="1:12">
      <c r="A3474" s="20" t="s">
        <v>1145</v>
      </c>
      <c r="E3474" s="21">
        <f>IF(D3474="?OLD","!!!","")</f>
        <v/>
      </c>
      <c r="F3474" s="22" t="str">
        <f>IF(OR(E3474="",E3474="!!!"),"",IF(NOT(ISNA(VLOOKUP(E3474,E$1:E3473,1,FALSE()))),"OLD",IF(AND(E3474&lt;&gt;"",E3474&lt;&gt;"!!!"),"NEW","")))</f>
        <v> </v>
      </c>
      <c r="G3474" s="23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4" t="str">
        <f>IF(J3474&lt;&gt;1,"",IF(I3474="SBJ","CB","?"))</f>
        <v> </v>
      </c>
      <c r="I3474" s="25" t="str">
        <f>IF(OR(E3474="",E3474="!!!",F3474="NEW"),"",INDEX(B3473:B$2,-1+SUMPRODUCT(MAX(ROW(E3473:E$2)*(E3474=E3473:E$2)))))</f>
        <v> </v>
      </c>
      <c r="J3474" s="25" t="str">
        <f>IF(OR(E3474="",E3474="!!!",F3474="NEW"),"",COUNTBLANK(OFFSET(A$1,,,SUMPRODUCT(MAX(ROW(E$2:E3474)*(E3474=E$2:E3474)))))-COUNTBLANK(OFFSET(A$1,,,SUMPRODUCT(MAX(ROW(E$1:E3473)*(E2=E$1:E3473))))))</f>
        <v> </v>
      </c>
      <c r="K3474" s="25" t="str">
        <f>IF(OR(E3474="",E3474="!!!",F3474="NEW"),"",INDEX(J$1:J3473,SUMPRODUCT(MAX(ROW(E$1:E3473)*(E3474=E$1:E3473)))))</f>
        <v> </v>
      </c>
      <c r="L3474" s="26"/>
    </row>
    <row r="3475" spans="1:12">
      <c r="A3475" s="20"/>
    </row>
    <row r="3476" spans="1:12">
      <c r="A3476" s="20" t="s">
        <v>2674</v>
      </c>
    </row>
    <row r="3477" spans="1:12">
      <c r="A3477" s="20" t="s">
        <v>1111</v>
      </c>
      <c r="E3477" s="21">
        <f>IF(D3477="?OLD","!!!","")</f>
        <v/>
      </c>
      <c r="F3477" s="22" t="str">
        <f>IF(OR(E3477="",E3477="!!!"),"",IF(NOT(ISNA(VLOOKUP(E3477,E$1:E3476,1,FALSE()))),"OLD",IF(AND(E3477&lt;&gt;"",E3477&lt;&gt;"!!!"),"NEW","")))</f>
        <v> </v>
      </c>
      <c r="G3477" s="23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4" t="str">
        <f>IF(J3477&lt;&gt;1,"",IF(I3477="SBJ","CB","?"))</f>
        <v> </v>
      </c>
      <c r="I3477" s="25" t="str">
        <f>IF(OR(E3477="",E3477="!!!",F3477="NEW"),"",INDEX(B3476:B$2,-1+SUMPRODUCT(MAX(ROW(E3476:E$2)*(E3477=E3476:E$2)))))</f>
        <v> </v>
      </c>
      <c r="J3477" s="25" t="str">
        <f>IF(OR(E3477="",E3477="!!!",F3477="NEW"),"",COUNTBLANK(OFFSET(A$1,,,SUMPRODUCT(MAX(ROW(E$2:E3477)*(E3477=E$2:E3477)))))-COUNTBLANK(OFFSET(A$1,,,SUMPRODUCT(MAX(ROW(E$1:E3476)*(E2=E$1:E3476))))))</f>
        <v> </v>
      </c>
      <c r="K3477" s="25" t="str">
        <f>IF(OR(E3477="",E3477="!!!",F3477="NEW"),"",INDEX(J$1:J3476,SUMPRODUCT(MAX(ROW(E$1:E3476)*(E3477=E$1:E3476)))))</f>
        <v> </v>
      </c>
      <c r="L3477" s="26"/>
    </row>
    <row r="3478" spans="1:12">
      <c r="A3478" s="20" t="s">
        <v>2675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 t="s">
        <v>1184</v>
      </c>
      <c r="E3479" s="21">
        <f>IF(D3479="?OLD","!!!","")</f>
        <v/>
      </c>
      <c r="F3479" s="22" t="str">
        <f>IF(OR(E3479="",E3479="!!!"),"",IF(NOT(ISNA(VLOOKUP(E3479,E$1:E3478,1,FALSE()))),"OLD",IF(AND(E3479&lt;&gt;"",E3479&lt;&gt;"!!!"),"NEW","")))</f>
        <v> </v>
      </c>
      <c r="G3479" s="23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4" t="str">
        <f>IF(J3479&lt;&gt;1,"",IF(I3479="SBJ","CB","?"))</f>
        <v> </v>
      </c>
      <c r="I3479" s="25" t="str">
        <f>IF(OR(E3479="",E3479="!!!",F3479="NEW"),"",INDEX(B3478:B$2,-1+SUMPRODUCT(MAX(ROW(E3478:E$2)*(E3479=E3478:E$2)))))</f>
        <v> </v>
      </c>
      <c r="J3479" s="25" t="str">
        <f>IF(OR(E3479="",E3479="!!!",F3479="NEW"),"",COUNTBLANK(OFFSET(A$1,,,SUMPRODUCT(MAX(ROW(E$2:E3479)*(E3479=E$2:E3479)))))-COUNTBLANK(OFFSET(A$1,,,SUMPRODUCT(MAX(ROW(E$1:E3478)*(E2=E$1:E3478))))))</f>
        <v> </v>
      </c>
      <c r="K3479" s="25" t="str">
        <f>IF(OR(E3479="",E3479="!!!",F3479="NEW"),"",INDEX(J$1:J3478,SUMPRODUCT(MAX(ROW(E$1:E3478)*(E3479=E$1:E3478)))))</f>
        <v> </v>
      </c>
      <c r="L3479" s="26"/>
    </row>
    <row r="3480" spans="1:12">
      <c r="A3480" s="20" t="s">
        <v>2676</v>
      </c>
      <c r="E3480" s="21">
        <f>IF(D3480="?OLD","!!!","")</f>
        <v/>
      </c>
      <c r="F3480" s="22" t="str">
        <f>IF(OR(E3480="",E3480="!!!"),"",IF(NOT(ISNA(VLOOKUP(E3480,E$1:E3479,1,FALSE()))),"OLD",IF(AND(E3480&lt;&gt;"",E3480&lt;&gt;"!!!"),"NEW","")))</f>
        <v> </v>
      </c>
      <c r="G3480" s="23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4" t="str">
        <f>IF(J3480&lt;&gt;1,"",IF(I3480="SBJ","CB","?"))</f>
        <v> </v>
      </c>
      <c r="I3480" s="25" t="str">
        <f>IF(OR(E3480="",E3480="!!!",F3480="NEW"),"",INDEX(B3479:B$2,-1+SUMPRODUCT(MAX(ROW(E3479:E$2)*(E3480=E3479:E$2)))))</f>
        <v> </v>
      </c>
      <c r="J3480" s="25" t="str">
        <f>IF(OR(E3480="",E3480="!!!",F3480="NEW"),"",COUNTBLANK(OFFSET(A$1,,,SUMPRODUCT(MAX(ROW(E$2:E3480)*(E3480=E$2:E3480)))))-COUNTBLANK(OFFSET(A$1,,,SUMPRODUCT(MAX(ROW(E$1:E3479)*(E2=E$1:E3479))))))</f>
        <v> </v>
      </c>
      <c r="K3480" s="25" t="str">
        <f>IF(OR(E3480="",E3480="!!!",F3480="NEW"),"",INDEX(J$1:J3479,SUMPRODUCT(MAX(ROW(E$1:E3479)*(E3480=E$1:E3479)))))</f>
        <v> </v>
      </c>
      <c r="L3480" s="26"/>
    </row>
    <row r="3481" spans="1:12">
      <c r="A3481" s="20" t="s">
        <v>2103</v>
      </c>
      <c r="B3481" s="27" t="s">
        <v>1103</v>
      </c>
      <c r="C3481" s="27" t="s">
        <v>1116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2677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2678</v>
      </c>
      <c r="B3483" s="27" t="s">
        <v>1149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1334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/>
    </row>
    <row r="3486" spans="1:12">
      <c r="A3486" s="20" t="s">
        <v>2679</v>
      </c>
    </row>
    <row r="3487" spans="1:12">
      <c r="A3487" s="20" t="s">
        <v>1353</v>
      </c>
      <c r="B3487" s="27" t="s">
        <v>1149</v>
      </c>
      <c r="C3487" s="27" t="s">
        <v>1126</v>
      </c>
      <c r="D3487" s="27" t="s">
        <v>1105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 t="s">
        <v>2680</v>
      </c>
      <c r="E3488" s="21">
        <f>IF(D3488="?OLD","!!!","")</f>
        <v/>
      </c>
      <c r="F3488" s="22" t="str">
        <f>IF(OR(E3488="",E3488="!!!"),"",IF(NOT(ISNA(VLOOKUP(E3488,E$1:E3487,1,FALSE()))),"OLD",IF(AND(E3488&lt;&gt;"",E3488&lt;&gt;"!!!"),"NEW","")))</f>
        <v> </v>
      </c>
      <c r="G3488" s="23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4" t="str">
        <f>IF(J3488&lt;&gt;1,"",IF(I3488="SBJ","CB","?"))</f>
        <v> </v>
      </c>
      <c r="I3488" s="25" t="str">
        <f>IF(OR(E3488="",E3488="!!!",F3488="NEW"),"",INDEX(B3487:B$2,-1+SUMPRODUCT(MAX(ROW(E3487:E$2)*(E3488=E3487:E$2)))))</f>
        <v> </v>
      </c>
      <c r="J3488" s="25" t="str">
        <f>IF(OR(E3488="",E3488="!!!",F3488="NEW"),"",COUNTBLANK(OFFSET(A$1,,,SUMPRODUCT(MAX(ROW(E$2:E3488)*(E3488=E$2:E3488)))))-COUNTBLANK(OFFSET(A$1,,,SUMPRODUCT(MAX(ROW(E$1:E3487)*(E2=E$1:E3487))))))</f>
        <v> </v>
      </c>
      <c r="K3488" s="25" t="str">
        <f>IF(OR(E3488="",E3488="!!!",F3488="NEW"),"",INDEX(J$1:J3487,SUMPRODUCT(MAX(ROW(E$1:E3487)*(E3488=E$1:E3487)))))</f>
        <v> </v>
      </c>
      <c r="L3488" s="26"/>
    </row>
    <row r="3489" spans="1:12">
      <c r="A3489" s="20" t="s">
        <v>1140</v>
      </c>
      <c r="B3489" s="27" t="s">
        <v>1213</v>
      </c>
      <c r="C3489" s="27" t="s">
        <v>1126</v>
      </c>
      <c r="D3489" s="27" t="s">
        <v>1105</v>
      </c>
      <c r="E3489" s="21">
        <f>IF(D3489="?OLD","!!!","")</f>
        <v/>
      </c>
      <c r="F3489" s="22" t="str">
        <f>IF(OR(E3489="",E3489="!!!"),"",IF(NOT(ISNA(VLOOKUP(E3489,E$1:E3488,1,FALSE()))),"OLD",IF(AND(E3489&lt;&gt;"",E3489&lt;&gt;"!!!"),"NEW","")))</f>
        <v> </v>
      </c>
      <c r="G3489" s="23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4" t="str">
        <f>IF(J3489&lt;&gt;1,"",IF(I3489="SBJ","CB","?"))</f>
        <v> </v>
      </c>
      <c r="I3489" s="25" t="str">
        <f>IF(OR(E3489="",E3489="!!!",F3489="NEW"),"",INDEX(B3488:B$2,-1+SUMPRODUCT(MAX(ROW(E3488:E$2)*(E3489=E3488:E$2)))))</f>
        <v> </v>
      </c>
      <c r="J3489" s="25" t="str">
        <f>IF(OR(E3489="",E3489="!!!",F3489="NEW"),"",COUNTBLANK(OFFSET(A$1,,,SUMPRODUCT(MAX(ROW(E$2:E3489)*(E3489=E$2:E3489)))))-COUNTBLANK(OFFSET(A$1,,,SUMPRODUCT(MAX(ROW(E$1:E3488)*(E2=E$1:E3488))))))</f>
        <v> </v>
      </c>
      <c r="K3489" s="25" t="str">
        <f>IF(OR(E3489="",E3489="!!!",F3489="NEW"),"",INDEX(J$1:J3488,SUMPRODUCT(MAX(ROW(E$1:E3488)*(E3489=E$1:E3488)))))</f>
        <v> </v>
      </c>
      <c r="L3489" s="26"/>
    </row>
    <row r="3490" spans="1:12">
      <c r="A3490" s="20" t="s">
        <v>2681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1123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2265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2682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2683</v>
      </c>
      <c r="B3494" s="27" t="s">
        <v>1243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 t="s">
        <v>1824</v>
      </c>
      <c r="E3495" s="21">
        <f>IF(D3495="?OLD","!!!","")</f>
        <v/>
      </c>
      <c r="F3495" s="22" t="str">
        <f>IF(OR(E3495="",E3495="!!!"),"",IF(NOT(ISNA(VLOOKUP(E3495,E$1:E3494,1,FALSE()))),"OLD",IF(AND(E3495&lt;&gt;"",E3495&lt;&gt;"!!!"),"NEW","")))</f>
        <v> </v>
      </c>
      <c r="G3495" s="23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4" t="str">
        <f>IF(J3495&lt;&gt;1,"",IF(I3495="SBJ","CB","?"))</f>
        <v> </v>
      </c>
      <c r="I3495" s="25" t="str">
        <f>IF(OR(E3495="",E3495="!!!",F3495="NEW"),"",INDEX(B3494:B$2,-1+SUMPRODUCT(MAX(ROW(E3494:E$2)*(E3495=E3494:E$2)))))</f>
        <v> </v>
      </c>
      <c r="J3495" s="25" t="str">
        <f>IF(OR(E3495="",E3495="!!!",F3495="NEW"),"",COUNTBLANK(OFFSET(A$1,,,SUMPRODUCT(MAX(ROW(E$2:E3495)*(E3495=E$2:E3495)))))-COUNTBLANK(OFFSET(A$1,,,SUMPRODUCT(MAX(ROW(E$1:E3494)*(E2=E$1:E3494))))))</f>
        <v> </v>
      </c>
      <c r="K3495" s="25" t="str">
        <f>IF(OR(E3495="",E3495="!!!",F3495="NEW"),"",INDEX(J$1:J3494,SUMPRODUCT(MAX(ROW(E$1:E3494)*(E3495=E$1:E3494)))))</f>
        <v> </v>
      </c>
      <c r="L3495" s="26"/>
    </row>
    <row r="3496" spans="1:12">
      <c r="A3496" s="20" t="s">
        <v>2658</v>
      </c>
      <c r="E3496" s="21">
        <f>IF(D3496="?OLD","!!!","")</f>
        <v/>
      </c>
      <c r="F3496" s="22" t="str">
        <f>IF(OR(E3496="",E3496="!!!"),"",IF(NOT(ISNA(VLOOKUP(E3496,E$1:E3495,1,FALSE()))),"OLD",IF(AND(E3496&lt;&gt;"",E3496&lt;&gt;"!!!"),"NEW","")))</f>
        <v> </v>
      </c>
      <c r="G3496" s="23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4" t="str">
        <f>IF(J3496&lt;&gt;1,"",IF(I3496="SBJ","CB","?"))</f>
        <v> </v>
      </c>
      <c r="I3496" s="25" t="str">
        <f>IF(OR(E3496="",E3496="!!!",F3496="NEW"),"",INDEX(B3495:B$2,-1+SUMPRODUCT(MAX(ROW(E3495:E$2)*(E3496=E3495:E$2)))))</f>
        <v> </v>
      </c>
      <c r="J3496" s="25" t="str">
        <f>IF(OR(E3496="",E3496="!!!",F3496="NEW"),"",COUNTBLANK(OFFSET(A$1,,,SUMPRODUCT(MAX(ROW(E$2:E3496)*(E3496=E$2:E3496)))))-COUNTBLANK(OFFSET(A$1,,,SUMPRODUCT(MAX(ROW(E$1:E3495)*(E2=E$1:E3495))))))</f>
        <v> </v>
      </c>
      <c r="K3496" s="25" t="str">
        <f>IF(OR(E3496="",E3496="!!!",F3496="NEW"),"",INDEX(J$1:J3495,SUMPRODUCT(MAX(ROW(E$1:E3495)*(E3496=E$1:E3495)))))</f>
        <v> </v>
      </c>
      <c r="L3496" s="26"/>
    </row>
    <row r="3497" spans="1:12">
      <c r="A3497" s="20" t="s">
        <v>1145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/>
    </row>
    <row r="3499" spans="1:12">
      <c r="A3499" s="20" t="s">
        <v>2684</v>
      </c>
    </row>
    <row r="3500" spans="1:12">
      <c r="A3500" s="20" t="s">
        <v>2685</v>
      </c>
      <c r="E3500" s="21">
        <f>IF(D3500="?OLD","!!!","")</f>
        <v/>
      </c>
      <c r="F3500" s="22" t="str">
        <f>IF(OR(E3500="",E3500="!!!"),"",IF(NOT(ISNA(VLOOKUP(E3500,E$1:E3499,1,FALSE()))),"OLD",IF(AND(E3500&lt;&gt;"",E3500&lt;&gt;"!!!"),"NEW","")))</f>
        <v> </v>
      </c>
      <c r="G3500" s="23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4" t="str">
        <f>IF(J3500&lt;&gt;1,"",IF(I3500="SBJ","CB","?"))</f>
        <v> </v>
      </c>
      <c r="I3500" s="25" t="str">
        <f>IF(OR(E3500="",E3500="!!!",F3500="NEW"),"",INDEX(B3499:B$2,-1+SUMPRODUCT(MAX(ROW(E3499:E$2)*(E3500=E3499:E$2)))))</f>
        <v> </v>
      </c>
      <c r="J3500" s="25" t="str">
        <f>IF(OR(E3500="",E3500="!!!",F3500="NEW"),"",COUNTBLANK(OFFSET(A$1,,,SUMPRODUCT(MAX(ROW(E$2:E3500)*(E3500=E$2:E3500)))))-COUNTBLANK(OFFSET(A$1,,,SUMPRODUCT(MAX(ROW(E$1:E3499)*(E2=E$1:E3499))))))</f>
        <v> </v>
      </c>
      <c r="K3500" s="25" t="str">
        <f>IF(OR(E3500="",E3500="!!!",F3500="NEW"),"",INDEX(J$1:J3499,SUMPRODUCT(MAX(ROW(E$1:E3499)*(E3500=E$1:E3499)))))</f>
        <v> </v>
      </c>
      <c r="L3500" s="26"/>
    </row>
    <row r="3501" spans="1:12">
      <c r="A3501" s="20" t="s">
        <v>1123</v>
      </c>
      <c r="E3501" s="21">
        <f>IF(D3501="?OLD","!!!","")</f>
        <v/>
      </c>
      <c r="F3501" s="22" t="str">
        <f>IF(OR(E3501="",E3501="!!!"),"",IF(NOT(ISNA(VLOOKUP(E3501,E$1:E3500,1,FALSE()))),"OLD",IF(AND(E3501&lt;&gt;"",E3501&lt;&gt;"!!!"),"NEW","")))</f>
        <v> </v>
      </c>
      <c r="G3501" s="23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4" t="str">
        <f>IF(J3501&lt;&gt;1,"",IF(I3501="SBJ","CB","?"))</f>
        <v> </v>
      </c>
      <c r="I3501" s="25" t="str">
        <f>IF(OR(E3501="",E3501="!!!",F3501="NEW"),"",INDEX(B3500:B$2,-1+SUMPRODUCT(MAX(ROW(E3500:E$2)*(E3501=E3500:E$2)))))</f>
        <v> </v>
      </c>
      <c r="J3501" s="25" t="str">
        <f>IF(OR(E3501="",E3501="!!!",F3501="NEW"),"",COUNTBLANK(OFFSET(A$1,,,SUMPRODUCT(MAX(ROW(E$2:E3501)*(E3501=E$2:E3501)))))-COUNTBLANK(OFFSET(A$1,,,SUMPRODUCT(MAX(ROW(E$1:E3500)*(E2=E$1:E3500))))))</f>
        <v> </v>
      </c>
      <c r="K3501" s="25" t="str">
        <f>IF(OR(E3501="",E3501="!!!",F3501="NEW"),"",INDEX(J$1:J3500,SUMPRODUCT(MAX(ROW(E$1:E3500)*(E3501=E$1:E3500)))))</f>
        <v> </v>
      </c>
      <c r="L3501" s="26"/>
    </row>
    <row r="3502" spans="1:12">
      <c r="A3502" s="20" t="s">
        <v>2686</v>
      </c>
      <c r="E3502" s="21">
        <f>IF(D3502="?OLD","!!!","")</f>
        <v/>
      </c>
      <c r="F3502" s="22" t="str">
        <f>IF(OR(E3502="",E3502="!!!"),"",IF(NOT(ISNA(VLOOKUP(E3502,E$1:E3501,1,FALSE()))),"OLD",IF(AND(E3502&lt;&gt;"",E3502&lt;&gt;"!!!"),"NEW","")))</f>
        <v> </v>
      </c>
      <c r="G3502" s="23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4" t="str">
        <f>IF(J3502&lt;&gt;1,"",IF(I3502="SBJ","CB","?"))</f>
        <v> </v>
      </c>
      <c r="I3502" s="25" t="str">
        <f>IF(OR(E3502="",E3502="!!!",F3502="NEW"),"",INDEX(B3501:B$2,-1+SUMPRODUCT(MAX(ROW(E3501:E$2)*(E3502=E3501:E$2)))))</f>
        <v> </v>
      </c>
      <c r="J3502" s="25" t="str">
        <f>IF(OR(E3502="",E3502="!!!",F3502="NEW"),"",COUNTBLANK(OFFSET(A$1,,,SUMPRODUCT(MAX(ROW(E$2:E3502)*(E3502=E$2:E3502)))))-COUNTBLANK(OFFSET(A$1,,,SUMPRODUCT(MAX(ROW(E$1:E3501)*(E2=E$1:E3501))))))</f>
        <v> </v>
      </c>
      <c r="K3502" s="25" t="str">
        <f>IF(OR(E3502="",E3502="!!!",F3502="NEW"),"",INDEX(J$1:J3501,SUMPRODUCT(MAX(ROW(E$1:E3501)*(E3502=E$1:E3501)))))</f>
        <v> </v>
      </c>
      <c r="L3502" s="26"/>
    </row>
    <row r="3503" spans="1:12">
      <c r="A3503" s="20" t="s">
        <v>1228</v>
      </c>
      <c r="B3503" s="27" t="s">
        <v>1149</v>
      </c>
      <c r="C3503" s="27" t="s">
        <v>1126</v>
      </c>
      <c r="D3503" s="27" t="s">
        <v>1105</v>
      </c>
      <c r="E3503" s="21">
        <f>IF(D3503="?OLD","!!!","")</f>
        <v/>
      </c>
      <c r="F3503" s="22" t="str">
        <f>IF(OR(E3503="",E3503="!!!"),"",IF(NOT(ISNA(VLOOKUP(E3503,E$1:E3502,1,FALSE()))),"OLD",IF(AND(E3503&lt;&gt;"",E3503&lt;&gt;"!!!"),"NEW","")))</f>
        <v> </v>
      </c>
      <c r="G3503" s="23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4" t="str">
        <f>IF(J3503&lt;&gt;1,"",IF(I3503="SBJ","CB","?"))</f>
        <v> </v>
      </c>
      <c r="I3503" s="25" t="str">
        <f>IF(OR(E3503="",E3503="!!!",F3503="NEW"),"",INDEX(B3502:B$2,-1+SUMPRODUCT(MAX(ROW(E3502:E$2)*(E3503=E3502:E$2)))))</f>
        <v> </v>
      </c>
      <c r="J3503" s="25" t="str">
        <f>IF(OR(E3503="",E3503="!!!",F3503="NEW"),"",COUNTBLANK(OFFSET(A$1,,,SUMPRODUCT(MAX(ROW(E$2:E3503)*(E3503=E$2:E3503)))))-COUNTBLANK(OFFSET(A$1,,,SUMPRODUCT(MAX(ROW(E$1:E3502)*(E2=E$1:E3502))))))</f>
        <v> </v>
      </c>
      <c r="K3503" s="25" t="str">
        <f>IF(OR(E3503="",E3503="!!!",F3503="NEW"),"",INDEX(J$1:J3502,SUMPRODUCT(MAX(ROW(E$1:E3502)*(E3503=E$1:E3502)))))</f>
        <v> </v>
      </c>
      <c r="L3503" s="26"/>
    </row>
    <row r="3504" spans="1:12">
      <c r="A3504" s="20" t="s">
        <v>1134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2687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2688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1140</v>
      </c>
      <c r="B3507" s="27" t="s">
        <v>1243</v>
      </c>
      <c r="C3507" s="27" t="s">
        <v>1126</v>
      </c>
      <c r="D3507" s="27" t="s">
        <v>1105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2689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 t="s">
        <v>1351</v>
      </c>
      <c r="E3509" s="21">
        <f>IF(D3509="?OLD","!!!","")</f>
        <v/>
      </c>
      <c r="F3509" s="22" t="str">
        <f>IF(OR(E3509="",E3509="!!!"),"",IF(NOT(ISNA(VLOOKUP(E3509,E$1:E3508,1,FALSE()))),"OLD",IF(AND(E3509&lt;&gt;"",E3509&lt;&gt;"!!!"),"NEW","")))</f>
        <v> </v>
      </c>
      <c r="G3509" s="23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4" t="str">
        <f>IF(J3509&lt;&gt;1,"",IF(I3509="SBJ","CB","?"))</f>
        <v> </v>
      </c>
      <c r="I3509" s="25" t="str">
        <f>IF(OR(E3509="",E3509="!!!",F3509="NEW"),"",INDEX(B3508:B$2,-1+SUMPRODUCT(MAX(ROW(E3508:E$2)*(E3509=E3508:E$2)))))</f>
        <v> </v>
      </c>
      <c r="J3509" s="25" t="str">
        <f>IF(OR(E3509="",E3509="!!!",F3509="NEW"),"",COUNTBLANK(OFFSET(A$1,,,SUMPRODUCT(MAX(ROW(E$2:E3509)*(E3509=E$2:E3509)))))-COUNTBLANK(OFFSET(A$1,,,SUMPRODUCT(MAX(ROW(E$1:E3508)*(E2=E$1:E3508))))))</f>
        <v> </v>
      </c>
      <c r="K3509" s="25" t="str">
        <f>IF(OR(E3509="",E3509="!!!",F3509="NEW"),"",INDEX(J$1:J3508,SUMPRODUCT(MAX(ROW(E$1:E3508)*(E3509=E$1:E3508)))))</f>
        <v> </v>
      </c>
      <c r="L3509" s="26"/>
    </row>
    <row r="3510" spans="1:12">
      <c r="A3510" s="20"/>
    </row>
    <row r="3511" spans="1:12">
      <c r="A3511" s="20" t="s">
        <v>2690</v>
      </c>
    </row>
    <row r="3512" spans="1:12">
      <c r="A3512" s="20" t="s">
        <v>1615</v>
      </c>
      <c r="E3512" s="21">
        <f>IF(D3512="?OLD","!!!","")</f>
        <v/>
      </c>
      <c r="F3512" s="22" t="str">
        <f>IF(OR(E3512="",E3512="!!!"),"",IF(NOT(ISNA(VLOOKUP(E3512,E$1:E3511,1,FALSE()))),"OLD",IF(AND(E3512&lt;&gt;"",E3512&lt;&gt;"!!!"),"NEW","")))</f>
        <v> </v>
      </c>
      <c r="G3512" s="23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4" t="str">
        <f>IF(J3512&lt;&gt;1,"",IF(I3512="SBJ","CB","?"))</f>
        <v> </v>
      </c>
      <c r="I3512" s="25" t="str">
        <f>IF(OR(E3512="",E3512="!!!",F3512="NEW"),"",INDEX(B3511:B$2,-1+SUMPRODUCT(MAX(ROW(E3511:E$2)*(E3512=E3511:E$2)))))</f>
        <v> </v>
      </c>
      <c r="J3512" s="25" t="str">
        <f>IF(OR(E3512="",E3512="!!!",F3512="NEW"),"",COUNTBLANK(OFFSET(A$1,,,SUMPRODUCT(MAX(ROW(E$2:E3512)*(E3512=E$2:E3512)))))-COUNTBLANK(OFFSET(A$1,,,SUMPRODUCT(MAX(ROW(E$1:E3511)*(E2=E$1:E3511))))))</f>
        <v> </v>
      </c>
      <c r="K3512" s="25" t="str">
        <f>IF(OR(E3512="",E3512="!!!",F3512="NEW"),"",INDEX(J$1:J3511,SUMPRODUCT(MAX(ROW(E$1:E3511)*(E3512=E$1:E3511)))))</f>
        <v> </v>
      </c>
      <c r="L3512" s="26"/>
    </row>
    <row r="3513" spans="1:12">
      <c r="A3513" s="20" t="s">
        <v>1124</v>
      </c>
      <c r="B3513" s="27" t="s">
        <v>1149</v>
      </c>
      <c r="C3513" s="27" t="s">
        <v>1126</v>
      </c>
      <c r="D3513" s="27" t="s">
        <v>1105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2324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1173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 t="s">
        <v>1184</v>
      </c>
      <c r="E3516" s="21">
        <f>IF(D3516="?OLD","!!!","")</f>
        <v/>
      </c>
      <c r="F3516" s="22" t="str">
        <f>IF(OR(E3516="",E3516="!!!"),"",IF(NOT(ISNA(VLOOKUP(E3516,E$1:E3515,1,FALSE()))),"OLD",IF(AND(E3516&lt;&gt;"",E3516&lt;&gt;"!!!"),"NEW","")))</f>
        <v> </v>
      </c>
      <c r="G3516" s="23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4" t="str">
        <f>IF(J3516&lt;&gt;1,"",IF(I3516="SBJ","CB","?"))</f>
        <v> </v>
      </c>
      <c r="I3516" s="25" t="str">
        <f>IF(OR(E3516="",E3516="!!!",F3516="NEW"),"",INDEX(B3515:B$2,-1+SUMPRODUCT(MAX(ROW(E3515:E$2)*(E3516=E3515:E$2)))))</f>
        <v> </v>
      </c>
      <c r="J3516" s="25" t="str">
        <f>IF(OR(E3516="",E3516="!!!",F3516="NEW"),"",COUNTBLANK(OFFSET(A$1,,,SUMPRODUCT(MAX(ROW(E$2:E3516)*(E3516=E$2:E3516)))))-COUNTBLANK(OFFSET(A$1,,,SUMPRODUCT(MAX(ROW(E$1:E3515)*(E2=E$1:E3515))))))</f>
        <v> </v>
      </c>
      <c r="K3516" s="25" t="str">
        <f>IF(OR(E3516="",E3516="!!!",F3516="NEW"),"",INDEX(J$1:J3515,SUMPRODUCT(MAX(ROW(E$1:E3515)*(E3516=E$1:E3515)))))</f>
        <v> </v>
      </c>
      <c r="L3516" s="26"/>
    </row>
    <row r="3517" spans="1:12">
      <c r="A3517" s="20" t="s">
        <v>2304</v>
      </c>
      <c r="B3517" s="27" t="s">
        <v>1103</v>
      </c>
      <c r="C3517" s="27" t="s">
        <v>1142</v>
      </c>
      <c r="D3517" s="27" t="s">
        <v>1105</v>
      </c>
      <c r="E3517" s="21">
        <f>IF(D3517="?OLD","!!!","")</f>
        <v/>
      </c>
      <c r="F3517" s="22" t="str">
        <f>IF(OR(E3517="",E3517="!!!"),"",IF(NOT(ISNA(VLOOKUP(E3517,E$1:E3516,1,FALSE()))),"OLD",IF(AND(E3517&lt;&gt;"",E3517&lt;&gt;"!!!"),"NEW","")))</f>
        <v> </v>
      </c>
      <c r="G3517" s="23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4" t="str">
        <f>IF(J3517&lt;&gt;1,"",IF(I3517="SBJ","CB","?"))</f>
        <v> </v>
      </c>
      <c r="I3517" s="25" t="str">
        <f>IF(OR(E3517="",E3517="!!!",F3517="NEW"),"",INDEX(B3516:B$2,-1+SUMPRODUCT(MAX(ROW(E3516:E$2)*(E3517=E3516:E$2)))))</f>
        <v> </v>
      </c>
      <c r="J3517" s="25" t="str">
        <f>IF(OR(E3517="",E3517="!!!",F3517="NEW"),"",COUNTBLANK(OFFSET(A$1,,,SUMPRODUCT(MAX(ROW(E$2:E3517)*(E3517=E$2:E3517)))))-COUNTBLANK(OFFSET(A$1,,,SUMPRODUCT(MAX(ROW(E$1:E3516)*(E2=E$1:E3516))))))</f>
        <v> </v>
      </c>
      <c r="K3517" s="25" t="str">
        <f>IF(OR(E3517="",E3517="!!!",F3517="NEW"),"",INDEX(J$1:J3516,SUMPRODUCT(MAX(ROW(E$1:E3516)*(E3517=E$1:E3516)))))</f>
        <v> </v>
      </c>
      <c r="L3517" s="26"/>
    </row>
    <row r="3518" spans="1:12">
      <c r="A3518" s="20" t="s">
        <v>2691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1351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/>
    </row>
    <row r="3521" spans="1:12">
      <c r="A3521" s="20" t="s">
        <v>2692</v>
      </c>
    </row>
    <row r="3522" spans="1:12">
      <c r="A3522" s="20" t="s">
        <v>2693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2694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2695</v>
      </c>
      <c r="B3524" s="27" t="s">
        <v>1103</v>
      </c>
      <c r="C3524" s="27" t="s">
        <v>1116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1231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2696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 t="s">
        <v>2697</v>
      </c>
      <c r="B3527" s="27" t="s">
        <v>1103</v>
      </c>
      <c r="C3527" s="27" t="s">
        <v>1126</v>
      </c>
      <c r="D3527" s="27" t="s">
        <v>1105</v>
      </c>
      <c r="E3527" s="21">
        <f>IF(D3527="?OLD","!!!","")</f>
        <v/>
      </c>
      <c r="F3527" s="22" t="str">
        <f>IF(OR(E3527="",E3527="!!!"),"",IF(NOT(ISNA(VLOOKUP(E3527,E$1:E3526,1,FALSE()))),"OLD",IF(AND(E3527&lt;&gt;"",E3527&lt;&gt;"!!!"),"NEW","")))</f>
        <v> </v>
      </c>
      <c r="G3527" s="23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4" t="str">
        <f>IF(J3527&lt;&gt;1,"",IF(I3527="SBJ","CB","?"))</f>
        <v> </v>
      </c>
      <c r="I3527" s="25" t="str">
        <f>IF(OR(E3527="",E3527="!!!",F3527="NEW"),"",INDEX(B3526:B$2,-1+SUMPRODUCT(MAX(ROW(E3526:E$2)*(E3527=E3526:E$2)))))</f>
        <v> </v>
      </c>
      <c r="J3527" s="25" t="str">
        <f>IF(OR(E3527="",E3527="!!!",F3527="NEW"),"",COUNTBLANK(OFFSET(A$1,,,SUMPRODUCT(MAX(ROW(E$2:E3527)*(E3527=E$2:E3527)))))-COUNTBLANK(OFFSET(A$1,,,SUMPRODUCT(MAX(ROW(E$1:E3526)*(E2=E$1:E3526))))))</f>
        <v> </v>
      </c>
      <c r="K3527" s="25" t="str">
        <f>IF(OR(E3527="",E3527="!!!",F3527="NEW"),"",INDEX(J$1:J3526,SUMPRODUCT(MAX(ROW(E$1:E3526)*(E3527=E$1:E3526)))))</f>
        <v> </v>
      </c>
      <c r="L3527" s="26"/>
    </row>
    <row r="3528" spans="1:12">
      <c r="A3528" s="20" t="s">
        <v>1120</v>
      </c>
      <c r="E3528" s="21">
        <f>IF(D3528="?OLD","!!!","")</f>
        <v/>
      </c>
      <c r="F3528" s="22" t="str">
        <f>IF(OR(E3528="",E3528="!!!"),"",IF(NOT(ISNA(VLOOKUP(E3528,E$1:E3527,1,FALSE()))),"OLD",IF(AND(E3528&lt;&gt;"",E3528&lt;&gt;"!!!"),"NEW","")))</f>
        <v> </v>
      </c>
      <c r="G3528" s="23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4" t="str">
        <f>IF(J3528&lt;&gt;1,"",IF(I3528="SBJ","CB","?"))</f>
        <v> </v>
      </c>
      <c r="I3528" s="25" t="str">
        <f>IF(OR(E3528="",E3528="!!!",F3528="NEW"),"",INDEX(B3527:B$2,-1+SUMPRODUCT(MAX(ROW(E3527:E$2)*(E3528=E3527:E$2)))))</f>
        <v> </v>
      </c>
      <c r="J3528" s="25" t="str">
        <f>IF(OR(E3528="",E3528="!!!",F3528="NEW"),"",COUNTBLANK(OFFSET(A$1,,,SUMPRODUCT(MAX(ROW(E$2:E3528)*(E3528=E$2:E3528)))))-COUNTBLANK(OFFSET(A$1,,,SUMPRODUCT(MAX(ROW(E$1:E3527)*(E2=E$1:E3527))))))</f>
        <v> </v>
      </c>
      <c r="K3528" s="25" t="str">
        <f>IF(OR(E3528="",E3528="!!!",F3528="NEW"),"",INDEX(J$1:J3527,SUMPRODUCT(MAX(ROW(E$1:E3527)*(E3528=E$1:E3527)))))</f>
        <v> </v>
      </c>
      <c r="L3528" s="26"/>
    </row>
    <row r="3529" spans="1:12">
      <c r="A3529" s="20" t="s">
        <v>1128</v>
      </c>
      <c r="E3529" s="21">
        <f>IF(D3529="?OLD","!!!","")</f>
        <v/>
      </c>
      <c r="F3529" s="22" t="str">
        <f>IF(OR(E3529="",E3529="!!!"),"",IF(NOT(ISNA(VLOOKUP(E3529,E$1:E3528,1,FALSE()))),"OLD",IF(AND(E3529&lt;&gt;"",E3529&lt;&gt;"!!!"),"NEW","")))</f>
        <v> </v>
      </c>
      <c r="G3529" s="23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4" t="str">
        <f>IF(J3529&lt;&gt;1,"",IF(I3529="SBJ","CB","?"))</f>
        <v> </v>
      </c>
      <c r="I3529" s="25" t="str">
        <f>IF(OR(E3529="",E3529="!!!",F3529="NEW"),"",INDEX(B3528:B$2,-1+SUMPRODUCT(MAX(ROW(E3528:E$2)*(E3529=E3528:E$2)))))</f>
        <v> </v>
      </c>
      <c r="J3529" s="25" t="str">
        <f>IF(OR(E3529="",E3529="!!!",F3529="NEW"),"",COUNTBLANK(OFFSET(A$1,,,SUMPRODUCT(MAX(ROW(E$2:E3529)*(E3529=E$2:E3529)))))-COUNTBLANK(OFFSET(A$1,,,SUMPRODUCT(MAX(ROW(E$1:E3528)*(E2=E$1:E3528))))))</f>
        <v> </v>
      </c>
      <c r="K3529" s="25" t="str">
        <f>IF(OR(E3529="",E3529="!!!",F3529="NEW"),"",INDEX(J$1:J3528,SUMPRODUCT(MAX(ROW(E$1:E3528)*(E3529=E$1:E3528)))))</f>
        <v> </v>
      </c>
      <c r="L3529" s="26"/>
    </row>
    <row r="3530" spans="1:12">
      <c r="A3530" s="20" t="s">
        <v>2698</v>
      </c>
      <c r="E3530" s="21">
        <f>IF(D3530="?OLD","!!!","")</f>
        <v/>
      </c>
      <c r="F3530" s="22" t="str">
        <f>IF(OR(E3530="",E3530="!!!"),"",IF(NOT(ISNA(VLOOKUP(E3530,E$1:E3529,1,FALSE()))),"OLD",IF(AND(E3530&lt;&gt;"",E3530&lt;&gt;"!!!"),"NEW","")))</f>
        <v> </v>
      </c>
      <c r="G3530" s="23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4" t="str">
        <f>IF(J3530&lt;&gt;1,"",IF(I3530="SBJ","CB","?"))</f>
        <v> </v>
      </c>
      <c r="I3530" s="25" t="str">
        <f>IF(OR(E3530="",E3530="!!!",F3530="NEW"),"",INDEX(B3529:B$2,-1+SUMPRODUCT(MAX(ROW(E3529:E$2)*(E3530=E3529:E$2)))))</f>
        <v> </v>
      </c>
      <c r="J3530" s="25" t="str">
        <f>IF(OR(E3530="",E3530="!!!",F3530="NEW"),"",COUNTBLANK(OFFSET(A$1,,,SUMPRODUCT(MAX(ROW(E$2:E3530)*(E3530=E$2:E3530)))))-COUNTBLANK(OFFSET(A$1,,,SUMPRODUCT(MAX(ROW(E$1:E3529)*(E2=E$1:E3529))))))</f>
        <v> </v>
      </c>
      <c r="K3530" s="25" t="str">
        <f>IF(OR(E3530="",E3530="!!!",F3530="NEW"),"",INDEX(J$1:J3529,SUMPRODUCT(MAX(ROW(E$1:E3529)*(E3530=E$1:E3529)))))</f>
        <v> </v>
      </c>
      <c r="L3530" s="26"/>
    </row>
    <row r="3531" spans="1:12">
      <c r="A3531" s="20" t="s">
        <v>1145</v>
      </c>
      <c r="E3531" s="21">
        <f>IF(D3531="?OLD","!!!","")</f>
        <v/>
      </c>
      <c r="F3531" s="22" t="str">
        <f>IF(OR(E3531="",E3531="!!!"),"",IF(NOT(ISNA(VLOOKUP(E3531,E$1:E3530,1,FALSE()))),"OLD",IF(AND(E3531&lt;&gt;"",E3531&lt;&gt;"!!!"),"NEW","")))</f>
        <v> </v>
      </c>
      <c r="G3531" s="23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4" t="str">
        <f>IF(J3531&lt;&gt;1,"",IF(I3531="SBJ","CB","?"))</f>
        <v> </v>
      </c>
      <c r="I3531" s="25" t="str">
        <f>IF(OR(E3531="",E3531="!!!",F3531="NEW"),"",INDEX(B3530:B$2,-1+SUMPRODUCT(MAX(ROW(E3530:E$2)*(E3531=E3530:E$2)))))</f>
        <v> </v>
      </c>
      <c r="J3531" s="25" t="str">
        <f>IF(OR(E3531="",E3531="!!!",F3531="NEW"),"",COUNTBLANK(OFFSET(A$1,,,SUMPRODUCT(MAX(ROW(E$2:E3531)*(E3531=E$2:E3531)))))-COUNTBLANK(OFFSET(A$1,,,SUMPRODUCT(MAX(ROW(E$1:E3530)*(E2=E$1:E3530))))))</f>
        <v> </v>
      </c>
      <c r="K3531" s="25" t="str">
        <f>IF(OR(E3531="",E3531="!!!",F3531="NEW"),"",INDEX(J$1:J3530,SUMPRODUCT(MAX(ROW(E$1:E3530)*(E3531=E$1:E3530)))))</f>
        <v> </v>
      </c>
      <c r="L3531" s="26"/>
    </row>
    <row r="3532" spans="1:12">
      <c r="A3532" s="20"/>
    </row>
    <row r="3533" spans="1:12">
      <c r="A3533" s="20" t="s">
        <v>2699</v>
      </c>
    </row>
    <row r="3534" spans="1:12">
      <c r="A3534" s="20" t="s">
        <v>1353</v>
      </c>
      <c r="B3534" s="27" t="s">
        <v>1149</v>
      </c>
      <c r="C3534" s="27" t="s">
        <v>1126</v>
      </c>
      <c r="D3534" s="27" t="s">
        <v>1105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 t="s">
        <v>2700</v>
      </c>
      <c r="E3535" s="21">
        <f>IF(D3535="?OLD","!!!","")</f>
        <v/>
      </c>
      <c r="F3535" s="22" t="str">
        <f>IF(OR(E3535="",E3535="!!!"),"",IF(NOT(ISNA(VLOOKUP(E3535,E$1:E3534,1,FALSE()))),"OLD",IF(AND(E3535&lt;&gt;"",E3535&lt;&gt;"!!!"),"NEW","")))</f>
        <v> </v>
      </c>
      <c r="G3535" s="23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4" t="str">
        <f>IF(J3535&lt;&gt;1,"",IF(I3535="SBJ","CB","?"))</f>
        <v> </v>
      </c>
      <c r="I3535" s="25" t="str">
        <f>IF(OR(E3535="",E3535="!!!",F3535="NEW"),"",INDEX(B3534:B$2,-1+SUMPRODUCT(MAX(ROW(E3534:E$2)*(E3535=E3534:E$2)))))</f>
        <v> </v>
      </c>
      <c r="J3535" s="25" t="str">
        <f>IF(OR(E3535="",E3535="!!!",F3535="NEW"),"",COUNTBLANK(OFFSET(A$1,,,SUMPRODUCT(MAX(ROW(E$2:E3535)*(E3535=E$2:E3535)))))-COUNTBLANK(OFFSET(A$1,,,SUMPRODUCT(MAX(ROW(E$1:E3534)*(E2=E$1:E3534))))))</f>
        <v> </v>
      </c>
      <c r="K3535" s="25" t="str">
        <f>IF(OR(E3535="",E3535="!!!",F3535="NEW"),"",INDEX(J$1:J3534,SUMPRODUCT(MAX(ROW(E$1:E3534)*(E3535=E$1:E3534)))))</f>
        <v> </v>
      </c>
      <c r="L3535" s="26"/>
    </row>
    <row r="3536" spans="1:12">
      <c r="A3536" s="20" t="s">
        <v>2701</v>
      </c>
      <c r="B3536" s="27" t="s">
        <v>1213</v>
      </c>
      <c r="C3536" s="27" t="s">
        <v>1108</v>
      </c>
      <c r="D3536" s="27" t="s">
        <v>1105</v>
      </c>
      <c r="E3536" s="21">
        <f>IF(D3536="?OLD","!!!","")</f>
        <v/>
      </c>
      <c r="F3536" s="22" t="str">
        <f>IF(OR(E3536="",E3536="!!!"),"",IF(NOT(ISNA(VLOOKUP(E3536,E$1:E3535,1,FALSE()))),"OLD",IF(AND(E3536&lt;&gt;"",E3536&lt;&gt;"!!!"),"NEW","")))</f>
        <v> </v>
      </c>
      <c r="G3536" s="23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4" t="str">
        <f>IF(J3536&lt;&gt;1,"",IF(I3536="SBJ","CB","?"))</f>
        <v> </v>
      </c>
      <c r="I3536" s="25" t="str">
        <f>IF(OR(E3536="",E3536="!!!",F3536="NEW"),"",INDEX(B3535:B$2,-1+SUMPRODUCT(MAX(ROW(E3535:E$2)*(E3536=E3535:E$2)))))</f>
        <v> </v>
      </c>
      <c r="J3536" s="25" t="str">
        <f>IF(OR(E3536="",E3536="!!!",F3536="NEW"),"",COUNTBLANK(OFFSET(A$1,,,SUMPRODUCT(MAX(ROW(E$2:E3536)*(E3536=E$2:E3536)))))-COUNTBLANK(OFFSET(A$1,,,SUMPRODUCT(MAX(ROW(E$1:E3535)*(E2=E$1:E3535))))))</f>
        <v> </v>
      </c>
      <c r="K3536" s="25" t="str">
        <f>IF(OR(E3536="",E3536="!!!",F3536="NEW"),"",INDEX(J$1:J3535,SUMPRODUCT(MAX(ROW(E$1:E3535)*(E3536=E$1:E3535)))))</f>
        <v> </v>
      </c>
      <c r="L3536" s="26"/>
    </row>
    <row r="3537" spans="1:12">
      <c r="A3537" s="20" t="s">
        <v>2702</v>
      </c>
      <c r="E3537" s="21">
        <f>IF(D3537="?OLD","!!!","")</f>
        <v/>
      </c>
      <c r="F3537" s="22" t="str">
        <f>IF(OR(E3537="",E3537="!!!"),"",IF(NOT(ISNA(VLOOKUP(E3537,E$1:E3536,1,FALSE()))),"OLD",IF(AND(E3537&lt;&gt;"",E3537&lt;&gt;"!!!"),"NEW","")))</f>
        <v> </v>
      </c>
      <c r="G3537" s="23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4" t="str">
        <f>IF(J3537&lt;&gt;1,"",IF(I3537="SBJ","CB","?"))</f>
        <v> </v>
      </c>
      <c r="I3537" s="25" t="str">
        <f>IF(OR(E3537="",E3537="!!!",F3537="NEW"),"",INDEX(B3536:B$2,-1+SUMPRODUCT(MAX(ROW(E3536:E$2)*(E3537=E3536:E$2)))))</f>
        <v> </v>
      </c>
      <c r="J3537" s="25" t="str">
        <f>IF(OR(E3537="",E3537="!!!",F3537="NEW"),"",COUNTBLANK(OFFSET(A$1,,,SUMPRODUCT(MAX(ROW(E$2:E3537)*(E3537=E$2:E3537)))))-COUNTBLANK(OFFSET(A$1,,,SUMPRODUCT(MAX(ROW(E$1:E3536)*(E2=E$1:E3536))))))</f>
        <v> </v>
      </c>
      <c r="K3537" s="25" t="str">
        <f>IF(OR(E3537="",E3537="!!!",F3537="NEW"),"",INDEX(J$1:J3536,SUMPRODUCT(MAX(ROW(E$1:E3536)*(E3537=E$1:E3536)))))</f>
        <v> </v>
      </c>
      <c r="L3537" s="26"/>
    </row>
    <row r="3538" spans="1:12">
      <c r="A3538" s="20" t="s">
        <v>2703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95</v>
      </c>
      <c r="B3539" s="27" t="s">
        <v>1107</v>
      </c>
      <c r="C3539" s="27" t="s">
        <v>1108</v>
      </c>
      <c r="D3539" s="27" t="s">
        <v>1105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 t="s">
        <v>1123</v>
      </c>
      <c r="E3540" s="21">
        <f>IF(D3540="?OLD","!!!","")</f>
        <v/>
      </c>
      <c r="F3540" s="22" t="str">
        <f>IF(OR(E3540="",E3540="!!!"),"",IF(NOT(ISNA(VLOOKUP(E3540,E$1:E3539,1,FALSE()))),"OLD",IF(AND(E3540&lt;&gt;"",E3540&lt;&gt;"!!!"),"NEW","")))</f>
        <v> </v>
      </c>
      <c r="G3540" s="23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4" t="str">
        <f>IF(J3540&lt;&gt;1,"",IF(I3540="SBJ","CB","?"))</f>
        <v> </v>
      </c>
      <c r="I3540" s="25" t="str">
        <f>IF(OR(E3540="",E3540="!!!",F3540="NEW"),"",INDEX(B3539:B$2,-1+SUMPRODUCT(MAX(ROW(E3539:E$2)*(E3540=E3539:E$2)))))</f>
        <v> </v>
      </c>
      <c r="J3540" s="25" t="str">
        <f>IF(OR(E3540="",E3540="!!!",F3540="NEW"),"",COUNTBLANK(OFFSET(A$1,,,SUMPRODUCT(MAX(ROW(E$2:E3540)*(E3540=E$2:E3540)))))-COUNTBLANK(OFFSET(A$1,,,SUMPRODUCT(MAX(ROW(E$1:E3539)*(E2=E$1:E3539))))))</f>
        <v> </v>
      </c>
      <c r="K3540" s="25" t="str">
        <f>IF(OR(E3540="",E3540="!!!",F3540="NEW"),"",INDEX(J$1:J3539,SUMPRODUCT(MAX(ROW(E$1:E3539)*(E3540=E$1:E3539)))))</f>
        <v> </v>
      </c>
      <c r="L3540" s="26"/>
    </row>
    <row r="3541" spans="1:12">
      <c r="A3541" s="20" t="s">
        <v>1224</v>
      </c>
      <c r="E3541" s="21">
        <f>IF(D3541="?OLD","!!!","")</f>
        <v/>
      </c>
      <c r="F3541" s="22" t="str">
        <f>IF(OR(E3541="",E3541="!!!"),"",IF(NOT(ISNA(VLOOKUP(E3541,E$1:E3540,1,FALSE()))),"OLD",IF(AND(E3541&lt;&gt;"",E3541&lt;&gt;"!!!"),"NEW","")))</f>
        <v> </v>
      </c>
      <c r="G3541" s="23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4" t="str">
        <f>IF(J3541&lt;&gt;1,"",IF(I3541="SBJ","CB","?"))</f>
        <v> </v>
      </c>
      <c r="I3541" s="25" t="str">
        <f>IF(OR(E3541="",E3541="!!!",F3541="NEW"),"",INDEX(B3540:B$2,-1+SUMPRODUCT(MAX(ROW(E3540:E$2)*(E3541=E3540:E$2)))))</f>
        <v> </v>
      </c>
      <c r="J3541" s="25" t="str">
        <f>IF(OR(E3541="",E3541="!!!",F3541="NEW"),"",COUNTBLANK(OFFSET(A$1,,,SUMPRODUCT(MAX(ROW(E$2:E3541)*(E3541=E$2:E3541)))))-COUNTBLANK(OFFSET(A$1,,,SUMPRODUCT(MAX(ROW(E$1:E3540)*(E2=E$1:E3540))))))</f>
        <v> </v>
      </c>
      <c r="K3541" s="25" t="str">
        <f>IF(OR(E3541="",E3541="!!!",F3541="NEW"),"",INDEX(J$1:J3540,SUMPRODUCT(MAX(ROW(E$1:E3540)*(E3541=E$1:E3540)))))</f>
        <v> </v>
      </c>
      <c r="L3541" s="26"/>
    </row>
    <row r="3542" spans="1:12">
      <c r="A3542" s="20" t="s">
        <v>1328</v>
      </c>
      <c r="E3542" s="21">
        <f>IF(D3542="?OLD","!!!","")</f>
        <v/>
      </c>
      <c r="F3542" s="22" t="str">
        <f>IF(OR(E3542="",E3542="!!!"),"",IF(NOT(ISNA(VLOOKUP(E3542,E$1:E3541,1,FALSE()))),"OLD",IF(AND(E3542&lt;&gt;"",E3542&lt;&gt;"!!!"),"NEW","")))</f>
        <v> </v>
      </c>
      <c r="G3542" s="23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4" t="str">
        <f>IF(J3542&lt;&gt;1,"",IF(I3542="SBJ","CB","?"))</f>
        <v> </v>
      </c>
      <c r="I3542" s="25" t="str">
        <f>IF(OR(E3542="",E3542="!!!",F3542="NEW"),"",INDEX(B3541:B$2,-1+SUMPRODUCT(MAX(ROW(E3541:E$2)*(E3542=E3541:E$2)))))</f>
        <v> </v>
      </c>
      <c r="J3542" s="25" t="str">
        <f>IF(OR(E3542="",E3542="!!!",F3542="NEW"),"",COUNTBLANK(OFFSET(A$1,,,SUMPRODUCT(MAX(ROW(E$2:E3542)*(E3542=E$2:E3542)))))-COUNTBLANK(OFFSET(A$1,,,SUMPRODUCT(MAX(ROW(E$1:E3541)*(E2=E$1:E3541))))))</f>
        <v> </v>
      </c>
      <c r="K3542" s="25" t="str">
        <f>IF(OR(E3542="",E3542="!!!",F3542="NEW"),"",INDEX(J$1:J3541,SUMPRODUCT(MAX(ROW(E$1:E3541)*(E3542=E$1:E3541)))))</f>
        <v> </v>
      </c>
      <c r="L3542" s="26"/>
    </row>
    <row r="3543" spans="1:12">
      <c r="A3543" s="20" t="s">
        <v>2681</v>
      </c>
      <c r="E3543" s="21">
        <f>IF(D3543="?OLD","!!!","")</f>
        <v/>
      </c>
      <c r="F3543" s="22" t="str">
        <f>IF(OR(E3543="",E3543="!!!"),"",IF(NOT(ISNA(VLOOKUP(E3543,E$1:E3542,1,FALSE()))),"OLD",IF(AND(E3543&lt;&gt;"",E3543&lt;&gt;"!!!"),"NEW","")))</f>
        <v> </v>
      </c>
      <c r="G3543" s="23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4" t="str">
        <f>IF(J3543&lt;&gt;1,"",IF(I3543="SBJ","CB","?"))</f>
        <v> </v>
      </c>
      <c r="I3543" s="25" t="str">
        <f>IF(OR(E3543="",E3543="!!!",F3543="NEW"),"",INDEX(B3542:B$2,-1+SUMPRODUCT(MAX(ROW(E3542:E$2)*(E3543=E3542:E$2)))))</f>
        <v> </v>
      </c>
      <c r="J3543" s="25" t="str">
        <f>IF(OR(E3543="",E3543="!!!",F3543="NEW"),"",COUNTBLANK(OFFSET(A$1,,,SUMPRODUCT(MAX(ROW(E$2:E3543)*(E3543=E$2:E3543)))))-COUNTBLANK(OFFSET(A$1,,,SUMPRODUCT(MAX(ROW(E$1:E3542)*(E2=E$1:E3542))))))</f>
        <v> </v>
      </c>
      <c r="K3543" s="25" t="str">
        <f>IF(OR(E3543="",E3543="!!!",F3543="NEW"),"",INDEX(J$1:J3542,SUMPRODUCT(MAX(ROW(E$1:E3542)*(E3543=E$1:E3542)))))</f>
        <v> </v>
      </c>
      <c r="L3543" s="26"/>
    </row>
    <row r="3544" spans="1:12">
      <c r="A3544" s="20" t="s">
        <v>1130</v>
      </c>
      <c r="E3544" s="21">
        <f>IF(D3544="?OLD","!!!","")</f>
        <v/>
      </c>
      <c r="F3544" s="22" t="str">
        <f>IF(OR(E3544="",E3544="!!!"),"",IF(NOT(ISNA(VLOOKUP(E3544,E$1:E3543,1,FALSE()))),"OLD",IF(AND(E3544&lt;&gt;"",E3544&lt;&gt;"!!!"),"NEW","")))</f>
        <v> </v>
      </c>
      <c r="G3544" s="23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4" t="str">
        <f>IF(J3544&lt;&gt;1,"",IF(I3544="SBJ","CB","?"))</f>
        <v> </v>
      </c>
      <c r="I3544" s="25" t="str">
        <f>IF(OR(E3544="",E3544="!!!",F3544="NEW"),"",INDEX(B3543:B$2,-1+SUMPRODUCT(MAX(ROW(E3543:E$2)*(E3544=E3543:E$2)))))</f>
        <v> </v>
      </c>
      <c r="J3544" s="25" t="str">
        <f>IF(OR(E3544="",E3544="!!!",F3544="NEW"),"",COUNTBLANK(OFFSET(A$1,,,SUMPRODUCT(MAX(ROW(E$2:E3544)*(E3544=E$2:E3544)))))-COUNTBLANK(OFFSET(A$1,,,SUMPRODUCT(MAX(ROW(E$1:E3543)*(E2=E$1:E3543))))))</f>
        <v> </v>
      </c>
      <c r="K3544" s="25" t="str">
        <f>IF(OR(E3544="",E3544="!!!",F3544="NEW"),"",INDEX(J$1:J3543,SUMPRODUCT(MAX(ROW(E$1:E3543)*(E3544=E$1:E3543)))))</f>
        <v> </v>
      </c>
      <c r="L3544" s="26"/>
    </row>
    <row r="3545" spans="1:12">
      <c r="A3545" s="20" t="s">
        <v>2704</v>
      </c>
      <c r="B3545" s="27" t="s">
        <v>1132</v>
      </c>
      <c r="C3545" s="27" t="s">
        <v>1104</v>
      </c>
      <c r="D3545" s="27" t="s">
        <v>1105</v>
      </c>
      <c r="E3545" s="21">
        <f>IF(D3545="?OLD","!!!","")</f>
        <v/>
      </c>
      <c r="F3545" s="22" t="str">
        <f>IF(OR(E3545="",E3545="!!!"),"",IF(NOT(ISNA(VLOOKUP(E3545,E$1:E3544,1,FALSE()))),"OLD",IF(AND(E3545&lt;&gt;"",E3545&lt;&gt;"!!!"),"NEW","")))</f>
        <v> </v>
      </c>
      <c r="G3545" s="23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4" t="str">
        <f>IF(J3545&lt;&gt;1,"",IF(I3545="SBJ","CB","?"))</f>
        <v> </v>
      </c>
      <c r="I3545" s="25" t="str">
        <f>IF(OR(E3545="",E3545="!!!",F3545="NEW"),"",INDEX(B3544:B$2,-1+SUMPRODUCT(MAX(ROW(E3544:E$2)*(E3545=E3544:E$2)))))</f>
        <v> </v>
      </c>
      <c r="J3545" s="25" t="str">
        <f>IF(OR(E3545="",E3545="!!!",F3545="NEW"),"",COUNTBLANK(OFFSET(A$1,,,SUMPRODUCT(MAX(ROW(E$2:E3545)*(E3545=E$2:E3545)))))-COUNTBLANK(OFFSET(A$1,,,SUMPRODUCT(MAX(ROW(E$1:E3544)*(E2=E$1:E3544))))))</f>
        <v> </v>
      </c>
      <c r="K3545" s="25" t="str">
        <f>IF(OR(E3545="",E3545="!!!",F3545="NEW"),"",INDEX(J$1:J3544,SUMPRODUCT(MAX(ROW(E$1:E3544)*(E3545=E$1:E3544)))))</f>
        <v> </v>
      </c>
      <c r="L3545" s="26"/>
    </row>
    <row r="3546" spans="1:12">
      <c r="A3546" s="20" t="s">
        <v>1506</v>
      </c>
      <c r="B3546" s="27" t="s">
        <v>1141</v>
      </c>
      <c r="C3546" s="27" t="s">
        <v>1108</v>
      </c>
      <c r="D3546" s="27" t="s">
        <v>1105</v>
      </c>
      <c r="E3546" s="21">
        <f>IF(D3546="?OLD","!!!","")</f>
        <v/>
      </c>
      <c r="F3546" s="22" t="str">
        <f>IF(OR(E3546="",E3546="!!!"),"",IF(NOT(ISNA(VLOOKUP(E3546,E$1:E3545,1,FALSE()))),"OLD",IF(AND(E3546&lt;&gt;"",E3546&lt;&gt;"!!!"),"NEW","")))</f>
        <v> </v>
      </c>
      <c r="G3546" s="23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4" t="str">
        <f>IF(J3546&lt;&gt;1,"",IF(I3546="SBJ","CB","?"))</f>
        <v> </v>
      </c>
      <c r="I3546" s="25" t="str">
        <f>IF(OR(E3546="",E3546="!!!",F3546="NEW"),"",INDEX(B3545:B$2,-1+SUMPRODUCT(MAX(ROW(E3545:E$2)*(E3546=E3545:E$2)))))</f>
        <v> </v>
      </c>
      <c r="J3546" s="25" t="str">
        <f>IF(OR(E3546="",E3546="!!!",F3546="NEW"),"",COUNTBLANK(OFFSET(A$1,,,SUMPRODUCT(MAX(ROW(E$2:E3546)*(E3546=E$2:E3546)))))-COUNTBLANK(OFFSET(A$1,,,SUMPRODUCT(MAX(ROW(E$1:E3545)*(E2=E$1:E3545))))))</f>
        <v> </v>
      </c>
      <c r="K3546" s="25" t="str">
        <f>IF(OR(E3546="",E3546="!!!",F3546="NEW"),"",INDEX(J$1:J3545,SUMPRODUCT(MAX(ROW(E$1:E3545)*(E3546=E$1:E3545)))))</f>
        <v> </v>
      </c>
      <c r="L3546" s="26"/>
    </row>
    <row r="3547" spans="1:12">
      <c r="A3547" s="20" t="s">
        <v>2705</v>
      </c>
      <c r="E3547" s="21">
        <f>IF(D3547="?OLD","!!!","")</f>
        <v/>
      </c>
      <c r="F3547" s="22" t="str">
        <f>IF(OR(E3547="",E3547="!!!"),"",IF(NOT(ISNA(VLOOKUP(E3547,E$1:E3546,1,FALSE()))),"OLD",IF(AND(E3547&lt;&gt;"",E3547&lt;&gt;"!!!"),"NEW","")))</f>
        <v> </v>
      </c>
      <c r="G3547" s="23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4" t="str">
        <f>IF(J3547&lt;&gt;1,"",IF(I3547="SBJ","CB","?"))</f>
        <v> </v>
      </c>
      <c r="I3547" s="25" t="str">
        <f>IF(OR(E3547="",E3547="!!!",F3547="NEW"),"",INDEX(B3546:B$2,-1+SUMPRODUCT(MAX(ROW(E3546:E$2)*(E3547=E3546:E$2)))))</f>
        <v> </v>
      </c>
      <c r="J3547" s="25" t="str">
        <f>IF(OR(E3547="",E3547="!!!",F3547="NEW"),"",COUNTBLANK(OFFSET(A$1,,,SUMPRODUCT(MAX(ROW(E$2:E3547)*(E3547=E$2:E3547)))))-COUNTBLANK(OFFSET(A$1,,,SUMPRODUCT(MAX(ROW(E$1:E3546)*(E2=E$1:E3546))))))</f>
        <v> </v>
      </c>
      <c r="K3547" s="25" t="str">
        <f>IF(OR(E3547="",E3547="!!!",F3547="NEW"),"",INDEX(J$1:J3546,SUMPRODUCT(MAX(ROW(E$1:E3546)*(E3547=E$1:E3546)))))</f>
        <v> </v>
      </c>
      <c r="L3547" s="26"/>
    </row>
    <row r="3548" spans="1:12">
      <c r="A3548" s="20" t="s">
        <v>1184</v>
      </c>
      <c r="E3548" s="21">
        <f>IF(D3548="?OLD","!!!","")</f>
        <v/>
      </c>
      <c r="F3548" s="22" t="str">
        <f>IF(OR(E3548="",E3548="!!!"),"",IF(NOT(ISNA(VLOOKUP(E3548,E$1:E3547,1,FALSE()))),"OLD",IF(AND(E3548&lt;&gt;"",E3548&lt;&gt;"!!!"),"NEW","")))</f>
        <v> </v>
      </c>
      <c r="G3548" s="23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4" t="str">
        <f>IF(J3548&lt;&gt;1,"",IF(I3548="SBJ","CB","?"))</f>
        <v> </v>
      </c>
      <c r="I3548" s="25" t="str">
        <f>IF(OR(E3548="",E3548="!!!",F3548="NEW"),"",INDEX(B3547:B$2,-1+SUMPRODUCT(MAX(ROW(E3547:E$2)*(E3548=E3547:E$2)))))</f>
        <v> </v>
      </c>
      <c r="J3548" s="25" t="str">
        <f>IF(OR(E3548="",E3548="!!!",F3548="NEW"),"",COUNTBLANK(OFFSET(A$1,,,SUMPRODUCT(MAX(ROW(E$2:E3548)*(E3548=E$2:E3548)))))-COUNTBLANK(OFFSET(A$1,,,SUMPRODUCT(MAX(ROW(E$1:E3547)*(E2=E$1:E3547))))))</f>
        <v> </v>
      </c>
      <c r="K3548" s="25" t="str">
        <f>IF(OR(E3548="",E3548="!!!",F3548="NEW"),"",INDEX(J$1:J3547,SUMPRODUCT(MAX(ROW(E$1:E3547)*(E3548=E$1:E3547)))))</f>
        <v> </v>
      </c>
      <c r="L3548" s="26"/>
    </row>
    <row r="3549" spans="1:12">
      <c r="A3549" s="20" t="s">
        <v>1303</v>
      </c>
      <c r="B3549" s="27" t="s">
        <v>1107</v>
      </c>
      <c r="C3549" s="27" t="s">
        <v>1108</v>
      </c>
      <c r="D3549" s="27" t="s">
        <v>1105</v>
      </c>
      <c r="E3549" s="21">
        <f>IF(D3549="?OLD","!!!","")</f>
        <v/>
      </c>
      <c r="F3549" s="22" t="str">
        <f>IF(OR(E3549="",E3549="!!!"),"",IF(NOT(ISNA(VLOOKUP(E3549,E$1:E3548,1,FALSE()))),"OLD",IF(AND(E3549&lt;&gt;"",E3549&lt;&gt;"!!!"),"NEW","")))</f>
        <v> </v>
      </c>
      <c r="G3549" s="23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4" t="str">
        <f>IF(J3549&lt;&gt;1,"",IF(I3549="SBJ","CB","?"))</f>
        <v> </v>
      </c>
      <c r="I3549" s="25" t="str">
        <f>IF(OR(E3549="",E3549="!!!",F3549="NEW"),"",INDEX(B3548:B$2,-1+SUMPRODUCT(MAX(ROW(E3548:E$2)*(E3549=E3548:E$2)))))</f>
        <v> </v>
      </c>
      <c r="J3549" s="25" t="str">
        <f>IF(OR(E3549="",E3549="!!!",F3549="NEW"),"",COUNTBLANK(OFFSET(A$1,,,SUMPRODUCT(MAX(ROW(E$2:E3549)*(E3549=E$2:E3549)))))-COUNTBLANK(OFFSET(A$1,,,SUMPRODUCT(MAX(ROW(E$1:E3548)*(E2=E$1:E3548))))))</f>
        <v> </v>
      </c>
      <c r="K3549" s="25" t="str">
        <f>IF(OR(E3549="",E3549="!!!",F3549="NEW"),"",INDEX(J$1:J3548,SUMPRODUCT(MAX(ROW(E$1:E3548)*(E3549=E$1:E3548)))))</f>
        <v> </v>
      </c>
      <c r="L3549" s="26"/>
    </row>
    <row r="3550" spans="1:12">
      <c r="A3550" s="20" t="s">
        <v>11</v>
      </c>
      <c r="E3550" s="21">
        <f>IF(D3550="?OLD","!!!","")</f>
        <v/>
      </c>
      <c r="F3550" s="22" t="str">
        <f>IF(OR(E3550="",E3550="!!!"),"",IF(NOT(ISNA(VLOOKUP(E3550,E$1:E3549,1,FALSE()))),"OLD",IF(AND(E3550&lt;&gt;"",E3550&lt;&gt;"!!!"),"NEW","")))</f>
        <v> </v>
      </c>
      <c r="G3550" s="23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4" t="str">
        <f>IF(J3550&lt;&gt;1,"",IF(I3550="SBJ","CB","?"))</f>
        <v> </v>
      </c>
      <c r="I3550" s="25" t="str">
        <f>IF(OR(E3550="",E3550="!!!",F3550="NEW"),"",INDEX(B3549:B$2,-1+SUMPRODUCT(MAX(ROW(E3549:E$2)*(E3550=E3549:E$2)))))</f>
        <v> </v>
      </c>
      <c r="J3550" s="25" t="str">
        <f>IF(OR(E3550="",E3550="!!!",F3550="NEW"),"",COUNTBLANK(OFFSET(A$1,,,SUMPRODUCT(MAX(ROW(E$2:E3550)*(E3550=E$2:E3550)))))-COUNTBLANK(OFFSET(A$1,,,SUMPRODUCT(MAX(ROW(E$1:E3549)*(E2=E$1:E3549))))))</f>
        <v> </v>
      </c>
      <c r="K3550" s="25" t="str">
        <f>IF(OR(E3550="",E3550="!!!",F3550="NEW"),"",INDEX(J$1:J3549,SUMPRODUCT(MAX(ROW(E$1:E3549)*(E3550=E$1:E3549)))))</f>
        <v> </v>
      </c>
      <c r="L3550" s="26"/>
    </row>
    <row r="3551" spans="1:12">
      <c r="A3551" s="20" t="s">
        <v>2706</v>
      </c>
      <c r="B3551" s="27" t="s">
        <v>1122</v>
      </c>
      <c r="E3551" s="21">
        <f>IF(D3551="?OLD","!!!","")</f>
        <v/>
      </c>
      <c r="F3551" s="22" t="str">
        <f>IF(OR(E3551="",E3551="!!!"),"",IF(NOT(ISNA(VLOOKUP(E3551,E$1:E3550,1,FALSE()))),"OLD",IF(AND(E3551&lt;&gt;"",E3551&lt;&gt;"!!!"),"NEW","")))</f>
        <v> </v>
      </c>
      <c r="G3551" s="23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4" t="str">
        <f>IF(J3551&lt;&gt;1,"",IF(I3551="SBJ","CB","?"))</f>
        <v> </v>
      </c>
      <c r="I3551" s="25" t="str">
        <f>IF(OR(E3551="",E3551="!!!",F3551="NEW"),"",INDEX(B3550:B$2,-1+SUMPRODUCT(MAX(ROW(E3550:E$2)*(E3551=E3550:E$2)))))</f>
        <v> </v>
      </c>
      <c r="J3551" s="25" t="str">
        <f>IF(OR(E3551="",E3551="!!!",F3551="NEW"),"",COUNTBLANK(OFFSET(A$1,,,SUMPRODUCT(MAX(ROW(E$2:E3551)*(E3551=E$2:E3551)))))-COUNTBLANK(OFFSET(A$1,,,SUMPRODUCT(MAX(ROW(E$1:E3550)*(E2=E$1:E3550))))))</f>
        <v> </v>
      </c>
      <c r="K3551" s="25" t="str">
        <f>IF(OR(E3551="",E3551="!!!",F3551="NEW"),"",INDEX(J$1:J3550,SUMPRODUCT(MAX(ROW(E$1:E3550)*(E3551=E$1:E3550)))))</f>
        <v> </v>
      </c>
      <c r="L3551" s="26"/>
    </row>
    <row r="3552" spans="1:12">
      <c r="A3552" s="20" t="s">
        <v>1145</v>
      </c>
      <c r="E3552" s="21">
        <f>IF(D3552="?OLD","!!!","")</f>
        <v/>
      </c>
      <c r="F3552" s="22" t="str">
        <f>IF(OR(E3552="",E3552="!!!"),"",IF(NOT(ISNA(VLOOKUP(E3552,E$1:E3551,1,FALSE()))),"OLD",IF(AND(E3552&lt;&gt;"",E3552&lt;&gt;"!!!"),"NEW","")))</f>
        <v> </v>
      </c>
      <c r="G3552" s="23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4" t="str">
        <f>IF(J3552&lt;&gt;1,"",IF(I3552="SBJ","CB","?"))</f>
        <v> </v>
      </c>
      <c r="I3552" s="25" t="str">
        <f>IF(OR(E3552="",E3552="!!!",F3552="NEW"),"",INDEX(B3551:B$2,-1+SUMPRODUCT(MAX(ROW(E3551:E$2)*(E3552=E3551:E$2)))))</f>
        <v> </v>
      </c>
      <c r="J3552" s="25" t="str">
        <f>IF(OR(E3552="",E3552="!!!",F3552="NEW"),"",COUNTBLANK(OFFSET(A$1,,,SUMPRODUCT(MAX(ROW(E$2:E3552)*(E3552=E$2:E3552)))))-COUNTBLANK(OFFSET(A$1,,,SUMPRODUCT(MAX(ROW(E$1:E3551)*(E2=E$1:E3551))))))</f>
        <v> </v>
      </c>
      <c r="K3552" s="25" t="str">
        <f>IF(OR(E3552="",E3552="!!!",F3552="NEW"),"",INDEX(J$1:J3551,SUMPRODUCT(MAX(ROW(E$1:E3551)*(E3552=E$1:E3551)))))</f>
        <v> </v>
      </c>
      <c r="L3552" s="26"/>
    </row>
    <row r="3553" spans="1:12">
      <c r="A3553" s="20"/>
    </row>
    <row r="3554" spans="1:12">
      <c r="A3554" s="20" t="s">
        <v>2707</v>
      </c>
    </row>
    <row r="3555" spans="1:12">
      <c r="A3555" s="20" t="s">
        <v>2708</v>
      </c>
      <c r="E3555" s="21">
        <f>IF(D3555="?OLD","!!!","")</f>
        <v/>
      </c>
      <c r="F3555" s="22" t="str">
        <f>IF(OR(E3555="",E3555="!!!"),"",IF(NOT(ISNA(VLOOKUP(E3555,E$1:E3554,1,FALSE()))),"OLD",IF(AND(E3555&lt;&gt;"",E3555&lt;&gt;"!!!"),"NEW","")))</f>
        <v> </v>
      </c>
      <c r="G3555" s="23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4" t="str">
        <f>IF(J3555&lt;&gt;1,"",IF(I3555="SBJ","CB","?"))</f>
        <v> </v>
      </c>
      <c r="I3555" s="25" t="str">
        <f>IF(OR(E3555="",E3555="!!!",F3555="NEW"),"",INDEX(B3554:B$2,-1+SUMPRODUCT(MAX(ROW(E3554:E$2)*(E3555=E3554:E$2)))))</f>
        <v> </v>
      </c>
      <c r="J3555" s="25" t="str">
        <f>IF(OR(E3555="",E3555="!!!",F3555="NEW"),"",COUNTBLANK(OFFSET(A$1,,,SUMPRODUCT(MAX(ROW(E$2:E3555)*(E3555=E$2:E3555)))))-COUNTBLANK(OFFSET(A$1,,,SUMPRODUCT(MAX(ROW(E$1:E3554)*(E2=E$1:E3554))))))</f>
        <v> </v>
      </c>
      <c r="K3555" s="25" t="str">
        <f>IF(OR(E3555="",E3555="!!!",F3555="NEW"),"",INDEX(J$1:J3554,SUMPRODUCT(MAX(ROW(E$1:E3554)*(E3555=E$1:E3554)))))</f>
        <v> </v>
      </c>
      <c r="L3555" s="26"/>
    </row>
    <row r="3556" spans="1:12">
      <c r="A3556" s="20" t="s">
        <v>1195</v>
      </c>
      <c r="E3556" s="21">
        <f>IF(D3556="?OLD","!!!","")</f>
        <v/>
      </c>
      <c r="F3556" s="22" t="str">
        <f>IF(OR(E3556="",E3556="!!!"),"",IF(NOT(ISNA(VLOOKUP(E3556,E$1:E3555,1,FALSE()))),"OLD",IF(AND(E3556&lt;&gt;"",E3556&lt;&gt;"!!!"),"NEW","")))</f>
        <v> </v>
      </c>
      <c r="G3556" s="23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4" t="str">
        <f>IF(J3556&lt;&gt;1,"",IF(I3556="SBJ","CB","?"))</f>
        <v> </v>
      </c>
      <c r="I3556" s="25" t="str">
        <f>IF(OR(E3556="",E3556="!!!",F3556="NEW"),"",INDEX(B3555:B$2,-1+SUMPRODUCT(MAX(ROW(E3555:E$2)*(E3556=E3555:E$2)))))</f>
        <v> </v>
      </c>
      <c r="J3556" s="25" t="str">
        <f>IF(OR(E3556="",E3556="!!!",F3556="NEW"),"",COUNTBLANK(OFFSET(A$1,,,SUMPRODUCT(MAX(ROW(E$2:E3556)*(E3556=E$2:E3556)))))-COUNTBLANK(OFFSET(A$1,,,SUMPRODUCT(MAX(ROW(E$1:E3555)*(E2=E$1:E3555))))))</f>
        <v> </v>
      </c>
      <c r="K3556" s="25" t="str">
        <f>IF(OR(E3556="",E3556="!!!",F3556="NEW"),"",INDEX(J$1:J3555,SUMPRODUCT(MAX(ROW(E$1:E3555)*(E3556=E$1:E3555)))))</f>
        <v> </v>
      </c>
      <c r="L3556" s="26"/>
    </row>
    <row r="3557" spans="1:12">
      <c r="A3557" s="20" t="s">
        <v>1421</v>
      </c>
      <c r="B3557" s="27" t="s">
        <v>1107</v>
      </c>
      <c r="C3557" s="27" t="s">
        <v>1126</v>
      </c>
      <c r="D3557" s="27" t="s">
        <v>1105</v>
      </c>
      <c r="E3557" s="21">
        <f>IF(D3557="?OLD","!!!","")</f>
        <v/>
      </c>
      <c r="F3557" s="22" t="str">
        <f>IF(OR(E3557="",E3557="!!!"),"",IF(NOT(ISNA(VLOOKUP(E3557,E$1:E3556,1,FALSE()))),"OLD",IF(AND(E3557&lt;&gt;"",E3557&lt;&gt;"!!!"),"NEW","")))</f>
        <v> </v>
      </c>
      <c r="G3557" s="23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4" t="str">
        <f>IF(J3557&lt;&gt;1,"",IF(I3557="SBJ","CB","?"))</f>
        <v> </v>
      </c>
      <c r="I3557" s="25" t="str">
        <f>IF(OR(E3557="",E3557="!!!",F3557="NEW"),"",INDEX(B3556:B$2,-1+SUMPRODUCT(MAX(ROW(E3556:E$2)*(E3557=E3556:E$2)))))</f>
        <v> </v>
      </c>
      <c r="J3557" s="25" t="str">
        <f>IF(OR(E3557="",E3557="!!!",F3557="NEW"),"",COUNTBLANK(OFFSET(A$1,,,SUMPRODUCT(MAX(ROW(E$2:E3557)*(E3557=E$2:E3557)))))-COUNTBLANK(OFFSET(A$1,,,SUMPRODUCT(MAX(ROW(E$1:E3556)*(E2=E$1:E3556))))))</f>
        <v> </v>
      </c>
      <c r="K3557" s="25" t="str">
        <f>IF(OR(E3557="",E3557="!!!",F3557="NEW"),"",INDEX(J$1:J3556,SUMPRODUCT(MAX(ROW(E$1:E3556)*(E3557=E$1:E3556)))))</f>
        <v> </v>
      </c>
      <c r="L3557" s="26"/>
    </row>
    <row r="3558" spans="1:12">
      <c r="A3558" s="20" t="s">
        <v>2709</v>
      </c>
      <c r="B3558" s="27" t="s">
        <v>1243</v>
      </c>
      <c r="E3558" s="21">
        <f>IF(D3558="?OLD","!!!","")</f>
        <v/>
      </c>
      <c r="F3558" s="22" t="str">
        <f>IF(OR(E3558="",E3558="!!!"),"",IF(NOT(ISNA(VLOOKUP(E3558,E$1:E3557,1,FALSE()))),"OLD",IF(AND(E3558&lt;&gt;"",E3558&lt;&gt;"!!!"),"NEW","")))</f>
        <v> </v>
      </c>
      <c r="G3558" s="23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4" t="str">
        <f>IF(J3558&lt;&gt;1,"",IF(I3558="SBJ","CB","?"))</f>
        <v> </v>
      </c>
      <c r="I3558" s="25" t="str">
        <f>IF(OR(E3558="",E3558="!!!",F3558="NEW"),"",INDEX(B3557:B$2,-1+SUMPRODUCT(MAX(ROW(E3557:E$2)*(E3558=E3557:E$2)))))</f>
        <v> </v>
      </c>
      <c r="J3558" s="25" t="str">
        <f>IF(OR(E3558="",E3558="!!!",F3558="NEW"),"",COUNTBLANK(OFFSET(A$1,,,SUMPRODUCT(MAX(ROW(E$2:E3558)*(E3558=E$2:E3558)))))-COUNTBLANK(OFFSET(A$1,,,SUMPRODUCT(MAX(ROW(E$1:E3557)*(E2=E$1:E3557))))))</f>
        <v> </v>
      </c>
      <c r="K3558" s="25" t="str">
        <f>IF(OR(E3558="",E3558="!!!",F3558="NEW"),"",INDEX(J$1:J3557,SUMPRODUCT(MAX(ROW(E$1:E3557)*(E3558=E$1:E3557)))))</f>
        <v> </v>
      </c>
      <c r="L3558" s="26"/>
    </row>
    <row r="3559" spans="1:12">
      <c r="A3559" s="20" t="s">
        <v>1492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1590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1120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 t="s">
        <v>883</v>
      </c>
      <c r="E3562" s="21">
        <f>IF(D3562="?OLD","!!!","")</f>
        <v/>
      </c>
      <c r="F3562" s="22" t="str">
        <f>IF(OR(E3562="",E3562="!!!"),"",IF(NOT(ISNA(VLOOKUP(E3562,E$1:E3561,1,FALSE()))),"OLD",IF(AND(E3562&lt;&gt;"",E3562&lt;&gt;"!!!"),"NEW","")))</f>
        <v> </v>
      </c>
      <c r="G3562" s="23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4" t="str">
        <f>IF(J3562&lt;&gt;1,"",IF(I3562="SBJ","CB","?"))</f>
        <v> </v>
      </c>
      <c r="I3562" s="25" t="str">
        <f>IF(OR(E3562="",E3562="!!!",F3562="NEW"),"",INDEX(B3561:B$2,-1+SUMPRODUCT(MAX(ROW(E3561:E$2)*(E3562=E3561:E$2)))))</f>
        <v> </v>
      </c>
      <c r="J3562" s="25" t="str">
        <f>IF(OR(E3562="",E3562="!!!",F3562="NEW"),"",COUNTBLANK(OFFSET(A$1,,,SUMPRODUCT(MAX(ROW(E$2:E3562)*(E3562=E$2:E3562)))))-COUNTBLANK(OFFSET(A$1,,,SUMPRODUCT(MAX(ROW(E$1:E3561)*(E2=E$1:E3561))))))</f>
        <v> </v>
      </c>
      <c r="K3562" s="25" t="str">
        <f>IF(OR(E3562="",E3562="!!!",F3562="NEW"),"",INDEX(J$1:J3561,SUMPRODUCT(MAX(ROW(E$1:E3561)*(E3562=E$1:E3561)))))</f>
        <v> </v>
      </c>
      <c r="L3562" s="26"/>
    </row>
    <row r="3563" spans="1:12">
      <c r="A3563" s="20" t="s">
        <v>1145</v>
      </c>
      <c r="E3563" s="21">
        <f>IF(D3563="?OLD","!!!","")</f>
        <v/>
      </c>
      <c r="F3563" s="22" t="str">
        <f>IF(OR(E3563="",E3563="!!!"),"",IF(NOT(ISNA(VLOOKUP(E3563,E$1:E3562,1,FALSE()))),"OLD",IF(AND(E3563&lt;&gt;"",E3563&lt;&gt;"!!!"),"NEW","")))</f>
        <v> </v>
      </c>
      <c r="G3563" s="23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4" t="str">
        <f>IF(J3563&lt;&gt;1,"",IF(I3563="SBJ","CB","?"))</f>
        <v> </v>
      </c>
      <c r="I3563" s="25" t="str">
        <f>IF(OR(E3563="",E3563="!!!",F3563="NEW"),"",INDEX(B3562:B$2,-1+SUMPRODUCT(MAX(ROW(E3562:E$2)*(E3563=E3562:E$2)))))</f>
        <v> </v>
      </c>
      <c r="J3563" s="25" t="str">
        <f>IF(OR(E3563="",E3563="!!!",F3563="NEW"),"",COUNTBLANK(OFFSET(A$1,,,SUMPRODUCT(MAX(ROW(E$2:E3563)*(E3563=E$2:E3563)))))-COUNTBLANK(OFFSET(A$1,,,SUMPRODUCT(MAX(ROW(E$1:E3562)*(E2=E$1:E3562))))))</f>
        <v> </v>
      </c>
      <c r="K3563" s="25" t="str">
        <f>IF(OR(E3563="",E3563="!!!",F3563="NEW"),"",INDEX(J$1:J3562,SUMPRODUCT(MAX(ROW(E$1:E3562)*(E3563=E$1:E3562)))))</f>
        <v> </v>
      </c>
      <c r="L3563" s="26"/>
    </row>
    <row r="3564" spans="1:12">
      <c r="A3564" s="20"/>
    </row>
    <row r="3565" spans="1:12">
      <c r="A3565" s="20" t="s">
        <v>2710</v>
      </c>
    </row>
    <row r="3566" spans="1:12">
      <c r="A3566" s="20" t="s">
        <v>2711</v>
      </c>
      <c r="E3566" s="21">
        <f>IF(D3566="?OLD","!!!","")</f>
        <v/>
      </c>
      <c r="F3566" s="22" t="str">
        <f>IF(OR(E3566="",E3566="!!!"),"",IF(NOT(ISNA(VLOOKUP(E3566,E$1:E3565,1,FALSE()))),"OLD",IF(AND(E3566&lt;&gt;"",E3566&lt;&gt;"!!!"),"NEW","")))</f>
        <v> </v>
      </c>
      <c r="G3566" s="23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4" t="str">
        <f>IF(J3566&lt;&gt;1,"",IF(I3566="SBJ","CB","?"))</f>
        <v> </v>
      </c>
      <c r="I3566" s="25" t="str">
        <f>IF(OR(E3566="",E3566="!!!",F3566="NEW"),"",INDEX(B3565:B$2,-1+SUMPRODUCT(MAX(ROW(E3565:E$2)*(E3566=E3565:E$2)))))</f>
        <v> </v>
      </c>
      <c r="J3566" s="25" t="str">
        <f>IF(OR(E3566="",E3566="!!!",F3566="NEW"),"",COUNTBLANK(OFFSET(A$1,,,SUMPRODUCT(MAX(ROW(E$2:E3566)*(E3566=E$2:E3566)))))-COUNTBLANK(OFFSET(A$1,,,SUMPRODUCT(MAX(ROW(E$1:E3565)*(E2=E$1:E3565))))))</f>
        <v> </v>
      </c>
      <c r="K3566" s="25" t="str">
        <f>IF(OR(E3566="",E3566="!!!",F3566="NEW"),"",INDEX(J$1:J3565,SUMPRODUCT(MAX(ROW(E$1:E3565)*(E3566=E$1:E3565)))))</f>
        <v> </v>
      </c>
      <c r="L3566" s="26"/>
    </row>
    <row r="3567" spans="1:12">
      <c r="A3567" s="20" t="s">
        <v>2712</v>
      </c>
      <c r="E3567" s="21">
        <f>IF(D3567="?OLD","!!!","")</f>
        <v/>
      </c>
      <c r="F3567" s="22" t="str">
        <f>IF(OR(E3567="",E3567="!!!"),"",IF(NOT(ISNA(VLOOKUP(E3567,E$1:E3566,1,FALSE()))),"OLD",IF(AND(E3567&lt;&gt;"",E3567&lt;&gt;"!!!"),"NEW","")))</f>
        <v> </v>
      </c>
      <c r="G3567" s="23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4" t="str">
        <f>IF(J3567&lt;&gt;1,"",IF(I3567="SBJ","CB","?"))</f>
        <v> </v>
      </c>
      <c r="I3567" s="25" t="str">
        <f>IF(OR(E3567="",E3567="!!!",F3567="NEW"),"",INDEX(B3566:B$2,-1+SUMPRODUCT(MAX(ROW(E3566:E$2)*(E3567=E3566:E$2)))))</f>
        <v> </v>
      </c>
      <c r="J3567" s="25" t="str">
        <f>IF(OR(E3567="",E3567="!!!",F3567="NEW"),"",COUNTBLANK(OFFSET(A$1,,,SUMPRODUCT(MAX(ROW(E$2:E3567)*(E3567=E$2:E3567)))))-COUNTBLANK(OFFSET(A$1,,,SUMPRODUCT(MAX(ROW(E$1:E3566)*(E2=E$1:E3566))))))</f>
        <v> </v>
      </c>
      <c r="K3567" s="25" t="str">
        <f>IF(OR(E3567="",E3567="!!!",F3567="NEW"),"",INDEX(J$1:J3566,SUMPRODUCT(MAX(ROW(E$1:E3566)*(E3567=E$1:E3566)))))</f>
        <v> </v>
      </c>
      <c r="L3567" s="26"/>
    </row>
    <row r="3568" spans="1:12">
      <c r="A3568" s="20" t="s">
        <v>2713</v>
      </c>
      <c r="B3568" s="27" t="s">
        <v>1243</v>
      </c>
      <c r="C3568" s="27" t="s">
        <v>1210</v>
      </c>
      <c r="E3568" s="21">
        <f>IF(D3568="?OLD","!!!","")</f>
        <v/>
      </c>
      <c r="F3568" s="22" t="str">
        <f>IF(OR(E3568="",E3568="!!!"),"",IF(NOT(ISNA(VLOOKUP(E3568,E$1:E3567,1,FALSE()))),"OLD",IF(AND(E3568&lt;&gt;"",E3568&lt;&gt;"!!!"),"NEW","")))</f>
        <v> </v>
      </c>
      <c r="G3568" s="23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4" t="str">
        <f>IF(J3568&lt;&gt;1,"",IF(I3568="SBJ","CB","?"))</f>
        <v> </v>
      </c>
      <c r="I3568" s="25" t="str">
        <f>IF(OR(E3568="",E3568="!!!",F3568="NEW"),"",INDEX(B3567:B$2,-1+SUMPRODUCT(MAX(ROW(E3567:E$2)*(E3568=E3567:E$2)))))</f>
        <v> </v>
      </c>
      <c r="J3568" s="25" t="str">
        <f>IF(OR(E3568="",E3568="!!!",F3568="NEW"),"",COUNTBLANK(OFFSET(A$1,,,SUMPRODUCT(MAX(ROW(E$2:E3568)*(E3568=E$2:E3568)))))-COUNTBLANK(OFFSET(A$1,,,SUMPRODUCT(MAX(ROW(E$1:E3567)*(E2=E$1:E3567))))))</f>
        <v> </v>
      </c>
      <c r="K3568" s="25" t="str">
        <f>IF(OR(E3568="",E3568="!!!",F3568="NEW"),"",INDEX(J$1:J3567,SUMPRODUCT(MAX(ROW(E$1:E3567)*(E3568=E$1:E3567)))))</f>
        <v> </v>
      </c>
      <c r="L3568" s="26"/>
    </row>
    <row r="3569" spans="1:12">
      <c r="A3569" s="20" t="s">
        <v>1231</v>
      </c>
      <c r="E3569" s="21">
        <f>IF(D3569="?OLD","!!!","")</f>
        <v/>
      </c>
      <c r="F3569" s="22" t="str">
        <f>IF(OR(E3569="",E3569="!!!"),"",IF(NOT(ISNA(VLOOKUP(E3569,E$1:E3568,1,FALSE()))),"OLD",IF(AND(E3569&lt;&gt;"",E3569&lt;&gt;"!!!"),"NEW","")))</f>
        <v> </v>
      </c>
      <c r="G3569" s="23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4" t="str">
        <f>IF(J3569&lt;&gt;1,"",IF(I3569="SBJ","CB","?"))</f>
        <v> </v>
      </c>
      <c r="I3569" s="25" t="str">
        <f>IF(OR(E3569="",E3569="!!!",F3569="NEW"),"",INDEX(B3568:B$2,-1+SUMPRODUCT(MAX(ROW(E3568:E$2)*(E3569=E3568:E$2)))))</f>
        <v> </v>
      </c>
      <c r="J3569" s="25" t="str">
        <f>IF(OR(E3569="",E3569="!!!",F3569="NEW"),"",COUNTBLANK(OFFSET(A$1,,,SUMPRODUCT(MAX(ROW(E$2:E3569)*(E3569=E$2:E3569)))))-COUNTBLANK(OFFSET(A$1,,,SUMPRODUCT(MAX(ROW(E$1:E3568)*(E2=E$1:E3568))))))</f>
        <v> </v>
      </c>
      <c r="K3569" s="25" t="str">
        <f>IF(OR(E3569="",E3569="!!!",F3569="NEW"),"",INDEX(J$1:J3568,SUMPRODUCT(MAX(ROW(E$1:E3568)*(E3569=E$1:E3568)))))</f>
        <v> </v>
      </c>
      <c r="L3569" s="26"/>
    </row>
    <row r="3570" spans="1:12">
      <c r="A3570" s="20" t="s">
        <v>2714</v>
      </c>
      <c r="E3570" s="21">
        <f>IF(D3570="?OLD","!!!","")</f>
        <v/>
      </c>
      <c r="F3570" s="22" t="str">
        <f>IF(OR(E3570="",E3570="!!!"),"",IF(NOT(ISNA(VLOOKUP(E3570,E$1:E3569,1,FALSE()))),"OLD",IF(AND(E3570&lt;&gt;"",E3570&lt;&gt;"!!!"),"NEW","")))</f>
        <v> </v>
      </c>
      <c r="G3570" s="23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4" t="str">
        <f>IF(J3570&lt;&gt;1,"",IF(I3570="SBJ","CB","?"))</f>
        <v> </v>
      </c>
      <c r="I3570" s="25" t="str">
        <f>IF(OR(E3570="",E3570="!!!",F3570="NEW"),"",INDEX(B3569:B$2,-1+SUMPRODUCT(MAX(ROW(E3569:E$2)*(E3570=E3569:E$2)))))</f>
        <v> </v>
      </c>
      <c r="J3570" s="25" t="str">
        <f>IF(OR(E3570="",E3570="!!!",F3570="NEW"),"",COUNTBLANK(OFFSET(A$1,,,SUMPRODUCT(MAX(ROW(E$2:E3570)*(E3570=E$2:E3570)))))-COUNTBLANK(OFFSET(A$1,,,SUMPRODUCT(MAX(ROW(E$1:E3569)*(E2=E$1:E3569))))))</f>
        <v> </v>
      </c>
      <c r="K3570" s="25" t="str">
        <f>IF(OR(E3570="",E3570="!!!",F3570="NEW"),"",INDEX(J$1:J3569,SUMPRODUCT(MAX(ROW(E$1:E3569)*(E3570=E$1:E3569)))))</f>
        <v> </v>
      </c>
      <c r="L3570" s="26"/>
    </row>
    <row r="3571" spans="1:12">
      <c r="A3571" s="20" t="s">
        <v>2715</v>
      </c>
      <c r="E3571" s="21">
        <f>IF(D3571="?OLD","!!!","")</f>
        <v/>
      </c>
      <c r="F3571" s="22" t="str">
        <f>IF(OR(E3571="",E3571="!!!"),"",IF(NOT(ISNA(VLOOKUP(E3571,E$1:E3570,1,FALSE()))),"OLD",IF(AND(E3571&lt;&gt;"",E3571&lt;&gt;"!!!"),"NEW","")))</f>
        <v> </v>
      </c>
      <c r="G3571" s="23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4" t="str">
        <f>IF(J3571&lt;&gt;1,"",IF(I3571="SBJ","CB","?"))</f>
        <v> </v>
      </c>
      <c r="I3571" s="25" t="str">
        <f>IF(OR(E3571="",E3571="!!!",F3571="NEW"),"",INDEX(B3570:B$2,-1+SUMPRODUCT(MAX(ROW(E3570:E$2)*(E3571=E3570:E$2)))))</f>
        <v> </v>
      </c>
      <c r="J3571" s="25" t="str">
        <f>IF(OR(E3571="",E3571="!!!",F3571="NEW"),"",COUNTBLANK(OFFSET(A$1,,,SUMPRODUCT(MAX(ROW(E$2:E3571)*(E3571=E$2:E3571)))))-COUNTBLANK(OFFSET(A$1,,,SUMPRODUCT(MAX(ROW(E$1:E3570)*(E2=E$1:E3570))))))</f>
        <v> </v>
      </c>
      <c r="K3571" s="25" t="str">
        <f>IF(OR(E3571="",E3571="!!!",F3571="NEW"),"",INDEX(J$1:J3570,SUMPRODUCT(MAX(ROW(E$1:E3570)*(E3571=E$1:E3570)))))</f>
        <v> </v>
      </c>
      <c r="L3571" s="26"/>
    </row>
    <row r="3572" spans="1:12">
      <c r="A3572" s="20" t="s">
        <v>1123</v>
      </c>
      <c r="E3572" s="21">
        <f>IF(D3572="?OLD","!!!","")</f>
        <v/>
      </c>
      <c r="F3572" s="22" t="str">
        <f>IF(OR(E3572="",E3572="!!!"),"",IF(NOT(ISNA(VLOOKUP(E3572,E$1:E3571,1,FALSE()))),"OLD",IF(AND(E3572&lt;&gt;"",E3572&lt;&gt;"!!!"),"NEW","")))</f>
        <v> </v>
      </c>
      <c r="G3572" s="23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4" t="str">
        <f>IF(J3572&lt;&gt;1,"",IF(I3572="SBJ","CB","?"))</f>
        <v> </v>
      </c>
      <c r="I3572" s="25" t="str">
        <f>IF(OR(E3572="",E3572="!!!",F3572="NEW"),"",INDEX(B3571:B$2,-1+SUMPRODUCT(MAX(ROW(E3571:E$2)*(E3572=E3571:E$2)))))</f>
        <v> </v>
      </c>
      <c r="J3572" s="25" t="str">
        <f>IF(OR(E3572="",E3572="!!!",F3572="NEW"),"",COUNTBLANK(OFFSET(A$1,,,SUMPRODUCT(MAX(ROW(E$2:E3572)*(E3572=E$2:E3572)))))-COUNTBLANK(OFFSET(A$1,,,SUMPRODUCT(MAX(ROW(E$1:E3571)*(E2=E$1:E3571))))))</f>
        <v> </v>
      </c>
      <c r="K3572" s="25" t="str">
        <f>IF(OR(E3572="",E3572="!!!",F3572="NEW"),"",INDEX(J$1:J3571,SUMPRODUCT(MAX(ROW(E$1:E3571)*(E3572=E$1:E3571)))))</f>
        <v> </v>
      </c>
      <c r="L3572" s="26"/>
    </row>
    <row r="3573" spans="1:12">
      <c r="A3573" s="20" t="s">
        <v>1124</v>
      </c>
      <c r="B3573" s="27" t="s">
        <v>1149</v>
      </c>
      <c r="C3573" s="27" t="s">
        <v>1126</v>
      </c>
      <c r="D3573" s="27" t="s">
        <v>1105</v>
      </c>
      <c r="E3573" s="21">
        <f>IF(D3573="?OLD","!!!","")</f>
        <v/>
      </c>
      <c r="F3573" s="22" t="str">
        <f>IF(OR(E3573="",E3573="!!!"),"",IF(NOT(ISNA(VLOOKUP(E3573,E$1:E3572,1,FALSE()))),"OLD",IF(AND(E3573&lt;&gt;"",E3573&lt;&gt;"!!!"),"NEW","")))</f>
        <v> </v>
      </c>
      <c r="G3573" s="23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4" t="str">
        <f>IF(J3573&lt;&gt;1,"",IF(I3573="SBJ","CB","?"))</f>
        <v> </v>
      </c>
      <c r="I3573" s="25" t="str">
        <f>IF(OR(E3573="",E3573="!!!",F3573="NEW"),"",INDEX(B3572:B$2,-1+SUMPRODUCT(MAX(ROW(E3572:E$2)*(E3573=E3572:E$2)))))</f>
        <v> </v>
      </c>
      <c r="J3573" s="25" t="str">
        <f>IF(OR(E3573="",E3573="!!!",F3573="NEW"),"",COUNTBLANK(OFFSET(A$1,,,SUMPRODUCT(MAX(ROW(E$2:E3573)*(E3573=E$2:E3573)))))-COUNTBLANK(OFFSET(A$1,,,SUMPRODUCT(MAX(ROW(E$1:E3572)*(E2=E$1:E3572))))))</f>
        <v> </v>
      </c>
      <c r="K3573" s="25" t="str">
        <f>IF(OR(E3573="",E3573="!!!",F3573="NEW"),"",INDEX(J$1:J3572,SUMPRODUCT(MAX(ROW(E$1:E3572)*(E3573=E$1:E3572)))))</f>
        <v> </v>
      </c>
      <c r="L3573" s="26"/>
    </row>
    <row r="3574" spans="1:12">
      <c r="A3574" s="20" t="s">
        <v>2716</v>
      </c>
      <c r="E3574" s="21">
        <f>IF(D3574="?OLD","!!!","")</f>
        <v/>
      </c>
      <c r="F3574" s="22" t="str">
        <f>IF(OR(E3574="",E3574="!!!"),"",IF(NOT(ISNA(VLOOKUP(E3574,E$1:E3573,1,FALSE()))),"OLD",IF(AND(E3574&lt;&gt;"",E3574&lt;&gt;"!!!"),"NEW","")))</f>
        <v> </v>
      </c>
      <c r="G3574" s="23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4" t="str">
        <f>IF(J3574&lt;&gt;1,"",IF(I3574="SBJ","CB","?"))</f>
        <v> </v>
      </c>
      <c r="I3574" s="25" t="str">
        <f>IF(OR(E3574="",E3574="!!!",F3574="NEW"),"",INDEX(B3573:B$2,-1+SUMPRODUCT(MAX(ROW(E3573:E$2)*(E3574=E3573:E$2)))))</f>
        <v> </v>
      </c>
      <c r="J3574" s="25" t="str">
        <f>IF(OR(E3574="",E3574="!!!",F3574="NEW"),"",COUNTBLANK(OFFSET(A$1,,,SUMPRODUCT(MAX(ROW(E$2:E3574)*(E3574=E$2:E3574)))))-COUNTBLANK(OFFSET(A$1,,,SUMPRODUCT(MAX(ROW(E$1:E3573)*(E2=E$1:E3573))))))</f>
        <v> </v>
      </c>
      <c r="K3574" s="25" t="str">
        <f>IF(OR(E3574="",E3574="!!!",F3574="NEW"),"",INDEX(J$1:J3573,SUMPRODUCT(MAX(ROW(E$1:E3573)*(E3574=E$1:E3573)))))</f>
        <v> </v>
      </c>
      <c r="L3574" s="26"/>
    </row>
    <row r="3575" spans="1:12">
      <c r="A3575" s="20" t="s">
        <v>2717</v>
      </c>
      <c r="E3575" s="21">
        <f>IF(D3575="?OLD","!!!","")</f>
        <v/>
      </c>
      <c r="F3575" s="22" t="str">
        <f>IF(OR(E3575="",E3575="!!!"),"",IF(NOT(ISNA(VLOOKUP(E3575,E$1:E3574,1,FALSE()))),"OLD",IF(AND(E3575&lt;&gt;"",E3575&lt;&gt;"!!!"),"NEW","")))</f>
        <v> </v>
      </c>
      <c r="G3575" s="23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4" t="str">
        <f>IF(J3575&lt;&gt;1,"",IF(I3575="SBJ","CB","?"))</f>
        <v> </v>
      </c>
      <c r="I3575" s="25" t="str">
        <f>IF(OR(E3575="",E3575="!!!",F3575="NEW"),"",INDEX(B3574:B$2,-1+SUMPRODUCT(MAX(ROW(E3574:E$2)*(E3575=E3574:E$2)))))</f>
        <v> </v>
      </c>
      <c r="J3575" s="25" t="str">
        <f>IF(OR(E3575="",E3575="!!!",F3575="NEW"),"",COUNTBLANK(OFFSET(A$1,,,SUMPRODUCT(MAX(ROW(E$2:E3575)*(E3575=E$2:E3575)))))-COUNTBLANK(OFFSET(A$1,,,SUMPRODUCT(MAX(ROW(E$1:E3574)*(E2=E$1:E3574))))))</f>
        <v> </v>
      </c>
      <c r="K3575" s="25" t="str">
        <f>IF(OR(E3575="",E3575="!!!",F3575="NEW"),"",INDEX(J$1:J3574,SUMPRODUCT(MAX(ROW(E$1:E3574)*(E3575=E$1:E3574)))))</f>
        <v> </v>
      </c>
      <c r="L3575" s="26"/>
    </row>
    <row r="3576" spans="1:12">
      <c r="A3576" s="20" t="s">
        <v>2593</v>
      </c>
      <c r="E3576" s="21">
        <f>IF(D3576="?OLD","!!!","")</f>
        <v/>
      </c>
      <c r="F3576" s="22" t="str">
        <f>IF(OR(E3576="",E3576="!!!"),"",IF(NOT(ISNA(VLOOKUP(E3576,E$1:E3575,1,FALSE()))),"OLD",IF(AND(E3576&lt;&gt;"",E3576&lt;&gt;"!!!"),"NEW","")))</f>
        <v> </v>
      </c>
      <c r="G3576" s="23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4" t="str">
        <f>IF(J3576&lt;&gt;1,"",IF(I3576="SBJ","CB","?"))</f>
        <v> </v>
      </c>
      <c r="I3576" s="25" t="str">
        <f>IF(OR(E3576="",E3576="!!!",F3576="NEW"),"",INDEX(B3575:B$2,-1+SUMPRODUCT(MAX(ROW(E3575:E$2)*(E3576=E3575:E$2)))))</f>
        <v> </v>
      </c>
      <c r="J3576" s="25" t="str">
        <f>IF(OR(E3576="",E3576="!!!",F3576="NEW"),"",COUNTBLANK(OFFSET(A$1,,,SUMPRODUCT(MAX(ROW(E$2:E3576)*(E3576=E$2:E3576)))))-COUNTBLANK(OFFSET(A$1,,,SUMPRODUCT(MAX(ROW(E$1:E3575)*(E2=E$1:E3575))))))</f>
        <v> </v>
      </c>
      <c r="K3576" s="25" t="str">
        <f>IF(OR(E3576="",E3576="!!!",F3576="NEW"),"",INDEX(J$1:J3575,SUMPRODUCT(MAX(ROW(E$1:E3575)*(E3576=E$1:E3575)))))</f>
        <v> </v>
      </c>
      <c r="L3576" s="26"/>
    </row>
    <row r="3577" spans="1:12">
      <c r="A3577" s="20" t="s">
        <v>1223</v>
      </c>
      <c r="B3577" s="27" t="s">
        <v>1213</v>
      </c>
      <c r="C3577" s="27" t="s">
        <v>1156</v>
      </c>
      <c r="D3577" s="27" t="s">
        <v>1105</v>
      </c>
      <c r="E3577" s="21">
        <f>IF(D3577="?OLD","!!!","")</f>
        <v/>
      </c>
      <c r="F3577" s="22" t="str">
        <f>IF(OR(E3577="",E3577="!!!"),"",IF(NOT(ISNA(VLOOKUP(E3577,E$1:E3576,1,FALSE()))),"OLD",IF(AND(E3577&lt;&gt;"",E3577&lt;&gt;"!!!"),"NEW","")))</f>
        <v> </v>
      </c>
      <c r="G3577" s="23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4" t="str">
        <f>IF(J3577&lt;&gt;1,"",IF(I3577="SBJ","CB","?"))</f>
        <v> </v>
      </c>
      <c r="I3577" s="25" t="str">
        <f>IF(OR(E3577="",E3577="!!!",F3577="NEW"),"",INDEX(B3576:B$2,-1+SUMPRODUCT(MAX(ROW(E3576:E$2)*(E3577=E3576:E$2)))))</f>
        <v> </v>
      </c>
      <c r="J3577" s="25" t="str">
        <f>IF(OR(E3577="",E3577="!!!",F3577="NEW"),"",COUNTBLANK(OFFSET(A$1,,,SUMPRODUCT(MAX(ROW(E$2:E3577)*(E3577=E$2:E3577)))))-COUNTBLANK(OFFSET(A$1,,,SUMPRODUCT(MAX(ROW(E$1:E3576)*(E2=E$1:E3576))))))</f>
        <v> </v>
      </c>
      <c r="K3577" s="25" t="str">
        <f>IF(OR(E3577="",E3577="!!!",F3577="NEW"),"",INDEX(J$1:J3576,SUMPRODUCT(MAX(ROW(E$1:E3576)*(E3577=E$1:E3576)))))</f>
        <v> </v>
      </c>
      <c r="L3577" s="26"/>
    </row>
    <row r="3578" spans="1:12">
      <c r="A3578" s="20" t="s">
        <v>1145</v>
      </c>
      <c r="E3578" s="21">
        <f>IF(D3578="?OLD","!!!","")</f>
        <v/>
      </c>
      <c r="F3578" s="22" t="str">
        <f>IF(OR(E3578="",E3578="!!!"),"",IF(NOT(ISNA(VLOOKUP(E3578,E$1:E3577,1,FALSE()))),"OLD",IF(AND(E3578&lt;&gt;"",E3578&lt;&gt;"!!!"),"NEW","")))</f>
        <v> </v>
      </c>
      <c r="G3578" s="23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4" t="str">
        <f>IF(J3578&lt;&gt;1,"",IF(I3578="SBJ","CB","?"))</f>
        <v> </v>
      </c>
      <c r="I3578" s="25" t="str">
        <f>IF(OR(E3578="",E3578="!!!",F3578="NEW"),"",INDEX(B3577:B$2,-1+SUMPRODUCT(MAX(ROW(E3577:E$2)*(E3578=E3577:E$2)))))</f>
        <v> </v>
      </c>
      <c r="J3578" s="25" t="str">
        <f>IF(OR(E3578="",E3578="!!!",F3578="NEW"),"",COUNTBLANK(OFFSET(A$1,,,SUMPRODUCT(MAX(ROW(E$2:E3578)*(E3578=E$2:E3578)))))-COUNTBLANK(OFFSET(A$1,,,SUMPRODUCT(MAX(ROW(E$1:E3577)*(E2=E$1:E3577))))))</f>
        <v> </v>
      </c>
      <c r="K3578" s="25" t="str">
        <f>IF(OR(E3578="",E3578="!!!",F3578="NEW"),"",INDEX(J$1:J3577,SUMPRODUCT(MAX(ROW(E$1:E3577)*(E3578=E$1:E3577)))))</f>
        <v> </v>
      </c>
      <c r="L3578" s="26"/>
    </row>
    <row r="3579" spans="1:12">
      <c r="A3579" s="20"/>
    </row>
    <row r="3580" spans="1:12">
      <c r="A3580" s="20" t="s">
        <v>2718</v>
      </c>
    </row>
    <row r="3581" spans="1:12">
      <c r="A3581" s="20" t="s">
        <v>2408</v>
      </c>
      <c r="E3581" s="21">
        <f>IF(D3581="?OLD","!!!","")</f>
        <v/>
      </c>
      <c r="F3581" s="22" t="str">
        <f>IF(OR(E3581="",E3581="!!!"),"",IF(NOT(ISNA(VLOOKUP(E3581,E$1:E3580,1,FALSE()))),"OLD",IF(AND(E3581&lt;&gt;"",E3581&lt;&gt;"!!!"),"NEW","")))</f>
        <v> </v>
      </c>
      <c r="G3581" s="23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4" t="str">
        <f>IF(J3581&lt;&gt;1,"",IF(I3581="SBJ","CB","?"))</f>
        <v> </v>
      </c>
      <c r="I3581" s="25" t="str">
        <f>IF(OR(E3581="",E3581="!!!",F3581="NEW"),"",INDEX(B3580:B$2,-1+SUMPRODUCT(MAX(ROW(E3580:E$2)*(E3581=E3580:E$2)))))</f>
        <v> </v>
      </c>
      <c r="J3581" s="25" t="str">
        <f>IF(OR(E3581="",E3581="!!!",F3581="NEW"),"",COUNTBLANK(OFFSET(A$1,,,SUMPRODUCT(MAX(ROW(E$2:E3581)*(E3581=E$2:E3581)))))-COUNTBLANK(OFFSET(A$1,,,SUMPRODUCT(MAX(ROW(E$1:E3580)*(E2=E$1:E3580))))))</f>
        <v> </v>
      </c>
      <c r="K3581" s="25" t="str">
        <f>IF(OR(E3581="",E3581="!!!",F3581="NEW"),"",INDEX(J$1:J3580,SUMPRODUCT(MAX(ROW(E$1:E3580)*(E3581=E$1:E3580)))))</f>
        <v> </v>
      </c>
      <c r="L3581" s="26"/>
    </row>
    <row r="3582" spans="1:12">
      <c r="A3582" s="20" t="s">
        <v>2719</v>
      </c>
      <c r="E3582" s="21">
        <f>IF(D3582="?OLD","!!!","")</f>
        <v/>
      </c>
      <c r="F3582" s="22" t="str">
        <f>IF(OR(E3582="",E3582="!!!"),"",IF(NOT(ISNA(VLOOKUP(E3582,E$1:E3581,1,FALSE()))),"OLD",IF(AND(E3582&lt;&gt;"",E3582&lt;&gt;"!!!"),"NEW","")))</f>
        <v> </v>
      </c>
      <c r="G3582" s="23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4" t="str">
        <f>IF(J3582&lt;&gt;1,"",IF(I3582="SBJ","CB","?"))</f>
        <v> </v>
      </c>
      <c r="I3582" s="25" t="str">
        <f>IF(OR(E3582="",E3582="!!!",F3582="NEW"),"",INDEX(B3581:B$2,-1+SUMPRODUCT(MAX(ROW(E3581:E$2)*(E3582=E3581:E$2)))))</f>
        <v> </v>
      </c>
      <c r="J3582" s="25" t="str">
        <f>IF(OR(E3582="",E3582="!!!",F3582="NEW"),"",COUNTBLANK(OFFSET(A$1,,,SUMPRODUCT(MAX(ROW(E$2:E3582)*(E3582=E$2:E3582)))))-COUNTBLANK(OFFSET(A$1,,,SUMPRODUCT(MAX(ROW(E$1:E3581)*(E2=E$1:E3581))))))</f>
        <v> </v>
      </c>
      <c r="K3582" s="25" t="str">
        <f>IF(OR(E3582="",E3582="!!!",F3582="NEW"),"",INDEX(J$1:J3581,SUMPRODUCT(MAX(ROW(E$1:E3581)*(E3582=E$1:E3581)))))</f>
        <v> </v>
      </c>
      <c r="L3582" s="26"/>
    </row>
    <row r="3583" spans="1:12">
      <c r="A3583" s="20" t="s">
        <v>2654</v>
      </c>
      <c r="E3583" s="21">
        <f>IF(D3583="?OLD","!!!","")</f>
        <v/>
      </c>
      <c r="F3583" s="22" t="str">
        <f>IF(OR(E3583="",E3583="!!!"),"",IF(NOT(ISNA(VLOOKUP(E3583,E$1:E3582,1,FALSE()))),"OLD",IF(AND(E3583&lt;&gt;"",E3583&lt;&gt;"!!!"),"NEW","")))</f>
        <v> </v>
      </c>
      <c r="G3583" s="23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4" t="str">
        <f>IF(J3583&lt;&gt;1,"",IF(I3583="SBJ","CB","?"))</f>
        <v> </v>
      </c>
      <c r="I3583" s="25" t="str">
        <f>IF(OR(E3583="",E3583="!!!",F3583="NEW"),"",INDEX(B3582:B$2,-1+SUMPRODUCT(MAX(ROW(E3582:E$2)*(E3583=E3582:E$2)))))</f>
        <v> </v>
      </c>
      <c r="J3583" s="25" t="str">
        <f>IF(OR(E3583="",E3583="!!!",F3583="NEW"),"",COUNTBLANK(OFFSET(A$1,,,SUMPRODUCT(MAX(ROW(E$2:E3583)*(E3583=E$2:E3583)))))-COUNTBLANK(OFFSET(A$1,,,SUMPRODUCT(MAX(ROW(E$1:E3582)*(E2=E$1:E3582))))))</f>
        <v> </v>
      </c>
      <c r="K3583" s="25" t="str">
        <f>IF(OR(E3583="",E3583="!!!",F3583="NEW"),"",INDEX(J$1:J3582,SUMPRODUCT(MAX(ROW(E$1:E3582)*(E3583=E$1:E3582)))))</f>
        <v> </v>
      </c>
      <c r="L3583" s="26"/>
    </row>
    <row r="3584" spans="1:12">
      <c r="A3584" s="20" t="s">
        <v>2720</v>
      </c>
      <c r="B3584" s="27" t="s">
        <v>1149</v>
      </c>
      <c r="E3584" s="21">
        <f>IF(D3584="?OLD","!!!","")</f>
        <v/>
      </c>
      <c r="F3584" s="22" t="str">
        <f>IF(OR(E3584="",E3584="!!!"),"",IF(NOT(ISNA(VLOOKUP(E3584,E$1:E3583,1,FALSE()))),"OLD",IF(AND(E3584&lt;&gt;"",E3584&lt;&gt;"!!!"),"NEW","")))</f>
        <v> </v>
      </c>
      <c r="G3584" s="23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4" t="str">
        <f>IF(J3584&lt;&gt;1,"",IF(I3584="SBJ","CB","?"))</f>
        <v> </v>
      </c>
      <c r="I3584" s="25" t="str">
        <f>IF(OR(E3584="",E3584="!!!",F3584="NEW"),"",INDEX(B3583:B$2,-1+SUMPRODUCT(MAX(ROW(E3583:E$2)*(E3584=E3583:E$2)))))</f>
        <v> </v>
      </c>
      <c r="J3584" s="25" t="str">
        <f>IF(OR(E3584="",E3584="!!!",F3584="NEW"),"",COUNTBLANK(OFFSET(A$1,,,SUMPRODUCT(MAX(ROW(E$2:E3584)*(E3584=E$2:E3584)))))-COUNTBLANK(OFFSET(A$1,,,SUMPRODUCT(MAX(ROW(E$1:E3583)*(E2=E$1:E3583))))))</f>
        <v> </v>
      </c>
      <c r="K3584" s="25" t="str">
        <f>IF(OR(E3584="",E3584="!!!",F3584="NEW"),"",INDEX(J$1:J3583,SUMPRODUCT(MAX(ROW(E$1:E3583)*(E3584=E$1:E3583)))))</f>
        <v> </v>
      </c>
      <c r="L3584" s="26"/>
    </row>
    <row r="3585" spans="1:12">
      <c r="A3585" s="20" t="s">
        <v>1134</v>
      </c>
      <c r="E3585" s="21">
        <f>IF(D3585="?OLD","!!!","")</f>
        <v/>
      </c>
      <c r="F3585" s="22" t="str">
        <f>IF(OR(E3585="",E3585="!!!"),"",IF(NOT(ISNA(VLOOKUP(E3585,E$1:E3584,1,FALSE()))),"OLD",IF(AND(E3585&lt;&gt;"",E3585&lt;&gt;"!!!"),"NEW","")))</f>
        <v> </v>
      </c>
      <c r="G3585" s="23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4" t="str">
        <f>IF(J3585&lt;&gt;1,"",IF(I3585="SBJ","CB","?"))</f>
        <v> </v>
      </c>
      <c r="I3585" s="25" t="str">
        <f>IF(OR(E3585="",E3585="!!!",F3585="NEW"),"",INDEX(B3584:B$2,-1+SUMPRODUCT(MAX(ROW(E3584:E$2)*(E3585=E3584:E$2)))))</f>
        <v> </v>
      </c>
      <c r="J3585" s="25" t="str">
        <f>IF(OR(E3585="",E3585="!!!",F3585="NEW"),"",COUNTBLANK(OFFSET(A$1,,,SUMPRODUCT(MAX(ROW(E$2:E3585)*(E3585=E$2:E3585)))))-COUNTBLANK(OFFSET(A$1,,,SUMPRODUCT(MAX(ROW(E$1:E3584)*(E2=E$1:E3584))))))</f>
        <v> </v>
      </c>
      <c r="K3585" s="25" t="str">
        <f>IF(OR(E3585="",E3585="!!!",F3585="NEW"),"",INDEX(J$1:J3584,SUMPRODUCT(MAX(ROW(E$1:E3584)*(E3585=E$1:E3584)))))</f>
        <v> </v>
      </c>
      <c r="L3585" s="26"/>
    </row>
    <row r="3586" spans="1:12">
      <c r="A3586" s="20" t="s">
        <v>2721</v>
      </c>
      <c r="E3586" s="21">
        <f>IF(D3586="?OLD","!!!","")</f>
        <v/>
      </c>
      <c r="F3586" s="22" t="str">
        <f>IF(OR(E3586="",E3586="!!!"),"",IF(NOT(ISNA(VLOOKUP(E3586,E$1:E3585,1,FALSE()))),"OLD",IF(AND(E3586&lt;&gt;"",E3586&lt;&gt;"!!!"),"NEW","")))</f>
        <v> </v>
      </c>
      <c r="G3586" s="23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4" t="str">
        <f>IF(J3586&lt;&gt;1,"",IF(I3586="SBJ","CB","?"))</f>
        <v> </v>
      </c>
      <c r="I3586" s="25" t="str">
        <f>IF(OR(E3586="",E3586="!!!",F3586="NEW"),"",INDEX(B3585:B$2,-1+SUMPRODUCT(MAX(ROW(E3585:E$2)*(E3586=E3585:E$2)))))</f>
        <v> </v>
      </c>
      <c r="J3586" s="25" t="str">
        <f>IF(OR(E3586="",E3586="!!!",F3586="NEW"),"",COUNTBLANK(OFFSET(A$1,,,SUMPRODUCT(MAX(ROW(E$2:E3586)*(E3586=E$2:E3586)))))-COUNTBLANK(OFFSET(A$1,,,SUMPRODUCT(MAX(ROW(E$1:E3585)*(E2=E$1:E3585))))))</f>
        <v> </v>
      </c>
      <c r="K3586" s="25" t="str">
        <f>IF(OR(E3586="",E3586="!!!",F3586="NEW"),"",INDEX(J$1:J3585,SUMPRODUCT(MAX(ROW(E$1:E3585)*(E3586=E$1:E3585)))))</f>
        <v> </v>
      </c>
      <c r="L3586" s="26"/>
    </row>
    <row r="3587" spans="1:12">
      <c r="A3587" s="20" t="s">
        <v>2722</v>
      </c>
      <c r="E3587" s="21">
        <f>IF(D3587="?OLD","!!!","")</f>
        <v/>
      </c>
      <c r="F3587" s="22" t="str">
        <f>IF(OR(E3587="",E3587="!!!"),"",IF(NOT(ISNA(VLOOKUP(E3587,E$1:E3586,1,FALSE()))),"OLD",IF(AND(E3587&lt;&gt;"",E3587&lt;&gt;"!!!"),"NEW","")))</f>
        <v> </v>
      </c>
      <c r="G3587" s="23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4" t="str">
        <f>IF(J3587&lt;&gt;1,"",IF(I3587="SBJ","CB","?"))</f>
        <v> </v>
      </c>
      <c r="I3587" s="25" t="str">
        <f>IF(OR(E3587="",E3587="!!!",F3587="NEW"),"",INDEX(B3586:B$2,-1+SUMPRODUCT(MAX(ROW(E3586:E$2)*(E3587=E3586:E$2)))))</f>
        <v> </v>
      </c>
      <c r="J3587" s="25" t="str">
        <f>IF(OR(E3587="",E3587="!!!",F3587="NEW"),"",COUNTBLANK(OFFSET(A$1,,,SUMPRODUCT(MAX(ROW(E$2:E3587)*(E3587=E$2:E3587)))))-COUNTBLANK(OFFSET(A$1,,,SUMPRODUCT(MAX(ROW(E$1:E3586)*(E2=E$1:E3586))))))</f>
        <v> </v>
      </c>
      <c r="K3587" s="25" t="str">
        <f>IF(OR(E3587="",E3587="!!!",F3587="NEW"),"",INDEX(J$1:J3586,SUMPRODUCT(MAX(ROW(E$1:E3586)*(E3587=E$1:E3586)))))</f>
        <v> </v>
      </c>
      <c r="L3587" s="26"/>
    </row>
    <row r="3588" spans="1:12">
      <c r="A3588" s="20" t="s">
        <v>2723</v>
      </c>
      <c r="E3588" s="21">
        <f>IF(D3588="?OLD","!!!","")</f>
        <v/>
      </c>
      <c r="F3588" s="22" t="str">
        <f>IF(OR(E3588="",E3588="!!!"),"",IF(NOT(ISNA(VLOOKUP(E3588,E$1:E3587,1,FALSE()))),"OLD",IF(AND(E3588&lt;&gt;"",E3588&lt;&gt;"!!!"),"NEW","")))</f>
        <v> </v>
      </c>
      <c r="G3588" s="23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4" t="str">
        <f>IF(J3588&lt;&gt;1,"",IF(I3588="SBJ","CB","?"))</f>
        <v> </v>
      </c>
      <c r="I3588" s="25" t="str">
        <f>IF(OR(E3588="",E3588="!!!",F3588="NEW"),"",INDEX(B3587:B$2,-1+SUMPRODUCT(MAX(ROW(E3587:E$2)*(E3588=E3587:E$2)))))</f>
        <v> </v>
      </c>
      <c r="J3588" s="25" t="str">
        <f>IF(OR(E3588="",E3588="!!!",F3588="NEW"),"",COUNTBLANK(OFFSET(A$1,,,SUMPRODUCT(MAX(ROW(E$2:E3588)*(E3588=E$2:E3588)))))-COUNTBLANK(OFFSET(A$1,,,SUMPRODUCT(MAX(ROW(E$1:E3587)*(E2=E$1:E3587))))))</f>
        <v> </v>
      </c>
      <c r="K3588" s="25" t="str">
        <f>IF(OR(E3588="",E3588="!!!",F3588="NEW"),"",INDEX(J$1:J3587,SUMPRODUCT(MAX(ROW(E$1:E3587)*(E3588=E$1:E3587)))))</f>
        <v> </v>
      </c>
      <c r="L3588" s="26"/>
    </row>
    <row r="3589" spans="1:12">
      <c r="A3589" s="20" t="s">
        <v>2724</v>
      </c>
      <c r="E3589" s="21">
        <f>IF(D3589="?OLD","!!!","")</f>
        <v/>
      </c>
      <c r="F3589" s="22" t="str">
        <f>IF(OR(E3589="",E3589="!!!"),"",IF(NOT(ISNA(VLOOKUP(E3589,E$1:E3588,1,FALSE()))),"OLD",IF(AND(E3589&lt;&gt;"",E3589&lt;&gt;"!!!"),"NEW","")))</f>
        <v> </v>
      </c>
      <c r="G3589" s="23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4" t="str">
        <f>IF(J3589&lt;&gt;1,"",IF(I3589="SBJ","CB","?"))</f>
        <v> </v>
      </c>
      <c r="I3589" s="25" t="str">
        <f>IF(OR(E3589="",E3589="!!!",F3589="NEW"),"",INDEX(B3588:B$2,-1+SUMPRODUCT(MAX(ROW(E3588:E$2)*(E3589=E3588:E$2)))))</f>
        <v> </v>
      </c>
      <c r="J3589" s="25" t="str">
        <f>IF(OR(E3589="",E3589="!!!",F3589="NEW"),"",COUNTBLANK(OFFSET(A$1,,,SUMPRODUCT(MAX(ROW(E$2:E3589)*(E3589=E$2:E3589)))))-COUNTBLANK(OFFSET(A$1,,,SUMPRODUCT(MAX(ROW(E$1:E3588)*(E2=E$1:E3588))))))</f>
        <v> </v>
      </c>
      <c r="K3589" s="25" t="str">
        <f>IF(OR(E3589="",E3589="!!!",F3589="NEW"),"",INDEX(J$1:J3588,SUMPRODUCT(MAX(ROW(E$1:E3588)*(E3589=E$1:E3588)))))</f>
        <v> </v>
      </c>
      <c r="L3589" s="26"/>
    </row>
    <row r="3590" spans="1:12">
      <c r="A3590" s="20" t="s">
        <v>1145</v>
      </c>
      <c r="E3590" s="21">
        <f>IF(D3590="?OLD","!!!","")</f>
        <v/>
      </c>
      <c r="F3590" s="22" t="str">
        <f>IF(OR(E3590="",E3590="!!!"),"",IF(NOT(ISNA(VLOOKUP(E3590,E$1:E3589,1,FALSE()))),"OLD",IF(AND(E3590&lt;&gt;"",E3590&lt;&gt;"!!!"),"NEW","")))</f>
        <v> </v>
      </c>
      <c r="G3590" s="23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4" t="str">
        <f>IF(J3590&lt;&gt;1,"",IF(I3590="SBJ","CB","?"))</f>
        <v> </v>
      </c>
      <c r="I3590" s="25" t="str">
        <f>IF(OR(E3590="",E3590="!!!",F3590="NEW"),"",INDEX(B3589:B$2,-1+SUMPRODUCT(MAX(ROW(E3589:E$2)*(E3590=E3589:E$2)))))</f>
        <v> </v>
      </c>
      <c r="J3590" s="25" t="str">
        <f>IF(OR(E3590="",E3590="!!!",F3590="NEW"),"",COUNTBLANK(OFFSET(A$1,,,SUMPRODUCT(MAX(ROW(E$2:E3590)*(E3590=E$2:E3590)))))-COUNTBLANK(OFFSET(A$1,,,SUMPRODUCT(MAX(ROW(E$1:E3589)*(E2=E$1:E3589))))))</f>
        <v> </v>
      </c>
      <c r="K3590" s="25" t="str">
        <f>IF(OR(E3590="",E3590="!!!",F3590="NEW"),"",INDEX(J$1:J3589,SUMPRODUCT(MAX(ROW(E$1:E3589)*(E3590=E$1:E3589)))))</f>
        <v> </v>
      </c>
      <c r="L3590" s="26"/>
    </row>
    <row r="3591" spans="1:12">
      <c r="A3591" s="20"/>
    </row>
    <row r="3592" spans="1:12">
      <c r="A3592" s="20" t="s">
        <v>2725</v>
      </c>
    </row>
    <row r="3593" spans="1:12">
      <c r="A3593" s="20" t="s">
        <v>2281</v>
      </c>
      <c r="E3593" s="21">
        <f>IF(D3593="?OLD","!!!","")</f>
        <v/>
      </c>
      <c r="F3593" s="22" t="str">
        <f>IF(OR(E3593="",E3593="!!!"),"",IF(NOT(ISNA(VLOOKUP(E3593,E$1:E3592,1,FALSE()))),"OLD",IF(AND(E3593&lt;&gt;"",E3593&lt;&gt;"!!!"),"NEW","")))</f>
        <v> </v>
      </c>
      <c r="G3593" s="23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4" t="str">
        <f>IF(J3593&lt;&gt;1,"",IF(I3593="SBJ","CB","?"))</f>
        <v> </v>
      </c>
      <c r="I3593" s="25" t="str">
        <f>IF(OR(E3593="",E3593="!!!",F3593="NEW"),"",INDEX(B3592:B$2,-1+SUMPRODUCT(MAX(ROW(E3592:E$2)*(E3593=E3592:E$2)))))</f>
        <v> </v>
      </c>
      <c r="J3593" s="25" t="str">
        <f>IF(OR(E3593="",E3593="!!!",F3593="NEW"),"",COUNTBLANK(OFFSET(A$1,,,SUMPRODUCT(MAX(ROW(E$2:E3593)*(E3593=E$2:E3593)))))-COUNTBLANK(OFFSET(A$1,,,SUMPRODUCT(MAX(ROW(E$1:E3592)*(E2=E$1:E3592))))))</f>
        <v> </v>
      </c>
      <c r="K3593" s="25" t="str">
        <f>IF(OR(E3593="",E3593="!!!",F3593="NEW"),"",INDEX(J$1:J3592,SUMPRODUCT(MAX(ROW(E$1:E3592)*(E3593=E$1:E3592)))))</f>
        <v> </v>
      </c>
      <c r="L3593" s="26"/>
    </row>
    <row r="3594" spans="1:12">
      <c r="A3594" s="20" t="s">
        <v>2726</v>
      </c>
      <c r="E3594" s="21">
        <f>IF(D3594="?OLD","!!!","")</f>
        <v/>
      </c>
      <c r="F3594" s="22" t="str">
        <f>IF(OR(E3594="",E3594="!!!"),"",IF(NOT(ISNA(VLOOKUP(E3594,E$1:E3593,1,FALSE()))),"OLD",IF(AND(E3594&lt;&gt;"",E3594&lt;&gt;"!!!"),"NEW","")))</f>
        <v> </v>
      </c>
      <c r="G3594" s="23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4" t="str">
        <f>IF(J3594&lt;&gt;1,"",IF(I3594="SBJ","CB","?"))</f>
        <v> </v>
      </c>
      <c r="I3594" s="25" t="str">
        <f>IF(OR(E3594="",E3594="!!!",F3594="NEW"),"",INDEX(B3593:B$2,-1+SUMPRODUCT(MAX(ROW(E3593:E$2)*(E3594=E3593:E$2)))))</f>
        <v> </v>
      </c>
      <c r="J3594" s="25" t="str">
        <f>IF(OR(E3594="",E3594="!!!",F3594="NEW"),"",COUNTBLANK(OFFSET(A$1,,,SUMPRODUCT(MAX(ROW(E$2:E3594)*(E3594=E$2:E3594)))))-COUNTBLANK(OFFSET(A$1,,,SUMPRODUCT(MAX(ROW(E$1:E3593)*(E2=E$1:E3593))))))</f>
        <v> </v>
      </c>
      <c r="K3594" s="25" t="str">
        <f>IF(OR(E3594="",E3594="!!!",F3594="NEW"),"",INDEX(J$1:J3593,SUMPRODUCT(MAX(ROW(E$1:E3593)*(E3594=E$1:E3593)))))</f>
        <v> </v>
      </c>
      <c r="L3594" s="26"/>
    </row>
    <row r="3595" spans="1:12">
      <c r="A3595" s="20" t="s">
        <v>1124</v>
      </c>
      <c r="B3595" s="27" t="s">
        <v>1149</v>
      </c>
      <c r="C3595" s="27" t="s">
        <v>1126</v>
      </c>
      <c r="D3595" s="27" t="s">
        <v>1105</v>
      </c>
      <c r="E3595" s="21">
        <f>IF(D3595="?OLD","!!!","")</f>
        <v/>
      </c>
      <c r="F3595" s="22" t="str">
        <f>IF(OR(E3595="",E3595="!!!"),"",IF(NOT(ISNA(VLOOKUP(E3595,E$1:E3594,1,FALSE()))),"OLD",IF(AND(E3595&lt;&gt;"",E3595&lt;&gt;"!!!"),"NEW","")))</f>
        <v> </v>
      </c>
      <c r="G3595" s="23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4" t="str">
        <f>IF(J3595&lt;&gt;1,"",IF(I3595="SBJ","CB","?"))</f>
        <v> </v>
      </c>
      <c r="I3595" s="25" t="str">
        <f>IF(OR(E3595="",E3595="!!!",F3595="NEW"),"",INDEX(B3594:B$2,-1+SUMPRODUCT(MAX(ROW(E3594:E$2)*(E3595=E3594:E$2)))))</f>
        <v> </v>
      </c>
      <c r="J3595" s="25" t="str">
        <f>IF(OR(E3595="",E3595="!!!",F3595="NEW"),"",COUNTBLANK(OFFSET(A$1,,,SUMPRODUCT(MAX(ROW(E$2:E3595)*(E3595=E$2:E3595)))))-COUNTBLANK(OFFSET(A$1,,,SUMPRODUCT(MAX(ROW(E$1:E3594)*(E2=E$1:E3594))))))</f>
        <v> </v>
      </c>
      <c r="K3595" s="25" t="str">
        <f>IF(OR(E3595="",E3595="!!!",F3595="NEW"),"",INDEX(J$1:J3594,SUMPRODUCT(MAX(ROW(E$1:E3594)*(E3595=E$1:E3594)))))</f>
        <v> </v>
      </c>
      <c r="L3595" s="26"/>
    </row>
    <row r="3596" spans="1:12">
      <c r="A3596" s="20" t="s">
        <v>2167</v>
      </c>
      <c r="E3596" s="21">
        <f>IF(D3596="?OLD","!!!","")</f>
        <v/>
      </c>
      <c r="F3596" s="22" t="str">
        <f>IF(OR(E3596="",E3596="!!!"),"",IF(NOT(ISNA(VLOOKUP(E3596,E$1:E3595,1,FALSE()))),"OLD",IF(AND(E3596&lt;&gt;"",E3596&lt;&gt;"!!!"),"NEW","")))</f>
        <v> </v>
      </c>
      <c r="G3596" s="23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4" t="str">
        <f>IF(J3596&lt;&gt;1,"",IF(I3596="SBJ","CB","?"))</f>
        <v> </v>
      </c>
      <c r="I3596" s="25" t="str">
        <f>IF(OR(E3596="",E3596="!!!",F3596="NEW"),"",INDEX(B3595:B$2,-1+SUMPRODUCT(MAX(ROW(E3595:E$2)*(E3596=E3595:E$2)))))</f>
        <v> </v>
      </c>
      <c r="J3596" s="25" t="str">
        <f>IF(OR(E3596="",E3596="!!!",F3596="NEW"),"",COUNTBLANK(OFFSET(A$1,,,SUMPRODUCT(MAX(ROW(E$2:E3596)*(E3596=E$2:E3596)))))-COUNTBLANK(OFFSET(A$1,,,SUMPRODUCT(MAX(ROW(E$1:E3595)*(E2=E$1:E3595))))))</f>
        <v> </v>
      </c>
      <c r="K3596" s="25" t="str">
        <f>IF(OR(E3596="",E3596="!!!",F3596="NEW"),"",INDEX(J$1:J3595,SUMPRODUCT(MAX(ROW(E$1:E3595)*(E3596=E$1:E3595)))))</f>
        <v> </v>
      </c>
      <c r="L3596" s="26"/>
    </row>
    <row r="3597" spans="1:12">
      <c r="A3597" s="20" t="s">
        <v>1169</v>
      </c>
      <c r="E3597" s="21">
        <f>IF(D3597="?OLD","!!!","")</f>
        <v/>
      </c>
      <c r="F3597" s="22" t="str">
        <f>IF(OR(E3597="",E3597="!!!"),"",IF(NOT(ISNA(VLOOKUP(E3597,E$1:E3596,1,FALSE()))),"OLD",IF(AND(E3597&lt;&gt;"",E3597&lt;&gt;"!!!"),"NEW","")))</f>
        <v> </v>
      </c>
      <c r="G3597" s="23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4" t="str">
        <f>IF(J3597&lt;&gt;1,"",IF(I3597="SBJ","CB","?"))</f>
        <v> </v>
      </c>
      <c r="I3597" s="25" t="str">
        <f>IF(OR(E3597="",E3597="!!!",F3597="NEW"),"",INDEX(B3596:B$2,-1+SUMPRODUCT(MAX(ROW(E3596:E$2)*(E3597=E3596:E$2)))))</f>
        <v> </v>
      </c>
      <c r="J3597" s="25" t="str">
        <f>IF(OR(E3597="",E3597="!!!",F3597="NEW"),"",COUNTBLANK(OFFSET(A$1,,,SUMPRODUCT(MAX(ROW(E$2:E3597)*(E3597=E$2:E3597)))))-COUNTBLANK(OFFSET(A$1,,,SUMPRODUCT(MAX(ROW(E$1:E3596)*(E2=E$1:E3596))))))</f>
        <v> </v>
      </c>
      <c r="K3597" s="25" t="str">
        <f>IF(OR(E3597="",E3597="!!!",F3597="NEW"),"",INDEX(J$1:J3596,SUMPRODUCT(MAX(ROW(E$1:E3596)*(E3597=E$1:E3596)))))</f>
        <v> </v>
      </c>
      <c r="L3597" s="26"/>
    </row>
    <row r="3598" spans="1:12">
      <c r="A3598" s="20" t="s">
        <v>2727</v>
      </c>
      <c r="E3598" s="21">
        <f>IF(D3598="?OLD","!!!","")</f>
        <v/>
      </c>
      <c r="F3598" s="22" t="str">
        <f>IF(OR(E3598="",E3598="!!!"),"",IF(NOT(ISNA(VLOOKUP(E3598,E$1:E3597,1,FALSE()))),"OLD",IF(AND(E3598&lt;&gt;"",E3598&lt;&gt;"!!!"),"NEW","")))</f>
        <v> </v>
      </c>
      <c r="G3598" s="23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4" t="str">
        <f>IF(J3598&lt;&gt;1,"",IF(I3598="SBJ","CB","?"))</f>
        <v> </v>
      </c>
      <c r="I3598" s="25" t="str">
        <f>IF(OR(E3598="",E3598="!!!",F3598="NEW"),"",INDEX(B3597:B$2,-1+SUMPRODUCT(MAX(ROW(E3597:E$2)*(E3598=E3597:E$2)))))</f>
        <v> </v>
      </c>
      <c r="J3598" s="25" t="str">
        <f>IF(OR(E3598="",E3598="!!!",F3598="NEW"),"",COUNTBLANK(OFFSET(A$1,,,SUMPRODUCT(MAX(ROW(E$2:E3598)*(E3598=E$2:E3598)))))-COUNTBLANK(OFFSET(A$1,,,SUMPRODUCT(MAX(ROW(E$1:E3597)*(E2=E$1:E3597))))))</f>
        <v> </v>
      </c>
      <c r="K3598" s="25" t="str">
        <f>IF(OR(E3598="",E3598="!!!",F3598="NEW"),"",INDEX(J$1:J3597,SUMPRODUCT(MAX(ROW(E$1:E3597)*(E3598=E$1:E3597)))))</f>
        <v> </v>
      </c>
      <c r="L3598" s="26"/>
    </row>
    <row r="3599" spans="1:12">
      <c r="A3599" s="20" t="s">
        <v>1184</v>
      </c>
      <c r="E3599" s="21">
        <f>IF(D3599="?OLD","!!!","")</f>
        <v/>
      </c>
      <c r="F3599" s="22" t="str">
        <f>IF(OR(E3599="",E3599="!!!"),"",IF(NOT(ISNA(VLOOKUP(E3599,E$1:E3598,1,FALSE()))),"OLD",IF(AND(E3599&lt;&gt;"",E3599&lt;&gt;"!!!"),"NEW","")))</f>
        <v> </v>
      </c>
      <c r="G3599" s="23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4" t="str">
        <f>IF(J3599&lt;&gt;1,"",IF(I3599="SBJ","CB","?"))</f>
        <v> </v>
      </c>
      <c r="I3599" s="25" t="str">
        <f>IF(OR(E3599="",E3599="!!!",F3599="NEW"),"",INDEX(B3598:B$2,-1+SUMPRODUCT(MAX(ROW(E3598:E$2)*(E3599=E3598:E$2)))))</f>
        <v> </v>
      </c>
      <c r="J3599" s="25" t="str">
        <f>IF(OR(E3599="",E3599="!!!",F3599="NEW"),"",COUNTBLANK(OFFSET(A$1,,,SUMPRODUCT(MAX(ROW(E$2:E3599)*(E3599=E$2:E3599)))))-COUNTBLANK(OFFSET(A$1,,,SUMPRODUCT(MAX(ROW(E$1:E3598)*(E2=E$1:E3598))))))</f>
        <v> </v>
      </c>
      <c r="K3599" s="25" t="str">
        <f>IF(OR(E3599="",E3599="!!!",F3599="NEW"),"",INDEX(J$1:J3598,SUMPRODUCT(MAX(ROW(E$1:E3598)*(E3599=E$1:E3598)))))</f>
        <v> </v>
      </c>
      <c r="L3599" s="26"/>
    </row>
    <row r="3600" spans="1:12">
      <c r="A3600" s="20" t="s">
        <v>2728</v>
      </c>
      <c r="E3600" s="21">
        <f>IF(D3600="?OLD","!!!","")</f>
        <v/>
      </c>
      <c r="F3600" s="22" t="str">
        <f>IF(OR(E3600="",E3600="!!!"),"",IF(NOT(ISNA(VLOOKUP(E3600,E$1:E3599,1,FALSE()))),"OLD",IF(AND(E3600&lt;&gt;"",E3600&lt;&gt;"!!!"),"NEW","")))</f>
        <v> </v>
      </c>
      <c r="G3600" s="23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4" t="str">
        <f>IF(J3600&lt;&gt;1,"",IF(I3600="SBJ","CB","?"))</f>
        <v> </v>
      </c>
      <c r="I3600" s="25" t="str">
        <f>IF(OR(E3600="",E3600="!!!",F3600="NEW"),"",INDEX(B3599:B$2,-1+SUMPRODUCT(MAX(ROW(E3599:E$2)*(E3600=E3599:E$2)))))</f>
        <v> </v>
      </c>
      <c r="J3600" s="25" t="str">
        <f>IF(OR(E3600="",E3600="!!!",F3600="NEW"),"",COUNTBLANK(OFFSET(A$1,,,SUMPRODUCT(MAX(ROW(E$2:E3600)*(E3600=E$2:E3600)))))-COUNTBLANK(OFFSET(A$1,,,SUMPRODUCT(MAX(ROW(E$1:E3599)*(E2=E$1:E3599))))))</f>
        <v> </v>
      </c>
      <c r="K3600" s="25" t="str">
        <f>IF(OR(E3600="",E3600="!!!",F3600="NEW"),"",INDEX(J$1:J3599,SUMPRODUCT(MAX(ROW(E$1:E3599)*(E3600=E$1:E3599)))))</f>
        <v> </v>
      </c>
      <c r="L3600" s="26"/>
    </row>
    <row r="3601" spans="1:12">
      <c r="A3601" s="20" t="s">
        <v>2481</v>
      </c>
      <c r="E3601" s="21">
        <f>IF(D3601="?OLD","!!!","")</f>
        <v/>
      </c>
      <c r="F3601" s="22" t="str">
        <f>IF(OR(E3601="",E3601="!!!"),"",IF(NOT(ISNA(VLOOKUP(E3601,E$1:E3600,1,FALSE()))),"OLD",IF(AND(E3601&lt;&gt;"",E3601&lt;&gt;"!!!"),"NEW","")))</f>
        <v> </v>
      </c>
      <c r="G3601" s="23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4" t="str">
        <f>IF(J3601&lt;&gt;1,"",IF(I3601="SBJ","CB","?"))</f>
        <v> </v>
      </c>
      <c r="I3601" s="25" t="str">
        <f>IF(OR(E3601="",E3601="!!!",F3601="NEW"),"",INDEX(B3600:B$2,-1+SUMPRODUCT(MAX(ROW(E3600:E$2)*(E3601=E3600:E$2)))))</f>
        <v> </v>
      </c>
      <c r="J3601" s="25" t="str">
        <f>IF(OR(E3601="",E3601="!!!",F3601="NEW"),"",COUNTBLANK(OFFSET(A$1,,,SUMPRODUCT(MAX(ROW(E$2:E3601)*(E3601=E$2:E3601)))))-COUNTBLANK(OFFSET(A$1,,,SUMPRODUCT(MAX(ROW(E$1:E3600)*(E2=E$1:E3600))))))</f>
        <v> </v>
      </c>
      <c r="K3601" s="25" t="str">
        <f>IF(OR(E3601="",E3601="!!!",F3601="NEW"),"",INDEX(J$1:J3600,SUMPRODUCT(MAX(ROW(E$1:E3600)*(E3601=E$1:E3600)))))</f>
        <v> </v>
      </c>
      <c r="L3601" s="26"/>
    </row>
    <row r="3602" spans="1:12">
      <c r="A3602" s="20" t="s">
        <v>2729</v>
      </c>
      <c r="E3602" s="21">
        <f>IF(D3602="?OLD","!!!","")</f>
        <v/>
      </c>
      <c r="F3602" s="22" t="str">
        <f>IF(OR(E3602="",E3602="!!!"),"",IF(NOT(ISNA(VLOOKUP(E3602,E$1:E3601,1,FALSE()))),"OLD",IF(AND(E3602&lt;&gt;"",E3602&lt;&gt;"!!!"),"NEW","")))</f>
        <v> </v>
      </c>
      <c r="G3602" s="23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4" t="str">
        <f>IF(J3602&lt;&gt;1,"",IF(I3602="SBJ","CB","?"))</f>
        <v> </v>
      </c>
      <c r="I3602" s="25" t="str">
        <f>IF(OR(E3602="",E3602="!!!",F3602="NEW"),"",INDEX(B3601:B$2,-1+SUMPRODUCT(MAX(ROW(E3601:E$2)*(E3602=E3601:E$2)))))</f>
        <v> </v>
      </c>
      <c r="J3602" s="25" t="str">
        <f>IF(OR(E3602="",E3602="!!!",F3602="NEW"),"",COUNTBLANK(OFFSET(A$1,,,SUMPRODUCT(MAX(ROW(E$2:E3602)*(E3602=E$2:E3602)))))-COUNTBLANK(OFFSET(A$1,,,SUMPRODUCT(MAX(ROW(E$1:E3601)*(E2=E$1:E3601))))))</f>
        <v> </v>
      </c>
      <c r="K3602" s="25" t="str">
        <f>IF(OR(E3602="",E3602="!!!",F3602="NEW"),"",INDEX(J$1:J3601,SUMPRODUCT(MAX(ROW(E$1:E3601)*(E3602=E$1:E3601)))))</f>
        <v> </v>
      </c>
      <c r="L3602" s="26"/>
    </row>
    <row r="3603" spans="1:12">
      <c r="A3603" s="20" t="s">
        <v>2730</v>
      </c>
      <c r="E3603" s="21">
        <f>IF(D3603="?OLD","!!!","")</f>
        <v/>
      </c>
      <c r="F3603" s="22" t="str">
        <f>IF(OR(E3603="",E3603="!!!"),"",IF(NOT(ISNA(VLOOKUP(E3603,E$1:E3602,1,FALSE()))),"OLD",IF(AND(E3603&lt;&gt;"",E3603&lt;&gt;"!!!"),"NEW","")))</f>
        <v> </v>
      </c>
      <c r="G3603" s="23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4" t="str">
        <f>IF(J3603&lt;&gt;1,"",IF(I3603="SBJ","CB","?"))</f>
        <v> </v>
      </c>
      <c r="I3603" s="25" t="str">
        <f>IF(OR(E3603="",E3603="!!!",F3603="NEW"),"",INDEX(B3602:B$2,-1+SUMPRODUCT(MAX(ROW(E3602:E$2)*(E3603=E3602:E$2)))))</f>
        <v> </v>
      </c>
      <c r="J3603" s="25" t="str">
        <f>IF(OR(E3603="",E3603="!!!",F3603="NEW"),"",COUNTBLANK(OFFSET(A$1,,,SUMPRODUCT(MAX(ROW(E$2:E3603)*(E3603=E$2:E3603)))))-COUNTBLANK(OFFSET(A$1,,,SUMPRODUCT(MAX(ROW(E$1:E3602)*(E2=E$1:E3602))))))</f>
        <v> </v>
      </c>
      <c r="K3603" s="25" t="str">
        <f>IF(OR(E3603="",E3603="!!!",F3603="NEW"),"",INDEX(J$1:J3602,SUMPRODUCT(MAX(ROW(E$1:E3602)*(E3603=E$1:E3602)))))</f>
        <v> </v>
      </c>
      <c r="L3603" s="26"/>
    </row>
    <row r="3604" spans="1:12">
      <c r="A3604" s="20" t="s">
        <v>2731</v>
      </c>
      <c r="B3604" s="27" t="s">
        <v>1110</v>
      </c>
      <c r="C3604" s="27" t="s">
        <v>1108</v>
      </c>
      <c r="D3604" s="27" t="s">
        <v>1105</v>
      </c>
      <c r="E3604" s="21">
        <f>IF(D3604="?OLD","!!!","")</f>
        <v/>
      </c>
      <c r="F3604" s="22" t="str">
        <f>IF(OR(E3604="",E3604="!!!"),"",IF(NOT(ISNA(VLOOKUP(E3604,E$1:E3603,1,FALSE()))),"OLD",IF(AND(E3604&lt;&gt;"",E3604&lt;&gt;"!!!"),"NEW","")))</f>
        <v> </v>
      </c>
      <c r="G3604" s="23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4" t="str">
        <f>IF(J3604&lt;&gt;1,"",IF(I3604="SBJ","CB","?"))</f>
        <v> </v>
      </c>
      <c r="I3604" s="25" t="str">
        <f>IF(OR(E3604="",E3604="!!!",F3604="NEW"),"",INDEX(B3603:B$2,-1+SUMPRODUCT(MAX(ROW(E3603:E$2)*(E3604=E3603:E$2)))))</f>
        <v> </v>
      </c>
      <c r="J3604" s="25" t="str">
        <f>IF(OR(E3604="",E3604="!!!",F3604="NEW"),"",COUNTBLANK(OFFSET(A$1,,,SUMPRODUCT(MAX(ROW(E$2:E3604)*(E3604=E$2:E3604)))))-COUNTBLANK(OFFSET(A$1,,,SUMPRODUCT(MAX(ROW(E$1:E3603)*(E2=E$1:E3603))))))</f>
        <v> </v>
      </c>
      <c r="K3604" s="25" t="str">
        <f>IF(OR(E3604="",E3604="!!!",F3604="NEW"),"",INDEX(J$1:J3603,SUMPRODUCT(MAX(ROW(E$1:E3603)*(E3604=E$1:E3603)))))</f>
        <v> </v>
      </c>
      <c r="L3604" s="26"/>
    </row>
    <row r="3605" spans="1:12">
      <c r="A3605" s="20" t="s">
        <v>1145</v>
      </c>
      <c r="E3605" s="21">
        <f>IF(D3605="?OLD","!!!","")</f>
        <v/>
      </c>
      <c r="F3605" s="22" t="str">
        <f>IF(OR(E3605="",E3605="!!!"),"",IF(NOT(ISNA(VLOOKUP(E3605,E$1:E3604,1,FALSE()))),"OLD",IF(AND(E3605&lt;&gt;"",E3605&lt;&gt;"!!!"),"NEW","")))</f>
        <v> </v>
      </c>
      <c r="G3605" s="23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4" t="str">
        <f>IF(J3605&lt;&gt;1,"",IF(I3605="SBJ","CB","?"))</f>
        <v> </v>
      </c>
      <c r="I3605" s="25" t="str">
        <f>IF(OR(E3605="",E3605="!!!",F3605="NEW"),"",INDEX(B3604:B$2,-1+SUMPRODUCT(MAX(ROW(E3604:E$2)*(E3605=E3604:E$2)))))</f>
        <v> </v>
      </c>
      <c r="J3605" s="25" t="str">
        <f>IF(OR(E3605="",E3605="!!!",F3605="NEW"),"",COUNTBLANK(OFFSET(A$1,,,SUMPRODUCT(MAX(ROW(E$2:E3605)*(E3605=E$2:E3605)))))-COUNTBLANK(OFFSET(A$1,,,SUMPRODUCT(MAX(ROW(E$1:E3604)*(E2=E$1:E3604))))))</f>
        <v> </v>
      </c>
      <c r="K3605" s="25" t="str">
        <f>IF(OR(E3605="",E3605="!!!",F3605="NEW"),"",INDEX(J$1:J3604,SUMPRODUCT(MAX(ROW(E$1:E3604)*(E3605=E$1:E3604)))))</f>
        <v> </v>
      </c>
      <c r="L3605" s="26"/>
    </row>
    <row r="3606" spans="1:12">
      <c r="A3606" s="20"/>
    </row>
    <row r="3607" spans="1:12">
      <c r="A3607" s="20" t="s">
        <v>2732</v>
      </c>
    </row>
    <row r="3608" spans="1:12">
      <c r="A3608" s="20" t="s">
        <v>1277</v>
      </c>
      <c r="E3608" s="21">
        <f>IF(D3608="?OLD","!!!","")</f>
        <v/>
      </c>
      <c r="F3608" s="22" t="str">
        <f>IF(OR(E3608="",E3608="!!!"),"",IF(NOT(ISNA(VLOOKUP(E3608,E$1:E3607,1,FALSE()))),"OLD",IF(AND(E3608&lt;&gt;"",E3608&lt;&gt;"!!!"),"NEW","")))</f>
        <v> </v>
      </c>
      <c r="G3608" s="23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4" t="str">
        <f>IF(J3608&lt;&gt;1,"",IF(I3608="SBJ","CB","?"))</f>
        <v> </v>
      </c>
      <c r="I3608" s="25" t="str">
        <f>IF(OR(E3608="",E3608="!!!",F3608="NEW"),"",INDEX(B3607:B$2,-1+SUMPRODUCT(MAX(ROW(E3607:E$2)*(E3608=E3607:E$2)))))</f>
        <v> </v>
      </c>
      <c r="J3608" s="25" t="str">
        <f>IF(OR(E3608="",E3608="!!!",F3608="NEW"),"",COUNTBLANK(OFFSET(A$1,,,SUMPRODUCT(MAX(ROW(E$2:E3608)*(E3608=E$2:E3608)))))-COUNTBLANK(OFFSET(A$1,,,SUMPRODUCT(MAX(ROW(E$1:E3607)*(E2=E$1:E3607))))))</f>
        <v> </v>
      </c>
      <c r="K3608" s="25" t="str">
        <f>IF(OR(E3608="",E3608="!!!",F3608="NEW"),"",INDEX(J$1:J3607,SUMPRODUCT(MAX(ROW(E$1:E3607)*(E3608=E$1:E3607)))))</f>
        <v> </v>
      </c>
      <c r="L3608" s="26"/>
    </row>
    <row r="3609" spans="1:12">
      <c r="A3609" s="20" t="s">
        <v>2733</v>
      </c>
      <c r="E3609" s="21">
        <f>IF(D3609="?OLD","!!!","")</f>
        <v/>
      </c>
      <c r="F3609" s="22" t="str">
        <f>IF(OR(E3609="",E3609="!!!"),"",IF(NOT(ISNA(VLOOKUP(E3609,E$1:E3608,1,FALSE()))),"OLD",IF(AND(E3609&lt;&gt;"",E3609&lt;&gt;"!!!"),"NEW","")))</f>
        <v> </v>
      </c>
      <c r="G3609" s="23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4" t="str">
        <f>IF(J3609&lt;&gt;1,"",IF(I3609="SBJ","CB","?"))</f>
        <v> </v>
      </c>
      <c r="I3609" s="25" t="str">
        <f>IF(OR(E3609="",E3609="!!!",F3609="NEW"),"",INDEX(B3608:B$2,-1+SUMPRODUCT(MAX(ROW(E3608:E$2)*(E3609=E3608:E$2)))))</f>
        <v> </v>
      </c>
      <c r="J3609" s="25" t="str">
        <f>IF(OR(E3609="",E3609="!!!",F3609="NEW"),"",COUNTBLANK(OFFSET(A$1,,,SUMPRODUCT(MAX(ROW(E$2:E3609)*(E3609=E$2:E3609)))))-COUNTBLANK(OFFSET(A$1,,,SUMPRODUCT(MAX(ROW(E$1:E3608)*(E2=E$1:E3608))))))</f>
        <v> </v>
      </c>
      <c r="K3609" s="25" t="str">
        <f>IF(OR(E3609="",E3609="!!!",F3609="NEW"),"",INDEX(J$1:J3608,SUMPRODUCT(MAX(ROW(E$1:E3608)*(E3609=E$1:E3608)))))</f>
        <v> </v>
      </c>
      <c r="L3609" s="26"/>
    </row>
    <row r="3610" spans="1:12">
      <c r="A3610" s="20" t="s">
        <v>1606</v>
      </c>
      <c r="B3610" s="27" t="s">
        <v>1213</v>
      </c>
      <c r="C3610" s="27" t="s">
        <v>1126</v>
      </c>
      <c r="D3610" s="27" t="s">
        <v>1105</v>
      </c>
      <c r="E3610" s="21">
        <f>IF(D3610="?OLD","!!!","")</f>
        <v/>
      </c>
      <c r="F3610" s="22" t="str">
        <f>IF(OR(E3610="",E3610="!!!"),"",IF(NOT(ISNA(VLOOKUP(E3610,E$1:E3609,1,FALSE()))),"OLD",IF(AND(E3610&lt;&gt;"",E3610&lt;&gt;"!!!"),"NEW","")))</f>
        <v> </v>
      </c>
      <c r="G3610" s="23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4" t="str">
        <f>IF(J3610&lt;&gt;1,"",IF(I3610="SBJ","CB","?"))</f>
        <v> </v>
      </c>
      <c r="I3610" s="25" t="str">
        <f>IF(OR(E3610="",E3610="!!!",F3610="NEW"),"",INDEX(B3609:B$2,-1+SUMPRODUCT(MAX(ROW(E3609:E$2)*(E3610=E3609:E$2)))))</f>
        <v> </v>
      </c>
      <c r="J3610" s="25" t="str">
        <f>IF(OR(E3610="",E3610="!!!",F3610="NEW"),"",COUNTBLANK(OFFSET(A$1,,,SUMPRODUCT(MAX(ROW(E$2:E3610)*(E3610=E$2:E3610)))))-COUNTBLANK(OFFSET(A$1,,,SUMPRODUCT(MAX(ROW(E$1:E3609)*(E2=E$1:E3609))))))</f>
        <v> </v>
      </c>
      <c r="K3610" s="25" t="str">
        <f>IF(OR(E3610="",E3610="!!!",F3610="NEW"),"",INDEX(J$1:J3609,SUMPRODUCT(MAX(ROW(E$1:E3609)*(E3610=E$1:E3609)))))</f>
        <v> </v>
      </c>
      <c r="L3610" s="26"/>
    </row>
    <row r="3611" spans="1:12">
      <c r="A3611" s="20" t="s">
        <v>2734</v>
      </c>
      <c r="E3611" s="21">
        <f>IF(D3611="?OLD","!!!","")</f>
        <v/>
      </c>
      <c r="F3611" s="22" t="str">
        <f>IF(OR(E3611="",E3611="!!!"),"",IF(NOT(ISNA(VLOOKUP(E3611,E$1:E3610,1,FALSE()))),"OLD",IF(AND(E3611&lt;&gt;"",E3611&lt;&gt;"!!!"),"NEW","")))</f>
        <v> </v>
      </c>
      <c r="G3611" s="23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4" t="str">
        <f>IF(J3611&lt;&gt;1,"",IF(I3611="SBJ","CB","?"))</f>
        <v> </v>
      </c>
      <c r="I3611" s="25" t="str">
        <f>IF(OR(E3611="",E3611="!!!",F3611="NEW"),"",INDEX(B3610:B$2,-1+SUMPRODUCT(MAX(ROW(E3610:E$2)*(E3611=E3610:E$2)))))</f>
        <v> </v>
      </c>
      <c r="J3611" s="25" t="str">
        <f>IF(OR(E3611="",E3611="!!!",F3611="NEW"),"",COUNTBLANK(OFFSET(A$1,,,SUMPRODUCT(MAX(ROW(E$2:E3611)*(E3611=E$2:E3611)))))-COUNTBLANK(OFFSET(A$1,,,SUMPRODUCT(MAX(ROW(E$1:E3610)*(E2=E$1:E3610))))))</f>
        <v> </v>
      </c>
      <c r="K3611" s="25" t="str">
        <f>IF(OR(E3611="",E3611="!!!",F3611="NEW"),"",INDEX(J$1:J3610,SUMPRODUCT(MAX(ROW(E$1:E3610)*(E3611=E$1:E3610)))))</f>
        <v> </v>
      </c>
      <c r="L3611" s="26"/>
    </row>
    <row r="3612" spans="1:12">
      <c r="A3612" s="20" t="s">
        <v>1120</v>
      </c>
      <c r="E3612" s="21">
        <f>IF(D3612="?OLD","!!!","")</f>
        <v/>
      </c>
      <c r="F3612" s="22" t="str">
        <f>IF(OR(E3612="",E3612="!!!"),"",IF(NOT(ISNA(VLOOKUP(E3612,E$1:E3611,1,FALSE()))),"OLD",IF(AND(E3612&lt;&gt;"",E3612&lt;&gt;"!!!"),"NEW","")))</f>
        <v> </v>
      </c>
      <c r="G3612" s="23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4" t="str">
        <f>IF(J3612&lt;&gt;1,"",IF(I3612="SBJ","CB","?"))</f>
        <v> </v>
      </c>
      <c r="I3612" s="25" t="str">
        <f>IF(OR(E3612="",E3612="!!!",F3612="NEW"),"",INDEX(B3611:B$2,-1+SUMPRODUCT(MAX(ROW(E3611:E$2)*(E3612=E3611:E$2)))))</f>
        <v> </v>
      </c>
      <c r="J3612" s="25" t="str">
        <f>IF(OR(E3612="",E3612="!!!",F3612="NEW"),"",COUNTBLANK(OFFSET(A$1,,,SUMPRODUCT(MAX(ROW(E$2:E3612)*(E3612=E$2:E3612)))))-COUNTBLANK(OFFSET(A$1,,,SUMPRODUCT(MAX(ROW(E$1:E3611)*(E2=E$1:E3611))))))</f>
        <v> </v>
      </c>
      <c r="K3612" s="25" t="str">
        <f>IF(OR(E3612="",E3612="!!!",F3612="NEW"),"",INDEX(J$1:J3611,SUMPRODUCT(MAX(ROW(E$1:E3611)*(E3612=E$1:E3611)))))</f>
        <v> </v>
      </c>
      <c r="L3612" s="26"/>
    </row>
    <row r="3613" spans="1:12">
      <c r="A3613" s="20" t="s">
        <v>2735</v>
      </c>
      <c r="E3613" s="21">
        <f>IF(D3613="?OLD","!!!","")</f>
        <v/>
      </c>
      <c r="F3613" s="22" t="str">
        <f>IF(OR(E3613="",E3613="!!!"),"",IF(NOT(ISNA(VLOOKUP(E3613,E$1:E3612,1,FALSE()))),"OLD",IF(AND(E3613&lt;&gt;"",E3613&lt;&gt;"!!!"),"NEW","")))</f>
        <v> </v>
      </c>
      <c r="G3613" s="23" t="str">
        <f>IF(OR(E3613="",E3613="!!!"),"",IF(OR(J3613=0,AND(J3613=1,K3613=1),AND(J3613=1,I3613="SBJ"),AND(J3613=1,I3613=0)),"?IN_FOCUS",IF(J3613&lt;=2,"?ACTIVATED",IF(J3613&lt;&gt;"","?FAMILIAR",IF(F3613="NEW",IF(ISNA(VLOOKUP(E3613,#REF!,1,FALSE())),"?TYPE_IDENTIFIABLE","?REFERENTIAL"),"_")))))</f>
        <v> </v>
      </c>
      <c r="H3613" s="24" t="str">
        <f>IF(J3613&lt;&gt;1,"",IF(I3613="SBJ","CB","?"))</f>
        <v> </v>
      </c>
      <c r="I3613" s="25" t="str">
        <f>IF(OR(E3613="",E3613="!!!",F3613="NEW"),"",INDEX(B3612:B$2,-1+SUMPRODUCT(MAX(ROW(E3612:E$2)*(E3613=E3612:E$2)))))</f>
        <v> </v>
      </c>
      <c r="J3613" s="25" t="str">
        <f>IF(OR(E3613="",E3613="!!!",F3613="NEW"),"",COUNTBLANK(OFFSET(A$1,,,SUMPRODUCT(MAX(ROW(E$2:E3613)*(E3613=E$2:E3613)))))-COUNTBLANK(OFFSET(A$1,,,SUMPRODUCT(MAX(ROW(E$1:E3612)*(E2=E$1:E3612))))))</f>
        <v> </v>
      </c>
      <c r="K3613" s="25" t="str">
        <f>IF(OR(E3613="",E3613="!!!",F3613="NEW"),"",INDEX(J$1:J3612,SUMPRODUCT(MAX(ROW(E$1:E3612)*(E3613=E$1:E3612)))))</f>
        <v> </v>
      </c>
      <c r="L3613" s="26"/>
    </row>
    <row r="3614" spans="1:12">
      <c r="A3614" s="20" t="s">
        <v>2736</v>
      </c>
      <c r="E3614" s="21">
        <f>IF(D3614="?OLD","!!!","")</f>
        <v/>
      </c>
      <c r="F3614" s="22" t="str">
        <f>IF(OR(E3614="",E3614="!!!"),"",IF(NOT(ISNA(VLOOKUP(E3614,E$1:E3613,1,FALSE()))),"OLD",IF(AND(E3614&lt;&gt;"",E3614&lt;&gt;"!!!"),"NEW","")))</f>
        <v> </v>
      </c>
      <c r="G3614" s="23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4" t="str">
        <f>IF(J3614&lt;&gt;1,"",IF(I3614="SBJ","CB","?"))</f>
        <v> </v>
      </c>
      <c r="I3614" s="25" t="str">
        <f>IF(OR(E3614="",E3614="!!!",F3614="NEW"),"",INDEX(B3613:B$2,-1+SUMPRODUCT(MAX(ROW(E3613:E$2)*(E3614=E3613:E$2)))))</f>
        <v> </v>
      </c>
      <c r="J3614" s="25" t="str">
        <f>IF(OR(E3614="",E3614="!!!",F3614="NEW"),"",COUNTBLANK(OFFSET(A$1,,,SUMPRODUCT(MAX(ROW(E$2:E3614)*(E3614=E$2:E3614)))))-COUNTBLANK(OFFSET(A$1,,,SUMPRODUCT(MAX(ROW(E$1:E3613)*(E2=E$1:E3613))))))</f>
        <v> </v>
      </c>
      <c r="K3614" s="25" t="str">
        <f>IF(OR(E3614="",E3614="!!!",F3614="NEW"),"",INDEX(J$1:J3613,SUMPRODUCT(MAX(ROW(E$1:E3613)*(E3614=E$1:E3613)))))</f>
        <v> </v>
      </c>
      <c r="L3614" s="26"/>
    </row>
    <row r="3615" spans="1:12">
      <c r="A3615" s="20" t="s">
        <v>2737</v>
      </c>
      <c r="E3615" s="21">
        <f>IF(D3615="?OLD","!!!","")</f>
        <v/>
      </c>
      <c r="F3615" s="22" t="str">
        <f>IF(OR(E3615="",E3615="!!!"),"",IF(NOT(ISNA(VLOOKUP(E3615,E$1:E3614,1,FALSE()))),"OLD",IF(AND(E3615&lt;&gt;"",E3615&lt;&gt;"!!!"),"NEW","")))</f>
        <v> </v>
      </c>
      <c r="G3615" s="23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4" t="str">
        <f>IF(J3615&lt;&gt;1,"",IF(I3615="SBJ","CB","?"))</f>
        <v> </v>
      </c>
      <c r="I3615" s="25" t="str">
        <f>IF(OR(E3615="",E3615="!!!",F3615="NEW"),"",INDEX(B3614:B$2,-1+SUMPRODUCT(MAX(ROW(E3614:E$2)*(E3615=E3614:E$2)))))</f>
        <v> </v>
      </c>
      <c r="J3615" s="25" t="str">
        <f>IF(OR(E3615="",E3615="!!!",F3615="NEW"),"",COUNTBLANK(OFFSET(A$1,,,SUMPRODUCT(MAX(ROW(E$2:E3615)*(E3615=E$2:E3615)))))-COUNTBLANK(OFFSET(A$1,,,SUMPRODUCT(MAX(ROW(E$1:E3614)*(E2=E$1:E3614))))))</f>
        <v> </v>
      </c>
      <c r="K3615" s="25" t="str">
        <f>IF(OR(E3615="",E3615="!!!",F3615="NEW"),"",INDEX(J$1:J3614,SUMPRODUCT(MAX(ROW(E$1:E3614)*(E3615=E$1:E3614)))))</f>
        <v> </v>
      </c>
      <c r="L3615" s="26"/>
    </row>
    <row r="3616" spans="1:12">
      <c r="A3616" s="20" t="s">
        <v>1203</v>
      </c>
      <c r="B3616" s="27" t="s">
        <v>1243</v>
      </c>
      <c r="E3616" s="21">
        <f>IF(D3616="?OLD","!!!","")</f>
        <v/>
      </c>
      <c r="F3616" s="22" t="str">
        <f>IF(OR(E3616="",E3616="!!!"),"",IF(NOT(ISNA(VLOOKUP(E3616,E$1:E3615,1,FALSE()))),"OLD",IF(AND(E3616&lt;&gt;"",E3616&lt;&gt;"!!!"),"NEW","")))</f>
        <v> </v>
      </c>
      <c r="G3616" s="23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4" t="str">
        <f>IF(J3616&lt;&gt;1,"",IF(I3616="SBJ","CB","?"))</f>
        <v> </v>
      </c>
      <c r="I3616" s="25" t="str">
        <f>IF(OR(E3616="",E3616="!!!",F3616="NEW"),"",INDEX(B3615:B$2,-1+SUMPRODUCT(MAX(ROW(E3615:E$2)*(E3616=E3615:E$2)))))</f>
        <v> </v>
      </c>
      <c r="J3616" s="25" t="str">
        <f>IF(OR(E3616="",E3616="!!!",F3616="NEW"),"",COUNTBLANK(OFFSET(A$1,,,SUMPRODUCT(MAX(ROW(E$2:E3616)*(E3616=E$2:E3616)))))-COUNTBLANK(OFFSET(A$1,,,SUMPRODUCT(MAX(ROW(E$1:E3615)*(E2=E$1:E3615))))))</f>
        <v> </v>
      </c>
      <c r="K3616" s="25" t="str">
        <f>IF(OR(E3616="",E3616="!!!",F3616="NEW"),"",INDEX(J$1:J3615,SUMPRODUCT(MAX(ROW(E$1:E3615)*(E3616=E$1:E3615)))))</f>
        <v> </v>
      </c>
      <c r="L3616" s="26"/>
    </row>
    <row r="3617" spans="1:12">
      <c r="A3617" s="20" t="s">
        <v>1123</v>
      </c>
      <c r="E3617" s="21">
        <f>IF(D3617="?OLD","!!!","")</f>
        <v/>
      </c>
      <c r="F3617" s="22" t="str">
        <f>IF(OR(E3617="",E3617="!!!"),"",IF(NOT(ISNA(VLOOKUP(E3617,E$1:E3616,1,FALSE()))),"OLD",IF(AND(E3617&lt;&gt;"",E3617&lt;&gt;"!!!"),"NEW","")))</f>
        <v> </v>
      </c>
      <c r="G3617" s="23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4" t="str">
        <f>IF(J3617&lt;&gt;1,"",IF(I3617="SBJ","CB","?"))</f>
        <v> </v>
      </c>
      <c r="I3617" s="25" t="str">
        <f>IF(OR(E3617="",E3617="!!!",F3617="NEW"),"",INDEX(B3616:B$2,-1+SUMPRODUCT(MAX(ROW(E3616:E$2)*(E3617=E3616:E$2)))))</f>
        <v> </v>
      </c>
      <c r="J3617" s="25" t="str">
        <f>IF(OR(E3617="",E3617="!!!",F3617="NEW"),"",COUNTBLANK(OFFSET(A$1,,,SUMPRODUCT(MAX(ROW(E$2:E3617)*(E3617=E$2:E3617)))))-COUNTBLANK(OFFSET(A$1,,,SUMPRODUCT(MAX(ROW(E$1:E3616)*(E2=E$1:E3616))))))</f>
        <v> </v>
      </c>
      <c r="K3617" s="25" t="str">
        <f>IF(OR(E3617="",E3617="!!!",F3617="NEW"),"",INDEX(J$1:J3616,SUMPRODUCT(MAX(ROW(E$1:E3616)*(E3617=E$1:E3616)))))</f>
        <v> </v>
      </c>
      <c r="L3617" s="26"/>
    </row>
    <row r="3618" spans="1:12">
      <c r="A3618" s="20" t="s">
        <v>1128</v>
      </c>
      <c r="E3618" s="21">
        <f>IF(D3618="?OLD","!!!","")</f>
        <v/>
      </c>
      <c r="F3618" s="22" t="str">
        <f>IF(OR(E3618="",E3618="!!!"),"",IF(NOT(ISNA(VLOOKUP(E3618,E$1:E3617,1,FALSE()))),"OLD",IF(AND(E3618&lt;&gt;"",E3618&lt;&gt;"!!!"),"NEW","")))</f>
        <v> </v>
      </c>
      <c r="G3618" s="23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4" t="str">
        <f>IF(J3618&lt;&gt;1,"",IF(I3618="SBJ","CB","?"))</f>
        <v> </v>
      </c>
      <c r="I3618" s="25" t="str">
        <f>IF(OR(E3618="",E3618="!!!",F3618="NEW"),"",INDEX(B3617:B$2,-1+SUMPRODUCT(MAX(ROW(E3617:E$2)*(E3618=E3617:E$2)))))</f>
        <v> </v>
      </c>
      <c r="J3618" s="25" t="str">
        <f>IF(OR(E3618="",E3618="!!!",F3618="NEW"),"",COUNTBLANK(OFFSET(A$1,,,SUMPRODUCT(MAX(ROW(E$2:E3618)*(E3618=E$2:E3618)))))-COUNTBLANK(OFFSET(A$1,,,SUMPRODUCT(MAX(ROW(E$1:E3617)*(E2=E$1:E3617))))))</f>
        <v> </v>
      </c>
      <c r="K3618" s="25" t="str">
        <f>IF(OR(E3618="",E3618="!!!",F3618="NEW"),"",INDEX(J$1:J3617,SUMPRODUCT(MAX(ROW(E$1:E3617)*(E3618=E$1:E3617)))))</f>
        <v> </v>
      </c>
      <c r="L3618" s="26"/>
    </row>
    <row r="3619" spans="1:12">
      <c r="A3619" s="20" t="s">
        <v>1113</v>
      </c>
      <c r="E3619" s="21">
        <f>IF(D3619="?OLD","!!!","")</f>
        <v/>
      </c>
      <c r="F3619" s="22" t="str">
        <f>IF(OR(E3619="",E3619="!!!"),"",IF(NOT(ISNA(VLOOKUP(E3619,E$1:E3618,1,FALSE()))),"OLD",IF(AND(E3619&lt;&gt;"",E3619&lt;&gt;"!!!"),"NEW","")))</f>
        <v> </v>
      </c>
      <c r="G3619" s="23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4" t="str">
        <f>IF(J3619&lt;&gt;1,"",IF(I3619="SBJ","CB","?"))</f>
        <v> </v>
      </c>
      <c r="I3619" s="25" t="str">
        <f>IF(OR(E3619="",E3619="!!!",F3619="NEW"),"",INDEX(B3618:B$2,-1+SUMPRODUCT(MAX(ROW(E3618:E$2)*(E3619=E3618:E$2)))))</f>
        <v> </v>
      </c>
      <c r="J3619" s="25" t="str">
        <f>IF(OR(E3619="",E3619="!!!",F3619="NEW"),"",COUNTBLANK(OFFSET(A$1,,,SUMPRODUCT(MAX(ROW(E$2:E3619)*(E3619=E$2:E3619)))))-COUNTBLANK(OFFSET(A$1,,,SUMPRODUCT(MAX(ROW(E$1:E3618)*(E2=E$1:E3618))))))</f>
        <v> </v>
      </c>
      <c r="K3619" s="25" t="str">
        <f>IF(OR(E3619="",E3619="!!!",F3619="NEW"),"",INDEX(J$1:J3618,SUMPRODUCT(MAX(ROW(E$1:E3618)*(E3619=E$1:E3618)))))</f>
        <v> </v>
      </c>
      <c r="L3619" s="26"/>
    </row>
    <row r="3620" spans="1:12">
      <c r="A3620" s="20" t="s">
        <v>2052</v>
      </c>
      <c r="E3620" s="21">
        <f>IF(D3620="?OLD","!!!","")</f>
        <v/>
      </c>
      <c r="F3620" s="22" t="str">
        <f>IF(OR(E3620="",E3620="!!!"),"",IF(NOT(ISNA(VLOOKUP(E3620,E$1:E3619,1,FALSE()))),"OLD",IF(AND(E3620&lt;&gt;"",E3620&lt;&gt;"!!!"),"NEW","")))</f>
        <v> </v>
      </c>
      <c r="G3620" s="23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4" t="str">
        <f>IF(J3620&lt;&gt;1,"",IF(I3620="SBJ","CB","?"))</f>
        <v> </v>
      </c>
      <c r="I3620" s="25" t="str">
        <f>IF(OR(E3620="",E3620="!!!",F3620="NEW"),"",INDEX(B3619:B$2,-1+SUMPRODUCT(MAX(ROW(E3619:E$2)*(E3620=E3619:E$2)))))</f>
        <v> </v>
      </c>
      <c r="J3620" s="25" t="str">
        <f>IF(OR(E3620="",E3620="!!!",F3620="NEW"),"",COUNTBLANK(OFFSET(A$1,,,SUMPRODUCT(MAX(ROW(E$2:E3620)*(E3620=E$2:E3620)))))-COUNTBLANK(OFFSET(A$1,,,SUMPRODUCT(MAX(ROW(E$1:E3619)*(E2=E$1:E3619))))))</f>
        <v> </v>
      </c>
      <c r="K3620" s="25" t="str">
        <f>IF(OR(E3620="",E3620="!!!",F3620="NEW"),"",INDEX(J$1:J3619,SUMPRODUCT(MAX(ROW(E$1:E3619)*(E3620=E$1:E3619)))))</f>
        <v> </v>
      </c>
      <c r="L3620" s="26"/>
    </row>
    <row r="3621" spans="1:12">
      <c r="A3621" s="20" t="s">
        <v>1421</v>
      </c>
      <c r="B3621" s="27" t="s">
        <v>1110</v>
      </c>
      <c r="C3621" s="27" t="s">
        <v>1126</v>
      </c>
      <c r="D3621" s="27" t="s">
        <v>1105</v>
      </c>
      <c r="E3621" s="21">
        <f>IF(D3621="?OLD","!!!","")</f>
        <v/>
      </c>
      <c r="F3621" s="22" t="str">
        <f>IF(OR(E3621="",E3621="!!!"),"",IF(NOT(ISNA(VLOOKUP(E3621,E$1:E3620,1,FALSE()))),"OLD",IF(AND(E3621&lt;&gt;"",E3621&lt;&gt;"!!!"),"NEW","")))</f>
        <v> </v>
      </c>
      <c r="G3621" s="23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4" t="str">
        <f>IF(J3621&lt;&gt;1,"",IF(I3621="SBJ","CB","?"))</f>
        <v> </v>
      </c>
      <c r="I3621" s="25" t="str">
        <f>IF(OR(E3621="",E3621="!!!",F3621="NEW"),"",INDEX(B3620:B$2,-1+SUMPRODUCT(MAX(ROW(E3620:E$2)*(E3621=E3620:E$2)))))</f>
        <v> </v>
      </c>
      <c r="J3621" s="25" t="str">
        <f>IF(OR(E3621="",E3621="!!!",F3621="NEW"),"",COUNTBLANK(OFFSET(A$1,,,SUMPRODUCT(MAX(ROW(E$2:E3621)*(E3621=E$2:E3621)))))-COUNTBLANK(OFFSET(A$1,,,SUMPRODUCT(MAX(ROW(E$1:E3620)*(E2=E$1:E3620))))))</f>
        <v> </v>
      </c>
      <c r="K3621" s="25" t="str">
        <f>IF(OR(E3621="",E3621="!!!",F3621="NEW"),"",INDEX(J$1:J3620,SUMPRODUCT(MAX(ROW(E$1:E3620)*(E3621=E$1:E3620)))))</f>
        <v> </v>
      </c>
      <c r="L3621" s="26"/>
    </row>
    <row r="3622" spans="1:12">
      <c r="A3622" s="20" t="s">
        <v>1505</v>
      </c>
      <c r="B3622" s="27" t="s">
        <v>1259</v>
      </c>
      <c r="E3622" s="21">
        <f>IF(D3622="?OLD","!!!","")</f>
        <v/>
      </c>
      <c r="F3622" s="22" t="str">
        <f>IF(OR(E3622="",E3622="!!!"),"",IF(NOT(ISNA(VLOOKUP(E3622,E$1:E3621,1,FALSE()))),"OLD",IF(AND(E3622&lt;&gt;"",E3622&lt;&gt;"!!!"),"NEW","")))</f>
        <v> </v>
      </c>
      <c r="G3622" s="23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4" t="str">
        <f>IF(J3622&lt;&gt;1,"",IF(I3622="SBJ","CB","?"))</f>
        <v> </v>
      </c>
      <c r="I3622" s="25" t="str">
        <f>IF(OR(E3622="",E3622="!!!",F3622="NEW"),"",INDEX(B3621:B$2,-1+SUMPRODUCT(MAX(ROW(E3621:E$2)*(E3622=E3621:E$2)))))</f>
        <v> </v>
      </c>
      <c r="J3622" s="25" t="str">
        <f>IF(OR(E3622="",E3622="!!!",F3622="NEW"),"",COUNTBLANK(OFFSET(A$1,,,SUMPRODUCT(MAX(ROW(E$2:E3622)*(E3622=E$2:E3622)))))-COUNTBLANK(OFFSET(A$1,,,SUMPRODUCT(MAX(ROW(E$1:E3621)*(E2=E$1:E3621))))))</f>
        <v> </v>
      </c>
      <c r="K3622" s="25" t="str">
        <f>IF(OR(E3622="",E3622="!!!",F3622="NEW"),"",INDEX(J$1:J3621,SUMPRODUCT(MAX(ROW(E$1:E3621)*(E3622=E$1:E3621)))))</f>
        <v> </v>
      </c>
      <c r="L3622" s="26"/>
    </row>
    <row r="3623" spans="1:12">
      <c r="A3623" s="20" t="s">
        <v>1506</v>
      </c>
      <c r="B3623" s="27" t="s">
        <v>1132</v>
      </c>
      <c r="C3623" s="27" t="s">
        <v>1108</v>
      </c>
      <c r="D3623" s="27" t="s">
        <v>1105</v>
      </c>
      <c r="E3623" s="21">
        <f>IF(D3623="?OLD","!!!","")</f>
        <v/>
      </c>
      <c r="F3623" s="22" t="str">
        <f>IF(OR(E3623="",E3623="!!!"),"",IF(NOT(ISNA(VLOOKUP(E3623,E$1:E3622,1,FALSE()))),"OLD",IF(AND(E3623&lt;&gt;"",E3623&lt;&gt;"!!!"),"NEW","")))</f>
        <v> </v>
      </c>
      <c r="G3623" s="23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4" t="str">
        <f>IF(J3623&lt;&gt;1,"",IF(I3623="SBJ","CB","?"))</f>
        <v> </v>
      </c>
      <c r="I3623" s="25" t="str">
        <f>IF(OR(E3623="",E3623="!!!",F3623="NEW"),"",INDEX(B3622:B$2,-1+SUMPRODUCT(MAX(ROW(E3622:E$2)*(E3623=E3622:E$2)))))</f>
        <v> </v>
      </c>
      <c r="J3623" s="25" t="str">
        <f>IF(OR(E3623="",E3623="!!!",F3623="NEW"),"",COUNTBLANK(OFFSET(A$1,,,SUMPRODUCT(MAX(ROW(E$2:E3623)*(E3623=E$2:E3623)))))-COUNTBLANK(OFFSET(A$1,,,SUMPRODUCT(MAX(ROW(E$1:E3622)*(E2=E$1:E3622))))))</f>
        <v> </v>
      </c>
      <c r="K3623" s="25" t="str">
        <f>IF(OR(E3623="",E3623="!!!",F3623="NEW"),"",INDEX(J$1:J3622,SUMPRODUCT(MAX(ROW(E$1:E3622)*(E3623=E$1:E3622)))))</f>
        <v> </v>
      </c>
      <c r="L3623" s="26"/>
    </row>
    <row r="3624" spans="1:12">
      <c r="A3624" s="20" t="s">
        <v>1260</v>
      </c>
      <c r="E3624" s="21">
        <f>IF(D3624="?OLD","!!!","")</f>
        <v/>
      </c>
      <c r="F3624" s="22" t="str">
        <f>IF(OR(E3624="",E3624="!!!"),"",IF(NOT(ISNA(VLOOKUP(E3624,E$1:E3623,1,FALSE()))),"OLD",IF(AND(E3624&lt;&gt;"",E3624&lt;&gt;"!!!"),"NEW","")))</f>
        <v> </v>
      </c>
      <c r="G3624" s="23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4" t="str">
        <f>IF(J3624&lt;&gt;1,"",IF(I3624="SBJ","CB","?"))</f>
        <v> </v>
      </c>
      <c r="I3624" s="25" t="str">
        <f>IF(OR(E3624="",E3624="!!!",F3624="NEW"),"",INDEX(B3623:B$2,-1+SUMPRODUCT(MAX(ROW(E3623:E$2)*(E3624=E3623:E$2)))))</f>
        <v> </v>
      </c>
      <c r="J3624" s="25" t="str">
        <f>IF(OR(E3624="",E3624="!!!",F3624="NEW"),"",COUNTBLANK(OFFSET(A$1,,,SUMPRODUCT(MAX(ROW(E$2:E3624)*(E3624=E$2:E3624)))))-COUNTBLANK(OFFSET(A$1,,,SUMPRODUCT(MAX(ROW(E$1:E3623)*(E2=E$1:E3623))))))</f>
        <v> </v>
      </c>
      <c r="K3624" s="25" t="str">
        <f>IF(OR(E3624="",E3624="!!!",F3624="NEW"),"",INDEX(J$1:J3623,SUMPRODUCT(MAX(ROW(E$1:E3623)*(E3624=E$1:E3623)))))</f>
        <v> </v>
      </c>
      <c r="L3624" s="26"/>
    </row>
    <row r="3625" spans="1:12">
      <c r="A3625" s="20" t="s">
        <v>1921</v>
      </c>
      <c r="E3625" s="21">
        <f>IF(D3625="?OLD","!!!","")</f>
        <v/>
      </c>
      <c r="F3625" s="22" t="str">
        <f>IF(OR(E3625="",E3625="!!!"),"",IF(NOT(ISNA(VLOOKUP(E3625,E$1:E3624,1,FALSE()))),"OLD",IF(AND(E3625&lt;&gt;"",E3625&lt;&gt;"!!!"),"NEW","")))</f>
        <v> </v>
      </c>
      <c r="G3625" s="23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4" t="str">
        <f>IF(J3625&lt;&gt;1,"",IF(I3625="SBJ","CB","?"))</f>
        <v> </v>
      </c>
      <c r="I3625" s="25" t="str">
        <f>IF(OR(E3625="",E3625="!!!",F3625="NEW"),"",INDEX(B3624:B$2,-1+SUMPRODUCT(MAX(ROW(E3624:E$2)*(E3625=E3624:E$2)))))</f>
        <v> </v>
      </c>
      <c r="J3625" s="25" t="str">
        <f>IF(OR(E3625="",E3625="!!!",F3625="NEW"),"",COUNTBLANK(OFFSET(A$1,,,SUMPRODUCT(MAX(ROW(E$2:E3625)*(E3625=E$2:E3625)))))-COUNTBLANK(OFFSET(A$1,,,SUMPRODUCT(MAX(ROW(E$1:E3624)*(E2=E$1:E3624))))))</f>
        <v> </v>
      </c>
      <c r="K3625" s="25" t="str">
        <f>IF(OR(E3625="",E3625="!!!",F3625="NEW"),"",INDEX(J$1:J3624,SUMPRODUCT(MAX(ROW(E$1:E3624)*(E3625=E$1:E3624)))))</f>
        <v> </v>
      </c>
      <c r="L3625" s="26"/>
    </row>
    <row r="3626" spans="1:12">
      <c r="A3626" s="20" t="s">
        <v>1180</v>
      </c>
      <c r="E3626" s="21">
        <f>IF(D3626="?OLD","!!!","")</f>
        <v/>
      </c>
      <c r="F3626" s="22" t="str">
        <f>IF(OR(E3626="",E3626="!!!"),"",IF(NOT(ISNA(VLOOKUP(E3626,E$1:E3625,1,FALSE()))),"OLD",IF(AND(E3626&lt;&gt;"",E3626&lt;&gt;"!!!"),"NEW","")))</f>
        <v> </v>
      </c>
      <c r="G3626" s="23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4" t="str">
        <f>IF(J3626&lt;&gt;1,"",IF(I3626="SBJ","CB","?"))</f>
        <v> </v>
      </c>
      <c r="I3626" s="25" t="str">
        <f>IF(OR(E3626="",E3626="!!!",F3626="NEW"),"",INDEX(B3625:B$2,-1+SUMPRODUCT(MAX(ROW(E3625:E$2)*(E3626=E3625:E$2)))))</f>
        <v> </v>
      </c>
      <c r="J3626" s="25" t="str">
        <f>IF(OR(E3626="",E3626="!!!",F3626="NEW"),"",COUNTBLANK(OFFSET(A$1,,,SUMPRODUCT(MAX(ROW(E$2:E3626)*(E3626=E$2:E3626)))))-COUNTBLANK(OFFSET(A$1,,,SUMPRODUCT(MAX(ROW(E$1:E3625)*(E2=E$1:E3625))))))</f>
        <v> </v>
      </c>
      <c r="K3626" s="25" t="str">
        <f>IF(OR(E3626="",E3626="!!!",F3626="NEW"),"",INDEX(J$1:J3625,SUMPRODUCT(MAX(ROW(E$1:E3625)*(E3626=E$1:E3625)))))</f>
        <v> </v>
      </c>
      <c r="L3626" s="26"/>
    </row>
    <row r="3627" spans="1:12">
      <c r="A3627" s="20" t="s">
        <v>1616</v>
      </c>
      <c r="E3627" s="21">
        <f>IF(D3627="?OLD","!!!","")</f>
        <v/>
      </c>
      <c r="F3627" s="22" t="str">
        <f>IF(OR(E3627="",E3627="!!!"),"",IF(NOT(ISNA(VLOOKUP(E3627,E$1:E3626,1,FALSE()))),"OLD",IF(AND(E3627&lt;&gt;"",E3627&lt;&gt;"!!!"),"NEW","")))</f>
        <v> </v>
      </c>
      <c r="G3627" s="23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4" t="str">
        <f>IF(J3627&lt;&gt;1,"",IF(I3627="SBJ","CB","?"))</f>
        <v> </v>
      </c>
      <c r="I3627" s="25" t="str">
        <f>IF(OR(E3627="",E3627="!!!",F3627="NEW"),"",INDEX(B3626:B$2,-1+SUMPRODUCT(MAX(ROW(E3626:E$2)*(E3627=E3626:E$2)))))</f>
        <v> </v>
      </c>
      <c r="J3627" s="25" t="str">
        <f>IF(OR(E3627="",E3627="!!!",F3627="NEW"),"",COUNTBLANK(OFFSET(A$1,,,SUMPRODUCT(MAX(ROW(E$2:E3627)*(E3627=E$2:E3627)))))-COUNTBLANK(OFFSET(A$1,,,SUMPRODUCT(MAX(ROW(E$1:E3626)*(E2=E$1:E3626))))))</f>
        <v> </v>
      </c>
      <c r="K3627" s="25" t="str">
        <f>IF(OR(E3627="",E3627="!!!",F3627="NEW"),"",INDEX(J$1:J3626,SUMPRODUCT(MAX(ROW(E$1:E3626)*(E3627=E$1:E3626)))))</f>
        <v> </v>
      </c>
      <c r="L3627" s="26"/>
    </row>
    <row r="3628" spans="1:12">
      <c r="A3628" s="20" t="s">
        <v>2738</v>
      </c>
      <c r="E3628" s="21">
        <f>IF(D3628="?OLD","!!!","")</f>
        <v/>
      </c>
      <c r="F3628" s="22" t="str">
        <f>IF(OR(E3628="",E3628="!!!"),"",IF(NOT(ISNA(VLOOKUP(E3628,E$1:E3627,1,FALSE()))),"OLD",IF(AND(E3628&lt;&gt;"",E3628&lt;&gt;"!!!"),"NEW","")))</f>
        <v> </v>
      </c>
      <c r="G3628" s="23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4" t="str">
        <f>IF(J3628&lt;&gt;1,"",IF(I3628="SBJ","CB","?"))</f>
        <v> </v>
      </c>
      <c r="I3628" s="25" t="str">
        <f>IF(OR(E3628="",E3628="!!!",F3628="NEW"),"",INDEX(B3627:B$2,-1+SUMPRODUCT(MAX(ROW(E3627:E$2)*(E3628=E3627:E$2)))))</f>
        <v> </v>
      </c>
      <c r="J3628" s="25" t="str">
        <f>IF(OR(E3628="",E3628="!!!",F3628="NEW"),"",COUNTBLANK(OFFSET(A$1,,,SUMPRODUCT(MAX(ROW(E$2:E3628)*(E3628=E$2:E3628)))))-COUNTBLANK(OFFSET(A$1,,,SUMPRODUCT(MAX(ROW(E$1:E3627)*(E2=E$1:E3627))))))</f>
        <v> </v>
      </c>
      <c r="K3628" s="25" t="str">
        <f>IF(OR(E3628="",E3628="!!!",F3628="NEW"),"",INDEX(J$1:J3627,SUMPRODUCT(MAX(ROW(E$1:E3627)*(E3628=E$1:E3627)))))</f>
        <v> </v>
      </c>
      <c r="L3628" s="26"/>
    </row>
    <row r="3629" spans="1:12">
      <c r="A3629" s="20" t="s">
        <v>1123</v>
      </c>
      <c r="E3629" s="21">
        <f>IF(D3629="?OLD","!!!","")</f>
        <v/>
      </c>
      <c r="F3629" s="22" t="str">
        <f>IF(OR(E3629="",E3629="!!!"),"",IF(NOT(ISNA(VLOOKUP(E3629,E$1:E3628,1,FALSE()))),"OLD",IF(AND(E3629&lt;&gt;"",E3629&lt;&gt;"!!!"),"NEW","")))</f>
        <v> </v>
      </c>
      <c r="G3629" s="23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4" t="str">
        <f>IF(J3629&lt;&gt;1,"",IF(I3629="SBJ","CB","?"))</f>
        <v> </v>
      </c>
      <c r="I3629" s="25" t="str">
        <f>IF(OR(E3629="",E3629="!!!",F3629="NEW"),"",INDEX(B3628:B$2,-1+SUMPRODUCT(MAX(ROW(E3628:E$2)*(E3629=E3628:E$2)))))</f>
        <v> </v>
      </c>
      <c r="J3629" s="25" t="str">
        <f>IF(OR(E3629="",E3629="!!!",F3629="NEW"),"",COUNTBLANK(OFFSET(A$1,,,SUMPRODUCT(MAX(ROW(E$2:E3629)*(E3629=E$2:E3629)))))-COUNTBLANK(OFFSET(A$1,,,SUMPRODUCT(MAX(ROW(E$1:E3628)*(E2=E$1:E3628))))))</f>
        <v> </v>
      </c>
      <c r="K3629" s="25" t="str">
        <f>IF(OR(E3629="",E3629="!!!",F3629="NEW"),"",INDEX(J$1:J3628,SUMPRODUCT(MAX(ROW(E$1:E3628)*(E3629=E$1:E3628)))))</f>
        <v> </v>
      </c>
      <c r="L3629" s="26"/>
    </row>
    <row r="3630" spans="1:12">
      <c r="A3630" s="20" t="s">
        <v>2739</v>
      </c>
      <c r="E3630" s="21">
        <f>IF(D3630="?OLD","!!!","")</f>
        <v/>
      </c>
      <c r="F3630" s="22" t="str">
        <f>IF(OR(E3630="",E3630="!!!"),"",IF(NOT(ISNA(VLOOKUP(E3630,E$1:E3629,1,FALSE()))),"OLD",IF(AND(E3630&lt;&gt;"",E3630&lt;&gt;"!!!"),"NEW","")))</f>
        <v> </v>
      </c>
      <c r="G3630" s="23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4" t="str">
        <f>IF(J3630&lt;&gt;1,"",IF(I3630="SBJ","CB","?"))</f>
        <v> </v>
      </c>
      <c r="I3630" s="25" t="str">
        <f>IF(OR(E3630="",E3630="!!!",F3630="NEW"),"",INDEX(B3629:B$2,-1+SUMPRODUCT(MAX(ROW(E3629:E$2)*(E3630=E3629:E$2)))))</f>
        <v> </v>
      </c>
      <c r="J3630" s="25" t="str">
        <f>IF(OR(E3630="",E3630="!!!",F3630="NEW"),"",COUNTBLANK(OFFSET(A$1,,,SUMPRODUCT(MAX(ROW(E$2:E3630)*(E3630=E$2:E3630)))))-COUNTBLANK(OFFSET(A$1,,,SUMPRODUCT(MAX(ROW(E$1:E3629)*(E2=E$1:E3629))))))</f>
        <v> </v>
      </c>
      <c r="K3630" s="25" t="str">
        <f>IF(OR(E3630="",E3630="!!!",F3630="NEW"),"",INDEX(J$1:J3629,SUMPRODUCT(MAX(ROW(E$1:E3629)*(E3630=E$1:E3629)))))</f>
        <v> </v>
      </c>
      <c r="L3630" s="26"/>
    </row>
    <row r="3631" spans="1:12">
      <c r="A3631" s="20" t="s">
        <v>2740</v>
      </c>
      <c r="B3631" s="27" t="s">
        <v>1110</v>
      </c>
      <c r="C3631" s="27" t="s">
        <v>1156</v>
      </c>
      <c r="D3631" s="27" t="s">
        <v>1105</v>
      </c>
      <c r="E3631" s="21">
        <f>IF(D3631="?OLD","!!!","")</f>
        <v/>
      </c>
      <c r="F3631" s="22" t="str">
        <f>IF(OR(E3631="",E3631="!!!"),"",IF(NOT(ISNA(VLOOKUP(E3631,E$1:E3630,1,FALSE()))),"OLD",IF(AND(E3631&lt;&gt;"",E3631&lt;&gt;"!!!"),"NEW","")))</f>
        <v> </v>
      </c>
      <c r="G3631" s="23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4" t="str">
        <f>IF(J3631&lt;&gt;1,"",IF(I3631="SBJ","CB","?"))</f>
        <v> </v>
      </c>
      <c r="I3631" s="25" t="str">
        <f>IF(OR(E3631="",E3631="!!!",F3631="NEW"),"",INDEX(B3630:B$2,-1+SUMPRODUCT(MAX(ROW(E3630:E$2)*(E3631=E3630:E$2)))))</f>
        <v> </v>
      </c>
      <c r="J3631" s="25" t="str">
        <f>IF(OR(E3631="",E3631="!!!",F3631="NEW"),"",COUNTBLANK(OFFSET(A$1,,,SUMPRODUCT(MAX(ROW(E$2:E3631)*(E3631=E$2:E3631)))))-COUNTBLANK(OFFSET(A$1,,,SUMPRODUCT(MAX(ROW(E$1:E3630)*(E2=E$1:E3630))))))</f>
        <v> </v>
      </c>
      <c r="K3631" s="25" t="str">
        <f>IF(OR(E3631="",E3631="!!!",F3631="NEW"),"",INDEX(J$1:J3630,SUMPRODUCT(MAX(ROW(E$1:E3630)*(E3631=E$1:E3630)))))</f>
        <v> </v>
      </c>
      <c r="L3631" s="26"/>
    </row>
    <row r="3632" spans="1:12">
      <c r="A3632" s="20" t="s">
        <v>1123</v>
      </c>
      <c r="E3632" s="21">
        <f>IF(D3632="?OLD","!!!","")</f>
        <v/>
      </c>
      <c r="F3632" s="22" t="str">
        <f>IF(OR(E3632="",E3632="!!!"),"",IF(NOT(ISNA(VLOOKUP(E3632,E$1:E3631,1,FALSE()))),"OLD",IF(AND(E3632&lt;&gt;"",E3632&lt;&gt;"!!!"),"NEW","")))</f>
        <v> </v>
      </c>
      <c r="G3632" s="23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4" t="str">
        <f>IF(J3632&lt;&gt;1,"",IF(I3632="SBJ","CB","?"))</f>
        <v> </v>
      </c>
      <c r="I3632" s="25" t="str">
        <f>IF(OR(E3632="",E3632="!!!",F3632="NEW"),"",INDEX(B3631:B$2,-1+SUMPRODUCT(MAX(ROW(E3631:E$2)*(E3632=E3631:E$2)))))</f>
        <v> </v>
      </c>
      <c r="J3632" s="25" t="str">
        <f>IF(OR(E3632="",E3632="!!!",F3632="NEW"),"",COUNTBLANK(OFFSET(A$1,,,SUMPRODUCT(MAX(ROW(E$2:E3632)*(E3632=E$2:E3632)))))-COUNTBLANK(OFFSET(A$1,,,SUMPRODUCT(MAX(ROW(E$1:E3631)*(E2=E$1:E3631))))))</f>
        <v> </v>
      </c>
      <c r="K3632" s="25" t="str">
        <f>IF(OR(E3632="",E3632="!!!",F3632="NEW"),"",INDEX(J$1:J3631,SUMPRODUCT(MAX(ROW(E$1:E3631)*(E3632=E$1:E3631)))))</f>
        <v> </v>
      </c>
      <c r="L3632" s="26"/>
    </row>
    <row r="3633" spans="1:12">
      <c r="A3633" s="20" t="s">
        <v>2741</v>
      </c>
      <c r="B3633" s="27" t="s">
        <v>1870</v>
      </c>
      <c r="E3633" s="21">
        <f>IF(D3633="?OLD","!!!","")</f>
        <v/>
      </c>
      <c r="F3633" s="22" t="str">
        <f>IF(OR(E3633="",E3633="!!!"),"",IF(NOT(ISNA(VLOOKUP(E3633,E$1:E3632,1,FALSE()))),"OLD",IF(AND(E3633&lt;&gt;"",E3633&lt;&gt;"!!!"),"NEW","")))</f>
        <v> </v>
      </c>
      <c r="G3633" s="23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4" t="str">
        <f>IF(J3633&lt;&gt;1,"",IF(I3633="SBJ","CB","?"))</f>
        <v> </v>
      </c>
      <c r="I3633" s="25" t="str">
        <f>IF(OR(E3633="",E3633="!!!",F3633="NEW"),"",INDEX(B3632:B$2,-1+SUMPRODUCT(MAX(ROW(E3632:E$2)*(E3633=E3632:E$2)))))</f>
        <v> </v>
      </c>
      <c r="J3633" s="25" t="str">
        <f>IF(OR(E3633="",E3633="!!!",F3633="NEW"),"",COUNTBLANK(OFFSET(A$1,,,SUMPRODUCT(MAX(ROW(E$2:E3633)*(E3633=E$2:E3633)))))-COUNTBLANK(OFFSET(A$1,,,SUMPRODUCT(MAX(ROW(E$1:E3632)*(E2=E$1:E3632))))))</f>
        <v> </v>
      </c>
      <c r="K3633" s="25" t="str">
        <f>IF(OR(E3633="",E3633="!!!",F3633="NEW"),"",INDEX(J$1:J3632,SUMPRODUCT(MAX(ROW(E$1:E3632)*(E3633=E$1:E3632)))))</f>
        <v> </v>
      </c>
      <c r="L3633" s="26"/>
    </row>
    <row r="3634" spans="1:12">
      <c r="A3634" s="20" t="s">
        <v>2742</v>
      </c>
      <c r="E3634" s="21">
        <f>IF(D3634="?OLD","!!!","")</f>
        <v/>
      </c>
      <c r="F3634" s="22" t="str">
        <f>IF(OR(E3634="",E3634="!!!"),"",IF(NOT(ISNA(VLOOKUP(E3634,E$1:E3633,1,FALSE()))),"OLD",IF(AND(E3634&lt;&gt;"",E3634&lt;&gt;"!!!"),"NEW","")))</f>
        <v> </v>
      </c>
      <c r="G3634" s="23" t="str">
        <f>IF(OR(E3634="",E3634="!!!"),"",IF(OR(J3634=0,AND(J3634=1,K3634=1),AND(J3634=1,I3634="SBJ"),AND(J3634=1,I3634=0)),"?IN_FOCUS",IF(J3634&lt;=2,"?ACTIVATED",IF(J3634&lt;&gt;"","?FAMILIAR",IF(F3634="NEW",IF(ISNA(VLOOKUP(E3634,#REF!,1,FALSE())),"?TYPE_IDENTIFIABLE","?REFERENTIAL"),"_")))))</f>
        <v> </v>
      </c>
      <c r="H3634" s="24" t="str">
        <f>IF(J3634&lt;&gt;1,"",IF(I3634="SBJ","CB","?"))</f>
        <v> </v>
      </c>
      <c r="I3634" s="25" t="str">
        <f>IF(OR(E3634="",E3634="!!!",F3634="NEW"),"",INDEX(B3633:B$2,-1+SUMPRODUCT(MAX(ROW(E3633:E$2)*(E3634=E3633:E$2)))))</f>
        <v> </v>
      </c>
      <c r="J3634" s="25" t="str">
        <f>IF(OR(E3634="",E3634="!!!",F3634="NEW"),"",COUNTBLANK(OFFSET(A$1,,,SUMPRODUCT(MAX(ROW(E$2:E3634)*(E3634=E$2:E3634)))))-COUNTBLANK(OFFSET(A$1,,,SUMPRODUCT(MAX(ROW(E$1:E3633)*(E2=E$1:E3633))))))</f>
        <v> </v>
      </c>
      <c r="K3634" s="25" t="str">
        <f>IF(OR(E3634="",E3634="!!!",F3634="NEW"),"",INDEX(J$1:J3633,SUMPRODUCT(MAX(ROW(E$1:E3633)*(E3634=E$1:E3633)))))</f>
        <v> </v>
      </c>
      <c r="L3634" s="26"/>
    </row>
    <row r="3635" spans="1:12">
      <c r="A3635" s="20" t="s">
        <v>2635</v>
      </c>
      <c r="E3635" s="21">
        <f>IF(D3635="?OLD","!!!","")</f>
        <v/>
      </c>
      <c r="F3635" s="22" t="str">
        <f>IF(OR(E3635="",E3635="!!!"),"",IF(NOT(ISNA(VLOOKUP(E3635,E$1:E3634,1,FALSE()))),"OLD",IF(AND(E3635&lt;&gt;"",E3635&lt;&gt;"!!!"),"NEW","")))</f>
        <v> </v>
      </c>
      <c r="G3635" s="23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4" t="str">
        <f>IF(J3635&lt;&gt;1,"",IF(I3635="SBJ","CB","?"))</f>
        <v> </v>
      </c>
      <c r="I3635" s="25" t="str">
        <f>IF(OR(E3635="",E3635="!!!",F3635="NEW"),"",INDEX(B3634:B$2,-1+SUMPRODUCT(MAX(ROW(E3634:E$2)*(E3635=E3634:E$2)))))</f>
        <v> </v>
      </c>
      <c r="J3635" s="25" t="str">
        <f>IF(OR(E3635="",E3635="!!!",F3635="NEW"),"",COUNTBLANK(OFFSET(A$1,,,SUMPRODUCT(MAX(ROW(E$2:E3635)*(E3635=E$2:E3635)))))-COUNTBLANK(OFFSET(A$1,,,SUMPRODUCT(MAX(ROW(E$1:E3634)*(E2=E$1:E3634))))))</f>
        <v> </v>
      </c>
      <c r="K3635" s="25" t="str">
        <f>IF(OR(E3635="",E3635="!!!",F3635="NEW"),"",INDEX(J$1:J3634,SUMPRODUCT(MAX(ROW(E$1:E3634)*(E3635=E$1:E3634)))))</f>
        <v> </v>
      </c>
      <c r="L3635" s="26"/>
    </row>
    <row r="3636" spans="1:12">
      <c r="A3636" s="20" t="s">
        <v>1184</v>
      </c>
      <c r="E3636" s="21">
        <f>IF(D3636="?OLD","!!!","")</f>
        <v/>
      </c>
      <c r="F3636" s="22" t="str">
        <f>IF(OR(E3636="",E3636="!!!"),"",IF(NOT(ISNA(VLOOKUP(E3636,E$1:E3635,1,FALSE()))),"OLD",IF(AND(E3636&lt;&gt;"",E3636&lt;&gt;"!!!"),"NEW","")))</f>
        <v> </v>
      </c>
      <c r="G3636" s="23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4" t="str">
        <f>IF(J3636&lt;&gt;1,"",IF(I3636="SBJ","CB","?"))</f>
        <v> </v>
      </c>
      <c r="I3636" s="25" t="str">
        <f>IF(OR(E3636="",E3636="!!!",F3636="NEW"),"",INDEX(B3635:B$2,-1+SUMPRODUCT(MAX(ROW(E3635:E$2)*(E3636=E3635:E$2)))))</f>
        <v> </v>
      </c>
      <c r="J3636" s="25" t="str">
        <f>IF(OR(E3636="",E3636="!!!",F3636="NEW"),"",COUNTBLANK(OFFSET(A$1,,,SUMPRODUCT(MAX(ROW(E$2:E3636)*(E3636=E$2:E3636)))))-COUNTBLANK(OFFSET(A$1,,,SUMPRODUCT(MAX(ROW(E$1:E3635)*(E2=E$1:E3635))))))</f>
        <v> </v>
      </c>
      <c r="K3636" s="25" t="str">
        <f>IF(OR(E3636="",E3636="!!!",F3636="NEW"),"",INDEX(J$1:J3635,SUMPRODUCT(MAX(ROW(E$1:E3635)*(E3636=E$1:E3635)))))</f>
        <v> </v>
      </c>
      <c r="L3636" s="26"/>
    </row>
    <row r="3637" spans="1:12">
      <c r="A3637" s="20" t="s">
        <v>2743</v>
      </c>
      <c r="B3637" s="27" t="s">
        <v>1141</v>
      </c>
      <c r="C3637" s="27" t="s">
        <v>1108</v>
      </c>
      <c r="D3637" s="27" t="s">
        <v>1105</v>
      </c>
      <c r="E3637" s="21">
        <f>IF(D3637="?OLD","!!!","")</f>
        <v/>
      </c>
      <c r="F3637" s="22" t="str">
        <f>IF(OR(E3637="",E3637="!!!"),"",IF(NOT(ISNA(VLOOKUP(E3637,E$1:E3636,1,FALSE()))),"OLD",IF(AND(E3637&lt;&gt;"",E3637&lt;&gt;"!!!"),"NEW","")))</f>
        <v> </v>
      </c>
      <c r="G3637" s="23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4" t="str">
        <f>IF(J3637&lt;&gt;1,"",IF(I3637="SBJ","CB","?"))</f>
        <v> </v>
      </c>
      <c r="I3637" s="25" t="str">
        <f>IF(OR(E3637="",E3637="!!!",F3637="NEW"),"",INDEX(B3636:B$2,-1+SUMPRODUCT(MAX(ROW(E3636:E$2)*(E3637=E3636:E$2)))))</f>
        <v> </v>
      </c>
      <c r="J3637" s="25" t="str">
        <f>IF(OR(E3637="",E3637="!!!",F3637="NEW"),"",COUNTBLANK(OFFSET(A$1,,,SUMPRODUCT(MAX(ROW(E$2:E3637)*(E3637=E$2:E3637)))))-COUNTBLANK(OFFSET(A$1,,,SUMPRODUCT(MAX(ROW(E$1:E3636)*(E2=E$1:E3636))))))</f>
        <v> </v>
      </c>
      <c r="K3637" s="25" t="str">
        <f>IF(OR(E3637="",E3637="!!!",F3637="NEW"),"",INDEX(J$1:J3636,SUMPRODUCT(MAX(ROW(E$1:E3636)*(E3637=E$1:E3636)))))</f>
        <v> </v>
      </c>
      <c r="L3637" s="26"/>
    </row>
    <row r="3638" spans="1:12">
      <c r="A3638" s="20" t="s">
        <v>2744</v>
      </c>
      <c r="B3638" s="27" t="s">
        <v>1141</v>
      </c>
      <c r="C3638" s="27" t="s">
        <v>1104</v>
      </c>
      <c r="D3638" s="27" t="s">
        <v>1105</v>
      </c>
      <c r="E3638" s="21">
        <f>IF(D3638="?OLD","!!!","")</f>
        <v/>
      </c>
      <c r="F3638" s="22" t="str">
        <f>IF(OR(E3638="",E3638="!!!"),"",IF(NOT(ISNA(VLOOKUP(E3638,E$1:E3637,1,FALSE()))),"OLD",IF(AND(E3638&lt;&gt;"",E3638&lt;&gt;"!!!"),"NEW","")))</f>
        <v> </v>
      </c>
      <c r="G3638" s="23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4" t="str">
        <f>IF(J3638&lt;&gt;1,"",IF(I3638="SBJ","CB","?"))</f>
        <v> </v>
      </c>
      <c r="I3638" s="25" t="str">
        <f>IF(OR(E3638="",E3638="!!!",F3638="NEW"),"",INDEX(B3637:B$2,-1+SUMPRODUCT(MAX(ROW(E3637:E$2)*(E3638=E3637:E$2)))))</f>
        <v> </v>
      </c>
      <c r="J3638" s="25" t="str">
        <f>IF(OR(E3638="",E3638="!!!",F3638="NEW"),"",COUNTBLANK(OFFSET(A$1,,,SUMPRODUCT(MAX(ROW(E$2:E3638)*(E3638=E$2:E3638)))))-COUNTBLANK(OFFSET(A$1,,,SUMPRODUCT(MAX(ROW(E$1:E3637)*(E2=E$1:E3637))))))</f>
        <v> </v>
      </c>
      <c r="K3638" s="25" t="str">
        <f>IF(OR(E3638="",E3638="!!!",F3638="NEW"),"",INDEX(J$1:J3637,SUMPRODUCT(MAX(ROW(E$1:E3637)*(E3638=E$1:E3637)))))</f>
        <v> </v>
      </c>
      <c r="L3638" s="26"/>
    </row>
    <row r="3639" spans="1:12">
      <c r="A3639" s="20" t="s">
        <v>1154</v>
      </c>
      <c r="E3639" s="21">
        <f>IF(D3639="?OLD","!!!","")</f>
        <v/>
      </c>
      <c r="F3639" s="22" t="str">
        <f>IF(OR(E3639="",E3639="!!!"),"",IF(NOT(ISNA(VLOOKUP(E3639,E$1:E3638,1,FALSE()))),"OLD",IF(AND(E3639&lt;&gt;"",E3639&lt;&gt;"!!!"),"NEW","")))</f>
        <v> </v>
      </c>
      <c r="G3639" s="23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4" t="str">
        <f>IF(J3639&lt;&gt;1,"",IF(I3639="SBJ","CB","?"))</f>
        <v> </v>
      </c>
      <c r="I3639" s="25" t="str">
        <f>IF(OR(E3639="",E3639="!!!",F3639="NEW"),"",INDEX(B3638:B$2,-1+SUMPRODUCT(MAX(ROW(E3638:E$2)*(E3639=E3638:E$2)))))</f>
        <v> </v>
      </c>
      <c r="J3639" s="25" t="str">
        <f>IF(OR(E3639="",E3639="!!!",F3639="NEW"),"",COUNTBLANK(OFFSET(A$1,,,SUMPRODUCT(MAX(ROW(E$2:E3639)*(E3639=E$2:E3639)))))-COUNTBLANK(OFFSET(A$1,,,SUMPRODUCT(MAX(ROW(E$1:E3638)*(E2=E$1:E3638))))))</f>
        <v> </v>
      </c>
      <c r="K3639" s="25" t="str">
        <f>IF(OR(E3639="",E3639="!!!",F3639="NEW"),"",INDEX(J$1:J3638,SUMPRODUCT(MAX(ROW(E$1:E3638)*(E3639=E$1:E3638)))))</f>
        <v> </v>
      </c>
      <c r="L3639" s="26"/>
    </row>
    <row r="3640" spans="1:12">
      <c r="A3640" s="20" t="s">
        <v>2745</v>
      </c>
      <c r="E3640" s="21">
        <f>IF(D3640="?OLD","!!!","")</f>
        <v/>
      </c>
      <c r="F3640" s="22" t="str">
        <f>IF(OR(E3640="",E3640="!!!"),"",IF(NOT(ISNA(VLOOKUP(E3640,E$1:E3639,1,FALSE()))),"OLD",IF(AND(E3640&lt;&gt;"",E3640&lt;&gt;"!!!"),"NEW","")))</f>
        <v> </v>
      </c>
      <c r="G3640" s="23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4" t="str">
        <f>IF(J3640&lt;&gt;1,"",IF(I3640="SBJ","CB","?"))</f>
        <v> </v>
      </c>
      <c r="I3640" s="25" t="str">
        <f>IF(OR(E3640="",E3640="!!!",F3640="NEW"),"",INDEX(B3639:B$2,-1+SUMPRODUCT(MAX(ROW(E3639:E$2)*(E3640=E3639:E$2)))))</f>
        <v> </v>
      </c>
      <c r="J3640" s="25" t="str">
        <f>IF(OR(E3640="",E3640="!!!",F3640="NEW"),"",COUNTBLANK(OFFSET(A$1,,,SUMPRODUCT(MAX(ROW(E$2:E3640)*(E3640=E$2:E3640)))))-COUNTBLANK(OFFSET(A$1,,,SUMPRODUCT(MAX(ROW(E$1:E3639)*(E2=E$1:E3639))))))</f>
        <v> </v>
      </c>
      <c r="K3640" s="25" t="str">
        <f>IF(OR(E3640="",E3640="!!!",F3640="NEW"),"",INDEX(J$1:J3639,SUMPRODUCT(MAX(ROW(E$1:E3639)*(E3640=E$1:E3639)))))</f>
        <v> </v>
      </c>
      <c r="L3640" s="26"/>
    </row>
    <row r="3641" spans="1:12">
      <c r="A3641" s="20" t="s">
        <v>2746</v>
      </c>
      <c r="B3641" s="27" t="s">
        <v>1307</v>
      </c>
      <c r="C3641" s="27" t="s">
        <v>1156</v>
      </c>
      <c r="D3641" s="27" t="s">
        <v>1105</v>
      </c>
      <c r="E3641" s="21">
        <f>IF(D3641="?OLD","!!!","")</f>
        <v/>
      </c>
      <c r="F3641" s="22" t="str">
        <f>IF(OR(E3641="",E3641="!!!"),"",IF(NOT(ISNA(VLOOKUP(E3641,E$1:E3640,1,FALSE()))),"OLD",IF(AND(E3641&lt;&gt;"",E3641&lt;&gt;"!!!"),"NEW","")))</f>
        <v> </v>
      </c>
      <c r="G3641" s="23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4" t="str">
        <f>IF(J3641&lt;&gt;1,"",IF(I3641="SBJ","CB","?"))</f>
        <v> </v>
      </c>
      <c r="I3641" s="25" t="str">
        <f>IF(OR(E3641="",E3641="!!!",F3641="NEW"),"",INDEX(B3640:B$2,-1+SUMPRODUCT(MAX(ROW(E3640:E$2)*(E3641=E3640:E$2)))))</f>
        <v> </v>
      </c>
      <c r="J3641" s="25" t="str">
        <f>IF(OR(E3641="",E3641="!!!",F3641="NEW"),"",COUNTBLANK(OFFSET(A$1,,,SUMPRODUCT(MAX(ROW(E$2:E3641)*(E3641=E$2:E3641)))))-COUNTBLANK(OFFSET(A$1,,,SUMPRODUCT(MAX(ROW(E$1:E3640)*(E2=E$1:E3640))))))</f>
        <v> </v>
      </c>
      <c r="K3641" s="25" t="str">
        <f>IF(OR(E3641="",E3641="!!!",F3641="NEW"),"",INDEX(J$1:J3640,SUMPRODUCT(MAX(ROW(E$1:E3640)*(E3641=E$1:E3640)))))</f>
        <v> </v>
      </c>
      <c r="L3641" s="26"/>
    </row>
    <row r="3642" spans="1:12">
      <c r="A3642" s="20" t="s">
        <v>1145</v>
      </c>
      <c r="E3642" s="21">
        <f>IF(D3642="?OLD","!!!","")</f>
        <v/>
      </c>
      <c r="F3642" s="22" t="str">
        <f>IF(OR(E3642="",E3642="!!!"),"",IF(NOT(ISNA(VLOOKUP(E3642,E$1:E3641,1,FALSE()))),"OLD",IF(AND(E3642&lt;&gt;"",E3642&lt;&gt;"!!!"),"NEW","")))</f>
        <v> </v>
      </c>
      <c r="G3642" s="23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4" t="str">
        <f>IF(J3642&lt;&gt;1,"",IF(I3642="SBJ","CB","?"))</f>
        <v> </v>
      </c>
      <c r="I3642" s="25" t="str">
        <f>IF(OR(E3642="",E3642="!!!",F3642="NEW"),"",INDEX(B3641:B$2,-1+SUMPRODUCT(MAX(ROW(E3641:E$2)*(E3642=E3641:E$2)))))</f>
        <v> </v>
      </c>
      <c r="J3642" s="25" t="str">
        <f>IF(OR(E3642="",E3642="!!!",F3642="NEW"),"",COUNTBLANK(OFFSET(A$1,,,SUMPRODUCT(MAX(ROW(E$2:E3642)*(E3642=E$2:E3642)))))-COUNTBLANK(OFFSET(A$1,,,SUMPRODUCT(MAX(ROW(E$1:E3641)*(E2=E$1:E3641))))))</f>
        <v> </v>
      </c>
      <c r="K3642" s="25" t="str">
        <f>IF(OR(E3642="",E3642="!!!",F3642="NEW"),"",INDEX(J$1:J3641,SUMPRODUCT(MAX(ROW(E$1:E3641)*(E3642=E$1:E3641)))))</f>
        <v> </v>
      </c>
      <c r="L3642" s="26"/>
    </row>
    <row r="3643" spans="1:12">
      <c r="A3643" s="20"/>
    </row>
    <row r="3644" spans="1:12">
      <c r="A3644" s="20" t="s">
        <v>2747</v>
      </c>
    </row>
    <row r="3645" spans="1:12">
      <c r="A3645" s="20" t="s">
        <v>1368</v>
      </c>
      <c r="E3645" s="21">
        <f>IF(D3645="?OLD","!!!","")</f>
        <v/>
      </c>
      <c r="F3645" s="22" t="str">
        <f>IF(OR(E3645="",E3645="!!!"),"",IF(NOT(ISNA(VLOOKUP(E3645,E$1:E3644,1,FALSE()))),"OLD",IF(AND(E3645&lt;&gt;"",E3645&lt;&gt;"!!!"),"NEW","")))</f>
        <v> </v>
      </c>
      <c r="G3645" s="23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4" t="str">
        <f>IF(J3645&lt;&gt;1,"",IF(I3645="SBJ","CB","?"))</f>
        <v> </v>
      </c>
      <c r="I3645" s="25" t="str">
        <f>IF(OR(E3645="",E3645="!!!",F3645="NEW"),"",INDEX(B3644:B$2,-1+SUMPRODUCT(MAX(ROW(E3644:E$2)*(E3645=E3644:E$2)))))</f>
        <v> </v>
      </c>
      <c r="J3645" s="25" t="str">
        <f>IF(OR(E3645="",E3645="!!!",F3645="NEW"),"",COUNTBLANK(OFFSET(A$1,,,SUMPRODUCT(MAX(ROW(E$2:E3645)*(E3645=E$2:E3645)))))-COUNTBLANK(OFFSET(A$1,,,SUMPRODUCT(MAX(ROW(E$1:E3644)*(E2=E$1:E3644))))))</f>
        <v> </v>
      </c>
      <c r="K3645" s="25" t="str">
        <f>IF(OR(E3645="",E3645="!!!",F3645="NEW"),"",INDEX(J$1:J3644,SUMPRODUCT(MAX(ROW(E$1:E3644)*(E3645=E$1:E3644)))))</f>
        <v> </v>
      </c>
      <c r="L3645" s="26"/>
    </row>
    <row r="3646" spans="1:12">
      <c r="A3646" s="20" t="s">
        <v>1369</v>
      </c>
      <c r="E3646" s="21">
        <f>IF(D3646="?OLD","!!!","")</f>
        <v/>
      </c>
      <c r="F3646" s="22" t="str">
        <f>IF(OR(E3646="",E3646="!!!"),"",IF(NOT(ISNA(VLOOKUP(E3646,E$1:E3645,1,FALSE()))),"OLD",IF(AND(E3646&lt;&gt;"",E3646&lt;&gt;"!!!"),"NEW","")))</f>
        <v> </v>
      </c>
      <c r="G3646" s="23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4" t="str">
        <f>IF(J3646&lt;&gt;1,"",IF(I3646="SBJ","CB","?"))</f>
        <v> </v>
      </c>
      <c r="I3646" s="25" t="str">
        <f>IF(OR(E3646="",E3646="!!!",F3646="NEW"),"",INDEX(B3645:B$2,-1+SUMPRODUCT(MAX(ROW(E3645:E$2)*(E3646=E3645:E$2)))))</f>
        <v> </v>
      </c>
      <c r="J3646" s="25" t="str">
        <f>IF(OR(E3646="",E3646="!!!",F3646="NEW"),"",COUNTBLANK(OFFSET(A$1,,,SUMPRODUCT(MAX(ROW(E$2:E3646)*(E3646=E$2:E3646)))))-COUNTBLANK(OFFSET(A$1,,,SUMPRODUCT(MAX(ROW(E$1:E3645)*(E2=E$1:E3645))))))</f>
        <v> </v>
      </c>
      <c r="K3646" s="25" t="str">
        <f>IF(OR(E3646="",E3646="!!!",F3646="NEW"),"",INDEX(J$1:J3645,SUMPRODUCT(MAX(ROW(E$1:E3645)*(E3646=E$1:E3645)))))</f>
        <v> </v>
      </c>
      <c r="L3646" s="26"/>
    </row>
    <row r="3647" spans="1:12">
      <c r="A3647" s="20" t="s">
        <v>2748</v>
      </c>
      <c r="B3647" s="27" t="s">
        <v>1107</v>
      </c>
      <c r="C3647" s="27" t="s">
        <v>1142</v>
      </c>
      <c r="D3647" s="27" t="s">
        <v>1105</v>
      </c>
      <c r="E3647" s="21">
        <f>IF(D3647="?OLD","!!!","")</f>
        <v/>
      </c>
      <c r="F3647" s="22" t="str">
        <f>IF(OR(E3647="",E3647="!!!"),"",IF(NOT(ISNA(VLOOKUP(E3647,E$1:E3646,1,FALSE()))),"OLD",IF(AND(E3647&lt;&gt;"",E3647&lt;&gt;"!!!"),"NEW","")))</f>
        <v> </v>
      </c>
      <c r="G3647" s="23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4" t="str">
        <f>IF(J3647&lt;&gt;1,"",IF(I3647="SBJ","CB","?"))</f>
        <v> </v>
      </c>
      <c r="I3647" s="25" t="str">
        <f>IF(OR(E3647="",E3647="!!!",F3647="NEW"),"",INDEX(B3646:B$2,-1+SUMPRODUCT(MAX(ROW(E3646:E$2)*(E3647=E3646:E$2)))))</f>
        <v> </v>
      </c>
      <c r="J3647" s="25" t="str">
        <f>IF(OR(E3647="",E3647="!!!",F3647="NEW"),"",COUNTBLANK(OFFSET(A$1,,,SUMPRODUCT(MAX(ROW(E$2:E3647)*(E3647=E$2:E3647)))))-COUNTBLANK(OFFSET(A$1,,,SUMPRODUCT(MAX(ROW(E$1:E3646)*(E2=E$1:E3646))))))</f>
        <v> </v>
      </c>
      <c r="K3647" s="25" t="str">
        <f>IF(OR(E3647="",E3647="!!!",F3647="NEW"),"",INDEX(J$1:J3646,SUMPRODUCT(MAX(ROW(E$1:E3646)*(E3647=E$1:E3646)))))</f>
        <v> </v>
      </c>
      <c r="L3647" s="26"/>
    </row>
    <row r="3648" spans="1:12">
      <c r="A3648" s="20" t="s">
        <v>2450</v>
      </c>
      <c r="E3648" s="21">
        <f>IF(D3648="?OLD","!!!","")</f>
        <v/>
      </c>
      <c r="F3648" s="22" t="str">
        <f>IF(OR(E3648="",E3648="!!!"),"",IF(NOT(ISNA(VLOOKUP(E3648,E$1:E3647,1,FALSE()))),"OLD",IF(AND(E3648&lt;&gt;"",E3648&lt;&gt;"!!!"),"NEW","")))</f>
        <v> </v>
      </c>
      <c r="G3648" s="23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4" t="str">
        <f>IF(J3648&lt;&gt;1,"",IF(I3648="SBJ","CB","?"))</f>
        <v> </v>
      </c>
      <c r="I3648" s="25" t="str">
        <f>IF(OR(E3648="",E3648="!!!",F3648="NEW"),"",INDEX(B3647:B$2,-1+SUMPRODUCT(MAX(ROW(E3647:E$2)*(E3648=E3647:E$2)))))</f>
        <v> </v>
      </c>
      <c r="J3648" s="25" t="str">
        <f>IF(OR(E3648="",E3648="!!!",F3648="NEW"),"",COUNTBLANK(OFFSET(A$1,,,SUMPRODUCT(MAX(ROW(E$2:E3648)*(E3648=E$2:E3648)))))-COUNTBLANK(OFFSET(A$1,,,SUMPRODUCT(MAX(ROW(E$1:E3647)*(E2=E$1:E3647))))))</f>
        <v> </v>
      </c>
      <c r="K3648" s="25" t="str">
        <f>IF(OR(E3648="",E3648="!!!",F3648="NEW"),"",INDEX(J$1:J3647,SUMPRODUCT(MAX(ROW(E$1:E3647)*(E3648=E$1:E3647)))))</f>
        <v> </v>
      </c>
      <c r="L3648" s="26"/>
    </row>
    <row r="3649" spans="1:12">
      <c r="A3649" s="20" t="s">
        <v>2749</v>
      </c>
      <c r="B3649" s="27" t="s">
        <v>1149</v>
      </c>
      <c r="E3649" s="21">
        <f>IF(D3649="?OLD","!!!","")</f>
        <v/>
      </c>
      <c r="F3649" s="22" t="str">
        <f>IF(OR(E3649="",E3649="!!!"),"",IF(NOT(ISNA(VLOOKUP(E3649,E$1:E3648,1,FALSE()))),"OLD",IF(AND(E3649&lt;&gt;"",E3649&lt;&gt;"!!!"),"NEW","")))</f>
        <v> </v>
      </c>
      <c r="G3649" s="23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4" t="str">
        <f>IF(J3649&lt;&gt;1,"",IF(I3649="SBJ","CB","?"))</f>
        <v> </v>
      </c>
      <c r="I3649" s="25" t="str">
        <f>IF(OR(E3649="",E3649="!!!",F3649="NEW"),"",INDEX(B3648:B$2,-1+SUMPRODUCT(MAX(ROW(E3648:E$2)*(E3649=E3648:E$2)))))</f>
        <v> </v>
      </c>
      <c r="J3649" s="25" t="str">
        <f>IF(OR(E3649="",E3649="!!!",F3649="NEW"),"",COUNTBLANK(OFFSET(A$1,,,SUMPRODUCT(MAX(ROW(E$2:E3649)*(E3649=E$2:E3649)))))-COUNTBLANK(OFFSET(A$1,,,SUMPRODUCT(MAX(ROW(E$1:E3648)*(E2=E$1:E3648))))))</f>
        <v> </v>
      </c>
      <c r="K3649" s="25" t="str">
        <f>IF(OR(E3649="",E3649="!!!",F3649="NEW"),"",INDEX(J$1:J3648,SUMPRODUCT(MAX(ROW(E$1:E3648)*(E3649=E$1:E3648)))))</f>
        <v> </v>
      </c>
      <c r="L3649" s="26"/>
    </row>
    <row r="3650" spans="1:12">
      <c r="A3650" s="20" t="s">
        <v>1919</v>
      </c>
      <c r="E3650" s="21">
        <f>IF(D3650="?OLD","!!!","")</f>
        <v/>
      </c>
      <c r="F3650" s="22" t="str">
        <f>IF(OR(E3650="",E3650="!!!"),"",IF(NOT(ISNA(VLOOKUP(E3650,E$1:E3649,1,FALSE()))),"OLD",IF(AND(E3650&lt;&gt;"",E3650&lt;&gt;"!!!"),"NEW","")))</f>
        <v> </v>
      </c>
      <c r="G3650" s="23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4" t="str">
        <f>IF(J3650&lt;&gt;1,"",IF(I3650="SBJ","CB","?"))</f>
        <v> </v>
      </c>
      <c r="I3650" s="25" t="str">
        <f>IF(OR(E3650="",E3650="!!!",F3650="NEW"),"",INDEX(B3649:B$2,-1+SUMPRODUCT(MAX(ROW(E3649:E$2)*(E3650=E3649:E$2)))))</f>
        <v> </v>
      </c>
      <c r="J3650" s="25" t="str">
        <f>IF(OR(E3650="",E3650="!!!",F3650="NEW"),"",COUNTBLANK(OFFSET(A$1,,,SUMPRODUCT(MAX(ROW(E$2:E3650)*(E3650=E$2:E3650)))))-COUNTBLANK(OFFSET(A$1,,,SUMPRODUCT(MAX(ROW(E$1:E3649)*(E2=E$1:E3649))))))</f>
        <v> </v>
      </c>
      <c r="K3650" s="25" t="str">
        <f>IF(OR(E3650="",E3650="!!!",F3650="NEW"),"",INDEX(J$1:J3649,SUMPRODUCT(MAX(ROW(E$1:E3649)*(E3650=E$1:E3649)))))</f>
        <v> </v>
      </c>
      <c r="L3650" s="26"/>
    </row>
    <row r="3651" spans="1:12">
      <c r="A3651" s="20" t="s">
        <v>2750</v>
      </c>
      <c r="E3651" s="21">
        <f>IF(D3651="?OLD","!!!","")</f>
        <v/>
      </c>
      <c r="F3651" s="22" t="str">
        <f>IF(OR(E3651="",E3651="!!!"),"",IF(NOT(ISNA(VLOOKUP(E3651,E$1:E3650,1,FALSE()))),"OLD",IF(AND(E3651&lt;&gt;"",E3651&lt;&gt;"!!!"),"NEW","")))</f>
        <v> </v>
      </c>
      <c r="G3651" s="23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4" t="str">
        <f>IF(J3651&lt;&gt;1,"",IF(I3651="SBJ","CB","?"))</f>
        <v> </v>
      </c>
      <c r="I3651" s="25" t="str">
        <f>IF(OR(E3651="",E3651="!!!",F3651="NEW"),"",INDEX(B3650:B$2,-1+SUMPRODUCT(MAX(ROW(E3650:E$2)*(E3651=E3650:E$2)))))</f>
        <v> </v>
      </c>
      <c r="J3651" s="25" t="str">
        <f>IF(OR(E3651="",E3651="!!!",F3651="NEW"),"",COUNTBLANK(OFFSET(A$1,,,SUMPRODUCT(MAX(ROW(E$2:E3651)*(E3651=E$2:E3651)))))-COUNTBLANK(OFFSET(A$1,,,SUMPRODUCT(MAX(ROW(E$1:E3650)*(E2=E$1:E3650))))))</f>
        <v> </v>
      </c>
      <c r="K3651" s="25" t="str">
        <f>IF(OR(E3651="",E3651="!!!",F3651="NEW"),"",INDEX(J$1:J3650,SUMPRODUCT(MAX(ROW(E$1:E3650)*(E3651=E$1:E3650)))))</f>
        <v> </v>
      </c>
      <c r="L3651" s="26"/>
    </row>
    <row r="3652" spans="1:12">
      <c r="A3652" s="20" t="s">
        <v>1271</v>
      </c>
      <c r="E3652" s="21">
        <f>IF(D3652="?OLD","!!!","")</f>
        <v/>
      </c>
      <c r="F3652" s="22" t="str">
        <f>IF(OR(E3652="",E3652="!!!"),"",IF(NOT(ISNA(VLOOKUP(E3652,E$1:E3651,1,FALSE()))),"OLD",IF(AND(E3652&lt;&gt;"",E3652&lt;&gt;"!!!"),"NEW","")))</f>
        <v> </v>
      </c>
      <c r="G3652" s="23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4" t="str">
        <f>IF(J3652&lt;&gt;1,"",IF(I3652="SBJ","CB","?"))</f>
        <v> </v>
      </c>
      <c r="I3652" s="25" t="str">
        <f>IF(OR(E3652="",E3652="!!!",F3652="NEW"),"",INDEX(B3651:B$2,-1+SUMPRODUCT(MAX(ROW(E3651:E$2)*(E3652=E3651:E$2)))))</f>
        <v> </v>
      </c>
      <c r="J3652" s="25" t="str">
        <f>IF(OR(E3652="",E3652="!!!",F3652="NEW"),"",COUNTBLANK(OFFSET(A$1,,,SUMPRODUCT(MAX(ROW(E$2:E3652)*(E3652=E$2:E3652)))))-COUNTBLANK(OFFSET(A$1,,,SUMPRODUCT(MAX(ROW(E$1:E3651)*(E2=E$1:E3651))))))</f>
        <v> </v>
      </c>
      <c r="K3652" s="25" t="str">
        <f>IF(OR(E3652="",E3652="!!!",F3652="NEW"),"",INDEX(J$1:J3651,SUMPRODUCT(MAX(ROW(E$1:E3651)*(E3652=E$1:E3651)))))</f>
        <v> </v>
      </c>
      <c r="L3652" s="26"/>
    </row>
    <row r="3653" spans="1:12">
      <c r="A3653" s="20" t="s">
        <v>2751</v>
      </c>
      <c r="E3653" s="21">
        <f>IF(D3653="?OLD","!!!","")</f>
        <v/>
      </c>
      <c r="F3653" s="22" t="str">
        <f>IF(OR(E3653="",E3653="!!!"),"",IF(NOT(ISNA(VLOOKUP(E3653,E$1:E3652,1,FALSE()))),"OLD",IF(AND(E3653&lt;&gt;"",E3653&lt;&gt;"!!!"),"NEW","")))</f>
        <v> </v>
      </c>
      <c r="G3653" s="23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4" t="str">
        <f>IF(J3653&lt;&gt;1,"",IF(I3653="SBJ","CB","?"))</f>
        <v> </v>
      </c>
      <c r="I3653" s="25" t="str">
        <f>IF(OR(E3653="",E3653="!!!",F3653="NEW"),"",INDEX(B3652:B$2,-1+SUMPRODUCT(MAX(ROW(E3652:E$2)*(E3653=E3652:E$2)))))</f>
        <v> </v>
      </c>
      <c r="J3653" s="25" t="str">
        <f>IF(OR(E3653="",E3653="!!!",F3653="NEW"),"",COUNTBLANK(OFFSET(A$1,,,SUMPRODUCT(MAX(ROW(E$2:E3653)*(E3653=E$2:E3653)))))-COUNTBLANK(OFFSET(A$1,,,SUMPRODUCT(MAX(ROW(E$1:E3652)*(E2=E$1:E3652))))))</f>
        <v> </v>
      </c>
      <c r="K3653" s="25" t="str">
        <f>IF(OR(E3653="",E3653="!!!",F3653="NEW"),"",INDEX(J$1:J3652,SUMPRODUCT(MAX(ROW(E$1:E3652)*(E3653=E$1:E3652)))))</f>
        <v> </v>
      </c>
      <c r="L3653" s="26"/>
    </row>
    <row r="3654" spans="1:12">
      <c r="A3654" s="20" t="s">
        <v>1145</v>
      </c>
      <c r="E3654" s="21">
        <f>IF(D3654="?OLD","!!!","")</f>
        <v/>
      </c>
      <c r="F3654" s="22" t="str">
        <f>IF(OR(E3654="",E3654="!!!"),"",IF(NOT(ISNA(VLOOKUP(E3654,E$1:E3653,1,FALSE()))),"OLD",IF(AND(E3654&lt;&gt;"",E3654&lt;&gt;"!!!"),"NEW","")))</f>
        <v> </v>
      </c>
      <c r="G3654" s="23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4" t="str">
        <f>IF(J3654&lt;&gt;1,"",IF(I3654="SBJ","CB","?"))</f>
        <v> </v>
      </c>
      <c r="I3654" s="25" t="str">
        <f>IF(OR(E3654="",E3654="!!!",F3654="NEW"),"",INDEX(B3653:B$2,-1+SUMPRODUCT(MAX(ROW(E3653:E$2)*(E3654=E3653:E$2)))))</f>
        <v> </v>
      </c>
      <c r="J3654" s="25" t="str">
        <f>IF(OR(E3654="",E3654="!!!",F3654="NEW"),"",COUNTBLANK(OFFSET(A$1,,,SUMPRODUCT(MAX(ROW(E$2:E3654)*(E3654=E$2:E3654)))))-COUNTBLANK(OFFSET(A$1,,,SUMPRODUCT(MAX(ROW(E$1:E3653)*(E2=E$1:E3653))))))</f>
        <v> </v>
      </c>
      <c r="K3654" s="25" t="str">
        <f>IF(OR(E3654="",E3654="!!!",F3654="NEW"),"",INDEX(J$1:J3653,SUMPRODUCT(MAX(ROW(E$1:E3653)*(E3654=E$1:E3653)))))</f>
        <v> </v>
      </c>
      <c r="L3654" s="26"/>
    </row>
    <row r="3655" spans="1:12">
      <c r="A3655" s="20"/>
    </row>
    <row r="3656" spans="1:12">
      <c r="A3656" s="20" t="s">
        <v>2752</v>
      </c>
    </row>
    <row r="3657" spans="1:12">
      <c r="A3657" s="20" t="s">
        <v>2753</v>
      </c>
      <c r="E3657" s="21">
        <f>IF(D3657="?OLD","!!!","")</f>
        <v/>
      </c>
      <c r="F3657" s="22" t="str">
        <f>IF(OR(E3657="",E3657="!!!"),"",IF(NOT(ISNA(VLOOKUP(E3657,E$1:E3656,1,FALSE()))),"OLD",IF(AND(E3657&lt;&gt;"",E3657&lt;&gt;"!!!"),"NEW","")))</f>
        <v> </v>
      </c>
      <c r="G3657" s="23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4" t="str">
        <f>IF(J3657&lt;&gt;1,"",IF(I3657="SBJ","CB","?"))</f>
        <v> </v>
      </c>
      <c r="I3657" s="25" t="str">
        <f>IF(OR(E3657="",E3657="!!!",F3657="NEW"),"",INDEX(B3656:B$2,-1+SUMPRODUCT(MAX(ROW(E3656:E$2)*(E3657=E3656:E$2)))))</f>
        <v> </v>
      </c>
      <c r="J3657" s="25" t="str">
        <f>IF(OR(E3657="",E3657="!!!",F3657="NEW"),"",COUNTBLANK(OFFSET(A$1,,,SUMPRODUCT(MAX(ROW(E$2:E3657)*(E3657=E$2:E3657)))))-COUNTBLANK(OFFSET(A$1,,,SUMPRODUCT(MAX(ROW(E$1:E3656)*(E2=E$1:E3656))))))</f>
        <v> </v>
      </c>
      <c r="K3657" s="25" t="str">
        <f>IF(OR(E3657="",E3657="!!!",F3657="NEW"),"",INDEX(J$1:J3656,SUMPRODUCT(MAX(ROW(E$1:E3656)*(E3657=E$1:E3656)))))</f>
        <v> </v>
      </c>
      <c r="L3657" s="26"/>
    </row>
    <row r="3658" spans="1:12">
      <c r="A3658" s="20" t="s">
        <v>1186</v>
      </c>
      <c r="B3658" s="27" t="s">
        <v>1243</v>
      </c>
      <c r="C3658" s="27" t="s">
        <v>1126</v>
      </c>
      <c r="D3658" s="27" t="s">
        <v>1105</v>
      </c>
      <c r="E3658" s="21">
        <f>IF(D3658="?OLD","!!!","")</f>
        <v/>
      </c>
      <c r="F3658" s="22" t="str">
        <f>IF(OR(E3658="",E3658="!!!"),"",IF(NOT(ISNA(VLOOKUP(E3658,E$1:E3657,1,FALSE()))),"OLD",IF(AND(E3658&lt;&gt;"",E3658&lt;&gt;"!!!"),"NEW","")))</f>
        <v> </v>
      </c>
      <c r="G3658" s="23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4" t="str">
        <f>IF(J3658&lt;&gt;1,"",IF(I3658="SBJ","CB","?"))</f>
        <v> </v>
      </c>
      <c r="I3658" s="25" t="str">
        <f>IF(OR(E3658="",E3658="!!!",F3658="NEW"),"",INDEX(B3657:B$2,-1+SUMPRODUCT(MAX(ROW(E3657:E$2)*(E3658=E3657:E$2)))))</f>
        <v> </v>
      </c>
      <c r="J3658" s="25" t="str">
        <f>IF(OR(E3658="",E3658="!!!",F3658="NEW"),"",COUNTBLANK(OFFSET(A$1,,,SUMPRODUCT(MAX(ROW(E$2:E3658)*(E3658=E$2:E3658)))))-COUNTBLANK(OFFSET(A$1,,,SUMPRODUCT(MAX(ROW(E$1:E3657)*(E2=E$1:E3657))))))</f>
        <v> </v>
      </c>
      <c r="K3658" s="25" t="str">
        <f>IF(OR(E3658="",E3658="!!!",F3658="NEW"),"",INDEX(J$1:J3657,SUMPRODUCT(MAX(ROW(E$1:E3657)*(E3658=E$1:E3657)))))</f>
        <v> </v>
      </c>
      <c r="L3658" s="26"/>
    </row>
    <row r="3659" spans="1:12">
      <c r="A3659" s="20" t="s">
        <v>1123</v>
      </c>
      <c r="E3659" s="21">
        <f>IF(D3659="?OLD","!!!","")</f>
        <v/>
      </c>
      <c r="F3659" s="22" t="str">
        <f>IF(OR(E3659="",E3659="!!!"),"",IF(NOT(ISNA(VLOOKUP(E3659,E$1:E3658,1,FALSE()))),"OLD",IF(AND(E3659&lt;&gt;"",E3659&lt;&gt;"!!!"),"NEW","")))</f>
        <v> </v>
      </c>
      <c r="G3659" s="23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4" t="str">
        <f>IF(J3659&lt;&gt;1,"",IF(I3659="SBJ","CB","?"))</f>
        <v> </v>
      </c>
      <c r="I3659" s="25" t="str">
        <f>IF(OR(E3659="",E3659="!!!",F3659="NEW"),"",INDEX(B3658:B$2,-1+SUMPRODUCT(MAX(ROW(E3658:E$2)*(E3659=E3658:E$2)))))</f>
        <v> </v>
      </c>
      <c r="J3659" s="25" t="str">
        <f>IF(OR(E3659="",E3659="!!!",F3659="NEW"),"",COUNTBLANK(OFFSET(A$1,,,SUMPRODUCT(MAX(ROW(E$2:E3659)*(E3659=E$2:E3659)))))-COUNTBLANK(OFFSET(A$1,,,SUMPRODUCT(MAX(ROW(E$1:E3658)*(E2=E$1:E3658))))))</f>
        <v> </v>
      </c>
      <c r="K3659" s="25" t="str">
        <f>IF(OR(E3659="",E3659="!!!",F3659="NEW"),"",INDEX(J$1:J3658,SUMPRODUCT(MAX(ROW(E$1:E3658)*(E3659=E$1:E3658)))))</f>
        <v> </v>
      </c>
      <c r="L3659" s="26"/>
    </row>
    <row r="3660" spans="1:12">
      <c r="A3660" s="20" t="s">
        <v>1228</v>
      </c>
      <c r="B3660" s="27" t="s">
        <v>1149</v>
      </c>
      <c r="C3660" s="27" t="s">
        <v>1126</v>
      </c>
      <c r="D3660" s="27" t="s">
        <v>1105</v>
      </c>
      <c r="E3660" s="21">
        <f>IF(D3660="?OLD","!!!","")</f>
        <v/>
      </c>
      <c r="F3660" s="22" t="str">
        <f>IF(OR(E3660="",E3660="!!!"),"",IF(NOT(ISNA(VLOOKUP(E3660,E$1:E3659,1,FALSE()))),"OLD",IF(AND(E3660&lt;&gt;"",E3660&lt;&gt;"!!!"),"NEW","")))</f>
        <v> </v>
      </c>
      <c r="G3660" s="23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4" t="str">
        <f>IF(J3660&lt;&gt;1,"",IF(I3660="SBJ","CB","?"))</f>
        <v> </v>
      </c>
      <c r="I3660" s="25" t="str">
        <f>IF(OR(E3660="",E3660="!!!",F3660="NEW"),"",INDEX(B3659:B$2,-1+SUMPRODUCT(MAX(ROW(E3659:E$2)*(E3660=E3659:E$2)))))</f>
        <v> </v>
      </c>
      <c r="J3660" s="25" t="str">
        <f>IF(OR(E3660="",E3660="!!!",F3660="NEW"),"",COUNTBLANK(OFFSET(A$1,,,SUMPRODUCT(MAX(ROW(E$2:E3660)*(E3660=E$2:E3660)))))-COUNTBLANK(OFFSET(A$1,,,SUMPRODUCT(MAX(ROW(E$1:E3659)*(E2=E$1:E3659))))))</f>
        <v> </v>
      </c>
      <c r="K3660" s="25" t="str">
        <f>IF(OR(E3660="",E3660="!!!",F3660="NEW"),"",INDEX(J$1:J3659,SUMPRODUCT(MAX(ROW(E$1:E3659)*(E3660=E$1:E3659)))))</f>
        <v> </v>
      </c>
      <c r="L3660" s="26"/>
    </row>
    <row r="3661" spans="1:12">
      <c r="A3661" s="20" t="s">
        <v>2754</v>
      </c>
      <c r="E3661" s="21">
        <f>IF(D3661="?OLD","!!!","")</f>
        <v/>
      </c>
      <c r="F3661" s="22" t="str">
        <f>IF(OR(E3661="",E3661="!!!"),"",IF(NOT(ISNA(VLOOKUP(E3661,E$1:E3660,1,FALSE()))),"OLD",IF(AND(E3661&lt;&gt;"",E3661&lt;&gt;"!!!"),"NEW","")))</f>
        <v> </v>
      </c>
      <c r="G3661" s="23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4" t="str">
        <f>IF(J3661&lt;&gt;1,"",IF(I3661="SBJ","CB","?"))</f>
        <v> </v>
      </c>
      <c r="I3661" s="25" t="str">
        <f>IF(OR(E3661="",E3661="!!!",F3661="NEW"),"",INDEX(B3660:B$2,-1+SUMPRODUCT(MAX(ROW(E3660:E$2)*(E3661=E3660:E$2)))))</f>
        <v> </v>
      </c>
      <c r="J3661" s="25" t="str">
        <f>IF(OR(E3661="",E3661="!!!",F3661="NEW"),"",COUNTBLANK(OFFSET(A$1,,,SUMPRODUCT(MAX(ROW(E$2:E3661)*(E3661=E$2:E3661)))))-COUNTBLANK(OFFSET(A$1,,,SUMPRODUCT(MAX(ROW(E$1:E3660)*(E2=E$1:E3660))))))</f>
        <v> </v>
      </c>
      <c r="K3661" s="25" t="str">
        <f>IF(OR(E3661="",E3661="!!!",F3661="NEW"),"",INDEX(J$1:J3660,SUMPRODUCT(MAX(ROW(E$1:E3660)*(E3661=E$1:E3660)))))</f>
        <v> </v>
      </c>
      <c r="L3661" s="26"/>
    </row>
    <row r="3662" spans="1:12">
      <c r="A3662" s="20" t="s">
        <v>1123</v>
      </c>
      <c r="E3662" s="21">
        <f>IF(D3662="?OLD","!!!","")</f>
        <v/>
      </c>
      <c r="F3662" s="22" t="str">
        <f>IF(OR(E3662="",E3662="!!!"),"",IF(NOT(ISNA(VLOOKUP(E3662,E$1:E3661,1,FALSE()))),"OLD",IF(AND(E3662&lt;&gt;"",E3662&lt;&gt;"!!!"),"NEW","")))</f>
        <v> </v>
      </c>
      <c r="G3662" s="23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4" t="str">
        <f>IF(J3662&lt;&gt;1,"",IF(I3662="SBJ","CB","?"))</f>
        <v> </v>
      </c>
      <c r="I3662" s="25" t="str">
        <f>IF(OR(E3662="",E3662="!!!",F3662="NEW"),"",INDEX(B3661:B$2,-1+SUMPRODUCT(MAX(ROW(E3661:E$2)*(E3662=E3661:E$2)))))</f>
        <v> </v>
      </c>
      <c r="J3662" s="25" t="str">
        <f>IF(OR(E3662="",E3662="!!!",F3662="NEW"),"",COUNTBLANK(OFFSET(A$1,,,SUMPRODUCT(MAX(ROW(E$2:E3662)*(E3662=E$2:E3662)))))-COUNTBLANK(OFFSET(A$1,,,SUMPRODUCT(MAX(ROW(E$1:E3661)*(E2=E$1:E3661))))))</f>
        <v> </v>
      </c>
      <c r="K3662" s="25" t="str">
        <f>IF(OR(E3662="",E3662="!!!",F3662="NEW"),"",INDEX(J$1:J3661,SUMPRODUCT(MAX(ROW(E$1:E3661)*(E3662=E$1:E3661)))))</f>
        <v> </v>
      </c>
      <c r="L3662" s="26"/>
    </row>
    <row r="3663" spans="1:12">
      <c r="A3663" s="20" t="s">
        <v>2265</v>
      </c>
      <c r="E3663" s="21">
        <f>IF(D3663="?OLD","!!!","")</f>
        <v/>
      </c>
      <c r="F3663" s="22" t="str">
        <f>IF(OR(E3663="",E3663="!!!"),"",IF(NOT(ISNA(VLOOKUP(E3663,E$1:E3662,1,FALSE()))),"OLD",IF(AND(E3663&lt;&gt;"",E3663&lt;&gt;"!!!"),"NEW","")))</f>
        <v> </v>
      </c>
      <c r="G3663" s="23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4" t="str">
        <f>IF(J3663&lt;&gt;1,"",IF(I3663="SBJ","CB","?"))</f>
        <v> </v>
      </c>
      <c r="I3663" s="25" t="str">
        <f>IF(OR(E3663="",E3663="!!!",F3663="NEW"),"",INDEX(B3662:B$2,-1+SUMPRODUCT(MAX(ROW(E3662:E$2)*(E3663=E3662:E$2)))))</f>
        <v> </v>
      </c>
      <c r="J3663" s="25" t="str">
        <f>IF(OR(E3663="",E3663="!!!",F3663="NEW"),"",COUNTBLANK(OFFSET(A$1,,,SUMPRODUCT(MAX(ROW(E$2:E3663)*(E3663=E$2:E3663)))))-COUNTBLANK(OFFSET(A$1,,,SUMPRODUCT(MAX(ROW(E$1:E3662)*(E2=E$1:E3662))))))</f>
        <v> </v>
      </c>
      <c r="K3663" s="25" t="str">
        <f>IF(OR(E3663="",E3663="!!!",F3663="NEW"),"",INDEX(J$1:J3662,SUMPRODUCT(MAX(ROW(E$1:E3662)*(E3663=E$1:E3662)))))</f>
        <v> </v>
      </c>
      <c r="L3663" s="26"/>
    </row>
    <row r="3664" spans="1:12">
      <c r="A3664" s="20" t="s">
        <v>2755</v>
      </c>
      <c r="B3664" s="27" t="s">
        <v>1122</v>
      </c>
      <c r="E3664" s="21">
        <f>IF(D3664="?OLD","!!!","")</f>
        <v/>
      </c>
      <c r="F3664" s="22" t="str">
        <f>IF(OR(E3664="",E3664="!!!"),"",IF(NOT(ISNA(VLOOKUP(E3664,E$1:E3663,1,FALSE()))),"OLD",IF(AND(E3664&lt;&gt;"",E3664&lt;&gt;"!!!"),"NEW","")))</f>
        <v> </v>
      </c>
      <c r="G3664" s="23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4" t="str">
        <f>IF(J3664&lt;&gt;1,"",IF(I3664="SBJ","CB","?"))</f>
        <v> </v>
      </c>
      <c r="I3664" s="25" t="str">
        <f>IF(OR(E3664="",E3664="!!!",F3664="NEW"),"",INDEX(B3663:B$2,-1+SUMPRODUCT(MAX(ROW(E3663:E$2)*(E3664=E3663:E$2)))))</f>
        <v> </v>
      </c>
      <c r="J3664" s="25" t="str">
        <f>IF(OR(E3664="",E3664="!!!",F3664="NEW"),"",COUNTBLANK(OFFSET(A$1,,,SUMPRODUCT(MAX(ROW(E$2:E3664)*(E3664=E$2:E3664)))))-COUNTBLANK(OFFSET(A$1,,,SUMPRODUCT(MAX(ROW(E$1:E3663)*(E2=E$1:E3663))))))</f>
        <v> </v>
      </c>
      <c r="K3664" s="25" t="str">
        <f>IF(OR(E3664="",E3664="!!!",F3664="NEW"),"",INDEX(J$1:J3663,SUMPRODUCT(MAX(ROW(E$1:E3663)*(E3664=E$1:E3663)))))</f>
        <v> </v>
      </c>
      <c r="L3664" s="26"/>
    </row>
    <row r="3665" spans="1:12">
      <c r="A3665" s="20" t="s">
        <v>2756</v>
      </c>
      <c r="E3665" s="21">
        <f>IF(D3665="?OLD","!!!","")</f>
        <v/>
      </c>
      <c r="F3665" s="22" t="str">
        <f>IF(OR(E3665="",E3665="!!!"),"",IF(NOT(ISNA(VLOOKUP(E3665,E$1:E3664,1,FALSE()))),"OLD",IF(AND(E3665&lt;&gt;"",E3665&lt;&gt;"!!!"),"NEW","")))</f>
        <v> </v>
      </c>
      <c r="G3665" s="23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4" t="str">
        <f>IF(J3665&lt;&gt;1,"",IF(I3665="SBJ","CB","?"))</f>
        <v> </v>
      </c>
      <c r="I3665" s="25" t="str">
        <f>IF(OR(E3665="",E3665="!!!",F3665="NEW"),"",INDEX(B3664:B$2,-1+SUMPRODUCT(MAX(ROW(E3664:E$2)*(E3665=E3664:E$2)))))</f>
        <v> </v>
      </c>
      <c r="J3665" s="25" t="str">
        <f>IF(OR(E3665="",E3665="!!!",F3665="NEW"),"",COUNTBLANK(OFFSET(A$1,,,SUMPRODUCT(MAX(ROW(E$2:E3665)*(E3665=E$2:E3665)))))-COUNTBLANK(OFFSET(A$1,,,SUMPRODUCT(MAX(ROW(E$1:E3664)*(E2=E$1:E3664))))))</f>
        <v> </v>
      </c>
      <c r="K3665" s="25" t="str">
        <f>IF(OR(E3665="",E3665="!!!",F3665="NEW"),"",INDEX(J$1:J3664,SUMPRODUCT(MAX(ROW(E$1:E3664)*(E3665=E$1:E3664)))))</f>
        <v> </v>
      </c>
      <c r="L3665" s="26"/>
    </row>
    <row r="3666" spans="1:12">
      <c r="A3666" s="20" t="s">
        <v>2681</v>
      </c>
      <c r="E3666" s="21">
        <f>IF(D3666="?OLD","!!!","")</f>
        <v/>
      </c>
      <c r="F3666" s="22" t="str">
        <f>IF(OR(E3666="",E3666="!!!"),"",IF(NOT(ISNA(VLOOKUP(E3666,E$1:E3665,1,FALSE()))),"OLD",IF(AND(E3666&lt;&gt;"",E3666&lt;&gt;"!!!"),"NEW","")))</f>
        <v> </v>
      </c>
      <c r="G3666" s="23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4" t="str">
        <f>IF(J3666&lt;&gt;1,"",IF(I3666="SBJ","CB","?"))</f>
        <v> </v>
      </c>
      <c r="I3666" s="25" t="str">
        <f>IF(OR(E3666="",E3666="!!!",F3666="NEW"),"",INDEX(B3665:B$2,-1+SUMPRODUCT(MAX(ROW(E3665:E$2)*(E3666=E3665:E$2)))))</f>
        <v> </v>
      </c>
      <c r="J3666" s="25" t="str">
        <f>IF(OR(E3666="",E3666="!!!",F3666="NEW"),"",COUNTBLANK(OFFSET(A$1,,,SUMPRODUCT(MAX(ROW(E$2:E3666)*(E3666=E$2:E3666)))))-COUNTBLANK(OFFSET(A$1,,,SUMPRODUCT(MAX(ROW(E$1:E3665)*(E2=E$1:E3665))))))</f>
        <v> </v>
      </c>
      <c r="K3666" s="25" t="str">
        <f>IF(OR(E3666="",E3666="!!!",F3666="NEW"),"",INDEX(J$1:J3665,SUMPRODUCT(MAX(ROW(E$1:E3665)*(E3666=E$1:E3665)))))</f>
        <v> </v>
      </c>
      <c r="L3666" s="26"/>
    </row>
    <row r="3667" spans="1:12">
      <c r="A3667" s="20" t="s">
        <v>1130</v>
      </c>
      <c r="E3667" s="21">
        <f>IF(D3667="?OLD","!!!","")</f>
        <v/>
      </c>
      <c r="F3667" s="22" t="str">
        <f>IF(OR(E3667="",E3667="!!!"),"",IF(NOT(ISNA(VLOOKUP(E3667,E$1:E3666,1,FALSE()))),"OLD",IF(AND(E3667&lt;&gt;"",E3667&lt;&gt;"!!!"),"NEW","")))</f>
        <v> </v>
      </c>
      <c r="G3667" s="23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4" t="str">
        <f>IF(J3667&lt;&gt;1,"",IF(I3667="SBJ","CB","?"))</f>
        <v> </v>
      </c>
      <c r="I3667" s="25" t="str">
        <f>IF(OR(E3667="",E3667="!!!",F3667="NEW"),"",INDEX(B3666:B$2,-1+SUMPRODUCT(MAX(ROW(E3666:E$2)*(E3667=E3666:E$2)))))</f>
        <v> </v>
      </c>
      <c r="J3667" s="25" t="str">
        <f>IF(OR(E3667="",E3667="!!!",F3667="NEW"),"",COUNTBLANK(OFFSET(A$1,,,SUMPRODUCT(MAX(ROW(E$2:E3667)*(E3667=E$2:E3667)))))-COUNTBLANK(OFFSET(A$1,,,SUMPRODUCT(MAX(ROW(E$1:E3666)*(E2=E$1:E3666))))))</f>
        <v> </v>
      </c>
      <c r="K3667" s="25" t="str">
        <f>IF(OR(E3667="",E3667="!!!",F3667="NEW"),"",INDEX(J$1:J3666,SUMPRODUCT(MAX(ROW(E$1:E3666)*(E3667=E$1:E3666)))))</f>
        <v> </v>
      </c>
      <c r="L3667" s="26"/>
    </row>
    <row r="3668" spans="1:12">
      <c r="A3668" s="20" t="s">
        <v>1722</v>
      </c>
      <c r="B3668" s="27" t="s">
        <v>1110</v>
      </c>
      <c r="C3668" s="27" t="s">
        <v>1126</v>
      </c>
      <c r="D3668" s="27" t="s">
        <v>1105</v>
      </c>
      <c r="E3668" s="21">
        <f>IF(D3668="?OLD","!!!","")</f>
        <v/>
      </c>
      <c r="F3668" s="22" t="str">
        <f>IF(OR(E3668="",E3668="!!!"),"",IF(NOT(ISNA(VLOOKUP(E3668,E$1:E3667,1,FALSE()))),"OLD",IF(AND(E3668&lt;&gt;"",E3668&lt;&gt;"!!!"),"NEW","")))</f>
        <v> </v>
      </c>
      <c r="G3668" s="23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4" t="str">
        <f>IF(J3668&lt;&gt;1,"",IF(I3668="SBJ","CB","?"))</f>
        <v> </v>
      </c>
      <c r="I3668" s="25" t="str">
        <f>IF(OR(E3668="",E3668="!!!",F3668="NEW"),"",INDEX(B3667:B$2,-1+SUMPRODUCT(MAX(ROW(E3667:E$2)*(E3668=E3667:E$2)))))</f>
        <v> </v>
      </c>
      <c r="J3668" s="25" t="str">
        <f>IF(OR(E3668="",E3668="!!!",F3668="NEW"),"",COUNTBLANK(OFFSET(A$1,,,SUMPRODUCT(MAX(ROW(E$2:E3668)*(E3668=E$2:E3668)))))-COUNTBLANK(OFFSET(A$1,,,SUMPRODUCT(MAX(ROW(E$1:E3667)*(E2=E$1:E3667))))))</f>
        <v> </v>
      </c>
      <c r="K3668" s="25" t="str">
        <f>IF(OR(E3668="",E3668="!!!",F3668="NEW"),"",INDEX(J$1:J3667,SUMPRODUCT(MAX(ROW(E$1:E3667)*(E3668=E$1:E3667)))))</f>
        <v> </v>
      </c>
      <c r="L3668" s="26"/>
    </row>
    <row r="3669" spans="1:12">
      <c r="A3669" s="20" t="s">
        <v>1206</v>
      </c>
      <c r="E3669" s="21">
        <f>IF(D3669="?OLD","!!!","")</f>
        <v/>
      </c>
      <c r="F3669" s="22" t="str">
        <f>IF(OR(E3669="",E3669="!!!"),"",IF(NOT(ISNA(VLOOKUP(E3669,E$1:E3668,1,FALSE()))),"OLD",IF(AND(E3669&lt;&gt;"",E3669&lt;&gt;"!!!"),"NEW","")))</f>
        <v> </v>
      </c>
      <c r="G3669" s="23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4" t="str">
        <f>IF(J3669&lt;&gt;1,"",IF(I3669="SBJ","CB","?"))</f>
        <v> </v>
      </c>
      <c r="I3669" s="25" t="str">
        <f>IF(OR(E3669="",E3669="!!!",F3669="NEW"),"",INDEX(B3668:B$2,-1+SUMPRODUCT(MAX(ROW(E3668:E$2)*(E3669=E3668:E$2)))))</f>
        <v> </v>
      </c>
      <c r="J3669" s="25" t="str">
        <f>IF(OR(E3669="",E3669="!!!",F3669="NEW"),"",COUNTBLANK(OFFSET(A$1,,,SUMPRODUCT(MAX(ROW(E$2:E3669)*(E3669=E$2:E3669)))))-COUNTBLANK(OFFSET(A$1,,,SUMPRODUCT(MAX(ROW(E$1:E3668)*(E2=E$1:E3668))))))</f>
        <v> </v>
      </c>
      <c r="K3669" s="25" t="str">
        <f>IF(OR(E3669="",E3669="!!!",F3669="NEW"),"",INDEX(J$1:J3668,SUMPRODUCT(MAX(ROW(E$1:E3668)*(E3669=E$1:E3668)))))</f>
        <v> </v>
      </c>
      <c r="L3669" s="26"/>
    </row>
    <row r="3670" spans="1:12">
      <c r="A3670" s="20" t="s">
        <v>1453</v>
      </c>
      <c r="E3670" s="21">
        <f>IF(D3670="?OLD","!!!","")</f>
        <v/>
      </c>
      <c r="F3670" s="22" t="str">
        <f>IF(OR(E3670="",E3670="!!!"),"",IF(NOT(ISNA(VLOOKUP(E3670,E$1:E3669,1,FALSE()))),"OLD",IF(AND(E3670&lt;&gt;"",E3670&lt;&gt;"!!!"),"NEW","")))</f>
        <v> </v>
      </c>
      <c r="G3670" s="23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4" t="str">
        <f>IF(J3670&lt;&gt;1,"",IF(I3670="SBJ","CB","?"))</f>
        <v> </v>
      </c>
      <c r="I3670" s="25" t="str">
        <f>IF(OR(E3670="",E3670="!!!",F3670="NEW"),"",INDEX(B3669:B$2,-1+SUMPRODUCT(MAX(ROW(E3669:E$2)*(E3670=E3669:E$2)))))</f>
        <v> </v>
      </c>
      <c r="J3670" s="25" t="str">
        <f>IF(OR(E3670="",E3670="!!!",F3670="NEW"),"",COUNTBLANK(OFFSET(A$1,,,SUMPRODUCT(MAX(ROW(E$2:E3670)*(E3670=E$2:E3670)))))-COUNTBLANK(OFFSET(A$1,,,SUMPRODUCT(MAX(ROW(E$1:E3669)*(E2=E$1:E3669))))))</f>
        <v> </v>
      </c>
      <c r="K3670" s="25" t="str">
        <f>IF(OR(E3670="",E3670="!!!",F3670="NEW"),"",INDEX(J$1:J3669,SUMPRODUCT(MAX(ROW(E$1:E3669)*(E3670=E$1:E3669)))))</f>
        <v> </v>
      </c>
      <c r="L3670" s="26"/>
    </row>
    <row r="3671" spans="1:12">
      <c r="A3671" s="20" t="s">
        <v>2093</v>
      </c>
      <c r="B3671" s="27" t="s">
        <v>1243</v>
      </c>
      <c r="C3671" s="27" t="s">
        <v>1156</v>
      </c>
      <c r="D3671" s="27" t="s">
        <v>1105</v>
      </c>
      <c r="E3671" s="21">
        <f>IF(D3671="?OLD","!!!","")</f>
        <v/>
      </c>
      <c r="F3671" s="22" t="str">
        <f>IF(OR(E3671="",E3671="!!!"),"",IF(NOT(ISNA(VLOOKUP(E3671,E$1:E3670,1,FALSE()))),"OLD",IF(AND(E3671&lt;&gt;"",E3671&lt;&gt;"!!!"),"NEW","")))</f>
        <v> </v>
      </c>
      <c r="G3671" s="23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4" t="str">
        <f>IF(J3671&lt;&gt;1,"",IF(I3671="SBJ","CB","?"))</f>
        <v> </v>
      </c>
      <c r="I3671" s="25" t="str">
        <f>IF(OR(E3671="",E3671="!!!",F3671="NEW"),"",INDEX(B3670:B$2,-1+SUMPRODUCT(MAX(ROW(E3670:E$2)*(E3671=E3670:E$2)))))</f>
        <v> </v>
      </c>
      <c r="J3671" s="25" t="str">
        <f>IF(OR(E3671="",E3671="!!!",F3671="NEW"),"",COUNTBLANK(OFFSET(A$1,,,SUMPRODUCT(MAX(ROW(E$2:E3671)*(E3671=E$2:E3671)))))-COUNTBLANK(OFFSET(A$1,,,SUMPRODUCT(MAX(ROW(E$1:E3670)*(E2=E$1:E3670))))))</f>
        <v> </v>
      </c>
      <c r="K3671" s="25" t="str">
        <f>IF(OR(E3671="",E3671="!!!",F3671="NEW"),"",INDEX(J$1:J3670,SUMPRODUCT(MAX(ROW(E$1:E3670)*(E3671=E$1:E3670)))))</f>
        <v> </v>
      </c>
      <c r="L3671" s="26"/>
    </row>
    <row r="3672" spans="1:12">
      <c r="A3672" s="20" t="s">
        <v>1128</v>
      </c>
      <c r="E3672" s="21">
        <f>IF(D3672="?OLD","!!!","")</f>
        <v/>
      </c>
      <c r="F3672" s="22" t="str">
        <f>IF(OR(E3672="",E3672="!!!"),"",IF(NOT(ISNA(VLOOKUP(E3672,E$1:E3671,1,FALSE()))),"OLD",IF(AND(E3672&lt;&gt;"",E3672&lt;&gt;"!!!"),"NEW","")))</f>
        <v> </v>
      </c>
      <c r="G3672" s="23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4" t="str">
        <f>IF(J3672&lt;&gt;1,"",IF(I3672="SBJ","CB","?"))</f>
        <v> </v>
      </c>
      <c r="I3672" s="25" t="str">
        <f>IF(OR(E3672="",E3672="!!!",F3672="NEW"),"",INDEX(B3671:B$2,-1+SUMPRODUCT(MAX(ROW(E3671:E$2)*(E3672=E3671:E$2)))))</f>
        <v> </v>
      </c>
      <c r="J3672" s="25" t="str">
        <f>IF(OR(E3672="",E3672="!!!",F3672="NEW"),"",COUNTBLANK(OFFSET(A$1,,,SUMPRODUCT(MAX(ROW(E$2:E3672)*(E3672=E$2:E3672)))))-COUNTBLANK(OFFSET(A$1,,,SUMPRODUCT(MAX(ROW(E$1:E3671)*(E2=E$1:E3671))))))</f>
        <v> </v>
      </c>
      <c r="K3672" s="25" t="str">
        <f>IF(OR(E3672="",E3672="!!!",F3672="NEW"),"",INDEX(J$1:J3671,SUMPRODUCT(MAX(ROW(E$1:E3671)*(E3672=E$1:E3671)))))</f>
        <v> </v>
      </c>
      <c r="L3672" s="26"/>
    </row>
    <row r="3673" spans="1:12">
      <c r="A3673" s="20" t="s">
        <v>2757</v>
      </c>
      <c r="E3673" s="21">
        <f>IF(D3673="?OLD","!!!","")</f>
        <v/>
      </c>
      <c r="F3673" s="22" t="str">
        <f>IF(OR(E3673="",E3673="!!!"),"",IF(NOT(ISNA(VLOOKUP(E3673,E$1:E3672,1,FALSE()))),"OLD",IF(AND(E3673&lt;&gt;"",E3673&lt;&gt;"!!!"),"NEW","")))</f>
        <v> </v>
      </c>
      <c r="G3673" s="23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4" t="str">
        <f>IF(J3673&lt;&gt;1,"",IF(I3673="SBJ","CB","?"))</f>
        <v> </v>
      </c>
      <c r="I3673" s="25" t="str">
        <f>IF(OR(E3673="",E3673="!!!",F3673="NEW"),"",INDEX(B3672:B$2,-1+SUMPRODUCT(MAX(ROW(E3672:E$2)*(E3673=E3672:E$2)))))</f>
        <v> </v>
      </c>
      <c r="J3673" s="25" t="str">
        <f>IF(OR(E3673="",E3673="!!!",F3673="NEW"),"",COUNTBLANK(OFFSET(A$1,,,SUMPRODUCT(MAX(ROW(E$2:E3673)*(E3673=E$2:E3673)))))-COUNTBLANK(OFFSET(A$1,,,SUMPRODUCT(MAX(ROW(E$1:E3672)*(E2=E$1:E3672))))))</f>
        <v> </v>
      </c>
      <c r="K3673" s="25" t="str">
        <f>IF(OR(E3673="",E3673="!!!",F3673="NEW"),"",INDEX(J$1:J3672,SUMPRODUCT(MAX(ROW(E$1:E3672)*(E3673=E$1:E3672)))))</f>
        <v> </v>
      </c>
      <c r="L3673" s="26"/>
    </row>
    <row r="3674" spans="1:12">
      <c r="A3674" s="20" t="s">
        <v>2758</v>
      </c>
      <c r="E3674" s="21">
        <f>IF(D3674="?OLD","!!!","")</f>
        <v/>
      </c>
      <c r="F3674" s="22" t="str">
        <f>IF(OR(E3674="",E3674="!!!"),"",IF(NOT(ISNA(VLOOKUP(E3674,E$1:E3673,1,FALSE()))),"OLD",IF(AND(E3674&lt;&gt;"",E3674&lt;&gt;"!!!"),"NEW","")))</f>
        <v> </v>
      </c>
      <c r="G3674" s="23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4" t="str">
        <f>IF(J3674&lt;&gt;1,"",IF(I3674="SBJ","CB","?"))</f>
        <v> </v>
      </c>
      <c r="I3674" s="25" t="str">
        <f>IF(OR(E3674="",E3674="!!!",F3674="NEW"),"",INDEX(B3673:B$2,-1+SUMPRODUCT(MAX(ROW(E3673:E$2)*(E3674=E3673:E$2)))))</f>
        <v> </v>
      </c>
      <c r="J3674" s="25" t="str">
        <f>IF(OR(E3674="",E3674="!!!",F3674="NEW"),"",COUNTBLANK(OFFSET(A$1,,,SUMPRODUCT(MAX(ROW(E$2:E3674)*(E3674=E$2:E3674)))))-COUNTBLANK(OFFSET(A$1,,,SUMPRODUCT(MAX(ROW(E$1:E3673)*(E2=E$1:E3673))))))</f>
        <v> </v>
      </c>
      <c r="K3674" s="25" t="str">
        <f>IF(OR(E3674="",E3674="!!!",F3674="NEW"),"",INDEX(J$1:J3673,SUMPRODUCT(MAX(ROW(E$1:E3673)*(E3674=E$1:E3673)))))</f>
        <v> </v>
      </c>
      <c r="L3674" s="26"/>
    </row>
    <row r="3675" spans="1:12">
      <c r="A3675" s="20" t="s">
        <v>1123</v>
      </c>
      <c r="E3675" s="21">
        <f>IF(D3675="?OLD","!!!","")</f>
        <v/>
      </c>
      <c r="F3675" s="22" t="str">
        <f>IF(OR(E3675="",E3675="!!!"),"",IF(NOT(ISNA(VLOOKUP(E3675,E$1:E3674,1,FALSE()))),"OLD",IF(AND(E3675&lt;&gt;"",E3675&lt;&gt;"!!!"),"NEW","")))</f>
        <v> </v>
      </c>
      <c r="G3675" s="23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4" t="str">
        <f>IF(J3675&lt;&gt;1,"",IF(I3675="SBJ","CB","?"))</f>
        <v> </v>
      </c>
      <c r="I3675" s="25" t="str">
        <f>IF(OR(E3675="",E3675="!!!",F3675="NEW"),"",INDEX(B3674:B$2,-1+SUMPRODUCT(MAX(ROW(E3674:E$2)*(E3675=E3674:E$2)))))</f>
        <v> </v>
      </c>
      <c r="J3675" s="25" t="str">
        <f>IF(OR(E3675="",E3675="!!!",F3675="NEW"),"",COUNTBLANK(OFFSET(A$1,,,SUMPRODUCT(MAX(ROW(E$2:E3675)*(E3675=E$2:E3675)))))-COUNTBLANK(OFFSET(A$1,,,SUMPRODUCT(MAX(ROW(E$1:E3674)*(E2=E$1:E3674))))))</f>
        <v> </v>
      </c>
      <c r="K3675" s="25" t="str">
        <f>IF(OR(E3675="",E3675="!!!",F3675="NEW"),"",INDEX(J$1:J3674,SUMPRODUCT(MAX(ROW(E$1:E3674)*(E3675=E$1:E3674)))))</f>
        <v> </v>
      </c>
      <c r="L3675" s="26"/>
    </row>
    <row r="3676" spans="1:12">
      <c r="A3676" s="20" t="s">
        <v>1731</v>
      </c>
      <c r="B3676" s="27" t="s">
        <v>1125</v>
      </c>
      <c r="C3676" s="27" t="s">
        <v>1133</v>
      </c>
      <c r="E3676" s="21">
        <f>IF(D3676="?OLD","!!!","")</f>
        <v/>
      </c>
      <c r="F3676" s="22" t="str">
        <f>IF(OR(E3676="",E3676="!!!"),"",IF(NOT(ISNA(VLOOKUP(E3676,E$1:E3675,1,FALSE()))),"OLD",IF(AND(E3676&lt;&gt;"",E3676&lt;&gt;"!!!"),"NEW","")))</f>
        <v> </v>
      </c>
      <c r="G3676" s="23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4" t="str">
        <f>IF(J3676&lt;&gt;1,"",IF(I3676="SBJ","CB","?"))</f>
        <v> </v>
      </c>
      <c r="I3676" s="25" t="str">
        <f>IF(OR(E3676="",E3676="!!!",F3676="NEW"),"",INDEX(B3675:B$2,-1+SUMPRODUCT(MAX(ROW(E3675:E$2)*(E3676=E3675:E$2)))))</f>
        <v> </v>
      </c>
      <c r="J3676" s="25" t="str">
        <f>IF(OR(E3676="",E3676="!!!",F3676="NEW"),"",COUNTBLANK(OFFSET(A$1,,,SUMPRODUCT(MAX(ROW(E$2:E3676)*(E3676=E$2:E3676)))))-COUNTBLANK(OFFSET(A$1,,,SUMPRODUCT(MAX(ROW(E$1:E3675)*(E2=E$1:E3675))))))</f>
        <v> </v>
      </c>
      <c r="K3676" s="25" t="str">
        <f>IF(OR(E3676="",E3676="!!!",F3676="NEW"),"",INDEX(J$1:J3675,SUMPRODUCT(MAX(ROW(E$1:E3675)*(E3676=E$1:E3675)))))</f>
        <v> </v>
      </c>
      <c r="L3676" s="26"/>
    </row>
    <row r="3677" spans="1:12">
      <c r="A3677" s="20" t="s">
        <v>1842</v>
      </c>
      <c r="E3677" s="21">
        <f>IF(D3677="?OLD","!!!","")</f>
        <v/>
      </c>
      <c r="F3677" s="22" t="str">
        <f>IF(OR(E3677="",E3677="!!!"),"",IF(NOT(ISNA(VLOOKUP(E3677,E$1:E3676,1,FALSE()))),"OLD",IF(AND(E3677&lt;&gt;"",E3677&lt;&gt;"!!!"),"NEW","")))</f>
        <v> </v>
      </c>
      <c r="G3677" s="23" t="str">
        <f>IF(OR(E3677="",E3677="!!!"),"",IF(OR(J3677=0,AND(J3677=1,K3677=1),AND(J3677=1,I3677="SBJ"),AND(J3677=1,I3677=0)),"?IN_FOCUS",IF(J3677&lt;=2,"?ACTIVATED",IF(J3677&lt;&gt;"","?FAMILIAR",IF(F3677="NEW",IF(ISNA(VLOOKUP(E3677,#REF!,1,FALSE())),"?TYPE_IDENTIFIABLE","?REFERENTIAL"),"_")))))</f>
        <v> </v>
      </c>
      <c r="H3677" s="24" t="str">
        <f>IF(J3677&lt;&gt;1,"",IF(I3677="SBJ","CB","?"))</f>
        <v> </v>
      </c>
      <c r="I3677" s="25" t="str">
        <f>IF(OR(E3677="",E3677="!!!",F3677="NEW"),"",INDEX(B3676:B$2,-1+SUMPRODUCT(MAX(ROW(E3676:E$2)*(E3677=E3676:E$2)))))</f>
        <v> </v>
      </c>
      <c r="J3677" s="25" t="str">
        <f>IF(OR(E3677="",E3677="!!!",F3677="NEW"),"",COUNTBLANK(OFFSET(A$1,,,SUMPRODUCT(MAX(ROW(E$2:E3677)*(E3677=E$2:E3677)))))-COUNTBLANK(OFFSET(A$1,,,SUMPRODUCT(MAX(ROW(E$1:E3676)*(E2=E$1:E3676))))))</f>
        <v> </v>
      </c>
      <c r="K3677" s="25" t="str">
        <f>IF(OR(E3677="",E3677="!!!",F3677="NEW"),"",INDEX(J$1:J3676,SUMPRODUCT(MAX(ROW(E$1:E3676)*(E3677=E$1:E3676)))))</f>
        <v> </v>
      </c>
      <c r="L3677" s="26"/>
    </row>
    <row r="3678" spans="1:12">
      <c r="A3678" s="20" t="s">
        <v>2759</v>
      </c>
      <c r="E3678" s="21">
        <f>IF(D3678="?OLD","!!!","")</f>
        <v/>
      </c>
      <c r="F3678" s="22" t="str">
        <f>IF(OR(E3678="",E3678="!!!"),"",IF(NOT(ISNA(VLOOKUP(E3678,E$1:E3677,1,FALSE()))),"OLD",IF(AND(E3678&lt;&gt;"",E3678&lt;&gt;"!!!"),"NEW","")))</f>
        <v> </v>
      </c>
      <c r="G3678" s="23" t="str">
        <f>IF(OR(E3678="",E3678="!!!"),"",IF(OR(J3678=0,AND(J3678=1,K3678=1),AND(J3678=1,I3678="SBJ"),AND(J3678=1,I3678=0)),"?IN_FOCUS",IF(J3678&lt;=2,"?ACTIVATED",IF(J3678&lt;&gt;"","?FAMILIAR",IF(F3678="NEW",IF(ISNA(VLOOKUP(E3678,#REF!,1,FALSE())),"?TYPE_IDENTIFIABLE","?REFERENTIAL"),"_")))))</f>
        <v> </v>
      </c>
      <c r="H3678" s="24" t="str">
        <f>IF(J3678&lt;&gt;1,"",IF(I3678="SBJ","CB","?"))</f>
        <v> </v>
      </c>
      <c r="I3678" s="25" t="str">
        <f>IF(OR(E3678="",E3678="!!!",F3678="NEW"),"",INDEX(B3677:B$2,-1+SUMPRODUCT(MAX(ROW(E3677:E$2)*(E3678=E3677:E$2)))))</f>
        <v> </v>
      </c>
      <c r="J3678" s="25" t="str">
        <f>IF(OR(E3678="",E3678="!!!",F3678="NEW"),"",COUNTBLANK(OFFSET(A$1,,,SUMPRODUCT(MAX(ROW(E$2:E3678)*(E3678=E$2:E3678)))))-COUNTBLANK(OFFSET(A$1,,,SUMPRODUCT(MAX(ROW(E$1:E3677)*(E2=E$1:E3677))))))</f>
        <v> </v>
      </c>
      <c r="K3678" s="25" t="str">
        <f>IF(OR(E3678="",E3678="!!!",F3678="NEW"),"",INDEX(J$1:J3677,SUMPRODUCT(MAX(ROW(E$1:E3677)*(E3678=E$1:E3677)))))</f>
        <v> </v>
      </c>
      <c r="L3678" s="26"/>
    </row>
    <row r="3679" spans="1:12">
      <c r="A3679" s="20" t="s">
        <v>2760</v>
      </c>
      <c r="E3679" s="21">
        <f>IF(D3679="?OLD","!!!","")</f>
        <v/>
      </c>
      <c r="F3679" s="22" t="str">
        <f>IF(OR(E3679="",E3679="!!!"),"",IF(NOT(ISNA(VLOOKUP(E3679,E$1:E3678,1,FALSE()))),"OLD",IF(AND(E3679&lt;&gt;"",E3679&lt;&gt;"!!!"),"NEW","")))</f>
        <v> </v>
      </c>
      <c r="G3679" s="23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4" t="str">
        <f>IF(J3679&lt;&gt;1,"",IF(I3679="SBJ","CB","?"))</f>
        <v> </v>
      </c>
      <c r="I3679" s="25" t="str">
        <f>IF(OR(E3679="",E3679="!!!",F3679="NEW"),"",INDEX(B3678:B$2,-1+SUMPRODUCT(MAX(ROW(E3678:E$2)*(E3679=E3678:E$2)))))</f>
        <v> </v>
      </c>
      <c r="J3679" s="25" t="str">
        <f>IF(OR(E3679="",E3679="!!!",F3679="NEW"),"",COUNTBLANK(OFFSET(A$1,,,SUMPRODUCT(MAX(ROW(E$2:E3679)*(E3679=E$2:E3679)))))-COUNTBLANK(OFFSET(A$1,,,SUMPRODUCT(MAX(ROW(E$1:E3678)*(E2=E$1:E3678))))))</f>
        <v> </v>
      </c>
      <c r="K3679" s="25" t="str">
        <f>IF(OR(E3679="",E3679="!!!",F3679="NEW"),"",INDEX(J$1:J3678,SUMPRODUCT(MAX(ROW(E$1:E3678)*(E3679=E$1:E3678)))))</f>
        <v> </v>
      </c>
      <c r="L3679" s="26"/>
    </row>
    <row r="3680" spans="1:12">
      <c r="A3680" s="20" t="s">
        <v>1636</v>
      </c>
      <c r="B3680" s="27" t="s">
        <v>1141</v>
      </c>
      <c r="C3680" s="27" t="s">
        <v>1142</v>
      </c>
      <c r="D3680" s="27" t="s">
        <v>1105</v>
      </c>
      <c r="E3680" s="21">
        <f>IF(D3680="?OLD","!!!","")</f>
        <v/>
      </c>
      <c r="F3680" s="22" t="str">
        <f>IF(OR(E3680="",E3680="!!!"),"",IF(NOT(ISNA(VLOOKUP(E3680,E$1:E3679,1,FALSE()))),"OLD",IF(AND(E3680&lt;&gt;"",E3680&lt;&gt;"!!!"),"NEW","")))</f>
        <v> </v>
      </c>
      <c r="G3680" s="23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4" t="str">
        <f>IF(J3680&lt;&gt;1,"",IF(I3680="SBJ","CB","?"))</f>
        <v> </v>
      </c>
      <c r="I3680" s="25" t="str">
        <f>IF(OR(E3680="",E3680="!!!",F3680="NEW"),"",INDEX(B3679:B$2,-1+SUMPRODUCT(MAX(ROW(E3679:E$2)*(E3680=E3679:E$2)))))</f>
        <v> </v>
      </c>
      <c r="J3680" s="25" t="str">
        <f>IF(OR(E3680="",E3680="!!!",F3680="NEW"),"",COUNTBLANK(OFFSET(A$1,,,SUMPRODUCT(MAX(ROW(E$2:E3680)*(E3680=E$2:E3680)))))-COUNTBLANK(OFFSET(A$1,,,SUMPRODUCT(MAX(ROW(E$1:E3679)*(E2=E$1:E3679))))))</f>
        <v> </v>
      </c>
      <c r="K3680" s="25" t="str">
        <f>IF(OR(E3680="",E3680="!!!",F3680="NEW"),"",INDEX(J$1:J3679,SUMPRODUCT(MAX(ROW(E$1:E3679)*(E3680=E$1:E3679)))))</f>
        <v> </v>
      </c>
      <c r="L3680" s="26"/>
    </row>
    <row r="3681" spans="1:12">
      <c r="A3681" s="20" t="s">
        <v>1694</v>
      </c>
      <c r="B3681" s="27" t="s">
        <v>1144</v>
      </c>
      <c r="E3681" s="21">
        <f>IF(D3681="?OLD","!!!","")</f>
        <v/>
      </c>
      <c r="F3681" s="22" t="str">
        <f>IF(OR(E3681="",E3681="!!!"),"",IF(NOT(ISNA(VLOOKUP(E3681,E$1:E3680,1,FALSE()))),"OLD",IF(AND(E3681&lt;&gt;"",E3681&lt;&gt;"!!!"),"NEW","")))</f>
        <v> </v>
      </c>
      <c r="G3681" s="23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4" t="str">
        <f>IF(J3681&lt;&gt;1,"",IF(I3681="SBJ","CB","?"))</f>
        <v> </v>
      </c>
      <c r="I3681" s="25" t="str">
        <f>IF(OR(E3681="",E3681="!!!",F3681="NEW"),"",INDEX(B3680:B$2,-1+SUMPRODUCT(MAX(ROW(E3680:E$2)*(E3681=E3680:E$2)))))</f>
        <v> </v>
      </c>
      <c r="J3681" s="25" t="str">
        <f>IF(OR(E3681="",E3681="!!!",F3681="NEW"),"",COUNTBLANK(OFFSET(A$1,,,SUMPRODUCT(MAX(ROW(E$2:E3681)*(E3681=E$2:E3681)))))-COUNTBLANK(OFFSET(A$1,,,SUMPRODUCT(MAX(ROW(E$1:E3680)*(E2=E$1:E3680))))))</f>
        <v> </v>
      </c>
      <c r="K3681" s="25" t="str">
        <f>IF(OR(E3681="",E3681="!!!",F3681="NEW"),"",INDEX(J$1:J3680,SUMPRODUCT(MAX(ROW(E$1:E3680)*(E3681=E$1:E3680)))))</f>
        <v> </v>
      </c>
      <c r="L3681" s="26"/>
    </row>
    <row r="3682" spans="1:12">
      <c r="A3682" s="20" t="s">
        <v>1128</v>
      </c>
      <c r="E3682" s="21">
        <f>IF(D3682="?OLD","!!!","")</f>
        <v/>
      </c>
      <c r="F3682" s="22" t="str">
        <f>IF(OR(E3682="",E3682="!!!"),"",IF(NOT(ISNA(VLOOKUP(E3682,E$1:E3681,1,FALSE()))),"OLD",IF(AND(E3682&lt;&gt;"",E3682&lt;&gt;"!!!"),"NEW","")))</f>
        <v> </v>
      </c>
      <c r="G3682" s="23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4" t="str">
        <f>IF(J3682&lt;&gt;1,"",IF(I3682="SBJ","CB","?"))</f>
        <v> </v>
      </c>
      <c r="I3682" s="25" t="str">
        <f>IF(OR(E3682="",E3682="!!!",F3682="NEW"),"",INDEX(B3681:B$2,-1+SUMPRODUCT(MAX(ROW(E3681:E$2)*(E3682=E3681:E$2)))))</f>
        <v> </v>
      </c>
      <c r="J3682" s="25" t="str">
        <f>IF(OR(E3682="",E3682="!!!",F3682="NEW"),"",COUNTBLANK(OFFSET(A$1,,,SUMPRODUCT(MAX(ROW(E$2:E3682)*(E3682=E$2:E3682)))))-COUNTBLANK(OFFSET(A$1,,,SUMPRODUCT(MAX(ROW(E$1:E3681)*(E2=E$1:E3681))))))</f>
        <v> </v>
      </c>
      <c r="K3682" s="25" t="str">
        <f>IF(OR(E3682="",E3682="!!!",F3682="NEW"),"",INDEX(J$1:J3681,SUMPRODUCT(MAX(ROW(E$1:E3681)*(E3682=E$1:E3681)))))</f>
        <v> </v>
      </c>
      <c r="L3682" s="26"/>
    </row>
    <row r="3683" spans="1:12">
      <c r="A3683" s="20" t="s">
        <v>2761</v>
      </c>
      <c r="E3683" s="21">
        <f>IF(D3683="?OLD","!!!","")</f>
        <v/>
      </c>
      <c r="F3683" s="22" t="str">
        <f>IF(OR(E3683="",E3683="!!!"),"",IF(NOT(ISNA(VLOOKUP(E3683,E$1:E3682,1,FALSE()))),"OLD",IF(AND(E3683&lt;&gt;"",E3683&lt;&gt;"!!!"),"NEW","")))</f>
        <v> </v>
      </c>
      <c r="G3683" s="23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4" t="str">
        <f>IF(J3683&lt;&gt;1,"",IF(I3683="SBJ","CB","?"))</f>
        <v> </v>
      </c>
      <c r="I3683" s="25" t="str">
        <f>IF(OR(E3683="",E3683="!!!",F3683="NEW"),"",INDEX(B3682:B$2,-1+SUMPRODUCT(MAX(ROW(E3682:E$2)*(E3683=E3682:E$2)))))</f>
        <v> </v>
      </c>
      <c r="J3683" s="25" t="str">
        <f>IF(OR(E3683="",E3683="!!!",F3683="NEW"),"",COUNTBLANK(OFFSET(A$1,,,SUMPRODUCT(MAX(ROW(E$2:E3683)*(E3683=E$2:E3683)))))-COUNTBLANK(OFFSET(A$1,,,SUMPRODUCT(MAX(ROW(E$1:E3682)*(E2=E$1:E3682))))))</f>
        <v> </v>
      </c>
      <c r="K3683" s="25" t="str">
        <f>IF(OR(E3683="",E3683="!!!",F3683="NEW"),"",INDEX(J$1:J3682,SUMPRODUCT(MAX(ROW(E$1:E3682)*(E3683=E$1:E3682)))))</f>
        <v> </v>
      </c>
      <c r="L3683" s="26"/>
    </row>
    <row r="3684" spans="1:12">
      <c r="A3684" s="20" t="s">
        <v>2007</v>
      </c>
      <c r="E3684" s="21">
        <f>IF(D3684="?OLD","!!!","")</f>
        <v/>
      </c>
      <c r="F3684" s="22" t="str">
        <f>IF(OR(E3684="",E3684="!!!"),"",IF(NOT(ISNA(VLOOKUP(E3684,E$1:E3683,1,FALSE()))),"OLD",IF(AND(E3684&lt;&gt;"",E3684&lt;&gt;"!!!"),"NEW","")))</f>
        <v> </v>
      </c>
      <c r="G3684" s="23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4" t="str">
        <f>IF(J3684&lt;&gt;1,"",IF(I3684="SBJ","CB","?"))</f>
        <v> </v>
      </c>
      <c r="I3684" s="25" t="str">
        <f>IF(OR(E3684="",E3684="!!!",F3684="NEW"),"",INDEX(B3683:B$2,-1+SUMPRODUCT(MAX(ROW(E3683:E$2)*(E3684=E3683:E$2)))))</f>
        <v> </v>
      </c>
      <c r="J3684" s="25" t="str">
        <f>IF(OR(E3684="",E3684="!!!",F3684="NEW"),"",COUNTBLANK(OFFSET(A$1,,,SUMPRODUCT(MAX(ROW(E$2:E3684)*(E3684=E$2:E3684)))))-COUNTBLANK(OFFSET(A$1,,,SUMPRODUCT(MAX(ROW(E$1:E3683)*(E2=E$1:E3683))))))</f>
        <v> </v>
      </c>
      <c r="K3684" s="25" t="str">
        <f>IF(OR(E3684="",E3684="!!!",F3684="NEW"),"",INDEX(J$1:J3683,SUMPRODUCT(MAX(ROW(E$1:E3683)*(E3684=E$1:E3683)))))</f>
        <v> </v>
      </c>
      <c r="L3684" s="26"/>
    </row>
    <row r="3685" spans="1:12">
      <c r="A3685" s="20" t="s">
        <v>2762</v>
      </c>
      <c r="B3685" s="27" t="s">
        <v>1141</v>
      </c>
      <c r="C3685" s="27" t="s">
        <v>1116</v>
      </c>
      <c r="E3685" s="21">
        <f>IF(D3685="?OLD","!!!","")</f>
        <v/>
      </c>
      <c r="F3685" s="22" t="str">
        <f>IF(OR(E3685="",E3685="!!!"),"",IF(NOT(ISNA(VLOOKUP(E3685,E$1:E3684,1,FALSE()))),"OLD",IF(AND(E3685&lt;&gt;"",E3685&lt;&gt;"!!!"),"NEW","")))</f>
        <v> </v>
      </c>
      <c r="G3685" s="23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4" t="str">
        <f>IF(J3685&lt;&gt;1,"",IF(I3685="SBJ","CB","?"))</f>
        <v> </v>
      </c>
      <c r="I3685" s="25" t="str">
        <f>IF(OR(E3685="",E3685="!!!",F3685="NEW"),"",INDEX(B3684:B$2,-1+SUMPRODUCT(MAX(ROW(E3684:E$2)*(E3685=E3684:E$2)))))</f>
        <v> </v>
      </c>
      <c r="J3685" s="25" t="str">
        <f>IF(OR(E3685="",E3685="!!!",F3685="NEW"),"",COUNTBLANK(OFFSET(A$1,,,SUMPRODUCT(MAX(ROW(E$2:E3685)*(E3685=E$2:E3685)))))-COUNTBLANK(OFFSET(A$1,,,SUMPRODUCT(MAX(ROW(E$1:E3684)*(E2=E$1:E3684))))))</f>
        <v> </v>
      </c>
      <c r="K3685" s="25" t="str">
        <f>IF(OR(E3685="",E3685="!!!",F3685="NEW"),"",INDEX(J$1:J3684,SUMPRODUCT(MAX(ROW(E$1:E3684)*(E3685=E$1:E3684)))))</f>
        <v> </v>
      </c>
      <c r="L3685" s="26"/>
    </row>
    <row r="3686" spans="1:12">
      <c r="A3686" s="20" t="s">
        <v>1145</v>
      </c>
      <c r="E3686" s="21">
        <f>IF(D3686="?OLD","!!!","")</f>
        <v/>
      </c>
      <c r="F3686" s="22" t="str">
        <f>IF(OR(E3686="",E3686="!!!"),"",IF(NOT(ISNA(VLOOKUP(E3686,E$1:E3685,1,FALSE()))),"OLD",IF(AND(E3686&lt;&gt;"",E3686&lt;&gt;"!!!"),"NEW","")))</f>
        <v> </v>
      </c>
      <c r="G3686" s="23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4" t="str">
        <f>IF(J3686&lt;&gt;1,"",IF(I3686="SBJ","CB","?"))</f>
        <v> </v>
      </c>
      <c r="I3686" s="25" t="str">
        <f>IF(OR(E3686="",E3686="!!!",F3686="NEW"),"",INDEX(B3685:B$2,-1+SUMPRODUCT(MAX(ROW(E3685:E$2)*(E3686=E3685:E$2)))))</f>
        <v> </v>
      </c>
      <c r="J3686" s="25" t="str">
        <f>IF(OR(E3686="",E3686="!!!",F3686="NEW"),"",COUNTBLANK(OFFSET(A$1,,,SUMPRODUCT(MAX(ROW(E$2:E3686)*(E3686=E$2:E3686)))))-COUNTBLANK(OFFSET(A$1,,,SUMPRODUCT(MAX(ROW(E$1:E3685)*(E2=E$1:E3685))))))</f>
        <v> </v>
      </c>
      <c r="K3686" s="25" t="str">
        <f>IF(OR(E3686="",E3686="!!!",F3686="NEW"),"",INDEX(J$1:J3685,SUMPRODUCT(MAX(ROW(E$1:E3685)*(E3686=E$1:E3685)))))</f>
        <v> </v>
      </c>
      <c r="L3686" s="26"/>
    </row>
    <row r="3687" spans="1:12">
      <c r="A3687" s="20"/>
    </row>
    <row r="3688" spans="1:12">
      <c r="A3688" s="20" t="s">
        <v>2763</v>
      </c>
    </row>
    <row r="3689" spans="1:12">
      <c r="A3689" s="20" t="s">
        <v>2281</v>
      </c>
      <c r="E3689" s="21">
        <f>IF(D3689="?OLD","!!!","")</f>
        <v/>
      </c>
      <c r="F3689" s="22" t="str">
        <f>IF(OR(E3689="",E3689="!!!"),"",IF(NOT(ISNA(VLOOKUP(E3689,E$1:E3688,1,FALSE()))),"OLD",IF(AND(E3689&lt;&gt;"",E3689&lt;&gt;"!!!"),"NEW","")))</f>
        <v> </v>
      </c>
      <c r="G3689" s="23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4" t="str">
        <f>IF(J3689&lt;&gt;1,"",IF(I3689="SBJ","CB","?"))</f>
        <v> </v>
      </c>
      <c r="I3689" s="25" t="str">
        <f>IF(OR(E3689="",E3689="!!!",F3689="NEW"),"",INDEX(B3688:B$2,-1+SUMPRODUCT(MAX(ROW(E3688:E$2)*(E3689=E3688:E$2)))))</f>
        <v> </v>
      </c>
      <c r="J3689" s="25" t="str">
        <f>IF(OR(E3689="",E3689="!!!",F3689="NEW"),"",COUNTBLANK(OFFSET(A$1,,,SUMPRODUCT(MAX(ROW(E$2:E3689)*(E3689=E$2:E3689)))))-COUNTBLANK(OFFSET(A$1,,,SUMPRODUCT(MAX(ROW(E$1:E3688)*(E2=E$1:E3688))))))</f>
        <v> </v>
      </c>
      <c r="K3689" s="25" t="str">
        <f>IF(OR(E3689="",E3689="!!!",F3689="NEW"),"",INDEX(J$1:J3688,SUMPRODUCT(MAX(ROW(E$1:E3688)*(E3689=E$1:E3688)))))</f>
        <v> </v>
      </c>
      <c r="L3689" s="26"/>
    </row>
    <row r="3690" spans="1:12">
      <c r="A3690" s="20" t="s">
        <v>2726</v>
      </c>
      <c r="E3690" s="21">
        <f>IF(D3690="?OLD","!!!","")</f>
        <v/>
      </c>
      <c r="F3690" s="22" t="str">
        <f>IF(OR(E3690="",E3690="!!!"),"",IF(NOT(ISNA(VLOOKUP(E3690,E$1:E3689,1,FALSE()))),"OLD",IF(AND(E3690&lt;&gt;"",E3690&lt;&gt;"!!!"),"NEW","")))</f>
        <v> </v>
      </c>
      <c r="G3690" s="23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4" t="str">
        <f>IF(J3690&lt;&gt;1,"",IF(I3690="SBJ","CB","?"))</f>
        <v> </v>
      </c>
      <c r="I3690" s="25" t="str">
        <f>IF(OR(E3690="",E3690="!!!",F3690="NEW"),"",INDEX(B3689:B$2,-1+SUMPRODUCT(MAX(ROW(E3689:E$2)*(E3690=E3689:E$2)))))</f>
        <v> </v>
      </c>
      <c r="J3690" s="25" t="str">
        <f>IF(OR(E3690="",E3690="!!!",F3690="NEW"),"",COUNTBLANK(OFFSET(A$1,,,SUMPRODUCT(MAX(ROW(E$2:E3690)*(E3690=E$2:E3690)))))-COUNTBLANK(OFFSET(A$1,,,SUMPRODUCT(MAX(ROW(E$1:E3689)*(E2=E$1:E3689))))))</f>
        <v> </v>
      </c>
      <c r="K3690" s="25" t="str">
        <f>IF(OR(E3690="",E3690="!!!",F3690="NEW"),"",INDEX(J$1:J3689,SUMPRODUCT(MAX(ROW(E$1:E3689)*(E3690=E$1:E3689)))))</f>
        <v> </v>
      </c>
      <c r="L3690" s="26"/>
    </row>
    <row r="3691" spans="1:12">
      <c r="A3691" s="20" t="s">
        <v>263</v>
      </c>
      <c r="B3691" s="27" t="s">
        <v>1149</v>
      </c>
      <c r="E3691" s="21">
        <f>IF(D3691="?OLD","!!!","")</f>
        <v/>
      </c>
      <c r="F3691" s="22" t="str">
        <f>IF(OR(E3691="",E3691="!!!"),"",IF(NOT(ISNA(VLOOKUP(E3691,E$1:E3690,1,FALSE()))),"OLD",IF(AND(E3691&lt;&gt;"",E3691&lt;&gt;"!!!"),"NEW","")))</f>
        <v> </v>
      </c>
      <c r="G3691" s="23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4" t="str">
        <f>IF(J3691&lt;&gt;1,"",IF(I3691="SBJ","CB","?"))</f>
        <v> </v>
      </c>
      <c r="I3691" s="25" t="str">
        <f>IF(OR(E3691="",E3691="!!!",F3691="NEW"),"",INDEX(B3690:B$2,-1+SUMPRODUCT(MAX(ROW(E3690:E$2)*(E3691=E3690:E$2)))))</f>
        <v> </v>
      </c>
      <c r="J3691" s="25" t="str">
        <f>IF(OR(E3691="",E3691="!!!",F3691="NEW"),"",COUNTBLANK(OFFSET(A$1,,,SUMPRODUCT(MAX(ROW(E$2:E3691)*(E3691=E$2:E3691)))))-COUNTBLANK(OFFSET(A$1,,,SUMPRODUCT(MAX(ROW(E$1:E3690)*(E2=E$1:E3690))))))</f>
        <v> </v>
      </c>
      <c r="K3691" s="25" t="str">
        <f>IF(OR(E3691="",E3691="!!!",F3691="NEW"),"",INDEX(J$1:J3690,SUMPRODUCT(MAX(ROW(E$1:E3690)*(E3691=E$1:E3690)))))</f>
        <v> </v>
      </c>
      <c r="L3691" s="26"/>
    </row>
    <row r="3692" spans="1:12">
      <c r="A3692" s="20" t="s">
        <v>2764</v>
      </c>
      <c r="E3692" s="21">
        <f>IF(D3692="?OLD","!!!","")</f>
        <v/>
      </c>
      <c r="F3692" s="22" t="str">
        <f>IF(OR(E3692="",E3692="!!!"),"",IF(NOT(ISNA(VLOOKUP(E3692,E$1:E3691,1,FALSE()))),"OLD",IF(AND(E3692&lt;&gt;"",E3692&lt;&gt;"!!!"),"NEW","")))</f>
        <v> </v>
      </c>
      <c r="G3692" s="23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4" t="str">
        <f>IF(J3692&lt;&gt;1,"",IF(I3692="SBJ","CB","?"))</f>
        <v> </v>
      </c>
      <c r="I3692" s="25" t="str">
        <f>IF(OR(E3692="",E3692="!!!",F3692="NEW"),"",INDEX(B3691:B$2,-1+SUMPRODUCT(MAX(ROW(E3691:E$2)*(E3692=E3691:E$2)))))</f>
        <v> </v>
      </c>
      <c r="J3692" s="25" t="str">
        <f>IF(OR(E3692="",E3692="!!!",F3692="NEW"),"",COUNTBLANK(OFFSET(A$1,,,SUMPRODUCT(MAX(ROW(E$2:E3692)*(E3692=E$2:E3692)))))-COUNTBLANK(OFFSET(A$1,,,SUMPRODUCT(MAX(ROW(E$1:E3691)*(E2=E$1:E3691))))))</f>
        <v> </v>
      </c>
      <c r="K3692" s="25" t="str">
        <f>IF(OR(E3692="",E3692="!!!",F3692="NEW"),"",INDEX(J$1:J3691,SUMPRODUCT(MAX(ROW(E$1:E3691)*(E3692=E$1:E3691)))))</f>
        <v> </v>
      </c>
      <c r="L3692" s="26"/>
    </row>
    <row r="3693" spans="1:12">
      <c r="A3693" s="20" t="s">
        <v>1123</v>
      </c>
      <c r="E3693" s="21">
        <f>IF(D3693="?OLD","!!!","")</f>
        <v/>
      </c>
      <c r="F3693" s="22" t="str">
        <f>IF(OR(E3693="",E3693="!!!"),"",IF(NOT(ISNA(VLOOKUP(E3693,E$1:E3692,1,FALSE()))),"OLD",IF(AND(E3693&lt;&gt;"",E3693&lt;&gt;"!!!"),"NEW","")))</f>
        <v> </v>
      </c>
      <c r="G3693" s="23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4" t="str">
        <f>IF(J3693&lt;&gt;1,"",IF(I3693="SBJ","CB","?"))</f>
        <v> </v>
      </c>
      <c r="I3693" s="25" t="str">
        <f>IF(OR(E3693="",E3693="!!!",F3693="NEW"),"",INDEX(B3692:B$2,-1+SUMPRODUCT(MAX(ROW(E3692:E$2)*(E3693=E3692:E$2)))))</f>
        <v> </v>
      </c>
      <c r="J3693" s="25" t="str">
        <f>IF(OR(E3693="",E3693="!!!",F3693="NEW"),"",COUNTBLANK(OFFSET(A$1,,,SUMPRODUCT(MAX(ROW(E$2:E3693)*(E3693=E$2:E3693)))))-COUNTBLANK(OFFSET(A$1,,,SUMPRODUCT(MAX(ROW(E$1:E3692)*(E2=E$1:E3692))))))</f>
        <v> </v>
      </c>
      <c r="K3693" s="25" t="str">
        <f>IF(OR(E3693="",E3693="!!!",F3693="NEW"),"",INDEX(J$1:J3692,SUMPRODUCT(MAX(ROW(E$1:E3692)*(E3693=E$1:E3692)))))</f>
        <v> </v>
      </c>
      <c r="L3693" s="26"/>
    </row>
    <row r="3694" spans="1:12">
      <c r="A3694" s="20" t="s">
        <v>1128</v>
      </c>
      <c r="E3694" s="21">
        <f>IF(D3694="?OLD","!!!","")</f>
        <v/>
      </c>
      <c r="F3694" s="22" t="str">
        <f>IF(OR(E3694="",E3694="!!!"),"",IF(NOT(ISNA(VLOOKUP(E3694,E$1:E3693,1,FALSE()))),"OLD",IF(AND(E3694&lt;&gt;"",E3694&lt;&gt;"!!!"),"NEW","")))</f>
        <v> </v>
      </c>
      <c r="G3694" s="23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4" t="str">
        <f>IF(J3694&lt;&gt;1,"",IF(I3694="SBJ","CB","?"))</f>
        <v> </v>
      </c>
      <c r="I3694" s="25" t="str">
        <f>IF(OR(E3694="",E3694="!!!",F3694="NEW"),"",INDEX(B3693:B$2,-1+SUMPRODUCT(MAX(ROW(E3693:E$2)*(E3694=E3693:E$2)))))</f>
        <v> </v>
      </c>
      <c r="J3694" s="25" t="str">
        <f>IF(OR(E3694="",E3694="!!!",F3694="NEW"),"",COUNTBLANK(OFFSET(A$1,,,SUMPRODUCT(MAX(ROW(E$2:E3694)*(E3694=E$2:E3694)))))-COUNTBLANK(OFFSET(A$1,,,SUMPRODUCT(MAX(ROW(E$1:E3693)*(E2=E$1:E3693))))))</f>
        <v> </v>
      </c>
      <c r="K3694" s="25" t="str">
        <f>IF(OR(E3694="",E3694="!!!",F3694="NEW"),"",INDEX(J$1:J3693,SUMPRODUCT(MAX(ROW(E$1:E3693)*(E3694=E$1:E3693)))))</f>
        <v> </v>
      </c>
      <c r="L3694" s="26"/>
    </row>
    <row r="3695" spans="1:12">
      <c r="A3695" s="20" t="s">
        <v>2524</v>
      </c>
      <c r="B3695" s="27" t="s">
        <v>1122</v>
      </c>
      <c r="E3695" s="21">
        <f>IF(D3695="?OLD","!!!","")</f>
        <v/>
      </c>
      <c r="F3695" s="22" t="str">
        <f>IF(OR(E3695="",E3695="!!!"),"",IF(NOT(ISNA(VLOOKUP(E3695,E$1:E3694,1,FALSE()))),"OLD",IF(AND(E3695&lt;&gt;"",E3695&lt;&gt;"!!!"),"NEW","")))</f>
        <v> </v>
      </c>
      <c r="G3695" s="23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4" t="str">
        <f>IF(J3695&lt;&gt;1,"",IF(I3695="SBJ","CB","?"))</f>
        <v> </v>
      </c>
      <c r="I3695" s="25" t="str">
        <f>IF(OR(E3695="",E3695="!!!",F3695="NEW"),"",INDEX(B3694:B$2,-1+SUMPRODUCT(MAX(ROW(E3694:E$2)*(E3695=E3694:E$2)))))</f>
        <v> </v>
      </c>
      <c r="J3695" s="25" t="str">
        <f>IF(OR(E3695="",E3695="!!!",F3695="NEW"),"",COUNTBLANK(OFFSET(A$1,,,SUMPRODUCT(MAX(ROW(E$2:E3695)*(E3695=E$2:E3695)))))-COUNTBLANK(OFFSET(A$1,,,SUMPRODUCT(MAX(ROW(E$1:E3694)*(E2=E$1:E3694))))))</f>
        <v> </v>
      </c>
      <c r="K3695" s="25" t="str">
        <f>IF(OR(E3695="",E3695="!!!",F3695="NEW"),"",INDEX(J$1:J3694,SUMPRODUCT(MAX(ROW(E$1:E3694)*(E3695=E$1:E3694)))))</f>
        <v> </v>
      </c>
      <c r="L3695" s="26"/>
    </row>
    <row r="3696" spans="1:12">
      <c r="A3696" s="20" t="s">
        <v>1507</v>
      </c>
      <c r="B3696" s="27" t="s">
        <v>1110</v>
      </c>
      <c r="C3696" s="27" t="s">
        <v>1108</v>
      </c>
      <c r="D3696" s="27" t="s">
        <v>1105</v>
      </c>
      <c r="E3696" s="21">
        <f>IF(D3696="?OLD","!!!","")</f>
        <v/>
      </c>
      <c r="F3696" s="22" t="str">
        <f>IF(OR(E3696="",E3696="!!!"),"",IF(NOT(ISNA(VLOOKUP(E3696,E$1:E3695,1,FALSE()))),"OLD",IF(AND(E3696&lt;&gt;"",E3696&lt;&gt;"!!!"),"NEW","")))</f>
        <v> </v>
      </c>
      <c r="G3696" s="23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4" t="str">
        <f>IF(J3696&lt;&gt;1,"",IF(I3696="SBJ","CB","?"))</f>
        <v> </v>
      </c>
      <c r="I3696" s="25" t="str">
        <f>IF(OR(E3696="",E3696="!!!",F3696="NEW"),"",INDEX(B3695:B$2,-1+SUMPRODUCT(MAX(ROW(E3695:E$2)*(E3696=E3695:E$2)))))</f>
        <v> </v>
      </c>
      <c r="J3696" s="25" t="str">
        <f>IF(OR(E3696="",E3696="!!!",F3696="NEW"),"",COUNTBLANK(OFFSET(A$1,,,SUMPRODUCT(MAX(ROW(E$2:E3696)*(E3696=E$2:E3696)))))-COUNTBLANK(OFFSET(A$1,,,SUMPRODUCT(MAX(ROW(E$1:E3695)*(E2=E$1:E3695))))))</f>
        <v> </v>
      </c>
      <c r="K3696" s="25" t="str">
        <f>IF(OR(E3696="",E3696="!!!",F3696="NEW"),"",INDEX(J$1:J3695,SUMPRODUCT(MAX(ROW(E$1:E3695)*(E3696=E$1:E3695)))))</f>
        <v> </v>
      </c>
      <c r="L3696" s="26"/>
    </row>
    <row r="3697" spans="1:12">
      <c r="A3697" s="20" t="s">
        <v>2765</v>
      </c>
      <c r="E3697" s="21">
        <f>IF(D3697="?OLD","!!!","")</f>
        <v/>
      </c>
      <c r="F3697" s="22" t="str">
        <f>IF(OR(E3697="",E3697="!!!"),"",IF(NOT(ISNA(VLOOKUP(E3697,E$1:E3696,1,FALSE()))),"OLD",IF(AND(E3697&lt;&gt;"",E3697&lt;&gt;"!!!"),"NEW","")))</f>
        <v> </v>
      </c>
      <c r="G3697" s="23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4" t="str">
        <f>IF(J3697&lt;&gt;1,"",IF(I3697="SBJ","CB","?"))</f>
        <v> </v>
      </c>
      <c r="I3697" s="25" t="str">
        <f>IF(OR(E3697="",E3697="!!!",F3697="NEW"),"",INDEX(B3696:B$2,-1+SUMPRODUCT(MAX(ROW(E3696:E$2)*(E3697=E3696:E$2)))))</f>
        <v> </v>
      </c>
      <c r="J3697" s="25" t="str">
        <f>IF(OR(E3697="",E3697="!!!",F3697="NEW"),"",COUNTBLANK(OFFSET(A$1,,,SUMPRODUCT(MAX(ROW(E$2:E3697)*(E3697=E$2:E3697)))))-COUNTBLANK(OFFSET(A$1,,,SUMPRODUCT(MAX(ROW(E$1:E3696)*(E2=E$1:E3696))))))</f>
        <v> </v>
      </c>
      <c r="K3697" s="25" t="str">
        <f>IF(OR(E3697="",E3697="!!!",F3697="NEW"),"",INDEX(J$1:J3696,SUMPRODUCT(MAX(ROW(E$1:E3696)*(E3697=E$1:E3696)))))</f>
        <v> </v>
      </c>
      <c r="L3697" s="26"/>
    </row>
    <row r="3698" spans="1:12">
      <c r="A3698" s="20" t="s">
        <v>1270</v>
      </c>
      <c r="B3698" s="27" t="s">
        <v>1243</v>
      </c>
      <c r="C3698" s="27" t="s">
        <v>1126</v>
      </c>
      <c r="D3698" s="27" t="s">
        <v>1105</v>
      </c>
      <c r="E3698" s="21">
        <f>IF(D3698="?OLD","!!!","")</f>
        <v/>
      </c>
      <c r="F3698" s="22" t="str">
        <f>IF(OR(E3698="",E3698="!!!"),"",IF(NOT(ISNA(VLOOKUP(E3698,E$1:E3697,1,FALSE()))),"OLD",IF(AND(E3698&lt;&gt;"",E3698&lt;&gt;"!!!"),"NEW","")))</f>
        <v> </v>
      </c>
      <c r="G3698" s="23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4" t="str">
        <f>IF(J3698&lt;&gt;1,"",IF(I3698="SBJ","CB","?"))</f>
        <v> </v>
      </c>
      <c r="I3698" s="25" t="str">
        <f>IF(OR(E3698="",E3698="!!!",F3698="NEW"),"",INDEX(B3697:B$2,-1+SUMPRODUCT(MAX(ROW(E3697:E$2)*(E3698=E3697:E$2)))))</f>
        <v> </v>
      </c>
      <c r="J3698" s="25" t="str">
        <f>IF(OR(E3698="",E3698="!!!",F3698="NEW"),"",COUNTBLANK(OFFSET(A$1,,,SUMPRODUCT(MAX(ROW(E$2:E3698)*(E3698=E$2:E3698)))))-COUNTBLANK(OFFSET(A$1,,,SUMPRODUCT(MAX(ROW(E$1:E3697)*(E2=E$1:E3697))))))</f>
        <v> </v>
      </c>
      <c r="K3698" s="25" t="str">
        <f>IF(OR(E3698="",E3698="!!!",F3698="NEW"),"",INDEX(J$1:J3697,SUMPRODUCT(MAX(ROW(E$1:E3697)*(E3698=E$1:E3697)))))</f>
        <v> </v>
      </c>
      <c r="L3698" s="26"/>
    </row>
    <row r="3699" spans="1:12">
      <c r="A3699" s="20" t="s">
        <v>1271</v>
      </c>
      <c r="E3699" s="21">
        <f>IF(D3699="?OLD","!!!","")</f>
        <v/>
      </c>
      <c r="F3699" s="22" t="str">
        <f>IF(OR(E3699="",E3699="!!!"),"",IF(NOT(ISNA(VLOOKUP(E3699,E$1:E3698,1,FALSE()))),"OLD",IF(AND(E3699&lt;&gt;"",E3699&lt;&gt;"!!!"),"NEW","")))</f>
        <v> </v>
      </c>
      <c r="G3699" s="23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4" t="str">
        <f>IF(J3699&lt;&gt;1,"",IF(I3699="SBJ","CB","?"))</f>
        <v> </v>
      </c>
      <c r="I3699" s="25" t="str">
        <f>IF(OR(E3699="",E3699="!!!",F3699="NEW"),"",INDEX(B3698:B$2,-1+SUMPRODUCT(MAX(ROW(E3698:E$2)*(E3699=E3698:E$2)))))</f>
        <v> </v>
      </c>
      <c r="J3699" s="25" t="str">
        <f>IF(OR(E3699="",E3699="!!!",F3699="NEW"),"",COUNTBLANK(OFFSET(A$1,,,SUMPRODUCT(MAX(ROW(E$2:E3699)*(E3699=E$2:E3699)))))-COUNTBLANK(OFFSET(A$1,,,SUMPRODUCT(MAX(ROW(E$1:E3698)*(E2=E$1:E3698))))))</f>
        <v> </v>
      </c>
      <c r="K3699" s="25" t="str">
        <f>IF(OR(E3699="",E3699="!!!",F3699="NEW"),"",INDEX(J$1:J3698,SUMPRODUCT(MAX(ROW(E$1:E3698)*(E3699=E$1:E3698)))))</f>
        <v> </v>
      </c>
      <c r="L3699" s="26"/>
    </row>
    <row r="3700" spans="1:12">
      <c r="A3700" s="20" t="s">
        <v>2282</v>
      </c>
      <c r="E3700" s="21">
        <f>IF(D3700="?OLD","!!!","")</f>
        <v/>
      </c>
      <c r="F3700" s="22" t="str">
        <f>IF(OR(E3700="",E3700="!!!"),"",IF(NOT(ISNA(VLOOKUP(E3700,E$1:E3699,1,FALSE()))),"OLD",IF(AND(E3700&lt;&gt;"",E3700&lt;&gt;"!!!"),"NEW","")))</f>
        <v> </v>
      </c>
      <c r="G3700" s="23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4" t="str">
        <f>IF(J3700&lt;&gt;1,"",IF(I3700="SBJ","CB","?"))</f>
        <v> </v>
      </c>
      <c r="I3700" s="25" t="str">
        <f>IF(OR(E3700="",E3700="!!!",F3700="NEW"),"",INDEX(B3699:B$2,-1+SUMPRODUCT(MAX(ROW(E3699:E$2)*(E3700=E3699:E$2)))))</f>
        <v> </v>
      </c>
      <c r="J3700" s="25" t="str">
        <f>IF(OR(E3700="",E3700="!!!",F3700="NEW"),"",COUNTBLANK(OFFSET(A$1,,,SUMPRODUCT(MAX(ROW(E$2:E3700)*(E3700=E$2:E3700)))))-COUNTBLANK(OFFSET(A$1,,,SUMPRODUCT(MAX(ROW(E$1:E3699)*(E2=E$1:E3699))))))</f>
        <v> </v>
      </c>
      <c r="K3700" s="25" t="str">
        <f>IF(OR(E3700="",E3700="!!!",F3700="NEW"),"",INDEX(J$1:J3699,SUMPRODUCT(MAX(ROW(E$1:E3699)*(E3700=E$1:E3699)))))</f>
        <v> </v>
      </c>
      <c r="L3700" s="26"/>
    </row>
    <row r="3701" spans="1:12">
      <c r="A3701" s="20" t="s">
        <v>2766</v>
      </c>
      <c r="B3701" s="27" t="s">
        <v>1107</v>
      </c>
      <c r="C3701" s="27" t="s">
        <v>1156</v>
      </c>
      <c r="D3701" s="27" t="s">
        <v>1105</v>
      </c>
      <c r="E3701" s="21">
        <f>IF(D3701="?OLD","!!!","")</f>
        <v/>
      </c>
      <c r="F3701" s="22" t="str">
        <f>IF(OR(E3701="",E3701="!!!"),"",IF(NOT(ISNA(VLOOKUP(E3701,E$1:E3700,1,FALSE()))),"OLD",IF(AND(E3701&lt;&gt;"",E3701&lt;&gt;"!!!"),"NEW","")))</f>
        <v> </v>
      </c>
      <c r="G3701" s="23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4" t="str">
        <f>IF(J3701&lt;&gt;1,"",IF(I3701="SBJ","CB","?"))</f>
        <v> </v>
      </c>
      <c r="I3701" s="25" t="str">
        <f>IF(OR(E3701="",E3701="!!!",F3701="NEW"),"",INDEX(B3700:B$2,-1+SUMPRODUCT(MAX(ROW(E3700:E$2)*(E3701=E3700:E$2)))))</f>
        <v> </v>
      </c>
      <c r="J3701" s="25" t="str">
        <f>IF(OR(E3701="",E3701="!!!",F3701="NEW"),"",COUNTBLANK(OFFSET(A$1,,,SUMPRODUCT(MAX(ROW(E$2:E3701)*(E3701=E$2:E3701)))))-COUNTBLANK(OFFSET(A$1,,,SUMPRODUCT(MAX(ROW(E$1:E3700)*(E2=E$1:E3700))))))</f>
        <v> </v>
      </c>
      <c r="K3701" s="25" t="str">
        <f>IF(OR(E3701="",E3701="!!!",F3701="NEW"),"",INDEX(J$1:J3700,SUMPRODUCT(MAX(ROW(E$1:E3700)*(E3701=E$1:E3700)))))</f>
        <v> </v>
      </c>
      <c r="L3701" s="26"/>
    </row>
    <row r="3702" spans="1:12">
      <c r="A3702" s="20" t="s">
        <v>1123</v>
      </c>
      <c r="E3702" s="21">
        <f>IF(D3702="?OLD","!!!","")</f>
        <v/>
      </c>
      <c r="F3702" s="22" t="str">
        <f>IF(OR(E3702="",E3702="!!!"),"",IF(NOT(ISNA(VLOOKUP(E3702,E$1:E3701,1,FALSE()))),"OLD",IF(AND(E3702&lt;&gt;"",E3702&lt;&gt;"!!!"),"NEW","")))</f>
        <v> </v>
      </c>
      <c r="G3702" s="23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4" t="str">
        <f>IF(J3702&lt;&gt;1,"",IF(I3702="SBJ","CB","?"))</f>
        <v> </v>
      </c>
      <c r="I3702" s="25" t="str">
        <f>IF(OR(E3702="",E3702="!!!",F3702="NEW"),"",INDEX(B3701:B$2,-1+SUMPRODUCT(MAX(ROW(E3701:E$2)*(E3702=E3701:E$2)))))</f>
        <v> </v>
      </c>
      <c r="J3702" s="25" t="str">
        <f>IF(OR(E3702="",E3702="!!!",F3702="NEW"),"",COUNTBLANK(OFFSET(A$1,,,SUMPRODUCT(MAX(ROW(E$2:E3702)*(E3702=E$2:E3702)))))-COUNTBLANK(OFFSET(A$1,,,SUMPRODUCT(MAX(ROW(E$1:E3701)*(E2=E$1:E3701))))))</f>
        <v> </v>
      </c>
      <c r="K3702" s="25" t="str">
        <f>IF(OR(E3702="",E3702="!!!",F3702="NEW"),"",INDEX(J$1:J3701,SUMPRODUCT(MAX(ROW(E$1:E3701)*(E3702=E$1:E3701)))))</f>
        <v> </v>
      </c>
      <c r="L3702" s="26"/>
    </row>
    <row r="3703" spans="1:12">
      <c r="A3703" s="20" t="s">
        <v>228</v>
      </c>
      <c r="E3703" s="21">
        <f>IF(D3703="?OLD","!!!","")</f>
        <v/>
      </c>
      <c r="F3703" s="22" t="str">
        <f>IF(OR(E3703="",E3703="!!!"),"",IF(NOT(ISNA(VLOOKUP(E3703,E$1:E3702,1,FALSE()))),"OLD",IF(AND(E3703&lt;&gt;"",E3703&lt;&gt;"!!!"),"NEW","")))</f>
        <v> </v>
      </c>
      <c r="G3703" s="23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4" t="str">
        <f>IF(J3703&lt;&gt;1,"",IF(I3703="SBJ","CB","?"))</f>
        <v> </v>
      </c>
      <c r="I3703" s="25" t="str">
        <f>IF(OR(E3703="",E3703="!!!",F3703="NEW"),"",INDEX(B3702:B$2,-1+SUMPRODUCT(MAX(ROW(E3702:E$2)*(E3703=E3702:E$2)))))</f>
        <v> </v>
      </c>
      <c r="J3703" s="25" t="str">
        <f>IF(OR(E3703="",E3703="!!!",F3703="NEW"),"",COUNTBLANK(OFFSET(A$1,,,SUMPRODUCT(MAX(ROW(E$2:E3703)*(E3703=E$2:E3703)))))-COUNTBLANK(OFFSET(A$1,,,SUMPRODUCT(MAX(ROW(E$1:E3702)*(E2=E$1:E3702))))))</f>
        <v> </v>
      </c>
      <c r="K3703" s="25" t="str">
        <f>IF(OR(E3703="",E3703="!!!",F3703="NEW"),"",INDEX(J$1:J3702,SUMPRODUCT(MAX(ROW(E$1:E3702)*(E3703=E$1:E3702)))))</f>
        <v> </v>
      </c>
      <c r="L3703" s="26"/>
    </row>
    <row r="3704" spans="1:12">
      <c r="A3704" s="20" t="s">
        <v>2767</v>
      </c>
      <c r="E3704" s="21">
        <f>IF(D3704="?OLD","!!!","")</f>
        <v/>
      </c>
      <c r="F3704" s="22" t="str">
        <f>IF(OR(E3704="",E3704="!!!"),"",IF(NOT(ISNA(VLOOKUP(E3704,E$1:E3703,1,FALSE()))),"OLD",IF(AND(E3704&lt;&gt;"",E3704&lt;&gt;"!!!"),"NEW","")))</f>
        <v> </v>
      </c>
      <c r="G3704" s="23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4" t="str">
        <f>IF(J3704&lt;&gt;1,"",IF(I3704="SBJ","CB","?"))</f>
        <v> </v>
      </c>
      <c r="I3704" s="25" t="str">
        <f>IF(OR(E3704="",E3704="!!!",F3704="NEW"),"",INDEX(B3703:B$2,-1+SUMPRODUCT(MAX(ROW(E3703:E$2)*(E3704=E3703:E$2)))))</f>
        <v> </v>
      </c>
      <c r="J3704" s="25" t="str">
        <f>IF(OR(E3704="",E3704="!!!",F3704="NEW"),"",COUNTBLANK(OFFSET(A$1,,,SUMPRODUCT(MAX(ROW(E$2:E3704)*(E3704=E$2:E3704)))))-COUNTBLANK(OFFSET(A$1,,,SUMPRODUCT(MAX(ROW(E$1:E3703)*(E2=E$1:E3703))))))</f>
        <v> </v>
      </c>
      <c r="K3704" s="25" t="str">
        <f>IF(OR(E3704="",E3704="!!!",F3704="NEW"),"",INDEX(J$1:J3703,SUMPRODUCT(MAX(ROW(E$1:E3703)*(E3704=E$1:E3703)))))</f>
        <v> </v>
      </c>
      <c r="L3704" s="26"/>
    </row>
    <row r="3705" spans="1:12">
      <c r="A3705" s="20" t="s">
        <v>2768</v>
      </c>
      <c r="B3705" s="27" t="s">
        <v>1125</v>
      </c>
      <c r="E3705" s="21">
        <f>IF(D3705="?OLD","!!!","")</f>
        <v/>
      </c>
      <c r="F3705" s="22" t="str">
        <f>IF(OR(E3705="",E3705="!!!"),"",IF(NOT(ISNA(VLOOKUP(E3705,E$1:E3704,1,FALSE()))),"OLD",IF(AND(E3705&lt;&gt;"",E3705&lt;&gt;"!!!"),"NEW","")))</f>
        <v> </v>
      </c>
      <c r="G3705" s="23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4" t="str">
        <f>IF(J3705&lt;&gt;1,"",IF(I3705="SBJ","CB","?"))</f>
        <v> </v>
      </c>
      <c r="I3705" s="25" t="str">
        <f>IF(OR(E3705="",E3705="!!!",F3705="NEW"),"",INDEX(B3704:B$2,-1+SUMPRODUCT(MAX(ROW(E3704:E$2)*(E3705=E3704:E$2)))))</f>
        <v> </v>
      </c>
      <c r="J3705" s="25" t="str">
        <f>IF(OR(E3705="",E3705="!!!",F3705="NEW"),"",COUNTBLANK(OFFSET(A$1,,,SUMPRODUCT(MAX(ROW(E$2:E3705)*(E3705=E$2:E3705)))))-COUNTBLANK(OFFSET(A$1,,,SUMPRODUCT(MAX(ROW(E$1:E3704)*(E2=E$1:E3704))))))</f>
        <v> </v>
      </c>
      <c r="K3705" s="25" t="str">
        <f>IF(OR(E3705="",E3705="!!!",F3705="NEW"),"",INDEX(J$1:J3704,SUMPRODUCT(MAX(ROW(E$1:E3704)*(E3705=E$1:E3704)))))</f>
        <v> </v>
      </c>
      <c r="L3705" s="26"/>
    </row>
    <row r="3706" spans="1:12">
      <c r="A3706" s="20" t="s">
        <v>1123</v>
      </c>
      <c r="E3706" s="21">
        <f>IF(D3706="?OLD","!!!","")</f>
        <v/>
      </c>
      <c r="F3706" s="22" t="str">
        <f>IF(OR(E3706="",E3706="!!!"),"",IF(NOT(ISNA(VLOOKUP(E3706,E$1:E3705,1,FALSE()))),"OLD",IF(AND(E3706&lt;&gt;"",E3706&lt;&gt;"!!!"),"NEW","")))</f>
        <v> </v>
      </c>
      <c r="G3706" s="23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4" t="str">
        <f>IF(J3706&lt;&gt;1,"",IF(I3706="SBJ","CB","?"))</f>
        <v> </v>
      </c>
      <c r="I3706" s="25" t="str">
        <f>IF(OR(E3706="",E3706="!!!",F3706="NEW"),"",INDEX(B3705:B$2,-1+SUMPRODUCT(MAX(ROW(E3705:E$2)*(E3706=E3705:E$2)))))</f>
        <v> </v>
      </c>
      <c r="J3706" s="25" t="str">
        <f>IF(OR(E3706="",E3706="!!!",F3706="NEW"),"",COUNTBLANK(OFFSET(A$1,,,SUMPRODUCT(MAX(ROW(E$2:E3706)*(E3706=E$2:E3706)))))-COUNTBLANK(OFFSET(A$1,,,SUMPRODUCT(MAX(ROW(E$1:E3705)*(E2=E$1:E3705))))))</f>
        <v> </v>
      </c>
      <c r="K3706" s="25" t="str">
        <f>IF(OR(E3706="",E3706="!!!",F3706="NEW"),"",INDEX(J$1:J3705,SUMPRODUCT(MAX(ROW(E$1:E3705)*(E3706=E$1:E3705)))))</f>
        <v> </v>
      </c>
      <c r="L3706" s="26"/>
    </row>
    <row r="3707" spans="1:12">
      <c r="A3707" s="20" t="s">
        <v>2769</v>
      </c>
      <c r="E3707" s="21">
        <f>IF(D3707="?OLD","!!!","")</f>
        <v/>
      </c>
      <c r="F3707" s="22" t="str">
        <f>IF(OR(E3707="",E3707="!!!"),"",IF(NOT(ISNA(VLOOKUP(E3707,E$1:E3706,1,FALSE()))),"OLD",IF(AND(E3707&lt;&gt;"",E3707&lt;&gt;"!!!"),"NEW","")))</f>
        <v> </v>
      </c>
      <c r="G3707" s="23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4" t="str">
        <f>IF(J3707&lt;&gt;1,"",IF(I3707="SBJ","CB","?"))</f>
        <v> </v>
      </c>
      <c r="I3707" s="25" t="str">
        <f>IF(OR(E3707="",E3707="!!!",F3707="NEW"),"",INDEX(B3706:B$2,-1+SUMPRODUCT(MAX(ROW(E3706:E$2)*(E3707=E3706:E$2)))))</f>
        <v> </v>
      </c>
      <c r="J3707" s="25" t="str">
        <f>IF(OR(E3707="",E3707="!!!",F3707="NEW"),"",COUNTBLANK(OFFSET(A$1,,,SUMPRODUCT(MAX(ROW(E$2:E3707)*(E3707=E$2:E3707)))))-COUNTBLANK(OFFSET(A$1,,,SUMPRODUCT(MAX(ROW(E$1:E3706)*(E2=E$1:E3706))))))</f>
        <v> </v>
      </c>
      <c r="K3707" s="25" t="str">
        <f>IF(OR(E3707="",E3707="!!!",F3707="NEW"),"",INDEX(J$1:J3706,SUMPRODUCT(MAX(ROW(E$1:E3706)*(E3707=E$1:E3706)))))</f>
        <v> </v>
      </c>
      <c r="L3707" s="26"/>
    </row>
    <row r="3708" spans="1:12">
      <c r="A3708" s="20" t="s">
        <v>1824</v>
      </c>
      <c r="E3708" s="21">
        <f>IF(D3708="?OLD","!!!","")</f>
        <v/>
      </c>
      <c r="F3708" s="22" t="str">
        <f>IF(OR(E3708="",E3708="!!!"),"",IF(NOT(ISNA(VLOOKUP(E3708,E$1:E3707,1,FALSE()))),"OLD",IF(AND(E3708&lt;&gt;"",E3708&lt;&gt;"!!!"),"NEW","")))</f>
        <v> </v>
      </c>
      <c r="G3708" s="23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4" t="str">
        <f>IF(J3708&lt;&gt;1,"",IF(I3708="SBJ","CB","?"))</f>
        <v> </v>
      </c>
      <c r="I3708" s="25" t="str">
        <f>IF(OR(E3708="",E3708="!!!",F3708="NEW"),"",INDEX(B3707:B$2,-1+SUMPRODUCT(MAX(ROW(E3707:E$2)*(E3708=E3707:E$2)))))</f>
        <v> </v>
      </c>
      <c r="J3708" s="25" t="str">
        <f>IF(OR(E3708="",E3708="!!!",F3708="NEW"),"",COUNTBLANK(OFFSET(A$1,,,SUMPRODUCT(MAX(ROW(E$2:E3708)*(E3708=E$2:E3708)))))-COUNTBLANK(OFFSET(A$1,,,SUMPRODUCT(MAX(ROW(E$1:E3707)*(E2=E$1:E3707))))))</f>
        <v> </v>
      </c>
      <c r="K3708" s="25" t="str">
        <f>IF(OR(E3708="",E3708="!!!",F3708="NEW"),"",INDEX(J$1:J3707,SUMPRODUCT(MAX(ROW(E$1:E3707)*(E3708=E$1:E3707)))))</f>
        <v> </v>
      </c>
      <c r="L3708" s="26"/>
    </row>
    <row r="3709" spans="1:12">
      <c r="A3709" s="20" t="s">
        <v>2658</v>
      </c>
      <c r="E3709" s="21">
        <f>IF(D3709="?OLD","!!!","")</f>
        <v/>
      </c>
      <c r="F3709" s="22" t="str">
        <f>IF(OR(E3709="",E3709="!!!"),"",IF(NOT(ISNA(VLOOKUP(E3709,E$1:E3708,1,FALSE()))),"OLD",IF(AND(E3709&lt;&gt;"",E3709&lt;&gt;"!!!"),"NEW","")))</f>
        <v> </v>
      </c>
      <c r="G3709" s="23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4" t="str">
        <f>IF(J3709&lt;&gt;1,"",IF(I3709="SBJ","CB","?"))</f>
        <v> </v>
      </c>
      <c r="I3709" s="25" t="str">
        <f>IF(OR(E3709="",E3709="!!!",F3709="NEW"),"",INDEX(B3708:B$2,-1+SUMPRODUCT(MAX(ROW(E3708:E$2)*(E3709=E3708:E$2)))))</f>
        <v> </v>
      </c>
      <c r="J3709" s="25" t="str">
        <f>IF(OR(E3709="",E3709="!!!",F3709="NEW"),"",COUNTBLANK(OFFSET(A$1,,,SUMPRODUCT(MAX(ROW(E$2:E3709)*(E3709=E$2:E3709)))))-COUNTBLANK(OFFSET(A$1,,,SUMPRODUCT(MAX(ROW(E$1:E3708)*(E2=E$1:E3708))))))</f>
        <v> </v>
      </c>
      <c r="K3709" s="25" t="str">
        <f>IF(OR(E3709="",E3709="!!!",F3709="NEW"),"",INDEX(J$1:J3708,SUMPRODUCT(MAX(ROW(E$1:E3708)*(E3709=E$1:E3708)))))</f>
        <v> </v>
      </c>
      <c r="L3709" s="26"/>
    </row>
    <row r="3710" spans="1:12">
      <c r="A3710" s="20" t="s">
        <v>1145</v>
      </c>
      <c r="E3710" s="21">
        <f>IF(D3710="?OLD","!!!","")</f>
        <v/>
      </c>
      <c r="F3710" s="22" t="str">
        <f>IF(OR(E3710="",E3710="!!!"),"",IF(NOT(ISNA(VLOOKUP(E3710,E$1:E3709,1,FALSE()))),"OLD",IF(AND(E3710&lt;&gt;"",E3710&lt;&gt;"!!!"),"NEW","")))</f>
        <v> </v>
      </c>
      <c r="G3710" s="23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4" t="str">
        <f>IF(J3710&lt;&gt;1,"",IF(I3710="SBJ","CB","?"))</f>
        <v> </v>
      </c>
      <c r="I3710" s="25" t="str">
        <f>IF(OR(E3710="",E3710="!!!",F3710="NEW"),"",INDEX(B3709:B$2,-1+SUMPRODUCT(MAX(ROW(E3709:E$2)*(E3710=E3709:E$2)))))</f>
        <v> </v>
      </c>
      <c r="J3710" s="25" t="str">
        <f>IF(OR(E3710="",E3710="!!!",F3710="NEW"),"",COUNTBLANK(OFFSET(A$1,,,SUMPRODUCT(MAX(ROW(E$2:E3710)*(E3710=E$2:E3710)))))-COUNTBLANK(OFFSET(A$1,,,SUMPRODUCT(MAX(ROW(E$1:E3709)*(E2=E$1:E3709))))))</f>
        <v> </v>
      </c>
      <c r="K3710" s="25" t="str">
        <f>IF(OR(E3710="",E3710="!!!",F3710="NEW"),"",INDEX(J$1:J3709,SUMPRODUCT(MAX(ROW(E$1:E3709)*(E3710=E$1:E3709)))))</f>
        <v> </v>
      </c>
      <c r="L3710" s="26"/>
    </row>
    <row r="3711" spans="1:12">
      <c r="A3711" s="20"/>
    </row>
    <row r="3712" spans="1:12">
      <c r="A3712" s="20" t="s">
        <v>2770</v>
      </c>
    </row>
    <row r="3713" spans="1:12">
      <c r="A3713" s="20" t="s">
        <v>2455</v>
      </c>
      <c r="E3713" s="21">
        <f>IF(D3713="?OLD","!!!","")</f>
        <v/>
      </c>
      <c r="F3713" s="22" t="str">
        <f>IF(OR(E3713="",E3713="!!!"),"",IF(NOT(ISNA(VLOOKUP(E3713,E$1:E3712,1,FALSE()))),"OLD",IF(AND(E3713&lt;&gt;"",E3713&lt;&gt;"!!!"),"NEW","")))</f>
        <v> </v>
      </c>
      <c r="G3713" s="23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4" t="str">
        <f>IF(J3713&lt;&gt;1,"",IF(I3713="SBJ","CB","?"))</f>
        <v> </v>
      </c>
      <c r="I3713" s="25" t="str">
        <f>IF(OR(E3713="",E3713="!!!",F3713="NEW"),"",INDEX(B3712:B$2,-1+SUMPRODUCT(MAX(ROW(E3712:E$2)*(E3713=E3712:E$2)))))</f>
        <v> </v>
      </c>
      <c r="J3713" s="25" t="str">
        <f>IF(OR(E3713="",E3713="!!!",F3713="NEW"),"",COUNTBLANK(OFFSET(A$1,,,SUMPRODUCT(MAX(ROW(E$2:E3713)*(E3713=E$2:E3713)))))-COUNTBLANK(OFFSET(A$1,,,SUMPRODUCT(MAX(ROW(E$1:E3712)*(E2=E$1:E3712))))))</f>
        <v> </v>
      </c>
      <c r="K3713" s="25" t="str">
        <f>IF(OR(E3713="",E3713="!!!",F3713="NEW"),"",INDEX(J$1:J3712,SUMPRODUCT(MAX(ROW(E$1:E3712)*(E3713=E$1:E3712)))))</f>
        <v> </v>
      </c>
      <c r="L3713" s="26"/>
    </row>
    <row r="3714" spans="1:12">
      <c r="A3714" s="20" t="s">
        <v>1609</v>
      </c>
      <c r="B3714" s="27" t="s">
        <v>1149</v>
      </c>
      <c r="C3714" s="27" t="s">
        <v>1156</v>
      </c>
      <c r="D3714" s="27" t="s">
        <v>1105</v>
      </c>
      <c r="E3714" s="21">
        <f>IF(D3714="?OLD","!!!","")</f>
        <v/>
      </c>
      <c r="F3714" s="22" t="str">
        <f>IF(OR(E3714="",E3714="!!!"),"",IF(NOT(ISNA(VLOOKUP(E3714,E$1:E3713,1,FALSE()))),"OLD",IF(AND(E3714&lt;&gt;"",E3714&lt;&gt;"!!!"),"NEW","")))</f>
        <v> </v>
      </c>
      <c r="G3714" s="23" t="str">
        <f>IF(OR(E3714="",E3714="!!!"),"",IF(OR(J3714=0,AND(J3714=1,K3714=1),AND(J3714=1,I3714="SBJ"),AND(J3714=1,I3714=0)),"?IN_FOCUS",IF(J3714&lt;=2,"?ACTIVATED",IF(J3714&lt;&gt;"","?FAMILIAR",IF(F3714="NEW",IF(ISNA(VLOOKUP(E3714,#REF!,1,FALSE())),"?TYPE_IDENTIFIABLE","?REFERENTIAL"),"_")))))</f>
        <v> </v>
      </c>
      <c r="H3714" s="24" t="str">
        <f>IF(J3714&lt;&gt;1,"",IF(I3714="SBJ","CB","?"))</f>
        <v> </v>
      </c>
      <c r="I3714" s="25" t="str">
        <f>IF(OR(E3714="",E3714="!!!",F3714="NEW"),"",INDEX(B3713:B$2,-1+SUMPRODUCT(MAX(ROW(E3713:E$2)*(E3714=E3713:E$2)))))</f>
        <v> </v>
      </c>
      <c r="J3714" s="25" t="str">
        <f>IF(OR(E3714="",E3714="!!!",F3714="NEW"),"",COUNTBLANK(OFFSET(A$1,,,SUMPRODUCT(MAX(ROW(E$2:E3714)*(E3714=E$2:E3714)))))-COUNTBLANK(OFFSET(A$1,,,SUMPRODUCT(MAX(ROW(E$1:E3713)*(E2=E$1:E3713))))))</f>
        <v> </v>
      </c>
      <c r="K3714" s="25" t="str">
        <f>IF(OR(E3714="",E3714="!!!",F3714="NEW"),"",INDEX(J$1:J3713,SUMPRODUCT(MAX(ROW(E$1:E3713)*(E3714=E$1:E3713)))))</f>
        <v> </v>
      </c>
      <c r="L3714" s="26"/>
    </row>
    <row r="3715" spans="1:12">
      <c r="A3715" s="20" t="s">
        <v>1130</v>
      </c>
      <c r="E3715" s="21">
        <f>IF(D3715="?OLD","!!!","")</f>
        <v/>
      </c>
      <c r="F3715" s="22" t="str">
        <f>IF(OR(E3715="",E3715="!!!"),"",IF(NOT(ISNA(VLOOKUP(E3715,E$1:E3714,1,FALSE()))),"OLD",IF(AND(E3715&lt;&gt;"",E3715&lt;&gt;"!!!"),"NEW","")))</f>
        <v> </v>
      </c>
      <c r="G3715" s="23" t="str">
        <f>IF(OR(E3715="",E3715="!!!"),"",IF(OR(J3715=0,AND(J3715=1,K3715=1),AND(J3715=1,I3715="SBJ"),AND(J3715=1,I3715=0)),"?IN_FOCUS",IF(J3715&lt;=2,"?ACTIVATED",IF(J3715&lt;&gt;"","?FAMILIAR",IF(F3715="NEW",IF(ISNA(VLOOKUP(E3715,#REF!,1,FALSE())),"?TYPE_IDENTIFIABLE","?REFERENTIAL"),"_")))))</f>
        <v> </v>
      </c>
      <c r="H3715" s="24" t="str">
        <f>IF(J3715&lt;&gt;1,"",IF(I3715="SBJ","CB","?"))</f>
        <v> </v>
      </c>
      <c r="I3715" s="25" t="str">
        <f>IF(OR(E3715="",E3715="!!!",F3715="NEW"),"",INDEX(B3714:B$2,-1+SUMPRODUCT(MAX(ROW(E3714:E$2)*(E3715=E3714:E$2)))))</f>
        <v> </v>
      </c>
      <c r="J3715" s="25" t="str">
        <f>IF(OR(E3715="",E3715="!!!",F3715="NEW"),"",COUNTBLANK(OFFSET(A$1,,,SUMPRODUCT(MAX(ROW(E$2:E3715)*(E3715=E$2:E3715)))))-COUNTBLANK(OFFSET(A$1,,,SUMPRODUCT(MAX(ROW(E$1:E3714)*(E2=E$1:E3714))))))</f>
        <v> </v>
      </c>
      <c r="K3715" s="25" t="str">
        <f>IF(OR(E3715="",E3715="!!!",F3715="NEW"),"",INDEX(J$1:J3714,SUMPRODUCT(MAX(ROW(E$1:E3714)*(E3715=E$1:E3714)))))</f>
        <v> </v>
      </c>
      <c r="L3715" s="26"/>
    </row>
    <row r="3716" spans="1:12">
      <c r="A3716" s="20" t="s">
        <v>2007</v>
      </c>
      <c r="E3716" s="21">
        <f>IF(D3716="?OLD","!!!","")</f>
        <v/>
      </c>
      <c r="F3716" s="22" t="str">
        <f>IF(OR(E3716="",E3716="!!!"),"",IF(NOT(ISNA(VLOOKUP(E3716,E$1:E3715,1,FALSE()))),"OLD",IF(AND(E3716&lt;&gt;"",E3716&lt;&gt;"!!!"),"NEW","")))</f>
        <v> </v>
      </c>
      <c r="G3716" s="23" t="str">
        <f>IF(OR(E3716="",E3716="!!!"),"",IF(OR(J3716=0,AND(J3716=1,K3716=1),AND(J3716=1,I3716="SBJ"),AND(J3716=1,I3716=0)),"?IN_FOCUS",IF(J3716&lt;=2,"?ACTIVATED",IF(J3716&lt;&gt;"","?FAMILIAR",IF(F3716="NEW",IF(ISNA(VLOOKUP(E3716,#REF!,1,FALSE())),"?TYPE_IDENTIFIABLE","?REFERENTIAL"),"_")))))</f>
        <v> </v>
      </c>
      <c r="H3716" s="24" t="str">
        <f>IF(J3716&lt;&gt;1,"",IF(I3716="SBJ","CB","?"))</f>
        <v> </v>
      </c>
      <c r="I3716" s="25" t="str">
        <f>IF(OR(E3716="",E3716="!!!",F3716="NEW"),"",INDEX(B3715:B$2,-1+SUMPRODUCT(MAX(ROW(E3715:E$2)*(E3716=E3715:E$2)))))</f>
        <v> </v>
      </c>
      <c r="J3716" s="25" t="str">
        <f>IF(OR(E3716="",E3716="!!!",F3716="NEW"),"",COUNTBLANK(OFFSET(A$1,,,SUMPRODUCT(MAX(ROW(E$2:E3716)*(E3716=E$2:E3716)))))-COUNTBLANK(OFFSET(A$1,,,SUMPRODUCT(MAX(ROW(E$1:E3715)*(E2=E$1:E3715))))))</f>
        <v> </v>
      </c>
      <c r="K3716" s="25" t="str">
        <f>IF(OR(E3716="",E3716="!!!",F3716="NEW"),"",INDEX(J$1:J3715,SUMPRODUCT(MAX(ROW(E$1:E3715)*(E3716=E$1:E3715)))))</f>
        <v> </v>
      </c>
      <c r="L3716" s="26"/>
    </row>
    <row r="3717" spans="1:12">
      <c r="A3717" s="20" t="s">
        <v>2771</v>
      </c>
      <c r="B3717" s="27" t="s">
        <v>1107</v>
      </c>
      <c r="C3717" s="27" t="s">
        <v>1116</v>
      </c>
      <c r="E3717" s="21">
        <f>IF(D3717="?OLD","!!!","")</f>
        <v/>
      </c>
      <c r="F3717" s="22" t="str">
        <f>IF(OR(E3717="",E3717="!!!"),"",IF(NOT(ISNA(VLOOKUP(E3717,E$1:E3716,1,FALSE()))),"OLD",IF(AND(E3717&lt;&gt;"",E3717&lt;&gt;"!!!"),"NEW","")))</f>
        <v> </v>
      </c>
      <c r="G3717" s="23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4" t="str">
        <f>IF(J3717&lt;&gt;1,"",IF(I3717="SBJ","CB","?"))</f>
        <v> </v>
      </c>
      <c r="I3717" s="25" t="str">
        <f>IF(OR(E3717="",E3717="!!!",F3717="NEW"),"",INDEX(B3716:B$2,-1+SUMPRODUCT(MAX(ROW(E3716:E$2)*(E3717=E3716:E$2)))))</f>
        <v> </v>
      </c>
      <c r="J3717" s="25" t="str">
        <f>IF(OR(E3717="",E3717="!!!",F3717="NEW"),"",COUNTBLANK(OFFSET(A$1,,,SUMPRODUCT(MAX(ROW(E$2:E3717)*(E3717=E$2:E3717)))))-COUNTBLANK(OFFSET(A$1,,,SUMPRODUCT(MAX(ROW(E$1:E3716)*(E2=E$1:E3716))))))</f>
        <v> </v>
      </c>
      <c r="K3717" s="25" t="str">
        <f>IF(OR(E3717="",E3717="!!!",F3717="NEW"),"",INDEX(J$1:J3716,SUMPRODUCT(MAX(ROW(E$1:E3716)*(E3717=E$1:E3716)))))</f>
        <v> </v>
      </c>
      <c r="L3717" s="26"/>
    </row>
    <row r="3718" spans="1:12">
      <c r="A3718" s="20" t="s">
        <v>1128</v>
      </c>
      <c r="E3718" s="21">
        <f>IF(D3718="?OLD","!!!","")</f>
        <v/>
      </c>
      <c r="F3718" s="22" t="str">
        <f>IF(OR(E3718="",E3718="!!!"),"",IF(NOT(ISNA(VLOOKUP(E3718,E$1:E3717,1,FALSE()))),"OLD",IF(AND(E3718&lt;&gt;"",E3718&lt;&gt;"!!!"),"NEW","")))</f>
        <v> </v>
      </c>
      <c r="G3718" s="23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4" t="str">
        <f>IF(J3718&lt;&gt;1,"",IF(I3718="SBJ","CB","?"))</f>
        <v> </v>
      </c>
      <c r="I3718" s="25" t="str">
        <f>IF(OR(E3718="",E3718="!!!",F3718="NEW"),"",INDEX(B3717:B$2,-1+SUMPRODUCT(MAX(ROW(E3717:E$2)*(E3718=E3717:E$2)))))</f>
        <v> </v>
      </c>
      <c r="J3718" s="25" t="str">
        <f>IF(OR(E3718="",E3718="!!!",F3718="NEW"),"",COUNTBLANK(OFFSET(A$1,,,SUMPRODUCT(MAX(ROW(E$2:E3718)*(E3718=E$2:E3718)))))-COUNTBLANK(OFFSET(A$1,,,SUMPRODUCT(MAX(ROW(E$1:E3717)*(E2=E$1:E3717))))))</f>
        <v> </v>
      </c>
      <c r="K3718" s="25" t="str">
        <f>IF(OR(E3718="",E3718="!!!",F3718="NEW"),"",INDEX(J$1:J3717,SUMPRODUCT(MAX(ROW(E$1:E3717)*(E3718=E$1:E3717)))))</f>
        <v> </v>
      </c>
      <c r="L3718" s="26"/>
    </row>
    <row r="3719" spans="1:12">
      <c r="A3719" s="20" t="s">
        <v>2772</v>
      </c>
      <c r="E3719" s="21">
        <f>IF(D3719="?OLD","!!!","")</f>
        <v/>
      </c>
      <c r="F3719" s="22" t="str">
        <f>IF(OR(E3719="",E3719="!!!"),"",IF(NOT(ISNA(VLOOKUP(E3719,E$1:E3718,1,FALSE()))),"OLD",IF(AND(E3719&lt;&gt;"",E3719&lt;&gt;"!!!"),"NEW","")))</f>
        <v> </v>
      </c>
      <c r="G3719" s="23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4" t="str">
        <f>IF(J3719&lt;&gt;1,"",IF(I3719="SBJ","CB","?"))</f>
        <v> </v>
      </c>
      <c r="I3719" s="25" t="str">
        <f>IF(OR(E3719="",E3719="!!!",F3719="NEW"),"",INDEX(B3718:B$2,-1+SUMPRODUCT(MAX(ROW(E3718:E$2)*(E3719=E3718:E$2)))))</f>
        <v> </v>
      </c>
      <c r="J3719" s="25" t="str">
        <f>IF(OR(E3719="",E3719="!!!",F3719="NEW"),"",COUNTBLANK(OFFSET(A$1,,,SUMPRODUCT(MAX(ROW(E$2:E3719)*(E3719=E$2:E3719)))))-COUNTBLANK(OFFSET(A$1,,,SUMPRODUCT(MAX(ROW(E$1:E3718)*(E2=E$1:E3718))))))</f>
        <v> </v>
      </c>
      <c r="K3719" s="25" t="str">
        <f>IF(OR(E3719="",E3719="!!!",F3719="NEW"),"",INDEX(J$1:J3718,SUMPRODUCT(MAX(ROW(E$1:E3718)*(E3719=E$1:E3718)))))</f>
        <v> </v>
      </c>
      <c r="L3719" s="26"/>
    </row>
    <row r="3720" spans="1:12">
      <c r="A3720" s="20" t="s">
        <v>2773</v>
      </c>
      <c r="E3720" s="21">
        <f>IF(D3720="?OLD","!!!","")</f>
        <v/>
      </c>
      <c r="F3720" s="22" t="str">
        <f>IF(OR(E3720="",E3720="!!!"),"",IF(NOT(ISNA(VLOOKUP(E3720,E$1:E3719,1,FALSE()))),"OLD",IF(AND(E3720&lt;&gt;"",E3720&lt;&gt;"!!!"),"NEW","")))</f>
        <v> </v>
      </c>
      <c r="G3720" s="23" t="str">
        <f>IF(OR(E3720="",E3720="!!!"),"",IF(OR(J3720=0,AND(J3720=1,K3720=1),AND(J3720=1,I3720="SBJ"),AND(J3720=1,I3720=0)),"?IN_FOCUS",IF(J3720&lt;=2,"?ACTIVATED",IF(J3720&lt;&gt;"","?FAMILIAR",IF(F3720="NEW",IF(ISNA(VLOOKUP(E3720,#REF!,1,FALSE())),"?TYPE_IDENTIFIABLE","?REFERENTIAL"),"_")))))</f>
        <v> </v>
      </c>
      <c r="H3720" s="24" t="str">
        <f>IF(J3720&lt;&gt;1,"",IF(I3720="SBJ","CB","?"))</f>
        <v> </v>
      </c>
      <c r="I3720" s="25" t="str">
        <f>IF(OR(E3720="",E3720="!!!",F3720="NEW"),"",INDEX(B3719:B$2,-1+SUMPRODUCT(MAX(ROW(E3719:E$2)*(E3720=E3719:E$2)))))</f>
        <v> </v>
      </c>
      <c r="J3720" s="25" t="str">
        <f>IF(OR(E3720="",E3720="!!!",F3720="NEW"),"",COUNTBLANK(OFFSET(A$1,,,SUMPRODUCT(MAX(ROW(E$2:E3720)*(E3720=E$2:E3720)))))-COUNTBLANK(OFFSET(A$1,,,SUMPRODUCT(MAX(ROW(E$1:E3719)*(E2=E$1:E3719))))))</f>
        <v> </v>
      </c>
      <c r="K3720" s="25" t="str">
        <f>IF(OR(E3720="",E3720="!!!",F3720="NEW"),"",INDEX(J$1:J3719,SUMPRODUCT(MAX(ROW(E$1:E3719)*(E3720=E$1:E3719)))))</f>
        <v> </v>
      </c>
      <c r="L3720" s="26"/>
    </row>
    <row r="3721" spans="1:12">
      <c r="A3721" s="20" t="s">
        <v>1270</v>
      </c>
      <c r="B3721" s="27" t="s">
        <v>1213</v>
      </c>
      <c r="C3721" s="27" t="s">
        <v>1126</v>
      </c>
      <c r="D3721" s="27" t="s">
        <v>1105</v>
      </c>
      <c r="E3721" s="21">
        <f>IF(D3721="?OLD","!!!","")</f>
        <v/>
      </c>
      <c r="F3721" s="22" t="str">
        <f>IF(OR(E3721="",E3721="!!!"),"",IF(NOT(ISNA(VLOOKUP(E3721,E$1:E3720,1,FALSE()))),"OLD",IF(AND(E3721&lt;&gt;"",E3721&lt;&gt;"!!!"),"NEW","")))</f>
        <v> </v>
      </c>
      <c r="G3721" s="23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4" t="str">
        <f>IF(J3721&lt;&gt;1,"",IF(I3721="SBJ","CB","?"))</f>
        <v> </v>
      </c>
      <c r="I3721" s="25" t="str">
        <f>IF(OR(E3721="",E3721="!!!",F3721="NEW"),"",INDEX(B3720:B$2,-1+SUMPRODUCT(MAX(ROW(E3720:E$2)*(E3721=E3720:E$2)))))</f>
        <v> </v>
      </c>
      <c r="J3721" s="25" t="str">
        <f>IF(OR(E3721="",E3721="!!!",F3721="NEW"),"",COUNTBLANK(OFFSET(A$1,,,SUMPRODUCT(MAX(ROW(E$2:E3721)*(E3721=E$2:E3721)))))-COUNTBLANK(OFFSET(A$1,,,SUMPRODUCT(MAX(ROW(E$1:E3720)*(E2=E$1:E3720))))))</f>
        <v> </v>
      </c>
      <c r="K3721" s="25" t="str">
        <f>IF(OR(E3721="",E3721="!!!",F3721="NEW"),"",INDEX(J$1:J3720,SUMPRODUCT(MAX(ROW(E$1:E3720)*(E3721=E$1:E3720)))))</f>
        <v> </v>
      </c>
      <c r="L3721" s="26"/>
    </row>
    <row r="3722" spans="1:12">
      <c r="A3722" s="20" t="s">
        <v>1253</v>
      </c>
      <c r="E3722" s="21">
        <f>IF(D3722="?OLD","!!!","")</f>
        <v/>
      </c>
      <c r="F3722" s="22" t="str">
        <f>IF(OR(E3722="",E3722="!!!"),"",IF(NOT(ISNA(VLOOKUP(E3722,E$1:E3721,1,FALSE()))),"OLD",IF(AND(E3722&lt;&gt;"",E3722&lt;&gt;"!!!"),"NEW","")))</f>
        <v> </v>
      </c>
      <c r="G3722" s="23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4" t="str">
        <f>IF(J3722&lt;&gt;1,"",IF(I3722="SBJ","CB","?"))</f>
        <v> </v>
      </c>
      <c r="I3722" s="25" t="str">
        <f>IF(OR(E3722="",E3722="!!!",F3722="NEW"),"",INDEX(B3721:B$2,-1+SUMPRODUCT(MAX(ROW(E3721:E$2)*(E3722=E3721:E$2)))))</f>
        <v> </v>
      </c>
      <c r="J3722" s="25" t="str">
        <f>IF(OR(E3722="",E3722="!!!",F3722="NEW"),"",COUNTBLANK(OFFSET(A$1,,,SUMPRODUCT(MAX(ROW(E$2:E3722)*(E3722=E$2:E3722)))))-COUNTBLANK(OFFSET(A$1,,,SUMPRODUCT(MAX(ROW(E$1:E3721)*(E2=E$1:E3721))))))</f>
        <v> </v>
      </c>
      <c r="K3722" s="25" t="str">
        <f>IF(OR(E3722="",E3722="!!!",F3722="NEW"),"",INDEX(J$1:J3721,SUMPRODUCT(MAX(ROW(E$1:E3721)*(E3722=E$1:E3721)))))</f>
        <v> </v>
      </c>
      <c r="L3722" s="26"/>
    </row>
    <row r="3723" spans="1:12">
      <c r="A3723" s="20" t="s">
        <v>2048</v>
      </c>
      <c r="E3723" s="21">
        <f>IF(D3723="?OLD","!!!","")</f>
        <v/>
      </c>
      <c r="F3723" s="22" t="str">
        <f>IF(OR(E3723="",E3723="!!!"),"",IF(NOT(ISNA(VLOOKUP(E3723,E$1:E3722,1,FALSE()))),"OLD",IF(AND(E3723&lt;&gt;"",E3723&lt;&gt;"!!!"),"NEW","")))</f>
        <v> </v>
      </c>
      <c r="G3723" s="23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4" t="str">
        <f>IF(J3723&lt;&gt;1,"",IF(I3723="SBJ","CB","?"))</f>
        <v> </v>
      </c>
      <c r="I3723" s="25" t="str">
        <f>IF(OR(E3723="",E3723="!!!",F3723="NEW"),"",INDEX(B3722:B$2,-1+SUMPRODUCT(MAX(ROW(E3722:E$2)*(E3723=E3722:E$2)))))</f>
        <v> </v>
      </c>
      <c r="J3723" s="25" t="str">
        <f>IF(OR(E3723="",E3723="!!!",F3723="NEW"),"",COUNTBLANK(OFFSET(A$1,,,SUMPRODUCT(MAX(ROW(E$2:E3723)*(E3723=E$2:E3723)))))-COUNTBLANK(OFFSET(A$1,,,SUMPRODUCT(MAX(ROW(E$1:E3722)*(E2=E$1:E3722))))))</f>
        <v> </v>
      </c>
      <c r="K3723" s="25" t="str">
        <f>IF(OR(E3723="",E3723="!!!",F3723="NEW"),"",INDEX(J$1:J3722,SUMPRODUCT(MAX(ROW(E$1:E3722)*(E3723=E$1:E3722)))))</f>
        <v> </v>
      </c>
      <c r="L3723" s="26"/>
    </row>
    <row r="3724" spans="1:12">
      <c r="A3724" s="20" t="s">
        <v>2559</v>
      </c>
      <c r="E3724" s="21">
        <f>IF(D3724="?OLD","!!!","")</f>
        <v/>
      </c>
      <c r="F3724" s="22" t="str">
        <f>IF(OR(E3724="",E3724="!!!"),"",IF(NOT(ISNA(VLOOKUP(E3724,E$1:E3723,1,FALSE()))),"OLD",IF(AND(E3724&lt;&gt;"",E3724&lt;&gt;"!!!"),"NEW","")))</f>
        <v> </v>
      </c>
      <c r="G3724" s="23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4" t="str">
        <f>IF(J3724&lt;&gt;1,"",IF(I3724="SBJ","CB","?"))</f>
        <v> </v>
      </c>
      <c r="I3724" s="25" t="str">
        <f>IF(OR(E3724="",E3724="!!!",F3724="NEW"),"",INDEX(B3723:B$2,-1+SUMPRODUCT(MAX(ROW(E3723:E$2)*(E3724=E3723:E$2)))))</f>
        <v> </v>
      </c>
      <c r="J3724" s="25" t="str">
        <f>IF(OR(E3724="",E3724="!!!",F3724="NEW"),"",COUNTBLANK(OFFSET(A$1,,,SUMPRODUCT(MAX(ROW(E$2:E3724)*(E3724=E$2:E3724)))))-COUNTBLANK(OFFSET(A$1,,,SUMPRODUCT(MAX(ROW(E$1:E3723)*(E2=E$1:E3723))))))</f>
        <v> </v>
      </c>
      <c r="K3724" s="25" t="str">
        <f>IF(OR(E3724="",E3724="!!!",F3724="NEW"),"",INDEX(J$1:J3723,SUMPRODUCT(MAX(ROW(E$1:E3723)*(E3724=E$1:E3723)))))</f>
        <v> </v>
      </c>
      <c r="L3724" s="26"/>
    </row>
    <row r="3725" spans="1:12">
      <c r="A3725" s="20" t="s">
        <v>1123</v>
      </c>
      <c r="E3725" s="21">
        <f>IF(D3725="?OLD","!!!","")</f>
        <v/>
      </c>
      <c r="F3725" s="22" t="str">
        <f>IF(OR(E3725="",E3725="!!!"),"",IF(NOT(ISNA(VLOOKUP(E3725,E$1:E3724,1,FALSE()))),"OLD",IF(AND(E3725&lt;&gt;"",E3725&lt;&gt;"!!!"),"NEW","")))</f>
        <v> </v>
      </c>
      <c r="G3725" s="23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4" t="str">
        <f>IF(J3725&lt;&gt;1,"",IF(I3725="SBJ","CB","?"))</f>
        <v> </v>
      </c>
      <c r="I3725" s="25" t="str">
        <f>IF(OR(E3725="",E3725="!!!",F3725="NEW"),"",INDEX(B3724:B$2,-1+SUMPRODUCT(MAX(ROW(E3724:E$2)*(E3725=E3724:E$2)))))</f>
        <v> </v>
      </c>
      <c r="J3725" s="25" t="str">
        <f>IF(OR(E3725="",E3725="!!!",F3725="NEW"),"",COUNTBLANK(OFFSET(A$1,,,SUMPRODUCT(MAX(ROW(E$2:E3725)*(E3725=E$2:E3725)))))-COUNTBLANK(OFFSET(A$1,,,SUMPRODUCT(MAX(ROW(E$1:E3724)*(E2=E$1:E3724))))))</f>
        <v> </v>
      </c>
      <c r="K3725" s="25" t="str">
        <f>IF(OR(E3725="",E3725="!!!",F3725="NEW"),"",INDEX(J$1:J3724,SUMPRODUCT(MAX(ROW(E$1:E3724)*(E3725=E$1:E3724)))))</f>
        <v> </v>
      </c>
      <c r="L3725" s="26"/>
    </row>
    <row r="3726" spans="1:12">
      <c r="A3726" s="20" t="s">
        <v>135</v>
      </c>
      <c r="B3726" s="27" t="s">
        <v>1122</v>
      </c>
      <c r="C3726" s="27" t="s">
        <v>1133</v>
      </c>
      <c r="E3726" s="21">
        <f>IF(D3726="?OLD","!!!","")</f>
        <v/>
      </c>
      <c r="F3726" s="22" t="str">
        <f>IF(OR(E3726="",E3726="!!!"),"",IF(NOT(ISNA(VLOOKUP(E3726,E$1:E3725,1,FALSE()))),"OLD",IF(AND(E3726&lt;&gt;"",E3726&lt;&gt;"!!!"),"NEW","")))</f>
        <v> </v>
      </c>
      <c r="G3726" s="23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4" t="str">
        <f>IF(J3726&lt;&gt;1,"",IF(I3726="SBJ","CB","?"))</f>
        <v> </v>
      </c>
      <c r="I3726" s="25" t="str">
        <f>IF(OR(E3726="",E3726="!!!",F3726="NEW"),"",INDEX(B3725:B$2,-1+SUMPRODUCT(MAX(ROW(E3725:E$2)*(E3726=E3725:E$2)))))</f>
        <v> </v>
      </c>
      <c r="J3726" s="25" t="str">
        <f>IF(OR(E3726="",E3726="!!!",F3726="NEW"),"",COUNTBLANK(OFFSET(A$1,,,SUMPRODUCT(MAX(ROW(E$2:E3726)*(E3726=E$2:E3726)))))-COUNTBLANK(OFFSET(A$1,,,SUMPRODUCT(MAX(ROW(E$1:E3725)*(E2=E$1:E3725))))))</f>
        <v> </v>
      </c>
      <c r="K3726" s="25" t="str">
        <f>IF(OR(E3726="",E3726="!!!",F3726="NEW"),"",INDEX(J$1:J3725,SUMPRODUCT(MAX(ROW(E$1:E3725)*(E3726=E$1:E3725)))))</f>
        <v> </v>
      </c>
      <c r="L3726" s="26"/>
    </row>
    <row r="3727" spans="1:12">
      <c r="A3727" s="20" t="s">
        <v>1242</v>
      </c>
      <c r="B3727" s="27" t="s">
        <v>1103</v>
      </c>
      <c r="C3727" s="27" t="s">
        <v>1126</v>
      </c>
      <c r="D3727" s="27" t="s">
        <v>1105</v>
      </c>
      <c r="E3727" s="21">
        <f>IF(D3727="?OLD","!!!","")</f>
        <v/>
      </c>
      <c r="F3727" s="22" t="str">
        <f>IF(OR(E3727="",E3727="!!!"),"",IF(NOT(ISNA(VLOOKUP(E3727,E$1:E3726,1,FALSE()))),"OLD",IF(AND(E3727&lt;&gt;"",E3727&lt;&gt;"!!!"),"NEW","")))</f>
        <v> </v>
      </c>
      <c r="G3727" s="23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4" t="str">
        <f>IF(J3727&lt;&gt;1,"",IF(I3727="SBJ","CB","?"))</f>
        <v> </v>
      </c>
      <c r="I3727" s="25" t="str">
        <f>IF(OR(E3727="",E3727="!!!",F3727="NEW"),"",INDEX(B3726:B$2,-1+SUMPRODUCT(MAX(ROW(E3726:E$2)*(E3727=E3726:E$2)))))</f>
        <v> </v>
      </c>
      <c r="J3727" s="25" t="str">
        <f>IF(OR(E3727="",E3727="!!!",F3727="NEW"),"",COUNTBLANK(OFFSET(A$1,,,SUMPRODUCT(MAX(ROW(E$2:E3727)*(E3727=E$2:E3727)))))-COUNTBLANK(OFFSET(A$1,,,SUMPRODUCT(MAX(ROW(E$1:E3726)*(E2=E$1:E3726))))))</f>
        <v> </v>
      </c>
      <c r="K3727" s="25" t="str">
        <f>IF(OR(E3727="",E3727="!!!",F3727="NEW"),"",INDEX(J$1:J3726,SUMPRODUCT(MAX(ROW(E$1:E3726)*(E3727=E$1:E3726)))))</f>
        <v> </v>
      </c>
      <c r="L3727" s="26"/>
    </row>
    <row r="3728" spans="1:12">
      <c r="A3728" s="20" t="s">
        <v>1113</v>
      </c>
      <c r="E3728" s="21">
        <f>IF(D3728="?OLD","!!!","")</f>
        <v/>
      </c>
      <c r="F3728" s="22" t="str">
        <f>IF(OR(E3728="",E3728="!!!"),"",IF(NOT(ISNA(VLOOKUP(E3728,E$1:E3727,1,FALSE()))),"OLD",IF(AND(E3728&lt;&gt;"",E3728&lt;&gt;"!!!"),"NEW","")))</f>
        <v> </v>
      </c>
      <c r="G3728" s="23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4" t="str">
        <f>IF(J3728&lt;&gt;1,"",IF(I3728="SBJ","CB","?"))</f>
        <v> </v>
      </c>
      <c r="I3728" s="25" t="str">
        <f>IF(OR(E3728="",E3728="!!!",F3728="NEW"),"",INDEX(B3727:B$2,-1+SUMPRODUCT(MAX(ROW(E3727:E$2)*(E3728=E3727:E$2)))))</f>
        <v> </v>
      </c>
      <c r="J3728" s="25" t="str">
        <f>IF(OR(E3728="",E3728="!!!",F3728="NEW"),"",COUNTBLANK(OFFSET(A$1,,,SUMPRODUCT(MAX(ROW(E$2:E3728)*(E3728=E$2:E3728)))))-COUNTBLANK(OFFSET(A$1,,,SUMPRODUCT(MAX(ROW(E$1:E3727)*(E2=E$1:E3727))))))</f>
        <v> </v>
      </c>
      <c r="K3728" s="25" t="str">
        <f>IF(OR(E3728="",E3728="!!!",F3728="NEW"),"",INDEX(J$1:J3727,SUMPRODUCT(MAX(ROW(E$1:E3727)*(E3728=E$1:E3727)))))</f>
        <v> </v>
      </c>
      <c r="L3728" s="26"/>
    </row>
    <row r="3729" spans="1:12">
      <c r="A3729" s="20" t="s">
        <v>2300</v>
      </c>
      <c r="E3729" s="21">
        <f>IF(D3729="?OLD","!!!","")</f>
        <v/>
      </c>
      <c r="F3729" s="22" t="str">
        <f>IF(OR(E3729="",E3729="!!!"),"",IF(NOT(ISNA(VLOOKUP(E3729,E$1:E3728,1,FALSE()))),"OLD",IF(AND(E3729&lt;&gt;"",E3729&lt;&gt;"!!!"),"NEW","")))</f>
        <v> </v>
      </c>
      <c r="G3729" s="23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4" t="str">
        <f>IF(J3729&lt;&gt;1,"",IF(I3729="SBJ","CB","?"))</f>
        <v> </v>
      </c>
      <c r="I3729" s="25" t="str">
        <f>IF(OR(E3729="",E3729="!!!",F3729="NEW"),"",INDEX(B3728:B$2,-1+SUMPRODUCT(MAX(ROW(E3728:E$2)*(E3729=E3728:E$2)))))</f>
        <v> </v>
      </c>
      <c r="J3729" s="25" t="str">
        <f>IF(OR(E3729="",E3729="!!!",F3729="NEW"),"",COUNTBLANK(OFFSET(A$1,,,SUMPRODUCT(MAX(ROW(E$2:E3729)*(E3729=E$2:E3729)))))-COUNTBLANK(OFFSET(A$1,,,SUMPRODUCT(MAX(ROW(E$1:E3728)*(E2=E$1:E3728))))))</f>
        <v> </v>
      </c>
      <c r="K3729" s="25" t="str">
        <f>IF(OR(E3729="",E3729="!!!",F3729="NEW"),"",INDEX(J$1:J3728,SUMPRODUCT(MAX(ROW(E$1:E3728)*(E3729=E$1:E3728)))))</f>
        <v> </v>
      </c>
      <c r="L3729" s="26"/>
    </row>
    <row r="3730" spans="1:12">
      <c r="A3730" s="20" t="s">
        <v>1128</v>
      </c>
      <c r="E3730" s="21">
        <f>IF(D3730="?OLD","!!!","")</f>
        <v/>
      </c>
      <c r="F3730" s="22" t="str">
        <f>IF(OR(E3730="",E3730="!!!"),"",IF(NOT(ISNA(VLOOKUP(E3730,E$1:E3729,1,FALSE()))),"OLD",IF(AND(E3730&lt;&gt;"",E3730&lt;&gt;"!!!"),"NEW","")))</f>
        <v> </v>
      </c>
      <c r="G3730" s="23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4" t="str">
        <f>IF(J3730&lt;&gt;1,"",IF(I3730="SBJ","CB","?"))</f>
        <v> </v>
      </c>
      <c r="I3730" s="25" t="str">
        <f>IF(OR(E3730="",E3730="!!!",F3730="NEW"),"",INDEX(B3729:B$2,-1+SUMPRODUCT(MAX(ROW(E3729:E$2)*(E3730=E3729:E$2)))))</f>
        <v> </v>
      </c>
      <c r="J3730" s="25" t="str">
        <f>IF(OR(E3730="",E3730="!!!",F3730="NEW"),"",COUNTBLANK(OFFSET(A$1,,,SUMPRODUCT(MAX(ROW(E$2:E3730)*(E3730=E$2:E3730)))))-COUNTBLANK(OFFSET(A$1,,,SUMPRODUCT(MAX(ROW(E$1:E3729)*(E2=E$1:E3729))))))</f>
        <v> </v>
      </c>
      <c r="K3730" s="25" t="str">
        <f>IF(OR(E3730="",E3730="!!!",F3730="NEW"),"",INDEX(J$1:J3729,SUMPRODUCT(MAX(ROW(E$1:E3729)*(E3730=E$1:E3729)))))</f>
        <v> </v>
      </c>
      <c r="L3730" s="26"/>
    </row>
    <row r="3731" spans="1:12">
      <c r="A3731" s="20" t="s">
        <v>2774</v>
      </c>
      <c r="E3731" s="21">
        <f>IF(D3731="?OLD","!!!","")</f>
        <v/>
      </c>
      <c r="F3731" s="22" t="str">
        <f>IF(OR(E3731="",E3731="!!!"),"",IF(NOT(ISNA(VLOOKUP(E3731,E$1:E3730,1,FALSE()))),"OLD",IF(AND(E3731&lt;&gt;"",E3731&lt;&gt;"!!!"),"NEW","")))</f>
        <v> </v>
      </c>
      <c r="G3731" s="23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4" t="str">
        <f>IF(J3731&lt;&gt;1,"",IF(I3731="SBJ","CB","?"))</f>
        <v> </v>
      </c>
      <c r="I3731" s="25" t="str">
        <f>IF(OR(E3731="",E3731="!!!",F3731="NEW"),"",INDEX(B3730:B$2,-1+SUMPRODUCT(MAX(ROW(E3730:E$2)*(E3731=E3730:E$2)))))</f>
        <v> </v>
      </c>
      <c r="J3731" s="25" t="str">
        <f>IF(OR(E3731="",E3731="!!!",F3731="NEW"),"",COUNTBLANK(OFFSET(A$1,,,SUMPRODUCT(MAX(ROW(E$2:E3731)*(E3731=E$2:E3731)))))-COUNTBLANK(OFFSET(A$1,,,SUMPRODUCT(MAX(ROW(E$1:E3730)*(E2=E$1:E3730))))))</f>
        <v> </v>
      </c>
      <c r="K3731" s="25" t="str">
        <f>IF(OR(E3731="",E3731="!!!",F3731="NEW"),"",INDEX(J$1:J3730,SUMPRODUCT(MAX(ROW(E$1:E3730)*(E3731=E$1:E3730)))))</f>
        <v> </v>
      </c>
      <c r="L3731" s="26"/>
    </row>
    <row r="3732" spans="1:12">
      <c r="A3732" s="20" t="s">
        <v>2775</v>
      </c>
      <c r="E3732" s="21">
        <f>IF(D3732="?OLD","!!!","")</f>
        <v/>
      </c>
      <c r="F3732" s="22" t="str">
        <f>IF(OR(E3732="",E3732="!!!"),"",IF(NOT(ISNA(VLOOKUP(E3732,E$1:E3731,1,FALSE()))),"OLD",IF(AND(E3732&lt;&gt;"",E3732&lt;&gt;"!!!"),"NEW","")))</f>
        <v> </v>
      </c>
      <c r="G3732" s="23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4" t="str">
        <f>IF(J3732&lt;&gt;1,"",IF(I3732="SBJ","CB","?"))</f>
        <v> </v>
      </c>
      <c r="I3732" s="25" t="str">
        <f>IF(OR(E3732="",E3732="!!!",F3732="NEW"),"",INDEX(B3731:B$2,-1+SUMPRODUCT(MAX(ROW(E3731:E$2)*(E3732=E3731:E$2)))))</f>
        <v> </v>
      </c>
      <c r="J3732" s="25" t="str">
        <f>IF(OR(E3732="",E3732="!!!",F3732="NEW"),"",COUNTBLANK(OFFSET(A$1,,,SUMPRODUCT(MAX(ROW(E$2:E3732)*(E3732=E$2:E3732)))))-COUNTBLANK(OFFSET(A$1,,,SUMPRODUCT(MAX(ROW(E$1:E3731)*(E2=E$1:E3731))))))</f>
        <v> </v>
      </c>
      <c r="K3732" s="25" t="str">
        <f>IF(OR(E3732="",E3732="!!!",F3732="NEW"),"",INDEX(J$1:J3731,SUMPRODUCT(MAX(ROW(E$1:E3731)*(E3732=E$1:E3731)))))</f>
        <v> </v>
      </c>
      <c r="L3732" s="26"/>
    </row>
    <row r="3733" spans="1:12">
      <c r="A3733" s="20" t="s">
        <v>1123</v>
      </c>
      <c r="E3733" s="21">
        <f>IF(D3733="?OLD","!!!","")</f>
        <v/>
      </c>
      <c r="F3733" s="22" t="str">
        <f>IF(OR(E3733="",E3733="!!!"),"",IF(NOT(ISNA(VLOOKUP(E3733,E$1:E3732,1,FALSE()))),"OLD",IF(AND(E3733&lt;&gt;"",E3733&lt;&gt;"!!!"),"NEW","")))</f>
        <v> </v>
      </c>
      <c r="G3733" s="23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4" t="str">
        <f>IF(J3733&lt;&gt;1,"",IF(I3733="SBJ","CB","?"))</f>
        <v> </v>
      </c>
      <c r="I3733" s="25" t="str">
        <f>IF(OR(E3733="",E3733="!!!",F3733="NEW"),"",INDEX(B3732:B$2,-1+SUMPRODUCT(MAX(ROW(E3732:E$2)*(E3733=E3732:E$2)))))</f>
        <v> </v>
      </c>
      <c r="J3733" s="25" t="str">
        <f>IF(OR(E3733="",E3733="!!!",F3733="NEW"),"",COUNTBLANK(OFFSET(A$1,,,SUMPRODUCT(MAX(ROW(E$2:E3733)*(E3733=E$2:E3733)))))-COUNTBLANK(OFFSET(A$1,,,SUMPRODUCT(MAX(ROW(E$1:E3732)*(E2=E$1:E3732))))))</f>
        <v> </v>
      </c>
      <c r="K3733" s="25" t="str">
        <f>IF(OR(E3733="",E3733="!!!",F3733="NEW"),"",INDEX(J$1:J3732,SUMPRODUCT(MAX(ROW(E$1:E3732)*(E3733=E$1:E3732)))))</f>
        <v> </v>
      </c>
      <c r="L3733" s="26"/>
    </row>
    <row r="3734" spans="1:12">
      <c r="A3734" s="20" t="s">
        <v>1239</v>
      </c>
      <c r="E3734" s="21">
        <f>IF(D3734="?OLD","!!!","")</f>
        <v/>
      </c>
      <c r="F3734" s="22" t="str">
        <f>IF(OR(E3734="",E3734="!!!"),"",IF(NOT(ISNA(VLOOKUP(E3734,E$1:E3733,1,FALSE()))),"OLD",IF(AND(E3734&lt;&gt;"",E3734&lt;&gt;"!!!"),"NEW","")))</f>
        <v> </v>
      </c>
      <c r="G3734" s="23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4" t="str">
        <f>IF(J3734&lt;&gt;1,"",IF(I3734="SBJ","CB","?"))</f>
        <v> </v>
      </c>
      <c r="I3734" s="25" t="str">
        <f>IF(OR(E3734="",E3734="!!!",F3734="NEW"),"",INDEX(B3733:B$2,-1+SUMPRODUCT(MAX(ROW(E3733:E$2)*(E3734=E3733:E$2)))))</f>
        <v> </v>
      </c>
      <c r="J3734" s="25" t="str">
        <f>IF(OR(E3734="",E3734="!!!",F3734="NEW"),"",COUNTBLANK(OFFSET(A$1,,,SUMPRODUCT(MAX(ROW(E$2:E3734)*(E3734=E$2:E3734)))))-COUNTBLANK(OFFSET(A$1,,,SUMPRODUCT(MAX(ROW(E$1:E3733)*(E2=E$1:E3733))))))</f>
        <v> </v>
      </c>
      <c r="K3734" s="25" t="str">
        <f>IF(OR(E3734="",E3734="!!!",F3734="NEW"),"",INDEX(J$1:J3733,SUMPRODUCT(MAX(ROW(E$1:E3733)*(E3734=E$1:E3733)))))</f>
        <v> </v>
      </c>
      <c r="L3734" s="26"/>
    </row>
    <row r="3735" spans="1:12">
      <c r="A3735" s="20" t="s">
        <v>2776</v>
      </c>
      <c r="E3735" s="21">
        <f>IF(D3735="?OLD","!!!","")</f>
        <v/>
      </c>
      <c r="F3735" s="22" t="str">
        <f>IF(OR(E3735="",E3735="!!!"),"",IF(NOT(ISNA(VLOOKUP(E3735,E$1:E3734,1,FALSE()))),"OLD",IF(AND(E3735&lt;&gt;"",E3735&lt;&gt;"!!!"),"NEW","")))</f>
        <v> </v>
      </c>
      <c r="G3735" s="23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4" t="str">
        <f>IF(J3735&lt;&gt;1,"",IF(I3735="SBJ","CB","?"))</f>
        <v> </v>
      </c>
      <c r="I3735" s="25" t="str">
        <f>IF(OR(E3735="",E3735="!!!",F3735="NEW"),"",INDEX(B3734:B$2,-1+SUMPRODUCT(MAX(ROW(E3734:E$2)*(E3735=E3734:E$2)))))</f>
        <v> </v>
      </c>
      <c r="J3735" s="25" t="str">
        <f>IF(OR(E3735="",E3735="!!!",F3735="NEW"),"",COUNTBLANK(OFFSET(A$1,,,SUMPRODUCT(MAX(ROW(E$2:E3735)*(E3735=E$2:E3735)))))-COUNTBLANK(OFFSET(A$1,,,SUMPRODUCT(MAX(ROW(E$1:E3734)*(E2=E$1:E3734))))))</f>
        <v> </v>
      </c>
      <c r="K3735" s="25" t="str">
        <f>IF(OR(E3735="",E3735="!!!",F3735="NEW"),"",INDEX(J$1:J3734,SUMPRODUCT(MAX(ROW(E$1:E3734)*(E3735=E$1:E3734)))))</f>
        <v> </v>
      </c>
      <c r="L3735" s="26"/>
    </row>
    <row r="3736" spans="1:12">
      <c r="A3736" s="20" t="s">
        <v>1309</v>
      </c>
      <c r="E3736" s="21">
        <f>IF(D3736="?OLD","!!!","")</f>
        <v/>
      </c>
      <c r="F3736" s="22" t="str">
        <f>IF(OR(E3736="",E3736="!!!"),"",IF(NOT(ISNA(VLOOKUP(E3736,E$1:E3735,1,FALSE()))),"OLD",IF(AND(E3736&lt;&gt;"",E3736&lt;&gt;"!!!"),"NEW","")))</f>
        <v> </v>
      </c>
      <c r="G3736" s="23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4" t="str">
        <f>IF(J3736&lt;&gt;1,"",IF(I3736="SBJ","CB","?"))</f>
        <v> </v>
      </c>
      <c r="I3736" s="25" t="str">
        <f>IF(OR(E3736="",E3736="!!!",F3736="NEW"),"",INDEX(B3735:B$2,-1+SUMPRODUCT(MAX(ROW(E3735:E$2)*(E3736=E3735:E$2)))))</f>
        <v> </v>
      </c>
      <c r="J3736" s="25" t="str">
        <f>IF(OR(E3736="",E3736="!!!",F3736="NEW"),"",COUNTBLANK(OFFSET(A$1,,,SUMPRODUCT(MAX(ROW(E$2:E3736)*(E3736=E$2:E3736)))))-COUNTBLANK(OFFSET(A$1,,,SUMPRODUCT(MAX(ROW(E$1:E3735)*(E2=E$1:E3735))))))</f>
        <v> </v>
      </c>
      <c r="K3736" s="25" t="str">
        <f>IF(OR(E3736="",E3736="!!!",F3736="NEW"),"",INDEX(J$1:J3735,SUMPRODUCT(MAX(ROW(E$1:E3735)*(E3736=E$1:E3735)))))</f>
        <v> </v>
      </c>
      <c r="L3736" s="26"/>
    </row>
    <row r="3737" spans="1:12">
      <c r="A3737" s="20" t="s">
        <v>1494</v>
      </c>
      <c r="B3737" s="27" t="s">
        <v>1307</v>
      </c>
      <c r="C3737" s="27" t="s">
        <v>1142</v>
      </c>
      <c r="D3737" s="27" t="s">
        <v>1105</v>
      </c>
      <c r="E3737" s="21">
        <f>IF(D3737="?OLD","!!!","")</f>
        <v/>
      </c>
      <c r="F3737" s="22" t="str">
        <f>IF(OR(E3737="",E3737="!!!"),"",IF(NOT(ISNA(VLOOKUP(E3737,E$1:E3736,1,FALSE()))),"OLD",IF(AND(E3737&lt;&gt;"",E3737&lt;&gt;"!!!"),"NEW","")))</f>
        <v> </v>
      </c>
      <c r="G3737" s="23" t="str">
        <f>IF(OR(E3737="",E3737="!!!"),"",IF(OR(J3737=0,AND(J3737=1,K3737=1),AND(J3737=1,I3737="SBJ"),AND(J3737=1,I3737=0)),"?IN_FOCUS",IF(J3737&lt;=2,"?ACTIVATED",IF(J3737&lt;&gt;"","?FAMILIAR",IF(F3737="NEW",IF(ISNA(VLOOKUP(E3737,#REF!,1,FALSE())),"?TYPE_IDENTIFIABLE","?REFERENTIAL"),"_")))))</f>
        <v> </v>
      </c>
      <c r="H3737" s="24" t="str">
        <f>IF(J3737&lt;&gt;1,"",IF(I3737="SBJ","CB","?"))</f>
        <v> </v>
      </c>
      <c r="I3737" s="25" t="str">
        <f>IF(OR(E3737="",E3737="!!!",F3737="NEW"),"",INDEX(B3736:B$2,-1+SUMPRODUCT(MAX(ROW(E3736:E$2)*(E3737=E3736:E$2)))))</f>
        <v> </v>
      </c>
      <c r="J3737" s="25" t="str">
        <f>IF(OR(E3737="",E3737="!!!",F3737="NEW"),"",COUNTBLANK(OFFSET(A$1,,,SUMPRODUCT(MAX(ROW(E$2:E3737)*(E3737=E$2:E3737)))))-COUNTBLANK(OFFSET(A$1,,,SUMPRODUCT(MAX(ROW(E$1:E3736)*(E2=E$1:E3736))))))</f>
        <v> </v>
      </c>
      <c r="K3737" s="25" t="str">
        <f>IF(OR(E3737="",E3737="!!!",F3737="NEW"),"",INDEX(J$1:J3736,SUMPRODUCT(MAX(ROW(E$1:E3736)*(E3737=E$1:E3736)))))</f>
        <v> </v>
      </c>
      <c r="L3737" s="26"/>
    </row>
    <row r="3738" spans="1:12">
      <c r="A3738" s="20" t="s">
        <v>1694</v>
      </c>
      <c r="B3738" s="27" t="s">
        <v>1870</v>
      </c>
      <c r="E3738" s="21">
        <f>IF(D3738="?OLD","!!!","")</f>
        <v/>
      </c>
      <c r="F3738" s="22" t="str">
        <f>IF(OR(E3738="",E3738="!!!"),"",IF(NOT(ISNA(VLOOKUP(E3738,E$1:E3737,1,FALSE()))),"OLD",IF(AND(E3738&lt;&gt;"",E3738&lt;&gt;"!!!"),"NEW","")))</f>
        <v> </v>
      </c>
      <c r="G3738" s="23" t="str">
        <f>IF(OR(E3738="",E3738="!!!"),"",IF(OR(J3738=0,AND(J3738=1,K3738=1),AND(J3738=1,I3738="SBJ"),AND(J3738=1,I3738=0)),"?IN_FOCUS",IF(J3738&lt;=2,"?ACTIVATED",IF(J3738&lt;&gt;"","?FAMILIAR",IF(F3738="NEW",IF(ISNA(VLOOKUP(E3738,#REF!,1,FALSE())),"?TYPE_IDENTIFIABLE","?REFERENTIAL"),"_")))))</f>
        <v> </v>
      </c>
      <c r="H3738" s="24" t="str">
        <f>IF(J3738&lt;&gt;1,"",IF(I3738="SBJ","CB","?"))</f>
        <v> </v>
      </c>
      <c r="I3738" s="25" t="str">
        <f>IF(OR(E3738="",E3738="!!!",F3738="NEW"),"",INDEX(B3737:B$2,-1+SUMPRODUCT(MAX(ROW(E3737:E$2)*(E3738=E3737:E$2)))))</f>
        <v> </v>
      </c>
      <c r="J3738" s="25" t="str">
        <f>IF(OR(E3738="",E3738="!!!",F3738="NEW"),"",COUNTBLANK(OFFSET(A$1,,,SUMPRODUCT(MAX(ROW(E$2:E3738)*(E3738=E$2:E3738)))))-COUNTBLANK(OFFSET(A$1,,,SUMPRODUCT(MAX(ROW(E$1:E3737)*(E2=E$1:E3737))))))</f>
        <v> </v>
      </c>
      <c r="K3738" s="25" t="str">
        <f>IF(OR(E3738="",E3738="!!!",F3738="NEW"),"",INDEX(J$1:J3737,SUMPRODUCT(MAX(ROW(E$1:E3737)*(E3738=E$1:E3737)))))</f>
        <v> </v>
      </c>
      <c r="L3738" s="26"/>
    </row>
    <row r="3739" spans="1:12">
      <c r="A3739" s="20" t="s">
        <v>1145</v>
      </c>
      <c r="E3739" s="21">
        <f>IF(D3739="?OLD","!!!","")</f>
        <v/>
      </c>
      <c r="F3739" s="22" t="str">
        <f>IF(OR(E3739="",E3739="!!!"),"",IF(NOT(ISNA(VLOOKUP(E3739,E$1:E3738,1,FALSE()))),"OLD",IF(AND(E3739&lt;&gt;"",E3739&lt;&gt;"!!!"),"NEW","")))</f>
        <v> </v>
      </c>
      <c r="G3739" s="23" t="str">
        <f>IF(OR(E3739="",E3739="!!!"),"",IF(OR(J3739=0,AND(J3739=1,K3739=1),AND(J3739=1,I3739="SBJ"),AND(J3739=1,I3739=0)),"?IN_FOCUS",IF(J3739&lt;=2,"?ACTIVATED",IF(J3739&lt;&gt;"","?FAMILIAR",IF(F3739="NEW",IF(ISNA(VLOOKUP(E3739,#REF!,1,FALSE())),"?TYPE_IDENTIFIABLE","?REFERENTIAL"),"_")))))</f>
        <v> </v>
      </c>
      <c r="H3739" s="24" t="str">
        <f>IF(J3739&lt;&gt;1,"",IF(I3739="SBJ","CB","?"))</f>
        <v> </v>
      </c>
      <c r="I3739" s="25" t="str">
        <f>IF(OR(E3739="",E3739="!!!",F3739="NEW"),"",INDEX(B3738:B$2,-1+SUMPRODUCT(MAX(ROW(E3738:E$2)*(E3739=E3738:E$2)))))</f>
        <v> </v>
      </c>
      <c r="J3739" s="25" t="str">
        <f>IF(OR(E3739="",E3739="!!!",F3739="NEW"),"",COUNTBLANK(OFFSET(A$1,,,SUMPRODUCT(MAX(ROW(E$2:E3739)*(E3739=E$2:E3739)))))-COUNTBLANK(OFFSET(A$1,,,SUMPRODUCT(MAX(ROW(E$1:E3738)*(E2=E$1:E3738))))))</f>
        <v> </v>
      </c>
      <c r="K3739" s="25" t="str">
        <f>IF(OR(E3739="",E3739="!!!",F3739="NEW"),"",INDEX(J$1:J3738,SUMPRODUCT(MAX(ROW(E$1:E3738)*(E3739=E$1:E3738)))))</f>
        <v> </v>
      </c>
      <c r="L3739" s="26"/>
    </row>
    <row r="3740" spans="1:12">
      <c r="A3740" s="20"/>
    </row>
    <row r="3741" spans="1:12">
      <c r="A3741" s="20" t="s">
        <v>2777</v>
      </c>
    </row>
    <row r="3742" spans="1:12">
      <c r="A3742" s="20" t="s">
        <v>1353</v>
      </c>
      <c r="B3742" s="27" t="s">
        <v>1149</v>
      </c>
      <c r="C3742" s="27" t="s">
        <v>1126</v>
      </c>
      <c r="D3742" s="27" t="s">
        <v>1105</v>
      </c>
      <c r="E3742" s="21">
        <f>IF(D3742="?OLD","!!!","")</f>
        <v/>
      </c>
      <c r="F3742" s="22" t="str">
        <f>IF(OR(E3742="",E3742="!!!"),"",IF(NOT(ISNA(VLOOKUP(E3742,E$1:E3741,1,FALSE()))),"OLD",IF(AND(E3742&lt;&gt;"",E3742&lt;&gt;"!!!"),"NEW","")))</f>
        <v> </v>
      </c>
      <c r="G3742" s="23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4" t="str">
        <f>IF(J3742&lt;&gt;1,"",IF(I3742="SBJ","CB","?"))</f>
        <v> </v>
      </c>
      <c r="I3742" s="25" t="str">
        <f>IF(OR(E3742="",E3742="!!!",F3742="NEW"),"",INDEX(B3741:B$2,-1+SUMPRODUCT(MAX(ROW(E3741:E$2)*(E3742=E3741:E$2)))))</f>
        <v> </v>
      </c>
      <c r="J3742" s="25" t="str">
        <f>IF(OR(E3742="",E3742="!!!",F3742="NEW"),"",COUNTBLANK(OFFSET(A$1,,,SUMPRODUCT(MAX(ROW(E$2:E3742)*(E3742=E$2:E3742)))))-COUNTBLANK(OFFSET(A$1,,,SUMPRODUCT(MAX(ROW(E$1:E3741)*(E2=E$1:E3741))))))</f>
        <v> </v>
      </c>
      <c r="K3742" s="25" t="str">
        <f>IF(OR(E3742="",E3742="!!!",F3742="NEW"),"",INDEX(J$1:J3741,SUMPRODUCT(MAX(ROW(E$1:E3741)*(E3742=E$1:E3741)))))</f>
        <v> </v>
      </c>
      <c r="L3742" s="26"/>
    </row>
    <row r="3743" spans="1:12">
      <c r="A3743" s="20" t="s">
        <v>2778</v>
      </c>
      <c r="E3743" s="21">
        <f>IF(D3743="?OLD","!!!","")</f>
        <v/>
      </c>
      <c r="F3743" s="22" t="str">
        <f>IF(OR(E3743="",E3743="!!!"),"",IF(NOT(ISNA(VLOOKUP(E3743,E$1:E3742,1,FALSE()))),"OLD",IF(AND(E3743&lt;&gt;"",E3743&lt;&gt;"!!!"),"NEW","")))</f>
        <v> </v>
      </c>
      <c r="G3743" s="23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4" t="str">
        <f>IF(J3743&lt;&gt;1,"",IF(I3743="SBJ","CB","?"))</f>
        <v> </v>
      </c>
      <c r="I3743" s="25" t="str">
        <f>IF(OR(E3743="",E3743="!!!",F3743="NEW"),"",INDEX(B3742:B$2,-1+SUMPRODUCT(MAX(ROW(E3742:E$2)*(E3743=E3742:E$2)))))</f>
        <v> </v>
      </c>
      <c r="J3743" s="25" t="str">
        <f>IF(OR(E3743="",E3743="!!!",F3743="NEW"),"",COUNTBLANK(OFFSET(A$1,,,SUMPRODUCT(MAX(ROW(E$2:E3743)*(E3743=E$2:E3743)))))-COUNTBLANK(OFFSET(A$1,,,SUMPRODUCT(MAX(ROW(E$1:E3742)*(E2=E$1:E3742))))))</f>
        <v> </v>
      </c>
      <c r="K3743" s="25" t="str">
        <f>IF(OR(E3743="",E3743="!!!",F3743="NEW"),"",INDEX(J$1:J3742,SUMPRODUCT(MAX(ROW(E$1:E3742)*(E3743=E$1:E3742)))))</f>
        <v> </v>
      </c>
      <c r="L3743" s="26"/>
    </row>
    <row r="3744" spans="1:12">
      <c r="A3744" s="20" t="s">
        <v>1130</v>
      </c>
      <c r="E3744" s="21">
        <f>IF(D3744="?OLD","!!!","")</f>
        <v/>
      </c>
      <c r="F3744" s="22" t="str">
        <f>IF(OR(E3744="",E3744="!!!"),"",IF(NOT(ISNA(VLOOKUP(E3744,E$1:E3743,1,FALSE()))),"OLD",IF(AND(E3744&lt;&gt;"",E3744&lt;&gt;"!!!"),"NEW","")))</f>
        <v> </v>
      </c>
      <c r="G3744" s="23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4" t="str">
        <f>IF(J3744&lt;&gt;1,"",IF(I3744="SBJ","CB","?"))</f>
        <v> </v>
      </c>
      <c r="I3744" s="25" t="str">
        <f>IF(OR(E3744="",E3744="!!!",F3744="NEW"),"",INDEX(B3743:B$2,-1+SUMPRODUCT(MAX(ROW(E3743:E$2)*(E3744=E3743:E$2)))))</f>
        <v> </v>
      </c>
      <c r="J3744" s="25" t="str">
        <f>IF(OR(E3744="",E3744="!!!",F3744="NEW"),"",COUNTBLANK(OFFSET(A$1,,,SUMPRODUCT(MAX(ROW(E$2:E3744)*(E3744=E$2:E3744)))))-COUNTBLANK(OFFSET(A$1,,,SUMPRODUCT(MAX(ROW(E$1:E3743)*(E2=E$1:E3743))))))</f>
        <v> </v>
      </c>
      <c r="K3744" s="25" t="str">
        <f>IF(OR(E3744="",E3744="!!!",F3744="NEW"),"",INDEX(J$1:J3743,SUMPRODUCT(MAX(ROW(E$1:E3743)*(E3744=E$1:E3743)))))</f>
        <v> </v>
      </c>
      <c r="L3744" s="26"/>
    </row>
    <row r="3745" spans="1:12">
      <c r="A3745" s="20" t="s">
        <v>2153</v>
      </c>
      <c r="B3745" s="27" t="s">
        <v>1103</v>
      </c>
      <c r="C3745" s="27" t="s">
        <v>1126</v>
      </c>
      <c r="D3745" s="27" t="s">
        <v>1105</v>
      </c>
      <c r="E3745" s="21">
        <f>IF(D3745="?OLD","!!!","")</f>
        <v/>
      </c>
      <c r="F3745" s="22" t="str">
        <f>IF(OR(E3745="",E3745="!!!"),"",IF(NOT(ISNA(VLOOKUP(E3745,E$1:E3744,1,FALSE()))),"OLD",IF(AND(E3745&lt;&gt;"",E3745&lt;&gt;"!!!"),"NEW","")))</f>
        <v> </v>
      </c>
      <c r="G3745" s="23" t="str">
        <f>IF(OR(E3745="",E3745="!!!"),"",IF(OR(J3745=0,AND(J3745=1,K3745=1),AND(J3745=1,I3745="SBJ"),AND(J3745=1,I3745=0)),"?IN_FOCUS",IF(J3745&lt;=2,"?ACTIVATED",IF(J3745&lt;&gt;"","?FAMILIAR",IF(F3745="NEW",IF(ISNA(VLOOKUP(E3745,#REF!,1,FALSE())),"?TYPE_IDENTIFIABLE","?REFERENTIAL"),"_")))))</f>
        <v> </v>
      </c>
      <c r="H3745" s="24" t="str">
        <f>IF(J3745&lt;&gt;1,"",IF(I3745="SBJ","CB","?"))</f>
        <v> </v>
      </c>
      <c r="I3745" s="25" t="str">
        <f>IF(OR(E3745="",E3745="!!!",F3745="NEW"),"",INDEX(B3744:B$2,-1+SUMPRODUCT(MAX(ROW(E3744:E$2)*(E3745=E3744:E$2)))))</f>
        <v> </v>
      </c>
      <c r="J3745" s="25" t="str">
        <f>IF(OR(E3745="",E3745="!!!",F3745="NEW"),"",COUNTBLANK(OFFSET(A$1,,,SUMPRODUCT(MAX(ROW(E$2:E3745)*(E3745=E$2:E3745)))))-COUNTBLANK(OFFSET(A$1,,,SUMPRODUCT(MAX(ROW(E$1:E3744)*(E2=E$1:E3744))))))</f>
        <v> </v>
      </c>
      <c r="K3745" s="25" t="str">
        <f>IF(OR(E3745="",E3745="!!!",F3745="NEW"),"",INDEX(J$1:J3744,SUMPRODUCT(MAX(ROW(E$1:E3744)*(E3745=E$1:E3744)))))</f>
        <v> </v>
      </c>
      <c r="L3745" s="26"/>
    </row>
    <row r="3746" spans="1:12">
      <c r="A3746" s="20" t="s">
        <v>1249</v>
      </c>
      <c r="E3746" s="21">
        <f>IF(D3746="?OLD","!!!","")</f>
        <v/>
      </c>
      <c r="F3746" s="22" t="str">
        <f>IF(OR(E3746="",E3746="!!!"),"",IF(NOT(ISNA(VLOOKUP(E3746,E$1:E3745,1,FALSE()))),"OLD",IF(AND(E3746&lt;&gt;"",E3746&lt;&gt;"!!!"),"NEW","")))</f>
        <v> </v>
      </c>
      <c r="G3746" s="23" t="str">
        <f>IF(OR(E3746="",E3746="!!!"),"",IF(OR(J3746=0,AND(J3746=1,K3746=1),AND(J3746=1,I3746="SBJ"),AND(J3746=1,I3746=0)),"?IN_FOCUS",IF(J3746&lt;=2,"?ACTIVATED",IF(J3746&lt;&gt;"","?FAMILIAR",IF(F3746="NEW",IF(ISNA(VLOOKUP(E3746,#REF!,1,FALSE())),"?TYPE_IDENTIFIABLE","?REFERENTIAL"),"_")))))</f>
        <v> </v>
      </c>
      <c r="H3746" s="24" t="str">
        <f>IF(J3746&lt;&gt;1,"",IF(I3746="SBJ","CB","?"))</f>
        <v> </v>
      </c>
      <c r="I3746" s="25" t="str">
        <f>IF(OR(E3746="",E3746="!!!",F3746="NEW"),"",INDEX(B3745:B$2,-1+SUMPRODUCT(MAX(ROW(E3745:E$2)*(E3746=E3745:E$2)))))</f>
        <v> </v>
      </c>
      <c r="J3746" s="25" t="str">
        <f>IF(OR(E3746="",E3746="!!!",F3746="NEW"),"",COUNTBLANK(OFFSET(A$1,,,SUMPRODUCT(MAX(ROW(E$2:E3746)*(E3746=E$2:E3746)))))-COUNTBLANK(OFFSET(A$1,,,SUMPRODUCT(MAX(ROW(E$1:E3745)*(E2=E$1:E3745))))))</f>
        <v> </v>
      </c>
      <c r="K3746" s="25" t="str">
        <f>IF(OR(E3746="",E3746="!!!",F3746="NEW"),"",INDEX(J$1:J3745,SUMPRODUCT(MAX(ROW(E$1:E3745)*(E3746=E$1:E3745)))))</f>
        <v> </v>
      </c>
      <c r="L3746" s="26"/>
    </row>
    <row r="3747" spans="1:12">
      <c r="A3747" s="20" t="s">
        <v>1256</v>
      </c>
      <c r="E3747" s="21">
        <f>IF(D3747="?OLD","!!!","")</f>
        <v/>
      </c>
      <c r="F3747" s="22" t="str">
        <f>IF(OR(E3747="",E3747="!!!"),"",IF(NOT(ISNA(VLOOKUP(E3747,E$1:E3746,1,FALSE()))),"OLD",IF(AND(E3747&lt;&gt;"",E3747&lt;&gt;"!!!"),"NEW","")))</f>
        <v> </v>
      </c>
      <c r="G3747" s="23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4" t="str">
        <f>IF(J3747&lt;&gt;1,"",IF(I3747="SBJ","CB","?"))</f>
        <v> </v>
      </c>
      <c r="I3747" s="25" t="str">
        <f>IF(OR(E3747="",E3747="!!!",F3747="NEW"),"",INDEX(B3746:B$2,-1+SUMPRODUCT(MAX(ROW(E3746:E$2)*(E3747=E3746:E$2)))))</f>
        <v> </v>
      </c>
      <c r="J3747" s="25" t="str">
        <f>IF(OR(E3747="",E3747="!!!",F3747="NEW"),"",COUNTBLANK(OFFSET(A$1,,,SUMPRODUCT(MAX(ROW(E$2:E3747)*(E3747=E$2:E3747)))))-COUNTBLANK(OFFSET(A$1,,,SUMPRODUCT(MAX(ROW(E$1:E3746)*(E2=E$1:E3746))))))</f>
        <v> </v>
      </c>
      <c r="K3747" s="25" t="str">
        <f>IF(OR(E3747="",E3747="!!!",F3747="NEW"),"",INDEX(J$1:J3746,SUMPRODUCT(MAX(ROW(E$1:E3746)*(E3747=E$1:E3746)))))</f>
        <v> </v>
      </c>
      <c r="L3747" s="26"/>
    </row>
    <row r="3748" spans="1:12">
      <c r="A3748" s="20" t="s">
        <v>2779</v>
      </c>
      <c r="E3748" s="21">
        <f>IF(D3748="?OLD","!!!","")</f>
        <v/>
      </c>
      <c r="F3748" s="22" t="str">
        <f>IF(OR(E3748="",E3748="!!!"),"",IF(NOT(ISNA(VLOOKUP(E3748,E$1:E3747,1,FALSE()))),"OLD",IF(AND(E3748&lt;&gt;"",E3748&lt;&gt;"!!!"),"NEW","")))</f>
        <v> </v>
      </c>
      <c r="G3748" s="23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4" t="str">
        <f>IF(J3748&lt;&gt;1,"",IF(I3748="SBJ","CB","?"))</f>
        <v> </v>
      </c>
      <c r="I3748" s="25" t="str">
        <f>IF(OR(E3748="",E3748="!!!",F3748="NEW"),"",INDEX(B3747:B$2,-1+SUMPRODUCT(MAX(ROW(E3747:E$2)*(E3748=E3747:E$2)))))</f>
        <v> </v>
      </c>
      <c r="J3748" s="25" t="str">
        <f>IF(OR(E3748="",E3748="!!!",F3748="NEW"),"",COUNTBLANK(OFFSET(A$1,,,SUMPRODUCT(MAX(ROW(E$2:E3748)*(E3748=E$2:E3748)))))-COUNTBLANK(OFFSET(A$1,,,SUMPRODUCT(MAX(ROW(E$1:E3747)*(E2=E$1:E3747))))))</f>
        <v> </v>
      </c>
      <c r="K3748" s="25" t="str">
        <f>IF(OR(E3748="",E3748="!!!",F3748="NEW"),"",INDEX(J$1:J3747,SUMPRODUCT(MAX(ROW(E$1:E3747)*(E3748=E$1:E3747)))))</f>
        <v> </v>
      </c>
      <c r="L3748" s="26"/>
    </row>
    <row r="3749" spans="1:12">
      <c r="A3749" s="20" t="s">
        <v>2780</v>
      </c>
      <c r="E3749" s="21">
        <f>IF(D3749="?OLD","!!!","")</f>
        <v/>
      </c>
      <c r="F3749" s="22" t="str">
        <f>IF(OR(E3749="",E3749="!!!"),"",IF(NOT(ISNA(VLOOKUP(E3749,E$1:E3748,1,FALSE()))),"OLD",IF(AND(E3749&lt;&gt;"",E3749&lt;&gt;"!!!"),"NEW","")))</f>
        <v> </v>
      </c>
      <c r="G3749" s="23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4" t="str">
        <f>IF(J3749&lt;&gt;1,"",IF(I3749="SBJ","CB","?"))</f>
        <v> </v>
      </c>
      <c r="I3749" s="25" t="str">
        <f>IF(OR(E3749="",E3749="!!!",F3749="NEW"),"",INDEX(B3748:B$2,-1+SUMPRODUCT(MAX(ROW(E3748:E$2)*(E3749=E3748:E$2)))))</f>
        <v> </v>
      </c>
      <c r="J3749" s="25" t="str">
        <f>IF(OR(E3749="",E3749="!!!",F3749="NEW"),"",COUNTBLANK(OFFSET(A$1,,,SUMPRODUCT(MAX(ROW(E$2:E3749)*(E3749=E$2:E3749)))))-COUNTBLANK(OFFSET(A$1,,,SUMPRODUCT(MAX(ROW(E$1:E3748)*(E2=E$1:E3748))))))</f>
        <v> </v>
      </c>
      <c r="K3749" s="25" t="str">
        <f>IF(OR(E3749="",E3749="!!!",F3749="NEW"),"",INDEX(J$1:J3748,SUMPRODUCT(MAX(ROW(E$1:E3748)*(E3749=E$1:E3748)))))</f>
        <v> </v>
      </c>
      <c r="L3749" s="26"/>
    </row>
    <row r="3750" spans="1:12">
      <c r="A3750" s="20" t="s">
        <v>1123</v>
      </c>
      <c r="E3750" s="21">
        <f>IF(D3750="?OLD","!!!","")</f>
        <v/>
      </c>
      <c r="F3750" s="22" t="str">
        <f>IF(OR(E3750="",E3750="!!!"),"",IF(NOT(ISNA(VLOOKUP(E3750,E$1:E3749,1,FALSE()))),"OLD",IF(AND(E3750&lt;&gt;"",E3750&lt;&gt;"!!!"),"NEW","")))</f>
        <v> </v>
      </c>
      <c r="G3750" s="23" t="str">
        <f>IF(OR(E3750="",E3750="!!!"),"",IF(OR(J3750=0,AND(J3750=1,K3750=1),AND(J3750=1,I3750="SBJ"),AND(J3750=1,I3750=0)),"?IN_FOCUS",IF(J3750&lt;=2,"?ACTIVATED",IF(J3750&lt;&gt;"","?FAMILIAR",IF(F3750="NEW",IF(ISNA(VLOOKUP(E3750,#REF!,1,FALSE())),"?TYPE_IDENTIFIABLE","?REFERENTIAL"),"_")))))</f>
        <v> </v>
      </c>
      <c r="H3750" s="24" t="str">
        <f>IF(J3750&lt;&gt;1,"",IF(I3750="SBJ","CB","?"))</f>
        <v> </v>
      </c>
      <c r="I3750" s="25" t="str">
        <f>IF(OR(E3750="",E3750="!!!",F3750="NEW"),"",INDEX(B3749:B$2,-1+SUMPRODUCT(MAX(ROW(E3749:E$2)*(E3750=E3749:E$2)))))</f>
        <v> </v>
      </c>
      <c r="J3750" s="25" t="str">
        <f>IF(OR(E3750="",E3750="!!!",F3750="NEW"),"",COUNTBLANK(OFFSET(A$1,,,SUMPRODUCT(MAX(ROW(E$2:E3750)*(E3750=E$2:E3750)))))-COUNTBLANK(OFFSET(A$1,,,SUMPRODUCT(MAX(ROW(E$1:E3749)*(E2=E$1:E3749))))))</f>
        <v> </v>
      </c>
      <c r="K3750" s="25" t="str">
        <f>IF(OR(E3750="",E3750="!!!",F3750="NEW"),"",INDEX(J$1:J3749,SUMPRODUCT(MAX(ROW(E$1:E3749)*(E3750=E$1:E3749)))))</f>
        <v> </v>
      </c>
      <c r="L3750" s="26"/>
    </row>
    <row r="3751" spans="1:12">
      <c r="A3751" s="20" t="s">
        <v>2781</v>
      </c>
      <c r="E3751" s="21">
        <f>IF(D3751="?OLD","!!!","")</f>
        <v/>
      </c>
      <c r="F3751" s="22" t="str">
        <f>IF(OR(E3751="",E3751="!!!"),"",IF(NOT(ISNA(VLOOKUP(E3751,E$1:E3750,1,FALSE()))),"OLD",IF(AND(E3751&lt;&gt;"",E3751&lt;&gt;"!!!"),"NEW","")))</f>
        <v> </v>
      </c>
      <c r="G3751" s="23" t="str">
        <f>IF(OR(E3751="",E3751="!!!"),"",IF(OR(J3751=0,AND(J3751=1,K3751=1),AND(J3751=1,I3751="SBJ"),AND(J3751=1,I3751=0)),"?IN_FOCUS",IF(J3751&lt;=2,"?ACTIVATED",IF(J3751&lt;&gt;"","?FAMILIAR",IF(F3751="NEW",IF(ISNA(VLOOKUP(E3751,#REF!,1,FALSE())),"?TYPE_IDENTIFIABLE","?REFERENTIAL"),"_")))))</f>
        <v> </v>
      </c>
      <c r="H3751" s="24" t="str">
        <f>IF(J3751&lt;&gt;1,"",IF(I3751="SBJ","CB","?"))</f>
        <v> </v>
      </c>
      <c r="I3751" s="25" t="str">
        <f>IF(OR(E3751="",E3751="!!!",F3751="NEW"),"",INDEX(B3750:B$2,-1+SUMPRODUCT(MAX(ROW(E3750:E$2)*(E3751=E3750:E$2)))))</f>
        <v> </v>
      </c>
      <c r="J3751" s="25" t="str">
        <f>IF(OR(E3751="",E3751="!!!",F3751="NEW"),"",COUNTBLANK(OFFSET(A$1,,,SUMPRODUCT(MAX(ROW(E$2:E3751)*(E3751=E$2:E3751)))))-COUNTBLANK(OFFSET(A$1,,,SUMPRODUCT(MAX(ROW(E$1:E3750)*(E2=E$1:E3750))))))</f>
        <v> </v>
      </c>
      <c r="K3751" s="25" t="str">
        <f>IF(OR(E3751="",E3751="!!!",F3751="NEW"),"",INDEX(J$1:J3750,SUMPRODUCT(MAX(ROW(E$1:E3750)*(E3751=E$1:E3750)))))</f>
        <v> </v>
      </c>
      <c r="L3751" s="26"/>
    </row>
    <row r="3752" spans="1:12">
      <c r="A3752" s="20" t="s">
        <v>2782</v>
      </c>
      <c r="E3752" s="21">
        <f>IF(D3752="?OLD","!!!","")</f>
        <v/>
      </c>
      <c r="F3752" s="22" t="str">
        <f>IF(OR(E3752="",E3752="!!!"),"",IF(NOT(ISNA(VLOOKUP(E3752,E$1:E3751,1,FALSE()))),"OLD",IF(AND(E3752&lt;&gt;"",E3752&lt;&gt;"!!!"),"NEW","")))</f>
        <v> </v>
      </c>
      <c r="G3752" s="23" t="str">
        <f>IF(OR(E3752="",E3752="!!!"),"",IF(OR(J3752=0,AND(J3752=1,K3752=1),AND(J3752=1,I3752="SBJ"),AND(J3752=1,I3752=0)),"?IN_FOCUS",IF(J3752&lt;=2,"?ACTIVATED",IF(J3752&lt;&gt;"","?FAMILIAR",IF(F3752="NEW",IF(ISNA(VLOOKUP(E3752,#REF!,1,FALSE())),"?TYPE_IDENTIFIABLE","?REFERENTIAL"),"_")))))</f>
        <v> </v>
      </c>
      <c r="H3752" s="24" t="str">
        <f>IF(J3752&lt;&gt;1,"",IF(I3752="SBJ","CB","?"))</f>
        <v> </v>
      </c>
      <c r="I3752" s="25" t="str">
        <f>IF(OR(E3752="",E3752="!!!",F3752="NEW"),"",INDEX(B3751:B$2,-1+SUMPRODUCT(MAX(ROW(E3751:E$2)*(E3752=E3751:E$2)))))</f>
        <v> </v>
      </c>
      <c r="J3752" s="25" t="str">
        <f>IF(OR(E3752="",E3752="!!!",F3752="NEW"),"",COUNTBLANK(OFFSET(A$1,,,SUMPRODUCT(MAX(ROW(E$2:E3752)*(E3752=E$2:E3752)))))-COUNTBLANK(OFFSET(A$1,,,SUMPRODUCT(MAX(ROW(E$1:E3751)*(E2=E$1:E3751))))))</f>
        <v> </v>
      </c>
      <c r="K3752" s="25" t="str">
        <f>IF(OR(E3752="",E3752="!!!",F3752="NEW"),"",INDEX(J$1:J3751,SUMPRODUCT(MAX(ROW(E$1:E3751)*(E3752=E$1:E3751)))))</f>
        <v> </v>
      </c>
      <c r="L3752" s="26"/>
    </row>
    <row r="3753" spans="1:12">
      <c r="A3753" s="20" t="s">
        <v>1184</v>
      </c>
      <c r="E3753" s="21">
        <f>IF(D3753="?OLD","!!!","")</f>
        <v/>
      </c>
      <c r="F3753" s="22" t="str">
        <f>IF(OR(E3753="",E3753="!!!"),"",IF(NOT(ISNA(VLOOKUP(E3753,E$1:E3752,1,FALSE()))),"OLD",IF(AND(E3753&lt;&gt;"",E3753&lt;&gt;"!!!"),"NEW","")))</f>
        <v> </v>
      </c>
      <c r="G3753" s="23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4" t="str">
        <f>IF(J3753&lt;&gt;1,"",IF(I3753="SBJ","CB","?"))</f>
        <v> </v>
      </c>
      <c r="I3753" s="25" t="str">
        <f>IF(OR(E3753="",E3753="!!!",F3753="NEW"),"",INDEX(B3752:B$2,-1+SUMPRODUCT(MAX(ROW(E3752:E$2)*(E3753=E3752:E$2)))))</f>
        <v> </v>
      </c>
      <c r="J3753" s="25" t="str">
        <f>IF(OR(E3753="",E3753="!!!",F3753="NEW"),"",COUNTBLANK(OFFSET(A$1,,,SUMPRODUCT(MAX(ROW(E$2:E3753)*(E3753=E$2:E3753)))))-COUNTBLANK(OFFSET(A$1,,,SUMPRODUCT(MAX(ROW(E$1:E3752)*(E2=E$1:E3752))))))</f>
        <v> </v>
      </c>
      <c r="K3753" s="25" t="str">
        <f>IF(OR(E3753="",E3753="!!!",F3753="NEW"),"",INDEX(J$1:J3752,SUMPRODUCT(MAX(ROW(E$1:E3752)*(E3753=E$1:E3752)))))</f>
        <v> </v>
      </c>
      <c r="L3753" s="26"/>
    </row>
    <row r="3754" spans="1:12">
      <c r="A3754" s="20" t="s">
        <v>2658</v>
      </c>
      <c r="E3754" s="21">
        <f>IF(D3754="?OLD","!!!","")</f>
        <v/>
      </c>
      <c r="F3754" s="22" t="str">
        <f>IF(OR(E3754="",E3754="!!!"),"",IF(NOT(ISNA(VLOOKUP(E3754,E$1:E3753,1,FALSE()))),"OLD",IF(AND(E3754&lt;&gt;"",E3754&lt;&gt;"!!!"),"NEW","")))</f>
        <v> </v>
      </c>
      <c r="G3754" s="23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4" t="str">
        <f>IF(J3754&lt;&gt;1,"",IF(I3754="SBJ","CB","?"))</f>
        <v> </v>
      </c>
      <c r="I3754" s="25" t="str">
        <f>IF(OR(E3754="",E3754="!!!",F3754="NEW"),"",INDEX(B3753:B$2,-1+SUMPRODUCT(MAX(ROW(E3753:E$2)*(E3754=E3753:E$2)))))</f>
        <v> </v>
      </c>
      <c r="J3754" s="25" t="str">
        <f>IF(OR(E3754="",E3754="!!!",F3754="NEW"),"",COUNTBLANK(OFFSET(A$1,,,SUMPRODUCT(MAX(ROW(E$2:E3754)*(E3754=E$2:E3754)))))-COUNTBLANK(OFFSET(A$1,,,SUMPRODUCT(MAX(ROW(E$1:E3753)*(E2=E$1:E3753))))))</f>
        <v> </v>
      </c>
      <c r="K3754" s="25" t="str">
        <f>IF(OR(E3754="",E3754="!!!",F3754="NEW"),"",INDEX(J$1:J3753,SUMPRODUCT(MAX(ROW(E$1:E3753)*(E3754=E$1:E3753)))))</f>
        <v> </v>
      </c>
      <c r="L3754" s="26"/>
    </row>
    <row r="3755" spans="1:12">
      <c r="A3755" s="20" t="s">
        <v>1145</v>
      </c>
      <c r="E3755" s="21">
        <f>IF(D3755="?OLD","!!!","")</f>
        <v/>
      </c>
      <c r="F3755" s="22" t="str">
        <f>IF(OR(E3755="",E3755="!!!"),"",IF(NOT(ISNA(VLOOKUP(E3755,E$1:E3754,1,FALSE()))),"OLD",IF(AND(E3755&lt;&gt;"",E3755&lt;&gt;"!!!"),"NEW","")))</f>
        <v> </v>
      </c>
      <c r="G3755" s="23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4" t="str">
        <f>IF(J3755&lt;&gt;1,"",IF(I3755="SBJ","CB","?"))</f>
        <v> </v>
      </c>
      <c r="I3755" s="25" t="str">
        <f>IF(OR(E3755="",E3755="!!!",F3755="NEW"),"",INDEX(B3754:B$2,-1+SUMPRODUCT(MAX(ROW(E3754:E$2)*(E3755=E3754:E$2)))))</f>
        <v> </v>
      </c>
      <c r="J3755" s="25" t="str">
        <f>IF(OR(E3755="",E3755="!!!",F3755="NEW"),"",COUNTBLANK(OFFSET(A$1,,,SUMPRODUCT(MAX(ROW(E$2:E3755)*(E3755=E$2:E3755)))))-COUNTBLANK(OFFSET(A$1,,,SUMPRODUCT(MAX(ROW(E$1:E3754)*(E2=E$1:E3754))))))</f>
        <v> </v>
      </c>
      <c r="K3755" s="25" t="str">
        <f>IF(OR(E3755="",E3755="!!!",F3755="NEW"),"",INDEX(J$1:J3754,SUMPRODUCT(MAX(ROW(E$1:E3754)*(E3755=E$1:E3754)))))</f>
        <v> </v>
      </c>
      <c r="L3755" s="26"/>
    </row>
    <row r="3756" spans="1:12">
      <c r="A3756" s="20"/>
    </row>
    <row r="3757" spans="1:12">
      <c r="A3757" s="20" t="s">
        <v>2783</v>
      </c>
    </row>
    <row r="3758" spans="1:12">
      <c r="A3758" s="20" t="s">
        <v>2784</v>
      </c>
      <c r="E3758" s="21">
        <f>IF(D3758="?OLD","!!!","")</f>
        <v/>
      </c>
      <c r="F3758" s="22" t="str">
        <f>IF(OR(E3758="",E3758="!!!"),"",IF(NOT(ISNA(VLOOKUP(E3758,E$1:E3757,1,FALSE()))),"OLD",IF(AND(E3758&lt;&gt;"",E3758&lt;&gt;"!!!"),"NEW","")))</f>
        <v> </v>
      </c>
      <c r="G3758" s="23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4" t="str">
        <f>IF(J3758&lt;&gt;1,"",IF(I3758="SBJ","CB","?"))</f>
        <v> </v>
      </c>
      <c r="I3758" s="25" t="str">
        <f>IF(OR(E3758="",E3758="!!!",F3758="NEW"),"",INDEX(B3757:B$2,-1+SUMPRODUCT(MAX(ROW(E3757:E$2)*(E3758=E3757:E$2)))))</f>
        <v> </v>
      </c>
      <c r="J3758" s="25" t="str">
        <f>IF(OR(E3758="",E3758="!!!",F3758="NEW"),"",COUNTBLANK(OFFSET(A$1,,,SUMPRODUCT(MAX(ROW(E$2:E3758)*(E3758=E$2:E3758)))))-COUNTBLANK(OFFSET(A$1,,,SUMPRODUCT(MAX(ROW(E$1:E3757)*(E2=E$1:E3757))))))</f>
        <v> </v>
      </c>
      <c r="K3758" s="25" t="str">
        <f>IF(OR(E3758="",E3758="!!!",F3758="NEW"),"",INDEX(J$1:J3757,SUMPRODUCT(MAX(ROW(E$1:E3757)*(E3758=E$1:E3757)))))</f>
        <v> </v>
      </c>
      <c r="L3758" s="26"/>
    </row>
    <row r="3759" spans="1:12">
      <c r="A3759" s="20" t="s">
        <v>2785</v>
      </c>
      <c r="B3759" s="27" t="s">
        <v>1149</v>
      </c>
      <c r="E3759" s="21">
        <f>IF(D3759="?OLD","!!!","")</f>
        <v/>
      </c>
      <c r="F3759" s="22" t="str">
        <f>IF(OR(E3759="",E3759="!!!"),"",IF(NOT(ISNA(VLOOKUP(E3759,E$1:E3758,1,FALSE()))),"OLD",IF(AND(E3759&lt;&gt;"",E3759&lt;&gt;"!!!"),"NEW","")))</f>
        <v> </v>
      </c>
      <c r="G3759" s="23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4" t="str">
        <f>IF(J3759&lt;&gt;1,"",IF(I3759="SBJ","CB","?"))</f>
        <v> </v>
      </c>
      <c r="I3759" s="25" t="str">
        <f>IF(OR(E3759="",E3759="!!!",F3759="NEW"),"",INDEX(B3758:B$2,-1+SUMPRODUCT(MAX(ROW(E3758:E$2)*(E3759=E3758:E$2)))))</f>
        <v> </v>
      </c>
      <c r="J3759" s="25" t="str">
        <f>IF(OR(E3759="",E3759="!!!",F3759="NEW"),"",COUNTBLANK(OFFSET(A$1,,,SUMPRODUCT(MAX(ROW(E$2:E3759)*(E3759=E$2:E3759)))))-COUNTBLANK(OFFSET(A$1,,,SUMPRODUCT(MAX(ROW(E$1:E3758)*(E2=E$1:E3758))))))</f>
        <v> </v>
      </c>
      <c r="K3759" s="25" t="str">
        <f>IF(OR(E3759="",E3759="!!!",F3759="NEW"),"",INDEX(J$1:J3758,SUMPRODUCT(MAX(ROW(E$1:E3758)*(E3759=E$1:E3758)))))</f>
        <v> </v>
      </c>
      <c r="L3759" s="26"/>
    </row>
    <row r="3760" spans="1:12">
      <c r="A3760" s="20" t="s">
        <v>1123</v>
      </c>
      <c r="E3760" s="21">
        <f>IF(D3760="?OLD","!!!","")</f>
        <v/>
      </c>
      <c r="F3760" s="22" t="str">
        <f>IF(OR(E3760="",E3760="!!!"),"",IF(NOT(ISNA(VLOOKUP(E3760,E$1:E3759,1,FALSE()))),"OLD",IF(AND(E3760&lt;&gt;"",E3760&lt;&gt;"!!!"),"NEW","")))</f>
        <v> </v>
      </c>
      <c r="G3760" s="23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4" t="str">
        <f>IF(J3760&lt;&gt;1,"",IF(I3760="SBJ","CB","?"))</f>
        <v> </v>
      </c>
      <c r="I3760" s="25" t="str">
        <f>IF(OR(E3760="",E3760="!!!",F3760="NEW"),"",INDEX(B3759:B$2,-1+SUMPRODUCT(MAX(ROW(E3759:E$2)*(E3760=E3759:E$2)))))</f>
        <v> </v>
      </c>
      <c r="J3760" s="25" t="str">
        <f>IF(OR(E3760="",E3760="!!!",F3760="NEW"),"",COUNTBLANK(OFFSET(A$1,,,SUMPRODUCT(MAX(ROW(E$2:E3760)*(E3760=E$2:E3760)))))-COUNTBLANK(OFFSET(A$1,,,SUMPRODUCT(MAX(ROW(E$1:E3759)*(E2=E$1:E3759))))))</f>
        <v> </v>
      </c>
      <c r="K3760" s="25" t="str">
        <f>IF(OR(E3760="",E3760="!!!",F3760="NEW"),"",INDEX(J$1:J3759,SUMPRODUCT(MAX(ROW(E$1:E3759)*(E3760=E$1:E3759)))))</f>
        <v> </v>
      </c>
      <c r="L3760" s="26"/>
    </row>
    <row r="3761" spans="1:12">
      <c r="A3761" s="20" t="s">
        <v>2786</v>
      </c>
      <c r="E3761" s="21">
        <f>IF(D3761="?OLD","!!!","")</f>
        <v/>
      </c>
      <c r="F3761" s="22" t="str">
        <f>IF(OR(E3761="",E3761="!!!"),"",IF(NOT(ISNA(VLOOKUP(E3761,E$1:E3760,1,FALSE()))),"OLD",IF(AND(E3761&lt;&gt;"",E3761&lt;&gt;"!!!"),"NEW","")))</f>
        <v> </v>
      </c>
      <c r="G3761" s="23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4" t="str">
        <f>IF(J3761&lt;&gt;1,"",IF(I3761="SBJ","CB","?"))</f>
        <v> </v>
      </c>
      <c r="I3761" s="25" t="str">
        <f>IF(OR(E3761="",E3761="!!!",F3761="NEW"),"",INDEX(B3760:B$2,-1+SUMPRODUCT(MAX(ROW(E3760:E$2)*(E3761=E3760:E$2)))))</f>
        <v> </v>
      </c>
      <c r="J3761" s="25" t="str">
        <f>IF(OR(E3761="",E3761="!!!",F3761="NEW"),"",COUNTBLANK(OFFSET(A$1,,,SUMPRODUCT(MAX(ROW(E$2:E3761)*(E3761=E$2:E3761)))))-COUNTBLANK(OFFSET(A$1,,,SUMPRODUCT(MAX(ROW(E$1:E3760)*(E2=E$1:E3760))))))</f>
        <v> </v>
      </c>
      <c r="K3761" s="25" t="str">
        <f>IF(OR(E3761="",E3761="!!!",F3761="NEW"),"",INDEX(J$1:J3760,SUMPRODUCT(MAX(ROW(E$1:E3760)*(E3761=E$1:E3760)))))</f>
        <v> </v>
      </c>
      <c r="L3761" s="26"/>
    </row>
    <row r="3762" spans="1:12">
      <c r="A3762" s="20" t="s">
        <v>1121</v>
      </c>
      <c r="E3762" s="21">
        <f>IF(D3762="?OLD","!!!","")</f>
        <v/>
      </c>
      <c r="F3762" s="22" t="str">
        <f>IF(OR(E3762="",E3762="!!!"),"",IF(NOT(ISNA(VLOOKUP(E3762,E$1:E3761,1,FALSE()))),"OLD",IF(AND(E3762&lt;&gt;"",E3762&lt;&gt;"!!!"),"NEW","")))</f>
        <v> </v>
      </c>
      <c r="G3762" s="23" t="str">
        <f>IF(OR(E3762="",E3762="!!!"),"",IF(OR(J3762=0,AND(J3762=1,K3762=1),AND(J3762=1,I3762="SBJ"),AND(J3762=1,I3762=0)),"?IN_FOCUS",IF(J3762&lt;=2,"?ACTIVATED",IF(J3762&lt;&gt;"","?FAMILIAR",IF(F3762="NEW",IF(ISNA(VLOOKUP(E3762,#REF!,1,FALSE())),"?TYPE_IDENTIFIABLE","?REFERENTIAL"),"_")))))</f>
        <v> </v>
      </c>
      <c r="H3762" s="24" t="str">
        <f>IF(J3762&lt;&gt;1,"",IF(I3762="SBJ","CB","?"))</f>
        <v> </v>
      </c>
      <c r="I3762" s="25" t="str">
        <f>IF(OR(E3762="",E3762="!!!",F3762="NEW"),"",INDEX(B3761:B$2,-1+SUMPRODUCT(MAX(ROW(E3761:E$2)*(E3762=E3761:E$2)))))</f>
        <v> </v>
      </c>
      <c r="J3762" s="25" t="str">
        <f>IF(OR(E3762="",E3762="!!!",F3762="NEW"),"",COUNTBLANK(OFFSET(A$1,,,SUMPRODUCT(MAX(ROW(E$2:E3762)*(E3762=E$2:E3762)))))-COUNTBLANK(OFFSET(A$1,,,SUMPRODUCT(MAX(ROW(E$1:E3761)*(E2=E$1:E3761))))))</f>
        <v> </v>
      </c>
      <c r="K3762" s="25" t="str">
        <f>IF(OR(E3762="",E3762="!!!",F3762="NEW"),"",INDEX(J$1:J3761,SUMPRODUCT(MAX(ROW(E$1:E3761)*(E3762=E$1:E3761)))))</f>
        <v> </v>
      </c>
      <c r="L3762" s="26"/>
    </row>
    <row r="3763" spans="1:12">
      <c r="A3763" s="20" t="s">
        <v>1475</v>
      </c>
      <c r="E3763" s="21">
        <f>IF(D3763="?OLD","!!!","")</f>
        <v/>
      </c>
      <c r="F3763" s="22" t="str">
        <f>IF(OR(E3763="",E3763="!!!"),"",IF(NOT(ISNA(VLOOKUP(E3763,E$1:E3762,1,FALSE()))),"OLD",IF(AND(E3763&lt;&gt;"",E3763&lt;&gt;"!!!"),"NEW","")))</f>
        <v> </v>
      </c>
      <c r="G3763" s="23" t="str">
        <f>IF(OR(E3763="",E3763="!!!"),"",IF(OR(J3763=0,AND(J3763=1,K3763=1),AND(J3763=1,I3763="SBJ"),AND(J3763=1,I3763=0)),"?IN_FOCUS",IF(J3763&lt;=2,"?ACTIVATED",IF(J3763&lt;&gt;"","?FAMILIAR",IF(F3763="NEW",IF(ISNA(VLOOKUP(E3763,#REF!,1,FALSE())),"?TYPE_IDENTIFIABLE","?REFERENTIAL"),"_")))))</f>
        <v> </v>
      </c>
      <c r="H3763" s="24" t="str">
        <f>IF(J3763&lt;&gt;1,"",IF(I3763="SBJ","CB","?"))</f>
        <v> </v>
      </c>
      <c r="I3763" s="25" t="str">
        <f>IF(OR(E3763="",E3763="!!!",F3763="NEW"),"",INDEX(B3762:B$2,-1+SUMPRODUCT(MAX(ROW(E3762:E$2)*(E3763=E3762:E$2)))))</f>
        <v> </v>
      </c>
      <c r="J3763" s="25" t="str">
        <f>IF(OR(E3763="",E3763="!!!",F3763="NEW"),"",COUNTBLANK(OFFSET(A$1,,,SUMPRODUCT(MAX(ROW(E$2:E3763)*(E3763=E$2:E3763)))))-COUNTBLANK(OFFSET(A$1,,,SUMPRODUCT(MAX(ROW(E$1:E3762)*(E2=E$1:E3762))))))</f>
        <v> </v>
      </c>
      <c r="K3763" s="25" t="str">
        <f>IF(OR(E3763="",E3763="!!!",F3763="NEW"),"",INDEX(J$1:J3762,SUMPRODUCT(MAX(ROW(E$1:E3762)*(E3763=E$1:E3762)))))</f>
        <v> </v>
      </c>
      <c r="L3763" s="26"/>
    </row>
    <row r="3764" spans="1:12">
      <c r="A3764" s="20" t="s">
        <v>1123</v>
      </c>
      <c r="E3764" s="21">
        <f>IF(D3764="?OLD","!!!","")</f>
        <v/>
      </c>
      <c r="F3764" s="22" t="str">
        <f>IF(OR(E3764="",E3764="!!!"),"",IF(NOT(ISNA(VLOOKUP(E3764,E$1:E3763,1,FALSE()))),"OLD",IF(AND(E3764&lt;&gt;"",E3764&lt;&gt;"!!!"),"NEW","")))</f>
        <v> </v>
      </c>
      <c r="G3764" s="23" t="str">
        <f>IF(OR(E3764="",E3764="!!!"),"",IF(OR(J3764=0,AND(J3764=1,K3764=1),AND(J3764=1,I3764="SBJ"),AND(J3764=1,I3764=0)),"?IN_FOCUS",IF(J3764&lt;=2,"?ACTIVATED",IF(J3764&lt;&gt;"","?FAMILIAR",IF(F3764="NEW",IF(ISNA(VLOOKUP(E3764,#REF!,1,FALSE())),"?TYPE_IDENTIFIABLE","?REFERENTIAL"),"_")))))</f>
        <v> </v>
      </c>
      <c r="H3764" s="24" t="str">
        <f>IF(J3764&lt;&gt;1,"",IF(I3764="SBJ","CB","?"))</f>
        <v> </v>
      </c>
      <c r="I3764" s="25" t="str">
        <f>IF(OR(E3764="",E3764="!!!",F3764="NEW"),"",INDEX(B3763:B$2,-1+SUMPRODUCT(MAX(ROW(E3763:E$2)*(E3764=E3763:E$2)))))</f>
        <v> </v>
      </c>
      <c r="J3764" s="25" t="str">
        <f>IF(OR(E3764="",E3764="!!!",F3764="NEW"),"",COUNTBLANK(OFFSET(A$1,,,SUMPRODUCT(MAX(ROW(E$2:E3764)*(E3764=E$2:E3764)))))-COUNTBLANK(OFFSET(A$1,,,SUMPRODUCT(MAX(ROW(E$1:E3763)*(E2=E$1:E3763))))))</f>
        <v> </v>
      </c>
      <c r="K3764" s="25" t="str">
        <f>IF(OR(E3764="",E3764="!!!",F3764="NEW"),"",INDEX(J$1:J3763,SUMPRODUCT(MAX(ROW(E$1:E3763)*(E3764=E$1:E3763)))))</f>
        <v> </v>
      </c>
      <c r="L3764" s="26"/>
    </row>
    <row r="3765" spans="1:12">
      <c r="A3765" s="20" t="s">
        <v>1121</v>
      </c>
      <c r="E3765" s="21">
        <f>IF(D3765="?OLD","!!!","")</f>
        <v/>
      </c>
      <c r="F3765" s="22" t="str">
        <f>IF(OR(E3765="",E3765="!!!"),"",IF(NOT(ISNA(VLOOKUP(E3765,E$1:E3764,1,FALSE()))),"OLD",IF(AND(E3765&lt;&gt;"",E3765&lt;&gt;"!!!"),"NEW","")))</f>
        <v> </v>
      </c>
      <c r="G3765" s="23" t="str">
        <f>IF(OR(E3765="",E3765="!!!"),"",IF(OR(J3765=0,AND(J3765=1,K3765=1),AND(J3765=1,I3765="SBJ"),AND(J3765=1,I3765=0)),"?IN_FOCUS",IF(J3765&lt;=2,"?ACTIVATED",IF(J3765&lt;&gt;"","?FAMILIAR",IF(F3765="NEW",IF(ISNA(VLOOKUP(E3765,#REF!,1,FALSE())),"?TYPE_IDENTIFIABLE","?REFERENTIAL"),"_")))))</f>
        <v> </v>
      </c>
      <c r="H3765" s="24" t="str">
        <f>IF(J3765&lt;&gt;1,"",IF(I3765="SBJ","CB","?"))</f>
        <v> </v>
      </c>
      <c r="I3765" s="25" t="str">
        <f>IF(OR(E3765="",E3765="!!!",F3765="NEW"),"",INDEX(B3764:B$2,-1+SUMPRODUCT(MAX(ROW(E3764:E$2)*(E3765=E3764:E$2)))))</f>
        <v> </v>
      </c>
      <c r="J3765" s="25" t="str">
        <f>IF(OR(E3765="",E3765="!!!",F3765="NEW"),"",COUNTBLANK(OFFSET(A$1,,,SUMPRODUCT(MAX(ROW(E$2:E3765)*(E3765=E$2:E3765)))))-COUNTBLANK(OFFSET(A$1,,,SUMPRODUCT(MAX(ROW(E$1:E3764)*(E2=E$1:E3764))))))</f>
        <v> </v>
      </c>
      <c r="K3765" s="25" t="str">
        <f>IF(OR(E3765="",E3765="!!!",F3765="NEW"),"",INDEX(J$1:J3764,SUMPRODUCT(MAX(ROW(E$1:E3764)*(E3765=E$1:E3764)))))</f>
        <v> </v>
      </c>
      <c r="L3765" s="26"/>
    </row>
    <row r="3766" spans="1:12">
      <c r="A3766" s="20" t="s">
        <v>2787</v>
      </c>
      <c r="E3766" s="21">
        <f>IF(D3766="?OLD","!!!","")</f>
        <v/>
      </c>
      <c r="F3766" s="22" t="str">
        <f>IF(OR(E3766="",E3766="!!!"),"",IF(NOT(ISNA(VLOOKUP(E3766,E$1:E3765,1,FALSE()))),"OLD",IF(AND(E3766&lt;&gt;"",E3766&lt;&gt;"!!!"),"NEW","")))</f>
        <v> </v>
      </c>
      <c r="G3766" s="23" t="str">
        <f>IF(OR(E3766="",E3766="!!!"),"",IF(OR(J3766=0,AND(J3766=1,K3766=1),AND(J3766=1,I3766="SBJ"),AND(J3766=1,I3766=0)),"?IN_FOCUS",IF(J3766&lt;=2,"?ACTIVATED",IF(J3766&lt;&gt;"","?FAMILIAR",IF(F3766="NEW",IF(ISNA(VLOOKUP(E3766,#REF!,1,FALSE())),"?TYPE_IDENTIFIABLE","?REFERENTIAL"),"_")))))</f>
        <v> </v>
      </c>
      <c r="H3766" s="24" t="str">
        <f>IF(J3766&lt;&gt;1,"",IF(I3766="SBJ","CB","?"))</f>
        <v> </v>
      </c>
      <c r="I3766" s="25" t="str">
        <f>IF(OR(E3766="",E3766="!!!",F3766="NEW"),"",INDEX(B3765:B$2,-1+SUMPRODUCT(MAX(ROW(E3765:E$2)*(E3766=E3765:E$2)))))</f>
        <v> </v>
      </c>
      <c r="J3766" s="25" t="str">
        <f>IF(OR(E3766="",E3766="!!!",F3766="NEW"),"",COUNTBLANK(OFFSET(A$1,,,SUMPRODUCT(MAX(ROW(E$2:E3766)*(E3766=E$2:E3766)))))-COUNTBLANK(OFFSET(A$1,,,SUMPRODUCT(MAX(ROW(E$1:E3765)*(E2=E$1:E3765))))))</f>
        <v> </v>
      </c>
      <c r="K3766" s="25" t="str">
        <f>IF(OR(E3766="",E3766="!!!",F3766="NEW"),"",INDEX(J$1:J3765,SUMPRODUCT(MAX(ROW(E$1:E3765)*(E3766=E$1:E3765)))))</f>
        <v> </v>
      </c>
      <c r="L3766" s="26"/>
    </row>
    <row r="3767" spans="1:12">
      <c r="A3767" s="20" t="s">
        <v>1123</v>
      </c>
      <c r="E3767" s="21">
        <f>IF(D3767="?OLD","!!!","")</f>
        <v/>
      </c>
      <c r="F3767" s="22" t="str">
        <f>IF(OR(E3767="",E3767="!!!"),"",IF(NOT(ISNA(VLOOKUP(E3767,E$1:E3766,1,FALSE()))),"OLD",IF(AND(E3767&lt;&gt;"",E3767&lt;&gt;"!!!"),"NEW","")))</f>
        <v> </v>
      </c>
      <c r="G3767" s="23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4" t="str">
        <f>IF(J3767&lt;&gt;1,"",IF(I3767="SBJ","CB","?"))</f>
        <v> </v>
      </c>
      <c r="I3767" s="25" t="str">
        <f>IF(OR(E3767="",E3767="!!!",F3767="NEW"),"",INDEX(B3766:B$2,-1+SUMPRODUCT(MAX(ROW(E3766:E$2)*(E3767=E3766:E$2)))))</f>
        <v> </v>
      </c>
      <c r="J3767" s="25" t="str">
        <f>IF(OR(E3767="",E3767="!!!",F3767="NEW"),"",COUNTBLANK(OFFSET(A$1,,,SUMPRODUCT(MAX(ROW(E$2:E3767)*(E3767=E$2:E3767)))))-COUNTBLANK(OFFSET(A$1,,,SUMPRODUCT(MAX(ROW(E$1:E3766)*(E2=E$1:E3766))))))</f>
        <v> </v>
      </c>
      <c r="K3767" s="25" t="str">
        <f>IF(OR(E3767="",E3767="!!!",F3767="NEW"),"",INDEX(J$1:J3766,SUMPRODUCT(MAX(ROW(E$1:E3766)*(E3767=E$1:E3766)))))</f>
        <v> </v>
      </c>
      <c r="L3767" s="26"/>
    </row>
    <row r="3768" spans="1:12">
      <c r="A3768" s="20" t="s">
        <v>2788</v>
      </c>
      <c r="E3768" s="21">
        <f>IF(D3768="?OLD","!!!","")</f>
        <v/>
      </c>
      <c r="F3768" s="22" t="str">
        <f>IF(OR(E3768="",E3768="!!!"),"",IF(NOT(ISNA(VLOOKUP(E3768,E$1:E3767,1,FALSE()))),"OLD",IF(AND(E3768&lt;&gt;"",E3768&lt;&gt;"!!!"),"NEW","")))</f>
        <v> </v>
      </c>
      <c r="G3768" s="23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4" t="str">
        <f>IF(J3768&lt;&gt;1,"",IF(I3768="SBJ","CB","?"))</f>
        <v> </v>
      </c>
      <c r="I3768" s="25" t="str">
        <f>IF(OR(E3768="",E3768="!!!",F3768="NEW"),"",INDEX(B3767:B$2,-1+SUMPRODUCT(MAX(ROW(E3767:E$2)*(E3768=E3767:E$2)))))</f>
        <v> </v>
      </c>
      <c r="J3768" s="25" t="str">
        <f>IF(OR(E3768="",E3768="!!!",F3768="NEW"),"",COUNTBLANK(OFFSET(A$1,,,SUMPRODUCT(MAX(ROW(E$2:E3768)*(E3768=E$2:E3768)))))-COUNTBLANK(OFFSET(A$1,,,SUMPRODUCT(MAX(ROW(E$1:E3767)*(E2=E$1:E3767))))))</f>
        <v> </v>
      </c>
      <c r="K3768" s="25" t="str">
        <f>IF(OR(E3768="",E3768="!!!",F3768="NEW"),"",INDEX(J$1:J3767,SUMPRODUCT(MAX(ROW(E$1:E3767)*(E3768=E$1:E3767)))))</f>
        <v> </v>
      </c>
      <c r="L3768" s="26"/>
    </row>
    <row r="3769" spans="1:12">
      <c r="A3769" s="20" t="s">
        <v>2683</v>
      </c>
      <c r="B3769" s="27" t="s">
        <v>1213</v>
      </c>
      <c r="E3769" s="21">
        <f>IF(D3769="?OLD","!!!","")</f>
        <v/>
      </c>
      <c r="F3769" s="22" t="str">
        <f>IF(OR(E3769="",E3769="!!!"),"",IF(NOT(ISNA(VLOOKUP(E3769,E$1:E3768,1,FALSE()))),"OLD",IF(AND(E3769&lt;&gt;"",E3769&lt;&gt;"!!!"),"NEW","")))</f>
        <v> </v>
      </c>
      <c r="G3769" s="23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4" t="str">
        <f>IF(J3769&lt;&gt;1,"",IF(I3769="SBJ","CB","?"))</f>
        <v> </v>
      </c>
      <c r="I3769" s="25" t="str">
        <f>IF(OR(E3769="",E3769="!!!",F3769="NEW"),"",INDEX(B3768:B$2,-1+SUMPRODUCT(MAX(ROW(E3768:E$2)*(E3769=E3768:E$2)))))</f>
        <v> </v>
      </c>
      <c r="J3769" s="25" t="str">
        <f>IF(OR(E3769="",E3769="!!!",F3769="NEW"),"",COUNTBLANK(OFFSET(A$1,,,SUMPRODUCT(MAX(ROW(E$2:E3769)*(E3769=E$2:E3769)))))-COUNTBLANK(OFFSET(A$1,,,SUMPRODUCT(MAX(ROW(E$1:E3768)*(E2=E$1:E3768))))))</f>
        <v> </v>
      </c>
      <c r="K3769" s="25" t="str">
        <f>IF(OR(E3769="",E3769="!!!",F3769="NEW"),"",INDEX(J$1:J3768,SUMPRODUCT(MAX(ROW(E$1:E3768)*(E3769=E$1:E3768)))))</f>
        <v> </v>
      </c>
      <c r="L3769" s="26"/>
    </row>
    <row r="3770" spans="1:12">
      <c r="A3770" s="20" t="s">
        <v>1123</v>
      </c>
      <c r="E3770" s="21">
        <f>IF(D3770="?OLD","!!!","")</f>
        <v/>
      </c>
      <c r="F3770" s="22" t="str">
        <f>IF(OR(E3770="",E3770="!!!"),"",IF(NOT(ISNA(VLOOKUP(E3770,E$1:E3769,1,FALSE()))),"OLD",IF(AND(E3770&lt;&gt;"",E3770&lt;&gt;"!!!"),"NEW","")))</f>
        <v> </v>
      </c>
      <c r="G3770" s="23" t="str">
        <f>IF(OR(E3770="",E3770="!!!"),"",IF(OR(J3770=0,AND(J3770=1,K3770=1),AND(J3770=1,I3770="SBJ"),AND(J3770=1,I3770=0)),"?IN_FOCUS",IF(J3770&lt;=2,"?ACTIVATED",IF(J3770&lt;&gt;"","?FAMILIAR",IF(F3770="NEW",IF(ISNA(VLOOKUP(E3770,#REF!,1,FALSE())),"?TYPE_IDENTIFIABLE","?REFERENTIAL"),"_")))))</f>
        <v> </v>
      </c>
      <c r="H3770" s="24" t="str">
        <f>IF(J3770&lt;&gt;1,"",IF(I3770="SBJ","CB","?"))</f>
        <v> </v>
      </c>
      <c r="I3770" s="25" t="str">
        <f>IF(OR(E3770="",E3770="!!!",F3770="NEW"),"",INDEX(B3769:B$2,-1+SUMPRODUCT(MAX(ROW(E3769:E$2)*(E3770=E3769:E$2)))))</f>
        <v> </v>
      </c>
      <c r="J3770" s="25" t="str">
        <f>IF(OR(E3770="",E3770="!!!",F3770="NEW"),"",COUNTBLANK(OFFSET(A$1,,,SUMPRODUCT(MAX(ROW(E$2:E3770)*(E3770=E$2:E3770)))))-COUNTBLANK(OFFSET(A$1,,,SUMPRODUCT(MAX(ROW(E$1:E3769)*(E2=E$1:E3769))))))</f>
        <v> </v>
      </c>
      <c r="K3770" s="25" t="str">
        <f>IF(OR(E3770="",E3770="!!!",F3770="NEW"),"",INDEX(J$1:J3769,SUMPRODUCT(MAX(ROW(E$1:E3769)*(E3770=E$1:E3769)))))</f>
        <v> </v>
      </c>
      <c r="L3770" s="26"/>
    </row>
    <row r="3771" spans="1:12">
      <c r="A3771" s="20" t="s">
        <v>2789</v>
      </c>
      <c r="E3771" s="21">
        <f>IF(D3771="?OLD","!!!","")</f>
        <v/>
      </c>
      <c r="F3771" s="22" t="str">
        <f>IF(OR(E3771="",E3771="!!!"),"",IF(NOT(ISNA(VLOOKUP(E3771,E$1:E3770,1,FALSE()))),"OLD",IF(AND(E3771&lt;&gt;"",E3771&lt;&gt;"!!!"),"NEW","")))</f>
        <v> </v>
      </c>
      <c r="G3771" s="23" t="str">
        <f>IF(OR(E3771="",E3771="!!!"),"",IF(OR(J3771=0,AND(J3771=1,K3771=1),AND(J3771=1,I3771="SBJ"),AND(J3771=1,I3771=0)),"?IN_FOCUS",IF(J3771&lt;=2,"?ACTIVATED",IF(J3771&lt;&gt;"","?FAMILIAR",IF(F3771="NEW",IF(ISNA(VLOOKUP(E3771,#REF!,1,FALSE())),"?TYPE_IDENTIFIABLE","?REFERENTIAL"),"_")))))</f>
        <v> </v>
      </c>
      <c r="H3771" s="24" t="str">
        <f>IF(J3771&lt;&gt;1,"",IF(I3771="SBJ","CB","?"))</f>
        <v> </v>
      </c>
      <c r="I3771" s="25" t="str">
        <f>IF(OR(E3771="",E3771="!!!",F3771="NEW"),"",INDEX(B3770:B$2,-1+SUMPRODUCT(MAX(ROW(E3770:E$2)*(E3771=E3770:E$2)))))</f>
        <v> </v>
      </c>
      <c r="J3771" s="25" t="str">
        <f>IF(OR(E3771="",E3771="!!!",F3771="NEW"),"",COUNTBLANK(OFFSET(A$1,,,SUMPRODUCT(MAX(ROW(E$2:E3771)*(E3771=E$2:E3771)))))-COUNTBLANK(OFFSET(A$1,,,SUMPRODUCT(MAX(ROW(E$1:E3770)*(E2=E$1:E3770))))))</f>
        <v> </v>
      </c>
      <c r="K3771" s="25" t="str">
        <f>IF(OR(E3771="",E3771="!!!",F3771="NEW"),"",INDEX(J$1:J3770,SUMPRODUCT(MAX(ROW(E$1:E3770)*(E3771=E$1:E3770)))))</f>
        <v> </v>
      </c>
      <c r="L3771" s="26"/>
    </row>
    <row r="3772" spans="1:12">
      <c r="A3772" s="20" t="s">
        <v>2790</v>
      </c>
      <c r="E3772" s="21">
        <f>IF(D3772="?OLD","!!!","")</f>
        <v/>
      </c>
      <c r="F3772" s="22" t="str">
        <f>IF(OR(E3772="",E3772="!!!"),"",IF(NOT(ISNA(VLOOKUP(E3772,E$1:E3771,1,FALSE()))),"OLD",IF(AND(E3772&lt;&gt;"",E3772&lt;&gt;"!!!"),"NEW","")))</f>
        <v> </v>
      </c>
      <c r="G3772" s="23" t="str">
        <f>IF(OR(E3772="",E3772="!!!"),"",IF(OR(J3772=0,AND(J3772=1,K3772=1),AND(J3772=1,I3772="SBJ"),AND(J3772=1,I3772=0)),"?IN_FOCUS",IF(J3772&lt;=2,"?ACTIVATED",IF(J3772&lt;&gt;"","?FAMILIAR",IF(F3772="NEW",IF(ISNA(VLOOKUP(E3772,#REF!,1,FALSE())),"?TYPE_IDENTIFIABLE","?REFERENTIAL"),"_")))))</f>
        <v> </v>
      </c>
      <c r="H3772" s="24" t="str">
        <f>IF(J3772&lt;&gt;1,"",IF(I3772="SBJ","CB","?"))</f>
        <v> </v>
      </c>
      <c r="I3772" s="25" t="str">
        <f>IF(OR(E3772="",E3772="!!!",F3772="NEW"),"",INDEX(B3771:B$2,-1+SUMPRODUCT(MAX(ROW(E3771:E$2)*(E3772=E3771:E$2)))))</f>
        <v> </v>
      </c>
      <c r="J3772" s="25" t="str">
        <f>IF(OR(E3772="",E3772="!!!",F3772="NEW"),"",COUNTBLANK(OFFSET(A$1,,,SUMPRODUCT(MAX(ROW(E$2:E3772)*(E3772=E$2:E3772)))))-COUNTBLANK(OFFSET(A$1,,,SUMPRODUCT(MAX(ROW(E$1:E3771)*(E2=E$1:E3771))))))</f>
        <v> </v>
      </c>
      <c r="K3772" s="25" t="str">
        <f>IF(OR(E3772="",E3772="!!!",F3772="NEW"),"",INDEX(J$1:J3771,SUMPRODUCT(MAX(ROW(E$1:E3771)*(E3772=E$1:E3771)))))</f>
        <v> </v>
      </c>
      <c r="L3772" s="26"/>
    </row>
    <row r="3773" spans="1:12">
      <c r="A3773" s="20" t="s">
        <v>1195</v>
      </c>
      <c r="E3773" s="21">
        <f>IF(D3773="?OLD","!!!","")</f>
        <v/>
      </c>
      <c r="F3773" s="22" t="str">
        <f>IF(OR(E3773="",E3773="!!!"),"",IF(NOT(ISNA(VLOOKUP(E3773,E$1:E3772,1,FALSE()))),"OLD",IF(AND(E3773&lt;&gt;"",E3773&lt;&gt;"!!!"),"NEW","")))</f>
        <v> </v>
      </c>
      <c r="G3773" s="23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4" t="str">
        <f>IF(J3773&lt;&gt;1,"",IF(I3773="SBJ","CB","?"))</f>
        <v> </v>
      </c>
      <c r="I3773" s="25" t="str">
        <f>IF(OR(E3773="",E3773="!!!",F3773="NEW"),"",INDEX(B3772:B$2,-1+SUMPRODUCT(MAX(ROW(E3772:E$2)*(E3773=E3772:E$2)))))</f>
        <v> </v>
      </c>
      <c r="J3773" s="25" t="str">
        <f>IF(OR(E3773="",E3773="!!!",F3773="NEW"),"",COUNTBLANK(OFFSET(A$1,,,SUMPRODUCT(MAX(ROW(E$2:E3773)*(E3773=E$2:E3773)))))-COUNTBLANK(OFFSET(A$1,,,SUMPRODUCT(MAX(ROW(E$1:E3772)*(E2=E$1:E3772))))))</f>
        <v> </v>
      </c>
      <c r="K3773" s="25" t="str">
        <f>IF(OR(E3773="",E3773="!!!",F3773="NEW"),"",INDEX(J$1:J3772,SUMPRODUCT(MAX(ROW(E$1:E3772)*(E3773=E$1:E3772)))))</f>
        <v> </v>
      </c>
      <c r="L3773" s="26"/>
    </row>
    <row r="3774" spans="1:12">
      <c r="A3774" s="20" t="s">
        <v>2791</v>
      </c>
      <c r="E3774" s="21">
        <f>IF(D3774="?OLD","!!!","")</f>
        <v/>
      </c>
      <c r="F3774" s="22" t="str">
        <f>IF(OR(E3774="",E3774="!!!"),"",IF(NOT(ISNA(VLOOKUP(E3774,E$1:E3773,1,FALSE()))),"OLD",IF(AND(E3774&lt;&gt;"",E3774&lt;&gt;"!!!"),"NEW","")))</f>
        <v> </v>
      </c>
      <c r="G3774" s="23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4" t="str">
        <f>IF(J3774&lt;&gt;1,"",IF(I3774="SBJ","CB","?"))</f>
        <v> </v>
      </c>
      <c r="I3774" s="25" t="str">
        <f>IF(OR(E3774="",E3774="!!!",F3774="NEW"),"",INDEX(B3773:B$2,-1+SUMPRODUCT(MAX(ROW(E3773:E$2)*(E3774=E3773:E$2)))))</f>
        <v> </v>
      </c>
      <c r="J3774" s="25" t="str">
        <f>IF(OR(E3774="",E3774="!!!",F3774="NEW"),"",COUNTBLANK(OFFSET(A$1,,,SUMPRODUCT(MAX(ROW(E$2:E3774)*(E3774=E$2:E3774)))))-COUNTBLANK(OFFSET(A$1,,,SUMPRODUCT(MAX(ROW(E$1:E3773)*(E2=E$1:E3773))))))</f>
        <v> </v>
      </c>
      <c r="K3774" s="25" t="str">
        <f>IF(OR(E3774="",E3774="!!!",F3774="NEW"),"",INDEX(J$1:J3773,SUMPRODUCT(MAX(ROW(E$1:E3773)*(E3774=E$1:E3773)))))</f>
        <v> </v>
      </c>
      <c r="L3774" s="26"/>
    </row>
    <row r="3775" spans="1:12">
      <c r="A3775" s="20" t="s">
        <v>1271</v>
      </c>
      <c r="E3775" s="21">
        <f>IF(D3775="?OLD","!!!","")</f>
        <v/>
      </c>
      <c r="F3775" s="22" t="str">
        <f>IF(OR(E3775="",E3775="!!!"),"",IF(NOT(ISNA(VLOOKUP(E3775,E$1:E3774,1,FALSE()))),"OLD",IF(AND(E3775&lt;&gt;"",E3775&lt;&gt;"!!!"),"NEW","")))</f>
        <v> </v>
      </c>
      <c r="G3775" s="23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4" t="str">
        <f>IF(J3775&lt;&gt;1,"",IF(I3775="SBJ","CB","?"))</f>
        <v> </v>
      </c>
      <c r="I3775" s="25" t="str">
        <f>IF(OR(E3775="",E3775="!!!",F3775="NEW"),"",INDEX(B3774:B$2,-1+SUMPRODUCT(MAX(ROW(E3774:E$2)*(E3775=E3774:E$2)))))</f>
        <v> </v>
      </c>
      <c r="J3775" s="25" t="str">
        <f>IF(OR(E3775="",E3775="!!!",F3775="NEW"),"",COUNTBLANK(OFFSET(A$1,,,SUMPRODUCT(MAX(ROW(E$2:E3775)*(E3775=E$2:E3775)))))-COUNTBLANK(OFFSET(A$1,,,SUMPRODUCT(MAX(ROW(E$1:E3774)*(E2=E$1:E3774))))))</f>
        <v> </v>
      </c>
      <c r="K3775" s="25" t="str">
        <f>IF(OR(E3775="",E3775="!!!",F3775="NEW"),"",INDEX(J$1:J3774,SUMPRODUCT(MAX(ROW(E$1:E3774)*(E3775=E$1:E3774)))))</f>
        <v> </v>
      </c>
      <c r="L3775" s="26"/>
    </row>
    <row r="3776" spans="1:12">
      <c r="A3776" s="20" t="s">
        <v>2792</v>
      </c>
      <c r="E3776" s="21">
        <f>IF(D3776="?OLD","!!!","")</f>
        <v/>
      </c>
      <c r="F3776" s="22" t="str">
        <f>IF(OR(E3776="",E3776="!!!"),"",IF(NOT(ISNA(VLOOKUP(E3776,E$1:E3775,1,FALSE()))),"OLD",IF(AND(E3776&lt;&gt;"",E3776&lt;&gt;"!!!"),"NEW","")))</f>
        <v> </v>
      </c>
      <c r="G3776" s="23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4" t="str">
        <f>IF(J3776&lt;&gt;1,"",IF(I3776="SBJ","CB","?"))</f>
        <v> </v>
      </c>
      <c r="I3776" s="25" t="str">
        <f>IF(OR(E3776="",E3776="!!!",F3776="NEW"),"",INDEX(B3775:B$2,-1+SUMPRODUCT(MAX(ROW(E3775:E$2)*(E3776=E3775:E$2)))))</f>
        <v> </v>
      </c>
      <c r="J3776" s="25" t="str">
        <f>IF(OR(E3776="",E3776="!!!",F3776="NEW"),"",COUNTBLANK(OFFSET(A$1,,,SUMPRODUCT(MAX(ROW(E$2:E3776)*(E3776=E$2:E3776)))))-COUNTBLANK(OFFSET(A$1,,,SUMPRODUCT(MAX(ROW(E$1:E3775)*(E2=E$1:E3775))))))</f>
        <v> </v>
      </c>
      <c r="K3776" s="25" t="str">
        <f>IF(OR(E3776="",E3776="!!!",F3776="NEW"),"",INDEX(J$1:J3775,SUMPRODUCT(MAX(ROW(E$1:E3775)*(E3776=E$1:E3775)))))</f>
        <v> </v>
      </c>
      <c r="L3776" s="26"/>
    </row>
    <row r="3777" spans="1:12">
      <c r="A3777" s="20" t="s">
        <v>1123</v>
      </c>
      <c r="E3777" s="21">
        <f>IF(D3777="?OLD","!!!","")</f>
        <v/>
      </c>
      <c r="F3777" s="22" t="str">
        <f>IF(OR(E3777="",E3777="!!!"),"",IF(NOT(ISNA(VLOOKUP(E3777,E$1:E3776,1,FALSE()))),"OLD",IF(AND(E3777&lt;&gt;"",E3777&lt;&gt;"!!!"),"NEW","")))</f>
        <v> </v>
      </c>
      <c r="G3777" s="23" t="str">
        <f>IF(OR(E3777="",E3777="!!!"),"",IF(OR(J3777=0,AND(J3777=1,K3777=1),AND(J3777=1,I3777="SBJ"),AND(J3777=1,I3777=0)),"?IN_FOCUS",IF(J3777&lt;=2,"?ACTIVATED",IF(J3777&lt;&gt;"","?FAMILIAR",IF(F3777="NEW",IF(ISNA(VLOOKUP(E3777,#REF!,1,FALSE())),"?TYPE_IDENTIFIABLE","?REFERENTIAL"),"_")))))</f>
        <v> </v>
      </c>
      <c r="H3777" s="24" t="str">
        <f>IF(J3777&lt;&gt;1,"",IF(I3777="SBJ","CB","?"))</f>
        <v> </v>
      </c>
      <c r="I3777" s="25" t="str">
        <f>IF(OR(E3777="",E3777="!!!",F3777="NEW"),"",INDEX(B3776:B$2,-1+SUMPRODUCT(MAX(ROW(E3776:E$2)*(E3777=E3776:E$2)))))</f>
        <v> </v>
      </c>
      <c r="J3777" s="25" t="str">
        <f>IF(OR(E3777="",E3777="!!!",F3777="NEW"),"",COUNTBLANK(OFFSET(A$1,,,SUMPRODUCT(MAX(ROW(E$2:E3777)*(E3777=E$2:E3777)))))-COUNTBLANK(OFFSET(A$1,,,SUMPRODUCT(MAX(ROW(E$1:E3776)*(E2=E$1:E3776))))))</f>
        <v> </v>
      </c>
      <c r="K3777" s="25" t="str">
        <f>IF(OR(E3777="",E3777="!!!",F3777="NEW"),"",INDEX(J$1:J3776,SUMPRODUCT(MAX(ROW(E$1:E3776)*(E3777=E$1:E3776)))))</f>
        <v> </v>
      </c>
      <c r="L3777" s="26"/>
    </row>
    <row r="3778" spans="1:12">
      <c r="A3778" s="20" t="s">
        <v>2188</v>
      </c>
      <c r="E3778" s="21">
        <f>IF(D3778="?OLD","!!!","")</f>
        <v/>
      </c>
      <c r="F3778" s="22" t="str">
        <f>IF(OR(E3778="",E3778="!!!"),"",IF(NOT(ISNA(VLOOKUP(E3778,E$1:E3777,1,FALSE()))),"OLD",IF(AND(E3778&lt;&gt;"",E3778&lt;&gt;"!!!"),"NEW","")))</f>
        <v> </v>
      </c>
      <c r="G3778" s="23" t="str">
        <f>IF(OR(E3778="",E3778="!!!"),"",IF(OR(J3778=0,AND(J3778=1,K3778=1),AND(J3778=1,I3778="SBJ"),AND(J3778=1,I3778=0)),"?IN_FOCUS",IF(J3778&lt;=2,"?ACTIVATED",IF(J3778&lt;&gt;"","?FAMILIAR",IF(F3778="NEW",IF(ISNA(VLOOKUP(E3778,#REF!,1,FALSE())),"?TYPE_IDENTIFIABLE","?REFERENTIAL"),"_")))))</f>
        <v> </v>
      </c>
      <c r="H3778" s="24" t="str">
        <f>IF(J3778&lt;&gt;1,"",IF(I3778="SBJ","CB","?"))</f>
        <v> </v>
      </c>
      <c r="I3778" s="25" t="str">
        <f>IF(OR(E3778="",E3778="!!!",F3778="NEW"),"",INDEX(B3777:B$2,-1+SUMPRODUCT(MAX(ROW(E3777:E$2)*(E3778=E3777:E$2)))))</f>
        <v> </v>
      </c>
      <c r="J3778" s="25" t="str">
        <f>IF(OR(E3778="",E3778="!!!",F3778="NEW"),"",COUNTBLANK(OFFSET(A$1,,,SUMPRODUCT(MAX(ROW(E$2:E3778)*(E3778=E$2:E3778)))))-COUNTBLANK(OFFSET(A$1,,,SUMPRODUCT(MAX(ROW(E$1:E3777)*(E2=E$1:E3777))))))</f>
        <v> </v>
      </c>
      <c r="K3778" s="25" t="str">
        <f>IF(OR(E3778="",E3778="!!!",F3778="NEW"),"",INDEX(J$1:J3777,SUMPRODUCT(MAX(ROW(E$1:E3777)*(E3778=E$1:E3777)))))</f>
        <v> </v>
      </c>
      <c r="L3778" s="26"/>
    </row>
    <row r="3779" spans="1:12">
      <c r="A3779" s="20" t="s">
        <v>2793</v>
      </c>
      <c r="E3779" s="21">
        <f>IF(D3779="?OLD","!!!","")</f>
        <v/>
      </c>
      <c r="F3779" s="22" t="str">
        <f>IF(OR(E3779="",E3779="!!!"),"",IF(NOT(ISNA(VLOOKUP(E3779,E$1:E3778,1,FALSE()))),"OLD",IF(AND(E3779&lt;&gt;"",E3779&lt;&gt;"!!!"),"NEW","")))</f>
        <v> </v>
      </c>
      <c r="G3779" s="23" t="str">
        <f>IF(OR(E3779="",E3779="!!!"),"",IF(OR(J3779=0,AND(J3779=1,K3779=1),AND(J3779=1,I3779="SBJ"),AND(J3779=1,I3779=0)),"?IN_FOCUS",IF(J3779&lt;=2,"?ACTIVATED",IF(J3779&lt;&gt;"","?FAMILIAR",IF(F3779="NEW",IF(ISNA(VLOOKUP(E3779,#REF!,1,FALSE())),"?TYPE_IDENTIFIABLE","?REFERENTIAL"),"_")))))</f>
        <v> </v>
      </c>
      <c r="H3779" s="24" t="str">
        <f>IF(J3779&lt;&gt;1,"",IF(I3779="SBJ","CB","?"))</f>
        <v> </v>
      </c>
      <c r="I3779" s="25" t="str">
        <f>IF(OR(E3779="",E3779="!!!",F3779="NEW"),"",INDEX(B3778:B$2,-1+SUMPRODUCT(MAX(ROW(E3778:E$2)*(E3779=E3778:E$2)))))</f>
        <v> </v>
      </c>
      <c r="J3779" s="25" t="str">
        <f>IF(OR(E3779="",E3779="!!!",F3779="NEW"),"",COUNTBLANK(OFFSET(A$1,,,SUMPRODUCT(MAX(ROW(E$2:E3779)*(E3779=E$2:E3779)))))-COUNTBLANK(OFFSET(A$1,,,SUMPRODUCT(MAX(ROW(E$1:E3778)*(E2=E$1:E3778))))))</f>
        <v> </v>
      </c>
      <c r="K3779" s="25" t="str">
        <f>IF(OR(E3779="",E3779="!!!",F3779="NEW"),"",INDEX(J$1:J3778,SUMPRODUCT(MAX(ROW(E$1:E3778)*(E3779=E$1:E3778)))))</f>
        <v> </v>
      </c>
      <c r="L3779" s="26"/>
    </row>
    <row r="3780" spans="1:12">
      <c r="A3780" s="20" t="s">
        <v>2794</v>
      </c>
      <c r="E3780" s="21">
        <f>IF(D3780="?OLD","!!!","")</f>
        <v/>
      </c>
      <c r="F3780" s="22" t="str">
        <f>IF(OR(E3780="",E3780="!!!"),"",IF(NOT(ISNA(VLOOKUP(E3780,E$1:E3779,1,FALSE()))),"OLD",IF(AND(E3780&lt;&gt;"",E3780&lt;&gt;"!!!"),"NEW","")))</f>
        <v> </v>
      </c>
      <c r="G3780" s="23" t="str">
        <f>IF(OR(E3780="",E3780="!!!"),"",IF(OR(J3780=0,AND(J3780=1,K3780=1),AND(J3780=1,I3780="SBJ"),AND(J3780=1,I3780=0)),"?IN_FOCUS",IF(J3780&lt;=2,"?ACTIVATED",IF(J3780&lt;&gt;"","?FAMILIAR",IF(F3780="NEW",IF(ISNA(VLOOKUP(E3780,#REF!,1,FALSE())),"?TYPE_IDENTIFIABLE","?REFERENTIAL"),"_")))))</f>
        <v> </v>
      </c>
      <c r="H3780" s="24" t="str">
        <f>IF(J3780&lt;&gt;1,"",IF(I3780="SBJ","CB","?"))</f>
        <v> </v>
      </c>
      <c r="I3780" s="25" t="str">
        <f>IF(OR(E3780="",E3780="!!!",F3780="NEW"),"",INDEX(B3779:B$2,-1+SUMPRODUCT(MAX(ROW(E3779:E$2)*(E3780=E3779:E$2)))))</f>
        <v> </v>
      </c>
      <c r="J3780" s="25" t="str">
        <f>IF(OR(E3780="",E3780="!!!",F3780="NEW"),"",COUNTBLANK(OFFSET(A$1,,,SUMPRODUCT(MAX(ROW(E$2:E3780)*(E3780=E$2:E3780)))))-COUNTBLANK(OFFSET(A$1,,,SUMPRODUCT(MAX(ROW(E$1:E3779)*(E2=E$1:E3779))))))</f>
        <v> </v>
      </c>
      <c r="K3780" s="25" t="str">
        <f>IF(OR(E3780="",E3780="!!!",F3780="NEW"),"",INDEX(J$1:J3779,SUMPRODUCT(MAX(ROW(E$1:E3779)*(E3780=E$1:E3779)))))</f>
        <v> </v>
      </c>
      <c r="L3780" s="26"/>
    </row>
    <row r="3781" spans="1:12">
      <c r="A3781" s="20" t="s">
        <v>2795</v>
      </c>
      <c r="E3781" s="21">
        <f>IF(D3781="?OLD","!!!","")</f>
        <v/>
      </c>
      <c r="F3781" s="22" t="str">
        <f>IF(OR(E3781="",E3781="!!!"),"",IF(NOT(ISNA(VLOOKUP(E3781,E$1:E3780,1,FALSE()))),"OLD",IF(AND(E3781&lt;&gt;"",E3781&lt;&gt;"!!!"),"NEW","")))</f>
        <v> </v>
      </c>
      <c r="G3781" s="23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4" t="str">
        <f>IF(J3781&lt;&gt;1,"",IF(I3781="SBJ","CB","?"))</f>
        <v> </v>
      </c>
      <c r="I3781" s="25" t="str">
        <f>IF(OR(E3781="",E3781="!!!",F3781="NEW"),"",INDEX(B3780:B$2,-1+SUMPRODUCT(MAX(ROW(E3780:E$2)*(E3781=E3780:E$2)))))</f>
        <v> </v>
      </c>
      <c r="J3781" s="25" t="str">
        <f>IF(OR(E3781="",E3781="!!!",F3781="NEW"),"",COUNTBLANK(OFFSET(A$1,,,SUMPRODUCT(MAX(ROW(E$2:E3781)*(E3781=E$2:E3781)))))-COUNTBLANK(OFFSET(A$1,,,SUMPRODUCT(MAX(ROW(E$1:E3780)*(E2=E$1:E3780))))))</f>
        <v> </v>
      </c>
      <c r="K3781" s="25" t="str">
        <f>IF(OR(E3781="",E3781="!!!",F3781="NEW"),"",INDEX(J$1:J3780,SUMPRODUCT(MAX(ROW(E$1:E3780)*(E3781=E$1:E3780)))))</f>
        <v> </v>
      </c>
      <c r="L3781" s="26"/>
    </row>
    <row r="3782" spans="1:12">
      <c r="A3782" s="20" t="s">
        <v>1123</v>
      </c>
      <c r="E3782" s="21">
        <f>IF(D3782="?OLD","!!!","")</f>
        <v/>
      </c>
      <c r="F3782" s="22" t="str">
        <f>IF(OR(E3782="",E3782="!!!"),"",IF(NOT(ISNA(VLOOKUP(E3782,E$1:E3781,1,FALSE()))),"OLD",IF(AND(E3782&lt;&gt;"",E3782&lt;&gt;"!!!"),"NEW","")))</f>
        <v> </v>
      </c>
      <c r="G3782" s="23" t="str">
        <f>IF(OR(E3782="",E3782="!!!"),"",IF(OR(J3782=0,AND(J3782=1,K3782=1),AND(J3782=1,I3782="SBJ"),AND(J3782=1,I3782=0)),"?IN_FOCUS",IF(J3782&lt;=2,"?ACTIVATED",IF(J3782&lt;&gt;"","?FAMILIAR",IF(F3782="NEW",IF(ISNA(VLOOKUP(E3782,#REF!,1,FALSE())),"?TYPE_IDENTIFIABLE","?REFERENTIAL"),"_")))))</f>
        <v> </v>
      </c>
      <c r="H3782" s="24" t="str">
        <f>IF(J3782&lt;&gt;1,"",IF(I3782="SBJ","CB","?"))</f>
        <v> </v>
      </c>
      <c r="I3782" s="25" t="str">
        <f>IF(OR(E3782="",E3782="!!!",F3782="NEW"),"",INDEX(B3781:B$2,-1+SUMPRODUCT(MAX(ROW(E3781:E$2)*(E3782=E3781:E$2)))))</f>
        <v> </v>
      </c>
      <c r="J3782" s="25" t="str">
        <f>IF(OR(E3782="",E3782="!!!",F3782="NEW"),"",COUNTBLANK(OFFSET(A$1,,,SUMPRODUCT(MAX(ROW(E$2:E3782)*(E3782=E$2:E3782)))))-COUNTBLANK(OFFSET(A$1,,,SUMPRODUCT(MAX(ROW(E$1:E3781)*(E2=E$1:E3781))))))</f>
        <v> </v>
      </c>
      <c r="K3782" s="25" t="str">
        <f>IF(OR(E3782="",E3782="!!!",F3782="NEW"),"",INDEX(J$1:J3781,SUMPRODUCT(MAX(ROW(E$1:E3781)*(E3782=E$1:E3781)))))</f>
        <v> </v>
      </c>
      <c r="L3782" s="26"/>
    </row>
    <row r="3783" spans="1:12">
      <c r="A3783" s="20" t="s">
        <v>1731</v>
      </c>
      <c r="B3783" s="27" t="s">
        <v>2496</v>
      </c>
      <c r="C3783" s="27" t="s">
        <v>1133</v>
      </c>
      <c r="E3783" s="21">
        <f>IF(D3783="?OLD","!!!","")</f>
        <v/>
      </c>
      <c r="F3783" s="22" t="str">
        <f>IF(OR(E3783="",E3783="!!!"),"",IF(NOT(ISNA(VLOOKUP(E3783,E$1:E3782,1,FALSE()))),"OLD",IF(AND(E3783&lt;&gt;"",E3783&lt;&gt;"!!!"),"NEW","")))</f>
        <v> </v>
      </c>
      <c r="G3783" s="23" t="str">
        <f>IF(OR(E3783="",E3783="!!!"),"",IF(OR(J3783=0,AND(J3783=1,K3783=1),AND(J3783=1,I3783="SBJ"),AND(J3783=1,I3783=0)),"?IN_FOCUS",IF(J3783&lt;=2,"?ACTIVATED",IF(J3783&lt;&gt;"","?FAMILIAR",IF(F3783="NEW",IF(ISNA(VLOOKUP(E3783,#REF!,1,FALSE())),"?TYPE_IDENTIFIABLE","?REFERENTIAL"),"_")))))</f>
        <v> </v>
      </c>
      <c r="H3783" s="24" t="str">
        <f>IF(J3783&lt;&gt;1,"",IF(I3783="SBJ","CB","?"))</f>
        <v> </v>
      </c>
      <c r="I3783" s="25" t="str">
        <f>IF(OR(E3783="",E3783="!!!",F3783="NEW"),"",INDEX(B3782:B$2,-1+SUMPRODUCT(MAX(ROW(E3782:E$2)*(E3783=E3782:E$2)))))</f>
        <v> </v>
      </c>
      <c r="J3783" s="25" t="str">
        <f>IF(OR(E3783="",E3783="!!!",F3783="NEW"),"",COUNTBLANK(OFFSET(A$1,,,SUMPRODUCT(MAX(ROW(E$2:E3783)*(E3783=E$2:E3783)))))-COUNTBLANK(OFFSET(A$1,,,SUMPRODUCT(MAX(ROW(E$1:E3782)*(E2=E$1:E3782))))))</f>
        <v> </v>
      </c>
      <c r="K3783" s="25" t="str">
        <f>IF(OR(E3783="",E3783="!!!",F3783="NEW"),"",INDEX(J$1:J3782,SUMPRODUCT(MAX(ROW(E$1:E3782)*(E3783=E$1:E3782)))))</f>
        <v> </v>
      </c>
      <c r="L3783" s="26"/>
    </row>
    <row r="3784" spans="1:12">
      <c r="A3784" s="20" t="s">
        <v>2796</v>
      </c>
      <c r="E3784" s="21">
        <f>IF(D3784="?OLD","!!!","")</f>
        <v/>
      </c>
      <c r="F3784" s="22" t="str">
        <f>IF(OR(E3784="",E3784="!!!"),"",IF(NOT(ISNA(VLOOKUP(E3784,E$1:E3783,1,FALSE()))),"OLD",IF(AND(E3784&lt;&gt;"",E3784&lt;&gt;"!!!"),"NEW","")))</f>
        <v> </v>
      </c>
      <c r="G3784" s="23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4" t="str">
        <f>IF(J3784&lt;&gt;1,"",IF(I3784="SBJ","CB","?"))</f>
        <v> </v>
      </c>
      <c r="I3784" s="25" t="str">
        <f>IF(OR(E3784="",E3784="!!!",F3784="NEW"),"",INDEX(B3783:B$2,-1+SUMPRODUCT(MAX(ROW(E3783:E$2)*(E3784=E3783:E$2)))))</f>
        <v> </v>
      </c>
      <c r="J3784" s="25" t="str">
        <f>IF(OR(E3784="",E3784="!!!",F3784="NEW"),"",COUNTBLANK(OFFSET(A$1,,,SUMPRODUCT(MAX(ROW(E$2:E3784)*(E3784=E$2:E3784)))))-COUNTBLANK(OFFSET(A$1,,,SUMPRODUCT(MAX(ROW(E$1:E3783)*(E2=E$1:E3783))))))</f>
        <v> </v>
      </c>
      <c r="K3784" s="25" t="str">
        <f>IF(OR(E3784="",E3784="!!!",F3784="NEW"),"",INDEX(J$1:J3783,SUMPRODUCT(MAX(ROW(E$1:E3783)*(E3784=E$1:E3783)))))</f>
        <v> </v>
      </c>
      <c r="L3784" s="26"/>
    </row>
    <row r="3785" spans="1:12">
      <c r="A3785" s="20" t="s">
        <v>1173</v>
      </c>
      <c r="E3785" s="21">
        <f>IF(D3785="?OLD","!!!","")</f>
        <v/>
      </c>
      <c r="F3785" s="22" t="str">
        <f>IF(OR(E3785="",E3785="!!!"),"",IF(NOT(ISNA(VLOOKUP(E3785,E$1:E3784,1,FALSE()))),"OLD",IF(AND(E3785&lt;&gt;"",E3785&lt;&gt;"!!!"),"NEW","")))</f>
        <v> </v>
      </c>
      <c r="G3785" s="23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4" t="str">
        <f>IF(J3785&lt;&gt;1,"",IF(I3785="SBJ","CB","?"))</f>
        <v> </v>
      </c>
      <c r="I3785" s="25" t="str">
        <f>IF(OR(E3785="",E3785="!!!",F3785="NEW"),"",INDEX(B3784:B$2,-1+SUMPRODUCT(MAX(ROW(E3784:E$2)*(E3785=E3784:E$2)))))</f>
        <v> </v>
      </c>
      <c r="J3785" s="25" t="str">
        <f>IF(OR(E3785="",E3785="!!!",F3785="NEW"),"",COUNTBLANK(OFFSET(A$1,,,SUMPRODUCT(MAX(ROW(E$2:E3785)*(E3785=E$2:E3785)))))-COUNTBLANK(OFFSET(A$1,,,SUMPRODUCT(MAX(ROW(E$1:E3784)*(E2=E$1:E3784))))))</f>
        <v> </v>
      </c>
      <c r="K3785" s="25" t="str">
        <f>IF(OR(E3785="",E3785="!!!",F3785="NEW"),"",INDEX(J$1:J3784,SUMPRODUCT(MAX(ROW(E$1:E3784)*(E3785=E$1:E3784)))))</f>
        <v> </v>
      </c>
      <c r="L3785" s="26"/>
    </row>
    <row r="3786" spans="1:12">
      <c r="A3786" s="20" t="s">
        <v>2797</v>
      </c>
      <c r="B3786" s="27" t="s">
        <v>2798</v>
      </c>
      <c r="E3786" s="21">
        <f>IF(D3786="?OLD","!!!","")</f>
        <v/>
      </c>
      <c r="F3786" s="22" t="str">
        <f>IF(OR(E3786="",E3786="!!!"),"",IF(NOT(ISNA(VLOOKUP(E3786,E$1:E3785,1,FALSE()))),"OLD",IF(AND(E3786&lt;&gt;"",E3786&lt;&gt;"!!!"),"NEW","")))</f>
        <v> </v>
      </c>
      <c r="G3786" s="23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4" t="str">
        <f>IF(J3786&lt;&gt;1,"",IF(I3786="SBJ","CB","?"))</f>
        <v> </v>
      </c>
      <c r="I3786" s="25" t="str">
        <f>IF(OR(E3786="",E3786="!!!",F3786="NEW"),"",INDEX(B3785:B$2,-1+SUMPRODUCT(MAX(ROW(E3785:E$2)*(E3786=E3785:E$2)))))</f>
        <v> </v>
      </c>
      <c r="J3786" s="25" t="str">
        <f>IF(OR(E3786="",E3786="!!!",F3786="NEW"),"",COUNTBLANK(OFFSET(A$1,,,SUMPRODUCT(MAX(ROW(E$2:E3786)*(E3786=E$2:E3786)))))-COUNTBLANK(OFFSET(A$1,,,SUMPRODUCT(MAX(ROW(E$1:E3785)*(E2=E$1:E3785))))))</f>
        <v> </v>
      </c>
      <c r="K3786" s="25" t="str">
        <f>IF(OR(E3786="",E3786="!!!",F3786="NEW"),"",INDEX(J$1:J3785,SUMPRODUCT(MAX(ROW(E$1:E3785)*(E3786=E$1:E3785)))))</f>
        <v> </v>
      </c>
      <c r="L3786" s="26"/>
    </row>
    <row r="3787" spans="1:12">
      <c r="A3787" s="20" t="s">
        <v>2799</v>
      </c>
      <c r="E3787" s="21">
        <f>IF(D3787="?OLD","!!!","")</f>
        <v/>
      </c>
      <c r="F3787" s="22" t="str">
        <f>IF(OR(E3787="",E3787="!!!"),"",IF(NOT(ISNA(VLOOKUP(E3787,E$1:E3786,1,FALSE()))),"OLD",IF(AND(E3787&lt;&gt;"",E3787&lt;&gt;"!!!"),"NEW","")))</f>
        <v> </v>
      </c>
      <c r="G3787" s="23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4" t="str">
        <f>IF(J3787&lt;&gt;1,"",IF(I3787="SBJ","CB","?"))</f>
        <v> </v>
      </c>
      <c r="I3787" s="25" t="str">
        <f>IF(OR(E3787="",E3787="!!!",F3787="NEW"),"",INDEX(B3786:B$2,-1+SUMPRODUCT(MAX(ROW(E3786:E$2)*(E3787=E3786:E$2)))))</f>
        <v> </v>
      </c>
      <c r="J3787" s="25" t="str">
        <f>IF(OR(E3787="",E3787="!!!",F3787="NEW"),"",COUNTBLANK(OFFSET(A$1,,,SUMPRODUCT(MAX(ROW(E$2:E3787)*(E3787=E$2:E3787)))))-COUNTBLANK(OFFSET(A$1,,,SUMPRODUCT(MAX(ROW(E$1:E3786)*(E2=E$1:E3786))))))</f>
        <v> </v>
      </c>
      <c r="K3787" s="25" t="str">
        <f>IF(OR(E3787="",E3787="!!!",F3787="NEW"),"",INDEX(J$1:J3786,SUMPRODUCT(MAX(ROW(E$1:E3786)*(E3787=E$1:E3786)))))</f>
        <v> </v>
      </c>
      <c r="L3787" s="26"/>
    </row>
    <row r="3788" spans="1:12">
      <c r="A3788" s="20" t="s">
        <v>1123</v>
      </c>
      <c r="E3788" s="21">
        <f>IF(D3788="?OLD","!!!","")</f>
        <v/>
      </c>
      <c r="F3788" s="22" t="str">
        <f>IF(OR(E3788="",E3788="!!!"),"",IF(NOT(ISNA(VLOOKUP(E3788,E$1:E3787,1,FALSE()))),"OLD",IF(AND(E3788&lt;&gt;"",E3788&lt;&gt;"!!!"),"NEW","")))</f>
        <v> </v>
      </c>
      <c r="G3788" s="23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4" t="str">
        <f>IF(J3788&lt;&gt;1,"",IF(I3788="SBJ","CB","?"))</f>
        <v> </v>
      </c>
      <c r="I3788" s="25" t="str">
        <f>IF(OR(E3788="",E3788="!!!",F3788="NEW"),"",INDEX(B3787:B$2,-1+SUMPRODUCT(MAX(ROW(E3787:E$2)*(E3788=E3787:E$2)))))</f>
        <v> </v>
      </c>
      <c r="J3788" s="25" t="str">
        <f>IF(OR(E3788="",E3788="!!!",F3788="NEW"),"",COUNTBLANK(OFFSET(A$1,,,SUMPRODUCT(MAX(ROW(E$2:E3788)*(E3788=E$2:E3788)))))-COUNTBLANK(OFFSET(A$1,,,SUMPRODUCT(MAX(ROW(E$1:E3787)*(E2=E$1:E3787))))))</f>
        <v> </v>
      </c>
      <c r="K3788" s="25" t="str">
        <f>IF(OR(E3788="",E3788="!!!",F3788="NEW"),"",INDEX(J$1:J3787,SUMPRODUCT(MAX(ROW(E$1:E3787)*(E3788=E$1:E3787)))))</f>
        <v> </v>
      </c>
      <c r="L3788" s="26"/>
    </row>
    <row r="3789" spans="1:12">
      <c r="A3789" s="20" t="s">
        <v>1181</v>
      </c>
      <c r="B3789" s="27" t="s">
        <v>2800</v>
      </c>
      <c r="C3789" s="27" t="s">
        <v>1133</v>
      </c>
      <c r="E3789" s="21">
        <f>IF(D3789="?OLD","!!!","")</f>
        <v/>
      </c>
      <c r="F3789" s="22" t="str">
        <f>IF(OR(E3789="",E3789="!!!"),"",IF(NOT(ISNA(VLOOKUP(E3789,E$1:E3788,1,FALSE()))),"OLD",IF(AND(E3789&lt;&gt;"",E3789&lt;&gt;"!!!"),"NEW","")))</f>
        <v> </v>
      </c>
      <c r="G3789" s="23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4" t="str">
        <f>IF(J3789&lt;&gt;1,"",IF(I3789="SBJ","CB","?"))</f>
        <v> </v>
      </c>
      <c r="I3789" s="25" t="str">
        <f>IF(OR(E3789="",E3789="!!!",F3789="NEW"),"",INDEX(B3788:B$2,-1+SUMPRODUCT(MAX(ROW(E3788:E$2)*(E3789=E3788:E$2)))))</f>
        <v> </v>
      </c>
      <c r="J3789" s="25" t="str">
        <f>IF(OR(E3789="",E3789="!!!",F3789="NEW"),"",COUNTBLANK(OFFSET(A$1,,,SUMPRODUCT(MAX(ROW(E$2:E3789)*(E3789=E$2:E3789)))))-COUNTBLANK(OFFSET(A$1,,,SUMPRODUCT(MAX(ROW(E$1:E3788)*(E2=E$1:E3788))))))</f>
        <v> </v>
      </c>
      <c r="K3789" s="25" t="str">
        <f>IF(OR(E3789="",E3789="!!!",F3789="NEW"),"",INDEX(J$1:J3788,SUMPRODUCT(MAX(ROW(E$1:E3788)*(E3789=E$1:E3788)))))</f>
        <v> </v>
      </c>
      <c r="L3789" s="26"/>
    </row>
    <row r="3790" spans="1:12">
      <c r="A3790" s="20" t="s">
        <v>2324</v>
      </c>
      <c r="E3790" s="21">
        <f>IF(D3790="?OLD","!!!","")</f>
        <v/>
      </c>
      <c r="F3790" s="22" t="str">
        <f>IF(OR(E3790="",E3790="!!!"),"",IF(NOT(ISNA(VLOOKUP(E3790,E$1:E3789,1,FALSE()))),"OLD",IF(AND(E3790&lt;&gt;"",E3790&lt;&gt;"!!!"),"NEW","")))</f>
        <v> </v>
      </c>
      <c r="G3790" s="23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4" t="str">
        <f>IF(J3790&lt;&gt;1,"",IF(I3790="SBJ","CB","?"))</f>
        <v> </v>
      </c>
      <c r="I3790" s="25" t="str">
        <f>IF(OR(E3790="",E3790="!!!",F3790="NEW"),"",INDEX(B3789:B$2,-1+SUMPRODUCT(MAX(ROW(E3789:E$2)*(E3790=E3789:E$2)))))</f>
        <v> </v>
      </c>
      <c r="J3790" s="25" t="str">
        <f>IF(OR(E3790="",E3790="!!!",F3790="NEW"),"",COUNTBLANK(OFFSET(A$1,,,SUMPRODUCT(MAX(ROW(E$2:E3790)*(E3790=E$2:E3790)))))-COUNTBLANK(OFFSET(A$1,,,SUMPRODUCT(MAX(ROW(E$1:E3789)*(E2=E$1:E3789))))))</f>
        <v> </v>
      </c>
      <c r="K3790" s="25" t="str">
        <f>IF(OR(E3790="",E3790="!!!",F3790="NEW"),"",INDEX(J$1:J3789,SUMPRODUCT(MAX(ROW(E$1:E3789)*(E3790=E$1:E3789)))))</f>
        <v> </v>
      </c>
      <c r="L3790" s="26"/>
    </row>
    <row r="3791" spans="1:12">
      <c r="A3791" s="20" t="s">
        <v>2801</v>
      </c>
      <c r="E3791" s="21">
        <f>IF(D3791="?OLD","!!!","")</f>
        <v/>
      </c>
      <c r="F3791" s="22" t="str">
        <f>IF(OR(E3791="",E3791="!!!"),"",IF(NOT(ISNA(VLOOKUP(E3791,E$1:E3790,1,FALSE()))),"OLD",IF(AND(E3791&lt;&gt;"",E3791&lt;&gt;"!!!"),"NEW","")))</f>
        <v> </v>
      </c>
      <c r="G3791" s="23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4" t="str">
        <f>IF(J3791&lt;&gt;1,"",IF(I3791="SBJ","CB","?"))</f>
        <v> </v>
      </c>
      <c r="I3791" s="25" t="str">
        <f>IF(OR(E3791="",E3791="!!!",F3791="NEW"),"",INDEX(B3790:B$2,-1+SUMPRODUCT(MAX(ROW(E3790:E$2)*(E3791=E3790:E$2)))))</f>
        <v> </v>
      </c>
      <c r="J3791" s="25" t="str">
        <f>IF(OR(E3791="",E3791="!!!",F3791="NEW"),"",COUNTBLANK(OFFSET(A$1,,,SUMPRODUCT(MAX(ROW(E$2:E3791)*(E3791=E$2:E3791)))))-COUNTBLANK(OFFSET(A$1,,,SUMPRODUCT(MAX(ROW(E$1:E3790)*(E2=E$1:E3790))))))</f>
        <v> </v>
      </c>
      <c r="K3791" s="25" t="str">
        <f>IF(OR(E3791="",E3791="!!!",F3791="NEW"),"",INDEX(J$1:J3790,SUMPRODUCT(MAX(ROW(E$1:E3790)*(E3791=E$1:E3790)))))</f>
        <v> </v>
      </c>
      <c r="L3791" s="26"/>
    </row>
    <row r="3792" spans="1:12">
      <c r="A3792" s="20" t="s">
        <v>1130</v>
      </c>
      <c r="E3792" s="21">
        <f>IF(D3792="?OLD","!!!","")</f>
        <v/>
      </c>
      <c r="F3792" s="22" t="str">
        <f>IF(OR(E3792="",E3792="!!!"),"",IF(NOT(ISNA(VLOOKUP(E3792,E$1:E3791,1,FALSE()))),"OLD",IF(AND(E3792&lt;&gt;"",E3792&lt;&gt;"!!!"),"NEW","")))</f>
        <v> </v>
      </c>
      <c r="G3792" s="23" t="str">
        <f>IF(OR(E3792="",E3792="!!!"),"",IF(OR(J3792=0,AND(J3792=1,K3792=1),AND(J3792=1,I3792="SBJ"),AND(J3792=1,I3792=0)),"?IN_FOCUS",IF(J3792&lt;=2,"?ACTIVATED",IF(J3792&lt;&gt;"","?FAMILIAR",IF(F3792="NEW",IF(ISNA(VLOOKUP(E3792,#REF!,1,FALSE())),"?TYPE_IDENTIFIABLE","?REFERENTIAL"),"_")))))</f>
        <v> </v>
      </c>
      <c r="H3792" s="24" t="str">
        <f>IF(J3792&lt;&gt;1,"",IF(I3792="SBJ","CB","?"))</f>
        <v> </v>
      </c>
      <c r="I3792" s="25" t="str">
        <f>IF(OR(E3792="",E3792="!!!",F3792="NEW"),"",INDEX(B3791:B$2,-1+SUMPRODUCT(MAX(ROW(E3791:E$2)*(E3792=E3791:E$2)))))</f>
        <v> </v>
      </c>
      <c r="J3792" s="25" t="str">
        <f>IF(OR(E3792="",E3792="!!!",F3792="NEW"),"",COUNTBLANK(OFFSET(A$1,,,SUMPRODUCT(MAX(ROW(E$2:E3792)*(E3792=E$2:E3792)))))-COUNTBLANK(OFFSET(A$1,,,SUMPRODUCT(MAX(ROW(E$1:E3791)*(E2=E$1:E3791))))))</f>
        <v> </v>
      </c>
      <c r="K3792" s="25" t="str">
        <f>IF(OR(E3792="",E3792="!!!",F3792="NEW"),"",INDEX(J$1:J3791,SUMPRODUCT(MAX(ROW(E$1:E3791)*(E3792=E$1:E3791)))))</f>
        <v> </v>
      </c>
      <c r="L3792" s="26"/>
    </row>
    <row r="3793" spans="1:12">
      <c r="A3793" s="20" t="s">
        <v>2802</v>
      </c>
      <c r="E3793" s="21">
        <f>IF(D3793="?OLD","!!!","")</f>
        <v/>
      </c>
      <c r="F3793" s="22" t="str">
        <f>IF(OR(E3793="",E3793="!!!"),"",IF(NOT(ISNA(VLOOKUP(E3793,E$1:E3792,1,FALSE()))),"OLD",IF(AND(E3793&lt;&gt;"",E3793&lt;&gt;"!!!"),"NEW","")))</f>
        <v> </v>
      </c>
      <c r="G3793" s="23" t="str">
        <f>IF(OR(E3793="",E3793="!!!"),"",IF(OR(J3793=0,AND(J3793=1,K3793=1),AND(J3793=1,I3793="SBJ"),AND(J3793=1,I3793=0)),"?IN_FOCUS",IF(J3793&lt;=2,"?ACTIVATED",IF(J3793&lt;&gt;"","?FAMILIAR",IF(F3793="NEW",IF(ISNA(VLOOKUP(E3793,#REF!,1,FALSE())),"?TYPE_IDENTIFIABLE","?REFERENTIAL"),"_")))))</f>
        <v> </v>
      </c>
      <c r="H3793" s="24" t="str">
        <f>IF(J3793&lt;&gt;1,"",IF(I3793="SBJ","CB","?"))</f>
        <v> </v>
      </c>
      <c r="I3793" s="25" t="str">
        <f>IF(OR(E3793="",E3793="!!!",F3793="NEW"),"",INDEX(B3792:B$2,-1+SUMPRODUCT(MAX(ROW(E3792:E$2)*(E3793=E3792:E$2)))))</f>
        <v> </v>
      </c>
      <c r="J3793" s="25" t="str">
        <f>IF(OR(E3793="",E3793="!!!",F3793="NEW"),"",COUNTBLANK(OFFSET(A$1,,,SUMPRODUCT(MAX(ROW(E$2:E3793)*(E3793=E$2:E3793)))))-COUNTBLANK(OFFSET(A$1,,,SUMPRODUCT(MAX(ROW(E$1:E3792)*(E2=E$1:E3792))))))</f>
        <v> </v>
      </c>
      <c r="K3793" s="25" t="str">
        <f>IF(OR(E3793="",E3793="!!!",F3793="NEW"),"",INDEX(J$1:J3792,SUMPRODUCT(MAX(ROW(E$1:E3792)*(E3793=E$1:E3792)))))</f>
        <v> </v>
      </c>
      <c r="L3793" s="26"/>
    </row>
    <row r="3794" spans="1:12">
      <c r="A3794" s="20" t="s">
        <v>2803</v>
      </c>
      <c r="B3794" s="27" t="s">
        <v>2804</v>
      </c>
      <c r="C3794" s="27" t="s">
        <v>1156</v>
      </c>
      <c r="D3794" s="27" t="s">
        <v>1105</v>
      </c>
      <c r="E3794" s="21">
        <f>IF(D3794="?OLD","!!!","")</f>
        <v/>
      </c>
      <c r="F3794" s="22" t="str">
        <f>IF(OR(E3794="",E3794="!!!"),"",IF(NOT(ISNA(VLOOKUP(E3794,E$1:E3793,1,FALSE()))),"OLD",IF(AND(E3794&lt;&gt;"",E3794&lt;&gt;"!!!"),"NEW","")))</f>
        <v> </v>
      </c>
      <c r="G3794" s="23" t="str">
        <f>IF(OR(E3794="",E3794="!!!"),"",IF(OR(J3794=0,AND(J3794=1,K3794=1),AND(J3794=1,I3794="SBJ"),AND(J3794=1,I3794=0)),"?IN_FOCUS",IF(J3794&lt;=2,"?ACTIVATED",IF(J3794&lt;&gt;"","?FAMILIAR",IF(F3794="NEW",IF(ISNA(VLOOKUP(E3794,#REF!,1,FALSE())),"?TYPE_IDENTIFIABLE","?REFERENTIAL"),"_")))))</f>
        <v> </v>
      </c>
      <c r="H3794" s="24" t="str">
        <f>IF(J3794&lt;&gt;1,"",IF(I3794="SBJ","CB","?"))</f>
        <v> </v>
      </c>
      <c r="I3794" s="25" t="str">
        <f>IF(OR(E3794="",E3794="!!!",F3794="NEW"),"",INDEX(B3793:B$2,-1+SUMPRODUCT(MAX(ROW(E3793:E$2)*(E3794=E3793:E$2)))))</f>
        <v> </v>
      </c>
      <c r="J3794" s="25" t="str">
        <f>IF(OR(E3794="",E3794="!!!",F3794="NEW"),"",COUNTBLANK(OFFSET(A$1,,,SUMPRODUCT(MAX(ROW(E$2:E3794)*(E3794=E$2:E3794)))))-COUNTBLANK(OFFSET(A$1,,,SUMPRODUCT(MAX(ROW(E$1:E3793)*(E2=E$1:E3793))))))</f>
        <v> </v>
      </c>
      <c r="K3794" s="25" t="str">
        <f>IF(OR(E3794="",E3794="!!!",F3794="NEW"),"",INDEX(J$1:J3793,SUMPRODUCT(MAX(ROW(E$1:E3793)*(E3794=E$1:E3793)))))</f>
        <v> </v>
      </c>
      <c r="L3794" s="26"/>
    </row>
    <row r="3795" spans="1:12">
      <c r="A3795" s="20" t="s">
        <v>1145</v>
      </c>
      <c r="E3795" s="21">
        <f>IF(D3795="?OLD","!!!","")</f>
        <v/>
      </c>
      <c r="F3795" s="22" t="str">
        <f>IF(OR(E3795="",E3795="!!!"),"",IF(NOT(ISNA(VLOOKUP(E3795,E$1:E3794,1,FALSE()))),"OLD",IF(AND(E3795&lt;&gt;"",E3795&lt;&gt;"!!!"),"NEW","")))</f>
        <v> </v>
      </c>
      <c r="G3795" s="23" t="str">
        <f>IF(OR(E3795="",E3795="!!!"),"",IF(OR(J3795=0,AND(J3795=1,K3795=1),AND(J3795=1,I3795="SBJ"),AND(J3795=1,I3795=0)),"?IN_FOCUS",IF(J3795&lt;=2,"?ACTIVATED",IF(J3795&lt;&gt;"","?FAMILIAR",IF(F3795="NEW",IF(ISNA(VLOOKUP(E3795,#REF!,1,FALSE())),"?TYPE_IDENTIFIABLE","?REFERENTIAL"),"_")))))</f>
        <v> </v>
      </c>
      <c r="H3795" s="24" t="str">
        <f>IF(J3795&lt;&gt;1,"",IF(I3795="SBJ","CB","?"))</f>
        <v> </v>
      </c>
      <c r="I3795" s="25" t="str">
        <f>IF(OR(E3795="",E3795="!!!",F3795="NEW"),"",INDEX(B3794:B$2,-1+SUMPRODUCT(MAX(ROW(E3794:E$2)*(E3795=E3794:E$2)))))</f>
        <v> </v>
      </c>
      <c r="J3795" s="25" t="str">
        <f>IF(OR(E3795="",E3795="!!!",F3795="NEW"),"",COUNTBLANK(OFFSET(A$1,,,SUMPRODUCT(MAX(ROW(E$2:E3795)*(E3795=E$2:E3795)))))-COUNTBLANK(OFFSET(A$1,,,SUMPRODUCT(MAX(ROW(E$1:E3794)*(E2=E$1:E3794))))))</f>
        <v> </v>
      </c>
      <c r="K3795" s="25" t="str">
        <f>IF(OR(E3795="",E3795="!!!",F3795="NEW"),"",INDEX(J$1:J3794,SUMPRODUCT(MAX(ROW(E$1:E3794)*(E3795=E$1:E3794)))))</f>
        <v> </v>
      </c>
      <c r="L3795" s="26"/>
    </row>
    <row r="3796" spans="1:12">
      <c r="A3796" s="20"/>
    </row>
    <row r="3797" spans="1:12">
      <c r="A3797" s="20" t="s">
        <v>2805</v>
      </c>
    </row>
    <row r="3798" spans="1:12">
      <c r="A3798" s="20" t="s">
        <v>2553</v>
      </c>
      <c r="E3798" s="21">
        <f>IF(D3798="?OLD","!!!","")</f>
        <v/>
      </c>
      <c r="F3798" s="22" t="str">
        <f>IF(OR(E3798="",E3798="!!!"),"",IF(NOT(ISNA(VLOOKUP(E3798,E$1:E3797,1,FALSE()))),"OLD",IF(AND(E3798&lt;&gt;"",E3798&lt;&gt;"!!!"),"NEW","")))</f>
        <v> </v>
      </c>
      <c r="G3798" s="23" t="str">
        <f>IF(OR(E3798="",E3798="!!!"),"",IF(OR(J3798=0,AND(J3798=1,K3798=1),AND(J3798=1,I3798="SBJ"),AND(J3798=1,I3798=0)),"?IN_FOCUS",IF(J3798&lt;=2,"?ACTIVATED",IF(J3798&lt;&gt;"","?FAMILIAR",IF(F3798="NEW",IF(ISNA(VLOOKUP(E3798,#REF!,1,FALSE())),"?TYPE_IDENTIFIABLE","?REFERENTIAL"),"_")))))</f>
        <v> </v>
      </c>
      <c r="H3798" s="24" t="str">
        <f>IF(J3798&lt;&gt;1,"",IF(I3798="SBJ","CB","?"))</f>
        <v> </v>
      </c>
      <c r="I3798" s="25" t="str">
        <f>IF(OR(E3798="",E3798="!!!",F3798="NEW"),"",INDEX(B3797:B$2,-1+SUMPRODUCT(MAX(ROW(E3797:E$2)*(E3798=E3797:E$2)))))</f>
        <v> </v>
      </c>
      <c r="J3798" s="25" t="str">
        <f>IF(OR(E3798="",E3798="!!!",F3798="NEW"),"",COUNTBLANK(OFFSET(A$1,,,SUMPRODUCT(MAX(ROW(E$2:E3798)*(E3798=E$2:E3798)))))-COUNTBLANK(OFFSET(A$1,,,SUMPRODUCT(MAX(ROW(E$1:E3797)*(E2=E$1:E3797))))))</f>
        <v> </v>
      </c>
      <c r="K3798" s="25" t="str">
        <f>IF(OR(E3798="",E3798="!!!",F3798="NEW"),"",INDEX(J$1:J3797,SUMPRODUCT(MAX(ROW(E$1:E3797)*(E3798=E$1:E3797)))))</f>
        <v> </v>
      </c>
      <c r="L3798" s="26"/>
    </row>
    <row r="3799" spans="1:12">
      <c r="A3799" s="20" t="s">
        <v>2806</v>
      </c>
      <c r="E3799" s="21">
        <f>IF(D3799="?OLD","!!!","")</f>
        <v/>
      </c>
      <c r="F3799" s="22" t="str">
        <f>IF(OR(E3799="",E3799="!!!"),"",IF(NOT(ISNA(VLOOKUP(E3799,E$1:E3798,1,FALSE()))),"OLD",IF(AND(E3799&lt;&gt;"",E3799&lt;&gt;"!!!"),"NEW","")))</f>
        <v> </v>
      </c>
      <c r="G3799" s="23" t="str">
        <f>IF(OR(E3799="",E3799="!!!"),"",IF(OR(J3799=0,AND(J3799=1,K3799=1),AND(J3799=1,I3799="SBJ"),AND(J3799=1,I3799=0)),"?IN_FOCUS",IF(J3799&lt;=2,"?ACTIVATED",IF(J3799&lt;&gt;"","?FAMILIAR",IF(F3799="NEW",IF(ISNA(VLOOKUP(E3799,#REF!,1,FALSE())),"?TYPE_IDENTIFIABLE","?REFERENTIAL"),"_")))))</f>
        <v> </v>
      </c>
      <c r="H3799" s="24" t="str">
        <f>IF(J3799&lt;&gt;1,"",IF(I3799="SBJ","CB","?"))</f>
        <v> </v>
      </c>
      <c r="I3799" s="25" t="str">
        <f>IF(OR(E3799="",E3799="!!!",F3799="NEW"),"",INDEX(B3798:B$2,-1+SUMPRODUCT(MAX(ROW(E3798:E$2)*(E3799=E3798:E$2)))))</f>
        <v> </v>
      </c>
      <c r="J3799" s="25" t="str">
        <f>IF(OR(E3799="",E3799="!!!",F3799="NEW"),"",COUNTBLANK(OFFSET(A$1,,,SUMPRODUCT(MAX(ROW(E$2:E3799)*(E3799=E$2:E3799)))))-COUNTBLANK(OFFSET(A$1,,,SUMPRODUCT(MAX(ROW(E$1:E3798)*(E2=E$1:E3798))))))</f>
        <v> </v>
      </c>
      <c r="K3799" s="25" t="str">
        <f>IF(OR(E3799="",E3799="!!!",F3799="NEW"),"",INDEX(J$1:J3798,SUMPRODUCT(MAX(ROW(E$1:E3798)*(E3799=E$1:E3798)))))</f>
        <v> </v>
      </c>
      <c r="L3799" s="26"/>
    </row>
    <row r="3800" spans="1:12">
      <c r="A3800" s="20" t="s">
        <v>2807</v>
      </c>
      <c r="E3800" s="21">
        <f>IF(D3800="?OLD","!!!","")</f>
        <v/>
      </c>
      <c r="F3800" s="22" t="str">
        <f>IF(OR(E3800="",E3800="!!!"),"",IF(NOT(ISNA(VLOOKUP(E3800,E$1:E3799,1,FALSE()))),"OLD",IF(AND(E3800&lt;&gt;"",E3800&lt;&gt;"!!!"),"NEW","")))</f>
        <v> </v>
      </c>
      <c r="G3800" s="23" t="str">
        <f>IF(OR(E3800="",E3800="!!!"),"",IF(OR(J3800=0,AND(J3800=1,K3800=1),AND(J3800=1,I3800="SBJ"),AND(J3800=1,I3800=0)),"?IN_FOCUS",IF(J3800&lt;=2,"?ACTIVATED",IF(J3800&lt;&gt;"","?FAMILIAR",IF(F3800="NEW",IF(ISNA(VLOOKUP(E3800,#REF!,1,FALSE())),"?TYPE_IDENTIFIABLE","?REFERENTIAL"),"_")))))</f>
        <v> </v>
      </c>
      <c r="H3800" s="24" t="str">
        <f>IF(J3800&lt;&gt;1,"",IF(I3800="SBJ","CB","?"))</f>
        <v> </v>
      </c>
      <c r="I3800" s="25" t="str">
        <f>IF(OR(E3800="",E3800="!!!",F3800="NEW"),"",INDEX(B3799:B$2,-1+SUMPRODUCT(MAX(ROW(E3799:E$2)*(E3800=E3799:E$2)))))</f>
        <v> </v>
      </c>
      <c r="J3800" s="25" t="str">
        <f>IF(OR(E3800="",E3800="!!!",F3800="NEW"),"",COUNTBLANK(OFFSET(A$1,,,SUMPRODUCT(MAX(ROW(E$2:E3800)*(E3800=E$2:E3800)))))-COUNTBLANK(OFFSET(A$1,,,SUMPRODUCT(MAX(ROW(E$1:E3799)*(E2=E$1:E3799))))))</f>
        <v> </v>
      </c>
      <c r="K3800" s="25" t="str">
        <f>IF(OR(E3800="",E3800="!!!",F3800="NEW"),"",INDEX(J$1:J3799,SUMPRODUCT(MAX(ROW(E$1:E3799)*(E3800=E$1:E3799)))))</f>
        <v> </v>
      </c>
      <c r="L3800" s="26"/>
    </row>
    <row r="3801" spans="1:12">
      <c r="A3801" s="20" t="s">
        <v>1128</v>
      </c>
      <c r="E3801" s="21">
        <f>IF(D3801="?OLD","!!!","")</f>
        <v/>
      </c>
      <c r="F3801" s="22" t="str">
        <f>IF(OR(E3801="",E3801="!!!"),"",IF(NOT(ISNA(VLOOKUP(E3801,E$1:E3800,1,FALSE()))),"OLD",IF(AND(E3801&lt;&gt;"",E3801&lt;&gt;"!!!"),"NEW","")))</f>
        <v> </v>
      </c>
      <c r="G3801" s="23" t="str">
        <f>IF(OR(E3801="",E3801="!!!"),"",IF(OR(J3801=0,AND(J3801=1,K3801=1),AND(J3801=1,I3801="SBJ"),AND(J3801=1,I3801=0)),"?IN_FOCUS",IF(J3801&lt;=2,"?ACTIVATED",IF(J3801&lt;&gt;"","?FAMILIAR",IF(F3801="NEW",IF(ISNA(VLOOKUP(E3801,#REF!,1,FALSE())),"?TYPE_IDENTIFIABLE","?REFERENTIAL"),"_")))))</f>
        <v> </v>
      </c>
      <c r="H3801" s="24" t="str">
        <f>IF(J3801&lt;&gt;1,"",IF(I3801="SBJ","CB","?"))</f>
        <v> </v>
      </c>
      <c r="I3801" s="25" t="str">
        <f>IF(OR(E3801="",E3801="!!!",F3801="NEW"),"",INDEX(B3800:B$2,-1+SUMPRODUCT(MAX(ROW(E3800:E$2)*(E3801=E3800:E$2)))))</f>
        <v> </v>
      </c>
      <c r="J3801" s="25" t="str">
        <f>IF(OR(E3801="",E3801="!!!",F3801="NEW"),"",COUNTBLANK(OFFSET(A$1,,,SUMPRODUCT(MAX(ROW(E$2:E3801)*(E3801=E$2:E3801)))))-COUNTBLANK(OFFSET(A$1,,,SUMPRODUCT(MAX(ROW(E$1:E3800)*(E2=E$1:E3800))))))</f>
        <v> </v>
      </c>
      <c r="K3801" s="25" t="str">
        <f>IF(OR(E3801="",E3801="!!!",F3801="NEW"),"",INDEX(J$1:J3800,SUMPRODUCT(MAX(ROW(E$1:E3800)*(E3801=E$1:E3800)))))</f>
        <v> </v>
      </c>
      <c r="L3801" s="26"/>
    </row>
    <row r="3802" spans="1:12">
      <c r="A3802" s="20" t="s">
        <v>2808</v>
      </c>
      <c r="E3802" s="21">
        <f>IF(D3802="?OLD","!!!","")</f>
        <v/>
      </c>
      <c r="F3802" s="22" t="str">
        <f>IF(OR(E3802="",E3802="!!!"),"",IF(NOT(ISNA(VLOOKUP(E3802,E$1:E3801,1,FALSE()))),"OLD",IF(AND(E3802&lt;&gt;"",E3802&lt;&gt;"!!!"),"NEW","")))</f>
        <v> </v>
      </c>
      <c r="G3802" s="23" t="str">
        <f>IF(OR(E3802="",E3802="!!!"),"",IF(OR(J3802=0,AND(J3802=1,K3802=1),AND(J3802=1,I3802="SBJ"),AND(J3802=1,I3802=0)),"?IN_FOCUS",IF(J3802&lt;=2,"?ACTIVATED",IF(J3802&lt;&gt;"","?FAMILIAR",IF(F3802="NEW",IF(ISNA(VLOOKUP(E3802,#REF!,1,FALSE())),"?TYPE_IDENTIFIABLE","?REFERENTIAL"),"_")))))</f>
        <v> </v>
      </c>
      <c r="H3802" s="24" t="str">
        <f>IF(J3802&lt;&gt;1,"",IF(I3802="SBJ","CB","?"))</f>
        <v> </v>
      </c>
      <c r="I3802" s="25" t="str">
        <f>IF(OR(E3802="",E3802="!!!",F3802="NEW"),"",INDEX(B3801:B$2,-1+SUMPRODUCT(MAX(ROW(E3801:E$2)*(E3802=E3801:E$2)))))</f>
        <v> </v>
      </c>
      <c r="J3802" s="25" t="str">
        <f>IF(OR(E3802="",E3802="!!!",F3802="NEW"),"",COUNTBLANK(OFFSET(A$1,,,SUMPRODUCT(MAX(ROW(E$2:E3802)*(E3802=E$2:E3802)))))-COUNTBLANK(OFFSET(A$1,,,SUMPRODUCT(MAX(ROW(E$1:E3801)*(E2=E$1:E3801))))))</f>
        <v> </v>
      </c>
      <c r="K3802" s="25" t="str">
        <f>IF(OR(E3802="",E3802="!!!",F3802="NEW"),"",INDEX(J$1:J3801,SUMPRODUCT(MAX(ROW(E$1:E3801)*(E3802=E$1:E3801)))))</f>
        <v> </v>
      </c>
      <c r="L3802" s="26"/>
    </row>
    <row r="3803" spans="1:12">
      <c r="A3803" s="20" t="s">
        <v>2809</v>
      </c>
      <c r="E3803" s="21">
        <f>IF(D3803="?OLD","!!!","")</f>
        <v/>
      </c>
      <c r="F3803" s="22" t="str">
        <f>IF(OR(E3803="",E3803="!!!"),"",IF(NOT(ISNA(VLOOKUP(E3803,E$1:E3802,1,FALSE()))),"OLD",IF(AND(E3803&lt;&gt;"",E3803&lt;&gt;"!!!"),"NEW","")))</f>
        <v> </v>
      </c>
      <c r="G3803" s="23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4" t="str">
        <f>IF(J3803&lt;&gt;1,"",IF(I3803="SBJ","CB","?"))</f>
        <v> </v>
      </c>
      <c r="I3803" s="25" t="str">
        <f>IF(OR(E3803="",E3803="!!!",F3803="NEW"),"",INDEX(B3802:B$2,-1+SUMPRODUCT(MAX(ROW(E3802:E$2)*(E3803=E3802:E$2)))))</f>
        <v> </v>
      </c>
      <c r="J3803" s="25" t="str">
        <f>IF(OR(E3803="",E3803="!!!",F3803="NEW"),"",COUNTBLANK(OFFSET(A$1,,,SUMPRODUCT(MAX(ROW(E$2:E3803)*(E3803=E$2:E3803)))))-COUNTBLANK(OFFSET(A$1,,,SUMPRODUCT(MAX(ROW(E$1:E3802)*(E2=E$1:E3802))))))</f>
        <v> </v>
      </c>
      <c r="K3803" s="25" t="str">
        <f>IF(OR(E3803="",E3803="!!!",F3803="NEW"),"",INDEX(J$1:J3802,SUMPRODUCT(MAX(ROW(E$1:E3802)*(E3803=E$1:E3802)))))</f>
        <v> </v>
      </c>
      <c r="L3803" s="26"/>
    </row>
    <row r="3804" spans="1:12">
      <c r="A3804" s="20" t="s">
        <v>2810</v>
      </c>
      <c r="E3804" s="21">
        <f>IF(D3804="?OLD","!!!","")</f>
        <v/>
      </c>
      <c r="F3804" s="22" t="str">
        <f>IF(OR(E3804="",E3804="!!!"),"",IF(NOT(ISNA(VLOOKUP(E3804,E$1:E3803,1,FALSE()))),"OLD",IF(AND(E3804&lt;&gt;"",E3804&lt;&gt;"!!!"),"NEW","")))</f>
        <v> </v>
      </c>
      <c r="G3804" s="23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4" t="str">
        <f>IF(J3804&lt;&gt;1,"",IF(I3804="SBJ","CB","?"))</f>
        <v> </v>
      </c>
      <c r="I3804" s="25" t="str">
        <f>IF(OR(E3804="",E3804="!!!",F3804="NEW"),"",INDEX(B3803:B$2,-1+SUMPRODUCT(MAX(ROW(E3803:E$2)*(E3804=E3803:E$2)))))</f>
        <v> </v>
      </c>
      <c r="J3804" s="25" t="str">
        <f>IF(OR(E3804="",E3804="!!!",F3804="NEW"),"",COUNTBLANK(OFFSET(A$1,,,SUMPRODUCT(MAX(ROW(E$2:E3804)*(E3804=E$2:E3804)))))-COUNTBLANK(OFFSET(A$1,,,SUMPRODUCT(MAX(ROW(E$1:E3803)*(E2=E$1:E3803))))))</f>
        <v> </v>
      </c>
      <c r="K3804" s="25" t="str">
        <f>IF(OR(E3804="",E3804="!!!",F3804="NEW"),"",INDEX(J$1:J3803,SUMPRODUCT(MAX(ROW(E$1:E3803)*(E3804=E$1:E3803)))))</f>
        <v> </v>
      </c>
      <c r="L3804" s="26"/>
    </row>
    <row r="3805" spans="1:12">
      <c r="A3805" s="20" t="s">
        <v>1391</v>
      </c>
      <c r="E3805" s="21">
        <f>IF(D3805="?OLD","!!!","")</f>
        <v/>
      </c>
      <c r="F3805" s="22" t="str">
        <f>IF(OR(E3805="",E3805="!!!"),"",IF(NOT(ISNA(VLOOKUP(E3805,E$1:E3804,1,FALSE()))),"OLD",IF(AND(E3805&lt;&gt;"",E3805&lt;&gt;"!!!"),"NEW","")))</f>
        <v> </v>
      </c>
      <c r="G3805" s="23" t="str">
        <f>IF(OR(E3805="",E3805="!!!"),"",IF(OR(J3805=0,AND(J3805=1,K3805=1),AND(J3805=1,I3805="SBJ"),AND(J3805=1,I3805=0)),"?IN_FOCUS",IF(J3805&lt;=2,"?ACTIVATED",IF(J3805&lt;&gt;"","?FAMILIAR",IF(F3805="NEW",IF(ISNA(VLOOKUP(E3805,#REF!,1,FALSE())),"?TYPE_IDENTIFIABLE","?REFERENTIAL"),"_")))))</f>
        <v> </v>
      </c>
      <c r="H3805" s="24" t="str">
        <f>IF(J3805&lt;&gt;1,"",IF(I3805="SBJ","CB","?"))</f>
        <v> </v>
      </c>
      <c r="I3805" s="25" t="str">
        <f>IF(OR(E3805="",E3805="!!!",F3805="NEW"),"",INDEX(B3804:B$2,-1+SUMPRODUCT(MAX(ROW(E3804:E$2)*(E3805=E3804:E$2)))))</f>
        <v> </v>
      </c>
      <c r="J3805" s="25" t="str">
        <f>IF(OR(E3805="",E3805="!!!",F3805="NEW"),"",COUNTBLANK(OFFSET(A$1,,,SUMPRODUCT(MAX(ROW(E$2:E3805)*(E3805=E$2:E3805)))))-COUNTBLANK(OFFSET(A$1,,,SUMPRODUCT(MAX(ROW(E$1:E3804)*(E2=E$1:E3804))))))</f>
        <v> </v>
      </c>
      <c r="K3805" s="25" t="str">
        <f>IF(OR(E3805="",E3805="!!!",F3805="NEW"),"",INDEX(J$1:J3804,SUMPRODUCT(MAX(ROW(E$1:E3804)*(E3805=E$1:E3804)))))</f>
        <v> </v>
      </c>
      <c r="L3805" s="26"/>
    </row>
    <row r="3806" spans="1:12">
      <c r="A3806" s="20" t="s">
        <v>1393</v>
      </c>
      <c r="E3806" s="21">
        <f>IF(D3806="?OLD","!!!","")</f>
        <v/>
      </c>
      <c r="F3806" s="22" t="str">
        <f>IF(OR(E3806="",E3806="!!!"),"",IF(NOT(ISNA(VLOOKUP(E3806,E$1:E3805,1,FALSE()))),"OLD",IF(AND(E3806&lt;&gt;"",E3806&lt;&gt;"!!!"),"NEW","")))</f>
        <v> </v>
      </c>
      <c r="G3806" s="23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4" t="str">
        <f>IF(J3806&lt;&gt;1,"",IF(I3806="SBJ","CB","?"))</f>
        <v> </v>
      </c>
      <c r="I3806" s="25" t="str">
        <f>IF(OR(E3806="",E3806="!!!",F3806="NEW"),"",INDEX(B3805:B$2,-1+SUMPRODUCT(MAX(ROW(E3805:E$2)*(E3806=E3805:E$2)))))</f>
        <v> </v>
      </c>
      <c r="J3806" s="25" t="str">
        <f>IF(OR(E3806="",E3806="!!!",F3806="NEW"),"",COUNTBLANK(OFFSET(A$1,,,SUMPRODUCT(MAX(ROW(E$2:E3806)*(E3806=E$2:E3806)))))-COUNTBLANK(OFFSET(A$1,,,SUMPRODUCT(MAX(ROW(E$1:E3805)*(E2=E$1:E3805))))))</f>
        <v> </v>
      </c>
      <c r="K3806" s="25" t="str">
        <f>IF(OR(E3806="",E3806="!!!",F3806="NEW"),"",INDEX(J$1:J3805,SUMPRODUCT(MAX(ROW(E$1:E3805)*(E3806=E$1:E3805)))))</f>
        <v> </v>
      </c>
      <c r="L3806" s="26"/>
    </row>
    <row r="3807" spans="1:12">
      <c r="A3807" s="20" t="s">
        <v>2811</v>
      </c>
      <c r="E3807" s="21">
        <f>IF(D3807="?OLD","!!!","")</f>
        <v/>
      </c>
      <c r="F3807" s="22" t="str">
        <f>IF(OR(E3807="",E3807="!!!"),"",IF(NOT(ISNA(VLOOKUP(E3807,E$1:E3806,1,FALSE()))),"OLD",IF(AND(E3807&lt;&gt;"",E3807&lt;&gt;"!!!"),"NEW","")))</f>
        <v> </v>
      </c>
      <c r="G3807" s="23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4" t="str">
        <f>IF(J3807&lt;&gt;1,"",IF(I3807="SBJ","CB","?"))</f>
        <v> </v>
      </c>
      <c r="I3807" s="25" t="str">
        <f>IF(OR(E3807="",E3807="!!!",F3807="NEW"),"",INDEX(B3806:B$2,-1+SUMPRODUCT(MAX(ROW(E3806:E$2)*(E3807=E3806:E$2)))))</f>
        <v> </v>
      </c>
      <c r="J3807" s="25" t="str">
        <f>IF(OR(E3807="",E3807="!!!",F3807="NEW"),"",COUNTBLANK(OFFSET(A$1,,,SUMPRODUCT(MAX(ROW(E$2:E3807)*(E3807=E$2:E3807)))))-COUNTBLANK(OFFSET(A$1,,,SUMPRODUCT(MAX(ROW(E$1:E3806)*(E2=E$1:E3806))))))</f>
        <v> </v>
      </c>
      <c r="K3807" s="25" t="str">
        <f>IF(OR(E3807="",E3807="!!!",F3807="NEW"),"",INDEX(J$1:J3806,SUMPRODUCT(MAX(ROW(E$1:E3806)*(E3807=E$1:E3806)))))</f>
        <v> </v>
      </c>
      <c r="L3807" s="26"/>
    </row>
    <row r="3808" spans="1:12">
      <c r="A3808" s="20" t="s">
        <v>2812</v>
      </c>
      <c r="E3808" s="21">
        <f>IF(D3808="?OLD","!!!","")</f>
        <v/>
      </c>
      <c r="F3808" s="22" t="str">
        <f>IF(OR(E3808="",E3808="!!!"),"",IF(NOT(ISNA(VLOOKUP(E3808,E$1:E3807,1,FALSE()))),"OLD",IF(AND(E3808&lt;&gt;"",E3808&lt;&gt;"!!!"),"NEW","")))</f>
        <v> </v>
      </c>
      <c r="G3808" s="23" t="str">
        <f>IF(OR(E3808="",E3808="!!!"),"",IF(OR(J3808=0,AND(J3808=1,K3808=1),AND(J3808=1,I3808="SBJ"),AND(J3808=1,I3808=0)),"?IN_FOCUS",IF(J3808&lt;=2,"?ACTIVATED",IF(J3808&lt;&gt;"","?FAMILIAR",IF(F3808="NEW",IF(ISNA(VLOOKUP(E3808,#REF!,1,FALSE())),"?TYPE_IDENTIFIABLE","?REFERENTIAL"),"_")))))</f>
        <v> </v>
      </c>
      <c r="H3808" s="24" t="str">
        <f>IF(J3808&lt;&gt;1,"",IF(I3808="SBJ","CB","?"))</f>
        <v> </v>
      </c>
      <c r="I3808" s="25" t="str">
        <f>IF(OR(E3808="",E3808="!!!",F3808="NEW"),"",INDEX(B3807:B$2,-1+SUMPRODUCT(MAX(ROW(E3807:E$2)*(E3808=E3807:E$2)))))</f>
        <v> </v>
      </c>
      <c r="J3808" s="25" t="str">
        <f>IF(OR(E3808="",E3808="!!!",F3808="NEW"),"",COUNTBLANK(OFFSET(A$1,,,SUMPRODUCT(MAX(ROW(E$2:E3808)*(E3808=E$2:E3808)))))-COUNTBLANK(OFFSET(A$1,,,SUMPRODUCT(MAX(ROW(E$1:E3807)*(E2=E$1:E3807))))))</f>
        <v> </v>
      </c>
      <c r="K3808" s="25" t="str">
        <f>IF(OR(E3808="",E3808="!!!",F3808="NEW"),"",INDEX(J$1:J3807,SUMPRODUCT(MAX(ROW(E$1:E3807)*(E3808=E$1:E3807)))))</f>
        <v> </v>
      </c>
      <c r="L3808" s="26"/>
    </row>
    <row r="3809" spans="1:12">
      <c r="A3809" s="20" t="s">
        <v>2813</v>
      </c>
      <c r="B3809" s="27" t="s">
        <v>1149</v>
      </c>
      <c r="E3809" s="21">
        <f>IF(D3809="?OLD","!!!","")</f>
        <v/>
      </c>
      <c r="F3809" s="22" t="str">
        <f>IF(OR(E3809="",E3809="!!!"),"",IF(NOT(ISNA(VLOOKUP(E3809,E$1:E3808,1,FALSE()))),"OLD",IF(AND(E3809&lt;&gt;"",E3809&lt;&gt;"!!!"),"NEW","")))</f>
        <v> </v>
      </c>
      <c r="G3809" s="23" t="str">
        <f>IF(OR(E3809="",E3809="!!!"),"",IF(OR(J3809=0,AND(J3809=1,K3809=1),AND(J3809=1,I3809="SBJ"),AND(J3809=1,I3809=0)),"?IN_FOCUS",IF(J3809&lt;=2,"?ACTIVATED",IF(J3809&lt;&gt;"","?FAMILIAR",IF(F3809="NEW",IF(ISNA(VLOOKUP(E3809,#REF!,1,FALSE())),"?TYPE_IDENTIFIABLE","?REFERENTIAL"),"_")))))</f>
        <v> </v>
      </c>
      <c r="H3809" s="24" t="str">
        <f>IF(J3809&lt;&gt;1,"",IF(I3809="SBJ","CB","?"))</f>
        <v> </v>
      </c>
      <c r="I3809" s="25" t="str">
        <f>IF(OR(E3809="",E3809="!!!",F3809="NEW"),"",INDEX(B3808:B$2,-1+SUMPRODUCT(MAX(ROW(E3808:E$2)*(E3809=E3808:E$2)))))</f>
        <v> </v>
      </c>
      <c r="J3809" s="25" t="str">
        <f>IF(OR(E3809="",E3809="!!!",F3809="NEW"),"",COUNTBLANK(OFFSET(A$1,,,SUMPRODUCT(MAX(ROW(E$2:E3809)*(E3809=E$2:E3809)))))-COUNTBLANK(OFFSET(A$1,,,SUMPRODUCT(MAX(ROW(E$1:E3808)*(E2=E$1:E3808))))))</f>
        <v> </v>
      </c>
      <c r="K3809" s="25" t="str">
        <f>IF(OR(E3809="",E3809="!!!",F3809="NEW"),"",INDEX(J$1:J3808,SUMPRODUCT(MAX(ROW(E$1:E3808)*(E3809=E$1:E3808)))))</f>
        <v> </v>
      </c>
      <c r="L3809" s="26"/>
    </row>
    <row r="3810" spans="1:12">
      <c r="A3810" s="20" t="s">
        <v>1145</v>
      </c>
      <c r="E3810" s="21">
        <f>IF(D3810="?OLD","!!!","")</f>
        <v/>
      </c>
      <c r="F3810" s="22" t="str">
        <f>IF(OR(E3810="",E3810="!!!"),"",IF(NOT(ISNA(VLOOKUP(E3810,E$1:E3809,1,FALSE()))),"OLD",IF(AND(E3810&lt;&gt;"",E3810&lt;&gt;"!!!"),"NEW","")))</f>
        <v> </v>
      </c>
      <c r="G3810" s="23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4" t="str">
        <f>IF(J3810&lt;&gt;1,"",IF(I3810="SBJ","CB","?"))</f>
        <v> </v>
      </c>
      <c r="I3810" s="25" t="str">
        <f>IF(OR(E3810="",E3810="!!!",F3810="NEW"),"",INDEX(B3809:B$2,-1+SUMPRODUCT(MAX(ROW(E3809:E$2)*(E3810=E3809:E$2)))))</f>
        <v> </v>
      </c>
      <c r="J3810" s="25" t="str">
        <f>IF(OR(E3810="",E3810="!!!",F3810="NEW"),"",COUNTBLANK(OFFSET(A$1,,,SUMPRODUCT(MAX(ROW(E$2:E3810)*(E3810=E$2:E3810)))))-COUNTBLANK(OFFSET(A$1,,,SUMPRODUCT(MAX(ROW(E$1:E3809)*(E2=E$1:E3809))))))</f>
        <v> </v>
      </c>
      <c r="K3810" s="25" t="str">
        <f>IF(OR(E3810="",E3810="!!!",F3810="NEW"),"",INDEX(J$1:J3809,SUMPRODUCT(MAX(ROW(E$1:E3809)*(E3810=E$1:E3809)))))</f>
        <v> </v>
      </c>
      <c r="L3810" s="26"/>
    </row>
    <row r="3811" spans="1:12">
      <c r="A3811" s="20"/>
    </row>
    <row r="3812" spans="1:12">
      <c r="A3812" s="20" t="s">
        <v>2814</v>
      </c>
    </row>
    <row r="3813" spans="1:12">
      <c r="A3813" s="20" t="s">
        <v>1353</v>
      </c>
      <c r="B3813" s="27" t="s">
        <v>1149</v>
      </c>
      <c r="C3813" s="27" t="s">
        <v>1126</v>
      </c>
      <c r="D3813" s="27" t="s">
        <v>1105</v>
      </c>
      <c r="E3813" s="21">
        <f>IF(D3813="?OLD","!!!","")</f>
        <v/>
      </c>
      <c r="F3813" s="22" t="str">
        <f>IF(OR(E3813="",E3813="!!!"),"",IF(NOT(ISNA(VLOOKUP(E3813,E$1:E3812,1,FALSE()))),"OLD",IF(AND(E3813&lt;&gt;"",E3813&lt;&gt;"!!!"),"NEW","")))</f>
        <v> </v>
      </c>
      <c r="G3813" s="23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4" t="str">
        <f>IF(J3813&lt;&gt;1,"",IF(I3813="SBJ","CB","?"))</f>
        <v> </v>
      </c>
      <c r="I3813" s="25" t="str">
        <f>IF(OR(E3813="",E3813="!!!",F3813="NEW"),"",INDEX(B3812:B$2,-1+SUMPRODUCT(MAX(ROW(E3812:E$2)*(E3813=E3812:E$2)))))</f>
        <v> </v>
      </c>
      <c r="J3813" s="25" t="str">
        <f>IF(OR(E3813="",E3813="!!!",F3813="NEW"),"",COUNTBLANK(OFFSET(A$1,,,SUMPRODUCT(MAX(ROW(E$2:E3813)*(E3813=E$2:E3813)))))-COUNTBLANK(OFFSET(A$1,,,SUMPRODUCT(MAX(ROW(E$1:E3812)*(E2=E$1:E3812))))))</f>
        <v> </v>
      </c>
      <c r="K3813" s="25" t="str">
        <f>IF(OR(E3813="",E3813="!!!",F3813="NEW"),"",INDEX(J$1:J3812,SUMPRODUCT(MAX(ROW(E$1:E3812)*(E3813=E$1:E3812)))))</f>
        <v> </v>
      </c>
      <c r="L3813" s="26"/>
    </row>
    <row r="3814" spans="1:12">
      <c r="A3814" s="20" t="s">
        <v>1121</v>
      </c>
      <c r="E3814" s="21">
        <f>IF(D3814="?OLD","!!!","")</f>
        <v/>
      </c>
      <c r="F3814" s="22" t="str">
        <f>IF(OR(E3814="",E3814="!!!"),"",IF(NOT(ISNA(VLOOKUP(E3814,E$1:E3813,1,FALSE()))),"OLD",IF(AND(E3814&lt;&gt;"",E3814&lt;&gt;"!!!"),"NEW","")))</f>
        <v> </v>
      </c>
      <c r="G3814" s="23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4" t="str">
        <f>IF(J3814&lt;&gt;1,"",IF(I3814="SBJ","CB","?"))</f>
        <v> </v>
      </c>
      <c r="I3814" s="25" t="str">
        <f>IF(OR(E3814="",E3814="!!!",F3814="NEW"),"",INDEX(B3813:B$2,-1+SUMPRODUCT(MAX(ROW(E3813:E$2)*(E3814=E3813:E$2)))))</f>
        <v> </v>
      </c>
      <c r="J3814" s="25" t="str">
        <f>IF(OR(E3814="",E3814="!!!",F3814="NEW"),"",COUNTBLANK(OFFSET(A$1,,,SUMPRODUCT(MAX(ROW(E$2:E3814)*(E3814=E$2:E3814)))))-COUNTBLANK(OFFSET(A$1,,,SUMPRODUCT(MAX(ROW(E$1:E3813)*(E2=E$1:E3813))))))</f>
        <v> </v>
      </c>
      <c r="K3814" s="25" t="str">
        <f>IF(OR(E3814="",E3814="!!!",F3814="NEW"),"",INDEX(J$1:J3813,SUMPRODUCT(MAX(ROW(E$1:E3813)*(E3814=E$1:E3813)))))</f>
        <v> </v>
      </c>
      <c r="L3814" s="26"/>
    </row>
    <row r="3815" spans="1:12">
      <c r="A3815" s="20" t="s">
        <v>1128</v>
      </c>
      <c r="E3815" s="21">
        <f>IF(D3815="?OLD","!!!","")</f>
        <v/>
      </c>
      <c r="F3815" s="22" t="str">
        <f>IF(OR(E3815="",E3815="!!!"),"",IF(NOT(ISNA(VLOOKUP(E3815,E$1:E3814,1,FALSE()))),"OLD",IF(AND(E3815&lt;&gt;"",E3815&lt;&gt;"!!!"),"NEW","")))</f>
        <v> </v>
      </c>
      <c r="G3815" s="23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4" t="str">
        <f>IF(J3815&lt;&gt;1,"",IF(I3815="SBJ","CB","?"))</f>
        <v> </v>
      </c>
      <c r="I3815" s="25" t="str">
        <f>IF(OR(E3815="",E3815="!!!",F3815="NEW"),"",INDEX(B3814:B$2,-1+SUMPRODUCT(MAX(ROW(E3814:E$2)*(E3815=E3814:E$2)))))</f>
        <v> </v>
      </c>
      <c r="J3815" s="25" t="str">
        <f>IF(OR(E3815="",E3815="!!!",F3815="NEW"),"",COUNTBLANK(OFFSET(A$1,,,SUMPRODUCT(MAX(ROW(E$2:E3815)*(E3815=E$2:E3815)))))-COUNTBLANK(OFFSET(A$1,,,SUMPRODUCT(MAX(ROW(E$1:E3814)*(E2=E$1:E3814))))))</f>
        <v> </v>
      </c>
      <c r="K3815" s="25" t="str">
        <f>IF(OR(E3815="",E3815="!!!",F3815="NEW"),"",INDEX(J$1:J3814,SUMPRODUCT(MAX(ROW(E$1:E3814)*(E3815=E$1:E3814)))))</f>
        <v> </v>
      </c>
      <c r="L3815" s="26"/>
    </row>
    <row r="3816" spans="1:12">
      <c r="A3816" s="20" t="s">
        <v>1930</v>
      </c>
      <c r="B3816" s="27" t="s">
        <v>1103</v>
      </c>
      <c r="C3816" s="27" t="s">
        <v>1156</v>
      </c>
      <c r="D3816" s="27" t="s">
        <v>1105</v>
      </c>
      <c r="E3816" s="21">
        <f>IF(D3816="?OLD","!!!","")</f>
        <v/>
      </c>
      <c r="F3816" s="22" t="str">
        <f>IF(OR(E3816="",E3816="!!!"),"",IF(NOT(ISNA(VLOOKUP(E3816,E$1:E3815,1,FALSE()))),"OLD",IF(AND(E3816&lt;&gt;"",E3816&lt;&gt;"!!!"),"NEW","")))</f>
        <v> </v>
      </c>
      <c r="G3816" s="23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4" t="str">
        <f>IF(J3816&lt;&gt;1,"",IF(I3816="SBJ","CB","?"))</f>
        <v> </v>
      </c>
      <c r="I3816" s="25" t="str">
        <f>IF(OR(E3816="",E3816="!!!",F3816="NEW"),"",INDEX(B3815:B$2,-1+SUMPRODUCT(MAX(ROW(E3815:E$2)*(E3816=E3815:E$2)))))</f>
        <v> </v>
      </c>
      <c r="J3816" s="25" t="str">
        <f>IF(OR(E3816="",E3816="!!!",F3816="NEW"),"",COUNTBLANK(OFFSET(A$1,,,SUMPRODUCT(MAX(ROW(E$2:E3816)*(E3816=E$2:E3816)))))-COUNTBLANK(OFFSET(A$1,,,SUMPRODUCT(MAX(ROW(E$1:E3815)*(E2=E$1:E3815))))))</f>
        <v> </v>
      </c>
      <c r="K3816" s="25" t="str">
        <f>IF(OR(E3816="",E3816="!!!",F3816="NEW"),"",INDEX(J$1:J3815,SUMPRODUCT(MAX(ROW(E$1:E3815)*(E3816=E$1:E3815)))))</f>
        <v> </v>
      </c>
      <c r="L3816" s="26"/>
    </row>
    <row r="3817" spans="1:12">
      <c r="A3817" s="20" t="s">
        <v>2815</v>
      </c>
      <c r="E3817" s="21">
        <f>IF(D3817="?OLD","!!!","")</f>
        <v/>
      </c>
      <c r="F3817" s="22" t="str">
        <f>IF(OR(E3817="",E3817="!!!"),"",IF(NOT(ISNA(VLOOKUP(E3817,E$1:E3816,1,FALSE()))),"OLD",IF(AND(E3817&lt;&gt;"",E3817&lt;&gt;"!!!"),"NEW","")))</f>
        <v> </v>
      </c>
      <c r="G3817" s="23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4" t="str">
        <f>IF(J3817&lt;&gt;1,"",IF(I3817="SBJ","CB","?"))</f>
        <v> </v>
      </c>
      <c r="I3817" s="25" t="str">
        <f>IF(OR(E3817="",E3817="!!!",F3817="NEW"),"",INDEX(B3816:B$2,-1+SUMPRODUCT(MAX(ROW(E3816:E$2)*(E3817=E3816:E$2)))))</f>
        <v> </v>
      </c>
      <c r="J3817" s="25" t="str">
        <f>IF(OR(E3817="",E3817="!!!",F3817="NEW"),"",COUNTBLANK(OFFSET(A$1,,,SUMPRODUCT(MAX(ROW(E$2:E3817)*(E3817=E$2:E3817)))))-COUNTBLANK(OFFSET(A$1,,,SUMPRODUCT(MAX(ROW(E$1:E3816)*(E2=E$1:E3816))))))</f>
        <v> </v>
      </c>
      <c r="K3817" s="25" t="str">
        <f>IF(OR(E3817="",E3817="!!!",F3817="NEW"),"",INDEX(J$1:J3816,SUMPRODUCT(MAX(ROW(E$1:E3816)*(E3817=E$1:E3816)))))</f>
        <v> </v>
      </c>
      <c r="L3817" s="26"/>
    </row>
    <row r="3818" spans="1:12">
      <c r="A3818" s="20" t="s">
        <v>1123</v>
      </c>
      <c r="E3818" s="21">
        <f>IF(D3818="?OLD","!!!","")</f>
        <v/>
      </c>
      <c r="F3818" s="22" t="str">
        <f>IF(OR(E3818="",E3818="!!!"),"",IF(NOT(ISNA(VLOOKUP(E3818,E$1:E3817,1,FALSE()))),"OLD",IF(AND(E3818&lt;&gt;"",E3818&lt;&gt;"!!!"),"NEW","")))</f>
        <v> </v>
      </c>
      <c r="G3818" s="23" t="str">
        <f>IF(OR(E3818="",E3818="!!!"),"",IF(OR(J3818=0,AND(J3818=1,K3818=1),AND(J3818=1,I3818="SBJ"),AND(J3818=1,I3818=0)),"?IN_FOCUS",IF(J3818&lt;=2,"?ACTIVATED",IF(J3818&lt;&gt;"","?FAMILIAR",IF(F3818="NEW",IF(ISNA(VLOOKUP(E3818,#REF!,1,FALSE())),"?TYPE_IDENTIFIABLE","?REFERENTIAL"),"_")))))</f>
        <v> </v>
      </c>
      <c r="H3818" s="24" t="str">
        <f>IF(J3818&lt;&gt;1,"",IF(I3818="SBJ","CB","?"))</f>
        <v> </v>
      </c>
      <c r="I3818" s="25" t="str">
        <f>IF(OR(E3818="",E3818="!!!",F3818="NEW"),"",INDEX(B3817:B$2,-1+SUMPRODUCT(MAX(ROW(E3817:E$2)*(E3818=E3817:E$2)))))</f>
        <v> </v>
      </c>
      <c r="J3818" s="25" t="str">
        <f>IF(OR(E3818="",E3818="!!!",F3818="NEW"),"",COUNTBLANK(OFFSET(A$1,,,SUMPRODUCT(MAX(ROW(E$2:E3818)*(E3818=E$2:E3818)))))-COUNTBLANK(OFFSET(A$1,,,SUMPRODUCT(MAX(ROW(E$1:E3817)*(E2=E$1:E3817))))))</f>
        <v> </v>
      </c>
      <c r="K3818" s="25" t="str">
        <f>IF(OR(E3818="",E3818="!!!",F3818="NEW"),"",INDEX(J$1:J3817,SUMPRODUCT(MAX(ROW(E$1:E3817)*(E3818=E$1:E3817)))))</f>
        <v> </v>
      </c>
      <c r="L3818" s="26"/>
    </row>
    <row r="3819" spans="1:12">
      <c r="A3819" s="20" t="s">
        <v>2816</v>
      </c>
      <c r="E3819" s="21">
        <f>IF(D3819="?OLD","!!!","")</f>
        <v/>
      </c>
      <c r="F3819" s="22" t="str">
        <f>IF(OR(E3819="",E3819="!!!"),"",IF(NOT(ISNA(VLOOKUP(E3819,E$1:E3818,1,FALSE()))),"OLD",IF(AND(E3819&lt;&gt;"",E3819&lt;&gt;"!!!"),"NEW","")))</f>
        <v> </v>
      </c>
      <c r="G3819" s="23" t="str">
        <f>IF(OR(E3819="",E3819="!!!"),"",IF(OR(J3819=0,AND(J3819=1,K3819=1),AND(J3819=1,I3819="SBJ"),AND(J3819=1,I3819=0)),"?IN_FOCUS",IF(J3819&lt;=2,"?ACTIVATED",IF(J3819&lt;&gt;"","?FAMILIAR",IF(F3819="NEW",IF(ISNA(VLOOKUP(E3819,#REF!,1,FALSE())),"?TYPE_IDENTIFIABLE","?REFERENTIAL"),"_")))))</f>
        <v> </v>
      </c>
      <c r="H3819" s="24" t="str">
        <f>IF(J3819&lt;&gt;1,"",IF(I3819="SBJ","CB","?"))</f>
        <v> </v>
      </c>
      <c r="I3819" s="25" t="str">
        <f>IF(OR(E3819="",E3819="!!!",F3819="NEW"),"",INDEX(B3818:B$2,-1+SUMPRODUCT(MAX(ROW(E3818:E$2)*(E3819=E3818:E$2)))))</f>
        <v> </v>
      </c>
      <c r="J3819" s="25" t="str">
        <f>IF(OR(E3819="",E3819="!!!",F3819="NEW"),"",COUNTBLANK(OFFSET(A$1,,,SUMPRODUCT(MAX(ROW(E$2:E3819)*(E3819=E$2:E3819)))))-COUNTBLANK(OFFSET(A$1,,,SUMPRODUCT(MAX(ROW(E$1:E3818)*(E2=E$1:E3818))))))</f>
        <v> </v>
      </c>
      <c r="K3819" s="25" t="str">
        <f>IF(OR(E3819="",E3819="!!!",F3819="NEW"),"",INDEX(J$1:J3818,SUMPRODUCT(MAX(ROW(E$1:E3818)*(E3819=E$1:E3818)))))</f>
        <v> </v>
      </c>
      <c r="L3819" s="26"/>
    </row>
    <row r="3820" spans="1:12">
      <c r="A3820" s="20" t="s">
        <v>1253</v>
      </c>
      <c r="E3820" s="21">
        <f>IF(D3820="?OLD","!!!","")</f>
        <v/>
      </c>
      <c r="F3820" s="22" t="str">
        <f>IF(OR(E3820="",E3820="!!!"),"",IF(NOT(ISNA(VLOOKUP(E3820,E$1:E3819,1,FALSE()))),"OLD",IF(AND(E3820&lt;&gt;"",E3820&lt;&gt;"!!!"),"NEW","")))</f>
        <v> </v>
      </c>
      <c r="G3820" s="23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4" t="str">
        <f>IF(J3820&lt;&gt;1,"",IF(I3820="SBJ","CB","?"))</f>
        <v> </v>
      </c>
      <c r="I3820" s="25" t="str">
        <f>IF(OR(E3820="",E3820="!!!",F3820="NEW"),"",INDEX(B3819:B$2,-1+SUMPRODUCT(MAX(ROW(E3819:E$2)*(E3820=E3819:E$2)))))</f>
        <v> </v>
      </c>
      <c r="J3820" s="25" t="str">
        <f>IF(OR(E3820="",E3820="!!!",F3820="NEW"),"",COUNTBLANK(OFFSET(A$1,,,SUMPRODUCT(MAX(ROW(E$2:E3820)*(E3820=E$2:E3820)))))-COUNTBLANK(OFFSET(A$1,,,SUMPRODUCT(MAX(ROW(E$1:E3819)*(E2=E$1:E3819))))))</f>
        <v> </v>
      </c>
      <c r="K3820" s="25" t="str">
        <f>IF(OR(E3820="",E3820="!!!",F3820="NEW"),"",INDEX(J$1:J3819,SUMPRODUCT(MAX(ROW(E$1:E3819)*(E3820=E$1:E3819)))))</f>
        <v> </v>
      </c>
      <c r="L3820" s="26"/>
    </row>
    <row r="3821" spans="1:12">
      <c r="A3821" s="20" t="s">
        <v>2817</v>
      </c>
      <c r="E3821" s="21">
        <f>IF(D3821="?OLD","!!!","")</f>
        <v/>
      </c>
      <c r="F3821" s="22" t="str">
        <f>IF(OR(E3821="",E3821="!!!"),"",IF(NOT(ISNA(VLOOKUP(E3821,E$1:E3820,1,FALSE()))),"OLD",IF(AND(E3821&lt;&gt;"",E3821&lt;&gt;"!!!"),"NEW","")))</f>
        <v> </v>
      </c>
      <c r="G3821" s="23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4" t="str">
        <f>IF(J3821&lt;&gt;1,"",IF(I3821="SBJ","CB","?"))</f>
        <v> </v>
      </c>
      <c r="I3821" s="25" t="str">
        <f>IF(OR(E3821="",E3821="!!!",F3821="NEW"),"",INDEX(B3820:B$2,-1+SUMPRODUCT(MAX(ROW(E3820:E$2)*(E3821=E3820:E$2)))))</f>
        <v> </v>
      </c>
      <c r="J3821" s="25" t="str">
        <f>IF(OR(E3821="",E3821="!!!",F3821="NEW"),"",COUNTBLANK(OFFSET(A$1,,,SUMPRODUCT(MAX(ROW(E$2:E3821)*(E3821=E$2:E3821)))))-COUNTBLANK(OFFSET(A$1,,,SUMPRODUCT(MAX(ROW(E$1:E3820)*(E2=E$1:E3820))))))</f>
        <v> </v>
      </c>
      <c r="K3821" s="25" t="str">
        <f>IF(OR(E3821="",E3821="!!!",F3821="NEW"),"",INDEX(J$1:J3820,SUMPRODUCT(MAX(ROW(E$1:E3820)*(E3821=E$1:E3820)))))</f>
        <v> </v>
      </c>
      <c r="L3821" s="26"/>
    </row>
    <row r="3822" spans="1:12">
      <c r="A3822" s="20" t="s">
        <v>1184</v>
      </c>
      <c r="E3822" s="21">
        <f>IF(D3822="?OLD","!!!","")</f>
        <v/>
      </c>
      <c r="F3822" s="22" t="str">
        <f>IF(OR(E3822="",E3822="!!!"),"",IF(NOT(ISNA(VLOOKUP(E3822,E$1:E3821,1,FALSE()))),"OLD",IF(AND(E3822&lt;&gt;"",E3822&lt;&gt;"!!!"),"NEW","")))</f>
        <v> </v>
      </c>
      <c r="G3822" s="23" t="str">
        <f>IF(OR(E3822="",E3822="!!!"),"",IF(OR(J3822=0,AND(J3822=1,K3822=1),AND(J3822=1,I3822="SBJ"),AND(J3822=1,I3822=0)),"?IN_FOCUS",IF(J3822&lt;=2,"?ACTIVATED",IF(J3822&lt;&gt;"","?FAMILIAR",IF(F3822="NEW",IF(ISNA(VLOOKUP(E3822,#REF!,1,FALSE())),"?TYPE_IDENTIFIABLE","?REFERENTIAL"),"_")))))</f>
        <v> </v>
      </c>
      <c r="H3822" s="24" t="str">
        <f>IF(J3822&lt;&gt;1,"",IF(I3822="SBJ","CB","?"))</f>
        <v> </v>
      </c>
      <c r="I3822" s="25" t="str">
        <f>IF(OR(E3822="",E3822="!!!",F3822="NEW"),"",INDEX(B3821:B$2,-1+SUMPRODUCT(MAX(ROW(E3821:E$2)*(E3822=E3821:E$2)))))</f>
        <v> </v>
      </c>
      <c r="J3822" s="25" t="str">
        <f>IF(OR(E3822="",E3822="!!!",F3822="NEW"),"",COUNTBLANK(OFFSET(A$1,,,SUMPRODUCT(MAX(ROW(E$2:E3822)*(E3822=E$2:E3822)))))-COUNTBLANK(OFFSET(A$1,,,SUMPRODUCT(MAX(ROW(E$1:E3821)*(E2=E$1:E3821))))))</f>
        <v> </v>
      </c>
      <c r="K3822" s="25" t="str">
        <f>IF(OR(E3822="",E3822="!!!",F3822="NEW"),"",INDEX(J$1:J3821,SUMPRODUCT(MAX(ROW(E$1:E3821)*(E3822=E$1:E3821)))))</f>
        <v> </v>
      </c>
      <c r="L3822" s="26"/>
    </row>
    <row r="3823" spans="1:12">
      <c r="A3823" s="20" t="s">
        <v>2818</v>
      </c>
      <c r="E3823" s="21">
        <f>IF(D3823="?OLD","!!!","")</f>
        <v/>
      </c>
      <c r="F3823" s="22" t="str">
        <f>IF(OR(E3823="",E3823="!!!"),"",IF(NOT(ISNA(VLOOKUP(E3823,E$1:E3822,1,FALSE()))),"OLD",IF(AND(E3823&lt;&gt;"",E3823&lt;&gt;"!!!"),"NEW","")))</f>
        <v> </v>
      </c>
      <c r="G3823" s="23" t="str">
        <f>IF(OR(E3823="",E3823="!!!"),"",IF(OR(J3823=0,AND(J3823=1,K3823=1),AND(J3823=1,I3823="SBJ"),AND(J3823=1,I3823=0)),"?IN_FOCUS",IF(J3823&lt;=2,"?ACTIVATED",IF(J3823&lt;&gt;"","?FAMILIAR",IF(F3823="NEW",IF(ISNA(VLOOKUP(E3823,#REF!,1,FALSE())),"?TYPE_IDENTIFIABLE","?REFERENTIAL"),"_")))))</f>
        <v> </v>
      </c>
      <c r="H3823" s="24" t="str">
        <f>IF(J3823&lt;&gt;1,"",IF(I3823="SBJ","CB","?"))</f>
        <v> </v>
      </c>
      <c r="I3823" s="25" t="str">
        <f>IF(OR(E3823="",E3823="!!!",F3823="NEW"),"",INDEX(B3822:B$2,-1+SUMPRODUCT(MAX(ROW(E3822:E$2)*(E3823=E3822:E$2)))))</f>
        <v> </v>
      </c>
      <c r="J3823" s="25" t="str">
        <f>IF(OR(E3823="",E3823="!!!",F3823="NEW"),"",COUNTBLANK(OFFSET(A$1,,,SUMPRODUCT(MAX(ROW(E$2:E3823)*(E3823=E$2:E3823)))))-COUNTBLANK(OFFSET(A$1,,,SUMPRODUCT(MAX(ROW(E$1:E3822)*(E2=E$1:E3822))))))</f>
        <v> </v>
      </c>
      <c r="K3823" s="25" t="str">
        <f>IF(OR(E3823="",E3823="!!!",F3823="NEW"),"",INDEX(J$1:J3822,SUMPRODUCT(MAX(ROW(E$1:E3822)*(E3823=E$1:E3822)))))</f>
        <v> </v>
      </c>
      <c r="L3823" s="26"/>
    </row>
    <row r="3824" spans="1:12">
      <c r="A3824" s="20" t="s">
        <v>2819</v>
      </c>
      <c r="E3824" s="21">
        <f>IF(D3824="?OLD","!!!","")</f>
        <v/>
      </c>
      <c r="F3824" s="22" t="str">
        <f>IF(OR(E3824="",E3824="!!!"),"",IF(NOT(ISNA(VLOOKUP(E3824,E$1:E3823,1,FALSE()))),"OLD",IF(AND(E3824&lt;&gt;"",E3824&lt;&gt;"!!!"),"NEW","")))</f>
        <v> </v>
      </c>
      <c r="G3824" s="23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4" t="str">
        <f>IF(J3824&lt;&gt;1,"",IF(I3824="SBJ","CB","?"))</f>
        <v> </v>
      </c>
      <c r="I3824" s="25" t="str">
        <f>IF(OR(E3824="",E3824="!!!",F3824="NEW"),"",INDEX(B3823:B$2,-1+SUMPRODUCT(MAX(ROW(E3823:E$2)*(E3824=E3823:E$2)))))</f>
        <v> </v>
      </c>
      <c r="J3824" s="25" t="str">
        <f>IF(OR(E3824="",E3824="!!!",F3824="NEW"),"",COUNTBLANK(OFFSET(A$1,,,SUMPRODUCT(MAX(ROW(E$2:E3824)*(E3824=E$2:E3824)))))-COUNTBLANK(OFFSET(A$1,,,SUMPRODUCT(MAX(ROW(E$1:E3823)*(E2=E$1:E3823))))))</f>
        <v> </v>
      </c>
      <c r="K3824" s="25" t="str">
        <f>IF(OR(E3824="",E3824="!!!",F3824="NEW"),"",INDEX(J$1:J3823,SUMPRODUCT(MAX(ROW(E$1:E3823)*(E3824=E$1:E3823)))))</f>
        <v> </v>
      </c>
      <c r="L3824" s="26"/>
    </row>
    <row r="3825" spans="1:12">
      <c r="A3825" s="20" t="s">
        <v>2820</v>
      </c>
      <c r="E3825" s="21">
        <f>IF(D3825="?OLD","!!!","")</f>
        <v/>
      </c>
      <c r="F3825" s="22" t="str">
        <f>IF(OR(E3825="",E3825="!!!"),"",IF(NOT(ISNA(VLOOKUP(E3825,E$1:E3824,1,FALSE()))),"OLD",IF(AND(E3825&lt;&gt;"",E3825&lt;&gt;"!!!"),"NEW","")))</f>
        <v> </v>
      </c>
      <c r="G3825" s="23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4" t="str">
        <f>IF(J3825&lt;&gt;1,"",IF(I3825="SBJ","CB","?"))</f>
        <v> </v>
      </c>
      <c r="I3825" s="25" t="str">
        <f>IF(OR(E3825="",E3825="!!!",F3825="NEW"),"",INDEX(B3824:B$2,-1+SUMPRODUCT(MAX(ROW(E3824:E$2)*(E3825=E3824:E$2)))))</f>
        <v> </v>
      </c>
      <c r="J3825" s="25" t="str">
        <f>IF(OR(E3825="",E3825="!!!",F3825="NEW"),"",COUNTBLANK(OFFSET(A$1,,,SUMPRODUCT(MAX(ROW(E$2:E3825)*(E3825=E$2:E3825)))))-COUNTBLANK(OFFSET(A$1,,,SUMPRODUCT(MAX(ROW(E$1:E3824)*(E2=E$1:E3824))))))</f>
        <v> </v>
      </c>
      <c r="K3825" s="25" t="str">
        <f>IF(OR(E3825="",E3825="!!!",F3825="NEW"),"",INDEX(J$1:J3824,SUMPRODUCT(MAX(ROW(E$1:E3824)*(E3825=E$1:E3824)))))</f>
        <v> </v>
      </c>
      <c r="L3825" s="26"/>
    </row>
    <row r="3826" spans="1:12">
      <c r="A3826" s="20" t="s">
        <v>1123</v>
      </c>
      <c r="E3826" s="21">
        <f>IF(D3826="?OLD","!!!","")</f>
        <v/>
      </c>
      <c r="F3826" s="22" t="str">
        <f>IF(OR(E3826="",E3826="!!!"),"",IF(NOT(ISNA(VLOOKUP(E3826,E$1:E3825,1,FALSE()))),"OLD",IF(AND(E3826&lt;&gt;"",E3826&lt;&gt;"!!!"),"NEW","")))</f>
        <v> </v>
      </c>
      <c r="G3826" s="23" t="str">
        <f>IF(OR(E3826="",E3826="!!!"),"",IF(OR(J3826=0,AND(J3826=1,K3826=1),AND(J3826=1,I3826="SBJ"),AND(J3826=1,I3826=0)),"?IN_FOCUS",IF(J3826&lt;=2,"?ACTIVATED",IF(J3826&lt;&gt;"","?FAMILIAR",IF(F3826="NEW",IF(ISNA(VLOOKUP(E3826,#REF!,1,FALSE())),"?TYPE_IDENTIFIABLE","?REFERENTIAL"),"_")))))</f>
        <v> </v>
      </c>
      <c r="H3826" s="24" t="str">
        <f>IF(J3826&lt;&gt;1,"",IF(I3826="SBJ","CB","?"))</f>
        <v> </v>
      </c>
      <c r="I3826" s="25" t="str">
        <f>IF(OR(E3826="",E3826="!!!",F3826="NEW"),"",INDEX(B3825:B$2,-1+SUMPRODUCT(MAX(ROW(E3825:E$2)*(E3826=E3825:E$2)))))</f>
        <v> </v>
      </c>
      <c r="J3826" s="25" t="str">
        <f>IF(OR(E3826="",E3826="!!!",F3826="NEW"),"",COUNTBLANK(OFFSET(A$1,,,SUMPRODUCT(MAX(ROW(E$2:E3826)*(E3826=E$2:E3826)))))-COUNTBLANK(OFFSET(A$1,,,SUMPRODUCT(MAX(ROW(E$1:E3825)*(E2=E$1:E3825))))))</f>
        <v> </v>
      </c>
      <c r="K3826" s="25" t="str">
        <f>IF(OR(E3826="",E3826="!!!",F3826="NEW"),"",INDEX(J$1:J3825,SUMPRODUCT(MAX(ROW(E$1:E3825)*(E3826=E$1:E3825)))))</f>
        <v> </v>
      </c>
      <c r="L3826" s="26"/>
    </row>
    <row r="3827" spans="1:12">
      <c r="A3827" s="20" t="s">
        <v>2821</v>
      </c>
      <c r="E3827" s="21">
        <f>IF(D3827="?OLD","!!!","")</f>
        <v/>
      </c>
      <c r="F3827" s="22" t="str">
        <f>IF(OR(E3827="",E3827="!!!"),"",IF(NOT(ISNA(VLOOKUP(E3827,E$1:E3826,1,FALSE()))),"OLD",IF(AND(E3827&lt;&gt;"",E3827&lt;&gt;"!!!"),"NEW","")))</f>
        <v> </v>
      </c>
      <c r="G3827" s="23" t="str">
        <f>IF(OR(E3827="",E3827="!!!"),"",IF(OR(J3827=0,AND(J3827=1,K3827=1),AND(J3827=1,I3827="SBJ"),AND(J3827=1,I3827=0)),"?IN_FOCUS",IF(J3827&lt;=2,"?ACTIVATED",IF(J3827&lt;&gt;"","?FAMILIAR",IF(F3827="NEW",IF(ISNA(VLOOKUP(E3827,#REF!,1,FALSE())),"?TYPE_IDENTIFIABLE","?REFERENTIAL"),"_")))))</f>
        <v> </v>
      </c>
      <c r="H3827" s="24" t="str">
        <f>IF(J3827&lt;&gt;1,"",IF(I3827="SBJ","CB","?"))</f>
        <v> </v>
      </c>
      <c r="I3827" s="25" t="str">
        <f>IF(OR(E3827="",E3827="!!!",F3827="NEW"),"",INDEX(B3826:B$2,-1+SUMPRODUCT(MAX(ROW(E3826:E$2)*(E3827=E3826:E$2)))))</f>
        <v> </v>
      </c>
      <c r="J3827" s="25" t="str">
        <f>IF(OR(E3827="",E3827="!!!",F3827="NEW"),"",COUNTBLANK(OFFSET(A$1,,,SUMPRODUCT(MAX(ROW(E$2:E3827)*(E3827=E$2:E3827)))))-COUNTBLANK(OFFSET(A$1,,,SUMPRODUCT(MAX(ROW(E$1:E3826)*(E2=E$1:E3826))))))</f>
        <v> </v>
      </c>
      <c r="K3827" s="25" t="str">
        <f>IF(OR(E3827="",E3827="!!!",F3827="NEW"),"",INDEX(J$1:J3826,SUMPRODUCT(MAX(ROW(E$1:E3826)*(E3827=E$1:E3826)))))</f>
        <v> </v>
      </c>
      <c r="L3827" s="26"/>
    </row>
    <row r="3828" spans="1:12">
      <c r="A3828" s="20" t="s">
        <v>2247</v>
      </c>
      <c r="E3828" s="21">
        <f>IF(D3828="?OLD","!!!","")</f>
        <v/>
      </c>
      <c r="F3828" s="22" t="str">
        <f>IF(OR(E3828="",E3828="!!!"),"",IF(NOT(ISNA(VLOOKUP(E3828,E$1:E3827,1,FALSE()))),"OLD",IF(AND(E3828&lt;&gt;"",E3828&lt;&gt;"!!!"),"NEW","")))</f>
        <v> </v>
      </c>
      <c r="G3828" s="23" t="str">
        <f>IF(OR(E3828="",E3828="!!!"),"",IF(OR(J3828=0,AND(J3828=1,K3828=1),AND(J3828=1,I3828="SBJ"),AND(J3828=1,I3828=0)),"?IN_FOCUS",IF(J3828&lt;=2,"?ACTIVATED",IF(J3828&lt;&gt;"","?FAMILIAR",IF(F3828="NEW",IF(ISNA(VLOOKUP(E3828,#REF!,1,FALSE())),"?TYPE_IDENTIFIABLE","?REFERENTIAL"),"_")))))</f>
        <v> </v>
      </c>
      <c r="H3828" s="24" t="str">
        <f>IF(J3828&lt;&gt;1,"",IF(I3828="SBJ","CB","?"))</f>
        <v> </v>
      </c>
      <c r="I3828" s="25" t="str">
        <f>IF(OR(E3828="",E3828="!!!",F3828="NEW"),"",INDEX(B3827:B$2,-1+SUMPRODUCT(MAX(ROW(E3827:E$2)*(E3828=E3827:E$2)))))</f>
        <v> </v>
      </c>
      <c r="J3828" s="25" t="str">
        <f>IF(OR(E3828="",E3828="!!!",F3828="NEW"),"",COUNTBLANK(OFFSET(A$1,,,SUMPRODUCT(MAX(ROW(E$2:E3828)*(E3828=E$2:E3828)))))-COUNTBLANK(OFFSET(A$1,,,SUMPRODUCT(MAX(ROW(E$1:E3827)*(E2=E$1:E3827))))))</f>
        <v> </v>
      </c>
      <c r="K3828" s="25" t="str">
        <f>IF(OR(E3828="",E3828="!!!",F3828="NEW"),"",INDEX(J$1:J3827,SUMPRODUCT(MAX(ROW(E$1:E3827)*(E3828=E$1:E3827)))))</f>
        <v> </v>
      </c>
      <c r="L3828" s="26"/>
    </row>
    <row r="3829" spans="1:12">
      <c r="A3829" s="20" t="s">
        <v>2822</v>
      </c>
      <c r="E3829" s="21">
        <f>IF(D3829="?OLD","!!!","")</f>
        <v/>
      </c>
      <c r="F3829" s="22" t="str">
        <f>IF(OR(E3829="",E3829="!!!"),"",IF(NOT(ISNA(VLOOKUP(E3829,E$1:E3828,1,FALSE()))),"OLD",IF(AND(E3829&lt;&gt;"",E3829&lt;&gt;"!!!"),"NEW","")))</f>
        <v> </v>
      </c>
      <c r="G3829" s="23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4" t="str">
        <f>IF(J3829&lt;&gt;1,"",IF(I3829="SBJ","CB","?"))</f>
        <v> </v>
      </c>
      <c r="I3829" s="25" t="str">
        <f>IF(OR(E3829="",E3829="!!!",F3829="NEW"),"",INDEX(B3828:B$2,-1+SUMPRODUCT(MAX(ROW(E3828:E$2)*(E3829=E3828:E$2)))))</f>
        <v> </v>
      </c>
      <c r="J3829" s="25" t="str">
        <f>IF(OR(E3829="",E3829="!!!",F3829="NEW"),"",COUNTBLANK(OFFSET(A$1,,,SUMPRODUCT(MAX(ROW(E$2:E3829)*(E3829=E$2:E3829)))))-COUNTBLANK(OFFSET(A$1,,,SUMPRODUCT(MAX(ROW(E$1:E3828)*(E2=E$1:E3828))))))</f>
        <v> </v>
      </c>
      <c r="K3829" s="25" t="str">
        <f>IF(OR(E3829="",E3829="!!!",F3829="NEW"),"",INDEX(J$1:J3828,SUMPRODUCT(MAX(ROW(E$1:E3828)*(E3829=E$1:E3828)))))</f>
        <v> </v>
      </c>
      <c r="L3829" s="26"/>
    </row>
    <row r="3830" spans="1:12">
      <c r="A3830" s="20" t="s">
        <v>1249</v>
      </c>
      <c r="E3830" s="21">
        <f>IF(D3830="?OLD","!!!","")</f>
        <v/>
      </c>
      <c r="F3830" s="22" t="str">
        <f>IF(OR(E3830="",E3830="!!!"),"",IF(NOT(ISNA(VLOOKUP(E3830,E$1:E3829,1,FALSE()))),"OLD",IF(AND(E3830&lt;&gt;"",E3830&lt;&gt;"!!!"),"NEW","")))</f>
        <v> </v>
      </c>
      <c r="G3830" s="23" t="str">
        <f>IF(OR(E3830="",E3830="!!!"),"",IF(OR(J3830=0,AND(J3830=1,K3830=1),AND(J3830=1,I3830="SBJ"),AND(J3830=1,I3830=0)),"?IN_FOCUS",IF(J3830&lt;=2,"?ACTIVATED",IF(J3830&lt;&gt;"","?FAMILIAR",IF(F3830="NEW",IF(ISNA(VLOOKUP(E3830,#REF!,1,FALSE())),"?TYPE_IDENTIFIABLE","?REFERENTIAL"),"_")))))</f>
        <v> </v>
      </c>
      <c r="H3830" s="24" t="str">
        <f>IF(J3830&lt;&gt;1,"",IF(I3830="SBJ","CB","?"))</f>
        <v> </v>
      </c>
      <c r="I3830" s="25" t="str">
        <f>IF(OR(E3830="",E3830="!!!",F3830="NEW"),"",INDEX(B3829:B$2,-1+SUMPRODUCT(MAX(ROW(E3829:E$2)*(E3830=E3829:E$2)))))</f>
        <v> </v>
      </c>
      <c r="J3830" s="25" t="str">
        <f>IF(OR(E3830="",E3830="!!!",F3830="NEW"),"",COUNTBLANK(OFFSET(A$1,,,SUMPRODUCT(MAX(ROW(E$2:E3830)*(E3830=E$2:E3830)))))-COUNTBLANK(OFFSET(A$1,,,SUMPRODUCT(MAX(ROW(E$1:E3829)*(E2=E$1:E3829))))))</f>
        <v> </v>
      </c>
      <c r="K3830" s="25" t="str">
        <f>IF(OR(E3830="",E3830="!!!",F3830="NEW"),"",INDEX(J$1:J3829,SUMPRODUCT(MAX(ROW(E$1:E3829)*(E3830=E$1:E3829)))))</f>
        <v> </v>
      </c>
      <c r="L3830" s="26"/>
    </row>
    <row r="3831" spans="1:12">
      <c r="A3831" s="20" t="s">
        <v>2823</v>
      </c>
      <c r="E3831" s="21">
        <f>IF(D3831="?OLD","!!!","")</f>
        <v/>
      </c>
      <c r="F3831" s="22" t="str">
        <f>IF(OR(E3831="",E3831="!!!"),"",IF(NOT(ISNA(VLOOKUP(E3831,E$1:E3830,1,FALSE()))),"OLD",IF(AND(E3831&lt;&gt;"",E3831&lt;&gt;"!!!"),"NEW","")))</f>
        <v> </v>
      </c>
      <c r="G3831" s="23" t="str">
        <f>IF(OR(E3831="",E3831="!!!"),"",IF(OR(J3831=0,AND(J3831=1,K3831=1),AND(J3831=1,I3831="SBJ"),AND(J3831=1,I3831=0)),"?IN_FOCUS",IF(J3831&lt;=2,"?ACTIVATED",IF(J3831&lt;&gt;"","?FAMILIAR",IF(F3831="NEW",IF(ISNA(VLOOKUP(E3831,#REF!,1,FALSE())),"?TYPE_IDENTIFIABLE","?REFERENTIAL"),"_")))))</f>
        <v> </v>
      </c>
      <c r="H3831" s="24" t="str">
        <f>IF(J3831&lt;&gt;1,"",IF(I3831="SBJ","CB","?"))</f>
        <v> </v>
      </c>
      <c r="I3831" s="25" t="str">
        <f>IF(OR(E3831="",E3831="!!!",F3831="NEW"),"",INDEX(B3830:B$2,-1+SUMPRODUCT(MAX(ROW(E3830:E$2)*(E3831=E3830:E$2)))))</f>
        <v> </v>
      </c>
      <c r="J3831" s="25" t="str">
        <f>IF(OR(E3831="",E3831="!!!",F3831="NEW"),"",COUNTBLANK(OFFSET(A$1,,,SUMPRODUCT(MAX(ROW(E$2:E3831)*(E3831=E$2:E3831)))))-COUNTBLANK(OFFSET(A$1,,,SUMPRODUCT(MAX(ROW(E$1:E3830)*(E2=E$1:E3830))))))</f>
        <v> </v>
      </c>
      <c r="K3831" s="25" t="str">
        <f>IF(OR(E3831="",E3831="!!!",F3831="NEW"),"",INDEX(J$1:J3830,SUMPRODUCT(MAX(ROW(E$1:E3830)*(E3831=E$1:E3830)))))</f>
        <v> </v>
      </c>
      <c r="L3831" s="26"/>
    </row>
    <row r="3832" spans="1:12">
      <c r="A3832" s="20" t="s">
        <v>1145</v>
      </c>
      <c r="E3832" s="21">
        <f>IF(D3832="?OLD","!!!","")</f>
        <v/>
      </c>
      <c r="F3832" s="22" t="str">
        <f>IF(OR(E3832="",E3832="!!!"),"",IF(NOT(ISNA(VLOOKUP(E3832,E$1:E3831,1,FALSE()))),"OLD",IF(AND(E3832&lt;&gt;"",E3832&lt;&gt;"!!!"),"NEW","")))</f>
        <v> </v>
      </c>
      <c r="G3832" s="23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4" t="str">
        <f>IF(J3832&lt;&gt;1,"",IF(I3832="SBJ","CB","?"))</f>
        <v> </v>
      </c>
      <c r="I3832" s="25" t="str">
        <f>IF(OR(E3832="",E3832="!!!",F3832="NEW"),"",INDEX(B3831:B$2,-1+SUMPRODUCT(MAX(ROW(E3831:E$2)*(E3832=E3831:E$2)))))</f>
        <v> </v>
      </c>
      <c r="J3832" s="25" t="str">
        <f>IF(OR(E3832="",E3832="!!!",F3832="NEW"),"",COUNTBLANK(OFFSET(A$1,,,SUMPRODUCT(MAX(ROW(E$2:E3832)*(E3832=E$2:E3832)))))-COUNTBLANK(OFFSET(A$1,,,SUMPRODUCT(MAX(ROW(E$1:E3831)*(E2=E$1:E3831))))))</f>
        <v> </v>
      </c>
      <c r="K3832" s="25" t="str">
        <f>IF(OR(E3832="",E3832="!!!",F3832="NEW"),"",INDEX(J$1:J3831,SUMPRODUCT(MAX(ROW(E$1:E3831)*(E3832=E$1:E3831)))))</f>
        <v> </v>
      </c>
      <c r="L3832" s="26"/>
    </row>
    <row r="3833" spans="1:12">
      <c r="A3833" s="20"/>
    </row>
    <row r="3834" spans="1:12">
      <c r="A3834" s="20" t="s">
        <v>2824</v>
      </c>
    </row>
    <row r="3835" spans="1:12">
      <c r="A3835" s="20" t="s">
        <v>2825</v>
      </c>
      <c r="E3835" s="21">
        <f>IF(D3835="?OLD","!!!","")</f>
        <v/>
      </c>
      <c r="F3835" s="22" t="str">
        <f>IF(OR(E3835="",E3835="!!!"),"",IF(NOT(ISNA(VLOOKUP(E3835,E$1:E3834,1,FALSE()))),"OLD",IF(AND(E3835&lt;&gt;"",E3835&lt;&gt;"!!!"),"NEW","")))</f>
        <v> </v>
      </c>
      <c r="G3835" s="23" t="str">
        <f>IF(OR(E3835="",E3835="!!!"),"",IF(OR(J3835=0,AND(J3835=1,K3835=1),AND(J3835=1,I3835="SBJ"),AND(J3835=1,I3835=0)),"?IN_FOCUS",IF(J3835&lt;=2,"?ACTIVATED",IF(J3835&lt;&gt;"","?FAMILIAR",IF(F3835="NEW",IF(ISNA(VLOOKUP(E3835,#REF!,1,FALSE())),"?TYPE_IDENTIFIABLE","?REFERENTIAL"),"_")))))</f>
        <v> </v>
      </c>
      <c r="H3835" s="24" t="str">
        <f>IF(J3835&lt;&gt;1,"",IF(I3835="SBJ","CB","?"))</f>
        <v> </v>
      </c>
      <c r="I3835" s="25" t="str">
        <f>IF(OR(E3835="",E3835="!!!",F3835="NEW"),"",INDEX(B3834:B$2,-1+SUMPRODUCT(MAX(ROW(E3834:E$2)*(E3835=E3834:E$2)))))</f>
        <v> </v>
      </c>
      <c r="J3835" s="25" t="str">
        <f>IF(OR(E3835="",E3835="!!!",F3835="NEW"),"",COUNTBLANK(OFFSET(A$1,,,SUMPRODUCT(MAX(ROW(E$2:E3835)*(E3835=E$2:E3835)))))-COUNTBLANK(OFFSET(A$1,,,SUMPRODUCT(MAX(ROW(E$1:E3834)*(E2=E$1:E3834))))))</f>
        <v> </v>
      </c>
      <c r="K3835" s="25" t="str">
        <f>IF(OR(E3835="",E3835="!!!",F3835="NEW"),"",INDEX(J$1:J3834,SUMPRODUCT(MAX(ROW(E$1:E3834)*(E3835=E$1:E3834)))))</f>
        <v> </v>
      </c>
      <c r="L3835" s="26"/>
    </row>
    <row r="3836" spans="1:12">
      <c r="A3836" s="20" t="s">
        <v>2826</v>
      </c>
      <c r="B3836" s="27" t="s">
        <v>1149</v>
      </c>
      <c r="E3836" s="21">
        <f>IF(D3836="?OLD","!!!","")</f>
        <v/>
      </c>
      <c r="F3836" s="22" t="str">
        <f>IF(OR(E3836="",E3836="!!!"),"",IF(NOT(ISNA(VLOOKUP(E3836,E$1:E3835,1,FALSE()))),"OLD",IF(AND(E3836&lt;&gt;"",E3836&lt;&gt;"!!!"),"NEW","")))</f>
        <v> </v>
      </c>
      <c r="G3836" s="23" t="str">
        <f>IF(OR(E3836="",E3836="!!!"),"",IF(OR(J3836=0,AND(J3836=1,K3836=1),AND(J3836=1,I3836="SBJ"),AND(J3836=1,I3836=0)),"?IN_FOCUS",IF(J3836&lt;=2,"?ACTIVATED",IF(J3836&lt;&gt;"","?FAMILIAR",IF(F3836="NEW",IF(ISNA(VLOOKUP(E3836,#REF!,1,FALSE())),"?TYPE_IDENTIFIABLE","?REFERENTIAL"),"_")))))</f>
        <v> </v>
      </c>
      <c r="H3836" s="24" t="str">
        <f>IF(J3836&lt;&gt;1,"",IF(I3836="SBJ","CB","?"))</f>
        <v> </v>
      </c>
      <c r="I3836" s="25" t="str">
        <f>IF(OR(E3836="",E3836="!!!",F3836="NEW"),"",INDEX(B3835:B$2,-1+SUMPRODUCT(MAX(ROW(E3835:E$2)*(E3836=E3835:E$2)))))</f>
        <v> </v>
      </c>
      <c r="J3836" s="25" t="str">
        <f>IF(OR(E3836="",E3836="!!!",F3836="NEW"),"",COUNTBLANK(OFFSET(A$1,,,SUMPRODUCT(MAX(ROW(E$2:E3836)*(E3836=E$2:E3836)))))-COUNTBLANK(OFFSET(A$1,,,SUMPRODUCT(MAX(ROW(E$1:E3835)*(E2=E$1:E3835))))))</f>
        <v> </v>
      </c>
      <c r="K3836" s="25" t="str">
        <f>IF(OR(E3836="",E3836="!!!",F3836="NEW"),"",INDEX(J$1:J3835,SUMPRODUCT(MAX(ROW(E$1:E3835)*(E3836=E$1:E3835)))))</f>
        <v> </v>
      </c>
      <c r="L3836" s="26"/>
    </row>
    <row r="3837" spans="1:12">
      <c r="A3837" s="20" t="s">
        <v>2827</v>
      </c>
      <c r="E3837" s="21">
        <f>IF(D3837="?OLD","!!!","")</f>
        <v/>
      </c>
      <c r="F3837" s="22" t="str">
        <f>IF(OR(E3837="",E3837="!!!"),"",IF(NOT(ISNA(VLOOKUP(E3837,E$1:E3836,1,FALSE()))),"OLD",IF(AND(E3837&lt;&gt;"",E3837&lt;&gt;"!!!"),"NEW","")))</f>
        <v> </v>
      </c>
      <c r="G3837" s="23" t="str">
        <f>IF(OR(E3837="",E3837="!!!"),"",IF(OR(J3837=0,AND(J3837=1,K3837=1),AND(J3837=1,I3837="SBJ"),AND(J3837=1,I3837=0)),"?IN_FOCUS",IF(J3837&lt;=2,"?ACTIVATED",IF(J3837&lt;&gt;"","?FAMILIAR",IF(F3837="NEW",IF(ISNA(VLOOKUP(E3837,#REF!,1,FALSE())),"?TYPE_IDENTIFIABLE","?REFERENTIAL"),"_")))))</f>
        <v> </v>
      </c>
      <c r="H3837" s="24" t="str">
        <f>IF(J3837&lt;&gt;1,"",IF(I3837="SBJ","CB","?"))</f>
        <v> </v>
      </c>
      <c r="I3837" s="25" t="str">
        <f>IF(OR(E3837="",E3837="!!!",F3837="NEW"),"",INDEX(B3836:B$2,-1+SUMPRODUCT(MAX(ROW(E3836:E$2)*(E3837=E3836:E$2)))))</f>
        <v> </v>
      </c>
      <c r="J3837" s="25" t="str">
        <f>IF(OR(E3837="",E3837="!!!",F3837="NEW"),"",COUNTBLANK(OFFSET(A$1,,,SUMPRODUCT(MAX(ROW(E$2:E3837)*(E3837=E$2:E3837)))))-COUNTBLANK(OFFSET(A$1,,,SUMPRODUCT(MAX(ROW(E$1:E3836)*(E2=E$1:E3836))))))</f>
        <v> </v>
      </c>
      <c r="K3837" s="25" t="str">
        <f>IF(OR(E3837="",E3837="!!!",F3837="NEW"),"",INDEX(J$1:J3836,SUMPRODUCT(MAX(ROW(E$1:E3836)*(E3837=E$1:E3836)))))</f>
        <v> </v>
      </c>
      <c r="L3837" s="26"/>
    </row>
    <row r="3838" spans="1:12">
      <c r="A3838" s="20" t="s">
        <v>1271</v>
      </c>
      <c r="E3838" s="21">
        <f>IF(D3838="?OLD","!!!","")</f>
        <v/>
      </c>
      <c r="F3838" s="22" t="str">
        <f>IF(OR(E3838="",E3838="!!!"),"",IF(NOT(ISNA(VLOOKUP(E3838,E$1:E3837,1,FALSE()))),"OLD",IF(AND(E3838&lt;&gt;"",E3838&lt;&gt;"!!!"),"NEW","")))</f>
        <v> </v>
      </c>
      <c r="G3838" s="23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4" t="str">
        <f>IF(J3838&lt;&gt;1,"",IF(I3838="SBJ","CB","?"))</f>
        <v> </v>
      </c>
      <c r="I3838" s="25" t="str">
        <f>IF(OR(E3838="",E3838="!!!",F3838="NEW"),"",INDEX(B3837:B$2,-1+SUMPRODUCT(MAX(ROW(E3837:E$2)*(E3838=E3837:E$2)))))</f>
        <v> </v>
      </c>
      <c r="J3838" s="25" t="str">
        <f>IF(OR(E3838="",E3838="!!!",F3838="NEW"),"",COUNTBLANK(OFFSET(A$1,,,SUMPRODUCT(MAX(ROW(E$2:E3838)*(E3838=E$2:E3838)))))-COUNTBLANK(OFFSET(A$1,,,SUMPRODUCT(MAX(ROW(E$1:E3837)*(E2=E$1:E3837))))))</f>
        <v> </v>
      </c>
      <c r="K3838" s="25" t="str">
        <f>IF(OR(E3838="",E3838="!!!",F3838="NEW"),"",INDEX(J$1:J3837,SUMPRODUCT(MAX(ROW(E$1:E3837)*(E3838=E$1:E3837)))))</f>
        <v> </v>
      </c>
      <c r="L3838" s="26"/>
    </row>
    <row r="3839" spans="1:12">
      <c r="A3839" s="20" t="s">
        <v>2446</v>
      </c>
      <c r="B3839" s="27" t="s">
        <v>1107</v>
      </c>
      <c r="C3839" s="27" t="s">
        <v>1142</v>
      </c>
      <c r="D3839" s="27" t="s">
        <v>1105</v>
      </c>
      <c r="E3839" s="21">
        <f>IF(D3839="?OLD","!!!","")</f>
        <v/>
      </c>
      <c r="F3839" s="22" t="str">
        <f>IF(OR(E3839="",E3839="!!!"),"",IF(NOT(ISNA(VLOOKUP(E3839,E$1:E3838,1,FALSE()))),"OLD",IF(AND(E3839&lt;&gt;"",E3839&lt;&gt;"!!!"),"NEW","")))</f>
        <v> </v>
      </c>
      <c r="G3839" s="23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4" t="str">
        <f>IF(J3839&lt;&gt;1,"",IF(I3839="SBJ","CB","?"))</f>
        <v> </v>
      </c>
      <c r="I3839" s="25" t="str">
        <f>IF(OR(E3839="",E3839="!!!",F3839="NEW"),"",INDEX(B3838:B$2,-1+SUMPRODUCT(MAX(ROW(E3838:E$2)*(E3839=E3838:E$2)))))</f>
        <v> </v>
      </c>
      <c r="J3839" s="25" t="str">
        <f>IF(OR(E3839="",E3839="!!!",F3839="NEW"),"",COUNTBLANK(OFFSET(A$1,,,SUMPRODUCT(MAX(ROW(E$2:E3839)*(E3839=E$2:E3839)))))-COUNTBLANK(OFFSET(A$1,,,SUMPRODUCT(MAX(ROW(E$1:E3838)*(E2=E$1:E3838))))))</f>
        <v> </v>
      </c>
      <c r="K3839" s="25" t="str">
        <f>IF(OR(E3839="",E3839="!!!",F3839="NEW"),"",INDEX(J$1:J3838,SUMPRODUCT(MAX(ROW(E$1:E3838)*(E3839=E$1:E3838)))))</f>
        <v> </v>
      </c>
      <c r="L3839" s="26"/>
    </row>
    <row r="3840" spans="1:12">
      <c r="A3840" s="20" t="s">
        <v>2521</v>
      </c>
      <c r="E3840" s="21">
        <f>IF(D3840="?OLD","!!!","")</f>
        <v/>
      </c>
      <c r="F3840" s="22" t="str">
        <f>IF(OR(E3840="",E3840="!!!"),"",IF(NOT(ISNA(VLOOKUP(E3840,E$1:E3839,1,FALSE()))),"OLD",IF(AND(E3840&lt;&gt;"",E3840&lt;&gt;"!!!"),"NEW","")))</f>
        <v> </v>
      </c>
      <c r="G3840" s="23" t="str">
        <f>IF(OR(E3840="",E3840="!!!"),"",IF(OR(J3840=0,AND(J3840=1,K3840=1),AND(J3840=1,I3840="SBJ"),AND(J3840=1,I3840=0)),"?IN_FOCUS",IF(J3840&lt;=2,"?ACTIVATED",IF(J3840&lt;&gt;"","?FAMILIAR",IF(F3840="NEW",IF(ISNA(VLOOKUP(E3840,#REF!,1,FALSE())),"?TYPE_IDENTIFIABLE","?REFERENTIAL"),"_")))))</f>
        <v> </v>
      </c>
      <c r="H3840" s="24" t="str">
        <f>IF(J3840&lt;&gt;1,"",IF(I3840="SBJ","CB","?"))</f>
        <v> </v>
      </c>
      <c r="I3840" s="25" t="str">
        <f>IF(OR(E3840="",E3840="!!!",F3840="NEW"),"",INDEX(B3839:B$2,-1+SUMPRODUCT(MAX(ROW(E3839:E$2)*(E3840=E3839:E$2)))))</f>
        <v> </v>
      </c>
      <c r="J3840" s="25" t="str">
        <f>IF(OR(E3840="",E3840="!!!",F3840="NEW"),"",COUNTBLANK(OFFSET(A$1,,,SUMPRODUCT(MAX(ROW(E$2:E3840)*(E3840=E$2:E3840)))))-COUNTBLANK(OFFSET(A$1,,,SUMPRODUCT(MAX(ROW(E$1:E3839)*(E2=E$1:E3839))))))</f>
        <v> </v>
      </c>
      <c r="K3840" s="25" t="str">
        <f>IF(OR(E3840="",E3840="!!!",F3840="NEW"),"",INDEX(J$1:J3839,SUMPRODUCT(MAX(ROW(E$1:E3839)*(E3840=E$1:E3839)))))</f>
        <v> </v>
      </c>
      <c r="L3840" s="26"/>
    </row>
    <row r="3841" spans="1:12">
      <c r="A3841" s="20" t="s">
        <v>1123</v>
      </c>
      <c r="E3841" s="21">
        <f>IF(D3841="?OLD","!!!","")</f>
        <v/>
      </c>
      <c r="F3841" s="22" t="str">
        <f>IF(OR(E3841="",E3841="!!!"),"",IF(NOT(ISNA(VLOOKUP(E3841,E$1:E3840,1,FALSE()))),"OLD",IF(AND(E3841&lt;&gt;"",E3841&lt;&gt;"!!!"),"NEW","")))</f>
        <v> </v>
      </c>
      <c r="G3841" s="23" t="str">
        <f>IF(OR(E3841="",E3841="!!!"),"",IF(OR(J3841=0,AND(J3841=1,K3841=1),AND(J3841=1,I3841="SBJ"),AND(J3841=1,I3841=0)),"?IN_FOCUS",IF(J3841&lt;=2,"?ACTIVATED",IF(J3841&lt;&gt;"","?FAMILIAR",IF(F3841="NEW",IF(ISNA(VLOOKUP(E3841,#REF!,1,FALSE())),"?TYPE_IDENTIFIABLE","?REFERENTIAL"),"_")))))</f>
        <v> </v>
      </c>
      <c r="H3841" s="24" t="str">
        <f>IF(J3841&lt;&gt;1,"",IF(I3841="SBJ","CB","?"))</f>
        <v> </v>
      </c>
      <c r="I3841" s="25" t="str">
        <f>IF(OR(E3841="",E3841="!!!",F3841="NEW"),"",INDEX(B3840:B$2,-1+SUMPRODUCT(MAX(ROW(E3840:E$2)*(E3841=E3840:E$2)))))</f>
        <v> </v>
      </c>
      <c r="J3841" s="25" t="str">
        <f>IF(OR(E3841="",E3841="!!!",F3841="NEW"),"",COUNTBLANK(OFFSET(A$1,,,SUMPRODUCT(MAX(ROW(E$2:E3841)*(E3841=E$2:E3841)))))-COUNTBLANK(OFFSET(A$1,,,SUMPRODUCT(MAX(ROW(E$1:E3840)*(E2=E$1:E3840))))))</f>
        <v> </v>
      </c>
      <c r="K3841" s="25" t="str">
        <f>IF(OR(E3841="",E3841="!!!",F3841="NEW"),"",INDEX(J$1:J3840,SUMPRODUCT(MAX(ROW(E$1:E3840)*(E3841=E$1:E3840)))))</f>
        <v> </v>
      </c>
      <c r="L3841" s="26"/>
    </row>
    <row r="3842" spans="1:12">
      <c r="A3842" s="20" t="s">
        <v>1128</v>
      </c>
      <c r="E3842" s="21">
        <f>IF(D3842="?OLD","!!!","")</f>
        <v/>
      </c>
      <c r="F3842" s="22" t="str">
        <f>IF(OR(E3842="",E3842="!!!"),"",IF(NOT(ISNA(VLOOKUP(E3842,E$1:E3841,1,FALSE()))),"OLD",IF(AND(E3842&lt;&gt;"",E3842&lt;&gt;"!!!"),"NEW","")))</f>
        <v> </v>
      </c>
      <c r="G3842" s="23" t="str">
        <f>IF(OR(E3842="",E3842="!!!"),"",IF(OR(J3842=0,AND(J3842=1,K3842=1),AND(J3842=1,I3842="SBJ"),AND(J3842=1,I3842=0)),"?IN_FOCUS",IF(J3842&lt;=2,"?ACTIVATED",IF(J3842&lt;&gt;"","?FAMILIAR",IF(F3842="NEW",IF(ISNA(VLOOKUP(E3842,#REF!,1,FALSE())),"?TYPE_IDENTIFIABLE","?REFERENTIAL"),"_")))))</f>
        <v> </v>
      </c>
      <c r="H3842" s="24" t="str">
        <f>IF(J3842&lt;&gt;1,"",IF(I3842="SBJ","CB","?"))</f>
        <v> </v>
      </c>
      <c r="I3842" s="25" t="str">
        <f>IF(OR(E3842="",E3842="!!!",F3842="NEW"),"",INDEX(B3841:B$2,-1+SUMPRODUCT(MAX(ROW(E3841:E$2)*(E3842=E3841:E$2)))))</f>
        <v> </v>
      </c>
      <c r="J3842" s="25" t="str">
        <f>IF(OR(E3842="",E3842="!!!",F3842="NEW"),"",COUNTBLANK(OFFSET(A$1,,,SUMPRODUCT(MAX(ROW(E$2:E3842)*(E3842=E$2:E3842)))))-COUNTBLANK(OFFSET(A$1,,,SUMPRODUCT(MAX(ROW(E$1:E3841)*(E2=E$1:E3841))))))</f>
        <v> </v>
      </c>
      <c r="K3842" s="25" t="str">
        <f>IF(OR(E3842="",E3842="!!!",F3842="NEW"),"",INDEX(J$1:J3841,SUMPRODUCT(MAX(ROW(E$1:E3841)*(E3842=E$1:E3841)))))</f>
        <v> </v>
      </c>
      <c r="L3842" s="26"/>
    </row>
    <row r="3843" spans="1:12">
      <c r="A3843" s="20" t="s">
        <v>1494</v>
      </c>
      <c r="B3843" s="27" t="s">
        <v>1110</v>
      </c>
      <c r="C3843" s="27" t="s">
        <v>1126</v>
      </c>
      <c r="D3843" s="27" t="s">
        <v>1105</v>
      </c>
      <c r="E3843" s="21">
        <f>IF(D3843="?OLD","!!!","")</f>
        <v/>
      </c>
      <c r="F3843" s="22" t="str">
        <f>IF(OR(E3843="",E3843="!!!"),"",IF(NOT(ISNA(VLOOKUP(E3843,E$1:E3842,1,FALSE()))),"OLD",IF(AND(E3843&lt;&gt;"",E3843&lt;&gt;"!!!"),"NEW","")))</f>
        <v> </v>
      </c>
      <c r="G3843" s="23" t="str">
        <f>IF(OR(E3843="",E3843="!!!"),"",IF(OR(J3843=0,AND(J3843=1,K3843=1),AND(J3843=1,I3843="SBJ"),AND(J3843=1,I3843=0)),"?IN_FOCUS",IF(J3843&lt;=2,"?ACTIVATED",IF(J3843&lt;&gt;"","?FAMILIAR",IF(F3843="NEW",IF(ISNA(VLOOKUP(E3843,#REF!,1,FALSE())),"?TYPE_IDENTIFIABLE","?REFERENTIAL"),"_")))))</f>
        <v> </v>
      </c>
      <c r="H3843" s="24" t="str">
        <f>IF(J3843&lt;&gt;1,"",IF(I3843="SBJ","CB","?"))</f>
        <v> </v>
      </c>
      <c r="I3843" s="25" t="str">
        <f>IF(OR(E3843="",E3843="!!!",F3843="NEW"),"",INDEX(B3842:B$2,-1+SUMPRODUCT(MAX(ROW(E3842:E$2)*(E3843=E3842:E$2)))))</f>
        <v> </v>
      </c>
      <c r="J3843" s="25" t="str">
        <f>IF(OR(E3843="",E3843="!!!",F3843="NEW"),"",COUNTBLANK(OFFSET(A$1,,,SUMPRODUCT(MAX(ROW(E$2:E3843)*(E3843=E$2:E3843)))))-COUNTBLANK(OFFSET(A$1,,,SUMPRODUCT(MAX(ROW(E$1:E3842)*(E2=E$1:E3842))))))</f>
        <v> </v>
      </c>
      <c r="K3843" s="25" t="str">
        <f>IF(OR(E3843="",E3843="!!!",F3843="NEW"),"",INDEX(J$1:J3842,SUMPRODUCT(MAX(ROW(E$1:E3842)*(E3843=E$1:E3842)))))</f>
        <v> </v>
      </c>
      <c r="L3843" s="26"/>
    </row>
    <row r="3844" spans="1:12">
      <c r="A3844" s="20" t="s">
        <v>2828</v>
      </c>
      <c r="B3844" s="27" t="s">
        <v>1122</v>
      </c>
      <c r="C3844" s="27" t="s">
        <v>1104</v>
      </c>
      <c r="D3844" s="27" t="s">
        <v>1105</v>
      </c>
      <c r="E3844" s="21">
        <f>IF(D3844="?OLD","!!!","")</f>
        <v/>
      </c>
      <c r="F3844" s="22" t="str">
        <f>IF(OR(E3844="",E3844="!!!"),"",IF(NOT(ISNA(VLOOKUP(E3844,E$1:E3843,1,FALSE()))),"OLD",IF(AND(E3844&lt;&gt;"",E3844&lt;&gt;"!!!"),"NEW","")))</f>
        <v> </v>
      </c>
      <c r="G3844" s="23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4" t="str">
        <f>IF(J3844&lt;&gt;1,"",IF(I3844="SBJ","CB","?"))</f>
        <v> </v>
      </c>
      <c r="I3844" s="25" t="str">
        <f>IF(OR(E3844="",E3844="!!!",F3844="NEW"),"",INDEX(B3843:B$2,-1+SUMPRODUCT(MAX(ROW(E3843:E$2)*(E3844=E3843:E$2)))))</f>
        <v> </v>
      </c>
      <c r="J3844" s="25" t="str">
        <f>IF(OR(E3844="",E3844="!!!",F3844="NEW"),"",COUNTBLANK(OFFSET(A$1,,,SUMPRODUCT(MAX(ROW(E$2:E3844)*(E3844=E$2:E3844)))))-COUNTBLANK(OFFSET(A$1,,,SUMPRODUCT(MAX(ROW(E$1:E3843)*(E2=E$1:E3843))))))</f>
        <v> </v>
      </c>
      <c r="K3844" s="25" t="str">
        <f>IF(OR(E3844="",E3844="!!!",F3844="NEW"),"",INDEX(J$1:J3843,SUMPRODUCT(MAX(ROW(E$1:E3843)*(E3844=E$1:E3843)))))</f>
        <v> </v>
      </c>
      <c r="L3844" s="26"/>
    </row>
    <row r="3845" spans="1:12">
      <c r="A3845" s="20" t="s">
        <v>1309</v>
      </c>
      <c r="E3845" s="21">
        <f>IF(D3845="?OLD","!!!","")</f>
        <v/>
      </c>
      <c r="F3845" s="22" t="str">
        <f>IF(OR(E3845="",E3845="!!!"),"",IF(NOT(ISNA(VLOOKUP(E3845,E$1:E3844,1,FALSE()))),"OLD",IF(AND(E3845&lt;&gt;"",E3845&lt;&gt;"!!!"),"NEW","")))</f>
        <v> </v>
      </c>
      <c r="G3845" s="23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4" t="str">
        <f>IF(J3845&lt;&gt;1,"",IF(I3845="SBJ","CB","?"))</f>
        <v> </v>
      </c>
      <c r="I3845" s="25" t="str">
        <f>IF(OR(E3845="",E3845="!!!",F3845="NEW"),"",INDEX(B3844:B$2,-1+SUMPRODUCT(MAX(ROW(E3844:E$2)*(E3845=E3844:E$2)))))</f>
        <v> </v>
      </c>
      <c r="J3845" s="25" t="str">
        <f>IF(OR(E3845="",E3845="!!!",F3845="NEW"),"",COUNTBLANK(OFFSET(A$1,,,SUMPRODUCT(MAX(ROW(E$2:E3845)*(E3845=E$2:E3845)))))-COUNTBLANK(OFFSET(A$1,,,SUMPRODUCT(MAX(ROW(E$1:E3844)*(E2=E$1:E3844))))))</f>
        <v> </v>
      </c>
      <c r="K3845" s="25" t="str">
        <f>IF(OR(E3845="",E3845="!!!",F3845="NEW"),"",INDEX(J$1:J3844,SUMPRODUCT(MAX(ROW(E$1:E3844)*(E3845=E$1:E3844)))))</f>
        <v> </v>
      </c>
      <c r="L3845" s="26"/>
    </row>
    <row r="3846" spans="1:12">
      <c r="A3846" s="20" t="s">
        <v>2829</v>
      </c>
      <c r="E3846" s="21">
        <f>IF(D3846="?OLD","!!!","")</f>
        <v/>
      </c>
      <c r="F3846" s="22" t="str">
        <f>IF(OR(E3846="",E3846="!!!"),"",IF(NOT(ISNA(VLOOKUP(E3846,E$1:E3845,1,FALSE()))),"OLD",IF(AND(E3846&lt;&gt;"",E3846&lt;&gt;"!!!"),"NEW","")))</f>
        <v> </v>
      </c>
      <c r="G3846" s="23" t="str">
        <f>IF(OR(E3846="",E3846="!!!"),"",IF(OR(J3846=0,AND(J3846=1,K3846=1),AND(J3846=1,I3846="SBJ"),AND(J3846=1,I3846=0)),"?IN_FOCUS",IF(J3846&lt;=2,"?ACTIVATED",IF(J3846&lt;&gt;"","?FAMILIAR",IF(F3846="NEW",IF(ISNA(VLOOKUP(E3846,#REF!,1,FALSE())),"?TYPE_IDENTIFIABLE","?REFERENTIAL"),"_")))))</f>
        <v> </v>
      </c>
      <c r="H3846" s="24" t="str">
        <f>IF(J3846&lt;&gt;1,"",IF(I3846="SBJ","CB","?"))</f>
        <v> </v>
      </c>
      <c r="I3846" s="25" t="str">
        <f>IF(OR(E3846="",E3846="!!!",F3846="NEW"),"",INDEX(B3845:B$2,-1+SUMPRODUCT(MAX(ROW(E3845:E$2)*(E3846=E3845:E$2)))))</f>
        <v> </v>
      </c>
      <c r="J3846" s="25" t="str">
        <f>IF(OR(E3846="",E3846="!!!",F3846="NEW"),"",COUNTBLANK(OFFSET(A$1,,,SUMPRODUCT(MAX(ROW(E$2:E3846)*(E3846=E$2:E3846)))))-COUNTBLANK(OFFSET(A$1,,,SUMPRODUCT(MAX(ROW(E$1:E3845)*(E2=E$1:E3845))))))</f>
        <v> </v>
      </c>
      <c r="K3846" s="25" t="str">
        <f>IF(OR(E3846="",E3846="!!!",F3846="NEW"),"",INDEX(J$1:J3845,SUMPRODUCT(MAX(ROW(E$1:E3845)*(E3846=E$1:E3845)))))</f>
        <v> </v>
      </c>
      <c r="L3846" s="26"/>
    </row>
    <row r="3847" spans="1:12">
      <c r="A3847" s="20" t="s">
        <v>2830</v>
      </c>
      <c r="E3847" s="21">
        <f>IF(D3847="?OLD","!!!","")</f>
        <v/>
      </c>
      <c r="F3847" s="22" t="str">
        <f>IF(OR(E3847="",E3847="!!!"),"",IF(NOT(ISNA(VLOOKUP(E3847,E$1:E3846,1,FALSE()))),"OLD",IF(AND(E3847&lt;&gt;"",E3847&lt;&gt;"!!!"),"NEW","")))</f>
        <v> </v>
      </c>
      <c r="G3847" s="23" t="str">
        <f>IF(OR(E3847="",E3847="!!!"),"",IF(OR(J3847=0,AND(J3847=1,K3847=1),AND(J3847=1,I3847="SBJ"),AND(J3847=1,I3847=0)),"?IN_FOCUS",IF(J3847&lt;=2,"?ACTIVATED",IF(J3847&lt;&gt;"","?FAMILIAR",IF(F3847="NEW",IF(ISNA(VLOOKUP(E3847,#REF!,1,FALSE())),"?TYPE_IDENTIFIABLE","?REFERENTIAL"),"_")))))</f>
        <v> </v>
      </c>
      <c r="H3847" s="24" t="str">
        <f>IF(J3847&lt;&gt;1,"",IF(I3847="SBJ","CB","?"))</f>
        <v> </v>
      </c>
      <c r="I3847" s="25" t="str">
        <f>IF(OR(E3847="",E3847="!!!",F3847="NEW"),"",INDEX(B3846:B$2,-1+SUMPRODUCT(MAX(ROW(E3846:E$2)*(E3847=E3846:E$2)))))</f>
        <v> </v>
      </c>
      <c r="J3847" s="25" t="str">
        <f>IF(OR(E3847="",E3847="!!!",F3847="NEW"),"",COUNTBLANK(OFFSET(A$1,,,SUMPRODUCT(MAX(ROW(E$2:E3847)*(E3847=E$2:E3847)))))-COUNTBLANK(OFFSET(A$1,,,SUMPRODUCT(MAX(ROW(E$1:E3846)*(E2=E$1:E3846))))))</f>
        <v> </v>
      </c>
      <c r="K3847" s="25" t="str">
        <f>IF(OR(E3847="",E3847="!!!",F3847="NEW"),"",INDEX(J$1:J3846,SUMPRODUCT(MAX(ROW(E$1:E3846)*(E3847=E$1:E3846)))))</f>
        <v> </v>
      </c>
      <c r="L3847" s="26"/>
    </row>
    <row r="3848" spans="1:12">
      <c r="A3848" s="20" t="s">
        <v>1123</v>
      </c>
      <c r="E3848" s="21">
        <f>IF(D3848="?OLD","!!!","")</f>
        <v/>
      </c>
      <c r="F3848" s="22" t="str">
        <f>IF(OR(E3848="",E3848="!!!"),"",IF(NOT(ISNA(VLOOKUP(E3848,E$1:E3847,1,FALSE()))),"OLD",IF(AND(E3848&lt;&gt;"",E3848&lt;&gt;"!!!"),"NEW","")))</f>
        <v> </v>
      </c>
      <c r="G3848" s="23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4" t="str">
        <f>IF(J3848&lt;&gt;1,"",IF(I3848="SBJ","CB","?"))</f>
        <v> </v>
      </c>
      <c r="I3848" s="25" t="str">
        <f>IF(OR(E3848="",E3848="!!!",F3848="NEW"),"",INDEX(B3847:B$2,-1+SUMPRODUCT(MAX(ROW(E3847:E$2)*(E3848=E3847:E$2)))))</f>
        <v> </v>
      </c>
      <c r="J3848" s="25" t="str">
        <f>IF(OR(E3848="",E3848="!!!",F3848="NEW"),"",COUNTBLANK(OFFSET(A$1,,,SUMPRODUCT(MAX(ROW(E$2:E3848)*(E3848=E$2:E3848)))))-COUNTBLANK(OFFSET(A$1,,,SUMPRODUCT(MAX(ROW(E$1:E3847)*(E2=E$1:E3847))))))</f>
        <v> </v>
      </c>
      <c r="K3848" s="25" t="str">
        <f>IF(OR(E3848="",E3848="!!!",F3848="NEW"),"",INDEX(J$1:J3847,SUMPRODUCT(MAX(ROW(E$1:E3847)*(E3848=E$1:E3847)))))</f>
        <v> </v>
      </c>
      <c r="L3848" s="26"/>
    </row>
    <row r="3849" spans="1:12">
      <c r="A3849" s="20" t="s">
        <v>135</v>
      </c>
      <c r="E3849" s="21">
        <f>IF(D3849="?OLD","!!!","")</f>
        <v/>
      </c>
      <c r="F3849" s="22" t="str">
        <f>IF(OR(E3849="",E3849="!!!"),"",IF(NOT(ISNA(VLOOKUP(E3849,E$1:E3848,1,FALSE()))),"OLD",IF(AND(E3849&lt;&gt;"",E3849&lt;&gt;"!!!"),"NEW","")))</f>
        <v> </v>
      </c>
      <c r="G3849" s="23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4" t="str">
        <f>IF(J3849&lt;&gt;1,"",IF(I3849="SBJ","CB","?"))</f>
        <v> </v>
      </c>
      <c r="I3849" s="25" t="str">
        <f>IF(OR(E3849="",E3849="!!!",F3849="NEW"),"",INDEX(B3848:B$2,-1+SUMPRODUCT(MAX(ROW(E3848:E$2)*(E3849=E3848:E$2)))))</f>
        <v> </v>
      </c>
      <c r="J3849" s="25" t="str">
        <f>IF(OR(E3849="",E3849="!!!",F3849="NEW"),"",COUNTBLANK(OFFSET(A$1,,,SUMPRODUCT(MAX(ROW(E$2:E3849)*(E3849=E$2:E3849)))))-COUNTBLANK(OFFSET(A$1,,,SUMPRODUCT(MAX(ROW(E$1:E3848)*(E2=E$1:E3848))))))</f>
        <v> </v>
      </c>
      <c r="K3849" s="25" t="str">
        <f>IF(OR(E3849="",E3849="!!!",F3849="NEW"),"",INDEX(J$1:J3848,SUMPRODUCT(MAX(ROW(E$1:E3848)*(E3849=E$1:E3848)))))</f>
        <v> </v>
      </c>
      <c r="L3849" s="26"/>
    </row>
    <row r="3850" spans="1:12">
      <c r="A3850" s="20" t="s">
        <v>2831</v>
      </c>
      <c r="E3850" s="21">
        <f>IF(D3850="?OLD","!!!","")</f>
        <v/>
      </c>
      <c r="F3850" s="22" t="str">
        <f>IF(OR(E3850="",E3850="!!!"),"",IF(NOT(ISNA(VLOOKUP(E3850,E$1:E3849,1,FALSE()))),"OLD",IF(AND(E3850&lt;&gt;"",E3850&lt;&gt;"!!!"),"NEW","")))</f>
        <v> </v>
      </c>
      <c r="G3850" s="23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4" t="str">
        <f>IF(J3850&lt;&gt;1,"",IF(I3850="SBJ","CB","?"))</f>
        <v> </v>
      </c>
      <c r="I3850" s="25" t="str">
        <f>IF(OR(E3850="",E3850="!!!",F3850="NEW"),"",INDEX(B3849:B$2,-1+SUMPRODUCT(MAX(ROW(E3849:E$2)*(E3850=E3849:E$2)))))</f>
        <v> </v>
      </c>
      <c r="J3850" s="25" t="str">
        <f>IF(OR(E3850="",E3850="!!!",F3850="NEW"),"",COUNTBLANK(OFFSET(A$1,,,SUMPRODUCT(MAX(ROW(E$2:E3850)*(E3850=E$2:E3850)))))-COUNTBLANK(OFFSET(A$1,,,SUMPRODUCT(MAX(ROW(E$1:E3849)*(E2=E$1:E3849))))))</f>
        <v> </v>
      </c>
      <c r="K3850" s="25" t="str">
        <f>IF(OR(E3850="",E3850="!!!",F3850="NEW"),"",INDEX(J$1:J3849,SUMPRODUCT(MAX(ROW(E$1:E3849)*(E3850=E$1:E3849)))))</f>
        <v> </v>
      </c>
      <c r="L3850" s="26"/>
    </row>
    <row r="3851" spans="1:12">
      <c r="A3851" s="20" t="s">
        <v>1123</v>
      </c>
      <c r="E3851" s="21">
        <f>IF(D3851="?OLD","!!!","")</f>
        <v/>
      </c>
      <c r="F3851" s="22" t="str">
        <f>IF(OR(E3851="",E3851="!!!"),"",IF(NOT(ISNA(VLOOKUP(E3851,E$1:E3850,1,FALSE()))),"OLD",IF(AND(E3851&lt;&gt;"",E3851&lt;&gt;"!!!"),"NEW","")))</f>
        <v> </v>
      </c>
      <c r="G3851" s="23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4" t="str">
        <f>IF(J3851&lt;&gt;1,"",IF(I3851="SBJ","CB","?"))</f>
        <v> </v>
      </c>
      <c r="I3851" s="25" t="str">
        <f>IF(OR(E3851="",E3851="!!!",F3851="NEW"),"",INDEX(B3850:B$2,-1+SUMPRODUCT(MAX(ROW(E3850:E$2)*(E3851=E3850:E$2)))))</f>
        <v> </v>
      </c>
      <c r="J3851" s="25" t="str">
        <f>IF(OR(E3851="",E3851="!!!",F3851="NEW"),"",COUNTBLANK(OFFSET(A$1,,,SUMPRODUCT(MAX(ROW(E$2:E3851)*(E3851=E$2:E3851)))))-COUNTBLANK(OFFSET(A$1,,,SUMPRODUCT(MAX(ROW(E$1:E3850)*(E2=E$1:E3850))))))</f>
        <v> </v>
      </c>
      <c r="K3851" s="25" t="str">
        <f>IF(OR(E3851="",E3851="!!!",F3851="NEW"),"",INDEX(J$1:J3850,SUMPRODUCT(MAX(ROW(E$1:E3850)*(E3851=E$1:E3850)))))</f>
        <v> </v>
      </c>
      <c r="L3851" s="26"/>
    </row>
    <row r="3852" spans="1:12">
      <c r="A3852" s="20" t="s">
        <v>2832</v>
      </c>
      <c r="E3852" s="21">
        <f>IF(D3852="?OLD","!!!","")</f>
        <v/>
      </c>
      <c r="F3852" s="22" t="str">
        <f>IF(OR(E3852="",E3852="!!!"),"",IF(NOT(ISNA(VLOOKUP(E3852,E$1:E3851,1,FALSE()))),"OLD",IF(AND(E3852&lt;&gt;"",E3852&lt;&gt;"!!!"),"NEW","")))</f>
        <v> </v>
      </c>
      <c r="G3852" s="23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4" t="str">
        <f>IF(J3852&lt;&gt;1,"",IF(I3852="SBJ","CB","?"))</f>
        <v> </v>
      </c>
      <c r="I3852" s="25" t="str">
        <f>IF(OR(E3852="",E3852="!!!",F3852="NEW"),"",INDEX(B3851:B$2,-1+SUMPRODUCT(MAX(ROW(E3851:E$2)*(E3852=E3851:E$2)))))</f>
        <v> </v>
      </c>
      <c r="J3852" s="25" t="str">
        <f>IF(OR(E3852="",E3852="!!!",F3852="NEW"),"",COUNTBLANK(OFFSET(A$1,,,SUMPRODUCT(MAX(ROW(E$2:E3852)*(E3852=E$2:E3852)))))-COUNTBLANK(OFFSET(A$1,,,SUMPRODUCT(MAX(ROW(E$1:E3851)*(E2=E$1:E3851))))))</f>
        <v> </v>
      </c>
      <c r="K3852" s="25" t="str">
        <f>IF(OR(E3852="",E3852="!!!",F3852="NEW"),"",INDEX(J$1:J3851,SUMPRODUCT(MAX(ROW(E$1:E3851)*(E3852=E$1:E3851)))))</f>
        <v> </v>
      </c>
      <c r="L3852" s="26"/>
    </row>
    <row r="3853" spans="1:12">
      <c r="A3853" s="20" t="s">
        <v>2833</v>
      </c>
      <c r="E3853" s="21">
        <f>IF(D3853="?OLD","!!!","")</f>
        <v/>
      </c>
      <c r="F3853" s="22" t="str">
        <f>IF(OR(E3853="",E3853="!!!"),"",IF(NOT(ISNA(VLOOKUP(E3853,E$1:E3852,1,FALSE()))),"OLD",IF(AND(E3853&lt;&gt;"",E3853&lt;&gt;"!!!"),"NEW","")))</f>
        <v> </v>
      </c>
      <c r="G3853" s="23" t="str">
        <f>IF(OR(E3853="",E3853="!!!"),"",IF(OR(J3853=0,AND(J3853=1,K3853=1),AND(J3853=1,I3853="SBJ"),AND(J3853=1,I3853=0)),"?IN_FOCUS",IF(J3853&lt;=2,"?ACTIVATED",IF(J3853&lt;&gt;"","?FAMILIAR",IF(F3853="NEW",IF(ISNA(VLOOKUP(E3853,#REF!,1,FALSE())),"?TYPE_IDENTIFIABLE","?REFERENTIAL"),"_")))))</f>
        <v> </v>
      </c>
      <c r="H3853" s="24" t="str">
        <f>IF(J3853&lt;&gt;1,"",IF(I3853="SBJ","CB","?"))</f>
        <v> </v>
      </c>
      <c r="I3853" s="25" t="str">
        <f>IF(OR(E3853="",E3853="!!!",F3853="NEW"),"",INDEX(B3852:B$2,-1+SUMPRODUCT(MAX(ROW(E3852:E$2)*(E3853=E3852:E$2)))))</f>
        <v> </v>
      </c>
      <c r="J3853" s="25" t="str">
        <f>IF(OR(E3853="",E3853="!!!",F3853="NEW"),"",COUNTBLANK(OFFSET(A$1,,,SUMPRODUCT(MAX(ROW(E$2:E3853)*(E3853=E$2:E3853)))))-COUNTBLANK(OFFSET(A$1,,,SUMPRODUCT(MAX(ROW(E$1:E3852)*(E2=E$1:E3852))))))</f>
        <v> </v>
      </c>
      <c r="K3853" s="25" t="str">
        <f>IF(OR(E3853="",E3853="!!!",F3853="NEW"),"",INDEX(J$1:J3852,SUMPRODUCT(MAX(ROW(E$1:E3852)*(E3853=E$1:E3852)))))</f>
        <v> </v>
      </c>
      <c r="L3853" s="26"/>
    </row>
    <row r="3854" spans="1:12">
      <c r="A3854" s="20" t="s">
        <v>2834</v>
      </c>
      <c r="B3854" s="27" t="s">
        <v>1870</v>
      </c>
      <c r="E3854" s="21">
        <f>IF(D3854="?OLD","!!!","")</f>
        <v/>
      </c>
      <c r="F3854" s="22" t="str">
        <f>IF(OR(E3854="",E3854="!!!"),"",IF(NOT(ISNA(VLOOKUP(E3854,E$1:E3853,1,FALSE()))),"OLD",IF(AND(E3854&lt;&gt;"",E3854&lt;&gt;"!!!"),"NEW","")))</f>
        <v> </v>
      </c>
      <c r="G3854" s="23" t="str">
        <f>IF(OR(E3854="",E3854="!!!"),"",IF(OR(J3854=0,AND(J3854=1,K3854=1),AND(J3854=1,I3854="SBJ"),AND(J3854=1,I3854=0)),"?IN_FOCUS",IF(J3854&lt;=2,"?ACTIVATED",IF(J3854&lt;&gt;"","?FAMILIAR",IF(F3854="NEW",IF(ISNA(VLOOKUP(E3854,#REF!,1,FALSE())),"?TYPE_IDENTIFIABLE","?REFERENTIAL"),"_")))))</f>
        <v> </v>
      </c>
      <c r="H3854" s="24" t="str">
        <f>IF(J3854&lt;&gt;1,"",IF(I3854="SBJ","CB","?"))</f>
        <v> </v>
      </c>
      <c r="I3854" s="25" t="str">
        <f>IF(OR(E3854="",E3854="!!!",F3854="NEW"),"",INDEX(B3853:B$2,-1+SUMPRODUCT(MAX(ROW(E3853:E$2)*(E3854=E3853:E$2)))))</f>
        <v> </v>
      </c>
      <c r="J3854" s="25" t="str">
        <f>IF(OR(E3854="",E3854="!!!",F3854="NEW"),"",COUNTBLANK(OFFSET(A$1,,,SUMPRODUCT(MAX(ROW(E$2:E3854)*(E3854=E$2:E3854)))))-COUNTBLANK(OFFSET(A$1,,,SUMPRODUCT(MAX(ROW(E$1:E3853)*(E2=E$1:E3853))))))</f>
        <v> </v>
      </c>
      <c r="K3854" s="25" t="str">
        <f>IF(OR(E3854="",E3854="!!!",F3854="NEW"),"",INDEX(J$1:J3853,SUMPRODUCT(MAX(ROW(E$1:E3853)*(E3854=E$1:E3853)))))</f>
        <v> </v>
      </c>
      <c r="L3854" s="26"/>
    </row>
    <row r="3855" spans="1:12">
      <c r="A3855" s="20" t="s">
        <v>2835</v>
      </c>
      <c r="E3855" s="21">
        <f>IF(D3855="?OLD","!!!","")</f>
        <v/>
      </c>
      <c r="F3855" s="22" t="str">
        <f>IF(OR(E3855="",E3855="!!!"),"",IF(NOT(ISNA(VLOOKUP(E3855,E$1:E3854,1,FALSE()))),"OLD",IF(AND(E3855&lt;&gt;"",E3855&lt;&gt;"!!!"),"NEW","")))</f>
        <v> </v>
      </c>
      <c r="G3855" s="23" t="str">
        <f>IF(OR(E3855="",E3855="!!!"),"",IF(OR(J3855=0,AND(J3855=1,K3855=1),AND(J3855=1,I3855="SBJ"),AND(J3855=1,I3855=0)),"?IN_FOCUS",IF(J3855&lt;=2,"?ACTIVATED",IF(J3855&lt;&gt;"","?FAMILIAR",IF(F3855="NEW",IF(ISNA(VLOOKUP(E3855,#REF!,1,FALSE())),"?TYPE_IDENTIFIABLE","?REFERENTIAL"),"_")))))</f>
        <v> </v>
      </c>
      <c r="H3855" s="24" t="str">
        <f>IF(J3855&lt;&gt;1,"",IF(I3855="SBJ","CB","?"))</f>
        <v> </v>
      </c>
      <c r="I3855" s="25" t="str">
        <f>IF(OR(E3855="",E3855="!!!",F3855="NEW"),"",INDEX(B3854:B$2,-1+SUMPRODUCT(MAX(ROW(E3854:E$2)*(E3855=E3854:E$2)))))</f>
        <v> </v>
      </c>
      <c r="J3855" s="25" t="str">
        <f>IF(OR(E3855="",E3855="!!!",F3855="NEW"),"",COUNTBLANK(OFFSET(A$1,,,SUMPRODUCT(MAX(ROW(E$2:E3855)*(E3855=E$2:E3855)))))-COUNTBLANK(OFFSET(A$1,,,SUMPRODUCT(MAX(ROW(E$1:E3854)*(E2=E$1:E3854))))))</f>
        <v> </v>
      </c>
      <c r="K3855" s="25" t="str">
        <f>IF(OR(E3855="",E3855="!!!",F3855="NEW"),"",INDEX(J$1:J3854,SUMPRODUCT(MAX(ROW(E$1:E3854)*(E3855=E$1:E3854)))))</f>
        <v> </v>
      </c>
      <c r="L3855" s="26"/>
    </row>
    <row r="3856" spans="1:12">
      <c r="A3856" s="20" t="s">
        <v>1270</v>
      </c>
      <c r="B3856" s="27" t="s">
        <v>2162</v>
      </c>
      <c r="C3856" s="27" t="s">
        <v>1126</v>
      </c>
      <c r="D3856" s="27" t="s">
        <v>1105</v>
      </c>
      <c r="E3856" s="21">
        <f>IF(D3856="?OLD","!!!","")</f>
        <v/>
      </c>
      <c r="F3856" s="22" t="str">
        <f>IF(OR(E3856="",E3856="!!!"),"",IF(NOT(ISNA(VLOOKUP(E3856,E$1:E3855,1,FALSE()))),"OLD",IF(AND(E3856&lt;&gt;"",E3856&lt;&gt;"!!!"),"NEW","")))</f>
        <v> </v>
      </c>
      <c r="G3856" s="23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4" t="str">
        <f>IF(J3856&lt;&gt;1,"",IF(I3856="SBJ","CB","?"))</f>
        <v> </v>
      </c>
      <c r="I3856" s="25" t="str">
        <f>IF(OR(E3856="",E3856="!!!",F3856="NEW"),"",INDEX(B3855:B$2,-1+SUMPRODUCT(MAX(ROW(E3855:E$2)*(E3856=E3855:E$2)))))</f>
        <v> </v>
      </c>
      <c r="J3856" s="25" t="str">
        <f>IF(OR(E3856="",E3856="!!!",F3856="NEW"),"",COUNTBLANK(OFFSET(A$1,,,SUMPRODUCT(MAX(ROW(E$2:E3856)*(E3856=E$2:E3856)))))-COUNTBLANK(OFFSET(A$1,,,SUMPRODUCT(MAX(ROW(E$1:E3855)*(E2=E$1:E3855))))))</f>
        <v> </v>
      </c>
      <c r="K3856" s="25" t="str">
        <f>IF(OR(E3856="",E3856="!!!",F3856="NEW"),"",INDEX(J$1:J3855,SUMPRODUCT(MAX(ROW(E$1:E3855)*(E3856=E$1:E3855)))))</f>
        <v> </v>
      </c>
      <c r="L3856" s="26"/>
    </row>
    <row r="3857" spans="1:12">
      <c r="A3857" s="20" t="s">
        <v>1184</v>
      </c>
      <c r="E3857" s="21">
        <f>IF(D3857="?OLD","!!!","")</f>
        <v/>
      </c>
      <c r="F3857" s="22" t="str">
        <f>IF(OR(E3857="",E3857="!!!"),"",IF(NOT(ISNA(VLOOKUP(E3857,E$1:E3856,1,FALSE()))),"OLD",IF(AND(E3857&lt;&gt;"",E3857&lt;&gt;"!!!"),"NEW","")))</f>
        <v> </v>
      </c>
      <c r="G3857" s="23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4" t="str">
        <f>IF(J3857&lt;&gt;1,"",IF(I3857="SBJ","CB","?"))</f>
        <v> </v>
      </c>
      <c r="I3857" s="25" t="str">
        <f>IF(OR(E3857="",E3857="!!!",F3857="NEW"),"",INDEX(B3856:B$2,-1+SUMPRODUCT(MAX(ROW(E3856:E$2)*(E3857=E3856:E$2)))))</f>
        <v> </v>
      </c>
      <c r="J3857" s="25" t="str">
        <f>IF(OR(E3857="",E3857="!!!",F3857="NEW"),"",COUNTBLANK(OFFSET(A$1,,,SUMPRODUCT(MAX(ROW(E$2:E3857)*(E3857=E$2:E3857)))))-COUNTBLANK(OFFSET(A$1,,,SUMPRODUCT(MAX(ROW(E$1:E3856)*(E2=E$1:E3856))))))</f>
        <v> </v>
      </c>
      <c r="K3857" s="25" t="str">
        <f>IF(OR(E3857="",E3857="!!!",F3857="NEW"),"",INDEX(J$1:J3856,SUMPRODUCT(MAX(ROW(E$1:E3856)*(E3857=E$1:E3856)))))</f>
        <v> </v>
      </c>
      <c r="L3857" s="26"/>
    </row>
    <row r="3858" spans="1:12">
      <c r="A3858" s="20" t="s">
        <v>1427</v>
      </c>
      <c r="E3858" s="21">
        <f>IF(D3858="?OLD","!!!","")</f>
        <v/>
      </c>
      <c r="F3858" s="22" t="str">
        <f>IF(OR(E3858="",E3858="!!!"),"",IF(NOT(ISNA(VLOOKUP(E3858,E$1:E3857,1,FALSE()))),"OLD",IF(AND(E3858&lt;&gt;"",E3858&lt;&gt;"!!!"),"NEW","")))</f>
        <v> </v>
      </c>
      <c r="G3858" s="23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4" t="str">
        <f>IF(J3858&lt;&gt;1,"",IF(I3858="SBJ","CB","?"))</f>
        <v> </v>
      </c>
      <c r="I3858" s="25" t="str">
        <f>IF(OR(E3858="",E3858="!!!",F3858="NEW"),"",INDEX(B3857:B$2,-1+SUMPRODUCT(MAX(ROW(E3857:E$2)*(E3858=E3857:E$2)))))</f>
        <v> </v>
      </c>
      <c r="J3858" s="25" t="str">
        <f>IF(OR(E3858="",E3858="!!!",F3858="NEW"),"",COUNTBLANK(OFFSET(A$1,,,SUMPRODUCT(MAX(ROW(E$2:E3858)*(E3858=E$2:E3858)))))-COUNTBLANK(OFFSET(A$1,,,SUMPRODUCT(MAX(ROW(E$1:E3857)*(E2=E$1:E3857))))))</f>
        <v> </v>
      </c>
      <c r="K3858" s="25" t="str">
        <f>IF(OR(E3858="",E3858="!!!",F3858="NEW"),"",INDEX(J$1:J3857,SUMPRODUCT(MAX(ROW(E$1:E3857)*(E3858=E$1:E3857)))))</f>
        <v> </v>
      </c>
      <c r="L3858" s="26"/>
    </row>
    <row r="3859" spans="1:12">
      <c r="A3859" s="20" t="s">
        <v>2836</v>
      </c>
      <c r="E3859" s="21">
        <f>IF(D3859="?OLD","!!!","")</f>
        <v/>
      </c>
      <c r="F3859" s="22" t="str">
        <f>IF(OR(E3859="",E3859="!!!"),"",IF(NOT(ISNA(VLOOKUP(E3859,E$1:E3858,1,FALSE()))),"OLD",IF(AND(E3859&lt;&gt;"",E3859&lt;&gt;"!!!"),"NEW","")))</f>
        <v> </v>
      </c>
      <c r="G3859" s="23" t="str">
        <f>IF(OR(E3859="",E3859="!!!"),"",IF(OR(J3859=0,AND(J3859=1,K3859=1),AND(J3859=1,I3859="SBJ"),AND(J3859=1,I3859=0)),"?IN_FOCUS",IF(J3859&lt;=2,"?ACTIVATED",IF(J3859&lt;&gt;"","?FAMILIAR",IF(F3859="NEW",IF(ISNA(VLOOKUP(E3859,#REF!,1,FALSE())),"?TYPE_IDENTIFIABLE","?REFERENTIAL"),"_")))))</f>
        <v> </v>
      </c>
      <c r="H3859" s="24" t="str">
        <f>IF(J3859&lt;&gt;1,"",IF(I3859="SBJ","CB","?"))</f>
        <v> </v>
      </c>
      <c r="I3859" s="25" t="str">
        <f>IF(OR(E3859="",E3859="!!!",F3859="NEW"),"",INDEX(B3858:B$2,-1+SUMPRODUCT(MAX(ROW(E3858:E$2)*(E3859=E3858:E$2)))))</f>
        <v> </v>
      </c>
      <c r="J3859" s="25" t="str">
        <f>IF(OR(E3859="",E3859="!!!",F3859="NEW"),"",COUNTBLANK(OFFSET(A$1,,,SUMPRODUCT(MAX(ROW(E$2:E3859)*(E3859=E$2:E3859)))))-COUNTBLANK(OFFSET(A$1,,,SUMPRODUCT(MAX(ROW(E$1:E3858)*(E2=E$1:E3858))))))</f>
        <v> </v>
      </c>
      <c r="K3859" s="25" t="str">
        <f>IF(OR(E3859="",E3859="!!!",F3859="NEW"),"",INDEX(J$1:J3858,SUMPRODUCT(MAX(ROW(E$1:E3858)*(E3859=E$1:E3858)))))</f>
        <v> </v>
      </c>
      <c r="L3859" s="26"/>
    </row>
    <row r="3860" spans="1:12">
      <c r="A3860" s="20" t="s">
        <v>2837</v>
      </c>
      <c r="B3860" s="27" t="s">
        <v>1141</v>
      </c>
      <c r="C3860" s="27" t="s">
        <v>1156</v>
      </c>
      <c r="D3860" s="27" t="s">
        <v>1105</v>
      </c>
      <c r="E3860" s="21">
        <f>IF(D3860="?OLD","!!!","")</f>
        <v/>
      </c>
      <c r="F3860" s="22" t="str">
        <f>IF(OR(E3860="",E3860="!!!"),"",IF(NOT(ISNA(VLOOKUP(E3860,E$1:E3859,1,FALSE()))),"OLD",IF(AND(E3860&lt;&gt;"",E3860&lt;&gt;"!!!"),"NEW","")))</f>
        <v> </v>
      </c>
      <c r="G3860" s="23" t="str">
        <f>IF(OR(E3860="",E3860="!!!"),"",IF(OR(J3860=0,AND(J3860=1,K3860=1),AND(J3860=1,I3860="SBJ"),AND(J3860=1,I3860=0)),"?IN_FOCUS",IF(J3860&lt;=2,"?ACTIVATED",IF(J3860&lt;&gt;"","?FAMILIAR",IF(F3860="NEW",IF(ISNA(VLOOKUP(E3860,#REF!,1,FALSE())),"?TYPE_IDENTIFIABLE","?REFERENTIAL"),"_")))))</f>
        <v> </v>
      </c>
      <c r="H3860" s="24" t="str">
        <f>IF(J3860&lt;&gt;1,"",IF(I3860="SBJ","CB","?"))</f>
        <v> </v>
      </c>
      <c r="I3860" s="25" t="str">
        <f>IF(OR(E3860="",E3860="!!!",F3860="NEW"),"",INDEX(B3859:B$2,-1+SUMPRODUCT(MAX(ROW(E3859:E$2)*(E3860=E3859:E$2)))))</f>
        <v> </v>
      </c>
      <c r="J3860" s="25" t="str">
        <f>IF(OR(E3860="",E3860="!!!",F3860="NEW"),"",COUNTBLANK(OFFSET(A$1,,,SUMPRODUCT(MAX(ROW(E$2:E3860)*(E3860=E$2:E3860)))))-COUNTBLANK(OFFSET(A$1,,,SUMPRODUCT(MAX(ROW(E$1:E3859)*(E2=E$1:E3859))))))</f>
        <v> </v>
      </c>
      <c r="K3860" s="25" t="str">
        <f>IF(OR(E3860="",E3860="!!!",F3860="NEW"),"",INDEX(J$1:J3859,SUMPRODUCT(MAX(ROW(E$1:E3859)*(E3860=E$1:E3859)))))</f>
        <v> </v>
      </c>
      <c r="L3860" s="26"/>
    </row>
    <row r="3861" spans="1:12">
      <c r="A3861" s="20" t="s">
        <v>1145</v>
      </c>
      <c r="E3861" s="21">
        <f>IF(D3861="?OLD","!!!","")</f>
        <v/>
      </c>
      <c r="F3861" s="22" t="str">
        <f>IF(OR(E3861="",E3861="!!!"),"",IF(NOT(ISNA(VLOOKUP(E3861,E$1:E3860,1,FALSE()))),"OLD",IF(AND(E3861&lt;&gt;"",E3861&lt;&gt;"!!!"),"NEW","")))</f>
        <v> </v>
      </c>
      <c r="G3861" s="23" t="str">
        <f>IF(OR(E3861="",E3861="!!!"),"",IF(OR(J3861=0,AND(J3861=1,K3861=1),AND(J3861=1,I3861="SBJ"),AND(J3861=1,I3861=0)),"?IN_FOCUS",IF(J3861&lt;=2,"?ACTIVATED",IF(J3861&lt;&gt;"","?FAMILIAR",IF(F3861="NEW",IF(ISNA(VLOOKUP(E3861,#REF!,1,FALSE())),"?TYPE_IDENTIFIABLE","?REFERENTIAL"),"_")))))</f>
        <v> </v>
      </c>
      <c r="H3861" s="24" t="str">
        <f>IF(J3861&lt;&gt;1,"",IF(I3861="SBJ","CB","?"))</f>
        <v> </v>
      </c>
      <c r="I3861" s="25" t="str">
        <f>IF(OR(E3861="",E3861="!!!",F3861="NEW"),"",INDEX(B3860:B$2,-1+SUMPRODUCT(MAX(ROW(E3860:E$2)*(E3861=E3860:E$2)))))</f>
        <v> </v>
      </c>
      <c r="J3861" s="25" t="str">
        <f>IF(OR(E3861="",E3861="!!!",F3861="NEW"),"",COUNTBLANK(OFFSET(A$1,,,SUMPRODUCT(MAX(ROW(E$2:E3861)*(E3861=E$2:E3861)))))-COUNTBLANK(OFFSET(A$1,,,SUMPRODUCT(MAX(ROW(E$1:E3860)*(E2=E$1:E3860))))))</f>
        <v> </v>
      </c>
      <c r="K3861" s="25" t="str">
        <f>IF(OR(E3861="",E3861="!!!",F3861="NEW"),"",INDEX(J$1:J3860,SUMPRODUCT(MAX(ROW(E$1:E3860)*(E3861=E$1:E3860)))))</f>
        <v> </v>
      </c>
      <c r="L3861" s="26"/>
    </row>
    <row r="3862" spans="1:12">
      <c r="A3862" s="20"/>
    </row>
    <row r="3863" spans="1:12">
      <c r="A3863" s="20" t="s">
        <v>2838</v>
      </c>
    </row>
    <row r="3864" spans="1:12">
      <c r="A3864" s="20" t="s">
        <v>1928</v>
      </c>
      <c r="E3864" s="21">
        <f>IF(D3864="?OLD","!!!","")</f>
        <v/>
      </c>
      <c r="F3864" s="22" t="str">
        <f>IF(OR(E3864="",E3864="!!!"),"",IF(NOT(ISNA(VLOOKUP(E3864,E$1:E3863,1,FALSE()))),"OLD",IF(AND(E3864&lt;&gt;"",E3864&lt;&gt;"!!!"),"NEW","")))</f>
        <v> </v>
      </c>
      <c r="G3864" s="23" t="str">
        <f>IF(OR(E3864="",E3864="!!!"),"",IF(OR(J3864=0,AND(J3864=1,K3864=1),AND(J3864=1,I3864="SBJ"),AND(J3864=1,I3864=0)),"?IN_FOCUS",IF(J3864&lt;=2,"?ACTIVATED",IF(J3864&lt;&gt;"","?FAMILIAR",IF(F3864="NEW",IF(ISNA(VLOOKUP(E3864,#REF!,1,FALSE())),"?TYPE_IDENTIFIABLE","?REFERENTIAL"),"_")))))</f>
        <v> </v>
      </c>
      <c r="H3864" s="24" t="str">
        <f>IF(J3864&lt;&gt;1,"",IF(I3864="SBJ","CB","?"))</f>
        <v> </v>
      </c>
      <c r="I3864" s="25" t="str">
        <f>IF(OR(E3864="",E3864="!!!",F3864="NEW"),"",INDEX(B3863:B$2,-1+SUMPRODUCT(MAX(ROW(E3863:E$2)*(E3864=E3863:E$2)))))</f>
        <v> </v>
      </c>
      <c r="J3864" s="25" t="str">
        <f>IF(OR(E3864="",E3864="!!!",F3864="NEW"),"",COUNTBLANK(OFFSET(A$1,,,SUMPRODUCT(MAX(ROW(E$2:E3864)*(E3864=E$2:E3864)))))-COUNTBLANK(OFFSET(A$1,,,SUMPRODUCT(MAX(ROW(E$1:E3863)*(E2=E$1:E3863))))))</f>
        <v> </v>
      </c>
      <c r="K3864" s="25" t="str">
        <f>IF(OR(E3864="",E3864="!!!",F3864="NEW"),"",INDEX(J$1:J3863,SUMPRODUCT(MAX(ROW(E$1:E3863)*(E3864=E$1:E3863)))))</f>
        <v> </v>
      </c>
      <c r="L3864" s="26"/>
    </row>
    <row r="3865" spans="1:12">
      <c r="A3865" s="20" t="s">
        <v>2019</v>
      </c>
      <c r="E3865" s="21">
        <f>IF(D3865="?OLD","!!!","")</f>
        <v/>
      </c>
      <c r="F3865" s="22" t="str">
        <f>IF(OR(E3865="",E3865="!!!"),"",IF(NOT(ISNA(VLOOKUP(E3865,E$1:E3864,1,FALSE()))),"OLD",IF(AND(E3865&lt;&gt;"",E3865&lt;&gt;"!!!"),"NEW","")))</f>
        <v> </v>
      </c>
      <c r="G3865" s="23" t="str">
        <f>IF(OR(E3865="",E3865="!!!"),"",IF(OR(J3865=0,AND(J3865=1,K3865=1),AND(J3865=1,I3865="SBJ"),AND(J3865=1,I3865=0)),"?IN_FOCUS",IF(J3865&lt;=2,"?ACTIVATED",IF(J3865&lt;&gt;"","?FAMILIAR",IF(F3865="NEW",IF(ISNA(VLOOKUP(E3865,#REF!,1,FALSE())),"?TYPE_IDENTIFIABLE","?REFERENTIAL"),"_")))))</f>
        <v> </v>
      </c>
      <c r="H3865" s="24" t="str">
        <f>IF(J3865&lt;&gt;1,"",IF(I3865="SBJ","CB","?"))</f>
        <v> </v>
      </c>
      <c r="I3865" s="25" t="str">
        <f>IF(OR(E3865="",E3865="!!!",F3865="NEW"),"",INDEX(B3864:B$2,-1+SUMPRODUCT(MAX(ROW(E3864:E$2)*(E3865=E3864:E$2)))))</f>
        <v> </v>
      </c>
      <c r="J3865" s="25" t="str">
        <f>IF(OR(E3865="",E3865="!!!",F3865="NEW"),"",COUNTBLANK(OFFSET(A$1,,,SUMPRODUCT(MAX(ROW(E$2:E3865)*(E3865=E$2:E3865)))))-COUNTBLANK(OFFSET(A$1,,,SUMPRODUCT(MAX(ROW(E$1:E3864)*(E2=E$1:E3864))))))</f>
        <v> </v>
      </c>
      <c r="K3865" s="25" t="str">
        <f>IF(OR(E3865="",E3865="!!!",F3865="NEW"),"",INDEX(J$1:J3864,SUMPRODUCT(MAX(ROW(E$1:E3864)*(E3865=E$1:E3864)))))</f>
        <v> </v>
      </c>
      <c r="L3865" s="26"/>
    </row>
    <row r="3866" spans="1:12">
      <c r="A3866" s="20" t="s">
        <v>1242</v>
      </c>
      <c r="B3866" s="27" t="s">
        <v>1213</v>
      </c>
      <c r="C3866" s="27" t="s">
        <v>1126</v>
      </c>
      <c r="D3866" s="27" t="s">
        <v>1105</v>
      </c>
      <c r="E3866" s="21">
        <f>IF(D3866="?OLD","!!!","")</f>
        <v/>
      </c>
      <c r="F3866" s="22" t="str">
        <f>IF(OR(E3866="",E3866="!!!"),"",IF(NOT(ISNA(VLOOKUP(E3866,E$1:E3865,1,FALSE()))),"OLD",IF(AND(E3866&lt;&gt;"",E3866&lt;&gt;"!!!"),"NEW","")))</f>
        <v> </v>
      </c>
      <c r="G3866" s="23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4" t="str">
        <f>IF(J3866&lt;&gt;1,"",IF(I3866="SBJ","CB","?"))</f>
        <v> </v>
      </c>
      <c r="I3866" s="25" t="str">
        <f>IF(OR(E3866="",E3866="!!!",F3866="NEW"),"",INDEX(B3865:B$2,-1+SUMPRODUCT(MAX(ROW(E3865:E$2)*(E3866=E3865:E$2)))))</f>
        <v> </v>
      </c>
      <c r="J3866" s="25" t="str">
        <f>IF(OR(E3866="",E3866="!!!",F3866="NEW"),"",COUNTBLANK(OFFSET(A$1,,,SUMPRODUCT(MAX(ROW(E$2:E3866)*(E3866=E$2:E3866)))))-COUNTBLANK(OFFSET(A$1,,,SUMPRODUCT(MAX(ROW(E$1:E3865)*(E2=E$1:E3865))))))</f>
        <v> </v>
      </c>
      <c r="K3866" s="25" t="str">
        <f>IF(OR(E3866="",E3866="!!!",F3866="NEW"),"",INDEX(J$1:J3865,SUMPRODUCT(MAX(ROW(E$1:E3865)*(E3866=E$1:E3865)))))</f>
        <v> </v>
      </c>
      <c r="L3866" s="26"/>
    </row>
    <row r="3867" spans="1:12">
      <c r="A3867" s="20" t="s">
        <v>2839</v>
      </c>
      <c r="E3867" s="21">
        <f>IF(D3867="?OLD","!!!","")</f>
        <v/>
      </c>
      <c r="F3867" s="22" t="str">
        <f>IF(OR(E3867="",E3867="!!!"),"",IF(NOT(ISNA(VLOOKUP(E3867,E$1:E3866,1,FALSE()))),"OLD",IF(AND(E3867&lt;&gt;"",E3867&lt;&gt;"!!!"),"NEW","")))</f>
        <v> </v>
      </c>
      <c r="G3867" s="23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4" t="str">
        <f>IF(J3867&lt;&gt;1,"",IF(I3867="SBJ","CB","?"))</f>
        <v> </v>
      </c>
      <c r="I3867" s="25" t="str">
        <f>IF(OR(E3867="",E3867="!!!",F3867="NEW"),"",INDEX(B3866:B$2,-1+SUMPRODUCT(MAX(ROW(E3866:E$2)*(E3867=E3866:E$2)))))</f>
        <v> </v>
      </c>
      <c r="J3867" s="25" t="str">
        <f>IF(OR(E3867="",E3867="!!!",F3867="NEW"),"",COUNTBLANK(OFFSET(A$1,,,SUMPRODUCT(MAX(ROW(E$2:E3867)*(E3867=E$2:E3867)))))-COUNTBLANK(OFFSET(A$1,,,SUMPRODUCT(MAX(ROW(E$1:E3866)*(E2=E$1:E3866))))))</f>
        <v> </v>
      </c>
      <c r="K3867" s="25" t="str">
        <f>IF(OR(E3867="",E3867="!!!",F3867="NEW"),"",INDEX(J$1:J3866,SUMPRODUCT(MAX(ROW(E$1:E3866)*(E3867=E$1:E3866)))))</f>
        <v> </v>
      </c>
      <c r="L3867" s="26"/>
    </row>
    <row r="3868" spans="1:12">
      <c r="A3868" s="20" t="s">
        <v>1113</v>
      </c>
      <c r="E3868" s="21">
        <f>IF(D3868="?OLD","!!!","")</f>
        <v/>
      </c>
      <c r="F3868" s="22" t="str">
        <f>IF(OR(E3868="",E3868="!!!"),"",IF(NOT(ISNA(VLOOKUP(E3868,E$1:E3867,1,FALSE()))),"OLD",IF(AND(E3868&lt;&gt;"",E3868&lt;&gt;"!!!"),"NEW","")))</f>
        <v> </v>
      </c>
      <c r="G3868" s="23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4" t="str">
        <f>IF(J3868&lt;&gt;1,"",IF(I3868="SBJ","CB","?"))</f>
        <v> </v>
      </c>
      <c r="I3868" s="25" t="str">
        <f>IF(OR(E3868="",E3868="!!!",F3868="NEW"),"",INDEX(B3867:B$2,-1+SUMPRODUCT(MAX(ROW(E3867:E$2)*(E3868=E3867:E$2)))))</f>
        <v> </v>
      </c>
      <c r="J3868" s="25" t="str">
        <f>IF(OR(E3868="",E3868="!!!",F3868="NEW"),"",COUNTBLANK(OFFSET(A$1,,,SUMPRODUCT(MAX(ROW(E$2:E3868)*(E3868=E$2:E3868)))))-COUNTBLANK(OFFSET(A$1,,,SUMPRODUCT(MAX(ROW(E$1:E3867)*(E2=E$1:E3867))))))</f>
        <v> </v>
      </c>
      <c r="K3868" s="25" t="str">
        <f>IF(OR(E3868="",E3868="!!!",F3868="NEW"),"",INDEX(J$1:J3867,SUMPRODUCT(MAX(ROW(E$1:E3867)*(E3868=E$1:E3867)))))</f>
        <v> </v>
      </c>
      <c r="L3868" s="26"/>
    </row>
    <row r="3869" spans="1:12">
      <c r="A3869" s="20" t="s">
        <v>2840</v>
      </c>
      <c r="B3869" s="27" t="s">
        <v>1149</v>
      </c>
      <c r="E3869" s="21">
        <f>IF(D3869="?OLD","!!!","")</f>
        <v/>
      </c>
      <c r="F3869" s="22" t="str">
        <f>IF(OR(E3869="",E3869="!!!"),"",IF(NOT(ISNA(VLOOKUP(E3869,E$1:E3868,1,FALSE()))),"OLD",IF(AND(E3869&lt;&gt;"",E3869&lt;&gt;"!!!"),"NEW","")))</f>
        <v> </v>
      </c>
      <c r="G3869" s="23" t="str">
        <f>IF(OR(E3869="",E3869="!!!"),"",IF(OR(J3869=0,AND(J3869=1,K3869=1),AND(J3869=1,I3869="SBJ"),AND(J3869=1,I3869=0)),"?IN_FOCUS",IF(J3869&lt;=2,"?ACTIVATED",IF(J3869&lt;&gt;"","?FAMILIAR",IF(F3869="NEW",IF(ISNA(VLOOKUP(E3869,#REF!,1,FALSE())),"?TYPE_IDENTIFIABLE","?REFERENTIAL"),"_")))))</f>
        <v> </v>
      </c>
      <c r="H3869" s="24" t="str">
        <f>IF(J3869&lt;&gt;1,"",IF(I3869="SBJ","CB","?"))</f>
        <v> </v>
      </c>
      <c r="I3869" s="25" t="str">
        <f>IF(OR(E3869="",E3869="!!!",F3869="NEW"),"",INDEX(B3868:B$2,-1+SUMPRODUCT(MAX(ROW(E3868:E$2)*(E3869=E3868:E$2)))))</f>
        <v> </v>
      </c>
      <c r="J3869" s="25" t="str">
        <f>IF(OR(E3869="",E3869="!!!",F3869="NEW"),"",COUNTBLANK(OFFSET(A$1,,,SUMPRODUCT(MAX(ROW(E$2:E3869)*(E3869=E$2:E3869)))))-COUNTBLANK(OFFSET(A$1,,,SUMPRODUCT(MAX(ROW(E$1:E3868)*(E2=E$1:E3868))))))</f>
        <v> </v>
      </c>
      <c r="K3869" s="25" t="str">
        <f>IF(OR(E3869="",E3869="!!!",F3869="NEW"),"",INDEX(J$1:J3868,SUMPRODUCT(MAX(ROW(E$1:E3868)*(E3869=E$1:E3868)))))</f>
        <v> </v>
      </c>
      <c r="L3869" s="26"/>
    </row>
    <row r="3870" spans="1:12">
      <c r="A3870" s="20" t="s">
        <v>11</v>
      </c>
      <c r="E3870" s="21">
        <f>IF(D3870="?OLD","!!!","")</f>
        <v/>
      </c>
      <c r="F3870" s="22" t="str">
        <f>IF(OR(E3870="",E3870="!!!"),"",IF(NOT(ISNA(VLOOKUP(E3870,E$1:E3869,1,FALSE()))),"OLD",IF(AND(E3870&lt;&gt;"",E3870&lt;&gt;"!!!"),"NEW","")))</f>
        <v> </v>
      </c>
      <c r="G3870" s="23" t="str">
        <f>IF(OR(E3870="",E3870="!!!"),"",IF(OR(J3870=0,AND(J3870=1,K3870=1),AND(J3870=1,I3870="SBJ"),AND(J3870=1,I3870=0)),"?IN_FOCUS",IF(J3870&lt;=2,"?ACTIVATED",IF(J3870&lt;&gt;"","?FAMILIAR",IF(F3870="NEW",IF(ISNA(VLOOKUP(E3870,#REF!,1,FALSE())),"?TYPE_IDENTIFIABLE","?REFERENTIAL"),"_")))))</f>
        <v> </v>
      </c>
      <c r="H3870" s="24" t="str">
        <f>IF(J3870&lt;&gt;1,"",IF(I3870="SBJ","CB","?"))</f>
        <v> </v>
      </c>
      <c r="I3870" s="25" t="str">
        <f>IF(OR(E3870="",E3870="!!!",F3870="NEW"),"",INDEX(B3869:B$2,-1+SUMPRODUCT(MAX(ROW(E3869:E$2)*(E3870=E3869:E$2)))))</f>
        <v> </v>
      </c>
      <c r="J3870" s="25" t="str">
        <f>IF(OR(E3870="",E3870="!!!",F3870="NEW"),"",COUNTBLANK(OFFSET(A$1,,,SUMPRODUCT(MAX(ROW(E$2:E3870)*(E3870=E$2:E3870)))))-COUNTBLANK(OFFSET(A$1,,,SUMPRODUCT(MAX(ROW(E$1:E3869)*(E2=E$1:E3869))))))</f>
        <v> </v>
      </c>
      <c r="K3870" s="25" t="str">
        <f>IF(OR(E3870="",E3870="!!!",F3870="NEW"),"",INDEX(J$1:J3869,SUMPRODUCT(MAX(ROW(E$1:E3869)*(E3870=E$1:E3869)))))</f>
        <v> </v>
      </c>
      <c r="L3870" s="26"/>
    </row>
    <row r="3871" spans="1:12">
      <c r="A3871" s="20" t="s">
        <v>1680</v>
      </c>
      <c r="E3871" s="21">
        <f>IF(D3871="?OLD","!!!","")</f>
        <v/>
      </c>
      <c r="F3871" s="22" t="str">
        <f>IF(OR(E3871="",E3871="!!!"),"",IF(NOT(ISNA(VLOOKUP(E3871,E$1:E3870,1,FALSE()))),"OLD",IF(AND(E3871&lt;&gt;"",E3871&lt;&gt;"!!!"),"NEW","")))</f>
        <v> </v>
      </c>
      <c r="G3871" s="23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4" t="str">
        <f>IF(J3871&lt;&gt;1,"",IF(I3871="SBJ","CB","?"))</f>
        <v> </v>
      </c>
      <c r="I3871" s="25" t="str">
        <f>IF(OR(E3871="",E3871="!!!",F3871="NEW"),"",INDEX(B3870:B$2,-1+SUMPRODUCT(MAX(ROW(E3870:E$2)*(E3871=E3870:E$2)))))</f>
        <v> </v>
      </c>
      <c r="J3871" s="25" t="str">
        <f>IF(OR(E3871="",E3871="!!!",F3871="NEW"),"",COUNTBLANK(OFFSET(A$1,,,SUMPRODUCT(MAX(ROW(E$2:E3871)*(E3871=E$2:E3871)))))-COUNTBLANK(OFFSET(A$1,,,SUMPRODUCT(MAX(ROW(E$1:E3870)*(E2=E$1:E3870))))))</f>
        <v> </v>
      </c>
      <c r="K3871" s="25" t="str">
        <f>IF(OR(E3871="",E3871="!!!",F3871="NEW"),"",INDEX(J$1:J3870,SUMPRODUCT(MAX(ROW(E$1:E3870)*(E3871=E$1:E3870)))))</f>
        <v> </v>
      </c>
      <c r="L3871" s="26"/>
    </row>
    <row r="3872" spans="1:12">
      <c r="A3872" s="20" t="s">
        <v>2841</v>
      </c>
      <c r="E3872" s="21">
        <f>IF(D3872="?OLD","!!!","")</f>
        <v/>
      </c>
      <c r="F3872" s="22" t="str">
        <f>IF(OR(E3872="",E3872="!!!"),"",IF(NOT(ISNA(VLOOKUP(E3872,E$1:E3871,1,FALSE()))),"OLD",IF(AND(E3872&lt;&gt;"",E3872&lt;&gt;"!!!"),"NEW","")))</f>
        <v> </v>
      </c>
      <c r="G3872" s="23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4" t="str">
        <f>IF(J3872&lt;&gt;1,"",IF(I3872="SBJ","CB","?"))</f>
        <v> </v>
      </c>
      <c r="I3872" s="25" t="str">
        <f>IF(OR(E3872="",E3872="!!!",F3872="NEW"),"",INDEX(B3871:B$2,-1+SUMPRODUCT(MAX(ROW(E3871:E$2)*(E3872=E3871:E$2)))))</f>
        <v> </v>
      </c>
      <c r="J3872" s="25" t="str">
        <f>IF(OR(E3872="",E3872="!!!",F3872="NEW"),"",COUNTBLANK(OFFSET(A$1,,,SUMPRODUCT(MAX(ROW(E$2:E3872)*(E3872=E$2:E3872)))))-COUNTBLANK(OFFSET(A$1,,,SUMPRODUCT(MAX(ROW(E$1:E3871)*(E2=E$1:E3871))))))</f>
        <v> </v>
      </c>
      <c r="K3872" s="25" t="str">
        <f>IF(OR(E3872="",E3872="!!!",F3872="NEW"),"",INDEX(J$1:J3871,SUMPRODUCT(MAX(ROW(E$1:E3871)*(E3872=E$1:E3871)))))</f>
        <v> </v>
      </c>
      <c r="L3872" s="26"/>
    </row>
    <row r="3873" spans="1:12">
      <c r="A3873" s="20" t="s">
        <v>1123</v>
      </c>
      <c r="E3873" s="21">
        <f>IF(D3873="?OLD","!!!","")</f>
        <v/>
      </c>
      <c r="F3873" s="22" t="str">
        <f>IF(OR(E3873="",E3873="!!!"),"",IF(NOT(ISNA(VLOOKUP(E3873,E$1:E3872,1,FALSE()))),"OLD",IF(AND(E3873&lt;&gt;"",E3873&lt;&gt;"!!!"),"NEW","")))</f>
        <v> </v>
      </c>
      <c r="G3873" s="23" t="str">
        <f>IF(OR(E3873="",E3873="!!!"),"",IF(OR(J3873=0,AND(J3873=1,K3873=1),AND(J3873=1,I3873="SBJ"),AND(J3873=1,I3873=0)),"?IN_FOCUS",IF(J3873&lt;=2,"?ACTIVATED",IF(J3873&lt;&gt;"","?FAMILIAR",IF(F3873="NEW",IF(ISNA(VLOOKUP(E3873,#REF!,1,FALSE())),"?TYPE_IDENTIFIABLE","?REFERENTIAL"),"_")))))</f>
        <v> </v>
      </c>
      <c r="H3873" s="24" t="str">
        <f>IF(J3873&lt;&gt;1,"",IF(I3873="SBJ","CB","?"))</f>
        <v> </v>
      </c>
      <c r="I3873" s="25" t="str">
        <f>IF(OR(E3873="",E3873="!!!",F3873="NEW"),"",INDEX(B3872:B$2,-1+SUMPRODUCT(MAX(ROW(E3872:E$2)*(E3873=E3872:E$2)))))</f>
        <v> </v>
      </c>
      <c r="J3873" s="25" t="str">
        <f>IF(OR(E3873="",E3873="!!!",F3873="NEW"),"",COUNTBLANK(OFFSET(A$1,,,SUMPRODUCT(MAX(ROW(E$2:E3873)*(E3873=E$2:E3873)))))-COUNTBLANK(OFFSET(A$1,,,SUMPRODUCT(MAX(ROW(E$1:E3872)*(E2=E$1:E3872))))))</f>
        <v> </v>
      </c>
      <c r="K3873" s="25" t="str">
        <f>IF(OR(E3873="",E3873="!!!",F3873="NEW"),"",INDEX(J$1:J3872,SUMPRODUCT(MAX(ROW(E$1:E3872)*(E3873=E$1:E3872)))))</f>
        <v> </v>
      </c>
      <c r="L3873" s="26"/>
    </row>
    <row r="3874" spans="1:12">
      <c r="A3874" s="20" t="s">
        <v>135</v>
      </c>
      <c r="E3874" s="21">
        <f>IF(D3874="?OLD","!!!","")</f>
        <v/>
      </c>
      <c r="F3874" s="22" t="str">
        <f>IF(OR(E3874="",E3874="!!!"),"",IF(NOT(ISNA(VLOOKUP(E3874,E$1:E3873,1,FALSE()))),"OLD",IF(AND(E3874&lt;&gt;"",E3874&lt;&gt;"!!!"),"NEW","")))</f>
        <v> </v>
      </c>
      <c r="G3874" s="23" t="str">
        <f>IF(OR(E3874="",E3874="!!!"),"",IF(OR(J3874=0,AND(J3874=1,K3874=1),AND(J3874=1,I3874="SBJ"),AND(J3874=1,I3874=0)),"?IN_FOCUS",IF(J3874&lt;=2,"?ACTIVATED",IF(J3874&lt;&gt;"","?FAMILIAR",IF(F3874="NEW",IF(ISNA(VLOOKUP(E3874,#REF!,1,FALSE())),"?TYPE_IDENTIFIABLE","?REFERENTIAL"),"_")))))</f>
        <v> </v>
      </c>
      <c r="H3874" s="24" t="str">
        <f>IF(J3874&lt;&gt;1,"",IF(I3874="SBJ","CB","?"))</f>
        <v> </v>
      </c>
      <c r="I3874" s="25" t="str">
        <f>IF(OR(E3874="",E3874="!!!",F3874="NEW"),"",INDEX(B3873:B$2,-1+SUMPRODUCT(MAX(ROW(E3873:E$2)*(E3874=E3873:E$2)))))</f>
        <v> </v>
      </c>
      <c r="J3874" s="25" t="str">
        <f>IF(OR(E3874="",E3874="!!!",F3874="NEW"),"",COUNTBLANK(OFFSET(A$1,,,SUMPRODUCT(MAX(ROW(E$2:E3874)*(E3874=E$2:E3874)))))-COUNTBLANK(OFFSET(A$1,,,SUMPRODUCT(MAX(ROW(E$1:E3873)*(E2=E$1:E3873))))))</f>
        <v> </v>
      </c>
      <c r="K3874" s="25" t="str">
        <f>IF(OR(E3874="",E3874="!!!",F3874="NEW"),"",INDEX(J$1:J3873,SUMPRODUCT(MAX(ROW(E$1:E3873)*(E3874=E$1:E3873)))))</f>
        <v> </v>
      </c>
      <c r="L3874" s="26"/>
    </row>
    <row r="3875" spans="1:12">
      <c r="A3875" s="20" t="s">
        <v>1134</v>
      </c>
      <c r="E3875" s="21">
        <f>IF(D3875="?OLD","!!!","")</f>
        <v/>
      </c>
      <c r="F3875" s="22" t="str">
        <f>IF(OR(E3875="",E3875="!!!"),"",IF(NOT(ISNA(VLOOKUP(E3875,E$1:E3874,1,FALSE()))),"OLD",IF(AND(E3875&lt;&gt;"",E3875&lt;&gt;"!!!"),"NEW","")))</f>
        <v> </v>
      </c>
      <c r="G3875" s="23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4" t="str">
        <f>IF(J3875&lt;&gt;1,"",IF(I3875="SBJ","CB","?"))</f>
        <v> </v>
      </c>
      <c r="I3875" s="25" t="str">
        <f>IF(OR(E3875="",E3875="!!!",F3875="NEW"),"",INDEX(B3874:B$2,-1+SUMPRODUCT(MAX(ROW(E3874:E$2)*(E3875=E3874:E$2)))))</f>
        <v> </v>
      </c>
      <c r="J3875" s="25" t="str">
        <f>IF(OR(E3875="",E3875="!!!",F3875="NEW"),"",COUNTBLANK(OFFSET(A$1,,,SUMPRODUCT(MAX(ROW(E$2:E3875)*(E3875=E$2:E3875)))))-COUNTBLANK(OFFSET(A$1,,,SUMPRODUCT(MAX(ROW(E$1:E3874)*(E2=E$1:E3874))))))</f>
        <v> </v>
      </c>
      <c r="K3875" s="25" t="str">
        <f>IF(OR(E3875="",E3875="!!!",F3875="NEW"),"",INDEX(J$1:J3874,SUMPRODUCT(MAX(ROW(E$1:E3874)*(E3875=E$1:E3874)))))</f>
        <v> </v>
      </c>
      <c r="L3875" s="26"/>
    </row>
    <row r="3876" spans="1:12">
      <c r="A3876" s="20" t="s">
        <v>1217</v>
      </c>
      <c r="B3876" s="27" t="s">
        <v>1125</v>
      </c>
      <c r="C3876" s="27" t="s">
        <v>1126</v>
      </c>
      <c r="D3876" s="27" t="s">
        <v>1105</v>
      </c>
      <c r="E3876" s="21">
        <f>IF(D3876="?OLD","!!!","")</f>
        <v/>
      </c>
      <c r="F3876" s="22" t="str">
        <f>IF(OR(E3876="",E3876="!!!"),"",IF(NOT(ISNA(VLOOKUP(E3876,E$1:E3875,1,FALSE()))),"OLD",IF(AND(E3876&lt;&gt;"",E3876&lt;&gt;"!!!"),"NEW","")))</f>
        <v> </v>
      </c>
      <c r="G3876" s="23" t="str">
        <f>IF(OR(E3876="",E3876="!!!"),"",IF(OR(J3876=0,AND(J3876=1,K3876=1),AND(J3876=1,I3876="SBJ"),AND(J3876=1,I3876=0)),"?IN_FOCUS",IF(J3876&lt;=2,"?ACTIVATED",IF(J3876&lt;&gt;"","?FAMILIAR",IF(F3876="NEW",IF(ISNA(VLOOKUP(E3876,#REF!,1,FALSE())),"?TYPE_IDENTIFIABLE","?REFERENTIAL"),"_")))))</f>
        <v> </v>
      </c>
      <c r="H3876" s="24" t="str">
        <f>IF(J3876&lt;&gt;1,"",IF(I3876="SBJ","CB","?"))</f>
        <v> </v>
      </c>
      <c r="I3876" s="25" t="str">
        <f>IF(OR(E3876="",E3876="!!!",F3876="NEW"),"",INDEX(B3875:B$2,-1+SUMPRODUCT(MAX(ROW(E3875:E$2)*(E3876=E3875:E$2)))))</f>
        <v> </v>
      </c>
      <c r="J3876" s="25" t="str">
        <f>IF(OR(E3876="",E3876="!!!",F3876="NEW"),"",COUNTBLANK(OFFSET(A$1,,,SUMPRODUCT(MAX(ROW(E$2:E3876)*(E3876=E$2:E3876)))))-COUNTBLANK(OFFSET(A$1,,,SUMPRODUCT(MAX(ROW(E$1:E3875)*(E2=E$1:E3875))))))</f>
        <v> </v>
      </c>
      <c r="K3876" s="25" t="str">
        <f>IF(OR(E3876="",E3876="!!!",F3876="NEW"),"",INDEX(J$1:J3875,SUMPRODUCT(MAX(ROW(E$1:E3875)*(E3876=E$1:E3875)))))</f>
        <v> </v>
      </c>
      <c r="L3876" s="26"/>
    </row>
    <row r="3877" spans="1:12">
      <c r="A3877" s="20" t="s">
        <v>2842</v>
      </c>
      <c r="E3877" s="21">
        <f>IF(D3877="?OLD","!!!","")</f>
        <v/>
      </c>
      <c r="F3877" s="22" t="str">
        <f>IF(OR(E3877="",E3877="!!!"),"",IF(NOT(ISNA(VLOOKUP(E3877,E$1:E3876,1,FALSE()))),"OLD",IF(AND(E3877&lt;&gt;"",E3877&lt;&gt;"!!!"),"NEW","")))</f>
        <v> </v>
      </c>
      <c r="G3877" s="23" t="str">
        <f>IF(OR(E3877="",E3877="!!!"),"",IF(OR(J3877=0,AND(J3877=1,K3877=1),AND(J3877=1,I3877="SBJ"),AND(J3877=1,I3877=0)),"?IN_FOCUS",IF(J3877&lt;=2,"?ACTIVATED",IF(J3877&lt;&gt;"","?FAMILIAR",IF(F3877="NEW",IF(ISNA(VLOOKUP(E3877,#REF!,1,FALSE())),"?TYPE_IDENTIFIABLE","?REFERENTIAL"),"_")))))</f>
        <v> </v>
      </c>
      <c r="H3877" s="24" t="str">
        <f>IF(J3877&lt;&gt;1,"",IF(I3877="SBJ","CB","?"))</f>
        <v> </v>
      </c>
      <c r="I3877" s="25" t="str">
        <f>IF(OR(E3877="",E3877="!!!",F3877="NEW"),"",INDEX(B3876:B$2,-1+SUMPRODUCT(MAX(ROW(E3876:E$2)*(E3877=E3876:E$2)))))</f>
        <v> </v>
      </c>
      <c r="J3877" s="25" t="str">
        <f>IF(OR(E3877="",E3877="!!!",F3877="NEW"),"",COUNTBLANK(OFFSET(A$1,,,SUMPRODUCT(MAX(ROW(E$2:E3877)*(E3877=E$2:E3877)))))-COUNTBLANK(OFFSET(A$1,,,SUMPRODUCT(MAX(ROW(E$1:E3876)*(E2=E$1:E3876))))))</f>
        <v> </v>
      </c>
      <c r="K3877" s="25" t="str">
        <f>IF(OR(E3877="",E3877="!!!",F3877="NEW"),"",INDEX(J$1:J3876,SUMPRODUCT(MAX(ROW(E$1:E3876)*(E3877=E$1:E3876)))))</f>
        <v> </v>
      </c>
      <c r="L3877" s="26"/>
    </row>
    <row r="3878" spans="1:12">
      <c r="A3878" s="20" t="s">
        <v>2843</v>
      </c>
      <c r="E3878" s="21">
        <f>IF(D3878="?OLD","!!!","")</f>
        <v/>
      </c>
      <c r="F3878" s="22" t="str">
        <f>IF(OR(E3878="",E3878="!!!"),"",IF(NOT(ISNA(VLOOKUP(E3878,E$1:E3877,1,FALSE()))),"OLD",IF(AND(E3878&lt;&gt;"",E3878&lt;&gt;"!!!"),"NEW","")))</f>
        <v> </v>
      </c>
      <c r="G3878" s="23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4" t="str">
        <f>IF(J3878&lt;&gt;1,"",IF(I3878="SBJ","CB","?"))</f>
        <v> </v>
      </c>
      <c r="I3878" s="25" t="str">
        <f>IF(OR(E3878="",E3878="!!!",F3878="NEW"),"",INDEX(B3877:B$2,-1+SUMPRODUCT(MAX(ROW(E3877:E$2)*(E3878=E3877:E$2)))))</f>
        <v> </v>
      </c>
      <c r="J3878" s="25" t="str">
        <f>IF(OR(E3878="",E3878="!!!",F3878="NEW"),"",COUNTBLANK(OFFSET(A$1,,,SUMPRODUCT(MAX(ROW(E$2:E3878)*(E3878=E$2:E3878)))))-COUNTBLANK(OFFSET(A$1,,,SUMPRODUCT(MAX(ROW(E$1:E3877)*(E2=E$1:E3877))))))</f>
        <v> </v>
      </c>
      <c r="K3878" s="25" t="str">
        <f>IF(OR(E3878="",E3878="!!!",F3878="NEW"),"",INDEX(J$1:J3877,SUMPRODUCT(MAX(ROW(E$1:E3877)*(E3878=E$1:E3877)))))</f>
        <v> </v>
      </c>
      <c r="L3878" s="26"/>
    </row>
    <row r="3879" spans="1:12">
      <c r="A3879" s="20" t="s">
        <v>1253</v>
      </c>
      <c r="E3879" s="21">
        <f>IF(D3879="?OLD","!!!","")</f>
        <v/>
      </c>
      <c r="F3879" s="22" t="str">
        <f>IF(OR(E3879="",E3879="!!!"),"",IF(NOT(ISNA(VLOOKUP(E3879,E$1:E3878,1,FALSE()))),"OLD",IF(AND(E3879&lt;&gt;"",E3879&lt;&gt;"!!!"),"NEW","")))</f>
        <v> </v>
      </c>
      <c r="G3879" s="23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4" t="str">
        <f>IF(J3879&lt;&gt;1,"",IF(I3879="SBJ","CB","?"))</f>
        <v> </v>
      </c>
      <c r="I3879" s="25" t="str">
        <f>IF(OR(E3879="",E3879="!!!",F3879="NEW"),"",INDEX(B3878:B$2,-1+SUMPRODUCT(MAX(ROW(E3878:E$2)*(E3879=E3878:E$2)))))</f>
        <v> </v>
      </c>
      <c r="J3879" s="25" t="str">
        <f>IF(OR(E3879="",E3879="!!!",F3879="NEW"),"",COUNTBLANK(OFFSET(A$1,,,SUMPRODUCT(MAX(ROW(E$2:E3879)*(E3879=E$2:E3879)))))-COUNTBLANK(OFFSET(A$1,,,SUMPRODUCT(MAX(ROW(E$1:E3878)*(E2=E$1:E3878))))))</f>
        <v> </v>
      </c>
      <c r="K3879" s="25" t="str">
        <f>IF(OR(E3879="",E3879="!!!",F3879="NEW"),"",INDEX(J$1:J3878,SUMPRODUCT(MAX(ROW(E$1:E3878)*(E3879=E$1:E3878)))))</f>
        <v> </v>
      </c>
      <c r="L3879" s="26"/>
    </row>
    <row r="3880" spans="1:12">
      <c r="A3880" s="20" t="s">
        <v>2844</v>
      </c>
      <c r="E3880" s="21">
        <f>IF(D3880="?OLD","!!!","")</f>
        <v/>
      </c>
      <c r="F3880" s="22" t="str">
        <f>IF(OR(E3880="",E3880="!!!"),"",IF(NOT(ISNA(VLOOKUP(E3880,E$1:E3879,1,FALSE()))),"OLD",IF(AND(E3880&lt;&gt;"",E3880&lt;&gt;"!!!"),"NEW","")))</f>
        <v> </v>
      </c>
      <c r="G3880" s="23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4" t="str">
        <f>IF(J3880&lt;&gt;1,"",IF(I3880="SBJ","CB","?"))</f>
        <v> </v>
      </c>
      <c r="I3880" s="25" t="str">
        <f>IF(OR(E3880="",E3880="!!!",F3880="NEW"),"",INDEX(B3879:B$2,-1+SUMPRODUCT(MAX(ROW(E3879:E$2)*(E3880=E3879:E$2)))))</f>
        <v> </v>
      </c>
      <c r="J3880" s="25" t="str">
        <f>IF(OR(E3880="",E3880="!!!",F3880="NEW"),"",COUNTBLANK(OFFSET(A$1,,,SUMPRODUCT(MAX(ROW(E$2:E3880)*(E3880=E$2:E3880)))))-COUNTBLANK(OFFSET(A$1,,,SUMPRODUCT(MAX(ROW(E$1:E3879)*(E2=E$1:E3879))))))</f>
        <v> </v>
      </c>
      <c r="K3880" s="25" t="str">
        <f>IF(OR(E3880="",E3880="!!!",F3880="NEW"),"",INDEX(J$1:J3879,SUMPRODUCT(MAX(ROW(E$1:E3879)*(E3880=E$1:E3879)))))</f>
        <v> </v>
      </c>
      <c r="L3880" s="26"/>
    </row>
    <row r="3881" spans="1:12">
      <c r="A3881" s="20" t="s">
        <v>2845</v>
      </c>
      <c r="E3881" s="21">
        <f>IF(D3881="?OLD","!!!","")</f>
        <v/>
      </c>
      <c r="F3881" s="22" t="str">
        <f>IF(OR(E3881="",E3881="!!!"),"",IF(NOT(ISNA(VLOOKUP(E3881,E$1:E3880,1,FALSE()))),"OLD",IF(AND(E3881&lt;&gt;"",E3881&lt;&gt;"!!!"),"NEW","")))</f>
        <v> </v>
      </c>
      <c r="G3881" s="23" t="str">
        <f>IF(OR(E3881="",E3881="!!!"),"",IF(OR(J3881=0,AND(J3881=1,K3881=1),AND(J3881=1,I3881="SBJ"),AND(J3881=1,I3881=0)),"?IN_FOCUS",IF(J3881&lt;=2,"?ACTIVATED",IF(J3881&lt;&gt;"","?FAMILIAR",IF(F3881="NEW",IF(ISNA(VLOOKUP(E3881,#REF!,1,FALSE())),"?TYPE_IDENTIFIABLE","?REFERENTIAL"),"_")))))</f>
        <v> </v>
      </c>
      <c r="H3881" s="24" t="str">
        <f>IF(J3881&lt;&gt;1,"",IF(I3881="SBJ","CB","?"))</f>
        <v> </v>
      </c>
      <c r="I3881" s="25" t="str">
        <f>IF(OR(E3881="",E3881="!!!",F3881="NEW"),"",INDEX(B3880:B$2,-1+SUMPRODUCT(MAX(ROW(E3880:E$2)*(E3881=E3880:E$2)))))</f>
        <v> </v>
      </c>
      <c r="J3881" s="25" t="str">
        <f>IF(OR(E3881="",E3881="!!!",F3881="NEW"),"",COUNTBLANK(OFFSET(A$1,,,SUMPRODUCT(MAX(ROW(E$2:E3881)*(E3881=E$2:E3881)))))-COUNTBLANK(OFFSET(A$1,,,SUMPRODUCT(MAX(ROW(E$1:E3880)*(E2=E$1:E3880))))))</f>
        <v> </v>
      </c>
      <c r="K3881" s="25" t="str">
        <f>IF(OR(E3881="",E3881="!!!",F3881="NEW"),"",INDEX(J$1:J3880,SUMPRODUCT(MAX(ROW(E$1:E3880)*(E3881=E$1:E3880)))))</f>
        <v> </v>
      </c>
      <c r="L3881" s="26"/>
    </row>
    <row r="3882" spans="1:12">
      <c r="A3882" s="20" t="s">
        <v>2846</v>
      </c>
      <c r="B3882" s="27" t="s">
        <v>1132</v>
      </c>
      <c r="C3882" s="27" t="s">
        <v>1156</v>
      </c>
      <c r="D3882" s="27" t="s">
        <v>1105</v>
      </c>
      <c r="E3882" s="21">
        <f>IF(D3882="?OLD","!!!","")</f>
        <v/>
      </c>
      <c r="F3882" s="22" t="str">
        <f>IF(OR(E3882="",E3882="!!!"),"",IF(NOT(ISNA(VLOOKUP(E3882,E$1:E3881,1,FALSE()))),"OLD",IF(AND(E3882&lt;&gt;"",E3882&lt;&gt;"!!!"),"NEW","")))</f>
        <v> </v>
      </c>
      <c r="G3882" s="23" t="str">
        <f>IF(OR(E3882="",E3882="!!!"),"",IF(OR(J3882=0,AND(J3882=1,K3882=1),AND(J3882=1,I3882="SBJ"),AND(J3882=1,I3882=0)),"?IN_FOCUS",IF(J3882&lt;=2,"?ACTIVATED",IF(J3882&lt;&gt;"","?FAMILIAR",IF(F3882="NEW",IF(ISNA(VLOOKUP(E3882,#REF!,1,FALSE())),"?TYPE_IDENTIFIABLE","?REFERENTIAL"),"_")))))</f>
        <v> </v>
      </c>
      <c r="H3882" s="24" t="str">
        <f>IF(J3882&lt;&gt;1,"",IF(I3882="SBJ","CB","?"))</f>
        <v> </v>
      </c>
      <c r="I3882" s="25" t="str">
        <f>IF(OR(E3882="",E3882="!!!",F3882="NEW"),"",INDEX(B3881:B$2,-1+SUMPRODUCT(MAX(ROW(E3881:E$2)*(E3882=E3881:E$2)))))</f>
        <v> </v>
      </c>
      <c r="J3882" s="25" t="str">
        <f>IF(OR(E3882="",E3882="!!!",F3882="NEW"),"",COUNTBLANK(OFFSET(A$1,,,SUMPRODUCT(MAX(ROW(E$2:E3882)*(E3882=E$2:E3882)))))-COUNTBLANK(OFFSET(A$1,,,SUMPRODUCT(MAX(ROW(E$1:E3881)*(E2=E$1:E3881))))))</f>
        <v> </v>
      </c>
      <c r="K3882" s="25" t="str">
        <f>IF(OR(E3882="",E3882="!!!",F3882="NEW"),"",INDEX(J$1:J3881,SUMPRODUCT(MAX(ROW(E$1:E3881)*(E3882=E$1:E3881)))))</f>
        <v> </v>
      </c>
      <c r="L3882" s="26"/>
    </row>
    <row r="3883" spans="1:12">
      <c r="A3883" s="20" t="s">
        <v>1145</v>
      </c>
      <c r="E3883" s="21">
        <f>IF(D3883="?OLD","!!!","")</f>
        <v/>
      </c>
      <c r="F3883" s="22" t="str">
        <f>IF(OR(E3883="",E3883="!!!"),"",IF(NOT(ISNA(VLOOKUP(E3883,E$1:E3882,1,FALSE()))),"OLD",IF(AND(E3883&lt;&gt;"",E3883&lt;&gt;"!!!"),"NEW","")))</f>
        <v> </v>
      </c>
      <c r="G3883" s="23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4" t="str">
        <f>IF(J3883&lt;&gt;1,"",IF(I3883="SBJ","CB","?"))</f>
        <v> </v>
      </c>
      <c r="I3883" s="25" t="str">
        <f>IF(OR(E3883="",E3883="!!!",F3883="NEW"),"",INDEX(B3882:B$2,-1+SUMPRODUCT(MAX(ROW(E3882:E$2)*(E3883=E3882:E$2)))))</f>
        <v> </v>
      </c>
      <c r="J3883" s="25" t="str">
        <f>IF(OR(E3883="",E3883="!!!",F3883="NEW"),"",COUNTBLANK(OFFSET(A$1,,,SUMPRODUCT(MAX(ROW(E$2:E3883)*(E3883=E$2:E3883)))))-COUNTBLANK(OFFSET(A$1,,,SUMPRODUCT(MAX(ROW(E$1:E3882)*(E2=E$1:E3882))))))</f>
        <v> </v>
      </c>
      <c r="K3883" s="25" t="str">
        <f>IF(OR(E3883="",E3883="!!!",F3883="NEW"),"",INDEX(J$1:J3882,SUMPRODUCT(MAX(ROW(E$1:E3882)*(E3883=E$1:E3882)))))</f>
        <v> </v>
      </c>
      <c r="L3883" s="26"/>
    </row>
    <row r="3884" spans="1:12">
      <c r="A3884" s="20"/>
    </row>
    <row r="3885" spans="1:12">
      <c r="A3885" s="20" t="s">
        <v>2847</v>
      </c>
    </row>
    <row r="3886" spans="1:12">
      <c r="A3886" s="20" t="s">
        <v>1928</v>
      </c>
      <c r="E3886" s="21">
        <f>IF(D3886="?OLD","!!!","")</f>
        <v/>
      </c>
      <c r="F3886" s="22" t="str">
        <f>IF(OR(E3886="",E3886="!!!"),"",IF(NOT(ISNA(VLOOKUP(E3886,E$1:E3885,1,FALSE()))),"OLD",IF(AND(E3886&lt;&gt;"",E3886&lt;&gt;"!!!"),"NEW","")))</f>
        <v> </v>
      </c>
      <c r="G3886" s="23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4" t="str">
        <f>IF(J3886&lt;&gt;1,"",IF(I3886="SBJ","CB","?"))</f>
        <v> </v>
      </c>
      <c r="I3886" s="25" t="str">
        <f>IF(OR(E3886="",E3886="!!!",F3886="NEW"),"",INDEX(B3885:B$2,-1+SUMPRODUCT(MAX(ROW(E3885:E$2)*(E3886=E3885:E$2)))))</f>
        <v> </v>
      </c>
      <c r="J3886" s="25" t="str">
        <f>IF(OR(E3886="",E3886="!!!",F3886="NEW"),"",COUNTBLANK(OFFSET(A$1,,,SUMPRODUCT(MAX(ROW(E$2:E3886)*(E3886=E$2:E3886)))))-COUNTBLANK(OFFSET(A$1,,,SUMPRODUCT(MAX(ROW(E$1:E3885)*(E2=E$1:E3885))))))</f>
        <v> </v>
      </c>
      <c r="K3886" s="25" t="str">
        <f>IF(OR(E3886="",E3886="!!!",F3886="NEW"),"",INDEX(J$1:J3885,SUMPRODUCT(MAX(ROW(E$1:E3885)*(E3886=E$1:E3885)))))</f>
        <v> </v>
      </c>
      <c r="L3886" s="26"/>
    </row>
    <row r="3887" spans="1:12">
      <c r="A3887" s="20" t="s">
        <v>2792</v>
      </c>
      <c r="E3887" s="21">
        <f>IF(D3887="?OLD","!!!","")</f>
        <v/>
      </c>
      <c r="F3887" s="22" t="str">
        <f>IF(OR(E3887="",E3887="!!!"),"",IF(NOT(ISNA(VLOOKUP(E3887,E$1:E3886,1,FALSE()))),"OLD",IF(AND(E3887&lt;&gt;"",E3887&lt;&gt;"!!!"),"NEW","")))</f>
        <v> </v>
      </c>
      <c r="G3887" s="23" t="str">
        <f>IF(OR(E3887="",E3887="!!!"),"",IF(OR(J3887=0,AND(J3887=1,K3887=1),AND(J3887=1,I3887="SBJ"),AND(J3887=1,I3887=0)),"?IN_FOCUS",IF(J3887&lt;=2,"?ACTIVATED",IF(J3887&lt;&gt;"","?FAMILIAR",IF(F3887="NEW",IF(ISNA(VLOOKUP(E3887,#REF!,1,FALSE())),"?TYPE_IDENTIFIABLE","?REFERENTIAL"),"_")))))</f>
        <v> </v>
      </c>
      <c r="H3887" s="24" t="str">
        <f>IF(J3887&lt;&gt;1,"",IF(I3887="SBJ","CB","?"))</f>
        <v> </v>
      </c>
      <c r="I3887" s="25" t="str">
        <f>IF(OR(E3887="",E3887="!!!",F3887="NEW"),"",INDEX(B3886:B$2,-1+SUMPRODUCT(MAX(ROW(E3886:E$2)*(E3887=E3886:E$2)))))</f>
        <v> </v>
      </c>
      <c r="J3887" s="25" t="str">
        <f>IF(OR(E3887="",E3887="!!!",F3887="NEW"),"",COUNTBLANK(OFFSET(A$1,,,SUMPRODUCT(MAX(ROW(E$2:E3887)*(E3887=E$2:E3887)))))-COUNTBLANK(OFFSET(A$1,,,SUMPRODUCT(MAX(ROW(E$1:E3886)*(E2=E$1:E3886))))))</f>
        <v> </v>
      </c>
      <c r="K3887" s="25" t="str">
        <f>IF(OR(E3887="",E3887="!!!",F3887="NEW"),"",INDEX(J$1:J3886,SUMPRODUCT(MAX(ROW(E$1:E3886)*(E3887=E$1:E3886)))))</f>
        <v> </v>
      </c>
      <c r="L3887" s="26"/>
    </row>
    <row r="3888" spans="1:12">
      <c r="A3888" s="20" t="s">
        <v>1123</v>
      </c>
      <c r="E3888" s="21">
        <f>IF(D3888="?OLD","!!!","")</f>
        <v/>
      </c>
      <c r="F3888" s="22" t="str">
        <f>IF(OR(E3888="",E3888="!!!"),"",IF(NOT(ISNA(VLOOKUP(E3888,E$1:E3887,1,FALSE()))),"OLD",IF(AND(E3888&lt;&gt;"",E3888&lt;&gt;"!!!"),"NEW","")))</f>
        <v> </v>
      </c>
      <c r="G3888" s="23" t="str">
        <f>IF(OR(E3888="",E3888="!!!"),"",IF(OR(J3888=0,AND(J3888=1,K3888=1),AND(J3888=1,I3888="SBJ"),AND(J3888=1,I3888=0)),"?IN_FOCUS",IF(J3888&lt;=2,"?ACTIVATED",IF(J3888&lt;&gt;"","?FAMILIAR",IF(F3888="NEW",IF(ISNA(VLOOKUP(E3888,#REF!,1,FALSE())),"?TYPE_IDENTIFIABLE","?REFERENTIAL"),"_")))))</f>
        <v> </v>
      </c>
      <c r="H3888" s="24" t="str">
        <f>IF(J3888&lt;&gt;1,"",IF(I3888="SBJ","CB","?"))</f>
        <v> </v>
      </c>
      <c r="I3888" s="25" t="str">
        <f>IF(OR(E3888="",E3888="!!!",F3888="NEW"),"",INDEX(B3887:B$2,-1+SUMPRODUCT(MAX(ROW(E3887:E$2)*(E3888=E3887:E$2)))))</f>
        <v> </v>
      </c>
      <c r="J3888" s="25" t="str">
        <f>IF(OR(E3888="",E3888="!!!",F3888="NEW"),"",COUNTBLANK(OFFSET(A$1,,,SUMPRODUCT(MAX(ROW(E$2:E3888)*(E3888=E$2:E3888)))))-COUNTBLANK(OFFSET(A$1,,,SUMPRODUCT(MAX(ROW(E$1:E3887)*(E2=E$1:E3887))))))</f>
        <v> </v>
      </c>
      <c r="K3888" s="25" t="str">
        <f>IF(OR(E3888="",E3888="!!!",F3888="NEW"),"",INDEX(J$1:J3887,SUMPRODUCT(MAX(ROW(E$1:E3887)*(E3888=E$1:E3887)))))</f>
        <v> </v>
      </c>
      <c r="L3888" s="26"/>
    </row>
    <row r="3889" spans="1:12">
      <c r="A3889" s="20" t="s">
        <v>2848</v>
      </c>
      <c r="E3889" s="21">
        <f>IF(D3889="?OLD","!!!","")</f>
        <v/>
      </c>
      <c r="F3889" s="22" t="str">
        <f>IF(OR(E3889="",E3889="!!!"),"",IF(NOT(ISNA(VLOOKUP(E3889,E$1:E3888,1,FALSE()))),"OLD",IF(AND(E3889&lt;&gt;"",E3889&lt;&gt;"!!!"),"NEW","")))</f>
        <v> </v>
      </c>
      <c r="G3889" s="23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4" t="str">
        <f>IF(J3889&lt;&gt;1,"",IF(I3889="SBJ","CB","?"))</f>
        <v> </v>
      </c>
      <c r="I3889" s="25" t="str">
        <f>IF(OR(E3889="",E3889="!!!",F3889="NEW"),"",INDEX(B3888:B$2,-1+SUMPRODUCT(MAX(ROW(E3888:E$2)*(E3889=E3888:E$2)))))</f>
        <v> </v>
      </c>
      <c r="J3889" s="25" t="str">
        <f>IF(OR(E3889="",E3889="!!!",F3889="NEW"),"",COUNTBLANK(OFFSET(A$1,,,SUMPRODUCT(MAX(ROW(E$2:E3889)*(E3889=E$2:E3889)))))-COUNTBLANK(OFFSET(A$1,,,SUMPRODUCT(MAX(ROW(E$1:E3888)*(E2=E$1:E3888))))))</f>
        <v> </v>
      </c>
      <c r="K3889" s="25" t="str">
        <f>IF(OR(E3889="",E3889="!!!",F3889="NEW"),"",INDEX(J$1:J3888,SUMPRODUCT(MAX(ROW(E$1:E3888)*(E3889=E$1:E3888)))))</f>
        <v> </v>
      </c>
      <c r="L3889" s="26"/>
    </row>
    <row r="3890" spans="1:12">
      <c r="A3890" s="20" t="s">
        <v>2849</v>
      </c>
      <c r="E3890" s="21">
        <f>IF(D3890="?OLD","!!!","")</f>
        <v/>
      </c>
      <c r="F3890" s="22" t="str">
        <f>IF(OR(E3890="",E3890="!!!"),"",IF(NOT(ISNA(VLOOKUP(E3890,E$1:E3889,1,FALSE()))),"OLD",IF(AND(E3890&lt;&gt;"",E3890&lt;&gt;"!!!"),"NEW","")))</f>
        <v> </v>
      </c>
      <c r="G3890" s="23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4" t="str">
        <f>IF(J3890&lt;&gt;1,"",IF(I3890="SBJ","CB","?"))</f>
        <v> </v>
      </c>
      <c r="I3890" s="25" t="str">
        <f>IF(OR(E3890="",E3890="!!!",F3890="NEW"),"",INDEX(B3889:B$2,-1+SUMPRODUCT(MAX(ROW(E3889:E$2)*(E3890=E3889:E$2)))))</f>
        <v> </v>
      </c>
      <c r="J3890" s="25" t="str">
        <f>IF(OR(E3890="",E3890="!!!",F3890="NEW"),"",COUNTBLANK(OFFSET(A$1,,,SUMPRODUCT(MAX(ROW(E$2:E3890)*(E3890=E$2:E3890)))))-COUNTBLANK(OFFSET(A$1,,,SUMPRODUCT(MAX(ROW(E$1:E3889)*(E2=E$1:E3889))))))</f>
        <v> </v>
      </c>
      <c r="K3890" s="25" t="str">
        <f>IF(OR(E3890="",E3890="!!!",F3890="NEW"),"",INDEX(J$1:J3889,SUMPRODUCT(MAX(ROW(E$1:E3889)*(E3890=E$1:E3889)))))</f>
        <v> </v>
      </c>
      <c r="L3890" s="26"/>
    </row>
    <row r="3891" spans="1:12">
      <c r="A3891" s="20" t="s">
        <v>2850</v>
      </c>
      <c r="E3891" s="21">
        <f>IF(D3891="?OLD","!!!","")</f>
        <v/>
      </c>
      <c r="F3891" s="22" t="str">
        <f>IF(OR(E3891="",E3891="!!!"),"",IF(NOT(ISNA(VLOOKUP(E3891,E$1:E3890,1,FALSE()))),"OLD",IF(AND(E3891&lt;&gt;"",E3891&lt;&gt;"!!!"),"NEW","")))</f>
        <v> </v>
      </c>
      <c r="G3891" s="23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4" t="str">
        <f>IF(J3891&lt;&gt;1,"",IF(I3891="SBJ","CB","?"))</f>
        <v> </v>
      </c>
      <c r="I3891" s="25" t="str">
        <f>IF(OR(E3891="",E3891="!!!",F3891="NEW"),"",INDEX(B3890:B$2,-1+SUMPRODUCT(MAX(ROW(E3890:E$2)*(E3891=E3890:E$2)))))</f>
        <v> </v>
      </c>
      <c r="J3891" s="25" t="str">
        <f>IF(OR(E3891="",E3891="!!!",F3891="NEW"),"",COUNTBLANK(OFFSET(A$1,,,SUMPRODUCT(MAX(ROW(E$2:E3891)*(E3891=E$2:E3891)))))-COUNTBLANK(OFFSET(A$1,,,SUMPRODUCT(MAX(ROW(E$1:E3890)*(E2=E$1:E3890))))))</f>
        <v> </v>
      </c>
      <c r="K3891" s="25" t="str">
        <f>IF(OR(E3891="",E3891="!!!",F3891="NEW"),"",INDEX(J$1:J3890,SUMPRODUCT(MAX(ROW(E$1:E3890)*(E3891=E$1:E3890)))))</f>
        <v> </v>
      </c>
      <c r="L3891" s="26"/>
    </row>
    <row r="3892" spans="1:12">
      <c r="A3892" s="20" t="s">
        <v>1123</v>
      </c>
      <c r="E3892" s="21">
        <f>IF(D3892="?OLD","!!!","")</f>
        <v/>
      </c>
      <c r="F3892" s="22" t="str">
        <f>IF(OR(E3892="",E3892="!!!"),"",IF(NOT(ISNA(VLOOKUP(E3892,E$1:E3891,1,FALSE()))),"OLD",IF(AND(E3892&lt;&gt;"",E3892&lt;&gt;"!!!"),"NEW","")))</f>
        <v> </v>
      </c>
      <c r="G3892" s="23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4" t="str">
        <f>IF(J3892&lt;&gt;1,"",IF(I3892="SBJ","CB","?"))</f>
        <v> </v>
      </c>
      <c r="I3892" s="25" t="str">
        <f>IF(OR(E3892="",E3892="!!!",F3892="NEW"),"",INDEX(B3891:B$2,-1+SUMPRODUCT(MAX(ROW(E3891:E$2)*(E3892=E3891:E$2)))))</f>
        <v> </v>
      </c>
      <c r="J3892" s="25" t="str">
        <f>IF(OR(E3892="",E3892="!!!",F3892="NEW"),"",COUNTBLANK(OFFSET(A$1,,,SUMPRODUCT(MAX(ROW(E$2:E3892)*(E3892=E$2:E3892)))))-COUNTBLANK(OFFSET(A$1,,,SUMPRODUCT(MAX(ROW(E$1:E3891)*(E2=E$1:E3891))))))</f>
        <v> </v>
      </c>
      <c r="K3892" s="25" t="str">
        <f>IF(OR(E3892="",E3892="!!!",F3892="NEW"),"",INDEX(J$1:J3891,SUMPRODUCT(MAX(ROW(E$1:E3891)*(E3892=E$1:E3891)))))</f>
        <v> </v>
      </c>
      <c r="L3892" s="26"/>
    </row>
    <row r="3893" spans="1:12">
      <c r="A3893" s="20" t="s">
        <v>2851</v>
      </c>
      <c r="E3893" s="21">
        <f>IF(D3893="?OLD","!!!","")</f>
        <v/>
      </c>
      <c r="F3893" s="22" t="str">
        <f>IF(OR(E3893="",E3893="!!!"),"",IF(NOT(ISNA(VLOOKUP(E3893,E$1:E3892,1,FALSE()))),"OLD",IF(AND(E3893&lt;&gt;"",E3893&lt;&gt;"!!!"),"NEW","")))</f>
        <v> </v>
      </c>
      <c r="G3893" s="23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4" t="str">
        <f>IF(J3893&lt;&gt;1,"",IF(I3893="SBJ","CB","?"))</f>
        <v> </v>
      </c>
      <c r="I3893" s="25" t="str">
        <f>IF(OR(E3893="",E3893="!!!",F3893="NEW"),"",INDEX(B3892:B$2,-1+SUMPRODUCT(MAX(ROW(E3892:E$2)*(E3893=E3892:E$2)))))</f>
        <v> </v>
      </c>
      <c r="J3893" s="25" t="str">
        <f>IF(OR(E3893="",E3893="!!!",F3893="NEW"),"",COUNTBLANK(OFFSET(A$1,,,SUMPRODUCT(MAX(ROW(E$2:E3893)*(E3893=E$2:E3893)))))-COUNTBLANK(OFFSET(A$1,,,SUMPRODUCT(MAX(ROW(E$1:E3892)*(E2=E$1:E3892))))))</f>
        <v> </v>
      </c>
      <c r="K3893" s="25" t="str">
        <f>IF(OR(E3893="",E3893="!!!",F3893="NEW"),"",INDEX(J$1:J3892,SUMPRODUCT(MAX(ROW(E$1:E3892)*(E3893=E$1:E3892)))))</f>
        <v> </v>
      </c>
      <c r="L3893" s="26"/>
    </row>
    <row r="3894" spans="1:12">
      <c r="A3894" s="20" t="s">
        <v>2852</v>
      </c>
      <c r="B3894" s="27" t="s">
        <v>1149</v>
      </c>
      <c r="C3894" s="27" t="s">
        <v>1133</v>
      </c>
      <c r="E3894" s="21">
        <f>IF(D3894="?OLD","!!!","")</f>
        <v/>
      </c>
      <c r="F3894" s="22" t="str">
        <f>IF(OR(E3894="",E3894="!!!"),"",IF(NOT(ISNA(VLOOKUP(E3894,E$1:E3893,1,FALSE()))),"OLD",IF(AND(E3894&lt;&gt;"",E3894&lt;&gt;"!!!"),"NEW","")))</f>
        <v> </v>
      </c>
      <c r="G3894" s="23" t="str">
        <f>IF(OR(E3894="",E3894="!!!"),"",IF(OR(J3894=0,AND(J3894=1,K3894=1),AND(J3894=1,I3894="SBJ"),AND(J3894=1,I3894=0)),"?IN_FOCUS",IF(J3894&lt;=2,"?ACTIVATED",IF(J3894&lt;&gt;"","?FAMILIAR",IF(F3894="NEW",IF(ISNA(VLOOKUP(E3894,#REF!,1,FALSE())),"?TYPE_IDENTIFIABLE","?REFERENTIAL"),"_")))))</f>
        <v> </v>
      </c>
      <c r="H3894" s="24" t="str">
        <f>IF(J3894&lt;&gt;1,"",IF(I3894="SBJ","CB","?"))</f>
        <v> </v>
      </c>
      <c r="I3894" s="25" t="str">
        <f>IF(OR(E3894="",E3894="!!!",F3894="NEW"),"",INDEX(B3893:B$2,-1+SUMPRODUCT(MAX(ROW(E3893:E$2)*(E3894=E3893:E$2)))))</f>
        <v> </v>
      </c>
      <c r="J3894" s="25" t="str">
        <f>IF(OR(E3894="",E3894="!!!",F3894="NEW"),"",COUNTBLANK(OFFSET(A$1,,,SUMPRODUCT(MAX(ROW(E$2:E3894)*(E3894=E$2:E3894)))))-COUNTBLANK(OFFSET(A$1,,,SUMPRODUCT(MAX(ROW(E$1:E3893)*(E2=E$1:E3893))))))</f>
        <v> </v>
      </c>
      <c r="K3894" s="25" t="str">
        <f>IF(OR(E3894="",E3894="!!!",F3894="NEW"),"",INDEX(J$1:J3893,SUMPRODUCT(MAX(ROW(E$1:E3893)*(E3894=E$1:E3893)))))</f>
        <v> </v>
      </c>
      <c r="L3894" s="26"/>
    </row>
    <row r="3895" spans="1:12">
      <c r="A3895" s="20" t="s">
        <v>2853</v>
      </c>
      <c r="E3895" s="21">
        <f>IF(D3895="?OLD","!!!","")</f>
        <v/>
      </c>
      <c r="F3895" s="22" t="str">
        <f>IF(OR(E3895="",E3895="!!!"),"",IF(NOT(ISNA(VLOOKUP(E3895,E$1:E3894,1,FALSE()))),"OLD",IF(AND(E3895&lt;&gt;"",E3895&lt;&gt;"!!!"),"NEW","")))</f>
        <v> </v>
      </c>
      <c r="G3895" s="23" t="str">
        <f>IF(OR(E3895="",E3895="!!!"),"",IF(OR(J3895=0,AND(J3895=1,K3895=1),AND(J3895=1,I3895="SBJ"),AND(J3895=1,I3895=0)),"?IN_FOCUS",IF(J3895&lt;=2,"?ACTIVATED",IF(J3895&lt;&gt;"","?FAMILIAR",IF(F3895="NEW",IF(ISNA(VLOOKUP(E3895,#REF!,1,FALSE())),"?TYPE_IDENTIFIABLE","?REFERENTIAL"),"_")))))</f>
        <v> </v>
      </c>
      <c r="H3895" s="24" t="str">
        <f>IF(J3895&lt;&gt;1,"",IF(I3895="SBJ","CB","?"))</f>
        <v> </v>
      </c>
      <c r="I3895" s="25" t="str">
        <f>IF(OR(E3895="",E3895="!!!",F3895="NEW"),"",INDEX(B3894:B$2,-1+SUMPRODUCT(MAX(ROW(E3894:E$2)*(E3895=E3894:E$2)))))</f>
        <v> </v>
      </c>
      <c r="J3895" s="25" t="str">
        <f>IF(OR(E3895="",E3895="!!!",F3895="NEW"),"",COUNTBLANK(OFFSET(A$1,,,SUMPRODUCT(MAX(ROW(E$2:E3895)*(E3895=E$2:E3895)))))-COUNTBLANK(OFFSET(A$1,,,SUMPRODUCT(MAX(ROW(E$1:E3894)*(E2=E$1:E3894))))))</f>
        <v> </v>
      </c>
      <c r="K3895" s="25" t="str">
        <f>IF(OR(E3895="",E3895="!!!",F3895="NEW"),"",INDEX(J$1:J3894,SUMPRODUCT(MAX(ROW(E$1:E3894)*(E3895=E$1:E3894)))))</f>
        <v> </v>
      </c>
      <c r="L3895" s="26"/>
    </row>
    <row r="3896" spans="1:12">
      <c r="A3896" s="20" t="s">
        <v>1145</v>
      </c>
      <c r="E3896" s="21">
        <f>IF(D3896="?OLD","!!!","")</f>
        <v/>
      </c>
      <c r="F3896" s="22" t="str">
        <f>IF(OR(E3896="",E3896="!!!"),"",IF(NOT(ISNA(VLOOKUP(E3896,E$1:E3895,1,FALSE()))),"OLD",IF(AND(E3896&lt;&gt;"",E3896&lt;&gt;"!!!"),"NEW","")))</f>
        <v> </v>
      </c>
      <c r="G3896" s="23" t="str">
        <f>IF(OR(E3896="",E3896="!!!"),"",IF(OR(J3896=0,AND(J3896=1,K3896=1),AND(J3896=1,I3896="SBJ"),AND(J3896=1,I3896=0)),"?IN_FOCUS",IF(J3896&lt;=2,"?ACTIVATED",IF(J3896&lt;&gt;"","?FAMILIAR",IF(F3896="NEW",IF(ISNA(VLOOKUP(E3896,#REF!,1,FALSE())),"?TYPE_IDENTIFIABLE","?REFERENTIAL"),"_")))))</f>
        <v> </v>
      </c>
      <c r="H3896" s="24" t="str">
        <f>IF(J3896&lt;&gt;1,"",IF(I3896="SBJ","CB","?"))</f>
        <v> </v>
      </c>
      <c r="I3896" s="25" t="str">
        <f>IF(OR(E3896="",E3896="!!!",F3896="NEW"),"",INDEX(B3895:B$2,-1+SUMPRODUCT(MAX(ROW(E3895:E$2)*(E3896=E3895:E$2)))))</f>
        <v> </v>
      </c>
      <c r="J3896" s="25" t="str">
        <f>IF(OR(E3896="",E3896="!!!",F3896="NEW"),"",COUNTBLANK(OFFSET(A$1,,,SUMPRODUCT(MAX(ROW(E$2:E3896)*(E3896=E$2:E3896)))))-COUNTBLANK(OFFSET(A$1,,,SUMPRODUCT(MAX(ROW(E$1:E3895)*(E2=E$1:E3895))))))</f>
        <v> </v>
      </c>
      <c r="K3896" s="25" t="str">
        <f>IF(OR(E3896="",E3896="!!!",F3896="NEW"),"",INDEX(J$1:J3895,SUMPRODUCT(MAX(ROW(E$1:E3895)*(E3896=E$1:E3895)))))</f>
        <v> </v>
      </c>
      <c r="L3896" s="26"/>
    </row>
    <row r="3897" spans="1:12">
      <c r="A3897" s="20"/>
    </row>
    <row r="3898" spans="1:12">
      <c r="A3898" s="20" t="s">
        <v>2854</v>
      </c>
    </row>
    <row r="3899" spans="1:12">
      <c r="A3899" s="20" t="s">
        <v>2855</v>
      </c>
      <c r="E3899" s="21">
        <f>IF(D3899="?OLD","!!!","")</f>
        <v/>
      </c>
      <c r="F3899" s="22" t="str">
        <f>IF(OR(E3899="",E3899="!!!"),"",IF(NOT(ISNA(VLOOKUP(E3899,E$1:E3898,1,FALSE()))),"OLD",IF(AND(E3899&lt;&gt;"",E3899&lt;&gt;"!!!"),"NEW","")))</f>
        <v> </v>
      </c>
      <c r="G3899" s="23" t="str">
        <f>IF(OR(E3899="",E3899="!!!"),"",IF(OR(J3899=0,AND(J3899=1,K3899=1),AND(J3899=1,I3899="SBJ"),AND(J3899=1,I3899=0)),"?IN_FOCUS",IF(J3899&lt;=2,"?ACTIVATED",IF(J3899&lt;&gt;"","?FAMILIAR",IF(F3899="NEW",IF(ISNA(VLOOKUP(E3899,#REF!,1,FALSE())),"?TYPE_IDENTIFIABLE","?REFERENTIAL"),"_")))))</f>
        <v> </v>
      </c>
      <c r="H3899" s="24" t="str">
        <f>IF(J3899&lt;&gt;1,"",IF(I3899="SBJ","CB","?"))</f>
        <v> </v>
      </c>
      <c r="I3899" s="25" t="str">
        <f>IF(OR(E3899="",E3899="!!!",F3899="NEW"),"",INDEX(B3898:B$2,-1+SUMPRODUCT(MAX(ROW(E3898:E$2)*(E3899=E3898:E$2)))))</f>
        <v> </v>
      </c>
      <c r="J3899" s="25" t="str">
        <f>IF(OR(E3899="",E3899="!!!",F3899="NEW"),"",COUNTBLANK(OFFSET(A$1,,,SUMPRODUCT(MAX(ROW(E$2:E3899)*(E3899=E$2:E3899)))))-COUNTBLANK(OFFSET(A$1,,,SUMPRODUCT(MAX(ROW(E$1:E3898)*(E2=E$1:E3898))))))</f>
        <v> </v>
      </c>
      <c r="K3899" s="25" t="str">
        <f>IF(OR(E3899="",E3899="!!!",F3899="NEW"),"",INDEX(J$1:J3898,SUMPRODUCT(MAX(ROW(E$1:E3898)*(E3899=E$1:E3898)))))</f>
        <v> </v>
      </c>
      <c r="L3899" s="26"/>
    </row>
    <row r="3900" spans="1:12">
      <c r="A3900" s="20" t="s">
        <v>1470</v>
      </c>
      <c r="E3900" s="21">
        <f>IF(D3900="?OLD","!!!","")</f>
        <v/>
      </c>
      <c r="F3900" s="22" t="str">
        <f>IF(OR(E3900="",E3900="!!!"),"",IF(NOT(ISNA(VLOOKUP(E3900,E$1:E3899,1,FALSE()))),"OLD",IF(AND(E3900&lt;&gt;"",E3900&lt;&gt;"!!!"),"NEW","")))</f>
        <v> </v>
      </c>
      <c r="G3900" s="23" t="str">
        <f>IF(OR(E3900="",E3900="!!!"),"",IF(OR(J3900=0,AND(J3900=1,K3900=1),AND(J3900=1,I3900="SBJ"),AND(J3900=1,I3900=0)),"?IN_FOCUS",IF(J3900&lt;=2,"?ACTIVATED",IF(J3900&lt;&gt;"","?FAMILIAR",IF(F3900="NEW",IF(ISNA(VLOOKUP(E3900,#REF!,1,FALSE())),"?TYPE_IDENTIFIABLE","?REFERENTIAL"),"_")))))</f>
        <v> </v>
      </c>
      <c r="H3900" s="24" t="str">
        <f>IF(J3900&lt;&gt;1,"",IF(I3900="SBJ","CB","?"))</f>
        <v> </v>
      </c>
      <c r="I3900" s="25" t="str">
        <f>IF(OR(E3900="",E3900="!!!",F3900="NEW"),"",INDEX(B3899:B$2,-1+SUMPRODUCT(MAX(ROW(E3899:E$2)*(E3900=E3899:E$2)))))</f>
        <v> </v>
      </c>
      <c r="J3900" s="25" t="str">
        <f>IF(OR(E3900="",E3900="!!!",F3900="NEW"),"",COUNTBLANK(OFFSET(A$1,,,SUMPRODUCT(MAX(ROW(E$2:E3900)*(E3900=E$2:E3900)))))-COUNTBLANK(OFFSET(A$1,,,SUMPRODUCT(MAX(ROW(E$1:E3899)*(E2=E$1:E3899))))))</f>
        <v> </v>
      </c>
      <c r="K3900" s="25" t="str">
        <f>IF(OR(E3900="",E3900="!!!",F3900="NEW"),"",INDEX(J$1:J3899,SUMPRODUCT(MAX(ROW(E$1:E3899)*(E3900=E$1:E3899)))))</f>
        <v> </v>
      </c>
      <c r="L3900" s="26"/>
    </row>
    <row r="3901" spans="1:12">
      <c r="A3901" s="20" t="s">
        <v>1145</v>
      </c>
      <c r="E3901" s="21">
        <f>IF(D3901="?OLD","!!!","")</f>
        <v/>
      </c>
      <c r="F3901" s="22" t="str">
        <f>IF(OR(E3901="",E3901="!!!"),"",IF(NOT(ISNA(VLOOKUP(E3901,E$1:E3900,1,FALSE()))),"OLD",IF(AND(E3901&lt;&gt;"",E3901&lt;&gt;"!!!"),"NEW","")))</f>
        <v> </v>
      </c>
      <c r="G3901" s="23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4" t="str">
        <f>IF(J3901&lt;&gt;1,"",IF(I3901="SBJ","CB","?"))</f>
        <v> </v>
      </c>
      <c r="I3901" s="25" t="str">
        <f>IF(OR(E3901="",E3901="!!!",F3901="NEW"),"",INDEX(B3900:B$2,-1+SUMPRODUCT(MAX(ROW(E3900:E$2)*(E3901=E3900:E$2)))))</f>
        <v> </v>
      </c>
      <c r="J3901" s="25" t="str">
        <f>IF(OR(E3901="",E3901="!!!",F3901="NEW"),"",COUNTBLANK(OFFSET(A$1,,,SUMPRODUCT(MAX(ROW(E$2:E3901)*(E3901=E$2:E3901)))))-COUNTBLANK(OFFSET(A$1,,,SUMPRODUCT(MAX(ROW(E$1:E3900)*(E2=E$1:E3900))))))</f>
        <v> </v>
      </c>
      <c r="K3901" s="25" t="str">
        <f>IF(OR(E3901="",E3901="!!!",F3901="NEW"),"",INDEX(J$1:J3900,SUMPRODUCT(MAX(ROW(E$1:E3900)*(E3901=E$1:E3900)))))</f>
        <v> </v>
      </c>
      <c r="L3901" s="26"/>
    </row>
    <row r="3902" spans="1:12">
      <c r="A3902" s="20"/>
    </row>
    <row r="3903" spans="1:12">
      <c r="A3903" s="20" t="s">
        <v>2856</v>
      </c>
    </row>
    <row r="3904" spans="1:12">
      <c r="A3904" s="20" t="s">
        <v>1225</v>
      </c>
      <c r="B3904" s="27" t="s">
        <v>1149</v>
      </c>
      <c r="C3904" s="27" t="s">
        <v>1108</v>
      </c>
      <c r="D3904" s="27" t="s">
        <v>1105</v>
      </c>
      <c r="E3904" s="21">
        <f>IF(D3904="?OLD","!!!","")</f>
        <v/>
      </c>
      <c r="F3904" s="22" t="str">
        <f>IF(OR(E3904="",E3904="!!!"),"",IF(NOT(ISNA(VLOOKUP(E3904,E$1:E3903,1,FALSE()))),"OLD",IF(AND(E3904&lt;&gt;"",E3904&lt;&gt;"!!!"),"NEW","")))</f>
        <v> </v>
      </c>
      <c r="G3904" s="23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4" t="str">
        <f>IF(J3904&lt;&gt;1,"",IF(I3904="SBJ","CB","?"))</f>
        <v> </v>
      </c>
      <c r="I3904" s="25" t="str">
        <f>IF(OR(E3904="",E3904="!!!",F3904="NEW"),"",INDEX(B3903:B$2,-1+SUMPRODUCT(MAX(ROW(E3903:E$2)*(E3904=E3903:E$2)))))</f>
        <v> </v>
      </c>
      <c r="J3904" s="25" t="str">
        <f>IF(OR(E3904="",E3904="!!!",F3904="NEW"),"",COUNTBLANK(OFFSET(A$1,,,SUMPRODUCT(MAX(ROW(E$2:E3904)*(E3904=E$2:E3904)))))-COUNTBLANK(OFFSET(A$1,,,SUMPRODUCT(MAX(ROW(E$1:E3903)*(E2=E$1:E3903))))))</f>
        <v> </v>
      </c>
      <c r="K3904" s="25" t="str">
        <f>IF(OR(E3904="",E3904="!!!",F3904="NEW"),"",INDEX(J$1:J3903,SUMPRODUCT(MAX(ROW(E$1:E3903)*(E3904=E$1:E3903)))))</f>
        <v> </v>
      </c>
      <c r="L3904" s="26"/>
    </row>
    <row r="3905" spans="1:12">
      <c r="A3905" s="20" t="s">
        <v>1926</v>
      </c>
      <c r="E3905" s="21">
        <f>IF(D3905="?OLD","!!!","")</f>
        <v/>
      </c>
      <c r="F3905" s="22" t="str">
        <f>IF(OR(E3905="",E3905="!!!"),"",IF(NOT(ISNA(VLOOKUP(E3905,E$1:E3904,1,FALSE()))),"OLD",IF(AND(E3905&lt;&gt;"",E3905&lt;&gt;"!!!"),"NEW","")))</f>
        <v> </v>
      </c>
      <c r="G3905" s="23" t="str">
        <f>IF(OR(E3905="",E3905="!!!"),"",IF(OR(J3905=0,AND(J3905=1,K3905=1),AND(J3905=1,I3905="SBJ"),AND(J3905=1,I3905=0)),"?IN_FOCUS",IF(J3905&lt;=2,"?ACTIVATED",IF(J3905&lt;&gt;"","?FAMILIAR",IF(F3905="NEW",IF(ISNA(VLOOKUP(E3905,#REF!,1,FALSE())),"?TYPE_IDENTIFIABLE","?REFERENTIAL"),"_")))))</f>
        <v> </v>
      </c>
      <c r="H3905" s="24" t="str">
        <f>IF(J3905&lt;&gt;1,"",IF(I3905="SBJ","CB","?"))</f>
        <v> </v>
      </c>
      <c r="I3905" s="25" t="str">
        <f>IF(OR(E3905="",E3905="!!!",F3905="NEW"),"",INDEX(B3904:B$2,-1+SUMPRODUCT(MAX(ROW(E3904:E$2)*(E3905=E3904:E$2)))))</f>
        <v> </v>
      </c>
      <c r="J3905" s="25" t="str">
        <f>IF(OR(E3905="",E3905="!!!",F3905="NEW"),"",COUNTBLANK(OFFSET(A$1,,,SUMPRODUCT(MAX(ROW(E$2:E3905)*(E3905=E$2:E3905)))))-COUNTBLANK(OFFSET(A$1,,,SUMPRODUCT(MAX(ROW(E$1:E3904)*(E2=E$1:E3904))))))</f>
        <v> </v>
      </c>
      <c r="K3905" s="25" t="str">
        <f>IF(OR(E3905="",E3905="!!!",F3905="NEW"),"",INDEX(J$1:J3904,SUMPRODUCT(MAX(ROW(E$1:E3904)*(E3905=E$1:E3904)))))</f>
        <v> </v>
      </c>
      <c r="L3905" s="26"/>
    </row>
    <row r="3906" spans="1:12">
      <c r="A3906" s="20" t="s">
        <v>2857</v>
      </c>
      <c r="E3906" s="21">
        <f>IF(D3906="?OLD","!!!","")</f>
        <v/>
      </c>
      <c r="F3906" s="22" t="str">
        <f>IF(OR(E3906="",E3906="!!!"),"",IF(NOT(ISNA(VLOOKUP(E3906,E$1:E3905,1,FALSE()))),"OLD",IF(AND(E3906&lt;&gt;"",E3906&lt;&gt;"!!!"),"NEW","")))</f>
        <v> </v>
      </c>
      <c r="G3906" s="23" t="str">
        <f>IF(OR(E3906="",E3906="!!!"),"",IF(OR(J3906=0,AND(J3906=1,K3906=1),AND(J3906=1,I3906="SBJ"),AND(J3906=1,I3906=0)),"?IN_FOCUS",IF(J3906&lt;=2,"?ACTIVATED",IF(J3906&lt;&gt;"","?FAMILIAR",IF(F3906="NEW",IF(ISNA(VLOOKUP(E3906,#REF!,1,FALSE())),"?TYPE_IDENTIFIABLE","?REFERENTIAL"),"_")))))</f>
        <v> </v>
      </c>
      <c r="H3906" s="24" t="str">
        <f>IF(J3906&lt;&gt;1,"",IF(I3906="SBJ","CB","?"))</f>
        <v> </v>
      </c>
      <c r="I3906" s="25" t="str">
        <f>IF(OR(E3906="",E3906="!!!",F3906="NEW"),"",INDEX(B3905:B$2,-1+SUMPRODUCT(MAX(ROW(E3905:E$2)*(E3906=E3905:E$2)))))</f>
        <v> </v>
      </c>
      <c r="J3906" s="25" t="str">
        <f>IF(OR(E3906="",E3906="!!!",F3906="NEW"),"",COUNTBLANK(OFFSET(A$1,,,SUMPRODUCT(MAX(ROW(E$2:E3906)*(E3906=E$2:E3906)))))-COUNTBLANK(OFFSET(A$1,,,SUMPRODUCT(MAX(ROW(E$1:E3905)*(E2=E$1:E3905))))))</f>
        <v> </v>
      </c>
      <c r="K3906" s="25" t="str">
        <f>IF(OR(E3906="",E3906="!!!",F3906="NEW"),"",INDEX(J$1:J3905,SUMPRODUCT(MAX(ROW(E$1:E3905)*(E3906=E$1:E3905)))))</f>
        <v> </v>
      </c>
      <c r="L3906" s="26"/>
    </row>
    <row r="3907" spans="1:12">
      <c r="A3907" s="20" t="s">
        <v>1253</v>
      </c>
      <c r="E3907" s="21">
        <f>IF(D3907="?OLD","!!!","")</f>
        <v/>
      </c>
      <c r="F3907" s="22" t="str">
        <f>IF(OR(E3907="",E3907="!!!"),"",IF(NOT(ISNA(VLOOKUP(E3907,E$1:E3906,1,FALSE()))),"OLD",IF(AND(E3907&lt;&gt;"",E3907&lt;&gt;"!!!"),"NEW","")))</f>
        <v> </v>
      </c>
      <c r="G3907" s="23" t="str">
        <f>IF(OR(E3907="",E3907="!!!"),"",IF(OR(J3907=0,AND(J3907=1,K3907=1),AND(J3907=1,I3907="SBJ"),AND(J3907=1,I3907=0)),"?IN_FOCUS",IF(J3907&lt;=2,"?ACTIVATED",IF(J3907&lt;&gt;"","?FAMILIAR",IF(F3907="NEW",IF(ISNA(VLOOKUP(E3907,#REF!,1,FALSE())),"?TYPE_IDENTIFIABLE","?REFERENTIAL"),"_")))))</f>
        <v> </v>
      </c>
      <c r="H3907" s="24" t="str">
        <f>IF(J3907&lt;&gt;1,"",IF(I3907="SBJ","CB","?"))</f>
        <v> </v>
      </c>
      <c r="I3907" s="25" t="str">
        <f>IF(OR(E3907="",E3907="!!!",F3907="NEW"),"",INDEX(B3906:B$2,-1+SUMPRODUCT(MAX(ROW(E3906:E$2)*(E3907=E3906:E$2)))))</f>
        <v> </v>
      </c>
      <c r="J3907" s="25" t="str">
        <f>IF(OR(E3907="",E3907="!!!",F3907="NEW"),"",COUNTBLANK(OFFSET(A$1,,,SUMPRODUCT(MAX(ROW(E$2:E3907)*(E3907=E$2:E3907)))))-COUNTBLANK(OFFSET(A$1,,,SUMPRODUCT(MAX(ROW(E$1:E3906)*(E2=E$1:E3906))))))</f>
        <v> </v>
      </c>
      <c r="K3907" s="25" t="str">
        <f>IF(OR(E3907="",E3907="!!!",F3907="NEW"),"",INDEX(J$1:J3906,SUMPRODUCT(MAX(ROW(E$1:E3906)*(E3907=E$1:E3906)))))</f>
        <v> </v>
      </c>
      <c r="L3907" s="26"/>
    </row>
    <row r="3908" spans="1:12">
      <c r="A3908" s="20" t="s">
        <v>2858</v>
      </c>
      <c r="E3908" s="21">
        <f>IF(D3908="?OLD","!!!","")</f>
        <v/>
      </c>
      <c r="F3908" s="22" t="str">
        <f>IF(OR(E3908="",E3908="!!!"),"",IF(NOT(ISNA(VLOOKUP(E3908,E$1:E3907,1,FALSE()))),"OLD",IF(AND(E3908&lt;&gt;"",E3908&lt;&gt;"!!!"),"NEW","")))</f>
        <v> </v>
      </c>
      <c r="G3908" s="23" t="str">
        <f>IF(OR(E3908="",E3908="!!!"),"",IF(OR(J3908=0,AND(J3908=1,K3908=1),AND(J3908=1,I3908="SBJ"),AND(J3908=1,I3908=0)),"?IN_FOCUS",IF(J3908&lt;=2,"?ACTIVATED",IF(J3908&lt;&gt;"","?FAMILIAR",IF(F3908="NEW",IF(ISNA(VLOOKUP(E3908,#REF!,1,FALSE())),"?TYPE_IDENTIFIABLE","?REFERENTIAL"),"_")))))</f>
        <v> </v>
      </c>
      <c r="H3908" s="24" t="str">
        <f>IF(J3908&lt;&gt;1,"",IF(I3908="SBJ","CB","?"))</f>
        <v> </v>
      </c>
      <c r="I3908" s="25" t="str">
        <f>IF(OR(E3908="",E3908="!!!",F3908="NEW"),"",INDEX(B3907:B$2,-1+SUMPRODUCT(MAX(ROW(E3907:E$2)*(E3908=E3907:E$2)))))</f>
        <v> </v>
      </c>
      <c r="J3908" s="25" t="str">
        <f>IF(OR(E3908="",E3908="!!!",F3908="NEW"),"",COUNTBLANK(OFFSET(A$1,,,SUMPRODUCT(MAX(ROW(E$2:E3908)*(E3908=E$2:E3908)))))-COUNTBLANK(OFFSET(A$1,,,SUMPRODUCT(MAX(ROW(E$1:E3907)*(E2=E$1:E3907))))))</f>
        <v> </v>
      </c>
      <c r="K3908" s="25" t="str">
        <f>IF(OR(E3908="",E3908="!!!",F3908="NEW"),"",INDEX(J$1:J3907,SUMPRODUCT(MAX(ROW(E$1:E3907)*(E3908=E$1:E3907)))))</f>
        <v> </v>
      </c>
      <c r="L3908" s="26"/>
    </row>
    <row r="3909" spans="1:12">
      <c r="A3909" s="20" t="s">
        <v>1184</v>
      </c>
      <c r="E3909" s="21">
        <f>IF(D3909="?OLD","!!!","")</f>
        <v/>
      </c>
      <c r="F3909" s="22" t="str">
        <f>IF(OR(E3909="",E3909="!!!"),"",IF(NOT(ISNA(VLOOKUP(E3909,E$1:E3908,1,FALSE()))),"OLD",IF(AND(E3909&lt;&gt;"",E3909&lt;&gt;"!!!"),"NEW","")))</f>
        <v> </v>
      </c>
      <c r="G3909" s="23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4" t="str">
        <f>IF(J3909&lt;&gt;1,"",IF(I3909="SBJ","CB","?"))</f>
        <v> </v>
      </c>
      <c r="I3909" s="25" t="str">
        <f>IF(OR(E3909="",E3909="!!!",F3909="NEW"),"",INDEX(B3908:B$2,-1+SUMPRODUCT(MAX(ROW(E3908:E$2)*(E3909=E3908:E$2)))))</f>
        <v> </v>
      </c>
      <c r="J3909" s="25" t="str">
        <f>IF(OR(E3909="",E3909="!!!",F3909="NEW"),"",COUNTBLANK(OFFSET(A$1,,,SUMPRODUCT(MAX(ROW(E$2:E3909)*(E3909=E$2:E3909)))))-COUNTBLANK(OFFSET(A$1,,,SUMPRODUCT(MAX(ROW(E$1:E3908)*(E2=E$1:E3908))))))</f>
        <v> </v>
      </c>
      <c r="K3909" s="25" t="str">
        <f>IF(OR(E3909="",E3909="!!!",F3909="NEW"),"",INDEX(J$1:J3908,SUMPRODUCT(MAX(ROW(E$1:E3908)*(E3909=E$1:E3908)))))</f>
        <v> </v>
      </c>
      <c r="L3909" s="26"/>
    </row>
    <row r="3910" spans="1:12">
      <c r="A3910" s="20" t="s">
        <v>2859</v>
      </c>
      <c r="E3910" s="21">
        <f>IF(D3910="?OLD","!!!","")</f>
        <v/>
      </c>
      <c r="F3910" s="22" t="str">
        <f>IF(OR(E3910="",E3910="!!!"),"",IF(NOT(ISNA(VLOOKUP(E3910,E$1:E3909,1,FALSE()))),"OLD",IF(AND(E3910&lt;&gt;"",E3910&lt;&gt;"!!!"),"NEW","")))</f>
        <v> </v>
      </c>
      <c r="G3910" s="23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4" t="str">
        <f>IF(J3910&lt;&gt;1,"",IF(I3910="SBJ","CB","?"))</f>
        <v> </v>
      </c>
      <c r="I3910" s="25" t="str">
        <f>IF(OR(E3910="",E3910="!!!",F3910="NEW"),"",INDEX(B3909:B$2,-1+SUMPRODUCT(MAX(ROW(E3909:E$2)*(E3910=E3909:E$2)))))</f>
        <v> </v>
      </c>
      <c r="J3910" s="25" t="str">
        <f>IF(OR(E3910="",E3910="!!!",F3910="NEW"),"",COUNTBLANK(OFFSET(A$1,,,SUMPRODUCT(MAX(ROW(E$2:E3910)*(E3910=E$2:E3910)))))-COUNTBLANK(OFFSET(A$1,,,SUMPRODUCT(MAX(ROW(E$1:E3909)*(E2=E$1:E3909))))))</f>
        <v> </v>
      </c>
      <c r="K3910" s="25" t="str">
        <f>IF(OR(E3910="",E3910="!!!",F3910="NEW"),"",INDEX(J$1:J3909,SUMPRODUCT(MAX(ROW(E$1:E3909)*(E3910=E$1:E3909)))))</f>
        <v> </v>
      </c>
      <c r="L3910" s="26"/>
    </row>
    <row r="3911" spans="1:12">
      <c r="A3911" s="20" t="s">
        <v>1123</v>
      </c>
      <c r="E3911" s="21">
        <f>IF(D3911="?OLD","!!!","")</f>
        <v/>
      </c>
      <c r="F3911" s="22" t="str">
        <f>IF(OR(E3911="",E3911="!!!"),"",IF(NOT(ISNA(VLOOKUP(E3911,E$1:E3910,1,FALSE()))),"OLD",IF(AND(E3911&lt;&gt;"",E3911&lt;&gt;"!!!"),"NEW","")))</f>
        <v> </v>
      </c>
      <c r="G3911" s="23" t="str">
        <f>IF(OR(E3911="",E3911="!!!"),"",IF(OR(J3911=0,AND(J3911=1,K3911=1),AND(J3911=1,I3911="SBJ"),AND(J3911=1,I3911=0)),"?IN_FOCUS",IF(J3911&lt;=2,"?ACTIVATED",IF(J3911&lt;&gt;"","?FAMILIAR",IF(F3911="NEW",IF(ISNA(VLOOKUP(E3911,#REF!,1,FALSE())),"?TYPE_IDENTIFIABLE","?REFERENTIAL"),"_")))))</f>
        <v> </v>
      </c>
      <c r="H3911" s="24" t="str">
        <f>IF(J3911&lt;&gt;1,"",IF(I3911="SBJ","CB","?"))</f>
        <v> </v>
      </c>
      <c r="I3911" s="25" t="str">
        <f>IF(OR(E3911="",E3911="!!!",F3911="NEW"),"",INDEX(B3910:B$2,-1+SUMPRODUCT(MAX(ROW(E3910:E$2)*(E3911=E3910:E$2)))))</f>
        <v> </v>
      </c>
      <c r="J3911" s="25" t="str">
        <f>IF(OR(E3911="",E3911="!!!",F3911="NEW"),"",COUNTBLANK(OFFSET(A$1,,,SUMPRODUCT(MAX(ROW(E$2:E3911)*(E3911=E$2:E3911)))))-COUNTBLANK(OFFSET(A$1,,,SUMPRODUCT(MAX(ROW(E$1:E3910)*(E2=E$1:E3910))))))</f>
        <v> </v>
      </c>
      <c r="K3911" s="25" t="str">
        <f>IF(OR(E3911="",E3911="!!!",F3911="NEW"),"",INDEX(J$1:J3910,SUMPRODUCT(MAX(ROW(E$1:E3910)*(E3911=E$1:E3910)))))</f>
        <v> </v>
      </c>
      <c r="L3911" s="26"/>
    </row>
    <row r="3912" spans="1:12">
      <c r="A3912" s="20" t="s">
        <v>1128</v>
      </c>
      <c r="E3912" s="21">
        <f>IF(D3912="?OLD","!!!","")</f>
        <v/>
      </c>
      <c r="F3912" s="22" t="str">
        <f>IF(OR(E3912="",E3912="!!!"),"",IF(NOT(ISNA(VLOOKUP(E3912,E$1:E3911,1,FALSE()))),"OLD",IF(AND(E3912&lt;&gt;"",E3912&lt;&gt;"!!!"),"NEW","")))</f>
        <v> </v>
      </c>
      <c r="G3912" s="23" t="str">
        <f>IF(OR(E3912="",E3912="!!!"),"",IF(OR(J3912=0,AND(J3912=1,K3912=1),AND(J3912=1,I3912="SBJ"),AND(J3912=1,I3912=0)),"?IN_FOCUS",IF(J3912&lt;=2,"?ACTIVATED",IF(J3912&lt;&gt;"","?FAMILIAR",IF(F3912="NEW",IF(ISNA(VLOOKUP(E3912,#REF!,1,FALSE())),"?TYPE_IDENTIFIABLE","?REFERENTIAL"),"_")))))</f>
        <v> </v>
      </c>
      <c r="H3912" s="24" t="str">
        <f>IF(J3912&lt;&gt;1,"",IF(I3912="SBJ","CB","?"))</f>
        <v> </v>
      </c>
      <c r="I3912" s="25" t="str">
        <f>IF(OR(E3912="",E3912="!!!",F3912="NEW"),"",INDEX(B3911:B$2,-1+SUMPRODUCT(MAX(ROW(E3911:E$2)*(E3912=E3911:E$2)))))</f>
        <v> </v>
      </c>
      <c r="J3912" s="25" t="str">
        <f>IF(OR(E3912="",E3912="!!!",F3912="NEW"),"",COUNTBLANK(OFFSET(A$1,,,SUMPRODUCT(MAX(ROW(E$2:E3912)*(E3912=E$2:E3912)))))-COUNTBLANK(OFFSET(A$1,,,SUMPRODUCT(MAX(ROW(E$1:E3911)*(E2=E$1:E3911))))))</f>
        <v> </v>
      </c>
      <c r="K3912" s="25" t="str">
        <f>IF(OR(E3912="",E3912="!!!",F3912="NEW"),"",INDEX(J$1:J3911,SUMPRODUCT(MAX(ROW(E$1:E3911)*(E3912=E$1:E3911)))))</f>
        <v> </v>
      </c>
      <c r="L3912" s="26"/>
    </row>
    <row r="3913" spans="1:12">
      <c r="A3913" s="20" t="s">
        <v>1112</v>
      </c>
      <c r="E3913" s="21">
        <f>IF(D3913="?OLD","!!!","")</f>
        <v/>
      </c>
      <c r="F3913" s="22" t="str">
        <f>IF(OR(E3913="",E3913="!!!"),"",IF(NOT(ISNA(VLOOKUP(E3913,E$1:E3912,1,FALSE()))),"OLD",IF(AND(E3913&lt;&gt;"",E3913&lt;&gt;"!!!"),"NEW","")))</f>
        <v> </v>
      </c>
      <c r="G3913" s="23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4" t="str">
        <f>IF(J3913&lt;&gt;1,"",IF(I3913="SBJ","CB","?"))</f>
        <v> </v>
      </c>
      <c r="I3913" s="25" t="str">
        <f>IF(OR(E3913="",E3913="!!!",F3913="NEW"),"",INDEX(B3912:B$2,-1+SUMPRODUCT(MAX(ROW(E3912:E$2)*(E3913=E3912:E$2)))))</f>
        <v> </v>
      </c>
      <c r="J3913" s="25" t="str">
        <f>IF(OR(E3913="",E3913="!!!",F3913="NEW"),"",COUNTBLANK(OFFSET(A$1,,,SUMPRODUCT(MAX(ROW(E$2:E3913)*(E3913=E$2:E3913)))))-COUNTBLANK(OFFSET(A$1,,,SUMPRODUCT(MAX(ROW(E$1:E3912)*(E2=E$1:E3912))))))</f>
        <v> </v>
      </c>
      <c r="K3913" s="25" t="str">
        <f>IF(OR(E3913="",E3913="!!!",F3913="NEW"),"",INDEX(J$1:J3912,SUMPRODUCT(MAX(ROW(E$1:E3912)*(E3913=E$1:E3912)))))</f>
        <v> </v>
      </c>
      <c r="L3913" s="26"/>
    </row>
    <row r="3914" spans="1:12">
      <c r="A3914" s="20" t="s">
        <v>2860</v>
      </c>
      <c r="E3914" s="21">
        <f>IF(D3914="?OLD","!!!","")</f>
        <v/>
      </c>
      <c r="F3914" s="22" t="str">
        <f>IF(OR(E3914="",E3914="!!!"),"",IF(NOT(ISNA(VLOOKUP(E3914,E$1:E3913,1,FALSE()))),"OLD",IF(AND(E3914&lt;&gt;"",E3914&lt;&gt;"!!!"),"NEW","")))</f>
        <v> </v>
      </c>
      <c r="G3914" s="23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4" t="str">
        <f>IF(J3914&lt;&gt;1,"",IF(I3914="SBJ","CB","?"))</f>
        <v> </v>
      </c>
      <c r="I3914" s="25" t="str">
        <f>IF(OR(E3914="",E3914="!!!",F3914="NEW"),"",INDEX(B3913:B$2,-1+SUMPRODUCT(MAX(ROW(E3913:E$2)*(E3914=E3913:E$2)))))</f>
        <v> </v>
      </c>
      <c r="J3914" s="25" t="str">
        <f>IF(OR(E3914="",E3914="!!!",F3914="NEW"),"",COUNTBLANK(OFFSET(A$1,,,SUMPRODUCT(MAX(ROW(E$2:E3914)*(E3914=E$2:E3914)))))-COUNTBLANK(OFFSET(A$1,,,SUMPRODUCT(MAX(ROW(E$1:E3913)*(E2=E$1:E3913))))))</f>
        <v> </v>
      </c>
      <c r="K3914" s="25" t="str">
        <f>IF(OR(E3914="",E3914="!!!",F3914="NEW"),"",INDEX(J$1:J3913,SUMPRODUCT(MAX(ROW(E$1:E3913)*(E3914=E$1:E3913)))))</f>
        <v> </v>
      </c>
      <c r="L3914" s="26"/>
    </row>
    <row r="3915" spans="1:12">
      <c r="A3915" s="20" t="s">
        <v>1134</v>
      </c>
      <c r="E3915" s="21">
        <f>IF(D3915="?OLD","!!!","")</f>
        <v/>
      </c>
      <c r="F3915" s="22" t="str">
        <f>IF(OR(E3915="",E3915="!!!"),"",IF(NOT(ISNA(VLOOKUP(E3915,E$1:E3914,1,FALSE()))),"OLD",IF(AND(E3915&lt;&gt;"",E3915&lt;&gt;"!!!"),"NEW","")))</f>
        <v> </v>
      </c>
      <c r="G3915" s="23" t="str">
        <f>IF(OR(E3915="",E3915="!!!"),"",IF(OR(J3915=0,AND(J3915=1,K3915=1),AND(J3915=1,I3915="SBJ"),AND(J3915=1,I3915=0)),"?IN_FOCUS",IF(J3915&lt;=2,"?ACTIVATED",IF(J3915&lt;&gt;"","?FAMILIAR",IF(F3915="NEW",IF(ISNA(VLOOKUP(E3915,#REF!,1,FALSE())),"?TYPE_IDENTIFIABLE","?REFERENTIAL"),"_")))))</f>
        <v> </v>
      </c>
      <c r="H3915" s="24" t="str">
        <f>IF(J3915&lt;&gt;1,"",IF(I3915="SBJ","CB","?"))</f>
        <v> </v>
      </c>
      <c r="I3915" s="25" t="str">
        <f>IF(OR(E3915="",E3915="!!!",F3915="NEW"),"",INDEX(B3914:B$2,-1+SUMPRODUCT(MAX(ROW(E3914:E$2)*(E3915=E3914:E$2)))))</f>
        <v> </v>
      </c>
      <c r="J3915" s="25" t="str">
        <f>IF(OR(E3915="",E3915="!!!",F3915="NEW"),"",COUNTBLANK(OFFSET(A$1,,,SUMPRODUCT(MAX(ROW(E$2:E3915)*(E3915=E$2:E3915)))))-COUNTBLANK(OFFSET(A$1,,,SUMPRODUCT(MAX(ROW(E$1:E3914)*(E2=E$1:E3914))))))</f>
        <v> </v>
      </c>
      <c r="K3915" s="25" t="str">
        <f>IF(OR(E3915="",E3915="!!!",F3915="NEW"),"",INDEX(J$1:J3914,SUMPRODUCT(MAX(ROW(E$1:E3914)*(E3915=E$1:E3914)))))</f>
        <v> </v>
      </c>
      <c r="L3915" s="26"/>
    </row>
    <row r="3916" spans="1:12">
      <c r="A3916" s="20" t="s">
        <v>1217</v>
      </c>
      <c r="B3916" s="27" t="s">
        <v>1107</v>
      </c>
      <c r="C3916" s="27" t="s">
        <v>1126</v>
      </c>
      <c r="D3916" s="27" t="s">
        <v>1105</v>
      </c>
      <c r="E3916" s="21">
        <f>IF(D3916="?OLD","!!!","")</f>
        <v/>
      </c>
      <c r="F3916" s="22" t="str">
        <f>IF(OR(E3916="",E3916="!!!"),"",IF(NOT(ISNA(VLOOKUP(E3916,E$1:E3915,1,FALSE()))),"OLD",IF(AND(E3916&lt;&gt;"",E3916&lt;&gt;"!!!"),"NEW","")))</f>
        <v> </v>
      </c>
      <c r="G3916" s="23" t="str">
        <f>IF(OR(E3916="",E3916="!!!"),"",IF(OR(J3916=0,AND(J3916=1,K3916=1),AND(J3916=1,I3916="SBJ"),AND(J3916=1,I3916=0)),"?IN_FOCUS",IF(J3916&lt;=2,"?ACTIVATED",IF(J3916&lt;&gt;"","?FAMILIAR",IF(F3916="NEW",IF(ISNA(VLOOKUP(E3916,#REF!,1,FALSE())),"?TYPE_IDENTIFIABLE","?REFERENTIAL"),"_")))))</f>
        <v> </v>
      </c>
      <c r="H3916" s="24" t="str">
        <f>IF(J3916&lt;&gt;1,"",IF(I3916="SBJ","CB","?"))</f>
        <v> </v>
      </c>
      <c r="I3916" s="25" t="str">
        <f>IF(OR(E3916="",E3916="!!!",F3916="NEW"),"",INDEX(B3915:B$2,-1+SUMPRODUCT(MAX(ROW(E3915:E$2)*(E3916=E3915:E$2)))))</f>
        <v> </v>
      </c>
      <c r="J3916" s="25" t="str">
        <f>IF(OR(E3916="",E3916="!!!",F3916="NEW"),"",COUNTBLANK(OFFSET(A$1,,,SUMPRODUCT(MAX(ROW(E$2:E3916)*(E3916=E$2:E3916)))))-COUNTBLANK(OFFSET(A$1,,,SUMPRODUCT(MAX(ROW(E$1:E3915)*(E2=E$1:E3915))))))</f>
        <v> </v>
      </c>
      <c r="K3916" s="25" t="str">
        <f>IF(OR(E3916="",E3916="!!!",F3916="NEW"),"",INDEX(J$1:J3915,SUMPRODUCT(MAX(ROW(E$1:E3915)*(E3916=E$1:E3915)))))</f>
        <v> </v>
      </c>
      <c r="L3916" s="26"/>
    </row>
    <row r="3917" spans="1:12">
      <c r="A3917" s="20" t="s">
        <v>1123</v>
      </c>
      <c r="E3917" s="21">
        <f>IF(D3917="?OLD","!!!","")</f>
        <v/>
      </c>
      <c r="F3917" s="22" t="str">
        <f>IF(OR(E3917="",E3917="!!!"),"",IF(NOT(ISNA(VLOOKUP(E3917,E$1:E3916,1,FALSE()))),"OLD",IF(AND(E3917&lt;&gt;"",E3917&lt;&gt;"!!!"),"NEW","")))</f>
        <v> </v>
      </c>
      <c r="G3917" s="23" t="str">
        <f>IF(OR(E3917="",E3917="!!!"),"",IF(OR(J3917=0,AND(J3917=1,K3917=1),AND(J3917=1,I3917="SBJ"),AND(J3917=1,I3917=0)),"?IN_FOCUS",IF(J3917&lt;=2,"?ACTIVATED",IF(J3917&lt;&gt;"","?FAMILIAR",IF(F3917="NEW",IF(ISNA(VLOOKUP(E3917,#REF!,1,FALSE())),"?TYPE_IDENTIFIABLE","?REFERENTIAL"),"_")))))</f>
        <v> </v>
      </c>
      <c r="H3917" s="24" t="str">
        <f>IF(J3917&lt;&gt;1,"",IF(I3917="SBJ","CB","?"))</f>
        <v> </v>
      </c>
      <c r="I3917" s="25" t="str">
        <f>IF(OR(E3917="",E3917="!!!",F3917="NEW"),"",INDEX(B3916:B$2,-1+SUMPRODUCT(MAX(ROW(E3916:E$2)*(E3917=E3916:E$2)))))</f>
        <v> </v>
      </c>
      <c r="J3917" s="25" t="str">
        <f>IF(OR(E3917="",E3917="!!!",F3917="NEW"),"",COUNTBLANK(OFFSET(A$1,,,SUMPRODUCT(MAX(ROW(E$2:E3917)*(E3917=E$2:E3917)))))-COUNTBLANK(OFFSET(A$1,,,SUMPRODUCT(MAX(ROW(E$1:E3916)*(E2=E$1:E3916))))))</f>
        <v> </v>
      </c>
      <c r="K3917" s="25" t="str">
        <f>IF(OR(E3917="",E3917="!!!",F3917="NEW"),"",INDEX(J$1:J3916,SUMPRODUCT(MAX(ROW(E$1:E3916)*(E3917=E$1:E3916)))))</f>
        <v> </v>
      </c>
      <c r="L3917" s="26"/>
    </row>
    <row r="3918" spans="1:12">
      <c r="A3918" s="20" t="s">
        <v>2861</v>
      </c>
      <c r="E3918" s="21">
        <f>IF(D3918="?OLD","!!!","")</f>
        <v/>
      </c>
      <c r="F3918" s="22" t="str">
        <f>IF(OR(E3918="",E3918="!!!"),"",IF(NOT(ISNA(VLOOKUP(E3918,E$1:E3917,1,FALSE()))),"OLD",IF(AND(E3918&lt;&gt;"",E3918&lt;&gt;"!!!"),"NEW","")))</f>
        <v> </v>
      </c>
      <c r="G3918" s="23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4" t="str">
        <f>IF(J3918&lt;&gt;1,"",IF(I3918="SBJ","CB","?"))</f>
        <v> </v>
      </c>
      <c r="I3918" s="25" t="str">
        <f>IF(OR(E3918="",E3918="!!!",F3918="NEW"),"",INDEX(B3917:B$2,-1+SUMPRODUCT(MAX(ROW(E3917:E$2)*(E3918=E3917:E$2)))))</f>
        <v> </v>
      </c>
      <c r="J3918" s="25" t="str">
        <f>IF(OR(E3918="",E3918="!!!",F3918="NEW"),"",COUNTBLANK(OFFSET(A$1,,,SUMPRODUCT(MAX(ROW(E$2:E3918)*(E3918=E$2:E3918)))))-COUNTBLANK(OFFSET(A$1,,,SUMPRODUCT(MAX(ROW(E$1:E3917)*(E2=E$1:E3917))))))</f>
        <v> </v>
      </c>
      <c r="K3918" s="25" t="str">
        <f>IF(OR(E3918="",E3918="!!!",F3918="NEW"),"",INDEX(J$1:J3917,SUMPRODUCT(MAX(ROW(E$1:E3917)*(E3918=E$1:E3917)))))</f>
        <v> </v>
      </c>
      <c r="L3918" s="26"/>
    </row>
    <row r="3919" spans="1:12">
      <c r="A3919" s="20" t="s">
        <v>1697</v>
      </c>
      <c r="E3919" s="21">
        <f>IF(D3919="?OLD","!!!","")</f>
        <v/>
      </c>
      <c r="F3919" s="22" t="str">
        <f>IF(OR(E3919="",E3919="!!!"),"",IF(NOT(ISNA(VLOOKUP(E3919,E$1:E3918,1,FALSE()))),"OLD",IF(AND(E3919&lt;&gt;"",E3919&lt;&gt;"!!!"),"NEW","")))</f>
        <v> </v>
      </c>
      <c r="G3919" s="23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4" t="str">
        <f>IF(J3919&lt;&gt;1,"",IF(I3919="SBJ","CB","?"))</f>
        <v> </v>
      </c>
      <c r="I3919" s="25" t="str">
        <f>IF(OR(E3919="",E3919="!!!",F3919="NEW"),"",INDEX(B3918:B$2,-1+SUMPRODUCT(MAX(ROW(E3918:E$2)*(E3919=E3918:E$2)))))</f>
        <v> </v>
      </c>
      <c r="J3919" s="25" t="str">
        <f>IF(OR(E3919="",E3919="!!!",F3919="NEW"),"",COUNTBLANK(OFFSET(A$1,,,SUMPRODUCT(MAX(ROW(E$2:E3919)*(E3919=E$2:E3919)))))-COUNTBLANK(OFFSET(A$1,,,SUMPRODUCT(MAX(ROW(E$1:E3918)*(E2=E$1:E3918))))))</f>
        <v> </v>
      </c>
      <c r="K3919" s="25" t="str">
        <f>IF(OR(E3919="",E3919="!!!",F3919="NEW"),"",INDEX(J$1:J3918,SUMPRODUCT(MAX(ROW(E$1:E3918)*(E3919=E$1:E3918)))))</f>
        <v> </v>
      </c>
      <c r="L3919" s="26"/>
    </row>
    <row r="3920" spans="1:12">
      <c r="A3920" s="20" t="s">
        <v>1166</v>
      </c>
      <c r="B3920" s="27" t="s">
        <v>1243</v>
      </c>
      <c r="C3920" s="27" t="s">
        <v>1126</v>
      </c>
      <c r="D3920" s="27" t="s">
        <v>1105</v>
      </c>
      <c r="E3920" s="21">
        <f>IF(D3920="?OLD","!!!","")</f>
        <v/>
      </c>
      <c r="F3920" s="22" t="str">
        <f>IF(OR(E3920="",E3920="!!!"),"",IF(NOT(ISNA(VLOOKUP(E3920,E$1:E3919,1,FALSE()))),"OLD",IF(AND(E3920&lt;&gt;"",E3920&lt;&gt;"!!!"),"NEW","")))</f>
        <v> </v>
      </c>
      <c r="G3920" s="23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4" t="str">
        <f>IF(J3920&lt;&gt;1,"",IF(I3920="SBJ","CB","?"))</f>
        <v> </v>
      </c>
      <c r="I3920" s="25" t="str">
        <f>IF(OR(E3920="",E3920="!!!",F3920="NEW"),"",INDEX(B3919:B$2,-1+SUMPRODUCT(MAX(ROW(E3919:E$2)*(E3920=E3919:E$2)))))</f>
        <v> </v>
      </c>
      <c r="J3920" s="25" t="str">
        <f>IF(OR(E3920="",E3920="!!!",F3920="NEW"),"",COUNTBLANK(OFFSET(A$1,,,SUMPRODUCT(MAX(ROW(E$2:E3920)*(E3920=E$2:E3920)))))-COUNTBLANK(OFFSET(A$1,,,SUMPRODUCT(MAX(ROW(E$1:E3919)*(E2=E$1:E3919))))))</f>
        <v> </v>
      </c>
      <c r="K3920" s="25" t="str">
        <f>IF(OR(E3920="",E3920="!!!",F3920="NEW"),"",INDEX(J$1:J3919,SUMPRODUCT(MAX(ROW(E$1:E3919)*(E3920=E$1:E3919)))))</f>
        <v> </v>
      </c>
      <c r="L3920" s="26"/>
    </row>
    <row r="3921" spans="1:12">
      <c r="A3921" s="20" t="s">
        <v>2862</v>
      </c>
      <c r="E3921" s="21">
        <f>IF(D3921="?OLD","!!!","")</f>
        <v/>
      </c>
      <c r="F3921" s="22" t="str">
        <f>IF(OR(E3921="",E3921="!!!"),"",IF(NOT(ISNA(VLOOKUP(E3921,E$1:E3920,1,FALSE()))),"OLD",IF(AND(E3921&lt;&gt;"",E3921&lt;&gt;"!!!"),"NEW","")))</f>
        <v> </v>
      </c>
      <c r="G3921" s="23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4" t="str">
        <f>IF(J3921&lt;&gt;1,"",IF(I3921="SBJ","CB","?"))</f>
        <v> </v>
      </c>
      <c r="I3921" s="25" t="str">
        <f>IF(OR(E3921="",E3921="!!!",F3921="NEW"),"",INDEX(B3920:B$2,-1+SUMPRODUCT(MAX(ROW(E3920:E$2)*(E3921=E3920:E$2)))))</f>
        <v> </v>
      </c>
      <c r="J3921" s="25" t="str">
        <f>IF(OR(E3921="",E3921="!!!",F3921="NEW"),"",COUNTBLANK(OFFSET(A$1,,,SUMPRODUCT(MAX(ROW(E$2:E3921)*(E3921=E$2:E3921)))))-COUNTBLANK(OFFSET(A$1,,,SUMPRODUCT(MAX(ROW(E$1:E3920)*(E2=E$1:E3920))))))</f>
        <v> </v>
      </c>
      <c r="K3921" s="25" t="str">
        <f>IF(OR(E3921="",E3921="!!!",F3921="NEW"),"",INDEX(J$1:J3920,SUMPRODUCT(MAX(ROW(E$1:E3920)*(E3921=E$1:E3920)))))</f>
        <v> </v>
      </c>
      <c r="L3921" s="26"/>
    </row>
    <row r="3922" spans="1:12">
      <c r="A3922" s="20" t="s">
        <v>1173</v>
      </c>
      <c r="E3922" s="21">
        <f>IF(D3922="?OLD","!!!","")</f>
        <v/>
      </c>
      <c r="F3922" s="22" t="str">
        <f>IF(OR(E3922="",E3922="!!!"),"",IF(NOT(ISNA(VLOOKUP(E3922,E$1:E3921,1,FALSE()))),"OLD",IF(AND(E3922&lt;&gt;"",E3922&lt;&gt;"!!!"),"NEW","")))</f>
        <v> </v>
      </c>
      <c r="G3922" s="23" t="str">
        <f>IF(OR(E3922="",E3922="!!!"),"",IF(OR(J3922=0,AND(J3922=1,K3922=1),AND(J3922=1,I3922="SBJ"),AND(J3922=1,I3922=0)),"?IN_FOCUS",IF(J3922&lt;=2,"?ACTIVATED",IF(J3922&lt;&gt;"","?FAMILIAR",IF(F3922="NEW",IF(ISNA(VLOOKUP(E3922,#REF!,1,FALSE())),"?TYPE_IDENTIFIABLE","?REFERENTIAL"),"_")))))</f>
        <v> </v>
      </c>
      <c r="H3922" s="24" t="str">
        <f>IF(J3922&lt;&gt;1,"",IF(I3922="SBJ","CB","?"))</f>
        <v> </v>
      </c>
      <c r="I3922" s="25" t="str">
        <f>IF(OR(E3922="",E3922="!!!",F3922="NEW"),"",INDEX(B3921:B$2,-1+SUMPRODUCT(MAX(ROW(E3921:E$2)*(E3922=E3921:E$2)))))</f>
        <v> </v>
      </c>
      <c r="J3922" s="25" t="str">
        <f>IF(OR(E3922="",E3922="!!!",F3922="NEW"),"",COUNTBLANK(OFFSET(A$1,,,SUMPRODUCT(MAX(ROW(E$2:E3922)*(E3922=E$2:E3922)))))-COUNTBLANK(OFFSET(A$1,,,SUMPRODUCT(MAX(ROW(E$1:E3921)*(E2=E$1:E3921))))))</f>
        <v> </v>
      </c>
      <c r="K3922" s="25" t="str">
        <f>IF(OR(E3922="",E3922="!!!",F3922="NEW"),"",INDEX(J$1:J3921,SUMPRODUCT(MAX(ROW(E$1:E3921)*(E3922=E$1:E3921)))))</f>
        <v> </v>
      </c>
      <c r="L3922" s="26"/>
    </row>
    <row r="3923" spans="1:12">
      <c r="A3923" s="20" t="s">
        <v>2863</v>
      </c>
      <c r="E3923" s="21">
        <f>IF(D3923="?OLD","!!!","")</f>
        <v/>
      </c>
      <c r="F3923" s="22" t="str">
        <f>IF(OR(E3923="",E3923="!!!"),"",IF(NOT(ISNA(VLOOKUP(E3923,E$1:E3922,1,FALSE()))),"OLD",IF(AND(E3923&lt;&gt;"",E3923&lt;&gt;"!!!"),"NEW","")))</f>
        <v> </v>
      </c>
      <c r="G3923" s="23" t="str">
        <f>IF(OR(E3923="",E3923="!!!"),"",IF(OR(J3923=0,AND(J3923=1,K3923=1),AND(J3923=1,I3923="SBJ"),AND(J3923=1,I3923=0)),"?IN_FOCUS",IF(J3923&lt;=2,"?ACTIVATED",IF(J3923&lt;&gt;"","?FAMILIAR",IF(F3923="NEW",IF(ISNA(VLOOKUP(E3923,#REF!,1,FALSE())),"?TYPE_IDENTIFIABLE","?REFERENTIAL"),"_")))))</f>
        <v> </v>
      </c>
      <c r="H3923" s="24" t="str">
        <f>IF(J3923&lt;&gt;1,"",IF(I3923="SBJ","CB","?"))</f>
        <v> </v>
      </c>
      <c r="I3923" s="25" t="str">
        <f>IF(OR(E3923="",E3923="!!!",F3923="NEW"),"",INDEX(B3922:B$2,-1+SUMPRODUCT(MAX(ROW(E3922:E$2)*(E3923=E3922:E$2)))))</f>
        <v> </v>
      </c>
      <c r="J3923" s="25" t="str">
        <f>IF(OR(E3923="",E3923="!!!",F3923="NEW"),"",COUNTBLANK(OFFSET(A$1,,,SUMPRODUCT(MAX(ROW(E$2:E3923)*(E3923=E$2:E3923)))))-COUNTBLANK(OFFSET(A$1,,,SUMPRODUCT(MAX(ROW(E$1:E3922)*(E2=E$1:E3922))))))</f>
        <v> </v>
      </c>
      <c r="K3923" s="25" t="str">
        <f>IF(OR(E3923="",E3923="!!!",F3923="NEW"),"",INDEX(J$1:J3922,SUMPRODUCT(MAX(ROW(E$1:E3922)*(E3923=E$1:E3922)))))</f>
        <v> </v>
      </c>
      <c r="L3923" s="26"/>
    </row>
    <row r="3924" spans="1:12">
      <c r="A3924" s="20" t="s">
        <v>2864</v>
      </c>
      <c r="E3924" s="21">
        <f>IF(D3924="?OLD","!!!","")</f>
        <v/>
      </c>
      <c r="F3924" s="22" t="str">
        <f>IF(OR(E3924="",E3924="!!!"),"",IF(NOT(ISNA(VLOOKUP(E3924,E$1:E3923,1,FALSE()))),"OLD",IF(AND(E3924&lt;&gt;"",E3924&lt;&gt;"!!!"),"NEW","")))</f>
        <v> </v>
      </c>
      <c r="G3924" s="23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4" t="str">
        <f>IF(J3924&lt;&gt;1,"",IF(I3924="SBJ","CB","?"))</f>
        <v> </v>
      </c>
      <c r="I3924" s="25" t="str">
        <f>IF(OR(E3924="",E3924="!!!",F3924="NEW"),"",INDEX(B3923:B$2,-1+SUMPRODUCT(MAX(ROW(E3923:E$2)*(E3924=E3923:E$2)))))</f>
        <v> </v>
      </c>
      <c r="J3924" s="25" t="str">
        <f>IF(OR(E3924="",E3924="!!!",F3924="NEW"),"",COUNTBLANK(OFFSET(A$1,,,SUMPRODUCT(MAX(ROW(E$2:E3924)*(E3924=E$2:E3924)))))-COUNTBLANK(OFFSET(A$1,,,SUMPRODUCT(MAX(ROW(E$1:E3923)*(E2=E$1:E3923))))))</f>
        <v> </v>
      </c>
      <c r="K3924" s="25" t="str">
        <f>IF(OR(E3924="",E3924="!!!",F3924="NEW"),"",INDEX(J$1:J3923,SUMPRODUCT(MAX(ROW(E$1:E3923)*(E3924=E$1:E3923)))))</f>
        <v> </v>
      </c>
      <c r="L3924" s="26"/>
    </row>
    <row r="3925" spans="1:12">
      <c r="A3925" s="20" t="s">
        <v>2481</v>
      </c>
      <c r="E3925" s="21">
        <f>IF(D3925="?OLD","!!!","")</f>
        <v/>
      </c>
      <c r="F3925" s="22" t="str">
        <f>IF(OR(E3925="",E3925="!!!"),"",IF(NOT(ISNA(VLOOKUP(E3925,E$1:E3924,1,FALSE()))),"OLD",IF(AND(E3925&lt;&gt;"",E3925&lt;&gt;"!!!"),"NEW","")))</f>
        <v> </v>
      </c>
      <c r="G3925" s="23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4" t="str">
        <f>IF(J3925&lt;&gt;1,"",IF(I3925="SBJ","CB","?"))</f>
        <v> </v>
      </c>
      <c r="I3925" s="25" t="str">
        <f>IF(OR(E3925="",E3925="!!!",F3925="NEW"),"",INDEX(B3924:B$2,-1+SUMPRODUCT(MAX(ROW(E3924:E$2)*(E3925=E3924:E$2)))))</f>
        <v> </v>
      </c>
      <c r="J3925" s="25" t="str">
        <f>IF(OR(E3925="",E3925="!!!",F3925="NEW"),"",COUNTBLANK(OFFSET(A$1,,,SUMPRODUCT(MAX(ROW(E$2:E3925)*(E3925=E$2:E3925)))))-COUNTBLANK(OFFSET(A$1,,,SUMPRODUCT(MAX(ROW(E$1:E3924)*(E2=E$1:E3924))))))</f>
        <v> </v>
      </c>
      <c r="K3925" s="25" t="str">
        <f>IF(OR(E3925="",E3925="!!!",F3925="NEW"),"",INDEX(J$1:J3924,SUMPRODUCT(MAX(ROW(E$1:E3924)*(E3925=E$1:E3924)))))</f>
        <v> </v>
      </c>
      <c r="L3925" s="26"/>
    </row>
    <row r="3926" spans="1:12">
      <c r="A3926" s="20" t="s">
        <v>1820</v>
      </c>
      <c r="E3926" s="21">
        <f>IF(D3926="?OLD","!!!","")</f>
        <v/>
      </c>
      <c r="F3926" s="22" t="str">
        <f>IF(OR(E3926="",E3926="!!!"),"",IF(NOT(ISNA(VLOOKUP(E3926,E$1:E3925,1,FALSE()))),"OLD",IF(AND(E3926&lt;&gt;"",E3926&lt;&gt;"!!!"),"NEW","")))</f>
        <v> </v>
      </c>
      <c r="G3926" s="23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4" t="str">
        <f>IF(J3926&lt;&gt;1,"",IF(I3926="SBJ","CB","?"))</f>
        <v> </v>
      </c>
      <c r="I3926" s="25" t="str">
        <f>IF(OR(E3926="",E3926="!!!",F3926="NEW"),"",INDEX(B3925:B$2,-1+SUMPRODUCT(MAX(ROW(E3925:E$2)*(E3926=E3925:E$2)))))</f>
        <v> </v>
      </c>
      <c r="J3926" s="25" t="str">
        <f>IF(OR(E3926="",E3926="!!!",F3926="NEW"),"",COUNTBLANK(OFFSET(A$1,,,SUMPRODUCT(MAX(ROW(E$2:E3926)*(E3926=E$2:E3926)))))-COUNTBLANK(OFFSET(A$1,,,SUMPRODUCT(MAX(ROW(E$1:E3925)*(E2=E$1:E3925))))))</f>
        <v> </v>
      </c>
      <c r="K3926" s="25" t="str">
        <f>IF(OR(E3926="",E3926="!!!",F3926="NEW"),"",INDEX(J$1:J3925,SUMPRODUCT(MAX(ROW(E$1:E3925)*(E3926=E$1:E3925)))))</f>
        <v> </v>
      </c>
      <c r="L3926" s="26"/>
    </row>
    <row r="3927" spans="1:12">
      <c r="A3927" s="20" t="s">
        <v>2865</v>
      </c>
      <c r="E3927" s="21">
        <f>IF(D3927="?OLD","!!!","")</f>
        <v/>
      </c>
      <c r="F3927" s="22" t="str">
        <f>IF(OR(E3927="",E3927="!!!"),"",IF(NOT(ISNA(VLOOKUP(E3927,E$1:E3926,1,FALSE()))),"OLD",IF(AND(E3927&lt;&gt;"",E3927&lt;&gt;"!!!"),"NEW","")))</f>
        <v> </v>
      </c>
      <c r="G3927" s="23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4" t="str">
        <f>IF(J3927&lt;&gt;1,"",IF(I3927="SBJ","CB","?"))</f>
        <v> </v>
      </c>
      <c r="I3927" s="25" t="str">
        <f>IF(OR(E3927="",E3927="!!!",F3927="NEW"),"",INDEX(B3926:B$2,-1+SUMPRODUCT(MAX(ROW(E3926:E$2)*(E3927=E3926:E$2)))))</f>
        <v> </v>
      </c>
      <c r="J3927" s="25" t="str">
        <f>IF(OR(E3927="",E3927="!!!",F3927="NEW"),"",COUNTBLANK(OFFSET(A$1,,,SUMPRODUCT(MAX(ROW(E$2:E3927)*(E3927=E$2:E3927)))))-COUNTBLANK(OFFSET(A$1,,,SUMPRODUCT(MAX(ROW(E$1:E3926)*(E2=E$1:E3926))))))</f>
        <v> </v>
      </c>
      <c r="K3927" s="25" t="str">
        <f>IF(OR(E3927="",E3927="!!!",F3927="NEW"),"",INDEX(J$1:J3926,SUMPRODUCT(MAX(ROW(E$1:E3926)*(E3927=E$1:E3926)))))</f>
        <v> </v>
      </c>
      <c r="L3927" s="26"/>
    </row>
    <row r="3928" spans="1:12">
      <c r="A3928" s="20" t="s">
        <v>1987</v>
      </c>
      <c r="B3928" s="27" t="s">
        <v>1115</v>
      </c>
      <c r="E3928" s="21">
        <f>IF(D3928="?OLD","!!!","")</f>
        <v/>
      </c>
      <c r="F3928" s="22" t="str">
        <f>IF(OR(E3928="",E3928="!!!"),"",IF(NOT(ISNA(VLOOKUP(E3928,E$1:E3927,1,FALSE()))),"OLD",IF(AND(E3928&lt;&gt;"",E3928&lt;&gt;"!!!"),"NEW","")))</f>
        <v> </v>
      </c>
      <c r="G3928" s="23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4" t="str">
        <f>IF(J3928&lt;&gt;1,"",IF(I3928="SBJ","CB","?"))</f>
        <v> </v>
      </c>
      <c r="I3928" s="25" t="str">
        <f>IF(OR(E3928="",E3928="!!!",F3928="NEW"),"",INDEX(B3927:B$2,-1+SUMPRODUCT(MAX(ROW(E3927:E$2)*(E3928=E3927:E$2)))))</f>
        <v> </v>
      </c>
      <c r="J3928" s="25" t="str">
        <f>IF(OR(E3928="",E3928="!!!",F3928="NEW"),"",COUNTBLANK(OFFSET(A$1,,,SUMPRODUCT(MAX(ROW(E$2:E3928)*(E3928=E$2:E3928)))))-COUNTBLANK(OFFSET(A$1,,,SUMPRODUCT(MAX(ROW(E$1:E3927)*(E2=E$1:E3927))))))</f>
        <v> </v>
      </c>
      <c r="K3928" s="25" t="str">
        <f>IF(OR(E3928="",E3928="!!!",F3928="NEW"),"",INDEX(J$1:J3927,SUMPRODUCT(MAX(ROW(E$1:E3927)*(E3928=E$1:E3927)))))</f>
        <v> </v>
      </c>
      <c r="L3928" s="26"/>
    </row>
    <row r="3929" spans="1:12">
      <c r="A3929" s="20" t="s">
        <v>1145</v>
      </c>
      <c r="E3929" s="21">
        <f>IF(D3929="?OLD","!!!","")</f>
        <v/>
      </c>
      <c r="F3929" s="22" t="str">
        <f>IF(OR(E3929="",E3929="!!!"),"",IF(NOT(ISNA(VLOOKUP(E3929,E$1:E3928,1,FALSE()))),"OLD",IF(AND(E3929&lt;&gt;"",E3929&lt;&gt;"!!!"),"NEW","")))</f>
        <v> </v>
      </c>
      <c r="G3929" s="23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4" t="str">
        <f>IF(J3929&lt;&gt;1,"",IF(I3929="SBJ","CB","?"))</f>
        <v> </v>
      </c>
      <c r="I3929" s="25" t="str">
        <f>IF(OR(E3929="",E3929="!!!",F3929="NEW"),"",INDEX(B3928:B$2,-1+SUMPRODUCT(MAX(ROW(E3928:E$2)*(E3929=E3928:E$2)))))</f>
        <v> </v>
      </c>
      <c r="J3929" s="25" t="str">
        <f>IF(OR(E3929="",E3929="!!!",F3929="NEW"),"",COUNTBLANK(OFFSET(A$1,,,SUMPRODUCT(MAX(ROW(E$2:E3929)*(E3929=E$2:E3929)))))-COUNTBLANK(OFFSET(A$1,,,SUMPRODUCT(MAX(ROW(E$1:E3928)*(E2=E$1:E3928))))))</f>
        <v> </v>
      </c>
      <c r="K3929" s="25" t="str">
        <f>IF(OR(E3929="",E3929="!!!",F3929="NEW"),"",INDEX(J$1:J3928,SUMPRODUCT(MAX(ROW(E$1:E3928)*(E3929=E$1:E3928)))))</f>
        <v> </v>
      </c>
      <c r="L3929" s="26"/>
    </row>
    <row r="3930" spans="1:12">
      <c r="A3930" s="20"/>
    </row>
    <row r="3931" spans="1:12">
      <c r="A3931" s="20" t="s">
        <v>2866</v>
      </c>
    </row>
    <row r="3932" spans="1:12">
      <c r="A3932" s="20" t="s">
        <v>1633</v>
      </c>
      <c r="B3932" s="27" t="s">
        <v>1149</v>
      </c>
      <c r="C3932" s="27" t="s">
        <v>1126</v>
      </c>
      <c r="D3932" s="27" t="s">
        <v>1105</v>
      </c>
      <c r="E3932" s="21">
        <f>IF(D3932="?OLD","!!!","")</f>
        <v/>
      </c>
      <c r="F3932" s="22" t="str">
        <f>IF(OR(E3932="",E3932="!!!"),"",IF(NOT(ISNA(VLOOKUP(E3932,E$1:E3931,1,FALSE()))),"OLD",IF(AND(E3932&lt;&gt;"",E3932&lt;&gt;"!!!"),"NEW","")))</f>
        <v> </v>
      </c>
      <c r="G3932" s="23" t="str">
        <f>IF(OR(E3932="",E3932="!!!"),"",IF(OR(J3932=0,AND(J3932=1,K3932=1),AND(J3932=1,I3932="SBJ"),AND(J3932=1,I3932=0)),"?IN_FOCUS",IF(J3932&lt;=2,"?ACTIVATED",IF(J3932&lt;&gt;"","?FAMILIAR",IF(F3932="NEW",IF(ISNA(VLOOKUP(E3932,#REF!,1,FALSE())),"?TYPE_IDENTIFIABLE","?REFERENTIAL"),"_")))))</f>
        <v> </v>
      </c>
      <c r="H3932" s="24" t="str">
        <f>IF(J3932&lt;&gt;1,"",IF(I3932="SBJ","CB","?"))</f>
        <v> </v>
      </c>
      <c r="I3932" s="25" t="str">
        <f>IF(OR(E3932="",E3932="!!!",F3932="NEW"),"",INDEX(B3931:B$2,-1+SUMPRODUCT(MAX(ROW(E3931:E$2)*(E3932=E3931:E$2)))))</f>
        <v> </v>
      </c>
      <c r="J3932" s="25" t="str">
        <f>IF(OR(E3932="",E3932="!!!",F3932="NEW"),"",COUNTBLANK(OFFSET(A$1,,,SUMPRODUCT(MAX(ROW(E$2:E3932)*(E3932=E$2:E3932)))))-COUNTBLANK(OFFSET(A$1,,,SUMPRODUCT(MAX(ROW(E$1:E3931)*(E2=E$1:E3931))))))</f>
        <v> </v>
      </c>
      <c r="K3932" s="25" t="str">
        <f>IF(OR(E3932="",E3932="!!!",F3932="NEW"),"",INDEX(J$1:J3931,SUMPRODUCT(MAX(ROW(E$1:E3931)*(E3932=E$1:E3931)))))</f>
        <v> </v>
      </c>
      <c r="L3932" s="26"/>
    </row>
    <row r="3933" spans="1:12">
      <c r="A3933" s="20" t="s">
        <v>2638</v>
      </c>
      <c r="E3933" s="21">
        <f>IF(D3933="?OLD","!!!","")</f>
        <v/>
      </c>
      <c r="F3933" s="22" t="str">
        <f>IF(OR(E3933="",E3933="!!!"),"",IF(NOT(ISNA(VLOOKUP(E3933,E$1:E3932,1,FALSE()))),"OLD",IF(AND(E3933&lt;&gt;"",E3933&lt;&gt;"!!!"),"NEW","")))</f>
        <v> </v>
      </c>
      <c r="G3933" s="23" t="str">
        <f>IF(OR(E3933="",E3933="!!!"),"",IF(OR(J3933=0,AND(J3933=1,K3933=1),AND(J3933=1,I3933="SBJ"),AND(J3933=1,I3933=0)),"?IN_FOCUS",IF(J3933&lt;=2,"?ACTIVATED",IF(J3933&lt;&gt;"","?FAMILIAR",IF(F3933="NEW",IF(ISNA(VLOOKUP(E3933,#REF!,1,FALSE())),"?TYPE_IDENTIFIABLE","?REFERENTIAL"),"_")))))</f>
        <v> </v>
      </c>
      <c r="H3933" s="24" t="str">
        <f>IF(J3933&lt;&gt;1,"",IF(I3933="SBJ","CB","?"))</f>
        <v> </v>
      </c>
      <c r="I3933" s="25" t="str">
        <f>IF(OR(E3933="",E3933="!!!",F3933="NEW"),"",INDEX(B3932:B$2,-1+SUMPRODUCT(MAX(ROW(E3932:E$2)*(E3933=E3932:E$2)))))</f>
        <v> </v>
      </c>
      <c r="J3933" s="25" t="str">
        <f>IF(OR(E3933="",E3933="!!!",F3933="NEW"),"",COUNTBLANK(OFFSET(A$1,,,SUMPRODUCT(MAX(ROW(E$2:E3933)*(E3933=E$2:E3933)))))-COUNTBLANK(OFFSET(A$1,,,SUMPRODUCT(MAX(ROW(E$1:E3932)*(E2=E$1:E3932))))))</f>
        <v> </v>
      </c>
      <c r="K3933" s="25" t="str">
        <f>IF(OR(E3933="",E3933="!!!",F3933="NEW"),"",INDEX(J$1:J3932,SUMPRODUCT(MAX(ROW(E$1:E3932)*(E3933=E$1:E3932)))))</f>
        <v> </v>
      </c>
      <c r="L3933" s="26"/>
    </row>
    <row r="3934" spans="1:12">
      <c r="A3934" s="20" t="s">
        <v>1184</v>
      </c>
      <c r="E3934" s="21">
        <f>IF(D3934="?OLD","!!!","")</f>
        <v/>
      </c>
      <c r="F3934" s="22" t="str">
        <f>IF(OR(E3934="",E3934="!!!"),"",IF(NOT(ISNA(VLOOKUP(E3934,E$1:E3933,1,FALSE()))),"OLD",IF(AND(E3934&lt;&gt;"",E3934&lt;&gt;"!!!"),"NEW","")))</f>
        <v> </v>
      </c>
      <c r="G3934" s="23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4" t="str">
        <f>IF(J3934&lt;&gt;1,"",IF(I3934="SBJ","CB","?"))</f>
        <v> </v>
      </c>
      <c r="I3934" s="25" t="str">
        <f>IF(OR(E3934="",E3934="!!!",F3934="NEW"),"",INDEX(B3933:B$2,-1+SUMPRODUCT(MAX(ROW(E3933:E$2)*(E3934=E3933:E$2)))))</f>
        <v> </v>
      </c>
      <c r="J3934" s="25" t="str">
        <f>IF(OR(E3934="",E3934="!!!",F3934="NEW"),"",COUNTBLANK(OFFSET(A$1,,,SUMPRODUCT(MAX(ROW(E$2:E3934)*(E3934=E$2:E3934)))))-COUNTBLANK(OFFSET(A$1,,,SUMPRODUCT(MAX(ROW(E$1:E3933)*(E2=E$1:E3933))))))</f>
        <v> </v>
      </c>
      <c r="K3934" s="25" t="str">
        <f>IF(OR(E3934="",E3934="!!!",F3934="NEW"),"",INDEX(J$1:J3933,SUMPRODUCT(MAX(ROW(E$1:E3933)*(E3934=E$1:E3933)))))</f>
        <v> </v>
      </c>
      <c r="L3934" s="26"/>
    </row>
    <row r="3935" spans="1:12">
      <c r="A3935" s="20" t="s">
        <v>2867</v>
      </c>
      <c r="E3935" s="21">
        <f>IF(D3935="?OLD","!!!","")</f>
        <v/>
      </c>
      <c r="F3935" s="22" t="str">
        <f>IF(OR(E3935="",E3935="!!!"),"",IF(NOT(ISNA(VLOOKUP(E3935,E$1:E3934,1,FALSE()))),"OLD",IF(AND(E3935&lt;&gt;"",E3935&lt;&gt;"!!!"),"NEW","")))</f>
        <v> </v>
      </c>
      <c r="G3935" s="23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4" t="str">
        <f>IF(J3935&lt;&gt;1,"",IF(I3935="SBJ","CB","?"))</f>
        <v> </v>
      </c>
      <c r="I3935" s="25" t="str">
        <f>IF(OR(E3935="",E3935="!!!",F3935="NEW"),"",INDEX(B3934:B$2,-1+SUMPRODUCT(MAX(ROW(E3934:E$2)*(E3935=E3934:E$2)))))</f>
        <v> </v>
      </c>
      <c r="J3935" s="25" t="str">
        <f>IF(OR(E3935="",E3935="!!!",F3935="NEW"),"",COUNTBLANK(OFFSET(A$1,,,SUMPRODUCT(MAX(ROW(E$2:E3935)*(E3935=E$2:E3935)))))-COUNTBLANK(OFFSET(A$1,,,SUMPRODUCT(MAX(ROW(E$1:E3934)*(E2=E$1:E3934))))))</f>
        <v> </v>
      </c>
      <c r="K3935" s="25" t="str">
        <f>IF(OR(E3935="",E3935="!!!",F3935="NEW"),"",INDEX(J$1:J3934,SUMPRODUCT(MAX(ROW(E$1:E3934)*(E3935=E$1:E3934)))))</f>
        <v> </v>
      </c>
      <c r="L3935" s="26"/>
    </row>
    <row r="3936" spans="1:12">
      <c r="A3936" s="20" t="s">
        <v>2868</v>
      </c>
      <c r="E3936" s="21">
        <f>IF(D3936="?OLD","!!!","")</f>
        <v/>
      </c>
      <c r="F3936" s="22" t="str">
        <f>IF(OR(E3936="",E3936="!!!"),"",IF(NOT(ISNA(VLOOKUP(E3936,E$1:E3935,1,FALSE()))),"OLD",IF(AND(E3936&lt;&gt;"",E3936&lt;&gt;"!!!"),"NEW","")))</f>
        <v> </v>
      </c>
      <c r="G3936" s="23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4" t="str">
        <f>IF(J3936&lt;&gt;1,"",IF(I3936="SBJ","CB","?"))</f>
        <v> </v>
      </c>
      <c r="I3936" s="25" t="str">
        <f>IF(OR(E3936="",E3936="!!!",F3936="NEW"),"",INDEX(B3935:B$2,-1+SUMPRODUCT(MAX(ROW(E3935:E$2)*(E3936=E3935:E$2)))))</f>
        <v> </v>
      </c>
      <c r="J3936" s="25" t="str">
        <f>IF(OR(E3936="",E3936="!!!",F3936="NEW"),"",COUNTBLANK(OFFSET(A$1,,,SUMPRODUCT(MAX(ROW(E$2:E3936)*(E3936=E$2:E3936)))))-COUNTBLANK(OFFSET(A$1,,,SUMPRODUCT(MAX(ROW(E$1:E3935)*(E2=E$1:E3935))))))</f>
        <v> </v>
      </c>
      <c r="K3936" s="25" t="str">
        <f>IF(OR(E3936="",E3936="!!!",F3936="NEW"),"",INDEX(J$1:J3935,SUMPRODUCT(MAX(ROW(E$1:E3935)*(E3936=E$1:E3935)))))</f>
        <v> </v>
      </c>
      <c r="L3936" s="26"/>
    </row>
    <row r="3937" spans="1:12">
      <c r="A3937" s="20" t="s">
        <v>2869</v>
      </c>
      <c r="E3937" s="21">
        <f>IF(D3937="?OLD","!!!","")</f>
        <v/>
      </c>
      <c r="F3937" s="22" t="str">
        <f>IF(OR(E3937="",E3937="!!!"),"",IF(NOT(ISNA(VLOOKUP(E3937,E$1:E3936,1,FALSE()))),"OLD",IF(AND(E3937&lt;&gt;"",E3937&lt;&gt;"!!!"),"NEW","")))</f>
        <v> </v>
      </c>
      <c r="G3937" s="23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4" t="str">
        <f>IF(J3937&lt;&gt;1,"",IF(I3937="SBJ","CB","?"))</f>
        <v> </v>
      </c>
      <c r="I3937" s="25" t="str">
        <f>IF(OR(E3937="",E3937="!!!",F3937="NEW"),"",INDEX(B3936:B$2,-1+SUMPRODUCT(MAX(ROW(E3936:E$2)*(E3937=E3936:E$2)))))</f>
        <v> </v>
      </c>
      <c r="J3937" s="25" t="str">
        <f>IF(OR(E3937="",E3937="!!!",F3937="NEW"),"",COUNTBLANK(OFFSET(A$1,,,SUMPRODUCT(MAX(ROW(E$2:E3937)*(E3937=E$2:E3937)))))-COUNTBLANK(OFFSET(A$1,,,SUMPRODUCT(MAX(ROW(E$1:E3936)*(E2=E$1:E3936))))))</f>
        <v> </v>
      </c>
      <c r="K3937" s="25" t="str">
        <f>IF(OR(E3937="",E3937="!!!",F3937="NEW"),"",INDEX(J$1:J3936,SUMPRODUCT(MAX(ROW(E$1:E3936)*(E3937=E$1:E3936)))))</f>
        <v> </v>
      </c>
      <c r="L3937" s="26"/>
    </row>
    <row r="3938" spans="1:12">
      <c r="A3938" s="20" t="s">
        <v>2870</v>
      </c>
      <c r="E3938" s="21">
        <f>IF(D3938="?OLD","!!!","")</f>
        <v/>
      </c>
      <c r="F3938" s="22" t="str">
        <f>IF(OR(E3938="",E3938="!!!"),"",IF(NOT(ISNA(VLOOKUP(E3938,E$1:E3937,1,FALSE()))),"OLD",IF(AND(E3938&lt;&gt;"",E3938&lt;&gt;"!!!"),"NEW","")))</f>
        <v> </v>
      </c>
      <c r="G3938" s="23" t="str">
        <f>IF(OR(E3938="",E3938="!!!"),"",IF(OR(J3938=0,AND(J3938=1,K3938=1),AND(J3938=1,I3938="SBJ"),AND(J3938=1,I3938=0)),"?IN_FOCUS",IF(J3938&lt;=2,"?ACTIVATED",IF(J3938&lt;&gt;"","?FAMILIAR",IF(F3938="NEW",IF(ISNA(VLOOKUP(E3938,#REF!,1,FALSE())),"?TYPE_IDENTIFIABLE","?REFERENTIAL"),"_")))))</f>
        <v> </v>
      </c>
      <c r="H3938" s="24" t="str">
        <f>IF(J3938&lt;&gt;1,"",IF(I3938="SBJ","CB","?"))</f>
        <v> </v>
      </c>
      <c r="I3938" s="25" t="str">
        <f>IF(OR(E3938="",E3938="!!!",F3938="NEW"),"",INDEX(B3937:B$2,-1+SUMPRODUCT(MAX(ROW(E3937:E$2)*(E3938=E3937:E$2)))))</f>
        <v> </v>
      </c>
      <c r="J3938" s="25" t="str">
        <f>IF(OR(E3938="",E3938="!!!",F3938="NEW"),"",COUNTBLANK(OFFSET(A$1,,,SUMPRODUCT(MAX(ROW(E$2:E3938)*(E3938=E$2:E3938)))))-COUNTBLANK(OFFSET(A$1,,,SUMPRODUCT(MAX(ROW(E$1:E3937)*(E2=E$1:E3937))))))</f>
        <v> </v>
      </c>
      <c r="K3938" s="25" t="str">
        <f>IF(OR(E3938="",E3938="!!!",F3938="NEW"),"",INDEX(J$1:J3937,SUMPRODUCT(MAX(ROW(E$1:E3937)*(E3938=E$1:E3937)))))</f>
        <v> </v>
      </c>
      <c r="L3938" s="26"/>
    </row>
    <row r="3939" spans="1:12">
      <c r="A3939" s="20" t="s">
        <v>1145</v>
      </c>
      <c r="E3939" s="21">
        <f>IF(D3939="?OLD","!!!","")</f>
        <v/>
      </c>
      <c r="F3939" s="22" t="str">
        <f>IF(OR(E3939="",E3939="!!!"),"",IF(NOT(ISNA(VLOOKUP(E3939,E$1:E3938,1,FALSE()))),"OLD",IF(AND(E3939&lt;&gt;"",E3939&lt;&gt;"!!!"),"NEW","")))</f>
        <v> </v>
      </c>
      <c r="G3939" s="23" t="str">
        <f>IF(OR(E3939="",E3939="!!!"),"",IF(OR(J3939=0,AND(J3939=1,K3939=1),AND(J3939=1,I3939="SBJ"),AND(J3939=1,I3939=0)),"?IN_FOCUS",IF(J3939&lt;=2,"?ACTIVATED",IF(J3939&lt;&gt;"","?FAMILIAR",IF(F3939="NEW",IF(ISNA(VLOOKUP(E3939,#REF!,1,FALSE())),"?TYPE_IDENTIFIABLE","?REFERENTIAL"),"_")))))</f>
        <v> </v>
      </c>
      <c r="H3939" s="24" t="str">
        <f>IF(J3939&lt;&gt;1,"",IF(I3939="SBJ","CB","?"))</f>
        <v> </v>
      </c>
      <c r="I3939" s="25" t="str">
        <f>IF(OR(E3939="",E3939="!!!",F3939="NEW"),"",INDEX(B3938:B$2,-1+SUMPRODUCT(MAX(ROW(E3938:E$2)*(E3939=E3938:E$2)))))</f>
        <v> </v>
      </c>
      <c r="J3939" s="25" t="str">
        <f>IF(OR(E3939="",E3939="!!!",F3939="NEW"),"",COUNTBLANK(OFFSET(A$1,,,SUMPRODUCT(MAX(ROW(E$2:E3939)*(E3939=E$2:E3939)))))-COUNTBLANK(OFFSET(A$1,,,SUMPRODUCT(MAX(ROW(E$1:E3938)*(E2=E$1:E3938))))))</f>
        <v> </v>
      </c>
      <c r="K3939" s="25" t="str">
        <f>IF(OR(E3939="",E3939="!!!",F3939="NEW"),"",INDEX(J$1:J3938,SUMPRODUCT(MAX(ROW(E$1:E3938)*(E3939=E$1:E3938)))))</f>
        <v> </v>
      </c>
      <c r="L3939" s="26"/>
    </row>
    <row r="3940" spans="1:12">
      <c r="A3940" s="20"/>
    </row>
    <row r="3941" spans="1:12">
      <c r="A3941" s="20" t="s">
        <v>2871</v>
      </c>
      <c r="E3941" s="21">
        <f>IF(D3941="?OLD","!!!","")</f>
        <v/>
      </c>
      <c r="F3941" s="22" t="str">
        <f>IF(OR(E3941="",E3941="!!!"),"",IF(NOT(ISNA(VLOOKUP(E3941,E$1:E3940,1,FALSE()))),"OLD",IF(AND(E3941&lt;&gt;"",E3941&lt;&gt;"!!!"),"NEW","")))</f>
        <v> </v>
      </c>
      <c r="G3941" s="23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4" t="str">
        <f>IF(J3941&lt;&gt;1,"",IF(I3941="SBJ","CB","?"))</f>
        <v> </v>
      </c>
      <c r="I3941" s="25" t="str">
        <f>IF(OR(E3941="",E3941="!!!",F3941="NEW"),"",INDEX(B3940:B$2,-1+SUMPRODUCT(MAX(ROW(E3940:E$2)*(E3941=E3940:E$2)))))</f>
        <v> </v>
      </c>
      <c r="J3941" s="25" t="str">
        <f>IF(OR(E3941="",E3941="!!!",F3941="NEW"),"",COUNTBLANK(OFFSET(A$1,,,SUMPRODUCT(MAX(ROW(E$2:E3941)*(E3941=E$2:E3941)))))-COUNTBLANK(OFFSET(A$1,,,SUMPRODUCT(MAX(ROW(E$1:E3940)*(E2=E$1:E3940))))))</f>
        <v> </v>
      </c>
      <c r="K3941" s="25" t="str">
        <f>IF(OR(E3941="",E3941="!!!",F3941="NEW"),"",INDEX(J$1:J3940,SUMPRODUCT(MAX(ROW(E$1:E3940)*(E3941=E$1:E3940)))))</f>
        <v> </v>
      </c>
      <c r="L3941" s="26"/>
    </row>
    <row r="3942" spans="1:12">
      <c r="A3942" s="20" t="s">
        <v>2872</v>
      </c>
    </row>
    <row r="3943" spans="1:12">
      <c r="A3943" s="20" t="s">
        <v>2873</v>
      </c>
      <c r="E3943" s="21">
        <f>IF(D3943="?OLD","!!!","")</f>
        <v/>
      </c>
      <c r="F3943" s="22" t="str">
        <f>IF(OR(E3943="",E3943="!!!"),"",IF(NOT(ISNA(VLOOKUP(E3943,E$1:E3942,1,FALSE()))),"OLD",IF(AND(E3943&lt;&gt;"",E3943&lt;&gt;"!!!"),"NEW","")))</f>
        <v> </v>
      </c>
      <c r="G3943" s="23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4" t="str">
        <f>IF(J3943&lt;&gt;1,"",IF(I3943="SBJ","CB","?"))</f>
        <v> </v>
      </c>
      <c r="I3943" s="25" t="str">
        <f>IF(OR(E3943="",E3943="!!!",F3943="NEW"),"",INDEX(B3942:B$2,-1+SUMPRODUCT(MAX(ROW(E3942:E$2)*(E3943=E3942:E$2)))))</f>
        <v> </v>
      </c>
      <c r="J3943" s="25" t="str">
        <f>IF(OR(E3943="",E3943="!!!",F3943="NEW"),"",COUNTBLANK(OFFSET(A$1,,,SUMPRODUCT(MAX(ROW(E$2:E3943)*(E3943=E$2:E3943)))))-COUNTBLANK(OFFSET(A$1,,,SUMPRODUCT(MAX(ROW(E$1:E3942)*(E2=E$1:E3942))))))</f>
        <v> </v>
      </c>
      <c r="K3943" s="25" t="str">
        <f>IF(OR(E3943="",E3943="!!!",F3943="NEW"),"",INDEX(J$1:J3942,SUMPRODUCT(MAX(ROW(E$1:E3942)*(E3943=E$1:E3942)))))</f>
        <v> </v>
      </c>
      <c r="L3943" s="26"/>
    </row>
    <row r="3944" spans="1:12">
      <c r="A3944" s="20" t="s">
        <v>1309</v>
      </c>
      <c r="E3944" s="21">
        <f>IF(D3944="?OLD","!!!","")</f>
        <v/>
      </c>
      <c r="F3944" s="22" t="str">
        <f>IF(OR(E3944="",E3944="!!!"),"",IF(NOT(ISNA(VLOOKUP(E3944,E$1:E3943,1,FALSE()))),"OLD",IF(AND(E3944&lt;&gt;"",E3944&lt;&gt;"!!!"),"NEW","")))</f>
        <v> </v>
      </c>
      <c r="G3944" s="23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4" t="str">
        <f>IF(J3944&lt;&gt;1,"",IF(I3944="SBJ","CB","?"))</f>
        <v> </v>
      </c>
      <c r="I3944" s="25" t="str">
        <f>IF(OR(E3944="",E3944="!!!",F3944="NEW"),"",INDEX(B3943:B$2,-1+SUMPRODUCT(MAX(ROW(E3943:E$2)*(E3944=E3943:E$2)))))</f>
        <v> </v>
      </c>
      <c r="J3944" s="25" t="str">
        <f>IF(OR(E3944="",E3944="!!!",F3944="NEW"),"",COUNTBLANK(OFFSET(A$1,,,SUMPRODUCT(MAX(ROW(E$2:E3944)*(E3944=E$2:E3944)))))-COUNTBLANK(OFFSET(A$1,,,SUMPRODUCT(MAX(ROW(E$1:E3943)*(E2=E$1:E3943))))))</f>
        <v> </v>
      </c>
      <c r="K3944" s="25" t="str">
        <f>IF(OR(E3944="",E3944="!!!",F3944="NEW"),"",INDEX(J$1:J3943,SUMPRODUCT(MAX(ROW(E$1:E3943)*(E3944=E$1:E3943)))))</f>
        <v> </v>
      </c>
      <c r="L3944" s="26"/>
    </row>
    <row r="3945" spans="1:12">
      <c r="A3945" s="20" t="s">
        <v>2874</v>
      </c>
      <c r="B3945" s="27" t="s">
        <v>1149</v>
      </c>
      <c r="E3945" s="21">
        <f>IF(D3945="?OLD","!!!","")</f>
        <v/>
      </c>
      <c r="F3945" s="22" t="str">
        <f>IF(OR(E3945="",E3945="!!!"),"",IF(NOT(ISNA(VLOOKUP(E3945,E$1:E3944,1,FALSE()))),"OLD",IF(AND(E3945&lt;&gt;"",E3945&lt;&gt;"!!!"),"NEW","")))</f>
        <v> </v>
      </c>
      <c r="G3945" s="23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4" t="str">
        <f>IF(J3945&lt;&gt;1,"",IF(I3945="SBJ","CB","?"))</f>
        <v> </v>
      </c>
      <c r="I3945" s="25" t="str">
        <f>IF(OR(E3945="",E3945="!!!",F3945="NEW"),"",INDEX(B3944:B$2,-1+SUMPRODUCT(MAX(ROW(E3944:E$2)*(E3945=E3944:E$2)))))</f>
        <v> </v>
      </c>
      <c r="J3945" s="25" t="str">
        <f>IF(OR(E3945="",E3945="!!!",F3945="NEW"),"",COUNTBLANK(OFFSET(A$1,,,SUMPRODUCT(MAX(ROW(E$2:E3945)*(E3945=E$2:E3945)))))-COUNTBLANK(OFFSET(A$1,,,SUMPRODUCT(MAX(ROW(E$1:E3944)*(E2=E$1:E3944))))))</f>
        <v> </v>
      </c>
      <c r="K3945" s="25" t="str">
        <f>IF(OR(E3945="",E3945="!!!",F3945="NEW"),"",INDEX(J$1:J3944,SUMPRODUCT(MAX(ROW(E$1:E3944)*(E3945=E$1:E3944)))))</f>
        <v> </v>
      </c>
      <c r="L3945" s="26"/>
    </row>
    <row r="3946" spans="1:12">
      <c r="A3946" s="20" t="s">
        <v>1339</v>
      </c>
      <c r="E3946" s="21">
        <f>IF(D3946="?OLD","!!!","")</f>
        <v/>
      </c>
      <c r="F3946" s="22" t="str">
        <f>IF(OR(E3946="",E3946="!!!"),"",IF(NOT(ISNA(VLOOKUP(E3946,E$1:E3945,1,FALSE()))),"OLD",IF(AND(E3946&lt;&gt;"",E3946&lt;&gt;"!!!"),"NEW","")))</f>
        <v> </v>
      </c>
      <c r="G3946" s="23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4" t="str">
        <f>IF(J3946&lt;&gt;1,"",IF(I3946="SBJ","CB","?"))</f>
        <v> </v>
      </c>
      <c r="I3946" s="25" t="str">
        <f>IF(OR(E3946="",E3946="!!!",F3946="NEW"),"",INDEX(B3945:B$2,-1+SUMPRODUCT(MAX(ROW(E3945:E$2)*(E3946=E3945:E$2)))))</f>
        <v> </v>
      </c>
      <c r="J3946" s="25" t="str">
        <f>IF(OR(E3946="",E3946="!!!",F3946="NEW"),"",COUNTBLANK(OFFSET(A$1,,,SUMPRODUCT(MAX(ROW(E$2:E3946)*(E3946=E$2:E3946)))))-COUNTBLANK(OFFSET(A$1,,,SUMPRODUCT(MAX(ROW(E$1:E3945)*(E2=E$1:E3945))))))</f>
        <v> </v>
      </c>
      <c r="K3946" s="25" t="str">
        <f>IF(OR(E3946="",E3946="!!!",F3946="NEW"),"",INDEX(J$1:J3945,SUMPRODUCT(MAX(ROW(E$1:E3945)*(E3946=E$1:E3945)))))</f>
        <v> </v>
      </c>
      <c r="L3946" s="26"/>
    </row>
    <row r="3947" spans="1:12">
      <c r="A3947" s="20" t="s">
        <v>2875</v>
      </c>
      <c r="E3947" s="21">
        <f>IF(D3947="?OLD","!!!","")</f>
        <v/>
      </c>
      <c r="F3947" s="22" t="str">
        <f>IF(OR(E3947="",E3947="!!!"),"",IF(NOT(ISNA(VLOOKUP(E3947,E$1:E3946,1,FALSE()))),"OLD",IF(AND(E3947&lt;&gt;"",E3947&lt;&gt;"!!!"),"NEW","")))</f>
        <v> </v>
      </c>
      <c r="G3947" s="23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4" t="str">
        <f>IF(J3947&lt;&gt;1,"",IF(I3947="SBJ","CB","?"))</f>
        <v> </v>
      </c>
      <c r="I3947" s="25" t="str">
        <f>IF(OR(E3947="",E3947="!!!",F3947="NEW"),"",INDEX(B3946:B$2,-1+SUMPRODUCT(MAX(ROW(E3946:E$2)*(E3947=E3946:E$2)))))</f>
        <v> </v>
      </c>
      <c r="J3947" s="25" t="str">
        <f>IF(OR(E3947="",E3947="!!!",F3947="NEW"),"",COUNTBLANK(OFFSET(A$1,,,SUMPRODUCT(MAX(ROW(E$2:E3947)*(E3947=E$2:E3947)))))-COUNTBLANK(OFFSET(A$1,,,SUMPRODUCT(MAX(ROW(E$1:E3946)*(E2=E$1:E3946))))))</f>
        <v> </v>
      </c>
      <c r="K3947" s="25" t="str">
        <f>IF(OR(E3947="",E3947="!!!",F3947="NEW"),"",INDEX(J$1:J3946,SUMPRODUCT(MAX(ROW(E$1:E3946)*(E3947=E$1:E3946)))))</f>
        <v> </v>
      </c>
      <c r="L3947" s="26"/>
    </row>
    <row r="3948" spans="1:12">
      <c r="A3948" s="20" t="s">
        <v>2876</v>
      </c>
      <c r="E3948" s="21">
        <f>IF(D3948="?OLD","!!!","")</f>
        <v/>
      </c>
      <c r="F3948" s="22" t="str">
        <f>IF(OR(E3948="",E3948="!!!"),"",IF(NOT(ISNA(VLOOKUP(E3948,E$1:E3947,1,FALSE()))),"OLD",IF(AND(E3948&lt;&gt;"",E3948&lt;&gt;"!!!"),"NEW","")))</f>
        <v> </v>
      </c>
      <c r="G3948" s="23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4" t="str">
        <f>IF(J3948&lt;&gt;1,"",IF(I3948="SBJ","CB","?"))</f>
        <v> </v>
      </c>
      <c r="I3948" s="25" t="str">
        <f>IF(OR(E3948="",E3948="!!!",F3948="NEW"),"",INDEX(B3947:B$2,-1+SUMPRODUCT(MAX(ROW(E3947:E$2)*(E3948=E3947:E$2)))))</f>
        <v> </v>
      </c>
      <c r="J3948" s="25" t="str">
        <f>IF(OR(E3948="",E3948="!!!",F3948="NEW"),"",COUNTBLANK(OFFSET(A$1,,,SUMPRODUCT(MAX(ROW(E$2:E3948)*(E3948=E$2:E3948)))))-COUNTBLANK(OFFSET(A$1,,,SUMPRODUCT(MAX(ROW(E$1:E3947)*(E2=E$1:E3947))))))</f>
        <v> </v>
      </c>
      <c r="K3948" s="25" t="str">
        <f>IF(OR(E3948="",E3948="!!!",F3948="NEW"),"",INDEX(J$1:J3947,SUMPRODUCT(MAX(ROW(E$1:E3947)*(E3948=E$1:E3947)))))</f>
        <v> </v>
      </c>
      <c r="L3948" s="26"/>
    </row>
    <row r="3949" spans="1:12">
      <c r="A3949" s="20" t="s">
        <v>1145</v>
      </c>
      <c r="E3949" s="21">
        <f>IF(D3949="?OLD","!!!","")</f>
        <v/>
      </c>
      <c r="F3949" s="22" t="str">
        <f>IF(OR(E3949="",E3949="!!!"),"",IF(NOT(ISNA(VLOOKUP(E3949,E$1:E3948,1,FALSE()))),"OLD",IF(AND(E3949&lt;&gt;"",E3949&lt;&gt;"!!!"),"NEW","")))</f>
        <v> </v>
      </c>
      <c r="G3949" s="23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4" t="str">
        <f>IF(J3949&lt;&gt;1,"",IF(I3949="SBJ","CB","?"))</f>
        <v> </v>
      </c>
      <c r="I3949" s="25" t="str">
        <f>IF(OR(E3949="",E3949="!!!",F3949="NEW"),"",INDEX(B3948:B$2,-1+SUMPRODUCT(MAX(ROW(E3948:E$2)*(E3949=E3948:E$2)))))</f>
        <v> </v>
      </c>
      <c r="J3949" s="25" t="str">
        <f>IF(OR(E3949="",E3949="!!!",F3949="NEW"),"",COUNTBLANK(OFFSET(A$1,,,SUMPRODUCT(MAX(ROW(E$2:E3949)*(E3949=E$2:E3949)))))-COUNTBLANK(OFFSET(A$1,,,SUMPRODUCT(MAX(ROW(E$1:E3948)*(E2=E$1:E3948))))))</f>
        <v> </v>
      </c>
      <c r="K3949" s="25" t="str">
        <f>IF(OR(E3949="",E3949="!!!",F3949="NEW"),"",INDEX(J$1:J3948,SUMPRODUCT(MAX(ROW(E$1:E3948)*(E3949=E$1:E3948)))))</f>
        <v> </v>
      </c>
      <c r="L3949" s="26"/>
    </row>
    <row r="3950" spans="1:12">
      <c r="A3950" s="20"/>
    </row>
    <row r="3951" spans="1:12">
      <c r="A3951" s="20" t="s">
        <v>2871</v>
      </c>
      <c r="E3951" s="21">
        <f>IF(D3951="?OLD","!!!","")</f>
        <v/>
      </c>
      <c r="F3951" s="22" t="str">
        <f>IF(OR(E3951="",E3951="!!!"),"",IF(NOT(ISNA(VLOOKUP(E3951,E$1:E3950,1,FALSE()))),"OLD",IF(AND(E3951&lt;&gt;"",E3951&lt;&gt;"!!!"),"NEW","")))</f>
        <v> </v>
      </c>
      <c r="G3951" s="23" t="str">
        <f>IF(OR(E3951="",E3951="!!!"),"",IF(OR(J3951=0,AND(J3951=1,K3951=1),AND(J3951=1,I3951="SBJ"),AND(J3951=1,I3951=0)),"?IN_FOCUS",IF(J3951&lt;=2,"?ACTIVATED",IF(J3951&lt;&gt;"","?FAMILIAR",IF(F3951="NEW",IF(ISNA(VLOOKUP(E3951,#REF!,1,FALSE())),"?TYPE_IDENTIFIABLE","?REFERENTIAL"),"_")))))</f>
        <v> </v>
      </c>
      <c r="H3951" s="24" t="str">
        <f>IF(J3951&lt;&gt;1,"",IF(I3951="SBJ","CB","?"))</f>
        <v> </v>
      </c>
      <c r="I3951" s="25" t="str">
        <f>IF(OR(E3951="",E3951="!!!",F3951="NEW"),"",INDEX(B3950:B$2,-1+SUMPRODUCT(MAX(ROW(E3950:E$2)*(E3951=E3950:E$2)))))</f>
        <v> </v>
      </c>
      <c r="J3951" s="25" t="str">
        <f>IF(OR(E3951="",E3951="!!!",F3951="NEW"),"",COUNTBLANK(OFFSET(A$1,,,SUMPRODUCT(MAX(ROW(E$2:E3951)*(E3951=E$2:E3951)))))-COUNTBLANK(OFFSET(A$1,,,SUMPRODUCT(MAX(ROW(E$1:E3950)*(E2=E$1:E3950))))))</f>
        <v> </v>
      </c>
      <c r="K3951" s="25" t="str">
        <f>IF(OR(E3951="",E3951="!!!",F3951="NEW"),"",INDEX(J$1:J3950,SUMPRODUCT(MAX(ROW(E$1:E3950)*(E3951=E$1:E3950)))))</f>
        <v> </v>
      </c>
      <c r="L3951" s="26"/>
    </row>
    <row r="3952" spans="1:12">
      <c r="A3952" s="20" t="s">
        <v>2877</v>
      </c>
    </row>
    <row r="3953" spans="1:12">
      <c r="A3953" s="20" t="s">
        <v>958</v>
      </c>
      <c r="E3953" s="21">
        <f>IF(D3953="?OLD","!!!","")</f>
        <v/>
      </c>
      <c r="F3953" s="22" t="str">
        <f>IF(OR(E3953="",E3953="!!!"),"",IF(NOT(ISNA(VLOOKUP(E3953,E$1:E3952,1,FALSE()))),"OLD",IF(AND(E3953&lt;&gt;"",E3953&lt;&gt;"!!!"),"NEW","")))</f>
        <v> </v>
      </c>
      <c r="G3953" s="23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4" t="str">
        <f>IF(J3953&lt;&gt;1,"",IF(I3953="SBJ","CB","?"))</f>
        <v> </v>
      </c>
      <c r="I3953" s="25" t="str">
        <f>IF(OR(E3953="",E3953="!!!",F3953="NEW"),"",INDEX(B3952:B$2,-1+SUMPRODUCT(MAX(ROW(E3952:E$2)*(E3953=E3952:E$2)))))</f>
        <v> </v>
      </c>
      <c r="J3953" s="25" t="str">
        <f>IF(OR(E3953="",E3953="!!!",F3953="NEW"),"",COUNTBLANK(OFFSET(A$1,,,SUMPRODUCT(MAX(ROW(E$2:E3953)*(E3953=E$2:E3953)))))-COUNTBLANK(OFFSET(A$1,,,SUMPRODUCT(MAX(ROW(E$1:E3952)*(E2=E$1:E3952))))))</f>
        <v> </v>
      </c>
      <c r="K3953" s="25" t="str">
        <f>IF(OR(E3953="",E3953="!!!",F3953="NEW"),"",INDEX(J$1:J3952,SUMPRODUCT(MAX(ROW(E$1:E3952)*(E3953=E$1:E3952)))))</f>
        <v> </v>
      </c>
      <c r="L3953" s="26"/>
    </row>
    <row r="3954" spans="1:12">
      <c r="A3954" s="20" t="s">
        <v>2875</v>
      </c>
      <c r="E3954" s="21">
        <f>IF(D3954="?OLD","!!!","")</f>
        <v/>
      </c>
      <c r="F3954" s="22" t="str">
        <f>IF(OR(E3954="",E3954="!!!"),"",IF(NOT(ISNA(VLOOKUP(E3954,E$1:E3953,1,FALSE()))),"OLD",IF(AND(E3954&lt;&gt;"",E3954&lt;&gt;"!!!"),"NEW","")))</f>
        <v> </v>
      </c>
      <c r="G3954" s="23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4" t="str">
        <f>IF(J3954&lt;&gt;1,"",IF(I3954="SBJ","CB","?"))</f>
        <v> </v>
      </c>
      <c r="I3954" s="25" t="str">
        <f>IF(OR(E3954="",E3954="!!!",F3954="NEW"),"",INDEX(B3953:B$2,-1+SUMPRODUCT(MAX(ROW(E3953:E$2)*(E3954=E3953:E$2)))))</f>
        <v> </v>
      </c>
      <c r="J3954" s="25" t="str">
        <f>IF(OR(E3954="",E3954="!!!",F3954="NEW"),"",COUNTBLANK(OFFSET(A$1,,,SUMPRODUCT(MAX(ROW(E$2:E3954)*(E3954=E$2:E3954)))))-COUNTBLANK(OFFSET(A$1,,,SUMPRODUCT(MAX(ROW(E$1:E3953)*(E2=E$1:E3953))))))</f>
        <v> </v>
      </c>
      <c r="K3954" s="25" t="str">
        <f>IF(OR(E3954="",E3954="!!!",F3954="NEW"),"",INDEX(J$1:J3953,SUMPRODUCT(MAX(ROW(E$1:E3953)*(E3954=E$1:E3953)))))</f>
        <v> </v>
      </c>
      <c r="L3954" s="26"/>
    </row>
    <row r="3955" spans="1:12">
      <c r="A3955" s="20" t="s">
        <v>1145</v>
      </c>
      <c r="E3955" s="21">
        <f>IF(D3955="?OLD","!!!","")</f>
        <v/>
      </c>
      <c r="F3955" s="22" t="str">
        <f>IF(OR(E3955="",E3955="!!!"),"",IF(NOT(ISNA(VLOOKUP(E3955,E$1:E3954,1,FALSE()))),"OLD",IF(AND(E3955&lt;&gt;"",E3955&lt;&gt;"!!!"),"NEW","")))</f>
        <v> </v>
      </c>
      <c r="G3955" s="23" t="str">
        <f>IF(OR(E3955="",E3955="!!!"),"",IF(OR(J3955=0,AND(J3955=1,K3955=1),AND(J3955=1,I3955="SBJ"),AND(J3955=1,I3955=0)),"?IN_FOCUS",IF(J3955&lt;=2,"?ACTIVATED",IF(J3955&lt;&gt;"","?FAMILIAR",IF(F3955="NEW",IF(ISNA(VLOOKUP(E3955,#REF!,1,FALSE())),"?TYPE_IDENTIFIABLE","?REFERENTIAL"),"_")))))</f>
        <v> </v>
      </c>
      <c r="H3955" s="24" t="str">
        <f>IF(J3955&lt;&gt;1,"",IF(I3955="SBJ","CB","?"))</f>
        <v> </v>
      </c>
      <c r="I3955" s="25" t="str">
        <f>IF(OR(E3955="",E3955="!!!",F3955="NEW"),"",INDEX(B3954:B$2,-1+SUMPRODUCT(MAX(ROW(E3954:E$2)*(E3955=E3954:E$2)))))</f>
        <v> </v>
      </c>
      <c r="J3955" s="25" t="str">
        <f>IF(OR(E3955="",E3955="!!!",F3955="NEW"),"",COUNTBLANK(OFFSET(A$1,,,SUMPRODUCT(MAX(ROW(E$2:E3955)*(E3955=E$2:E3955)))))-COUNTBLANK(OFFSET(A$1,,,SUMPRODUCT(MAX(ROW(E$1:E3954)*(E2=E$1:E3954))))))</f>
        <v> </v>
      </c>
      <c r="K3955" s="25" t="str">
        <f>IF(OR(E3955="",E3955="!!!",F3955="NEW"),"",INDEX(J$1:J3954,SUMPRODUCT(MAX(ROW(E$1:E3954)*(E3955=E$1:E3954)))))</f>
        <v> </v>
      </c>
      <c r="L3955" s="26"/>
    </row>
    <row r="3956" spans="1:12">
      <c r="A3956" s="20"/>
    </row>
    <row r="3957" spans="1:12">
      <c r="A3957" s="20" t="s">
        <v>2878</v>
      </c>
    </row>
    <row r="3958" spans="1:12">
      <c r="A3958" s="20" t="s">
        <v>1111</v>
      </c>
      <c r="E3958" s="21">
        <f>IF(D3958="?OLD","!!!","")</f>
        <v/>
      </c>
      <c r="F3958" s="22" t="str">
        <f>IF(OR(E3958="",E3958="!!!"),"",IF(NOT(ISNA(VLOOKUP(E3958,E$1:E3957,1,FALSE()))),"OLD",IF(AND(E3958&lt;&gt;"",E3958&lt;&gt;"!!!"),"NEW","")))</f>
        <v> </v>
      </c>
      <c r="G3958" s="23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4" t="str">
        <f>IF(J3958&lt;&gt;1,"",IF(I3958="SBJ","CB","?"))</f>
        <v> </v>
      </c>
      <c r="I3958" s="25" t="str">
        <f>IF(OR(E3958="",E3958="!!!",F3958="NEW"),"",INDEX(B3957:B$2,-1+SUMPRODUCT(MAX(ROW(E3957:E$2)*(E3958=E3957:E$2)))))</f>
        <v> </v>
      </c>
      <c r="J3958" s="25" t="str">
        <f>IF(OR(E3958="",E3958="!!!",F3958="NEW"),"",COUNTBLANK(OFFSET(A$1,,,SUMPRODUCT(MAX(ROW(E$2:E3958)*(E3958=E$2:E3958)))))-COUNTBLANK(OFFSET(A$1,,,SUMPRODUCT(MAX(ROW(E$1:E3957)*(E2=E$1:E3957))))))</f>
        <v> </v>
      </c>
      <c r="K3958" s="25" t="str">
        <f>IF(OR(E3958="",E3958="!!!",F3958="NEW"),"",INDEX(J$1:J3957,SUMPRODUCT(MAX(ROW(E$1:E3957)*(E3958=E$1:E3957)))))</f>
        <v> </v>
      </c>
      <c r="L3958" s="26"/>
    </row>
    <row r="3959" spans="1:12">
      <c r="A3959" s="20" t="s">
        <v>2879</v>
      </c>
      <c r="E3959" s="21">
        <f>IF(D3959="?OLD","!!!","")</f>
        <v/>
      </c>
      <c r="F3959" s="22" t="str">
        <f>IF(OR(E3959="",E3959="!!!"),"",IF(NOT(ISNA(VLOOKUP(E3959,E$1:E3958,1,FALSE()))),"OLD",IF(AND(E3959&lt;&gt;"",E3959&lt;&gt;"!!!"),"NEW","")))</f>
        <v> </v>
      </c>
      <c r="G3959" s="23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4" t="str">
        <f>IF(J3959&lt;&gt;1,"",IF(I3959="SBJ","CB","?"))</f>
        <v> </v>
      </c>
      <c r="I3959" s="25" t="str">
        <f>IF(OR(E3959="",E3959="!!!",F3959="NEW"),"",INDEX(B3958:B$2,-1+SUMPRODUCT(MAX(ROW(E3958:E$2)*(E3959=E3958:E$2)))))</f>
        <v> </v>
      </c>
      <c r="J3959" s="25" t="str">
        <f>IF(OR(E3959="",E3959="!!!",F3959="NEW"),"",COUNTBLANK(OFFSET(A$1,,,SUMPRODUCT(MAX(ROW(E$2:E3959)*(E3959=E$2:E3959)))))-COUNTBLANK(OFFSET(A$1,,,SUMPRODUCT(MAX(ROW(E$1:E3958)*(E2=E$1:E3958))))))</f>
        <v> </v>
      </c>
      <c r="K3959" s="25" t="str">
        <f>IF(OR(E3959="",E3959="!!!",F3959="NEW"),"",INDEX(J$1:J3958,SUMPRODUCT(MAX(ROW(E$1:E3958)*(E3959=E$1:E3958)))))</f>
        <v> </v>
      </c>
      <c r="L3959" s="26"/>
    </row>
    <row r="3960" spans="1:12">
      <c r="A3960" s="20" t="s">
        <v>2007</v>
      </c>
      <c r="E3960" s="21">
        <f>IF(D3960="?OLD","!!!","")</f>
        <v/>
      </c>
      <c r="F3960" s="22" t="str">
        <f>IF(OR(E3960="",E3960="!!!"),"",IF(NOT(ISNA(VLOOKUP(E3960,E$1:E3959,1,FALSE()))),"OLD",IF(AND(E3960&lt;&gt;"",E3960&lt;&gt;"!!!"),"NEW","")))</f>
        <v> </v>
      </c>
      <c r="G3960" s="23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4" t="str">
        <f>IF(J3960&lt;&gt;1,"",IF(I3960="SBJ","CB","?"))</f>
        <v> </v>
      </c>
      <c r="I3960" s="25" t="str">
        <f>IF(OR(E3960="",E3960="!!!",F3960="NEW"),"",INDEX(B3959:B$2,-1+SUMPRODUCT(MAX(ROW(E3959:E$2)*(E3960=E3959:E$2)))))</f>
        <v> </v>
      </c>
      <c r="J3960" s="25" t="str">
        <f>IF(OR(E3960="",E3960="!!!",F3960="NEW"),"",COUNTBLANK(OFFSET(A$1,,,SUMPRODUCT(MAX(ROW(E$2:E3960)*(E3960=E$2:E3960)))))-COUNTBLANK(OFFSET(A$1,,,SUMPRODUCT(MAX(ROW(E$1:E3959)*(E2=E$1:E3959))))))</f>
        <v> </v>
      </c>
      <c r="K3960" s="25" t="str">
        <f>IF(OR(E3960="",E3960="!!!",F3960="NEW"),"",INDEX(J$1:J3959,SUMPRODUCT(MAX(ROW(E$1:E3959)*(E3960=E$1:E3959)))))</f>
        <v> </v>
      </c>
      <c r="L3960" s="26"/>
    </row>
    <row r="3961" spans="1:12">
      <c r="A3961" s="20" t="s">
        <v>2880</v>
      </c>
      <c r="B3961" s="27" t="s">
        <v>1103</v>
      </c>
      <c r="C3961" s="27" t="s">
        <v>1116</v>
      </c>
      <c r="E3961" s="21">
        <f>IF(D3961="?OLD","!!!","")</f>
        <v/>
      </c>
      <c r="F3961" s="22" t="str">
        <f>IF(OR(E3961="",E3961="!!!"),"",IF(NOT(ISNA(VLOOKUP(E3961,E$1:E3960,1,FALSE()))),"OLD",IF(AND(E3961&lt;&gt;"",E3961&lt;&gt;"!!!"),"NEW","")))</f>
        <v> </v>
      </c>
      <c r="G3961" s="23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4" t="str">
        <f>IF(J3961&lt;&gt;1,"",IF(I3961="SBJ","CB","?"))</f>
        <v> </v>
      </c>
      <c r="I3961" s="25" t="str">
        <f>IF(OR(E3961="",E3961="!!!",F3961="NEW"),"",INDEX(B3960:B$2,-1+SUMPRODUCT(MAX(ROW(E3960:E$2)*(E3961=E3960:E$2)))))</f>
        <v> </v>
      </c>
      <c r="J3961" s="25" t="str">
        <f>IF(OR(E3961="",E3961="!!!",F3961="NEW"),"",COUNTBLANK(OFFSET(A$1,,,SUMPRODUCT(MAX(ROW(E$2:E3961)*(E3961=E$2:E3961)))))-COUNTBLANK(OFFSET(A$1,,,SUMPRODUCT(MAX(ROW(E$1:E3960)*(E2=E$1:E3960))))))</f>
        <v> </v>
      </c>
      <c r="K3961" s="25" t="str">
        <f>IF(OR(E3961="",E3961="!!!",F3961="NEW"),"",INDEX(J$1:J3960,SUMPRODUCT(MAX(ROW(E$1:E3960)*(E3961=E$1:E3960)))))</f>
        <v> </v>
      </c>
      <c r="L3961" s="26"/>
    </row>
    <row r="3962" spans="1:12">
      <c r="A3962" s="20" t="s">
        <v>2881</v>
      </c>
      <c r="E3962" s="21">
        <f>IF(D3962="?OLD","!!!","")</f>
        <v/>
      </c>
      <c r="F3962" s="22" t="str">
        <f>IF(OR(E3962="",E3962="!!!"),"",IF(NOT(ISNA(VLOOKUP(E3962,E$1:E3961,1,FALSE()))),"OLD",IF(AND(E3962&lt;&gt;"",E3962&lt;&gt;"!!!"),"NEW","")))</f>
        <v> </v>
      </c>
      <c r="G3962" s="23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4" t="str">
        <f>IF(J3962&lt;&gt;1,"",IF(I3962="SBJ","CB","?"))</f>
        <v> </v>
      </c>
      <c r="I3962" s="25" t="str">
        <f>IF(OR(E3962="",E3962="!!!",F3962="NEW"),"",INDEX(B3961:B$2,-1+SUMPRODUCT(MAX(ROW(E3961:E$2)*(E3962=E3961:E$2)))))</f>
        <v> </v>
      </c>
      <c r="J3962" s="25" t="str">
        <f>IF(OR(E3962="",E3962="!!!",F3962="NEW"),"",COUNTBLANK(OFFSET(A$1,,,SUMPRODUCT(MAX(ROW(E$2:E3962)*(E3962=E$2:E3962)))))-COUNTBLANK(OFFSET(A$1,,,SUMPRODUCT(MAX(ROW(E$1:E3961)*(E2=E$1:E3961))))))</f>
        <v> </v>
      </c>
      <c r="K3962" s="25" t="str">
        <f>IF(OR(E3962="",E3962="!!!",F3962="NEW"),"",INDEX(J$1:J3961,SUMPRODUCT(MAX(ROW(E$1:E3961)*(E3962=E$1:E3961)))))</f>
        <v> </v>
      </c>
      <c r="L3962" s="26"/>
    </row>
    <row r="3963" spans="1:12">
      <c r="A3963" s="20" t="s">
        <v>887</v>
      </c>
      <c r="E3963" s="21">
        <f>IF(D3963="?OLD","!!!","")</f>
        <v/>
      </c>
      <c r="F3963" s="22" t="str">
        <f>IF(OR(E3963="",E3963="!!!"),"",IF(NOT(ISNA(VLOOKUP(E3963,E$1:E3962,1,FALSE()))),"OLD",IF(AND(E3963&lt;&gt;"",E3963&lt;&gt;"!!!"),"NEW","")))</f>
        <v> </v>
      </c>
      <c r="G3963" s="23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4" t="str">
        <f>IF(J3963&lt;&gt;1,"",IF(I3963="SBJ","CB","?"))</f>
        <v> </v>
      </c>
      <c r="I3963" s="25" t="str">
        <f>IF(OR(E3963="",E3963="!!!",F3963="NEW"),"",INDEX(B3962:B$2,-1+SUMPRODUCT(MAX(ROW(E3962:E$2)*(E3963=E3962:E$2)))))</f>
        <v> </v>
      </c>
      <c r="J3963" s="25" t="str">
        <f>IF(OR(E3963="",E3963="!!!",F3963="NEW"),"",COUNTBLANK(OFFSET(A$1,,,SUMPRODUCT(MAX(ROW(E$2:E3963)*(E3963=E$2:E3963)))))-COUNTBLANK(OFFSET(A$1,,,SUMPRODUCT(MAX(ROW(E$1:E3962)*(E2=E$1:E3962))))))</f>
        <v> </v>
      </c>
      <c r="K3963" s="25" t="str">
        <f>IF(OR(E3963="",E3963="!!!",F3963="NEW"),"",INDEX(J$1:J3962,SUMPRODUCT(MAX(ROW(E$1:E3962)*(E3963=E$1:E3962)))))</f>
        <v> </v>
      </c>
      <c r="L3963" s="26"/>
    </row>
    <row r="3964" spans="1:12">
      <c r="A3964" s="20" t="s">
        <v>2882</v>
      </c>
      <c r="E3964" s="21">
        <f>IF(D3964="?OLD","!!!","")</f>
        <v/>
      </c>
      <c r="F3964" s="22" t="str">
        <f>IF(OR(E3964="",E3964="!!!"),"",IF(NOT(ISNA(VLOOKUP(E3964,E$1:E3963,1,FALSE()))),"OLD",IF(AND(E3964&lt;&gt;"",E3964&lt;&gt;"!!!"),"NEW","")))</f>
        <v> </v>
      </c>
      <c r="G3964" s="23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4" t="str">
        <f>IF(J3964&lt;&gt;1,"",IF(I3964="SBJ","CB","?"))</f>
        <v> </v>
      </c>
      <c r="I3964" s="25" t="str">
        <f>IF(OR(E3964="",E3964="!!!",F3964="NEW"),"",INDEX(B3963:B$2,-1+SUMPRODUCT(MAX(ROW(E3963:E$2)*(E3964=E3963:E$2)))))</f>
        <v> </v>
      </c>
      <c r="J3964" s="25" t="str">
        <f>IF(OR(E3964="",E3964="!!!",F3964="NEW"),"",COUNTBLANK(OFFSET(A$1,,,SUMPRODUCT(MAX(ROW(E$2:E3964)*(E3964=E$2:E3964)))))-COUNTBLANK(OFFSET(A$1,,,SUMPRODUCT(MAX(ROW(E$1:E3963)*(E2=E$1:E3963))))))</f>
        <v> </v>
      </c>
      <c r="K3964" s="25" t="str">
        <f>IF(OR(E3964="",E3964="!!!",F3964="NEW"),"",INDEX(J$1:J3963,SUMPRODUCT(MAX(ROW(E$1:E3963)*(E3964=E$1:E3963)))))</f>
        <v> </v>
      </c>
      <c r="L3964" s="26"/>
    </row>
    <row r="3965" spans="1:12">
      <c r="A3965" s="20" t="s">
        <v>2883</v>
      </c>
      <c r="B3965" s="27" t="s">
        <v>1243</v>
      </c>
      <c r="E3965" s="21">
        <f>IF(D3965="?OLD","!!!","")</f>
        <v/>
      </c>
      <c r="F3965" s="22" t="str">
        <f>IF(OR(E3965="",E3965="!!!"),"",IF(NOT(ISNA(VLOOKUP(E3965,E$1:E3964,1,FALSE()))),"OLD",IF(AND(E3965&lt;&gt;"",E3965&lt;&gt;"!!!"),"NEW","")))</f>
        <v> </v>
      </c>
      <c r="G3965" s="23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4" t="str">
        <f>IF(J3965&lt;&gt;1,"",IF(I3965="SBJ","CB","?"))</f>
        <v> </v>
      </c>
      <c r="I3965" s="25" t="str">
        <f>IF(OR(E3965="",E3965="!!!",F3965="NEW"),"",INDEX(B3964:B$2,-1+SUMPRODUCT(MAX(ROW(E3964:E$2)*(E3965=E3964:E$2)))))</f>
        <v> </v>
      </c>
      <c r="J3965" s="25" t="str">
        <f>IF(OR(E3965="",E3965="!!!",F3965="NEW"),"",COUNTBLANK(OFFSET(A$1,,,SUMPRODUCT(MAX(ROW(E$2:E3965)*(E3965=E$2:E3965)))))-COUNTBLANK(OFFSET(A$1,,,SUMPRODUCT(MAX(ROW(E$1:E3964)*(E2=E$1:E3964))))))</f>
        <v> </v>
      </c>
      <c r="K3965" s="25" t="str">
        <f>IF(OR(E3965="",E3965="!!!",F3965="NEW"),"",INDEX(J$1:J3964,SUMPRODUCT(MAX(ROW(E$1:E3964)*(E3965=E$1:E3964)))))</f>
        <v> </v>
      </c>
      <c r="L3965" s="26"/>
    </row>
    <row r="3966" spans="1:12">
      <c r="A3966" s="20" t="s">
        <v>1145</v>
      </c>
      <c r="E3966" s="21">
        <f>IF(D3966="?OLD","!!!","")</f>
        <v/>
      </c>
      <c r="F3966" s="22" t="str">
        <f>IF(OR(E3966="",E3966="!!!"),"",IF(NOT(ISNA(VLOOKUP(E3966,E$1:E3965,1,FALSE()))),"OLD",IF(AND(E3966&lt;&gt;"",E3966&lt;&gt;"!!!"),"NEW","")))</f>
        <v> </v>
      </c>
      <c r="G3966" s="23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4" t="str">
        <f>IF(J3966&lt;&gt;1,"",IF(I3966="SBJ","CB","?"))</f>
        <v> </v>
      </c>
      <c r="I3966" s="25" t="str">
        <f>IF(OR(E3966="",E3966="!!!",F3966="NEW"),"",INDEX(B3965:B$2,-1+SUMPRODUCT(MAX(ROW(E3965:E$2)*(E3966=E3965:E$2)))))</f>
        <v> </v>
      </c>
      <c r="J3966" s="25" t="str">
        <f>IF(OR(E3966="",E3966="!!!",F3966="NEW"),"",COUNTBLANK(OFFSET(A$1,,,SUMPRODUCT(MAX(ROW(E$2:E3966)*(E3966=E$2:E3966)))))-COUNTBLANK(OFFSET(A$1,,,SUMPRODUCT(MAX(ROW(E$1:E3965)*(E2=E$1:E3965))))))</f>
        <v> </v>
      </c>
      <c r="K3966" s="25" t="str">
        <f>IF(OR(E3966="",E3966="!!!",F3966="NEW"),"",INDEX(J$1:J3965,SUMPRODUCT(MAX(ROW(E$1:E3965)*(E3966=E$1:E3965)))))</f>
        <v> </v>
      </c>
      <c r="L3966" s="26"/>
    </row>
    <row r="3967" spans="1:12">
      <c r="A3967" s="20"/>
    </row>
    <row r="3968" spans="1:12">
      <c r="A3968" s="20" t="s">
        <v>2884</v>
      </c>
    </row>
    <row r="3969" spans="1:12">
      <c r="A3969" s="20" t="s">
        <v>1350</v>
      </c>
      <c r="E3969" s="21">
        <f>IF(D3969="?OLD","!!!","")</f>
        <v/>
      </c>
      <c r="F3969" s="22" t="str">
        <f>IF(OR(E3969="",E3969="!!!"),"",IF(NOT(ISNA(VLOOKUP(E3969,E$1:E3968,1,FALSE()))),"OLD",IF(AND(E3969&lt;&gt;"",E3969&lt;&gt;"!!!"),"NEW","")))</f>
        <v> </v>
      </c>
      <c r="G3969" s="23" t="str">
        <f>IF(OR(E3969="",E3969="!!!"),"",IF(OR(J3969=0,AND(J3969=1,K3969=1),AND(J3969=1,I3969="SBJ"),AND(J3969=1,I3969=0)),"?IN_FOCUS",IF(J3969&lt;=2,"?ACTIVATED",IF(J3969&lt;&gt;"","?FAMILIAR",IF(F3969="NEW",IF(ISNA(VLOOKUP(E3969,#REF!,1,FALSE())),"?TYPE_IDENTIFIABLE","?REFERENTIAL"),"_")))))</f>
        <v> </v>
      </c>
      <c r="H3969" s="24" t="str">
        <f>IF(J3969&lt;&gt;1,"",IF(I3969="SBJ","CB","?"))</f>
        <v> </v>
      </c>
      <c r="I3969" s="25" t="str">
        <f>IF(OR(E3969="",E3969="!!!",F3969="NEW"),"",INDEX(B3968:B$2,-1+SUMPRODUCT(MAX(ROW(E3968:E$2)*(E3969=E3968:E$2)))))</f>
        <v> </v>
      </c>
      <c r="J3969" s="25" t="str">
        <f>IF(OR(E3969="",E3969="!!!",F3969="NEW"),"",COUNTBLANK(OFFSET(A$1,,,SUMPRODUCT(MAX(ROW(E$2:E3969)*(E3969=E$2:E3969)))))-COUNTBLANK(OFFSET(A$1,,,SUMPRODUCT(MAX(ROW(E$1:E3968)*(E2=E$1:E3968))))))</f>
        <v> </v>
      </c>
      <c r="K3969" s="25" t="str">
        <f>IF(OR(E3969="",E3969="!!!",F3969="NEW"),"",INDEX(J$1:J3968,SUMPRODUCT(MAX(ROW(E$1:E3968)*(E3969=E$1:E3968)))))</f>
        <v> </v>
      </c>
      <c r="L3969" s="26"/>
    </row>
    <row r="3970" spans="1:12">
      <c r="A3970" s="20" t="s">
        <v>1124</v>
      </c>
      <c r="B3970" s="27" t="s">
        <v>1149</v>
      </c>
      <c r="C3970" s="27" t="s">
        <v>1126</v>
      </c>
      <c r="D3970" s="27" t="s">
        <v>1105</v>
      </c>
      <c r="E3970" s="21">
        <f>IF(D3970="?OLD","!!!","")</f>
        <v/>
      </c>
      <c r="F3970" s="22" t="str">
        <f>IF(OR(E3970="",E3970="!!!"),"",IF(NOT(ISNA(VLOOKUP(E3970,E$1:E3969,1,FALSE()))),"OLD",IF(AND(E3970&lt;&gt;"",E3970&lt;&gt;"!!!"),"NEW","")))</f>
        <v> </v>
      </c>
      <c r="G3970" s="23" t="str">
        <f>IF(OR(E3970="",E3970="!!!"),"",IF(OR(J3970=0,AND(J3970=1,K3970=1),AND(J3970=1,I3970="SBJ"),AND(J3970=1,I3970=0)),"?IN_FOCUS",IF(J3970&lt;=2,"?ACTIVATED",IF(J3970&lt;&gt;"","?FAMILIAR",IF(F3970="NEW",IF(ISNA(VLOOKUP(E3970,#REF!,1,FALSE())),"?TYPE_IDENTIFIABLE","?REFERENTIAL"),"_")))))</f>
        <v> </v>
      </c>
      <c r="H3970" s="24" t="str">
        <f>IF(J3970&lt;&gt;1,"",IF(I3970="SBJ","CB","?"))</f>
        <v> </v>
      </c>
      <c r="I3970" s="25" t="str">
        <f>IF(OR(E3970="",E3970="!!!",F3970="NEW"),"",INDEX(B3969:B$2,-1+SUMPRODUCT(MAX(ROW(E3969:E$2)*(E3970=E3969:E$2)))))</f>
        <v> </v>
      </c>
      <c r="J3970" s="25" t="str">
        <f>IF(OR(E3970="",E3970="!!!",F3970="NEW"),"",COUNTBLANK(OFFSET(A$1,,,SUMPRODUCT(MAX(ROW(E$2:E3970)*(E3970=E$2:E3970)))))-COUNTBLANK(OFFSET(A$1,,,SUMPRODUCT(MAX(ROW(E$1:E3969)*(E2=E$1:E3969))))))</f>
        <v> </v>
      </c>
      <c r="K3970" s="25" t="str">
        <f>IF(OR(E3970="",E3970="!!!",F3970="NEW"),"",INDEX(J$1:J3969,SUMPRODUCT(MAX(ROW(E$1:E3969)*(E3970=E$1:E3969)))))</f>
        <v> </v>
      </c>
      <c r="L3970" s="26"/>
    </row>
    <row r="3971" spans="1:12">
      <c r="A3971" s="20" t="s">
        <v>1123</v>
      </c>
      <c r="E3971" s="21">
        <f>IF(D3971="?OLD","!!!","")</f>
        <v/>
      </c>
      <c r="F3971" s="22" t="str">
        <f>IF(OR(E3971="",E3971="!!!"),"",IF(NOT(ISNA(VLOOKUP(E3971,E$1:E3970,1,FALSE()))),"OLD",IF(AND(E3971&lt;&gt;"",E3971&lt;&gt;"!!!"),"NEW","")))</f>
        <v> </v>
      </c>
      <c r="G3971" s="23" t="str">
        <f>IF(OR(E3971="",E3971="!!!"),"",IF(OR(J3971=0,AND(J3971=1,K3971=1),AND(J3971=1,I3971="SBJ"),AND(J3971=1,I3971=0)),"?IN_FOCUS",IF(J3971&lt;=2,"?ACTIVATED",IF(J3971&lt;&gt;"","?FAMILIAR",IF(F3971="NEW",IF(ISNA(VLOOKUP(E3971,#REF!,1,FALSE())),"?TYPE_IDENTIFIABLE","?REFERENTIAL"),"_")))))</f>
        <v> </v>
      </c>
      <c r="H3971" s="24" t="str">
        <f>IF(J3971&lt;&gt;1,"",IF(I3971="SBJ","CB","?"))</f>
        <v> </v>
      </c>
      <c r="I3971" s="25" t="str">
        <f>IF(OR(E3971="",E3971="!!!",F3971="NEW"),"",INDEX(B3970:B$2,-1+SUMPRODUCT(MAX(ROW(E3970:E$2)*(E3971=E3970:E$2)))))</f>
        <v> </v>
      </c>
      <c r="J3971" s="25" t="str">
        <f>IF(OR(E3971="",E3971="!!!",F3971="NEW"),"",COUNTBLANK(OFFSET(A$1,,,SUMPRODUCT(MAX(ROW(E$2:E3971)*(E3971=E$2:E3971)))))-COUNTBLANK(OFFSET(A$1,,,SUMPRODUCT(MAX(ROW(E$1:E3970)*(E2=E$1:E3970))))))</f>
        <v> </v>
      </c>
      <c r="K3971" s="25" t="str">
        <f>IF(OR(E3971="",E3971="!!!",F3971="NEW"),"",INDEX(J$1:J3970,SUMPRODUCT(MAX(ROW(E$1:E3970)*(E3971=E$1:E3970)))))</f>
        <v> </v>
      </c>
      <c r="L3971" s="26"/>
    </row>
    <row r="3972" spans="1:12">
      <c r="A3972" s="20" t="s">
        <v>2885</v>
      </c>
      <c r="E3972" s="21">
        <f>IF(D3972="?OLD","!!!","")</f>
        <v/>
      </c>
      <c r="F3972" s="22" t="str">
        <f>IF(OR(E3972="",E3972="!!!"),"",IF(NOT(ISNA(VLOOKUP(E3972,E$1:E3971,1,FALSE()))),"OLD",IF(AND(E3972&lt;&gt;"",E3972&lt;&gt;"!!!"),"NEW","")))</f>
        <v> </v>
      </c>
      <c r="G3972" s="23" t="str">
        <f>IF(OR(E3972="",E3972="!!!"),"",IF(OR(J3972=0,AND(J3972=1,K3972=1),AND(J3972=1,I3972="SBJ"),AND(J3972=1,I3972=0)),"?IN_FOCUS",IF(J3972&lt;=2,"?ACTIVATED",IF(J3972&lt;&gt;"","?FAMILIAR",IF(F3972="NEW",IF(ISNA(VLOOKUP(E3972,#REF!,1,FALSE())),"?TYPE_IDENTIFIABLE","?REFERENTIAL"),"_")))))</f>
        <v> </v>
      </c>
      <c r="H3972" s="24" t="str">
        <f>IF(J3972&lt;&gt;1,"",IF(I3972="SBJ","CB","?"))</f>
        <v> </v>
      </c>
      <c r="I3972" s="25" t="str">
        <f>IF(OR(E3972="",E3972="!!!",F3972="NEW"),"",INDEX(B3971:B$2,-1+SUMPRODUCT(MAX(ROW(E3971:E$2)*(E3972=E3971:E$2)))))</f>
        <v> </v>
      </c>
      <c r="J3972" s="25" t="str">
        <f>IF(OR(E3972="",E3972="!!!",F3972="NEW"),"",COUNTBLANK(OFFSET(A$1,,,SUMPRODUCT(MAX(ROW(E$2:E3972)*(E3972=E$2:E3972)))))-COUNTBLANK(OFFSET(A$1,,,SUMPRODUCT(MAX(ROW(E$1:E3971)*(E2=E$1:E3971))))))</f>
        <v> </v>
      </c>
      <c r="K3972" s="25" t="str">
        <f>IF(OR(E3972="",E3972="!!!",F3972="NEW"),"",INDEX(J$1:J3971,SUMPRODUCT(MAX(ROW(E$1:E3971)*(E3972=E$1:E3971)))))</f>
        <v> </v>
      </c>
      <c r="L3972" s="26"/>
    </row>
    <row r="3973" spans="1:12">
      <c r="A3973" s="20" t="s">
        <v>2870</v>
      </c>
      <c r="B3973" s="27" t="s">
        <v>1115</v>
      </c>
      <c r="E3973" s="21">
        <f>IF(D3973="?OLD","!!!","")</f>
        <v/>
      </c>
      <c r="F3973" s="22" t="str">
        <f>IF(OR(E3973="",E3973="!!!"),"",IF(NOT(ISNA(VLOOKUP(E3973,E$1:E3972,1,FALSE()))),"OLD",IF(AND(E3973&lt;&gt;"",E3973&lt;&gt;"!!!"),"NEW","")))</f>
        <v> </v>
      </c>
      <c r="G3973" s="23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4" t="str">
        <f>IF(J3973&lt;&gt;1,"",IF(I3973="SBJ","CB","?"))</f>
        <v> </v>
      </c>
      <c r="I3973" s="25" t="str">
        <f>IF(OR(E3973="",E3973="!!!",F3973="NEW"),"",INDEX(B3972:B$2,-1+SUMPRODUCT(MAX(ROW(E3972:E$2)*(E3973=E3972:E$2)))))</f>
        <v> </v>
      </c>
      <c r="J3973" s="25" t="str">
        <f>IF(OR(E3973="",E3973="!!!",F3973="NEW"),"",COUNTBLANK(OFFSET(A$1,,,SUMPRODUCT(MAX(ROW(E$2:E3973)*(E3973=E$2:E3973)))))-COUNTBLANK(OFFSET(A$1,,,SUMPRODUCT(MAX(ROW(E$1:E3972)*(E2=E$1:E3972))))))</f>
        <v> </v>
      </c>
      <c r="K3973" s="25" t="str">
        <f>IF(OR(E3973="",E3973="!!!",F3973="NEW"),"",INDEX(J$1:J3972,SUMPRODUCT(MAX(ROW(E$1:E3972)*(E3973=E$1:E3972)))))</f>
        <v> </v>
      </c>
      <c r="L3973" s="26"/>
    </row>
    <row r="3974" spans="1:12">
      <c r="A3974" s="20" t="s">
        <v>1403</v>
      </c>
      <c r="B3974" s="27" t="s">
        <v>1141</v>
      </c>
      <c r="C3974" s="27" t="s">
        <v>1142</v>
      </c>
      <c r="D3974" s="27" t="s">
        <v>1105</v>
      </c>
      <c r="E3974" s="21">
        <f>IF(D3974="?OLD","!!!","")</f>
        <v/>
      </c>
      <c r="F3974" s="22" t="str">
        <f>IF(OR(E3974="",E3974="!!!"),"",IF(NOT(ISNA(VLOOKUP(E3974,E$1:E3973,1,FALSE()))),"OLD",IF(AND(E3974&lt;&gt;"",E3974&lt;&gt;"!!!"),"NEW","")))</f>
        <v> </v>
      </c>
      <c r="G3974" s="23" t="str">
        <f>IF(OR(E3974="",E3974="!!!"),"",IF(OR(J3974=0,AND(J3974=1,K3974=1),AND(J3974=1,I3974="SBJ"),AND(J3974=1,I3974=0)),"?IN_FOCUS",IF(J3974&lt;=2,"?ACTIVATED",IF(J3974&lt;&gt;"","?FAMILIAR",IF(F3974="NEW",IF(ISNA(VLOOKUP(E3974,#REF!,1,FALSE())),"?TYPE_IDENTIFIABLE","?REFERENTIAL"),"_")))))</f>
        <v> </v>
      </c>
      <c r="H3974" s="24" t="str">
        <f>IF(J3974&lt;&gt;1,"",IF(I3974="SBJ","CB","?"))</f>
        <v> </v>
      </c>
      <c r="I3974" s="25" t="str">
        <f>IF(OR(E3974="",E3974="!!!",F3974="NEW"),"",INDEX(B3973:B$2,-1+SUMPRODUCT(MAX(ROW(E3973:E$2)*(E3974=E3973:E$2)))))</f>
        <v> </v>
      </c>
      <c r="J3974" s="25" t="str">
        <f>IF(OR(E3974="",E3974="!!!",F3974="NEW"),"",COUNTBLANK(OFFSET(A$1,,,SUMPRODUCT(MAX(ROW(E$2:E3974)*(E3974=E$2:E3974)))))-COUNTBLANK(OFFSET(A$1,,,SUMPRODUCT(MAX(ROW(E$1:E3973)*(E2=E$1:E3973))))))</f>
        <v> </v>
      </c>
      <c r="K3974" s="25" t="str">
        <f>IF(OR(E3974="",E3974="!!!",F3974="NEW"),"",INDEX(J$1:J3973,SUMPRODUCT(MAX(ROW(E$1:E3973)*(E3974=E$1:E3973)))))</f>
        <v> </v>
      </c>
      <c r="L3974" s="26"/>
    </row>
    <row r="3975" spans="1:12">
      <c r="A3975" s="20" t="s">
        <v>1513</v>
      </c>
      <c r="E3975" s="21">
        <f>IF(D3975="?OLD","!!!","")</f>
        <v/>
      </c>
      <c r="F3975" s="22" t="str">
        <f>IF(OR(E3975="",E3975="!!!"),"",IF(NOT(ISNA(VLOOKUP(E3975,E$1:E3974,1,FALSE()))),"OLD",IF(AND(E3975&lt;&gt;"",E3975&lt;&gt;"!!!"),"NEW","")))</f>
        <v> </v>
      </c>
      <c r="G3975" s="23" t="str">
        <f>IF(OR(E3975="",E3975="!!!"),"",IF(OR(J3975=0,AND(J3975=1,K3975=1),AND(J3975=1,I3975="SBJ"),AND(J3975=1,I3975=0)),"?IN_FOCUS",IF(J3975&lt;=2,"?ACTIVATED",IF(J3975&lt;&gt;"","?FAMILIAR",IF(F3975="NEW",IF(ISNA(VLOOKUP(E3975,#REF!,1,FALSE())),"?TYPE_IDENTIFIABLE","?REFERENTIAL"),"_")))))</f>
        <v> </v>
      </c>
      <c r="H3975" s="24" t="str">
        <f>IF(J3975&lt;&gt;1,"",IF(I3975="SBJ","CB","?"))</f>
        <v> </v>
      </c>
      <c r="I3975" s="25" t="str">
        <f>IF(OR(E3975="",E3975="!!!",F3975="NEW"),"",INDEX(B3974:B$2,-1+SUMPRODUCT(MAX(ROW(E3974:E$2)*(E3975=E3974:E$2)))))</f>
        <v> </v>
      </c>
      <c r="J3975" s="25" t="str">
        <f>IF(OR(E3975="",E3975="!!!",F3975="NEW"),"",COUNTBLANK(OFFSET(A$1,,,SUMPRODUCT(MAX(ROW(E$2:E3975)*(E3975=E$2:E3975)))))-COUNTBLANK(OFFSET(A$1,,,SUMPRODUCT(MAX(ROW(E$1:E3974)*(E2=E$1:E3974))))))</f>
        <v> </v>
      </c>
      <c r="K3975" s="25" t="str">
        <f>IF(OR(E3975="",E3975="!!!",F3975="NEW"),"",INDEX(J$1:J3974,SUMPRODUCT(MAX(ROW(E$1:E3974)*(E3975=E$1:E3974)))))</f>
        <v> </v>
      </c>
      <c r="L3975" s="26"/>
    </row>
    <row r="3976" spans="1:12">
      <c r="A3976" s="20" t="s">
        <v>1351</v>
      </c>
      <c r="E3976" s="21">
        <f>IF(D3976="?OLD","!!!","")</f>
        <v/>
      </c>
      <c r="F3976" s="22" t="str">
        <f>IF(OR(E3976="",E3976="!!!"),"",IF(NOT(ISNA(VLOOKUP(E3976,E$1:E3975,1,FALSE()))),"OLD",IF(AND(E3976&lt;&gt;"",E3976&lt;&gt;"!!!"),"NEW","")))</f>
        <v> </v>
      </c>
      <c r="G3976" s="23" t="str">
        <f>IF(OR(E3976="",E3976="!!!"),"",IF(OR(J3976=0,AND(J3976=1,K3976=1),AND(J3976=1,I3976="SBJ"),AND(J3976=1,I3976=0)),"?IN_FOCUS",IF(J3976&lt;=2,"?ACTIVATED",IF(J3976&lt;&gt;"","?FAMILIAR",IF(F3976="NEW",IF(ISNA(VLOOKUP(E3976,#REF!,1,FALSE())),"?TYPE_IDENTIFIABLE","?REFERENTIAL"),"_")))))</f>
        <v> </v>
      </c>
      <c r="H3976" s="24" t="str">
        <f>IF(J3976&lt;&gt;1,"",IF(I3976="SBJ","CB","?"))</f>
        <v> </v>
      </c>
      <c r="I3976" s="25" t="str">
        <f>IF(OR(E3976="",E3976="!!!",F3976="NEW"),"",INDEX(B3975:B$2,-1+SUMPRODUCT(MAX(ROW(E3975:E$2)*(E3976=E3975:E$2)))))</f>
        <v> </v>
      </c>
      <c r="J3976" s="25" t="str">
        <f>IF(OR(E3976="",E3976="!!!",F3976="NEW"),"",COUNTBLANK(OFFSET(A$1,,,SUMPRODUCT(MAX(ROW(E$2:E3976)*(E3976=E$2:E3976)))))-COUNTBLANK(OFFSET(A$1,,,SUMPRODUCT(MAX(ROW(E$1:E3975)*(E2=E$1:E3975))))))</f>
        <v> </v>
      </c>
      <c r="K3976" s="25" t="str">
        <f>IF(OR(E3976="",E3976="!!!",F3976="NEW"),"",INDEX(J$1:J3975,SUMPRODUCT(MAX(ROW(E$1:E3975)*(E3976=E$1:E3975)))))</f>
        <v> </v>
      </c>
      <c r="L3976" s="26"/>
    </row>
    <row r="3977" spans="1:12">
      <c r="A3977" s="20"/>
    </row>
    <row r="3978" spans="1:12">
      <c r="A3978" s="20" t="s">
        <v>2886</v>
      </c>
    </row>
    <row r="3979" spans="1:12">
      <c r="A3979" s="20" t="s">
        <v>1111</v>
      </c>
      <c r="E3979" s="21">
        <f>IF(D3979="?OLD","!!!","")</f>
        <v/>
      </c>
      <c r="F3979" s="22" t="str">
        <f>IF(OR(E3979="",E3979="!!!"),"",IF(NOT(ISNA(VLOOKUP(E3979,E$1:E3978,1,FALSE()))),"OLD",IF(AND(E3979&lt;&gt;"",E3979&lt;&gt;"!!!"),"NEW","")))</f>
        <v> </v>
      </c>
      <c r="G3979" s="23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4" t="str">
        <f>IF(J3979&lt;&gt;1,"",IF(I3979="SBJ","CB","?"))</f>
        <v> </v>
      </c>
      <c r="I3979" s="25" t="str">
        <f>IF(OR(E3979="",E3979="!!!",F3979="NEW"),"",INDEX(B3978:B$2,-1+SUMPRODUCT(MAX(ROW(E3978:E$2)*(E3979=E3978:E$2)))))</f>
        <v> </v>
      </c>
      <c r="J3979" s="25" t="str">
        <f>IF(OR(E3979="",E3979="!!!",F3979="NEW"),"",COUNTBLANK(OFFSET(A$1,,,SUMPRODUCT(MAX(ROW(E$2:E3979)*(E3979=E$2:E3979)))))-COUNTBLANK(OFFSET(A$1,,,SUMPRODUCT(MAX(ROW(E$1:E3978)*(E2=E$1:E3978))))))</f>
        <v> </v>
      </c>
      <c r="K3979" s="25" t="str">
        <f>IF(OR(E3979="",E3979="!!!",F3979="NEW"),"",INDEX(J$1:J3978,SUMPRODUCT(MAX(ROW(E$1:E3978)*(E3979=E$1:E3978)))))</f>
        <v> </v>
      </c>
      <c r="L3979" s="26"/>
    </row>
    <row r="3980" spans="1:12">
      <c r="A3980" s="20" t="s">
        <v>2887</v>
      </c>
      <c r="E3980" s="21">
        <f>IF(D3980="?OLD","!!!","")</f>
        <v/>
      </c>
      <c r="F3980" s="22" t="str">
        <f>IF(OR(E3980="",E3980="!!!"),"",IF(NOT(ISNA(VLOOKUP(E3980,E$1:E3979,1,FALSE()))),"OLD",IF(AND(E3980&lt;&gt;"",E3980&lt;&gt;"!!!"),"NEW","")))</f>
        <v> </v>
      </c>
      <c r="G3980" s="23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4" t="str">
        <f>IF(J3980&lt;&gt;1,"",IF(I3980="SBJ","CB","?"))</f>
        <v> </v>
      </c>
      <c r="I3980" s="25" t="str">
        <f>IF(OR(E3980="",E3980="!!!",F3980="NEW"),"",INDEX(B3979:B$2,-1+SUMPRODUCT(MAX(ROW(E3979:E$2)*(E3980=E3979:E$2)))))</f>
        <v> </v>
      </c>
      <c r="J3980" s="25" t="str">
        <f>IF(OR(E3980="",E3980="!!!",F3980="NEW"),"",COUNTBLANK(OFFSET(A$1,,,SUMPRODUCT(MAX(ROW(E$2:E3980)*(E3980=E$2:E3980)))))-COUNTBLANK(OFFSET(A$1,,,SUMPRODUCT(MAX(ROW(E$1:E3979)*(E2=E$1:E3979))))))</f>
        <v> </v>
      </c>
      <c r="K3980" s="25" t="str">
        <f>IF(OR(E3980="",E3980="!!!",F3980="NEW"),"",INDEX(J$1:J3979,SUMPRODUCT(MAX(ROW(E$1:E3979)*(E3980=E$1:E3979)))))</f>
        <v> </v>
      </c>
      <c r="L3980" s="26"/>
    </row>
    <row r="3981" spans="1:12">
      <c r="A3981" s="20" t="s">
        <v>2888</v>
      </c>
      <c r="E3981" s="21">
        <f>IF(D3981="?OLD","!!!","")</f>
        <v/>
      </c>
      <c r="F3981" s="22" t="str">
        <f>IF(OR(E3981="",E3981="!!!"),"",IF(NOT(ISNA(VLOOKUP(E3981,E$1:E3980,1,FALSE()))),"OLD",IF(AND(E3981&lt;&gt;"",E3981&lt;&gt;"!!!"),"NEW","")))</f>
        <v> </v>
      </c>
      <c r="G3981" s="23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4" t="str">
        <f>IF(J3981&lt;&gt;1,"",IF(I3981="SBJ","CB","?"))</f>
        <v> </v>
      </c>
      <c r="I3981" s="25" t="str">
        <f>IF(OR(E3981="",E3981="!!!",F3981="NEW"),"",INDEX(B3980:B$2,-1+SUMPRODUCT(MAX(ROW(E3980:E$2)*(E3981=E3980:E$2)))))</f>
        <v> </v>
      </c>
      <c r="J3981" s="25" t="str">
        <f>IF(OR(E3981="",E3981="!!!",F3981="NEW"),"",COUNTBLANK(OFFSET(A$1,,,SUMPRODUCT(MAX(ROW(E$2:E3981)*(E3981=E$2:E3981)))))-COUNTBLANK(OFFSET(A$1,,,SUMPRODUCT(MAX(ROW(E$1:E3980)*(E2=E$1:E3980))))))</f>
        <v> </v>
      </c>
      <c r="K3981" s="25" t="str">
        <f>IF(OR(E3981="",E3981="!!!",F3981="NEW"),"",INDEX(J$1:J3980,SUMPRODUCT(MAX(ROW(E$1:E3980)*(E3981=E$1:E3980)))))</f>
        <v> </v>
      </c>
      <c r="L3981" s="26"/>
    </row>
    <row r="3982" spans="1:12">
      <c r="A3982" s="20" t="s">
        <v>2889</v>
      </c>
      <c r="B3982" s="27" t="s">
        <v>1103</v>
      </c>
      <c r="C3982" s="27" t="s">
        <v>1108</v>
      </c>
      <c r="D3982" s="27" t="s">
        <v>1105</v>
      </c>
      <c r="E3982" s="21">
        <f>IF(D3982="?OLD","!!!","")</f>
        <v/>
      </c>
      <c r="F3982" s="22" t="str">
        <f>IF(OR(E3982="",E3982="!!!"),"",IF(NOT(ISNA(VLOOKUP(E3982,E$1:E3981,1,FALSE()))),"OLD",IF(AND(E3982&lt;&gt;"",E3982&lt;&gt;"!!!"),"NEW","")))</f>
        <v> </v>
      </c>
      <c r="G3982" s="23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4" t="str">
        <f>IF(J3982&lt;&gt;1,"",IF(I3982="SBJ","CB","?"))</f>
        <v> </v>
      </c>
      <c r="I3982" s="25" t="str">
        <f>IF(OR(E3982="",E3982="!!!",F3982="NEW"),"",INDEX(B3981:B$2,-1+SUMPRODUCT(MAX(ROW(E3981:E$2)*(E3982=E3981:E$2)))))</f>
        <v> </v>
      </c>
      <c r="J3982" s="25" t="str">
        <f>IF(OR(E3982="",E3982="!!!",F3982="NEW"),"",COUNTBLANK(OFFSET(A$1,,,SUMPRODUCT(MAX(ROW(E$2:E3982)*(E3982=E$2:E3982)))))-COUNTBLANK(OFFSET(A$1,,,SUMPRODUCT(MAX(ROW(E$1:E3981)*(E2=E$1:E3981))))))</f>
        <v> </v>
      </c>
      <c r="K3982" s="25" t="str">
        <f>IF(OR(E3982="",E3982="!!!",F3982="NEW"),"",INDEX(J$1:J3981,SUMPRODUCT(MAX(ROW(E$1:E3981)*(E3982=E$1:E3981)))))</f>
        <v> </v>
      </c>
      <c r="L3982" s="26"/>
    </row>
    <row r="3983" spans="1:12">
      <c r="A3983" s="20" t="s">
        <v>1334</v>
      </c>
      <c r="E3983" s="21">
        <f>IF(D3983="?OLD","!!!","")</f>
        <v/>
      </c>
      <c r="F3983" s="22" t="str">
        <f>IF(OR(E3983="",E3983="!!!"),"",IF(NOT(ISNA(VLOOKUP(E3983,E$1:E3982,1,FALSE()))),"OLD",IF(AND(E3983&lt;&gt;"",E3983&lt;&gt;"!!!"),"NEW","")))</f>
        <v> </v>
      </c>
      <c r="G3983" s="23" t="str">
        <f>IF(OR(E3983="",E3983="!!!"),"",IF(OR(J3983=0,AND(J3983=1,K3983=1),AND(J3983=1,I3983="SBJ"),AND(J3983=1,I3983=0)),"?IN_FOCUS",IF(J3983&lt;=2,"?ACTIVATED",IF(J3983&lt;&gt;"","?FAMILIAR",IF(F3983="NEW",IF(ISNA(VLOOKUP(E3983,#REF!,1,FALSE())),"?TYPE_IDENTIFIABLE","?REFERENTIAL"),"_")))))</f>
        <v> </v>
      </c>
      <c r="H3983" s="24" t="str">
        <f>IF(J3983&lt;&gt;1,"",IF(I3983="SBJ","CB","?"))</f>
        <v> </v>
      </c>
      <c r="I3983" s="25" t="str">
        <f>IF(OR(E3983="",E3983="!!!",F3983="NEW"),"",INDEX(B3982:B$2,-1+SUMPRODUCT(MAX(ROW(E3982:E$2)*(E3983=E3982:E$2)))))</f>
        <v> </v>
      </c>
      <c r="J3983" s="25" t="str">
        <f>IF(OR(E3983="",E3983="!!!",F3983="NEW"),"",COUNTBLANK(OFFSET(A$1,,,SUMPRODUCT(MAX(ROW(E$2:E3983)*(E3983=E$2:E3983)))))-COUNTBLANK(OFFSET(A$1,,,SUMPRODUCT(MAX(ROW(E$1:E3982)*(E2=E$1:E3982))))))</f>
        <v> </v>
      </c>
      <c r="K3983" s="25" t="str">
        <f>IF(OR(E3983="",E3983="!!!",F3983="NEW"),"",INDEX(J$1:J3982,SUMPRODUCT(MAX(ROW(E$1:E3982)*(E3983=E$1:E3982)))))</f>
        <v> </v>
      </c>
      <c r="L3983" s="26"/>
    </row>
    <row r="3984" spans="1:12">
      <c r="A3984" s="20"/>
    </row>
    <row r="3985" spans="1:12">
      <c r="A3985" s="20" t="s">
        <v>2890</v>
      </c>
    </row>
    <row r="3986" spans="1:12">
      <c r="A3986" s="20" t="s">
        <v>1111</v>
      </c>
      <c r="E3986" s="21">
        <f>IF(D3986="?OLD","!!!","")</f>
        <v/>
      </c>
      <c r="F3986" s="22" t="str">
        <f>IF(OR(E3986="",E3986="!!!"),"",IF(NOT(ISNA(VLOOKUP(E3986,E$1:E3985,1,FALSE()))),"OLD",IF(AND(E3986&lt;&gt;"",E3986&lt;&gt;"!!!"),"NEW","")))</f>
        <v> </v>
      </c>
      <c r="G3986" s="23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4" t="str">
        <f>IF(J3986&lt;&gt;1,"",IF(I3986="SBJ","CB","?"))</f>
        <v> </v>
      </c>
      <c r="I3986" s="25" t="str">
        <f>IF(OR(E3986="",E3986="!!!",F3986="NEW"),"",INDEX(B3985:B$2,-1+SUMPRODUCT(MAX(ROW(E3985:E$2)*(E3986=E3985:E$2)))))</f>
        <v> </v>
      </c>
      <c r="J3986" s="25" t="str">
        <f>IF(OR(E3986="",E3986="!!!",F3986="NEW"),"",COUNTBLANK(OFFSET(A$1,,,SUMPRODUCT(MAX(ROW(E$2:E3986)*(E3986=E$2:E3986)))))-COUNTBLANK(OFFSET(A$1,,,SUMPRODUCT(MAX(ROW(E$1:E3985)*(E2=E$1:E3985))))))</f>
        <v> </v>
      </c>
      <c r="K3986" s="25" t="str">
        <f>IF(OR(E3986="",E3986="!!!",F3986="NEW"),"",INDEX(J$1:J3985,SUMPRODUCT(MAX(ROW(E$1:E3985)*(E3986=E$1:E3985)))))</f>
        <v> </v>
      </c>
      <c r="L3986" s="26"/>
    </row>
    <row r="3987" spans="1:12">
      <c r="A3987" s="20" t="s">
        <v>2891</v>
      </c>
      <c r="E3987" s="21">
        <f>IF(D3987="?OLD","!!!","")</f>
        <v/>
      </c>
      <c r="F3987" s="22" t="str">
        <f>IF(OR(E3987="",E3987="!!!"),"",IF(NOT(ISNA(VLOOKUP(E3987,E$1:E3986,1,FALSE()))),"OLD",IF(AND(E3987&lt;&gt;"",E3987&lt;&gt;"!!!"),"NEW","")))</f>
        <v> </v>
      </c>
      <c r="G3987" s="23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4" t="str">
        <f>IF(J3987&lt;&gt;1,"",IF(I3987="SBJ","CB","?"))</f>
        <v> </v>
      </c>
      <c r="I3987" s="25" t="str">
        <f>IF(OR(E3987="",E3987="!!!",F3987="NEW"),"",INDEX(B3986:B$2,-1+SUMPRODUCT(MAX(ROW(E3986:E$2)*(E3987=E3986:E$2)))))</f>
        <v> </v>
      </c>
      <c r="J3987" s="25" t="str">
        <f>IF(OR(E3987="",E3987="!!!",F3987="NEW"),"",COUNTBLANK(OFFSET(A$1,,,SUMPRODUCT(MAX(ROW(E$2:E3987)*(E3987=E$2:E3987)))))-COUNTBLANK(OFFSET(A$1,,,SUMPRODUCT(MAX(ROW(E$1:E3986)*(E2=E$1:E3986))))))</f>
        <v> </v>
      </c>
      <c r="K3987" s="25" t="str">
        <f>IF(OR(E3987="",E3987="!!!",F3987="NEW"),"",INDEX(J$1:J3986,SUMPRODUCT(MAX(ROW(E$1:E3986)*(E3987=E$1:E3986)))))</f>
        <v> </v>
      </c>
      <c r="L3987" s="26"/>
    </row>
    <row r="3988" spans="1:12">
      <c r="A3988" s="20" t="s">
        <v>2892</v>
      </c>
      <c r="E3988" s="21">
        <f>IF(D3988="?OLD","!!!","")</f>
        <v/>
      </c>
      <c r="F3988" s="22" t="str">
        <f>IF(OR(E3988="",E3988="!!!"),"",IF(NOT(ISNA(VLOOKUP(E3988,E$1:E3987,1,FALSE()))),"OLD",IF(AND(E3988&lt;&gt;"",E3988&lt;&gt;"!!!"),"NEW","")))</f>
        <v> </v>
      </c>
      <c r="G3988" s="23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4" t="str">
        <f>IF(J3988&lt;&gt;1,"",IF(I3988="SBJ","CB","?"))</f>
        <v> </v>
      </c>
      <c r="I3988" s="25" t="str">
        <f>IF(OR(E3988="",E3988="!!!",F3988="NEW"),"",INDEX(B3987:B$2,-1+SUMPRODUCT(MAX(ROW(E3987:E$2)*(E3988=E3987:E$2)))))</f>
        <v> </v>
      </c>
      <c r="J3988" s="25" t="str">
        <f>IF(OR(E3988="",E3988="!!!",F3988="NEW"),"",COUNTBLANK(OFFSET(A$1,,,SUMPRODUCT(MAX(ROW(E$2:E3988)*(E3988=E$2:E3988)))))-COUNTBLANK(OFFSET(A$1,,,SUMPRODUCT(MAX(ROW(E$1:E3987)*(E2=E$1:E3987))))))</f>
        <v> </v>
      </c>
      <c r="K3988" s="25" t="str">
        <f>IF(OR(E3988="",E3988="!!!",F3988="NEW"),"",INDEX(J$1:J3987,SUMPRODUCT(MAX(ROW(E$1:E3987)*(E3988=E$1:E3987)))))</f>
        <v> </v>
      </c>
      <c r="L3988" s="26"/>
    </row>
    <row r="3989" spans="1:12">
      <c r="A3989" s="20" t="s">
        <v>1145</v>
      </c>
      <c r="E3989" s="21">
        <f>IF(D3989="?OLD","!!!","")</f>
        <v/>
      </c>
      <c r="F3989" s="22" t="str">
        <f>IF(OR(E3989="",E3989="!!!"),"",IF(NOT(ISNA(VLOOKUP(E3989,E$1:E3988,1,FALSE()))),"OLD",IF(AND(E3989&lt;&gt;"",E3989&lt;&gt;"!!!"),"NEW","")))</f>
        <v> </v>
      </c>
      <c r="G3989" s="23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4" t="str">
        <f>IF(J3989&lt;&gt;1,"",IF(I3989="SBJ","CB","?"))</f>
        <v> </v>
      </c>
      <c r="I3989" s="25" t="str">
        <f>IF(OR(E3989="",E3989="!!!",F3989="NEW"),"",INDEX(B3988:B$2,-1+SUMPRODUCT(MAX(ROW(E3988:E$2)*(E3989=E3988:E$2)))))</f>
        <v> </v>
      </c>
      <c r="J3989" s="25" t="str">
        <f>IF(OR(E3989="",E3989="!!!",F3989="NEW"),"",COUNTBLANK(OFFSET(A$1,,,SUMPRODUCT(MAX(ROW(E$2:E3989)*(E3989=E$2:E3989)))))-COUNTBLANK(OFFSET(A$1,,,SUMPRODUCT(MAX(ROW(E$1:E3988)*(E2=E$1:E3988))))))</f>
        <v> </v>
      </c>
      <c r="K3989" s="25" t="str">
        <f>IF(OR(E3989="",E3989="!!!",F3989="NEW"),"",INDEX(J$1:J3988,SUMPRODUCT(MAX(ROW(E$1:E3988)*(E3989=E$1:E3988)))))</f>
        <v> </v>
      </c>
      <c r="L3989" s="26"/>
    </row>
    <row r="3990" spans="1:12">
      <c r="A3990" s="20"/>
    </row>
    <row r="3991" spans="1:12">
      <c r="A3991" s="20" t="s">
        <v>2893</v>
      </c>
    </row>
    <row r="3992" spans="1:12">
      <c r="A3992" s="20" t="s">
        <v>1633</v>
      </c>
      <c r="B3992" s="27" t="s">
        <v>1149</v>
      </c>
      <c r="C3992" s="27" t="s">
        <v>1126</v>
      </c>
      <c r="D3992" s="27" t="s">
        <v>1105</v>
      </c>
      <c r="E3992" s="21">
        <f>IF(D3992="?OLD","!!!","")</f>
        <v/>
      </c>
      <c r="F3992" s="22" t="str">
        <f>IF(OR(E3992="",E3992="!!!"),"",IF(NOT(ISNA(VLOOKUP(E3992,E$1:E3991,1,FALSE()))),"OLD",IF(AND(E3992&lt;&gt;"",E3992&lt;&gt;"!!!"),"NEW","")))</f>
        <v> </v>
      </c>
      <c r="G3992" s="23" t="str">
        <f>IF(OR(E3992="",E3992="!!!"),"",IF(OR(J3992=0,AND(J3992=1,K3992=1),AND(J3992=1,I3992="SBJ"),AND(J3992=1,I3992=0)),"?IN_FOCUS",IF(J3992&lt;=2,"?ACTIVATED",IF(J3992&lt;&gt;"","?FAMILIAR",IF(F3992="NEW",IF(ISNA(VLOOKUP(E3992,#REF!,1,FALSE())),"?TYPE_IDENTIFIABLE","?REFERENTIAL"),"_")))))</f>
        <v> </v>
      </c>
      <c r="H3992" s="24" t="str">
        <f>IF(J3992&lt;&gt;1,"",IF(I3992="SBJ","CB","?"))</f>
        <v> </v>
      </c>
      <c r="I3992" s="25" t="str">
        <f>IF(OR(E3992="",E3992="!!!",F3992="NEW"),"",INDEX(B3991:B$2,-1+SUMPRODUCT(MAX(ROW(E3991:E$2)*(E3992=E3991:E$2)))))</f>
        <v> </v>
      </c>
      <c r="J3992" s="25" t="str">
        <f>IF(OR(E3992="",E3992="!!!",F3992="NEW"),"",COUNTBLANK(OFFSET(A$1,,,SUMPRODUCT(MAX(ROW(E$2:E3992)*(E3992=E$2:E3992)))))-COUNTBLANK(OFFSET(A$1,,,SUMPRODUCT(MAX(ROW(E$1:E3991)*(E2=E$1:E3991))))))</f>
        <v> </v>
      </c>
      <c r="K3992" s="25" t="str">
        <f>IF(OR(E3992="",E3992="!!!",F3992="NEW"),"",INDEX(J$1:J3991,SUMPRODUCT(MAX(ROW(E$1:E3991)*(E3992=E$1:E3991)))))</f>
        <v> </v>
      </c>
      <c r="L3992" s="26"/>
    </row>
    <row r="3993" spans="1:12">
      <c r="A3993" s="20" t="s">
        <v>1842</v>
      </c>
      <c r="E3993" s="21">
        <f>IF(D3993="?OLD","!!!","")</f>
        <v/>
      </c>
      <c r="F3993" s="22" t="str">
        <f>IF(OR(E3993="",E3993="!!!"),"",IF(NOT(ISNA(VLOOKUP(E3993,E$1:E3992,1,FALSE()))),"OLD",IF(AND(E3993&lt;&gt;"",E3993&lt;&gt;"!!!"),"NEW","")))</f>
        <v> </v>
      </c>
      <c r="G3993" s="23" t="str">
        <f>IF(OR(E3993="",E3993="!!!"),"",IF(OR(J3993=0,AND(J3993=1,K3993=1),AND(J3993=1,I3993="SBJ"),AND(J3993=1,I3993=0)),"?IN_FOCUS",IF(J3993&lt;=2,"?ACTIVATED",IF(J3993&lt;&gt;"","?FAMILIAR",IF(F3993="NEW",IF(ISNA(VLOOKUP(E3993,#REF!,1,FALSE())),"?TYPE_IDENTIFIABLE","?REFERENTIAL"),"_")))))</f>
        <v> </v>
      </c>
      <c r="H3993" s="24" t="str">
        <f>IF(J3993&lt;&gt;1,"",IF(I3993="SBJ","CB","?"))</f>
        <v> </v>
      </c>
      <c r="I3993" s="25" t="str">
        <f>IF(OR(E3993="",E3993="!!!",F3993="NEW"),"",INDEX(B3992:B$2,-1+SUMPRODUCT(MAX(ROW(E3992:E$2)*(E3993=E3992:E$2)))))</f>
        <v> </v>
      </c>
      <c r="J3993" s="25" t="str">
        <f>IF(OR(E3993="",E3993="!!!",F3993="NEW"),"",COUNTBLANK(OFFSET(A$1,,,SUMPRODUCT(MAX(ROW(E$2:E3993)*(E3993=E$2:E3993)))))-COUNTBLANK(OFFSET(A$1,,,SUMPRODUCT(MAX(ROW(E$1:E3992)*(E2=E$1:E3992))))))</f>
        <v> </v>
      </c>
      <c r="K3993" s="25" t="str">
        <f>IF(OR(E3993="",E3993="!!!",F3993="NEW"),"",INDEX(J$1:J3992,SUMPRODUCT(MAX(ROW(E$1:E3992)*(E3993=E$1:E3992)))))</f>
        <v> </v>
      </c>
      <c r="L3993" s="26"/>
    </row>
    <row r="3994" spans="1:12">
      <c r="A3994" s="20" t="s">
        <v>1128</v>
      </c>
      <c r="E3994" s="21">
        <f>IF(D3994="?OLD","!!!","")</f>
        <v/>
      </c>
      <c r="F3994" s="22" t="str">
        <f>IF(OR(E3994="",E3994="!!!"),"",IF(NOT(ISNA(VLOOKUP(E3994,E$1:E3993,1,FALSE()))),"OLD",IF(AND(E3994&lt;&gt;"",E3994&lt;&gt;"!!!"),"NEW","")))</f>
        <v> </v>
      </c>
      <c r="G3994" s="23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4" t="str">
        <f>IF(J3994&lt;&gt;1,"",IF(I3994="SBJ","CB","?"))</f>
        <v> </v>
      </c>
      <c r="I3994" s="25" t="str">
        <f>IF(OR(E3994="",E3994="!!!",F3994="NEW"),"",INDEX(B3993:B$2,-1+SUMPRODUCT(MAX(ROW(E3993:E$2)*(E3994=E3993:E$2)))))</f>
        <v> </v>
      </c>
      <c r="J3994" s="25" t="str">
        <f>IF(OR(E3994="",E3994="!!!",F3994="NEW"),"",COUNTBLANK(OFFSET(A$1,,,SUMPRODUCT(MAX(ROW(E$2:E3994)*(E3994=E$2:E3994)))))-COUNTBLANK(OFFSET(A$1,,,SUMPRODUCT(MAX(ROW(E$1:E3993)*(E2=E$1:E3993))))))</f>
        <v> </v>
      </c>
      <c r="K3994" s="25" t="str">
        <f>IF(OR(E3994="",E3994="!!!",F3994="NEW"),"",INDEX(J$1:J3993,SUMPRODUCT(MAX(ROW(E$1:E3993)*(E3994=E$1:E3993)))))</f>
        <v> </v>
      </c>
      <c r="L3994" s="26"/>
    </row>
    <row r="3995" spans="1:12">
      <c r="A3995" s="20" t="s">
        <v>1134</v>
      </c>
      <c r="E3995" s="21">
        <f>IF(D3995="?OLD","!!!","")</f>
        <v/>
      </c>
      <c r="F3995" s="22" t="str">
        <f>IF(OR(E3995="",E3995="!!!"),"",IF(NOT(ISNA(VLOOKUP(E3995,E$1:E3994,1,FALSE()))),"OLD",IF(AND(E3995&lt;&gt;"",E3995&lt;&gt;"!!!"),"NEW","")))</f>
        <v> </v>
      </c>
      <c r="G3995" s="23" t="str">
        <f>IF(OR(E3995="",E3995="!!!"),"",IF(OR(J3995=0,AND(J3995=1,K3995=1),AND(J3995=1,I3995="SBJ"),AND(J3995=1,I3995=0)),"?IN_FOCUS",IF(J3995&lt;=2,"?ACTIVATED",IF(J3995&lt;&gt;"","?FAMILIAR",IF(F3995="NEW",IF(ISNA(VLOOKUP(E3995,#REF!,1,FALSE())),"?TYPE_IDENTIFIABLE","?REFERENTIAL"),"_")))))</f>
        <v> </v>
      </c>
      <c r="H3995" s="24" t="str">
        <f>IF(J3995&lt;&gt;1,"",IF(I3995="SBJ","CB","?"))</f>
        <v> </v>
      </c>
      <c r="I3995" s="25" t="str">
        <f>IF(OR(E3995="",E3995="!!!",F3995="NEW"),"",INDEX(B3994:B$2,-1+SUMPRODUCT(MAX(ROW(E3994:E$2)*(E3995=E3994:E$2)))))</f>
        <v> </v>
      </c>
      <c r="J3995" s="25" t="str">
        <f>IF(OR(E3995="",E3995="!!!",F3995="NEW"),"",COUNTBLANK(OFFSET(A$1,,,SUMPRODUCT(MAX(ROW(E$2:E3995)*(E3995=E$2:E3995)))))-COUNTBLANK(OFFSET(A$1,,,SUMPRODUCT(MAX(ROW(E$1:E3994)*(E2=E$1:E3994))))))</f>
        <v> </v>
      </c>
      <c r="K3995" s="25" t="str">
        <f>IF(OR(E3995="",E3995="!!!",F3995="NEW"),"",INDEX(J$1:J3994,SUMPRODUCT(MAX(ROW(E$1:E3994)*(E3995=E$1:E3994)))))</f>
        <v> </v>
      </c>
      <c r="L3995" s="26"/>
    </row>
    <row r="3996" spans="1:12">
      <c r="A3996" s="20" t="s">
        <v>2894</v>
      </c>
      <c r="E3996" s="21">
        <f>IF(D3996="?OLD","!!!","")</f>
        <v/>
      </c>
      <c r="F3996" s="22" t="str">
        <f>IF(OR(E3996="",E3996="!!!"),"",IF(NOT(ISNA(VLOOKUP(E3996,E$1:E3995,1,FALSE()))),"OLD",IF(AND(E3996&lt;&gt;"",E3996&lt;&gt;"!!!"),"NEW","")))</f>
        <v> </v>
      </c>
      <c r="G3996" s="23" t="str">
        <f>IF(OR(E3996="",E3996="!!!"),"",IF(OR(J3996=0,AND(J3996=1,K3996=1),AND(J3996=1,I3996="SBJ"),AND(J3996=1,I3996=0)),"?IN_FOCUS",IF(J3996&lt;=2,"?ACTIVATED",IF(J3996&lt;&gt;"","?FAMILIAR",IF(F3996="NEW",IF(ISNA(VLOOKUP(E3996,#REF!,1,FALSE())),"?TYPE_IDENTIFIABLE","?REFERENTIAL"),"_")))))</f>
        <v> </v>
      </c>
      <c r="H3996" s="24" t="str">
        <f>IF(J3996&lt;&gt;1,"",IF(I3996="SBJ","CB","?"))</f>
        <v> </v>
      </c>
      <c r="I3996" s="25" t="str">
        <f>IF(OR(E3996="",E3996="!!!",F3996="NEW"),"",INDEX(B3995:B$2,-1+SUMPRODUCT(MAX(ROW(E3995:E$2)*(E3996=E3995:E$2)))))</f>
        <v> </v>
      </c>
      <c r="J3996" s="25" t="str">
        <f>IF(OR(E3996="",E3996="!!!",F3996="NEW"),"",COUNTBLANK(OFFSET(A$1,,,SUMPRODUCT(MAX(ROW(E$2:E3996)*(E3996=E$2:E3996)))))-COUNTBLANK(OFFSET(A$1,,,SUMPRODUCT(MAX(ROW(E$1:E3995)*(E2=E$1:E3995))))))</f>
        <v> </v>
      </c>
      <c r="K3996" s="25" t="str">
        <f>IF(OR(E3996="",E3996="!!!",F3996="NEW"),"",INDEX(J$1:J3995,SUMPRODUCT(MAX(ROW(E$1:E3995)*(E3996=E$1:E3995)))))</f>
        <v> </v>
      </c>
      <c r="L3996" s="26"/>
    </row>
    <row r="3997" spans="1:12">
      <c r="A3997" s="20" t="s">
        <v>1186</v>
      </c>
      <c r="B3997" s="27" t="s">
        <v>1213</v>
      </c>
      <c r="C3997" s="27" t="s">
        <v>1126</v>
      </c>
      <c r="D3997" s="27" t="s">
        <v>1105</v>
      </c>
      <c r="E3997" s="21">
        <f>IF(D3997="?OLD","!!!","")</f>
        <v/>
      </c>
      <c r="F3997" s="22" t="str">
        <f>IF(OR(E3997="",E3997="!!!"),"",IF(NOT(ISNA(VLOOKUP(E3997,E$1:E3996,1,FALSE()))),"OLD",IF(AND(E3997&lt;&gt;"",E3997&lt;&gt;"!!!"),"NEW","")))</f>
        <v> </v>
      </c>
      <c r="G3997" s="23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4" t="str">
        <f>IF(J3997&lt;&gt;1,"",IF(I3997="SBJ","CB","?"))</f>
        <v> </v>
      </c>
      <c r="I3997" s="25" t="str">
        <f>IF(OR(E3997="",E3997="!!!",F3997="NEW"),"",INDEX(B3996:B$2,-1+SUMPRODUCT(MAX(ROW(E3996:E$2)*(E3997=E3996:E$2)))))</f>
        <v> </v>
      </c>
      <c r="J3997" s="25" t="str">
        <f>IF(OR(E3997="",E3997="!!!",F3997="NEW"),"",COUNTBLANK(OFFSET(A$1,,,SUMPRODUCT(MAX(ROW(E$2:E3997)*(E3997=E$2:E3997)))))-COUNTBLANK(OFFSET(A$1,,,SUMPRODUCT(MAX(ROW(E$1:E3996)*(E2=E$1:E3996))))))</f>
        <v> </v>
      </c>
      <c r="K3997" s="25" t="str">
        <f>IF(OR(E3997="",E3997="!!!",F3997="NEW"),"",INDEX(J$1:J3996,SUMPRODUCT(MAX(ROW(E$1:E3996)*(E3997=E$1:E3996)))))</f>
        <v> </v>
      </c>
      <c r="L3997" s="26"/>
    </row>
    <row r="3998" spans="1:12">
      <c r="A3998" s="20" t="s">
        <v>1101</v>
      </c>
      <c r="E3998" s="21">
        <f>IF(D3998="?OLD","!!!","")</f>
        <v/>
      </c>
      <c r="F3998" s="22" t="str">
        <f>IF(OR(E3998="",E3998="!!!"),"",IF(NOT(ISNA(VLOOKUP(E3998,E$1:E3997,1,FALSE()))),"OLD",IF(AND(E3998&lt;&gt;"",E3998&lt;&gt;"!!!"),"NEW","")))</f>
        <v> </v>
      </c>
      <c r="G3998" s="23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4" t="str">
        <f>IF(J3998&lt;&gt;1,"",IF(I3998="SBJ","CB","?"))</f>
        <v> </v>
      </c>
      <c r="I3998" s="25" t="str">
        <f>IF(OR(E3998="",E3998="!!!",F3998="NEW"),"",INDEX(B3997:B$2,-1+SUMPRODUCT(MAX(ROW(E3997:E$2)*(E3998=E3997:E$2)))))</f>
        <v> </v>
      </c>
      <c r="J3998" s="25" t="str">
        <f>IF(OR(E3998="",E3998="!!!",F3998="NEW"),"",COUNTBLANK(OFFSET(A$1,,,SUMPRODUCT(MAX(ROW(E$2:E3998)*(E3998=E$2:E3998)))))-COUNTBLANK(OFFSET(A$1,,,SUMPRODUCT(MAX(ROW(E$1:E3997)*(E2=E$1:E3997))))))</f>
        <v> </v>
      </c>
      <c r="K3998" s="25" t="str">
        <f>IF(OR(E3998="",E3998="!!!",F3998="NEW"),"",INDEX(J$1:J3997,SUMPRODUCT(MAX(ROW(E$1:E3997)*(E3998=E$1:E3997)))))</f>
        <v> </v>
      </c>
      <c r="L3998" s="26"/>
    </row>
    <row r="3999" spans="1:12">
      <c r="A3999" s="20" t="s">
        <v>2895</v>
      </c>
      <c r="E3999" s="21">
        <f>IF(D3999="?OLD","!!!","")</f>
        <v/>
      </c>
      <c r="F3999" s="22" t="str">
        <f>IF(OR(E3999="",E3999="!!!"),"",IF(NOT(ISNA(VLOOKUP(E3999,E$1:E3998,1,FALSE()))),"OLD",IF(AND(E3999&lt;&gt;"",E3999&lt;&gt;"!!!"),"NEW","")))</f>
        <v> </v>
      </c>
      <c r="G3999" s="23" t="str">
        <f>IF(OR(E3999="",E3999="!!!"),"",IF(OR(J3999=0,AND(J3999=1,K3999=1),AND(J3999=1,I3999="SBJ"),AND(J3999=1,I3999=0)),"?IN_FOCUS",IF(J3999&lt;=2,"?ACTIVATED",IF(J3999&lt;&gt;"","?FAMILIAR",IF(F3999="NEW",IF(ISNA(VLOOKUP(E3999,#REF!,1,FALSE())),"?TYPE_IDENTIFIABLE","?REFERENTIAL"),"_")))))</f>
        <v> </v>
      </c>
      <c r="H3999" s="24" t="str">
        <f>IF(J3999&lt;&gt;1,"",IF(I3999="SBJ","CB","?"))</f>
        <v> </v>
      </c>
      <c r="I3999" s="25" t="str">
        <f>IF(OR(E3999="",E3999="!!!",F3999="NEW"),"",INDEX(B3998:B$2,-1+SUMPRODUCT(MAX(ROW(E3998:E$2)*(E3999=E3998:E$2)))))</f>
        <v> </v>
      </c>
      <c r="J3999" s="25" t="str">
        <f>IF(OR(E3999="",E3999="!!!",F3999="NEW"),"",COUNTBLANK(OFFSET(A$1,,,SUMPRODUCT(MAX(ROW(E$2:E3999)*(E3999=E$2:E3999)))))-COUNTBLANK(OFFSET(A$1,,,SUMPRODUCT(MAX(ROW(E$1:E3998)*(E2=E$1:E3998))))))</f>
        <v> </v>
      </c>
      <c r="K3999" s="25" t="str">
        <f>IF(OR(E3999="",E3999="!!!",F3999="NEW"),"",INDEX(J$1:J3998,SUMPRODUCT(MAX(ROW(E$1:E3998)*(E3999=E$1:E3998)))))</f>
        <v> </v>
      </c>
      <c r="L3999" s="26"/>
    </row>
    <row r="4000" spans="1:12">
      <c r="A4000" s="20" t="s">
        <v>1123</v>
      </c>
      <c r="E4000" s="21">
        <f>IF(D4000="?OLD","!!!","")</f>
        <v/>
      </c>
      <c r="F4000" s="22" t="str">
        <f>IF(OR(E4000="",E4000="!!!"),"",IF(NOT(ISNA(VLOOKUP(E4000,E$1:E3999,1,FALSE()))),"OLD",IF(AND(E4000&lt;&gt;"",E4000&lt;&gt;"!!!"),"NEW","")))</f>
        <v> </v>
      </c>
      <c r="G4000" s="23" t="str">
        <f>IF(OR(E4000="",E4000="!!!"),"",IF(OR(J4000=0,AND(J4000=1,K4000=1),AND(J4000=1,I4000="SBJ"),AND(J4000=1,I4000=0)),"?IN_FOCUS",IF(J4000&lt;=2,"?ACTIVATED",IF(J4000&lt;&gt;"","?FAMILIAR",IF(F4000="NEW",IF(ISNA(VLOOKUP(E4000,#REF!,1,FALSE())),"?TYPE_IDENTIFIABLE","?REFERENTIAL"),"_")))))</f>
        <v> </v>
      </c>
      <c r="H4000" s="24" t="str">
        <f>IF(J4000&lt;&gt;1,"",IF(I4000="SBJ","CB","?"))</f>
        <v> </v>
      </c>
      <c r="I4000" s="25" t="str">
        <f>IF(OR(E4000="",E4000="!!!",F4000="NEW"),"",INDEX(B3999:B$2,-1+SUMPRODUCT(MAX(ROW(E3999:E$2)*(E4000=E3999:E$2)))))</f>
        <v> </v>
      </c>
      <c r="J4000" s="25" t="str">
        <f>IF(OR(E4000="",E4000="!!!",F4000="NEW"),"",COUNTBLANK(OFFSET(A$1,,,SUMPRODUCT(MAX(ROW(E$2:E4000)*(E4000=E$2:E4000)))))-COUNTBLANK(OFFSET(A$1,,,SUMPRODUCT(MAX(ROW(E$1:E3999)*(E2=E$1:E3999))))))</f>
        <v> </v>
      </c>
      <c r="K4000" s="25" t="str">
        <f>IF(OR(E4000="",E4000="!!!",F4000="NEW"),"",INDEX(J$1:J3999,SUMPRODUCT(MAX(ROW(E$1:E3999)*(E4000=E$1:E3999)))))</f>
        <v> </v>
      </c>
      <c r="L4000" s="26"/>
    </row>
    <row r="4001" spans="1:12">
      <c r="A4001" s="20" t="s">
        <v>2052</v>
      </c>
      <c r="E4001" s="21">
        <f>IF(D4001="?OLD","!!!","")</f>
        <v/>
      </c>
      <c r="F4001" s="22" t="str">
        <f>IF(OR(E4001="",E4001="!!!"),"",IF(NOT(ISNA(VLOOKUP(E4001,E$1:E4000,1,FALSE()))),"OLD",IF(AND(E4001&lt;&gt;"",E4001&lt;&gt;"!!!"),"NEW","")))</f>
        <v> </v>
      </c>
      <c r="G4001" s="23" t="str">
        <f>IF(OR(E4001="",E4001="!!!"),"",IF(OR(J4001=0,AND(J4001=1,K4001=1),AND(J4001=1,I4001="SBJ"),AND(J4001=1,I4001=0)),"?IN_FOCUS",IF(J4001&lt;=2,"?ACTIVATED",IF(J4001&lt;&gt;"","?FAMILIAR",IF(F4001="NEW",IF(ISNA(VLOOKUP(E4001,#REF!,1,FALSE())),"?TYPE_IDENTIFIABLE","?REFERENTIAL"),"_")))))</f>
        <v> </v>
      </c>
      <c r="H4001" s="24" t="str">
        <f>IF(J4001&lt;&gt;1,"",IF(I4001="SBJ","CB","?"))</f>
        <v> </v>
      </c>
      <c r="I4001" s="25" t="str">
        <f>IF(OR(E4001="",E4001="!!!",F4001="NEW"),"",INDEX(B4000:B$2,-1+SUMPRODUCT(MAX(ROW(E4000:E$2)*(E4001=E4000:E$2)))))</f>
        <v> </v>
      </c>
      <c r="J4001" s="25" t="str">
        <f>IF(OR(E4001="",E4001="!!!",F4001="NEW"),"",COUNTBLANK(OFFSET(A$1,,,SUMPRODUCT(MAX(ROW(E$2:E4001)*(E4001=E$2:E4001)))))-COUNTBLANK(OFFSET(A$1,,,SUMPRODUCT(MAX(ROW(E$1:E4000)*(E2=E$1:E4000))))))</f>
        <v> </v>
      </c>
      <c r="K4001" s="25" t="str">
        <f>IF(OR(E4001="",E4001="!!!",F4001="NEW"),"",INDEX(J$1:J4000,SUMPRODUCT(MAX(ROW(E$1:E4000)*(E4001=E$1:E4000)))))</f>
        <v> </v>
      </c>
      <c r="L4001" s="26"/>
    </row>
    <row r="4002" spans="1:12">
      <c r="A4002" s="20" t="s">
        <v>1305</v>
      </c>
      <c r="B4002" s="27" t="s">
        <v>1107</v>
      </c>
      <c r="C4002" s="27" t="s">
        <v>1116</v>
      </c>
      <c r="D4002" s="27" t="s">
        <v>1105</v>
      </c>
      <c r="E4002" s="21">
        <f>IF(D4002="?OLD","!!!","")</f>
        <v/>
      </c>
      <c r="F4002" s="22" t="str">
        <f>IF(OR(E4002="",E4002="!!!"),"",IF(NOT(ISNA(VLOOKUP(E4002,E$1:E4001,1,FALSE()))),"OLD",IF(AND(E4002&lt;&gt;"",E4002&lt;&gt;"!!!"),"NEW","")))</f>
        <v> </v>
      </c>
      <c r="G4002" s="23" t="str">
        <f>IF(OR(E4002="",E4002="!!!"),"",IF(OR(J4002=0,AND(J4002=1,K4002=1),AND(J4002=1,I4002="SBJ"),AND(J4002=1,I4002=0)),"?IN_FOCUS",IF(J4002&lt;=2,"?ACTIVATED",IF(J4002&lt;&gt;"","?FAMILIAR",IF(F4002="NEW",IF(ISNA(VLOOKUP(E4002,#REF!,1,FALSE())),"?TYPE_IDENTIFIABLE","?REFERENTIAL"),"_")))))</f>
        <v> </v>
      </c>
      <c r="H4002" s="24" t="str">
        <f>IF(J4002&lt;&gt;1,"",IF(I4002="SBJ","CB","?"))</f>
        <v> </v>
      </c>
      <c r="I4002" s="25" t="str">
        <f>IF(OR(E4002="",E4002="!!!",F4002="NEW"),"",INDEX(B4001:B$2,-1+SUMPRODUCT(MAX(ROW(E4001:E$2)*(E4002=E4001:E$2)))))</f>
        <v> </v>
      </c>
      <c r="J4002" s="25" t="str">
        <f>IF(OR(E4002="",E4002="!!!",F4002="NEW"),"",COUNTBLANK(OFFSET(A$1,,,SUMPRODUCT(MAX(ROW(E$2:E4002)*(E4002=E$2:E4002)))))-COUNTBLANK(OFFSET(A$1,,,SUMPRODUCT(MAX(ROW(E$1:E4001)*(E2=E$1:E4001))))))</f>
        <v> </v>
      </c>
      <c r="K4002" s="25" t="str">
        <f>IF(OR(E4002="",E4002="!!!",F4002="NEW"),"",INDEX(J$1:J4001,SUMPRODUCT(MAX(ROW(E$1:E4001)*(E4002=E$1:E4001)))))</f>
        <v> </v>
      </c>
      <c r="L4002" s="26"/>
    </row>
    <row r="4003" spans="1:12">
      <c r="A4003" s="20" t="s">
        <v>1239</v>
      </c>
      <c r="E4003" s="21">
        <f>IF(D4003="?OLD","!!!","")</f>
        <v/>
      </c>
      <c r="F4003" s="22" t="str">
        <f>IF(OR(E4003="",E4003="!!!"),"",IF(NOT(ISNA(VLOOKUP(E4003,E$1:E4002,1,FALSE()))),"OLD",IF(AND(E4003&lt;&gt;"",E4003&lt;&gt;"!!!"),"NEW","")))</f>
        <v> </v>
      </c>
      <c r="G4003" s="23" t="str">
        <f>IF(OR(E4003="",E4003="!!!"),"",IF(OR(J4003=0,AND(J4003=1,K4003=1),AND(J4003=1,I4003="SBJ"),AND(J4003=1,I4003=0)),"?IN_FOCUS",IF(J4003&lt;=2,"?ACTIVATED",IF(J4003&lt;&gt;"","?FAMILIAR",IF(F4003="NEW",IF(ISNA(VLOOKUP(E4003,#REF!,1,FALSE())),"?TYPE_IDENTIFIABLE","?REFERENTIAL"),"_")))))</f>
        <v> </v>
      </c>
      <c r="H4003" s="24" t="str">
        <f>IF(J4003&lt;&gt;1,"",IF(I4003="SBJ","CB","?"))</f>
        <v> </v>
      </c>
      <c r="I4003" s="25" t="str">
        <f>IF(OR(E4003="",E4003="!!!",F4003="NEW"),"",INDEX(B4002:B$2,-1+SUMPRODUCT(MAX(ROW(E4002:E$2)*(E4003=E4002:E$2)))))</f>
        <v> </v>
      </c>
      <c r="J4003" s="25" t="str">
        <f>IF(OR(E4003="",E4003="!!!",F4003="NEW"),"",COUNTBLANK(OFFSET(A$1,,,SUMPRODUCT(MAX(ROW(E$2:E4003)*(E4003=E$2:E4003)))))-COUNTBLANK(OFFSET(A$1,,,SUMPRODUCT(MAX(ROW(E$1:E4002)*(E2=E$1:E4002))))))</f>
        <v> </v>
      </c>
      <c r="K4003" s="25" t="str">
        <f>IF(OR(E4003="",E4003="!!!",F4003="NEW"),"",INDEX(J$1:J4002,SUMPRODUCT(MAX(ROW(E$1:E4002)*(E4003=E$1:E4002)))))</f>
        <v> </v>
      </c>
      <c r="L4003" s="26"/>
    </row>
    <row r="4004" spans="1:12">
      <c r="A4004" s="20" t="s">
        <v>2896</v>
      </c>
      <c r="E4004" s="21">
        <f>IF(D4004="?OLD","!!!","")</f>
        <v/>
      </c>
      <c r="F4004" s="22" t="str">
        <f>IF(OR(E4004="",E4004="!!!"),"",IF(NOT(ISNA(VLOOKUP(E4004,E$1:E4003,1,FALSE()))),"OLD",IF(AND(E4004&lt;&gt;"",E4004&lt;&gt;"!!!"),"NEW","")))</f>
        <v> </v>
      </c>
      <c r="G4004" s="23" t="str">
        <f>IF(OR(E4004="",E4004="!!!"),"",IF(OR(J4004=0,AND(J4004=1,K4004=1),AND(J4004=1,I4004="SBJ"),AND(J4004=1,I4004=0)),"?IN_FOCUS",IF(J4004&lt;=2,"?ACTIVATED",IF(J4004&lt;&gt;"","?FAMILIAR",IF(F4004="NEW",IF(ISNA(VLOOKUP(E4004,#REF!,1,FALSE())),"?TYPE_IDENTIFIABLE","?REFERENTIAL"),"_")))))</f>
        <v> </v>
      </c>
      <c r="H4004" s="24" t="str">
        <f>IF(J4004&lt;&gt;1,"",IF(I4004="SBJ","CB","?"))</f>
        <v> </v>
      </c>
      <c r="I4004" s="25" t="str">
        <f>IF(OR(E4004="",E4004="!!!",F4004="NEW"),"",INDEX(B4003:B$2,-1+SUMPRODUCT(MAX(ROW(E4003:E$2)*(E4004=E4003:E$2)))))</f>
        <v> </v>
      </c>
      <c r="J4004" s="25" t="str">
        <f>IF(OR(E4004="",E4004="!!!",F4004="NEW"),"",COUNTBLANK(OFFSET(A$1,,,SUMPRODUCT(MAX(ROW(E$2:E4004)*(E4004=E$2:E4004)))))-COUNTBLANK(OFFSET(A$1,,,SUMPRODUCT(MAX(ROW(E$1:E4003)*(E2=E$1:E4003))))))</f>
        <v> </v>
      </c>
      <c r="K4004" s="25" t="str">
        <f>IF(OR(E4004="",E4004="!!!",F4004="NEW"),"",INDEX(J$1:J4003,SUMPRODUCT(MAX(ROW(E$1:E4003)*(E4004=E$1:E4003)))))</f>
        <v> </v>
      </c>
      <c r="L4004" s="26"/>
    </row>
    <row r="4005" spans="1:12">
      <c r="A4005" s="20" t="s">
        <v>2897</v>
      </c>
      <c r="B4005" s="27" t="s">
        <v>1243</v>
      </c>
      <c r="E4005" s="21">
        <f>IF(D4005="?OLD","!!!","")</f>
        <v/>
      </c>
      <c r="F4005" s="22" t="str">
        <f>IF(OR(E4005="",E4005="!!!"),"",IF(NOT(ISNA(VLOOKUP(E4005,E$1:E4004,1,FALSE()))),"OLD",IF(AND(E4005&lt;&gt;"",E4005&lt;&gt;"!!!"),"NEW","")))</f>
        <v> </v>
      </c>
      <c r="G4005" s="23" t="str">
        <f>IF(OR(E4005="",E4005="!!!"),"",IF(OR(J4005=0,AND(J4005=1,K4005=1),AND(J4005=1,I4005="SBJ"),AND(J4005=1,I4005=0)),"?IN_FOCUS",IF(J4005&lt;=2,"?ACTIVATED",IF(J4005&lt;&gt;"","?FAMILIAR",IF(F4005="NEW",IF(ISNA(VLOOKUP(E4005,#REF!,1,FALSE())),"?TYPE_IDENTIFIABLE","?REFERENTIAL"),"_")))))</f>
        <v> </v>
      </c>
      <c r="H4005" s="24" t="str">
        <f>IF(J4005&lt;&gt;1,"",IF(I4005="SBJ","CB","?"))</f>
        <v> </v>
      </c>
      <c r="I4005" s="25" t="str">
        <f>IF(OR(E4005="",E4005="!!!",F4005="NEW"),"",INDEX(B4004:B$2,-1+SUMPRODUCT(MAX(ROW(E4004:E$2)*(E4005=E4004:E$2)))))</f>
        <v> </v>
      </c>
      <c r="J4005" s="25" t="str">
        <f>IF(OR(E4005="",E4005="!!!",F4005="NEW"),"",COUNTBLANK(OFFSET(A$1,,,SUMPRODUCT(MAX(ROW(E$2:E4005)*(E4005=E$2:E4005)))))-COUNTBLANK(OFFSET(A$1,,,SUMPRODUCT(MAX(ROW(E$1:E4004)*(E2=E$1:E4004))))))</f>
        <v> </v>
      </c>
      <c r="K4005" s="25" t="str">
        <f>IF(OR(E4005="",E4005="!!!",F4005="NEW"),"",INDEX(J$1:J4004,SUMPRODUCT(MAX(ROW(E$1:E4004)*(E4005=E$1:E4004)))))</f>
        <v> </v>
      </c>
      <c r="L4005" s="26"/>
    </row>
    <row r="4006" spans="1:12">
      <c r="A4006" s="20" t="s">
        <v>2898</v>
      </c>
      <c r="E4006" s="21">
        <f>IF(D4006="?OLD","!!!","")</f>
        <v/>
      </c>
      <c r="F4006" s="22" t="str">
        <f>IF(OR(E4006="",E4006="!!!"),"",IF(NOT(ISNA(VLOOKUP(E4006,E$1:E4005,1,FALSE()))),"OLD",IF(AND(E4006&lt;&gt;"",E4006&lt;&gt;"!!!"),"NEW","")))</f>
        <v> </v>
      </c>
      <c r="G4006" s="23" t="str">
        <f>IF(OR(E4006="",E4006="!!!"),"",IF(OR(J4006=0,AND(J4006=1,K4006=1),AND(J4006=1,I4006="SBJ"),AND(J4006=1,I4006=0)),"?IN_FOCUS",IF(J4006&lt;=2,"?ACTIVATED",IF(J4006&lt;&gt;"","?FAMILIAR",IF(F4006="NEW",IF(ISNA(VLOOKUP(E4006,#REF!,1,FALSE())),"?TYPE_IDENTIFIABLE","?REFERENTIAL"),"_")))))</f>
        <v> </v>
      </c>
      <c r="H4006" s="24" t="str">
        <f>IF(J4006&lt;&gt;1,"",IF(I4006="SBJ","CB","?"))</f>
        <v> </v>
      </c>
      <c r="I4006" s="25" t="str">
        <f>IF(OR(E4006="",E4006="!!!",F4006="NEW"),"",INDEX(B4005:B$2,-1+SUMPRODUCT(MAX(ROW(E4005:E$2)*(E4006=E4005:E$2)))))</f>
        <v> </v>
      </c>
      <c r="J4006" s="25" t="str">
        <f>IF(OR(E4006="",E4006="!!!",F4006="NEW"),"",COUNTBLANK(OFFSET(A$1,,,SUMPRODUCT(MAX(ROW(E$2:E4006)*(E4006=E$2:E4006)))))-COUNTBLANK(OFFSET(A$1,,,SUMPRODUCT(MAX(ROW(E$1:E4005)*(E2=E$1:E4005))))))</f>
        <v> </v>
      </c>
      <c r="K4006" s="25" t="str">
        <f>IF(OR(E4006="",E4006="!!!",F4006="NEW"),"",INDEX(J$1:J4005,SUMPRODUCT(MAX(ROW(E$1:E4005)*(E4006=E$1:E4005)))))</f>
        <v> </v>
      </c>
      <c r="L4006" s="26"/>
    </row>
    <row r="4007" spans="1:12">
      <c r="A4007" s="20" t="s">
        <v>1123</v>
      </c>
      <c r="E4007" s="21">
        <f>IF(D4007="?OLD","!!!","")</f>
        <v/>
      </c>
      <c r="F4007" s="22" t="str">
        <f>IF(OR(E4007="",E4007="!!!"),"",IF(NOT(ISNA(VLOOKUP(E4007,E$1:E4006,1,FALSE()))),"OLD",IF(AND(E4007&lt;&gt;"",E4007&lt;&gt;"!!!"),"NEW","")))</f>
        <v> </v>
      </c>
      <c r="G4007" s="23" t="str">
        <f>IF(OR(E4007="",E4007="!!!"),"",IF(OR(J4007=0,AND(J4007=1,K4007=1),AND(J4007=1,I4007="SBJ"),AND(J4007=1,I4007=0)),"?IN_FOCUS",IF(J4007&lt;=2,"?ACTIVATED",IF(J4007&lt;&gt;"","?FAMILIAR",IF(F4007="NEW",IF(ISNA(VLOOKUP(E4007,#REF!,1,FALSE())),"?TYPE_IDENTIFIABLE","?REFERENTIAL"),"_")))))</f>
        <v> </v>
      </c>
      <c r="H4007" s="24" t="str">
        <f>IF(J4007&lt;&gt;1,"",IF(I4007="SBJ","CB","?"))</f>
        <v> </v>
      </c>
      <c r="I4007" s="25" t="str">
        <f>IF(OR(E4007="",E4007="!!!",F4007="NEW"),"",INDEX(B4006:B$2,-1+SUMPRODUCT(MAX(ROW(E4006:E$2)*(E4007=E4006:E$2)))))</f>
        <v> </v>
      </c>
      <c r="J4007" s="25" t="str">
        <f>IF(OR(E4007="",E4007="!!!",F4007="NEW"),"",COUNTBLANK(OFFSET(A$1,,,SUMPRODUCT(MAX(ROW(E$2:E4007)*(E4007=E$2:E4007)))))-COUNTBLANK(OFFSET(A$1,,,SUMPRODUCT(MAX(ROW(E$1:E4006)*(E2=E$1:E4006))))))</f>
        <v> </v>
      </c>
      <c r="K4007" s="25" t="str">
        <f>IF(OR(E4007="",E4007="!!!",F4007="NEW"),"",INDEX(J$1:J4006,SUMPRODUCT(MAX(ROW(E$1:E4006)*(E4007=E$1:E4006)))))</f>
        <v> </v>
      </c>
      <c r="L4007" s="26"/>
    </row>
    <row r="4008" spans="1:12">
      <c r="A4008" s="20" t="s">
        <v>2899</v>
      </c>
      <c r="E4008" s="21">
        <f>IF(D4008="?OLD","!!!","")</f>
        <v/>
      </c>
      <c r="F4008" s="22" t="str">
        <f>IF(OR(E4008="",E4008="!!!"),"",IF(NOT(ISNA(VLOOKUP(E4008,E$1:E4007,1,FALSE()))),"OLD",IF(AND(E4008&lt;&gt;"",E4008&lt;&gt;"!!!"),"NEW","")))</f>
        <v> </v>
      </c>
      <c r="G4008" s="23" t="str">
        <f>IF(OR(E4008="",E4008="!!!"),"",IF(OR(J4008=0,AND(J4008=1,K4008=1),AND(J4008=1,I4008="SBJ"),AND(J4008=1,I4008=0)),"?IN_FOCUS",IF(J4008&lt;=2,"?ACTIVATED",IF(J4008&lt;&gt;"","?FAMILIAR",IF(F4008="NEW",IF(ISNA(VLOOKUP(E4008,#REF!,1,FALSE())),"?TYPE_IDENTIFIABLE","?REFERENTIAL"),"_")))))</f>
        <v> </v>
      </c>
      <c r="H4008" s="24" t="str">
        <f>IF(J4008&lt;&gt;1,"",IF(I4008="SBJ","CB","?"))</f>
        <v> </v>
      </c>
      <c r="I4008" s="25" t="str">
        <f>IF(OR(E4008="",E4008="!!!",F4008="NEW"),"",INDEX(B4007:B$2,-1+SUMPRODUCT(MAX(ROW(E4007:E$2)*(E4008=E4007:E$2)))))</f>
        <v> </v>
      </c>
      <c r="J4008" s="25" t="str">
        <f>IF(OR(E4008="",E4008="!!!",F4008="NEW"),"",COUNTBLANK(OFFSET(A$1,,,SUMPRODUCT(MAX(ROW(E$2:E4008)*(E4008=E$2:E4008)))))-COUNTBLANK(OFFSET(A$1,,,SUMPRODUCT(MAX(ROW(E$1:E4007)*(E2=E$1:E4007))))))</f>
        <v> </v>
      </c>
      <c r="K4008" s="25" t="str">
        <f>IF(OR(E4008="",E4008="!!!",F4008="NEW"),"",INDEX(J$1:J4007,SUMPRODUCT(MAX(ROW(E$1:E4007)*(E4008=E$1:E4007)))))</f>
        <v> </v>
      </c>
      <c r="L4008" s="26"/>
    </row>
    <row r="4009" spans="1:12">
      <c r="A4009" s="20" t="s">
        <v>2900</v>
      </c>
      <c r="B4009" s="27" t="s">
        <v>1144</v>
      </c>
      <c r="C4009" s="27" t="s">
        <v>1126</v>
      </c>
      <c r="D4009" s="27" t="s">
        <v>1105</v>
      </c>
      <c r="E4009" s="21">
        <f>IF(D4009="?OLD","!!!","")</f>
        <v/>
      </c>
      <c r="F4009" s="22" t="str">
        <f>IF(OR(E4009="",E4009="!!!"),"",IF(NOT(ISNA(VLOOKUP(E4009,E$1:E4008,1,FALSE()))),"OLD",IF(AND(E4009&lt;&gt;"",E4009&lt;&gt;"!!!"),"NEW","")))</f>
        <v> </v>
      </c>
      <c r="G4009" s="23" t="str">
        <f>IF(OR(E4009="",E4009="!!!"),"",IF(OR(J4009=0,AND(J4009=1,K4009=1),AND(J4009=1,I4009="SBJ"),AND(J4009=1,I4009=0)),"?IN_FOCUS",IF(J4009&lt;=2,"?ACTIVATED",IF(J4009&lt;&gt;"","?FAMILIAR",IF(F4009="NEW",IF(ISNA(VLOOKUP(E4009,#REF!,1,FALSE())),"?TYPE_IDENTIFIABLE","?REFERENTIAL"),"_")))))</f>
        <v> </v>
      </c>
      <c r="H4009" s="24" t="str">
        <f>IF(J4009&lt;&gt;1,"",IF(I4009="SBJ","CB","?"))</f>
        <v> </v>
      </c>
      <c r="I4009" s="25" t="str">
        <f>IF(OR(E4009="",E4009="!!!",F4009="NEW"),"",INDEX(B4008:B$2,-1+SUMPRODUCT(MAX(ROW(E4008:E$2)*(E4009=E4008:E$2)))))</f>
        <v> </v>
      </c>
      <c r="J4009" s="25" t="str">
        <f>IF(OR(E4009="",E4009="!!!",F4009="NEW"),"",COUNTBLANK(OFFSET(A$1,,,SUMPRODUCT(MAX(ROW(E$2:E4009)*(E4009=E$2:E4009)))))-COUNTBLANK(OFFSET(A$1,,,SUMPRODUCT(MAX(ROW(E$1:E4008)*(E2=E$1:E4008))))))</f>
        <v> </v>
      </c>
      <c r="K4009" s="25" t="str">
        <f>IF(OR(E4009="",E4009="!!!",F4009="NEW"),"",INDEX(J$1:J4008,SUMPRODUCT(MAX(ROW(E$1:E4008)*(E4009=E$1:E4008)))))</f>
        <v> </v>
      </c>
      <c r="L4009" s="26"/>
    </row>
    <row r="4010" spans="1:12">
      <c r="A4010" s="20" t="s">
        <v>1249</v>
      </c>
      <c r="E4010" s="21">
        <f>IF(D4010="?OLD","!!!","")</f>
        <v/>
      </c>
      <c r="F4010" s="22" t="str">
        <f>IF(OR(E4010="",E4010="!!!"),"",IF(NOT(ISNA(VLOOKUP(E4010,E$1:E4009,1,FALSE()))),"OLD",IF(AND(E4010&lt;&gt;"",E4010&lt;&gt;"!!!"),"NEW","")))</f>
        <v> </v>
      </c>
      <c r="G4010" s="23" t="str">
        <f>IF(OR(E4010="",E4010="!!!"),"",IF(OR(J4010=0,AND(J4010=1,K4010=1),AND(J4010=1,I4010="SBJ"),AND(J4010=1,I4010=0)),"?IN_FOCUS",IF(J4010&lt;=2,"?ACTIVATED",IF(J4010&lt;&gt;"","?FAMILIAR",IF(F4010="NEW",IF(ISNA(VLOOKUP(E4010,#REF!,1,FALSE())),"?TYPE_IDENTIFIABLE","?REFERENTIAL"),"_")))))</f>
        <v> </v>
      </c>
      <c r="H4010" s="24" t="str">
        <f>IF(J4010&lt;&gt;1,"",IF(I4010="SBJ","CB","?"))</f>
        <v> </v>
      </c>
      <c r="I4010" s="25" t="str">
        <f>IF(OR(E4010="",E4010="!!!",F4010="NEW"),"",INDEX(B4009:B$2,-1+SUMPRODUCT(MAX(ROW(E4009:E$2)*(E4010=E4009:E$2)))))</f>
        <v> </v>
      </c>
      <c r="J4010" s="25" t="str">
        <f>IF(OR(E4010="",E4010="!!!",F4010="NEW"),"",COUNTBLANK(OFFSET(A$1,,,SUMPRODUCT(MAX(ROW(E$2:E4010)*(E4010=E$2:E4010)))))-COUNTBLANK(OFFSET(A$1,,,SUMPRODUCT(MAX(ROW(E$1:E4009)*(E2=E$1:E4009))))))</f>
        <v> </v>
      </c>
      <c r="K4010" s="25" t="str">
        <f>IF(OR(E4010="",E4010="!!!",F4010="NEW"),"",INDEX(J$1:J4009,SUMPRODUCT(MAX(ROW(E$1:E4009)*(E4010=E$1:E4009)))))</f>
        <v> </v>
      </c>
      <c r="L4010" s="26"/>
    </row>
    <row r="4011" spans="1:12">
      <c r="A4011" s="20" t="s">
        <v>2901</v>
      </c>
      <c r="E4011" s="21">
        <f>IF(D4011="?OLD","!!!","")</f>
        <v/>
      </c>
      <c r="F4011" s="22" t="str">
        <f>IF(OR(E4011="",E4011="!!!"),"",IF(NOT(ISNA(VLOOKUP(E4011,E$1:E4010,1,FALSE()))),"OLD",IF(AND(E4011&lt;&gt;"",E4011&lt;&gt;"!!!"),"NEW","")))</f>
        <v> </v>
      </c>
      <c r="G4011" s="23" t="str">
        <f>IF(OR(E4011="",E4011="!!!"),"",IF(OR(J4011=0,AND(J4011=1,K4011=1),AND(J4011=1,I4011="SBJ"),AND(J4011=1,I4011=0)),"?IN_FOCUS",IF(J4011&lt;=2,"?ACTIVATED",IF(J4011&lt;&gt;"","?FAMILIAR",IF(F4011="NEW",IF(ISNA(VLOOKUP(E4011,#REF!,1,FALSE())),"?TYPE_IDENTIFIABLE","?REFERENTIAL"),"_")))))</f>
        <v> </v>
      </c>
      <c r="H4011" s="24" t="str">
        <f>IF(J4011&lt;&gt;1,"",IF(I4011="SBJ","CB","?"))</f>
        <v> </v>
      </c>
      <c r="I4011" s="25" t="str">
        <f>IF(OR(E4011="",E4011="!!!",F4011="NEW"),"",INDEX(B4010:B$2,-1+SUMPRODUCT(MAX(ROW(E4010:E$2)*(E4011=E4010:E$2)))))</f>
        <v> </v>
      </c>
      <c r="J4011" s="25" t="str">
        <f>IF(OR(E4011="",E4011="!!!",F4011="NEW"),"",COUNTBLANK(OFFSET(A$1,,,SUMPRODUCT(MAX(ROW(E$2:E4011)*(E4011=E$2:E4011)))))-COUNTBLANK(OFFSET(A$1,,,SUMPRODUCT(MAX(ROW(E$1:E4010)*(E2=E$1:E4010))))))</f>
        <v> </v>
      </c>
      <c r="K4011" s="25" t="str">
        <f>IF(OR(E4011="",E4011="!!!",F4011="NEW"),"",INDEX(J$1:J4010,SUMPRODUCT(MAX(ROW(E$1:E4010)*(E4011=E$1:E4010)))))</f>
        <v> </v>
      </c>
      <c r="L4011" s="26"/>
    </row>
    <row r="4012" spans="1:12">
      <c r="A4012" s="20" t="s">
        <v>1145</v>
      </c>
      <c r="E4012" s="21">
        <f>IF(D4012="?OLD","!!!","")</f>
        <v/>
      </c>
      <c r="F4012" s="22" t="str">
        <f>IF(OR(E4012="",E4012="!!!"),"",IF(NOT(ISNA(VLOOKUP(E4012,E$1:E4011,1,FALSE()))),"OLD",IF(AND(E4012&lt;&gt;"",E4012&lt;&gt;"!!!"),"NEW","")))</f>
        <v> </v>
      </c>
      <c r="G4012" s="23" t="str">
        <f>IF(OR(E4012="",E4012="!!!"),"",IF(OR(J4012=0,AND(J4012=1,K4012=1),AND(J4012=1,I4012="SBJ"),AND(J4012=1,I4012=0)),"?IN_FOCUS",IF(J4012&lt;=2,"?ACTIVATED",IF(J4012&lt;&gt;"","?FAMILIAR",IF(F4012="NEW",IF(ISNA(VLOOKUP(E4012,#REF!,1,FALSE())),"?TYPE_IDENTIFIABLE","?REFERENTIAL"),"_")))))</f>
        <v> </v>
      </c>
      <c r="H4012" s="24" t="str">
        <f>IF(J4012&lt;&gt;1,"",IF(I4012="SBJ","CB","?"))</f>
        <v> </v>
      </c>
      <c r="I4012" s="25" t="str">
        <f>IF(OR(E4012="",E4012="!!!",F4012="NEW"),"",INDEX(B4011:B$2,-1+SUMPRODUCT(MAX(ROW(E4011:E$2)*(E4012=E4011:E$2)))))</f>
        <v> </v>
      </c>
      <c r="J4012" s="25" t="str">
        <f>IF(OR(E4012="",E4012="!!!",F4012="NEW"),"",COUNTBLANK(OFFSET(A$1,,,SUMPRODUCT(MAX(ROW(E$2:E4012)*(E4012=E$2:E4012)))))-COUNTBLANK(OFFSET(A$1,,,SUMPRODUCT(MAX(ROW(E$1:E4011)*(E2=E$1:E4011))))))</f>
        <v> </v>
      </c>
      <c r="K4012" s="25" t="str">
        <f>IF(OR(E4012="",E4012="!!!",F4012="NEW"),"",INDEX(J$1:J4011,SUMPRODUCT(MAX(ROW(E$1:E4011)*(E4012=E$1:E4011)))))</f>
        <v> </v>
      </c>
      <c r="L4012" s="26"/>
    </row>
    <row r="4013" spans="1:12">
      <c r="A4013" s="20"/>
    </row>
    <row r="4014" spans="1:12">
      <c r="A4014" s="20" t="s">
        <v>2902</v>
      </c>
    </row>
    <row r="4015" spans="1:12">
      <c r="A4015" s="20" t="s">
        <v>2903</v>
      </c>
      <c r="E4015" s="21">
        <f>IF(D4015="?OLD","!!!","")</f>
        <v/>
      </c>
      <c r="F4015" s="22" t="str">
        <f>IF(OR(E4015="",E4015="!!!"),"",IF(NOT(ISNA(VLOOKUP(E4015,E$1:E4014,1,FALSE()))),"OLD",IF(AND(E4015&lt;&gt;"",E4015&lt;&gt;"!!!"),"NEW","")))</f>
        <v> </v>
      </c>
      <c r="G4015" s="23" t="str">
        <f>IF(OR(E4015="",E4015="!!!"),"",IF(OR(J4015=0,AND(J4015=1,K4015=1),AND(J4015=1,I4015="SBJ"),AND(J4015=1,I4015=0)),"?IN_FOCUS",IF(J4015&lt;=2,"?ACTIVATED",IF(J4015&lt;&gt;"","?FAMILIAR",IF(F4015="NEW",IF(ISNA(VLOOKUP(E4015,#REF!,1,FALSE())),"?TYPE_IDENTIFIABLE","?REFERENTIAL"),"_")))))</f>
        <v> </v>
      </c>
      <c r="H4015" s="24" t="str">
        <f>IF(J4015&lt;&gt;1,"",IF(I4015="SBJ","CB","?"))</f>
        <v> </v>
      </c>
      <c r="I4015" s="25" t="str">
        <f>IF(OR(E4015="",E4015="!!!",F4015="NEW"),"",INDEX(B4014:B$2,-1+SUMPRODUCT(MAX(ROW(E4014:E$2)*(E4015=E4014:E$2)))))</f>
        <v> </v>
      </c>
      <c r="J4015" s="25" t="str">
        <f>IF(OR(E4015="",E4015="!!!",F4015="NEW"),"",COUNTBLANK(OFFSET(A$1,,,SUMPRODUCT(MAX(ROW(E$2:E4015)*(E4015=E$2:E4015)))))-COUNTBLANK(OFFSET(A$1,,,SUMPRODUCT(MAX(ROW(E$1:E4014)*(E2=E$1:E4014))))))</f>
        <v> </v>
      </c>
      <c r="K4015" s="25" t="str">
        <f>IF(OR(E4015="",E4015="!!!",F4015="NEW"),"",INDEX(J$1:J4014,SUMPRODUCT(MAX(ROW(E$1:E4014)*(E4015=E$1:E4014)))))</f>
        <v> </v>
      </c>
      <c r="L4015" s="26"/>
    </row>
    <row r="4016" spans="1:12">
      <c r="A4016" s="20" t="s">
        <v>1124</v>
      </c>
      <c r="B4016" s="27" t="s">
        <v>1122</v>
      </c>
      <c r="C4016" s="27" t="s">
        <v>1126</v>
      </c>
      <c r="D4016" s="27" t="s">
        <v>1105</v>
      </c>
      <c r="E4016" s="21">
        <f>IF(D4016="?OLD","!!!","")</f>
        <v/>
      </c>
      <c r="F4016" s="22" t="str">
        <f>IF(OR(E4016="",E4016="!!!"),"",IF(NOT(ISNA(VLOOKUP(E4016,E$1:E4015,1,FALSE()))),"OLD",IF(AND(E4016&lt;&gt;"",E4016&lt;&gt;"!!!"),"NEW","")))</f>
        <v> </v>
      </c>
      <c r="G4016" s="23" t="str">
        <f>IF(OR(E4016="",E4016="!!!"),"",IF(OR(J4016=0,AND(J4016=1,K4016=1),AND(J4016=1,I4016="SBJ"),AND(J4016=1,I4016=0)),"?IN_FOCUS",IF(J4016&lt;=2,"?ACTIVATED",IF(J4016&lt;&gt;"","?FAMILIAR",IF(F4016="NEW",IF(ISNA(VLOOKUP(E4016,#REF!,1,FALSE())),"?TYPE_IDENTIFIABLE","?REFERENTIAL"),"_")))))</f>
        <v> </v>
      </c>
      <c r="H4016" s="24" t="str">
        <f>IF(J4016&lt;&gt;1,"",IF(I4016="SBJ","CB","?"))</f>
        <v> </v>
      </c>
      <c r="I4016" s="25" t="str">
        <f>IF(OR(E4016="",E4016="!!!",F4016="NEW"),"",INDEX(B4015:B$2,-1+SUMPRODUCT(MAX(ROW(E4015:E$2)*(E4016=E4015:E$2)))))</f>
        <v> </v>
      </c>
      <c r="J4016" s="25" t="str">
        <f>IF(OR(E4016="",E4016="!!!",F4016="NEW"),"",COUNTBLANK(OFFSET(A$1,,,SUMPRODUCT(MAX(ROW(E$2:E4016)*(E4016=E$2:E4016)))))-COUNTBLANK(OFFSET(A$1,,,SUMPRODUCT(MAX(ROW(E$1:E4015)*(E2=E$1:E4015))))))</f>
        <v> </v>
      </c>
      <c r="K4016" s="25" t="str">
        <f>IF(OR(E4016="",E4016="!!!",F4016="NEW"),"",INDEX(J$1:J4015,SUMPRODUCT(MAX(ROW(E$1:E4015)*(E4016=E$1:E4015)))))</f>
        <v> </v>
      </c>
      <c r="L4016" s="26"/>
    </row>
    <row r="4017" spans="1:12">
      <c r="A4017" s="20" t="s">
        <v>1258</v>
      </c>
      <c r="E4017" s="21">
        <f>IF(D4017="?OLD","!!!","")</f>
        <v/>
      </c>
      <c r="F4017" s="22" t="str">
        <f>IF(OR(E4017="",E4017="!!!"),"",IF(NOT(ISNA(VLOOKUP(E4017,E$1:E4016,1,FALSE()))),"OLD",IF(AND(E4017&lt;&gt;"",E4017&lt;&gt;"!!!"),"NEW","")))</f>
        <v> </v>
      </c>
      <c r="G4017" s="23" t="str">
        <f>IF(OR(E4017="",E4017="!!!"),"",IF(OR(J4017=0,AND(J4017=1,K4017=1),AND(J4017=1,I4017="SBJ"),AND(J4017=1,I4017=0)),"?IN_FOCUS",IF(J4017&lt;=2,"?ACTIVATED",IF(J4017&lt;&gt;"","?FAMILIAR",IF(F4017="NEW",IF(ISNA(VLOOKUP(E4017,#REF!,1,FALSE())),"?TYPE_IDENTIFIABLE","?REFERENTIAL"),"_")))))</f>
        <v> </v>
      </c>
      <c r="H4017" s="24" t="str">
        <f>IF(J4017&lt;&gt;1,"",IF(I4017="SBJ","CB","?"))</f>
        <v> </v>
      </c>
      <c r="I4017" s="25" t="str">
        <f>IF(OR(E4017="",E4017="!!!",F4017="NEW"),"",INDEX(B4016:B$2,-1+SUMPRODUCT(MAX(ROW(E4016:E$2)*(E4017=E4016:E$2)))))</f>
        <v> </v>
      </c>
      <c r="J4017" s="25" t="str">
        <f>IF(OR(E4017="",E4017="!!!",F4017="NEW"),"",COUNTBLANK(OFFSET(A$1,,,SUMPRODUCT(MAX(ROW(E$2:E4017)*(E4017=E$2:E4017)))))-COUNTBLANK(OFFSET(A$1,,,SUMPRODUCT(MAX(ROW(E$1:E4016)*(E2=E$1:E4016))))))</f>
        <v> </v>
      </c>
      <c r="K4017" s="25" t="str">
        <f>IF(OR(E4017="",E4017="!!!",F4017="NEW"),"",INDEX(J$1:J4016,SUMPRODUCT(MAX(ROW(E$1:E4016)*(E4017=E$1:E4016)))))</f>
        <v> </v>
      </c>
      <c r="L4017" s="26"/>
    </row>
    <row r="4018" spans="1:12">
      <c r="A4018" s="20" t="s">
        <v>1123</v>
      </c>
      <c r="E4018" s="21">
        <f>IF(D4018="?OLD","!!!","")</f>
        <v/>
      </c>
      <c r="F4018" s="22" t="str">
        <f>IF(OR(E4018="",E4018="!!!"),"",IF(NOT(ISNA(VLOOKUP(E4018,E$1:E4017,1,FALSE()))),"OLD",IF(AND(E4018&lt;&gt;"",E4018&lt;&gt;"!!!"),"NEW","")))</f>
        <v> </v>
      </c>
      <c r="G4018" s="23" t="str">
        <f>IF(OR(E4018="",E4018="!!!"),"",IF(OR(J4018=0,AND(J4018=1,K4018=1),AND(J4018=1,I4018="SBJ"),AND(J4018=1,I4018=0)),"?IN_FOCUS",IF(J4018&lt;=2,"?ACTIVATED",IF(J4018&lt;&gt;"","?FAMILIAR",IF(F4018="NEW",IF(ISNA(VLOOKUP(E4018,#REF!,1,FALSE())),"?TYPE_IDENTIFIABLE","?REFERENTIAL"),"_")))))</f>
        <v> </v>
      </c>
      <c r="H4018" s="24" t="str">
        <f>IF(J4018&lt;&gt;1,"",IF(I4018="SBJ","CB","?"))</f>
        <v> </v>
      </c>
      <c r="I4018" s="25" t="str">
        <f>IF(OR(E4018="",E4018="!!!",F4018="NEW"),"",INDEX(B4017:B$2,-1+SUMPRODUCT(MAX(ROW(E4017:E$2)*(E4018=E4017:E$2)))))</f>
        <v> </v>
      </c>
      <c r="J4018" s="25" t="str">
        <f>IF(OR(E4018="",E4018="!!!",F4018="NEW"),"",COUNTBLANK(OFFSET(A$1,,,SUMPRODUCT(MAX(ROW(E$2:E4018)*(E4018=E$2:E4018)))))-COUNTBLANK(OFFSET(A$1,,,SUMPRODUCT(MAX(ROW(E$1:E4017)*(E2=E$1:E4017))))))</f>
        <v> </v>
      </c>
      <c r="K4018" s="25" t="str">
        <f>IF(OR(E4018="",E4018="!!!",F4018="NEW"),"",INDEX(J$1:J4017,SUMPRODUCT(MAX(ROW(E$1:E4017)*(E4018=E$1:E4017)))))</f>
        <v> </v>
      </c>
      <c r="L4018" s="26"/>
    </row>
    <row r="4019" spans="1:12">
      <c r="A4019" s="20" t="s">
        <v>135</v>
      </c>
      <c r="E4019" s="21">
        <f>IF(D4019="?OLD","!!!","")</f>
        <v/>
      </c>
      <c r="F4019" s="22" t="str">
        <f>IF(OR(E4019="",E4019="!!!"),"",IF(NOT(ISNA(VLOOKUP(E4019,E$1:E4018,1,FALSE()))),"OLD",IF(AND(E4019&lt;&gt;"",E4019&lt;&gt;"!!!"),"NEW","")))</f>
        <v> </v>
      </c>
      <c r="G4019" s="23" t="str">
        <f>IF(OR(E4019="",E4019="!!!"),"",IF(OR(J4019=0,AND(J4019=1,K4019=1),AND(J4019=1,I4019="SBJ"),AND(J4019=1,I4019=0)),"?IN_FOCUS",IF(J4019&lt;=2,"?ACTIVATED",IF(J4019&lt;&gt;"","?FAMILIAR",IF(F4019="NEW",IF(ISNA(VLOOKUP(E4019,#REF!,1,FALSE())),"?TYPE_IDENTIFIABLE","?REFERENTIAL"),"_")))))</f>
        <v> </v>
      </c>
      <c r="H4019" s="24" t="str">
        <f>IF(J4019&lt;&gt;1,"",IF(I4019="SBJ","CB","?"))</f>
        <v> </v>
      </c>
      <c r="I4019" s="25" t="str">
        <f>IF(OR(E4019="",E4019="!!!",F4019="NEW"),"",INDEX(B4018:B$2,-1+SUMPRODUCT(MAX(ROW(E4018:E$2)*(E4019=E4018:E$2)))))</f>
        <v> </v>
      </c>
      <c r="J4019" s="25" t="str">
        <f>IF(OR(E4019="",E4019="!!!",F4019="NEW"),"",COUNTBLANK(OFFSET(A$1,,,SUMPRODUCT(MAX(ROW(E$2:E4019)*(E4019=E$2:E4019)))))-COUNTBLANK(OFFSET(A$1,,,SUMPRODUCT(MAX(ROW(E$1:E4018)*(E2=E$1:E4018))))))</f>
        <v> </v>
      </c>
      <c r="K4019" s="25" t="str">
        <f>IF(OR(E4019="",E4019="!!!",F4019="NEW"),"",INDEX(J$1:J4018,SUMPRODUCT(MAX(ROW(E$1:E4018)*(E4019=E$1:E4018)))))</f>
        <v> </v>
      </c>
      <c r="L4019" s="26"/>
    </row>
    <row r="4020" spans="1:12">
      <c r="A4020" s="20" t="s">
        <v>2360</v>
      </c>
      <c r="B4020" s="27" t="s">
        <v>1259</v>
      </c>
      <c r="E4020" s="21">
        <f>IF(D4020="?OLD","!!!","")</f>
        <v/>
      </c>
      <c r="F4020" s="22" t="str">
        <f>IF(OR(E4020="",E4020="!!!"),"",IF(NOT(ISNA(VLOOKUP(E4020,E$1:E4019,1,FALSE()))),"OLD",IF(AND(E4020&lt;&gt;"",E4020&lt;&gt;"!!!"),"NEW","")))</f>
        <v> </v>
      </c>
      <c r="G4020" s="23" t="str">
        <f>IF(OR(E4020="",E4020="!!!"),"",IF(OR(J4020=0,AND(J4020=1,K4020=1),AND(J4020=1,I4020="SBJ"),AND(J4020=1,I4020=0)),"?IN_FOCUS",IF(J4020&lt;=2,"?ACTIVATED",IF(J4020&lt;&gt;"","?FAMILIAR",IF(F4020="NEW",IF(ISNA(VLOOKUP(E4020,#REF!,1,FALSE())),"?TYPE_IDENTIFIABLE","?REFERENTIAL"),"_")))))</f>
        <v> </v>
      </c>
      <c r="H4020" s="24" t="str">
        <f>IF(J4020&lt;&gt;1,"",IF(I4020="SBJ","CB","?"))</f>
        <v> </v>
      </c>
      <c r="I4020" s="25" t="str">
        <f>IF(OR(E4020="",E4020="!!!",F4020="NEW"),"",INDEX(B4019:B$2,-1+SUMPRODUCT(MAX(ROW(E4019:E$2)*(E4020=E4019:E$2)))))</f>
        <v> </v>
      </c>
      <c r="J4020" s="25" t="str">
        <f>IF(OR(E4020="",E4020="!!!",F4020="NEW"),"",COUNTBLANK(OFFSET(A$1,,,SUMPRODUCT(MAX(ROW(E$2:E4020)*(E4020=E$2:E4020)))))-COUNTBLANK(OFFSET(A$1,,,SUMPRODUCT(MAX(ROW(E$1:E4019)*(E2=E$1:E4019))))))</f>
        <v> </v>
      </c>
      <c r="K4020" s="25" t="str">
        <f>IF(OR(E4020="",E4020="!!!",F4020="NEW"),"",INDEX(J$1:J4019,SUMPRODUCT(MAX(ROW(E$1:E4019)*(E4020=E$1:E4019)))))</f>
        <v> </v>
      </c>
      <c r="L4020" s="26"/>
    </row>
    <row r="4021" spans="1:12">
      <c r="A4021" s="20" t="s">
        <v>2361</v>
      </c>
      <c r="E4021" s="21">
        <f>IF(D4021="?OLD","!!!","")</f>
        <v/>
      </c>
      <c r="F4021" s="22" t="str">
        <f>IF(OR(E4021="",E4021="!!!"),"",IF(NOT(ISNA(VLOOKUP(E4021,E$1:E4020,1,FALSE()))),"OLD",IF(AND(E4021&lt;&gt;"",E4021&lt;&gt;"!!!"),"NEW","")))</f>
        <v> </v>
      </c>
      <c r="G4021" s="23" t="str">
        <f>IF(OR(E4021="",E4021="!!!"),"",IF(OR(J4021=0,AND(J4021=1,K4021=1),AND(J4021=1,I4021="SBJ"),AND(J4021=1,I4021=0)),"?IN_FOCUS",IF(J4021&lt;=2,"?ACTIVATED",IF(J4021&lt;&gt;"","?FAMILIAR",IF(F4021="NEW",IF(ISNA(VLOOKUP(E4021,#REF!,1,FALSE())),"?TYPE_IDENTIFIABLE","?REFERENTIAL"),"_")))))</f>
        <v> </v>
      </c>
      <c r="H4021" s="24" t="str">
        <f>IF(J4021&lt;&gt;1,"",IF(I4021="SBJ","CB","?"))</f>
        <v> </v>
      </c>
      <c r="I4021" s="25" t="str">
        <f>IF(OR(E4021="",E4021="!!!",F4021="NEW"),"",INDEX(B4020:B$2,-1+SUMPRODUCT(MAX(ROW(E4020:E$2)*(E4021=E4020:E$2)))))</f>
        <v> </v>
      </c>
      <c r="J4021" s="25" t="str">
        <f>IF(OR(E4021="",E4021="!!!",F4021="NEW"),"",COUNTBLANK(OFFSET(A$1,,,SUMPRODUCT(MAX(ROW(E$2:E4021)*(E4021=E$2:E4021)))))-COUNTBLANK(OFFSET(A$1,,,SUMPRODUCT(MAX(ROW(E$1:E4020)*(E2=E$1:E4020))))))</f>
        <v> </v>
      </c>
      <c r="K4021" s="25" t="str">
        <f>IF(OR(E4021="",E4021="!!!",F4021="NEW"),"",INDEX(J$1:J4020,SUMPRODUCT(MAX(ROW(E$1:E4020)*(E4021=E$1:E4020)))))</f>
        <v> </v>
      </c>
      <c r="L4021" s="26"/>
    </row>
    <row r="4022" spans="1:12">
      <c r="A4022" s="20" t="s">
        <v>1123</v>
      </c>
      <c r="E4022" s="21">
        <f>IF(D4022="?OLD","!!!","")</f>
        <v/>
      </c>
      <c r="F4022" s="22" t="str">
        <f>IF(OR(E4022="",E4022="!!!"),"",IF(NOT(ISNA(VLOOKUP(E4022,E$1:E4021,1,FALSE()))),"OLD",IF(AND(E4022&lt;&gt;"",E4022&lt;&gt;"!!!"),"NEW","")))</f>
        <v> </v>
      </c>
      <c r="G4022" s="23" t="str">
        <f>IF(OR(E4022="",E4022="!!!"),"",IF(OR(J4022=0,AND(J4022=1,K4022=1),AND(J4022=1,I4022="SBJ"),AND(J4022=1,I4022=0)),"?IN_FOCUS",IF(J4022&lt;=2,"?ACTIVATED",IF(J4022&lt;&gt;"","?FAMILIAR",IF(F4022="NEW",IF(ISNA(VLOOKUP(E4022,#REF!,1,FALSE())),"?TYPE_IDENTIFIABLE","?REFERENTIAL"),"_")))))</f>
        <v> </v>
      </c>
      <c r="H4022" s="24" t="str">
        <f>IF(J4022&lt;&gt;1,"",IF(I4022="SBJ","CB","?"))</f>
        <v> </v>
      </c>
      <c r="I4022" s="25" t="str">
        <f>IF(OR(E4022="",E4022="!!!",F4022="NEW"),"",INDEX(B4021:B$2,-1+SUMPRODUCT(MAX(ROW(E4021:E$2)*(E4022=E4021:E$2)))))</f>
        <v> </v>
      </c>
      <c r="J4022" s="25" t="str">
        <f>IF(OR(E4022="",E4022="!!!",F4022="NEW"),"",COUNTBLANK(OFFSET(A$1,,,SUMPRODUCT(MAX(ROW(E$2:E4022)*(E4022=E$2:E4022)))))-COUNTBLANK(OFFSET(A$1,,,SUMPRODUCT(MAX(ROW(E$1:E4021)*(E2=E$1:E4021))))))</f>
        <v> </v>
      </c>
      <c r="K4022" s="25" t="str">
        <f>IF(OR(E4022="",E4022="!!!",F4022="NEW"),"",INDEX(J$1:J4021,SUMPRODUCT(MAX(ROW(E$1:E4021)*(E4022=E$1:E4021)))))</f>
        <v> </v>
      </c>
      <c r="L4022" s="26"/>
    </row>
    <row r="4023" spans="1:12">
      <c r="A4023" s="20" t="s">
        <v>1124</v>
      </c>
      <c r="B4023" s="27" t="s">
        <v>1149</v>
      </c>
      <c r="C4023" s="27" t="s">
        <v>1126</v>
      </c>
      <c r="D4023" s="27" t="s">
        <v>1105</v>
      </c>
      <c r="E4023" s="21">
        <f>IF(D4023="?OLD","!!!","")</f>
        <v/>
      </c>
      <c r="F4023" s="22" t="str">
        <f>IF(OR(E4023="",E4023="!!!"),"",IF(NOT(ISNA(VLOOKUP(E4023,E$1:E4022,1,FALSE()))),"OLD",IF(AND(E4023&lt;&gt;"",E4023&lt;&gt;"!!!"),"NEW","")))</f>
        <v> </v>
      </c>
      <c r="G4023" s="23" t="str">
        <f>IF(OR(E4023="",E4023="!!!"),"",IF(OR(J4023=0,AND(J4023=1,K4023=1),AND(J4023=1,I4023="SBJ"),AND(J4023=1,I4023=0)),"?IN_FOCUS",IF(J4023&lt;=2,"?ACTIVATED",IF(J4023&lt;&gt;"","?FAMILIAR",IF(F4023="NEW",IF(ISNA(VLOOKUP(E4023,#REF!,1,FALSE())),"?TYPE_IDENTIFIABLE","?REFERENTIAL"),"_")))))</f>
        <v> </v>
      </c>
      <c r="H4023" s="24" t="str">
        <f>IF(J4023&lt;&gt;1,"",IF(I4023="SBJ","CB","?"))</f>
        <v> </v>
      </c>
      <c r="I4023" s="25" t="str">
        <f>IF(OR(E4023="",E4023="!!!",F4023="NEW"),"",INDEX(B4022:B$2,-1+SUMPRODUCT(MAX(ROW(E4022:E$2)*(E4023=E4022:E$2)))))</f>
        <v> </v>
      </c>
      <c r="J4023" s="25" t="str">
        <f>IF(OR(E4023="",E4023="!!!",F4023="NEW"),"",COUNTBLANK(OFFSET(A$1,,,SUMPRODUCT(MAX(ROW(E$2:E4023)*(E4023=E$2:E4023)))))-COUNTBLANK(OFFSET(A$1,,,SUMPRODUCT(MAX(ROW(E$1:E4022)*(E2=E$1:E4022))))))</f>
        <v> </v>
      </c>
      <c r="K4023" s="25" t="str">
        <f>IF(OR(E4023="",E4023="!!!",F4023="NEW"),"",INDEX(J$1:J4022,SUMPRODUCT(MAX(ROW(E$1:E4022)*(E4023=E$1:E4022)))))</f>
        <v> </v>
      </c>
      <c r="L4023" s="26"/>
    </row>
    <row r="4024" spans="1:12">
      <c r="A4024" s="20" t="s">
        <v>1842</v>
      </c>
      <c r="E4024" s="21">
        <f>IF(D4024="?OLD","!!!","")</f>
        <v/>
      </c>
      <c r="F4024" s="22" t="str">
        <f>IF(OR(E4024="",E4024="!!!"),"",IF(NOT(ISNA(VLOOKUP(E4024,E$1:E4023,1,FALSE()))),"OLD",IF(AND(E4024&lt;&gt;"",E4024&lt;&gt;"!!!"),"NEW","")))</f>
        <v> </v>
      </c>
      <c r="G4024" s="23" t="str">
        <f>IF(OR(E4024="",E4024="!!!"),"",IF(OR(J4024=0,AND(J4024=1,K4024=1),AND(J4024=1,I4024="SBJ"),AND(J4024=1,I4024=0)),"?IN_FOCUS",IF(J4024&lt;=2,"?ACTIVATED",IF(J4024&lt;&gt;"","?FAMILIAR",IF(F4024="NEW",IF(ISNA(VLOOKUP(E4024,#REF!,1,FALSE())),"?TYPE_IDENTIFIABLE","?REFERENTIAL"),"_")))))</f>
        <v> </v>
      </c>
      <c r="H4024" s="24" t="str">
        <f>IF(J4024&lt;&gt;1,"",IF(I4024="SBJ","CB","?"))</f>
        <v> </v>
      </c>
      <c r="I4024" s="25" t="str">
        <f>IF(OR(E4024="",E4024="!!!",F4024="NEW"),"",INDEX(B4023:B$2,-1+SUMPRODUCT(MAX(ROW(E4023:E$2)*(E4024=E4023:E$2)))))</f>
        <v> </v>
      </c>
      <c r="J4024" s="25" t="str">
        <f>IF(OR(E4024="",E4024="!!!",F4024="NEW"),"",COUNTBLANK(OFFSET(A$1,,,SUMPRODUCT(MAX(ROW(E$2:E4024)*(E4024=E$2:E4024)))))-COUNTBLANK(OFFSET(A$1,,,SUMPRODUCT(MAX(ROW(E$1:E4023)*(E2=E$1:E4023))))))</f>
        <v> </v>
      </c>
      <c r="K4024" s="25" t="str">
        <f>IF(OR(E4024="",E4024="!!!",F4024="NEW"),"",INDEX(J$1:J4023,SUMPRODUCT(MAX(ROW(E$1:E4023)*(E4024=E$1:E4023)))))</f>
        <v> </v>
      </c>
      <c r="L4024" s="26"/>
    </row>
    <row r="4025" spans="1:12">
      <c r="A4025" s="20" t="s">
        <v>1128</v>
      </c>
      <c r="E4025" s="21">
        <f>IF(D4025="?OLD","!!!","")</f>
        <v/>
      </c>
      <c r="F4025" s="22" t="str">
        <f>IF(OR(E4025="",E4025="!!!"),"",IF(NOT(ISNA(VLOOKUP(E4025,E$1:E4024,1,FALSE()))),"OLD",IF(AND(E4025&lt;&gt;"",E4025&lt;&gt;"!!!"),"NEW","")))</f>
        <v> </v>
      </c>
      <c r="G4025" s="23" t="str">
        <f>IF(OR(E4025="",E4025="!!!"),"",IF(OR(J4025=0,AND(J4025=1,K4025=1),AND(J4025=1,I4025="SBJ"),AND(J4025=1,I4025=0)),"?IN_FOCUS",IF(J4025&lt;=2,"?ACTIVATED",IF(J4025&lt;&gt;"","?FAMILIAR",IF(F4025="NEW",IF(ISNA(VLOOKUP(E4025,#REF!,1,FALSE())),"?TYPE_IDENTIFIABLE","?REFERENTIAL"),"_")))))</f>
        <v> </v>
      </c>
      <c r="H4025" s="24" t="str">
        <f>IF(J4025&lt;&gt;1,"",IF(I4025="SBJ","CB","?"))</f>
        <v> </v>
      </c>
      <c r="I4025" s="25" t="str">
        <f>IF(OR(E4025="",E4025="!!!",F4025="NEW"),"",INDEX(B4024:B$2,-1+SUMPRODUCT(MAX(ROW(E4024:E$2)*(E4025=E4024:E$2)))))</f>
        <v> </v>
      </c>
      <c r="J4025" s="25" t="str">
        <f>IF(OR(E4025="",E4025="!!!",F4025="NEW"),"",COUNTBLANK(OFFSET(A$1,,,SUMPRODUCT(MAX(ROW(E$2:E4025)*(E4025=E$2:E4025)))))-COUNTBLANK(OFFSET(A$1,,,SUMPRODUCT(MAX(ROW(E$1:E4024)*(E2=E$1:E4024))))))</f>
        <v> </v>
      </c>
      <c r="K4025" s="25" t="str">
        <f>IF(OR(E4025="",E4025="!!!",F4025="NEW"),"",INDEX(J$1:J4024,SUMPRODUCT(MAX(ROW(E$1:E4024)*(E4025=E$1:E4024)))))</f>
        <v> </v>
      </c>
      <c r="L4025" s="26"/>
    </row>
    <row r="4026" spans="1:12">
      <c r="A4026" s="20" t="s">
        <v>2904</v>
      </c>
      <c r="E4026" s="21">
        <f>IF(D4026="?OLD","!!!","")</f>
        <v/>
      </c>
      <c r="F4026" s="22" t="str">
        <f>IF(OR(E4026="",E4026="!!!"),"",IF(NOT(ISNA(VLOOKUP(E4026,E$1:E4025,1,FALSE()))),"OLD",IF(AND(E4026&lt;&gt;"",E4026&lt;&gt;"!!!"),"NEW","")))</f>
        <v> </v>
      </c>
      <c r="G4026" s="23" t="str">
        <f>IF(OR(E4026="",E4026="!!!"),"",IF(OR(J4026=0,AND(J4026=1,K4026=1),AND(J4026=1,I4026="SBJ"),AND(J4026=1,I4026=0)),"?IN_FOCUS",IF(J4026&lt;=2,"?ACTIVATED",IF(J4026&lt;&gt;"","?FAMILIAR",IF(F4026="NEW",IF(ISNA(VLOOKUP(E4026,#REF!,1,FALSE())),"?TYPE_IDENTIFIABLE","?REFERENTIAL"),"_")))))</f>
        <v> </v>
      </c>
      <c r="H4026" s="24" t="str">
        <f>IF(J4026&lt;&gt;1,"",IF(I4026="SBJ","CB","?"))</f>
        <v> </v>
      </c>
      <c r="I4026" s="25" t="str">
        <f>IF(OR(E4026="",E4026="!!!",F4026="NEW"),"",INDEX(B4025:B$2,-1+SUMPRODUCT(MAX(ROW(E4025:E$2)*(E4026=E4025:E$2)))))</f>
        <v> </v>
      </c>
      <c r="J4026" s="25" t="str">
        <f>IF(OR(E4026="",E4026="!!!",F4026="NEW"),"",COUNTBLANK(OFFSET(A$1,,,SUMPRODUCT(MAX(ROW(E$2:E4026)*(E4026=E$2:E4026)))))-COUNTBLANK(OFFSET(A$1,,,SUMPRODUCT(MAX(ROW(E$1:E4025)*(E2=E$1:E4025))))))</f>
        <v> </v>
      </c>
      <c r="K4026" s="25" t="str">
        <f>IF(OR(E4026="",E4026="!!!",F4026="NEW"),"",INDEX(J$1:J4025,SUMPRODUCT(MAX(ROW(E$1:E4025)*(E4026=E$1:E4025)))))</f>
        <v> </v>
      </c>
      <c r="L4026" s="26"/>
    </row>
    <row r="4027" spans="1:12">
      <c r="A4027" s="20" t="s">
        <v>471</v>
      </c>
      <c r="E4027" s="21">
        <f>IF(D4027="?OLD","!!!","")</f>
        <v/>
      </c>
      <c r="F4027" s="22" t="str">
        <f>IF(OR(E4027="",E4027="!!!"),"",IF(NOT(ISNA(VLOOKUP(E4027,E$1:E4026,1,FALSE()))),"OLD",IF(AND(E4027&lt;&gt;"",E4027&lt;&gt;"!!!"),"NEW","")))</f>
        <v> </v>
      </c>
      <c r="G4027" s="23" t="str">
        <f>IF(OR(E4027="",E4027="!!!"),"",IF(OR(J4027=0,AND(J4027=1,K4027=1),AND(J4027=1,I4027="SBJ"),AND(J4027=1,I4027=0)),"?IN_FOCUS",IF(J4027&lt;=2,"?ACTIVATED",IF(J4027&lt;&gt;"","?FAMILIAR",IF(F4027="NEW",IF(ISNA(VLOOKUP(E4027,#REF!,1,FALSE())),"?TYPE_IDENTIFIABLE","?REFERENTIAL"),"_")))))</f>
        <v> </v>
      </c>
      <c r="H4027" s="24" t="str">
        <f>IF(J4027&lt;&gt;1,"",IF(I4027="SBJ","CB","?"))</f>
        <v> </v>
      </c>
      <c r="I4027" s="25" t="str">
        <f>IF(OR(E4027="",E4027="!!!",F4027="NEW"),"",INDEX(B4026:B$2,-1+SUMPRODUCT(MAX(ROW(E4026:E$2)*(E4027=E4026:E$2)))))</f>
        <v> </v>
      </c>
      <c r="J4027" s="25" t="str">
        <f>IF(OR(E4027="",E4027="!!!",F4027="NEW"),"",COUNTBLANK(OFFSET(A$1,,,SUMPRODUCT(MAX(ROW(E$2:E4027)*(E4027=E$2:E4027)))))-COUNTBLANK(OFFSET(A$1,,,SUMPRODUCT(MAX(ROW(E$1:E4026)*(E2=E$1:E4026))))))</f>
        <v> </v>
      </c>
      <c r="K4027" s="25" t="str">
        <f>IF(OR(E4027="",E4027="!!!",F4027="NEW"),"",INDEX(J$1:J4026,SUMPRODUCT(MAX(ROW(E$1:E4026)*(E4027=E$1:E4026)))))</f>
        <v> </v>
      </c>
      <c r="L4027" s="26"/>
    </row>
    <row r="4028" spans="1:12">
      <c r="A4028" s="20" t="s">
        <v>1123</v>
      </c>
      <c r="E4028" s="21">
        <f>IF(D4028="?OLD","!!!","")</f>
        <v/>
      </c>
      <c r="F4028" s="22" t="str">
        <f>IF(OR(E4028="",E4028="!!!"),"",IF(NOT(ISNA(VLOOKUP(E4028,E$1:E4027,1,FALSE()))),"OLD",IF(AND(E4028&lt;&gt;"",E4028&lt;&gt;"!!!"),"NEW","")))</f>
        <v> </v>
      </c>
      <c r="G4028" s="23" t="str">
        <f>IF(OR(E4028="",E4028="!!!"),"",IF(OR(J4028=0,AND(J4028=1,K4028=1),AND(J4028=1,I4028="SBJ"),AND(J4028=1,I4028=0)),"?IN_FOCUS",IF(J4028&lt;=2,"?ACTIVATED",IF(J4028&lt;&gt;"","?FAMILIAR",IF(F4028="NEW",IF(ISNA(VLOOKUP(E4028,#REF!,1,FALSE())),"?TYPE_IDENTIFIABLE","?REFERENTIAL"),"_")))))</f>
        <v> </v>
      </c>
      <c r="H4028" s="24" t="str">
        <f>IF(J4028&lt;&gt;1,"",IF(I4028="SBJ","CB","?"))</f>
        <v> </v>
      </c>
      <c r="I4028" s="25" t="str">
        <f>IF(OR(E4028="",E4028="!!!",F4028="NEW"),"",INDEX(B4027:B$2,-1+SUMPRODUCT(MAX(ROW(E4027:E$2)*(E4028=E4027:E$2)))))</f>
        <v> </v>
      </c>
      <c r="J4028" s="25" t="str">
        <f>IF(OR(E4028="",E4028="!!!",F4028="NEW"),"",COUNTBLANK(OFFSET(A$1,,,SUMPRODUCT(MAX(ROW(E$2:E4028)*(E4028=E$2:E4028)))))-COUNTBLANK(OFFSET(A$1,,,SUMPRODUCT(MAX(ROW(E$1:E4027)*(E2=E$1:E4027))))))</f>
        <v> </v>
      </c>
      <c r="K4028" s="25" t="str">
        <f>IF(OR(E4028="",E4028="!!!",F4028="NEW"),"",INDEX(J$1:J4027,SUMPRODUCT(MAX(ROW(E$1:E4027)*(E4028=E$1:E4027)))))</f>
        <v> </v>
      </c>
      <c r="L4028" s="26"/>
    </row>
    <row r="4029" spans="1:12">
      <c r="A4029" s="20" t="s">
        <v>2905</v>
      </c>
      <c r="E4029" s="21">
        <f>IF(D4029="?OLD","!!!","")</f>
        <v/>
      </c>
      <c r="F4029" s="22" t="str">
        <f>IF(OR(E4029="",E4029="!!!"),"",IF(NOT(ISNA(VLOOKUP(E4029,E$1:E4028,1,FALSE()))),"OLD",IF(AND(E4029&lt;&gt;"",E4029&lt;&gt;"!!!"),"NEW","")))</f>
        <v> </v>
      </c>
      <c r="G4029" s="23" t="str">
        <f>IF(OR(E4029="",E4029="!!!"),"",IF(OR(J4029=0,AND(J4029=1,K4029=1),AND(J4029=1,I4029="SBJ"),AND(J4029=1,I4029=0)),"?IN_FOCUS",IF(J4029&lt;=2,"?ACTIVATED",IF(J4029&lt;&gt;"","?FAMILIAR",IF(F4029="NEW",IF(ISNA(VLOOKUP(E4029,#REF!,1,FALSE())),"?TYPE_IDENTIFIABLE","?REFERENTIAL"),"_")))))</f>
        <v> </v>
      </c>
      <c r="H4029" s="24" t="str">
        <f>IF(J4029&lt;&gt;1,"",IF(I4029="SBJ","CB","?"))</f>
        <v> </v>
      </c>
      <c r="I4029" s="25" t="str">
        <f>IF(OR(E4029="",E4029="!!!",F4029="NEW"),"",INDEX(B4028:B$2,-1+SUMPRODUCT(MAX(ROW(E4028:E$2)*(E4029=E4028:E$2)))))</f>
        <v> </v>
      </c>
      <c r="J4029" s="25" t="str">
        <f>IF(OR(E4029="",E4029="!!!",F4029="NEW"),"",COUNTBLANK(OFFSET(A$1,,,SUMPRODUCT(MAX(ROW(E$2:E4029)*(E4029=E$2:E4029)))))-COUNTBLANK(OFFSET(A$1,,,SUMPRODUCT(MAX(ROW(E$1:E4028)*(E2=E$1:E4028))))))</f>
        <v> </v>
      </c>
      <c r="K4029" s="25" t="str">
        <f>IF(OR(E4029="",E4029="!!!",F4029="NEW"),"",INDEX(J$1:J4028,SUMPRODUCT(MAX(ROW(E$1:E4028)*(E4029=E$1:E4028)))))</f>
        <v> </v>
      </c>
      <c r="L4029" s="26"/>
    </row>
    <row r="4030" spans="1:12">
      <c r="A4030" s="20" t="s">
        <v>1186</v>
      </c>
      <c r="B4030" s="27" t="s">
        <v>1115</v>
      </c>
      <c r="C4030" s="27" t="s">
        <v>1126</v>
      </c>
      <c r="D4030" s="27" t="s">
        <v>1105</v>
      </c>
      <c r="E4030" s="21">
        <f>IF(D4030="?OLD","!!!","")</f>
        <v/>
      </c>
      <c r="F4030" s="22" t="str">
        <f>IF(OR(E4030="",E4030="!!!"),"",IF(NOT(ISNA(VLOOKUP(E4030,E$1:E4029,1,FALSE()))),"OLD",IF(AND(E4030&lt;&gt;"",E4030&lt;&gt;"!!!"),"NEW","")))</f>
        <v> </v>
      </c>
      <c r="G4030" s="23" t="str">
        <f>IF(OR(E4030="",E4030="!!!"),"",IF(OR(J4030=0,AND(J4030=1,K4030=1),AND(J4030=1,I4030="SBJ"),AND(J4030=1,I4030=0)),"?IN_FOCUS",IF(J4030&lt;=2,"?ACTIVATED",IF(J4030&lt;&gt;"","?FAMILIAR",IF(F4030="NEW",IF(ISNA(VLOOKUP(E4030,#REF!,1,FALSE())),"?TYPE_IDENTIFIABLE","?REFERENTIAL"),"_")))))</f>
        <v> </v>
      </c>
      <c r="H4030" s="24" t="str">
        <f>IF(J4030&lt;&gt;1,"",IF(I4030="SBJ","CB","?"))</f>
        <v> </v>
      </c>
      <c r="I4030" s="25" t="str">
        <f>IF(OR(E4030="",E4030="!!!",F4030="NEW"),"",INDEX(B4029:B$2,-1+SUMPRODUCT(MAX(ROW(E4029:E$2)*(E4030=E4029:E$2)))))</f>
        <v> </v>
      </c>
      <c r="J4030" s="25" t="str">
        <f>IF(OR(E4030="",E4030="!!!",F4030="NEW"),"",COUNTBLANK(OFFSET(A$1,,,SUMPRODUCT(MAX(ROW(E$2:E4030)*(E4030=E$2:E4030)))))-COUNTBLANK(OFFSET(A$1,,,SUMPRODUCT(MAX(ROW(E$1:E4029)*(E2=E$1:E4029))))))</f>
        <v> </v>
      </c>
      <c r="K4030" s="25" t="str">
        <f>IF(OR(E4030="",E4030="!!!",F4030="NEW"),"",INDEX(J$1:J4029,SUMPRODUCT(MAX(ROW(E$1:E4029)*(E4030=E$1:E4029)))))</f>
        <v> </v>
      </c>
      <c r="L4030" s="26"/>
    </row>
    <row r="4031" spans="1:12">
      <c r="A4031" s="20" t="s">
        <v>1184</v>
      </c>
      <c r="E4031" s="21">
        <f>IF(D4031="?OLD","!!!","")</f>
        <v/>
      </c>
      <c r="F4031" s="22" t="str">
        <f>IF(OR(E4031="",E4031="!!!"),"",IF(NOT(ISNA(VLOOKUP(E4031,E$1:E4030,1,FALSE()))),"OLD",IF(AND(E4031&lt;&gt;"",E4031&lt;&gt;"!!!"),"NEW","")))</f>
        <v> </v>
      </c>
      <c r="G4031" s="23" t="str">
        <f>IF(OR(E4031="",E4031="!!!"),"",IF(OR(J4031=0,AND(J4031=1,K4031=1),AND(J4031=1,I4031="SBJ"),AND(J4031=1,I4031=0)),"?IN_FOCUS",IF(J4031&lt;=2,"?ACTIVATED",IF(J4031&lt;&gt;"","?FAMILIAR",IF(F4031="NEW",IF(ISNA(VLOOKUP(E4031,#REF!,1,FALSE())),"?TYPE_IDENTIFIABLE","?REFERENTIAL"),"_")))))</f>
        <v> </v>
      </c>
      <c r="H4031" s="24" t="str">
        <f>IF(J4031&lt;&gt;1,"",IF(I4031="SBJ","CB","?"))</f>
        <v> </v>
      </c>
      <c r="I4031" s="25" t="str">
        <f>IF(OR(E4031="",E4031="!!!",F4031="NEW"),"",INDEX(B4030:B$2,-1+SUMPRODUCT(MAX(ROW(E4030:E$2)*(E4031=E4030:E$2)))))</f>
        <v> </v>
      </c>
      <c r="J4031" s="25" t="str">
        <f>IF(OR(E4031="",E4031="!!!",F4031="NEW"),"",COUNTBLANK(OFFSET(A$1,,,SUMPRODUCT(MAX(ROW(E$2:E4031)*(E4031=E$2:E4031)))))-COUNTBLANK(OFFSET(A$1,,,SUMPRODUCT(MAX(ROW(E$1:E4030)*(E2=E$1:E4030))))))</f>
        <v> </v>
      </c>
      <c r="K4031" s="25" t="str">
        <f>IF(OR(E4031="",E4031="!!!",F4031="NEW"),"",INDEX(J$1:J4030,SUMPRODUCT(MAX(ROW(E$1:E4030)*(E4031=E$1:E4030)))))</f>
        <v> </v>
      </c>
      <c r="L4031" s="26"/>
    </row>
    <row r="4032" spans="1:12">
      <c r="A4032" s="20" t="s">
        <v>2604</v>
      </c>
      <c r="E4032" s="21">
        <f>IF(D4032="?OLD","!!!","")</f>
        <v/>
      </c>
      <c r="F4032" s="22" t="str">
        <f>IF(OR(E4032="",E4032="!!!"),"",IF(NOT(ISNA(VLOOKUP(E4032,E$1:E4031,1,FALSE()))),"OLD",IF(AND(E4032&lt;&gt;"",E4032&lt;&gt;"!!!"),"NEW","")))</f>
        <v> </v>
      </c>
      <c r="G4032" s="23" t="str">
        <f>IF(OR(E4032="",E4032="!!!"),"",IF(OR(J4032=0,AND(J4032=1,K4032=1),AND(J4032=1,I4032="SBJ"),AND(J4032=1,I4032=0)),"?IN_FOCUS",IF(J4032&lt;=2,"?ACTIVATED",IF(J4032&lt;&gt;"","?FAMILIAR",IF(F4032="NEW",IF(ISNA(VLOOKUP(E4032,#REF!,1,FALSE())),"?TYPE_IDENTIFIABLE","?REFERENTIAL"),"_")))))</f>
        <v> </v>
      </c>
      <c r="H4032" s="24" t="str">
        <f>IF(J4032&lt;&gt;1,"",IF(I4032="SBJ","CB","?"))</f>
        <v> </v>
      </c>
      <c r="I4032" s="25" t="str">
        <f>IF(OR(E4032="",E4032="!!!",F4032="NEW"),"",INDEX(B4031:B$2,-1+SUMPRODUCT(MAX(ROW(E4031:E$2)*(E4032=E4031:E$2)))))</f>
        <v> </v>
      </c>
      <c r="J4032" s="25" t="str">
        <f>IF(OR(E4032="",E4032="!!!",F4032="NEW"),"",COUNTBLANK(OFFSET(A$1,,,SUMPRODUCT(MAX(ROW(E$2:E4032)*(E4032=E$2:E4032)))))-COUNTBLANK(OFFSET(A$1,,,SUMPRODUCT(MAX(ROW(E$1:E4031)*(E2=E$1:E4031))))))</f>
        <v> </v>
      </c>
      <c r="K4032" s="25" t="str">
        <f>IF(OR(E4032="",E4032="!!!",F4032="NEW"),"",INDEX(J$1:J4031,SUMPRODUCT(MAX(ROW(E$1:E4031)*(E4032=E$1:E4031)))))</f>
        <v> </v>
      </c>
      <c r="L4032" s="26"/>
    </row>
    <row r="4033" spans="1:12">
      <c r="A4033" s="20" t="s">
        <v>1145</v>
      </c>
      <c r="E4033" s="21">
        <f>IF(D4033="?OLD","!!!","")</f>
        <v/>
      </c>
      <c r="F4033" s="22" t="str">
        <f>IF(OR(E4033="",E4033="!!!"),"",IF(NOT(ISNA(VLOOKUP(E4033,E$1:E4032,1,FALSE()))),"OLD",IF(AND(E4033&lt;&gt;"",E4033&lt;&gt;"!!!"),"NEW","")))</f>
        <v> </v>
      </c>
      <c r="G4033" s="23" t="str">
        <f>IF(OR(E4033="",E4033="!!!"),"",IF(OR(J4033=0,AND(J4033=1,K4033=1),AND(J4033=1,I4033="SBJ"),AND(J4033=1,I4033=0)),"?IN_FOCUS",IF(J4033&lt;=2,"?ACTIVATED",IF(J4033&lt;&gt;"","?FAMILIAR",IF(F4033="NEW",IF(ISNA(VLOOKUP(E4033,#REF!,1,FALSE())),"?TYPE_IDENTIFIABLE","?REFERENTIAL"),"_")))))</f>
        <v> </v>
      </c>
      <c r="H4033" s="24" t="str">
        <f>IF(J4033&lt;&gt;1,"",IF(I4033="SBJ","CB","?"))</f>
        <v> </v>
      </c>
      <c r="I4033" s="25" t="str">
        <f>IF(OR(E4033="",E4033="!!!",F4033="NEW"),"",INDEX(B4032:B$2,-1+SUMPRODUCT(MAX(ROW(E4032:E$2)*(E4033=E4032:E$2)))))</f>
        <v> </v>
      </c>
      <c r="J4033" s="25" t="str">
        <f>IF(OR(E4033="",E4033="!!!",F4033="NEW"),"",COUNTBLANK(OFFSET(A$1,,,SUMPRODUCT(MAX(ROW(E$2:E4033)*(E4033=E$2:E4033)))))-COUNTBLANK(OFFSET(A$1,,,SUMPRODUCT(MAX(ROW(E$1:E4032)*(E2=E$1:E4032))))))</f>
        <v> </v>
      </c>
      <c r="K4033" s="25" t="str">
        <f>IF(OR(E4033="",E4033="!!!",F4033="NEW"),"",INDEX(J$1:J4032,SUMPRODUCT(MAX(ROW(E$1:E4032)*(E4033=E$1:E4032)))))</f>
        <v> </v>
      </c>
      <c r="L4033" s="26"/>
    </row>
    <row r="4034" spans="1:12">
      <c r="A4034" s="20"/>
    </row>
    <row r="4035" spans="1:12">
      <c r="A4035" s="20" t="s">
        <v>2906</v>
      </c>
    </row>
    <row r="4036" spans="1:12">
      <c r="A4036" s="20" t="s">
        <v>1368</v>
      </c>
      <c r="E4036" s="21">
        <f>IF(D4036="?OLD","!!!","")</f>
        <v/>
      </c>
      <c r="F4036" s="22" t="str">
        <f>IF(OR(E4036="",E4036="!!!"),"",IF(NOT(ISNA(VLOOKUP(E4036,E$1:E4035,1,FALSE()))),"OLD",IF(AND(E4036&lt;&gt;"",E4036&lt;&gt;"!!!"),"NEW","")))</f>
        <v> </v>
      </c>
      <c r="G4036" s="23" t="str">
        <f>IF(OR(E4036="",E4036="!!!"),"",IF(OR(J4036=0,AND(J4036=1,K4036=1),AND(J4036=1,I4036="SBJ"),AND(J4036=1,I4036=0)),"?IN_FOCUS",IF(J4036&lt;=2,"?ACTIVATED",IF(J4036&lt;&gt;"","?FAMILIAR",IF(F4036="NEW",IF(ISNA(VLOOKUP(E4036,#REF!,1,FALSE())),"?TYPE_IDENTIFIABLE","?REFERENTIAL"),"_")))))</f>
        <v> </v>
      </c>
      <c r="H4036" s="24" t="str">
        <f>IF(J4036&lt;&gt;1,"",IF(I4036="SBJ","CB","?"))</f>
        <v> </v>
      </c>
      <c r="I4036" s="25" t="str">
        <f>IF(OR(E4036="",E4036="!!!",F4036="NEW"),"",INDEX(B4035:B$2,-1+SUMPRODUCT(MAX(ROW(E4035:E$2)*(E4036=E4035:E$2)))))</f>
        <v> </v>
      </c>
      <c r="J4036" s="25" t="str">
        <f>IF(OR(E4036="",E4036="!!!",F4036="NEW"),"",COUNTBLANK(OFFSET(A$1,,,SUMPRODUCT(MAX(ROW(E$2:E4036)*(E4036=E$2:E4036)))))-COUNTBLANK(OFFSET(A$1,,,SUMPRODUCT(MAX(ROW(E$1:E4035)*(E2=E$1:E4035))))))</f>
        <v> </v>
      </c>
      <c r="K4036" s="25" t="str">
        <f>IF(OR(E4036="",E4036="!!!",F4036="NEW"),"",INDEX(J$1:J4035,SUMPRODUCT(MAX(ROW(E$1:E4035)*(E4036=E$1:E4035)))))</f>
        <v> </v>
      </c>
      <c r="L4036" s="26"/>
    </row>
    <row r="4037" spans="1:12">
      <c r="A4037" s="20" t="s">
        <v>1184</v>
      </c>
      <c r="E4037" s="21">
        <f>IF(D4037="?OLD","!!!","")</f>
        <v/>
      </c>
      <c r="F4037" s="22" t="str">
        <f>IF(OR(E4037="",E4037="!!!"),"",IF(NOT(ISNA(VLOOKUP(E4037,E$1:E4036,1,FALSE()))),"OLD",IF(AND(E4037&lt;&gt;"",E4037&lt;&gt;"!!!"),"NEW","")))</f>
        <v> </v>
      </c>
      <c r="G4037" s="23" t="str">
        <f>IF(OR(E4037="",E4037="!!!"),"",IF(OR(J4037=0,AND(J4037=1,K4037=1),AND(J4037=1,I4037="SBJ"),AND(J4037=1,I4037=0)),"?IN_FOCUS",IF(J4037&lt;=2,"?ACTIVATED",IF(J4037&lt;&gt;"","?FAMILIAR",IF(F4037="NEW",IF(ISNA(VLOOKUP(E4037,#REF!,1,FALSE())),"?TYPE_IDENTIFIABLE","?REFERENTIAL"),"_")))))</f>
        <v> </v>
      </c>
      <c r="H4037" s="24" t="str">
        <f>IF(J4037&lt;&gt;1,"",IF(I4037="SBJ","CB","?"))</f>
        <v> </v>
      </c>
      <c r="I4037" s="25" t="str">
        <f>IF(OR(E4037="",E4037="!!!",F4037="NEW"),"",INDEX(B4036:B$2,-1+SUMPRODUCT(MAX(ROW(E4036:E$2)*(E4037=E4036:E$2)))))</f>
        <v> </v>
      </c>
      <c r="J4037" s="25" t="str">
        <f>IF(OR(E4037="",E4037="!!!",F4037="NEW"),"",COUNTBLANK(OFFSET(A$1,,,SUMPRODUCT(MAX(ROW(E$2:E4037)*(E4037=E$2:E4037)))))-COUNTBLANK(OFFSET(A$1,,,SUMPRODUCT(MAX(ROW(E$1:E4036)*(E2=E$1:E4036))))))</f>
        <v> </v>
      </c>
      <c r="K4037" s="25" t="str">
        <f>IF(OR(E4037="",E4037="!!!",F4037="NEW"),"",INDEX(J$1:J4036,SUMPRODUCT(MAX(ROW(E$1:E4036)*(E4037=E$1:E4036)))))</f>
        <v> </v>
      </c>
      <c r="L4037" s="26"/>
    </row>
    <row r="4038" spans="1:12">
      <c r="A4038" s="20" t="s">
        <v>2907</v>
      </c>
      <c r="E4038" s="21">
        <f>IF(D4038="?OLD","!!!","")</f>
        <v/>
      </c>
      <c r="F4038" s="22" t="str">
        <f>IF(OR(E4038="",E4038="!!!"),"",IF(NOT(ISNA(VLOOKUP(E4038,E$1:E4037,1,FALSE()))),"OLD",IF(AND(E4038&lt;&gt;"",E4038&lt;&gt;"!!!"),"NEW","")))</f>
        <v> </v>
      </c>
      <c r="G4038" s="23" t="str">
        <f>IF(OR(E4038="",E4038="!!!"),"",IF(OR(J4038=0,AND(J4038=1,K4038=1),AND(J4038=1,I4038="SBJ"),AND(J4038=1,I4038=0)),"?IN_FOCUS",IF(J4038&lt;=2,"?ACTIVATED",IF(J4038&lt;&gt;"","?FAMILIAR",IF(F4038="NEW",IF(ISNA(VLOOKUP(E4038,#REF!,1,FALSE())),"?TYPE_IDENTIFIABLE","?REFERENTIAL"),"_")))))</f>
        <v> </v>
      </c>
      <c r="H4038" s="24" t="str">
        <f>IF(J4038&lt;&gt;1,"",IF(I4038="SBJ","CB","?"))</f>
        <v> </v>
      </c>
      <c r="I4038" s="25" t="str">
        <f>IF(OR(E4038="",E4038="!!!",F4038="NEW"),"",INDEX(B4037:B$2,-1+SUMPRODUCT(MAX(ROW(E4037:E$2)*(E4038=E4037:E$2)))))</f>
        <v> </v>
      </c>
      <c r="J4038" s="25" t="str">
        <f>IF(OR(E4038="",E4038="!!!",F4038="NEW"),"",COUNTBLANK(OFFSET(A$1,,,SUMPRODUCT(MAX(ROW(E$2:E4038)*(E4038=E$2:E4038)))))-COUNTBLANK(OFFSET(A$1,,,SUMPRODUCT(MAX(ROW(E$1:E4037)*(E2=E$1:E4037))))))</f>
        <v> </v>
      </c>
      <c r="K4038" s="25" t="str">
        <f>IF(OR(E4038="",E4038="!!!",F4038="NEW"),"",INDEX(J$1:J4037,SUMPRODUCT(MAX(ROW(E$1:E4037)*(E4038=E$1:E4037)))))</f>
        <v> </v>
      </c>
      <c r="L4038" s="26"/>
    </row>
    <row r="4039" spans="1:12">
      <c r="A4039" s="20" t="s">
        <v>2453</v>
      </c>
      <c r="B4039" s="27" t="s">
        <v>1103</v>
      </c>
      <c r="C4039" s="27" t="s">
        <v>1156</v>
      </c>
      <c r="D4039" s="27" t="s">
        <v>1105</v>
      </c>
      <c r="E4039" s="21">
        <f>IF(D4039="?OLD","!!!","")</f>
        <v/>
      </c>
      <c r="F4039" s="22" t="str">
        <f>IF(OR(E4039="",E4039="!!!"),"",IF(NOT(ISNA(VLOOKUP(E4039,E$1:E4038,1,FALSE()))),"OLD",IF(AND(E4039&lt;&gt;"",E4039&lt;&gt;"!!!"),"NEW","")))</f>
        <v> </v>
      </c>
      <c r="G4039" s="23" t="str">
        <f>IF(OR(E4039="",E4039="!!!"),"",IF(OR(J4039=0,AND(J4039=1,K4039=1),AND(J4039=1,I4039="SBJ"),AND(J4039=1,I4039=0)),"?IN_FOCUS",IF(J4039&lt;=2,"?ACTIVATED",IF(J4039&lt;&gt;"","?FAMILIAR",IF(F4039="NEW",IF(ISNA(VLOOKUP(E4039,#REF!,1,FALSE())),"?TYPE_IDENTIFIABLE","?REFERENTIAL"),"_")))))</f>
        <v> </v>
      </c>
      <c r="H4039" s="24" t="str">
        <f>IF(J4039&lt;&gt;1,"",IF(I4039="SBJ","CB","?"))</f>
        <v> </v>
      </c>
      <c r="I4039" s="25" t="str">
        <f>IF(OR(E4039="",E4039="!!!",F4039="NEW"),"",INDEX(B4038:B$2,-1+SUMPRODUCT(MAX(ROW(E4038:E$2)*(E4039=E4038:E$2)))))</f>
        <v> </v>
      </c>
      <c r="J4039" s="25" t="str">
        <f>IF(OR(E4039="",E4039="!!!",F4039="NEW"),"",COUNTBLANK(OFFSET(A$1,,,SUMPRODUCT(MAX(ROW(E$2:E4039)*(E4039=E$2:E4039)))))-COUNTBLANK(OFFSET(A$1,,,SUMPRODUCT(MAX(ROW(E$1:E4038)*(E2=E$1:E4038))))))</f>
        <v> </v>
      </c>
      <c r="K4039" s="25" t="str">
        <f>IF(OR(E4039="",E4039="!!!",F4039="NEW"),"",INDEX(J$1:J4038,SUMPRODUCT(MAX(ROW(E$1:E4038)*(E4039=E$1:E4038)))))</f>
        <v> </v>
      </c>
      <c r="L4039" s="26"/>
    </row>
    <row r="4040" spans="1:12">
      <c r="A4040" s="20" t="s">
        <v>2908</v>
      </c>
      <c r="E4040" s="21">
        <f>IF(D4040="?OLD","!!!","")</f>
        <v/>
      </c>
      <c r="F4040" s="22" t="str">
        <f>IF(OR(E4040="",E4040="!!!"),"",IF(NOT(ISNA(VLOOKUP(E4040,E$1:E4039,1,FALSE()))),"OLD",IF(AND(E4040&lt;&gt;"",E4040&lt;&gt;"!!!"),"NEW","")))</f>
        <v> </v>
      </c>
      <c r="G4040" s="23" t="str">
        <f>IF(OR(E4040="",E4040="!!!"),"",IF(OR(J4040=0,AND(J4040=1,K4040=1),AND(J4040=1,I4040="SBJ"),AND(J4040=1,I4040=0)),"?IN_FOCUS",IF(J4040&lt;=2,"?ACTIVATED",IF(J4040&lt;&gt;"","?FAMILIAR",IF(F4040="NEW",IF(ISNA(VLOOKUP(E4040,#REF!,1,FALSE())),"?TYPE_IDENTIFIABLE","?REFERENTIAL"),"_")))))</f>
        <v> </v>
      </c>
      <c r="H4040" s="24" t="str">
        <f>IF(J4040&lt;&gt;1,"",IF(I4040="SBJ","CB","?"))</f>
        <v> </v>
      </c>
      <c r="I4040" s="25" t="str">
        <f>IF(OR(E4040="",E4040="!!!",F4040="NEW"),"",INDEX(B4039:B$2,-1+SUMPRODUCT(MAX(ROW(E4039:E$2)*(E4040=E4039:E$2)))))</f>
        <v> </v>
      </c>
      <c r="J4040" s="25" t="str">
        <f>IF(OR(E4040="",E4040="!!!",F4040="NEW"),"",COUNTBLANK(OFFSET(A$1,,,SUMPRODUCT(MAX(ROW(E$2:E4040)*(E4040=E$2:E4040)))))-COUNTBLANK(OFFSET(A$1,,,SUMPRODUCT(MAX(ROW(E$1:E4039)*(E2=E$1:E4039))))))</f>
        <v> </v>
      </c>
      <c r="K4040" s="25" t="str">
        <f>IF(OR(E4040="",E4040="!!!",F4040="NEW"),"",INDEX(J$1:J4039,SUMPRODUCT(MAX(ROW(E$1:E4039)*(E4040=E$1:E4039)))))</f>
        <v> </v>
      </c>
      <c r="L4040" s="26"/>
    </row>
    <row r="4041" spans="1:12">
      <c r="A4041" s="20" t="s">
        <v>1145</v>
      </c>
      <c r="E4041" s="21">
        <f>IF(D4041="?OLD","!!!","")</f>
        <v/>
      </c>
      <c r="F4041" s="22" t="str">
        <f>IF(OR(E4041="",E4041="!!!"),"",IF(NOT(ISNA(VLOOKUP(E4041,E$1:E4040,1,FALSE()))),"OLD",IF(AND(E4041&lt;&gt;"",E4041&lt;&gt;"!!!"),"NEW","")))</f>
        <v> </v>
      </c>
      <c r="G4041" s="23" t="str">
        <f>IF(OR(E4041="",E4041="!!!"),"",IF(OR(J4041=0,AND(J4041=1,K4041=1),AND(J4041=1,I4041="SBJ"),AND(J4041=1,I4041=0)),"?IN_FOCUS",IF(J4041&lt;=2,"?ACTIVATED",IF(J4041&lt;&gt;"","?FAMILIAR",IF(F4041="NEW",IF(ISNA(VLOOKUP(E4041,#REF!,1,FALSE())),"?TYPE_IDENTIFIABLE","?REFERENTIAL"),"_")))))</f>
        <v> </v>
      </c>
      <c r="H4041" s="24" t="str">
        <f>IF(J4041&lt;&gt;1,"",IF(I4041="SBJ","CB","?"))</f>
        <v> </v>
      </c>
      <c r="I4041" s="25" t="str">
        <f>IF(OR(E4041="",E4041="!!!",F4041="NEW"),"",INDEX(B4040:B$2,-1+SUMPRODUCT(MAX(ROW(E4040:E$2)*(E4041=E4040:E$2)))))</f>
        <v> </v>
      </c>
      <c r="J4041" s="25" t="str">
        <f>IF(OR(E4041="",E4041="!!!",F4041="NEW"),"",COUNTBLANK(OFFSET(A$1,,,SUMPRODUCT(MAX(ROW(E$2:E4041)*(E4041=E$2:E4041)))))-COUNTBLANK(OFFSET(A$1,,,SUMPRODUCT(MAX(ROW(E$1:E4040)*(E2=E$1:E4040))))))</f>
        <v> </v>
      </c>
      <c r="K4041" s="25" t="str">
        <f>IF(OR(E4041="",E4041="!!!",F4041="NEW"),"",INDEX(J$1:J4040,SUMPRODUCT(MAX(ROW(E$1:E4040)*(E4041=E$1:E4040)))))</f>
        <v> </v>
      </c>
      <c r="L4041" s="26"/>
    </row>
    <row r="4042" spans="1:12">
      <c r="A4042" s="20"/>
    </row>
    <row r="4043" spans="1:12">
      <c r="A4043" s="20" t="s">
        <v>2909</v>
      </c>
    </row>
    <row r="4044" spans="1:12">
      <c r="A4044" s="20" t="s">
        <v>1406</v>
      </c>
      <c r="E4044" s="21">
        <f>IF(D4044="?OLD","!!!","")</f>
        <v/>
      </c>
      <c r="F4044" s="22" t="str">
        <f>IF(OR(E4044="",E4044="!!!"),"",IF(NOT(ISNA(VLOOKUP(E4044,E$1:E4043,1,FALSE()))),"OLD",IF(AND(E4044&lt;&gt;"",E4044&lt;&gt;"!!!"),"NEW","")))</f>
        <v> </v>
      </c>
      <c r="G4044" s="23" t="str">
        <f>IF(OR(E4044="",E4044="!!!"),"",IF(OR(J4044=0,AND(J4044=1,K4044=1),AND(J4044=1,I4044="SBJ"),AND(J4044=1,I4044=0)),"?IN_FOCUS",IF(J4044&lt;=2,"?ACTIVATED",IF(J4044&lt;&gt;"","?FAMILIAR",IF(F4044="NEW",IF(ISNA(VLOOKUP(E4044,#REF!,1,FALSE())),"?TYPE_IDENTIFIABLE","?REFERENTIAL"),"_")))))</f>
        <v> </v>
      </c>
      <c r="H4044" s="24" t="str">
        <f>IF(J4044&lt;&gt;1,"",IF(I4044="SBJ","CB","?"))</f>
        <v> </v>
      </c>
      <c r="I4044" s="25" t="str">
        <f>IF(OR(E4044="",E4044="!!!",F4044="NEW"),"",INDEX(B4043:B$2,-1+SUMPRODUCT(MAX(ROW(E4043:E$2)*(E4044=E4043:E$2)))))</f>
        <v> </v>
      </c>
      <c r="J4044" s="25" t="str">
        <f>IF(OR(E4044="",E4044="!!!",F4044="NEW"),"",COUNTBLANK(OFFSET(A$1,,,SUMPRODUCT(MAX(ROW(E$2:E4044)*(E4044=E$2:E4044)))))-COUNTBLANK(OFFSET(A$1,,,SUMPRODUCT(MAX(ROW(E$1:E4043)*(E2=E$1:E4043))))))</f>
        <v> </v>
      </c>
      <c r="K4044" s="25" t="str">
        <f>IF(OR(E4044="",E4044="!!!",F4044="NEW"),"",INDEX(J$1:J4043,SUMPRODUCT(MAX(ROW(E$1:E4043)*(E4044=E$1:E4043)))))</f>
        <v> </v>
      </c>
      <c r="L4044" s="26"/>
    </row>
    <row r="4045" spans="1:12">
      <c r="A4045" s="20" t="s">
        <v>1217</v>
      </c>
      <c r="B4045" s="27" t="s">
        <v>1149</v>
      </c>
      <c r="C4045" s="27" t="s">
        <v>1126</v>
      </c>
      <c r="D4045" s="27" t="s">
        <v>1105</v>
      </c>
      <c r="E4045" s="21">
        <f>IF(D4045="?OLD","!!!","")</f>
        <v/>
      </c>
      <c r="F4045" s="22" t="str">
        <f>IF(OR(E4045="",E4045="!!!"),"",IF(NOT(ISNA(VLOOKUP(E4045,E$1:E4044,1,FALSE()))),"OLD",IF(AND(E4045&lt;&gt;"",E4045&lt;&gt;"!!!"),"NEW","")))</f>
        <v> </v>
      </c>
      <c r="G4045" s="23" t="str">
        <f>IF(OR(E4045="",E4045="!!!"),"",IF(OR(J4045=0,AND(J4045=1,K4045=1),AND(J4045=1,I4045="SBJ"),AND(J4045=1,I4045=0)),"?IN_FOCUS",IF(J4045&lt;=2,"?ACTIVATED",IF(J4045&lt;&gt;"","?FAMILIAR",IF(F4045="NEW",IF(ISNA(VLOOKUP(E4045,#REF!,1,FALSE())),"?TYPE_IDENTIFIABLE","?REFERENTIAL"),"_")))))</f>
        <v> </v>
      </c>
      <c r="H4045" s="24" t="str">
        <f>IF(J4045&lt;&gt;1,"",IF(I4045="SBJ","CB","?"))</f>
        <v> </v>
      </c>
      <c r="I4045" s="25" t="str">
        <f>IF(OR(E4045="",E4045="!!!",F4045="NEW"),"",INDEX(B4044:B$2,-1+SUMPRODUCT(MAX(ROW(E4044:E$2)*(E4045=E4044:E$2)))))</f>
        <v> </v>
      </c>
      <c r="J4045" s="25" t="str">
        <f>IF(OR(E4045="",E4045="!!!",F4045="NEW"),"",COUNTBLANK(OFFSET(A$1,,,SUMPRODUCT(MAX(ROW(E$2:E4045)*(E4045=E$2:E4045)))))-COUNTBLANK(OFFSET(A$1,,,SUMPRODUCT(MAX(ROW(E$1:E4044)*(E2=E$1:E4044))))))</f>
        <v> </v>
      </c>
      <c r="K4045" s="25" t="str">
        <f>IF(OR(E4045="",E4045="!!!",F4045="NEW"),"",INDEX(J$1:J4044,SUMPRODUCT(MAX(ROW(E$1:E4044)*(E4045=E$1:E4044)))))</f>
        <v> </v>
      </c>
      <c r="L4045" s="26"/>
    </row>
    <row r="4046" spans="1:12">
      <c r="A4046" s="20" t="s">
        <v>1123</v>
      </c>
      <c r="E4046" s="21">
        <f>IF(D4046="?OLD","!!!","")</f>
        <v/>
      </c>
      <c r="F4046" s="22" t="str">
        <f>IF(OR(E4046="",E4046="!!!"),"",IF(NOT(ISNA(VLOOKUP(E4046,E$1:E4045,1,FALSE()))),"OLD",IF(AND(E4046&lt;&gt;"",E4046&lt;&gt;"!!!"),"NEW","")))</f>
        <v> </v>
      </c>
      <c r="G4046" s="23" t="str">
        <f>IF(OR(E4046="",E4046="!!!"),"",IF(OR(J4046=0,AND(J4046=1,K4046=1),AND(J4046=1,I4046="SBJ"),AND(J4046=1,I4046=0)),"?IN_FOCUS",IF(J4046&lt;=2,"?ACTIVATED",IF(J4046&lt;&gt;"","?FAMILIAR",IF(F4046="NEW",IF(ISNA(VLOOKUP(E4046,#REF!,1,FALSE())),"?TYPE_IDENTIFIABLE","?REFERENTIAL"),"_")))))</f>
        <v> </v>
      </c>
      <c r="H4046" s="24" t="str">
        <f>IF(J4046&lt;&gt;1,"",IF(I4046="SBJ","CB","?"))</f>
        <v> </v>
      </c>
      <c r="I4046" s="25" t="str">
        <f>IF(OR(E4046="",E4046="!!!",F4046="NEW"),"",INDEX(B4045:B$2,-1+SUMPRODUCT(MAX(ROW(E4045:E$2)*(E4046=E4045:E$2)))))</f>
        <v> </v>
      </c>
      <c r="J4046" s="25" t="str">
        <f>IF(OR(E4046="",E4046="!!!",F4046="NEW"),"",COUNTBLANK(OFFSET(A$1,,,SUMPRODUCT(MAX(ROW(E$2:E4046)*(E4046=E$2:E4046)))))-COUNTBLANK(OFFSET(A$1,,,SUMPRODUCT(MAX(ROW(E$1:E4045)*(E2=E$1:E4045))))))</f>
        <v> </v>
      </c>
      <c r="K4046" s="25" t="str">
        <f>IF(OR(E4046="",E4046="!!!",F4046="NEW"),"",INDEX(J$1:J4045,SUMPRODUCT(MAX(ROW(E$1:E4045)*(E4046=E$1:E4045)))))</f>
        <v> </v>
      </c>
      <c r="L4046" s="26"/>
    </row>
    <row r="4047" spans="1:12">
      <c r="A4047" s="20" t="s">
        <v>1253</v>
      </c>
      <c r="E4047" s="21">
        <f>IF(D4047="?OLD","!!!","")</f>
        <v/>
      </c>
      <c r="F4047" s="22" t="str">
        <f>IF(OR(E4047="",E4047="!!!"),"",IF(NOT(ISNA(VLOOKUP(E4047,E$1:E4046,1,FALSE()))),"OLD",IF(AND(E4047&lt;&gt;"",E4047&lt;&gt;"!!!"),"NEW","")))</f>
        <v> </v>
      </c>
      <c r="G4047" s="23" t="str">
        <f>IF(OR(E4047="",E4047="!!!"),"",IF(OR(J4047=0,AND(J4047=1,K4047=1),AND(J4047=1,I4047="SBJ"),AND(J4047=1,I4047=0)),"?IN_FOCUS",IF(J4047&lt;=2,"?ACTIVATED",IF(J4047&lt;&gt;"","?FAMILIAR",IF(F4047="NEW",IF(ISNA(VLOOKUP(E4047,#REF!,1,FALSE())),"?TYPE_IDENTIFIABLE","?REFERENTIAL"),"_")))))</f>
        <v> </v>
      </c>
      <c r="H4047" s="24" t="str">
        <f>IF(J4047&lt;&gt;1,"",IF(I4047="SBJ","CB","?"))</f>
        <v> </v>
      </c>
      <c r="I4047" s="25" t="str">
        <f>IF(OR(E4047="",E4047="!!!",F4047="NEW"),"",INDEX(B4046:B$2,-1+SUMPRODUCT(MAX(ROW(E4046:E$2)*(E4047=E4046:E$2)))))</f>
        <v> </v>
      </c>
      <c r="J4047" s="25" t="str">
        <f>IF(OR(E4047="",E4047="!!!",F4047="NEW"),"",COUNTBLANK(OFFSET(A$1,,,SUMPRODUCT(MAX(ROW(E$2:E4047)*(E4047=E$2:E4047)))))-COUNTBLANK(OFFSET(A$1,,,SUMPRODUCT(MAX(ROW(E$1:E4046)*(E2=E$1:E4046))))))</f>
        <v> </v>
      </c>
      <c r="K4047" s="25" t="str">
        <f>IF(OR(E4047="",E4047="!!!",F4047="NEW"),"",INDEX(J$1:J4046,SUMPRODUCT(MAX(ROW(E$1:E4046)*(E4047=E$1:E4046)))))</f>
        <v> </v>
      </c>
      <c r="L4047" s="26"/>
    </row>
    <row r="4048" spans="1:12">
      <c r="A4048" s="20" t="s">
        <v>2910</v>
      </c>
      <c r="E4048" s="21">
        <f>IF(D4048="?OLD","!!!","")</f>
        <v/>
      </c>
      <c r="F4048" s="22" t="str">
        <f>IF(OR(E4048="",E4048="!!!"),"",IF(NOT(ISNA(VLOOKUP(E4048,E$1:E4047,1,FALSE()))),"OLD",IF(AND(E4048&lt;&gt;"",E4048&lt;&gt;"!!!"),"NEW","")))</f>
        <v> </v>
      </c>
      <c r="G4048" s="23" t="str">
        <f>IF(OR(E4048="",E4048="!!!"),"",IF(OR(J4048=0,AND(J4048=1,K4048=1),AND(J4048=1,I4048="SBJ"),AND(J4048=1,I4048=0)),"?IN_FOCUS",IF(J4048&lt;=2,"?ACTIVATED",IF(J4048&lt;&gt;"","?FAMILIAR",IF(F4048="NEW",IF(ISNA(VLOOKUP(E4048,#REF!,1,FALSE())),"?TYPE_IDENTIFIABLE","?REFERENTIAL"),"_")))))</f>
        <v> </v>
      </c>
      <c r="H4048" s="24" t="str">
        <f>IF(J4048&lt;&gt;1,"",IF(I4048="SBJ","CB","?"))</f>
        <v> </v>
      </c>
      <c r="I4048" s="25" t="str">
        <f>IF(OR(E4048="",E4048="!!!",F4048="NEW"),"",INDEX(B4047:B$2,-1+SUMPRODUCT(MAX(ROW(E4047:E$2)*(E4048=E4047:E$2)))))</f>
        <v> </v>
      </c>
      <c r="J4048" s="25" t="str">
        <f>IF(OR(E4048="",E4048="!!!",F4048="NEW"),"",COUNTBLANK(OFFSET(A$1,,,SUMPRODUCT(MAX(ROW(E$2:E4048)*(E4048=E$2:E4048)))))-COUNTBLANK(OFFSET(A$1,,,SUMPRODUCT(MAX(ROW(E$1:E4047)*(E2=E$1:E4047))))))</f>
        <v> </v>
      </c>
      <c r="K4048" s="25" t="str">
        <f>IF(OR(E4048="",E4048="!!!",F4048="NEW"),"",INDEX(J$1:J4047,SUMPRODUCT(MAX(ROW(E$1:E4047)*(E4048=E$1:E4047)))))</f>
        <v> </v>
      </c>
      <c r="L4048" s="26"/>
    </row>
    <row r="4049" spans="1:12">
      <c r="A4049" s="20" t="s">
        <v>1846</v>
      </c>
      <c r="E4049" s="21">
        <f>IF(D4049="?OLD","!!!","")</f>
        <v/>
      </c>
      <c r="F4049" s="22" t="str">
        <f>IF(OR(E4049="",E4049="!!!"),"",IF(NOT(ISNA(VLOOKUP(E4049,E$1:E4048,1,FALSE()))),"OLD",IF(AND(E4049&lt;&gt;"",E4049&lt;&gt;"!!!"),"NEW","")))</f>
        <v> </v>
      </c>
      <c r="G4049" s="23" t="str">
        <f>IF(OR(E4049="",E4049="!!!"),"",IF(OR(J4049=0,AND(J4049=1,K4049=1),AND(J4049=1,I4049="SBJ"),AND(J4049=1,I4049=0)),"?IN_FOCUS",IF(J4049&lt;=2,"?ACTIVATED",IF(J4049&lt;&gt;"","?FAMILIAR",IF(F4049="NEW",IF(ISNA(VLOOKUP(E4049,#REF!,1,FALSE())),"?TYPE_IDENTIFIABLE","?REFERENTIAL"),"_")))))</f>
        <v> </v>
      </c>
      <c r="H4049" s="24" t="str">
        <f>IF(J4049&lt;&gt;1,"",IF(I4049="SBJ","CB","?"))</f>
        <v> </v>
      </c>
      <c r="I4049" s="25" t="str">
        <f>IF(OR(E4049="",E4049="!!!",F4049="NEW"),"",INDEX(B4048:B$2,-1+SUMPRODUCT(MAX(ROW(E4048:E$2)*(E4049=E4048:E$2)))))</f>
        <v> </v>
      </c>
      <c r="J4049" s="25" t="str">
        <f>IF(OR(E4049="",E4049="!!!",F4049="NEW"),"",COUNTBLANK(OFFSET(A$1,,,SUMPRODUCT(MAX(ROW(E$2:E4049)*(E4049=E$2:E4049)))))-COUNTBLANK(OFFSET(A$1,,,SUMPRODUCT(MAX(ROW(E$1:E4048)*(E2=E$1:E4048))))))</f>
        <v> </v>
      </c>
      <c r="K4049" s="25" t="str">
        <f>IF(OR(E4049="",E4049="!!!",F4049="NEW"),"",INDEX(J$1:J4048,SUMPRODUCT(MAX(ROW(E$1:E4048)*(E4049=E$1:E4048)))))</f>
        <v> </v>
      </c>
      <c r="L4049" s="26"/>
    </row>
    <row r="4050" spans="1:12">
      <c r="A4050" s="20" t="s">
        <v>1123</v>
      </c>
      <c r="E4050" s="21">
        <f>IF(D4050="?OLD","!!!","")</f>
        <v/>
      </c>
      <c r="F4050" s="22" t="str">
        <f>IF(OR(E4050="",E4050="!!!"),"",IF(NOT(ISNA(VLOOKUP(E4050,E$1:E4049,1,FALSE()))),"OLD",IF(AND(E4050&lt;&gt;"",E4050&lt;&gt;"!!!"),"NEW","")))</f>
        <v> </v>
      </c>
      <c r="G4050" s="23" t="str">
        <f>IF(OR(E4050="",E4050="!!!"),"",IF(OR(J4050=0,AND(J4050=1,K4050=1),AND(J4050=1,I4050="SBJ"),AND(J4050=1,I4050=0)),"?IN_FOCUS",IF(J4050&lt;=2,"?ACTIVATED",IF(J4050&lt;&gt;"","?FAMILIAR",IF(F4050="NEW",IF(ISNA(VLOOKUP(E4050,#REF!,1,FALSE())),"?TYPE_IDENTIFIABLE","?REFERENTIAL"),"_")))))</f>
        <v> </v>
      </c>
      <c r="H4050" s="24" t="str">
        <f>IF(J4050&lt;&gt;1,"",IF(I4050="SBJ","CB","?"))</f>
        <v> </v>
      </c>
      <c r="I4050" s="25" t="str">
        <f>IF(OR(E4050="",E4050="!!!",F4050="NEW"),"",INDEX(B4049:B$2,-1+SUMPRODUCT(MAX(ROW(E4049:E$2)*(E4050=E4049:E$2)))))</f>
        <v> </v>
      </c>
      <c r="J4050" s="25" t="str">
        <f>IF(OR(E4050="",E4050="!!!",F4050="NEW"),"",COUNTBLANK(OFFSET(A$1,,,SUMPRODUCT(MAX(ROW(E$2:E4050)*(E4050=E$2:E4050)))))-COUNTBLANK(OFFSET(A$1,,,SUMPRODUCT(MAX(ROW(E$1:E4049)*(E2=E$1:E4049))))))</f>
        <v> </v>
      </c>
      <c r="K4050" s="25" t="str">
        <f>IF(OR(E4050="",E4050="!!!",F4050="NEW"),"",INDEX(J$1:J4049,SUMPRODUCT(MAX(ROW(E$1:E4049)*(E4050=E$1:E4049)))))</f>
        <v> </v>
      </c>
      <c r="L4050" s="26"/>
    </row>
    <row r="4051" spans="1:12">
      <c r="A4051" s="20" t="s">
        <v>2911</v>
      </c>
      <c r="E4051" s="21">
        <f>IF(D4051="?OLD","!!!","")</f>
        <v/>
      </c>
      <c r="F4051" s="22" t="str">
        <f>IF(OR(E4051="",E4051="!!!"),"",IF(NOT(ISNA(VLOOKUP(E4051,E$1:E4050,1,FALSE()))),"OLD",IF(AND(E4051&lt;&gt;"",E4051&lt;&gt;"!!!"),"NEW","")))</f>
        <v> </v>
      </c>
      <c r="G4051" s="23" t="str">
        <f>IF(OR(E4051="",E4051="!!!"),"",IF(OR(J4051=0,AND(J4051=1,K4051=1),AND(J4051=1,I4051="SBJ"),AND(J4051=1,I4051=0)),"?IN_FOCUS",IF(J4051&lt;=2,"?ACTIVATED",IF(J4051&lt;&gt;"","?FAMILIAR",IF(F4051="NEW",IF(ISNA(VLOOKUP(E4051,#REF!,1,FALSE())),"?TYPE_IDENTIFIABLE","?REFERENTIAL"),"_")))))</f>
        <v> </v>
      </c>
      <c r="H4051" s="24" t="str">
        <f>IF(J4051&lt;&gt;1,"",IF(I4051="SBJ","CB","?"))</f>
        <v> </v>
      </c>
      <c r="I4051" s="25" t="str">
        <f>IF(OR(E4051="",E4051="!!!",F4051="NEW"),"",INDEX(B4050:B$2,-1+SUMPRODUCT(MAX(ROW(E4050:E$2)*(E4051=E4050:E$2)))))</f>
        <v> </v>
      </c>
      <c r="J4051" s="25" t="str">
        <f>IF(OR(E4051="",E4051="!!!",F4051="NEW"),"",COUNTBLANK(OFFSET(A$1,,,SUMPRODUCT(MAX(ROW(E$2:E4051)*(E4051=E$2:E4051)))))-COUNTBLANK(OFFSET(A$1,,,SUMPRODUCT(MAX(ROW(E$1:E4050)*(E2=E$1:E4050))))))</f>
        <v> </v>
      </c>
      <c r="K4051" s="25" t="str">
        <f>IF(OR(E4051="",E4051="!!!",F4051="NEW"),"",INDEX(J$1:J4050,SUMPRODUCT(MAX(ROW(E$1:E4050)*(E4051=E$1:E4050)))))</f>
        <v> </v>
      </c>
      <c r="L4051" s="26"/>
    </row>
    <row r="4052" spans="1:12">
      <c r="A4052" s="20" t="s">
        <v>1123</v>
      </c>
      <c r="E4052" s="21">
        <f>IF(D4052="?OLD","!!!","")</f>
        <v/>
      </c>
      <c r="F4052" s="22" t="str">
        <f>IF(OR(E4052="",E4052="!!!"),"",IF(NOT(ISNA(VLOOKUP(E4052,E$1:E4051,1,FALSE()))),"OLD",IF(AND(E4052&lt;&gt;"",E4052&lt;&gt;"!!!"),"NEW","")))</f>
        <v> </v>
      </c>
      <c r="G4052" s="23" t="str">
        <f>IF(OR(E4052="",E4052="!!!"),"",IF(OR(J4052=0,AND(J4052=1,K4052=1),AND(J4052=1,I4052="SBJ"),AND(J4052=1,I4052=0)),"?IN_FOCUS",IF(J4052&lt;=2,"?ACTIVATED",IF(J4052&lt;&gt;"","?FAMILIAR",IF(F4052="NEW",IF(ISNA(VLOOKUP(E4052,#REF!,1,FALSE())),"?TYPE_IDENTIFIABLE","?REFERENTIAL"),"_")))))</f>
        <v> </v>
      </c>
      <c r="H4052" s="24" t="str">
        <f>IF(J4052&lt;&gt;1,"",IF(I4052="SBJ","CB","?"))</f>
        <v> </v>
      </c>
      <c r="I4052" s="25" t="str">
        <f>IF(OR(E4052="",E4052="!!!",F4052="NEW"),"",INDEX(B4051:B$2,-1+SUMPRODUCT(MAX(ROW(E4051:E$2)*(E4052=E4051:E$2)))))</f>
        <v> </v>
      </c>
      <c r="J4052" s="25" t="str">
        <f>IF(OR(E4052="",E4052="!!!",F4052="NEW"),"",COUNTBLANK(OFFSET(A$1,,,SUMPRODUCT(MAX(ROW(E$2:E4052)*(E4052=E$2:E4052)))))-COUNTBLANK(OFFSET(A$1,,,SUMPRODUCT(MAX(ROW(E$1:E4051)*(E2=E$1:E4051))))))</f>
        <v> </v>
      </c>
      <c r="K4052" s="25" t="str">
        <f>IF(OR(E4052="",E4052="!!!",F4052="NEW"),"",INDEX(J$1:J4051,SUMPRODUCT(MAX(ROW(E$1:E4051)*(E4052=E$1:E4051)))))</f>
        <v> </v>
      </c>
      <c r="L4052" s="26"/>
    </row>
    <row r="4053" spans="1:12">
      <c r="A4053" s="20" t="s">
        <v>135</v>
      </c>
      <c r="E4053" s="21">
        <f>IF(D4053="?OLD","!!!","")</f>
        <v/>
      </c>
      <c r="F4053" s="22" t="str">
        <f>IF(OR(E4053="",E4053="!!!"),"",IF(NOT(ISNA(VLOOKUP(E4053,E$1:E4052,1,FALSE()))),"OLD",IF(AND(E4053&lt;&gt;"",E4053&lt;&gt;"!!!"),"NEW","")))</f>
        <v> </v>
      </c>
      <c r="G4053" s="23" t="str">
        <f>IF(OR(E4053="",E4053="!!!"),"",IF(OR(J4053=0,AND(J4053=1,K4053=1),AND(J4053=1,I4053="SBJ"),AND(J4053=1,I4053=0)),"?IN_FOCUS",IF(J4053&lt;=2,"?ACTIVATED",IF(J4053&lt;&gt;"","?FAMILIAR",IF(F4053="NEW",IF(ISNA(VLOOKUP(E4053,#REF!,1,FALSE())),"?TYPE_IDENTIFIABLE","?REFERENTIAL"),"_")))))</f>
        <v> </v>
      </c>
      <c r="H4053" s="24" t="str">
        <f>IF(J4053&lt;&gt;1,"",IF(I4053="SBJ","CB","?"))</f>
        <v> </v>
      </c>
      <c r="I4053" s="25" t="str">
        <f>IF(OR(E4053="",E4053="!!!",F4053="NEW"),"",INDEX(B4052:B$2,-1+SUMPRODUCT(MAX(ROW(E4052:E$2)*(E4053=E4052:E$2)))))</f>
        <v> </v>
      </c>
      <c r="J4053" s="25" t="str">
        <f>IF(OR(E4053="",E4053="!!!",F4053="NEW"),"",COUNTBLANK(OFFSET(A$1,,,SUMPRODUCT(MAX(ROW(E$2:E4053)*(E4053=E$2:E4053)))))-COUNTBLANK(OFFSET(A$1,,,SUMPRODUCT(MAX(ROW(E$1:E4052)*(E2=E$1:E4052))))))</f>
        <v> </v>
      </c>
      <c r="K4053" s="25" t="str">
        <f>IF(OR(E4053="",E4053="!!!",F4053="NEW"),"",INDEX(J$1:J4052,SUMPRODUCT(MAX(ROW(E$1:E4052)*(E4053=E$1:E4052)))))</f>
        <v> </v>
      </c>
      <c r="L4053" s="26"/>
    </row>
    <row r="4054" spans="1:12">
      <c r="A4054" s="20" t="s">
        <v>1139</v>
      </c>
      <c r="E4054" s="21">
        <f>IF(D4054="?OLD","!!!","")</f>
        <v/>
      </c>
      <c r="F4054" s="22" t="str">
        <f>IF(OR(E4054="",E4054="!!!"),"",IF(NOT(ISNA(VLOOKUP(E4054,E$1:E4053,1,FALSE()))),"OLD",IF(AND(E4054&lt;&gt;"",E4054&lt;&gt;"!!!"),"NEW","")))</f>
        <v> </v>
      </c>
      <c r="G4054" s="23" t="str">
        <f>IF(OR(E4054="",E4054="!!!"),"",IF(OR(J4054=0,AND(J4054=1,K4054=1),AND(J4054=1,I4054="SBJ"),AND(J4054=1,I4054=0)),"?IN_FOCUS",IF(J4054&lt;=2,"?ACTIVATED",IF(J4054&lt;&gt;"","?FAMILIAR",IF(F4054="NEW",IF(ISNA(VLOOKUP(E4054,#REF!,1,FALSE())),"?TYPE_IDENTIFIABLE","?REFERENTIAL"),"_")))))</f>
        <v> </v>
      </c>
      <c r="H4054" s="24" t="str">
        <f>IF(J4054&lt;&gt;1,"",IF(I4054="SBJ","CB","?"))</f>
        <v> </v>
      </c>
      <c r="I4054" s="25" t="str">
        <f>IF(OR(E4054="",E4054="!!!",F4054="NEW"),"",INDEX(B4053:B$2,-1+SUMPRODUCT(MAX(ROW(E4053:E$2)*(E4054=E4053:E$2)))))</f>
        <v> </v>
      </c>
      <c r="J4054" s="25" t="str">
        <f>IF(OR(E4054="",E4054="!!!",F4054="NEW"),"",COUNTBLANK(OFFSET(A$1,,,SUMPRODUCT(MAX(ROW(E$2:E4054)*(E4054=E$2:E4054)))))-COUNTBLANK(OFFSET(A$1,,,SUMPRODUCT(MAX(ROW(E$1:E4053)*(E2=E$1:E4053))))))</f>
        <v> </v>
      </c>
      <c r="K4054" s="25" t="str">
        <f>IF(OR(E4054="",E4054="!!!",F4054="NEW"),"",INDEX(J$1:J4053,SUMPRODUCT(MAX(ROW(E$1:E4053)*(E4054=E$1:E4053)))))</f>
        <v> </v>
      </c>
      <c r="L4054" s="26"/>
    </row>
    <row r="4055" spans="1:12">
      <c r="A4055" s="20" t="s">
        <v>1154</v>
      </c>
      <c r="E4055" s="21">
        <f>IF(D4055="?OLD","!!!","")</f>
        <v/>
      </c>
      <c r="F4055" s="22" t="str">
        <f>IF(OR(E4055="",E4055="!!!"),"",IF(NOT(ISNA(VLOOKUP(E4055,E$1:E4054,1,FALSE()))),"OLD",IF(AND(E4055&lt;&gt;"",E4055&lt;&gt;"!!!"),"NEW","")))</f>
        <v> </v>
      </c>
      <c r="G4055" s="23" t="str">
        <f>IF(OR(E4055="",E4055="!!!"),"",IF(OR(J4055=0,AND(J4055=1,K4055=1),AND(J4055=1,I4055="SBJ"),AND(J4055=1,I4055=0)),"?IN_FOCUS",IF(J4055&lt;=2,"?ACTIVATED",IF(J4055&lt;&gt;"","?FAMILIAR",IF(F4055="NEW",IF(ISNA(VLOOKUP(E4055,#REF!,1,FALSE())),"?TYPE_IDENTIFIABLE","?REFERENTIAL"),"_")))))</f>
        <v> </v>
      </c>
      <c r="H4055" s="24" t="str">
        <f>IF(J4055&lt;&gt;1,"",IF(I4055="SBJ","CB","?"))</f>
        <v> </v>
      </c>
      <c r="I4055" s="25" t="str">
        <f>IF(OR(E4055="",E4055="!!!",F4055="NEW"),"",INDEX(B4054:B$2,-1+SUMPRODUCT(MAX(ROW(E4054:E$2)*(E4055=E4054:E$2)))))</f>
        <v> </v>
      </c>
      <c r="J4055" s="25" t="str">
        <f>IF(OR(E4055="",E4055="!!!",F4055="NEW"),"",COUNTBLANK(OFFSET(A$1,,,SUMPRODUCT(MAX(ROW(E$2:E4055)*(E4055=E$2:E4055)))))-COUNTBLANK(OFFSET(A$1,,,SUMPRODUCT(MAX(ROW(E$1:E4054)*(E2=E$1:E4054))))))</f>
        <v> </v>
      </c>
      <c r="K4055" s="25" t="str">
        <f>IF(OR(E4055="",E4055="!!!",F4055="NEW"),"",INDEX(J$1:J4054,SUMPRODUCT(MAX(ROW(E$1:E4054)*(E4055=E$1:E4054)))))</f>
        <v> </v>
      </c>
      <c r="L4055" s="26"/>
    </row>
    <row r="4056" spans="1:12">
      <c r="A4056" s="20" t="s">
        <v>1306</v>
      </c>
      <c r="B4056" s="27" t="s">
        <v>1107</v>
      </c>
      <c r="C4056" s="27" t="s">
        <v>1156</v>
      </c>
      <c r="D4056" s="27" t="s">
        <v>1105</v>
      </c>
      <c r="E4056" s="21">
        <f>IF(D4056="?OLD","!!!","")</f>
        <v/>
      </c>
      <c r="F4056" s="22" t="str">
        <f>IF(OR(E4056="",E4056="!!!"),"",IF(NOT(ISNA(VLOOKUP(E4056,E$1:E4055,1,FALSE()))),"OLD",IF(AND(E4056&lt;&gt;"",E4056&lt;&gt;"!!!"),"NEW","")))</f>
        <v> </v>
      </c>
      <c r="G4056" s="23" t="str">
        <f>IF(OR(E4056="",E4056="!!!"),"",IF(OR(J4056=0,AND(J4056=1,K4056=1),AND(J4056=1,I4056="SBJ"),AND(J4056=1,I4056=0)),"?IN_FOCUS",IF(J4056&lt;=2,"?ACTIVATED",IF(J4056&lt;&gt;"","?FAMILIAR",IF(F4056="NEW",IF(ISNA(VLOOKUP(E4056,#REF!,1,FALSE())),"?TYPE_IDENTIFIABLE","?REFERENTIAL"),"_")))))</f>
        <v> </v>
      </c>
      <c r="H4056" s="24" t="str">
        <f>IF(J4056&lt;&gt;1,"",IF(I4056="SBJ","CB","?"))</f>
        <v> </v>
      </c>
      <c r="I4056" s="25" t="str">
        <f>IF(OR(E4056="",E4056="!!!",F4056="NEW"),"",INDEX(B4055:B$2,-1+SUMPRODUCT(MAX(ROW(E4055:E$2)*(E4056=E4055:E$2)))))</f>
        <v> </v>
      </c>
      <c r="J4056" s="25" t="str">
        <f>IF(OR(E4056="",E4056="!!!",F4056="NEW"),"",COUNTBLANK(OFFSET(A$1,,,SUMPRODUCT(MAX(ROW(E$2:E4056)*(E4056=E$2:E4056)))))-COUNTBLANK(OFFSET(A$1,,,SUMPRODUCT(MAX(ROW(E$1:E4055)*(E2=E$1:E4055))))))</f>
        <v> </v>
      </c>
      <c r="K4056" s="25" t="str">
        <f>IF(OR(E4056="",E4056="!!!",F4056="NEW"),"",INDEX(J$1:J4055,SUMPRODUCT(MAX(ROW(E$1:E4055)*(E4056=E$1:E4055)))))</f>
        <v> </v>
      </c>
      <c r="L4056" s="26"/>
    </row>
    <row r="4057" spans="1:12">
      <c r="A4057" s="20" t="s">
        <v>1124</v>
      </c>
      <c r="B4057" s="27" t="s">
        <v>1122</v>
      </c>
      <c r="C4057" s="27" t="s">
        <v>1126</v>
      </c>
      <c r="D4057" s="27" t="s">
        <v>1105</v>
      </c>
      <c r="E4057" s="21">
        <f>IF(D4057="?OLD","!!!","")</f>
        <v/>
      </c>
      <c r="F4057" s="22" t="str">
        <f>IF(OR(E4057="",E4057="!!!"),"",IF(NOT(ISNA(VLOOKUP(E4057,E$1:E4056,1,FALSE()))),"OLD",IF(AND(E4057&lt;&gt;"",E4057&lt;&gt;"!!!"),"NEW","")))</f>
        <v> </v>
      </c>
      <c r="G4057" s="23" t="str">
        <f>IF(OR(E4057="",E4057="!!!"),"",IF(OR(J4057=0,AND(J4057=1,K4057=1),AND(J4057=1,I4057="SBJ"),AND(J4057=1,I4057=0)),"?IN_FOCUS",IF(J4057&lt;=2,"?ACTIVATED",IF(J4057&lt;&gt;"","?FAMILIAR",IF(F4057="NEW",IF(ISNA(VLOOKUP(E4057,#REF!,1,FALSE())),"?TYPE_IDENTIFIABLE","?REFERENTIAL"),"_")))))</f>
        <v> </v>
      </c>
      <c r="H4057" s="24" t="str">
        <f>IF(J4057&lt;&gt;1,"",IF(I4057="SBJ","CB","?"))</f>
        <v> </v>
      </c>
      <c r="I4057" s="25" t="str">
        <f>IF(OR(E4057="",E4057="!!!",F4057="NEW"),"",INDEX(B4056:B$2,-1+SUMPRODUCT(MAX(ROW(E4056:E$2)*(E4057=E4056:E$2)))))</f>
        <v> </v>
      </c>
      <c r="J4057" s="25" t="str">
        <f>IF(OR(E4057="",E4057="!!!",F4057="NEW"),"",COUNTBLANK(OFFSET(A$1,,,SUMPRODUCT(MAX(ROW(E$2:E4057)*(E4057=E$2:E4057)))))-COUNTBLANK(OFFSET(A$1,,,SUMPRODUCT(MAX(ROW(E$1:E4056)*(E2=E$1:E4056))))))</f>
        <v> </v>
      </c>
      <c r="K4057" s="25" t="str">
        <f>IF(OR(E4057="",E4057="!!!",F4057="NEW"),"",INDEX(J$1:J4056,SUMPRODUCT(MAX(ROW(E$1:E4056)*(E4057=E$1:E4056)))))</f>
        <v> </v>
      </c>
      <c r="L4057" s="26"/>
    </row>
    <row r="4058" spans="1:12">
      <c r="A4058" s="20" t="s">
        <v>2912</v>
      </c>
      <c r="E4058" s="21">
        <f>IF(D4058="?OLD","!!!","")</f>
        <v/>
      </c>
      <c r="F4058" s="22" t="str">
        <f>IF(OR(E4058="",E4058="!!!"),"",IF(NOT(ISNA(VLOOKUP(E4058,E$1:E4057,1,FALSE()))),"OLD",IF(AND(E4058&lt;&gt;"",E4058&lt;&gt;"!!!"),"NEW","")))</f>
        <v> </v>
      </c>
      <c r="G4058" s="23" t="str">
        <f>IF(OR(E4058="",E4058="!!!"),"",IF(OR(J4058=0,AND(J4058=1,K4058=1),AND(J4058=1,I4058="SBJ"),AND(J4058=1,I4058=0)),"?IN_FOCUS",IF(J4058&lt;=2,"?ACTIVATED",IF(J4058&lt;&gt;"","?FAMILIAR",IF(F4058="NEW",IF(ISNA(VLOOKUP(E4058,#REF!,1,FALSE())),"?TYPE_IDENTIFIABLE","?REFERENTIAL"),"_")))))</f>
        <v> </v>
      </c>
      <c r="H4058" s="24" t="str">
        <f>IF(J4058&lt;&gt;1,"",IF(I4058="SBJ","CB","?"))</f>
        <v> </v>
      </c>
      <c r="I4058" s="25" t="str">
        <f>IF(OR(E4058="",E4058="!!!",F4058="NEW"),"",INDEX(B4057:B$2,-1+SUMPRODUCT(MAX(ROW(E4057:E$2)*(E4058=E4057:E$2)))))</f>
        <v> </v>
      </c>
      <c r="J4058" s="25" t="str">
        <f>IF(OR(E4058="",E4058="!!!",F4058="NEW"),"",COUNTBLANK(OFFSET(A$1,,,SUMPRODUCT(MAX(ROW(E$2:E4058)*(E4058=E$2:E4058)))))-COUNTBLANK(OFFSET(A$1,,,SUMPRODUCT(MAX(ROW(E$1:E4057)*(E2=E$1:E4057))))))</f>
        <v> </v>
      </c>
      <c r="K4058" s="25" t="str">
        <f>IF(OR(E4058="",E4058="!!!",F4058="NEW"),"",INDEX(J$1:J4057,SUMPRODUCT(MAX(ROW(E$1:E4057)*(E4058=E$1:E4057)))))</f>
        <v> </v>
      </c>
      <c r="L4058" s="26"/>
    </row>
    <row r="4059" spans="1:12">
      <c r="A4059" s="20" t="s">
        <v>2913</v>
      </c>
      <c r="E4059" s="21">
        <f>IF(D4059="?OLD","!!!","")</f>
        <v/>
      </c>
      <c r="F4059" s="22" t="str">
        <f>IF(OR(E4059="",E4059="!!!"),"",IF(NOT(ISNA(VLOOKUP(E4059,E$1:E4058,1,FALSE()))),"OLD",IF(AND(E4059&lt;&gt;"",E4059&lt;&gt;"!!!"),"NEW","")))</f>
        <v> </v>
      </c>
      <c r="G4059" s="23" t="str">
        <f>IF(OR(E4059="",E4059="!!!"),"",IF(OR(J4059=0,AND(J4059=1,K4059=1),AND(J4059=1,I4059="SBJ"),AND(J4059=1,I4059=0)),"?IN_FOCUS",IF(J4059&lt;=2,"?ACTIVATED",IF(J4059&lt;&gt;"","?FAMILIAR",IF(F4059="NEW",IF(ISNA(VLOOKUP(E4059,#REF!,1,FALSE())),"?TYPE_IDENTIFIABLE","?REFERENTIAL"),"_")))))</f>
        <v> </v>
      </c>
      <c r="H4059" s="24" t="str">
        <f>IF(J4059&lt;&gt;1,"",IF(I4059="SBJ","CB","?"))</f>
        <v> </v>
      </c>
      <c r="I4059" s="25" t="str">
        <f>IF(OR(E4059="",E4059="!!!",F4059="NEW"),"",INDEX(B4058:B$2,-1+SUMPRODUCT(MAX(ROW(E4058:E$2)*(E4059=E4058:E$2)))))</f>
        <v> </v>
      </c>
      <c r="J4059" s="25" t="str">
        <f>IF(OR(E4059="",E4059="!!!",F4059="NEW"),"",COUNTBLANK(OFFSET(A$1,,,SUMPRODUCT(MAX(ROW(E$2:E4059)*(E4059=E$2:E4059)))))-COUNTBLANK(OFFSET(A$1,,,SUMPRODUCT(MAX(ROW(E$1:E4058)*(E2=E$1:E4058))))))</f>
        <v> </v>
      </c>
      <c r="K4059" s="25" t="str">
        <f>IF(OR(E4059="",E4059="!!!",F4059="NEW"),"",INDEX(J$1:J4058,SUMPRODUCT(MAX(ROW(E$1:E4058)*(E4059=E$1:E4058)))))</f>
        <v> </v>
      </c>
      <c r="L4059" s="26"/>
    </row>
    <row r="4060" spans="1:12">
      <c r="A4060" s="20" t="s">
        <v>1145</v>
      </c>
      <c r="E4060" s="21">
        <f>IF(D4060="?OLD","!!!","")</f>
        <v/>
      </c>
      <c r="F4060" s="22" t="str">
        <f>IF(OR(E4060="",E4060="!!!"),"",IF(NOT(ISNA(VLOOKUP(E4060,E$1:E4059,1,FALSE()))),"OLD",IF(AND(E4060&lt;&gt;"",E4060&lt;&gt;"!!!"),"NEW","")))</f>
        <v> </v>
      </c>
      <c r="G4060" s="23" t="str">
        <f>IF(OR(E4060="",E4060="!!!"),"",IF(OR(J4060=0,AND(J4060=1,K4060=1),AND(J4060=1,I4060="SBJ"),AND(J4060=1,I4060=0)),"?IN_FOCUS",IF(J4060&lt;=2,"?ACTIVATED",IF(J4060&lt;&gt;"","?FAMILIAR",IF(F4060="NEW",IF(ISNA(VLOOKUP(E4060,#REF!,1,FALSE())),"?TYPE_IDENTIFIABLE","?REFERENTIAL"),"_")))))</f>
        <v> </v>
      </c>
      <c r="H4060" s="24" t="str">
        <f>IF(J4060&lt;&gt;1,"",IF(I4060="SBJ","CB","?"))</f>
        <v> </v>
      </c>
      <c r="I4060" s="25" t="str">
        <f>IF(OR(E4060="",E4060="!!!",F4060="NEW"),"",INDEX(B4059:B$2,-1+SUMPRODUCT(MAX(ROW(E4059:E$2)*(E4060=E4059:E$2)))))</f>
        <v> </v>
      </c>
      <c r="J4060" s="25" t="str">
        <f>IF(OR(E4060="",E4060="!!!",F4060="NEW"),"",COUNTBLANK(OFFSET(A$1,,,SUMPRODUCT(MAX(ROW(E$2:E4060)*(E4060=E$2:E4060)))))-COUNTBLANK(OFFSET(A$1,,,SUMPRODUCT(MAX(ROW(E$1:E4059)*(E2=E$1:E4059))))))</f>
        <v> </v>
      </c>
      <c r="K4060" s="25" t="str">
        <f>IF(OR(E4060="",E4060="!!!",F4060="NEW"),"",INDEX(J$1:J4059,SUMPRODUCT(MAX(ROW(E$1:E4059)*(E4060=E$1:E4059)))))</f>
        <v> </v>
      </c>
      <c r="L4060" s="26"/>
    </row>
    <row r="4061" spans="1:12">
      <c r="A4061" s="20"/>
    </row>
    <row r="4062" spans="1:12">
      <c r="A4062" s="20" t="s">
        <v>2914</v>
      </c>
    </row>
    <row r="4063" spans="1:12">
      <c r="A4063" s="20" t="s">
        <v>1547</v>
      </c>
      <c r="E4063" s="21">
        <f>IF(D4063="?OLD","!!!","")</f>
        <v/>
      </c>
      <c r="F4063" s="22" t="str">
        <f>IF(OR(E4063="",E4063="!!!"),"",IF(NOT(ISNA(VLOOKUP(E4063,E$1:E4062,1,FALSE()))),"OLD",IF(AND(E4063&lt;&gt;"",E4063&lt;&gt;"!!!"),"NEW","")))</f>
        <v> </v>
      </c>
      <c r="G4063" s="23" t="str">
        <f>IF(OR(E4063="",E4063="!!!"),"",IF(OR(J4063=0,AND(J4063=1,K4063=1),AND(J4063=1,I4063="SBJ"),AND(J4063=1,I4063=0)),"?IN_FOCUS",IF(J4063&lt;=2,"?ACTIVATED",IF(J4063&lt;&gt;"","?FAMILIAR",IF(F4063="NEW",IF(ISNA(VLOOKUP(E4063,#REF!,1,FALSE())),"?TYPE_IDENTIFIABLE","?REFERENTIAL"),"_")))))</f>
        <v> </v>
      </c>
      <c r="H4063" s="24" t="str">
        <f>IF(J4063&lt;&gt;1,"",IF(I4063="SBJ","CB","?"))</f>
        <v> </v>
      </c>
      <c r="I4063" s="25" t="str">
        <f>IF(OR(E4063="",E4063="!!!",F4063="NEW"),"",INDEX(B4062:B$2,-1+SUMPRODUCT(MAX(ROW(E4062:E$2)*(E4063=E4062:E$2)))))</f>
        <v> </v>
      </c>
      <c r="J4063" s="25" t="str">
        <f>IF(OR(E4063="",E4063="!!!",F4063="NEW"),"",COUNTBLANK(OFFSET(A$1,,,SUMPRODUCT(MAX(ROW(E$2:E4063)*(E4063=E$2:E4063)))))-COUNTBLANK(OFFSET(A$1,,,SUMPRODUCT(MAX(ROW(E$1:E4062)*(E2=E$1:E4062))))))</f>
        <v> </v>
      </c>
      <c r="K4063" s="25" t="str">
        <f>IF(OR(E4063="",E4063="!!!",F4063="NEW"),"",INDEX(J$1:J4062,SUMPRODUCT(MAX(ROW(E$1:E4062)*(E4063=E$1:E4062)))))</f>
        <v> </v>
      </c>
      <c r="L4063" s="26"/>
    </row>
    <row r="4064" spans="1:12">
      <c r="A4064" s="20" t="s">
        <v>1590</v>
      </c>
      <c r="E4064" s="21">
        <f>IF(D4064="?OLD","!!!","")</f>
        <v/>
      </c>
      <c r="F4064" s="22" t="str">
        <f>IF(OR(E4064="",E4064="!!!"),"",IF(NOT(ISNA(VLOOKUP(E4064,E$1:E4063,1,FALSE()))),"OLD",IF(AND(E4064&lt;&gt;"",E4064&lt;&gt;"!!!"),"NEW","")))</f>
        <v> </v>
      </c>
      <c r="G4064" s="23" t="str">
        <f>IF(OR(E4064="",E4064="!!!"),"",IF(OR(J4064=0,AND(J4064=1,K4064=1),AND(J4064=1,I4064="SBJ"),AND(J4064=1,I4064=0)),"?IN_FOCUS",IF(J4064&lt;=2,"?ACTIVATED",IF(J4064&lt;&gt;"","?FAMILIAR",IF(F4064="NEW",IF(ISNA(VLOOKUP(E4064,#REF!,1,FALSE())),"?TYPE_IDENTIFIABLE","?REFERENTIAL"),"_")))))</f>
        <v> </v>
      </c>
      <c r="H4064" s="24" t="str">
        <f>IF(J4064&lt;&gt;1,"",IF(I4064="SBJ","CB","?"))</f>
        <v> </v>
      </c>
      <c r="I4064" s="25" t="str">
        <f>IF(OR(E4064="",E4064="!!!",F4064="NEW"),"",INDEX(B4063:B$2,-1+SUMPRODUCT(MAX(ROW(E4063:E$2)*(E4064=E4063:E$2)))))</f>
        <v> </v>
      </c>
      <c r="J4064" s="25" t="str">
        <f>IF(OR(E4064="",E4064="!!!",F4064="NEW"),"",COUNTBLANK(OFFSET(A$1,,,SUMPRODUCT(MAX(ROW(E$2:E4064)*(E4064=E$2:E4064)))))-COUNTBLANK(OFFSET(A$1,,,SUMPRODUCT(MAX(ROW(E$1:E4063)*(E2=E$1:E4063))))))</f>
        <v> </v>
      </c>
      <c r="K4064" s="25" t="str">
        <f>IF(OR(E4064="",E4064="!!!",F4064="NEW"),"",INDEX(J$1:J4063,SUMPRODUCT(MAX(ROW(E$1:E4063)*(E4064=E$1:E4063)))))</f>
        <v> </v>
      </c>
      <c r="L4064" s="26"/>
    </row>
    <row r="4065" spans="1:12">
      <c r="A4065" s="20" t="s">
        <v>1242</v>
      </c>
      <c r="B4065" s="27" t="s">
        <v>1213</v>
      </c>
      <c r="C4065" s="27" t="s">
        <v>1126</v>
      </c>
      <c r="D4065" s="27" t="s">
        <v>1105</v>
      </c>
      <c r="E4065" s="21">
        <f>IF(D4065="?OLD","!!!","")</f>
        <v/>
      </c>
      <c r="F4065" s="22" t="str">
        <f>IF(OR(E4065="",E4065="!!!"),"",IF(NOT(ISNA(VLOOKUP(E4065,E$1:E4064,1,FALSE()))),"OLD",IF(AND(E4065&lt;&gt;"",E4065&lt;&gt;"!!!"),"NEW","")))</f>
        <v> </v>
      </c>
      <c r="G4065" s="23" t="str">
        <f>IF(OR(E4065="",E4065="!!!"),"",IF(OR(J4065=0,AND(J4065=1,K4065=1),AND(J4065=1,I4065="SBJ"),AND(J4065=1,I4065=0)),"?IN_FOCUS",IF(J4065&lt;=2,"?ACTIVATED",IF(J4065&lt;&gt;"","?FAMILIAR",IF(F4065="NEW",IF(ISNA(VLOOKUP(E4065,#REF!,1,FALSE())),"?TYPE_IDENTIFIABLE","?REFERENTIAL"),"_")))))</f>
        <v> </v>
      </c>
      <c r="H4065" s="24" t="str">
        <f>IF(J4065&lt;&gt;1,"",IF(I4065="SBJ","CB","?"))</f>
        <v> </v>
      </c>
      <c r="I4065" s="25" t="str">
        <f>IF(OR(E4065="",E4065="!!!",F4065="NEW"),"",INDEX(B4064:B$2,-1+SUMPRODUCT(MAX(ROW(E4064:E$2)*(E4065=E4064:E$2)))))</f>
        <v> </v>
      </c>
      <c r="J4065" s="25" t="str">
        <f>IF(OR(E4065="",E4065="!!!",F4065="NEW"),"",COUNTBLANK(OFFSET(A$1,,,SUMPRODUCT(MAX(ROW(E$2:E4065)*(E4065=E$2:E4065)))))-COUNTBLANK(OFFSET(A$1,,,SUMPRODUCT(MAX(ROW(E$1:E4064)*(E2=E$1:E4064))))))</f>
        <v> </v>
      </c>
      <c r="K4065" s="25" t="str">
        <f>IF(OR(E4065="",E4065="!!!",F4065="NEW"),"",INDEX(J$1:J4064,SUMPRODUCT(MAX(ROW(E$1:E4064)*(E4065=E$1:E4064)))))</f>
        <v> </v>
      </c>
      <c r="L4065" s="26"/>
    </row>
    <row r="4066" spans="1:12">
      <c r="A4066" s="20" t="s">
        <v>1757</v>
      </c>
      <c r="B4066" s="27" t="s">
        <v>1107</v>
      </c>
      <c r="C4066" s="27" t="s">
        <v>1758</v>
      </c>
      <c r="E4066" s="21">
        <f>IF(D4066="?OLD","!!!","")</f>
        <v/>
      </c>
      <c r="F4066" s="22" t="str">
        <f>IF(OR(E4066="",E4066="!!!"),"",IF(NOT(ISNA(VLOOKUP(E4066,E$1:E4065,1,FALSE()))),"OLD",IF(AND(E4066&lt;&gt;"",E4066&lt;&gt;"!!!"),"NEW","")))</f>
        <v> </v>
      </c>
      <c r="G4066" s="23" t="str">
        <f>IF(OR(E4066="",E4066="!!!"),"",IF(OR(J4066=0,AND(J4066=1,K4066=1),AND(J4066=1,I4066="SBJ"),AND(J4066=1,I4066=0)),"?IN_FOCUS",IF(J4066&lt;=2,"?ACTIVATED",IF(J4066&lt;&gt;"","?FAMILIAR",IF(F4066="NEW",IF(ISNA(VLOOKUP(E4066,#REF!,1,FALSE())),"?TYPE_IDENTIFIABLE","?REFERENTIAL"),"_")))))</f>
        <v> </v>
      </c>
      <c r="H4066" s="24" t="str">
        <f>IF(J4066&lt;&gt;1,"",IF(I4066="SBJ","CB","?"))</f>
        <v> </v>
      </c>
      <c r="I4066" s="25" t="str">
        <f>IF(OR(E4066="",E4066="!!!",F4066="NEW"),"",INDEX(B4065:B$2,-1+SUMPRODUCT(MAX(ROW(E4065:E$2)*(E4066=E4065:E$2)))))</f>
        <v> </v>
      </c>
      <c r="J4066" s="25" t="str">
        <f>IF(OR(E4066="",E4066="!!!",F4066="NEW"),"",COUNTBLANK(OFFSET(A$1,,,SUMPRODUCT(MAX(ROW(E$2:E4066)*(E4066=E$2:E4066)))))-COUNTBLANK(OFFSET(A$1,,,SUMPRODUCT(MAX(ROW(E$1:E4065)*(E2=E$1:E4065))))))</f>
        <v> </v>
      </c>
      <c r="K4066" s="25" t="str">
        <f>IF(OR(E4066="",E4066="!!!",F4066="NEW"),"",INDEX(J$1:J4065,SUMPRODUCT(MAX(ROW(E$1:E4065)*(E4066=E$1:E4065)))))</f>
        <v> </v>
      </c>
      <c r="L4066" s="26"/>
    </row>
    <row r="4067" spans="1:12">
      <c r="A4067" s="20" t="s">
        <v>1134</v>
      </c>
      <c r="E4067" s="21">
        <f>IF(D4067="?OLD","!!!","")</f>
        <v/>
      </c>
      <c r="F4067" s="22" t="str">
        <f>IF(OR(E4067="",E4067="!!!"),"",IF(NOT(ISNA(VLOOKUP(E4067,E$1:E4066,1,FALSE()))),"OLD",IF(AND(E4067&lt;&gt;"",E4067&lt;&gt;"!!!"),"NEW","")))</f>
        <v> </v>
      </c>
      <c r="G4067" s="23" t="str">
        <f>IF(OR(E4067="",E4067="!!!"),"",IF(OR(J4067=0,AND(J4067=1,K4067=1),AND(J4067=1,I4067="SBJ"),AND(J4067=1,I4067=0)),"?IN_FOCUS",IF(J4067&lt;=2,"?ACTIVATED",IF(J4067&lt;&gt;"","?FAMILIAR",IF(F4067="NEW",IF(ISNA(VLOOKUP(E4067,#REF!,1,FALSE())),"?TYPE_IDENTIFIABLE","?REFERENTIAL"),"_")))))</f>
        <v> </v>
      </c>
      <c r="H4067" s="24" t="str">
        <f>IF(J4067&lt;&gt;1,"",IF(I4067="SBJ","CB","?"))</f>
        <v> </v>
      </c>
      <c r="I4067" s="25" t="str">
        <f>IF(OR(E4067="",E4067="!!!",F4067="NEW"),"",INDEX(B4066:B$2,-1+SUMPRODUCT(MAX(ROW(E4066:E$2)*(E4067=E4066:E$2)))))</f>
        <v> </v>
      </c>
      <c r="J4067" s="25" t="str">
        <f>IF(OR(E4067="",E4067="!!!",F4067="NEW"),"",COUNTBLANK(OFFSET(A$1,,,SUMPRODUCT(MAX(ROW(E$2:E4067)*(E4067=E$2:E4067)))))-COUNTBLANK(OFFSET(A$1,,,SUMPRODUCT(MAX(ROW(E$1:E4066)*(E2=E$1:E4066))))))</f>
        <v> </v>
      </c>
      <c r="K4067" s="25" t="str">
        <f>IF(OR(E4067="",E4067="!!!",F4067="NEW"),"",INDEX(J$1:J4066,SUMPRODUCT(MAX(ROW(E$1:E4066)*(E4067=E$1:E4066)))))</f>
        <v> </v>
      </c>
      <c r="L4067" s="26"/>
    </row>
    <row r="4068" spans="1:12">
      <c r="A4068" s="20" t="s">
        <v>2862</v>
      </c>
      <c r="E4068" s="21">
        <f>IF(D4068="?OLD","!!!","")</f>
        <v/>
      </c>
      <c r="F4068" s="22" t="str">
        <f>IF(OR(E4068="",E4068="!!!"),"",IF(NOT(ISNA(VLOOKUP(E4068,E$1:E4067,1,FALSE()))),"OLD",IF(AND(E4068&lt;&gt;"",E4068&lt;&gt;"!!!"),"NEW","")))</f>
        <v> </v>
      </c>
      <c r="G4068" s="23" t="str">
        <f>IF(OR(E4068="",E4068="!!!"),"",IF(OR(J4068=0,AND(J4068=1,K4068=1),AND(J4068=1,I4068="SBJ"),AND(J4068=1,I4068=0)),"?IN_FOCUS",IF(J4068&lt;=2,"?ACTIVATED",IF(J4068&lt;&gt;"","?FAMILIAR",IF(F4068="NEW",IF(ISNA(VLOOKUP(E4068,#REF!,1,FALSE())),"?TYPE_IDENTIFIABLE","?REFERENTIAL"),"_")))))</f>
        <v> </v>
      </c>
      <c r="H4068" s="24" t="str">
        <f>IF(J4068&lt;&gt;1,"",IF(I4068="SBJ","CB","?"))</f>
        <v> </v>
      </c>
      <c r="I4068" s="25" t="str">
        <f>IF(OR(E4068="",E4068="!!!",F4068="NEW"),"",INDEX(B4067:B$2,-1+SUMPRODUCT(MAX(ROW(E4067:E$2)*(E4068=E4067:E$2)))))</f>
        <v> </v>
      </c>
      <c r="J4068" s="25" t="str">
        <f>IF(OR(E4068="",E4068="!!!",F4068="NEW"),"",COUNTBLANK(OFFSET(A$1,,,SUMPRODUCT(MAX(ROW(E$2:E4068)*(E4068=E$2:E4068)))))-COUNTBLANK(OFFSET(A$1,,,SUMPRODUCT(MAX(ROW(E$1:E4067)*(E2=E$1:E4067))))))</f>
        <v> </v>
      </c>
      <c r="K4068" s="25" t="str">
        <f>IF(OR(E4068="",E4068="!!!",F4068="NEW"),"",INDEX(J$1:J4067,SUMPRODUCT(MAX(ROW(E$1:E4067)*(E4068=E$1:E4067)))))</f>
        <v> </v>
      </c>
      <c r="L4068" s="26"/>
    </row>
    <row r="4069" spans="1:12">
      <c r="A4069" s="20" t="s">
        <v>2915</v>
      </c>
      <c r="E4069" s="21">
        <f>IF(D4069="?OLD","!!!","")</f>
        <v/>
      </c>
      <c r="F4069" s="22" t="str">
        <f>IF(OR(E4069="",E4069="!!!"),"",IF(NOT(ISNA(VLOOKUP(E4069,E$1:E4068,1,FALSE()))),"OLD",IF(AND(E4069&lt;&gt;"",E4069&lt;&gt;"!!!"),"NEW","")))</f>
        <v> </v>
      </c>
      <c r="G4069" s="23" t="str">
        <f>IF(OR(E4069="",E4069="!!!"),"",IF(OR(J4069=0,AND(J4069=1,K4069=1),AND(J4069=1,I4069="SBJ"),AND(J4069=1,I4069=0)),"?IN_FOCUS",IF(J4069&lt;=2,"?ACTIVATED",IF(J4069&lt;&gt;"","?FAMILIAR",IF(F4069="NEW",IF(ISNA(VLOOKUP(E4069,#REF!,1,FALSE())),"?TYPE_IDENTIFIABLE","?REFERENTIAL"),"_")))))</f>
        <v> </v>
      </c>
      <c r="H4069" s="24" t="str">
        <f>IF(J4069&lt;&gt;1,"",IF(I4069="SBJ","CB","?"))</f>
        <v> </v>
      </c>
      <c r="I4069" s="25" t="str">
        <f>IF(OR(E4069="",E4069="!!!",F4069="NEW"),"",INDEX(B4068:B$2,-1+SUMPRODUCT(MAX(ROW(E4068:E$2)*(E4069=E4068:E$2)))))</f>
        <v> </v>
      </c>
      <c r="J4069" s="25" t="str">
        <f>IF(OR(E4069="",E4069="!!!",F4069="NEW"),"",COUNTBLANK(OFFSET(A$1,,,SUMPRODUCT(MAX(ROW(E$2:E4069)*(E4069=E$2:E4069)))))-COUNTBLANK(OFFSET(A$1,,,SUMPRODUCT(MAX(ROW(E$1:E4068)*(E2=E$1:E4068))))))</f>
        <v> </v>
      </c>
      <c r="K4069" s="25" t="str">
        <f>IF(OR(E4069="",E4069="!!!",F4069="NEW"),"",INDEX(J$1:J4068,SUMPRODUCT(MAX(ROW(E$1:E4068)*(E4069=E$1:E4068)))))</f>
        <v> </v>
      </c>
      <c r="L4069" s="26"/>
    </row>
    <row r="4070" spans="1:12">
      <c r="A4070" s="20" t="s">
        <v>1123</v>
      </c>
      <c r="E4070" s="21">
        <f>IF(D4070="?OLD","!!!","")</f>
        <v/>
      </c>
      <c r="F4070" s="22" t="str">
        <f>IF(OR(E4070="",E4070="!!!"),"",IF(NOT(ISNA(VLOOKUP(E4070,E$1:E4069,1,FALSE()))),"OLD",IF(AND(E4070&lt;&gt;"",E4070&lt;&gt;"!!!"),"NEW","")))</f>
        <v> </v>
      </c>
      <c r="G4070" s="23" t="str">
        <f>IF(OR(E4070="",E4070="!!!"),"",IF(OR(J4070=0,AND(J4070=1,K4070=1),AND(J4070=1,I4070="SBJ"),AND(J4070=1,I4070=0)),"?IN_FOCUS",IF(J4070&lt;=2,"?ACTIVATED",IF(J4070&lt;&gt;"","?FAMILIAR",IF(F4070="NEW",IF(ISNA(VLOOKUP(E4070,#REF!,1,FALSE())),"?TYPE_IDENTIFIABLE","?REFERENTIAL"),"_")))))</f>
        <v> </v>
      </c>
      <c r="H4070" s="24" t="str">
        <f>IF(J4070&lt;&gt;1,"",IF(I4070="SBJ","CB","?"))</f>
        <v> </v>
      </c>
      <c r="I4070" s="25" t="str">
        <f>IF(OR(E4070="",E4070="!!!",F4070="NEW"),"",INDEX(B4069:B$2,-1+SUMPRODUCT(MAX(ROW(E4069:E$2)*(E4070=E4069:E$2)))))</f>
        <v> </v>
      </c>
      <c r="J4070" s="25" t="str">
        <f>IF(OR(E4070="",E4070="!!!",F4070="NEW"),"",COUNTBLANK(OFFSET(A$1,,,SUMPRODUCT(MAX(ROW(E$2:E4070)*(E4070=E$2:E4070)))))-COUNTBLANK(OFFSET(A$1,,,SUMPRODUCT(MAX(ROW(E$1:E4069)*(E2=E$1:E4069))))))</f>
        <v> </v>
      </c>
      <c r="K4070" s="25" t="str">
        <f>IF(OR(E4070="",E4070="!!!",F4070="NEW"),"",INDEX(J$1:J4069,SUMPRODUCT(MAX(ROW(E$1:E4069)*(E4070=E$1:E4069)))))</f>
        <v> </v>
      </c>
      <c r="L4070" s="26"/>
    </row>
    <row r="4071" spans="1:12">
      <c r="A4071" s="20" t="s">
        <v>2916</v>
      </c>
      <c r="E4071" s="21">
        <f>IF(D4071="?OLD","!!!","")</f>
        <v/>
      </c>
      <c r="F4071" s="22" t="str">
        <f>IF(OR(E4071="",E4071="!!!"),"",IF(NOT(ISNA(VLOOKUP(E4071,E$1:E4070,1,FALSE()))),"OLD",IF(AND(E4071&lt;&gt;"",E4071&lt;&gt;"!!!"),"NEW","")))</f>
        <v> </v>
      </c>
      <c r="G4071" s="23" t="str">
        <f>IF(OR(E4071="",E4071="!!!"),"",IF(OR(J4071=0,AND(J4071=1,K4071=1),AND(J4071=1,I4071="SBJ"),AND(J4071=1,I4071=0)),"?IN_FOCUS",IF(J4071&lt;=2,"?ACTIVATED",IF(J4071&lt;&gt;"","?FAMILIAR",IF(F4071="NEW",IF(ISNA(VLOOKUP(E4071,#REF!,1,FALSE())),"?TYPE_IDENTIFIABLE","?REFERENTIAL"),"_")))))</f>
        <v> </v>
      </c>
      <c r="H4071" s="24" t="str">
        <f>IF(J4071&lt;&gt;1,"",IF(I4071="SBJ","CB","?"))</f>
        <v> </v>
      </c>
      <c r="I4071" s="25" t="str">
        <f>IF(OR(E4071="",E4071="!!!",F4071="NEW"),"",INDEX(B4070:B$2,-1+SUMPRODUCT(MAX(ROW(E4070:E$2)*(E4071=E4070:E$2)))))</f>
        <v> </v>
      </c>
      <c r="J4071" s="25" t="str">
        <f>IF(OR(E4071="",E4071="!!!",F4071="NEW"),"",COUNTBLANK(OFFSET(A$1,,,SUMPRODUCT(MAX(ROW(E$2:E4071)*(E4071=E$2:E4071)))))-COUNTBLANK(OFFSET(A$1,,,SUMPRODUCT(MAX(ROW(E$1:E4070)*(E2=E$1:E4070))))))</f>
        <v> </v>
      </c>
      <c r="K4071" s="25" t="str">
        <f>IF(OR(E4071="",E4071="!!!",F4071="NEW"),"",INDEX(J$1:J4070,SUMPRODUCT(MAX(ROW(E$1:E4070)*(E4071=E$1:E4070)))))</f>
        <v> </v>
      </c>
      <c r="L4071" s="26"/>
    </row>
    <row r="4072" spans="1:12">
      <c r="A4072" s="20" t="s">
        <v>1230</v>
      </c>
      <c r="E4072" s="21">
        <f>IF(D4072="?OLD","!!!","")</f>
        <v/>
      </c>
      <c r="F4072" s="22" t="str">
        <f>IF(OR(E4072="",E4072="!!!"),"",IF(NOT(ISNA(VLOOKUP(E4072,E$1:E4071,1,FALSE()))),"OLD",IF(AND(E4072&lt;&gt;"",E4072&lt;&gt;"!!!"),"NEW","")))</f>
        <v> </v>
      </c>
      <c r="G4072" s="23" t="str">
        <f>IF(OR(E4072="",E4072="!!!"),"",IF(OR(J4072=0,AND(J4072=1,K4072=1),AND(J4072=1,I4072="SBJ"),AND(J4072=1,I4072=0)),"?IN_FOCUS",IF(J4072&lt;=2,"?ACTIVATED",IF(J4072&lt;&gt;"","?FAMILIAR",IF(F4072="NEW",IF(ISNA(VLOOKUP(E4072,#REF!,1,FALSE())),"?TYPE_IDENTIFIABLE","?REFERENTIAL"),"_")))))</f>
        <v> </v>
      </c>
      <c r="H4072" s="24" t="str">
        <f>IF(J4072&lt;&gt;1,"",IF(I4072="SBJ","CB","?"))</f>
        <v> </v>
      </c>
      <c r="I4072" s="25" t="str">
        <f>IF(OR(E4072="",E4072="!!!",F4072="NEW"),"",INDEX(B4071:B$2,-1+SUMPRODUCT(MAX(ROW(E4071:E$2)*(E4072=E4071:E$2)))))</f>
        <v> </v>
      </c>
      <c r="J4072" s="25" t="str">
        <f>IF(OR(E4072="",E4072="!!!",F4072="NEW"),"",COUNTBLANK(OFFSET(A$1,,,SUMPRODUCT(MAX(ROW(E$2:E4072)*(E4072=E$2:E4072)))))-COUNTBLANK(OFFSET(A$1,,,SUMPRODUCT(MAX(ROW(E$1:E4071)*(E2=E$1:E4071))))))</f>
        <v> </v>
      </c>
      <c r="K4072" s="25" t="str">
        <f>IF(OR(E4072="",E4072="!!!",F4072="NEW"),"",INDEX(J$1:J4071,SUMPRODUCT(MAX(ROW(E$1:E4071)*(E4072=E$1:E4071)))))</f>
        <v> </v>
      </c>
      <c r="L4072" s="26"/>
    </row>
    <row r="4073" spans="1:12">
      <c r="A4073" s="20" t="s">
        <v>1217</v>
      </c>
      <c r="B4073" s="27" t="s">
        <v>1259</v>
      </c>
      <c r="C4073" s="27" t="s">
        <v>1126</v>
      </c>
      <c r="D4073" s="27" t="s">
        <v>1105</v>
      </c>
      <c r="E4073" s="21">
        <f>IF(D4073="?OLD","!!!","")</f>
        <v/>
      </c>
      <c r="F4073" s="22" t="str">
        <f>IF(OR(E4073="",E4073="!!!"),"",IF(NOT(ISNA(VLOOKUP(E4073,E$1:E4072,1,FALSE()))),"OLD",IF(AND(E4073&lt;&gt;"",E4073&lt;&gt;"!!!"),"NEW","")))</f>
        <v> </v>
      </c>
      <c r="G4073" s="23" t="str">
        <f>IF(OR(E4073="",E4073="!!!"),"",IF(OR(J4073=0,AND(J4073=1,K4073=1),AND(J4073=1,I4073="SBJ"),AND(J4073=1,I4073=0)),"?IN_FOCUS",IF(J4073&lt;=2,"?ACTIVATED",IF(J4073&lt;&gt;"","?FAMILIAR",IF(F4073="NEW",IF(ISNA(VLOOKUP(E4073,#REF!,1,FALSE())),"?TYPE_IDENTIFIABLE","?REFERENTIAL"),"_")))))</f>
        <v> </v>
      </c>
      <c r="H4073" s="24" t="str">
        <f>IF(J4073&lt;&gt;1,"",IF(I4073="SBJ","CB","?"))</f>
        <v> </v>
      </c>
      <c r="I4073" s="25" t="str">
        <f>IF(OR(E4073="",E4073="!!!",F4073="NEW"),"",INDEX(B4072:B$2,-1+SUMPRODUCT(MAX(ROW(E4072:E$2)*(E4073=E4072:E$2)))))</f>
        <v> </v>
      </c>
      <c r="J4073" s="25" t="str">
        <f>IF(OR(E4073="",E4073="!!!",F4073="NEW"),"",COUNTBLANK(OFFSET(A$1,,,SUMPRODUCT(MAX(ROW(E$2:E4073)*(E4073=E$2:E4073)))))-COUNTBLANK(OFFSET(A$1,,,SUMPRODUCT(MAX(ROW(E$1:E4072)*(E2=E$1:E4072))))))</f>
        <v> </v>
      </c>
      <c r="K4073" s="25" t="str">
        <f>IF(OR(E4073="",E4073="!!!",F4073="NEW"),"",INDEX(J$1:J4072,SUMPRODUCT(MAX(ROW(E$1:E4072)*(E4073=E$1:E4072)))))</f>
        <v> </v>
      </c>
      <c r="L4073" s="26"/>
    </row>
    <row r="4074" spans="1:12">
      <c r="A4074" s="20" t="s">
        <v>2917</v>
      </c>
      <c r="E4074" s="21">
        <f>IF(D4074="?OLD","!!!","")</f>
        <v/>
      </c>
      <c r="F4074" s="22" t="str">
        <f>IF(OR(E4074="",E4074="!!!"),"",IF(NOT(ISNA(VLOOKUP(E4074,E$1:E4073,1,FALSE()))),"OLD",IF(AND(E4074&lt;&gt;"",E4074&lt;&gt;"!!!"),"NEW","")))</f>
        <v> </v>
      </c>
      <c r="G4074" s="23" t="str">
        <f>IF(OR(E4074="",E4074="!!!"),"",IF(OR(J4074=0,AND(J4074=1,K4074=1),AND(J4074=1,I4074="SBJ"),AND(J4074=1,I4074=0)),"?IN_FOCUS",IF(J4074&lt;=2,"?ACTIVATED",IF(J4074&lt;&gt;"","?FAMILIAR",IF(F4074="NEW",IF(ISNA(VLOOKUP(E4074,#REF!,1,FALSE())),"?TYPE_IDENTIFIABLE","?REFERENTIAL"),"_")))))</f>
        <v> </v>
      </c>
      <c r="H4074" s="24" t="str">
        <f>IF(J4074&lt;&gt;1,"",IF(I4074="SBJ","CB","?"))</f>
        <v> </v>
      </c>
      <c r="I4074" s="25" t="str">
        <f>IF(OR(E4074="",E4074="!!!",F4074="NEW"),"",INDEX(B4073:B$2,-1+SUMPRODUCT(MAX(ROW(E4073:E$2)*(E4074=E4073:E$2)))))</f>
        <v> </v>
      </c>
      <c r="J4074" s="25" t="str">
        <f>IF(OR(E4074="",E4074="!!!",F4074="NEW"),"",COUNTBLANK(OFFSET(A$1,,,SUMPRODUCT(MAX(ROW(E$2:E4074)*(E4074=E$2:E4074)))))-COUNTBLANK(OFFSET(A$1,,,SUMPRODUCT(MAX(ROW(E$1:E4073)*(E2=E$1:E4073))))))</f>
        <v> </v>
      </c>
      <c r="K4074" s="25" t="str">
        <f>IF(OR(E4074="",E4074="!!!",F4074="NEW"),"",INDEX(J$1:J4073,SUMPRODUCT(MAX(ROW(E$1:E4073)*(E4074=E$1:E4073)))))</f>
        <v> </v>
      </c>
      <c r="L4074" s="26"/>
    </row>
    <row r="4075" spans="1:12">
      <c r="A4075" s="20" t="s">
        <v>1231</v>
      </c>
      <c r="E4075" s="21">
        <f>IF(D4075="?OLD","!!!","")</f>
        <v/>
      </c>
      <c r="F4075" s="22" t="str">
        <f>IF(OR(E4075="",E4075="!!!"),"",IF(NOT(ISNA(VLOOKUP(E4075,E$1:E4074,1,FALSE()))),"OLD",IF(AND(E4075&lt;&gt;"",E4075&lt;&gt;"!!!"),"NEW","")))</f>
        <v> </v>
      </c>
      <c r="G4075" s="23" t="str">
        <f>IF(OR(E4075="",E4075="!!!"),"",IF(OR(J4075=0,AND(J4075=1,K4075=1),AND(J4075=1,I4075="SBJ"),AND(J4075=1,I4075=0)),"?IN_FOCUS",IF(J4075&lt;=2,"?ACTIVATED",IF(J4075&lt;&gt;"","?FAMILIAR",IF(F4075="NEW",IF(ISNA(VLOOKUP(E4075,#REF!,1,FALSE())),"?TYPE_IDENTIFIABLE","?REFERENTIAL"),"_")))))</f>
        <v> </v>
      </c>
      <c r="H4075" s="24" t="str">
        <f>IF(J4075&lt;&gt;1,"",IF(I4075="SBJ","CB","?"))</f>
        <v> </v>
      </c>
      <c r="I4075" s="25" t="str">
        <f>IF(OR(E4075="",E4075="!!!",F4075="NEW"),"",INDEX(B4074:B$2,-1+SUMPRODUCT(MAX(ROW(E4074:E$2)*(E4075=E4074:E$2)))))</f>
        <v> </v>
      </c>
      <c r="J4075" s="25" t="str">
        <f>IF(OR(E4075="",E4075="!!!",F4075="NEW"),"",COUNTBLANK(OFFSET(A$1,,,SUMPRODUCT(MAX(ROW(E$2:E4075)*(E4075=E$2:E4075)))))-COUNTBLANK(OFFSET(A$1,,,SUMPRODUCT(MAX(ROW(E$1:E4074)*(E2=E$1:E4074))))))</f>
        <v> </v>
      </c>
      <c r="K4075" s="25" t="str">
        <f>IF(OR(E4075="",E4075="!!!",F4075="NEW"),"",INDEX(J$1:J4074,SUMPRODUCT(MAX(ROW(E$1:E4074)*(E4075=E$1:E4074)))))</f>
        <v> </v>
      </c>
      <c r="L4075" s="26"/>
    </row>
    <row r="4076" spans="1:12">
      <c r="A4076" s="20" t="s">
        <v>2918</v>
      </c>
      <c r="E4076" s="21">
        <f>IF(D4076="?OLD","!!!","")</f>
        <v/>
      </c>
      <c r="F4076" s="22" t="str">
        <f>IF(OR(E4076="",E4076="!!!"),"",IF(NOT(ISNA(VLOOKUP(E4076,E$1:E4075,1,FALSE()))),"OLD",IF(AND(E4076&lt;&gt;"",E4076&lt;&gt;"!!!"),"NEW","")))</f>
        <v> </v>
      </c>
      <c r="G4076" s="23" t="str">
        <f>IF(OR(E4076="",E4076="!!!"),"",IF(OR(J4076=0,AND(J4076=1,K4076=1),AND(J4076=1,I4076="SBJ"),AND(J4076=1,I4076=0)),"?IN_FOCUS",IF(J4076&lt;=2,"?ACTIVATED",IF(J4076&lt;&gt;"","?FAMILIAR",IF(F4076="NEW",IF(ISNA(VLOOKUP(E4076,#REF!,1,FALSE())),"?TYPE_IDENTIFIABLE","?REFERENTIAL"),"_")))))</f>
        <v> </v>
      </c>
      <c r="H4076" s="24" t="str">
        <f>IF(J4076&lt;&gt;1,"",IF(I4076="SBJ","CB","?"))</f>
        <v> </v>
      </c>
      <c r="I4076" s="25" t="str">
        <f>IF(OR(E4076="",E4076="!!!",F4076="NEW"),"",INDEX(B4075:B$2,-1+SUMPRODUCT(MAX(ROW(E4075:E$2)*(E4076=E4075:E$2)))))</f>
        <v> </v>
      </c>
      <c r="J4076" s="25" t="str">
        <f>IF(OR(E4076="",E4076="!!!",F4076="NEW"),"",COUNTBLANK(OFFSET(A$1,,,SUMPRODUCT(MAX(ROW(E$2:E4076)*(E4076=E$2:E4076)))))-COUNTBLANK(OFFSET(A$1,,,SUMPRODUCT(MAX(ROW(E$1:E4075)*(E2=E$1:E4075))))))</f>
        <v> </v>
      </c>
      <c r="K4076" s="25" t="str">
        <f>IF(OR(E4076="",E4076="!!!",F4076="NEW"),"",INDEX(J$1:J4075,SUMPRODUCT(MAX(ROW(E$1:E4075)*(E4076=E$1:E4075)))))</f>
        <v> </v>
      </c>
      <c r="L4076" s="26"/>
    </row>
    <row r="4077" spans="1:12">
      <c r="A4077" s="20" t="s">
        <v>1145</v>
      </c>
      <c r="E4077" s="21">
        <f>IF(D4077="?OLD","!!!","")</f>
        <v/>
      </c>
      <c r="F4077" s="22" t="str">
        <f>IF(OR(E4077="",E4077="!!!"),"",IF(NOT(ISNA(VLOOKUP(E4077,E$1:E4076,1,FALSE()))),"OLD",IF(AND(E4077&lt;&gt;"",E4077&lt;&gt;"!!!"),"NEW","")))</f>
        <v> </v>
      </c>
      <c r="G4077" s="23" t="str">
        <f>IF(OR(E4077="",E4077="!!!"),"",IF(OR(J4077=0,AND(J4077=1,K4077=1),AND(J4077=1,I4077="SBJ"),AND(J4077=1,I4077=0)),"?IN_FOCUS",IF(J4077&lt;=2,"?ACTIVATED",IF(J4077&lt;&gt;"","?FAMILIAR",IF(F4077="NEW",IF(ISNA(VLOOKUP(E4077,#REF!,1,FALSE())),"?TYPE_IDENTIFIABLE","?REFERENTIAL"),"_")))))</f>
        <v> </v>
      </c>
      <c r="H4077" s="24" t="str">
        <f>IF(J4077&lt;&gt;1,"",IF(I4077="SBJ","CB","?"))</f>
        <v> </v>
      </c>
      <c r="I4077" s="25" t="str">
        <f>IF(OR(E4077="",E4077="!!!",F4077="NEW"),"",INDEX(B4076:B$2,-1+SUMPRODUCT(MAX(ROW(E4076:E$2)*(E4077=E4076:E$2)))))</f>
        <v> </v>
      </c>
      <c r="J4077" s="25" t="str">
        <f>IF(OR(E4077="",E4077="!!!",F4077="NEW"),"",COUNTBLANK(OFFSET(A$1,,,SUMPRODUCT(MAX(ROW(E$2:E4077)*(E4077=E$2:E4077)))))-COUNTBLANK(OFFSET(A$1,,,SUMPRODUCT(MAX(ROW(E$1:E4076)*(E2=E$1:E4076))))))</f>
        <v> </v>
      </c>
      <c r="K4077" s="25" t="str">
        <f>IF(OR(E4077="",E4077="!!!",F4077="NEW"),"",INDEX(J$1:J4076,SUMPRODUCT(MAX(ROW(E$1:E4076)*(E4077=E$1:E4076)))))</f>
        <v> </v>
      </c>
      <c r="L4077" s="26"/>
    </row>
    <row r="4078" spans="1:12">
      <c r="A4078" s="20"/>
    </row>
    <row r="4079" spans="1:12">
      <c r="A4079" s="20" t="s">
        <v>2919</v>
      </c>
    </row>
    <row r="4080" spans="1:12">
      <c r="A4080" s="20" t="s">
        <v>2920</v>
      </c>
      <c r="B4080" s="27" t="s">
        <v>1149</v>
      </c>
      <c r="E4080" s="21">
        <f>IF(D4080="?OLD","!!!","")</f>
        <v/>
      </c>
      <c r="F4080" s="22" t="str">
        <f>IF(OR(E4080="",E4080="!!!"),"",IF(NOT(ISNA(VLOOKUP(E4080,E$1:E4079,1,FALSE()))),"OLD",IF(AND(E4080&lt;&gt;"",E4080&lt;&gt;"!!!"),"NEW","")))</f>
        <v> </v>
      </c>
      <c r="G4080" s="23" t="str">
        <f>IF(OR(E4080="",E4080="!!!"),"",IF(OR(J4080=0,AND(J4080=1,K4080=1),AND(J4080=1,I4080="SBJ"),AND(J4080=1,I4080=0)),"?IN_FOCUS",IF(J4080&lt;=2,"?ACTIVATED",IF(J4080&lt;&gt;"","?FAMILIAR",IF(F4080="NEW",IF(ISNA(VLOOKUP(E4080,#REF!,1,FALSE())),"?TYPE_IDENTIFIABLE","?REFERENTIAL"),"_")))))</f>
        <v> </v>
      </c>
      <c r="H4080" s="24" t="str">
        <f>IF(J4080&lt;&gt;1,"",IF(I4080="SBJ","CB","?"))</f>
        <v> </v>
      </c>
      <c r="I4080" s="25" t="str">
        <f>IF(OR(E4080="",E4080="!!!",F4080="NEW"),"",INDEX(B4079:B$2,-1+SUMPRODUCT(MAX(ROW(E4079:E$2)*(E4080=E4079:E$2)))))</f>
        <v> </v>
      </c>
      <c r="J4080" s="25" t="str">
        <f>IF(OR(E4080="",E4080="!!!",F4080="NEW"),"",COUNTBLANK(OFFSET(A$1,,,SUMPRODUCT(MAX(ROW(E$2:E4080)*(E4080=E$2:E4080)))))-COUNTBLANK(OFFSET(A$1,,,SUMPRODUCT(MAX(ROW(E$1:E4079)*(E2=E$1:E4079))))))</f>
        <v> </v>
      </c>
      <c r="K4080" s="25" t="str">
        <f>IF(OR(E4080="",E4080="!!!",F4080="NEW"),"",INDEX(J$1:J4079,SUMPRODUCT(MAX(ROW(E$1:E4079)*(E4080=E$1:E4079)))))</f>
        <v> </v>
      </c>
      <c r="L4080" s="26"/>
    </row>
    <row r="4081" spans="1:12">
      <c r="A4081" s="20" t="s">
        <v>1249</v>
      </c>
      <c r="E4081" s="21">
        <f>IF(D4081="?OLD","!!!","")</f>
        <v/>
      </c>
      <c r="F4081" s="22" t="str">
        <f>IF(OR(E4081="",E4081="!!!"),"",IF(NOT(ISNA(VLOOKUP(E4081,E$1:E4080,1,FALSE()))),"OLD",IF(AND(E4081&lt;&gt;"",E4081&lt;&gt;"!!!"),"NEW","")))</f>
        <v> </v>
      </c>
      <c r="G4081" s="23" t="str">
        <f>IF(OR(E4081="",E4081="!!!"),"",IF(OR(J4081=0,AND(J4081=1,K4081=1),AND(J4081=1,I4081="SBJ"),AND(J4081=1,I4081=0)),"?IN_FOCUS",IF(J4081&lt;=2,"?ACTIVATED",IF(J4081&lt;&gt;"","?FAMILIAR",IF(F4081="NEW",IF(ISNA(VLOOKUP(E4081,#REF!,1,FALSE())),"?TYPE_IDENTIFIABLE","?REFERENTIAL"),"_")))))</f>
        <v> </v>
      </c>
      <c r="H4081" s="24" t="str">
        <f>IF(J4081&lt;&gt;1,"",IF(I4081="SBJ","CB","?"))</f>
        <v> </v>
      </c>
      <c r="I4081" s="25" t="str">
        <f>IF(OR(E4081="",E4081="!!!",F4081="NEW"),"",INDEX(B4080:B$2,-1+SUMPRODUCT(MAX(ROW(E4080:E$2)*(E4081=E4080:E$2)))))</f>
        <v> </v>
      </c>
      <c r="J4081" s="25" t="str">
        <f>IF(OR(E4081="",E4081="!!!",F4081="NEW"),"",COUNTBLANK(OFFSET(A$1,,,SUMPRODUCT(MAX(ROW(E$2:E4081)*(E4081=E$2:E4081)))))-COUNTBLANK(OFFSET(A$1,,,SUMPRODUCT(MAX(ROW(E$1:E4080)*(E2=E$1:E4080))))))</f>
        <v> </v>
      </c>
      <c r="K4081" s="25" t="str">
        <f>IF(OR(E4081="",E4081="!!!",F4081="NEW"),"",INDEX(J$1:J4080,SUMPRODUCT(MAX(ROW(E$1:E4080)*(E4081=E$1:E4080)))))</f>
        <v> </v>
      </c>
      <c r="L4081" s="26"/>
    </row>
    <row r="4082" spans="1:12">
      <c r="A4082" s="20" t="s">
        <v>1415</v>
      </c>
      <c r="E4082" s="21">
        <f>IF(D4082="?OLD","!!!","")</f>
        <v/>
      </c>
      <c r="F4082" s="22" t="str">
        <f>IF(OR(E4082="",E4082="!!!"),"",IF(NOT(ISNA(VLOOKUP(E4082,E$1:E4081,1,FALSE()))),"OLD",IF(AND(E4082&lt;&gt;"",E4082&lt;&gt;"!!!"),"NEW","")))</f>
        <v> </v>
      </c>
      <c r="G4082" s="23" t="str">
        <f>IF(OR(E4082="",E4082="!!!"),"",IF(OR(J4082=0,AND(J4082=1,K4082=1),AND(J4082=1,I4082="SBJ"),AND(J4082=1,I4082=0)),"?IN_FOCUS",IF(J4082&lt;=2,"?ACTIVATED",IF(J4082&lt;&gt;"","?FAMILIAR",IF(F4082="NEW",IF(ISNA(VLOOKUP(E4082,#REF!,1,FALSE())),"?TYPE_IDENTIFIABLE","?REFERENTIAL"),"_")))))</f>
        <v> </v>
      </c>
      <c r="H4082" s="24" t="str">
        <f>IF(J4082&lt;&gt;1,"",IF(I4082="SBJ","CB","?"))</f>
        <v> </v>
      </c>
      <c r="I4082" s="25" t="str">
        <f>IF(OR(E4082="",E4082="!!!",F4082="NEW"),"",INDEX(B4081:B$2,-1+SUMPRODUCT(MAX(ROW(E4081:E$2)*(E4082=E4081:E$2)))))</f>
        <v> </v>
      </c>
      <c r="J4082" s="25" t="str">
        <f>IF(OR(E4082="",E4082="!!!",F4082="NEW"),"",COUNTBLANK(OFFSET(A$1,,,SUMPRODUCT(MAX(ROW(E$2:E4082)*(E4082=E$2:E4082)))))-COUNTBLANK(OFFSET(A$1,,,SUMPRODUCT(MAX(ROW(E$1:E4081)*(E2=E$1:E4081))))))</f>
        <v> </v>
      </c>
      <c r="K4082" s="25" t="str">
        <f>IF(OR(E4082="",E4082="!!!",F4082="NEW"),"",INDEX(J$1:J4081,SUMPRODUCT(MAX(ROW(E$1:E4081)*(E4082=E$1:E4081)))))</f>
        <v> </v>
      </c>
      <c r="L4082" s="26"/>
    </row>
    <row r="4083" spans="1:12">
      <c r="A4083" s="20" t="s">
        <v>2921</v>
      </c>
      <c r="E4083" s="21">
        <f>IF(D4083="?OLD","!!!","")</f>
        <v/>
      </c>
      <c r="F4083" s="22" t="str">
        <f>IF(OR(E4083="",E4083="!!!"),"",IF(NOT(ISNA(VLOOKUP(E4083,E$1:E4082,1,FALSE()))),"OLD",IF(AND(E4083&lt;&gt;"",E4083&lt;&gt;"!!!"),"NEW","")))</f>
        <v> </v>
      </c>
      <c r="G4083" s="23" t="str">
        <f>IF(OR(E4083="",E4083="!!!"),"",IF(OR(J4083=0,AND(J4083=1,K4083=1),AND(J4083=1,I4083="SBJ"),AND(J4083=1,I4083=0)),"?IN_FOCUS",IF(J4083&lt;=2,"?ACTIVATED",IF(J4083&lt;&gt;"","?FAMILIAR",IF(F4083="NEW",IF(ISNA(VLOOKUP(E4083,#REF!,1,FALSE())),"?TYPE_IDENTIFIABLE","?REFERENTIAL"),"_")))))</f>
        <v> </v>
      </c>
      <c r="H4083" s="24" t="str">
        <f>IF(J4083&lt;&gt;1,"",IF(I4083="SBJ","CB","?"))</f>
        <v> </v>
      </c>
      <c r="I4083" s="25" t="str">
        <f>IF(OR(E4083="",E4083="!!!",F4083="NEW"),"",INDEX(B4082:B$2,-1+SUMPRODUCT(MAX(ROW(E4082:E$2)*(E4083=E4082:E$2)))))</f>
        <v> </v>
      </c>
      <c r="J4083" s="25" t="str">
        <f>IF(OR(E4083="",E4083="!!!",F4083="NEW"),"",COUNTBLANK(OFFSET(A$1,,,SUMPRODUCT(MAX(ROW(E$2:E4083)*(E4083=E$2:E4083)))))-COUNTBLANK(OFFSET(A$1,,,SUMPRODUCT(MAX(ROW(E$1:E4082)*(E2=E$1:E4082))))))</f>
        <v> </v>
      </c>
      <c r="K4083" s="25" t="str">
        <f>IF(OR(E4083="",E4083="!!!",F4083="NEW"),"",INDEX(J$1:J4082,SUMPRODUCT(MAX(ROW(E$1:E4082)*(E4083=E$1:E4082)))))</f>
        <v> </v>
      </c>
      <c r="L4083" s="26"/>
    </row>
    <row r="4084" spans="1:12">
      <c r="A4084" s="20" t="s">
        <v>1134</v>
      </c>
      <c r="E4084" s="21">
        <f>IF(D4084="?OLD","!!!","")</f>
        <v/>
      </c>
      <c r="F4084" s="22" t="str">
        <f>IF(OR(E4084="",E4084="!!!"),"",IF(NOT(ISNA(VLOOKUP(E4084,E$1:E4083,1,FALSE()))),"OLD",IF(AND(E4084&lt;&gt;"",E4084&lt;&gt;"!!!"),"NEW","")))</f>
        <v> </v>
      </c>
      <c r="G4084" s="23" t="str">
        <f>IF(OR(E4084="",E4084="!!!"),"",IF(OR(J4084=0,AND(J4084=1,K4084=1),AND(J4084=1,I4084="SBJ"),AND(J4084=1,I4084=0)),"?IN_FOCUS",IF(J4084&lt;=2,"?ACTIVATED",IF(J4084&lt;&gt;"","?FAMILIAR",IF(F4084="NEW",IF(ISNA(VLOOKUP(E4084,#REF!,1,FALSE())),"?TYPE_IDENTIFIABLE","?REFERENTIAL"),"_")))))</f>
        <v> </v>
      </c>
      <c r="H4084" s="24" t="str">
        <f>IF(J4084&lt;&gt;1,"",IF(I4084="SBJ","CB","?"))</f>
        <v> </v>
      </c>
      <c r="I4084" s="25" t="str">
        <f>IF(OR(E4084="",E4084="!!!",F4084="NEW"),"",INDEX(B4083:B$2,-1+SUMPRODUCT(MAX(ROW(E4083:E$2)*(E4084=E4083:E$2)))))</f>
        <v> </v>
      </c>
      <c r="J4084" s="25" t="str">
        <f>IF(OR(E4084="",E4084="!!!",F4084="NEW"),"",COUNTBLANK(OFFSET(A$1,,,SUMPRODUCT(MAX(ROW(E$2:E4084)*(E4084=E$2:E4084)))))-COUNTBLANK(OFFSET(A$1,,,SUMPRODUCT(MAX(ROW(E$1:E4083)*(E2=E$1:E4083))))))</f>
        <v> </v>
      </c>
      <c r="K4084" s="25" t="str">
        <f>IF(OR(E4084="",E4084="!!!",F4084="NEW"),"",INDEX(J$1:J4083,SUMPRODUCT(MAX(ROW(E$1:E4083)*(E4084=E$1:E4083)))))</f>
        <v> </v>
      </c>
      <c r="L4084" s="26"/>
    </row>
    <row r="4085" spans="1:12">
      <c r="A4085" s="20" t="s">
        <v>1120</v>
      </c>
      <c r="E4085" s="21">
        <f>IF(D4085="?OLD","!!!","")</f>
        <v/>
      </c>
      <c r="F4085" s="22" t="str">
        <f>IF(OR(E4085="",E4085="!!!"),"",IF(NOT(ISNA(VLOOKUP(E4085,E$1:E4084,1,FALSE()))),"OLD",IF(AND(E4085&lt;&gt;"",E4085&lt;&gt;"!!!"),"NEW","")))</f>
        <v> </v>
      </c>
      <c r="G4085" s="23" t="str">
        <f>IF(OR(E4085="",E4085="!!!"),"",IF(OR(J4085=0,AND(J4085=1,K4085=1),AND(J4085=1,I4085="SBJ"),AND(J4085=1,I4085=0)),"?IN_FOCUS",IF(J4085&lt;=2,"?ACTIVATED",IF(J4085&lt;&gt;"","?FAMILIAR",IF(F4085="NEW",IF(ISNA(VLOOKUP(E4085,#REF!,1,FALSE())),"?TYPE_IDENTIFIABLE","?REFERENTIAL"),"_")))))</f>
        <v> </v>
      </c>
      <c r="H4085" s="24" t="str">
        <f>IF(J4085&lt;&gt;1,"",IF(I4085="SBJ","CB","?"))</f>
        <v> </v>
      </c>
      <c r="I4085" s="25" t="str">
        <f>IF(OR(E4085="",E4085="!!!",F4085="NEW"),"",INDEX(B4084:B$2,-1+SUMPRODUCT(MAX(ROW(E4084:E$2)*(E4085=E4084:E$2)))))</f>
        <v> </v>
      </c>
      <c r="J4085" s="25" t="str">
        <f>IF(OR(E4085="",E4085="!!!",F4085="NEW"),"",COUNTBLANK(OFFSET(A$1,,,SUMPRODUCT(MAX(ROW(E$2:E4085)*(E4085=E$2:E4085)))))-COUNTBLANK(OFFSET(A$1,,,SUMPRODUCT(MAX(ROW(E$1:E4084)*(E2=E$1:E4084))))))</f>
        <v> </v>
      </c>
      <c r="K4085" s="25" t="str">
        <f>IF(OR(E4085="",E4085="!!!",F4085="NEW"),"",INDEX(J$1:J4084,SUMPRODUCT(MAX(ROW(E$1:E4084)*(E4085=E$1:E4084)))))</f>
        <v> </v>
      </c>
      <c r="L4085" s="26"/>
    </row>
    <row r="4086" spans="1:12">
      <c r="A4086" s="20" t="s">
        <v>2922</v>
      </c>
      <c r="E4086" s="21">
        <f>IF(D4086="?OLD","!!!","")</f>
        <v/>
      </c>
      <c r="F4086" s="22" t="str">
        <f>IF(OR(E4086="",E4086="!!!"),"",IF(NOT(ISNA(VLOOKUP(E4086,E$1:E4085,1,FALSE()))),"OLD",IF(AND(E4086&lt;&gt;"",E4086&lt;&gt;"!!!"),"NEW","")))</f>
        <v> </v>
      </c>
      <c r="G4086" s="23" t="str">
        <f>IF(OR(E4086="",E4086="!!!"),"",IF(OR(J4086=0,AND(J4086=1,K4086=1),AND(J4086=1,I4086="SBJ"),AND(J4086=1,I4086=0)),"?IN_FOCUS",IF(J4086&lt;=2,"?ACTIVATED",IF(J4086&lt;&gt;"","?FAMILIAR",IF(F4086="NEW",IF(ISNA(VLOOKUP(E4086,#REF!,1,FALSE())),"?TYPE_IDENTIFIABLE","?REFERENTIAL"),"_")))))</f>
        <v> </v>
      </c>
      <c r="H4086" s="24" t="str">
        <f>IF(J4086&lt;&gt;1,"",IF(I4086="SBJ","CB","?"))</f>
        <v> </v>
      </c>
      <c r="I4086" s="25" t="str">
        <f>IF(OR(E4086="",E4086="!!!",F4086="NEW"),"",INDEX(B4085:B$2,-1+SUMPRODUCT(MAX(ROW(E4085:E$2)*(E4086=E4085:E$2)))))</f>
        <v> </v>
      </c>
      <c r="J4086" s="25" t="str">
        <f>IF(OR(E4086="",E4086="!!!",F4086="NEW"),"",COUNTBLANK(OFFSET(A$1,,,SUMPRODUCT(MAX(ROW(E$2:E4086)*(E4086=E$2:E4086)))))-COUNTBLANK(OFFSET(A$1,,,SUMPRODUCT(MAX(ROW(E$1:E4085)*(E2=E$1:E4085))))))</f>
        <v> </v>
      </c>
      <c r="K4086" s="25" t="str">
        <f>IF(OR(E4086="",E4086="!!!",F4086="NEW"),"",INDEX(J$1:J4085,SUMPRODUCT(MAX(ROW(E$1:E4085)*(E4086=E$1:E4085)))))</f>
        <v> </v>
      </c>
      <c r="L4086" s="26"/>
    </row>
    <row r="4087" spans="1:12">
      <c r="A4087" s="20" t="s">
        <v>2923</v>
      </c>
      <c r="B4087" s="27" t="s">
        <v>1103</v>
      </c>
      <c r="C4087" s="27" t="s">
        <v>1289</v>
      </c>
      <c r="E4087" s="21">
        <f>IF(D4087="?OLD","!!!","")</f>
        <v/>
      </c>
      <c r="F4087" s="22" t="str">
        <f>IF(OR(E4087="",E4087="!!!"),"",IF(NOT(ISNA(VLOOKUP(E4087,E$1:E4086,1,FALSE()))),"OLD",IF(AND(E4087&lt;&gt;"",E4087&lt;&gt;"!!!"),"NEW","")))</f>
        <v> </v>
      </c>
      <c r="G4087" s="23" t="str">
        <f>IF(OR(E4087="",E4087="!!!"),"",IF(OR(J4087=0,AND(J4087=1,K4087=1),AND(J4087=1,I4087="SBJ"),AND(J4087=1,I4087=0)),"?IN_FOCUS",IF(J4087&lt;=2,"?ACTIVATED",IF(J4087&lt;&gt;"","?FAMILIAR",IF(F4087="NEW",IF(ISNA(VLOOKUP(E4087,#REF!,1,FALSE())),"?TYPE_IDENTIFIABLE","?REFERENTIAL"),"_")))))</f>
        <v> </v>
      </c>
      <c r="H4087" s="24" t="str">
        <f>IF(J4087&lt;&gt;1,"",IF(I4087="SBJ","CB","?"))</f>
        <v> </v>
      </c>
      <c r="I4087" s="25" t="str">
        <f>IF(OR(E4087="",E4087="!!!",F4087="NEW"),"",INDEX(B4086:B$2,-1+SUMPRODUCT(MAX(ROW(E4086:E$2)*(E4087=E4086:E$2)))))</f>
        <v> </v>
      </c>
      <c r="J4087" s="25" t="str">
        <f>IF(OR(E4087="",E4087="!!!",F4087="NEW"),"",COUNTBLANK(OFFSET(A$1,,,SUMPRODUCT(MAX(ROW(E$2:E4087)*(E4087=E$2:E4087)))))-COUNTBLANK(OFFSET(A$1,,,SUMPRODUCT(MAX(ROW(E$1:E4086)*(E2=E$1:E4086))))))</f>
        <v> </v>
      </c>
      <c r="K4087" s="25" t="str">
        <f>IF(OR(E4087="",E4087="!!!",F4087="NEW"),"",INDEX(J$1:J4086,SUMPRODUCT(MAX(ROW(E$1:E4086)*(E4087=E$1:E4086)))))</f>
        <v> </v>
      </c>
      <c r="L4087" s="26"/>
    </row>
    <row r="4088" spans="1:12">
      <c r="A4088" s="20" t="s">
        <v>1111</v>
      </c>
      <c r="E4088" s="21">
        <f>IF(D4088="?OLD","!!!","")</f>
        <v/>
      </c>
      <c r="F4088" s="22" t="str">
        <f>IF(OR(E4088="",E4088="!!!"),"",IF(NOT(ISNA(VLOOKUP(E4088,E$1:E4087,1,FALSE()))),"OLD",IF(AND(E4088&lt;&gt;"",E4088&lt;&gt;"!!!"),"NEW","")))</f>
        <v> </v>
      </c>
      <c r="G4088" s="23" t="str">
        <f>IF(OR(E4088="",E4088="!!!"),"",IF(OR(J4088=0,AND(J4088=1,K4088=1),AND(J4088=1,I4088="SBJ"),AND(J4088=1,I4088=0)),"?IN_FOCUS",IF(J4088&lt;=2,"?ACTIVATED",IF(J4088&lt;&gt;"","?FAMILIAR",IF(F4088="NEW",IF(ISNA(VLOOKUP(E4088,#REF!,1,FALSE())),"?TYPE_IDENTIFIABLE","?REFERENTIAL"),"_")))))</f>
        <v> </v>
      </c>
      <c r="H4088" s="24" t="str">
        <f>IF(J4088&lt;&gt;1,"",IF(I4088="SBJ","CB","?"))</f>
        <v> </v>
      </c>
      <c r="I4088" s="25" t="str">
        <f>IF(OR(E4088="",E4088="!!!",F4088="NEW"),"",INDEX(B4087:B$2,-1+SUMPRODUCT(MAX(ROW(E4087:E$2)*(E4088=E4087:E$2)))))</f>
        <v> </v>
      </c>
      <c r="J4088" s="25" t="str">
        <f>IF(OR(E4088="",E4088="!!!",F4088="NEW"),"",COUNTBLANK(OFFSET(A$1,,,SUMPRODUCT(MAX(ROW(E$2:E4088)*(E4088=E$2:E4088)))))-COUNTBLANK(OFFSET(A$1,,,SUMPRODUCT(MAX(ROW(E$1:E4087)*(E2=E$1:E4087))))))</f>
        <v> </v>
      </c>
      <c r="K4088" s="25" t="str">
        <f>IF(OR(E4088="",E4088="!!!",F4088="NEW"),"",INDEX(J$1:J4087,SUMPRODUCT(MAX(ROW(E$1:E4087)*(E4088=E$1:E4087)))))</f>
        <v> </v>
      </c>
      <c r="L4088" s="26"/>
    </row>
    <row r="4089" spans="1:12">
      <c r="A4089" s="20" t="s">
        <v>1140</v>
      </c>
      <c r="B4089" s="27" t="s">
        <v>1259</v>
      </c>
      <c r="C4089" s="27" t="s">
        <v>1126</v>
      </c>
      <c r="D4089" s="27" t="s">
        <v>1105</v>
      </c>
      <c r="E4089" s="21">
        <f>IF(D4089="?OLD","!!!","")</f>
        <v/>
      </c>
      <c r="F4089" s="22" t="str">
        <f>IF(OR(E4089="",E4089="!!!"),"",IF(NOT(ISNA(VLOOKUP(E4089,E$1:E4088,1,FALSE()))),"OLD",IF(AND(E4089&lt;&gt;"",E4089&lt;&gt;"!!!"),"NEW","")))</f>
        <v> </v>
      </c>
      <c r="G4089" s="23" t="str">
        <f>IF(OR(E4089="",E4089="!!!"),"",IF(OR(J4089=0,AND(J4089=1,K4089=1),AND(J4089=1,I4089="SBJ"),AND(J4089=1,I4089=0)),"?IN_FOCUS",IF(J4089&lt;=2,"?ACTIVATED",IF(J4089&lt;&gt;"","?FAMILIAR",IF(F4089="NEW",IF(ISNA(VLOOKUP(E4089,#REF!,1,FALSE())),"?TYPE_IDENTIFIABLE","?REFERENTIAL"),"_")))))</f>
        <v> </v>
      </c>
      <c r="H4089" s="24" t="str">
        <f>IF(J4089&lt;&gt;1,"",IF(I4089="SBJ","CB","?"))</f>
        <v> </v>
      </c>
      <c r="I4089" s="25" t="str">
        <f>IF(OR(E4089="",E4089="!!!",F4089="NEW"),"",INDEX(B4088:B$2,-1+SUMPRODUCT(MAX(ROW(E4088:E$2)*(E4089=E4088:E$2)))))</f>
        <v> </v>
      </c>
      <c r="J4089" s="25" t="str">
        <f>IF(OR(E4089="",E4089="!!!",F4089="NEW"),"",COUNTBLANK(OFFSET(A$1,,,SUMPRODUCT(MAX(ROW(E$2:E4089)*(E4089=E$2:E4089)))))-COUNTBLANK(OFFSET(A$1,,,SUMPRODUCT(MAX(ROW(E$1:E4088)*(E2=E$1:E4088))))))</f>
        <v> </v>
      </c>
      <c r="K4089" s="25" t="str">
        <f>IF(OR(E4089="",E4089="!!!",F4089="NEW"),"",INDEX(J$1:J4088,SUMPRODUCT(MAX(ROW(E$1:E4088)*(E4089=E$1:E4088)))))</f>
        <v> </v>
      </c>
      <c r="L4089" s="26"/>
    </row>
    <row r="4090" spans="1:12">
      <c r="A4090" s="20" t="s">
        <v>1926</v>
      </c>
      <c r="E4090" s="21">
        <f>IF(D4090="?OLD","!!!","")</f>
        <v/>
      </c>
      <c r="F4090" s="22" t="str">
        <f>IF(OR(E4090="",E4090="!!!"),"",IF(NOT(ISNA(VLOOKUP(E4090,E$1:E4089,1,FALSE()))),"OLD",IF(AND(E4090&lt;&gt;"",E4090&lt;&gt;"!!!"),"NEW","")))</f>
        <v> </v>
      </c>
      <c r="G4090" s="23" t="str">
        <f>IF(OR(E4090="",E4090="!!!"),"",IF(OR(J4090=0,AND(J4090=1,K4090=1),AND(J4090=1,I4090="SBJ"),AND(J4090=1,I4090=0)),"?IN_FOCUS",IF(J4090&lt;=2,"?ACTIVATED",IF(J4090&lt;&gt;"","?FAMILIAR",IF(F4090="NEW",IF(ISNA(VLOOKUP(E4090,#REF!,1,FALSE())),"?TYPE_IDENTIFIABLE","?REFERENTIAL"),"_")))))</f>
        <v> </v>
      </c>
      <c r="H4090" s="24" t="str">
        <f>IF(J4090&lt;&gt;1,"",IF(I4090="SBJ","CB","?"))</f>
        <v> </v>
      </c>
      <c r="I4090" s="25" t="str">
        <f>IF(OR(E4090="",E4090="!!!",F4090="NEW"),"",INDEX(B4089:B$2,-1+SUMPRODUCT(MAX(ROW(E4089:E$2)*(E4090=E4089:E$2)))))</f>
        <v> </v>
      </c>
      <c r="J4090" s="25" t="str">
        <f>IF(OR(E4090="",E4090="!!!",F4090="NEW"),"",COUNTBLANK(OFFSET(A$1,,,SUMPRODUCT(MAX(ROW(E$2:E4090)*(E4090=E$2:E4090)))))-COUNTBLANK(OFFSET(A$1,,,SUMPRODUCT(MAX(ROW(E$1:E4089)*(E2=E$1:E4089))))))</f>
        <v> </v>
      </c>
      <c r="K4090" s="25" t="str">
        <f>IF(OR(E4090="",E4090="!!!",F4090="NEW"),"",INDEX(J$1:J4089,SUMPRODUCT(MAX(ROW(E$1:E4089)*(E4090=E$1:E4089)))))</f>
        <v> </v>
      </c>
      <c r="L4090" s="26"/>
    </row>
    <row r="4091" spans="1:12">
      <c r="A4091" s="20" t="s">
        <v>1616</v>
      </c>
      <c r="E4091" s="21">
        <f>IF(D4091="?OLD","!!!","")</f>
        <v/>
      </c>
      <c r="F4091" s="22" t="str">
        <f>IF(OR(E4091="",E4091="!!!"),"",IF(NOT(ISNA(VLOOKUP(E4091,E$1:E4090,1,FALSE()))),"OLD",IF(AND(E4091&lt;&gt;"",E4091&lt;&gt;"!!!"),"NEW","")))</f>
        <v> </v>
      </c>
      <c r="G4091" s="23" t="str">
        <f>IF(OR(E4091="",E4091="!!!"),"",IF(OR(J4091=0,AND(J4091=1,K4091=1),AND(J4091=1,I4091="SBJ"),AND(J4091=1,I4091=0)),"?IN_FOCUS",IF(J4091&lt;=2,"?ACTIVATED",IF(J4091&lt;&gt;"","?FAMILIAR",IF(F4091="NEW",IF(ISNA(VLOOKUP(E4091,#REF!,1,FALSE())),"?TYPE_IDENTIFIABLE","?REFERENTIAL"),"_")))))</f>
        <v> </v>
      </c>
      <c r="H4091" s="24" t="str">
        <f>IF(J4091&lt;&gt;1,"",IF(I4091="SBJ","CB","?"))</f>
        <v> </v>
      </c>
      <c r="I4091" s="25" t="str">
        <f>IF(OR(E4091="",E4091="!!!",F4091="NEW"),"",INDEX(B4090:B$2,-1+SUMPRODUCT(MAX(ROW(E4090:E$2)*(E4091=E4090:E$2)))))</f>
        <v> </v>
      </c>
      <c r="J4091" s="25" t="str">
        <f>IF(OR(E4091="",E4091="!!!",F4091="NEW"),"",COUNTBLANK(OFFSET(A$1,,,SUMPRODUCT(MAX(ROW(E$2:E4091)*(E4091=E$2:E4091)))))-COUNTBLANK(OFFSET(A$1,,,SUMPRODUCT(MAX(ROW(E$1:E4090)*(E2=E$1:E4090))))))</f>
        <v> </v>
      </c>
      <c r="K4091" s="25" t="str">
        <f>IF(OR(E4091="",E4091="!!!",F4091="NEW"),"",INDEX(J$1:J4090,SUMPRODUCT(MAX(ROW(E$1:E4090)*(E4091=E$1:E4090)))))</f>
        <v> </v>
      </c>
      <c r="L4091" s="26"/>
    </row>
    <row r="4092" spans="1:12">
      <c r="A4092" s="20" t="s">
        <v>2924</v>
      </c>
      <c r="E4092" s="21">
        <f>IF(D4092="?OLD","!!!","")</f>
        <v/>
      </c>
      <c r="F4092" s="22" t="str">
        <f>IF(OR(E4092="",E4092="!!!"),"",IF(NOT(ISNA(VLOOKUP(E4092,E$1:E4091,1,FALSE()))),"OLD",IF(AND(E4092&lt;&gt;"",E4092&lt;&gt;"!!!"),"NEW","")))</f>
        <v> </v>
      </c>
      <c r="G4092" s="23" t="str">
        <f>IF(OR(E4092="",E4092="!!!"),"",IF(OR(J4092=0,AND(J4092=1,K4092=1),AND(J4092=1,I4092="SBJ"),AND(J4092=1,I4092=0)),"?IN_FOCUS",IF(J4092&lt;=2,"?ACTIVATED",IF(J4092&lt;&gt;"","?FAMILIAR",IF(F4092="NEW",IF(ISNA(VLOOKUP(E4092,#REF!,1,FALSE())),"?TYPE_IDENTIFIABLE","?REFERENTIAL"),"_")))))</f>
        <v> </v>
      </c>
      <c r="H4092" s="24" t="str">
        <f>IF(J4092&lt;&gt;1,"",IF(I4092="SBJ","CB","?"))</f>
        <v> </v>
      </c>
      <c r="I4092" s="25" t="str">
        <f>IF(OR(E4092="",E4092="!!!",F4092="NEW"),"",INDEX(B4091:B$2,-1+SUMPRODUCT(MAX(ROW(E4091:E$2)*(E4092=E4091:E$2)))))</f>
        <v> </v>
      </c>
      <c r="J4092" s="25" t="str">
        <f>IF(OR(E4092="",E4092="!!!",F4092="NEW"),"",COUNTBLANK(OFFSET(A$1,,,SUMPRODUCT(MAX(ROW(E$2:E4092)*(E4092=E$2:E4092)))))-COUNTBLANK(OFFSET(A$1,,,SUMPRODUCT(MAX(ROW(E$1:E4091)*(E2=E$1:E4091))))))</f>
        <v> </v>
      </c>
      <c r="K4092" s="25" t="str">
        <f>IF(OR(E4092="",E4092="!!!",F4092="NEW"),"",INDEX(J$1:J4091,SUMPRODUCT(MAX(ROW(E$1:E4091)*(E4092=E$1:E4091)))))</f>
        <v> </v>
      </c>
      <c r="L4092" s="26"/>
    </row>
    <row r="4093" spans="1:12">
      <c r="A4093" s="20" t="s">
        <v>2925</v>
      </c>
      <c r="E4093" s="21">
        <f>IF(D4093="?OLD","!!!","")</f>
        <v/>
      </c>
      <c r="F4093" s="22" t="str">
        <f>IF(OR(E4093="",E4093="!!!"),"",IF(NOT(ISNA(VLOOKUP(E4093,E$1:E4092,1,FALSE()))),"OLD",IF(AND(E4093&lt;&gt;"",E4093&lt;&gt;"!!!"),"NEW","")))</f>
        <v> </v>
      </c>
      <c r="G4093" s="23" t="str">
        <f>IF(OR(E4093="",E4093="!!!"),"",IF(OR(J4093=0,AND(J4093=1,K4093=1),AND(J4093=1,I4093="SBJ"),AND(J4093=1,I4093=0)),"?IN_FOCUS",IF(J4093&lt;=2,"?ACTIVATED",IF(J4093&lt;&gt;"","?FAMILIAR",IF(F4093="NEW",IF(ISNA(VLOOKUP(E4093,#REF!,1,FALSE())),"?TYPE_IDENTIFIABLE","?REFERENTIAL"),"_")))))</f>
        <v> </v>
      </c>
      <c r="H4093" s="24" t="str">
        <f>IF(J4093&lt;&gt;1,"",IF(I4093="SBJ","CB","?"))</f>
        <v> </v>
      </c>
      <c r="I4093" s="25" t="str">
        <f>IF(OR(E4093="",E4093="!!!",F4093="NEW"),"",INDEX(B4092:B$2,-1+SUMPRODUCT(MAX(ROW(E4092:E$2)*(E4093=E4092:E$2)))))</f>
        <v> </v>
      </c>
      <c r="J4093" s="25" t="str">
        <f>IF(OR(E4093="",E4093="!!!",F4093="NEW"),"",COUNTBLANK(OFFSET(A$1,,,SUMPRODUCT(MAX(ROW(E$2:E4093)*(E4093=E$2:E4093)))))-COUNTBLANK(OFFSET(A$1,,,SUMPRODUCT(MAX(ROW(E$1:E4092)*(E2=E$1:E4092))))))</f>
        <v> </v>
      </c>
      <c r="K4093" s="25" t="str">
        <f>IF(OR(E4093="",E4093="!!!",F4093="NEW"),"",INDEX(J$1:J4092,SUMPRODUCT(MAX(ROW(E$1:E4092)*(E4093=E$1:E4092)))))</f>
        <v> </v>
      </c>
      <c r="L4093" s="26"/>
    </row>
    <row r="4094" spans="1:12">
      <c r="A4094" s="20" t="s">
        <v>1145</v>
      </c>
      <c r="E4094" s="21">
        <f>IF(D4094="?OLD","!!!","")</f>
        <v/>
      </c>
      <c r="F4094" s="22" t="str">
        <f>IF(OR(E4094="",E4094="!!!"),"",IF(NOT(ISNA(VLOOKUP(E4094,E$1:E4093,1,FALSE()))),"OLD",IF(AND(E4094&lt;&gt;"",E4094&lt;&gt;"!!!"),"NEW","")))</f>
        <v> </v>
      </c>
      <c r="G4094" s="23" t="str">
        <f>IF(OR(E4094="",E4094="!!!"),"",IF(OR(J4094=0,AND(J4094=1,K4094=1),AND(J4094=1,I4094="SBJ"),AND(J4094=1,I4094=0)),"?IN_FOCUS",IF(J4094&lt;=2,"?ACTIVATED",IF(J4094&lt;&gt;"","?FAMILIAR",IF(F4094="NEW",IF(ISNA(VLOOKUP(E4094,#REF!,1,FALSE())),"?TYPE_IDENTIFIABLE","?REFERENTIAL"),"_")))))</f>
        <v> </v>
      </c>
      <c r="H4094" s="24" t="str">
        <f>IF(J4094&lt;&gt;1,"",IF(I4094="SBJ","CB","?"))</f>
        <v> </v>
      </c>
      <c r="I4094" s="25" t="str">
        <f>IF(OR(E4094="",E4094="!!!",F4094="NEW"),"",INDEX(B4093:B$2,-1+SUMPRODUCT(MAX(ROW(E4093:E$2)*(E4094=E4093:E$2)))))</f>
        <v> </v>
      </c>
      <c r="J4094" s="25" t="str">
        <f>IF(OR(E4094="",E4094="!!!",F4094="NEW"),"",COUNTBLANK(OFFSET(A$1,,,SUMPRODUCT(MAX(ROW(E$2:E4094)*(E4094=E$2:E4094)))))-COUNTBLANK(OFFSET(A$1,,,SUMPRODUCT(MAX(ROW(E$1:E4093)*(E2=E$1:E4093))))))</f>
        <v> </v>
      </c>
      <c r="K4094" s="25" t="str">
        <f>IF(OR(E4094="",E4094="!!!",F4094="NEW"),"",INDEX(J$1:J4093,SUMPRODUCT(MAX(ROW(E$1:E4093)*(E4094=E$1:E4093)))))</f>
        <v> </v>
      </c>
      <c r="L4094" s="26"/>
    </row>
    <row r="4095" spans="1:12">
      <c r="A4095" s="20"/>
    </row>
    <row r="4096" spans="1:12">
      <c r="A4096" s="20" t="s">
        <v>2926</v>
      </c>
    </row>
    <row r="4097" spans="1:12">
      <c r="A4097" s="20" t="s">
        <v>1353</v>
      </c>
      <c r="B4097" s="27" t="s">
        <v>1149</v>
      </c>
      <c r="C4097" s="27" t="s">
        <v>1126</v>
      </c>
      <c r="D4097" s="27" t="s">
        <v>1105</v>
      </c>
      <c r="E4097" s="21">
        <f>IF(D4097="?OLD","!!!","")</f>
        <v/>
      </c>
      <c r="F4097" s="22" t="str">
        <f>IF(OR(E4097="",E4097="!!!"),"",IF(NOT(ISNA(VLOOKUP(E4097,E$1:E4096,1,FALSE()))),"OLD",IF(AND(E4097&lt;&gt;"",E4097&lt;&gt;"!!!"),"NEW","")))</f>
        <v> </v>
      </c>
      <c r="G4097" s="23" t="str">
        <f>IF(OR(E4097="",E4097="!!!"),"",IF(OR(J4097=0,AND(J4097=1,K4097=1),AND(J4097=1,I4097="SBJ"),AND(J4097=1,I4097=0)),"?IN_FOCUS",IF(J4097&lt;=2,"?ACTIVATED",IF(J4097&lt;&gt;"","?FAMILIAR",IF(F4097="NEW",IF(ISNA(VLOOKUP(E4097,#REF!,1,FALSE())),"?TYPE_IDENTIFIABLE","?REFERENTIAL"),"_")))))</f>
        <v> </v>
      </c>
      <c r="H4097" s="24" t="str">
        <f>IF(J4097&lt;&gt;1,"",IF(I4097="SBJ","CB","?"))</f>
        <v> </v>
      </c>
      <c r="I4097" s="25" t="str">
        <f>IF(OR(E4097="",E4097="!!!",F4097="NEW"),"",INDEX(B4096:B$2,-1+SUMPRODUCT(MAX(ROW(E4096:E$2)*(E4097=E4096:E$2)))))</f>
        <v> </v>
      </c>
      <c r="J4097" s="25" t="str">
        <f>IF(OR(E4097="",E4097="!!!",F4097="NEW"),"",COUNTBLANK(OFFSET(A$1,,,SUMPRODUCT(MAX(ROW(E$2:E4097)*(E4097=E$2:E4097)))))-COUNTBLANK(OFFSET(A$1,,,SUMPRODUCT(MAX(ROW(E$1:E4096)*(E2=E$1:E4096))))))</f>
        <v> </v>
      </c>
      <c r="K4097" s="25" t="str">
        <f>IF(OR(E4097="",E4097="!!!",F4097="NEW"),"",INDEX(J$1:J4096,SUMPRODUCT(MAX(ROW(E$1:E4096)*(E4097=E$1:E4096)))))</f>
        <v> </v>
      </c>
      <c r="L4097" s="26"/>
    </row>
    <row r="4098" spans="1:12">
      <c r="A4098" s="20" t="s">
        <v>2927</v>
      </c>
      <c r="E4098" s="21">
        <f>IF(D4098="?OLD","!!!","")</f>
        <v/>
      </c>
      <c r="F4098" s="22" t="str">
        <f>IF(OR(E4098="",E4098="!!!"),"",IF(NOT(ISNA(VLOOKUP(E4098,E$1:E4097,1,FALSE()))),"OLD",IF(AND(E4098&lt;&gt;"",E4098&lt;&gt;"!!!"),"NEW","")))</f>
        <v> </v>
      </c>
      <c r="G4098" s="23" t="str">
        <f>IF(OR(E4098="",E4098="!!!"),"",IF(OR(J4098=0,AND(J4098=1,K4098=1),AND(J4098=1,I4098="SBJ"),AND(J4098=1,I4098=0)),"?IN_FOCUS",IF(J4098&lt;=2,"?ACTIVATED",IF(J4098&lt;&gt;"","?FAMILIAR",IF(F4098="NEW",IF(ISNA(VLOOKUP(E4098,#REF!,1,FALSE())),"?TYPE_IDENTIFIABLE","?REFERENTIAL"),"_")))))</f>
        <v> </v>
      </c>
      <c r="H4098" s="24" t="str">
        <f>IF(J4098&lt;&gt;1,"",IF(I4098="SBJ","CB","?"))</f>
        <v> </v>
      </c>
      <c r="I4098" s="25" t="str">
        <f>IF(OR(E4098="",E4098="!!!",F4098="NEW"),"",INDEX(B4097:B$2,-1+SUMPRODUCT(MAX(ROW(E4097:E$2)*(E4098=E4097:E$2)))))</f>
        <v> </v>
      </c>
      <c r="J4098" s="25" t="str">
        <f>IF(OR(E4098="",E4098="!!!",F4098="NEW"),"",COUNTBLANK(OFFSET(A$1,,,SUMPRODUCT(MAX(ROW(E$2:E4098)*(E4098=E$2:E4098)))))-COUNTBLANK(OFFSET(A$1,,,SUMPRODUCT(MAX(ROW(E$1:E4097)*(E2=E$1:E4097))))))</f>
        <v> </v>
      </c>
      <c r="K4098" s="25" t="str">
        <f>IF(OR(E4098="",E4098="!!!",F4098="NEW"),"",INDEX(J$1:J4097,SUMPRODUCT(MAX(ROW(E$1:E4097)*(E4098=E$1:E4097)))))</f>
        <v> </v>
      </c>
      <c r="L4098" s="26"/>
    </row>
    <row r="4099" spans="1:12">
      <c r="A4099" s="20" t="s">
        <v>1123</v>
      </c>
      <c r="E4099" s="21">
        <f>IF(D4099="?OLD","!!!","")</f>
        <v/>
      </c>
      <c r="F4099" s="22" t="str">
        <f>IF(OR(E4099="",E4099="!!!"),"",IF(NOT(ISNA(VLOOKUP(E4099,E$1:E4098,1,FALSE()))),"OLD",IF(AND(E4099&lt;&gt;"",E4099&lt;&gt;"!!!"),"NEW","")))</f>
        <v> </v>
      </c>
      <c r="G4099" s="23" t="str">
        <f>IF(OR(E4099="",E4099="!!!"),"",IF(OR(J4099=0,AND(J4099=1,K4099=1),AND(J4099=1,I4099="SBJ"),AND(J4099=1,I4099=0)),"?IN_FOCUS",IF(J4099&lt;=2,"?ACTIVATED",IF(J4099&lt;&gt;"","?FAMILIAR",IF(F4099="NEW",IF(ISNA(VLOOKUP(E4099,#REF!,1,FALSE())),"?TYPE_IDENTIFIABLE","?REFERENTIAL"),"_")))))</f>
        <v> </v>
      </c>
      <c r="H4099" s="24" t="str">
        <f>IF(J4099&lt;&gt;1,"",IF(I4099="SBJ","CB","?"))</f>
        <v> </v>
      </c>
      <c r="I4099" s="25" t="str">
        <f>IF(OR(E4099="",E4099="!!!",F4099="NEW"),"",INDEX(B4098:B$2,-1+SUMPRODUCT(MAX(ROW(E4098:E$2)*(E4099=E4098:E$2)))))</f>
        <v> </v>
      </c>
      <c r="J4099" s="25" t="str">
        <f>IF(OR(E4099="",E4099="!!!",F4099="NEW"),"",COUNTBLANK(OFFSET(A$1,,,SUMPRODUCT(MAX(ROW(E$2:E4099)*(E4099=E$2:E4099)))))-COUNTBLANK(OFFSET(A$1,,,SUMPRODUCT(MAX(ROW(E$1:E4098)*(E2=E$1:E4098))))))</f>
        <v> </v>
      </c>
      <c r="K4099" s="25" t="str">
        <f>IF(OR(E4099="",E4099="!!!",F4099="NEW"),"",INDEX(J$1:J4098,SUMPRODUCT(MAX(ROW(E$1:E4098)*(E4099=E$1:E4098)))))</f>
        <v> </v>
      </c>
      <c r="L4099" s="26"/>
    </row>
    <row r="4100" spans="1:12">
      <c r="A4100" s="20" t="s">
        <v>135</v>
      </c>
      <c r="E4100" s="21">
        <f>IF(D4100="?OLD","!!!","")</f>
        <v/>
      </c>
      <c r="F4100" s="22" t="str">
        <f>IF(OR(E4100="",E4100="!!!"),"",IF(NOT(ISNA(VLOOKUP(E4100,E$1:E4099,1,FALSE()))),"OLD",IF(AND(E4100&lt;&gt;"",E4100&lt;&gt;"!!!"),"NEW","")))</f>
        <v> </v>
      </c>
      <c r="G4100" s="23" t="str">
        <f>IF(OR(E4100="",E4100="!!!"),"",IF(OR(J4100=0,AND(J4100=1,K4100=1),AND(J4100=1,I4100="SBJ"),AND(J4100=1,I4100=0)),"?IN_FOCUS",IF(J4100&lt;=2,"?ACTIVATED",IF(J4100&lt;&gt;"","?FAMILIAR",IF(F4100="NEW",IF(ISNA(VLOOKUP(E4100,#REF!,1,FALSE())),"?TYPE_IDENTIFIABLE","?REFERENTIAL"),"_")))))</f>
        <v> </v>
      </c>
      <c r="H4100" s="24" t="str">
        <f>IF(J4100&lt;&gt;1,"",IF(I4100="SBJ","CB","?"))</f>
        <v> </v>
      </c>
      <c r="I4100" s="25" t="str">
        <f>IF(OR(E4100="",E4100="!!!",F4100="NEW"),"",INDEX(B4099:B$2,-1+SUMPRODUCT(MAX(ROW(E4099:E$2)*(E4100=E4099:E$2)))))</f>
        <v> </v>
      </c>
      <c r="J4100" s="25" t="str">
        <f>IF(OR(E4100="",E4100="!!!",F4100="NEW"),"",COUNTBLANK(OFFSET(A$1,,,SUMPRODUCT(MAX(ROW(E$2:E4100)*(E4100=E$2:E4100)))))-COUNTBLANK(OFFSET(A$1,,,SUMPRODUCT(MAX(ROW(E$1:E4099)*(E2=E$1:E4099))))))</f>
        <v> </v>
      </c>
      <c r="K4100" s="25" t="str">
        <f>IF(OR(E4100="",E4100="!!!",F4100="NEW"),"",INDEX(J$1:J4099,SUMPRODUCT(MAX(ROW(E$1:E4099)*(E4100=E$1:E4099)))))</f>
        <v> </v>
      </c>
      <c r="L4100" s="26"/>
    </row>
    <row r="4101" spans="1:12">
      <c r="A4101" s="20" t="s">
        <v>1474</v>
      </c>
      <c r="B4101" s="27" t="s">
        <v>1122</v>
      </c>
      <c r="C4101" s="27" t="s">
        <v>1126</v>
      </c>
      <c r="D4101" s="27" t="s">
        <v>1105</v>
      </c>
      <c r="E4101" s="21">
        <f>IF(D4101="?OLD","!!!","")</f>
        <v/>
      </c>
      <c r="F4101" s="22" t="str">
        <f>IF(OR(E4101="",E4101="!!!"),"",IF(NOT(ISNA(VLOOKUP(E4101,E$1:E4100,1,FALSE()))),"OLD",IF(AND(E4101&lt;&gt;"",E4101&lt;&gt;"!!!"),"NEW","")))</f>
        <v> </v>
      </c>
      <c r="G4101" s="23" t="str">
        <f>IF(OR(E4101="",E4101="!!!"),"",IF(OR(J4101=0,AND(J4101=1,K4101=1),AND(J4101=1,I4101="SBJ"),AND(J4101=1,I4101=0)),"?IN_FOCUS",IF(J4101&lt;=2,"?ACTIVATED",IF(J4101&lt;&gt;"","?FAMILIAR",IF(F4101="NEW",IF(ISNA(VLOOKUP(E4101,#REF!,1,FALSE())),"?TYPE_IDENTIFIABLE","?REFERENTIAL"),"_")))))</f>
        <v> </v>
      </c>
      <c r="H4101" s="24" t="str">
        <f>IF(J4101&lt;&gt;1,"",IF(I4101="SBJ","CB","?"))</f>
        <v> </v>
      </c>
      <c r="I4101" s="25" t="str">
        <f>IF(OR(E4101="",E4101="!!!",F4101="NEW"),"",INDEX(B4100:B$2,-1+SUMPRODUCT(MAX(ROW(E4100:E$2)*(E4101=E4100:E$2)))))</f>
        <v> </v>
      </c>
      <c r="J4101" s="25" t="str">
        <f>IF(OR(E4101="",E4101="!!!",F4101="NEW"),"",COUNTBLANK(OFFSET(A$1,,,SUMPRODUCT(MAX(ROW(E$2:E4101)*(E4101=E$2:E4101)))))-COUNTBLANK(OFFSET(A$1,,,SUMPRODUCT(MAX(ROW(E$1:E4100)*(E2=E$1:E4100))))))</f>
        <v> </v>
      </c>
      <c r="K4101" s="25" t="str">
        <f>IF(OR(E4101="",E4101="!!!",F4101="NEW"),"",INDEX(J$1:J4100,SUMPRODUCT(MAX(ROW(E$1:E4100)*(E4101=E$1:E4100)))))</f>
        <v> </v>
      </c>
      <c r="L4101" s="26"/>
    </row>
    <row r="4102" spans="1:12">
      <c r="A4102" s="20" t="s">
        <v>2928</v>
      </c>
      <c r="E4102" s="21">
        <f>IF(D4102="?OLD","!!!","")</f>
        <v/>
      </c>
      <c r="F4102" s="22" t="str">
        <f>IF(OR(E4102="",E4102="!!!"),"",IF(NOT(ISNA(VLOOKUP(E4102,E$1:E4101,1,FALSE()))),"OLD",IF(AND(E4102&lt;&gt;"",E4102&lt;&gt;"!!!"),"NEW","")))</f>
        <v> </v>
      </c>
      <c r="G4102" s="23" t="str">
        <f>IF(OR(E4102="",E4102="!!!"),"",IF(OR(J4102=0,AND(J4102=1,K4102=1),AND(J4102=1,I4102="SBJ"),AND(J4102=1,I4102=0)),"?IN_FOCUS",IF(J4102&lt;=2,"?ACTIVATED",IF(J4102&lt;&gt;"","?FAMILIAR",IF(F4102="NEW",IF(ISNA(VLOOKUP(E4102,#REF!,1,FALSE())),"?TYPE_IDENTIFIABLE","?REFERENTIAL"),"_")))))</f>
        <v> </v>
      </c>
      <c r="H4102" s="24" t="str">
        <f>IF(J4102&lt;&gt;1,"",IF(I4102="SBJ","CB","?"))</f>
        <v> </v>
      </c>
      <c r="I4102" s="25" t="str">
        <f>IF(OR(E4102="",E4102="!!!",F4102="NEW"),"",INDEX(B4101:B$2,-1+SUMPRODUCT(MAX(ROW(E4101:E$2)*(E4102=E4101:E$2)))))</f>
        <v> </v>
      </c>
      <c r="J4102" s="25" t="str">
        <f>IF(OR(E4102="",E4102="!!!",F4102="NEW"),"",COUNTBLANK(OFFSET(A$1,,,SUMPRODUCT(MAX(ROW(E$2:E4102)*(E4102=E$2:E4102)))))-COUNTBLANK(OFFSET(A$1,,,SUMPRODUCT(MAX(ROW(E$1:E4101)*(E2=E$1:E4101))))))</f>
        <v> </v>
      </c>
      <c r="K4102" s="25" t="str">
        <f>IF(OR(E4102="",E4102="!!!",F4102="NEW"),"",INDEX(J$1:J4101,SUMPRODUCT(MAX(ROW(E$1:E4101)*(E4102=E$1:E4101)))))</f>
        <v> </v>
      </c>
      <c r="L4102" s="26"/>
    </row>
    <row r="4103" spans="1:12">
      <c r="A4103" s="20" t="s">
        <v>1249</v>
      </c>
      <c r="E4103" s="21">
        <f>IF(D4103="?OLD","!!!","")</f>
        <v/>
      </c>
      <c r="F4103" s="22" t="str">
        <f>IF(OR(E4103="",E4103="!!!"),"",IF(NOT(ISNA(VLOOKUP(E4103,E$1:E4102,1,FALSE()))),"OLD",IF(AND(E4103&lt;&gt;"",E4103&lt;&gt;"!!!"),"NEW","")))</f>
        <v> </v>
      </c>
      <c r="G4103" s="23" t="str">
        <f>IF(OR(E4103="",E4103="!!!"),"",IF(OR(J4103=0,AND(J4103=1,K4103=1),AND(J4103=1,I4103="SBJ"),AND(J4103=1,I4103=0)),"?IN_FOCUS",IF(J4103&lt;=2,"?ACTIVATED",IF(J4103&lt;&gt;"","?FAMILIAR",IF(F4103="NEW",IF(ISNA(VLOOKUP(E4103,#REF!,1,FALSE())),"?TYPE_IDENTIFIABLE","?REFERENTIAL"),"_")))))</f>
        <v> </v>
      </c>
      <c r="H4103" s="24" t="str">
        <f>IF(J4103&lt;&gt;1,"",IF(I4103="SBJ","CB","?"))</f>
        <v> </v>
      </c>
      <c r="I4103" s="25" t="str">
        <f>IF(OR(E4103="",E4103="!!!",F4103="NEW"),"",INDEX(B4102:B$2,-1+SUMPRODUCT(MAX(ROW(E4102:E$2)*(E4103=E4102:E$2)))))</f>
        <v> </v>
      </c>
      <c r="J4103" s="25" t="str">
        <f>IF(OR(E4103="",E4103="!!!",F4103="NEW"),"",COUNTBLANK(OFFSET(A$1,,,SUMPRODUCT(MAX(ROW(E$2:E4103)*(E4103=E$2:E4103)))))-COUNTBLANK(OFFSET(A$1,,,SUMPRODUCT(MAX(ROW(E$1:E4102)*(E2=E$1:E4102))))))</f>
        <v> </v>
      </c>
      <c r="K4103" s="25" t="str">
        <f>IF(OR(E4103="",E4103="!!!",F4103="NEW"),"",INDEX(J$1:J4102,SUMPRODUCT(MAX(ROW(E$1:E4102)*(E4103=E$1:E4102)))))</f>
        <v> </v>
      </c>
      <c r="L4103" s="26"/>
    </row>
    <row r="4104" spans="1:12">
      <c r="A4104" s="20" t="s">
        <v>2035</v>
      </c>
      <c r="E4104" s="21">
        <f>IF(D4104="?OLD","!!!","")</f>
        <v/>
      </c>
      <c r="F4104" s="22" t="str">
        <f>IF(OR(E4104="",E4104="!!!"),"",IF(NOT(ISNA(VLOOKUP(E4104,E$1:E4103,1,FALSE()))),"OLD",IF(AND(E4104&lt;&gt;"",E4104&lt;&gt;"!!!"),"NEW","")))</f>
        <v> </v>
      </c>
      <c r="G4104" s="23" t="str">
        <f>IF(OR(E4104="",E4104="!!!"),"",IF(OR(J4104=0,AND(J4104=1,K4104=1),AND(J4104=1,I4104="SBJ"),AND(J4104=1,I4104=0)),"?IN_FOCUS",IF(J4104&lt;=2,"?ACTIVATED",IF(J4104&lt;&gt;"","?FAMILIAR",IF(F4104="NEW",IF(ISNA(VLOOKUP(E4104,#REF!,1,FALSE())),"?TYPE_IDENTIFIABLE","?REFERENTIAL"),"_")))))</f>
        <v> </v>
      </c>
      <c r="H4104" s="24" t="str">
        <f>IF(J4104&lt;&gt;1,"",IF(I4104="SBJ","CB","?"))</f>
        <v> </v>
      </c>
      <c r="I4104" s="25" t="str">
        <f>IF(OR(E4104="",E4104="!!!",F4104="NEW"),"",INDEX(B4103:B$2,-1+SUMPRODUCT(MAX(ROW(E4103:E$2)*(E4104=E4103:E$2)))))</f>
        <v> </v>
      </c>
      <c r="J4104" s="25" t="str">
        <f>IF(OR(E4104="",E4104="!!!",F4104="NEW"),"",COUNTBLANK(OFFSET(A$1,,,SUMPRODUCT(MAX(ROW(E$2:E4104)*(E4104=E$2:E4104)))))-COUNTBLANK(OFFSET(A$1,,,SUMPRODUCT(MAX(ROW(E$1:E4103)*(E2=E$1:E4103))))))</f>
        <v> </v>
      </c>
      <c r="K4104" s="25" t="str">
        <f>IF(OR(E4104="",E4104="!!!",F4104="NEW"),"",INDEX(J$1:J4103,SUMPRODUCT(MAX(ROW(E$1:E4103)*(E4104=E$1:E4103)))))</f>
        <v> </v>
      </c>
      <c r="L4104" s="26"/>
    </row>
    <row r="4105" spans="1:12">
      <c r="A4105" s="20" t="s">
        <v>2929</v>
      </c>
      <c r="E4105" s="21">
        <f>IF(D4105="?OLD","!!!","")</f>
        <v/>
      </c>
      <c r="F4105" s="22" t="str">
        <f>IF(OR(E4105="",E4105="!!!"),"",IF(NOT(ISNA(VLOOKUP(E4105,E$1:E4104,1,FALSE()))),"OLD",IF(AND(E4105&lt;&gt;"",E4105&lt;&gt;"!!!"),"NEW","")))</f>
        <v> </v>
      </c>
      <c r="G4105" s="23" t="str">
        <f>IF(OR(E4105="",E4105="!!!"),"",IF(OR(J4105=0,AND(J4105=1,K4105=1),AND(J4105=1,I4105="SBJ"),AND(J4105=1,I4105=0)),"?IN_FOCUS",IF(J4105&lt;=2,"?ACTIVATED",IF(J4105&lt;&gt;"","?FAMILIAR",IF(F4105="NEW",IF(ISNA(VLOOKUP(E4105,#REF!,1,FALSE())),"?TYPE_IDENTIFIABLE","?REFERENTIAL"),"_")))))</f>
        <v> </v>
      </c>
      <c r="H4105" s="24" t="str">
        <f>IF(J4105&lt;&gt;1,"",IF(I4105="SBJ","CB","?"))</f>
        <v> </v>
      </c>
      <c r="I4105" s="25" t="str">
        <f>IF(OR(E4105="",E4105="!!!",F4105="NEW"),"",INDEX(B4104:B$2,-1+SUMPRODUCT(MAX(ROW(E4104:E$2)*(E4105=E4104:E$2)))))</f>
        <v> </v>
      </c>
      <c r="J4105" s="25" t="str">
        <f>IF(OR(E4105="",E4105="!!!",F4105="NEW"),"",COUNTBLANK(OFFSET(A$1,,,SUMPRODUCT(MAX(ROW(E$2:E4105)*(E4105=E$2:E4105)))))-COUNTBLANK(OFFSET(A$1,,,SUMPRODUCT(MAX(ROW(E$1:E4104)*(E2=E$1:E4104))))))</f>
        <v> </v>
      </c>
      <c r="K4105" s="25" t="str">
        <f>IF(OR(E4105="",E4105="!!!",F4105="NEW"),"",INDEX(J$1:J4104,SUMPRODUCT(MAX(ROW(E$1:E4104)*(E4105=E$1:E4104)))))</f>
        <v> </v>
      </c>
      <c r="L4105" s="26"/>
    </row>
    <row r="4106" spans="1:12">
      <c r="A4106" s="20" t="s">
        <v>2453</v>
      </c>
      <c r="E4106" s="21">
        <f>IF(D4106="?OLD","!!!","")</f>
        <v/>
      </c>
      <c r="F4106" s="22" t="str">
        <f>IF(OR(E4106="",E4106="!!!"),"",IF(NOT(ISNA(VLOOKUP(E4106,E$1:E4105,1,FALSE()))),"OLD",IF(AND(E4106&lt;&gt;"",E4106&lt;&gt;"!!!"),"NEW","")))</f>
        <v> </v>
      </c>
      <c r="G4106" s="23" t="str">
        <f>IF(OR(E4106="",E4106="!!!"),"",IF(OR(J4106=0,AND(J4106=1,K4106=1),AND(J4106=1,I4106="SBJ"),AND(J4106=1,I4106=0)),"?IN_FOCUS",IF(J4106&lt;=2,"?ACTIVATED",IF(J4106&lt;&gt;"","?FAMILIAR",IF(F4106="NEW",IF(ISNA(VLOOKUP(E4106,#REF!,1,FALSE())),"?TYPE_IDENTIFIABLE","?REFERENTIAL"),"_")))))</f>
        <v> </v>
      </c>
      <c r="H4106" s="24" t="str">
        <f>IF(J4106&lt;&gt;1,"",IF(I4106="SBJ","CB","?"))</f>
        <v> </v>
      </c>
      <c r="I4106" s="25" t="str">
        <f>IF(OR(E4106="",E4106="!!!",F4106="NEW"),"",INDEX(B4105:B$2,-1+SUMPRODUCT(MAX(ROW(E4105:E$2)*(E4106=E4105:E$2)))))</f>
        <v> </v>
      </c>
      <c r="J4106" s="25" t="str">
        <f>IF(OR(E4106="",E4106="!!!",F4106="NEW"),"",COUNTBLANK(OFFSET(A$1,,,SUMPRODUCT(MAX(ROW(E$2:E4106)*(E4106=E$2:E4106)))))-COUNTBLANK(OFFSET(A$1,,,SUMPRODUCT(MAX(ROW(E$1:E4105)*(E2=E$1:E4105))))))</f>
        <v> </v>
      </c>
      <c r="K4106" s="25" t="str">
        <f>IF(OR(E4106="",E4106="!!!",F4106="NEW"),"",INDEX(J$1:J4105,SUMPRODUCT(MAX(ROW(E$1:E4105)*(E4106=E$1:E4105)))))</f>
        <v> </v>
      </c>
      <c r="L4106" s="26"/>
    </row>
    <row r="4107" spans="1:12">
      <c r="A4107" s="20" t="s">
        <v>1123</v>
      </c>
      <c r="E4107" s="21">
        <f>IF(D4107="?OLD","!!!","")</f>
        <v/>
      </c>
      <c r="F4107" s="22" t="str">
        <f>IF(OR(E4107="",E4107="!!!"),"",IF(NOT(ISNA(VLOOKUP(E4107,E$1:E4106,1,FALSE()))),"OLD",IF(AND(E4107&lt;&gt;"",E4107&lt;&gt;"!!!"),"NEW","")))</f>
        <v> </v>
      </c>
      <c r="G4107" s="23" t="str">
        <f>IF(OR(E4107="",E4107="!!!"),"",IF(OR(J4107=0,AND(J4107=1,K4107=1),AND(J4107=1,I4107="SBJ"),AND(J4107=1,I4107=0)),"?IN_FOCUS",IF(J4107&lt;=2,"?ACTIVATED",IF(J4107&lt;&gt;"","?FAMILIAR",IF(F4107="NEW",IF(ISNA(VLOOKUP(E4107,#REF!,1,FALSE())),"?TYPE_IDENTIFIABLE","?REFERENTIAL"),"_")))))</f>
        <v> </v>
      </c>
      <c r="H4107" s="24" t="str">
        <f>IF(J4107&lt;&gt;1,"",IF(I4107="SBJ","CB","?"))</f>
        <v> </v>
      </c>
      <c r="I4107" s="25" t="str">
        <f>IF(OR(E4107="",E4107="!!!",F4107="NEW"),"",INDEX(B4106:B$2,-1+SUMPRODUCT(MAX(ROW(E4106:E$2)*(E4107=E4106:E$2)))))</f>
        <v> </v>
      </c>
      <c r="J4107" s="25" t="str">
        <f>IF(OR(E4107="",E4107="!!!",F4107="NEW"),"",COUNTBLANK(OFFSET(A$1,,,SUMPRODUCT(MAX(ROW(E$2:E4107)*(E4107=E$2:E4107)))))-COUNTBLANK(OFFSET(A$1,,,SUMPRODUCT(MAX(ROW(E$1:E4106)*(E2=E$1:E4106))))))</f>
        <v> </v>
      </c>
      <c r="K4107" s="25" t="str">
        <f>IF(OR(E4107="",E4107="!!!",F4107="NEW"),"",INDEX(J$1:J4106,SUMPRODUCT(MAX(ROW(E$1:E4106)*(E4107=E$1:E4106)))))</f>
        <v> </v>
      </c>
      <c r="L4107" s="26"/>
    </row>
    <row r="4108" spans="1:12">
      <c r="A4108" s="20" t="s">
        <v>2930</v>
      </c>
      <c r="E4108" s="21">
        <f>IF(D4108="?OLD","!!!","")</f>
        <v/>
      </c>
      <c r="F4108" s="22" t="str">
        <f>IF(OR(E4108="",E4108="!!!"),"",IF(NOT(ISNA(VLOOKUP(E4108,E$1:E4107,1,FALSE()))),"OLD",IF(AND(E4108&lt;&gt;"",E4108&lt;&gt;"!!!"),"NEW","")))</f>
        <v> </v>
      </c>
      <c r="G4108" s="23" t="str">
        <f>IF(OR(E4108="",E4108="!!!"),"",IF(OR(J4108=0,AND(J4108=1,K4108=1),AND(J4108=1,I4108="SBJ"),AND(J4108=1,I4108=0)),"?IN_FOCUS",IF(J4108&lt;=2,"?ACTIVATED",IF(J4108&lt;&gt;"","?FAMILIAR",IF(F4108="NEW",IF(ISNA(VLOOKUP(E4108,#REF!,1,FALSE())),"?TYPE_IDENTIFIABLE","?REFERENTIAL"),"_")))))</f>
        <v> </v>
      </c>
      <c r="H4108" s="24" t="str">
        <f>IF(J4108&lt;&gt;1,"",IF(I4108="SBJ","CB","?"))</f>
        <v> </v>
      </c>
      <c r="I4108" s="25" t="str">
        <f>IF(OR(E4108="",E4108="!!!",F4108="NEW"),"",INDEX(B4107:B$2,-1+SUMPRODUCT(MAX(ROW(E4107:E$2)*(E4108=E4107:E$2)))))</f>
        <v> </v>
      </c>
      <c r="J4108" s="25" t="str">
        <f>IF(OR(E4108="",E4108="!!!",F4108="NEW"),"",COUNTBLANK(OFFSET(A$1,,,SUMPRODUCT(MAX(ROW(E$2:E4108)*(E4108=E$2:E4108)))))-COUNTBLANK(OFFSET(A$1,,,SUMPRODUCT(MAX(ROW(E$1:E4107)*(E2=E$1:E4107))))))</f>
        <v> </v>
      </c>
      <c r="K4108" s="25" t="str">
        <f>IF(OR(E4108="",E4108="!!!",F4108="NEW"),"",INDEX(J$1:J4107,SUMPRODUCT(MAX(ROW(E$1:E4107)*(E4108=E$1:E4107)))))</f>
        <v> </v>
      </c>
      <c r="L4108" s="26"/>
    </row>
    <row r="4109" spans="1:12">
      <c r="A4109" s="20" t="s">
        <v>1206</v>
      </c>
      <c r="E4109" s="21">
        <f>IF(D4109="?OLD","!!!","")</f>
        <v/>
      </c>
      <c r="F4109" s="22" t="str">
        <f>IF(OR(E4109="",E4109="!!!"),"",IF(NOT(ISNA(VLOOKUP(E4109,E$1:E4108,1,FALSE()))),"OLD",IF(AND(E4109&lt;&gt;"",E4109&lt;&gt;"!!!"),"NEW","")))</f>
        <v> </v>
      </c>
      <c r="G4109" s="23" t="str">
        <f>IF(OR(E4109="",E4109="!!!"),"",IF(OR(J4109=0,AND(J4109=1,K4109=1),AND(J4109=1,I4109="SBJ"),AND(J4109=1,I4109=0)),"?IN_FOCUS",IF(J4109&lt;=2,"?ACTIVATED",IF(J4109&lt;&gt;"","?FAMILIAR",IF(F4109="NEW",IF(ISNA(VLOOKUP(E4109,#REF!,1,FALSE())),"?TYPE_IDENTIFIABLE","?REFERENTIAL"),"_")))))</f>
        <v> </v>
      </c>
      <c r="H4109" s="24" t="str">
        <f>IF(J4109&lt;&gt;1,"",IF(I4109="SBJ","CB","?"))</f>
        <v> </v>
      </c>
      <c r="I4109" s="25" t="str">
        <f>IF(OR(E4109="",E4109="!!!",F4109="NEW"),"",INDEX(B4108:B$2,-1+SUMPRODUCT(MAX(ROW(E4108:E$2)*(E4109=E4108:E$2)))))</f>
        <v> </v>
      </c>
      <c r="J4109" s="25" t="str">
        <f>IF(OR(E4109="",E4109="!!!",F4109="NEW"),"",COUNTBLANK(OFFSET(A$1,,,SUMPRODUCT(MAX(ROW(E$2:E4109)*(E4109=E$2:E4109)))))-COUNTBLANK(OFFSET(A$1,,,SUMPRODUCT(MAX(ROW(E$1:E4108)*(E2=E$1:E4108))))))</f>
        <v> </v>
      </c>
      <c r="K4109" s="25" t="str">
        <f>IF(OR(E4109="",E4109="!!!",F4109="NEW"),"",INDEX(J$1:J4108,SUMPRODUCT(MAX(ROW(E$1:E4108)*(E4109=E$1:E4108)))))</f>
        <v> </v>
      </c>
      <c r="L4109" s="26"/>
    </row>
    <row r="4110" spans="1:12">
      <c r="A4110" s="20" t="s">
        <v>2931</v>
      </c>
      <c r="B4110" s="27" t="s">
        <v>1122</v>
      </c>
      <c r="C4110" s="27" t="s">
        <v>1210</v>
      </c>
      <c r="E4110" s="21">
        <f>IF(D4110="?OLD","!!!","")</f>
        <v/>
      </c>
      <c r="F4110" s="22" t="str">
        <f>IF(OR(E4110="",E4110="!!!"),"",IF(NOT(ISNA(VLOOKUP(E4110,E$1:E4109,1,FALSE()))),"OLD",IF(AND(E4110&lt;&gt;"",E4110&lt;&gt;"!!!"),"NEW","")))</f>
        <v> </v>
      </c>
      <c r="G4110" s="23" t="str">
        <f>IF(OR(E4110="",E4110="!!!"),"",IF(OR(J4110=0,AND(J4110=1,K4110=1),AND(J4110=1,I4110="SBJ"),AND(J4110=1,I4110=0)),"?IN_FOCUS",IF(J4110&lt;=2,"?ACTIVATED",IF(J4110&lt;&gt;"","?FAMILIAR",IF(F4110="NEW",IF(ISNA(VLOOKUP(E4110,#REF!,1,FALSE())),"?TYPE_IDENTIFIABLE","?REFERENTIAL"),"_")))))</f>
        <v> </v>
      </c>
      <c r="H4110" s="24" t="str">
        <f>IF(J4110&lt;&gt;1,"",IF(I4110="SBJ","CB","?"))</f>
        <v> </v>
      </c>
      <c r="I4110" s="25" t="str">
        <f>IF(OR(E4110="",E4110="!!!",F4110="NEW"),"",INDEX(B4109:B$2,-1+SUMPRODUCT(MAX(ROW(E4109:E$2)*(E4110=E4109:E$2)))))</f>
        <v> </v>
      </c>
      <c r="J4110" s="25" t="str">
        <f>IF(OR(E4110="",E4110="!!!",F4110="NEW"),"",COUNTBLANK(OFFSET(A$1,,,SUMPRODUCT(MAX(ROW(E$2:E4110)*(E4110=E$2:E4110)))))-COUNTBLANK(OFFSET(A$1,,,SUMPRODUCT(MAX(ROW(E$1:E4109)*(E2=E$1:E4109))))))</f>
        <v> </v>
      </c>
      <c r="K4110" s="25" t="str">
        <f>IF(OR(E4110="",E4110="!!!",F4110="NEW"),"",INDEX(J$1:J4109,SUMPRODUCT(MAX(ROW(E$1:E4109)*(E4110=E$1:E4109)))))</f>
        <v> </v>
      </c>
      <c r="L4110" s="26"/>
    </row>
    <row r="4111" spans="1:12">
      <c r="A4111" s="20" t="s">
        <v>1218</v>
      </c>
      <c r="E4111" s="21">
        <f>IF(D4111="?OLD","!!!","")</f>
        <v/>
      </c>
      <c r="F4111" s="22" t="str">
        <f>IF(OR(E4111="",E4111="!!!"),"",IF(NOT(ISNA(VLOOKUP(E4111,E$1:E4110,1,FALSE()))),"OLD",IF(AND(E4111&lt;&gt;"",E4111&lt;&gt;"!!!"),"NEW","")))</f>
        <v> </v>
      </c>
      <c r="G4111" s="23" t="str">
        <f>IF(OR(E4111="",E4111="!!!"),"",IF(OR(J4111=0,AND(J4111=1,K4111=1),AND(J4111=1,I4111="SBJ"),AND(J4111=1,I4111=0)),"?IN_FOCUS",IF(J4111&lt;=2,"?ACTIVATED",IF(J4111&lt;&gt;"","?FAMILIAR",IF(F4111="NEW",IF(ISNA(VLOOKUP(E4111,#REF!,1,FALSE())),"?TYPE_IDENTIFIABLE","?REFERENTIAL"),"_")))))</f>
        <v> </v>
      </c>
      <c r="H4111" s="24" t="str">
        <f>IF(J4111&lt;&gt;1,"",IF(I4111="SBJ","CB","?"))</f>
        <v> </v>
      </c>
      <c r="I4111" s="25" t="str">
        <f>IF(OR(E4111="",E4111="!!!",F4111="NEW"),"",INDEX(B4110:B$2,-1+SUMPRODUCT(MAX(ROW(E4110:E$2)*(E4111=E4110:E$2)))))</f>
        <v> </v>
      </c>
      <c r="J4111" s="25" t="str">
        <f>IF(OR(E4111="",E4111="!!!",F4111="NEW"),"",COUNTBLANK(OFFSET(A$1,,,SUMPRODUCT(MAX(ROW(E$2:E4111)*(E4111=E$2:E4111)))))-COUNTBLANK(OFFSET(A$1,,,SUMPRODUCT(MAX(ROW(E$1:E4110)*(E2=E$1:E4110))))))</f>
        <v> </v>
      </c>
      <c r="K4111" s="25" t="str">
        <f>IF(OR(E4111="",E4111="!!!",F4111="NEW"),"",INDEX(J$1:J4110,SUMPRODUCT(MAX(ROW(E$1:E4110)*(E4111=E$1:E4110)))))</f>
        <v> </v>
      </c>
      <c r="L4111" s="26"/>
    </row>
    <row r="4112" spans="1:12">
      <c r="A4112" s="20" t="s">
        <v>2932</v>
      </c>
      <c r="E4112" s="21">
        <f>IF(D4112="?OLD","!!!","")</f>
        <v/>
      </c>
      <c r="F4112" s="22" t="str">
        <f>IF(OR(E4112="",E4112="!!!"),"",IF(NOT(ISNA(VLOOKUP(E4112,E$1:E4111,1,FALSE()))),"OLD",IF(AND(E4112&lt;&gt;"",E4112&lt;&gt;"!!!"),"NEW","")))</f>
        <v> </v>
      </c>
      <c r="G4112" s="23" t="str">
        <f>IF(OR(E4112="",E4112="!!!"),"",IF(OR(J4112=0,AND(J4112=1,K4112=1),AND(J4112=1,I4112="SBJ"),AND(J4112=1,I4112=0)),"?IN_FOCUS",IF(J4112&lt;=2,"?ACTIVATED",IF(J4112&lt;&gt;"","?FAMILIAR",IF(F4112="NEW",IF(ISNA(VLOOKUP(E4112,#REF!,1,FALSE())),"?TYPE_IDENTIFIABLE","?REFERENTIAL"),"_")))))</f>
        <v> </v>
      </c>
      <c r="H4112" s="24" t="str">
        <f>IF(J4112&lt;&gt;1,"",IF(I4112="SBJ","CB","?"))</f>
        <v> </v>
      </c>
      <c r="I4112" s="25" t="str">
        <f>IF(OR(E4112="",E4112="!!!",F4112="NEW"),"",INDEX(B4111:B$2,-1+SUMPRODUCT(MAX(ROW(E4111:E$2)*(E4112=E4111:E$2)))))</f>
        <v> </v>
      </c>
      <c r="J4112" s="25" t="str">
        <f>IF(OR(E4112="",E4112="!!!",F4112="NEW"),"",COUNTBLANK(OFFSET(A$1,,,SUMPRODUCT(MAX(ROW(E$2:E4112)*(E4112=E$2:E4112)))))-COUNTBLANK(OFFSET(A$1,,,SUMPRODUCT(MAX(ROW(E$1:E4111)*(E2=E$1:E4111))))))</f>
        <v> </v>
      </c>
      <c r="K4112" s="25" t="str">
        <f>IF(OR(E4112="",E4112="!!!",F4112="NEW"),"",INDEX(J$1:J4111,SUMPRODUCT(MAX(ROW(E$1:E4111)*(E4112=E$1:E4111)))))</f>
        <v> </v>
      </c>
      <c r="L4112" s="26"/>
    </row>
    <row r="4113" spans="1:12">
      <c r="A4113" s="20" t="s">
        <v>1145</v>
      </c>
      <c r="E4113" s="21">
        <f>IF(D4113="?OLD","!!!","")</f>
        <v/>
      </c>
      <c r="F4113" s="22" t="str">
        <f>IF(OR(E4113="",E4113="!!!"),"",IF(NOT(ISNA(VLOOKUP(E4113,E$1:E4112,1,FALSE()))),"OLD",IF(AND(E4113&lt;&gt;"",E4113&lt;&gt;"!!!"),"NEW","")))</f>
        <v> </v>
      </c>
      <c r="G4113" s="23" t="str">
        <f>IF(OR(E4113="",E4113="!!!"),"",IF(OR(J4113=0,AND(J4113=1,K4113=1),AND(J4113=1,I4113="SBJ"),AND(J4113=1,I4113=0)),"?IN_FOCUS",IF(J4113&lt;=2,"?ACTIVATED",IF(J4113&lt;&gt;"","?FAMILIAR",IF(F4113="NEW",IF(ISNA(VLOOKUP(E4113,#REF!,1,FALSE())),"?TYPE_IDENTIFIABLE","?REFERENTIAL"),"_")))))</f>
        <v> </v>
      </c>
      <c r="H4113" s="24" t="str">
        <f>IF(J4113&lt;&gt;1,"",IF(I4113="SBJ","CB","?"))</f>
        <v> </v>
      </c>
      <c r="I4113" s="25" t="str">
        <f>IF(OR(E4113="",E4113="!!!",F4113="NEW"),"",INDEX(B4112:B$2,-1+SUMPRODUCT(MAX(ROW(E4112:E$2)*(E4113=E4112:E$2)))))</f>
        <v> </v>
      </c>
      <c r="J4113" s="25" t="str">
        <f>IF(OR(E4113="",E4113="!!!",F4113="NEW"),"",COUNTBLANK(OFFSET(A$1,,,SUMPRODUCT(MAX(ROW(E$2:E4113)*(E4113=E$2:E4113)))))-COUNTBLANK(OFFSET(A$1,,,SUMPRODUCT(MAX(ROW(E$1:E4112)*(E2=E$1:E4112))))))</f>
        <v> </v>
      </c>
      <c r="K4113" s="25" t="str">
        <f>IF(OR(E4113="",E4113="!!!",F4113="NEW"),"",INDEX(J$1:J4112,SUMPRODUCT(MAX(ROW(E$1:E4112)*(E4113=E$1:E4112)))))</f>
        <v> </v>
      </c>
      <c r="L4113" s="26"/>
    </row>
    <row r="4114" spans="1:12">
      <c r="A4114" s="20"/>
    </row>
    <row r="4115" spans="1:12">
      <c r="A4115" s="20" t="s">
        <v>2933</v>
      </c>
    </row>
    <row r="4116" spans="1:12">
      <c r="A4116" s="20" t="s">
        <v>1822</v>
      </c>
      <c r="E4116" s="21">
        <f>IF(D4116="?OLD","!!!","")</f>
        <v/>
      </c>
      <c r="F4116" s="22" t="str">
        <f>IF(OR(E4116="",E4116="!!!"),"",IF(NOT(ISNA(VLOOKUP(E4116,E$1:E4115,1,FALSE()))),"OLD",IF(AND(E4116&lt;&gt;"",E4116&lt;&gt;"!!!"),"NEW","")))</f>
        <v> </v>
      </c>
      <c r="G4116" s="23" t="str">
        <f>IF(OR(E4116="",E4116="!!!"),"",IF(OR(J4116=0,AND(J4116=1,K4116=1),AND(J4116=1,I4116="SBJ"),AND(J4116=1,I4116=0)),"?IN_FOCUS",IF(J4116&lt;=2,"?ACTIVATED",IF(J4116&lt;&gt;"","?FAMILIAR",IF(F4116="NEW",IF(ISNA(VLOOKUP(E4116,#REF!,1,FALSE())),"?TYPE_IDENTIFIABLE","?REFERENTIAL"),"_")))))</f>
        <v> </v>
      </c>
      <c r="H4116" s="24" t="str">
        <f>IF(J4116&lt;&gt;1,"",IF(I4116="SBJ","CB","?"))</f>
        <v> </v>
      </c>
      <c r="I4116" s="25" t="str">
        <f>IF(OR(E4116="",E4116="!!!",F4116="NEW"),"",INDEX(B4115:B$2,-1+SUMPRODUCT(MAX(ROW(E4115:E$2)*(E4116=E4115:E$2)))))</f>
        <v> </v>
      </c>
      <c r="J4116" s="25" t="str">
        <f>IF(OR(E4116="",E4116="!!!",F4116="NEW"),"",COUNTBLANK(OFFSET(A$1,,,SUMPRODUCT(MAX(ROW(E$2:E4116)*(E4116=E$2:E4116)))))-COUNTBLANK(OFFSET(A$1,,,SUMPRODUCT(MAX(ROW(E$1:E4115)*(E2=E$1:E4115))))))</f>
        <v> </v>
      </c>
      <c r="K4116" s="25" t="str">
        <f>IF(OR(E4116="",E4116="!!!",F4116="NEW"),"",INDEX(J$1:J4115,SUMPRODUCT(MAX(ROW(E$1:E4115)*(E4116=E$1:E4115)))))</f>
        <v> </v>
      </c>
      <c r="L4116" s="26"/>
    </row>
    <row r="4117" spans="1:12">
      <c r="A4117" s="20" t="s">
        <v>2934</v>
      </c>
      <c r="B4117" s="27" t="s">
        <v>1122</v>
      </c>
      <c r="E4117" s="21">
        <f>IF(D4117="?OLD","!!!","")</f>
        <v/>
      </c>
      <c r="F4117" s="22" t="str">
        <f>IF(OR(E4117="",E4117="!!!"),"",IF(NOT(ISNA(VLOOKUP(E4117,E$1:E4116,1,FALSE()))),"OLD",IF(AND(E4117&lt;&gt;"",E4117&lt;&gt;"!!!"),"NEW","")))</f>
        <v> </v>
      </c>
      <c r="G4117" s="23" t="str">
        <f>IF(OR(E4117="",E4117="!!!"),"",IF(OR(J4117=0,AND(J4117=1,K4117=1),AND(J4117=1,I4117="SBJ"),AND(J4117=1,I4117=0)),"?IN_FOCUS",IF(J4117&lt;=2,"?ACTIVATED",IF(J4117&lt;&gt;"","?FAMILIAR",IF(F4117="NEW",IF(ISNA(VLOOKUP(E4117,#REF!,1,FALSE())),"?TYPE_IDENTIFIABLE","?REFERENTIAL"),"_")))))</f>
        <v> </v>
      </c>
      <c r="H4117" s="24" t="str">
        <f>IF(J4117&lt;&gt;1,"",IF(I4117="SBJ","CB","?"))</f>
        <v> </v>
      </c>
      <c r="I4117" s="25" t="str">
        <f>IF(OR(E4117="",E4117="!!!",F4117="NEW"),"",INDEX(B4116:B$2,-1+SUMPRODUCT(MAX(ROW(E4116:E$2)*(E4117=E4116:E$2)))))</f>
        <v> </v>
      </c>
      <c r="J4117" s="25" t="str">
        <f>IF(OR(E4117="",E4117="!!!",F4117="NEW"),"",COUNTBLANK(OFFSET(A$1,,,SUMPRODUCT(MAX(ROW(E$2:E4117)*(E4117=E$2:E4117)))))-COUNTBLANK(OFFSET(A$1,,,SUMPRODUCT(MAX(ROW(E$1:E4116)*(E2=E$1:E4116))))))</f>
        <v> </v>
      </c>
      <c r="K4117" s="25" t="str">
        <f>IF(OR(E4117="",E4117="!!!",F4117="NEW"),"",INDEX(J$1:J4116,SUMPRODUCT(MAX(ROW(E$1:E4116)*(E4117=E$1:E4116)))))</f>
        <v> </v>
      </c>
      <c r="L4117" s="26"/>
    </row>
    <row r="4118" spans="1:12">
      <c r="A4118" s="20" t="s">
        <v>2935</v>
      </c>
      <c r="E4118" s="21">
        <f>IF(D4118="?OLD","!!!","")</f>
        <v/>
      </c>
      <c r="F4118" s="22" t="str">
        <f>IF(OR(E4118="",E4118="!!!"),"",IF(NOT(ISNA(VLOOKUP(E4118,E$1:E4117,1,FALSE()))),"OLD",IF(AND(E4118&lt;&gt;"",E4118&lt;&gt;"!!!"),"NEW","")))</f>
        <v> </v>
      </c>
      <c r="G4118" s="23" t="str">
        <f>IF(OR(E4118="",E4118="!!!"),"",IF(OR(J4118=0,AND(J4118=1,K4118=1),AND(J4118=1,I4118="SBJ"),AND(J4118=1,I4118=0)),"?IN_FOCUS",IF(J4118&lt;=2,"?ACTIVATED",IF(J4118&lt;&gt;"","?FAMILIAR",IF(F4118="NEW",IF(ISNA(VLOOKUP(E4118,#REF!,1,FALSE())),"?TYPE_IDENTIFIABLE","?REFERENTIAL"),"_")))))</f>
        <v> </v>
      </c>
      <c r="H4118" s="24" t="str">
        <f>IF(J4118&lt;&gt;1,"",IF(I4118="SBJ","CB","?"))</f>
        <v> </v>
      </c>
      <c r="I4118" s="25" t="str">
        <f>IF(OR(E4118="",E4118="!!!",F4118="NEW"),"",INDEX(B4117:B$2,-1+SUMPRODUCT(MAX(ROW(E4117:E$2)*(E4118=E4117:E$2)))))</f>
        <v> </v>
      </c>
      <c r="J4118" s="25" t="str">
        <f>IF(OR(E4118="",E4118="!!!",F4118="NEW"),"",COUNTBLANK(OFFSET(A$1,,,SUMPRODUCT(MAX(ROW(E$2:E4118)*(E4118=E$2:E4118)))))-COUNTBLANK(OFFSET(A$1,,,SUMPRODUCT(MAX(ROW(E$1:E4117)*(E2=E$1:E4117))))))</f>
        <v> </v>
      </c>
      <c r="K4118" s="25" t="str">
        <f>IF(OR(E4118="",E4118="!!!",F4118="NEW"),"",INDEX(J$1:J4117,SUMPRODUCT(MAX(ROW(E$1:E4117)*(E4118=E$1:E4117)))))</f>
        <v> </v>
      </c>
      <c r="L4118" s="26"/>
    </row>
    <row r="4119" spans="1:12">
      <c r="A4119" s="20" t="s">
        <v>2713</v>
      </c>
      <c r="B4119" s="27" t="s">
        <v>1243</v>
      </c>
      <c r="E4119" s="21">
        <f>IF(D4119="?OLD","!!!","")</f>
        <v/>
      </c>
      <c r="F4119" s="22" t="str">
        <f>IF(OR(E4119="",E4119="!!!"),"",IF(NOT(ISNA(VLOOKUP(E4119,E$1:E4118,1,FALSE()))),"OLD",IF(AND(E4119&lt;&gt;"",E4119&lt;&gt;"!!!"),"NEW","")))</f>
        <v> </v>
      </c>
      <c r="G4119" s="23" t="str">
        <f>IF(OR(E4119="",E4119="!!!"),"",IF(OR(J4119=0,AND(J4119=1,K4119=1),AND(J4119=1,I4119="SBJ"),AND(J4119=1,I4119=0)),"?IN_FOCUS",IF(J4119&lt;=2,"?ACTIVATED",IF(J4119&lt;&gt;"","?FAMILIAR",IF(F4119="NEW",IF(ISNA(VLOOKUP(E4119,#REF!,1,FALSE())),"?TYPE_IDENTIFIABLE","?REFERENTIAL"),"_")))))</f>
        <v> </v>
      </c>
      <c r="H4119" s="24" t="str">
        <f>IF(J4119&lt;&gt;1,"",IF(I4119="SBJ","CB","?"))</f>
        <v> </v>
      </c>
      <c r="I4119" s="25" t="str">
        <f>IF(OR(E4119="",E4119="!!!",F4119="NEW"),"",INDEX(B4118:B$2,-1+SUMPRODUCT(MAX(ROW(E4118:E$2)*(E4119=E4118:E$2)))))</f>
        <v> </v>
      </c>
      <c r="J4119" s="25" t="str">
        <f>IF(OR(E4119="",E4119="!!!",F4119="NEW"),"",COUNTBLANK(OFFSET(A$1,,,SUMPRODUCT(MAX(ROW(E$2:E4119)*(E4119=E$2:E4119)))))-COUNTBLANK(OFFSET(A$1,,,SUMPRODUCT(MAX(ROW(E$1:E4118)*(E2=E$1:E4118))))))</f>
        <v> </v>
      </c>
      <c r="K4119" s="25" t="str">
        <f>IF(OR(E4119="",E4119="!!!",F4119="NEW"),"",INDEX(J$1:J4118,SUMPRODUCT(MAX(ROW(E$1:E4118)*(E4119=E$1:E4118)))))</f>
        <v> </v>
      </c>
      <c r="L4119" s="26"/>
    </row>
    <row r="4120" spans="1:12">
      <c r="A4120" s="20" t="s">
        <v>1123</v>
      </c>
      <c r="E4120" s="21">
        <f>IF(D4120="?OLD","!!!","")</f>
        <v/>
      </c>
      <c r="F4120" s="22" t="str">
        <f>IF(OR(E4120="",E4120="!!!"),"",IF(NOT(ISNA(VLOOKUP(E4120,E$1:E4119,1,FALSE()))),"OLD",IF(AND(E4120&lt;&gt;"",E4120&lt;&gt;"!!!"),"NEW","")))</f>
        <v> </v>
      </c>
      <c r="G4120" s="23" t="str">
        <f>IF(OR(E4120="",E4120="!!!"),"",IF(OR(J4120=0,AND(J4120=1,K4120=1),AND(J4120=1,I4120="SBJ"),AND(J4120=1,I4120=0)),"?IN_FOCUS",IF(J4120&lt;=2,"?ACTIVATED",IF(J4120&lt;&gt;"","?FAMILIAR",IF(F4120="NEW",IF(ISNA(VLOOKUP(E4120,#REF!,1,FALSE())),"?TYPE_IDENTIFIABLE","?REFERENTIAL"),"_")))))</f>
        <v> </v>
      </c>
      <c r="H4120" s="24" t="str">
        <f>IF(J4120&lt;&gt;1,"",IF(I4120="SBJ","CB","?"))</f>
        <v> </v>
      </c>
      <c r="I4120" s="25" t="str">
        <f>IF(OR(E4120="",E4120="!!!",F4120="NEW"),"",INDEX(B4119:B$2,-1+SUMPRODUCT(MAX(ROW(E4119:E$2)*(E4120=E4119:E$2)))))</f>
        <v> </v>
      </c>
      <c r="J4120" s="25" t="str">
        <f>IF(OR(E4120="",E4120="!!!",F4120="NEW"),"",COUNTBLANK(OFFSET(A$1,,,SUMPRODUCT(MAX(ROW(E$2:E4120)*(E4120=E$2:E4120)))))-COUNTBLANK(OFFSET(A$1,,,SUMPRODUCT(MAX(ROW(E$1:E4119)*(E2=E$1:E4119))))))</f>
        <v> </v>
      </c>
      <c r="K4120" s="25" t="str">
        <f>IF(OR(E4120="",E4120="!!!",F4120="NEW"),"",INDEX(J$1:J4119,SUMPRODUCT(MAX(ROW(E$1:E4119)*(E4120=E$1:E4119)))))</f>
        <v> </v>
      </c>
      <c r="L4120" s="26"/>
    </row>
    <row r="4121" spans="1:12">
      <c r="A4121" s="20" t="s">
        <v>1121</v>
      </c>
      <c r="E4121" s="21">
        <f>IF(D4121="?OLD","!!!","")</f>
        <v/>
      </c>
      <c r="F4121" s="22" t="str">
        <f>IF(OR(E4121="",E4121="!!!"),"",IF(NOT(ISNA(VLOOKUP(E4121,E$1:E4120,1,FALSE()))),"OLD",IF(AND(E4121&lt;&gt;"",E4121&lt;&gt;"!!!"),"NEW","")))</f>
        <v> </v>
      </c>
      <c r="G4121" s="23" t="str">
        <f>IF(OR(E4121="",E4121="!!!"),"",IF(OR(J4121=0,AND(J4121=1,K4121=1),AND(J4121=1,I4121="SBJ"),AND(J4121=1,I4121=0)),"?IN_FOCUS",IF(J4121&lt;=2,"?ACTIVATED",IF(J4121&lt;&gt;"","?FAMILIAR",IF(F4121="NEW",IF(ISNA(VLOOKUP(E4121,#REF!,1,FALSE())),"?TYPE_IDENTIFIABLE","?REFERENTIAL"),"_")))))</f>
        <v> </v>
      </c>
      <c r="H4121" s="24" t="str">
        <f>IF(J4121&lt;&gt;1,"",IF(I4121="SBJ","CB","?"))</f>
        <v> </v>
      </c>
      <c r="I4121" s="25" t="str">
        <f>IF(OR(E4121="",E4121="!!!",F4121="NEW"),"",INDEX(B4120:B$2,-1+SUMPRODUCT(MAX(ROW(E4120:E$2)*(E4121=E4120:E$2)))))</f>
        <v> </v>
      </c>
      <c r="J4121" s="25" t="str">
        <f>IF(OR(E4121="",E4121="!!!",F4121="NEW"),"",COUNTBLANK(OFFSET(A$1,,,SUMPRODUCT(MAX(ROW(E$2:E4121)*(E4121=E$2:E4121)))))-COUNTBLANK(OFFSET(A$1,,,SUMPRODUCT(MAX(ROW(E$1:E4120)*(E2=E$1:E4120))))))</f>
        <v> </v>
      </c>
      <c r="K4121" s="25" t="str">
        <f>IF(OR(E4121="",E4121="!!!",F4121="NEW"),"",INDEX(J$1:J4120,SUMPRODUCT(MAX(ROW(E$1:E4120)*(E4121=E$1:E4120)))))</f>
        <v> </v>
      </c>
      <c r="L4121" s="26"/>
    </row>
    <row r="4122" spans="1:12">
      <c r="A4122" s="20" t="s">
        <v>2936</v>
      </c>
      <c r="B4122" s="27" t="s">
        <v>1213</v>
      </c>
      <c r="C4122" s="27" t="s">
        <v>1108</v>
      </c>
      <c r="D4122" s="27" t="s">
        <v>1105</v>
      </c>
      <c r="E4122" s="21">
        <f>IF(D4122="?OLD","!!!","")</f>
        <v/>
      </c>
      <c r="F4122" s="22" t="str">
        <f>IF(OR(E4122="",E4122="!!!"),"",IF(NOT(ISNA(VLOOKUP(E4122,E$1:E4121,1,FALSE()))),"OLD",IF(AND(E4122&lt;&gt;"",E4122&lt;&gt;"!!!"),"NEW","")))</f>
        <v> </v>
      </c>
      <c r="G4122" s="23" t="str">
        <f>IF(OR(E4122="",E4122="!!!"),"",IF(OR(J4122=0,AND(J4122=1,K4122=1),AND(J4122=1,I4122="SBJ"),AND(J4122=1,I4122=0)),"?IN_FOCUS",IF(J4122&lt;=2,"?ACTIVATED",IF(J4122&lt;&gt;"","?FAMILIAR",IF(F4122="NEW",IF(ISNA(VLOOKUP(E4122,#REF!,1,FALSE())),"?TYPE_IDENTIFIABLE","?REFERENTIAL"),"_")))))</f>
        <v> </v>
      </c>
      <c r="H4122" s="24" t="str">
        <f>IF(J4122&lt;&gt;1,"",IF(I4122="SBJ","CB","?"))</f>
        <v> </v>
      </c>
      <c r="I4122" s="25" t="str">
        <f>IF(OR(E4122="",E4122="!!!",F4122="NEW"),"",INDEX(B4121:B$2,-1+SUMPRODUCT(MAX(ROW(E4121:E$2)*(E4122=E4121:E$2)))))</f>
        <v> </v>
      </c>
      <c r="J4122" s="25" t="str">
        <f>IF(OR(E4122="",E4122="!!!",F4122="NEW"),"",COUNTBLANK(OFFSET(A$1,,,SUMPRODUCT(MAX(ROW(E$2:E4122)*(E4122=E$2:E4122)))))-COUNTBLANK(OFFSET(A$1,,,SUMPRODUCT(MAX(ROW(E$1:E4121)*(E2=E$1:E4121))))))</f>
        <v> </v>
      </c>
      <c r="K4122" s="25" t="str">
        <f>IF(OR(E4122="",E4122="!!!",F4122="NEW"),"",INDEX(J$1:J4121,SUMPRODUCT(MAX(ROW(E$1:E4121)*(E4122=E$1:E4121)))))</f>
        <v> </v>
      </c>
      <c r="L4122" s="26"/>
    </row>
    <row r="4123" spans="1:12">
      <c r="A4123" s="20" t="s">
        <v>1842</v>
      </c>
      <c r="E4123" s="21">
        <f>IF(D4123="?OLD","!!!","")</f>
        <v/>
      </c>
      <c r="F4123" s="22" t="str">
        <f>IF(OR(E4123="",E4123="!!!"),"",IF(NOT(ISNA(VLOOKUP(E4123,E$1:E4122,1,FALSE()))),"OLD",IF(AND(E4123&lt;&gt;"",E4123&lt;&gt;"!!!"),"NEW","")))</f>
        <v> </v>
      </c>
      <c r="G4123" s="23" t="str">
        <f>IF(OR(E4123="",E4123="!!!"),"",IF(OR(J4123=0,AND(J4123=1,K4123=1),AND(J4123=1,I4123="SBJ"),AND(J4123=1,I4123=0)),"?IN_FOCUS",IF(J4123&lt;=2,"?ACTIVATED",IF(J4123&lt;&gt;"","?FAMILIAR",IF(F4123="NEW",IF(ISNA(VLOOKUP(E4123,#REF!,1,FALSE())),"?TYPE_IDENTIFIABLE","?REFERENTIAL"),"_")))))</f>
        <v> </v>
      </c>
      <c r="H4123" s="24" t="str">
        <f>IF(J4123&lt;&gt;1,"",IF(I4123="SBJ","CB","?"))</f>
        <v> </v>
      </c>
      <c r="I4123" s="25" t="str">
        <f>IF(OR(E4123="",E4123="!!!",F4123="NEW"),"",INDEX(B4122:B$2,-1+SUMPRODUCT(MAX(ROW(E4122:E$2)*(E4123=E4122:E$2)))))</f>
        <v> </v>
      </c>
      <c r="J4123" s="25" t="str">
        <f>IF(OR(E4123="",E4123="!!!",F4123="NEW"),"",COUNTBLANK(OFFSET(A$1,,,SUMPRODUCT(MAX(ROW(E$2:E4123)*(E4123=E$2:E4123)))))-COUNTBLANK(OFFSET(A$1,,,SUMPRODUCT(MAX(ROW(E$1:E4122)*(E2=E$1:E4122))))))</f>
        <v> </v>
      </c>
      <c r="K4123" s="25" t="str">
        <f>IF(OR(E4123="",E4123="!!!",F4123="NEW"),"",INDEX(J$1:J4122,SUMPRODUCT(MAX(ROW(E$1:E4122)*(E4123=E$1:E4122)))))</f>
        <v> </v>
      </c>
      <c r="L4123" s="26"/>
    </row>
    <row r="4124" spans="1:12">
      <c r="A4124" s="20" t="s">
        <v>1128</v>
      </c>
      <c r="E4124" s="21">
        <f>IF(D4124="?OLD","!!!","")</f>
        <v/>
      </c>
      <c r="F4124" s="22" t="str">
        <f>IF(OR(E4124="",E4124="!!!"),"",IF(NOT(ISNA(VLOOKUP(E4124,E$1:E4123,1,FALSE()))),"OLD",IF(AND(E4124&lt;&gt;"",E4124&lt;&gt;"!!!"),"NEW","")))</f>
        <v> </v>
      </c>
      <c r="G4124" s="23" t="str">
        <f>IF(OR(E4124="",E4124="!!!"),"",IF(OR(J4124=0,AND(J4124=1,K4124=1),AND(J4124=1,I4124="SBJ"),AND(J4124=1,I4124=0)),"?IN_FOCUS",IF(J4124&lt;=2,"?ACTIVATED",IF(J4124&lt;&gt;"","?FAMILIAR",IF(F4124="NEW",IF(ISNA(VLOOKUP(E4124,#REF!,1,FALSE())),"?TYPE_IDENTIFIABLE","?REFERENTIAL"),"_")))))</f>
        <v> </v>
      </c>
      <c r="H4124" s="24" t="str">
        <f>IF(J4124&lt;&gt;1,"",IF(I4124="SBJ","CB","?"))</f>
        <v> </v>
      </c>
      <c r="I4124" s="25" t="str">
        <f>IF(OR(E4124="",E4124="!!!",F4124="NEW"),"",INDEX(B4123:B$2,-1+SUMPRODUCT(MAX(ROW(E4123:E$2)*(E4124=E4123:E$2)))))</f>
        <v> </v>
      </c>
      <c r="J4124" s="25" t="str">
        <f>IF(OR(E4124="",E4124="!!!",F4124="NEW"),"",COUNTBLANK(OFFSET(A$1,,,SUMPRODUCT(MAX(ROW(E$2:E4124)*(E4124=E$2:E4124)))))-COUNTBLANK(OFFSET(A$1,,,SUMPRODUCT(MAX(ROW(E$1:E4123)*(E2=E$1:E4123))))))</f>
        <v> </v>
      </c>
      <c r="K4124" s="25" t="str">
        <f>IF(OR(E4124="",E4124="!!!",F4124="NEW"),"",INDEX(J$1:J4123,SUMPRODUCT(MAX(ROW(E$1:E4123)*(E4124=E$1:E4123)))))</f>
        <v> </v>
      </c>
      <c r="L4124" s="26"/>
    </row>
    <row r="4125" spans="1:12">
      <c r="A4125" s="20" t="s">
        <v>1134</v>
      </c>
      <c r="E4125" s="21">
        <f>IF(D4125="?OLD","!!!","")</f>
        <v/>
      </c>
      <c r="F4125" s="22" t="str">
        <f>IF(OR(E4125="",E4125="!!!"),"",IF(NOT(ISNA(VLOOKUP(E4125,E$1:E4124,1,FALSE()))),"OLD",IF(AND(E4125&lt;&gt;"",E4125&lt;&gt;"!!!"),"NEW","")))</f>
        <v> </v>
      </c>
      <c r="G4125" s="23" t="str">
        <f>IF(OR(E4125="",E4125="!!!"),"",IF(OR(J4125=0,AND(J4125=1,K4125=1),AND(J4125=1,I4125="SBJ"),AND(J4125=1,I4125=0)),"?IN_FOCUS",IF(J4125&lt;=2,"?ACTIVATED",IF(J4125&lt;&gt;"","?FAMILIAR",IF(F4125="NEW",IF(ISNA(VLOOKUP(E4125,#REF!,1,FALSE())),"?TYPE_IDENTIFIABLE","?REFERENTIAL"),"_")))))</f>
        <v> </v>
      </c>
      <c r="H4125" s="24" t="str">
        <f>IF(J4125&lt;&gt;1,"",IF(I4125="SBJ","CB","?"))</f>
        <v> </v>
      </c>
      <c r="I4125" s="25" t="str">
        <f>IF(OR(E4125="",E4125="!!!",F4125="NEW"),"",INDEX(B4124:B$2,-1+SUMPRODUCT(MAX(ROW(E4124:E$2)*(E4125=E4124:E$2)))))</f>
        <v> </v>
      </c>
      <c r="J4125" s="25" t="str">
        <f>IF(OR(E4125="",E4125="!!!",F4125="NEW"),"",COUNTBLANK(OFFSET(A$1,,,SUMPRODUCT(MAX(ROW(E$2:E4125)*(E4125=E$2:E4125)))))-COUNTBLANK(OFFSET(A$1,,,SUMPRODUCT(MAX(ROW(E$1:E4124)*(E2=E$1:E4124))))))</f>
        <v> </v>
      </c>
      <c r="K4125" s="25" t="str">
        <f>IF(OR(E4125="",E4125="!!!",F4125="NEW"),"",INDEX(J$1:J4124,SUMPRODUCT(MAX(ROW(E$1:E4124)*(E4125=E$1:E4124)))))</f>
        <v> </v>
      </c>
      <c r="L4125" s="26"/>
    </row>
    <row r="4126" spans="1:12">
      <c r="A4126" s="20" t="s">
        <v>2862</v>
      </c>
      <c r="E4126" s="21">
        <f>IF(D4126="?OLD","!!!","")</f>
        <v/>
      </c>
      <c r="F4126" s="22" t="str">
        <f>IF(OR(E4126="",E4126="!!!"),"",IF(NOT(ISNA(VLOOKUP(E4126,E$1:E4125,1,FALSE()))),"OLD",IF(AND(E4126&lt;&gt;"",E4126&lt;&gt;"!!!"),"NEW","")))</f>
        <v> </v>
      </c>
      <c r="G4126" s="23" t="str">
        <f>IF(OR(E4126="",E4126="!!!"),"",IF(OR(J4126=0,AND(J4126=1,K4126=1),AND(J4126=1,I4126="SBJ"),AND(J4126=1,I4126=0)),"?IN_FOCUS",IF(J4126&lt;=2,"?ACTIVATED",IF(J4126&lt;&gt;"","?FAMILIAR",IF(F4126="NEW",IF(ISNA(VLOOKUP(E4126,#REF!,1,FALSE())),"?TYPE_IDENTIFIABLE","?REFERENTIAL"),"_")))))</f>
        <v> </v>
      </c>
      <c r="H4126" s="24" t="str">
        <f>IF(J4126&lt;&gt;1,"",IF(I4126="SBJ","CB","?"))</f>
        <v> </v>
      </c>
      <c r="I4126" s="25" t="str">
        <f>IF(OR(E4126="",E4126="!!!",F4126="NEW"),"",INDEX(B4125:B$2,-1+SUMPRODUCT(MAX(ROW(E4125:E$2)*(E4126=E4125:E$2)))))</f>
        <v> </v>
      </c>
      <c r="J4126" s="25" t="str">
        <f>IF(OR(E4126="",E4126="!!!",F4126="NEW"),"",COUNTBLANK(OFFSET(A$1,,,SUMPRODUCT(MAX(ROW(E$2:E4126)*(E4126=E$2:E4126)))))-COUNTBLANK(OFFSET(A$1,,,SUMPRODUCT(MAX(ROW(E$1:E4125)*(E2=E$1:E4125))))))</f>
        <v> </v>
      </c>
      <c r="K4126" s="25" t="str">
        <f>IF(OR(E4126="",E4126="!!!",F4126="NEW"),"",INDEX(J$1:J4125,SUMPRODUCT(MAX(ROW(E$1:E4125)*(E4126=E$1:E4125)))))</f>
        <v> </v>
      </c>
      <c r="L4126" s="26"/>
    </row>
    <row r="4127" spans="1:12">
      <c r="A4127" s="20" t="s">
        <v>2937</v>
      </c>
      <c r="E4127" s="21">
        <f>IF(D4127="?OLD","!!!","")</f>
        <v/>
      </c>
      <c r="F4127" s="22" t="str">
        <f>IF(OR(E4127="",E4127="!!!"),"",IF(NOT(ISNA(VLOOKUP(E4127,E$1:E4126,1,FALSE()))),"OLD",IF(AND(E4127&lt;&gt;"",E4127&lt;&gt;"!!!"),"NEW","")))</f>
        <v> </v>
      </c>
      <c r="G4127" s="23" t="str">
        <f>IF(OR(E4127="",E4127="!!!"),"",IF(OR(J4127=0,AND(J4127=1,K4127=1),AND(J4127=1,I4127="SBJ"),AND(J4127=1,I4127=0)),"?IN_FOCUS",IF(J4127&lt;=2,"?ACTIVATED",IF(J4127&lt;&gt;"","?FAMILIAR",IF(F4127="NEW",IF(ISNA(VLOOKUP(E4127,#REF!,1,FALSE())),"?TYPE_IDENTIFIABLE","?REFERENTIAL"),"_")))))</f>
        <v> </v>
      </c>
      <c r="H4127" s="24" t="str">
        <f>IF(J4127&lt;&gt;1,"",IF(I4127="SBJ","CB","?"))</f>
        <v> </v>
      </c>
      <c r="I4127" s="25" t="str">
        <f>IF(OR(E4127="",E4127="!!!",F4127="NEW"),"",INDEX(B4126:B$2,-1+SUMPRODUCT(MAX(ROW(E4126:E$2)*(E4127=E4126:E$2)))))</f>
        <v> </v>
      </c>
      <c r="J4127" s="25" t="str">
        <f>IF(OR(E4127="",E4127="!!!",F4127="NEW"),"",COUNTBLANK(OFFSET(A$1,,,SUMPRODUCT(MAX(ROW(E$2:E4127)*(E4127=E$2:E4127)))))-COUNTBLANK(OFFSET(A$1,,,SUMPRODUCT(MAX(ROW(E$1:E4126)*(E2=E$1:E4126))))))</f>
        <v> </v>
      </c>
      <c r="K4127" s="25" t="str">
        <f>IF(OR(E4127="",E4127="!!!",F4127="NEW"),"",INDEX(J$1:J4126,SUMPRODUCT(MAX(ROW(E$1:E4126)*(E4127=E$1:E4126)))))</f>
        <v> </v>
      </c>
      <c r="L4127" s="26"/>
    </row>
    <row r="4128" spans="1:12">
      <c r="A4128" s="20" t="s">
        <v>1139</v>
      </c>
      <c r="E4128" s="21">
        <f>IF(D4128="?OLD","!!!","")</f>
        <v/>
      </c>
      <c r="F4128" s="22" t="str">
        <f>IF(OR(E4128="",E4128="!!!"),"",IF(NOT(ISNA(VLOOKUP(E4128,E$1:E4127,1,FALSE()))),"OLD",IF(AND(E4128&lt;&gt;"",E4128&lt;&gt;"!!!"),"NEW","")))</f>
        <v> </v>
      </c>
      <c r="G4128" s="23" t="str">
        <f>IF(OR(E4128="",E4128="!!!"),"",IF(OR(J4128=0,AND(J4128=1,K4128=1),AND(J4128=1,I4128="SBJ"),AND(J4128=1,I4128=0)),"?IN_FOCUS",IF(J4128&lt;=2,"?ACTIVATED",IF(J4128&lt;&gt;"","?FAMILIAR",IF(F4128="NEW",IF(ISNA(VLOOKUP(E4128,#REF!,1,FALSE())),"?TYPE_IDENTIFIABLE","?REFERENTIAL"),"_")))))</f>
        <v> </v>
      </c>
      <c r="H4128" s="24" t="str">
        <f>IF(J4128&lt;&gt;1,"",IF(I4128="SBJ","CB","?"))</f>
        <v> </v>
      </c>
      <c r="I4128" s="25" t="str">
        <f>IF(OR(E4128="",E4128="!!!",F4128="NEW"),"",INDEX(B4127:B$2,-1+SUMPRODUCT(MAX(ROW(E4127:E$2)*(E4128=E4127:E$2)))))</f>
        <v> </v>
      </c>
      <c r="J4128" s="25" t="str">
        <f>IF(OR(E4128="",E4128="!!!",F4128="NEW"),"",COUNTBLANK(OFFSET(A$1,,,SUMPRODUCT(MAX(ROW(E$2:E4128)*(E4128=E$2:E4128)))))-COUNTBLANK(OFFSET(A$1,,,SUMPRODUCT(MAX(ROW(E$1:E4127)*(E2=E$1:E4127))))))</f>
        <v> </v>
      </c>
      <c r="K4128" s="25" t="str">
        <f>IF(OR(E4128="",E4128="!!!",F4128="NEW"),"",INDEX(J$1:J4127,SUMPRODUCT(MAX(ROW(E$1:E4127)*(E4128=E$1:E4127)))))</f>
        <v> </v>
      </c>
      <c r="L4128" s="26"/>
    </row>
    <row r="4129" spans="1:12">
      <c r="A4129" s="20" t="s">
        <v>2938</v>
      </c>
      <c r="E4129" s="21">
        <f>IF(D4129="?OLD","!!!","")</f>
        <v/>
      </c>
      <c r="F4129" s="22" t="str">
        <f>IF(OR(E4129="",E4129="!!!"),"",IF(NOT(ISNA(VLOOKUP(E4129,E$1:E4128,1,FALSE()))),"OLD",IF(AND(E4129&lt;&gt;"",E4129&lt;&gt;"!!!"),"NEW","")))</f>
        <v> </v>
      </c>
      <c r="G4129" s="23" t="str">
        <f>IF(OR(E4129="",E4129="!!!"),"",IF(OR(J4129=0,AND(J4129=1,K4129=1),AND(J4129=1,I4129="SBJ"),AND(J4129=1,I4129=0)),"?IN_FOCUS",IF(J4129&lt;=2,"?ACTIVATED",IF(J4129&lt;&gt;"","?FAMILIAR",IF(F4129="NEW",IF(ISNA(VLOOKUP(E4129,#REF!,1,FALSE())),"?TYPE_IDENTIFIABLE","?REFERENTIAL"),"_")))))</f>
        <v> </v>
      </c>
      <c r="H4129" s="24" t="str">
        <f>IF(J4129&lt;&gt;1,"",IF(I4129="SBJ","CB","?"))</f>
        <v> </v>
      </c>
      <c r="I4129" s="25" t="str">
        <f>IF(OR(E4129="",E4129="!!!",F4129="NEW"),"",INDEX(B4128:B$2,-1+SUMPRODUCT(MAX(ROW(E4128:E$2)*(E4129=E4128:E$2)))))</f>
        <v> </v>
      </c>
      <c r="J4129" s="25" t="str">
        <f>IF(OR(E4129="",E4129="!!!",F4129="NEW"),"",COUNTBLANK(OFFSET(A$1,,,SUMPRODUCT(MAX(ROW(E$2:E4129)*(E4129=E$2:E4129)))))-COUNTBLANK(OFFSET(A$1,,,SUMPRODUCT(MAX(ROW(E$1:E4128)*(E2=E$1:E4128))))))</f>
        <v> </v>
      </c>
      <c r="K4129" s="25" t="str">
        <f>IF(OR(E4129="",E4129="!!!",F4129="NEW"),"",INDEX(J$1:J4128,SUMPRODUCT(MAX(ROW(E$1:E4128)*(E4129=E$1:E4128)))))</f>
        <v> </v>
      </c>
      <c r="L4129" s="26"/>
    </row>
    <row r="4130" spans="1:12">
      <c r="A4130" s="20" t="s">
        <v>2939</v>
      </c>
      <c r="E4130" s="21">
        <f>IF(D4130="?OLD","!!!","")</f>
        <v/>
      </c>
      <c r="F4130" s="22" t="str">
        <f>IF(OR(E4130="",E4130="!!!"),"",IF(NOT(ISNA(VLOOKUP(E4130,E$1:E4129,1,FALSE()))),"OLD",IF(AND(E4130&lt;&gt;"",E4130&lt;&gt;"!!!"),"NEW","")))</f>
        <v> </v>
      </c>
      <c r="G4130" s="23" t="str">
        <f>IF(OR(E4130="",E4130="!!!"),"",IF(OR(J4130=0,AND(J4130=1,K4130=1),AND(J4130=1,I4130="SBJ"),AND(J4130=1,I4130=0)),"?IN_FOCUS",IF(J4130&lt;=2,"?ACTIVATED",IF(J4130&lt;&gt;"","?FAMILIAR",IF(F4130="NEW",IF(ISNA(VLOOKUP(E4130,#REF!,1,FALSE())),"?TYPE_IDENTIFIABLE","?REFERENTIAL"),"_")))))</f>
        <v> </v>
      </c>
      <c r="H4130" s="24" t="str">
        <f>IF(J4130&lt;&gt;1,"",IF(I4130="SBJ","CB","?"))</f>
        <v> </v>
      </c>
      <c r="I4130" s="25" t="str">
        <f>IF(OR(E4130="",E4130="!!!",F4130="NEW"),"",INDEX(B4129:B$2,-1+SUMPRODUCT(MAX(ROW(E4129:E$2)*(E4130=E4129:E$2)))))</f>
        <v> </v>
      </c>
      <c r="J4130" s="25" t="str">
        <f>IF(OR(E4130="",E4130="!!!",F4130="NEW"),"",COUNTBLANK(OFFSET(A$1,,,SUMPRODUCT(MAX(ROW(E$2:E4130)*(E4130=E$2:E4130)))))-COUNTBLANK(OFFSET(A$1,,,SUMPRODUCT(MAX(ROW(E$1:E4129)*(E2=E$1:E4129))))))</f>
        <v> </v>
      </c>
      <c r="K4130" s="25" t="str">
        <f>IF(OR(E4130="",E4130="!!!",F4130="NEW"),"",INDEX(J$1:J4129,SUMPRODUCT(MAX(ROW(E$1:E4129)*(E4130=E$1:E4129)))))</f>
        <v> </v>
      </c>
      <c r="L4130" s="26"/>
    </row>
    <row r="4131" spans="1:12">
      <c r="A4131" s="20" t="s">
        <v>1249</v>
      </c>
      <c r="E4131" s="21">
        <f>IF(D4131="?OLD","!!!","")</f>
        <v/>
      </c>
      <c r="F4131" s="22" t="str">
        <f>IF(OR(E4131="",E4131="!!!"),"",IF(NOT(ISNA(VLOOKUP(E4131,E$1:E4130,1,FALSE()))),"OLD",IF(AND(E4131&lt;&gt;"",E4131&lt;&gt;"!!!"),"NEW","")))</f>
        <v> </v>
      </c>
      <c r="G4131" s="23" t="str">
        <f>IF(OR(E4131="",E4131="!!!"),"",IF(OR(J4131=0,AND(J4131=1,K4131=1),AND(J4131=1,I4131="SBJ"),AND(J4131=1,I4131=0)),"?IN_FOCUS",IF(J4131&lt;=2,"?ACTIVATED",IF(J4131&lt;&gt;"","?FAMILIAR",IF(F4131="NEW",IF(ISNA(VLOOKUP(E4131,#REF!,1,FALSE())),"?TYPE_IDENTIFIABLE","?REFERENTIAL"),"_")))))</f>
        <v> </v>
      </c>
      <c r="H4131" s="24" t="str">
        <f>IF(J4131&lt;&gt;1,"",IF(I4131="SBJ","CB","?"))</f>
        <v> </v>
      </c>
      <c r="I4131" s="25" t="str">
        <f>IF(OR(E4131="",E4131="!!!",F4131="NEW"),"",INDEX(B4130:B$2,-1+SUMPRODUCT(MAX(ROW(E4130:E$2)*(E4131=E4130:E$2)))))</f>
        <v> </v>
      </c>
      <c r="J4131" s="25" t="str">
        <f>IF(OR(E4131="",E4131="!!!",F4131="NEW"),"",COUNTBLANK(OFFSET(A$1,,,SUMPRODUCT(MAX(ROW(E$2:E4131)*(E4131=E$2:E4131)))))-COUNTBLANK(OFFSET(A$1,,,SUMPRODUCT(MAX(ROW(E$1:E4130)*(E2=E$1:E4130))))))</f>
        <v> </v>
      </c>
      <c r="K4131" s="25" t="str">
        <f>IF(OR(E4131="",E4131="!!!",F4131="NEW"),"",INDEX(J$1:J4130,SUMPRODUCT(MAX(ROW(E$1:E4130)*(E4131=E$1:E4130)))))</f>
        <v> </v>
      </c>
      <c r="L4131" s="26"/>
    </row>
    <row r="4132" spans="1:12">
      <c r="A4132" s="20" t="s">
        <v>2940</v>
      </c>
      <c r="E4132" s="21">
        <f>IF(D4132="?OLD","!!!","")</f>
        <v/>
      </c>
      <c r="F4132" s="22" t="str">
        <f>IF(OR(E4132="",E4132="!!!"),"",IF(NOT(ISNA(VLOOKUP(E4132,E$1:E4131,1,FALSE()))),"OLD",IF(AND(E4132&lt;&gt;"",E4132&lt;&gt;"!!!"),"NEW","")))</f>
        <v> </v>
      </c>
      <c r="G4132" s="23" t="str">
        <f>IF(OR(E4132="",E4132="!!!"),"",IF(OR(J4132=0,AND(J4132=1,K4132=1),AND(J4132=1,I4132="SBJ"),AND(J4132=1,I4132=0)),"?IN_FOCUS",IF(J4132&lt;=2,"?ACTIVATED",IF(J4132&lt;&gt;"","?FAMILIAR",IF(F4132="NEW",IF(ISNA(VLOOKUP(E4132,#REF!,1,FALSE())),"?TYPE_IDENTIFIABLE","?REFERENTIAL"),"_")))))</f>
        <v> </v>
      </c>
      <c r="H4132" s="24" t="str">
        <f>IF(J4132&lt;&gt;1,"",IF(I4132="SBJ","CB","?"))</f>
        <v> </v>
      </c>
      <c r="I4132" s="25" t="str">
        <f>IF(OR(E4132="",E4132="!!!",F4132="NEW"),"",INDEX(B4131:B$2,-1+SUMPRODUCT(MAX(ROW(E4131:E$2)*(E4132=E4131:E$2)))))</f>
        <v> </v>
      </c>
      <c r="J4132" s="25" t="str">
        <f>IF(OR(E4132="",E4132="!!!",F4132="NEW"),"",COUNTBLANK(OFFSET(A$1,,,SUMPRODUCT(MAX(ROW(E$2:E4132)*(E4132=E$2:E4132)))))-COUNTBLANK(OFFSET(A$1,,,SUMPRODUCT(MAX(ROW(E$1:E4131)*(E2=E$1:E4131))))))</f>
        <v> </v>
      </c>
      <c r="K4132" s="25" t="str">
        <f>IF(OR(E4132="",E4132="!!!",F4132="NEW"),"",INDEX(J$1:J4131,SUMPRODUCT(MAX(ROW(E$1:E4131)*(E4132=E$1:E4131)))))</f>
        <v> </v>
      </c>
      <c r="L4132" s="26"/>
    </row>
    <row r="4133" spans="1:12">
      <c r="A4133" s="20" t="s">
        <v>1123</v>
      </c>
      <c r="E4133" s="21">
        <f>IF(D4133="?OLD","!!!","")</f>
        <v/>
      </c>
      <c r="F4133" s="22" t="str">
        <f>IF(OR(E4133="",E4133="!!!"),"",IF(NOT(ISNA(VLOOKUP(E4133,E$1:E4132,1,FALSE()))),"OLD",IF(AND(E4133&lt;&gt;"",E4133&lt;&gt;"!!!"),"NEW","")))</f>
        <v> </v>
      </c>
      <c r="G4133" s="23" t="str">
        <f>IF(OR(E4133="",E4133="!!!"),"",IF(OR(J4133=0,AND(J4133=1,K4133=1),AND(J4133=1,I4133="SBJ"),AND(J4133=1,I4133=0)),"?IN_FOCUS",IF(J4133&lt;=2,"?ACTIVATED",IF(J4133&lt;&gt;"","?FAMILIAR",IF(F4133="NEW",IF(ISNA(VLOOKUP(E4133,#REF!,1,FALSE())),"?TYPE_IDENTIFIABLE","?REFERENTIAL"),"_")))))</f>
        <v> </v>
      </c>
      <c r="H4133" s="24" t="str">
        <f>IF(J4133&lt;&gt;1,"",IF(I4133="SBJ","CB","?"))</f>
        <v> </v>
      </c>
      <c r="I4133" s="25" t="str">
        <f>IF(OR(E4133="",E4133="!!!",F4133="NEW"),"",INDEX(B4132:B$2,-1+SUMPRODUCT(MAX(ROW(E4132:E$2)*(E4133=E4132:E$2)))))</f>
        <v> </v>
      </c>
      <c r="J4133" s="25" t="str">
        <f>IF(OR(E4133="",E4133="!!!",F4133="NEW"),"",COUNTBLANK(OFFSET(A$1,,,SUMPRODUCT(MAX(ROW(E$2:E4133)*(E4133=E$2:E4133)))))-COUNTBLANK(OFFSET(A$1,,,SUMPRODUCT(MAX(ROW(E$1:E4132)*(E2=E$1:E4132))))))</f>
        <v> </v>
      </c>
      <c r="K4133" s="25" t="str">
        <f>IF(OR(E4133="",E4133="!!!",F4133="NEW"),"",INDEX(J$1:J4132,SUMPRODUCT(MAX(ROW(E$1:E4132)*(E4133=E$1:E4132)))))</f>
        <v> </v>
      </c>
      <c r="L4133" s="26"/>
    </row>
    <row r="4134" spans="1:12">
      <c r="A4134" s="20" t="s">
        <v>1271</v>
      </c>
      <c r="E4134" s="21">
        <f>IF(D4134="?OLD","!!!","")</f>
        <v/>
      </c>
      <c r="F4134" s="22" t="str">
        <f>IF(OR(E4134="",E4134="!!!"),"",IF(NOT(ISNA(VLOOKUP(E4134,E$1:E4133,1,FALSE()))),"OLD",IF(AND(E4134&lt;&gt;"",E4134&lt;&gt;"!!!"),"NEW","")))</f>
        <v> </v>
      </c>
      <c r="G4134" s="23" t="str">
        <f>IF(OR(E4134="",E4134="!!!"),"",IF(OR(J4134=0,AND(J4134=1,K4134=1),AND(J4134=1,I4134="SBJ"),AND(J4134=1,I4134=0)),"?IN_FOCUS",IF(J4134&lt;=2,"?ACTIVATED",IF(J4134&lt;&gt;"","?FAMILIAR",IF(F4134="NEW",IF(ISNA(VLOOKUP(E4134,#REF!,1,FALSE())),"?TYPE_IDENTIFIABLE","?REFERENTIAL"),"_")))))</f>
        <v> </v>
      </c>
      <c r="H4134" s="24" t="str">
        <f>IF(J4134&lt;&gt;1,"",IF(I4134="SBJ","CB","?"))</f>
        <v> </v>
      </c>
      <c r="I4134" s="25" t="str">
        <f>IF(OR(E4134="",E4134="!!!",F4134="NEW"),"",INDEX(B4133:B$2,-1+SUMPRODUCT(MAX(ROW(E4133:E$2)*(E4134=E4133:E$2)))))</f>
        <v> </v>
      </c>
      <c r="J4134" s="25" t="str">
        <f>IF(OR(E4134="",E4134="!!!",F4134="NEW"),"",COUNTBLANK(OFFSET(A$1,,,SUMPRODUCT(MAX(ROW(E$2:E4134)*(E4134=E$2:E4134)))))-COUNTBLANK(OFFSET(A$1,,,SUMPRODUCT(MAX(ROW(E$1:E4133)*(E2=E$1:E4133))))))</f>
        <v> </v>
      </c>
      <c r="K4134" s="25" t="str">
        <f>IF(OR(E4134="",E4134="!!!",F4134="NEW"),"",INDEX(J$1:J4133,SUMPRODUCT(MAX(ROW(E$1:E4133)*(E4134=E$1:E4133)))))</f>
        <v> </v>
      </c>
      <c r="L4134" s="26"/>
    </row>
    <row r="4135" spans="1:12">
      <c r="A4135" s="20" t="s">
        <v>2941</v>
      </c>
      <c r="B4135" s="27" t="s">
        <v>1132</v>
      </c>
      <c r="C4135" s="27" t="s">
        <v>1133</v>
      </c>
      <c r="E4135" s="21">
        <f>IF(D4135="?OLD","!!!","")</f>
        <v/>
      </c>
      <c r="F4135" s="22" t="str">
        <f>IF(OR(E4135="",E4135="!!!"),"",IF(NOT(ISNA(VLOOKUP(E4135,E$1:E4134,1,FALSE()))),"OLD",IF(AND(E4135&lt;&gt;"",E4135&lt;&gt;"!!!"),"NEW","")))</f>
        <v> </v>
      </c>
      <c r="G4135" s="23" t="str">
        <f>IF(OR(E4135="",E4135="!!!"),"",IF(OR(J4135=0,AND(J4135=1,K4135=1),AND(J4135=1,I4135="SBJ"),AND(J4135=1,I4135=0)),"?IN_FOCUS",IF(J4135&lt;=2,"?ACTIVATED",IF(J4135&lt;&gt;"","?FAMILIAR",IF(F4135="NEW",IF(ISNA(VLOOKUP(E4135,#REF!,1,FALSE())),"?TYPE_IDENTIFIABLE","?REFERENTIAL"),"_")))))</f>
        <v> </v>
      </c>
      <c r="H4135" s="24" t="str">
        <f>IF(J4135&lt;&gt;1,"",IF(I4135="SBJ","CB","?"))</f>
        <v> </v>
      </c>
      <c r="I4135" s="25" t="str">
        <f>IF(OR(E4135="",E4135="!!!",F4135="NEW"),"",INDEX(B4134:B$2,-1+SUMPRODUCT(MAX(ROW(E4134:E$2)*(E4135=E4134:E$2)))))</f>
        <v> </v>
      </c>
      <c r="J4135" s="25" t="str">
        <f>IF(OR(E4135="",E4135="!!!",F4135="NEW"),"",COUNTBLANK(OFFSET(A$1,,,SUMPRODUCT(MAX(ROW(E$2:E4135)*(E4135=E$2:E4135)))))-COUNTBLANK(OFFSET(A$1,,,SUMPRODUCT(MAX(ROW(E$1:E4134)*(E2=E$1:E4134))))))</f>
        <v> </v>
      </c>
      <c r="K4135" s="25" t="str">
        <f>IF(OR(E4135="",E4135="!!!",F4135="NEW"),"",INDEX(J$1:J4134,SUMPRODUCT(MAX(ROW(E$1:E4134)*(E4135=E$1:E4134)))))</f>
        <v> </v>
      </c>
      <c r="L4135" s="26"/>
    </row>
    <row r="4136" spans="1:12">
      <c r="A4136" s="20" t="s">
        <v>1124</v>
      </c>
      <c r="B4136" s="27" t="s">
        <v>1125</v>
      </c>
      <c r="C4136" s="27" t="s">
        <v>1126</v>
      </c>
      <c r="D4136" s="27" t="s">
        <v>1105</v>
      </c>
      <c r="E4136" s="21">
        <f>IF(D4136="?OLD","!!!","")</f>
        <v/>
      </c>
      <c r="F4136" s="22" t="str">
        <f>IF(OR(E4136="",E4136="!!!"),"",IF(NOT(ISNA(VLOOKUP(E4136,E$1:E4135,1,FALSE()))),"OLD",IF(AND(E4136&lt;&gt;"",E4136&lt;&gt;"!!!"),"NEW","")))</f>
        <v> </v>
      </c>
      <c r="G4136" s="23" t="str">
        <f>IF(OR(E4136="",E4136="!!!"),"",IF(OR(J4136=0,AND(J4136=1,K4136=1),AND(J4136=1,I4136="SBJ"),AND(J4136=1,I4136=0)),"?IN_FOCUS",IF(J4136&lt;=2,"?ACTIVATED",IF(J4136&lt;&gt;"","?FAMILIAR",IF(F4136="NEW",IF(ISNA(VLOOKUP(E4136,#REF!,1,FALSE())),"?TYPE_IDENTIFIABLE","?REFERENTIAL"),"_")))))</f>
        <v> </v>
      </c>
      <c r="H4136" s="24" t="str">
        <f>IF(J4136&lt;&gt;1,"",IF(I4136="SBJ","CB","?"))</f>
        <v> </v>
      </c>
      <c r="I4136" s="25" t="str">
        <f>IF(OR(E4136="",E4136="!!!",F4136="NEW"),"",INDEX(B4135:B$2,-1+SUMPRODUCT(MAX(ROW(E4135:E$2)*(E4136=E4135:E$2)))))</f>
        <v> </v>
      </c>
      <c r="J4136" s="25" t="str">
        <f>IF(OR(E4136="",E4136="!!!",F4136="NEW"),"",COUNTBLANK(OFFSET(A$1,,,SUMPRODUCT(MAX(ROW(E$2:E4136)*(E4136=E$2:E4136)))))-COUNTBLANK(OFFSET(A$1,,,SUMPRODUCT(MAX(ROW(E$1:E4135)*(E2=E$1:E4135))))))</f>
        <v> </v>
      </c>
      <c r="K4136" s="25" t="str">
        <f>IF(OR(E4136="",E4136="!!!",F4136="NEW"),"",INDEX(J$1:J4135,SUMPRODUCT(MAX(ROW(E$1:E4135)*(E4136=E$1:E4135)))))</f>
        <v> </v>
      </c>
      <c r="L4136" s="26"/>
    </row>
    <row r="4137" spans="1:12">
      <c r="A4137" s="20" t="s">
        <v>2942</v>
      </c>
      <c r="E4137" s="21">
        <f>IF(D4137="?OLD","!!!","")</f>
        <v/>
      </c>
      <c r="F4137" s="22" t="str">
        <f>IF(OR(E4137="",E4137="!!!"),"",IF(NOT(ISNA(VLOOKUP(E4137,E$1:E4136,1,FALSE()))),"OLD",IF(AND(E4137&lt;&gt;"",E4137&lt;&gt;"!!!"),"NEW","")))</f>
        <v> </v>
      </c>
      <c r="G4137" s="23" t="str">
        <f>IF(OR(E4137="",E4137="!!!"),"",IF(OR(J4137=0,AND(J4137=1,K4137=1),AND(J4137=1,I4137="SBJ"),AND(J4137=1,I4137=0)),"?IN_FOCUS",IF(J4137&lt;=2,"?ACTIVATED",IF(J4137&lt;&gt;"","?FAMILIAR",IF(F4137="NEW",IF(ISNA(VLOOKUP(E4137,#REF!,1,FALSE())),"?TYPE_IDENTIFIABLE","?REFERENTIAL"),"_")))))</f>
        <v> </v>
      </c>
      <c r="H4137" s="24" t="str">
        <f>IF(J4137&lt;&gt;1,"",IF(I4137="SBJ","CB","?"))</f>
        <v> </v>
      </c>
      <c r="I4137" s="25" t="str">
        <f>IF(OR(E4137="",E4137="!!!",F4137="NEW"),"",INDEX(B4136:B$2,-1+SUMPRODUCT(MAX(ROW(E4136:E$2)*(E4137=E4136:E$2)))))</f>
        <v> </v>
      </c>
      <c r="J4137" s="25" t="str">
        <f>IF(OR(E4137="",E4137="!!!",F4137="NEW"),"",COUNTBLANK(OFFSET(A$1,,,SUMPRODUCT(MAX(ROW(E$2:E4137)*(E4137=E$2:E4137)))))-COUNTBLANK(OFFSET(A$1,,,SUMPRODUCT(MAX(ROW(E$1:E4136)*(E2=E$1:E4136))))))</f>
        <v> </v>
      </c>
      <c r="K4137" s="25" t="str">
        <f>IF(OR(E4137="",E4137="!!!",F4137="NEW"),"",INDEX(J$1:J4136,SUMPRODUCT(MAX(ROW(E$1:E4136)*(E4137=E$1:E4136)))))</f>
        <v> </v>
      </c>
      <c r="L4137" s="26"/>
    </row>
    <row r="4138" spans="1:12">
      <c r="A4138" s="20" t="s">
        <v>1184</v>
      </c>
      <c r="E4138" s="21">
        <f>IF(D4138="?OLD","!!!","")</f>
        <v/>
      </c>
      <c r="F4138" s="22" t="str">
        <f>IF(OR(E4138="",E4138="!!!"),"",IF(NOT(ISNA(VLOOKUP(E4138,E$1:E4137,1,FALSE()))),"OLD",IF(AND(E4138&lt;&gt;"",E4138&lt;&gt;"!!!"),"NEW","")))</f>
        <v> </v>
      </c>
      <c r="G4138" s="23" t="str">
        <f>IF(OR(E4138="",E4138="!!!"),"",IF(OR(J4138=0,AND(J4138=1,K4138=1),AND(J4138=1,I4138="SBJ"),AND(J4138=1,I4138=0)),"?IN_FOCUS",IF(J4138&lt;=2,"?ACTIVATED",IF(J4138&lt;&gt;"","?FAMILIAR",IF(F4138="NEW",IF(ISNA(VLOOKUP(E4138,#REF!,1,FALSE())),"?TYPE_IDENTIFIABLE","?REFERENTIAL"),"_")))))</f>
        <v> </v>
      </c>
      <c r="H4138" s="24" t="str">
        <f>IF(J4138&lt;&gt;1,"",IF(I4138="SBJ","CB","?"))</f>
        <v> </v>
      </c>
      <c r="I4138" s="25" t="str">
        <f>IF(OR(E4138="",E4138="!!!",F4138="NEW"),"",INDEX(B4137:B$2,-1+SUMPRODUCT(MAX(ROW(E4137:E$2)*(E4138=E4137:E$2)))))</f>
        <v> </v>
      </c>
      <c r="J4138" s="25" t="str">
        <f>IF(OR(E4138="",E4138="!!!",F4138="NEW"),"",COUNTBLANK(OFFSET(A$1,,,SUMPRODUCT(MAX(ROW(E$2:E4138)*(E4138=E$2:E4138)))))-COUNTBLANK(OFFSET(A$1,,,SUMPRODUCT(MAX(ROW(E$1:E4137)*(E2=E$1:E4137))))))</f>
        <v> </v>
      </c>
      <c r="K4138" s="25" t="str">
        <f>IF(OR(E4138="",E4138="!!!",F4138="NEW"),"",INDEX(J$1:J4137,SUMPRODUCT(MAX(ROW(E$1:E4137)*(E4138=E$1:E4137)))))</f>
        <v> </v>
      </c>
      <c r="L4138" s="26"/>
    </row>
    <row r="4139" spans="1:12">
      <c r="A4139" s="20" t="s">
        <v>1664</v>
      </c>
      <c r="E4139" s="21">
        <f>IF(D4139="?OLD","!!!","")</f>
        <v/>
      </c>
      <c r="F4139" s="22" t="str">
        <f>IF(OR(E4139="",E4139="!!!"),"",IF(NOT(ISNA(VLOOKUP(E4139,E$1:E4138,1,FALSE()))),"OLD",IF(AND(E4139&lt;&gt;"",E4139&lt;&gt;"!!!"),"NEW","")))</f>
        <v> </v>
      </c>
      <c r="G4139" s="23" t="str">
        <f>IF(OR(E4139="",E4139="!!!"),"",IF(OR(J4139=0,AND(J4139=1,K4139=1),AND(J4139=1,I4139="SBJ"),AND(J4139=1,I4139=0)),"?IN_FOCUS",IF(J4139&lt;=2,"?ACTIVATED",IF(J4139&lt;&gt;"","?FAMILIAR",IF(F4139="NEW",IF(ISNA(VLOOKUP(E4139,#REF!,1,FALSE())),"?TYPE_IDENTIFIABLE","?REFERENTIAL"),"_")))))</f>
        <v> </v>
      </c>
      <c r="H4139" s="24" t="str">
        <f>IF(J4139&lt;&gt;1,"",IF(I4139="SBJ","CB","?"))</f>
        <v> </v>
      </c>
      <c r="I4139" s="25" t="str">
        <f>IF(OR(E4139="",E4139="!!!",F4139="NEW"),"",INDEX(B4138:B$2,-1+SUMPRODUCT(MAX(ROW(E4138:E$2)*(E4139=E4138:E$2)))))</f>
        <v> </v>
      </c>
      <c r="J4139" s="25" t="str">
        <f>IF(OR(E4139="",E4139="!!!",F4139="NEW"),"",COUNTBLANK(OFFSET(A$1,,,SUMPRODUCT(MAX(ROW(E$2:E4139)*(E4139=E$2:E4139)))))-COUNTBLANK(OFFSET(A$1,,,SUMPRODUCT(MAX(ROW(E$1:E4138)*(E2=E$1:E4138))))))</f>
        <v> </v>
      </c>
      <c r="K4139" s="25" t="str">
        <f>IF(OR(E4139="",E4139="!!!",F4139="NEW"),"",INDEX(J$1:J4138,SUMPRODUCT(MAX(ROW(E$1:E4138)*(E4139=E$1:E4138)))))</f>
        <v> </v>
      </c>
      <c r="L4139" s="26"/>
    </row>
    <row r="4140" spans="1:12">
      <c r="A4140" s="20" t="s">
        <v>2943</v>
      </c>
      <c r="B4140" s="27" t="s">
        <v>1132</v>
      </c>
      <c r="C4140" s="27" t="s">
        <v>1156</v>
      </c>
      <c r="D4140" s="27" t="s">
        <v>1105</v>
      </c>
      <c r="E4140" s="21">
        <f>IF(D4140="?OLD","!!!","")</f>
        <v/>
      </c>
      <c r="F4140" s="22" t="str">
        <f>IF(OR(E4140="",E4140="!!!"),"",IF(NOT(ISNA(VLOOKUP(E4140,E$1:E4139,1,FALSE()))),"OLD",IF(AND(E4140&lt;&gt;"",E4140&lt;&gt;"!!!"),"NEW","")))</f>
        <v> </v>
      </c>
      <c r="G4140" s="23" t="str">
        <f>IF(OR(E4140="",E4140="!!!"),"",IF(OR(J4140=0,AND(J4140=1,K4140=1),AND(J4140=1,I4140="SBJ"),AND(J4140=1,I4140=0)),"?IN_FOCUS",IF(J4140&lt;=2,"?ACTIVATED",IF(J4140&lt;&gt;"","?FAMILIAR",IF(F4140="NEW",IF(ISNA(VLOOKUP(E4140,#REF!,1,FALSE())),"?TYPE_IDENTIFIABLE","?REFERENTIAL"),"_")))))</f>
        <v> </v>
      </c>
      <c r="H4140" s="24" t="str">
        <f>IF(J4140&lt;&gt;1,"",IF(I4140="SBJ","CB","?"))</f>
        <v> </v>
      </c>
      <c r="I4140" s="25" t="str">
        <f>IF(OR(E4140="",E4140="!!!",F4140="NEW"),"",INDEX(B4139:B$2,-1+SUMPRODUCT(MAX(ROW(E4139:E$2)*(E4140=E4139:E$2)))))</f>
        <v> </v>
      </c>
      <c r="J4140" s="25" t="str">
        <f>IF(OR(E4140="",E4140="!!!",F4140="NEW"),"",COUNTBLANK(OFFSET(A$1,,,SUMPRODUCT(MAX(ROW(E$2:E4140)*(E4140=E$2:E4140)))))-COUNTBLANK(OFFSET(A$1,,,SUMPRODUCT(MAX(ROW(E$1:E4139)*(E2=E$1:E4139))))))</f>
        <v> </v>
      </c>
      <c r="K4140" s="25" t="str">
        <f>IF(OR(E4140="",E4140="!!!",F4140="NEW"),"",INDEX(J$1:J4139,SUMPRODUCT(MAX(ROW(E$1:E4139)*(E4140=E$1:E4139)))))</f>
        <v> </v>
      </c>
      <c r="L4140" s="26"/>
    </row>
    <row r="4141" spans="1:12">
      <c r="A4141" s="20" t="s">
        <v>1242</v>
      </c>
      <c r="B4141" s="27" t="s">
        <v>1144</v>
      </c>
      <c r="C4141" s="27" t="s">
        <v>1126</v>
      </c>
      <c r="D4141" s="27" t="s">
        <v>1105</v>
      </c>
      <c r="E4141" s="21">
        <f>IF(D4141="?OLD","!!!","")</f>
        <v/>
      </c>
      <c r="F4141" s="22" t="str">
        <f>IF(OR(E4141="",E4141="!!!"),"",IF(NOT(ISNA(VLOOKUP(E4141,E$1:E4140,1,FALSE()))),"OLD",IF(AND(E4141&lt;&gt;"",E4141&lt;&gt;"!!!"),"NEW","")))</f>
        <v> </v>
      </c>
      <c r="G4141" s="23" t="str">
        <f>IF(OR(E4141="",E4141="!!!"),"",IF(OR(J4141=0,AND(J4141=1,K4141=1),AND(J4141=1,I4141="SBJ"),AND(J4141=1,I4141=0)),"?IN_FOCUS",IF(J4141&lt;=2,"?ACTIVATED",IF(J4141&lt;&gt;"","?FAMILIAR",IF(F4141="NEW",IF(ISNA(VLOOKUP(E4141,#REF!,1,FALSE())),"?TYPE_IDENTIFIABLE","?REFERENTIAL"),"_")))))</f>
        <v> </v>
      </c>
      <c r="H4141" s="24" t="str">
        <f>IF(J4141&lt;&gt;1,"",IF(I4141="SBJ","CB","?"))</f>
        <v> </v>
      </c>
      <c r="I4141" s="25" t="str">
        <f>IF(OR(E4141="",E4141="!!!",F4141="NEW"),"",INDEX(B4140:B$2,-1+SUMPRODUCT(MAX(ROW(E4140:E$2)*(E4141=E4140:E$2)))))</f>
        <v> </v>
      </c>
      <c r="J4141" s="25" t="str">
        <f>IF(OR(E4141="",E4141="!!!",F4141="NEW"),"",COUNTBLANK(OFFSET(A$1,,,SUMPRODUCT(MAX(ROW(E$2:E4141)*(E4141=E$2:E4141)))))-COUNTBLANK(OFFSET(A$1,,,SUMPRODUCT(MAX(ROW(E$1:E4140)*(E2=E$1:E4140))))))</f>
        <v> </v>
      </c>
      <c r="K4141" s="25" t="str">
        <f>IF(OR(E4141="",E4141="!!!",F4141="NEW"),"",INDEX(J$1:J4140,SUMPRODUCT(MAX(ROW(E$1:E4140)*(E4141=E$1:E4140)))))</f>
        <v> </v>
      </c>
      <c r="L4141" s="26"/>
    </row>
    <row r="4142" spans="1:12">
      <c r="A4142" s="20" t="s">
        <v>2944</v>
      </c>
      <c r="E4142" s="21">
        <f>IF(D4142="?OLD","!!!","")</f>
        <v/>
      </c>
      <c r="F4142" s="22" t="str">
        <f>IF(OR(E4142="",E4142="!!!"),"",IF(NOT(ISNA(VLOOKUP(E4142,E$1:E4141,1,FALSE()))),"OLD",IF(AND(E4142&lt;&gt;"",E4142&lt;&gt;"!!!"),"NEW","")))</f>
        <v> </v>
      </c>
      <c r="G4142" s="23" t="str">
        <f>IF(OR(E4142="",E4142="!!!"),"",IF(OR(J4142=0,AND(J4142=1,K4142=1),AND(J4142=1,I4142="SBJ"),AND(J4142=1,I4142=0)),"?IN_FOCUS",IF(J4142&lt;=2,"?ACTIVATED",IF(J4142&lt;&gt;"","?FAMILIAR",IF(F4142="NEW",IF(ISNA(VLOOKUP(E4142,#REF!,1,FALSE())),"?TYPE_IDENTIFIABLE","?REFERENTIAL"),"_")))))</f>
        <v> </v>
      </c>
      <c r="H4142" s="24" t="str">
        <f>IF(J4142&lt;&gt;1,"",IF(I4142="SBJ","CB","?"))</f>
        <v> </v>
      </c>
      <c r="I4142" s="25" t="str">
        <f>IF(OR(E4142="",E4142="!!!",F4142="NEW"),"",INDEX(B4141:B$2,-1+SUMPRODUCT(MAX(ROW(E4141:E$2)*(E4142=E4141:E$2)))))</f>
        <v> </v>
      </c>
      <c r="J4142" s="25" t="str">
        <f>IF(OR(E4142="",E4142="!!!",F4142="NEW"),"",COUNTBLANK(OFFSET(A$1,,,SUMPRODUCT(MAX(ROW(E$2:E4142)*(E4142=E$2:E4142)))))-COUNTBLANK(OFFSET(A$1,,,SUMPRODUCT(MAX(ROW(E$1:E4141)*(E2=E$1:E4141))))))</f>
        <v> </v>
      </c>
      <c r="K4142" s="25" t="str">
        <f>IF(OR(E4142="",E4142="!!!",F4142="NEW"),"",INDEX(J$1:J4141,SUMPRODUCT(MAX(ROW(E$1:E4141)*(E4142=E$1:E4141)))))</f>
        <v> </v>
      </c>
      <c r="L4142" s="26"/>
    </row>
    <row r="4143" spans="1:12">
      <c r="A4143" s="20" t="s">
        <v>2103</v>
      </c>
      <c r="B4143" s="27" t="s">
        <v>1144</v>
      </c>
      <c r="E4143" s="21">
        <f>IF(D4143="?OLD","!!!","")</f>
        <v/>
      </c>
      <c r="F4143" s="22" t="str">
        <f>IF(OR(E4143="",E4143="!!!"),"",IF(NOT(ISNA(VLOOKUP(E4143,E$1:E4142,1,FALSE()))),"OLD",IF(AND(E4143&lt;&gt;"",E4143&lt;&gt;"!!!"),"NEW","")))</f>
        <v> </v>
      </c>
      <c r="G4143" s="23" t="str">
        <f>IF(OR(E4143="",E4143="!!!"),"",IF(OR(J4143=0,AND(J4143=1,K4143=1),AND(J4143=1,I4143="SBJ"),AND(J4143=1,I4143=0)),"?IN_FOCUS",IF(J4143&lt;=2,"?ACTIVATED",IF(J4143&lt;&gt;"","?FAMILIAR",IF(F4143="NEW",IF(ISNA(VLOOKUP(E4143,#REF!,1,FALSE())),"?TYPE_IDENTIFIABLE","?REFERENTIAL"),"_")))))</f>
        <v> </v>
      </c>
      <c r="H4143" s="24" t="str">
        <f>IF(J4143&lt;&gt;1,"",IF(I4143="SBJ","CB","?"))</f>
        <v> </v>
      </c>
      <c r="I4143" s="25" t="str">
        <f>IF(OR(E4143="",E4143="!!!",F4143="NEW"),"",INDEX(B4142:B$2,-1+SUMPRODUCT(MAX(ROW(E4142:E$2)*(E4143=E4142:E$2)))))</f>
        <v> </v>
      </c>
      <c r="J4143" s="25" t="str">
        <f>IF(OR(E4143="",E4143="!!!",F4143="NEW"),"",COUNTBLANK(OFFSET(A$1,,,SUMPRODUCT(MAX(ROW(E$2:E4143)*(E4143=E$2:E4143)))))-COUNTBLANK(OFFSET(A$1,,,SUMPRODUCT(MAX(ROW(E$1:E4142)*(E2=E$1:E4142))))))</f>
        <v> </v>
      </c>
      <c r="K4143" s="25" t="str">
        <f>IF(OR(E4143="",E4143="!!!",F4143="NEW"),"",INDEX(J$1:J4142,SUMPRODUCT(MAX(ROW(E$1:E4142)*(E4143=E$1:E4142)))))</f>
        <v> </v>
      </c>
      <c r="L4143" s="26"/>
    </row>
    <row r="4144" spans="1:12">
      <c r="A4144" s="20" t="s">
        <v>1145</v>
      </c>
      <c r="E4144" s="21">
        <f>IF(D4144="?OLD","!!!","")</f>
        <v/>
      </c>
      <c r="F4144" s="22" t="str">
        <f>IF(OR(E4144="",E4144="!!!"),"",IF(NOT(ISNA(VLOOKUP(E4144,E$1:E4143,1,FALSE()))),"OLD",IF(AND(E4144&lt;&gt;"",E4144&lt;&gt;"!!!"),"NEW","")))</f>
        <v> </v>
      </c>
      <c r="G4144" s="23" t="str">
        <f>IF(OR(E4144="",E4144="!!!"),"",IF(OR(J4144=0,AND(J4144=1,K4144=1),AND(J4144=1,I4144="SBJ"),AND(J4144=1,I4144=0)),"?IN_FOCUS",IF(J4144&lt;=2,"?ACTIVATED",IF(J4144&lt;&gt;"","?FAMILIAR",IF(F4144="NEW",IF(ISNA(VLOOKUP(E4144,#REF!,1,FALSE())),"?TYPE_IDENTIFIABLE","?REFERENTIAL"),"_")))))</f>
        <v> </v>
      </c>
      <c r="H4144" s="24" t="str">
        <f>IF(J4144&lt;&gt;1,"",IF(I4144="SBJ","CB","?"))</f>
        <v> </v>
      </c>
      <c r="I4144" s="25" t="str">
        <f>IF(OR(E4144="",E4144="!!!",F4144="NEW"),"",INDEX(B4143:B$2,-1+SUMPRODUCT(MAX(ROW(E4143:E$2)*(E4144=E4143:E$2)))))</f>
        <v> </v>
      </c>
      <c r="J4144" s="25" t="str">
        <f>IF(OR(E4144="",E4144="!!!",F4144="NEW"),"",COUNTBLANK(OFFSET(A$1,,,SUMPRODUCT(MAX(ROW(E$2:E4144)*(E4144=E$2:E4144)))))-COUNTBLANK(OFFSET(A$1,,,SUMPRODUCT(MAX(ROW(E$1:E4143)*(E2=E$1:E4143))))))</f>
        <v> </v>
      </c>
      <c r="K4144" s="25" t="str">
        <f>IF(OR(E4144="",E4144="!!!",F4144="NEW"),"",INDEX(J$1:J4143,SUMPRODUCT(MAX(ROW(E$1:E4143)*(E4144=E$1:E4143)))))</f>
        <v> </v>
      </c>
      <c r="L4144" s="26"/>
    </row>
    <row r="4145" spans="1:12">
      <c r="A4145" s="20"/>
    </row>
    <row r="4146" spans="1:12">
      <c r="A4146" s="20" t="s">
        <v>2945</v>
      </c>
    </row>
    <row r="4147" spans="1:12">
      <c r="A4147" s="20" t="s">
        <v>2946</v>
      </c>
      <c r="E4147" s="21">
        <f>IF(D4147="?OLD","!!!","")</f>
        <v/>
      </c>
      <c r="F4147" s="22" t="str">
        <f>IF(OR(E4147="",E4147="!!!"),"",IF(NOT(ISNA(VLOOKUP(E4147,E$1:E4146,1,FALSE()))),"OLD",IF(AND(E4147&lt;&gt;"",E4147&lt;&gt;"!!!"),"NEW","")))</f>
        <v> </v>
      </c>
      <c r="G4147" s="23" t="str">
        <f>IF(OR(E4147="",E4147="!!!"),"",IF(OR(J4147=0,AND(J4147=1,K4147=1),AND(J4147=1,I4147="SBJ"),AND(J4147=1,I4147=0)),"?IN_FOCUS",IF(J4147&lt;=2,"?ACTIVATED",IF(J4147&lt;&gt;"","?FAMILIAR",IF(F4147="NEW",IF(ISNA(VLOOKUP(E4147,#REF!,1,FALSE())),"?TYPE_IDENTIFIABLE","?REFERENTIAL"),"_")))))</f>
        <v> </v>
      </c>
      <c r="H4147" s="24" t="str">
        <f>IF(J4147&lt;&gt;1,"",IF(I4147="SBJ","CB","?"))</f>
        <v> </v>
      </c>
      <c r="I4147" s="25" t="str">
        <f>IF(OR(E4147="",E4147="!!!",F4147="NEW"),"",INDEX(B4146:B$2,-1+SUMPRODUCT(MAX(ROW(E4146:E$2)*(E4147=E4146:E$2)))))</f>
        <v> </v>
      </c>
      <c r="J4147" s="25" t="str">
        <f>IF(OR(E4147="",E4147="!!!",F4147="NEW"),"",COUNTBLANK(OFFSET(A$1,,,SUMPRODUCT(MAX(ROW(E$2:E4147)*(E4147=E$2:E4147)))))-COUNTBLANK(OFFSET(A$1,,,SUMPRODUCT(MAX(ROW(E$1:E4146)*(E2=E$1:E4146))))))</f>
        <v> </v>
      </c>
      <c r="K4147" s="25" t="str">
        <f>IF(OR(E4147="",E4147="!!!",F4147="NEW"),"",INDEX(J$1:J4146,SUMPRODUCT(MAX(ROW(E$1:E4146)*(E4147=E$1:E4146)))))</f>
        <v> </v>
      </c>
      <c r="L4147" s="26"/>
    </row>
    <row r="4148" spans="1:12">
      <c r="A4148" s="20" t="s">
        <v>2947</v>
      </c>
      <c r="E4148" s="21">
        <f>IF(D4148="?OLD","!!!","")</f>
        <v/>
      </c>
      <c r="F4148" s="22" t="str">
        <f>IF(OR(E4148="",E4148="!!!"),"",IF(NOT(ISNA(VLOOKUP(E4148,E$1:E4147,1,FALSE()))),"OLD",IF(AND(E4148&lt;&gt;"",E4148&lt;&gt;"!!!"),"NEW","")))</f>
        <v> </v>
      </c>
      <c r="G4148" s="23" t="str">
        <f>IF(OR(E4148="",E4148="!!!"),"",IF(OR(J4148=0,AND(J4148=1,K4148=1),AND(J4148=1,I4148="SBJ"),AND(J4148=1,I4148=0)),"?IN_FOCUS",IF(J4148&lt;=2,"?ACTIVATED",IF(J4148&lt;&gt;"","?FAMILIAR",IF(F4148="NEW",IF(ISNA(VLOOKUP(E4148,#REF!,1,FALSE())),"?TYPE_IDENTIFIABLE","?REFERENTIAL"),"_")))))</f>
        <v> </v>
      </c>
      <c r="H4148" s="24" t="str">
        <f>IF(J4148&lt;&gt;1,"",IF(I4148="SBJ","CB","?"))</f>
        <v> </v>
      </c>
      <c r="I4148" s="25" t="str">
        <f>IF(OR(E4148="",E4148="!!!",F4148="NEW"),"",INDEX(B4147:B$2,-1+SUMPRODUCT(MAX(ROW(E4147:E$2)*(E4148=E4147:E$2)))))</f>
        <v> </v>
      </c>
      <c r="J4148" s="25" t="str">
        <f>IF(OR(E4148="",E4148="!!!",F4148="NEW"),"",COUNTBLANK(OFFSET(A$1,,,SUMPRODUCT(MAX(ROW(E$2:E4148)*(E4148=E$2:E4148)))))-COUNTBLANK(OFFSET(A$1,,,SUMPRODUCT(MAX(ROW(E$1:E4147)*(E2=E$1:E4147))))))</f>
        <v> </v>
      </c>
      <c r="K4148" s="25" t="str">
        <f>IF(OR(E4148="",E4148="!!!",F4148="NEW"),"",INDEX(J$1:J4147,SUMPRODUCT(MAX(ROW(E$1:E4147)*(E4148=E$1:E4147)))))</f>
        <v> </v>
      </c>
      <c r="L4148" s="26"/>
    </row>
    <row r="4149" spans="1:12">
      <c r="A4149" s="20" t="s">
        <v>1123</v>
      </c>
      <c r="E4149" s="21">
        <f>IF(D4149="?OLD","!!!","")</f>
        <v/>
      </c>
      <c r="F4149" s="22" t="str">
        <f>IF(OR(E4149="",E4149="!!!"),"",IF(NOT(ISNA(VLOOKUP(E4149,E$1:E4148,1,FALSE()))),"OLD",IF(AND(E4149&lt;&gt;"",E4149&lt;&gt;"!!!"),"NEW","")))</f>
        <v> </v>
      </c>
      <c r="G4149" s="23" t="str">
        <f>IF(OR(E4149="",E4149="!!!"),"",IF(OR(J4149=0,AND(J4149=1,K4149=1),AND(J4149=1,I4149="SBJ"),AND(J4149=1,I4149=0)),"?IN_FOCUS",IF(J4149&lt;=2,"?ACTIVATED",IF(J4149&lt;&gt;"","?FAMILIAR",IF(F4149="NEW",IF(ISNA(VLOOKUP(E4149,#REF!,1,FALSE())),"?TYPE_IDENTIFIABLE","?REFERENTIAL"),"_")))))</f>
        <v> </v>
      </c>
      <c r="H4149" s="24" t="str">
        <f>IF(J4149&lt;&gt;1,"",IF(I4149="SBJ","CB","?"))</f>
        <v> </v>
      </c>
      <c r="I4149" s="25" t="str">
        <f>IF(OR(E4149="",E4149="!!!",F4149="NEW"),"",INDEX(B4148:B$2,-1+SUMPRODUCT(MAX(ROW(E4148:E$2)*(E4149=E4148:E$2)))))</f>
        <v> </v>
      </c>
      <c r="J4149" s="25" t="str">
        <f>IF(OR(E4149="",E4149="!!!",F4149="NEW"),"",COUNTBLANK(OFFSET(A$1,,,SUMPRODUCT(MAX(ROW(E$2:E4149)*(E4149=E$2:E4149)))))-COUNTBLANK(OFFSET(A$1,,,SUMPRODUCT(MAX(ROW(E$1:E4148)*(E2=E$1:E4148))))))</f>
        <v> </v>
      </c>
      <c r="K4149" s="25" t="str">
        <f>IF(OR(E4149="",E4149="!!!",F4149="NEW"),"",INDEX(J$1:J4148,SUMPRODUCT(MAX(ROW(E$1:E4148)*(E4149=E$1:E4148)))))</f>
        <v> </v>
      </c>
      <c r="L4149" s="26"/>
    </row>
    <row r="4150" spans="1:12">
      <c r="A4150" s="20" t="s">
        <v>2948</v>
      </c>
      <c r="E4150" s="21">
        <f>IF(D4150="?OLD","!!!","")</f>
        <v/>
      </c>
      <c r="F4150" s="22" t="str">
        <f>IF(OR(E4150="",E4150="!!!"),"",IF(NOT(ISNA(VLOOKUP(E4150,E$1:E4149,1,FALSE()))),"OLD",IF(AND(E4150&lt;&gt;"",E4150&lt;&gt;"!!!"),"NEW","")))</f>
        <v> </v>
      </c>
      <c r="G4150" s="23" t="str">
        <f>IF(OR(E4150="",E4150="!!!"),"",IF(OR(J4150=0,AND(J4150=1,K4150=1),AND(J4150=1,I4150="SBJ"),AND(J4150=1,I4150=0)),"?IN_FOCUS",IF(J4150&lt;=2,"?ACTIVATED",IF(J4150&lt;&gt;"","?FAMILIAR",IF(F4150="NEW",IF(ISNA(VLOOKUP(E4150,#REF!,1,FALSE())),"?TYPE_IDENTIFIABLE","?REFERENTIAL"),"_")))))</f>
        <v> </v>
      </c>
      <c r="H4150" s="24" t="str">
        <f>IF(J4150&lt;&gt;1,"",IF(I4150="SBJ","CB","?"))</f>
        <v> </v>
      </c>
      <c r="I4150" s="25" t="str">
        <f>IF(OR(E4150="",E4150="!!!",F4150="NEW"),"",INDEX(B4149:B$2,-1+SUMPRODUCT(MAX(ROW(E4149:E$2)*(E4150=E4149:E$2)))))</f>
        <v> </v>
      </c>
      <c r="J4150" s="25" t="str">
        <f>IF(OR(E4150="",E4150="!!!",F4150="NEW"),"",COUNTBLANK(OFFSET(A$1,,,SUMPRODUCT(MAX(ROW(E$2:E4150)*(E4150=E$2:E4150)))))-COUNTBLANK(OFFSET(A$1,,,SUMPRODUCT(MAX(ROW(E$1:E4149)*(E2=E$1:E4149))))))</f>
        <v> </v>
      </c>
      <c r="K4150" s="25" t="str">
        <f>IF(OR(E4150="",E4150="!!!",F4150="NEW"),"",INDEX(J$1:J4149,SUMPRODUCT(MAX(ROW(E$1:E4149)*(E4150=E$1:E4149)))))</f>
        <v> </v>
      </c>
      <c r="L4150" s="26"/>
    </row>
    <row r="4151" spans="1:12">
      <c r="A4151" s="20" t="s">
        <v>2488</v>
      </c>
      <c r="B4151" s="27" t="s">
        <v>1149</v>
      </c>
      <c r="E4151" s="21">
        <f>IF(D4151="?OLD","!!!","")</f>
        <v/>
      </c>
      <c r="F4151" s="22" t="str">
        <f>IF(OR(E4151="",E4151="!!!"),"",IF(NOT(ISNA(VLOOKUP(E4151,E$1:E4150,1,FALSE()))),"OLD",IF(AND(E4151&lt;&gt;"",E4151&lt;&gt;"!!!"),"NEW","")))</f>
        <v> </v>
      </c>
      <c r="G4151" s="23" t="str">
        <f>IF(OR(E4151="",E4151="!!!"),"",IF(OR(J4151=0,AND(J4151=1,K4151=1),AND(J4151=1,I4151="SBJ"),AND(J4151=1,I4151=0)),"?IN_FOCUS",IF(J4151&lt;=2,"?ACTIVATED",IF(J4151&lt;&gt;"","?FAMILIAR",IF(F4151="NEW",IF(ISNA(VLOOKUP(E4151,#REF!,1,FALSE())),"?TYPE_IDENTIFIABLE","?REFERENTIAL"),"_")))))</f>
        <v> </v>
      </c>
      <c r="H4151" s="24" t="str">
        <f>IF(J4151&lt;&gt;1,"",IF(I4151="SBJ","CB","?"))</f>
        <v> </v>
      </c>
      <c r="I4151" s="25" t="str">
        <f>IF(OR(E4151="",E4151="!!!",F4151="NEW"),"",INDEX(B4150:B$2,-1+SUMPRODUCT(MAX(ROW(E4150:E$2)*(E4151=E4150:E$2)))))</f>
        <v> </v>
      </c>
      <c r="J4151" s="25" t="str">
        <f>IF(OR(E4151="",E4151="!!!",F4151="NEW"),"",COUNTBLANK(OFFSET(A$1,,,SUMPRODUCT(MAX(ROW(E$2:E4151)*(E4151=E$2:E4151)))))-COUNTBLANK(OFFSET(A$1,,,SUMPRODUCT(MAX(ROW(E$1:E4150)*(E2=E$1:E4150))))))</f>
        <v> </v>
      </c>
      <c r="K4151" s="25" t="str">
        <f>IF(OR(E4151="",E4151="!!!",F4151="NEW"),"",INDEX(J$1:J4150,SUMPRODUCT(MAX(ROW(E$1:E4150)*(E4151=E$1:E4150)))))</f>
        <v> </v>
      </c>
      <c r="L4151" s="26"/>
    </row>
    <row r="4152" spans="1:12">
      <c r="A4152" s="20" t="s">
        <v>2324</v>
      </c>
      <c r="E4152" s="21">
        <f>IF(D4152="?OLD","!!!","")</f>
        <v/>
      </c>
      <c r="F4152" s="22" t="str">
        <f>IF(OR(E4152="",E4152="!!!"),"",IF(NOT(ISNA(VLOOKUP(E4152,E$1:E4151,1,FALSE()))),"OLD",IF(AND(E4152&lt;&gt;"",E4152&lt;&gt;"!!!"),"NEW","")))</f>
        <v> </v>
      </c>
      <c r="G4152" s="23" t="str">
        <f>IF(OR(E4152="",E4152="!!!"),"",IF(OR(J4152=0,AND(J4152=1,K4152=1),AND(J4152=1,I4152="SBJ"),AND(J4152=1,I4152=0)),"?IN_FOCUS",IF(J4152&lt;=2,"?ACTIVATED",IF(J4152&lt;&gt;"","?FAMILIAR",IF(F4152="NEW",IF(ISNA(VLOOKUP(E4152,#REF!,1,FALSE())),"?TYPE_IDENTIFIABLE","?REFERENTIAL"),"_")))))</f>
        <v> </v>
      </c>
      <c r="H4152" s="24" t="str">
        <f>IF(J4152&lt;&gt;1,"",IF(I4152="SBJ","CB","?"))</f>
        <v> </v>
      </c>
      <c r="I4152" s="25" t="str">
        <f>IF(OR(E4152="",E4152="!!!",F4152="NEW"),"",INDEX(B4151:B$2,-1+SUMPRODUCT(MAX(ROW(E4151:E$2)*(E4152=E4151:E$2)))))</f>
        <v> </v>
      </c>
      <c r="J4152" s="25" t="str">
        <f>IF(OR(E4152="",E4152="!!!",F4152="NEW"),"",COUNTBLANK(OFFSET(A$1,,,SUMPRODUCT(MAX(ROW(E$2:E4152)*(E4152=E$2:E4152)))))-COUNTBLANK(OFFSET(A$1,,,SUMPRODUCT(MAX(ROW(E$1:E4151)*(E2=E$1:E4151))))))</f>
        <v> </v>
      </c>
      <c r="K4152" s="25" t="str">
        <f>IF(OR(E4152="",E4152="!!!",F4152="NEW"),"",INDEX(J$1:J4151,SUMPRODUCT(MAX(ROW(E$1:E4151)*(E4152=E$1:E4151)))))</f>
        <v> </v>
      </c>
      <c r="L4152" s="26"/>
    </row>
    <row r="4153" spans="1:12">
      <c r="A4153" s="20" t="s">
        <v>2949</v>
      </c>
      <c r="E4153" s="21">
        <f>IF(D4153="?OLD","!!!","")</f>
        <v/>
      </c>
      <c r="F4153" s="22" t="str">
        <f>IF(OR(E4153="",E4153="!!!"),"",IF(NOT(ISNA(VLOOKUP(E4153,E$1:E4152,1,FALSE()))),"OLD",IF(AND(E4153&lt;&gt;"",E4153&lt;&gt;"!!!"),"NEW","")))</f>
        <v> </v>
      </c>
      <c r="G4153" s="23" t="str">
        <f>IF(OR(E4153="",E4153="!!!"),"",IF(OR(J4153=0,AND(J4153=1,K4153=1),AND(J4153=1,I4153="SBJ"),AND(J4153=1,I4153=0)),"?IN_FOCUS",IF(J4153&lt;=2,"?ACTIVATED",IF(J4153&lt;&gt;"","?FAMILIAR",IF(F4153="NEW",IF(ISNA(VLOOKUP(E4153,#REF!,1,FALSE())),"?TYPE_IDENTIFIABLE","?REFERENTIAL"),"_")))))</f>
        <v> </v>
      </c>
      <c r="H4153" s="24" t="str">
        <f>IF(J4153&lt;&gt;1,"",IF(I4153="SBJ","CB","?"))</f>
        <v> </v>
      </c>
      <c r="I4153" s="25" t="str">
        <f>IF(OR(E4153="",E4153="!!!",F4153="NEW"),"",INDEX(B4152:B$2,-1+SUMPRODUCT(MAX(ROW(E4152:E$2)*(E4153=E4152:E$2)))))</f>
        <v> </v>
      </c>
      <c r="J4153" s="25" t="str">
        <f>IF(OR(E4153="",E4153="!!!",F4153="NEW"),"",COUNTBLANK(OFFSET(A$1,,,SUMPRODUCT(MAX(ROW(E$2:E4153)*(E4153=E$2:E4153)))))-COUNTBLANK(OFFSET(A$1,,,SUMPRODUCT(MAX(ROW(E$1:E4152)*(E2=E$1:E4152))))))</f>
        <v> </v>
      </c>
      <c r="K4153" s="25" t="str">
        <f>IF(OR(E4153="",E4153="!!!",F4153="NEW"),"",INDEX(J$1:J4152,SUMPRODUCT(MAX(ROW(E$1:E4152)*(E4153=E$1:E4152)))))</f>
        <v> </v>
      </c>
      <c r="L4153" s="26"/>
    </row>
    <row r="4154" spans="1:12">
      <c r="A4154" s="20" t="s">
        <v>2950</v>
      </c>
      <c r="E4154" s="21">
        <f>IF(D4154="?OLD","!!!","")</f>
        <v/>
      </c>
      <c r="F4154" s="22" t="str">
        <f>IF(OR(E4154="",E4154="!!!"),"",IF(NOT(ISNA(VLOOKUP(E4154,E$1:E4153,1,FALSE()))),"OLD",IF(AND(E4154&lt;&gt;"",E4154&lt;&gt;"!!!"),"NEW","")))</f>
        <v> </v>
      </c>
      <c r="G4154" s="23" t="str">
        <f>IF(OR(E4154="",E4154="!!!"),"",IF(OR(J4154=0,AND(J4154=1,K4154=1),AND(J4154=1,I4154="SBJ"),AND(J4154=1,I4154=0)),"?IN_FOCUS",IF(J4154&lt;=2,"?ACTIVATED",IF(J4154&lt;&gt;"","?FAMILIAR",IF(F4154="NEW",IF(ISNA(VLOOKUP(E4154,#REF!,1,FALSE())),"?TYPE_IDENTIFIABLE","?REFERENTIAL"),"_")))))</f>
        <v> </v>
      </c>
      <c r="H4154" s="24" t="str">
        <f>IF(J4154&lt;&gt;1,"",IF(I4154="SBJ","CB","?"))</f>
        <v> </v>
      </c>
      <c r="I4154" s="25" t="str">
        <f>IF(OR(E4154="",E4154="!!!",F4154="NEW"),"",INDEX(B4153:B$2,-1+SUMPRODUCT(MAX(ROW(E4153:E$2)*(E4154=E4153:E$2)))))</f>
        <v> </v>
      </c>
      <c r="J4154" s="25" t="str">
        <f>IF(OR(E4154="",E4154="!!!",F4154="NEW"),"",COUNTBLANK(OFFSET(A$1,,,SUMPRODUCT(MAX(ROW(E$2:E4154)*(E4154=E$2:E4154)))))-COUNTBLANK(OFFSET(A$1,,,SUMPRODUCT(MAX(ROW(E$1:E4153)*(E2=E$1:E4153))))))</f>
        <v> </v>
      </c>
      <c r="K4154" s="25" t="str">
        <f>IF(OR(E4154="",E4154="!!!",F4154="NEW"),"",INDEX(J$1:J4153,SUMPRODUCT(MAX(ROW(E$1:E4153)*(E4154=E$1:E4153)))))</f>
        <v> </v>
      </c>
      <c r="L4154" s="26"/>
    </row>
    <row r="4155" spans="1:12">
      <c r="A4155" s="20" t="s">
        <v>1184</v>
      </c>
      <c r="E4155" s="21">
        <f>IF(D4155="?OLD","!!!","")</f>
        <v/>
      </c>
      <c r="F4155" s="22" t="str">
        <f>IF(OR(E4155="",E4155="!!!"),"",IF(NOT(ISNA(VLOOKUP(E4155,E$1:E4154,1,FALSE()))),"OLD",IF(AND(E4155&lt;&gt;"",E4155&lt;&gt;"!!!"),"NEW","")))</f>
        <v> </v>
      </c>
      <c r="G4155" s="23" t="str">
        <f>IF(OR(E4155="",E4155="!!!"),"",IF(OR(J4155=0,AND(J4155=1,K4155=1),AND(J4155=1,I4155="SBJ"),AND(J4155=1,I4155=0)),"?IN_FOCUS",IF(J4155&lt;=2,"?ACTIVATED",IF(J4155&lt;&gt;"","?FAMILIAR",IF(F4155="NEW",IF(ISNA(VLOOKUP(E4155,#REF!,1,FALSE())),"?TYPE_IDENTIFIABLE","?REFERENTIAL"),"_")))))</f>
        <v> </v>
      </c>
      <c r="H4155" s="24" t="str">
        <f>IF(J4155&lt;&gt;1,"",IF(I4155="SBJ","CB","?"))</f>
        <v> </v>
      </c>
      <c r="I4155" s="25" t="str">
        <f>IF(OR(E4155="",E4155="!!!",F4155="NEW"),"",INDEX(B4154:B$2,-1+SUMPRODUCT(MAX(ROW(E4154:E$2)*(E4155=E4154:E$2)))))</f>
        <v> </v>
      </c>
      <c r="J4155" s="25" t="str">
        <f>IF(OR(E4155="",E4155="!!!",F4155="NEW"),"",COUNTBLANK(OFFSET(A$1,,,SUMPRODUCT(MAX(ROW(E$2:E4155)*(E4155=E$2:E4155)))))-COUNTBLANK(OFFSET(A$1,,,SUMPRODUCT(MAX(ROW(E$1:E4154)*(E2=E$1:E4154))))))</f>
        <v> </v>
      </c>
      <c r="K4155" s="25" t="str">
        <f>IF(OR(E4155="",E4155="!!!",F4155="NEW"),"",INDEX(J$1:J4154,SUMPRODUCT(MAX(ROW(E$1:E4154)*(E4155=E$1:E4154)))))</f>
        <v> </v>
      </c>
      <c r="L4155" s="26"/>
    </row>
    <row r="4156" spans="1:12">
      <c r="A4156" s="20" t="s">
        <v>2630</v>
      </c>
      <c r="E4156" s="21">
        <f>IF(D4156="?OLD","!!!","")</f>
        <v/>
      </c>
      <c r="F4156" s="22" t="str">
        <f>IF(OR(E4156="",E4156="!!!"),"",IF(NOT(ISNA(VLOOKUP(E4156,E$1:E4155,1,FALSE()))),"OLD",IF(AND(E4156&lt;&gt;"",E4156&lt;&gt;"!!!"),"NEW","")))</f>
        <v> </v>
      </c>
      <c r="G4156" s="23" t="str">
        <f>IF(OR(E4156="",E4156="!!!"),"",IF(OR(J4156=0,AND(J4156=1,K4156=1),AND(J4156=1,I4156="SBJ"),AND(J4156=1,I4156=0)),"?IN_FOCUS",IF(J4156&lt;=2,"?ACTIVATED",IF(J4156&lt;&gt;"","?FAMILIAR",IF(F4156="NEW",IF(ISNA(VLOOKUP(E4156,#REF!,1,FALSE())),"?TYPE_IDENTIFIABLE","?REFERENTIAL"),"_")))))</f>
        <v> </v>
      </c>
      <c r="H4156" s="24" t="str">
        <f>IF(J4156&lt;&gt;1,"",IF(I4156="SBJ","CB","?"))</f>
        <v> </v>
      </c>
      <c r="I4156" s="25" t="str">
        <f>IF(OR(E4156="",E4156="!!!",F4156="NEW"),"",INDEX(B4155:B$2,-1+SUMPRODUCT(MAX(ROW(E4155:E$2)*(E4156=E4155:E$2)))))</f>
        <v> </v>
      </c>
      <c r="J4156" s="25" t="str">
        <f>IF(OR(E4156="",E4156="!!!",F4156="NEW"),"",COUNTBLANK(OFFSET(A$1,,,SUMPRODUCT(MAX(ROW(E$2:E4156)*(E4156=E$2:E4156)))))-COUNTBLANK(OFFSET(A$1,,,SUMPRODUCT(MAX(ROW(E$1:E4155)*(E2=E$1:E4155))))))</f>
        <v> </v>
      </c>
      <c r="K4156" s="25" t="str">
        <f>IF(OR(E4156="",E4156="!!!",F4156="NEW"),"",INDEX(J$1:J4155,SUMPRODUCT(MAX(ROW(E$1:E4155)*(E4156=E$1:E4155)))))</f>
        <v> </v>
      </c>
      <c r="L4156" s="26"/>
    </row>
    <row r="4157" spans="1:12">
      <c r="A4157" s="20" t="s">
        <v>2631</v>
      </c>
      <c r="E4157" s="21">
        <f>IF(D4157="?OLD","!!!","")</f>
        <v/>
      </c>
      <c r="F4157" s="22" t="str">
        <f>IF(OR(E4157="",E4157="!!!"),"",IF(NOT(ISNA(VLOOKUP(E4157,E$1:E4156,1,FALSE()))),"OLD",IF(AND(E4157&lt;&gt;"",E4157&lt;&gt;"!!!"),"NEW","")))</f>
        <v> </v>
      </c>
      <c r="G4157" s="23" t="str">
        <f>IF(OR(E4157="",E4157="!!!"),"",IF(OR(J4157=0,AND(J4157=1,K4157=1),AND(J4157=1,I4157="SBJ"),AND(J4157=1,I4157=0)),"?IN_FOCUS",IF(J4157&lt;=2,"?ACTIVATED",IF(J4157&lt;&gt;"","?FAMILIAR",IF(F4157="NEW",IF(ISNA(VLOOKUP(E4157,#REF!,1,FALSE())),"?TYPE_IDENTIFIABLE","?REFERENTIAL"),"_")))))</f>
        <v> </v>
      </c>
      <c r="H4157" s="24" t="str">
        <f>IF(J4157&lt;&gt;1,"",IF(I4157="SBJ","CB","?"))</f>
        <v> </v>
      </c>
      <c r="I4157" s="25" t="str">
        <f>IF(OR(E4157="",E4157="!!!",F4157="NEW"),"",INDEX(B4156:B$2,-1+SUMPRODUCT(MAX(ROW(E4156:E$2)*(E4157=E4156:E$2)))))</f>
        <v> </v>
      </c>
      <c r="J4157" s="25" t="str">
        <f>IF(OR(E4157="",E4157="!!!",F4157="NEW"),"",COUNTBLANK(OFFSET(A$1,,,SUMPRODUCT(MAX(ROW(E$2:E4157)*(E4157=E$2:E4157)))))-COUNTBLANK(OFFSET(A$1,,,SUMPRODUCT(MAX(ROW(E$1:E4156)*(E2=E$1:E4156))))))</f>
        <v> </v>
      </c>
      <c r="K4157" s="25" t="str">
        <f>IF(OR(E4157="",E4157="!!!",F4157="NEW"),"",INDEX(J$1:J4156,SUMPRODUCT(MAX(ROW(E$1:E4156)*(E4157=E$1:E4156)))))</f>
        <v> </v>
      </c>
      <c r="L4157" s="26"/>
    </row>
    <row r="4158" spans="1:12">
      <c r="A4158" s="20" t="s">
        <v>2951</v>
      </c>
      <c r="E4158" s="21">
        <f>IF(D4158="?OLD","!!!","")</f>
        <v/>
      </c>
      <c r="F4158" s="22" t="str">
        <f>IF(OR(E4158="",E4158="!!!"),"",IF(NOT(ISNA(VLOOKUP(E4158,E$1:E4157,1,FALSE()))),"OLD",IF(AND(E4158&lt;&gt;"",E4158&lt;&gt;"!!!"),"NEW","")))</f>
        <v> </v>
      </c>
      <c r="G4158" s="23" t="str">
        <f>IF(OR(E4158="",E4158="!!!"),"",IF(OR(J4158=0,AND(J4158=1,K4158=1),AND(J4158=1,I4158="SBJ"),AND(J4158=1,I4158=0)),"?IN_FOCUS",IF(J4158&lt;=2,"?ACTIVATED",IF(J4158&lt;&gt;"","?FAMILIAR",IF(F4158="NEW",IF(ISNA(VLOOKUP(E4158,#REF!,1,FALSE())),"?TYPE_IDENTIFIABLE","?REFERENTIAL"),"_")))))</f>
        <v> </v>
      </c>
      <c r="H4158" s="24" t="str">
        <f>IF(J4158&lt;&gt;1,"",IF(I4158="SBJ","CB","?"))</f>
        <v> </v>
      </c>
      <c r="I4158" s="25" t="str">
        <f>IF(OR(E4158="",E4158="!!!",F4158="NEW"),"",INDEX(B4157:B$2,-1+SUMPRODUCT(MAX(ROW(E4157:E$2)*(E4158=E4157:E$2)))))</f>
        <v> </v>
      </c>
      <c r="J4158" s="25" t="str">
        <f>IF(OR(E4158="",E4158="!!!",F4158="NEW"),"",COUNTBLANK(OFFSET(A$1,,,SUMPRODUCT(MAX(ROW(E$2:E4158)*(E4158=E$2:E4158)))))-COUNTBLANK(OFFSET(A$1,,,SUMPRODUCT(MAX(ROW(E$1:E4157)*(E2=E$1:E4157))))))</f>
        <v> </v>
      </c>
      <c r="K4158" s="25" t="str">
        <f>IF(OR(E4158="",E4158="!!!",F4158="NEW"),"",INDEX(J$1:J4157,SUMPRODUCT(MAX(ROW(E$1:E4157)*(E4158=E$1:E4157)))))</f>
        <v> </v>
      </c>
      <c r="L4158" s="26"/>
    </row>
    <row r="4159" spans="1:12">
      <c r="A4159" s="20" t="s">
        <v>1392</v>
      </c>
      <c r="E4159" s="21">
        <f>IF(D4159="?OLD","!!!","")</f>
        <v/>
      </c>
      <c r="F4159" s="22" t="str">
        <f>IF(OR(E4159="",E4159="!!!"),"",IF(NOT(ISNA(VLOOKUP(E4159,E$1:E4158,1,FALSE()))),"OLD",IF(AND(E4159&lt;&gt;"",E4159&lt;&gt;"!!!"),"NEW","")))</f>
        <v> </v>
      </c>
      <c r="G4159" s="23" t="str">
        <f>IF(OR(E4159="",E4159="!!!"),"",IF(OR(J4159=0,AND(J4159=1,K4159=1),AND(J4159=1,I4159="SBJ"),AND(J4159=1,I4159=0)),"?IN_FOCUS",IF(J4159&lt;=2,"?ACTIVATED",IF(J4159&lt;&gt;"","?FAMILIAR",IF(F4159="NEW",IF(ISNA(VLOOKUP(E4159,#REF!,1,FALSE())),"?TYPE_IDENTIFIABLE","?REFERENTIAL"),"_")))))</f>
        <v> </v>
      </c>
      <c r="H4159" s="24" t="str">
        <f>IF(J4159&lt;&gt;1,"",IF(I4159="SBJ","CB","?"))</f>
        <v> </v>
      </c>
      <c r="I4159" s="25" t="str">
        <f>IF(OR(E4159="",E4159="!!!",F4159="NEW"),"",INDEX(B4158:B$2,-1+SUMPRODUCT(MAX(ROW(E4158:E$2)*(E4159=E4158:E$2)))))</f>
        <v> </v>
      </c>
      <c r="J4159" s="25" t="str">
        <f>IF(OR(E4159="",E4159="!!!",F4159="NEW"),"",COUNTBLANK(OFFSET(A$1,,,SUMPRODUCT(MAX(ROW(E$2:E4159)*(E4159=E$2:E4159)))))-COUNTBLANK(OFFSET(A$1,,,SUMPRODUCT(MAX(ROW(E$1:E4158)*(E2=E$1:E4158))))))</f>
        <v> </v>
      </c>
      <c r="K4159" s="25" t="str">
        <f>IF(OR(E4159="",E4159="!!!",F4159="NEW"),"",INDEX(J$1:J4158,SUMPRODUCT(MAX(ROW(E$1:E4158)*(E4159=E$1:E4158)))))</f>
        <v> </v>
      </c>
      <c r="L4159" s="26"/>
    </row>
    <row r="4160" spans="1:12">
      <c r="A4160" s="20" t="s">
        <v>2632</v>
      </c>
      <c r="E4160" s="21">
        <f>IF(D4160="?OLD","!!!","")</f>
        <v/>
      </c>
      <c r="F4160" s="22" t="str">
        <f>IF(OR(E4160="",E4160="!!!"),"",IF(NOT(ISNA(VLOOKUP(E4160,E$1:E4159,1,FALSE()))),"OLD",IF(AND(E4160&lt;&gt;"",E4160&lt;&gt;"!!!"),"NEW","")))</f>
        <v> </v>
      </c>
      <c r="G4160" s="23" t="str">
        <f>IF(OR(E4160="",E4160="!!!"),"",IF(OR(J4160=0,AND(J4160=1,K4160=1),AND(J4160=1,I4160="SBJ"),AND(J4160=1,I4160=0)),"?IN_FOCUS",IF(J4160&lt;=2,"?ACTIVATED",IF(J4160&lt;&gt;"","?FAMILIAR",IF(F4160="NEW",IF(ISNA(VLOOKUP(E4160,#REF!,1,FALSE())),"?TYPE_IDENTIFIABLE","?REFERENTIAL"),"_")))))</f>
        <v> </v>
      </c>
      <c r="H4160" s="24" t="str">
        <f>IF(J4160&lt;&gt;1,"",IF(I4160="SBJ","CB","?"))</f>
        <v> </v>
      </c>
      <c r="I4160" s="25" t="str">
        <f>IF(OR(E4160="",E4160="!!!",F4160="NEW"),"",INDEX(B4159:B$2,-1+SUMPRODUCT(MAX(ROW(E4159:E$2)*(E4160=E4159:E$2)))))</f>
        <v> </v>
      </c>
      <c r="J4160" s="25" t="str">
        <f>IF(OR(E4160="",E4160="!!!",F4160="NEW"),"",COUNTBLANK(OFFSET(A$1,,,SUMPRODUCT(MAX(ROW(E$2:E4160)*(E4160=E$2:E4160)))))-COUNTBLANK(OFFSET(A$1,,,SUMPRODUCT(MAX(ROW(E$1:E4159)*(E2=E$1:E4159))))))</f>
        <v> </v>
      </c>
      <c r="K4160" s="25" t="str">
        <f>IF(OR(E4160="",E4160="!!!",F4160="NEW"),"",INDEX(J$1:J4159,SUMPRODUCT(MAX(ROW(E$1:E4159)*(E4160=E$1:E4159)))))</f>
        <v> </v>
      </c>
      <c r="L4160" s="26"/>
    </row>
    <row r="4161" spans="1:12">
      <c r="A4161" s="20" t="s">
        <v>1123</v>
      </c>
      <c r="E4161" s="21">
        <f>IF(D4161="?OLD","!!!","")</f>
        <v/>
      </c>
      <c r="F4161" s="22" t="str">
        <f>IF(OR(E4161="",E4161="!!!"),"",IF(NOT(ISNA(VLOOKUP(E4161,E$1:E4160,1,FALSE()))),"OLD",IF(AND(E4161&lt;&gt;"",E4161&lt;&gt;"!!!"),"NEW","")))</f>
        <v> </v>
      </c>
      <c r="G4161" s="23" t="str">
        <f>IF(OR(E4161="",E4161="!!!"),"",IF(OR(J4161=0,AND(J4161=1,K4161=1),AND(J4161=1,I4161="SBJ"),AND(J4161=1,I4161=0)),"?IN_FOCUS",IF(J4161&lt;=2,"?ACTIVATED",IF(J4161&lt;&gt;"","?FAMILIAR",IF(F4161="NEW",IF(ISNA(VLOOKUP(E4161,#REF!,1,FALSE())),"?TYPE_IDENTIFIABLE","?REFERENTIAL"),"_")))))</f>
        <v> </v>
      </c>
      <c r="H4161" s="24" t="str">
        <f>IF(J4161&lt;&gt;1,"",IF(I4161="SBJ","CB","?"))</f>
        <v> </v>
      </c>
      <c r="I4161" s="25" t="str">
        <f>IF(OR(E4161="",E4161="!!!",F4161="NEW"),"",INDEX(B4160:B$2,-1+SUMPRODUCT(MAX(ROW(E4160:E$2)*(E4161=E4160:E$2)))))</f>
        <v> </v>
      </c>
      <c r="J4161" s="25" t="str">
        <f>IF(OR(E4161="",E4161="!!!",F4161="NEW"),"",COUNTBLANK(OFFSET(A$1,,,SUMPRODUCT(MAX(ROW(E$2:E4161)*(E4161=E$2:E4161)))))-COUNTBLANK(OFFSET(A$1,,,SUMPRODUCT(MAX(ROW(E$1:E4160)*(E2=E$1:E4160))))))</f>
        <v> </v>
      </c>
      <c r="K4161" s="25" t="str">
        <f>IF(OR(E4161="",E4161="!!!",F4161="NEW"),"",INDEX(J$1:J4160,SUMPRODUCT(MAX(ROW(E$1:E4160)*(E4161=E$1:E4160)))))</f>
        <v> </v>
      </c>
      <c r="L4161" s="26"/>
    </row>
    <row r="4162" spans="1:12">
      <c r="A4162" s="20" t="s">
        <v>2952</v>
      </c>
      <c r="E4162" s="21">
        <f>IF(D4162="?OLD","!!!","")</f>
        <v/>
      </c>
      <c r="F4162" s="22" t="str">
        <f>IF(OR(E4162="",E4162="!!!"),"",IF(NOT(ISNA(VLOOKUP(E4162,E$1:E4161,1,FALSE()))),"OLD",IF(AND(E4162&lt;&gt;"",E4162&lt;&gt;"!!!"),"NEW","")))</f>
        <v> </v>
      </c>
      <c r="G4162" s="23" t="str">
        <f>IF(OR(E4162="",E4162="!!!"),"",IF(OR(J4162=0,AND(J4162=1,K4162=1),AND(J4162=1,I4162="SBJ"),AND(J4162=1,I4162=0)),"?IN_FOCUS",IF(J4162&lt;=2,"?ACTIVATED",IF(J4162&lt;&gt;"","?FAMILIAR",IF(F4162="NEW",IF(ISNA(VLOOKUP(E4162,#REF!,1,FALSE())),"?TYPE_IDENTIFIABLE","?REFERENTIAL"),"_")))))</f>
        <v> </v>
      </c>
      <c r="H4162" s="24" t="str">
        <f>IF(J4162&lt;&gt;1,"",IF(I4162="SBJ","CB","?"))</f>
        <v> </v>
      </c>
      <c r="I4162" s="25" t="str">
        <f>IF(OR(E4162="",E4162="!!!",F4162="NEW"),"",INDEX(B4161:B$2,-1+SUMPRODUCT(MAX(ROW(E4161:E$2)*(E4162=E4161:E$2)))))</f>
        <v> </v>
      </c>
      <c r="J4162" s="25" t="str">
        <f>IF(OR(E4162="",E4162="!!!",F4162="NEW"),"",COUNTBLANK(OFFSET(A$1,,,SUMPRODUCT(MAX(ROW(E$2:E4162)*(E4162=E$2:E4162)))))-COUNTBLANK(OFFSET(A$1,,,SUMPRODUCT(MAX(ROW(E$1:E4161)*(E2=E$1:E4161))))))</f>
        <v> </v>
      </c>
      <c r="K4162" s="25" t="str">
        <f>IF(OR(E4162="",E4162="!!!",F4162="NEW"),"",INDEX(J$1:J4161,SUMPRODUCT(MAX(ROW(E$1:E4161)*(E4162=E$1:E4161)))))</f>
        <v> </v>
      </c>
      <c r="L4162" s="26"/>
    </row>
    <row r="4163" spans="1:12">
      <c r="A4163" s="20" t="s">
        <v>1186</v>
      </c>
      <c r="B4163" s="27" t="s">
        <v>1243</v>
      </c>
      <c r="C4163" s="27" t="s">
        <v>1126</v>
      </c>
      <c r="D4163" s="27" t="s">
        <v>1105</v>
      </c>
      <c r="E4163" s="21">
        <f>IF(D4163="?OLD","!!!","")</f>
        <v/>
      </c>
      <c r="F4163" s="22" t="str">
        <f>IF(OR(E4163="",E4163="!!!"),"",IF(NOT(ISNA(VLOOKUP(E4163,E$1:E4162,1,FALSE()))),"OLD",IF(AND(E4163&lt;&gt;"",E4163&lt;&gt;"!!!"),"NEW","")))</f>
        <v> </v>
      </c>
      <c r="G4163" s="23" t="str">
        <f>IF(OR(E4163="",E4163="!!!"),"",IF(OR(J4163=0,AND(J4163=1,K4163=1),AND(J4163=1,I4163="SBJ"),AND(J4163=1,I4163=0)),"?IN_FOCUS",IF(J4163&lt;=2,"?ACTIVATED",IF(J4163&lt;&gt;"","?FAMILIAR",IF(F4163="NEW",IF(ISNA(VLOOKUP(E4163,#REF!,1,FALSE())),"?TYPE_IDENTIFIABLE","?REFERENTIAL"),"_")))))</f>
        <v> </v>
      </c>
      <c r="H4163" s="24" t="str">
        <f>IF(J4163&lt;&gt;1,"",IF(I4163="SBJ","CB","?"))</f>
        <v> </v>
      </c>
      <c r="I4163" s="25" t="str">
        <f>IF(OR(E4163="",E4163="!!!",F4163="NEW"),"",INDEX(B4162:B$2,-1+SUMPRODUCT(MAX(ROW(E4162:E$2)*(E4163=E4162:E$2)))))</f>
        <v> </v>
      </c>
      <c r="J4163" s="25" t="str">
        <f>IF(OR(E4163="",E4163="!!!",F4163="NEW"),"",COUNTBLANK(OFFSET(A$1,,,SUMPRODUCT(MAX(ROW(E$2:E4163)*(E4163=E$2:E4163)))))-COUNTBLANK(OFFSET(A$1,,,SUMPRODUCT(MAX(ROW(E$1:E4162)*(E2=E$1:E4162))))))</f>
        <v> </v>
      </c>
      <c r="K4163" s="25" t="str">
        <f>IF(OR(E4163="",E4163="!!!",F4163="NEW"),"",INDEX(J$1:J4162,SUMPRODUCT(MAX(ROW(E$1:E4162)*(E4163=E$1:E4162)))))</f>
        <v> </v>
      </c>
      <c r="L4163" s="26"/>
    </row>
    <row r="4164" spans="1:12">
      <c r="A4164" s="20" t="s">
        <v>1184</v>
      </c>
      <c r="E4164" s="21">
        <f>IF(D4164="?OLD","!!!","")</f>
        <v/>
      </c>
      <c r="F4164" s="22" t="str">
        <f>IF(OR(E4164="",E4164="!!!"),"",IF(NOT(ISNA(VLOOKUP(E4164,E$1:E4163,1,FALSE()))),"OLD",IF(AND(E4164&lt;&gt;"",E4164&lt;&gt;"!!!"),"NEW","")))</f>
        <v> </v>
      </c>
      <c r="G4164" s="23" t="str">
        <f>IF(OR(E4164="",E4164="!!!"),"",IF(OR(J4164=0,AND(J4164=1,K4164=1),AND(J4164=1,I4164="SBJ"),AND(J4164=1,I4164=0)),"?IN_FOCUS",IF(J4164&lt;=2,"?ACTIVATED",IF(J4164&lt;&gt;"","?FAMILIAR",IF(F4164="NEW",IF(ISNA(VLOOKUP(E4164,#REF!,1,FALSE())),"?TYPE_IDENTIFIABLE","?REFERENTIAL"),"_")))))</f>
        <v> </v>
      </c>
      <c r="H4164" s="24" t="str">
        <f>IF(J4164&lt;&gt;1,"",IF(I4164="SBJ","CB","?"))</f>
        <v> </v>
      </c>
      <c r="I4164" s="25" t="str">
        <f>IF(OR(E4164="",E4164="!!!",F4164="NEW"),"",INDEX(B4163:B$2,-1+SUMPRODUCT(MAX(ROW(E4163:E$2)*(E4164=E4163:E$2)))))</f>
        <v> </v>
      </c>
      <c r="J4164" s="25" t="str">
        <f>IF(OR(E4164="",E4164="!!!",F4164="NEW"),"",COUNTBLANK(OFFSET(A$1,,,SUMPRODUCT(MAX(ROW(E$2:E4164)*(E4164=E$2:E4164)))))-COUNTBLANK(OFFSET(A$1,,,SUMPRODUCT(MAX(ROW(E$1:E4163)*(E2=E$1:E4163))))))</f>
        <v> </v>
      </c>
      <c r="K4164" s="25" t="str">
        <f>IF(OR(E4164="",E4164="!!!",F4164="NEW"),"",INDEX(J$1:J4163,SUMPRODUCT(MAX(ROW(E$1:E4163)*(E4164=E$1:E4163)))))</f>
        <v> </v>
      </c>
      <c r="L4164" s="26"/>
    </row>
    <row r="4165" spans="1:12">
      <c r="A4165" s="20" t="s">
        <v>2125</v>
      </c>
      <c r="E4165" s="21">
        <f>IF(D4165="?OLD","!!!","")</f>
        <v/>
      </c>
      <c r="F4165" s="22" t="str">
        <f>IF(OR(E4165="",E4165="!!!"),"",IF(NOT(ISNA(VLOOKUP(E4165,E$1:E4164,1,FALSE()))),"OLD",IF(AND(E4165&lt;&gt;"",E4165&lt;&gt;"!!!"),"NEW","")))</f>
        <v> </v>
      </c>
      <c r="G4165" s="23" t="str">
        <f>IF(OR(E4165="",E4165="!!!"),"",IF(OR(J4165=0,AND(J4165=1,K4165=1),AND(J4165=1,I4165="SBJ"),AND(J4165=1,I4165=0)),"?IN_FOCUS",IF(J4165&lt;=2,"?ACTIVATED",IF(J4165&lt;&gt;"","?FAMILIAR",IF(F4165="NEW",IF(ISNA(VLOOKUP(E4165,#REF!,1,FALSE())),"?TYPE_IDENTIFIABLE","?REFERENTIAL"),"_")))))</f>
        <v> </v>
      </c>
      <c r="H4165" s="24" t="str">
        <f>IF(J4165&lt;&gt;1,"",IF(I4165="SBJ","CB","?"))</f>
        <v> </v>
      </c>
      <c r="I4165" s="25" t="str">
        <f>IF(OR(E4165="",E4165="!!!",F4165="NEW"),"",INDEX(B4164:B$2,-1+SUMPRODUCT(MAX(ROW(E4164:E$2)*(E4165=E4164:E$2)))))</f>
        <v> </v>
      </c>
      <c r="J4165" s="25" t="str">
        <f>IF(OR(E4165="",E4165="!!!",F4165="NEW"),"",COUNTBLANK(OFFSET(A$1,,,SUMPRODUCT(MAX(ROW(E$2:E4165)*(E4165=E$2:E4165)))))-COUNTBLANK(OFFSET(A$1,,,SUMPRODUCT(MAX(ROW(E$1:E4164)*(E2=E$1:E4164))))))</f>
        <v> </v>
      </c>
      <c r="K4165" s="25" t="str">
        <f>IF(OR(E4165="",E4165="!!!",F4165="NEW"),"",INDEX(J$1:J4164,SUMPRODUCT(MAX(ROW(E$1:E4164)*(E4165=E$1:E4164)))))</f>
        <v> </v>
      </c>
      <c r="L4165" s="26"/>
    </row>
    <row r="4166" spans="1:12">
      <c r="A4166" s="20" t="s">
        <v>2953</v>
      </c>
      <c r="E4166" s="21">
        <f>IF(D4166="?OLD","!!!","")</f>
        <v/>
      </c>
      <c r="F4166" s="22" t="str">
        <f>IF(OR(E4166="",E4166="!!!"),"",IF(NOT(ISNA(VLOOKUP(E4166,E$1:E4165,1,FALSE()))),"OLD",IF(AND(E4166&lt;&gt;"",E4166&lt;&gt;"!!!"),"NEW","")))</f>
        <v> </v>
      </c>
      <c r="G4166" s="23" t="str">
        <f>IF(OR(E4166="",E4166="!!!"),"",IF(OR(J4166=0,AND(J4166=1,K4166=1),AND(J4166=1,I4166="SBJ"),AND(J4166=1,I4166=0)),"?IN_FOCUS",IF(J4166&lt;=2,"?ACTIVATED",IF(J4166&lt;&gt;"","?FAMILIAR",IF(F4166="NEW",IF(ISNA(VLOOKUP(E4166,#REF!,1,FALSE())),"?TYPE_IDENTIFIABLE","?REFERENTIAL"),"_")))))</f>
        <v> </v>
      </c>
      <c r="H4166" s="24" t="str">
        <f>IF(J4166&lt;&gt;1,"",IF(I4166="SBJ","CB","?"))</f>
        <v> </v>
      </c>
      <c r="I4166" s="25" t="str">
        <f>IF(OR(E4166="",E4166="!!!",F4166="NEW"),"",INDEX(B4165:B$2,-1+SUMPRODUCT(MAX(ROW(E4165:E$2)*(E4166=E4165:E$2)))))</f>
        <v> </v>
      </c>
      <c r="J4166" s="25" t="str">
        <f>IF(OR(E4166="",E4166="!!!",F4166="NEW"),"",COUNTBLANK(OFFSET(A$1,,,SUMPRODUCT(MAX(ROW(E$2:E4166)*(E4166=E$2:E4166)))))-COUNTBLANK(OFFSET(A$1,,,SUMPRODUCT(MAX(ROW(E$1:E4165)*(E2=E$1:E4165))))))</f>
        <v> </v>
      </c>
      <c r="K4166" s="25" t="str">
        <f>IF(OR(E4166="",E4166="!!!",F4166="NEW"),"",INDEX(J$1:J4165,SUMPRODUCT(MAX(ROW(E$1:E4165)*(E4166=E$1:E4165)))))</f>
        <v> </v>
      </c>
      <c r="L4166" s="26"/>
    </row>
    <row r="4167" spans="1:12">
      <c r="A4167" s="20" t="s">
        <v>2954</v>
      </c>
      <c r="E4167" s="21">
        <f>IF(D4167="?OLD","!!!","")</f>
        <v/>
      </c>
      <c r="F4167" s="22" t="str">
        <f>IF(OR(E4167="",E4167="!!!"),"",IF(NOT(ISNA(VLOOKUP(E4167,E$1:E4166,1,FALSE()))),"OLD",IF(AND(E4167&lt;&gt;"",E4167&lt;&gt;"!!!"),"NEW","")))</f>
        <v> </v>
      </c>
      <c r="G4167" s="23" t="str">
        <f>IF(OR(E4167="",E4167="!!!"),"",IF(OR(J4167=0,AND(J4167=1,K4167=1),AND(J4167=1,I4167="SBJ"),AND(J4167=1,I4167=0)),"?IN_FOCUS",IF(J4167&lt;=2,"?ACTIVATED",IF(J4167&lt;&gt;"","?FAMILIAR",IF(F4167="NEW",IF(ISNA(VLOOKUP(E4167,#REF!,1,FALSE())),"?TYPE_IDENTIFIABLE","?REFERENTIAL"),"_")))))</f>
        <v> </v>
      </c>
      <c r="H4167" s="24" t="str">
        <f>IF(J4167&lt;&gt;1,"",IF(I4167="SBJ","CB","?"))</f>
        <v> </v>
      </c>
      <c r="I4167" s="25" t="str">
        <f>IF(OR(E4167="",E4167="!!!",F4167="NEW"),"",INDEX(B4166:B$2,-1+SUMPRODUCT(MAX(ROW(E4166:E$2)*(E4167=E4166:E$2)))))</f>
        <v> </v>
      </c>
      <c r="J4167" s="25" t="str">
        <f>IF(OR(E4167="",E4167="!!!",F4167="NEW"),"",COUNTBLANK(OFFSET(A$1,,,SUMPRODUCT(MAX(ROW(E$2:E4167)*(E4167=E$2:E4167)))))-COUNTBLANK(OFFSET(A$1,,,SUMPRODUCT(MAX(ROW(E$1:E4166)*(E2=E$1:E4166))))))</f>
        <v> </v>
      </c>
      <c r="K4167" s="25" t="str">
        <f>IF(OR(E4167="",E4167="!!!",F4167="NEW"),"",INDEX(J$1:J4166,SUMPRODUCT(MAX(ROW(E$1:E4166)*(E4167=E$1:E4166)))))</f>
        <v> </v>
      </c>
      <c r="L4167" s="26"/>
    </row>
    <row r="4168" spans="1:12">
      <c r="A4168" s="20" t="s">
        <v>1145</v>
      </c>
      <c r="E4168" s="21">
        <f>IF(D4168="?OLD","!!!","")</f>
        <v/>
      </c>
      <c r="F4168" s="22" t="str">
        <f>IF(OR(E4168="",E4168="!!!"),"",IF(NOT(ISNA(VLOOKUP(E4168,E$1:E4167,1,FALSE()))),"OLD",IF(AND(E4168&lt;&gt;"",E4168&lt;&gt;"!!!"),"NEW","")))</f>
        <v> </v>
      </c>
      <c r="G4168" s="23" t="str">
        <f>IF(OR(E4168="",E4168="!!!"),"",IF(OR(J4168=0,AND(J4168=1,K4168=1),AND(J4168=1,I4168="SBJ"),AND(J4168=1,I4168=0)),"?IN_FOCUS",IF(J4168&lt;=2,"?ACTIVATED",IF(J4168&lt;&gt;"","?FAMILIAR",IF(F4168="NEW",IF(ISNA(VLOOKUP(E4168,#REF!,1,FALSE())),"?TYPE_IDENTIFIABLE","?REFERENTIAL"),"_")))))</f>
        <v> </v>
      </c>
      <c r="H4168" s="24" t="str">
        <f>IF(J4168&lt;&gt;1,"",IF(I4168="SBJ","CB","?"))</f>
        <v> </v>
      </c>
      <c r="I4168" s="25" t="str">
        <f>IF(OR(E4168="",E4168="!!!",F4168="NEW"),"",INDEX(B4167:B$2,-1+SUMPRODUCT(MAX(ROW(E4167:E$2)*(E4168=E4167:E$2)))))</f>
        <v> </v>
      </c>
      <c r="J4168" s="25" t="str">
        <f>IF(OR(E4168="",E4168="!!!",F4168="NEW"),"",COUNTBLANK(OFFSET(A$1,,,SUMPRODUCT(MAX(ROW(E$2:E4168)*(E4168=E$2:E4168)))))-COUNTBLANK(OFFSET(A$1,,,SUMPRODUCT(MAX(ROW(E$1:E4167)*(E2=E$1:E4167))))))</f>
        <v> </v>
      </c>
      <c r="K4168" s="25" t="str">
        <f>IF(OR(E4168="",E4168="!!!",F4168="NEW"),"",INDEX(J$1:J4167,SUMPRODUCT(MAX(ROW(E$1:E4167)*(E4168=E$1:E4167)))))</f>
        <v> </v>
      </c>
      <c r="L4168" s="26"/>
    </row>
    <row r="4169" spans="1:12">
      <c r="A4169" s="20"/>
    </row>
    <row r="4170" spans="1:12">
      <c r="A4170" s="20" t="s">
        <v>2955</v>
      </c>
    </row>
    <row r="4171" spans="1:12">
      <c r="A4171" s="20" t="s">
        <v>1353</v>
      </c>
      <c r="B4171" s="27" t="s">
        <v>1149</v>
      </c>
      <c r="C4171" s="27" t="s">
        <v>1126</v>
      </c>
      <c r="D4171" s="27" t="s">
        <v>1105</v>
      </c>
      <c r="E4171" s="21">
        <f>IF(D4171="?OLD","!!!","")</f>
        <v/>
      </c>
      <c r="F4171" s="22" t="str">
        <f>IF(OR(E4171="",E4171="!!!"),"",IF(NOT(ISNA(VLOOKUP(E4171,E$1:E4170,1,FALSE()))),"OLD",IF(AND(E4171&lt;&gt;"",E4171&lt;&gt;"!!!"),"NEW","")))</f>
        <v> </v>
      </c>
      <c r="G4171" s="23" t="str">
        <f>IF(OR(E4171="",E4171="!!!"),"",IF(OR(J4171=0,AND(J4171=1,K4171=1),AND(J4171=1,I4171="SBJ"),AND(J4171=1,I4171=0)),"?IN_FOCUS",IF(J4171&lt;=2,"?ACTIVATED",IF(J4171&lt;&gt;"","?FAMILIAR",IF(F4171="NEW",IF(ISNA(VLOOKUP(E4171,#REF!,1,FALSE())),"?TYPE_IDENTIFIABLE","?REFERENTIAL"),"_")))))</f>
        <v> </v>
      </c>
      <c r="H4171" s="24" t="str">
        <f>IF(J4171&lt;&gt;1,"",IF(I4171="SBJ","CB","?"))</f>
        <v> </v>
      </c>
      <c r="I4171" s="25" t="str">
        <f>IF(OR(E4171="",E4171="!!!",F4171="NEW"),"",INDEX(B4170:B$2,-1+SUMPRODUCT(MAX(ROW(E4170:E$2)*(E4171=E4170:E$2)))))</f>
        <v> </v>
      </c>
      <c r="J4171" s="25" t="str">
        <f>IF(OR(E4171="",E4171="!!!",F4171="NEW"),"",COUNTBLANK(OFFSET(A$1,,,SUMPRODUCT(MAX(ROW(E$2:E4171)*(E4171=E$2:E4171)))))-COUNTBLANK(OFFSET(A$1,,,SUMPRODUCT(MAX(ROW(E$1:E4170)*(E2=E$1:E4170))))))</f>
        <v> </v>
      </c>
      <c r="K4171" s="25" t="str">
        <f>IF(OR(E4171="",E4171="!!!",F4171="NEW"),"",INDEX(J$1:J4170,SUMPRODUCT(MAX(ROW(E$1:E4170)*(E4171=E$1:E4170)))))</f>
        <v> </v>
      </c>
      <c r="L4171" s="26"/>
    </row>
    <row r="4172" spans="1:12">
      <c r="A4172" s="20" t="s">
        <v>2956</v>
      </c>
      <c r="E4172" s="21">
        <f>IF(D4172="?OLD","!!!","")</f>
        <v/>
      </c>
      <c r="F4172" s="22" t="str">
        <f>IF(OR(E4172="",E4172="!!!"),"",IF(NOT(ISNA(VLOOKUP(E4172,E$1:E4171,1,FALSE()))),"OLD",IF(AND(E4172&lt;&gt;"",E4172&lt;&gt;"!!!"),"NEW","")))</f>
        <v> </v>
      </c>
      <c r="G4172" s="23" t="str">
        <f>IF(OR(E4172="",E4172="!!!"),"",IF(OR(J4172=0,AND(J4172=1,K4172=1),AND(J4172=1,I4172="SBJ"),AND(J4172=1,I4172=0)),"?IN_FOCUS",IF(J4172&lt;=2,"?ACTIVATED",IF(J4172&lt;&gt;"","?FAMILIAR",IF(F4172="NEW",IF(ISNA(VLOOKUP(E4172,#REF!,1,FALSE())),"?TYPE_IDENTIFIABLE","?REFERENTIAL"),"_")))))</f>
        <v> </v>
      </c>
      <c r="H4172" s="24" t="str">
        <f>IF(J4172&lt;&gt;1,"",IF(I4172="SBJ","CB","?"))</f>
        <v> </v>
      </c>
      <c r="I4172" s="25" t="str">
        <f>IF(OR(E4172="",E4172="!!!",F4172="NEW"),"",INDEX(B4171:B$2,-1+SUMPRODUCT(MAX(ROW(E4171:E$2)*(E4172=E4171:E$2)))))</f>
        <v> </v>
      </c>
      <c r="J4172" s="25" t="str">
        <f>IF(OR(E4172="",E4172="!!!",F4172="NEW"),"",COUNTBLANK(OFFSET(A$1,,,SUMPRODUCT(MAX(ROW(E$2:E4172)*(E4172=E$2:E4172)))))-COUNTBLANK(OFFSET(A$1,,,SUMPRODUCT(MAX(ROW(E$1:E4171)*(E2=E$1:E4171))))))</f>
        <v> </v>
      </c>
      <c r="K4172" s="25" t="str">
        <f>IF(OR(E4172="",E4172="!!!",F4172="NEW"),"",INDEX(J$1:J4171,SUMPRODUCT(MAX(ROW(E$1:E4171)*(E4172=E$1:E4171)))))</f>
        <v> </v>
      </c>
      <c r="L4172" s="26"/>
    </row>
    <row r="4173" spans="1:12">
      <c r="A4173" s="20" t="s">
        <v>2957</v>
      </c>
      <c r="E4173" s="21">
        <f>IF(D4173="?OLD","!!!","")</f>
        <v/>
      </c>
      <c r="F4173" s="22" t="str">
        <f>IF(OR(E4173="",E4173="!!!"),"",IF(NOT(ISNA(VLOOKUP(E4173,E$1:E4172,1,FALSE()))),"OLD",IF(AND(E4173&lt;&gt;"",E4173&lt;&gt;"!!!"),"NEW","")))</f>
        <v> </v>
      </c>
      <c r="G4173" s="23" t="str">
        <f>IF(OR(E4173="",E4173="!!!"),"",IF(OR(J4173=0,AND(J4173=1,K4173=1),AND(J4173=1,I4173="SBJ"),AND(J4173=1,I4173=0)),"?IN_FOCUS",IF(J4173&lt;=2,"?ACTIVATED",IF(J4173&lt;&gt;"","?FAMILIAR",IF(F4173="NEW",IF(ISNA(VLOOKUP(E4173,#REF!,1,FALSE())),"?TYPE_IDENTIFIABLE","?REFERENTIAL"),"_")))))</f>
        <v> </v>
      </c>
      <c r="H4173" s="24" t="str">
        <f>IF(J4173&lt;&gt;1,"",IF(I4173="SBJ","CB","?"))</f>
        <v> </v>
      </c>
      <c r="I4173" s="25" t="str">
        <f>IF(OR(E4173="",E4173="!!!",F4173="NEW"),"",INDEX(B4172:B$2,-1+SUMPRODUCT(MAX(ROW(E4172:E$2)*(E4173=E4172:E$2)))))</f>
        <v> </v>
      </c>
      <c r="J4173" s="25" t="str">
        <f>IF(OR(E4173="",E4173="!!!",F4173="NEW"),"",COUNTBLANK(OFFSET(A$1,,,SUMPRODUCT(MAX(ROW(E$2:E4173)*(E4173=E$2:E4173)))))-COUNTBLANK(OFFSET(A$1,,,SUMPRODUCT(MAX(ROW(E$1:E4172)*(E2=E$1:E4172))))))</f>
        <v> </v>
      </c>
      <c r="K4173" s="25" t="str">
        <f>IF(OR(E4173="",E4173="!!!",F4173="NEW"),"",INDEX(J$1:J4172,SUMPRODUCT(MAX(ROW(E$1:E4172)*(E4173=E$1:E4172)))))</f>
        <v> </v>
      </c>
      <c r="L4173" s="26"/>
    </row>
    <row r="4174" spans="1:12">
      <c r="A4174" s="20" t="s">
        <v>1186</v>
      </c>
      <c r="B4174" s="27" t="s">
        <v>1107</v>
      </c>
      <c r="C4174" s="27" t="s">
        <v>1142</v>
      </c>
      <c r="D4174" s="27" t="s">
        <v>1105</v>
      </c>
      <c r="E4174" s="21">
        <f>IF(D4174="?OLD","!!!","")</f>
        <v/>
      </c>
      <c r="F4174" s="22" t="str">
        <f>IF(OR(E4174="",E4174="!!!"),"",IF(NOT(ISNA(VLOOKUP(E4174,E$1:E4173,1,FALSE()))),"OLD",IF(AND(E4174&lt;&gt;"",E4174&lt;&gt;"!!!"),"NEW","")))</f>
        <v> </v>
      </c>
      <c r="G4174" s="23" t="str">
        <f>IF(OR(E4174="",E4174="!!!"),"",IF(OR(J4174=0,AND(J4174=1,K4174=1),AND(J4174=1,I4174="SBJ"),AND(J4174=1,I4174=0)),"?IN_FOCUS",IF(J4174&lt;=2,"?ACTIVATED",IF(J4174&lt;&gt;"","?FAMILIAR",IF(F4174="NEW",IF(ISNA(VLOOKUP(E4174,#REF!,1,FALSE())),"?TYPE_IDENTIFIABLE","?REFERENTIAL"),"_")))))</f>
        <v> </v>
      </c>
      <c r="H4174" s="24" t="str">
        <f>IF(J4174&lt;&gt;1,"",IF(I4174="SBJ","CB","?"))</f>
        <v> </v>
      </c>
      <c r="I4174" s="25" t="str">
        <f>IF(OR(E4174="",E4174="!!!",F4174="NEW"),"",INDEX(B4173:B$2,-1+SUMPRODUCT(MAX(ROW(E4173:E$2)*(E4174=E4173:E$2)))))</f>
        <v> </v>
      </c>
      <c r="J4174" s="25" t="str">
        <f>IF(OR(E4174="",E4174="!!!",F4174="NEW"),"",COUNTBLANK(OFFSET(A$1,,,SUMPRODUCT(MAX(ROW(E$2:E4174)*(E4174=E$2:E4174)))))-COUNTBLANK(OFFSET(A$1,,,SUMPRODUCT(MAX(ROW(E$1:E4173)*(E2=E$1:E4173))))))</f>
        <v> </v>
      </c>
      <c r="K4174" s="25" t="str">
        <f>IF(OR(E4174="",E4174="!!!",F4174="NEW"),"",INDEX(J$1:J4173,SUMPRODUCT(MAX(ROW(E$1:E4173)*(E4174=E$1:E4173)))))</f>
        <v> </v>
      </c>
      <c r="L4174" s="26"/>
    </row>
    <row r="4175" spans="1:12">
      <c r="A4175" s="20" t="s">
        <v>2958</v>
      </c>
      <c r="E4175" s="21">
        <f>IF(D4175="?OLD","!!!","")</f>
        <v/>
      </c>
      <c r="F4175" s="22" t="str">
        <f>IF(OR(E4175="",E4175="!!!"),"",IF(NOT(ISNA(VLOOKUP(E4175,E$1:E4174,1,FALSE()))),"OLD",IF(AND(E4175&lt;&gt;"",E4175&lt;&gt;"!!!"),"NEW","")))</f>
        <v> </v>
      </c>
      <c r="G4175" s="23" t="str">
        <f>IF(OR(E4175="",E4175="!!!"),"",IF(OR(J4175=0,AND(J4175=1,K4175=1),AND(J4175=1,I4175="SBJ"),AND(J4175=1,I4175=0)),"?IN_FOCUS",IF(J4175&lt;=2,"?ACTIVATED",IF(J4175&lt;&gt;"","?FAMILIAR",IF(F4175="NEW",IF(ISNA(VLOOKUP(E4175,#REF!,1,FALSE())),"?TYPE_IDENTIFIABLE","?REFERENTIAL"),"_")))))</f>
        <v> </v>
      </c>
      <c r="H4175" s="24" t="str">
        <f>IF(J4175&lt;&gt;1,"",IF(I4175="SBJ","CB","?"))</f>
        <v> </v>
      </c>
      <c r="I4175" s="25" t="str">
        <f>IF(OR(E4175="",E4175="!!!",F4175="NEW"),"",INDEX(B4174:B$2,-1+SUMPRODUCT(MAX(ROW(E4174:E$2)*(E4175=E4174:E$2)))))</f>
        <v> </v>
      </c>
      <c r="J4175" s="25" t="str">
        <f>IF(OR(E4175="",E4175="!!!",F4175="NEW"),"",COUNTBLANK(OFFSET(A$1,,,SUMPRODUCT(MAX(ROW(E$2:E4175)*(E4175=E$2:E4175)))))-COUNTBLANK(OFFSET(A$1,,,SUMPRODUCT(MAX(ROW(E$1:E4174)*(E2=E$1:E4174))))))</f>
        <v> </v>
      </c>
      <c r="K4175" s="25" t="str">
        <f>IF(OR(E4175="",E4175="!!!",F4175="NEW"),"",INDEX(J$1:J4174,SUMPRODUCT(MAX(ROW(E$1:E4174)*(E4175=E$1:E4174)))))</f>
        <v> </v>
      </c>
      <c r="L4175" s="26"/>
    </row>
    <row r="4176" spans="1:12">
      <c r="A4176" s="20" t="s">
        <v>1249</v>
      </c>
      <c r="E4176" s="21">
        <f>IF(D4176="?OLD","!!!","")</f>
        <v/>
      </c>
      <c r="F4176" s="22" t="str">
        <f>IF(OR(E4176="",E4176="!!!"),"",IF(NOT(ISNA(VLOOKUP(E4176,E$1:E4175,1,FALSE()))),"OLD",IF(AND(E4176&lt;&gt;"",E4176&lt;&gt;"!!!"),"NEW","")))</f>
        <v> </v>
      </c>
      <c r="G4176" s="23" t="str">
        <f>IF(OR(E4176="",E4176="!!!"),"",IF(OR(J4176=0,AND(J4176=1,K4176=1),AND(J4176=1,I4176="SBJ"),AND(J4176=1,I4176=0)),"?IN_FOCUS",IF(J4176&lt;=2,"?ACTIVATED",IF(J4176&lt;&gt;"","?FAMILIAR",IF(F4176="NEW",IF(ISNA(VLOOKUP(E4176,#REF!,1,FALSE())),"?TYPE_IDENTIFIABLE","?REFERENTIAL"),"_")))))</f>
        <v> </v>
      </c>
      <c r="H4176" s="24" t="str">
        <f>IF(J4176&lt;&gt;1,"",IF(I4176="SBJ","CB","?"))</f>
        <v> </v>
      </c>
      <c r="I4176" s="25" t="str">
        <f>IF(OR(E4176="",E4176="!!!",F4176="NEW"),"",INDEX(B4175:B$2,-1+SUMPRODUCT(MAX(ROW(E4175:E$2)*(E4176=E4175:E$2)))))</f>
        <v> </v>
      </c>
      <c r="J4176" s="25" t="str">
        <f>IF(OR(E4176="",E4176="!!!",F4176="NEW"),"",COUNTBLANK(OFFSET(A$1,,,SUMPRODUCT(MAX(ROW(E$2:E4176)*(E4176=E$2:E4176)))))-COUNTBLANK(OFFSET(A$1,,,SUMPRODUCT(MAX(ROW(E$1:E4175)*(E2=E$1:E4175))))))</f>
        <v> </v>
      </c>
      <c r="K4176" s="25" t="str">
        <f>IF(OR(E4176="",E4176="!!!",F4176="NEW"),"",INDEX(J$1:J4175,SUMPRODUCT(MAX(ROW(E$1:E4175)*(E4176=E$1:E4175)))))</f>
        <v> </v>
      </c>
      <c r="L4176" s="26"/>
    </row>
    <row r="4177" spans="1:12">
      <c r="A4177" s="20" t="s">
        <v>2959</v>
      </c>
      <c r="E4177" s="21">
        <f>IF(D4177="?OLD","!!!","")</f>
        <v/>
      </c>
      <c r="F4177" s="22" t="str">
        <f>IF(OR(E4177="",E4177="!!!"),"",IF(NOT(ISNA(VLOOKUP(E4177,E$1:E4176,1,FALSE()))),"OLD",IF(AND(E4177&lt;&gt;"",E4177&lt;&gt;"!!!"),"NEW","")))</f>
        <v> </v>
      </c>
      <c r="G4177" s="23" t="str">
        <f>IF(OR(E4177="",E4177="!!!"),"",IF(OR(J4177=0,AND(J4177=1,K4177=1),AND(J4177=1,I4177="SBJ"),AND(J4177=1,I4177=0)),"?IN_FOCUS",IF(J4177&lt;=2,"?ACTIVATED",IF(J4177&lt;&gt;"","?FAMILIAR",IF(F4177="NEW",IF(ISNA(VLOOKUP(E4177,#REF!,1,FALSE())),"?TYPE_IDENTIFIABLE","?REFERENTIAL"),"_")))))</f>
        <v> </v>
      </c>
      <c r="H4177" s="24" t="str">
        <f>IF(J4177&lt;&gt;1,"",IF(I4177="SBJ","CB","?"))</f>
        <v> </v>
      </c>
      <c r="I4177" s="25" t="str">
        <f>IF(OR(E4177="",E4177="!!!",F4177="NEW"),"",INDEX(B4176:B$2,-1+SUMPRODUCT(MAX(ROW(E4176:E$2)*(E4177=E4176:E$2)))))</f>
        <v> </v>
      </c>
      <c r="J4177" s="25" t="str">
        <f>IF(OR(E4177="",E4177="!!!",F4177="NEW"),"",COUNTBLANK(OFFSET(A$1,,,SUMPRODUCT(MAX(ROW(E$2:E4177)*(E4177=E$2:E4177)))))-COUNTBLANK(OFFSET(A$1,,,SUMPRODUCT(MAX(ROW(E$1:E4176)*(E2=E$1:E4176))))))</f>
        <v> </v>
      </c>
      <c r="K4177" s="25" t="str">
        <f>IF(OR(E4177="",E4177="!!!",F4177="NEW"),"",INDEX(J$1:J4176,SUMPRODUCT(MAX(ROW(E$1:E4176)*(E4177=E$1:E4176)))))</f>
        <v> </v>
      </c>
      <c r="L4177" s="26"/>
    </row>
    <row r="4178" spans="1:12">
      <c r="A4178" s="20" t="s">
        <v>2960</v>
      </c>
      <c r="E4178" s="21">
        <f>IF(D4178="?OLD","!!!","")</f>
        <v/>
      </c>
      <c r="F4178" s="22" t="str">
        <f>IF(OR(E4178="",E4178="!!!"),"",IF(NOT(ISNA(VLOOKUP(E4178,E$1:E4177,1,FALSE()))),"OLD",IF(AND(E4178&lt;&gt;"",E4178&lt;&gt;"!!!"),"NEW","")))</f>
        <v> </v>
      </c>
      <c r="G4178" s="23" t="str">
        <f>IF(OR(E4178="",E4178="!!!"),"",IF(OR(J4178=0,AND(J4178=1,K4178=1),AND(J4178=1,I4178="SBJ"),AND(J4178=1,I4178=0)),"?IN_FOCUS",IF(J4178&lt;=2,"?ACTIVATED",IF(J4178&lt;&gt;"","?FAMILIAR",IF(F4178="NEW",IF(ISNA(VLOOKUP(E4178,#REF!,1,FALSE())),"?TYPE_IDENTIFIABLE","?REFERENTIAL"),"_")))))</f>
        <v> </v>
      </c>
      <c r="H4178" s="24" t="str">
        <f>IF(J4178&lt;&gt;1,"",IF(I4178="SBJ","CB","?"))</f>
        <v> </v>
      </c>
      <c r="I4178" s="25" t="str">
        <f>IF(OR(E4178="",E4178="!!!",F4178="NEW"),"",INDEX(B4177:B$2,-1+SUMPRODUCT(MAX(ROW(E4177:E$2)*(E4178=E4177:E$2)))))</f>
        <v> </v>
      </c>
      <c r="J4178" s="25" t="str">
        <f>IF(OR(E4178="",E4178="!!!",F4178="NEW"),"",COUNTBLANK(OFFSET(A$1,,,SUMPRODUCT(MAX(ROW(E$2:E4178)*(E4178=E$2:E4178)))))-COUNTBLANK(OFFSET(A$1,,,SUMPRODUCT(MAX(ROW(E$1:E4177)*(E2=E$1:E4177))))))</f>
        <v> </v>
      </c>
      <c r="K4178" s="25" t="str">
        <f>IF(OR(E4178="",E4178="!!!",F4178="NEW"),"",INDEX(J$1:J4177,SUMPRODUCT(MAX(ROW(E$1:E4177)*(E4178=E$1:E4177)))))</f>
        <v> </v>
      </c>
      <c r="L4178" s="26"/>
    </row>
    <row r="4179" spans="1:12">
      <c r="A4179" s="20" t="s">
        <v>2940</v>
      </c>
      <c r="E4179" s="21">
        <f>IF(D4179="?OLD","!!!","")</f>
        <v/>
      </c>
      <c r="F4179" s="22" t="str">
        <f>IF(OR(E4179="",E4179="!!!"),"",IF(NOT(ISNA(VLOOKUP(E4179,E$1:E4178,1,FALSE()))),"OLD",IF(AND(E4179&lt;&gt;"",E4179&lt;&gt;"!!!"),"NEW","")))</f>
        <v> </v>
      </c>
      <c r="G4179" s="23" t="str">
        <f>IF(OR(E4179="",E4179="!!!"),"",IF(OR(J4179=0,AND(J4179=1,K4179=1),AND(J4179=1,I4179="SBJ"),AND(J4179=1,I4179=0)),"?IN_FOCUS",IF(J4179&lt;=2,"?ACTIVATED",IF(J4179&lt;&gt;"","?FAMILIAR",IF(F4179="NEW",IF(ISNA(VLOOKUP(E4179,#REF!,1,FALSE())),"?TYPE_IDENTIFIABLE","?REFERENTIAL"),"_")))))</f>
        <v> </v>
      </c>
      <c r="H4179" s="24" t="str">
        <f>IF(J4179&lt;&gt;1,"",IF(I4179="SBJ","CB","?"))</f>
        <v> </v>
      </c>
      <c r="I4179" s="25" t="str">
        <f>IF(OR(E4179="",E4179="!!!",F4179="NEW"),"",INDEX(B4178:B$2,-1+SUMPRODUCT(MAX(ROW(E4178:E$2)*(E4179=E4178:E$2)))))</f>
        <v> </v>
      </c>
      <c r="J4179" s="25" t="str">
        <f>IF(OR(E4179="",E4179="!!!",F4179="NEW"),"",COUNTBLANK(OFFSET(A$1,,,SUMPRODUCT(MAX(ROW(E$2:E4179)*(E4179=E$2:E4179)))))-COUNTBLANK(OFFSET(A$1,,,SUMPRODUCT(MAX(ROW(E$1:E4178)*(E2=E$1:E4178))))))</f>
        <v> </v>
      </c>
      <c r="K4179" s="25" t="str">
        <f>IF(OR(E4179="",E4179="!!!",F4179="NEW"),"",INDEX(J$1:J4178,SUMPRODUCT(MAX(ROW(E$1:E4178)*(E4179=E$1:E4178)))))</f>
        <v> </v>
      </c>
      <c r="L4179" s="26"/>
    </row>
    <row r="4180" spans="1:12">
      <c r="A4180" s="20" t="s">
        <v>1123</v>
      </c>
      <c r="E4180" s="21">
        <f>IF(D4180="?OLD","!!!","")</f>
        <v/>
      </c>
      <c r="F4180" s="22" t="str">
        <f>IF(OR(E4180="",E4180="!!!"),"",IF(NOT(ISNA(VLOOKUP(E4180,E$1:E4179,1,FALSE()))),"OLD",IF(AND(E4180&lt;&gt;"",E4180&lt;&gt;"!!!"),"NEW","")))</f>
        <v> </v>
      </c>
      <c r="G4180" s="23" t="str">
        <f>IF(OR(E4180="",E4180="!!!"),"",IF(OR(J4180=0,AND(J4180=1,K4180=1),AND(J4180=1,I4180="SBJ"),AND(J4180=1,I4180=0)),"?IN_FOCUS",IF(J4180&lt;=2,"?ACTIVATED",IF(J4180&lt;&gt;"","?FAMILIAR",IF(F4180="NEW",IF(ISNA(VLOOKUP(E4180,#REF!,1,FALSE())),"?TYPE_IDENTIFIABLE","?REFERENTIAL"),"_")))))</f>
        <v> </v>
      </c>
      <c r="H4180" s="24" t="str">
        <f>IF(J4180&lt;&gt;1,"",IF(I4180="SBJ","CB","?"))</f>
        <v> </v>
      </c>
      <c r="I4180" s="25" t="str">
        <f>IF(OR(E4180="",E4180="!!!",F4180="NEW"),"",INDEX(B4179:B$2,-1+SUMPRODUCT(MAX(ROW(E4179:E$2)*(E4180=E4179:E$2)))))</f>
        <v> </v>
      </c>
      <c r="J4180" s="25" t="str">
        <f>IF(OR(E4180="",E4180="!!!",F4180="NEW"),"",COUNTBLANK(OFFSET(A$1,,,SUMPRODUCT(MAX(ROW(E$2:E4180)*(E4180=E$2:E4180)))))-COUNTBLANK(OFFSET(A$1,,,SUMPRODUCT(MAX(ROW(E$1:E4179)*(E2=E$1:E4179))))))</f>
        <v> </v>
      </c>
      <c r="K4180" s="25" t="str">
        <f>IF(OR(E4180="",E4180="!!!",F4180="NEW"),"",INDEX(J$1:J4179,SUMPRODUCT(MAX(ROW(E$1:E4179)*(E4180=E$1:E4179)))))</f>
        <v> </v>
      </c>
      <c r="L4180" s="26"/>
    </row>
    <row r="4181" spans="1:12">
      <c r="A4181" s="20" t="s">
        <v>228</v>
      </c>
      <c r="E4181" s="21">
        <f>IF(D4181="?OLD","!!!","")</f>
        <v/>
      </c>
      <c r="F4181" s="22" t="str">
        <f>IF(OR(E4181="",E4181="!!!"),"",IF(NOT(ISNA(VLOOKUP(E4181,E$1:E4180,1,FALSE()))),"OLD",IF(AND(E4181&lt;&gt;"",E4181&lt;&gt;"!!!"),"NEW","")))</f>
        <v> </v>
      </c>
      <c r="G4181" s="23" t="str">
        <f>IF(OR(E4181="",E4181="!!!"),"",IF(OR(J4181=0,AND(J4181=1,K4181=1),AND(J4181=1,I4181="SBJ"),AND(J4181=1,I4181=0)),"?IN_FOCUS",IF(J4181&lt;=2,"?ACTIVATED",IF(J4181&lt;&gt;"","?FAMILIAR",IF(F4181="NEW",IF(ISNA(VLOOKUP(E4181,#REF!,1,FALSE())),"?TYPE_IDENTIFIABLE","?REFERENTIAL"),"_")))))</f>
        <v> </v>
      </c>
      <c r="H4181" s="24" t="str">
        <f>IF(J4181&lt;&gt;1,"",IF(I4181="SBJ","CB","?"))</f>
        <v> </v>
      </c>
      <c r="I4181" s="25" t="str">
        <f>IF(OR(E4181="",E4181="!!!",F4181="NEW"),"",INDEX(B4180:B$2,-1+SUMPRODUCT(MAX(ROW(E4180:E$2)*(E4181=E4180:E$2)))))</f>
        <v> </v>
      </c>
      <c r="J4181" s="25" t="str">
        <f>IF(OR(E4181="",E4181="!!!",F4181="NEW"),"",COUNTBLANK(OFFSET(A$1,,,SUMPRODUCT(MAX(ROW(E$2:E4181)*(E4181=E$2:E4181)))))-COUNTBLANK(OFFSET(A$1,,,SUMPRODUCT(MAX(ROW(E$1:E4180)*(E2=E$1:E4180))))))</f>
        <v> </v>
      </c>
      <c r="K4181" s="25" t="str">
        <f>IF(OR(E4181="",E4181="!!!",F4181="NEW"),"",INDEX(J$1:J4180,SUMPRODUCT(MAX(ROW(E$1:E4180)*(E4181=E$1:E4180)))))</f>
        <v> </v>
      </c>
      <c r="L4181" s="26"/>
    </row>
    <row r="4182" spans="1:12">
      <c r="A4182" s="20" t="s">
        <v>1124</v>
      </c>
      <c r="B4182" s="27" t="s">
        <v>1259</v>
      </c>
      <c r="C4182" s="27" t="s">
        <v>1126</v>
      </c>
      <c r="D4182" s="27" t="s">
        <v>1105</v>
      </c>
      <c r="E4182" s="21">
        <f>IF(D4182="?OLD","!!!","")</f>
        <v/>
      </c>
      <c r="F4182" s="22" t="str">
        <f>IF(OR(E4182="",E4182="!!!"),"",IF(NOT(ISNA(VLOOKUP(E4182,E$1:E4181,1,FALSE()))),"OLD",IF(AND(E4182&lt;&gt;"",E4182&lt;&gt;"!!!"),"NEW","")))</f>
        <v> </v>
      </c>
      <c r="G4182" s="23" t="str">
        <f>IF(OR(E4182="",E4182="!!!"),"",IF(OR(J4182=0,AND(J4182=1,K4182=1),AND(J4182=1,I4182="SBJ"),AND(J4182=1,I4182=0)),"?IN_FOCUS",IF(J4182&lt;=2,"?ACTIVATED",IF(J4182&lt;&gt;"","?FAMILIAR",IF(F4182="NEW",IF(ISNA(VLOOKUP(E4182,#REF!,1,FALSE())),"?TYPE_IDENTIFIABLE","?REFERENTIAL"),"_")))))</f>
        <v> </v>
      </c>
      <c r="H4182" s="24" t="str">
        <f>IF(J4182&lt;&gt;1,"",IF(I4182="SBJ","CB","?"))</f>
        <v> </v>
      </c>
      <c r="I4182" s="25" t="str">
        <f>IF(OR(E4182="",E4182="!!!",F4182="NEW"),"",INDEX(B4181:B$2,-1+SUMPRODUCT(MAX(ROW(E4181:E$2)*(E4182=E4181:E$2)))))</f>
        <v> </v>
      </c>
      <c r="J4182" s="25" t="str">
        <f>IF(OR(E4182="",E4182="!!!",F4182="NEW"),"",COUNTBLANK(OFFSET(A$1,,,SUMPRODUCT(MAX(ROW(E$2:E4182)*(E4182=E$2:E4182)))))-COUNTBLANK(OFFSET(A$1,,,SUMPRODUCT(MAX(ROW(E$1:E4181)*(E2=E$1:E4181))))))</f>
        <v> </v>
      </c>
      <c r="K4182" s="25" t="str">
        <f>IF(OR(E4182="",E4182="!!!",F4182="NEW"),"",INDEX(J$1:J4181,SUMPRODUCT(MAX(ROW(E$1:E4181)*(E4182=E$1:E4181)))))</f>
        <v> </v>
      </c>
      <c r="L4182" s="26"/>
    </row>
    <row r="4183" spans="1:12">
      <c r="A4183" s="20" t="s">
        <v>2961</v>
      </c>
      <c r="E4183" s="21">
        <f>IF(D4183="?OLD","!!!","")</f>
        <v/>
      </c>
      <c r="F4183" s="22" t="str">
        <f>IF(OR(E4183="",E4183="!!!"),"",IF(NOT(ISNA(VLOOKUP(E4183,E$1:E4182,1,FALSE()))),"OLD",IF(AND(E4183&lt;&gt;"",E4183&lt;&gt;"!!!"),"NEW","")))</f>
        <v> </v>
      </c>
      <c r="G4183" s="23" t="str">
        <f>IF(OR(E4183="",E4183="!!!"),"",IF(OR(J4183=0,AND(J4183=1,K4183=1),AND(J4183=1,I4183="SBJ"),AND(J4183=1,I4183=0)),"?IN_FOCUS",IF(J4183&lt;=2,"?ACTIVATED",IF(J4183&lt;&gt;"","?FAMILIAR",IF(F4183="NEW",IF(ISNA(VLOOKUP(E4183,#REF!,1,FALSE())),"?TYPE_IDENTIFIABLE","?REFERENTIAL"),"_")))))</f>
        <v> </v>
      </c>
      <c r="H4183" s="24" t="str">
        <f>IF(J4183&lt;&gt;1,"",IF(I4183="SBJ","CB","?"))</f>
        <v> </v>
      </c>
      <c r="I4183" s="25" t="str">
        <f>IF(OR(E4183="",E4183="!!!",F4183="NEW"),"",INDEX(B4182:B$2,-1+SUMPRODUCT(MAX(ROW(E4182:E$2)*(E4183=E4182:E$2)))))</f>
        <v> </v>
      </c>
      <c r="J4183" s="25" t="str">
        <f>IF(OR(E4183="",E4183="!!!",F4183="NEW"),"",COUNTBLANK(OFFSET(A$1,,,SUMPRODUCT(MAX(ROW(E$2:E4183)*(E4183=E$2:E4183)))))-COUNTBLANK(OFFSET(A$1,,,SUMPRODUCT(MAX(ROW(E$1:E4182)*(E2=E$1:E4182))))))</f>
        <v> </v>
      </c>
      <c r="K4183" s="25" t="str">
        <f>IF(OR(E4183="",E4183="!!!",F4183="NEW"),"",INDEX(J$1:J4182,SUMPRODUCT(MAX(ROW(E$1:E4182)*(E4183=E$1:E4182)))))</f>
        <v> </v>
      </c>
      <c r="L4183" s="26"/>
    </row>
    <row r="4184" spans="1:12">
      <c r="A4184" s="20" t="s">
        <v>2938</v>
      </c>
      <c r="E4184" s="21">
        <f>IF(D4184="?OLD","!!!","")</f>
        <v/>
      </c>
      <c r="F4184" s="22" t="str">
        <f>IF(OR(E4184="",E4184="!!!"),"",IF(NOT(ISNA(VLOOKUP(E4184,E$1:E4183,1,FALSE()))),"OLD",IF(AND(E4184&lt;&gt;"",E4184&lt;&gt;"!!!"),"NEW","")))</f>
        <v> </v>
      </c>
      <c r="G4184" s="23" t="str">
        <f>IF(OR(E4184="",E4184="!!!"),"",IF(OR(J4184=0,AND(J4184=1,K4184=1),AND(J4184=1,I4184="SBJ"),AND(J4184=1,I4184=0)),"?IN_FOCUS",IF(J4184&lt;=2,"?ACTIVATED",IF(J4184&lt;&gt;"","?FAMILIAR",IF(F4184="NEW",IF(ISNA(VLOOKUP(E4184,#REF!,1,FALSE())),"?TYPE_IDENTIFIABLE","?REFERENTIAL"),"_")))))</f>
        <v> </v>
      </c>
      <c r="H4184" s="24" t="str">
        <f>IF(J4184&lt;&gt;1,"",IF(I4184="SBJ","CB","?"))</f>
        <v> </v>
      </c>
      <c r="I4184" s="25" t="str">
        <f>IF(OR(E4184="",E4184="!!!",F4184="NEW"),"",INDEX(B4183:B$2,-1+SUMPRODUCT(MAX(ROW(E4183:E$2)*(E4184=E4183:E$2)))))</f>
        <v> </v>
      </c>
      <c r="J4184" s="25" t="str">
        <f>IF(OR(E4184="",E4184="!!!",F4184="NEW"),"",COUNTBLANK(OFFSET(A$1,,,SUMPRODUCT(MAX(ROW(E$2:E4184)*(E4184=E$2:E4184)))))-COUNTBLANK(OFFSET(A$1,,,SUMPRODUCT(MAX(ROW(E$1:E4183)*(E2=E$1:E4183))))))</f>
        <v> </v>
      </c>
      <c r="K4184" s="25" t="str">
        <f>IF(OR(E4184="",E4184="!!!",F4184="NEW"),"",INDEX(J$1:J4183,SUMPRODUCT(MAX(ROW(E$1:E4183)*(E4184=E$1:E4183)))))</f>
        <v> </v>
      </c>
      <c r="L4184" s="26"/>
    </row>
    <row r="4185" spans="1:12">
      <c r="A4185" s="20" t="s">
        <v>2962</v>
      </c>
      <c r="E4185" s="21">
        <f>IF(D4185="?OLD","!!!","")</f>
        <v/>
      </c>
      <c r="F4185" s="22" t="str">
        <f>IF(OR(E4185="",E4185="!!!"),"",IF(NOT(ISNA(VLOOKUP(E4185,E$1:E4184,1,FALSE()))),"OLD",IF(AND(E4185&lt;&gt;"",E4185&lt;&gt;"!!!"),"NEW","")))</f>
        <v> </v>
      </c>
      <c r="G4185" s="23" t="str">
        <f>IF(OR(E4185="",E4185="!!!"),"",IF(OR(J4185=0,AND(J4185=1,K4185=1),AND(J4185=1,I4185="SBJ"),AND(J4185=1,I4185=0)),"?IN_FOCUS",IF(J4185&lt;=2,"?ACTIVATED",IF(J4185&lt;&gt;"","?FAMILIAR",IF(F4185="NEW",IF(ISNA(VLOOKUP(E4185,#REF!,1,FALSE())),"?TYPE_IDENTIFIABLE","?REFERENTIAL"),"_")))))</f>
        <v> </v>
      </c>
      <c r="H4185" s="24" t="str">
        <f>IF(J4185&lt;&gt;1,"",IF(I4185="SBJ","CB","?"))</f>
        <v> </v>
      </c>
      <c r="I4185" s="25" t="str">
        <f>IF(OR(E4185="",E4185="!!!",F4185="NEW"),"",INDEX(B4184:B$2,-1+SUMPRODUCT(MAX(ROW(E4184:E$2)*(E4185=E4184:E$2)))))</f>
        <v> </v>
      </c>
      <c r="J4185" s="25" t="str">
        <f>IF(OR(E4185="",E4185="!!!",F4185="NEW"),"",COUNTBLANK(OFFSET(A$1,,,SUMPRODUCT(MAX(ROW(E$2:E4185)*(E4185=E$2:E4185)))))-COUNTBLANK(OFFSET(A$1,,,SUMPRODUCT(MAX(ROW(E$1:E4184)*(E2=E$1:E4184))))))</f>
        <v> </v>
      </c>
      <c r="K4185" s="25" t="str">
        <f>IF(OR(E4185="",E4185="!!!",F4185="NEW"),"",INDEX(J$1:J4184,SUMPRODUCT(MAX(ROW(E$1:E4184)*(E4185=E$1:E4184)))))</f>
        <v> </v>
      </c>
      <c r="L4185" s="26"/>
    </row>
    <row r="4186" spans="1:12">
      <c r="A4186" s="20" t="s">
        <v>2963</v>
      </c>
      <c r="E4186" s="21">
        <f>IF(D4186="?OLD","!!!","")</f>
        <v/>
      </c>
      <c r="F4186" s="22" t="str">
        <f>IF(OR(E4186="",E4186="!!!"),"",IF(NOT(ISNA(VLOOKUP(E4186,E$1:E4185,1,FALSE()))),"OLD",IF(AND(E4186&lt;&gt;"",E4186&lt;&gt;"!!!"),"NEW","")))</f>
        <v> </v>
      </c>
      <c r="G4186" s="23" t="str">
        <f>IF(OR(E4186="",E4186="!!!"),"",IF(OR(J4186=0,AND(J4186=1,K4186=1),AND(J4186=1,I4186="SBJ"),AND(J4186=1,I4186=0)),"?IN_FOCUS",IF(J4186&lt;=2,"?ACTIVATED",IF(J4186&lt;&gt;"","?FAMILIAR",IF(F4186="NEW",IF(ISNA(VLOOKUP(E4186,#REF!,1,FALSE())),"?TYPE_IDENTIFIABLE","?REFERENTIAL"),"_")))))</f>
        <v> </v>
      </c>
      <c r="H4186" s="24" t="str">
        <f>IF(J4186&lt;&gt;1,"",IF(I4186="SBJ","CB","?"))</f>
        <v> </v>
      </c>
      <c r="I4186" s="25" t="str">
        <f>IF(OR(E4186="",E4186="!!!",F4186="NEW"),"",INDEX(B4185:B$2,-1+SUMPRODUCT(MAX(ROW(E4185:E$2)*(E4186=E4185:E$2)))))</f>
        <v> </v>
      </c>
      <c r="J4186" s="25" t="str">
        <f>IF(OR(E4186="",E4186="!!!",F4186="NEW"),"",COUNTBLANK(OFFSET(A$1,,,SUMPRODUCT(MAX(ROW(E$2:E4186)*(E4186=E$2:E4186)))))-COUNTBLANK(OFFSET(A$1,,,SUMPRODUCT(MAX(ROW(E$1:E4185)*(E2=E$1:E4185))))))</f>
        <v> </v>
      </c>
      <c r="K4186" s="25" t="str">
        <f>IF(OR(E4186="",E4186="!!!",F4186="NEW"),"",INDEX(J$1:J4185,SUMPRODUCT(MAX(ROW(E$1:E4185)*(E4186=E$1:E4185)))))</f>
        <v> </v>
      </c>
      <c r="L4186" s="26"/>
    </row>
    <row r="4187" spans="1:12">
      <c r="A4187" s="20" t="s">
        <v>1145</v>
      </c>
      <c r="E4187" s="21">
        <f>IF(D4187="?OLD","!!!","")</f>
        <v/>
      </c>
      <c r="F4187" s="22" t="str">
        <f>IF(OR(E4187="",E4187="!!!"),"",IF(NOT(ISNA(VLOOKUP(E4187,E$1:E4186,1,FALSE()))),"OLD",IF(AND(E4187&lt;&gt;"",E4187&lt;&gt;"!!!"),"NEW","")))</f>
        <v> </v>
      </c>
      <c r="G4187" s="23" t="str">
        <f>IF(OR(E4187="",E4187="!!!"),"",IF(OR(J4187=0,AND(J4187=1,K4187=1),AND(J4187=1,I4187="SBJ"),AND(J4187=1,I4187=0)),"?IN_FOCUS",IF(J4187&lt;=2,"?ACTIVATED",IF(J4187&lt;&gt;"","?FAMILIAR",IF(F4187="NEW",IF(ISNA(VLOOKUP(E4187,#REF!,1,FALSE())),"?TYPE_IDENTIFIABLE","?REFERENTIAL"),"_")))))</f>
        <v> </v>
      </c>
      <c r="H4187" s="24" t="str">
        <f>IF(J4187&lt;&gt;1,"",IF(I4187="SBJ","CB","?"))</f>
        <v> </v>
      </c>
      <c r="I4187" s="25" t="str">
        <f>IF(OR(E4187="",E4187="!!!",F4187="NEW"),"",INDEX(B4186:B$2,-1+SUMPRODUCT(MAX(ROW(E4186:E$2)*(E4187=E4186:E$2)))))</f>
        <v> </v>
      </c>
      <c r="J4187" s="25" t="str">
        <f>IF(OR(E4187="",E4187="!!!",F4187="NEW"),"",COUNTBLANK(OFFSET(A$1,,,SUMPRODUCT(MAX(ROW(E$2:E4187)*(E4187=E$2:E4187)))))-COUNTBLANK(OFFSET(A$1,,,SUMPRODUCT(MAX(ROW(E$1:E4186)*(E2=E$1:E4186))))))</f>
        <v> </v>
      </c>
      <c r="K4187" s="25" t="str">
        <f>IF(OR(E4187="",E4187="!!!",F4187="NEW"),"",INDEX(J$1:J4186,SUMPRODUCT(MAX(ROW(E$1:E4186)*(E4187=E$1:E4186)))))</f>
        <v> </v>
      </c>
      <c r="L4187" s="26"/>
    </row>
    <row r="4188" spans="1:12">
      <c r="A4188" s="20"/>
    </row>
    <row r="4189" spans="1:12">
      <c r="A4189" s="20" t="s">
        <v>2964</v>
      </c>
    </row>
    <row r="4190" spans="1:12">
      <c r="A4190" s="20" t="s">
        <v>2965</v>
      </c>
      <c r="E4190" s="21">
        <f>IF(D4190="?OLD","!!!","")</f>
        <v/>
      </c>
      <c r="F4190" s="22" t="str">
        <f>IF(OR(E4190="",E4190="!!!"),"",IF(NOT(ISNA(VLOOKUP(E4190,E$1:E4189,1,FALSE()))),"OLD",IF(AND(E4190&lt;&gt;"",E4190&lt;&gt;"!!!"),"NEW","")))</f>
        <v> </v>
      </c>
      <c r="G4190" s="23" t="str">
        <f>IF(OR(E4190="",E4190="!!!"),"",IF(OR(J4190=0,AND(J4190=1,K4190=1),AND(J4190=1,I4190="SBJ"),AND(J4190=1,I4190=0)),"?IN_FOCUS",IF(J4190&lt;=2,"?ACTIVATED",IF(J4190&lt;&gt;"","?FAMILIAR",IF(F4190="NEW",IF(ISNA(VLOOKUP(E4190,#REF!,1,FALSE())),"?TYPE_IDENTIFIABLE","?REFERENTIAL"),"_")))))</f>
        <v> </v>
      </c>
      <c r="H4190" s="24" t="str">
        <f>IF(J4190&lt;&gt;1,"",IF(I4190="SBJ","CB","?"))</f>
        <v> </v>
      </c>
      <c r="I4190" s="25" t="str">
        <f>IF(OR(E4190="",E4190="!!!",F4190="NEW"),"",INDEX(B4189:B$2,-1+SUMPRODUCT(MAX(ROW(E4189:E$2)*(E4190=E4189:E$2)))))</f>
        <v> </v>
      </c>
      <c r="J4190" s="25" t="str">
        <f>IF(OR(E4190="",E4190="!!!",F4190="NEW"),"",COUNTBLANK(OFFSET(A$1,,,SUMPRODUCT(MAX(ROW(E$2:E4190)*(E4190=E$2:E4190)))))-COUNTBLANK(OFFSET(A$1,,,SUMPRODUCT(MAX(ROW(E$1:E4189)*(E2=E$1:E4189))))))</f>
        <v> </v>
      </c>
      <c r="K4190" s="25" t="str">
        <f>IF(OR(E4190="",E4190="!!!",F4190="NEW"),"",INDEX(J$1:J4189,SUMPRODUCT(MAX(ROW(E$1:E4189)*(E4190=E$1:E4189)))))</f>
        <v> </v>
      </c>
      <c r="L4190" s="26"/>
    </row>
    <row r="4191" spans="1:12">
      <c r="A4191" s="20" t="s">
        <v>2966</v>
      </c>
      <c r="B4191" s="27" t="s">
        <v>1149</v>
      </c>
      <c r="E4191" s="21">
        <f>IF(D4191="?OLD","!!!","")</f>
        <v/>
      </c>
      <c r="F4191" s="22" t="str">
        <f>IF(OR(E4191="",E4191="!!!"),"",IF(NOT(ISNA(VLOOKUP(E4191,E$1:E4190,1,FALSE()))),"OLD",IF(AND(E4191&lt;&gt;"",E4191&lt;&gt;"!!!"),"NEW","")))</f>
        <v> </v>
      </c>
      <c r="G4191" s="23" t="str">
        <f>IF(OR(E4191="",E4191="!!!"),"",IF(OR(J4191=0,AND(J4191=1,K4191=1),AND(J4191=1,I4191="SBJ"),AND(J4191=1,I4191=0)),"?IN_FOCUS",IF(J4191&lt;=2,"?ACTIVATED",IF(J4191&lt;&gt;"","?FAMILIAR",IF(F4191="NEW",IF(ISNA(VLOOKUP(E4191,#REF!,1,FALSE())),"?TYPE_IDENTIFIABLE","?REFERENTIAL"),"_")))))</f>
        <v> </v>
      </c>
      <c r="H4191" s="24" t="str">
        <f>IF(J4191&lt;&gt;1,"",IF(I4191="SBJ","CB","?"))</f>
        <v> </v>
      </c>
      <c r="I4191" s="25" t="str">
        <f>IF(OR(E4191="",E4191="!!!",F4191="NEW"),"",INDEX(B4190:B$2,-1+SUMPRODUCT(MAX(ROW(E4190:E$2)*(E4191=E4190:E$2)))))</f>
        <v> </v>
      </c>
      <c r="J4191" s="25" t="str">
        <f>IF(OR(E4191="",E4191="!!!",F4191="NEW"),"",COUNTBLANK(OFFSET(A$1,,,SUMPRODUCT(MAX(ROW(E$2:E4191)*(E4191=E$2:E4191)))))-COUNTBLANK(OFFSET(A$1,,,SUMPRODUCT(MAX(ROW(E$1:E4190)*(E2=E$1:E4190))))))</f>
        <v> </v>
      </c>
      <c r="K4191" s="25" t="str">
        <f>IF(OR(E4191="",E4191="!!!",F4191="NEW"),"",INDEX(J$1:J4190,SUMPRODUCT(MAX(ROW(E$1:E4190)*(E4191=E$1:E4190)))))</f>
        <v> </v>
      </c>
      <c r="L4191" s="26"/>
    </row>
    <row r="4192" spans="1:12">
      <c r="A4192" s="20" t="s">
        <v>1128</v>
      </c>
      <c r="E4192" s="21">
        <f>IF(D4192="?OLD","!!!","")</f>
        <v/>
      </c>
      <c r="F4192" s="22" t="str">
        <f>IF(OR(E4192="",E4192="!!!"),"",IF(NOT(ISNA(VLOOKUP(E4192,E$1:E4191,1,FALSE()))),"OLD",IF(AND(E4192&lt;&gt;"",E4192&lt;&gt;"!!!"),"NEW","")))</f>
        <v> </v>
      </c>
      <c r="G4192" s="23" t="str">
        <f>IF(OR(E4192="",E4192="!!!"),"",IF(OR(J4192=0,AND(J4192=1,K4192=1),AND(J4192=1,I4192="SBJ"),AND(J4192=1,I4192=0)),"?IN_FOCUS",IF(J4192&lt;=2,"?ACTIVATED",IF(J4192&lt;&gt;"","?FAMILIAR",IF(F4192="NEW",IF(ISNA(VLOOKUP(E4192,#REF!,1,FALSE())),"?TYPE_IDENTIFIABLE","?REFERENTIAL"),"_")))))</f>
        <v> </v>
      </c>
      <c r="H4192" s="24" t="str">
        <f>IF(J4192&lt;&gt;1,"",IF(I4192="SBJ","CB","?"))</f>
        <v> </v>
      </c>
      <c r="I4192" s="25" t="str">
        <f>IF(OR(E4192="",E4192="!!!",F4192="NEW"),"",INDEX(B4191:B$2,-1+SUMPRODUCT(MAX(ROW(E4191:E$2)*(E4192=E4191:E$2)))))</f>
        <v> </v>
      </c>
      <c r="J4192" s="25" t="str">
        <f>IF(OR(E4192="",E4192="!!!",F4192="NEW"),"",COUNTBLANK(OFFSET(A$1,,,SUMPRODUCT(MAX(ROW(E$2:E4192)*(E4192=E$2:E4192)))))-COUNTBLANK(OFFSET(A$1,,,SUMPRODUCT(MAX(ROW(E$1:E4191)*(E2=E$1:E4191))))))</f>
        <v> </v>
      </c>
      <c r="K4192" s="25" t="str">
        <f>IF(OR(E4192="",E4192="!!!",F4192="NEW"),"",INDEX(J$1:J4191,SUMPRODUCT(MAX(ROW(E$1:E4191)*(E4192=E$1:E4191)))))</f>
        <v> </v>
      </c>
      <c r="L4192" s="26"/>
    </row>
    <row r="4193" spans="1:12">
      <c r="A4193" s="20" t="s">
        <v>2967</v>
      </c>
      <c r="E4193" s="21">
        <f>IF(D4193="?OLD","!!!","")</f>
        <v/>
      </c>
      <c r="F4193" s="22" t="str">
        <f>IF(OR(E4193="",E4193="!!!"),"",IF(NOT(ISNA(VLOOKUP(E4193,E$1:E4192,1,FALSE()))),"OLD",IF(AND(E4193&lt;&gt;"",E4193&lt;&gt;"!!!"),"NEW","")))</f>
        <v> </v>
      </c>
      <c r="G4193" s="23" t="str">
        <f>IF(OR(E4193="",E4193="!!!"),"",IF(OR(J4193=0,AND(J4193=1,K4193=1),AND(J4193=1,I4193="SBJ"),AND(J4193=1,I4193=0)),"?IN_FOCUS",IF(J4193&lt;=2,"?ACTIVATED",IF(J4193&lt;&gt;"","?FAMILIAR",IF(F4193="NEW",IF(ISNA(VLOOKUP(E4193,#REF!,1,FALSE())),"?TYPE_IDENTIFIABLE","?REFERENTIAL"),"_")))))</f>
        <v> </v>
      </c>
      <c r="H4193" s="24" t="str">
        <f>IF(J4193&lt;&gt;1,"",IF(I4193="SBJ","CB","?"))</f>
        <v> </v>
      </c>
      <c r="I4193" s="25" t="str">
        <f>IF(OR(E4193="",E4193="!!!",F4193="NEW"),"",INDEX(B4192:B$2,-1+SUMPRODUCT(MAX(ROW(E4192:E$2)*(E4193=E4192:E$2)))))</f>
        <v> </v>
      </c>
      <c r="J4193" s="25" t="str">
        <f>IF(OR(E4193="",E4193="!!!",F4193="NEW"),"",COUNTBLANK(OFFSET(A$1,,,SUMPRODUCT(MAX(ROW(E$2:E4193)*(E4193=E$2:E4193)))))-COUNTBLANK(OFFSET(A$1,,,SUMPRODUCT(MAX(ROW(E$1:E4192)*(E2=E$1:E4192))))))</f>
        <v> </v>
      </c>
      <c r="K4193" s="25" t="str">
        <f>IF(OR(E4193="",E4193="!!!",F4193="NEW"),"",INDEX(J$1:J4192,SUMPRODUCT(MAX(ROW(E$1:E4192)*(E4193=E$1:E4192)))))</f>
        <v> </v>
      </c>
      <c r="L4193" s="26"/>
    </row>
    <row r="4194" spans="1:12">
      <c r="A4194" s="20" t="s">
        <v>1123</v>
      </c>
      <c r="E4194" s="21">
        <f>IF(D4194="?OLD","!!!","")</f>
        <v/>
      </c>
      <c r="F4194" s="22" t="str">
        <f>IF(OR(E4194="",E4194="!!!"),"",IF(NOT(ISNA(VLOOKUP(E4194,E$1:E4193,1,FALSE()))),"OLD",IF(AND(E4194&lt;&gt;"",E4194&lt;&gt;"!!!"),"NEW","")))</f>
        <v> </v>
      </c>
      <c r="G4194" s="23" t="str">
        <f>IF(OR(E4194="",E4194="!!!"),"",IF(OR(J4194=0,AND(J4194=1,K4194=1),AND(J4194=1,I4194="SBJ"),AND(J4194=1,I4194=0)),"?IN_FOCUS",IF(J4194&lt;=2,"?ACTIVATED",IF(J4194&lt;&gt;"","?FAMILIAR",IF(F4194="NEW",IF(ISNA(VLOOKUP(E4194,#REF!,1,FALSE())),"?TYPE_IDENTIFIABLE","?REFERENTIAL"),"_")))))</f>
        <v> </v>
      </c>
      <c r="H4194" s="24" t="str">
        <f>IF(J4194&lt;&gt;1,"",IF(I4194="SBJ","CB","?"))</f>
        <v> </v>
      </c>
      <c r="I4194" s="25" t="str">
        <f>IF(OR(E4194="",E4194="!!!",F4194="NEW"),"",INDEX(B4193:B$2,-1+SUMPRODUCT(MAX(ROW(E4193:E$2)*(E4194=E4193:E$2)))))</f>
        <v> </v>
      </c>
      <c r="J4194" s="25" t="str">
        <f>IF(OR(E4194="",E4194="!!!",F4194="NEW"),"",COUNTBLANK(OFFSET(A$1,,,SUMPRODUCT(MAX(ROW(E$2:E4194)*(E4194=E$2:E4194)))))-COUNTBLANK(OFFSET(A$1,,,SUMPRODUCT(MAX(ROW(E$1:E4193)*(E2=E$1:E4193))))))</f>
        <v> </v>
      </c>
      <c r="K4194" s="25" t="str">
        <f>IF(OR(E4194="",E4194="!!!",F4194="NEW"),"",INDEX(J$1:J4193,SUMPRODUCT(MAX(ROW(E$1:E4193)*(E4194=E$1:E4193)))))</f>
        <v> </v>
      </c>
      <c r="L4194" s="26"/>
    </row>
    <row r="4195" spans="1:12">
      <c r="A4195" s="20" t="s">
        <v>1139</v>
      </c>
      <c r="E4195" s="21">
        <f>IF(D4195="?OLD","!!!","")</f>
        <v/>
      </c>
      <c r="F4195" s="22" t="str">
        <f>IF(OR(E4195="",E4195="!!!"),"",IF(NOT(ISNA(VLOOKUP(E4195,E$1:E4194,1,FALSE()))),"OLD",IF(AND(E4195&lt;&gt;"",E4195&lt;&gt;"!!!"),"NEW","")))</f>
        <v> </v>
      </c>
      <c r="G4195" s="23" t="str">
        <f>IF(OR(E4195="",E4195="!!!"),"",IF(OR(J4195=0,AND(J4195=1,K4195=1),AND(J4195=1,I4195="SBJ"),AND(J4195=1,I4195=0)),"?IN_FOCUS",IF(J4195&lt;=2,"?ACTIVATED",IF(J4195&lt;&gt;"","?FAMILIAR",IF(F4195="NEW",IF(ISNA(VLOOKUP(E4195,#REF!,1,FALSE())),"?TYPE_IDENTIFIABLE","?REFERENTIAL"),"_")))))</f>
        <v> </v>
      </c>
      <c r="H4195" s="24" t="str">
        <f>IF(J4195&lt;&gt;1,"",IF(I4195="SBJ","CB","?"))</f>
        <v> </v>
      </c>
      <c r="I4195" s="25" t="str">
        <f>IF(OR(E4195="",E4195="!!!",F4195="NEW"),"",INDEX(B4194:B$2,-1+SUMPRODUCT(MAX(ROW(E4194:E$2)*(E4195=E4194:E$2)))))</f>
        <v> </v>
      </c>
      <c r="J4195" s="25" t="str">
        <f>IF(OR(E4195="",E4195="!!!",F4195="NEW"),"",COUNTBLANK(OFFSET(A$1,,,SUMPRODUCT(MAX(ROW(E$2:E4195)*(E4195=E$2:E4195)))))-COUNTBLANK(OFFSET(A$1,,,SUMPRODUCT(MAX(ROW(E$1:E4194)*(E2=E$1:E4194))))))</f>
        <v> </v>
      </c>
      <c r="K4195" s="25" t="str">
        <f>IF(OR(E4195="",E4195="!!!",F4195="NEW"),"",INDEX(J$1:J4194,SUMPRODUCT(MAX(ROW(E$1:E4194)*(E4195=E$1:E4194)))))</f>
        <v> </v>
      </c>
      <c r="L4195" s="26"/>
    </row>
    <row r="4196" spans="1:12">
      <c r="A4196" s="20" t="s">
        <v>2968</v>
      </c>
      <c r="E4196" s="21">
        <f>IF(D4196="?OLD","!!!","")</f>
        <v/>
      </c>
      <c r="F4196" s="22" t="str">
        <f>IF(OR(E4196="",E4196="!!!"),"",IF(NOT(ISNA(VLOOKUP(E4196,E$1:E4195,1,FALSE()))),"OLD",IF(AND(E4196&lt;&gt;"",E4196&lt;&gt;"!!!"),"NEW","")))</f>
        <v> </v>
      </c>
      <c r="G4196" s="23" t="str">
        <f>IF(OR(E4196="",E4196="!!!"),"",IF(OR(J4196=0,AND(J4196=1,K4196=1),AND(J4196=1,I4196="SBJ"),AND(J4196=1,I4196=0)),"?IN_FOCUS",IF(J4196&lt;=2,"?ACTIVATED",IF(J4196&lt;&gt;"","?FAMILIAR",IF(F4196="NEW",IF(ISNA(VLOOKUP(E4196,#REF!,1,FALSE())),"?TYPE_IDENTIFIABLE","?REFERENTIAL"),"_")))))</f>
        <v> </v>
      </c>
      <c r="H4196" s="24" t="str">
        <f>IF(J4196&lt;&gt;1,"",IF(I4196="SBJ","CB","?"))</f>
        <v> </v>
      </c>
      <c r="I4196" s="25" t="str">
        <f>IF(OR(E4196="",E4196="!!!",F4196="NEW"),"",INDEX(B4195:B$2,-1+SUMPRODUCT(MAX(ROW(E4195:E$2)*(E4196=E4195:E$2)))))</f>
        <v> </v>
      </c>
      <c r="J4196" s="25" t="str">
        <f>IF(OR(E4196="",E4196="!!!",F4196="NEW"),"",COUNTBLANK(OFFSET(A$1,,,SUMPRODUCT(MAX(ROW(E$2:E4196)*(E4196=E$2:E4196)))))-COUNTBLANK(OFFSET(A$1,,,SUMPRODUCT(MAX(ROW(E$1:E4195)*(E2=E$1:E4195))))))</f>
        <v> </v>
      </c>
      <c r="K4196" s="25" t="str">
        <f>IF(OR(E4196="",E4196="!!!",F4196="NEW"),"",INDEX(J$1:J4195,SUMPRODUCT(MAX(ROW(E$1:E4195)*(E4196=E$1:E4195)))))</f>
        <v> </v>
      </c>
      <c r="L4196" s="26"/>
    </row>
    <row r="4197" spans="1:12">
      <c r="A4197" s="20" t="s">
        <v>2969</v>
      </c>
      <c r="E4197" s="21">
        <f>IF(D4197="?OLD","!!!","")</f>
        <v/>
      </c>
      <c r="F4197" s="22" t="str">
        <f>IF(OR(E4197="",E4197="!!!"),"",IF(NOT(ISNA(VLOOKUP(E4197,E$1:E4196,1,FALSE()))),"OLD",IF(AND(E4197&lt;&gt;"",E4197&lt;&gt;"!!!"),"NEW","")))</f>
        <v> </v>
      </c>
      <c r="G4197" s="23" t="str">
        <f>IF(OR(E4197="",E4197="!!!"),"",IF(OR(J4197=0,AND(J4197=1,K4197=1),AND(J4197=1,I4197="SBJ"),AND(J4197=1,I4197=0)),"?IN_FOCUS",IF(J4197&lt;=2,"?ACTIVATED",IF(J4197&lt;&gt;"","?FAMILIAR",IF(F4197="NEW",IF(ISNA(VLOOKUP(E4197,#REF!,1,FALSE())),"?TYPE_IDENTIFIABLE","?REFERENTIAL"),"_")))))</f>
        <v> </v>
      </c>
      <c r="H4197" s="24" t="str">
        <f>IF(J4197&lt;&gt;1,"",IF(I4197="SBJ","CB","?"))</f>
        <v> </v>
      </c>
      <c r="I4197" s="25" t="str">
        <f>IF(OR(E4197="",E4197="!!!",F4197="NEW"),"",INDEX(B4196:B$2,-1+SUMPRODUCT(MAX(ROW(E4196:E$2)*(E4197=E4196:E$2)))))</f>
        <v> </v>
      </c>
      <c r="J4197" s="25" t="str">
        <f>IF(OR(E4197="",E4197="!!!",F4197="NEW"),"",COUNTBLANK(OFFSET(A$1,,,SUMPRODUCT(MAX(ROW(E$2:E4197)*(E4197=E$2:E4197)))))-COUNTBLANK(OFFSET(A$1,,,SUMPRODUCT(MAX(ROW(E$1:E4196)*(E2=E$1:E4196))))))</f>
        <v> </v>
      </c>
      <c r="K4197" s="25" t="str">
        <f>IF(OR(E4197="",E4197="!!!",F4197="NEW"),"",INDEX(J$1:J4196,SUMPRODUCT(MAX(ROW(E$1:E4196)*(E4197=E$1:E4196)))))</f>
        <v> </v>
      </c>
      <c r="L4197" s="26"/>
    </row>
    <row r="4198" spans="1:12">
      <c r="A4198" s="20" t="s">
        <v>2970</v>
      </c>
      <c r="E4198" s="21">
        <f>IF(D4198="?OLD","!!!","")</f>
        <v/>
      </c>
      <c r="F4198" s="22" t="str">
        <f>IF(OR(E4198="",E4198="!!!"),"",IF(NOT(ISNA(VLOOKUP(E4198,E$1:E4197,1,FALSE()))),"OLD",IF(AND(E4198&lt;&gt;"",E4198&lt;&gt;"!!!"),"NEW","")))</f>
        <v> </v>
      </c>
      <c r="G4198" s="23" t="str">
        <f>IF(OR(E4198="",E4198="!!!"),"",IF(OR(J4198=0,AND(J4198=1,K4198=1),AND(J4198=1,I4198="SBJ"),AND(J4198=1,I4198=0)),"?IN_FOCUS",IF(J4198&lt;=2,"?ACTIVATED",IF(J4198&lt;&gt;"","?FAMILIAR",IF(F4198="NEW",IF(ISNA(VLOOKUP(E4198,#REF!,1,FALSE())),"?TYPE_IDENTIFIABLE","?REFERENTIAL"),"_")))))</f>
        <v> </v>
      </c>
      <c r="H4198" s="24" t="str">
        <f>IF(J4198&lt;&gt;1,"",IF(I4198="SBJ","CB","?"))</f>
        <v> </v>
      </c>
      <c r="I4198" s="25" t="str">
        <f>IF(OR(E4198="",E4198="!!!",F4198="NEW"),"",INDEX(B4197:B$2,-1+SUMPRODUCT(MAX(ROW(E4197:E$2)*(E4198=E4197:E$2)))))</f>
        <v> </v>
      </c>
      <c r="J4198" s="25" t="str">
        <f>IF(OR(E4198="",E4198="!!!",F4198="NEW"),"",COUNTBLANK(OFFSET(A$1,,,SUMPRODUCT(MAX(ROW(E$2:E4198)*(E4198=E$2:E4198)))))-COUNTBLANK(OFFSET(A$1,,,SUMPRODUCT(MAX(ROW(E$1:E4197)*(E2=E$1:E4197))))))</f>
        <v> </v>
      </c>
      <c r="K4198" s="25" t="str">
        <f>IF(OR(E4198="",E4198="!!!",F4198="NEW"),"",INDEX(J$1:J4197,SUMPRODUCT(MAX(ROW(E$1:E4197)*(E4198=E$1:E4197)))))</f>
        <v> </v>
      </c>
      <c r="L4198" s="26"/>
    </row>
    <row r="4199" spans="1:12">
      <c r="A4199" s="20" t="s">
        <v>1123</v>
      </c>
      <c r="E4199" s="21">
        <f>IF(D4199="?OLD","!!!","")</f>
        <v/>
      </c>
      <c r="F4199" s="22" t="str">
        <f>IF(OR(E4199="",E4199="!!!"),"",IF(NOT(ISNA(VLOOKUP(E4199,E$1:E4198,1,FALSE()))),"OLD",IF(AND(E4199&lt;&gt;"",E4199&lt;&gt;"!!!"),"NEW","")))</f>
        <v> </v>
      </c>
      <c r="G4199" s="23" t="str">
        <f>IF(OR(E4199="",E4199="!!!"),"",IF(OR(J4199=0,AND(J4199=1,K4199=1),AND(J4199=1,I4199="SBJ"),AND(J4199=1,I4199=0)),"?IN_FOCUS",IF(J4199&lt;=2,"?ACTIVATED",IF(J4199&lt;&gt;"","?FAMILIAR",IF(F4199="NEW",IF(ISNA(VLOOKUP(E4199,#REF!,1,FALSE())),"?TYPE_IDENTIFIABLE","?REFERENTIAL"),"_")))))</f>
        <v> </v>
      </c>
      <c r="H4199" s="24" t="str">
        <f>IF(J4199&lt;&gt;1,"",IF(I4199="SBJ","CB","?"))</f>
        <v> </v>
      </c>
      <c r="I4199" s="25" t="str">
        <f>IF(OR(E4199="",E4199="!!!",F4199="NEW"),"",INDEX(B4198:B$2,-1+SUMPRODUCT(MAX(ROW(E4198:E$2)*(E4199=E4198:E$2)))))</f>
        <v> </v>
      </c>
      <c r="J4199" s="25" t="str">
        <f>IF(OR(E4199="",E4199="!!!",F4199="NEW"),"",COUNTBLANK(OFFSET(A$1,,,SUMPRODUCT(MAX(ROW(E$2:E4199)*(E4199=E$2:E4199)))))-COUNTBLANK(OFFSET(A$1,,,SUMPRODUCT(MAX(ROW(E$1:E4198)*(E2=E$1:E4198))))))</f>
        <v> </v>
      </c>
      <c r="K4199" s="25" t="str">
        <f>IF(OR(E4199="",E4199="!!!",F4199="NEW"),"",INDEX(J$1:J4198,SUMPRODUCT(MAX(ROW(E$1:E4198)*(E4199=E$1:E4198)))))</f>
        <v> </v>
      </c>
      <c r="L4199" s="26"/>
    </row>
    <row r="4200" spans="1:12">
      <c r="A4200" s="20" t="s">
        <v>2971</v>
      </c>
      <c r="E4200" s="21">
        <f>IF(D4200="?OLD","!!!","")</f>
        <v/>
      </c>
      <c r="F4200" s="22" t="str">
        <f>IF(OR(E4200="",E4200="!!!"),"",IF(NOT(ISNA(VLOOKUP(E4200,E$1:E4199,1,FALSE()))),"OLD",IF(AND(E4200&lt;&gt;"",E4200&lt;&gt;"!!!"),"NEW","")))</f>
        <v> </v>
      </c>
      <c r="G4200" s="23" t="str">
        <f>IF(OR(E4200="",E4200="!!!"),"",IF(OR(J4200=0,AND(J4200=1,K4200=1),AND(J4200=1,I4200="SBJ"),AND(J4200=1,I4200=0)),"?IN_FOCUS",IF(J4200&lt;=2,"?ACTIVATED",IF(J4200&lt;&gt;"","?FAMILIAR",IF(F4200="NEW",IF(ISNA(VLOOKUP(E4200,#REF!,1,FALSE())),"?TYPE_IDENTIFIABLE","?REFERENTIAL"),"_")))))</f>
        <v> </v>
      </c>
      <c r="H4200" s="24" t="str">
        <f>IF(J4200&lt;&gt;1,"",IF(I4200="SBJ","CB","?"))</f>
        <v> </v>
      </c>
      <c r="I4200" s="25" t="str">
        <f>IF(OR(E4200="",E4200="!!!",F4200="NEW"),"",INDEX(B4199:B$2,-1+SUMPRODUCT(MAX(ROW(E4199:E$2)*(E4200=E4199:E$2)))))</f>
        <v> </v>
      </c>
      <c r="J4200" s="25" t="str">
        <f>IF(OR(E4200="",E4200="!!!",F4200="NEW"),"",COUNTBLANK(OFFSET(A$1,,,SUMPRODUCT(MAX(ROW(E$2:E4200)*(E4200=E$2:E4200)))))-COUNTBLANK(OFFSET(A$1,,,SUMPRODUCT(MAX(ROW(E$1:E4199)*(E2=E$1:E4199))))))</f>
        <v> </v>
      </c>
      <c r="K4200" s="25" t="str">
        <f>IF(OR(E4200="",E4200="!!!",F4200="NEW"),"",INDEX(J$1:J4199,SUMPRODUCT(MAX(ROW(E$1:E4199)*(E4200=E$1:E4199)))))</f>
        <v> </v>
      </c>
      <c r="L4200" s="26"/>
    </row>
    <row r="4201" spans="1:12">
      <c r="A4201" s="20" t="s">
        <v>1123</v>
      </c>
      <c r="E4201" s="21">
        <f>IF(D4201="?OLD","!!!","")</f>
        <v/>
      </c>
      <c r="F4201" s="22" t="str">
        <f>IF(OR(E4201="",E4201="!!!"),"",IF(NOT(ISNA(VLOOKUP(E4201,E$1:E4200,1,FALSE()))),"OLD",IF(AND(E4201&lt;&gt;"",E4201&lt;&gt;"!!!"),"NEW","")))</f>
        <v> </v>
      </c>
      <c r="G4201" s="23" t="str">
        <f>IF(OR(E4201="",E4201="!!!"),"",IF(OR(J4201=0,AND(J4201=1,K4201=1),AND(J4201=1,I4201="SBJ"),AND(J4201=1,I4201=0)),"?IN_FOCUS",IF(J4201&lt;=2,"?ACTIVATED",IF(J4201&lt;&gt;"","?FAMILIAR",IF(F4201="NEW",IF(ISNA(VLOOKUP(E4201,#REF!,1,FALSE())),"?TYPE_IDENTIFIABLE","?REFERENTIAL"),"_")))))</f>
        <v> </v>
      </c>
      <c r="H4201" s="24" t="str">
        <f>IF(J4201&lt;&gt;1,"",IF(I4201="SBJ","CB","?"))</f>
        <v> </v>
      </c>
      <c r="I4201" s="25" t="str">
        <f>IF(OR(E4201="",E4201="!!!",F4201="NEW"),"",INDEX(B4200:B$2,-1+SUMPRODUCT(MAX(ROW(E4200:E$2)*(E4201=E4200:E$2)))))</f>
        <v> </v>
      </c>
      <c r="J4201" s="25" t="str">
        <f>IF(OR(E4201="",E4201="!!!",F4201="NEW"),"",COUNTBLANK(OFFSET(A$1,,,SUMPRODUCT(MAX(ROW(E$2:E4201)*(E4201=E$2:E4201)))))-COUNTBLANK(OFFSET(A$1,,,SUMPRODUCT(MAX(ROW(E$1:E4200)*(E2=E$1:E4200))))))</f>
        <v> </v>
      </c>
      <c r="K4201" s="25" t="str">
        <f>IF(OR(E4201="",E4201="!!!",F4201="NEW"),"",INDEX(J$1:J4200,SUMPRODUCT(MAX(ROW(E$1:E4200)*(E4201=E$1:E4200)))))</f>
        <v> </v>
      </c>
      <c r="L4201" s="26"/>
    </row>
    <row r="4202" spans="1:12">
      <c r="A4202" s="20" t="s">
        <v>135</v>
      </c>
      <c r="E4202" s="21">
        <f>IF(D4202="?OLD","!!!","")</f>
        <v/>
      </c>
      <c r="F4202" s="22" t="str">
        <f>IF(OR(E4202="",E4202="!!!"),"",IF(NOT(ISNA(VLOOKUP(E4202,E$1:E4201,1,FALSE()))),"OLD",IF(AND(E4202&lt;&gt;"",E4202&lt;&gt;"!!!"),"NEW","")))</f>
        <v> </v>
      </c>
      <c r="G4202" s="23" t="str">
        <f>IF(OR(E4202="",E4202="!!!"),"",IF(OR(J4202=0,AND(J4202=1,K4202=1),AND(J4202=1,I4202="SBJ"),AND(J4202=1,I4202=0)),"?IN_FOCUS",IF(J4202&lt;=2,"?ACTIVATED",IF(J4202&lt;&gt;"","?FAMILIAR",IF(F4202="NEW",IF(ISNA(VLOOKUP(E4202,#REF!,1,FALSE())),"?TYPE_IDENTIFIABLE","?REFERENTIAL"),"_")))))</f>
        <v> </v>
      </c>
      <c r="H4202" s="24" t="str">
        <f>IF(J4202&lt;&gt;1,"",IF(I4202="SBJ","CB","?"))</f>
        <v> </v>
      </c>
      <c r="I4202" s="25" t="str">
        <f>IF(OR(E4202="",E4202="!!!",F4202="NEW"),"",INDEX(B4201:B$2,-1+SUMPRODUCT(MAX(ROW(E4201:E$2)*(E4202=E4201:E$2)))))</f>
        <v> </v>
      </c>
      <c r="J4202" s="25" t="str">
        <f>IF(OR(E4202="",E4202="!!!",F4202="NEW"),"",COUNTBLANK(OFFSET(A$1,,,SUMPRODUCT(MAX(ROW(E$2:E4202)*(E4202=E$2:E4202)))))-COUNTBLANK(OFFSET(A$1,,,SUMPRODUCT(MAX(ROW(E$1:E4201)*(E2=E$1:E4201))))))</f>
        <v> </v>
      </c>
      <c r="K4202" s="25" t="str">
        <f>IF(OR(E4202="",E4202="!!!",F4202="NEW"),"",INDEX(J$1:J4201,SUMPRODUCT(MAX(ROW(E$1:E4201)*(E4202=E$1:E4201)))))</f>
        <v> </v>
      </c>
      <c r="L4202" s="26"/>
    </row>
    <row r="4203" spans="1:12">
      <c r="A4203" s="20" t="s">
        <v>2635</v>
      </c>
      <c r="E4203" s="21">
        <f>IF(D4203="?OLD","!!!","")</f>
        <v/>
      </c>
      <c r="F4203" s="22" t="str">
        <f>IF(OR(E4203="",E4203="!!!"),"",IF(NOT(ISNA(VLOOKUP(E4203,E$1:E4202,1,FALSE()))),"OLD",IF(AND(E4203&lt;&gt;"",E4203&lt;&gt;"!!!"),"NEW","")))</f>
        <v> </v>
      </c>
      <c r="G4203" s="23" t="str">
        <f>IF(OR(E4203="",E4203="!!!"),"",IF(OR(J4203=0,AND(J4203=1,K4203=1),AND(J4203=1,I4203="SBJ"),AND(J4203=1,I4203=0)),"?IN_FOCUS",IF(J4203&lt;=2,"?ACTIVATED",IF(J4203&lt;&gt;"","?FAMILIAR",IF(F4203="NEW",IF(ISNA(VLOOKUP(E4203,#REF!,1,FALSE())),"?TYPE_IDENTIFIABLE","?REFERENTIAL"),"_")))))</f>
        <v> </v>
      </c>
      <c r="H4203" s="24" t="str">
        <f>IF(J4203&lt;&gt;1,"",IF(I4203="SBJ","CB","?"))</f>
        <v> </v>
      </c>
      <c r="I4203" s="25" t="str">
        <f>IF(OR(E4203="",E4203="!!!",F4203="NEW"),"",INDEX(B4202:B$2,-1+SUMPRODUCT(MAX(ROW(E4202:E$2)*(E4203=E4202:E$2)))))</f>
        <v> </v>
      </c>
      <c r="J4203" s="25" t="str">
        <f>IF(OR(E4203="",E4203="!!!",F4203="NEW"),"",COUNTBLANK(OFFSET(A$1,,,SUMPRODUCT(MAX(ROW(E$2:E4203)*(E4203=E$2:E4203)))))-COUNTBLANK(OFFSET(A$1,,,SUMPRODUCT(MAX(ROW(E$1:E4202)*(E2=E$1:E4202))))))</f>
        <v> </v>
      </c>
      <c r="K4203" s="25" t="str">
        <f>IF(OR(E4203="",E4203="!!!",F4203="NEW"),"",INDEX(J$1:J4202,SUMPRODUCT(MAX(ROW(E$1:E4202)*(E4203=E$1:E4202)))))</f>
        <v> </v>
      </c>
      <c r="L4203" s="26"/>
    </row>
    <row r="4204" spans="1:12">
      <c r="A4204" s="20" t="s">
        <v>115</v>
      </c>
      <c r="E4204" s="21">
        <f>IF(D4204="?OLD","!!!","")</f>
        <v/>
      </c>
      <c r="F4204" s="22" t="str">
        <f>IF(OR(E4204="",E4204="!!!"),"",IF(NOT(ISNA(VLOOKUP(E4204,E$1:E4203,1,FALSE()))),"OLD",IF(AND(E4204&lt;&gt;"",E4204&lt;&gt;"!!!"),"NEW","")))</f>
        <v> </v>
      </c>
      <c r="G4204" s="23" t="str">
        <f>IF(OR(E4204="",E4204="!!!"),"",IF(OR(J4204=0,AND(J4204=1,K4204=1),AND(J4204=1,I4204="SBJ"),AND(J4204=1,I4204=0)),"?IN_FOCUS",IF(J4204&lt;=2,"?ACTIVATED",IF(J4204&lt;&gt;"","?FAMILIAR",IF(F4204="NEW",IF(ISNA(VLOOKUP(E4204,#REF!,1,FALSE())),"?TYPE_IDENTIFIABLE","?REFERENTIAL"),"_")))))</f>
        <v> </v>
      </c>
      <c r="H4204" s="24" t="str">
        <f>IF(J4204&lt;&gt;1,"",IF(I4204="SBJ","CB","?"))</f>
        <v> </v>
      </c>
      <c r="I4204" s="25" t="str">
        <f>IF(OR(E4204="",E4204="!!!",F4204="NEW"),"",INDEX(B4203:B$2,-1+SUMPRODUCT(MAX(ROW(E4203:E$2)*(E4204=E4203:E$2)))))</f>
        <v> </v>
      </c>
      <c r="J4204" s="25" t="str">
        <f>IF(OR(E4204="",E4204="!!!",F4204="NEW"),"",COUNTBLANK(OFFSET(A$1,,,SUMPRODUCT(MAX(ROW(E$2:E4204)*(E4204=E$2:E4204)))))-COUNTBLANK(OFFSET(A$1,,,SUMPRODUCT(MAX(ROW(E$1:E4203)*(E2=E$1:E4203))))))</f>
        <v> </v>
      </c>
      <c r="K4204" s="25" t="str">
        <f>IF(OR(E4204="",E4204="!!!",F4204="NEW"),"",INDEX(J$1:J4203,SUMPRODUCT(MAX(ROW(E$1:E4203)*(E4204=E$1:E4203)))))</f>
        <v> </v>
      </c>
      <c r="L4204" s="26"/>
    </row>
    <row r="4205" spans="1:12">
      <c r="A4205" s="20" t="s">
        <v>2324</v>
      </c>
      <c r="E4205" s="21">
        <f>IF(D4205="?OLD","!!!","")</f>
        <v/>
      </c>
      <c r="F4205" s="22" t="str">
        <f>IF(OR(E4205="",E4205="!!!"),"",IF(NOT(ISNA(VLOOKUP(E4205,E$1:E4204,1,FALSE()))),"OLD",IF(AND(E4205&lt;&gt;"",E4205&lt;&gt;"!!!"),"NEW","")))</f>
        <v> </v>
      </c>
      <c r="G4205" s="23" t="str">
        <f>IF(OR(E4205="",E4205="!!!"),"",IF(OR(J4205=0,AND(J4205=1,K4205=1),AND(J4205=1,I4205="SBJ"),AND(J4205=1,I4205=0)),"?IN_FOCUS",IF(J4205&lt;=2,"?ACTIVATED",IF(J4205&lt;&gt;"","?FAMILIAR",IF(F4205="NEW",IF(ISNA(VLOOKUP(E4205,#REF!,1,FALSE())),"?TYPE_IDENTIFIABLE","?REFERENTIAL"),"_")))))</f>
        <v> </v>
      </c>
      <c r="H4205" s="24" t="str">
        <f>IF(J4205&lt;&gt;1,"",IF(I4205="SBJ","CB","?"))</f>
        <v> </v>
      </c>
      <c r="I4205" s="25" t="str">
        <f>IF(OR(E4205="",E4205="!!!",F4205="NEW"),"",INDEX(B4204:B$2,-1+SUMPRODUCT(MAX(ROW(E4204:E$2)*(E4205=E4204:E$2)))))</f>
        <v> </v>
      </c>
      <c r="J4205" s="25" t="str">
        <f>IF(OR(E4205="",E4205="!!!",F4205="NEW"),"",COUNTBLANK(OFFSET(A$1,,,SUMPRODUCT(MAX(ROW(E$2:E4205)*(E4205=E$2:E4205)))))-COUNTBLANK(OFFSET(A$1,,,SUMPRODUCT(MAX(ROW(E$1:E4204)*(E2=E$1:E4204))))))</f>
        <v> </v>
      </c>
      <c r="K4205" s="25" t="str">
        <f>IF(OR(E4205="",E4205="!!!",F4205="NEW"),"",INDEX(J$1:J4204,SUMPRODUCT(MAX(ROW(E$1:E4204)*(E4205=E$1:E4204)))))</f>
        <v> </v>
      </c>
      <c r="L4205" s="26"/>
    </row>
    <row r="4206" spans="1:12">
      <c r="A4206" s="20" t="s">
        <v>2636</v>
      </c>
      <c r="B4206" s="27" t="s">
        <v>1122</v>
      </c>
      <c r="E4206" s="21">
        <f>IF(D4206="?OLD","!!!","")</f>
        <v/>
      </c>
      <c r="F4206" s="22" t="str">
        <f>IF(OR(E4206="",E4206="!!!"),"",IF(NOT(ISNA(VLOOKUP(E4206,E$1:E4205,1,FALSE()))),"OLD",IF(AND(E4206&lt;&gt;"",E4206&lt;&gt;"!!!"),"NEW","")))</f>
        <v> </v>
      </c>
      <c r="G4206" s="23" t="str">
        <f>IF(OR(E4206="",E4206="!!!"),"",IF(OR(J4206=0,AND(J4206=1,K4206=1),AND(J4206=1,I4206="SBJ"),AND(J4206=1,I4206=0)),"?IN_FOCUS",IF(J4206&lt;=2,"?ACTIVATED",IF(J4206&lt;&gt;"","?FAMILIAR",IF(F4206="NEW",IF(ISNA(VLOOKUP(E4206,#REF!,1,FALSE())),"?TYPE_IDENTIFIABLE","?REFERENTIAL"),"_")))))</f>
        <v> </v>
      </c>
      <c r="H4206" s="24" t="str">
        <f>IF(J4206&lt;&gt;1,"",IF(I4206="SBJ","CB","?"))</f>
        <v> </v>
      </c>
      <c r="I4206" s="25" t="str">
        <f>IF(OR(E4206="",E4206="!!!",F4206="NEW"),"",INDEX(B4205:B$2,-1+SUMPRODUCT(MAX(ROW(E4205:E$2)*(E4206=E4205:E$2)))))</f>
        <v> </v>
      </c>
      <c r="J4206" s="25" t="str">
        <f>IF(OR(E4206="",E4206="!!!",F4206="NEW"),"",COUNTBLANK(OFFSET(A$1,,,SUMPRODUCT(MAX(ROW(E$2:E4206)*(E4206=E$2:E4206)))))-COUNTBLANK(OFFSET(A$1,,,SUMPRODUCT(MAX(ROW(E$1:E4205)*(E2=E$1:E4205))))))</f>
        <v> </v>
      </c>
      <c r="K4206" s="25" t="str">
        <f>IF(OR(E4206="",E4206="!!!",F4206="NEW"),"",INDEX(J$1:J4205,SUMPRODUCT(MAX(ROW(E$1:E4205)*(E4206=E$1:E4205)))))</f>
        <v> </v>
      </c>
      <c r="L4206" s="26"/>
    </row>
    <row r="4207" spans="1:12">
      <c r="A4207" s="20" t="s">
        <v>1145</v>
      </c>
      <c r="E4207" s="21">
        <f>IF(D4207="?OLD","!!!","")</f>
        <v/>
      </c>
      <c r="F4207" s="22" t="str">
        <f>IF(OR(E4207="",E4207="!!!"),"",IF(NOT(ISNA(VLOOKUP(E4207,E$1:E4206,1,FALSE()))),"OLD",IF(AND(E4207&lt;&gt;"",E4207&lt;&gt;"!!!"),"NEW","")))</f>
        <v> </v>
      </c>
      <c r="G4207" s="23" t="str">
        <f>IF(OR(E4207="",E4207="!!!"),"",IF(OR(J4207=0,AND(J4207=1,K4207=1),AND(J4207=1,I4207="SBJ"),AND(J4207=1,I4207=0)),"?IN_FOCUS",IF(J4207&lt;=2,"?ACTIVATED",IF(J4207&lt;&gt;"","?FAMILIAR",IF(F4207="NEW",IF(ISNA(VLOOKUP(E4207,#REF!,1,FALSE())),"?TYPE_IDENTIFIABLE","?REFERENTIAL"),"_")))))</f>
        <v> </v>
      </c>
      <c r="H4207" s="24" t="str">
        <f>IF(J4207&lt;&gt;1,"",IF(I4207="SBJ","CB","?"))</f>
        <v> </v>
      </c>
      <c r="I4207" s="25" t="str">
        <f>IF(OR(E4207="",E4207="!!!",F4207="NEW"),"",INDEX(B4206:B$2,-1+SUMPRODUCT(MAX(ROW(E4206:E$2)*(E4207=E4206:E$2)))))</f>
        <v> </v>
      </c>
      <c r="J4207" s="25" t="str">
        <f>IF(OR(E4207="",E4207="!!!",F4207="NEW"),"",COUNTBLANK(OFFSET(A$1,,,SUMPRODUCT(MAX(ROW(E$2:E4207)*(E4207=E$2:E4207)))))-COUNTBLANK(OFFSET(A$1,,,SUMPRODUCT(MAX(ROW(E$1:E4206)*(E2=E$1:E4206))))))</f>
        <v> </v>
      </c>
      <c r="K4207" s="25" t="str">
        <f>IF(OR(E4207="",E4207="!!!",F4207="NEW"),"",INDEX(J$1:J4206,SUMPRODUCT(MAX(ROW(E$1:E4206)*(E4207=E$1:E4206)))))</f>
        <v> </v>
      </c>
      <c r="L4207" s="26"/>
    </row>
    <row r="4208" spans="1:12">
      <c r="A4208" s="20"/>
    </row>
    <row r="4209" spans="1:12">
      <c r="A4209" s="20" t="s">
        <v>2972</v>
      </c>
    </row>
    <row r="4210" spans="1:12">
      <c r="A4210" s="20" t="s">
        <v>2973</v>
      </c>
      <c r="E4210" s="21">
        <f>IF(D4210="?OLD","!!!","")</f>
        <v/>
      </c>
      <c r="F4210" s="22" t="str">
        <f>IF(OR(E4210="",E4210="!!!"),"",IF(NOT(ISNA(VLOOKUP(E4210,E$1:E4209,1,FALSE()))),"OLD",IF(AND(E4210&lt;&gt;"",E4210&lt;&gt;"!!!"),"NEW","")))</f>
        <v> </v>
      </c>
      <c r="G4210" s="23" t="str">
        <f>IF(OR(E4210="",E4210="!!!"),"",IF(OR(J4210=0,AND(J4210=1,K4210=1),AND(J4210=1,I4210="SBJ"),AND(J4210=1,I4210=0)),"?IN_FOCUS",IF(J4210&lt;=2,"?ACTIVATED",IF(J4210&lt;&gt;"","?FAMILIAR",IF(F4210="NEW",IF(ISNA(VLOOKUP(E4210,#REF!,1,FALSE())),"?TYPE_IDENTIFIABLE","?REFERENTIAL"),"_")))))</f>
        <v> </v>
      </c>
      <c r="H4210" s="24" t="str">
        <f>IF(J4210&lt;&gt;1,"",IF(I4210="SBJ","CB","?"))</f>
        <v> </v>
      </c>
      <c r="I4210" s="25" t="str">
        <f>IF(OR(E4210="",E4210="!!!",F4210="NEW"),"",INDEX(B4209:B$2,-1+SUMPRODUCT(MAX(ROW(E4209:E$2)*(E4210=E4209:E$2)))))</f>
        <v> </v>
      </c>
      <c r="J4210" s="25" t="str">
        <f>IF(OR(E4210="",E4210="!!!",F4210="NEW"),"",COUNTBLANK(OFFSET(A$1,,,SUMPRODUCT(MAX(ROW(E$2:E4210)*(E4210=E$2:E4210)))))-COUNTBLANK(OFFSET(A$1,,,SUMPRODUCT(MAX(ROW(E$1:E4209)*(E2=E$1:E4209))))))</f>
        <v> </v>
      </c>
      <c r="K4210" s="25" t="str">
        <f>IF(OR(E4210="",E4210="!!!",F4210="NEW"),"",INDEX(J$1:J4209,SUMPRODUCT(MAX(ROW(E$1:E4209)*(E4210=E$1:E4209)))))</f>
        <v> </v>
      </c>
      <c r="L4210" s="26"/>
    </row>
    <row r="4211" spans="1:12">
      <c r="A4211" s="20" t="s">
        <v>1130</v>
      </c>
      <c r="E4211" s="21">
        <f>IF(D4211="?OLD","!!!","")</f>
        <v/>
      </c>
      <c r="F4211" s="22" t="str">
        <f>IF(OR(E4211="",E4211="!!!"),"",IF(NOT(ISNA(VLOOKUP(E4211,E$1:E4210,1,FALSE()))),"OLD",IF(AND(E4211&lt;&gt;"",E4211&lt;&gt;"!!!"),"NEW","")))</f>
        <v> </v>
      </c>
      <c r="G4211" s="23" t="str">
        <f>IF(OR(E4211="",E4211="!!!"),"",IF(OR(J4211=0,AND(J4211=1,K4211=1),AND(J4211=1,I4211="SBJ"),AND(J4211=1,I4211=0)),"?IN_FOCUS",IF(J4211&lt;=2,"?ACTIVATED",IF(J4211&lt;&gt;"","?FAMILIAR",IF(F4211="NEW",IF(ISNA(VLOOKUP(E4211,#REF!,1,FALSE())),"?TYPE_IDENTIFIABLE","?REFERENTIAL"),"_")))))</f>
        <v> </v>
      </c>
      <c r="H4211" s="24" t="str">
        <f>IF(J4211&lt;&gt;1,"",IF(I4211="SBJ","CB","?"))</f>
        <v> </v>
      </c>
      <c r="I4211" s="25" t="str">
        <f>IF(OR(E4211="",E4211="!!!",F4211="NEW"),"",INDEX(B4210:B$2,-1+SUMPRODUCT(MAX(ROW(E4210:E$2)*(E4211=E4210:E$2)))))</f>
        <v> </v>
      </c>
      <c r="J4211" s="25" t="str">
        <f>IF(OR(E4211="",E4211="!!!",F4211="NEW"),"",COUNTBLANK(OFFSET(A$1,,,SUMPRODUCT(MAX(ROW(E$2:E4211)*(E4211=E$2:E4211)))))-COUNTBLANK(OFFSET(A$1,,,SUMPRODUCT(MAX(ROW(E$1:E4210)*(E2=E$1:E4210))))))</f>
        <v> </v>
      </c>
      <c r="K4211" s="25" t="str">
        <f>IF(OR(E4211="",E4211="!!!",F4211="NEW"),"",INDEX(J$1:J4210,SUMPRODUCT(MAX(ROW(E$1:E4210)*(E4211=E$1:E4210)))))</f>
        <v> </v>
      </c>
      <c r="L4211" s="26"/>
    </row>
    <row r="4212" spans="1:12">
      <c r="A4212" s="20" t="s">
        <v>1183</v>
      </c>
      <c r="B4212" s="27" t="s">
        <v>1107</v>
      </c>
      <c r="C4212" s="27" t="s">
        <v>1126</v>
      </c>
      <c r="D4212" s="27" t="s">
        <v>1105</v>
      </c>
      <c r="E4212" s="21">
        <f>IF(D4212="?OLD","!!!","")</f>
        <v/>
      </c>
      <c r="F4212" s="22" t="str">
        <f>IF(OR(E4212="",E4212="!!!"),"",IF(NOT(ISNA(VLOOKUP(E4212,E$1:E4211,1,FALSE()))),"OLD",IF(AND(E4212&lt;&gt;"",E4212&lt;&gt;"!!!"),"NEW","")))</f>
        <v> </v>
      </c>
      <c r="G4212" s="23" t="str">
        <f>IF(OR(E4212="",E4212="!!!"),"",IF(OR(J4212=0,AND(J4212=1,K4212=1),AND(J4212=1,I4212="SBJ"),AND(J4212=1,I4212=0)),"?IN_FOCUS",IF(J4212&lt;=2,"?ACTIVATED",IF(J4212&lt;&gt;"","?FAMILIAR",IF(F4212="NEW",IF(ISNA(VLOOKUP(E4212,#REF!,1,FALSE())),"?TYPE_IDENTIFIABLE","?REFERENTIAL"),"_")))))</f>
        <v> </v>
      </c>
      <c r="H4212" s="24" t="str">
        <f>IF(J4212&lt;&gt;1,"",IF(I4212="SBJ","CB","?"))</f>
        <v> </v>
      </c>
      <c r="I4212" s="25" t="str">
        <f>IF(OR(E4212="",E4212="!!!",F4212="NEW"),"",INDEX(B4211:B$2,-1+SUMPRODUCT(MAX(ROW(E4211:E$2)*(E4212=E4211:E$2)))))</f>
        <v> </v>
      </c>
      <c r="J4212" s="25" t="str">
        <f>IF(OR(E4212="",E4212="!!!",F4212="NEW"),"",COUNTBLANK(OFFSET(A$1,,,SUMPRODUCT(MAX(ROW(E$2:E4212)*(E4212=E$2:E4212)))))-COUNTBLANK(OFFSET(A$1,,,SUMPRODUCT(MAX(ROW(E$1:E4211)*(E2=E$1:E4211))))))</f>
        <v> </v>
      </c>
      <c r="K4212" s="25" t="str">
        <f>IF(OR(E4212="",E4212="!!!",F4212="NEW"),"",INDEX(J$1:J4211,SUMPRODUCT(MAX(ROW(E$1:E4211)*(E4212=E$1:E4211)))))</f>
        <v> </v>
      </c>
      <c r="L4212" s="26"/>
    </row>
    <row r="4213" spans="1:12">
      <c r="A4213" s="20" t="s">
        <v>1522</v>
      </c>
      <c r="E4213" s="21">
        <f>IF(D4213="?OLD","!!!","")</f>
        <v/>
      </c>
      <c r="F4213" s="22" t="str">
        <f>IF(OR(E4213="",E4213="!!!"),"",IF(NOT(ISNA(VLOOKUP(E4213,E$1:E4212,1,FALSE()))),"OLD",IF(AND(E4213&lt;&gt;"",E4213&lt;&gt;"!!!"),"NEW","")))</f>
        <v> </v>
      </c>
      <c r="G4213" s="23" t="str">
        <f>IF(OR(E4213="",E4213="!!!"),"",IF(OR(J4213=0,AND(J4213=1,K4213=1),AND(J4213=1,I4213="SBJ"),AND(J4213=1,I4213=0)),"?IN_FOCUS",IF(J4213&lt;=2,"?ACTIVATED",IF(J4213&lt;&gt;"","?FAMILIAR",IF(F4213="NEW",IF(ISNA(VLOOKUP(E4213,#REF!,1,FALSE())),"?TYPE_IDENTIFIABLE","?REFERENTIAL"),"_")))))</f>
        <v> </v>
      </c>
      <c r="H4213" s="24" t="str">
        <f>IF(J4213&lt;&gt;1,"",IF(I4213="SBJ","CB","?"))</f>
        <v> </v>
      </c>
      <c r="I4213" s="25" t="str">
        <f>IF(OR(E4213="",E4213="!!!",F4213="NEW"),"",INDEX(B4212:B$2,-1+SUMPRODUCT(MAX(ROW(E4212:E$2)*(E4213=E4212:E$2)))))</f>
        <v> </v>
      </c>
      <c r="J4213" s="25" t="str">
        <f>IF(OR(E4213="",E4213="!!!",F4213="NEW"),"",COUNTBLANK(OFFSET(A$1,,,SUMPRODUCT(MAX(ROW(E$2:E4213)*(E4213=E$2:E4213)))))-COUNTBLANK(OFFSET(A$1,,,SUMPRODUCT(MAX(ROW(E$1:E4212)*(E2=E$1:E4212))))))</f>
        <v> </v>
      </c>
      <c r="K4213" s="25" t="str">
        <f>IF(OR(E4213="",E4213="!!!",F4213="NEW"),"",INDEX(J$1:J4212,SUMPRODUCT(MAX(ROW(E$1:E4212)*(E4213=E$1:E4212)))))</f>
        <v> </v>
      </c>
      <c r="L4213" s="26"/>
    </row>
    <row r="4214" spans="1:12">
      <c r="A4214" s="20" t="s">
        <v>2974</v>
      </c>
      <c r="E4214" s="21">
        <f>IF(D4214="?OLD","!!!","")</f>
        <v/>
      </c>
      <c r="F4214" s="22" t="str">
        <f>IF(OR(E4214="",E4214="!!!"),"",IF(NOT(ISNA(VLOOKUP(E4214,E$1:E4213,1,FALSE()))),"OLD",IF(AND(E4214&lt;&gt;"",E4214&lt;&gt;"!!!"),"NEW","")))</f>
        <v> </v>
      </c>
      <c r="G4214" s="23" t="str">
        <f>IF(OR(E4214="",E4214="!!!"),"",IF(OR(J4214=0,AND(J4214=1,K4214=1),AND(J4214=1,I4214="SBJ"),AND(J4214=1,I4214=0)),"?IN_FOCUS",IF(J4214&lt;=2,"?ACTIVATED",IF(J4214&lt;&gt;"","?FAMILIAR",IF(F4214="NEW",IF(ISNA(VLOOKUP(E4214,#REF!,1,FALSE())),"?TYPE_IDENTIFIABLE","?REFERENTIAL"),"_")))))</f>
        <v> </v>
      </c>
      <c r="H4214" s="24" t="str">
        <f>IF(J4214&lt;&gt;1,"",IF(I4214="SBJ","CB","?"))</f>
        <v> </v>
      </c>
      <c r="I4214" s="25" t="str">
        <f>IF(OR(E4214="",E4214="!!!",F4214="NEW"),"",INDEX(B4213:B$2,-1+SUMPRODUCT(MAX(ROW(E4213:E$2)*(E4214=E4213:E$2)))))</f>
        <v> </v>
      </c>
      <c r="J4214" s="25" t="str">
        <f>IF(OR(E4214="",E4214="!!!",F4214="NEW"),"",COUNTBLANK(OFFSET(A$1,,,SUMPRODUCT(MAX(ROW(E$2:E4214)*(E4214=E$2:E4214)))))-COUNTBLANK(OFFSET(A$1,,,SUMPRODUCT(MAX(ROW(E$1:E4213)*(E2=E$1:E4213))))))</f>
        <v> </v>
      </c>
      <c r="K4214" s="25" t="str">
        <f>IF(OR(E4214="",E4214="!!!",F4214="NEW"),"",INDEX(J$1:J4213,SUMPRODUCT(MAX(ROW(E$1:E4213)*(E4214=E$1:E4213)))))</f>
        <v> </v>
      </c>
      <c r="L4214" s="26"/>
    </row>
    <row r="4215" spans="1:12">
      <c r="A4215" s="20" t="s">
        <v>2975</v>
      </c>
      <c r="B4215" s="27" t="s">
        <v>1149</v>
      </c>
      <c r="E4215" s="21">
        <f>IF(D4215="?OLD","!!!","")</f>
        <v/>
      </c>
      <c r="F4215" s="22" t="str">
        <f>IF(OR(E4215="",E4215="!!!"),"",IF(NOT(ISNA(VLOOKUP(E4215,E$1:E4214,1,FALSE()))),"OLD",IF(AND(E4215&lt;&gt;"",E4215&lt;&gt;"!!!"),"NEW","")))</f>
        <v> </v>
      </c>
      <c r="G4215" s="23" t="str">
        <f>IF(OR(E4215="",E4215="!!!"),"",IF(OR(J4215=0,AND(J4215=1,K4215=1),AND(J4215=1,I4215="SBJ"),AND(J4215=1,I4215=0)),"?IN_FOCUS",IF(J4215&lt;=2,"?ACTIVATED",IF(J4215&lt;&gt;"","?FAMILIAR",IF(F4215="NEW",IF(ISNA(VLOOKUP(E4215,#REF!,1,FALSE())),"?TYPE_IDENTIFIABLE","?REFERENTIAL"),"_")))))</f>
        <v> </v>
      </c>
      <c r="H4215" s="24" t="str">
        <f>IF(J4215&lt;&gt;1,"",IF(I4215="SBJ","CB","?"))</f>
        <v> </v>
      </c>
      <c r="I4215" s="25" t="str">
        <f>IF(OR(E4215="",E4215="!!!",F4215="NEW"),"",INDEX(B4214:B$2,-1+SUMPRODUCT(MAX(ROW(E4214:E$2)*(E4215=E4214:E$2)))))</f>
        <v> </v>
      </c>
      <c r="J4215" s="25" t="str">
        <f>IF(OR(E4215="",E4215="!!!",F4215="NEW"),"",COUNTBLANK(OFFSET(A$1,,,SUMPRODUCT(MAX(ROW(E$2:E4215)*(E4215=E$2:E4215)))))-COUNTBLANK(OFFSET(A$1,,,SUMPRODUCT(MAX(ROW(E$1:E4214)*(E2=E$1:E4214))))))</f>
        <v> </v>
      </c>
      <c r="K4215" s="25" t="str">
        <f>IF(OR(E4215="",E4215="!!!",F4215="NEW"),"",INDEX(J$1:J4214,SUMPRODUCT(MAX(ROW(E$1:E4214)*(E4215=E$1:E4214)))))</f>
        <v> </v>
      </c>
      <c r="L4215" s="26"/>
    </row>
    <row r="4216" spans="1:12">
      <c r="A4216" s="20" t="s">
        <v>2976</v>
      </c>
      <c r="E4216" s="21">
        <f>IF(D4216="?OLD","!!!","")</f>
        <v/>
      </c>
      <c r="F4216" s="22" t="str">
        <f>IF(OR(E4216="",E4216="!!!"),"",IF(NOT(ISNA(VLOOKUP(E4216,E$1:E4215,1,FALSE()))),"OLD",IF(AND(E4216&lt;&gt;"",E4216&lt;&gt;"!!!"),"NEW","")))</f>
        <v> </v>
      </c>
      <c r="G4216" s="23" t="str">
        <f>IF(OR(E4216="",E4216="!!!"),"",IF(OR(J4216=0,AND(J4216=1,K4216=1),AND(J4216=1,I4216="SBJ"),AND(J4216=1,I4216=0)),"?IN_FOCUS",IF(J4216&lt;=2,"?ACTIVATED",IF(J4216&lt;&gt;"","?FAMILIAR",IF(F4216="NEW",IF(ISNA(VLOOKUP(E4216,#REF!,1,FALSE())),"?TYPE_IDENTIFIABLE","?REFERENTIAL"),"_")))))</f>
        <v> </v>
      </c>
      <c r="H4216" s="24" t="str">
        <f>IF(J4216&lt;&gt;1,"",IF(I4216="SBJ","CB","?"))</f>
        <v> </v>
      </c>
      <c r="I4216" s="25" t="str">
        <f>IF(OR(E4216="",E4216="!!!",F4216="NEW"),"",INDEX(B4215:B$2,-1+SUMPRODUCT(MAX(ROW(E4215:E$2)*(E4216=E4215:E$2)))))</f>
        <v> </v>
      </c>
      <c r="J4216" s="25" t="str">
        <f>IF(OR(E4216="",E4216="!!!",F4216="NEW"),"",COUNTBLANK(OFFSET(A$1,,,SUMPRODUCT(MAX(ROW(E$2:E4216)*(E4216=E$2:E4216)))))-COUNTBLANK(OFFSET(A$1,,,SUMPRODUCT(MAX(ROW(E$1:E4215)*(E2=E$1:E4215))))))</f>
        <v> </v>
      </c>
      <c r="K4216" s="25" t="str">
        <f>IF(OR(E4216="",E4216="!!!",F4216="NEW"),"",INDEX(J$1:J4215,SUMPRODUCT(MAX(ROW(E$1:E4215)*(E4216=E$1:E4215)))))</f>
        <v> </v>
      </c>
      <c r="L4216" s="26"/>
    </row>
    <row r="4217" spans="1:12">
      <c r="A4217" s="20" t="s">
        <v>1123</v>
      </c>
      <c r="E4217" s="21">
        <f>IF(D4217="?OLD","!!!","")</f>
        <v/>
      </c>
      <c r="F4217" s="22" t="str">
        <f>IF(OR(E4217="",E4217="!!!"),"",IF(NOT(ISNA(VLOOKUP(E4217,E$1:E4216,1,FALSE()))),"OLD",IF(AND(E4217&lt;&gt;"",E4217&lt;&gt;"!!!"),"NEW","")))</f>
        <v> </v>
      </c>
      <c r="G4217" s="23" t="str">
        <f>IF(OR(E4217="",E4217="!!!"),"",IF(OR(J4217=0,AND(J4217=1,K4217=1),AND(J4217=1,I4217="SBJ"),AND(J4217=1,I4217=0)),"?IN_FOCUS",IF(J4217&lt;=2,"?ACTIVATED",IF(J4217&lt;&gt;"","?FAMILIAR",IF(F4217="NEW",IF(ISNA(VLOOKUP(E4217,#REF!,1,FALSE())),"?TYPE_IDENTIFIABLE","?REFERENTIAL"),"_")))))</f>
        <v> </v>
      </c>
      <c r="H4217" s="24" t="str">
        <f>IF(J4217&lt;&gt;1,"",IF(I4217="SBJ","CB","?"))</f>
        <v> </v>
      </c>
      <c r="I4217" s="25" t="str">
        <f>IF(OR(E4217="",E4217="!!!",F4217="NEW"),"",INDEX(B4216:B$2,-1+SUMPRODUCT(MAX(ROW(E4216:E$2)*(E4217=E4216:E$2)))))</f>
        <v> </v>
      </c>
      <c r="J4217" s="25" t="str">
        <f>IF(OR(E4217="",E4217="!!!",F4217="NEW"),"",COUNTBLANK(OFFSET(A$1,,,SUMPRODUCT(MAX(ROW(E$2:E4217)*(E4217=E$2:E4217)))))-COUNTBLANK(OFFSET(A$1,,,SUMPRODUCT(MAX(ROW(E$1:E4216)*(E2=E$1:E4216))))))</f>
        <v> </v>
      </c>
      <c r="K4217" s="25" t="str">
        <f>IF(OR(E4217="",E4217="!!!",F4217="NEW"),"",INDEX(J$1:J4216,SUMPRODUCT(MAX(ROW(E$1:E4216)*(E4217=E$1:E4216)))))</f>
        <v> </v>
      </c>
      <c r="L4217" s="26"/>
    </row>
    <row r="4218" spans="1:12">
      <c r="A4218" s="20" t="s">
        <v>2977</v>
      </c>
      <c r="B4218" s="27" t="s">
        <v>1115</v>
      </c>
      <c r="C4218" s="27" t="s">
        <v>1133</v>
      </c>
      <c r="E4218" s="21">
        <f>IF(D4218="?OLD","!!!","")</f>
        <v/>
      </c>
      <c r="F4218" s="22" t="str">
        <f>IF(OR(E4218="",E4218="!!!"),"",IF(NOT(ISNA(VLOOKUP(E4218,E$1:E4217,1,FALSE()))),"OLD",IF(AND(E4218&lt;&gt;"",E4218&lt;&gt;"!!!"),"NEW","")))</f>
        <v> </v>
      </c>
      <c r="G4218" s="23" t="str">
        <f>IF(OR(E4218="",E4218="!!!"),"",IF(OR(J4218=0,AND(J4218=1,K4218=1),AND(J4218=1,I4218="SBJ"),AND(J4218=1,I4218=0)),"?IN_FOCUS",IF(J4218&lt;=2,"?ACTIVATED",IF(J4218&lt;&gt;"","?FAMILIAR",IF(F4218="NEW",IF(ISNA(VLOOKUP(E4218,#REF!,1,FALSE())),"?TYPE_IDENTIFIABLE","?REFERENTIAL"),"_")))))</f>
        <v> </v>
      </c>
      <c r="H4218" s="24" t="str">
        <f>IF(J4218&lt;&gt;1,"",IF(I4218="SBJ","CB","?"))</f>
        <v> </v>
      </c>
      <c r="I4218" s="25" t="str">
        <f>IF(OR(E4218="",E4218="!!!",F4218="NEW"),"",INDEX(B4217:B$2,-1+SUMPRODUCT(MAX(ROW(E4217:E$2)*(E4218=E4217:E$2)))))</f>
        <v> </v>
      </c>
      <c r="J4218" s="25" t="str">
        <f>IF(OR(E4218="",E4218="!!!",F4218="NEW"),"",COUNTBLANK(OFFSET(A$1,,,SUMPRODUCT(MAX(ROW(E$2:E4218)*(E4218=E$2:E4218)))))-COUNTBLANK(OFFSET(A$1,,,SUMPRODUCT(MAX(ROW(E$1:E4217)*(E2=E$1:E4217))))))</f>
        <v> </v>
      </c>
      <c r="K4218" s="25" t="str">
        <f>IF(OR(E4218="",E4218="!!!",F4218="NEW"),"",INDEX(J$1:J4217,SUMPRODUCT(MAX(ROW(E$1:E4217)*(E4218=E$1:E4217)))))</f>
        <v> </v>
      </c>
      <c r="L4218" s="26"/>
    </row>
    <row r="4219" spans="1:12">
      <c r="A4219" s="20" t="s">
        <v>1123</v>
      </c>
      <c r="E4219" s="21">
        <f>IF(D4219="?OLD","!!!","")</f>
        <v/>
      </c>
      <c r="F4219" s="22" t="str">
        <f>IF(OR(E4219="",E4219="!!!"),"",IF(NOT(ISNA(VLOOKUP(E4219,E$1:E4218,1,FALSE()))),"OLD",IF(AND(E4219&lt;&gt;"",E4219&lt;&gt;"!!!"),"NEW","")))</f>
        <v> </v>
      </c>
      <c r="G4219" s="23" t="str">
        <f>IF(OR(E4219="",E4219="!!!"),"",IF(OR(J4219=0,AND(J4219=1,K4219=1),AND(J4219=1,I4219="SBJ"),AND(J4219=1,I4219=0)),"?IN_FOCUS",IF(J4219&lt;=2,"?ACTIVATED",IF(J4219&lt;&gt;"","?FAMILIAR",IF(F4219="NEW",IF(ISNA(VLOOKUP(E4219,#REF!,1,FALSE())),"?TYPE_IDENTIFIABLE","?REFERENTIAL"),"_")))))</f>
        <v> </v>
      </c>
      <c r="H4219" s="24" t="str">
        <f>IF(J4219&lt;&gt;1,"",IF(I4219="SBJ","CB","?"))</f>
        <v> </v>
      </c>
      <c r="I4219" s="25" t="str">
        <f>IF(OR(E4219="",E4219="!!!",F4219="NEW"),"",INDEX(B4218:B$2,-1+SUMPRODUCT(MAX(ROW(E4218:E$2)*(E4219=E4218:E$2)))))</f>
        <v> </v>
      </c>
      <c r="J4219" s="25" t="str">
        <f>IF(OR(E4219="",E4219="!!!",F4219="NEW"),"",COUNTBLANK(OFFSET(A$1,,,SUMPRODUCT(MAX(ROW(E$2:E4219)*(E4219=E$2:E4219)))))-COUNTBLANK(OFFSET(A$1,,,SUMPRODUCT(MAX(ROW(E$1:E4218)*(E2=E$1:E4218))))))</f>
        <v> </v>
      </c>
      <c r="K4219" s="25" t="str">
        <f>IF(OR(E4219="",E4219="!!!",F4219="NEW"),"",INDEX(J$1:J4218,SUMPRODUCT(MAX(ROW(E$1:E4218)*(E4219=E$1:E4218)))))</f>
        <v> </v>
      </c>
      <c r="L4219" s="26"/>
    </row>
    <row r="4220" spans="1:12">
      <c r="A4220" s="20" t="s">
        <v>1537</v>
      </c>
      <c r="E4220" s="21">
        <f>IF(D4220="?OLD","!!!","")</f>
        <v/>
      </c>
      <c r="F4220" s="22" t="str">
        <f>IF(OR(E4220="",E4220="!!!"),"",IF(NOT(ISNA(VLOOKUP(E4220,E$1:E4219,1,FALSE()))),"OLD",IF(AND(E4220&lt;&gt;"",E4220&lt;&gt;"!!!"),"NEW","")))</f>
        <v> </v>
      </c>
      <c r="G4220" s="23" t="str">
        <f>IF(OR(E4220="",E4220="!!!"),"",IF(OR(J4220=0,AND(J4220=1,K4220=1),AND(J4220=1,I4220="SBJ"),AND(J4220=1,I4220=0)),"?IN_FOCUS",IF(J4220&lt;=2,"?ACTIVATED",IF(J4220&lt;&gt;"","?FAMILIAR",IF(F4220="NEW",IF(ISNA(VLOOKUP(E4220,#REF!,1,FALSE())),"?TYPE_IDENTIFIABLE","?REFERENTIAL"),"_")))))</f>
        <v> </v>
      </c>
      <c r="H4220" s="24" t="str">
        <f>IF(J4220&lt;&gt;1,"",IF(I4220="SBJ","CB","?"))</f>
        <v> </v>
      </c>
      <c r="I4220" s="25" t="str">
        <f>IF(OR(E4220="",E4220="!!!",F4220="NEW"),"",INDEX(B4219:B$2,-1+SUMPRODUCT(MAX(ROW(E4219:E$2)*(E4220=E4219:E$2)))))</f>
        <v> </v>
      </c>
      <c r="J4220" s="25" t="str">
        <f>IF(OR(E4220="",E4220="!!!",F4220="NEW"),"",COUNTBLANK(OFFSET(A$1,,,SUMPRODUCT(MAX(ROW(E$2:E4220)*(E4220=E$2:E4220)))))-COUNTBLANK(OFFSET(A$1,,,SUMPRODUCT(MAX(ROW(E$1:E4219)*(E2=E$1:E4219))))))</f>
        <v> </v>
      </c>
      <c r="K4220" s="25" t="str">
        <f>IF(OR(E4220="",E4220="!!!",F4220="NEW"),"",INDEX(J$1:J4219,SUMPRODUCT(MAX(ROW(E$1:E4219)*(E4220=E$1:E4219)))))</f>
        <v> </v>
      </c>
      <c r="L4220" s="26"/>
    </row>
    <row r="4221" spans="1:12">
      <c r="A4221" s="20" t="s">
        <v>1123</v>
      </c>
      <c r="E4221" s="21">
        <f>IF(D4221="?OLD","!!!","")</f>
        <v/>
      </c>
      <c r="F4221" s="22" t="str">
        <f>IF(OR(E4221="",E4221="!!!"),"",IF(NOT(ISNA(VLOOKUP(E4221,E$1:E4220,1,FALSE()))),"OLD",IF(AND(E4221&lt;&gt;"",E4221&lt;&gt;"!!!"),"NEW","")))</f>
        <v> </v>
      </c>
      <c r="G4221" s="23" t="str">
        <f>IF(OR(E4221="",E4221="!!!"),"",IF(OR(J4221=0,AND(J4221=1,K4221=1),AND(J4221=1,I4221="SBJ"),AND(J4221=1,I4221=0)),"?IN_FOCUS",IF(J4221&lt;=2,"?ACTIVATED",IF(J4221&lt;&gt;"","?FAMILIAR",IF(F4221="NEW",IF(ISNA(VLOOKUP(E4221,#REF!,1,FALSE())),"?TYPE_IDENTIFIABLE","?REFERENTIAL"),"_")))))</f>
        <v> </v>
      </c>
      <c r="H4221" s="24" t="str">
        <f>IF(J4221&lt;&gt;1,"",IF(I4221="SBJ","CB","?"))</f>
        <v> </v>
      </c>
      <c r="I4221" s="25" t="str">
        <f>IF(OR(E4221="",E4221="!!!",F4221="NEW"),"",INDEX(B4220:B$2,-1+SUMPRODUCT(MAX(ROW(E4220:E$2)*(E4221=E4220:E$2)))))</f>
        <v> </v>
      </c>
      <c r="J4221" s="25" t="str">
        <f>IF(OR(E4221="",E4221="!!!",F4221="NEW"),"",COUNTBLANK(OFFSET(A$1,,,SUMPRODUCT(MAX(ROW(E$2:E4221)*(E4221=E$2:E4221)))))-COUNTBLANK(OFFSET(A$1,,,SUMPRODUCT(MAX(ROW(E$1:E4220)*(E2=E$1:E4220))))))</f>
        <v> </v>
      </c>
      <c r="K4221" s="25" t="str">
        <f>IF(OR(E4221="",E4221="!!!",F4221="NEW"),"",INDEX(J$1:J4220,SUMPRODUCT(MAX(ROW(E$1:E4220)*(E4221=E$1:E4220)))))</f>
        <v> </v>
      </c>
      <c r="L4221" s="26"/>
    </row>
    <row r="4222" spans="1:12">
      <c r="A4222" s="20" t="s">
        <v>2978</v>
      </c>
      <c r="E4222" s="21">
        <f>IF(D4222="?OLD","!!!","")</f>
        <v/>
      </c>
      <c r="F4222" s="22" t="str">
        <f>IF(OR(E4222="",E4222="!!!"),"",IF(NOT(ISNA(VLOOKUP(E4222,E$1:E4221,1,FALSE()))),"OLD",IF(AND(E4222&lt;&gt;"",E4222&lt;&gt;"!!!"),"NEW","")))</f>
        <v> </v>
      </c>
      <c r="G4222" s="23" t="str">
        <f>IF(OR(E4222="",E4222="!!!"),"",IF(OR(J4222=0,AND(J4222=1,K4222=1),AND(J4222=1,I4222="SBJ"),AND(J4222=1,I4222=0)),"?IN_FOCUS",IF(J4222&lt;=2,"?ACTIVATED",IF(J4222&lt;&gt;"","?FAMILIAR",IF(F4222="NEW",IF(ISNA(VLOOKUP(E4222,#REF!,1,FALSE())),"?TYPE_IDENTIFIABLE","?REFERENTIAL"),"_")))))</f>
        <v> </v>
      </c>
      <c r="H4222" s="24" t="str">
        <f>IF(J4222&lt;&gt;1,"",IF(I4222="SBJ","CB","?"))</f>
        <v> </v>
      </c>
      <c r="I4222" s="25" t="str">
        <f>IF(OR(E4222="",E4222="!!!",F4222="NEW"),"",INDEX(B4221:B$2,-1+SUMPRODUCT(MAX(ROW(E4221:E$2)*(E4222=E4221:E$2)))))</f>
        <v> </v>
      </c>
      <c r="J4222" s="25" t="str">
        <f>IF(OR(E4222="",E4222="!!!",F4222="NEW"),"",COUNTBLANK(OFFSET(A$1,,,SUMPRODUCT(MAX(ROW(E$2:E4222)*(E4222=E$2:E4222)))))-COUNTBLANK(OFFSET(A$1,,,SUMPRODUCT(MAX(ROW(E$1:E4221)*(E2=E$1:E4221))))))</f>
        <v> </v>
      </c>
      <c r="K4222" s="25" t="str">
        <f>IF(OR(E4222="",E4222="!!!",F4222="NEW"),"",INDEX(J$1:J4221,SUMPRODUCT(MAX(ROW(E$1:E4221)*(E4222=E$1:E4221)))))</f>
        <v> </v>
      </c>
      <c r="L4222" s="26"/>
    </row>
    <row r="4223" spans="1:12">
      <c r="A4223" s="20" t="s">
        <v>2979</v>
      </c>
      <c r="E4223" s="21">
        <f>IF(D4223="?OLD","!!!","")</f>
        <v/>
      </c>
      <c r="F4223" s="22" t="str">
        <f>IF(OR(E4223="",E4223="!!!"),"",IF(NOT(ISNA(VLOOKUP(E4223,E$1:E4222,1,FALSE()))),"OLD",IF(AND(E4223&lt;&gt;"",E4223&lt;&gt;"!!!"),"NEW","")))</f>
        <v> </v>
      </c>
      <c r="G4223" s="23" t="str">
        <f>IF(OR(E4223="",E4223="!!!"),"",IF(OR(J4223=0,AND(J4223=1,K4223=1),AND(J4223=1,I4223="SBJ"),AND(J4223=1,I4223=0)),"?IN_FOCUS",IF(J4223&lt;=2,"?ACTIVATED",IF(J4223&lt;&gt;"","?FAMILIAR",IF(F4223="NEW",IF(ISNA(VLOOKUP(E4223,#REF!,1,FALSE())),"?TYPE_IDENTIFIABLE","?REFERENTIAL"),"_")))))</f>
        <v> </v>
      </c>
      <c r="H4223" s="24" t="str">
        <f>IF(J4223&lt;&gt;1,"",IF(I4223="SBJ","CB","?"))</f>
        <v> </v>
      </c>
      <c r="I4223" s="25" t="str">
        <f>IF(OR(E4223="",E4223="!!!",F4223="NEW"),"",INDEX(B4222:B$2,-1+SUMPRODUCT(MAX(ROW(E4222:E$2)*(E4223=E4222:E$2)))))</f>
        <v> </v>
      </c>
      <c r="J4223" s="25" t="str">
        <f>IF(OR(E4223="",E4223="!!!",F4223="NEW"),"",COUNTBLANK(OFFSET(A$1,,,SUMPRODUCT(MAX(ROW(E$2:E4223)*(E4223=E$2:E4223)))))-COUNTBLANK(OFFSET(A$1,,,SUMPRODUCT(MAX(ROW(E$1:E4222)*(E2=E$1:E4222))))))</f>
        <v> </v>
      </c>
      <c r="K4223" s="25" t="str">
        <f>IF(OR(E4223="",E4223="!!!",F4223="NEW"),"",INDEX(J$1:J4222,SUMPRODUCT(MAX(ROW(E$1:E4222)*(E4223=E$1:E4222)))))</f>
        <v> </v>
      </c>
      <c r="L4223" s="26"/>
    </row>
    <row r="4224" spans="1:12">
      <c r="A4224" s="20" t="s">
        <v>2980</v>
      </c>
      <c r="E4224" s="21">
        <f>IF(D4224="?OLD","!!!","")</f>
        <v/>
      </c>
      <c r="F4224" s="22" t="str">
        <f>IF(OR(E4224="",E4224="!!!"),"",IF(NOT(ISNA(VLOOKUP(E4224,E$1:E4223,1,FALSE()))),"OLD",IF(AND(E4224&lt;&gt;"",E4224&lt;&gt;"!!!"),"NEW","")))</f>
        <v> </v>
      </c>
      <c r="G4224" s="23" t="str">
        <f>IF(OR(E4224="",E4224="!!!"),"",IF(OR(J4224=0,AND(J4224=1,K4224=1),AND(J4224=1,I4224="SBJ"),AND(J4224=1,I4224=0)),"?IN_FOCUS",IF(J4224&lt;=2,"?ACTIVATED",IF(J4224&lt;&gt;"","?FAMILIAR",IF(F4224="NEW",IF(ISNA(VLOOKUP(E4224,#REF!,1,FALSE())),"?TYPE_IDENTIFIABLE","?REFERENTIAL"),"_")))))</f>
        <v> </v>
      </c>
      <c r="H4224" s="24" t="str">
        <f>IF(J4224&lt;&gt;1,"",IF(I4224="SBJ","CB","?"))</f>
        <v> </v>
      </c>
      <c r="I4224" s="25" t="str">
        <f>IF(OR(E4224="",E4224="!!!",F4224="NEW"),"",INDEX(B4223:B$2,-1+SUMPRODUCT(MAX(ROW(E4223:E$2)*(E4224=E4223:E$2)))))</f>
        <v> </v>
      </c>
      <c r="J4224" s="25" t="str">
        <f>IF(OR(E4224="",E4224="!!!",F4224="NEW"),"",COUNTBLANK(OFFSET(A$1,,,SUMPRODUCT(MAX(ROW(E$2:E4224)*(E4224=E$2:E4224)))))-COUNTBLANK(OFFSET(A$1,,,SUMPRODUCT(MAX(ROW(E$1:E4223)*(E2=E$1:E4223))))))</f>
        <v> </v>
      </c>
      <c r="K4224" s="25" t="str">
        <f>IF(OR(E4224="",E4224="!!!",F4224="NEW"),"",INDEX(J$1:J4223,SUMPRODUCT(MAX(ROW(E$1:E4223)*(E4224=E$1:E4223)))))</f>
        <v> </v>
      </c>
      <c r="L4224" s="26"/>
    </row>
    <row r="4225" spans="1:12">
      <c r="A4225" s="20" t="s">
        <v>2981</v>
      </c>
      <c r="E4225" s="21">
        <f>IF(D4225="?OLD","!!!","")</f>
        <v/>
      </c>
      <c r="F4225" s="22" t="str">
        <f>IF(OR(E4225="",E4225="!!!"),"",IF(NOT(ISNA(VLOOKUP(E4225,E$1:E4224,1,FALSE()))),"OLD",IF(AND(E4225&lt;&gt;"",E4225&lt;&gt;"!!!"),"NEW","")))</f>
        <v> </v>
      </c>
      <c r="G4225" s="23" t="str">
        <f>IF(OR(E4225="",E4225="!!!"),"",IF(OR(J4225=0,AND(J4225=1,K4225=1),AND(J4225=1,I4225="SBJ"),AND(J4225=1,I4225=0)),"?IN_FOCUS",IF(J4225&lt;=2,"?ACTIVATED",IF(J4225&lt;&gt;"","?FAMILIAR",IF(F4225="NEW",IF(ISNA(VLOOKUP(E4225,#REF!,1,FALSE())),"?TYPE_IDENTIFIABLE","?REFERENTIAL"),"_")))))</f>
        <v> </v>
      </c>
      <c r="H4225" s="24" t="str">
        <f>IF(J4225&lt;&gt;1,"",IF(I4225="SBJ","CB","?"))</f>
        <v> </v>
      </c>
      <c r="I4225" s="25" t="str">
        <f>IF(OR(E4225="",E4225="!!!",F4225="NEW"),"",INDEX(B4224:B$2,-1+SUMPRODUCT(MAX(ROW(E4224:E$2)*(E4225=E4224:E$2)))))</f>
        <v> </v>
      </c>
      <c r="J4225" s="25" t="str">
        <f>IF(OR(E4225="",E4225="!!!",F4225="NEW"),"",COUNTBLANK(OFFSET(A$1,,,SUMPRODUCT(MAX(ROW(E$2:E4225)*(E4225=E$2:E4225)))))-COUNTBLANK(OFFSET(A$1,,,SUMPRODUCT(MAX(ROW(E$1:E4224)*(E2=E$1:E4224))))))</f>
        <v> </v>
      </c>
      <c r="K4225" s="25" t="str">
        <f>IF(OR(E4225="",E4225="!!!",F4225="NEW"),"",INDEX(J$1:J4224,SUMPRODUCT(MAX(ROW(E$1:E4224)*(E4225=E$1:E4224)))))</f>
        <v> </v>
      </c>
      <c r="L4225" s="26"/>
    </row>
    <row r="4226" spans="1:12">
      <c r="A4226" s="20" t="s">
        <v>2813</v>
      </c>
      <c r="B4226" s="27" t="s">
        <v>1115</v>
      </c>
      <c r="E4226" s="21">
        <f>IF(D4226="?OLD","!!!","")</f>
        <v/>
      </c>
      <c r="F4226" s="22" t="str">
        <f>IF(OR(E4226="",E4226="!!!"),"",IF(NOT(ISNA(VLOOKUP(E4226,E$1:E4225,1,FALSE()))),"OLD",IF(AND(E4226&lt;&gt;"",E4226&lt;&gt;"!!!"),"NEW","")))</f>
        <v> </v>
      </c>
      <c r="G4226" s="23" t="str">
        <f>IF(OR(E4226="",E4226="!!!"),"",IF(OR(J4226=0,AND(J4226=1,K4226=1),AND(J4226=1,I4226="SBJ"),AND(J4226=1,I4226=0)),"?IN_FOCUS",IF(J4226&lt;=2,"?ACTIVATED",IF(J4226&lt;&gt;"","?FAMILIAR",IF(F4226="NEW",IF(ISNA(VLOOKUP(E4226,#REF!,1,FALSE())),"?TYPE_IDENTIFIABLE","?REFERENTIAL"),"_")))))</f>
        <v> </v>
      </c>
      <c r="H4226" s="24" t="str">
        <f>IF(J4226&lt;&gt;1,"",IF(I4226="SBJ","CB","?"))</f>
        <v> </v>
      </c>
      <c r="I4226" s="25" t="str">
        <f>IF(OR(E4226="",E4226="!!!",F4226="NEW"),"",INDEX(B4225:B$2,-1+SUMPRODUCT(MAX(ROW(E4225:E$2)*(E4226=E4225:E$2)))))</f>
        <v> </v>
      </c>
      <c r="J4226" s="25" t="str">
        <f>IF(OR(E4226="",E4226="!!!",F4226="NEW"),"",COUNTBLANK(OFFSET(A$1,,,SUMPRODUCT(MAX(ROW(E$2:E4226)*(E4226=E$2:E4226)))))-COUNTBLANK(OFFSET(A$1,,,SUMPRODUCT(MAX(ROW(E$1:E4225)*(E2=E$1:E4225))))))</f>
        <v> </v>
      </c>
      <c r="K4226" s="25" t="str">
        <f>IF(OR(E4226="",E4226="!!!",F4226="NEW"),"",INDEX(J$1:J4225,SUMPRODUCT(MAX(ROW(E$1:E4225)*(E4226=E$1:E4225)))))</f>
        <v> </v>
      </c>
      <c r="L4226" s="26"/>
    </row>
    <row r="4227" spans="1:12">
      <c r="A4227" s="20" t="s">
        <v>1145</v>
      </c>
      <c r="E4227" s="21">
        <f>IF(D4227="?OLD","!!!","")</f>
        <v/>
      </c>
      <c r="F4227" s="22" t="str">
        <f>IF(OR(E4227="",E4227="!!!"),"",IF(NOT(ISNA(VLOOKUP(E4227,E$1:E4226,1,FALSE()))),"OLD",IF(AND(E4227&lt;&gt;"",E4227&lt;&gt;"!!!"),"NEW","")))</f>
        <v> </v>
      </c>
      <c r="G4227" s="23" t="str">
        <f>IF(OR(E4227="",E4227="!!!"),"",IF(OR(J4227=0,AND(J4227=1,K4227=1),AND(J4227=1,I4227="SBJ"),AND(J4227=1,I4227=0)),"?IN_FOCUS",IF(J4227&lt;=2,"?ACTIVATED",IF(J4227&lt;&gt;"","?FAMILIAR",IF(F4227="NEW",IF(ISNA(VLOOKUP(E4227,#REF!,1,FALSE())),"?TYPE_IDENTIFIABLE","?REFERENTIAL"),"_")))))</f>
        <v> </v>
      </c>
      <c r="H4227" s="24" t="str">
        <f>IF(J4227&lt;&gt;1,"",IF(I4227="SBJ","CB","?"))</f>
        <v> </v>
      </c>
      <c r="I4227" s="25" t="str">
        <f>IF(OR(E4227="",E4227="!!!",F4227="NEW"),"",INDEX(B4226:B$2,-1+SUMPRODUCT(MAX(ROW(E4226:E$2)*(E4227=E4226:E$2)))))</f>
        <v> </v>
      </c>
      <c r="J4227" s="25" t="str">
        <f>IF(OR(E4227="",E4227="!!!",F4227="NEW"),"",COUNTBLANK(OFFSET(A$1,,,SUMPRODUCT(MAX(ROW(E$2:E4227)*(E4227=E$2:E4227)))))-COUNTBLANK(OFFSET(A$1,,,SUMPRODUCT(MAX(ROW(E$1:E4226)*(E2=E$1:E4226))))))</f>
        <v> </v>
      </c>
      <c r="K4227" s="25" t="str">
        <f>IF(OR(E4227="",E4227="!!!",F4227="NEW"),"",INDEX(J$1:J4226,SUMPRODUCT(MAX(ROW(E$1:E4226)*(E4227=E$1:E4226)))))</f>
        <v> </v>
      </c>
      <c r="L4227" s="26"/>
    </row>
    <row r="4228" spans="1:12">
      <c r="A4228" s="20"/>
    </row>
    <row r="4229" spans="1:12">
      <c r="A4229" s="20" t="s">
        <v>2982</v>
      </c>
    </row>
    <row r="4230" spans="1:12">
      <c r="A4230" s="20" t="s">
        <v>1277</v>
      </c>
      <c r="E4230" s="21">
        <f>IF(D4230="?OLD","!!!","")</f>
        <v/>
      </c>
      <c r="F4230" s="22" t="str">
        <f>IF(OR(E4230="",E4230="!!!"),"",IF(NOT(ISNA(VLOOKUP(E4230,E$1:E4229,1,FALSE()))),"OLD",IF(AND(E4230&lt;&gt;"",E4230&lt;&gt;"!!!"),"NEW","")))</f>
        <v> </v>
      </c>
      <c r="G4230" s="23" t="str">
        <f>IF(OR(E4230="",E4230="!!!"),"",IF(OR(J4230=0,AND(J4230=1,K4230=1),AND(J4230=1,I4230="SBJ"),AND(J4230=1,I4230=0)),"?IN_FOCUS",IF(J4230&lt;=2,"?ACTIVATED",IF(J4230&lt;&gt;"","?FAMILIAR",IF(F4230="NEW",IF(ISNA(VLOOKUP(E4230,#REF!,1,FALSE())),"?TYPE_IDENTIFIABLE","?REFERENTIAL"),"_")))))</f>
        <v> </v>
      </c>
      <c r="H4230" s="24" t="str">
        <f>IF(J4230&lt;&gt;1,"",IF(I4230="SBJ","CB","?"))</f>
        <v> </v>
      </c>
      <c r="I4230" s="25" t="str">
        <f>IF(OR(E4230="",E4230="!!!",F4230="NEW"),"",INDEX(B4229:B$2,-1+SUMPRODUCT(MAX(ROW(E4229:E$2)*(E4230=E4229:E$2)))))</f>
        <v> </v>
      </c>
      <c r="J4230" s="25" t="str">
        <f>IF(OR(E4230="",E4230="!!!",F4230="NEW"),"",COUNTBLANK(OFFSET(A$1,,,SUMPRODUCT(MAX(ROW(E$2:E4230)*(E4230=E$2:E4230)))))-COUNTBLANK(OFFSET(A$1,,,SUMPRODUCT(MAX(ROW(E$1:E4229)*(E2=E$1:E4229))))))</f>
        <v> </v>
      </c>
      <c r="K4230" s="25" t="str">
        <f>IF(OR(E4230="",E4230="!!!",F4230="NEW"),"",INDEX(J$1:J4229,SUMPRODUCT(MAX(ROW(E$1:E4229)*(E4230=E$1:E4229)))))</f>
        <v> </v>
      </c>
      <c r="L4230" s="26"/>
    </row>
    <row r="4231" spans="1:12">
      <c r="A4231" s="20" t="s">
        <v>2411</v>
      </c>
      <c r="E4231" s="21">
        <f>IF(D4231="?OLD","!!!","")</f>
        <v/>
      </c>
      <c r="F4231" s="22" t="str">
        <f>IF(OR(E4231="",E4231="!!!"),"",IF(NOT(ISNA(VLOOKUP(E4231,E$1:E4230,1,FALSE()))),"OLD",IF(AND(E4231&lt;&gt;"",E4231&lt;&gt;"!!!"),"NEW","")))</f>
        <v> </v>
      </c>
      <c r="G4231" s="23" t="str">
        <f>IF(OR(E4231="",E4231="!!!"),"",IF(OR(J4231=0,AND(J4231=1,K4231=1),AND(J4231=1,I4231="SBJ"),AND(J4231=1,I4231=0)),"?IN_FOCUS",IF(J4231&lt;=2,"?ACTIVATED",IF(J4231&lt;&gt;"","?FAMILIAR",IF(F4231="NEW",IF(ISNA(VLOOKUP(E4231,#REF!,1,FALSE())),"?TYPE_IDENTIFIABLE","?REFERENTIAL"),"_")))))</f>
        <v> </v>
      </c>
      <c r="H4231" s="24" t="str">
        <f>IF(J4231&lt;&gt;1,"",IF(I4231="SBJ","CB","?"))</f>
        <v> </v>
      </c>
      <c r="I4231" s="25" t="str">
        <f>IF(OR(E4231="",E4231="!!!",F4231="NEW"),"",INDEX(B4230:B$2,-1+SUMPRODUCT(MAX(ROW(E4230:E$2)*(E4231=E4230:E$2)))))</f>
        <v> </v>
      </c>
      <c r="J4231" s="25" t="str">
        <f>IF(OR(E4231="",E4231="!!!",F4231="NEW"),"",COUNTBLANK(OFFSET(A$1,,,SUMPRODUCT(MAX(ROW(E$2:E4231)*(E4231=E$2:E4231)))))-COUNTBLANK(OFFSET(A$1,,,SUMPRODUCT(MAX(ROW(E$1:E4230)*(E2=E$1:E4230))))))</f>
        <v> </v>
      </c>
      <c r="K4231" s="25" t="str">
        <f>IF(OR(E4231="",E4231="!!!",F4231="NEW"),"",INDEX(J$1:J4230,SUMPRODUCT(MAX(ROW(E$1:E4230)*(E4231=E$1:E4230)))))</f>
        <v> </v>
      </c>
      <c r="L4231" s="26"/>
    </row>
    <row r="4232" spans="1:12">
      <c r="A4232" s="20" t="s">
        <v>1101</v>
      </c>
      <c r="E4232" s="21">
        <f>IF(D4232="?OLD","!!!","")</f>
        <v/>
      </c>
      <c r="F4232" s="22" t="str">
        <f>IF(OR(E4232="",E4232="!!!"),"",IF(NOT(ISNA(VLOOKUP(E4232,E$1:E4231,1,FALSE()))),"OLD",IF(AND(E4232&lt;&gt;"",E4232&lt;&gt;"!!!"),"NEW","")))</f>
        <v> </v>
      </c>
      <c r="G4232" s="23" t="str">
        <f>IF(OR(E4232="",E4232="!!!"),"",IF(OR(J4232=0,AND(J4232=1,K4232=1),AND(J4232=1,I4232="SBJ"),AND(J4232=1,I4232=0)),"?IN_FOCUS",IF(J4232&lt;=2,"?ACTIVATED",IF(J4232&lt;&gt;"","?FAMILIAR",IF(F4232="NEW",IF(ISNA(VLOOKUP(E4232,#REF!,1,FALSE())),"?TYPE_IDENTIFIABLE","?REFERENTIAL"),"_")))))</f>
        <v> </v>
      </c>
      <c r="H4232" s="24" t="str">
        <f>IF(J4232&lt;&gt;1,"",IF(I4232="SBJ","CB","?"))</f>
        <v> </v>
      </c>
      <c r="I4232" s="25" t="str">
        <f>IF(OR(E4232="",E4232="!!!",F4232="NEW"),"",INDEX(B4231:B$2,-1+SUMPRODUCT(MAX(ROW(E4231:E$2)*(E4232=E4231:E$2)))))</f>
        <v> </v>
      </c>
      <c r="J4232" s="25" t="str">
        <f>IF(OR(E4232="",E4232="!!!",F4232="NEW"),"",COUNTBLANK(OFFSET(A$1,,,SUMPRODUCT(MAX(ROW(E$2:E4232)*(E4232=E$2:E4232)))))-COUNTBLANK(OFFSET(A$1,,,SUMPRODUCT(MAX(ROW(E$1:E4231)*(E2=E$1:E4231))))))</f>
        <v> </v>
      </c>
      <c r="K4232" s="25" t="str">
        <f>IF(OR(E4232="",E4232="!!!",F4232="NEW"),"",INDEX(J$1:J4231,SUMPRODUCT(MAX(ROW(E$1:E4231)*(E4232=E$1:E4231)))))</f>
        <v> </v>
      </c>
      <c r="L4232" s="26"/>
    </row>
    <row r="4233" spans="1:12">
      <c r="A4233" s="20" t="s">
        <v>1274</v>
      </c>
      <c r="E4233" s="21">
        <f>IF(D4233="?OLD","!!!","")</f>
        <v/>
      </c>
      <c r="F4233" s="22" t="str">
        <f>IF(OR(E4233="",E4233="!!!"),"",IF(NOT(ISNA(VLOOKUP(E4233,E$1:E4232,1,FALSE()))),"OLD",IF(AND(E4233&lt;&gt;"",E4233&lt;&gt;"!!!"),"NEW","")))</f>
        <v> </v>
      </c>
      <c r="G4233" s="23" t="str">
        <f>IF(OR(E4233="",E4233="!!!"),"",IF(OR(J4233=0,AND(J4233=1,K4233=1),AND(J4233=1,I4233="SBJ"),AND(J4233=1,I4233=0)),"?IN_FOCUS",IF(J4233&lt;=2,"?ACTIVATED",IF(J4233&lt;&gt;"","?FAMILIAR",IF(F4233="NEW",IF(ISNA(VLOOKUP(E4233,#REF!,1,FALSE())),"?TYPE_IDENTIFIABLE","?REFERENTIAL"),"_")))))</f>
        <v> </v>
      </c>
      <c r="H4233" s="24" t="str">
        <f>IF(J4233&lt;&gt;1,"",IF(I4233="SBJ","CB","?"))</f>
        <v> </v>
      </c>
      <c r="I4233" s="25" t="str">
        <f>IF(OR(E4233="",E4233="!!!",F4233="NEW"),"",INDEX(B4232:B$2,-1+SUMPRODUCT(MAX(ROW(E4232:E$2)*(E4233=E4232:E$2)))))</f>
        <v> </v>
      </c>
      <c r="J4233" s="25" t="str">
        <f>IF(OR(E4233="",E4233="!!!",F4233="NEW"),"",COUNTBLANK(OFFSET(A$1,,,SUMPRODUCT(MAX(ROW(E$2:E4233)*(E4233=E$2:E4233)))))-COUNTBLANK(OFFSET(A$1,,,SUMPRODUCT(MAX(ROW(E$1:E4232)*(E2=E$1:E4232))))))</f>
        <v> </v>
      </c>
      <c r="K4233" s="25" t="str">
        <f>IF(OR(E4233="",E4233="!!!",F4233="NEW"),"",INDEX(J$1:J4232,SUMPRODUCT(MAX(ROW(E$1:E4232)*(E4233=E$1:E4232)))))</f>
        <v> </v>
      </c>
      <c r="L4233" s="26"/>
    </row>
    <row r="4234" spans="1:12">
      <c r="A4234" s="20" t="s">
        <v>2983</v>
      </c>
      <c r="B4234" s="27" t="s">
        <v>1107</v>
      </c>
      <c r="C4234" s="27" t="s">
        <v>1156</v>
      </c>
      <c r="D4234" s="27" t="s">
        <v>1105</v>
      </c>
      <c r="E4234" s="21">
        <f>IF(D4234="?OLD","!!!","")</f>
        <v/>
      </c>
      <c r="F4234" s="22" t="str">
        <f>IF(OR(E4234="",E4234="!!!"),"",IF(NOT(ISNA(VLOOKUP(E4234,E$1:E4233,1,FALSE()))),"OLD",IF(AND(E4234&lt;&gt;"",E4234&lt;&gt;"!!!"),"NEW","")))</f>
        <v> </v>
      </c>
      <c r="G4234" s="23" t="str">
        <f>IF(OR(E4234="",E4234="!!!"),"",IF(OR(J4234=0,AND(J4234=1,K4234=1),AND(J4234=1,I4234="SBJ"),AND(J4234=1,I4234=0)),"?IN_FOCUS",IF(J4234&lt;=2,"?ACTIVATED",IF(J4234&lt;&gt;"","?FAMILIAR",IF(F4234="NEW",IF(ISNA(VLOOKUP(E4234,#REF!,1,FALSE())),"?TYPE_IDENTIFIABLE","?REFERENTIAL"),"_")))))</f>
        <v> </v>
      </c>
      <c r="H4234" s="24" t="str">
        <f>IF(J4234&lt;&gt;1,"",IF(I4234="SBJ","CB","?"))</f>
        <v> </v>
      </c>
      <c r="I4234" s="25" t="str">
        <f>IF(OR(E4234="",E4234="!!!",F4234="NEW"),"",INDEX(B4233:B$2,-1+SUMPRODUCT(MAX(ROW(E4233:E$2)*(E4234=E4233:E$2)))))</f>
        <v> </v>
      </c>
      <c r="J4234" s="25" t="str">
        <f>IF(OR(E4234="",E4234="!!!",F4234="NEW"),"",COUNTBLANK(OFFSET(A$1,,,SUMPRODUCT(MAX(ROW(E$2:E4234)*(E4234=E$2:E4234)))))-COUNTBLANK(OFFSET(A$1,,,SUMPRODUCT(MAX(ROW(E$1:E4233)*(E2=E$1:E4233))))))</f>
        <v> </v>
      </c>
      <c r="K4234" s="25" t="str">
        <f>IF(OR(E4234="",E4234="!!!",F4234="NEW"),"",INDEX(J$1:J4233,SUMPRODUCT(MAX(ROW(E$1:E4233)*(E4234=E$1:E4233)))))</f>
        <v> </v>
      </c>
      <c r="L4234" s="26"/>
    </row>
    <row r="4235" spans="1:12">
      <c r="A4235" s="20" t="s">
        <v>1217</v>
      </c>
      <c r="B4235" s="27" t="s">
        <v>1149</v>
      </c>
      <c r="C4235" s="27" t="s">
        <v>1126</v>
      </c>
      <c r="D4235" s="27" t="s">
        <v>1105</v>
      </c>
      <c r="E4235" s="21">
        <f>IF(D4235="?OLD","!!!","")</f>
        <v/>
      </c>
      <c r="F4235" s="22" t="str">
        <f>IF(OR(E4235="",E4235="!!!"),"",IF(NOT(ISNA(VLOOKUP(E4235,E$1:E4234,1,FALSE()))),"OLD",IF(AND(E4235&lt;&gt;"",E4235&lt;&gt;"!!!"),"NEW","")))</f>
        <v> </v>
      </c>
      <c r="G4235" s="23" t="str">
        <f>IF(OR(E4235="",E4235="!!!"),"",IF(OR(J4235=0,AND(J4235=1,K4235=1),AND(J4235=1,I4235="SBJ"),AND(J4235=1,I4235=0)),"?IN_FOCUS",IF(J4235&lt;=2,"?ACTIVATED",IF(J4235&lt;&gt;"","?FAMILIAR",IF(F4235="NEW",IF(ISNA(VLOOKUP(E4235,#REF!,1,FALSE())),"?TYPE_IDENTIFIABLE","?REFERENTIAL"),"_")))))</f>
        <v> </v>
      </c>
      <c r="H4235" s="24" t="str">
        <f>IF(J4235&lt;&gt;1,"",IF(I4235="SBJ","CB","?"))</f>
        <v> </v>
      </c>
      <c r="I4235" s="25" t="str">
        <f>IF(OR(E4235="",E4235="!!!",F4235="NEW"),"",INDEX(B4234:B$2,-1+SUMPRODUCT(MAX(ROW(E4234:E$2)*(E4235=E4234:E$2)))))</f>
        <v> </v>
      </c>
      <c r="J4235" s="25" t="str">
        <f>IF(OR(E4235="",E4235="!!!",F4235="NEW"),"",COUNTBLANK(OFFSET(A$1,,,SUMPRODUCT(MAX(ROW(E$2:E4235)*(E4235=E$2:E4235)))))-COUNTBLANK(OFFSET(A$1,,,SUMPRODUCT(MAX(ROW(E$1:E4234)*(E2=E$1:E4234))))))</f>
        <v> </v>
      </c>
      <c r="K4235" s="25" t="str">
        <f>IF(OR(E4235="",E4235="!!!",F4235="NEW"),"",INDEX(J$1:J4234,SUMPRODUCT(MAX(ROW(E$1:E4234)*(E4235=E$1:E4234)))))</f>
        <v> </v>
      </c>
      <c r="L4235" s="26"/>
    </row>
    <row r="4236" spans="1:12">
      <c r="A4236" s="20" t="s">
        <v>2956</v>
      </c>
      <c r="E4236" s="21">
        <f>IF(D4236="?OLD","!!!","")</f>
        <v/>
      </c>
      <c r="F4236" s="22" t="str">
        <f>IF(OR(E4236="",E4236="!!!"),"",IF(NOT(ISNA(VLOOKUP(E4236,E$1:E4235,1,FALSE()))),"OLD",IF(AND(E4236&lt;&gt;"",E4236&lt;&gt;"!!!"),"NEW","")))</f>
        <v> </v>
      </c>
      <c r="G4236" s="23" t="str">
        <f>IF(OR(E4236="",E4236="!!!"),"",IF(OR(J4236=0,AND(J4236=1,K4236=1),AND(J4236=1,I4236="SBJ"),AND(J4236=1,I4236=0)),"?IN_FOCUS",IF(J4236&lt;=2,"?ACTIVATED",IF(J4236&lt;&gt;"","?FAMILIAR",IF(F4236="NEW",IF(ISNA(VLOOKUP(E4236,#REF!,1,FALSE())),"?TYPE_IDENTIFIABLE","?REFERENTIAL"),"_")))))</f>
        <v> </v>
      </c>
      <c r="H4236" s="24" t="str">
        <f>IF(J4236&lt;&gt;1,"",IF(I4236="SBJ","CB","?"))</f>
        <v> </v>
      </c>
      <c r="I4236" s="25" t="str">
        <f>IF(OR(E4236="",E4236="!!!",F4236="NEW"),"",INDEX(B4235:B$2,-1+SUMPRODUCT(MAX(ROW(E4235:E$2)*(E4236=E4235:E$2)))))</f>
        <v> </v>
      </c>
      <c r="J4236" s="25" t="str">
        <f>IF(OR(E4236="",E4236="!!!",F4236="NEW"),"",COUNTBLANK(OFFSET(A$1,,,SUMPRODUCT(MAX(ROW(E$2:E4236)*(E4236=E$2:E4236)))))-COUNTBLANK(OFFSET(A$1,,,SUMPRODUCT(MAX(ROW(E$1:E4235)*(E2=E$1:E4235))))))</f>
        <v> </v>
      </c>
      <c r="K4236" s="25" t="str">
        <f>IF(OR(E4236="",E4236="!!!",F4236="NEW"),"",INDEX(J$1:J4235,SUMPRODUCT(MAX(ROW(E$1:E4235)*(E4236=E$1:E4235)))))</f>
        <v> </v>
      </c>
      <c r="L4236" s="26"/>
    </row>
    <row r="4237" spans="1:12">
      <c r="A4237" s="20" t="s">
        <v>2984</v>
      </c>
      <c r="B4237" s="27" t="s">
        <v>1213</v>
      </c>
      <c r="E4237" s="21">
        <f>IF(D4237="?OLD","!!!","")</f>
        <v/>
      </c>
      <c r="F4237" s="22" t="str">
        <f>IF(OR(E4237="",E4237="!!!"),"",IF(NOT(ISNA(VLOOKUP(E4237,E$1:E4236,1,FALSE()))),"OLD",IF(AND(E4237&lt;&gt;"",E4237&lt;&gt;"!!!"),"NEW","")))</f>
        <v> </v>
      </c>
      <c r="G4237" s="23" t="str">
        <f>IF(OR(E4237="",E4237="!!!"),"",IF(OR(J4237=0,AND(J4237=1,K4237=1),AND(J4237=1,I4237="SBJ"),AND(J4237=1,I4237=0)),"?IN_FOCUS",IF(J4237&lt;=2,"?ACTIVATED",IF(J4237&lt;&gt;"","?FAMILIAR",IF(F4237="NEW",IF(ISNA(VLOOKUP(E4237,#REF!,1,FALSE())),"?TYPE_IDENTIFIABLE","?REFERENTIAL"),"_")))))</f>
        <v> </v>
      </c>
      <c r="H4237" s="24" t="str">
        <f>IF(J4237&lt;&gt;1,"",IF(I4237="SBJ","CB","?"))</f>
        <v> </v>
      </c>
      <c r="I4237" s="25" t="str">
        <f>IF(OR(E4237="",E4237="!!!",F4237="NEW"),"",INDEX(B4236:B$2,-1+SUMPRODUCT(MAX(ROW(E4236:E$2)*(E4237=E4236:E$2)))))</f>
        <v> </v>
      </c>
      <c r="J4237" s="25" t="str">
        <f>IF(OR(E4237="",E4237="!!!",F4237="NEW"),"",COUNTBLANK(OFFSET(A$1,,,SUMPRODUCT(MAX(ROW(E$2:E4237)*(E4237=E$2:E4237)))))-COUNTBLANK(OFFSET(A$1,,,SUMPRODUCT(MAX(ROW(E$1:E4236)*(E2=E$1:E4236))))))</f>
        <v> </v>
      </c>
      <c r="K4237" s="25" t="str">
        <f>IF(OR(E4237="",E4237="!!!",F4237="NEW"),"",INDEX(J$1:J4236,SUMPRODUCT(MAX(ROW(E$1:E4236)*(E4237=E$1:E4236)))))</f>
        <v> </v>
      </c>
      <c r="L4237" s="26"/>
    </row>
    <row r="4238" spans="1:12">
      <c r="A4238" s="20" t="s">
        <v>1184</v>
      </c>
      <c r="E4238" s="21">
        <f>IF(D4238="?OLD","!!!","")</f>
        <v/>
      </c>
      <c r="F4238" s="22" t="str">
        <f>IF(OR(E4238="",E4238="!!!"),"",IF(NOT(ISNA(VLOOKUP(E4238,E$1:E4237,1,FALSE()))),"OLD",IF(AND(E4238&lt;&gt;"",E4238&lt;&gt;"!!!"),"NEW","")))</f>
        <v> </v>
      </c>
      <c r="G4238" s="23" t="str">
        <f>IF(OR(E4238="",E4238="!!!"),"",IF(OR(J4238=0,AND(J4238=1,K4238=1),AND(J4238=1,I4238="SBJ"),AND(J4238=1,I4238=0)),"?IN_FOCUS",IF(J4238&lt;=2,"?ACTIVATED",IF(J4238&lt;&gt;"","?FAMILIAR",IF(F4238="NEW",IF(ISNA(VLOOKUP(E4238,#REF!,1,FALSE())),"?TYPE_IDENTIFIABLE","?REFERENTIAL"),"_")))))</f>
        <v> </v>
      </c>
      <c r="H4238" s="24" t="str">
        <f>IF(J4238&lt;&gt;1,"",IF(I4238="SBJ","CB","?"))</f>
        <v> </v>
      </c>
      <c r="I4238" s="25" t="str">
        <f>IF(OR(E4238="",E4238="!!!",F4238="NEW"),"",INDEX(B4237:B$2,-1+SUMPRODUCT(MAX(ROW(E4237:E$2)*(E4238=E4237:E$2)))))</f>
        <v> </v>
      </c>
      <c r="J4238" s="25" t="str">
        <f>IF(OR(E4238="",E4238="!!!",F4238="NEW"),"",COUNTBLANK(OFFSET(A$1,,,SUMPRODUCT(MAX(ROW(E$2:E4238)*(E4238=E$2:E4238)))))-COUNTBLANK(OFFSET(A$1,,,SUMPRODUCT(MAX(ROW(E$1:E4237)*(E2=E$1:E4237))))))</f>
        <v> </v>
      </c>
      <c r="K4238" s="25" t="str">
        <f>IF(OR(E4238="",E4238="!!!",F4238="NEW"),"",INDEX(J$1:J4237,SUMPRODUCT(MAX(ROW(E$1:E4237)*(E4238=E$1:E4237)))))</f>
        <v> </v>
      </c>
      <c r="L4238" s="26"/>
    </row>
    <row r="4239" spans="1:12">
      <c r="A4239" s="20" t="s">
        <v>2985</v>
      </c>
      <c r="E4239" s="21">
        <f>IF(D4239="?OLD","!!!","")</f>
        <v/>
      </c>
      <c r="F4239" s="22" t="str">
        <f>IF(OR(E4239="",E4239="!!!"),"",IF(NOT(ISNA(VLOOKUP(E4239,E$1:E4238,1,FALSE()))),"OLD",IF(AND(E4239&lt;&gt;"",E4239&lt;&gt;"!!!"),"NEW","")))</f>
        <v> </v>
      </c>
      <c r="G4239" s="23" t="str">
        <f>IF(OR(E4239="",E4239="!!!"),"",IF(OR(J4239=0,AND(J4239=1,K4239=1),AND(J4239=1,I4239="SBJ"),AND(J4239=1,I4239=0)),"?IN_FOCUS",IF(J4239&lt;=2,"?ACTIVATED",IF(J4239&lt;&gt;"","?FAMILIAR",IF(F4239="NEW",IF(ISNA(VLOOKUP(E4239,#REF!,1,FALSE())),"?TYPE_IDENTIFIABLE","?REFERENTIAL"),"_")))))</f>
        <v> </v>
      </c>
      <c r="H4239" s="24" t="str">
        <f>IF(J4239&lt;&gt;1,"",IF(I4239="SBJ","CB","?"))</f>
        <v> </v>
      </c>
      <c r="I4239" s="25" t="str">
        <f>IF(OR(E4239="",E4239="!!!",F4239="NEW"),"",INDEX(B4238:B$2,-1+SUMPRODUCT(MAX(ROW(E4238:E$2)*(E4239=E4238:E$2)))))</f>
        <v> </v>
      </c>
      <c r="J4239" s="25" t="str">
        <f>IF(OR(E4239="",E4239="!!!",F4239="NEW"),"",COUNTBLANK(OFFSET(A$1,,,SUMPRODUCT(MAX(ROW(E$2:E4239)*(E4239=E$2:E4239)))))-COUNTBLANK(OFFSET(A$1,,,SUMPRODUCT(MAX(ROW(E$1:E4238)*(E2=E$1:E4238))))))</f>
        <v> </v>
      </c>
      <c r="K4239" s="25" t="str">
        <f>IF(OR(E4239="",E4239="!!!",F4239="NEW"),"",INDEX(J$1:J4238,SUMPRODUCT(MAX(ROW(E$1:E4238)*(E4239=E$1:E4238)))))</f>
        <v> </v>
      </c>
      <c r="L4239" s="26"/>
    </row>
    <row r="4240" spans="1:12">
      <c r="A4240" s="20" t="s">
        <v>1123</v>
      </c>
      <c r="E4240" s="21">
        <f>IF(D4240="?OLD","!!!","")</f>
        <v/>
      </c>
      <c r="F4240" s="22" t="str">
        <f>IF(OR(E4240="",E4240="!!!"),"",IF(NOT(ISNA(VLOOKUP(E4240,E$1:E4239,1,FALSE()))),"OLD",IF(AND(E4240&lt;&gt;"",E4240&lt;&gt;"!!!"),"NEW","")))</f>
        <v> </v>
      </c>
      <c r="G4240" s="23" t="str">
        <f>IF(OR(E4240="",E4240="!!!"),"",IF(OR(J4240=0,AND(J4240=1,K4240=1),AND(J4240=1,I4240="SBJ"),AND(J4240=1,I4240=0)),"?IN_FOCUS",IF(J4240&lt;=2,"?ACTIVATED",IF(J4240&lt;&gt;"","?FAMILIAR",IF(F4240="NEW",IF(ISNA(VLOOKUP(E4240,#REF!,1,FALSE())),"?TYPE_IDENTIFIABLE","?REFERENTIAL"),"_")))))</f>
        <v> </v>
      </c>
      <c r="H4240" s="24" t="str">
        <f>IF(J4240&lt;&gt;1,"",IF(I4240="SBJ","CB","?"))</f>
        <v> </v>
      </c>
      <c r="I4240" s="25" t="str">
        <f>IF(OR(E4240="",E4240="!!!",F4240="NEW"),"",INDEX(B4239:B$2,-1+SUMPRODUCT(MAX(ROW(E4239:E$2)*(E4240=E4239:E$2)))))</f>
        <v> </v>
      </c>
      <c r="J4240" s="25" t="str">
        <f>IF(OR(E4240="",E4240="!!!",F4240="NEW"),"",COUNTBLANK(OFFSET(A$1,,,SUMPRODUCT(MAX(ROW(E$2:E4240)*(E4240=E$2:E4240)))))-COUNTBLANK(OFFSET(A$1,,,SUMPRODUCT(MAX(ROW(E$1:E4239)*(E2=E$1:E4239))))))</f>
        <v> </v>
      </c>
      <c r="K4240" s="25" t="str">
        <f>IF(OR(E4240="",E4240="!!!",F4240="NEW"),"",INDEX(J$1:J4239,SUMPRODUCT(MAX(ROW(E$1:E4239)*(E4240=E$1:E4239)))))</f>
        <v> </v>
      </c>
      <c r="L4240" s="26"/>
    </row>
    <row r="4241" spans="1:12">
      <c r="A4241" s="20" t="s">
        <v>2986</v>
      </c>
      <c r="E4241" s="21">
        <f>IF(D4241="?OLD","!!!","")</f>
        <v/>
      </c>
      <c r="F4241" s="22" t="str">
        <f>IF(OR(E4241="",E4241="!!!"),"",IF(NOT(ISNA(VLOOKUP(E4241,E$1:E4240,1,FALSE()))),"OLD",IF(AND(E4241&lt;&gt;"",E4241&lt;&gt;"!!!"),"NEW","")))</f>
        <v> </v>
      </c>
      <c r="G4241" s="23" t="str">
        <f>IF(OR(E4241="",E4241="!!!"),"",IF(OR(J4241=0,AND(J4241=1,K4241=1),AND(J4241=1,I4241="SBJ"),AND(J4241=1,I4241=0)),"?IN_FOCUS",IF(J4241&lt;=2,"?ACTIVATED",IF(J4241&lt;&gt;"","?FAMILIAR",IF(F4241="NEW",IF(ISNA(VLOOKUP(E4241,#REF!,1,FALSE())),"?TYPE_IDENTIFIABLE","?REFERENTIAL"),"_")))))</f>
        <v> </v>
      </c>
      <c r="H4241" s="24" t="str">
        <f>IF(J4241&lt;&gt;1,"",IF(I4241="SBJ","CB","?"))</f>
        <v> </v>
      </c>
      <c r="I4241" s="25" t="str">
        <f>IF(OR(E4241="",E4241="!!!",F4241="NEW"),"",INDEX(B4240:B$2,-1+SUMPRODUCT(MAX(ROW(E4240:E$2)*(E4241=E4240:E$2)))))</f>
        <v> </v>
      </c>
      <c r="J4241" s="25" t="str">
        <f>IF(OR(E4241="",E4241="!!!",F4241="NEW"),"",COUNTBLANK(OFFSET(A$1,,,SUMPRODUCT(MAX(ROW(E$2:E4241)*(E4241=E$2:E4241)))))-COUNTBLANK(OFFSET(A$1,,,SUMPRODUCT(MAX(ROW(E$1:E4240)*(E2=E$1:E4240))))))</f>
        <v> </v>
      </c>
      <c r="K4241" s="25" t="str">
        <f>IF(OR(E4241="",E4241="!!!",F4241="NEW"),"",INDEX(J$1:J4240,SUMPRODUCT(MAX(ROW(E$1:E4240)*(E4241=E$1:E4240)))))</f>
        <v> </v>
      </c>
      <c r="L4241" s="26"/>
    </row>
    <row r="4242" spans="1:12">
      <c r="A4242" s="20" t="s">
        <v>1128</v>
      </c>
      <c r="E4242" s="21">
        <f>IF(D4242="?OLD","!!!","")</f>
        <v/>
      </c>
      <c r="F4242" s="22" t="str">
        <f>IF(OR(E4242="",E4242="!!!"),"",IF(NOT(ISNA(VLOOKUP(E4242,E$1:E4241,1,FALSE()))),"OLD",IF(AND(E4242&lt;&gt;"",E4242&lt;&gt;"!!!"),"NEW","")))</f>
        <v> </v>
      </c>
      <c r="G4242" s="23" t="str">
        <f>IF(OR(E4242="",E4242="!!!"),"",IF(OR(J4242=0,AND(J4242=1,K4242=1),AND(J4242=1,I4242="SBJ"),AND(J4242=1,I4242=0)),"?IN_FOCUS",IF(J4242&lt;=2,"?ACTIVATED",IF(J4242&lt;&gt;"","?FAMILIAR",IF(F4242="NEW",IF(ISNA(VLOOKUP(E4242,#REF!,1,FALSE())),"?TYPE_IDENTIFIABLE","?REFERENTIAL"),"_")))))</f>
        <v> </v>
      </c>
      <c r="H4242" s="24" t="str">
        <f>IF(J4242&lt;&gt;1,"",IF(I4242="SBJ","CB","?"))</f>
        <v> </v>
      </c>
      <c r="I4242" s="25" t="str">
        <f>IF(OR(E4242="",E4242="!!!",F4242="NEW"),"",INDEX(B4241:B$2,-1+SUMPRODUCT(MAX(ROW(E4241:E$2)*(E4242=E4241:E$2)))))</f>
        <v> </v>
      </c>
      <c r="J4242" s="25" t="str">
        <f>IF(OR(E4242="",E4242="!!!",F4242="NEW"),"",COUNTBLANK(OFFSET(A$1,,,SUMPRODUCT(MAX(ROW(E$2:E4242)*(E4242=E$2:E4242)))))-COUNTBLANK(OFFSET(A$1,,,SUMPRODUCT(MAX(ROW(E$1:E4241)*(E2=E$1:E4241))))))</f>
        <v> </v>
      </c>
      <c r="K4242" s="25" t="str">
        <f>IF(OR(E4242="",E4242="!!!",F4242="NEW"),"",INDEX(J$1:J4241,SUMPRODUCT(MAX(ROW(E$1:E4241)*(E4242=E$1:E4241)))))</f>
        <v> </v>
      </c>
      <c r="L4242" s="26"/>
    </row>
    <row r="4243" spans="1:12">
      <c r="A4243" s="20" t="s">
        <v>2987</v>
      </c>
      <c r="E4243" s="21">
        <f>IF(D4243="?OLD","!!!","")</f>
        <v/>
      </c>
      <c r="F4243" s="22" t="str">
        <f>IF(OR(E4243="",E4243="!!!"),"",IF(NOT(ISNA(VLOOKUP(E4243,E$1:E4242,1,FALSE()))),"OLD",IF(AND(E4243&lt;&gt;"",E4243&lt;&gt;"!!!"),"NEW","")))</f>
        <v> </v>
      </c>
      <c r="G4243" s="23" t="str">
        <f>IF(OR(E4243="",E4243="!!!"),"",IF(OR(J4243=0,AND(J4243=1,K4243=1),AND(J4243=1,I4243="SBJ"),AND(J4243=1,I4243=0)),"?IN_FOCUS",IF(J4243&lt;=2,"?ACTIVATED",IF(J4243&lt;&gt;"","?FAMILIAR",IF(F4243="NEW",IF(ISNA(VLOOKUP(E4243,#REF!,1,FALSE())),"?TYPE_IDENTIFIABLE","?REFERENTIAL"),"_")))))</f>
        <v> </v>
      </c>
      <c r="H4243" s="24" t="str">
        <f>IF(J4243&lt;&gt;1,"",IF(I4243="SBJ","CB","?"))</f>
        <v> </v>
      </c>
      <c r="I4243" s="25" t="str">
        <f>IF(OR(E4243="",E4243="!!!",F4243="NEW"),"",INDEX(B4242:B$2,-1+SUMPRODUCT(MAX(ROW(E4242:E$2)*(E4243=E4242:E$2)))))</f>
        <v> </v>
      </c>
      <c r="J4243" s="25" t="str">
        <f>IF(OR(E4243="",E4243="!!!",F4243="NEW"),"",COUNTBLANK(OFFSET(A$1,,,SUMPRODUCT(MAX(ROW(E$2:E4243)*(E4243=E$2:E4243)))))-COUNTBLANK(OFFSET(A$1,,,SUMPRODUCT(MAX(ROW(E$1:E4242)*(E2=E$1:E4242))))))</f>
        <v> </v>
      </c>
      <c r="K4243" s="25" t="str">
        <f>IF(OR(E4243="",E4243="!!!",F4243="NEW"),"",INDEX(J$1:J4242,SUMPRODUCT(MAX(ROW(E$1:E4242)*(E4243=E$1:E4242)))))</f>
        <v> </v>
      </c>
      <c r="L4243" s="26"/>
    </row>
    <row r="4244" spans="1:12">
      <c r="A4244" s="20" t="s">
        <v>2988</v>
      </c>
      <c r="E4244" s="21">
        <f>IF(D4244="?OLD","!!!","")</f>
        <v/>
      </c>
      <c r="F4244" s="22" t="str">
        <f>IF(OR(E4244="",E4244="!!!"),"",IF(NOT(ISNA(VLOOKUP(E4244,E$1:E4243,1,FALSE()))),"OLD",IF(AND(E4244&lt;&gt;"",E4244&lt;&gt;"!!!"),"NEW","")))</f>
        <v> </v>
      </c>
      <c r="G4244" s="23" t="str">
        <f>IF(OR(E4244="",E4244="!!!"),"",IF(OR(J4244=0,AND(J4244=1,K4244=1),AND(J4244=1,I4244="SBJ"),AND(J4244=1,I4244=0)),"?IN_FOCUS",IF(J4244&lt;=2,"?ACTIVATED",IF(J4244&lt;&gt;"","?FAMILIAR",IF(F4244="NEW",IF(ISNA(VLOOKUP(E4244,#REF!,1,FALSE())),"?TYPE_IDENTIFIABLE","?REFERENTIAL"),"_")))))</f>
        <v> </v>
      </c>
      <c r="H4244" s="24" t="str">
        <f>IF(J4244&lt;&gt;1,"",IF(I4244="SBJ","CB","?"))</f>
        <v> </v>
      </c>
      <c r="I4244" s="25" t="str">
        <f>IF(OR(E4244="",E4244="!!!",F4244="NEW"),"",INDEX(B4243:B$2,-1+SUMPRODUCT(MAX(ROW(E4243:E$2)*(E4244=E4243:E$2)))))</f>
        <v> </v>
      </c>
      <c r="J4244" s="25" t="str">
        <f>IF(OR(E4244="",E4244="!!!",F4244="NEW"),"",COUNTBLANK(OFFSET(A$1,,,SUMPRODUCT(MAX(ROW(E$2:E4244)*(E4244=E$2:E4244)))))-COUNTBLANK(OFFSET(A$1,,,SUMPRODUCT(MAX(ROW(E$1:E4243)*(E2=E$1:E4243))))))</f>
        <v> </v>
      </c>
      <c r="K4244" s="25" t="str">
        <f>IF(OR(E4244="",E4244="!!!",F4244="NEW"),"",INDEX(J$1:J4243,SUMPRODUCT(MAX(ROW(E$1:E4243)*(E4244=E$1:E4243)))))</f>
        <v> </v>
      </c>
      <c r="L4244" s="26"/>
    </row>
    <row r="4245" spans="1:12">
      <c r="A4245" s="20" t="s">
        <v>2989</v>
      </c>
      <c r="E4245" s="21">
        <f>IF(D4245="?OLD","!!!","")</f>
        <v/>
      </c>
      <c r="F4245" s="22" t="str">
        <f>IF(OR(E4245="",E4245="!!!"),"",IF(NOT(ISNA(VLOOKUP(E4245,E$1:E4244,1,FALSE()))),"OLD",IF(AND(E4245&lt;&gt;"",E4245&lt;&gt;"!!!"),"NEW","")))</f>
        <v> </v>
      </c>
      <c r="G4245" s="23" t="str">
        <f>IF(OR(E4245="",E4245="!!!"),"",IF(OR(J4245=0,AND(J4245=1,K4245=1),AND(J4245=1,I4245="SBJ"),AND(J4245=1,I4245=0)),"?IN_FOCUS",IF(J4245&lt;=2,"?ACTIVATED",IF(J4245&lt;&gt;"","?FAMILIAR",IF(F4245="NEW",IF(ISNA(VLOOKUP(E4245,#REF!,1,FALSE())),"?TYPE_IDENTIFIABLE","?REFERENTIAL"),"_")))))</f>
        <v> </v>
      </c>
      <c r="H4245" s="24" t="str">
        <f>IF(J4245&lt;&gt;1,"",IF(I4245="SBJ","CB","?"))</f>
        <v> </v>
      </c>
      <c r="I4245" s="25" t="str">
        <f>IF(OR(E4245="",E4245="!!!",F4245="NEW"),"",INDEX(B4244:B$2,-1+SUMPRODUCT(MAX(ROW(E4244:E$2)*(E4245=E4244:E$2)))))</f>
        <v> </v>
      </c>
      <c r="J4245" s="25" t="str">
        <f>IF(OR(E4245="",E4245="!!!",F4245="NEW"),"",COUNTBLANK(OFFSET(A$1,,,SUMPRODUCT(MAX(ROW(E$2:E4245)*(E4245=E$2:E4245)))))-COUNTBLANK(OFFSET(A$1,,,SUMPRODUCT(MAX(ROW(E$1:E4244)*(E2=E$1:E4244))))))</f>
        <v> </v>
      </c>
      <c r="K4245" s="25" t="str">
        <f>IF(OR(E4245="",E4245="!!!",F4245="NEW"),"",INDEX(J$1:J4244,SUMPRODUCT(MAX(ROW(E$1:E4244)*(E4245=E$1:E4244)))))</f>
        <v> </v>
      </c>
      <c r="L4245" s="26"/>
    </row>
    <row r="4246" spans="1:12">
      <c r="A4246" s="20" t="s">
        <v>1145</v>
      </c>
      <c r="E4246" s="21">
        <f>IF(D4246="?OLD","!!!","")</f>
        <v/>
      </c>
      <c r="F4246" s="22" t="str">
        <f>IF(OR(E4246="",E4246="!!!"),"",IF(NOT(ISNA(VLOOKUP(E4246,E$1:E4245,1,FALSE()))),"OLD",IF(AND(E4246&lt;&gt;"",E4246&lt;&gt;"!!!"),"NEW","")))</f>
        <v> </v>
      </c>
      <c r="G4246" s="23" t="str">
        <f>IF(OR(E4246="",E4246="!!!"),"",IF(OR(J4246=0,AND(J4246=1,K4246=1),AND(J4246=1,I4246="SBJ"),AND(J4246=1,I4246=0)),"?IN_FOCUS",IF(J4246&lt;=2,"?ACTIVATED",IF(J4246&lt;&gt;"","?FAMILIAR",IF(F4246="NEW",IF(ISNA(VLOOKUP(E4246,#REF!,1,FALSE())),"?TYPE_IDENTIFIABLE","?REFERENTIAL"),"_")))))</f>
        <v> </v>
      </c>
      <c r="H4246" s="24" t="str">
        <f>IF(J4246&lt;&gt;1,"",IF(I4246="SBJ","CB","?"))</f>
        <v> </v>
      </c>
      <c r="I4246" s="25" t="str">
        <f>IF(OR(E4246="",E4246="!!!",F4246="NEW"),"",INDEX(B4245:B$2,-1+SUMPRODUCT(MAX(ROW(E4245:E$2)*(E4246=E4245:E$2)))))</f>
        <v> </v>
      </c>
      <c r="J4246" s="25" t="str">
        <f>IF(OR(E4246="",E4246="!!!",F4246="NEW"),"",COUNTBLANK(OFFSET(A$1,,,SUMPRODUCT(MAX(ROW(E$2:E4246)*(E4246=E$2:E4246)))))-COUNTBLANK(OFFSET(A$1,,,SUMPRODUCT(MAX(ROW(E$1:E4245)*(E2=E$1:E4245))))))</f>
        <v> </v>
      </c>
      <c r="K4246" s="25" t="str">
        <f>IF(OR(E4246="",E4246="!!!",F4246="NEW"),"",INDEX(J$1:J4245,SUMPRODUCT(MAX(ROW(E$1:E4245)*(E4246=E$1:E4245)))))</f>
        <v> </v>
      </c>
      <c r="L4246" s="26"/>
    </row>
    <row r="4247" spans="1:12">
      <c r="A4247" s="20"/>
    </row>
    <row r="4248" spans="1:12">
      <c r="A4248" s="20" t="s">
        <v>2990</v>
      </c>
    </row>
    <row r="4249" spans="1:12">
      <c r="A4249" s="20" t="s">
        <v>1433</v>
      </c>
      <c r="E4249" s="21">
        <f>IF(D4249="?OLD","!!!","")</f>
        <v/>
      </c>
      <c r="F4249" s="22" t="str">
        <f>IF(OR(E4249="",E4249="!!!"),"",IF(NOT(ISNA(VLOOKUP(E4249,E$1:E4248,1,FALSE()))),"OLD",IF(AND(E4249&lt;&gt;"",E4249&lt;&gt;"!!!"),"NEW","")))</f>
        <v> </v>
      </c>
      <c r="G4249" s="23" t="str">
        <f>IF(OR(E4249="",E4249="!!!"),"",IF(OR(J4249=0,AND(J4249=1,K4249=1),AND(J4249=1,I4249="SBJ"),AND(J4249=1,I4249=0)),"?IN_FOCUS",IF(J4249&lt;=2,"?ACTIVATED",IF(J4249&lt;&gt;"","?FAMILIAR",IF(F4249="NEW",IF(ISNA(VLOOKUP(E4249,#REF!,1,FALSE())),"?TYPE_IDENTIFIABLE","?REFERENTIAL"),"_")))))</f>
        <v> </v>
      </c>
      <c r="H4249" s="24" t="str">
        <f>IF(J4249&lt;&gt;1,"",IF(I4249="SBJ","CB","?"))</f>
        <v> </v>
      </c>
      <c r="I4249" s="25" t="str">
        <f>IF(OR(E4249="",E4249="!!!",F4249="NEW"),"",INDEX(B4248:B$2,-1+SUMPRODUCT(MAX(ROW(E4248:E$2)*(E4249=E4248:E$2)))))</f>
        <v> </v>
      </c>
      <c r="J4249" s="25" t="str">
        <f>IF(OR(E4249="",E4249="!!!",F4249="NEW"),"",COUNTBLANK(OFFSET(A$1,,,SUMPRODUCT(MAX(ROW(E$2:E4249)*(E4249=E$2:E4249)))))-COUNTBLANK(OFFSET(A$1,,,SUMPRODUCT(MAX(ROW(E$1:E4248)*(E2=E$1:E4248))))))</f>
        <v> </v>
      </c>
      <c r="K4249" s="25" t="str">
        <f>IF(OR(E4249="",E4249="!!!",F4249="NEW"),"",INDEX(J$1:J4248,SUMPRODUCT(MAX(ROW(E$1:E4248)*(E4249=E$1:E4248)))))</f>
        <v> </v>
      </c>
      <c r="L4249" s="26"/>
    </row>
    <row r="4250" spans="1:12">
      <c r="A4250" s="20" t="s">
        <v>1123</v>
      </c>
      <c r="E4250" s="21">
        <f>IF(D4250="?OLD","!!!","")</f>
        <v/>
      </c>
      <c r="F4250" s="22" t="str">
        <f>IF(OR(E4250="",E4250="!!!"),"",IF(NOT(ISNA(VLOOKUP(E4250,E$1:E4249,1,FALSE()))),"OLD",IF(AND(E4250&lt;&gt;"",E4250&lt;&gt;"!!!"),"NEW","")))</f>
        <v> </v>
      </c>
      <c r="G4250" s="23" t="str">
        <f>IF(OR(E4250="",E4250="!!!"),"",IF(OR(J4250=0,AND(J4250=1,K4250=1),AND(J4250=1,I4250="SBJ"),AND(J4250=1,I4250=0)),"?IN_FOCUS",IF(J4250&lt;=2,"?ACTIVATED",IF(J4250&lt;&gt;"","?FAMILIAR",IF(F4250="NEW",IF(ISNA(VLOOKUP(E4250,#REF!,1,FALSE())),"?TYPE_IDENTIFIABLE","?REFERENTIAL"),"_")))))</f>
        <v> </v>
      </c>
      <c r="H4250" s="24" t="str">
        <f>IF(J4250&lt;&gt;1,"",IF(I4250="SBJ","CB","?"))</f>
        <v> </v>
      </c>
      <c r="I4250" s="25" t="str">
        <f>IF(OR(E4250="",E4250="!!!",F4250="NEW"),"",INDEX(B4249:B$2,-1+SUMPRODUCT(MAX(ROW(E4249:E$2)*(E4250=E4249:E$2)))))</f>
        <v> </v>
      </c>
      <c r="J4250" s="25" t="str">
        <f>IF(OR(E4250="",E4250="!!!",F4250="NEW"),"",COUNTBLANK(OFFSET(A$1,,,SUMPRODUCT(MAX(ROW(E$2:E4250)*(E4250=E$2:E4250)))))-COUNTBLANK(OFFSET(A$1,,,SUMPRODUCT(MAX(ROW(E$1:E4249)*(E2=E$1:E4249))))))</f>
        <v> </v>
      </c>
      <c r="K4250" s="25" t="str">
        <f>IF(OR(E4250="",E4250="!!!",F4250="NEW"),"",INDEX(J$1:J4249,SUMPRODUCT(MAX(ROW(E$1:E4249)*(E4250=E$1:E4249)))))</f>
        <v> </v>
      </c>
      <c r="L4250" s="26"/>
    </row>
    <row r="4251" spans="1:12">
      <c r="A4251" s="20" t="s">
        <v>1537</v>
      </c>
      <c r="E4251" s="21">
        <f>IF(D4251="?OLD","!!!","")</f>
        <v/>
      </c>
      <c r="F4251" s="22" t="str">
        <f>IF(OR(E4251="",E4251="!!!"),"",IF(NOT(ISNA(VLOOKUP(E4251,E$1:E4250,1,FALSE()))),"OLD",IF(AND(E4251&lt;&gt;"",E4251&lt;&gt;"!!!"),"NEW","")))</f>
        <v> </v>
      </c>
      <c r="G4251" s="23" t="str">
        <f>IF(OR(E4251="",E4251="!!!"),"",IF(OR(J4251=0,AND(J4251=1,K4251=1),AND(J4251=1,I4251="SBJ"),AND(J4251=1,I4251=0)),"?IN_FOCUS",IF(J4251&lt;=2,"?ACTIVATED",IF(J4251&lt;&gt;"","?FAMILIAR",IF(F4251="NEW",IF(ISNA(VLOOKUP(E4251,#REF!,1,FALSE())),"?TYPE_IDENTIFIABLE","?REFERENTIAL"),"_")))))</f>
        <v> </v>
      </c>
      <c r="H4251" s="24" t="str">
        <f>IF(J4251&lt;&gt;1,"",IF(I4251="SBJ","CB","?"))</f>
        <v> </v>
      </c>
      <c r="I4251" s="25" t="str">
        <f>IF(OR(E4251="",E4251="!!!",F4251="NEW"),"",INDEX(B4250:B$2,-1+SUMPRODUCT(MAX(ROW(E4250:E$2)*(E4251=E4250:E$2)))))</f>
        <v> </v>
      </c>
      <c r="J4251" s="25" t="str">
        <f>IF(OR(E4251="",E4251="!!!",F4251="NEW"),"",COUNTBLANK(OFFSET(A$1,,,SUMPRODUCT(MAX(ROW(E$2:E4251)*(E4251=E$2:E4251)))))-COUNTBLANK(OFFSET(A$1,,,SUMPRODUCT(MAX(ROW(E$1:E4250)*(E2=E$1:E4250))))))</f>
        <v> </v>
      </c>
      <c r="K4251" s="25" t="str">
        <f>IF(OR(E4251="",E4251="!!!",F4251="NEW"),"",INDEX(J$1:J4250,SUMPRODUCT(MAX(ROW(E$1:E4250)*(E4251=E$1:E4250)))))</f>
        <v> </v>
      </c>
      <c r="L4251" s="26"/>
    </row>
    <row r="4252" spans="1:12">
      <c r="A4252" s="20" t="s">
        <v>1123</v>
      </c>
      <c r="E4252" s="21">
        <f>IF(D4252="?OLD","!!!","")</f>
        <v/>
      </c>
      <c r="F4252" s="22" t="str">
        <f>IF(OR(E4252="",E4252="!!!"),"",IF(NOT(ISNA(VLOOKUP(E4252,E$1:E4251,1,FALSE()))),"OLD",IF(AND(E4252&lt;&gt;"",E4252&lt;&gt;"!!!"),"NEW","")))</f>
        <v> </v>
      </c>
      <c r="G4252" s="23" t="str">
        <f>IF(OR(E4252="",E4252="!!!"),"",IF(OR(J4252=0,AND(J4252=1,K4252=1),AND(J4252=1,I4252="SBJ"),AND(J4252=1,I4252=0)),"?IN_FOCUS",IF(J4252&lt;=2,"?ACTIVATED",IF(J4252&lt;&gt;"","?FAMILIAR",IF(F4252="NEW",IF(ISNA(VLOOKUP(E4252,#REF!,1,FALSE())),"?TYPE_IDENTIFIABLE","?REFERENTIAL"),"_")))))</f>
        <v> </v>
      </c>
      <c r="H4252" s="24" t="str">
        <f>IF(J4252&lt;&gt;1,"",IF(I4252="SBJ","CB","?"))</f>
        <v> </v>
      </c>
      <c r="I4252" s="25" t="str">
        <f>IF(OR(E4252="",E4252="!!!",F4252="NEW"),"",INDEX(B4251:B$2,-1+SUMPRODUCT(MAX(ROW(E4251:E$2)*(E4252=E4251:E$2)))))</f>
        <v> </v>
      </c>
      <c r="J4252" s="25" t="str">
        <f>IF(OR(E4252="",E4252="!!!",F4252="NEW"),"",COUNTBLANK(OFFSET(A$1,,,SUMPRODUCT(MAX(ROW(E$2:E4252)*(E4252=E$2:E4252)))))-COUNTBLANK(OFFSET(A$1,,,SUMPRODUCT(MAX(ROW(E$1:E4251)*(E2=E$1:E4251))))))</f>
        <v> </v>
      </c>
      <c r="K4252" s="25" t="str">
        <f>IF(OR(E4252="",E4252="!!!",F4252="NEW"),"",INDEX(J$1:J4251,SUMPRODUCT(MAX(ROW(E$1:E4251)*(E4252=E$1:E4251)))))</f>
        <v> </v>
      </c>
      <c r="L4252" s="26"/>
    </row>
    <row r="4253" spans="1:12">
      <c r="A4253" s="20" t="s">
        <v>1507</v>
      </c>
      <c r="B4253" s="27" t="s">
        <v>1149</v>
      </c>
      <c r="C4253" s="27" t="s">
        <v>1108</v>
      </c>
      <c r="D4253" s="27" t="s">
        <v>1105</v>
      </c>
      <c r="E4253" s="21">
        <f>IF(D4253="?OLD","!!!","")</f>
        <v/>
      </c>
      <c r="F4253" s="22" t="str">
        <f>IF(OR(E4253="",E4253="!!!"),"",IF(NOT(ISNA(VLOOKUP(E4253,E$1:E4252,1,FALSE()))),"OLD",IF(AND(E4253&lt;&gt;"",E4253&lt;&gt;"!!!"),"NEW","")))</f>
        <v> </v>
      </c>
      <c r="G4253" s="23" t="str">
        <f>IF(OR(E4253="",E4253="!!!"),"",IF(OR(J4253=0,AND(J4253=1,K4253=1),AND(J4253=1,I4253="SBJ"),AND(J4253=1,I4253=0)),"?IN_FOCUS",IF(J4253&lt;=2,"?ACTIVATED",IF(J4253&lt;&gt;"","?FAMILIAR",IF(F4253="NEW",IF(ISNA(VLOOKUP(E4253,#REF!,1,FALSE())),"?TYPE_IDENTIFIABLE","?REFERENTIAL"),"_")))))</f>
        <v> </v>
      </c>
      <c r="H4253" s="24" t="str">
        <f>IF(J4253&lt;&gt;1,"",IF(I4253="SBJ","CB","?"))</f>
        <v> </v>
      </c>
      <c r="I4253" s="25" t="str">
        <f>IF(OR(E4253="",E4253="!!!",F4253="NEW"),"",INDEX(B4252:B$2,-1+SUMPRODUCT(MAX(ROW(E4252:E$2)*(E4253=E4252:E$2)))))</f>
        <v> </v>
      </c>
      <c r="J4253" s="25" t="str">
        <f>IF(OR(E4253="",E4253="!!!",F4253="NEW"),"",COUNTBLANK(OFFSET(A$1,,,SUMPRODUCT(MAX(ROW(E$2:E4253)*(E4253=E$2:E4253)))))-COUNTBLANK(OFFSET(A$1,,,SUMPRODUCT(MAX(ROW(E$1:E4252)*(E2=E$1:E4252))))))</f>
        <v> </v>
      </c>
      <c r="K4253" s="25" t="str">
        <f>IF(OR(E4253="",E4253="!!!",F4253="NEW"),"",INDEX(J$1:J4252,SUMPRODUCT(MAX(ROW(E$1:E4252)*(E4253=E$1:E4252)))))</f>
        <v> </v>
      </c>
      <c r="L4253" s="26"/>
    </row>
    <row r="4254" spans="1:12">
      <c r="A4254" s="20" t="s">
        <v>1128</v>
      </c>
      <c r="E4254" s="21">
        <f>IF(D4254="?OLD","!!!","")</f>
        <v/>
      </c>
      <c r="F4254" s="22" t="str">
        <f>IF(OR(E4254="",E4254="!!!"),"",IF(NOT(ISNA(VLOOKUP(E4254,E$1:E4253,1,FALSE()))),"OLD",IF(AND(E4254&lt;&gt;"",E4254&lt;&gt;"!!!"),"NEW","")))</f>
        <v> </v>
      </c>
      <c r="G4254" s="23" t="str">
        <f>IF(OR(E4254="",E4254="!!!"),"",IF(OR(J4254=0,AND(J4254=1,K4254=1),AND(J4254=1,I4254="SBJ"),AND(J4254=1,I4254=0)),"?IN_FOCUS",IF(J4254&lt;=2,"?ACTIVATED",IF(J4254&lt;&gt;"","?FAMILIAR",IF(F4254="NEW",IF(ISNA(VLOOKUP(E4254,#REF!,1,FALSE())),"?TYPE_IDENTIFIABLE","?REFERENTIAL"),"_")))))</f>
        <v> </v>
      </c>
      <c r="H4254" s="24" t="str">
        <f>IF(J4254&lt;&gt;1,"",IF(I4254="SBJ","CB","?"))</f>
        <v> </v>
      </c>
      <c r="I4254" s="25" t="str">
        <f>IF(OR(E4254="",E4254="!!!",F4254="NEW"),"",INDEX(B4253:B$2,-1+SUMPRODUCT(MAX(ROW(E4253:E$2)*(E4254=E4253:E$2)))))</f>
        <v> </v>
      </c>
      <c r="J4254" s="25" t="str">
        <f>IF(OR(E4254="",E4254="!!!",F4254="NEW"),"",COUNTBLANK(OFFSET(A$1,,,SUMPRODUCT(MAX(ROW(E$2:E4254)*(E4254=E$2:E4254)))))-COUNTBLANK(OFFSET(A$1,,,SUMPRODUCT(MAX(ROW(E$1:E4253)*(E2=E$1:E4253))))))</f>
        <v> </v>
      </c>
      <c r="K4254" s="25" t="str">
        <f>IF(OR(E4254="",E4254="!!!",F4254="NEW"),"",INDEX(J$1:J4253,SUMPRODUCT(MAX(ROW(E$1:E4253)*(E4254=E$1:E4253)))))</f>
        <v> </v>
      </c>
      <c r="L4254" s="26"/>
    </row>
    <row r="4255" spans="1:12">
      <c r="A4255" s="20" t="s">
        <v>2638</v>
      </c>
      <c r="E4255" s="21">
        <f>IF(D4255="?OLD","!!!","")</f>
        <v/>
      </c>
      <c r="F4255" s="22" t="str">
        <f>IF(OR(E4255="",E4255="!!!"),"",IF(NOT(ISNA(VLOOKUP(E4255,E$1:E4254,1,FALSE()))),"OLD",IF(AND(E4255&lt;&gt;"",E4255&lt;&gt;"!!!"),"NEW","")))</f>
        <v> </v>
      </c>
      <c r="G4255" s="23" t="str">
        <f>IF(OR(E4255="",E4255="!!!"),"",IF(OR(J4255=0,AND(J4255=1,K4255=1),AND(J4255=1,I4255="SBJ"),AND(J4255=1,I4255=0)),"?IN_FOCUS",IF(J4255&lt;=2,"?ACTIVATED",IF(J4255&lt;&gt;"","?FAMILIAR",IF(F4255="NEW",IF(ISNA(VLOOKUP(E4255,#REF!,1,FALSE())),"?TYPE_IDENTIFIABLE","?REFERENTIAL"),"_")))))</f>
        <v> </v>
      </c>
      <c r="H4255" s="24" t="str">
        <f>IF(J4255&lt;&gt;1,"",IF(I4255="SBJ","CB","?"))</f>
        <v> </v>
      </c>
      <c r="I4255" s="25" t="str">
        <f>IF(OR(E4255="",E4255="!!!",F4255="NEW"),"",INDEX(B4254:B$2,-1+SUMPRODUCT(MAX(ROW(E4254:E$2)*(E4255=E4254:E$2)))))</f>
        <v> </v>
      </c>
      <c r="J4255" s="25" t="str">
        <f>IF(OR(E4255="",E4255="!!!",F4255="NEW"),"",COUNTBLANK(OFFSET(A$1,,,SUMPRODUCT(MAX(ROW(E$2:E4255)*(E4255=E$2:E4255)))))-COUNTBLANK(OFFSET(A$1,,,SUMPRODUCT(MAX(ROW(E$1:E4254)*(E2=E$1:E4254))))))</f>
        <v> </v>
      </c>
      <c r="K4255" s="25" t="str">
        <f>IF(OR(E4255="",E4255="!!!",F4255="NEW"),"",INDEX(J$1:J4254,SUMPRODUCT(MAX(ROW(E$1:E4254)*(E4255=E$1:E4254)))))</f>
        <v> </v>
      </c>
      <c r="L4255" s="26"/>
    </row>
    <row r="4256" spans="1:12">
      <c r="A4256" s="20" t="s">
        <v>2938</v>
      </c>
      <c r="E4256" s="21">
        <f>IF(D4256="?OLD","!!!","")</f>
        <v/>
      </c>
      <c r="F4256" s="22" t="str">
        <f>IF(OR(E4256="",E4256="!!!"),"",IF(NOT(ISNA(VLOOKUP(E4256,E$1:E4255,1,FALSE()))),"OLD",IF(AND(E4256&lt;&gt;"",E4256&lt;&gt;"!!!"),"NEW","")))</f>
        <v> </v>
      </c>
      <c r="G4256" s="23" t="str">
        <f>IF(OR(E4256="",E4256="!!!"),"",IF(OR(J4256=0,AND(J4256=1,K4256=1),AND(J4256=1,I4256="SBJ"),AND(J4256=1,I4256=0)),"?IN_FOCUS",IF(J4256&lt;=2,"?ACTIVATED",IF(J4256&lt;&gt;"","?FAMILIAR",IF(F4256="NEW",IF(ISNA(VLOOKUP(E4256,#REF!,1,FALSE())),"?TYPE_IDENTIFIABLE","?REFERENTIAL"),"_")))))</f>
        <v> </v>
      </c>
      <c r="H4256" s="24" t="str">
        <f>IF(J4256&lt;&gt;1,"",IF(I4256="SBJ","CB","?"))</f>
        <v> </v>
      </c>
      <c r="I4256" s="25" t="str">
        <f>IF(OR(E4256="",E4256="!!!",F4256="NEW"),"",INDEX(B4255:B$2,-1+SUMPRODUCT(MAX(ROW(E4255:E$2)*(E4256=E4255:E$2)))))</f>
        <v> </v>
      </c>
      <c r="J4256" s="25" t="str">
        <f>IF(OR(E4256="",E4256="!!!",F4256="NEW"),"",COUNTBLANK(OFFSET(A$1,,,SUMPRODUCT(MAX(ROW(E$2:E4256)*(E4256=E$2:E4256)))))-COUNTBLANK(OFFSET(A$1,,,SUMPRODUCT(MAX(ROW(E$1:E4255)*(E2=E$1:E4255))))))</f>
        <v> </v>
      </c>
      <c r="K4256" s="25" t="str">
        <f>IF(OR(E4256="",E4256="!!!",F4256="NEW"),"",INDEX(J$1:J4255,SUMPRODUCT(MAX(ROW(E$1:E4255)*(E4256=E$1:E4255)))))</f>
        <v> </v>
      </c>
      <c r="L4256" s="26"/>
    </row>
    <row r="4257" spans="1:12">
      <c r="A4257" s="20" t="s">
        <v>2991</v>
      </c>
      <c r="B4257" s="27" t="s">
        <v>1213</v>
      </c>
      <c r="E4257" s="21">
        <f>IF(D4257="?OLD","!!!","")</f>
        <v/>
      </c>
      <c r="F4257" s="22" t="str">
        <f>IF(OR(E4257="",E4257="!!!"),"",IF(NOT(ISNA(VLOOKUP(E4257,E$1:E4256,1,FALSE()))),"OLD",IF(AND(E4257&lt;&gt;"",E4257&lt;&gt;"!!!"),"NEW","")))</f>
        <v> </v>
      </c>
      <c r="G4257" s="23" t="str">
        <f>IF(OR(E4257="",E4257="!!!"),"",IF(OR(J4257=0,AND(J4257=1,K4257=1),AND(J4257=1,I4257="SBJ"),AND(J4257=1,I4257=0)),"?IN_FOCUS",IF(J4257&lt;=2,"?ACTIVATED",IF(J4257&lt;&gt;"","?FAMILIAR",IF(F4257="NEW",IF(ISNA(VLOOKUP(E4257,#REF!,1,FALSE())),"?TYPE_IDENTIFIABLE","?REFERENTIAL"),"_")))))</f>
        <v> </v>
      </c>
      <c r="H4257" s="24" t="str">
        <f>IF(J4257&lt;&gt;1,"",IF(I4257="SBJ","CB","?"))</f>
        <v> </v>
      </c>
      <c r="I4257" s="25" t="str">
        <f>IF(OR(E4257="",E4257="!!!",F4257="NEW"),"",INDEX(B4256:B$2,-1+SUMPRODUCT(MAX(ROW(E4256:E$2)*(E4257=E4256:E$2)))))</f>
        <v> </v>
      </c>
      <c r="J4257" s="25" t="str">
        <f>IF(OR(E4257="",E4257="!!!",F4257="NEW"),"",COUNTBLANK(OFFSET(A$1,,,SUMPRODUCT(MAX(ROW(E$2:E4257)*(E4257=E$2:E4257)))))-COUNTBLANK(OFFSET(A$1,,,SUMPRODUCT(MAX(ROW(E$1:E4256)*(E2=E$1:E4256))))))</f>
        <v> </v>
      </c>
      <c r="K4257" s="25" t="str">
        <f>IF(OR(E4257="",E4257="!!!",F4257="NEW"),"",INDEX(J$1:J4256,SUMPRODUCT(MAX(ROW(E$1:E4256)*(E4257=E$1:E4256)))))</f>
        <v> </v>
      </c>
      <c r="L4257" s="26"/>
    </row>
    <row r="4258" spans="1:12">
      <c r="A4258" s="20" t="s">
        <v>1145</v>
      </c>
      <c r="E4258" s="21">
        <f>IF(D4258="?OLD","!!!","")</f>
        <v/>
      </c>
      <c r="F4258" s="22" t="str">
        <f>IF(OR(E4258="",E4258="!!!"),"",IF(NOT(ISNA(VLOOKUP(E4258,E$1:E4257,1,FALSE()))),"OLD",IF(AND(E4258&lt;&gt;"",E4258&lt;&gt;"!!!"),"NEW","")))</f>
        <v> </v>
      </c>
      <c r="G4258" s="23" t="str">
        <f>IF(OR(E4258="",E4258="!!!"),"",IF(OR(J4258=0,AND(J4258=1,K4258=1),AND(J4258=1,I4258="SBJ"),AND(J4258=1,I4258=0)),"?IN_FOCUS",IF(J4258&lt;=2,"?ACTIVATED",IF(J4258&lt;&gt;"","?FAMILIAR",IF(F4258="NEW",IF(ISNA(VLOOKUP(E4258,#REF!,1,FALSE())),"?TYPE_IDENTIFIABLE","?REFERENTIAL"),"_")))))</f>
        <v> </v>
      </c>
      <c r="H4258" s="24" t="str">
        <f>IF(J4258&lt;&gt;1,"",IF(I4258="SBJ","CB","?"))</f>
        <v> </v>
      </c>
      <c r="I4258" s="25" t="str">
        <f>IF(OR(E4258="",E4258="!!!",F4258="NEW"),"",INDEX(B4257:B$2,-1+SUMPRODUCT(MAX(ROW(E4257:E$2)*(E4258=E4257:E$2)))))</f>
        <v> </v>
      </c>
      <c r="J4258" s="25" t="str">
        <f>IF(OR(E4258="",E4258="!!!",F4258="NEW"),"",COUNTBLANK(OFFSET(A$1,,,SUMPRODUCT(MAX(ROW(E$2:E4258)*(E4258=E$2:E4258)))))-COUNTBLANK(OFFSET(A$1,,,SUMPRODUCT(MAX(ROW(E$1:E4257)*(E2=E$1:E4257))))))</f>
        <v> </v>
      </c>
      <c r="K4258" s="25" t="str">
        <f>IF(OR(E4258="",E4258="!!!",F4258="NEW"),"",INDEX(J$1:J4257,SUMPRODUCT(MAX(ROW(E$1:E4257)*(E4258=E$1:E4257)))))</f>
        <v> </v>
      </c>
      <c r="L4258" s="26"/>
    </row>
    <row r="4259" spans="1:12">
      <c r="A4259" s="20"/>
    </row>
    <row r="4260" spans="1:12">
      <c r="A4260" s="20" t="s">
        <v>2992</v>
      </c>
    </row>
    <row r="4261" spans="1:12">
      <c r="A4261" s="20" t="s">
        <v>2993</v>
      </c>
      <c r="E4261" s="21">
        <f>IF(D4261="?OLD","!!!","")</f>
        <v/>
      </c>
      <c r="F4261" s="22" t="str">
        <f>IF(OR(E4261="",E4261="!!!"),"",IF(NOT(ISNA(VLOOKUP(E4261,E$1:E4260,1,FALSE()))),"OLD",IF(AND(E4261&lt;&gt;"",E4261&lt;&gt;"!!!"),"NEW","")))</f>
        <v> </v>
      </c>
      <c r="G4261" s="23" t="str">
        <f>IF(OR(E4261="",E4261="!!!"),"",IF(OR(J4261=0,AND(J4261=1,K4261=1),AND(J4261=1,I4261="SBJ"),AND(J4261=1,I4261=0)),"?IN_FOCUS",IF(J4261&lt;=2,"?ACTIVATED",IF(J4261&lt;&gt;"","?FAMILIAR",IF(F4261="NEW",IF(ISNA(VLOOKUP(E4261,#REF!,1,FALSE())),"?TYPE_IDENTIFIABLE","?REFERENTIAL"),"_")))))</f>
        <v> </v>
      </c>
      <c r="H4261" s="24" t="str">
        <f>IF(J4261&lt;&gt;1,"",IF(I4261="SBJ","CB","?"))</f>
        <v> </v>
      </c>
      <c r="I4261" s="25" t="str">
        <f>IF(OR(E4261="",E4261="!!!",F4261="NEW"),"",INDEX(B4260:B$2,-1+SUMPRODUCT(MAX(ROW(E4260:E$2)*(E4261=E4260:E$2)))))</f>
        <v> </v>
      </c>
      <c r="J4261" s="25" t="str">
        <f>IF(OR(E4261="",E4261="!!!",F4261="NEW"),"",COUNTBLANK(OFFSET(A$1,,,SUMPRODUCT(MAX(ROW(E$2:E4261)*(E4261=E$2:E4261)))))-COUNTBLANK(OFFSET(A$1,,,SUMPRODUCT(MAX(ROW(E$1:E4260)*(E2=E$1:E4260))))))</f>
        <v> </v>
      </c>
      <c r="K4261" s="25" t="str">
        <f>IF(OR(E4261="",E4261="!!!",F4261="NEW"),"",INDEX(J$1:J4260,SUMPRODUCT(MAX(ROW(E$1:E4260)*(E4261=E$1:E4260)))))</f>
        <v> </v>
      </c>
      <c r="L4261" s="26"/>
    </row>
    <row r="4262" spans="1:12">
      <c r="A4262" s="20" t="s">
        <v>2994</v>
      </c>
      <c r="E4262" s="21">
        <f>IF(D4262="?OLD","!!!","")</f>
        <v/>
      </c>
      <c r="F4262" s="22" t="str">
        <f>IF(OR(E4262="",E4262="!!!"),"",IF(NOT(ISNA(VLOOKUP(E4262,E$1:E4261,1,FALSE()))),"OLD",IF(AND(E4262&lt;&gt;"",E4262&lt;&gt;"!!!"),"NEW","")))</f>
        <v> </v>
      </c>
      <c r="G4262" s="23" t="str">
        <f>IF(OR(E4262="",E4262="!!!"),"",IF(OR(J4262=0,AND(J4262=1,K4262=1),AND(J4262=1,I4262="SBJ"),AND(J4262=1,I4262=0)),"?IN_FOCUS",IF(J4262&lt;=2,"?ACTIVATED",IF(J4262&lt;&gt;"","?FAMILIAR",IF(F4262="NEW",IF(ISNA(VLOOKUP(E4262,#REF!,1,FALSE())),"?TYPE_IDENTIFIABLE","?REFERENTIAL"),"_")))))</f>
        <v> </v>
      </c>
      <c r="H4262" s="24" t="str">
        <f>IF(J4262&lt;&gt;1,"",IF(I4262="SBJ","CB","?"))</f>
        <v> </v>
      </c>
      <c r="I4262" s="25" t="str">
        <f>IF(OR(E4262="",E4262="!!!",F4262="NEW"),"",INDEX(B4261:B$2,-1+SUMPRODUCT(MAX(ROW(E4261:E$2)*(E4262=E4261:E$2)))))</f>
        <v> </v>
      </c>
      <c r="J4262" s="25" t="str">
        <f>IF(OR(E4262="",E4262="!!!",F4262="NEW"),"",COUNTBLANK(OFFSET(A$1,,,SUMPRODUCT(MAX(ROW(E$2:E4262)*(E4262=E$2:E4262)))))-COUNTBLANK(OFFSET(A$1,,,SUMPRODUCT(MAX(ROW(E$1:E4261)*(E2=E$1:E4261))))))</f>
        <v> </v>
      </c>
      <c r="K4262" s="25" t="str">
        <f>IF(OR(E4262="",E4262="!!!",F4262="NEW"),"",INDEX(J$1:J4261,SUMPRODUCT(MAX(ROW(E$1:E4261)*(E4262=E$1:E4261)))))</f>
        <v> </v>
      </c>
      <c r="L4262" s="26"/>
    </row>
    <row r="4263" spans="1:12">
      <c r="A4263" s="20" t="s">
        <v>2995</v>
      </c>
      <c r="E4263" s="21">
        <f>IF(D4263="?OLD","!!!","")</f>
        <v/>
      </c>
      <c r="F4263" s="22" t="str">
        <f>IF(OR(E4263="",E4263="!!!"),"",IF(NOT(ISNA(VLOOKUP(E4263,E$1:E4262,1,FALSE()))),"OLD",IF(AND(E4263&lt;&gt;"",E4263&lt;&gt;"!!!"),"NEW","")))</f>
        <v> </v>
      </c>
      <c r="G4263" s="23" t="str">
        <f>IF(OR(E4263="",E4263="!!!"),"",IF(OR(J4263=0,AND(J4263=1,K4263=1),AND(J4263=1,I4263="SBJ"),AND(J4263=1,I4263=0)),"?IN_FOCUS",IF(J4263&lt;=2,"?ACTIVATED",IF(J4263&lt;&gt;"","?FAMILIAR",IF(F4263="NEW",IF(ISNA(VLOOKUP(E4263,#REF!,1,FALSE())),"?TYPE_IDENTIFIABLE","?REFERENTIAL"),"_")))))</f>
        <v> </v>
      </c>
      <c r="H4263" s="24" t="str">
        <f>IF(J4263&lt;&gt;1,"",IF(I4263="SBJ","CB","?"))</f>
        <v> </v>
      </c>
      <c r="I4263" s="25" t="str">
        <f>IF(OR(E4263="",E4263="!!!",F4263="NEW"),"",INDEX(B4262:B$2,-1+SUMPRODUCT(MAX(ROW(E4262:E$2)*(E4263=E4262:E$2)))))</f>
        <v> </v>
      </c>
      <c r="J4263" s="25" t="str">
        <f>IF(OR(E4263="",E4263="!!!",F4263="NEW"),"",COUNTBLANK(OFFSET(A$1,,,SUMPRODUCT(MAX(ROW(E$2:E4263)*(E4263=E$2:E4263)))))-COUNTBLANK(OFFSET(A$1,,,SUMPRODUCT(MAX(ROW(E$1:E4262)*(E2=E$1:E4262))))))</f>
        <v> </v>
      </c>
      <c r="K4263" s="25" t="str">
        <f>IF(OR(E4263="",E4263="!!!",F4263="NEW"),"",INDEX(J$1:J4262,SUMPRODUCT(MAX(ROW(E$1:E4262)*(E4263=E$1:E4262)))))</f>
        <v> </v>
      </c>
      <c r="L4263" s="26"/>
    </row>
    <row r="4264" spans="1:12">
      <c r="A4264" s="20" t="s">
        <v>2996</v>
      </c>
      <c r="B4264" s="27" t="s">
        <v>1149</v>
      </c>
      <c r="E4264" s="21">
        <f>IF(D4264="?OLD","!!!","")</f>
        <v/>
      </c>
      <c r="F4264" s="22" t="str">
        <f>IF(OR(E4264="",E4264="!!!"),"",IF(NOT(ISNA(VLOOKUP(E4264,E$1:E4263,1,FALSE()))),"OLD",IF(AND(E4264&lt;&gt;"",E4264&lt;&gt;"!!!"),"NEW","")))</f>
        <v> </v>
      </c>
      <c r="G4264" s="23" t="str">
        <f>IF(OR(E4264="",E4264="!!!"),"",IF(OR(J4264=0,AND(J4264=1,K4264=1),AND(J4264=1,I4264="SBJ"),AND(J4264=1,I4264=0)),"?IN_FOCUS",IF(J4264&lt;=2,"?ACTIVATED",IF(J4264&lt;&gt;"","?FAMILIAR",IF(F4264="NEW",IF(ISNA(VLOOKUP(E4264,#REF!,1,FALSE())),"?TYPE_IDENTIFIABLE","?REFERENTIAL"),"_")))))</f>
        <v> </v>
      </c>
      <c r="H4264" s="24" t="str">
        <f>IF(J4264&lt;&gt;1,"",IF(I4264="SBJ","CB","?"))</f>
        <v> </v>
      </c>
      <c r="I4264" s="25" t="str">
        <f>IF(OR(E4264="",E4264="!!!",F4264="NEW"),"",INDEX(B4263:B$2,-1+SUMPRODUCT(MAX(ROW(E4263:E$2)*(E4264=E4263:E$2)))))</f>
        <v> </v>
      </c>
      <c r="J4264" s="25" t="str">
        <f>IF(OR(E4264="",E4264="!!!",F4264="NEW"),"",COUNTBLANK(OFFSET(A$1,,,SUMPRODUCT(MAX(ROW(E$2:E4264)*(E4264=E$2:E4264)))))-COUNTBLANK(OFFSET(A$1,,,SUMPRODUCT(MAX(ROW(E$1:E4263)*(E2=E$1:E4263))))))</f>
        <v> </v>
      </c>
      <c r="K4264" s="25" t="str">
        <f>IF(OR(E4264="",E4264="!!!",F4264="NEW"),"",INDEX(J$1:J4263,SUMPRODUCT(MAX(ROW(E$1:E4263)*(E4264=E$1:E4263)))))</f>
        <v> </v>
      </c>
      <c r="L4264" s="26"/>
    </row>
    <row r="4265" spans="1:12">
      <c r="A4265" s="20" t="s">
        <v>2008</v>
      </c>
      <c r="E4265" s="21">
        <f>IF(D4265="?OLD","!!!","")</f>
        <v/>
      </c>
      <c r="F4265" s="22" t="str">
        <f>IF(OR(E4265="",E4265="!!!"),"",IF(NOT(ISNA(VLOOKUP(E4265,E$1:E4264,1,FALSE()))),"OLD",IF(AND(E4265&lt;&gt;"",E4265&lt;&gt;"!!!"),"NEW","")))</f>
        <v> </v>
      </c>
      <c r="G4265" s="23" t="str">
        <f>IF(OR(E4265="",E4265="!!!"),"",IF(OR(J4265=0,AND(J4265=1,K4265=1),AND(J4265=1,I4265="SBJ"),AND(J4265=1,I4265=0)),"?IN_FOCUS",IF(J4265&lt;=2,"?ACTIVATED",IF(J4265&lt;&gt;"","?FAMILIAR",IF(F4265="NEW",IF(ISNA(VLOOKUP(E4265,#REF!,1,FALSE())),"?TYPE_IDENTIFIABLE","?REFERENTIAL"),"_")))))</f>
        <v> </v>
      </c>
      <c r="H4265" s="24" t="str">
        <f>IF(J4265&lt;&gt;1,"",IF(I4265="SBJ","CB","?"))</f>
        <v> </v>
      </c>
      <c r="I4265" s="25" t="str">
        <f>IF(OR(E4265="",E4265="!!!",F4265="NEW"),"",INDEX(B4264:B$2,-1+SUMPRODUCT(MAX(ROW(E4264:E$2)*(E4265=E4264:E$2)))))</f>
        <v> </v>
      </c>
      <c r="J4265" s="25" t="str">
        <f>IF(OR(E4265="",E4265="!!!",F4265="NEW"),"",COUNTBLANK(OFFSET(A$1,,,SUMPRODUCT(MAX(ROW(E$2:E4265)*(E4265=E$2:E4265)))))-COUNTBLANK(OFFSET(A$1,,,SUMPRODUCT(MAX(ROW(E$1:E4264)*(E2=E$1:E4264))))))</f>
        <v> </v>
      </c>
      <c r="K4265" s="25" t="str">
        <f>IF(OR(E4265="",E4265="!!!",F4265="NEW"),"",INDEX(J$1:J4264,SUMPRODUCT(MAX(ROW(E$1:E4264)*(E4265=E$1:E4264)))))</f>
        <v> </v>
      </c>
      <c r="L4265" s="26"/>
    </row>
    <row r="4266" spans="1:12">
      <c r="A4266" s="20" t="s">
        <v>1130</v>
      </c>
      <c r="E4266" s="21">
        <f>IF(D4266="?OLD","!!!","")</f>
        <v/>
      </c>
      <c r="F4266" s="22" t="str">
        <f>IF(OR(E4266="",E4266="!!!"),"",IF(NOT(ISNA(VLOOKUP(E4266,E$1:E4265,1,FALSE()))),"OLD",IF(AND(E4266&lt;&gt;"",E4266&lt;&gt;"!!!"),"NEW","")))</f>
        <v> </v>
      </c>
      <c r="G4266" s="23" t="str">
        <f>IF(OR(E4266="",E4266="!!!"),"",IF(OR(J4266=0,AND(J4266=1,K4266=1),AND(J4266=1,I4266="SBJ"),AND(J4266=1,I4266=0)),"?IN_FOCUS",IF(J4266&lt;=2,"?ACTIVATED",IF(J4266&lt;&gt;"","?FAMILIAR",IF(F4266="NEW",IF(ISNA(VLOOKUP(E4266,#REF!,1,FALSE())),"?TYPE_IDENTIFIABLE","?REFERENTIAL"),"_")))))</f>
        <v> </v>
      </c>
      <c r="H4266" s="24" t="str">
        <f>IF(J4266&lt;&gt;1,"",IF(I4266="SBJ","CB","?"))</f>
        <v> </v>
      </c>
      <c r="I4266" s="25" t="str">
        <f>IF(OR(E4266="",E4266="!!!",F4266="NEW"),"",INDEX(B4265:B$2,-1+SUMPRODUCT(MAX(ROW(E4265:E$2)*(E4266=E4265:E$2)))))</f>
        <v> </v>
      </c>
      <c r="J4266" s="25" t="str">
        <f>IF(OR(E4266="",E4266="!!!",F4266="NEW"),"",COUNTBLANK(OFFSET(A$1,,,SUMPRODUCT(MAX(ROW(E$2:E4266)*(E4266=E$2:E4266)))))-COUNTBLANK(OFFSET(A$1,,,SUMPRODUCT(MAX(ROW(E$1:E4265)*(E2=E$1:E4265))))))</f>
        <v> </v>
      </c>
      <c r="K4266" s="25" t="str">
        <f>IF(OR(E4266="",E4266="!!!",F4266="NEW"),"",INDEX(J$1:J4265,SUMPRODUCT(MAX(ROW(E$1:E4265)*(E4266=E$1:E4265)))))</f>
        <v> </v>
      </c>
      <c r="L4266" s="26"/>
    </row>
    <row r="4267" spans="1:12">
      <c r="A4267" s="20" t="s">
        <v>2997</v>
      </c>
      <c r="E4267" s="21">
        <f>IF(D4267="?OLD","!!!","")</f>
        <v/>
      </c>
      <c r="F4267" s="22" t="str">
        <f>IF(OR(E4267="",E4267="!!!"),"",IF(NOT(ISNA(VLOOKUP(E4267,E$1:E4266,1,FALSE()))),"OLD",IF(AND(E4267&lt;&gt;"",E4267&lt;&gt;"!!!"),"NEW","")))</f>
        <v> </v>
      </c>
      <c r="G4267" s="23" t="str">
        <f>IF(OR(E4267="",E4267="!!!"),"",IF(OR(J4267=0,AND(J4267=1,K4267=1),AND(J4267=1,I4267="SBJ"),AND(J4267=1,I4267=0)),"?IN_FOCUS",IF(J4267&lt;=2,"?ACTIVATED",IF(J4267&lt;&gt;"","?FAMILIAR",IF(F4267="NEW",IF(ISNA(VLOOKUP(E4267,#REF!,1,FALSE())),"?TYPE_IDENTIFIABLE","?REFERENTIAL"),"_")))))</f>
        <v> </v>
      </c>
      <c r="H4267" s="24" t="str">
        <f>IF(J4267&lt;&gt;1,"",IF(I4267="SBJ","CB","?"))</f>
        <v> </v>
      </c>
      <c r="I4267" s="25" t="str">
        <f>IF(OR(E4267="",E4267="!!!",F4267="NEW"),"",INDEX(B4266:B$2,-1+SUMPRODUCT(MAX(ROW(E4266:E$2)*(E4267=E4266:E$2)))))</f>
        <v> </v>
      </c>
      <c r="J4267" s="25" t="str">
        <f>IF(OR(E4267="",E4267="!!!",F4267="NEW"),"",COUNTBLANK(OFFSET(A$1,,,SUMPRODUCT(MAX(ROW(E$2:E4267)*(E4267=E$2:E4267)))))-COUNTBLANK(OFFSET(A$1,,,SUMPRODUCT(MAX(ROW(E$1:E4266)*(E2=E$1:E4266))))))</f>
        <v> </v>
      </c>
      <c r="K4267" s="25" t="str">
        <f>IF(OR(E4267="",E4267="!!!",F4267="NEW"),"",INDEX(J$1:J4266,SUMPRODUCT(MAX(ROW(E$1:E4266)*(E4267=E$1:E4266)))))</f>
        <v> </v>
      </c>
      <c r="L4267" s="26"/>
    </row>
    <row r="4268" spans="1:12">
      <c r="A4268" s="20" t="s">
        <v>1249</v>
      </c>
      <c r="E4268" s="21">
        <f>IF(D4268="?OLD","!!!","")</f>
        <v/>
      </c>
      <c r="F4268" s="22" t="str">
        <f>IF(OR(E4268="",E4268="!!!"),"",IF(NOT(ISNA(VLOOKUP(E4268,E$1:E4267,1,FALSE()))),"OLD",IF(AND(E4268&lt;&gt;"",E4268&lt;&gt;"!!!"),"NEW","")))</f>
        <v> </v>
      </c>
      <c r="G4268" s="23" t="str">
        <f>IF(OR(E4268="",E4268="!!!"),"",IF(OR(J4268=0,AND(J4268=1,K4268=1),AND(J4268=1,I4268="SBJ"),AND(J4268=1,I4268=0)),"?IN_FOCUS",IF(J4268&lt;=2,"?ACTIVATED",IF(J4268&lt;&gt;"","?FAMILIAR",IF(F4268="NEW",IF(ISNA(VLOOKUP(E4268,#REF!,1,FALSE())),"?TYPE_IDENTIFIABLE","?REFERENTIAL"),"_")))))</f>
        <v> </v>
      </c>
      <c r="H4268" s="24" t="str">
        <f>IF(J4268&lt;&gt;1,"",IF(I4268="SBJ","CB","?"))</f>
        <v> </v>
      </c>
      <c r="I4268" s="25" t="str">
        <f>IF(OR(E4268="",E4268="!!!",F4268="NEW"),"",INDEX(B4267:B$2,-1+SUMPRODUCT(MAX(ROW(E4267:E$2)*(E4268=E4267:E$2)))))</f>
        <v> </v>
      </c>
      <c r="J4268" s="25" t="str">
        <f>IF(OR(E4268="",E4268="!!!",F4268="NEW"),"",COUNTBLANK(OFFSET(A$1,,,SUMPRODUCT(MAX(ROW(E$2:E4268)*(E4268=E$2:E4268)))))-COUNTBLANK(OFFSET(A$1,,,SUMPRODUCT(MAX(ROW(E$1:E4267)*(E2=E$1:E4267))))))</f>
        <v> </v>
      </c>
      <c r="K4268" s="25" t="str">
        <f>IF(OR(E4268="",E4268="!!!",F4268="NEW"),"",INDEX(J$1:J4267,SUMPRODUCT(MAX(ROW(E$1:E4267)*(E4268=E$1:E4267)))))</f>
        <v> </v>
      </c>
      <c r="L4268" s="26"/>
    </row>
    <row r="4269" spans="1:12">
      <c r="A4269" s="20" t="s">
        <v>2998</v>
      </c>
      <c r="B4269" s="27" t="s">
        <v>1132</v>
      </c>
      <c r="C4269" s="27" t="s">
        <v>1126</v>
      </c>
      <c r="D4269" s="27" t="s">
        <v>1105</v>
      </c>
      <c r="E4269" s="21">
        <f>IF(D4269="?OLD","!!!","")</f>
        <v/>
      </c>
      <c r="F4269" s="22" t="str">
        <f>IF(OR(E4269="",E4269="!!!"),"",IF(NOT(ISNA(VLOOKUP(E4269,E$1:E4268,1,FALSE()))),"OLD",IF(AND(E4269&lt;&gt;"",E4269&lt;&gt;"!!!"),"NEW","")))</f>
        <v> </v>
      </c>
      <c r="G4269" s="23" t="str">
        <f>IF(OR(E4269="",E4269="!!!"),"",IF(OR(J4269=0,AND(J4269=1,K4269=1),AND(J4269=1,I4269="SBJ"),AND(J4269=1,I4269=0)),"?IN_FOCUS",IF(J4269&lt;=2,"?ACTIVATED",IF(J4269&lt;&gt;"","?FAMILIAR",IF(F4269="NEW",IF(ISNA(VLOOKUP(E4269,#REF!,1,FALSE())),"?TYPE_IDENTIFIABLE","?REFERENTIAL"),"_")))))</f>
        <v> </v>
      </c>
      <c r="H4269" s="24" t="str">
        <f>IF(J4269&lt;&gt;1,"",IF(I4269="SBJ","CB","?"))</f>
        <v> </v>
      </c>
      <c r="I4269" s="25" t="str">
        <f>IF(OR(E4269="",E4269="!!!",F4269="NEW"),"",INDEX(B4268:B$2,-1+SUMPRODUCT(MAX(ROW(E4268:E$2)*(E4269=E4268:E$2)))))</f>
        <v> </v>
      </c>
      <c r="J4269" s="25" t="str">
        <f>IF(OR(E4269="",E4269="!!!",F4269="NEW"),"",COUNTBLANK(OFFSET(A$1,,,SUMPRODUCT(MAX(ROW(E$2:E4269)*(E4269=E$2:E4269)))))-COUNTBLANK(OFFSET(A$1,,,SUMPRODUCT(MAX(ROW(E$1:E4268)*(E2=E$1:E4268))))))</f>
        <v> </v>
      </c>
      <c r="K4269" s="25" t="str">
        <f>IF(OR(E4269="",E4269="!!!",F4269="NEW"),"",INDEX(J$1:J4268,SUMPRODUCT(MAX(ROW(E$1:E4268)*(E4269=E$1:E4268)))))</f>
        <v> </v>
      </c>
      <c r="L4269" s="26"/>
    </row>
    <row r="4270" spans="1:12">
      <c r="A4270" s="20" t="s">
        <v>2999</v>
      </c>
      <c r="E4270" s="21">
        <f>IF(D4270="?OLD","!!!","")</f>
        <v/>
      </c>
      <c r="F4270" s="22" t="str">
        <f>IF(OR(E4270="",E4270="!!!"),"",IF(NOT(ISNA(VLOOKUP(E4270,E$1:E4269,1,FALSE()))),"OLD",IF(AND(E4270&lt;&gt;"",E4270&lt;&gt;"!!!"),"NEW","")))</f>
        <v> </v>
      </c>
      <c r="G4270" s="23" t="str">
        <f>IF(OR(E4270="",E4270="!!!"),"",IF(OR(J4270=0,AND(J4270=1,K4270=1),AND(J4270=1,I4270="SBJ"),AND(J4270=1,I4270=0)),"?IN_FOCUS",IF(J4270&lt;=2,"?ACTIVATED",IF(J4270&lt;&gt;"","?FAMILIAR",IF(F4270="NEW",IF(ISNA(VLOOKUP(E4270,#REF!,1,FALSE())),"?TYPE_IDENTIFIABLE","?REFERENTIAL"),"_")))))</f>
        <v> </v>
      </c>
      <c r="H4270" s="24" t="str">
        <f>IF(J4270&lt;&gt;1,"",IF(I4270="SBJ","CB","?"))</f>
        <v> </v>
      </c>
      <c r="I4270" s="25" t="str">
        <f>IF(OR(E4270="",E4270="!!!",F4270="NEW"),"",INDEX(B4269:B$2,-1+SUMPRODUCT(MAX(ROW(E4269:E$2)*(E4270=E4269:E$2)))))</f>
        <v> </v>
      </c>
      <c r="J4270" s="25" t="str">
        <f>IF(OR(E4270="",E4270="!!!",F4270="NEW"),"",COUNTBLANK(OFFSET(A$1,,,SUMPRODUCT(MAX(ROW(E$2:E4270)*(E4270=E$2:E4270)))))-COUNTBLANK(OFFSET(A$1,,,SUMPRODUCT(MAX(ROW(E$1:E4269)*(E2=E$1:E4269))))))</f>
        <v> </v>
      </c>
      <c r="K4270" s="25" t="str">
        <f>IF(OR(E4270="",E4270="!!!",F4270="NEW"),"",INDEX(J$1:J4269,SUMPRODUCT(MAX(ROW(E$1:E4269)*(E4270=E$1:E4269)))))</f>
        <v> </v>
      </c>
      <c r="L4270" s="26"/>
    </row>
    <row r="4271" spans="1:12">
      <c r="A4271" s="20" t="s">
        <v>3000</v>
      </c>
      <c r="E4271" s="21">
        <f>IF(D4271="?OLD","!!!","")</f>
        <v/>
      </c>
      <c r="F4271" s="22" t="str">
        <f>IF(OR(E4271="",E4271="!!!"),"",IF(NOT(ISNA(VLOOKUP(E4271,E$1:E4270,1,FALSE()))),"OLD",IF(AND(E4271&lt;&gt;"",E4271&lt;&gt;"!!!"),"NEW","")))</f>
        <v> </v>
      </c>
      <c r="G4271" s="23" t="str">
        <f>IF(OR(E4271="",E4271="!!!"),"",IF(OR(J4271=0,AND(J4271=1,K4271=1),AND(J4271=1,I4271="SBJ"),AND(J4271=1,I4271=0)),"?IN_FOCUS",IF(J4271&lt;=2,"?ACTIVATED",IF(J4271&lt;&gt;"","?FAMILIAR",IF(F4271="NEW",IF(ISNA(VLOOKUP(E4271,#REF!,1,FALSE())),"?TYPE_IDENTIFIABLE","?REFERENTIAL"),"_")))))</f>
        <v> </v>
      </c>
      <c r="H4271" s="24" t="str">
        <f>IF(J4271&lt;&gt;1,"",IF(I4271="SBJ","CB","?"))</f>
        <v> </v>
      </c>
      <c r="I4271" s="25" t="str">
        <f>IF(OR(E4271="",E4271="!!!",F4271="NEW"),"",INDEX(B4270:B$2,-1+SUMPRODUCT(MAX(ROW(E4270:E$2)*(E4271=E4270:E$2)))))</f>
        <v> </v>
      </c>
      <c r="J4271" s="25" t="str">
        <f>IF(OR(E4271="",E4271="!!!",F4271="NEW"),"",COUNTBLANK(OFFSET(A$1,,,SUMPRODUCT(MAX(ROW(E$2:E4271)*(E4271=E$2:E4271)))))-COUNTBLANK(OFFSET(A$1,,,SUMPRODUCT(MAX(ROW(E$1:E4270)*(E2=E$1:E4270))))))</f>
        <v> </v>
      </c>
      <c r="K4271" s="25" t="str">
        <f>IF(OR(E4271="",E4271="!!!",F4271="NEW"),"",INDEX(J$1:J4270,SUMPRODUCT(MAX(ROW(E$1:E4270)*(E4271=E$1:E4270)))))</f>
        <v> </v>
      </c>
      <c r="L4271" s="26"/>
    </row>
    <row r="4272" spans="1:12">
      <c r="A4272" s="20" t="s">
        <v>3001</v>
      </c>
      <c r="E4272" s="21">
        <f>IF(D4272="?OLD","!!!","")</f>
        <v/>
      </c>
      <c r="F4272" s="22" t="str">
        <f>IF(OR(E4272="",E4272="!!!"),"",IF(NOT(ISNA(VLOOKUP(E4272,E$1:E4271,1,FALSE()))),"OLD",IF(AND(E4272&lt;&gt;"",E4272&lt;&gt;"!!!"),"NEW","")))</f>
        <v> </v>
      </c>
      <c r="G4272" s="23" t="str">
        <f>IF(OR(E4272="",E4272="!!!"),"",IF(OR(J4272=0,AND(J4272=1,K4272=1),AND(J4272=1,I4272="SBJ"),AND(J4272=1,I4272=0)),"?IN_FOCUS",IF(J4272&lt;=2,"?ACTIVATED",IF(J4272&lt;&gt;"","?FAMILIAR",IF(F4272="NEW",IF(ISNA(VLOOKUP(E4272,#REF!,1,FALSE())),"?TYPE_IDENTIFIABLE","?REFERENTIAL"),"_")))))</f>
        <v> </v>
      </c>
      <c r="H4272" s="24" t="str">
        <f>IF(J4272&lt;&gt;1,"",IF(I4272="SBJ","CB","?"))</f>
        <v> </v>
      </c>
      <c r="I4272" s="25" t="str">
        <f>IF(OR(E4272="",E4272="!!!",F4272="NEW"),"",INDEX(B4271:B$2,-1+SUMPRODUCT(MAX(ROW(E4271:E$2)*(E4272=E4271:E$2)))))</f>
        <v> </v>
      </c>
      <c r="J4272" s="25" t="str">
        <f>IF(OR(E4272="",E4272="!!!",F4272="NEW"),"",COUNTBLANK(OFFSET(A$1,,,SUMPRODUCT(MAX(ROW(E$2:E4272)*(E4272=E$2:E4272)))))-COUNTBLANK(OFFSET(A$1,,,SUMPRODUCT(MAX(ROW(E$1:E4271)*(E2=E$1:E4271))))))</f>
        <v> </v>
      </c>
      <c r="K4272" s="25" t="str">
        <f>IF(OR(E4272="",E4272="!!!",F4272="NEW"),"",INDEX(J$1:J4271,SUMPRODUCT(MAX(ROW(E$1:E4271)*(E4272=E$1:E4271)))))</f>
        <v> </v>
      </c>
      <c r="L4272" s="26"/>
    </row>
    <row r="4273" spans="1:12">
      <c r="A4273" s="20" t="s">
        <v>1145</v>
      </c>
      <c r="E4273" s="21">
        <f>IF(D4273="?OLD","!!!","")</f>
        <v/>
      </c>
      <c r="F4273" s="22" t="str">
        <f>IF(OR(E4273="",E4273="!!!"),"",IF(NOT(ISNA(VLOOKUP(E4273,E$1:E4272,1,FALSE()))),"OLD",IF(AND(E4273&lt;&gt;"",E4273&lt;&gt;"!!!"),"NEW","")))</f>
        <v> </v>
      </c>
      <c r="G4273" s="23" t="str">
        <f>IF(OR(E4273="",E4273="!!!"),"",IF(OR(J4273=0,AND(J4273=1,K4273=1),AND(J4273=1,I4273="SBJ"),AND(J4273=1,I4273=0)),"?IN_FOCUS",IF(J4273&lt;=2,"?ACTIVATED",IF(J4273&lt;&gt;"","?FAMILIAR",IF(F4273="NEW",IF(ISNA(VLOOKUP(E4273,#REF!,1,FALSE())),"?TYPE_IDENTIFIABLE","?REFERENTIAL"),"_")))))</f>
        <v> </v>
      </c>
      <c r="H4273" s="24" t="str">
        <f>IF(J4273&lt;&gt;1,"",IF(I4273="SBJ","CB","?"))</f>
        <v> </v>
      </c>
      <c r="I4273" s="25" t="str">
        <f>IF(OR(E4273="",E4273="!!!",F4273="NEW"),"",INDEX(B4272:B$2,-1+SUMPRODUCT(MAX(ROW(E4272:E$2)*(E4273=E4272:E$2)))))</f>
        <v> </v>
      </c>
      <c r="J4273" s="25" t="str">
        <f>IF(OR(E4273="",E4273="!!!",F4273="NEW"),"",COUNTBLANK(OFFSET(A$1,,,SUMPRODUCT(MAX(ROW(E$2:E4273)*(E4273=E$2:E4273)))))-COUNTBLANK(OFFSET(A$1,,,SUMPRODUCT(MAX(ROW(E$1:E4272)*(E2=E$1:E4272))))))</f>
        <v> </v>
      </c>
      <c r="K4273" s="25" t="str">
        <f>IF(OR(E4273="",E4273="!!!",F4273="NEW"),"",INDEX(J$1:J4272,SUMPRODUCT(MAX(ROW(E$1:E4272)*(E4273=E$1:E4272)))))</f>
        <v> </v>
      </c>
      <c r="L4273" s="26"/>
    </row>
    <row r="4274" spans="1:12">
      <c r="A4274" s="20"/>
    </row>
    <row r="4275" spans="1:12">
      <c r="A4275" s="20" t="s">
        <v>3002</v>
      </c>
    </row>
    <row r="4276" spans="1:12">
      <c r="A4276" s="20" t="s">
        <v>1111</v>
      </c>
      <c r="E4276" s="21">
        <f>IF(D4276="?OLD","!!!","")</f>
        <v/>
      </c>
      <c r="F4276" s="22" t="str">
        <f>IF(OR(E4276="",E4276="!!!"),"",IF(NOT(ISNA(VLOOKUP(E4276,E$1:E4275,1,FALSE()))),"OLD",IF(AND(E4276&lt;&gt;"",E4276&lt;&gt;"!!!"),"NEW","")))</f>
        <v> </v>
      </c>
      <c r="G4276" s="23" t="str">
        <f>IF(OR(E4276="",E4276="!!!"),"",IF(OR(J4276=0,AND(J4276=1,K4276=1),AND(J4276=1,I4276="SBJ"),AND(J4276=1,I4276=0)),"?IN_FOCUS",IF(J4276&lt;=2,"?ACTIVATED",IF(J4276&lt;&gt;"","?FAMILIAR",IF(F4276="NEW",IF(ISNA(VLOOKUP(E4276,#REF!,1,FALSE())),"?TYPE_IDENTIFIABLE","?REFERENTIAL"),"_")))))</f>
        <v> </v>
      </c>
      <c r="H4276" s="24" t="str">
        <f>IF(J4276&lt;&gt;1,"",IF(I4276="SBJ","CB","?"))</f>
        <v> </v>
      </c>
      <c r="I4276" s="25" t="str">
        <f>IF(OR(E4276="",E4276="!!!",F4276="NEW"),"",INDEX(B4275:B$2,-1+SUMPRODUCT(MAX(ROW(E4275:E$2)*(E4276=E4275:E$2)))))</f>
        <v> </v>
      </c>
      <c r="J4276" s="25" t="str">
        <f>IF(OR(E4276="",E4276="!!!",F4276="NEW"),"",COUNTBLANK(OFFSET(A$1,,,SUMPRODUCT(MAX(ROW(E$2:E4276)*(E4276=E$2:E4276)))))-COUNTBLANK(OFFSET(A$1,,,SUMPRODUCT(MAX(ROW(E$1:E4275)*(E2=E$1:E4275))))))</f>
        <v> </v>
      </c>
      <c r="K4276" s="25" t="str">
        <f>IF(OR(E4276="",E4276="!!!",F4276="NEW"),"",INDEX(J$1:J4275,SUMPRODUCT(MAX(ROW(E$1:E4275)*(E4276=E$1:E4275)))))</f>
        <v> </v>
      </c>
      <c r="L4276" s="26"/>
    </row>
    <row r="4277" spans="1:12">
      <c r="A4277" s="20" t="s">
        <v>2101</v>
      </c>
      <c r="E4277" s="21">
        <f>IF(D4277="?OLD","!!!","")</f>
        <v/>
      </c>
      <c r="F4277" s="22" t="str">
        <f>IF(OR(E4277="",E4277="!!!"),"",IF(NOT(ISNA(VLOOKUP(E4277,E$1:E4276,1,FALSE()))),"OLD",IF(AND(E4277&lt;&gt;"",E4277&lt;&gt;"!!!"),"NEW","")))</f>
        <v> </v>
      </c>
      <c r="G4277" s="23" t="str">
        <f>IF(OR(E4277="",E4277="!!!"),"",IF(OR(J4277=0,AND(J4277=1,K4277=1),AND(J4277=1,I4277="SBJ"),AND(J4277=1,I4277=0)),"?IN_FOCUS",IF(J4277&lt;=2,"?ACTIVATED",IF(J4277&lt;&gt;"","?FAMILIAR",IF(F4277="NEW",IF(ISNA(VLOOKUP(E4277,#REF!,1,FALSE())),"?TYPE_IDENTIFIABLE","?REFERENTIAL"),"_")))))</f>
        <v> </v>
      </c>
      <c r="H4277" s="24" t="str">
        <f>IF(J4277&lt;&gt;1,"",IF(I4277="SBJ","CB","?"))</f>
        <v> </v>
      </c>
      <c r="I4277" s="25" t="str">
        <f>IF(OR(E4277="",E4277="!!!",F4277="NEW"),"",INDEX(B4276:B$2,-1+SUMPRODUCT(MAX(ROW(E4276:E$2)*(E4277=E4276:E$2)))))</f>
        <v> </v>
      </c>
      <c r="J4277" s="25" t="str">
        <f>IF(OR(E4277="",E4277="!!!",F4277="NEW"),"",COUNTBLANK(OFFSET(A$1,,,SUMPRODUCT(MAX(ROW(E$2:E4277)*(E4277=E$2:E4277)))))-COUNTBLANK(OFFSET(A$1,,,SUMPRODUCT(MAX(ROW(E$1:E4276)*(E2=E$1:E4276))))))</f>
        <v> </v>
      </c>
      <c r="K4277" s="25" t="str">
        <f>IF(OR(E4277="",E4277="!!!",F4277="NEW"),"",INDEX(J$1:J4276,SUMPRODUCT(MAX(ROW(E$1:E4276)*(E4277=E$1:E4276)))))</f>
        <v> </v>
      </c>
      <c r="L4277" s="26"/>
    </row>
    <row r="4278" spans="1:12">
      <c r="A4278" s="20" t="s">
        <v>2196</v>
      </c>
      <c r="B4278" s="27" t="s">
        <v>1107</v>
      </c>
      <c r="C4278" s="27" t="s">
        <v>1142</v>
      </c>
      <c r="D4278" s="27" t="s">
        <v>1105</v>
      </c>
      <c r="E4278" s="21">
        <f>IF(D4278="?OLD","!!!","")</f>
        <v/>
      </c>
      <c r="F4278" s="22" t="str">
        <f>IF(OR(E4278="",E4278="!!!"),"",IF(NOT(ISNA(VLOOKUP(E4278,E$1:E4277,1,FALSE()))),"OLD",IF(AND(E4278&lt;&gt;"",E4278&lt;&gt;"!!!"),"NEW","")))</f>
        <v> </v>
      </c>
      <c r="G4278" s="23" t="str">
        <f>IF(OR(E4278="",E4278="!!!"),"",IF(OR(J4278=0,AND(J4278=1,K4278=1),AND(J4278=1,I4278="SBJ"),AND(J4278=1,I4278=0)),"?IN_FOCUS",IF(J4278&lt;=2,"?ACTIVATED",IF(J4278&lt;&gt;"","?FAMILIAR",IF(F4278="NEW",IF(ISNA(VLOOKUP(E4278,#REF!,1,FALSE())),"?TYPE_IDENTIFIABLE","?REFERENTIAL"),"_")))))</f>
        <v> </v>
      </c>
      <c r="H4278" s="24" t="str">
        <f>IF(J4278&lt;&gt;1,"",IF(I4278="SBJ","CB","?"))</f>
        <v> </v>
      </c>
      <c r="I4278" s="25" t="str">
        <f>IF(OR(E4278="",E4278="!!!",F4278="NEW"),"",INDEX(B4277:B$2,-1+SUMPRODUCT(MAX(ROW(E4277:E$2)*(E4278=E4277:E$2)))))</f>
        <v> </v>
      </c>
      <c r="J4278" s="25" t="str">
        <f>IF(OR(E4278="",E4278="!!!",F4278="NEW"),"",COUNTBLANK(OFFSET(A$1,,,SUMPRODUCT(MAX(ROW(E$2:E4278)*(E4278=E$2:E4278)))))-COUNTBLANK(OFFSET(A$1,,,SUMPRODUCT(MAX(ROW(E$1:E4277)*(E2=E$1:E4277))))))</f>
        <v> </v>
      </c>
      <c r="K4278" s="25" t="str">
        <f>IF(OR(E4278="",E4278="!!!",F4278="NEW"),"",INDEX(J$1:J4277,SUMPRODUCT(MAX(ROW(E$1:E4277)*(E4278=E$1:E4277)))))</f>
        <v> </v>
      </c>
      <c r="L4278" s="26"/>
    </row>
    <row r="4279" spans="1:12">
      <c r="A4279" s="20" t="s">
        <v>1351</v>
      </c>
      <c r="E4279" s="21">
        <f>IF(D4279="?OLD","!!!","")</f>
        <v/>
      </c>
      <c r="F4279" s="22" t="str">
        <f>IF(OR(E4279="",E4279="!!!"),"",IF(NOT(ISNA(VLOOKUP(E4279,E$1:E4278,1,FALSE()))),"OLD",IF(AND(E4279&lt;&gt;"",E4279&lt;&gt;"!!!"),"NEW","")))</f>
        <v> </v>
      </c>
      <c r="G4279" s="23" t="str">
        <f>IF(OR(E4279="",E4279="!!!"),"",IF(OR(J4279=0,AND(J4279=1,K4279=1),AND(J4279=1,I4279="SBJ"),AND(J4279=1,I4279=0)),"?IN_FOCUS",IF(J4279&lt;=2,"?ACTIVATED",IF(J4279&lt;&gt;"","?FAMILIAR",IF(F4279="NEW",IF(ISNA(VLOOKUP(E4279,#REF!,1,FALSE())),"?TYPE_IDENTIFIABLE","?REFERENTIAL"),"_")))))</f>
        <v> </v>
      </c>
      <c r="H4279" s="24" t="str">
        <f>IF(J4279&lt;&gt;1,"",IF(I4279="SBJ","CB","?"))</f>
        <v> </v>
      </c>
      <c r="I4279" s="25" t="str">
        <f>IF(OR(E4279="",E4279="!!!",F4279="NEW"),"",INDEX(B4278:B$2,-1+SUMPRODUCT(MAX(ROW(E4278:E$2)*(E4279=E4278:E$2)))))</f>
        <v> </v>
      </c>
      <c r="J4279" s="25" t="str">
        <f>IF(OR(E4279="",E4279="!!!",F4279="NEW"),"",COUNTBLANK(OFFSET(A$1,,,SUMPRODUCT(MAX(ROW(E$2:E4279)*(E4279=E$2:E4279)))))-COUNTBLANK(OFFSET(A$1,,,SUMPRODUCT(MAX(ROW(E$1:E4278)*(E2=E$1:E4278))))))</f>
        <v> </v>
      </c>
      <c r="K4279" s="25" t="str">
        <f>IF(OR(E4279="",E4279="!!!",F4279="NEW"),"",INDEX(J$1:J4278,SUMPRODUCT(MAX(ROW(E$1:E4278)*(E4279=E$1:E4278)))))</f>
        <v> </v>
      </c>
      <c r="L4279" s="26"/>
    </row>
    <row r="4280" spans="1:12">
      <c r="A4280" s="20" t="s">
        <v>1111</v>
      </c>
      <c r="E4280" s="21">
        <f>IF(D4280="?OLD","!!!","")</f>
        <v/>
      </c>
      <c r="F4280" s="22" t="str">
        <f>IF(OR(E4280="",E4280="!!!"),"",IF(NOT(ISNA(VLOOKUP(E4280,E$1:E4279,1,FALSE()))),"OLD",IF(AND(E4280&lt;&gt;"",E4280&lt;&gt;"!!!"),"NEW","")))</f>
        <v> </v>
      </c>
      <c r="G4280" s="23" t="str">
        <f>IF(OR(E4280="",E4280="!!!"),"",IF(OR(J4280=0,AND(J4280=1,K4280=1),AND(J4280=1,I4280="SBJ"),AND(J4280=1,I4280=0)),"?IN_FOCUS",IF(J4280&lt;=2,"?ACTIVATED",IF(J4280&lt;&gt;"","?FAMILIAR",IF(F4280="NEW",IF(ISNA(VLOOKUP(E4280,#REF!,1,FALSE())),"?TYPE_IDENTIFIABLE","?REFERENTIAL"),"_")))))</f>
        <v> </v>
      </c>
      <c r="H4280" s="24" t="str">
        <f>IF(J4280&lt;&gt;1,"",IF(I4280="SBJ","CB","?"))</f>
        <v> </v>
      </c>
      <c r="I4280" s="25" t="str">
        <f>IF(OR(E4280="",E4280="!!!",F4280="NEW"),"",INDEX(B4279:B$2,-1+SUMPRODUCT(MAX(ROW(E4279:E$2)*(E4280=E4279:E$2)))))</f>
        <v> </v>
      </c>
      <c r="J4280" s="25" t="str">
        <f>IF(OR(E4280="",E4280="!!!",F4280="NEW"),"",COUNTBLANK(OFFSET(A$1,,,SUMPRODUCT(MAX(ROW(E$2:E4280)*(E4280=E$2:E4280)))))-COUNTBLANK(OFFSET(A$1,,,SUMPRODUCT(MAX(ROW(E$1:E4279)*(E2=E$1:E4279))))))</f>
        <v> </v>
      </c>
      <c r="K4280" s="25" t="str">
        <f>IF(OR(E4280="",E4280="!!!",F4280="NEW"),"",INDEX(J$1:J4279,SUMPRODUCT(MAX(ROW(E$1:E4279)*(E4280=E$1:E4279)))))</f>
        <v> </v>
      </c>
      <c r="L4280" s="26"/>
    </row>
    <row r="4281" spans="1:12">
      <c r="A4281" s="20" t="s">
        <v>3003</v>
      </c>
      <c r="E4281" s="21">
        <f>IF(D4281="?OLD","!!!","")</f>
        <v/>
      </c>
      <c r="F4281" s="22" t="str">
        <f>IF(OR(E4281="",E4281="!!!"),"",IF(NOT(ISNA(VLOOKUP(E4281,E$1:E4280,1,FALSE()))),"OLD",IF(AND(E4281&lt;&gt;"",E4281&lt;&gt;"!!!"),"NEW","")))</f>
        <v> </v>
      </c>
      <c r="G4281" s="23" t="str">
        <f>IF(OR(E4281="",E4281="!!!"),"",IF(OR(J4281=0,AND(J4281=1,K4281=1),AND(J4281=1,I4281="SBJ"),AND(J4281=1,I4281=0)),"?IN_FOCUS",IF(J4281&lt;=2,"?ACTIVATED",IF(J4281&lt;&gt;"","?FAMILIAR",IF(F4281="NEW",IF(ISNA(VLOOKUP(E4281,#REF!,1,FALSE())),"?TYPE_IDENTIFIABLE","?REFERENTIAL"),"_")))))</f>
        <v> </v>
      </c>
      <c r="H4281" s="24" t="str">
        <f>IF(J4281&lt;&gt;1,"",IF(I4281="SBJ","CB","?"))</f>
        <v> </v>
      </c>
      <c r="I4281" s="25" t="str">
        <f>IF(OR(E4281="",E4281="!!!",F4281="NEW"),"",INDEX(B4280:B$2,-1+SUMPRODUCT(MAX(ROW(E4280:E$2)*(E4281=E4280:E$2)))))</f>
        <v> </v>
      </c>
      <c r="J4281" s="25" t="str">
        <f>IF(OR(E4281="",E4281="!!!",F4281="NEW"),"",COUNTBLANK(OFFSET(A$1,,,SUMPRODUCT(MAX(ROW(E$2:E4281)*(E4281=E$2:E4281)))))-COUNTBLANK(OFFSET(A$1,,,SUMPRODUCT(MAX(ROW(E$1:E4280)*(E2=E$1:E4280))))))</f>
        <v> </v>
      </c>
      <c r="K4281" s="25" t="str">
        <f>IF(OR(E4281="",E4281="!!!",F4281="NEW"),"",INDEX(J$1:J4280,SUMPRODUCT(MAX(ROW(E$1:E4280)*(E4281=E$1:E4280)))))</f>
        <v> </v>
      </c>
      <c r="L4281" s="26"/>
    </row>
    <row r="4282" spans="1:12">
      <c r="A4282" s="20" t="s">
        <v>1225</v>
      </c>
      <c r="B4282" s="27" t="s">
        <v>1149</v>
      </c>
      <c r="C4282" s="27" t="s">
        <v>1108</v>
      </c>
      <c r="D4282" s="27" t="s">
        <v>1105</v>
      </c>
      <c r="E4282" s="21">
        <f>IF(D4282="?OLD","!!!","")</f>
        <v/>
      </c>
      <c r="F4282" s="22" t="str">
        <f>IF(OR(E4282="",E4282="!!!"),"",IF(NOT(ISNA(VLOOKUP(E4282,E$1:E4281,1,FALSE()))),"OLD",IF(AND(E4282&lt;&gt;"",E4282&lt;&gt;"!!!"),"NEW","")))</f>
        <v> </v>
      </c>
      <c r="G4282" s="23" t="str">
        <f>IF(OR(E4282="",E4282="!!!"),"",IF(OR(J4282=0,AND(J4282=1,K4282=1),AND(J4282=1,I4282="SBJ"),AND(J4282=1,I4282=0)),"?IN_FOCUS",IF(J4282&lt;=2,"?ACTIVATED",IF(J4282&lt;&gt;"","?FAMILIAR",IF(F4282="NEW",IF(ISNA(VLOOKUP(E4282,#REF!,1,FALSE())),"?TYPE_IDENTIFIABLE","?REFERENTIAL"),"_")))))</f>
        <v> </v>
      </c>
      <c r="H4282" s="24" t="str">
        <f>IF(J4282&lt;&gt;1,"",IF(I4282="SBJ","CB","?"))</f>
        <v> </v>
      </c>
      <c r="I4282" s="25" t="str">
        <f>IF(OR(E4282="",E4282="!!!",F4282="NEW"),"",INDEX(B4281:B$2,-1+SUMPRODUCT(MAX(ROW(E4281:E$2)*(E4282=E4281:E$2)))))</f>
        <v> </v>
      </c>
      <c r="J4282" s="25" t="str">
        <f>IF(OR(E4282="",E4282="!!!",F4282="NEW"),"",COUNTBLANK(OFFSET(A$1,,,SUMPRODUCT(MAX(ROW(E$2:E4282)*(E4282=E$2:E4282)))))-COUNTBLANK(OFFSET(A$1,,,SUMPRODUCT(MAX(ROW(E$1:E4281)*(E2=E$1:E4281))))))</f>
        <v> </v>
      </c>
      <c r="K4282" s="25" t="str">
        <f>IF(OR(E4282="",E4282="!!!",F4282="NEW"),"",INDEX(J$1:J4281,SUMPRODUCT(MAX(ROW(E$1:E4281)*(E4282=E$1:E4281)))))</f>
        <v> </v>
      </c>
      <c r="L4282" s="26"/>
    </row>
    <row r="4283" spans="1:12">
      <c r="A4283" s="20" t="s">
        <v>1145</v>
      </c>
      <c r="E4283" s="21">
        <f>IF(D4283="?OLD","!!!","")</f>
        <v/>
      </c>
      <c r="F4283" s="22" t="str">
        <f>IF(OR(E4283="",E4283="!!!"),"",IF(NOT(ISNA(VLOOKUP(E4283,E$1:E4282,1,FALSE()))),"OLD",IF(AND(E4283&lt;&gt;"",E4283&lt;&gt;"!!!"),"NEW","")))</f>
        <v> </v>
      </c>
      <c r="G4283" s="23" t="str">
        <f>IF(OR(E4283="",E4283="!!!"),"",IF(OR(J4283=0,AND(J4283=1,K4283=1),AND(J4283=1,I4283="SBJ"),AND(J4283=1,I4283=0)),"?IN_FOCUS",IF(J4283&lt;=2,"?ACTIVATED",IF(J4283&lt;&gt;"","?FAMILIAR",IF(F4283="NEW",IF(ISNA(VLOOKUP(E4283,#REF!,1,FALSE())),"?TYPE_IDENTIFIABLE","?REFERENTIAL"),"_")))))</f>
        <v> </v>
      </c>
      <c r="H4283" s="24" t="str">
        <f>IF(J4283&lt;&gt;1,"",IF(I4283="SBJ","CB","?"))</f>
        <v> </v>
      </c>
      <c r="I4283" s="25" t="str">
        <f>IF(OR(E4283="",E4283="!!!",F4283="NEW"),"",INDEX(B4282:B$2,-1+SUMPRODUCT(MAX(ROW(E4282:E$2)*(E4283=E4282:E$2)))))</f>
        <v> </v>
      </c>
      <c r="J4283" s="25" t="str">
        <f>IF(OR(E4283="",E4283="!!!",F4283="NEW"),"",COUNTBLANK(OFFSET(A$1,,,SUMPRODUCT(MAX(ROW(E$2:E4283)*(E4283=E$2:E4283)))))-COUNTBLANK(OFFSET(A$1,,,SUMPRODUCT(MAX(ROW(E$1:E4282)*(E2=E$1:E4282))))))</f>
        <v> </v>
      </c>
      <c r="K4283" s="25" t="str">
        <f>IF(OR(E4283="",E4283="!!!",F4283="NEW"),"",INDEX(J$1:J4282,SUMPRODUCT(MAX(ROW(E$1:E4282)*(E4283=E$1:E4282)))))</f>
        <v> </v>
      </c>
      <c r="L4283" s="26"/>
    </row>
    <row r="4284" spans="1:12">
      <c r="A4284" s="20"/>
    </row>
    <row r="4285" spans="1:12">
      <c r="A4285" s="20" t="s">
        <v>3004</v>
      </c>
    </row>
    <row r="4286" spans="1:12">
      <c r="A4286" s="20" t="s">
        <v>1111</v>
      </c>
      <c r="E4286" s="21">
        <f>IF(D4286="?OLD","!!!","")</f>
        <v/>
      </c>
      <c r="F4286" s="22" t="str">
        <f>IF(OR(E4286="",E4286="!!!"),"",IF(NOT(ISNA(VLOOKUP(E4286,E$1:E4285,1,FALSE()))),"OLD",IF(AND(E4286&lt;&gt;"",E4286&lt;&gt;"!!!"),"NEW","")))</f>
        <v> </v>
      </c>
      <c r="G4286" s="23" t="str">
        <f>IF(OR(E4286="",E4286="!!!"),"",IF(OR(J4286=0,AND(J4286=1,K4286=1),AND(J4286=1,I4286="SBJ"),AND(J4286=1,I4286=0)),"?IN_FOCUS",IF(J4286&lt;=2,"?ACTIVATED",IF(J4286&lt;&gt;"","?FAMILIAR",IF(F4286="NEW",IF(ISNA(VLOOKUP(E4286,#REF!,1,FALSE())),"?TYPE_IDENTIFIABLE","?REFERENTIAL"),"_")))))</f>
        <v> </v>
      </c>
      <c r="H4286" s="24" t="str">
        <f>IF(J4286&lt;&gt;1,"",IF(I4286="SBJ","CB","?"))</f>
        <v> </v>
      </c>
      <c r="I4286" s="25" t="str">
        <f>IF(OR(E4286="",E4286="!!!",F4286="NEW"),"",INDEX(B4285:B$2,-1+SUMPRODUCT(MAX(ROW(E4285:E$2)*(E4286=E4285:E$2)))))</f>
        <v> </v>
      </c>
      <c r="J4286" s="25" t="str">
        <f>IF(OR(E4286="",E4286="!!!",F4286="NEW"),"",COUNTBLANK(OFFSET(A$1,,,SUMPRODUCT(MAX(ROW(E$2:E4286)*(E4286=E$2:E4286)))))-COUNTBLANK(OFFSET(A$1,,,SUMPRODUCT(MAX(ROW(E$1:E4285)*(E2=E$1:E4285))))))</f>
        <v> </v>
      </c>
      <c r="K4286" s="25" t="str">
        <f>IF(OR(E4286="",E4286="!!!",F4286="NEW"),"",INDEX(J$1:J4285,SUMPRODUCT(MAX(ROW(E$1:E4285)*(E4286=E$1:E4285)))))</f>
        <v> </v>
      </c>
      <c r="L4286" s="26"/>
    </row>
    <row r="4287" spans="1:12">
      <c r="A4287" s="20" t="s">
        <v>1436</v>
      </c>
      <c r="E4287" s="21">
        <f>IF(D4287="?OLD","!!!","")</f>
        <v/>
      </c>
      <c r="F4287" s="22" t="str">
        <f>IF(OR(E4287="",E4287="!!!"),"",IF(NOT(ISNA(VLOOKUP(E4287,E$1:E4286,1,FALSE()))),"OLD",IF(AND(E4287&lt;&gt;"",E4287&lt;&gt;"!!!"),"NEW","")))</f>
        <v> </v>
      </c>
      <c r="G4287" s="23" t="str">
        <f>IF(OR(E4287="",E4287="!!!"),"",IF(OR(J4287=0,AND(J4287=1,K4287=1),AND(J4287=1,I4287="SBJ"),AND(J4287=1,I4287=0)),"?IN_FOCUS",IF(J4287&lt;=2,"?ACTIVATED",IF(J4287&lt;&gt;"","?FAMILIAR",IF(F4287="NEW",IF(ISNA(VLOOKUP(E4287,#REF!,1,FALSE())),"?TYPE_IDENTIFIABLE","?REFERENTIAL"),"_")))))</f>
        <v> </v>
      </c>
      <c r="H4287" s="24" t="str">
        <f>IF(J4287&lt;&gt;1,"",IF(I4287="SBJ","CB","?"))</f>
        <v> </v>
      </c>
      <c r="I4287" s="25" t="str">
        <f>IF(OR(E4287="",E4287="!!!",F4287="NEW"),"",INDEX(B4286:B$2,-1+SUMPRODUCT(MAX(ROW(E4286:E$2)*(E4287=E4286:E$2)))))</f>
        <v> </v>
      </c>
      <c r="J4287" s="25" t="str">
        <f>IF(OR(E4287="",E4287="!!!",F4287="NEW"),"",COUNTBLANK(OFFSET(A$1,,,SUMPRODUCT(MAX(ROW(E$2:E4287)*(E4287=E$2:E4287)))))-COUNTBLANK(OFFSET(A$1,,,SUMPRODUCT(MAX(ROW(E$1:E4286)*(E2=E$1:E4286))))))</f>
        <v> </v>
      </c>
      <c r="K4287" s="25" t="str">
        <f>IF(OR(E4287="",E4287="!!!",F4287="NEW"),"",INDEX(J$1:J4286,SUMPRODUCT(MAX(ROW(E$1:E4286)*(E4287=E$1:E4286)))))</f>
        <v> </v>
      </c>
      <c r="L4287" s="26"/>
    </row>
    <row r="4288" spans="1:12">
      <c r="A4288" s="20" t="s">
        <v>1114</v>
      </c>
      <c r="B4288" s="27" t="s">
        <v>1149</v>
      </c>
      <c r="C4288" s="27" t="s">
        <v>1116</v>
      </c>
      <c r="D4288" s="27" t="s">
        <v>1105</v>
      </c>
      <c r="E4288" s="21">
        <f>IF(D4288="?OLD","!!!","")</f>
        <v/>
      </c>
      <c r="F4288" s="22" t="str">
        <f>IF(OR(E4288="",E4288="!!!"),"",IF(NOT(ISNA(VLOOKUP(E4288,E$1:E4287,1,FALSE()))),"OLD",IF(AND(E4288&lt;&gt;"",E4288&lt;&gt;"!!!"),"NEW","")))</f>
        <v> </v>
      </c>
      <c r="G4288" s="23" t="str">
        <f>IF(OR(E4288="",E4288="!!!"),"",IF(OR(J4288=0,AND(J4288=1,K4288=1),AND(J4288=1,I4288="SBJ"),AND(J4288=1,I4288=0)),"?IN_FOCUS",IF(J4288&lt;=2,"?ACTIVATED",IF(J4288&lt;&gt;"","?FAMILIAR",IF(F4288="NEW",IF(ISNA(VLOOKUP(E4288,#REF!,1,FALSE())),"?TYPE_IDENTIFIABLE","?REFERENTIAL"),"_")))))</f>
        <v> </v>
      </c>
      <c r="H4288" s="24" t="str">
        <f>IF(J4288&lt;&gt;1,"",IF(I4288="SBJ","CB","?"))</f>
        <v> </v>
      </c>
      <c r="I4288" s="25" t="str">
        <f>IF(OR(E4288="",E4288="!!!",F4288="NEW"),"",INDEX(B4287:B$2,-1+SUMPRODUCT(MAX(ROW(E4287:E$2)*(E4288=E4287:E$2)))))</f>
        <v> </v>
      </c>
      <c r="J4288" s="25" t="str">
        <f>IF(OR(E4288="",E4288="!!!",F4288="NEW"),"",COUNTBLANK(OFFSET(A$1,,,SUMPRODUCT(MAX(ROW(E$2:E4288)*(E4288=E$2:E4288)))))-COUNTBLANK(OFFSET(A$1,,,SUMPRODUCT(MAX(ROW(E$1:E4287)*(E2=E$1:E4287))))))</f>
        <v> </v>
      </c>
      <c r="K4288" s="25" t="str">
        <f>IF(OR(E4288="",E4288="!!!",F4288="NEW"),"",INDEX(J$1:J4287,SUMPRODUCT(MAX(ROW(E$1:E4287)*(E4288=E$1:E4287)))))</f>
        <v> </v>
      </c>
      <c r="L4288" s="26"/>
    </row>
    <row r="4289" spans="1:12">
      <c r="A4289" s="20" t="s">
        <v>1033</v>
      </c>
      <c r="E4289" s="21">
        <f>IF(D4289="?OLD","!!!","")</f>
        <v/>
      </c>
      <c r="F4289" s="22" t="str">
        <f>IF(OR(E4289="",E4289="!!!"),"",IF(NOT(ISNA(VLOOKUP(E4289,E$1:E4288,1,FALSE()))),"OLD",IF(AND(E4289&lt;&gt;"",E4289&lt;&gt;"!!!"),"NEW","")))</f>
        <v> </v>
      </c>
      <c r="G4289" s="23" t="str">
        <f>IF(OR(E4289="",E4289="!!!"),"",IF(OR(J4289=0,AND(J4289=1,K4289=1),AND(J4289=1,I4289="SBJ"),AND(J4289=1,I4289=0)),"?IN_FOCUS",IF(J4289&lt;=2,"?ACTIVATED",IF(J4289&lt;&gt;"","?FAMILIAR",IF(F4289="NEW",IF(ISNA(VLOOKUP(E4289,#REF!,1,FALSE())),"?TYPE_IDENTIFIABLE","?REFERENTIAL"),"_")))))</f>
        <v> </v>
      </c>
      <c r="H4289" s="24" t="str">
        <f>IF(J4289&lt;&gt;1,"",IF(I4289="SBJ","CB","?"))</f>
        <v> </v>
      </c>
      <c r="I4289" s="25" t="str">
        <f>IF(OR(E4289="",E4289="!!!",F4289="NEW"),"",INDEX(B4288:B$2,-1+SUMPRODUCT(MAX(ROW(E4288:E$2)*(E4289=E4288:E$2)))))</f>
        <v> </v>
      </c>
      <c r="J4289" s="25" t="str">
        <f>IF(OR(E4289="",E4289="!!!",F4289="NEW"),"",COUNTBLANK(OFFSET(A$1,,,SUMPRODUCT(MAX(ROW(E$2:E4289)*(E4289=E$2:E4289)))))-COUNTBLANK(OFFSET(A$1,,,SUMPRODUCT(MAX(ROW(E$1:E4288)*(E2=E$1:E4288))))))</f>
        <v> </v>
      </c>
      <c r="K4289" s="25" t="str">
        <f>IF(OR(E4289="",E4289="!!!",F4289="NEW"),"",INDEX(J$1:J4288,SUMPRODUCT(MAX(ROW(E$1:E4288)*(E4289=E$1:E4288)))))</f>
        <v> </v>
      </c>
      <c r="L4289" s="26"/>
    </row>
    <row r="4290" spans="1:12">
      <c r="A4290" s="20" t="s">
        <v>1351</v>
      </c>
      <c r="E4290" s="21">
        <f>IF(D4290="?OLD","!!!","")</f>
        <v/>
      </c>
      <c r="F4290" s="22" t="str">
        <f>IF(OR(E4290="",E4290="!!!"),"",IF(NOT(ISNA(VLOOKUP(E4290,E$1:E4289,1,FALSE()))),"OLD",IF(AND(E4290&lt;&gt;"",E4290&lt;&gt;"!!!"),"NEW","")))</f>
        <v> </v>
      </c>
      <c r="G4290" s="23" t="str">
        <f>IF(OR(E4290="",E4290="!!!"),"",IF(OR(J4290=0,AND(J4290=1,K4290=1),AND(J4290=1,I4290="SBJ"),AND(J4290=1,I4290=0)),"?IN_FOCUS",IF(J4290&lt;=2,"?ACTIVATED",IF(J4290&lt;&gt;"","?FAMILIAR",IF(F4290="NEW",IF(ISNA(VLOOKUP(E4290,#REF!,1,FALSE())),"?TYPE_IDENTIFIABLE","?REFERENTIAL"),"_")))))</f>
        <v> </v>
      </c>
      <c r="H4290" s="24" t="str">
        <f>IF(J4290&lt;&gt;1,"",IF(I4290="SBJ","CB","?"))</f>
        <v> </v>
      </c>
      <c r="I4290" s="25" t="str">
        <f>IF(OR(E4290="",E4290="!!!",F4290="NEW"),"",INDEX(B4289:B$2,-1+SUMPRODUCT(MAX(ROW(E4289:E$2)*(E4290=E4289:E$2)))))</f>
        <v> </v>
      </c>
      <c r="J4290" s="25" t="str">
        <f>IF(OR(E4290="",E4290="!!!",F4290="NEW"),"",COUNTBLANK(OFFSET(A$1,,,SUMPRODUCT(MAX(ROW(E$2:E4290)*(E4290=E$2:E4290)))))-COUNTBLANK(OFFSET(A$1,,,SUMPRODUCT(MAX(ROW(E$1:E4289)*(E2=E$1:E4289))))))</f>
        <v> </v>
      </c>
      <c r="K4290" s="25" t="str">
        <f>IF(OR(E4290="",E4290="!!!",F4290="NEW"),"",INDEX(J$1:J4289,SUMPRODUCT(MAX(ROW(E$1:E4289)*(E4290=E$1:E4289)))))</f>
        <v> </v>
      </c>
      <c r="L4290" s="26"/>
    </row>
    <row r="4291" spans="1:12">
      <c r="A4291" s="20"/>
    </row>
    <row r="4292" spans="1:12">
      <c r="A4292" s="20" t="s">
        <v>3005</v>
      </c>
    </row>
    <row r="4293" spans="1:12">
      <c r="A4293" s="20" t="s">
        <v>3006</v>
      </c>
      <c r="E4293" s="21">
        <f>IF(D4293="?OLD","!!!","")</f>
        <v/>
      </c>
      <c r="F4293" s="22" t="str">
        <f>IF(OR(E4293="",E4293="!!!"),"",IF(NOT(ISNA(VLOOKUP(E4293,E$1:E4292,1,FALSE()))),"OLD",IF(AND(E4293&lt;&gt;"",E4293&lt;&gt;"!!!"),"NEW","")))</f>
        <v> </v>
      </c>
      <c r="G4293" s="23" t="str">
        <f>IF(OR(E4293="",E4293="!!!"),"",IF(OR(J4293=0,AND(J4293=1,K4293=1),AND(J4293=1,I4293="SBJ"),AND(J4293=1,I4293=0)),"?IN_FOCUS",IF(J4293&lt;=2,"?ACTIVATED",IF(J4293&lt;&gt;"","?FAMILIAR",IF(F4293="NEW",IF(ISNA(VLOOKUP(E4293,#REF!,1,FALSE())),"?TYPE_IDENTIFIABLE","?REFERENTIAL"),"_")))))</f>
        <v> </v>
      </c>
      <c r="H4293" s="24" t="str">
        <f>IF(J4293&lt;&gt;1,"",IF(I4293="SBJ","CB","?"))</f>
        <v> </v>
      </c>
      <c r="I4293" s="25" t="str">
        <f>IF(OR(E4293="",E4293="!!!",F4293="NEW"),"",INDEX(B4292:B$2,-1+SUMPRODUCT(MAX(ROW(E4292:E$2)*(E4293=E4292:E$2)))))</f>
        <v> </v>
      </c>
      <c r="J4293" s="25" t="str">
        <f>IF(OR(E4293="",E4293="!!!",F4293="NEW"),"",COUNTBLANK(OFFSET(A$1,,,SUMPRODUCT(MAX(ROW(E$2:E4293)*(E4293=E$2:E4293)))))-COUNTBLANK(OFFSET(A$1,,,SUMPRODUCT(MAX(ROW(E$1:E4292)*(E2=E$1:E4292))))))</f>
        <v> </v>
      </c>
      <c r="K4293" s="25" t="str">
        <f>IF(OR(E4293="",E4293="!!!",F4293="NEW"),"",INDEX(J$1:J4292,SUMPRODUCT(MAX(ROW(E$1:E4292)*(E4293=E$1:E4292)))))</f>
        <v> </v>
      </c>
      <c r="L4293" s="26"/>
    </row>
    <row r="4294" spans="1:12">
      <c r="A4294" s="20" t="s">
        <v>3007</v>
      </c>
      <c r="B4294" s="27" t="s">
        <v>1149</v>
      </c>
      <c r="C4294" s="27" t="s">
        <v>1108</v>
      </c>
      <c r="D4294" s="27" t="s">
        <v>1105</v>
      </c>
      <c r="E4294" s="21">
        <f>IF(D4294="?OLD","!!!","")</f>
        <v/>
      </c>
      <c r="F4294" s="22" t="str">
        <f>IF(OR(E4294="",E4294="!!!"),"",IF(NOT(ISNA(VLOOKUP(E4294,E$1:E4293,1,FALSE()))),"OLD",IF(AND(E4294&lt;&gt;"",E4294&lt;&gt;"!!!"),"NEW","")))</f>
        <v> </v>
      </c>
      <c r="G4294" s="23" t="str">
        <f>IF(OR(E4294="",E4294="!!!"),"",IF(OR(J4294=0,AND(J4294=1,K4294=1),AND(J4294=1,I4294="SBJ"),AND(J4294=1,I4294=0)),"?IN_FOCUS",IF(J4294&lt;=2,"?ACTIVATED",IF(J4294&lt;&gt;"","?FAMILIAR",IF(F4294="NEW",IF(ISNA(VLOOKUP(E4294,#REF!,1,FALSE())),"?TYPE_IDENTIFIABLE","?REFERENTIAL"),"_")))))</f>
        <v> </v>
      </c>
      <c r="H4294" s="24" t="str">
        <f>IF(J4294&lt;&gt;1,"",IF(I4294="SBJ","CB","?"))</f>
        <v> </v>
      </c>
      <c r="I4294" s="25" t="str">
        <f>IF(OR(E4294="",E4294="!!!",F4294="NEW"),"",INDEX(B4293:B$2,-1+SUMPRODUCT(MAX(ROW(E4293:E$2)*(E4294=E4293:E$2)))))</f>
        <v> </v>
      </c>
      <c r="J4294" s="25" t="str">
        <f>IF(OR(E4294="",E4294="!!!",F4294="NEW"),"",COUNTBLANK(OFFSET(A$1,,,SUMPRODUCT(MAX(ROW(E$2:E4294)*(E4294=E$2:E4294)))))-COUNTBLANK(OFFSET(A$1,,,SUMPRODUCT(MAX(ROW(E$1:E4293)*(E2=E$1:E4293))))))</f>
        <v> </v>
      </c>
      <c r="K4294" s="25" t="str">
        <f>IF(OR(E4294="",E4294="!!!",F4294="NEW"),"",INDEX(J$1:J4293,SUMPRODUCT(MAX(ROW(E$1:E4293)*(E4294=E$1:E4293)))))</f>
        <v> </v>
      </c>
      <c r="L4294" s="26"/>
    </row>
    <row r="4295" spans="1:12">
      <c r="A4295" s="20" t="s">
        <v>1590</v>
      </c>
      <c r="E4295" s="21">
        <f>IF(D4295="?OLD","!!!","")</f>
        <v/>
      </c>
      <c r="F4295" s="22" t="str">
        <f>IF(OR(E4295="",E4295="!!!"),"",IF(NOT(ISNA(VLOOKUP(E4295,E$1:E4294,1,FALSE()))),"OLD",IF(AND(E4295&lt;&gt;"",E4295&lt;&gt;"!!!"),"NEW","")))</f>
        <v> </v>
      </c>
      <c r="G4295" s="23" t="str">
        <f>IF(OR(E4295="",E4295="!!!"),"",IF(OR(J4295=0,AND(J4295=1,K4295=1),AND(J4295=1,I4295="SBJ"),AND(J4295=1,I4295=0)),"?IN_FOCUS",IF(J4295&lt;=2,"?ACTIVATED",IF(J4295&lt;&gt;"","?FAMILIAR",IF(F4295="NEW",IF(ISNA(VLOOKUP(E4295,#REF!,1,FALSE())),"?TYPE_IDENTIFIABLE","?REFERENTIAL"),"_")))))</f>
        <v> </v>
      </c>
      <c r="H4295" s="24" t="str">
        <f>IF(J4295&lt;&gt;1,"",IF(I4295="SBJ","CB","?"))</f>
        <v> </v>
      </c>
      <c r="I4295" s="25" t="str">
        <f>IF(OR(E4295="",E4295="!!!",F4295="NEW"),"",INDEX(B4294:B$2,-1+SUMPRODUCT(MAX(ROW(E4294:E$2)*(E4295=E4294:E$2)))))</f>
        <v> </v>
      </c>
      <c r="J4295" s="25" t="str">
        <f>IF(OR(E4295="",E4295="!!!",F4295="NEW"),"",COUNTBLANK(OFFSET(A$1,,,SUMPRODUCT(MAX(ROW(E$2:E4295)*(E4295=E$2:E4295)))))-COUNTBLANK(OFFSET(A$1,,,SUMPRODUCT(MAX(ROW(E$1:E4294)*(E2=E$1:E4294))))))</f>
        <v> </v>
      </c>
      <c r="K4295" s="25" t="str">
        <f>IF(OR(E4295="",E4295="!!!",F4295="NEW"),"",INDEX(J$1:J4294,SUMPRODUCT(MAX(ROW(E$1:E4294)*(E4295=E$1:E4294)))))</f>
        <v> </v>
      </c>
      <c r="L4295" s="26"/>
    </row>
    <row r="4296" spans="1:12">
      <c r="A4296" s="20" t="s">
        <v>1127</v>
      </c>
      <c r="E4296" s="21">
        <f>IF(D4296="?OLD","!!!","")</f>
        <v/>
      </c>
      <c r="F4296" s="22" t="str">
        <f>IF(OR(E4296="",E4296="!!!"),"",IF(NOT(ISNA(VLOOKUP(E4296,E$1:E4295,1,FALSE()))),"OLD",IF(AND(E4296&lt;&gt;"",E4296&lt;&gt;"!!!"),"NEW","")))</f>
        <v> </v>
      </c>
      <c r="G4296" s="23" t="str">
        <f>IF(OR(E4296="",E4296="!!!"),"",IF(OR(J4296=0,AND(J4296=1,K4296=1),AND(J4296=1,I4296="SBJ"),AND(J4296=1,I4296=0)),"?IN_FOCUS",IF(J4296&lt;=2,"?ACTIVATED",IF(J4296&lt;&gt;"","?FAMILIAR",IF(F4296="NEW",IF(ISNA(VLOOKUP(E4296,#REF!,1,FALSE())),"?TYPE_IDENTIFIABLE","?REFERENTIAL"),"_")))))</f>
        <v> </v>
      </c>
      <c r="H4296" s="24" t="str">
        <f>IF(J4296&lt;&gt;1,"",IF(I4296="SBJ","CB","?"))</f>
        <v> </v>
      </c>
      <c r="I4296" s="25" t="str">
        <f>IF(OR(E4296="",E4296="!!!",F4296="NEW"),"",INDEX(B4295:B$2,-1+SUMPRODUCT(MAX(ROW(E4295:E$2)*(E4296=E4295:E$2)))))</f>
        <v> </v>
      </c>
      <c r="J4296" s="25" t="str">
        <f>IF(OR(E4296="",E4296="!!!",F4296="NEW"),"",COUNTBLANK(OFFSET(A$1,,,SUMPRODUCT(MAX(ROW(E$2:E4296)*(E4296=E$2:E4296)))))-COUNTBLANK(OFFSET(A$1,,,SUMPRODUCT(MAX(ROW(E$1:E4295)*(E2=E$1:E4295))))))</f>
        <v> </v>
      </c>
      <c r="K4296" s="25" t="str">
        <f>IF(OR(E4296="",E4296="!!!",F4296="NEW"),"",INDEX(J$1:J4295,SUMPRODUCT(MAX(ROW(E$1:E4295)*(E4296=E$1:E4295)))))</f>
        <v> </v>
      </c>
      <c r="L4296" s="26"/>
    </row>
    <row r="4297" spans="1:12">
      <c r="A4297" s="20" t="s">
        <v>1134</v>
      </c>
      <c r="E4297" s="21">
        <f>IF(D4297="?OLD","!!!","")</f>
        <v/>
      </c>
      <c r="F4297" s="22" t="str">
        <f>IF(OR(E4297="",E4297="!!!"),"",IF(NOT(ISNA(VLOOKUP(E4297,E$1:E4296,1,FALSE()))),"OLD",IF(AND(E4297&lt;&gt;"",E4297&lt;&gt;"!!!"),"NEW","")))</f>
        <v> </v>
      </c>
      <c r="G4297" s="23" t="str">
        <f>IF(OR(E4297="",E4297="!!!"),"",IF(OR(J4297=0,AND(J4297=1,K4297=1),AND(J4297=1,I4297="SBJ"),AND(J4297=1,I4297=0)),"?IN_FOCUS",IF(J4297&lt;=2,"?ACTIVATED",IF(J4297&lt;&gt;"","?FAMILIAR",IF(F4297="NEW",IF(ISNA(VLOOKUP(E4297,#REF!,1,FALSE())),"?TYPE_IDENTIFIABLE","?REFERENTIAL"),"_")))))</f>
        <v> </v>
      </c>
      <c r="H4297" s="24" t="str">
        <f>IF(J4297&lt;&gt;1,"",IF(I4297="SBJ","CB","?"))</f>
        <v> </v>
      </c>
      <c r="I4297" s="25" t="str">
        <f>IF(OR(E4297="",E4297="!!!",F4297="NEW"),"",INDEX(B4296:B$2,-1+SUMPRODUCT(MAX(ROW(E4296:E$2)*(E4297=E4296:E$2)))))</f>
        <v> </v>
      </c>
      <c r="J4297" s="25" t="str">
        <f>IF(OR(E4297="",E4297="!!!",F4297="NEW"),"",COUNTBLANK(OFFSET(A$1,,,SUMPRODUCT(MAX(ROW(E$2:E4297)*(E4297=E$2:E4297)))))-COUNTBLANK(OFFSET(A$1,,,SUMPRODUCT(MAX(ROW(E$1:E4296)*(E2=E$1:E4296))))))</f>
        <v> </v>
      </c>
      <c r="K4297" s="25" t="str">
        <f>IF(OR(E4297="",E4297="!!!",F4297="NEW"),"",INDEX(J$1:J4296,SUMPRODUCT(MAX(ROW(E$1:E4296)*(E4297=E$1:E4296)))))</f>
        <v> </v>
      </c>
      <c r="L4297" s="26"/>
    </row>
    <row r="4298" spans="1:12">
      <c r="A4298" s="20" t="s">
        <v>3008</v>
      </c>
      <c r="E4298" s="21">
        <f>IF(D4298="?OLD","!!!","")</f>
        <v/>
      </c>
      <c r="F4298" s="22" t="str">
        <f>IF(OR(E4298="",E4298="!!!"),"",IF(NOT(ISNA(VLOOKUP(E4298,E$1:E4297,1,FALSE()))),"OLD",IF(AND(E4298&lt;&gt;"",E4298&lt;&gt;"!!!"),"NEW","")))</f>
        <v> </v>
      </c>
      <c r="G4298" s="23" t="str">
        <f>IF(OR(E4298="",E4298="!!!"),"",IF(OR(J4298=0,AND(J4298=1,K4298=1),AND(J4298=1,I4298="SBJ"),AND(J4298=1,I4298=0)),"?IN_FOCUS",IF(J4298&lt;=2,"?ACTIVATED",IF(J4298&lt;&gt;"","?FAMILIAR",IF(F4298="NEW",IF(ISNA(VLOOKUP(E4298,#REF!,1,FALSE())),"?TYPE_IDENTIFIABLE","?REFERENTIAL"),"_")))))</f>
        <v> </v>
      </c>
      <c r="H4298" s="24" t="str">
        <f>IF(J4298&lt;&gt;1,"",IF(I4298="SBJ","CB","?"))</f>
        <v> </v>
      </c>
      <c r="I4298" s="25" t="str">
        <f>IF(OR(E4298="",E4298="!!!",F4298="NEW"),"",INDEX(B4297:B$2,-1+SUMPRODUCT(MAX(ROW(E4297:E$2)*(E4298=E4297:E$2)))))</f>
        <v> </v>
      </c>
      <c r="J4298" s="25" t="str">
        <f>IF(OR(E4298="",E4298="!!!",F4298="NEW"),"",COUNTBLANK(OFFSET(A$1,,,SUMPRODUCT(MAX(ROW(E$2:E4298)*(E4298=E$2:E4298)))))-COUNTBLANK(OFFSET(A$1,,,SUMPRODUCT(MAX(ROW(E$1:E4297)*(E2=E$1:E4297))))))</f>
        <v> </v>
      </c>
      <c r="K4298" s="25" t="str">
        <f>IF(OR(E4298="",E4298="!!!",F4298="NEW"),"",INDEX(J$1:J4297,SUMPRODUCT(MAX(ROW(E$1:E4297)*(E4298=E$1:E4297)))))</f>
        <v> </v>
      </c>
      <c r="L4298" s="26"/>
    </row>
    <row r="4299" spans="1:12">
      <c r="A4299" s="20" t="s">
        <v>2938</v>
      </c>
      <c r="E4299" s="21">
        <f>IF(D4299="?OLD","!!!","")</f>
        <v/>
      </c>
      <c r="F4299" s="22" t="str">
        <f>IF(OR(E4299="",E4299="!!!"),"",IF(NOT(ISNA(VLOOKUP(E4299,E$1:E4298,1,FALSE()))),"OLD",IF(AND(E4299&lt;&gt;"",E4299&lt;&gt;"!!!"),"NEW","")))</f>
        <v> </v>
      </c>
      <c r="G4299" s="23" t="str">
        <f>IF(OR(E4299="",E4299="!!!"),"",IF(OR(J4299=0,AND(J4299=1,K4299=1),AND(J4299=1,I4299="SBJ"),AND(J4299=1,I4299=0)),"?IN_FOCUS",IF(J4299&lt;=2,"?ACTIVATED",IF(J4299&lt;&gt;"","?FAMILIAR",IF(F4299="NEW",IF(ISNA(VLOOKUP(E4299,#REF!,1,FALSE())),"?TYPE_IDENTIFIABLE","?REFERENTIAL"),"_")))))</f>
        <v> </v>
      </c>
      <c r="H4299" s="24" t="str">
        <f>IF(J4299&lt;&gt;1,"",IF(I4299="SBJ","CB","?"))</f>
        <v> </v>
      </c>
      <c r="I4299" s="25" t="str">
        <f>IF(OR(E4299="",E4299="!!!",F4299="NEW"),"",INDEX(B4298:B$2,-1+SUMPRODUCT(MAX(ROW(E4298:E$2)*(E4299=E4298:E$2)))))</f>
        <v> </v>
      </c>
      <c r="J4299" s="25" t="str">
        <f>IF(OR(E4299="",E4299="!!!",F4299="NEW"),"",COUNTBLANK(OFFSET(A$1,,,SUMPRODUCT(MAX(ROW(E$2:E4299)*(E4299=E$2:E4299)))))-COUNTBLANK(OFFSET(A$1,,,SUMPRODUCT(MAX(ROW(E$1:E4298)*(E2=E$1:E4298))))))</f>
        <v> </v>
      </c>
      <c r="K4299" s="25" t="str">
        <f>IF(OR(E4299="",E4299="!!!",F4299="NEW"),"",INDEX(J$1:J4298,SUMPRODUCT(MAX(ROW(E$1:E4298)*(E4299=E$1:E4298)))))</f>
        <v> </v>
      </c>
      <c r="L4299" s="26"/>
    </row>
    <row r="4300" spans="1:12">
      <c r="A4300" s="20" t="s">
        <v>3009</v>
      </c>
      <c r="E4300" s="21">
        <f>IF(D4300="?OLD","!!!","")</f>
        <v/>
      </c>
      <c r="F4300" s="22" t="str">
        <f>IF(OR(E4300="",E4300="!!!"),"",IF(NOT(ISNA(VLOOKUP(E4300,E$1:E4299,1,FALSE()))),"OLD",IF(AND(E4300&lt;&gt;"",E4300&lt;&gt;"!!!"),"NEW","")))</f>
        <v> </v>
      </c>
      <c r="G4300" s="23" t="str">
        <f>IF(OR(E4300="",E4300="!!!"),"",IF(OR(J4300=0,AND(J4300=1,K4300=1),AND(J4300=1,I4300="SBJ"),AND(J4300=1,I4300=0)),"?IN_FOCUS",IF(J4300&lt;=2,"?ACTIVATED",IF(J4300&lt;&gt;"","?FAMILIAR",IF(F4300="NEW",IF(ISNA(VLOOKUP(E4300,#REF!,1,FALSE())),"?TYPE_IDENTIFIABLE","?REFERENTIAL"),"_")))))</f>
        <v> </v>
      </c>
      <c r="H4300" s="24" t="str">
        <f>IF(J4300&lt;&gt;1,"",IF(I4300="SBJ","CB","?"))</f>
        <v> </v>
      </c>
      <c r="I4300" s="25" t="str">
        <f>IF(OR(E4300="",E4300="!!!",F4300="NEW"),"",INDEX(B4299:B$2,-1+SUMPRODUCT(MAX(ROW(E4299:E$2)*(E4300=E4299:E$2)))))</f>
        <v> </v>
      </c>
      <c r="J4300" s="25" t="str">
        <f>IF(OR(E4300="",E4300="!!!",F4300="NEW"),"",COUNTBLANK(OFFSET(A$1,,,SUMPRODUCT(MAX(ROW(E$2:E4300)*(E4300=E$2:E4300)))))-COUNTBLANK(OFFSET(A$1,,,SUMPRODUCT(MAX(ROW(E$1:E4299)*(E2=E$1:E4299))))))</f>
        <v> </v>
      </c>
      <c r="K4300" s="25" t="str">
        <f>IF(OR(E4300="",E4300="!!!",F4300="NEW"),"",INDEX(J$1:J4299,SUMPRODUCT(MAX(ROW(E$1:E4299)*(E4300=E$1:E4299)))))</f>
        <v> </v>
      </c>
      <c r="L4300" s="26"/>
    </row>
    <row r="4301" spans="1:12">
      <c r="A4301" s="20" t="s">
        <v>1145</v>
      </c>
      <c r="E4301" s="21">
        <f>IF(D4301="?OLD","!!!","")</f>
        <v/>
      </c>
      <c r="F4301" s="22" t="str">
        <f>IF(OR(E4301="",E4301="!!!"),"",IF(NOT(ISNA(VLOOKUP(E4301,E$1:E4300,1,FALSE()))),"OLD",IF(AND(E4301&lt;&gt;"",E4301&lt;&gt;"!!!"),"NEW","")))</f>
        <v> </v>
      </c>
      <c r="G4301" s="23" t="str">
        <f>IF(OR(E4301="",E4301="!!!"),"",IF(OR(J4301=0,AND(J4301=1,K4301=1),AND(J4301=1,I4301="SBJ"),AND(J4301=1,I4301=0)),"?IN_FOCUS",IF(J4301&lt;=2,"?ACTIVATED",IF(J4301&lt;&gt;"","?FAMILIAR",IF(F4301="NEW",IF(ISNA(VLOOKUP(E4301,#REF!,1,FALSE())),"?TYPE_IDENTIFIABLE","?REFERENTIAL"),"_")))))</f>
        <v> </v>
      </c>
      <c r="H4301" s="24" t="str">
        <f>IF(J4301&lt;&gt;1,"",IF(I4301="SBJ","CB","?"))</f>
        <v> </v>
      </c>
      <c r="I4301" s="25" t="str">
        <f>IF(OR(E4301="",E4301="!!!",F4301="NEW"),"",INDEX(B4300:B$2,-1+SUMPRODUCT(MAX(ROW(E4300:E$2)*(E4301=E4300:E$2)))))</f>
        <v> </v>
      </c>
      <c r="J4301" s="25" t="str">
        <f>IF(OR(E4301="",E4301="!!!",F4301="NEW"),"",COUNTBLANK(OFFSET(A$1,,,SUMPRODUCT(MAX(ROW(E$2:E4301)*(E4301=E$2:E4301)))))-COUNTBLANK(OFFSET(A$1,,,SUMPRODUCT(MAX(ROW(E$1:E4300)*(E2=E$1:E4300))))))</f>
        <v> </v>
      </c>
      <c r="K4301" s="25" t="str">
        <f>IF(OR(E4301="",E4301="!!!",F4301="NEW"),"",INDEX(J$1:J4300,SUMPRODUCT(MAX(ROW(E$1:E4300)*(E4301=E$1:E4300)))))</f>
        <v> </v>
      </c>
      <c r="L4301" s="26"/>
    </row>
    <row r="4302" spans="1:12">
      <c r="A4302" s="20"/>
    </row>
    <row r="4303" spans="1:12">
      <c r="A4303" s="20" t="s">
        <v>3010</v>
      </c>
    </row>
    <row r="4304" spans="1:12">
      <c r="A4304" s="20" t="s">
        <v>1873</v>
      </c>
      <c r="E4304" s="21">
        <f>IF(D4304="?OLD","!!!","")</f>
        <v/>
      </c>
      <c r="F4304" s="22" t="str">
        <f>IF(OR(E4304="",E4304="!!!"),"",IF(NOT(ISNA(VLOOKUP(E4304,E$1:E4303,1,FALSE()))),"OLD",IF(AND(E4304&lt;&gt;"",E4304&lt;&gt;"!!!"),"NEW","")))</f>
        <v> </v>
      </c>
      <c r="G4304" s="23" t="str">
        <f>IF(OR(E4304="",E4304="!!!"),"",IF(OR(J4304=0,AND(J4304=1,K4304=1),AND(J4304=1,I4304="SBJ"),AND(J4304=1,I4304=0)),"?IN_FOCUS",IF(J4304&lt;=2,"?ACTIVATED",IF(J4304&lt;&gt;"","?FAMILIAR",IF(F4304="NEW",IF(ISNA(VLOOKUP(E4304,#REF!,1,FALSE())),"?TYPE_IDENTIFIABLE","?REFERENTIAL"),"_")))))</f>
        <v> </v>
      </c>
      <c r="H4304" s="24" t="str">
        <f>IF(J4304&lt;&gt;1,"",IF(I4304="SBJ","CB","?"))</f>
        <v> </v>
      </c>
      <c r="I4304" s="25" t="str">
        <f>IF(OR(E4304="",E4304="!!!",F4304="NEW"),"",INDEX(B4303:B$2,-1+SUMPRODUCT(MAX(ROW(E4303:E$2)*(E4304=E4303:E$2)))))</f>
        <v> </v>
      </c>
      <c r="J4304" s="25" t="str">
        <f>IF(OR(E4304="",E4304="!!!",F4304="NEW"),"",COUNTBLANK(OFFSET(A$1,,,SUMPRODUCT(MAX(ROW(E$2:E4304)*(E4304=E$2:E4304)))))-COUNTBLANK(OFFSET(A$1,,,SUMPRODUCT(MAX(ROW(E$1:E4303)*(E2=E$1:E4303))))))</f>
        <v> </v>
      </c>
      <c r="K4304" s="25" t="str">
        <f>IF(OR(E4304="",E4304="!!!",F4304="NEW"),"",INDEX(J$1:J4303,SUMPRODUCT(MAX(ROW(E$1:E4303)*(E4304=E$1:E4303)))))</f>
        <v> </v>
      </c>
      <c r="L4304" s="26"/>
    </row>
    <row r="4305" spans="1:12">
      <c r="A4305" s="20" t="s">
        <v>135</v>
      </c>
      <c r="B4305" s="27" t="s">
        <v>1149</v>
      </c>
      <c r="C4305" s="27" t="s">
        <v>1133</v>
      </c>
      <c r="E4305" s="21">
        <f>IF(D4305="?OLD","!!!","")</f>
        <v/>
      </c>
      <c r="F4305" s="22" t="str">
        <f>IF(OR(E4305="",E4305="!!!"),"",IF(NOT(ISNA(VLOOKUP(E4305,E$1:E4304,1,FALSE()))),"OLD",IF(AND(E4305&lt;&gt;"",E4305&lt;&gt;"!!!"),"NEW","")))</f>
        <v> </v>
      </c>
      <c r="G4305" s="23" t="str">
        <f>IF(OR(E4305="",E4305="!!!"),"",IF(OR(J4305=0,AND(J4305=1,K4305=1),AND(J4305=1,I4305="SBJ"),AND(J4305=1,I4305=0)),"?IN_FOCUS",IF(J4305&lt;=2,"?ACTIVATED",IF(J4305&lt;&gt;"","?FAMILIAR",IF(F4305="NEW",IF(ISNA(VLOOKUP(E4305,#REF!,1,FALSE())),"?TYPE_IDENTIFIABLE","?REFERENTIAL"),"_")))))</f>
        <v> </v>
      </c>
      <c r="H4305" s="24" t="str">
        <f>IF(J4305&lt;&gt;1,"",IF(I4305="SBJ","CB","?"))</f>
        <v> </v>
      </c>
      <c r="I4305" s="25" t="str">
        <f>IF(OR(E4305="",E4305="!!!",F4305="NEW"),"",INDEX(B4304:B$2,-1+SUMPRODUCT(MAX(ROW(E4304:E$2)*(E4305=E4304:E$2)))))</f>
        <v> </v>
      </c>
      <c r="J4305" s="25" t="str">
        <f>IF(OR(E4305="",E4305="!!!",F4305="NEW"),"",COUNTBLANK(OFFSET(A$1,,,SUMPRODUCT(MAX(ROW(E$2:E4305)*(E4305=E$2:E4305)))))-COUNTBLANK(OFFSET(A$1,,,SUMPRODUCT(MAX(ROW(E$1:E4304)*(E2=E$1:E4304))))))</f>
        <v> </v>
      </c>
      <c r="K4305" s="25" t="str">
        <f>IF(OR(E4305="",E4305="!!!",F4305="NEW"),"",INDEX(J$1:J4304,SUMPRODUCT(MAX(ROW(E$1:E4304)*(E4305=E$1:E4304)))))</f>
        <v> </v>
      </c>
      <c r="L4305" s="26"/>
    </row>
    <row r="4306" spans="1:12">
      <c r="A4306" s="20" t="s">
        <v>3011</v>
      </c>
      <c r="E4306" s="21">
        <f>IF(D4306="?OLD","!!!","")</f>
        <v/>
      </c>
      <c r="F4306" s="22" t="str">
        <f>IF(OR(E4306="",E4306="!!!"),"",IF(NOT(ISNA(VLOOKUP(E4306,E$1:E4305,1,FALSE()))),"OLD",IF(AND(E4306&lt;&gt;"",E4306&lt;&gt;"!!!"),"NEW","")))</f>
        <v> </v>
      </c>
      <c r="G4306" s="23" t="str">
        <f>IF(OR(E4306="",E4306="!!!"),"",IF(OR(J4306=0,AND(J4306=1,K4306=1),AND(J4306=1,I4306="SBJ"),AND(J4306=1,I4306=0)),"?IN_FOCUS",IF(J4306&lt;=2,"?ACTIVATED",IF(J4306&lt;&gt;"","?FAMILIAR",IF(F4306="NEW",IF(ISNA(VLOOKUP(E4306,#REF!,1,FALSE())),"?TYPE_IDENTIFIABLE","?REFERENTIAL"),"_")))))</f>
        <v> </v>
      </c>
      <c r="H4306" s="24" t="str">
        <f>IF(J4306&lt;&gt;1,"",IF(I4306="SBJ","CB","?"))</f>
        <v> </v>
      </c>
      <c r="I4306" s="25" t="str">
        <f>IF(OR(E4306="",E4306="!!!",F4306="NEW"),"",INDEX(B4305:B$2,-1+SUMPRODUCT(MAX(ROW(E4305:E$2)*(E4306=E4305:E$2)))))</f>
        <v> </v>
      </c>
      <c r="J4306" s="25" t="str">
        <f>IF(OR(E4306="",E4306="!!!",F4306="NEW"),"",COUNTBLANK(OFFSET(A$1,,,SUMPRODUCT(MAX(ROW(E$2:E4306)*(E4306=E$2:E4306)))))-COUNTBLANK(OFFSET(A$1,,,SUMPRODUCT(MAX(ROW(E$1:E4305)*(E2=E$1:E4305))))))</f>
        <v> </v>
      </c>
      <c r="K4306" s="25" t="str">
        <f>IF(OR(E4306="",E4306="!!!",F4306="NEW"),"",INDEX(J$1:J4305,SUMPRODUCT(MAX(ROW(E$1:E4305)*(E4306=E$1:E4305)))))</f>
        <v> </v>
      </c>
      <c r="L4306" s="26"/>
    </row>
    <row r="4307" spans="1:12">
      <c r="A4307" s="20" t="s">
        <v>1123</v>
      </c>
      <c r="E4307" s="21">
        <f>IF(D4307="?OLD","!!!","")</f>
        <v/>
      </c>
      <c r="F4307" s="22" t="str">
        <f>IF(OR(E4307="",E4307="!!!"),"",IF(NOT(ISNA(VLOOKUP(E4307,E$1:E4306,1,FALSE()))),"OLD",IF(AND(E4307&lt;&gt;"",E4307&lt;&gt;"!!!"),"NEW","")))</f>
        <v> </v>
      </c>
      <c r="G4307" s="23" t="str">
        <f>IF(OR(E4307="",E4307="!!!"),"",IF(OR(J4307=0,AND(J4307=1,K4307=1),AND(J4307=1,I4307="SBJ"),AND(J4307=1,I4307=0)),"?IN_FOCUS",IF(J4307&lt;=2,"?ACTIVATED",IF(J4307&lt;&gt;"","?FAMILIAR",IF(F4307="NEW",IF(ISNA(VLOOKUP(E4307,#REF!,1,FALSE())),"?TYPE_IDENTIFIABLE","?REFERENTIAL"),"_")))))</f>
        <v> </v>
      </c>
      <c r="H4307" s="24" t="str">
        <f>IF(J4307&lt;&gt;1,"",IF(I4307="SBJ","CB","?"))</f>
        <v> </v>
      </c>
      <c r="I4307" s="25" t="str">
        <f>IF(OR(E4307="",E4307="!!!",F4307="NEW"),"",INDEX(B4306:B$2,-1+SUMPRODUCT(MAX(ROW(E4306:E$2)*(E4307=E4306:E$2)))))</f>
        <v> </v>
      </c>
      <c r="J4307" s="25" t="str">
        <f>IF(OR(E4307="",E4307="!!!",F4307="NEW"),"",COUNTBLANK(OFFSET(A$1,,,SUMPRODUCT(MAX(ROW(E$2:E4307)*(E4307=E$2:E4307)))))-COUNTBLANK(OFFSET(A$1,,,SUMPRODUCT(MAX(ROW(E$1:E4306)*(E2=E$1:E4306))))))</f>
        <v> </v>
      </c>
      <c r="K4307" s="25" t="str">
        <f>IF(OR(E4307="",E4307="!!!",F4307="NEW"),"",INDEX(J$1:J4306,SUMPRODUCT(MAX(ROW(E$1:E4306)*(E4307=E$1:E4306)))))</f>
        <v> </v>
      </c>
      <c r="L4307" s="26"/>
    </row>
    <row r="4308" spans="1:12">
      <c r="A4308" s="20" t="s">
        <v>1369</v>
      </c>
      <c r="E4308" s="21">
        <f>IF(D4308="?OLD","!!!","")</f>
        <v/>
      </c>
      <c r="F4308" s="22" t="str">
        <f>IF(OR(E4308="",E4308="!!!"),"",IF(NOT(ISNA(VLOOKUP(E4308,E$1:E4307,1,FALSE()))),"OLD",IF(AND(E4308&lt;&gt;"",E4308&lt;&gt;"!!!"),"NEW","")))</f>
        <v> </v>
      </c>
      <c r="G4308" s="23" t="str">
        <f>IF(OR(E4308="",E4308="!!!"),"",IF(OR(J4308=0,AND(J4308=1,K4308=1),AND(J4308=1,I4308="SBJ"),AND(J4308=1,I4308=0)),"?IN_FOCUS",IF(J4308&lt;=2,"?ACTIVATED",IF(J4308&lt;&gt;"","?FAMILIAR",IF(F4308="NEW",IF(ISNA(VLOOKUP(E4308,#REF!,1,FALSE())),"?TYPE_IDENTIFIABLE","?REFERENTIAL"),"_")))))</f>
        <v> </v>
      </c>
      <c r="H4308" s="24" t="str">
        <f>IF(J4308&lt;&gt;1,"",IF(I4308="SBJ","CB","?"))</f>
        <v> </v>
      </c>
      <c r="I4308" s="25" t="str">
        <f>IF(OR(E4308="",E4308="!!!",F4308="NEW"),"",INDEX(B4307:B$2,-1+SUMPRODUCT(MAX(ROW(E4307:E$2)*(E4308=E4307:E$2)))))</f>
        <v> </v>
      </c>
      <c r="J4308" s="25" t="str">
        <f>IF(OR(E4308="",E4308="!!!",F4308="NEW"),"",COUNTBLANK(OFFSET(A$1,,,SUMPRODUCT(MAX(ROW(E$2:E4308)*(E4308=E$2:E4308)))))-COUNTBLANK(OFFSET(A$1,,,SUMPRODUCT(MAX(ROW(E$1:E4307)*(E2=E$1:E4307))))))</f>
        <v> </v>
      </c>
      <c r="K4308" s="25" t="str">
        <f>IF(OR(E4308="",E4308="!!!",F4308="NEW"),"",INDEX(J$1:J4307,SUMPRODUCT(MAX(ROW(E$1:E4307)*(E4308=E$1:E4307)))))</f>
        <v> </v>
      </c>
      <c r="L4308" s="26"/>
    </row>
    <row r="4309" spans="1:12">
      <c r="A4309" s="20" t="s">
        <v>1123</v>
      </c>
      <c r="E4309" s="21">
        <f>IF(D4309="?OLD","!!!","")</f>
        <v/>
      </c>
      <c r="F4309" s="22" t="str">
        <f>IF(OR(E4309="",E4309="!!!"),"",IF(NOT(ISNA(VLOOKUP(E4309,E$1:E4308,1,FALSE()))),"OLD",IF(AND(E4309&lt;&gt;"",E4309&lt;&gt;"!!!"),"NEW","")))</f>
        <v> </v>
      </c>
      <c r="G4309" s="23" t="str">
        <f>IF(OR(E4309="",E4309="!!!"),"",IF(OR(J4309=0,AND(J4309=1,K4309=1),AND(J4309=1,I4309="SBJ"),AND(J4309=1,I4309=0)),"?IN_FOCUS",IF(J4309&lt;=2,"?ACTIVATED",IF(J4309&lt;&gt;"","?FAMILIAR",IF(F4309="NEW",IF(ISNA(VLOOKUP(E4309,#REF!,1,FALSE())),"?TYPE_IDENTIFIABLE","?REFERENTIAL"),"_")))))</f>
        <v> </v>
      </c>
      <c r="H4309" s="24" t="str">
        <f>IF(J4309&lt;&gt;1,"",IF(I4309="SBJ","CB","?"))</f>
        <v> </v>
      </c>
      <c r="I4309" s="25" t="str">
        <f>IF(OR(E4309="",E4309="!!!",F4309="NEW"),"",INDEX(B4308:B$2,-1+SUMPRODUCT(MAX(ROW(E4308:E$2)*(E4309=E4308:E$2)))))</f>
        <v> </v>
      </c>
      <c r="J4309" s="25" t="str">
        <f>IF(OR(E4309="",E4309="!!!",F4309="NEW"),"",COUNTBLANK(OFFSET(A$1,,,SUMPRODUCT(MAX(ROW(E$2:E4309)*(E4309=E$2:E4309)))))-COUNTBLANK(OFFSET(A$1,,,SUMPRODUCT(MAX(ROW(E$1:E4308)*(E2=E$1:E4308))))))</f>
        <v> </v>
      </c>
      <c r="K4309" s="25" t="str">
        <f>IF(OR(E4309="",E4309="!!!",F4309="NEW"),"",INDEX(J$1:J4308,SUMPRODUCT(MAX(ROW(E$1:E4308)*(E4309=E$1:E4308)))))</f>
        <v> </v>
      </c>
      <c r="L4309" s="26"/>
    </row>
    <row r="4310" spans="1:12">
      <c r="A4310" s="20" t="s">
        <v>1228</v>
      </c>
      <c r="B4310" s="27" t="s">
        <v>1122</v>
      </c>
      <c r="C4310" s="27" t="s">
        <v>1126</v>
      </c>
      <c r="D4310" s="27" t="s">
        <v>1105</v>
      </c>
      <c r="E4310" s="21">
        <f>IF(D4310="?OLD","!!!","")</f>
        <v/>
      </c>
      <c r="F4310" s="22" t="str">
        <f>IF(OR(E4310="",E4310="!!!"),"",IF(NOT(ISNA(VLOOKUP(E4310,E$1:E4309,1,FALSE()))),"OLD",IF(AND(E4310&lt;&gt;"",E4310&lt;&gt;"!!!"),"NEW","")))</f>
        <v> </v>
      </c>
      <c r="G4310" s="23" t="str">
        <f>IF(OR(E4310="",E4310="!!!"),"",IF(OR(J4310=0,AND(J4310=1,K4310=1),AND(J4310=1,I4310="SBJ"),AND(J4310=1,I4310=0)),"?IN_FOCUS",IF(J4310&lt;=2,"?ACTIVATED",IF(J4310&lt;&gt;"","?FAMILIAR",IF(F4310="NEW",IF(ISNA(VLOOKUP(E4310,#REF!,1,FALSE())),"?TYPE_IDENTIFIABLE","?REFERENTIAL"),"_")))))</f>
        <v> </v>
      </c>
      <c r="H4310" s="24" t="str">
        <f>IF(J4310&lt;&gt;1,"",IF(I4310="SBJ","CB","?"))</f>
        <v> </v>
      </c>
      <c r="I4310" s="25" t="str">
        <f>IF(OR(E4310="",E4310="!!!",F4310="NEW"),"",INDEX(B4309:B$2,-1+SUMPRODUCT(MAX(ROW(E4309:E$2)*(E4310=E4309:E$2)))))</f>
        <v> </v>
      </c>
      <c r="J4310" s="25" t="str">
        <f>IF(OR(E4310="",E4310="!!!",F4310="NEW"),"",COUNTBLANK(OFFSET(A$1,,,SUMPRODUCT(MAX(ROW(E$2:E4310)*(E4310=E$2:E4310)))))-COUNTBLANK(OFFSET(A$1,,,SUMPRODUCT(MAX(ROW(E$1:E4309)*(E2=E$1:E4309))))))</f>
        <v> </v>
      </c>
      <c r="K4310" s="25" t="str">
        <f>IF(OR(E4310="",E4310="!!!",F4310="NEW"),"",INDEX(J$1:J4309,SUMPRODUCT(MAX(ROW(E$1:E4309)*(E4310=E$1:E4309)))))</f>
        <v> </v>
      </c>
      <c r="L4310" s="26"/>
    </row>
    <row r="4311" spans="1:12">
      <c r="A4311" s="20" t="s">
        <v>3012</v>
      </c>
      <c r="E4311" s="21">
        <f>IF(D4311="?OLD","!!!","")</f>
        <v/>
      </c>
      <c r="F4311" s="22" t="str">
        <f>IF(OR(E4311="",E4311="!!!"),"",IF(NOT(ISNA(VLOOKUP(E4311,E$1:E4310,1,FALSE()))),"OLD",IF(AND(E4311&lt;&gt;"",E4311&lt;&gt;"!!!"),"NEW","")))</f>
        <v> </v>
      </c>
      <c r="G4311" s="23" t="str">
        <f>IF(OR(E4311="",E4311="!!!"),"",IF(OR(J4311=0,AND(J4311=1,K4311=1),AND(J4311=1,I4311="SBJ"),AND(J4311=1,I4311=0)),"?IN_FOCUS",IF(J4311&lt;=2,"?ACTIVATED",IF(J4311&lt;&gt;"","?FAMILIAR",IF(F4311="NEW",IF(ISNA(VLOOKUP(E4311,#REF!,1,FALSE())),"?TYPE_IDENTIFIABLE","?REFERENTIAL"),"_")))))</f>
        <v> </v>
      </c>
      <c r="H4311" s="24" t="str">
        <f>IF(J4311&lt;&gt;1,"",IF(I4311="SBJ","CB","?"))</f>
        <v> </v>
      </c>
      <c r="I4311" s="25" t="str">
        <f>IF(OR(E4311="",E4311="!!!",F4311="NEW"),"",INDEX(B4310:B$2,-1+SUMPRODUCT(MAX(ROW(E4310:E$2)*(E4311=E4310:E$2)))))</f>
        <v> </v>
      </c>
      <c r="J4311" s="25" t="str">
        <f>IF(OR(E4311="",E4311="!!!",F4311="NEW"),"",COUNTBLANK(OFFSET(A$1,,,SUMPRODUCT(MAX(ROW(E$2:E4311)*(E4311=E$2:E4311)))))-COUNTBLANK(OFFSET(A$1,,,SUMPRODUCT(MAX(ROW(E$1:E4310)*(E2=E$1:E4310))))))</f>
        <v> </v>
      </c>
      <c r="K4311" s="25" t="str">
        <f>IF(OR(E4311="",E4311="!!!",F4311="NEW"),"",INDEX(J$1:J4310,SUMPRODUCT(MAX(ROW(E$1:E4310)*(E4311=E$1:E4310)))))</f>
        <v> </v>
      </c>
      <c r="L4311" s="26"/>
    </row>
    <row r="4312" spans="1:12">
      <c r="A4312" s="20" t="s">
        <v>1123</v>
      </c>
      <c r="E4312" s="21">
        <f>IF(D4312="?OLD","!!!","")</f>
        <v/>
      </c>
      <c r="F4312" s="22" t="str">
        <f>IF(OR(E4312="",E4312="!!!"),"",IF(NOT(ISNA(VLOOKUP(E4312,E$1:E4311,1,FALSE()))),"OLD",IF(AND(E4312&lt;&gt;"",E4312&lt;&gt;"!!!"),"NEW","")))</f>
        <v> </v>
      </c>
      <c r="G4312" s="23" t="str">
        <f>IF(OR(E4312="",E4312="!!!"),"",IF(OR(J4312=0,AND(J4312=1,K4312=1),AND(J4312=1,I4312="SBJ"),AND(J4312=1,I4312=0)),"?IN_FOCUS",IF(J4312&lt;=2,"?ACTIVATED",IF(J4312&lt;&gt;"","?FAMILIAR",IF(F4312="NEW",IF(ISNA(VLOOKUP(E4312,#REF!,1,FALSE())),"?TYPE_IDENTIFIABLE","?REFERENTIAL"),"_")))))</f>
        <v> </v>
      </c>
      <c r="H4312" s="24" t="str">
        <f>IF(J4312&lt;&gt;1,"",IF(I4312="SBJ","CB","?"))</f>
        <v> </v>
      </c>
      <c r="I4312" s="25" t="str">
        <f>IF(OR(E4312="",E4312="!!!",F4312="NEW"),"",INDEX(B4311:B$2,-1+SUMPRODUCT(MAX(ROW(E4311:E$2)*(E4312=E4311:E$2)))))</f>
        <v> </v>
      </c>
      <c r="J4312" s="25" t="str">
        <f>IF(OR(E4312="",E4312="!!!",F4312="NEW"),"",COUNTBLANK(OFFSET(A$1,,,SUMPRODUCT(MAX(ROW(E$2:E4312)*(E4312=E$2:E4312)))))-COUNTBLANK(OFFSET(A$1,,,SUMPRODUCT(MAX(ROW(E$1:E4311)*(E2=E$1:E4311))))))</f>
        <v> </v>
      </c>
      <c r="K4312" s="25" t="str">
        <f>IF(OR(E4312="",E4312="!!!",F4312="NEW"),"",INDEX(J$1:J4311,SUMPRODUCT(MAX(ROW(E$1:E4311)*(E4312=E$1:E4311)))))</f>
        <v> </v>
      </c>
      <c r="L4312" s="26"/>
    </row>
    <row r="4313" spans="1:12">
      <c r="A4313" s="20" t="s">
        <v>2593</v>
      </c>
      <c r="E4313" s="21">
        <f>IF(D4313="?OLD","!!!","")</f>
        <v/>
      </c>
      <c r="F4313" s="22" t="str">
        <f>IF(OR(E4313="",E4313="!!!"),"",IF(NOT(ISNA(VLOOKUP(E4313,E$1:E4312,1,FALSE()))),"OLD",IF(AND(E4313&lt;&gt;"",E4313&lt;&gt;"!!!"),"NEW","")))</f>
        <v> </v>
      </c>
      <c r="G4313" s="23" t="str">
        <f>IF(OR(E4313="",E4313="!!!"),"",IF(OR(J4313=0,AND(J4313=1,K4313=1),AND(J4313=1,I4313="SBJ"),AND(J4313=1,I4313=0)),"?IN_FOCUS",IF(J4313&lt;=2,"?ACTIVATED",IF(J4313&lt;&gt;"","?FAMILIAR",IF(F4313="NEW",IF(ISNA(VLOOKUP(E4313,#REF!,1,FALSE())),"?TYPE_IDENTIFIABLE","?REFERENTIAL"),"_")))))</f>
        <v> </v>
      </c>
      <c r="H4313" s="24" t="str">
        <f>IF(J4313&lt;&gt;1,"",IF(I4313="SBJ","CB","?"))</f>
        <v> </v>
      </c>
      <c r="I4313" s="25" t="str">
        <f>IF(OR(E4313="",E4313="!!!",F4313="NEW"),"",INDEX(B4312:B$2,-1+SUMPRODUCT(MAX(ROW(E4312:E$2)*(E4313=E4312:E$2)))))</f>
        <v> </v>
      </c>
      <c r="J4313" s="25" t="str">
        <f>IF(OR(E4313="",E4313="!!!",F4313="NEW"),"",COUNTBLANK(OFFSET(A$1,,,SUMPRODUCT(MAX(ROW(E$2:E4313)*(E4313=E$2:E4313)))))-COUNTBLANK(OFFSET(A$1,,,SUMPRODUCT(MAX(ROW(E$1:E4312)*(E2=E$1:E4312))))))</f>
        <v> </v>
      </c>
      <c r="K4313" s="25" t="str">
        <f>IF(OR(E4313="",E4313="!!!",F4313="NEW"),"",INDEX(J$1:J4312,SUMPRODUCT(MAX(ROW(E$1:E4312)*(E4313=E$1:E4312)))))</f>
        <v> </v>
      </c>
      <c r="L4313" s="26"/>
    </row>
    <row r="4314" spans="1:12">
      <c r="A4314" s="20" t="s">
        <v>2633</v>
      </c>
      <c r="B4314" s="27" t="s">
        <v>1149</v>
      </c>
      <c r="C4314" s="27" t="s">
        <v>1156</v>
      </c>
      <c r="D4314" s="27" t="s">
        <v>1105</v>
      </c>
      <c r="E4314" s="21">
        <f>IF(D4314="?OLD","!!!","")</f>
        <v/>
      </c>
      <c r="F4314" s="22" t="str">
        <f>IF(OR(E4314="",E4314="!!!"),"",IF(NOT(ISNA(VLOOKUP(E4314,E$1:E4313,1,FALSE()))),"OLD",IF(AND(E4314&lt;&gt;"",E4314&lt;&gt;"!!!"),"NEW","")))</f>
        <v> </v>
      </c>
      <c r="G4314" s="23" t="str">
        <f>IF(OR(E4314="",E4314="!!!"),"",IF(OR(J4314=0,AND(J4314=1,K4314=1),AND(J4314=1,I4314="SBJ"),AND(J4314=1,I4314=0)),"?IN_FOCUS",IF(J4314&lt;=2,"?ACTIVATED",IF(J4314&lt;&gt;"","?FAMILIAR",IF(F4314="NEW",IF(ISNA(VLOOKUP(E4314,#REF!,1,FALSE())),"?TYPE_IDENTIFIABLE","?REFERENTIAL"),"_")))))</f>
        <v> </v>
      </c>
      <c r="H4314" s="24" t="str">
        <f>IF(J4314&lt;&gt;1,"",IF(I4314="SBJ","CB","?"))</f>
        <v> </v>
      </c>
      <c r="I4314" s="25" t="str">
        <f>IF(OR(E4314="",E4314="!!!",F4314="NEW"),"",INDEX(B4313:B$2,-1+SUMPRODUCT(MAX(ROW(E4313:E$2)*(E4314=E4313:E$2)))))</f>
        <v> </v>
      </c>
      <c r="J4314" s="25" t="str">
        <f>IF(OR(E4314="",E4314="!!!",F4314="NEW"),"",COUNTBLANK(OFFSET(A$1,,,SUMPRODUCT(MAX(ROW(E$2:E4314)*(E4314=E$2:E4314)))))-COUNTBLANK(OFFSET(A$1,,,SUMPRODUCT(MAX(ROW(E$1:E4313)*(E2=E$1:E4313))))))</f>
        <v> </v>
      </c>
      <c r="K4314" s="25" t="str">
        <f>IF(OR(E4314="",E4314="!!!",F4314="NEW"),"",INDEX(J$1:J4313,SUMPRODUCT(MAX(ROW(E$1:E4313)*(E4314=E$1:E4313)))))</f>
        <v> </v>
      </c>
      <c r="L4314" s="26"/>
    </row>
    <row r="4315" spans="1:12">
      <c r="A4315" s="20" t="s">
        <v>3013</v>
      </c>
      <c r="E4315" s="21">
        <f>IF(D4315="?OLD","!!!","")</f>
        <v/>
      </c>
      <c r="F4315" s="22" t="str">
        <f>IF(OR(E4315="",E4315="!!!"),"",IF(NOT(ISNA(VLOOKUP(E4315,E$1:E4314,1,FALSE()))),"OLD",IF(AND(E4315&lt;&gt;"",E4315&lt;&gt;"!!!"),"NEW","")))</f>
        <v> </v>
      </c>
      <c r="G4315" s="23" t="str">
        <f>IF(OR(E4315="",E4315="!!!"),"",IF(OR(J4315=0,AND(J4315=1,K4315=1),AND(J4315=1,I4315="SBJ"),AND(J4315=1,I4315=0)),"?IN_FOCUS",IF(J4315&lt;=2,"?ACTIVATED",IF(J4315&lt;&gt;"","?FAMILIAR",IF(F4315="NEW",IF(ISNA(VLOOKUP(E4315,#REF!,1,FALSE())),"?TYPE_IDENTIFIABLE","?REFERENTIAL"),"_")))))</f>
        <v> </v>
      </c>
      <c r="H4315" s="24" t="str">
        <f>IF(J4315&lt;&gt;1,"",IF(I4315="SBJ","CB","?"))</f>
        <v> </v>
      </c>
      <c r="I4315" s="25" t="str">
        <f>IF(OR(E4315="",E4315="!!!",F4315="NEW"),"",INDEX(B4314:B$2,-1+SUMPRODUCT(MAX(ROW(E4314:E$2)*(E4315=E4314:E$2)))))</f>
        <v> </v>
      </c>
      <c r="J4315" s="25" t="str">
        <f>IF(OR(E4315="",E4315="!!!",F4315="NEW"),"",COUNTBLANK(OFFSET(A$1,,,SUMPRODUCT(MAX(ROW(E$2:E4315)*(E4315=E$2:E4315)))))-COUNTBLANK(OFFSET(A$1,,,SUMPRODUCT(MAX(ROW(E$1:E4314)*(E2=E$1:E4314))))))</f>
        <v> </v>
      </c>
      <c r="K4315" s="25" t="str">
        <f>IF(OR(E4315="",E4315="!!!",F4315="NEW"),"",INDEX(J$1:J4314,SUMPRODUCT(MAX(ROW(E$1:E4314)*(E4315=E$1:E4314)))))</f>
        <v> </v>
      </c>
      <c r="L4315" s="26"/>
    </row>
    <row r="4316" spans="1:12">
      <c r="A4316" s="20" t="s">
        <v>1242</v>
      </c>
      <c r="B4316" s="27" t="s">
        <v>1213</v>
      </c>
      <c r="C4316" s="27" t="s">
        <v>1126</v>
      </c>
      <c r="D4316" s="27" t="s">
        <v>1105</v>
      </c>
      <c r="E4316" s="21">
        <f>IF(D4316="?OLD","!!!","")</f>
        <v/>
      </c>
      <c r="F4316" s="22" t="str">
        <f>IF(OR(E4316="",E4316="!!!"),"",IF(NOT(ISNA(VLOOKUP(E4316,E$1:E4315,1,FALSE()))),"OLD",IF(AND(E4316&lt;&gt;"",E4316&lt;&gt;"!!!"),"NEW","")))</f>
        <v> </v>
      </c>
      <c r="G4316" s="23" t="str">
        <f>IF(OR(E4316="",E4316="!!!"),"",IF(OR(J4316=0,AND(J4316=1,K4316=1),AND(J4316=1,I4316="SBJ"),AND(J4316=1,I4316=0)),"?IN_FOCUS",IF(J4316&lt;=2,"?ACTIVATED",IF(J4316&lt;&gt;"","?FAMILIAR",IF(F4316="NEW",IF(ISNA(VLOOKUP(E4316,#REF!,1,FALSE())),"?TYPE_IDENTIFIABLE","?REFERENTIAL"),"_")))))</f>
        <v> </v>
      </c>
      <c r="H4316" s="24" t="str">
        <f>IF(J4316&lt;&gt;1,"",IF(I4316="SBJ","CB","?"))</f>
        <v> </v>
      </c>
      <c r="I4316" s="25" t="str">
        <f>IF(OR(E4316="",E4316="!!!",F4316="NEW"),"",INDEX(B4315:B$2,-1+SUMPRODUCT(MAX(ROW(E4315:E$2)*(E4316=E4315:E$2)))))</f>
        <v> </v>
      </c>
      <c r="J4316" s="25" t="str">
        <f>IF(OR(E4316="",E4316="!!!",F4316="NEW"),"",COUNTBLANK(OFFSET(A$1,,,SUMPRODUCT(MAX(ROW(E$2:E4316)*(E4316=E$2:E4316)))))-COUNTBLANK(OFFSET(A$1,,,SUMPRODUCT(MAX(ROW(E$1:E4315)*(E2=E$1:E4315))))))</f>
        <v> </v>
      </c>
      <c r="K4316" s="25" t="str">
        <f>IF(OR(E4316="",E4316="!!!",F4316="NEW"),"",INDEX(J$1:J4315,SUMPRODUCT(MAX(ROW(E$1:E4315)*(E4316=E$1:E4315)))))</f>
        <v> </v>
      </c>
      <c r="L4316" s="26"/>
    </row>
    <row r="4317" spans="1:12">
      <c r="A4317" s="20" t="s">
        <v>1206</v>
      </c>
      <c r="E4317" s="21">
        <f>IF(D4317="?OLD","!!!","")</f>
        <v/>
      </c>
      <c r="F4317" s="22" t="str">
        <f>IF(OR(E4317="",E4317="!!!"),"",IF(NOT(ISNA(VLOOKUP(E4317,E$1:E4316,1,FALSE()))),"OLD",IF(AND(E4317&lt;&gt;"",E4317&lt;&gt;"!!!"),"NEW","")))</f>
        <v> </v>
      </c>
      <c r="G4317" s="23" t="str">
        <f>IF(OR(E4317="",E4317="!!!"),"",IF(OR(J4317=0,AND(J4317=1,K4317=1),AND(J4317=1,I4317="SBJ"),AND(J4317=1,I4317=0)),"?IN_FOCUS",IF(J4317&lt;=2,"?ACTIVATED",IF(J4317&lt;&gt;"","?FAMILIAR",IF(F4317="NEW",IF(ISNA(VLOOKUP(E4317,#REF!,1,FALSE())),"?TYPE_IDENTIFIABLE","?REFERENTIAL"),"_")))))</f>
        <v> </v>
      </c>
      <c r="H4317" s="24" t="str">
        <f>IF(J4317&lt;&gt;1,"",IF(I4317="SBJ","CB","?"))</f>
        <v> </v>
      </c>
      <c r="I4317" s="25" t="str">
        <f>IF(OR(E4317="",E4317="!!!",F4317="NEW"),"",INDEX(B4316:B$2,-1+SUMPRODUCT(MAX(ROW(E4316:E$2)*(E4317=E4316:E$2)))))</f>
        <v> </v>
      </c>
      <c r="J4317" s="25" t="str">
        <f>IF(OR(E4317="",E4317="!!!",F4317="NEW"),"",COUNTBLANK(OFFSET(A$1,,,SUMPRODUCT(MAX(ROW(E$2:E4317)*(E4317=E$2:E4317)))))-COUNTBLANK(OFFSET(A$1,,,SUMPRODUCT(MAX(ROW(E$1:E4316)*(E2=E$1:E4316))))))</f>
        <v> </v>
      </c>
      <c r="K4317" s="25" t="str">
        <f>IF(OR(E4317="",E4317="!!!",F4317="NEW"),"",INDEX(J$1:J4316,SUMPRODUCT(MAX(ROW(E$1:E4316)*(E4317=E$1:E4316)))))</f>
        <v> </v>
      </c>
      <c r="L4317" s="26"/>
    </row>
    <row r="4318" spans="1:12">
      <c r="A4318" s="20" t="s">
        <v>3014</v>
      </c>
      <c r="E4318" s="21">
        <f>IF(D4318="?OLD","!!!","")</f>
        <v/>
      </c>
      <c r="F4318" s="22" t="str">
        <f>IF(OR(E4318="",E4318="!!!"),"",IF(NOT(ISNA(VLOOKUP(E4318,E$1:E4317,1,FALSE()))),"OLD",IF(AND(E4318&lt;&gt;"",E4318&lt;&gt;"!!!"),"NEW","")))</f>
        <v> </v>
      </c>
      <c r="G4318" s="23" t="str">
        <f>IF(OR(E4318="",E4318="!!!"),"",IF(OR(J4318=0,AND(J4318=1,K4318=1),AND(J4318=1,I4318="SBJ"),AND(J4318=1,I4318=0)),"?IN_FOCUS",IF(J4318&lt;=2,"?ACTIVATED",IF(J4318&lt;&gt;"","?FAMILIAR",IF(F4318="NEW",IF(ISNA(VLOOKUP(E4318,#REF!,1,FALSE())),"?TYPE_IDENTIFIABLE","?REFERENTIAL"),"_")))))</f>
        <v> </v>
      </c>
      <c r="H4318" s="24" t="str">
        <f>IF(J4318&lt;&gt;1,"",IF(I4318="SBJ","CB","?"))</f>
        <v> </v>
      </c>
      <c r="I4318" s="25" t="str">
        <f>IF(OR(E4318="",E4318="!!!",F4318="NEW"),"",INDEX(B4317:B$2,-1+SUMPRODUCT(MAX(ROW(E4317:E$2)*(E4318=E4317:E$2)))))</f>
        <v> </v>
      </c>
      <c r="J4318" s="25" t="str">
        <f>IF(OR(E4318="",E4318="!!!",F4318="NEW"),"",COUNTBLANK(OFFSET(A$1,,,SUMPRODUCT(MAX(ROW(E$2:E4318)*(E4318=E$2:E4318)))))-COUNTBLANK(OFFSET(A$1,,,SUMPRODUCT(MAX(ROW(E$1:E4317)*(E2=E$1:E4317))))))</f>
        <v> </v>
      </c>
      <c r="K4318" s="25" t="str">
        <f>IF(OR(E4318="",E4318="!!!",F4318="NEW"),"",INDEX(J$1:J4317,SUMPRODUCT(MAX(ROW(E$1:E4317)*(E4318=E$1:E4317)))))</f>
        <v> </v>
      </c>
      <c r="L4318" s="26"/>
    </row>
    <row r="4319" spans="1:12">
      <c r="A4319" s="20" t="s">
        <v>3015</v>
      </c>
      <c r="B4319" s="27" t="s">
        <v>1213</v>
      </c>
      <c r="C4319" s="27" t="s">
        <v>1210</v>
      </c>
      <c r="E4319" s="21">
        <f>IF(D4319="?OLD","!!!","")</f>
        <v/>
      </c>
      <c r="F4319" s="22" t="str">
        <f>IF(OR(E4319="",E4319="!!!"),"",IF(NOT(ISNA(VLOOKUP(E4319,E$1:E4318,1,FALSE()))),"OLD",IF(AND(E4319&lt;&gt;"",E4319&lt;&gt;"!!!"),"NEW","")))</f>
        <v> </v>
      </c>
      <c r="G4319" s="23" t="str">
        <f>IF(OR(E4319="",E4319="!!!"),"",IF(OR(J4319=0,AND(J4319=1,K4319=1),AND(J4319=1,I4319="SBJ"),AND(J4319=1,I4319=0)),"?IN_FOCUS",IF(J4319&lt;=2,"?ACTIVATED",IF(J4319&lt;&gt;"","?FAMILIAR",IF(F4319="NEW",IF(ISNA(VLOOKUP(E4319,#REF!,1,FALSE())),"?TYPE_IDENTIFIABLE","?REFERENTIAL"),"_")))))</f>
        <v> </v>
      </c>
      <c r="H4319" s="24" t="str">
        <f>IF(J4319&lt;&gt;1,"",IF(I4319="SBJ","CB","?"))</f>
        <v> </v>
      </c>
      <c r="I4319" s="25" t="str">
        <f>IF(OR(E4319="",E4319="!!!",F4319="NEW"),"",INDEX(B4318:B$2,-1+SUMPRODUCT(MAX(ROW(E4318:E$2)*(E4319=E4318:E$2)))))</f>
        <v> </v>
      </c>
      <c r="J4319" s="25" t="str">
        <f>IF(OR(E4319="",E4319="!!!",F4319="NEW"),"",COUNTBLANK(OFFSET(A$1,,,SUMPRODUCT(MAX(ROW(E$2:E4319)*(E4319=E$2:E4319)))))-COUNTBLANK(OFFSET(A$1,,,SUMPRODUCT(MAX(ROW(E$1:E4318)*(E2=E$1:E4318))))))</f>
        <v> </v>
      </c>
      <c r="K4319" s="25" t="str">
        <f>IF(OR(E4319="",E4319="!!!",F4319="NEW"),"",INDEX(J$1:J4318,SUMPRODUCT(MAX(ROW(E$1:E4318)*(E4319=E$1:E4318)))))</f>
        <v> </v>
      </c>
      <c r="L4319" s="26"/>
    </row>
    <row r="4320" spans="1:12">
      <c r="A4320" s="20" t="s">
        <v>1145</v>
      </c>
      <c r="E4320" s="21">
        <f>IF(D4320="?OLD","!!!","")</f>
        <v/>
      </c>
      <c r="F4320" s="22" t="str">
        <f>IF(OR(E4320="",E4320="!!!"),"",IF(NOT(ISNA(VLOOKUP(E4320,E$1:E4319,1,FALSE()))),"OLD",IF(AND(E4320&lt;&gt;"",E4320&lt;&gt;"!!!"),"NEW","")))</f>
        <v> </v>
      </c>
      <c r="G4320" s="23" t="str">
        <f>IF(OR(E4320="",E4320="!!!"),"",IF(OR(J4320=0,AND(J4320=1,K4320=1),AND(J4320=1,I4320="SBJ"),AND(J4320=1,I4320=0)),"?IN_FOCUS",IF(J4320&lt;=2,"?ACTIVATED",IF(J4320&lt;&gt;"","?FAMILIAR",IF(F4320="NEW",IF(ISNA(VLOOKUP(E4320,#REF!,1,FALSE())),"?TYPE_IDENTIFIABLE","?REFERENTIAL"),"_")))))</f>
        <v> </v>
      </c>
      <c r="H4320" s="24" t="str">
        <f>IF(J4320&lt;&gt;1,"",IF(I4320="SBJ","CB","?"))</f>
        <v> </v>
      </c>
      <c r="I4320" s="25" t="str">
        <f>IF(OR(E4320="",E4320="!!!",F4320="NEW"),"",INDEX(B4319:B$2,-1+SUMPRODUCT(MAX(ROW(E4319:E$2)*(E4320=E4319:E$2)))))</f>
        <v> </v>
      </c>
      <c r="J4320" s="25" t="str">
        <f>IF(OR(E4320="",E4320="!!!",F4320="NEW"),"",COUNTBLANK(OFFSET(A$1,,,SUMPRODUCT(MAX(ROW(E$2:E4320)*(E4320=E$2:E4320)))))-COUNTBLANK(OFFSET(A$1,,,SUMPRODUCT(MAX(ROW(E$1:E4319)*(E2=E$1:E4319))))))</f>
        <v> </v>
      </c>
      <c r="K4320" s="25" t="str">
        <f>IF(OR(E4320="",E4320="!!!",F4320="NEW"),"",INDEX(J$1:J4319,SUMPRODUCT(MAX(ROW(E$1:E4319)*(E4320=E$1:E4319)))))</f>
        <v> </v>
      </c>
      <c r="L4320" s="26"/>
    </row>
    <row r="4321" spans="1:12">
      <c r="A4321" s="20"/>
    </row>
    <row r="4322" spans="1:12">
      <c r="A4322" s="20" t="s">
        <v>3016</v>
      </c>
    </row>
    <row r="4323" spans="1:12">
      <c r="A4323" s="20" t="s">
        <v>3017</v>
      </c>
      <c r="E4323" s="21">
        <f>IF(D4323="?OLD","!!!","")</f>
        <v/>
      </c>
      <c r="F4323" s="22" t="str">
        <f>IF(OR(E4323="",E4323="!!!"),"",IF(NOT(ISNA(VLOOKUP(E4323,E$1:E4322,1,FALSE()))),"OLD",IF(AND(E4323&lt;&gt;"",E4323&lt;&gt;"!!!"),"NEW","")))</f>
        <v> </v>
      </c>
      <c r="G4323" s="23" t="str">
        <f>IF(OR(E4323="",E4323="!!!"),"",IF(OR(J4323=0,AND(J4323=1,K4323=1),AND(J4323=1,I4323="SBJ"),AND(J4323=1,I4323=0)),"?IN_FOCUS",IF(J4323&lt;=2,"?ACTIVATED",IF(J4323&lt;&gt;"","?FAMILIAR",IF(F4323="NEW",IF(ISNA(VLOOKUP(E4323,#REF!,1,FALSE())),"?TYPE_IDENTIFIABLE","?REFERENTIAL"),"_")))))</f>
        <v> </v>
      </c>
      <c r="H4323" s="24" t="str">
        <f>IF(J4323&lt;&gt;1,"",IF(I4323="SBJ","CB","?"))</f>
        <v> </v>
      </c>
      <c r="I4323" s="25" t="str">
        <f>IF(OR(E4323="",E4323="!!!",F4323="NEW"),"",INDEX(B4322:B$2,-1+SUMPRODUCT(MAX(ROW(E4322:E$2)*(E4323=E4322:E$2)))))</f>
        <v> </v>
      </c>
      <c r="J4323" s="25" t="str">
        <f>IF(OR(E4323="",E4323="!!!",F4323="NEW"),"",COUNTBLANK(OFFSET(A$1,,,SUMPRODUCT(MAX(ROW(E$2:E4323)*(E4323=E$2:E4323)))))-COUNTBLANK(OFFSET(A$1,,,SUMPRODUCT(MAX(ROW(E$1:E4322)*(E2=E$1:E4322))))))</f>
        <v> </v>
      </c>
      <c r="K4323" s="25" t="str">
        <f>IF(OR(E4323="",E4323="!!!",F4323="NEW"),"",INDEX(J$1:J4322,SUMPRODUCT(MAX(ROW(E$1:E4322)*(E4323=E$1:E4322)))))</f>
        <v> </v>
      </c>
      <c r="L4323" s="26"/>
    </row>
    <row r="4324" spans="1:12">
      <c r="A4324" s="20" t="s">
        <v>2277</v>
      </c>
      <c r="B4324" s="27" t="s">
        <v>1243</v>
      </c>
      <c r="E4324" s="21">
        <f>IF(D4324="?OLD","!!!","")</f>
        <v/>
      </c>
      <c r="F4324" s="22" t="str">
        <f>IF(OR(E4324="",E4324="!!!"),"",IF(NOT(ISNA(VLOOKUP(E4324,E$1:E4323,1,FALSE()))),"OLD",IF(AND(E4324&lt;&gt;"",E4324&lt;&gt;"!!!"),"NEW","")))</f>
        <v> </v>
      </c>
      <c r="G4324" s="23" t="str">
        <f>IF(OR(E4324="",E4324="!!!"),"",IF(OR(J4324=0,AND(J4324=1,K4324=1),AND(J4324=1,I4324="SBJ"),AND(J4324=1,I4324=0)),"?IN_FOCUS",IF(J4324&lt;=2,"?ACTIVATED",IF(J4324&lt;&gt;"","?FAMILIAR",IF(F4324="NEW",IF(ISNA(VLOOKUP(E4324,#REF!,1,FALSE())),"?TYPE_IDENTIFIABLE","?REFERENTIAL"),"_")))))</f>
        <v> </v>
      </c>
      <c r="H4324" s="24" t="str">
        <f>IF(J4324&lt;&gt;1,"",IF(I4324="SBJ","CB","?"))</f>
        <v> </v>
      </c>
      <c r="I4324" s="25" t="str">
        <f>IF(OR(E4324="",E4324="!!!",F4324="NEW"),"",INDEX(B4323:B$2,-1+SUMPRODUCT(MAX(ROW(E4323:E$2)*(E4324=E4323:E$2)))))</f>
        <v> </v>
      </c>
      <c r="J4324" s="25" t="str">
        <f>IF(OR(E4324="",E4324="!!!",F4324="NEW"),"",COUNTBLANK(OFFSET(A$1,,,SUMPRODUCT(MAX(ROW(E$2:E4324)*(E4324=E$2:E4324)))))-COUNTBLANK(OFFSET(A$1,,,SUMPRODUCT(MAX(ROW(E$1:E4323)*(E2=E$1:E4323))))))</f>
        <v> </v>
      </c>
      <c r="K4324" s="25" t="str">
        <f>IF(OR(E4324="",E4324="!!!",F4324="NEW"),"",INDEX(J$1:J4323,SUMPRODUCT(MAX(ROW(E$1:E4323)*(E4324=E$1:E4323)))))</f>
        <v> </v>
      </c>
      <c r="L4324" s="26"/>
    </row>
    <row r="4325" spans="1:12">
      <c r="A4325" s="20" t="s">
        <v>1120</v>
      </c>
      <c r="E4325" s="21">
        <f>IF(D4325="?OLD","!!!","")</f>
        <v/>
      </c>
      <c r="F4325" s="22" t="str">
        <f>IF(OR(E4325="",E4325="!!!"),"",IF(NOT(ISNA(VLOOKUP(E4325,E$1:E4324,1,FALSE()))),"OLD",IF(AND(E4325&lt;&gt;"",E4325&lt;&gt;"!!!"),"NEW","")))</f>
        <v> </v>
      </c>
      <c r="G4325" s="23" t="str">
        <f>IF(OR(E4325="",E4325="!!!"),"",IF(OR(J4325=0,AND(J4325=1,K4325=1),AND(J4325=1,I4325="SBJ"),AND(J4325=1,I4325=0)),"?IN_FOCUS",IF(J4325&lt;=2,"?ACTIVATED",IF(J4325&lt;&gt;"","?FAMILIAR",IF(F4325="NEW",IF(ISNA(VLOOKUP(E4325,#REF!,1,FALSE())),"?TYPE_IDENTIFIABLE","?REFERENTIAL"),"_")))))</f>
        <v> </v>
      </c>
      <c r="H4325" s="24" t="str">
        <f>IF(J4325&lt;&gt;1,"",IF(I4325="SBJ","CB","?"))</f>
        <v> </v>
      </c>
      <c r="I4325" s="25" t="str">
        <f>IF(OR(E4325="",E4325="!!!",F4325="NEW"),"",INDEX(B4324:B$2,-1+SUMPRODUCT(MAX(ROW(E4324:E$2)*(E4325=E4324:E$2)))))</f>
        <v> </v>
      </c>
      <c r="J4325" s="25" t="str">
        <f>IF(OR(E4325="",E4325="!!!",F4325="NEW"),"",COUNTBLANK(OFFSET(A$1,,,SUMPRODUCT(MAX(ROW(E$2:E4325)*(E4325=E$2:E4325)))))-COUNTBLANK(OFFSET(A$1,,,SUMPRODUCT(MAX(ROW(E$1:E4324)*(E2=E$1:E4324))))))</f>
        <v> </v>
      </c>
      <c r="K4325" s="25" t="str">
        <f>IF(OR(E4325="",E4325="!!!",F4325="NEW"),"",INDEX(J$1:J4324,SUMPRODUCT(MAX(ROW(E$1:E4324)*(E4325=E$1:E4324)))))</f>
        <v> </v>
      </c>
      <c r="L4325" s="26"/>
    </row>
    <row r="4326" spans="1:12">
      <c r="A4326" s="20" t="s">
        <v>3018</v>
      </c>
      <c r="E4326" s="21">
        <f>IF(D4326="?OLD","!!!","")</f>
        <v/>
      </c>
      <c r="F4326" s="22" t="str">
        <f>IF(OR(E4326="",E4326="!!!"),"",IF(NOT(ISNA(VLOOKUP(E4326,E$1:E4325,1,FALSE()))),"OLD",IF(AND(E4326&lt;&gt;"",E4326&lt;&gt;"!!!"),"NEW","")))</f>
        <v> </v>
      </c>
      <c r="G4326" s="23" t="str">
        <f>IF(OR(E4326="",E4326="!!!"),"",IF(OR(J4326=0,AND(J4326=1,K4326=1),AND(J4326=1,I4326="SBJ"),AND(J4326=1,I4326=0)),"?IN_FOCUS",IF(J4326&lt;=2,"?ACTIVATED",IF(J4326&lt;&gt;"","?FAMILIAR",IF(F4326="NEW",IF(ISNA(VLOOKUP(E4326,#REF!,1,FALSE())),"?TYPE_IDENTIFIABLE","?REFERENTIAL"),"_")))))</f>
        <v> </v>
      </c>
      <c r="H4326" s="24" t="str">
        <f>IF(J4326&lt;&gt;1,"",IF(I4326="SBJ","CB","?"))</f>
        <v> </v>
      </c>
      <c r="I4326" s="25" t="str">
        <f>IF(OR(E4326="",E4326="!!!",F4326="NEW"),"",INDEX(B4325:B$2,-1+SUMPRODUCT(MAX(ROW(E4325:E$2)*(E4326=E4325:E$2)))))</f>
        <v> </v>
      </c>
      <c r="J4326" s="25" t="str">
        <f>IF(OR(E4326="",E4326="!!!",F4326="NEW"),"",COUNTBLANK(OFFSET(A$1,,,SUMPRODUCT(MAX(ROW(E$2:E4326)*(E4326=E$2:E4326)))))-COUNTBLANK(OFFSET(A$1,,,SUMPRODUCT(MAX(ROW(E$1:E4325)*(E2=E$1:E4325))))))</f>
        <v> </v>
      </c>
      <c r="K4326" s="25" t="str">
        <f>IF(OR(E4326="",E4326="!!!",F4326="NEW"),"",INDEX(J$1:J4325,SUMPRODUCT(MAX(ROW(E$1:E4325)*(E4326=E$1:E4325)))))</f>
        <v> </v>
      </c>
      <c r="L4326" s="26"/>
    </row>
    <row r="4327" spans="1:12">
      <c r="A4327" s="20" t="s">
        <v>1123</v>
      </c>
      <c r="E4327" s="21">
        <f>IF(D4327="?OLD","!!!","")</f>
        <v/>
      </c>
      <c r="F4327" s="22" t="str">
        <f>IF(OR(E4327="",E4327="!!!"),"",IF(NOT(ISNA(VLOOKUP(E4327,E$1:E4326,1,FALSE()))),"OLD",IF(AND(E4327&lt;&gt;"",E4327&lt;&gt;"!!!"),"NEW","")))</f>
        <v> </v>
      </c>
      <c r="G4327" s="23" t="str">
        <f>IF(OR(E4327="",E4327="!!!"),"",IF(OR(J4327=0,AND(J4327=1,K4327=1),AND(J4327=1,I4327="SBJ"),AND(J4327=1,I4327=0)),"?IN_FOCUS",IF(J4327&lt;=2,"?ACTIVATED",IF(J4327&lt;&gt;"","?FAMILIAR",IF(F4327="NEW",IF(ISNA(VLOOKUP(E4327,#REF!,1,FALSE())),"?TYPE_IDENTIFIABLE","?REFERENTIAL"),"_")))))</f>
        <v> </v>
      </c>
      <c r="H4327" s="24" t="str">
        <f>IF(J4327&lt;&gt;1,"",IF(I4327="SBJ","CB","?"))</f>
        <v> </v>
      </c>
      <c r="I4327" s="25" t="str">
        <f>IF(OR(E4327="",E4327="!!!",F4327="NEW"),"",INDEX(B4326:B$2,-1+SUMPRODUCT(MAX(ROW(E4326:E$2)*(E4327=E4326:E$2)))))</f>
        <v> </v>
      </c>
      <c r="J4327" s="25" t="str">
        <f>IF(OR(E4327="",E4327="!!!",F4327="NEW"),"",COUNTBLANK(OFFSET(A$1,,,SUMPRODUCT(MAX(ROW(E$2:E4327)*(E4327=E$2:E4327)))))-COUNTBLANK(OFFSET(A$1,,,SUMPRODUCT(MAX(ROW(E$1:E4326)*(E2=E$1:E4326))))))</f>
        <v> </v>
      </c>
      <c r="K4327" s="25" t="str">
        <f>IF(OR(E4327="",E4327="!!!",F4327="NEW"),"",INDEX(J$1:J4326,SUMPRODUCT(MAX(ROW(E$1:E4326)*(E4327=E$1:E4326)))))</f>
        <v> </v>
      </c>
      <c r="L4327" s="26"/>
    </row>
    <row r="4328" spans="1:12">
      <c r="A4328" s="20" t="s">
        <v>1224</v>
      </c>
      <c r="E4328" s="21">
        <f>IF(D4328="?OLD","!!!","")</f>
        <v/>
      </c>
      <c r="F4328" s="22" t="str">
        <f>IF(OR(E4328="",E4328="!!!"),"",IF(NOT(ISNA(VLOOKUP(E4328,E$1:E4327,1,FALSE()))),"OLD",IF(AND(E4328&lt;&gt;"",E4328&lt;&gt;"!!!"),"NEW","")))</f>
        <v> </v>
      </c>
      <c r="G4328" s="23" t="str">
        <f>IF(OR(E4328="",E4328="!!!"),"",IF(OR(J4328=0,AND(J4328=1,K4328=1),AND(J4328=1,I4328="SBJ"),AND(J4328=1,I4328=0)),"?IN_FOCUS",IF(J4328&lt;=2,"?ACTIVATED",IF(J4328&lt;&gt;"","?FAMILIAR",IF(F4328="NEW",IF(ISNA(VLOOKUP(E4328,#REF!,1,FALSE())),"?TYPE_IDENTIFIABLE","?REFERENTIAL"),"_")))))</f>
        <v> </v>
      </c>
      <c r="H4328" s="24" t="str">
        <f>IF(J4328&lt;&gt;1,"",IF(I4328="SBJ","CB","?"))</f>
        <v> </v>
      </c>
      <c r="I4328" s="25" t="str">
        <f>IF(OR(E4328="",E4328="!!!",F4328="NEW"),"",INDEX(B4327:B$2,-1+SUMPRODUCT(MAX(ROW(E4327:E$2)*(E4328=E4327:E$2)))))</f>
        <v> </v>
      </c>
      <c r="J4328" s="25" t="str">
        <f>IF(OR(E4328="",E4328="!!!",F4328="NEW"),"",COUNTBLANK(OFFSET(A$1,,,SUMPRODUCT(MAX(ROW(E$2:E4328)*(E4328=E$2:E4328)))))-COUNTBLANK(OFFSET(A$1,,,SUMPRODUCT(MAX(ROW(E$1:E4327)*(E2=E$1:E4327))))))</f>
        <v> </v>
      </c>
      <c r="K4328" s="25" t="str">
        <f>IF(OR(E4328="",E4328="!!!",F4328="NEW"),"",INDEX(J$1:J4327,SUMPRODUCT(MAX(ROW(E$1:E4327)*(E4328=E$1:E4327)))))</f>
        <v> </v>
      </c>
      <c r="L4328" s="26"/>
    </row>
    <row r="4329" spans="1:12">
      <c r="A4329" s="20" t="s">
        <v>396</v>
      </c>
      <c r="E4329" s="21">
        <f>IF(D4329="?OLD","!!!","")</f>
        <v/>
      </c>
      <c r="F4329" s="22" t="str">
        <f>IF(OR(E4329="",E4329="!!!"),"",IF(NOT(ISNA(VLOOKUP(E4329,E$1:E4328,1,FALSE()))),"OLD",IF(AND(E4329&lt;&gt;"",E4329&lt;&gt;"!!!"),"NEW","")))</f>
        <v> </v>
      </c>
      <c r="G4329" s="23" t="str">
        <f>IF(OR(E4329="",E4329="!!!"),"",IF(OR(J4329=0,AND(J4329=1,K4329=1),AND(J4329=1,I4329="SBJ"),AND(J4329=1,I4329=0)),"?IN_FOCUS",IF(J4329&lt;=2,"?ACTIVATED",IF(J4329&lt;&gt;"","?FAMILIAR",IF(F4329="NEW",IF(ISNA(VLOOKUP(E4329,#REF!,1,FALSE())),"?TYPE_IDENTIFIABLE","?REFERENTIAL"),"_")))))</f>
        <v> </v>
      </c>
      <c r="H4329" s="24" t="str">
        <f>IF(J4329&lt;&gt;1,"",IF(I4329="SBJ","CB","?"))</f>
        <v> </v>
      </c>
      <c r="I4329" s="25" t="str">
        <f>IF(OR(E4329="",E4329="!!!",F4329="NEW"),"",INDEX(B4328:B$2,-1+SUMPRODUCT(MAX(ROW(E4328:E$2)*(E4329=E4328:E$2)))))</f>
        <v> </v>
      </c>
      <c r="J4329" s="25" t="str">
        <f>IF(OR(E4329="",E4329="!!!",F4329="NEW"),"",COUNTBLANK(OFFSET(A$1,,,SUMPRODUCT(MAX(ROW(E$2:E4329)*(E4329=E$2:E4329)))))-COUNTBLANK(OFFSET(A$1,,,SUMPRODUCT(MAX(ROW(E$1:E4328)*(E2=E$1:E4328))))))</f>
        <v> </v>
      </c>
      <c r="K4329" s="25" t="str">
        <f>IF(OR(E4329="",E4329="!!!",F4329="NEW"),"",INDEX(J$1:J4328,SUMPRODUCT(MAX(ROW(E$1:E4328)*(E4329=E$1:E4328)))))</f>
        <v> </v>
      </c>
      <c r="L4329" s="26"/>
    </row>
    <row r="4330" spans="1:12">
      <c r="A4330" s="20" t="s">
        <v>3019</v>
      </c>
      <c r="E4330" s="21">
        <f>IF(D4330="?OLD","!!!","")</f>
        <v/>
      </c>
      <c r="F4330" s="22" t="str">
        <f>IF(OR(E4330="",E4330="!!!"),"",IF(NOT(ISNA(VLOOKUP(E4330,E$1:E4329,1,FALSE()))),"OLD",IF(AND(E4330&lt;&gt;"",E4330&lt;&gt;"!!!"),"NEW","")))</f>
        <v> </v>
      </c>
      <c r="G4330" s="23" t="str">
        <f>IF(OR(E4330="",E4330="!!!"),"",IF(OR(J4330=0,AND(J4330=1,K4330=1),AND(J4330=1,I4330="SBJ"),AND(J4330=1,I4330=0)),"?IN_FOCUS",IF(J4330&lt;=2,"?ACTIVATED",IF(J4330&lt;&gt;"","?FAMILIAR",IF(F4330="NEW",IF(ISNA(VLOOKUP(E4330,#REF!,1,FALSE())),"?TYPE_IDENTIFIABLE","?REFERENTIAL"),"_")))))</f>
        <v> </v>
      </c>
      <c r="H4330" s="24" t="str">
        <f>IF(J4330&lt;&gt;1,"",IF(I4330="SBJ","CB","?"))</f>
        <v> </v>
      </c>
      <c r="I4330" s="25" t="str">
        <f>IF(OR(E4330="",E4330="!!!",F4330="NEW"),"",INDEX(B4329:B$2,-1+SUMPRODUCT(MAX(ROW(E4329:E$2)*(E4330=E4329:E$2)))))</f>
        <v> </v>
      </c>
      <c r="J4330" s="25" t="str">
        <f>IF(OR(E4330="",E4330="!!!",F4330="NEW"),"",COUNTBLANK(OFFSET(A$1,,,SUMPRODUCT(MAX(ROW(E$2:E4330)*(E4330=E$2:E4330)))))-COUNTBLANK(OFFSET(A$1,,,SUMPRODUCT(MAX(ROW(E$1:E4329)*(E2=E$1:E4329))))))</f>
        <v> </v>
      </c>
      <c r="K4330" s="25" t="str">
        <f>IF(OR(E4330="",E4330="!!!",F4330="NEW"),"",INDEX(J$1:J4329,SUMPRODUCT(MAX(ROW(E$1:E4329)*(E4330=E$1:E4329)))))</f>
        <v> </v>
      </c>
      <c r="L4330" s="26"/>
    </row>
    <row r="4331" spans="1:12">
      <c r="A4331" s="20" t="s">
        <v>703</v>
      </c>
      <c r="E4331" s="21">
        <f>IF(D4331="?OLD","!!!","")</f>
        <v/>
      </c>
      <c r="F4331" s="22" t="str">
        <f>IF(OR(E4331="",E4331="!!!"),"",IF(NOT(ISNA(VLOOKUP(E4331,E$1:E4330,1,FALSE()))),"OLD",IF(AND(E4331&lt;&gt;"",E4331&lt;&gt;"!!!"),"NEW","")))</f>
        <v> </v>
      </c>
      <c r="G4331" s="23" t="str">
        <f>IF(OR(E4331="",E4331="!!!"),"",IF(OR(J4331=0,AND(J4331=1,K4331=1),AND(J4331=1,I4331="SBJ"),AND(J4331=1,I4331=0)),"?IN_FOCUS",IF(J4331&lt;=2,"?ACTIVATED",IF(J4331&lt;&gt;"","?FAMILIAR",IF(F4331="NEW",IF(ISNA(VLOOKUP(E4331,#REF!,1,FALSE())),"?TYPE_IDENTIFIABLE","?REFERENTIAL"),"_")))))</f>
        <v> </v>
      </c>
      <c r="H4331" s="24" t="str">
        <f>IF(J4331&lt;&gt;1,"",IF(I4331="SBJ","CB","?"))</f>
        <v> </v>
      </c>
      <c r="I4331" s="25" t="str">
        <f>IF(OR(E4331="",E4331="!!!",F4331="NEW"),"",INDEX(B4330:B$2,-1+SUMPRODUCT(MAX(ROW(E4330:E$2)*(E4331=E4330:E$2)))))</f>
        <v> </v>
      </c>
      <c r="J4331" s="25" t="str">
        <f>IF(OR(E4331="",E4331="!!!",F4331="NEW"),"",COUNTBLANK(OFFSET(A$1,,,SUMPRODUCT(MAX(ROW(E$2:E4331)*(E4331=E$2:E4331)))))-COUNTBLANK(OFFSET(A$1,,,SUMPRODUCT(MAX(ROW(E$1:E4330)*(E2=E$1:E4330))))))</f>
        <v> </v>
      </c>
      <c r="K4331" s="25" t="str">
        <f>IF(OR(E4331="",E4331="!!!",F4331="NEW"),"",INDEX(J$1:J4330,SUMPRODUCT(MAX(ROW(E$1:E4330)*(E4331=E$1:E4330)))))</f>
        <v> </v>
      </c>
      <c r="L4331" s="26"/>
    </row>
    <row r="4332" spans="1:12">
      <c r="A4332" s="20" t="s">
        <v>1494</v>
      </c>
      <c r="B4332" s="27" t="s">
        <v>1115</v>
      </c>
      <c r="C4332" s="27" t="s">
        <v>1126</v>
      </c>
      <c r="D4332" s="27" t="s">
        <v>1105</v>
      </c>
      <c r="E4332" s="21">
        <f>IF(D4332="?OLD","!!!","")</f>
        <v/>
      </c>
      <c r="F4332" s="22" t="str">
        <f>IF(OR(E4332="",E4332="!!!"),"",IF(NOT(ISNA(VLOOKUP(E4332,E$1:E4331,1,FALSE()))),"OLD",IF(AND(E4332&lt;&gt;"",E4332&lt;&gt;"!!!"),"NEW","")))</f>
        <v> </v>
      </c>
      <c r="G4332" s="23" t="str">
        <f>IF(OR(E4332="",E4332="!!!"),"",IF(OR(J4332=0,AND(J4332=1,K4332=1),AND(J4332=1,I4332="SBJ"),AND(J4332=1,I4332=0)),"?IN_FOCUS",IF(J4332&lt;=2,"?ACTIVATED",IF(J4332&lt;&gt;"","?FAMILIAR",IF(F4332="NEW",IF(ISNA(VLOOKUP(E4332,#REF!,1,FALSE())),"?TYPE_IDENTIFIABLE","?REFERENTIAL"),"_")))))</f>
        <v> </v>
      </c>
      <c r="H4332" s="24" t="str">
        <f>IF(J4332&lt;&gt;1,"",IF(I4332="SBJ","CB","?"))</f>
        <v> </v>
      </c>
      <c r="I4332" s="25" t="str">
        <f>IF(OR(E4332="",E4332="!!!",F4332="NEW"),"",INDEX(B4331:B$2,-1+SUMPRODUCT(MAX(ROW(E4331:E$2)*(E4332=E4331:E$2)))))</f>
        <v> </v>
      </c>
      <c r="J4332" s="25" t="str">
        <f>IF(OR(E4332="",E4332="!!!",F4332="NEW"),"",COUNTBLANK(OFFSET(A$1,,,SUMPRODUCT(MAX(ROW(E$2:E4332)*(E4332=E$2:E4332)))))-COUNTBLANK(OFFSET(A$1,,,SUMPRODUCT(MAX(ROW(E$1:E4331)*(E2=E$1:E4331))))))</f>
        <v> </v>
      </c>
      <c r="K4332" s="25" t="str">
        <f>IF(OR(E4332="",E4332="!!!",F4332="NEW"),"",INDEX(J$1:J4331,SUMPRODUCT(MAX(ROW(E$1:E4331)*(E4332=E$1:E4331)))))</f>
        <v> </v>
      </c>
      <c r="L4332" s="26"/>
    </row>
    <row r="4333" spans="1:12">
      <c r="A4333" s="20" t="s">
        <v>3020</v>
      </c>
      <c r="E4333" s="21">
        <f>IF(D4333="?OLD","!!!","")</f>
        <v/>
      </c>
      <c r="F4333" s="22" t="str">
        <f>IF(OR(E4333="",E4333="!!!"),"",IF(NOT(ISNA(VLOOKUP(E4333,E$1:E4332,1,FALSE()))),"OLD",IF(AND(E4333&lt;&gt;"",E4333&lt;&gt;"!!!"),"NEW","")))</f>
        <v> </v>
      </c>
      <c r="G4333" s="23" t="str">
        <f>IF(OR(E4333="",E4333="!!!"),"",IF(OR(J4333=0,AND(J4333=1,K4333=1),AND(J4333=1,I4333="SBJ"),AND(J4333=1,I4333=0)),"?IN_FOCUS",IF(J4333&lt;=2,"?ACTIVATED",IF(J4333&lt;&gt;"","?FAMILIAR",IF(F4333="NEW",IF(ISNA(VLOOKUP(E4333,#REF!,1,FALSE())),"?TYPE_IDENTIFIABLE","?REFERENTIAL"),"_")))))</f>
        <v> </v>
      </c>
      <c r="H4333" s="24" t="str">
        <f>IF(J4333&lt;&gt;1,"",IF(I4333="SBJ","CB","?"))</f>
        <v> </v>
      </c>
      <c r="I4333" s="25" t="str">
        <f>IF(OR(E4333="",E4333="!!!",F4333="NEW"),"",INDEX(B4332:B$2,-1+SUMPRODUCT(MAX(ROW(E4332:E$2)*(E4333=E4332:E$2)))))</f>
        <v> </v>
      </c>
      <c r="J4333" s="25" t="str">
        <f>IF(OR(E4333="",E4333="!!!",F4333="NEW"),"",COUNTBLANK(OFFSET(A$1,,,SUMPRODUCT(MAX(ROW(E$2:E4333)*(E4333=E$2:E4333)))))-COUNTBLANK(OFFSET(A$1,,,SUMPRODUCT(MAX(ROW(E$1:E4332)*(E2=E$1:E4332))))))</f>
        <v> </v>
      </c>
      <c r="K4333" s="25" t="str">
        <f>IF(OR(E4333="",E4333="!!!",F4333="NEW"),"",INDEX(J$1:J4332,SUMPRODUCT(MAX(ROW(E$1:E4332)*(E4333=E$1:E4332)))))</f>
        <v> </v>
      </c>
      <c r="L4333" s="26"/>
    </row>
    <row r="4334" spans="1:12">
      <c r="A4334" s="20" t="s">
        <v>1351</v>
      </c>
      <c r="E4334" s="21">
        <f>IF(D4334="?OLD","!!!","")</f>
        <v/>
      </c>
      <c r="F4334" s="22" t="str">
        <f>IF(OR(E4334="",E4334="!!!"),"",IF(NOT(ISNA(VLOOKUP(E4334,E$1:E4333,1,FALSE()))),"OLD",IF(AND(E4334&lt;&gt;"",E4334&lt;&gt;"!!!"),"NEW","")))</f>
        <v> </v>
      </c>
      <c r="G4334" s="23" t="str">
        <f>IF(OR(E4334="",E4334="!!!"),"",IF(OR(J4334=0,AND(J4334=1,K4334=1),AND(J4334=1,I4334="SBJ"),AND(J4334=1,I4334=0)),"?IN_FOCUS",IF(J4334&lt;=2,"?ACTIVATED",IF(J4334&lt;&gt;"","?FAMILIAR",IF(F4334="NEW",IF(ISNA(VLOOKUP(E4334,#REF!,1,FALSE())),"?TYPE_IDENTIFIABLE","?REFERENTIAL"),"_")))))</f>
        <v> </v>
      </c>
      <c r="H4334" s="24" t="str">
        <f>IF(J4334&lt;&gt;1,"",IF(I4334="SBJ","CB","?"))</f>
        <v> </v>
      </c>
      <c r="I4334" s="25" t="str">
        <f>IF(OR(E4334="",E4334="!!!",F4334="NEW"),"",INDEX(B4333:B$2,-1+SUMPRODUCT(MAX(ROW(E4333:E$2)*(E4334=E4333:E$2)))))</f>
        <v> </v>
      </c>
      <c r="J4334" s="25" t="str">
        <f>IF(OR(E4334="",E4334="!!!",F4334="NEW"),"",COUNTBLANK(OFFSET(A$1,,,SUMPRODUCT(MAX(ROW(E$2:E4334)*(E4334=E$2:E4334)))))-COUNTBLANK(OFFSET(A$1,,,SUMPRODUCT(MAX(ROW(E$1:E4333)*(E2=E$1:E4333))))))</f>
        <v> </v>
      </c>
      <c r="K4334" s="25" t="str">
        <f>IF(OR(E4334="",E4334="!!!",F4334="NEW"),"",INDEX(J$1:J4333,SUMPRODUCT(MAX(ROW(E$1:E4333)*(E4334=E$1:E4333)))))</f>
        <v> </v>
      </c>
      <c r="L4334" s="26"/>
    </row>
    <row r="4335" spans="1:12">
      <c r="A4335" s="20"/>
    </row>
    <row r="4336" spans="1:12">
      <c r="A4336" s="20" t="s">
        <v>3021</v>
      </c>
    </row>
    <row r="4337" spans="1:12">
      <c r="A4337" s="20" t="s">
        <v>3022</v>
      </c>
      <c r="E4337" s="21">
        <f>IF(D4337="?OLD","!!!","")</f>
        <v/>
      </c>
      <c r="F4337" s="22" t="str">
        <f>IF(OR(E4337="",E4337="!!!"),"",IF(NOT(ISNA(VLOOKUP(E4337,E$1:E4336,1,FALSE()))),"OLD",IF(AND(E4337&lt;&gt;"",E4337&lt;&gt;"!!!"),"NEW","")))</f>
        <v> </v>
      </c>
      <c r="G4337" s="23" t="str">
        <f>IF(OR(E4337="",E4337="!!!"),"",IF(OR(J4337=0,AND(J4337=1,K4337=1),AND(J4337=1,I4337="SBJ"),AND(J4337=1,I4337=0)),"?IN_FOCUS",IF(J4337&lt;=2,"?ACTIVATED",IF(J4337&lt;&gt;"","?FAMILIAR",IF(F4337="NEW",IF(ISNA(VLOOKUP(E4337,#REF!,1,FALSE())),"?TYPE_IDENTIFIABLE","?REFERENTIAL"),"_")))))</f>
        <v> </v>
      </c>
      <c r="H4337" s="24" t="str">
        <f>IF(J4337&lt;&gt;1,"",IF(I4337="SBJ","CB","?"))</f>
        <v> </v>
      </c>
      <c r="I4337" s="25" t="str">
        <f>IF(OR(E4337="",E4337="!!!",F4337="NEW"),"",INDEX(B4336:B$2,-1+SUMPRODUCT(MAX(ROW(E4336:E$2)*(E4337=E4336:E$2)))))</f>
        <v> </v>
      </c>
      <c r="J4337" s="25" t="str">
        <f>IF(OR(E4337="",E4337="!!!",F4337="NEW"),"",COUNTBLANK(OFFSET(A$1,,,SUMPRODUCT(MAX(ROW(E$2:E4337)*(E4337=E$2:E4337)))))-COUNTBLANK(OFFSET(A$1,,,SUMPRODUCT(MAX(ROW(E$1:E4336)*(E2=E$1:E4336))))))</f>
        <v> </v>
      </c>
      <c r="K4337" s="25" t="str">
        <f>IF(OR(E4337="",E4337="!!!",F4337="NEW"),"",INDEX(J$1:J4336,SUMPRODUCT(MAX(ROW(E$1:E4336)*(E4337=E$1:E4336)))))</f>
        <v> </v>
      </c>
      <c r="L4337" s="26"/>
    </row>
    <row r="4338" spans="1:12">
      <c r="A4338" s="20" t="s">
        <v>1128</v>
      </c>
      <c r="E4338" s="21">
        <f>IF(D4338="?OLD","!!!","")</f>
        <v/>
      </c>
      <c r="F4338" s="22" t="str">
        <f>IF(OR(E4338="",E4338="!!!"),"",IF(NOT(ISNA(VLOOKUP(E4338,E$1:E4337,1,FALSE()))),"OLD",IF(AND(E4338&lt;&gt;"",E4338&lt;&gt;"!!!"),"NEW","")))</f>
        <v> </v>
      </c>
      <c r="G4338" s="23" t="str">
        <f>IF(OR(E4338="",E4338="!!!"),"",IF(OR(J4338=0,AND(J4338=1,K4338=1),AND(J4338=1,I4338="SBJ"),AND(J4338=1,I4338=0)),"?IN_FOCUS",IF(J4338&lt;=2,"?ACTIVATED",IF(J4338&lt;&gt;"","?FAMILIAR",IF(F4338="NEW",IF(ISNA(VLOOKUP(E4338,#REF!,1,FALSE())),"?TYPE_IDENTIFIABLE","?REFERENTIAL"),"_")))))</f>
        <v> </v>
      </c>
      <c r="H4338" s="24" t="str">
        <f>IF(J4338&lt;&gt;1,"",IF(I4338="SBJ","CB","?"))</f>
        <v> </v>
      </c>
      <c r="I4338" s="25" t="str">
        <f>IF(OR(E4338="",E4338="!!!",F4338="NEW"),"",INDEX(B4337:B$2,-1+SUMPRODUCT(MAX(ROW(E4337:E$2)*(E4338=E4337:E$2)))))</f>
        <v> </v>
      </c>
      <c r="J4338" s="25" t="str">
        <f>IF(OR(E4338="",E4338="!!!",F4338="NEW"),"",COUNTBLANK(OFFSET(A$1,,,SUMPRODUCT(MAX(ROW(E$2:E4338)*(E4338=E$2:E4338)))))-COUNTBLANK(OFFSET(A$1,,,SUMPRODUCT(MAX(ROW(E$1:E4337)*(E2=E$1:E4337))))))</f>
        <v> </v>
      </c>
      <c r="K4338" s="25" t="str">
        <f>IF(OR(E4338="",E4338="!!!",F4338="NEW"),"",INDEX(J$1:J4337,SUMPRODUCT(MAX(ROW(E$1:E4337)*(E4338=E$1:E4337)))))</f>
        <v> </v>
      </c>
      <c r="L4338" s="26"/>
    </row>
    <row r="4339" spans="1:12">
      <c r="A4339" s="20" t="s">
        <v>3023</v>
      </c>
      <c r="E4339" s="21">
        <f>IF(D4339="?OLD","!!!","")</f>
        <v/>
      </c>
      <c r="F4339" s="22" t="str">
        <f>IF(OR(E4339="",E4339="!!!"),"",IF(NOT(ISNA(VLOOKUP(E4339,E$1:E4338,1,FALSE()))),"OLD",IF(AND(E4339&lt;&gt;"",E4339&lt;&gt;"!!!"),"NEW","")))</f>
        <v> </v>
      </c>
      <c r="G4339" s="23" t="str">
        <f>IF(OR(E4339="",E4339="!!!"),"",IF(OR(J4339=0,AND(J4339=1,K4339=1),AND(J4339=1,I4339="SBJ"),AND(J4339=1,I4339=0)),"?IN_FOCUS",IF(J4339&lt;=2,"?ACTIVATED",IF(J4339&lt;&gt;"","?FAMILIAR",IF(F4339="NEW",IF(ISNA(VLOOKUP(E4339,#REF!,1,FALSE())),"?TYPE_IDENTIFIABLE","?REFERENTIAL"),"_")))))</f>
        <v> </v>
      </c>
      <c r="H4339" s="24" t="str">
        <f>IF(J4339&lt;&gt;1,"",IF(I4339="SBJ","CB","?"))</f>
        <v> </v>
      </c>
      <c r="I4339" s="25" t="str">
        <f>IF(OR(E4339="",E4339="!!!",F4339="NEW"),"",INDEX(B4338:B$2,-1+SUMPRODUCT(MAX(ROW(E4338:E$2)*(E4339=E4338:E$2)))))</f>
        <v> </v>
      </c>
      <c r="J4339" s="25" t="str">
        <f>IF(OR(E4339="",E4339="!!!",F4339="NEW"),"",COUNTBLANK(OFFSET(A$1,,,SUMPRODUCT(MAX(ROW(E$2:E4339)*(E4339=E$2:E4339)))))-COUNTBLANK(OFFSET(A$1,,,SUMPRODUCT(MAX(ROW(E$1:E4338)*(E2=E$1:E4338))))))</f>
        <v> </v>
      </c>
      <c r="K4339" s="25" t="str">
        <f>IF(OR(E4339="",E4339="!!!",F4339="NEW"),"",INDEX(J$1:J4338,SUMPRODUCT(MAX(ROW(E$1:E4338)*(E4339=E$1:E4338)))))</f>
        <v> </v>
      </c>
      <c r="L4339" s="26"/>
    </row>
    <row r="4340" spans="1:12">
      <c r="A4340" s="20" t="s">
        <v>2593</v>
      </c>
      <c r="E4340" s="21">
        <f>IF(D4340="?OLD","!!!","")</f>
        <v/>
      </c>
      <c r="F4340" s="22" t="str">
        <f>IF(OR(E4340="",E4340="!!!"),"",IF(NOT(ISNA(VLOOKUP(E4340,E$1:E4339,1,FALSE()))),"OLD",IF(AND(E4340&lt;&gt;"",E4340&lt;&gt;"!!!"),"NEW","")))</f>
        <v> </v>
      </c>
      <c r="G4340" s="23" t="str">
        <f>IF(OR(E4340="",E4340="!!!"),"",IF(OR(J4340=0,AND(J4340=1,K4340=1),AND(J4340=1,I4340="SBJ"),AND(J4340=1,I4340=0)),"?IN_FOCUS",IF(J4340&lt;=2,"?ACTIVATED",IF(J4340&lt;&gt;"","?FAMILIAR",IF(F4340="NEW",IF(ISNA(VLOOKUP(E4340,#REF!,1,FALSE())),"?TYPE_IDENTIFIABLE","?REFERENTIAL"),"_")))))</f>
        <v> </v>
      </c>
      <c r="H4340" s="24" t="str">
        <f>IF(J4340&lt;&gt;1,"",IF(I4340="SBJ","CB","?"))</f>
        <v> </v>
      </c>
      <c r="I4340" s="25" t="str">
        <f>IF(OR(E4340="",E4340="!!!",F4340="NEW"),"",INDEX(B4339:B$2,-1+SUMPRODUCT(MAX(ROW(E4339:E$2)*(E4340=E4339:E$2)))))</f>
        <v> </v>
      </c>
      <c r="J4340" s="25" t="str">
        <f>IF(OR(E4340="",E4340="!!!",F4340="NEW"),"",COUNTBLANK(OFFSET(A$1,,,SUMPRODUCT(MAX(ROW(E$2:E4340)*(E4340=E$2:E4340)))))-COUNTBLANK(OFFSET(A$1,,,SUMPRODUCT(MAX(ROW(E$1:E4339)*(E2=E$1:E4339))))))</f>
        <v> </v>
      </c>
      <c r="K4340" s="25" t="str">
        <f>IF(OR(E4340="",E4340="!!!",F4340="NEW"),"",INDEX(J$1:J4339,SUMPRODUCT(MAX(ROW(E$1:E4339)*(E4340=E$1:E4339)))))</f>
        <v> </v>
      </c>
      <c r="L4340" s="26"/>
    </row>
    <row r="4341" spans="1:12">
      <c r="A4341" s="20" t="s">
        <v>3024</v>
      </c>
      <c r="B4341" s="27" t="s">
        <v>1149</v>
      </c>
      <c r="C4341" s="27" t="s">
        <v>1156</v>
      </c>
      <c r="D4341" s="27" t="s">
        <v>1105</v>
      </c>
      <c r="E4341" s="21">
        <f>IF(D4341="?OLD","!!!","")</f>
        <v/>
      </c>
      <c r="F4341" s="22" t="str">
        <f>IF(OR(E4341="",E4341="!!!"),"",IF(NOT(ISNA(VLOOKUP(E4341,E$1:E4340,1,FALSE()))),"OLD",IF(AND(E4341&lt;&gt;"",E4341&lt;&gt;"!!!"),"NEW","")))</f>
        <v> </v>
      </c>
      <c r="G4341" s="23" t="str">
        <f>IF(OR(E4341="",E4341="!!!"),"",IF(OR(J4341=0,AND(J4341=1,K4341=1),AND(J4341=1,I4341="SBJ"),AND(J4341=1,I4341=0)),"?IN_FOCUS",IF(J4341&lt;=2,"?ACTIVATED",IF(J4341&lt;&gt;"","?FAMILIAR",IF(F4341="NEW",IF(ISNA(VLOOKUP(E4341,#REF!,1,FALSE())),"?TYPE_IDENTIFIABLE","?REFERENTIAL"),"_")))))</f>
        <v> </v>
      </c>
      <c r="H4341" s="24" t="str">
        <f>IF(J4341&lt;&gt;1,"",IF(I4341="SBJ","CB","?"))</f>
        <v> </v>
      </c>
      <c r="I4341" s="25" t="str">
        <f>IF(OR(E4341="",E4341="!!!",F4341="NEW"),"",INDEX(B4340:B$2,-1+SUMPRODUCT(MAX(ROW(E4340:E$2)*(E4341=E4340:E$2)))))</f>
        <v> </v>
      </c>
      <c r="J4341" s="25" t="str">
        <f>IF(OR(E4341="",E4341="!!!",F4341="NEW"),"",COUNTBLANK(OFFSET(A$1,,,SUMPRODUCT(MAX(ROW(E$2:E4341)*(E4341=E$2:E4341)))))-COUNTBLANK(OFFSET(A$1,,,SUMPRODUCT(MAX(ROW(E$1:E4340)*(E2=E$1:E4340))))))</f>
        <v> </v>
      </c>
      <c r="K4341" s="25" t="str">
        <f>IF(OR(E4341="",E4341="!!!",F4341="NEW"),"",INDEX(J$1:J4340,SUMPRODUCT(MAX(ROW(E$1:E4340)*(E4341=E$1:E4340)))))</f>
        <v> </v>
      </c>
      <c r="L4341" s="26"/>
    </row>
    <row r="4342" spans="1:12">
      <c r="A4342" s="20" t="s">
        <v>1123</v>
      </c>
      <c r="E4342" s="21">
        <f>IF(D4342="?OLD","!!!","")</f>
        <v/>
      </c>
      <c r="F4342" s="22" t="str">
        <f>IF(OR(E4342="",E4342="!!!"),"",IF(NOT(ISNA(VLOOKUP(E4342,E$1:E4341,1,FALSE()))),"OLD",IF(AND(E4342&lt;&gt;"",E4342&lt;&gt;"!!!"),"NEW","")))</f>
        <v> </v>
      </c>
      <c r="G4342" s="23" t="str">
        <f>IF(OR(E4342="",E4342="!!!"),"",IF(OR(J4342=0,AND(J4342=1,K4342=1),AND(J4342=1,I4342="SBJ"),AND(J4342=1,I4342=0)),"?IN_FOCUS",IF(J4342&lt;=2,"?ACTIVATED",IF(J4342&lt;&gt;"","?FAMILIAR",IF(F4342="NEW",IF(ISNA(VLOOKUP(E4342,#REF!,1,FALSE())),"?TYPE_IDENTIFIABLE","?REFERENTIAL"),"_")))))</f>
        <v> </v>
      </c>
      <c r="H4342" s="24" t="str">
        <f>IF(J4342&lt;&gt;1,"",IF(I4342="SBJ","CB","?"))</f>
        <v> </v>
      </c>
      <c r="I4342" s="25" t="str">
        <f>IF(OR(E4342="",E4342="!!!",F4342="NEW"),"",INDEX(B4341:B$2,-1+SUMPRODUCT(MAX(ROW(E4341:E$2)*(E4342=E4341:E$2)))))</f>
        <v> </v>
      </c>
      <c r="J4342" s="25" t="str">
        <f>IF(OR(E4342="",E4342="!!!",F4342="NEW"),"",COUNTBLANK(OFFSET(A$1,,,SUMPRODUCT(MAX(ROW(E$2:E4342)*(E4342=E$2:E4342)))))-COUNTBLANK(OFFSET(A$1,,,SUMPRODUCT(MAX(ROW(E$1:E4341)*(E2=E$1:E4341))))))</f>
        <v> </v>
      </c>
      <c r="K4342" s="25" t="str">
        <f>IF(OR(E4342="",E4342="!!!",F4342="NEW"),"",INDEX(J$1:J4341,SUMPRODUCT(MAX(ROW(E$1:E4341)*(E4342=E$1:E4341)))))</f>
        <v> </v>
      </c>
      <c r="L4342" s="26"/>
    </row>
    <row r="4343" spans="1:12">
      <c r="A4343" s="20" t="s">
        <v>1195</v>
      </c>
      <c r="E4343" s="21">
        <f>IF(D4343="?OLD","!!!","")</f>
        <v/>
      </c>
      <c r="F4343" s="22" t="str">
        <f>IF(OR(E4343="",E4343="!!!"),"",IF(NOT(ISNA(VLOOKUP(E4343,E$1:E4342,1,FALSE()))),"OLD",IF(AND(E4343&lt;&gt;"",E4343&lt;&gt;"!!!"),"NEW","")))</f>
        <v> </v>
      </c>
      <c r="G4343" s="23" t="str">
        <f>IF(OR(E4343="",E4343="!!!"),"",IF(OR(J4343=0,AND(J4343=1,K4343=1),AND(J4343=1,I4343="SBJ"),AND(J4343=1,I4343=0)),"?IN_FOCUS",IF(J4343&lt;=2,"?ACTIVATED",IF(J4343&lt;&gt;"","?FAMILIAR",IF(F4343="NEW",IF(ISNA(VLOOKUP(E4343,#REF!,1,FALSE())),"?TYPE_IDENTIFIABLE","?REFERENTIAL"),"_")))))</f>
        <v> </v>
      </c>
      <c r="H4343" s="24" t="str">
        <f>IF(J4343&lt;&gt;1,"",IF(I4343="SBJ","CB","?"))</f>
        <v> </v>
      </c>
      <c r="I4343" s="25" t="str">
        <f>IF(OR(E4343="",E4343="!!!",F4343="NEW"),"",INDEX(B4342:B$2,-1+SUMPRODUCT(MAX(ROW(E4342:E$2)*(E4343=E4342:E$2)))))</f>
        <v> </v>
      </c>
      <c r="J4343" s="25" t="str">
        <f>IF(OR(E4343="",E4343="!!!",F4343="NEW"),"",COUNTBLANK(OFFSET(A$1,,,SUMPRODUCT(MAX(ROW(E$2:E4343)*(E4343=E$2:E4343)))))-COUNTBLANK(OFFSET(A$1,,,SUMPRODUCT(MAX(ROW(E$1:E4342)*(E2=E$1:E4342))))))</f>
        <v> </v>
      </c>
      <c r="K4343" s="25" t="str">
        <f>IF(OR(E4343="",E4343="!!!",F4343="NEW"),"",INDEX(J$1:J4342,SUMPRODUCT(MAX(ROW(E$1:E4342)*(E4343=E$1:E4342)))))</f>
        <v> </v>
      </c>
      <c r="L4343" s="26"/>
    </row>
    <row r="4344" spans="1:12">
      <c r="A4344" s="20" t="s">
        <v>1298</v>
      </c>
      <c r="B4344" s="27" t="s">
        <v>1110</v>
      </c>
      <c r="C4344" s="27" t="s">
        <v>1133</v>
      </c>
      <c r="E4344" s="21">
        <f>IF(D4344="?OLD","!!!","")</f>
        <v/>
      </c>
      <c r="F4344" s="22" t="str">
        <f>IF(OR(E4344="",E4344="!!!"),"",IF(NOT(ISNA(VLOOKUP(E4344,E$1:E4343,1,FALSE()))),"OLD",IF(AND(E4344&lt;&gt;"",E4344&lt;&gt;"!!!"),"NEW","")))</f>
        <v> </v>
      </c>
      <c r="G4344" s="23" t="str">
        <f>IF(OR(E4344="",E4344="!!!"),"",IF(OR(J4344=0,AND(J4344=1,K4344=1),AND(J4344=1,I4344="SBJ"),AND(J4344=1,I4344=0)),"?IN_FOCUS",IF(J4344&lt;=2,"?ACTIVATED",IF(J4344&lt;&gt;"","?FAMILIAR",IF(F4344="NEW",IF(ISNA(VLOOKUP(E4344,#REF!,1,FALSE())),"?TYPE_IDENTIFIABLE","?REFERENTIAL"),"_")))))</f>
        <v> </v>
      </c>
      <c r="H4344" s="24" t="str">
        <f>IF(J4344&lt;&gt;1,"",IF(I4344="SBJ","CB","?"))</f>
        <v> </v>
      </c>
      <c r="I4344" s="25" t="str">
        <f>IF(OR(E4344="",E4344="!!!",F4344="NEW"),"",INDEX(B4343:B$2,-1+SUMPRODUCT(MAX(ROW(E4343:E$2)*(E4344=E4343:E$2)))))</f>
        <v> </v>
      </c>
      <c r="J4344" s="25" t="str">
        <f>IF(OR(E4344="",E4344="!!!",F4344="NEW"),"",COUNTBLANK(OFFSET(A$1,,,SUMPRODUCT(MAX(ROW(E$2:E4344)*(E4344=E$2:E4344)))))-COUNTBLANK(OFFSET(A$1,,,SUMPRODUCT(MAX(ROW(E$1:E4343)*(E2=E$1:E4343))))))</f>
        <v> </v>
      </c>
      <c r="K4344" s="25" t="str">
        <f>IF(OR(E4344="",E4344="!!!",F4344="NEW"),"",INDEX(J$1:J4343,SUMPRODUCT(MAX(ROW(E$1:E4343)*(E4344=E$1:E4343)))))</f>
        <v> </v>
      </c>
      <c r="L4344" s="26"/>
    </row>
    <row r="4345" spans="1:12">
      <c r="A4345" s="20" t="s">
        <v>3025</v>
      </c>
      <c r="B4345" s="27" t="s">
        <v>1115</v>
      </c>
      <c r="E4345" s="21">
        <f>IF(D4345="?OLD","!!!","")</f>
        <v/>
      </c>
      <c r="F4345" s="22" t="str">
        <f>IF(OR(E4345="",E4345="!!!"),"",IF(NOT(ISNA(VLOOKUP(E4345,E$1:E4344,1,FALSE()))),"OLD",IF(AND(E4345&lt;&gt;"",E4345&lt;&gt;"!!!"),"NEW","")))</f>
        <v> </v>
      </c>
      <c r="G4345" s="23" t="str">
        <f>IF(OR(E4345="",E4345="!!!"),"",IF(OR(J4345=0,AND(J4345=1,K4345=1),AND(J4345=1,I4345="SBJ"),AND(J4345=1,I4345=0)),"?IN_FOCUS",IF(J4345&lt;=2,"?ACTIVATED",IF(J4345&lt;&gt;"","?FAMILIAR",IF(F4345="NEW",IF(ISNA(VLOOKUP(E4345,#REF!,1,FALSE())),"?TYPE_IDENTIFIABLE","?REFERENTIAL"),"_")))))</f>
        <v> </v>
      </c>
      <c r="H4345" s="24" t="str">
        <f>IF(J4345&lt;&gt;1,"",IF(I4345="SBJ","CB","?"))</f>
        <v> </v>
      </c>
      <c r="I4345" s="25" t="str">
        <f>IF(OR(E4345="",E4345="!!!",F4345="NEW"),"",INDEX(B4344:B$2,-1+SUMPRODUCT(MAX(ROW(E4344:E$2)*(E4345=E4344:E$2)))))</f>
        <v> </v>
      </c>
      <c r="J4345" s="25" t="str">
        <f>IF(OR(E4345="",E4345="!!!",F4345="NEW"),"",COUNTBLANK(OFFSET(A$1,,,SUMPRODUCT(MAX(ROW(E$2:E4345)*(E4345=E$2:E4345)))))-COUNTBLANK(OFFSET(A$1,,,SUMPRODUCT(MAX(ROW(E$1:E4344)*(E2=E$1:E4344))))))</f>
        <v> </v>
      </c>
      <c r="K4345" s="25" t="str">
        <f>IF(OR(E4345="",E4345="!!!",F4345="NEW"),"",INDEX(J$1:J4344,SUMPRODUCT(MAX(ROW(E$1:E4344)*(E4345=E$1:E4344)))))</f>
        <v> </v>
      </c>
      <c r="L4345" s="26"/>
    </row>
    <row r="4346" spans="1:12">
      <c r="A4346" s="20" t="s">
        <v>1693</v>
      </c>
      <c r="E4346" s="21">
        <f>IF(D4346="?OLD","!!!","")</f>
        <v/>
      </c>
      <c r="F4346" s="22" t="str">
        <f>IF(OR(E4346="",E4346="!!!"),"",IF(NOT(ISNA(VLOOKUP(E4346,E$1:E4345,1,FALSE()))),"OLD",IF(AND(E4346&lt;&gt;"",E4346&lt;&gt;"!!!"),"NEW","")))</f>
        <v> </v>
      </c>
      <c r="G4346" s="23" t="str">
        <f>IF(OR(E4346="",E4346="!!!"),"",IF(OR(J4346=0,AND(J4346=1,K4346=1),AND(J4346=1,I4346="SBJ"),AND(J4346=1,I4346=0)),"?IN_FOCUS",IF(J4346&lt;=2,"?ACTIVATED",IF(J4346&lt;&gt;"","?FAMILIAR",IF(F4346="NEW",IF(ISNA(VLOOKUP(E4346,#REF!,1,FALSE())),"?TYPE_IDENTIFIABLE","?REFERENTIAL"),"_")))))</f>
        <v> </v>
      </c>
      <c r="H4346" s="24" t="str">
        <f>IF(J4346&lt;&gt;1,"",IF(I4346="SBJ","CB","?"))</f>
        <v> </v>
      </c>
      <c r="I4346" s="25" t="str">
        <f>IF(OR(E4346="",E4346="!!!",F4346="NEW"),"",INDEX(B4345:B$2,-1+SUMPRODUCT(MAX(ROW(E4345:E$2)*(E4346=E4345:E$2)))))</f>
        <v> </v>
      </c>
      <c r="J4346" s="25" t="str">
        <f>IF(OR(E4346="",E4346="!!!",F4346="NEW"),"",COUNTBLANK(OFFSET(A$1,,,SUMPRODUCT(MAX(ROW(E$2:E4346)*(E4346=E$2:E4346)))))-COUNTBLANK(OFFSET(A$1,,,SUMPRODUCT(MAX(ROW(E$1:E4345)*(E2=E$1:E4345))))))</f>
        <v> </v>
      </c>
      <c r="K4346" s="25" t="str">
        <f>IF(OR(E4346="",E4346="!!!",F4346="NEW"),"",INDEX(J$1:J4345,SUMPRODUCT(MAX(ROW(E$1:E4345)*(E4346=E$1:E4345)))))</f>
        <v> </v>
      </c>
      <c r="L4346" s="26"/>
    </row>
    <row r="4347" spans="1:12">
      <c r="A4347" s="20" t="s">
        <v>3026</v>
      </c>
      <c r="E4347" s="21">
        <f>IF(D4347="?OLD","!!!","")</f>
        <v/>
      </c>
      <c r="F4347" s="22" t="str">
        <f>IF(OR(E4347="",E4347="!!!"),"",IF(NOT(ISNA(VLOOKUP(E4347,E$1:E4346,1,FALSE()))),"OLD",IF(AND(E4347&lt;&gt;"",E4347&lt;&gt;"!!!"),"NEW","")))</f>
        <v> </v>
      </c>
      <c r="G4347" s="23" t="str">
        <f>IF(OR(E4347="",E4347="!!!"),"",IF(OR(J4347=0,AND(J4347=1,K4347=1),AND(J4347=1,I4347="SBJ"),AND(J4347=1,I4347=0)),"?IN_FOCUS",IF(J4347&lt;=2,"?ACTIVATED",IF(J4347&lt;&gt;"","?FAMILIAR",IF(F4347="NEW",IF(ISNA(VLOOKUP(E4347,#REF!,1,FALSE())),"?TYPE_IDENTIFIABLE","?REFERENTIAL"),"_")))))</f>
        <v> </v>
      </c>
      <c r="H4347" s="24" t="str">
        <f>IF(J4347&lt;&gt;1,"",IF(I4347="SBJ","CB","?"))</f>
        <v> </v>
      </c>
      <c r="I4347" s="25" t="str">
        <f>IF(OR(E4347="",E4347="!!!",F4347="NEW"),"",INDEX(B4346:B$2,-1+SUMPRODUCT(MAX(ROW(E4346:E$2)*(E4347=E4346:E$2)))))</f>
        <v> </v>
      </c>
      <c r="J4347" s="25" t="str">
        <f>IF(OR(E4347="",E4347="!!!",F4347="NEW"),"",COUNTBLANK(OFFSET(A$1,,,SUMPRODUCT(MAX(ROW(E$2:E4347)*(E4347=E$2:E4347)))))-COUNTBLANK(OFFSET(A$1,,,SUMPRODUCT(MAX(ROW(E$1:E4346)*(E2=E$1:E4346))))))</f>
        <v> </v>
      </c>
      <c r="K4347" s="25" t="str">
        <f>IF(OR(E4347="",E4347="!!!",F4347="NEW"),"",INDEX(J$1:J4346,SUMPRODUCT(MAX(ROW(E$1:E4346)*(E4347=E$1:E4346)))))</f>
        <v> </v>
      </c>
      <c r="L4347" s="26"/>
    </row>
    <row r="4348" spans="1:12">
      <c r="A4348" s="20" t="s">
        <v>3027</v>
      </c>
      <c r="E4348" s="21">
        <f>IF(D4348="?OLD","!!!","")</f>
        <v/>
      </c>
      <c r="F4348" s="22" t="str">
        <f>IF(OR(E4348="",E4348="!!!"),"",IF(NOT(ISNA(VLOOKUP(E4348,E$1:E4347,1,FALSE()))),"OLD",IF(AND(E4348&lt;&gt;"",E4348&lt;&gt;"!!!"),"NEW","")))</f>
        <v> </v>
      </c>
      <c r="G4348" s="23" t="str">
        <f>IF(OR(E4348="",E4348="!!!"),"",IF(OR(J4348=0,AND(J4348=1,K4348=1),AND(J4348=1,I4348="SBJ"),AND(J4348=1,I4348=0)),"?IN_FOCUS",IF(J4348&lt;=2,"?ACTIVATED",IF(J4348&lt;&gt;"","?FAMILIAR",IF(F4348="NEW",IF(ISNA(VLOOKUP(E4348,#REF!,1,FALSE())),"?TYPE_IDENTIFIABLE","?REFERENTIAL"),"_")))))</f>
        <v> </v>
      </c>
      <c r="H4348" s="24" t="str">
        <f>IF(J4348&lt;&gt;1,"",IF(I4348="SBJ","CB","?"))</f>
        <v> </v>
      </c>
      <c r="I4348" s="25" t="str">
        <f>IF(OR(E4348="",E4348="!!!",F4348="NEW"),"",INDEX(B4347:B$2,-1+SUMPRODUCT(MAX(ROW(E4347:E$2)*(E4348=E4347:E$2)))))</f>
        <v> </v>
      </c>
      <c r="J4348" s="25" t="str">
        <f>IF(OR(E4348="",E4348="!!!",F4348="NEW"),"",COUNTBLANK(OFFSET(A$1,,,SUMPRODUCT(MAX(ROW(E$2:E4348)*(E4348=E$2:E4348)))))-COUNTBLANK(OFFSET(A$1,,,SUMPRODUCT(MAX(ROW(E$1:E4347)*(E2=E$1:E4347))))))</f>
        <v> </v>
      </c>
      <c r="K4348" s="25" t="str">
        <f>IF(OR(E4348="",E4348="!!!",F4348="NEW"),"",INDEX(J$1:J4347,SUMPRODUCT(MAX(ROW(E$1:E4347)*(E4348=E$1:E4347)))))</f>
        <v> </v>
      </c>
      <c r="L4348" s="26"/>
    </row>
    <row r="4349" spans="1:12">
      <c r="A4349" s="20" t="s">
        <v>1134</v>
      </c>
      <c r="E4349" s="21">
        <f>IF(D4349="?OLD","!!!","")</f>
        <v/>
      </c>
      <c r="F4349" s="22" t="str">
        <f>IF(OR(E4349="",E4349="!!!"),"",IF(NOT(ISNA(VLOOKUP(E4349,E$1:E4348,1,FALSE()))),"OLD",IF(AND(E4349&lt;&gt;"",E4349&lt;&gt;"!!!"),"NEW","")))</f>
        <v> </v>
      </c>
      <c r="G4349" s="23" t="str">
        <f>IF(OR(E4349="",E4349="!!!"),"",IF(OR(J4349=0,AND(J4349=1,K4349=1),AND(J4349=1,I4349="SBJ"),AND(J4349=1,I4349=0)),"?IN_FOCUS",IF(J4349&lt;=2,"?ACTIVATED",IF(J4349&lt;&gt;"","?FAMILIAR",IF(F4349="NEW",IF(ISNA(VLOOKUP(E4349,#REF!,1,FALSE())),"?TYPE_IDENTIFIABLE","?REFERENTIAL"),"_")))))</f>
        <v> </v>
      </c>
      <c r="H4349" s="24" t="str">
        <f>IF(J4349&lt;&gt;1,"",IF(I4349="SBJ","CB","?"))</f>
        <v> </v>
      </c>
      <c r="I4349" s="25" t="str">
        <f>IF(OR(E4349="",E4349="!!!",F4349="NEW"),"",INDEX(B4348:B$2,-1+SUMPRODUCT(MAX(ROW(E4348:E$2)*(E4349=E4348:E$2)))))</f>
        <v> </v>
      </c>
      <c r="J4349" s="25" t="str">
        <f>IF(OR(E4349="",E4349="!!!",F4349="NEW"),"",COUNTBLANK(OFFSET(A$1,,,SUMPRODUCT(MAX(ROW(E$2:E4349)*(E4349=E$2:E4349)))))-COUNTBLANK(OFFSET(A$1,,,SUMPRODUCT(MAX(ROW(E$1:E4348)*(E2=E$1:E4348))))))</f>
        <v> </v>
      </c>
      <c r="K4349" s="25" t="str">
        <f>IF(OR(E4349="",E4349="!!!",F4349="NEW"),"",INDEX(J$1:J4348,SUMPRODUCT(MAX(ROW(E$1:E4348)*(E4349=E$1:E4348)))))</f>
        <v> </v>
      </c>
      <c r="L4349" s="26"/>
    </row>
    <row r="4350" spans="1:12">
      <c r="A4350" s="20" t="s">
        <v>1253</v>
      </c>
      <c r="E4350" s="21">
        <f>IF(D4350="?OLD","!!!","")</f>
        <v/>
      </c>
      <c r="F4350" s="22" t="str">
        <f>IF(OR(E4350="",E4350="!!!"),"",IF(NOT(ISNA(VLOOKUP(E4350,E$1:E4349,1,FALSE()))),"OLD",IF(AND(E4350&lt;&gt;"",E4350&lt;&gt;"!!!"),"NEW","")))</f>
        <v> </v>
      </c>
      <c r="G4350" s="23" t="str">
        <f>IF(OR(E4350="",E4350="!!!"),"",IF(OR(J4350=0,AND(J4350=1,K4350=1),AND(J4350=1,I4350="SBJ"),AND(J4350=1,I4350=0)),"?IN_FOCUS",IF(J4350&lt;=2,"?ACTIVATED",IF(J4350&lt;&gt;"","?FAMILIAR",IF(F4350="NEW",IF(ISNA(VLOOKUP(E4350,#REF!,1,FALSE())),"?TYPE_IDENTIFIABLE","?REFERENTIAL"),"_")))))</f>
        <v> </v>
      </c>
      <c r="H4350" s="24" t="str">
        <f>IF(J4350&lt;&gt;1,"",IF(I4350="SBJ","CB","?"))</f>
        <v> </v>
      </c>
      <c r="I4350" s="25" t="str">
        <f>IF(OR(E4350="",E4350="!!!",F4350="NEW"),"",INDEX(B4349:B$2,-1+SUMPRODUCT(MAX(ROW(E4349:E$2)*(E4350=E4349:E$2)))))</f>
        <v> </v>
      </c>
      <c r="J4350" s="25" t="str">
        <f>IF(OR(E4350="",E4350="!!!",F4350="NEW"),"",COUNTBLANK(OFFSET(A$1,,,SUMPRODUCT(MAX(ROW(E$2:E4350)*(E4350=E$2:E4350)))))-COUNTBLANK(OFFSET(A$1,,,SUMPRODUCT(MAX(ROW(E$1:E4349)*(E2=E$1:E4349))))))</f>
        <v> </v>
      </c>
      <c r="K4350" s="25" t="str">
        <f>IF(OR(E4350="",E4350="!!!",F4350="NEW"),"",INDEX(J$1:J4349,SUMPRODUCT(MAX(ROW(E$1:E4349)*(E4350=E$1:E4349)))))</f>
        <v> </v>
      </c>
      <c r="L4350" s="26"/>
    </row>
    <row r="4351" spans="1:12">
      <c r="A4351" s="20" t="s">
        <v>1552</v>
      </c>
      <c r="E4351" s="21">
        <f>IF(D4351="?OLD","!!!","")</f>
        <v/>
      </c>
      <c r="F4351" s="22" t="str">
        <f>IF(OR(E4351="",E4351="!!!"),"",IF(NOT(ISNA(VLOOKUP(E4351,E$1:E4350,1,FALSE()))),"OLD",IF(AND(E4351&lt;&gt;"",E4351&lt;&gt;"!!!"),"NEW","")))</f>
        <v> </v>
      </c>
      <c r="G4351" s="23" t="str">
        <f>IF(OR(E4351="",E4351="!!!"),"",IF(OR(J4351=0,AND(J4351=1,K4351=1),AND(J4351=1,I4351="SBJ"),AND(J4351=1,I4351=0)),"?IN_FOCUS",IF(J4351&lt;=2,"?ACTIVATED",IF(J4351&lt;&gt;"","?FAMILIAR",IF(F4351="NEW",IF(ISNA(VLOOKUP(E4351,#REF!,1,FALSE())),"?TYPE_IDENTIFIABLE","?REFERENTIAL"),"_")))))</f>
        <v> </v>
      </c>
      <c r="H4351" s="24" t="str">
        <f>IF(J4351&lt;&gt;1,"",IF(I4351="SBJ","CB","?"))</f>
        <v> </v>
      </c>
      <c r="I4351" s="25" t="str">
        <f>IF(OR(E4351="",E4351="!!!",F4351="NEW"),"",INDEX(B4350:B$2,-1+SUMPRODUCT(MAX(ROW(E4350:E$2)*(E4351=E4350:E$2)))))</f>
        <v> </v>
      </c>
      <c r="J4351" s="25" t="str">
        <f>IF(OR(E4351="",E4351="!!!",F4351="NEW"),"",COUNTBLANK(OFFSET(A$1,,,SUMPRODUCT(MAX(ROW(E$2:E4351)*(E4351=E$2:E4351)))))-COUNTBLANK(OFFSET(A$1,,,SUMPRODUCT(MAX(ROW(E$1:E4350)*(E2=E$1:E4350))))))</f>
        <v> </v>
      </c>
      <c r="K4351" s="25" t="str">
        <f>IF(OR(E4351="",E4351="!!!",F4351="NEW"),"",INDEX(J$1:J4350,SUMPRODUCT(MAX(ROW(E$1:E4350)*(E4351=E$1:E4350)))))</f>
        <v> </v>
      </c>
      <c r="L4351" s="26"/>
    </row>
    <row r="4352" spans="1:12">
      <c r="A4352" s="20" t="s">
        <v>1145</v>
      </c>
      <c r="E4352" s="21">
        <f>IF(D4352="?OLD","!!!","")</f>
        <v/>
      </c>
      <c r="F4352" s="22" t="str">
        <f>IF(OR(E4352="",E4352="!!!"),"",IF(NOT(ISNA(VLOOKUP(E4352,E$1:E4351,1,FALSE()))),"OLD",IF(AND(E4352&lt;&gt;"",E4352&lt;&gt;"!!!"),"NEW","")))</f>
        <v> </v>
      </c>
      <c r="G4352" s="23" t="str">
        <f>IF(OR(E4352="",E4352="!!!"),"",IF(OR(J4352=0,AND(J4352=1,K4352=1),AND(J4352=1,I4352="SBJ"),AND(J4352=1,I4352=0)),"?IN_FOCUS",IF(J4352&lt;=2,"?ACTIVATED",IF(J4352&lt;&gt;"","?FAMILIAR",IF(F4352="NEW",IF(ISNA(VLOOKUP(E4352,#REF!,1,FALSE())),"?TYPE_IDENTIFIABLE","?REFERENTIAL"),"_")))))</f>
        <v> </v>
      </c>
      <c r="H4352" s="24" t="str">
        <f>IF(J4352&lt;&gt;1,"",IF(I4352="SBJ","CB","?"))</f>
        <v> </v>
      </c>
      <c r="I4352" s="25" t="str">
        <f>IF(OR(E4352="",E4352="!!!",F4352="NEW"),"",INDEX(B4351:B$2,-1+SUMPRODUCT(MAX(ROW(E4351:E$2)*(E4352=E4351:E$2)))))</f>
        <v> </v>
      </c>
      <c r="J4352" s="25" t="str">
        <f>IF(OR(E4352="",E4352="!!!",F4352="NEW"),"",COUNTBLANK(OFFSET(A$1,,,SUMPRODUCT(MAX(ROW(E$2:E4352)*(E4352=E$2:E4352)))))-COUNTBLANK(OFFSET(A$1,,,SUMPRODUCT(MAX(ROW(E$1:E4351)*(E2=E$1:E4351))))))</f>
        <v> </v>
      </c>
      <c r="K4352" s="25" t="str">
        <f>IF(OR(E4352="",E4352="!!!",F4352="NEW"),"",INDEX(J$1:J4351,SUMPRODUCT(MAX(ROW(E$1:E4351)*(E4352=E$1:E4351)))))</f>
        <v> </v>
      </c>
      <c r="L4352" s="26"/>
    </row>
    <row r="4353" spans="1:12">
      <c r="A4353" s="20"/>
    </row>
    <row r="4354" spans="1:12">
      <c r="A4354" s="20" t="s">
        <v>3028</v>
      </c>
    </row>
    <row r="4355" spans="1:12">
      <c r="A4355" s="20" t="s">
        <v>1277</v>
      </c>
      <c r="E4355" s="21">
        <f>IF(D4355="?OLD","!!!","")</f>
        <v/>
      </c>
      <c r="F4355" s="22" t="str">
        <f>IF(OR(E4355="",E4355="!!!"),"",IF(NOT(ISNA(VLOOKUP(E4355,E$1:E4354,1,FALSE()))),"OLD",IF(AND(E4355&lt;&gt;"",E4355&lt;&gt;"!!!"),"NEW","")))</f>
        <v> </v>
      </c>
      <c r="G4355" s="23" t="str">
        <f>IF(OR(E4355="",E4355="!!!"),"",IF(OR(J4355=0,AND(J4355=1,K4355=1),AND(J4355=1,I4355="SBJ"),AND(J4355=1,I4355=0)),"?IN_FOCUS",IF(J4355&lt;=2,"?ACTIVATED",IF(J4355&lt;&gt;"","?FAMILIAR",IF(F4355="NEW",IF(ISNA(VLOOKUP(E4355,#REF!,1,FALSE())),"?TYPE_IDENTIFIABLE","?REFERENTIAL"),"_")))))</f>
        <v> </v>
      </c>
      <c r="H4355" s="24" t="str">
        <f>IF(J4355&lt;&gt;1,"",IF(I4355="SBJ","CB","?"))</f>
        <v> </v>
      </c>
      <c r="I4355" s="25" t="str">
        <f>IF(OR(E4355="",E4355="!!!",F4355="NEW"),"",INDEX(B4354:B$2,-1+SUMPRODUCT(MAX(ROW(E4354:E$2)*(E4355=E4354:E$2)))))</f>
        <v> </v>
      </c>
      <c r="J4355" s="25" t="str">
        <f>IF(OR(E4355="",E4355="!!!",F4355="NEW"),"",COUNTBLANK(OFFSET(A$1,,,SUMPRODUCT(MAX(ROW(E$2:E4355)*(E4355=E$2:E4355)))))-COUNTBLANK(OFFSET(A$1,,,SUMPRODUCT(MAX(ROW(E$1:E4354)*(E2=E$1:E4354))))))</f>
        <v> </v>
      </c>
      <c r="K4355" s="25" t="str">
        <f>IF(OR(E4355="",E4355="!!!",F4355="NEW"),"",INDEX(J$1:J4354,SUMPRODUCT(MAX(ROW(E$1:E4354)*(E4355=E$1:E4354)))))</f>
        <v> </v>
      </c>
      <c r="L4355" s="26"/>
    </row>
    <row r="4356" spans="1:12">
      <c r="A4356" s="20" t="s">
        <v>3029</v>
      </c>
      <c r="E4356" s="21">
        <f>IF(D4356="?OLD","!!!","")</f>
        <v/>
      </c>
      <c r="F4356" s="22" t="str">
        <f>IF(OR(E4356="",E4356="!!!"),"",IF(NOT(ISNA(VLOOKUP(E4356,E$1:E4355,1,FALSE()))),"OLD",IF(AND(E4356&lt;&gt;"",E4356&lt;&gt;"!!!"),"NEW","")))</f>
        <v> </v>
      </c>
      <c r="G4356" s="23" t="str">
        <f>IF(OR(E4356="",E4356="!!!"),"",IF(OR(J4356=0,AND(J4356=1,K4356=1),AND(J4356=1,I4356="SBJ"),AND(J4356=1,I4356=0)),"?IN_FOCUS",IF(J4356&lt;=2,"?ACTIVATED",IF(J4356&lt;&gt;"","?FAMILIAR",IF(F4356="NEW",IF(ISNA(VLOOKUP(E4356,#REF!,1,FALSE())),"?TYPE_IDENTIFIABLE","?REFERENTIAL"),"_")))))</f>
        <v> </v>
      </c>
      <c r="H4356" s="24" t="str">
        <f>IF(J4356&lt;&gt;1,"",IF(I4356="SBJ","CB","?"))</f>
        <v> </v>
      </c>
      <c r="I4356" s="25" t="str">
        <f>IF(OR(E4356="",E4356="!!!",F4356="NEW"),"",INDEX(B4355:B$2,-1+SUMPRODUCT(MAX(ROW(E4355:E$2)*(E4356=E4355:E$2)))))</f>
        <v> </v>
      </c>
      <c r="J4356" s="25" t="str">
        <f>IF(OR(E4356="",E4356="!!!",F4356="NEW"),"",COUNTBLANK(OFFSET(A$1,,,SUMPRODUCT(MAX(ROW(E$2:E4356)*(E4356=E$2:E4356)))))-COUNTBLANK(OFFSET(A$1,,,SUMPRODUCT(MAX(ROW(E$1:E4355)*(E2=E$1:E4355))))))</f>
        <v> </v>
      </c>
      <c r="K4356" s="25" t="str">
        <f>IF(OR(E4356="",E4356="!!!",F4356="NEW"),"",INDEX(J$1:J4355,SUMPRODUCT(MAX(ROW(E$1:E4355)*(E4356=E$1:E4355)))))</f>
        <v> </v>
      </c>
      <c r="L4356" s="26"/>
    </row>
    <row r="4357" spans="1:12">
      <c r="A4357" s="20" t="s">
        <v>2910</v>
      </c>
      <c r="E4357" s="21">
        <f>IF(D4357="?OLD","!!!","")</f>
        <v/>
      </c>
      <c r="F4357" s="22" t="str">
        <f>IF(OR(E4357="",E4357="!!!"),"",IF(NOT(ISNA(VLOOKUP(E4357,E$1:E4356,1,FALSE()))),"OLD",IF(AND(E4357&lt;&gt;"",E4357&lt;&gt;"!!!"),"NEW","")))</f>
        <v> </v>
      </c>
      <c r="G4357" s="23" t="str">
        <f>IF(OR(E4357="",E4357="!!!"),"",IF(OR(J4357=0,AND(J4357=1,K4357=1),AND(J4357=1,I4357="SBJ"),AND(J4357=1,I4357=0)),"?IN_FOCUS",IF(J4357&lt;=2,"?ACTIVATED",IF(J4357&lt;&gt;"","?FAMILIAR",IF(F4357="NEW",IF(ISNA(VLOOKUP(E4357,#REF!,1,FALSE())),"?TYPE_IDENTIFIABLE","?REFERENTIAL"),"_")))))</f>
        <v> </v>
      </c>
      <c r="H4357" s="24" t="str">
        <f>IF(J4357&lt;&gt;1,"",IF(I4357="SBJ","CB","?"))</f>
        <v> </v>
      </c>
      <c r="I4357" s="25" t="str">
        <f>IF(OR(E4357="",E4357="!!!",F4357="NEW"),"",INDEX(B4356:B$2,-1+SUMPRODUCT(MAX(ROW(E4356:E$2)*(E4357=E4356:E$2)))))</f>
        <v> </v>
      </c>
      <c r="J4357" s="25" t="str">
        <f>IF(OR(E4357="",E4357="!!!",F4357="NEW"),"",COUNTBLANK(OFFSET(A$1,,,SUMPRODUCT(MAX(ROW(E$2:E4357)*(E4357=E$2:E4357)))))-COUNTBLANK(OFFSET(A$1,,,SUMPRODUCT(MAX(ROW(E$1:E4356)*(E2=E$1:E4356))))))</f>
        <v> </v>
      </c>
      <c r="K4357" s="25" t="str">
        <f>IF(OR(E4357="",E4357="!!!",F4357="NEW"),"",INDEX(J$1:J4356,SUMPRODUCT(MAX(ROW(E$1:E4356)*(E4357=E$1:E4356)))))</f>
        <v> </v>
      </c>
      <c r="L4357" s="26"/>
    </row>
    <row r="4358" spans="1:12">
      <c r="A4358" s="20" t="s">
        <v>3030</v>
      </c>
      <c r="E4358" s="21">
        <f>IF(D4358="?OLD","!!!","")</f>
        <v/>
      </c>
      <c r="F4358" s="22" t="str">
        <f>IF(OR(E4358="",E4358="!!!"),"",IF(NOT(ISNA(VLOOKUP(E4358,E$1:E4357,1,FALSE()))),"OLD",IF(AND(E4358&lt;&gt;"",E4358&lt;&gt;"!!!"),"NEW","")))</f>
        <v> </v>
      </c>
      <c r="G4358" s="23" t="str">
        <f>IF(OR(E4358="",E4358="!!!"),"",IF(OR(J4358=0,AND(J4358=1,K4358=1),AND(J4358=1,I4358="SBJ"),AND(J4358=1,I4358=0)),"?IN_FOCUS",IF(J4358&lt;=2,"?ACTIVATED",IF(J4358&lt;&gt;"","?FAMILIAR",IF(F4358="NEW",IF(ISNA(VLOOKUP(E4358,#REF!,1,FALSE())),"?TYPE_IDENTIFIABLE","?REFERENTIAL"),"_")))))</f>
        <v> </v>
      </c>
      <c r="H4358" s="24" t="str">
        <f>IF(J4358&lt;&gt;1,"",IF(I4358="SBJ","CB","?"))</f>
        <v> </v>
      </c>
      <c r="I4358" s="25" t="str">
        <f>IF(OR(E4358="",E4358="!!!",F4358="NEW"),"",INDEX(B4357:B$2,-1+SUMPRODUCT(MAX(ROW(E4357:E$2)*(E4358=E4357:E$2)))))</f>
        <v> </v>
      </c>
      <c r="J4358" s="25" t="str">
        <f>IF(OR(E4358="",E4358="!!!",F4358="NEW"),"",COUNTBLANK(OFFSET(A$1,,,SUMPRODUCT(MAX(ROW(E$2:E4358)*(E4358=E$2:E4358)))))-COUNTBLANK(OFFSET(A$1,,,SUMPRODUCT(MAX(ROW(E$1:E4357)*(E2=E$1:E4357))))))</f>
        <v> </v>
      </c>
      <c r="K4358" s="25" t="str">
        <f>IF(OR(E4358="",E4358="!!!",F4358="NEW"),"",INDEX(J$1:J4357,SUMPRODUCT(MAX(ROW(E$1:E4357)*(E4358=E$1:E4357)))))</f>
        <v> </v>
      </c>
      <c r="L4358" s="26"/>
    </row>
    <row r="4359" spans="1:12">
      <c r="A4359" s="20" t="s">
        <v>1507</v>
      </c>
      <c r="B4359" s="27" t="s">
        <v>1149</v>
      </c>
      <c r="C4359" s="27" t="s">
        <v>1108</v>
      </c>
      <c r="D4359" s="27" t="s">
        <v>1105</v>
      </c>
      <c r="E4359" s="21">
        <f>IF(D4359="?OLD","!!!","")</f>
        <v/>
      </c>
      <c r="F4359" s="22" t="str">
        <f>IF(OR(E4359="",E4359="!!!"),"",IF(NOT(ISNA(VLOOKUP(E4359,E$1:E4358,1,FALSE()))),"OLD",IF(AND(E4359&lt;&gt;"",E4359&lt;&gt;"!!!"),"NEW","")))</f>
        <v> </v>
      </c>
      <c r="G4359" s="23" t="str">
        <f>IF(OR(E4359="",E4359="!!!"),"",IF(OR(J4359=0,AND(J4359=1,K4359=1),AND(J4359=1,I4359="SBJ"),AND(J4359=1,I4359=0)),"?IN_FOCUS",IF(J4359&lt;=2,"?ACTIVATED",IF(J4359&lt;&gt;"","?FAMILIAR",IF(F4359="NEW",IF(ISNA(VLOOKUP(E4359,#REF!,1,FALSE())),"?TYPE_IDENTIFIABLE","?REFERENTIAL"),"_")))))</f>
        <v> </v>
      </c>
      <c r="H4359" s="24" t="str">
        <f>IF(J4359&lt;&gt;1,"",IF(I4359="SBJ","CB","?"))</f>
        <v> </v>
      </c>
      <c r="I4359" s="25" t="str">
        <f>IF(OR(E4359="",E4359="!!!",F4359="NEW"),"",INDEX(B4358:B$2,-1+SUMPRODUCT(MAX(ROW(E4358:E$2)*(E4359=E4358:E$2)))))</f>
        <v> </v>
      </c>
      <c r="J4359" s="25" t="str">
        <f>IF(OR(E4359="",E4359="!!!",F4359="NEW"),"",COUNTBLANK(OFFSET(A$1,,,SUMPRODUCT(MAX(ROW(E$2:E4359)*(E4359=E$2:E4359)))))-COUNTBLANK(OFFSET(A$1,,,SUMPRODUCT(MAX(ROW(E$1:E4358)*(E2=E$1:E4358))))))</f>
        <v> </v>
      </c>
      <c r="K4359" s="25" t="str">
        <f>IF(OR(E4359="",E4359="!!!",F4359="NEW"),"",INDEX(J$1:J4358,SUMPRODUCT(MAX(ROW(E$1:E4358)*(E4359=E$1:E4358)))))</f>
        <v> </v>
      </c>
      <c r="L4359" s="26"/>
    </row>
    <row r="4360" spans="1:12">
      <c r="A4360" s="20" t="s">
        <v>1229</v>
      </c>
      <c r="E4360" s="21">
        <f>IF(D4360="?OLD","!!!","")</f>
        <v/>
      </c>
      <c r="F4360" s="22" t="str">
        <f>IF(OR(E4360="",E4360="!!!"),"",IF(NOT(ISNA(VLOOKUP(E4360,E$1:E4359,1,FALSE()))),"OLD",IF(AND(E4360&lt;&gt;"",E4360&lt;&gt;"!!!"),"NEW","")))</f>
        <v> </v>
      </c>
      <c r="G4360" s="23" t="str">
        <f>IF(OR(E4360="",E4360="!!!"),"",IF(OR(J4360=0,AND(J4360=1,K4360=1),AND(J4360=1,I4360="SBJ"),AND(J4360=1,I4360=0)),"?IN_FOCUS",IF(J4360&lt;=2,"?ACTIVATED",IF(J4360&lt;&gt;"","?FAMILIAR",IF(F4360="NEW",IF(ISNA(VLOOKUP(E4360,#REF!,1,FALSE())),"?TYPE_IDENTIFIABLE","?REFERENTIAL"),"_")))))</f>
        <v> </v>
      </c>
      <c r="H4360" s="24" t="str">
        <f>IF(J4360&lt;&gt;1,"",IF(I4360="SBJ","CB","?"))</f>
        <v> </v>
      </c>
      <c r="I4360" s="25" t="str">
        <f>IF(OR(E4360="",E4360="!!!",F4360="NEW"),"",INDEX(B4359:B$2,-1+SUMPRODUCT(MAX(ROW(E4359:E$2)*(E4360=E4359:E$2)))))</f>
        <v> </v>
      </c>
      <c r="J4360" s="25" t="str">
        <f>IF(OR(E4360="",E4360="!!!",F4360="NEW"),"",COUNTBLANK(OFFSET(A$1,,,SUMPRODUCT(MAX(ROW(E$2:E4360)*(E4360=E$2:E4360)))))-COUNTBLANK(OFFSET(A$1,,,SUMPRODUCT(MAX(ROW(E$1:E4359)*(E2=E$1:E4359))))))</f>
        <v> </v>
      </c>
      <c r="K4360" s="25" t="str">
        <f>IF(OR(E4360="",E4360="!!!",F4360="NEW"),"",INDEX(J$1:J4359,SUMPRODUCT(MAX(ROW(E$1:E4359)*(E4360=E$1:E4359)))))</f>
        <v> </v>
      </c>
      <c r="L4360" s="26"/>
    </row>
    <row r="4361" spans="1:12">
      <c r="A4361" s="20" t="s">
        <v>1173</v>
      </c>
      <c r="E4361" s="21">
        <f>IF(D4361="?OLD","!!!","")</f>
        <v/>
      </c>
      <c r="F4361" s="22" t="str">
        <f>IF(OR(E4361="",E4361="!!!"),"",IF(NOT(ISNA(VLOOKUP(E4361,E$1:E4360,1,FALSE()))),"OLD",IF(AND(E4361&lt;&gt;"",E4361&lt;&gt;"!!!"),"NEW","")))</f>
        <v> </v>
      </c>
      <c r="G4361" s="23" t="str">
        <f>IF(OR(E4361="",E4361="!!!"),"",IF(OR(J4361=0,AND(J4361=1,K4361=1),AND(J4361=1,I4361="SBJ"),AND(J4361=1,I4361=0)),"?IN_FOCUS",IF(J4361&lt;=2,"?ACTIVATED",IF(J4361&lt;&gt;"","?FAMILIAR",IF(F4361="NEW",IF(ISNA(VLOOKUP(E4361,#REF!,1,FALSE())),"?TYPE_IDENTIFIABLE","?REFERENTIAL"),"_")))))</f>
        <v> </v>
      </c>
      <c r="H4361" s="24" t="str">
        <f>IF(J4361&lt;&gt;1,"",IF(I4361="SBJ","CB","?"))</f>
        <v> </v>
      </c>
      <c r="I4361" s="25" t="str">
        <f>IF(OR(E4361="",E4361="!!!",F4361="NEW"),"",INDEX(B4360:B$2,-1+SUMPRODUCT(MAX(ROW(E4360:E$2)*(E4361=E4360:E$2)))))</f>
        <v> </v>
      </c>
      <c r="J4361" s="25" t="str">
        <f>IF(OR(E4361="",E4361="!!!",F4361="NEW"),"",COUNTBLANK(OFFSET(A$1,,,SUMPRODUCT(MAX(ROW(E$2:E4361)*(E4361=E$2:E4361)))))-COUNTBLANK(OFFSET(A$1,,,SUMPRODUCT(MAX(ROW(E$1:E4360)*(E2=E$1:E4360))))))</f>
        <v> </v>
      </c>
      <c r="K4361" s="25" t="str">
        <f>IF(OR(E4361="",E4361="!!!",F4361="NEW"),"",INDEX(J$1:J4360,SUMPRODUCT(MAX(ROW(E$1:E4360)*(E4361=E$1:E4360)))))</f>
        <v> </v>
      </c>
      <c r="L4361" s="26"/>
    </row>
    <row r="4362" spans="1:12">
      <c r="A4362" s="20" t="s">
        <v>3031</v>
      </c>
      <c r="E4362" s="21">
        <f>IF(D4362="?OLD","!!!","")</f>
        <v/>
      </c>
      <c r="F4362" s="22" t="str">
        <f>IF(OR(E4362="",E4362="!!!"),"",IF(NOT(ISNA(VLOOKUP(E4362,E$1:E4361,1,FALSE()))),"OLD",IF(AND(E4362&lt;&gt;"",E4362&lt;&gt;"!!!"),"NEW","")))</f>
        <v> </v>
      </c>
      <c r="G4362" s="23" t="str">
        <f>IF(OR(E4362="",E4362="!!!"),"",IF(OR(J4362=0,AND(J4362=1,K4362=1),AND(J4362=1,I4362="SBJ"),AND(J4362=1,I4362=0)),"?IN_FOCUS",IF(J4362&lt;=2,"?ACTIVATED",IF(J4362&lt;&gt;"","?FAMILIAR",IF(F4362="NEW",IF(ISNA(VLOOKUP(E4362,#REF!,1,FALSE())),"?TYPE_IDENTIFIABLE","?REFERENTIAL"),"_")))))</f>
        <v> </v>
      </c>
      <c r="H4362" s="24" t="str">
        <f>IF(J4362&lt;&gt;1,"",IF(I4362="SBJ","CB","?"))</f>
        <v> </v>
      </c>
      <c r="I4362" s="25" t="str">
        <f>IF(OR(E4362="",E4362="!!!",F4362="NEW"),"",INDEX(B4361:B$2,-1+SUMPRODUCT(MAX(ROW(E4361:E$2)*(E4362=E4361:E$2)))))</f>
        <v> </v>
      </c>
      <c r="J4362" s="25" t="str">
        <f>IF(OR(E4362="",E4362="!!!",F4362="NEW"),"",COUNTBLANK(OFFSET(A$1,,,SUMPRODUCT(MAX(ROW(E$2:E4362)*(E4362=E$2:E4362)))))-COUNTBLANK(OFFSET(A$1,,,SUMPRODUCT(MAX(ROW(E$1:E4361)*(E2=E$1:E4361))))))</f>
        <v> </v>
      </c>
      <c r="K4362" s="25" t="str">
        <f>IF(OR(E4362="",E4362="!!!",F4362="NEW"),"",INDEX(J$1:J4361,SUMPRODUCT(MAX(ROW(E$1:E4361)*(E4362=E$1:E4361)))))</f>
        <v> </v>
      </c>
      <c r="L4362" s="26"/>
    </row>
    <row r="4363" spans="1:12">
      <c r="A4363" s="20" t="s">
        <v>2277</v>
      </c>
      <c r="B4363" s="27" t="s">
        <v>1243</v>
      </c>
      <c r="E4363" s="21">
        <f>IF(D4363="?OLD","!!!","")</f>
        <v/>
      </c>
      <c r="F4363" s="22" t="str">
        <f>IF(OR(E4363="",E4363="!!!"),"",IF(NOT(ISNA(VLOOKUP(E4363,E$1:E4362,1,FALSE()))),"OLD",IF(AND(E4363&lt;&gt;"",E4363&lt;&gt;"!!!"),"NEW","")))</f>
        <v> </v>
      </c>
      <c r="G4363" s="23" t="str">
        <f>IF(OR(E4363="",E4363="!!!"),"",IF(OR(J4363=0,AND(J4363=1,K4363=1),AND(J4363=1,I4363="SBJ"),AND(J4363=1,I4363=0)),"?IN_FOCUS",IF(J4363&lt;=2,"?ACTIVATED",IF(J4363&lt;&gt;"","?FAMILIAR",IF(F4363="NEW",IF(ISNA(VLOOKUP(E4363,#REF!,1,FALSE())),"?TYPE_IDENTIFIABLE","?REFERENTIAL"),"_")))))</f>
        <v> </v>
      </c>
      <c r="H4363" s="24" t="str">
        <f>IF(J4363&lt;&gt;1,"",IF(I4363="SBJ","CB","?"))</f>
        <v> </v>
      </c>
      <c r="I4363" s="25" t="str">
        <f>IF(OR(E4363="",E4363="!!!",F4363="NEW"),"",INDEX(B4362:B$2,-1+SUMPRODUCT(MAX(ROW(E4362:E$2)*(E4363=E4362:E$2)))))</f>
        <v> </v>
      </c>
      <c r="J4363" s="25" t="str">
        <f>IF(OR(E4363="",E4363="!!!",F4363="NEW"),"",COUNTBLANK(OFFSET(A$1,,,SUMPRODUCT(MAX(ROW(E$2:E4363)*(E4363=E$2:E4363)))))-COUNTBLANK(OFFSET(A$1,,,SUMPRODUCT(MAX(ROW(E$1:E4362)*(E2=E$1:E4362))))))</f>
        <v> </v>
      </c>
      <c r="K4363" s="25" t="str">
        <f>IF(OR(E4363="",E4363="!!!",F4363="NEW"),"",INDEX(J$1:J4362,SUMPRODUCT(MAX(ROW(E$1:E4362)*(E4363=E$1:E4362)))))</f>
        <v> </v>
      </c>
      <c r="L4363" s="26"/>
    </row>
    <row r="4364" spans="1:12">
      <c r="A4364" s="20" t="s">
        <v>1184</v>
      </c>
      <c r="E4364" s="21">
        <f>IF(D4364="?OLD","!!!","")</f>
        <v/>
      </c>
      <c r="F4364" s="22" t="str">
        <f>IF(OR(E4364="",E4364="!!!"),"",IF(NOT(ISNA(VLOOKUP(E4364,E$1:E4363,1,FALSE()))),"OLD",IF(AND(E4364&lt;&gt;"",E4364&lt;&gt;"!!!"),"NEW","")))</f>
        <v> </v>
      </c>
      <c r="G4364" s="23" t="str">
        <f>IF(OR(E4364="",E4364="!!!"),"",IF(OR(J4364=0,AND(J4364=1,K4364=1),AND(J4364=1,I4364="SBJ"),AND(J4364=1,I4364=0)),"?IN_FOCUS",IF(J4364&lt;=2,"?ACTIVATED",IF(J4364&lt;&gt;"","?FAMILIAR",IF(F4364="NEW",IF(ISNA(VLOOKUP(E4364,#REF!,1,FALSE())),"?TYPE_IDENTIFIABLE","?REFERENTIAL"),"_")))))</f>
        <v> </v>
      </c>
      <c r="H4364" s="24" t="str">
        <f>IF(J4364&lt;&gt;1,"",IF(I4364="SBJ","CB","?"))</f>
        <v> </v>
      </c>
      <c r="I4364" s="25" t="str">
        <f>IF(OR(E4364="",E4364="!!!",F4364="NEW"),"",INDEX(B4363:B$2,-1+SUMPRODUCT(MAX(ROW(E4363:E$2)*(E4364=E4363:E$2)))))</f>
        <v> </v>
      </c>
      <c r="J4364" s="25" t="str">
        <f>IF(OR(E4364="",E4364="!!!",F4364="NEW"),"",COUNTBLANK(OFFSET(A$1,,,SUMPRODUCT(MAX(ROW(E$2:E4364)*(E4364=E$2:E4364)))))-COUNTBLANK(OFFSET(A$1,,,SUMPRODUCT(MAX(ROW(E$1:E4363)*(E2=E$1:E4363))))))</f>
        <v> </v>
      </c>
      <c r="K4364" s="25" t="str">
        <f>IF(OR(E4364="",E4364="!!!",F4364="NEW"),"",INDEX(J$1:J4363,SUMPRODUCT(MAX(ROW(E$1:E4363)*(E4364=E$1:E4363)))))</f>
        <v> </v>
      </c>
      <c r="L4364" s="26"/>
    </row>
    <row r="4365" spans="1:12">
      <c r="A4365" s="20" t="s">
        <v>3032</v>
      </c>
      <c r="E4365" s="21">
        <f>IF(D4365="?OLD","!!!","")</f>
        <v/>
      </c>
      <c r="F4365" s="22" t="str">
        <f>IF(OR(E4365="",E4365="!!!"),"",IF(NOT(ISNA(VLOOKUP(E4365,E$1:E4364,1,FALSE()))),"OLD",IF(AND(E4365&lt;&gt;"",E4365&lt;&gt;"!!!"),"NEW","")))</f>
        <v> </v>
      </c>
      <c r="G4365" s="23" t="str">
        <f>IF(OR(E4365="",E4365="!!!"),"",IF(OR(J4365=0,AND(J4365=1,K4365=1),AND(J4365=1,I4365="SBJ"),AND(J4365=1,I4365=0)),"?IN_FOCUS",IF(J4365&lt;=2,"?ACTIVATED",IF(J4365&lt;&gt;"","?FAMILIAR",IF(F4365="NEW",IF(ISNA(VLOOKUP(E4365,#REF!,1,FALSE())),"?TYPE_IDENTIFIABLE","?REFERENTIAL"),"_")))))</f>
        <v> </v>
      </c>
      <c r="H4365" s="24" t="str">
        <f>IF(J4365&lt;&gt;1,"",IF(I4365="SBJ","CB","?"))</f>
        <v> </v>
      </c>
      <c r="I4365" s="25" t="str">
        <f>IF(OR(E4365="",E4365="!!!",F4365="NEW"),"",INDEX(B4364:B$2,-1+SUMPRODUCT(MAX(ROW(E4364:E$2)*(E4365=E4364:E$2)))))</f>
        <v> </v>
      </c>
      <c r="J4365" s="25" t="str">
        <f>IF(OR(E4365="",E4365="!!!",F4365="NEW"),"",COUNTBLANK(OFFSET(A$1,,,SUMPRODUCT(MAX(ROW(E$2:E4365)*(E4365=E$2:E4365)))))-COUNTBLANK(OFFSET(A$1,,,SUMPRODUCT(MAX(ROW(E$1:E4364)*(E2=E$1:E4364))))))</f>
        <v> </v>
      </c>
      <c r="K4365" s="25" t="str">
        <f>IF(OR(E4365="",E4365="!!!",F4365="NEW"),"",INDEX(J$1:J4364,SUMPRODUCT(MAX(ROW(E$1:E4364)*(E4365=E$1:E4364)))))</f>
        <v> </v>
      </c>
      <c r="L4365" s="26"/>
    </row>
    <row r="4366" spans="1:12">
      <c r="A4366" s="20" t="s">
        <v>1123</v>
      </c>
      <c r="E4366" s="21">
        <f>IF(D4366="?OLD","!!!","")</f>
        <v/>
      </c>
      <c r="F4366" s="22" t="str">
        <f>IF(OR(E4366="",E4366="!!!"),"",IF(NOT(ISNA(VLOOKUP(E4366,E$1:E4365,1,FALSE()))),"OLD",IF(AND(E4366&lt;&gt;"",E4366&lt;&gt;"!!!"),"NEW","")))</f>
        <v> </v>
      </c>
      <c r="G4366" s="23" t="str">
        <f>IF(OR(E4366="",E4366="!!!"),"",IF(OR(J4366=0,AND(J4366=1,K4366=1),AND(J4366=1,I4366="SBJ"),AND(J4366=1,I4366=0)),"?IN_FOCUS",IF(J4366&lt;=2,"?ACTIVATED",IF(J4366&lt;&gt;"","?FAMILIAR",IF(F4366="NEW",IF(ISNA(VLOOKUP(E4366,#REF!,1,FALSE())),"?TYPE_IDENTIFIABLE","?REFERENTIAL"),"_")))))</f>
        <v> </v>
      </c>
      <c r="H4366" s="24" t="str">
        <f>IF(J4366&lt;&gt;1,"",IF(I4366="SBJ","CB","?"))</f>
        <v> </v>
      </c>
      <c r="I4366" s="25" t="str">
        <f>IF(OR(E4366="",E4366="!!!",F4366="NEW"),"",INDEX(B4365:B$2,-1+SUMPRODUCT(MAX(ROW(E4365:E$2)*(E4366=E4365:E$2)))))</f>
        <v> </v>
      </c>
      <c r="J4366" s="25" t="str">
        <f>IF(OR(E4366="",E4366="!!!",F4366="NEW"),"",COUNTBLANK(OFFSET(A$1,,,SUMPRODUCT(MAX(ROW(E$2:E4366)*(E4366=E$2:E4366)))))-COUNTBLANK(OFFSET(A$1,,,SUMPRODUCT(MAX(ROW(E$1:E4365)*(E2=E$1:E4365))))))</f>
        <v> </v>
      </c>
      <c r="K4366" s="25" t="str">
        <f>IF(OR(E4366="",E4366="!!!",F4366="NEW"),"",INDEX(J$1:J4365,SUMPRODUCT(MAX(ROW(E$1:E4365)*(E4366=E$1:E4365)))))</f>
        <v> </v>
      </c>
      <c r="L4366" s="26"/>
    </row>
    <row r="4367" spans="1:12">
      <c r="A4367" s="20" t="s">
        <v>3033</v>
      </c>
      <c r="E4367" s="21">
        <f>IF(D4367="?OLD","!!!","")</f>
        <v/>
      </c>
      <c r="F4367" s="22" t="str">
        <f>IF(OR(E4367="",E4367="!!!"),"",IF(NOT(ISNA(VLOOKUP(E4367,E$1:E4366,1,FALSE()))),"OLD",IF(AND(E4367&lt;&gt;"",E4367&lt;&gt;"!!!"),"NEW","")))</f>
        <v> </v>
      </c>
      <c r="G4367" s="23" t="str">
        <f>IF(OR(E4367="",E4367="!!!"),"",IF(OR(J4367=0,AND(J4367=1,K4367=1),AND(J4367=1,I4367="SBJ"),AND(J4367=1,I4367=0)),"?IN_FOCUS",IF(J4367&lt;=2,"?ACTIVATED",IF(J4367&lt;&gt;"","?FAMILIAR",IF(F4367="NEW",IF(ISNA(VLOOKUP(E4367,#REF!,1,FALSE())),"?TYPE_IDENTIFIABLE","?REFERENTIAL"),"_")))))</f>
        <v> </v>
      </c>
      <c r="H4367" s="24" t="str">
        <f>IF(J4367&lt;&gt;1,"",IF(I4367="SBJ","CB","?"))</f>
        <v> </v>
      </c>
      <c r="I4367" s="25" t="str">
        <f>IF(OR(E4367="",E4367="!!!",F4367="NEW"),"",INDEX(B4366:B$2,-1+SUMPRODUCT(MAX(ROW(E4366:E$2)*(E4367=E4366:E$2)))))</f>
        <v> </v>
      </c>
      <c r="J4367" s="25" t="str">
        <f>IF(OR(E4367="",E4367="!!!",F4367="NEW"),"",COUNTBLANK(OFFSET(A$1,,,SUMPRODUCT(MAX(ROW(E$2:E4367)*(E4367=E$2:E4367)))))-COUNTBLANK(OFFSET(A$1,,,SUMPRODUCT(MAX(ROW(E$1:E4366)*(E2=E$1:E4366))))))</f>
        <v> </v>
      </c>
      <c r="K4367" s="25" t="str">
        <f>IF(OR(E4367="",E4367="!!!",F4367="NEW"),"",INDEX(J$1:J4366,SUMPRODUCT(MAX(ROW(E$1:E4366)*(E4367=E$1:E4366)))))</f>
        <v> </v>
      </c>
      <c r="L4367" s="26"/>
    </row>
    <row r="4368" spans="1:12">
      <c r="A4368" s="20" t="s">
        <v>1271</v>
      </c>
      <c r="E4368" s="21">
        <f>IF(D4368="?OLD","!!!","")</f>
        <v/>
      </c>
      <c r="F4368" s="22" t="str">
        <f>IF(OR(E4368="",E4368="!!!"),"",IF(NOT(ISNA(VLOOKUP(E4368,E$1:E4367,1,FALSE()))),"OLD",IF(AND(E4368&lt;&gt;"",E4368&lt;&gt;"!!!"),"NEW","")))</f>
        <v> </v>
      </c>
      <c r="G4368" s="23" t="str">
        <f>IF(OR(E4368="",E4368="!!!"),"",IF(OR(J4368=0,AND(J4368=1,K4368=1),AND(J4368=1,I4368="SBJ"),AND(J4368=1,I4368=0)),"?IN_FOCUS",IF(J4368&lt;=2,"?ACTIVATED",IF(J4368&lt;&gt;"","?FAMILIAR",IF(F4368="NEW",IF(ISNA(VLOOKUP(E4368,#REF!,1,FALSE())),"?TYPE_IDENTIFIABLE","?REFERENTIAL"),"_")))))</f>
        <v> </v>
      </c>
      <c r="H4368" s="24" t="str">
        <f>IF(J4368&lt;&gt;1,"",IF(I4368="SBJ","CB","?"))</f>
        <v> </v>
      </c>
      <c r="I4368" s="25" t="str">
        <f>IF(OR(E4368="",E4368="!!!",F4368="NEW"),"",INDEX(B4367:B$2,-1+SUMPRODUCT(MAX(ROW(E4367:E$2)*(E4368=E4367:E$2)))))</f>
        <v> </v>
      </c>
      <c r="J4368" s="25" t="str">
        <f>IF(OR(E4368="",E4368="!!!",F4368="NEW"),"",COUNTBLANK(OFFSET(A$1,,,SUMPRODUCT(MAX(ROW(E$2:E4368)*(E4368=E$2:E4368)))))-COUNTBLANK(OFFSET(A$1,,,SUMPRODUCT(MAX(ROW(E$1:E4367)*(E2=E$1:E4367))))))</f>
        <v> </v>
      </c>
      <c r="K4368" s="25" t="str">
        <f>IF(OR(E4368="",E4368="!!!",F4368="NEW"),"",INDEX(J$1:J4367,SUMPRODUCT(MAX(ROW(E$1:E4367)*(E4368=E$1:E4367)))))</f>
        <v> </v>
      </c>
      <c r="L4368" s="26"/>
    </row>
    <row r="4369" spans="1:12">
      <c r="A4369" s="20" t="s">
        <v>1418</v>
      </c>
      <c r="E4369" s="21">
        <f>IF(D4369="?OLD","!!!","")</f>
        <v/>
      </c>
      <c r="F4369" s="22" t="str">
        <f>IF(OR(E4369="",E4369="!!!"),"",IF(NOT(ISNA(VLOOKUP(E4369,E$1:E4368,1,FALSE()))),"OLD",IF(AND(E4369&lt;&gt;"",E4369&lt;&gt;"!!!"),"NEW","")))</f>
        <v> </v>
      </c>
      <c r="G4369" s="23" t="str">
        <f>IF(OR(E4369="",E4369="!!!"),"",IF(OR(J4369=0,AND(J4369=1,K4369=1),AND(J4369=1,I4369="SBJ"),AND(J4369=1,I4369=0)),"?IN_FOCUS",IF(J4369&lt;=2,"?ACTIVATED",IF(J4369&lt;&gt;"","?FAMILIAR",IF(F4369="NEW",IF(ISNA(VLOOKUP(E4369,#REF!,1,FALSE())),"?TYPE_IDENTIFIABLE","?REFERENTIAL"),"_")))))</f>
        <v> </v>
      </c>
      <c r="H4369" s="24" t="str">
        <f>IF(J4369&lt;&gt;1,"",IF(I4369="SBJ","CB","?"))</f>
        <v> </v>
      </c>
      <c r="I4369" s="25" t="str">
        <f>IF(OR(E4369="",E4369="!!!",F4369="NEW"),"",INDEX(B4368:B$2,-1+SUMPRODUCT(MAX(ROW(E4368:E$2)*(E4369=E4368:E$2)))))</f>
        <v> </v>
      </c>
      <c r="J4369" s="25" t="str">
        <f>IF(OR(E4369="",E4369="!!!",F4369="NEW"),"",COUNTBLANK(OFFSET(A$1,,,SUMPRODUCT(MAX(ROW(E$2:E4369)*(E4369=E$2:E4369)))))-COUNTBLANK(OFFSET(A$1,,,SUMPRODUCT(MAX(ROW(E$1:E4368)*(E2=E$1:E4368))))))</f>
        <v> </v>
      </c>
      <c r="K4369" s="25" t="str">
        <f>IF(OR(E4369="",E4369="!!!",F4369="NEW"),"",INDEX(J$1:J4368,SUMPRODUCT(MAX(ROW(E$1:E4368)*(E4369=E$1:E4368)))))</f>
        <v> </v>
      </c>
      <c r="L4369" s="26"/>
    </row>
    <row r="4370" spans="1:12">
      <c r="A4370" s="20" t="s">
        <v>1123</v>
      </c>
      <c r="E4370" s="21">
        <f>IF(D4370="?OLD","!!!","")</f>
        <v/>
      </c>
      <c r="F4370" s="22" t="str">
        <f>IF(OR(E4370="",E4370="!!!"),"",IF(NOT(ISNA(VLOOKUP(E4370,E$1:E4369,1,FALSE()))),"OLD",IF(AND(E4370&lt;&gt;"",E4370&lt;&gt;"!!!"),"NEW","")))</f>
        <v> </v>
      </c>
      <c r="G4370" s="23" t="str">
        <f>IF(OR(E4370="",E4370="!!!"),"",IF(OR(J4370=0,AND(J4370=1,K4370=1),AND(J4370=1,I4370="SBJ"),AND(J4370=1,I4370=0)),"?IN_FOCUS",IF(J4370&lt;=2,"?ACTIVATED",IF(J4370&lt;&gt;"","?FAMILIAR",IF(F4370="NEW",IF(ISNA(VLOOKUP(E4370,#REF!,1,FALSE())),"?TYPE_IDENTIFIABLE","?REFERENTIAL"),"_")))))</f>
        <v> </v>
      </c>
      <c r="H4370" s="24" t="str">
        <f>IF(J4370&lt;&gt;1,"",IF(I4370="SBJ","CB","?"))</f>
        <v> </v>
      </c>
      <c r="I4370" s="25" t="str">
        <f>IF(OR(E4370="",E4370="!!!",F4370="NEW"),"",INDEX(B4369:B$2,-1+SUMPRODUCT(MAX(ROW(E4369:E$2)*(E4370=E4369:E$2)))))</f>
        <v> </v>
      </c>
      <c r="J4370" s="25" t="str">
        <f>IF(OR(E4370="",E4370="!!!",F4370="NEW"),"",COUNTBLANK(OFFSET(A$1,,,SUMPRODUCT(MAX(ROW(E$2:E4370)*(E4370=E$2:E4370)))))-COUNTBLANK(OFFSET(A$1,,,SUMPRODUCT(MAX(ROW(E$1:E4369)*(E2=E$1:E4369))))))</f>
        <v> </v>
      </c>
      <c r="K4370" s="25" t="str">
        <f>IF(OR(E4370="",E4370="!!!",F4370="NEW"),"",INDEX(J$1:J4369,SUMPRODUCT(MAX(ROW(E$1:E4369)*(E4370=E$1:E4369)))))</f>
        <v> </v>
      </c>
      <c r="L4370" s="26"/>
    </row>
    <row r="4371" spans="1:12">
      <c r="A4371" s="20" t="s">
        <v>1197</v>
      </c>
      <c r="E4371" s="21">
        <f>IF(D4371="?OLD","!!!","")</f>
        <v/>
      </c>
      <c r="F4371" s="22" t="str">
        <f>IF(OR(E4371="",E4371="!!!"),"",IF(NOT(ISNA(VLOOKUP(E4371,E$1:E4370,1,FALSE()))),"OLD",IF(AND(E4371&lt;&gt;"",E4371&lt;&gt;"!!!"),"NEW","")))</f>
        <v> </v>
      </c>
      <c r="G4371" s="23" t="str">
        <f>IF(OR(E4371="",E4371="!!!"),"",IF(OR(J4371=0,AND(J4371=1,K4371=1),AND(J4371=1,I4371="SBJ"),AND(J4371=1,I4371=0)),"?IN_FOCUS",IF(J4371&lt;=2,"?ACTIVATED",IF(J4371&lt;&gt;"","?FAMILIAR",IF(F4371="NEW",IF(ISNA(VLOOKUP(E4371,#REF!,1,FALSE())),"?TYPE_IDENTIFIABLE","?REFERENTIAL"),"_")))))</f>
        <v> </v>
      </c>
      <c r="H4371" s="24" t="str">
        <f>IF(J4371&lt;&gt;1,"",IF(I4371="SBJ","CB","?"))</f>
        <v> </v>
      </c>
      <c r="I4371" s="25" t="str">
        <f>IF(OR(E4371="",E4371="!!!",F4371="NEW"),"",INDEX(B4370:B$2,-1+SUMPRODUCT(MAX(ROW(E4370:E$2)*(E4371=E4370:E$2)))))</f>
        <v> </v>
      </c>
      <c r="J4371" s="25" t="str">
        <f>IF(OR(E4371="",E4371="!!!",F4371="NEW"),"",COUNTBLANK(OFFSET(A$1,,,SUMPRODUCT(MAX(ROW(E$2:E4371)*(E4371=E$2:E4371)))))-COUNTBLANK(OFFSET(A$1,,,SUMPRODUCT(MAX(ROW(E$1:E4370)*(E2=E$1:E4370))))))</f>
        <v> </v>
      </c>
      <c r="K4371" s="25" t="str">
        <f>IF(OR(E4371="",E4371="!!!",F4371="NEW"),"",INDEX(J$1:J4370,SUMPRODUCT(MAX(ROW(E$1:E4370)*(E4371=E$1:E4370)))))</f>
        <v> </v>
      </c>
      <c r="L4371" s="26"/>
    </row>
    <row r="4372" spans="1:12">
      <c r="A4372" s="20" t="s">
        <v>1249</v>
      </c>
      <c r="E4372" s="21">
        <f>IF(D4372="?OLD","!!!","")</f>
        <v/>
      </c>
      <c r="F4372" s="22" t="str">
        <f>IF(OR(E4372="",E4372="!!!"),"",IF(NOT(ISNA(VLOOKUP(E4372,E$1:E4371,1,FALSE()))),"OLD",IF(AND(E4372&lt;&gt;"",E4372&lt;&gt;"!!!"),"NEW","")))</f>
        <v> </v>
      </c>
      <c r="G4372" s="23" t="str">
        <f>IF(OR(E4372="",E4372="!!!"),"",IF(OR(J4372=0,AND(J4372=1,K4372=1),AND(J4372=1,I4372="SBJ"),AND(J4372=1,I4372=0)),"?IN_FOCUS",IF(J4372&lt;=2,"?ACTIVATED",IF(J4372&lt;&gt;"","?FAMILIAR",IF(F4372="NEW",IF(ISNA(VLOOKUP(E4372,#REF!,1,FALSE())),"?TYPE_IDENTIFIABLE","?REFERENTIAL"),"_")))))</f>
        <v> </v>
      </c>
      <c r="H4372" s="24" t="str">
        <f>IF(J4372&lt;&gt;1,"",IF(I4372="SBJ","CB","?"))</f>
        <v> </v>
      </c>
      <c r="I4372" s="25" t="str">
        <f>IF(OR(E4372="",E4372="!!!",F4372="NEW"),"",INDEX(B4371:B$2,-1+SUMPRODUCT(MAX(ROW(E4371:E$2)*(E4372=E4371:E$2)))))</f>
        <v> </v>
      </c>
      <c r="J4372" s="25" t="str">
        <f>IF(OR(E4372="",E4372="!!!",F4372="NEW"),"",COUNTBLANK(OFFSET(A$1,,,SUMPRODUCT(MAX(ROW(E$2:E4372)*(E4372=E$2:E4372)))))-COUNTBLANK(OFFSET(A$1,,,SUMPRODUCT(MAX(ROW(E$1:E4371)*(E2=E$1:E4371))))))</f>
        <v> </v>
      </c>
      <c r="K4372" s="25" t="str">
        <f>IF(OR(E4372="",E4372="!!!",F4372="NEW"),"",INDEX(J$1:J4371,SUMPRODUCT(MAX(ROW(E$1:E4371)*(E4372=E$1:E4371)))))</f>
        <v> </v>
      </c>
      <c r="L4372" s="26"/>
    </row>
    <row r="4373" spans="1:12">
      <c r="A4373" s="20" t="s">
        <v>2007</v>
      </c>
      <c r="E4373" s="21">
        <f>IF(D4373="?OLD","!!!","")</f>
        <v/>
      </c>
      <c r="F4373" s="22" t="str">
        <f>IF(OR(E4373="",E4373="!!!"),"",IF(NOT(ISNA(VLOOKUP(E4373,E$1:E4372,1,FALSE()))),"OLD",IF(AND(E4373&lt;&gt;"",E4373&lt;&gt;"!!!"),"NEW","")))</f>
        <v> </v>
      </c>
      <c r="G4373" s="23" t="str">
        <f>IF(OR(E4373="",E4373="!!!"),"",IF(OR(J4373=0,AND(J4373=1,K4373=1),AND(J4373=1,I4373="SBJ"),AND(J4373=1,I4373=0)),"?IN_FOCUS",IF(J4373&lt;=2,"?ACTIVATED",IF(J4373&lt;&gt;"","?FAMILIAR",IF(F4373="NEW",IF(ISNA(VLOOKUP(E4373,#REF!,1,FALSE())),"?TYPE_IDENTIFIABLE","?REFERENTIAL"),"_")))))</f>
        <v> </v>
      </c>
      <c r="H4373" s="24" t="str">
        <f>IF(J4373&lt;&gt;1,"",IF(I4373="SBJ","CB","?"))</f>
        <v> </v>
      </c>
      <c r="I4373" s="25" t="str">
        <f>IF(OR(E4373="",E4373="!!!",F4373="NEW"),"",INDEX(B4372:B$2,-1+SUMPRODUCT(MAX(ROW(E4372:E$2)*(E4373=E4372:E$2)))))</f>
        <v> </v>
      </c>
      <c r="J4373" s="25" t="str">
        <f>IF(OR(E4373="",E4373="!!!",F4373="NEW"),"",COUNTBLANK(OFFSET(A$1,,,SUMPRODUCT(MAX(ROW(E$2:E4373)*(E4373=E$2:E4373)))))-COUNTBLANK(OFFSET(A$1,,,SUMPRODUCT(MAX(ROW(E$1:E4372)*(E2=E$1:E4372))))))</f>
        <v> </v>
      </c>
      <c r="K4373" s="25" t="str">
        <f>IF(OR(E4373="",E4373="!!!",F4373="NEW"),"",INDEX(J$1:J4372,SUMPRODUCT(MAX(ROW(E$1:E4372)*(E4373=E$1:E4372)))))</f>
        <v> </v>
      </c>
      <c r="L4373" s="26"/>
    </row>
    <row r="4374" spans="1:12">
      <c r="A4374" s="20" t="s">
        <v>3034</v>
      </c>
      <c r="B4374" s="27" t="s">
        <v>1110</v>
      </c>
      <c r="C4374" s="27" t="s">
        <v>1116</v>
      </c>
      <c r="E4374" s="21">
        <f>IF(D4374="?OLD","!!!","")</f>
        <v/>
      </c>
      <c r="F4374" s="22" t="str">
        <f>IF(OR(E4374="",E4374="!!!"),"",IF(NOT(ISNA(VLOOKUP(E4374,E$1:E4373,1,FALSE()))),"OLD",IF(AND(E4374&lt;&gt;"",E4374&lt;&gt;"!!!"),"NEW","")))</f>
        <v> </v>
      </c>
      <c r="G4374" s="23" t="str">
        <f>IF(OR(E4374="",E4374="!!!"),"",IF(OR(J4374=0,AND(J4374=1,K4374=1),AND(J4374=1,I4374="SBJ"),AND(J4374=1,I4374=0)),"?IN_FOCUS",IF(J4374&lt;=2,"?ACTIVATED",IF(J4374&lt;&gt;"","?FAMILIAR",IF(F4374="NEW",IF(ISNA(VLOOKUP(E4374,#REF!,1,FALSE())),"?TYPE_IDENTIFIABLE","?REFERENTIAL"),"_")))))</f>
        <v> </v>
      </c>
      <c r="H4374" s="24" t="str">
        <f>IF(J4374&lt;&gt;1,"",IF(I4374="SBJ","CB","?"))</f>
        <v> </v>
      </c>
      <c r="I4374" s="25" t="str">
        <f>IF(OR(E4374="",E4374="!!!",F4374="NEW"),"",INDEX(B4373:B$2,-1+SUMPRODUCT(MAX(ROW(E4373:E$2)*(E4374=E4373:E$2)))))</f>
        <v> </v>
      </c>
      <c r="J4374" s="25" t="str">
        <f>IF(OR(E4374="",E4374="!!!",F4374="NEW"),"",COUNTBLANK(OFFSET(A$1,,,SUMPRODUCT(MAX(ROW(E$2:E4374)*(E4374=E$2:E4374)))))-COUNTBLANK(OFFSET(A$1,,,SUMPRODUCT(MAX(ROW(E$1:E4373)*(E2=E$1:E4373))))))</f>
        <v> </v>
      </c>
      <c r="K4374" s="25" t="str">
        <f>IF(OR(E4374="",E4374="!!!",F4374="NEW"),"",INDEX(J$1:J4373,SUMPRODUCT(MAX(ROW(E$1:E4373)*(E4374=E$1:E4373)))))</f>
        <v> </v>
      </c>
      <c r="L4374" s="26"/>
    </row>
    <row r="4375" spans="1:12">
      <c r="A4375" s="20" t="s">
        <v>1117</v>
      </c>
      <c r="E4375" s="21">
        <f>IF(D4375="?OLD","!!!","")</f>
        <v/>
      </c>
      <c r="F4375" s="22" t="str">
        <f>IF(OR(E4375="",E4375="!!!"),"",IF(NOT(ISNA(VLOOKUP(E4375,E$1:E4374,1,FALSE()))),"OLD",IF(AND(E4375&lt;&gt;"",E4375&lt;&gt;"!!!"),"NEW","")))</f>
        <v> </v>
      </c>
      <c r="G4375" s="23" t="str">
        <f>IF(OR(E4375="",E4375="!!!"),"",IF(OR(J4375=0,AND(J4375=1,K4375=1),AND(J4375=1,I4375="SBJ"),AND(J4375=1,I4375=0)),"?IN_FOCUS",IF(J4375&lt;=2,"?ACTIVATED",IF(J4375&lt;&gt;"","?FAMILIAR",IF(F4375="NEW",IF(ISNA(VLOOKUP(E4375,#REF!,1,FALSE())),"?TYPE_IDENTIFIABLE","?REFERENTIAL"),"_")))))</f>
        <v> </v>
      </c>
      <c r="H4375" s="24" t="str">
        <f>IF(J4375&lt;&gt;1,"",IF(I4375="SBJ","CB","?"))</f>
        <v> </v>
      </c>
      <c r="I4375" s="25" t="str">
        <f>IF(OR(E4375="",E4375="!!!",F4375="NEW"),"",INDEX(B4374:B$2,-1+SUMPRODUCT(MAX(ROW(E4374:E$2)*(E4375=E4374:E$2)))))</f>
        <v> </v>
      </c>
      <c r="J4375" s="25" t="str">
        <f>IF(OR(E4375="",E4375="!!!",F4375="NEW"),"",COUNTBLANK(OFFSET(A$1,,,SUMPRODUCT(MAX(ROW(E$2:E4375)*(E4375=E$2:E4375)))))-COUNTBLANK(OFFSET(A$1,,,SUMPRODUCT(MAX(ROW(E$1:E4374)*(E2=E$1:E4374))))))</f>
        <v> </v>
      </c>
      <c r="K4375" s="25" t="str">
        <f>IF(OR(E4375="",E4375="!!!",F4375="NEW"),"",INDEX(J$1:J4374,SUMPRODUCT(MAX(ROW(E$1:E4374)*(E4375=E$1:E4374)))))</f>
        <v> </v>
      </c>
      <c r="L4375" s="26"/>
    </row>
    <row r="4376" spans="1:12">
      <c r="A4376" s="20" t="s">
        <v>1120</v>
      </c>
      <c r="E4376" s="21">
        <f>IF(D4376="?OLD","!!!","")</f>
        <v/>
      </c>
      <c r="F4376" s="22" t="str">
        <f>IF(OR(E4376="",E4376="!!!"),"",IF(NOT(ISNA(VLOOKUP(E4376,E$1:E4375,1,FALSE()))),"OLD",IF(AND(E4376&lt;&gt;"",E4376&lt;&gt;"!!!"),"NEW","")))</f>
        <v> </v>
      </c>
      <c r="G4376" s="23" t="str">
        <f>IF(OR(E4376="",E4376="!!!"),"",IF(OR(J4376=0,AND(J4376=1,K4376=1),AND(J4376=1,I4376="SBJ"),AND(J4376=1,I4376=0)),"?IN_FOCUS",IF(J4376&lt;=2,"?ACTIVATED",IF(J4376&lt;&gt;"","?FAMILIAR",IF(F4376="NEW",IF(ISNA(VLOOKUP(E4376,#REF!,1,FALSE())),"?TYPE_IDENTIFIABLE","?REFERENTIAL"),"_")))))</f>
        <v> </v>
      </c>
      <c r="H4376" s="24" t="str">
        <f>IF(J4376&lt;&gt;1,"",IF(I4376="SBJ","CB","?"))</f>
        <v> </v>
      </c>
      <c r="I4376" s="25" t="str">
        <f>IF(OR(E4376="",E4376="!!!",F4376="NEW"),"",INDEX(B4375:B$2,-1+SUMPRODUCT(MAX(ROW(E4375:E$2)*(E4376=E4375:E$2)))))</f>
        <v> </v>
      </c>
      <c r="J4376" s="25" t="str">
        <f>IF(OR(E4376="",E4376="!!!",F4376="NEW"),"",COUNTBLANK(OFFSET(A$1,,,SUMPRODUCT(MAX(ROW(E$2:E4376)*(E4376=E$2:E4376)))))-COUNTBLANK(OFFSET(A$1,,,SUMPRODUCT(MAX(ROW(E$1:E4375)*(E2=E$1:E4375))))))</f>
        <v> </v>
      </c>
      <c r="K4376" s="25" t="str">
        <f>IF(OR(E4376="",E4376="!!!",F4376="NEW"),"",INDEX(J$1:J4375,SUMPRODUCT(MAX(ROW(E$1:E4375)*(E4376=E$1:E4375)))))</f>
        <v> </v>
      </c>
      <c r="L4376" s="26"/>
    </row>
    <row r="4377" spans="1:12">
      <c r="A4377" s="20" t="s">
        <v>3035</v>
      </c>
      <c r="E4377" s="21">
        <f>IF(D4377="?OLD","!!!","")</f>
        <v/>
      </c>
      <c r="F4377" s="22" t="str">
        <f>IF(OR(E4377="",E4377="!!!"),"",IF(NOT(ISNA(VLOOKUP(E4377,E$1:E4376,1,FALSE()))),"OLD",IF(AND(E4377&lt;&gt;"",E4377&lt;&gt;"!!!"),"NEW","")))</f>
        <v> </v>
      </c>
      <c r="G4377" s="23" t="str">
        <f>IF(OR(E4377="",E4377="!!!"),"",IF(OR(J4377=0,AND(J4377=1,K4377=1),AND(J4377=1,I4377="SBJ"),AND(J4377=1,I4377=0)),"?IN_FOCUS",IF(J4377&lt;=2,"?ACTIVATED",IF(J4377&lt;&gt;"","?FAMILIAR",IF(F4377="NEW",IF(ISNA(VLOOKUP(E4377,#REF!,1,FALSE())),"?TYPE_IDENTIFIABLE","?REFERENTIAL"),"_")))))</f>
        <v> </v>
      </c>
      <c r="H4377" s="24" t="str">
        <f>IF(J4377&lt;&gt;1,"",IF(I4377="SBJ","CB","?"))</f>
        <v> </v>
      </c>
      <c r="I4377" s="25" t="str">
        <f>IF(OR(E4377="",E4377="!!!",F4377="NEW"),"",INDEX(B4376:B$2,-1+SUMPRODUCT(MAX(ROW(E4376:E$2)*(E4377=E4376:E$2)))))</f>
        <v> </v>
      </c>
      <c r="J4377" s="25" t="str">
        <f>IF(OR(E4377="",E4377="!!!",F4377="NEW"),"",COUNTBLANK(OFFSET(A$1,,,SUMPRODUCT(MAX(ROW(E$2:E4377)*(E4377=E$2:E4377)))))-COUNTBLANK(OFFSET(A$1,,,SUMPRODUCT(MAX(ROW(E$1:E4376)*(E2=E$1:E4376))))))</f>
        <v> </v>
      </c>
      <c r="K4377" s="25" t="str">
        <f>IF(OR(E4377="",E4377="!!!",F4377="NEW"),"",INDEX(J$1:J4376,SUMPRODUCT(MAX(ROW(E$1:E4376)*(E4377=E$1:E4376)))))</f>
        <v> </v>
      </c>
      <c r="L4377" s="26"/>
    </row>
    <row r="4378" spans="1:12">
      <c r="A4378" s="20" t="s">
        <v>1113</v>
      </c>
      <c r="E4378" s="21">
        <f>IF(D4378="?OLD","!!!","")</f>
        <v/>
      </c>
      <c r="F4378" s="22" t="str">
        <f>IF(OR(E4378="",E4378="!!!"),"",IF(NOT(ISNA(VLOOKUP(E4378,E$1:E4377,1,FALSE()))),"OLD",IF(AND(E4378&lt;&gt;"",E4378&lt;&gt;"!!!"),"NEW","")))</f>
        <v> </v>
      </c>
      <c r="G4378" s="23" t="str">
        <f>IF(OR(E4378="",E4378="!!!"),"",IF(OR(J4378=0,AND(J4378=1,K4378=1),AND(J4378=1,I4378="SBJ"),AND(J4378=1,I4378=0)),"?IN_FOCUS",IF(J4378&lt;=2,"?ACTIVATED",IF(J4378&lt;&gt;"","?FAMILIAR",IF(F4378="NEW",IF(ISNA(VLOOKUP(E4378,#REF!,1,FALSE())),"?TYPE_IDENTIFIABLE","?REFERENTIAL"),"_")))))</f>
        <v> </v>
      </c>
      <c r="H4378" s="24" t="str">
        <f>IF(J4378&lt;&gt;1,"",IF(I4378="SBJ","CB","?"))</f>
        <v> </v>
      </c>
      <c r="I4378" s="25" t="str">
        <f>IF(OR(E4378="",E4378="!!!",F4378="NEW"),"",INDEX(B4377:B$2,-1+SUMPRODUCT(MAX(ROW(E4377:E$2)*(E4378=E4377:E$2)))))</f>
        <v> </v>
      </c>
      <c r="J4378" s="25" t="str">
        <f>IF(OR(E4378="",E4378="!!!",F4378="NEW"),"",COUNTBLANK(OFFSET(A$1,,,SUMPRODUCT(MAX(ROW(E$2:E4378)*(E4378=E$2:E4378)))))-COUNTBLANK(OFFSET(A$1,,,SUMPRODUCT(MAX(ROW(E$1:E4377)*(E2=E$1:E4377))))))</f>
        <v> </v>
      </c>
      <c r="K4378" s="25" t="str">
        <f>IF(OR(E4378="",E4378="!!!",F4378="NEW"),"",INDEX(J$1:J4377,SUMPRODUCT(MAX(ROW(E$1:E4377)*(E4378=E$1:E4377)))))</f>
        <v> </v>
      </c>
      <c r="L4378" s="26"/>
    </row>
    <row r="4379" spans="1:12">
      <c r="A4379" s="20" t="s">
        <v>1184</v>
      </c>
      <c r="E4379" s="21">
        <f>IF(D4379="?OLD","!!!","")</f>
        <v/>
      </c>
      <c r="F4379" s="22" t="str">
        <f>IF(OR(E4379="",E4379="!!!"),"",IF(NOT(ISNA(VLOOKUP(E4379,E$1:E4378,1,FALSE()))),"OLD",IF(AND(E4379&lt;&gt;"",E4379&lt;&gt;"!!!"),"NEW","")))</f>
        <v> </v>
      </c>
      <c r="G4379" s="23" t="str">
        <f>IF(OR(E4379="",E4379="!!!"),"",IF(OR(J4379=0,AND(J4379=1,K4379=1),AND(J4379=1,I4379="SBJ"),AND(J4379=1,I4379=0)),"?IN_FOCUS",IF(J4379&lt;=2,"?ACTIVATED",IF(J4379&lt;&gt;"","?FAMILIAR",IF(F4379="NEW",IF(ISNA(VLOOKUP(E4379,#REF!,1,FALSE())),"?TYPE_IDENTIFIABLE","?REFERENTIAL"),"_")))))</f>
        <v> </v>
      </c>
      <c r="H4379" s="24" t="str">
        <f>IF(J4379&lt;&gt;1,"",IF(I4379="SBJ","CB","?"))</f>
        <v> </v>
      </c>
      <c r="I4379" s="25" t="str">
        <f>IF(OR(E4379="",E4379="!!!",F4379="NEW"),"",INDEX(B4378:B$2,-1+SUMPRODUCT(MAX(ROW(E4378:E$2)*(E4379=E4378:E$2)))))</f>
        <v> </v>
      </c>
      <c r="J4379" s="25" t="str">
        <f>IF(OR(E4379="",E4379="!!!",F4379="NEW"),"",COUNTBLANK(OFFSET(A$1,,,SUMPRODUCT(MAX(ROW(E$2:E4379)*(E4379=E$2:E4379)))))-COUNTBLANK(OFFSET(A$1,,,SUMPRODUCT(MAX(ROW(E$1:E4378)*(E2=E$1:E4378))))))</f>
        <v> </v>
      </c>
      <c r="K4379" s="25" t="str">
        <f>IF(OR(E4379="",E4379="!!!",F4379="NEW"),"",INDEX(J$1:J4378,SUMPRODUCT(MAX(ROW(E$1:E4378)*(E4379=E$1:E4378)))))</f>
        <v> </v>
      </c>
      <c r="L4379" s="26"/>
    </row>
    <row r="4380" spans="1:12">
      <c r="A4380" s="20" t="s">
        <v>3036</v>
      </c>
      <c r="E4380" s="21">
        <f>IF(D4380="?OLD","!!!","")</f>
        <v/>
      </c>
      <c r="F4380" s="22" t="str">
        <f>IF(OR(E4380="",E4380="!!!"),"",IF(NOT(ISNA(VLOOKUP(E4380,E$1:E4379,1,FALSE()))),"OLD",IF(AND(E4380&lt;&gt;"",E4380&lt;&gt;"!!!"),"NEW","")))</f>
        <v> </v>
      </c>
      <c r="G4380" s="23" t="str">
        <f>IF(OR(E4380="",E4380="!!!"),"",IF(OR(J4380=0,AND(J4380=1,K4380=1),AND(J4380=1,I4380="SBJ"),AND(J4380=1,I4380=0)),"?IN_FOCUS",IF(J4380&lt;=2,"?ACTIVATED",IF(J4380&lt;&gt;"","?FAMILIAR",IF(F4380="NEW",IF(ISNA(VLOOKUP(E4380,#REF!,1,FALSE())),"?TYPE_IDENTIFIABLE","?REFERENTIAL"),"_")))))</f>
        <v> </v>
      </c>
      <c r="H4380" s="24" t="str">
        <f>IF(J4380&lt;&gt;1,"",IF(I4380="SBJ","CB","?"))</f>
        <v> </v>
      </c>
      <c r="I4380" s="25" t="str">
        <f>IF(OR(E4380="",E4380="!!!",F4380="NEW"),"",INDEX(B4379:B$2,-1+SUMPRODUCT(MAX(ROW(E4379:E$2)*(E4380=E4379:E$2)))))</f>
        <v> </v>
      </c>
      <c r="J4380" s="25" t="str">
        <f>IF(OR(E4380="",E4380="!!!",F4380="NEW"),"",COUNTBLANK(OFFSET(A$1,,,SUMPRODUCT(MAX(ROW(E$2:E4380)*(E4380=E$2:E4380)))))-COUNTBLANK(OFFSET(A$1,,,SUMPRODUCT(MAX(ROW(E$1:E4379)*(E2=E$1:E4379))))))</f>
        <v> </v>
      </c>
      <c r="K4380" s="25" t="str">
        <f>IF(OR(E4380="",E4380="!!!",F4380="NEW"),"",INDEX(J$1:J4379,SUMPRODUCT(MAX(ROW(E$1:E4379)*(E4380=E$1:E4379)))))</f>
        <v> </v>
      </c>
      <c r="L4380" s="26"/>
    </row>
    <row r="4381" spans="1:12">
      <c r="A4381" s="20" t="s">
        <v>3037</v>
      </c>
      <c r="E4381" s="21">
        <f>IF(D4381="?OLD","!!!","")</f>
        <v/>
      </c>
      <c r="F4381" s="22" t="str">
        <f>IF(OR(E4381="",E4381="!!!"),"",IF(NOT(ISNA(VLOOKUP(E4381,E$1:E4380,1,FALSE()))),"OLD",IF(AND(E4381&lt;&gt;"",E4381&lt;&gt;"!!!"),"NEW","")))</f>
        <v> </v>
      </c>
      <c r="G4381" s="23" t="str">
        <f>IF(OR(E4381="",E4381="!!!"),"",IF(OR(J4381=0,AND(J4381=1,K4381=1),AND(J4381=1,I4381="SBJ"),AND(J4381=1,I4381=0)),"?IN_FOCUS",IF(J4381&lt;=2,"?ACTIVATED",IF(J4381&lt;&gt;"","?FAMILIAR",IF(F4381="NEW",IF(ISNA(VLOOKUP(E4381,#REF!,1,FALSE())),"?TYPE_IDENTIFIABLE","?REFERENTIAL"),"_")))))</f>
        <v> </v>
      </c>
      <c r="H4381" s="24" t="str">
        <f>IF(J4381&lt;&gt;1,"",IF(I4381="SBJ","CB","?"))</f>
        <v> </v>
      </c>
      <c r="I4381" s="25" t="str">
        <f>IF(OR(E4381="",E4381="!!!",F4381="NEW"),"",INDEX(B4380:B$2,-1+SUMPRODUCT(MAX(ROW(E4380:E$2)*(E4381=E4380:E$2)))))</f>
        <v> </v>
      </c>
      <c r="J4381" s="25" t="str">
        <f>IF(OR(E4381="",E4381="!!!",F4381="NEW"),"",COUNTBLANK(OFFSET(A$1,,,SUMPRODUCT(MAX(ROW(E$2:E4381)*(E4381=E$2:E4381)))))-COUNTBLANK(OFFSET(A$1,,,SUMPRODUCT(MAX(ROW(E$1:E4380)*(E2=E$1:E4380))))))</f>
        <v> </v>
      </c>
      <c r="K4381" s="25" t="str">
        <f>IF(OR(E4381="",E4381="!!!",F4381="NEW"),"",INDEX(J$1:J4380,SUMPRODUCT(MAX(ROW(E$1:E4380)*(E4381=E$1:E4380)))))</f>
        <v> </v>
      </c>
      <c r="L4381" s="26"/>
    </row>
    <row r="4382" spans="1:12">
      <c r="A4382" s="20" t="s">
        <v>2123</v>
      </c>
      <c r="E4382" s="21">
        <f>IF(D4382="?OLD","!!!","")</f>
        <v/>
      </c>
      <c r="F4382" s="22" t="str">
        <f>IF(OR(E4382="",E4382="!!!"),"",IF(NOT(ISNA(VLOOKUP(E4382,E$1:E4381,1,FALSE()))),"OLD",IF(AND(E4382&lt;&gt;"",E4382&lt;&gt;"!!!"),"NEW","")))</f>
        <v> </v>
      </c>
      <c r="G4382" s="23" t="str">
        <f>IF(OR(E4382="",E4382="!!!"),"",IF(OR(J4382=0,AND(J4382=1,K4382=1),AND(J4382=1,I4382="SBJ"),AND(J4382=1,I4382=0)),"?IN_FOCUS",IF(J4382&lt;=2,"?ACTIVATED",IF(J4382&lt;&gt;"","?FAMILIAR",IF(F4382="NEW",IF(ISNA(VLOOKUP(E4382,#REF!,1,FALSE())),"?TYPE_IDENTIFIABLE","?REFERENTIAL"),"_")))))</f>
        <v> </v>
      </c>
      <c r="H4382" s="24" t="str">
        <f>IF(J4382&lt;&gt;1,"",IF(I4382="SBJ","CB","?"))</f>
        <v> </v>
      </c>
      <c r="I4382" s="25" t="str">
        <f>IF(OR(E4382="",E4382="!!!",F4382="NEW"),"",INDEX(B4381:B$2,-1+SUMPRODUCT(MAX(ROW(E4381:E$2)*(E4382=E4381:E$2)))))</f>
        <v> </v>
      </c>
      <c r="J4382" s="25" t="str">
        <f>IF(OR(E4382="",E4382="!!!",F4382="NEW"),"",COUNTBLANK(OFFSET(A$1,,,SUMPRODUCT(MAX(ROW(E$2:E4382)*(E4382=E$2:E4382)))))-COUNTBLANK(OFFSET(A$1,,,SUMPRODUCT(MAX(ROW(E$1:E4381)*(E2=E$1:E4381))))))</f>
        <v> </v>
      </c>
      <c r="K4382" s="25" t="str">
        <f>IF(OR(E4382="",E4382="!!!",F4382="NEW"),"",INDEX(J$1:J4381,SUMPRODUCT(MAX(ROW(E$1:E4381)*(E4382=E$1:E4381)))))</f>
        <v> </v>
      </c>
      <c r="L4382" s="26"/>
    </row>
    <row r="4383" spans="1:12">
      <c r="A4383" s="20" t="s">
        <v>1123</v>
      </c>
      <c r="E4383" s="21">
        <f>IF(D4383="?OLD","!!!","")</f>
        <v/>
      </c>
      <c r="F4383" s="22" t="str">
        <f>IF(OR(E4383="",E4383="!!!"),"",IF(NOT(ISNA(VLOOKUP(E4383,E$1:E4382,1,FALSE()))),"OLD",IF(AND(E4383&lt;&gt;"",E4383&lt;&gt;"!!!"),"NEW","")))</f>
        <v> </v>
      </c>
      <c r="G4383" s="23" t="str">
        <f>IF(OR(E4383="",E4383="!!!"),"",IF(OR(J4383=0,AND(J4383=1,K4383=1),AND(J4383=1,I4383="SBJ"),AND(J4383=1,I4383=0)),"?IN_FOCUS",IF(J4383&lt;=2,"?ACTIVATED",IF(J4383&lt;&gt;"","?FAMILIAR",IF(F4383="NEW",IF(ISNA(VLOOKUP(E4383,#REF!,1,FALSE())),"?TYPE_IDENTIFIABLE","?REFERENTIAL"),"_")))))</f>
        <v> </v>
      </c>
      <c r="H4383" s="24" t="str">
        <f>IF(J4383&lt;&gt;1,"",IF(I4383="SBJ","CB","?"))</f>
        <v> </v>
      </c>
      <c r="I4383" s="25" t="str">
        <f>IF(OR(E4383="",E4383="!!!",F4383="NEW"),"",INDEX(B4382:B$2,-1+SUMPRODUCT(MAX(ROW(E4382:E$2)*(E4383=E4382:E$2)))))</f>
        <v> </v>
      </c>
      <c r="J4383" s="25" t="str">
        <f>IF(OR(E4383="",E4383="!!!",F4383="NEW"),"",COUNTBLANK(OFFSET(A$1,,,SUMPRODUCT(MAX(ROW(E$2:E4383)*(E4383=E$2:E4383)))))-COUNTBLANK(OFFSET(A$1,,,SUMPRODUCT(MAX(ROW(E$1:E4382)*(E2=E$1:E4382))))))</f>
        <v> </v>
      </c>
      <c r="K4383" s="25" t="str">
        <f>IF(OR(E4383="",E4383="!!!",F4383="NEW"),"",INDEX(J$1:J4382,SUMPRODUCT(MAX(ROW(E$1:E4382)*(E4383=E$1:E4382)))))</f>
        <v> </v>
      </c>
      <c r="L4383" s="26"/>
    </row>
    <row r="4384" spans="1:12">
      <c r="A4384" s="20" t="s">
        <v>1184</v>
      </c>
      <c r="E4384" s="21">
        <f>IF(D4384="?OLD","!!!","")</f>
        <v/>
      </c>
      <c r="F4384" s="22" t="str">
        <f>IF(OR(E4384="",E4384="!!!"),"",IF(NOT(ISNA(VLOOKUP(E4384,E$1:E4383,1,FALSE()))),"OLD",IF(AND(E4384&lt;&gt;"",E4384&lt;&gt;"!!!"),"NEW","")))</f>
        <v> </v>
      </c>
      <c r="G4384" s="23" t="str">
        <f>IF(OR(E4384="",E4384="!!!"),"",IF(OR(J4384=0,AND(J4384=1,K4384=1),AND(J4384=1,I4384="SBJ"),AND(J4384=1,I4384=0)),"?IN_FOCUS",IF(J4384&lt;=2,"?ACTIVATED",IF(J4384&lt;&gt;"","?FAMILIAR",IF(F4384="NEW",IF(ISNA(VLOOKUP(E4384,#REF!,1,FALSE())),"?TYPE_IDENTIFIABLE","?REFERENTIAL"),"_")))))</f>
        <v> </v>
      </c>
      <c r="H4384" s="24" t="str">
        <f>IF(J4384&lt;&gt;1,"",IF(I4384="SBJ","CB","?"))</f>
        <v> </v>
      </c>
      <c r="I4384" s="25" t="str">
        <f>IF(OR(E4384="",E4384="!!!",F4384="NEW"),"",INDEX(B4383:B$2,-1+SUMPRODUCT(MAX(ROW(E4383:E$2)*(E4384=E4383:E$2)))))</f>
        <v> </v>
      </c>
      <c r="J4384" s="25" t="str">
        <f>IF(OR(E4384="",E4384="!!!",F4384="NEW"),"",COUNTBLANK(OFFSET(A$1,,,SUMPRODUCT(MAX(ROW(E$2:E4384)*(E4384=E$2:E4384)))))-COUNTBLANK(OFFSET(A$1,,,SUMPRODUCT(MAX(ROW(E$1:E4383)*(E2=E$1:E4383))))))</f>
        <v> </v>
      </c>
      <c r="K4384" s="25" t="str">
        <f>IF(OR(E4384="",E4384="!!!",F4384="NEW"),"",INDEX(J$1:J4383,SUMPRODUCT(MAX(ROW(E$1:E4383)*(E4384=E$1:E4383)))))</f>
        <v> </v>
      </c>
      <c r="L4384" s="26"/>
    </row>
    <row r="4385" spans="1:12">
      <c r="A4385" s="20" t="s">
        <v>3038</v>
      </c>
      <c r="E4385" s="21">
        <f>IF(D4385="?OLD","!!!","")</f>
        <v/>
      </c>
      <c r="F4385" s="22" t="str">
        <f>IF(OR(E4385="",E4385="!!!"),"",IF(NOT(ISNA(VLOOKUP(E4385,E$1:E4384,1,FALSE()))),"OLD",IF(AND(E4385&lt;&gt;"",E4385&lt;&gt;"!!!"),"NEW","")))</f>
        <v> </v>
      </c>
      <c r="G4385" s="23" t="str">
        <f>IF(OR(E4385="",E4385="!!!"),"",IF(OR(J4385=0,AND(J4385=1,K4385=1),AND(J4385=1,I4385="SBJ"),AND(J4385=1,I4385=0)),"?IN_FOCUS",IF(J4385&lt;=2,"?ACTIVATED",IF(J4385&lt;&gt;"","?FAMILIAR",IF(F4385="NEW",IF(ISNA(VLOOKUP(E4385,#REF!,1,FALSE())),"?TYPE_IDENTIFIABLE","?REFERENTIAL"),"_")))))</f>
        <v> </v>
      </c>
      <c r="H4385" s="24" t="str">
        <f>IF(J4385&lt;&gt;1,"",IF(I4385="SBJ","CB","?"))</f>
        <v> </v>
      </c>
      <c r="I4385" s="25" t="str">
        <f>IF(OR(E4385="",E4385="!!!",F4385="NEW"),"",INDEX(B4384:B$2,-1+SUMPRODUCT(MAX(ROW(E4384:E$2)*(E4385=E4384:E$2)))))</f>
        <v> </v>
      </c>
      <c r="J4385" s="25" t="str">
        <f>IF(OR(E4385="",E4385="!!!",F4385="NEW"),"",COUNTBLANK(OFFSET(A$1,,,SUMPRODUCT(MAX(ROW(E$2:E4385)*(E4385=E$2:E4385)))))-COUNTBLANK(OFFSET(A$1,,,SUMPRODUCT(MAX(ROW(E$1:E4384)*(E2=E$1:E4384))))))</f>
        <v> </v>
      </c>
      <c r="K4385" s="25" t="str">
        <f>IF(OR(E4385="",E4385="!!!",F4385="NEW"),"",INDEX(J$1:J4384,SUMPRODUCT(MAX(ROW(E$1:E4384)*(E4385=E$1:E4384)))))</f>
        <v> </v>
      </c>
      <c r="L4385" s="26"/>
    </row>
    <row r="4386" spans="1:12">
      <c r="A4386" s="20" t="s">
        <v>1249</v>
      </c>
      <c r="E4386" s="21">
        <f>IF(D4386="?OLD","!!!","")</f>
        <v/>
      </c>
      <c r="F4386" s="22" t="str">
        <f>IF(OR(E4386="",E4386="!!!"),"",IF(NOT(ISNA(VLOOKUP(E4386,E$1:E4385,1,FALSE()))),"OLD",IF(AND(E4386&lt;&gt;"",E4386&lt;&gt;"!!!"),"NEW","")))</f>
        <v> </v>
      </c>
      <c r="G4386" s="23" t="str">
        <f>IF(OR(E4386="",E4386="!!!"),"",IF(OR(J4386=0,AND(J4386=1,K4386=1),AND(J4386=1,I4386="SBJ"),AND(J4386=1,I4386=0)),"?IN_FOCUS",IF(J4386&lt;=2,"?ACTIVATED",IF(J4386&lt;&gt;"","?FAMILIAR",IF(F4386="NEW",IF(ISNA(VLOOKUP(E4386,#REF!,1,FALSE())),"?TYPE_IDENTIFIABLE","?REFERENTIAL"),"_")))))</f>
        <v> </v>
      </c>
      <c r="H4386" s="24" t="str">
        <f>IF(J4386&lt;&gt;1,"",IF(I4386="SBJ","CB","?"))</f>
        <v> </v>
      </c>
      <c r="I4386" s="25" t="str">
        <f>IF(OR(E4386="",E4386="!!!",F4386="NEW"),"",INDEX(B4385:B$2,-1+SUMPRODUCT(MAX(ROW(E4385:E$2)*(E4386=E4385:E$2)))))</f>
        <v> </v>
      </c>
      <c r="J4386" s="25" t="str">
        <f>IF(OR(E4386="",E4386="!!!",F4386="NEW"),"",COUNTBLANK(OFFSET(A$1,,,SUMPRODUCT(MAX(ROW(E$2:E4386)*(E4386=E$2:E4386)))))-COUNTBLANK(OFFSET(A$1,,,SUMPRODUCT(MAX(ROW(E$1:E4385)*(E2=E$1:E4385))))))</f>
        <v> </v>
      </c>
      <c r="K4386" s="25" t="str">
        <f>IF(OR(E4386="",E4386="!!!",F4386="NEW"),"",INDEX(J$1:J4385,SUMPRODUCT(MAX(ROW(E$1:E4385)*(E4386=E$1:E4385)))))</f>
        <v> </v>
      </c>
      <c r="L4386" s="26"/>
    </row>
    <row r="4387" spans="1:12">
      <c r="A4387" s="20" t="s">
        <v>3039</v>
      </c>
      <c r="E4387" s="21">
        <f>IF(D4387="?OLD","!!!","")</f>
        <v/>
      </c>
      <c r="F4387" s="22" t="str">
        <f>IF(OR(E4387="",E4387="!!!"),"",IF(NOT(ISNA(VLOOKUP(E4387,E$1:E4386,1,FALSE()))),"OLD",IF(AND(E4387&lt;&gt;"",E4387&lt;&gt;"!!!"),"NEW","")))</f>
        <v> </v>
      </c>
      <c r="G4387" s="23" t="str">
        <f>IF(OR(E4387="",E4387="!!!"),"",IF(OR(J4387=0,AND(J4387=1,K4387=1),AND(J4387=1,I4387="SBJ"),AND(J4387=1,I4387=0)),"?IN_FOCUS",IF(J4387&lt;=2,"?ACTIVATED",IF(J4387&lt;&gt;"","?FAMILIAR",IF(F4387="NEW",IF(ISNA(VLOOKUP(E4387,#REF!,1,FALSE())),"?TYPE_IDENTIFIABLE","?REFERENTIAL"),"_")))))</f>
        <v> </v>
      </c>
      <c r="H4387" s="24" t="str">
        <f>IF(J4387&lt;&gt;1,"",IF(I4387="SBJ","CB","?"))</f>
        <v> </v>
      </c>
      <c r="I4387" s="25" t="str">
        <f>IF(OR(E4387="",E4387="!!!",F4387="NEW"),"",INDEX(B4386:B$2,-1+SUMPRODUCT(MAX(ROW(E4386:E$2)*(E4387=E4386:E$2)))))</f>
        <v> </v>
      </c>
      <c r="J4387" s="25" t="str">
        <f>IF(OR(E4387="",E4387="!!!",F4387="NEW"),"",COUNTBLANK(OFFSET(A$1,,,SUMPRODUCT(MAX(ROW(E$2:E4387)*(E4387=E$2:E4387)))))-COUNTBLANK(OFFSET(A$1,,,SUMPRODUCT(MAX(ROW(E$1:E4386)*(E2=E$1:E4386))))))</f>
        <v> </v>
      </c>
      <c r="K4387" s="25" t="str">
        <f>IF(OR(E4387="",E4387="!!!",F4387="NEW"),"",INDEX(J$1:J4386,SUMPRODUCT(MAX(ROW(E$1:E4386)*(E4387=E$1:E4386)))))</f>
        <v> </v>
      </c>
      <c r="L4387" s="26"/>
    </row>
    <row r="4388" spans="1:12">
      <c r="A4388" s="20" t="s">
        <v>3040</v>
      </c>
      <c r="E4388" s="21">
        <f>IF(D4388="?OLD","!!!","")</f>
        <v/>
      </c>
      <c r="F4388" s="22" t="str">
        <f>IF(OR(E4388="",E4388="!!!"),"",IF(NOT(ISNA(VLOOKUP(E4388,E$1:E4387,1,FALSE()))),"OLD",IF(AND(E4388&lt;&gt;"",E4388&lt;&gt;"!!!"),"NEW","")))</f>
        <v> </v>
      </c>
      <c r="G4388" s="23" t="str">
        <f>IF(OR(E4388="",E4388="!!!"),"",IF(OR(J4388=0,AND(J4388=1,K4388=1),AND(J4388=1,I4388="SBJ"),AND(J4388=1,I4388=0)),"?IN_FOCUS",IF(J4388&lt;=2,"?ACTIVATED",IF(J4388&lt;&gt;"","?FAMILIAR",IF(F4388="NEW",IF(ISNA(VLOOKUP(E4388,#REF!,1,FALSE())),"?TYPE_IDENTIFIABLE","?REFERENTIAL"),"_")))))</f>
        <v> </v>
      </c>
      <c r="H4388" s="24" t="str">
        <f>IF(J4388&lt;&gt;1,"",IF(I4388="SBJ","CB","?"))</f>
        <v> </v>
      </c>
      <c r="I4388" s="25" t="str">
        <f>IF(OR(E4388="",E4388="!!!",F4388="NEW"),"",INDEX(B4387:B$2,-1+SUMPRODUCT(MAX(ROW(E4387:E$2)*(E4388=E4387:E$2)))))</f>
        <v> </v>
      </c>
      <c r="J4388" s="25" t="str">
        <f>IF(OR(E4388="",E4388="!!!",F4388="NEW"),"",COUNTBLANK(OFFSET(A$1,,,SUMPRODUCT(MAX(ROW(E$2:E4388)*(E4388=E$2:E4388)))))-COUNTBLANK(OFFSET(A$1,,,SUMPRODUCT(MAX(ROW(E$1:E4387)*(E2=E$1:E4387))))))</f>
        <v> </v>
      </c>
      <c r="K4388" s="25" t="str">
        <f>IF(OR(E4388="",E4388="!!!",F4388="NEW"),"",INDEX(J$1:J4387,SUMPRODUCT(MAX(ROW(E$1:E4387)*(E4388=E$1:E4387)))))</f>
        <v> </v>
      </c>
      <c r="L4388" s="26"/>
    </row>
    <row r="4389" spans="1:12">
      <c r="A4389" s="20" t="s">
        <v>1145</v>
      </c>
      <c r="E4389" s="21">
        <f>IF(D4389="?OLD","!!!","")</f>
        <v/>
      </c>
      <c r="F4389" s="22" t="str">
        <f>IF(OR(E4389="",E4389="!!!"),"",IF(NOT(ISNA(VLOOKUP(E4389,E$1:E4388,1,FALSE()))),"OLD",IF(AND(E4389&lt;&gt;"",E4389&lt;&gt;"!!!"),"NEW","")))</f>
        <v> </v>
      </c>
      <c r="G4389" s="23" t="str">
        <f>IF(OR(E4389="",E4389="!!!"),"",IF(OR(J4389=0,AND(J4389=1,K4389=1),AND(J4389=1,I4389="SBJ"),AND(J4389=1,I4389=0)),"?IN_FOCUS",IF(J4389&lt;=2,"?ACTIVATED",IF(J4389&lt;&gt;"","?FAMILIAR",IF(F4389="NEW",IF(ISNA(VLOOKUP(E4389,#REF!,1,FALSE())),"?TYPE_IDENTIFIABLE","?REFERENTIAL"),"_")))))</f>
        <v> </v>
      </c>
      <c r="H4389" s="24" t="str">
        <f>IF(J4389&lt;&gt;1,"",IF(I4389="SBJ","CB","?"))</f>
        <v> </v>
      </c>
      <c r="I4389" s="25" t="str">
        <f>IF(OR(E4389="",E4389="!!!",F4389="NEW"),"",INDEX(B4388:B$2,-1+SUMPRODUCT(MAX(ROW(E4388:E$2)*(E4389=E4388:E$2)))))</f>
        <v> </v>
      </c>
      <c r="J4389" s="25" t="str">
        <f>IF(OR(E4389="",E4389="!!!",F4389="NEW"),"",COUNTBLANK(OFFSET(A$1,,,SUMPRODUCT(MAX(ROW(E$2:E4389)*(E4389=E$2:E4389)))))-COUNTBLANK(OFFSET(A$1,,,SUMPRODUCT(MAX(ROW(E$1:E4388)*(E2=E$1:E4388))))))</f>
        <v> </v>
      </c>
      <c r="K4389" s="25" t="str">
        <f>IF(OR(E4389="",E4389="!!!",F4389="NEW"),"",INDEX(J$1:J4388,SUMPRODUCT(MAX(ROW(E$1:E4388)*(E4389=E$1:E4388)))))</f>
        <v> </v>
      </c>
      <c r="L4389" s="26"/>
    </row>
    <row r="4390" spans="1:12">
      <c r="A4390" s="20"/>
    </row>
    <row r="4391" spans="1:12">
      <c r="A4391" s="20" t="s">
        <v>3041</v>
      </c>
    </row>
    <row r="4392" spans="1:12">
      <c r="A4392" s="20" t="s">
        <v>1368</v>
      </c>
      <c r="E4392" s="21">
        <f>IF(D4392="?OLD","!!!","")</f>
        <v/>
      </c>
      <c r="F4392" s="22" t="str">
        <f>IF(OR(E4392="",E4392="!!!"),"",IF(NOT(ISNA(VLOOKUP(E4392,E$1:E4391,1,FALSE()))),"OLD",IF(AND(E4392&lt;&gt;"",E4392&lt;&gt;"!!!"),"NEW","")))</f>
        <v> </v>
      </c>
      <c r="G4392" s="23" t="str">
        <f>IF(OR(E4392="",E4392="!!!"),"",IF(OR(J4392=0,AND(J4392=1,K4392=1),AND(J4392=1,I4392="SBJ"),AND(J4392=1,I4392=0)),"?IN_FOCUS",IF(J4392&lt;=2,"?ACTIVATED",IF(J4392&lt;&gt;"","?FAMILIAR",IF(F4392="NEW",IF(ISNA(VLOOKUP(E4392,#REF!,1,FALSE())),"?TYPE_IDENTIFIABLE","?REFERENTIAL"),"_")))))</f>
        <v> </v>
      </c>
      <c r="H4392" s="24" t="str">
        <f>IF(J4392&lt;&gt;1,"",IF(I4392="SBJ","CB","?"))</f>
        <v> </v>
      </c>
      <c r="I4392" s="25" t="str">
        <f>IF(OR(E4392="",E4392="!!!",F4392="NEW"),"",INDEX(B4391:B$2,-1+SUMPRODUCT(MAX(ROW(E4391:E$2)*(E4392=E4391:E$2)))))</f>
        <v> </v>
      </c>
      <c r="J4392" s="25" t="str">
        <f>IF(OR(E4392="",E4392="!!!",F4392="NEW"),"",COUNTBLANK(OFFSET(A$1,,,SUMPRODUCT(MAX(ROW(E$2:E4392)*(E4392=E$2:E4392)))))-COUNTBLANK(OFFSET(A$1,,,SUMPRODUCT(MAX(ROW(E$1:E4391)*(E2=E$1:E4391))))))</f>
        <v> </v>
      </c>
      <c r="K4392" s="25" t="str">
        <f>IF(OR(E4392="",E4392="!!!",F4392="NEW"),"",INDEX(J$1:J4391,SUMPRODUCT(MAX(ROW(E$1:E4391)*(E4392=E$1:E4391)))))</f>
        <v> </v>
      </c>
      <c r="L4392" s="26"/>
    </row>
    <row r="4393" spans="1:12">
      <c r="A4393" s="20" t="s">
        <v>396</v>
      </c>
      <c r="E4393" s="21">
        <f>IF(D4393="?OLD","!!!","")</f>
        <v/>
      </c>
      <c r="F4393" s="22" t="str">
        <f>IF(OR(E4393="",E4393="!!!"),"",IF(NOT(ISNA(VLOOKUP(E4393,E$1:E4392,1,FALSE()))),"OLD",IF(AND(E4393&lt;&gt;"",E4393&lt;&gt;"!!!"),"NEW","")))</f>
        <v> </v>
      </c>
      <c r="G4393" s="23" t="str">
        <f>IF(OR(E4393="",E4393="!!!"),"",IF(OR(J4393=0,AND(J4393=1,K4393=1),AND(J4393=1,I4393="SBJ"),AND(J4393=1,I4393=0)),"?IN_FOCUS",IF(J4393&lt;=2,"?ACTIVATED",IF(J4393&lt;&gt;"","?FAMILIAR",IF(F4393="NEW",IF(ISNA(VLOOKUP(E4393,#REF!,1,FALSE())),"?TYPE_IDENTIFIABLE","?REFERENTIAL"),"_")))))</f>
        <v> </v>
      </c>
      <c r="H4393" s="24" t="str">
        <f>IF(J4393&lt;&gt;1,"",IF(I4393="SBJ","CB","?"))</f>
        <v> </v>
      </c>
      <c r="I4393" s="25" t="str">
        <f>IF(OR(E4393="",E4393="!!!",F4393="NEW"),"",INDEX(B4392:B$2,-1+SUMPRODUCT(MAX(ROW(E4392:E$2)*(E4393=E4392:E$2)))))</f>
        <v> </v>
      </c>
      <c r="J4393" s="25" t="str">
        <f>IF(OR(E4393="",E4393="!!!",F4393="NEW"),"",COUNTBLANK(OFFSET(A$1,,,SUMPRODUCT(MAX(ROW(E$2:E4393)*(E4393=E$2:E4393)))))-COUNTBLANK(OFFSET(A$1,,,SUMPRODUCT(MAX(ROW(E$1:E4392)*(E2=E$1:E4392))))))</f>
        <v> </v>
      </c>
      <c r="K4393" s="25" t="str">
        <f>IF(OR(E4393="",E4393="!!!",F4393="NEW"),"",INDEX(J$1:J4392,SUMPRODUCT(MAX(ROW(E$1:E4392)*(E4393=E$1:E4392)))))</f>
        <v> </v>
      </c>
      <c r="L4393" s="26"/>
    </row>
    <row r="4394" spans="1:12">
      <c r="A4394" s="20" t="s">
        <v>1174</v>
      </c>
      <c r="E4394" s="21">
        <f>IF(D4394="?OLD","!!!","")</f>
        <v/>
      </c>
      <c r="F4394" s="22" t="str">
        <f>IF(OR(E4394="",E4394="!!!"),"",IF(NOT(ISNA(VLOOKUP(E4394,E$1:E4393,1,FALSE()))),"OLD",IF(AND(E4394&lt;&gt;"",E4394&lt;&gt;"!!!"),"NEW","")))</f>
        <v> </v>
      </c>
      <c r="G4394" s="23" t="str">
        <f>IF(OR(E4394="",E4394="!!!"),"",IF(OR(J4394=0,AND(J4394=1,K4394=1),AND(J4394=1,I4394="SBJ"),AND(J4394=1,I4394=0)),"?IN_FOCUS",IF(J4394&lt;=2,"?ACTIVATED",IF(J4394&lt;&gt;"","?FAMILIAR",IF(F4394="NEW",IF(ISNA(VLOOKUP(E4394,#REF!,1,FALSE())),"?TYPE_IDENTIFIABLE","?REFERENTIAL"),"_")))))</f>
        <v> </v>
      </c>
      <c r="H4394" s="24" t="str">
        <f>IF(J4394&lt;&gt;1,"",IF(I4394="SBJ","CB","?"))</f>
        <v> </v>
      </c>
      <c r="I4394" s="25" t="str">
        <f>IF(OR(E4394="",E4394="!!!",F4394="NEW"),"",INDEX(B4393:B$2,-1+SUMPRODUCT(MAX(ROW(E4393:E$2)*(E4394=E4393:E$2)))))</f>
        <v> </v>
      </c>
      <c r="J4394" s="25" t="str">
        <f>IF(OR(E4394="",E4394="!!!",F4394="NEW"),"",COUNTBLANK(OFFSET(A$1,,,SUMPRODUCT(MAX(ROW(E$2:E4394)*(E4394=E$2:E4394)))))-COUNTBLANK(OFFSET(A$1,,,SUMPRODUCT(MAX(ROW(E$1:E4393)*(E2=E$1:E4393))))))</f>
        <v> </v>
      </c>
      <c r="K4394" s="25" t="str">
        <f>IF(OR(E4394="",E4394="!!!",F4394="NEW"),"",INDEX(J$1:J4393,SUMPRODUCT(MAX(ROW(E$1:E4393)*(E4394=E$1:E4393)))))</f>
        <v> </v>
      </c>
      <c r="L4394" s="26"/>
    </row>
    <row r="4395" spans="1:12">
      <c r="A4395" s="20" t="s">
        <v>1055</v>
      </c>
      <c r="B4395" s="27" t="s">
        <v>1103</v>
      </c>
      <c r="C4395" s="27" t="s">
        <v>1156</v>
      </c>
      <c r="D4395" s="27" t="s">
        <v>1105</v>
      </c>
      <c r="E4395" s="21">
        <f>IF(D4395="?OLD","!!!","")</f>
        <v/>
      </c>
      <c r="F4395" s="22" t="str">
        <f>IF(OR(E4395="",E4395="!!!"),"",IF(NOT(ISNA(VLOOKUP(E4395,E$1:E4394,1,FALSE()))),"OLD",IF(AND(E4395&lt;&gt;"",E4395&lt;&gt;"!!!"),"NEW","")))</f>
        <v> </v>
      </c>
      <c r="G4395" s="23" t="str">
        <f>IF(OR(E4395="",E4395="!!!"),"",IF(OR(J4395=0,AND(J4395=1,K4395=1),AND(J4395=1,I4395="SBJ"),AND(J4395=1,I4395=0)),"?IN_FOCUS",IF(J4395&lt;=2,"?ACTIVATED",IF(J4395&lt;&gt;"","?FAMILIAR",IF(F4395="NEW",IF(ISNA(VLOOKUP(E4395,#REF!,1,FALSE())),"?TYPE_IDENTIFIABLE","?REFERENTIAL"),"_")))))</f>
        <v> </v>
      </c>
      <c r="H4395" s="24" t="str">
        <f>IF(J4395&lt;&gt;1,"",IF(I4395="SBJ","CB","?"))</f>
        <v> </v>
      </c>
      <c r="I4395" s="25" t="str">
        <f>IF(OR(E4395="",E4395="!!!",F4395="NEW"),"",INDEX(B4394:B$2,-1+SUMPRODUCT(MAX(ROW(E4394:E$2)*(E4395=E4394:E$2)))))</f>
        <v> </v>
      </c>
      <c r="J4395" s="25" t="str">
        <f>IF(OR(E4395="",E4395="!!!",F4395="NEW"),"",COUNTBLANK(OFFSET(A$1,,,SUMPRODUCT(MAX(ROW(E$2:E4395)*(E4395=E$2:E4395)))))-COUNTBLANK(OFFSET(A$1,,,SUMPRODUCT(MAX(ROW(E$1:E4394)*(E2=E$1:E4394))))))</f>
        <v> </v>
      </c>
      <c r="K4395" s="25" t="str">
        <f>IF(OR(E4395="",E4395="!!!",F4395="NEW"),"",INDEX(J$1:J4394,SUMPRODUCT(MAX(ROW(E$1:E4394)*(E4395=E$1:E4394)))))</f>
        <v> </v>
      </c>
      <c r="L4395" s="26"/>
    </row>
    <row r="4396" spans="1:12">
      <c r="A4396" s="20" t="s">
        <v>1184</v>
      </c>
      <c r="E4396" s="21">
        <f>IF(D4396="?OLD","!!!","")</f>
        <v/>
      </c>
      <c r="F4396" s="22" t="str">
        <f>IF(OR(E4396="",E4396="!!!"),"",IF(NOT(ISNA(VLOOKUP(E4396,E$1:E4395,1,FALSE()))),"OLD",IF(AND(E4396&lt;&gt;"",E4396&lt;&gt;"!!!"),"NEW","")))</f>
        <v> </v>
      </c>
      <c r="G4396" s="23" t="str">
        <f>IF(OR(E4396="",E4396="!!!"),"",IF(OR(J4396=0,AND(J4396=1,K4396=1),AND(J4396=1,I4396="SBJ"),AND(J4396=1,I4396=0)),"?IN_FOCUS",IF(J4396&lt;=2,"?ACTIVATED",IF(J4396&lt;&gt;"","?FAMILIAR",IF(F4396="NEW",IF(ISNA(VLOOKUP(E4396,#REF!,1,FALSE())),"?TYPE_IDENTIFIABLE","?REFERENTIAL"),"_")))))</f>
        <v> </v>
      </c>
      <c r="H4396" s="24" t="str">
        <f>IF(J4396&lt;&gt;1,"",IF(I4396="SBJ","CB","?"))</f>
        <v> </v>
      </c>
      <c r="I4396" s="25" t="str">
        <f>IF(OR(E4396="",E4396="!!!",F4396="NEW"),"",INDEX(B4395:B$2,-1+SUMPRODUCT(MAX(ROW(E4395:E$2)*(E4396=E4395:E$2)))))</f>
        <v> </v>
      </c>
      <c r="J4396" s="25" t="str">
        <f>IF(OR(E4396="",E4396="!!!",F4396="NEW"),"",COUNTBLANK(OFFSET(A$1,,,SUMPRODUCT(MAX(ROW(E$2:E4396)*(E4396=E$2:E4396)))))-COUNTBLANK(OFFSET(A$1,,,SUMPRODUCT(MAX(ROW(E$1:E4395)*(E2=E$1:E4395))))))</f>
        <v> </v>
      </c>
      <c r="K4396" s="25" t="str">
        <f>IF(OR(E4396="",E4396="!!!",F4396="NEW"),"",INDEX(J$1:J4395,SUMPRODUCT(MAX(ROW(E$1:E4395)*(E4396=E$1:E4395)))))</f>
        <v> </v>
      </c>
      <c r="L4396" s="26"/>
    </row>
    <row r="4397" spans="1:12">
      <c r="A4397" s="20" t="s">
        <v>3042</v>
      </c>
      <c r="E4397" s="21">
        <f>IF(D4397="?OLD","!!!","")</f>
        <v/>
      </c>
      <c r="F4397" s="22" t="str">
        <f>IF(OR(E4397="",E4397="!!!"),"",IF(NOT(ISNA(VLOOKUP(E4397,E$1:E4396,1,FALSE()))),"OLD",IF(AND(E4397&lt;&gt;"",E4397&lt;&gt;"!!!"),"NEW","")))</f>
        <v> </v>
      </c>
      <c r="G4397" s="23" t="str">
        <f>IF(OR(E4397="",E4397="!!!"),"",IF(OR(J4397=0,AND(J4397=1,K4397=1),AND(J4397=1,I4397="SBJ"),AND(J4397=1,I4397=0)),"?IN_FOCUS",IF(J4397&lt;=2,"?ACTIVATED",IF(J4397&lt;&gt;"","?FAMILIAR",IF(F4397="NEW",IF(ISNA(VLOOKUP(E4397,#REF!,1,FALSE())),"?TYPE_IDENTIFIABLE","?REFERENTIAL"),"_")))))</f>
        <v> </v>
      </c>
      <c r="H4397" s="24" t="str">
        <f>IF(J4397&lt;&gt;1,"",IF(I4397="SBJ","CB","?"))</f>
        <v> </v>
      </c>
      <c r="I4397" s="25" t="str">
        <f>IF(OR(E4397="",E4397="!!!",F4397="NEW"),"",INDEX(B4396:B$2,-1+SUMPRODUCT(MAX(ROW(E4396:E$2)*(E4397=E4396:E$2)))))</f>
        <v> </v>
      </c>
      <c r="J4397" s="25" t="str">
        <f>IF(OR(E4397="",E4397="!!!",F4397="NEW"),"",COUNTBLANK(OFFSET(A$1,,,SUMPRODUCT(MAX(ROW(E$2:E4397)*(E4397=E$2:E4397)))))-COUNTBLANK(OFFSET(A$1,,,SUMPRODUCT(MAX(ROW(E$1:E4396)*(E2=E$1:E4396))))))</f>
        <v> </v>
      </c>
      <c r="K4397" s="25" t="str">
        <f>IF(OR(E4397="",E4397="!!!",F4397="NEW"),"",INDEX(J$1:J4396,SUMPRODUCT(MAX(ROW(E$1:E4396)*(E4397=E$1:E4396)))))</f>
        <v> </v>
      </c>
      <c r="L4397" s="26"/>
    </row>
    <row r="4398" spans="1:12">
      <c r="A4398" s="20" t="s">
        <v>1111</v>
      </c>
      <c r="E4398" s="21">
        <f>IF(D4398="?OLD","!!!","")</f>
        <v/>
      </c>
      <c r="F4398" s="22" t="str">
        <f>IF(OR(E4398="",E4398="!!!"),"",IF(NOT(ISNA(VLOOKUP(E4398,E$1:E4397,1,FALSE()))),"OLD",IF(AND(E4398&lt;&gt;"",E4398&lt;&gt;"!!!"),"NEW","")))</f>
        <v> </v>
      </c>
      <c r="G4398" s="23" t="str">
        <f>IF(OR(E4398="",E4398="!!!"),"",IF(OR(J4398=0,AND(J4398=1,K4398=1),AND(J4398=1,I4398="SBJ"),AND(J4398=1,I4398=0)),"?IN_FOCUS",IF(J4398&lt;=2,"?ACTIVATED",IF(J4398&lt;&gt;"","?FAMILIAR",IF(F4398="NEW",IF(ISNA(VLOOKUP(E4398,#REF!,1,FALSE())),"?TYPE_IDENTIFIABLE","?REFERENTIAL"),"_")))))</f>
        <v> </v>
      </c>
      <c r="H4398" s="24" t="str">
        <f>IF(J4398&lt;&gt;1,"",IF(I4398="SBJ","CB","?"))</f>
        <v> </v>
      </c>
      <c r="I4398" s="25" t="str">
        <f>IF(OR(E4398="",E4398="!!!",F4398="NEW"),"",INDEX(B4397:B$2,-1+SUMPRODUCT(MAX(ROW(E4397:E$2)*(E4398=E4397:E$2)))))</f>
        <v> </v>
      </c>
      <c r="J4398" s="25" t="str">
        <f>IF(OR(E4398="",E4398="!!!",F4398="NEW"),"",COUNTBLANK(OFFSET(A$1,,,SUMPRODUCT(MAX(ROW(E$2:E4398)*(E4398=E$2:E4398)))))-COUNTBLANK(OFFSET(A$1,,,SUMPRODUCT(MAX(ROW(E$1:E4397)*(E2=E$1:E4397))))))</f>
        <v> </v>
      </c>
      <c r="K4398" s="25" t="str">
        <f>IF(OR(E4398="",E4398="!!!",F4398="NEW"),"",INDEX(J$1:J4397,SUMPRODUCT(MAX(ROW(E$1:E4397)*(E4398=E$1:E4397)))))</f>
        <v> </v>
      </c>
      <c r="L4398" s="26"/>
    </row>
    <row r="4399" spans="1:12">
      <c r="A4399" s="20" t="s">
        <v>1909</v>
      </c>
      <c r="E4399" s="21">
        <f>IF(D4399="?OLD","!!!","")</f>
        <v/>
      </c>
      <c r="F4399" s="22" t="str">
        <f>IF(OR(E4399="",E4399="!!!"),"",IF(NOT(ISNA(VLOOKUP(E4399,E$1:E4398,1,FALSE()))),"OLD",IF(AND(E4399&lt;&gt;"",E4399&lt;&gt;"!!!"),"NEW","")))</f>
        <v> </v>
      </c>
      <c r="G4399" s="23" t="str">
        <f>IF(OR(E4399="",E4399="!!!"),"",IF(OR(J4399=0,AND(J4399=1,K4399=1),AND(J4399=1,I4399="SBJ"),AND(J4399=1,I4399=0)),"?IN_FOCUS",IF(J4399&lt;=2,"?ACTIVATED",IF(J4399&lt;&gt;"","?FAMILIAR",IF(F4399="NEW",IF(ISNA(VLOOKUP(E4399,#REF!,1,FALSE())),"?TYPE_IDENTIFIABLE","?REFERENTIAL"),"_")))))</f>
        <v> </v>
      </c>
      <c r="H4399" s="24" t="str">
        <f>IF(J4399&lt;&gt;1,"",IF(I4399="SBJ","CB","?"))</f>
        <v> </v>
      </c>
      <c r="I4399" s="25" t="str">
        <f>IF(OR(E4399="",E4399="!!!",F4399="NEW"),"",INDEX(B4398:B$2,-1+SUMPRODUCT(MAX(ROW(E4398:E$2)*(E4399=E4398:E$2)))))</f>
        <v> </v>
      </c>
      <c r="J4399" s="25" t="str">
        <f>IF(OR(E4399="",E4399="!!!",F4399="NEW"),"",COUNTBLANK(OFFSET(A$1,,,SUMPRODUCT(MAX(ROW(E$2:E4399)*(E4399=E$2:E4399)))))-COUNTBLANK(OFFSET(A$1,,,SUMPRODUCT(MAX(ROW(E$1:E4398)*(E2=E$1:E4398))))))</f>
        <v> </v>
      </c>
      <c r="K4399" s="25" t="str">
        <f>IF(OR(E4399="",E4399="!!!",F4399="NEW"),"",INDEX(J$1:J4398,SUMPRODUCT(MAX(ROW(E$1:E4398)*(E4399=E$1:E4398)))))</f>
        <v> </v>
      </c>
      <c r="L4399" s="26"/>
    </row>
    <row r="4400" spans="1:12">
      <c r="A4400" s="20" t="s">
        <v>3043</v>
      </c>
      <c r="E4400" s="21">
        <f>IF(D4400="?OLD","!!!","")</f>
        <v/>
      </c>
      <c r="F4400" s="22" t="str">
        <f>IF(OR(E4400="",E4400="!!!"),"",IF(NOT(ISNA(VLOOKUP(E4400,E$1:E4399,1,FALSE()))),"OLD",IF(AND(E4400&lt;&gt;"",E4400&lt;&gt;"!!!"),"NEW","")))</f>
        <v> </v>
      </c>
      <c r="G4400" s="23" t="str">
        <f>IF(OR(E4400="",E4400="!!!"),"",IF(OR(J4400=0,AND(J4400=1,K4400=1),AND(J4400=1,I4400="SBJ"),AND(J4400=1,I4400=0)),"?IN_FOCUS",IF(J4400&lt;=2,"?ACTIVATED",IF(J4400&lt;&gt;"","?FAMILIAR",IF(F4400="NEW",IF(ISNA(VLOOKUP(E4400,#REF!,1,FALSE())),"?TYPE_IDENTIFIABLE","?REFERENTIAL"),"_")))))</f>
        <v> </v>
      </c>
      <c r="H4400" s="24" t="str">
        <f>IF(J4400&lt;&gt;1,"",IF(I4400="SBJ","CB","?"))</f>
        <v> </v>
      </c>
      <c r="I4400" s="25" t="str">
        <f>IF(OR(E4400="",E4400="!!!",F4400="NEW"),"",INDEX(B4399:B$2,-1+SUMPRODUCT(MAX(ROW(E4399:E$2)*(E4400=E4399:E$2)))))</f>
        <v> </v>
      </c>
      <c r="J4400" s="25" t="str">
        <f>IF(OR(E4400="",E4400="!!!",F4400="NEW"),"",COUNTBLANK(OFFSET(A$1,,,SUMPRODUCT(MAX(ROW(E$2:E4400)*(E4400=E$2:E4400)))))-COUNTBLANK(OFFSET(A$1,,,SUMPRODUCT(MAX(ROW(E$1:E4399)*(E2=E$1:E4399))))))</f>
        <v> </v>
      </c>
      <c r="K4400" s="25" t="str">
        <f>IF(OR(E4400="",E4400="!!!",F4400="NEW"),"",INDEX(J$1:J4399,SUMPRODUCT(MAX(ROW(E$1:E4399)*(E4400=E$1:E4399)))))</f>
        <v> </v>
      </c>
      <c r="L4400" s="26"/>
    </row>
    <row r="4401" spans="1:12">
      <c r="A4401" s="20" t="s">
        <v>3044</v>
      </c>
      <c r="E4401" s="21">
        <f>IF(D4401="?OLD","!!!","")</f>
        <v/>
      </c>
      <c r="F4401" s="22" t="str">
        <f>IF(OR(E4401="",E4401="!!!"),"",IF(NOT(ISNA(VLOOKUP(E4401,E$1:E4400,1,FALSE()))),"OLD",IF(AND(E4401&lt;&gt;"",E4401&lt;&gt;"!!!"),"NEW","")))</f>
        <v> </v>
      </c>
      <c r="G4401" s="23" t="str">
        <f>IF(OR(E4401="",E4401="!!!"),"",IF(OR(J4401=0,AND(J4401=1,K4401=1),AND(J4401=1,I4401="SBJ"),AND(J4401=1,I4401=0)),"?IN_FOCUS",IF(J4401&lt;=2,"?ACTIVATED",IF(J4401&lt;&gt;"","?FAMILIAR",IF(F4401="NEW",IF(ISNA(VLOOKUP(E4401,#REF!,1,FALSE())),"?TYPE_IDENTIFIABLE","?REFERENTIAL"),"_")))))</f>
        <v> </v>
      </c>
      <c r="H4401" s="24" t="str">
        <f>IF(J4401&lt;&gt;1,"",IF(I4401="SBJ","CB","?"))</f>
        <v> </v>
      </c>
      <c r="I4401" s="25" t="str">
        <f>IF(OR(E4401="",E4401="!!!",F4401="NEW"),"",INDEX(B4400:B$2,-1+SUMPRODUCT(MAX(ROW(E4400:E$2)*(E4401=E4400:E$2)))))</f>
        <v> </v>
      </c>
      <c r="J4401" s="25" t="str">
        <f>IF(OR(E4401="",E4401="!!!",F4401="NEW"),"",COUNTBLANK(OFFSET(A$1,,,SUMPRODUCT(MAX(ROW(E$2:E4401)*(E4401=E$2:E4401)))))-COUNTBLANK(OFFSET(A$1,,,SUMPRODUCT(MAX(ROW(E$1:E4400)*(E2=E$1:E4400))))))</f>
        <v> </v>
      </c>
      <c r="K4401" s="25" t="str">
        <f>IF(OR(E4401="",E4401="!!!",F4401="NEW"),"",INDEX(J$1:J4400,SUMPRODUCT(MAX(ROW(E$1:E4400)*(E4401=E$1:E4400)))))</f>
        <v> </v>
      </c>
      <c r="L4401" s="26"/>
    </row>
    <row r="4402" spans="1:12">
      <c r="A4402" s="20" t="s">
        <v>3045</v>
      </c>
      <c r="B4402" s="27" t="s">
        <v>1103</v>
      </c>
      <c r="C4402" s="27" t="s">
        <v>1156</v>
      </c>
      <c r="D4402" s="27" t="s">
        <v>1105</v>
      </c>
      <c r="E4402" s="21">
        <f>IF(D4402="?OLD","!!!","")</f>
        <v/>
      </c>
      <c r="F4402" s="22" t="str">
        <f>IF(OR(E4402="",E4402="!!!"),"",IF(NOT(ISNA(VLOOKUP(E4402,E$1:E4401,1,FALSE()))),"OLD",IF(AND(E4402&lt;&gt;"",E4402&lt;&gt;"!!!"),"NEW","")))</f>
        <v> </v>
      </c>
      <c r="G4402" s="23" t="str">
        <f>IF(OR(E4402="",E4402="!!!"),"",IF(OR(J4402=0,AND(J4402=1,K4402=1),AND(J4402=1,I4402="SBJ"),AND(J4402=1,I4402=0)),"?IN_FOCUS",IF(J4402&lt;=2,"?ACTIVATED",IF(J4402&lt;&gt;"","?FAMILIAR",IF(F4402="NEW",IF(ISNA(VLOOKUP(E4402,#REF!,1,FALSE())),"?TYPE_IDENTIFIABLE","?REFERENTIAL"),"_")))))</f>
        <v> </v>
      </c>
      <c r="H4402" s="24" t="str">
        <f>IF(J4402&lt;&gt;1,"",IF(I4402="SBJ","CB","?"))</f>
        <v> </v>
      </c>
      <c r="I4402" s="25" t="str">
        <f>IF(OR(E4402="",E4402="!!!",F4402="NEW"),"",INDEX(B4401:B$2,-1+SUMPRODUCT(MAX(ROW(E4401:E$2)*(E4402=E4401:E$2)))))</f>
        <v> </v>
      </c>
      <c r="J4402" s="25" t="str">
        <f>IF(OR(E4402="",E4402="!!!",F4402="NEW"),"",COUNTBLANK(OFFSET(A$1,,,SUMPRODUCT(MAX(ROW(E$2:E4402)*(E4402=E$2:E4402)))))-COUNTBLANK(OFFSET(A$1,,,SUMPRODUCT(MAX(ROW(E$1:E4401)*(E2=E$1:E4401))))))</f>
        <v> </v>
      </c>
      <c r="K4402" s="25" t="str">
        <f>IF(OR(E4402="",E4402="!!!",F4402="NEW"),"",INDEX(J$1:J4401,SUMPRODUCT(MAX(ROW(E$1:E4401)*(E4402=E$1:E4401)))))</f>
        <v> </v>
      </c>
      <c r="L4402" s="26"/>
    </row>
    <row r="4403" spans="1:12">
      <c r="A4403" s="20" t="s">
        <v>1123</v>
      </c>
      <c r="E4403" s="21">
        <f>IF(D4403="?OLD","!!!","")</f>
        <v/>
      </c>
      <c r="F4403" s="22" t="str">
        <f>IF(OR(E4403="",E4403="!!!"),"",IF(NOT(ISNA(VLOOKUP(E4403,E$1:E4402,1,FALSE()))),"OLD",IF(AND(E4403&lt;&gt;"",E4403&lt;&gt;"!!!"),"NEW","")))</f>
        <v> </v>
      </c>
      <c r="G4403" s="23" t="str">
        <f>IF(OR(E4403="",E4403="!!!"),"",IF(OR(J4403=0,AND(J4403=1,K4403=1),AND(J4403=1,I4403="SBJ"),AND(J4403=1,I4403=0)),"?IN_FOCUS",IF(J4403&lt;=2,"?ACTIVATED",IF(J4403&lt;&gt;"","?FAMILIAR",IF(F4403="NEW",IF(ISNA(VLOOKUP(E4403,#REF!,1,FALSE())),"?TYPE_IDENTIFIABLE","?REFERENTIAL"),"_")))))</f>
        <v> </v>
      </c>
      <c r="H4403" s="24" t="str">
        <f>IF(J4403&lt;&gt;1,"",IF(I4403="SBJ","CB","?"))</f>
        <v> </v>
      </c>
      <c r="I4403" s="25" t="str">
        <f>IF(OR(E4403="",E4403="!!!",F4403="NEW"),"",INDEX(B4402:B$2,-1+SUMPRODUCT(MAX(ROW(E4402:E$2)*(E4403=E4402:E$2)))))</f>
        <v> </v>
      </c>
      <c r="J4403" s="25" t="str">
        <f>IF(OR(E4403="",E4403="!!!",F4403="NEW"),"",COUNTBLANK(OFFSET(A$1,,,SUMPRODUCT(MAX(ROW(E$2:E4403)*(E4403=E$2:E4403)))))-COUNTBLANK(OFFSET(A$1,,,SUMPRODUCT(MAX(ROW(E$1:E4402)*(E2=E$1:E4402))))))</f>
        <v> </v>
      </c>
      <c r="K4403" s="25" t="str">
        <f>IF(OR(E4403="",E4403="!!!",F4403="NEW"),"",INDEX(J$1:J4402,SUMPRODUCT(MAX(ROW(E$1:E4402)*(E4403=E$1:E4402)))))</f>
        <v> </v>
      </c>
      <c r="L4403" s="26"/>
    </row>
    <row r="4404" spans="1:12">
      <c r="A4404" s="20" t="s">
        <v>1653</v>
      </c>
      <c r="B4404" s="27" t="s">
        <v>1110</v>
      </c>
      <c r="C4404" s="27" t="s">
        <v>1133</v>
      </c>
      <c r="E4404" s="21">
        <f>IF(D4404="?OLD","!!!","")</f>
        <v/>
      </c>
      <c r="F4404" s="22" t="str">
        <f>IF(OR(E4404="",E4404="!!!"),"",IF(NOT(ISNA(VLOOKUP(E4404,E$1:E4403,1,FALSE()))),"OLD",IF(AND(E4404&lt;&gt;"",E4404&lt;&gt;"!!!"),"NEW","")))</f>
        <v> </v>
      </c>
      <c r="G4404" s="23" t="str">
        <f>IF(OR(E4404="",E4404="!!!"),"",IF(OR(J4404=0,AND(J4404=1,K4404=1),AND(J4404=1,I4404="SBJ"),AND(J4404=1,I4404=0)),"?IN_FOCUS",IF(J4404&lt;=2,"?ACTIVATED",IF(J4404&lt;&gt;"","?FAMILIAR",IF(F4404="NEW",IF(ISNA(VLOOKUP(E4404,#REF!,1,FALSE())),"?TYPE_IDENTIFIABLE","?REFERENTIAL"),"_")))))</f>
        <v> </v>
      </c>
      <c r="H4404" s="24" t="str">
        <f>IF(J4404&lt;&gt;1,"",IF(I4404="SBJ","CB","?"))</f>
        <v> </v>
      </c>
      <c r="I4404" s="25" t="str">
        <f>IF(OR(E4404="",E4404="!!!",F4404="NEW"),"",INDEX(B4403:B$2,-1+SUMPRODUCT(MAX(ROW(E4403:E$2)*(E4404=E4403:E$2)))))</f>
        <v> </v>
      </c>
      <c r="J4404" s="25" t="str">
        <f>IF(OR(E4404="",E4404="!!!",F4404="NEW"),"",COUNTBLANK(OFFSET(A$1,,,SUMPRODUCT(MAX(ROW(E$2:E4404)*(E4404=E$2:E4404)))))-COUNTBLANK(OFFSET(A$1,,,SUMPRODUCT(MAX(ROW(E$1:E4403)*(E2=E$1:E4403))))))</f>
        <v> </v>
      </c>
      <c r="K4404" s="25" t="str">
        <f>IF(OR(E4404="",E4404="!!!",F4404="NEW"),"",INDEX(J$1:J4403,SUMPRODUCT(MAX(ROW(E$1:E4403)*(E4404=E$1:E4403)))))</f>
        <v> </v>
      </c>
      <c r="L4404" s="26"/>
    </row>
    <row r="4405" spans="1:12">
      <c r="A4405" s="20" t="s">
        <v>1124</v>
      </c>
      <c r="B4405" s="27" t="s">
        <v>1259</v>
      </c>
      <c r="C4405" s="27" t="s">
        <v>1126</v>
      </c>
      <c r="D4405" s="27" t="s">
        <v>1105</v>
      </c>
      <c r="E4405" s="21">
        <f>IF(D4405="?OLD","!!!","")</f>
        <v/>
      </c>
      <c r="F4405" s="22" t="str">
        <f>IF(OR(E4405="",E4405="!!!"),"",IF(NOT(ISNA(VLOOKUP(E4405,E$1:E4404,1,FALSE()))),"OLD",IF(AND(E4405&lt;&gt;"",E4405&lt;&gt;"!!!"),"NEW","")))</f>
        <v> </v>
      </c>
      <c r="G4405" s="23" t="str">
        <f>IF(OR(E4405="",E4405="!!!"),"",IF(OR(J4405=0,AND(J4405=1,K4405=1),AND(J4405=1,I4405="SBJ"),AND(J4405=1,I4405=0)),"?IN_FOCUS",IF(J4405&lt;=2,"?ACTIVATED",IF(J4405&lt;&gt;"","?FAMILIAR",IF(F4405="NEW",IF(ISNA(VLOOKUP(E4405,#REF!,1,FALSE())),"?TYPE_IDENTIFIABLE","?REFERENTIAL"),"_")))))</f>
        <v> </v>
      </c>
      <c r="H4405" s="24" t="str">
        <f>IF(J4405&lt;&gt;1,"",IF(I4405="SBJ","CB","?"))</f>
        <v> </v>
      </c>
      <c r="I4405" s="25" t="str">
        <f>IF(OR(E4405="",E4405="!!!",F4405="NEW"),"",INDEX(B4404:B$2,-1+SUMPRODUCT(MAX(ROW(E4404:E$2)*(E4405=E4404:E$2)))))</f>
        <v> </v>
      </c>
      <c r="J4405" s="25" t="str">
        <f>IF(OR(E4405="",E4405="!!!",F4405="NEW"),"",COUNTBLANK(OFFSET(A$1,,,SUMPRODUCT(MAX(ROW(E$2:E4405)*(E4405=E$2:E4405)))))-COUNTBLANK(OFFSET(A$1,,,SUMPRODUCT(MAX(ROW(E$1:E4404)*(E2=E$1:E4404))))))</f>
        <v> </v>
      </c>
      <c r="K4405" s="25" t="str">
        <f>IF(OR(E4405="",E4405="!!!",F4405="NEW"),"",INDEX(J$1:J4404,SUMPRODUCT(MAX(ROW(E$1:E4404)*(E4405=E$1:E4404)))))</f>
        <v> </v>
      </c>
      <c r="L4405" s="26"/>
    </row>
    <row r="4406" spans="1:12">
      <c r="A4406" s="20" t="s">
        <v>3046</v>
      </c>
      <c r="E4406" s="21">
        <f>IF(D4406="?OLD","!!!","")</f>
        <v/>
      </c>
      <c r="F4406" s="22" t="str">
        <f>IF(OR(E4406="",E4406="!!!"),"",IF(NOT(ISNA(VLOOKUP(E4406,E$1:E4405,1,FALSE()))),"OLD",IF(AND(E4406&lt;&gt;"",E4406&lt;&gt;"!!!"),"NEW","")))</f>
        <v> </v>
      </c>
      <c r="G4406" s="23" t="str">
        <f>IF(OR(E4406="",E4406="!!!"),"",IF(OR(J4406=0,AND(J4406=1,K4406=1),AND(J4406=1,I4406="SBJ"),AND(J4406=1,I4406=0)),"?IN_FOCUS",IF(J4406&lt;=2,"?ACTIVATED",IF(J4406&lt;&gt;"","?FAMILIAR",IF(F4406="NEW",IF(ISNA(VLOOKUP(E4406,#REF!,1,FALSE())),"?TYPE_IDENTIFIABLE","?REFERENTIAL"),"_")))))</f>
        <v> </v>
      </c>
      <c r="H4406" s="24" t="str">
        <f>IF(J4406&lt;&gt;1,"",IF(I4406="SBJ","CB","?"))</f>
        <v> </v>
      </c>
      <c r="I4406" s="25" t="str">
        <f>IF(OR(E4406="",E4406="!!!",F4406="NEW"),"",INDEX(B4405:B$2,-1+SUMPRODUCT(MAX(ROW(E4405:E$2)*(E4406=E4405:E$2)))))</f>
        <v> </v>
      </c>
      <c r="J4406" s="25" t="str">
        <f>IF(OR(E4406="",E4406="!!!",F4406="NEW"),"",COUNTBLANK(OFFSET(A$1,,,SUMPRODUCT(MAX(ROW(E$2:E4406)*(E4406=E$2:E4406)))))-COUNTBLANK(OFFSET(A$1,,,SUMPRODUCT(MAX(ROW(E$1:E4405)*(E2=E$1:E4405))))))</f>
        <v> </v>
      </c>
      <c r="K4406" s="25" t="str">
        <f>IF(OR(E4406="",E4406="!!!",F4406="NEW"),"",INDEX(J$1:J4405,SUMPRODUCT(MAX(ROW(E$1:E4405)*(E4406=E$1:E4405)))))</f>
        <v> </v>
      </c>
      <c r="L4406" s="26"/>
    </row>
    <row r="4407" spans="1:12">
      <c r="A4407" s="20" t="s">
        <v>2938</v>
      </c>
      <c r="E4407" s="21">
        <f>IF(D4407="?OLD","!!!","")</f>
        <v/>
      </c>
      <c r="F4407" s="22" t="str">
        <f>IF(OR(E4407="",E4407="!!!"),"",IF(NOT(ISNA(VLOOKUP(E4407,E$1:E4406,1,FALSE()))),"OLD",IF(AND(E4407&lt;&gt;"",E4407&lt;&gt;"!!!"),"NEW","")))</f>
        <v> </v>
      </c>
      <c r="G4407" s="23" t="str">
        <f>IF(OR(E4407="",E4407="!!!"),"",IF(OR(J4407=0,AND(J4407=1,K4407=1),AND(J4407=1,I4407="SBJ"),AND(J4407=1,I4407=0)),"?IN_FOCUS",IF(J4407&lt;=2,"?ACTIVATED",IF(J4407&lt;&gt;"","?FAMILIAR",IF(F4407="NEW",IF(ISNA(VLOOKUP(E4407,#REF!,1,FALSE())),"?TYPE_IDENTIFIABLE","?REFERENTIAL"),"_")))))</f>
        <v> </v>
      </c>
      <c r="H4407" s="24" t="str">
        <f>IF(J4407&lt;&gt;1,"",IF(I4407="SBJ","CB","?"))</f>
        <v> </v>
      </c>
      <c r="I4407" s="25" t="str">
        <f>IF(OR(E4407="",E4407="!!!",F4407="NEW"),"",INDEX(B4406:B$2,-1+SUMPRODUCT(MAX(ROW(E4406:E$2)*(E4407=E4406:E$2)))))</f>
        <v> </v>
      </c>
      <c r="J4407" s="25" t="str">
        <f>IF(OR(E4407="",E4407="!!!",F4407="NEW"),"",COUNTBLANK(OFFSET(A$1,,,SUMPRODUCT(MAX(ROW(E$2:E4407)*(E4407=E$2:E4407)))))-COUNTBLANK(OFFSET(A$1,,,SUMPRODUCT(MAX(ROW(E$1:E4406)*(E2=E$1:E4406))))))</f>
        <v> </v>
      </c>
      <c r="K4407" s="25" t="str">
        <f>IF(OR(E4407="",E4407="!!!",F4407="NEW"),"",INDEX(J$1:J4406,SUMPRODUCT(MAX(ROW(E$1:E4406)*(E4407=E$1:E4406)))))</f>
        <v> </v>
      </c>
      <c r="L4407" s="26"/>
    </row>
    <row r="4408" spans="1:12">
      <c r="A4408" s="20" t="s">
        <v>2991</v>
      </c>
      <c r="B4408" s="27" t="s">
        <v>1115</v>
      </c>
      <c r="E4408" s="21">
        <f>IF(D4408="?OLD","!!!","")</f>
        <v/>
      </c>
      <c r="F4408" s="22" t="str">
        <f>IF(OR(E4408="",E4408="!!!"),"",IF(NOT(ISNA(VLOOKUP(E4408,E$1:E4407,1,FALSE()))),"OLD",IF(AND(E4408&lt;&gt;"",E4408&lt;&gt;"!!!"),"NEW","")))</f>
        <v> </v>
      </c>
      <c r="G4408" s="23" t="str">
        <f>IF(OR(E4408="",E4408="!!!"),"",IF(OR(J4408=0,AND(J4408=1,K4408=1),AND(J4408=1,I4408="SBJ"),AND(J4408=1,I4408=0)),"?IN_FOCUS",IF(J4408&lt;=2,"?ACTIVATED",IF(J4408&lt;&gt;"","?FAMILIAR",IF(F4408="NEW",IF(ISNA(VLOOKUP(E4408,#REF!,1,FALSE())),"?TYPE_IDENTIFIABLE","?REFERENTIAL"),"_")))))</f>
        <v> </v>
      </c>
      <c r="H4408" s="24" t="str">
        <f>IF(J4408&lt;&gt;1,"",IF(I4408="SBJ","CB","?"))</f>
        <v> </v>
      </c>
      <c r="I4408" s="25" t="str">
        <f>IF(OR(E4408="",E4408="!!!",F4408="NEW"),"",INDEX(B4407:B$2,-1+SUMPRODUCT(MAX(ROW(E4407:E$2)*(E4408=E4407:E$2)))))</f>
        <v> </v>
      </c>
      <c r="J4408" s="25" t="str">
        <f>IF(OR(E4408="",E4408="!!!",F4408="NEW"),"",COUNTBLANK(OFFSET(A$1,,,SUMPRODUCT(MAX(ROW(E$2:E4408)*(E4408=E$2:E4408)))))-COUNTBLANK(OFFSET(A$1,,,SUMPRODUCT(MAX(ROW(E$1:E4407)*(E2=E$1:E4407))))))</f>
        <v> </v>
      </c>
      <c r="K4408" s="25" t="str">
        <f>IF(OR(E4408="",E4408="!!!",F4408="NEW"),"",INDEX(J$1:J4407,SUMPRODUCT(MAX(ROW(E$1:E4407)*(E4408=E$1:E4407)))))</f>
        <v> </v>
      </c>
      <c r="L4408" s="26"/>
    </row>
    <row r="4409" spans="1:12">
      <c r="A4409" s="20" t="s">
        <v>1145</v>
      </c>
      <c r="E4409" s="21">
        <f>IF(D4409="?OLD","!!!","")</f>
        <v/>
      </c>
      <c r="F4409" s="22" t="str">
        <f>IF(OR(E4409="",E4409="!!!"),"",IF(NOT(ISNA(VLOOKUP(E4409,E$1:E4408,1,FALSE()))),"OLD",IF(AND(E4409&lt;&gt;"",E4409&lt;&gt;"!!!"),"NEW","")))</f>
        <v> </v>
      </c>
      <c r="G4409" s="23" t="str">
        <f>IF(OR(E4409="",E4409="!!!"),"",IF(OR(J4409=0,AND(J4409=1,K4409=1),AND(J4409=1,I4409="SBJ"),AND(J4409=1,I4409=0)),"?IN_FOCUS",IF(J4409&lt;=2,"?ACTIVATED",IF(J4409&lt;&gt;"","?FAMILIAR",IF(F4409="NEW",IF(ISNA(VLOOKUP(E4409,#REF!,1,FALSE())),"?TYPE_IDENTIFIABLE","?REFERENTIAL"),"_")))))</f>
        <v> </v>
      </c>
      <c r="H4409" s="24" t="str">
        <f>IF(J4409&lt;&gt;1,"",IF(I4409="SBJ","CB","?"))</f>
        <v> </v>
      </c>
      <c r="I4409" s="25" t="str">
        <f>IF(OR(E4409="",E4409="!!!",F4409="NEW"),"",INDEX(B4408:B$2,-1+SUMPRODUCT(MAX(ROW(E4408:E$2)*(E4409=E4408:E$2)))))</f>
        <v> </v>
      </c>
      <c r="J4409" s="25" t="str">
        <f>IF(OR(E4409="",E4409="!!!",F4409="NEW"),"",COUNTBLANK(OFFSET(A$1,,,SUMPRODUCT(MAX(ROW(E$2:E4409)*(E4409=E$2:E4409)))))-COUNTBLANK(OFFSET(A$1,,,SUMPRODUCT(MAX(ROW(E$1:E4408)*(E2=E$1:E4408))))))</f>
        <v> </v>
      </c>
      <c r="K4409" s="25" t="str">
        <f>IF(OR(E4409="",E4409="!!!",F4409="NEW"),"",INDEX(J$1:J4408,SUMPRODUCT(MAX(ROW(E$1:E4408)*(E4409=E$1:E4408)))))</f>
        <v> </v>
      </c>
      <c r="L4409" s="26"/>
    </row>
    <row r="4410" spans="1:12">
      <c r="A4410" s="20"/>
    </row>
    <row r="4411" spans="1:12">
      <c r="A4411" s="20" t="s">
        <v>3047</v>
      </c>
    </row>
    <row r="4412" spans="1:12">
      <c r="A4412" s="20" t="s">
        <v>3048</v>
      </c>
      <c r="B4412" s="27" t="s">
        <v>1213</v>
      </c>
      <c r="C4412" s="27" t="s">
        <v>1126</v>
      </c>
      <c r="D4412" s="27" t="s">
        <v>1105</v>
      </c>
      <c r="E4412" s="21">
        <f>IF(D4412="?OLD","!!!","")</f>
        <v/>
      </c>
      <c r="F4412" s="22" t="str">
        <f>IF(OR(E4412="",E4412="!!!"),"",IF(NOT(ISNA(VLOOKUP(E4412,E$1:E4411,1,FALSE()))),"OLD",IF(AND(E4412&lt;&gt;"",E4412&lt;&gt;"!!!"),"NEW","")))</f>
        <v> </v>
      </c>
      <c r="G4412" s="23" t="str">
        <f>IF(OR(E4412="",E4412="!!!"),"",IF(OR(J4412=0,AND(J4412=1,K4412=1),AND(J4412=1,I4412="SBJ"),AND(J4412=1,I4412=0)),"?IN_FOCUS",IF(J4412&lt;=2,"?ACTIVATED",IF(J4412&lt;&gt;"","?FAMILIAR",IF(F4412="NEW",IF(ISNA(VLOOKUP(E4412,#REF!,1,FALSE())),"?TYPE_IDENTIFIABLE","?REFERENTIAL"),"_")))))</f>
        <v> </v>
      </c>
      <c r="H4412" s="24" t="str">
        <f>IF(J4412&lt;&gt;1,"",IF(I4412="SBJ","CB","?"))</f>
        <v> </v>
      </c>
      <c r="I4412" s="25" t="str">
        <f>IF(OR(E4412="",E4412="!!!",F4412="NEW"),"",INDEX(B4411:B$2,-1+SUMPRODUCT(MAX(ROW(E4411:E$2)*(E4412=E4411:E$2)))))</f>
        <v> </v>
      </c>
      <c r="J4412" s="25" t="str">
        <f>IF(OR(E4412="",E4412="!!!",F4412="NEW"),"",COUNTBLANK(OFFSET(A$1,,,SUMPRODUCT(MAX(ROW(E$2:E4412)*(E4412=E$2:E4412)))))-COUNTBLANK(OFFSET(A$1,,,SUMPRODUCT(MAX(ROW(E$1:E4411)*(E2=E$1:E4411))))))</f>
        <v> </v>
      </c>
      <c r="K4412" s="25" t="str">
        <f>IF(OR(E4412="",E4412="!!!",F4412="NEW"),"",INDEX(J$1:J4411,SUMPRODUCT(MAX(ROW(E$1:E4411)*(E4412=E$1:E4411)))))</f>
        <v> </v>
      </c>
      <c r="L4412" s="26"/>
    </row>
    <row r="4413" spans="1:12">
      <c r="A4413" s="20" t="s">
        <v>3049</v>
      </c>
      <c r="E4413" s="21">
        <f>IF(D4413="?OLD","!!!","")</f>
        <v/>
      </c>
      <c r="F4413" s="22" t="str">
        <f>IF(OR(E4413="",E4413="!!!"),"",IF(NOT(ISNA(VLOOKUP(E4413,E$1:E4412,1,FALSE()))),"OLD",IF(AND(E4413&lt;&gt;"",E4413&lt;&gt;"!!!"),"NEW","")))</f>
        <v> </v>
      </c>
      <c r="G4413" s="23" t="str">
        <f>IF(OR(E4413="",E4413="!!!"),"",IF(OR(J4413=0,AND(J4413=1,K4413=1),AND(J4413=1,I4413="SBJ"),AND(J4413=1,I4413=0)),"?IN_FOCUS",IF(J4413&lt;=2,"?ACTIVATED",IF(J4413&lt;&gt;"","?FAMILIAR",IF(F4413="NEW",IF(ISNA(VLOOKUP(E4413,#REF!,1,FALSE())),"?TYPE_IDENTIFIABLE","?REFERENTIAL"),"_")))))</f>
        <v> </v>
      </c>
      <c r="H4413" s="24" t="str">
        <f>IF(J4413&lt;&gt;1,"",IF(I4413="SBJ","CB","?"))</f>
        <v> </v>
      </c>
      <c r="I4413" s="25" t="str">
        <f>IF(OR(E4413="",E4413="!!!",F4413="NEW"),"",INDEX(B4412:B$2,-1+SUMPRODUCT(MAX(ROW(E4412:E$2)*(E4413=E4412:E$2)))))</f>
        <v> </v>
      </c>
      <c r="J4413" s="25" t="str">
        <f>IF(OR(E4413="",E4413="!!!",F4413="NEW"),"",COUNTBLANK(OFFSET(A$1,,,SUMPRODUCT(MAX(ROW(E$2:E4413)*(E4413=E$2:E4413)))))-COUNTBLANK(OFFSET(A$1,,,SUMPRODUCT(MAX(ROW(E$1:E4412)*(E2=E$1:E4412))))))</f>
        <v> </v>
      </c>
      <c r="K4413" s="25" t="str">
        <f>IF(OR(E4413="",E4413="!!!",F4413="NEW"),"",INDEX(J$1:J4412,SUMPRODUCT(MAX(ROW(E$1:E4412)*(E4413=E$1:E4412)))))</f>
        <v> </v>
      </c>
      <c r="L4413" s="26"/>
    </row>
    <row r="4414" spans="1:12">
      <c r="A4414" s="20" t="s">
        <v>1249</v>
      </c>
      <c r="E4414" s="21">
        <f>IF(D4414="?OLD","!!!","")</f>
        <v/>
      </c>
      <c r="F4414" s="22" t="str">
        <f>IF(OR(E4414="",E4414="!!!"),"",IF(NOT(ISNA(VLOOKUP(E4414,E$1:E4413,1,FALSE()))),"OLD",IF(AND(E4414&lt;&gt;"",E4414&lt;&gt;"!!!"),"NEW","")))</f>
        <v> </v>
      </c>
      <c r="G4414" s="23" t="str">
        <f>IF(OR(E4414="",E4414="!!!"),"",IF(OR(J4414=0,AND(J4414=1,K4414=1),AND(J4414=1,I4414="SBJ"),AND(J4414=1,I4414=0)),"?IN_FOCUS",IF(J4414&lt;=2,"?ACTIVATED",IF(J4414&lt;&gt;"","?FAMILIAR",IF(F4414="NEW",IF(ISNA(VLOOKUP(E4414,#REF!,1,FALSE())),"?TYPE_IDENTIFIABLE","?REFERENTIAL"),"_")))))</f>
        <v> </v>
      </c>
      <c r="H4414" s="24" t="str">
        <f>IF(J4414&lt;&gt;1,"",IF(I4414="SBJ","CB","?"))</f>
        <v> </v>
      </c>
      <c r="I4414" s="25" t="str">
        <f>IF(OR(E4414="",E4414="!!!",F4414="NEW"),"",INDEX(B4413:B$2,-1+SUMPRODUCT(MAX(ROW(E4413:E$2)*(E4414=E4413:E$2)))))</f>
        <v> </v>
      </c>
      <c r="J4414" s="25" t="str">
        <f>IF(OR(E4414="",E4414="!!!",F4414="NEW"),"",COUNTBLANK(OFFSET(A$1,,,SUMPRODUCT(MAX(ROW(E$2:E4414)*(E4414=E$2:E4414)))))-COUNTBLANK(OFFSET(A$1,,,SUMPRODUCT(MAX(ROW(E$1:E4413)*(E2=E$1:E4413))))))</f>
        <v> </v>
      </c>
      <c r="K4414" s="25" t="str">
        <f>IF(OR(E4414="",E4414="!!!",F4414="NEW"),"",INDEX(J$1:J4413,SUMPRODUCT(MAX(ROW(E$1:E4413)*(E4414=E$1:E4413)))))</f>
        <v> </v>
      </c>
      <c r="L4414" s="26"/>
    </row>
    <row r="4415" spans="1:12">
      <c r="A4415" s="20" t="s">
        <v>1665</v>
      </c>
      <c r="E4415" s="21">
        <f>IF(D4415="?OLD","!!!","")</f>
        <v/>
      </c>
      <c r="F4415" s="22" t="str">
        <f>IF(OR(E4415="",E4415="!!!"),"",IF(NOT(ISNA(VLOOKUP(E4415,E$1:E4414,1,FALSE()))),"OLD",IF(AND(E4415&lt;&gt;"",E4415&lt;&gt;"!!!"),"NEW","")))</f>
        <v> </v>
      </c>
      <c r="G4415" s="23" t="str">
        <f>IF(OR(E4415="",E4415="!!!"),"",IF(OR(J4415=0,AND(J4415=1,K4415=1),AND(J4415=1,I4415="SBJ"),AND(J4415=1,I4415=0)),"?IN_FOCUS",IF(J4415&lt;=2,"?ACTIVATED",IF(J4415&lt;&gt;"","?FAMILIAR",IF(F4415="NEW",IF(ISNA(VLOOKUP(E4415,#REF!,1,FALSE())),"?TYPE_IDENTIFIABLE","?REFERENTIAL"),"_")))))</f>
        <v> </v>
      </c>
      <c r="H4415" s="24" t="str">
        <f>IF(J4415&lt;&gt;1,"",IF(I4415="SBJ","CB","?"))</f>
        <v> </v>
      </c>
      <c r="I4415" s="25" t="str">
        <f>IF(OR(E4415="",E4415="!!!",F4415="NEW"),"",INDEX(B4414:B$2,-1+SUMPRODUCT(MAX(ROW(E4414:E$2)*(E4415=E4414:E$2)))))</f>
        <v> </v>
      </c>
      <c r="J4415" s="25" t="str">
        <f>IF(OR(E4415="",E4415="!!!",F4415="NEW"),"",COUNTBLANK(OFFSET(A$1,,,SUMPRODUCT(MAX(ROW(E$2:E4415)*(E4415=E$2:E4415)))))-COUNTBLANK(OFFSET(A$1,,,SUMPRODUCT(MAX(ROW(E$1:E4414)*(E2=E$1:E4414))))))</f>
        <v> </v>
      </c>
      <c r="K4415" s="25" t="str">
        <f>IF(OR(E4415="",E4415="!!!",F4415="NEW"),"",INDEX(J$1:J4414,SUMPRODUCT(MAX(ROW(E$1:E4414)*(E4415=E$1:E4414)))))</f>
        <v> </v>
      </c>
      <c r="L4415" s="26"/>
    </row>
    <row r="4416" spans="1:12">
      <c r="A4416" s="20" t="s">
        <v>1540</v>
      </c>
      <c r="B4416" s="27" t="s">
        <v>1103</v>
      </c>
      <c r="C4416" s="27" t="s">
        <v>1156</v>
      </c>
      <c r="D4416" s="27" t="s">
        <v>1105</v>
      </c>
      <c r="E4416" s="21">
        <f>IF(D4416="?OLD","!!!","")</f>
        <v/>
      </c>
      <c r="F4416" s="22" t="str">
        <f>IF(OR(E4416="",E4416="!!!"),"",IF(NOT(ISNA(VLOOKUP(E4416,E$1:E4415,1,FALSE()))),"OLD",IF(AND(E4416&lt;&gt;"",E4416&lt;&gt;"!!!"),"NEW","")))</f>
        <v> </v>
      </c>
      <c r="G4416" s="23" t="str">
        <f>IF(OR(E4416="",E4416="!!!"),"",IF(OR(J4416=0,AND(J4416=1,K4416=1),AND(J4416=1,I4416="SBJ"),AND(J4416=1,I4416=0)),"?IN_FOCUS",IF(J4416&lt;=2,"?ACTIVATED",IF(J4416&lt;&gt;"","?FAMILIAR",IF(F4416="NEW",IF(ISNA(VLOOKUP(E4416,#REF!,1,FALSE())),"?TYPE_IDENTIFIABLE","?REFERENTIAL"),"_")))))</f>
        <v> </v>
      </c>
      <c r="H4416" s="24" t="str">
        <f>IF(J4416&lt;&gt;1,"",IF(I4416="SBJ","CB","?"))</f>
        <v> </v>
      </c>
      <c r="I4416" s="25" t="str">
        <f>IF(OR(E4416="",E4416="!!!",F4416="NEW"),"",INDEX(B4415:B$2,-1+SUMPRODUCT(MAX(ROW(E4415:E$2)*(E4416=E4415:E$2)))))</f>
        <v> </v>
      </c>
      <c r="J4416" s="25" t="str">
        <f>IF(OR(E4416="",E4416="!!!",F4416="NEW"),"",COUNTBLANK(OFFSET(A$1,,,SUMPRODUCT(MAX(ROW(E$2:E4416)*(E4416=E$2:E4416)))))-COUNTBLANK(OFFSET(A$1,,,SUMPRODUCT(MAX(ROW(E$1:E4415)*(E2=E$1:E4415))))))</f>
        <v> </v>
      </c>
      <c r="K4416" s="25" t="str">
        <f>IF(OR(E4416="",E4416="!!!",F4416="NEW"),"",INDEX(J$1:J4415,SUMPRODUCT(MAX(ROW(E$1:E4415)*(E4416=E$1:E4415)))))</f>
        <v> </v>
      </c>
      <c r="L4416" s="26"/>
    </row>
    <row r="4417" spans="1:12">
      <c r="A4417" s="20" t="s">
        <v>1134</v>
      </c>
      <c r="E4417" s="21">
        <f>IF(D4417="?OLD","!!!","")</f>
        <v/>
      </c>
      <c r="F4417" s="22" t="str">
        <f>IF(OR(E4417="",E4417="!!!"),"",IF(NOT(ISNA(VLOOKUP(E4417,E$1:E4416,1,FALSE()))),"OLD",IF(AND(E4417&lt;&gt;"",E4417&lt;&gt;"!!!"),"NEW","")))</f>
        <v> </v>
      </c>
      <c r="G4417" s="23" t="str">
        <f>IF(OR(E4417="",E4417="!!!"),"",IF(OR(J4417=0,AND(J4417=1,K4417=1),AND(J4417=1,I4417="SBJ"),AND(J4417=1,I4417=0)),"?IN_FOCUS",IF(J4417&lt;=2,"?ACTIVATED",IF(J4417&lt;&gt;"","?FAMILIAR",IF(F4417="NEW",IF(ISNA(VLOOKUP(E4417,#REF!,1,FALSE())),"?TYPE_IDENTIFIABLE","?REFERENTIAL"),"_")))))</f>
        <v> </v>
      </c>
      <c r="H4417" s="24" t="str">
        <f>IF(J4417&lt;&gt;1,"",IF(I4417="SBJ","CB","?"))</f>
        <v> </v>
      </c>
      <c r="I4417" s="25" t="str">
        <f>IF(OR(E4417="",E4417="!!!",F4417="NEW"),"",INDEX(B4416:B$2,-1+SUMPRODUCT(MAX(ROW(E4416:E$2)*(E4417=E4416:E$2)))))</f>
        <v> </v>
      </c>
      <c r="J4417" s="25" t="str">
        <f>IF(OR(E4417="",E4417="!!!",F4417="NEW"),"",COUNTBLANK(OFFSET(A$1,,,SUMPRODUCT(MAX(ROW(E$2:E4417)*(E4417=E$2:E4417)))))-COUNTBLANK(OFFSET(A$1,,,SUMPRODUCT(MAX(ROW(E$1:E4416)*(E2=E$1:E4416))))))</f>
        <v> </v>
      </c>
      <c r="K4417" s="25" t="str">
        <f>IF(OR(E4417="",E4417="!!!",F4417="NEW"),"",INDEX(J$1:J4416,SUMPRODUCT(MAX(ROW(E$1:E4416)*(E4417=E$1:E4416)))))</f>
        <v> </v>
      </c>
      <c r="L4417" s="26"/>
    </row>
    <row r="4418" spans="1:12">
      <c r="A4418" s="20" t="s">
        <v>135</v>
      </c>
      <c r="B4418" s="27" t="s">
        <v>1149</v>
      </c>
      <c r="C4418" s="27" t="s">
        <v>1133</v>
      </c>
      <c r="E4418" s="21">
        <f>IF(D4418="?OLD","!!!","")</f>
        <v/>
      </c>
      <c r="F4418" s="22" t="str">
        <f>IF(OR(E4418="",E4418="!!!"),"",IF(NOT(ISNA(VLOOKUP(E4418,E$1:E4417,1,FALSE()))),"OLD",IF(AND(E4418&lt;&gt;"",E4418&lt;&gt;"!!!"),"NEW","")))</f>
        <v> </v>
      </c>
      <c r="G4418" s="23" t="str">
        <f>IF(OR(E4418="",E4418="!!!"),"",IF(OR(J4418=0,AND(J4418=1,K4418=1),AND(J4418=1,I4418="SBJ"),AND(J4418=1,I4418=0)),"?IN_FOCUS",IF(J4418&lt;=2,"?ACTIVATED",IF(J4418&lt;&gt;"","?FAMILIAR",IF(F4418="NEW",IF(ISNA(VLOOKUP(E4418,#REF!,1,FALSE())),"?TYPE_IDENTIFIABLE","?REFERENTIAL"),"_")))))</f>
        <v> </v>
      </c>
      <c r="H4418" s="24" t="str">
        <f>IF(J4418&lt;&gt;1,"",IF(I4418="SBJ","CB","?"))</f>
        <v> </v>
      </c>
      <c r="I4418" s="25" t="str">
        <f>IF(OR(E4418="",E4418="!!!",F4418="NEW"),"",INDEX(B4417:B$2,-1+SUMPRODUCT(MAX(ROW(E4417:E$2)*(E4418=E4417:E$2)))))</f>
        <v> </v>
      </c>
      <c r="J4418" s="25" t="str">
        <f>IF(OR(E4418="",E4418="!!!",F4418="NEW"),"",COUNTBLANK(OFFSET(A$1,,,SUMPRODUCT(MAX(ROW(E$2:E4418)*(E4418=E$2:E4418)))))-COUNTBLANK(OFFSET(A$1,,,SUMPRODUCT(MAX(ROW(E$1:E4417)*(E2=E$1:E4417))))))</f>
        <v> </v>
      </c>
      <c r="K4418" s="25" t="str">
        <f>IF(OR(E4418="",E4418="!!!",F4418="NEW"),"",INDEX(J$1:J4417,SUMPRODUCT(MAX(ROW(E$1:E4417)*(E4418=E$1:E4417)))))</f>
        <v> </v>
      </c>
      <c r="L4418" s="26"/>
    </row>
    <row r="4419" spans="1:12">
      <c r="A4419" s="20" t="s">
        <v>3050</v>
      </c>
      <c r="E4419" s="21">
        <f>IF(D4419="?OLD","!!!","")</f>
        <v/>
      </c>
      <c r="F4419" s="22" t="str">
        <f>IF(OR(E4419="",E4419="!!!"),"",IF(NOT(ISNA(VLOOKUP(E4419,E$1:E4418,1,FALSE()))),"OLD",IF(AND(E4419&lt;&gt;"",E4419&lt;&gt;"!!!"),"NEW","")))</f>
        <v> </v>
      </c>
      <c r="G4419" s="23" t="str">
        <f>IF(OR(E4419="",E4419="!!!"),"",IF(OR(J4419=0,AND(J4419=1,K4419=1),AND(J4419=1,I4419="SBJ"),AND(J4419=1,I4419=0)),"?IN_FOCUS",IF(J4419&lt;=2,"?ACTIVATED",IF(J4419&lt;&gt;"","?FAMILIAR",IF(F4419="NEW",IF(ISNA(VLOOKUP(E4419,#REF!,1,FALSE())),"?TYPE_IDENTIFIABLE","?REFERENTIAL"),"_")))))</f>
        <v> </v>
      </c>
      <c r="H4419" s="24" t="str">
        <f>IF(J4419&lt;&gt;1,"",IF(I4419="SBJ","CB","?"))</f>
        <v> </v>
      </c>
      <c r="I4419" s="25" t="str">
        <f>IF(OR(E4419="",E4419="!!!",F4419="NEW"),"",INDEX(B4418:B$2,-1+SUMPRODUCT(MAX(ROW(E4418:E$2)*(E4419=E4418:E$2)))))</f>
        <v> </v>
      </c>
      <c r="J4419" s="25" t="str">
        <f>IF(OR(E4419="",E4419="!!!",F4419="NEW"),"",COUNTBLANK(OFFSET(A$1,,,SUMPRODUCT(MAX(ROW(E$2:E4419)*(E4419=E$2:E4419)))))-COUNTBLANK(OFFSET(A$1,,,SUMPRODUCT(MAX(ROW(E$1:E4418)*(E2=E$1:E4418))))))</f>
        <v> </v>
      </c>
      <c r="K4419" s="25" t="str">
        <f>IF(OR(E4419="",E4419="!!!",F4419="NEW"),"",INDEX(J$1:J4418,SUMPRODUCT(MAX(ROW(E$1:E4418)*(E4419=E$1:E4418)))))</f>
        <v> </v>
      </c>
      <c r="L4419" s="26"/>
    </row>
    <row r="4420" spans="1:12">
      <c r="A4420" s="20" t="s">
        <v>1123</v>
      </c>
      <c r="E4420" s="21">
        <f>IF(D4420="?OLD","!!!","")</f>
        <v/>
      </c>
      <c r="F4420" s="22" t="str">
        <f>IF(OR(E4420="",E4420="!!!"),"",IF(NOT(ISNA(VLOOKUP(E4420,E$1:E4419,1,FALSE()))),"OLD",IF(AND(E4420&lt;&gt;"",E4420&lt;&gt;"!!!"),"NEW","")))</f>
        <v> </v>
      </c>
      <c r="G4420" s="23" t="str">
        <f>IF(OR(E4420="",E4420="!!!"),"",IF(OR(J4420=0,AND(J4420=1,K4420=1),AND(J4420=1,I4420="SBJ"),AND(J4420=1,I4420=0)),"?IN_FOCUS",IF(J4420&lt;=2,"?ACTIVATED",IF(J4420&lt;&gt;"","?FAMILIAR",IF(F4420="NEW",IF(ISNA(VLOOKUP(E4420,#REF!,1,FALSE())),"?TYPE_IDENTIFIABLE","?REFERENTIAL"),"_")))))</f>
        <v> </v>
      </c>
      <c r="H4420" s="24" t="str">
        <f>IF(J4420&lt;&gt;1,"",IF(I4420="SBJ","CB","?"))</f>
        <v> </v>
      </c>
      <c r="I4420" s="25" t="str">
        <f>IF(OR(E4420="",E4420="!!!",F4420="NEW"),"",INDEX(B4419:B$2,-1+SUMPRODUCT(MAX(ROW(E4419:E$2)*(E4420=E4419:E$2)))))</f>
        <v> </v>
      </c>
      <c r="J4420" s="25" t="str">
        <f>IF(OR(E4420="",E4420="!!!",F4420="NEW"),"",COUNTBLANK(OFFSET(A$1,,,SUMPRODUCT(MAX(ROW(E$2:E4420)*(E4420=E$2:E4420)))))-COUNTBLANK(OFFSET(A$1,,,SUMPRODUCT(MAX(ROW(E$1:E4419)*(E2=E$1:E4419))))))</f>
        <v> </v>
      </c>
      <c r="K4420" s="25" t="str">
        <f>IF(OR(E4420="",E4420="!!!",F4420="NEW"),"",INDEX(J$1:J4419,SUMPRODUCT(MAX(ROW(E$1:E4419)*(E4420=E$1:E4419)))))</f>
        <v> </v>
      </c>
      <c r="L4420" s="26"/>
    </row>
    <row r="4421" spans="1:12">
      <c r="A4421" s="20" t="s">
        <v>1239</v>
      </c>
      <c r="E4421" s="21">
        <f>IF(D4421="?OLD","!!!","")</f>
        <v/>
      </c>
      <c r="F4421" s="22" t="str">
        <f>IF(OR(E4421="",E4421="!!!"),"",IF(NOT(ISNA(VLOOKUP(E4421,E$1:E4420,1,FALSE()))),"OLD",IF(AND(E4421&lt;&gt;"",E4421&lt;&gt;"!!!"),"NEW","")))</f>
        <v> </v>
      </c>
      <c r="G4421" s="23" t="str">
        <f>IF(OR(E4421="",E4421="!!!"),"",IF(OR(J4421=0,AND(J4421=1,K4421=1),AND(J4421=1,I4421="SBJ"),AND(J4421=1,I4421=0)),"?IN_FOCUS",IF(J4421&lt;=2,"?ACTIVATED",IF(J4421&lt;&gt;"","?FAMILIAR",IF(F4421="NEW",IF(ISNA(VLOOKUP(E4421,#REF!,1,FALSE())),"?TYPE_IDENTIFIABLE","?REFERENTIAL"),"_")))))</f>
        <v> </v>
      </c>
      <c r="H4421" s="24" t="str">
        <f>IF(J4421&lt;&gt;1,"",IF(I4421="SBJ","CB","?"))</f>
        <v> </v>
      </c>
      <c r="I4421" s="25" t="str">
        <f>IF(OR(E4421="",E4421="!!!",F4421="NEW"),"",INDEX(B4420:B$2,-1+SUMPRODUCT(MAX(ROW(E4420:E$2)*(E4421=E4420:E$2)))))</f>
        <v> </v>
      </c>
      <c r="J4421" s="25" t="str">
        <f>IF(OR(E4421="",E4421="!!!",F4421="NEW"),"",COUNTBLANK(OFFSET(A$1,,,SUMPRODUCT(MAX(ROW(E$2:E4421)*(E4421=E$2:E4421)))))-COUNTBLANK(OFFSET(A$1,,,SUMPRODUCT(MAX(ROW(E$1:E4420)*(E2=E$1:E4420))))))</f>
        <v> </v>
      </c>
      <c r="K4421" s="25" t="str">
        <f>IF(OR(E4421="",E4421="!!!",F4421="NEW"),"",INDEX(J$1:J4420,SUMPRODUCT(MAX(ROW(E$1:E4420)*(E4421=E$1:E4420)))))</f>
        <v> </v>
      </c>
      <c r="L4421" s="26"/>
    </row>
    <row r="4422" spans="1:12">
      <c r="A4422" s="20" t="s">
        <v>3051</v>
      </c>
      <c r="E4422" s="21">
        <f>IF(D4422="?OLD","!!!","")</f>
        <v/>
      </c>
      <c r="F4422" s="22" t="str">
        <f>IF(OR(E4422="",E4422="!!!"),"",IF(NOT(ISNA(VLOOKUP(E4422,E$1:E4421,1,FALSE()))),"OLD",IF(AND(E4422&lt;&gt;"",E4422&lt;&gt;"!!!"),"NEW","")))</f>
        <v> </v>
      </c>
      <c r="G4422" s="23" t="str">
        <f>IF(OR(E4422="",E4422="!!!"),"",IF(OR(J4422=0,AND(J4422=1,K4422=1),AND(J4422=1,I4422="SBJ"),AND(J4422=1,I4422=0)),"?IN_FOCUS",IF(J4422&lt;=2,"?ACTIVATED",IF(J4422&lt;&gt;"","?FAMILIAR",IF(F4422="NEW",IF(ISNA(VLOOKUP(E4422,#REF!,1,FALSE())),"?TYPE_IDENTIFIABLE","?REFERENTIAL"),"_")))))</f>
        <v> </v>
      </c>
      <c r="H4422" s="24" t="str">
        <f>IF(J4422&lt;&gt;1,"",IF(I4422="SBJ","CB","?"))</f>
        <v> </v>
      </c>
      <c r="I4422" s="25" t="str">
        <f>IF(OR(E4422="",E4422="!!!",F4422="NEW"),"",INDEX(B4421:B$2,-1+SUMPRODUCT(MAX(ROW(E4421:E$2)*(E4422=E4421:E$2)))))</f>
        <v> </v>
      </c>
      <c r="J4422" s="25" t="str">
        <f>IF(OR(E4422="",E4422="!!!",F4422="NEW"),"",COUNTBLANK(OFFSET(A$1,,,SUMPRODUCT(MAX(ROW(E$2:E4422)*(E4422=E$2:E4422)))))-COUNTBLANK(OFFSET(A$1,,,SUMPRODUCT(MAX(ROW(E$1:E4421)*(E2=E$1:E4421))))))</f>
        <v> </v>
      </c>
      <c r="K4422" s="25" t="str">
        <f>IF(OR(E4422="",E4422="!!!",F4422="NEW"),"",INDEX(J$1:J4421,SUMPRODUCT(MAX(ROW(E$1:E4421)*(E4422=E$1:E4421)))))</f>
        <v> </v>
      </c>
      <c r="L4422" s="26"/>
    </row>
    <row r="4423" spans="1:12">
      <c r="A4423" s="20" t="s">
        <v>1231</v>
      </c>
      <c r="E4423" s="21">
        <f>IF(D4423="?OLD","!!!","")</f>
        <v/>
      </c>
      <c r="F4423" s="22" t="str">
        <f>IF(OR(E4423="",E4423="!!!"),"",IF(NOT(ISNA(VLOOKUP(E4423,E$1:E4422,1,FALSE()))),"OLD",IF(AND(E4423&lt;&gt;"",E4423&lt;&gt;"!!!"),"NEW","")))</f>
        <v> </v>
      </c>
      <c r="G4423" s="23" t="str">
        <f>IF(OR(E4423="",E4423="!!!"),"",IF(OR(J4423=0,AND(J4423=1,K4423=1),AND(J4423=1,I4423="SBJ"),AND(J4423=1,I4423=0)),"?IN_FOCUS",IF(J4423&lt;=2,"?ACTIVATED",IF(J4423&lt;&gt;"","?FAMILIAR",IF(F4423="NEW",IF(ISNA(VLOOKUP(E4423,#REF!,1,FALSE())),"?TYPE_IDENTIFIABLE","?REFERENTIAL"),"_")))))</f>
        <v> </v>
      </c>
      <c r="H4423" s="24" t="str">
        <f>IF(J4423&lt;&gt;1,"",IF(I4423="SBJ","CB","?"))</f>
        <v> </v>
      </c>
      <c r="I4423" s="25" t="str">
        <f>IF(OR(E4423="",E4423="!!!",F4423="NEW"),"",INDEX(B4422:B$2,-1+SUMPRODUCT(MAX(ROW(E4422:E$2)*(E4423=E4422:E$2)))))</f>
        <v> </v>
      </c>
      <c r="J4423" s="25" t="str">
        <f>IF(OR(E4423="",E4423="!!!",F4423="NEW"),"",COUNTBLANK(OFFSET(A$1,,,SUMPRODUCT(MAX(ROW(E$2:E4423)*(E4423=E$2:E4423)))))-COUNTBLANK(OFFSET(A$1,,,SUMPRODUCT(MAX(ROW(E$1:E4422)*(E2=E$1:E4422))))))</f>
        <v> </v>
      </c>
      <c r="K4423" s="25" t="str">
        <f>IF(OR(E4423="",E4423="!!!",F4423="NEW"),"",INDEX(J$1:J4422,SUMPRODUCT(MAX(ROW(E$1:E4422)*(E4423=E$1:E4422)))))</f>
        <v> </v>
      </c>
      <c r="L4423" s="26"/>
    </row>
    <row r="4424" spans="1:12">
      <c r="A4424" s="20" t="s">
        <v>3052</v>
      </c>
      <c r="E4424" s="21">
        <f>IF(D4424="?OLD","!!!","")</f>
        <v/>
      </c>
      <c r="F4424" s="22" t="str">
        <f>IF(OR(E4424="",E4424="!!!"),"",IF(NOT(ISNA(VLOOKUP(E4424,E$1:E4423,1,FALSE()))),"OLD",IF(AND(E4424&lt;&gt;"",E4424&lt;&gt;"!!!"),"NEW","")))</f>
        <v> </v>
      </c>
      <c r="G4424" s="23" t="str">
        <f>IF(OR(E4424="",E4424="!!!"),"",IF(OR(J4424=0,AND(J4424=1,K4424=1),AND(J4424=1,I4424="SBJ"),AND(J4424=1,I4424=0)),"?IN_FOCUS",IF(J4424&lt;=2,"?ACTIVATED",IF(J4424&lt;&gt;"","?FAMILIAR",IF(F4424="NEW",IF(ISNA(VLOOKUP(E4424,#REF!,1,FALSE())),"?TYPE_IDENTIFIABLE","?REFERENTIAL"),"_")))))</f>
        <v> </v>
      </c>
      <c r="H4424" s="24" t="str">
        <f>IF(J4424&lt;&gt;1,"",IF(I4424="SBJ","CB","?"))</f>
        <v> </v>
      </c>
      <c r="I4424" s="25" t="str">
        <f>IF(OR(E4424="",E4424="!!!",F4424="NEW"),"",INDEX(B4423:B$2,-1+SUMPRODUCT(MAX(ROW(E4423:E$2)*(E4424=E4423:E$2)))))</f>
        <v> </v>
      </c>
      <c r="J4424" s="25" t="str">
        <f>IF(OR(E4424="",E4424="!!!",F4424="NEW"),"",COUNTBLANK(OFFSET(A$1,,,SUMPRODUCT(MAX(ROW(E$2:E4424)*(E4424=E$2:E4424)))))-COUNTBLANK(OFFSET(A$1,,,SUMPRODUCT(MAX(ROW(E$1:E4423)*(E2=E$1:E4423))))))</f>
        <v> </v>
      </c>
      <c r="K4424" s="25" t="str">
        <f>IF(OR(E4424="",E4424="!!!",F4424="NEW"),"",INDEX(J$1:J4423,SUMPRODUCT(MAX(ROW(E$1:E4423)*(E4424=E$1:E4423)))))</f>
        <v> </v>
      </c>
      <c r="L4424" s="26"/>
    </row>
    <row r="4425" spans="1:12">
      <c r="A4425" s="20" t="s">
        <v>2897</v>
      </c>
      <c r="B4425" s="27" t="s">
        <v>1132</v>
      </c>
      <c r="C4425" s="27" t="s">
        <v>1104</v>
      </c>
      <c r="D4425" s="27" t="s">
        <v>1105</v>
      </c>
      <c r="E4425" s="21">
        <f>IF(D4425="?OLD","!!!","")</f>
        <v/>
      </c>
      <c r="F4425" s="22" t="str">
        <f>IF(OR(E4425="",E4425="!!!"),"",IF(NOT(ISNA(VLOOKUP(E4425,E$1:E4424,1,FALSE()))),"OLD",IF(AND(E4425&lt;&gt;"",E4425&lt;&gt;"!!!"),"NEW","")))</f>
        <v> </v>
      </c>
      <c r="G4425" s="23" t="str">
        <f>IF(OR(E4425="",E4425="!!!"),"",IF(OR(J4425=0,AND(J4425=1,K4425=1),AND(J4425=1,I4425="SBJ"),AND(J4425=1,I4425=0)),"?IN_FOCUS",IF(J4425&lt;=2,"?ACTIVATED",IF(J4425&lt;&gt;"","?FAMILIAR",IF(F4425="NEW",IF(ISNA(VLOOKUP(E4425,#REF!,1,FALSE())),"?TYPE_IDENTIFIABLE","?REFERENTIAL"),"_")))))</f>
        <v> </v>
      </c>
      <c r="H4425" s="24" t="str">
        <f>IF(J4425&lt;&gt;1,"",IF(I4425="SBJ","CB","?"))</f>
        <v> </v>
      </c>
      <c r="I4425" s="25" t="str">
        <f>IF(OR(E4425="",E4425="!!!",F4425="NEW"),"",INDEX(B4424:B$2,-1+SUMPRODUCT(MAX(ROW(E4424:E$2)*(E4425=E4424:E$2)))))</f>
        <v> </v>
      </c>
      <c r="J4425" s="25" t="str">
        <f>IF(OR(E4425="",E4425="!!!",F4425="NEW"),"",COUNTBLANK(OFFSET(A$1,,,SUMPRODUCT(MAX(ROW(E$2:E4425)*(E4425=E$2:E4425)))))-COUNTBLANK(OFFSET(A$1,,,SUMPRODUCT(MAX(ROW(E$1:E4424)*(E2=E$1:E4424))))))</f>
        <v> </v>
      </c>
      <c r="K4425" s="25" t="str">
        <f>IF(OR(E4425="",E4425="!!!",F4425="NEW"),"",INDEX(J$1:J4424,SUMPRODUCT(MAX(ROW(E$1:E4424)*(E4425=E$1:E4424)))))</f>
        <v> </v>
      </c>
      <c r="L4425" s="26"/>
    </row>
    <row r="4426" spans="1:12">
      <c r="A4426" s="20" t="s">
        <v>3053</v>
      </c>
      <c r="B4426" s="27" t="s">
        <v>1141</v>
      </c>
      <c r="C4426" s="27" t="s">
        <v>1108</v>
      </c>
      <c r="D4426" s="27" t="s">
        <v>1105</v>
      </c>
      <c r="E4426" s="21">
        <f>IF(D4426="?OLD","!!!","")</f>
        <v/>
      </c>
      <c r="F4426" s="22" t="str">
        <f>IF(OR(E4426="",E4426="!!!"),"",IF(NOT(ISNA(VLOOKUP(E4426,E$1:E4425,1,FALSE()))),"OLD",IF(AND(E4426&lt;&gt;"",E4426&lt;&gt;"!!!"),"NEW","")))</f>
        <v> </v>
      </c>
      <c r="G4426" s="23" t="str">
        <f>IF(OR(E4426="",E4426="!!!"),"",IF(OR(J4426=0,AND(J4426=1,K4426=1),AND(J4426=1,I4426="SBJ"),AND(J4426=1,I4426=0)),"?IN_FOCUS",IF(J4426&lt;=2,"?ACTIVATED",IF(J4426&lt;&gt;"","?FAMILIAR",IF(F4426="NEW",IF(ISNA(VLOOKUP(E4426,#REF!,1,FALSE())),"?TYPE_IDENTIFIABLE","?REFERENTIAL"),"_")))))</f>
        <v> </v>
      </c>
      <c r="H4426" s="24" t="str">
        <f>IF(J4426&lt;&gt;1,"",IF(I4426="SBJ","CB","?"))</f>
        <v> </v>
      </c>
      <c r="I4426" s="25" t="str">
        <f>IF(OR(E4426="",E4426="!!!",F4426="NEW"),"",INDEX(B4425:B$2,-1+SUMPRODUCT(MAX(ROW(E4425:E$2)*(E4426=E4425:E$2)))))</f>
        <v> </v>
      </c>
      <c r="J4426" s="25" t="str">
        <f>IF(OR(E4426="",E4426="!!!",F4426="NEW"),"",COUNTBLANK(OFFSET(A$1,,,SUMPRODUCT(MAX(ROW(E$2:E4426)*(E4426=E$2:E4426)))))-COUNTBLANK(OFFSET(A$1,,,SUMPRODUCT(MAX(ROW(E$1:E4425)*(E2=E$1:E4425))))))</f>
        <v> </v>
      </c>
      <c r="K4426" s="25" t="str">
        <f>IF(OR(E4426="",E4426="!!!",F4426="NEW"),"",INDEX(J$1:J4425,SUMPRODUCT(MAX(ROW(E$1:E4425)*(E4426=E$1:E4425)))))</f>
        <v> </v>
      </c>
      <c r="L4426" s="26"/>
    </row>
    <row r="4427" spans="1:12">
      <c r="A4427" s="20" t="s">
        <v>1123</v>
      </c>
      <c r="E4427" s="21">
        <f>IF(D4427="?OLD","!!!","")</f>
        <v/>
      </c>
      <c r="F4427" s="22" t="str">
        <f>IF(OR(E4427="",E4427="!!!"),"",IF(NOT(ISNA(VLOOKUP(E4427,E$1:E4426,1,FALSE()))),"OLD",IF(AND(E4427&lt;&gt;"",E4427&lt;&gt;"!!!"),"NEW","")))</f>
        <v> </v>
      </c>
      <c r="G4427" s="23" t="str">
        <f>IF(OR(E4427="",E4427="!!!"),"",IF(OR(J4427=0,AND(J4427=1,K4427=1),AND(J4427=1,I4427="SBJ"),AND(J4427=1,I4427=0)),"?IN_FOCUS",IF(J4427&lt;=2,"?ACTIVATED",IF(J4427&lt;&gt;"","?FAMILIAR",IF(F4427="NEW",IF(ISNA(VLOOKUP(E4427,#REF!,1,FALSE())),"?TYPE_IDENTIFIABLE","?REFERENTIAL"),"_")))))</f>
        <v> </v>
      </c>
      <c r="H4427" s="24" t="str">
        <f>IF(J4427&lt;&gt;1,"",IF(I4427="SBJ","CB","?"))</f>
        <v> </v>
      </c>
      <c r="I4427" s="25" t="str">
        <f>IF(OR(E4427="",E4427="!!!",F4427="NEW"),"",INDEX(B4426:B$2,-1+SUMPRODUCT(MAX(ROW(E4426:E$2)*(E4427=E4426:E$2)))))</f>
        <v> </v>
      </c>
      <c r="J4427" s="25" t="str">
        <f>IF(OR(E4427="",E4427="!!!",F4427="NEW"),"",COUNTBLANK(OFFSET(A$1,,,SUMPRODUCT(MAX(ROW(E$2:E4427)*(E4427=E$2:E4427)))))-COUNTBLANK(OFFSET(A$1,,,SUMPRODUCT(MAX(ROW(E$1:E4426)*(E2=E$1:E4426))))))</f>
        <v> </v>
      </c>
      <c r="K4427" s="25" t="str">
        <f>IF(OR(E4427="",E4427="!!!",F4427="NEW"),"",INDEX(J$1:J4426,SUMPRODUCT(MAX(ROW(E$1:E4426)*(E4427=E$1:E4426)))))</f>
        <v> </v>
      </c>
      <c r="L4427" s="26"/>
    </row>
    <row r="4428" spans="1:12">
      <c r="A4428" s="20" t="s">
        <v>1128</v>
      </c>
      <c r="E4428" s="21">
        <f>IF(D4428="?OLD","!!!","")</f>
        <v/>
      </c>
      <c r="F4428" s="22" t="str">
        <f>IF(OR(E4428="",E4428="!!!"),"",IF(NOT(ISNA(VLOOKUP(E4428,E$1:E4427,1,FALSE()))),"OLD",IF(AND(E4428&lt;&gt;"",E4428&lt;&gt;"!!!"),"NEW","")))</f>
        <v> </v>
      </c>
      <c r="G4428" s="23" t="str">
        <f>IF(OR(E4428="",E4428="!!!"),"",IF(OR(J4428=0,AND(J4428=1,K4428=1),AND(J4428=1,I4428="SBJ"),AND(J4428=1,I4428=0)),"?IN_FOCUS",IF(J4428&lt;=2,"?ACTIVATED",IF(J4428&lt;&gt;"","?FAMILIAR",IF(F4428="NEW",IF(ISNA(VLOOKUP(E4428,#REF!,1,FALSE())),"?TYPE_IDENTIFIABLE","?REFERENTIAL"),"_")))))</f>
        <v> </v>
      </c>
      <c r="H4428" s="24" t="str">
        <f>IF(J4428&lt;&gt;1,"",IF(I4428="SBJ","CB","?"))</f>
        <v> </v>
      </c>
      <c r="I4428" s="25" t="str">
        <f>IF(OR(E4428="",E4428="!!!",F4428="NEW"),"",INDEX(B4427:B$2,-1+SUMPRODUCT(MAX(ROW(E4427:E$2)*(E4428=E4427:E$2)))))</f>
        <v> </v>
      </c>
      <c r="J4428" s="25" t="str">
        <f>IF(OR(E4428="",E4428="!!!",F4428="NEW"),"",COUNTBLANK(OFFSET(A$1,,,SUMPRODUCT(MAX(ROW(E$2:E4428)*(E4428=E$2:E4428)))))-COUNTBLANK(OFFSET(A$1,,,SUMPRODUCT(MAX(ROW(E$1:E4427)*(E2=E$1:E4427))))))</f>
        <v> </v>
      </c>
      <c r="K4428" s="25" t="str">
        <f>IF(OR(E4428="",E4428="!!!",F4428="NEW"),"",INDEX(J$1:J4427,SUMPRODUCT(MAX(ROW(E$1:E4427)*(E4428=E$1:E4427)))))</f>
        <v> </v>
      </c>
      <c r="L4428" s="26"/>
    </row>
    <row r="4429" spans="1:12">
      <c r="A4429" s="20" t="s">
        <v>1124</v>
      </c>
      <c r="B4429" s="27" t="s">
        <v>1259</v>
      </c>
      <c r="C4429" s="27" t="s">
        <v>1126</v>
      </c>
      <c r="D4429" s="27" t="s">
        <v>1105</v>
      </c>
      <c r="E4429" s="21">
        <f>IF(D4429="?OLD","!!!","")</f>
        <v/>
      </c>
      <c r="F4429" s="22" t="str">
        <f>IF(OR(E4429="",E4429="!!!"),"",IF(NOT(ISNA(VLOOKUP(E4429,E$1:E4428,1,FALSE()))),"OLD",IF(AND(E4429&lt;&gt;"",E4429&lt;&gt;"!!!"),"NEW","")))</f>
        <v> </v>
      </c>
      <c r="G4429" s="23" t="str">
        <f>IF(OR(E4429="",E4429="!!!"),"",IF(OR(J4429=0,AND(J4429=1,K4429=1),AND(J4429=1,I4429="SBJ"),AND(J4429=1,I4429=0)),"?IN_FOCUS",IF(J4429&lt;=2,"?ACTIVATED",IF(J4429&lt;&gt;"","?FAMILIAR",IF(F4429="NEW",IF(ISNA(VLOOKUP(E4429,#REF!,1,FALSE())),"?TYPE_IDENTIFIABLE","?REFERENTIAL"),"_")))))</f>
        <v> </v>
      </c>
      <c r="H4429" s="24" t="str">
        <f>IF(J4429&lt;&gt;1,"",IF(I4429="SBJ","CB","?"))</f>
        <v> </v>
      </c>
      <c r="I4429" s="25" t="str">
        <f>IF(OR(E4429="",E4429="!!!",F4429="NEW"),"",INDEX(B4428:B$2,-1+SUMPRODUCT(MAX(ROW(E4428:E$2)*(E4429=E4428:E$2)))))</f>
        <v> </v>
      </c>
      <c r="J4429" s="25" t="str">
        <f>IF(OR(E4429="",E4429="!!!",F4429="NEW"),"",COUNTBLANK(OFFSET(A$1,,,SUMPRODUCT(MAX(ROW(E$2:E4429)*(E4429=E$2:E4429)))))-COUNTBLANK(OFFSET(A$1,,,SUMPRODUCT(MAX(ROW(E$1:E4428)*(E2=E$1:E4428))))))</f>
        <v> </v>
      </c>
      <c r="K4429" s="25" t="str">
        <f>IF(OR(E4429="",E4429="!!!",F4429="NEW"),"",INDEX(J$1:J4428,SUMPRODUCT(MAX(ROW(E$1:E4428)*(E4429=E$1:E4428)))))</f>
        <v> </v>
      </c>
      <c r="L4429" s="26"/>
    </row>
    <row r="4430" spans="1:12">
      <c r="A4430" s="20" t="s">
        <v>3054</v>
      </c>
      <c r="E4430" s="21">
        <f>IF(D4430="?OLD","!!!","")</f>
        <v/>
      </c>
      <c r="F4430" s="22" t="str">
        <f>IF(OR(E4430="",E4430="!!!"),"",IF(NOT(ISNA(VLOOKUP(E4430,E$1:E4429,1,FALSE()))),"OLD",IF(AND(E4430&lt;&gt;"",E4430&lt;&gt;"!!!"),"NEW","")))</f>
        <v> </v>
      </c>
      <c r="G4430" s="23" t="str">
        <f>IF(OR(E4430="",E4430="!!!"),"",IF(OR(J4430=0,AND(J4430=1,K4430=1),AND(J4430=1,I4430="SBJ"),AND(J4430=1,I4430=0)),"?IN_FOCUS",IF(J4430&lt;=2,"?ACTIVATED",IF(J4430&lt;&gt;"","?FAMILIAR",IF(F4430="NEW",IF(ISNA(VLOOKUP(E4430,#REF!,1,FALSE())),"?TYPE_IDENTIFIABLE","?REFERENTIAL"),"_")))))</f>
        <v> </v>
      </c>
      <c r="H4430" s="24" t="str">
        <f>IF(J4430&lt;&gt;1,"",IF(I4430="SBJ","CB","?"))</f>
        <v> </v>
      </c>
      <c r="I4430" s="25" t="str">
        <f>IF(OR(E4430="",E4430="!!!",F4430="NEW"),"",INDEX(B4429:B$2,-1+SUMPRODUCT(MAX(ROW(E4429:E$2)*(E4430=E4429:E$2)))))</f>
        <v> </v>
      </c>
      <c r="J4430" s="25" t="str">
        <f>IF(OR(E4430="",E4430="!!!",F4430="NEW"),"",COUNTBLANK(OFFSET(A$1,,,SUMPRODUCT(MAX(ROW(E$2:E4430)*(E4430=E$2:E4430)))))-COUNTBLANK(OFFSET(A$1,,,SUMPRODUCT(MAX(ROW(E$1:E4429)*(E2=E$1:E4429))))))</f>
        <v> </v>
      </c>
      <c r="K4430" s="25" t="str">
        <f>IF(OR(E4430="",E4430="!!!",F4430="NEW"),"",INDEX(J$1:J4429,SUMPRODUCT(MAX(ROW(E$1:E4429)*(E4430=E$1:E4429)))))</f>
        <v> </v>
      </c>
      <c r="L4430" s="26"/>
    </row>
    <row r="4431" spans="1:12">
      <c r="A4431" s="20" t="s">
        <v>3055</v>
      </c>
      <c r="E4431" s="21">
        <f>IF(D4431="?OLD","!!!","")</f>
        <v/>
      </c>
      <c r="F4431" s="22" t="str">
        <f>IF(OR(E4431="",E4431="!!!"),"",IF(NOT(ISNA(VLOOKUP(E4431,E$1:E4430,1,FALSE()))),"OLD",IF(AND(E4431&lt;&gt;"",E4431&lt;&gt;"!!!"),"NEW","")))</f>
        <v> </v>
      </c>
      <c r="G4431" s="23" t="str">
        <f>IF(OR(E4431="",E4431="!!!"),"",IF(OR(J4431=0,AND(J4431=1,K4431=1),AND(J4431=1,I4431="SBJ"),AND(J4431=1,I4431=0)),"?IN_FOCUS",IF(J4431&lt;=2,"?ACTIVATED",IF(J4431&lt;&gt;"","?FAMILIAR",IF(F4431="NEW",IF(ISNA(VLOOKUP(E4431,#REF!,1,FALSE())),"?TYPE_IDENTIFIABLE","?REFERENTIAL"),"_")))))</f>
        <v> </v>
      </c>
      <c r="H4431" s="24" t="str">
        <f>IF(J4431&lt;&gt;1,"",IF(I4431="SBJ","CB","?"))</f>
        <v> </v>
      </c>
      <c r="I4431" s="25" t="str">
        <f>IF(OR(E4431="",E4431="!!!",F4431="NEW"),"",INDEX(B4430:B$2,-1+SUMPRODUCT(MAX(ROW(E4430:E$2)*(E4431=E4430:E$2)))))</f>
        <v> </v>
      </c>
      <c r="J4431" s="25" t="str">
        <f>IF(OR(E4431="",E4431="!!!",F4431="NEW"),"",COUNTBLANK(OFFSET(A$1,,,SUMPRODUCT(MAX(ROW(E$2:E4431)*(E4431=E$2:E4431)))))-COUNTBLANK(OFFSET(A$1,,,SUMPRODUCT(MAX(ROW(E$1:E4430)*(E2=E$1:E4430))))))</f>
        <v> </v>
      </c>
      <c r="K4431" s="25" t="str">
        <f>IF(OR(E4431="",E4431="!!!",F4431="NEW"),"",INDEX(J$1:J4430,SUMPRODUCT(MAX(ROW(E$1:E4430)*(E4431=E$1:E4430)))))</f>
        <v> </v>
      </c>
      <c r="L4431" s="26"/>
    </row>
    <row r="4432" spans="1:12">
      <c r="A4432" s="20" t="s">
        <v>3056</v>
      </c>
      <c r="E4432" s="21">
        <f>IF(D4432="?OLD","!!!","")</f>
        <v/>
      </c>
      <c r="F4432" s="22" t="str">
        <f>IF(OR(E4432="",E4432="!!!"),"",IF(NOT(ISNA(VLOOKUP(E4432,E$1:E4431,1,FALSE()))),"OLD",IF(AND(E4432&lt;&gt;"",E4432&lt;&gt;"!!!"),"NEW","")))</f>
        <v> </v>
      </c>
      <c r="G4432" s="23" t="str">
        <f>IF(OR(E4432="",E4432="!!!"),"",IF(OR(J4432=0,AND(J4432=1,K4432=1),AND(J4432=1,I4432="SBJ"),AND(J4432=1,I4432=0)),"?IN_FOCUS",IF(J4432&lt;=2,"?ACTIVATED",IF(J4432&lt;&gt;"","?FAMILIAR",IF(F4432="NEW",IF(ISNA(VLOOKUP(E4432,#REF!,1,FALSE())),"?TYPE_IDENTIFIABLE","?REFERENTIAL"),"_")))))</f>
        <v> </v>
      </c>
      <c r="H4432" s="24" t="str">
        <f>IF(J4432&lt;&gt;1,"",IF(I4432="SBJ","CB","?"))</f>
        <v> </v>
      </c>
      <c r="I4432" s="25" t="str">
        <f>IF(OR(E4432="",E4432="!!!",F4432="NEW"),"",INDEX(B4431:B$2,-1+SUMPRODUCT(MAX(ROW(E4431:E$2)*(E4432=E4431:E$2)))))</f>
        <v> </v>
      </c>
      <c r="J4432" s="25" t="str">
        <f>IF(OR(E4432="",E4432="!!!",F4432="NEW"),"",COUNTBLANK(OFFSET(A$1,,,SUMPRODUCT(MAX(ROW(E$2:E4432)*(E4432=E$2:E4432)))))-COUNTBLANK(OFFSET(A$1,,,SUMPRODUCT(MAX(ROW(E$1:E4431)*(E2=E$1:E4431))))))</f>
        <v> </v>
      </c>
      <c r="K4432" s="25" t="str">
        <f>IF(OR(E4432="",E4432="!!!",F4432="NEW"),"",INDEX(J$1:J4431,SUMPRODUCT(MAX(ROW(E$1:E4431)*(E4432=E$1:E4431)))))</f>
        <v> </v>
      </c>
      <c r="L4432" s="26"/>
    </row>
    <row r="4433" spans="1:12">
      <c r="A4433" s="20" t="s">
        <v>3057</v>
      </c>
      <c r="B4433" s="27" t="s">
        <v>1132</v>
      </c>
      <c r="C4433" s="27" t="s">
        <v>1116</v>
      </c>
      <c r="E4433" s="21">
        <f>IF(D4433="?OLD","!!!","")</f>
        <v/>
      </c>
      <c r="F4433" s="22" t="str">
        <f>IF(OR(E4433="",E4433="!!!"),"",IF(NOT(ISNA(VLOOKUP(E4433,E$1:E4432,1,FALSE()))),"OLD",IF(AND(E4433&lt;&gt;"",E4433&lt;&gt;"!!!"),"NEW","")))</f>
        <v> </v>
      </c>
      <c r="G4433" s="23" t="str">
        <f>IF(OR(E4433="",E4433="!!!"),"",IF(OR(J4433=0,AND(J4433=1,K4433=1),AND(J4433=1,I4433="SBJ"),AND(J4433=1,I4433=0)),"?IN_FOCUS",IF(J4433&lt;=2,"?ACTIVATED",IF(J4433&lt;&gt;"","?FAMILIAR",IF(F4433="NEW",IF(ISNA(VLOOKUP(E4433,#REF!,1,FALSE())),"?TYPE_IDENTIFIABLE","?REFERENTIAL"),"_")))))</f>
        <v> </v>
      </c>
      <c r="H4433" s="24" t="str">
        <f>IF(J4433&lt;&gt;1,"",IF(I4433="SBJ","CB","?"))</f>
        <v> </v>
      </c>
      <c r="I4433" s="25" t="str">
        <f>IF(OR(E4433="",E4433="!!!",F4433="NEW"),"",INDEX(B4432:B$2,-1+SUMPRODUCT(MAX(ROW(E4432:E$2)*(E4433=E4432:E$2)))))</f>
        <v> </v>
      </c>
      <c r="J4433" s="25" t="str">
        <f>IF(OR(E4433="",E4433="!!!",F4433="NEW"),"",COUNTBLANK(OFFSET(A$1,,,SUMPRODUCT(MAX(ROW(E$2:E4433)*(E4433=E$2:E4433)))))-COUNTBLANK(OFFSET(A$1,,,SUMPRODUCT(MAX(ROW(E$1:E4432)*(E2=E$1:E4432))))))</f>
        <v> </v>
      </c>
      <c r="K4433" s="25" t="str">
        <f>IF(OR(E4433="",E4433="!!!",F4433="NEW"),"",INDEX(J$1:J4432,SUMPRODUCT(MAX(ROW(E$1:E4432)*(E4433=E$1:E4432)))))</f>
        <v> </v>
      </c>
      <c r="L4433" s="26"/>
    </row>
    <row r="4434" spans="1:12">
      <c r="A4434" s="20" t="s">
        <v>1130</v>
      </c>
      <c r="E4434" s="21">
        <f>IF(D4434="?OLD","!!!","")</f>
        <v/>
      </c>
      <c r="F4434" s="22" t="str">
        <f>IF(OR(E4434="",E4434="!!!"),"",IF(NOT(ISNA(VLOOKUP(E4434,E$1:E4433,1,FALSE()))),"OLD",IF(AND(E4434&lt;&gt;"",E4434&lt;&gt;"!!!"),"NEW","")))</f>
        <v> </v>
      </c>
      <c r="G4434" s="23" t="str">
        <f>IF(OR(E4434="",E4434="!!!"),"",IF(OR(J4434=0,AND(J4434=1,K4434=1),AND(J4434=1,I4434="SBJ"),AND(J4434=1,I4434=0)),"?IN_FOCUS",IF(J4434&lt;=2,"?ACTIVATED",IF(J4434&lt;&gt;"","?FAMILIAR",IF(F4434="NEW",IF(ISNA(VLOOKUP(E4434,#REF!,1,FALSE())),"?TYPE_IDENTIFIABLE","?REFERENTIAL"),"_")))))</f>
        <v> </v>
      </c>
      <c r="H4434" s="24" t="str">
        <f>IF(J4434&lt;&gt;1,"",IF(I4434="SBJ","CB","?"))</f>
        <v> </v>
      </c>
      <c r="I4434" s="25" t="str">
        <f>IF(OR(E4434="",E4434="!!!",F4434="NEW"),"",INDEX(B4433:B$2,-1+SUMPRODUCT(MAX(ROW(E4433:E$2)*(E4434=E4433:E$2)))))</f>
        <v> </v>
      </c>
      <c r="J4434" s="25" t="str">
        <f>IF(OR(E4434="",E4434="!!!",F4434="NEW"),"",COUNTBLANK(OFFSET(A$1,,,SUMPRODUCT(MAX(ROW(E$2:E4434)*(E4434=E$2:E4434)))))-COUNTBLANK(OFFSET(A$1,,,SUMPRODUCT(MAX(ROW(E$1:E4433)*(E2=E$1:E4433))))))</f>
        <v> </v>
      </c>
      <c r="K4434" s="25" t="str">
        <f>IF(OR(E4434="",E4434="!!!",F4434="NEW"),"",INDEX(J$1:J4433,SUMPRODUCT(MAX(ROW(E$1:E4433)*(E4434=E$1:E4433)))))</f>
        <v> </v>
      </c>
      <c r="L4434" s="26"/>
    </row>
    <row r="4435" spans="1:12">
      <c r="A4435" s="20" t="s">
        <v>2704</v>
      </c>
      <c r="E4435" s="21">
        <f>IF(D4435="?OLD","!!!","")</f>
        <v/>
      </c>
      <c r="F4435" s="22" t="str">
        <f>IF(OR(E4435="",E4435="!!!"),"",IF(NOT(ISNA(VLOOKUP(E4435,E$1:E4434,1,FALSE()))),"OLD",IF(AND(E4435&lt;&gt;"",E4435&lt;&gt;"!!!"),"NEW","")))</f>
        <v> </v>
      </c>
      <c r="G4435" s="23" t="str">
        <f>IF(OR(E4435="",E4435="!!!"),"",IF(OR(J4435=0,AND(J4435=1,K4435=1),AND(J4435=1,I4435="SBJ"),AND(J4435=1,I4435=0)),"?IN_FOCUS",IF(J4435&lt;=2,"?ACTIVATED",IF(J4435&lt;&gt;"","?FAMILIAR",IF(F4435="NEW",IF(ISNA(VLOOKUP(E4435,#REF!,1,FALSE())),"?TYPE_IDENTIFIABLE","?REFERENTIAL"),"_")))))</f>
        <v> </v>
      </c>
      <c r="H4435" s="24" t="str">
        <f>IF(J4435&lt;&gt;1,"",IF(I4435="SBJ","CB","?"))</f>
        <v> </v>
      </c>
      <c r="I4435" s="25" t="str">
        <f>IF(OR(E4435="",E4435="!!!",F4435="NEW"),"",INDEX(B4434:B$2,-1+SUMPRODUCT(MAX(ROW(E4434:E$2)*(E4435=E4434:E$2)))))</f>
        <v> </v>
      </c>
      <c r="J4435" s="25" t="str">
        <f>IF(OR(E4435="",E4435="!!!",F4435="NEW"),"",COUNTBLANK(OFFSET(A$1,,,SUMPRODUCT(MAX(ROW(E$2:E4435)*(E4435=E$2:E4435)))))-COUNTBLANK(OFFSET(A$1,,,SUMPRODUCT(MAX(ROW(E$1:E4434)*(E2=E$1:E4434))))))</f>
        <v> </v>
      </c>
      <c r="K4435" s="25" t="str">
        <f>IF(OR(E4435="",E4435="!!!",F4435="NEW"),"",INDEX(J$1:J4434,SUMPRODUCT(MAX(ROW(E$1:E4434)*(E4435=E$1:E4434)))))</f>
        <v> </v>
      </c>
      <c r="L4435" s="26"/>
    </row>
    <row r="4436" spans="1:12">
      <c r="A4436" s="20" t="s">
        <v>3058</v>
      </c>
      <c r="B4436" s="27" t="s">
        <v>1307</v>
      </c>
      <c r="C4436" s="27" t="s">
        <v>1108</v>
      </c>
      <c r="D4436" s="27" t="s">
        <v>1105</v>
      </c>
      <c r="E4436" s="21">
        <f>IF(D4436="?OLD","!!!","")</f>
        <v/>
      </c>
      <c r="F4436" s="22" t="str">
        <f>IF(OR(E4436="",E4436="!!!"),"",IF(NOT(ISNA(VLOOKUP(E4436,E$1:E4435,1,FALSE()))),"OLD",IF(AND(E4436&lt;&gt;"",E4436&lt;&gt;"!!!"),"NEW","")))</f>
        <v> </v>
      </c>
      <c r="G4436" s="23" t="str">
        <f>IF(OR(E4436="",E4436="!!!"),"",IF(OR(J4436=0,AND(J4436=1,K4436=1),AND(J4436=1,I4436="SBJ"),AND(J4436=1,I4436=0)),"?IN_FOCUS",IF(J4436&lt;=2,"?ACTIVATED",IF(J4436&lt;&gt;"","?FAMILIAR",IF(F4436="NEW",IF(ISNA(VLOOKUP(E4436,#REF!,1,FALSE())),"?TYPE_IDENTIFIABLE","?REFERENTIAL"),"_")))))</f>
        <v> </v>
      </c>
      <c r="H4436" s="24" t="str">
        <f>IF(J4436&lt;&gt;1,"",IF(I4436="SBJ","CB","?"))</f>
        <v> </v>
      </c>
      <c r="I4436" s="25" t="str">
        <f>IF(OR(E4436="",E4436="!!!",F4436="NEW"),"",INDEX(B4435:B$2,-1+SUMPRODUCT(MAX(ROW(E4435:E$2)*(E4436=E4435:E$2)))))</f>
        <v> </v>
      </c>
      <c r="J4436" s="25" t="str">
        <f>IF(OR(E4436="",E4436="!!!",F4436="NEW"),"",COUNTBLANK(OFFSET(A$1,,,SUMPRODUCT(MAX(ROW(E$2:E4436)*(E4436=E$2:E4436)))))-COUNTBLANK(OFFSET(A$1,,,SUMPRODUCT(MAX(ROW(E$1:E4435)*(E2=E$1:E4435))))))</f>
        <v> </v>
      </c>
      <c r="K4436" s="25" t="str">
        <f>IF(OR(E4436="",E4436="!!!",F4436="NEW"),"",INDEX(J$1:J4435,SUMPRODUCT(MAX(ROW(E$1:E4435)*(E4436=E$1:E4435)))))</f>
        <v> </v>
      </c>
      <c r="L4436" s="26"/>
    </row>
    <row r="4437" spans="1:12">
      <c r="A4437" s="20" t="s">
        <v>1145</v>
      </c>
      <c r="E4437" s="21">
        <f>IF(D4437="?OLD","!!!","")</f>
        <v/>
      </c>
      <c r="F4437" s="22" t="str">
        <f>IF(OR(E4437="",E4437="!!!"),"",IF(NOT(ISNA(VLOOKUP(E4437,E$1:E4436,1,FALSE()))),"OLD",IF(AND(E4437&lt;&gt;"",E4437&lt;&gt;"!!!"),"NEW","")))</f>
        <v> </v>
      </c>
      <c r="G4437" s="23" t="str">
        <f>IF(OR(E4437="",E4437="!!!"),"",IF(OR(J4437=0,AND(J4437=1,K4437=1),AND(J4437=1,I4437="SBJ"),AND(J4437=1,I4437=0)),"?IN_FOCUS",IF(J4437&lt;=2,"?ACTIVATED",IF(J4437&lt;&gt;"","?FAMILIAR",IF(F4437="NEW",IF(ISNA(VLOOKUP(E4437,#REF!,1,FALSE())),"?TYPE_IDENTIFIABLE","?REFERENTIAL"),"_")))))</f>
        <v> </v>
      </c>
      <c r="H4437" s="24" t="str">
        <f>IF(J4437&lt;&gt;1,"",IF(I4437="SBJ","CB","?"))</f>
        <v> </v>
      </c>
      <c r="I4437" s="25" t="str">
        <f>IF(OR(E4437="",E4437="!!!",F4437="NEW"),"",INDEX(B4436:B$2,-1+SUMPRODUCT(MAX(ROW(E4436:E$2)*(E4437=E4436:E$2)))))</f>
        <v> </v>
      </c>
      <c r="J4437" s="25" t="str">
        <f>IF(OR(E4437="",E4437="!!!",F4437="NEW"),"",COUNTBLANK(OFFSET(A$1,,,SUMPRODUCT(MAX(ROW(E$2:E4437)*(E4437=E$2:E4437)))))-COUNTBLANK(OFFSET(A$1,,,SUMPRODUCT(MAX(ROW(E$1:E4436)*(E2=E$1:E4436))))))</f>
        <v> </v>
      </c>
      <c r="K4437" s="25" t="str">
        <f>IF(OR(E4437="",E4437="!!!",F4437="NEW"),"",INDEX(J$1:J4436,SUMPRODUCT(MAX(ROW(E$1:E4436)*(E4437=E$1:E4436)))))</f>
        <v> </v>
      </c>
      <c r="L4437" s="26"/>
    </row>
    <row r="4438" spans="1:12">
      <c r="A4438" s="20"/>
    </row>
    <row r="4439" spans="1:12">
      <c r="A4439" s="20" t="s">
        <v>3059</v>
      </c>
    </row>
    <row r="4440" spans="1:12">
      <c r="A4440" s="20" t="s">
        <v>1406</v>
      </c>
      <c r="E4440" s="21">
        <f>IF(D4440="?OLD","!!!","")</f>
        <v/>
      </c>
      <c r="F4440" s="22" t="str">
        <f>IF(OR(E4440="",E4440="!!!"),"",IF(NOT(ISNA(VLOOKUP(E4440,E$1:E4439,1,FALSE()))),"OLD",IF(AND(E4440&lt;&gt;"",E4440&lt;&gt;"!!!"),"NEW","")))</f>
        <v> </v>
      </c>
      <c r="G4440" s="23" t="str">
        <f>IF(OR(E4440="",E4440="!!!"),"",IF(OR(J4440=0,AND(J4440=1,K4440=1),AND(J4440=1,I4440="SBJ"),AND(J4440=1,I4440=0)),"?IN_FOCUS",IF(J4440&lt;=2,"?ACTIVATED",IF(J4440&lt;&gt;"","?FAMILIAR",IF(F4440="NEW",IF(ISNA(VLOOKUP(E4440,#REF!,1,FALSE())),"?TYPE_IDENTIFIABLE","?REFERENTIAL"),"_")))))</f>
        <v> </v>
      </c>
      <c r="H4440" s="24" t="str">
        <f>IF(J4440&lt;&gt;1,"",IF(I4440="SBJ","CB","?"))</f>
        <v> </v>
      </c>
      <c r="I4440" s="25" t="str">
        <f>IF(OR(E4440="",E4440="!!!",F4440="NEW"),"",INDEX(B4439:B$2,-1+SUMPRODUCT(MAX(ROW(E4439:E$2)*(E4440=E4439:E$2)))))</f>
        <v> </v>
      </c>
      <c r="J4440" s="25" t="str">
        <f>IF(OR(E4440="",E4440="!!!",F4440="NEW"),"",COUNTBLANK(OFFSET(A$1,,,SUMPRODUCT(MAX(ROW(E$2:E4440)*(E4440=E$2:E4440)))))-COUNTBLANK(OFFSET(A$1,,,SUMPRODUCT(MAX(ROW(E$1:E4439)*(E2=E$1:E4439))))))</f>
        <v> </v>
      </c>
      <c r="K4440" s="25" t="str">
        <f>IF(OR(E4440="",E4440="!!!",F4440="NEW"),"",INDEX(J$1:J4439,SUMPRODUCT(MAX(ROW(E$1:E4439)*(E4440=E$1:E4439)))))</f>
        <v> </v>
      </c>
      <c r="L4440" s="26"/>
    </row>
    <row r="4441" spans="1:12">
      <c r="A4441" s="20" t="s">
        <v>3060</v>
      </c>
      <c r="E4441" s="21">
        <f>IF(D4441="?OLD","!!!","")</f>
        <v/>
      </c>
      <c r="F4441" s="22" t="str">
        <f>IF(OR(E4441="",E4441="!!!"),"",IF(NOT(ISNA(VLOOKUP(E4441,E$1:E4440,1,FALSE()))),"OLD",IF(AND(E4441&lt;&gt;"",E4441&lt;&gt;"!!!"),"NEW","")))</f>
        <v> </v>
      </c>
      <c r="G4441" s="23" t="str">
        <f>IF(OR(E4441="",E4441="!!!"),"",IF(OR(J4441=0,AND(J4441=1,K4441=1),AND(J4441=1,I4441="SBJ"),AND(J4441=1,I4441=0)),"?IN_FOCUS",IF(J4441&lt;=2,"?ACTIVATED",IF(J4441&lt;&gt;"","?FAMILIAR",IF(F4441="NEW",IF(ISNA(VLOOKUP(E4441,#REF!,1,FALSE())),"?TYPE_IDENTIFIABLE","?REFERENTIAL"),"_")))))</f>
        <v> </v>
      </c>
      <c r="H4441" s="24" t="str">
        <f>IF(J4441&lt;&gt;1,"",IF(I4441="SBJ","CB","?"))</f>
        <v> </v>
      </c>
      <c r="I4441" s="25" t="str">
        <f>IF(OR(E4441="",E4441="!!!",F4441="NEW"),"",INDEX(B4440:B$2,-1+SUMPRODUCT(MAX(ROW(E4440:E$2)*(E4441=E4440:E$2)))))</f>
        <v> </v>
      </c>
      <c r="J4441" s="25" t="str">
        <f>IF(OR(E4441="",E4441="!!!",F4441="NEW"),"",COUNTBLANK(OFFSET(A$1,,,SUMPRODUCT(MAX(ROW(E$2:E4441)*(E4441=E$2:E4441)))))-COUNTBLANK(OFFSET(A$1,,,SUMPRODUCT(MAX(ROW(E$1:E4440)*(E2=E$1:E4440))))))</f>
        <v> </v>
      </c>
      <c r="K4441" s="25" t="str">
        <f>IF(OR(E4441="",E4441="!!!",F4441="NEW"),"",INDEX(J$1:J4440,SUMPRODUCT(MAX(ROW(E$1:E4440)*(E4441=E$1:E4440)))))</f>
        <v> </v>
      </c>
      <c r="L4441" s="26"/>
    </row>
    <row r="4442" spans="1:12">
      <c r="A4442" s="20" t="s">
        <v>1123</v>
      </c>
      <c r="E4442" s="21">
        <f>IF(D4442="?OLD","!!!","")</f>
        <v/>
      </c>
      <c r="F4442" s="22" t="str">
        <f>IF(OR(E4442="",E4442="!!!"),"",IF(NOT(ISNA(VLOOKUP(E4442,E$1:E4441,1,FALSE()))),"OLD",IF(AND(E4442&lt;&gt;"",E4442&lt;&gt;"!!!"),"NEW","")))</f>
        <v> </v>
      </c>
      <c r="G4442" s="23" t="str">
        <f>IF(OR(E4442="",E4442="!!!"),"",IF(OR(J4442=0,AND(J4442=1,K4442=1),AND(J4442=1,I4442="SBJ"),AND(J4442=1,I4442=0)),"?IN_FOCUS",IF(J4442&lt;=2,"?ACTIVATED",IF(J4442&lt;&gt;"","?FAMILIAR",IF(F4442="NEW",IF(ISNA(VLOOKUP(E4442,#REF!,1,FALSE())),"?TYPE_IDENTIFIABLE","?REFERENTIAL"),"_")))))</f>
        <v> </v>
      </c>
      <c r="H4442" s="24" t="str">
        <f>IF(J4442&lt;&gt;1,"",IF(I4442="SBJ","CB","?"))</f>
        <v> </v>
      </c>
      <c r="I4442" s="25" t="str">
        <f>IF(OR(E4442="",E4442="!!!",F4442="NEW"),"",INDEX(B4441:B$2,-1+SUMPRODUCT(MAX(ROW(E4441:E$2)*(E4442=E4441:E$2)))))</f>
        <v> </v>
      </c>
      <c r="J4442" s="25" t="str">
        <f>IF(OR(E4442="",E4442="!!!",F4442="NEW"),"",COUNTBLANK(OFFSET(A$1,,,SUMPRODUCT(MAX(ROW(E$2:E4442)*(E4442=E$2:E4442)))))-COUNTBLANK(OFFSET(A$1,,,SUMPRODUCT(MAX(ROW(E$1:E4441)*(E2=E$1:E4441))))))</f>
        <v> </v>
      </c>
      <c r="K4442" s="25" t="str">
        <f>IF(OR(E4442="",E4442="!!!",F4442="NEW"),"",INDEX(J$1:J4441,SUMPRODUCT(MAX(ROW(E$1:E4441)*(E4442=E$1:E4441)))))</f>
        <v> </v>
      </c>
      <c r="L4442" s="26"/>
    </row>
    <row r="4443" spans="1:12">
      <c r="A4443" s="20" t="s">
        <v>135</v>
      </c>
      <c r="E4443" s="21">
        <f>IF(D4443="?OLD","!!!","")</f>
        <v/>
      </c>
      <c r="F4443" s="22" t="str">
        <f>IF(OR(E4443="",E4443="!!!"),"",IF(NOT(ISNA(VLOOKUP(E4443,E$1:E4442,1,FALSE()))),"OLD",IF(AND(E4443&lt;&gt;"",E4443&lt;&gt;"!!!"),"NEW","")))</f>
        <v> </v>
      </c>
      <c r="G4443" s="23" t="str">
        <f>IF(OR(E4443="",E4443="!!!"),"",IF(OR(J4443=0,AND(J4443=1,K4443=1),AND(J4443=1,I4443="SBJ"),AND(J4443=1,I4443=0)),"?IN_FOCUS",IF(J4443&lt;=2,"?ACTIVATED",IF(J4443&lt;&gt;"","?FAMILIAR",IF(F4443="NEW",IF(ISNA(VLOOKUP(E4443,#REF!,1,FALSE())),"?TYPE_IDENTIFIABLE","?REFERENTIAL"),"_")))))</f>
        <v> </v>
      </c>
      <c r="H4443" s="24" t="str">
        <f>IF(J4443&lt;&gt;1,"",IF(I4443="SBJ","CB","?"))</f>
        <v> </v>
      </c>
      <c r="I4443" s="25" t="str">
        <f>IF(OR(E4443="",E4443="!!!",F4443="NEW"),"",INDEX(B4442:B$2,-1+SUMPRODUCT(MAX(ROW(E4442:E$2)*(E4443=E4442:E$2)))))</f>
        <v> </v>
      </c>
      <c r="J4443" s="25" t="str">
        <f>IF(OR(E4443="",E4443="!!!",F4443="NEW"),"",COUNTBLANK(OFFSET(A$1,,,SUMPRODUCT(MAX(ROW(E$2:E4443)*(E4443=E$2:E4443)))))-COUNTBLANK(OFFSET(A$1,,,SUMPRODUCT(MAX(ROW(E$1:E4442)*(E2=E$1:E4442))))))</f>
        <v> </v>
      </c>
      <c r="K4443" s="25" t="str">
        <f>IF(OR(E4443="",E4443="!!!",F4443="NEW"),"",INDEX(J$1:J4442,SUMPRODUCT(MAX(ROW(E$1:E4442)*(E4443=E$1:E4442)))))</f>
        <v> </v>
      </c>
      <c r="L4443" s="26"/>
    </row>
    <row r="4444" spans="1:12">
      <c r="A4444" s="20" t="s">
        <v>3061</v>
      </c>
      <c r="E4444" s="21">
        <f>IF(D4444="?OLD","!!!","")</f>
        <v/>
      </c>
      <c r="F4444" s="22" t="str">
        <f>IF(OR(E4444="",E4444="!!!"),"",IF(NOT(ISNA(VLOOKUP(E4444,E$1:E4443,1,FALSE()))),"OLD",IF(AND(E4444&lt;&gt;"",E4444&lt;&gt;"!!!"),"NEW","")))</f>
        <v> </v>
      </c>
      <c r="G4444" s="23" t="str">
        <f>IF(OR(E4444="",E4444="!!!"),"",IF(OR(J4444=0,AND(J4444=1,K4444=1),AND(J4444=1,I4444="SBJ"),AND(J4444=1,I4444=0)),"?IN_FOCUS",IF(J4444&lt;=2,"?ACTIVATED",IF(J4444&lt;&gt;"","?FAMILIAR",IF(F4444="NEW",IF(ISNA(VLOOKUP(E4444,#REF!,1,FALSE())),"?TYPE_IDENTIFIABLE","?REFERENTIAL"),"_")))))</f>
        <v> </v>
      </c>
      <c r="H4444" s="24" t="str">
        <f>IF(J4444&lt;&gt;1,"",IF(I4444="SBJ","CB","?"))</f>
        <v> </v>
      </c>
      <c r="I4444" s="25" t="str">
        <f>IF(OR(E4444="",E4444="!!!",F4444="NEW"),"",INDEX(B4443:B$2,-1+SUMPRODUCT(MAX(ROW(E4443:E$2)*(E4444=E4443:E$2)))))</f>
        <v> </v>
      </c>
      <c r="J4444" s="25" t="str">
        <f>IF(OR(E4444="",E4444="!!!",F4444="NEW"),"",COUNTBLANK(OFFSET(A$1,,,SUMPRODUCT(MAX(ROW(E$2:E4444)*(E4444=E$2:E4444)))))-COUNTBLANK(OFFSET(A$1,,,SUMPRODUCT(MAX(ROW(E$1:E4443)*(E2=E$1:E4443))))))</f>
        <v> </v>
      </c>
      <c r="K4444" s="25" t="str">
        <f>IF(OR(E4444="",E4444="!!!",F4444="NEW"),"",INDEX(J$1:J4443,SUMPRODUCT(MAX(ROW(E$1:E4443)*(E4444=E$1:E4443)))))</f>
        <v> </v>
      </c>
      <c r="L4444" s="26"/>
    </row>
    <row r="4445" spans="1:12">
      <c r="A4445" s="20" t="s">
        <v>3062</v>
      </c>
      <c r="B4445" s="27" t="s">
        <v>1122</v>
      </c>
      <c r="E4445" s="21">
        <f>IF(D4445="?OLD","!!!","")</f>
        <v/>
      </c>
      <c r="F4445" s="22" t="str">
        <f>IF(OR(E4445="",E4445="!!!"),"",IF(NOT(ISNA(VLOOKUP(E4445,E$1:E4444,1,FALSE()))),"OLD",IF(AND(E4445&lt;&gt;"",E4445&lt;&gt;"!!!"),"NEW","")))</f>
        <v> </v>
      </c>
      <c r="G4445" s="23" t="str">
        <f>IF(OR(E4445="",E4445="!!!"),"",IF(OR(J4445=0,AND(J4445=1,K4445=1),AND(J4445=1,I4445="SBJ"),AND(J4445=1,I4445=0)),"?IN_FOCUS",IF(J4445&lt;=2,"?ACTIVATED",IF(J4445&lt;&gt;"","?FAMILIAR",IF(F4445="NEW",IF(ISNA(VLOOKUP(E4445,#REF!,1,FALSE())),"?TYPE_IDENTIFIABLE","?REFERENTIAL"),"_")))))</f>
        <v> </v>
      </c>
      <c r="H4445" s="24" t="str">
        <f>IF(J4445&lt;&gt;1,"",IF(I4445="SBJ","CB","?"))</f>
        <v> </v>
      </c>
      <c r="I4445" s="25" t="str">
        <f>IF(OR(E4445="",E4445="!!!",F4445="NEW"),"",INDEX(B4444:B$2,-1+SUMPRODUCT(MAX(ROW(E4444:E$2)*(E4445=E4444:E$2)))))</f>
        <v> </v>
      </c>
      <c r="J4445" s="25" t="str">
        <f>IF(OR(E4445="",E4445="!!!",F4445="NEW"),"",COUNTBLANK(OFFSET(A$1,,,SUMPRODUCT(MAX(ROW(E$2:E4445)*(E4445=E$2:E4445)))))-COUNTBLANK(OFFSET(A$1,,,SUMPRODUCT(MAX(ROW(E$1:E4444)*(E2=E$1:E4444))))))</f>
        <v> </v>
      </c>
      <c r="K4445" s="25" t="str">
        <f>IF(OR(E4445="",E4445="!!!",F4445="NEW"),"",INDEX(J$1:J4444,SUMPRODUCT(MAX(ROW(E$1:E4444)*(E4445=E$1:E4444)))))</f>
        <v> </v>
      </c>
      <c r="L4445" s="26"/>
    </row>
    <row r="4446" spans="1:12">
      <c r="A4446" s="20" t="s">
        <v>3063</v>
      </c>
      <c r="E4446" s="21">
        <f>IF(D4446="?OLD","!!!","")</f>
        <v/>
      </c>
      <c r="F4446" s="22" t="str">
        <f>IF(OR(E4446="",E4446="!!!"),"",IF(NOT(ISNA(VLOOKUP(E4446,E$1:E4445,1,FALSE()))),"OLD",IF(AND(E4446&lt;&gt;"",E4446&lt;&gt;"!!!"),"NEW","")))</f>
        <v> </v>
      </c>
      <c r="G4446" s="23" t="str">
        <f>IF(OR(E4446="",E4446="!!!"),"",IF(OR(J4446=0,AND(J4446=1,K4446=1),AND(J4446=1,I4446="SBJ"),AND(J4446=1,I4446=0)),"?IN_FOCUS",IF(J4446&lt;=2,"?ACTIVATED",IF(J4446&lt;&gt;"","?FAMILIAR",IF(F4446="NEW",IF(ISNA(VLOOKUP(E4446,#REF!,1,FALSE())),"?TYPE_IDENTIFIABLE","?REFERENTIAL"),"_")))))</f>
        <v> </v>
      </c>
      <c r="H4446" s="24" t="str">
        <f>IF(J4446&lt;&gt;1,"",IF(I4446="SBJ","CB","?"))</f>
        <v> </v>
      </c>
      <c r="I4446" s="25" t="str">
        <f>IF(OR(E4446="",E4446="!!!",F4446="NEW"),"",INDEX(B4445:B$2,-1+SUMPRODUCT(MAX(ROW(E4445:E$2)*(E4446=E4445:E$2)))))</f>
        <v> </v>
      </c>
      <c r="J4446" s="25" t="str">
        <f>IF(OR(E4446="",E4446="!!!",F4446="NEW"),"",COUNTBLANK(OFFSET(A$1,,,SUMPRODUCT(MAX(ROW(E$2:E4446)*(E4446=E$2:E4446)))))-COUNTBLANK(OFFSET(A$1,,,SUMPRODUCT(MAX(ROW(E$1:E4445)*(E2=E$1:E4445))))))</f>
        <v> </v>
      </c>
      <c r="K4446" s="25" t="str">
        <f>IF(OR(E4446="",E4446="!!!",F4446="NEW"),"",INDEX(J$1:J4445,SUMPRODUCT(MAX(ROW(E$1:E4445)*(E4446=E$1:E4445)))))</f>
        <v> </v>
      </c>
      <c r="L4446" s="26"/>
    </row>
    <row r="4447" spans="1:12">
      <c r="A4447" s="20" t="s">
        <v>3064</v>
      </c>
      <c r="B4447" s="27" t="s">
        <v>1122</v>
      </c>
      <c r="E4447" s="21">
        <f>IF(D4447="?OLD","!!!","")</f>
        <v/>
      </c>
      <c r="F4447" s="22" t="str">
        <f>IF(OR(E4447="",E4447="!!!"),"",IF(NOT(ISNA(VLOOKUP(E4447,E$1:E4446,1,FALSE()))),"OLD",IF(AND(E4447&lt;&gt;"",E4447&lt;&gt;"!!!"),"NEW","")))</f>
        <v> </v>
      </c>
      <c r="G4447" s="23" t="str">
        <f>IF(OR(E4447="",E4447="!!!"),"",IF(OR(J4447=0,AND(J4447=1,K4447=1),AND(J4447=1,I4447="SBJ"),AND(J4447=1,I4447=0)),"?IN_FOCUS",IF(J4447&lt;=2,"?ACTIVATED",IF(J4447&lt;&gt;"","?FAMILIAR",IF(F4447="NEW",IF(ISNA(VLOOKUP(E4447,#REF!,1,FALSE())),"?TYPE_IDENTIFIABLE","?REFERENTIAL"),"_")))))</f>
        <v> </v>
      </c>
      <c r="H4447" s="24" t="str">
        <f>IF(J4447&lt;&gt;1,"",IF(I4447="SBJ","CB","?"))</f>
        <v> </v>
      </c>
      <c r="I4447" s="25" t="str">
        <f>IF(OR(E4447="",E4447="!!!",F4447="NEW"),"",INDEX(B4446:B$2,-1+SUMPRODUCT(MAX(ROW(E4446:E$2)*(E4447=E4446:E$2)))))</f>
        <v> </v>
      </c>
      <c r="J4447" s="25" t="str">
        <f>IF(OR(E4447="",E4447="!!!",F4447="NEW"),"",COUNTBLANK(OFFSET(A$1,,,SUMPRODUCT(MAX(ROW(E$2:E4447)*(E4447=E$2:E4447)))))-COUNTBLANK(OFFSET(A$1,,,SUMPRODUCT(MAX(ROW(E$1:E4446)*(E2=E$1:E4446))))))</f>
        <v> </v>
      </c>
      <c r="K4447" s="25" t="str">
        <f>IF(OR(E4447="",E4447="!!!",F4447="NEW"),"",INDEX(J$1:J4446,SUMPRODUCT(MAX(ROW(E$1:E4446)*(E4447=E$1:E4446)))))</f>
        <v> </v>
      </c>
      <c r="L4447" s="26"/>
    </row>
    <row r="4448" spans="1:12">
      <c r="A4448" s="20" t="s">
        <v>3065</v>
      </c>
      <c r="E4448" s="21">
        <f>IF(D4448="?OLD","!!!","")</f>
        <v/>
      </c>
      <c r="F4448" s="22" t="str">
        <f>IF(OR(E4448="",E4448="!!!"),"",IF(NOT(ISNA(VLOOKUP(E4448,E$1:E4447,1,FALSE()))),"OLD",IF(AND(E4448&lt;&gt;"",E4448&lt;&gt;"!!!"),"NEW","")))</f>
        <v> </v>
      </c>
      <c r="G4448" s="23" t="str">
        <f>IF(OR(E4448="",E4448="!!!"),"",IF(OR(J4448=0,AND(J4448=1,K4448=1),AND(J4448=1,I4448="SBJ"),AND(J4448=1,I4448=0)),"?IN_FOCUS",IF(J4448&lt;=2,"?ACTIVATED",IF(J4448&lt;&gt;"","?FAMILIAR",IF(F4448="NEW",IF(ISNA(VLOOKUP(E4448,#REF!,1,FALSE())),"?TYPE_IDENTIFIABLE","?REFERENTIAL"),"_")))))</f>
        <v> </v>
      </c>
      <c r="H4448" s="24" t="str">
        <f>IF(J4448&lt;&gt;1,"",IF(I4448="SBJ","CB","?"))</f>
        <v> </v>
      </c>
      <c r="I4448" s="25" t="str">
        <f>IF(OR(E4448="",E4448="!!!",F4448="NEW"),"",INDEX(B4447:B$2,-1+SUMPRODUCT(MAX(ROW(E4447:E$2)*(E4448=E4447:E$2)))))</f>
        <v> </v>
      </c>
      <c r="J4448" s="25" t="str">
        <f>IF(OR(E4448="",E4448="!!!",F4448="NEW"),"",COUNTBLANK(OFFSET(A$1,,,SUMPRODUCT(MAX(ROW(E$2:E4448)*(E4448=E$2:E4448)))))-COUNTBLANK(OFFSET(A$1,,,SUMPRODUCT(MAX(ROW(E$1:E4447)*(E2=E$1:E4447))))))</f>
        <v> </v>
      </c>
      <c r="K4448" s="25" t="str">
        <f>IF(OR(E4448="",E4448="!!!",F4448="NEW"),"",INDEX(J$1:J4447,SUMPRODUCT(MAX(ROW(E$1:E4447)*(E4448=E$1:E4447)))))</f>
        <v> </v>
      </c>
      <c r="L4448" s="26"/>
    </row>
    <row r="4449" spans="1:12">
      <c r="A4449" s="20" t="s">
        <v>1239</v>
      </c>
      <c r="E4449" s="21">
        <f>IF(D4449="?OLD","!!!","")</f>
        <v/>
      </c>
      <c r="F4449" s="22" t="str">
        <f>IF(OR(E4449="",E4449="!!!"),"",IF(NOT(ISNA(VLOOKUP(E4449,E$1:E4448,1,FALSE()))),"OLD",IF(AND(E4449&lt;&gt;"",E4449&lt;&gt;"!!!"),"NEW","")))</f>
        <v> </v>
      </c>
      <c r="G4449" s="23" t="str">
        <f>IF(OR(E4449="",E4449="!!!"),"",IF(OR(J4449=0,AND(J4449=1,K4449=1),AND(J4449=1,I4449="SBJ"),AND(J4449=1,I4449=0)),"?IN_FOCUS",IF(J4449&lt;=2,"?ACTIVATED",IF(J4449&lt;&gt;"","?FAMILIAR",IF(F4449="NEW",IF(ISNA(VLOOKUP(E4449,#REF!,1,FALSE())),"?TYPE_IDENTIFIABLE","?REFERENTIAL"),"_")))))</f>
        <v> </v>
      </c>
      <c r="H4449" s="24" t="str">
        <f>IF(J4449&lt;&gt;1,"",IF(I4449="SBJ","CB","?"))</f>
        <v> </v>
      </c>
      <c r="I4449" s="25" t="str">
        <f>IF(OR(E4449="",E4449="!!!",F4449="NEW"),"",INDEX(B4448:B$2,-1+SUMPRODUCT(MAX(ROW(E4448:E$2)*(E4449=E4448:E$2)))))</f>
        <v> </v>
      </c>
      <c r="J4449" s="25" t="str">
        <f>IF(OR(E4449="",E4449="!!!",F4449="NEW"),"",COUNTBLANK(OFFSET(A$1,,,SUMPRODUCT(MAX(ROW(E$2:E4449)*(E4449=E$2:E4449)))))-COUNTBLANK(OFFSET(A$1,,,SUMPRODUCT(MAX(ROW(E$1:E4448)*(E2=E$1:E4448))))))</f>
        <v> </v>
      </c>
      <c r="K4449" s="25" t="str">
        <f>IF(OR(E4449="",E4449="!!!",F4449="NEW"),"",INDEX(J$1:J4448,SUMPRODUCT(MAX(ROW(E$1:E4448)*(E4449=E$1:E4448)))))</f>
        <v> </v>
      </c>
      <c r="L4449" s="26"/>
    </row>
    <row r="4450" spans="1:12">
      <c r="A4450" s="20" t="s">
        <v>1123</v>
      </c>
      <c r="E4450" s="21">
        <f>IF(D4450="?OLD","!!!","")</f>
        <v/>
      </c>
      <c r="F4450" s="22" t="str">
        <f>IF(OR(E4450="",E4450="!!!"),"",IF(NOT(ISNA(VLOOKUP(E4450,E$1:E4449,1,FALSE()))),"OLD",IF(AND(E4450&lt;&gt;"",E4450&lt;&gt;"!!!"),"NEW","")))</f>
        <v> </v>
      </c>
      <c r="G4450" s="23" t="str">
        <f>IF(OR(E4450="",E4450="!!!"),"",IF(OR(J4450=0,AND(J4450=1,K4450=1),AND(J4450=1,I4450="SBJ"),AND(J4450=1,I4450=0)),"?IN_FOCUS",IF(J4450&lt;=2,"?ACTIVATED",IF(J4450&lt;&gt;"","?FAMILIAR",IF(F4450="NEW",IF(ISNA(VLOOKUP(E4450,#REF!,1,FALSE())),"?TYPE_IDENTIFIABLE","?REFERENTIAL"),"_")))))</f>
        <v> </v>
      </c>
      <c r="H4450" s="24" t="str">
        <f>IF(J4450&lt;&gt;1,"",IF(I4450="SBJ","CB","?"))</f>
        <v> </v>
      </c>
      <c r="I4450" s="25" t="str">
        <f>IF(OR(E4450="",E4450="!!!",F4450="NEW"),"",INDEX(B4449:B$2,-1+SUMPRODUCT(MAX(ROW(E4449:E$2)*(E4450=E4449:E$2)))))</f>
        <v> </v>
      </c>
      <c r="J4450" s="25" t="str">
        <f>IF(OR(E4450="",E4450="!!!",F4450="NEW"),"",COUNTBLANK(OFFSET(A$1,,,SUMPRODUCT(MAX(ROW(E$2:E4450)*(E4450=E$2:E4450)))))-COUNTBLANK(OFFSET(A$1,,,SUMPRODUCT(MAX(ROW(E$1:E4449)*(E2=E$1:E4449))))))</f>
        <v> </v>
      </c>
      <c r="K4450" s="25" t="str">
        <f>IF(OR(E4450="",E4450="!!!",F4450="NEW"),"",INDEX(J$1:J4449,SUMPRODUCT(MAX(ROW(E$1:E4449)*(E4450=E$1:E4449)))))</f>
        <v> </v>
      </c>
      <c r="L4450" s="26"/>
    </row>
    <row r="4451" spans="1:12">
      <c r="A4451" s="20" t="s">
        <v>3066</v>
      </c>
      <c r="E4451" s="21">
        <f>IF(D4451="?OLD","!!!","")</f>
        <v/>
      </c>
      <c r="F4451" s="22" t="str">
        <f>IF(OR(E4451="",E4451="!!!"),"",IF(NOT(ISNA(VLOOKUP(E4451,E$1:E4450,1,FALSE()))),"OLD",IF(AND(E4451&lt;&gt;"",E4451&lt;&gt;"!!!"),"NEW","")))</f>
        <v> </v>
      </c>
      <c r="G4451" s="23" t="str">
        <f>IF(OR(E4451="",E4451="!!!"),"",IF(OR(J4451=0,AND(J4451=1,K4451=1),AND(J4451=1,I4451="SBJ"),AND(J4451=1,I4451=0)),"?IN_FOCUS",IF(J4451&lt;=2,"?ACTIVATED",IF(J4451&lt;&gt;"","?FAMILIAR",IF(F4451="NEW",IF(ISNA(VLOOKUP(E4451,#REF!,1,FALSE())),"?TYPE_IDENTIFIABLE","?REFERENTIAL"),"_")))))</f>
        <v> </v>
      </c>
      <c r="H4451" s="24" t="str">
        <f>IF(J4451&lt;&gt;1,"",IF(I4451="SBJ","CB","?"))</f>
        <v> </v>
      </c>
      <c r="I4451" s="25" t="str">
        <f>IF(OR(E4451="",E4451="!!!",F4451="NEW"),"",INDEX(B4450:B$2,-1+SUMPRODUCT(MAX(ROW(E4450:E$2)*(E4451=E4450:E$2)))))</f>
        <v> </v>
      </c>
      <c r="J4451" s="25" t="str">
        <f>IF(OR(E4451="",E4451="!!!",F4451="NEW"),"",COUNTBLANK(OFFSET(A$1,,,SUMPRODUCT(MAX(ROW(E$2:E4451)*(E4451=E$2:E4451)))))-COUNTBLANK(OFFSET(A$1,,,SUMPRODUCT(MAX(ROW(E$1:E4450)*(E2=E$1:E4450))))))</f>
        <v> </v>
      </c>
      <c r="K4451" s="25" t="str">
        <f>IF(OR(E4451="",E4451="!!!",F4451="NEW"),"",INDEX(J$1:J4450,SUMPRODUCT(MAX(ROW(E$1:E4450)*(E4451=E$1:E4450)))))</f>
        <v> </v>
      </c>
      <c r="L4451" s="26"/>
    </row>
    <row r="4452" spans="1:12">
      <c r="A4452" s="20" t="s">
        <v>1123</v>
      </c>
      <c r="E4452" s="21">
        <f>IF(D4452="?OLD","!!!","")</f>
        <v/>
      </c>
      <c r="F4452" s="22" t="str">
        <f>IF(OR(E4452="",E4452="!!!"),"",IF(NOT(ISNA(VLOOKUP(E4452,E$1:E4451,1,FALSE()))),"OLD",IF(AND(E4452&lt;&gt;"",E4452&lt;&gt;"!!!"),"NEW","")))</f>
        <v> </v>
      </c>
      <c r="G4452" s="23" t="str">
        <f>IF(OR(E4452="",E4452="!!!"),"",IF(OR(J4452=0,AND(J4452=1,K4452=1),AND(J4452=1,I4452="SBJ"),AND(J4452=1,I4452=0)),"?IN_FOCUS",IF(J4452&lt;=2,"?ACTIVATED",IF(J4452&lt;&gt;"","?FAMILIAR",IF(F4452="NEW",IF(ISNA(VLOOKUP(E4452,#REF!,1,FALSE())),"?TYPE_IDENTIFIABLE","?REFERENTIAL"),"_")))))</f>
        <v> </v>
      </c>
      <c r="H4452" s="24" t="str">
        <f>IF(J4452&lt;&gt;1,"",IF(I4452="SBJ","CB","?"))</f>
        <v> </v>
      </c>
      <c r="I4452" s="25" t="str">
        <f>IF(OR(E4452="",E4452="!!!",F4452="NEW"),"",INDEX(B4451:B$2,-1+SUMPRODUCT(MAX(ROW(E4451:E$2)*(E4452=E4451:E$2)))))</f>
        <v> </v>
      </c>
      <c r="J4452" s="25" t="str">
        <f>IF(OR(E4452="",E4452="!!!",F4452="NEW"),"",COUNTBLANK(OFFSET(A$1,,,SUMPRODUCT(MAX(ROW(E$2:E4452)*(E4452=E$2:E4452)))))-COUNTBLANK(OFFSET(A$1,,,SUMPRODUCT(MAX(ROW(E$1:E4451)*(E2=E$1:E4451))))))</f>
        <v> </v>
      </c>
      <c r="K4452" s="25" t="str">
        <f>IF(OR(E4452="",E4452="!!!",F4452="NEW"),"",INDEX(J$1:J4451,SUMPRODUCT(MAX(ROW(E$1:E4451)*(E4452=E$1:E4451)))))</f>
        <v> </v>
      </c>
      <c r="L4452" s="26"/>
    </row>
    <row r="4453" spans="1:12">
      <c r="A4453" s="20" t="s">
        <v>1128</v>
      </c>
      <c r="E4453" s="21">
        <f>IF(D4453="?OLD","!!!","")</f>
        <v/>
      </c>
      <c r="F4453" s="22" t="str">
        <f>IF(OR(E4453="",E4453="!!!"),"",IF(NOT(ISNA(VLOOKUP(E4453,E$1:E4452,1,FALSE()))),"OLD",IF(AND(E4453&lt;&gt;"",E4453&lt;&gt;"!!!"),"NEW","")))</f>
        <v> </v>
      </c>
      <c r="G4453" s="23" t="str">
        <f>IF(OR(E4453="",E4453="!!!"),"",IF(OR(J4453=0,AND(J4453=1,K4453=1),AND(J4453=1,I4453="SBJ"),AND(J4453=1,I4453=0)),"?IN_FOCUS",IF(J4453&lt;=2,"?ACTIVATED",IF(J4453&lt;&gt;"","?FAMILIAR",IF(F4453="NEW",IF(ISNA(VLOOKUP(E4453,#REF!,1,FALSE())),"?TYPE_IDENTIFIABLE","?REFERENTIAL"),"_")))))</f>
        <v> </v>
      </c>
      <c r="H4453" s="24" t="str">
        <f>IF(J4453&lt;&gt;1,"",IF(I4453="SBJ","CB","?"))</f>
        <v> </v>
      </c>
      <c r="I4453" s="25" t="str">
        <f>IF(OR(E4453="",E4453="!!!",F4453="NEW"),"",INDEX(B4452:B$2,-1+SUMPRODUCT(MAX(ROW(E4452:E$2)*(E4453=E4452:E$2)))))</f>
        <v> </v>
      </c>
      <c r="J4453" s="25" t="str">
        <f>IF(OR(E4453="",E4453="!!!",F4453="NEW"),"",COUNTBLANK(OFFSET(A$1,,,SUMPRODUCT(MAX(ROW(E$2:E4453)*(E4453=E$2:E4453)))))-COUNTBLANK(OFFSET(A$1,,,SUMPRODUCT(MAX(ROW(E$1:E4452)*(E2=E$1:E4452))))))</f>
        <v> </v>
      </c>
      <c r="K4453" s="25" t="str">
        <f>IF(OR(E4453="",E4453="!!!",F4453="NEW"),"",INDEX(J$1:J4452,SUMPRODUCT(MAX(ROW(E$1:E4452)*(E4453=E$1:E4452)))))</f>
        <v> </v>
      </c>
      <c r="L4453" s="26"/>
    </row>
    <row r="4454" spans="1:12">
      <c r="A4454" s="20" t="s">
        <v>1691</v>
      </c>
      <c r="B4454" s="27" t="s">
        <v>1132</v>
      </c>
      <c r="C4454" s="27" t="s">
        <v>1142</v>
      </c>
      <c r="D4454" s="27" t="s">
        <v>1105</v>
      </c>
      <c r="E4454" s="21">
        <f>IF(D4454="?OLD","!!!","")</f>
        <v/>
      </c>
      <c r="F4454" s="22" t="str">
        <f>IF(OR(E4454="",E4454="!!!"),"",IF(NOT(ISNA(VLOOKUP(E4454,E$1:E4453,1,FALSE()))),"OLD",IF(AND(E4454&lt;&gt;"",E4454&lt;&gt;"!!!"),"NEW","")))</f>
        <v> </v>
      </c>
      <c r="G4454" s="23" t="str">
        <f>IF(OR(E4454="",E4454="!!!"),"",IF(OR(J4454=0,AND(J4454=1,K4454=1),AND(J4454=1,I4454="SBJ"),AND(J4454=1,I4454=0)),"?IN_FOCUS",IF(J4454&lt;=2,"?ACTIVATED",IF(J4454&lt;&gt;"","?FAMILIAR",IF(F4454="NEW",IF(ISNA(VLOOKUP(E4454,#REF!,1,FALSE())),"?TYPE_IDENTIFIABLE","?REFERENTIAL"),"_")))))</f>
        <v> </v>
      </c>
      <c r="H4454" s="24" t="str">
        <f>IF(J4454&lt;&gt;1,"",IF(I4454="SBJ","CB","?"))</f>
        <v> </v>
      </c>
      <c r="I4454" s="25" t="str">
        <f>IF(OR(E4454="",E4454="!!!",F4454="NEW"),"",INDEX(B4453:B$2,-1+SUMPRODUCT(MAX(ROW(E4453:E$2)*(E4454=E4453:E$2)))))</f>
        <v> </v>
      </c>
      <c r="J4454" s="25" t="str">
        <f>IF(OR(E4454="",E4454="!!!",F4454="NEW"),"",COUNTBLANK(OFFSET(A$1,,,SUMPRODUCT(MAX(ROW(E$2:E4454)*(E4454=E$2:E4454)))))-COUNTBLANK(OFFSET(A$1,,,SUMPRODUCT(MAX(ROW(E$1:E4453)*(E2=E$1:E4453))))))</f>
        <v> </v>
      </c>
      <c r="K4454" s="25" t="str">
        <f>IF(OR(E4454="",E4454="!!!",F4454="NEW"),"",INDEX(J$1:J4453,SUMPRODUCT(MAX(ROW(E$1:E4453)*(E4454=E$1:E4453)))))</f>
        <v> </v>
      </c>
      <c r="L4454" s="26"/>
    </row>
    <row r="4455" spans="1:12">
      <c r="A4455" s="20" t="s">
        <v>1511</v>
      </c>
      <c r="E4455" s="21">
        <f>IF(D4455="?OLD","!!!","")</f>
        <v/>
      </c>
      <c r="F4455" s="22" t="str">
        <f>IF(OR(E4455="",E4455="!!!"),"",IF(NOT(ISNA(VLOOKUP(E4455,E$1:E4454,1,FALSE()))),"OLD",IF(AND(E4455&lt;&gt;"",E4455&lt;&gt;"!!!"),"NEW","")))</f>
        <v> </v>
      </c>
      <c r="G4455" s="23" t="str">
        <f>IF(OR(E4455="",E4455="!!!"),"",IF(OR(J4455=0,AND(J4455=1,K4455=1),AND(J4455=1,I4455="SBJ"),AND(J4455=1,I4455=0)),"?IN_FOCUS",IF(J4455&lt;=2,"?ACTIVATED",IF(J4455&lt;&gt;"","?FAMILIAR",IF(F4455="NEW",IF(ISNA(VLOOKUP(E4455,#REF!,1,FALSE())),"?TYPE_IDENTIFIABLE","?REFERENTIAL"),"_")))))</f>
        <v> </v>
      </c>
      <c r="H4455" s="24" t="str">
        <f>IF(J4455&lt;&gt;1,"",IF(I4455="SBJ","CB","?"))</f>
        <v> </v>
      </c>
      <c r="I4455" s="25" t="str">
        <f>IF(OR(E4455="",E4455="!!!",F4455="NEW"),"",INDEX(B4454:B$2,-1+SUMPRODUCT(MAX(ROW(E4454:E$2)*(E4455=E4454:E$2)))))</f>
        <v> </v>
      </c>
      <c r="J4455" s="25" t="str">
        <f>IF(OR(E4455="",E4455="!!!",F4455="NEW"),"",COUNTBLANK(OFFSET(A$1,,,SUMPRODUCT(MAX(ROW(E$2:E4455)*(E4455=E$2:E4455)))))-COUNTBLANK(OFFSET(A$1,,,SUMPRODUCT(MAX(ROW(E$1:E4454)*(E2=E$1:E4454))))))</f>
        <v> </v>
      </c>
      <c r="K4455" s="25" t="str">
        <f>IF(OR(E4455="",E4455="!!!",F4455="NEW"),"",INDEX(J$1:J4454,SUMPRODUCT(MAX(ROW(E$1:E4454)*(E4455=E$1:E4454)))))</f>
        <v> </v>
      </c>
      <c r="L4455" s="26"/>
    </row>
    <row r="4456" spans="1:12">
      <c r="A4456" s="20" t="s">
        <v>1123</v>
      </c>
      <c r="E4456" s="21">
        <f>IF(D4456="?OLD","!!!","")</f>
        <v/>
      </c>
      <c r="F4456" s="22" t="str">
        <f>IF(OR(E4456="",E4456="!!!"),"",IF(NOT(ISNA(VLOOKUP(E4456,E$1:E4455,1,FALSE()))),"OLD",IF(AND(E4456&lt;&gt;"",E4456&lt;&gt;"!!!"),"NEW","")))</f>
        <v> </v>
      </c>
      <c r="G4456" s="23" t="str">
        <f>IF(OR(E4456="",E4456="!!!"),"",IF(OR(J4456=0,AND(J4456=1,K4456=1),AND(J4456=1,I4456="SBJ"),AND(J4456=1,I4456=0)),"?IN_FOCUS",IF(J4456&lt;=2,"?ACTIVATED",IF(J4456&lt;&gt;"","?FAMILIAR",IF(F4456="NEW",IF(ISNA(VLOOKUP(E4456,#REF!,1,FALSE())),"?TYPE_IDENTIFIABLE","?REFERENTIAL"),"_")))))</f>
        <v> </v>
      </c>
      <c r="H4456" s="24" t="str">
        <f>IF(J4456&lt;&gt;1,"",IF(I4456="SBJ","CB","?"))</f>
        <v> </v>
      </c>
      <c r="I4456" s="25" t="str">
        <f>IF(OR(E4456="",E4456="!!!",F4456="NEW"),"",INDEX(B4455:B$2,-1+SUMPRODUCT(MAX(ROW(E4455:E$2)*(E4456=E4455:E$2)))))</f>
        <v> </v>
      </c>
      <c r="J4456" s="25" t="str">
        <f>IF(OR(E4456="",E4456="!!!",F4456="NEW"),"",COUNTBLANK(OFFSET(A$1,,,SUMPRODUCT(MAX(ROW(E$2:E4456)*(E4456=E$2:E4456)))))-COUNTBLANK(OFFSET(A$1,,,SUMPRODUCT(MAX(ROW(E$1:E4455)*(E2=E$1:E4455))))))</f>
        <v> </v>
      </c>
      <c r="K4456" s="25" t="str">
        <f>IF(OR(E4456="",E4456="!!!",F4456="NEW"),"",INDEX(J$1:J4455,SUMPRODUCT(MAX(ROW(E$1:E4455)*(E4456=E$1:E4455)))))</f>
        <v> </v>
      </c>
      <c r="L4456" s="26"/>
    </row>
    <row r="4457" spans="1:12">
      <c r="A4457" s="20" t="s">
        <v>423</v>
      </c>
      <c r="E4457" s="21">
        <f>IF(D4457="?OLD","!!!","")</f>
        <v/>
      </c>
      <c r="F4457" s="22" t="str">
        <f>IF(OR(E4457="",E4457="!!!"),"",IF(NOT(ISNA(VLOOKUP(E4457,E$1:E4456,1,FALSE()))),"OLD",IF(AND(E4457&lt;&gt;"",E4457&lt;&gt;"!!!"),"NEW","")))</f>
        <v> </v>
      </c>
      <c r="G4457" s="23" t="str">
        <f>IF(OR(E4457="",E4457="!!!"),"",IF(OR(J4457=0,AND(J4457=1,K4457=1),AND(J4457=1,I4457="SBJ"),AND(J4457=1,I4457=0)),"?IN_FOCUS",IF(J4457&lt;=2,"?ACTIVATED",IF(J4457&lt;&gt;"","?FAMILIAR",IF(F4457="NEW",IF(ISNA(VLOOKUP(E4457,#REF!,1,FALSE())),"?TYPE_IDENTIFIABLE","?REFERENTIAL"),"_")))))</f>
        <v> </v>
      </c>
      <c r="H4457" s="24" t="str">
        <f>IF(J4457&lt;&gt;1,"",IF(I4457="SBJ","CB","?"))</f>
        <v> </v>
      </c>
      <c r="I4457" s="25" t="str">
        <f>IF(OR(E4457="",E4457="!!!",F4457="NEW"),"",INDEX(B4456:B$2,-1+SUMPRODUCT(MAX(ROW(E4456:E$2)*(E4457=E4456:E$2)))))</f>
        <v> </v>
      </c>
      <c r="J4457" s="25" t="str">
        <f>IF(OR(E4457="",E4457="!!!",F4457="NEW"),"",COUNTBLANK(OFFSET(A$1,,,SUMPRODUCT(MAX(ROW(E$2:E4457)*(E4457=E$2:E4457)))))-COUNTBLANK(OFFSET(A$1,,,SUMPRODUCT(MAX(ROW(E$1:E4456)*(E2=E$1:E4456))))))</f>
        <v> </v>
      </c>
      <c r="K4457" s="25" t="str">
        <f>IF(OR(E4457="",E4457="!!!",F4457="NEW"),"",INDEX(J$1:J4456,SUMPRODUCT(MAX(ROW(E$1:E4456)*(E4457=E$1:E4456)))))</f>
        <v> </v>
      </c>
      <c r="L4457" s="26"/>
    </row>
    <row r="4458" spans="1:12">
      <c r="A4458" s="20" t="s">
        <v>1128</v>
      </c>
      <c r="E4458" s="21">
        <f>IF(D4458="?OLD","!!!","")</f>
        <v/>
      </c>
      <c r="F4458" s="22" t="str">
        <f>IF(OR(E4458="",E4458="!!!"),"",IF(NOT(ISNA(VLOOKUP(E4458,E$1:E4457,1,FALSE()))),"OLD",IF(AND(E4458&lt;&gt;"",E4458&lt;&gt;"!!!"),"NEW","")))</f>
        <v> </v>
      </c>
      <c r="G4458" s="23" t="str">
        <f>IF(OR(E4458="",E4458="!!!"),"",IF(OR(J4458=0,AND(J4458=1,K4458=1),AND(J4458=1,I4458="SBJ"),AND(J4458=1,I4458=0)),"?IN_FOCUS",IF(J4458&lt;=2,"?ACTIVATED",IF(J4458&lt;&gt;"","?FAMILIAR",IF(F4458="NEW",IF(ISNA(VLOOKUP(E4458,#REF!,1,FALSE())),"?TYPE_IDENTIFIABLE","?REFERENTIAL"),"_")))))</f>
        <v> </v>
      </c>
      <c r="H4458" s="24" t="str">
        <f>IF(J4458&lt;&gt;1,"",IF(I4458="SBJ","CB","?"))</f>
        <v> </v>
      </c>
      <c r="I4458" s="25" t="str">
        <f>IF(OR(E4458="",E4458="!!!",F4458="NEW"),"",INDEX(B4457:B$2,-1+SUMPRODUCT(MAX(ROW(E4457:E$2)*(E4458=E4457:E$2)))))</f>
        <v> </v>
      </c>
      <c r="J4458" s="25" t="str">
        <f>IF(OR(E4458="",E4458="!!!",F4458="NEW"),"",COUNTBLANK(OFFSET(A$1,,,SUMPRODUCT(MAX(ROW(E$2:E4458)*(E4458=E$2:E4458)))))-COUNTBLANK(OFFSET(A$1,,,SUMPRODUCT(MAX(ROW(E$1:E4457)*(E2=E$1:E4457))))))</f>
        <v> </v>
      </c>
      <c r="K4458" s="25" t="str">
        <f>IF(OR(E4458="",E4458="!!!",F4458="NEW"),"",INDEX(J$1:J4457,SUMPRODUCT(MAX(ROW(E$1:E4457)*(E4458=E$1:E4457)))))</f>
        <v> </v>
      </c>
      <c r="L4458" s="26"/>
    </row>
    <row r="4459" spans="1:12">
      <c r="A4459" s="20" t="s">
        <v>1217</v>
      </c>
      <c r="B4459" s="27" t="s">
        <v>1870</v>
      </c>
      <c r="C4459" s="27" t="s">
        <v>1126</v>
      </c>
      <c r="D4459" s="27" t="s">
        <v>1105</v>
      </c>
      <c r="E4459" s="21">
        <f>IF(D4459="?OLD","!!!","")</f>
        <v/>
      </c>
      <c r="F4459" s="22" t="str">
        <f>IF(OR(E4459="",E4459="!!!"),"",IF(NOT(ISNA(VLOOKUP(E4459,E$1:E4458,1,FALSE()))),"OLD",IF(AND(E4459&lt;&gt;"",E4459&lt;&gt;"!!!"),"NEW","")))</f>
        <v> </v>
      </c>
      <c r="G4459" s="23" t="str">
        <f>IF(OR(E4459="",E4459="!!!"),"",IF(OR(J4459=0,AND(J4459=1,K4459=1),AND(J4459=1,I4459="SBJ"),AND(J4459=1,I4459=0)),"?IN_FOCUS",IF(J4459&lt;=2,"?ACTIVATED",IF(J4459&lt;&gt;"","?FAMILIAR",IF(F4459="NEW",IF(ISNA(VLOOKUP(E4459,#REF!,1,FALSE())),"?TYPE_IDENTIFIABLE","?REFERENTIAL"),"_")))))</f>
        <v> </v>
      </c>
      <c r="H4459" s="24" t="str">
        <f>IF(J4459&lt;&gt;1,"",IF(I4459="SBJ","CB","?"))</f>
        <v> </v>
      </c>
      <c r="I4459" s="25" t="str">
        <f>IF(OR(E4459="",E4459="!!!",F4459="NEW"),"",INDEX(B4458:B$2,-1+SUMPRODUCT(MAX(ROW(E4458:E$2)*(E4459=E4458:E$2)))))</f>
        <v> </v>
      </c>
      <c r="J4459" s="25" t="str">
        <f>IF(OR(E4459="",E4459="!!!",F4459="NEW"),"",COUNTBLANK(OFFSET(A$1,,,SUMPRODUCT(MAX(ROW(E$2:E4459)*(E4459=E$2:E4459)))))-COUNTBLANK(OFFSET(A$1,,,SUMPRODUCT(MAX(ROW(E$1:E4458)*(E2=E$1:E4458))))))</f>
        <v> </v>
      </c>
      <c r="K4459" s="25" t="str">
        <f>IF(OR(E4459="",E4459="!!!",F4459="NEW"),"",INDEX(J$1:J4458,SUMPRODUCT(MAX(ROW(E$1:E4458)*(E4459=E$1:E4458)))))</f>
        <v> </v>
      </c>
      <c r="L4459" s="26"/>
    </row>
    <row r="4460" spans="1:12">
      <c r="A4460" s="20" t="s">
        <v>1328</v>
      </c>
      <c r="E4460" s="21">
        <f>IF(D4460="?OLD","!!!","")</f>
        <v/>
      </c>
      <c r="F4460" s="22" t="str">
        <f>IF(OR(E4460="",E4460="!!!"),"",IF(NOT(ISNA(VLOOKUP(E4460,E$1:E4459,1,FALSE()))),"OLD",IF(AND(E4460&lt;&gt;"",E4460&lt;&gt;"!!!"),"NEW","")))</f>
        <v> </v>
      </c>
      <c r="G4460" s="23" t="str">
        <f>IF(OR(E4460="",E4460="!!!"),"",IF(OR(J4460=0,AND(J4460=1,K4460=1),AND(J4460=1,I4460="SBJ"),AND(J4460=1,I4460=0)),"?IN_FOCUS",IF(J4460&lt;=2,"?ACTIVATED",IF(J4460&lt;&gt;"","?FAMILIAR",IF(F4460="NEW",IF(ISNA(VLOOKUP(E4460,#REF!,1,FALSE())),"?TYPE_IDENTIFIABLE","?REFERENTIAL"),"_")))))</f>
        <v> </v>
      </c>
      <c r="H4460" s="24" t="str">
        <f>IF(J4460&lt;&gt;1,"",IF(I4460="SBJ","CB","?"))</f>
        <v> </v>
      </c>
      <c r="I4460" s="25" t="str">
        <f>IF(OR(E4460="",E4460="!!!",F4460="NEW"),"",INDEX(B4459:B$2,-1+SUMPRODUCT(MAX(ROW(E4459:E$2)*(E4460=E4459:E$2)))))</f>
        <v> </v>
      </c>
      <c r="J4460" s="25" t="str">
        <f>IF(OR(E4460="",E4460="!!!",F4460="NEW"),"",COUNTBLANK(OFFSET(A$1,,,SUMPRODUCT(MAX(ROW(E$2:E4460)*(E4460=E$2:E4460)))))-COUNTBLANK(OFFSET(A$1,,,SUMPRODUCT(MAX(ROW(E$1:E4459)*(E2=E$1:E4459))))))</f>
        <v> </v>
      </c>
      <c r="K4460" s="25" t="str">
        <f>IF(OR(E4460="",E4460="!!!",F4460="NEW"),"",INDEX(J$1:J4459,SUMPRODUCT(MAX(ROW(E$1:E4459)*(E4460=E$1:E4459)))))</f>
        <v> </v>
      </c>
      <c r="L4460" s="26"/>
    </row>
    <row r="4461" spans="1:12">
      <c r="A4461" s="20" t="s">
        <v>1218</v>
      </c>
      <c r="E4461" s="21">
        <f>IF(D4461="?OLD","!!!","")</f>
        <v/>
      </c>
      <c r="F4461" s="22" t="str">
        <f>IF(OR(E4461="",E4461="!!!"),"",IF(NOT(ISNA(VLOOKUP(E4461,E$1:E4460,1,FALSE()))),"OLD",IF(AND(E4461&lt;&gt;"",E4461&lt;&gt;"!!!"),"NEW","")))</f>
        <v> </v>
      </c>
      <c r="G4461" s="23" t="str">
        <f>IF(OR(E4461="",E4461="!!!"),"",IF(OR(J4461=0,AND(J4461=1,K4461=1),AND(J4461=1,I4461="SBJ"),AND(J4461=1,I4461=0)),"?IN_FOCUS",IF(J4461&lt;=2,"?ACTIVATED",IF(J4461&lt;&gt;"","?FAMILIAR",IF(F4461="NEW",IF(ISNA(VLOOKUP(E4461,#REF!,1,FALSE())),"?TYPE_IDENTIFIABLE","?REFERENTIAL"),"_")))))</f>
        <v> </v>
      </c>
      <c r="H4461" s="24" t="str">
        <f>IF(J4461&lt;&gt;1,"",IF(I4461="SBJ","CB","?"))</f>
        <v> </v>
      </c>
      <c r="I4461" s="25" t="str">
        <f>IF(OR(E4461="",E4461="!!!",F4461="NEW"),"",INDEX(B4460:B$2,-1+SUMPRODUCT(MAX(ROW(E4460:E$2)*(E4461=E4460:E$2)))))</f>
        <v> </v>
      </c>
      <c r="J4461" s="25" t="str">
        <f>IF(OR(E4461="",E4461="!!!",F4461="NEW"),"",COUNTBLANK(OFFSET(A$1,,,SUMPRODUCT(MAX(ROW(E$2:E4461)*(E4461=E$2:E4461)))))-COUNTBLANK(OFFSET(A$1,,,SUMPRODUCT(MAX(ROW(E$1:E4460)*(E2=E$1:E4460))))))</f>
        <v> </v>
      </c>
      <c r="K4461" s="25" t="str">
        <f>IF(OR(E4461="",E4461="!!!",F4461="NEW"),"",INDEX(J$1:J4460,SUMPRODUCT(MAX(ROW(E$1:E4460)*(E4461=E$1:E4460)))))</f>
        <v> </v>
      </c>
      <c r="L4461" s="26"/>
    </row>
    <row r="4462" spans="1:12">
      <c r="A4462" s="20" t="s">
        <v>3067</v>
      </c>
      <c r="E4462" s="21">
        <f>IF(D4462="?OLD","!!!","")</f>
        <v/>
      </c>
      <c r="F4462" s="22" t="str">
        <f>IF(OR(E4462="",E4462="!!!"),"",IF(NOT(ISNA(VLOOKUP(E4462,E$1:E4461,1,FALSE()))),"OLD",IF(AND(E4462&lt;&gt;"",E4462&lt;&gt;"!!!"),"NEW","")))</f>
        <v> </v>
      </c>
      <c r="G4462" s="23" t="str">
        <f>IF(OR(E4462="",E4462="!!!"),"",IF(OR(J4462=0,AND(J4462=1,K4462=1),AND(J4462=1,I4462="SBJ"),AND(J4462=1,I4462=0)),"?IN_FOCUS",IF(J4462&lt;=2,"?ACTIVATED",IF(J4462&lt;&gt;"","?FAMILIAR",IF(F4462="NEW",IF(ISNA(VLOOKUP(E4462,#REF!,1,FALSE())),"?TYPE_IDENTIFIABLE","?REFERENTIAL"),"_")))))</f>
        <v> </v>
      </c>
      <c r="H4462" s="24" t="str">
        <f>IF(J4462&lt;&gt;1,"",IF(I4462="SBJ","CB","?"))</f>
        <v> </v>
      </c>
      <c r="I4462" s="25" t="str">
        <f>IF(OR(E4462="",E4462="!!!",F4462="NEW"),"",INDEX(B4461:B$2,-1+SUMPRODUCT(MAX(ROW(E4461:E$2)*(E4462=E4461:E$2)))))</f>
        <v> </v>
      </c>
      <c r="J4462" s="25" t="str">
        <f>IF(OR(E4462="",E4462="!!!",F4462="NEW"),"",COUNTBLANK(OFFSET(A$1,,,SUMPRODUCT(MAX(ROW(E$2:E4462)*(E4462=E$2:E4462)))))-COUNTBLANK(OFFSET(A$1,,,SUMPRODUCT(MAX(ROW(E$1:E4461)*(E2=E$1:E4461))))))</f>
        <v> </v>
      </c>
      <c r="K4462" s="25" t="str">
        <f>IF(OR(E4462="",E4462="!!!",F4462="NEW"),"",INDEX(J$1:J4461,SUMPRODUCT(MAX(ROW(E$1:E4461)*(E4462=E$1:E4461)))))</f>
        <v> </v>
      </c>
      <c r="L4462" s="26"/>
    </row>
    <row r="4463" spans="1:12">
      <c r="A4463" s="20" t="s">
        <v>1195</v>
      </c>
      <c r="E4463" s="21">
        <f>IF(D4463="?OLD","!!!","")</f>
        <v/>
      </c>
      <c r="F4463" s="22" t="str">
        <f>IF(OR(E4463="",E4463="!!!"),"",IF(NOT(ISNA(VLOOKUP(E4463,E$1:E4462,1,FALSE()))),"OLD",IF(AND(E4463&lt;&gt;"",E4463&lt;&gt;"!!!"),"NEW","")))</f>
        <v> </v>
      </c>
      <c r="G4463" s="23" t="str">
        <f>IF(OR(E4463="",E4463="!!!"),"",IF(OR(J4463=0,AND(J4463=1,K4463=1),AND(J4463=1,I4463="SBJ"),AND(J4463=1,I4463=0)),"?IN_FOCUS",IF(J4463&lt;=2,"?ACTIVATED",IF(J4463&lt;&gt;"","?FAMILIAR",IF(F4463="NEW",IF(ISNA(VLOOKUP(E4463,#REF!,1,FALSE())),"?TYPE_IDENTIFIABLE","?REFERENTIAL"),"_")))))</f>
        <v> </v>
      </c>
      <c r="H4463" s="24" t="str">
        <f>IF(J4463&lt;&gt;1,"",IF(I4463="SBJ","CB","?"))</f>
        <v> </v>
      </c>
      <c r="I4463" s="25" t="str">
        <f>IF(OR(E4463="",E4463="!!!",F4463="NEW"),"",INDEX(B4462:B$2,-1+SUMPRODUCT(MAX(ROW(E4462:E$2)*(E4463=E4462:E$2)))))</f>
        <v> </v>
      </c>
      <c r="J4463" s="25" t="str">
        <f>IF(OR(E4463="",E4463="!!!",F4463="NEW"),"",COUNTBLANK(OFFSET(A$1,,,SUMPRODUCT(MAX(ROW(E$2:E4463)*(E4463=E$2:E4463)))))-COUNTBLANK(OFFSET(A$1,,,SUMPRODUCT(MAX(ROW(E$1:E4462)*(E2=E$1:E4462))))))</f>
        <v> </v>
      </c>
      <c r="K4463" s="25" t="str">
        <f>IF(OR(E4463="",E4463="!!!",F4463="NEW"),"",INDEX(J$1:J4462,SUMPRODUCT(MAX(ROW(E$1:E4462)*(E4463=E$1:E4462)))))</f>
        <v> </v>
      </c>
      <c r="L4463" s="26"/>
    </row>
    <row r="4464" spans="1:12">
      <c r="A4464" s="20" t="s">
        <v>1154</v>
      </c>
      <c r="B4464" s="27" t="s">
        <v>1141</v>
      </c>
      <c r="C4464" s="27" t="s">
        <v>1116</v>
      </c>
      <c r="D4464" s="27" t="s">
        <v>1105</v>
      </c>
      <c r="E4464" s="21">
        <f>IF(D4464="?OLD","!!!","")</f>
        <v/>
      </c>
      <c r="F4464" s="22" t="str">
        <f>IF(OR(E4464="",E4464="!!!"),"",IF(NOT(ISNA(VLOOKUP(E4464,E$1:E4463,1,FALSE()))),"OLD",IF(AND(E4464&lt;&gt;"",E4464&lt;&gt;"!!!"),"NEW","")))</f>
        <v> </v>
      </c>
      <c r="G4464" s="23" t="str">
        <f>IF(OR(E4464="",E4464="!!!"),"",IF(OR(J4464=0,AND(J4464=1,K4464=1),AND(J4464=1,I4464="SBJ"),AND(J4464=1,I4464=0)),"?IN_FOCUS",IF(J4464&lt;=2,"?ACTIVATED",IF(J4464&lt;&gt;"","?FAMILIAR",IF(F4464="NEW",IF(ISNA(VLOOKUP(E4464,#REF!,1,FALSE())),"?TYPE_IDENTIFIABLE","?REFERENTIAL"),"_")))))</f>
        <v> </v>
      </c>
      <c r="H4464" s="24" t="str">
        <f>IF(J4464&lt;&gt;1,"",IF(I4464="SBJ","CB","?"))</f>
        <v> </v>
      </c>
      <c r="I4464" s="25" t="str">
        <f>IF(OR(E4464="",E4464="!!!",F4464="NEW"),"",INDEX(B4463:B$2,-1+SUMPRODUCT(MAX(ROW(E4463:E$2)*(E4464=E4463:E$2)))))</f>
        <v> </v>
      </c>
      <c r="J4464" s="25" t="str">
        <f>IF(OR(E4464="",E4464="!!!",F4464="NEW"),"",COUNTBLANK(OFFSET(A$1,,,SUMPRODUCT(MAX(ROW(E$2:E4464)*(E4464=E$2:E4464)))))-COUNTBLANK(OFFSET(A$1,,,SUMPRODUCT(MAX(ROW(E$1:E4463)*(E2=E$1:E4463))))))</f>
        <v> </v>
      </c>
      <c r="K4464" s="25" t="str">
        <f>IF(OR(E4464="",E4464="!!!",F4464="NEW"),"",INDEX(J$1:J4463,SUMPRODUCT(MAX(ROW(E$1:E4463)*(E4464=E$1:E4463)))))</f>
        <v> </v>
      </c>
      <c r="L4464" s="26"/>
    </row>
    <row r="4465" spans="1:12">
      <c r="A4465" s="20" t="s">
        <v>3068</v>
      </c>
      <c r="E4465" s="21">
        <f>IF(D4465="?OLD","!!!","")</f>
        <v/>
      </c>
      <c r="F4465" s="22" t="str">
        <f>IF(OR(E4465="",E4465="!!!"),"",IF(NOT(ISNA(VLOOKUP(E4465,E$1:E4464,1,FALSE()))),"OLD",IF(AND(E4465&lt;&gt;"",E4465&lt;&gt;"!!!"),"NEW","")))</f>
        <v> </v>
      </c>
      <c r="G4465" s="23" t="str">
        <f>IF(OR(E4465="",E4465="!!!"),"",IF(OR(J4465=0,AND(J4465=1,K4465=1),AND(J4465=1,I4465="SBJ"),AND(J4465=1,I4465=0)),"?IN_FOCUS",IF(J4465&lt;=2,"?ACTIVATED",IF(J4465&lt;&gt;"","?FAMILIAR",IF(F4465="NEW",IF(ISNA(VLOOKUP(E4465,#REF!,1,FALSE())),"?TYPE_IDENTIFIABLE","?REFERENTIAL"),"_")))))</f>
        <v> </v>
      </c>
      <c r="H4465" s="24" t="str">
        <f>IF(J4465&lt;&gt;1,"",IF(I4465="SBJ","CB","?"))</f>
        <v> </v>
      </c>
      <c r="I4465" s="25" t="str">
        <f>IF(OR(E4465="",E4465="!!!",F4465="NEW"),"",INDEX(B4464:B$2,-1+SUMPRODUCT(MAX(ROW(E4464:E$2)*(E4465=E4464:E$2)))))</f>
        <v> </v>
      </c>
      <c r="J4465" s="25" t="str">
        <f>IF(OR(E4465="",E4465="!!!",F4465="NEW"),"",COUNTBLANK(OFFSET(A$1,,,SUMPRODUCT(MAX(ROW(E$2:E4465)*(E4465=E$2:E4465)))))-COUNTBLANK(OFFSET(A$1,,,SUMPRODUCT(MAX(ROW(E$1:E4464)*(E2=E$1:E4464))))))</f>
        <v> </v>
      </c>
      <c r="K4465" s="25" t="str">
        <f>IF(OR(E4465="",E4465="!!!",F4465="NEW"),"",INDEX(J$1:J4464,SUMPRODUCT(MAX(ROW(E$1:E4464)*(E4465=E$1:E4464)))))</f>
        <v> </v>
      </c>
      <c r="L4465" s="26"/>
    </row>
    <row r="4466" spans="1:12">
      <c r="A4466" s="20" t="s">
        <v>1123</v>
      </c>
      <c r="E4466" s="21">
        <f>IF(D4466="?OLD","!!!","")</f>
        <v/>
      </c>
      <c r="F4466" s="22" t="str">
        <f>IF(OR(E4466="",E4466="!!!"),"",IF(NOT(ISNA(VLOOKUP(E4466,E$1:E4465,1,FALSE()))),"OLD",IF(AND(E4466&lt;&gt;"",E4466&lt;&gt;"!!!"),"NEW","")))</f>
        <v> </v>
      </c>
      <c r="G4466" s="23" t="str">
        <f>IF(OR(E4466="",E4466="!!!"),"",IF(OR(J4466=0,AND(J4466=1,K4466=1),AND(J4466=1,I4466="SBJ"),AND(J4466=1,I4466=0)),"?IN_FOCUS",IF(J4466&lt;=2,"?ACTIVATED",IF(J4466&lt;&gt;"","?FAMILIAR",IF(F4466="NEW",IF(ISNA(VLOOKUP(E4466,#REF!,1,FALSE())),"?TYPE_IDENTIFIABLE","?REFERENTIAL"),"_")))))</f>
        <v> </v>
      </c>
      <c r="H4466" s="24" t="str">
        <f>IF(J4466&lt;&gt;1,"",IF(I4466="SBJ","CB","?"))</f>
        <v> </v>
      </c>
      <c r="I4466" s="25" t="str">
        <f>IF(OR(E4466="",E4466="!!!",F4466="NEW"),"",INDEX(B4465:B$2,-1+SUMPRODUCT(MAX(ROW(E4465:E$2)*(E4466=E4465:E$2)))))</f>
        <v> </v>
      </c>
      <c r="J4466" s="25" t="str">
        <f>IF(OR(E4466="",E4466="!!!",F4466="NEW"),"",COUNTBLANK(OFFSET(A$1,,,SUMPRODUCT(MAX(ROW(E$2:E4466)*(E4466=E$2:E4466)))))-COUNTBLANK(OFFSET(A$1,,,SUMPRODUCT(MAX(ROW(E$1:E4465)*(E2=E$1:E4465))))))</f>
        <v> </v>
      </c>
      <c r="K4466" s="25" t="str">
        <f>IF(OR(E4466="",E4466="!!!",F4466="NEW"),"",INDEX(J$1:J4465,SUMPRODUCT(MAX(ROW(E$1:E4465)*(E4466=E$1:E4465)))))</f>
        <v> </v>
      </c>
      <c r="L4466" s="26"/>
    </row>
    <row r="4467" spans="1:12">
      <c r="A4467" s="20" t="s">
        <v>1293</v>
      </c>
      <c r="E4467" s="21">
        <f>IF(D4467="?OLD","!!!","")</f>
        <v/>
      </c>
      <c r="F4467" s="22" t="str">
        <f>IF(OR(E4467="",E4467="!!!"),"",IF(NOT(ISNA(VLOOKUP(E4467,E$1:E4466,1,FALSE()))),"OLD",IF(AND(E4467&lt;&gt;"",E4467&lt;&gt;"!!!"),"NEW","")))</f>
        <v> </v>
      </c>
      <c r="G4467" s="23" t="str">
        <f>IF(OR(E4467="",E4467="!!!"),"",IF(OR(J4467=0,AND(J4467=1,K4467=1),AND(J4467=1,I4467="SBJ"),AND(J4467=1,I4467=0)),"?IN_FOCUS",IF(J4467&lt;=2,"?ACTIVATED",IF(J4467&lt;&gt;"","?FAMILIAR",IF(F4467="NEW",IF(ISNA(VLOOKUP(E4467,#REF!,1,FALSE())),"?TYPE_IDENTIFIABLE","?REFERENTIAL"),"_")))))</f>
        <v> </v>
      </c>
      <c r="H4467" s="24" t="str">
        <f>IF(J4467&lt;&gt;1,"",IF(I4467="SBJ","CB","?"))</f>
        <v> </v>
      </c>
      <c r="I4467" s="25" t="str">
        <f>IF(OR(E4467="",E4467="!!!",F4467="NEW"),"",INDEX(B4466:B$2,-1+SUMPRODUCT(MAX(ROW(E4466:E$2)*(E4467=E4466:E$2)))))</f>
        <v> </v>
      </c>
      <c r="J4467" s="25" t="str">
        <f>IF(OR(E4467="",E4467="!!!",F4467="NEW"),"",COUNTBLANK(OFFSET(A$1,,,SUMPRODUCT(MAX(ROW(E$2:E4467)*(E4467=E$2:E4467)))))-COUNTBLANK(OFFSET(A$1,,,SUMPRODUCT(MAX(ROW(E$1:E4466)*(E2=E$1:E4466))))))</f>
        <v> </v>
      </c>
      <c r="K4467" s="25" t="str">
        <f>IF(OR(E4467="",E4467="!!!",F4467="NEW"),"",INDEX(J$1:J4466,SUMPRODUCT(MAX(ROW(E$1:E4466)*(E4467=E$1:E4466)))))</f>
        <v> </v>
      </c>
      <c r="L4467" s="26"/>
    </row>
    <row r="4468" spans="1:12">
      <c r="A4468" s="20" t="s">
        <v>3069</v>
      </c>
      <c r="E4468" s="21">
        <f>IF(D4468="?OLD","!!!","")</f>
        <v/>
      </c>
      <c r="F4468" s="22" t="str">
        <f>IF(OR(E4468="",E4468="!!!"),"",IF(NOT(ISNA(VLOOKUP(E4468,E$1:E4467,1,FALSE()))),"OLD",IF(AND(E4468&lt;&gt;"",E4468&lt;&gt;"!!!"),"NEW","")))</f>
        <v> </v>
      </c>
      <c r="G4468" s="23" t="str">
        <f>IF(OR(E4468="",E4468="!!!"),"",IF(OR(J4468=0,AND(J4468=1,K4468=1),AND(J4468=1,I4468="SBJ"),AND(J4468=1,I4468=0)),"?IN_FOCUS",IF(J4468&lt;=2,"?ACTIVATED",IF(J4468&lt;&gt;"","?FAMILIAR",IF(F4468="NEW",IF(ISNA(VLOOKUP(E4468,#REF!,1,FALSE())),"?TYPE_IDENTIFIABLE","?REFERENTIAL"),"_")))))</f>
        <v> </v>
      </c>
      <c r="H4468" s="24" t="str">
        <f>IF(J4468&lt;&gt;1,"",IF(I4468="SBJ","CB","?"))</f>
        <v> </v>
      </c>
      <c r="I4468" s="25" t="str">
        <f>IF(OR(E4468="",E4468="!!!",F4468="NEW"),"",INDEX(B4467:B$2,-1+SUMPRODUCT(MAX(ROW(E4467:E$2)*(E4468=E4467:E$2)))))</f>
        <v> </v>
      </c>
      <c r="J4468" s="25" t="str">
        <f>IF(OR(E4468="",E4468="!!!",F4468="NEW"),"",COUNTBLANK(OFFSET(A$1,,,SUMPRODUCT(MAX(ROW(E$2:E4468)*(E4468=E$2:E4468)))))-COUNTBLANK(OFFSET(A$1,,,SUMPRODUCT(MAX(ROW(E$1:E4467)*(E2=E$1:E4467))))))</f>
        <v> </v>
      </c>
      <c r="K4468" s="25" t="str">
        <f>IF(OR(E4468="",E4468="!!!",F4468="NEW"),"",INDEX(J$1:J4467,SUMPRODUCT(MAX(ROW(E$1:E4467)*(E4468=E$1:E4467)))))</f>
        <v> </v>
      </c>
      <c r="L4468" s="26"/>
    </row>
    <row r="4469" spans="1:12">
      <c r="A4469" s="20" t="s">
        <v>3070</v>
      </c>
      <c r="B4469" s="27" t="s">
        <v>1125</v>
      </c>
      <c r="E4469" s="21">
        <f>IF(D4469="?OLD","!!!","")</f>
        <v/>
      </c>
      <c r="F4469" s="22" t="str">
        <f>IF(OR(E4469="",E4469="!!!"),"",IF(NOT(ISNA(VLOOKUP(E4469,E$1:E4468,1,FALSE()))),"OLD",IF(AND(E4469&lt;&gt;"",E4469&lt;&gt;"!!!"),"NEW","")))</f>
        <v> </v>
      </c>
      <c r="G4469" s="23" t="str">
        <f>IF(OR(E4469="",E4469="!!!"),"",IF(OR(J4469=0,AND(J4469=1,K4469=1),AND(J4469=1,I4469="SBJ"),AND(J4469=1,I4469=0)),"?IN_FOCUS",IF(J4469&lt;=2,"?ACTIVATED",IF(J4469&lt;&gt;"","?FAMILIAR",IF(F4469="NEW",IF(ISNA(VLOOKUP(E4469,#REF!,1,FALSE())),"?TYPE_IDENTIFIABLE","?REFERENTIAL"),"_")))))</f>
        <v> </v>
      </c>
      <c r="H4469" s="24" t="str">
        <f>IF(J4469&lt;&gt;1,"",IF(I4469="SBJ","CB","?"))</f>
        <v> </v>
      </c>
      <c r="I4469" s="25" t="str">
        <f>IF(OR(E4469="",E4469="!!!",F4469="NEW"),"",INDEX(B4468:B$2,-1+SUMPRODUCT(MAX(ROW(E4468:E$2)*(E4469=E4468:E$2)))))</f>
        <v> </v>
      </c>
      <c r="J4469" s="25" t="str">
        <f>IF(OR(E4469="",E4469="!!!",F4469="NEW"),"",COUNTBLANK(OFFSET(A$1,,,SUMPRODUCT(MAX(ROW(E$2:E4469)*(E4469=E$2:E4469)))))-COUNTBLANK(OFFSET(A$1,,,SUMPRODUCT(MAX(ROW(E$1:E4468)*(E2=E$1:E4468))))))</f>
        <v> </v>
      </c>
      <c r="K4469" s="25" t="str">
        <f>IF(OR(E4469="",E4469="!!!",F4469="NEW"),"",INDEX(J$1:J4468,SUMPRODUCT(MAX(ROW(E$1:E4468)*(E4469=E$1:E4468)))))</f>
        <v> </v>
      </c>
      <c r="L4469" s="26"/>
    </row>
    <row r="4470" spans="1:12">
      <c r="A4470" s="20" t="s">
        <v>3071</v>
      </c>
      <c r="E4470" s="21">
        <f>IF(D4470="?OLD","!!!","")</f>
        <v/>
      </c>
      <c r="F4470" s="22" t="str">
        <f>IF(OR(E4470="",E4470="!!!"),"",IF(NOT(ISNA(VLOOKUP(E4470,E$1:E4469,1,FALSE()))),"OLD",IF(AND(E4470&lt;&gt;"",E4470&lt;&gt;"!!!"),"NEW","")))</f>
        <v> </v>
      </c>
      <c r="G4470" s="23" t="str">
        <f>IF(OR(E4470="",E4470="!!!"),"",IF(OR(J4470=0,AND(J4470=1,K4470=1),AND(J4470=1,I4470="SBJ"),AND(J4470=1,I4470=0)),"?IN_FOCUS",IF(J4470&lt;=2,"?ACTIVATED",IF(J4470&lt;&gt;"","?FAMILIAR",IF(F4470="NEW",IF(ISNA(VLOOKUP(E4470,#REF!,1,FALSE())),"?TYPE_IDENTIFIABLE","?REFERENTIAL"),"_")))))</f>
        <v> </v>
      </c>
      <c r="H4470" s="24" t="str">
        <f>IF(J4470&lt;&gt;1,"",IF(I4470="SBJ","CB","?"))</f>
        <v> </v>
      </c>
      <c r="I4470" s="25" t="str">
        <f>IF(OR(E4470="",E4470="!!!",F4470="NEW"),"",INDEX(B4469:B$2,-1+SUMPRODUCT(MAX(ROW(E4469:E$2)*(E4470=E4469:E$2)))))</f>
        <v> </v>
      </c>
      <c r="J4470" s="25" t="str">
        <f>IF(OR(E4470="",E4470="!!!",F4470="NEW"),"",COUNTBLANK(OFFSET(A$1,,,SUMPRODUCT(MAX(ROW(E$2:E4470)*(E4470=E$2:E4470)))))-COUNTBLANK(OFFSET(A$1,,,SUMPRODUCT(MAX(ROW(E$1:E4469)*(E2=E$1:E4469))))))</f>
        <v> </v>
      </c>
      <c r="K4470" s="25" t="str">
        <f>IF(OR(E4470="",E4470="!!!",F4470="NEW"),"",INDEX(J$1:J4469,SUMPRODUCT(MAX(ROW(E$1:E4469)*(E4470=E$1:E4469)))))</f>
        <v> </v>
      </c>
      <c r="L4470" s="26"/>
    </row>
    <row r="4471" spans="1:12">
      <c r="A4471" s="20" t="s">
        <v>1249</v>
      </c>
      <c r="E4471" s="21">
        <f>IF(D4471="?OLD","!!!","")</f>
        <v/>
      </c>
      <c r="F4471" s="22" t="str">
        <f>IF(OR(E4471="",E4471="!!!"),"",IF(NOT(ISNA(VLOOKUP(E4471,E$1:E4470,1,FALSE()))),"OLD",IF(AND(E4471&lt;&gt;"",E4471&lt;&gt;"!!!"),"NEW","")))</f>
        <v> </v>
      </c>
      <c r="G4471" s="23" t="str">
        <f>IF(OR(E4471="",E4471="!!!"),"",IF(OR(J4471=0,AND(J4471=1,K4471=1),AND(J4471=1,I4471="SBJ"),AND(J4471=1,I4471=0)),"?IN_FOCUS",IF(J4471&lt;=2,"?ACTIVATED",IF(J4471&lt;&gt;"","?FAMILIAR",IF(F4471="NEW",IF(ISNA(VLOOKUP(E4471,#REF!,1,FALSE())),"?TYPE_IDENTIFIABLE","?REFERENTIAL"),"_")))))</f>
        <v> </v>
      </c>
      <c r="H4471" s="24" t="str">
        <f>IF(J4471&lt;&gt;1,"",IF(I4471="SBJ","CB","?"))</f>
        <v> </v>
      </c>
      <c r="I4471" s="25" t="str">
        <f>IF(OR(E4471="",E4471="!!!",F4471="NEW"),"",INDEX(B4470:B$2,-1+SUMPRODUCT(MAX(ROW(E4470:E$2)*(E4471=E4470:E$2)))))</f>
        <v> </v>
      </c>
      <c r="J4471" s="25" t="str">
        <f>IF(OR(E4471="",E4471="!!!",F4471="NEW"),"",COUNTBLANK(OFFSET(A$1,,,SUMPRODUCT(MAX(ROW(E$2:E4471)*(E4471=E$2:E4471)))))-COUNTBLANK(OFFSET(A$1,,,SUMPRODUCT(MAX(ROW(E$1:E4470)*(E2=E$1:E4470))))))</f>
        <v> </v>
      </c>
      <c r="K4471" s="25" t="str">
        <f>IF(OR(E4471="",E4471="!!!",F4471="NEW"),"",INDEX(J$1:J4470,SUMPRODUCT(MAX(ROW(E$1:E4470)*(E4471=E$1:E4470)))))</f>
        <v> </v>
      </c>
      <c r="L4471" s="26"/>
    </row>
    <row r="4472" spans="1:12">
      <c r="A4472" s="20" t="s">
        <v>1421</v>
      </c>
      <c r="B4472" s="27" t="s">
        <v>1132</v>
      </c>
      <c r="C4472" s="27" t="s">
        <v>1126</v>
      </c>
      <c r="D4472" s="27" t="s">
        <v>1105</v>
      </c>
      <c r="E4472" s="21">
        <f>IF(D4472="?OLD","!!!","")</f>
        <v/>
      </c>
      <c r="F4472" s="22" t="str">
        <f>IF(OR(E4472="",E4472="!!!"),"",IF(NOT(ISNA(VLOOKUP(E4472,E$1:E4471,1,FALSE()))),"OLD",IF(AND(E4472&lt;&gt;"",E4472&lt;&gt;"!!!"),"NEW","")))</f>
        <v> </v>
      </c>
      <c r="G4472" s="23" t="str">
        <f>IF(OR(E4472="",E4472="!!!"),"",IF(OR(J4472=0,AND(J4472=1,K4472=1),AND(J4472=1,I4472="SBJ"),AND(J4472=1,I4472=0)),"?IN_FOCUS",IF(J4472&lt;=2,"?ACTIVATED",IF(J4472&lt;&gt;"","?FAMILIAR",IF(F4472="NEW",IF(ISNA(VLOOKUP(E4472,#REF!,1,FALSE())),"?TYPE_IDENTIFIABLE","?REFERENTIAL"),"_")))))</f>
        <v> </v>
      </c>
      <c r="H4472" s="24" t="str">
        <f>IF(J4472&lt;&gt;1,"",IF(I4472="SBJ","CB","?"))</f>
        <v> </v>
      </c>
      <c r="I4472" s="25" t="str">
        <f>IF(OR(E4472="",E4472="!!!",F4472="NEW"),"",INDEX(B4471:B$2,-1+SUMPRODUCT(MAX(ROW(E4471:E$2)*(E4472=E4471:E$2)))))</f>
        <v> </v>
      </c>
      <c r="J4472" s="25" t="str">
        <f>IF(OR(E4472="",E4472="!!!",F4472="NEW"),"",COUNTBLANK(OFFSET(A$1,,,SUMPRODUCT(MAX(ROW(E$2:E4472)*(E4472=E$2:E4472)))))-COUNTBLANK(OFFSET(A$1,,,SUMPRODUCT(MAX(ROW(E$1:E4471)*(E2=E$1:E4471))))))</f>
        <v> </v>
      </c>
      <c r="K4472" s="25" t="str">
        <f>IF(OR(E4472="",E4472="!!!",F4472="NEW"),"",INDEX(J$1:J4471,SUMPRODUCT(MAX(ROW(E$1:E4471)*(E4472=E$1:E4471)))))</f>
        <v> </v>
      </c>
      <c r="L4472" s="26"/>
    </row>
    <row r="4473" spans="1:12">
      <c r="A4473" s="20" t="s">
        <v>1101</v>
      </c>
      <c r="E4473" s="21">
        <f>IF(D4473="?OLD","!!!","")</f>
        <v/>
      </c>
      <c r="F4473" s="22" t="str">
        <f>IF(OR(E4473="",E4473="!!!"),"",IF(NOT(ISNA(VLOOKUP(E4473,E$1:E4472,1,FALSE()))),"OLD",IF(AND(E4473&lt;&gt;"",E4473&lt;&gt;"!!!"),"NEW","")))</f>
        <v> </v>
      </c>
      <c r="G4473" s="23" t="str">
        <f>IF(OR(E4473="",E4473="!!!"),"",IF(OR(J4473=0,AND(J4473=1,K4473=1),AND(J4473=1,I4473="SBJ"),AND(J4473=1,I4473=0)),"?IN_FOCUS",IF(J4473&lt;=2,"?ACTIVATED",IF(J4473&lt;&gt;"","?FAMILIAR",IF(F4473="NEW",IF(ISNA(VLOOKUP(E4473,#REF!,1,FALSE())),"?TYPE_IDENTIFIABLE","?REFERENTIAL"),"_")))))</f>
        <v> </v>
      </c>
      <c r="H4473" s="24" t="str">
        <f>IF(J4473&lt;&gt;1,"",IF(I4473="SBJ","CB","?"))</f>
        <v> </v>
      </c>
      <c r="I4473" s="25" t="str">
        <f>IF(OR(E4473="",E4473="!!!",F4473="NEW"),"",INDEX(B4472:B$2,-1+SUMPRODUCT(MAX(ROW(E4472:E$2)*(E4473=E4472:E$2)))))</f>
        <v> </v>
      </c>
      <c r="J4473" s="25" t="str">
        <f>IF(OR(E4473="",E4473="!!!",F4473="NEW"),"",COUNTBLANK(OFFSET(A$1,,,SUMPRODUCT(MAX(ROW(E$2:E4473)*(E4473=E$2:E4473)))))-COUNTBLANK(OFFSET(A$1,,,SUMPRODUCT(MAX(ROW(E$1:E4472)*(E2=E$1:E4472))))))</f>
        <v> </v>
      </c>
      <c r="K4473" s="25" t="str">
        <f>IF(OR(E4473="",E4473="!!!",F4473="NEW"),"",INDEX(J$1:J4472,SUMPRODUCT(MAX(ROW(E$1:E4472)*(E4473=E$1:E4472)))))</f>
        <v> </v>
      </c>
      <c r="L4473" s="26"/>
    </row>
    <row r="4474" spans="1:12">
      <c r="A4474" s="20" t="s">
        <v>3072</v>
      </c>
      <c r="E4474" s="21">
        <f>IF(D4474="?OLD","!!!","")</f>
        <v/>
      </c>
      <c r="F4474" s="22" t="str">
        <f>IF(OR(E4474="",E4474="!!!"),"",IF(NOT(ISNA(VLOOKUP(E4474,E$1:E4473,1,FALSE()))),"OLD",IF(AND(E4474&lt;&gt;"",E4474&lt;&gt;"!!!"),"NEW","")))</f>
        <v> </v>
      </c>
      <c r="G4474" s="23" t="str">
        <f>IF(OR(E4474="",E4474="!!!"),"",IF(OR(J4474=0,AND(J4474=1,K4474=1),AND(J4474=1,I4474="SBJ"),AND(J4474=1,I4474=0)),"?IN_FOCUS",IF(J4474&lt;=2,"?ACTIVATED",IF(J4474&lt;&gt;"","?FAMILIAR",IF(F4474="NEW",IF(ISNA(VLOOKUP(E4474,#REF!,1,FALSE())),"?TYPE_IDENTIFIABLE","?REFERENTIAL"),"_")))))</f>
        <v> </v>
      </c>
      <c r="H4474" s="24" t="str">
        <f>IF(J4474&lt;&gt;1,"",IF(I4474="SBJ","CB","?"))</f>
        <v> </v>
      </c>
      <c r="I4474" s="25" t="str">
        <f>IF(OR(E4474="",E4474="!!!",F4474="NEW"),"",INDEX(B4473:B$2,-1+SUMPRODUCT(MAX(ROW(E4473:E$2)*(E4474=E4473:E$2)))))</f>
        <v> </v>
      </c>
      <c r="J4474" s="25" t="str">
        <f>IF(OR(E4474="",E4474="!!!",F4474="NEW"),"",COUNTBLANK(OFFSET(A$1,,,SUMPRODUCT(MAX(ROW(E$2:E4474)*(E4474=E$2:E4474)))))-COUNTBLANK(OFFSET(A$1,,,SUMPRODUCT(MAX(ROW(E$1:E4473)*(E2=E$1:E4473))))))</f>
        <v> </v>
      </c>
      <c r="K4474" s="25" t="str">
        <f>IF(OR(E4474="",E4474="!!!",F4474="NEW"),"",INDEX(J$1:J4473,SUMPRODUCT(MAX(ROW(E$1:E4473)*(E4474=E$1:E4473)))))</f>
        <v> </v>
      </c>
      <c r="L4474" s="26"/>
    </row>
    <row r="4475" spans="1:12">
      <c r="A4475" s="20" t="s">
        <v>1145</v>
      </c>
      <c r="E4475" s="21">
        <f>IF(D4475="?OLD","!!!","")</f>
        <v/>
      </c>
      <c r="F4475" s="22" t="str">
        <f>IF(OR(E4475="",E4475="!!!"),"",IF(NOT(ISNA(VLOOKUP(E4475,E$1:E4474,1,FALSE()))),"OLD",IF(AND(E4475&lt;&gt;"",E4475&lt;&gt;"!!!"),"NEW","")))</f>
        <v> </v>
      </c>
      <c r="G4475" s="23" t="str">
        <f>IF(OR(E4475="",E4475="!!!"),"",IF(OR(J4475=0,AND(J4475=1,K4475=1),AND(J4475=1,I4475="SBJ"),AND(J4475=1,I4475=0)),"?IN_FOCUS",IF(J4475&lt;=2,"?ACTIVATED",IF(J4475&lt;&gt;"","?FAMILIAR",IF(F4475="NEW",IF(ISNA(VLOOKUP(E4475,#REF!,1,FALSE())),"?TYPE_IDENTIFIABLE","?REFERENTIAL"),"_")))))</f>
        <v> </v>
      </c>
      <c r="H4475" s="24" t="str">
        <f>IF(J4475&lt;&gt;1,"",IF(I4475="SBJ","CB","?"))</f>
        <v> </v>
      </c>
      <c r="I4475" s="25" t="str">
        <f>IF(OR(E4475="",E4475="!!!",F4475="NEW"),"",INDEX(B4474:B$2,-1+SUMPRODUCT(MAX(ROW(E4474:E$2)*(E4475=E4474:E$2)))))</f>
        <v> </v>
      </c>
      <c r="J4475" s="25" t="str">
        <f>IF(OR(E4475="",E4475="!!!",F4475="NEW"),"",COUNTBLANK(OFFSET(A$1,,,SUMPRODUCT(MAX(ROW(E$2:E4475)*(E4475=E$2:E4475)))))-COUNTBLANK(OFFSET(A$1,,,SUMPRODUCT(MAX(ROW(E$1:E4474)*(E2=E$1:E4474))))))</f>
        <v> </v>
      </c>
      <c r="K4475" s="25" t="str">
        <f>IF(OR(E4475="",E4475="!!!",F4475="NEW"),"",INDEX(J$1:J4474,SUMPRODUCT(MAX(ROW(E$1:E4474)*(E4475=E$1:E4474)))))</f>
        <v> </v>
      </c>
      <c r="L4475" s="26"/>
    </row>
    <row r="4476" spans="1:12">
      <c r="A4476" s="20"/>
    </row>
    <row r="4477" spans="1:12">
      <c r="A4477" s="20" t="s">
        <v>3073</v>
      </c>
    </row>
    <row r="4478" spans="1:12">
      <c r="A4478" s="20" t="s">
        <v>1507</v>
      </c>
      <c r="B4478" s="27" t="s">
        <v>1149</v>
      </c>
      <c r="C4478" s="27" t="s">
        <v>1108</v>
      </c>
      <c r="D4478" s="27" t="s">
        <v>1105</v>
      </c>
      <c r="E4478" s="21">
        <f>IF(D4478="?OLD","!!!","")</f>
        <v/>
      </c>
      <c r="F4478" s="22" t="str">
        <f>IF(OR(E4478="",E4478="!!!"),"",IF(NOT(ISNA(VLOOKUP(E4478,E$1:E4477,1,FALSE()))),"OLD",IF(AND(E4478&lt;&gt;"",E4478&lt;&gt;"!!!"),"NEW","")))</f>
        <v> </v>
      </c>
      <c r="G4478" s="23" t="str">
        <f>IF(OR(E4478="",E4478="!!!"),"",IF(OR(J4478=0,AND(J4478=1,K4478=1),AND(J4478=1,I4478="SBJ"),AND(J4478=1,I4478=0)),"?IN_FOCUS",IF(J4478&lt;=2,"?ACTIVATED",IF(J4478&lt;&gt;"","?FAMILIAR",IF(F4478="NEW",IF(ISNA(VLOOKUP(E4478,#REF!,1,FALSE())),"?TYPE_IDENTIFIABLE","?REFERENTIAL"),"_")))))</f>
        <v> </v>
      </c>
      <c r="H4478" s="24" t="str">
        <f>IF(J4478&lt;&gt;1,"",IF(I4478="SBJ","CB","?"))</f>
        <v> </v>
      </c>
      <c r="I4478" s="25" t="str">
        <f>IF(OR(E4478="",E4478="!!!",F4478="NEW"),"",INDEX(B4477:B$2,-1+SUMPRODUCT(MAX(ROW(E4477:E$2)*(E4478=E4477:E$2)))))</f>
        <v> </v>
      </c>
      <c r="J4478" s="25" t="str">
        <f>IF(OR(E4478="",E4478="!!!",F4478="NEW"),"",COUNTBLANK(OFFSET(A$1,,,SUMPRODUCT(MAX(ROW(E$2:E4478)*(E4478=E$2:E4478)))))-COUNTBLANK(OFFSET(A$1,,,SUMPRODUCT(MAX(ROW(E$1:E4477)*(E2=E$1:E4477))))))</f>
        <v> </v>
      </c>
      <c r="K4478" s="25" t="str">
        <f>IF(OR(E4478="",E4478="!!!",F4478="NEW"),"",INDEX(J$1:J4477,SUMPRODUCT(MAX(ROW(E$1:E4477)*(E4478=E$1:E4477)))))</f>
        <v> </v>
      </c>
      <c r="L4478" s="26"/>
    </row>
    <row r="4479" spans="1:12">
      <c r="A4479" s="20" t="s">
        <v>3074</v>
      </c>
      <c r="E4479" s="21">
        <f>IF(D4479="?OLD","!!!","")</f>
        <v/>
      </c>
      <c r="F4479" s="22" t="str">
        <f>IF(OR(E4479="",E4479="!!!"),"",IF(NOT(ISNA(VLOOKUP(E4479,E$1:E4478,1,FALSE()))),"OLD",IF(AND(E4479&lt;&gt;"",E4479&lt;&gt;"!!!"),"NEW","")))</f>
        <v> </v>
      </c>
      <c r="G4479" s="23" t="str">
        <f>IF(OR(E4479="",E4479="!!!"),"",IF(OR(J4479=0,AND(J4479=1,K4479=1),AND(J4479=1,I4479="SBJ"),AND(J4479=1,I4479=0)),"?IN_FOCUS",IF(J4479&lt;=2,"?ACTIVATED",IF(J4479&lt;&gt;"","?FAMILIAR",IF(F4479="NEW",IF(ISNA(VLOOKUP(E4479,#REF!,1,FALSE())),"?TYPE_IDENTIFIABLE","?REFERENTIAL"),"_")))))</f>
        <v> </v>
      </c>
      <c r="H4479" s="24" t="str">
        <f>IF(J4479&lt;&gt;1,"",IF(I4479="SBJ","CB","?"))</f>
        <v> </v>
      </c>
      <c r="I4479" s="25" t="str">
        <f>IF(OR(E4479="",E4479="!!!",F4479="NEW"),"",INDEX(B4478:B$2,-1+SUMPRODUCT(MAX(ROW(E4478:E$2)*(E4479=E4478:E$2)))))</f>
        <v> </v>
      </c>
      <c r="J4479" s="25" t="str">
        <f>IF(OR(E4479="",E4479="!!!",F4479="NEW"),"",COUNTBLANK(OFFSET(A$1,,,SUMPRODUCT(MAX(ROW(E$2:E4479)*(E4479=E$2:E4479)))))-COUNTBLANK(OFFSET(A$1,,,SUMPRODUCT(MAX(ROW(E$1:E4478)*(E2=E$1:E4478))))))</f>
        <v> </v>
      </c>
      <c r="K4479" s="25" t="str">
        <f>IF(OR(E4479="",E4479="!!!",F4479="NEW"),"",INDEX(J$1:J4478,SUMPRODUCT(MAX(ROW(E$1:E4478)*(E4479=E$1:E4478)))))</f>
        <v> </v>
      </c>
      <c r="L4479" s="26"/>
    </row>
    <row r="4480" spans="1:12">
      <c r="A4480" s="20" t="s">
        <v>3075</v>
      </c>
      <c r="E4480" s="21">
        <f>IF(D4480="?OLD","!!!","")</f>
        <v/>
      </c>
      <c r="F4480" s="22" t="str">
        <f>IF(OR(E4480="",E4480="!!!"),"",IF(NOT(ISNA(VLOOKUP(E4480,E$1:E4479,1,FALSE()))),"OLD",IF(AND(E4480&lt;&gt;"",E4480&lt;&gt;"!!!"),"NEW","")))</f>
        <v> </v>
      </c>
      <c r="G4480" s="23" t="str">
        <f>IF(OR(E4480="",E4480="!!!"),"",IF(OR(J4480=0,AND(J4480=1,K4480=1),AND(J4480=1,I4480="SBJ"),AND(J4480=1,I4480=0)),"?IN_FOCUS",IF(J4480&lt;=2,"?ACTIVATED",IF(J4480&lt;&gt;"","?FAMILIAR",IF(F4480="NEW",IF(ISNA(VLOOKUP(E4480,#REF!,1,FALSE())),"?TYPE_IDENTIFIABLE","?REFERENTIAL"),"_")))))</f>
        <v> </v>
      </c>
      <c r="H4480" s="24" t="str">
        <f>IF(J4480&lt;&gt;1,"",IF(I4480="SBJ","CB","?"))</f>
        <v> </v>
      </c>
      <c r="I4480" s="25" t="str">
        <f>IF(OR(E4480="",E4480="!!!",F4480="NEW"),"",INDEX(B4479:B$2,-1+SUMPRODUCT(MAX(ROW(E4479:E$2)*(E4480=E4479:E$2)))))</f>
        <v> </v>
      </c>
      <c r="J4480" s="25" t="str">
        <f>IF(OR(E4480="",E4480="!!!",F4480="NEW"),"",COUNTBLANK(OFFSET(A$1,,,SUMPRODUCT(MAX(ROW(E$2:E4480)*(E4480=E$2:E4480)))))-COUNTBLANK(OFFSET(A$1,,,SUMPRODUCT(MAX(ROW(E$1:E4479)*(E2=E$1:E4479))))))</f>
        <v> </v>
      </c>
      <c r="K4480" s="25" t="str">
        <f>IF(OR(E4480="",E4480="!!!",F4480="NEW"),"",INDEX(J$1:J4479,SUMPRODUCT(MAX(ROW(E$1:E4479)*(E4480=E$1:E4479)))))</f>
        <v> </v>
      </c>
      <c r="L4480" s="26"/>
    </row>
    <row r="4481" spans="1:12">
      <c r="A4481" s="20" t="s">
        <v>1351</v>
      </c>
      <c r="E4481" s="21">
        <f>IF(D4481="?OLD","!!!","")</f>
        <v/>
      </c>
      <c r="F4481" s="22" t="str">
        <f>IF(OR(E4481="",E4481="!!!"),"",IF(NOT(ISNA(VLOOKUP(E4481,E$1:E4480,1,FALSE()))),"OLD",IF(AND(E4481&lt;&gt;"",E4481&lt;&gt;"!!!"),"NEW","")))</f>
        <v> </v>
      </c>
      <c r="G4481" s="23" t="str">
        <f>IF(OR(E4481="",E4481="!!!"),"",IF(OR(J4481=0,AND(J4481=1,K4481=1),AND(J4481=1,I4481="SBJ"),AND(J4481=1,I4481=0)),"?IN_FOCUS",IF(J4481&lt;=2,"?ACTIVATED",IF(J4481&lt;&gt;"","?FAMILIAR",IF(F4481="NEW",IF(ISNA(VLOOKUP(E4481,#REF!,1,FALSE())),"?TYPE_IDENTIFIABLE","?REFERENTIAL"),"_")))))</f>
        <v> </v>
      </c>
      <c r="H4481" s="24" t="str">
        <f>IF(J4481&lt;&gt;1,"",IF(I4481="SBJ","CB","?"))</f>
        <v> </v>
      </c>
      <c r="I4481" s="25" t="str">
        <f>IF(OR(E4481="",E4481="!!!",F4481="NEW"),"",INDEX(B4480:B$2,-1+SUMPRODUCT(MAX(ROW(E4480:E$2)*(E4481=E4480:E$2)))))</f>
        <v> </v>
      </c>
      <c r="J4481" s="25" t="str">
        <f>IF(OR(E4481="",E4481="!!!",F4481="NEW"),"",COUNTBLANK(OFFSET(A$1,,,SUMPRODUCT(MAX(ROW(E$2:E4481)*(E4481=E$2:E4481)))))-COUNTBLANK(OFFSET(A$1,,,SUMPRODUCT(MAX(ROW(E$1:E4480)*(E2=E$1:E4480))))))</f>
        <v> </v>
      </c>
      <c r="K4481" s="25" t="str">
        <f>IF(OR(E4481="",E4481="!!!",F4481="NEW"),"",INDEX(J$1:J4480,SUMPRODUCT(MAX(ROW(E$1:E4480)*(E4481=E$1:E4480)))))</f>
        <v> </v>
      </c>
      <c r="L4481" s="26"/>
    </row>
    <row r="4482" spans="1:12">
      <c r="A4482" s="20"/>
    </row>
    <row r="4483" spans="1:12">
      <c r="A4483" s="20" t="s">
        <v>3076</v>
      </c>
    </row>
    <row r="4484" spans="1:12">
      <c r="A4484" s="20" t="s">
        <v>3077</v>
      </c>
      <c r="E4484" s="21">
        <f>IF(D4484="?OLD","!!!","")</f>
        <v/>
      </c>
      <c r="F4484" s="22" t="str">
        <f>IF(OR(E4484="",E4484="!!!"),"",IF(NOT(ISNA(VLOOKUP(E4484,E$1:E4483,1,FALSE()))),"OLD",IF(AND(E4484&lt;&gt;"",E4484&lt;&gt;"!!!"),"NEW","")))</f>
        <v> </v>
      </c>
      <c r="G4484" s="23" t="str">
        <f>IF(OR(E4484="",E4484="!!!"),"",IF(OR(J4484=0,AND(J4484=1,K4484=1),AND(J4484=1,I4484="SBJ"),AND(J4484=1,I4484=0)),"?IN_FOCUS",IF(J4484&lt;=2,"?ACTIVATED",IF(J4484&lt;&gt;"","?FAMILIAR",IF(F4484="NEW",IF(ISNA(VLOOKUP(E4484,#REF!,1,FALSE())),"?TYPE_IDENTIFIABLE","?REFERENTIAL"),"_")))))</f>
        <v> </v>
      </c>
      <c r="H4484" s="24" t="str">
        <f>IF(J4484&lt;&gt;1,"",IF(I4484="SBJ","CB","?"))</f>
        <v> </v>
      </c>
      <c r="I4484" s="25" t="str">
        <f>IF(OR(E4484="",E4484="!!!",F4484="NEW"),"",INDEX(B4483:B$2,-1+SUMPRODUCT(MAX(ROW(E4483:E$2)*(E4484=E4483:E$2)))))</f>
        <v> </v>
      </c>
      <c r="J4484" s="25" t="str">
        <f>IF(OR(E4484="",E4484="!!!",F4484="NEW"),"",COUNTBLANK(OFFSET(A$1,,,SUMPRODUCT(MAX(ROW(E$2:E4484)*(E4484=E$2:E4484)))))-COUNTBLANK(OFFSET(A$1,,,SUMPRODUCT(MAX(ROW(E$1:E4483)*(E2=E$1:E4483))))))</f>
        <v> </v>
      </c>
      <c r="K4484" s="25" t="str">
        <f>IF(OR(E4484="",E4484="!!!",F4484="NEW"),"",INDEX(J$1:J4483,SUMPRODUCT(MAX(ROW(E$1:E4483)*(E4484=E$1:E4483)))))</f>
        <v> </v>
      </c>
      <c r="L4484" s="26"/>
    </row>
    <row r="4485" spans="1:12">
      <c r="A4485" s="20" t="s">
        <v>1134</v>
      </c>
      <c r="E4485" s="21">
        <f>IF(D4485="?OLD","!!!","")</f>
        <v/>
      </c>
      <c r="F4485" s="22" t="str">
        <f>IF(OR(E4485="",E4485="!!!"),"",IF(NOT(ISNA(VLOOKUP(E4485,E$1:E4484,1,FALSE()))),"OLD",IF(AND(E4485&lt;&gt;"",E4485&lt;&gt;"!!!"),"NEW","")))</f>
        <v> </v>
      </c>
      <c r="G4485" s="23" t="str">
        <f>IF(OR(E4485="",E4485="!!!"),"",IF(OR(J4485=0,AND(J4485=1,K4485=1),AND(J4485=1,I4485="SBJ"),AND(J4485=1,I4485=0)),"?IN_FOCUS",IF(J4485&lt;=2,"?ACTIVATED",IF(J4485&lt;&gt;"","?FAMILIAR",IF(F4485="NEW",IF(ISNA(VLOOKUP(E4485,#REF!,1,FALSE())),"?TYPE_IDENTIFIABLE","?REFERENTIAL"),"_")))))</f>
        <v> </v>
      </c>
      <c r="H4485" s="24" t="str">
        <f>IF(J4485&lt;&gt;1,"",IF(I4485="SBJ","CB","?"))</f>
        <v> </v>
      </c>
      <c r="I4485" s="25" t="str">
        <f>IF(OR(E4485="",E4485="!!!",F4485="NEW"),"",INDEX(B4484:B$2,-1+SUMPRODUCT(MAX(ROW(E4484:E$2)*(E4485=E4484:E$2)))))</f>
        <v> </v>
      </c>
      <c r="J4485" s="25" t="str">
        <f>IF(OR(E4485="",E4485="!!!",F4485="NEW"),"",COUNTBLANK(OFFSET(A$1,,,SUMPRODUCT(MAX(ROW(E$2:E4485)*(E4485=E$2:E4485)))))-COUNTBLANK(OFFSET(A$1,,,SUMPRODUCT(MAX(ROW(E$1:E4484)*(E2=E$1:E4484))))))</f>
        <v> </v>
      </c>
      <c r="K4485" s="25" t="str">
        <f>IF(OR(E4485="",E4485="!!!",F4485="NEW"),"",INDEX(J$1:J4484,SUMPRODUCT(MAX(ROW(E$1:E4484)*(E4485=E$1:E4484)))))</f>
        <v> </v>
      </c>
      <c r="L4485" s="26"/>
    </row>
    <row r="4486" spans="1:12">
      <c r="A4486" s="20" t="s">
        <v>3078</v>
      </c>
      <c r="E4486" s="21">
        <f>IF(D4486="?OLD","!!!","")</f>
        <v/>
      </c>
      <c r="F4486" s="22" t="str">
        <f>IF(OR(E4486="",E4486="!!!"),"",IF(NOT(ISNA(VLOOKUP(E4486,E$1:E4485,1,FALSE()))),"OLD",IF(AND(E4486&lt;&gt;"",E4486&lt;&gt;"!!!"),"NEW","")))</f>
        <v> </v>
      </c>
      <c r="G4486" s="23" t="str">
        <f>IF(OR(E4486="",E4486="!!!"),"",IF(OR(J4486=0,AND(J4486=1,K4486=1),AND(J4486=1,I4486="SBJ"),AND(J4486=1,I4486=0)),"?IN_FOCUS",IF(J4486&lt;=2,"?ACTIVATED",IF(J4486&lt;&gt;"","?FAMILIAR",IF(F4486="NEW",IF(ISNA(VLOOKUP(E4486,#REF!,1,FALSE())),"?TYPE_IDENTIFIABLE","?REFERENTIAL"),"_")))))</f>
        <v> </v>
      </c>
      <c r="H4486" s="24" t="str">
        <f>IF(J4486&lt;&gt;1,"",IF(I4486="SBJ","CB","?"))</f>
        <v> </v>
      </c>
      <c r="I4486" s="25" t="str">
        <f>IF(OR(E4486="",E4486="!!!",F4486="NEW"),"",INDEX(B4485:B$2,-1+SUMPRODUCT(MAX(ROW(E4485:E$2)*(E4486=E4485:E$2)))))</f>
        <v> </v>
      </c>
      <c r="J4486" s="25" t="str">
        <f>IF(OR(E4486="",E4486="!!!",F4486="NEW"),"",COUNTBLANK(OFFSET(A$1,,,SUMPRODUCT(MAX(ROW(E$2:E4486)*(E4486=E$2:E4486)))))-COUNTBLANK(OFFSET(A$1,,,SUMPRODUCT(MAX(ROW(E$1:E4485)*(E2=E$1:E4485))))))</f>
        <v> </v>
      </c>
      <c r="K4486" s="25" t="str">
        <f>IF(OR(E4486="",E4486="!!!",F4486="NEW"),"",INDEX(J$1:J4485,SUMPRODUCT(MAX(ROW(E$1:E4485)*(E4486=E$1:E4485)))))</f>
        <v> </v>
      </c>
      <c r="L4486" s="26"/>
    </row>
    <row r="4487" spans="1:12">
      <c r="A4487" s="20" t="s">
        <v>1231</v>
      </c>
      <c r="E4487" s="21">
        <f>IF(D4487="?OLD","!!!","")</f>
        <v/>
      </c>
      <c r="F4487" s="22" t="str">
        <f>IF(OR(E4487="",E4487="!!!"),"",IF(NOT(ISNA(VLOOKUP(E4487,E$1:E4486,1,FALSE()))),"OLD",IF(AND(E4487&lt;&gt;"",E4487&lt;&gt;"!!!"),"NEW","")))</f>
        <v> </v>
      </c>
      <c r="G4487" s="23" t="str">
        <f>IF(OR(E4487="",E4487="!!!"),"",IF(OR(J4487=0,AND(J4487=1,K4487=1),AND(J4487=1,I4487="SBJ"),AND(J4487=1,I4487=0)),"?IN_FOCUS",IF(J4487&lt;=2,"?ACTIVATED",IF(J4487&lt;&gt;"","?FAMILIAR",IF(F4487="NEW",IF(ISNA(VLOOKUP(E4487,#REF!,1,FALSE())),"?TYPE_IDENTIFIABLE","?REFERENTIAL"),"_")))))</f>
        <v> </v>
      </c>
      <c r="H4487" s="24" t="str">
        <f>IF(J4487&lt;&gt;1,"",IF(I4487="SBJ","CB","?"))</f>
        <v> </v>
      </c>
      <c r="I4487" s="25" t="str">
        <f>IF(OR(E4487="",E4487="!!!",F4487="NEW"),"",INDEX(B4486:B$2,-1+SUMPRODUCT(MAX(ROW(E4486:E$2)*(E4487=E4486:E$2)))))</f>
        <v> </v>
      </c>
      <c r="J4487" s="25" t="str">
        <f>IF(OR(E4487="",E4487="!!!",F4487="NEW"),"",COUNTBLANK(OFFSET(A$1,,,SUMPRODUCT(MAX(ROW(E$2:E4487)*(E4487=E$2:E4487)))))-COUNTBLANK(OFFSET(A$1,,,SUMPRODUCT(MAX(ROW(E$1:E4486)*(E2=E$1:E4486))))))</f>
        <v> </v>
      </c>
      <c r="K4487" s="25" t="str">
        <f>IF(OR(E4487="",E4487="!!!",F4487="NEW"),"",INDEX(J$1:J4486,SUMPRODUCT(MAX(ROW(E$1:E4486)*(E4487=E$1:E4486)))))</f>
        <v> </v>
      </c>
      <c r="L4487" s="26"/>
    </row>
    <row r="4488" spans="1:12">
      <c r="A4488" s="20" t="s">
        <v>3079</v>
      </c>
      <c r="B4488" s="27" t="s">
        <v>1103</v>
      </c>
      <c r="C4488" s="27" t="s">
        <v>1116</v>
      </c>
      <c r="D4488" s="27" t="s">
        <v>1105</v>
      </c>
      <c r="E4488" s="21">
        <f>IF(D4488="?OLD","!!!","")</f>
        <v/>
      </c>
      <c r="F4488" s="22" t="str">
        <f>IF(OR(E4488="",E4488="!!!"),"",IF(NOT(ISNA(VLOOKUP(E4488,E$1:E4487,1,FALSE()))),"OLD",IF(AND(E4488&lt;&gt;"",E4488&lt;&gt;"!!!"),"NEW","")))</f>
        <v> </v>
      </c>
      <c r="G4488" s="23" t="str">
        <f>IF(OR(E4488="",E4488="!!!"),"",IF(OR(J4488=0,AND(J4488=1,K4488=1),AND(J4488=1,I4488="SBJ"),AND(J4488=1,I4488=0)),"?IN_FOCUS",IF(J4488&lt;=2,"?ACTIVATED",IF(J4488&lt;&gt;"","?FAMILIAR",IF(F4488="NEW",IF(ISNA(VLOOKUP(E4488,#REF!,1,FALSE())),"?TYPE_IDENTIFIABLE","?REFERENTIAL"),"_")))))</f>
        <v> </v>
      </c>
      <c r="H4488" s="24" t="str">
        <f>IF(J4488&lt;&gt;1,"",IF(I4488="SBJ","CB","?"))</f>
        <v> </v>
      </c>
      <c r="I4488" s="25" t="str">
        <f>IF(OR(E4488="",E4488="!!!",F4488="NEW"),"",INDEX(B4487:B$2,-1+SUMPRODUCT(MAX(ROW(E4487:E$2)*(E4488=E4487:E$2)))))</f>
        <v> </v>
      </c>
      <c r="J4488" s="25" t="str">
        <f>IF(OR(E4488="",E4488="!!!",F4488="NEW"),"",COUNTBLANK(OFFSET(A$1,,,SUMPRODUCT(MAX(ROW(E$2:E4488)*(E4488=E$2:E4488)))))-COUNTBLANK(OFFSET(A$1,,,SUMPRODUCT(MAX(ROW(E$1:E4487)*(E2=E$1:E4487))))))</f>
        <v> </v>
      </c>
      <c r="K4488" s="25" t="str">
        <f>IF(OR(E4488="",E4488="!!!",F4488="NEW"),"",INDEX(J$1:J4487,SUMPRODUCT(MAX(ROW(E$1:E4487)*(E4488=E$1:E4487)))))</f>
        <v> </v>
      </c>
      <c r="L4488" s="26"/>
    </row>
    <row r="4489" spans="1:12">
      <c r="A4489" s="20" t="s">
        <v>1123</v>
      </c>
      <c r="E4489" s="21">
        <f>IF(D4489="?OLD","!!!","")</f>
        <v/>
      </c>
      <c r="F4489" s="22" t="str">
        <f>IF(OR(E4489="",E4489="!!!"),"",IF(NOT(ISNA(VLOOKUP(E4489,E$1:E4488,1,FALSE()))),"OLD",IF(AND(E4489&lt;&gt;"",E4489&lt;&gt;"!!!"),"NEW","")))</f>
        <v> </v>
      </c>
      <c r="G4489" s="23" t="str">
        <f>IF(OR(E4489="",E4489="!!!"),"",IF(OR(J4489=0,AND(J4489=1,K4489=1),AND(J4489=1,I4489="SBJ"),AND(J4489=1,I4489=0)),"?IN_FOCUS",IF(J4489&lt;=2,"?ACTIVATED",IF(J4489&lt;&gt;"","?FAMILIAR",IF(F4489="NEW",IF(ISNA(VLOOKUP(E4489,#REF!,1,FALSE())),"?TYPE_IDENTIFIABLE","?REFERENTIAL"),"_")))))</f>
        <v> </v>
      </c>
      <c r="H4489" s="24" t="str">
        <f>IF(J4489&lt;&gt;1,"",IF(I4489="SBJ","CB","?"))</f>
        <v> </v>
      </c>
      <c r="I4489" s="25" t="str">
        <f>IF(OR(E4489="",E4489="!!!",F4489="NEW"),"",INDEX(B4488:B$2,-1+SUMPRODUCT(MAX(ROW(E4488:E$2)*(E4489=E4488:E$2)))))</f>
        <v> </v>
      </c>
      <c r="J4489" s="25" t="str">
        <f>IF(OR(E4489="",E4489="!!!",F4489="NEW"),"",COUNTBLANK(OFFSET(A$1,,,SUMPRODUCT(MAX(ROW(E$2:E4489)*(E4489=E$2:E4489)))))-COUNTBLANK(OFFSET(A$1,,,SUMPRODUCT(MAX(ROW(E$1:E4488)*(E2=E$1:E4488))))))</f>
        <v> </v>
      </c>
      <c r="K4489" s="25" t="str">
        <f>IF(OR(E4489="",E4489="!!!",F4489="NEW"),"",INDEX(J$1:J4488,SUMPRODUCT(MAX(ROW(E$1:E4488)*(E4489=E$1:E4488)))))</f>
        <v> </v>
      </c>
      <c r="L4489" s="26"/>
    </row>
    <row r="4490" spans="1:12">
      <c r="A4490" s="20" t="s">
        <v>135</v>
      </c>
      <c r="E4490" s="21">
        <f>IF(D4490="?OLD","!!!","")</f>
        <v/>
      </c>
      <c r="F4490" s="22" t="str">
        <f>IF(OR(E4490="",E4490="!!!"),"",IF(NOT(ISNA(VLOOKUP(E4490,E$1:E4489,1,FALSE()))),"OLD",IF(AND(E4490&lt;&gt;"",E4490&lt;&gt;"!!!"),"NEW","")))</f>
        <v> </v>
      </c>
      <c r="G4490" s="23" t="str">
        <f>IF(OR(E4490="",E4490="!!!"),"",IF(OR(J4490=0,AND(J4490=1,K4490=1),AND(J4490=1,I4490="SBJ"),AND(J4490=1,I4490=0)),"?IN_FOCUS",IF(J4490&lt;=2,"?ACTIVATED",IF(J4490&lt;&gt;"","?FAMILIAR",IF(F4490="NEW",IF(ISNA(VLOOKUP(E4490,#REF!,1,FALSE())),"?TYPE_IDENTIFIABLE","?REFERENTIAL"),"_")))))</f>
        <v> </v>
      </c>
      <c r="H4490" s="24" t="str">
        <f>IF(J4490&lt;&gt;1,"",IF(I4490="SBJ","CB","?"))</f>
        <v> </v>
      </c>
      <c r="I4490" s="25" t="str">
        <f>IF(OR(E4490="",E4490="!!!",F4490="NEW"),"",INDEX(B4489:B$2,-1+SUMPRODUCT(MAX(ROW(E4489:E$2)*(E4490=E4489:E$2)))))</f>
        <v> </v>
      </c>
      <c r="J4490" s="25" t="str">
        <f>IF(OR(E4490="",E4490="!!!",F4490="NEW"),"",COUNTBLANK(OFFSET(A$1,,,SUMPRODUCT(MAX(ROW(E$2:E4490)*(E4490=E$2:E4490)))))-COUNTBLANK(OFFSET(A$1,,,SUMPRODUCT(MAX(ROW(E$1:E4489)*(E2=E$1:E4489))))))</f>
        <v> </v>
      </c>
      <c r="K4490" s="25" t="str">
        <f>IF(OR(E4490="",E4490="!!!",F4490="NEW"),"",INDEX(J$1:J4489,SUMPRODUCT(MAX(ROW(E$1:E4489)*(E4490=E$1:E4489)))))</f>
        <v> </v>
      </c>
      <c r="L4490" s="26"/>
    </row>
    <row r="4491" spans="1:12">
      <c r="A4491" s="20" t="s">
        <v>763</v>
      </c>
      <c r="B4491" s="27" t="s">
        <v>1259</v>
      </c>
      <c r="E4491" s="21">
        <f>IF(D4491="?OLD","!!!","")</f>
        <v/>
      </c>
      <c r="F4491" s="22" t="str">
        <f>IF(OR(E4491="",E4491="!!!"),"",IF(NOT(ISNA(VLOOKUP(E4491,E$1:E4490,1,FALSE()))),"OLD",IF(AND(E4491&lt;&gt;"",E4491&lt;&gt;"!!!"),"NEW","")))</f>
        <v> </v>
      </c>
      <c r="G4491" s="23" t="str">
        <f>IF(OR(E4491="",E4491="!!!"),"",IF(OR(J4491=0,AND(J4491=1,K4491=1),AND(J4491=1,I4491="SBJ"),AND(J4491=1,I4491=0)),"?IN_FOCUS",IF(J4491&lt;=2,"?ACTIVATED",IF(J4491&lt;&gt;"","?FAMILIAR",IF(F4491="NEW",IF(ISNA(VLOOKUP(E4491,#REF!,1,FALSE())),"?TYPE_IDENTIFIABLE","?REFERENTIAL"),"_")))))</f>
        <v> </v>
      </c>
      <c r="H4491" s="24" t="str">
        <f>IF(J4491&lt;&gt;1,"",IF(I4491="SBJ","CB","?"))</f>
        <v> </v>
      </c>
      <c r="I4491" s="25" t="str">
        <f>IF(OR(E4491="",E4491="!!!",F4491="NEW"),"",INDEX(B4490:B$2,-1+SUMPRODUCT(MAX(ROW(E4490:E$2)*(E4491=E4490:E$2)))))</f>
        <v> </v>
      </c>
      <c r="J4491" s="25" t="str">
        <f>IF(OR(E4491="",E4491="!!!",F4491="NEW"),"",COUNTBLANK(OFFSET(A$1,,,SUMPRODUCT(MAX(ROW(E$2:E4491)*(E4491=E$2:E4491)))))-COUNTBLANK(OFFSET(A$1,,,SUMPRODUCT(MAX(ROW(E$1:E4490)*(E2=E$1:E4490))))))</f>
        <v> </v>
      </c>
      <c r="K4491" s="25" t="str">
        <f>IF(OR(E4491="",E4491="!!!",F4491="NEW"),"",INDEX(J$1:J4490,SUMPRODUCT(MAX(ROW(E$1:E4490)*(E4491=E$1:E4490)))))</f>
        <v> </v>
      </c>
      <c r="L4491" s="26"/>
    </row>
    <row r="4492" spans="1:12">
      <c r="A4492" s="20" t="s">
        <v>3080</v>
      </c>
      <c r="E4492" s="21">
        <f>IF(D4492="?OLD","!!!","")</f>
        <v/>
      </c>
      <c r="F4492" s="22" t="str">
        <f>IF(OR(E4492="",E4492="!!!"),"",IF(NOT(ISNA(VLOOKUP(E4492,E$1:E4491,1,FALSE()))),"OLD",IF(AND(E4492&lt;&gt;"",E4492&lt;&gt;"!!!"),"NEW","")))</f>
        <v> </v>
      </c>
      <c r="G4492" s="23" t="str">
        <f>IF(OR(E4492="",E4492="!!!"),"",IF(OR(J4492=0,AND(J4492=1,K4492=1),AND(J4492=1,I4492="SBJ"),AND(J4492=1,I4492=0)),"?IN_FOCUS",IF(J4492&lt;=2,"?ACTIVATED",IF(J4492&lt;&gt;"","?FAMILIAR",IF(F4492="NEW",IF(ISNA(VLOOKUP(E4492,#REF!,1,FALSE())),"?TYPE_IDENTIFIABLE","?REFERENTIAL"),"_")))))</f>
        <v> </v>
      </c>
      <c r="H4492" s="24" t="str">
        <f>IF(J4492&lt;&gt;1,"",IF(I4492="SBJ","CB","?"))</f>
        <v> </v>
      </c>
      <c r="I4492" s="25" t="str">
        <f>IF(OR(E4492="",E4492="!!!",F4492="NEW"),"",INDEX(B4491:B$2,-1+SUMPRODUCT(MAX(ROW(E4491:E$2)*(E4492=E4491:E$2)))))</f>
        <v> </v>
      </c>
      <c r="J4492" s="25" t="str">
        <f>IF(OR(E4492="",E4492="!!!",F4492="NEW"),"",COUNTBLANK(OFFSET(A$1,,,SUMPRODUCT(MAX(ROW(E$2:E4492)*(E4492=E$2:E4492)))))-COUNTBLANK(OFFSET(A$1,,,SUMPRODUCT(MAX(ROW(E$1:E4491)*(E2=E$1:E4491))))))</f>
        <v> </v>
      </c>
      <c r="K4492" s="25" t="str">
        <f>IF(OR(E4492="",E4492="!!!",F4492="NEW"),"",INDEX(J$1:J4491,SUMPRODUCT(MAX(ROW(E$1:E4491)*(E4492=E$1:E4491)))))</f>
        <v> </v>
      </c>
      <c r="L4492" s="26"/>
    </row>
    <row r="4493" spans="1:12">
      <c r="A4493" s="20" t="s">
        <v>1173</v>
      </c>
      <c r="E4493" s="21">
        <f>IF(D4493="?OLD","!!!","")</f>
        <v/>
      </c>
      <c r="F4493" s="22" t="str">
        <f>IF(OR(E4493="",E4493="!!!"),"",IF(NOT(ISNA(VLOOKUP(E4493,E$1:E4492,1,FALSE()))),"OLD",IF(AND(E4493&lt;&gt;"",E4493&lt;&gt;"!!!"),"NEW","")))</f>
        <v> </v>
      </c>
      <c r="G4493" s="23" t="str">
        <f>IF(OR(E4493="",E4493="!!!"),"",IF(OR(J4493=0,AND(J4493=1,K4493=1),AND(J4493=1,I4493="SBJ"),AND(J4493=1,I4493=0)),"?IN_FOCUS",IF(J4493&lt;=2,"?ACTIVATED",IF(J4493&lt;&gt;"","?FAMILIAR",IF(F4493="NEW",IF(ISNA(VLOOKUP(E4493,#REF!,1,FALSE())),"?TYPE_IDENTIFIABLE","?REFERENTIAL"),"_")))))</f>
        <v> </v>
      </c>
      <c r="H4493" s="24" t="str">
        <f>IF(J4493&lt;&gt;1,"",IF(I4493="SBJ","CB","?"))</f>
        <v> </v>
      </c>
      <c r="I4493" s="25" t="str">
        <f>IF(OR(E4493="",E4493="!!!",F4493="NEW"),"",INDEX(B4492:B$2,-1+SUMPRODUCT(MAX(ROW(E4492:E$2)*(E4493=E4492:E$2)))))</f>
        <v> </v>
      </c>
      <c r="J4493" s="25" t="str">
        <f>IF(OR(E4493="",E4493="!!!",F4493="NEW"),"",COUNTBLANK(OFFSET(A$1,,,SUMPRODUCT(MAX(ROW(E$2:E4493)*(E4493=E$2:E4493)))))-COUNTBLANK(OFFSET(A$1,,,SUMPRODUCT(MAX(ROW(E$1:E4492)*(E2=E$1:E4492))))))</f>
        <v> </v>
      </c>
      <c r="K4493" s="25" t="str">
        <f>IF(OR(E4493="",E4493="!!!",F4493="NEW"),"",INDEX(J$1:J4492,SUMPRODUCT(MAX(ROW(E$1:E4492)*(E4493=E$1:E4492)))))</f>
        <v> </v>
      </c>
      <c r="L4493" s="26"/>
    </row>
    <row r="4494" spans="1:12">
      <c r="A4494" s="20" t="s">
        <v>1166</v>
      </c>
      <c r="B4494" s="27" t="s">
        <v>1115</v>
      </c>
      <c r="C4494" s="27" t="s">
        <v>1126</v>
      </c>
      <c r="D4494" s="27" t="s">
        <v>1105</v>
      </c>
      <c r="E4494" s="21">
        <f>IF(D4494="?OLD","!!!","")</f>
        <v/>
      </c>
      <c r="F4494" s="22" t="str">
        <f>IF(OR(E4494="",E4494="!!!"),"",IF(NOT(ISNA(VLOOKUP(E4494,E$1:E4493,1,FALSE()))),"OLD",IF(AND(E4494&lt;&gt;"",E4494&lt;&gt;"!!!"),"NEW","")))</f>
        <v> </v>
      </c>
      <c r="G4494" s="23" t="str">
        <f>IF(OR(E4494="",E4494="!!!"),"",IF(OR(J4494=0,AND(J4494=1,K4494=1),AND(J4494=1,I4494="SBJ"),AND(J4494=1,I4494=0)),"?IN_FOCUS",IF(J4494&lt;=2,"?ACTIVATED",IF(J4494&lt;&gt;"","?FAMILIAR",IF(F4494="NEW",IF(ISNA(VLOOKUP(E4494,#REF!,1,FALSE())),"?TYPE_IDENTIFIABLE","?REFERENTIAL"),"_")))))</f>
        <v> </v>
      </c>
      <c r="H4494" s="24" t="str">
        <f>IF(J4494&lt;&gt;1,"",IF(I4494="SBJ","CB","?"))</f>
        <v> </v>
      </c>
      <c r="I4494" s="25" t="str">
        <f>IF(OR(E4494="",E4494="!!!",F4494="NEW"),"",INDEX(B4493:B$2,-1+SUMPRODUCT(MAX(ROW(E4493:E$2)*(E4494=E4493:E$2)))))</f>
        <v> </v>
      </c>
      <c r="J4494" s="25" t="str">
        <f>IF(OR(E4494="",E4494="!!!",F4494="NEW"),"",COUNTBLANK(OFFSET(A$1,,,SUMPRODUCT(MAX(ROW(E$2:E4494)*(E4494=E$2:E4494)))))-COUNTBLANK(OFFSET(A$1,,,SUMPRODUCT(MAX(ROW(E$1:E4493)*(E2=E$1:E4493))))))</f>
        <v> </v>
      </c>
      <c r="K4494" s="25" t="str">
        <f>IF(OR(E4494="",E4494="!!!",F4494="NEW"),"",INDEX(J$1:J4493,SUMPRODUCT(MAX(ROW(E$1:E4493)*(E4494=E$1:E4493)))))</f>
        <v> </v>
      </c>
      <c r="L4494" s="26"/>
    </row>
    <row r="4495" spans="1:12">
      <c r="A4495" s="20" t="s">
        <v>2099</v>
      </c>
      <c r="E4495" s="21">
        <f>IF(D4495="?OLD","!!!","")</f>
        <v/>
      </c>
      <c r="F4495" s="22" t="str">
        <f>IF(OR(E4495="",E4495="!!!"),"",IF(NOT(ISNA(VLOOKUP(E4495,E$1:E4494,1,FALSE()))),"OLD",IF(AND(E4495&lt;&gt;"",E4495&lt;&gt;"!!!"),"NEW","")))</f>
        <v> </v>
      </c>
      <c r="G4495" s="23" t="str">
        <f>IF(OR(E4495="",E4495="!!!"),"",IF(OR(J4495=0,AND(J4495=1,K4495=1),AND(J4495=1,I4495="SBJ"),AND(J4495=1,I4495=0)),"?IN_FOCUS",IF(J4495&lt;=2,"?ACTIVATED",IF(J4495&lt;&gt;"","?FAMILIAR",IF(F4495="NEW",IF(ISNA(VLOOKUP(E4495,#REF!,1,FALSE())),"?TYPE_IDENTIFIABLE","?REFERENTIAL"),"_")))))</f>
        <v> </v>
      </c>
      <c r="H4495" s="24" t="str">
        <f>IF(J4495&lt;&gt;1,"",IF(I4495="SBJ","CB","?"))</f>
        <v> </v>
      </c>
      <c r="I4495" s="25" t="str">
        <f>IF(OR(E4495="",E4495="!!!",F4495="NEW"),"",INDEX(B4494:B$2,-1+SUMPRODUCT(MAX(ROW(E4494:E$2)*(E4495=E4494:E$2)))))</f>
        <v> </v>
      </c>
      <c r="J4495" s="25" t="str">
        <f>IF(OR(E4495="",E4495="!!!",F4495="NEW"),"",COUNTBLANK(OFFSET(A$1,,,SUMPRODUCT(MAX(ROW(E$2:E4495)*(E4495=E$2:E4495)))))-COUNTBLANK(OFFSET(A$1,,,SUMPRODUCT(MAX(ROW(E$1:E4494)*(E2=E$1:E4494))))))</f>
        <v> </v>
      </c>
      <c r="K4495" s="25" t="str">
        <f>IF(OR(E4495="",E4495="!!!",F4495="NEW"),"",INDEX(J$1:J4494,SUMPRODUCT(MAX(ROW(E$1:E4494)*(E4495=E$1:E4494)))))</f>
        <v> </v>
      </c>
      <c r="L4495" s="26"/>
    </row>
    <row r="4496" spans="1:12">
      <c r="A4496" s="20" t="s">
        <v>1186</v>
      </c>
      <c r="B4496" s="27" t="s">
        <v>1141</v>
      </c>
      <c r="C4496" s="27" t="s">
        <v>1126</v>
      </c>
      <c r="D4496" s="27" t="s">
        <v>1105</v>
      </c>
      <c r="E4496" s="21">
        <f>IF(D4496="?OLD","!!!","")</f>
        <v/>
      </c>
      <c r="F4496" s="22" t="str">
        <f>IF(OR(E4496="",E4496="!!!"),"",IF(NOT(ISNA(VLOOKUP(E4496,E$1:E4495,1,FALSE()))),"OLD",IF(AND(E4496&lt;&gt;"",E4496&lt;&gt;"!!!"),"NEW","")))</f>
        <v> </v>
      </c>
      <c r="G4496" s="23" t="str">
        <f>IF(OR(E4496="",E4496="!!!"),"",IF(OR(J4496=0,AND(J4496=1,K4496=1),AND(J4496=1,I4496="SBJ"),AND(J4496=1,I4496=0)),"?IN_FOCUS",IF(J4496&lt;=2,"?ACTIVATED",IF(J4496&lt;&gt;"","?FAMILIAR",IF(F4496="NEW",IF(ISNA(VLOOKUP(E4496,#REF!,1,FALSE())),"?TYPE_IDENTIFIABLE","?REFERENTIAL"),"_")))))</f>
        <v> </v>
      </c>
      <c r="H4496" s="24" t="str">
        <f>IF(J4496&lt;&gt;1,"",IF(I4496="SBJ","CB","?"))</f>
        <v> </v>
      </c>
      <c r="I4496" s="25" t="str">
        <f>IF(OR(E4496="",E4496="!!!",F4496="NEW"),"",INDEX(B4495:B$2,-1+SUMPRODUCT(MAX(ROW(E4495:E$2)*(E4496=E4495:E$2)))))</f>
        <v> </v>
      </c>
      <c r="J4496" s="25" t="str">
        <f>IF(OR(E4496="",E4496="!!!",F4496="NEW"),"",COUNTBLANK(OFFSET(A$1,,,SUMPRODUCT(MAX(ROW(E$2:E4496)*(E4496=E$2:E4496)))))-COUNTBLANK(OFFSET(A$1,,,SUMPRODUCT(MAX(ROW(E$1:E4495)*(E2=E$1:E4495))))))</f>
        <v> </v>
      </c>
      <c r="K4496" s="25" t="str">
        <f>IF(OR(E4496="",E4496="!!!",F4496="NEW"),"",INDEX(J$1:J4495,SUMPRODUCT(MAX(ROW(E$1:E4495)*(E4496=E$1:E4495)))))</f>
        <v> </v>
      </c>
      <c r="L4496" s="26"/>
    </row>
    <row r="4497" spans="1:12">
      <c r="A4497" s="20" t="s">
        <v>2126</v>
      </c>
      <c r="B4497" s="27" t="s">
        <v>1144</v>
      </c>
      <c r="E4497" s="21">
        <f>IF(D4497="?OLD","!!!","")</f>
        <v/>
      </c>
      <c r="F4497" s="22" t="str">
        <f>IF(OR(E4497="",E4497="!!!"),"",IF(NOT(ISNA(VLOOKUP(E4497,E$1:E4496,1,FALSE()))),"OLD",IF(AND(E4497&lt;&gt;"",E4497&lt;&gt;"!!!"),"NEW","")))</f>
        <v> </v>
      </c>
      <c r="G4497" s="23" t="str">
        <f>IF(OR(E4497="",E4497="!!!"),"",IF(OR(J4497=0,AND(J4497=1,K4497=1),AND(J4497=1,I4497="SBJ"),AND(J4497=1,I4497=0)),"?IN_FOCUS",IF(J4497&lt;=2,"?ACTIVATED",IF(J4497&lt;&gt;"","?FAMILIAR",IF(F4497="NEW",IF(ISNA(VLOOKUP(E4497,#REF!,1,FALSE())),"?TYPE_IDENTIFIABLE","?REFERENTIAL"),"_")))))</f>
        <v> </v>
      </c>
      <c r="H4497" s="24" t="str">
        <f>IF(J4497&lt;&gt;1,"",IF(I4497="SBJ","CB","?"))</f>
        <v> </v>
      </c>
      <c r="I4497" s="25" t="str">
        <f>IF(OR(E4497="",E4497="!!!",F4497="NEW"),"",INDEX(B4496:B$2,-1+SUMPRODUCT(MAX(ROW(E4496:E$2)*(E4497=E4496:E$2)))))</f>
        <v> </v>
      </c>
      <c r="J4497" s="25" t="str">
        <f>IF(OR(E4497="",E4497="!!!",F4497="NEW"),"",COUNTBLANK(OFFSET(A$1,,,SUMPRODUCT(MAX(ROW(E$2:E4497)*(E4497=E$2:E4497)))))-COUNTBLANK(OFFSET(A$1,,,SUMPRODUCT(MAX(ROW(E$1:E4496)*(E2=E$1:E4496))))))</f>
        <v> </v>
      </c>
      <c r="K4497" s="25" t="str">
        <f>IF(OR(E4497="",E4497="!!!",F4497="NEW"),"",INDEX(J$1:J4496,SUMPRODUCT(MAX(ROW(E$1:E4496)*(E4497=E$1:E4496)))))</f>
        <v> </v>
      </c>
      <c r="L4497" s="26"/>
    </row>
    <row r="4498" spans="1:12">
      <c r="A4498" s="20" t="s">
        <v>1123</v>
      </c>
      <c r="E4498" s="21">
        <f>IF(D4498="?OLD","!!!","")</f>
        <v/>
      </c>
      <c r="F4498" s="22" t="str">
        <f>IF(OR(E4498="",E4498="!!!"),"",IF(NOT(ISNA(VLOOKUP(E4498,E$1:E4497,1,FALSE()))),"OLD",IF(AND(E4498&lt;&gt;"",E4498&lt;&gt;"!!!"),"NEW","")))</f>
        <v> </v>
      </c>
      <c r="G4498" s="23" t="str">
        <f>IF(OR(E4498="",E4498="!!!"),"",IF(OR(J4498=0,AND(J4498=1,K4498=1),AND(J4498=1,I4498="SBJ"),AND(J4498=1,I4498=0)),"?IN_FOCUS",IF(J4498&lt;=2,"?ACTIVATED",IF(J4498&lt;&gt;"","?FAMILIAR",IF(F4498="NEW",IF(ISNA(VLOOKUP(E4498,#REF!,1,FALSE())),"?TYPE_IDENTIFIABLE","?REFERENTIAL"),"_")))))</f>
        <v> </v>
      </c>
      <c r="H4498" s="24" t="str">
        <f>IF(J4498&lt;&gt;1,"",IF(I4498="SBJ","CB","?"))</f>
        <v> </v>
      </c>
      <c r="I4498" s="25" t="str">
        <f>IF(OR(E4498="",E4498="!!!",F4498="NEW"),"",INDEX(B4497:B$2,-1+SUMPRODUCT(MAX(ROW(E4497:E$2)*(E4498=E4497:E$2)))))</f>
        <v> </v>
      </c>
      <c r="J4498" s="25" t="str">
        <f>IF(OR(E4498="",E4498="!!!",F4498="NEW"),"",COUNTBLANK(OFFSET(A$1,,,SUMPRODUCT(MAX(ROW(E$2:E4498)*(E4498=E$2:E4498)))))-COUNTBLANK(OFFSET(A$1,,,SUMPRODUCT(MAX(ROW(E$1:E4497)*(E2=E$1:E4497))))))</f>
        <v> </v>
      </c>
      <c r="K4498" s="25" t="str">
        <f>IF(OR(E4498="",E4498="!!!",F4498="NEW"),"",INDEX(J$1:J4497,SUMPRODUCT(MAX(ROW(E$1:E4497)*(E4498=E$1:E4497)))))</f>
        <v> </v>
      </c>
      <c r="L4498" s="26"/>
    </row>
    <row r="4499" spans="1:12">
      <c r="A4499" s="20" t="s">
        <v>1181</v>
      </c>
      <c r="B4499" s="27" t="s">
        <v>1125</v>
      </c>
      <c r="C4499" s="27" t="s">
        <v>1133</v>
      </c>
      <c r="E4499" s="21">
        <f>IF(D4499="?OLD","!!!","")</f>
        <v/>
      </c>
      <c r="F4499" s="22" t="str">
        <f>IF(OR(E4499="",E4499="!!!"),"",IF(NOT(ISNA(VLOOKUP(E4499,E$1:E4498,1,FALSE()))),"OLD",IF(AND(E4499&lt;&gt;"",E4499&lt;&gt;"!!!"),"NEW","")))</f>
        <v> </v>
      </c>
      <c r="G4499" s="23" t="str">
        <f>IF(OR(E4499="",E4499="!!!"),"",IF(OR(J4499=0,AND(J4499=1,K4499=1),AND(J4499=1,I4499="SBJ"),AND(J4499=1,I4499=0)),"?IN_FOCUS",IF(J4499&lt;=2,"?ACTIVATED",IF(J4499&lt;&gt;"","?FAMILIAR",IF(F4499="NEW",IF(ISNA(VLOOKUP(E4499,#REF!,1,FALSE())),"?TYPE_IDENTIFIABLE","?REFERENTIAL"),"_")))))</f>
        <v> </v>
      </c>
      <c r="H4499" s="24" t="str">
        <f>IF(J4499&lt;&gt;1,"",IF(I4499="SBJ","CB","?"))</f>
        <v> </v>
      </c>
      <c r="I4499" s="25" t="str">
        <f>IF(OR(E4499="",E4499="!!!",F4499="NEW"),"",INDEX(B4498:B$2,-1+SUMPRODUCT(MAX(ROW(E4498:E$2)*(E4499=E4498:E$2)))))</f>
        <v> </v>
      </c>
      <c r="J4499" s="25" t="str">
        <f>IF(OR(E4499="",E4499="!!!",F4499="NEW"),"",COUNTBLANK(OFFSET(A$1,,,SUMPRODUCT(MAX(ROW(E$2:E4499)*(E4499=E$2:E4499)))))-COUNTBLANK(OFFSET(A$1,,,SUMPRODUCT(MAX(ROW(E$1:E4498)*(E2=E$1:E4498))))))</f>
        <v> </v>
      </c>
      <c r="K4499" s="25" t="str">
        <f>IF(OR(E4499="",E4499="!!!",F4499="NEW"),"",INDEX(J$1:J4498,SUMPRODUCT(MAX(ROW(E$1:E4498)*(E4499=E$1:E4498)))))</f>
        <v> </v>
      </c>
      <c r="L4499" s="26"/>
    </row>
    <row r="4500" spans="1:12">
      <c r="A4500" s="20" t="s">
        <v>1101</v>
      </c>
      <c r="E4500" s="21">
        <f>IF(D4500="?OLD","!!!","")</f>
        <v/>
      </c>
      <c r="F4500" s="22" t="str">
        <f>IF(OR(E4500="",E4500="!!!"),"",IF(NOT(ISNA(VLOOKUP(E4500,E$1:E4499,1,FALSE()))),"OLD",IF(AND(E4500&lt;&gt;"",E4500&lt;&gt;"!!!"),"NEW","")))</f>
        <v> </v>
      </c>
      <c r="G4500" s="23" t="str">
        <f>IF(OR(E4500="",E4500="!!!"),"",IF(OR(J4500=0,AND(J4500=1,K4500=1),AND(J4500=1,I4500="SBJ"),AND(J4500=1,I4500=0)),"?IN_FOCUS",IF(J4500&lt;=2,"?ACTIVATED",IF(J4500&lt;&gt;"","?FAMILIAR",IF(F4500="NEW",IF(ISNA(VLOOKUP(E4500,#REF!,1,FALSE())),"?TYPE_IDENTIFIABLE","?REFERENTIAL"),"_")))))</f>
        <v> </v>
      </c>
      <c r="H4500" s="24" t="str">
        <f>IF(J4500&lt;&gt;1,"",IF(I4500="SBJ","CB","?"))</f>
        <v> </v>
      </c>
      <c r="I4500" s="25" t="str">
        <f>IF(OR(E4500="",E4500="!!!",F4500="NEW"),"",INDEX(B4499:B$2,-1+SUMPRODUCT(MAX(ROW(E4499:E$2)*(E4500=E4499:E$2)))))</f>
        <v> </v>
      </c>
      <c r="J4500" s="25" t="str">
        <f>IF(OR(E4500="",E4500="!!!",F4500="NEW"),"",COUNTBLANK(OFFSET(A$1,,,SUMPRODUCT(MAX(ROW(E$2:E4500)*(E4500=E$2:E4500)))))-COUNTBLANK(OFFSET(A$1,,,SUMPRODUCT(MAX(ROW(E$1:E4499)*(E2=E$1:E4499))))))</f>
        <v> </v>
      </c>
      <c r="K4500" s="25" t="str">
        <f>IF(OR(E4500="",E4500="!!!",F4500="NEW"),"",INDEX(J$1:J4499,SUMPRODUCT(MAX(ROW(E$1:E4499)*(E4500=E$1:E4499)))))</f>
        <v> </v>
      </c>
      <c r="L4500" s="26"/>
    </row>
    <row r="4501" spans="1:12">
      <c r="A4501" s="20" t="s">
        <v>3081</v>
      </c>
      <c r="E4501" s="21">
        <f>IF(D4501="?OLD","!!!","")</f>
        <v/>
      </c>
      <c r="F4501" s="22" t="str">
        <f>IF(OR(E4501="",E4501="!!!"),"",IF(NOT(ISNA(VLOOKUP(E4501,E$1:E4500,1,FALSE()))),"OLD",IF(AND(E4501&lt;&gt;"",E4501&lt;&gt;"!!!"),"NEW","")))</f>
        <v> </v>
      </c>
      <c r="G4501" s="23" t="str">
        <f>IF(OR(E4501="",E4501="!!!"),"",IF(OR(J4501=0,AND(J4501=1,K4501=1),AND(J4501=1,I4501="SBJ"),AND(J4501=1,I4501=0)),"?IN_FOCUS",IF(J4501&lt;=2,"?ACTIVATED",IF(J4501&lt;&gt;"","?FAMILIAR",IF(F4501="NEW",IF(ISNA(VLOOKUP(E4501,#REF!,1,FALSE())),"?TYPE_IDENTIFIABLE","?REFERENTIAL"),"_")))))</f>
        <v> </v>
      </c>
      <c r="H4501" s="24" t="str">
        <f>IF(J4501&lt;&gt;1,"",IF(I4501="SBJ","CB","?"))</f>
        <v> </v>
      </c>
      <c r="I4501" s="25" t="str">
        <f>IF(OR(E4501="",E4501="!!!",F4501="NEW"),"",INDEX(B4500:B$2,-1+SUMPRODUCT(MAX(ROW(E4500:E$2)*(E4501=E4500:E$2)))))</f>
        <v> </v>
      </c>
      <c r="J4501" s="25" t="str">
        <f>IF(OR(E4501="",E4501="!!!",F4501="NEW"),"",COUNTBLANK(OFFSET(A$1,,,SUMPRODUCT(MAX(ROW(E$2:E4501)*(E4501=E$2:E4501)))))-COUNTBLANK(OFFSET(A$1,,,SUMPRODUCT(MAX(ROW(E$1:E4500)*(E2=E$1:E4500))))))</f>
        <v> </v>
      </c>
      <c r="K4501" s="25" t="str">
        <f>IF(OR(E4501="",E4501="!!!",F4501="NEW"),"",INDEX(J$1:J4500,SUMPRODUCT(MAX(ROW(E$1:E4500)*(E4501=E$1:E4500)))))</f>
        <v> </v>
      </c>
      <c r="L4501" s="26"/>
    </row>
    <row r="4502" spans="1:12">
      <c r="A4502" s="20" t="s">
        <v>3082</v>
      </c>
      <c r="E4502" s="21">
        <f>IF(D4502="?OLD","!!!","")</f>
        <v/>
      </c>
      <c r="F4502" s="22" t="str">
        <f>IF(OR(E4502="",E4502="!!!"),"",IF(NOT(ISNA(VLOOKUP(E4502,E$1:E4501,1,FALSE()))),"OLD",IF(AND(E4502&lt;&gt;"",E4502&lt;&gt;"!!!"),"NEW","")))</f>
        <v> </v>
      </c>
      <c r="G4502" s="23" t="str">
        <f>IF(OR(E4502="",E4502="!!!"),"",IF(OR(J4502=0,AND(J4502=1,K4502=1),AND(J4502=1,I4502="SBJ"),AND(J4502=1,I4502=0)),"?IN_FOCUS",IF(J4502&lt;=2,"?ACTIVATED",IF(J4502&lt;&gt;"","?FAMILIAR",IF(F4502="NEW",IF(ISNA(VLOOKUP(E4502,#REF!,1,FALSE())),"?TYPE_IDENTIFIABLE","?REFERENTIAL"),"_")))))</f>
        <v> </v>
      </c>
      <c r="H4502" s="24" t="str">
        <f>IF(J4502&lt;&gt;1,"",IF(I4502="SBJ","CB","?"))</f>
        <v> </v>
      </c>
      <c r="I4502" s="25" t="str">
        <f>IF(OR(E4502="",E4502="!!!",F4502="NEW"),"",INDEX(B4501:B$2,-1+SUMPRODUCT(MAX(ROW(E4501:E$2)*(E4502=E4501:E$2)))))</f>
        <v> </v>
      </c>
      <c r="J4502" s="25" t="str">
        <f>IF(OR(E4502="",E4502="!!!",F4502="NEW"),"",COUNTBLANK(OFFSET(A$1,,,SUMPRODUCT(MAX(ROW(E$2:E4502)*(E4502=E$2:E4502)))))-COUNTBLANK(OFFSET(A$1,,,SUMPRODUCT(MAX(ROW(E$1:E4501)*(E2=E$1:E4501))))))</f>
        <v> </v>
      </c>
      <c r="K4502" s="25" t="str">
        <f>IF(OR(E4502="",E4502="!!!",F4502="NEW"),"",INDEX(J$1:J4501,SUMPRODUCT(MAX(ROW(E$1:E4501)*(E4502=E$1:E4501)))))</f>
        <v> </v>
      </c>
      <c r="L4502" s="26"/>
    </row>
    <row r="4503" spans="1:12">
      <c r="A4503" s="20" t="s">
        <v>3083</v>
      </c>
      <c r="E4503" s="21">
        <f>IF(D4503="?OLD","!!!","")</f>
        <v/>
      </c>
      <c r="F4503" s="22" t="str">
        <f>IF(OR(E4503="",E4503="!!!"),"",IF(NOT(ISNA(VLOOKUP(E4503,E$1:E4502,1,FALSE()))),"OLD",IF(AND(E4503&lt;&gt;"",E4503&lt;&gt;"!!!"),"NEW","")))</f>
        <v> </v>
      </c>
      <c r="G4503" s="23" t="str">
        <f>IF(OR(E4503="",E4503="!!!"),"",IF(OR(J4503=0,AND(J4503=1,K4503=1),AND(J4503=1,I4503="SBJ"),AND(J4503=1,I4503=0)),"?IN_FOCUS",IF(J4503&lt;=2,"?ACTIVATED",IF(J4503&lt;&gt;"","?FAMILIAR",IF(F4503="NEW",IF(ISNA(VLOOKUP(E4503,#REF!,1,FALSE())),"?TYPE_IDENTIFIABLE","?REFERENTIAL"),"_")))))</f>
        <v> </v>
      </c>
      <c r="H4503" s="24" t="str">
        <f>IF(J4503&lt;&gt;1,"",IF(I4503="SBJ","CB","?"))</f>
        <v> </v>
      </c>
      <c r="I4503" s="25" t="str">
        <f>IF(OR(E4503="",E4503="!!!",F4503="NEW"),"",INDEX(B4502:B$2,-1+SUMPRODUCT(MAX(ROW(E4502:E$2)*(E4503=E4502:E$2)))))</f>
        <v> </v>
      </c>
      <c r="J4503" s="25" t="str">
        <f>IF(OR(E4503="",E4503="!!!",F4503="NEW"),"",COUNTBLANK(OFFSET(A$1,,,SUMPRODUCT(MAX(ROW(E$2:E4503)*(E4503=E$2:E4503)))))-COUNTBLANK(OFFSET(A$1,,,SUMPRODUCT(MAX(ROW(E$1:E4502)*(E2=E$1:E4502))))))</f>
        <v> </v>
      </c>
      <c r="K4503" s="25" t="str">
        <f>IF(OR(E4503="",E4503="!!!",F4503="NEW"),"",INDEX(J$1:J4502,SUMPRODUCT(MAX(ROW(E$1:E4502)*(E4503=E$1:E4502)))))</f>
        <v> </v>
      </c>
      <c r="L4503" s="26"/>
    </row>
    <row r="4504" spans="1:12">
      <c r="A4504" s="20" t="s">
        <v>1173</v>
      </c>
      <c r="E4504" s="21">
        <f>IF(D4504="?OLD","!!!","")</f>
        <v/>
      </c>
      <c r="F4504" s="22" t="str">
        <f>IF(OR(E4504="",E4504="!!!"),"",IF(NOT(ISNA(VLOOKUP(E4504,E$1:E4503,1,FALSE()))),"OLD",IF(AND(E4504&lt;&gt;"",E4504&lt;&gt;"!!!"),"NEW","")))</f>
        <v> </v>
      </c>
      <c r="G4504" s="23" t="str">
        <f>IF(OR(E4504="",E4504="!!!"),"",IF(OR(J4504=0,AND(J4504=1,K4504=1),AND(J4504=1,I4504="SBJ"),AND(J4504=1,I4504=0)),"?IN_FOCUS",IF(J4504&lt;=2,"?ACTIVATED",IF(J4504&lt;&gt;"","?FAMILIAR",IF(F4504="NEW",IF(ISNA(VLOOKUP(E4504,#REF!,1,FALSE())),"?TYPE_IDENTIFIABLE","?REFERENTIAL"),"_")))))</f>
        <v> </v>
      </c>
      <c r="H4504" s="24" t="str">
        <f>IF(J4504&lt;&gt;1,"",IF(I4504="SBJ","CB","?"))</f>
        <v> </v>
      </c>
      <c r="I4504" s="25" t="str">
        <f>IF(OR(E4504="",E4504="!!!",F4504="NEW"),"",INDEX(B4503:B$2,-1+SUMPRODUCT(MAX(ROW(E4503:E$2)*(E4504=E4503:E$2)))))</f>
        <v> </v>
      </c>
      <c r="J4504" s="25" t="str">
        <f>IF(OR(E4504="",E4504="!!!",F4504="NEW"),"",COUNTBLANK(OFFSET(A$1,,,SUMPRODUCT(MAX(ROW(E$2:E4504)*(E4504=E$2:E4504)))))-COUNTBLANK(OFFSET(A$1,,,SUMPRODUCT(MAX(ROW(E$1:E4503)*(E2=E$1:E4503))))))</f>
        <v> </v>
      </c>
      <c r="K4504" s="25" t="str">
        <f>IF(OR(E4504="",E4504="!!!",F4504="NEW"),"",INDEX(J$1:J4503,SUMPRODUCT(MAX(ROW(E$1:E4503)*(E4504=E$1:E4503)))))</f>
        <v> </v>
      </c>
      <c r="L4504" s="26"/>
    </row>
    <row r="4505" spans="1:12">
      <c r="A4505" s="20" t="s">
        <v>3033</v>
      </c>
      <c r="E4505" s="21">
        <f>IF(D4505="?OLD","!!!","")</f>
        <v/>
      </c>
      <c r="F4505" s="22" t="str">
        <f>IF(OR(E4505="",E4505="!!!"),"",IF(NOT(ISNA(VLOOKUP(E4505,E$1:E4504,1,FALSE()))),"OLD",IF(AND(E4505&lt;&gt;"",E4505&lt;&gt;"!!!"),"NEW","")))</f>
        <v> </v>
      </c>
      <c r="G4505" s="23" t="str">
        <f>IF(OR(E4505="",E4505="!!!"),"",IF(OR(J4505=0,AND(J4505=1,K4505=1),AND(J4505=1,I4505="SBJ"),AND(J4505=1,I4505=0)),"?IN_FOCUS",IF(J4505&lt;=2,"?ACTIVATED",IF(J4505&lt;&gt;"","?FAMILIAR",IF(F4505="NEW",IF(ISNA(VLOOKUP(E4505,#REF!,1,FALSE())),"?TYPE_IDENTIFIABLE","?REFERENTIAL"),"_")))))</f>
        <v> </v>
      </c>
      <c r="H4505" s="24" t="str">
        <f>IF(J4505&lt;&gt;1,"",IF(I4505="SBJ","CB","?"))</f>
        <v> </v>
      </c>
      <c r="I4505" s="25" t="str">
        <f>IF(OR(E4505="",E4505="!!!",F4505="NEW"),"",INDEX(B4504:B$2,-1+SUMPRODUCT(MAX(ROW(E4504:E$2)*(E4505=E4504:E$2)))))</f>
        <v> </v>
      </c>
      <c r="J4505" s="25" t="str">
        <f>IF(OR(E4505="",E4505="!!!",F4505="NEW"),"",COUNTBLANK(OFFSET(A$1,,,SUMPRODUCT(MAX(ROW(E$2:E4505)*(E4505=E$2:E4505)))))-COUNTBLANK(OFFSET(A$1,,,SUMPRODUCT(MAX(ROW(E$1:E4504)*(E2=E$1:E4504))))))</f>
        <v> </v>
      </c>
      <c r="K4505" s="25" t="str">
        <f>IF(OR(E4505="",E4505="!!!",F4505="NEW"),"",INDEX(J$1:J4504,SUMPRODUCT(MAX(ROW(E$1:E4504)*(E4505=E$1:E4504)))))</f>
        <v> </v>
      </c>
      <c r="L4505" s="26"/>
    </row>
    <row r="4506" spans="1:12">
      <c r="A4506" s="20" t="s">
        <v>3084</v>
      </c>
      <c r="E4506" s="21">
        <f>IF(D4506="?OLD","!!!","")</f>
        <v/>
      </c>
      <c r="F4506" s="22" t="str">
        <f>IF(OR(E4506="",E4506="!!!"),"",IF(NOT(ISNA(VLOOKUP(E4506,E$1:E4505,1,FALSE()))),"OLD",IF(AND(E4506&lt;&gt;"",E4506&lt;&gt;"!!!"),"NEW","")))</f>
        <v> </v>
      </c>
      <c r="G4506" s="23" t="str">
        <f>IF(OR(E4506="",E4506="!!!"),"",IF(OR(J4506=0,AND(J4506=1,K4506=1),AND(J4506=1,I4506="SBJ"),AND(J4506=1,I4506=0)),"?IN_FOCUS",IF(J4506&lt;=2,"?ACTIVATED",IF(J4506&lt;&gt;"","?FAMILIAR",IF(F4506="NEW",IF(ISNA(VLOOKUP(E4506,#REF!,1,FALSE())),"?TYPE_IDENTIFIABLE","?REFERENTIAL"),"_")))))</f>
        <v> </v>
      </c>
      <c r="H4506" s="24" t="str">
        <f>IF(J4506&lt;&gt;1,"",IF(I4506="SBJ","CB","?"))</f>
        <v> </v>
      </c>
      <c r="I4506" s="25" t="str">
        <f>IF(OR(E4506="",E4506="!!!",F4506="NEW"),"",INDEX(B4505:B$2,-1+SUMPRODUCT(MAX(ROW(E4505:E$2)*(E4506=E4505:E$2)))))</f>
        <v> </v>
      </c>
      <c r="J4506" s="25" t="str">
        <f>IF(OR(E4506="",E4506="!!!",F4506="NEW"),"",COUNTBLANK(OFFSET(A$1,,,SUMPRODUCT(MAX(ROW(E$2:E4506)*(E4506=E$2:E4506)))))-COUNTBLANK(OFFSET(A$1,,,SUMPRODUCT(MAX(ROW(E$1:E4505)*(E2=E$1:E4505))))))</f>
        <v> </v>
      </c>
      <c r="K4506" s="25" t="str">
        <f>IF(OR(E4506="",E4506="!!!",F4506="NEW"),"",INDEX(J$1:J4505,SUMPRODUCT(MAX(ROW(E$1:E4505)*(E4506=E$1:E4505)))))</f>
        <v> </v>
      </c>
      <c r="L4506" s="26"/>
    </row>
    <row r="4507" spans="1:12">
      <c r="A4507" s="20" t="s">
        <v>1130</v>
      </c>
      <c r="E4507" s="21">
        <f>IF(D4507="?OLD","!!!","")</f>
        <v/>
      </c>
      <c r="F4507" s="22" t="str">
        <f>IF(OR(E4507="",E4507="!!!"),"",IF(NOT(ISNA(VLOOKUP(E4507,E$1:E4506,1,FALSE()))),"OLD",IF(AND(E4507&lt;&gt;"",E4507&lt;&gt;"!!!"),"NEW","")))</f>
        <v> </v>
      </c>
      <c r="G4507" s="23" t="str">
        <f>IF(OR(E4507="",E4507="!!!"),"",IF(OR(J4507=0,AND(J4507=1,K4507=1),AND(J4507=1,I4507="SBJ"),AND(J4507=1,I4507=0)),"?IN_FOCUS",IF(J4507&lt;=2,"?ACTIVATED",IF(J4507&lt;&gt;"","?FAMILIAR",IF(F4507="NEW",IF(ISNA(VLOOKUP(E4507,#REF!,1,FALSE())),"?TYPE_IDENTIFIABLE","?REFERENTIAL"),"_")))))</f>
        <v> </v>
      </c>
      <c r="H4507" s="24" t="str">
        <f>IF(J4507&lt;&gt;1,"",IF(I4507="SBJ","CB","?"))</f>
        <v> </v>
      </c>
      <c r="I4507" s="25" t="str">
        <f>IF(OR(E4507="",E4507="!!!",F4507="NEW"),"",INDEX(B4506:B$2,-1+SUMPRODUCT(MAX(ROW(E4506:E$2)*(E4507=E4506:E$2)))))</f>
        <v> </v>
      </c>
      <c r="J4507" s="25" t="str">
        <f>IF(OR(E4507="",E4507="!!!",F4507="NEW"),"",COUNTBLANK(OFFSET(A$1,,,SUMPRODUCT(MAX(ROW(E$2:E4507)*(E4507=E$2:E4507)))))-COUNTBLANK(OFFSET(A$1,,,SUMPRODUCT(MAX(ROW(E$1:E4506)*(E2=E$1:E4506))))))</f>
        <v> </v>
      </c>
      <c r="K4507" s="25" t="str">
        <f>IF(OR(E4507="",E4507="!!!",F4507="NEW"),"",INDEX(J$1:J4506,SUMPRODUCT(MAX(ROW(E$1:E4506)*(E4507=E$1:E4506)))))</f>
        <v> </v>
      </c>
      <c r="L4507" s="26"/>
    </row>
    <row r="4508" spans="1:12">
      <c r="A4508" s="20" t="s">
        <v>2153</v>
      </c>
      <c r="B4508" s="27" t="s">
        <v>1141</v>
      </c>
      <c r="C4508" s="27" t="s">
        <v>1126</v>
      </c>
      <c r="D4508" s="27" t="s">
        <v>1105</v>
      </c>
      <c r="E4508" s="21">
        <f>IF(D4508="?OLD","!!!","")</f>
        <v/>
      </c>
      <c r="F4508" s="22" t="str">
        <f>IF(OR(E4508="",E4508="!!!"),"",IF(NOT(ISNA(VLOOKUP(E4508,E$1:E4507,1,FALSE()))),"OLD",IF(AND(E4508&lt;&gt;"",E4508&lt;&gt;"!!!"),"NEW","")))</f>
        <v> </v>
      </c>
      <c r="G4508" s="23" t="str">
        <f>IF(OR(E4508="",E4508="!!!"),"",IF(OR(J4508=0,AND(J4508=1,K4508=1),AND(J4508=1,I4508="SBJ"),AND(J4508=1,I4508=0)),"?IN_FOCUS",IF(J4508&lt;=2,"?ACTIVATED",IF(J4508&lt;&gt;"","?FAMILIAR",IF(F4508="NEW",IF(ISNA(VLOOKUP(E4508,#REF!,1,FALSE())),"?TYPE_IDENTIFIABLE","?REFERENTIAL"),"_")))))</f>
        <v> </v>
      </c>
      <c r="H4508" s="24" t="str">
        <f>IF(J4508&lt;&gt;1,"",IF(I4508="SBJ","CB","?"))</f>
        <v> </v>
      </c>
      <c r="I4508" s="25" t="str">
        <f>IF(OR(E4508="",E4508="!!!",F4508="NEW"),"",INDEX(B4507:B$2,-1+SUMPRODUCT(MAX(ROW(E4507:E$2)*(E4508=E4507:E$2)))))</f>
        <v> </v>
      </c>
      <c r="J4508" s="25" t="str">
        <f>IF(OR(E4508="",E4508="!!!",F4508="NEW"),"",COUNTBLANK(OFFSET(A$1,,,SUMPRODUCT(MAX(ROW(E$2:E4508)*(E4508=E$2:E4508)))))-COUNTBLANK(OFFSET(A$1,,,SUMPRODUCT(MAX(ROW(E$1:E4507)*(E2=E$1:E4507))))))</f>
        <v> </v>
      </c>
      <c r="K4508" s="25" t="str">
        <f>IF(OR(E4508="",E4508="!!!",F4508="NEW"),"",INDEX(J$1:J4507,SUMPRODUCT(MAX(ROW(E$1:E4507)*(E4508=E$1:E4507)))))</f>
        <v> </v>
      </c>
      <c r="L4508" s="26"/>
    </row>
    <row r="4509" spans="1:12">
      <c r="A4509" s="20" t="s">
        <v>1334</v>
      </c>
      <c r="E4509" s="21">
        <f>IF(D4509="?OLD","!!!","")</f>
        <v/>
      </c>
      <c r="F4509" s="22" t="str">
        <f>IF(OR(E4509="",E4509="!!!"),"",IF(NOT(ISNA(VLOOKUP(E4509,E$1:E4508,1,FALSE()))),"OLD",IF(AND(E4509&lt;&gt;"",E4509&lt;&gt;"!!!"),"NEW","")))</f>
        <v> </v>
      </c>
      <c r="G4509" s="23" t="str">
        <f>IF(OR(E4509="",E4509="!!!"),"",IF(OR(J4509=0,AND(J4509=1,K4509=1),AND(J4509=1,I4509="SBJ"),AND(J4509=1,I4509=0)),"?IN_FOCUS",IF(J4509&lt;=2,"?ACTIVATED",IF(J4509&lt;&gt;"","?FAMILIAR",IF(F4509="NEW",IF(ISNA(VLOOKUP(E4509,#REF!,1,FALSE())),"?TYPE_IDENTIFIABLE","?REFERENTIAL"),"_")))))</f>
        <v> </v>
      </c>
      <c r="H4509" s="24" t="str">
        <f>IF(J4509&lt;&gt;1,"",IF(I4509="SBJ","CB","?"))</f>
        <v> </v>
      </c>
      <c r="I4509" s="25" t="str">
        <f>IF(OR(E4509="",E4509="!!!",F4509="NEW"),"",INDEX(B4508:B$2,-1+SUMPRODUCT(MAX(ROW(E4508:E$2)*(E4509=E4508:E$2)))))</f>
        <v> </v>
      </c>
      <c r="J4509" s="25" t="str">
        <f>IF(OR(E4509="",E4509="!!!",F4509="NEW"),"",COUNTBLANK(OFFSET(A$1,,,SUMPRODUCT(MAX(ROW(E$2:E4509)*(E4509=E$2:E4509)))))-COUNTBLANK(OFFSET(A$1,,,SUMPRODUCT(MAX(ROW(E$1:E4508)*(E2=E$1:E4508))))))</f>
        <v> </v>
      </c>
      <c r="K4509" s="25" t="str">
        <f>IF(OR(E4509="",E4509="!!!",F4509="NEW"),"",INDEX(J$1:J4508,SUMPRODUCT(MAX(ROW(E$1:E4508)*(E4509=E$1:E4508)))))</f>
        <v> </v>
      </c>
      <c r="L4509" s="26"/>
    </row>
    <row r="4510" spans="1:12">
      <c r="A4510" s="20"/>
    </row>
    <row r="4511" spans="1:12">
      <c r="A4511" s="20" t="s">
        <v>3085</v>
      </c>
    </row>
    <row r="4512" spans="1:12">
      <c r="A4512" s="20" t="s">
        <v>2207</v>
      </c>
      <c r="E4512" s="21">
        <f>IF(D4512="?OLD","!!!","")</f>
        <v/>
      </c>
      <c r="F4512" s="22" t="str">
        <f>IF(OR(E4512="",E4512="!!!"),"",IF(NOT(ISNA(VLOOKUP(E4512,E$1:E4511,1,FALSE()))),"OLD",IF(AND(E4512&lt;&gt;"",E4512&lt;&gt;"!!!"),"NEW","")))</f>
        <v> </v>
      </c>
      <c r="G4512" s="23" t="str">
        <f>IF(OR(E4512="",E4512="!!!"),"",IF(OR(J4512=0,AND(J4512=1,K4512=1),AND(J4512=1,I4512="SBJ"),AND(J4512=1,I4512=0)),"?IN_FOCUS",IF(J4512&lt;=2,"?ACTIVATED",IF(J4512&lt;&gt;"","?FAMILIAR",IF(F4512="NEW",IF(ISNA(VLOOKUP(E4512,#REF!,1,FALSE())),"?TYPE_IDENTIFIABLE","?REFERENTIAL"),"_")))))</f>
        <v> </v>
      </c>
      <c r="H4512" s="24" t="str">
        <f>IF(J4512&lt;&gt;1,"",IF(I4512="SBJ","CB","?"))</f>
        <v> </v>
      </c>
      <c r="I4512" s="25" t="str">
        <f>IF(OR(E4512="",E4512="!!!",F4512="NEW"),"",INDEX(B4511:B$2,-1+SUMPRODUCT(MAX(ROW(E4511:E$2)*(E4512=E4511:E$2)))))</f>
        <v> </v>
      </c>
      <c r="J4512" s="25" t="str">
        <f>IF(OR(E4512="",E4512="!!!",F4512="NEW"),"",COUNTBLANK(OFFSET(A$1,,,SUMPRODUCT(MAX(ROW(E$2:E4512)*(E4512=E$2:E4512)))))-COUNTBLANK(OFFSET(A$1,,,SUMPRODUCT(MAX(ROW(E$1:E4511)*(E2=E$1:E4511))))))</f>
        <v> </v>
      </c>
      <c r="K4512" s="25" t="str">
        <f>IF(OR(E4512="",E4512="!!!",F4512="NEW"),"",INDEX(J$1:J4511,SUMPRODUCT(MAX(ROW(E$1:E4511)*(E4512=E$1:E4511)))))</f>
        <v> </v>
      </c>
      <c r="L4512" s="26"/>
    </row>
    <row r="4513" spans="1:12">
      <c r="A4513" s="20" t="s">
        <v>2007</v>
      </c>
      <c r="E4513" s="21">
        <f>IF(D4513="?OLD","!!!","")</f>
        <v/>
      </c>
      <c r="F4513" s="22" t="str">
        <f>IF(OR(E4513="",E4513="!!!"),"",IF(NOT(ISNA(VLOOKUP(E4513,E$1:E4512,1,FALSE()))),"OLD",IF(AND(E4513&lt;&gt;"",E4513&lt;&gt;"!!!"),"NEW","")))</f>
        <v> </v>
      </c>
      <c r="G4513" s="23" t="str">
        <f>IF(OR(E4513="",E4513="!!!"),"",IF(OR(J4513=0,AND(J4513=1,K4513=1),AND(J4513=1,I4513="SBJ"),AND(J4513=1,I4513=0)),"?IN_FOCUS",IF(J4513&lt;=2,"?ACTIVATED",IF(J4513&lt;&gt;"","?FAMILIAR",IF(F4513="NEW",IF(ISNA(VLOOKUP(E4513,#REF!,1,FALSE())),"?TYPE_IDENTIFIABLE","?REFERENTIAL"),"_")))))</f>
        <v> </v>
      </c>
      <c r="H4513" s="24" t="str">
        <f>IF(J4513&lt;&gt;1,"",IF(I4513="SBJ","CB","?"))</f>
        <v> </v>
      </c>
      <c r="I4513" s="25" t="str">
        <f>IF(OR(E4513="",E4513="!!!",F4513="NEW"),"",INDEX(B4512:B$2,-1+SUMPRODUCT(MAX(ROW(E4512:E$2)*(E4513=E4512:E$2)))))</f>
        <v> </v>
      </c>
      <c r="J4513" s="25" t="str">
        <f>IF(OR(E4513="",E4513="!!!",F4513="NEW"),"",COUNTBLANK(OFFSET(A$1,,,SUMPRODUCT(MAX(ROW(E$2:E4513)*(E4513=E$2:E4513)))))-COUNTBLANK(OFFSET(A$1,,,SUMPRODUCT(MAX(ROW(E$1:E4512)*(E2=E$1:E4512))))))</f>
        <v> </v>
      </c>
      <c r="K4513" s="25" t="str">
        <f>IF(OR(E4513="",E4513="!!!",F4513="NEW"),"",INDEX(J$1:J4512,SUMPRODUCT(MAX(ROW(E$1:E4512)*(E4513=E$1:E4512)))))</f>
        <v> </v>
      </c>
      <c r="L4513" s="26"/>
    </row>
    <row r="4514" spans="1:12">
      <c r="A4514" s="20" t="s">
        <v>3086</v>
      </c>
      <c r="B4514" s="27" t="s">
        <v>1103</v>
      </c>
      <c r="C4514" s="27" t="s">
        <v>1116</v>
      </c>
      <c r="E4514" s="21">
        <f>IF(D4514="?OLD","!!!","")</f>
        <v/>
      </c>
      <c r="F4514" s="22" t="str">
        <f>IF(OR(E4514="",E4514="!!!"),"",IF(NOT(ISNA(VLOOKUP(E4514,E$1:E4513,1,FALSE()))),"OLD",IF(AND(E4514&lt;&gt;"",E4514&lt;&gt;"!!!"),"NEW","")))</f>
        <v> </v>
      </c>
      <c r="G4514" s="23" t="str">
        <f>IF(OR(E4514="",E4514="!!!"),"",IF(OR(J4514=0,AND(J4514=1,K4514=1),AND(J4514=1,I4514="SBJ"),AND(J4514=1,I4514=0)),"?IN_FOCUS",IF(J4514&lt;=2,"?ACTIVATED",IF(J4514&lt;&gt;"","?FAMILIAR",IF(F4514="NEW",IF(ISNA(VLOOKUP(E4514,#REF!,1,FALSE())),"?TYPE_IDENTIFIABLE","?REFERENTIAL"),"_")))))</f>
        <v> </v>
      </c>
      <c r="H4514" s="24" t="str">
        <f>IF(J4514&lt;&gt;1,"",IF(I4514="SBJ","CB","?"))</f>
        <v> </v>
      </c>
      <c r="I4514" s="25" t="str">
        <f>IF(OR(E4514="",E4514="!!!",F4514="NEW"),"",INDEX(B4513:B$2,-1+SUMPRODUCT(MAX(ROW(E4513:E$2)*(E4514=E4513:E$2)))))</f>
        <v> </v>
      </c>
      <c r="J4514" s="25" t="str">
        <f>IF(OR(E4514="",E4514="!!!",F4514="NEW"),"",COUNTBLANK(OFFSET(A$1,,,SUMPRODUCT(MAX(ROW(E$2:E4514)*(E4514=E$2:E4514)))))-COUNTBLANK(OFFSET(A$1,,,SUMPRODUCT(MAX(ROW(E$1:E4513)*(E2=E$1:E4513))))))</f>
        <v> </v>
      </c>
      <c r="K4514" s="25" t="str">
        <f>IF(OR(E4514="",E4514="!!!",F4514="NEW"),"",INDEX(J$1:J4513,SUMPRODUCT(MAX(ROW(E$1:E4513)*(E4514=E$1:E4513)))))</f>
        <v> </v>
      </c>
      <c r="L4514" s="26"/>
    </row>
    <row r="4515" spans="1:12">
      <c r="A4515" s="20" t="s">
        <v>2312</v>
      </c>
      <c r="B4515" s="27" t="s">
        <v>1149</v>
      </c>
      <c r="E4515" s="21">
        <f>IF(D4515="?OLD","!!!","")</f>
        <v/>
      </c>
      <c r="F4515" s="22" t="str">
        <f>IF(OR(E4515="",E4515="!!!"),"",IF(NOT(ISNA(VLOOKUP(E4515,E$1:E4514,1,FALSE()))),"OLD",IF(AND(E4515&lt;&gt;"",E4515&lt;&gt;"!!!"),"NEW","")))</f>
        <v> </v>
      </c>
      <c r="G4515" s="23" t="str">
        <f>IF(OR(E4515="",E4515="!!!"),"",IF(OR(J4515=0,AND(J4515=1,K4515=1),AND(J4515=1,I4515="SBJ"),AND(J4515=1,I4515=0)),"?IN_FOCUS",IF(J4515&lt;=2,"?ACTIVATED",IF(J4515&lt;&gt;"","?FAMILIAR",IF(F4515="NEW",IF(ISNA(VLOOKUP(E4515,#REF!,1,FALSE())),"?TYPE_IDENTIFIABLE","?REFERENTIAL"),"_")))))</f>
        <v> </v>
      </c>
      <c r="H4515" s="24" t="str">
        <f>IF(J4515&lt;&gt;1,"",IF(I4515="SBJ","CB","?"))</f>
        <v> </v>
      </c>
      <c r="I4515" s="25" t="str">
        <f>IF(OR(E4515="",E4515="!!!",F4515="NEW"),"",INDEX(B4514:B$2,-1+SUMPRODUCT(MAX(ROW(E4514:E$2)*(E4515=E4514:E$2)))))</f>
        <v> </v>
      </c>
      <c r="J4515" s="25" t="str">
        <f>IF(OR(E4515="",E4515="!!!",F4515="NEW"),"",COUNTBLANK(OFFSET(A$1,,,SUMPRODUCT(MAX(ROW(E$2:E4515)*(E4515=E$2:E4515)))))-COUNTBLANK(OFFSET(A$1,,,SUMPRODUCT(MAX(ROW(E$1:E4514)*(E2=E$1:E4514))))))</f>
        <v> </v>
      </c>
      <c r="K4515" s="25" t="str">
        <f>IF(OR(E4515="",E4515="!!!",F4515="NEW"),"",INDEX(J$1:J4514,SUMPRODUCT(MAX(ROW(E$1:E4514)*(E4515=E$1:E4514)))))</f>
        <v> </v>
      </c>
      <c r="L4515" s="26"/>
    </row>
    <row r="4516" spans="1:12">
      <c r="A4516" s="20" t="s">
        <v>1128</v>
      </c>
      <c r="E4516" s="21">
        <f>IF(D4516="?OLD","!!!","")</f>
        <v/>
      </c>
      <c r="F4516" s="22" t="str">
        <f>IF(OR(E4516="",E4516="!!!"),"",IF(NOT(ISNA(VLOOKUP(E4516,E$1:E4515,1,FALSE()))),"OLD",IF(AND(E4516&lt;&gt;"",E4516&lt;&gt;"!!!"),"NEW","")))</f>
        <v> </v>
      </c>
      <c r="G4516" s="23" t="str">
        <f>IF(OR(E4516="",E4516="!!!"),"",IF(OR(J4516=0,AND(J4516=1,K4516=1),AND(J4516=1,I4516="SBJ"),AND(J4516=1,I4516=0)),"?IN_FOCUS",IF(J4516&lt;=2,"?ACTIVATED",IF(J4516&lt;&gt;"","?FAMILIAR",IF(F4516="NEW",IF(ISNA(VLOOKUP(E4516,#REF!,1,FALSE())),"?TYPE_IDENTIFIABLE","?REFERENTIAL"),"_")))))</f>
        <v> </v>
      </c>
      <c r="H4516" s="24" t="str">
        <f>IF(J4516&lt;&gt;1,"",IF(I4516="SBJ","CB","?"))</f>
        <v> </v>
      </c>
      <c r="I4516" s="25" t="str">
        <f>IF(OR(E4516="",E4516="!!!",F4516="NEW"),"",INDEX(B4515:B$2,-1+SUMPRODUCT(MAX(ROW(E4515:E$2)*(E4516=E4515:E$2)))))</f>
        <v> </v>
      </c>
      <c r="J4516" s="25" t="str">
        <f>IF(OR(E4516="",E4516="!!!",F4516="NEW"),"",COUNTBLANK(OFFSET(A$1,,,SUMPRODUCT(MAX(ROW(E$2:E4516)*(E4516=E$2:E4516)))))-COUNTBLANK(OFFSET(A$1,,,SUMPRODUCT(MAX(ROW(E$1:E4515)*(E2=E$1:E4515))))))</f>
        <v> </v>
      </c>
      <c r="K4516" s="25" t="str">
        <f>IF(OR(E4516="",E4516="!!!",F4516="NEW"),"",INDEX(J$1:J4515,SUMPRODUCT(MAX(ROW(E$1:E4515)*(E4516=E$1:E4515)))))</f>
        <v> </v>
      </c>
      <c r="L4516" s="26"/>
    </row>
    <row r="4517" spans="1:12">
      <c r="A4517" s="20" t="s">
        <v>2411</v>
      </c>
      <c r="E4517" s="21">
        <f>IF(D4517="?OLD","!!!","")</f>
        <v/>
      </c>
      <c r="F4517" s="22" t="str">
        <f>IF(OR(E4517="",E4517="!!!"),"",IF(NOT(ISNA(VLOOKUP(E4517,E$1:E4516,1,FALSE()))),"OLD",IF(AND(E4517&lt;&gt;"",E4517&lt;&gt;"!!!"),"NEW","")))</f>
        <v> </v>
      </c>
      <c r="G4517" s="23" t="str">
        <f>IF(OR(E4517="",E4517="!!!"),"",IF(OR(J4517=0,AND(J4517=1,K4517=1),AND(J4517=1,I4517="SBJ"),AND(J4517=1,I4517=0)),"?IN_FOCUS",IF(J4517&lt;=2,"?ACTIVATED",IF(J4517&lt;&gt;"","?FAMILIAR",IF(F4517="NEW",IF(ISNA(VLOOKUP(E4517,#REF!,1,FALSE())),"?TYPE_IDENTIFIABLE","?REFERENTIAL"),"_")))))</f>
        <v> </v>
      </c>
      <c r="H4517" s="24" t="str">
        <f>IF(J4517&lt;&gt;1,"",IF(I4517="SBJ","CB","?"))</f>
        <v> </v>
      </c>
      <c r="I4517" s="25" t="str">
        <f>IF(OR(E4517="",E4517="!!!",F4517="NEW"),"",INDEX(B4516:B$2,-1+SUMPRODUCT(MAX(ROW(E4516:E$2)*(E4517=E4516:E$2)))))</f>
        <v> </v>
      </c>
      <c r="J4517" s="25" t="str">
        <f>IF(OR(E4517="",E4517="!!!",F4517="NEW"),"",COUNTBLANK(OFFSET(A$1,,,SUMPRODUCT(MAX(ROW(E$2:E4517)*(E4517=E$2:E4517)))))-COUNTBLANK(OFFSET(A$1,,,SUMPRODUCT(MAX(ROW(E$1:E4516)*(E2=E$1:E4516))))))</f>
        <v> </v>
      </c>
      <c r="K4517" s="25" t="str">
        <f>IF(OR(E4517="",E4517="!!!",F4517="NEW"),"",INDEX(J$1:J4516,SUMPRODUCT(MAX(ROW(E$1:E4516)*(E4517=E$1:E4516)))))</f>
        <v> </v>
      </c>
      <c r="L4517" s="26"/>
    </row>
    <row r="4518" spans="1:12">
      <c r="A4518" s="20" t="s">
        <v>3087</v>
      </c>
      <c r="B4518" s="27" t="s">
        <v>1107</v>
      </c>
      <c r="C4518" s="27" t="s">
        <v>1210</v>
      </c>
      <c r="E4518" s="21">
        <f>IF(D4518="?OLD","!!!","")</f>
        <v/>
      </c>
      <c r="F4518" s="22" t="str">
        <f>IF(OR(E4518="",E4518="!!!"),"",IF(NOT(ISNA(VLOOKUP(E4518,E$1:E4517,1,FALSE()))),"OLD",IF(AND(E4518&lt;&gt;"",E4518&lt;&gt;"!!!"),"NEW","")))</f>
        <v> </v>
      </c>
      <c r="G4518" s="23" t="str">
        <f>IF(OR(E4518="",E4518="!!!"),"",IF(OR(J4518=0,AND(J4518=1,K4518=1),AND(J4518=1,I4518="SBJ"),AND(J4518=1,I4518=0)),"?IN_FOCUS",IF(J4518&lt;=2,"?ACTIVATED",IF(J4518&lt;&gt;"","?FAMILIAR",IF(F4518="NEW",IF(ISNA(VLOOKUP(E4518,#REF!,1,FALSE())),"?TYPE_IDENTIFIABLE","?REFERENTIAL"),"_")))))</f>
        <v> </v>
      </c>
      <c r="H4518" s="24" t="str">
        <f>IF(J4518&lt;&gt;1,"",IF(I4518="SBJ","CB","?"))</f>
        <v> </v>
      </c>
      <c r="I4518" s="25" t="str">
        <f>IF(OR(E4518="",E4518="!!!",F4518="NEW"),"",INDEX(B4517:B$2,-1+SUMPRODUCT(MAX(ROW(E4517:E$2)*(E4518=E4517:E$2)))))</f>
        <v> </v>
      </c>
      <c r="J4518" s="25" t="str">
        <f>IF(OR(E4518="",E4518="!!!",F4518="NEW"),"",COUNTBLANK(OFFSET(A$1,,,SUMPRODUCT(MAX(ROW(E$2:E4518)*(E4518=E$2:E4518)))))-COUNTBLANK(OFFSET(A$1,,,SUMPRODUCT(MAX(ROW(E$1:E4517)*(E2=E$1:E4517))))))</f>
        <v> </v>
      </c>
      <c r="K4518" s="25" t="str">
        <f>IF(OR(E4518="",E4518="!!!",F4518="NEW"),"",INDEX(J$1:J4517,SUMPRODUCT(MAX(ROW(E$1:E4517)*(E4518=E$1:E4517)))))</f>
        <v> </v>
      </c>
      <c r="L4518" s="26"/>
    </row>
    <row r="4519" spans="1:12">
      <c r="A4519" s="20" t="s">
        <v>1145</v>
      </c>
      <c r="E4519" s="21">
        <f>IF(D4519="?OLD","!!!","")</f>
        <v/>
      </c>
      <c r="F4519" s="22" t="str">
        <f>IF(OR(E4519="",E4519="!!!"),"",IF(NOT(ISNA(VLOOKUP(E4519,E$1:E4518,1,FALSE()))),"OLD",IF(AND(E4519&lt;&gt;"",E4519&lt;&gt;"!!!"),"NEW","")))</f>
        <v> </v>
      </c>
      <c r="G4519" s="23" t="str">
        <f>IF(OR(E4519="",E4519="!!!"),"",IF(OR(J4519=0,AND(J4519=1,K4519=1),AND(J4519=1,I4519="SBJ"),AND(J4519=1,I4519=0)),"?IN_FOCUS",IF(J4519&lt;=2,"?ACTIVATED",IF(J4519&lt;&gt;"","?FAMILIAR",IF(F4519="NEW",IF(ISNA(VLOOKUP(E4519,#REF!,1,FALSE())),"?TYPE_IDENTIFIABLE","?REFERENTIAL"),"_")))))</f>
        <v> </v>
      </c>
      <c r="H4519" s="24" t="str">
        <f>IF(J4519&lt;&gt;1,"",IF(I4519="SBJ","CB","?"))</f>
        <v> </v>
      </c>
      <c r="I4519" s="25" t="str">
        <f>IF(OR(E4519="",E4519="!!!",F4519="NEW"),"",INDEX(B4518:B$2,-1+SUMPRODUCT(MAX(ROW(E4518:E$2)*(E4519=E4518:E$2)))))</f>
        <v> </v>
      </c>
      <c r="J4519" s="25" t="str">
        <f>IF(OR(E4519="",E4519="!!!",F4519="NEW"),"",COUNTBLANK(OFFSET(A$1,,,SUMPRODUCT(MAX(ROW(E$2:E4519)*(E4519=E$2:E4519)))))-COUNTBLANK(OFFSET(A$1,,,SUMPRODUCT(MAX(ROW(E$1:E4518)*(E2=E$1:E4518))))))</f>
        <v> </v>
      </c>
      <c r="K4519" s="25" t="str">
        <f>IF(OR(E4519="",E4519="!!!",F4519="NEW"),"",INDEX(J$1:J4518,SUMPRODUCT(MAX(ROW(E$1:E4518)*(E4519=E$1:E4518)))))</f>
        <v> </v>
      </c>
      <c r="L4519" s="26"/>
    </row>
    <row r="4520" spans="1:12">
      <c r="A4520" s="20"/>
    </row>
    <row r="4521" spans="1:12">
      <c r="A4521" s="20" t="s">
        <v>3088</v>
      </c>
    </row>
    <row r="4522" spans="1:12">
      <c r="A4522" s="20" t="s">
        <v>1368</v>
      </c>
      <c r="E4522" s="21">
        <f>IF(D4522="?OLD","!!!","")</f>
        <v/>
      </c>
      <c r="F4522" s="22" t="str">
        <f>IF(OR(E4522="",E4522="!!!"),"",IF(NOT(ISNA(VLOOKUP(E4522,E$1:E4521,1,FALSE()))),"OLD",IF(AND(E4522&lt;&gt;"",E4522&lt;&gt;"!!!"),"NEW","")))</f>
        <v> </v>
      </c>
      <c r="G4522" s="23" t="str">
        <f>IF(OR(E4522="",E4522="!!!"),"",IF(OR(J4522=0,AND(J4522=1,K4522=1),AND(J4522=1,I4522="SBJ"),AND(J4522=1,I4522=0)),"?IN_FOCUS",IF(J4522&lt;=2,"?ACTIVATED",IF(J4522&lt;&gt;"","?FAMILIAR",IF(F4522="NEW",IF(ISNA(VLOOKUP(E4522,#REF!,1,FALSE())),"?TYPE_IDENTIFIABLE","?REFERENTIAL"),"_")))))</f>
        <v> </v>
      </c>
      <c r="H4522" s="24" t="str">
        <f>IF(J4522&lt;&gt;1,"",IF(I4522="SBJ","CB","?"))</f>
        <v> </v>
      </c>
      <c r="I4522" s="25" t="str">
        <f>IF(OR(E4522="",E4522="!!!",F4522="NEW"),"",INDEX(B4521:B$2,-1+SUMPRODUCT(MAX(ROW(E4521:E$2)*(E4522=E4521:E$2)))))</f>
        <v> </v>
      </c>
      <c r="J4522" s="25" t="str">
        <f>IF(OR(E4522="",E4522="!!!",F4522="NEW"),"",COUNTBLANK(OFFSET(A$1,,,SUMPRODUCT(MAX(ROW(E$2:E4522)*(E4522=E$2:E4522)))))-COUNTBLANK(OFFSET(A$1,,,SUMPRODUCT(MAX(ROW(E$1:E4521)*(E2=E$1:E4521))))))</f>
        <v> </v>
      </c>
      <c r="K4522" s="25" t="str">
        <f>IF(OR(E4522="",E4522="!!!",F4522="NEW"),"",INDEX(J$1:J4521,SUMPRODUCT(MAX(ROW(E$1:E4521)*(E4522=E$1:E4521)))))</f>
        <v> </v>
      </c>
      <c r="L4522" s="26"/>
    </row>
    <row r="4523" spans="1:12">
      <c r="A4523" s="20" t="s">
        <v>1444</v>
      </c>
      <c r="E4523" s="21">
        <f>IF(D4523="?OLD","!!!","")</f>
        <v/>
      </c>
      <c r="F4523" s="22" t="str">
        <f>IF(OR(E4523="",E4523="!!!"),"",IF(NOT(ISNA(VLOOKUP(E4523,E$1:E4522,1,FALSE()))),"OLD",IF(AND(E4523&lt;&gt;"",E4523&lt;&gt;"!!!"),"NEW","")))</f>
        <v> </v>
      </c>
      <c r="G4523" s="23" t="str">
        <f>IF(OR(E4523="",E4523="!!!"),"",IF(OR(J4523=0,AND(J4523=1,K4523=1),AND(J4523=1,I4523="SBJ"),AND(J4523=1,I4523=0)),"?IN_FOCUS",IF(J4523&lt;=2,"?ACTIVATED",IF(J4523&lt;&gt;"","?FAMILIAR",IF(F4523="NEW",IF(ISNA(VLOOKUP(E4523,#REF!,1,FALSE())),"?TYPE_IDENTIFIABLE","?REFERENTIAL"),"_")))))</f>
        <v> </v>
      </c>
      <c r="H4523" s="24" t="str">
        <f>IF(J4523&lt;&gt;1,"",IF(I4523="SBJ","CB","?"))</f>
        <v> </v>
      </c>
      <c r="I4523" s="25" t="str">
        <f>IF(OR(E4523="",E4523="!!!",F4523="NEW"),"",INDEX(B4522:B$2,-1+SUMPRODUCT(MAX(ROW(E4522:E$2)*(E4523=E4522:E$2)))))</f>
        <v> </v>
      </c>
      <c r="J4523" s="25" t="str">
        <f>IF(OR(E4523="",E4523="!!!",F4523="NEW"),"",COUNTBLANK(OFFSET(A$1,,,SUMPRODUCT(MAX(ROW(E$2:E4523)*(E4523=E$2:E4523)))))-COUNTBLANK(OFFSET(A$1,,,SUMPRODUCT(MAX(ROW(E$1:E4522)*(E2=E$1:E4522))))))</f>
        <v> </v>
      </c>
      <c r="K4523" s="25" t="str">
        <f>IF(OR(E4523="",E4523="!!!",F4523="NEW"),"",INDEX(J$1:J4522,SUMPRODUCT(MAX(ROW(E$1:E4522)*(E4523=E$1:E4522)))))</f>
        <v> </v>
      </c>
      <c r="L4523" s="26"/>
    </row>
    <row r="4524" spans="1:12">
      <c r="A4524" s="20" t="s">
        <v>1494</v>
      </c>
      <c r="B4524" s="27" t="s">
        <v>1213</v>
      </c>
      <c r="C4524" s="27" t="s">
        <v>1126</v>
      </c>
      <c r="D4524" s="27" t="s">
        <v>1105</v>
      </c>
      <c r="E4524" s="21">
        <f>IF(D4524="?OLD","!!!","")</f>
        <v/>
      </c>
      <c r="F4524" s="22" t="str">
        <f>IF(OR(E4524="",E4524="!!!"),"",IF(NOT(ISNA(VLOOKUP(E4524,E$1:E4523,1,FALSE()))),"OLD",IF(AND(E4524&lt;&gt;"",E4524&lt;&gt;"!!!"),"NEW","")))</f>
        <v> </v>
      </c>
      <c r="G4524" s="23" t="str">
        <f>IF(OR(E4524="",E4524="!!!"),"",IF(OR(J4524=0,AND(J4524=1,K4524=1),AND(J4524=1,I4524="SBJ"),AND(J4524=1,I4524=0)),"?IN_FOCUS",IF(J4524&lt;=2,"?ACTIVATED",IF(J4524&lt;&gt;"","?FAMILIAR",IF(F4524="NEW",IF(ISNA(VLOOKUP(E4524,#REF!,1,FALSE())),"?TYPE_IDENTIFIABLE","?REFERENTIAL"),"_")))))</f>
        <v> </v>
      </c>
      <c r="H4524" s="24" t="str">
        <f>IF(J4524&lt;&gt;1,"",IF(I4524="SBJ","CB","?"))</f>
        <v> </v>
      </c>
      <c r="I4524" s="25" t="str">
        <f>IF(OR(E4524="",E4524="!!!",F4524="NEW"),"",INDEX(B4523:B$2,-1+SUMPRODUCT(MAX(ROW(E4523:E$2)*(E4524=E4523:E$2)))))</f>
        <v> </v>
      </c>
      <c r="J4524" s="25" t="str">
        <f>IF(OR(E4524="",E4524="!!!",F4524="NEW"),"",COUNTBLANK(OFFSET(A$1,,,SUMPRODUCT(MAX(ROW(E$2:E4524)*(E4524=E$2:E4524)))))-COUNTBLANK(OFFSET(A$1,,,SUMPRODUCT(MAX(ROW(E$1:E4523)*(E2=E$1:E4523))))))</f>
        <v> </v>
      </c>
      <c r="K4524" s="25" t="str">
        <f>IF(OR(E4524="",E4524="!!!",F4524="NEW"),"",INDEX(J$1:J4523,SUMPRODUCT(MAX(ROW(E$1:E4523)*(E4524=E$1:E4523)))))</f>
        <v> </v>
      </c>
      <c r="L4524" s="26"/>
    </row>
    <row r="4525" spans="1:12">
      <c r="A4525" s="20" t="s">
        <v>3089</v>
      </c>
      <c r="B4525" s="27" t="s">
        <v>1149</v>
      </c>
      <c r="E4525" s="21">
        <f>IF(D4525="?OLD","!!!","")</f>
        <v/>
      </c>
      <c r="F4525" s="22" t="str">
        <f>IF(OR(E4525="",E4525="!!!"),"",IF(NOT(ISNA(VLOOKUP(E4525,E$1:E4524,1,FALSE()))),"OLD",IF(AND(E4525&lt;&gt;"",E4525&lt;&gt;"!!!"),"NEW","")))</f>
        <v> </v>
      </c>
      <c r="G4525" s="23" t="str">
        <f>IF(OR(E4525="",E4525="!!!"),"",IF(OR(J4525=0,AND(J4525=1,K4525=1),AND(J4525=1,I4525="SBJ"),AND(J4525=1,I4525=0)),"?IN_FOCUS",IF(J4525&lt;=2,"?ACTIVATED",IF(J4525&lt;&gt;"","?FAMILIAR",IF(F4525="NEW",IF(ISNA(VLOOKUP(E4525,#REF!,1,FALSE())),"?TYPE_IDENTIFIABLE","?REFERENTIAL"),"_")))))</f>
        <v> </v>
      </c>
      <c r="H4525" s="24" t="str">
        <f>IF(J4525&lt;&gt;1,"",IF(I4525="SBJ","CB","?"))</f>
        <v> </v>
      </c>
      <c r="I4525" s="25" t="str">
        <f>IF(OR(E4525="",E4525="!!!",F4525="NEW"),"",INDEX(B4524:B$2,-1+SUMPRODUCT(MAX(ROW(E4524:E$2)*(E4525=E4524:E$2)))))</f>
        <v> </v>
      </c>
      <c r="J4525" s="25" t="str">
        <f>IF(OR(E4525="",E4525="!!!",F4525="NEW"),"",COUNTBLANK(OFFSET(A$1,,,SUMPRODUCT(MAX(ROW(E$2:E4525)*(E4525=E$2:E4525)))))-COUNTBLANK(OFFSET(A$1,,,SUMPRODUCT(MAX(ROW(E$1:E4524)*(E2=E$1:E4524))))))</f>
        <v> </v>
      </c>
      <c r="K4525" s="25" t="str">
        <f>IF(OR(E4525="",E4525="!!!",F4525="NEW"),"",INDEX(J$1:J4524,SUMPRODUCT(MAX(ROW(E$1:E4524)*(E4525=E$1:E4524)))))</f>
        <v> </v>
      </c>
      <c r="L4525" s="26"/>
    </row>
    <row r="4526" spans="1:12">
      <c r="A4526" s="20" t="s">
        <v>2073</v>
      </c>
      <c r="E4526" s="21">
        <f>IF(D4526="?OLD","!!!","")</f>
        <v/>
      </c>
      <c r="F4526" s="22" t="str">
        <f>IF(OR(E4526="",E4526="!!!"),"",IF(NOT(ISNA(VLOOKUP(E4526,E$1:E4525,1,FALSE()))),"OLD",IF(AND(E4526&lt;&gt;"",E4526&lt;&gt;"!!!"),"NEW","")))</f>
        <v> </v>
      </c>
      <c r="G4526" s="23" t="str">
        <f>IF(OR(E4526="",E4526="!!!"),"",IF(OR(J4526=0,AND(J4526=1,K4526=1),AND(J4526=1,I4526="SBJ"),AND(J4526=1,I4526=0)),"?IN_FOCUS",IF(J4526&lt;=2,"?ACTIVATED",IF(J4526&lt;&gt;"","?FAMILIAR",IF(F4526="NEW",IF(ISNA(VLOOKUP(E4526,#REF!,1,FALSE())),"?TYPE_IDENTIFIABLE","?REFERENTIAL"),"_")))))</f>
        <v> </v>
      </c>
      <c r="H4526" s="24" t="str">
        <f>IF(J4526&lt;&gt;1,"",IF(I4526="SBJ","CB","?"))</f>
        <v> </v>
      </c>
      <c r="I4526" s="25" t="str">
        <f>IF(OR(E4526="",E4526="!!!",F4526="NEW"),"",INDEX(B4525:B$2,-1+SUMPRODUCT(MAX(ROW(E4525:E$2)*(E4526=E4525:E$2)))))</f>
        <v> </v>
      </c>
      <c r="J4526" s="25" t="str">
        <f>IF(OR(E4526="",E4526="!!!",F4526="NEW"),"",COUNTBLANK(OFFSET(A$1,,,SUMPRODUCT(MAX(ROW(E$2:E4526)*(E4526=E$2:E4526)))))-COUNTBLANK(OFFSET(A$1,,,SUMPRODUCT(MAX(ROW(E$1:E4525)*(E2=E$1:E4525))))))</f>
        <v> </v>
      </c>
      <c r="K4526" s="25" t="str">
        <f>IF(OR(E4526="",E4526="!!!",F4526="NEW"),"",INDEX(J$1:J4525,SUMPRODUCT(MAX(ROW(E$1:E4525)*(E4526=E$1:E4525)))))</f>
        <v> </v>
      </c>
      <c r="L4526" s="26"/>
    </row>
    <row r="4527" spans="1:12">
      <c r="A4527" s="20" t="s">
        <v>1249</v>
      </c>
      <c r="E4527" s="21">
        <f>IF(D4527="?OLD","!!!","")</f>
        <v/>
      </c>
      <c r="F4527" s="22" t="str">
        <f>IF(OR(E4527="",E4527="!!!"),"",IF(NOT(ISNA(VLOOKUP(E4527,E$1:E4526,1,FALSE()))),"OLD",IF(AND(E4527&lt;&gt;"",E4527&lt;&gt;"!!!"),"NEW","")))</f>
        <v> </v>
      </c>
      <c r="G4527" s="23" t="str">
        <f>IF(OR(E4527="",E4527="!!!"),"",IF(OR(J4527=0,AND(J4527=1,K4527=1),AND(J4527=1,I4527="SBJ"),AND(J4527=1,I4527=0)),"?IN_FOCUS",IF(J4527&lt;=2,"?ACTIVATED",IF(J4527&lt;&gt;"","?FAMILIAR",IF(F4527="NEW",IF(ISNA(VLOOKUP(E4527,#REF!,1,FALSE())),"?TYPE_IDENTIFIABLE","?REFERENTIAL"),"_")))))</f>
        <v> </v>
      </c>
      <c r="H4527" s="24" t="str">
        <f>IF(J4527&lt;&gt;1,"",IF(I4527="SBJ","CB","?"))</f>
        <v> </v>
      </c>
      <c r="I4527" s="25" t="str">
        <f>IF(OR(E4527="",E4527="!!!",F4527="NEW"),"",INDEX(B4526:B$2,-1+SUMPRODUCT(MAX(ROW(E4526:E$2)*(E4527=E4526:E$2)))))</f>
        <v> </v>
      </c>
      <c r="J4527" s="25" t="str">
        <f>IF(OR(E4527="",E4527="!!!",F4527="NEW"),"",COUNTBLANK(OFFSET(A$1,,,SUMPRODUCT(MAX(ROW(E$2:E4527)*(E4527=E$2:E4527)))))-COUNTBLANK(OFFSET(A$1,,,SUMPRODUCT(MAX(ROW(E$1:E4526)*(E2=E$1:E4526))))))</f>
        <v> </v>
      </c>
      <c r="K4527" s="25" t="str">
        <f>IF(OR(E4527="",E4527="!!!",F4527="NEW"),"",INDEX(J$1:J4526,SUMPRODUCT(MAX(ROW(E$1:E4526)*(E4527=E$1:E4526)))))</f>
        <v> </v>
      </c>
      <c r="L4527" s="26"/>
    </row>
    <row r="4528" spans="1:12">
      <c r="A4528" s="20" t="s">
        <v>1262</v>
      </c>
      <c r="E4528" s="21">
        <f>IF(D4528="?OLD","!!!","")</f>
        <v/>
      </c>
      <c r="F4528" s="22" t="str">
        <f>IF(OR(E4528="",E4528="!!!"),"",IF(NOT(ISNA(VLOOKUP(E4528,E$1:E4527,1,FALSE()))),"OLD",IF(AND(E4528&lt;&gt;"",E4528&lt;&gt;"!!!"),"NEW","")))</f>
        <v> </v>
      </c>
      <c r="G4528" s="23" t="str">
        <f>IF(OR(E4528="",E4528="!!!"),"",IF(OR(J4528=0,AND(J4528=1,K4528=1),AND(J4528=1,I4528="SBJ"),AND(J4528=1,I4528=0)),"?IN_FOCUS",IF(J4528&lt;=2,"?ACTIVATED",IF(J4528&lt;&gt;"","?FAMILIAR",IF(F4528="NEW",IF(ISNA(VLOOKUP(E4528,#REF!,1,FALSE())),"?TYPE_IDENTIFIABLE","?REFERENTIAL"),"_")))))</f>
        <v> </v>
      </c>
      <c r="H4528" s="24" t="str">
        <f>IF(J4528&lt;&gt;1,"",IF(I4528="SBJ","CB","?"))</f>
        <v> </v>
      </c>
      <c r="I4528" s="25" t="str">
        <f>IF(OR(E4528="",E4528="!!!",F4528="NEW"),"",INDEX(B4527:B$2,-1+SUMPRODUCT(MAX(ROW(E4527:E$2)*(E4528=E4527:E$2)))))</f>
        <v> </v>
      </c>
      <c r="J4528" s="25" t="str">
        <f>IF(OR(E4528="",E4528="!!!",F4528="NEW"),"",COUNTBLANK(OFFSET(A$1,,,SUMPRODUCT(MAX(ROW(E$2:E4528)*(E4528=E$2:E4528)))))-COUNTBLANK(OFFSET(A$1,,,SUMPRODUCT(MAX(ROW(E$1:E4527)*(E2=E$1:E4527))))))</f>
        <v> </v>
      </c>
      <c r="K4528" s="25" t="str">
        <f>IF(OR(E4528="",E4528="!!!",F4528="NEW"),"",INDEX(J$1:J4527,SUMPRODUCT(MAX(ROW(E$1:E4527)*(E4528=E$1:E4527)))))</f>
        <v> </v>
      </c>
      <c r="L4528" s="26"/>
    </row>
    <row r="4529" spans="1:12">
      <c r="A4529" s="20" t="s">
        <v>1145</v>
      </c>
      <c r="E4529" s="21">
        <f>IF(D4529="?OLD","!!!","")</f>
        <v/>
      </c>
      <c r="F4529" s="22" t="str">
        <f>IF(OR(E4529="",E4529="!!!"),"",IF(NOT(ISNA(VLOOKUP(E4529,E$1:E4528,1,FALSE()))),"OLD",IF(AND(E4529&lt;&gt;"",E4529&lt;&gt;"!!!"),"NEW","")))</f>
        <v> </v>
      </c>
      <c r="G4529" s="23" t="str">
        <f>IF(OR(E4529="",E4529="!!!"),"",IF(OR(J4529=0,AND(J4529=1,K4529=1),AND(J4529=1,I4529="SBJ"),AND(J4529=1,I4529=0)),"?IN_FOCUS",IF(J4529&lt;=2,"?ACTIVATED",IF(J4529&lt;&gt;"","?FAMILIAR",IF(F4529="NEW",IF(ISNA(VLOOKUP(E4529,#REF!,1,FALSE())),"?TYPE_IDENTIFIABLE","?REFERENTIAL"),"_")))))</f>
        <v> </v>
      </c>
      <c r="H4529" s="24" t="str">
        <f>IF(J4529&lt;&gt;1,"",IF(I4529="SBJ","CB","?"))</f>
        <v> </v>
      </c>
      <c r="I4529" s="25" t="str">
        <f>IF(OR(E4529="",E4529="!!!",F4529="NEW"),"",INDEX(B4528:B$2,-1+SUMPRODUCT(MAX(ROW(E4528:E$2)*(E4529=E4528:E$2)))))</f>
        <v> </v>
      </c>
      <c r="J4529" s="25" t="str">
        <f>IF(OR(E4529="",E4529="!!!",F4529="NEW"),"",COUNTBLANK(OFFSET(A$1,,,SUMPRODUCT(MAX(ROW(E$2:E4529)*(E4529=E$2:E4529)))))-COUNTBLANK(OFFSET(A$1,,,SUMPRODUCT(MAX(ROW(E$1:E4528)*(E2=E$1:E4528))))))</f>
        <v> </v>
      </c>
      <c r="K4529" s="25" t="str">
        <f>IF(OR(E4529="",E4529="!!!",F4529="NEW"),"",INDEX(J$1:J4528,SUMPRODUCT(MAX(ROW(E$1:E4528)*(E4529=E$1:E4528)))))</f>
        <v> </v>
      </c>
      <c r="L4529" s="26"/>
    </row>
    <row r="4530" spans="1:12">
      <c r="A4530" s="20"/>
    </row>
    <row r="4531" spans="1:12">
      <c r="A4531" s="20" t="s">
        <v>3090</v>
      </c>
    </row>
    <row r="4532" spans="1:12">
      <c r="A4532" s="20" t="s">
        <v>1191</v>
      </c>
      <c r="B4532" s="27" t="s">
        <v>1149</v>
      </c>
      <c r="C4532" s="27" t="s">
        <v>1126</v>
      </c>
      <c r="D4532" s="27" t="s">
        <v>1105</v>
      </c>
      <c r="E4532" s="21">
        <f>IF(D4532="?OLD","!!!","")</f>
        <v/>
      </c>
      <c r="F4532" s="22" t="str">
        <f>IF(OR(E4532="",E4532="!!!"),"",IF(NOT(ISNA(VLOOKUP(E4532,E$1:E4531,1,FALSE()))),"OLD",IF(AND(E4532&lt;&gt;"",E4532&lt;&gt;"!!!"),"NEW","")))</f>
        <v> </v>
      </c>
      <c r="G4532" s="23" t="str">
        <f>IF(OR(E4532="",E4532="!!!"),"",IF(OR(J4532=0,AND(J4532=1,K4532=1),AND(J4532=1,I4532="SBJ"),AND(J4532=1,I4532=0)),"?IN_FOCUS",IF(J4532&lt;=2,"?ACTIVATED",IF(J4532&lt;&gt;"","?FAMILIAR",IF(F4532="NEW",IF(ISNA(VLOOKUP(E4532,#REF!,1,FALSE())),"?TYPE_IDENTIFIABLE","?REFERENTIAL"),"_")))))</f>
        <v> </v>
      </c>
      <c r="H4532" s="24" t="str">
        <f>IF(J4532&lt;&gt;1,"",IF(I4532="SBJ","CB","?"))</f>
        <v> </v>
      </c>
      <c r="I4532" s="25" t="str">
        <f>IF(OR(E4532="",E4532="!!!",F4532="NEW"),"",INDEX(B4531:B$2,-1+SUMPRODUCT(MAX(ROW(E4531:E$2)*(E4532=E4531:E$2)))))</f>
        <v> </v>
      </c>
      <c r="J4532" s="25" t="str">
        <f>IF(OR(E4532="",E4532="!!!",F4532="NEW"),"",COUNTBLANK(OFFSET(A$1,,,SUMPRODUCT(MAX(ROW(E$2:E4532)*(E4532=E$2:E4532)))))-COUNTBLANK(OFFSET(A$1,,,SUMPRODUCT(MAX(ROW(E$1:E4531)*(E2=E$1:E4531))))))</f>
        <v> </v>
      </c>
      <c r="K4532" s="25" t="str">
        <f>IF(OR(E4532="",E4532="!!!",F4532="NEW"),"",INDEX(J$1:J4531,SUMPRODUCT(MAX(ROW(E$1:E4531)*(E4532=E$1:E4531)))))</f>
        <v> </v>
      </c>
      <c r="L4532" s="26"/>
    </row>
    <row r="4533" spans="1:12">
      <c r="A4533" s="20" t="s">
        <v>1528</v>
      </c>
      <c r="E4533" s="21">
        <f>IF(D4533="?OLD","!!!","")</f>
        <v/>
      </c>
      <c r="F4533" s="22" t="str">
        <f>IF(OR(E4533="",E4533="!!!"),"",IF(NOT(ISNA(VLOOKUP(E4533,E$1:E4532,1,FALSE()))),"OLD",IF(AND(E4533&lt;&gt;"",E4533&lt;&gt;"!!!"),"NEW","")))</f>
        <v> </v>
      </c>
      <c r="G4533" s="23" t="str">
        <f>IF(OR(E4533="",E4533="!!!"),"",IF(OR(J4533=0,AND(J4533=1,K4533=1),AND(J4533=1,I4533="SBJ"),AND(J4533=1,I4533=0)),"?IN_FOCUS",IF(J4533&lt;=2,"?ACTIVATED",IF(J4533&lt;&gt;"","?FAMILIAR",IF(F4533="NEW",IF(ISNA(VLOOKUP(E4533,#REF!,1,FALSE())),"?TYPE_IDENTIFIABLE","?REFERENTIAL"),"_")))))</f>
        <v> </v>
      </c>
      <c r="H4533" s="24" t="str">
        <f>IF(J4533&lt;&gt;1,"",IF(I4533="SBJ","CB","?"))</f>
        <v> </v>
      </c>
      <c r="I4533" s="25" t="str">
        <f>IF(OR(E4533="",E4533="!!!",F4533="NEW"),"",INDEX(B4532:B$2,-1+SUMPRODUCT(MAX(ROW(E4532:E$2)*(E4533=E4532:E$2)))))</f>
        <v> </v>
      </c>
      <c r="J4533" s="25" t="str">
        <f>IF(OR(E4533="",E4533="!!!",F4533="NEW"),"",COUNTBLANK(OFFSET(A$1,,,SUMPRODUCT(MAX(ROW(E$2:E4533)*(E4533=E$2:E4533)))))-COUNTBLANK(OFFSET(A$1,,,SUMPRODUCT(MAX(ROW(E$1:E4532)*(E2=E$1:E4532))))))</f>
        <v> </v>
      </c>
      <c r="K4533" s="25" t="str">
        <f>IF(OR(E4533="",E4533="!!!",F4533="NEW"),"",INDEX(J$1:J4532,SUMPRODUCT(MAX(ROW(E$1:E4532)*(E4533=E$1:E4532)))))</f>
        <v> </v>
      </c>
      <c r="L4533" s="26"/>
    </row>
    <row r="4534" spans="1:12">
      <c r="A4534" s="20" t="s">
        <v>3091</v>
      </c>
      <c r="E4534" s="21">
        <f>IF(D4534="?OLD","!!!","")</f>
        <v/>
      </c>
      <c r="F4534" s="22" t="str">
        <f>IF(OR(E4534="",E4534="!!!"),"",IF(NOT(ISNA(VLOOKUP(E4534,E$1:E4533,1,FALSE()))),"OLD",IF(AND(E4534&lt;&gt;"",E4534&lt;&gt;"!!!"),"NEW","")))</f>
        <v> </v>
      </c>
      <c r="G4534" s="23" t="str">
        <f>IF(OR(E4534="",E4534="!!!"),"",IF(OR(J4534=0,AND(J4534=1,K4534=1),AND(J4534=1,I4534="SBJ"),AND(J4534=1,I4534=0)),"?IN_FOCUS",IF(J4534&lt;=2,"?ACTIVATED",IF(J4534&lt;&gt;"","?FAMILIAR",IF(F4534="NEW",IF(ISNA(VLOOKUP(E4534,#REF!,1,FALSE())),"?TYPE_IDENTIFIABLE","?REFERENTIAL"),"_")))))</f>
        <v> </v>
      </c>
      <c r="H4534" s="24" t="str">
        <f>IF(J4534&lt;&gt;1,"",IF(I4534="SBJ","CB","?"))</f>
        <v> </v>
      </c>
      <c r="I4534" s="25" t="str">
        <f>IF(OR(E4534="",E4534="!!!",F4534="NEW"),"",INDEX(B4533:B$2,-1+SUMPRODUCT(MAX(ROW(E4533:E$2)*(E4534=E4533:E$2)))))</f>
        <v> </v>
      </c>
      <c r="J4534" s="25" t="str">
        <f>IF(OR(E4534="",E4534="!!!",F4534="NEW"),"",COUNTBLANK(OFFSET(A$1,,,SUMPRODUCT(MAX(ROW(E$2:E4534)*(E4534=E$2:E4534)))))-COUNTBLANK(OFFSET(A$1,,,SUMPRODUCT(MAX(ROW(E$1:E4533)*(E2=E$1:E4533))))))</f>
        <v> </v>
      </c>
      <c r="K4534" s="25" t="str">
        <f>IF(OR(E4534="",E4534="!!!",F4534="NEW"),"",INDEX(J$1:J4533,SUMPRODUCT(MAX(ROW(E$1:E4533)*(E4534=E$1:E4533)))))</f>
        <v> </v>
      </c>
      <c r="L4534" s="26"/>
    </row>
    <row r="4535" spans="1:12">
      <c r="A4535" s="20" t="s">
        <v>2907</v>
      </c>
      <c r="B4535" s="27" t="s">
        <v>1103</v>
      </c>
      <c r="C4535" s="27" t="s">
        <v>1116</v>
      </c>
      <c r="D4535" s="27" t="s">
        <v>1105</v>
      </c>
      <c r="E4535" s="21">
        <f>IF(D4535="?OLD","!!!","")</f>
        <v/>
      </c>
      <c r="F4535" s="22" t="str">
        <f>IF(OR(E4535="",E4535="!!!"),"",IF(NOT(ISNA(VLOOKUP(E4535,E$1:E4534,1,FALSE()))),"OLD",IF(AND(E4535&lt;&gt;"",E4535&lt;&gt;"!!!"),"NEW","")))</f>
        <v> </v>
      </c>
      <c r="G4535" s="23" t="str">
        <f>IF(OR(E4535="",E4535="!!!"),"",IF(OR(J4535=0,AND(J4535=1,K4535=1),AND(J4535=1,I4535="SBJ"),AND(J4535=1,I4535=0)),"?IN_FOCUS",IF(J4535&lt;=2,"?ACTIVATED",IF(J4535&lt;&gt;"","?FAMILIAR",IF(F4535="NEW",IF(ISNA(VLOOKUP(E4535,#REF!,1,FALSE())),"?TYPE_IDENTIFIABLE","?REFERENTIAL"),"_")))))</f>
        <v> </v>
      </c>
      <c r="H4535" s="24" t="str">
        <f>IF(J4535&lt;&gt;1,"",IF(I4535="SBJ","CB","?"))</f>
        <v> </v>
      </c>
      <c r="I4535" s="25" t="str">
        <f>IF(OR(E4535="",E4535="!!!",F4535="NEW"),"",INDEX(B4534:B$2,-1+SUMPRODUCT(MAX(ROW(E4534:E$2)*(E4535=E4534:E$2)))))</f>
        <v> </v>
      </c>
      <c r="J4535" s="25" t="str">
        <f>IF(OR(E4535="",E4535="!!!",F4535="NEW"),"",COUNTBLANK(OFFSET(A$1,,,SUMPRODUCT(MAX(ROW(E$2:E4535)*(E4535=E$2:E4535)))))-COUNTBLANK(OFFSET(A$1,,,SUMPRODUCT(MAX(ROW(E$1:E4534)*(E2=E$1:E4534))))))</f>
        <v> </v>
      </c>
      <c r="K4535" s="25" t="str">
        <f>IF(OR(E4535="",E4535="!!!",F4535="NEW"),"",INDEX(J$1:J4534,SUMPRODUCT(MAX(ROW(E$1:E4534)*(E4535=E$1:E4534)))))</f>
        <v> </v>
      </c>
      <c r="L4535" s="26"/>
    </row>
    <row r="4536" spans="1:12">
      <c r="A4536" s="20" t="s">
        <v>1184</v>
      </c>
      <c r="E4536" s="21">
        <f>IF(D4536="?OLD","!!!","")</f>
        <v/>
      </c>
      <c r="F4536" s="22" t="str">
        <f>IF(OR(E4536="",E4536="!!!"),"",IF(NOT(ISNA(VLOOKUP(E4536,E$1:E4535,1,FALSE()))),"OLD",IF(AND(E4536&lt;&gt;"",E4536&lt;&gt;"!!!"),"NEW","")))</f>
        <v> </v>
      </c>
      <c r="G4536" s="23" t="str">
        <f>IF(OR(E4536="",E4536="!!!"),"",IF(OR(J4536=0,AND(J4536=1,K4536=1),AND(J4536=1,I4536="SBJ"),AND(J4536=1,I4536=0)),"?IN_FOCUS",IF(J4536&lt;=2,"?ACTIVATED",IF(J4536&lt;&gt;"","?FAMILIAR",IF(F4536="NEW",IF(ISNA(VLOOKUP(E4536,#REF!,1,FALSE())),"?TYPE_IDENTIFIABLE","?REFERENTIAL"),"_")))))</f>
        <v> </v>
      </c>
      <c r="H4536" s="24" t="str">
        <f>IF(J4536&lt;&gt;1,"",IF(I4536="SBJ","CB","?"))</f>
        <v> </v>
      </c>
      <c r="I4536" s="25" t="str">
        <f>IF(OR(E4536="",E4536="!!!",F4536="NEW"),"",INDEX(B4535:B$2,-1+SUMPRODUCT(MAX(ROW(E4535:E$2)*(E4536=E4535:E$2)))))</f>
        <v> </v>
      </c>
      <c r="J4536" s="25" t="str">
        <f>IF(OR(E4536="",E4536="!!!",F4536="NEW"),"",COUNTBLANK(OFFSET(A$1,,,SUMPRODUCT(MAX(ROW(E$2:E4536)*(E4536=E$2:E4536)))))-COUNTBLANK(OFFSET(A$1,,,SUMPRODUCT(MAX(ROW(E$1:E4535)*(E2=E$1:E4535))))))</f>
        <v> </v>
      </c>
      <c r="K4536" s="25" t="str">
        <f>IF(OR(E4536="",E4536="!!!",F4536="NEW"),"",INDEX(J$1:J4535,SUMPRODUCT(MAX(ROW(E$1:E4535)*(E4536=E$1:E4535)))))</f>
        <v> </v>
      </c>
      <c r="L4536" s="26"/>
    </row>
    <row r="4537" spans="1:12">
      <c r="A4537" s="20" t="s">
        <v>3092</v>
      </c>
      <c r="B4537" s="27" t="s">
        <v>1107</v>
      </c>
      <c r="C4537" s="27" t="s">
        <v>1108</v>
      </c>
      <c r="D4537" s="27" t="s">
        <v>1105</v>
      </c>
      <c r="E4537" s="21">
        <f>IF(D4537="?OLD","!!!","")</f>
        <v/>
      </c>
      <c r="F4537" s="22" t="str">
        <f>IF(OR(E4537="",E4537="!!!"),"",IF(NOT(ISNA(VLOOKUP(E4537,E$1:E4536,1,FALSE()))),"OLD",IF(AND(E4537&lt;&gt;"",E4537&lt;&gt;"!!!"),"NEW","")))</f>
        <v> </v>
      </c>
      <c r="G4537" s="23" t="str">
        <f>IF(OR(E4537="",E4537="!!!"),"",IF(OR(J4537=0,AND(J4537=1,K4537=1),AND(J4537=1,I4537="SBJ"),AND(J4537=1,I4537=0)),"?IN_FOCUS",IF(J4537&lt;=2,"?ACTIVATED",IF(J4537&lt;&gt;"","?FAMILIAR",IF(F4537="NEW",IF(ISNA(VLOOKUP(E4537,#REF!,1,FALSE())),"?TYPE_IDENTIFIABLE","?REFERENTIAL"),"_")))))</f>
        <v> </v>
      </c>
      <c r="H4537" s="24" t="str">
        <f>IF(J4537&lt;&gt;1,"",IF(I4537="SBJ","CB","?"))</f>
        <v> </v>
      </c>
      <c r="I4537" s="25" t="str">
        <f>IF(OR(E4537="",E4537="!!!",F4537="NEW"),"",INDEX(B4536:B$2,-1+SUMPRODUCT(MAX(ROW(E4536:E$2)*(E4537=E4536:E$2)))))</f>
        <v> </v>
      </c>
      <c r="J4537" s="25" t="str">
        <f>IF(OR(E4537="",E4537="!!!",F4537="NEW"),"",COUNTBLANK(OFFSET(A$1,,,SUMPRODUCT(MAX(ROW(E$2:E4537)*(E4537=E$2:E4537)))))-COUNTBLANK(OFFSET(A$1,,,SUMPRODUCT(MAX(ROW(E$1:E4536)*(E2=E$1:E4536))))))</f>
        <v> </v>
      </c>
      <c r="K4537" s="25" t="str">
        <f>IF(OR(E4537="",E4537="!!!",F4537="NEW"),"",INDEX(J$1:J4536,SUMPRODUCT(MAX(ROW(E$1:E4536)*(E4537=E$1:E4536)))))</f>
        <v> </v>
      </c>
      <c r="L4537" s="26"/>
    </row>
    <row r="4538" spans="1:12">
      <c r="A4538" s="20" t="s">
        <v>1123</v>
      </c>
      <c r="E4538" s="21">
        <f>IF(D4538="?OLD","!!!","")</f>
        <v/>
      </c>
      <c r="F4538" s="22" t="str">
        <f>IF(OR(E4538="",E4538="!!!"),"",IF(NOT(ISNA(VLOOKUP(E4538,E$1:E4537,1,FALSE()))),"OLD",IF(AND(E4538&lt;&gt;"",E4538&lt;&gt;"!!!"),"NEW","")))</f>
        <v> </v>
      </c>
      <c r="G4538" s="23" t="str">
        <f>IF(OR(E4538="",E4538="!!!"),"",IF(OR(J4538=0,AND(J4538=1,K4538=1),AND(J4538=1,I4538="SBJ"),AND(J4538=1,I4538=0)),"?IN_FOCUS",IF(J4538&lt;=2,"?ACTIVATED",IF(J4538&lt;&gt;"","?FAMILIAR",IF(F4538="NEW",IF(ISNA(VLOOKUP(E4538,#REF!,1,FALSE())),"?TYPE_IDENTIFIABLE","?REFERENTIAL"),"_")))))</f>
        <v> </v>
      </c>
      <c r="H4538" s="24" t="str">
        <f>IF(J4538&lt;&gt;1,"",IF(I4538="SBJ","CB","?"))</f>
        <v> </v>
      </c>
      <c r="I4538" s="25" t="str">
        <f>IF(OR(E4538="",E4538="!!!",F4538="NEW"),"",INDEX(B4537:B$2,-1+SUMPRODUCT(MAX(ROW(E4537:E$2)*(E4538=E4537:E$2)))))</f>
        <v> </v>
      </c>
      <c r="J4538" s="25" t="str">
        <f>IF(OR(E4538="",E4538="!!!",F4538="NEW"),"",COUNTBLANK(OFFSET(A$1,,,SUMPRODUCT(MAX(ROW(E$2:E4538)*(E4538=E$2:E4538)))))-COUNTBLANK(OFFSET(A$1,,,SUMPRODUCT(MAX(ROW(E$1:E4537)*(E2=E$1:E4537))))))</f>
        <v> </v>
      </c>
      <c r="K4538" s="25" t="str">
        <f>IF(OR(E4538="",E4538="!!!",F4538="NEW"),"",INDEX(J$1:J4537,SUMPRODUCT(MAX(ROW(E$1:E4537)*(E4538=E$1:E4537)))))</f>
        <v> </v>
      </c>
      <c r="L4538" s="26"/>
    </row>
    <row r="4539" spans="1:12">
      <c r="A4539" s="20" t="s">
        <v>1443</v>
      </c>
      <c r="B4539" s="27" t="s">
        <v>1103</v>
      </c>
      <c r="C4539" s="27" t="s">
        <v>1108</v>
      </c>
      <c r="D4539" s="27" t="s">
        <v>1105</v>
      </c>
      <c r="E4539" s="21">
        <f>IF(D4539="?OLD","!!!","")</f>
        <v/>
      </c>
      <c r="F4539" s="22" t="str">
        <f>IF(OR(E4539="",E4539="!!!"),"",IF(NOT(ISNA(VLOOKUP(E4539,E$1:E4538,1,FALSE()))),"OLD",IF(AND(E4539&lt;&gt;"",E4539&lt;&gt;"!!!"),"NEW","")))</f>
        <v> </v>
      </c>
      <c r="G4539" s="23" t="str">
        <f>IF(OR(E4539="",E4539="!!!"),"",IF(OR(J4539=0,AND(J4539=1,K4539=1),AND(J4539=1,I4539="SBJ"),AND(J4539=1,I4539=0)),"?IN_FOCUS",IF(J4539&lt;=2,"?ACTIVATED",IF(J4539&lt;&gt;"","?FAMILIAR",IF(F4539="NEW",IF(ISNA(VLOOKUP(E4539,#REF!,1,FALSE())),"?TYPE_IDENTIFIABLE","?REFERENTIAL"),"_")))))</f>
        <v> </v>
      </c>
      <c r="H4539" s="24" t="str">
        <f>IF(J4539&lt;&gt;1,"",IF(I4539="SBJ","CB","?"))</f>
        <v> </v>
      </c>
      <c r="I4539" s="25" t="str">
        <f>IF(OR(E4539="",E4539="!!!",F4539="NEW"),"",INDEX(B4538:B$2,-1+SUMPRODUCT(MAX(ROW(E4538:E$2)*(E4539=E4538:E$2)))))</f>
        <v> </v>
      </c>
      <c r="J4539" s="25" t="str">
        <f>IF(OR(E4539="",E4539="!!!",F4539="NEW"),"",COUNTBLANK(OFFSET(A$1,,,SUMPRODUCT(MAX(ROW(E$2:E4539)*(E4539=E$2:E4539)))))-COUNTBLANK(OFFSET(A$1,,,SUMPRODUCT(MAX(ROW(E$1:E4538)*(E2=E$1:E4538))))))</f>
        <v> </v>
      </c>
      <c r="K4539" s="25" t="str">
        <f>IF(OR(E4539="",E4539="!!!",F4539="NEW"),"",INDEX(J$1:J4538,SUMPRODUCT(MAX(ROW(E$1:E4538)*(E4539=E$1:E4538)))))</f>
        <v> </v>
      </c>
      <c r="L4539" s="26"/>
    </row>
    <row r="4540" spans="1:12">
      <c r="A4540" s="20" t="s">
        <v>1123</v>
      </c>
      <c r="E4540" s="21">
        <f>IF(D4540="?OLD","!!!","")</f>
        <v/>
      </c>
      <c r="F4540" s="22" t="str">
        <f>IF(OR(E4540="",E4540="!!!"),"",IF(NOT(ISNA(VLOOKUP(E4540,E$1:E4539,1,FALSE()))),"OLD",IF(AND(E4540&lt;&gt;"",E4540&lt;&gt;"!!!"),"NEW","")))</f>
        <v> </v>
      </c>
      <c r="G4540" s="23" t="str">
        <f>IF(OR(E4540="",E4540="!!!"),"",IF(OR(J4540=0,AND(J4540=1,K4540=1),AND(J4540=1,I4540="SBJ"),AND(J4540=1,I4540=0)),"?IN_FOCUS",IF(J4540&lt;=2,"?ACTIVATED",IF(J4540&lt;&gt;"","?FAMILIAR",IF(F4540="NEW",IF(ISNA(VLOOKUP(E4540,#REF!,1,FALSE())),"?TYPE_IDENTIFIABLE","?REFERENTIAL"),"_")))))</f>
        <v> </v>
      </c>
      <c r="H4540" s="24" t="str">
        <f>IF(J4540&lt;&gt;1,"",IF(I4540="SBJ","CB","?"))</f>
        <v> </v>
      </c>
      <c r="I4540" s="25" t="str">
        <f>IF(OR(E4540="",E4540="!!!",F4540="NEW"),"",INDEX(B4539:B$2,-1+SUMPRODUCT(MAX(ROW(E4539:E$2)*(E4540=E4539:E$2)))))</f>
        <v> </v>
      </c>
      <c r="J4540" s="25" t="str">
        <f>IF(OR(E4540="",E4540="!!!",F4540="NEW"),"",COUNTBLANK(OFFSET(A$1,,,SUMPRODUCT(MAX(ROW(E$2:E4540)*(E4540=E$2:E4540)))))-COUNTBLANK(OFFSET(A$1,,,SUMPRODUCT(MAX(ROW(E$1:E4539)*(E2=E$1:E4539))))))</f>
        <v> </v>
      </c>
      <c r="K4540" s="25" t="str">
        <f>IF(OR(E4540="",E4540="!!!",F4540="NEW"),"",INDEX(J$1:J4539,SUMPRODUCT(MAX(ROW(E$1:E4539)*(E4540=E$1:E4539)))))</f>
        <v> </v>
      </c>
      <c r="L4540" s="26"/>
    </row>
    <row r="4541" spans="1:12">
      <c r="A4541" s="20" t="s">
        <v>1128</v>
      </c>
      <c r="E4541" s="21">
        <f>IF(D4541="?OLD","!!!","")</f>
        <v/>
      </c>
      <c r="F4541" s="22" t="str">
        <f>IF(OR(E4541="",E4541="!!!"),"",IF(NOT(ISNA(VLOOKUP(E4541,E$1:E4540,1,FALSE()))),"OLD",IF(AND(E4541&lt;&gt;"",E4541&lt;&gt;"!!!"),"NEW","")))</f>
        <v> </v>
      </c>
      <c r="G4541" s="23" t="str">
        <f>IF(OR(E4541="",E4541="!!!"),"",IF(OR(J4541=0,AND(J4541=1,K4541=1),AND(J4541=1,I4541="SBJ"),AND(J4541=1,I4541=0)),"?IN_FOCUS",IF(J4541&lt;=2,"?ACTIVATED",IF(J4541&lt;&gt;"","?FAMILIAR",IF(F4541="NEW",IF(ISNA(VLOOKUP(E4541,#REF!,1,FALSE())),"?TYPE_IDENTIFIABLE","?REFERENTIAL"),"_")))))</f>
        <v> </v>
      </c>
      <c r="H4541" s="24" t="str">
        <f>IF(J4541&lt;&gt;1,"",IF(I4541="SBJ","CB","?"))</f>
        <v> </v>
      </c>
      <c r="I4541" s="25" t="str">
        <f>IF(OR(E4541="",E4541="!!!",F4541="NEW"),"",INDEX(B4540:B$2,-1+SUMPRODUCT(MAX(ROW(E4540:E$2)*(E4541=E4540:E$2)))))</f>
        <v> </v>
      </c>
      <c r="J4541" s="25" t="str">
        <f>IF(OR(E4541="",E4541="!!!",F4541="NEW"),"",COUNTBLANK(OFFSET(A$1,,,SUMPRODUCT(MAX(ROW(E$2:E4541)*(E4541=E$2:E4541)))))-COUNTBLANK(OFFSET(A$1,,,SUMPRODUCT(MAX(ROW(E$1:E4540)*(E2=E$1:E4540))))))</f>
        <v> </v>
      </c>
      <c r="K4541" s="25" t="str">
        <f>IF(OR(E4541="",E4541="!!!",F4541="NEW"),"",INDEX(J$1:J4540,SUMPRODUCT(MAX(ROW(E$1:E4540)*(E4541=E$1:E4540)))))</f>
        <v> </v>
      </c>
      <c r="L4541" s="26"/>
    </row>
    <row r="4542" spans="1:12">
      <c r="A4542" s="20" t="s">
        <v>3093</v>
      </c>
      <c r="E4542" s="21">
        <f>IF(D4542="?OLD","!!!","")</f>
        <v/>
      </c>
      <c r="F4542" s="22" t="str">
        <f>IF(OR(E4542="",E4542="!!!"),"",IF(NOT(ISNA(VLOOKUP(E4542,E$1:E4541,1,FALSE()))),"OLD",IF(AND(E4542&lt;&gt;"",E4542&lt;&gt;"!!!"),"NEW","")))</f>
        <v> </v>
      </c>
      <c r="G4542" s="23" t="str">
        <f>IF(OR(E4542="",E4542="!!!"),"",IF(OR(J4542=0,AND(J4542=1,K4542=1),AND(J4542=1,I4542="SBJ"),AND(J4542=1,I4542=0)),"?IN_FOCUS",IF(J4542&lt;=2,"?ACTIVATED",IF(J4542&lt;&gt;"","?FAMILIAR",IF(F4542="NEW",IF(ISNA(VLOOKUP(E4542,#REF!,1,FALSE())),"?TYPE_IDENTIFIABLE","?REFERENTIAL"),"_")))))</f>
        <v> </v>
      </c>
      <c r="H4542" s="24" t="str">
        <f>IF(J4542&lt;&gt;1,"",IF(I4542="SBJ","CB","?"))</f>
        <v> </v>
      </c>
      <c r="I4542" s="25" t="str">
        <f>IF(OR(E4542="",E4542="!!!",F4542="NEW"),"",INDEX(B4541:B$2,-1+SUMPRODUCT(MAX(ROW(E4541:E$2)*(E4542=E4541:E$2)))))</f>
        <v> </v>
      </c>
      <c r="J4542" s="25" t="str">
        <f>IF(OR(E4542="",E4542="!!!",F4542="NEW"),"",COUNTBLANK(OFFSET(A$1,,,SUMPRODUCT(MAX(ROW(E$2:E4542)*(E4542=E$2:E4542)))))-COUNTBLANK(OFFSET(A$1,,,SUMPRODUCT(MAX(ROW(E$1:E4541)*(E2=E$1:E4541))))))</f>
        <v> </v>
      </c>
      <c r="K4542" s="25" t="str">
        <f>IF(OR(E4542="",E4542="!!!",F4542="NEW"),"",INDEX(J$1:J4541,SUMPRODUCT(MAX(ROW(E$1:E4541)*(E4542=E$1:E4541)))))</f>
        <v> </v>
      </c>
      <c r="L4542" s="26"/>
    </row>
    <row r="4543" spans="1:12">
      <c r="A4543" s="20" t="s">
        <v>3094</v>
      </c>
      <c r="E4543" s="21">
        <f>IF(D4543="?OLD","!!!","")</f>
        <v/>
      </c>
      <c r="F4543" s="22" t="str">
        <f>IF(OR(E4543="",E4543="!!!"),"",IF(NOT(ISNA(VLOOKUP(E4543,E$1:E4542,1,FALSE()))),"OLD",IF(AND(E4543&lt;&gt;"",E4543&lt;&gt;"!!!"),"NEW","")))</f>
        <v> </v>
      </c>
      <c r="G4543" s="23" t="str">
        <f>IF(OR(E4543="",E4543="!!!"),"",IF(OR(J4543=0,AND(J4543=1,K4543=1),AND(J4543=1,I4543="SBJ"),AND(J4543=1,I4543=0)),"?IN_FOCUS",IF(J4543&lt;=2,"?ACTIVATED",IF(J4543&lt;&gt;"","?FAMILIAR",IF(F4543="NEW",IF(ISNA(VLOOKUP(E4543,#REF!,1,FALSE())),"?TYPE_IDENTIFIABLE","?REFERENTIAL"),"_")))))</f>
        <v> </v>
      </c>
      <c r="H4543" s="24" t="str">
        <f>IF(J4543&lt;&gt;1,"",IF(I4543="SBJ","CB","?"))</f>
        <v> </v>
      </c>
      <c r="I4543" s="25" t="str">
        <f>IF(OR(E4543="",E4543="!!!",F4543="NEW"),"",INDEX(B4542:B$2,-1+SUMPRODUCT(MAX(ROW(E4542:E$2)*(E4543=E4542:E$2)))))</f>
        <v> </v>
      </c>
      <c r="J4543" s="25" t="str">
        <f>IF(OR(E4543="",E4543="!!!",F4543="NEW"),"",COUNTBLANK(OFFSET(A$1,,,SUMPRODUCT(MAX(ROW(E$2:E4543)*(E4543=E$2:E4543)))))-COUNTBLANK(OFFSET(A$1,,,SUMPRODUCT(MAX(ROW(E$1:E4542)*(E2=E$1:E4542))))))</f>
        <v> </v>
      </c>
      <c r="K4543" s="25" t="str">
        <f>IF(OR(E4543="",E4543="!!!",F4543="NEW"),"",INDEX(J$1:J4542,SUMPRODUCT(MAX(ROW(E$1:E4542)*(E4543=E$1:E4542)))))</f>
        <v> </v>
      </c>
      <c r="L4543" s="26"/>
    </row>
    <row r="4544" spans="1:12">
      <c r="A4544" s="20" t="s">
        <v>1339</v>
      </c>
      <c r="E4544" s="21">
        <f>IF(D4544="?OLD","!!!","")</f>
        <v/>
      </c>
      <c r="F4544" s="22" t="str">
        <f>IF(OR(E4544="",E4544="!!!"),"",IF(NOT(ISNA(VLOOKUP(E4544,E$1:E4543,1,FALSE()))),"OLD",IF(AND(E4544&lt;&gt;"",E4544&lt;&gt;"!!!"),"NEW","")))</f>
        <v> </v>
      </c>
      <c r="G4544" s="23" t="str">
        <f>IF(OR(E4544="",E4544="!!!"),"",IF(OR(J4544=0,AND(J4544=1,K4544=1),AND(J4544=1,I4544="SBJ"),AND(J4544=1,I4544=0)),"?IN_FOCUS",IF(J4544&lt;=2,"?ACTIVATED",IF(J4544&lt;&gt;"","?FAMILIAR",IF(F4544="NEW",IF(ISNA(VLOOKUP(E4544,#REF!,1,FALSE())),"?TYPE_IDENTIFIABLE","?REFERENTIAL"),"_")))))</f>
        <v> </v>
      </c>
      <c r="H4544" s="24" t="str">
        <f>IF(J4544&lt;&gt;1,"",IF(I4544="SBJ","CB","?"))</f>
        <v> </v>
      </c>
      <c r="I4544" s="25" t="str">
        <f>IF(OR(E4544="",E4544="!!!",F4544="NEW"),"",INDEX(B4543:B$2,-1+SUMPRODUCT(MAX(ROW(E4543:E$2)*(E4544=E4543:E$2)))))</f>
        <v> </v>
      </c>
      <c r="J4544" s="25" t="str">
        <f>IF(OR(E4544="",E4544="!!!",F4544="NEW"),"",COUNTBLANK(OFFSET(A$1,,,SUMPRODUCT(MAX(ROW(E$2:E4544)*(E4544=E$2:E4544)))))-COUNTBLANK(OFFSET(A$1,,,SUMPRODUCT(MAX(ROW(E$1:E4543)*(E2=E$1:E4543))))))</f>
        <v> </v>
      </c>
      <c r="K4544" s="25" t="str">
        <f>IF(OR(E4544="",E4544="!!!",F4544="NEW"),"",INDEX(J$1:J4543,SUMPRODUCT(MAX(ROW(E$1:E4543)*(E4544=E$1:E4543)))))</f>
        <v> </v>
      </c>
      <c r="L4544" s="26"/>
    </row>
    <row r="4545" spans="1:12">
      <c r="A4545" s="20" t="s">
        <v>1242</v>
      </c>
      <c r="B4545" s="27" t="s">
        <v>1115</v>
      </c>
      <c r="C4545" s="27" t="s">
        <v>1126</v>
      </c>
      <c r="D4545" s="27" t="s">
        <v>1105</v>
      </c>
      <c r="E4545" s="21">
        <f>IF(D4545="?OLD","!!!","")</f>
        <v/>
      </c>
      <c r="F4545" s="22" t="str">
        <f>IF(OR(E4545="",E4545="!!!"),"",IF(NOT(ISNA(VLOOKUP(E4545,E$1:E4544,1,FALSE()))),"OLD",IF(AND(E4545&lt;&gt;"",E4545&lt;&gt;"!!!"),"NEW","")))</f>
        <v> </v>
      </c>
      <c r="G4545" s="23" t="str">
        <f>IF(OR(E4545="",E4545="!!!"),"",IF(OR(J4545=0,AND(J4545=1,K4545=1),AND(J4545=1,I4545="SBJ"),AND(J4545=1,I4545=0)),"?IN_FOCUS",IF(J4545&lt;=2,"?ACTIVATED",IF(J4545&lt;&gt;"","?FAMILIAR",IF(F4545="NEW",IF(ISNA(VLOOKUP(E4545,#REF!,1,FALSE())),"?TYPE_IDENTIFIABLE","?REFERENTIAL"),"_")))))</f>
        <v> </v>
      </c>
      <c r="H4545" s="24" t="str">
        <f>IF(J4545&lt;&gt;1,"",IF(I4545="SBJ","CB","?"))</f>
        <v> </v>
      </c>
      <c r="I4545" s="25" t="str">
        <f>IF(OR(E4545="",E4545="!!!",F4545="NEW"),"",INDEX(B4544:B$2,-1+SUMPRODUCT(MAX(ROW(E4544:E$2)*(E4545=E4544:E$2)))))</f>
        <v> </v>
      </c>
      <c r="J4545" s="25" t="str">
        <f>IF(OR(E4545="",E4545="!!!",F4545="NEW"),"",COUNTBLANK(OFFSET(A$1,,,SUMPRODUCT(MAX(ROW(E$2:E4545)*(E4545=E$2:E4545)))))-COUNTBLANK(OFFSET(A$1,,,SUMPRODUCT(MAX(ROW(E$1:E4544)*(E2=E$1:E4544))))))</f>
        <v> </v>
      </c>
      <c r="K4545" s="25" t="str">
        <f>IF(OR(E4545="",E4545="!!!",F4545="NEW"),"",INDEX(J$1:J4544,SUMPRODUCT(MAX(ROW(E$1:E4544)*(E4545=E$1:E4544)))))</f>
        <v> </v>
      </c>
      <c r="L4545" s="26"/>
    </row>
    <row r="4546" spans="1:12">
      <c r="A4546" s="20" t="s">
        <v>1127</v>
      </c>
      <c r="E4546" s="21">
        <f>IF(D4546="?OLD","!!!","")</f>
        <v/>
      </c>
      <c r="F4546" s="22" t="str">
        <f>IF(OR(E4546="",E4546="!!!"),"",IF(NOT(ISNA(VLOOKUP(E4546,E$1:E4545,1,FALSE()))),"OLD",IF(AND(E4546&lt;&gt;"",E4546&lt;&gt;"!!!"),"NEW","")))</f>
        <v> </v>
      </c>
      <c r="G4546" s="23" t="str">
        <f>IF(OR(E4546="",E4546="!!!"),"",IF(OR(J4546=0,AND(J4546=1,K4546=1),AND(J4546=1,I4546="SBJ"),AND(J4546=1,I4546=0)),"?IN_FOCUS",IF(J4546&lt;=2,"?ACTIVATED",IF(J4546&lt;&gt;"","?FAMILIAR",IF(F4546="NEW",IF(ISNA(VLOOKUP(E4546,#REF!,1,FALSE())),"?TYPE_IDENTIFIABLE","?REFERENTIAL"),"_")))))</f>
        <v> </v>
      </c>
      <c r="H4546" s="24" t="str">
        <f>IF(J4546&lt;&gt;1,"",IF(I4546="SBJ","CB","?"))</f>
        <v> </v>
      </c>
      <c r="I4546" s="25" t="str">
        <f>IF(OR(E4546="",E4546="!!!",F4546="NEW"),"",INDEX(B4545:B$2,-1+SUMPRODUCT(MAX(ROW(E4545:E$2)*(E4546=E4545:E$2)))))</f>
        <v> </v>
      </c>
      <c r="J4546" s="25" t="str">
        <f>IF(OR(E4546="",E4546="!!!",F4546="NEW"),"",COUNTBLANK(OFFSET(A$1,,,SUMPRODUCT(MAX(ROW(E$2:E4546)*(E4546=E$2:E4546)))))-COUNTBLANK(OFFSET(A$1,,,SUMPRODUCT(MAX(ROW(E$1:E4545)*(E2=E$1:E4545))))))</f>
        <v> </v>
      </c>
      <c r="K4546" s="25" t="str">
        <f>IF(OR(E4546="",E4546="!!!",F4546="NEW"),"",INDEX(J$1:J4545,SUMPRODUCT(MAX(ROW(E$1:E4545)*(E4546=E$1:E4545)))))</f>
        <v> </v>
      </c>
      <c r="L4546" s="26"/>
    </row>
    <row r="4547" spans="1:12">
      <c r="A4547" s="20" t="s">
        <v>1134</v>
      </c>
      <c r="E4547" s="21">
        <f>IF(D4547="?OLD","!!!","")</f>
        <v/>
      </c>
      <c r="F4547" s="22" t="str">
        <f>IF(OR(E4547="",E4547="!!!"),"",IF(NOT(ISNA(VLOOKUP(E4547,E$1:E4546,1,FALSE()))),"OLD",IF(AND(E4547&lt;&gt;"",E4547&lt;&gt;"!!!"),"NEW","")))</f>
        <v> </v>
      </c>
      <c r="G4547" s="23" t="str">
        <f>IF(OR(E4547="",E4547="!!!"),"",IF(OR(J4547=0,AND(J4547=1,K4547=1),AND(J4547=1,I4547="SBJ"),AND(J4547=1,I4547=0)),"?IN_FOCUS",IF(J4547&lt;=2,"?ACTIVATED",IF(J4547&lt;&gt;"","?FAMILIAR",IF(F4547="NEW",IF(ISNA(VLOOKUP(E4547,#REF!,1,FALSE())),"?TYPE_IDENTIFIABLE","?REFERENTIAL"),"_")))))</f>
        <v> </v>
      </c>
      <c r="H4547" s="24" t="str">
        <f>IF(J4547&lt;&gt;1,"",IF(I4547="SBJ","CB","?"))</f>
        <v> </v>
      </c>
      <c r="I4547" s="25" t="str">
        <f>IF(OR(E4547="",E4547="!!!",F4547="NEW"),"",INDEX(B4546:B$2,-1+SUMPRODUCT(MAX(ROW(E4546:E$2)*(E4547=E4546:E$2)))))</f>
        <v> </v>
      </c>
      <c r="J4547" s="25" t="str">
        <f>IF(OR(E4547="",E4547="!!!",F4547="NEW"),"",COUNTBLANK(OFFSET(A$1,,,SUMPRODUCT(MAX(ROW(E$2:E4547)*(E4547=E$2:E4547)))))-COUNTBLANK(OFFSET(A$1,,,SUMPRODUCT(MAX(ROW(E$1:E4546)*(E2=E$1:E4546))))))</f>
        <v> </v>
      </c>
      <c r="K4547" s="25" t="str">
        <f>IF(OR(E4547="",E4547="!!!",F4547="NEW"),"",INDEX(J$1:J4546,SUMPRODUCT(MAX(ROW(E$1:E4546)*(E4547=E$1:E4546)))))</f>
        <v> </v>
      </c>
      <c r="L4547" s="26"/>
    </row>
    <row r="4548" spans="1:12">
      <c r="A4548" s="20" t="s">
        <v>3095</v>
      </c>
      <c r="E4548" s="21">
        <f>IF(D4548="?OLD","!!!","")</f>
        <v/>
      </c>
      <c r="F4548" s="22" t="str">
        <f>IF(OR(E4548="",E4548="!!!"),"",IF(NOT(ISNA(VLOOKUP(E4548,E$1:E4547,1,FALSE()))),"OLD",IF(AND(E4548&lt;&gt;"",E4548&lt;&gt;"!!!"),"NEW","")))</f>
        <v> </v>
      </c>
      <c r="G4548" s="23" t="str">
        <f>IF(OR(E4548="",E4548="!!!"),"",IF(OR(J4548=0,AND(J4548=1,K4548=1),AND(J4548=1,I4548="SBJ"),AND(J4548=1,I4548=0)),"?IN_FOCUS",IF(J4548&lt;=2,"?ACTIVATED",IF(J4548&lt;&gt;"","?FAMILIAR",IF(F4548="NEW",IF(ISNA(VLOOKUP(E4548,#REF!,1,FALSE())),"?TYPE_IDENTIFIABLE","?REFERENTIAL"),"_")))))</f>
        <v> </v>
      </c>
      <c r="H4548" s="24" t="str">
        <f>IF(J4548&lt;&gt;1,"",IF(I4548="SBJ","CB","?"))</f>
        <v> </v>
      </c>
      <c r="I4548" s="25" t="str">
        <f>IF(OR(E4548="",E4548="!!!",F4548="NEW"),"",INDEX(B4547:B$2,-1+SUMPRODUCT(MAX(ROW(E4547:E$2)*(E4548=E4547:E$2)))))</f>
        <v> </v>
      </c>
      <c r="J4548" s="25" t="str">
        <f>IF(OR(E4548="",E4548="!!!",F4548="NEW"),"",COUNTBLANK(OFFSET(A$1,,,SUMPRODUCT(MAX(ROW(E$2:E4548)*(E4548=E$2:E4548)))))-COUNTBLANK(OFFSET(A$1,,,SUMPRODUCT(MAX(ROW(E$1:E4547)*(E2=E$1:E4547))))))</f>
        <v> </v>
      </c>
      <c r="K4548" s="25" t="str">
        <f>IF(OR(E4548="",E4548="!!!",F4548="NEW"),"",INDEX(J$1:J4547,SUMPRODUCT(MAX(ROW(E$1:E4547)*(E4548=E$1:E4547)))))</f>
        <v> </v>
      </c>
      <c r="L4548" s="26"/>
    </row>
    <row r="4549" spans="1:12">
      <c r="A4549" s="20" t="s">
        <v>3096</v>
      </c>
      <c r="E4549" s="21">
        <f>IF(D4549="?OLD","!!!","")</f>
        <v/>
      </c>
      <c r="F4549" s="22" t="str">
        <f>IF(OR(E4549="",E4549="!!!"),"",IF(NOT(ISNA(VLOOKUP(E4549,E$1:E4548,1,FALSE()))),"OLD",IF(AND(E4549&lt;&gt;"",E4549&lt;&gt;"!!!"),"NEW","")))</f>
        <v> </v>
      </c>
      <c r="G4549" s="23" t="str">
        <f>IF(OR(E4549="",E4549="!!!"),"",IF(OR(J4549=0,AND(J4549=1,K4549=1),AND(J4549=1,I4549="SBJ"),AND(J4549=1,I4549=0)),"?IN_FOCUS",IF(J4549&lt;=2,"?ACTIVATED",IF(J4549&lt;&gt;"","?FAMILIAR",IF(F4549="NEW",IF(ISNA(VLOOKUP(E4549,#REF!,1,FALSE())),"?TYPE_IDENTIFIABLE","?REFERENTIAL"),"_")))))</f>
        <v> </v>
      </c>
      <c r="H4549" s="24" t="str">
        <f>IF(J4549&lt;&gt;1,"",IF(I4549="SBJ","CB","?"))</f>
        <v> </v>
      </c>
      <c r="I4549" s="25" t="str">
        <f>IF(OR(E4549="",E4549="!!!",F4549="NEW"),"",INDEX(B4548:B$2,-1+SUMPRODUCT(MAX(ROW(E4548:E$2)*(E4549=E4548:E$2)))))</f>
        <v> </v>
      </c>
      <c r="J4549" s="25" t="str">
        <f>IF(OR(E4549="",E4549="!!!",F4549="NEW"),"",COUNTBLANK(OFFSET(A$1,,,SUMPRODUCT(MAX(ROW(E$2:E4549)*(E4549=E$2:E4549)))))-COUNTBLANK(OFFSET(A$1,,,SUMPRODUCT(MAX(ROW(E$1:E4548)*(E2=E$1:E4548))))))</f>
        <v> </v>
      </c>
      <c r="K4549" s="25" t="str">
        <f>IF(OR(E4549="",E4549="!!!",F4549="NEW"),"",INDEX(J$1:J4548,SUMPRODUCT(MAX(ROW(E$1:E4548)*(E4549=E$1:E4548)))))</f>
        <v> </v>
      </c>
      <c r="L4549" s="26"/>
    </row>
    <row r="4550" spans="1:12">
      <c r="A4550" s="20" t="s">
        <v>1930</v>
      </c>
      <c r="B4550" s="27" t="s">
        <v>1144</v>
      </c>
      <c r="E4550" s="21">
        <f>IF(D4550="?OLD","!!!","")</f>
        <v/>
      </c>
      <c r="F4550" s="22" t="str">
        <f>IF(OR(E4550="",E4550="!!!"),"",IF(NOT(ISNA(VLOOKUP(E4550,E$1:E4549,1,FALSE()))),"OLD",IF(AND(E4550&lt;&gt;"",E4550&lt;&gt;"!!!"),"NEW","")))</f>
        <v> </v>
      </c>
      <c r="G4550" s="23" t="str">
        <f>IF(OR(E4550="",E4550="!!!"),"",IF(OR(J4550=0,AND(J4550=1,K4550=1),AND(J4550=1,I4550="SBJ"),AND(J4550=1,I4550=0)),"?IN_FOCUS",IF(J4550&lt;=2,"?ACTIVATED",IF(J4550&lt;&gt;"","?FAMILIAR",IF(F4550="NEW",IF(ISNA(VLOOKUP(E4550,#REF!,1,FALSE())),"?TYPE_IDENTIFIABLE","?REFERENTIAL"),"_")))))</f>
        <v> </v>
      </c>
      <c r="H4550" s="24" t="str">
        <f>IF(J4550&lt;&gt;1,"",IF(I4550="SBJ","CB","?"))</f>
        <v> </v>
      </c>
      <c r="I4550" s="25" t="str">
        <f>IF(OR(E4550="",E4550="!!!",F4550="NEW"),"",INDEX(B4549:B$2,-1+SUMPRODUCT(MAX(ROW(E4549:E$2)*(E4550=E4549:E$2)))))</f>
        <v> </v>
      </c>
      <c r="J4550" s="25" t="str">
        <f>IF(OR(E4550="",E4550="!!!",F4550="NEW"),"",COUNTBLANK(OFFSET(A$1,,,SUMPRODUCT(MAX(ROW(E$2:E4550)*(E4550=E$2:E4550)))))-COUNTBLANK(OFFSET(A$1,,,SUMPRODUCT(MAX(ROW(E$1:E4549)*(E2=E$1:E4549))))))</f>
        <v> </v>
      </c>
      <c r="K4550" s="25" t="str">
        <f>IF(OR(E4550="",E4550="!!!",F4550="NEW"),"",INDEX(J$1:J4549,SUMPRODUCT(MAX(ROW(E$1:E4549)*(E4550=E$1:E4549)))))</f>
        <v> </v>
      </c>
      <c r="L4550" s="26"/>
    </row>
    <row r="4551" spans="1:12">
      <c r="A4551" s="20" t="s">
        <v>1130</v>
      </c>
      <c r="E4551" s="21">
        <f>IF(D4551="?OLD","!!!","")</f>
        <v/>
      </c>
      <c r="F4551" s="22" t="str">
        <f>IF(OR(E4551="",E4551="!!!"),"",IF(NOT(ISNA(VLOOKUP(E4551,E$1:E4550,1,FALSE()))),"OLD",IF(AND(E4551&lt;&gt;"",E4551&lt;&gt;"!!!"),"NEW","")))</f>
        <v> </v>
      </c>
      <c r="G4551" s="23" t="str">
        <f>IF(OR(E4551="",E4551="!!!"),"",IF(OR(J4551=0,AND(J4551=1,K4551=1),AND(J4551=1,I4551="SBJ"),AND(J4551=1,I4551=0)),"?IN_FOCUS",IF(J4551&lt;=2,"?ACTIVATED",IF(J4551&lt;&gt;"","?FAMILIAR",IF(F4551="NEW",IF(ISNA(VLOOKUP(E4551,#REF!,1,FALSE())),"?TYPE_IDENTIFIABLE","?REFERENTIAL"),"_")))))</f>
        <v> </v>
      </c>
      <c r="H4551" s="24" t="str">
        <f>IF(J4551&lt;&gt;1,"",IF(I4551="SBJ","CB","?"))</f>
        <v> </v>
      </c>
      <c r="I4551" s="25" t="str">
        <f>IF(OR(E4551="",E4551="!!!",F4551="NEW"),"",INDEX(B4550:B$2,-1+SUMPRODUCT(MAX(ROW(E4550:E$2)*(E4551=E4550:E$2)))))</f>
        <v> </v>
      </c>
      <c r="J4551" s="25" t="str">
        <f>IF(OR(E4551="",E4551="!!!",F4551="NEW"),"",COUNTBLANK(OFFSET(A$1,,,SUMPRODUCT(MAX(ROW(E$2:E4551)*(E4551=E$2:E4551)))))-COUNTBLANK(OFFSET(A$1,,,SUMPRODUCT(MAX(ROW(E$1:E4550)*(E2=E$1:E4550))))))</f>
        <v> </v>
      </c>
      <c r="K4551" s="25" t="str">
        <f>IF(OR(E4551="",E4551="!!!",F4551="NEW"),"",INDEX(J$1:J4550,SUMPRODUCT(MAX(ROW(E$1:E4550)*(E4551=E$1:E4550)))))</f>
        <v> </v>
      </c>
      <c r="L4551" s="26"/>
    </row>
    <row r="4552" spans="1:12">
      <c r="A4552" s="20" t="s">
        <v>2740</v>
      </c>
      <c r="E4552" s="21">
        <f>IF(D4552="?OLD","!!!","")</f>
        <v/>
      </c>
      <c r="F4552" s="22" t="str">
        <f>IF(OR(E4552="",E4552="!!!"),"",IF(NOT(ISNA(VLOOKUP(E4552,E$1:E4551,1,FALSE()))),"OLD",IF(AND(E4552&lt;&gt;"",E4552&lt;&gt;"!!!"),"NEW","")))</f>
        <v> </v>
      </c>
      <c r="G4552" s="23" t="str">
        <f>IF(OR(E4552="",E4552="!!!"),"",IF(OR(J4552=0,AND(J4552=1,K4552=1),AND(J4552=1,I4552="SBJ"),AND(J4552=1,I4552=0)),"?IN_FOCUS",IF(J4552&lt;=2,"?ACTIVATED",IF(J4552&lt;&gt;"","?FAMILIAR",IF(F4552="NEW",IF(ISNA(VLOOKUP(E4552,#REF!,1,FALSE())),"?TYPE_IDENTIFIABLE","?REFERENTIAL"),"_")))))</f>
        <v> </v>
      </c>
      <c r="H4552" s="24" t="str">
        <f>IF(J4552&lt;&gt;1,"",IF(I4552="SBJ","CB","?"))</f>
        <v> </v>
      </c>
      <c r="I4552" s="25" t="str">
        <f>IF(OR(E4552="",E4552="!!!",F4552="NEW"),"",INDEX(B4551:B$2,-1+SUMPRODUCT(MAX(ROW(E4551:E$2)*(E4552=E4551:E$2)))))</f>
        <v> </v>
      </c>
      <c r="J4552" s="25" t="str">
        <f>IF(OR(E4552="",E4552="!!!",F4552="NEW"),"",COUNTBLANK(OFFSET(A$1,,,SUMPRODUCT(MAX(ROW(E$2:E4552)*(E4552=E$2:E4552)))))-COUNTBLANK(OFFSET(A$1,,,SUMPRODUCT(MAX(ROW(E$1:E4551)*(E2=E$1:E4551))))))</f>
        <v> </v>
      </c>
      <c r="K4552" s="25" t="str">
        <f>IF(OR(E4552="",E4552="!!!",F4552="NEW"),"",INDEX(J$1:J4551,SUMPRODUCT(MAX(ROW(E$1:E4551)*(E4552=E$1:E4551)))))</f>
        <v> </v>
      </c>
      <c r="L4552" s="26"/>
    </row>
    <row r="4553" spans="1:12">
      <c r="A4553" s="20" t="s">
        <v>2035</v>
      </c>
      <c r="E4553" s="21">
        <f>IF(D4553="?OLD","!!!","")</f>
        <v/>
      </c>
      <c r="F4553" s="22" t="str">
        <f>IF(OR(E4553="",E4553="!!!"),"",IF(NOT(ISNA(VLOOKUP(E4553,E$1:E4552,1,FALSE()))),"OLD",IF(AND(E4553&lt;&gt;"",E4553&lt;&gt;"!!!"),"NEW","")))</f>
        <v> </v>
      </c>
      <c r="G4553" s="23" t="str">
        <f>IF(OR(E4553="",E4553="!!!"),"",IF(OR(J4553=0,AND(J4553=1,K4553=1),AND(J4553=1,I4553="SBJ"),AND(J4553=1,I4553=0)),"?IN_FOCUS",IF(J4553&lt;=2,"?ACTIVATED",IF(J4553&lt;&gt;"","?FAMILIAR",IF(F4553="NEW",IF(ISNA(VLOOKUP(E4553,#REF!,1,FALSE())),"?TYPE_IDENTIFIABLE","?REFERENTIAL"),"_")))))</f>
        <v> </v>
      </c>
      <c r="H4553" s="24" t="str">
        <f>IF(J4553&lt;&gt;1,"",IF(I4553="SBJ","CB","?"))</f>
        <v> </v>
      </c>
      <c r="I4553" s="25" t="str">
        <f>IF(OR(E4553="",E4553="!!!",F4553="NEW"),"",INDEX(B4552:B$2,-1+SUMPRODUCT(MAX(ROW(E4552:E$2)*(E4553=E4552:E$2)))))</f>
        <v> </v>
      </c>
      <c r="J4553" s="25" t="str">
        <f>IF(OR(E4553="",E4553="!!!",F4553="NEW"),"",COUNTBLANK(OFFSET(A$1,,,SUMPRODUCT(MAX(ROW(E$2:E4553)*(E4553=E$2:E4553)))))-COUNTBLANK(OFFSET(A$1,,,SUMPRODUCT(MAX(ROW(E$1:E4552)*(E2=E$1:E4552))))))</f>
        <v> </v>
      </c>
      <c r="K4553" s="25" t="str">
        <f>IF(OR(E4553="",E4553="!!!",F4553="NEW"),"",INDEX(J$1:J4552,SUMPRODUCT(MAX(ROW(E$1:E4552)*(E4553=E$1:E4552)))))</f>
        <v> </v>
      </c>
      <c r="L4553" s="26"/>
    </row>
    <row r="4554" spans="1:12">
      <c r="A4554" s="20" t="s">
        <v>3097</v>
      </c>
      <c r="E4554" s="21">
        <f>IF(D4554="?OLD","!!!","")</f>
        <v/>
      </c>
      <c r="F4554" s="22" t="str">
        <f>IF(OR(E4554="",E4554="!!!"),"",IF(NOT(ISNA(VLOOKUP(E4554,E$1:E4553,1,FALSE()))),"OLD",IF(AND(E4554&lt;&gt;"",E4554&lt;&gt;"!!!"),"NEW","")))</f>
        <v> </v>
      </c>
      <c r="G4554" s="23" t="str">
        <f>IF(OR(E4554="",E4554="!!!"),"",IF(OR(J4554=0,AND(J4554=1,K4554=1),AND(J4554=1,I4554="SBJ"),AND(J4554=1,I4554=0)),"?IN_FOCUS",IF(J4554&lt;=2,"?ACTIVATED",IF(J4554&lt;&gt;"","?FAMILIAR",IF(F4554="NEW",IF(ISNA(VLOOKUP(E4554,#REF!,1,FALSE())),"?TYPE_IDENTIFIABLE","?REFERENTIAL"),"_")))))</f>
        <v> </v>
      </c>
      <c r="H4554" s="24" t="str">
        <f>IF(J4554&lt;&gt;1,"",IF(I4554="SBJ","CB","?"))</f>
        <v> </v>
      </c>
      <c r="I4554" s="25" t="str">
        <f>IF(OR(E4554="",E4554="!!!",F4554="NEW"),"",INDEX(B4553:B$2,-1+SUMPRODUCT(MAX(ROW(E4553:E$2)*(E4554=E4553:E$2)))))</f>
        <v> </v>
      </c>
      <c r="J4554" s="25" t="str">
        <f>IF(OR(E4554="",E4554="!!!",F4554="NEW"),"",COUNTBLANK(OFFSET(A$1,,,SUMPRODUCT(MAX(ROW(E$2:E4554)*(E4554=E$2:E4554)))))-COUNTBLANK(OFFSET(A$1,,,SUMPRODUCT(MAX(ROW(E$1:E4553)*(E2=E$1:E4553))))))</f>
        <v> </v>
      </c>
      <c r="K4554" s="25" t="str">
        <f>IF(OR(E4554="",E4554="!!!",F4554="NEW"),"",INDEX(J$1:J4553,SUMPRODUCT(MAX(ROW(E$1:E4553)*(E4554=E$1:E4553)))))</f>
        <v> </v>
      </c>
      <c r="L4554" s="26"/>
    </row>
    <row r="4555" spans="1:12">
      <c r="A4555" s="20" t="s">
        <v>1123</v>
      </c>
      <c r="E4555" s="21">
        <f>IF(D4555="?OLD","!!!","")</f>
        <v/>
      </c>
      <c r="F4555" s="22" t="str">
        <f>IF(OR(E4555="",E4555="!!!"),"",IF(NOT(ISNA(VLOOKUP(E4555,E$1:E4554,1,FALSE()))),"OLD",IF(AND(E4555&lt;&gt;"",E4555&lt;&gt;"!!!"),"NEW","")))</f>
        <v> </v>
      </c>
      <c r="G4555" s="23" t="str">
        <f>IF(OR(E4555="",E4555="!!!"),"",IF(OR(J4555=0,AND(J4555=1,K4555=1),AND(J4555=1,I4555="SBJ"),AND(J4555=1,I4555=0)),"?IN_FOCUS",IF(J4555&lt;=2,"?ACTIVATED",IF(J4555&lt;&gt;"","?FAMILIAR",IF(F4555="NEW",IF(ISNA(VLOOKUP(E4555,#REF!,1,FALSE())),"?TYPE_IDENTIFIABLE","?REFERENTIAL"),"_")))))</f>
        <v> </v>
      </c>
      <c r="H4555" s="24" t="str">
        <f>IF(J4555&lt;&gt;1,"",IF(I4555="SBJ","CB","?"))</f>
        <v> </v>
      </c>
      <c r="I4555" s="25" t="str">
        <f>IF(OR(E4555="",E4555="!!!",F4555="NEW"),"",INDEX(B4554:B$2,-1+SUMPRODUCT(MAX(ROW(E4554:E$2)*(E4555=E4554:E$2)))))</f>
        <v> </v>
      </c>
      <c r="J4555" s="25" t="str">
        <f>IF(OR(E4555="",E4555="!!!",F4555="NEW"),"",COUNTBLANK(OFFSET(A$1,,,SUMPRODUCT(MAX(ROW(E$2:E4555)*(E4555=E$2:E4555)))))-COUNTBLANK(OFFSET(A$1,,,SUMPRODUCT(MAX(ROW(E$1:E4554)*(E2=E$1:E4554))))))</f>
        <v> </v>
      </c>
      <c r="K4555" s="25" t="str">
        <f>IF(OR(E4555="",E4555="!!!",F4555="NEW"),"",INDEX(J$1:J4554,SUMPRODUCT(MAX(ROW(E$1:E4554)*(E4555=E$1:E4554)))))</f>
        <v> </v>
      </c>
      <c r="L4555" s="26"/>
    </row>
    <row r="4556" spans="1:12">
      <c r="A4556" s="20" t="s">
        <v>1699</v>
      </c>
      <c r="E4556" s="21">
        <f>IF(D4556="?OLD","!!!","")</f>
        <v/>
      </c>
      <c r="F4556" s="22" t="str">
        <f>IF(OR(E4556="",E4556="!!!"),"",IF(NOT(ISNA(VLOOKUP(E4556,E$1:E4555,1,FALSE()))),"OLD",IF(AND(E4556&lt;&gt;"",E4556&lt;&gt;"!!!"),"NEW","")))</f>
        <v> </v>
      </c>
      <c r="G4556" s="23" t="str">
        <f>IF(OR(E4556="",E4556="!!!"),"",IF(OR(J4556=0,AND(J4556=1,K4556=1),AND(J4556=1,I4556="SBJ"),AND(J4556=1,I4556=0)),"?IN_FOCUS",IF(J4556&lt;=2,"?ACTIVATED",IF(J4556&lt;&gt;"","?FAMILIAR",IF(F4556="NEW",IF(ISNA(VLOOKUP(E4556,#REF!,1,FALSE())),"?TYPE_IDENTIFIABLE","?REFERENTIAL"),"_")))))</f>
        <v> </v>
      </c>
      <c r="H4556" s="24" t="str">
        <f>IF(J4556&lt;&gt;1,"",IF(I4556="SBJ","CB","?"))</f>
        <v> </v>
      </c>
      <c r="I4556" s="25" t="str">
        <f>IF(OR(E4556="",E4556="!!!",F4556="NEW"),"",INDEX(B4555:B$2,-1+SUMPRODUCT(MAX(ROW(E4555:E$2)*(E4556=E4555:E$2)))))</f>
        <v> </v>
      </c>
      <c r="J4556" s="25" t="str">
        <f>IF(OR(E4556="",E4556="!!!",F4556="NEW"),"",COUNTBLANK(OFFSET(A$1,,,SUMPRODUCT(MAX(ROW(E$2:E4556)*(E4556=E$2:E4556)))))-COUNTBLANK(OFFSET(A$1,,,SUMPRODUCT(MAX(ROW(E$1:E4555)*(E2=E$1:E4555))))))</f>
        <v> </v>
      </c>
      <c r="K4556" s="25" t="str">
        <f>IF(OR(E4556="",E4556="!!!",F4556="NEW"),"",INDEX(J$1:J4555,SUMPRODUCT(MAX(ROW(E$1:E4555)*(E4556=E$1:E4555)))))</f>
        <v> </v>
      </c>
      <c r="L4556" s="26"/>
    </row>
    <row r="4557" spans="1:12">
      <c r="A4557" s="20" t="s">
        <v>1909</v>
      </c>
      <c r="E4557" s="21">
        <f>IF(D4557="?OLD","!!!","")</f>
        <v/>
      </c>
      <c r="F4557" s="22" t="str">
        <f>IF(OR(E4557="",E4557="!!!"),"",IF(NOT(ISNA(VLOOKUP(E4557,E$1:E4556,1,FALSE()))),"OLD",IF(AND(E4557&lt;&gt;"",E4557&lt;&gt;"!!!"),"NEW","")))</f>
        <v> </v>
      </c>
      <c r="G4557" s="23" t="str">
        <f>IF(OR(E4557="",E4557="!!!"),"",IF(OR(J4557=0,AND(J4557=1,K4557=1),AND(J4557=1,I4557="SBJ"),AND(J4557=1,I4557=0)),"?IN_FOCUS",IF(J4557&lt;=2,"?ACTIVATED",IF(J4557&lt;&gt;"","?FAMILIAR",IF(F4557="NEW",IF(ISNA(VLOOKUP(E4557,#REF!,1,FALSE())),"?TYPE_IDENTIFIABLE","?REFERENTIAL"),"_")))))</f>
        <v> </v>
      </c>
      <c r="H4557" s="24" t="str">
        <f>IF(J4557&lt;&gt;1,"",IF(I4557="SBJ","CB","?"))</f>
        <v> </v>
      </c>
      <c r="I4557" s="25" t="str">
        <f>IF(OR(E4557="",E4557="!!!",F4557="NEW"),"",INDEX(B4556:B$2,-1+SUMPRODUCT(MAX(ROW(E4556:E$2)*(E4557=E4556:E$2)))))</f>
        <v> </v>
      </c>
      <c r="J4557" s="25" t="str">
        <f>IF(OR(E4557="",E4557="!!!",F4557="NEW"),"",COUNTBLANK(OFFSET(A$1,,,SUMPRODUCT(MAX(ROW(E$2:E4557)*(E4557=E$2:E4557)))))-COUNTBLANK(OFFSET(A$1,,,SUMPRODUCT(MAX(ROW(E$1:E4556)*(E2=E$1:E4556))))))</f>
        <v> </v>
      </c>
      <c r="K4557" s="25" t="str">
        <f>IF(OR(E4557="",E4557="!!!",F4557="NEW"),"",INDEX(J$1:J4556,SUMPRODUCT(MAX(ROW(E$1:E4556)*(E4557=E$1:E4556)))))</f>
        <v> </v>
      </c>
      <c r="L4557" s="26"/>
    </row>
    <row r="4558" spans="1:12">
      <c r="A4558" s="20" t="s">
        <v>1123</v>
      </c>
      <c r="E4558" s="21">
        <f>IF(D4558="?OLD","!!!","")</f>
        <v/>
      </c>
      <c r="F4558" s="22" t="str">
        <f>IF(OR(E4558="",E4558="!!!"),"",IF(NOT(ISNA(VLOOKUP(E4558,E$1:E4557,1,FALSE()))),"OLD",IF(AND(E4558&lt;&gt;"",E4558&lt;&gt;"!!!"),"NEW","")))</f>
        <v> </v>
      </c>
      <c r="G4558" s="23" t="str">
        <f>IF(OR(E4558="",E4558="!!!"),"",IF(OR(J4558=0,AND(J4558=1,K4558=1),AND(J4558=1,I4558="SBJ"),AND(J4558=1,I4558=0)),"?IN_FOCUS",IF(J4558&lt;=2,"?ACTIVATED",IF(J4558&lt;&gt;"","?FAMILIAR",IF(F4558="NEW",IF(ISNA(VLOOKUP(E4558,#REF!,1,FALSE())),"?TYPE_IDENTIFIABLE","?REFERENTIAL"),"_")))))</f>
        <v> </v>
      </c>
      <c r="H4558" s="24" t="str">
        <f>IF(J4558&lt;&gt;1,"",IF(I4558="SBJ","CB","?"))</f>
        <v> </v>
      </c>
      <c r="I4558" s="25" t="str">
        <f>IF(OR(E4558="",E4558="!!!",F4558="NEW"),"",INDEX(B4557:B$2,-1+SUMPRODUCT(MAX(ROW(E4557:E$2)*(E4558=E4557:E$2)))))</f>
        <v> </v>
      </c>
      <c r="J4558" s="25" t="str">
        <f>IF(OR(E4558="",E4558="!!!",F4558="NEW"),"",COUNTBLANK(OFFSET(A$1,,,SUMPRODUCT(MAX(ROW(E$2:E4558)*(E4558=E$2:E4558)))))-COUNTBLANK(OFFSET(A$1,,,SUMPRODUCT(MAX(ROW(E$1:E4557)*(E2=E$1:E4557))))))</f>
        <v> </v>
      </c>
      <c r="K4558" s="25" t="str">
        <f>IF(OR(E4558="",E4558="!!!",F4558="NEW"),"",INDEX(J$1:J4557,SUMPRODUCT(MAX(ROW(E$1:E4557)*(E4558=E$1:E4557)))))</f>
        <v> </v>
      </c>
      <c r="L4558" s="26"/>
    </row>
    <row r="4559" spans="1:12">
      <c r="A4559" s="20" t="s">
        <v>1181</v>
      </c>
      <c r="B4559" s="27" t="s">
        <v>1313</v>
      </c>
      <c r="C4559" s="27" t="s">
        <v>1133</v>
      </c>
      <c r="E4559" s="21">
        <f>IF(D4559="?OLD","!!!","")</f>
        <v/>
      </c>
      <c r="F4559" s="22" t="str">
        <f>IF(OR(E4559="",E4559="!!!"),"",IF(NOT(ISNA(VLOOKUP(E4559,E$1:E4558,1,FALSE()))),"OLD",IF(AND(E4559&lt;&gt;"",E4559&lt;&gt;"!!!"),"NEW","")))</f>
        <v> </v>
      </c>
      <c r="G4559" s="23" t="str">
        <f>IF(OR(E4559="",E4559="!!!"),"",IF(OR(J4559=0,AND(J4559=1,K4559=1),AND(J4559=1,I4559="SBJ"),AND(J4559=1,I4559=0)),"?IN_FOCUS",IF(J4559&lt;=2,"?ACTIVATED",IF(J4559&lt;&gt;"","?FAMILIAR",IF(F4559="NEW",IF(ISNA(VLOOKUP(E4559,#REF!,1,FALSE())),"?TYPE_IDENTIFIABLE","?REFERENTIAL"),"_")))))</f>
        <v> </v>
      </c>
      <c r="H4559" s="24" t="str">
        <f>IF(J4559&lt;&gt;1,"",IF(I4559="SBJ","CB","?"))</f>
        <v> </v>
      </c>
      <c r="I4559" s="25" t="str">
        <f>IF(OR(E4559="",E4559="!!!",F4559="NEW"),"",INDEX(B4558:B$2,-1+SUMPRODUCT(MAX(ROW(E4558:E$2)*(E4559=E4558:E$2)))))</f>
        <v> </v>
      </c>
      <c r="J4559" s="25" t="str">
        <f>IF(OR(E4559="",E4559="!!!",F4559="NEW"),"",COUNTBLANK(OFFSET(A$1,,,SUMPRODUCT(MAX(ROW(E$2:E4559)*(E4559=E$2:E4559)))))-COUNTBLANK(OFFSET(A$1,,,SUMPRODUCT(MAX(ROW(E$1:E4558)*(E2=E$1:E4558))))))</f>
        <v> </v>
      </c>
      <c r="K4559" s="25" t="str">
        <f>IF(OR(E4559="",E4559="!!!",F4559="NEW"),"",INDEX(J$1:J4558,SUMPRODUCT(MAX(ROW(E$1:E4558)*(E4559=E$1:E4558)))))</f>
        <v> </v>
      </c>
      <c r="L4559" s="26"/>
    </row>
    <row r="4560" spans="1:12">
      <c r="A4560" s="20" t="s">
        <v>3098</v>
      </c>
      <c r="E4560" s="21">
        <f>IF(D4560="?OLD","!!!","")</f>
        <v/>
      </c>
      <c r="F4560" s="22" t="str">
        <f>IF(OR(E4560="",E4560="!!!"),"",IF(NOT(ISNA(VLOOKUP(E4560,E$1:E4559,1,FALSE()))),"OLD",IF(AND(E4560&lt;&gt;"",E4560&lt;&gt;"!!!"),"NEW","")))</f>
        <v> </v>
      </c>
      <c r="G4560" s="23" t="str">
        <f>IF(OR(E4560="",E4560="!!!"),"",IF(OR(J4560=0,AND(J4560=1,K4560=1),AND(J4560=1,I4560="SBJ"),AND(J4560=1,I4560=0)),"?IN_FOCUS",IF(J4560&lt;=2,"?ACTIVATED",IF(J4560&lt;&gt;"","?FAMILIAR",IF(F4560="NEW",IF(ISNA(VLOOKUP(E4560,#REF!,1,FALSE())),"?TYPE_IDENTIFIABLE","?REFERENTIAL"),"_")))))</f>
        <v> </v>
      </c>
      <c r="H4560" s="24" t="str">
        <f>IF(J4560&lt;&gt;1,"",IF(I4560="SBJ","CB","?"))</f>
        <v> </v>
      </c>
      <c r="I4560" s="25" t="str">
        <f>IF(OR(E4560="",E4560="!!!",F4560="NEW"),"",INDEX(B4559:B$2,-1+SUMPRODUCT(MAX(ROW(E4559:E$2)*(E4560=E4559:E$2)))))</f>
        <v> </v>
      </c>
      <c r="J4560" s="25" t="str">
        <f>IF(OR(E4560="",E4560="!!!",F4560="NEW"),"",COUNTBLANK(OFFSET(A$1,,,SUMPRODUCT(MAX(ROW(E$2:E4560)*(E4560=E$2:E4560)))))-COUNTBLANK(OFFSET(A$1,,,SUMPRODUCT(MAX(ROW(E$1:E4559)*(E2=E$1:E4559))))))</f>
        <v> </v>
      </c>
      <c r="K4560" s="25" t="str">
        <f>IF(OR(E4560="",E4560="!!!",F4560="NEW"),"",INDEX(J$1:J4559,SUMPRODUCT(MAX(ROW(E$1:E4559)*(E4560=E$1:E4559)))))</f>
        <v> </v>
      </c>
      <c r="L4560" s="26"/>
    </row>
    <row r="4561" spans="1:12">
      <c r="A4561" s="20" t="s">
        <v>1369</v>
      </c>
      <c r="E4561" s="21">
        <f>IF(D4561="?OLD","!!!","")</f>
        <v/>
      </c>
      <c r="F4561" s="22" t="str">
        <f>IF(OR(E4561="",E4561="!!!"),"",IF(NOT(ISNA(VLOOKUP(E4561,E$1:E4560,1,FALSE()))),"OLD",IF(AND(E4561&lt;&gt;"",E4561&lt;&gt;"!!!"),"NEW","")))</f>
        <v> </v>
      </c>
      <c r="G4561" s="23" t="str">
        <f>IF(OR(E4561="",E4561="!!!"),"",IF(OR(J4561=0,AND(J4561=1,K4561=1),AND(J4561=1,I4561="SBJ"),AND(J4561=1,I4561=0)),"?IN_FOCUS",IF(J4561&lt;=2,"?ACTIVATED",IF(J4561&lt;&gt;"","?FAMILIAR",IF(F4561="NEW",IF(ISNA(VLOOKUP(E4561,#REF!,1,FALSE())),"?TYPE_IDENTIFIABLE","?REFERENTIAL"),"_")))))</f>
        <v> </v>
      </c>
      <c r="H4561" s="24" t="str">
        <f>IF(J4561&lt;&gt;1,"",IF(I4561="SBJ","CB","?"))</f>
        <v> </v>
      </c>
      <c r="I4561" s="25" t="str">
        <f>IF(OR(E4561="",E4561="!!!",F4561="NEW"),"",INDEX(B4560:B$2,-1+SUMPRODUCT(MAX(ROW(E4560:E$2)*(E4561=E4560:E$2)))))</f>
        <v> </v>
      </c>
      <c r="J4561" s="25" t="str">
        <f>IF(OR(E4561="",E4561="!!!",F4561="NEW"),"",COUNTBLANK(OFFSET(A$1,,,SUMPRODUCT(MAX(ROW(E$2:E4561)*(E4561=E$2:E4561)))))-COUNTBLANK(OFFSET(A$1,,,SUMPRODUCT(MAX(ROW(E$1:E4560)*(E2=E$1:E4560))))))</f>
        <v> </v>
      </c>
      <c r="K4561" s="25" t="str">
        <f>IF(OR(E4561="",E4561="!!!",F4561="NEW"),"",INDEX(J$1:J4560,SUMPRODUCT(MAX(ROW(E$1:E4560)*(E4561=E$1:E4560)))))</f>
        <v> </v>
      </c>
      <c r="L4561" s="26"/>
    </row>
    <row r="4562" spans="1:12">
      <c r="A4562" s="20" t="s">
        <v>1475</v>
      </c>
      <c r="E4562" s="21">
        <f>IF(D4562="?OLD","!!!","")</f>
        <v/>
      </c>
      <c r="F4562" s="22" t="str">
        <f>IF(OR(E4562="",E4562="!!!"),"",IF(NOT(ISNA(VLOOKUP(E4562,E$1:E4561,1,FALSE()))),"OLD",IF(AND(E4562&lt;&gt;"",E4562&lt;&gt;"!!!"),"NEW","")))</f>
        <v> </v>
      </c>
      <c r="G4562" s="23" t="str">
        <f>IF(OR(E4562="",E4562="!!!"),"",IF(OR(J4562=0,AND(J4562=1,K4562=1),AND(J4562=1,I4562="SBJ"),AND(J4562=1,I4562=0)),"?IN_FOCUS",IF(J4562&lt;=2,"?ACTIVATED",IF(J4562&lt;&gt;"","?FAMILIAR",IF(F4562="NEW",IF(ISNA(VLOOKUP(E4562,#REF!,1,FALSE())),"?TYPE_IDENTIFIABLE","?REFERENTIAL"),"_")))))</f>
        <v> </v>
      </c>
      <c r="H4562" s="24" t="str">
        <f>IF(J4562&lt;&gt;1,"",IF(I4562="SBJ","CB","?"))</f>
        <v> </v>
      </c>
      <c r="I4562" s="25" t="str">
        <f>IF(OR(E4562="",E4562="!!!",F4562="NEW"),"",INDEX(B4561:B$2,-1+SUMPRODUCT(MAX(ROW(E4561:E$2)*(E4562=E4561:E$2)))))</f>
        <v> </v>
      </c>
      <c r="J4562" s="25" t="str">
        <f>IF(OR(E4562="",E4562="!!!",F4562="NEW"),"",COUNTBLANK(OFFSET(A$1,,,SUMPRODUCT(MAX(ROW(E$2:E4562)*(E4562=E$2:E4562)))))-COUNTBLANK(OFFSET(A$1,,,SUMPRODUCT(MAX(ROW(E$1:E4561)*(E2=E$1:E4561))))))</f>
        <v> </v>
      </c>
      <c r="K4562" s="25" t="str">
        <f>IF(OR(E4562="",E4562="!!!",F4562="NEW"),"",INDEX(J$1:J4561,SUMPRODUCT(MAX(ROW(E$1:E4561)*(E4562=E$1:E4561)))))</f>
        <v> </v>
      </c>
      <c r="L4562" s="26"/>
    </row>
    <row r="4563" spans="1:12">
      <c r="A4563" s="20" t="s">
        <v>1351</v>
      </c>
      <c r="E4563" s="21">
        <f>IF(D4563="?OLD","!!!","")</f>
        <v/>
      </c>
      <c r="F4563" s="22" t="str">
        <f>IF(OR(E4563="",E4563="!!!"),"",IF(NOT(ISNA(VLOOKUP(E4563,E$1:E4562,1,FALSE()))),"OLD",IF(AND(E4563&lt;&gt;"",E4563&lt;&gt;"!!!"),"NEW","")))</f>
        <v> </v>
      </c>
      <c r="G4563" s="23" t="str">
        <f>IF(OR(E4563="",E4563="!!!"),"",IF(OR(J4563=0,AND(J4563=1,K4563=1),AND(J4563=1,I4563="SBJ"),AND(J4563=1,I4563=0)),"?IN_FOCUS",IF(J4563&lt;=2,"?ACTIVATED",IF(J4563&lt;&gt;"","?FAMILIAR",IF(F4563="NEW",IF(ISNA(VLOOKUP(E4563,#REF!,1,FALSE())),"?TYPE_IDENTIFIABLE","?REFERENTIAL"),"_")))))</f>
        <v> </v>
      </c>
      <c r="H4563" s="24" t="str">
        <f>IF(J4563&lt;&gt;1,"",IF(I4563="SBJ","CB","?"))</f>
        <v> </v>
      </c>
      <c r="I4563" s="25" t="str">
        <f>IF(OR(E4563="",E4563="!!!",F4563="NEW"),"",INDEX(B4562:B$2,-1+SUMPRODUCT(MAX(ROW(E4562:E$2)*(E4563=E4562:E$2)))))</f>
        <v> </v>
      </c>
      <c r="J4563" s="25" t="str">
        <f>IF(OR(E4563="",E4563="!!!",F4563="NEW"),"",COUNTBLANK(OFFSET(A$1,,,SUMPRODUCT(MAX(ROW(E$2:E4563)*(E4563=E$2:E4563)))))-COUNTBLANK(OFFSET(A$1,,,SUMPRODUCT(MAX(ROW(E$1:E4562)*(E2=E$1:E4562))))))</f>
        <v> </v>
      </c>
      <c r="K4563" s="25" t="str">
        <f>IF(OR(E4563="",E4563="!!!",F4563="NEW"),"",INDEX(J$1:J4562,SUMPRODUCT(MAX(ROW(E$1:E4562)*(E4563=E$1:E4562)))))</f>
        <v> </v>
      </c>
      <c r="L4563" s="26"/>
    </row>
    <row r="4564" spans="1:12">
      <c r="A4564" s="20"/>
    </row>
    <row r="4565" spans="1:12">
      <c r="A4565" s="20" t="s">
        <v>3099</v>
      </c>
    </row>
    <row r="4566" spans="1:12">
      <c r="A4566" s="20" t="s">
        <v>1111</v>
      </c>
      <c r="E4566" s="21">
        <f>IF(D4566="?OLD","!!!","")</f>
        <v/>
      </c>
      <c r="F4566" s="22" t="str">
        <f>IF(OR(E4566="",E4566="!!!"),"",IF(NOT(ISNA(VLOOKUP(E4566,E$1:E4565,1,FALSE()))),"OLD",IF(AND(E4566&lt;&gt;"",E4566&lt;&gt;"!!!"),"NEW","")))</f>
        <v> </v>
      </c>
      <c r="G4566" s="23" t="str">
        <f>IF(OR(E4566="",E4566="!!!"),"",IF(OR(J4566=0,AND(J4566=1,K4566=1),AND(J4566=1,I4566="SBJ"),AND(J4566=1,I4566=0)),"?IN_FOCUS",IF(J4566&lt;=2,"?ACTIVATED",IF(J4566&lt;&gt;"","?FAMILIAR",IF(F4566="NEW",IF(ISNA(VLOOKUP(E4566,#REF!,1,FALSE())),"?TYPE_IDENTIFIABLE","?REFERENTIAL"),"_")))))</f>
        <v> </v>
      </c>
      <c r="H4566" s="24" t="str">
        <f>IF(J4566&lt;&gt;1,"",IF(I4566="SBJ","CB","?"))</f>
        <v> </v>
      </c>
      <c r="I4566" s="25" t="str">
        <f>IF(OR(E4566="",E4566="!!!",F4566="NEW"),"",INDEX(B4565:B$2,-1+SUMPRODUCT(MAX(ROW(E4565:E$2)*(E4566=E4565:E$2)))))</f>
        <v> </v>
      </c>
      <c r="J4566" s="25" t="str">
        <f>IF(OR(E4566="",E4566="!!!",F4566="NEW"),"",COUNTBLANK(OFFSET(A$1,,,SUMPRODUCT(MAX(ROW(E$2:E4566)*(E4566=E$2:E4566)))))-COUNTBLANK(OFFSET(A$1,,,SUMPRODUCT(MAX(ROW(E$1:E4565)*(E2=E$1:E4565))))))</f>
        <v> </v>
      </c>
      <c r="K4566" s="25" t="str">
        <f>IF(OR(E4566="",E4566="!!!",F4566="NEW"),"",INDEX(J$1:J4565,SUMPRODUCT(MAX(ROW(E$1:E4565)*(E4566=E$1:E4565)))))</f>
        <v> </v>
      </c>
      <c r="L4566" s="26"/>
    </row>
    <row r="4567" spans="1:12">
      <c r="A4567" s="20" t="s">
        <v>1973</v>
      </c>
      <c r="E4567" s="21">
        <f>IF(D4567="?OLD","!!!","")</f>
        <v/>
      </c>
      <c r="F4567" s="22" t="str">
        <f>IF(OR(E4567="",E4567="!!!"),"",IF(NOT(ISNA(VLOOKUP(E4567,E$1:E4566,1,FALSE()))),"OLD",IF(AND(E4567&lt;&gt;"",E4567&lt;&gt;"!!!"),"NEW","")))</f>
        <v> </v>
      </c>
      <c r="G4567" s="23" t="str">
        <f>IF(OR(E4567="",E4567="!!!"),"",IF(OR(J4567=0,AND(J4567=1,K4567=1),AND(J4567=1,I4567="SBJ"),AND(J4567=1,I4567=0)),"?IN_FOCUS",IF(J4567&lt;=2,"?ACTIVATED",IF(J4567&lt;&gt;"","?FAMILIAR",IF(F4567="NEW",IF(ISNA(VLOOKUP(E4567,#REF!,1,FALSE())),"?TYPE_IDENTIFIABLE","?REFERENTIAL"),"_")))))</f>
        <v> </v>
      </c>
      <c r="H4567" s="24" t="str">
        <f>IF(J4567&lt;&gt;1,"",IF(I4567="SBJ","CB","?"))</f>
        <v> </v>
      </c>
      <c r="I4567" s="25" t="str">
        <f>IF(OR(E4567="",E4567="!!!",F4567="NEW"),"",INDEX(B4566:B$2,-1+SUMPRODUCT(MAX(ROW(E4566:E$2)*(E4567=E4566:E$2)))))</f>
        <v> </v>
      </c>
      <c r="J4567" s="25" t="str">
        <f>IF(OR(E4567="",E4567="!!!",F4567="NEW"),"",COUNTBLANK(OFFSET(A$1,,,SUMPRODUCT(MAX(ROW(E$2:E4567)*(E4567=E$2:E4567)))))-COUNTBLANK(OFFSET(A$1,,,SUMPRODUCT(MAX(ROW(E$1:E4566)*(E2=E$1:E4566))))))</f>
        <v> </v>
      </c>
      <c r="K4567" s="25" t="str">
        <f>IF(OR(E4567="",E4567="!!!",F4567="NEW"),"",INDEX(J$1:J4566,SUMPRODUCT(MAX(ROW(E$1:E4566)*(E4567=E$1:E4566)))))</f>
        <v> </v>
      </c>
      <c r="L4567" s="26"/>
    </row>
    <row r="4568" spans="1:12">
      <c r="A4568" s="20" t="s">
        <v>1124</v>
      </c>
      <c r="B4568" s="27" t="s">
        <v>1149</v>
      </c>
      <c r="C4568" s="27" t="s">
        <v>1126</v>
      </c>
      <c r="D4568" s="27" t="s">
        <v>1105</v>
      </c>
      <c r="E4568" s="21">
        <f>IF(D4568="?OLD","!!!","")</f>
        <v/>
      </c>
      <c r="F4568" s="22" t="str">
        <f>IF(OR(E4568="",E4568="!!!"),"",IF(NOT(ISNA(VLOOKUP(E4568,E$1:E4567,1,FALSE()))),"OLD",IF(AND(E4568&lt;&gt;"",E4568&lt;&gt;"!!!"),"NEW","")))</f>
        <v> </v>
      </c>
      <c r="G4568" s="23" t="str">
        <f>IF(OR(E4568="",E4568="!!!"),"",IF(OR(J4568=0,AND(J4568=1,K4568=1),AND(J4568=1,I4568="SBJ"),AND(J4568=1,I4568=0)),"?IN_FOCUS",IF(J4568&lt;=2,"?ACTIVATED",IF(J4568&lt;&gt;"","?FAMILIAR",IF(F4568="NEW",IF(ISNA(VLOOKUP(E4568,#REF!,1,FALSE())),"?TYPE_IDENTIFIABLE","?REFERENTIAL"),"_")))))</f>
        <v> </v>
      </c>
      <c r="H4568" s="24" t="str">
        <f>IF(J4568&lt;&gt;1,"",IF(I4568="SBJ","CB","?"))</f>
        <v> </v>
      </c>
      <c r="I4568" s="25" t="str">
        <f>IF(OR(E4568="",E4568="!!!",F4568="NEW"),"",INDEX(B4567:B$2,-1+SUMPRODUCT(MAX(ROW(E4567:E$2)*(E4568=E4567:E$2)))))</f>
        <v> </v>
      </c>
      <c r="J4568" s="25" t="str">
        <f>IF(OR(E4568="",E4568="!!!",F4568="NEW"),"",COUNTBLANK(OFFSET(A$1,,,SUMPRODUCT(MAX(ROW(E$2:E4568)*(E4568=E$2:E4568)))))-COUNTBLANK(OFFSET(A$1,,,SUMPRODUCT(MAX(ROW(E$1:E4567)*(E2=E$1:E4567))))))</f>
        <v> </v>
      </c>
      <c r="K4568" s="25" t="str">
        <f>IF(OR(E4568="",E4568="!!!",F4568="NEW"),"",INDEX(J$1:J4567,SUMPRODUCT(MAX(ROW(E$1:E4567)*(E4568=E$1:E4567)))))</f>
        <v> </v>
      </c>
      <c r="L4568" s="26"/>
    </row>
    <row r="4569" spans="1:12">
      <c r="A4569" s="20" t="s">
        <v>3100</v>
      </c>
      <c r="E4569" s="21">
        <f>IF(D4569="?OLD","!!!","")</f>
        <v/>
      </c>
      <c r="F4569" s="22" t="str">
        <f>IF(OR(E4569="",E4569="!!!"),"",IF(NOT(ISNA(VLOOKUP(E4569,E$1:E4568,1,FALSE()))),"OLD",IF(AND(E4569&lt;&gt;"",E4569&lt;&gt;"!!!"),"NEW","")))</f>
        <v> </v>
      </c>
      <c r="G4569" s="23" t="str">
        <f>IF(OR(E4569="",E4569="!!!"),"",IF(OR(J4569=0,AND(J4569=1,K4569=1),AND(J4569=1,I4569="SBJ"),AND(J4569=1,I4569=0)),"?IN_FOCUS",IF(J4569&lt;=2,"?ACTIVATED",IF(J4569&lt;&gt;"","?FAMILIAR",IF(F4569="NEW",IF(ISNA(VLOOKUP(E4569,#REF!,1,FALSE())),"?TYPE_IDENTIFIABLE","?REFERENTIAL"),"_")))))</f>
        <v> </v>
      </c>
      <c r="H4569" s="24" t="str">
        <f>IF(J4569&lt;&gt;1,"",IF(I4569="SBJ","CB","?"))</f>
        <v> </v>
      </c>
      <c r="I4569" s="25" t="str">
        <f>IF(OR(E4569="",E4569="!!!",F4569="NEW"),"",INDEX(B4568:B$2,-1+SUMPRODUCT(MAX(ROW(E4568:E$2)*(E4569=E4568:E$2)))))</f>
        <v> </v>
      </c>
      <c r="J4569" s="25" t="str">
        <f>IF(OR(E4569="",E4569="!!!",F4569="NEW"),"",COUNTBLANK(OFFSET(A$1,,,SUMPRODUCT(MAX(ROW(E$2:E4569)*(E4569=E$2:E4569)))))-COUNTBLANK(OFFSET(A$1,,,SUMPRODUCT(MAX(ROW(E$1:E4568)*(E2=E$1:E4568))))))</f>
        <v> </v>
      </c>
      <c r="K4569" s="25" t="str">
        <f>IF(OR(E4569="",E4569="!!!",F4569="NEW"),"",INDEX(J$1:J4568,SUMPRODUCT(MAX(ROW(E$1:E4568)*(E4569=E$1:E4568)))))</f>
        <v> </v>
      </c>
      <c r="L4569" s="26"/>
    </row>
    <row r="4570" spans="1:12">
      <c r="A4570" s="20" t="s">
        <v>1249</v>
      </c>
      <c r="E4570" s="21">
        <f>IF(D4570="?OLD","!!!","")</f>
        <v/>
      </c>
      <c r="F4570" s="22" t="str">
        <f>IF(OR(E4570="",E4570="!!!"),"",IF(NOT(ISNA(VLOOKUP(E4570,E$1:E4569,1,FALSE()))),"OLD",IF(AND(E4570&lt;&gt;"",E4570&lt;&gt;"!!!"),"NEW","")))</f>
        <v> </v>
      </c>
      <c r="G4570" s="23" t="str">
        <f>IF(OR(E4570="",E4570="!!!"),"",IF(OR(J4570=0,AND(J4570=1,K4570=1),AND(J4570=1,I4570="SBJ"),AND(J4570=1,I4570=0)),"?IN_FOCUS",IF(J4570&lt;=2,"?ACTIVATED",IF(J4570&lt;&gt;"","?FAMILIAR",IF(F4570="NEW",IF(ISNA(VLOOKUP(E4570,#REF!,1,FALSE())),"?TYPE_IDENTIFIABLE","?REFERENTIAL"),"_")))))</f>
        <v> </v>
      </c>
      <c r="H4570" s="24" t="str">
        <f>IF(J4570&lt;&gt;1,"",IF(I4570="SBJ","CB","?"))</f>
        <v> </v>
      </c>
      <c r="I4570" s="25" t="str">
        <f>IF(OR(E4570="",E4570="!!!",F4570="NEW"),"",INDEX(B4569:B$2,-1+SUMPRODUCT(MAX(ROW(E4569:E$2)*(E4570=E4569:E$2)))))</f>
        <v> </v>
      </c>
      <c r="J4570" s="25" t="str">
        <f>IF(OR(E4570="",E4570="!!!",F4570="NEW"),"",COUNTBLANK(OFFSET(A$1,,,SUMPRODUCT(MAX(ROW(E$2:E4570)*(E4570=E$2:E4570)))))-COUNTBLANK(OFFSET(A$1,,,SUMPRODUCT(MAX(ROW(E$1:E4569)*(E2=E$1:E4569))))))</f>
        <v> </v>
      </c>
      <c r="K4570" s="25" t="str">
        <f>IF(OR(E4570="",E4570="!!!",F4570="NEW"),"",INDEX(J$1:J4569,SUMPRODUCT(MAX(ROW(E$1:E4569)*(E4570=E$1:E4569)))))</f>
        <v> </v>
      </c>
      <c r="L4570" s="26"/>
    </row>
    <row r="4571" spans="1:12">
      <c r="A4571" s="20" t="s">
        <v>3101</v>
      </c>
      <c r="E4571" s="21">
        <f>IF(D4571="?OLD","!!!","")</f>
        <v/>
      </c>
      <c r="F4571" s="22" t="str">
        <f>IF(OR(E4571="",E4571="!!!"),"",IF(NOT(ISNA(VLOOKUP(E4571,E$1:E4570,1,FALSE()))),"OLD",IF(AND(E4571&lt;&gt;"",E4571&lt;&gt;"!!!"),"NEW","")))</f>
        <v> </v>
      </c>
      <c r="G4571" s="23" t="str">
        <f>IF(OR(E4571="",E4571="!!!"),"",IF(OR(J4571=0,AND(J4571=1,K4571=1),AND(J4571=1,I4571="SBJ"),AND(J4571=1,I4571=0)),"?IN_FOCUS",IF(J4571&lt;=2,"?ACTIVATED",IF(J4571&lt;&gt;"","?FAMILIAR",IF(F4571="NEW",IF(ISNA(VLOOKUP(E4571,#REF!,1,FALSE())),"?TYPE_IDENTIFIABLE","?REFERENTIAL"),"_")))))</f>
        <v> </v>
      </c>
      <c r="H4571" s="24" t="str">
        <f>IF(J4571&lt;&gt;1,"",IF(I4571="SBJ","CB","?"))</f>
        <v> </v>
      </c>
      <c r="I4571" s="25" t="str">
        <f>IF(OR(E4571="",E4571="!!!",F4571="NEW"),"",INDEX(B4570:B$2,-1+SUMPRODUCT(MAX(ROW(E4570:E$2)*(E4571=E4570:E$2)))))</f>
        <v> </v>
      </c>
      <c r="J4571" s="25" t="str">
        <f>IF(OR(E4571="",E4571="!!!",F4571="NEW"),"",COUNTBLANK(OFFSET(A$1,,,SUMPRODUCT(MAX(ROW(E$2:E4571)*(E4571=E$2:E4571)))))-COUNTBLANK(OFFSET(A$1,,,SUMPRODUCT(MAX(ROW(E$1:E4570)*(E2=E$1:E4570))))))</f>
        <v> </v>
      </c>
      <c r="K4571" s="25" t="str">
        <f>IF(OR(E4571="",E4571="!!!",F4571="NEW"),"",INDEX(J$1:J4570,SUMPRODUCT(MAX(ROW(E$1:E4570)*(E4571=E$1:E4570)))))</f>
        <v> </v>
      </c>
      <c r="L4571" s="26"/>
    </row>
    <row r="4572" spans="1:12">
      <c r="A4572" s="20" t="s">
        <v>11</v>
      </c>
      <c r="E4572" s="21">
        <f>IF(D4572="?OLD","!!!","")</f>
        <v/>
      </c>
      <c r="F4572" s="22" t="str">
        <f>IF(OR(E4572="",E4572="!!!"),"",IF(NOT(ISNA(VLOOKUP(E4572,E$1:E4571,1,FALSE()))),"OLD",IF(AND(E4572&lt;&gt;"",E4572&lt;&gt;"!!!"),"NEW","")))</f>
        <v> </v>
      </c>
      <c r="G4572" s="23" t="str">
        <f>IF(OR(E4572="",E4572="!!!"),"",IF(OR(J4572=0,AND(J4572=1,K4572=1),AND(J4572=1,I4572="SBJ"),AND(J4572=1,I4572=0)),"?IN_FOCUS",IF(J4572&lt;=2,"?ACTIVATED",IF(J4572&lt;&gt;"","?FAMILIAR",IF(F4572="NEW",IF(ISNA(VLOOKUP(E4572,#REF!,1,FALSE())),"?TYPE_IDENTIFIABLE","?REFERENTIAL"),"_")))))</f>
        <v> </v>
      </c>
      <c r="H4572" s="24" t="str">
        <f>IF(J4572&lt;&gt;1,"",IF(I4572="SBJ","CB","?"))</f>
        <v> </v>
      </c>
      <c r="I4572" s="25" t="str">
        <f>IF(OR(E4572="",E4572="!!!",F4572="NEW"),"",INDEX(B4571:B$2,-1+SUMPRODUCT(MAX(ROW(E4571:E$2)*(E4572=E4571:E$2)))))</f>
        <v> </v>
      </c>
      <c r="J4572" s="25" t="str">
        <f>IF(OR(E4572="",E4572="!!!",F4572="NEW"),"",COUNTBLANK(OFFSET(A$1,,,SUMPRODUCT(MAX(ROW(E$2:E4572)*(E4572=E$2:E4572)))))-COUNTBLANK(OFFSET(A$1,,,SUMPRODUCT(MAX(ROW(E$1:E4571)*(E2=E$1:E4571))))))</f>
        <v> </v>
      </c>
      <c r="K4572" s="25" t="str">
        <f>IF(OR(E4572="",E4572="!!!",F4572="NEW"),"",INDEX(J$1:J4571,SUMPRODUCT(MAX(ROW(E$1:E4571)*(E4572=E$1:E4571)))))</f>
        <v> </v>
      </c>
      <c r="L4572" s="26"/>
    </row>
    <row r="4573" spans="1:12">
      <c r="A4573" s="20" t="s">
        <v>3102</v>
      </c>
      <c r="E4573" s="21">
        <f>IF(D4573="?OLD","!!!","")</f>
        <v/>
      </c>
      <c r="F4573" s="22" t="str">
        <f>IF(OR(E4573="",E4573="!!!"),"",IF(NOT(ISNA(VLOOKUP(E4573,E$1:E4572,1,FALSE()))),"OLD",IF(AND(E4573&lt;&gt;"",E4573&lt;&gt;"!!!"),"NEW","")))</f>
        <v> </v>
      </c>
      <c r="G4573" s="23" t="str">
        <f>IF(OR(E4573="",E4573="!!!"),"",IF(OR(J4573=0,AND(J4573=1,K4573=1),AND(J4573=1,I4573="SBJ"),AND(J4573=1,I4573=0)),"?IN_FOCUS",IF(J4573&lt;=2,"?ACTIVATED",IF(J4573&lt;&gt;"","?FAMILIAR",IF(F4573="NEW",IF(ISNA(VLOOKUP(E4573,#REF!,1,FALSE())),"?TYPE_IDENTIFIABLE","?REFERENTIAL"),"_")))))</f>
        <v> </v>
      </c>
      <c r="H4573" s="24" t="str">
        <f>IF(J4573&lt;&gt;1,"",IF(I4573="SBJ","CB","?"))</f>
        <v> </v>
      </c>
      <c r="I4573" s="25" t="str">
        <f>IF(OR(E4573="",E4573="!!!",F4573="NEW"),"",INDEX(B4572:B$2,-1+SUMPRODUCT(MAX(ROW(E4572:E$2)*(E4573=E4572:E$2)))))</f>
        <v> </v>
      </c>
      <c r="J4573" s="25" t="str">
        <f>IF(OR(E4573="",E4573="!!!",F4573="NEW"),"",COUNTBLANK(OFFSET(A$1,,,SUMPRODUCT(MAX(ROW(E$2:E4573)*(E4573=E$2:E4573)))))-COUNTBLANK(OFFSET(A$1,,,SUMPRODUCT(MAX(ROW(E$1:E4572)*(E2=E$1:E4572))))))</f>
        <v> </v>
      </c>
      <c r="K4573" s="25" t="str">
        <f>IF(OR(E4573="",E4573="!!!",F4573="NEW"),"",INDEX(J$1:J4572,SUMPRODUCT(MAX(ROW(E$1:E4572)*(E4573=E$1:E4572)))))</f>
        <v> </v>
      </c>
      <c r="L4573" s="26"/>
    </row>
    <row r="4574" spans="1:12">
      <c r="A4574" s="20" t="s">
        <v>2658</v>
      </c>
      <c r="E4574" s="21">
        <f>IF(D4574="?OLD","!!!","")</f>
        <v/>
      </c>
      <c r="F4574" s="22" t="str">
        <f>IF(OR(E4574="",E4574="!!!"),"",IF(NOT(ISNA(VLOOKUP(E4574,E$1:E4573,1,FALSE()))),"OLD",IF(AND(E4574&lt;&gt;"",E4574&lt;&gt;"!!!"),"NEW","")))</f>
        <v> </v>
      </c>
      <c r="G4574" s="23" t="str">
        <f>IF(OR(E4574="",E4574="!!!"),"",IF(OR(J4574=0,AND(J4574=1,K4574=1),AND(J4574=1,I4574="SBJ"),AND(J4574=1,I4574=0)),"?IN_FOCUS",IF(J4574&lt;=2,"?ACTIVATED",IF(J4574&lt;&gt;"","?FAMILIAR",IF(F4574="NEW",IF(ISNA(VLOOKUP(E4574,#REF!,1,FALSE())),"?TYPE_IDENTIFIABLE","?REFERENTIAL"),"_")))))</f>
        <v> </v>
      </c>
      <c r="H4574" s="24" t="str">
        <f>IF(J4574&lt;&gt;1,"",IF(I4574="SBJ","CB","?"))</f>
        <v> </v>
      </c>
      <c r="I4574" s="25" t="str">
        <f>IF(OR(E4574="",E4574="!!!",F4574="NEW"),"",INDEX(B4573:B$2,-1+SUMPRODUCT(MAX(ROW(E4573:E$2)*(E4574=E4573:E$2)))))</f>
        <v> </v>
      </c>
      <c r="J4574" s="25" t="str">
        <f>IF(OR(E4574="",E4574="!!!",F4574="NEW"),"",COUNTBLANK(OFFSET(A$1,,,SUMPRODUCT(MAX(ROW(E$2:E4574)*(E4574=E$2:E4574)))))-COUNTBLANK(OFFSET(A$1,,,SUMPRODUCT(MAX(ROW(E$1:E4573)*(E2=E$1:E4573))))))</f>
        <v> </v>
      </c>
      <c r="K4574" s="25" t="str">
        <f>IF(OR(E4574="",E4574="!!!",F4574="NEW"),"",INDEX(J$1:J4573,SUMPRODUCT(MAX(ROW(E$1:E4573)*(E4574=E$1:E4573)))))</f>
        <v> </v>
      </c>
      <c r="L4574" s="26"/>
    </row>
    <row r="4575" spans="1:12">
      <c r="A4575" s="20" t="s">
        <v>1123</v>
      </c>
      <c r="E4575" s="21">
        <f>IF(D4575="?OLD","!!!","")</f>
        <v/>
      </c>
      <c r="F4575" s="22" t="str">
        <f>IF(OR(E4575="",E4575="!!!"),"",IF(NOT(ISNA(VLOOKUP(E4575,E$1:E4574,1,FALSE()))),"OLD",IF(AND(E4575&lt;&gt;"",E4575&lt;&gt;"!!!"),"NEW","")))</f>
        <v> </v>
      </c>
      <c r="G4575" s="23" t="str">
        <f>IF(OR(E4575="",E4575="!!!"),"",IF(OR(J4575=0,AND(J4575=1,K4575=1),AND(J4575=1,I4575="SBJ"),AND(J4575=1,I4575=0)),"?IN_FOCUS",IF(J4575&lt;=2,"?ACTIVATED",IF(J4575&lt;&gt;"","?FAMILIAR",IF(F4575="NEW",IF(ISNA(VLOOKUP(E4575,#REF!,1,FALSE())),"?TYPE_IDENTIFIABLE","?REFERENTIAL"),"_")))))</f>
        <v> </v>
      </c>
      <c r="H4575" s="24" t="str">
        <f>IF(J4575&lt;&gt;1,"",IF(I4575="SBJ","CB","?"))</f>
        <v> </v>
      </c>
      <c r="I4575" s="25" t="str">
        <f>IF(OR(E4575="",E4575="!!!",F4575="NEW"),"",INDEX(B4574:B$2,-1+SUMPRODUCT(MAX(ROW(E4574:E$2)*(E4575=E4574:E$2)))))</f>
        <v> </v>
      </c>
      <c r="J4575" s="25" t="str">
        <f>IF(OR(E4575="",E4575="!!!",F4575="NEW"),"",COUNTBLANK(OFFSET(A$1,,,SUMPRODUCT(MAX(ROW(E$2:E4575)*(E4575=E$2:E4575)))))-COUNTBLANK(OFFSET(A$1,,,SUMPRODUCT(MAX(ROW(E$1:E4574)*(E2=E$1:E4574))))))</f>
        <v> </v>
      </c>
      <c r="K4575" s="25" t="str">
        <f>IF(OR(E4575="",E4575="!!!",F4575="NEW"),"",INDEX(J$1:J4574,SUMPRODUCT(MAX(ROW(E$1:E4574)*(E4575=E$1:E4574)))))</f>
        <v> </v>
      </c>
      <c r="L4575" s="26"/>
    </row>
    <row r="4576" spans="1:12">
      <c r="A4576" s="20" t="s">
        <v>3103</v>
      </c>
      <c r="E4576" s="21">
        <f>IF(D4576="?OLD","!!!","")</f>
        <v/>
      </c>
      <c r="F4576" s="22" t="str">
        <f>IF(OR(E4576="",E4576="!!!"),"",IF(NOT(ISNA(VLOOKUP(E4576,E$1:E4575,1,FALSE()))),"OLD",IF(AND(E4576&lt;&gt;"",E4576&lt;&gt;"!!!"),"NEW","")))</f>
        <v> </v>
      </c>
      <c r="G4576" s="23" t="str">
        <f>IF(OR(E4576="",E4576="!!!"),"",IF(OR(J4576=0,AND(J4576=1,K4576=1),AND(J4576=1,I4576="SBJ"),AND(J4576=1,I4576=0)),"?IN_FOCUS",IF(J4576&lt;=2,"?ACTIVATED",IF(J4576&lt;&gt;"","?FAMILIAR",IF(F4576="NEW",IF(ISNA(VLOOKUP(E4576,#REF!,1,FALSE())),"?TYPE_IDENTIFIABLE","?REFERENTIAL"),"_")))))</f>
        <v> </v>
      </c>
      <c r="H4576" s="24" t="str">
        <f>IF(J4576&lt;&gt;1,"",IF(I4576="SBJ","CB","?"))</f>
        <v> </v>
      </c>
      <c r="I4576" s="25" t="str">
        <f>IF(OR(E4576="",E4576="!!!",F4576="NEW"),"",INDEX(B4575:B$2,-1+SUMPRODUCT(MAX(ROW(E4575:E$2)*(E4576=E4575:E$2)))))</f>
        <v> </v>
      </c>
      <c r="J4576" s="25" t="str">
        <f>IF(OR(E4576="",E4576="!!!",F4576="NEW"),"",COUNTBLANK(OFFSET(A$1,,,SUMPRODUCT(MAX(ROW(E$2:E4576)*(E4576=E$2:E4576)))))-COUNTBLANK(OFFSET(A$1,,,SUMPRODUCT(MAX(ROW(E$1:E4575)*(E2=E$1:E4575))))))</f>
        <v> </v>
      </c>
      <c r="K4576" s="25" t="str">
        <f>IF(OR(E4576="",E4576="!!!",F4576="NEW"),"",INDEX(J$1:J4575,SUMPRODUCT(MAX(ROW(E$1:E4575)*(E4576=E$1:E4575)))))</f>
        <v> </v>
      </c>
      <c r="L4576" s="26"/>
    </row>
    <row r="4577" spans="1:12">
      <c r="A4577" s="20" t="s">
        <v>3104</v>
      </c>
      <c r="E4577" s="21">
        <f>IF(D4577="?OLD","!!!","")</f>
        <v/>
      </c>
      <c r="F4577" s="22" t="str">
        <f>IF(OR(E4577="",E4577="!!!"),"",IF(NOT(ISNA(VLOOKUP(E4577,E$1:E4576,1,FALSE()))),"OLD",IF(AND(E4577&lt;&gt;"",E4577&lt;&gt;"!!!"),"NEW","")))</f>
        <v> </v>
      </c>
      <c r="G4577" s="23" t="str">
        <f>IF(OR(E4577="",E4577="!!!"),"",IF(OR(J4577=0,AND(J4577=1,K4577=1),AND(J4577=1,I4577="SBJ"),AND(J4577=1,I4577=0)),"?IN_FOCUS",IF(J4577&lt;=2,"?ACTIVATED",IF(J4577&lt;&gt;"","?FAMILIAR",IF(F4577="NEW",IF(ISNA(VLOOKUP(E4577,#REF!,1,FALSE())),"?TYPE_IDENTIFIABLE","?REFERENTIAL"),"_")))))</f>
        <v> </v>
      </c>
      <c r="H4577" s="24" t="str">
        <f>IF(J4577&lt;&gt;1,"",IF(I4577="SBJ","CB","?"))</f>
        <v> </v>
      </c>
      <c r="I4577" s="25" t="str">
        <f>IF(OR(E4577="",E4577="!!!",F4577="NEW"),"",INDEX(B4576:B$2,-1+SUMPRODUCT(MAX(ROW(E4576:E$2)*(E4577=E4576:E$2)))))</f>
        <v> </v>
      </c>
      <c r="J4577" s="25" t="str">
        <f>IF(OR(E4577="",E4577="!!!",F4577="NEW"),"",COUNTBLANK(OFFSET(A$1,,,SUMPRODUCT(MAX(ROW(E$2:E4577)*(E4577=E$2:E4577)))))-COUNTBLANK(OFFSET(A$1,,,SUMPRODUCT(MAX(ROW(E$1:E4576)*(E2=E$1:E4576))))))</f>
        <v> </v>
      </c>
      <c r="K4577" s="25" t="str">
        <f>IF(OR(E4577="",E4577="!!!",F4577="NEW"),"",INDEX(J$1:J4576,SUMPRODUCT(MAX(ROW(E$1:E4576)*(E4577=E$1:E4576)))))</f>
        <v> </v>
      </c>
      <c r="L4577" s="26"/>
    </row>
    <row r="4578" spans="1:12">
      <c r="A4578" s="20" t="s">
        <v>1123</v>
      </c>
      <c r="E4578" s="21">
        <f>IF(D4578="?OLD","!!!","")</f>
        <v/>
      </c>
      <c r="F4578" s="22" t="str">
        <f>IF(OR(E4578="",E4578="!!!"),"",IF(NOT(ISNA(VLOOKUP(E4578,E$1:E4577,1,FALSE()))),"OLD",IF(AND(E4578&lt;&gt;"",E4578&lt;&gt;"!!!"),"NEW","")))</f>
        <v> </v>
      </c>
      <c r="G4578" s="23" t="str">
        <f>IF(OR(E4578="",E4578="!!!"),"",IF(OR(J4578=0,AND(J4578=1,K4578=1),AND(J4578=1,I4578="SBJ"),AND(J4578=1,I4578=0)),"?IN_FOCUS",IF(J4578&lt;=2,"?ACTIVATED",IF(J4578&lt;&gt;"","?FAMILIAR",IF(F4578="NEW",IF(ISNA(VLOOKUP(E4578,#REF!,1,FALSE())),"?TYPE_IDENTIFIABLE","?REFERENTIAL"),"_")))))</f>
        <v> </v>
      </c>
      <c r="H4578" s="24" t="str">
        <f>IF(J4578&lt;&gt;1,"",IF(I4578="SBJ","CB","?"))</f>
        <v> </v>
      </c>
      <c r="I4578" s="25" t="str">
        <f>IF(OR(E4578="",E4578="!!!",F4578="NEW"),"",INDEX(B4577:B$2,-1+SUMPRODUCT(MAX(ROW(E4577:E$2)*(E4578=E4577:E$2)))))</f>
        <v> </v>
      </c>
      <c r="J4578" s="25" t="str">
        <f>IF(OR(E4578="",E4578="!!!",F4578="NEW"),"",COUNTBLANK(OFFSET(A$1,,,SUMPRODUCT(MAX(ROW(E$2:E4578)*(E4578=E$2:E4578)))))-COUNTBLANK(OFFSET(A$1,,,SUMPRODUCT(MAX(ROW(E$1:E4577)*(E2=E$1:E4577))))))</f>
        <v> </v>
      </c>
      <c r="K4578" s="25" t="str">
        <f>IF(OR(E4578="",E4578="!!!",F4578="NEW"),"",INDEX(J$1:J4577,SUMPRODUCT(MAX(ROW(E$1:E4577)*(E4578=E$1:E4577)))))</f>
        <v> </v>
      </c>
      <c r="L4578" s="26"/>
    </row>
    <row r="4579" spans="1:12">
      <c r="A4579" s="20" t="s">
        <v>1271</v>
      </c>
      <c r="E4579" s="21">
        <f>IF(D4579="?OLD","!!!","")</f>
        <v/>
      </c>
      <c r="F4579" s="22" t="str">
        <f>IF(OR(E4579="",E4579="!!!"),"",IF(NOT(ISNA(VLOOKUP(E4579,E$1:E4578,1,FALSE()))),"OLD",IF(AND(E4579&lt;&gt;"",E4579&lt;&gt;"!!!"),"NEW","")))</f>
        <v> </v>
      </c>
      <c r="G4579" s="23" t="str">
        <f>IF(OR(E4579="",E4579="!!!"),"",IF(OR(J4579=0,AND(J4579=1,K4579=1),AND(J4579=1,I4579="SBJ"),AND(J4579=1,I4579=0)),"?IN_FOCUS",IF(J4579&lt;=2,"?ACTIVATED",IF(J4579&lt;&gt;"","?FAMILIAR",IF(F4579="NEW",IF(ISNA(VLOOKUP(E4579,#REF!,1,FALSE())),"?TYPE_IDENTIFIABLE","?REFERENTIAL"),"_")))))</f>
        <v> </v>
      </c>
      <c r="H4579" s="24" t="str">
        <f>IF(J4579&lt;&gt;1,"",IF(I4579="SBJ","CB","?"))</f>
        <v> </v>
      </c>
      <c r="I4579" s="25" t="str">
        <f>IF(OR(E4579="",E4579="!!!",F4579="NEW"),"",INDEX(B4578:B$2,-1+SUMPRODUCT(MAX(ROW(E4578:E$2)*(E4579=E4578:E$2)))))</f>
        <v> </v>
      </c>
      <c r="J4579" s="25" t="str">
        <f>IF(OR(E4579="",E4579="!!!",F4579="NEW"),"",COUNTBLANK(OFFSET(A$1,,,SUMPRODUCT(MAX(ROW(E$2:E4579)*(E4579=E$2:E4579)))))-COUNTBLANK(OFFSET(A$1,,,SUMPRODUCT(MAX(ROW(E$1:E4578)*(E2=E$1:E4578))))))</f>
        <v> </v>
      </c>
      <c r="K4579" s="25" t="str">
        <f>IF(OR(E4579="",E4579="!!!",F4579="NEW"),"",INDEX(J$1:J4578,SUMPRODUCT(MAX(ROW(E$1:E4578)*(E4579=E$1:E4578)))))</f>
        <v> </v>
      </c>
      <c r="L4579" s="26"/>
    </row>
    <row r="4580" spans="1:12">
      <c r="A4580" s="20" t="s">
        <v>3105</v>
      </c>
      <c r="E4580" s="21">
        <f>IF(D4580="?OLD","!!!","")</f>
        <v/>
      </c>
      <c r="F4580" s="22" t="str">
        <f>IF(OR(E4580="",E4580="!!!"),"",IF(NOT(ISNA(VLOOKUP(E4580,E$1:E4579,1,FALSE()))),"OLD",IF(AND(E4580&lt;&gt;"",E4580&lt;&gt;"!!!"),"NEW","")))</f>
        <v> </v>
      </c>
      <c r="G4580" s="23" t="str">
        <f>IF(OR(E4580="",E4580="!!!"),"",IF(OR(J4580=0,AND(J4580=1,K4580=1),AND(J4580=1,I4580="SBJ"),AND(J4580=1,I4580=0)),"?IN_FOCUS",IF(J4580&lt;=2,"?ACTIVATED",IF(J4580&lt;&gt;"","?FAMILIAR",IF(F4580="NEW",IF(ISNA(VLOOKUP(E4580,#REF!,1,FALSE())),"?TYPE_IDENTIFIABLE","?REFERENTIAL"),"_")))))</f>
        <v> </v>
      </c>
      <c r="H4580" s="24" t="str">
        <f>IF(J4580&lt;&gt;1,"",IF(I4580="SBJ","CB","?"))</f>
        <v> </v>
      </c>
      <c r="I4580" s="25" t="str">
        <f>IF(OR(E4580="",E4580="!!!",F4580="NEW"),"",INDEX(B4579:B$2,-1+SUMPRODUCT(MAX(ROW(E4579:E$2)*(E4580=E4579:E$2)))))</f>
        <v> </v>
      </c>
      <c r="J4580" s="25" t="str">
        <f>IF(OR(E4580="",E4580="!!!",F4580="NEW"),"",COUNTBLANK(OFFSET(A$1,,,SUMPRODUCT(MAX(ROW(E$2:E4580)*(E4580=E$2:E4580)))))-COUNTBLANK(OFFSET(A$1,,,SUMPRODUCT(MAX(ROW(E$1:E4579)*(E2=E$1:E4579))))))</f>
        <v> </v>
      </c>
      <c r="K4580" s="25" t="str">
        <f>IF(OR(E4580="",E4580="!!!",F4580="NEW"),"",INDEX(J$1:J4579,SUMPRODUCT(MAX(ROW(E$1:E4579)*(E4580=E$1:E4579)))))</f>
        <v> </v>
      </c>
      <c r="L4580" s="26"/>
    </row>
    <row r="4581" spans="1:12">
      <c r="A4581" s="20" t="s">
        <v>3106</v>
      </c>
      <c r="E4581" s="21">
        <f>IF(D4581="?OLD","!!!","")</f>
        <v/>
      </c>
      <c r="F4581" s="22" t="str">
        <f>IF(OR(E4581="",E4581="!!!"),"",IF(NOT(ISNA(VLOOKUP(E4581,E$1:E4580,1,FALSE()))),"OLD",IF(AND(E4581&lt;&gt;"",E4581&lt;&gt;"!!!"),"NEW","")))</f>
        <v> </v>
      </c>
      <c r="G4581" s="23" t="str">
        <f>IF(OR(E4581="",E4581="!!!"),"",IF(OR(J4581=0,AND(J4581=1,K4581=1),AND(J4581=1,I4581="SBJ"),AND(J4581=1,I4581=0)),"?IN_FOCUS",IF(J4581&lt;=2,"?ACTIVATED",IF(J4581&lt;&gt;"","?FAMILIAR",IF(F4581="NEW",IF(ISNA(VLOOKUP(E4581,#REF!,1,FALSE())),"?TYPE_IDENTIFIABLE","?REFERENTIAL"),"_")))))</f>
        <v> </v>
      </c>
      <c r="H4581" s="24" t="str">
        <f>IF(J4581&lt;&gt;1,"",IF(I4581="SBJ","CB","?"))</f>
        <v> </v>
      </c>
      <c r="I4581" s="25" t="str">
        <f>IF(OR(E4581="",E4581="!!!",F4581="NEW"),"",INDEX(B4580:B$2,-1+SUMPRODUCT(MAX(ROW(E4580:E$2)*(E4581=E4580:E$2)))))</f>
        <v> </v>
      </c>
      <c r="J4581" s="25" t="str">
        <f>IF(OR(E4581="",E4581="!!!",F4581="NEW"),"",COUNTBLANK(OFFSET(A$1,,,SUMPRODUCT(MAX(ROW(E$2:E4581)*(E4581=E$2:E4581)))))-COUNTBLANK(OFFSET(A$1,,,SUMPRODUCT(MAX(ROW(E$1:E4580)*(E2=E$1:E4580))))))</f>
        <v> </v>
      </c>
      <c r="K4581" s="25" t="str">
        <f>IF(OR(E4581="",E4581="!!!",F4581="NEW"),"",INDEX(J$1:J4580,SUMPRODUCT(MAX(ROW(E$1:E4580)*(E4581=E$1:E4580)))))</f>
        <v> </v>
      </c>
      <c r="L4581" s="26"/>
    </row>
    <row r="4582" spans="1:12">
      <c r="A4582" s="20" t="s">
        <v>3107</v>
      </c>
      <c r="E4582" s="21">
        <f>IF(D4582="?OLD","!!!","")</f>
        <v/>
      </c>
      <c r="F4582" s="22" t="str">
        <f>IF(OR(E4582="",E4582="!!!"),"",IF(NOT(ISNA(VLOOKUP(E4582,E$1:E4581,1,FALSE()))),"OLD",IF(AND(E4582&lt;&gt;"",E4582&lt;&gt;"!!!"),"NEW","")))</f>
        <v> </v>
      </c>
      <c r="G4582" s="23" t="str">
        <f>IF(OR(E4582="",E4582="!!!"),"",IF(OR(J4582=0,AND(J4582=1,K4582=1),AND(J4582=1,I4582="SBJ"),AND(J4582=1,I4582=0)),"?IN_FOCUS",IF(J4582&lt;=2,"?ACTIVATED",IF(J4582&lt;&gt;"","?FAMILIAR",IF(F4582="NEW",IF(ISNA(VLOOKUP(E4582,#REF!,1,FALSE())),"?TYPE_IDENTIFIABLE","?REFERENTIAL"),"_")))))</f>
        <v> </v>
      </c>
      <c r="H4582" s="24" t="str">
        <f>IF(J4582&lt;&gt;1,"",IF(I4582="SBJ","CB","?"))</f>
        <v> </v>
      </c>
      <c r="I4582" s="25" t="str">
        <f>IF(OR(E4582="",E4582="!!!",F4582="NEW"),"",INDEX(B4581:B$2,-1+SUMPRODUCT(MAX(ROW(E4581:E$2)*(E4582=E4581:E$2)))))</f>
        <v> </v>
      </c>
      <c r="J4582" s="25" t="str">
        <f>IF(OR(E4582="",E4582="!!!",F4582="NEW"),"",COUNTBLANK(OFFSET(A$1,,,SUMPRODUCT(MAX(ROW(E$2:E4582)*(E4582=E$2:E4582)))))-COUNTBLANK(OFFSET(A$1,,,SUMPRODUCT(MAX(ROW(E$1:E4581)*(E2=E$1:E4581))))))</f>
        <v> </v>
      </c>
      <c r="K4582" s="25" t="str">
        <f>IF(OR(E4582="",E4582="!!!",F4582="NEW"),"",INDEX(J$1:J4581,SUMPRODUCT(MAX(ROW(E$1:E4581)*(E4582=E$1:E4581)))))</f>
        <v> </v>
      </c>
      <c r="L4582" s="26"/>
    </row>
    <row r="4583" spans="1:12">
      <c r="A4583" s="20" t="s">
        <v>1891</v>
      </c>
      <c r="E4583" s="21">
        <f>IF(D4583="?OLD","!!!","")</f>
        <v/>
      </c>
      <c r="F4583" s="22" t="str">
        <f>IF(OR(E4583="",E4583="!!!"),"",IF(NOT(ISNA(VLOOKUP(E4583,E$1:E4582,1,FALSE()))),"OLD",IF(AND(E4583&lt;&gt;"",E4583&lt;&gt;"!!!"),"NEW","")))</f>
        <v> </v>
      </c>
      <c r="G4583" s="23" t="str">
        <f>IF(OR(E4583="",E4583="!!!"),"",IF(OR(J4583=0,AND(J4583=1,K4583=1),AND(J4583=1,I4583="SBJ"),AND(J4583=1,I4583=0)),"?IN_FOCUS",IF(J4583&lt;=2,"?ACTIVATED",IF(J4583&lt;&gt;"","?FAMILIAR",IF(F4583="NEW",IF(ISNA(VLOOKUP(E4583,#REF!,1,FALSE())),"?TYPE_IDENTIFIABLE","?REFERENTIAL"),"_")))))</f>
        <v> </v>
      </c>
      <c r="H4583" s="24" t="str">
        <f>IF(J4583&lt;&gt;1,"",IF(I4583="SBJ","CB","?"))</f>
        <v> </v>
      </c>
      <c r="I4583" s="25" t="str">
        <f>IF(OR(E4583="",E4583="!!!",F4583="NEW"),"",INDEX(B4582:B$2,-1+SUMPRODUCT(MAX(ROW(E4582:E$2)*(E4583=E4582:E$2)))))</f>
        <v> </v>
      </c>
      <c r="J4583" s="25" t="str">
        <f>IF(OR(E4583="",E4583="!!!",F4583="NEW"),"",COUNTBLANK(OFFSET(A$1,,,SUMPRODUCT(MAX(ROW(E$2:E4583)*(E4583=E$2:E4583)))))-COUNTBLANK(OFFSET(A$1,,,SUMPRODUCT(MAX(ROW(E$1:E4582)*(E2=E$1:E4582))))))</f>
        <v> </v>
      </c>
      <c r="K4583" s="25" t="str">
        <f>IF(OR(E4583="",E4583="!!!",F4583="NEW"),"",INDEX(J$1:J4582,SUMPRODUCT(MAX(ROW(E$1:E4582)*(E4583=E$1:E4582)))))</f>
        <v> </v>
      </c>
      <c r="L4583" s="26"/>
    </row>
    <row r="4584" spans="1:12">
      <c r="A4584" s="20" t="s">
        <v>1145</v>
      </c>
      <c r="E4584" s="21">
        <f>IF(D4584="?OLD","!!!","")</f>
        <v/>
      </c>
      <c r="F4584" s="22" t="str">
        <f>IF(OR(E4584="",E4584="!!!"),"",IF(NOT(ISNA(VLOOKUP(E4584,E$1:E4583,1,FALSE()))),"OLD",IF(AND(E4584&lt;&gt;"",E4584&lt;&gt;"!!!"),"NEW","")))</f>
        <v> </v>
      </c>
      <c r="G4584" s="23" t="str">
        <f>IF(OR(E4584="",E4584="!!!"),"",IF(OR(J4584=0,AND(J4584=1,K4584=1),AND(J4584=1,I4584="SBJ"),AND(J4584=1,I4584=0)),"?IN_FOCUS",IF(J4584&lt;=2,"?ACTIVATED",IF(J4584&lt;&gt;"","?FAMILIAR",IF(F4584="NEW",IF(ISNA(VLOOKUP(E4584,#REF!,1,FALSE())),"?TYPE_IDENTIFIABLE","?REFERENTIAL"),"_")))))</f>
        <v> </v>
      </c>
      <c r="H4584" s="24" t="str">
        <f>IF(J4584&lt;&gt;1,"",IF(I4584="SBJ","CB","?"))</f>
        <v> </v>
      </c>
      <c r="I4584" s="25" t="str">
        <f>IF(OR(E4584="",E4584="!!!",F4584="NEW"),"",INDEX(B4583:B$2,-1+SUMPRODUCT(MAX(ROW(E4583:E$2)*(E4584=E4583:E$2)))))</f>
        <v> </v>
      </c>
      <c r="J4584" s="25" t="str">
        <f>IF(OR(E4584="",E4584="!!!",F4584="NEW"),"",COUNTBLANK(OFFSET(A$1,,,SUMPRODUCT(MAX(ROW(E$2:E4584)*(E4584=E$2:E4584)))))-COUNTBLANK(OFFSET(A$1,,,SUMPRODUCT(MAX(ROW(E$1:E4583)*(E2=E$1:E4583))))))</f>
        <v> </v>
      </c>
      <c r="K4584" s="25" t="str">
        <f>IF(OR(E4584="",E4584="!!!",F4584="NEW"),"",INDEX(J$1:J4583,SUMPRODUCT(MAX(ROW(E$1:E4583)*(E4584=E$1:E4583)))))</f>
        <v> </v>
      </c>
      <c r="L4584" s="26"/>
    </row>
    <row r="4585" spans="1:12">
      <c r="A458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2025-07-10T18:09:11Z</dcterms:created>
  <dcterms:modified xsi:type="dcterms:W3CDTF">2025-07-10T18:09:11Z</dcterms:modified>
</cp:coreProperties>
</file>