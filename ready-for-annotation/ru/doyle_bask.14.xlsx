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<sst xmlns="http://schemas.openxmlformats.org/spreadsheetml/2006/main" count="8480" uniqueCount="3108">
  <si>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</si>
  <si>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</si>
  <si>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</si>
  <si>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</si>
  <si>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</si>
  <si>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</si>
  <si>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</si>
  <si>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</si>
  <si>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</si>
  <si>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</si>
  <si>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</si>
  <si>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</si>
  <si>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один</t>
  </si>
  <si>
    <t>Одним из недостатков Шерлока Холмса — если только это можно назвать недостатком — было то , что он никогда и ни с кем не делился своими планами вплоть до их свершения .</t>
  </si>
  <si>
    <t>file://conllu/ru/doyle_bask.14.conllu#s1_0</t>
  </si>
  <si>
    <t>2</t>
  </si>
  <si>
    <t>3</t>
  </si>
  <si>
    <t>объяснять</t>
  </si>
  <si>
    <t>Такая скрытность объяснялась отчасти властной натурой этого человека , любившего повелевать окружающими и поражать их воображение , отчасти профессиональной осторожностью , не позволявшей ему рисковать без нужды .</t>
  </si>
  <si>
    <t>file://conllu/ru/doyle_bask.14.conllu#s2_0</t>
  </si>
  <si>
    <t>12</t>
  </si>
  <si>
    <t>доставлять</t>
  </si>
  <si>
    <t>Как бы то ни было , эта черта характера Шерлока Холмса доставляла много неприятностей тем , кто работал с ним в качестве его агентов или помощников .</t>
  </si>
  <si>
    <t>file://conllu/ru/doyle_bask.14.conllu#s3_0</t>
  </si>
  <si>
    <t>4</t>
  </si>
  <si>
    <t>страдать</t>
  </si>
  <si>
    <t>Я сам часто страдал от нее , но то , что мне пришлось вытерпеть за это долгое путешествие в темноте , превзошло все мои прошлые муки .</t>
  </si>
  <si>
    <t>file://conllu/ru/doyle_bask.14.conllu#s4_0</t>
  </si>
  <si>
    <t>5</t>
  </si>
  <si>
    <t>предстоять</t>
  </si>
  <si>
    <t>Нам предстояло нелегкое испытание , мы были готовы нанести последний , решающий удар , а Холмс упорно молчал , и я мог только догадываться о его планах .</t>
  </si>
  <si>
    <t>file://conllu/ru/doyle_bask.14.conllu#s5_0</t>
  </si>
  <si>
    <t>6</t>
  </si>
  <si>
    <t>дойти</t>
  </si>
  <si>
    <t>Мое нервное напряжение дошло до предела , как вдруг в лицо нам пахнуло холодным ветром , и , глянув в темноту , на пустынные просторы , тянувшиеся по обеим сторонам узкой дороги , я понял , что мы снова очутились на болотах .</t>
  </si>
  <si>
    <t>file://conllu/ru/doyle_bask.14.conllu#s6_0</t>
  </si>
  <si>
    <t>7</t>
  </si>
  <si>
    <t>шаг</t>
  </si>
  <si>
    <t>Каждый шаг лошадей , каждый поворот колес приближал нас к развязке всех этих событий .</t>
  </si>
  <si>
    <t>file://conllu/ru/doyle_bask.14.conllu#s7_0</t>
  </si>
  <si>
    <t>8</t>
  </si>
  <si>
    <t>10</t>
  </si>
  <si>
    <t>быть (быть нельзя)</t>
  </si>
  <si>
    <t>В присутствии возницы , нанятого в Кумби-Треси , нельзя было говорить о деле , и мы , несмотря на все свое волнение , беседовали о каких-то пустяках .</t>
  </si>
  <si>
    <t>file://conllu/ru/doyle_bask.14.conllu#s8_0</t>
  </si>
  <si>
    <t>9</t>
  </si>
  <si>
    <t>вздохнуть</t>
  </si>
  <si>
    <t>Я облегченно вздохнул , когда в стороне от дороги показался коттедж Френкленда , от которого оставалось две три мили до Баскервиль холла и до того места , где должна была разыграться заключительная сцена трагедии .</t>
  </si>
  <si>
    <t>file://conllu/ru/doyle_bask.14.conllu#s9_0</t>
  </si>
  <si>
    <t>проездить</t>
  </si>
  <si>
    <t>Не останавливаясь у подъезда , мы проехали к калитке в тисовой аллее , расплатились с возницей , отправили его обратно в Кумби-Треси , а сами пошли по направлению к Меррипит-хаус .</t>
  </si>
  <si>
    <t>file://conllu/ru/doyle_bask.14.conllu#s10_0</t>
  </si>
  <si>
    <t>11</t>
  </si>
  <si>
    <t>оружие</t>
  </si>
  <si>
    <t>— Вы с оружием , Лестрейд ?</t>
  </si>
  <si>
    <t>file://conllu/ru/doyle_bask.14.conllu#s11_0</t>
  </si>
  <si>
    <t>улыбнуться</t>
  </si>
  <si>
    <t>Маленький сыщик улыбнулся : — Раз на мне брюки , значит , и задний карман у них есть , а раз есть задний карман , значит , он не пустует .</t>
  </si>
  <si>
    <t>file://conllu/ru/doyle_bask.14.conllu#s12_0</t>
  </si>
  <si>
    <t>13</t>
  </si>
  <si>
    <t>прекрасно</t>
  </si>
  <si>
    <t>— Вот и прекрасно !</t>
  </si>
  <si>
    <t>file://conllu/ru/doyle_bask.14.conllu#s13_0</t>
  </si>
  <si>
    <t>14</t>
  </si>
  <si>
    <t>приготовиться</t>
  </si>
  <si>
    <t>Мы с Уотсоном тоже приготовились ко всяким неожиданностям .</t>
  </si>
  <si>
    <t>file://conllu/ru/doyle_bask.14.conllu#s14_0</t>
  </si>
  <si>
    <t>15</t>
  </si>
  <si>
    <t>видеть</t>
  </si>
  <si>
    <t>— Я вижу , вы настроены очень серьезно , мистер Холмс .</t>
  </si>
  <si>
    <t>file://conllu/ru/doyle_bask.14.conllu#s15_0</t>
  </si>
  <si>
    <t>16</t>
  </si>
  <si>
    <t>требоваться</t>
  </si>
  <si>
    <t>А что от нас теперь требуется в этой игре ?</t>
  </si>
  <si>
    <t>file://conllu/ru/doyle_bask.14.conllu#s16_0</t>
  </si>
  <si>
    <t>17</t>
  </si>
  <si>
    <t>— Требуется терпение .</t>
  </si>
  <si>
    <t>file://conllu/ru/doyle_bask.14.conllu#s17_0</t>
  </si>
  <si>
    <t>18</t>
  </si>
  <si>
    <t>ждать</t>
  </si>
  <si>
    <t>Будем ждать .</t>
  </si>
  <si>
    <t>file://conllu/ru/doyle_bask.14.conllu#s18_0</t>
  </si>
  <si>
    <t>19</t>
  </si>
  <si>
    <t>веселый</t>
  </si>
  <si>
    <t>— Действительно , места здесь не очень веселые !</t>
  </si>
  <si>
    <t>file://conllu/ru/doyle_bask.14.conllu#s19_0</t>
  </si>
  <si>
    <t>20</t>
  </si>
  <si>
    <t>повести</t>
  </si>
  <si>
    <t>— Сыщик повел плечами , глядя на мрачные склоны холмов и туман , озером разлившийся над Гримпенской трясиной .</t>
  </si>
  <si>
    <t>file://conllu/ru/doyle_bask.14.conllu#s20_0</t>
  </si>
  <si>
    <t>21</t>
  </si>
  <si>
    <t>гореть</t>
  </si>
  <si>
    <t>— А вон где-то горит огонек .</t>
  </si>
  <si>
    <t>file://conllu/ru/doyle_bask.14.conllu#s21_0</t>
  </si>
  <si>
    <t>22</t>
  </si>
  <si>
    <t>Меррипит-хаус</t>
  </si>
  <si>
    <t>— Это Меррипит-хаус — конечная цель нашего путешествия .</t>
  </si>
  <si>
    <t>file://conllu/ru/doyle_bask.14.conllu#s22_0</t>
  </si>
  <si>
    <t>23</t>
  </si>
  <si>
    <t>попросать</t>
  </si>
  <si>
    <t>Теперь попрошу вас ступать как можно тише и говорить шепотом .</t>
  </si>
  <si>
    <t>file://conllu/ru/doyle_bask.14.conllu#s23_0</t>
  </si>
  <si>
    <t>24</t>
  </si>
  <si>
    <t>шагать</t>
  </si>
  <si>
    <t>Мы осторожно шагали по тропинке , которая вела к дому , но ярдов за двести от него Холмс остановился .</t>
  </si>
  <si>
    <t>file://conllu/ru/doyle_bask.14.conllu#s24_0</t>
  </si>
  <si>
    <t>25</t>
  </si>
  <si>
    <t>надо</t>
  </si>
  <si>
    <t>— Дальше не надо , — сказал он .</t>
  </si>
  <si>
    <t>file://conllu/ru/doyle_bask.14.conllu#s25_0</t>
  </si>
  <si>
    <t>26</t>
  </si>
  <si>
    <t>послужать</t>
  </si>
  <si>
    <t>— Вот эти валуны послужат нам прекрасной ширмой .</t>
  </si>
  <si>
    <t>file://conllu/ru/doyle_bask.14.conllu#s26_0</t>
  </si>
  <si>
    <t>27</t>
  </si>
  <si>
    <t>здесь</t>
  </si>
  <si>
    <t>— Здесь и будем ждать ?</t>
  </si>
  <si>
    <t>file://conllu/ru/doyle_bask.14.conllu#s27_0</t>
  </si>
  <si>
    <t>28</t>
  </si>
  <si>
    <t>устроить</t>
  </si>
  <si>
    <t>— Да , устроим засаду .</t>
  </si>
  <si>
    <t>file://conllu/ru/doyle_bask.14.conllu#s28_0</t>
  </si>
  <si>
    <t>29</t>
  </si>
  <si>
    <t>Стануть</t>
  </si>
  <si>
    <t>Станьте вот сюда , Лестрейд .</t>
  </si>
  <si>
    <t>file://conllu/ru/doyle_bask.14.conllu#s29_0</t>
  </si>
  <si>
    <t>30</t>
  </si>
  <si>
    <t>Уотсно</t>
  </si>
  <si>
    <t>Уотсон , ведь вы бывали в доме ?</t>
  </si>
  <si>
    <t>file://conllu/ru/doyle_bask.14.conllu#s30_0</t>
  </si>
  <si>
    <t>31</t>
  </si>
  <si>
    <t>знать</t>
  </si>
  <si>
    <t>Расположение комнат знаете ?</t>
  </si>
  <si>
    <t>file://conllu/ru/doyle_bask.14.conllu#s31_0</t>
  </si>
  <si>
    <t>32</t>
  </si>
  <si>
    <t>что</t>
  </si>
  <si>
    <t>Вон те окна с переплетом — что это ?</t>
  </si>
  <si>
    <t>file://conllu/ru/doyle_bask.14.conllu#s32_0</t>
  </si>
  <si>
    <t>33</t>
  </si>
  <si>
    <t>кухня</t>
  </si>
  <si>
    <t>— По-моему , кухня .</t>
  </si>
  <si>
    <t>file://conllu/ru/doyle_bask.14.conllu#s33_0</t>
  </si>
  <si>
    <t>34</t>
  </si>
  <si>
    <t>следующий</t>
  </si>
  <si>
    <t>— А следующее , ярко освещенное ?</t>
  </si>
  <si>
    <t>file://conllu/ru/doyle_bask.14.conllu#s34_0</t>
  </si>
  <si>
    <t>35</t>
  </si>
  <si>
    <t>столовий</t>
  </si>
  <si>
    <t>— Это столовая .</t>
  </si>
  <si>
    <t>file://conllu/ru/doyle_bask.14.conllu#s35_0</t>
  </si>
  <si>
    <t>36</t>
  </si>
  <si>
    <t>поднять</t>
  </si>
  <si>
    <t>— Шторы подняты .</t>
  </si>
  <si>
    <t>file://conllu/ru/doyle_bask.14.conllu#s36_0</t>
  </si>
  <si>
    <t>37</t>
  </si>
  <si>
    <t>хороший</t>
  </si>
  <si>
    <t>Вы лучше меня знаете , как туда пройти .</t>
  </si>
  <si>
    <t>file://conllu/ru/doyle_bask.14.conllu#s37_0</t>
  </si>
  <si>
    <t>38</t>
  </si>
  <si>
    <t>Заглянить</t>
  </si>
  <si>
    <t>Загляните в окно — что они там делают ?</t>
  </si>
  <si>
    <t>file://conllu/ru/doyle_bask.14.conllu#s38_0</t>
  </si>
  <si>
    <t>39</t>
  </si>
  <si>
    <t>бог</t>
  </si>
  <si>
    <t>Только , ради бога , тише .</t>
  </si>
  <si>
    <t>file://conllu/ru/doyle_bask.14.conllu#s39_0</t>
  </si>
  <si>
    <t>40</t>
  </si>
  <si>
    <t>слышать</t>
  </si>
  <si>
    <t>Как бы вас не услышали .</t>
  </si>
  <si>
    <t>file://conllu/ru/doyle_bask.14.conllu#s40_0</t>
  </si>
  <si>
    <t>41</t>
  </si>
  <si>
    <t>подкрасться</t>
  </si>
  <si>
    <t>Я подкрался на цыпочках к низкой каменной ограде , окружающей чахлый садик Стэплтонов , и , пробираясь в ее тени , дошел до того места , откуда можно было заглянуть в незанавешенное окно .</t>
  </si>
  <si>
    <t>file://conllu/ru/doyle_bask.14.conllu#s41_0</t>
  </si>
  <si>
    <t>42</t>
  </si>
  <si>
    <t>быть (быть комната)</t>
  </si>
  <si>
    <t>В комнате были двое мужчин — сэр Генри и Стэплтон .</t>
  </si>
  <si>
    <t>file://conllu/ru/doyle_bask.14.conllu#s42_0</t>
  </si>
  <si>
    <t>43</t>
  </si>
  <si>
    <t>сидеть</t>
  </si>
  <si>
    <t>Они сидели друг против друга за круглым столом , ко мне в профиль , и курили сигары .</t>
  </si>
  <si>
    <t>file://conllu/ru/doyle_bask.14.conllu#s43_0</t>
  </si>
  <si>
    <t>44</t>
  </si>
  <si>
    <t>стоять</t>
  </si>
  <si>
    <t>Перед ними стояли чашки с кофе и вино .</t>
  </si>
  <si>
    <t>file://conllu/ru/doyle_bask.14.conllu#s44_0</t>
  </si>
  <si>
    <t>45</t>
  </si>
  <si>
    <t>слушать (слушать говорить)</t>
  </si>
  <si>
    <t>Стэплтон оживленно говорил о чем-то , но баронет сидел бледный и слушал его невнимательно .</t>
  </si>
  <si>
    <t>file://conllu/ru/doyle_bask.14.conllu#s45_0</t>
  </si>
  <si>
    <t>46</t>
  </si>
  <si>
    <t>давать</t>
  </si>
  <si>
    <t>Ему , вероятно , не давала покоя мысль о скором возвращении домой по зловещим болотам .</t>
  </si>
  <si>
    <t>file://conllu/ru/doyle_bask.14.conllu#s46_0</t>
  </si>
  <si>
    <t>47</t>
  </si>
  <si>
    <t>встасть</t>
  </si>
  <si>
    <t>Но вот Стэплтон встал и вышел из комнаты , а сэр Генри подлил себе вина в стакан и откинулся на спинку стула , попыхивая сигарой .</t>
  </si>
  <si>
    <t>file://conllu/ru/doyle_bask.14.conllu#s47_0</t>
  </si>
  <si>
    <t>48</t>
  </si>
  <si>
    <t>Я услышал скрип двери , потом похрустывание гравия на тропинке .</t>
  </si>
  <si>
    <t>file://conllu/ru/doyle_bask.14.conllu#s48_0</t>
  </si>
  <si>
    <t>49</t>
  </si>
  <si>
    <t>приближаться</t>
  </si>
  <si>
    <t>Шаги приближались ко мне .</t>
  </si>
  <si>
    <t>file://conllu/ru/doyle_bask.14.conllu#s49_0</t>
  </si>
  <si>
    <t>50</t>
  </si>
  <si>
    <t>Выглянув из-за стены , я увидел , что натуралист остановился у небольшого сарая в углу сада .</t>
  </si>
  <si>
    <t>file://conllu/ru/doyle_bask.14.conllu#s50_0</t>
  </si>
  <si>
    <t>51</t>
  </si>
  <si>
    <t>Звякнуть</t>
  </si>
  <si>
    <t>Звякнул ключ в замке , и в сарае послышалась какая-то возня .</t>
  </si>
  <si>
    <t>file://conllu/ru/doyle_bask.14.conllu#s51_0</t>
  </si>
  <si>
    <t>52</t>
  </si>
  <si>
    <t>пробыть</t>
  </si>
  <si>
    <t>Стэплтон пробыл там не больше двух минут , снова звякнул ключом , прошел мимо меня и исчез в доме .</t>
  </si>
  <si>
    <t>file://conllu/ru/doyle_bask.14.conllu#s52_0</t>
  </si>
  <si>
    <t>53</t>
  </si>
  <si>
    <t>Я увидел , что он вернулся к своему гостю ; осторожно пробравшись к товарищам , я рассказал им все это .</t>
  </si>
  <si>
    <t>file://conllu/ru/doyle_bask.14.conllu#s53_0</t>
  </si>
  <si>
    <t>54</t>
  </si>
  <si>
    <t>спросить</t>
  </si>
  <si>
    <t>— Значит , женщина не с ними ? — спросил Холмс , когда я кончил .</t>
  </si>
  <si>
    <t>file://conllu/ru/doyle_bask.14.conllu#s54_0</t>
  </si>
  <si>
    <t>55</t>
  </si>
  <si>
    <t>нет</t>
  </si>
  <si>
    <t>— Нет .</t>
  </si>
  <si>
    <t>file://conllu/ru/doyle_bask.14.conllu#s55_0</t>
  </si>
  <si>
    <t>56</t>
  </si>
  <si>
    <t>где</t>
  </si>
  <si>
    <t>— Тогда где же она ?</t>
  </si>
  <si>
    <t>file://conllu/ru/doyle_bask.14.conllu#s56_0</t>
  </si>
  <si>
    <t>57</t>
  </si>
  <si>
    <t>темный</t>
  </si>
  <si>
    <t>Ведь , кроме кухни и столовой , все окна темные .</t>
  </si>
  <si>
    <t>file://conllu/ru/doyle_bask.14.conllu#s57_0</t>
  </si>
  <si>
    <t>58</t>
  </si>
  <si>
    <t>— Право , не знаю .</t>
  </si>
  <si>
    <t>file://conllu/ru/doyle_bask.14.conllu#s58_0</t>
  </si>
  <si>
    <t>59</t>
  </si>
  <si>
    <t>говорить</t>
  </si>
  <si>
    <t>Я уже говорил , что над Гримпенской трясиной стлался густой белый туман .</t>
  </si>
  <si>
    <t>file://conllu/ru/doyle_bask.14.conllu#s59_0</t>
  </si>
  <si>
    <t>60</t>
  </si>
  <si>
    <t>ползти</t>
  </si>
  <si>
    <t>Он медленно полз в нашу сторону , окружая нас и справа и слева низким , но плотным валом .</t>
  </si>
  <si>
    <t>file://conllu/ru/doyle_bask.14.conllu#s60_0</t>
  </si>
  <si>
    <t>61</t>
  </si>
  <si>
    <t>превращать</t>
  </si>
  <si>
    <t>Лившийся сверху лунный свет превращал его в мерцающее ледяное поле , над которым , словно черные пики , вздымались верхушки отдаленных гранитных столбов .</t>
  </si>
  <si>
    <t>file://conllu/ru/doyle_bask.14.conllu#s61_0</t>
  </si>
  <si>
    <t>62</t>
  </si>
  <si>
    <t>повернуться</t>
  </si>
  <si>
    <t>Холмс повернулся в ту сторону и , глядя на эту медленно подползающую белую стену , нетерпеливо пробормотал : — Смотрите , Уотсон , туман движется прямо на нас .</t>
  </si>
  <si>
    <t>file://conllu/ru/doyle_bask.14.conllu#s62_0</t>
  </si>
  <si>
    <t>63</t>
  </si>
  <si>
    <t>нехороший</t>
  </si>
  <si>
    <t>— А это нехорошо ?</t>
  </si>
  <si>
    <t>file://conllu/ru/doyle_bask.14.conllu#s63_0</t>
  </si>
  <si>
    <t>64</t>
  </si>
  <si>
    <t>некуда</t>
  </si>
  <si>
    <t>— Хуже некуда !</t>
  </si>
  <si>
    <t>file://conllu/ru/doyle_bask.14.conllu#s64_0</t>
  </si>
  <si>
    <t>65</t>
  </si>
  <si>
    <t>туман</t>
  </si>
  <si>
    <t>Туман — единственное , что может нарушить мои планы .</t>
  </si>
  <si>
    <t>file://conllu/ru/doyle_bask.14.conllu#s65_0</t>
  </si>
  <si>
    <t>66</t>
  </si>
  <si>
    <t>задержиться</t>
  </si>
  <si>
    <t>Но сэр Генри там не задержится .</t>
  </si>
  <si>
    <t>file://conllu/ru/doyle_bask.14.conllu#s66_0</t>
  </si>
  <si>
    <t>67</t>
  </si>
  <si>
    <t>час</t>
  </si>
  <si>
    <t>Уже десять часов .</t>
  </si>
  <si>
    <t>file://conllu/ru/doyle_bask.14.conllu#s67_0</t>
  </si>
  <si>
    <t>68</t>
  </si>
  <si>
    <t>зависеть</t>
  </si>
  <si>
    <t>Теперь все — и наш успех и даже его жизнь — зависит от того , выйдет ли он прежде , чем туман доползет до тропинки , или нет .</t>
  </si>
  <si>
    <t>file://conllu/ru/doyle_bask.14.conllu#s68_0</t>
  </si>
  <si>
    <t>69</t>
  </si>
  <si>
    <t>быть (быть чистый)</t>
  </si>
  <si>
    <t>Ночное небо было чистое , без единого облачка .</t>
  </si>
  <si>
    <t>file://conllu/ru/doyle_bask.14.conllu#s69_0</t>
  </si>
  <si>
    <t>70</t>
  </si>
  <si>
    <t>поблескивать</t>
  </si>
  <si>
    <t>Звезды холодно поблескивали в вышине , луна заливала болота мягким неверным светом .</t>
  </si>
  <si>
    <t>file://conllu/ru/doyle_bask.14.conllu#s70_0</t>
  </si>
  <si>
    <t>71</t>
  </si>
  <si>
    <t>чернеть</t>
  </si>
  <si>
    <t>Прямо перед нами смутно чернели очертания дома с остроконечной крышей , словно ощетинившейся трубами , которые четко выступали на звездном небе .</t>
  </si>
  <si>
    <t>file://conllu/ru/doyle_bask.14.conllu#s71_0</t>
  </si>
  <si>
    <t>72</t>
  </si>
  <si>
    <t>падать</t>
  </si>
  <si>
    <t>Широкие золотые полосы падали из окон нижнего этажа в сад и дальше , на болота .</t>
  </si>
  <si>
    <t>file://conllu/ru/doyle_bask.14.conllu#s72_0</t>
  </si>
  <si>
    <t>73</t>
  </si>
  <si>
    <t>погаснуть</t>
  </si>
  <si>
    <t>Одна из них вдруг погасла .</t>
  </si>
  <si>
    <t>file://conllu/ru/doyle_bask.14.conllu#s73_0</t>
  </si>
  <si>
    <t>74</t>
  </si>
  <si>
    <t>выйти</t>
  </si>
  <si>
    <t>Слуги вышли из кухни .</t>
  </si>
  <si>
    <t>file://conllu/ru/doyle_bask.14.conllu#s74_0</t>
  </si>
  <si>
    <t>75</t>
  </si>
  <si>
    <t>Теперь лампа горела только в столовой , где те двое — убийца хозяин и ничего не подозревающий гость — покуривали сигары и продолжали свой разговор .</t>
  </si>
  <si>
    <t>file://conllu/ru/doyle_bask.14.conllu#s75_0</t>
  </si>
  <si>
    <t>76</t>
  </si>
  <si>
    <t>пелен</t>
  </si>
  <si>
    <t>Белая волокнистая пелена , затянувшая почти все болото , с каждой минутой приближалась к дому .</t>
  </si>
  <si>
    <t>file://conllu/ru/doyle_bask.14.conllu#s76_0</t>
  </si>
  <si>
    <t>77</t>
  </si>
  <si>
    <t>завиваться</t>
  </si>
  <si>
    <t>Первые прозрачные клочья уже завивались у золотистого квадрата освещенного окна .</t>
  </si>
  <si>
    <t>file://conllu/ru/doyle_bask.14.conllu#s77_0</t>
  </si>
  <si>
    <t>78</t>
  </si>
  <si>
    <t>исчезнуть</t>
  </si>
  <si>
    <t>Дальняя стена сада совсем исчезла в этой клубящейся мгле , над которой виднелись только верхушки деревьев .</t>
  </si>
  <si>
    <t>file://conllu/ru/doyle_bask.14.conllu#s78_0</t>
  </si>
  <si>
    <t>79</t>
  </si>
  <si>
    <t>казаться</t>
  </si>
  <si>
    <t>Вот белесые кольца показались с обеих сторон дома и медленно слились в плотный вал , и верхний этаж с крышей всплыл над ним , точно волшебный корабль на волнах призрачного моря .</t>
  </si>
  <si>
    <t>file://conllu/ru/doyle_bask.14.conllu#s79_0</t>
  </si>
  <si>
    <t>80</t>
  </si>
  <si>
    <t>ударить</t>
  </si>
  <si>
    <t>Холмс яростно ударил кулаком о камень , за которым мы стояли , и вне себя от нетерпения топнул ногой .</t>
  </si>
  <si>
    <t>file://conllu/ru/doyle_bask.14.conllu#s80_0</t>
  </si>
  <si>
    <t>81</t>
  </si>
  <si>
    <t>затянуть</t>
  </si>
  <si>
    <t>— Если он не появится через четверть часа , тропинку затянет туманом , а через пол часа мы уже не сможем разглядеть собственную руку в этой тьме .</t>
  </si>
  <si>
    <t>file://conllu/ru/doyle_bask.14.conllu#s81_0</t>
  </si>
  <si>
    <t>82</t>
  </si>
  <si>
    <t>Отойти</t>
  </si>
  <si>
    <t>— Отойдем немного назад , там выше .</t>
  </si>
  <si>
    <t>file://conllu/ru/doyle_bask.14.conllu#s82_0</t>
  </si>
  <si>
    <t>83</t>
  </si>
  <si>
    <t>делать</t>
  </si>
  <si>
    <t>— Да , пожалуй , так и сделаем .</t>
  </si>
  <si>
    <t>file://conllu/ru/doyle_bask.14.conllu#s83_0</t>
  </si>
  <si>
    <t>84</t>
  </si>
  <si>
    <t>отступать</t>
  </si>
  <si>
    <t>По мере того как туман надвигался на нас , мы отступали все дальше и дальше , пока не очутились в полумиле от дома .</t>
  </si>
  <si>
    <t>file://conllu/ru/doyle_bask.14.conllu#s84_0</t>
  </si>
  <si>
    <t>85</t>
  </si>
  <si>
    <t>подбирать</t>
  </si>
  <si>
    <t>Но сплошное белесое море , посеребренное сверху луной , подбиралось и туда , продолжая свое медленное , неуклонное наступление .</t>
  </si>
  <si>
    <t>file://conllu/ru/doyle_bask.14.conllu#s85_0</t>
  </si>
  <si>
    <t>86</t>
  </si>
  <si>
    <t>зайти</t>
  </si>
  <si>
    <t>— Мы слишком далеко зашли , — сказал Холмс .</t>
  </si>
  <si>
    <t>file://conllu/ru/doyle_bask.14.conllu#s86_0</t>
  </si>
  <si>
    <t>87</t>
  </si>
  <si>
    <t>рискованный</t>
  </si>
  <si>
    <t>— Это уже рискованно : его могут настигнуть прежде , чем он дойдет до нас .</t>
  </si>
  <si>
    <t>file://conllu/ru/doyle_bask.14.conllu#s87_0</t>
  </si>
  <si>
    <t>88</t>
  </si>
  <si>
    <t>остаться</t>
  </si>
  <si>
    <t>Ну , будь что будет , останемся здесь .</t>
  </si>
  <si>
    <t>file://conllu/ru/doyle_bask.14.conllu#s88_0</t>
  </si>
  <si>
    <t>89</t>
  </si>
  <si>
    <t>опуститься</t>
  </si>
  <si>
    <t>Он опустился на колени и приложил ухо к земле .</t>
  </si>
  <si>
    <t>file://conllu/ru/doyle_bask.14.conllu#s89_0</t>
  </si>
  <si>
    <t>90</t>
  </si>
  <si>
    <t>слава</t>
  </si>
  <si>
    <t>— Слава богу !</t>
  </si>
  <si>
    <t>file://conllu/ru/doyle_bask.14.conllu#s90_0</t>
  </si>
  <si>
    <t>91</t>
  </si>
  <si>
    <t>идти</t>
  </si>
  <si>
    <t>Кажется , идет !</t>
  </si>
  <si>
    <t>file://conllu/ru/doyle_bask.14.conllu#s91_0</t>
  </si>
  <si>
    <t>92</t>
  </si>
  <si>
    <t>слышаться</t>
  </si>
  <si>
    <t>В тишине болот послышались быстрые шаги .</t>
  </si>
  <si>
    <t>file://conllu/ru/doyle_bask.14.conllu#s92_0</t>
  </si>
  <si>
    <t>93</t>
  </si>
  <si>
    <t>всматриваться</t>
  </si>
  <si>
    <t>Пригнувшись за валунами , мы напряженно всматривались в подступавшую к нам мутно -серебристую стену .</t>
  </si>
  <si>
    <t>file://conllu/ru/doyle_bask.14.conllu#s93_0</t>
  </si>
  <si>
    <t>94</t>
  </si>
  <si>
    <t>Шаги все приближались , и вот из тумана , словно распахнув перед собой занавес , выступил тот , кого мы поджидали .</t>
  </si>
  <si>
    <t>file://conllu/ru/doyle_bask.14.conllu#s94_0</t>
  </si>
  <si>
    <t>95</t>
  </si>
  <si>
    <t>осмотреться</t>
  </si>
  <si>
    <t>Увидя над собой чистое звездное небо , он с удивлением осмотрелся по сторонам .</t>
  </si>
  <si>
    <t>file://conllu/ru/doyle_bask.14.conllu#s95_0</t>
  </si>
  <si>
    <t>96</t>
  </si>
  <si>
    <t>Потом быстро зашагал по тропинке , прошел мимо нас и стал подниматься вверх по отлогому склону , начинавшемуся сразу за валунами .</t>
  </si>
  <si>
    <t>file://conllu/ru/doyle_bask.14.conllu#s96_0</t>
  </si>
  <si>
    <t>97</t>
  </si>
  <si>
    <t>оглядываться</t>
  </si>
  <si>
    <t>На ходу он то и дело оглядывался через плечо , видимо остерегаясь чего-то .</t>
  </si>
  <si>
    <t>file://conllu/ru/doyle_bask.14.conllu#s97_0</t>
  </si>
  <si>
    <t>98</t>
  </si>
  <si>
    <t>Тсс</t>
  </si>
  <si>
    <t>— Тсс ! — шепнул Холмс и щелкнул курком , — Смотрите !</t>
  </si>
  <si>
    <t>file://conllu/ru/doyle_bask.14.conllu#s98_0</t>
  </si>
  <si>
    <t>99</t>
  </si>
  <si>
    <t>вот</t>
  </si>
  <si>
    <t>Вот она !</t>
  </si>
  <si>
    <t>file://conllu/ru/doyle_bask.14.conllu#s99_0</t>
  </si>
  <si>
    <t>100</t>
  </si>
  <si>
    <t>В самой гуще подползающего к нам тумана послышался мерный , дробный топот .</t>
  </si>
  <si>
    <t>file://conllu/ru/doyle_bask.14.conllu#s100_0</t>
  </si>
  <si>
    <t>101</t>
  </si>
  <si>
    <t>быть (быть ярд)</t>
  </si>
  <si>
    <t>Белая стена была от нас уже ярдах в пятидесяти , и мы трое вперили в нее взгляд , не зная , какое чудовище появится оттуда .</t>
  </si>
  <si>
    <t>file://conllu/ru/doyle_bask.14.conllu#s101_0</t>
  </si>
  <si>
    <t>102</t>
  </si>
  <si>
    <t>взглянуть</t>
  </si>
  <si>
    <t>Стоя рядом с Холмсом , я мельком взглянул ему в лицо — бледное , взволнованное , с горящими при лунном свете глазами .</t>
  </si>
  <si>
    <t>file://conllu/ru/doyle_bask.14.conllu#s102_0</t>
  </si>
  <si>
    <t>103</t>
  </si>
  <si>
    <t>преобразить</t>
  </si>
  <si>
    <t>И вдруг оно преобразилось : взгляд стал сосредоточен и суров , рот приоткрылся от изумления .</t>
  </si>
  <si>
    <t>file://conllu/ru/doyle_bask.14.conllu#s103_0</t>
  </si>
  <si>
    <t>104</t>
  </si>
  <si>
    <t>вскрикнуть</t>
  </si>
  <si>
    <t>В ту же секунду Лестрейд вскрикнул от ужаса и упал ничком на землю .</t>
  </si>
  <si>
    <t>file://conllu/ru/doyle_bask.14.conllu#s104_0</t>
  </si>
  <si>
    <t>105</t>
  </si>
  <si>
    <t>выпрямиться</t>
  </si>
  <si>
    <t>Я выпрямился и , почти парализованный тем зрелищем , которое явилось моим глазам , потянулся ослабевшей рукой к револьверу .</t>
  </si>
  <si>
    <t>file://conllu/ru/doyle_bask.14.conllu#s105_0</t>
  </si>
  <si>
    <t>106</t>
  </si>
  <si>
    <t>да</t>
  </si>
  <si>
    <t>Да !</t>
  </si>
  <si>
    <t>file://conllu/ru/doyle_bask.14.conllu#s106_0</t>
  </si>
  <si>
    <t>107</t>
  </si>
  <si>
    <t>быть (быть собака)</t>
  </si>
  <si>
    <t>Это была собака , огромная , черная как смоль .</t>
  </si>
  <si>
    <t>file://conllu/ru/doyle_bask.14.conllu#s107_0</t>
  </si>
  <si>
    <t>108</t>
  </si>
  <si>
    <t>видывать</t>
  </si>
  <si>
    <t>Но такой собаки еще никто из нас , смертных , не видывал .</t>
  </si>
  <si>
    <t>file://conllu/ru/doyle_bask.14.conllu#s108_0</t>
  </si>
  <si>
    <t>109</t>
  </si>
  <si>
    <t>вырываться</t>
  </si>
  <si>
    <t>Из ее отверстой пасти вырывалось пламя , глаза метали искры , по морде и загривку переливался мерцающий огонь .</t>
  </si>
  <si>
    <t>file://conllu/ru/doyle_bask.14.conllu#s109_0</t>
  </si>
  <si>
    <t>110</t>
  </si>
  <si>
    <t>мочь</t>
  </si>
  <si>
    <t>Ни в чьем воспаленном мозгу не могло бы возникнуть видение более страшное , более омерзительное , чем это адское существо , выскочившее на нас из тумана .</t>
  </si>
  <si>
    <t>file://conllu/ru/doyle_bask.14.conllu#s110_0</t>
  </si>
  <si>
    <t>111</t>
  </si>
  <si>
    <t>несться</t>
  </si>
  <si>
    <t>Чудовище неслось по тропинке огромными прыжками , принюхиваясь к следам нашего друга .</t>
  </si>
  <si>
    <t>file://conllu/ru/doyle_bask.14.conllu#s111_0</t>
  </si>
  <si>
    <t>112</t>
  </si>
  <si>
    <t>опомниться</t>
  </si>
  <si>
    <t>Мы опомнились лишь после того , как оно промчалось мимо .</t>
  </si>
  <si>
    <t>file://conllu/ru/doyle_bask.14.conllu#s112_0</t>
  </si>
  <si>
    <t>113</t>
  </si>
  <si>
    <t>выстрелять</t>
  </si>
  <si>
    <t>Тогда и я и Холмс выстрелили одновременно , и раздавшийся вслед за этим оглушительный рев убедил нас , что по меньшей мере одна из пуль попала в цель .</t>
  </si>
  <si>
    <t>file://conllu/ru/doyle_bask.14.conllu#s113_0</t>
  </si>
  <si>
    <t>114</t>
  </si>
  <si>
    <t>остановиться</t>
  </si>
  <si>
    <t>Но собака не остановилась и продолжала мчаться вперед .</t>
  </si>
  <si>
    <t>file://conllu/ru/doyle_bask.14.conllu#s114_0</t>
  </si>
  <si>
    <t>115</t>
  </si>
  <si>
    <t>Мы видели , как сэр Генри оглянулся , мертвенно бледный при свете луны , поднял в ужасе руки и замер в этой беспомощной позе , не сводя глаз с чудовища , которое настигало его .</t>
  </si>
  <si>
    <t>file://conllu/ru/doyle_bask.14.conllu#s115_0</t>
  </si>
  <si>
    <t>116</t>
  </si>
  <si>
    <t>рассеять</t>
  </si>
  <si>
    <t>Но голос взвывшей от боли собаки рассеял все наши страхи .</t>
  </si>
  <si>
    <t>file://conllu/ru/doyle_bask.14.conllu#s116_0</t>
  </si>
  <si>
    <t>117</t>
  </si>
  <si>
    <t>Кто?</t>
  </si>
  <si>
    <t>уязвить</t>
  </si>
  <si>
    <t>Кто уязвим , тот и смертен , и если она ранена , значит , ее можно и убить .</t>
  </si>
  <si>
    <t>file://conllu/ru/doyle_bask.14.conllu#s117_0</t>
  </si>
  <si>
    <t>118</t>
  </si>
  <si>
    <t>бежать</t>
  </si>
  <si>
    <t>Боже , как бежал в ту ночь Холмс !</t>
  </si>
  <si>
    <t>file://conllu/ru/doyle_bask.14.conllu#s118_0</t>
  </si>
  <si>
    <t>119</t>
  </si>
  <si>
    <t>считать</t>
  </si>
  <si>
    <t>Я всегда считался хорошим бегуном , но он опередил меня на такое же расстояние , на какое я сам опередил маленького сыщика .</t>
  </si>
  <si>
    <t>file://conllu/ru/doyle_bask.14.conllu#s119_0</t>
  </si>
  <si>
    <t>120</t>
  </si>
  <si>
    <t>нестись</t>
  </si>
  <si>
    <t>Мы неслись по тропинке и слышали непрекращающиеся крики сэра Генри и глухой рев собаки .</t>
  </si>
  <si>
    <t>file://conllu/ru/doyle_bask.14.conllu#s120_0</t>
  </si>
  <si>
    <t>121</t>
  </si>
  <si>
    <t>подоспеть</t>
  </si>
  <si>
    <t>Я подоспел в ту минуту , когда она кинулась на свою жертву , повалила ее на землю и уже примеривалась схватить за горло .</t>
  </si>
  <si>
    <t>file://conllu/ru/doyle_bask.14.conllu#s121_0</t>
  </si>
  <si>
    <t>122</t>
  </si>
  <si>
    <t>всадить</t>
  </si>
  <si>
    <t>Но Холмс всадил ей в бок одну за другой пять пуль .</t>
  </si>
  <si>
    <t>file://conllu/ru/doyle_bask.14.conllu#s122_0</t>
  </si>
  <si>
    <t>123</t>
  </si>
  <si>
    <t>взвыть</t>
  </si>
  <si>
    <t>Собака взвыла в последний раз , яростно щелкнула зубами , повалилась на спину и , судорожно дернув всеми четырьмя лапами , замерла .</t>
  </si>
  <si>
    <t>file://conllu/ru/doyle_bask.14.conllu#s123_0</t>
  </si>
  <si>
    <t>124</t>
  </si>
  <si>
    <t>нагнуться</t>
  </si>
  <si>
    <t>Я нагнулся над ней , задыхаясь от бега , и приставил дуло револьвера к этой страшной светящейся морде , но выстрелить мне не пришлось — исполинская собака была мертва .</t>
  </si>
  <si>
    <t>file://conllu/ru/doyle_bask.14.conllu#s124_0</t>
  </si>
  <si>
    <t>125</t>
  </si>
  <si>
    <t>лежать</t>
  </si>
  <si>
    <t>Сэр Генри лежал без сознания там , где она настигла его .</t>
  </si>
  <si>
    <t>file://conllu/ru/doyle_bask.14.conllu#s125_0</t>
  </si>
  <si>
    <t>126</t>
  </si>
  <si>
    <t>срыть</t>
  </si>
  <si>
    <t>Мы сорвали с него воротничок , и Холмс возблагодарил судьбу , убедившись , что он не ранен и что наша помощь подоспела вовремя .</t>
  </si>
  <si>
    <t>file://conllu/ru/doyle_bask.14.conllu#s126_0</t>
  </si>
  <si>
    <t>127</t>
  </si>
  <si>
    <t>дрогнуть</t>
  </si>
  <si>
    <t>А потом веки у сэра Генри дрогнули и он слабо шевельнулся .</t>
  </si>
  <si>
    <t>file://conllu/ru/doyle_bask.14.conllu#s127_0</t>
  </si>
  <si>
    <t>128</t>
  </si>
  <si>
    <t>просунуть</t>
  </si>
  <si>
    <t>Лестрейд просунул ему между зубами горлышко фляги с бренди , и через секунду на нас глянули два испуганных глаза .</t>
  </si>
  <si>
    <t>file://conllu/ru/doyle_bask.14.conllu#s128_0</t>
  </si>
  <si>
    <t>129</t>
  </si>
  <si>
    <t>шептать</t>
  </si>
  <si>
    <t>— Боже мой ! — прошептал баронет .</t>
  </si>
  <si>
    <t>file://conllu/ru/doyle_bask.14.conllu#s129_0</t>
  </si>
  <si>
    <t>130</t>
  </si>
  <si>
    <t>быть</t>
  </si>
  <si>
    <t>— Что это было ?</t>
  </si>
  <si>
    <t>file://conllu/ru/doyle_bask.14.conllu#s130_0</t>
  </si>
  <si>
    <t>131</t>
  </si>
  <si>
    <t>Что это , чёрт возьми , было ?</t>
  </si>
  <si>
    <t>file://conllu/ru/doyle_bask.14.conllu#s131_0</t>
  </si>
  <si>
    <t>132</t>
  </si>
  <si>
    <t>— Чем бы оно ни было , оно мертво , — сказал Холмс .</t>
  </si>
  <si>
    <t>file://conllu/ru/doyle_bask.14.conllu#s132_0</t>
  </si>
  <si>
    <t>133</t>
  </si>
  <si>
    <t>покончить</t>
  </si>
  <si>
    <t>— С привидением , которое преследовало ваш род , покончено навсегда .</t>
  </si>
  <si>
    <t>file://conllu/ru/doyle_bask.14.conllu#s133_0</t>
  </si>
  <si>
    <t>134</t>
  </si>
  <si>
    <t>Чудовище , лежавшее перед нами , поистине могло кого угодно испугать своими размерами и мощью .</t>
  </si>
  <si>
    <t>file://conllu/ru/doyle_bask.14.conllu#s134_0</t>
  </si>
  <si>
    <t>135</t>
  </si>
  <si>
    <t>быть (быть ищейка)</t>
  </si>
  <si>
    <t>Это была не чистокровная ищейка и не чистокровный мастиф , а , видимо , помесь — поджарый , страшный пес величиной с молодую львицу .</t>
  </si>
  <si>
    <t>file://conllu/ru/doyle_bask.14.conllu#s135_0</t>
  </si>
  <si>
    <t>136</t>
  </si>
  <si>
    <t>светиться</t>
  </si>
  <si>
    <t>Даже сейчас , несмотря на неподвижность смерти , его огромная пасть все еще светилась голубоватым пламенем , глубоко сидящие дикие глаза были обведены огненными кругами .</t>
  </si>
  <si>
    <t>file://conllu/ru/doyle_bask.14.conllu#s136_0</t>
  </si>
  <si>
    <t>137</t>
  </si>
  <si>
    <t>дотронуться</t>
  </si>
  <si>
    <t>Я дотронулся до этой светящейся головы и , отняв руку , увидел , что мои пальцы тоже засветились в темноте .</t>
  </si>
  <si>
    <t>file://conllu/ru/doyle_bask.14.conllu#s137_0</t>
  </si>
  <si>
    <t>138</t>
  </si>
  <si>
    <t>фосфор</t>
  </si>
  <si>
    <t>— Фосфор , — сказал я .</t>
  </si>
  <si>
    <t>file://conllu/ru/doyle_bask.14.conllu#s138_0</t>
  </si>
  <si>
    <t>139</t>
  </si>
  <si>
    <t>препарат</t>
  </si>
  <si>
    <t>— Да , и какой-то особый препарат , — подтвердил Холмс , потянув носом .</t>
  </si>
  <si>
    <t>file://conllu/ru/doyle_bask.14.conllu#s139_0</t>
  </si>
  <si>
    <t>140</t>
  </si>
  <si>
    <t>запах</t>
  </si>
  <si>
    <t>— Без запаха , чтобы у собаки не исчезло чутье .</t>
  </si>
  <si>
    <t>file://conllu/ru/doyle_bask.14.conllu#s140_0</t>
  </si>
  <si>
    <t>141</t>
  </si>
  <si>
    <t>простить</t>
  </si>
  <si>
    <t>Простите нас , сэр Генри , что мы подвергли вас такому страшному испытанию .</t>
  </si>
  <si>
    <t>file://conllu/ru/doyle_bask.14.conllu#s141_0</t>
  </si>
  <si>
    <t>142</t>
  </si>
  <si>
    <t>готовиться</t>
  </si>
  <si>
    <t>Я готовился увидеть собаку , но никак не ожидал , что это будет такое чудовище .</t>
  </si>
  <si>
    <t>file://conllu/ru/doyle_bask.14.conllu#s142_0</t>
  </si>
  <si>
    <t>143</t>
  </si>
  <si>
    <t>мешать</t>
  </si>
  <si>
    <t>К тому же нам помешал туман , и мы не смогли оказать псу достойную встречу .</t>
  </si>
  <si>
    <t>file://conllu/ru/doyle_bask.14.conllu#s143_0</t>
  </si>
  <si>
    <t>144</t>
  </si>
  <si>
    <t>спасти</t>
  </si>
  <si>
    <t>— Вы спасли мне жизнь .</t>
  </si>
  <si>
    <t>file://conllu/ru/doyle_bask.14.conllu#s144_0</t>
  </si>
  <si>
    <t>145</t>
  </si>
  <si>
    <t>подвергнуть</t>
  </si>
  <si>
    <t>— Подвергнув ее сначала опасности . . .</t>
  </si>
  <si>
    <t>file://conllu/ru/doyle_bask.14.conllu#s145_0</t>
  </si>
  <si>
    <t>146</t>
  </si>
  <si>
    <t>Ну как , можете встать ?</t>
  </si>
  <si>
    <t>file://conllu/ru/doyle_bask.14.conllu#s146_0</t>
  </si>
  <si>
    <t>147</t>
  </si>
  <si>
    <t>дать</t>
  </si>
  <si>
    <t>— Дайте мне еще один глоток этого бренди , и тогда все будет в порядке .</t>
  </si>
  <si>
    <t>file://conllu/ru/doyle_bask.14.conllu#s147_0</t>
  </si>
  <si>
    <t>148</t>
  </si>
  <si>
    <t>Ну вот !</t>
  </si>
  <si>
    <t>file://conllu/ru/doyle_bask.14.conllu#s148_0</t>
  </si>
  <si>
    <t>149</t>
  </si>
  <si>
    <t>встать</t>
  </si>
  <si>
    <t>Теперь с вашей помощью я встану .</t>
  </si>
  <si>
    <t>file://conllu/ru/doyle_bask.14.conllu#s149_0</t>
  </si>
  <si>
    <t>150</t>
  </si>
  <si>
    <t>намерен</t>
  </si>
  <si>
    <t>А что вы намерены делать дальше ?</t>
  </si>
  <si>
    <t>file://conllu/ru/doyle_bask.14.conllu#s150_0</t>
  </si>
  <si>
    <t>151</t>
  </si>
  <si>
    <t>Пока?</t>
  </si>
  <si>
    <t>оставить</t>
  </si>
  <si>
    <t>— Пока оставим вас здесь — вы уже достаточно натерпелись за сегодняшнюю ночь , — а потом кто-нибудь из нас вернется с вами домой .</t>
  </si>
  <si>
    <t>file://conllu/ru/doyle_bask.14.conllu#s151_0</t>
  </si>
  <si>
    <t>152</t>
  </si>
  <si>
    <t>пробовать</t>
  </si>
  <si>
    <t>Баронет попробовал подняться , но не смог .</t>
  </si>
  <si>
    <t>file://conllu/ru/doyle_bask.14.conllu#s152_0</t>
  </si>
  <si>
    <t>153</t>
  </si>
  <si>
    <t>быть (быть бледный)</t>
  </si>
  <si>
    <t>Он был бледен как полотно и дрожал всем телом .</t>
  </si>
  <si>
    <t>file://conllu/ru/doyle_bask.14.conllu#s153_0</t>
  </si>
  <si>
    <t>154</t>
  </si>
  <si>
    <t>подвести</t>
  </si>
  <si>
    <t>Мы подвели его к валуну .</t>
  </si>
  <si>
    <t>file://conllu/ru/doyle_bask.14.conllu#s154_0</t>
  </si>
  <si>
    <t>155</t>
  </si>
  <si>
    <t>сесть</t>
  </si>
  <si>
    <t>Он сел там , дрожа всем телом , и закрыл лицо руками .</t>
  </si>
  <si>
    <t>file://conllu/ru/doyle_bask.14.conllu#s155_0</t>
  </si>
  <si>
    <t>156</t>
  </si>
  <si>
    <t>прийтись</t>
  </si>
  <si>
    <t>— А теперь нам придется уйти , — сказал Холмс .</t>
  </si>
  <si>
    <t>file://conllu/ru/doyle_bask.14.conllu#s156_0</t>
  </si>
  <si>
    <t>157</t>
  </si>
  <si>
    <t>— Надо кончить начатое дело .</t>
  </si>
  <si>
    <t>file://conllu/ru/doyle_bask.14.conllu#s157_0</t>
  </si>
  <si>
    <t>158</t>
  </si>
  <si>
    <t>минута</t>
  </si>
  <si>
    <t>Дорога каждая минута .</t>
  </si>
  <si>
    <t>file://conllu/ru/doyle_bask.14.conllu#s158_0</t>
  </si>
  <si>
    <t>159</t>
  </si>
  <si>
    <t>налицо</t>
  </si>
  <si>
    <t>Состав преступления теперь налицо , остается только схватить преступника . . .</t>
  </si>
  <si>
    <t>file://conllu/ru/doyle_bask.14.conllu#s159_0</t>
  </si>
  <si>
    <t>160</t>
  </si>
  <si>
    <t>Дердить</t>
  </si>
  <si>
    <t>Держу пари , в доме его уже не окажется , — продолжал Холмс , быстро шагая рядом с нами по тропинке .</t>
  </si>
  <si>
    <t>file://conllu/ru/doyle_bask.14.conllu#s160_0</t>
  </si>
  <si>
    <t>161</t>
  </si>
  <si>
    <t>— Он не мог не слышать выстрелов и понял , что игра проиграна .</t>
  </si>
  <si>
    <t>file://conllu/ru/doyle_bask.14.conllu#s161_0</t>
  </si>
  <si>
    <t>162</t>
  </si>
  <si>
    <t>— Ну что вы !</t>
  </si>
  <si>
    <t>file://conllu/ru/doyle_bask.14.conllu#s162_0</t>
  </si>
  <si>
    <t>163</t>
  </si>
  <si>
    <t>быть (быть далеко)</t>
  </si>
  <si>
    <t>Это было далеко от дома , к тому же туман приглушает звуки .</t>
  </si>
  <si>
    <t>file://conllu/ru/doyle_bask.14.conllu#s163_0</t>
  </si>
  <si>
    <t>164</t>
  </si>
  <si>
    <t>— Можете не сомневаться , что он кинулся следом за собакой , ведь ее надо было оттащить от тела .</t>
  </si>
  <si>
    <t>file://conllu/ru/doyle_bask.14.conllu#s164_0</t>
  </si>
  <si>
    <t>165</t>
  </si>
  <si>
    <t>застануть</t>
  </si>
  <si>
    <t>Нет , мы его уже не застанем !</t>
  </si>
  <si>
    <t>file://conllu/ru/doyle_bask.14.conllu#s165_0</t>
  </si>
  <si>
    <t>166</t>
  </si>
  <si>
    <t>Но на всякий случай надо обшарить все уголки .</t>
  </si>
  <si>
    <t>file://conllu/ru/doyle_bask.14.conllu#s166_0</t>
  </si>
  <si>
    <t>167</t>
  </si>
  <si>
    <t>открыть</t>
  </si>
  <si>
    <t>Входная дверь была открыта настежь , и , вбежав в дом , мы быстро осмотрели комнату за комнатой , к удивлению дряхлого слуги , встретившего нас в коридоре .</t>
  </si>
  <si>
    <t>file://conllu/ru/doyle_bask.14.conllu#s167_0</t>
  </si>
  <si>
    <t>168</t>
  </si>
  <si>
    <t>Свет горел только в столовой , но Холмс взял оттуда лампу и обошел с ней все закоулки в доме .</t>
  </si>
  <si>
    <t>file://conllu/ru/doyle_bask.14.conllu#s168_0</t>
  </si>
  <si>
    <t>169</t>
  </si>
  <si>
    <t>Человек , которого мы искали , исчез бесследно .</t>
  </si>
  <si>
    <t>file://conllu/ru/doyle_bask.14.conllu#s169_0</t>
  </si>
  <si>
    <t>170</t>
  </si>
  <si>
    <t>Однако?</t>
  </si>
  <si>
    <t>оказаться</t>
  </si>
  <si>
    <t>Однако на втором этаже дверь одной из спален оказалась запертой .</t>
  </si>
  <si>
    <t>file://conllu/ru/doyle_bask.14.conllu#s170_0</t>
  </si>
  <si>
    <t>171</t>
  </si>
  <si>
    <t>— Там кто-то есть ! — крикнул Лестрейд .</t>
  </si>
  <si>
    <t>file://conllu/ru/doyle_bask.14.conllu#s171_0</t>
  </si>
  <si>
    <t>172</t>
  </si>
  <si>
    <t>— Я слышу , что кто-то шевелится .</t>
  </si>
  <si>
    <t>file://conllu/ru/doyle_bask.14.conllu#s172_0</t>
  </si>
  <si>
    <t>173</t>
  </si>
  <si>
    <t>Откройте эту дверь !</t>
  </si>
  <si>
    <t>file://conllu/ru/doyle_bask.14.conllu#s173_0</t>
  </si>
  <si>
    <t>174</t>
  </si>
  <si>
    <t>В комнате послышался слабый стон и шорох .</t>
  </si>
  <si>
    <t>file://conllu/ru/doyle_bask.14.conllu#s174_0</t>
  </si>
  <si>
    <t>175</t>
  </si>
  <si>
    <t>Холмс ударил ногой чуть повыше замка , и дверь распахнулась настежь .</t>
  </si>
  <si>
    <t>file://conllu/ru/doyle_bask.14.conllu#s175_0</t>
  </si>
  <si>
    <t>176</t>
  </si>
  <si>
    <t>врыться</t>
  </si>
  <si>
    <t>Держа револьверы наготове , мы ворвались туда .</t>
  </si>
  <si>
    <t>file://conllu/ru/doyle_bask.14.conllu#s176_0</t>
  </si>
  <si>
    <t>177</t>
  </si>
  <si>
    <t>Но дерзостного негодяя , за которым мы охотились , не оказалось и тут .</t>
  </si>
  <si>
    <t>file://conllu/ru/doyle_bask.14.conllu#s177_0</t>
  </si>
  <si>
    <t>178</t>
  </si>
  <si>
    <t>предстать</t>
  </si>
  <si>
    <t>Вместо него глазам нашим предстало нечто до такой степени странное и неожиданное , что мы замерли на месте .</t>
  </si>
  <si>
    <t>file://conllu/ru/doyle_bask.14.conllu#s178_0</t>
  </si>
  <si>
    <t>179</t>
  </si>
  <si>
    <t>представлять</t>
  </si>
  <si>
    <t>Эта комната представляла собой маленький музей .</t>
  </si>
  <si>
    <t>file://conllu/ru/doyle_bask.14.conllu#s179_0</t>
  </si>
  <si>
    <t>180</t>
  </si>
  <si>
    <t>заставить</t>
  </si>
  <si>
    <t>Ее стены были сплошь заставлены стеклянными ящиками , где хранилась коллекция мотыльков и бабочек — любимое детище этой сложной и преступной натуры .</t>
  </si>
  <si>
    <t>file://conllu/ru/doyle_bask.14.conllu#s180_0</t>
  </si>
  <si>
    <t>181</t>
  </si>
  <si>
    <t>поднимать</t>
  </si>
  <si>
    <t>Посередине поднималась толстая подпорка , подведенная под трухлявые балясины потолка .</t>
  </si>
  <si>
    <t>file://conllu/ru/doyle_bask.14.conllu#s181_0</t>
  </si>
  <si>
    <t>182</t>
  </si>
  <si>
    <t>И у этой подпорки стоял человек , привязанный к ней простынями , которые укутывали его с головы до ног , так что в первую минуту даже нельзя было разобрать , кто это — мужчина или женщина .</t>
  </si>
  <si>
    <t>file://conllu/ru/doyle_bask.14.conllu#s182_0</t>
  </si>
  <si>
    <t>183</t>
  </si>
  <si>
    <t>Одно полотнище шло вокруг горла , другое закрывало нижнюю часть лица , оставляя открытыми только глаза , которые с немым вопросом смотрели на нас , полные ужаса и стыда .</t>
  </si>
  <si>
    <t>file://conllu/ru/doyle_bask.14.conllu#s183_0</t>
  </si>
  <si>
    <t>184</t>
  </si>
  <si>
    <t>В мгновение ока мы сорвали эти путы , вынули кляп , и к нашим ногам упала не кто иная , как миссис Стэплтон .</t>
  </si>
  <si>
    <t>file://conllu/ru/doyle_bask.14.conllu#s184_0</t>
  </si>
  <si>
    <t>185</t>
  </si>
  <si>
    <t>Голова ее опустилась на грудь , и я увидел красный рубец у нее на шее от удара плетью .</t>
  </si>
  <si>
    <t>file://conllu/ru/doyle_bask.14.conllu#s185_0</t>
  </si>
  <si>
    <t>186</t>
  </si>
  <si>
    <t>Мерзавец</t>
  </si>
  <si>
    <t>— Мерзавец ! — крикнул Холмс .</t>
  </si>
  <si>
    <t>file://conllu/ru/doyle_bask.14.conllu#s186_0</t>
  </si>
  <si>
    <t>187</t>
  </si>
  <si>
    <t>Лестрейд</t>
  </si>
  <si>
    <t>— Лестрейд , где бренди ?</t>
  </si>
  <si>
    <t>file://conllu/ru/doyle_bask.14.conllu#s187_0</t>
  </si>
  <si>
    <t>188</t>
  </si>
  <si>
    <t>Посадить</t>
  </si>
  <si>
    <t>Посадите ее на стул .</t>
  </si>
  <si>
    <t>file://conllu/ru/doyle_bask.14.conllu#s188_0</t>
  </si>
  <si>
    <t>189</t>
  </si>
  <si>
    <t>довести</t>
  </si>
  <si>
    <t>Такие пытки кого угодно доведут до обморока !</t>
  </si>
  <si>
    <t>file://conllu/ru/doyle_bask.14.conllu#s189_0</t>
  </si>
  <si>
    <t>190</t>
  </si>
  <si>
    <t>Миссис Стэплтон открыла глаза .</t>
  </si>
  <si>
    <t>file://conllu/ru/doyle_bask.14.conllu#s190_0</t>
  </si>
  <si>
    <t>191</t>
  </si>
  <si>
    <t>спастись</t>
  </si>
  <si>
    <t>— Он спасся ? — спросила она .</t>
  </si>
  <si>
    <t>file://conllu/ru/doyle_bask.14.conllu#s191_0</t>
  </si>
  <si>
    <t>192</t>
  </si>
  <si>
    <t>убежать</t>
  </si>
  <si>
    <t>— Он убежал ?</t>
  </si>
  <si>
    <t>file://conllu/ru/doyle_bask.14.conllu#s192_0</t>
  </si>
  <si>
    <t>193</t>
  </si>
  <si>
    <t>— От нас он никуда не убежит , сударыня .</t>
  </si>
  <si>
    <t>file://conllu/ru/doyle_bask.14.conllu#s193_0</t>
  </si>
  <si>
    <t>194</t>
  </si>
  <si>
    <t>муж</t>
  </si>
  <si>
    <t>— Нет , нет , я не про мужа .</t>
  </si>
  <si>
    <t>file://conllu/ru/doyle_bask.14.conllu#s194_0</t>
  </si>
  <si>
    <t>195</t>
  </si>
  <si>
    <t>Сэр Генри . . . спасся ?</t>
  </si>
  <si>
    <t>file://conllu/ru/doyle_bask.14.conllu#s195_0</t>
  </si>
  <si>
    <t>196</t>
  </si>
  <si>
    <t>— Да .</t>
  </si>
  <si>
    <t>file://conllu/ru/doyle_bask.14.conllu#s196_0</t>
  </si>
  <si>
    <t>197</t>
  </si>
  <si>
    <t>собака</t>
  </si>
  <si>
    <t>— А собака ?</t>
  </si>
  <si>
    <t>file://conllu/ru/doyle_bask.14.conllu#s197_0</t>
  </si>
  <si>
    <t>198</t>
  </si>
  <si>
    <t>убит</t>
  </si>
  <si>
    <t>— Убита !</t>
  </si>
  <si>
    <t>file://conllu/ru/doyle_bask.14.conllu#s198_0</t>
  </si>
  <si>
    <t>199</t>
  </si>
  <si>
    <t>вырваться</t>
  </si>
  <si>
    <t>У нее вырвался долгий вздох облегчения : — Слава богу !</t>
  </si>
  <si>
    <t>file://conllu/ru/doyle_bask.14.conllu#s199_0</t>
  </si>
  <si>
    <t>200</t>
  </si>
  <si>
    <t>Слава богу !</t>
  </si>
  <si>
    <t>file://conllu/ru/doyle_bask.14.conllu#s200_0</t>
  </si>
  <si>
    <t>201</t>
  </si>
  <si>
    <t>Негодяй</t>
  </si>
  <si>
    <t>Негодяй !</t>
  </si>
  <si>
    <t>file://conllu/ru/doyle_bask.14.conllu#s201_0</t>
  </si>
  <si>
    <t>202</t>
  </si>
  <si>
    <t>смотреть</t>
  </si>
  <si>
    <t>Смотрите , что он со мной сделал !</t>
  </si>
  <si>
    <t>file://conllu/ru/doyle_bask.14.conllu#s202_0</t>
  </si>
  <si>
    <t>203</t>
  </si>
  <si>
    <t>засучить</t>
  </si>
  <si>
    <t>— Она засучила оба рукава , и мы увидели , что ее руки все в синяках .</t>
  </si>
  <si>
    <t>file://conllu/ru/doyle_bask.14.conllu#s203_0</t>
  </si>
  <si>
    <t>204</t>
  </si>
  <si>
    <t>ничто</t>
  </si>
  <si>
    <t>— Но это еще ничего . . . это ничего .</t>
  </si>
  <si>
    <t>file://conllu/ru/doyle_bask.14.conllu#s204_0</t>
  </si>
  <si>
    <t>205</t>
  </si>
  <si>
    <t>истерзать</t>
  </si>
  <si>
    <t>Он истерзал , он опоганил мою душу .</t>
  </si>
  <si>
    <t>file://conllu/ru/doyle_bask.14.conllu#s205_0</t>
  </si>
  <si>
    <t>206</t>
  </si>
  <si>
    <t>теплиться</t>
  </si>
  <si>
    <t>Пока у меня теплилась надежда , что этот человек любит меня , я все сносила , все : дурное обращение , одиночество , жизнь , полную обмана . . .</t>
  </si>
  <si>
    <t>file://conllu/ru/doyle_bask.14.conllu#s206_0</t>
  </si>
  <si>
    <t>207</t>
  </si>
  <si>
    <t>лгать</t>
  </si>
  <si>
    <t>Но он лгал мне , я была орудием в его руках !</t>
  </si>
  <si>
    <t>file://conllu/ru/doyle_bask.14.conllu#s207_0</t>
  </si>
  <si>
    <t>208</t>
  </si>
  <si>
    <t>выдержать</t>
  </si>
  <si>
    <t>— Она не выдержала и разрыдалась .</t>
  </si>
  <si>
    <t>file://conllu/ru/doyle_bask.14.conllu#s208_0</t>
  </si>
  <si>
    <t>209</t>
  </si>
  <si>
    <t>— Да , сударыня , у вас нет никаких оснований желать ему добра , — сказал Холмс .</t>
  </si>
  <si>
    <t>file://conllu/ru/doyle_bask.14.conllu#s209_0</t>
  </si>
  <si>
    <t>210</t>
  </si>
  <si>
    <t>— Так откройте же , где его искать .</t>
  </si>
  <si>
    <t>file://conllu/ru/doyle_bask.14.conllu#s210_0</t>
  </si>
  <si>
    <t>211</t>
  </si>
  <si>
    <t>воспользуться</t>
  </si>
  <si>
    <t>Если вы были его сообщницей , воспользуйтесь случаем загладить свою вину — помогите нам .</t>
  </si>
  <si>
    <t>file://conllu/ru/doyle_bask.14.conllu#s211_0</t>
  </si>
  <si>
    <t>212</t>
  </si>
  <si>
    <t>— Он может спрятаться только в одном месте , больше ему некуда деваться , — ответила она .</t>
  </si>
  <si>
    <t>file://conllu/ru/doyle_bask.14.conllu#s212_0</t>
  </si>
  <si>
    <t>213</t>
  </si>
  <si>
    <t>— В самом сердце трясины есть островок , на котором был когда-то рудник .</t>
  </si>
  <si>
    <t>file://conllu/ru/doyle_bask.14.conllu#s213_0</t>
  </si>
  <si>
    <t>214</t>
  </si>
  <si>
    <t>держать</t>
  </si>
  <si>
    <t>Там он и держал свою собаку , и там у него все приготовлено на тот случай , если придется бежать .</t>
  </si>
  <si>
    <t>file://conllu/ru/doyle_bask.14.conllu#s214_0</t>
  </si>
  <si>
    <t>215</t>
  </si>
  <si>
    <t>Вот куда он мог скрыться .</t>
  </si>
  <si>
    <t>file://conllu/ru/doyle_bask.14.conllu#s215_0</t>
  </si>
  <si>
    <t>216</t>
  </si>
  <si>
    <t>светить</t>
  </si>
  <si>
    <t>Холмс посветил в окно лампой .</t>
  </si>
  <si>
    <t>file://conllu/ru/doyle_bask.14.conllu#s216_0</t>
  </si>
  <si>
    <t>217</t>
  </si>
  <si>
    <t>Туман , словно белая вата , лип к стеклу .</t>
  </si>
  <si>
    <t>file://conllu/ru/doyle_bask.14.conllu#s217_0</t>
  </si>
  <si>
    <t>218</t>
  </si>
  <si>
    <t>сказать (сказать смотреть)</t>
  </si>
  <si>
    <t>— Смотрите , — сказал он .</t>
  </si>
  <si>
    <t>file://conllu/ru/doyle_bask.14.conllu#s218_0</t>
  </si>
  <si>
    <t>219</t>
  </si>
  <si>
    <t>— Сегодня ночью никто не сможет пробраться на Гримпенскую трясину .</t>
  </si>
  <si>
    <t>file://conllu/ru/doyle_bask.14.conllu#s219_0</t>
  </si>
  <si>
    <t>220</t>
  </si>
  <si>
    <t>рассмеяться</t>
  </si>
  <si>
    <t>Миссис Стэплтон рассмеялась и захлопала в ладоши .</t>
  </si>
  <si>
    <t>file://conllu/ru/doyle_bask.14.conllu#s220_0</t>
  </si>
  <si>
    <t>221</t>
  </si>
  <si>
    <t>сверкнуть</t>
  </si>
  <si>
    <t>Глаза ее сверкнули недобрым огнем .</t>
  </si>
  <si>
    <t>file://conllu/ru/doyle_bask.14.conllu#s221_0</t>
  </si>
  <si>
    <t>222</t>
  </si>
  <si>
    <t>найти</t>
  </si>
  <si>
    <t>— Туда-то он найдет дорогу , а обратно не выберется ! — воскликнула она .</t>
  </si>
  <si>
    <t>file://conllu/ru/doyle_bask.14.conllu#s222_0</t>
  </si>
  <si>
    <t>223</t>
  </si>
  <si>
    <t>разглядеть</t>
  </si>
  <si>
    <t>— Разве в такую ночь разглядишь вехи ?</t>
  </si>
  <si>
    <t>file://conllu/ru/doyle_bask.14.conllu#s223_0</t>
  </si>
  <si>
    <t>224</t>
  </si>
  <si>
    <t>Вместе?</t>
  </si>
  <si>
    <t>ставить</t>
  </si>
  <si>
    <t>Мы ставили их вместе , чтобы наметить тропу через трясину .</t>
  </si>
  <si>
    <t>file://conllu/ru/doyle_bask.14.conllu#s224_0</t>
  </si>
  <si>
    <t>225</t>
  </si>
  <si>
    <t>догадаться</t>
  </si>
  <si>
    <t>Ах , почему я не догадалась убрать их сегодня !</t>
  </si>
  <si>
    <t>file://conllu/ru/doyle_bask.14.conllu#s225_0</t>
  </si>
  <si>
    <t>226</t>
  </si>
  <si>
    <t>быть (быть власть)</t>
  </si>
  <si>
    <t>Тогда он был бы в вашей власти !</t>
  </si>
  <si>
    <t>file://conllu/ru/doyle_bask.14.conllu#s226_0</t>
  </si>
  <si>
    <t>227</t>
  </si>
  <si>
    <t>быть (быть нечего)</t>
  </si>
  <si>
    <t>При таком тумане о погоне нечего было и думать .</t>
  </si>
  <si>
    <t>file://conllu/ru/doyle_bask.14.conllu#s227_0</t>
  </si>
  <si>
    <t>228</t>
  </si>
  <si>
    <t>Мы оставили Лестрейда полновластным хозяином Меррипит-хаус , а сами вместе с сэром Генри вернулись в Баскервиль холл .</t>
  </si>
  <si>
    <t>file://conllu/ru/doyle_bask.14.conllu#s228_0</t>
  </si>
  <si>
    <t>229</t>
  </si>
  <si>
    <t>нельзя</t>
  </si>
  <si>
    <t>Скрывать от него историю Стэплтонов больше было нельзя .</t>
  </si>
  <si>
    <t>file://conllu/ru/doyle_bask.14.conllu#s229_0</t>
  </si>
  <si>
    <t>230</t>
  </si>
  <si>
    <t>принять</t>
  </si>
  <si>
    <t>Узнав всю правду о любимой женщине , он мужественно принял этот удар .</t>
  </si>
  <si>
    <t>file://conllu/ru/doyle_bask.14.conllu#s230_0</t>
  </si>
  <si>
    <t>231</t>
  </si>
  <si>
    <t>пройти</t>
  </si>
  <si>
    <t>Однако пережитое ночью потрясение не прошло даром для баронета .</t>
  </si>
  <si>
    <t>file://conllu/ru/doyle_bask.14.conllu#s231_0</t>
  </si>
  <si>
    <t>232</t>
  </si>
  <si>
    <t>К утру он лежал без памяти в горячке под надзором доктора Мортимера .</t>
  </si>
  <si>
    <t>file://conllu/ru/doyle_bask.14.conllu#s232_0</t>
  </si>
  <si>
    <t>233</t>
  </si>
  <si>
    <t>быть (быть сужден)</t>
  </si>
  <si>
    <t>В дальнейшем им обоим было суждено совершить кругосветное путешествие , и только после него сэр Генри снова стал тем же веселым , здоровым человеком , какой приехал когда-то в Англию наследником этого злополучного поместья .</t>
  </si>
  <si>
    <t>file://conllu/ru/doyle_bask.14.conllu#s233_0</t>
  </si>
  <si>
    <t>234</t>
  </si>
  <si>
    <t>подходить</t>
  </si>
  <si>
    <t>А теперь мое странное повествование быстро подходит к концу .</t>
  </si>
  <si>
    <t>file://conllu/ru/doyle_bask.14.conllu#s234_0</t>
  </si>
  <si>
    <t>235</t>
  </si>
  <si>
    <t>стараться</t>
  </si>
  <si>
    <t>Записывая его , я старался , чтобы читатель делил вместе с нами все те страхи и смутные догадки , которые так долго омрачали нашу жизнь и завершились такой трагедией .</t>
  </si>
  <si>
    <t>file://conllu/ru/doyle_bask.14.conllu#s235_0</t>
  </si>
  <si>
    <t>236</t>
  </si>
  <si>
    <t>К утру туман рассеялся , и миссис Стэплтон проводила нас к тому месту , где начиналась тропинка , ведущая через трясину .</t>
  </si>
  <si>
    <t>file://conllu/ru/doyle_bask.14.conllu#s236_0</t>
  </si>
  <si>
    <t>237</t>
  </si>
  <si>
    <t>направлять</t>
  </si>
  <si>
    <t>Эта женщина с такой охотой и радостью направляла нас по следам мужа , что нам только тогда и стало ясно , как страшна была ее жизнь .</t>
  </si>
  <si>
    <t>file://conllu/ru/doyle_bask.14.conllu#s237_0</t>
  </si>
  <si>
    <t>238</t>
  </si>
  <si>
    <t>расстаться</t>
  </si>
  <si>
    <t>Мы расстались с ней на узкой торфяной полоске , полуостровом вдававшейся в трясину .</t>
  </si>
  <si>
    <t>file://conllu/ru/doyle_bask.14.conllu#s238_0</t>
  </si>
  <si>
    <t>239</t>
  </si>
  <si>
    <t>намечать</t>
  </si>
  <si>
    <t>Маленькие прутики , воткнутые то там , то сям , намечали тропу , извивающуюся зигзагом от кочки к кочке , между затянутыми зеленью окнами , которые преградили бы путь всякому , кто был незнаком с этими местами .</t>
  </si>
  <si>
    <t>file://conllu/ru/doyle_bask.14.conllu#s239_0</t>
  </si>
  <si>
    <t>240</t>
  </si>
  <si>
    <t>подниматься</t>
  </si>
  <si>
    <t>От гниющего камыша и покрытых илом водорослей над трясиной поднимались тяжелые испарения .</t>
  </si>
  <si>
    <t>file://conllu/ru/doyle_bask.14.conllu#s240_0</t>
  </si>
  <si>
    <t>241</t>
  </si>
  <si>
    <t>оступаться</t>
  </si>
  <si>
    <t>Мы то и дело оступались , уходя по колено в темную зыбкую топь , мягкими кругами расходившуюся на поверхности .</t>
  </si>
  <si>
    <t>file://conllu/ru/doyle_bask.14.conllu#s241_0</t>
  </si>
  <si>
    <t>242</t>
  </si>
  <si>
    <t>присасываться</t>
  </si>
  <si>
    <t>Вязкая жижа присасывалась к нашим ногам , и ее хватка была настолько сильна , что казалось , чья-то цепкая рука тянет нас в эти мерзостные глубины .</t>
  </si>
  <si>
    <t>file://conllu/ru/doyle_bask.14.conllu#s242_0</t>
  </si>
  <si>
    <t>243</t>
  </si>
  <si>
    <t>попаться</t>
  </si>
  <si>
    <t>На глаза нам попалось только одно единственное доказательство , что не мы первые идем по этому опасному пути .</t>
  </si>
  <si>
    <t>file://conllu/ru/doyle_bask.14.conllu#s243_0</t>
  </si>
  <si>
    <t>244</t>
  </si>
  <si>
    <t>На кочке , поросшей болотной травой , лежало что-то темное .</t>
  </si>
  <si>
    <t>file://conllu/ru/doyle_bask.14.conllu#s244_0</t>
  </si>
  <si>
    <t>245</t>
  </si>
  <si>
    <t>тянуться</t>
  </si>
  <si>
    <t>Потянувшись туда .</t>
  </si>
  <si>
    <t>file://conllu/ru/doyle_bask.14.conllu#s245_0</t>
  </si>
  <si>
    <t>246</t>
  </si>
  <si>
    <t>уйти</t>
  </si>
  <si>
    <t>Холмс сразу ушел по пояс в тину , и если б не мы , вряд ли ему удалось бы когда-нибудь почувствовать под ногой твердую землю .</t>
  </si>
  <si>
    <t>file://conllu/ru/doyle_bask.14.conllu#s246_0</t>
  </si>
  <si>
    <t>247</t>
  </si>
  <si>
    <t>Он держал в руке старый черный башмак .</t>
  </si>
  <si>
    <t>file://conllu/ru/doyle_bask.14.conllu#s247_0</t>
  </si>
  <si>
    <t>248</t>
  </si>
  <si>
    <t>Внутри была метка : &amp;quot; Мейерс .</t>
  </si>
  <si>
    <t>file://conllu/ru/doyle_bask.14.conllu#s248_0</t>
  </si>
  <si>
    <t>249</t>
  </si>
  <si>
    <t>Торонто</t>
  </si>
  <si>
    <t>Торонто &amp;quot; .</t>
  </si>
  <si>
    <t>file://conllu/ru/doyle_bask.14.conllu#s249_0</t>
  </si>
  <si>
    <t>250</t>
  </si>
  <si>
    <t>стоить</t>
  </si>
  <si>
    <t>— Из-за такой находки стоило принять грязевую ванну .</t>
  </si>
  <si>
    <t>file://conllu/ru/doyle_bask.14.conllu#s250_0</t>
  </si>
  <si>
    <t>251</t>
  </si>
  <si>
    <t>Вот он , пропавший башмак нашего друга !</t>
  </si>
  <si>
    <t>file://conllu/ru/doyle_bask.14.conllu#s251_0</t>
  </si>
  <si>
    <t>252</t>
  </si>
  <si>
    <t>бросить</t>
  </si>
  <si>
    <t>— Брошенный второпях Стэплтоном ?</t>
  </si>
  <si>
    <t>file://conllu/ru/doyle_bask.14.conllu#s252_0</t>
  </si>
  <si>
    <t>253</t>
  </si>
  <si>
    <t>верный</t>
  </si>
  <si>
    <t>— Совершенно верно .</t>
  </si>
  <si>
    <t>file://conllu/ru/doyle_bask.14.conllu#s253_0</t>
  </si>
  <si>
    <t>254</t>
  </si>
  <si>
    <t>выпустить</t>
  </si>
  <si>
    <t>Он так и не выпустил его из рук , после того как дал собаке понюхать , наводя её на след .</t>
  </si>
  <si>
    <t>file://conllu/ru/doyle_bask.14.conllu#s254_0</t>
  </si>
  <si>
    <t>255</t>
  </si>
  <si>
    <t>броситься</t>
  </si>
  <si>
    <t>Когда он понял , что игра проиграна , он так и бросился бежать , держа его в руках .</t>
  </si>
  <si>
    <t>file://conllu/ru/doyle_bask.14.conllu#s255_0</t>
  </si>
  <si>
    <t>256</t>
  </si>
  <si>
    <t>А в этом месте бросил .</t>
  </si>
  <si>
    <t>file://conllu/ru/doyle_bask.14.conllu#s256_0</t>
  </si>
  <si>
    <t>257</t>
  </si>
  <si>
    <t>Теперь мы , по крайней мере , знаем , что до этого места он добрался благополучно .</t>
  </si>
  <si>
    <t>file://conllu/ru/doyle_bask.14.conllu#s257_0</t>
  </si>
  <si>
    <t>258</t>
  </si>
  <si>
    <t>удаться</t>
  </si>
  <si>
    <t>Но больше нам ничего не удалось узнать , хотя догадываться мы могли о многом .</t>
  </si>
  <si>
    <t>file://conllu/ru/doyle_bask.14.conllu#s258_0</t>
  </si>
  <si>
    <t>259</t>
  </si>
  <si>
    <t>Разглядеть на тропинке следы не было никакой возможности — их сразу же затягивало тиной .</t>
  </si>
  <si>
    <t>file://conllu/ru/doyle_bask.14.conllu#s259_0</t>
  </si>
  <si>
    <t>260</t>
  </si>
  <si>
    <t>решить</t>
  </si>
  <si>
    <t>Мы решили , что они обнаружатся на более сухом месте , однако все поиски были тщетны .</t>
  </si>
  <si>
    <t>file://conllu/ru/doyle_bask.14.conllu#s260_0</t>
  </si>
  <si>
    <t>261</t>
  </si>
  <si>
    <t>Если земля говорила правду , то Стэплтону так и не удалось добраться до своего убежища на островке , к которому он стремился в ту памятную нам туманную ночь .</t>
  </si>
  <si>
    <t>file://conllu/ru/doyle_bask.14.conllu#s261_0</t>
  </si>
  <si>
    <t>262</t>
  </si>
  <si>
    <t>погрести</t>
  </si>
  <si>
    <t>Этот холодный , жестокий человек был навеки погребен в самом сердце зловонной Гримпенской трясины , засосавшей его в свою бездонную глубину .</t>
  </si>
  <si>
    <t>file://conllu/ru/doyle_bask.14.conllu#s262_0</t>
  </si>
  <si>
    <t>263</t>
  </si>
  <si>
    <t>Мы нашли немало его следов на опоясанном топью островке , где он прятал своего страшного сообщника .</t>
  </si>
  <si>
    <t>file://conllu/ru/doyle_bask.14.conllu#s263_0</t>
  </si>
  <si>
    <t>264</t>
  </si>
  <si>
    <t>Огромный ворот и шахта , до половины заваленная щебнем , говорили , что когда-то здесь был рудник .</t>
  </si>
  <si>
    <t>file://conllu/ru/doyle_bask.14.conllu#s264_0</t>
  </si>
  <si>
    <t>265</t>
  </si>
  <si>
    <t>Рядом с ним стояли развалившиеся лачуги рудокопов , которых , вероятно , выгнали отсюда ядовитые болотные испарения .</t>
  </si>
  <si>
    <t>file://conllu/ru/doyle_bask.14.conllu#s265_0</t>
  </si>
  <si>
    <t>266</t>
  </si>
  <si>
    <t>В одной из этих лачуг мы нашли кольцо в стене , цепь и множество обглоданных костей .</t>
  </si>
  <si>
    <t>file://conllu/ru/doyle_bask.14.conllu#s266_0</t>
  </si>
  <si>
    <t>267</t>
  </si>
  <si>
    <t>дергнуть</t>
  </si>
  <si>
    <t>Здесь , вероятно , Стэплтон и держал своего пса .</t>
  </si>
  <si>
    <t>file://conllu/ru/doyle_bask.14.conllu#s267_0</t>
  </si>
  <si>
    <t>268</t>
  </si>
  <si>
    <t>валяться</t>
  </si>
  <si>
    <t>Среди мусора валялся скелет собаки с оставшимся на нем клочком рыжей шерсти .</t>
  </si>
  <si>
    <t>file://conllu/ru/doyle_bask.14.conllu#s268_0</t>
  </si>
  <si>
    <t>269</t>
  </si>
  <si>
    <t>воскликнуть</t>
  </si>
  <si>
    <t>— Боже мой ! — воскликнул Холмс .</t>
  </si>
  <si>
    <t>file://conllu/ru/doyle_bask.14.conllu#s269_0</t>
  </si>
  <si>
    <t>270</t>
  </si>
  <si>
    <t>спаниель</t>
  </si>
  <si>
    <t>— Да это спаниель !</t>
  </si>
  <si>
    <t>file://conllu/ru/doyle_bask.14.conllu#s270_0</t>
  </si>
  <si>
    <t>271</t>
  </si>
  <si>
    <t>уводить</t>
  </si>
  <si>
    <t>Бедный Мортимер больше никогда не уводит своего любимца .</t>
  </si>
  <si>
    <t>file://conllu/ru/doyle_bask.14.conllu#s271_0</t>
  </si>
  <si>
    <t>272</t>
  </si>
  <si>
    <t>думать (думать открыть)</t>
  </si>
  <si>
    <t>Ну что ж , теперь , я думаю , этот островок открыл нам все свои тайны .</t>
  </si>
  <si>
    <t>file://conllu/ru/doyle_bask.14.conllu#s272_0</t>
  </si>
  <si>
    <t>273</t>
  </si>
  <si>
    <t>быть (быть нетрудный)</t>
  </si>
  <si>
    <t>Спрятать собаку было нетрудно , а вот попробуйте заставить ее молчать !</t>
  </si>
  <si>
    <t>file://conllu/ru/doyle_bask.14.conllu#s273_0</t>
  </si>
  <si>
    <t>274</t>
  </si>
  <si>
    <t>Отсюда и шел этот вой , от которого людям даже днем становилось не по себе .</t>
  </si>
  <si>
    <t>file://conllu/ru/doyle_bask.14.conllu#s274_0</t>
  </si>
  <si>
    <t>275</t>
  </si>
  <si>
    <t>В случае крайней необходимости Стэплтон мог бы перевести собаку в сарай , поближе к дому , но на такой риск можно было пойти только в самую критическую минуту , в расчете на близкую развязку .</t>
  </si>
  <si>
    <t>file://conllu/ru/doyle_bask.14.conllu#s275_0</t>
  </si>
  <si>
    <t>276</t>
  </si>
  <si>
    <t>паста</t>
  </si>
  <si>
    <t>А вот эта паста в жестянке — тот самый светящийся состав , которым он смазывал своего пса .</t>
  </si>
  <si>
    <t>file://conllu/ru/doyle_bask.14.conllu#s276_0</t>
  </si>
  <si>
    <t>277</t>
  </si>
  <si>
    <t>натолкнуть</t>
  </si>
  <si>
    <t>Его натолкнуло на эту мысль не что иное , как легенда о чудовищной собаке Баскервилей , и он решил разделаться таким способом с сэром Чарльзом .</t>
  </si>
  <si>
    <t>file://conllu/ru/doyle_bask.14.conllu#s277_0</t>
  </si>
  <si>
    <t>278</t>
  </si>
  <si>
    <t>неудивительный</t>
  </si>
  <si>
    <t>Теперь неудивительно , что злосчастный каторжник пустился наутек ( как , впрочем , и наш друг , да и мы сами были недалеки от этого ) , когда эдакое страшилище выскочило на него из темноты .</t>
  </si>
  <si>
    <t>file://conllu/ru/doyle_bask.14.conllu#s278_0</t>
  </si>
  <si>
    <t>279</t>
  </si>
  <si>
    <t>придумать</t>
  </si>
  <si>
    <t>Стэплтон хитро придумал !</t>
  </si>
  <si>
    <t>file://conllu/ru/doyle_bask.14.conllu#s279_0</t>
  </si>
  <si>
    <t>280</t>
  </si>
  <si>
    <t>Уж не говоря о том , что собака помогла бы ему убить его жертву , кто из здешних фермеров решился бы поближе познакомиться с ней ?</t>
  </si>
  <si>
    <t>file://conllu/ru/doyle_bask.14.conllu#s280_0</t>
  </si>
  <si>
    <t>281</t>
  </si>
  <si>
    <t>тварь</t>
  </si>
  <si>
    <t>С такой тварью достаточно и одной встречи .</t>
  </si>
  <si>
    <t>file://conllu/ru/doyle_bask.14.conllu#s281_0</t>
  </si>
  <si>
    <t>282</t>
  </si>
  <si>
    <t>А ведь ее многие видели на болотах .</t>
  </si>
  <si>
    <t>file://conllu/ru/doyle_bask.14.conllu#s282_0</t>
  </si>
  <si>
    <t>283</t>
  </si>
  <si>
    <t>повторять (повторять говорить)</t>
  </si>
  <si>
    <t>Я говорил об этом в Лондоне , Уотсон , и повторяю опять : нам никогда не приходилось иметь дело с человеком более опасным , чем тот , кто лежит теперь там !</t>
  </si>
  <si>
    <t>file://conllu/ru/doyle_bask.14.conllu#s283_0</t>
  </si>
  <si>
    <t>284</t>
  </si>
  <si>
    <t>показать</t>
  </si>
  <si>
    <t>— И он показал на зелено бурую трясину , уходившую вдаль , к пологим склонам торфяных болот .</t>
  </si>
  <si>
    <t>file://conllu/ru/doyle_bask.14.conllu#s284_0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</si>
  <si>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</si>
  <si>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</si>
  <si>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</si>
  <si>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</si>
  <si>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</si>
  <si>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</si>
  <si>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</si>
  <si>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</si>
  <si>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</si>
  <si>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</si>
  <si>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</si>
  <si>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Одним из недостатков Шерлока Холмса — если только это можно назвать недостатком — было то, что он никогда и ни с кем не делился своими планами вплоть до их свершения.</t>
  </si>
  <si>
    <t>Одним</t>
  </si>
  <si>
    <t>из</t>
  </si>
  <si>
    <t>недостатков</t>
  </si>
  <si>
    <t>other</t>
  </si>
  <si>
    <t>def-np.poss</t>
  </si>
  <si>
    <t>?OLD</t>
  </si>
  <si>
    <t>Шерлока</t>
  </si>
  <si>
    <t>other_2</t>
  </si>
  <si>
    <t>ne</t>
  </si>
  <si>
    <t>Холмса</t>
  </si>
  <si>
    <t>other_3</t>
  </si>
  <si>
    <t>—</t>
  </si>
  <si>
    <t>если</t>
  </si>
  <si>
    <t>только</t>
  </si>
  <si>
    <t>это</t>
  </si>
  <si>
    <t>OBJ_3</t>
  </si>
  <si>
    <t>pron.pds</t>
  </si>
  <si>
    <t>можно</t>
  </si>
  <si>
    <t>назвать</t>
  </si>
  <si>
    <t>недостатком</t>
  </si>
  <si>
    <t>было</t>
  </si>
  <si>
    <t>то</t>
  </si>
  <si>
    <t>SBJ_2</t>
  </si>
  <si>
    <t>,</t>
  </si>
  <si>
    <t>он</t>
  </si>
  <si>
    <t>SBJ_4</t>
  </si>
  <si>
    <t>pron</t>
  </si>
  <si>
    <t>никогда</t>
  </si>
  <si>
    <t>и</t>
  </si>
  <si>
    <t>ни</t>
  </si>
  <si>
    <t>с</t>
  </si>
  <si>
    <t>кем</t>
  </si>
  <si>
    <t>other_4</t>
  </si>
  <si>
    <t>pron.pint</t>
  </si>
  <si>
    <t>не</t>
  </si>
  <si>
    <t>делился</t>
  </si>
  <si>
    <t>своими</t>
  </si>
  <si>
    <t>планами</t>
  </si>
  <si>
    <t>вплоть</t>
  </si>
  <si>
    <t>до</t>
  </si>
  <si>
    <t>их</t>
  </si>
  <si>
    <t>other_5</t>
  </si>
  <si>
    <t>pron.ppos</t>
  </si>
  <si>
    <t>свершения</t>
  </si>
  <si>
    <t>OBJ_4</t>
  </si>
  <si>
    <t>.</t>
  </si>
  <si>
    <t># text = Такая скрытность объяснялась отчасти властной натурой этого человека, любившего повелевать окружающими и поражать их воображение, отчасти профессиональной осторожностью, не позволявшей ему рисковать без нужды.</t>
  </si>
  <si>
    <t>Такая</t>
  </si>
  <si>
    <t>скрытность</t>
  </si>
  <si>
    <t>SBJ</t>
  </si>
  <si>
    <t>объяснялась</t>
  </si>
  <si>
    <t>отчасти</t>
  </si>
  <si>
    <t>властной</t>
  </si>
  <si>
    <t>натурой</t>
  </si>
  <si>
    <t>этого</t>
  </si>
  <si>
    <t>человека</t>
  </si>
  <si>
    <t>def-np.dem</t>
  </si>
  <si>
    <t>любившего</t>
  </si>
  <si>
    <t>повелевать</t>
  </si>
  <si>
    <t>окружающими</t>
  </si>
  <si>
    <t>поражать</t>
  </si>
  <si>
    <t>воображение</t>
  </si>
  <si>
    <t>OBJ_6</t>
  </si>
  <si>
    <t>профессиональной</t>
  </si>
  <si>
    <t>осторожностью</t>
  </si>
  <si>
    <t>позволявшей</t>
  </si>
  <si>
    <t>ему</t>
  </si>
  <si>
    <t>OBJ_8</t>
  </si>
  <si>
    <t>рисковать</t>
  </si>
  <si>
    <t>без</t>
  </si>
  <si>
    <t>нужды</t>
  </si>
  <si>
    <t># text = Как бы то ни было, эта черта характера Шерлока Холмса доставляла много неприятностей тем, кто работал с ним в качестве его агентов или помощников.</t>
  </si>
  <si>
    <t>Как</t>
  </si>
  <si>
    <t>бы</t>
  </si>
  <si>
    <t>эта</t>
  </si>
  <si>
    <t>черта</t>
  </si>
  <si>
    <t>характера</t>
  </si>
  <si>
    <t>доставляла</t>
  </si>
  <si>
    <t>много</t>
  </si>
  <si>
    <t>неприятностей</t>
  </si>
  <si>
    <t>тем</t>
  </si>
  <si>
    <t>кто</t>
  </si>
  <si>
    <t>работал</t>
  </si>
  <si>
    <t>ним</t>
  </si>
  <si>
    <t>в</t>
  </si>
  <si>
    <t>качестве</t>
  </si>
  <si>
    <t>его</t>
  </si>
  <si>
    <t>агентов</t>
  </si>
  <si>
    <t>или</t>
  </si>
  <si>
    <t>помощников</t>
  </si>
  <si>
    <t># text = Я сам часто страдал от нее, но то, что мне пришлось вытерпеть за это долгое путешествие в темноте, превзошло все мои прошлые муки.</t>
  </si>
  <si>
    <t>Я</t>
  </si>
  <si>
    <t>сам</t>
  </si>
  <si>
    <t>часто</t>
  </si>
  <si>
    <t>страдал</t>
  </si>
  <si>
    <t>от</t>
  </si>
  <si>
    <t>нее</t>
  </si>
  <si>
    <t>но</t>
  </si>
  <si>
    <t>мне</t>
  </si>
  <si>
    <t>пришлось</t>
  </si>
  <si>
    <t>вытерпеть</t>
  </si>
  <si>
    <t>за</t>
  </si>
  <si>
    <t>долгое</t>
  </si>
  <si>
    <t>путешествие</t>
  </si>
  <si>
    <t>темноте</t>
  </si>
  <si>
    <t>превзошло</t>
  </si>
  <si>
    <t>все</t>
  </si>
  <si>
    <t>мои</t>
  </si>
  <si>
    <t>прошлые</t>
  </si>
  <si>
    <t>муки</t>
  </si>
  <si>
    <t>indef-np.quant</t>
  </si>
  <si>
    <t># text = Нам предстояло нелегкое испытание, мы были готовы нанести последний, решающий удар, а Холмс упорно молчал, и я мог только догадываться о его планах.</t>
  </si>
  <si>
    <t>Нам</t>
  </si>
  <si>
    <t>OBJ</t>
  </si>
  <si>
    <t>предстояло</t>
  </si>
  <si>
    <t>нелегкое</t>
  </si>
  <si>
    <t>испытание</t>
  </si>
  <si>
    <t>мы</t>
  </si>
  <si>
    <t>были</t>
  </si>
  <si>
    <t>готовы</t>
  </si>
  <si>
    <t>нанести</t>
  </si>
  <si>
    <t>последний</t>
  </si>
  <si>
    <t>решающий</t>
  </si>
  <si>
    <t>удар</t>
  </si>
  <si>
    <t>а</t>
  </si>
  <si>
    <t>Холмс</t>
  </si>
  <si>
    <t>упорно</t>
  </si>
  <si>
    <t>молчал</t>
  </si>
  <si>
    <t>я</t>
  </si>
  <si>
    <t>мог</t>
  </si>
  <si>
    <t>догадываться</t>
  </si>
  <si>
    <t>о</t>
  </si>
  <si>
    <t>планах</t>
  </si>
  <si>
    <t># text = Мое нервное напряжение дошло до предела, как вдруг в лицо нам пахнуло холодным ветром, и, глянув в темноту, на пустынные просторы, тянувшиеся по обеим сторонам узкой дороги, я понял, что мы снова очутились на болотах.</t>
  </si>
  <si>
    <t>Мое</t>
  </si>
  <si>
    <t>нервное</t>
  </si>
  <si>
    <t>напряжение</t>
  </si>
  <si>
    <t>дошло</t>
  </si>
  <si>
    <t>предела</t>
  </si>
  <si>
    <t>как</t>
  </si>
  <si>
    <t>вдруг</t>
  </si>
  <si>
    <t>лицо</t>
  </si>
  <si>
    <t>нам</t>
  </si>
  <si>
    <t>OBJ_2</t>
  </si>
  <si>
    <t>пахнуло</t>
  </si>
  <si>
    <t>холодным</t>
  </si>
  <si>
    <t>ветром</t>
  </si>
  <si>
    <t>глянув</t>
  </si>
  <si>
    <t>темноту</t>
  </si>
  <si>
    <t>на</t>
  </si>
  <si>
    <t>пустынные</t>
  </si>
  <si>
    <t>просторы</t>
  </si>
  <si>
    <t>тянувшиеся</t>
  </si>
  <si>
    <t>по</t>
  </si>
  <si>
    <t>обеим</t>
  </si>
  <si>
    <t>сторонам</t>
  </si>
  <si>
    <t>узкой</t>
  </si>
  <si>
    <t>дороги</t>
  </si>
  <si>
    <t>понял</t>
  </si>
  <si>
    <t>SBJ_3</t>
  </si>
  <si>
    <t>снова</t>
  </si>
  <si>
    <t>очутились</t>
  </si>
  <si>
    <t>болотах</t>
  </si>
  <si>
    <t># text = Каждый шаг лошадей, каждый поворот колес приближал нас к развязке всех этих событий.</t>
  </si>
  <si>
    <t>Каждый</t>
  </si>
  <si>
    <t>лошадей</t>
  </si>
  <si>
    <t>каждый</t>
  </si>
  <si>
    <t>поворот</t>
  </si>
  <si>
    <t>колес</t>
  </si>
  <si>
    <t>приближал</t>
  </si>
  <si>
    <t>нас</t>
  </si>
  <si>
    <t>к</t>
  </si>
  <si>
    <t>развязке</t>
  </si>
  <si>
    <t>всех</t>
  </si>
  <si>
    <t>этих</t>
  </si>
  <si>
    <t>событий</t>
  </si>
  <si>
    <t># text = В присутствии возницы, нанятого в Кумби-Треси, нельзя было говорить о деле, и мы, несмотря на все свое волнение, беседовали о каких-то пустяках.</t>
  </si>
  <si>
    <t>В</t>
  </si>
  <si>
    <t>присутствии</t>
  </si>
  <si>
    <t>возницы</t>
  </si>
  <si>
    <t>нанятого</t>
  </si>
  <si>
    <t>Кумби-Треси</t>
  </si>
  <si>
    <t>деле</t>
  </si>
  <si>
    <t>несмотря</t>
  </si>
  <si>
    <t>свое</t>
  </si>
  <si>
    <t>волнение</t>
  </si>
  <si>
    <t>беседовали</t>
  </si>
  <si>
    <t>каких-то</t>
  </si>
  <si>
    <t>пустяках</t>
  </si>
  <si>
    <t>indef-np</t>
  </si>
  <si>
    <t># text = Я облегченно вздохнул, когда в стороне от дороги показался коттедж Френкленда, от которого оставалось две-три мили до Баскервиль-холла и до того места, где должна была разыграться заключительная сцена трагедии.</t>
  </si>
  <si>
    <t>облегченно</t>
  </si>
  <si>
    <t>вздохнул</t>
  </si>
  <si>
    <t>когда</t>
  </si>
  <si>
    <t>стороне</t>
  </si>
  <si>
    <t>показался</t>
  </si>
  <si>
    <t>коттедж</t>
  </si>
  <si>
    <t>Френкленда</t>
  </si>
  <si>
    <t>которого</t>
  </si>
  <si>
    <t>оставалось</t>
  </si>
  <si>
    <t>две</t>
  </si>
  <si>
    <t>три</t>
  </si>
  <si>
    <t>мили</t>
  </si>
  <si>
    <t>Баскервиль</t>
  </si>
  <si>
    <t>холла</t>
  </si>
  <si>
    <t>того</t>
  </si>
  <si>
    <t>места</t>
  </si>
  <si>
    <t>other_6</t>
  </si>
  <si>
    <t>должна</t>
  </si>
  <si>
    <t>была</t>
  </si>
  <si>
    <t>разыграться</t>
  </si>
  <si>
    <t>заключительная</t>
  </si>
  <si>
    <t>сцена</t>
  </si>
  <si>
    <t>SBJ_8</t>
  </si>
  <si>
    <t>трагедии</t>
  </si>
  <si>
    <t># text = Не останавливаясь у подъезда, мы проехали к калитке в тисовой аллее, расплатились с возницей, отправили его обратно в Кумби-Треси, а сами пошли по направлению к Меррипит-хаус.</t>
  </si>
  <si>
    <t>Не</t>
  </si>
  <si>
    <t>останавливаясь</t>
  </si>
  <si>
    <t>у</t>
  </si>
  <si>
    <t>подъезда</t>
  </si>
  <si>
    <t>проехали</t>
  </si>
  <si>
    <t>калитке</t>
  </si>
  <si>
    <t>тисовой</t>
  </si>
  <si>
    <t>аллее</t>
  </si>
  <si>
    <t>расплатились</t>
  </si>
  <si>
    <t>возницей</t>
  </si>
  <si>
    <t>отправили</t>
  </si>
  <si>
    <t>обратно</t>
  </si>
  <si>
    <t>сами</t>
  </si>
  <si>
    <t>пошли</t>
  </si>
  <si>
    <t>направлению</t>
  </si>
  <si>
    <t># text = — Вы с оружием, Лестрейд?</t>
  </si>
  <si>
    <t>Вы</t>
  </si>
  <si>
    <t>оружием</t>
  </si>
  <si>
    <t>?</t>
  </si>
  <si>
    <t># text = Маленький сыщик улыбнулся: — Раз на мне брюки, значит, и задний карман у них есть, а раз есть задний карман, значит, он не пустует.</t>
  </si>
  <si>
    <t>Маленький</t>
  </si>
  <si>
    <t>сыщик</t>
  </si>
  <si>
    <t>улыбнулся</t>
  </si>
  <si>
    <t>:</t>
  </si>
  <si>
    <t>Раз</t>
  </si>
  <si>
    <t>брюки</t>
  </si>
  <si>
    <t>значит</t>
  </si>
  <si>
    <t>задний</t>
  </si>
  <si>
    <t>карман</t>
  </si>
  <si>
    <t>них</t>
  </si>
  <si>
    <t>есть</t>
  </si>
  <si>
    <t>раз</t>
  </si>
  <si>
    <t>пустует</t>
  </si>
  <si>
    <t># text = — Вот и прекрасно!</t>
  </si>
  <si>
    <t>Вот</t>
  </si>
  <si>
    <t>!</t>
  </si>
  <si>
    <t># text = Мы с Уотсоном тоже приготовились ко всяким неожиданностям.</t>
  </si>
  <si>
    <t>Мы</t>
  </si>
  <si>
    <t>Уотсоном</t>
  </si>
  <si>
    <t>тоже</t>
  </si>
  <si>
    <t>приготовились</t>
  </si>
  <si>
    <t>ко</t>
  </si>
  <si>
    <t>всяким</t>
  </si>
  <si>
    <t>неожиданностям</t>
  </si>
  <si>
    <t># text = — Я вижу, вы настроены очень серьезно, мистер Холмс.</t>
  </si>
  <si>
    <t>вижу</t>
  </si>
  <si>
    <t>вы</t>
  </si>
  <si>
    <t>настроены</t>
  </si>
  <si>
    <t>очень</t>
  </si>
  <si>
    <t>серьезно</t>
  </si>
  <si>
    <t>мистер</t>
  </si>
  <si>
    <t># text = А что от нас теперь требуется в этой игре?</t>
  </si>
  <si>
    <t>А</t>
  </si>
  <si>
    <t>теперь</t>
  </si>
  <si>
    <t>требуется</t>
  </si>
  <si>
    <t>этой</t>
  </si>
  <si>
    <t>игре</t>
  </si>
  <si>
    <t># text = — Требуется терпение.</t>
  </si>
  <si>
    <t>Требуется</t>
  </si>
  <si>
    <t>терпение</t>
  </si>
  <si>
    <t># text = Будем ждать.</t>
  </si>
  <si>
    <t>Будем</t>
  </si>
  <si>
    <t># text = — Действительно, места здесь не очень веселые!</t>
  </si>
  <si>
    <t>Действительно</t>
  </si>
  <si>
    <t>веселые</t>
  </si>
  <si>
    <t># text = — Сыщик повел плечами, глядя на мрачные склоны холмов и туман, озером разлившийся над Гримпенской трясиной.</t>
  </si>
  <si>
    <t>Сыщик</t>
  </si>
  <si>
    <t>повел</t>
  </si>
  <si>
    <t>плечами</t>
  </si>
  <si>
    <t>глядя</t>
  </si>
  <si>
    <t>мрачные</t>
  </si>
  <si>
    <t>склоны</t>
  </si>
  <si>
    <t>холмов</t>
  </si>
  <si>
    <t>озером</t>
  </si>
  <si>
    <t>разлившийся</t>
  </si>
  <si>
    <t>над</t>
  </si>
  <si>
    <t>Гримпенской</t>
  </si>
  <si>
    <t>трясиной</t>
  </si>
  <si>
    <t># text = — А вон где-то горит огонек.</t>
  </si>
  <si>
    <t>вон</t>
  </si>
  <si>
    <t>где-то</t>
  </si>
  <si>
    <t>горит</t>
  </si>
  <si>
    <t>огонек</t>
  </si>
  <si>
    <t># text = — Это Меррипит-хаус — конечная цель нашего путешествия.</t>
  </si>
  <si>
    <t>Это</t>
  </si>
  <si>
    <t>конечная</t>
  </si>
  <si>
    <t>цель</t>
  </si>
  <si>
    <t>нашего</t>
  </si>
  <si>
    <t>путешествия</t>
  </si>
  <si>
    <t># text = Теперь попрошу вас ступать как можно тише и говорить шепотом.</t>
  </si>
  <si>
    <t>Теперь</t>
  </si>
  <si>
    <t>попрошу</t>
  </si>
  <si>
    <t>вас</t>
  </si>
  <si>
    <t>ступать</t>
  </si>
  <si>
    <t>тише</t>
  </si>
  <si>
    <t>шепотом</t>
  </si>
  <si>
    <t># text = Мы осторожно шагали по тропинке, которая вела к дому, но ярдов за двести от него Холмс остановился.</t>
  </si>
  <si>
    <t>осторожно</t>
  </si>
  <si>
    <t>шагали</t>
  </si>
  <si>
    <t>тропинке</t>
  </si>
  <si>
    <t>которая</t>
  </si>
  <si>
    <t>вела</t>
  </si>
  <si>
    <t>дому</t>
  </si>
  <si>
    <t>ярдов</t>
  </si>
  <si>
    <t>двести</t>
  </si>
  <si>
    <t>него</t>
  </si>
  <si>
    <t>остановился</t>
  </si>
  <si>
    <t># text = — Дальше не надо, — сказал он.</t>
  </si>
  <si>
    <t>Дальше</t>
  </si>
  <si>
    <t>сказал</t>
  </si>
  <si>
    <t># text = — Вот эти валуны послужат нам прекрасной ширмой.</t>
  </si>
  <si>
    <t>эти</t>
  </si>
  <si>
    <t>валуны</t>
  </si>
  <si>
    <t>послужат</t>
  </si>
  <si>
    <t>прекрасной</t>
  </si>
  <si>
    <t>ширмой</t>
  </si>
  <si>
    <t># text = — Здесь и будем ждать?</t>
  </si>
  <si>
    <t>Здесь</t>
  </si>
  <si>
    <t>будем</t>
  </si>
  <si>
    <t># text = — Да, устроим засаду.</t>
  </si>
  <si>
    <t>Да</t>
  </si>
  <si>
    <t>устроим</t>
  </si>
  <si>
    <t>засаду</t>
  </si>
  <si>
    <t># text = Станьте вот сюда, Лестрейд.</t>
  </si>
  <si>
    <t>Станьте</t>
  </si>
  <si>
    <t>сюда</t>
  </si>
  <si>
    <t># text = Уотсон, ведь вы бывали в доме?</t>
  </si>
  <si>
    <t>Уотсон</t>
  </si>
  <si>
    <t>ведь</t>
  </si>
  <si>
    <t>бывали</t>
  </si>
  <si>
    <t>доме</t>
  </si>
  <si>
    <t># text = Расположение комнат знаете?</t>
  </si>
  <si>
    <t>Расположение</t>
  </si>
  <si>
    <t>комнат</t>
  </si>
  <si>
    <t>знаете</t>
  </si>
  <si>
    <t># text = Вон те окна с переплетом — что это?</t>
  </si>
  <si>
    <t>Вон</t>
  </si>
  <si>
    <t>те</t>
  </si>
  <si>
    <t>окна</t>
  </si>
  <si>
    <t>переплетом</t>
  </si>
  <si>
    <t># text = — По-моему, кухня.</t>
  </si>
  <si>
    <t>По-моему</t>
  </si>
  <si>
    <t># text = — А следующее, ярко освещенное?</t>
  </si>
  <si>
    <t>следующее</t>
  </si>
  <si>
    <t>ярко</t>
  </si>
  <si>
    <t>освещенное</t>
  </si>
  <si>
    <t># text = — Это столовая.</t>
  </si>
  <si>
    <t>столовая</t>
  </si>
  <si>
    <t># text = — Шторы подняты.</t>
  </si>
  <si>
    <t>Шторы</t>
  </si>
  <si>
    <t>подняты</t>
  </si>
  <si>
    <t># text = Вы лучше меня знаете, как туда пройти.</t>
  </si>
  <si>
    <t>лучше</t>
  </si>
  <si>
    <t>меня</t>
  </si>
  <si>
    <t>туда</t>
  </si>
  <si>
    <t># text = Загляните в окно — что они там делают?</t>
  </si>
  <si>
    <t>Загляните</t>
  </si>
  <si>
    <t>окно</t>
  </si>
  <si>
    <t>они</t>
  </si>
  <si>
    <t>там</t>
  </si>
  <si>
    <t>делают</t>
  </si>
  <si>
    <t># text = Только, ради бога, тише.</t>
  </si>
  <si>
    <t>Только</t>
  </si>
  <si>
    <t>ради</t>
  </si>
  <si>
    <t>бога</t>
  </si>
  <si>
    <t># text = Как бы вас не услышали.</t>
  </si>
  <si>
    <t>услышали</t>
  </si>
  <si>
    <t># text = Я подкрался на цыпочках к низкой каменной ограде, окружающей чахлый садик Стэплтонов, и, пробираясь в ее тени, дошел до того места, откуда можно было заглянуть в незанавешенное окно.</t>
  </si>
  <si>
    <t>подкрался</t>
  </si>
  <si>
    <t>цыпочках</t>
  </si>
  <si>
    <t>низкой</t>
  </si>
  <si>
    <t>каменной</t>
  </si>
  <si>
    <t>ограде</t>
  </si>
  <si>
    <t>окружающей</t>
  </si>
  <si>
    <t>чахлый</t>
  </si>
  <si>
    <t>садик</t>
  </si>
  <si>
    <t>Стэплтонов</t>
  </si>
  <si>
    <t>пробираясь</t>
  </si>
  <si>
    <t>ее</t>
  </si>
  <si>
    <t>other_7</t>
  </si>
  <si>
    <t>тени</t>
  </si>
  <si>
    <t>дошел</t>
  </si>
  <si>
    <t>откуда</t>
  </si>
  <si>
    <t>заглянуть</t>
  </si>
  <si>
    <t>незанавешенное</t>
  </si>
  <si>
    <t># text = В комнате были двое мужчин — сэр Генри и Стэплтон.</t>
  </si>
  <si>
    <t>комнате</t>
  </si>
  <si>
    <t>двое</t>
  </si>
  <si>
    <t>мужчин</t>
  </si>
  <si>
    <t>сэр</t>
  </si>
  <si>
    <t>Генри</t>
  </si>
  <si>
    <t>Стэплтон</t>
  </si>
  <si>
    <t># text = Они сидели друг против друга за круглым столом, ко мне в профиль, и курили сигары.</t>
  </si>
  <si>
    <t>Они</t>
  </si>
  <si>
    <t>сидели</t>
  </si>
  <si>
    <t>друг</t>
  </si>
  <si>
    <t>против</t>
  </si>
  <si>
    <t>друга</t>
  </si>
  <si>
    <t>круглым</t>
  </si>
  <si>
    <t>столом</t>
  </si>
  <si>
    <t>профиль</t>
  </si>
  <si>
    <t>курили</t>
  </si>
  <si>
    <t>сигары</t>
  </si>
  <si>
    <t># text = Перед ними стояли чашки с кофе и вино.</t>
  </si>
  <si>
    <t>Перед</t>
  </si>
  <si>
    <t>ними</t>
  </si>
  <si>
    <t>стояли</t>
  </si>
  <si>
    <t>чашки</t>
  </si>
  <si>
    <t>кофе</t>
  </si>
  <si>
    <t>вино</t>
  </si>
  <si>
    <t># text = Стэплтон оживленно говорил о чем-то, но баронет сидел бледный и слушал его невнимательно.</t>
  </si>
  <si>
    <t>оживленно</t>
  </si>
  <si>
    <t>говорил</t>
  </si>
  <si>
    <t>чем-то</t>
  </si>
  <si>
    <t>баронет</t>
  </si>
  <si>
    <t>сидел</t>
  </si>
  <si>
    <t>бледный</t>
  </si>
  <si>
    <t>слушал</t>
  </si>
  <si>
    <t>невнимательно</t>
  </si>
  <si>
    <t># text = Ему, вероятно, не давала покоя мысль о скором возвращении домой по зловещим болотам.</t>
  </si>
  <si>
    <t>Ему</t>
  </si>
  <si>
    <t>вероятно</t>
  </si>
  <si>
    <t>давала</t>
  </si>
  <si>
    <t>покоя</t>
  </si>
  <si>
    <t>мысль</t>
  </si>
  <si>
    <t>скором</t>
  </si>
  <si>
    <t>возвращении</t>
  </si>
  <si>
    <t>домой</t>
  </si>
  <si>
    <t>зловещим</t>
  </si>
  <si>
    <t>болотам</t>
  </si>
  <si>
    <t># text = Но вот Стэплтон встал и вышел из комнаты, а сэр Генри подлил себе вина в стакан и откинулся на спинку стула, попыхивая сигарой.</t>
  </si>
  <si>
    <t>Но</t>
  </si>
  <si>
    <t>встал</t>
  </si>
  <si>
    <t>вышел</t>
  </si>
  <si>
    <t>комнаты</t>
  </si>
  <si>
    <t>подлил</t>
  </si>
  <si>
    <t>себе</t>
  </si>
  <si>
    <t>вина</t>
  </si>
  <si>
    <t>стакан</t>
  </si>
  <si>
    <t>откинулся</t>
  </si>
  <si>
    <t>спинку</t>
  </si>
  <si>
    <t>стула</t>
  </si>
  <si>
    <t>попыхивая</t>
  </si>
  <si>
    <t>сигарой</t>
  </si>
  <si>
    <t># text = Я услышал скрип двери, потом похрустывание гравия на тропинке.</t>
  </si>
  <si>
    <t>услышал</t>
  </si>
  <si>
    <t>скрип</t>
  </si>
  <si>
    <t>двери</t>
  </si>
  <si>
    <t>потом</t>
  </si>
  <si>
    <t>похрустывание</t>
  </si>
  <si>
    <t>гравия</t>
  </si>
  <si>
    <t># text = Шаги приближались ко мне.</t>
  </si>
  <si>
    <t>Шаги</t>
  </si>
  <si>
    <t>приближались</t>
  </si>
  <si>
    <t># text = Выглянув из-за стены, я увидел, что натуралист остановился у небольшого сарая в углу сада.</t>
  </si>
  <si>
    <t>Выглянув</t>
  </si>
  <si>
    <t>из-за</t>
  </si>
  <si>
    <t>стены</t>
  </si>
  <si>
    <t>увидел</t>
  </si>
  <si>
    <t>натуралист</t>
  </si>
  <si>
    <t>небольшого</t>
  </si>
  <si>
    <t>сарая</t>
  </si>
  <si>
    <t>углу</t>
  </si>
  <si>
    <t>сада</t>
  </si>
  <si>
    <t># text = Звякнул ключ в замке, и в сарае послышалась какая-то возня.</t>
  </si>
  <si>
    <t>Звякнул</t>
  </si>
  <si>
    <t>ключ</t>
  </si>
  <si>
    <t>замке</t>
  </si>
  <si>
    <t>сарае</t>
  </si>
  <si>
    <t>послышалась</t>
  </si>
  <si>
    <t>какая-то</t>
  </si>
  <si>
    <t>возня</t>
  </si>
  <si>
    <t># text = Стэплтон пробыл там не больше двух минут, снова звякнул ключом, прошел мимо меня и исчез в доме.</t>
  </si>
  <si>
    <t>пробыл</t>
  </si>
  <si>
    <t>больше</t>
  </si>
  <si>
    <t>двух</t>
  </si>
  <si>
    <t>минут</t>
  </si>
  <si>
    <t>звякнул</t>
  </si>
  <si>
    <t>ключом</t>
  </si>
  <si>
    <t>прошел</t>
  </si>
  <si>
    <t>мимо</t>
  </si>
  <si>
    <t>исчез</t>
  </si>
  <si>
    <t># text = Я увидел, что он вернулся к своему гостю; осторожно пробравшись к товарищам, я рассказал им все это.</t>
  </si>
  <si>
    <t>вернулся</t>
  </si>
  <si>
    <t>своему</t>
  </si>
  <si>
    <t>гостю</t>
  </si>
  <si>
    <t>;</t>
  </si>
  <si>
    <t>пробравшись</t>
  </si>
  <si>
    <t>товарищам</t>
  </si>
  <si>
    <t>рассказал</t>
  </si>
  <si>
    <t>им</t>
  </si>
  <si>
    <t># text = — Значит, женщина не с ними? — спросил Холмс, когда я кончил.</t>
  </si>
  <si>
    <t>Значит</t>
  </si>
  <si>
    <t>женщина</t>
  </si>
  <si>
    <t>спросил</t>
  </si>
  <si>
    <t>кончил</t>
  </si>
  <si>
    <t># text = — Нет.</t>
  </si>
  <si>
    <t>Нет</t>
  </si>
  <si>
    <t># text = — Тогда где же она?</t>
  </si>
  <si>
    <t>Тогда</t>
  </si>
  <si>
    <t>же</t>
  </si>
  <si>
    <t>она</t>
  </si>
  <si>
    <t># text = Ведь, кроме кухни и столовой, все окна темные.</t>
  </si>
  <si>
    <t>Ведь</t>
  </si>
  <si>
    <t>кроме</t>
  </si>
  <si>
    <t>кухни</t>
  </si>
  <si>
    <t>столовой</t>
  </si>
  <si>
    <t>темные</t>
  </si>
  <si>
    <t># text = — Право, не знаю.</t>
  </si>
  <si>
    <t>Право</t>
  </si>
  <si>
    <t>знаю</t>
  </si>
  <si>
    <t># text = Я уже говорил, что над Гримпенской трясиной стлался густой белый туман.</t>
  </si>
  <si>
    <t>уже</t>
  </si>
  <si>
    <t>стлался</t>
  </si>
  <si>
    <t>густой</t>
  </si>
  <si>
    <t>белый</t>
  </si>
  <si>
    <t># text = Он медленно полз в нашу сторону, окружая нас и справа и слева низким, но плотным валом.</t>
  </si>
  <si>
    <t>Он</t>
  </si>
  <si>
    <t>медленно</t>
  </si>
  <si>
    <t>полз</t>
  </si>
  <si>
    <t>нашу</t>
  </si>
  <si>
    <t>сторону</t>
  </si>
  <si>
    <t>окружая</t>
  </si>
  <si>
    <t>справа</t>
  </si>
  <si>
    <t>слева</t>
  </si>
  <si>
    <t>низким</t>
  </si>
  <si>
    <t>плотным</t>
  </si>
  <si>
    <t>валом</t>
  </si>
  <si>
    <t># text = Лившийся сверху лунный свет превращал его в мерцающее ледяное поле, над которым, словно черные пики, вздымались верхушки отдаленных гранитных столбов.</t>
  </si>
  <si>
    <t>Лившийся</t>
  </si>
  <si>
    <t>сверху</t>
  </si>
  <si>
    <t>лунный</t>
  </si>
  <si>
    <t>свет</t>
  </si>
  <si>
    <t>превращал</t>
  </si>
  <si>
    <t>мерцающее</t>
  </si>
  <si>
    <t>ледяное</t>
  </si>
  <si>
    <t>поле</t>
  </si>
  <si>
    <t>которым</t>
  </si>
  <si>
    <t>словно</t>
  </si>
  <si>
    <t>черные</t>
  </si>
  <si>
    <t>пики</t>
  </si>
  <si>
    <t>вздымались</t>
  </si>
  <si>
    <t>верхушки</t>
  </si>
  <si>
    <t>отдаленных</t>
  </si>
  <si>
    <t>гранитных</t>
  </si>
  <si>
    <t>столбов</t>
  </si>
  <si>
    <t># text = Холмс повернулся в ту сторону и, глядя на эту медленно подползающую белую стену, нетерпеливо пробормотал: — Смотрите, Уотсон, туман движется прямо на нас.</t>
  </si>
  <si>
    <t>повернулся</t>
  </si>
  <si>
    <t>ту</t>
  </si>
  <si>
    <t>эту</t>
  </si>
  <si>
    <t>подползающую</t>
  </si>
  <si>
    <t>белую</t>
  </si>
  <si>
    <t>стену</t>
  </si>
  <si>
    <t>нетерпеливо</t>
  </si>
  <si>
    <t>пробормотал</t>
  </si>
  <si>
    <t>Смотрите</t>
  </si>
  <si>
    <t>движется</t>
  </si>
  <si>
    <t>прямо</t>
  </si>
  <si>
    <t># text = — А это нехорошо?</t>
  </si>
  <si>
    <t>нехорошо</t>
  </si>
  <si>
    <t># text = — Хуже некуда!</t>
  </si>
  <si>
    <t>Хуже</t>
  </si>
  <si>
    <t># text = Туман — единственное, что может нарушить мои планы.</t>
  </si>
  <si>
    <t>Туман</t>
  </si>
  <si>
    <t>единственное</t>
  </si>
  <si>
    <t>может</t>
  </si>
  <si>
    <t>нарушить</t>
  </si>
  <si>
    <t>планы</t>
  </si>
  <si>
    <t># text = Но сэр Генри там не задержится.</t>
  </si>
  <si>
    <t>задержится</t>
  </si>
  <si>
    <t># text = Уже десять часов.</t>
  </si>
  <si>
    <t>Уже</t>
  </si>
  <si>
    <t>десять</t>
  </si>
  <si>
    <t>часов</t>
  </si>
  <si>
    <t># text = Теперь все — и наш успех и даже его жизнь — зависит от того, выйдет ли он прежде, чем туман доползет до тропинки, или нет.</t>
  </si>
  <si>
    <t>наш</t>
  </si>
  <si>
    <t>успех</t>
  </si>
  <si>
    <t>даже</t>
  </si>
  <si>
    <t>жизнь</t>
  </si>
  <si>
    <t>зависит</t>
  </si>
  <si>
    <t>выйдет</t>
  </si>
  <si>
    <t>ли</t>
  </si>
  <si>
    <t>прежде</t>
  </si>
  <si>
    <t>чем</t>
  </si>
  <si>
    <t>доползет</t>
  </si>
  <si>
    <t>тропинки</t>
  </si>
  <si>
    <t># text = Ночное небо было чистое, без единого облачка.</t>
  </si>
  <si>
    <t>Ночное</t>
  </si>
  <si>
    <t>небо</t>
  </si>
  <si>
    <t>чистое</t>
  </si>
  <si>
    <t>единого</t>
  </si>
  <si>
    <t>облачка</t>
  </si>
  <si>
    <t># text = Звезды холодно поблескивали в вышине, луна заливала болота мягким неверным светом.</t>
  </si>
  <si>
    <t>Звезды</t>
  </si>
  <si>
    <t>холодно</t>
  </si>
  <si>
    <t>поблескивали</t>
  </si>
  <si>
    <t>вышине</t>
  </si>
  <si>
    <t>луна</t>
  </si>
  <si>
    <t>заливала</t>
  </si>
  <si>
    <t>болота</t>
  </si>
  <si>
    <t>мягким</t>
  </si>
  <si>
    <t>неверным</t>
  </si>
  <si>
    <t>светом</t>
  </si>
  <si>
    <t># text = Прямо перед нами смутно чернели очертания дома с остроконечной крышей, словно ощетинившейся трубами, которые четко выступали на звездном небе.</t>
  </si>
  <si>
    <t>Прямо</t>
  </si>
  <si>
    <t>перед</t>
  </si>
  <si>
    <t>нами</t>
  </si>
  <si>
    <t>смутно</t>
  </si>
  <si>
    <t>чернели</t>
  </si>
  <si>
    <t>очертания</t>
  </si>
  <si>
    <t>дома</t>
  </si>
  <si>
    <t>остроконечной</t>
  </si>
  <si>
    <t>крышей</t>
  </si>
  <si>
    <t>ощетинившейся</t>
  </si>
  <si>
    <t>трубами</t>
  </si>
  <si>
    <t>которые</t>
  </si>
  <si>
    <t>четко</t>
  </si>
  <si>
    <t>выступали</t>
  </si>
  <si>
    <t>звездном</t>
  </si>
  <si>
    <t>небе</t>
  </si>
  <si>
    <t># text = Широкие золотые полосы падали из окон нижнего этажа в сад и дальше, на болота.</t>
  </si>
  <si>
    <t>Широкие</t>
  </si>
  <si>
    <t>золотые</t>
  </si>
  <si>
    <t>полосы</t>
  </si>
  <si>
    <t>падали</t>
  </si>
  <si>
    <t>окон</t>
  </si>
  <si>
    <t>нижнего</t>
  </si>
  <si>
    <t>этажа</t>
  </si>
  <si>
    <t>сад</t>
  </si>
  <si>
    <t>дальше</t>
  </si>
  <si>
    <t># text = Одна из них вдруг погасла.</t>
  </si>
  <si>
    <t>Одна</t>
  </si>
  <si>
    <t>погасла</t>
  </si>
  <si>
    <t># text = Слуги вышли из кухни.</t>
  </si>
  <si>
    <t>Слуги</t>
  </si>
  <si>
    <t>вышли</t>
  </si>
  <si>
    <t># text = Теперь лампа горела только в столовой, где те двое — убийца-хозяин и ничего не подозревающий гость — покуривали сигары и продолжали свой разговор.</t>
  </si>
  <si>
    <t>лампа</t>
  </si>
  <si>
    <t>горела</t>
  </si>
  <si>
    <t>убийца</t>
  </si>
  <si>
    <t>хозяин</t>
  </si>
  <si>
    <t>ничего</t>
  </si>
  <si>
    <t>pron.pind</t>
  </si>
  <si>
    <t>подозревающий</t>
  </si>
  <si>
    <t>гость</t>
  </si>
  <si>
    <t>покуривали</t>
  </si>
  <si>
    <t>продолжали</t>
  </si>
  <si>
    <t>свой</t>
  </si>
  <si>
    <t>разговор</t>
  </si>
  <si>
    <t># text = Белая волокнистая пелена, затянувшая почти все болото, с каждой минутой приближалась к дому.</t>
  </si>
  <si>
    <t>Белая</t>
  </si>
  <si>
    <t>волокнистая</t>
  </si>
  <si>
    <t>пелена</t>
  </si>
  <si>
    <t>затянувшая</t>
  </si>
  <si>
    <t>почти</t>
  </si>
  <si>
    <t>болото</t>
  </si>
  <si>
    <t>каждой</t>
  </si>
  <si>
    <t>минутой</t>
  </si>
  <si>
    <t>приближалась</t>
  </si>
  <si>
    <t># text = Первые прозрачные клочья уже завивались у золотистого квадрата освещенного окна.</t>
  </si>
  <si>
    <t>Первые</t>
  </si>
  <si>
    <t>прозрачные</t>
  </si>
  <si>
    <t>клочья</t>
  </si>
  <si>
    <t>завивались</t>
  </si>
  <si>
    <t>золотистого</t>
  </si>
  <si>
    <t>квадрата</t>
  </si>
  <si>
    <t>освещенного</t>
  </si>
  <si>
    <t># text = Дальняя стена сада совсем исчезла в этой клубящейся мгле, над которой виднелись только верхушки деревьев.</t>
  </si>
  <si>
    <t>Дальняя</t>
  </si>
  <si>
    <t>стена</t>
  </si>
  <si>
    <t>совсем</t>
  </si>
  <si>
    <t>исчезла</t>
  </si>
  <si>
    <t>клубящейся</t>
  </si>
  <si>
    <t>мгле</t>
  </si>
  <si>
    <t>которой</t>
  </si>
  <si>
    <t>виднелись</t>
  </si>
  <si>
    <t>деревьев</t>
  </si>
  <si>
    <t># text = Вот белесые кольца показались с обеих сторон дома и медленно слились в плотный вал, и верхний этаж с крышей всплыл над ним, точно волшебный корабль на волнах призрачного моря.</t>
  </si>
  <si>
    <t>белесые</t>
  </si>
  <si>
    <t>кольца</t>
  </si>
  <si>
    <t>показались</t>
  </si>
  <si>
    <t>обеих</t>
  </si>
  <si>
    <t>сторон</t>
  </si>
  <si>
    <t>слились</t>
  </si>
  <si>
    <t>плотный</t>
  </si>
  <si>
    <t>вал</t>
  </si>
  <si>
    <t>верхний</t>
  </si>
  <si>
    <t>этаж</t>
  </si>
  <si>
    <t>всплыл</t>
  </si>
  <si>
    <t>точно</t>
  </si>
  <si>
    <t>волшебный</t>
  </si>
  <si>
    <t>корабль</t>
  </si>
  <si>
    <t>волнах</t>
  </si>
  <si>
    <t>призрачного</t>
  </si>
  <si>
    <t>моря</t>
  </si>
  <si>
    <t># text = Холмс яростно ударил кулаком о камень, за которым мы стояли, и вне себя от нетерпения топнул ногой.</t>
  </si>
  <si>
    <t>яростно</t>
  </si>
  <si>
    <t>ударил</t>
  </si>
  <si>
    <t>кулаком</t>
  </si>
  <si>
    <t>камень</t>
  </si>
  <si>
    <t>вне</t>
  </si>
  <si>
    <t>себя</t>
  </si>
  <si>
    <t>нетерпения</t>
  </si>
  <si>
    <t>топнул</t>
  </si>
  <si>
    <t>ногой</t>
  </si>
  <si>
    <t># text = — Если он не появится через четверть часа, тропинку затянет туманом, а через полчаса мы уже не сможем разглядеть собственную руку в этой тьме.</t>
  </si>
  <si>
    <t>Если</t>
  </si>
  <si>
    <t>появится</t>
  </si>
  <si>
    <t>через</t>
  </si>
  <si>
    <t>четверть</t>
  </si>
  <si>
    <t>часа</t>
  </si>
  <si>
    <t>тропинку</t>
  </si>
  <si>
    <t>затянет</t>
  </si>
  <si>
    <t>туманом</t>
  </si>
  <si>
    <t>пол</t>
  </si>
  <si>
    <t>сможем</t>
  </si>
  <si>
    <t>собственную</t>
  </si>
  <si>
    <t>руку</t>
  </si>
  <si>
    <t>тьме</t>
  </si>
  <si>
    <t># text = — Отойдем немного назад, там выше.</t>
  </si>
  <si>
    <t>Отойдем</t>
  </si>
  <si>
    <t>немного</t>
  </si>
  <si>
    <t>назад</t>
  </si>
  <si>
    <t>выше</t>
  </si>
  <si>
    <t># text = — Да, пожалуй, так и сделаем.</t>
  </si>
  <si>
    <t>пожалуй</t>
  </si>
  <si>
    <t>так</t>
  </si>
  <si>
    <t>сделаем</t>
  </si>
  <si>
    <t># text = По мере того как туман надвигался на нас, мы отступали все дальше и дальше, пока не очутились в полумиле от дома.</t>
  </si>
  <si>
    <t>По</t>
  </si>
  <si>
    <t>мере</t>
  </si>
  <si>
    <t>надвигался</t>
  </si>
  <si>
    <t>отступали</t>
  </si>
  <si>
    <t>пока</t>
  </si>
  <si>
    <t>полумиле</t>
  </si>
  <si>
    <t># text = Но сплошное белесое море, посеребренное сверху луной, подбиралось и туда, продолжая свое медленное, неуклонное наступление.</t>
  </si>
  <si>
    <t>сплошное</t>
  </si>
  <si>
    <t>белесое</t>
  </si>
  <si>
    <t>море</t>
  </si>
  <si>
    <t>посеребренное</t>
  </si>
  <si>
    <t>луной</t>
  </si>
  <si>
    <t>подбиралось</t>
  </si>
  <si>
    <t>продолжая</t>
  </si>
  <si>
    <t>медленное</t>
  </si>
  <si>
    <t>неуклонное</t>
  </si>
  <si>
    <t>наступление</t>
  </si>
  <si>
    <t># text = — Мы слишком далеко зашли, — сказал Холмс.</t>
  </si>
  <si>
    <t>слишком</t>
  </si>
  <si>
    <t>далеко</t>
  </si>
  <si>
    <t>зашли</t>
  </si>
  <si>
    <t># text = — Это уже рискованно: его могут настигнуть прежде, чем он дойдет до нас.</t>
  </si>
  <si>
    <t>рискованно</t>
  </si>
  <si>
    <t>могут</t>
  </si>
  <si>
    <t>настигнуть</t>
  </si>
  <si>
    <t>SBJ_5</t>
  </si>
  <si>
    <t>дойдет</t>
  </si>
  <si>
    <t># text = Ну, будь что будет, останемся здесь.</t>
  </si>
  <si>
    <t>Ну</t>
  </si>
  <si>
    <t>будь</t>
  </si>
  <si>
    <t>будет</t>
  </si>
  <si>
    <t>останемся</t>
  </si>
  <si>
    <t># text = Он опустился на колени и приложил ухо к земле.</t>
  </si>
  <si>
    <t>опустился</t>
  </si>
  <si>
    <t>колени</t>
  </si>
  <si>
    <t>приложил</t>
  </si>
  <si>
    <t>ухо</t>
  </si>
  <si>
    <t>земле</t>
  </si>
  <si>
    <t># text = — Слава богу!</t>
  </si>
  <si>
    <t>Слава</t>
  </si>
  <si>
    <t>богу</t>
  </si>
  <si>
    <t># text = Кажется, идет!</t>
  </si>
  <si>
    <t>Кажется</t>
  </si>
  <si>
    <t>идет</t>
  </si>
  <si>
    <t># text = В тишине болот послышались быстрые шаги.</t>
  </si>
  <si>
    <t>тишине</t>
  </si>
  <si>
    <t>болот</t>
  </si>
  <si>
    <t>послышались</t>
  </si>
  <si>
    <t>быстрые</t>
  </si>
  <si>
    <t>шаги</t>
  </si>
  <si>
    <t># text = Пригнувшись за валунами, мы напряженно всматривались в подступавшую к нам мутно-серебристую стену.</t>
  </si>
  <si>
    <t>Пригнувшись</t>
  </si>
  <si>
    <t>валунами</t>
  </si>
  <si>
    <t>напряженно</t>
  </si>
  <si>
    <t>всматривались</t>
  </si>
  <si>
    <t>подступавшую</t>
  </si>
  <si>
    <t>мутно</t>
  </si>
  <si>
    <t>-серебристую</t>
  </si>
  <si>
    <t># text = Шаги все приближались, и вот из тумана, словно распахнув перед собой занавес, выступил тот, кого мы поджидали.</t>
  </si>
  <si>
    <t>тумана</t>
  </si>
  <si>
    <t>распахнув</t>
  </si>
  <si>
    <t>собой</t>
  </si>
  <si>
    <t>занавес</t>
  </si>
  <si>
    <t>выступил</t>
  </si>
  <si>
    <t>тот</t>
  </si>
  <si>
    <t>кого</t>
  </si>
  <si>
    <t>поджидали</t>
  </si>
  <si>
    <t># text = Увидя над собой чистое звездное небо, он с удивлением осмотрелся по сторонам.</t>
  </si>
  <si>
    <t>Увидя</t>
  </si>
  <si>
    <t>звездное</t>
  </si>
  <si>
    <t>удивлением</t>
  </si>
  <si>
    <t>осмотрелся</t>
  </si>
  <si>
    <t># text = Потом быстро зашагал по тропинке, прошел мимо нас и стал подниматься вверх по отлогому склону, начинавшемуся сразу за валунами.</t>
  </si>
  <si>
    <t>Потом</t>
  </si>
  <si>
    <t>быстро</t>
  </si>
  <si>
    <t>зашагал</t>
  </si>
  <si>
    <t>стал</t>
  </si>
  <si>
    <t>вверх</t>
  </si>
  <si>
    <t>отлогому</t>
  </si>
  <si>
    <t>склону</t>
  </si>
  <si>
    <t>начинавшемуся</t>
  </si>
  <si>
    <t>сразу</t>
  </si>
  <si>
    <t># text = На ходу он то и дело оглядывался через плечо, видимо остерегаясь чего-то.</t>
  </si>
  <si>
    <t>На</t>
  </si>
  <si>
    <t>ходу</t>
  </si>
  <si>
    <t>дело</t>
  </si>
  <si>
    <t>оглядывался</t>
  </si>
  <si>
    <t>плечо</t>
  </si>
  <si>
    <t>видимо</t>
  </si>
  <si>
    <t>остерегаясь</t>
  </si>
  <si>
    <t>чего-то</t>
  </si>
  <si>
    <t># text = — Тсс! — шепнул Холмс и щелкнул курком, — Смотрите!</t>
  </si>
  <si>
    <t>шепнул</t>
  </si>
  <si>
    <t>щелкнул</t>
  </si>
  <si>
    <t>курком</t>
  </si>
  <si>
    <t># text = Вот она!</t>
  </si>
  <si>
    <t># text = В самой гуще подползающего к нам тумана послышался мерный, дробный топот.</t>
  </si>
  <si>
    <t>самой</t>
  </si>
  <si>
    <t>гуще</t>
  </si>
  <si>
    <t>подползающего</t>
  </si>
  <si>
    <t>послышался</t>
  </si>
  <si>
    <t>мерный</t>
  </si>
  <si>
    <t>дробный</t>
  </si>
  <si>
    <t>топот</t>
  </si>
  <si>
    <t># text = Белая стена была от нас уже ярдах в пятидесяти, и мы трое вперили в нее взгляд, не зная, какое чудовище появится оттуда.</t>
  </si>
  <si>
    <t>ярдах</t>
  </si>
  <si>
    <t>пятидесяти</t>
  </si>
  <si>
    <t>трое</t>
  </si>
  <si>
    <t>вперили</t>
  </si>
  <si>
    <t>взгляд</t>
  </si>
  <si>
    <t>зная</t>
  </si>
  <si>
    <t>какое</t>
  </si>
  <si>
    <t>чудовище</t>
  </si>
  <si>
    <t>оттуда</t>
  </si>
  <si>
    <t># text = Стоя рядом с Холмсом, я мельком взглянул ему в лицо — бледное, взволнованное, с горящими при лунном свете глазами.</t>
  </si>
  <si>
    <t>Стоя</t>
  </si>
  <si>
    <t>рядом</t>
  </si>
  <si>
    <t>Холмсом</t>
  </si>
  <si>
    <t>мельком</t>
  </si>
  <si>
    <t>взглянул</t>
  </si>
  <si>
    <t>бледное</t>
  </si>
  <si>
    <t>взволнованное</t>
  </si>
  <si>
    <t>горящими</t>
  </si>
  <si>
    <t>при</t>
  </si>
  <si>
    <t>лунном</t>
  </si>
  <si>
    <t>свете</t>
  </si>
  <si>
    <t>глазами</t>
  </si>
  <si>
    <t># text = И вдруг оно преобразилось: взгляд стал сосредоточен и суров, рот приоткрылся от изумления.</t>
  </si>
  <si>
    <t>И</t>
  </si>
  <si>
    <t>оно</t>
  </si>
  <si>
    <t>преобразилось</t>
  </si>
  <si>
    <t>сосредоточен</t>
  </si>
  <si>
    <t>суров</t>
  </si>
  <si>
    <t>рот</t>
  </si>
  <si>
    <t>приоткрылся</t>
  </si>
  <si>
    <t>изумления</t>
  </si>
  <si>
    <t># text = В ту же секунду Лестрейд вскрикнул от ужаса и упал ничком на землю.</t>
  </si>
  <si>
    <t>секунду</t>
  </si>
  <si>
    <t>вскрикнул</t>
  </si>
  <si>
    <t>ужаса</t>
  </si>
  <si>
    <t>упал</t>
  </si>
  <si>
    <t>ничком</t>
  </si>
  <si>
    <t>землю</t>
  </si>
  <si>
    <t># text = Я выпрямился и, почти парализованный тем зрелищем, которое явилось моим глазам, потянулся ослабевшей рукой к револьверу.</t>
  </si>
  <si>
    <t>выпрямился</t>
  </si>
  <si>
    <t>парализованный</t>
  </si>
  <si>
    <t>зрелищем</t>
  </si>
  <si>
    <t>которое</t>
  </si>
  <si>
    <t>SBJ_6</t>
  </si>
  <si>
    <t>явилось</t>
  </si>
  <si>
    <t>моим</t>
  </si>
  <si>
    <t>глазам</t>
  </si>
  <si>
    <t>потянулся</t>
  </si>
  <si>
    <t>ослабевшей</t>
  </si>
  <si>
    <t>рукой</t>
  </si>
  <si>
    <t>револьверу</t>
  </si>
  <si>
    <t># text = Да!</t>
  </si>
  <si>
    <t># text = Это была собака, огромная, черная как смоль.</t>
  </si>
  <si>
    <t>огромная</t>
  </si>
  <si>
    <t>черная</t>
  </si>
  <si>
    <t>смоль</t>
  </si>
  <si>
    <t># text = Но такой собаки еще никто из нас, смертных, не видывал.</t>
  </si>
  <si>
    <t>такой</t>
  </si>
  <si>
    <t>собаки</t>
  </si>
  <si>
    <t>еще</t>
  </si>
  <si>
    <t>никто</t>
  </si>
  <si>
    <t>смертных</t>
  </si>
  <si>
    <t>видывал</t>
  </si>
  <si>
    <t># text = Из ее отверстой пасти вырывалось пламя, глаза метали искры, по морде и загривку переливался мерцающий огонь.</t>
  </si>
  <si>
    <t>Из</t>
  </si>
  <si>
    <t>отверстой</t>
  </si>
  <si>
    <t>пасти</t>
  </si>
  <si>
    <t>вырывалось</t>
  </si>
  <si>
    <t>пламя</t>
  </si>
  <si>
    <t>глаза</t>
  </si>
  <si>
    <t>метали</t>
  </si>
  <si>
    <t>искры</t>
  </si>
  <si>
    <t>морде</t>
  </si>
  <si>
    <t>загривку</t>
  </si>
  <si>
    <t>переливался</t>
  </si>
  <si>
    <t>мерцающий</t>
  </si>
  <si>
    <t>огонь</t>
  </si>
  <si>
    <t># text = Ни в чьем воспаленном мозгу не могло бы возникнуть видение более страшное, более омерзительное, чем это адское существо, выскочившее на нас из тумана.</t>
  </si>
  <si>
    <t>Ни</t>
  </si>
  <si>
    <t>чьем</t>
  </si>
  <si>
    <t>воспаленном</t>
  </si>
  <si>
    <t>мозгу</t>
  </si>
  <si>
    <t>могло</t>
  </si>
  <si>
    <t>возникнуть</t>
  </si>
  <si>
    <t>видение</t>
  </si>
  <si>
    <t>более</t>
  </si>
  <si>
    <t>страшное</t>
  </si>
  <si>
    <t>омерзительное</t>
  </si>
  <si>
    <t>адское</t>
  </si>
  <si>
    <t>существо</t>
  </si>
  <si>
    <t>выскочившее</t>
  </si>
  <si>
    <t>other_8</t>
  </si>
  <si>
    <t># text = Чудовище неслось по тропинке огромными прыжками, принюхиваясь к следам нашего друга.</t>
  </si>
  <si>
    <t>Чудовище</t>
  </si>
  <si>
    <t>неслось</t>
  </si>
  <si>
    <t>огромными</t>
  </si>
  <si>
    <t>прыжками</t>
  </si>
  <si>
    <t>принюхиваясь</t>
  </si>
  <si>
    <t>следам</t>
  </si>
  <si>
    <t># text = Мы опомнились лишь после того, как оно промчалось мимо.</t>
  </si>
  <si>
    <t>опомнились</t>
  </si>
  <si>
    <t>лишь</t>
  </si>
  <si>
    <t>после</t>
  </si>
  <si>
    <t>промчалось</t>
  </si>
  <si>
    <t># text = Тогда и я и Холмс выстрелили одновременно, и раздавшийся вслед за этим оглушительный рев убедил нас, что по меньшей мере одна из пуль попала в цель.</t>
  </si>
  <si>
    <t>выстрелили</t>
  </si>
  <si>
    <t>одновременно</t>
  </si>
  <si>
    <t>раздавшийся</t>
  </si>
  <si>
    <t>вслед</t>
  </si>
  <si>
    <t>этим</t>
  </si>
  <si>
    <t>оглушительный</t>
  </si>
  <si>
    <t>рев</t>
  </si>
  <si>
    <t>убедил</t>
  </si>
  <si>
    <t>меньшей</t>
  </si>
  <si>
    <t>одна</t>
  </si>
  <si>
    <t>пуль</t>
  </si>
  <si>
    <t>попала</t>
  </si>
  <si>
    <t># text = Но собака не остановилась и продолжала мчаться вперед.</t>
  </si>
  <si>
    <t>остановилась</t>
  </si>
  <si>
    <t>продолжала</t>
  </si>
  <si>
    <t>мчаться</t>
  </si>
  <si>
    <t>вперед</t>
  </si>
  <si>
    <t># text = Мы видели, как сэр Генри оглянулся, мертвенно-бледный при свете луны, поднял в ужасе руки и замер в этой беспомощной позе, не сводя глаз с чудовища, которое настигало его.</t>
  </si>
  <si>
    <t>видели</t>
  </si>
  <si>
    <t>оглянулся</t>
  </si>
  <si>
    <t>мертвенно</t>
  </si>
  <si>
    <t>луны</t>
  </si>
  <si>
    <t>поднял</t>
  </si>
  <si>
    <t>ужасе</t>
  </si>
  <si>
    <t>руки</t>
  </si>
  <si>
    <t>замер</t>
  </si>
  <si>
    <t>беспомощной</t>
  </si>
  <si>
    <t>позе</t>
  </si>
  <si>
    <t>сводя</t>
  </si>
  <si>
    <t>глаз</t>
  </si>
  <si>
    <t>чудовища</t>
  </si>
  <si>
    <t>настигало</t>
  </si>
  <si>
    <t># text = Но голос взвывшей от боли собаки рассеял все наши страхи.</t>
  </si>
  <si>
    <t>голос</t>
  </si>
  <si>
    <t>взвывшей</t>
  </si>
  <si>
    <t>боли</t>
  </si>
  <si>
    <t>рассеял</t>
  </si>
  <si>
    <t>наши</t>
  </si>
  <si>
    <t>страхи</t>
  </si>
  <si>
    <t># text = Кто уязвим, тот и смертен, и если она ранена, значит, ее можно и убить.</t>
  </si>
  <si>
    <t>Кто</t>
  </si>
  <si>
    <t>уязвим</t>
  </si>
  <si>
    <t>смертен</t>
  </si>
  <si>
    <t>ранена</t>
  </si>
  <si>
    <t>убить</t>
  </si>
  <si>
    <t># text = Боже, как бежал в ту ночь Холмс!</t>
  </si>
  <si>
    <t>Боже</t>
  </si>
  <si>
    <t>бежал</t>
  </si>
  <si>
    <t>ночь</t>
  </si>
  <si>
    <t># text = Я всегда считался хорошим бегуном, но он опередил меня на такое же расстояние, на какое я сам опередил маленького сыщика.</t>
  </si>
  <si>
    <t>всегда</t>
  </si>
  <si>
    <t>считался</t>
  </si>
  <si>
    <t>хорошим</t>
  </si>
  <si>
    <t>бегуном</t>
  </si>
  <si>
    <t>опередил</t>
  </si>
  <si>
    <t>такое</t>
  </si>
  <si>
    <t>расстояние</t>
  </si>
  <si>
    <t>маленького</t>
  </si>
  <si>
    <t>сыщика</t>
  </si>
  <si>
    <t># text = Мы неслись по тропинке и слышали непрекращающиеся крики сэра Генри и глухой рев собаки.</t>
  </si>
  <si>
    <t>неслись</t>
  </si>
  <si>
    <t>слышали</t>
  </si>
  <si>
    <t>непрекращающиеся</t>
  </si>
  <si>
    <t>крики</t>
  </si>
  <si>
    <t>сэра</t>
  </si>
  <si>
    <t>глухой</t>
  </si>
  <si>
    <t># text = Я подоспел в ту минуту, когда она кинулась на свою жертву, повалила ее на землю и уже примеривалась схватить за горло.</t>
  </si>
  <si>
    <t>подоспел</t>
  </si>
  <si>
    <t>минуту</t>
  </si>
  <si>
    <t>кинулась</t>
  </si>
  <si>
    <t>свою</t>
  </si>
  <si>
    <t>жертву</t>
  </si>
  <si>
    <t>повалила</t>
  </si>
  <si>
    <t>примеривалась</t>
  </si>
  <si>
    <t>схватить</t>
  </si>
  <si>
    <t>горло</t>
  </si>
  <si>
    <t># text = Но Холмс всадил ей в бок одну за другой пять пуль.</t>
  </si>
  <si>
    <t>всадил</t>
  </si>
  <si>
    <t>ей</t>
  </si>
  <si>
    <t>бок</t>
  </si>
  <si>
    <t>одну</t>
  </si>
  <si>
    <t>другой</t>
  </si>
  <si>
    <t>пять</t>
  </si>
  <si>
    <t># text = Собака взвыла в последний раз, яростно щелкнула зубами, повалилась на спину и, судорожно дернув всеми четырьмя лапами, замерла.</t>
  </si>
  <si>
    <t>Собака</t>
  </si>
  <si>
    <t>взвыла</t>
  </si>
  <si>
    <t>щелкнула</t>
  </si>
  <si>
    <t>зубами</t>
  </si>
  <si>
    <t>повалилась</t>
  </si>
  <si>
    <t>спину</t>
  </si>
  <si>
    <t>судорожно</t>
  </si>
  <si>
    <t>дернув</t>
  </si>
  <si>
    <t>всеми</t>
  </si>
  <si>
    <t>четырьмя</t>
  </si>
  <si>
    <t>лапами</t>
  </si>
  <si>
    <t>замерла</t>
  </si>
  <si>
    <t># text = Я нагнулся над ней, задыхаясь от бега, и приставил дуло револьвера к этой страшной светящейся морде, но выстрелить мне не пришлось — исполинская собака была мертва.</t>
  </si>
  <si>
    <t>нагнулся</t>
  </si>
  <si>
    <t>ней</t>
  </si>
  <si>
    <t>задыхаясь</t>
  </si>
  <si>
    <t>бега</t>
  </si>
  <si>
    <t>приставил</t>
  </si>
  <si>
    <t>дуло</t>
  </si>
  <si>
    <t>револьвера</t>
  </si>
  <si>
    <t>страшной</t>
  </si>
  <si>
    <t>светящейся</t>
  </si>
  <si>
    <t>выстрелить</t>
  </si>
  <si>
    <t>OBJ_5</t>
  </si>
  <si>
    <t>исполинская</t>
  </si>
  <si>
    <t>мертва</t>
  </si>
  <si>
    <t># text = Сэр Генри лежал без сознания там, где она настигла его.</t>
  </si>
  <si>
    <t>Сэр</t>
  </si>
  <si>
    <t>лежал</t>
  </si>
  <si>
    <t>сознания</t>
  </si>
  <si>
    <t>настигла</t>
  </si>
  <si>
    <t># text = Мы сорвали с него воротничок, и Холмс возблагодарил судьбу, убедившись, что он не ранен и что наша помощь подоспела вовремя.</t>
  </si>
  <si>
    <t>сорвали</t>
  </si>
  <si>
    <t>воротничок</t>
  </si>
  <si>
    <t>возблагодарил</t>
  </si>
  <si>
    <t>судьбу</t>
  </si>
  <si>
    <t>убедившись</t>
  </si>
  <si>
    <t>ранен</t>
  </si>
  <si>
    <t>наша</t>
  </si>
  <si>
    <t>помощь</t>
  </si>
  <si>
    <t>подоспела</t>
  </si>
  <si>
    <t>вовремя</t>
  </si>
  <si>
    <t># text = А потом веки у сэра Генри дрогнули и он слабо шевельнулся.</t>
  </si>
  <si>
    <t>веки</t>
  </si>
  <si>
    <t>дрогнули</t>
  </si>
  <si>
    <t>слабо</t>
  </si>
  <si>
    <t>шевельнулся</t>
  </si>
  <si>
    <t># text = Лестрейд просунул ему между зубами горлышко фляги с бренди, и через секунду на нас глянули два испуганных глаза.</t>
  </si>
  <si>
    <t>просунул</t>
  </si>
  <si>
    <t>между</t>
  </si>
  <si>
    <t>горлышко</t>
  </si>
  <si>
    <t>фляги</t>
  </si>
  <si>
    <t>бренди</t>
  </si>
  <si>
    <t>глянули</t>
  </si>
  <si>
    <t>два</t>
  </si>
  <si>
    <t>испуганных</t>
  </si>
  <si>
    <t># text = — Боже мой! — прошептал баронет.</t>
  </si>
  <si>
    <t>мой</t>
  </si>
  <si>
    <t>прошептал</t>
  </si>
  <si>
    <t># text = — Что это было?</t>
  </si>
  <si>
    <t>Что</t>
  </si>
  <si>
    <t># text = Что это, чёрт возьми, было?</t>
  </si>
  <si>
    <t>чёрт</t>
  </si>
  <si>
    <t>возьми</t>
  </si>
  <si>
    <t># text = — Чем бы оно ни было, оно мертво, — сказал Холмс.</t>
  </si>
  <si>
    <t>Чем</t>
  </si>
  <si>
    <t>мертво</t>
  </si>
  <si>
    <t># text = — С привидением, которое преследовало ваш род, покончено навсегда.</t>
  </si>
  <si>
    <t>С</t>
  </si>
  <si>
    <t>привидением</t>
  </si>
  <si>
    <t>преследовало</t>
  </si>
  <si>
    <t>ваш</t>
  </si>
  <si>
    <t>род</t>
  </si>
  <si>
    <t>покончено</t>
  </si>
  <si>
    <t>навсегда</t>
  </si>
  <si>
    <t># text = Чудовище, лежавшее перед нами, поистине могло кого угодно испугать своими размерами и мощью.</t>
  </si>
  <si>
    <t>лежавшее</t>
  </si>
  <si>
    <t>поистине</t>
  </si>
  <si>
    <t>угодно</t>
  </si>
  <si>
    <t>испугать</t>
  </si>
  <si>
    <t>размерами</t>
  </si>
  <si>
    <t>мощью</t>
  </si>
  <si>
    <t># text = Это была не чистокровная ищейка и не чистокровный мастиф, а, видимо, помесь — поджарый, страшный пес величиной с молодую львицу.</t>
  </si>
  <si>
    <t>чистокровная</t>
  </si>
  <si>
    <t>ищейка</t>
  </si>
  <si>
    <t>чистокровный</t>
  </si>
  <si>
    <t>мастиф</t>
  </si>
  <si>
    <t>помесь</t>
  </si>
  <si>
    <t>поджарый</t>
  </si>
  <si>
    <t>страшный</t>
  </si>
  <si>
    <t>пес</t>
  </si>
  <si>
    <t>величиной</t>
  </si>
  <si>
    <t>молодую</t>
  </si>
  <si>
    <t>львицу</t>
  </si>
  <si>
    <t># text = Даже сейчас, несмотря на неподвижность смерти, его огромная пасть все еще светилась голубоватым пламенем, глубоко сидящие дикие глаза были обведены огненными кругами.</t>
  </si>
  <si>
    <t>Даже</t>
  </si>
  <si>
    <t>сейчас</t>
  </si>
  <si>
    <t>неподвижность</t>
  </si>
  <si>
    <t>смерти</t>
  </si>
  <si>
    <t>пасть</t>
  </si>
  <si>
    <t>светилась</t>
  </si>
  <si>
    <t>голубоватым</t>
  </si>
  <si>
    <t>пламенем</t>
  </si>
  <si>
    <t>глубоко</t>
  </si>
  <si>
    <t>сидящие</t>
  </si>
  <si>
    <t>дикие</t>
  </si>
  <si>
    <t>обведены</t>
  </si>
  <si>
    <t>огненными</t>
  </si>
  <si>
    <t>кругами</t>
  </si>
  <si>
    <t># text = Я дотронулся до этой светящейся головы и, отняв руку, увидел, что мои пальцы тоже засветились в темноте.</t>
  </si>
  <si>
    <t>дотронулся</t>
  </si>
  <si>
    <t>головы</t>
  </si>
  <si>
    <t>отняв</t>
  </si>
  <si>
    <t>пальцы</t>
  </si>
  <si>
    <t>засветились</t>
  </si>
  <si>
    <t># text = — Фосфор, — сказал я.</t>
  </si>
  <si>
    <t>Фосфор</t>
  </si>
  <si>
    <t># text = — Да, и какой-то особый препарат, — подтвердил Холмс, потянув носом.</t>
  </si>
  <si>
    <t>какой-то</t>
  </si>
  <si>
    <t>особый</t>
  </si>
  <si>
    <t>подтвердил</t>
  </si>
  <si>
    <t>потянув</t>
  </si>
  <si>
    <t>носом</t>
  </si>
  <si>
    <t># text = — Без запаха, чтобы у собаки не исчезло чутье.</t>
  </si>
  <si>
    <t>Без</t>
  </si>
  <si>
    <t>запаха</t>
  </si>
  <si>
    <t>чтобы</t>
  </si>
  <si>
    <t>исчезло</t>
  </si>
  <si>
    <t>чутье</t>
  </si>
  <si>
    <t># text = Простите нас, сэр Генри, что мы подвергли вас такому страшному испытанию.</t>
  </si>
  <si>
    <t>Простите</t>
  </si>
  <si>
    <t>подвергли</t>
  </si>
  <si>
    <t>такому</t>
  </si>
  <si>
    <t>страшному</t>
  </si>
  <si>
    <t>испытанию</t>
  </si>
  <si>
    <t># text = Я готовился увидеть собаку, но никак не ожидал, что это будет такое чудовище.</t>
  </si>
  <si>
    <t>готовился</t>
  </si>
  <si>
    <t>увидеть</t>
  </si>
  <si>
    <t>собаку</t>
  </si>
  <si>
    <t>никак</t>
  </si>
  <si>
    <t>ожидал</t>
  </si>
  <si>
    <t># text = К тому же нам помешал туман, и мы не смогли оказать псу достойную встречу.</t>
  </si>
  <si>
    <t>К</t>
  </si>
  <si>
    <t>тому</t>
  </si>
  <si>
    <t>помешал</t>
  </si>
  <si>
    <t>смогли</t>
  </si>
  <si>
    <t>оказать</t>
  </si>
  <si>
    <t>псу</t>
  </si>
  <si>
    <t>достойную</t>
  </si>
  <si>
    <t>встречу</t>
  </si>
  <si>
    <t># text = — Вы спасли мне жизнь.</t>
  </si>
  <si>
    <t>спасли</t>
  </si>
  <si>
    <t># text = — Подвергнув ее сначала опасности...</t>
  </si>
  <si>
    <t>Подвергнув</t>
  </si>
  <si>
    <t>сначала</t>
  </si>
  <si>
    <t>опасности</t>
  </si>
  <si>
    <t># text = Ну как, можете встать?</t>
  </si>
  <si>
    <t>можете</t>
  </si>
  <si>
    <t># text = — Дайте мне еще один глоток этого бренди, и тогда все будет в порядке.</t>
  </si>
  <si>
    <t>Дайте</t>
  </si>
  <si>
    <t>глоток</t>
  </si>
  <si>
    <t>тогда</t>
  </si>
  <si>
    <t>порядке</t>
  </si>
  <si>
    <t># text = Ну вот!</t>
  </si>
  <si>
    <t># text = Теперь с вашей помощью я встану.</t>
  </si>
  <si>
    <t>вашей</t>
  </si>
  <si>
    <t>помощью</t>
  </si>
  <si>
    <t>встану</t>
  </si>
  <si>
    <t># text = А что вы намерены делать дальше?</t>
  </si>
  <si>
    <t>намерены</t>
  </si>
  <si>
    <t># text = — Пока оставим вас здесь — вы уже достаточно натерпелись за сегодняшнюю ночь, — а потом кто-нибудь из нас вернется с вами домой.</t>
  </si>
  <si>
    <t>Пока</t>
  </si>
  <si>
    <t>оставим</t>
  </si>
  <si>
    <t>достаточно</t>
  </si>
  <si>
    <t>натерпелись</t>
  </si>
  <si>
    <t>сегодняшнюю</t>
  </si>
  <si>
    <t>кто-нибудь</t>
  </si>
  <si>
    <t>вернется</t>
  </si>
  <si>
    <t>вами</t>
  </si>
  <si>
    <t># text = Баронет попробовал подняться, но не смог.</t>
  </si>
  <si>
    <t>Баронет</t>
  </si>
  <si>
    <t>попробовал</t>
  </si>
  <si>
    <t>подняться</t>
  </si>
  <si>
    <t>смог</t>
  </si>
  <si>
    <t># text = Он был бледен как полотно и дрожал всем телом.</t>
  </si>
  <si>
    <t>был</t>
  </si>
  <si>
    <t>бледен</t>
  </si>
  <si>
    <t>полотно</t>
  </si>
  <si>
    <t>дрожал</t>
  </si>
  <si>
    <t>всем</t>
  </si>
  <si>
    <t>телом</t>
  </si>
  <si>
    <t># text = Мы подвели его к валуну.</t>
  </si>
  <si>
    <t>подвели</t>
  </si>
  <si>
    <t>валуну</t>
  </si>
  <si>
    <t># text = Он сел там, дрожа всем телом, и закрыл лицо руками.</t>
  </si>
  <si>
    <t>сел</t>
  </si>
  <si>
    <t>дрожа</t>
  </si>
  <si>
    <t>закрыл</t>
  </si>
  <si>
    <t>руками</t>
  </si>
  <si>
    <t># text = — А теперь нам придется уйти, — сказал Холмс.</t>
  </si>
  <si>
    <t>придется</t>
  </si>
  <si>
    <t># text = — Надо кончить начатое дело.</t>
  </si>
  <si>
    <t>Надо</t>
  </si>
  <si>
    <t>кончить</t>
  </si>
  <si>
    <t>начатое</t>
  </si>
  <si>
    <t># text = Дорога каждая минута.</t>
  </si>
  <si>
    <t>Дорога</t>
  </si>
  <si>
    <t>каждая</t>
  </si>
  <si>
    <t># text = Состав преступления теперь налицо, остается только схватить преступника...</t>
  </si>
  <si>
    <t>Состав</t>
  </si>
  <si>
    <t>преступления</t>
  </si>
  <si>
    <t>остается</t>
  </si>
  <si>
    <t>преступника</t>
  </si>
  <si>
    <t># text = Держу пари, в доме его уже не окажется, — продолжал Холмс, быстро шагая рядом с нами по тропинке.</t>
  </si>
  <si>
    <t>Держу</t>
  </si>
  <si>
    <t>пари</t>
  </si>
  <si>
    <t>окажется</t>
  </si>
  <si>
    <t>продолжал</t>
  </si>
  <si>
    <t>шагая</t>
  </si>
  <si>
    <t># text = — Он не мог не слышать выстрелов и понял, что игра проиграна.</t>
  </si>
  <si>
    <t>выстрелов</t>
  </si>
  <si>
    <t>игра</t>
  </si>
  <si>
    <t>проиграна</t>
  </si>
  <si>
    <t># text = — Ну что вы!</t>
  </si>
  <si>
    <t># text = Это было далеко от дома, к тому же туман приглушает звуки.</t>
  </si>
  <si>
    <t>приглушает</t>
  </si>
  <si>
    <t>звуки</t>
  </si>
  <si>
    <t># text = — Можете не сомневаться, что он кинулся следом за собакой, ведь ее надо было оттащить от тела.</t>
  </si>
  <si>
    <t>Можете</t>
  </si>
  <si>
    <t>сомневаться</t>
  </si>
  <si>
    <t>кинулся</t>
  </si>
  <si>
    <t>следом</t>
  </si>
  <si>
    <t>собакой</t>
  </si>
  <si>
    <t>оттащить</t>
  </si>
  <si>
    <t>тела</t>
  </si>
  <si>
    <t># text = Нет, мы его уже не застанем!</t>
  </si>
  <si>
    <t>застанем</t>
  </si>
  <si>
    <t># text = Но на всякий случай надо обшарить все уголки.</t>
  </si>
  <si>
    <t>всякий</t>
  </si>
  <si>
    <t>случай</t>
  </si>
  <si>
    <t>обшарить</t>
  </si>
  <si>
    <t>уголки</t>
  </si>
  <si>
    <t># text = Входная дверь была открыта настежь, и, вбежав в дом, мы быстро осмотрели комнату за комнатой, к удивлению дряхлого слуги, встретившего нас в коридоре.</t>
  </si>
  <si>
    <t>Входная</t>
  </si>
  <si>
    <t>дверь</t>
  </si>
  <si>
    <t>открыта</t>
  </si>
  <si>
    <t>настежь</t>
  </si>
  <si>
    <t>вбежав</t>
  </si>
  <si>
    <t>дом</t>
  </si>
  <si>
    <t>осмотрели</t>
  </si>
  <si>
    <t>комнату</t>
  </si>
  <si>
    <t>комнатой</t>
  </si>
  <si>
    <t>удивлению</t>
  </si>
  <si>
    <t>дряхлого</t>
  </si>
  <si>
    <t>слуги</t>
  </si>
  <si>
    <t>встретившего</t>
  </si>
  <si>
    <t>коридоре</t>
  </si>
  <si>
    <t># text = Свет горел только в столовой, но Холмс взял оттуда лампу и обошел с ней все закоулки в доме.</t>
  </si>
  <si>
    <t>Свет</t>
  </si>
  <si>
    <t>горел</t>
  </si>
  <si>
    <t>взял</t>
  </si>
  <si>
    <t>лампу</t>
  </si>
  <si>
    <t>обошел</t>
  </si>
  <si>
    <t>закоулки</t>
  </si>
  <si>
    <t># text = Человек, которого мы искали, исчез бесследно.</t>
  </si>
  <si>
    <t>Человек</t>
  </si>
  <si>
    <t>искали</t>
  </si>
  <si>
    <t>бесследно</t>
  </si>
  <si>
    <t># text = Однако на втором этаже дверь одной из спален оказалась запертой.</t>
  </si>
  <si>
    <t>Однако</t>
  </si>
  <si>
    <t>втором</t>
  </si>
  <si>
    <t>этаже</t>
  </si>
  <si>
    <t>одной</t>
  </si>
  <si>
    <t>спален</t>
  </si>
  <si>
    <t>оказалась</t>
  </si>
  <si>
    <t>запертой</t>
  </si>
  <si>
    <t># text = — Там кто-то есть! — крикнул Лестрейд.</t>
  </si>
  <si>
    <t>Там</t>
  </si>
  <si>
    <t>кто-то</t>
  </si>
  <si>
    <t>крикнул</t>
  </si>
  <si>
    <t># text = — Я слышу, что кто-то шевелится.</t>
  </si>
  <si>
    <t>слышу</t>
  </si>
  <si>
    <t>шевелится</t>
  </si>
  <si>
    <t># text = Откройте эту дверь!</t>
  </si>
  <si>
    <t>Откройте</t>
  </si>
  <si>
    <t># text = В комнате послышался слабый стон и шорох.</t>
  </si>
  <si>
    <t>слабый</t>
  </si>
  <si>
    <t>стон</t>
  </si>
  <si>
    <t>шорох</t>
  </si>
  <si>
    <t># text = Холмс ударил ногой чуть повыше замка, и дверь распахнулась настежь.</t>
  </si>
  <si>
    <t>чуть</t>
  </si>
  <si>
    <t>повыше</t>
  </si>
  <si>
    <t>замка</t>
  </si>
  <si>
    <t>распахнулась</t>
  </si>
  <si>
    <t># text = Держа револьверы наготове, мы ворвались туда.</t>
  </si>
  <si>
    <t>Держа</t>
  </si>
  <si>
    <t>револьверы</t>
  </si>
  <si>
    <t>наготове</t>
  </si>
  <si>
    <t>ворвались</t>
  </si>
  <si>
    <t># text = Но дерзостного негодяя, за которым мы охотились, не оказалось и тут.</t>
  </si>
  <si>
    <t>дерзостного</t>
  </si>
  <si>
    <t>негодяя</t>
  </si>
  <si>
    <t>охотились</t>
  </si>
  <si>
    <t>оказалось</t>
  </si>
  <si>
    <t>тут</t>
  </si>
  <si>
    <t># text = Вместо него глазам нашим предстало нечто до такой степени странное и неожиданное, что мы замерли на месте.</t>
  </si>
  <si>
    <t>Вместо</t>
  </si>
  <si>
    <t>нашим</t>
  </si>
  <si>
    <t>предстало</t>
  </si>
  <si>
    <t>нечто</t>
  </si>
  <si>
    <t>степени</t>
  </si>
  <si>
    <t>странное</t>
  </si>
  <si>
    <t>неожиданное</t>
  </si>
  <si>
    <t>замерли</t>
  </si>
  <si>
    <t>месте</t>
  </si>
  <si>
    <t># text = Эта комната представляла собой маленький музей.</t>
  </si>
  <si>
    <t>Эта</t>
  </si>
  <si>
    <t>комната</t>
  </si>
  <si>
    <t>представляла</t>
  </si>
  <si>
    <t>маленький</t>
  </si>
  <si>
    <t>музей</t>
  </si>
  <si>
    <t># text = Ее стены были сплошь заставлены стеклянными ящиками, где хранилась коллекция мотыльков и бабочек — любимое детище этой сложной и преступной натуры.</t>
  </si>
  <si>
    <t>Ее</t>
  </si>
  <si>
    <t>сплошь</t>
  </si>
  <si>
    <t>заставлены</t>
  </si>
  <si>
    <t>стеклянными</t>
  </si>
  <si>
    <t>ящиками</t>
  </si>
  <si>
    <t>хранилась</t>
  </si>
  <si>
    <t>коллекция</t>
  </si>
  <si>
    <t>мотыльков</t>
  </si>
  <si>
    <t>бабочек</t>
  </si>
  <si>
    <t>любимое</t>
  </si>
  <si>
    <t>детище</t>
  </si>
  <si>
    <t>сложной</t>
  </si>
  <si>
    <t>преступной</t>
  </si>
  <si>
    <t>натуры</t>
  </si>
  <si>
    <t># text = Посередине поднималась толстая подпорка, подведенная под трухлявые балясины потолка.</t>
  </si>
  <si>
    <t>Посередине</t>
  </si>
  <si>
    <t>поднималась</t>
  </si>
  <si>
    <t>толстая</t>
  </si>
  <si>
    <t>подпорка</t>
  </si>
  <si>
    <t>подведенная</t>
  </si>
  <si>
    <t>под</t>
  </si>
  <si>
    <t>трухлявые</t>
  </si>
  <si>
    <t>балясины</t>
  </si>
  <si>
    <t>потолка</t>
  </si>
  <si>
    <t># text = И у этой подпорки стоял человек, привязанный к ней простынями, которые укутывали его с головы до ног, так что в первую минуту даже нельзя было разобрать, кто это — мужчина или женщина.</t>
  </si>
  <si>
    <t>подпорки</t>
  </si>
  <si>
    <t>стоял</t>
  </si>
  <si>
    <t>человек</t>
  </si>
  <si>
    <t>привязанный</t>
  </si>
  <si>
    <t>простынями</t>
  </si>
  <si>
    <t>укутывали</t>
  </si>
  <si>
    <t>ног</t>
  </si>
  <si>
    <t>первую</t>
  </si>
  <si>
    <t>разобрать</t>
  </si>
  <si>
    <t>мужчина</t>
  </si>
  <si>
    <t>SBJ_9</t>
  </si>
  <si>
    <t># text = Одно полотнище шло вокруг горла, другое закрывало нижнюю часть лица, оставляя открытыми только глаза, которые с немым вопросом смотрели на нас, полные ужаса и стыда.</t>
  </si>
  <si>
    <t>Одно</t>
  </si>
  <si>
    <t>полотнище</t>
  </si>
  <si>
    <t>шло</t>
  </si>
  <si>
    <t>вокруг</t>
  </si>
  <si>
    <t>горла</t>
  </si>
  <si>
    <t>другое</t>
  </si>
  <si>
    <t>закрывало</t>
  </si>
  <si>
    <t>нижнюю</t>
  </si>
  <si>
    <t>часть</t>
  </si>
  <si>
    <t>лица</t>
  </si>
  <si>
    <t>оставляя</t>
  </si>
  <si>
    <t>открытыми</t>
  </si>
  <si>
    <t>немым</t>
  </si>
  <si>
    <t>вопросом</t>
  </si>
  <si>
    <t>смотрели</t>
  </si>
  <si>
    <t>полные</t>
  </si>
  <si>
    <t>стыда</t>
  </si>
  <si>
    <t># text = В мгновение ока мы сорвали эти путы, вынули кляп, и к нашим ногам упала не кто иная, как миссис Стэплтон.</t>
  </si>
  <si>
    <t>мгновение</t>
  </si>
  <si>
    <t>ока</t>
  </si>
  <si>
    <t>путы</t>
  </si>
  <si>
    <t>вынули</t>
  </si>
  <si>
    <t>кляп</t>
  </si>
  <si>
    <t>ногам</t>
  </si>
  <si>
    <t>упала</t>
  </si>
  <si>
    <t>иная</t>
  </si>
  <si>
    <t>миссис</t>
  </si>
  <si>
    <t># text = Голова ее опустилась на грудь, и я увидел красный рубец у нее на шее от удара плетью.</t>
  </si>
  <si>
    <t>Голова</t>
  </si>
  <si>
    <t>опустилась</t>
  </si>
  <si>
    <t>грудь</t>
  </si>
  <si>
    <t>красный</t>
  </si>
  <si>
    <t>рубец</t>
  </si>
  <si>
    <t>шее</t>
  </si>
  <si>
    <t>удара</t>
  </si>
  <si>
    <t>плетью</t>
  </si>
  <si>
    <t># text = — Мерзавец! — крикнул Холмс.</t>
  </si>
  <si>
    <t># text = — Лестрейд, где бренди?</t>
  </si>
  <si>
    <t># text = Посадите ее на стул.</t>
  </si>
  <si>
    <t>Посадите</t>
  </si>
  <si>
    <t>стул</t>
  </si>
  <si>
    <t># text = Такие пытки кого угодно доведут до обморока!</t>
  </si>
  <si>
    <t>Такие</t>
  </si>
  <si>
    <t>пытки</t>
  </si>
  <si>
    <t>доведут</t>
  </si>
  <si>
    <t>обморока</t>
  </si>
  <si>
    <t># text = Миссис Стэплтон открыла глаза.</t>
  </si>
  <si>
    <t>Миссис</t>
  </si>
  <si>
    <t>открыла</t>
  </si>
  <si>
    <t># text = — Он спасся? — спросила она.</t>
  </si>
  <si>
    <t>спасся</t>
  </si>
  <si>
    <t>спросила</t>
  </si>
  <si>
    <t># text = — Он убежал?</t>
  </si>
  <si>
    <t>убежал</t>
  </si>
  <si>
    <t># text = — От нас он никуда не убежит, сударыня.</t>
  </si>
  <si>
    <t>От</t>
  </si>
  <si>
    <t>никуда</t>
  </si>
  <si>
    <t>убежит</t>
  </si>
  <si>
    <t>сударыня</t>
  </si>
  <si>
    <t># text = — Нет, нет, я не про мужа.</t>
  </si>
  <si>
    <t>про</t>
  </si>
  <si>
    <t>мужа</t>
  </si>
  <si>
    <t># text = Сэр Генри... спасся?</t>
  </si>
  <si>
    <t># text = — Да.</t>
  </si>
  <si>
    <t># text = — А собака?</t>
  </si>
  <si>
    <t># text = — Убита!</t>
  </si>
  <si>
    <t>Убита</t>
  </si>
  <si>
    <t># text = У нее вырвался долгий вздох облегчения: — Слава богу!</t>
  </si>
  <si>
    <t>У</t>
  </si>
  <si>
    <t>вырвался</t>
  </si>
  <si>
    <t>долгий</t>
  </si>
  <si>
    <t>вздох</t>
  </si>
  <si>
    <t>облегчения</t>
  </si>
  <si>
    <t># text = Слава богу!</t>
  </si>
  <si>
    <t># text = Негодяй!</t>
  </si>
  <si>
    <t># text = Смотрите, что он со мной сделал!</t>
  </si>
  <si>
    <t>со</t>
  </si>
  <si>
    <t>мной</t>
  </si>
  <si>
    <t>сделал</t>
  </si>
  <si>
    <t># text = — Она засучила оба рукава, и мы увидели, что ее руки все в синяках.</t>
  </si>
  <si>
    <t>Она</t>
  </si>
  <si>
    <t>засучила</t>
  </si>
  <si>
    <t>оба</t>
  </si>
  <si>
    <t>рукава</t>
  </si>
  <si>
    <t>увидели</t>
  </si>
  <si>
    <t>синяках</t>
  </si>
  <si>
    <t># text = — Но это еще ничего... это ничего.</t>
  </si>
  <si>
    <t># text = Он истерзал, он опоганил мою душу.</t>
  </si>
  <si>
    <t>истерзал</t>
  </si>
  <si>
    <t>опоганил</t>
  </si>
  <si>
    <t>мою</t>
  </si>
  <si>
    <t>душу</t>
  </si>
  <si>
    <t># text = Пока у меня теплилась надежда, что этот человек любит меня, я все сносила, все: дурное обращение, одиночество, жизнь, полную обмана...</t>
  </si>
  <si>
    <t>теплилась</t>
  </si>
  <si>
    <t>надежда</t>
  </si>
  <si>
    <t>этот</t>
  </si>
  <si>
    <t>любит</t>
  </si>
  <si>
    <t>сносила</t>
  </si>
  <si>
    <t>дурное</t>
  </si>
  <si>
    <t>обращение</t>
  </si>
  <si>
    <t>одиночество</t>
  </si>
  <si>
    <t>полную</t>
  </si>
  <si>
    <t>обмана</t>
  </si>
  <si>
    <t># text = Но он лгал мне, я была орудием в его руках!</t>
  </si>
  <si>
    <t>лгал</t>
  </si>
  <si>
    <t>орудием</t>
  </si>
  <si>
    <t>руках</t>
  </si>
  <si>
    <t># text = — Она не выдержала и разрыдалась.</t>
  </si>
  <si>
    <t>выдержала</t>
  </si>
  <si>
    <t>разрыдалась</t>
  </si>
  <si>
    <t># text = — Да, сударыня, у вас нет никаких оснований желать ему добра, — сказал Холмс.</t>
  </si>
  <si>
    <t>никаких</t>
  </si>
  <si>
    <t>оснований</t>
  </si>
  <si>
    <t>желать</t>
  </si>
  <si>
    <t>добра</t>
  </si>
  <si>
    <t># text = — Так откройте же, где его искать.</t>
  </si>
  <si>
    <t>Так</t>
  </si>
  <si>
    <t>откройте</t>
  </si>
  <si>
    <t>искать</t>
  </si>
  <si>
    <t># text = Если вы были его сообщницей, воспользуйтесь случаем загладить свою вину — помогите нам.</t>
  </si>
  <si>
    <t>сообщницей</t>
  </si>
  <si>
    <t>воспользуйтесь</t>
  </si>
  <si>
    <t>случаем</t>
  </si>
  <si>
    <t>загладить</t>
  </si>
  <si>
    <t>вину</t>
  </si>
  <si>
    <t>помогите</t>
  </si>
  <si>
    <t># text = — Он может спрятаться только в одном месте, больше ему некуда деваться, — ответила она.</t>
  </si>
  <si>
    <t>спрятаться</t>
  </si>
  <si>
    <t>одном</t>
  </si>
  <si>
    <t>деваться</t>
  </si>
  <si>
    <t>ответила</t>
  </si>
  <si>
    <t># text = — В самом сердце трясины есть островок, на котором был когда-то рудник.</t>
  </si>
  <si>
    <t>самом</t>
  </si>
  <si>
    <t>сердце</t>
  </si>
  <si>
    <t>трясины</t>
  </si>
  <si>
    <t>островок</t>
  </si>
  <si>
    <t>котором</t>
  </si>
  <si>
    <t>когда-то</t>
  </si>
  <si>
    <t>рудник</t>
  </si>
  <si>
    <t># text = Там он и держал свою собаку, и там у него все приготовлено на тот случай, если придется бежать.</t>
  </si>
  <si>
    <t>держал</t>
  </si>
  <si>
    <t>приготовлено</t>
  </si>
  <si>
    <t># text = Вот куда он мог скрыться.</t>
  </si>
  <si>
    <t>куда</t>
  </si>
  <si>
    <t>скрыться</t>
  </si>
  <si>
    <t># text = Холмс посветил в окно лампой.</t>
  </si>
  <si>
    <t>посветил</t>
  </si>
  <si>
    <t>лампой</t>
  </si>
  <si>
    <t># text = Туман, словно белая вата, лип к стеклу.</t>
  </si>
  <si>
    <t>белая</t>
  </si>
  <si>
    <t>вата</t>
  </si>
  <si>
    <t>лип</t>
  </si>
  <si>
    <t>стеклу</t>
  </si>
  <si>
    <t># text = — Смотрите, — сказал он.</t>
  </si>
  <si>
    <t># text = — Сегодня ночью никто не сможет пробраться на Гримпенскую трясину.</t>
  </si>
  <si>
    <t>Сегодня</t>
  </si>
  <si>
    <t>ночью</t>
  </si>
  <si>
    <t>сможет</t>
  </si>
  <si>
    <t>пробраться</t>
  </si>
  <si>
    <t>Гримпенскую</t>
  </si>
  <si>
    <t>трясину</t>
  </si>
  <si>
    <t># text = Миссис Стэплтон рассмеялась и захлопала в ладоши.</t>
  </si>
  <si>
    <t>рассмеялась</t>
  </si>
  <si>
    <t>захлопала</t>
  </si>
  <si>
    <t>ладоши</t>
  </si>
  <si>
    <t># text = Глаза ее сверкнули недобрым огнем.</t>
  </si>
  <si>
    <t>Глаза</t>
  </si>
  <si>
    <t>сверкнули</t>
  </si>
  <si>
    <t>недобрым</t>
  </si>
  <si>
    <t>огнем</t>
  </si>
  <si>
    <t># text = — Туда-то он найдет дорогу, а обратно не выберется! — воскликнула она.</t>
  </si>
  <si>
    <t>Туда-то</t>
  </si>
  <si>
    <t>найдет</t>
  </si>
  <si>
    <t>дорогу</t>
  </si>
  <si>
    <t>выберется</t>
  </si>
  <si>
    <t>воскликнула</t>
  </si>
  <si>
    <t># text = — Разве в такую ночь разглядишь вехи?</t>
  </si>
  <si>
    <t>Разве</t>
  </si>
  <si>
    <t>такую</t>
  </si>
  <si>
    <t>разглядишь</t>
  </si>
  <si>
    <t>вехи</t>
  </si>
  <si>
    <t># text = Мы ставили их вместе, чтобы наметить тропу через трясину.</t>
  </si>
  <si>
    <t>ставили</t>
  </si>
  <si>
    <t>вместе</t>
  </si>
  <si>
    <t>наметить</t>
  </si>
  <si>
    <t>тропу</t>
  </si>
  <si>
    <t># text = Ах, почему я не догадалась убрать их сегодня!</t>
  </si>
  <si>
    <t>Ах</t>
  </si>
  <si>
    <t>почему</t>
  </si>
  <si>
    <t>догадалась</t>
  </si>
  <si>
    <t>убрать</t>
  </si>
  <si>
    <t>сегодня</t>
  </si>
  <si>
    <t># text = Тогда он был бы в вашей власти!</t>
  </si>
  <si>
    <t>власти</t>
  </si>
  <si>
    <t># text = При таком тумане о погоне нечего было и думать.</t>
  </si>
  <si>
    <t>При</t>
  </si>
  <si>
    <t>таком</t>
  </si>
  <si>
    <t>тумане</t>
  </si>
  <si>
    <t>погоне</t>
  </si>
  <si>
    <t>нечего</t>
  </si>
  <si>
    <t>думать</t>
  </si>
  <si>
    <t># text = Мы оставили Лестрейда полновластным хозяином Меррипит-хаус, а сами вместе с сэром Генри вернулись в Баскервиль-холл.</t>
  </si>
  <si>
    <t>оставили</t>
  </si>
  <si>
    <t>Лестрейда</t>
  </si>
  <si>
    <t>полновластным</t>
  </si>
  <si>
    <t>хозяином</t>
  </si>
  <si>
    <t>сэром</t>
  </si>
  <si>
    <t>вернулись</t>
  </si>
  <si>
    <t>холл</t>
  </si>
  <si>
    <t># text = Скрывать от него историю Стэплтонов больше было нельзя.</t>
  </si>
  <si>
    <t>Скрывать</t>
  </si>
  <si>
    <t>историю</t>
  </si>
  <si>
    <t># text = Узнав всю правду о любимой женщине, он мужественно принял этот удар.</t>
  </si>
  <si>
    <t>Узнав</t>
  </si>
  <si>
    <t>всю</t>
  </si>
  <si>
    <t>правду</t>
  </si>
  <si>
    <t>любимой</t>
  </si>
  <si>
    <t>женщине</t>
  </si>
  <si>
    <t>мужественно</t>
  </si>
  <si>
    <t>принял</t>
  </si>
  <si>
    <t># text = Однако пережитое ночью потрясение не прошло даром для баронета.</t>
  </si>
  <si>
    <t>пережитое</t>
  </si>
  <si>
    <t>потрясение</t>
  </si>
  <si>
    <t>прошло</t>
  </si>
  <si>
    <t>даром</t>
  </si>
  <si>
    <t>для</t>
  </si>
  <si>
    <t>баронета</t>
  </si>
  <si>
    <t># text = К утру он лежал без памяти в горячке под надзором доктора Мортимера.</t>
  </si>
  <si>
    <t>утру</t>
  </si>
  <si>
    <t>памяти</t>
  </si>
  <si>
    <t>горячке</t>
  </si>
  <si>
    <t>надзором</t>
  </si>
  <si>
    <t>доктора</t>
  </si>
  <si>
    <t>Мортимера</t>
  </si>
  <si>
    <t># text = В дальнейшем им обоим было суждено совершить кругосветное путешествие, и только после него сэр Генри снова стал тем же веселым, здоровым человеком, какой приехал когда-то в Англию наследником этого злополучного поместья.</t>
  </si>
  <si>
    <t>дальнейшем</t>
  </si>
  <si>
    <t>обоим</t>
  </si>
  <si>
    <t>суждено</t>
  </si>
  <si>
    <t>совершить</t>
  </si>
  <si>
    <t>кругосветное</t>
  </si>
  <si>
    <t>веселым</t>
  </si>
  <si>
    <t>здоровым</t>
  </si>
  <si>
    <t>человеком</t>
  </si>
  <si>
    <t>какой</t>
  </si>
  <si>
    <t>приехал</t>
  </si>
  <si>
    <t>Англию</t>
  </si>
  <si>
    <t>наследником</t>
  </si>
  <si>
    <t>злополучного</t>
  </si>
  <si>
    <t>поместья</t>
  </si>
  <si>
    <t># text = А теперь мое странное повествование быстро подходит к концу.</t>
  </si>
  <si>
    <t>мое</t>
  </si>
  <si>
    <t>повествование</t>
  </si>
  <si>
    <t>подходит</t>
  </si>
  <si>
    <t>концу</t>
  </si>
  <si>
    <t># text = Записывая его, я старался, чтобы читатель делил вместе с нами все те страхи и смутные догадки, которые так долго омрачали нашу жизнь и завершились такой трагедией.</t>
  </si>
  <si>
    <t>Записывая</t>
  </si>
  <si>
    <t>старался</t>
  </si>
  <si>
    <t>читатель</t>
  </si>
  <si>
    <t>делил</t>
  </si>
  <si>
    <t>смутные</t>
  </si>
  <si>
    <t>догадки</t>
  </si>
  <si>
    <t>долго</t>
  </si>
  <si>
    <t>омрачали</t>
  </si>
  <si>
    <t>завершились</t>
  </si>
  <si>
    <t>трагедией</t>
  </si>
  <si>
    <t># text = К утру туман рассеялся, и миссис Стэплтон проводила нас к тому месту, где начиналась тропинка, ведущая через трясину.</t>
  </si>
  <si>
    <t>рассеялся</t>
  </si>
  <si>
    <t>проводила</t>
  </si>
  <si>
    <t>месту</t>
  </si>
  <si>
    <t>начиналась</t>
  </si>
  <si>
    <t>тропинка</t>
  </si>
  <si>
    <t>ведущая</t>
  </si>
  <si>
    <t># text = Эта женщина с такой охотой и радостью направляла нас по следам мужа, что нам только тогда и стало ясно, как страшна была ее жизнь.</t>
  </si>
  <si>
    <t>охотой</t>
  </si>
  <si>
    <t>радостью</t>
  </si>
  <si>
    <t>направляла</t>
  </si>
  <si>
    <t>стало</t>
  </si>
  <si>
    <t>ясно</t>
  </si>
  <si>
    <t>страшна</t>
  </si>
  <si>
    <t># text = Мы расстались с ней на узкой торфяной полоске, полуостровом вдававшейся в трясину.</t>
  </si>
  <si>
    <t>расстались</t>
  </si>
  <si>
    <t>торфяной</t>
  </si>
  <si>
    <t>полоске</t>
  </si>
  <si>
    <t>полуостровом</t>
  </si>
  <si>
    <t>вдававшейся</t>
  </si>
  <si>
    <t># text = Маленькие прутики, воткнутые то там, то сям, намечали тропу, извивающуюся зигзагом от кочки к кочке, между затянутыми зеленью окнами, которые преградили бы путь всякому, кто был незнаком с этими местами.</t>
  </si>
  <si>
    <t>Маленькие</t>
  </si>
  <si>
    <t>прутики</t>
  </si>
  <si>
    <t>воткнутые</t>
  </si>
  <si>
    <t>сям</t>
  </si>
  <si>
    <t>намечали</t>
  </si>
  <si>
    <t>извивающуюся</t>
  </si>
  <si>
    <t>зигзагом</t>
  </si>
  <si>
    <t>кочки</t>
  </si>
  <si>
    <t>кочке</t>
  </si>
  <si>
    <t>затянутыми</t>
  </si>
  <si>
    <t>зеленью</t>
  </si>
  <si>
    <t>окнами</t>
  </si>
  <si>
    <t>преградили</t>
  </si>
  <si>
    <t>путь</t>
  </si>
  <si>
    <t>OBJ_9</t>
  </si>
  <si>
    <t>всякому</t>
  </si>
  <si>
    <t>SBJ_11</t>
  </si>
  <si>
    <t>незнаком</t>
  </si>
  <si>
    <t>этими</t>
  </si>
  <si>
    <t>местами</t>
  </si>
  <si>
    <t>other_11</t>
  </si>
  <si>
    <t># text = От гниющего камыша и покрытых илом водорослей над трясиной поднимались тяжелые испарения.</t>
  </si>
  <si>
    <t>гниющего</t>
  </si>
  <si>
    <t>камыша</t>
  </si>
  <si>
    <t>покрытых</t>
  </si>
  <si>
    <t>илом</t>
  </si>
  <si>
    <t>водорослей</t>
  </si>
  <si>
    <t>поднимались</t>
  </si>
  <si>
    <t>тяжелые</t>
  </si>
  <si>
    <t>испарения</t>
  </si>
  <si>
    <t># text = Мы то и дело оступались, уходя по колено в темную зыбкую топь, мягкими кругами расходившуюся на поверхности.</t>
  </si>
  <si>
    <t>оступались</t>
  </si>
  <si>
    <t>уходя</t>
  </si>
  <si>
    <t>колено</t>
  </si>
  <si>
    <t>темную</t>
  </si>
  <si>
    <t>зыбкую</t>
  </si>
  <si>
    <t>топь</t>
  </si>
  <si>
    <t>мягкими</t>
  </si>
  <si>
    <t>расходившуюся</t>
  </si>
  <si>
    <t>поверхности</t>
  </si>
  <si>
    <t># text = Вязкая жижа присасывалась к нашим ногам, и ее хватка была настолько сильна, что казалось, чья-то цепкая рука тянет нас в эти мерзостные глубины.</t>
  </si>
  <si>
    <t>Вязкая</t>
  </si>
  <si>
    <t>жижа</t>
  </si>
  <si>
    <t>присасывалась</t>
  </si>
  <si>
    <t>хватка</t>
  </si>
  <si>
    <t>настолько</t>
  </si>
  <si>
    <t>сильна</t>
  </si>
  <si>
    <t>казалось</t>
  </si>
  <si>
    <t>чья-то</t>
  </si>
  <si>
    <t>цепкая</t>
  </si>
  <si>
    <t>рука</t>
  </si>
  <si>
    <t>тянет</t>
  </si>
  <si>
    <t>мерзостные</t>
  </si>
  <si>
    <t>глубины</t>
  </si>
  <si>
    <t># text = На глаза нам попалось только одно-единственное доказательство, что не мы первые идем по этому опасному пути.</t>
  </si>
  <si>
    <t>попалось</t>
  </si>
  <si>
    <t>одно</t>
  </si>
  <si>
    <t>доказательство</t>
  </si>
  <si>
    <t>первые</t>
  </si>
  <si>
    <t>идем</t>
  </si>
  <si>
    <t>этому</t>
  </si>
  <si>
    <t>опасному</t>
  </si>
  <si>
    <t>пути</t>
  </si>
  <si>
    <t># text = На кочке, поросшей болотной травой, лежало что-то темное.</t>
  </si>
  <si>
    <t>поросшей</t>
  </si>
  <si>
    <t>болотной</t>
  </si>
  <si>
    <t>травой</t>
  </si>
  <si>
    <t>лежало</t>
  </si>
  <si>
    <t>что-то</t>
  </si>
  <si>
    <t>темное</t>
  </si>
  <si>
    <t># text = Потянувшись туда.</t>
  </si>
  <si>
    <t>Потянувшись</t>
  </si>
  <si>
    <t># text = Холмс сразу ушел по пояс в тину, и если б не мы, вряд ли ему удалось бы когда-нибудь почувствовать под ногой твердую землю.</t>
  </si>
  <si>
    <t>ушел</t>
  </si>
  <si>
    <t>пояс</t>
  </si>
  <si>
    <t>тину</t>
  </si>
  <si>
    <t>б</t>
  </si>
  <si>
    <t>вряд</t>
  </si>
  <si>
    <t>удалось</t>
  </si>
  <si>
    <t>когда-нибудь</t>
  </si>
  <si>
    <t>почувствовать</t>
  </si>
  <si>
    <t>твердую</t>
  </si>
  <si>
    <t># text = Он держал в руке старый черный башмак.</t>
  </si>
  <si>
    <t>руке</t>
  </si>
  <si>
    <t>старый</t>
  </si>
  <si>
    <t>черный</t>
  </si>
  <si>
    <t>башмак</t>
  </si>
  <si>
    <t>--</t>
  </si>
  <si>
    <t># text = Внутри была метка: \"Мейерс.</t>
  </si>
  <si>
    <t>Внутри</t>
  </si>
  <si>
    <t>метка</t>
  </si>
  <si>
    <t>&amp;quot;</t>
  </si>
  <si>
    <t>Мейерс</t>
  </si>
  <si>
    <t># text = Торонто\".</t>
  </si>
  <si>
    <t># text = — Из-за такой находки стоило принять грязевую ванну.</t>
  </si>
  <si>
    <t>Из-за</t>
  </si>
  <si>
    <t>находки</t>
  </si>
  <si>
    <t>стоило</t>
  </si>
  <si>
    <t>грязевую</t>
  </si>
  <si>
    <t>ванну</t>
  </si>
  <si>
    <t># text = Вот он, пропавший башмак нашего друга!</t>
  </si>
  <si>
    <t>пропавший</t>
  </si>
  <si>
    <t># text = — Брошенный второпях Стэплтоном?</t>
  </si>
  <si>
    <t>Брошенный</t>
  </si>
  <si>
    <t>второпях</t>
  </si>
  <si>
    <t>Стэплтоном</t>
  </si>
  <si>
    <t># text = — Совершенно верно.</t>
  </si>
  <si>
    <t>Совершенно</t>
  </si>
  <si>
    <t>верно</t>
  </si>
  <si>
    <t># text = Он так и не выпустил его из рук, после того как дал собаке понюхать, наводя её на след.</t>
  </si>
  <si>
    <t>выпустил</t>
  </si>
  <si>
    <t>рук</t>
  </si>
  <si>
    <t>дал</t>
  </si>
  <si>
    <t>собаке</t>
  </si>
  <si>
    <t>понюхать</t>
  </si>
  <si>
    <t>наводя</t>
  </si>
  <si>
    <t>её</t>
  </si>
  <si>
    <t>след</t>
  </si>
  <si>
    <t># text = Когда он понял, что игра проиграна, он так и бросился бежать, держа его в руках.</t>
  </si>
  <si>
    <t>Когда</t>
  </si>
  <si>
    <t>бросился</t>
  </si>
  <si>
    <t>держа</t>
  </si>
  <si>
    <t># text = А в этом месте бросил.</t>
  </si>
  <si>
    <t>этом</t>
  </si>
  <si>
    <t>бросил</t>
  </si>
  <si>
    <t># text = Теперь мы, по крайней мере, знаем, что до этого места он добрался благополучно.</t>
  </si>
  <si>
    <t>крайней</t>
  </si>
  <si>
    <t>знаем</t>
  </si>
  <si>
    <t>добрался</t>
  </si>
  <si>
    <t>благополучно</t>
  </si>
  <si>
    <t># text = Но больше нам ничего не удалось узнать, хотя догадываться мы могли о многом.</t>
  </si>
  <si>
    <t>узнать</t>
  </si>
  <si>
    <t>хотя</t>
  </si>
  <si>
    <t>могли</t>
  </si>
  <si>
    <t>многом</t>
  </si>
  <si>
    <t># text = Разглядеть на тропинке следы не было никакой возможности — их сразу же затягивало тиной.</t>
  </si>
  <si>
    <t>Разглядеть</t>
  </si>
  <si>
    <t>следы</t>
  </si>
  <si>
    <t>никакой</t>
  </si>
  <si>
    <t>возможности</t>
  </si>
  <si>
    <t>затягивало</t>
  </si>
  <si>
    <t>тиной</t>
  </si>
  <si>
    <t># text = Мы решили, что они обнаружатся на более сухом месте, однако все поиски были тщетны.</t>
  </si>
  <si>
    <t>решили</t>
  </si>
  <si>
    <t>обнаружатся</t>
  </si>
  <si>
    <t>сухом</t>
  </si>
  <si>
    <t>однако</t>
  </si>
  <si>
    <t>поиски</t>
  </si>
  <si>
    <t>тщетны</t>
  </si>
  <si>
    <t># text = Если земля говорила правду, то Стэплтону так и не удалось добраться до своего убежища на островке, к которому он стремился в ту памятную нам туманную ночь.</t>
  </si>
  <si>
    <t>земля</t>
  </si>
  <si>
    <t>говорила</t>
  </si>
  <si>
    <t>Стэплтону</t>
  </si>
  <si>
    <t>добраться</t>
  </si>
  <si>
    <t>своего</t>
  </si>
  <si>
    <t>убежища</t>
  </si>
  <si>
    <t>островке</t>
  </si>
  <si>
    <t>которому</t>
  </si>
  <si>
    <t>стремился</t>
  </si>
  <si>
    <t>памятную</t>
  </si>
  <si>
    <t>туманную</t>
  </si>
  <si>
    <t># text = Этот холодный, жестокий человек был навеки погребен в самом сердце зловонной Гримпенской трясины, засосавшей его в свою бездонную глубину.</t>
  </si>
  <si>
    <t>Этот</t>
  </si>
  <si>
    <t>холодный</t>
  </si>
  <si>
    <t>жестокий</t>
  </si>
  <si>
    <t>навеки</t>
  </si>
  <si>
    <t>погребен</t>
  </si>
  <si>
    <t>зловонной</t>
  </si>
  <si>
    <t>засосавшей</t>
  </si>
  <si>
    <t>бездонную</t>
  </si>
  <si>
    <t>глубину</t>
  </si>
  <si>
    <t># text = Мы нашли немало его следов на опоясанном топью островке, где он прятал своего страшного сообщника.</t>
  </si>
  <si>
    <t>нашли</t>
  </si>
  <si>
    <t>немало</t>
  </si>
  <si>
    <t>следов</t>
  </si>
  <si>
    <t>опоясанном</t>
  </si>
  <si>
    <t>топью</t>
  </si>
  <si>
    <t>прятал</t>
  </si>
  <si>
    <t>страшного</t>
  </si>
  <si>
    <t>сообщника</t>
  </si>
  <si>
    <t># text = Огромный ворот и шахта, до половины заваленная щебнем, говорили, что когда-то здесь был рудник.</t>
  </si>
  <si>
    <t>Огромный</t>
  </si>
  <si>
    <t>ворот</t>
  </si>
  <si>
    <t>шахта</t>
  </si>
  <si>
    <t>половины</t>
  </si>
  <si>
    <t>заваленная</t>
  </si>
  <si>
    <t>щебнем</t>
  </si>
  <si>
    <t>говорили</t>
  </si>
  <si>
    <t># text = Рядом с ним стояли развалившиеся лачуги рудокопов, которых, вероятно, выгнали отсюда ядовитые болотные испарения.</t>
  </si>
  <si>
    <t>Рядом</t>
  </si>
  <si>
    <t>развалившиеся</t>
  </si>
  <si>
    <t>лачуги</t>
  </si>
  <si>
    <t>рудокопов</t>
  </si>
  <si>
    <t>которых</t>
  </si>
  <si>
    <t>выгнали</t>
  </si>
  <si>
    <t>отсюда</t>
  </si>
  <si>
    <t>ядовитые</t>
  </si>
  <si>
    <t>болотные</t>
  </si>
  <si>
    <t># text = В одной из этих лачуг мы нашли кольцо в стене, цепь и множество обглоданных костей.</t>
  </si>
  <si>
    <t>лачуг</t>
  </si>
  <si>
    <t>кольцо</t>
  </si>
  <si>
    <t>стене</t>
  </si>
  <si>
    <t>цепь</t>
  </si>
  <si>
    <t>множество</t>
  </si>
  <si>
    <t>обглоданных</t>
  </si>
  <si>
    <t>костей</t>
  </si>
  <si>
    <t># text = Здесь, вероятно, Стэплтон и держал своего пса.</t>
  </si>
  <si>
    <t>пса</t>
  </si>
  <si>
    <t># text = Среди мусора валялся скелет собаки с оставшимся на нем клочком рыжей шерсти.</t>
  </si>
  <si>
    <t>Среди</t>
  </si>
  <si>
    <t>мусора</t>
  </si>
  <si>
    <t>валялся</t>
  </si>
  <si>
    <t>скелет</t>
  </si>
  <si>
    <t>оставшимся</t>
  </si>
  <si>
    <t>нем</t>
  </si>
  <si>
    <t>клочком</t>
  </si>
  <si>
    <t>рыжей</t>
  </si>
  <si>
    <t>шерсти</t>
  </si>
  <si>
    <t># text = — Боже мой! — воскликнул Холмс.</t>
  </si>
  <si>
    <t>воскликнул</t>
  </si>
  <si>
    <t># text = — Да это спаниель!</t>
  </si>
  <si>
    <t># text = Бедный Мортимер больше никогда не уводит своего любимца.</t>
  </si>
  <si>
    <t>Бедный</t>
  </si>
  <si>
    <t>Мортимер</t>
  </si>
  <si>
    <t>уводит</t>
  </si>
  <si>
    <t>любимца</t>
  </si>
  <si>
    <t># text = Ну что ж, теперь, я думаю, этот островок открыл нам все свои тайны.</t>
  </si>
  <si>
    <t>ж</t>
  </si>
  <si>
    <t>думаю</t>
  </si>
  <si>
    <t>открыл</t>
  </si>
  <si>
    <t>свои</t>
  </si>
  <si>
    <t>тайны</t>
  </si>
  <si>
    <t># text = Спрятать собаку было нетрудно, а вот попробуйте заставить ее молчать!</t>
  </si>
  <si>
    <t>Спрятать</t>
  </si>
  <si>
    <t>нетрудно</t>
  </si>
  <si>
    <t>попробуйте</t>
  </si>
  <si>
    <t>молчать</t>
  </si>
  <si>
    <t># text = Отсюда и шел этот вой, от которого людям даже днем становилось не по себе.</t>
  </si>
  <si>
    <t>Отсюда</t>
  </si>
  <si>
    <t>шел</t>
  </si>
  <si>
    <t>вой</t>
  </si>
  <si>
    <t>людям</t>
  </si>
  <si>
    <t>днем</t>
  </si>
  <si>
    <t>становилось</t>
  </si>
  <si>
    <t># text = В случае крайней необходимости Стэплтон мог бы перевести собаку в сарай, поближе к дому, но на такой риск можно было пойти только в самую критическую минуту, в расчете на близкую развязку.</t>
  </si>
  <si>
    <t>случае</t>
  </si>
  <si>
    <t>необходимости</t>
  </si>
  <si>
    <t>перевести</t>
  </si>
  <si>
    <t>сарай</t>
  </si>
  <si>
    <t>поближе</t>
  </si>
  <si>
    <t>риск</t>
  </si>
  <si>
    <t>пойти</t>
  </si>
  <si>
    <t>самую</t>
  </si>
  <si>
    <t>критическую</t>
  </si>
  <si>
    <t>расчете</t>
  </si>
  <si>
    <t>близкую</t>
  </si>
  <si>
    <t>развязку</t>
  </si>
  <si>
    <t># text = А вот эта паста в жестянке — тот самый светящийся состав, которым он смазывал своего пса.</t>
  </si>
  <si>
    <t>жестянке</t>
  </si>
  <si>
    <t>самый</t>
  </si>
  <si>
    <t>светящийся</t>
  </si>
  <si>
    <t>состав</t>
  </si>
  <si>
    <t>смазывал</t>
  </si>
  <si>
    <t># text = Его натолкнуло на эту мысль не что иное, как легенда о чудовищной собаке Баскервилей, и он решил разделаться таким способом с сэром Чарльзом.</t>
  </si>
  <si>
    <t>Его</t>
  </si>
  <si>
    <t>натолкнуло</t>
  </si>
  <si>
    <t>иное</t>
  </si>
  <si>
    <t>легенда</t>
  </si>
  <si>
    <t>чудовищной</t>
  </si>
  <si>
    <t>Баскервилей</t>
  </si>
  <si>
    <t>решил</t>
  </si>
  <si>
    <t>разделаться</t>
  </si>
  <si>
    <t>таким</t>
  </si>
  <si>
    <t>способом</t>
  </si>
  <si>
    <t>Чарльзом</t>
  </si>
  <si>
    <t># text = Теперь неудивительно, что злосчастный каторжник пустился наутек (как, впрочем, и наш друг, да и мы сами были недалеки от этого), когда эдакое страшилище выскочило на него из темноты.</t>
  </si>
  <si>
    <t>неудивительно</t>
  </si>
  <si>
    <t>злосчастный</t>
  </si>
  <si>
    <t>каторжник</t>
  </si>
  <si>
    <t>пустился</t>
  </si>
  <si>
    <t>наутек</t>
  </si>
  <si>
    <t>(</t>
  </si>
  <si>
    <t>впрочем</t>
  </si>
  <si>
    <t>недалеки</t>
  </si>
  <si>
    <t>)</t>
  </si>
  <si>
    <t>эдакое</t>
  </si>
  <si>
    <t>страшилище</t>
  </si>
  <si>
    <t>выскочило</t>
  </si>
  <si>
    <t>темноты</t>
  </si>
  <si>
    <t># text = Стэплтон хитро придумал!</t>
  </si>
  <si>
    <t>хитро</t>
  </si>
  <si>
    <t>придумал</t>
  </si>
  <si>
    <t># text = Уж не говоря о том, что собака помогла бы ему убить его жертву, кто из здешних фермеров решился бы поближе познакомиться с ней?</t>
  </si>
  <si>
    <t>Уж</t>
  </si>
  <si>
    <t>говоря</t>
  </si>
  <si>
    <t>том</t>
  </si>
  <si>
    <t>помогла</t>
  </si>
  <si>
    <t>здешних</t>
  </si>
  <si>
    <t>фермеров</t>
  </si>
  <si>
    <t>решился</t>
  </si>
  <si>
    <t>познакомиться</t>
  </si>
  <si>
    <t># text = С такой тварью достаточно и одной встречи.</t>
  </si>
  <si>
    <t>тварью</t>
  </si>
  <si>
    <t>встречи</t>
  </si>
  <si>
    <t># text = А ведь ее многие видели на болотах.</t>
  </si>
  <si>
    <t>многие</t>
  </si>
  <si>
    <t># text = Я говорил об этом в Лондоне, Уотсон, и повторяю опять: нам никогда не приходилось иметь дело с человеком более опасным, чем тот, кто лежит теперь там!</t>
  </si>
  <si>
    <t>об</t>
  </si>
  <si>
    <t>Лондоне</t>
  </si>
  <si>
    <t>повторяю</t>
  </si>
  <si>
    <t>опять</t>
  </si>
  <si>
    <t>приходилось</t>
  </si>
  <si>
    <t>иметь</t>
  </si>
  <si>
    <t>опасным</t>
  </si>
  <si>
    <t>лежит</t>
  </si>
  <si>
    <t># text = — И он показал на зелено-бурую трясину, уходившую вдаль, к пологим склонам торфяных болот.</t>
  </si>
  <si>
    <t>показал</t>
  </si>
  <si>
    <t>зелено</t>
  </si>
  <si>
    <t>бурую</t>
  </si>
  <si>
    <t>уходившую</t>
  </si>
  <si>
    <t>вдаль</t>
  </si>
  <si>
    <t>пологим</t>
  </si>
  <si>
    <t>склонам</t>
  </si>
  <si>
    <t>торфяных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</si>
</sst>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16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15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24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15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41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16</v>
      </c>
      <c r="C10" s="6" t="s">
        <v>11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41</v>
      </c>
      <c r="B11" s="6" t="s">
        <v>36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24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20</v>
      </c>
      <c r="B13" s="6" t="s">
        <v>16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24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28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16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32</v>
      </c>
      <c r="C17" s="6" t="s">
        <v>11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75</v>
      </c>
      <c r="B18" s="6" t="s">
        <v>15</v>
      </c>
      <c r="C18" s="6" t="s">
        <v>11</v>
      </c>
      <c r="D18" s="7" t="s">
        <v>72</v>
      </c>
      <c r="E18" s="8" t="s">
        <v>76</v>
      </c>
      <c r="F18" s="6" t="s">
        <v>77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78</v>
      </c>
      <c r="B19" s="6" t="s">
        <v>15</v>
      </c>
      <c r="C19" s="6" t="s">
        <v>11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82</v>
      </c>
      <c r="B20" s="6" t="s">
        <v>40</v>
      </c>
      <c r="C20" s="6" t="s">
        <v>11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86</v>
      </c>
      <c r="B21" s="6" t="s">
        <v>16</v>
      </c>
      <c r="C21" s="6" t="s">
        <v>11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90</v>
      </c>
      <c r="B22" s="6" t="s">
        <v>28</v>
      </c>
      <c r="C22" s="6" t="s">
        <v>11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94</v>
      </c>
      <c r="B23" s="6" t="s">
        <v>16</v>
      </c>
      <c r="C23" s="6" t="s">
        <v>11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98</v>
      </c>
      <c r="B24" s="6" t="s">
        <v>15</v>
      </c>
      <c r="C24" s="6" t="s">
        <v>11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102</v>
      </c>
      <c r="B25" s="6" t="s">
        <v>16</v>
      </c>
      <c r="C25" s="6" t="s">
        <v>11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106</v>
      </c>
      <c r="B26" s="6" t="s">
        <v>24</v>
      </c>
      <c r="C26" s="6" t="s">
        <v>11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110</v>
      </c>
      <c r="B27" s="6" t="s">
        <v>28</v>
      </c>
      <c r="C27" s="6" t="s">
        <v>11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114</v>
      </c>
      <c r="B28" s="6" t="s">
        <v>15</v>
      </c>
      <c r="C28" s="6" t="s">
        <v>11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118</v>
      </c>
      <c r="B29" s="6" t="s">
        <v>24</v>
      </c>
      <c r="C29" s="6" t="s">
        <v>11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122</v>
      </c>
      <c r="B30" s="6" t="s">
        <v>10</v>
      </c>
      <c r="C30" s="6" t="s">
        <v>11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126</v>
      </c>
      <c r="B31" s="6" t="s">
        <v>10</v>
      </c>
      <c r="C31" s="6" t="s">
        <v>11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130</v>
      </c>
      <c r="B32" s="6" t="s">
        <v>16</v>
      </c>
      <c r="C32" s="6" t="s">
        <v>11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134</v>
      </c>
      <c r="B33" s="6" t="s">
        <v>36</v>
      </c>
      <c r="C33" s="6" t="s">
        <v>11</v>
      </c>
      <c r="D33" s="7" t="s">
        <v>135</v>
      </c>
      <c r="E33" s="8" t="s">
        <v>136</v>
      </c>
      <c r="F33" s="6" t="s">
        <v>137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138</v>
      </c>
      <c r="B34" s="6" t="s">
        <v>24</v>
      </c>
      <c r="C34" s="6" t="s">
        <v>11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142</v>
      </c>
      <c r="B35" s="6" t="s">
        <v>16</v>
      </c>
      <c r="C35" s="6" t="s">
        <v>11</v>
      </c>
      <c r="D35" s="7" t="s">
        <v>143</v>
      </c>
      <c r="E35" s="8" t="s">
        <v>144</v>
      </c>
      <c r="F35" s="6" t="s">
        <v>145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146</v>
      </c>
      <c r="B36" s="6" t="s">
        <v>16</v>
      </c>
      <c r="C36" s="6" t="s">
        <v>11</v>
      </c>
      <c r="D36" s="7" t="s">
        <v>147</v>
      </c>
      <c r="E36" s="8" t="s">
        <v>148</v>
      </c>
      <c r="F36" s="6" t="s">
        <v>149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150</v>
      </c>
      <c r="B37" s="6" t="s">
        <v>16</v>
      </c>
      <c r="C37" s="6" t="s">
        <v>11</v>
      </c>
      <c r="D37" s="7" t="s">
        <v>151</v>
      </c>
      <c r="E37" s="8" t="s">
        <v>152</v>
      </c>
      <c r="F37" s="6" t="s">
        <v>153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154</v>
      </c>
      <c r="B38" s="6" t="s">
        <v>15</v>
      </c>
      <c r="C38" s="6" t="s">
        <v>11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158</v>
      </c>
      <c r="B39" s="6" t="s">
        <v>10</v>
      </c>
      <c r="C39" s="6" t="s">
        <v>11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162</v>
      </c>
      <c r="B40" s="6" t="s">
        <v>24</v>
      </c>
      <c r="C40" s="6" t="s">
        <v>11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166</v>
      </c>
      <c r="B41" s="6" t="s">
        <v>28</v>
      </c>
      <c r="C41" s="6" t="s">
        <v>11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170</v>
      </c>
      <c r="B42" s="6" t="s">
        <v>15</v>
      </c>
      <c r="C42" s="6" t="s">
        <v>11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174</v>
      </c>
      <c r="B43" s="6" t="s">
        <v>16</v>
      </c>
      <c r="C43" s="6" t="s">
        <v>11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178</v>
      </c>
      <c r="B44" s="6" t="s">
        <v>15</v>
      </c>
      <c r="C44" s="6" t="s">
        <v>11</v>
      </c>
      <c r="D44" s="7" t="s">
        <v>179</v>
      </c>
      <c r="E44" s="8" t="s">
        <v>180</v>
      </c>
      <c r="F44" s="6" t="s">
        <v>181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182</v>
      </c>
      <c r="B45" s="6" t="s">
        <v>16</v>
      </c>
      <c r="C45" s="6" t="s">
        <v>11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186</v>
      </c>
      <c r="B46" s="6" t="s">
        <v>20</v>
      </c>
      <c r="C46" s="6" t="s">
        <v>11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190</v>
      </c>
      <c r="B47" s="6" t="s">
        <v>32</v>
      </c>
      <c r="C47" s="6" t="s">
        <v>11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194</v>
      </c>
      <c r="B48" s="6" t="s">
        <v>24</v>
      </c>
      <c r="C48" s="6" t="s">
        <v>11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198</v>
      </c>
      <c r="B49" s="6" t="s">
        <v>15</v>
      </c>
      <c r="C49" s="6" t="s">
        <v>11</v>
      </c>
      <c r="D49" s="7" t="s">
        <v>167</v>
      </c>
      <c r="E49" s="8" t="s">
        <v>199</v>
      </c>
      <c r="F49" s="6" t="s">
        <v>200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201</v>
      </c>
      <c r="B50" s="6" t="s">
        <v>15</v>
      </c>
      <c r="C50" s="6" t="s">
        <v>11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205</v>
      </c>
      <c r="B51" s="6" t="s">
        <v>32</v>
      </c>
      <c r="C51" s="6" t="s">
        <v>11</v>
      </c>
      <c r="D51" s="7" t="s">
        <v>68</v>
      </c>
      <c r="E51" s="8" t="s">
        <v>206</v>
      </c>
      <c r="F51" s="6" t="s">
        <v>207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208</v>
      </c>
      <c r="B52" s="6" t="s">
        <v>10</v>
      </c>
      <c r="C52" s="6" t="s">
        <v>11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212</v>
      </c>
      <c r="B53" s="6" t="s">
        <v>15</v>
      </c>
      <c r="C53" s="6" t="s">
        <v>11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216</v>
      </c>
      <c r="B54" s="6" t="s">
        <v>15</v>
      </c>
      <c r="C54" s="6" t="s">
        <v>11</v>
      </c>
      <c r="D54" s="7" t="s">
        <v>68</v>
      </c>
      <c r="E54" s="8" t="s">
        <v>217</v>
      </c>
      <c r="F54" s="6" t="s">
        <v>218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219</v>
      </c>
      <c r="B55" s="6" t="s">
        <v>41</v>
      </c>
      <c r="C55" s="6" t="s">
        <v>11</v>
      </c>
      <c r="D55" s="7" t="s">
        <v>220</v>
      </c>
      <c r="E55" s="8" t="s">
        <v>221</v>
      </c>
      <c r="F55" s="6" t="s">
        <v>222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223</v>
      </c>
      <c r="B56" s="6" t="s">
        <v>15</v>
      </c>
      <c r="C56" s="6" t="s">
        <v>11</v>
      </c>
      <c r="D56" s="7" t="s">
        <v>224</v>
      </c>
      <c r="E56" s="8" t="s">
        <v>225</v>
      </c>
      <c r="F56" s="6" t="s">
        <v>226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227</v>
      </c>
      <c r="B57" s="6" t="s">
        <v>16</v>
      </c>
      <c r="C57" s="6" t="s">
        <v>11</v>
      </c>
      <c r="D57" s="7" t="s">
        <v>228</v>
      </c>
      <c r="E57" s="8" t="s">
        <v>229</v>
      </c>
      <c r="F57" s="6" t="s">
        <v>230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231</v>
      </c>
      <c r="B58" s="6" t="s">
        <v>41</v>
      </c>
      <c r="C58" s="6" t="s">
        <v>11</v>
      </c>
      <c r="D58" s="7" t="s">
        <v>232</v>
      </c>
      <c r="E58" s="8" t="s">
        <v>233</v>
      </c>
      <c r="F58" s="6" t="s">
        <v>234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235</v>
      </c>
      <c r="B59" s="6" t="s">
        <v>28</v>
      </c>
      <c r="C59" s="6" t="s">
        <v>11</v>
      </c>
      <c r="D59" s="7" t="s">
        <v>131</v>
      </c>
      <c r="E59" s="8" t="s">
        <v>236</v>
      </c>
      <c r="F59" s="6" t="s">
        <v>237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238</v>
      </c>
      <c r="B60" s="6" t="s">
        <v>16</v>
      </c>
      <c r="C60" s="6" t="s">
        <v>11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242</v>
      </c>
      <c r="B61" s="6" t="s">
        <v>16</v>
      </c>
      <c r="C61" s="6" t="s">
        <v>11</v>
      </c>
      <c r="D61" s="7" t="s">
        <v>243</v>
      </c>
      <c r="E61" s="8" t="s">
        <v>244</v>
      </c>
      <c r="F61" s="6" t="s">
        <v>245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246</v>
      </c>
      <c r="B62" s="6" t="s">
        <v>28</v>
      </c>
      <c r="C62" s="6" t="s">
        <v>11</v>
      </c>
      <c r="D62" s="7" t="s">
        <v>247</v>
      </c>
      <c r="E62" s="8" t="s">
        <v>248</v>
      </c>
      <c r="F62" s="6" t="s">
        <v>249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250</v>
      </c>
      <c r="B63" s="6" t="s">
        <v>15</v>
      </c>
      <c r="C63" s="6" t="s">
        <v>11</v>
      </c>
      <c r="D63" s="7" t="s">
        <v>251</v>
      </c>
      <c r="E63" s="8" t="s">
        <v>252</v>
      </c>
      <c r="F63" s="6" t="s">
        <v>253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254</v>
      </c>
      <c r="B64" s="6" t="s">
        <v>24</v>
      </c>
      <c r="C64" s="6" t="s">
        <v>11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258</v>
      </c>
      <c r="B65" s="6" t="s">
        <v>16</v>
      </c>
      <c r="C65" s="6" t="s">
        <v>11</v>
      </c>
      <c r="D65" s="7" t="s">
        <v>259</v>
      </c>
      <c r="E65" s="8" t="s">
        <v>260</v>
      </c>
      <c r="F65" s="6" t="s">
        <v>261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262</v>
      </c>
      <c r="B66" s="6" t="s">
        <v>10</v>
      </c>
      <c r="C66" s="6" t="s">
        <v>11</v>
      </c>
      <c r="D66" s="7" t="s">
        <v>263</v>
      </c>
      <c r="E66" s="8" t="s">
        <v>264</v>
      </c>
      <c r="F66" s="6" t="s">
        <v>265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266</v>
      </c>
      <c r="B67" s="6" t="s">
        <v>32</v>
      </c>
      <c r="C67" s="6" t="s">
        <v>11</v>
      </c>
      <c r="D67" s="7" t="s">
        <v>267</v>
      </c>
      <c r="E67" s="8" t="s">
        <v>268</v>
      </c>
      <c r="F67" s="6" t="s">
        <v>269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270</v>
      </c>
      <c r="B68" s="6" t="s">
        <v>16</v>
      </c>
      <c r="C68" s="6" t="s">
        <v>11</v>
      </c>
      <c r="D68" s="7" t="s">
        <v>271</v>
      </c>
      <c r="E68" s="8" t="s">
        <v>272</v>
      </c>
      <c r="F68" s="6" t="s">
        <v>273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274</v>
      </c>
      <c r="B69" s="6" t="s">
        <v>20</v>
      </c>
      <c r="C69" s="6" t="s">
        <v>11</v>
      </c>
      <c r="D69" s="7" t="s">
        <v>275</v>
      </c>
      <c r="E69" s="8" t="s">
        <v>276</v>
      </c>
      <c r="F69" s="6" t="s">
        <v>277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278</v>
      </c>
      <c r="B70" s="6" t="s">
        <v>16</v>
      </c>
      <c r="C70" s="6" t="s">
        <v>11</v>
      </c>
      <c r="D70" s="7" t="s">
        <v>279</v>
      </c>
      <c r="E70" s="8" t="s">
        <v>280</v>
      </c>
      <c r="F70" s="6" t="s">
        <v>281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282</v>
      </c>
      <c r="B71" s="6" t="s">
        <v>16</v>
      </c>
      <c r="C71" s="6" t="s">
        <v>11</v>
      </c>
      <c r="D71" s="7" t="s">
        <v>283</v>
      </c>
      <c r="E71" s="8" t="s">
        <v>284</v>
      </c>
      <c r="F71" s="6" t="s">
        <v>285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286</v>
      </c>
      <c r="B72" s="6" t="s">
        <v>28</v>
      </c>
      <c r="C72" s="6" t="s">
        <v>11</v>
      </c>
      <c r="D72" s="7" t="s">
        <v>287</v>
      </c>
      <c r="E72" s="8" t="s">
        <v>288</v>
      </c>
      <c r="F72" s="6" t="s">
        <v>289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290</v>
      </c>
      <c r="B73" s="6" t="s">
        <v>24</v>
      </c>
      <c r="C73" s="6" t="s">
        <v>11</v>
      </c>
      <c r="D73" s="7" t="s">
        <v>291</v>
      </c>
      <c r="E73" s="8" t="s">
        <v>292</v>
      </c>
      <c r="F73" s="6" t="s">
        <v>293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294</v>
      </c>
      <c r="B74" s="6" t="s">
        <v>28</v>
      </c>
      <c r="C74" s="6" t="s">
        <v>11</v>
      </c>
      <c r="D74" s="7" t="s">
        <v>295</v>
      </c>
      <c r="E74" s="8" t="s">
        <v>296</v>
      </c>
      <c r="F74" s="6" t="s">
        <v>297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298</v>
      </c>
      <c r="B75" s="6" t="s">
        <v>15</v>
      </c>
      <c r="C75" s="6" t="s">
        <v>11</v>
      </c>
      <c r="D75" s="7" t="s">
        <v>299</v>
      </c>
      <c r="E75" s="8" t="s">
        <v>300</v>
      </c>
      <c r="F75" s="6" t="s">
        <v>301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302</v>
      </c>
      <c r="B76" s="6" t="s">
        <v>16</v>
      </c>
      <c r="C76" s="6" t="s">
        <v>11</v>
      </c>
      <c r="D76" s="7" t="s">
        <v>91</v>
      </c>
      <c r="E76" s="8" t="s">
        <v>303</v>
      </c>
      <c r="F76" s="6" t="s">
        <v>304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305</v>
      </c>
      <c r="B77" s="6" t="s">
        <v>16</v>
      </c>
      <c r="C77" s="6" t="s">
        <v>11</v>
      </c>
      <c r="D77" s="7" t="s">
        <v>306</v>
      </c>
      <c r="E77" s="8" t="s">
        <v>307</v>
      </c>
      <c r="F77" s="6" t="s">
        <v>308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309</v>
      </c>
      <c r="B78" s="6" t="s">
        <v>28</v>
      </c>
      <c r="C78" s="6" t="s">
        <v>11</v>
      </c>
      <c r="D78" s="7" t="s">
        <v>310</v>
      </c>
      <c r="E78" s="8" t="s">
        <v>311</v>
      </c>
      <c r="F78" s="6" t="s">
        <v>312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313</v>
      </c>
      <c r="B79" s="6" t="s">
        <v>28</v>
      </c>
      <c r="C79" s="6" t="s">
        <v>11</v>
      </c>
      <c r="D79" s="7" t="s">
        <v>314</v>
      </c>
      <c r="E79" s="8" t="s">
        <v>315</v>
      </c>
      <c r="F79" s="6" t="s">
        <v>316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317</v>
      </c>
      <c r="B80" s="6" t="s">
        <v>24</v>
      </c>
      <c r="C80" s="6" t="s">
        <v>11</v>
      </c>
      <c r="D80" s="7" t="s">
        <v>318</v>
      </c>
      <c r="E80" s="8" t="s">
        <v>319</v>
      </c>
      <c r="F80" s="6" t="s">
        <v>320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321</v>
      </c>
      <c r="B81" s="6" t="s">
        <v>16</v>
      </c>
      <c r="C81" s="6" t="s">
        <v>11</v>
      </c>
      <c r="D81" s="7" t="s">
        <v>322</v>
      </c>
      <c r="E81" s="8" t="s">
        <v>323</v>
      </c>
      <c r="F81" s="6" t="s">
        <v>324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325</v>
      </c>
      <c r="B82" s="6" t="s">
        <v>52</v>
      </c>
      <c r="C82" s="6" t="s">
        <v>11</v>
      </c>
      <c r="D82" s="7" t="s">
        <v>326</v>
      </c>
      <c r="E82" s="8" t="s">
        <v>327</v>
      </c>
      <c r="F82" s="6" t="s">
        <v>328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329</v>
      </c>
      <c r="B83" s="6" t="s">
        <v>15</v>
      </c>
      <c r="C83" s="6" t="s">
        <v>11</v>
      </c>
      <c r="D83" s="7" t="s">
        <v>330</v>
      </c>
      <c r="E83" s="8" t="s">
        <v>331</v>
      </c>
      <c r="F83" s="6" t="s">
        <v>332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333</v>
      </c>
      <c r="B84" s="6" t="s">
        <v>40</v>
      </c>
      <c r="C84" s="6" t="s">
        <v>11</v>
      </c>
      <c r="D84" s="7" t="s">
        <v>334</v>
      </c>
      <c r="E84" s="8" t="s">
        <v>335</v>
      </c>
      <c r="F84" s="6" t="s">
        <v>336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337</v>
      </c>
      <c r="B85" s="6" t="s">
        <v>52</v>
      </c>
      <c r="C85" s="6" t="s">
        <v>11</v>
      </c>
      <c r="D85" s="7" t="s">
        <v>338</v>
      </c>
      <c r="E85" s="8" t="s">
        <v>339</v>
      </c>
      <c r="F85" s="6" t="s">
        <v>340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341</v>
      </c>
      <c r="B86" s="6" t="s">
        <v>41</v>
      </c>
      <c r="C86" s="6" t="s">
        <v>11</v>
      </c>
      <c r="D86" s="7" t="s">
        <v>342</v>
      </c>
      <c r="E86" s="8" t="s">
        <v>343</v>
      </c>
      <c r="F86" s="6" t="s">
        <v>344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345</v>
      </c>
      <c r="B87" s="6" t="s">
        <v>28</v>
      </c>
      <c r="C87" s="6" t="s">
        <v>11</v>
      </c>
      <c r="D87" s="7" t="s">
        <v>346</v>
      </c>
      <c r="E87" s="8" t="s">
        <v>347</v>
      </c>
      <c r="F87" s="6" t="s">
        <v>348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349</v>
      </c>
      <c r="B88" s="6" t="s">
        <v>24</v>
      </c>
      <c r="C88" s="6" t="s">
        <v>11</v>
      </c>
      <c r="D88" s="7" t="s">
        <v>350</v>
      </c>
      <c r="E88" s="8" t="s">
        <v>351</v>
      </c>
      <c r="F88" s="6" t="s">
        <v>352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353</v>
      </c>
      <c r="B89" s="6" t="s">
        <v>36</v>
      </c>
      <c r="C89" s="6" t="s">
        <v>11</v>
      </c>
      <c r="D89" s="7" t="s">
        <v>354</v>
      </c>
      <c r="E89" s="8" t="s">
        <v>355</v>
      </c>
      <c r="F89" s="6" t="s">
        <v>356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357</v>
      </c>
      <c r="B90" s="6" t="s">
        <v>15</v>
      </c>
      <c r="C90" s="6" t="s">
        <v>11</v>
      </c>
      <c r="D90" s="7" t="s">
        <v>358</v>
      </c>
      <c r="E90" s="8" t="s">
        <v>359</v>
      </c>
      <c r="F90" s="6" t="s">
        <v>360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361</v>
      </c>
      <c r="B91" s="6" t="s">
        <v>15</v>
      </c>
      <c r="C91" s="6" t="s">
        <v>11</v>
      </c>
      <c r="D91" s="7" t="s">
        <v>362</v>
      </c>
      <c r="E91" s="8" t="s">
        <v>363</v>
      </c>
      <c r="F91" s="6" t="s">
        <v>364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365</v>
      </c>
      <c r="B92" s="6" t="s">
        <v>16</v>
      </c>
      <c r="C92" s="6" t="s">
        <v>11</v>
      </c>
      <c r="D92" s="7" t="s">
        <v>366</v>
      </c>
      <c r="E92" s="8" t="s">
        <v>367</v>
      </c>
      <c r="F92" s="6" t="s">
        <v>368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369</v>
      </c>
      <c r="B93" s="6" t="s">
        <v>24</v>
      </c>
      <c r="C93" s="6" t="s">
        <v>11</v>
      </c>
      <c r="D93" s="7" t="s">
        <v>370</v>
      </c>
      <c r="E93" s="8" t="s">
        <v>371</v>
      </c>
      <c r="F93" s="6" t="s">
        <v>372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373</v>
      </c>
      <c r="B94" s="6" t="s">
        <v>36</v>
      </c>
      <c r="C94" s="6" t="s">
        <v>11</v>
      </c>
      <c r="D94" s="7" t="s">
        <v>374</v>
      </c>
      <c r="E94" s="8" t="s">
        <v>375</v>
      </c>
      <c r="F94" s="6" t="s">
        <v>376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377</v>
      </c>
      <c r="B95" s="6" t="s">
        <v>16</v>
      </c>
      <c r="C95" s="6" t="s">
        <v>11</v>
      </c>
      <c r="D95" s="7" t="s">
        <v>202</v>
      </c>
      <c r="E95" s="8" t="s">
        <v>378</v>
      </c>
      <c r="F95" s="6" t="s">
        <v>379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380</v>
      </c>
      <c r="B96" s="6" t="s">
        <v>52</v>
      </c>
      <c r="C96" s="6" t="s">
        <v>11</v>
      </c>
      <c r="D96" s="7" t="s">
        <v>381</v>
      </c>
      <c r="E96" s="8" t="s">
        <v>382</v>
      </c>
      <c r="F96" s="6" t="s">
        <v>383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384</v>
      </c>
      <c r="B97" s="6" t="s">
        <v>16</v>
      </c>
      <c r="C97" s="6" t="s">
        <v>11</v>
      </c>
      <c r="D97" s="7" t="s">
        <v>103</v>
      </c>
      <c r="E97" s="8" t="s">
        <v>385</v>
      </c>
      <c r="F97" s="6" t="s">
        <v>386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387</v>
      </c>
      <c r="B98" s="6" t="s">
        <v>36</v>
      </c>
      <c r="C98" s="6" t="s">
        <v>11</v>
      </c>
      <c r="D98" s="7" t="s">
        <v>388</v>
      </c>
      <c r="E98" s="8" t="s">
        <v>389</v>
      </c>
      <c r="F98" s="6" t="s">
        <v>390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391</v>
      </c>
      <c r="B99" s="6" t="s">
        <v>15</v>
      </c>
      <c r="C99" s="6" t="s">
        <v>11</v>
      </c>
      <c r="D99" s="7" t="s">
        <v>392</v>
      </c>
      <c r="E99" s="8" t="s">
        <v>393</v>
      </c>
      <c r="F99" s="6" t="s">
        <v>394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395</v>
      </c>
      <c r="B100" s="6" t="s">
        <v>10</v>
      </c>
      <c r="C100" s="6" t="s">
        <v>11</v>
      </c>
      <c r="D100" s="7" t="s">
        <v>396</v>
      </c>
      <c r="E100" s="8" t="s">
        <v>397</v>
      </c>
      <c r="F100" s="6" t="s">
        <v>398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399</v>
      </c>
      <c r="B101" s="6" t="s">
        <v>40</v>
      </c>
      <c r="C101" s="6" t="s">
        <v>11</v>
      </c>
      <c r="D101" s="7" t="s">
        <v>370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402</v>
      </c>
      <c r="B102" s="6" t="s">
        <v>16</v>
      </c>
      <c r="C102" s="6" t="s">
        <v>11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406</v>
      </c>
      <c r="B103" s="6" t="s">
        <v>40</v>
      </c>
      <c r="C103" s="6" t="s">
        <v>11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410</v>
      </c>
      <c r="B104" s="6" t="s">
        <v>24</v>
      </c>
      <c r="C104" s="6" t="s">
        <v>11</v>
      </c>
      <c r="D104" s="7" t="s">
        <v>411</v>
      </c>
      <c r="E104" s="8" t="s">
        <v>412</v>
      </c>
      <c r="F104" s="6" t="s">
        <v>413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414</v>
      </c>
      <c r="B105" s="6" t="s">
        <v>32</v>
      </c>
      <c r="C105" s="6" t="s">
        <v>11</v>
      </c>
      <c r="D105" s="7" t="s">
        <v>415</v>
      </c>
      <c r="E105" s="8" t="s">
        <v>416</v>
      </c>
      <c r="F105" s="6" t="s">
        <v>417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418</v>
      </c>
      <c r="B106" s="6" t="s">
        <v>15</v>
      </c>
      <c r="C106" s="6" t="s">
        <v>11</v>
      </c>
      <c r="D106" s="7" t="s">
        <v>419</v>
      </c>
      <c r="E106" s="8" t="s">
        <v>420</v>
      </c>
      <c r="F106" s="6" t="s">
        <v>421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422</v>
      </c>
      <c r="B107" s="6" t="s">
        <v>10</v>
      </c>
      <c r="C107" s="6" t="s">
        <v>11</v>
      </c>
      <c r="D107" s="7" t="s">
        <v>423</v>
      </c>
      <c r="E107" s="8" t="s">
        <v>424</v>
      </c>
      <c r="F107" s="6" t="s">
        <v>425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426</v>
      </c>
      <c r="B108" s="6" t="s">
        <v>15</v>
      </c>
      <c r="C108" s="6" t="s">
        <v>11</v>
      </c>
      <c r="D108" s="7" t="s">
        <v>427</v>
      </c>
      <c r="E108" s="8" t="s">
        <v>428</v>
      </c>
      <c r="F108" s="6" t="s">
        <v>429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430</v>
      </c>
      <c r="B109" s="6" t="s">
        <v>20</v>
      </c>
      <c r="C109" s="6" t="s">
        <v>11</v>
      </c>
      <c r="D109" s="7" t="s">
        <v>431</v>
      </c>
      <c r="E109" s="8" t="s">
        <v>432</v>
      </c>
      <c r="F109" s="6" t="s">
        <v>433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434</v>
      </c>
      <c r="B110" s="6" t="s">
        <v>28</v>
      </c>
      <c r="C110" s="6" t="s">
        <v>11</v>
      </c>
      <c r="D110" s="7" t="s">
        <v>435</v>
      </c>
      <c r="E110" s="8" t="s">
        <v>436</v>
      </c>
      <c r="F110" s="6" t="s">
        <v>437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438</v>
      </c>
      <c r="B111" s="6" t="s">
        <v>36</v>
      </c>
      <c r="C111" s="6" t="s">
        <v>11</v>
      </c>
      <c r="D111" s="7" t="s">
        <v>439</v>
      </c>
      <c r="E111" s="8" t="s">
        <v>440</v>
      </c>
      <c r="F111" s="6" t="s">
        <v>441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442</v>
      </c>
      <c r="B112" s="6" t="s">
        <v>15</v>
      </c>
      <c r="C112" s="6" t="s">
        <v>11</v>
      </c>
      <c r="D112" s="7" t="s">
        <v>443</v>
      </c>
      <c r="E112" s="8" t="s">
        <v>444</v>
      </c>
      <c r="F112" s="6" t="s">
        <v>445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446</v>
      </c>
      <c r="B113" s="6" t="s">
        <v>15</v>
      </c>
      <c r="C113" s="6" t="s">
        <v>11</v>
      </c>
      <c r="D113" s="7" t="s">
        <v>447</v>
      </c>
      <c r="E113" s="8" t="s">
        <v>448</v>
      </c>
      <c r="F113" s="6" t="s">
        <v>449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450</v>
      </c>
      <c r="B114" s="6" t="s">
        <v>32</v>
      </c>
      <c r="C114" s="6" t="s">
        <v>11</v>
      </c>
      <c r="D114" s="7" t="s">
        <v>451</v>
      </c>
      <c r="E114" s="8" t="s">
        <v>452</v>
      </c>
      <c r="F114" s="6" t="s">
        <v>453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454</v>
      </c>
      <c r="B115" s="6" t="s">
        <v>24</v>
      </c>
      <c r="C115" s="6" t="s">
        <v>11</v>
      </c>
      <c r="D115" s="7" t="s">
        <v>455</v>
      </c>
      <c r="E115" s="8" t="s">
        <v>456</v>
      </c>
      <c r="F115" s="6" t="s">
        <v>457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458</v>
      </c>
      <c r="B116" s="6" t="s">
        <v>15</v>
      </c>
      <c r="C116" s="6" t="s">
        <v>11</v>
      </c>
      <c r="D116" s="7" t="s">
        <v>68</v>
      </c>
      <c r="E116" s="8" t="s">
        <v>459</v>
      </c>
      <c r="F116" s="6" t="s">
        <v>460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461</v>
      </c>
      <c r="B117" s="6" t="s">
        <v>36</v>
      </c>
      <c r="C117" s="6" t="s">
        <v>11</v>
      </c>
      <c r="D117" s="7" t="s">
        <v>462</v>
      </c>
      <c r="E117" s="8" t="s">
        <v>463</v>
      </c>
      <c r="F117" s="6" t="s">
        <v>464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465</v>
      </c>
      <c r="B118" s="6" t="s">
        <v>15</v>
      </c>
      <c r="C118" s="6" t="s">
        <v>466</v>
      </c>
      <c r="D118" s="7" t="s">
        <v>467</v>
      </c>
      <c r="E118" s="8" t="s">
        <v>468</v>
      </c>
      <c r="F118" s="6" t="s">
        <v>469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470</v>
      </c>
      <c r="B119" s="6" t="s">
        <v>24</v>
      </c>
      <c r="C119" s="6" t="s">
        <v>11</v>
      </c>
      <c r="D119" s="7" t="s">
        <v>471</v>
      </c>
      <c r="E119" s="8" t="s">
        <v>472</v>
      </c>
      <c r="F119" s="6" t="s">
        <v>473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474</v>
      </c>
      <c r="B120" s="6" t="s">
        <v>16</v>
      </c>
      <c r="C120" s="6" t="s">
        <v>11</v>
      </c>
      <c r="D120" s="7" t="s">
        <v>475</v>
      </c>
      <c r="E120" s="8" t="s">
        <v>476</v>
      </c>
      <c r="F120" s="6" t="s">
        <v>477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478</v>
      </c>
      <c r="B121" s="6" t="s">
        <v>15</v>
      </c>
      <c r="C121" s="6" t="s">
        <v>11</v>
      </c>
      <c r="D121" s="7" t="s">
        <v>479</v>
      </c>
      <c r="E121" s="8" t="s">
        <v>480</v>
      </c>
      <c r="F121" s="6" t="s">
        <v>481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482</v>
      </c>
      <c r="B122" s="6" t="s">
        <v>15</v>
      </c>
      <c r="C122" s="6" t="s">
        <v>11</v>
      </c>
      <c r="D122" s="7" t="s">
        <v>483</v>
      </c>
      <c r="E122" s="8" t="s">
        <v>484</v>
      </c>
      <c r="F122" s="6" t="s">
        <v>485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486</v>
      </c>
      <c r="B123" s="6" t="s">
        <v>16</v>
      </c>
      <c r="C123" s="6" t="s">
        <v>11</v>
      </c>
      <c r="D123" s="7" t="s">
        <v>487</v>
      </c>
      <c r="E123" s="8" t="s">
        <v>488</v>
      </c>
      <c r="F123" s="6" t="s">
        <v>489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490</v>
      </c>
      <c r="B124" s="6" t="s">
        <v>15</v>
      </c>
      <c r="C124" s="6" t="s">
        <v>11</v>
      </c>
      <c r="D124" s="7" t="s">
        <v>491</v>
      </c>
      <c r="E124" s="8" t="s">
        <v>492</v>
      </c>
      <c r="F124" s="6" t="s">
        <v>493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494</v>
      </c>
      <c r="B125" s="6" t="s">
        <v>15</v>
      </c>
      <c r="C125" s="6" t="s">
        <v>11</v>
      </c>
      <c r="D125" s="7" t="s">
        <v>495</v>
      </c>
      <c r="E125" s="8" t="s">
        <v>496</v>
      </c>
      <c r="F125" s="6" t="s">
        <v>497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498</v>
      </c>
      <c r="B126" s="6" t="s">
        <v>16</v>
      </c>
      <c r="C126" s="6" t="s">
        <v>11</v>
      </c>
      <c r="D126" s="7" t="s">
        <v>499</v>
      </c>
      <c r="E126" s="8" t="s">
        <v>500</v>
      </c>
      <c r="F126" s="6" t="s">
        <v>501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502</v>
      </c>
      <c r="B127" s="6" t="s">
        <v>15</v>
      </c>
      <c r="C127" s="6" t="s">
        <v>11</v>
      </c>
      <c r="D127" s="7" t="s">
        <v>503</v>
      </c>
      <c r="E127" s="8" t="s">
        <v>504</v>
      </c>
      <c r="F127" s="6" t="s">
        <v>505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506</v>
      </c>
      <c r="B128" s="6" t="s">
        <v>36</v>
      </c>
      <c r="C128" s="6" t="s">
        <v>11</v>
      </c>
      <c r="D128" s="7" t="s">
        <v>507</v>
      </c>
      <c r="E128" s="8" t="s">
        <v>508</v>
      </c>
      <c r="F128" s="6" t="s">
        <v>509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510</v>
      </c>
      <c r="B129" s="6" t="s">
        <v>15</v>
      </c>
      <c r="C129" s="6" t="s">
        <v>11</v>
      </c>
      <c r="D129" s="7" t="s">
        <v>511</v>
      </c>
      <c r="E129" s="8" t="s">
        <v>512</v>
      </c>
      <c r="F129" s="6" t="s">
        <v>513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514</v>
      </c>
      <c r="B130" s="6" t="s">
        <v>32</v>
      </c>
      <c r="C130" s="6" t="s">
        <v>11</v>
      </c>
      <c r="D130" s="7" t="s">
        <v>515</v>
      </c>
      <c r="E130" s="8" t="s">
        <v>516</v>
      </c>
      <c r="F130" s="6" t="s">
        <v>517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518</v>
      </c>
      <c r="B131" s="6" t="s">
        <v>24</v>
      </c>
      <c r="C131" s="6" t="s">
        <v>11</v>
      </c>
      <c r="D131" s="7" t="s">
        <v>519</v>
      </c>
      <c r="E131" s="8" t="s">
        <v>520</v>
      </c>
      <c r="F131" s="6" t="s">
        <v>521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522</v>
      </c>
      <c r="B132" s="6" t="s">
        <v>10</v>
      </c>
      <c r="C132" s="6" t="s">
        <v>11</v>
      </c>
      <c r="D132" s="7" t="s">
        <v>135</v>
      </c>
      <c r="E132" s="8" t="s">
        <v>523</v>
      </c>
      <c r="F132" s="6" t="s">
        <v>524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525</v>
      </c>
      <c r="B133" s="6" t="s">
        <v>32</v>
      </c>
      <c r="C133" s="6" t="s">
        <v>11</v>
      </c>
      <c r="D133" s="7" t="s">
        <v>519</v>
      </c>
      <c r="E133" s="8" t="s">
        <v>526</v>
      </c>
      <c r="F133" s="6" t="s">
        <v>527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528</v>
      </c>
      <c r="B134" s="6" t="s">
        <v>41</v>
      </c>
      <c r="C134" s="6" t="s">
        <v>11</v>
      </c>
      <c r="D134" s="7" t="s">
        <v>529</v>
      </c>
      <c r="E134" s="8" t="s">
        <v>530</v>
      </c>
      <c r="F134" s="6" t="s">
        <v>531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532</v>
      </c>
      <c r="B135" s="6" t="s">
        <v>40</v>
      </c>
      <c r="C135" s="6" t="s">
        <v>11</v>
      </c>
      <c r="D135" s="7" t="s">
        <v>439</v>
      </c>
      <c r="E135" s="8" t="s">
        <v>533</v>
      </c>
      <c r="F135" s="6" t="s">
        <v>534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535</v>
      </c>
      <c r="B136" s="6" t="s">
        <v>15</v>
      </c>
      <c r="C136" s="6" t="s">
        <v>11</v>
      </c>
      <c r="D136" s="7" t="s">
        <v>536</v>
      </c>
      <c r="E136" s="8" t="s">
        <v>537</v>
      </c>
      <c r="F136" s="6" t="s">
        <v>538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539</v>
      </c>
      <c r="B137" s="6" t="s">
        <v>63</v>
      </c>
      <c r="C137" s="6" t="s">
        <v>11</v>
      </c>
      <c r="D137" s="7" t="s">
        <v>540</v>
      </c>
      <c r="E137" s="8" t="s">
        <v>541</v>
      </c>
      <c r="F137" s="6" t="s">
        <v>542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543</v>
      </c>
      <c r="B138" s="6" t="s">
        <v>15</v>
      </c>
      <c r="C138" s="6" t="s">
        <v>11</v>
      </c>
      <c r="D138" s="7" t="s">
        <v>544</v>
      </c>
      <c r="E138" s="8" t="s">
        <v>545</v>
      </c>
      <c r="F138" s="6" t="s">
        <v>546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547</v>
      </c>
      <c r="B139" s="6" t="s">
        <v>15</v>
      </c>
      <c r="C139" s="6" t="s">
        <v>11</v>
      </c>
      <c r="D139" s="7" t="s">
        <v>548</v>
      </c>
      <c r="E139" s="8" t="s">
        <v>549</v>
      </c>
      <c r="F139" s="6" t="s">
        <v>550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551</v>
      </c>
      <c r="B140" s="6" t="s">
        <v>36</v>
      </c>
      <c r="C140" s="6" t="s">
        <v>11</v>
      </c>
      <c r="D140" s="7" t="s">
        <v>552</v>
      </c>
      <c r="E140" s="8" t="s">
        <v>553</v>
      </c>
      <c r="F140" s="6" t="s">
        <v>554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555</v>
      </c>
      <c r="B141" s="6" t="s">
        <v>16</v>
      </c>
      <c r="C141" s="6" t="s">
        <v>11</v>
      </c>
      <c r="D141" s="7" t="s">
        <v>556</v>
      </c>
      <c r="E141" s="8" t="s">
        <v>557</v>
      </c>
      <c r="F141" s="6" t="s">
        <v>558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559</v>
      </c>
      <c r="B142" s="6" t="s">
        <v>10</v>
      </c>
      <c r="C142" s="6" t="s">
        <v>11</v>
      </c>
      <c r="D142" s="7" t="s">
        <v>560</v>
      </c>
      <c r="E142" s="8" t="s">
        <v>561</v>
      </c>
      <c r="F142" s="6" t="s">
        <v>562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563</v>
      </c>
      <c r="B143" s="6" t="s">
        <v>15</v>
      </c>
      <c r="C143" s="6" t="s">
        <v>11</v>
      </c>
      <c r="D143" s="7" t="s">
        <v>564</v>
      </c>
      <c r="E143" s="8" t="s">
        <v>565</v>
      </c>
      <c r="F143" s="6" t="s">
        <v>566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567</v>
      </c>
      <c r="B144" s="6" t="s">
        <v>28</v>
      </c>
      <c r="C144" s="6" t="s">
        <v>11</v>
      </c>
      <c r="D144" s="7" t="s">
        <v>568</v>
      </c>
      <c r="E144" s="8" t="s">
        <v>569</v>
      </c>
      <c r="F144" s="6" t="s">
        <v>570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571</v>
      </c>
      <c r="B145" s="6" t="s">
        <v>16</v>
      </c>
      <c r="C145" s="6" t="s">
        <v>11</v>
      </c>
      <c r="D145" s="7" t="s">
        <v>572</v>
      </c>
      <c r="E145" s="8" t="s">
        <v>573</v>
      </c>
      <c r="F145" s="6" t="s">
        <v>574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575</v>
      </c>
      <c r="B146" s="6" t="s">
        <v>15</v>
      </c>
      <c r="C146" s="6" t="s">
        <v>11</v>
      </c>
      <c r="D146" s="7" t="s">
        <v>576</v>
      </c>
      <c r="E146" s="8" t="s">
        <v>577</v>
      </c>
      <c r="F146" s="6" t="s">
        <v>578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579</v>
      </c>
      <c r="B147" s="6" t="s">
        <v>24</v>
      </c>
      <c r="C147" s="6" t="s">
        <v>11</v>
      </c>
      <c r="D147" s="7" t="s">
        <v>439</v>
      </c>
      <c r="E147" s="8" t="s">
        <v>580</v>
      </c>
      <c r="F147" s="6" t="s">
        <v>581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582</v>
      </c>
      <c r="B148" s="6" t="s">
        <v>15</v>
      </c>
      <c r="C148" s="6" t="s">
        <v>11</v>
      </c>
      <c r="D148" s="7" t="s">
        <v>583</v>
      </c>
      <c r="E148" s="8" t="s">
        <v>584</v>
      </c>
      <c r="F148" s="6" t="s">
        <v>585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586</v>
      </c>
      <c r="B149" s="6" t="s">
        <v>15</v>
      </c>
      <c r="C149" s="6" t="s">
        <v>11</v>
      </c>
      <c r="D149" s="7" t="s">
        <v>396</v>
      </c>
      <c r="E149" s="8" t="s">
        <v>587</v>
      </c>
      <c r="F149" s="6" t="s">
        <v>588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589</v>
      </c>
      <c r="B150" s="6" t="s">
        <v>32</v>
      </c>
      <c r="C150" s="6" t="s">
        <v>11</v>
      </c>
      <c r="D150" s="7" t="s">
        <v>590</v>
      </c>
      <c r="E150" s="8" t="s">
        <v>591</v>
      </c>
      <c r="F150" s="6" t="s">
        <v>592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593</v>
      </c>
      <c r="B151" s="6" t="s">
        <v>24</v>
      </c>
      <c r="C151" s="6" t="s">
        <v>11</v>
      </c>
      <c r="D151" s="7" t="s">
        <v>594</v>
      </c>
      <c r="E151" s="8" t="s">
        <v>595</v>
      </c>
      <c r="F151" s="6" t="s">
        <v>596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597</v>
      </c>
      <c r="B152" s="6" t="s">
        <v>16</v>
      </c>
      <c r="C152" s="6" t="s">
        <v>598</v>
      </c>
      <c r="D152" s="7" t="s">
        <v>599</v>
      </c>
      <c r="E152" s="8" t="s">
        <v>600</v>
      </c>
      <c r="F152" s="6" t="s">
        <v>601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602</v>
      </c>
      <c r="B153" s="6" t="s">
        <v>15</v>
      </c>
      <c r="C153" s="6" t="s">
        <v>11</v>
      </c>
      <c r="D153" s="7" t="s">
        <v>603</v>
      </c>
      <c r="E153" s="8" t="s">
        <v>604</v>
      </c>
      <c r="F153" s="6" t="s">
        <v>605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606</v>
      </c>
      <c r="B154" s="6" t="s">
        <v>15</v>
      </c>
      <c r="C154" s="6" t="s">
        <v>11</v>
      </c>
      <c r="D154" s="7" t="s">
        <v>607</v>
      </c>
      <c r="E154" s="8" t="s">
        <v>608</v>
      </c>
      <c r="F154" s="6" t="s">
        <v>609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610</v>
      </c>
      <c r="B155" s="6" t="s">
        <v>15</v>
      </c>
      <c r="C155" s="6" t="s">
        <v>11</v>
      </c>
      <c r="D155" s="7" t="s">
        <v>611</v>
      </c>
      <c r="E155" s="8" t="s">
        <v>612</v>
      </c>
      <c r="F155" s="6" t="s">
        <v>613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614</v>
      </c>
      <c r="B156" s="6" t="s">
        <v>15</v>
      </c>
      <c r="C156" s="6" t="s">
        <v>11</v>
      </c>
      <c r="D156" s="7" t="s">
        <v>615</v>
      </c>
      <c r="E156" s="8" t="s">
        <v>616</v>
      </c>
      <c r="F156" s="6" t="s">
        <v>617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618</v>
      </c>
      <c r="B157" s="6" t="s">
        <v>28</v>
      </c>
      <c r="C157" s="6" t="s">
        <v>11</v>
      </c>
      <c r="D157" s="7" t="s">
        <v>619</v>
      </c>
      <c r="E157" s="8" t="s">
        <v>620</v>
      </c>
      <c r="F157" s="6" t="s">
        <v>621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622</v>
      </c>
      <c r="B158" s="6" t="s">
        <v>15</v>
      </c>
      <c r="C158" s="6" t="s">
        <v>11</v>
      </c>
      <c r="D158" s="7" t="s">
        <v>107</v>
      </c>
      <c r="E158" s="8" t="s">
        <v>623</v>
      </c>
      <c r="F158" s="6" t="s">
        <v>624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625</v>
      </c>
      <c r="B159" s="6" t="s">
        <v>16</v>
      </c>
      <c r="C159" s="6" t="s">
        <v>11</v>
      </c>
      <c r="D159" s="7" t="s">
        <v>626</v>
      </c>
      <c r="E159" s="8" t="s">
        <v>627</v>
      </c>
      <c r="F159" s="6" t="s">
        <v>628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629</v>
      </c>
      <c r="B160" s="6" t="s">
        <v>24</v>
      </c>
      <c r="C160" s="6" t="s">
        <v>11</v>
      </c>
      <c r="D160" s="7" t="s">
        <v>630</v>
      </c>
      <c r="E160" s="8" t="s">
        <v>631</v>
      </c>
      <c r="F160" s="6" t="s">
        <v>632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633</v>
      </c>
      <c r="B161" s="6" t="s">
        <v>10</v>
      </c>
      <c r="C161" s="6" t="s">
        <v>11</v>
      </c>
      <c r="D161" s="7" t="s">
        <v>634</v>
      </c>
      <c r="E161" s="8" t="s">
        <v>635</v>
      </c>
      <c r="F161" s="6" t="s">
        <v>636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637</v>
      </c>
      <c r="B162" s="6" t="s">
        <v>24</v>
      </c>
      <c r="C162" s="6" t="s">
        <v>11</v>
      </c>
      <c r="D162" s="7" t="s">
        <v>439</v>
      </c>
      <c r="E162" s="8" t="s">
        <v>638</v>
      </c>
      <c r="F162" s="6" t="s">
        <v>639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640</v>
      </c>
      <c r="B163" s="6" t="s">
        <v>16</v>
      </c>
      <c r="C163" s="6" t="s">
        <v>11</v>
      </c>
      <c r="D163" s="7" t="s">
        <v>135</v>
      </c>
      <c r="E163" s="8" t="s">
        <v>641</v>
      </c>
      <c r="F163" s="6" t="s">
        <v>642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643</v>
      </c>
      <c r="B164" s="6" t="s">
        <v>15</v>
      </c>
      <c r="C164" s="6" t="s">
        <v>11</v>
      </c>
      <c r="D164" s="7" t="s">
        <v>644</v>
      </c>
      <c r="E164" s="8" t="s">
        <v>645</v>
      </c>
      <c r="F164" s="6" t="s">
        <v>646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647</v>
      </c>
      <c r="B165" s="6" t="s">
        <v>15</v>
      </c>
      <c r="C165" s="6" t="s">
        <v>11</v>
      </c>
      <c r="D165" s="7" t="s">
        <v>439</v>
      </c>
      <c r="E165" s="8" t="s">
        <v>648</v>
      </c>
      <c r="F165" s="6" t="s">
        <v>649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650</v>
      </c>
      <c r="B166" s="6" t="s">
        <v>36</v>
      </c>
      <c r="C166" s="6" t="s">
        <v>11</v>
      </c>
      <c r="D166" s="7" t="s">
        <v>651</v>
      </c>
      <c r="E166" s="8" t="s">
        <v>652</v>
      </c>
      <c r="F166" s="6" t="s">
        <v>653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654</v>
      </c>
      <c r="B167" s="6" t="s">
        <v>28</v>
      </c>
      <c r="C167" s="6" t="s">
        <v>11</v>
      </c>
      <c r="D167" s="7" t="s">
        <v>107</v>
      </c>
      <c r="E167" s="8" t="s">
        <v>655</v>
      </c>
      <c r="F167" s="6" t="s">
        <v>656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657</v>
      </c>
      <c r="B168" s="6" t="s">
        <v>24</v>
      </c>
      <c r="C168" s="6" t="s">
        <v>11</v>
      </c>
      <c r="D168" s="7" t="s">
        <v>658</v>
      </c>
      <c r="E168" s="8" t="s">
        <v>659</v>
      </c>
      <c r="F168" s="6" t="s">
        <v>660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661</v>
      </c>
      <c r="B169" s="6" t="s">
        <v>15</v>
      </c>
      <c r="C169" s="6" t="s">
        <v>11</v>
      </c>
      <c r="D169" s="7" t="s">
        <v>91</v>
      </c>
      <c r="E169" s="8" t="s">
        <v>662</v>
      </c>
      <c r="F169" s="6" t="s">
        <v>663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664</v>
      </c>
      <c r="B170" s="6" t="s">
        <v>36</v>
      </c>
      <c r="C170" s="6" t="s">
        <v>11</v>
      </c>
      <c r="D170" s="7" t="s">
        <v>314</v>
      </c>
      <c r="E170" s="8" t="s">
        <v>665</v>
      </c>
      <c r="F170" s="6" t="s">
        <v>666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667</v>
      </c>
      <c r="B171" s="6" t="s">
        <v>45</v>
      </c>
      <c r="C171" s="6" t="s">
        <v>668</v>
      </c>
      <c r="D171" s="7" t="s">
        <v>669</v>
      </c>
      <c r="E171" s="8" t="s">
        <v>670</v>
      </c>
      <c r="F171" s="6" t="s">
        <v>671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672</v>
      </c>
      <c r="B172" s="6" t="s">
        <v>24</v>
      </c>
      <c r="C172" s="6" t="s">
        <v>11</v>
      </c>
      <c r="D172" s="7" t="s">
        <v>519</v>
      </c>
      <c r="E172" s="8" t="s">
        <v>673</v>
      </c>
      <c r="F172" s="6" t="s">
        <v>674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675</v>
      </c>
      <c r="B173" s="6" t="s">
        <v>16</v>
      </c>
      <c r="C173" s="6" t="s">
        <v>11</v>
      </c>
      <c r="D173" s="7" t="s">
        <v>167</v>
      </c>
      <c r="E173" s="8" t="s">
        <v>676</v>
      </c>
      <c r="F173" s="6" t="s">
        <v>677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678</v>
      </c>
      <c r="B174" s="6" t="s">
        <v>10</v>
      </c>
      <c r="C174" s="6" t="s">
        <v>11</v>
      </c>
      <c r="D174" s="7" t="s">
        <v>658</v>
      </c>
      <c r="E174" s="8" t="s">
        <v>679</v>
      </c>
      <c r="F174" s="6" t="s">
        <v>680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681</v>
      </c>
      <c r="B175" s="6" t="s">
        <v>16</v>
      </c>
      <c r="C175" s="6" t="s">
        <v>11</v>
      </c>
      <c r="D175" s="7" t="s">
        <v>370</v>
      </c>
      <c r="E175" s="8" t="s">
        <v>682</v>
      </c>
      <c r="F175" s="6" t="s">
        <v>683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684</v>
      </c>
      <c r="B176" s="6" t="s">
        <v>15</v>
      </c>
      <c r="C176" s="6" t="s">
        <v>11</v>
      </c>
      <c r="D176" s="7" t="s">
        <v>322</v>
      </c>
      <c r="E176" s="8" t="s">
        <v>685</v>
      </c>
      <c r="F176" s="6" t="s">
        <v>686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687</v>
      </c>
      <c r="B177" s="6" t="s">
        <v>32</v>
      </c>
      <c r="C177" s="6" t="s">
        <v>11</v>
      </c>
      <c r="D177" s="7" t="s">
        <v>688</v>
      </c>
      <c r="E177" s="8" t="s">
        <v>689</v>
      </c>
      <c r="F177" s="6" t="s">
        <v>690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691</v>
      </c>
      <c r="B178" s="6" t="s">
        <v>52</v>
      </c>
      <c r="C178" s="6" t="s">
        <v>11</v>
      </c>
      <c r="D178" s="7" t="s">
        <v>669</v>
      </c>
      <c r="E178" s="8" t="s">
        <v>692</v>
      </c>
      <c r="F178" s="6" t="s">
        <v>693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694</v>
      </c>
      <c r="B179" s="6" t="s">
        <v>28</v>
      </c>
      <c r="C179" s="6" t="s">
        <v>11</v>
      </c>
      <c r="D179" s="7" t="s">
        <v>695</v>
      </c>
      <c r="E179" s="8" t="s">
        <v>696</v>
      </c>
      <c r="F179" s="6" t="s">
        <v>697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698</v>
      </c>
      <c r="B180" s="6" t="s">
        <v>16</v>
      </c>
      <c r="C180" s="6" t="s">
        <v>11</v>
      </c>
      <c r="D180" s="7" t="s">
        <v>699</v>
      </c>
      <c r="E180" s="8" t="s">
        <v>700</v>
      </c>
      <c r="F180" s="6" t="s">
        <v>701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702</v>
      </c>
      <c r="B181" s="6" t="s">
        <v>28</v>
      </c>
      <c r="C181" s="6" t="s">
        <v>11</v>
      </c>
      <c r="D181" s="7" t="s">
        <v>703</v>
      </c>
      <c r="E181" s="8" t="s">
        <v>704</v>
      </c>
      <c r="F181" s="6" t="s">
        <v>705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706</v>
      </c>
      <c r="B182" s="6" t="s">
        <v>15</v>
      </c>
      <c r="C182" s="6" t="s">
        <v>11</v>
      </c>
      <c r="D182" s="7" t="s">
        <v>707</v>
      </c>
      <c r="E182" s="8" t="s">
        <v>708</v>
      </c>
      <c r="F182" s="6" t="s">
        <v>709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710</v>
      </c>
      <c r="B183" s="6" t="s">
        <v>28</v>
      </c>
      <c r="C183" s="6" t="s">
        <v>11</v>
      </c>
      <c r="D183" s="7" t="s">
        <v>183</v>
      </c>
      <c r="E183" s="8" t="s">
        <v>711</v>
      </c>
      <c r="F183" s="6" t="s">
        <v>712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713</v>
      </c>
      <c r="B184" s="6" t="s">
        <v>16</v>
      </c>
      <c r="C184" s="6" t="s">
        <v>11</v>
      </c>
      <c r="D184" s="7" t="s">
        <v>366</v>
      </c>
      <c r="E184" s="8" t="s">
        <v>714</v>
      </c>
      <c r="F184" s="6" t="s">
        <v>715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716</v>
      </c>
      <c r="B185" s="6" t="s">
        <v>28</v>
      </c>
      <c r="C185" s="6" t="s">
        <v>466</v>
      </c>
      <c r="D185" s="7" t="s">
        <v>503</v>
      </c>
      <c r="E185" s="8" t="s">
        <v>717</v>
      </c>
      <c r="F185" s="6" t="s">
        <v>718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719</v>
      </c>
      <c r="B186" s="6" t="s">
        <v>16</v>
      </c>
      <c r="C186" s="6" t="s">
        <v>11</v>
      </c>
      <c r="D186" s="7" t="s">
        <v>358</v>
      </c>
      <c r="E186" s="8" t="s">
        <v>720</v>
      </c>
      <c r="F186" s="6" t="s">
        <v>721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722</v>
      </c>
      <c r="B187" s="6" t="s">
        <v>15</v>
      </c>
      <c r="C187" s="6" t="s">
        <v>11</v>
      </c>
      <c r="D187" s="7" t="s">
        <v>723</v>
      </c>
      <c r="E187" s="8" t="s">
        <v>724</v>
      </c>
      <c r="F187" s="6" t="s">
        <v>725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726</v>
      </c>
      <c r="B188" s="6" t="s">
        <v>15</v>
      </c>
      <c r="C188" s="6" t="s">
        <v>11</v>
      </c>
      <c r="D188" s="7" t="s">
        <v>727</v>
      </c>
      <c r="E188" s="8" t="s">
        <v>728</v>
      </c>
      <c r="F188" s="6" t="s">
        <v>729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730</v>
      </c>
      <c r="B189" s="6" t="s">
        <v>10</v>
      </c>
      <c r="C189" s="6" t="s">
        <v>11</v>
      </c>
      <c r="D189" s="7" t="s">
        <v>731</v>
      </c>
      <c r="E189" s="8" t="s">
        <v>732</v>
      </c>
      <c r="F189" s="6" t="s">
        <v>733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734</v>
      </c>
      <c r="B190" s="6" t="s">
        <v>28</v>
      </c>
      <c r="C190" s="6" t="s">
        <v>11</v>
      </c>
      <c r="D190" s="7" t="s">
        <v>735</v>
      </c>
      <c r="E190" s="8" t="s">
        <v>736</v>
      </c>
      <c r="F190" s="6" t="s">
        <v>737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738</v>
      </c>
      <c r="B191" s="6" t="s">
        <v>16</v>
      </c>
      <c r="C191" s="6" t="s">
        <v>11</v>
      </c>
      <c r="D191" s="7" t="s">
        <v>658</v>
      </c>
      <c r="E191" s="8" t="s">
        <v>739</v>
      </c>
      <c r="F191" s="6" t="s">
        <v>740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741</v>
      </c>
      <c r="B192" s="6" t="s">
        <v>16</v>
      </c>
      <c r="C192" s="6" t="s">
        <v>11</v>
      </c>
      <c r="D192" s="7" t="s">
        <v>742</v>
      </c>
      <c r="E192" s="8" t="s">
        <v>743</v>
      </c>
      <c r="F192" s="6" t="s">
        <v>744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745</v>
      </c>
      <c r="B193" s="6" t="s">
        <v>16</v>
      </c>
      <c r="C193" s="6" t="s">
        <v>11</v>
      </c>
      <c r="D193" s="7" t="s">
        <v>746</v>
      </c>
      <c r="E193" s="8" t="s">
        <v>747</v>
      </c>
      <c r="F193" s="6" t="s">
        <v>748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749</v>
      </c>
      <c r="B194" s="6" t="s">
        <v>36</v>
      </c>
      <c r="C194" s="6" t="s">
        <v>11</v>
      </c>
      <c r="D194" s="7" t="s">
        <v>746</v>
      </c>
      <c r="E194" s="8" t="s">
        <v>750</v>
      </c>
      <c r="F194" s="6" t="s">
        <v>751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752</v>
      </c>
      <c r="B195" s="6" t="s">
        <v>45</v>
      </c>
      <c r="C195" s="6" t="s">
        <v>11</v>
      </c>
      <c r="D195" s="7" t="s">
        <v>753</v>
      </c>
      <c r="E195" s="8" t="s">
        <v>754</v>
      </c>
      <c r="F195" s="6" t="s">
        <v>755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756</v>
      </c>
      <c r="B196" s="6" t="s">
        <v>32</v>
      </c>
      <c r="C196" s="6" t="s">
        <v>11</v>
      </c>
      <c r="D196" s="7" t="s">
        <v>742</v>
      </c>
      <c r="E196" s="8" t="s">
        <v>757</v>
      </c>
      <c r="F196" s="6" t="s">
        <v>758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759</v>
      </c>
      <c r="B197" s="6" t="s">
        <v>15</v>
      </c>
      <c r="C197" s="6" t="s">
        <v>11</v>
      </c>
      <c r="D197" s="7" t="s">
        <v>423</v>
      </c>
      <c r="E197" s="8" t="s">
        <v>760</v>
      </c>
      <c r="F197" s="6" t="s">
        <v>761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762</v>
      </c>
      <c r="B198" s="6" t="s">
        <v>16</v>
      </c>
      <c r="C198" s="6" t="s">
        <v>11</v>
      </c>
      <c r="D198" s="7" t="s">
        <v>763</v>
      </c>
      <c r="E198" s="8" t="s">
        <v>764</v>
      </c>
      <c r="F198" s="6" t="s">
        <v>765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766</v>
      </c>
      <c r="B199" s="6" t="s">
        <v>15</v>
      </c>
      <c r="C199" s="6" t="s">
        <v>11</v>
      </c>
      <c r="D199" s="7" t="s">
        <v>767</v>
      </c>
      <c r="E199" s="8" t="s">
        <v>768</v>
      </c>
      <c r="F199" s="6" t="s">
        <v>769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770</v>
      </c>
      <c r="B200" s="6" t="s">
        <v>16</v>
      </c>
      <c r="C200" s="6" t="s">
        <v>11</v>
      </c>
      <c r="D200" s="7" t="s">
        <v>771</v>
      </c>
      <c r="E200" s="8" t="s">
        <v>772</v>
      </c>
      <c r="F200" s="6" t="s">
        <v>773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774</v>
      </c>
      <c r="B201" s="6" t="s">
        <v>10</v>
      </c>
      <c r="C201" s="6" t="s">
        <v>11</v>
      </c>
      <c r="D201" s="7" t="s">
        <v>362</v>
      </c>
      <c r="E201" s="8" t="s">
        <v>775</v>
      </c>
      <c r="F201" s="6" t="s">
        <v>776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777</v>
      </c>
      <c r="B202" s="6" t="s">
        <v>10</v>
      </c>
      <c r="C202" s="6" t="s">
        <v>11</v>
      </c>
      <c r="D202" s="7" t="s">
        <v>778</v>
      </c>
      <c r="E202" s="8" t="s">
        <v>779</v>
      </c>
      <c r="F202" s="6" t="s">
        <v>780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781</v>
      </c>
      <c r="B203" s="6" t="s">
        <v>10</v>
      </c>
      <c r="C203" s="6" t="s">
        <v>11</v>
      </c>
      <c r="D203" s="7" t="s">
        <v>782</v>
      </c>
      <c r="E203" s="8" t="s">
        <v>783</v>
      </c>
      <c r="F203" s="6" t="s">
        <v>784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785</v>
      </c>
      <c r="B204" s="6" t="s">
        <v>16</v>
      </c>
      <c r="C204" s="6" t="s">
        <v>11</v>
      </c>
      <c r="D204" s="7" t="s">
        <v>786</v>
      </c>
      <c r="E204" s="8" t="s">
        <v>787</v>
      </c>
      <c r="F204" s="6" t="s">
        <v>788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789</v>
      </c>
      <c r="B205" s="6" t="s">
        <v>41</v>
      </c>
      <c r="C205" s="6" t="s">
        <v>11</v>
      </c>
      <c r="D205" s="7" t="s">
        <v>790</v>
      </c>
      <c r="E205" s="8" t="s">
        <v>791</v>
      </c>
      <c r="F205" s="6" t="s">
        <v>792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793</v>
      </c>
      <c r="B206" s="6" t="s">
        <v>15</v>
      </c>
      <c r="C206" s="6" t="s">
        <v>11</v>
      </c>
      <c r="D206" s="7" t="s">
        <v>794</v>
      </c>
      <c r="E206" s="8" t="s">
        <v>795</v>
      </c>
      <c r="F206" s="6" t="s">
        <v>796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797</v>
      </c>
      <c r="B207" s="6" t="s">
        <v>24</v>
      </c>
      <c r="C207" s="6" t="s">
        <v>598</v>
      </c>
      <c r="D207" s="7" t="s">
        <v>798</v>
      </c>
      <c r="E207" s="8" t="s">
        <v>799</v>
      </c>
      <c r="F207" s="6" t="s">
        <v>800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801</v>
      </c>
      <c r="B208" s="6" t="s">
        <v>16</v>
      </c>
      <c r="C208" s="6" t="s">
        <v>11</v>
      </c>
      <c r="D208" s="7" t="s">
        <v>802</v>
      </c>
      <c r="E208" s="8" t="s">
        <v>803</v>
      </c>
      <c r="F208" s="6" t="s">
        <v>804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805</v>
      </c>
      <c r="B209" s="6" t="s">
        <v>24</v>
      </c>
      <c r="C209" s="6" t="s">
        <v>11</v>
      </c>
      <c r="D209" s="7" t="s">
        <v>806</v>
      </c>
      <c r="E209" s="8" t="s">
        <v>807</v>
      </c>
      <c r="F209" s="6" t="s">
        <v>808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809</v>
      </c>
      <c r="B210" s="6" t="s">
        <v>40</v>
      </c>
      <c r="C210" s="6" t="s">
        <v>11</v>
      </c>
      <c r="D210" s="7" t="s">
        <v>224</v>
      </c>
      <c r="E210" s="8" t="s">
        <v>810</v>
      </c>
      <c r="F210" s="6" t="s">
        <v>811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812</v>
      </c>
      <c r="B211" s="6" t="s">
        <v>16</v>
      </c>
      <c r="C211" s="6" t="s">
        <v>11</v>
      </c>
      <c r="D211" s="7" t="s">
        <v>658</v>
      </c>
      <c r="E211" s="8" t="s">
        <v>813</v>
      </c>
      <c r="F211" s="6" t="s">
        <v>814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815</v>
      </c>
      <c r="B212" s="6" t="s">
        <v>36</v>
      </c>
      <c r="C212" s="6" t="s">
        <v>11</v>
      </c>
      <c r="D212" s="7" t="s">
        <v>816</v>
      </c>
      <c r="E212" s="8" t="s">
        <v>817</v>
      </c>
      <c r="F212" s="6" t="s">
        <v>818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819</v>
      </c>
      <c r="B213" s="6" t="s">
        <v>16</v>
      </c>
      <c r="C213" s="6" t="s">
        <v>11</v>
      </c>
      <c r="D213" s="7" t="s">
        <v>439</v>
      </c>
      <c r="E213" s="8" t="s">
        <v>820</v>
      </c>
      <c r="F213" s="6" t="s">
        <v>821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822</v>
      </c>
      <c r="B214" s="6" t="s">
        <v>32</v>
      </c>
      <c r="C214" s="6" t="s">
        <v>11</v>
      </c>
      <c r="D214" s="7" t="s">
        <v>519</v>
      </c>
      <c r="E214" s="8" t="s">
        <v>823</v>
      </c>
      <c r="F214" s="6" t="s">
        <v>824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825</v>
      </c>
      <c r="B215" s="6" t="s">
        <v>24</v>
      </c>
      <c r="C215" s="6" t="s">
        <v>11</v>
      </c>
      <c r="D215" s="7" t="s">
        <v>826</v>
      </c>
      <c r="E215" s="8" t="s">
        <v>827</v>
      </c>
      <c r="F215" s="6" t="s">
        <v>828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829</v>
      </c>
      <c r="B216" s="6" t="s">
        <v>24</v>
      </c>
      <c r="C216" s="6" t="s">
        <v>11</v>
      </c>
      <c r="D216" s="7" t="s">
        <v>439</v>
      </c>
      <c r="E216" s="8" t="s">
        <v>830</v>
      </c>
      <c r="F216" s="6" t="s">
        <v>831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832</v>
      </c>
      <c r="B217" s="6" t="s">
        <v>15</v>
      </c>
      <c r="C217" s="6" t="s">
        <v>11</v>
      </c>
      <c r="D217" s="7" t="s">
        <v>833</v>
      </c>
      <c r="E217" s="8" t="s">
        <v>834</v>
      </c>
      <c r="F217" s="6" t="s">
        <v>835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836</v>
      </c>
      <c r="B218" s="6" t="s">
        <v>10</v>
      </c>
      <c r="C218" s="6" t="s">
        <v>11</v>
      </c>
      <c r="D218" s="7" t="s">
        <v>263</v>
      </c>
      <c r="E218" s="8" t="s">
        <v>837</v>
      </c>
      <c r="F218" s="6" t="s">
        <v>838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839</v>
      </c>
      <c r="B219" s="6" t="s">
        <v>28</v>
      </c>
      <c r="C219" s="6" t="s">
        <v>11</v>
      </c>
      <c r="D219" s="7" t="s">
        <v>840</v>
      </c>
      <c r="E219" s="8" t="s">
        <v>841</v>
      </c>
      <c r="F219" s="6" t="s">
        <v>842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843</v>
      </c>
      <c r="B220" s="6" t="s">
        <v>32</v>
      </c>
      <c r="C220" s="6" t="s">
        <v>11</v>
      </c>
      <c r="D220" s="7" t="s">
        <v>439</v>
      </c>
      <c r="E220" s="8" t="s">
        <v>844</v>
      </c>
      <c r="F220" s="6" t="s">
        <v>845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846</v>
      </c>
      <c r="B221" s="6" t="s">
        <v>16</v>
      </c>
      <c r="C221" s="6" t="s">
        <v>11</v>
      </c>
      <c r="D221" s="7" t="s">
        <v>847</v>
      </c>
      <c r="E221" s="8" t="s">
        <v>848</v>
      </c>
      <c r="F221" s="6" t="s">
        <v>849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850</v>
      </c>
      <c r="B222" s="6" t="s">
        <v>16</v>
      </c>
      <c r="C222" s="6" t="s">
        <v>11</v>
      </c>
      <c r="D222" s="7" t="s">
        <v>851</v>
      </c>
      <c r="E222" s="8" t="s">
        <v>852</v>
      </c>
      <c r="F222" s="6" t="s">
        <v>853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854</v>
      </c>
      <c r="B223" s="6" t="s">
        <v>24</v>
      </c>
      <c r="C223" s="6" t="s">
        <v>11</v>
      </c>
      <c r="D223" s="7" t="s">
        <v>855</v>
      </c>
      <c r="E223" s="8" t="s">
        <v>856</v>
      </c>
      <c r="F223" s="6" t="s">
        <v>857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858</v>
      </c>
      <c r="B224" s="6" t="s">
        <v>32</v>
      </c>
      <c r="C224" s="6" t="s">
        <v>11</v>
      </c>
      <c r="D224" s="7" t="s">
        <v>859</v>
      </c>
      <c r="E224" s="8" t="s">
        <v>860</v>
      </c>
      <c r="F224" s="6" t="s">
        <v>861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862</v>
      </c>
      <c r="B225" s="6" t="s">
        <v>15</v>
      </c>
      <c r="C225" s="6" t="s">
        <v>863</v>
      </c>
      <c r="D225" s="7" t="s">
        <v>864</v>
      </c>
      <c r="E225" s="8" t="s">
        <v>865</v>
      </c>
      <c r="F225" s="6" t="s">
        <v>866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867</v>
      </c>
      <c r="B226" s="6" t="s">
        <v>32</v>
      </c>
      <c r="C226" s="6" t="s">
        <v>11</v>
      </c>
      <c r="D226" s="7" t="s">
        <v>868</v>
      </c>
      <c r="E226" s="8" t="s">
        <v>869</v>
      </c>
      <c r="F226" s="6" t="s">
        <v>870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871</v>
      </c>
      <c r="B227" s="6" t="s">
        <v>16</v>
      </c>
      <c r="C227" s="6" t="s">
        <v>11</v>
      </c>
      <c r="D227" s="7" t="s">
        <v>872</v>
      </c>
      <c r="E227" s="8" t="s">
        <v>873</v>
      </c>
      <c r="F227" s="6" t="s">
        <v>874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875</v>
      </c>
      <c r="B228" s="6" t="s">
        <v>36</v>
      </c>
      <c r="C228" s="6" t="s">
        <v>11</v>
      </c>
      <c r="D228" s="7" t="s">
        <v>876</v>
      </c>
      <c r="E228" s="8" t="s">
        <v>877</v>
      </c>
      <c r="F228" s="6" t="s">
        <v>878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879</v>
      </c>
      <c r="B229" s="6" t="s">
        <v>15</v>
      </c>
      <c r="C229" s="6" t="s">
        <v>11</v>
      </c>
      <c r="D229" s="7" t="s">
        <v>599</v>
      </c>
      <c r="E229" s="8" t="s">
        <v>880</v>
      </c>
      <c r="F229" s="6" t="s">
        <v>881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882</v>
      </c>
      <c r="B230" s="6" t="s">
        <v>40</v>
      </c>
      <c r="C230" s="6" t="s">
        <v>11</v>
      </c>
      <c r="D230" s="7" t="s">
        <v>883</v>
      </c>
      <c r="E230" s="8" t="s">
        <v>884</v>
      </c>
      <c r="F230" s="6" t="s">
        <v>885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886</v>
      </c>
      <c r="B231" s="6" t="s">
        <v>41</v>
      </c>
      <c r="C231" s="6" t="s">
        <v>11</v>
      </c>
      <c r="D231" s="7" t="s">
        <v>887</v>
      </c>
      <c r="E231" s="8" t="s">
        <v>888</v>
      </c>
      <c r="F231" s="6" t="s">
        <v>889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890</v>
      </c>
      <c r="B232" s="6" t="s">
        <v>32</v>
      </c>
      <c r="C232" s="6" t="s">
        <v>668</v>
      </c>
      <c r="D232" s="7" t="s">
        <v>891</v>
      </c>
      <c r="E232" s="8" t="s">
        <v>892</v>
      </c>
      <c r="F232" s="6" t="s">
        <v>893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894</v>
      </c>
      <c r="B233" s="6" t="s">
        <v>24</v>
      </c>
      <c r="C233" s="6" t="s">
        <v>11</v>
      </c>
      <c r="D233" s="7" t="s">
        <v>499</v>
      </c>
      <c r="E233" s="8" t="s">
        <v>895</v>
      </c>
      <c r="F233" s="6" t="s">
        <v>896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897</v>
      </c>
      <c r="B234" s="6" t="s">
        <v>28</v>
      </c>
      <c r="C234" s="6" t="s">
        <v>11</v>
      </c>
      <c r="D234" s="7" t="s">
        <v>898</v>
      </c>
      <c r="E234" s="8" t="s">
        <v>899</v>
      </c>
      <c r="F234" s="6" t="s">
        <v>900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901</v>
      </c>
      <c r="B235" s="6" t="s">
        <v>36</v>
      </c>
      <c r="C235" s="6" t="s">
        <v>11</v>
      </c>
      <c r="D235" s="7" t="s">
        <v>902</v>
      </c>
      <c r="E235" s="8" t="s">
        <v>903</v>
      </c>
      <c r="F235" s="6" t="s">
        <v>904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905</v>
      </c>
      <c r="B236" s="6" t="s">
        <v>28</v>
      </c>
      <c r="C236" s="6" t="s">
        <v>863</v>
      </c>
      <c r="D236" s="7" t="s">
        <v>906</v>
      </c>
      <c r="E236" s="8" t="s">
        <v>907</v>
      </c>
      <c r="F236" s="6" t="s">
        <v>908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909</v>
      </c>
      <c r="B237" s="6" t="s">
        <v>24</v>
      </c>
      <c r="C237" s="6" t="s">
        <v>11</v>
      </c>
      <c r="D237" s="7" t="s">
        <v>462</v>
      </c>
      <c r="E237" s="8" t="s">
        <v>910</v>
      </c>
      <c r="F237" s="6" t="s">
        <v>911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912</v>
      </c>
      <c r="B238" s="6" t="s">
        <v>40</v>
      </c>
      <c r="C238" s="6" t="s">
        <v>11</v>
      </c>
      <c r="D238" s="7" t="s">
        <v>913</v>
      </c>
      <c r="E238" s="8" t="s">
        <v>914</v>
      </c>
      <c r="F238" s="6" t="s">
        <v>915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916</v>
      </c>
      <c r="B239" s="6" t="s">
        <v>15</v>
      </c>
      <c r="C239" s="6" t="s">
        <v>11</v>
      </c>
      <c r="D239" s="7" t="s">
        <v>917</v>
      </c>
      <c r="E239" s="8" t="s">
        <v>918</v>
      </c>
      <c r="F239" s="6" t="s">
        <v>919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920</v>
      </c>
      <c r="B240" s="6" t="s">
        <v>52</v>
      </c>
      <c r="C240" s="6" t="s">
        <v>11</v>
      </c>
      <c r="D240" s="7" t="s">
        <v>921</v>
      </c>
      <c r="E240" s="8" t="s">
        <v>922</v>
      </c>
      <c r="F240" s="6" t="s">
        <v>923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924</v>
      </c>
      <c r="B241" s="6" t="s">
        <v>41</v>
      </c>
      <c r="C241" s="6" t="s">
        <v>11</v>
      </c>
      <c r="D241" s="7" t="s">
        <v>925</v>
      </c>
      <c r="E241" s="8" t="s">
        <v>926</v>
      </c>
      <c r="F241" s="6" t="s">
        <v>927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928</v>
      </c>
      <c r="B242" s="6" t="s">
        <v>28</v>
      </c>
      <c r="C242" s="6" t="s">
        <v>11</v>
      </c>
      <c r="D242" s="7" t="s">
        <v>929</v>
      </c>
      <c r="E242" s="8" t="s">
        <v>930</v>
      </c>
      <c r="F242" s="6" t="s">
        <v>931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932</v>
      </c>
      <c r="B243" s="6" t="s">
        <v>16</v>
      </c>
      <c r="C243" s="6" t="s">
        <v>11</v>
      </c>
      <c r="D243" s="7" t="s">
        <v>933</v>
      </c>
      <c r="E243" s="8" t="s">
        <v>934</v>
      </c>
      <c r="F243" s="6" t="s">
        <v>935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936</v>
      </c>
      <c r="B244" s="6" t="s">
        <v>24</v>
      </c>
      <c r="C244" s="6" t="s">
        <v>11</v>
      </c>
      <c r="D244" s="7" t="s">
        <v>937</v>
      </c>
      <c r="E244" s="8" t="s">
        <v>938</v>
      </c>
      <c r="F244" s="6" t="s">
        <v>939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940</v>
      </c>
      <c r="B245" s="6" t="s">
        <v>40</v>
      </c>
      <c r="C245" s="6" t="s">
        <v>11</v>
      </c>
      <c r="D245" s="7" t="s">
        <v>499</v>
      </c>
      <c r="E245" s="8" t="s">
        <v>941</v>
      </c>
      <c r="F245" s="6" t="s">
        <v>942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943</v>
      </c>
      <c r="B246" s="6" t="s">
        <v>10</v>
      </c>
      <c r="C246" s="6" t="s">
        <v>11</v>
      </c>
      <c r="D246" s="7" t="s">
        <v>944</v>
      </c>
      <c r="E246" s="8" t="s">
        <v>945</v>
      </c>
      <c r="F246" s="6" t="s">
        <v>946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  <row r="247" spans="1:10" ht="60" customHeight="1">
      <c r="A247" s="6" t="s">
        <v>947</v>
      </c>
      <c r="B247" s="6" t="s">
        <v>16</v>
      </c>
      <c r="C247" s="6" t="s">
        <v>11</v>
      </c>
      <c r="D247" s="7" t="s">
        <v>948</v>
      </c>
      <c r="E247" s="8" t="s">
        <v>949</v>
      </c>
      <c r="F247" s="6" t="s">
        <v>950</v>
      </c>
      <c r="G247" s="9">
        <f>IF(A247=1,"_",IF(C247="_","???",C247))</f>
        <v/>
      </c>
      <c r="H247" s="10" t="s">
        <v>11</v>
      </c>
      <c r="I247" s="11" t="s">
        <v>11</v>
      </c>
      <c r="J247" s="12"/>
    </row>
    <row r="248" spans="1:10" ht="60" customHeight="1">
      <c r="A248" s="6" t="s">
        <v>951</v>
      </c>
      <c r="B248" s="6" t="s">
        <v>15</v>
      </c>
      <c r="C248" s="6" t="s">
        <v>11</v>
      </c>
      <c r="D248" s="7" t="s">
        <v>826</v>
      </c>
      <c r="E248" s="8" t="s">
        <v>952</v>
      </c>
      <c r="F248" s="6" t="s">
        <v>953</v>
      </c>
      <c r="G248" s="9">
        <f>IF(A248=1,"_",IF(C248="_","???",C248))</f>
        <v/>
      </c>
      <c r="H248" s="10" t="s">
        <v>11</v>
      </c>
      <c r="I248" s="11" t="s">
        <v>11</v>
      </c>
      <c r="J248" s="12"/>
    </row>
    <row r="249" spans="1:10" ht="60" customHeight="1">
      <c r="A249" s="6" t="s">
        <v>954</v>
      </c>
      <c r="B249" s="6" t="s">
        <v>15</v>
      </c>
      <c r="C249" s="6" t="s">
        <v>11</v>
      </c>
      <c r="D249" s="7" t="s">
        <v>519</v>
      </c>
      <c r="E249" s="8" t="s">
        <v>955</v>
      </c>
      <c r="F249" s="6" t="s">
        <v>956</v>
      </c>
      <c r="G249" s="9">
        <f>IF(A249=1,"_",IF(C249="_","???",C249))</f>
        <v/>
      </c>
      <c r="H249" s="10" t="s">
        <v>11</v>
      </c>
      <c r="I249" s="11" t="s">
        <v>11</v>
      </c>
      <c r="J249" s="12"/>
    </row>
    <row r="250" spans="1:10" ht="60" customHeight="1">
      <c r="A250" s="6" t="s">
        <v>957</v>
      </c>
      <c r="B250" s="6" t="s">
        <v>10</v>
      </c>
      <c r="C250" s="6" t="s">
        <v>11</v>
      </c>
      <c r="D250" s="7" t="s">
        <v>958</v>
      </c>
      <c r="E250" s="8" t="s">
        <v>959</v>
      </c>
      <c r="F250" s="6" t="s">
        <v>960</v>
      </c>
      <c r="G250" s="9">
        <f>IF(A250=1,"_",IF(C250="_","???",C250))</f>
        <v/>
      </c>
      <c r="H250" s="10" t="s">
        <v>11</v>
      </c>
      <c r="I250" s="11" t="s">
        <v>11</v>
      </c>
      <c r="J250" s="12"/>
    </row>
    <row r="251" spans="1:10" ht="60" customHeight="1">
      <c r="A251" s="6" t="s">
        <v>961</v>
      </c>
      <c r="B251" s="6" t="s">
        <v>28</v>
      </c>
      <c r="C251" s="6" t="s">
        <v>11</v>
      </c>
      <c r="D251" s="7" t="s">
        <v>962</v>
      </c>
      <c r="E251" s="8" t="s">
        <v>963</v>
      </c>
      <c r="F251" s="6" t="s">
        <v>964</v>
      </c>
      <c r="G251" s="9">
        <f>IF(A251=1,"_",IF(C251="_","???",C251))</f>
        <v/>
      </c>
      <c r="H251" s="10" t="s">
        <v>11</v>
      </c>
      <c r="I251" s="11" t="s">
        <v>11</v>
      </c>
      <c r="J251" s="12"/>
    </row>
    <row r="252" spans="1:10" ht="60" customHeight="1">
      <c r="A252" s="6" t="s">
        <v>965</v>
      </c>
      <c r="B252" s="6" t="s">
        <v>10</v>
      </c>
      <c r="C252" s="6" t="s">
        <v>11</v>
      </c>
      <c r="D252" s="7" t="s">
        <v>396</v>
      </c>
      <c r="E252" s="8" t="s">
        <v>966</v>
      </c>
      <c r="F252" s="6" t="s">
        <v>967</v>
      </c>
      <c r="G252" s="9">
        <f>IF(A252=1,"_",IF(C252="_","???",C252))</f>
        <v/>
      </c>
      <c r="H252" s="10" t="s">
        <v>11</v>
      </c>
      <c r="I252" s="11" t="s">
        <v>11</v>
      </c>
      <c r="J252" s="12"/>
    </row>
    <row r="253" spans="1:10" ht="60" customHeight="1">
      <c r="A253" s="6" t="s">
        <v>968</v>
      </c>
      <c r="B253" s="6" t="s">
        <v>15</v>
      </c>
      <c r="C253" s="6" t="s">
        <v>11</v>
      </c>
      <c r="D253" s="7" t="s">
        <v>969</v>
      </c>
      <c r="E253" s="8" t="s">
        <v>970</v>
      </c>
      <c r="F253" s="6" t="s">
        <v>971</v>
      </c>
      <c r="G253" s="9">
        <f>IF(A253=1,"_",IF(C253="_","???",C253))</f>
        <v/>
      </c>
      <c r="H253" s="10" t="s">
        <v>11</v>
      </c>
      <c r="I253" s="11" t="s">
        <v>11</v>
      </c>
      <c r="J253" s="12"/>
    </row>
    <row r="254" spans="1:10" ht="60" customHeight="1">
      <c r="A254" s="6" t="s">
        <v>972</v>
      </c>
      <c r="B254" s="6" t="s">
        <v>16</v>
      </c>
      <c r="C254" s="6" t="s">
        <v>11</v>
      </c>
      <c r="D254" s="7" t="s">
        <v>973</v>
      </c>
      <c r="E254" s="8" t="s">
        <v>974</v>
      </c>
      <c r="F254" s="6" t="s">
        <v>975</v>
      </c>
      <c r="G254" s="9">
        <f>IF(A254=1,"_",IF(C254="_","???",C254))</f>
        <v/>
      </c>
      <c r="H254" s="10" t="s">
        <v>11</v>
      </c>
      <c r="I254" s="11" t="s">
        <v>11</v>
      </c>
      <c r="J254" s="12"/>
    </row>
    <row r="255" spans="1:10" ht="60" customHeight="1">
      <c r="A255" s="6" t="s">
        <v>976</v>
      </c>
      <c r="B255" s="6" t="s">
        <v>28</v>
      </c>
      <c r="C255" s="6" t="s">
        <v>11</v>
      </c>
      <c r="D255" s="7" t="s">
        <v>977</v>
      </c>
      <c r="E255" s="8" t="s">
        <v>978</v>
      </c>
      <c r="F255" s="6" t="s">
        <v>979</v>
      </c>
      <c r="G255" s="9">
        <f>IF(A255=1,"_",IF(C255="_","???",C255))</f>
        <v/>
      </c>
      <c r="H255" s="10" t="s">
        <v>11</v>
      </c>
      <c r="I255" s="11" t="s">
        <v>11</v>
      </c>
      <c r="J255" s="12"/>
    </row>
    <row r="256" spans="1:10" ht="60" customHeight="1">
      <c r="A256" s="6" t="s">
        <v>980</v>
      </c>
      <c r="B256" s="6" t="s">
        <v>20</v>
      </c>
      <c r="C256" s="6" t="s">
        <v>11</v>
      </c>
      <c r="D256" s="7" t="s">
        <v>981</v>
      </c>
      <c r="E256" s="8" t="s">
        <v>982</v>
      </c>
      <c r="F256" s="6" t="s">
        <v>983</v>
      </c>
      <c r="G256" s="9">
        <f>IF(A256=1,"_",IF(C256="_","???",C256))</f>
        <v/>
      </c>
      <c r="H256" s="10" t="s">
        <v>11</v>
      </c>
      <c r="I256" s="11" t="s">
        <v>11</v>
      </c>
      <c r="J256" s="12"/>
    </row>
    <row r="257" spans="1:10" ht="60" customHeight="1">
      <c r="A257" s="6" t="s">
        <v>984</v>
      </c>
      <c r="B257" s="6" t="s">
        <v>28</v>
      </c>
      <c r="C257" s="6" t="s">
        <v>11</v>
      </c>
      <c r="D257" s="7" t="s">
        <v>969</v>
      </c>
      <c r="E257" s="8" t="s">
        <v>985</v>
      </c>
      <c r="F257" s="6" t="s">
        <v>986</v>
      </c>
      <c r="G257" s="9">
        <f>IF(A257=1,"_",IF(C257="_","???",C257))</f>
        <v/>
      </c>
      <c r="H257" s="10" t="s">
        <v>11</v>
      </c>
      <c r="I257" s="11" t="s">
        <v>11</v>
      </c>
      <c r="J257" s="12"/>
    </row>
    <row r="258" spans="1:10" ht="60" customHeight="1">
      <c r="A258" s="6" t="s">
        <v>987</v>
      </c>
      <c r="B258" s="6" t="s">
        <v>40</v>
      </c>
      <c r="C258" s="6" t="s">
        <v>11</v>
      </c>
      <c r="D258" s="7" t="s">
        <v>131</v>
      </c>
      <c r="E258" s="8" t="s">
        <v>988</v>
      </c>
      <c r="F258" s="6" t="s">
        <v>989</v>
      </c>
      <c r="G258" s="9">
        <f>IF(A258=1,"_",IF(C258="_","???",C258))</f>
        <v/>
      </c>
      <c r="H258" s="10" t="s">
        <v>11</v>
      </c>
      <c r="I258" s="11" t="s">
        <v>11</v>
      </c>
      <c r="J258" s="12"/>
    </row>
    <row r="259" spans="1:10" ht="60" customHeight="1">
      <c r="A259" s="6" t="s">
        <v>990</v>
      </c>
      <c r="B259" s="6" t="s">
        <v>32</v>
      </c>
      <c r="C259" s="6" t="s">
        <v>11</v>
      </c>
      <c r="D259" s="7" t="s">
        <v>991</v>
      </c>
      <c r="E259" s="8" t="s">
        <v>992</v>
      </c>
      <c r="F259" s="6" t="s">
        <v>993</v>
      </c>
      <c r="G259" s="9">
        <f>IF(A259=1,"_",IF(C259="_","???",C259))</f>
        <v/>
      </c>
      <c r="H259" s="10" t="s">
        <v>11</v>
      </c>
      <c r="I259" s="11" t="s">
        <v>11</v>
      </c>
      <c r="J259" s="12"/>
    </row>
    <row r="260" spans="1:10" ht="60" customHeight="1">
      <c r="A260" s="6" t="s">
        <v>994</v>
      </c>
      <c r="B260" s="6" t="s">
        <v>32</v>
      </c>
      <c r="C260" s="6" t="s">
        <v>11</v>
      </c>
      <c r="D260" s="7" t="s">
        <v>519</v>
      </c>
      <c r="E260" s="8" t="s">
        <v>995</v>
      </c>
      <c r="F260" s="6" t="s">
        <v>996</v>
      </c>
      <c r="G260" s="9">
        <f>IF(A260=1,"_",IF(C260="_","???",C260))</f>
        <v/>
      </c>
      <c r="H260" s="10" t="s">
        <v>11</v>
      </c>
      <c r="I260" s="11" t="s">
        <v>11</v>
      </c>
      <c r="J260" s="12"/>
    </row>
    <row r="261" spans="1:10" ht="60" customHeight="1">
      <c r="A261" s="6" t="s">
        <v>997</v>
      </c>
      <c r="B261" s="6" t="s">
        <v>15</v>
      </c>
      <c r="C261" s="6" t="s">
        <v>668</v>
      </c>
      <c r="D261" s="7" t="s">
        <v>998</v>
      </c>
      <c r="E261" s="8" t="s">
        <v>999</v>
      </c>
      <c r="F261" s="6" t="s">
        <v>1000</v>
      </c>
      <c r="G261" s="9">
        <f>IF(A261=1,"_",IF(C261="_","???",C261))</f>
        <v/>
      </c>
      <c r="H261" s="10" t="s">
        <v>11</v>
      </c>
      <c r="I261" s="11" t="s">
        <v>11</v>
      </c>
      <c r="J261" s="12"/>
    </row>
    <row r="262" spans="1:10" ht="60" customHeight="1">
      <c r="A262" s="6" t="s">
        <v>1001</v>
      </c>
      <c r="B262" s="6" t="s">
        <v>52</v>
      </c>
      <c r="C262" s="6" t="s">
        <v>11</v>
      </c>
      <c r="D262" s="7" t="s">
        <v>991</v>
      </c>
      <c r="E262" s="8" t="s">
        <v>1002</v>
      </c>
      <c r="F262" s="6" t="s">
        <v>1003</v>
      </c>
      <c r="G262" s="9">
        <f>IF(A262=1,"_",IF(C262="_","???",C262))</f>
        <v/>
      </c>
      <c r="H262" s="10" t="s">
        <v>11</v>
      </c>
      <c r="I262" s="11" t="s">
        <v>11</v>
      </c>
      <c r="J262" s="12"/>
    </row>
    <row r="263" spans="1:10" ht="60" customHeight="1">
      <c r="A263" s="6" t="s">
        <v>1004</v>
      </c>
      <c r="B263" s="6" t="s">
        <v>40</v>
      </c>
      <c r="C263" s="6" t="s">
        <v>11</v>
      </c>
      <c r="D263" s="7" t="s">
        <v>1005</v>
      </c>
      <c r="E263" s="8" t="s">
        <v>1006</v>
      </c>
      <c r="F263" s="6" t="s">
        <v>1007</v>
      </c>
      <c r="G263" s="9">
        <f>IF(A263=1,"_",IF(C263="_","???",C263))</f>
        <v/>
      </c>
      <c r="H263" s="10" t="s">
        <v>11</v>
      </c>
      <c r="I263" s="11" t="s">
        <v>11</v>
      </c>
      <c r="J263" s="12"/>
    </row>
    <row r="264" spans="1:10" ht="60" customHeight="1">
      <c r="A264" s="6" t="s">
        <v>1008</v>
      </c>
      <c r="B264" s="6" t="s">
        <v>15</v>
      </c>
      <c r="C264" s="6" t="s">
        <v>11</v>
      </c>
      <c r="D264" s="7" t="s">
        <v>855</v>
      </c>
      <c r="E264" s="8" t="s">
        <v>1009</v>
      </c>
      <c r="F264" s="6" t="s">
        <v>1010</v>
      </c>
      <c r="G264" s="9">
        <f>IF(A264=1,"_",IF(C264="_","???",C264))</f>
        <v/>
      </c>
      <c r="H264" s="10" t="s">
        <v>11</v>
      </c>
      <c r="I264" s="11" t="s">
        <v>11</v>
      </c>
      <c r="J264" s="12"/>
    </row>
    <row r="265" spans="1:10" ht="60" customHeight="1">
      <c r="A265" s="6" t="s">
        <v>1011</v>
      </c>
      <c r="B265" s="6" t="s">
        <v>52</v>
      </c>
      <c r="C265" s="6" t="s">
        <v>11</v>
      </c>
      <c r="D265" s="7" t="s">
        <v>239</v>
      </c>
      <c r="E265" s="8" t="s">
        <v>1012</v>
      </c>
      <c r="F265" s="6" t="s">
        <v>1013</v>
      </c>
      <c r="G265" s="9">
        <f>IF(A265=1,"_",IF(C265="_","???",C265))</f>
        <v/>
      </c>
      <c r="H265" s="10" t="s">
        <v>11</v>
      </c>
      <c r="I265" s="11" t="s">
        <v>11</v>
      </c>
      <c r="J265" s="12"/>
    </row>
    <row r="266" spans="1:10" ht="60" customHeight="1">
      <c r="A266" s="6" t="s">
        <v>1014</v>
      </c>
      <c r="B266" s="6" t="s">
        <v>24</v>
      </c>
      <c r="C266" s="6" t="s">
        <v>11</v>
      </c>
      <c r="D266" s="7" t="s">
        <v>183</v>
      </c>
      <c r="E266" s="8" t="s">
        <v>1015</v>
      </c>
      <c r="F266" s="6" t="s">
        <v>1016</v>
      </c>
      <c r="G266" s="9">
        <f>IF(A266=1,"_",IF(C266="_","???",C266))</f>
        <v/>
      </c>
      <c r="H266" s="10" t="s">
        <v>11</v>
      </c>
      <c r="I266" s="11" t="s">
        <v>11</v>
      </c>
      <c r="J266" s="12"/>
    </row>
    <row r="267" spans="1:10" ht="60" customHeight="1">
      <c r="A267" s="6" t="s">
        <v>1017</v>
      </c>
      <c r="B267" s="6" t="s">
        <v>36</v>
      </c>
      <c r="C267" s="6" t="s">
        <v>11</v>
      </c>
      <c r="D267" s="7" t="s">
        <v>855</v>
      </c>
      <c r="E267" s="8" t="s">
        <v>1018</v>
      </c>
      <c r="F267" s="6" t="s">
        <v>1019</v>
      </c>
      <c r="G267" s="9">
        <f>IF(A267=1,"_",IF(C267="_","???",C267))</f>
        <v/>
      </c>
      <c r="H267" s="10" t="s">
        <v>11</v>
      </c>
      <c r="I267" s="11" t="s">
        <v>11</v>
      </c>
      <c r="J267" s="12"/>
    </row>
    <row r="268" spans="1:10" ht="60" customHeight="1">
      <c r="A268" s="6" t="s">
        <v>1020</v>
      </c>
      <c r="B268" s="6" t="s">
        <v>36</v>
      </c>
      <c r="C268" s="6" t="s">
        <v>11</v>
      </c>
      <c r="D268" s="7" t="s">
        <v>1021</v>
      </c>
      <c r="E268" s="8" t="s">
        <v>1022</v>
      </c>
      <c r="F268" s="6" t="s">
        <v>1023</v>
      </c>
      <c r="G268" s="9">
        <f>IF(A268=1,"_",IF(C268="_","???",C268))</f>
        <v/>
      </c>
      <c r="H268" s="10" t="s">
        <v>11</v>
      </c>
      <c r="I268" s="11" t="s">
        <v>11</v>
      </c>
      <c r="J268" s="12"/>
    </row>
    <row r="269" spans="1:10" ht="60" customHeight="1">
      <c r="A269" s="6" t="s">
        <v>1024</v>
      </c>
      <c r="B269" s="6" t="s">
        <v>16</v>
      </c>
      <c r="C269" s="6" t="s">
        <v>11</v>
      </c>
      <c r="D269" s="7" t="s">
        <v>1025</v>
      </c>
      <c r="E269" s="8" t="s">
        <v>1026</v>
      </c>
      <c r="F269" s="6" t="s">
        <v>1027</v>
      </c>
      <c r="G269" s="9">
        <f>IF(A269=1,"_",IF(C269="_","???",C269))</f>
        <v/>
      </c>
      <c r="H269" s="10" t="s">
        <v>11</v>
      </c>
      <c r="I269" s="11" t="s">
        <v>11</v>
      </c>
      <c r="J269" s="12"/>
    </row>
    <row r="270" spans="1:10" ht="60" customHeight="1">
      <c r="A270" s="6" t="s">
        <v>1028</v>
      </c>
      <c r="B270" s="6" t="s">
        <v>32</v>
      </c>
      <c r="C270" s="6" t="s">
        <v>11</v>
      </c>
      <c r="D270" s="7" t="s">
        <v>1029</v>
      </c>
      <c r="E270" s="8" t="s">
        <v>1030</v>
      </c>
      <c r="F270" s="6" t="s">
        <v>1031</v>
      </c>
      <c r="G270" s="9">
        <f>IF(A270=1,"_",IF(C270="_","???",C270))</f>
        <v/>
      </c>
      <c r="H270" s="10" t="s">
        <v>11</v>
      </c>
      <c r="I270" s="11" t="s">
        <v>11</v>
      </c>
      <c r="J270" s="12"/>
    </row>
    <row r="271" spans="1:10" ht="60" customHeight="1">
      <c r="A271" s="6" t="s">
        <v>1032</v>
      </c>
      <c r="B271" s="6" t="s">
        <v>24</v>
      </c>
      <c r="C271" s="6" t="s">
        <v>11</v>
      </c>
      <c r="D271" s="7" t="s">
        <v>1033</v>
      </c>
      <c r="E271" s="8" t="s">
        <v>1034</v>
      </c>
      <c r="F271" s="6" t="s">
        <v>1035</v>
      </c>
      <c r="G271" s="9">
        <f>IF(A271=1,"_",IF(C271="_","???",C271))</f>
        <v/>
      </c>
      <c r="H271" s="10" t="s">
        <v>11</v>
      </c>
      <c r="I271" s="11" t="s">
        <v>11</v>
      </c>
      <c r="J271" s="12"/>
    </row>
    <row r="272" spans="1:10" ht="60" customHeight="1">
      <c r="A272" s="6" t="s">
        <v>1036</v>
      </c>
      <c r="B272" s="6" t="s">
        <v>32</v>
      </c>
      <c r="C272" s="6" t="s">
        <v>11</v>
      </c>
      <c r="D272" s="7" t="s">
        <v>1037</v>
      </c>
      <c r="E272" s="8" t="s">
        <v>1038</v>
      </c>
      <c r="F272" s="6" t="s">
        <v>1039</v>
      </c>
      <c r="G272" s="9">
        <f>IF(A272=1,"_",IF(C272="_","???",C272))</f>
        <v/>
      </c>
      <c r="H272" s="10" t="s">
        <v>11</v>
      </c>
      <c r="I272" s="11" t="s">
        <v>11</v>
      </c>
      <c r="J272" s="12"/>
    </row>
    <row r="273" spans="1:10" ht="60" customHeight="1">
      <c r="A273" s="6" t="s">
        <v>1040</v>
      </c>
      <c r="B273" s="6" t="s">
        <v>40</v>
      </c>
      <c r="C273" s="6" t="s">
        <v>11</v>
      </c>
      <c r="D273" s="7" t="s">
        <v>1041</v>
      </c>
      <c r="E273" s="8" t="s">
        <v>1042</v>
      </c>
      <c r="F273" s="6" t="s">
        <v>1043</v>
      </c>
      <c r="G273" s="9">
        <f>IF(A273=1,"_",IF(C273="_","???",C273))</f>
        <v/>
      </c>
      <c r="H273" s="10" t="s">
        <v>11</v>
      </c>
      <c r="I273" s="11" t="s">
        <v>11</v>
      </c>
      <c r="J273" s="12"/>
    </row>
    <row r="274" spans="1:10" ht="60" customHeight="1">
      <c r="A274" s="6" t="s">
        <v>1044</v>
      </c>
      <c r="B274" s="6" t="s">
        <v>16</v>
      </c>
      <c r="C274" s="6" t="s">
        <v>11</v>
      </c>
      <c r="D274" s="7" t="s">
        <v>1045</v>
      </c>
      <c r="E274" s="8" t="s">
        <v>1046</v>
      </c>
      <c r="F274" s="6" t="s">
        <v>1047</v>
      </c>
      <c r="G274" s="9">
        <f>IF(A274=1,"_",IF(C274="_","???",C274))</f>
        <v/>
      </c>
      <c r="H274" s="10" t="s">
        <v>11</v>
      </c>
      <c r="I274" s="11" t="s">
        <v>11</v>
      </c>
      <c r="J274" s="12"/>
    </row>
    <row r="275" spans="1:10" ht="60" customHeight="1">
      <c r="A275" s="6" t="s">
        <v>1048</v>
      </c>
      <c r="B275" s="6" t="s">
        <v>16</v>
      </c>
      <c r="C275" s="6" t="s">
        <v>11</v>
      </c>
      <c r="D275" s="7" t="s">
        <v>366</v>
      </c>
      <c r="E275" s="8" t="s">
        <v>1049</v>
      </c>
      <c r="F275" s="6" t="s">
        <v>1050</v>
      </c>
      <c r="G275" s="9">
        <f>IF(A275=1,"_",IF(C275="_","???",C275))</f>
        <v/>
      </c>
      <c r="H275" s="10" t="s">
        <v>11</v>
      </c>
      <c r="I275" s="11" t="s">
        <v>11</v>
      </c>
      <c r="J275" s="12"/>
    </row>
    <row r="276" spans="1:10" ht="60" customHeight="1">
      <c r="A276" s="6" t="s">
        <v>1051</v>
      </c>
      <c r="B276" s="6" t="s">
        <v>32</v>
      </c>
      <c r="C276" s="6" t="s">
        <v>11</v>
      </c>
      <c r="D276" s="7" t="s">
        <v>439</v>
      </c>
      <c r="E276" s="8" t="s">
        <v>1052</v>
      </c>
      <c r="F276" s="6" t="s">
        <v>1053</v>
      </c>
      <c r="G276" s="9">
        <f>IF(A276=1,"_",IF(C276="_","???",C276))</f>
        <v/>
      </c>
      <c r="H276" s="10" t="s">
        <v>11</v>
      </c>
      <c r="I276" s="11" t="s">
        <v>11</v>
      </c>
      <c r="J276" s="12"/>
    </row>
    <row r="277" spans="1:10" ht="60" customHeight="1">
      <c r="A277" s="6" t="s">
        <v>1054</v>
      </c>
      <c r="B277" s="6" t="s">
        <v>24</v>
      </c>
      <c r="C277" s="6" t="s">
        <v>11</v>
      </c>
      <c r="D277" s="7" t="s">
        <v>1055</v>
      </c>
      <c r="E277" s="8" t="s">
        <v>1056</v>
      </c>
      <c r="F277" s="6" t="s">
        <v>1057</v>
      </c>
      <c r="G277" s="9">
        <f>IF(A277=1,"_",IF(C277="_","???",C277))</f>
        <v/>
      </c>
      <c r="H277" s="10" t="s">
        <v>11</v>
      </c>
      <c r="I277" s="11" t="s">
        <v>11</v>
      </c>
      <c r="J277" s="12"/>
    </row>
    <row r="278" spans="1:10" ht="60" customHeight="1">
      <c r="A278" s="6" t="s">
        <v>1058</v>
      </c>
      <c r="B278" s="6" t="s">
        <v>15</v>
      </c>
      <c r="C278" s="6" t="s">
        <v>11</v>
      </c>
      <c r="D278" s="7" t="s">
        <v>1059</v>
      </c>
      <c r="E278" s="8" t="s">
        <v>1060</v>
      </c>
      <c r="F278" s="6" t="s">
        <v>1061</v>
      </c>
      <c r="G278" s="9">
        <f>IF(A278=1,"_",IF(C278="_","???",C278))</f>
        <v/>
      </c>
      <c r="H278" s="10" t="s">
        <v>11</v>
      </c>
      <c r="I278" s="11" t="s">
        <v>11</v>
      </c>
      <c r="J278" s="12"/>
    </row>
    <row r="279" spans="1:10" ht="60" customHeight="1">
      <c r="A279" s="6" t="s">
        <v>1062</v>
      </c>
      <c r="B279" s="6" t="s">
        <v>15</v>
      </c>
      <c r="C279" s="6" t="s">
        <v>11</v>
      </c>
      <c r="D279" s="7" t="s">
        <v>1063</v>
      </c>
      <c r="E279" s="8" t="s">
        <v>1064</v>
      </c>
      <c r="F279" s="6" t="s">
        <v>1065</v>
      </c>
      <c r="G279" s="9">
        <f>IF(A279=1,"_",IF(C279="_","???",C279))</f>
        <v/>
      </c>
      <c r="H279" s="10" t="s">
        <v>11</v>
      </c>
      <c r="I279" s="11" t="s">
        <v>11</v>
      </c>
      <c r="J279" s="12"/>
    </row>
    <row r="280" spans="1:10" ht="60" customHeight="1">
      <c r="A280" s="6" t="s">
        <v>1066</v>
      </c>
      <c r="B280" s="6" t="s">
        <v>16</v>
      </c>
      <c r="C280" s="6" t="s">
        <v>11</v>
      </c>
      <c r="D280" s="7" t="s">
        <v>1067</v>
      </c>
      <c r="E280" s="8" t="s">
        <v>1068</v>
      </c>
      <c r="F280" s="6" t="s">
        <v>1069</v>
      </c>
      <c r="G280" s="9">
        <f>IF(A280=1,"_",IF(C280="_","???",C280))</f>
        <v/>
      </c>
      <c r="H280" s="10" t="s">
        <v>11</v>
      </c>
      <c r="I280" s="11" t="s">
        <v>11</v>
      </c>
      <c r="J280" s="12"/>
    </row>
    <row r="281" spans="1:10" ht="60" customHeight="1">
      <c r="A281" s="6" t="s">
        <v>1070</v>
      </c>
      <c r="B281" s="6" t="s">
        <v>16</v>
      </c>
      <c r="C281" s="6" t="s">
        <v>11</v>
      </c>
      <c r="D281" s="7" t="s">
        <v>239</v>
      </c>
      <c r="E281" s="8" t="s">
        <v>1071</v>
      </c>
      <c r="F281" s="6" t="s">
        <v>1072</v>
      </c>
      <c r="G281" s="9">
        <f>IF(A281=1,"_",IF(C281="_","???",C281))</f>
        <v/>
      </c>
      <c r="H281" s="10" t="s">
        <v>11</v>
      </c>
      <c r="I281" s="11" t="s">
        <v>11</v>
      </c>
      <c r="J281" s="12"/>
    </row>
    <row r="282" spans="1:10" ht="60" customHeight="1">
      <c r="A282" s="6" t="s">
        <v>1073</v>
      </c>
      <c r="B282" s="6" t="s">
        <v>16</v>
      </c>
      <c r="C282" s="6" t="s">
        <v>11</v>
      </c>
      <c r="D282" s="7" t="s">
        <v>1074</v>
      </c>
      <c r="E282" s="8" t="s">
        <v>1075</v>
      </c>
      <c r="F282" s="6" t="s">
        <v>1076</v>
      </c>
      <c r="G282" s="9">
        <f>IF(A282=1,"_",IF(C282="_","???",C282))</f>
        <v/>
      </c>
      <c r="H282" s="10" t="s">
        <v>11</v>
      </c>
      <c r="I282" s="11" t="s">
        <v>11</v>
      </c>
      <c r="J282" s="12"/>
    </row>
    <row r="283" spans="1:10" ht="60" customHeight="1">
      <c r="A283" s="6" t="s">
        <v>1077</v>
      </c>
      <c r="B283" s="6" t="s">
        <v>28</v>
      </c>
      <c r="C283" s="6" t="s">
        <v>11</v>
      </c>
      <c r="D283" s="7" t="s">
        <v>68</v>
      </c>
      <c r="E283" s="8" t="s">
        <v>1078</v>
      </c>
      <c r="F283" s="6" t="s">
        <v>1079</v>
      </c>
      <c r="G283" s="9">
        <f>IF(A283=1,"_",IF(C283="_","???",C283))</f>
        <v/>
      </c>
      <c r="H283" s="10" t="s">
        <v>11</v>
      </c>
      <c r="I283" s="11" t="s">
        <v>11</v>
      </c>
      <c r="J283" s="12"/>
    </row>
    <row r="284" spans="1:10" ht="60" customHeight="1">
      <c r="A284" s="6" t="s">
        <v>1080</v>
      </c>
      <c r="B284" s="6" t="s">
        <v>52</v>
      </c>
      <c r="C284" s="6" t="s">
        <v>11</v>
      </c>
      <c r="D284" s="7" t="s">
        <v>1081</v>
      </c>
      <c r="E284" s="8" t="s">
        <v>1082</v>
      </c>
      <c r="F284" s="6" t="s">
        <v>1083</v>
      </c>
      <c r="G284" s="9">
        <f>IF(A284=1,"_",IF(C284="_","???",C284))</f>
        <v/>
      </c>
      <c r="H284" s="10" t="s">
        <v>11</v>
      </c>
      <c r="I284" s="11" t="s">
        <v>11</v>
      </c>
      <c r="J284" s="12"/>
    </row>
    <row r="285" spans="1:10" ht="60" customHeight="1">
      <c r="A285" s="6" t="s">
        <v>1084</v>
      </c>
      <c r="B285" s="6" t="s">
        <v>24</v>
      </c>
      <c r="C285" s="6" t="s">
        <v>11</v>
      </c>
      <c r="D285" s="7" t="s">
        <v>1085</v>
      </c>
      <c r="E285" s="8" t="s">
        <v>1086</v>
      </c>
      <c r="F285" s="6" t="s">
        <v>1087</v>
      </c>
      <c r="G285" s="9">
        <f>IF(A285=1,"_",IF(C285="_","???",C285))</f>
        <v/>
      </c>
      <c r="H285" s="10" t="s">
        <v>11</v>
      </c>
      <c r="I285" s="11" t="s">
        <v>11</v>
      </c>
      <c r="J28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8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1088</v>
      </c>
      <c r="B1" s="13" t="s">
        <v>1089</v>
      </c>
      <c r="C1" s="13" t="s">
        <v>1090</v>
      </c>
      <c r="D1" s="13" t="s">
        <v>1091</v>
      </c>
      <c r="E1" s="14" t="s">
        <v>1092</v>
      </c>
      <c r="F1" s="15" t="s">
        <v>1093</v>
      </c>
      <c r="G1" s="16" t="s">
        <v>1094</v>
      </c>
      <c r="H1" s="17" t="s">
        <v>1095</v>
      </c>
      <c r="I1" s="18" t="s">
        <v>1096</v>
      </c>
      <c r="J1" s="18" t="s">
        <v>1097</v>
      </c>
      <c r="K1" s="18" t="s">
        <v>1098</v>
      </c>
      <c r="L1" s="19" t="s">
        <v>9</v>
      </c>
    </row>
    <row r="2" spans="1:12">
      <c r="A2" s="20" t="s">
        <v>1099</v>
      </c>
    </row>
    <row r="3" spans="1:12">
      <c r="A3" s="20" t="s">
        <v>1100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1101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1102</v>
      </c>
      <c r="B5" s="27" t="s">
        <v>1103</v>
      </c>
      <c r="C5" s="27" t="s">
        <v>1104</v>
      </c>
      <c r="D5" s="27" t="s">
        <v>1105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1106</v>
      </c>
      <c r="B6" s="27" t="s">
        <v>1107</v>
      </c>
      <c r="C6" s="27" t="s">
        <v>1108</v>
      </c>
      <c r="D6" s="27" t="s">
        <v>1105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1109</v>
      </c>
      <c r="B7" s="27" t="s">
        <v>1110</v>
      </c>
      <c r="C7" s="27" t="s">
        <v>1108</v>
      </c>
      <c r="D7" s="27" t="s">
        <v>1105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1111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1112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1113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1114</v>
      </c>
      <c r="B11" s="27" t="s">
        <v>1115</v>
      </c>
      <c r="C11" s="27" t="s">
        <v>1116</v>
      </c>
      <c r="D11" s="27" t="s">
        <v>1105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1117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1118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1119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1111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1120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1121</v>
      </c>
      <c r="B17" s="27" t="s">
        <v>1122</v>
      </c>
      <c r="C17" s="27" t="s">
        <v>1116</v>
      </c>
      <c r="D17" s="27" t="s">
        <v>1105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1123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135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1124</v>
      </c>
      <c r="B20" s="27" t="s">
        <v>1125</v>
      </c>
      <c r="C20" s="27" t="s">
        <v>1126</v>
      </c>
      <c r="D20" s="27" t="s">
        <v>1105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1131</v>
      </c>
      <c r="B25" s="27" t="s">
        <v>1132</v>
      </c>
      <c r="C25" s="27" t="s">
        <v>1133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1134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1135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1136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1137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1138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1139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1140</v>
      </c>
      <c r="B32" s="27" t="s">
        <v>1141</v>
      </c>
      <c r="C32" s="27" t="s">
        <v>1142</v>
      </c>
      <c r="D32" s="27" t="s">
        <v>1105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1143</v>
      </c>
      <c r="B33" s="27" t="s">
        <v>1144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1145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1146</v>
      </c>
    </row>
    <row r="37" spans="1:12">
      <c r="A37" s="20" t="s">
        <v>1147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1148</v>
      </c>
      <c r="B38" s="27" t="s">
        <v>1149</v>
      </c>
      <c r="C38" s="27" t="s">
        <v>1116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1150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1151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1152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1153</v>
      </c>
      <c r="B42" s="27" t="s">
        <v>1103</v>
      </c>
      <c r="C42" s="27" t="s">
        <v>1104</v>
      </c>
      <c r="D42" s="27" t="s">
        <v>1105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1154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1155</v>
      </c>
      <c r="B44" s="27" t="s">
        <v>1107</v>
      </c>
      <c r="C44" s="27" t="s">
        <v>1156</v>
      </c>
      <c r="D44" s="27" t="s">
        <v>1105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1123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1157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1158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1159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1128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1160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1140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1161</v>
      </c>
      <c r="B52" s="27" t="s">
        <v>1162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1123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1151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1163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1164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1123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1134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1165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1166</v>
      </c>
      <c r="B60" s="27" t="s">
        <v>1167</v>
      </c>
      <c r="C60" s="27" t="s">
        <v>1126</v>
      </c>
      <c r="D60" s="27" t="s">
        <v>1105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1168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1169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1170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1145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/>
    </row>
    <row r="66" spans="1:12">
      <c r="A66" s="20" t="s">
        <v>1171</v>
      </c>
    </row>
    <row r="67" spans="1:12">
      <c r="A67" s="20" t="s">
        <v>1172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1173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1121</v>
      </c>
      <c r="B69" s="27" t="s">
        <v>1107</v>
      </c>
      <c r="C69" s="27" t="s">
        <v>1116</v>
      </c>
      <c r="D69" s="27" t="s">
        <v>1105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1129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1120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1123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1174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1175</v>
      </c>
      <c r="B74" s="27" t="s">
        <v>1149</v>
      </c>
      <c r="C74" s="27" t="s">
        <v>1156</v>
      </c>
      <c r="D74" s="27" t="s">
        <v>1105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1176</v>
      </c>
      <c r="B75" s="27" t="s">
        <v>1107</v>
      </c>
      <c r="C75" s="27" t="s">
        <v>1104</v>
      </c>
      <c r="D75" s="27" t="s">
        <v>1105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1106</v>
      </c>
      <c r="B76" s="27" t="s">
        <v>1110</v>
      </c>
      <c r="C76" s="27" t="s">
        <v>1108</v>
      </c>
      <c r="D76" s="27" t="s">
        <v>1105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1109</v>
      </c>
      <c r="B77" s="27" t="s">
        <v>1132</v>
      </c>
      <c r="C77" s="27" t="s">
        <v>1108</v>
      </c>
      <c r="D77" s="27" t="s">
        <v>1105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1177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1178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1179</v>
      </c>
      <c r="B80" s="27" t="s">
        <v>1103</v>
      </c>
      <c r="C80" s="27" t="s">
        <v>1156</v>
      </c>
      <c r="D80" s="27" t="s">
        <v>1105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1180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1123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1181</v>
      </c>
      <c r="B83" s="27" t="s">
        <v>1125</v>
      </c>
      <c r="C83" s="27" t="s">
        <v>1133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1182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1130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1183</v>
      </c>
      <c r="B86" s="27" t="s">
        <v>1132</v>
      </c>
      <c r="C86" s="27" t="s">
        <v>1126</v>
      </c>
      <c r="D86" s="27" t="s">
        <v>1105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1184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1185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1186</v>
      </c>
      <c r="B89" s="27" t="s">
        <v>1141</v>
      </c>
      <c r="C89" s="27" t="s">
        <v>1126</v>
      </c>
      <c r="D89" s="27" t="s">
        <v>1105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1187</v>
      </c>
      <c r="B90" s="27" t="s">
        <v>1132</v>
      </c>
      <c r="C90" s="27" t="s">
        <v>1104</v>
      </c>
      <c r="D90" s="27" t="s">
        <v>1105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1188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1189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1145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/>
    </row>
    <row r="95" spans="1:12">
      <c r="A95" s="20" t="s">
        <v>1190</v>
      </c>
    </row>
    <row r="96" spans="1:12">
      <c r="A96" s="20" t="s">
        <v>1191</v>
      </c>
      <c r="B96" s="27" t="s">
        <v>1149</v>
      </c>
      <c r="C96" s="27" t="s">
        <v>1126</v>
      </c>
      <c r="D96" s="27" t="s">
        <v>1105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1192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1193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1194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1195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1196</v>
      </c>
      <c r="B101" s="27" t="s">
        <v>1103</v>
      </c>
      <c r="C101" s="27" t="s">
        <v>1126</v>
      </c>
      <c r="D101" s="27" t="s">
        <v>1105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1123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1197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1121</v>
      </c>
      <c r="B104" s="27" t="s">
        <v>1103</v>
      </c>
      <c r="C104" s="27" t="s">
        <v>1116</v>
      </c>
      <c r="D104" s="27" t="s">
        <v>1105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1123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135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1198</v>
      </c>
      <c r="B107" s="27" t="s">
        <v>1115</v>
      </c>
      <c r="C107" s="27" t="s">
        <v>1126</v>
      </c>
      <c r="D107" s="27" t="s">
        <v>1105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1199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1200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1201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1114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1202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1203</v>
      </c>
      <c r="B113" s="27" t="s">
        <v>1132</v>
      </c>
      <c r="C113" s="27" t="s">
        <v>1156</v>
      </c>
      <c r="D113" s="27" t="s">
        <v>1105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1184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1204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1123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1205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1206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1207</v>
      </c>
      <c r="B119" s="27" t="s">
        <v>1141</v>
      </c>
      <c r="C119" s="27" t="s">
        <v>1142</v>
      </c>
      <c r="D119" s="27" t="s">
        <v>1105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1208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1209</v>
      </c>
      <c r="B121" s="27" t="s">
        <v>1144</v>
      </c>
      <c r="C121" s="27" t="s">
        <v>1210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1145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1211</v>
      </c>
    </row>
    <row r="125" spans="1:12">
      <c r="A125" s="20" t="s">
        <v>1212</v>
      </c>
      <c r="B125" s="27" t="s">
        <v>1213</v>
      </c>
      <c r="C125" s="27" t="s">
        <v>1126</v>
      </c>
      <c r="D125" s="27" t="s">
        <v>1105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1214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1215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1216</v>
      </c>
      <c r="B128" s="27" t="s">
        <v>1213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1123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1217</v>
      </c>
      <c r="B130" s="27" t="s">
        <v>1122</v>
      </c>
      <c r="C130" s="27" t="s">
        <v>1126</v>
      </c>
      <c r="D130" s="27" t="s">
        <v>1105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1218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1219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1220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1221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1123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1222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1223</v>
      </c>
      <c r="B137" s="27" t="s">
        <v>1115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1123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1224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1225</v>
      </c>
      <c r="B140" s="27" t="s">
        <v>1122</v>
      </c>
      <c r="C140" s="27" t="s">
        <v>1108</v>
      </c>
      <c r="D140" s="27" t="s">
        <v>1105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1226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1227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1123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1128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1228</v>
      </c>
      <c r="B145" s="27" t="s">
        <v>1122</v>
      </c>
      <c r="C145" s="27" t="s">
        <v>1126</v>
      </c>
      <c r="D145" s="27" t="s">
        <v>1105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1229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1113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1230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1231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1186</v>
      </c>
      <c r="B150" s="27" t="s">
        <v>1132</v>
      </c>
      <c r="C150" s="27" t="s">
        <v>1142</v>
      </c>
      <c r="D150" s="27" t="s">
        <v>1105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1232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1145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1233</v>
      </c>
    </row>
    <row r="155" spans="1:12">
      <c r="A155" s="20" t="s">
        <v>1234</v>
      </c>
      <c r="B155" s="27" t="s">
        <v>1107</v>
      </c>
      <c r="C155" s="27" t="s">
        <v>1142</v>
      </c>
      <c r="D155" s="27" t="s">
        <v>1105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1235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1236</v>
      </c>
      <c r="B157" s="27" t="s">
        <v>1149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1237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1139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1238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1123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1239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1240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1184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1241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1242</v>
      </c>
      <c r="B166" s="27" t="s">
        <v>1243</v>
      </c>
      <c r="C166" s="27" t="s">
        <v>1126</v>
      </c>
      <c r="D166" s="27" t="s">
        <v>1105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1244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1245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1246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1123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1128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1123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1247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1184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1248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1123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1249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1250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1251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1123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1252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1253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1254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1255</v>
      </c>
      <c r="B184" s="27" t="s">
        <v>1110</v>
      </c>
      <c r="C184" s="27" t="s">
        <v>1210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1256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1257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1123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1228</v>
      </c>
      <c r="B188" s="27" t="s">
        <v>1122</v>
      </c>
      <c r="C188" s="27" t="s">
        <v>1126</v>
      </c>
      <c r="D188" s="27" t="s">
        <v>1105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1258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1123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135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1217</v>
      </c>
      <c r="B192" s="27" t="s">
        <v>1259</v>
      </c>
      <c r="C192" s="27" t="s">
        <v>1126</v>
      </c>
      <c r="D192" s="27" t="s">
        <v>1105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1260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1261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1249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1262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1145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/>
    </row>
    <row r="199" spans="1:12">
      <c r="A199" s="20" t="s">
        <v>1263</v>
      </c>
    </row>
    <row r="200" spans="1:12">
      <c r="A200" s="20" t="s">
        <v>1264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37</v>
      </c>
      <c r="B201" s="27" t="s">
        <v>1103</v>
      </c>
      <c r="C201" s="27" t="s">
        <v>1210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1265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1123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1266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1267</v>
      </c>
      <c r="B205" s="27" t="s">
        <v>1122</v>
      </c>
      <c r="C205" s="27" t="s">
        <v>1210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1268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1269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1270</v>
      </c>
      <c r="B208" s="27" t="s">
        <v>1243</v>
      </c>
      <c r="C208" s="27" t="s">
        <v>1126</v>
      </c>
      <c r="D208" s="27" t="s">
        <v>1105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1271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1272</v>
      </c>
      <c r="B210" s="27" t="s">
        <v>1107</v>
      </c>
      <c r="C210" s="27" t="s">
        <v>1104</v>
      </c>
      <c r="D210" s="27" t="s">
        <v>1105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1273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1274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1275</v>
      </c>
      <c r="B213" s="27" t="s">
        <v>1110</v>
      </c>
      <c r="C213" s="27" t="s">
        <v>1156</v>
      </c>
      <c r="D213" s="27" t="s">
        <v>1105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1145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1276</v>
      </c>
    </row>
    <row r="217" spans="1:12">
      <c r="A217" s="20" t="s">
        <v>1277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1278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1279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1123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1280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1184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1281</v>
      </c>
      <c r="B223" s="27" t="s">
        <v>1132</v>
      </c>
      <c r="C223" s="27" t="s">
        <v>1108</v>
      </c>
      <c r="D223" s="27" t="s">
        <v>1105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1123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883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1120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239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1231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1282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1123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1128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1217</v>
      </c>
      <c r="B232" s="27" t="s">
        <v>1122</v>
      </c>
      <c r="C232" s="27" t="s">
        <v>1126</v>
      </c>
      <c r="D232" s="27" t="s">
        <v>1105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1123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1283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1249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1206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1284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1285</v>
      </c>
      <c r="B238" s="27" t="s">
        <v>1107</v>
      </c>
      <c r="C238" s="27" t="s">
        <v>1210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1123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1286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1231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1287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1288</v>
      </c>
      <c r="B243" s="27" t="s">
        <v>1107</v>
      </c>
      <c r="C243" s="27" t="s">
        <v>1289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1145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1290</v>
      </c>
    </row>
    <row r="247" spans="1:12">
      <c r="A247" s="20" t="s">
        <v>1191</v>
      </c>
      <c r="B247" s="27" t="s">
        <v>1149</v>
      </c>
      <c r="C247" s="27" t="s">
        <v>1126</v>
      </c>
      <c r="D247" s="27" t="s">
        <v>1105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1291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1292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1123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1293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1184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1294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1195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1257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1295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1296</v>
      </c>
      <c r="B257" s="27" t="s">
        <v>1122</v>
      </c>
      <c r="C257" s="27" t="s">
        <v>1104</v>
      </c>
      <c r="D257" s="27" t="s">
        <v>1105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1297</v>
      </c>
      <c r="B258" s="27" t="s">
        <v>1110</v>
      </c>
      <c r="C258" s="27" t="s">
        <v>1108</v>
      </c>
      <c r="D258" s="27" t="s">
        <v>1105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1123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1195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1298</v>
      </c>
      <c r="B261" s="27" t="s">
        <v>1132</v>
      </c>
      <c r="C261" s="27" t="s">
        <v>1133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1299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1300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1301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1302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1139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1303</v>
      </c>
      <c r="B268" s="27" t="s">
        <v>1141</v>
      </c>
      <c r="C268" s="27" t="s">
        <v>1108</v>
      </c>
      <c r="D268" s="27" t="s">
        <v>1105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1304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1128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1139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1305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1306</v>
      </c>
      <c r="B274" s="27" t="s">
        <v>1307</v>
      </c>
      <c r="C274" s="27" t="s">
        <v>1156</v>
      </c>
      <c r="D274" s="27" t="s">
        <v>1105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1123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228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1308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1309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1310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1311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1312</v>
      </c>
      <c r="B281" s="27" t="s">
        <v>1313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1314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1145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1315</v>
      </c>
    </row>
    <row r="286" spans="1:12">
      <c r="A286" s="20" t="s">
        <v>1316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1317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1318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1319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1123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1217</v>
      </c>
      <c r="B291" s="27" t="s">
        <v>1149</v>
      </c>
      <c r="C291" s="27" t="s">
        <v>1126</v>
      </c>
      <c r="D291" s="27" t="s">
        <v>1105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1320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1271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1321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1184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1322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1323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1123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1324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1130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1325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1123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1326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1186</v>
      </c>
      <c r="B304" s="27" t="s">
        <v>1243</v>
      </c>
      <c r="C304" s="27" t="s">
        <v>1126</v>
      </c>
      <c r="D304" s="27" t="s">
        <v>1105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1327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1184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1281</v>
      </c>
      <c r="B307" s="27" t="s">
        <v>1107</v>
      </c>
      <c r="C307" s="27" t="s">
        <v>1108</v>
      </c>
      <c r="D307" s="27" t="s">
        <v>1105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1123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1224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1328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1329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1253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1330</v>
      </c>
      <c r="B313" s="27" t="s">
        <v>1107</v>
      </c>
      <c r="C313" s="27" t="s">
        <v>1104</v>
      </c>
      <c r="D313" s="27" t="s">
        <v>1105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1271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95</v>
      </c>
      <c r="B315" s="27" t="s">
        <v>1110</v>
      </c>
      <c r="C315" s="27" t="s">
        <v>1108</v>
      </c>
      <c r="D315" s="27" t="s">
        <v>1105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1145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1331</v>
      </c>
    </row>
    <row r="319" spans="1:12">
      <c r="A319" s="20" t="s">
        <v>1111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1332</v>
      </c>
      <c r="B320" s="27" t="s">
        <v>1149</v>
      </c>
      <c r="C320" s="27" t="s">
        <v>1126</v>
      </c>
      <c r="D320" s="27" t="s">
        <v>1105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1130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1333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1123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727</v>
      </c>
      <c r="B324" s="27" t="s">
        <v>1103</v>
      </c>
      <c r="C324" s="27" t="s">
        <v>1108</v>
      </c>
      <c r="D324" s="27" t="s">
        <v>1105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1334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1335</v>
      </c>
    </row>
    <row r="328" spans="1:12">
      <c r="A328" s="20" t="s">
        <v>1336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1337</v>
      </c>
      <c r="B329" s="27" t="s">
        <v>1149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1338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1339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1111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1340</v>
      </c>
      <c r="B333" s="27" t="s">
        <v>1259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1249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1198</v>
      </c>
      <c r="B335" s="27" t="s">
        <v>1132</v>
      </c>
      <c r="C335" s="27" t="s">
        <v>1126</v>
      </c>
      <c r="D335" s="27" t="s">
        <v>1105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1341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1123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1342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1123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1128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1343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1344</v>
      </c>
      <c r="B342" s="27" t="s">
        <v>1122</v>
      </c>
      <c r="C342" s="27" t="s">
        <v>1104</v>
      </c>
      <c r="D342" s="27" t="s">
        <v>1105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1318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1345</v>
      </c>
      <c r="B344" s="27" t="s">
        <v>1110</v>
      </c>
      <c r="C344" s="27" t="s">
        <v>1126</v>
      </c>
      <c r="D344" s="27" t="s">
        <v>1105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1346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1123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1224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1347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1346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1343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1344</v>
      </c>
      <c r="B351" s="27" t="s">
        <v>1259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1123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1342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1123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1124</v>
      </c>
      <c r="B355" s="27" t="s">
        <v>1259</v>
      </c>
      <c r="C355" s="27" t="s">
        <v>1126</v>
      </c>
      <c r="D355" s="27" t="s">
        <v>1105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1134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1348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1145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1349</v>
      </c>
    </row>
    <row r="361" spans="1:12">
      <c r="A361" s="20" t="s">
        <v>1111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1350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1128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60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1351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/>
    </row>
    <row r="367" spans="1:12">
      <c r="A367" s="20" t="s">
        <v>1352</v>
      </c>
    </row>
    <row r="368" spans="1:12">
      <c r="A368" s="20" t="s">
        <v>1353</v>
      </c>
      <c r="B368" s="27" t="s">
        <v>1149</v>
      </c>
      <c r="C368" s="27" t="s">
        <v>1126</v>
      </c>
      <c r="D368" s="27" t="s">
        <v>1105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1130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1354</v>
      </c>
      <c r="B370" s="27" t="s">
        <v>1103</v>
      </c>
      <c r="C370" s="27" t="s">
        <v>1108</v>
      </c>
      <c r="D370" s="27" t="s">
        <v>1105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1355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1356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1357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1358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1359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1145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1360</v>
      </c>
    </row>
    <row r="379" spans="1:12">
      <c r="A379" s="20" t="s">
        <v>1111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1191</v>
      </c>
      <c r="B380" s="27" t="s">
        <v>1149</v>
      </c>
      <c r="C380" s="27" t="s">
        <v>1126</v>
      </c>
      <c r="D380" s="27" t="s">
        <v>1105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1361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1123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1362</v>
      </c>
      <c r="B383" s="27" t="s">
        <v>1122</v>
      </c>
      <c r="C383" s="27" t="s">
        <v>1126</v>
      </c>
      <c r="D383" s="27" t="s">
        <v>1105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1363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1364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1365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1123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1366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1225</v>
      </c>
      <c r="B389" s="27" t="s">
        <v>1107</v>
      </c>
      <c r="C389" s="27" t="s">
        <v>1108</v>
      </c>
      <c r="D389" s="27" t="s">
        <v>1105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1145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/>
    </row>
    <row r="392" spans="1:12">
      <c r="A392" s="20" t="s">
        <v>1367</v>
      </c>
    </row>
    <row r="393" spans="1:12">
      <c r="A393" s="20" t="s">
        <v>1368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135</v>
      </c>
      <c r="B394" s="27" t="s">
        <v>1149</v>
      </c>
      <c r="C394" s="27" t="s">
        <v>1133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1195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1270</v>
      </c>
      <c r="B396" s="27" t="s">
        <v>1103</v>
      </c>
      <c r="C396" s="27" t="s">
        <v>1126</v>
      </c>
      <c r="D396" s="27" t="s">
        <v>1105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1369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1370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1184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1371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1372</v>
      </c>
      <c r="B401" s="27" t="s">
        <v>1103</v>
      </c>
      <c r="C401" s="27" t="s">
        <v>1156</v>
      </c>
      <c r="D401" s="27" t="s">
        <v>1105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1334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1373</v>
      </c>
    </row>
    <row r="405" spans="1:12">
      <c r="A405" s="20" t="s">
        <v>1111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1374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1375</v>
      </c>
      <c r="B407" s="27" t="s">
        <v>1149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1145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1376</v>
      </c>
    </row>
    <row r="411" spans="1:12">
      <c r="A411" s="20" t="s">
        <v>1377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1145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1378</v>
      </c>
    </row>
    <row r="416" spans="1:12">
      <c r="A416" s="20" t="s">
        <v>1111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1379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1123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1306</v>
      </c>
      <c r="B419" s="27" t="s">
        <v>1149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1134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1364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1380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1351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1381</v>
      </c>
    </row>
    <row r="427" spans="1:12">
      <c r="A427" s="20" t="s">
        <v>1111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1382</v>
      </c>
      <c r="B428" s="27" t="s">
        <v>1149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1383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1384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1123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1385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1249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1386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1387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1388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1128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263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1123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1389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1390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1391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1392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1393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1145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/>
    </row>
    <row r="447" spans="1:12">
      <c r="A447" s="20" t="s">
        <v>1394</v>
      </c>
    </row>
    <row r="448" spans="1:12">
      <c r="A448" s="20" t="s">
        <v>1111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1368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1395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1396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1397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1398</v>
      </c>
      <c r="B453" s="27" t="s">
        <v>1149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1145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/>
    </row>
    <row r="456" spans="1:12">
      <c r="A456" s="20" t="s">
        <v>1399</v>
      </c>
    </row>
    <row r="457" spans="1:12">
      <c r="A457" s="20" t="s">
        <v>1111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1400</v>
      </c>
      <c r="B458" s="27" t="s">
        <v>1149</v>
      </c>
      <c r="C458" s="27" t="s">
        <v>1116</v>
      </c>
      <c r="D458" s="27" t="s">
        <v>1105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95</v>
      </c>
      <c r="B459" s="27" t="s">
        <v>1103</v>
      </c>
      <c r="C459" s="27" t="s">
        <v>1108</v>
      </c>
      <c r="D459" s="27" t="s">
        <v>1105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1111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1401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1402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1403</v>
      </c>
      <c r="B463" s="27" t="s">
        <v>1110</v>
      </c>
      <c r="C463" s="27" t="s">
        <v>1142</v>
      </c>
      <c r="D463" s="27" t="s">
        <v>1105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1404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1145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1405</v>
      </c>
    </row>
    <row r="468" spans="1:12">
      <c r="A468" s="20" t="s">
        <v>1406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1407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1408</v>
      </c>
      <c r="B470" s="27" t="s">
        <v>1213</v>
      </c>
      <c r="C470" s="27" t="s">
        <v>1126</v>
      </c>
      <c r="D470" s="27" t="s">
        <v>1105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1409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1239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1117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1410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1128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239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1411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1145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/>
    </row>
    <row r="480" spans="1:12">
      <c r="A480" s="20" t="s">
        <v>1412</v>
      </c>
    </row>
    <row r="481" spans="1:12">
      <c r="A481" s="20" t="s">
        <v>1353</v>
      </c>
      <c r="B481" s="27" t="s">
        <v>1149</v>
      </c>
      <c r="C481" s="27" t="s">
        <v>1126</v>
      </c>
      <c r="D481" s="27" t="s">
        <v>1105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1413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1414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1253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1415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1123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1416</v>
      </c>
      <c r="B487" s="27" t="s">
        <v>1259</v>
      </c>
      <c r="C487" s="27" t="s">
        <v>1133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1417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1271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1418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1123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1197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1419</v>
      </c>
      <c r="B493" s="27" t="s">
        <v>1132</v>
      </c>
      <c r="C493" s="27" t="s">
        <v>1210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1201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1420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1195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1421</v>
      </c>
      <c r="B497" s="27" t="s">
        <v>1132</v>
      </c>
      <c r="C497" s="27" t="s">
        <v>1126</v>
      </c>
      <c r="D497" s="27" t="s">
        <v>1105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1225</v>
      </c>
      <c r="B498" s="27" t="s">
        <v>1125</v>
      </c>
      <c r="C498" s="27" t="s">
        <v>1108</v>
      </c>
      <c r="D498" s="27" t="s">
        <v>1105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1422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1145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/>
    </row>
    <row r="502" spans="1:12">
      <c r="A502" s="20" t="s">
        <v>1423</v>
      </c>
    </row>
    <row r="503" spans="1:12">
      <c r="A503" s="20" t="s">
        <v>1111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1424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1134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1123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1111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1425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1124</v>
      </c>
      <c r="B510" s="27" t="s">
        <v>1122</v>
      </c>
      <c r="C510" s="27" t="s">
        <v>1126</v>
      </c>
      <c r="D510" s="27" t="s">
        <v>1105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1145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/>
    </row>
    <row r="513" spans="1:12">
      <c r="A513" s="20" t="s">
        <v>1426</v>
      </c>
    </row>
    <row r="514" spans="1:12">
      <c r="A514" s="20" t="s">
        <v>1111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1350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1427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1428</v>
      </c>
      <c r="B517" s="27" t="s">
        <v>1149</v>
      </c>
      <c r="C517" s="27" t="s">
        <v>1156</v>
      </c>
      <c r="D517" s="27" t="s">
        <v>1105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1429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1242</v>
      </c>
      <c r="B519" s="27" t="s">
        <v>1213</v>
      </c>
      <c r="C519" s="27" t="s">
        <v>1126</v>
      </c>
      <c r="D519" s="27" t="s">
        <v>1105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1430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1431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1145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/>
    </row>
    <row r="524" spans="1:12">
      <c r="A524" s="20" t="s">
        <v>1432</v>
      </c>
    </row>
    <row r="525" spans="1:12">
      <c r="A525" s="20" t="s">
        <v>1111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1433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1128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1434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1334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/>
    </row>
    <row r="532" spans="1:12">
      <c r="A532" s="20" t="s">
        <v>1435</v>
      </c>
    </row>
    <row r="533" spans="1:12">
      <c r="A533" s="20" t="s">
        <v>1111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1436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1123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1437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1438</v>
      </c>
      <c r="B537" s="27" t="s">
        <v>1213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1145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  <row r="540" spans="1:12">
      <c r="A540" s="20" t="s">
        <v>1439</v>
      </c>
    </row>
    <row r="541" spans="1:12">
      <c r="A541" s="20" t="s">
        <v>1440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396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1441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1123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727</v>
      </c>
      <c r="B545" s="27" t="s">
        <v>1149</v>
      </c>
      <c r="C545" s="27" t="s">
        <v>1108</v>
      </c>
      <c r="D545" s="27" t="s">
        <v>1105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1145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1442</v>
      </c>
    </row>
    <row r="549" spans="1:12">
      <c r="A549" s="20" t="s">
        <v>1443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1123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1444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1362</v>
      </c>
      <c r="B552" s="27" t="s">
        <v>1122</v>
      </c>
      <c r="C552" s="27" t="s">
        <v>1126</v>
      </c>
      <c r="D552" s="27" t="s">
        <v>1105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1445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1184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1446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1334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1447</v>
      </c>
    </row>
    <row r="559" spans="1:12">
      <c r="A559" s="20" t="s">
        <v>1448</v>
      </c>
      <c r="B559" s="27" t="s">
        <v>1149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1449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1450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1334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1451</v>
      </c>
    </row>
    <row r="565" spans="1:12">
      <c r="A565" s="20" t="s">
        <v>1452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1453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1454</v>
      </c>
      <c r="B567" s="27" t="s">
        <v>1149</v>
      </c>
      <c r="C567" s="27" t="s">
        <v>1156</v>
      </c>
      <c r="D567" s="27" t="s">
        <v>1105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1130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1455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1111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135</v>
      </c>
      <c r="B571" s="27" t="s">
        <v>1103</v>
      </c>
      <c r="C571" s="27" t="s">
        <v>1133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1114</v>
      </c>
      <c r="B572" s="27" t="s">
        <v>1149</v>
      </c>
      <c r="C572" s="27" t="s">
        <v>1116</v>
      </c>
      <c r="D572" s="27" t="s">
        <v>1105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1334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/>
    </row>
    <row r="575" spans="1:12">
      <c r="A575" s="20" t="s">
        <v>1456</v>
      </c>
    </row>
    <row r="576" spans="1:12">
      <c r="A576" s="20" t="s">
        <v>1111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1457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1123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139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1145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1458</v>
      </c>
    </row>
    <row r="583" spans="1:12">
      <c r="A583" s="20" t="s">
        <v>1111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1368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1459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1123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1460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1461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1334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/>
    </row>
    <row r="591" spans="1:12">
      <c r="A591" s="20" t="s">
        <v>1462</v>
      </c>
    </row>
    <row r="592" spans="1:12">
      <c r="A592" s="20" t="s">
        <v>1111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1400</v>
      </c>
      <c r="B593" s="27" t="s">
        <v>1149</v>
      </c>
      <c r="C593" s="27" t="s">
        <v>1116</v>
      </c>
      <c r="D593" s="27" t="s">
        <v>1105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1463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1145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1464</v>
      </c>
    </row>
    <row r="598" spans="1:12">
      <c r="A598" s="20" t="s">
        <v>1111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1465</v>
      </c>
      <c r="B599" s="27" t="s">
        <v>1149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1466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1145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1467</v>
      </c>
    </row>
    <row r="604" spans="1:12">
      <c r="A604" s="20" t="s">
        <v>1332</v>
      </c>
      <c r="B604" s="27" t="s">
        <v>1149</v>
      </c>
      <c r="C604" s="27" t="s">
        <v>1126</v>
      </c>
      <c r="D604" s="27" t="s">
        <v>1105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1468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1469</v>
      </c>
      <c r="B606" s="27" t="s">
        <v>1115</v>
      </c>
      <c r="C606" s="27" t="s">
        <v>1126</v>
      </c>
      <c r="D606" s="27" t="s">
        <v>1105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1450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1123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1239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1470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891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1145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1471</v>
      </c>
    </row>
    <row r="615" spans="1:12">
      <c r="A615" s="20" t="s">
        <v>1472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1184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1473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1111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135</v>
      </c>
      <c r="B619" s="27" t="s">
        <v>1243</v>
      </c>
      <c r="C619" s="27" t="s">
        <v>1133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1474</v>
      </c>
      <c r="B620" s="27" t="s">
        <v>1122</v>
      </c>
      <c r="C620" s="27" t="s">
        <v>1126</v>
      </c>
      <c r="D620" s="27" t="s">
        <v>1105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1475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1476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1334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/>
    </row>
    <row r="625" spans="1:12">
      <c r="A625" s="20" t="s">
        <v>1477</v>
      </c>
    </row>
    <row r="626" spans="1:12">
      <c r="A626" s="20" t="s">
        <v>1478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1123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1479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1480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1123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1410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1481</v>
      </c>
    </row>
    <row r="635" spans="1:12">
      <c r="A635" s="20" t="s">
        <v>1172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1173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1408</v>
      </c>
      <c r="B637" s="27" t="s">
        <v>1213</v>
      </c>
      <c r="C637" s="27" t="s">
        <v>1126</v>
      </c>
      <c r="D637" s="27" t="s">
        <v>1105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1134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1482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1145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/>
    </row>
    <row r="642" spans="1:12">
      <c r="A642" s="20" t="s">
        <v>1483</v>
      </c>
    </row>
    <row r="643" spans="1:12">
      <c r="A643" s="20" t="s">
        <v>1191</v>
      </c>
      <c r="B643" s="27" t="s">
        <v>1149</v>
      </c>
      <c r="C643" s="27" t="s">
        <v>1126</v>
      </c>
      <c r="D643" s="27" t="s">
        <v>1105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1484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1249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1485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1271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1486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1487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1488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1123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1489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1490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1491</v>
      </c>
      <c r="B654" s="27" t="s">
        <v>1259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1492</v>
      </c>
      <c r="B655" s="27" t="s">
        <v>1132</v>
      </c>
      <c r="C655" s="27" t="s">
        <v>1108</v>
      </c>
      <c r="D655" s="27" t="s">
        <v>1105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1123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1128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1123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1493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1184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1494</v>
      </c>
      <c r="B661" s="27" t="s">
        <v>1495</v>
      </c>
      <c r="C661" s="27" t="s">
        <v>1142</v>
      </c>
      <c r="D661" s="27" t="s">
        <v>1105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1496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1123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1497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1139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1305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1306</v>
      </c>
      <c r="B667" s="27" t="s">
        <v>1141</v>
      </c>
      <c r="C667" s="27" t="s">
        <v>1156</v>
      </c>
      <c r="D667" s="27" t="s">
        <v>1105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1123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1498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1117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1120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1499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1184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1500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1473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1145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1501</v>
      </c>
    </row>
    <row r="679" spans="1:12">
      <c r="A679" s="20" t="s">
        <v>1277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1502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1218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1503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1504</v>
      </c>
      <c r="B683" s="27" t="s">
        <v>1103</v>
      </c>
      <c r="C683" s="27" t="s">
        <v>1210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1111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1505</v>
      </c>
      <c r="B685" s="27" t="s">
        <v>1149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1506</v>
      </c>
      <c r="B686" s="27" t="s">
        <v>1107</v>
      </c>
      <c r="C686" s="27" t="s">
        <v>1108</v>
      </c>
      <c r="D686" s="27" t="s">
        <v>1105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1128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1507</v>
      </c>
      <c r="B688" s="27" t="s">
        <v>1110</v>
      </c>
      <c r="C688" s="27" t="s">
        <v>1108</v>
      </c>
      <c r="D688" s="27" t="s">
        <v>1105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1145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1508</v>
      </c>
    </row>
    <row r="692" spans="1:12">
      <c r="A692" s="20" t="s">
        <v>1509</v>
      </c>
      <c r="B692" s="27" t="s">
        <v>1149</v>
      </c>
      <c r="C692" s="27" t="s">
        <v>1126</v>
      </c>
      <c r="D692" s="27" t="s">
        <v>1105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1510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1511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1512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1513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1201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1514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1515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1123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1357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1198</v>
      </c>
      <c r="B702" s="27" t="s">
        <v>1107</v>
      </c>
      <c r="C702" s="27" t="s">
        <v>1126</v>
      </c>
      <c r="D702" s="27" t="s">
        <v>1105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1184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1516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1123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1128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1517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1518</v>
      </c>
      <c r="B708" s="27" t="s">
        <v>1243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1145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1519</v>
      </c>
    </row>
    <row r="712" spans="1:12">
      <c r="A712" s="20" t="s">
        <v>1520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1521</v>
      </c>
      <c r="B713" s="27" t="s">
        <v>1103</v>
      </c>
      <c r="C713" s="27" t="s">
        <v>1126</v>
      </c>
      <c r="D713" s="27" t="s">
        <v>1105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1522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1523</v>
      </c>
      <c r="B715" s="27" t="s">
        <v>1149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1130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1524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1128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1525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1145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/>
    </row>
    <row r="722" spans="1:12">
      <c r="A722" s="20" t="s">
        <v>1526</v>
      </c>
    </row>
    <row r="723" spans="1:12">
      <c r="A723" s="20" t="s">
        <v>1507</v>
      </c>
      <c r="B723" s="27" t="s">
        <v>1149</v>
      </c>
      <c r="C723" s="27" t="s">
        <v>1108</v>
      </c>
      <c r="D723" s="27" t="s">
        <v>1105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1527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1528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1231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1529</v>
      </c>
      <c r="B727" s="27" t="s">
        <v>1103</v>
      </c>
      <c r="C727" s="27" t="s">
        <v>1133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1123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1197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1530</v>
      </c>
      <c r="B730" s="27" t="s">
        <v>1122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1531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1532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1128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1533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1186</v>
      </c>
      <c r="B735" s="27" t="s">
        <v>1243</v>
      </c>
      <c r="C735" s="27" t="s">
        <v>1126</v>
      </c>
      <c r="D735" s="27" t="s">
        <v>1105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1534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1145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/>
    </row>
    <row r="739" spans="1:12">
      <c r="A739" s="20" t="s">
        <v>1535</v>
      </c>
    </row>
    <row r="740" spans="1:12">
      <c r="A740" s="20" t="s">
        <v>1536</v>
      </c>
      <c r="B740" s="27" t="s">
        <v>1213</v>
      </c>
      <c r="C740" s="27" t="s">
        <v>1126</v>
      </c>
      <c r="D740" s="27" t="s">
        <v>1105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1123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1537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1123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1134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1538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1539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1540</v>
      </c>
      <c r="B747" s="27" t="s">
        <v>1149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1231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1541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1542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1543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1253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1544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1545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1145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1546</v>
      </c>
    </row>
    <row r="758" spans="1:12">
      <c r="A758" s="20" t="s">
        <v>1547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396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1507</v>
      </c>
      <c r="B760" s="27" t="s">
        <v>1149</v>
      </c>
      <c r="C760" s="27" t="s">
        <v>1108</v>
      </c>
      <c r="D760" s="27" t="s">
        <v>1105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1548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1128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1549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1101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1550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1123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1224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1505</v>
      </c>
      <c r="B768" s="27" t="s">
        <v>1122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1506</v>
      </c>
      <c r="B769" s="27" t="s">
        <v>1110</v>
      </c>
      <c r="C769" s="27" t="s">
        <v>1108</v>
      </c>
      <c r="D769" s="27" t="s">
        <v>1105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1551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1552</v>
      </c>
      <c r="B771" s="27" t="s">
        <v>1243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1553</v>
      </c>
      <c r="B772" s="27" t="s">
        <v>1243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1184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1554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1128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1555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1249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1556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1557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1123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1558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1559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1145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/>
    </row>
    <row r="785" spans="1:12">
      <c r="A785" s="20" t="s">
        <v>1560</v>
      </c>
    </row>
    <row r="786" spans="1:12">
      <c r="A786" s="20" t="s">
        <v>1191</v>
      </c>
      <c r="B786" s="27" t="s">
        <v>1149</v>
      </c>
      <c r="C786" s="27" t="s">
        <v>1126</v>
      </c>
      <c r="D786" s="27" t="s">
        <v>1105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1561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1562</v>
      </c>
      <c r="B788" s="27" t="s">
        <v>1213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1563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1123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1564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1565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1566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1249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1415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1145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1567</v>
      </c>
    </row>
    <row r="799" spans="1:12">
      <c r="A799" s="20" t="s">
        <v>1568</v>
      </c>
      <c r="B799" s="27" t="s">
        <v>1149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1569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1357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1198</v>
      </c>
      <c r="B802" s="27" t="s">
        <v>1103</v>
      </c>
      <c r="C802" s="27" t="s">
        <v>1126</v>
      </c>
      <c r="D802" s="27" t="s">
        <v>1105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1145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/>
    </row>
    <row r="805" spans="1:12">
      <c r="A805" s="20" t="s">
        <v>1570</v>
      </c>
    </row>
    <row r="806" spans="1:12">
      <c r="A806" s="20" t="s">
        <v>1571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1572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1573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1123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1228</v>
      </c>
      <c r="B810" s="27" t="s">
        <v>1149</v>
      </c>
      <c r="C810" s="27" t="s">
        <v>1126</v>
      </c>
      <c r="D810" s="27" t="s">
        <v>1105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1574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1123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135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1575</v>
      </c>
      <c r="B814" s="27" t="s">
        <v>1122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1422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1318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1576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1577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1184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1578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1579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1145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1580</v>
      </c>
    </row>
    <row r="825" spans="1:12">
      <c r="A825" s="20" t="s">
        <v>1581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1582</v>
      </c>
      <c r="B826" s="27" t="s">
        <v>1149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1184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1583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1123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1128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1184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1584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1585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1586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1587</v>
      </c>
      <c r="B835" s="27" t="s">
        <v>1122</v>
      </c>
      <c r="C835" s="27" t="s">
        <v>1289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1145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/>
    </row>
    <row r="838" spans="1:12">
      <c r="A838" s="20" t="s">
        <v>1588</v>
      </c>
    </row>
    <row r="839" spans="1:12">
      <c r="A839" s="20" t="s">
        <v>1507</v>
      </c>
      <c r="B839" s="27" t="s">
        <v>1149</v>
      </c>
      <c r="C839" s="27" t="s">
        <v>1108</v>
      </c>
      <c r="D839" s="27" t="s">
        <v>1105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1589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1475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1134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1590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1591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1592</v>
      </c>
      <c r="B845" s="27" t="s">
        <v>1103</v>
      </c>
      <c r="C845" s="27" t="s">
        <v>1210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1123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1260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1593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1594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1123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1595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1596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1469</v>
      </c>
      <c r="B853" s="27" t="s">
        <v>1107</v>
      </c>
      <c r="C853" s="27" t="s">
        <v>1126</v>
      </c>
      <c r="D853" s="27" t="s">
        <v>1105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1128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1597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1184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1446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1145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/>
    </row>
    <row r="860" spans="1:12">
      <c r="A860" s="20" t="s">
        <v>1598</v>
      </c>
    </row>
    <row r="861" spans="1:12">
      <c r="A861" s="20" t="s">
        <v>1191</v>
      </c>
      <c r="B861" s="27" t="s">
        <v>1149</v>
      </c>
      <c r="C861" s="27" t="s">
        <v>1126</v>
      </c>
      <c r="D861" s="27" t="s">
        <v>1105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1574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1123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135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1124</v>
      </c>
      <c r="B865" s="27" t="s">
        <v>1122</v>
      </c>
      <c r="C865" s="27" t="s">
        <v>1126</v>
      </c>
      <c r="D865" s="27" t="s">
        <v>1105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1599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1271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1600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1601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1602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1413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1603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1271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1604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1123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1228</v>
      </c>
      <c r="B876" s="27" t="s">
        <v>1122</v>
      </c>
      <c r="C876" s="27" t="s">
        <v>1126</v>
      </c>
      <c r="D876" s="27" t="s">
        <v>1105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1605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1606</v>
      </c>
      <c r="B878" s="27" t="s">
        <v>1243</v>
      </c>
      <c r="C878" s="27" t="s">
        <v>1126</v>
      </c>
      <c r="D878" s="27" t="s">
        <v>1105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1206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1114</v>
      </c>
      <c r="B880" s="27" t="s">
        <v>1243</v>
      </c>
      <c r="C880" s="27" t="s">
        <v>1116</v>
      </c>
      <c r="D880" s="27" t="s">
        <v>1105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1145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/>
    </row>
    <row r="883" spans="1:12">
      <c r="A883" s="20" t="s">
        <v>1607</v>
      </c>
    </row>
    <row r="884" spans="1:12">
      <c r="A884" s="20" t="s">
        <v>1111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1608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1123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1609</v>
      </c>
      <c r="B887" s="27" t="s">
        <v>1149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1134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1130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1521</v>
      </c>
      <c r="B890" s="27" t="s">
        <v>1103</v>
      </c>
      <c r="C890" s="27" t="s">
        <v>1126</v>
      </c>
      <c r="D890" s="27" t="s">
        <v>1105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1334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1111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1610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1225</v>
      </c>
      <c r="B894" s="27" t="s">
        <v>1149</v>
      </c>
      <c r="C894" s="27" t="s">
        <v>1108</v>
      </c>
      <c r="D894" s="27" t="s">
        <v>1105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1123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1293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1228</v>
      </c>
      <c r="B897" s="27" t="s">
        <v>1122</v>
      </c>
      <c r="C897" s="27" t="s">
        <v>1126</v>
      </c>
      <c r="D897" s="27" t="s">
        <v>1105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1611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1145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/>
    </row>
    <row r="901" spans="1:12">
      <c r="A901" s="20" t="s">
        <v>1612</v>
      </c>
    </row>
    <row r="902" spans="1:12">
      <c r="A902" s="20" t="s">
        <v>1111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1613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1145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1614</v>
      </c>
    </row>
    <row r="907" spans="1:12">
      <c r="A907" s="20" t="s">
        <v>1111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1615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228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1616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1617</v>
      </c>
      <c r="B911" s="27" t="s">
        <v>1149</v>
      </c>
      <c r="C911" s="27" t="s">
        <v>1126</v>
      </c>
      <c r="D911" s="27" t="s">
        <v>1105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1334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1618</v>
      </c>
    </row>
    <row r="915" spans="1:12">
      <c r="A915" s="20" t="s">
        <v>1619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1123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1620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1621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1128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1622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1123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1206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1454</v>
      </c>
      <c r="B923" s="27" t="s">
        <v>1149</v>
      </c>
      <c r="C923" s="27" t="s">
        <v>1210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1623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1145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1624</v>
      </c>
    </row>
    <row r="928" spans="1:12">
      <c r="A928" s="20" t="s">
        <v>1111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1625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1123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1134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1626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1145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/>
    </row>
    <row r="935" spans="1:12">
      <c r="A935" s="20" t="s">
        <v>1627</v>
      </c>
    </row>
    <row r="936" spans="1:12">
      <c r="A936" s="20" t="s">
        <v>1191</v>
      </c>
      <c r="B936" s="27" t="s">
        <v>1149</v>
      </c>
      <c r="C936" s="27" t="s">
        <v>1126</v>
      </c>
      <c r="D936" s="27" t="s">
        <v>1105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1628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1528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1123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135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1391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1392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1393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1629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1630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1631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263</v>
      </c>
      <c r="B947" s="27" t="s">
        <v>1122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1145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/>
    </row>
    <row r="950" spans="1:12">
      <c r="A950" s="20" t="s">
        <v>1632</v>
      </c>
    </row>
    <row r="951" spans="1:12">
      <c r="A951" s="20" t="s">
        <v>1633</v>
      </c>
      <c r="B951" s="27" t="s">
        <v>1149</v>
      </c>
      <c r="C951" s="27" t="s">
        <v>1126</v>
      </c>
      <c r="D951" s="27" t="s">
        <v>1105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1634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1635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1184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1636</v>
      </c>
      <c r="B955" s="27" t="s">
        <v>1107</v>
      </c>
      <c r="C955" s="27" t="s">
        <v>1142</v>
      </c>
      <c r="D955" s="27" t="s">
        <v>1105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1637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1123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1638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1270</v>
      </c>
      <c r="B959" s="27" t="s">
        <v>1243</v>
      </c>
      <c r="C959" s="27" t="s">
        <v>1126</v>
      </c>
      <c r="D959" s="27" t="s">
        <v>1105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1128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1639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1128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1640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1641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1123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1197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1642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1643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1145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/>
    </row>
    <row r="971" spans="1:12">
      <c r="A971" s="20" t="s">
        <v>1644</v>
      </c>
    </row>
    <row r="972" spans="1:12">
      <c r="A972" s="20" t="s">
        <v>1645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1646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1647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1648</v>
      </c>
      <c r="B975" s="27" t="s">
        <v>1213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1649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1186</v>
      </c>
      <c r="B977" s="27" t="s">
        <v>1213</v>
      </c>
      <c r="C977" s="27" t="s">
        <v>1126</v>
      </c>
      <c r="D977" s="27" t="s">
        <v>1105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1184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1650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1651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1652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1123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1391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1653</v>
      </c>
      <c r="B984" s="27" t="s">
        <v>1110</v>
      </c>
      <c r="C984" s="27" t="s">
        <v>1133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1123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1654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1655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1656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1123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1657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1658</v>
      </c>
      <c r="B991" s="27" t="s">
        <v>1259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1659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1660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1661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1145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1662</v>
      </c>
    </row>
    <row r="998" spans="1:12">
      <c r="A998" s="20" t="s">
        <v>1225</v>
      </c>
      <c r="B998" s="27" t="s">
        <v>1149</v>
      </c>
      <c r="C998" s="27" t="s">
        <v>1108</v>
      </c>
      <c r="D998" s="27" t="s">
        <v>1105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1663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1184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1664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1637</v>
      </c>
      <c r="B1002" s="27" t="s">
        <v>1103</v>
      </c>
      <c r="C1002" s="27" t="s">
        <v>1156</v>
      </c>
      <c r="D1002" s="27" t="s">
        <v>1105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1128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1123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1385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1249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1665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1634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1666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1667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1668</v>
      </c>
      <c r="B1011" s="27" t="s">
        <v>1110</v>
      </c>
      <c r="C1011" s="27" t="s">
        <v>1156</v>
      </c>
      <c r="D1011" s="27" t="s">
        <v>1105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1123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1669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1670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1339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1111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1671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1123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1443</v>
      </c>
      <c r="B1019" s="27" t="s">
        <v>1110</v>
      </c>
      <c r="C1019" s="27" t="s">
        <v>1108</v>
      </c>
      <c r="D1019" s="27" t="s">
        <v>1105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1123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263</v>
      </c>
      <c r="B1021" s="27" t="s">
        <v>1125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1672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1673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1249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1270</v>
      </c>
      <c r="B1025" s="27" t="s">
        <v>1132</v>
      </c>
      <c r="C1025" s="27" t="s">
        <v>1126</v>
      </c>
      <c r="D1025" s="27" t="s">
        <v>1105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1145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1674</v>
      </c>
    </row>
    <row r="1029" spans="1:12">
      <c r="A1029" s="20" t="s">
        <v>1111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1368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1114</v>
      </c>
      <c r="B1031" s="27" t="s">
        <v>1149</v>
      </c>
      <c r="C1031" s="27" t="s">
        <v>1116</v>
      </c>
      <c r="D1031" s="27" t="s">
        <v>1105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1675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1334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/>
    </row>
    <row r="1035" spans="1:12">
      <c r="A1035" s="20" t="s">
        <v>1676</v>
      </c>
    </row>
    <row r="1036" spans="1:12">
      <c r="A1036" s="20" t="s">
        <v>1111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1677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259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1351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/>
    </row>
    <row r="1041" spans="1:12">
      <c r="A1041" s="20" t="s">
        <v>1678</v>
      </c>
    </row>
    <row r="1042" spans="1:12">
      <c r="A1042" s="20" t="s">
        <v>1679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1111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1680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1123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135</v>
      </c>
      <c r="B1046" s="27" t="s">
        <v>1122</v>
      </c>
      <c r="C1046" s="27" t="s">
        <v>1133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1681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1682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1207</v>
      </c>
      <c r="B1049" s="27" t="s">
        <v>1132</v>
      </c>
      <c r="C1049" s="27" t="s">
        <v>1142</v>
      </c>
      <c r="D1049" s="27" t="s">
        <v>1105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1683</v>
      </c>
      <c r="B1050" s="27" t="s">
        <v>1115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1145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/>
    </row>
    <row r="1053" spans="1:12">
      <c r="A1053" s="20" t="s">
        <v>1684</v>
      </c>
    </row>
    <row r="1054" spans="1:12">
      <c r="A1054" s="20" t="s">
        <v>1547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1505</v>
      </c>
      <c r="B1055" s="27" t="s">
        <v>1149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1506</v>
      </c>
      <c r="B1056" s="27" t="s">
        <v>1107</v>
      </c>
      <c r="C1056" s="27" t="s">
        <v>1108</v>
      </c>
      <c r="D1056" s="27" t="s">
        <v>1105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1475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1134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1685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1145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/>
    </row>
    <row r="1062" spans="1:12">
      <c r="A1062" s="20" t="s">
        <v>1686</v>
      </c>
    </row>
    <row r="1063" spans="1:12">
      <c r="A1063" s="20" t="s">
        <v>1687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1688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1689</v>
      </c>
      <c r="B1065" s="27" t="s">
        <v>1103</v>
      </c>
      <c r="C1065" s="27" t="s">
        <v>1210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1145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/>
    </row>
    <row r="1068" spans="1:12">
      <c r="A1068" s="20" t="s">
        <v>1690</v>
      </c>
    </row>
    <row r="1069" spans="1:12">
      <c r="A1069" s="20" t="s">
        <v>1406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1206</v>
      </c>
      <c r="B1070" s="27" t="s">
        <v>1149</v>
      </c>
      <c r="C1070" s="27" t="s">
        <v>1126</v>
      </c>
      <c r="D1070" s="27" t="s">
        <v>1105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1111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1128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1691</v>
      </c>
      <c r="B1073" s="27" t="s">
        <v>1107</v>
      </c>
      <c r="C1073" s="27" t="s">
        <v>1142</v>
      </c>
      <c r="D1073" s="27" t="s">
        <v>1105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1692</v>
      </c>
      <c r="B1074" s="27" t="s">
        <v>1149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1128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1693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1186</v>
      </c>
      <c r="B1077" s="27" t="s">
        <v>1110</v>
      </c>
      <c r="C1077" s="27" t="s">
        <v>1142</v>
      </c>
      <c r="D1077" s="27" t="s">
        <v>1105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1694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1111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1695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1195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1305</v>
      </c>
      <c r="B1082" s="27" t="s">
        <v>1103</v>
      </c>
      <c r="C1082" s="27" t="s">
        <v>1116</v>
      </c>
      <c r="D1082" s="27" t="s">
        <v>1105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1123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1696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1697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1124</v>
      </c>
      <c r="B1086" s="27" t="s">
        <v>1259</v>
      </c>
      <c r="C1086" s="27" t="s">
        <v>1126</v>
      </c>
      <c r="D1086" s="27" t="s">
        <v>1105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1698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1123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1699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263</v>
      </c>
      <c r="B1090" s="27" t="s">
        <v>1125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1700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1139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1701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1123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1188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224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1145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/>
    </row>
    <row r="1099" spans="1:12">
      <c r="A1099" s="20" t="s">
        <v>1702</v>
      </c>
    </row>
    <row r="1100" spans="1:12">
      <c r="A1100" s="20" t="s">
        <v>1703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1704</v>
      </c>
      <c r="B1101" s="27" t="s">
        <v>1149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1120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1705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1123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1169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1706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1707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1145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1708</v>
      </c>
    </row>
    <row r="1111" spans="1:12">
      <c r="A1111" s="20" t="s">
        <v>1709</v>
      </c>
      <c r="B1111" s="27" t="s">
        <v>1149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1710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1711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1184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1712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1123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1713</v>
      </c>
      <c r="B1117" s="27" t="s">
        <v>1122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1714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1715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1716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1717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1718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1145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/>
    </row>
    <row r="1125" spans="1:12">
      <c r="A1125" s="20" t="s">
        <v>1719</v>
      </c>
    </row>
    <row r="1126" spans="1:12">
      <c r="A1126" s="20" t="s">
        <v>1720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1721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1722</v>
      </c>
      <c r="B1128" s="27" t="s">
        <v>1103</v>
      </c>
      <c r="C1128" s="27" t="s">
        <v>1126</v>
      </c>
      <c r="D1128" s="27" t="s">
        <v>1105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1723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1724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1725</v>
      </c>
      <c r="B1131" s="27" t="s">
        <v>1149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1726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1130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1727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1728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1123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1654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1729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1730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1123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1731</v>
      </c>
      <c r="B1141" s="27" t="s">
        <v>1125</v>
      </c>
      <c r="C1141" s="27" t="s">
        <v>1133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1732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1733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1249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1734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1735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1145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/>
    </row>
    <row r="1149" spans="1:12">
      <c r="A1149" s="20" t="s">
        <v>1736</v>
      </c>
    </row>
    <row r="1150" spans="1:12">
      <c r="A1150" s="20" t="s">
        <v>1737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1738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1739</v>
      </c>
      <c r="B1152" s="27" t="s">
        <v>1149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1740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1101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1741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1742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1743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1184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1744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1128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1745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1123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1249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1715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1145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/>
    </row>
    <row r="1167" spans="1:12">
      <c r="A1167" s="20" t="s">
        <v>1746</v>
      </c>
    </row>
    <row r="1168" spans="1:12">
      <c r="A1168" s="20" t="s">
        <v>1747</v>
      </c>
      <c r="B1168" s="27" t="s">
        <v>1149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1101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1345</v>
      </c>
      <c r="B1170" s="27" t="s">
        <v>1107</v>
      </c>
      <c r="C1170" s="27" t="s">
        <v>1126</v>
      </c>
      <c r="D1170" s="27" t="s">
        <v>1105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1240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1748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1145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/>
    </row>
    <row r="1175" spans="1:12">
      <c r="A1175" s="20" t="s">
        <v>1749</v>
      </c>
    </row>
    <row r="1176" spans="1:12">
      <c r="A1176" s="20" t="s">
        <v>1750</v>
      </c>
      <c r="B1176" s="27" t="s">
        <v>1149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1751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1101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1621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1145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  <row r="1182" spans="1:12">
      <c r="A1182" s="20" t="s">
        <v>1752</v>
      </c>
    </row>
    <row r="1183" spans="1:12">
      <c r="A1183" s="20" t="s">
        <v>1406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1753</v>
      </c>
      <c r="B1184" s="27" t="s">
        <v>1149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1754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1113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1184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1622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1123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228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1453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1503</v>
      </c>
      <c r="B1192" s="27" t="s">
        <v>1259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1111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1755</v>
      </c>
      <c r="B1194" s="27" t="s">
        <v>1259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11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1756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1128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1757</v>
      </c>
      <c r="B1198" s="27" t="s">
        <v>1110</v>
      </c>
      <c r="C1198" s="27" t="s">
        <v>1758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1134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1759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1760</v>
      </c>
      <c r="B1201" s="27" t="s">
        <v>1259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1111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1761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1518</v>
      </c>
      <c r="B1204" s="27" t="s">
        <v>1115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1128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1762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1763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1764</v>
      </c>
      <c r="B1208" s="27" t="s">
        <v>1144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1145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1765</v>
      </c>
    </row>
    <row r="1212" spans="1:12">
      <c r="A1212" s="20" t="s">
        <v>1766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1767</v>
      </c>
      <c r="B1213" s="27" t="s">
        <v>1149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1768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1123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1769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1770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1206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1771</v>
      </c>
      <c r="B1219" s="27" t="s">
        <v>1243</v>
      </c>
      <c r="C1219" s="27" t="s">
        <v>1210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1123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1130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1772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1773</v>
      </c>
      <c r="B1223" s="27" t="s">
        <v>1107</v>
      </c>
      <c r="C1223" s="27" t="s">
        <v>1210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1774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1271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1418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1145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/>
    </row>
    <row r="1229" spans="1:12">
      <c r="A1229" s="20" t="s">
        <v>1775</v>
      </c>
    </row>
    <row r="1230" spans="1:12">
      <c r="A1230" s="20" t="s">
        <v>1776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1777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1778</v>
      </c>
      <c r="B1232" s="27" t="s">
        <v>1149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1628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1779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1318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1780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1781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1782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1454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1145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/>
    </row>
    <row r="1242" spans="1:12">
      <c r="A1242" s="20" t="s">
        <v>1783</v>
      </c>
    </row>
    <row r="1243" spans="1:12">
      <c r="A1243" s="20" t="s">
        <v>1784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1785</v>
      </c>
      <c r="B1244" s="27" t="s">
        <v>1149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1579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1786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1787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1184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1371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1788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1789</v>
      </c>
      <c r="B1251" s="27" t="s">
        <v>1103</v>
      </c>
      <c r="C1251" s="27" t="s">
        <v>1156</v>
      </c>
      <c r="D1251" s="27" t="s">
        <v>1105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1123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1391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1790</v>
      </c>
      <c r="B1254" s="27" t="s">
        <v>1110</v>
      </c>
      <c r="C1254" s="27" t="s">
        <v>1133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1791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1113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1658</v>
      </c>
      <c r="B1257" s="27" t="s">
        <v>1259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1792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1145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/>
    </row>
    <row r="1261" spans="1:12">
      <c r="A1261" s="20" t="s">
        <v>1793</v>
      </c>
    </row>
    <row r="1262" spans="1:12">
      <c r="A1262" s="20" t="s">
        <v>1350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1794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1795</v>
      </c>
      <c r="B1264" s="27" t="s">
        <v>1149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1796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1130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1797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1798</v>
      </c>
      <c r="B1268" s="27" t="s">
        <v>1103</v>
      </c>
      <c r="C1268" s="27" t="s">
        <v>1210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1726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1128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1634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1799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1184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1800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1801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1123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1128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1802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1803</v>
      </c>
      <c r="B1279" s="27" t="s">
        <v>1122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1130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1728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1804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1391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1183</v>
      </c>
      <c r="B1284" s="27" t="s">
        <v>1107</v>
      </c>
      <c r="C1284" s="27" t="s">
        <v>1126</v>
      </c>
      <c r="D1284" s="27" t="s">
        <v>1105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1123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1805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1806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1807</v>
      </c>
      <c r="B1288" s="27" t="s">
        <v>1243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1249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1808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1809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1810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1145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/>
    </row>
    <row r="1295" spans="1:12">
      <c r="A1295" s="20" t="s">
        <v>1811</v>
      </c>
    </row>
    <row r="1296" spans="1:12">
      <c r="A1296" s="20" t="s">
        <v>1225</v>
      </c>
      <c r="B1296" s="27" t="s">
        <v>1149</v>
      </c>
      <c r="C1296" s="27" t="s">
        <v>1108</v>
      </c>
      <c r="D1296" s="27" t="s">
        <v>1105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1812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1813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1814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1231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1815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1123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1201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1653</v>
      </c>
      <c r="B1304" s="27" t="s">
        <v>1110</v>
      </c>
      <c r="C1304" s="27" t="s">
        <v>1133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1217</v>
      </c>
      <c r="B1305" s="27" t="s">
        <v>1259</v>
      </c>
      <c r="C1305" s="27" t="s">
        <v>1126</v>
      </c>
      <c r="D1305" s="27" t="s">
        <v>1105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1522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1123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1128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1816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1817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1195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1818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1819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1820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1145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/>
    </row>
    <row r="1317" spans="1:12">
      <c r="A1317" s="20" t="s">
        <v>1821</v>
      </c>
    </row>
    <row r="1318" spans="1:12">
      <c r="A1318" s="20" t="s">
        <v>1111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1822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1124</v>
      </c>
      <c r="B1320" s="27" t="s">
        <v>1122</v>
      </c>
      <c r="C1320" s="27" t="s">
        <v>1126</v>
      </c>
      <c r="D1320" s="27" t="s">
        <v>1105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1134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1823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1824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1825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1826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1123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1827</v>
      </c>
      <c r="B1327" s="27" t="s">
        <v>1213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1828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1829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1123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1224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1824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1830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1826</v>
      </c>
      <c r="B1334" s="27" t="s">
        <v>1107</v>
      </c>
      <c r="C1334" s="27" t="s">
        <v>1210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1217</v>
      </c>
      <c r="B1335" s="27" t="s">
        <v>1122</v>
      </c>
      <c r="C1335" s="27" t="s">
        <v>1126</v>
      </c>
      <c r="D1335" s="27" t="s">
        <v>1105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1628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1134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1831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859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1832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1833</v>
      </c>
      <c r="B1341" s="27" t="s">
        <v>1115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1184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1371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1834</v>
      </c>
      <c r="B1344" s="27" t="s">
        <v>1110</v>
      </c>
      <c r="C1344" s="27" t="s">
        <v>1156</v>
      </c>
      <c r="D1344" s="27" t="s">
        <v>1105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1145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/>
    </row>
    <row r="1347" spans="1:12">
      <c r="A1347" s="20" t="s">
        <v>1835</v>
      </c>
    </row>
    <row r="1348" spans="1:12">
      <c r="A1348" s="20" t="s">
        <v>1111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1836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1837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1838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1123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1475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1839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1145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/>
    </row>
    <row r="1357" spans="1:12">
      <c r="A1357" s="20" t="s">
        <v>1840</v>
      </c>
    </row>
    <row r="1358" spans="1:12">
      <c r="A1358" s="20" t="s">
        <v>1111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1436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1123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1841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1123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1842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1128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1843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1145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1844</v>
      </c>
    </row>
    <row r="1369" spans="1:12">
      <c r="A1369" s="20" t="s">
        <v>1845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1846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1305</v>
      </c>
      <c r="B1371" s="27" t="s">
        <v>1110</v>
      </c>
      <c r="C1371" s="27" t="s">
        <v>1116</v>
      </c>
      <c r="D1371" s="27" t="s">
        <v>1105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1239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263</v>
      </c>
      <c r="B1373" s="27" t="s">
        <v>1122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1847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1249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1270</v>
      </c>
      <c r="B1376" s="27" t="s">
        <v>1107</v>
      </c>
      <c r="C1376" s="27" t="s">
        <v>1126</v>
      </c>
      <c r="D1376" s="27" t="s">
        <v>1105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1123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1217</v>
      </c>
      <c r="B1378" s="27" t="s">
        <v>1149</v>
      </c>
      <c r="C1378" s="27" t="s">
        <v>1126</v>
      </c>
      <c r="D1378" s="27" t="s">
        <v>1105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1848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1206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1745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1128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1745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1123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1849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1134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1261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1184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1850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1195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1726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1145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/>
    </row>
    <row r="1394" spans="1:12">
      <c r="A1394" s="20" t="s">
        <v>1851</v>
      </c>
    </row>
    <row r="1395" spans="1:12">
      <c r="A1395" s="20" t="s">
        <v>1547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1852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1853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1854</v>
      </c>
      <c r="B1398" s="27" t="s">
        <v>1149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1123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1855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1646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1856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1123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1857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1128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1470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1123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1858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1284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1859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1123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1860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1861</v>
      </c>
      <c r="B1413" s="27" t="s">
        <v>1243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1145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1862</v>
      </c>
    </row>
    <row r="1417" spans="1:12">
      <c r="A1417" s="20" t="s">
        <v>1111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1353</v>
      </c>
      <c r="B1418" s="27" t="s">
        <v>1149</v>
      </c>
      <c r="C1418" s="27" t="s">
        <v>1126</v>
      </c>
      <c r="D1418" s="27" t="s">
        <v>1105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1863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1864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1865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1123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1111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1425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1225</v>
      </c>
      <c r="B1425" s="27" t="s">
        <v>1122</v>
      </c>
      <c r="C1425" s="27" t="s">
        <v>1108</v>
      </c>
      <c r="D1425" s="27" t="s">
        <v>1105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1145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/>
    </row>
    <row r="1428" spans="1:12">
      <c r="A1428" s="20" t="s">
        <v>1866</v>
      </c>
    </row>
    <row r="1429" spans="1:12">
      <c r="A1429" s="20" t="s">
        <v>1111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1400</v>
      </c>
      <c r="B1430" s="27" t="s">
        <v>1149</v>
      </c>
      <c r="C1430" s="27" t="s">
        <v>1116</v>
      </c>
      <c r="D1430" s="27" t="s">
        <v>1105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1628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1867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1339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1186</v>
      </c>
      <c r="B1434" s="27" t="s">
        <v>1115</v>
      </c>
      <c r="C1434" s="27" t="s">
        <v>1126</v>
      </c>
      <c r="D1434" s="27" t="s">
        <v>1105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1868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1869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1698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1123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1699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1124</v>
      </c>
      <c r="B1440" s="27" t="s">
        <v>1870</v>
      </c>
      <c r="C1440" s="27" t="s">
        <v>1126</v>
      </c>
      <c r="D1440" s="27" t="s">
        <v>1105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1871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1139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1270</v>
      </c>
      <c r="B1443" s="27" t="s">
        <v>1141</v>
      </c>
      <c r="C1443" s="27" t="s">
        <v>1126</v>
      </c>
      <c r="D1443" s="27" t="s">
        <v>1105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1145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/>
    </row>
    <row r="1446" spans="1:12">
      <c r="A1446" s="20" t="s">
        <v>1872</v>
      </c>
    </row>
    <row r="1447" spans="1:12">
      <c r="A1447" s="20" t="s">
        <v>1873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1123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1874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135</v>
      </c>
      <c r="B1450" s="27" t="s">
        <v>1122</v>
      </c>
      <c r="C1450" s="27" t="s">
        <v>1133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1875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1123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1876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115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1145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1877</v>
      </c>
    </row>
    <row r="1458" spans="1:12">
      <c r="A1458" s="20" t="s">
        <v>1633</v>
      </c>
      <c r="B1458" s="27" t="s">
        <v>1149</v>
      </c>
      <c r="C1458" s="27" t="s">
        <v>1126</v>
      </c>
      <c r="D1458" s="27" t="s">
        <v>1105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1878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1249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1879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1128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1880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1881</v>
      </c>
      <c r="B1464" s="27" t="s">
        <v>1243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1271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1882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1145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/>
    </row>
    <row r="1469" spans="1:12">
      <c r="A1469" s="20" t="s">
        <v>1883</v>
      </c>
    </row>
    <row r="1470" spans="1:12">
      <c r="A1470" s="20" t="s">
        <v>1111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1884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1885</v>
      </c>
      <c r="B1472" s="27" t="s">
        <v>1213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1351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/>
    </row>
    <row r="1475" spans="1:12">
      <c r="A1475" s="20" t="s">
        <v>1886</v>
      </c>
    </row>
    <row r="1476" spans="1:12">
      <c r="A1476" s="20" t="s">
        <v>1887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1123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1888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1351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/>
    </row>
    <row r="1481" spans="1:12">
      <c r="A1481" s="20" t="s">
        <v>1889</v>
      </c>
    </row>
    <row r="1482" spans="1:12">
      <c r="A1482" s="20" t="s">
        <v>1277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1890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1891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1892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1893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1894</v>
      </c>
      <c r="B1487" s="27" t="s">
        <v>1149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1145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/>
    </row>
    <row r="1490" spans="1:12">
      <c r="A1490" s="20" t="s">
        <v>1895</v>
      </c>
    </row>
    <row r="1491" spans="1:12">
      <c r="A1491" s="20" t="s">
        <v>1896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1201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1897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1123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1217</v>
      </c>
      <c r="B1495" s="27" t="s">
        <v>1149</v>
      </c>
      <c r="C1495" s="27" t="s">
        <v>1126</v>
      </c>
      <c r="D1495" s="27" t="s">
        <v>1105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1898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1899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1184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1900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1271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1242</v>
      </c>
      <c r="B1501" s="27" t="s">
        <v>1110</v>
      </c>
      <c r="C1501" s="27" t="s">
        <v>1126</v>
      </c>
      <c r="D1501" s="27" t="s">
        <v>1105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1901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1902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1668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1145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/>
    </row>
    <row r="1507" spans="1:12">
      <c r="A1507" s="20" t="s">
        <v>1903</v>
      </c>
    </row>
    <row r="1508" spans="1:12">
      <c r="A1508" s="20" t="s">
        <v>1568</v>
      </c>
      <c r="B1508" s="27" t="s">
        <v>1149</v>
      </c>
      <c r="C1508" s="27" t="s">
        <v>1210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1206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1569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1123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1128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396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1101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1904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1123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1654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1905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1721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1906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1907</v>
      </c>
      <c r="B1521" s="27" t="s">
        <v>1144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1123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1908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1909</v>
      </c>
      <c r="B1524" s="27" t="s">
        <v>1122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1123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1910</v>
      </c>
      <c r="B1526" s="27" t="s">
        <v>1144</v>
      </c>
      <c r="C1526" s="27" t="s">
        <v>1133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1217</v>
      </c>
      <c r="B1527" s="27" t="s">
        <v>1125</v>
      </c>
      <c r="C1527" s="27" t="s">
        <v>1126</v>
      </c>
      <c r="D1527" s="27" t="s">
        <v>1105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1911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1145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/>
    </row>
    <row r="1531" spans="1:12">
      <c r="A1531" s="20" t="s">
        <v>1912</v>
      </c>
    </row>
    <row r="1532" spans="1:12">
      <c r="A1532" s="20" t="s">
        <v>1913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1391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1906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1705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1914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1704</v>
      </c>
      <c r="B1537" s="27" t="s">
        <v>1243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1123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1124</v>
      </c>
      <c r="B1539" s="27" t="s">
        <v>1149</v>
      </c>
      <c r="C1539" s="27" t="s">
        <v>1126</v>
      </c>
      <c r="D1539" s="27" t="s">
        <v>1105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1130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1915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1916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1253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1255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1145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/>
    </row>
    <row r="1547" spans="1:12">
      <c r="A1547" s="20" t="s">
        <v>1917</v>
      </c>
    </row>
    <row r="1548" spans="1:12">
      <c r="A1548" s="20" t="s">
        <v>1918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1919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1920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1253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1415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1123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1595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1596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1270</v>
      </c>
      <c r="B1556" s="27" t="s">
        <v>1107</v>
      </c>
      <c r="C1556" s="27" t="s">
        <v>1126</v>
      </c>
      <c r="D1556" s="27" t="s">
        <v>1105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1128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1921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925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1922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1253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1923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1924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1123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1925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1926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1201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1897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1145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  <row r="1571" spans="1:12">
      <c r="A1571" s="20" t="s">
        <v>1927</v>
      </c>
    </row>
    <row r="1572" spans="1:12">
      <c r="A1572" s="20" t="s">
        <v>1928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1929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1124</v>
      </c>
      <c r="B1574" s="27" t="s">
        <v>1149</v>
      </c>
      <c r="C1574" s="27" t="s">
        <v>1126</v>
      </c>
      <c r="D1574" s="27" t="s">
        <v>1105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1121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1128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1930</v>
      </c>
      <c r="B1577" s="27" t="s">
        <v>1103</v>
      </c>
      <c r="C1577" s="27" t="s">
        <v>1156</v>
      </c>
      <c r="D1577" s="27" t="s">
        <v>1105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1931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1824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1932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1123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1933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1934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1935</v>
      </c>
      <c r="B1584" s="27" t="s">
        <v>1107</v>
      </c>
      <c r="C1584" s="27" t="s">
        <v>1133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1145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/>
    </row>
    <row r="1587" spans="1:12">
      <c r="A1587" s="20" t="s">
        <v>1936</v>
      </c>
    </row>
    <row r="1588" spans="1:12">
      <c r="A1588" s="20" t="s">
        <v>1111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392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1351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1111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1937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1225</v>
      </c>
      <c r="B1593" s="27" t="s">
        <v>1122</v>
      </c>
      <c r="C1593" s="27" t="s">
        <v>1108</v>
      </c>
      <c r="D1593" s="27" t="s">
        <v>1105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1128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1938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1939</v>
      </c>
      <c r="B1596" s="27" t="s">
        <v>1115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1123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1111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1671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1351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/>
    </row>
    <row r="1602" spans="1:12">
      <c r="A1602" s="20" t="s">
        <v>1940</v>
      </c>
    </row>
    <row r="1603" spans="1:12">
      <c r="A1603" s="20" t="s">
        <v>1350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1617</v>
      </c>
      <c r="B1604" s="27" t="s">
        <v>1149</v>
      </c>
      <c r="C1604" s="27" t="s">
        <v>1126</v>
      </c>
      <c r="D1604" s="27" t="s">
        <v>1105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1351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/>
    </row>
    <row r="1607" spans="1:12">
      <c r="A1607" s="20" t="s">
        <v>1941</v>
      </c>
    </row>
    <row r="1608" spans="1:12">
      <c r="A1608" s="20" t="s">
        <v>1277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1942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1943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1944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1271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1242</v>
      </c>
      <c r="B1613" s="27" t="s">
        <v>1132</v>
      </c>
      <c r="C1613" s="27" t="s">
        <v>1126</v>
      </c>
      <c r="D1613" s="27" t="s">
        <v>1105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1904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1945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1946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1123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1947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1948</v>
      </c>
      <c r="B1619" s="27" t="s">
        <v>1149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1145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/>
    </row>
    <row r="1622" spans="1:12">
      <c r="A1622" s="20" t="s">
        <v>1949</v>
      </c>
    </row>
    <row r="1623" spans="1:12">
      <c r="A1623" s="20" t="s">
        <v>1766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1785</v>
      </c>
      <c r="B1624" s="27" t="s">
        <v>1149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1309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1195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1270</v>
      </c>
      <c r="B1627" s="27" t="s">
        <v>1103</v>
      </c>
      <c r="C1627" s="27" t="s">
        <v>1126</v>
      </c>
      <c r="D1627" s="27" t="s">
        <v>1105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1628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1950</v>
      </c>
      <c r="B1629" s="27" t="s">
        <v>1103</v>
      </c>
      <c r="C1629" s="27" t="s">
        <v>1104</v>
      </c>
      <c r="D1629" s="27" t="s">
        <v>1105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1184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1951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1123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1128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1217</v>
      </c>
      <c r="B1634" s="27" t="s">
        <v>1122</v>
      </c>
      <c r="C1634" s="27" t="s">
        <v>1126</v>
      </c>
      <c r="D1634" s="27" t="s">
        <v>1105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1952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1953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1184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1196</v>
      </c>
      <c r="B1638" s="27" t="s">
        <v>1107</v>
      </c>
      <c r="C1638" s="27" t="s">
        <v>1126</v>
      </c>
      <c r="D1638" s="27" t="s">
        <v>1105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1954</v>
      </c>
      <c r="B1639" s="27" t="s">
        <v>1243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1123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1134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1955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1123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1956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1957</v>
      </c>
      <c r="B1645" s="27" t="s">
        <v>1125</v>
      </c>
      <c r="C1645" s="27" t="s">
        <v>1289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1823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1958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1145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/>
    </row>
    <row r="1650" spans="1:12">
      <c r="A1650" s="20" t="s">
        <v>1959</v>
      </c>
    </row>
    <row r="1651" spans="1:12">
      <c r="A1651" s="20" t="s">
        <v>1960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1961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1130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1962</v>
      </c>
      <c r="B1654" s="27" t="s">
        <v>1110</v>
      </c>
      <c r="C1654" s="27" t="s">
        <v>1108</v>
      </c>
      <c r="D1654" s="27" t="s">
        <v>1105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1123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1228</v>
      </c>
      <c r="B1656" s="27" t="s">
        <v>1149</v>
      </c>
      <c r="C1656" s="27" t="s">
        <v>1126</v>
      </c>
      <c r="D1656" s="27" t="s">
        <v>1105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1963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1964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1166</v>
      </c>
      <c r="B1659" s="27" t="s">
        <v>1213</v>
      </c>
      <c r="C1659" s="27" t="s">
        <v>1126</v>
      </c>
      <c r="D1659" s="27" t="s">
        <v>1105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1184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1241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1111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1965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1123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1966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1123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1130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1967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1968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1969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1970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1971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1145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/>
    </row>
    <row r="1675" spans="1:12">
      <c r="A1675" s="20" t="s">
        <v>1972</v>
      </c>
    </row>
    <row r="1676" spans="1:12">
      <c r="A1676" s="20" t="s">
        <v>1973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1240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1974</v>
      </c>
      <c r="B1678" s="27" t="s">
        <v>1149</v>
      </c>
      <c r="C1678" s="27" t="s">
        <v>1126</v>
      </c>
      <c r="D1678" s="27" t="s">
        <v>1105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1975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1339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1954</v>
      </c>
      <c r="B1681" s="27" t="s">
        <v>1122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1921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1976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1128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1977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1123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1978</v>
      </c>
      <c r="B1687" s="27" t="s">
        <v>1259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1979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1195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1980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1145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1981</v>
      </c>
    </row>
    <row r="1694" spans="1:12">
      <c r="A1694" s="20" t="s">
        <v>1277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1664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1616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1982</v>
      </c>
      <c r="B1697" s="27" t="s">
        <v>1103</v>
      </c>
      <c r="C1697" s="27" t="s">
        <v>1156</v>
      </c>
      <c r="D1697" s="27" t="s">
        <v>1105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727</v>
      </c>
      <c r="B1698" s="27" t="s">
        <v>1149</v>
      </c>
      <c r="C1698" s="27" t="s">
        <v>1108</v>
      </c>
      <c r="D1698" s="27" t="s">
        <v>1105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1983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1195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1984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1128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1985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1986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1249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1987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1145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/>
    </row>
    <row r="1709" spans="1:12">
      <c r="A1709" s="20" t="s">
        <v>1988</v>
      </c>
    </row>
    <row r="1710" spans="1:12">
      <c r="A1710" s="20" t="s">
        <v>1191</v>
      </c>
      <c r="B1710" s="27" t="s">
        <v>1149</v>
      </c>
      <c r="C1710" s="27" t="s">
        <v>1126</v>
      </c>
      <c r="D1710" s="27" t="s">
        <v>1105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1989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1128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1123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1770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1990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1180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1991</v>
      </c>
      <c r="B1717" s="27" t="s">
        <v>1132</v>
      </c>
      <c r="C1717" s="27" t="s">
        <v>1156</v>
      </c>
      <c r="D1717" s="27" t="s">
        <v>1105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1123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1992</v>
      </c>
      <c r="B1719" s="27" t="s">
        <v>1993</v>
      </c>
      <c r="C1719" s="27" t="s">
        <v>1133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1994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1995</v>
      </c>
      <c r="B1721" s="27" t="s">
        <v>1495</v>
      </c>
      <c r="C1721" s="27" t="s">
        <v>1142</v>
      </c>
      <c r="D1721" s="27" t="s">
        <v>1105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1996</v>
      </c>
      <c r="B1722" s="27" t="s">
        <v>1162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1123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1997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1998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1999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1271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2000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1145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/>
    </row>
    <row r="1731" spans="1:12">
      <c r="A1731" s="20" t="s">
        <v>2001</v>
      </c>
    </row>
    <row r="1732" spans="1:12">
      <c r="A1732" s="20" t="s">
        <v>1436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1351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/>
    </row>
    <row r="1735" spans="1:12">
      <c r="A1735" s="20" t="s">
        <v>2002</v>
      </c>
    </row>
    <row r="1736" spans="1:12">
      <c r="A1736" s="20" t="s">
        <v>1400</v>
      </c>
      <c r="B1736" s="27" t="s">
        <v>1149</v>
      </c>
      <c r="C1736" s="27" t="s">
        <v>1116</v>
      </c>
      <c r="D1736" s="27" t="s">
        <v>1105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1309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763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1123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2003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1123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2004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1239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2005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1145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2006</v>
      </c>
    </row>
    <row r="1748" spans="1:12">
      <c r="A1748" s="20" t="s">
        <v>1547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2007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2008</v>
      </c>
      <c r="B1750" s="27" t="s">
        <v>1122</v>
      </c>
      <c r="C1750" s="27" t="s">
        <v>1116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2009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2010</v>
      </c>
      <c r="B1752" s="27" t="s">
        <v>1149</v>
      </c>
      <c r="C1752" s="27" t="s">
        <v>1758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1101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1270</v>
      </c>
      <c r="B1754" s="27" t="s">
        <v>1107</v>
      </c>
      <c r="C1754" s="27" t="s">
        <v>1126</v>
      </c>
      <c r="D1754" s="27" t="s">
        <v>1105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1123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2011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1123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1134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2012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1145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/>
    </row>
    <row r="1762" spans="1:12">
      <c r="A1762" s="20" t="s">
        <v>2013</v>
      </c>
    </row>
    <row r="1763" spans="1:12">
      <c r="A1763" s="20" t="s">
        <v>2014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1494</v>
      </c>
      <c r="B1764" s="27" t="s">
        <v>1107</v>
      </c>
      <c r="C1764" s="27" t="s">
        <v>1142</v>
      </c>
      <c r="D1764" s="27" t="s">
        <v>1105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2015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2016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2017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2018</v>
      </c>
      <c r="B1768" s="27" t="s">
        <v>1149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1123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2019</v>
      </c>
      <c r="B1770" s="27" t="s">
        <v>1122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2020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2021</v>
      </c>
      <c r="B1772" s="27" t="s">
        <v>1243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1123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1253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2022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1128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2023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2024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2025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2026</v>
      </c>
      <c r="B1780" s="27" t="s">
        <v>1125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1145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/>
    </row>
    <row r="1783" spans="1:12">
      <c r="A1783" s="20" t="s">
        <v>2027</v>
      </c>
    </row>
    <row r="1784" spans="1:12">
      <c r="A1784" s="20" t="s">
        <v>2028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1184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2029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2030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2031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1134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2032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1173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2033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2034</v>
      </c>
      <c r="B1793" s="27" t="s">
        <v>1243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2035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2036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1123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2035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2037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1123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1699</v>
      </c>
      <c r="B1800" s="27" t="s">
        <v>1495</v>
      </c>
      <c r="C1800" s="27" t="s">
        <v>1758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1114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2038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2039</v>
      </c>
      <c r="B1803" s="27" t="s">
        <v>1307</v>
      </c>
      <c r="C1803" s="27" t="s">
        <v>1156</v>
      </c>
      <c r="D1803" s="27" t="s">
        <v>1105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1123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2040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1249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1270</v>
      </c>
      <c r="B1807" s="27" t="s">
        <v>2041</v>
      </c>
      <c r="C1807" s="27" t="s">
        <v>1126</v>
      </c>
      <c r="D1807" s="27" t="s">
        <v>1105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1101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1904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1145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/>
    </row>
    <row r="1812" spans="1:12">
      <c r="A1812" s="20" t="s">
        <v>2042</v>
      </c>
    </row>
    <row r="1813" spans="1:12">
      <c r="A1813" s="20" t="s">
        <v>2043</v>
      </c>
      <c r="B1813" s="27" t="s">
        <v>1149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2044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1253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1415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2045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2046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1123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2047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1271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2048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1403</v>
      </c>
      <c r="B1823" s="27" t="s">
        <v>1132</v>
      </c>
      <c r="C1823" s="27" t="s">
        <v>1142</v>
      </c>
      <c r="D1823" s="27" t="s">
        <v>1105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1513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1145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/>
    </row>
    <row r="1827" spans="1:12">
      <c r="A1827" s="20" t="s">
        <v>2049</v>
      </c>
    </row>
    <row r="1828" spans="1:12">
      <c r="A1828" s="20" t="s">
        <v>1353</v>
      </c>
      <c r="B1828" s="27" t="s">
        <v>1149</v>
      </c>
      <c r="C1828" s="27" t="s">
        <v>1126</v>
      </c>
      <c r="D1828" s="27" t="s">
        <v>1105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2050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2051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2052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1305</v>
      </c>
      <c r="B1832" s="27" t="s">
        <v>1103</v>
      </c>
      <c r="C1832" s="27" t="s">
        <v>1116</v>
      </c>
      <c r="D1832" s="27" t="s">
        <v>1105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1123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1239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1974</v>
      </c>
      <c r="B1835" s="27" t="s">
        <v>1259</v>
      </c>
      <c r="C1835" s="27" t="s">
        <v>1126</v>
      </c>
      <c r="D1835" s="27" t="s">
        <v>1105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2053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1596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1145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/>
    </row>
    <row r="1840" spans="1:12">
      <c r="A1840" s="20" t="s">
        <v>2054</v>
      </c>
    </row>
    <row r="1841" spans="1:12">
      <c r="A1841" s="20" t="s">
        <v>1615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1128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1228</v>
      </c>
      <c r="B1843" s="27" t="s">
        <v>1149</v>
      </c>
      <c r="C1843" s="27" t="s">
        <v>1126</v>
      </c>
      <c r="D1843" s="27" t="s">
        <v>1105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1128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1225</v>
      </c>
      <c r="B1845" s="27" t="s">
        <v>1107</v>
      </c>
      <c r="C1845" s="27" t="s">
        <v>1108</v>
      </c>
      <c r="D1845" s="27" t="s">
        <v>1105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2055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2056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1123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1128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2057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2058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1201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2059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2060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2061</v>
      </c>
      <c r="B1855" s="27" t="s">
        <v>1110</v>
      </c>
      <c r="C1855" s="27" t="s">
        <v>1156</v>
      </c>
      <c r="D1855" s="27" t="s">
        <v>1105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2062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1270</v>
      </c>
      <c r="B1857" s="27" t="s">
        <v>1115</v>
      </c>
      <c r="C1857" s="27" t="s">
        <v>1126</v>
      </c>
      <c r="D1857" s="27" t="s">
        <v>1105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1123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135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1253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2063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1846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2064</v>
      </c>
      <c r="B1863" s="27" t="s">
        <v>1125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1101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2065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2066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1184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1402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1145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/>
    </row>
    <row r="1871" spans="1:12">
      <c r="A1871" s="20" t="s">
        <v>2067</v>
      </c>
    </row>
    <row r="1872" spans="1:12">
      <c r="A1872" s="20" t="s">
        <v>1547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763</v>
      </c>
      <c r="B1873" s="27" t="s">
        <v>1149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1134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2068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1128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2069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2070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2071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1145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/>
    </row>
    <row r="1882" spans="1:12">
      <c r="A1882" s="20" t="s">
        <v>2072</v>
      </c>
    </row>
    <row r="1883" spans="1:12">
      <c r="A1883" s="20" t="s">
        <v>1353</v>
      </c>
      <c r="B1883" s="27" t="s">
        <v>1149</v>
      </c>
      <c r="C1883" s="27" t="s">
        <v>1126</v>
      </c>
      <c r="D1883" s="27" t="s">
        <v>1105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2073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1123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1239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1505</v>
      </c>
      <c r="B1887" s="27" t="s">
        <v>1122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1506</v>
      </c>
      <c r="B1888" s="27" t="s">
        <v>1110</v>
      </c>
      <c r="C1888" s="27" t="s">
        <v>1108</v>
      </c>
      <c r="D1888" s="27" t="s">
        <v>1105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2074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1123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2075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1532</v>
      </c>
      <c r="B1893" s="27" t="s">
        <v>1259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1968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1970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2076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1123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2077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1184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2078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2079</v>
      </c>
      <c r="B1901" s="27" t="s">
        <v>1115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1128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2080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1184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1371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2081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2082</v>
      </c>
      <c r="B1907" s="27" t="s">
        <v>1110</v>
      </c>
      <c r="C1907" s="27" t="s">
        <v>1156</v>
      </c>
      <c r="D1907" s="27" t="s">
        <v>1105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1123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1134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2083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2084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1130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2085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1123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1992</v>
      </c>
      <c r="B1915" s="27" t="s">
        <v>1993</v>
      </c>
      <c r="C1915" s="27" t="s">
        <v>1133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2086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1186</v>
      </c>
      <c r="B1917" s="27" t="s">
        <v>1162</v>
      </c>
      <c r="C1917" s="27" t="s">
        <v>1126</v>
      </c>
      <c r="D1917" s="27" t="s">
        <v>1105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1145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/>
    </row>
    <row r="1920" spans="1:12">
      <c r="A1920" s="20" t="s">
        <v>2087</v>
      </c>
    </row>
    <row r="1921" spans="1:12">
      <c r="A1921" s="20" t="s">
        <v>1547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2088</v>
      </c>
      <c r="B1922" s="27" t="s">
        <v>1149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2089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1195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2090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2008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2091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1206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2092</v>
      </c>
      <c r="B1929" s="27" t="s">
        <v>1107</v>
      </c>
      <c r="C1929" s="27" t="s">
        <v>1142</v>
      </c>
      <c r="D1929" s="27" t="s">
        <v>1105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2093</v>
      </c>
      <c r="B1930" s="27" t="s">
        <v>1213</v>
      </c>
      <c r="C1930" s="27" t="s">
        <v>1210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1145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/>
    </row>
    <row r="1933" spans="1:12">
      <c r="A1933" s="20" t="s">
        <v>2094</v>
      </c>
    </row>
    <row r="1934" spans="1:12">
      <c r="A1934" s="20" t="s">
        <v>2095</v>
      </c>
      <c r="B1934" s="27" t="s">
        <v>1149</v>
      </c>
      <c r="C1934" s="27" t="s">
        <v>1133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2096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1123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1909</v>
      </c>
      <c r="B1937" s="27" t="s">
        <v>1122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1128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2097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1123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1128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1112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1617</v>
      </c>
      <c r="B1943" s="27" t="s">
        <v>1259</v>
      </c>
      <c r="C1943" s="27" t="s">
        <v>1126</v>
      </c>
      <c r="D1943" s="27" t="s">
        <v>1105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2098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1123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1342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1123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1494</v>
      </c>
      <c r="B1948" s="27" t="s">
        <v>1115</v>
      </c>
      <c r="C1948" s="27" t="s">
        <v>1126</v>
      </c>
      <c r="D1948" s="27" t="s">
        <v>1105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1117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1128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2099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1145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/>
    </row>
    <row r="1954" spans="1:12">
      <c r="A1954" s="20" t="s">
        <v>2100</v>
      </c>
    </row>
    <row r="1955" spans="1:12">
      <c r="A1955" s="20" t="s">
        <v>2101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1123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1239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2102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1184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1664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2103</v>
      </c>
      <c r="B1961" s="27" t="s">
        <v>1103</v>
      </c>
      <c r="C1961" s="27" t="s">
        <v>1156</v>
      </c>
      <c r="D1961" s="27" t="s">
        <v>1105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1225</v>
      </c>
      <c r="B1962" s="27" t="s">
        <v>1149</v>
      </c>
      <c r="C1962" s="27" t="s">
        <v>1108</v>
      </c>
      <c r="D1962" s="27" t="s">
        <v>1105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1351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/>
    </row>
    <row r="1965" spans="1:12">
      <c r="A1965" s="20" t="s">
        <v>2104</v>
      </c>
    </row>
    <row r="1966" spans="1:12">
      <c r="A1966" s="20" t="s">
        <v>1191</v>
      </c>
      <c r="B1966" s="27" t="s">
        <v>1149</v>
      </c>
      <c r="C1966" s="27" t="s">
        <v>1126</v>
      </c>
      <c r="D1966" s="27" t="s">
        <v>1105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2105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2106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2107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2108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1123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1197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1124</v>
      </c>
      <c r="B1973" s="27" t="s">
        <v>1122</v>
      </c>
      <c r="C1973" s="27" t="s">
        <v>1126</v>
      </c>
      <c r="D1973" s="27" t="s">
        <v>1105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2109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1469</v>
      </c>
      <c r="B1975" s="27" t="s">
        <v>1243</v>
      </c>
      <c r="C1975" s="27" t="s">
        <v>1126</v>
      </c>
      <c r="D1975" s="27" t="s">
        <v>1105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1249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2110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1616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2111</v>
      </c>
      <c r="B1979" s="27" t="s">
        <v>1107</v>
      </c>
      <c r="C1979" s="27" t="s">
        <v>1116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1123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1249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1956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1228</v>
      </c>
      <c r="B1983" s="27" t="s">
        <v>1259</v>
      </c>
      <c r="C1983" s="27" t="s">
        <v>1126</v>
      </c>
      <c r="D1983" s="27" t="s">
        <v>1105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1192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2109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2112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2113</v>
      </c>
      <c r="B1987" s="27" t="s">
        <v>1115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1145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/>
    </row>
    <row r="1990" spans="1:12">
      <c r="A1990" s="20" t="s">
        <v>2114</v>
      </c>
    </row>
    <row r="1991" spans="1:12">
      <c r="A1991" s="20" t="s">
        <v>1353</v>
      </c>
      <c r="B1991" s="27" t="s">
        <v>1149</v>
      </c>
      <c r="C1991" s="27" t="s">
        <v>1126</v>
      </c>
      <c r="D1991" s="27" t="s">
        <v>1105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2115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1253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1415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1128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2116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2117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2118</v>
      </c>
      <c r="B1998" s="27" t="s">
        <v>1122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2119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1506</v>
      </c>
      <c r="B2000" s="27" t="s">
        <v>1132</v>
      </c>
      <c r="C2000" s="27" t="s">
        <v>1108</v>
      </c>
      <c r="D2000" s="27" t="s">
        <v>1105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1128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2120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2061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2008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1145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/>
    </row>
    <row r="2007" spans="1:12">
      <c r="A2007" s="20" t="s">
        <v>2121</v>
      </c>
    </row>
    <row r="2008" spans="1:12">
      <c r="A2008" s="20" t="s">
        <v>1191</v>
      </c>
      <c r="B2008" s="27" t="s">
        <v>1149</v>
      </c>
      <c r="C2008" s="27" t="s">
        <v>1126</v>
      </c>
      <c r="D2008" s="27" t="s">
        <v>1105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2122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1184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1664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2123</v>
      </c>
      <c r="B2012" s="27" t="s">
        <v>1103</v>
      </c>
      <c r="C2012" s="27" t="s">
        <v>1156</v>
      </c>
      <c r="D2012" s="27" t="s">
        <v>1105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1123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1293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1617</v>
      </c>
      <c r="B2015" s="27" t="s">
        <v>1259</v>
      </c>
      <c r="C2015" s="27" t="s">
        <v>1126</v>
      </c>
      <c r="D2015" s="27" t="s">
        <v>1105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2124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1249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2125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2126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1123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2127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1494</v>
      </c>
      <c r="B2022" s="27" t="s">
        <v>1144</v>
      </c>
      <c r="C2022" s="27" t="s">
        <v>1126</v>
      </c>
      <c r="D2022" s="27" t="s">
        <v>1105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1249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1987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1128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1628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2128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2129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1201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2130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1145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/>
    </row>
    <row r="2033" spans="1:12">
      <c r="A2033" s="20" t="s">
        <v>2131</v>
      </c>
    </row>
    <row r="2034" spans="1:12">
      <c r="A2034" s="20" t="s">
        <v>1547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1225</v>
      </c>
      <c r="B2035" s="27" t="s">
        <v>1149</v>
      </c>
      <c r="C2035" s="27" t="s">
        <v>1108</v>
      </c>
      <c r="D2035" s="27" t="s">
        <v>1105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2132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2133</v>
      </c>
      <c r="B2037" s="27" t="s">
        <v>1213</v>
      </c>
      <c r="C2037" s="27" t="s">
        <v>1126</v>
      </c>
      <c r="D2037" s="27" t="s">
        <v>1105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1184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2134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2135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1201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2136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2137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2065</v>
      </c>
      <c r="B2044" s="27" t="s">
        <v>1107</v>
      </c>
      <c r="C2044" s="27" t="s">
        <v>1210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1145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/>
    </row>
    <row r="2047" spans="1:12">
      <c r="A2047" s="20" t="s">
        <v>2138</v>
      </c>
    </row>
    <row r="2048" spans="1:12">
      <c r="A2048" s="20" t="s">
        <v>2139</v>
      </c>
      <c r="B2048" s="27" t="s">
        <v>1149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2140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1184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1221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1347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1123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1812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2141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2142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1123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2143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1249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2144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1128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1123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2145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2146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2147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2148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2149</v>
      </c>
      <c r="B2067" s="27" t="s">
        <v>1141</v>
      </c>
      <c r="C2067" s="27" t="s">
        <v>1210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1123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2150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1145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/>
    </row>
    <row r="2072" spans="1:12">
      <c r="A2072" s="20" t="s">
        <v>2151</v>
      </c>
    </row>
    <row r="2073" spans="1:12">
      <c r="A2073" s="20" t="s">
        <v>1191</v>
      </c>
      <c r="B2073" s="27" t="s">
        <v>1149</v>
      </c>
      <c r="C2073" s="27" t="s">
        <v>1126</v>
      </c>
      <c r="D2073" s="27" t="s">
        <v>1105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2152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1391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2153</v>
      </c>
      <c r="B2076" s="27" t="s">
        <v>1103</v>
      </c>
      <c r="C2076" s="27" t="s">
        <v>1126</v>
      </c>
      <c r="D2076" s="27" t="s">
        <v>1105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1123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2154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1195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2155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1123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1128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2156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2157</v>
      </c>
      <c r="B2084" s="27" t="s">
        <v>1243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2158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1271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1371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2159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2160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2022</v>
      </c>
      <c r="B2090" s="27" t="s">
        <v>1144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1123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1197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2161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1198</v>
      </c>
      <c r="B2094" s="27" t="s">
        <v>2162</v>
      </c>
      <c r="C2094" s="27" t="s">
        <v>1126</v>
      </c>
      <c r="D2094" s="27" t="s">
        <v>1105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1134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1199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1111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2163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763</v>
      </c>
      <c r="B2099" s="27" t="s">
        <v>1993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1309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2164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1145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/>
    </row>
    <row r="2104" spans="1:12">
      <c r="A2104" s="20" t="s">
        <v>2165</v>
      </c>
    </row>
    <row r="2105" spans="1:12">
      <c r="A2105" s="20" t="s">
        <v>2166</v>
      </c>
      <c r="B2105" s="27" t="s">
        <v>1149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1506</v>
      </c>
      <c r="B2106" s="27" t="s">
        <v>1107</v>
      </c>
      <c r="C2106" s="27" t="s">
        <v>1108</v>
      </c>
      <c r="D2106" s="27" t="s">
        <v>1105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2167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1169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2168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1475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1123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228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1617</v>
      </c>
      <c r="B2113" s="27" t="s">
        <v>1259</v>
      </c>
      <c r="C2113" s="27" t="s">
        <v>1126</v>
      </c>
      <c r="D2113" s="27" t="s">
        <v>1105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2169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1186</v>
      </c>
      <c r="B2115" s="27" t="s">
        <v>1115</v>
      </c>
      <c r="C2115" s="27" t="s">
        <v>1126</v>
      </c>
      <c r="D2115" s="27" t="s">
        <v>1105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1145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/>
    </row>
    <row r="2118" spans="1:12">
      <c r="A2118" s="20" t="s">
        <v>2170</v>
      </c>
    </row>
    <row r="2119" spans="1:12">
      <c r="A2119" s="20" t="s">
        <v>1353</v>
      </c>
      <c r="B2119" s="27" t="s">
        <v>1149</v>
      </c>
      <c r="C2119" s="27" t="s">
        <v>1126</v>
      </c>
      <c r="D2119" s="27" t="s">
        <v>1105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2171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1130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1421</v>
      </c>
      <c r="B2122" s="27" t="s">
        <v>1103</v>
      </c>
      <c r="C2122" s="27" t="s">
        <v>1126</v>
      </c>
      <c r="D2122" s="27" t="s">
        <v>1105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2172</v>
      </c>
      <c r="B2123" s="27" t="s">
        <v>1213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1123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1128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1225</v>
      </c>
      <c r="B2126" s="27" t="s">
        <v>1122</v>
      </c>
      <c r="C2126" s="27" t="s">
        <v>1108</v>
      </c>
      <c r="D2126" s="27" t="s">
        <v>1105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2173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2174</v>
      </c>
      <c r="B2128" s="27" t="s">
        <v>1243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1123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2175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1123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135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1124</v>
      </c>
      <c r="B2133" s="27" t="s">
        <v>1125</v>
      </c>
      <c r="C2133" s="27" t="s">
        <v>1126</v>
      </c>
      <c r="D2133" s="27" t="s">
        <v>1105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1134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2176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1128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135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2177</v>
      </c>
      <c r="B2138" s="27" t="s">
        <v>1307</v>
      </c>
      <c r="C2138" s="27" t="s">
        <v>1142</v>
      </c>
      <c r="D2138" s="27" t="s">
        <v>1105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2178</v>
      </c>
      <c r="B2139" s="27" t="s">
        <v>1870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2179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2180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1145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/>
    </row>
    <row r="2144" spans="1:12">
      <c r="A2144" s="20" t="s">
        <v>2181</v>
      </c>
    </row>
    <row r="2145" spans="1:12">
      <c r="A2145" s="20" t="s">
        <v>1368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1564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2182</v>
      </c>
      <c r="B2147" s="27" t="s">
        <v>1149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1318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2119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1506</v>
      </c>
      <c r="B2150" s="27" t="s">
        <v>1110</v>
      </c>
      <c r="C2150" s="27" t="s">
        <v>1108</v>
      </c>
      <c r="D2150" s="27" t="s">
        <v>1105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2183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1128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1124</v>
      </c>
      <c r="B2153" s="27" t="s">
        <v>1122</v>
      </c>
      <c r="C2153" s="27" t="s">
        <v>1126</v>
      </c>
      <c r="D2153" s="27" t="s">
        <v>1105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2184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2185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1145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2186</v>
      </c>
    </row>
    <row r="2159" spans="1:12">
      <c r="A2159" s="20" t="s">
        <v>727</v>
      </c>
      <c r="B2159" s="27" t="s">
        <v>1149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2187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1166</v>
      </c>
      <c r="B2161" s="27" t="s">
        <v>1213</v>
      </c>
      <c r="C2161" s="27" t="s">
        <v>1126</v>
      </c>
      <c r="D2161" s="27" t="s">
        <v>1105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2188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2142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2189</v>
      </c>
      <c r="B2164" s="27" t="s">
        <v>1213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2190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1130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2191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1123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1128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1824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1982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1249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1270</v>
      </c>
      <c r="B2173" s="27" t="s">
        <v>1107</v>
      </c>
      <c r="C2173" s="27" t="s">
        <v>1126</v>
      </c>
      <c r="D2173" s="27" t="s">
        <v>1105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2192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2193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2194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2019</v>
      </c>
      <c r="B2177" s="27" t="s">
        <v>1107</v>
      </c>
      <c r="C2177" s="27" t="s">
        <v>1210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1145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/>
    </row>
    <row r="2180" spans="1:12">
      <c r="A2180" s="20" t="s">
        <v>2195</v>
      </c>
    </row>
    <row r="2181" spans="1:12">
      <c r="A2181" s="20" t="s">
        <v>1111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2101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2196</v>
      </c>
      <c r="B2183" s="27" t="s">
        <v>1107</v>
      </c>
      <c r="C2183" s="27" t="s">
        <v>1142</v>
      </c>
      <c r="D2183" s="27" t="s">
        <v>1105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1351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1111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2197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1530</v>
      </c>
      <c r="B2187" s="27" t="s">
        <v>1149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1145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/>
    </row>
    <row r="2190" spans="1:12">
      <c r="A2190" s="20" t="s">
        <v>2198</v>
      </c>
    </row>
    <row r="2191" spans="1:12">
      <c r="A2191" s="20" t="s">
        <v>1111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2199</v>
      </c>
      <c r="B2192" s="27" t="s">
        <v>1149</v>
      </c>
      <c r="C2192" s="27" t="s">
        <v>1133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1114</v>
      </c>
      <c r="B2193" s="27" t="s">
        <v>1149</v>
      </c>
      <c r="C2193" s="27" t="s">
        <v>1116</v>
      </c>
      <c r="D2193" s="27" t="s">
        <v>1105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1120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1334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/>
    </row>
    <row r="2197" spans="1:12">
      <c r="A2197" s="20" t="s">
        <v>2200</v>
      </c>
    </row>
    <row r="2198" spans="1:12">
      <c r="A2198" s="20" t="s">
        <v>2199</v>
      </c>
      <c r="B2198" s="27" t="s">
        <v>1103</v>
      </c>
      <c r="C2198" s="27" t="s">
        <v>1133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1114</v>
      </c>
      <c r="B2199" s="27" t="s">
        <v>1149</v>
      </c>
      <c r="C2199" s="27" t="s">
        <v>1116</v>
      </c>
      <c r="D2199" s="27" t="s">
        <v>1105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1123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2201</v>
      </c>
      <c r="B2201" s="27" t="s">
        <v>1122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2202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1123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1120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1334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/>
    </row>
    <row r="2207" spans="1:12">
      <c r="A2207" s="20" t="s">
        <v>2203</v>
      </c>
    </row>
    <row r="2208" spans="1:12">
      <c r="A2208" s="20" t="s">
        <v>1111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2204</v>
      </c>
      <c r="B2209" s="27" t="s">
        <v>1103</v>
      </c>
      <c r="C2209" s="27" t="s">
        <v>1133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1173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1974</v>
      </c>
      <c r="B2211" s="27" t="s">
        <v>1149</v>
      </c>
      <c r="C2211" s="27" t="s">
        <v>1126</v>
      </c>
      <c r="D2211" s="27" t="s">
        <v>1105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1129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1120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1123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1974</v>
      </c>
      <c r="B2215" s="27" t="s">
        <v>1122</v>
      </c>
      <c r="C2215" s="27" t="s">
        <v>1126</v>
      </c>
      <c r="D2215" s="27" t="s">
        <v>1105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2205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1123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1111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1425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1225</v>
      </c>
      <c r="B2220" s="27" t="s">
        <v>1122</v>
      </c>
      <c r="C2220" s="27" t="s">
        <v>1108</v>
      </c>
      <c r="D2220" s="27" t="s">
        <v>1105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1145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/>
    </row>
    <row r="2223" spans="1:12">
      <c r="A2223" s="20" t="s">
        <v>2206</v>
      </c>
    </row>
    <row r="2224" spans="1:12">
      <c r="A2224" s="20" t="s">
        <v>1111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2207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2208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1123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1992</v>
      </c>
      <c r="B2228" s="27" t="s">
        <v>1259</v>
      </c>
      <c r="C2228" s="27" t="s">
        <v>1133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2209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2210</v>
      </c>
      <c r="B2230" s="27" t="s">
        <v>1132</v>
      </c>
      <c r="C2230" s="27" t="s">
        <v>1142</v>
      </c>
      <c r="D2230" s="27" t="s">
        <v>1105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2211</v>
      </c>
      <c r="B2231" s="27" t="s">
        <v>1115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1123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2212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2213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1145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/>
    </row>
    <row r="2237" spans="1:12">
      <c r="A2237" s="20" t="s">
        <v>2214</v>
      </c>
    </row>
    <row r="2238" spans="1:12">
      <c r="A2238" s="20" t="s">
        <v>2043</v>
      </c>
      <c r="B2238" s="27" t="s">
        <v>1149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1123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2215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1721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1722</v>
      </c>
      <c r="B2242" s="27" t="s">
        <v>1110</v>
      </c>
      <c r="C2242" s="27" t="s">
        <v>1126</v>
      </c>
      <c r="D2242" s="27" t="s">
        <v>1105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1123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2216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2032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1910</v>
      </c>
      <c r="B2246" s="27" t="s">
        <v>1243</v>
      </c>
      <c r="C2246" s="27" t="s">
        <v>1133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2217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2218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1136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2219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1128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2220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1145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/>
    </row>
    <row r="2255" spans="1:12">
      <c r="A2255" s="20" t="s">
        <v>2221</v>
      </c>
    </row>
    <row r="2256" spans="1:12">
      <c r="A2256" s="20" t="s">
        <v>1400</v>
      </c>
      <c r="B2256" s="27" t="s">
        <v>1149</v>
      </c>
      <c r="C2256" s="27" t="s">
        <v>1116</v>
      </c>
      <c r="D2256" s="27" t="s">
        <v>1105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1309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1134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2222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2223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1128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1134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2224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2225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1123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1224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1123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1933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1123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2226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1111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2227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1123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2228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2229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2230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1130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2231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2232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1145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/>
    </row>
    <row r="2282" spans="1:12">
      <c r="A2282" s="20" t="s">
        <v>2233</v>
      </c>
    </row>
    <row r="2283" spans="1:12">
      <c r="A2283" s="20" t="s">
        <v>2234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2235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1123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1283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1249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2236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2237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1123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1186</v>
      </c>
      <c r="B2291" s="27" t="s">
        <v>1107</v>
      </c>
      <c r="C2291" s="27" t="s">
        <v>1142</v>
      </c>
      <c r="D2291" s="27" t="s">
        <v>1105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2003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2238</v>
      </c>
      <c r="B2293" s="27" t="s">
        <v>1149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1206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2009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2239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2240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2241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1123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2242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2243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2244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2019</v>
      </c>
      <c r="B2303" s="27" t="s">
        <v>1122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1218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2245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2246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2247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1145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/>
    </row>
    <row r="2310" spans="1:12">
      <c r="A2310" s="20" t="s">
        <v>2248</v>
      </c>
    </row>
    <row r="2311" spans="1:12">
      <c r="A2311" s="20" t="s">
        <v>1191</v>
      </c>
      <c r="B2311" s="27" t="s">
        <v>1149</v>
      </c>
      <c r="C2311" s="27" t="s">
        <v>1126</v>
      </c>
      <c r="D2311" s="27" t="s">
        <v>1105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2249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1139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1371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2160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2250</v>
      </c>
      <c r="B2316" s="27" t="s">
        <v>1103</v>
      </c>
      <c r="C2316" s="27" t="s">
        <v>1156</v>
      </c>
      <c r="D2316" s="27" t="s">
        <v>1105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1128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1123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2251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1833</v>
      </c>
      <c r="B2320" s="27" t="s">
        <v>1115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1123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1574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1123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135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1207</v>
      </c>
      <c r="B2325" s="27" t="s">
        <v>1132</v>
      </c>
      <c r="C2325" s="27" t="s">
        <v>1142</v>
      </c>
      <c r="D2325" s="27" t="s">
        <v>1105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2252</v>
      </c>
      <c r="B2326" s="27" t="s">
        <v>1259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1355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2253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1184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1204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1145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/>
    </row>
    <row r="2333" spans="1:12">
      <c r="A2333" s="20" t="s">
        <v>2254</v>
      </c>
    </row>
    <row r="2334" spans="1:12">
      <c r="A2334" s="20" t="s">
        <v>1111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2255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1123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1111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1425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1228</v>
      </c>
      <c r="B2339" s="27" t="s">
        <v>1122</v>
      </c>
      <c r="C2339" s="27" t="s">
        <v>1126</v>
      </c>
      <c r="D2339" s="27" t="s">
        <v>1105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1145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2256</v>
      </c>
    </row>
    <row r="2343" spans="1:12">
      <c r="A2343" s="20" t="s">
        <v>1111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1436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1123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1128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2257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2258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552</v>
      </c>
      <c r="B2349" s="27" t="s">
        <v>1103</v>
      </c>
      <c r="C2349" s="27" t="s">
        <v>1289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1123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1111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2259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1225</v>
      </c>
      <c r="B2353" s="27" t="s">
        <v>1122</v>
      </c>
      <c r="C2353" s="27" t="s">
        <v>1108</v>
      </c>
      <c r="D2353" s="27" t="s">
        <v>1105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1123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2260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2261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1145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/>
    </row>
    <row r="2359" spans="1:12">
      <c r="A2359" s="20" t="s">
        <v>2262</v>
      </c>
    </row>
    <row r="2360" spans="1:12">
      <c r="A2360" s="20" t="s">
        <v>1111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2263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2264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1123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2265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1318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2008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1134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2266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2267</v>
      </c>
      <c r="B2369" s="27" t="s">
        <v>1122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1145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/>
    </row>
    <row r="2372" spans="1:12">
      <c r="A2372" s="20" t="s">
        <v>2268</v>
      </c>
    </row>
    <row r="2373" spans="1:12">
      <c r="A2373" s="20" t="s">
        <v>2269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1270</v>
      </c>
      <c r="B2374" s="27" t="s">
        <v>1213</v>
      </c>
      <c r="C2374" s="27" t="s">
        <v>1126</v>
      </c>
      <c r="D2374" s="27" t="s">
        <v>1105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1123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1505</v>
      </c>
      <c r="B2376" s="27" t="s">
        <v>1107</v>
      </c>
      <c r="C2376" s="27" t="s">
        <v>1104</v>
      </c>
      <c r="D2376" s="27" t="s">
        <v>1105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1506</v>
      </c>
      <c r="B2377" s="27" t="s">
        <v>1110</v>
      </c>
      <c r="C2377" s="27" t="s">
        <v>1108</v>
      </c>
      <c r="D2377" s="27" t="s">
        <v>1105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1123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135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1217</v>
      </c>
      <c r="B2380" s="27" t="s">
        <v>1125</v>
      </c>
      <c r="C2380" s="27" t="s">
        <v>1126</v>
      </c>
      <c r="D2380" s="27" t="s">
        <v>1105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2270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1408</v>
      </c>
      <c r="B2382" s="27" t="s">
        <v>1144</v>
      </c>
      <c r="C2382" s="27" t="s">
        <v>1126</v>
      </c>
      <c r="D2382" s="27" t="s">
        <v>1105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2271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2272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2273</v>
      </c>
      <c r="B2385" s="27" t="s">
        <v>1144</v>
      </c>
      <c r="C2385" s="27" t="s">
        <v>1116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1145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/>
    </row>
    <row r="2388" spans="1:12">
      <c r="A2388" s="20" t="s">
        <v>2274</v>
      </c>
    </row>
    <row r="2389" spans="1:12">
      <c r="A2389" s="20" t="s">
        <v>1191</v>
      </c>
      <c r="B2389" s="27" t="s">
        <v>1149</v>
      </c>
      <c r="C2389" s="27" t="s">
        <v>1126</v>
      </c>
      <c r="D2389" s="27" t="s">
        <v>1105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2275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2276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2277</v>
      </c>
      <c r="B2392" s="27" t="s">
        <v>1243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1123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1197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2278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1134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2279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1123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135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1114</v>
      </c>
      <c r="B2400" s="27" t="s">
        <v>1259</v>
      </c>
      <c r="C2400" s="27" t="s">
        <v>1116</v>
      </c>
      <c r="D2400" s="27" t="s">
        <v>1105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1875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2110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1957</v>
      </c>
      <c r="B2403" s="27" t="s">
        <v>1107</v>
      </c>
      <c r="C2403" s="27" t="s">
        <v>1116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1145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2280</v>
      </c>
    </row>
    <row r="2407" spans="1:12">
      <c r="A2407" s="20" t="s">
        <v>2281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2282</v>
      </c>
      <c r="B2408" s="27" t="s">
        <v>1103</v>
      </c>
      <c r="C2408" s="27" t="s">
        <v>1116</v>
      </c>
      <c r="D2408" s="27" t="s">
        <v>1105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1616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1242</v>
      </c>
      <c r="B2410" s="27" t="s">
        <v>1213</v>
      </c>
      <c r="C2410" s="27" t="s">
        <v>1126</v>
      </c>
      <c r="D2410" s="27" t="s">
        <v>1105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2283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263</v>
      </c>
      <c r="B2412" s="27" t="s">
        <v>1149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1123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1128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1217</v>
      </c>
      <c r="B2415" s="27" t="s">
        <v>1122</v>
      </c>
      <c r="C2415" s="27" t="s">
        <v>1126</v>
      </c>
      <c r="D2415" s="27" t="s">
        <v>1105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1134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2284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2285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2286</v>
      </c>
      <c r="B2419" s="27" t="s">
        <v>1115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2287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2288</v>
      </c>
      <c r="B2421" s="27" t="s">
        <v>1115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1145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/>
    </row>
    <row r="2424" spans="1:12">
      <c r="A2424" s="20" t="s">
        <v>2289</v>
      </c>
    </row>
    <row r="2425" spans="1:12">
      <c r="A2425" s="20" t="s">
        <v>1111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1332</v>
      </c>
      <c r="B2426" s="27" t="s">
        <v>1149</v>
      </c>
      <c r="C2426" s="27" t="s">
        <v>1126</v>
      </c>
      <c r="D2426" s="27" t="s">
        <v>1105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2290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1198</v>
      </c>
      <c r="B2428" s="27" t="s">
        <v>1213</v>
      </c>
      <c r="C2428" s="27" t="s">
        <v>1126</v>
      </c>
      <c r="D2428" s="27" t="s">
        <v>1105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1694</v>
      </c>
      <c r="B2429" s="27" t="s">
        <v>1213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1145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/>
    </row>
    <row r="2432" spans="1:12">
      <c r="A2432" s="20" t="s">
        <v>2291</v>
      </c>
    </row>
    <row r="2433" spans="1:12">
      <c r="A2433" s="20" t="s">
        <v>1111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2292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1494</v>
      </c>
      <c r="B2435" s="27" t="s">
        <v>1213</v>
      </c>
      <c r="C2435" s="27" t="s">
        <v>1126</v>
      </c>
      <c r="D2435" s="27" t="s">
        <v>1105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2293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2294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1145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1145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1145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2295</v>
      </c>
    </row>
    <row r="2443" spans="1:12">
      <c r="A2443" s="20" t="s">
        <v>1873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1239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1123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2296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590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1334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/>
    </row>
    <row r="2450" spans="1:12">
      <c r="A2450" s="20" t="s">
        <v>2297</v>
      </c>
    </row>
    <row r="2451" spans="1:12">
      <c r="A2451" s="20" t="s">
        <v>1111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2298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1198</v>
      </c>
      <c r="B2453" s="27" t="s">
        <v>1213</v>
      </c>
      <c r="C2453" s="27" t="s">
        <v>1126</v>
      </c>
      <c r="D2453" s="27" t="s">
        <v>1105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2009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12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2299</v>
      </c>
      <c r="B2456" s="27" t="s">
        <v>1149</v>
      </c>
      <c r="C2456" s="27" t="s">
        <v>1104</v>
      </c>
      <c r="D2456" s="27" t="s">
        <v>1105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1154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2191</v>
      </c>
      <c r="B2458" s="27" t="s">
        <v>1107</v>
      </c>
      <c r="C2458" s="27" t="s">
        <v>1156</v>
      </c>
      <c r="D2458" s="27" t="s">
        <v>1105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1123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1128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2300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1206</v>
      </c>
      <c r="B2462" s="27" t="s">
        <v>1122</v>
      </c>
      <c r="C2462" s="27" t="s">
        <v>1126</v>
      </c>
      <c r="D2462" s="27" t="s">
        <v>1105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1875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1184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2301</v>
      </c>
      <c r="B2465" s="27" t="s">
        <v>1103</v>
      </c>
      <c r="C2465" s="27" t="s">
        <v>1210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1145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/>
    </row>
    <row r="2468" spans="1:12">
      <c r="A2468" s="20" t="s">
        <v>2302</v>
      </c>
    </row>
    <row r="2469" spans="1:12">
      <c r="A2469" s="20" t="s">
        <v>1873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396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1351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/>
    </row>
    <row r="2473" spans="1:12">
      <c r="A2473" s="20" t="s">
        <v>2303</v>
      </c>
    </row>
    <row r="2474" spans="1:12">
      <c r="A2474" s="20" t="s">
        <v>1406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1130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2304</v>
      </c>
      <c r="B2476" s="27" t="s">
        <v>1107</v>
      </c>
      <c r="C2476" s="27" t="s">
        <v>1142</v>
      </c>
      <c r="D2476" s="27" t="s">
        <v>1105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2305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1228</v>
      </c>
      <c r="B2478" s="27" t="s">
        <v>1149</v>
      </c>
      <c r="C2478" s="27" t="s">
        <v>1126</v>
      </c>
      <c r="D2478" s="27" t="s">
        <v>1105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2306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1145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/>
    </row>
    <row r="2482" spans="1:12">
      <c r="A2482" s="20" t="s">
        <v>2307</v>
      </c>
    </row>
    <row r="2483" spans="1:12">
      <c r="A2483" s="20" t="s">
        <v>1368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135</v>
      </c>
      <c r="B2484" s="27" t="s">
        <v>1243</v>
      </c>
      <c r="C2484" s="27" t="s">
        <v>1133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1362</v>
      </c>
      <c r="B2485" s="27" t="s">
        <v>1149</v>
      </c>
      <c r="C2485" s="27" t="s">
        <v>1126</v>
      </c>
      <c r="D2485" s="27" t="s">
        <v>1105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2308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334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1745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1334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2309</v>
      </c>
    </row>
    <row r="2492" spans="1:12">
      <c r="A2492" s="20" t="s">
        <v>1111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2310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2311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1408</v>
      </c>
      <c r="B2495" s="27" t="s">
        <v>1213</v>
      </c>
      <c r="C2495" s="27" t="s">
        <v>1126</v>
      </c>
      <c r="D2495" s="27" t="s">
        <v>1105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115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1111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1362</v>
      </c>
      <c r="B2498" s="27" t="s">
        <v>1122</v>
      </c>
      <c r="C2498" s="27" t="s">
        <v>1126</v>
      </c>
      <c r="D2498" s="27" t="s">
        <v>1105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1628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2312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2313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1201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2314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2103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1123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1111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1224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1564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2315</v>
      </c>
      <c r="B2509" s="27" t="s">
        <v>1125</v>
      </c>
      <c r="C2509" s="27" t="s">
        <v>1133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1101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1270</v>
      </c>
      <c r="B2511" s="27" t="s">
        <v>1132</v>
      </c>
      <c r="C2511" s="27" t="s">
        <v>1126</v>
      </c>
      <c r="D2511" s="27" t="s">
        <v>1105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2316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1130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2317</v>
      </c>
      <c r="B2514" s="27" t="s">
        <v>1132</v>
      </c>
      <c r="C2514" s="27" t="s">
        <v>1126</v>
      </c>
      <c r="D2514" s="27" t="s">
        <v>1105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1543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1145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/>
    </row>
    <row r="2518" spans="1:12">
      <c r="A2518" s="20" t="s">
        <v>2318</v>
      </c>
    </row>
    <row r="2519" spans="1:12">
      <c r="A2519" s="20" t="s">
        <v>2319</v>
      </c>
      <c r="B2519" s="27" t="s">
        <v>1149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2320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2321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1123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1197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1134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2322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1145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/>
    </row>
    <row r="2528" spans="1:12">
      <c r="A2528" s="20" t="s">
        <v>2323</v>
      </c>
    </row>
    <row r="2529" spans="1:12">
      <c r="A2529" s="20" t="s">
        <v>1633</v>
      </c>
      <c r="B2529" s="27" t="s">
        <v>1149</v>
      </c>
      <c r="C2529" s="27" t="s">
        <v>1126</v>
      </c>
      <c r="D2529" s="27" t="s">
        <v>1105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2324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2325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1239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2326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1128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2327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2328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2329</v>
      </c>
      <c r="B2537" s="27" t="s">
        <v>1107</v>
      </c>
      <c r="C2537" s="27" t="s">
        <v>1210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1145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/>
    </row>
    <row r="2540" spans="1:12">
      <c r="A2540" s="20" t="s">
        <v>2330</v>
      </c>
    </row>
    <row r="2541" spans="1:12">
      <c r="A2541" s="20" t="s">
        <v>1353</v>
      </c>
      <c r="B2541" s="27" t="s">
        <v>1149</v>
      </c>
      <c r="C2541" s="27" t="s">
        <v>1126</v>
      </c>
      <c r="D2541" s="27" t="s">
        <v>1105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2331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1186</v>
      </c>
      <c r="B2543" s="27" t="s">
        <v>1213</v>
      </c>
      <c r="C2543" s="27" t="s">
        <v>1126</v>
      </c>
      <c r="D2543" s="27" t="s">
        <v>1105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1271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2332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1145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/>
    </row>
    <row r="2548" spans="1:12">
      <c r="A2548" s="20" t="s">
        <v>2333</v>
      </c>
    </row>
    <row r="2549" spans="1:12">
      <c r="A2549" s="20" t="s">
        <v>1633</v>
      </c>
      <c r="B2549" s="27" t="s">
        <v>1149</v>
      </c>
      <c r="C2549" s="27" t="s">
        <v>1126</v>
      </c>
      <c r="D2549" s="27" t="s">
        <v>1105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2334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1475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1123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2335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2328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2329</v>
      </c>
      <c r="B2555" s="27" t="s">
        <v>1107</v>
      </c>
      <c r="C2555" s="27" t="s">
        <v>1210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1123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1128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2336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1241</v>
      </c>
      <c r="B2559" s="27" t="s">
        <v>1243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2337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1145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/>
    </row>
    <row r="2563" spans="1:12">
      <c r="A2563" s="20" t="s">
        <v>2338</v>
      </c>
    </row>
    <row r="2564" spans="1:12">
      <c r="A2564" s="20" t="s">
        <v>1111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1368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1369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1242</v>
      </c>
      <c r="B2567" s="27" t="s">
        <v>1213</v>
      </c>
      <c r="C2567" s="27" t="s">
        <v>1126</v>
      </c>
      <c r="D2567" s="27" t="s">
        <v>1105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2339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948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1123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1111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1425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1225</v>
      </c>
      <c r="B2573" s="27" t="s">
        <v>1259</v>
      </c>
      <c r="C2573" s="27" t="s">
        <v>1108</v>
      </c>
      <c r="D2573" s="27" t="s">
        <v>1105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1145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/>
    </row>
    <row r="2576" spans="1:12">
      <c r="A2576" s="20" t="s">
        <v>2340</v>
      </c>
    </row>
    <row r="2577" spans="1:12">
      <c r="A2577" s="20" t="s">
        <v>1111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2341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2342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2343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1930</v>
      </c>
      <c r="B2581" s="27" t="s">
        <v>1243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1145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/>
    </row>
    <row r="2584" spans="1:12">
      <c r="A2584" s="20" t="s">
        <v>2344</v>
      </c>
    </row>
    <row r="2585" spans="1:12">
      <c r="A2585" s="20" t="s">
        <v>2345</v>
      </c>
      <c r="B2585" s="27" t="s">
        <v>1149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2346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626</v>
      </c>
      <c r="B2587" s="27" t="s">
        <v>1103</v>
      </c>
      <c r="C2587" s="27" t="s">
        <v>1210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1145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/>
    </row>
    <row r="2590" spans="1:12">
      <c r="A2590" s="20" t="s">
        <v>2347</v>
      </c>
    </row>
    <row r="2591" spans="1:12">
      <c r="A2591" s="20" t="s">
        <v>2348</v>
      </c>
      <c r="B2591" s="27" t="s">
        <v>1149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2349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1369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630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1123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2350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1113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2129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2351</v>
      </c>
      <c r="B2599" s="27" t="s">
        <v>1115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1145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1145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1145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/>
    </row>
    <row r="2604" spans="1:12">
      <c r="A2604" s="20" t="s">
        <v>2352</v>
      </c>
    </row>
    <row r="2605" spans="1:12">
      <c r="A2605" s="20" t="s">
        <v>2353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2354</v>
      </c>
      <c r="B2606" s="27" t="s">
        <v>1149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1123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1184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1446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1186</v>
      </c>
      <c r="B2610" s="27" t="s">
        <v>1122</v>
      </c>
      <c r="C2610" s="27" t="s">
        <v>1126</v>
      </c>
      <c r="D2610" s="27" t="s">
        <v>1105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1628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1134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2355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1123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1111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2356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1225</v>
      </c>
      <c r="B2617" s="27" t="s">
        <v>1259</v>
      </c>
      <c r="C2617" s="27" t="s">
        <v>1108</v>
      </c>
      <c r="D2617" s="27" t="s">
        <v>1105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1123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1919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2357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1961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1130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1722</v>
      </c>
      <c r="B2623" s="27" t="s">
        <v>1141</v>
      </c>
      <c r="C2623" s="27" t="s">
        <v>1126</v>
      </c>
      <c r="D2623" s="27" t="s">
        <v>1105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1253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1415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1145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/>
    </row>
    <row r="2628" spans="1:12">
      <c r="A2628" s="20" t="s">
        <v>2358</v>
      </c>
    </row>
    <row r="2629" spans="1:12">
      <c r="A2629" s="20" t="s">
        <v>1111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1633</v>
      </c>
      <c r="B2630" s="27" t="s">
        <v>1149</v>
      </c>
      <c r="C2630" s="27" t="s">
        <v>1126</v>
      </c>
      <c r="D2630" s="27" t="s">
        <v>1105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1134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1229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1134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167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2359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1128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1258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1123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135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2360</v>
      </c>
      <c r="B2640" s="27" t="s">
        <v>1259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2361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1145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/>
    </row>
    <row r="2644" spans="1:12">
      <c r="A2644" s="20" t="s">
        <v>2362</v>
      </c>
    </row>
    <row r="2645" spans="1:12">
      <c r="A2645" s="20" t="s">
        <v>1111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1873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135</v>
      </c>
      <c r="B2647" s="27" t="s">
        <v>1103</v>
      </c>
      <c r="C2647" s="27" t="s">
        <v>1133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1362</v>
      </c>
      <c r="B2648" s="27" t="s">
        <v>1149</v>
      </c>
      <c r="C2648" s="27" t="s">
        <v>1126</v>
      </c>
      <c r="D2648" s="27" t="s">
        <v>1105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1351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/>
    </row>
    <row r="2651" spans="1:12">
      <c r="A2651" s="20" t="s">
        <v>2363</v>
      </c>
    </row>
    <row r="2652" spans="1:12">
      <c r="A2652" s="20" t="s">
        <v>1400</v>
      </c>
      <c r="B2652" s="27" t="s">
        <v>1149</v>
      </c>
      <c r="C2652" s="27" t="s">
        <v>1116</v>
      </c>
      <c r="D2652" s="27" t="s">
        <v>1105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1120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1864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1195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1726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1123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1271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2282</v>
      </c>
      <c r="B2659" s="27" t="s">
        <v>1107</v>
      </c>
      <c r="C2659" s="27" t="s">
        <v>1116</v>
      </c>
      <c r="D2659" s="27" t="s">
        <v>1105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1616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263</v>
      </c>
      <c r="B2661" s="27" t="s">
        <v>1122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2364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2365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1145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/>
    </row>
    <row r="2666" spans="1:12">
      <c r="A2666" s="20" t="s">
        <v>2366</v>
      </c>
    </row>
    <row r="2667" spans="1:12">
      <c r="A2667" s="20" t="s">
        <v>1111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2367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1134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2368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1123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135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1124</v>
      </c>
      <c r="B2673" s="27" t="s">
        <v>1259</v>
      </c>
      <c r="C2673" s="27" t="s">
        <v>1126</v>
      </c>
      <c r="D2673" s="27" t="s">
        <v>1105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2369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2370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1201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2371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1123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1444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1494</v>
      </c>
      <c r="B2680" s="27" t="s">
        <v>2162</v>
      </c>
      <c r="C2680" s="27" t="s">
        <v>1126</v>
      </c>
      <c r="D2680" s="27" t="s">
        <v>1105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107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1120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2372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1195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2373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1145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/>
    </row>
    <row r="2688" spans="1:12">
      <c r="A2688" s="20" t="s">
        <v>2374</v>
      </c>
    </row>
    <row r="2689" spans="1:12">
      <c r="A2689" s="20" t="s">
        <v>1613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1123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1217</v>
      </c>
      <c r="B2691" s="27" t="s">
        <v>1149</v>
      </c>
      <c r="C2691" s="27" t="s">
        <v>1126</v>
      </c>
      <c r="D2691" s="27" t="s">
        <v>1105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1186</v>
      </c>
      <c r="B2692" s="27" t="s">
        <v>1213</v>
      </c>
      <c r="C2692" s="27" t="s">
        <v>1126</v>
      </c>
      <c r="D2692" s="27" t="s">
        <v>1105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1628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1134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2375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1351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/>
    </row>
    <row r="2698" spans="1:12">
      <c r="A2698" s="20" t="s">
        <v>2376</v>
      </c>
    </row>
    <row r="2699" spans="1:12">
      <c r="A2699" s="20" t="s">
        <v>1547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1249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2377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2378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107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2379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1206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2380</v>
      </c>
      <c r="B2706" s="27" t="s">
        <v>1243</v>
      </c>
      <c r="C2706" s="27" t="s">
        <v>1210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1145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/>
    </row>
    <row r="2709" spans="1:12">
      <c r="A2709" s="20" t="s">
        <v>2381</v>
      </c>
    </row>
    <row r="2710" spans="1:12">
      <c r="A2710" s="20" t="s">
        <v>2382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2383</v>
      </c>
      <c r="B2711" s="27" t="s">
        <v>1149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1309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2384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2385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1123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1128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1123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2386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1184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2387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1123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1217</v>
      </c>
      <c r="B2722" s="27" t="s">
        <v>1122</v>
      </c>
      <c r="C2722" s="27" t="s">
        <v>1126</v>
      </c>
      <c r="D2722" s="27" t="s">
        <v>1105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1919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2388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2389</v>
      </c>
      <c r="B2725" s="27" t="s">
        <v>1243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1201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2390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1123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1271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2391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2392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2393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1123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2394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1270</v>
      </c>
      <c r="B2735" s="27" t="s">
        <v>1144</v>
      </c>
      <c r="C2735" s="27" t="s">
        <v>1126</v>
      </c>
      <c r="D2735" s="27" t="s">
        <v>1105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1184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2395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1145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/>
    </row>
    <row r="2740" spans="1:12">
      <c r="A2740" s="20" t="s">
        <v>2396</v>
      </c>
    </row>
    <row r="2741" spans="1:12">
      <c r="A2741" s="20" t="s">
        <v>2397</v>
      </c>
      <c r="B2741" s="27" t="s">
        <v>1149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2398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1113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1184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1622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1123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1197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1225</v>
      </c>
      <c r="B2748" s="27" t="s">
        <v>1122</v>
      </c>
      <c r="C2748" s="27" t="s">
        <v>1108</v>
      </c>
      <c r="D2748" s="27" t="s">
        <v>1105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2399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1958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2400</v>
      </c>
      <c r="B2751" s="27" t="s">
        <v>1243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1128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2401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1130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2153</v>
      </c>
      <c r="B2755" s="27" t="s">
        <v>1107</v>
      </c>
      <c r="C2755" s="27" t="s">
        <v>1126</v>
      </c>
      <c r="D2755" s="27" t="s">
        <v>1105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1206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2402</v>
      </c>
      <c r="B2757" s="27" t="s">
        <v>1122</v>
      </c>
      <c r="C2757" s="27" t="s">
        <v>1210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1184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1446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1145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/>
    </row>
    <row r="2762" spans="1:12">
      <c r="A2762" s="20" t="s">
        <v>2403</v>
      </c>
    </row>
    <row r="2763" spans="1:12">
      <c r="A2763" s="20" t="s">
        <v>2404</v>
      </c>
      <c r="B2763" s="27" t="s">
        <v>1149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1123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1298</v>
      </c>
      <c r="B2765" s="27" t="s">
        <v>1115</v>
      </c>
      <c r="C2765" s="27" t="s">
        <v>1133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1217</v>
      </c>
      <c r="B2766" s="27" t="s">
        <v>1259</v>
      </c>
      <c r="C2766" s="27" t="s">
        <v>1126</v>
      </c>
      <c r="D2766" s="27" t="s">
        <v>1105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2405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1123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1597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2406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1145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/>
    </row>
    <row r="2773" spans="1:12">
      <c r="A2773" s="20" t="s">
        <v>2407</v>
      </c>
    </row>
    <row r="2774" spans="1:12">
      <c r="A2774" s="20" t="s">
        <v>2408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1249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2409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2410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2383</v>
      </c>
      <c r="B2778" s="27" t="s">
        <v>1149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2411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1101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2412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2413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2414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1145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/>
    </row>
    <row r="2786" spans="1:12">
      <c r="A2786" s="20" t="s">
        <v>2415</v>
      </c>
    </row>
    <row r="2787" spans="1:12">
      <c r="A2787" s="20" t="s">
        <v>1111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2416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2417</v>
      </c>
      <c r="B2789" s="27" t="s">
        <v>1149</v>
      </c>
      <c r="C2789" s="27" t="s">
        <v>1133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1346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1351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1111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2418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727</v>
      </c>
      <c r="B2794" s="27" t="s">
        <v>1122</v>
      </c>
      <c r="C2794" s="27" t="s">
        <v>1108</v>
      </c>
      <c r="D2794" s="27" t="s">
        <v>1105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1145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/>
    </row>
    <row r="2797" spans="1:12">
      <c r="A2797" s="20" t="s">
        <v>2419</v>
      </c>
    </row>
    <row r="2798" spans="1:12">
      <c r="A2798" s="20" t="s">
        <v>1111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1191</v>
      </c>
      <c r="B2799" s="27" t="s">
        <v>1149</v>
      </c>
      <c r="C2799" s="27" t="s">
        <v>1126</v>
      </c>
      <c r="D2799" s="27" t="s">
        <v>1105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2420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1123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135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2417</v>
      </c>
      <c r="B2803" s="27" t="s">
        <v>1122</v>
      </c>
      <c r="C2803" s="27" t="s">
        <v>1133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2421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1145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/>
    </row>
    <row r="2807" spans="1:12">
      <c r="A2807" s="20" t="s">
        <v>2422</v>
      </c>
    </row>
    <row r="2808" spans="1:12">
      <c r="A2808" s="20" t="s">
        <v>2423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1665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2383</v>
      </c>
      <c r="B2810" s="27" t="s">
        <v>1213</v>
      </c>
      <c r="C2810" s="27" t="s">
        <v>1156</v>
      </c>
      <c r="D2810" s="27" t="s">
        <v>1105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1351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/>
    </row>
    <row r="2813" spans="1:12">
      <c r="A2813" s="20" t="s">
        <v>2424</v>
      </c>
    </row>
    <row r="2814" spans="1:12">
      <c r="A2814" s="20" t="s">
        <v>1277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1502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1945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2425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2426</v>
      </c>
      <c r="B2818" s="27" t="s">
        <v>1149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1128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2427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1145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/>
    </row>
    <row r="2823" spans="1:12">
      <c r="A2823" s="20" t="s">
        <v>2428</v>
      </c>
    </row>
    <row r="2824" spans="1:12">
      <c r="A2824" s="20" t="s">
        <v>1225</v>
      </c>
      <c r="B2824" s="27" t="s">
        <v>1149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1813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1820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2429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2430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2431</v>
      </c>
      <c r="B2829" s="27" t="s">
        <v>1149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1123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1128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2383</v>
      </c>
      <c r="B2832" s="27" t="s">
        <v>1122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2432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2385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1145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/>
    </row>
    <row r="2837" spans="1:12">
      <c r="A2837" s="20" t="s">
        <v>2433</v>
      </c>
    </row>
    <row r="2838" spans="1:12">
      <c r="A2838" s="20" t="s">
        <v>2434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2435</v>
      </c>
      <c r="B2839" s="27" t="s">
        <v>1243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2436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1123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1217</v>
      </c>
      <c r="B2842" s="27" t="s">
        <v>1149</v>
      </c>
      <c r="C2842" s="27" t="s">
        <v>1126</v>
      </c>
      <c r="D2842" s="27" t="s">
        <v>1105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2437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1470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1145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/>
    </row>
    <row r="2847" spans="1:12">
      <c r="A2847" s="20" t="s">
        <v>2438</v>
      </c>
    </row>
    <row r="2848" spans="1:12">
      <c r="A2848" s="20" t="s">
        <v>1547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2439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2440</v>
      </c>
      <c r="B2850" s="27" t="s">
        <v>1149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1123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1201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1653</v>
      </c>
      <c r="B2853" s="27" t="s">
        <v>1110</v>
      </c>
      <c r="C2853" s="27" t="s">
        <v>1133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1217</v>
      </c>
      <c r="B2854" s="27" t="s">
        <v>1259</v>
      </c>
      <c r="C2854" s="27" t="s">
        <v>1126</v>
      </c>
      <c r="D2854" s="27" t="s">
        <v>1105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2441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1123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1134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2442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1128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2443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1145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/>
    </row>
    <row r="2863" spans="1:12">
      <c r="A2863" s="20" t="s">
        <v>2444</v>
      </c>
    </row>
    <row r="2864" spans="1:12">
      <c r="A2864" s="20" t="s">
        <v>2445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1421</v>
      </c>
      <c r="B2865" s="27" t="s">
        <v>1103</v>
      </c>
      <c r="C2865" s="27" t="s">
        <v>1126</v>
      </c>
      <c r="D2865" s="27" t="s">
        <v>1105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1996</v>
      </c>
      <c r="B2866" s="27" t="s">
        <v>1213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2446</v>
      </c>
      <c r="B2867" s="27" t="s">
        <v>1107</v>
      </c>
      <c r="C2867" s="27" t="s">
        <v>1142</v>
      </c>
      <c r="D2867" s="27" t="s">
        <v>1105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2447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2448</v>
      </c>
      <c r="B2869" s="27" t="s">
        <v>1149</v>
      </c>
      <c r="C2869" s="27" t="s">
        <v>1116</v>
      </c>
      <c r="D2869" s="27" t="s">
        <v>1105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1139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2007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2449</v>
      </c>
      <c r="B2872" s="27" t="s">
        <v>1103</v>
      </c>
      <c r="C2872" s="27" t="s">
        <v>1116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2450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1128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2451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1123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135</v>
      </c>
      <c r="B2877" s="27" t="s">
        <v>1243</v>
      </c>
      <c r="C2877" s="27" t="s">
        <v>1133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1217</v>
      </c>
      <c r="B2878" s="27" t="s">
        <v>1122</v>
      </c>
      <c r="C2878" s="27" t="s">
        <v>1126</v>
      </c>
      <c r="D2878" s="27" t="s">
        <v>1105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2452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1249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2453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1145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/>
    </row>
    <row r="2884" spans="1:12">
      <c r="A2884" s="20" t="s">
        <v>2454</v>
      </c>
    </row>
    <row r="2885" spans="1:12">
      <c r="A2885" s="20" t="s">
        <v>2455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2456</v>
      </c>
      <c r="B2886" s="27" t="s">
        <v>1149</v>
      </c>
      <c r="C2886" s="27" t="s">
        <v>1156</v>
      </c>
      <c r="D2886" s="27" t="s">
        <v>1105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2457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1906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2458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2459</v>
      </c>
      <c r="B2890" s="27" t="s">
        <v>1213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1145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/>
    </row>
    <row r="2893" spans="1:12">
      <c r="A2893" s="20" t="s">
        <v>2460</v>
      </c>
    </row>
    <row r="2894" spans="1:12">
      <c r="A2894" s="20" t="s">
        <v>2461</v>
      </c>
      <c r="B2894" s="27" t="s">
        <v>1107</v>
      </c>
      <c r="C2894" s="27" t="s">
        <v>1142</v>
      </c>
      <c r="D2894" s="27" t="s">
        <v>1105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1573</v>
      </c>
      <c r="B2895" s="27" t="s">
        <v>1149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1218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2462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2463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2464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2465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1123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228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2466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2467</v>
      </c>
      <c r="B2904" s="27" t="s">
        <v>1259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2468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1128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2469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1111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2470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2471</v>
      </c>
      <c r="B2910" s="27" t="s">
        <v>1132</v>
      </c>
      <c r="C2910" s="27" t="s">
        <v>1104</v>
      </c>
      <c r="D2910" s="27" t="s">
        <v>1105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1371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2472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1128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2473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2474</v>
      </c>
      <c r="B2915" s="27" t="s">
        <v>1141</v>
      </c>
      <c r="C2915" s="27" t="s">
        <v>1156</v>
      </c>
      <c r="D2915" s="27" t="s">
        <v>1105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1145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/>
    </row>
    <row r="2918" spans="1:12">
      <c r="A2918" s="20" t="s">
        <v>2475</v>
      </c>
    </row>
    <row r="2919" spans="1:12">
      <c r="A2919" s="20" t="s">
        <v>2476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2477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2478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2479</v>
      </c>
      <c r="B2922" s="27" t="s">
        <v>1149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1123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2480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2481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2482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2483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2484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1145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/>
    </row>
    <row r="2931" spans="1:12">
      <c r="A2931" s="20" t="s">
        <v>2485</v>
      </c>
    </row>
    <row r="2932" spans="1:12">
      <c r="A2932" s="20" t="s">
        <v>1973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1318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1371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2486</v>
      </c>
      <c r="B2935" s="27" t="s">
        <v>1103</v>
      </c>
      <c r="C2935" s="27" t="s">
        <v>1156</v>
      </c>
      <c r="D2935" s="27" t="s">
        <v>1105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2487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2488</v>
      </c>
      <c r="B2937" s="27" t="s">
        <v>1149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1123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2489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1271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2153</v>
      </c>
      <c r="B2941" s="27" t="s">
        <v>1110</v>
      </c>
      <c r="C2941" s="27" t="s">
        <v>1126</v>
      </c>
      <c r="D2941" s="27" t="s">
        <v>1105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2490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1123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1731</v>
      </c>
      <c r="B2944" s="27" t="s">
        <v>1870</v>
      </c>
      <c r="C2944" s="27" t="s">
        <v>1133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2491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1186</v>
      </c>
      <c r="B2946" s="27" t="s">
        <v>2162</v>
      </c>
      <c r="C2946" s="27" t="s">
        <v>1126</v>
      </c>
      <c r="D2946" s="27" t="s">
        <v>1105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1130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2250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1139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2492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1123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1842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135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1184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2493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2123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1693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883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1120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2494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1123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1181</v>
      </c>
      <c r="B2962" s="27" t="s">
        <v>1495</v>
      </c>
      <c r="C2962" s="27" t="s">
        <v>1133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1114</v>
      </c>
      <c r="B2963" s="27" t="s">
        <v>2041</v>
      </c>
      <c r="C2963" s="27" t="s">
        <v>1116</v>
      </c>
      <c r="D2963" s="27" t="s">
        <v>1105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1111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2495</v>
      </c>
      <c r="B2965" s="27" t="s">
        <v>2496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1188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1609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1145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/>
    </row>
    <row r="2970" spans="1:12">
      <c r="A2970" s="20" t="s">
        <v>2497</v>
      </c>
    </row>
    <row r="2971" spans="1:12">
      <c r="A2971" s="20" t="s">
        <v>2498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2499</v>
      </c>
      <c r="B2972" s="27" t="s">
        <v>1149</v>
      </c>
      <c r="C2972" s="27" t="s">
        <v>1210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2500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2501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2502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1123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2503</v>
      </c>
      <c r="B2977" s="27" t="s">
        <v>1122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2504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2505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2506</v>
      </c>
      <c r="B2980" s="27" t="s">
        <v>1243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2507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1123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2508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2509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1113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2019</v>
      </c>
      <c r="B2986" s="27" t="s">
        <v>1115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1123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1731</v>
      </c>
      <c r="B2988" s="27" t="s">
        <v>1870</v>
      </c>
      <c r="C2988" s="27" t="s">
        <v>1133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1130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2510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2511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2512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1249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1270</v>
      </c>
      <c r="B2994" s="27" t="s">
        <v>1141</v>
      </c>
      <c r="C2994" s="27" t="s">
        <v>1126</v>
      </c>
      <c r="D2994" s="27" t="s">
        <v>1105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1123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2513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1984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1128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2514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1145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/>
    </row>
    <row r="3002" spans="1:12">
      <c r="A3002" s="20" t="s">
        <v>2515</v>
      </c>
    </row>
    <row r="3003" spans="1:12">
      <c r="A3003" s="20" t="s">
        <v>1277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2516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2517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1217</v>
      </c>
      <c r="B3006" s="27" t="s">
        <v>1149</v>
      </c>
      <c r="C3006" s="27" t="s">
        <v>1126</v>
      </c>
      <c r="D3006" s="27" t="s">
        <v>1105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2171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1427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2518</v>
      </c>
      <c r="B3009" s="27" t="s">
        <v>1213</v>
      </c>
      <c r="C3009" s="27" t="s">
        <v>1156</v>
      </c>
      <c r="D3009" s="27" t="s">
        <v>1105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1123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2519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2520</v>
      </c>
      <c r="B3012" s="27" t="s">
        <v>1243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1123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1128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1271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2446</v>
      </c>
      <c r="B3016" s="27" t="s">
        <v>1110</v>
      </c>
      <c r="C3016" s="27" t="s">
        <v>1142</v>
      </c>
      <c r="D3016" s="27" t="s">
        <v>1105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2521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2522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1134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1181</v>
      </c>
      <c r="B3020" s="27" t="s">
        <v>1122</v>
      </c>
      <c r="C3020" s="27" t="s">
        <v>1133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2523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1123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1239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2524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1507</v>
      </c>
      <c r="B3025" s="27" t="s">
        <v>1132</v>
      </c>
      <c r="C3025" s="27" t="s">
        <v>1108</v>
      </c>
      <c r="D3025" s="27" t="s">
        <v>1105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1145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/>
    </row>
    <row r="3028" spans="1:12">
      <c r="A3028" s="20" t="s">
        <v>2525</v>
      </c>
    </row>
    <row r="3029" spans="1:12">
      <c r="A3029" s="20" t="s">
        <v>2526</v>
      </c>
      <c r="B3029" s="27" t="s">
        <v>1149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1494</v>
      </c>
      <c r="B3030" s="27" t="s">
        <v>1107</v>
      </c>
      <c r="C3030" s="27" t="s">
        <v>1142</v>
      </c>
      <c r="D3030" s="27" t="s">
        <v>1105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2527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1249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2528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1123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1128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1228</v>
      </c>
      <c r="B3036" s="27" t="s">
        <v>1122</v>
      </c>
      <c r="C3036" s="27" t="s">
        <v>1126</v>
      </c>
      <c r="D3036" s="27" t="s">
        <v>1105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1574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2529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2530</v>
      </c>
      <c r="B3039" s="27" t="s">
        <v>1243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1318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1196</v>
      </c>
      <c r="B3041" s="27" t="s">
        <v>1107</v>
      </c>
      <c r="C3041" s="27" t="s">
        <v>1126</v>
      </c>
      <c r="D3041" s="27" t="s">
        <v>1105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1249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2531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1195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2532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2533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1145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/>
    </row>
    <row r="3049" spans="1:12">
      <c r="A3049" s="20" t="s">
        <v>2534</v>
      </c>
    </row>
    <row r="3050" spans="1:12">
      <c r="A3050" s="20" t="s">
        <v>1111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723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1351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1111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2418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1225</v>
      </c>
      <c r="B3055" s="27" t="s">
        <v>1122</v>
      </c>
      <c r="C3055" s="27" t="s">
        <v>1108</v>
      </c>
      <c r="D3055" s="27" t="s">
        <v>1105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1145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/>
    </row>
    <row r="3058" spans="1:12">
      <c r="A3058" s="20" t="s">
        <v>2535</v>
      </c>
    </row>
    <row r="3059" spans="1:12">
      <c r="A3059" s="20" t="s">
        <v>1111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727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1123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228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2191</v>
      </c>
      <c r="B3063" s="27" t="s">
        <v>1122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1334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/>
    </row>
    <row r="3066" spans="1:12">
      <c r="A3066" s="20" t="s">
        <v>2536</v>
      </c>
    </row>
    <row r="3067" spans="1:12">
      <c r="A3067" s="20" t="s">
        <v>2537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1494</v>
      </c>
      <c r="B3068" s="27" t="s">
        <v>1213</v>
      </c>
      <c r="C3068" s="27" t="s">
        <v>1126</v>
      </c>
      <c r="D3068" s="27" t="s">
        <v>1105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1249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2538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1145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/>
    </row>
    <row r="3073" spans="1:12">
      <c r="A3073" s="20" t="s">
        <v>2539</v>
      </c>
    </row>
    <row r="3074" spans="1:12">
      <c r="A3074" s="20" t="s">
        <v>2540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2541</v>
      </c>
      <c r="B3075" s="27" t="s">
        <v>1149</v>
      </c>
      <c r="C3075" s="27" t="s">
        <v>1116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1910</v>
      </c>
      <c r="B3076" s="27" t="s">
        <v>1213</v>
      </c>
      <c r="C3076" s="27" t="s">
        <v>1133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2217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2542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1139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2543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1351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/>
    </row>
    <row r="3083" spans="1:12">
      <c r="A3083" s="20" t="s">
        <v>2544</v>
      </c>
    </row>
    <row r="3084" spans="1:12">
      <c r="A3084" s="20" t="s">
        <v>2545</v>
      </c>
      <c r="B3084" s="27" t="s">
        <v>1149</v>
      </c>
      <c r="C3084" s="27" t="s">
        <v>1108</v>
      </c>
      <c r="D3084" s="27" t="s">
        <v>1105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1507</v>
      </c>
      <c r="B3085" s="27" t="s">
        <v>1107</v>
      </c>
      <c r="C3085" s="27" t="s">
        <v>1108</v>
      </c>
      <c r="D3085" s="27" t="s">
        <v>1105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2546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2019</v>
      </c>
      <c r="B3087" s="27" t="s">
        <v>1213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1145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/>
    </row>
    <row r="3090" spans="1:12">
      <c r="A3090" s="20" t="s">
        <v>2547</v>
      </c>
    </row>
    <row r="3091" spans="1:12">
      <c r="A3091" s="20" t="s">
        <v>1111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1633</v>
      </c>
      <c r="B3092" s="27" t="s">
        <v>1149</v>
      </c>
      <c r="C3092" s="27" t="s">
        <v>1126</v>
      </c>
      <c r="D3092" s="27" t="s">
        <v>1105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2548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1334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1111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2549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1617</v>
      </c>
      <c r="B3097" s="27" t="s">
        <v>1122</v>
      </c>
      <c r="C3097" s="27" t="s">
        <v>1126</v>
      </c>
      <c r="D3097" s="27" t="s">
        <v>1105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1145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/>
    </row>
    <row r="3100" spans="1:12">
      <c r="A3100" s="20" t="s">
        <v>2550</v>
      </c>
    </row>
    <row r="3101" spans="1:12">
      <c r="A3101" s="20" t="s">
        <v>1111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1633</v>
      </c>
      <c r="B3102" s="27" t="s">
        <v>1149</v>
      </c>
      <c r="C3102" s="27" t="s">
        <v>1126</v>
      </c>
      <c r="D3102" s="27" t="s">
        <v>1105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2551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1334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/>
    </row>
    <row r="3106" spans="1:12">
      <c r="A3106" s="20" t="s">
        <v>2552</v>
      </c>
    </row>
    <row r="3107" spans="1:12">
      <c r="A3107" s="20" t="s">
        <v>1111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2553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1270</v>
      </c>
      <c r="B3109" s="27" t="s">
        <v>1103</v>
      </c>
      <c r="C3109" s="27" t="s">
        <v>1126</v>
      </c>
      <c r="D3109" s="27" t="s">
        <v>1105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1124</v>
      </c>
      <c r="B3110" s="27" t="s">
        <v>1149</v>
      </c>
      <c r="C3110" s="27" t="s">
        <v>1126</v>
      </c>
      <c r="D3110" s="27" t="s">
        <v>1105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2554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1134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2555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1123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2556</v>
      </c>
      <c r="B3115" s="27" t="s">
        <v>1149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1145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/>
    </row>
    <row r="3118" spans="1:12">
      <c r="A3118" s="20" t="s">
        <v>2557</v>
      </c>
    </row>
    <row r="3119" spans="1:12">
      <c r="A3119" s="20" t="s">
        <v>1111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1613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1123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224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1123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1228</v>
      </c>
      <c r="B3124" s="27" t="s">
        <v>1149</v>
      </c>
      <c r="C3124" s="27" t="s">
        <v>1126</v>
      </c>
      <c r="D3124" s="27" t="s">
        <v>1105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1134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2558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2559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1145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/>
    </row>
    <row r="3130" spans="1:12">
      <c r="A3130" s="20" t="s">
        <v>2560</v>
      </c>
    </row>
    <row r="3131" spans="1:12">
      <c r="A3131" s="20" t="s">
        <v>2166</v>
      </c>
      <c r="B3131" s="27" t="s">
        <v>1149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1506</v>
      </c>
      <c r="B3132" s="27" t="s">
        <v>1107</v>
      </c>
      <c r="C3132" s="27" t="s">
        <v>1108</v>
      </c>
      <c r="D3132" s="27" t="s">
        <v>1105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1145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1145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1145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2548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1334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/>
    </row>
    <row r="3139" spans="1:12">
      <c r="A3139" s="20" t="s">
        <v>2561</v>
      </c>
    </row>
    <row r="3140" spans="1:12">
      <c r="A3140" s="20" t="s">
        <v>1111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1436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1145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/>
    </row>
    <row r="3144" spans="1:12">
      <c r="A3144" s="20" t="s">
        <v>2562</v>
      </c>
    </row>
    <row r="3145" spans="1:12">
      <c r="A3145" s="20" t="s">
        <v>1111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1368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763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1334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/>
    </row>
    <row r="3150" spans="1:12">
      <c r="A3150" s="20" t="s">
        <v>2563</v>
      </c>
    </row>
    <row r="3151" spans="1:12">
      <c r="A3151" s="20" t="s">
        <v>1111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2564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1351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/>
    </row>
    <row r="3155" spans="1:12">
      <c r="A3155" s="20" t="s">
        <v>2565</v>
      </c>
    </row>
    <row r="3156" spans="1:12">
      <c r="A3156" s="20" t="s">
        <v>2566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1196</v>
      </c>
      <c r="B3157" s="27" t="s">
        <v>1103</v>
      </c>
      <c r="C3157" s="27" t="s">
        <v>1126</v>
      </c>
      <c r="D3157" s="27" t="s">
        <v>1105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2567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2568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2569</v>
      </c>
      <c r="B3160" s="27" t="s">
        <v>1149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2570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1339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1111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1884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1885</v>
      </c>
      <c r="B3165" s="27" t="s">
        <v>1144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1351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/>
    </row>
    <row r="3168" spans="1:12">
      <c r="A3168" s="20" t="s">
        <v>2571</v>
      </c>
    </row>
    <row r="3169" spans="1:12">
      <c r="A3169" s="20" t="s">
        <v>1884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1885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1351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/>
    </row>
    <row r="3173" spans="1:12">
      <c r="A3173" s="20" t="s">
        <v>2572</v>
      </c>
    </row>
    <row r="3174" spans="1:12">
      <c r="A3174" s="20" t="s">
        <v>778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1351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/>
    </row>
    <row r="3177" spans="1:12">
      <c r="A3177" s="20" t="s">
        <v>2573</v>
      </c>
    </row>
    <row r="3178" spans="1:12">
      <c r="A3178" s="20" t="s">
        <v>1671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1123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135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1124</v>
      </c>
      <c r="B3181" s="27" t="s">
        <v>1122</v>
      </c>
      <c r="C3181" s="27" t="s">
        <v>1126</v>
      </c>
      <c r="D3181" s="27" t="s">
        <v>1105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2574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2575</v>
      </c>
      <c r="B3183" s="27" t="s">
        <v>1107</v>
      </c>
      <c r="C3183" s="27" t="s">
        <v>1126</v>
      </c>
      <c r="D3183" s="27" t="s">
        <v>1105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2576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1351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/>
    </row>
    <row r="3187" spans="1:12">
      <c r="A3187" s="20" t="s">
        <v>2577</v>
      </c>
    </row>
    <row r="3188" spans="1:12">
      <c r="A3188" s="20" t="s">
        <v>1111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2578</v>
      </c>
      <c r="B3189" s="27" t="s">
        <v>1149</v>
      </c>
      <c r="C3189" s="27" t="s">
        <v>1126</v>
      </c>
      <c r="D3189" s="27" t="s">
        <v>1105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2579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2580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2581</v>
      </c>
      <c r="B3192" s="27" t="s">
        <v>1103</v>
      </c>
      <c r="C3192" s="27" t="s">
        <v>1210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1123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1128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1217</v>
      </c>
      <c r="B3195" s="27" t="s">
        <v>1122</v>
      </c>
      <c r="C3195" s="27" t="s">
        <v>1126</v>
      </c>
      <c r="D3195" s="27" t="s">
        <v>1105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2582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1123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135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1494</v>
      </c>
      <c r="B3199" s="27" t="s">
        <v>1132</v>
      </c>
      <c r="C3199" s="27" t="s">
        <v>1142</v>
      </c>
      <c r="D3199" s="27" t="s">
        <v>1105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2079</v>
      </c>
      <c r="B3200" s="27" t="s">
        <v>1259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1206</v>
      </c>
      <c r="B3201" s="27" t="s">
        <v>1107</v>
      </c>
      <c r="C3201" s="27" t="s">
        <v>1126</v>
      </c>
      <c r="D3201" s="27" t="s">
        <v>1105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1184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2583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1145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/>
    </row>
    <row r="3206" spans="1:12">
      <c r="A3206" s="20" t="s">
        <v>2584</v>
      </c>
    </row>
    <row r="3207" spans="1:12">
      <c r="A3207" s="20" t="s">
        <v>1111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1547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1114</v>
      </c>
      <c r="B3209" s="27" t="s">
        <v>1122</v>
      </c>
      <c r="C3209" s="27" t="s">
        <v>1116</v>
      </c>
      <c r="D3209" s="27" t="s">
        <v>1105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2009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1757</v>
      </c>
      <c r="B3211" s="27" t="s">
        <v>1103</v>
      </c>
      <c r="C3211" s="27" t="s">
        <v>1758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1145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1145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1145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1114</v>
      </c>
      <c r="B3215" s="27" t="s">
        <v>1149</v>
      </c>
      <c r="C3215" s="27" t="s">
        <v>1116</v>
      </c>
      <c r="D3215" s="27" t="s">
        <v>1105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1757</v>
      </c>
      <c r="B3216" s="27" t="s">
        <v>1103</v>
      </c>
      <c r="C3216" s="27" t="s">
        <v>1758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1145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/>
    </row>
    <row r="3219" spans="1:12">
      <c r="A3219" s="20" t="s">
        <v>2585</v>
      </c>
    </row>
    <row r="3220" spans="1:12">
      <c r="A3220" s="20" t="s">
        <v>1633</v>
      </c>
      <c r="B3220" s="27" t="s">
        <v>1149</v>
      </c>
      <c r="C3220" s="27" t="s">
        <v>1126</v>
      </c>
      <c r="D3220" s="27" t="s">
        <v>1105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2586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1123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1124</v>
      </c>
      <c r="B3223" s="27" t="s">
        <v>1122</v>
      </c>
      <c r="C3223" s="27" t="s">
        <v>1126</v>
      </c>
      <c r="D3223" s="27" t="s">
        <v>1105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2587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2588</v>
      </c>
      <c r="B3225" s="27" t="s">
        <v>1110</v>
      </c>
      <c r="C3225" s="27" t="s">
        <v>1142</v>
      </c>
      <c r="D3225" s="27" t="s">
        <v>1105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2589</v>
      </c>
      <c r="B3226" s="27" t="s">
        <v>1243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1145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/>
    </row>
    <row r="3229" spans="1:12">
      <c r="A3229" s="20" t="s">
        <v>2590</v>
      </c>
    </row>
    <row r="3230" spans="1:12">
      <c r="A3230" s="20" t="s">
        <v>2310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1318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1469</v>
      </c>
      <c r="B3232" s="27" t="s">
        <v>1103</v>
      </c>
      <c r="C3232" s="27" t="s">
        <v>1126</v>
      </c>
      <c r="D3232" s="27" t="s">
        <v>1105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2591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2592</v>
      </c>
      <c r="B3234" s="27" t="s">
        <v>1149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1123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135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2593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2488</v>
      </c>
      <c r="B3238" s="27" t="s">
        <v>1259</v>
      </c>
      <c r="C3238" s="27" t="s">
        <v>1156</v>
      </c>
      <c r="D3238" s="27" t="s">
        <v>1105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2594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1469</v>
      </c>
      <c r="B3240" s="27" t="s">
        <v>1115</v>
      </c>
      <c r="C3240" s="27" t="s">
        <v>1126</v>
      </c>
      <c r="D3240" s="27" t="s">
        <v>1105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1123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1228</v>
      </c>
      <c r="B3242" s="27" t="s">
        <v>1125</v>
      </c>
      <c r="C3242" s="27" t="s">
        <v>1126</v>
      </c>
      <c r="D3242" s="27" t="s">
        <v>1105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1206</v>
      </c>
      <c r="B3243" s="27" t="s">
        <v>1144</v>
      </c>
      <c r="C3243" s="27" t="s">
        <v>1126</v>
      </c>
      <c r="D3243" s="27" t="s">
        <v>1105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2595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1123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1206</v>
      </c>
      <c r="B3246" s="27" t="s">
        <v>1149</v>
      </c>
      <c r="C3246" s="27" t="s">
        <v>1126</v>
      </c>
      <c r="D3246" s="27" t="s">
        <v>1105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1339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2596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2597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1123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2598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1123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1694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1123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2599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2600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1145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1145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1145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/>
    </row>
    <row r="3261" spans="1:12">
      <c r="A3261" s="20" t="s">
        <v>2601</v>
      </c>
    </row>
    <row r="3262" spans="1:12">
      <c r="A3262" s="20" t="s">
        <v>1547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1124</v>
      </c>
      <c r="B3263" s="27" t="s">
        <v>1149</v>
      </c>
      <c r="C3263" s="27" t="s">
        <v>1126</v>
      </c>
      <c r="D3263" s="27" t="s">
        <v>1105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2602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1198</v>
      </c>
      <c r="B3265" s="27" t="s">
        <v>1213</v>
      </c>
      <c r="C3265" s="27" t="s">
        <v>1126</v>
      </c>
      <c r="D3265" s="27" t="s">
        <v>1105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1123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1228</v>
      </c>
      <c r="B3267" s="27" t="s">
        <v>1122</v>
      </c>
      <c r="C3267" s="27" t="s">
        <v>1126</v>
      </c>
      <c r="D3267" s="27" t="s">
        <v>1105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1309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2603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1184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1186</v>
      </c>
      <c r="B3271" s="27" t="s">
        <v>1110</v>
      </c>
      <c r="C3271" s="27" t="s">
        <v>1142</v>
      </c>
      <c r="D3271" s="27" t="s">
        <v>1105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2604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1351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/>
    </row>
    <row r="3275" spans="1:12">
      <c r="A3275" s="20" t="s">
        <v>2605</v>
      </c>
    </row>
    <row r="3276" spans="1:12">
      <c r="A3276" s="20" t="s">
        <v>1111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2578</v>
      </c>
      <c r="B3277" s="27" t="s">
        <v>1149</v>
      </c>
      <c r="C3277" s="27" t="s">
        <v>1126</v>
      </c>
      <c r="D3277" s="27" t="s">
        <v>1105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1134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2606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1128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2607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1145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/>
    </row>
    <row r="3284" spans="1:12">
      <c r="A3284" s="20" t="s">
        <v>2608</v>
      </c>
    </row>
    <row r="3285" spans="1:12">
      <c r="A3285" s="20" t="s">
        <v>1111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1436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1123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2556</v>
      </c>
      <c r="B3288" s="27" t="s">
        <v>1149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1123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1318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1408</v>
      </c>
      <c r="B3291" s="27" t="s">
        <v>1103</v>
      </c>
      <c r="C3291" s="27" t="s">
        <v>1126</v>
      </c>
      <c r="D3291" s="27" t="s">
        <v>1105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224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2609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2610</v>
      </c>
      <c r="B3294" s="27" t="s">
        <v>1149</v>
      </c>
      <c r="C3294" s="27" t="s">
        <v>1289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2611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1166</v>
      </c>
      <c r="B3296" s="27" t="s">
        <v>1115</v>
      </c>
      <c r="C3296" s="27" t="s">
        <v>1126</v>
      </c>
      <c r="D3296" s="27" t="s">
        <v>1105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2612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1123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1111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1425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1225</v>
      </c>
      <c r="B3301" s="27" t="s">
        <v>1122</v>
      </c>
      <c r="C3301" s="27" t="s">
        <v>1108</v>
      </c>
      <c r="D3301" s="27" t="s">
        <v>1105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1145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/>
    </row>
    <row r="3304" spans="1:12">
      <c r="A3304" s="20" t="s">
        <v>2613</v>
      </c>
    </row>
    <row r="3305" spans="1:12">
      <c r="A3305" s="20" t="s">
        <v>1111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2614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2615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1616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1123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228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1186</v>
      </c>
      <c r="B3311" s="27" t="s">
        <v>1115</v>
      </c>
      <c r="C3311" s="27" t="s">
        <v>1126</v>
      </c>
      <c r="D3311" s="27" t="s">
        <v>1105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2616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1145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/>
    </row>
    <row r="3315" spans="1:12">
      <c r="A3315" s="20" t="s">
        <v>2617</v>
      </c>
    </row>
    <row r="3316" spans="1:12">
      <c r="A3316" s="20" t="s">
        <v>1822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1362</v>
      </c>
      <c r="B3317" s="27" t="s">
        <v>1122</v>
      </c>
      <c r="C3317" s="27" t="s">
        <v>1126</v>
      </c>
      <c r="D3317" s="27" t="s">
        <v>1105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1218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1186</v>
      </c>
      <c r="B3319" s="27" t="s">
        <v>1107</v>
      </c>
      <c r="C3319" s="27" t="s">
        <v>1142</v>
      </c>
      <c r="D3319" s="27" t="s">
        <v>1105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2618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1123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2619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2620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2621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2125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2622</v>
      </c>
      <c r="B3326" s="27" t="s">
        <v>1243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1111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2623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1242</v>
      </c>
      <c r="B3329" s="27" t="s">
        <v>1115</v>
      </c>
      <c r="C3329" s="27" t="s">
        <v>1126</v>
      </c>
      <c r="D3329" s="27" t="s">
        <v>1105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1145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/>
    </row>
    <row r="3332" spans="1:12">
      <c r="A3332" s="20" t="s">
        <v>2624</v>
      </c>
    </row>
    <row r="3333" spans="1:12">
      <c r="A3333" s="20" t="s">
        <v>1111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1633</v>
      </c>
      <c r="B3334" s="27" t="s">
        <v>1149</v>
      </c>
      <c r="C3334" s="27" t="s">
        <v>1126</v>
      </c>
      <c r="D3334" s="27" t="s">
        <v>1105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1681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2625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1113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1184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2626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2453</v>
      </c>
      <c r="B3340" s="27" t="s">
        <v>1107</v>
      </c>
      <c r="C3340" s="27" t="s">
        <v>1210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1123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1590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1166</v>
      </c>
      <c r="B3343" s="27" t="s">
        <v>1115</v>
      </c>
      <c r="C3343" s="27" t="s">
        <v>1126</v>
      </c>
      <c r="D3343" s="27" t="s">
        <v>1105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259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2627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1123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1111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2628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1617</v>
      </c>
      <c r="B3349" s="27" t="s">
        <v>1259</v>
      </c>
      <c r="C3349" s="27" t="s">
        <v>1126</v>
      </c>
      <c r="D3349" s="27" t="s">
        <v>1105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1145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/>
    </row>
    <row r="3352" spans="1:12">
      <c r="A3352" s="20" t="s">
        <v>2629</v>
      </c>
    </row>
    <row r="3353" spans="1:12">
      <c r="A3353" s="20" t="s">
        <v>1111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1277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2630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2631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2632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1346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2633</v>
      </c>
      <c r="B3359" s="27" t="s">
        <v>1149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1123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1249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2634</v>
      </c>
      <c r="B3362" s="27" t="s">
        <v>1110</v>
      </c>
      <c r="C3362" s="27" t="s">
        <v>1133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2324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2635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2636</v>
      </c>
      <c r="B3365" s="27" t="s">
        <v>1259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1145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/>
    </row>
    <row r="3368" spans="1:12">
      <c r="A3368" s="20" t="s">
        <v>2637</v>
      </c>
    </row>
    <row r="3369" spans="1:12">
      <c r="A3369" s="20" t="s">
        <v>2416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1124</v>
      </c>
      <c r="B3370" s="27" t="s">
        <v>1149</v>
      </c>
      <c r="C3370" s="27" t="s">
        <v>1126</v>
      </c>
      <c r="D3370" s="27" t="s">
        <v>1105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1128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2638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2125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2277</v>
      </c>
      <c r="B3374" s="27" t="s">
        <v>1213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1123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1128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1475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1318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1421</v>
      </c>
      <c r="B3379" s="27" t="s">
        <v>1107</v>
      </c>
      <c r="C3379" s="27" t="s">
        <v>1126</v>
      </c>
      <c r="D3379" s="27" t="s">
        <v>1105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1206</v>
      </c>
      <c r="B3380" s="27" t="s">
        <v>1122</v>
      </c>
      <c r="C3380" s="27" t="s">
        <v>1126</v>
      </c>
      <c r="D3380" s="27" t="s">
        <v>1105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2639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1249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1909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2378</v>
      </c>
      <c r="B3384" s="27" t="s">
        <v>1107</v>
      </c>
      <c r="C3384" s="27" t="s">
        <v>1156</v>
      </c>
      <c r="D3384" s="27" t="s">
        <v>1105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1123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1112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2339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471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1145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/>
    </row>
    <row r="3391" spans="1:12">
      <c r="A3391" s="20" t="s">
        <v>2640</v>
      </c>
    </row>
    <row r="3392" spans="1:12">
      <c r="A3392" s="20" t="s">
        <v>1350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2641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1124</v>
      </c>
      <c r="B3394" s="27" t="s">
        <v>1149</v>
      </c>
      <c r="C3394" s="27" t="s">
        <v>1126</v>
      </c>
      <c r="D3394" s="27" t="s">
        <v>1105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1229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2642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1145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/>
    </row>
    <row r="3399" spans="1:12">
      <c r="A3399" s="20" t="s">
        <v>2643</v>
      </c>
    </row>
    <row r="3400" spans="1:12">
      <c r="A3400" s="20" t="s">
        <v>1225</v>
      </c>
      <c r="B3400" s="27" t="s">
        <v>1149</v>
      </c>
      <c r="C3400" s="27" t="s">
        <v>1108</v>
      </c>
      <c r="D3400" s="27" t="s">
        <v>1105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2644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1184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1473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2645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1145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/>
    </row>
    <row r="3407" spans="1:12">
      <c r="A3407" s="20" t="s">
        <v>2646</v>
      </c>
    </row>
    <row r="3408" spans="1:12">
      <c r="A3408" s="20" t="s">
        <v>1679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1123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1654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2647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2648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1123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2649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1271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2650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1145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2651</v>
      </c>
    </row>
    <row r="3420" spans="1:12">
      <c r="A3420" s="20" t="s">
        <v>1111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1671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1123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1111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1425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1124</v>
      </c>
      <c r="B3425" s="27" t="s">
        <v>1122</v>
      </c>
      <c r="C3425" s="27" t="s">
        <v>1126</v>
      </c>
      <c r="D3425" s="27" t="s">
        <v>1105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1145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/>
    </row>
    <row r="3428" spans="1:12">
      <c r="A3428" s="20" t="s">
        <v>2652</v>
      </c>
    </row>
    <row r="3429" spans="1:12">
      <c r="A3429" s="20" t="s">
        <v>1111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2653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2654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2010</v>
      </c>
      <c r="B3432" s="27" t="s">
        <v>1149</v>
      </c>
      <c r="C3432" s="27" t="s">
        <v>1758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1134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2655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2656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1249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2657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2658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1145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/>
    </row>
    <row r="3441" spans="1:12">
      <c r="A3441" s="20" t="s">
        <v>2659</v>
      </c>
    </row>
    <row r="3442" spans="1:12">
      <c r="A3442" s="20" t="s">
        <v>2545</v>
      </c>
      <c r="B3442" s="27" t="s">
        <v>1149</v>
      </c>
      <c r="C3442" s="27" t="s">
        <v>1108</v>
      </c>
      <c r="D3442" s="27" t="s">
        <v>1105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1507</v>
      </c>
      <c r="B3443" s="27" t="s">
        <v>1107</v>
      </c>
      <c r="C3443" s="27" t="s">
        <v>1108</v>
      </c>
      <c r="D3443" s="27" t="s">
        <v>1105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2660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1128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2661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1184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2662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1145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/>
    </row>
    <row r="3451" spans="1:12">
      <c r="A3451" s="20" t="s">
        <v>2663</v>
      </c>
    </row>
    <row r="3452" spans="1:12">
      <c r="A3452" s="20" t="s">
        <v>2664</v>
      </c>
      <c r="B3452" s="27" t="s">
        <v>1149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1494</v>
      </c>
      <c r="B3453" s="27" t="s">
        <v>1107</v>
      </c>
      <c r="C3453" s="27" t="s">
        <v>1142</v>
      </c>
      <c r="D3453" s="27" t="s">
        <v>1105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2665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2666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2667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1145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/>
    </row>
    <row r="3459" spans="1:12">
      <c r="A3459" s="20" t="s">
        <v>2668</v>
      </c>
    </row>
    <row r="3460" spans="1:12">
      <c r="A3460" s="20" t="s">
        <v>1111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2669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1124</v>
      </c>
      <c r="B3462" s="27" t="s">
        <v>1149</v>
      </c>
      <c r="C3462" s="27" t="s">
        <v>1126</v>
      </c>
      <c r="D3462" s="27" t="s">
        <v>1105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2670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2671</v>
      </c>
      <c r="B3464" s="27" t="s">
        <v>1213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1123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1224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1327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1134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2672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1351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1111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2673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1617</v>
      </c>
      <c r="B3473" s="27" t="s">
        <v>1259</v>
      </c>
      <c r="C3473" s="27" t="s">
        <v>1126</v>
      </c>
      <c r="D3473" s="27" t="s">
        <v>1105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1145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/>
    </row>
    <row r="3476" spans="1:12">
      <c r="A3476" s="20" t="s">
        <v>2674</v>
      </c>
    </row>
    <row r="3477" spans="1:12">
      <c r="A3477" s="20" t="s">
        <v>1111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2675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1184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2676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2103</v>
      </c>
      <c r="B3481" s="27" t="s">
        <v>1103</v>
      </c>
      <c r="C3481" s="27" t="s">
        <v>1116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2677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2678</v>
      </c>
      <c r="B3483" s="27" t="s">
        <v>1149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1334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/>
    </row>
    <row r="3486" spans="1:12">
      <c r="A3486" s="20" t="s">
        <v>2679</v>
      </c>
    </row>
    <row r="3487" spans="1:12">
      <c r="A3487" s="20" t="s">
        <v>1353</v>
      </c>
      <c r="B3487" s="27" t="s">
        <v>1149</v>
      </c>
      <c r="C3487" s="27" t="s">
        <v>1126</v>
      </c>
      <c r="D3487" s="27" t="s">
        <v>1105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2680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1140</v>
      </c>
      <c r="B3489" s="27" t="s">
        <v>1213</v>
      </c>
      <c r="C3489" s="27" t="s">
        <v>1126</v>
      </c>
      <c r="D3489" s="27" t="s">
        <v>1105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2681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1123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2265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2682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2683</v>
      </c>
      <c r="B3494" s="27" t="s">
        <v>1243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1824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2658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1145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/>
    </row>
    <row r="3499" spans="1:12">
      <c r="A3499" s="20" t="s">
        <v>2684</v>
      </c>
    </row>
    <row r="3500" spans="1:12">
      <c r="A3500" s="20" t="s">
        <v>2685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1123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2686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1228</v>
      </c>
      <c r="B3503" s="27" t="s">
        <v>1149</v>
      </c>
      <c r="C3503" s="27" t="s">
        <v>1126</v>
      </c>
      <c r="D3503" s="27" t="s">
        <v>1105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1134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2687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2688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1140</v>
      </c>
      <c r="B3507" s="27" t="s">
        <v>1243</v>
      </c>
      <c r="C3507" s="27" t="s">
        <v>1126</v>
      </c>
      <c r="D3507" s="27" t="s">
        <v>1105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2689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1351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/>
    </row>
    <row r="3511" spans="1:12">
      <c r="A3511" s="20" t="s">
        <v>2690</v>
      </c>
    </row>
    <row r="3512" spans="1:12">
      <c r="A3512" s="20" t="s">
        <v>1615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1124</v>
      </c>
      <c r="B3513" s="27" t="s">
        <v>1149</v>
      </c>
      <c r="C3513" s="27" t="s">
        <v>1126</v>
      </c>
      <c r="D3513" s="27" t="s">
        <v>1105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2324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1173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1184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2304</v>
      </c>
      <c r="B3517" s="27" t="s">
        <v>1103</v>
      </c>
      <c r="C3517" s="27" t="s">
        <v>1142</v>
      </c>
      <c r="D3517" s="27" t="s">
        <v>1105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2691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1351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/>
    </row>
    <row r="3521" spans="1:12">
      <c r="A3521" s="20" t="s">
        <v>2692</v>
      </c>
    </row>
    <row r="3522" spans="1:12">
      <c r="A3522" s="20" t="s">
        <v>2693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2694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2695</v>
      </c>
      <c r="B3524" s="27" t="s">
        <v>1103</v>
      </c>
      <c r="C3524" s="27" t="s">
        <v>1116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1231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2696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2697</v>
      </c>
      <c r="B3527" s="27" t="s">
        <v>1103</v>
      </c>
      <c r="C3527" s="27" t="s">
        <v>1126</v>
      </c>
      <c r="D3527" s="27" t="s">
        <v>1105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1120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1128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2698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1145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/>
    </row>
    <row r="3533" spans="1:12">
      <c r="A3533" s="20" t="s">
        <v>2699</v>
      </c>
    </row>
    <row r="3534" spans="1:12">
      <c r="A3534" s="20" t="s">
        <v>1353</v>
      </c>
      <c r="B3534" s="27" t="s">
        <v>1149</v>
      </c>
      <c r="C3534" s="27" t="s">
        <v>1126</v>
      </c>
      <c r="D3534" s="27" t="s">
        <v>1105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2700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2701</v>
      </c>
      <c r="B3536" s="27" t="s">
        <v>1213</v>
      </c>
      <c r="C3536" s="27" t="s">
        <v>1108</v>
      </c>
      <c r="D3536" s="27" t="s">
        <v>1105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2702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2703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95</v>
      </c>
      <c r="B3539" s="27" t="s">
        <v>1107</v>
      </c>
      <c r="C3539" s="27" t="s">
        <v>1108</v>
      </c>
      <c r="D3539" s="27" t="s">
        <v>1105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1123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1224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1328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2681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1130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2704</v>
      </c>
      <c r="B3545" s="27" t="s">
        <v>1132</v>
      </c>
      <c r="C3545" s="27" t="s">
        <v>1104</v>
      </c>
      <c r="D3545" s="27" t="s">
        <v>1105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1506</v>
      </c>
      <c r="B3546" s="27" t="s">
        <v>1141</v>
      </c>
      <c r="C3546" s="27" t="s">
        <v>1108</v>
      </c>
      <c r="D3546" s="27" t="s">
        <v>1105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2705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1184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1303</v>
      </c>
      <c r="B3549" s="27" t="s">
        <v>1107</v>
      </c>
      <c r="C3549" s="27" t="s">
        <v>1108</v>
      </c>
      <c r="D3549" s="27" t="s">
        <v>1105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11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2706</v>
      </c>
      <c r="B3551" s="27" t="s">
        <v>1122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1145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/>
    </row>
    <row r="3554" spans="1:12">
      <c r="A3554" s="20" t="s">
        <v>2707</v>
      </c>
    </row>
    <row r="3555" spans="1:12">
      <c r="A3555" s="20" t="s">
        <v>2708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1195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1421</v>
      </c>
      <c r="B3557" s="27" t="s">
        <v>1107</v>
      </c>
      <c r="C3557" s="27" t="s">
        <v>1126</v>
      </c>
      <c r="D3557" s="27" t="s">
        <v>1105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2709</v>
      </c>
      <c r="B3558" s="27" t="s">
        <v>1243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1492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1590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1120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883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1145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/>
    </row>
    <row r="3565" spans="1:12">
      <c r="A3565" s="20" t="s">
        <v>2710</v>
      </c>
    </row>
    <row r="3566" spans="1:12">
      <c r="A3566" s="20" t="s">
        <v>2711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2712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2713</v>
      </c>
      <c r="B3568" s="27" t="s">
        <v>1243</v>
      </c>
      <c r="C3568" s="27" t="s">
        <v>1210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1231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2714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2715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1123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1124</v>
      </c>
      <c r="B3573" s="27" t="s">
        <v>1149</v>
      </c>
      <c r="C3573" s="27" t="s">
        <v>1126</v>
      </c>
      <c r="D3573" s="27" t="s">
        <v>1105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2716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2717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2593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1223</v>
      </c>
      <c r="B3577" s="27" t="s">
        <v>1213</v>
      </c>
      <c r="C3577" s="27" t="s">
        <v>1156</v>
      </c>
      <c r="D3577" s="27" t="s">
        <v>1105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1145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/>
    </row>
    <row r="3580" spans="1:12">
      <c r="A3580" s="20" t="s">
        <v>2718</v>
      </c>
    </row>
    <row r="3581" spans="1:12">
      <c r="A3581" s="20" t="s">
        <v>2408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2719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2654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2720</v>
      </c>
      <c r="B3584" s="27" t="s">
        <v>1149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1134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2721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2722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2723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2724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1145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/>
    </row>
    <row r="3592" spans="1:12">
      <c r="A3592" s="20" t="s">
        <v>2725</v>
      </c>
    </row>
    <row r="3593" spans="1:12">
      <c r="A3593" s="20" t="s">
        <v>2281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2726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1124</v>
      </c>
      <c r="B3595" s="27" t="s">
        <v>1149</v>
      </c>
      <c r="C3595" s="27" t="s">
        <v>1126</v>
      </c>
      <c r="D3595" s="27" t="s">
        <v>1105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2167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1169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2727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1184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2728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2481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2729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2730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2731</v>
      </c>
      <c r="B3604" s="27" t="s">
        <v>1110</v>
      </c>
      <c r="C3604" s="27" t="s">
        <v>1108</v>
      </c>
      <c r="D3604" s="27" t="s">
        <v>1105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1145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/>
    </row>
    <row r="3607" spans="1:12">
      <c r="A3607" s="20" t="s">
        <v>2732</v>
      </c>
    </row>
    <row r="3608" spans="1:12">
      <c r="A3608" s="20" t="s">
        <v>1277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2733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1606</v>
      </c>
      <c r="B3610" s="27" t="s">
        <v>1213</v>
      </c>
      <c r="C3610" s="27" t="s">
        <v>1126</v>
      </c>
      <c r="D3610" s="27" t="s">
        <v>1105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2734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1120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2735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2736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2737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1203</v>
      </c>
      <c r="B3616" s="27" t="s">
        <v>1243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1123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1128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1113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2052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1421</v>
      </c>
      <c r="B3621" s="27" t="s">
        <v>1110</v>
      </c>
      <c r="C3621" s="27" t="s">
        <v>1126</v>
      </c>
      <c r="D3621" s="27" t="s">
        <v>1105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1505</v>
      </c>
      <c r="B3622" s="27" t="s">
        <v>1259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1506</v>
      </c>
      <c r="B3623" s="27" t="s">
        <v>1132</v>
      </c>
      <c r="C3623" s="27" t="s">
        <v>1108</v>
      </c>
      <c r="D3623" s="27" t="s">
        <v>1105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1260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1921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1180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1616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2738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1123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2739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2740</v>
      </c>
      <c r="B3631" s="27" t="s">
        <v>1110</v>
      </c>
      <c r="C3631" s="27" t="s">
        <v>1156</v>
      </c>
      <c r="D3631" s="27" t="s">
        <v>1105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1123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2741</v>
      </c>
      <c r="B3633" s="27" t="s">
        <v>1870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2742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2635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1184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2743</v>
      </c>
      <c r="B3637" s="27" t="s">
        <v>1141</v>
      </c>
      <c r="C3637" s="27" t="s">
        <v>1108</v>
      </c>
      <c r="D3637" s="27" t="s">
        <v>1105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2744</v>
      </c>
      <c r="B3638" s="27" t="s">
        <v>1141</v>
      </c>
      <c r="C3638" s="27" t="s">
        <v>1104</v>
      </c>
      <c r="D3638" s="27" t="s">
        <v>1105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1154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2745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2746</v>
      </c>
      <c r="B3641" s="27" t="s">
        <v>1307</v>
      </c>
      <c r="C3641" s="27" t="s">
        <v>1156</v>
      </c>
      <c r="D3641" s="27" t="s">
        <v>1105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1145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/>
    </row>
    <row r="3644" spans="1:12">
      <c r="A3644" s="20" t="s">
        <v>2747</v>
      </c>
    </row>
    <row r="3645" spans="1:12">
      <c r="A3645" s="20" t="s">
        <v>1368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1369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2748</v>
      </c>
      <c r="B3647" s="27" t="s">
        <v>1107</v>
      </c>
      <c r="C3647" s="27" t="s">
        <v>1142</v>
      </c>
      <c r="D3647" s="27" t="s">
        <v>1105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2450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2749</v>
      </c>
      <c r="B3649" s="27" t="s">
        <v>1149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1919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2750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1271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2751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1145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/>
    </row>
    <row r="3656" spans="1:12">
      <c r="A3656" s="20" t="s">
        <v>2752</v>
      </c>
    </row>
    <row r="3657" spans="1:12">
      <c r="A3657" s="20" t="s">
        <v>2753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1186</v>
      </c>
      <c r="B3658" s="27" t="s">
        <v>1243</v>
      </c>
      <c r="C3658" s="27" t="s">
        <v>1126</v>
      </c>
      <c r="D3658" s="27" t="s">
        <v>1105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1123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1228</v>
      </c>
      <c r="B3660" s="27" t="s">
        <v>1149</v>
      </c>
      <c r="C3660" s="27" t="s">
        <v>1126</v>
      </c>
      <c r="D3660" s="27" t="s">
        <v>1105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2754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1123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2265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2755</v>
      </c>
      <c r="B3664" s="27" t="s">
        <v>1122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2756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2681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1130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1722</v>
      </c>
      <c r="B3668" s="27" t="s">
        <v>1110</v>
      </c>
      <c r="C3668" s="27" t="s">
        <v>1126</v>
      </c>
      <c r="D3668" s="27" t="s">
        <v>1105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1206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1453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2093</v>
      </c>
      <c r="B3671" s="27" t="s">
        <v>1243</v>
      </c>
      <c r="C3671" s="27" t="s">
        <v>1156</v>
      </c>
      <c r="D3671" s="27" t="s">
        <v>1105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1128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2757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2758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1123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1731</v>
      </c>
      <c r="B3676" s="27" t="s">
        <v>1125</v>
      </c>
      <c r="C3676" s="27" t="s">
        <v>1133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1842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2759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2760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1636</v>
      </c>
      <c r="B3680" s="27" t="s">
        <v>1141</v>
      </c>
      <c r="C3680" s="27" t="s">
        <v>1142</v>
      </c>
      <c r="D3680" s="27" t="s">
        <v>1105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1694</v>
      </c>
      <c r="B3681" s="27" t="s">
        <v>1144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1128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2761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2007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2762</v>
      </c>
      <c r="B3685" s="27" t="s">
        <v>1141</v>
      </c>
      <c r="C3685" s="27" t="s">
        <v>1116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1145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/>
    </row>
    <row r="3688" spans="1:12">
      <c r="A3688" s="20" t="s">
        <v>2763</v>
      </c>
    </row>
    <row r="3689" spans="1:12">
      <c r="A3689" s="20" t="s">
        <v>2281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2726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263</v>
      </c>
      <c r="B3691" s="27" t="s">
        <v>1149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2764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1123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1128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2524</v>
      </c>
      <c r="B3695" s="27" t="s">
        <v>1122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1507</v>
      </c>
      <c r="B3696" s="27" t="s">
        <v>1110</v>
      </c>
      <c r="C3696" s="27" t="s">
        <v>1108</v>
      </c>
      <c r="D3696" s="27" t="s">
        <v>1105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2765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1270</v>
      </c>
      <c r="B3698" s="27" t="s">
        <v>1243</v>
      </c>
      <c r="C3698" s="27" t="s">
        <v>1126</v>
      </c>
      <c r="D3698" s="27" t="s">
        <v>1105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1271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2282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2766</v>
      </c>
      <c r="B3701" s="27" t="s">
        <v>1107</v>
      </c>
      <c r="C3701" s="27" t="s">
        <v>1156</v>
      </c>
      <c r="D3701" s="27" t="s">
        <v>1105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1123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228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2767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2768</v>
      </c>
      <c r="B3705" s="27" t="s">
        <v>1125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1123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2769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1824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2658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1145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/>
    </row>
    <row r="3712" spans="1:12">
      <c r="A3712" s="20" t="s">
        <v>2770</v>
      </c>
    </row>
    <row r="3713" spans="1:12">
      <c r="A3713" s="20" t="s">
        <v>2455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1609</v>
      </c>
      <c r="B3714" s="27" t="s">
        <v>1149</v>
      </c>
      <c r="C3714" s="27" t="s">
        <v>1156</v>
      </c>
      <c r="D3714" s="27" t="s">
        <v>1105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1130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2007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2771</v>
      </c>
      <c r="B3717" s="27" t="s">
        <v>1107</v>
      </c>
      <c r="C3717" s="27" t="s">
        <v>1116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1128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2772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2773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1270</v>
      </c>
      <c r="B3721" s="27" t="s">
        <v>1213</v>
      </c>
      <c r="C3721" s="27" t="s">
        <v>1126</v>
      </c>
      <c r="D3721" s="27" t="s">
        <v>1105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1253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2048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2559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1123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135</v>
      </c>
      <c r="B3726" s="27" t="s">
        <v>1122</v>
      </c>
      <c r="C3726" s="27" t="s">
        <v>1133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1242</v>
      </c>
      <c r="B3727" s="27" t="s">
        <v>1103</v>
      </c>
      <c r="C3727" s="27" t="s">
        <v>1126</v>
      </c>
      <c r="D3727" s="27" t="s">
        <v>1105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1113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2300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1128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2774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2775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1123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1239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2776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1309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1494</v>
      </c>
      <c r="B3737" s="27" t="s">
        <v>1307</v>
      </c>
      <c r="C3737" s="27" t="s">
        <v>1142</v>
      </c>
      <c r="D3737" s="27" t="s">
        <v>1105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 t="s">
        <v>1694</v>
      </c>
      <c r="B3738" s="27" t="s">
        <v>1870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1145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/>
    </row>
    <row r="3741" spans="1:12">
      <c r="A3741" s="20" t="s">
        <v>2777</v>
      </c>
    </row>
    <row r="3742" spans="1:12">
      <c r="A3742" s="20" t="s">
        <v>1353</v>
      </c>
      <c r="B3742" s="27" t="s">
        <v>1149</v>
      </c>
      <c r="C3742" s="27" t="s">
        <v>1126</v>
      </c>
      <c r="D3742" s="27" t="s">
        <v>1105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2778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1130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2153</v>
      </c>
      <c r="B3745" s="27" t="s">
        <v>1103</v>
      </c>
      <c r="C3745" s="27" t="s">
        <v>1126</v>
      </c>
      <c r="D3745" s="27" t="s">
        <v>1105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1249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1256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2779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2780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1123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 t="s">
        <v>2781</v>
      </c>
      <c r="E3751" s="21">
        <f>IF(D3751="?OLD","!!!","")</f>
        <v/>
      </c>
      <c r="F3751" s="22" t="str">
        <f>IF(OR(E3751="",E3751="!!!"),"",IF(NOT(ISNA(VLOOKUP(E3751,E$1:E3750,1,FALSE()))),"OLD",IF(AND(E3751&lt;&gt;"",E3751&lt;&gt;"!!!"),"NEW","")))</f>
        <v> </v>
      </c>
      <c r="G3751" s="23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4" t="str">
        <f>IF(J3751&lt;&gt;1,"",IF(I3751="SBJ","CB","?"))</f>
        <v> </v>
      </c>
      <c r="I3751" s="25" t="str">
        <f>IF(OR(E3751="",E3751="!!!",F3751="NEW"),"",INDEX(B3750:B$2,-1+SUMPRODUCT(MAX(ROW(E3750:E$2)*(E3751=E3750:E$2)))))</f>
        <v> </v>
      </c>
      <c r="J3751" s="25" t="str">
        <f>IF(OR(E3751="",E3751="!!!",F3751="NEW"),"",COUNTBLANK(OFFSET(A$1,,,SUMPRODUCT(MAX(ROW(E$2:E3751)*(E3751=E$2:E3751)))))-COUNTBLANK(OFFSET(A$1,,,SUMPRODUCT(MAX(ROW(E$1:E3750)*(E2=E$1:E3750))))))</f>
        <v> </v>
      </c>
      <c r="K3751" s="25" t="str">
        <f>IF(OR(E3751="",E3751="!!!",F3751="NEW"),"",INDEX(J$1:J3750,SUMPRODUCT(MAX(ROW(E$1:E3750)*(E3751=E$1:E3750)))))</f>
        <v> </v>
      </c>
      <c r="L3751" s="26"/>
    </row>
    <row r="3752" spans="1:12">
      <c r="A3752" s="20" t="s">
        <v>2782</v>
      </c>
      <c r="E3752" s="21">
        <f>IF(D3752="?OLD","!!!","")</f>
        <v/>
      </c>
      <c r="F3752" s="22" t="str">
        <f>IF(OR(E3752="",E3752="!!!"),"",IF(NOT(ISNA(VLOOKUP(E3752,E$1:E3751,1,FALSE()))),"OLD",IF(AND(E3752&lt;&gt;"",E3752&lt;&gt;"!!!"),"NEW","")))</f>
        <v> </v>
      </c>
      <c r="G3752" s="23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4" t="str">
        <f>IF(J3752&lt;&gt;1,"",IF(I3752="SBJ","CB","?"))</f>
        <v> </v>
      </c>
      <c r="I3752" s="25" t="str">
        <f>IF(OR(E3752="",E3752="!!!",F3752="NEW"),"",INDEX(B3751:B$2,-1+SUMPRODUCT(MAX(ROW(E3751:E$2)*(E3752=E3751:E$2)))))</f>
        <v> </v>
      </c>
      <c r="J3752" s="25" t="str">
        <f>IF(OR(E3752="",E3752="!!!",F3752="NEW"),"",COUNTBLANK(OFFSET(A$1,,,SUMPRODUCT(MAX(ROW(E$2:E3752)*(E3752=E$2:E3752)))))-COUNTBLANK(OFFSET(A$1,,,SUMPRODUCT(MAX(ROW(E$1:E3751)*(E2=E$1:E3751))))))</f>
        <v> </v>
      </c>
      <c r="K3752" s="25" t="str">
        <f>IF(OR(E3752="",E3752="!!!",F3752="NEW"),"",INDEX(J$1:J3751,SUMPRODUCT(MAX(ROW(E$1:E3751)*(E3752=E$1:E3751)))))</f>
        <v> </v>
      </c>
      <c r="L3752" s="26"/>
    </row>
    <row r="3753" spans="1:12">
      <c r="A3753" s="20" t="s">
        <v>1184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2658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1145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/>
    </row>
    <row r="3757" spans="1:12">
      <c r="A3757" s="20" t="s">
        <v>2783</v>
      </c>
    </row>
    <row r="3758" spans="1:12">
      <c r="A3758" s="20" t="s">
        <v>2784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2785</v>
      </c>
      <c r="B3759" s="27" t="s">
        <v>1149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1123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2786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 t="s">
        <v>1121</v>
      </c>
      <c r="E3762" s="21">
        <f>IF(D3762="?OLD","!!!","")</f>
        <v/>
      </c>
      <c r="F3762" s="22" t="str">
        <f>IF(OR(E3762="",E3762="!!!"),"",IF(NOT(ISNA(VLOOKUP(E3762,E$1:E3761,1,FALSE()))),"OLD",IF(AND(E3762&lt;&gt;"",E3762&lt;&gt;"!!!"),"NEW","")))</f>
        <v> </v>
      </c>
      <c r="G3762" s="23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4" t="str">
        <f>IF(J3762&lt;&gt;1,"",IF(I3762="SBJ","CB","?"))</f>
        <v> </v>
      </c>
      <c r="I3762" s="25" t="str">
        <f>IF(OR(E3762="",E3762="!!!",F3762="NEW"),"",INDEX(B3761:B$2,-1+SUMPRODUCT(MAX(ROW(E3761:E$2)*(E3762=E3761:E$2)))))</f>
        <v> </v>
      </c>
      <c r="J3762" s="25" t="str">
        <f>IF(OR(E3762="",E3762="!!!",F3762="NEW"),"",COUNTBLANK(OFFSET(A$1,,,SUMPRODUCT(MAX(ROW(E$2:E3762)*(E3762=E$2:E3762)))))-COUNTBLANK(OFFSET(A$1,,,SUMPRODUCT(MAX(ROW(E$1:E3761)*(E2=E$1:E3761))))))</f>
        <v> </v>
      </c>
      <c r="K3762" s="25" t="str">
        <f>IF(OR(E3762="",E3762="!!!",F3762="NEW"),"",INDEX(J$1:J3761,SUMPRODUCT(MAX(ROW(E$1:E3761)*(E3762=E$1:E3761)))))</f>
        <v> </v>
      </c>
      <c r="L3762" s="26"/>
    </row>
    <row r="3763" spans="1:12">
      <c r="A3763" s="20" t="s">
        <v>1475</v>
      </c>
      <c r="E3763" s="21">
        <f>IF(D3763="?OLD","!!!","")</f>
        <v/>
      </c>
      <c r="F3763" s="22" t="str">
        <f>IF(OR(E3763="",E3763="!!!"),"",IF(NOT(ISNA(VLOOKUP(E3763,E$1:E3762,1,FALSE()))),"OLD",IF(AND(E3763&lt;&gt;"",E3763&lt;&gt;"!!!"),"NEW","")))</f>
        <v> </v>
      </c>
      <c r="G3763" s="23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4" t="str">
        <f>IF(J3763&lt;&gt;1,"",IF(I3763="SBJ","CB","?"))</f>
        <v> </v>
      </c>
      <c r="I3763" s="25" t="str">
        <f>IF(OR(E3763="",E3763="!!!",F3763="NEW"),"",INDEX(B3762:B$2,-1+SUMPRODUCT(MAX(ROW(E3762:E$2)*(E3763=E3762:E$2)))))</f>
        <v> </v>
      </c>
      <c r="J3763" s="25" t="str">
        <f>IF(OR(E3763="",E3763="!!!",F3763="NEW"),"",COUNTBLANK(OFFSET(A$1,,,SUMPRODUCT(MAX(ROW(E$2:E3763)*(E3763=E$2:E3763)))))-COUNTBLANK(OFFSET(A$1,,,SUMPRODUCT(MAX(ROW(E$1:E3762)*(E2=E$1:E3762))))))</f>
        <v> </v>
      </c>
      <c r="K3763" s="25" t="str">
        <f>IF(OR(E3763="",E3763="!!!",F3763="NEW"),"",INDEX(J$1:J3762,SUMPRODUCT(MAX(ROW(E$1:E3762)*(E3763=E$1:E3762)))))</f>
        <v> </v>
      </c>
      <c r="L3763" s="26"/>
    </row>
    <row r="3764" spans="1:12">
      <c r="A3764" s="20" t="s">
        <v>1123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1121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2787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1123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2788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2683</v>
      </c>
      <c r="B3769" s="27" t="s">
        <v>1213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1123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 t="s">
        <v>2789</v>
      </c>
      <c r="E3771" s="21">
        <f>IF(D3771="?OLD","!!!","")</f>
        <v/>
      </c>
      <c r="F3771" s="22" t="str">
        <f>IF(OR(E3771="",E3771="!!!"),"",IF(NOT(ISNA(VLOOKUP(E3771,E$1:E3770,1,FALSE()))),"OLD",IF(AND(E3771&lt;&gt;"",E3771&lt;&gt;"!!!"),"NEW","")))</f>
        <v> </v>
      </c>
      <c r="G3771" s="23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4" t="str">
        <f>IF(J3771&lt;&gt;1,"",IF(I3771="SBJ","CB","?"))</f>
        <v> </v>
      </c>
      <c r="I3771" s="25" t="str">
        <f>IF(OR(E3771="",E3771="!!!",F3771="NEW"),"",INDEX(B3770:B$2,-1+SUMPRODUCT(MAX(ROW(E3770:E$2)*(E3771=E3770:E$2)))))</f>
        <v> </v>
      </c>
      <c r="J3771" s="25" t="str">
        <f>IF(OR(E3771="",E3771="!!!",F3771="NEW"),"",COUNTBLANK(OFFSET(A$1,,,SUMPRODUCT(MAX(ROW(E$2:E3771)*(E3771=E$2:E3771)))))-COUNTBLANK(OFFSET(A$1,,,SUMPRODUCT(MAX(ROW(E$1:E3770)*(E2=E$1:E3770))))))</f>
        <v> </v>
      </c>
      <c r="K3771" s="25" t="str">
        <f>IF(OR(E3771="",E3771="!!!",F3771="NEW"),"",INDEX(J$1:J3770,SUMPRODUCT(MAX(ROW(E$1:E3770)*(E3771=E$1:E3770)))))</f>
        <v> </v>
      </c>
      <c r="L3771" s="26"/>
    </row>
    <row r="3772" spans="1:12">
      <c r="A3772" s="20" t="s">
        <v>2790</v>
      </c>
      <c r="E3772" s="21">
        <f>IF(D3772="?OLD","!!!","")</f>
        <v/>
      </c>
      <c r="F3772" s="22" t="str">
        <f>IF(OR(E3772="",E3772="!!!"),"",IF(NOT(ISNA(VLOOKUP(E3772,E$1:E3771,1,FALSE()))),"OLD",IF(AND(E3772&lt;&gt;"",E3772&lt;&gt;"!!!"),"NEW","")))</f>
        <v> </v>
      </c>
      <c r="G3772" s="23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4" t="str">
        <f>IF(J3772&lt;&gt;1,"",IF(I3772="SBJ","CB","?"))</f>
        <v> </v>
      </c>
      <c r="I3772" s="25" t="str">
        <f>IF(OR(E3772="",E3772="!!!",F3772="NEW"),"",INDEX(B3771:B$2,-1+SUMPRODUCT(MAX(ROW(E3771:E$2)*(E3772=E3771:E$2)))))</f>
        <v> </v>
      </c>
      <c r="J3772" s="25" t="str">
        <f>IF(OR(E3772="",E3772="!!!",F3772="NEW"),"",COUNTBLANK(OFFSET(A$1,,,SUMPRODUCT(MAX(ROW(E$2:E3772)*(E3772=E$2:E3772)))))-COUNTBLANK(OFFSET(A$1,,,SUMPRODUCT(MAX(ROW(E$1:E3771)*(E2=E$1:E3771))))))</f>
        <v> </v>
      </c>
      <c r="K3772" s="25" t="str">
        <f>IF(OR(E3772="",E3772="!!!",F3772="NEW"),"",INDEX(J$1:J3771,SUMPRODUCT(MAX(ROW(E$1:E3771)*(E3772=E$1:E3771)))))</f>
        <v> </v>
      </c>
      <c r="L3772" s="26"/>
    </row>
    <row r="3773" spans="1:12">
      <c r="A3773" s="20" t="s">
        <v>1195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2791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1271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2792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1123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2188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2793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2794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 t="s">
        <v>2795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1123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1731</v>
      </c>
      <c r="B3783" s="27" t="s">
        <v>2496</v>
      </c>
      <c r="C3783" s="27" t="s">
        <v>1133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2796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1173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2797</v>
      </c>
      <c r="B3786" s="27" t="s">
        <v>2798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2799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1123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1181</v>
      </c>
      <c r="B3789" s="27" t="s">
        <v>2800</v>
      </c>
      <c r="C3789" s="27" t="s">
        <v>1133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2324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2801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1130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2802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2803</v>
      </c>
      <c r="B3794" s="27" t="s">
        <v>2804</v>
      </c>
      <c r="C3794" s="27" t="s">
        <v>1156</v>
      </c>
      <c r="D3794" s="27" t="s">
        <v>1105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1145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/>
    </row>
    <row r="3797" spans="1:12">
      <c r="A3797" s="20" t="s">
        <v>2805</v>
      </c>
    </row>
    <row r="3798" spans="1:12">
      <c r="A3798" s="20" t="s">
        <v>2553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 t="s">
        <v>2806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 t="s">
        <v>2807</v>
      </c>
      <c r="E3800" s="21">
        <f>IF(D3800="?OLD","!!!","")</f>
        <v/>
      </c>
      <c r="F3800" s="22" t="str">
        <f>IF(OR(E3800="",E3800="!!!"),"",IF(NOT(ISNA(VLOOKUP(E3800,E$1:E3799,1,FALSE()))),"OLD",IF(AND(E3800&lt;&gt;"",E3800&lt;&gt;"!!!"),"NEW","")))</f>
        <v> </v>
      </c>
      <c r="G3800" s="23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4" t="str">
        <f>IF(J3800&lt;&gt;1,"",IF(I3800="SBJ","CB","?"))</f>
        <v> </v>
      </c>
      <c r="I3800" s="25" t="str">
        <f>IF(OR(E3800="",E3800="!!!",F3800="NEW"),"",INDEX(B3799:B$2,-1+SUMPRODUCT(MAX(ROW(E3799:E$2)*(E3800=E3799:E$2)))))</f>
        <v> </v>
      </c>
      <c r="J3800" s="25" t="str">
        <f>IF(OR(E3800="",E3800="!!!",F3800="NEW"),"",COUNTBLANK(OFFSET(A$1,,,SUMPRODUCT(MAX(ROW(E$2:E3800)*(E3800=E$2:E3800)))))-COUNTBLANK(OFFSET(A$1,,,SUMPRODUCT(MAX(ROW(E$1:E3799)*(E2=E$1:E3799))))))</f>
        <v> </v>
      </c>
      <c r="K3800" s="25" t="str">
        <f>IF(OR(E3800="",E3800="!!!",F3800="NEW"),"",INDEX(J$1:J3799,SUMPRODUCT(MAX(ROW(E$1:E3799)*(E3800=E$1:E3799)))))</f>
        <v> </v>
      </c>
      <c r="L3800" s="26"/>
    </row>
    <row r="3801" spans="1:12">
      <c r="A3801" s="20" t="s">
        <v>1128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2808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2809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2810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1391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1393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2811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2812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2813</v>
      </c>
      <c r="B3809" s="27" t="s">
        <v>1149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1145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/>
    </row>
    <row r="3812" spans="1:12">
      <c r="A3812" s="20" t="s">
        <v>2814</v>
      </c>
    </row>
    <row r="3813" spans="1:12">
      <c r="A3813" s="20" t="s">
        <v>1353</v>
      </c>
      <c r="B3813" s="27" t="s">
        <v>1149</v>
      </c>
      <c r="C3813" s="27" t="s">
        <v>1126</v>
      </c>
      <c r="D3813" s="27" t="s">
        <v>1105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1121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1128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1930</v>
      </c>
      <c r="B3816" s="27" t="s">
        <v>1103</v>
      </c>
      <c r="C3816" s="27" t="s">
        <v>1156</v>
      </c>
      <c r="D3816" s="27" t="s">
        <v>1105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2815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1123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2816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1253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2817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1184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2818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2819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2820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1123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2821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2247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2822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1249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2823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1145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/>
    </row>
    <row r="3834" spans="1:12">
      <c r="A3834" s="20" t="s">
        <v>2824</v>
      </c>
    </row>
    <row r="3835" spans="1:12">
      <c r="A3835" s="20" t="s">
        <v>2825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2826</v>
      </c>
      <c r="B3836" s="27" t="s">
        <v>1149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2827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1271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2446</v>
      </c>
      <c r="B3839" s="27" t="s">
        <v>1107</v>
      </c>
      <c r="C3839" s="27" t="s">
        <v>1142</v>
      </c>
      <c r="D3839" s="27" t="s">
        <v>1105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2521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1123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1128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1494</v>
      </c>
      <c r="B3843" s="27" t="s">
        <v>1110</v>
      </c>
      <c r="C3843" s="27" t="s">
        <v>1126</v>
      </c>
      <c r="D3843" s="27" t="s">
        <v>1105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2828</v>
      </c>
      <c r="B3844" s="27" t="s">
        <v>1122</v>
      </c>
      <c r="C3844" s="27" t="s">
        <v>1104</v>
      </c>
      <c r="D3844" s="27" t="s">
        <v>1105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1309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2829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2830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1123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135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2831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1123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2832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2833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2834</v>
      </c>
      <c r="B3854" s="27" t="s">
        <v>1870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2835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1270</v>
      </c>
      <c r="B3856" s="27" t="s">
        <v>2162</v>
      </c>
      <c r="C3856" s="27" t="s">
        <v>1126</v>
      </c>
      <c r="D3856" s="27" t="s">
        <v>1105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1184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1427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2836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2837</v>
      </c>
      <c r="B3860" s="27" t="s">
        <v>1141</v>
      </c>
      <c r="C3860" s="27" t="s">
        <v>1156</v>
      </c>
      <c r="D3860" s="27" t="s">
        <v>1105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1145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/>
    </row>
    <row r="3863" spans="1:12">
      <c r="A3863" s="20" t="s">
        <v>2838</v>
      </c>
    </row>
    <row r="3864" spans="1:12">
      <c r="A3864" s="20" t="s">
        <v>1928</v>
      </c>
      <c r="E3864" s="21">
        <f>IF(D3864="?OLD","!!!","")</f>
        <v/>
      </c>
      <c r="F3864" s="22" t="str">
        <f>IF(OR(E3864="",E3864="!!!"),"",IF(NOT(ISNA(VLOOKUP(E3864,E$1:E3863,1,FALSE()))),"OLD",IF(AND(E3864&lt;&gt;"",E3864&lt;&gt;"!!!"),"NEW","")))</f>
        <v> </v>
      </c>
      <c r="G3864" s="23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4" t="str">
        <f>IF(J3864&lt;&gt;1,"",IF(I3864="SBJ","CB","?"))</f>
        <v> </v>
      </c>
      <c r="I3864" s="25" t="str">
        <f>IF(OR(E3864="",E3864="!!!",F3864="NEW"),"",INDEX(B3863:B$2,-1+SUMPRODUCT(MAX(ROW(E3863:E$2)*(E3864=E3863:E$2)))))</f>
        <v> </v>
      </c>
      <c r="J3864" s="25" t="str">
        <f>IF(OR(E3864="",E3864="!!!",F3864="NEW"),"",COUNTBLANK(OFFSET(A$1,,,SUMPRODUCT(MAX(ROW(E$2:E3864)*(E3864=E$2:E3864)))))-COUNTBLANK(OFFSET(A$1,,,SUMPRODUCT(MAX(ROW(E$1:E3863)*(E2=E$1:E3863))))))</f>
        <v> </v>
      </c>
      <c r="K3864" s="25" t="str">
        <f>IF(OR(E3864="",E3864="!!!",F3864="NEW"),"",INDEX(J$1:J3863,SUMPRODUCT(MAX(ROW(E$1:E3863)*(E3864=E$1:E3863)))))</f>
        <v> </v>
      </c>
      <c r="L3864" s="26"/>
    </row>
    <row r="3865" spans="1:12">
      <c r="A3865" s="20" t="s">
        <v>2019</v>
      </c>
      <c r="E3865" s="21">
        <f>IF(D3865="?OLD","!!!","")</f>
        <v/>
      </c>
      <c r="F3865" s="22" t="str">
        <f>IF(OR(E3865="",E3865="!!!"),"",IF(NOT(ISNA(VLOOKUP(E3865,E$1:E3864,1,FALSE()))),"OLD",IF(AND(E3865&lt;&gt;"",E3865&lt;&gt;"!!!"),"NEW","")))</f>
        <v> </v>
      </c>
      <c r="G3865" s="23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4" t="str">
        <f>IF(J3865&lt;&gt;1,"",IF(I3865="SBJ","CB","?"))</f>
        <v> </v>
      </c>
      <c r="I3865" s="25" t="str">
        <f>IF(OR(E3865="",E3865="!!!",F3865="NEW"),"",INDEX(B3864:B$2,-1+SUMPRODUCT(MAX(ROW(E3864:E$2)*(E3865=E3864:E$2)))))</f>
        <v> </v>
      </c>
      <c r="J3865" s="25" t="str">
        <f>IF(OR(E3865="",E3865="!!!",F3865="NEW"),"",COUNTBLANK(OFFSET(A$1,,,SUMPRODUCT(MAX(ROW(E$2:E3865)*(E3865=E$2:E3865)))))-COUNTBLANK(OFFSET(A$1,,,SUMPRODUCT(MAX(ROW(E$1:E3864)*(E2=E$1:E3864))))))</f>
        <v> </v>
      </c>
      <c r="K3865" s="25" t="str">
        <f>IF(OR(E3865="",E3865="!!!",F3865="NEW"),"",INDEX(J$1:J3864,SUMPRODUCT(MAX(ROW(E$1:E3864)*(E3865=E$1:E3864)))))</f>
        <v> </v>
      </c>
      <c r="L3865" s="26"/>
    </row>
    <row r="3866" spans="1:12">
      <c r="A3866" s="20" t="s">
        <v>1242</v>
      </c>
      <c r="B3866" s="27" t="s">
        <v>1213</v>
      </c>
      <c r="C3866" s="27" t="s">
        <v>1126</v>
      </c>
      <c r="D3866" s="27" t="s">
        <v>1105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2839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1113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2840</v>
      </c>
      <c r="B3869" s="27" t="s">
        <v>1149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11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1680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2841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1123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135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1134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1217</v>
      </c>
      <c r="B3876" s="27" t="s">
        <v>1125</v>
      </c>
      <c r="C3876" s="27" t="s">
        <v>1126</v>
      </c>
      <c r="D3876" s="27" t="s">
        <v>1105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2842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2843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1253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2844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2845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2846</v>
      </c>
      <c r="B3882" s="27" t="s">
        <v>1132</v>
      </c>
      <c r="C3882" s="27" t="s">
        <v>1156</v>
      </c>
      <c r="D3882" s="27" t="s">
        <v>1105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1145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/>
    </row>
    <row r="3885" spans="1:12">
      <c r="A3885" s="20" t="s">
        <v>2847</v>
      </c>
    </row>
    <row r="3886" spans="1:12">
      <c r="A3886" s="20" t="s">
        <v>1928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2792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1123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2848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2849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2850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1123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2851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2852</v>
      </c>
      <c r="B3894" s="27" t="s">
        <v>1149</v>
      </c>
      <c r="C3894" s="27" t="s">
        <v>1133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2853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1145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/>
    </row>
    <row r="3898" spans="1:12">
      <c r="A3898" s="20" t="s">
        <v>2854</v>
      </c>
    </row>
    <row r="3899" spans="1:12">
      <c r="A3899" s="20" t="s">
        <v>2855</v>
      </c>
      <c r="E3899" s="21">
        <f>IF(D3899="?OLD","!!!","")</f>
        <v/>
      </c>
      <c r="F3899" s="22" t="str">
        <f>IF(OR(E3899="",E3899="!!!"),"",IF(NOT(ISNA(VLOOKUP(E3899,E$1:E3898,1,FALSE()))),"OLD",IF(AND(E3899&lt;&gt;"",E3899&lt;&gt;"!!!"),"NEW","")))</f>
        <v> </v>
      </c>
      <c r="G3899" s="23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4" t="str">
        <f>IF(J3899&lt;&gt;1,"",IF(I3899="SBJ","CB","?"))</f>
        <v> </v>
      </c>
      <c r="I3899" s="25" t="str">
        <f>IF(OR(E3899="",E3899="!!!",F3899="NEW"),"",INDEX(B3898:B$2,-1+SUMPRODUCT(MAX(ROW(E3898:E$2)*(E3899=E3898:E$2)))))</f>
        <v> </v>
      </c>
      <c r="J3899" s="25" t="str">
        <f>IF(OR(E3899="",E3899="!!!",F3899="NEW"),"",COUNTBLANK(OFFSET(A$1,,,SUMPRODUCT(MAX(ROW(E$2:E3899)*(E3899=E$2:E3899)))))-COUNTBLANK(OFFSET(A$1,,,SUMPRODUCT(MAX(ROW(E$1:E3898)*(E2=E$1:E3898))))))</f>
        <v> </v>
      </c>
      <c r="K3899" s="25" t="str">
        <f>IF(OR(E3899="",E3899="!!!",F3899="NEW"),"",INDEX(J$1:J3898,SUMPRODUCT(MAX(ROW(E$1:E3898)*(E3899=E$1:E3898)))))</f>
        <v> </v>
      </c>
      <c r="L3899" s="26"/>
    </row>
    <row r="3900" spans="1:12">
      <c r="A3900" s="20" t="s">
        <v>1470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1145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/>
    </row>
    <row r="3903" spans="1:12">
      <c r="A3903" s="20" t="s">
        <v>2856</v>
      </c>
    </row>
    <row r="3904" spans="1:12">
      <c r="A3904" s="20" t="s">
        <v>1225</v>
      </c>
      <c r="B3904" s="27" t="s">
        <v>1149</v>
      </c>
      <c r="C3904" s="27" t="s">
        <v>1108</v>
      </c>
      <c r="D3904" s="27" t="s">
        <v>1105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1926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2857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1253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2858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1184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2859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 t="s">
        <v>1123</v>
      </c>
      <c r="E3911" s="21">
        <f>IF(D3911="?OLD","!!!","")</f>
        <v/>
      </c>
      <c r="F3911" s="22" t="str">
        <f>IF(OR(E3911="",E3911="!!!"),"",IF(NOT(ISNA(VLOOKUP(E3911,E$1:E3910,1,FALSE()))),"OLD",IF(AND(E3911&lt;&gt;"",E3911&lt;&gt;"!!!"),"NEW","")))</f>
        <v> </v>
      </c>
      <c r="G3911" s="23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4" t="str">
        <f>IF(J3911&lt;&gt;1,"",IF(I3911="SBJ","CB","?"))</f>
        <v> </v>
      </c>
      <c r="I3911" s="25" t="str">
        <f>IF(OR(E3911="",E3911="!!!",F3911="NEW"),"",INDEX(B3910:B$2,-1+SUMPRODUCT(MAX(ROW(E3910:E$2)*(E3911=E3910:E$2)))))</f>
        <v> </v>
      </c>
      <c r="J3911" s="25" t="str">
        <f>IF(OR(E3911="",E3911="!!!",F3911="NEW"),"",COUNTBLANK(OFFSET(A$1,,,SUMPRODUCT(MAX(ROW(E$2:E3911)*(E3911=E$2:E3911)))))-COUNTBLANK(OFFSET(A$1,,,SUMPRODUCT(MAX(ROW(E$1:E3910)*(E2=E$1:E3910))))))</f>
        <v> </v>
      </c>
      <c r="K3911" s="25" t="str">
        <f>IF(OR(E3911="",E3911="!!!",F3911="NEW"),"",INDEX(J$1:J3910,SUMPRODUCT(MAX(ROW(E$1:E3910)*(E3911=E$1:E3910)))))</f>
        <v> </v>
      </c>
      <c r="L3911" s="26"/>
    </row>
    <row r="3912" spans="1:12">
      <c r="A3912" s="20" t="s">
        <v>1128</v>
      </c>
      <c r="E3912" s="21">
        <f>IF(D3912="?OLD","!!!","")</f>
        <v/>
      </c>
      <c r="F3912" s="22" t="str">
        <f>IF(OR(E3912="",E3912="!!!"),"",IF(NOT(ISNA(VLOOKUP(E3912,E$1:E3911,1,FALSE()))),"OLD",IF(AND(E3912&lt;&gt;"",E3912&lt;&gt;"!!!"),"NEW","")))</f>
        <v> </v>
      </c>
      <c r="G3912" s="23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4" t="str">
        <f>IF(J3912&lt;&gt;1,"",IF(I3912="SBJ","CB","?"))</f>
        <v> </v>
      </c>
      <c r="I3912" s="25" t="str">
        <f>IF(OR(E3912="",E3912="!!!",F3912="NEW"),"",INDEX(B3911:B$2,-1+SUMPRODUCT(MAX(ROW(E3911:E$2)*(E3912=E3911:E$2)))))</f>
        <v> </v>
      </c>
      <c r="J3912" s="25" t="str">
        <f>IF(OR(E3912="",E3912="!!!",F3912="NEW"),"",COUNTBLANK(OFFSET(A$1,,,SUMPRODUCT(MAX(ROW(E$2:E3912)*(E3912=E$2:E3912)))))-COUNTBLANK(OFFSET(A$1,,,SUMPRODUCT(MAX(ROW(E$1:E3911)*(E2=E$1:E3911))))))</f>
        <v> </v>
      </c>
      <c r="K3912" s="25" t="str">
        <f>IF(OR(E3912="",E3912="!!!",F3912="NEW"),"",INDEX(J$1:J3911,SUMPRODUCT(MAX(ROW(E$1:E3911)*(E3912=E$1:E3911)))))</f>
        <v> </v>
      </c>
      <c r="L3912" s="26"/>
    </row>
    <row r="3913" spans="1:12">
      <c r="A3913" s="20" t="s">
        <v>1112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2860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1134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1217</v>
      </c>
      <c r="B3916" s="27" t="s">
        <v>1107</v>
      </c>
      <c r="C3916" s="27" t="s">
        <v>1126</v>
      </c>
      <c r="D3916" s="27" t="s">
        <v>1105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1123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2861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1697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1166</v>
      </c>
      <c r="B3920" s="27" t="s">
        <v>1243</v>
      </c>
      <c r="C3920" s="27" t="s">
        <v>1126</v>
      </c>
      <c r="D3920" s="27" t="s">
        <v>1105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2862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1173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2863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2864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2481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1820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2865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1987</v>
      </c>
      <c r="B3928" s="27" t="s">
        <v>1115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1145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/>
    </row>
    <row r="3931" spans="1:12">
      <c r="A3931" s="20" t="s">
        <v>2866</v>
      </c>
    </row>
    <row r="3932" spans="1:12">
      <c r="A3932" s="20" t="s">
        <v>1633</v>
      </c>
      <c r="B3932" s="27" t="s">
        <v>1149</v>
      </c>
      <c r="C3932" s="27" t="s">
        <v>1126</v>
      </c>
      <c r="D3932" s="27" t="s">
        <v>1105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2638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1184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2867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2868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2869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2870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1145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/>
    </row>
    <row r="3941" spans="1:12">
      <c r="A3941" s="20" t="s">
        <v>2871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2872</v>
      </c>
    </row>
    <row r="3943" spans="1:12">
      <c r="A3943" s="20" t="s">
        <v>2873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1309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2874</v>
      </c>
      <c r="B3945" s="27" t="s">
        <v>1149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1339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2875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2876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1145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/>
    </row>
    <row r="3951" spans="1:12">
      <c r="A3951" s="20" t="s">
        <v>2871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2877</v>
      </c>
    </row>
    <row r="3953" spans="1:12">
      <c r="A3953" s="20" t="s">
        <v>958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2875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1145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/>
    </row>
    <row r="3957" spans="1:12">
      <c r="A3957" s="20" t="s">
        <v>2878</v>
      </c>
    </row>
    <row r="3958" spans="1:12">
      <c r="A3958" s="20" t="s">
        <v>1111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2879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2007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2880</v>
      </c>
      <c r="B3961" s="27" t="s">
        <v>1103</v>
      </c>
      <c r="C3961" s="27" t="s">
        <v>1116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2881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887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2882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2883</v>
      </c>
      <c r="B3965" s="27" t="s">
        <v>1243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1145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/>
    </row>
    <row r="3968" spans="1:12">
      <c r="A3968" s="20" t="s">
        <v>2884</v>
      </c>
    </row>
    <row r="3969" spans="1:12">
      <c r="A3969" s="20" t="s">
        <v>1350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1124</v>
      </c>
      <c r="B3970" s="27" t="s">
        <v>1149</v>
      </c>
      <c r="C3970" s="27" t="s">
        <v>1126</v>
      </c>
      <c r="D3970" s="27" t="s">
        <v>1105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1123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2885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2870</v>
      </c>
      <c r="B3973" s="27" t="s">
        <v>1115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1403</v>
      </c>
      <c r="B3974" s="27" t="s">
        <v>1141</v>
      </c>
      <c r="C3974" s="27" t="s">
        <v>1142</v>
      </c>
      <c r="D3974" s="27" t="s">
        <v>1105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1513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1351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/>
    </row>
    <row r="3978" spans="1:12">
      <c r="A3978" s="20" t="s">
        <v>2886</v>
      </c>
    </row>
    <row r="3979" spans="1:12">
      <c r="A3979" s="20" t="s">
        <v>1111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2887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2888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2889</v>
      </c>
      <c r="B3982" s="27" t="s">
        <v>1103</v>
      </c>
      <c r="C3982" s="27" t="s">
        <v>1108</v>
      </c>
      <c r="D3982" s="27" t="s">
        <v>1105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1334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/>
    </row>
    <row r="3985" spans="1:12">
      <c r="A3985" s="20" t="s">
        <v>2890</v>
      </c>
    </row>
    <row r="3986" spans="1:12">
      <c r="A3986" s="20" t="s">
        <v>1111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2891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2892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1145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/>
    </row>
    <row r="3991" spans="1:12">
      <c r="A3991" s="20" t="s">
        <v>2893</v>
      </c>
    </row>
    <row r="3992" spans="1:12">
      <c r="A3992" s="20" t="s">
        <v>1633</v>
      </c>
      <c r="B3992" s="27" t="s">
        <v>1149</v>
      </c>
      <c r="C3992" s="27" t="s">
        <v>1126</v>
      </c>
      <c r="D3992" s="27" t="s">
        <v>1105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1842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1128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1134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 t="s">
        <v>2894</v>
      </c>
      <c r="E3996" s="21">
        <f>IF(D3996="?OLD","!!!","")</f>
        <v/>
      </c>
      <c r="F3996" s="22" t="str">
        <f>IF(OR(E3996="",E3996="!!!"),"",IF(NOT(ISNA(VLOOKUP(E3996,E$1:E3995,1,FALSE()))),"OLD",IF(AND(E3996&lt;&gt;"",E3996&lt;&gt;"!!!"),"NEW","")))</f>
        <v> </v>
      </c>
      <c r="G3996" s="23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4" t="str">
        <f>IF(J3996&lt;&gt;1,"",IF(I3996="SBJ","CB","?"))</f>
        <v> </v>
      </c>
      <c r="I3996" s="25" t="str">
        <f>IF(OR(E3996="",E3996="!!!",F3996="NEW"),"",INDEX(B3995:B$2,-1+SUMPRODUCT(MAX(ROW(E3995:E$2)*(E3996=E3995:E$2)))))</f>
        <v> </v>
      </c>
      <c r="J3996" s="25" t="str">
        <f>IF(OR(E3996="",E3996="!!!",F3996="NEW"),"",COUNTBLANK(OFFSET(A$1,,,SUMPRODUCT(MAX(ROW(E$2:E3996)*(E3996=E$2:E3996)))))-COUNTBLANK(OFFSET(A$1,,,SUMPRODUCT(MAX(ROW(E$1:E3995)*(E2=E$1:E3995))))))</f>
        <v> </v>
      </c>
      <c r="K3996" s="25" t="str">
        <f>IF(OR(E3996="",E3996="!!!",F3996="NEW"),"",INDEX(J$1:J3995,SUMPRODUCT(MAX(ROW(E$1:E3995)*(E3996=E$1:E3995)))))</f>
        <v> </v>
      </c>
      <c r="L3996" s="26"/>
    </row>
    <row r="3997" spans="1:12">
      <c r="A3997" s="20" t="s">
        <v>1186</v>
      </c>
      <c r="B3997" s="27" t="s">
        <v>1213</v>
      </c>
      <c r="C3997" s="27" t="s">
        <v>1126</v>
      </c>
      <c r="D3997" s="27" t="s">
        <v>1105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1101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 t="s">
        <v>2895</v>
      </c>
      <c r="E3999" s="21">
        <f>IF(D3999="?OLD","!!!","")</f>
        <v/>
      </c>
      <c r="F3999" s="22" t="str">
        <f>IF(OR(E3999="",E3999="!!!"),"",IF(NOT(ISNA(VLOOKUP(E3999,E$1:E3998,1,FALSE()))),"OLD",IF(AND(E3999&lt;&gt;"",E3999&lt;&gt;"!!!"),"NEW","")))</f>
        <v> </v>
      </c>
      <c r="G3999" s="23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4" t="str">
        <f>IF(J3999&lt;&gt;1,"",IF(I3999="SBJ","CB","?"))</f>
        <v> </v>
      </c>
      <c r="I3999" s="25" t="str">
        <f>IF(OR(E3999="",E3999="!!!",F3999="NEW"),"",INDEX(B3998:B$2,-1+SUMPRODUCT(MAX(ROW(E3998:E$2)*(E3999=E3998:E$2)))))</f>
        <v> </v>
      </c>
      <c r="J3999" s="25" t="str">
        <f>IF(OR(E3999="",E3999="!!!",F3999="NEW"),"",COUNTBLANK(OFFSET(A$1,,,SUMPRODUCT(MAX(ROW(E$2:E3999)*(E3999=E$2:E3999)))))-COUNTBLANK(OFFSET(A$1,,,SUMPRODUCT(MAX(ROW(E$1:E3998)*(E2=E$1:E3998))))))</f>
        <v> </v>
      </c>
      <c r="K3999" s="25" t="str">
        <f>IF(OR(E3999="",E3999="!!!",F3999="NEW"),"",INDEX(J$1:J3998,SUMPRODUCT(MAX(ROW(E$1:E3998)*(E3999=E$1:E3998)))))</f>
        <v> </v>
      </c>
      <c r="L3999" s="26"/>
    </row>
    <row r="4000" spans="1:12">
      <c r="A4000" s="20" t="s">
        <v>1123</v>
      </c>
      <c r="E4000" s="21">
        <f>IF(D4000="?OLD","!!!","")</f>
        <v/>
      </c>
      <c r="F4000" s="22" t="str">
        <f>IF(OR(E4000="",E4000="!!!"),"",IF(NOT(ISNA(VLOOKUP(E4000,E$1:E3999,1,FALSE()))),"OLD",IF(AND(E4000&lt;&gt;"",E4000&lt;&gt;"!!!"),"NEW","")))</f>
        <v> </v>
      </c>
      <c r="G4000" s="23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4" t="str">
        <f>IF(J4000&lt;&gt;1,"",IF(I4000="SBJ","CB","?"))</f>
        <v> </v>
      </c>
      <c r="I4000" s="25" t="str">
        <f>IF(OR(E4000="",E4000="!!!",F4000="NEW"),"",INDEX(B3999:B$2,-1+SUMPRODUCT(MAX(ROW(E3999:E$2)*(E4000=E3999:E$2)))))</f>
        <v> </v>
      </c>
      <c r="J4000" s="25" t="str">
        <f>IF(OR(E4000="",E4000="!!!",F4000="NEW"),"",COUNTBLANK(OFFSET(A$1,,,SUMPRODUCT(MAX(ROW(E$2:E4000)*(E4000=E$2:E4000)))))-COUNTBLANK(OFFSET(A$1,,,SUMPRODUCT(MAX(ROW(E$1:E3999)*(E2=E$1:E3999))))))</f>
        <v> </v>
      </c>
      <c r="K4000" s="25" t="str">
        <f>IF(OR(E4000="",E4000="!!!",F4000="NEW"),"",INDEX(J$1:J3999,SUMPRODUCT(MAX(ROW(E$1:E3999)*(E4000=E$1:E3999)))))</f>
        <v> </v>
      </c>
      <c r="L4000" s="26"/>
    </row>
    <row r="4001" spans="1:12">
      <c r="A4001" s="20" t="s">
        <v>2052</v>
      </c>
      <c r="E4001" s="21">
        <f>IF(D4001="?OLD","!!!","")</f>
        <v/>
      </c>
      <c r="F4001" s="22" t="str">
        <f>IF(OR(E4001="",E4001="!!!"),"",IF(NOT(ISNA(VLOOKUP(E4001,E$1:E4000,1,FALSE()))),"OLD",IF(AND(E4001&lt;&gt;"",E4001&lt;&gt;"!!!"),"NEW","")))</f>
        <v> </v>
      </c>
      <c r="G4001" s="23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4" t="str">
        <f>IF(J4001&lt;&gt;1,"",IF(I4001="SBJ","CB","?"))</f>
        <v> </v>
      </c>
      <c r="I4001" s="25" t="str">
        <f>IF(OR(E4001="",E4001="!!!",F4001="NEW"),"",INDEX(B4000:B$2,-1+SUMPRODUCT(MAX(ROW(E4000:E$2)*(E4001=E4000:E$2)))))</f>
        <v> </v>
      </c>
      <c r="J4001" s="25" t="str">
        <f>IF(OR(E4001="",E4001="!!!",F4001="NEW"),"",COUNTBLANK(OFFSET(A$1,,,SUMPRODUCT(MAX(ROW(E$2:E4001)*(E4001=E$2:E4001)))))-COUNTBLANK(OFFSET(A$1,,,SUMPRODUCT(MAX(ROW(E$1:E4000)*(E2=E$1:E4000))))))</f>
        <v> </v>
      </c>
      <c r="K4001" s="25" t="str">
        <f>IF(OR(E4001="",E4001="!!!",F4001="NEW"),"",INDEX(J$1:J4000,SUMPRODUCT(MAX(ROW(E$1:E4000)*(E4001=E$1:E4000)))))</f>
        <v> </v>
      </c>
      <c r="L4001" s="26"/>
    </row>
    <row r="4002" spans="1:12">
      <c r="A4002" s="20" t="s">
        <v>1305</v>
      </c>
      <c r="B4002" s="27" t="s">
        <v>1107</v>
      </c>
      <c r="C4002" s="27" t="s">
        <v>1116</v>
      </c>
      <c r="D4002" s="27" t="s">
        <v>1105</v>
      </c>
      <c r="E4002" s="21">
        <f>IF(D4002="?OLD","!!!","")</f>
        <v/>
      </c>
      <c r="F4002" s="22" t="str">
        <f>IF(OR(E4002="",E4002="!!!"),"",IF(NOT(ISNA(VLOOKUP(E4002,E$1:E4001,1,FALSE()))),"OLD",IF(AND(E4002&lt;&gt;"",E4002&lt;&gt;"!!!"),"NEW","")))</f>
        <v> </v>
      </c>
      <c r="G4002" s="23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4" t="str">
        <f>IF(J4002&lt;&gt;1,"",IF(I4002="SBJ","CB","?"))</f>
        <v> </v>
      </c>
      <c r="I4002" s="25" t="str">
        <f>IF(OR(E4002="",E4002="!!!",F4002="NEW"),"",INDEX(B4001:B$2,-1+SUMPRODUCT(MAX(ROW(E4001:E$2)*(E4002=E4001:E$2)))))</f>
        <v> </v>
      </c>
      <c r="J4002" s="25" t="str">
        <f>IF(OR(E4002="",E4002="!!!",F4002="NEW"),"",COUNTBLANK(OFFSET(A$1,,,SUMPRODUCT(MAX(ROW(E$2:E4002)*(E4002=E$2:E4002)))))-COUNTBLANK(OFFSET(A$1,,,SUMPRODUCT(MAX(ROW(E$1:E4001)*(E2=E$1:E4001))))))</f>
        <v> </v>
      </c>
      <c r="K4002" s="25" t="str">
        <f>IF(OR(E4002="",E4002="!!!",F4002="NEW"),"",INDEX(J$1:J4001,SUMPRODUCT(MAX(ROW(E$1:E4001)*(E4002=E$1:E4001)))))</f>
        <v> </v>
      </c>
      <c r="L4002" s="26"/>
    </row>
    <row r="4003" spans="1:12">
      <c r="A4003" s="20" t="s">
        <v>1239</v>
      </c>
      <c r="E4003" s="21">
        <f>IF(D4003="?OLD","!!!","")</f>
        <v/>
      </c>
      <c r="F4003" s="22" t="str">
        <f>IF(OR(E4003="",E4003="!!!"),"",IF(NOT(ISNA(VLOOKUP(E4003,E$1:E4002,1,FALSE()))),"OLD",IF(AND(E4003&lt;&gt;"",E4003&lt;&gt;"!!!"),"NEW","")))</f>
        <v> </v>
      </c>
      <c r="G4003" s="23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4" t="str">
        <f>IF(J4003&lt;&gt;1,"",IF(I4003="SBJ","CB","?"))</f>
        <v> </v>
      </c>
      <c r="I4003" s="25" t="str">
        <f>IF(OR(E4003="",E4003="!!!",F4003="NEW"),"",INDEX(B4002:B$2,-1+SUMPRODUCT(MAX(ROW(E4002:E$2)*(E4003=E4002:E$2)))))</f>
        <v> </v>
      </c>
      <c r="J4003" s="25" t="str">
        <f>IF(OR(E4003="",E4003="!!!",F4003="NEW"),"",COUNTBLANK(OFFSET(A$1,,,SUMPRODUCT(MAX(ROW(E$2:E4003)*(E4003=E$2:E4003)))))-COUNTBLANK(OFFSET(A$1,,,SUMPRODUCT(MAX(ROW(E$1:E4002)*(E2=E$1:E4002))))))</f>
        <v> </v>
      </c>
      <c r="K4003" s="25" t="str">
        <f>IF(OR(E4003="",E4003="!!!",F4003="NEW"),"",INDEX(J$1:J4002,SUMPRODUCT(MAX(ROW(E$1:E4002)*(E4003=E$1:E4002)))))</f>
        <v> </v>
      </c>
      <c r="L4003" s="26"/>
    </row>
    <row r="4004" spans="1:12">
      <c r="A4004" s="20" t="s">
        <v>2896</v>
      </c>
      <c r="E4004" s="21">
        <f>IF(D4004="?OLD","!!!","")</f>
        <v/>
      </c>
      <c r="F4004" s="22" t="str">
        <f>IF(OR(E4004="",E4004="!!!"),"",IF(NOT(ISNA(VLOOKUP(E4004,E$1:E4003,1,FALSE()))),"OLD",IF(AND(E4004&lt;&gt;"",E4004&lt;&gt;"!!!"),"NEW","")))</f>
        <v> </v>
      </c>
      <c r="G4004" s="23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4" t="str">
        <f>IF(J4004&lt;&gt;1,"",IF(I4004="SBJ","CB","?"))</f>
        <v> </v>
      </c>
      <c r="I4004" s="25" t="str">
        <f>IF(OR(E4004="",E4004="!!!",F4004="NEW"),"",INDEX(B4003:B$2,-1+SUMPRODUCT(MAX(ROW(E4003:E$2)*(E4004=E4003:E$2)))))</f>
        <v> </v>
      </c>
      <c r="J4004" s="25" t="str">
        <f>IF(OR(E4004="",E4004="!!!",F4004="NEW"),"",COUNTBLANK(OFFSET(A$1,,,SUMPRODUCT(MAX(ROW(E$2:E4004)*(E4004=E$2:E4004)))))-COUNTBLANK(OFFSET(A$1,,,SUMPRODUCT(MAX(ROW(E$1:E4003)*(E2=E$1:E4003))))))</f>
        <v> </v>
      </c>
      <c r="K4004" s="25" t="str">
        <f>IF(OR(E4004="",E4004="!!!",F4004="NEW"),"",INDEX(J$1:J4003,SUMPRODUCT(MAX(ROW(E$1:E4003)*(E4004=E$1:E4003)))))</f>
        <v> </v>
      </c>
      <c r="L4004" s="26"/>
    </row>
    <row r="4005" spans="1:12">
      <c r="A4005" s="20" t="s">
        <v>2897</v>
      </c>
      <c r="B4005" s="27" t="s">
        <v>1243</v>
      </c>
      <c r="E4005" s="21">
        <f>IF(D4005="?OLD","!!!","")</f>
        <v/>
      </c>
      <c r="F4005" s="22" t="str">
        <f>IF(OR(E4005="",E4005="!!!"),"",IF(NOT(ISNA(VLOOKUP(E4005,E$1:E4004,1,FALSE()))),"OLD",IF(AND(E4005&lt;&gt;"",E4005&lt;&gt;"!!!"),"NEW","")))</f>
        <v> </v>
      </c>
      <c r="G4005" s="23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4" t="str">
        <f>IF(J4005&lt;&gt;1,"",IF(I4005="SBJ","CB","?"))</f>
        <v> </v>
      </c>
      <c r="I4005" s="25" t="str">
        <f>IF(OR(E4005="",E4005="!!!",F4005="NEW"),"",INDEX(B4004:B$2,-1+SUMPRODUCT(MAX(ROW(E4004:E$2)*(E4005=E4004:E$2)))))</f>
        <v> </v>
      </c>
      <c r="J4005" s="25" t="str">
        <f>IF(OR(E4005="",E4005="!!!",F4005="NEW"),"",COUNTBLANK(OFFSET(A$1,,,SUMPRODUCT(MAX(ROW(E$2:E4005)*(E4005=E$2:E4005)))))-COUNTBLANK(OFFSET(A$1,,,SUMPRODUCT(MAX(ROW(E$1:E4004)*(E2=E$1:E4004))))))</f>
        <v> </v>
      </c>
      <c r="K4005" s="25" t="str">
        <f>IF(OR(E4005="",E4005="!!!",F4005="NEW"),"",INDEX(J$1:J4004,SUMPRODUCT(MAX(ROW(E$1:E4004)*(E4005=E$1:E4004)))))</f>
        <v> </v>
      </c>
      <c r="L4005" s="26"/>
    </row>
    <row r="4006" spans="1:12">
      <c r="A4006" s="20" t="s">
        <v>2898</v>
      </c>
      <c r="E4006" s="21">
        <f>IF(D4006="?OLD","!!!","")</f>
        <v/>
      </c>
      <c r="F4006" s="22" t="str">
        <f>IF(OR(E4006="",E4006="!!!"),"",IF(NOT(ISNA(VLOOKUP(E4006,E$1:E4005,1,FALSE()))),"OLD",IF(AND(E4006&lt;&gt;"",E4006&lt;&gt;"!!!"),"NEW","")))</f>
        <v> </v>
      </c>
      <c r="G4006" s="23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4" t="str">
        <f>IF(J4006&lt;&gt;1,"",IF(I4006="SBJ","CB","?"))</f>
        <v> </v>
      </c>
      <c r="I4006" s="25" t="str">
        <f>IF(OR(E4006="",E4006="!!!",F4006="NEW"),"",INDEX(B4005:B$2,-1+SUMPRODUCT(MAX(ROW(E4005:E$2)*(E4006=E4005:E$2)))))</f>
        <v> </v>
      </c>
      <c r="J4006" s="25" t="str">
        <f>IF(OR(E4006="",E4006="!!!",F4006="NEW"),"",COUNTBLANK(OFFSET(A$1,,,SUMPRODUCT(MAX(ROW(E$2:E4006)*(E4006=E$2:E4006)))))-COUNTBLANK(OFFSET(A$1,,,SUMPRODUCT(MAX(ROW(E$1:E4005)*(E2=E$1:E4005))))))</f>
        <v> </v>
      </c>
      <c r="K4006" s="25" t="str">
        <f>IF(OR(E4006="",E4006="!!!",F4006="NEW"),"",INDEX(J$1:J4005,SUMPRODUCT(MAX(ROW(E$1:E4005)*(E4006=E$1:E4005)))))</f>
        <v> </v>
      </c>
      <c r="L4006" s="26"/>
    </row>
    <row r="4007" spans="1:12">
      <c r="A4007" s="20" t="s">
        <v>1123</v>
      </c>
      <c r="E4007" s="21">
        <f>IF(D4007="?OLD","!!!","")</f>
        <v/>
      </c>
      <c r="F4007" s="22" t="str">
        <f>IF(OR(E4007="",E4007="!!!"),"",IF(NOT(ISNA(VLOOKUP(E4007,E$1:E4006,1,FALSE()))),"OLD",IF(AND(E4007&lt;&gt;"",E4007&lt;&gt;"!!!"),"NEW","")))</f>
        <v> </v>
      </c>
      <c r="G4007" s="23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4" t="str">
        <f>IF(J4007&lt;&gt;1,"",IF(I4007="SBJ","CB","?"))</f>
        <v> </v>
      </c>
      <c r="I4007" s="25" t="str">
        <f>IF(OR(E4007="",E4007="!!!",F4007="NEW"),"",INDEX(B4006:B$2,-1+SUMPRODUCT(MAX(ROW(E4006:E$2)*(E4007=E4006:E$2)))))</f>
        <v> </v>
      </c>
      <c r="J4007" s="25" t="str">
        <f>IF(OR(E4007="",E4007="!!!",F4007="NEW"),"",COUNTBLANK(OFFSET(A$1,,,SUMPRODUCT(MAX(ROW(E$2:E4007)*(E4007=E$2:E4007)))))-COUNTBLANK(OFFSET(A$1,,,SUMPRODUCT(MAX(ROW(E$1:E4006)*(E2=E$1:E4006))))))</f>
        <v> </v>
      </c>
      <c r="K4007" s="25" t="str">
        <f>IF(OR(E4007="",E4007="!!!",F4007="NEW"),"",INDEX(J$1:J4006,SUMPRODUCT(MAX(ROW(E$1:E4006)*(E4007=E$1:E4006)))))</f>
        <v> </v>
      </c>
      <c r="L4007" s="26"/>
    </row>
    <row r="4008" spans="1:12">
      <c r="A4008" s="20" t="s">
        <v>2899</v>
      </c>
      <c r="E4008" s="21">
        <f>IF(D4008="?OLD","!!!","")</f>
        <v/>
      </c>
      <c r="F4008" s="22" t="str">
        <f>IF(OR(E4008="",E4008="!!!"),"",IF(NOT(ISNA(VLOOKUP(E4008,E$1:E4007,1,FALSE()))),"OLD",IF(AND(E4008&lt;&gt;"",E4008&lt;&gt;"!!!"),"NEW","")))</f>
        <v> </v>
      </c>
      <c r="G4008" s="23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4" t="str">
        <f>IF(J4008&lt;&gt;1,"",IF(I4008="SBJ","CB","?"))</f>
        <v> </v>
      </c>
      <c r="I4008" s="25" t="str">
        <f>IF(OR(E4008="",E4008="!!!",F4008="NEW"),"",INDEX(B4007:B$2,-1+SUMPRODUCT(MAX(ROW(E4007:E$2)*(E4008=E4007:E$2)))))</f>
        <v> </v>
      </c>
      <c r="J4008" s="25" t="str">
        <f>IF(OR(E4008="",E4008="!!!",F4008="NEW"),"",COUNTBLANK(OFFSET(A$1,,,SUMPRODUCT(MAX(ROW(E$2:E4008)*(E4008=E$2:E4008)))))-COUNTBLANK(OFFSET(A$1,,,SUMPRODUCT(MAX(ROW(E$1:E4007)*(E2=E$1:E4007))))))</f>
        <v> </v>
      </c>
      <c r="K4008" s="25" t="str">
        <f>IF(OR(E4008="",E4008="!!!",F4008="NEW"),"",INDEX(J$1:J4007,SUMPRODUCT(MAX(ROW(E$1:E4007)*(E4008=E$1:E4007)))))</f>
        <v> </v>
      </c>
      <c r="L4008" s="26"/>
    </row>
    <row r="4009" spans="1:12">
      <c r="A4009" s="20" t="s">
        <v>2900</v>
      </c>
      <c r="B4009" s="27" t="s">
        <v>1144</v>
      </c>
      <c r="C4009" s="27" t="s">
        <v>1126</v>
      </c>
      <c r="D4009" s="27" t="s">
        <v>1105</v>
      </c>
      <c r="E4009" s="21">
        <f>IF(D4009="?OLD","!!!","")</f>
        <v/>
      </c>
      <c r="F4009" s="22" t="str">
        <f>IF(OR(E4009="",E4009="!!!"),"",IF(NOT(ISNA(VLOOKUP(E4009,E$1:E4008,1,FALSE()))),"OLD",IF(AND(E4009&lt;&gt;"",E4009&lt;&gt;"!!!"),"NEW","")))</f>
        <v> </v>
      </c>
      <c r="G4009" s="23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4" t="str">
        <f>IF(J4009&lt;&gt;1,"",IF(I4009="SBJ","CB","?"))</f>
        <v> </v>
      </c>
      <c r="I4009" s="25" t="str">
        <f>IF(OR(E4009="",E4009="!!!",F4009="NEW"),"",INDEX(B4008:B$2,-1+SUMPRODUCT(MAX(ROW(E4008:E$2)*(E4009=E4008:E$2)))))</f>
        <v> </v>
      </c>
      <c r="J4009" s="25" t="str">
        <f>IF(OR(E4009="",E4009="!!!",F4009="NEW"),"",COUNTBLANK(OFFSET(A$1,,,SUMPRODUCT(MAX(ROW(E$2:E4009)*(E4009=E$2:E4009)))))-COUNTBLANK(OFFSET(A$1,,,SUMPRODUCT(MAX(ROW(E$1:E4008)*(E2=E$1:E4008))))))</f>
        <v> </v>
      </c>
      <c r="K4009" s="25" t="str">
        <f>IF(OR(E4009="",E4009="!!!",F4009="NEW"),"",INDEX(J$1:J4008,SUMPRODUCT(MAX(ROW(E$1:E4008)*(E4009=E$1:E4008)))))</f>
        <v> </v>
      </c>
      <c r="L4009" s="26"/>
    </row>
    <row r="4010" spans="1:12">
      <c r="A4010" s="20" t="s">
        <v>1249</v>
      </c>
      <c r="E4010" s="21">
        <f>IF(D4010="?OLD","!!!","")</f>
        <v/>
      </c>
      <c r="F4010" s="22" t="str">
        <f>IF(OR(E4010="",E4010="!!!"),"",IF(NOT(ISNA(VLOOKUP(E4010,E$1:E4009,1,FALSE()))),"OLD",IF(AND(E4010&lt;&gt;"",E4010&lt;&gt;"!!!"),"NEW","")))</f>
        <v> </v>
      </c>
      <c r="G4010" s="23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4" t="str">
        <f>IF(J4010&lt;&gt;1,"",IF(I4010="SBJ","CB","?"))</f>
        <v> </v>
      </c>
      <c r="I4010" s="25" t="str">
        <f>IF(OR(E4010="",E4010="!!!",F4010="NEW"),"",INDEX(B4009:B$2,-1+SUMPRODUCT(MAX(ROW(E4009:E$2)*(E4010=E4009:E$2)))))</f>
        <v> </v>
      </c>
      <c r="J4010" s="25" t="str">
        <f>IF(OR(E4010="",E4010="!!!",F4010="NEW"),"",COUNTBLANK(OFFSET(A$1,,,SUMPRODUCT(MAX(ROW(E$2:E4010)*(E4010=E$2:E4010)))))-COUNTBLANK(OFFSET(A$1,,,SUMPRODUCT(MAX(ROW(E$1:E4009)*(E2=E$1:E4009))))))</f>
        <v> </v>
      </c>
      <c r="K4010" s="25" t="str">
        <f>IF(OR(E4010="",E4010="!!!",F4010="NEW"),"",INDEX(J$1:J4009,SUMPRODUCT(MAX(ROW(E$1:E4009)*(E4010=E$1:E4009)))))</f>
        <v> </v>
      </c>
      <c r="L4010" s="26"/>
    </row>
    <row r="4011" spans="1:12">
      <c r="A4011" s="20" t="s">
        <v>2901</v>
      </c>
      <c r="E4011" s="21">
        <f>IF(D4011="?OLD","!!!","")</f>
        <v/>
      </c>
      <c r="F4011" s="22" t="str">
        <f>IF(OR(E4011="",E4011="!!!"),"",IF(NOT(ISNA(VLOOKUP(E4011,E$1:E4010,1,FALSE()))),"OLD",IF(AND(E4011&lt;&gt;"",E4011&lt;&gt;"!!!"),"NEW","")))</f>
        <v> </v>
      </c>
      <c r="G4011" s="23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4" t="str">
        <f>IF(J4011&lt;&gt;1,"",IF(I4011="SBJ","CB","?"))</f>
        <v> </v>
      </c>
      <c r="I4011" s="25" t="str">
        <f>IF(OR(E4011="",E4011="!!!",F4011="NEW"),"",INDEX(B4010:B$2,-1+SUMPRODUCT(MAX(ROW(E4010:E$2)*(E4011=E4010:E$2)))))</f>
        <v> </v>
      </c>
      <c r="J4011" s="25" t="str">
        <f>IF(OR(E4011="",E4011="!!!",F4011="NEW"),"",COUNTBLANK(OFFSET(A$1,,,SUMPRODUCT(MAX(ROW(E$2:E4011)*(E4011=E$2:E4011)))))-COUNTBLANK(OFFSET(A$1,,,SUMPRODUCT(MAX(ROW(E$1:E4010)*(E2=E$1:E4010))))))</f>
        <v> </v>
      </c>
      <c r="K4011" s="25" t="str">
        <f>IF(OR(E4011="",E4011="!!!",F4011="NEW"),"",INDEX(J$1:J4010,SUMPRODUCT(MAX(ROW(E$1:E4010)*(E4011=E$1:E4010)))))</f>
        <v> </v>
      </c>
      <c r="L4011" s="26"/>
    </row>
    <row r="4012" spans="1:12">
      <c r="A4012" s="20" t="s">
        <v>1145</v>
      </c>
      <c r="E4012" s="21">
        <f>IF(D4012="?OLD","!!!","")</f>
        <v/>
      </c>
      <c r="F4012" s="22" t="str">
        <f>IF(OR(E4012="",E4012="!!!"),"",IF(NOT(ISNA(VLOOKUP(E4012,E$1:E4011,1,FALSE()))),"OLD",IF(AND(E4012&lt;&gt;"",E4012&lt;&gt;"!!!"),"NEW","")))</f>
        <v> </v>
      </c>
      <c r="G4012" s="23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4" t="str">
        <f>IF(J4012&lt;&gt;1,"",IF(I4012="SBJ","CB","?"))</f>
        <v> </v>
      </c>
      <c r="I4012" s="25" t="str">
        <f>IF(OR(E4012="",E4012="!!!",F4012="NEW"),"",INDEX(B4011:B$2,-1+SUMPRODUCT(MAX(ROW(E4011:E$2)*(E4012=E4011:E$2)))))</f>
        <v> </v>
      </c>
      <c r="J4012" s="25" t="str">
        <f>IF(OR(E4012="",E4012="!!!",F4012="NEW"),"",COUNTBLANK(OFFSET(A$1,,,SUMPRODUCT(MAX(ROW(E$2:E4012)*(E4012=E$2:E4012)))))-COUNTBLANK(OFFSET(A$1,,,SUMPRODUCT(MAX(ROW(E$1:E4011)*(E2=E$1:E4011))))))</f>
        <v> </v>
      </c>
      <c r="K4012" s="25" t="str">
        <f>IF(OR(E4012="",E4012="!!!",F4012="NEW"),"",INDEX(J$1:J4011,SUMPRODUCT(MAX(ROW(E$1:E4011)*(E4012=E$1:E4011)))))</f>
        <v> </v>
      </c>
      <c r="L4012" s="26"/>
    </row>
    <row r="4013" spans="1:12">
      <c r="A4013" s="20"/>
    </row>
    <row r="4014" spans="1:12">
      <c r="A4014" s="20" t="s">
        <v>2902</v>
      </c>
    </row>
    <row r="4015" spans="1:12">
      <c r="A4015" s="20" t="s">
        <v>2903</v>
      </c>
      <c r="E4015" s="21">
        <f>IF(D4015="?OLD","!!!","")</f>
        <v/>
      </c>
      <c r="F4015" s="22" t="str">
        <f>IF(OR(E4015="",E4015="!!!"),"",IF(NOT(ISNA(VLOOKUP(E4015,E$1:E4014,1,FALSE()))),"OLD",IF(AND(E4015&lt;&gt;"",E4015&lt;&gt;"!!!"),"NEW","")))</f>
        <v> </v>
      </c>
      <c r="G4015" s="23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4" t="str">
        <f>IF(J4015&lt;&gt;1,"",IF(I4015="SBJ","CB","?"))</f>
        <v> </v>
      </c>
      <c r="I4015" s="25" t="str">
        <f>IF(OR(E4015="",E4015="!!!",F4015="NEW"),"",INDEX(B4014:B$2,-1+SUMPRODUCT(MAX(ROW(E4014:E$2)*(E4015=E4014:E$2)))))</f>
        <v> </v>
      </c>
      <c r="J4015" s="25" t="str">
        <f>IF(OR(E4015="",E4015="!!!",F4015="NEW"),"",COUNTBLANK(OFFSET(A$1,,,SUMPRODUCT(MAX(ROW(E$2:E4015)*(E4015=E$2:E4015)))))-COUNTBLANK(OFFSET(A$1,,,SUMPRODUCT(MAX(ROW(E$1:E4014)*(E2=E$1:E4014))))))</f>
        <v> </v>
      </c>
      <c r="K4015" s="25" t="str">
        <f>IF(OR(E4015="",E4015="!!!",F4015="NEW"),"",INDEX(J$1:J4014,SUMPRODUCT(MAX(ROW(E$1:E4014)*(E4015=E$1:E4014)))))</f>
        <v> </v>
      </c>
      <c r="L4015" s="26"/>
    </row>
    <row r="4016" spans="1:12">
      <c r="A4016" s="20" t="s">
        <v>1124</v>
      </c>
      <c r="B4016" s="27" t="s">
        <v>1122</v>
      </c>
      <c r="C4016" s="27" t="s">
        <v>1126</v>
      </c>
      <c r="D4016" s="27" t="s">
        <v>1105</v>
      </c>
      <c r="E4016" s="21">
        <f>IF(D4016="?OLD","!!!","")</f>
        <v/>
      </c>
      <c r="F4016" s="22" t="str">
        <f>IF(OR(E4016="",E4016="!!!"),"",IF(NOT(ISNA(VLOOKUP(E4016,E$1:E4015,1,FALSE()))),"OLD",IF(AND(E4016&lt;&gt;"",E4016&lt;&gt;"!!!"),"NEW","")))</f>
        <v> </v>
      </c>
      <c r="G4016" s="23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4" t="str">
        <f>IF(J4016&lt;&gt;1,"",IF(I4016="SBJ","CB","?"))</f>
        <v> </v>
      </c>
      <c r="I4016" s="25" t="str">
        <f>IF(OR(E4016="",E4016="!!!",F4016="NEW"),"",INDEX(B4015:B$2,-1+SUMPRODUCT(MAX(ROW(E4015:E$2)*(E4016=E4015:E$2)))))</f>
        <v> </v>
      </c>
      <c r="J4016" s="25" t="str">
        <f>IF(OR(E4016="",E4016="!!!",F4016="NEW"),"",COUNTBLANK(OFFSET(A$1,,,SUMPRODUCT(MAX(ROW(E$2:E4016)*(E4016=E$2:E4016)))))-COUNTBLANK(OFFSET(A$1,,,SUMPRODUCT(MAX(ROW(E$1:E4015)*(E2=E$1:E4015))))))</f>
        <v> </v>
      </c>
      <c r="K4016" s="25" t="str">
        <f>IF(OR(E4016="",E4016="!!!",F4016="NEW"),"",INDEX(J$1:J4015,SUMPRODUCT(MAX(ROW(E$1:E4015)*(E4016=E$1:E4015)))))</f>
        <v> </v>
      </c>
      <c r="L4016" s="26"/>
    </row>
    <row r="4017" spans="1:12">
      <c r="A4017" s="20" t="s">
        <v>1258</v>
      </c>
      <c r="E4017" s="21">
        <f>IF(D4017="?OLD","!!!","")</f>
        <v/>
      </c>
      <c r="F4017" s="22" t="str">
        <f>IF(OR(E4017="",E4017="!!!"),"",IF(NOT(ISNA(VLOOKUP(E4017,E$1:E4016,1,FALSE()))),"OLD",IF(AND(E4017&lt;&gt;"",E4017&lt;&gt;"!!!"),"NEW","")))</f>
        <v> </v>
      </c>
      <c r="G4017" s="23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4" t="str">
        <f>IF(J4017&lt;&gt;1,"",IF(I4017="SBJ","CB","?"))</f>
        <v> </v>
      </c>
      <c r="I4017" s="25" t="str">
        <f>IF(OR(E4017="",E4017="!!!",F4017="NEW"),"",INDEX(B4016:B$2,-1+SUMPRODUCT(MAX(ROW(E4016:E$2)*(E4017=E4016:E$2)))))</f>
        <v> </v>
      </c>
      <c r="J4017" s="25" t="str">
        <f>IF(OR(E4017="",E4017="!!!",F4017="NEW"),"",COUNTBLANK(OFFSET(A$1,,,SUMPRODUCT(MAX(ROW(E$2:E4017)*(E4017=E$2:E4017)))))-COUNTBLANK(OFFSET(A$1,,,SUMPRODUCT(MAX(ROW(E$1:E4016)*(E2=E$1:E4016))))))</f>
        <v> </v>
      </c>
      <c r="K4017" s="25" t="str">
        <f>IF(OR(E4017="",E4017="!!!",F4017="NEW"),"",INDEX(J$1:J4016,SUMPRODUCT(MAX(ROW(E$1:E4016)*(E4017=E$1:E4016)))))</f>
        <v> </v>
      </c>
      <c r="L4017" s="26"/>
    </row>
    <row r="4018" spans="1:12">
      <c r="A4018" s="20" t="s">
        <v>1123</v>
      </c>
      <c r="E4018" s="21">
        <f>IF(D4018="?OLD","!!!","")</f>
        <v/>
      </c>
      <c r="F4018" s="22" t="str">
        <f>IF(OR(E4018="",E4018="!!!"),"",IF(NOT(ISNA(VLOOKUP(E4018,E$1:E4017,1,FALSE()))),"OLD",IF(AND(E4018&lt;&gt;"",E4018&lt;&gt;"!!!"),"NEW","")))</f>
        <v> </v>
      </c>
      <c r="G4018" s="23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4" t="str">
        <f>IF(J4018&lt;&gt;1,"",IF(I4018="SBJ","CB","?"))</f>
        <v> </v>
      </c>
      <c r="I4018" s="25" t="str">
        <f>IF(OR(E4018="",E4018="!!!",F4018="NEW"),"",INDEX(B4017:B$2,-1+SUMPRODUCT(MAX(ROW(E4017:E$2)*(E4018=E4017:E$2)))))</f>
        <v> </v>
      </c>
      <c r="J4018" s="25" t="str">
        <f>IF(OR(E4018="",E4018="!!!",F4018="NEW"),"",COUNTBLANK(OFFSET(A$1,,,SUMPRODUCT(MAX(ROW(E$2:E4018)*(E4018=E$2:E4018)))))-COUNTBLANK(OFFSET(A$1,,,SUMPRODUCT(MAX(ROW(E$1:E4017)*(E2=E$1:E4017))))))</f>
        <v> </v>
      </c>
      <c r="K4018" s="25" t="str">
        <f>IF(OR(E4018="",E4018="!!!",F4018="NEW"),"",INDEX(J$1:J4017,SUMPRODUCT(MAX(ROW(E$1:E4017)*(E4018=E$1:E4017)))))</f>
        <v> </v>
      </c>
      <c r="L4018" s="26"/>
    </row>
    <row r="4019" spans="1:12">
      <c r="A4019" s="20" t="s">
        <v>135</v>
      </c>
      <c r="E4019" s="21">
        <f>IF(D4019="?OLD","!!!","")</f>
        <v/>
      </c>
      <c r="F4019" s="22" t="str">
        <f>IF(OR(E4019="",E4019="!!!"),"",IF(NOT(ISNA(VLOOKUP(E4019,E$1:E4018,1,FALSE()))),"OLD",IF(AND(E4019&lt;&gt;"",E4019&lt;&gt;"!!!"),"NEW","")))</f>
        <v> </v>
      </c>
      <c r="G4019" s="23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4" t="str">
        <f>IF(J4019&lt;&gt;1,"",IF(I4019="SBJ","CB","?"))</f>
        <v> </v>
      </c>
      <c r="I4019" s="25" t="str">
        <f>IF(OR(E4019="",E4019="!!!",F4019="NEW"),"",INDEX(B4018:B$2,-1+SUMPRODUCT(MAX(ROW(E4018:E$2)*(E4019=E4018:E$2)))))</f>
        <v> </v>
      </c>
      <c r="J4019" s="25" t="str">
        <f>IF(OR(E4019="",E4019="!!!",F4019="NEW"),"",COUNTBLANK(OFFSET(A$1,,,SUMPRODUCT(MAX(ROW(E$2:E4019)*(E4019=E$2:E4019)))))-COUNTBLANK(OFFSET(A$1,,,SUMPRODUCT(MAX(ROW(E$1:E4018)*(E2=E$1:E4018))))))</f>
        <v> </v>
      </c>
      <c r="K4019" s="25" t="str">
        <f>IF(OR(E4019="",E4019="!!!",F4019="NEW"),"",INDEX(J$1:J4018,SUMPRODUCT(MAX(ROW(E$1:E4018)*(E4019=E$1:E4018)))))</f>
        <v> </v>
      </c>
      <c r="L4019" s="26"/>
    </row>
    <row r="4020" spans="1:12">
      <c r="A4020" s="20" t="s">
        <v>2360</v>
      </c>
      <c r="B4020" s="27" t="s">
        <v>1259</v>
      </c>
      <c r="E4020" s="21">
        <f>IF(D4020="?OLD","!!!","")</f>
        <v/>
      </c>
      <c r="F4020" s="22" t="str">
        <f>IF(OR(E4020="",E4020="!!!"),"",IF(NOT(ISNA(VLOOKUP(E4020,E$1:E4019,1,FALSE()))),"OLD",IF(AND(E4020&lt;&gt;"",E4020&lt;&gt;"!!!"),"NEW","")))</f>
        <v> </v>
      </c>
      <c r="G4020" s="23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4" t="str">
        <f>IF(J4020&lt;&gt;1,"",IF(I4020="SBJ","CB","?"))</f>
        <v> </v>
      </c>
      <c r="I4020" s="25" t="str">
        <f>IF(OR(E4020="",E4020="!!!",F4020="NEW"),"",INDEX(B4019:B$2,-1+SUMPRODUCT(MAX(ROW(E4019:E$2)*(E4020=E4019:E$2)))))</f>
        <v> </v>
      </c>
      <c r="J4020" s="25" t="str">
        <f>IF(OR(E4020="",E4020="!!!",F4020="NEW"),"",COUNTBLANK(OFFSET(A$1,,,SUMPRODUCT(MAX(ROW(E$2:E4020)*(E4020=E$2:E4020)))))-COUNTBLANK(OFFSET(A$1,,,SUMPRODUCT(MAX(ROW(E$1:E4019)*(E2=E$1:E4019))))))</f>
        <v> </v>
      </c>
      <c r="K4020" s="25" t="str">
        <f>IF(OR(E4020="",E4020="!!!",F4020="NEW"),"",INDEX(J$1:J4019,SUMPRODUCT(MAX(ROW(E$1:E4019)*(E4020=E$1:E4019)))))</f>
        <v> </v>
      </c>
      <c r="L4020" s="26"/>
    </row>
    <row r="4021" spans="1:12">
      <c r="A4021" s="20" t="s">
        <v>2361</v>
      </c>
      <c r="E4021" s="21">
        <f>IF(D4021="?OLD","!!!","")</f>
        <v/>
      </c>
      <c r="F4021" s="22" t="str">
        <f>IF(OR(E4021="",E4021="!!!"),"",IF(NOT(ISNA(VLOOKUP(E4021,E$1:E4020,1,FALSE()))),"OLD",IF(AND(E4021&lt;&gt;"",E4021&lt;&gt;"!!!"),"NEW","")))</f>
        <v> </v>
      </c>
      <c r="G4021" s="23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4" t="str">
        <f>IF(J4021&lt;&gt;1,"",IF(I4021="SBJ","CB","?"))</f>
        <v> </v>
      </c>
      <c r="I4021" s="25" t="str">
        <f>IF(OR(E4021="",E4021="!!!",F4021="NEW"),"",INDEX(B4020:B$2,-1+SUMPRODUCT(MAX(ROW(E4020:E$2)*(E4021=E4020:E$2)))))</f>
        <v> </v>
      </c>
      <c r="J4021" s="25" t="str">
        <f>IF(OR(E4021="",E4021="!!!",F4021="NEW"),"",COUNTBLANK(OFFSET(A$1,,,SUMPRODUCT(MAX(ROW(E$2:E4021)*(E4021=E$2:E4021)))))-COUNTBLANK(OFFSET(A$1,,,SUMPRODUCT(MAX(ROW(E$1:E4020)*(E2=E$1:E4020))))))</f>
        <v> </v>
      </c>
      <c r="K4021" s="25" t="str">
        <f>IF(OR(E4021="",E4021="!!!",F4021="NEW"),"",INDEX(J$1:J4020,SUMPRODUCT(MAX(ROW(E$1:E4020)*(E4021=E$1:E4020)))))</f>
        <v> </v>
      </c>
      <c r="L4021" s="26"/>
    </row>
    <row r="4022" spans="1:12">
      <c r="A4022" s="20" t="s">
        <v>1123</v>
      </c>
      <c r="E4022" s="21">
        <f>IF(D4022="?OLD","!!!","")</f>
        <v/>
      </c>
      <c r="F4022" s="22" t="str">
        <f>IF(OR(E4022="",E4022="!!!"),"",IF(NOT(ISNA(VLOOKUP(E4022,E$1:E4021,1,FALSE()))),"OLD",IF(AND(E4022&lt;&gt;"",E4022&lt;&gt;"!!!"),"NEW","")))</f>
        <v> </v>
      </c>
      <c r="G4022" s="23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4" t="str">
        <f>IF(J4022&lt;&gt;1,"",IF(I4022="SBJ","CB","?"))</f>
        <v> </v>
      </c>
      <c r="I4022" s="25" t="str">
        <f>IF(OR(E4022="",E4022="!!!",F4022="NEW"),"",INDEX(B4021:B$2,-1+SUMPRODUCT(MAX(ROW(E4021:E$2)*(E4022=E4021:E$2)))))</f>
        <v> </v>
      </c>
      <c r="J4022" s="25" t="str">
        <f>IF(OR(E4022="",E4022="!!!",F4022="NEW"),"",COUNTBLANK(OFFSET(A$1,,,SUMPRODUCT(MAX(ROW(E$2:E4022)*(E4022=E$2:E4022)))))-COUNTBLANK(OFFSET(A$1,,,SUMPRODUCT(MAX(ROW(E$1:E4021)*(E2=E$1:E4021))))))</f>
        <v> </v>
      </c>
      <c r="K4022" s="25" t="str">
        <f>IF(OR(E4022="",E4022="!!!",F4022="NEW"),"",INDEX(J$1:J4021,SUMPRODUCT(MAX(ROW(E$1:E4021)*(E4022=E$1:E4021)))))</f>
        <v> </v>
      </c>
      <c r="L4022" s="26"/>
    </row>
    <row r="4023" spans="1:12">
      <c r="A4023" s="20" t="s">
        <v>1124</v>
      </c>
      <c r="B4023" s="27" t="s">
        <v>1149</v>
      </c>
      <c r="C4023" s="27" t="s">
        <v>1126</v>
      </c>
      <c r="D4023" s="27" t="s">
        <v>1105</v>
      </c>
      <c r="E4023" s="21">
        <f>IF(D4023="?OLD","!!!","")</f>
        <v/>
      </c>
      <c r="F4023" s="22" t="str">
        <f>IF(OR(E4023="",E4023="!!!"),"",IF(NOT(ISNA(VLOOKUP(E4023,E$1:E4022,1,FALSE()))),"OLD",IF(AND(E4023&lt;&gt;"",E4023&lt;&gt;"!!!"),"NEW","")))</f>
        <v> </v>
      </c>
      <c r="G4023" s="23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4" t="str">
        <f>IF(J4023&lt;&gt;1,"",IF(I4023="SBJ","CB","?"))</f>
        <v> </v>
      </c>
      <c r="I4023" s="25" t="str">
        <f>IF(OR(E4023="",E4023="!!!",F4023="NEW"),"",INDEX(B4022:B$2,-1+SUMPRODUCT(MAX(ROW(E4022:E$2)*(E4023=E4022:E$2)))))</f>
        <v> </v>
      </c>
      <c r="J4023" s="25" t="str">
        <f>IF(OR(E4023="",E4023="!!!",F4023="NEW"),"",COUNTBLANK(OFFSET(A$1,,,SUMPRODUCT(MAX(ROW(E$2:E4023)*(E4023=E$2:E4023)))))-COUNTBLANK(OFFSET(A$1,,,SUMPRODUCT(MAX(ROW(E$1:E4022)*(E2=E$1:E4022))))))</f>
        <v> </v>
      </c>
      <c r="K4023" s="25" t="str">
        <f>IF(OR(E4023="",E4023="!!!",F4023="NEW"),"",INDEX(J$1:J4022,SUMPRODUCT(MAX(ROW(E$1:E4022)*(E4023=E$1:E4022)))))</f>
        <v> </v>
      </c>
      <c r="L4023" s="26"/>
    </row>
    <row r="4024" spans="1:12">
      <c r="A4024" s="20" t="s">
        <v>1842</v>
      </c>
      <c r="E4024" s="21">
        <f>IF(D4024="?OLD","!!!","")</f>
        <v/>
      </c>
      <c r="F4024" s="22" t="str">
        <f>IF(OR(E4024="",E4024="!!!"),"",IF(NOT(ISNA(VLOOKUP(E4024,E$1:E4023,1,FALSE()))),"OLD",IF(AND(E4024&lt;&gt;"",E4024&lt;&gt;"!!!"),"NEW","")))</f>
        <v> </v>
      </c>
      <c r="G4024" s="23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4" t="str">
        <f>IF(J4024&lt;&gt;1,"",IF(I4024="SBJ","CB","?"))</f>
        <v> </v>
      </c>
      <c r="I4024" s="25" t="str">
        <f>IF(OR(E4024="",E4024="!!!",F4024="NEW"),"",INDEX(B4023:B$2,-1+SUMPRODUCT(MAX(ROW(E4023:E$2)*(E4024=E4023:E$2)))))</f>
        <v> </v>
      </c>
      <c r="J4024" s="25" t="str">
        <f>IF(OR(E4024="",E4024="!!!",F4024="NEW"),"",COUNTBLANK(OFFSET(A$1,,,SUMPRODUCT(MAX(ROW(E$2:E4024)*(E4024=E$2:E4024)))))-COUNTBLANK(OFFSET(A$1,,,SUMPRODUCT(MAX(ROW(E$1:E4023)*(E2=E$1:E4023))))))</f>
        <v> </v>
      </c>
      <c r="K4024" s="25" t="str">
        <f>IF(OR(E4024="",E4024="!!!",F4024="NEW"),"",INDEX(J$1:J4023,SUMPRODUCT(MAX(ROW(E$1:E4023)*(E4024=E$1:E4023)))))</f>
        <v> </v>
      </c>
      <c r="L4024" s="26"/>
    </row>
    <row r="4025" spans="1:12">
      <c r="A4025" s="20" t="s">
        <v>1128</v>
      </c>
      <c r="E4025" s="21">
        <f>IF(D4025="?OLD","!!!","")</f>
        <v/>
      </c>
      <c r="F4025" s="22" t="str">
        <f>IF(OR(E4025="",E4025="!!!"),"",IF(NOT(ISNA(VLOOKUP(E4025,E$1:E4024,1,FALSE()))),"OLD",IF(AND(E4025&lt;&gt;"",E4025&lt;&gt;"!!!"),"NEW","")))</f>
        <v> </v>
      </c>
      <c r="G4025" s="23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4" t="str">
        <f>IF(J4025&lt;&gt;1,"",IF(I4025="SBJ","CB","?"))</f>
        <v> </v>
      </c>
      <c r="I4025" s="25" t="str">
        <f>IF(OR(E4025="",E4025="!!!",F4025="NEW"),"",INDEX(B4024:B$2,-1+SUMPRODUCT(MAX(ROW(E4024:E$2)*(E4025=E4024:E$2)))))</f>
        <v> </v>
      </c>
      <c r="J4025" s="25" t="str">
        <f>IF(OR(E4025="",E4025="!!!",F4025="NEW"),"",COUNTBLANK(OFFSET(A$1,,,SUMPRODUCT(MAX(ROW(E$2:E4025)*(E4025=E$2:E4025)))))-COUNTBLANK(OFFSET(A$1,,,SUMPRODUCT(MAX(ROW(E$1:E4024)*(E2=E$1:E4024))))))</f>
        <v> </v>
      </c>
      <c r="K4025" s="25" t="str">
        <f>IF(OR(E4025="",E4025="!!!",F4025="NEW"),"",INDEX(J$1:J4024,SUMPRODUCT(MAX(ROW(E$1:E4024)*(E4025=E$1:E4024)))))</f>
        <v> </v>
      </c>
      <c r="L4025" s="26"/>
    </row>
    <row r="4026" spans="1:12">
      <c r="A4026" s="20" t="s">
        <v>2904</v>
      </c>
      <c r="E4026" s="21">
        <f>IF(D4026="?OLD","!!!","")</f>
        <v/>
      </c>
      <c r="F4026" s="22" t="str">
        <f>IF(OR(E4026="",E4026="!!!"),"",IF(NOT(ISNA(VLOOKUP(E4026,E$1:E4025,1,FALSE()))),"OLD",IF(AND(E4026&lt;&gt;"",E4026&lt;&gt;"!!!"),"NEW","")))</f>
        <v> </v>
      </c>
      <c r="G4026" s="23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4" t="str">
        <f>IF(J4026&lt;&gt;1,"",IF(I4026="SBJ","CB","?"))</f>
        <v> </v>
      </c>
      <c r="I4026" s="25" t="str">
        <f>IF(OR(E4026="",E4026="!!!",F4026="NEW"),"",INDEX(B4025:B$2,-1+SUMPRODUCT(MAX(ROW(E4025:E$2)*(E4026=E4025:E$2)))))</f>
        <v> </v>
      </c>
      <c r="J4026" s="25" t="str">
        <f>IF(OR(E4026="",E4026="!!!",F4026="NEW"),"",COUNTBLANK(OFFSET(A$1,,,SUMPRODUCT(MAX(ROW(E$2:E4026)*(E4026=E$2:E4026)))))-COUNTBLANK(OFFSET(A$1,,,SUMPRODUCT(MAX(ROW(E$1:E4025)*(E2=E$1:E4025))))))</f>
        <v> </v>
      </c>
      <c r="K4026" s="25" t="str">
        <f>IF(OR(E4026="",E4026="!!!",F4026="NEW"),"",INDEX(J$1:J4025,SUMPRODUCT(MAX(ROW(E$1:E4025)*(E4026=E$1:E4025)))))</f>
        <v> </v>
      </c>
      <c r="L4026" s="26"/>
    </row>
    <row r="4027" spans="1:12">
      <c r="A4027" s="20" t="s">
        <v>471</v>
      </c>
      <c r="E4027" s="21">
        <f>IF(D4027="?OLD","!!!","")</f>
        <v/>
      </c>
      <c r="F4027" s="22" t="str">
        <f>IF(OR(E4027="",E4027="!!!"),"",IF(NOT(ISNA(VLOOKUP(E4027,E$1:E4026,1,FALSE()))),"OLD",IF(AND(E4027&lt;&gt;"",E4027&lt;&gt;"!!!"),"NEW","")))</f>
        <v> </v>
      </c>
      <c r="G4027" s="23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4" t="str">
        <f>IF(J4027&lt;&gt;1,"",IF(I4027="SBJ","CB","?"))</f>
        <v> </v>
      </c>
      <c r="I4027" s="25" t="str">
        <f>IF(OR(E4027="",E4027="!!!",F4027="NEW"),"",INDEX(B4026:B$2,-1+SUMPRODUCT(MAX(ROW(E4026:E$2)*(E4027=E4026:E$2)))))</f>
        <v> </v>
      </c>
      <c r="J4027" s="25" t="str">
        <f>IF(OR(E4027="",E4027="!!!",F4027="NEW"),"",COUNTBLANK(OFFSET(A$1,,,SUMPRODUCT(MAX(ROW(E$2:E4027)*(E4027=E$2:E4027)))))-COUNTBLANK(OFFSET(A$1,,,SUMPRODUCT(MAX(ROW(E$1:E4026)*(E2=E$1:E4026))))))</f>
        <v> </v>
      </c>
      <c r="K4027" s="25" t="str">
        <f>IF(OR(E4027="",E4027="!!!",F4027="NEW"),"",INDEX(J$1:J4026,SUMPRODUCT(MAX(ROW(E$1:E4026)*(E4027=E$1:E4026)))))</f>
        <v> </v>
      </c>
      <c r="L4027" s="26"/>
    </row>
    <row r="4028" spans="1:12">
      <c r="A4028" s="20" t="s">
        <v>1123</v>
      </c>
      <c r="E4028" s="21">
        <f>IF(D4028="?OLD","!!!","")</f>
        <v/>
      </c>
      <c r="F4028" s="22" t="str">
        <f>IF(OR(E4028="",E4028="!!!"),"",IF(NOT(ISNA(VLOOKUP(E4028,E$1:E4027,1,FALSE()))),"OLD",IF(AND(E4028&lt;&gt;"",E4028&lt;&gt;"!!!"),"NEW","")))</f>
        <v> </v>
      </c>
      <c r="G4028" s="23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4" t="str">
        <f>IF(J4028&lt;&gt;1,"",IF(I4028="SBJ","CB","?"))</f>
        <v> </v>
      </c>
      <c r="I4028" s="25" t="str">
        <f>IF(OR(E4028="",E4028="!!!",F4028="NEW"),"",INDEX(B4027:B$2,-1+SUMPRODUCT(MAX(ROW(E4027:E$2)*(E4028=E4027:E$2)))))</f>
        <v> </v>
      </c>
      <c r="J4028" s="25" t="str">
        <f>IF(OR(E4028="",E4028="!!!",F4028="NEW"),"",COUNTBLANK(OFFSET(A$1,,,SUMPRODUCT(MAX(ROW(E$2:E4028)*(E4028=E$2:E4028)))))-COUNTBLANK(OFFSET(A$1,,,SUMPRODUCT(MAX(ROW(E$1:E4027)*(E2=E$1:E4027))))))</f>
        <v> </v>
      </c>
      <c r="K4028" s="25" t="str">
        <f>IF(OR(E4028="",E4028="!!!",F4028="NEW"),"",INDEX(J$1:J4027,SUMPRODUCT(MAX(ROW(E$1:E4027)*(E4028=E$1:E4027)))))</f>
        <v> </v>
      </c>
      <c r="L4028" s="26"/>
    </row>
    <row r="4029" spans="1:12">
      <c r="A4029" s="20" t="s">
        <v>2905</v>
      </c>
      <c r="E4029" s="21">
        <f>IF(D4029="?OLD","!!!","")</f>
        <v/>
      </c>
      <c r="F4029" s="22" t="str">
        <f>IF(OR(E4029="",E4029="!!!"),"",IF(NOT(ISNA(VLOOKUP(E4029,E$1:E4028,1,FALSE()))),"OLD",IF(AND(E4029&lt;&gt;"",E4029&lt;&gt;"!!!"),"NEW","")))</f>
        <v> </v>
      </c>
      <c r="G4029" s="23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4" t="str">
        <f>IF(J4029&lt;&gt;1,"",IF(I4029="SBJ","CB","?"))</f>
        <v> </v>
      </c>
      <c r="I4029" s="25" t="str">
        <f>IF(OR(E4029="",E4029="!!!",F4029="NEW"),"",INDEX(B4028:B$2,-1+SUMPRODUCT(MAX(ROW(E4028:E$2)*(E4029=E4028:E$2)))))</f>
        <v> </v>
      </c>
      <c r="J4029" s="25" t="str">
        <f>IF(OR(E4029="",E4029="!!!",F4029="NEW"),"",COUNTBLANK(OFFSET(A$1,,,SUMPRODUCT(MAX(ROW(E$2:E4029)*(E4029=E$2:E4029)))))-COUNTBLANK(OFFSET(A$1,,,SUMPRODUCT(MAX(ROW(E$1:E4028)*(E2=E$1:E4028))))))</f>
        <v> </v>
      </c>
      <c r="K4029" s="25" t="str">
        <f>IF(OR(E4029="",E4029="!!!",F4029="NEW"),"",INDEX(J$1:J4028,SUMPRODUCT(MAX(ROW(E$1:E4028)*(E4029=E$1:E4028)))))</f>
        <v> </v>
      </c>
      <c r="L4029" s="26"/>
    </row>
    <row r="4030" spans="1:12">
      <c r="A4030" s="20" t="s">
        <v>1186</v>
      </c>
      <c r="B4030" s="27" t="s">
        <v>1115</v>
      </c>
      <c r="C4030" s="27" t="s">
        <v>1126</v>
      </c>
      <c r="D4030" s="27" t="s">
        <v>1105</v>
      </c>
      <c r="E4030" s="21">
        <f>IF(D4030="?OLD","!!!","")</f>
        <v/>
      </c>
      <c r="F4030" s="22" t="str">
        <f>IF(OR(E4030="",E4030="!!!"),"",IF(NOT(ISNA(VLOOKUP(E4030,E$1:E4029,1,FALSE()))),"OLD",IF(AND(E4030&lt;&gt;"",E4030&lt;&gt;"!!!"),"NEW","")))</f>
        <v> </v>
      </c>
      <c r="G4030" s="23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4" t="str">
        <f>IF(J4030&lt;&gt;1,"",IF(I4030="SBJ","CB","?"))</f>
        <v> </v>
      </c>
      <c r="I4030" s="25" t="str">
        <f>IF(OR(E4030="",E4030="!!!",F4030="NEW"),"",INDEX(B4029:B$2,-1+SUMPRODUCT(MAX(ROW(E4029:E$2)*(E4030=E4029:E$2)))))</f>
        <v> </v>
      </c>
      <c r="J4030" s="25" t="str">
        <f>IF(OR(E4030="",E4030="!!!",F4030="NEW"),"",COUNTBLANK(OFFSET(A$1,,,SUMPRODUCT(MAX(ROW(E$2:E4030)*(E4030=E$2:E4030)))))-COUNTBLANK(OFFSET(A$1,,,SUMPRODUCT(MAX(ROW(E$1:E4029)*(E2=E$1:E4029))))))</f>
        <v> </v>
      </c>
      <c r="K4030" s="25" t="str">
        <f>IF(OR(E4030="",E4030="!!!",F4030="NEW"),"",INDEX(J$1:J4029,SUMPRODUCT(MAX(ROW(E$1:E4029)*(E4030=E$1:E4029)))))</f>
        <v> </v>
      </c>
      <c r="L4030" s="26"/>
    </row>
    <row r="4031" spans="1:12">
      <c r="A4031" s="20" t="s">
        <v>1184</v>
      </c>
      <c r="E4031" s="21">
        <f>IF(D4031="?OLD","!!!","")</f>
        <v/>
      </c>
      <c r="F4031" s="22" t="str">
        <f>IF(OR(E4031="",E4031="!!!"),"",IF(NOT(ISNA(VLOOKUP(E4031,E$1:E4030,1,FALSE()))),"OLD",IF(AND(E4031&lt;&gt;"",E4031&lt;&gt;"!!!"),"NEW","")))</f>
        <v> </v>
      </c>
      <c r="G4031" s="23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4" t="str">
        <f>IF(J4031&lt;&gt;1,"",IF(I4031="SBJ","CB","?"))</f>
        <v> </v>
      </c>
      <c r="I4031" s="25" t="str">
        <f>IF(OR(E4031="",E4031="!!!",F4031="NEW"),"",INDEX(B4030:B$2,-1+SUMPRODUCT(MAX(ROW(E4030:E$2)*(E4031=E4030:E$2)))))</f>
        <v> </v>
      </c>
      <c r="J4031" s="25" t="str">
        <f>IF(OR(E4031="",E4031="!!!",F4031="NEW"),"",COUNTBLANK(OFFSET(A$1,,,SUMPRODUCT(MAX(ROW(E$2:E4031)*(E4031=E$2:E4031)))))-COUNTBLANK(OFFSET(A$1,,,SUMPRODUCT(MAX(ROW(E$1:E4030)*(E2=E$1:E4030))))))</f>
        <v> </v>
      </c>
      <c r="K4031" s="25" t="str">
        <f>IF(OR(E4031="",E4031="!!!",F4031="NEW"),"",INDEX(J$1:J4030,SUMPRODUCT(MAX(ROW(E$1:E4030)*(E4031=E$1:E4030)))))</f>
        <v> </v>
      </c>
      <c r="L4031" s="26"/>
    </row>
    <row r="4032" spans="1:12">
      <c r="A4032" s="20" t="s">
        <v>2604</v>
      </c>
      <c r="E4032" s="21">
        <f>IF(D4032="?OLD","!!!","")</f>
        <v/>
      </c>
      <c r="F4032" s="22" t="str">
        <f>IF(OR(E4032="",E4032="!!!"),"",IF(NOT(ISNA(VLOOKUP(E4032,E$1:E4031,1,FALSE()))),"OLD",IF(AND(E4032&lt;&gt;"",E4032&lt;&gt;"!!!"),"NEW","")))</f>
        <v> </v>
      </c>
      <c r="G4032" s="23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4" t="str">
        <f>IF(J4032&lt;&gt;1,"",IF(I4032="SBJ","CB","?"))</f>
        <v> </v>
      </c>
      <c r="I4032" s="25" t="str">
        <f>IF(OR(E4032="",E4032="!!!",F4032="NEW"),"",INDEX(B4031:B$2,-1+SUMPRODUCT(MAX(ROW(E4031:E$2)*(E4032=E4031:E$2)))))</f>
        <v> </v>
      </c>
      <c r="J4032" s="25" t="str">
        <f>IF(OR(E4032="",E4032="!!!",F4032="NEW"),"",COUNTBLANK(OFFSET(A$1,,,SUMPRODUCT(MAX(ROW(E$2:E4032)*(E4032=E$2:E4032)))))-COUNTBLANK(OFFSET(A$1,,,SUMPRODUCT(MAX(ROW(E$1:E4031)*(E2=E$1:E4031))))))</f>
        <v> </v>
      </c>
      <c r="K4032" s="25" t="str">
        <f>IF(OR(E4032="",E4032="!!!",F4032="NEW"),"",INDEX(J$1:J4031,SUMPRODUCT(MAX(ROW(E$1:E4031)*(E4032=E$1:E4031)))))</f>
        <v> </v>
      </c>
      <c r="L4032" s="26"/>
    </row>
    <row r="4033" spans="1:12">
      <c r="A4033" s="20" t="s">
        <v>1145</v>
      </c>
      <c r="E4033" s="21">
        <f>IF(D4033="?OLD","!!!","")</f>
        <v/>
      </c>
      <c r="F4033" s="22" t="str">
        <f>IF(OR(E4033="",E4033="!!!"),"",IF(NOT(ISNA(VLOOKUP(E4033,E$1:E4032,1,FALSE()))),"OLD",IF(AND(E4033&lt;&gt;"",E4033&lt;&gt;"!!!"),"NEW","")))</f>
        <v> </v>
      </c>
      <c r="G4033" s="23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4" t="str">
        <f>IF(J4033&lt;&gt;1,"",IF(I4033="SBJ","CB","?"))</f>
        <v> </v>
      </c>
      <c r="I4033" s="25" t="str">
        <f>IF(OR(E4033="",E4033="!!!",F4033="NEW"),"",INDEX(B4032:B$2,-1+SUMPRODUCT(MAX(ROW(E4032:E$2)*(E4033=E4032:E$2)))))</f>
        <v> </v>
      </c>
      <c r="J4033" s="25" t="str">
        <f>IF(OR(E4033="",E4033="!!!",F4033="NEW"),"",COUNTBLANK(OFFSET(A$1,,,SUMPRODUCT(MAX(ROW(E$2:E4033)*(E4033=E$2:E4033)))))-COUNTBLANK(OFFSET(A$1,,,SUMPRODUCT(MAX(ROW(E$1:E4032)*(E2=E$1:E4032))))))</f>
        <v> </v>
      </c>
      <c r="K4033" s="25" t="str">
        <f>IF(OR(E4033="",E4033="!!!",F4033="NEW"),"",INDEX(J$1:J4032,SUMPRODUCT(MAX(ROW(E$1:E4032)*(E4033=E$1:E4032)))))</f>
        <v> </v>
      </c>
      <c r="L4033" s="26"/>
    </row>
    <row r="4034" spans="1:12">
      <c r="A4034" s="20"/>
    </row>
    <row r="4035" spans="1:12">
      <c r="A4035" s="20" t="s">
        <v>2906</v>
      </c>
    </row>
    <row r="4036" spans="1:12">
      <c r="A4036" s="20" t="s">
        <v>1368</v>
      </c>
      <c r="E4036" s="21">
        <f>IF(D4036="?OLD","!!!","")</f>
        <v/>
      </c>
      <c r="F4036" s="22" t="str">
        <f>IF(OR(E4036="",E4036="!!!"),"",IF(NOT(ISNA(VLOOKUP(E4036,E$1:E4035,1,FALSE()))),"OLD",IF(AND(E4036&lt;&gt;"",E4036&lt;&gt;"!!!"),"NEW","")))</f>
        <v> </v>
      </c>
      <c r="G4036" s="23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4" t="str">
        <f>IF(J4036&lt;&gt;1,"",IF(I4036="SBJ","CB","?"))</f>
        <v> </v>
      </c>
      <c r="I4036" s="25" t="str">
        <f>IF(OR(E4036="",E4036="!!!",F4036="NEW"),"",INDEX(B4035:B$2,-1+SUMPRODUCT(MAX(ROW(E4035:E$2)*(E4036=E4035:E$2)))))</f>
        <v> </v>
      </c>
      <c r="J4036" s="25" t="str">
        <f>IF(OR(E4036="",E4036="!!!",F4036="NEW"),"",COUNTBLANK(OFFSET(A$1,,,SUMPRODUCT(MAX(ROW(E$2:E4036)*(E4036=E$2:E4036)))))-COUNTBLANK(OFFSET(A$1,,,SUMPRODUCT(MAX(ROW(E$1:E4035)*(E2=E$1:E4035))))))</f>
        <v> </v>
      </c>
      <c r="K4036" s="25" t="str">
        <f>IF(OR(E4036="",E4036="!!!",F4036="NEW"),"",INDEX(J$1:J4035,SUMPRODUCT(MAX(ROW(E$1:E4035)*(E4036=E$1:E4035)))))</f>
        <v> </v>
      </c>
      <c r="L4036" s="26"/>
    </row>
    <row r="4037" spans="1:12">
      <c r="A4037" s="20" t="s">
        <v>1184</v>
      </c>
      <c r="E4037" s="21">
        <f>IF(D4037="?OLD","!!!","")</f>
        <v/>
      </c>
      <c r="F4037" s="22" t="str">
        <f>IF(OR(E4037="",E4037="!!!"),"",IF(NOT(ISNA(VLOOKUP(E4037,E$1:E4036,1,FALSE()))),"OLD",IF(AND(E4037&lt;&gt;"",E4037&lt;&gt;"!!!"),"NEW","")))</f>
        <v> </v>
      </c>
      <c r="G4037" s="23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4" t="str">
        <f>IF(J4037&lt;&gt;1,"",IF(I4037="SBJ","CB","?"))</f>
        <v> </v>
      </c>
      <c r="I4037" s="25" t="str">
        <f>IF(OR(E4037="",E4037="!!!",F4037="NEW"),"",INDEX(B4036:B$2,-1+SUMPRODUCT(MAX(ROW(E4036:E$2)*(E4037=E4036:E$2)))))</f>
        <v> </v>
      </c>
      <c r="J4037" s="25" t="str">
        <f>IF(OR(E4037="",E4037="!!!",F4037="NEW"),"",COUNTBLANK(OFFSET(A$1,,,SUMPRODUCT(MAX(ROW(E$2:E4037)*(E4037=E$2:E4037)))))-COUNTBLANK(OFFSET(A$1,,,SUMPRODUCT(MAX(ROW(E$1:E4036)*(E2=E$1:E4036))))))</f>
        <v> </v>
      </c>
      <c r="K4037" s="25" t="str">
        <f>IF(OR(E4037="",E4037="!!!",F4037="NEW"),"",INDEX(J$1:J4036,SUMPRODUCT(MAX(ROW(E$1:E4036)*(E4037=E$1:E4036)))))</f>
        <v> </v>
      </c>
      <c r="L4037" s="26"/>
    </row>
    <row r="4038" spans="1:12">
      <c r="A4038" s="20" t="s">
        <v>2907</v>
      </c>
      <c r="E4038" s="21">
        <f>IF(D4038="?OLD","!!!","")</f>
        <v/>
      </c>
      <c r="F4038" s="22" t="str">
        <f>IF(OR(E4038="",E4038="!!!"),"",IF(NOT(ISNA(VLOOKUP(E4038,E$1:E4037,1,FALSE()))),"OLD",IF(AND(E4038&lt;&gt;"",E4038&lt;&gt;"!!!"),"NEW","")))</f>
        <v> </v>
      </c>
      <c r="G4038" s="23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4" t="str">
        <f>IF(J4038&lt;&gt;1,"",IF(I4038="SBJ","CB","?"))</f>
        <v> </v>
      </c>
      <c r="I4038" s="25" t="str">
        <f>IF(OR(E4038="",E4038="!!!",F4038="NEW"),"",INDEX(B4037:B$2,-1+SUMPRODUCT(MAX(ROW(E4037:E$2)*(E4038=E4037:E$2)))))</f>
        <v> </v>
      </c>
      <c r="J4038" s="25" t="str">
        <f>IF(OR(E4038="",E4038="!!!",F4038="NEW"),"",COUNTBLANK(OFFSET(A$1,,,SUMPRODUCT(MAX(ROW(E$2:E4038)*(E4038=E$2:E4038)))))-COUNTBLANK(OFFSET(A$1,,,SUMPRODUCT(MAX(ROW(E$1:E4037)*(E2=E$1:E4037))))))</f>
        <v> </v>
      </c>
      <c r="K4038" s="25" t="str">
        <f>IF(OR(E4038="",E4038="!!!",F4038="NEW"),"",INDEX(J$1:J4037,SUMPRODUCT(MAX(ROW(E$1:E4037)*(E4038=E$1:E4037)))))</f>
        <v> </v>
      </c>
      <c r="L4038" s="26"/>
    </row>
    <row r="4039" spans="1:12">
      <c r="A4039" s="20" t="s">
        <v>2453</v>
      </c>
      <c r="B4039" s="27" t="s">
        <v>1103</v>
      </c>
      <c r="C4039" s="27" t="s">
        <v>1156</v>
      </c>
      <c r="D4039" s="27" t="s">
        <v>1105</v>
      </c>
      <c r="E4039" s="21">
        <f>IF(D4039="?OLD","!!!","")</f>
        <v/>
      </c>
      <c r="F4039" s="22" t="str">
        <f>IF(OR(E4039="",E4039="!!!"),"",IF(NOT(ISNA(VLOOKUP(E4039,E$1:E4038,1,FALSE()))),"OLD",IF(AND(E4039&lt;&gt;"",E4039&lt;&gt;"!!!"),"NEW","")))</f>
        <v> </v>
      </c>
      <c r="G4039" s="23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4" t="str">
        <f>IF(J4039&lt;&gt;1,"",IF(I4039="SBJ","CB","?"))</f>
        <v> </v>
      </c>
      <c r="I4039" s="25" t="str">
        <f>IF(OR(E4039="",E4039="!!!",F4039="NEW"),"",INDEX(B4038:B$2,-1+SUMPRODUCT(MAX(ROW(E4038:E$2)*(E4039=E4038:E$2)))))</f>
        <v> </v>
      </c>
      <c r="J4039" s="25" t="str">
        <f>IF(OR(E4039="",E4039="!!!",F4039="NEW"),"",COUNTBLANK(OFFSET(A$1,,,SUMPRODUCT(MAX(ROW(E$2:E4039)*(E4039=E$2:E4039)))))-COUNTBLANK(OFFSET(A$1,,,SUMPRODUCT(MAX(ROW(E$1:E4038)*(E2=E$1:E4038))))))</f>
        <v> </v>
      </c>
      <c r="K4039" s="25" t="str">
        <f>IF(OR(E4039="",E4039="!!!",F4039="NEW"),"",INDEX(J$1:J4038,SUMPRODUCT(MAX(ROW(E$1:E4038)*(E4039=E$1:E4038)))))</f>
        <v> </v>
      </c>
      <c r="L4039" s="26"/>
    </row>
    <row r="4040" spans="1:12">
      <c r="A4040" s="20" t="s">
        <v>2908</v>
      </c>
      <c r="E4040" s="21">
        <f>IF(D4040="?OLD","!!!","")</f>
        <v/>
      </c>
      <c r="F4040" s="22" t="str">
        <f>IF(OR(E4040="",E4040="!!!"),"",IF(NOT(ISNA(VLOOKUP(E4040,E$1:E4039,1,FALSE()))),"OLD",IF(AND(E4040&lt;&gt;"",E4040&lt;&gt;"!!!"),"NEW","")))</f>
        <v> </v>
      </c>
      <c r="G4040" s="23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4" t="str">
        <f>IF(J4040&lt;&gt;1,"",IF(I4040="SBJ","CB","?"))</f>
        <v> </v>
      </c>
      <c r="I4040" s="25" t="str">
        <f>IF(OR(E4040="",E4040="!!!",F4040="NEW"),"",INDEX(B4039:B$2,-1+SUMPRODUCT(MAX(ROW(E4039:E$2)*(E4040=E4039:E$2)))))</f>
        <v> </v>
      </c>
      <c r="J4040" s="25" t="str">
        <f>IF(OR(E4040="",E4040="!!!",F4040="NEW"),"",COUNTBLANK(OFFSET(A$1,,,SUMPRODUCT(MAX(ROW(E$2:E4040)*(E4040=E$2:E4040)))))-COUNTBLANK(OFFSET(A$1,,,SUMPRODUCT(MAX(ROW(E$1:E4039)*(E2=E$1:E4039))))))</f>
        <v> </v>
      </c>
      <c r="K4040" s="25" t="str">
        <f>IF(OR(E4040="",E4040="!!!",F4040="NEW"),"",INDEX(J$1:J4039,SUMPRODUCT(MAX(ROW(E$1:E4039)*(E4040=E$1:E4039)))))</f>
        <v> </v>
      </c>
      <c r="L4040" s="26"/>
    </row>
    <row r="4041" spans="1:12">
      <c r="A4041" s="20" t="s">
        <v>1145</v>
      </c>
      <c r="E4041" s="21">
        <f>IF(D4041="?OLD","!!!","")</f>
        <v/>
      </c>
      <c r="F4041" s="22" t="str">
        <f>IF(OR(E4041="",E4041="!!!"),"",IF(NOT(ISNA(VLOOKUP(E4041,E$1:E4040,1,FALSE()))),"OLD",IF(AND(E4041&lt;&gt;"",E4041&lt;&gt;"!!!"),"NEW","")))</f>
        <v> </v>
      </c>
      <c r="G4041" s="23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4" t="str">
        <f>IF(J4041&lt;&gt;1,"",IF(I4041="SBJ","CB","?"))</f>
        <v> </v>
      </c>
      <c r="I4041" s="25" t="str">
        <f>IF(OR(E4041="",E4041="!!!",F4041="NEW"),"",INDEX(B4040:B$2,-1+SUMPRODUCT(MAX(ROW(E4040:E$2)*(E4041=E4040:E$2)))))</f>
        <v> </v>
      </c>
      <c r="J4041" s="25" t="str">
        <f>IF(OR(E4041="",E4041="!!!",F4041="NEW"),"",COUNTBLANK(OFFSET(A$1,,,SUMPRODUCT(MAX(ROW(E$2:E4041)*(E4041=E$2:E4041)))))-COUNTBLANK(OFFSET(A$1,,,SUMPRODUCT(MAX(ROW(E$1:E4040)*(E2=E$1:E4040))))))</f>
        <v> </v>
      </c>
      <c r="K4041" s="25" t="str">
        <f>IF(OR(E4041="",E4041="!!!",F4041="NEW"),"",INDEX(J$1:J4040,SUMPRODUCT(MAX(ROW(E$1:E4040)*(E4041=E$1:E4040)))))</f>
        <v> </v>
      </c>
      <c r="L4041" s="26"/>
    </row>
    <row r="4042" spans="1:12">
      <c r="A4042" s="20"/>
    </row>
    <row r="4043" spans="1:12">
      <c r="A4043" s="20" t="s">
        <v>2909</v>
      </c>
    </row>
    <row r="4044" spans="1:12">
      <c r="A4044" s="20" t="s">
        <v>1406</v>
      </c>
      <c r="E4044" s="21">
        <f>IF(D4044="?OLD","!!!","")</f>
        <v/>
      </c>
      <c r="F4044" s="22" t="str">
        <f>IF(OR(E4044="",E4044="!!!"),"",IF(NOT(ISNA(VLOOKUP(E4044,E$1:E4043,1,FALSE()))),"OLD",IF(AND(E4044&lt;&gt;"",E4044&lt;&gt;"!!!"),"NEW","")))</f>
        <v> </v>
      </c>
      <c r="G4044" s="23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4" t="str">
        <f>IF(J4044&lt;&gt;1,"",IF(I4044="SBJ","CB","?"))</f>
        <v> </v>
      </c>
      <c r="I4044" s="25" t="str">
        <f>IF(OR(E4044="",E4044="!!!",F4044="NEW"),"",INDEX(B4043:B$2,-1+SUMPRODUCT(MAX(ROW(E4043:E$2)*(E4044=E4043:E$2)))))</f>
        <v> </v>
      </c>
      <c r="J4044" s="25" t="str">
        <f>IF(OR(E4044="",E4044="!!!",F4044="NEW"),"",COUNTBLANK(OFFSET(A$1,,,SUMPRODUCT(MAX(ROW(E$2:E4044)*(E4044=E$2:E4044)))))-COUNTBLANK(OFFSET(A$1,,,SUMPRODUCT(MAX(ROW(E$1:E4043)*(E2=E$1:E4043))))))</f>
        <v> </v>
      </c>
      <c r="K4044" s="25" t="str">
        <f>IF(OR(E4044="",E4044="!!!",F4044="NEW"),"",INDEX(J$1:J4043,SUMPRODUCT(MAX(ROW(E$1:E4043)*(E4044=E$1:E4043)))))</f>
        <v> </v>
      </c>
      <c r="L4044" s="26"/>
    </row>
    <row r="4045" spans="1:12">
      <c r="A4045" s="20" t="s">
        <v>1217</v>
      </c>
      <c r="B4045" s="27" t="s">
        <v>1149</v>
      </c>
      <c r="C4045" s="27" t="s">
        <v>1126</v>
      </c>
      <c r="D4045" s="27" t="s">
        <v>1105</v>
      </c>
      <c r="E4045" s="21">
        <f>IF(D4045="?OLD","!!!","")</f>
        <v/>
      </c>
      <c r="F4045" s="22" t="str">
        <f>IF(OR(E4045="",E4045="!!!"),"",IF(NOT(ISNA(VLOOKUP(E4045,E$1:E4044,1,FALSE()))),"OLD",IF(AND(E4045&lt;&gt;"",E4045&lt;&gt;"!!!"),"NEW","")))</f>
        <v> </v>
      </c>
      <c r="G4045" s="23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4" t="str">
        <f>IF(J4045&lt;&gt;1,"",IF(I4045="SBJ","CB","?"))</f>
        <v> </v>
      </c>
      <c r="I4045" s="25" t="str">
        <f>IF(OR(E4045="",E4045="!!!",F4045="NEW"),"",INDEX(B4044:B$2,-1+SUMPRODUCT(MAX(ROW(E4044:E$2)*(E4045=E4044:E$2)))))</f>
        <v> </v>
      </c>
      <c r="J4045" s="25" t="str">
        <f>IF(OR(E4045="",E4045="!!!",F4045="NEW"),"",COUNTBLANK(OFFSET(A$1,,,SUMPRODUCT(MAX(ROW(E$2:E4045)*(E4045=E$2:E4045)))))-COUNTBLANK(OFFSET(A$1,,,SUMPRODUCT(MAX(ROW(E$1:E4044)*(E2=E$1:E4044))))))</f>
        <v> </v>
      </c>
      <c r="K4045" s="25" t="str">
        <f>IF(OR(E4045="",E4045="!!!",F4045="NEW"),"",INDEX(J$1:J4044,SUMPRODUCT(MAX(ROW(E$1:E4044)*(E4045=E$1:E4044)))))</f>
        <v> </v>
      </c>
      <c r="L4045" s="26"/>
    </row>
    <row r="4046" spans="1:12">
      <c r="A4046" s="20" t="s">
        <v>1123</v>
      </c>
      <c r="E4046" s="21">
        <f>IF(D4046="?OLD","!!!","")</f>
        <v/>
      </c>
      <c r="F4046" s="22" t="str">
        <f>IF(OR(E4046="",E4046="!!!"),"",IF(NOT(ISNA(VLOOKUP(E4046,E$1:E4045,1,FALSE()))),"OLD",IF(AND(E4046&lt;&gt;"",E4046&lt;&gt;"!!!"),"NEW","")))</f>
        <v> </v>
      </c>
      <c r="G4046" s="23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4" t="str">
        <f>IF(J4046&lt;&gt;1,"",IF(I4046="SBJ","CB","?"))</f>
        <v> </v>
      </c>
      <c r="I4046" s="25" t="str">
        <f>IF(OR(E4046="",E4046="!!!",F4046="NEW"),"",INDEX(B4045:B$2,-1+SUMPRODUCT(MAX(ROW(E4045:E$2)*(E4046=E4045:E$2)))))</f>
        <v> </v>
      </c>
      <c r="J4046" s="25" t="str">
        <f>IF(OR(E4046="",E4046="!!!",F4046="NEW"),"",COUNTBLANK(OFFSET(A$1,,,SUMPRODUCT(MAX(ROW(E$2:E4046)*(E4046=E$2:E4046)))))-COUNTBLANK(OFFSET(A$1,,,SUMPRODUCT(MAX(ROW(E$1:E4045)*(E2=E$1:E4045))))))</f>
        <v> </v>
      </c>
      <c r="K4046" s="25" t="str">
        <f>IF(OR(E4046="",E4046="!!!",F4046="NEW"),"",INDEX(J$1:J4045,SUMPRODUCT(MAX(ROW(E$1:E4045)*(E4046=E$1:E4045)))))</f>
        <v> </v>
      </c>
      <c r="L4046" s="26"/>
    </row>
    <row r="4047" spans="1:12">
      <c r="A4047" s="20" t="s">
        <v>1253</v>
      </c>
      <c r="E4047" s="21">
        <f>IF(D4047="?OLD","!!!","")</f>
        <v/>
      </c>
      <c r="F4047" s="22" t="str">
        <f>IF(OR(E4047="",E4047="!!!"),"",IF(NOT(ISNA(VLOOKUP(E4047,E$1:E4046,1,FALSE()))),"OLD",IF(AND(E4047&lt;&gt;"",E4047&lt;&gt;"!!!"),"NEW","")))</f>
        <v> </v>
      </c>
      <c r="G4047" s="23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4" t="str">
        <f>IF(J4047&lt;&gt;1,"",IF(I4047="SBJ","CB","?"))</f>
        <v> </v>
      </c>
      <c r="I4047" s="25" t="str">
        <f>IF(OR(E4047="",E4047="!!!",F4047="NEW"),"",INDEX(B4046:B$2,-1+SUMPRODUCT(MAX(ROW(E4046:E$2)*(E4047=E4046:E$2)))))</f>
        <v> </v>
      </c>
      <c r="J4047" s="25" t="str">
        <f>IF(OR(E4047="",E4047="!!!",F4047="NEW"),"",COUNTBLANK(OFFSET(A$1,,,SUMPRODUCT(MAX(ROW(E$2:E4047)*(E4047=E$2:E4047)))))-COUNTBLANK(OFFSET(A$1,,,SUMPRODUCT(MAX(ROW(E$1:E4046)*(E2=E$1:E4046))))))</f>
        <v> </v>
      </c>
      <c r="K4047" s="25" t="str">
        <f>IF(OR(E4047="",E4047="!!!",F4047="NEW"),"",INDEX(J$1:J4046,SUMPRODUCT(MAX(ROW(E$1:E4046)*(E4047=E$1:E4046)))))</f>
        <v> </v>
      </c>
      <c r="L4047" s="26"/>
    </row>
    <row r="4048" spans="1:12">
      <c r="A4048" s="20" t="s">
        <v>2910</v>
      </c>
      <c r="E4048" s="21">
        <f>IF(D4048="?OLD","!!!","")</f>
        <v/>
      </c>
      <c r="F4048" s="22" t="str">
        <f>IF(OR(E4048="",E4048="!!!"),"",IF(NOT(ISNA(VLOOKUP(E4048,E$1:E4047,1,FALSE()))),"OLD",IF(AND(E4048&lt;&gt;"",E4048&lt;&gt;"!!!"),"NEW","")))</f>
        <v> </v>
      </c>
      <c r="G4048" s="23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4" t="str">
        <f>IF(J4048&lt;&gt;1,"",IF(I4048="SBJ","CB","?"))</f>
        <v> </v>
      </c>
      <c r="I4048" s="25" t="str">
        <f>IF(OR(E4048="",E4048="!!!",F4048="NEW"),"",INDEX(B4047:B$2,-1+SUMPRODUCT(MAX(ROW(E4047:E$2)*(E4048=E4047:E$2)))))</f>
        <v> </v>
      </c>
      <c r="J4048" s="25" t="str">
        <f>IF(OR(E4048="",E4048="!!!",F4048="NEW"),"",COUNTBLANK(OFFSET(A$1,,,SUMPRODUCT(MAX(ROW(E$2:E4048)*(E4048=E$2:E4048)))))-COUNTBLANK(OFFSET(A$1,,,SUMPRODUCT(MAX(ROW(E$1:E4047)*(E2=E$1:E4047))))))</f>
        <v> </v>
      </c>
      <c r="K4048" s="25" t="str">
        <f>IF(OR(E4048="",E4048="!!!",F4048="NEW"),"",INDEX(J$1:J4047,SUMPRODUCT(MAX(ROW(E$1:E4047)*(E4048=E$1:E4047)))))</f>
        <v> </v>
      </c>
      <c r="L4048" s="26"/>
    </row>
    <row r="4049" spans="1:12">
      <c r="A4049" s="20" t="s">
        <v>1846</v>
      </c>
      <c r="E4049" s="21">
        <f>IF(D4049="?OLD","!!!","")</f>
        <v/>
      </c>
      <c r="F4049" s="22" t="str">
        <f>IF(OR(E4049="",E4049="!!!"),"",IF(NOT(ISNA(VLOOKUP(E4049,E$1:E4048,1,FALSE()))),"OLD",IF(AND(E4049&lt;&gt;"",E4049&lt;&gt;"!!!"),"NEW","")))</f>
        <v> </v>
      </c>
      <c r="G4049" s="23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4" t="str">
        <f>IF(J4049&lt;&gt;1,"",IF(I4049="SBJ","CB","?"))</f>
        <v> </v>
      </c>
      <c r="I4049" s="25" t="str">
        <f>IF(OR(E4049="",E4049="!!!",F4049="NEW"),"",INDEX(B4048:B$2,-1+SUMPRODUCT(MAX(ROW(E4048:E$2)*(E4049=E4048:E$2)))))</f>
        <v> </v>
      </c>
      <c r="J4049" s="25" t="str">
        <f>IF(OR(E4049="",E4049="!!!",F4049="NEW"),"",COUNTBLANK(OFFSET(A$1,,,SUMPRODUCT(MAX(ROW(E$2:E4049)*(E4049=E$2:E4049)))))-COUNTBLANK(OFFSET(A$1,,,SUMPRODUCT(MAX(ROW(E$1:E4048)*(E2=E$1:E4048))))))</f>
        <v> </v>
      </c>
      <c r="K4049" s="25" t="str">
        <f>IF(OR(E4049="",E4049="!!!",F4049="NEW"),"",INDEX(J$1:J4048,SUMPRODUCT(MAX(ROW(E$1:E4048)*(E4049=E$1:E4048)))))</f>
        <v> </v>
      </c>
      <c r="L4049" s="26"/>
    </row>
    <row r="4050" spans="1:12">
      <c r="A4050" s="20" t="s">
        <v>1123</v>
      </c>
      <c r="E4050" s="21">
        <f>IF(D4050="?OLD","!!!","")</f>
        <v/>
      </c>
      <c r="F4050" s="22" t="str">
        <f>IF(OR(E4050="",E4050="!!!"),"",IF(NOT(ISNA(VLOOKUP(E4050,E$1:E4049,1,FALSE()))),"OLD",IF(AND(E4050&lt;&gt;"",E4050&lt;&gt;"!!!"),"NEW","")))</f>
        <v> </v>
      </c>
      <c r="G4050" s="23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4" t="str">
        <f>IF(J4050&lt;&gt;1,"",IF(I4050="SBJ","CB","?"))</f>
        <v> </v>
      </c>
      <c r="I4050" s="25" t="str">
        <f>IF(OR(E4050="",E4050="!!!",F4050="NEW"),"",INDEX(B4049:B$2,-1+SUMPRODUCT(MAX(ROW(E4049:E$2)*(E4050=E4049:E$2)))))</f>
        <v> </v>
      </c>
      <c r="J4050" s="25" t="str">
        <f>IF(OR(E4050="",E4050="!!!",F4050="NEW"),"",COUNTBLANK(OFFSET(A$1,,,SUMPRODUCT(MAX(ROW(E$2:E4050)*(E4050=E$2:E4050)))))-COUNTBLANK(OFFSET(A$1,,,SUMPRODUCT(MAX(ROW(E$1:E4049)*(E2=E$1:E4049))))))</f>
        <v> </v>
      </c>
      <c r="K4050" s="25" t="str">
        <f>IF(OR(E4050="",E4050="!!!",F4050="NEW"),"",INDEX(J$1:J4049,SUMPRODUCT(MAX(ROW(E$1:E4049)*(E4050=E$1:E4049)))))</f>
        <v> </v>
      </c>
      <c r="L4050" s="26"/>
    </row>
    <row r="4051" spans="1:12">
      <c r="A4051" s="20" t="s">
        <v>2911</v>
      </c>
      <c r="E4051" s="21">
        <f>IF(D4051="?OLD","!!!","")</f>
        <v/>
      </c>
      <c r="F4051" s="22" t="str">
        <f>IF(OR(E4051="",E4051="!!!"),"",IF(NOT(ISNA(VLOOKUP(E4051,E$1:E4050,1,FALSE()))),"OLD",IF(AND(E4051&lt;&gt;"",E4051&lt;&gt;"!!!"),"NEW","")))</f>
        <v> </v>
      </c>
      <c r="G4051" s="23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4" t="str">
        <f>IF(J4051&lt;&gt;1,"",IF(I4051="SBJ","CB","?"))</f>
        <v> </v>
      </c>
      <c r="I4051" s="25" t="str">
        <f>IF(OR(E4051="",E4051="!!!",F4051="NEW"),"",INDEX(B4050:B$2,-1+SUMPRODUCT(MAX(ROW(E4050:E$2)*(E4051=E4050:E$2)))))</f>
        <v> </v>
      </c>
      <c r="J4051" s="25" t="str">
        <f>IF(OR(E4051="",E4051="!!!",F4051="NEW"),"",COUNTBLANK(OFFSET(A$1,,,SUMPRODUCT(MAX(ROW(E$2:E4051)*(E4051=E$2:E4051)))))-COUNTBLANK(OFFSET(A$1,,,SUMPRODUCT(MAX(ROW(E$1:E4050)*(E2=E$1:E4050))))))</f>
        <v> </v>
      </c>
      <c r="K4051" s="25" t="str">
        <f>IF(OR(E4051="",E4051="!!!",F4051="NEW"),"",INDEX(J$1:J4050,SUMPRODUCT(MAX(ROW(E$1:E4050)*(E4051=E$1:E4050)))))</f>
        <v> </v>
      </c>
      <c r="L4051" s="26"/>
    </row>
    <row r="4052" spans="1:12">
      <c r="A4052" s="20" t="s">
        <v>1123</v>
      </c>
      <c r="E4052" s="21">
        <f>IF(D4052="?OLD","!!!","")</f>
        <v/>
      </c>
      <c r="F4052" s="22" t="str">
        <f>IF(OR(E4052="",E4052="!!!"),"",IF(NOT(ISNA(VLOOKUP(E4052,E$1:E4051,1,FALSE()))),"OLD",IF(AND(E4052&lt;&gt;"",E4052&lt;&gt;"!!!"),"NEW","")))</f>
        <v> </v>
      </c>
      <c r="G4052" s="23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4" t="str">
        <f>IF(J4052&lt;&gt;1,"",IF(I4052="SBJ","CB","?"))</f>
        <v> </v>
      </c>
      <c r="I4052" s="25" t="str">
        <f>IF(OR(E4052="",E4052="!!!",F4052="NEW"),"",INDEX(B4051:B$2,-1+SUMPRODUCT(MAX(ROW(E4051:E$2)*(E4052=E4051:E$2)))))</f>
        <v> </v>
      </c>
      <c r="J4052" s="25" t="str">
        <f>IF(OR(E4052="",E4052="!!!",F4052="NEW"),"",COUNTBLANK(OFFSET(A$1,,,SUMPRODUCT(MAX(ROW(E$2:E4052)*(E4052=E$2:E4052)))))-COUNTBLANK(OFFSET(A$1,,,SUMPRODUCT(MAX(ROW(E$1:E4051)*(E2=E$1:E4051))))))</f>
        <v> </v>
      </c>
      <c r="K4052" s="25" t="str">
        <f>IF(OR(E4052="",E4052="!!!",F4052="NEW"),"",INDEX(J$1:J4051,SUMPRODUCT(MAX(ROW(E$1:E4051)*(E4052=E$1:E4051)))))</f>
        <v> </v>
      </c>
      <c r="L4052" s="26"/>
    </row>
    <row r="4053" spans="1:12">
      <c r="A4053" s="20" t="s">
        <v>135</v>
      </c>
      <c r="E4053" s="21">
        <f>IF(D4053="?OLD","!!!","")</f>
        <v/>
      </c>
      <c r="F4053" s="22" t="str">
        <f>IF(OR(E4053="",E4053="!!!"),"",IF(NOT(ISNA(VLOOKUP(E4053,E$1:E4052,1,FALSE()))),"OLD",IF(AND(E4053&lt;&gt;"",E4053&lt;&gt;"!!!"),"NEW","")))</f>
        <v> </v>
      </c>
      <c r="G4053" s="23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4" t="str">
        <f>IF(J4053&lt;&gt;1,"",IF(I4053="SBJ","CB","?"))</f>
        <v> </v>
      </c>
      <c r="I4053" s="25" t="str">
        <f>IF(OR(E4053="",E4053="!!!",F4053="NEW"),"",INDEX(B4052:B$2,-1+SUMPRODUCT(MAX(ROW(E4052:E$2)*(E4053=E4052:E$2)))))</f>
        <v> </v>
      </c>
      <c r="J4053" s="25" t="str">
        <f>IF(OR(E4053="",E4053="!!!",F4053="NEW"),"",COUNTBLANK(OFFSET(A$1,,,SUMPRODUCT(MAX(ROW(E$2:E4053)*(E4053=E$2:E4053)))))-COUNTBLANK(OFFSET(A$1,,,SUMPRODUCT(MAX(ROW(E$1:E4052)*(E2=E$1:E4052))))))</f>
        <v> </v>
      </c>
      <c r="K4053" s="25" t="str">
        <f>IF(OR(E4053="",E4053="!!!",F4053="NEW"),"",INDEX(J$1:J4052,SUMPRODUCT(MAX(ROW(E$1:E4052)*(E4053=E$1:E4052)))))</f>
        <v> </v>
      </c>
      <c r="L4053" s="26"/>
    </row>
    <row r="4054" spans="1:12">
      <c r="A4054" s="20" t="s">
        <v>1139</v>
      </c>
      <c r="E4054" s="21">
        <f>IF(D4054="?OLD","!!!","")</f>
        <v/>
      </c>
      <c r="F4054" s="22" t="str">
        <f>IF(OR(E4054="",E4054="!!!"),"",IF(NOT(ISNA(VLOOKUP(E4054,E$1:E4053,1,FALSE()))),"OLD",IF(AND(E4054&lt;&gt;"",E4054&lt;&gt;"!!!"),"NEW","")))</f>
        <v> </v>
      </c>
      <c r="G4054" s="23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4" t="str">
        <f>IF(J4054&lt;&gt;1,"",IF(I4054="SBJ","CB","?"))</f>
        <v> </v>
      </c>
      <c r="I4054" s="25" t="str">
        <f>IF(OR(E4054="",E4054="!!!",F4054="NEW"),"",INDEX(B4053:B$2,-1+SUMPRODUCT(MAX(ROW(E4053:E$2)*(E4054=E4053:E$2)))))</f>
        <v> </v>
      </c>
      <c r="J4054" s="25" t="str">
        <f>IF(OR(E4054="",E4054="!!!",F4054="NEW"),"",COUNTBLANK(OFFSET(A$1,,,SUMPRODUCT(MAX(ROW(E$2:E4054)*(E4054=E$2:E4054)))))-COUNTBLANK(OFFSET(A$1,,,SUMPRODUCT(MAX(ROW(E$1:E4053)*(E2=E$1:E4053))))))</f>
        <v> </v>
      </c>
      <c r="K4054" s="25" t="str">
        <f>IF(OR(E4054="",E4054="!!!",F4054="NEW"),"",INDEX(J$1:J4053,SUMPRODUCT(MAX(ROW(E$1:E4053)*(E4054=E$1:E4053)))))</f>
        <v> </v>
      </c>
      <c r="L4054" s="26"/>
    </row>
    <row r="4055" spans="1:12">
      <c r="A4055" s="20" t="s">
        <v>1154</v>
      </c>
      <c r="E4055" s="21">
        <f>IF(D4055="?OLD","!!!","")</f>
        <v/>
      </c>
      <c r="F4055" s="22" t="str">
        <f>IF(OR(E4055="",E4055="!!!"),"",IF(NOT(ISNA(VLOOKUP(E4055,E$1:E4054,1,FALSE()))),"OLD",IF(AND(E4055&lt;&gt;"",E4055&lt;&gt;"!!!"),"NEW","")))</f>
        <v> </v>
      </c>
      <c r="G4055" s="23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4" t="str">
        <f>IF(J4055&lt;&gt;1,"",IF(I4055="SBJ","CB","?"))</f>
        <v> </v>
      </c>
      <c r="I4055" s="25" t="str">
        <f>IF(OR(E4055="",E4055="!!!",F4055="NEW"),"",INDEX(B4054:B$2,-1+SUMPRODUCT(MAX(ROW(E4054:E$2)*(E4055=E4054:E$2)))))</f>
        <v> </v>
      </c>
      <c r="J4055" s="25" t="str">
        <f>IF(OR(E4055="",E4055="!!!",F4055="NEW"),"",COUNTBLANK(OFFSET(A$1,,,SUMPRODUCT(MAX(ROW(E$2:E4055)*(E4055=E$2:E4055)))))-COUNTBLANK(OFFSET(A$1,,,SUMPRODUCT(MAX(ROW(E$1:E4054)*(E2=E$1:E4054))))))</f>
        <v> </v>
      </c>
      <c r="K4055" s="25" t="str">
        <f>IF(OR(E4055="",E4055="!!!",F4055="NEW"),"",INDEX(J$1:J4054,SUMPRODUCT(MAX(ROW(E$1:E4054)*(E4055=E$1:E4054)))))</f>
        <v> </v>
      </c>
      <c r="L4055" s="26"/>
    </row>
    <row r="4056" spans="1:12">
      <c r="A4056" s="20" t="s">
        <v>1306</v>
      </c>
      <c r="B4056" s="27" t="s">
        <v>1107</v>
      </c>
      <c r="C4056" s="27" t="s">
        <v>1156</v>
      </c>
      <c r="D4056" s="27" t="s">
        <v>1105</v>
      </c>
      <c r="E4056" s="21">
        <f>IF(D4056="?OLD","!!!","")</f>
        <v/>
      </c>
      <c r="F4056" s="22" t="str">
        <f>IF(OR(E4056="",E4056="!!!"),"",IF(NOT(ISNA(VLOOKUP(E4056,E$1:E4055,1,FALSE()))),"OLD",IF(AND(E4056&lt;&gt;"",E4056&lt;&gt;"!!!"),"NEW","")))</f>
        <v> </v>
      </c>
      <c r="G4056" s="23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4" t="str">
        <f>IF(J4056&lt;&gt;1,"",IF(I4056="SBJ","CB","?"))</f>
        <v> </v>
      </c>
      <c r="I4056" s="25" t="str">
        <f>IF(OR(E4056="",E4056="!!!",F4056="NEW"),"",INDEX(B4055:B$2,-1+SUMPRODUCT(MAX(ROW(E4055:E$2)*(E4056=E4055:E$2)))))</f>
        <v> </v>
      </c>
      <c r="J4056" s="25" t="str">
        <f>IF(OR(E4056="",E4056="!!!",F4056="NEW"),"",COUNTBLANK(OFFSET(A$1,,,SUMPRODUCT(MAX(ROW(E$2:E4056)*(E4056=E$2:E4056)))))-COUNTBLANK(OFFSET(A$1,,,SUMPRODUCT(MAX(ROW(E$1:E4055)*(E2=E$1:E4055))))))</f>
        <v> </v>
      </c>
      <c r="K4056" s="25" t="str">
        <f>IF(OR(E4056="",E4056="!!!",F4056="NEW"),"",INDEX(J$1:J4055,SUMPRODUCT(MAX(ROW(E$1:E4055)*(E4056=E$1:E4055)))))</f>
        <v> </v>
      </c>
      <c r="L4056" s="26"/>
    </row>
    <row r="4057" spans="1:12">
      <c r="A4057" s="20" t="s">
        <v>1124</v>
      </c>
      <c r="B4057" s="27" t="s">
        <v>1122</v>
      </c>
      <c r="C4057" s="27" t="s">
        <v>1126</v>
      </c>
      <c r="D4057" s="27" t="s">
        <v>1105</v>
      </c>
      <c r="E4057" s="21">
        <f>IF(D4057="?OLD","!!!","")</f>
        <v/>
      </c>
      <c r="F4057" s="22" t="str">
        <f>IF(OR(E4057="",E4057="!!!"),"",IF(NOT(ISNA(VLOOKUP(E4057,E$1:E4056,1,FALSE()))),"OLD",IF(AND(E4057&lt;&gt;"",E4057&lt;&gt;"!!!"),"NEW","")))</f>
        <v> </v>
      </c>
      <c r="G4057" s="23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4" t="str">
        <f>IF(J4057&lt;&gt;1,"",IF(I4057="SBJ","CB","?"))</f>
        <v> </v>
      </c>
      <c r="I4057" s="25" t="str">
        <f>IF(OR(E4057="",E4057="!!!",F4057="NEW"),"",INDEX(B4056:B$2,-1+SUMPRODUCT(MAX(ROW(E4056:E$2)*(E4057=E4056:E$2)))))</f>
        <v> </v>
      </c>
      <c r="J4057" s="25" t="str">
        <f>IF(OR(E4057="",E4057="!!!",F4057="NEW"),"",COUNTBLANK(OFFSET(A$1,,,SUMPRODUCT(MAX(ROW(E$2:E4057)*(E4057=E$2:E4057)))))-COUNTBLANK(OFFSET(A$1,,,SUMPRODUCT(MAX(ROW(E$1:E4056)*(E2=E$1:E4056))))))</f>
        <v> </v>
      </c>
      <c r="K4057" s="25" t="str">
        <f>IF(OR(E4057="",E4057="!!!",F4057="NEW"),"",INDEX(J$1:J4056,SUMPRODUCT(MAX(ROW(E$1:E4056)*(E4057=E$1:E4056)))))</f>
        <v> </v>
      </c>
      <c r="L4057" s="26"/>
    </row>
    <row r="4058" spans="1:12">
      <c r="A4058" s="20" t="s">
        <v>2912</v>
      </c>
      <c r="E4058" s="21">
        <f>IF(D4058="?OLD","!!!","")</f>
        <v/>
      </c>
      <c r="F4058" s="22" t="str">
        <f>IF(OR(E4058="",E4058="!!!"),"",IF(NOT(ISNA(VLOOKUP(E4058,E$1:E4057,1,FALSE()))),"OLD",IF(AND(E4058&lt;&gt;"",E4058&lt;&gt;"!!!"),"NEW","")))</f>
        <v> </v>
      </c>
      <c r="G4058" s="23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4" t="str">
        <f>IF(J4058&lt;&gt;1,"",IF(I4058="SBJ","CB","?"))</f>
        <v> </v>
      </c>
      <c r="I4058" s="25" t="str">
        <f>IF(OR(E4058="",E4058="!!!",F4058="NEW"),"",INDEX(B4057:B$2,-1+SUMPRODUCT(MAX(ROW(E4057:E$2)*(E4058=E4057:E$2)))))</f>
        <v> </v>
      </c>
      <c r="J4058" s="25" t="str">
        <f>IF(OR(E4058="",E4058="!!!",F4058="NEW"),"",COUNTBLANK(OFFSET(A$1,,,SUMPRODUCT(MAX(ROW(E$2:E4058)*(E4058=E$2:E4058)))))-COUNTBLANK(OFFSET(A$1,,,SUMPRODUCT(MAX(ROW(E$1:E4057)*(E2=E$1:E4057))))))</f>
        <v> </v>
      </c>
      <c r="K4058" s="25" t="str">
        <f>IF(OR(E4058="",E4058="!!!",F4058="NEW"),"",INDEX(J$1:J4057,SUMPRODUCT(MAX(ROW(E$1:E4057)*(E4058=E$1:E4057)))))</f>
        <v> </v>
      </c>
      <c r="L4058" s="26"/>
    </row>
    <row r="4059" spans="1:12">
      <c r="A4059" s="20" t="s">
        <v>2913</v>
      </c>
      <c r="E4059" s="21">
        <f>IF(D4059="?OLD","!!!","")</f>
        <v/>
      </c>
      <c r="F4059" s="22" t="str">
        <f>IF(OR(E4059="",E4059="!!!"),"",IF(NOT(ISNA(VLOOKUP(E4059,E$1:E4058,1,FALSE()))),"OLD",IF(AND(E4059&lt;&gt;"",E4059&lt;&gt;"!!!"),"NEW","")))</f>
        <v> </v>
      </c>
      <c r="G4059" s="23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4" t="str">
        <f>IF(J4059&lt;&gt;1,"",IF(I4059="SBJ","CB","?"))</f>
        <v> </v>
      </c>
      <c r="I4059" s="25" t="str">
        <f>IF(OR(E4059="",E4059="!!!",F4059="NEW"),"",INDEX(B4058:B$2,-1+SUMPRODUCT(MAX(ROW(E4058:E$2)*(E4059=E4058:E$2)))))</f>
        <v> </v>
      </c>
      <c r="J4059" s="25" t="str">
        <f>IF(OR(E4059="",E4059="!!!",F4059="NEW"),"",COUNTBLANK(OFFSET(A$1,,,SUMPRODUCT(MAX(ROW(E$2:E4059)*(E4059=E$2:E4059)))))-COUNTBLANK(OFFSET(A$1,,,SUMPRODUCT(MAX(ROW(E$1:E4058)*(E2=E$1:E4058))))))</f>
        <v> </v>
      </c>
      <c r="K4059" s="25" t="str">
        <f>IF(OR(E4059="",E4059="!!!",F4059="NEW"),"",INDEX(J$1:J4058,SUMPRODUCT(MAX(ROW(E$1:E4058)*(E4059=E$1:E4058)))))</f>
        <v> </v>
      </c>
      <c r="L4059" s="26"/>
    </row>
    <row r="4060" spans="1:12">
      <c r="A4060" s="20" t="s">
        <v>1145</v>
      </c>
      <c r="E4060" s="21">
        <f>IF(D4060="?OLD","!!!","")</f>
        <v/>
      </c>
      <c r="F4060" s="22" t="str">
        <f>IF(OR(E4060="",E4060="!!!"),"",IF(NOT(ISNA(VLOOKUP(E4060,E$1:E4059,1,FALSE()))),"OLD",IF(AND(E4060&lt;&gt;"",E4060&lt;&gt;"!!!"),"NEW","")))</f>
        <v> </v>
      </c>
      <c r="G4060" s="23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4" t="str">
        <f>IF(J4060&lt;&gt;1,"",IF(I4060="SBJ","CB","?"))</f>
        <v> </v>
      </c>
      <c r="I4060" s="25" t="str">
        <f>IF(OR(E4060="",E4060="!!!",F4060="NEW"),"",INDEX(B4059:B$2,-1+SUMPRODUCT(MAX(ROW(E4059:E$2)*(E4060=E4059:E$2)))))</f>
        <v> </v>
      </c>
      <c r="J4060" s="25" t="str">
        <f>IF(OR(E4060="",E4060="!!!",F4060="NEW"),"",COUNTBLANK(OFFSET(A$1,,,SUMPRODUCT(MAX(ROW(E$2:E4060)*(E4060=E$2:E4060)))))-COUNTBLANK(OFFSET(A$1,,,SUMPRODUCT(MAX(ROW(E$1:E4059)*(E2=E$1:E4059))))))</f>
        <v> </v>
      </c>
      <c r="K4060" s="25" t="str">
        <f>IF(OR(E4060="",E4060="!!!",F4060="NEW"),"",INDEX(J$1:J4059,SUMPRODUCT(MAX(ROW(E$1:E4059)*(E4060=E$1:E4059)))))</f>
        <v> </v>
      </c>
      <c r="L4060" s="26"/>
    </row>
    <row r="4061" spans="1:12">
      <c r="A4061" s="20"/>
    </row>
    <row r="4062" spans="1:12">
      <c r="A4062" s="20" t="s">
        <v>2914</v>
      </c>
    </row>
    <row r="4063" spans="1:12">
      <c r="A4063" s="20" t="s">
        <v>1547</v>
      </c>
      <c r="E4063" s="21">
        <f>IF(D4063="?OLD","!!!","")</f>
        <v/>
      </c>
      <c r="F4063" s="22" t="str">
        <f>IF(OR(E4063="",E4063="!!!"),"",IF(NOT(ISNA(VLOOKUP(E4063,E$1:E4062,1,FALSE()))),"OLD",IF(AND(E4063&lt;&gt;"",E4063&lt;&gt;"!!!"),"NEW","")))</f>
        <v> </v>
      </c>
      <c r="G4063" s="23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4" t="str">
        <f>IF(J4063&lt;&gt;1,"",IF(I4063="SBJ","CB","?"))</f>
        <v> </v>
      </c>
      <c r="I4063" s="25" t="str">
        <f>IF(OR(E4063="",E4063="!!!",F4063="NEW"),"",INDEX(B4062:B$2,-1+SUMPRODUCT(MAX(ROW(E4062:E$2)*(E4063=E4062:E$2)))))</f>
        <v> </v>
      </c>
      <c r="J4063" s="25" t="str">
        <f>IF(OR(E4063="",E4063="!!!",F4063="NEW"),"",COUNTBLANK(OFFSET(A$1,,,SUMPRODUCT(MAX(ROW(E$2:E4063)*(E4063=E$2:E4063)))))-COUNTBLANK(OFFSET(A$1,,,SUMPRODUCT(MAX(ROW(E$1:E4062)*(E2=E$1:E4062))))))</f>
        <v> </v>
      </c>
      <c r="K4063" s="25" t="str">
        <f>IF(OR(E4063="",E4063="!!!",F4063="NEW"),"",INDEX(J$1:J4062,SUMPRODUCT(MAX(ROW(E$1:E4062)*(E4063=E$1:E4062)))))</f>
        <v> </v>
      </c>
      <c r="L4063" s="26"/>
    </row>
    <row r="4064" spans="1:12">
      <c r="A4064" s="20" t="s">
        <v>1590</v>
      </c>
      <c r="E4064" s="21">
        <f>IF(D4064="?OLD","!!!","")</f>
        <v/>
      </c>
      <c r="F4064" s="22" t="str">
        <f>IF(OR(E4064="",E4064="!!!"),"",IF(NOT(ISNA(VLOOKUP(E4064,E$1:E4063,1,FALSE()))),"OLD",IF(AND(E4064&lt;&gt;"",E4064&lt;&gt;"!!!"),"NEW","")))</f>
        <v> </v>
      </c>
      <c r="G4064" s="23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4" t="str">
        <f>IF(J4064&lt;&gt;1,"",IF(I4064="SBJ","CB","?"))</f>
        <v> </v>
      </c>
      <c r="I4064" s="25" t="str">
        <f>IF(OR(E4064="",E4064="!!!",F4064="NEW"),"",INDEX(B4063:B$2,-1+SUMPRODUCT(MAX(ROW(E4063:E$2)*(E4064=E4063:E$2)))))</f>
        <v> </v>
      </c>
      <c r="J4064" s="25" t="str">
        <f>IF(OR(E4064="",E4064="!!!",F4064="NEW"),"",COUNTBLANK(OFFSET(A$1,,,SUMPRODUCT(MAX(ROW(E$2:E4064)*(E4064=E$2:E4064)))))-COUNTBLANK(OFFSET(A$1,,,SUMPRODUCT(MAX(ROW(E$1:E4063)*(E2=E$1:E4063))))))</f>
        <v> </v>
      </c>
      <c r="K4064" s="25" t="str">
        <f>IF(OR(E4064="",E4064="!!!",F4064="NEW"),"",INDEX(J$1:J4063,SUMPRODUCT(MAX(ROW(E$1:E4063)*(E4064=E$1:E4063)))))</f>
        <v> </v>
      </c>
      <c r="L4064" s="26"/>
    </row>
    <row r="4065" spans="1:12">
      <c r="A4065" s="20" t="s">
        <v>1242</v>
      </c>
      <c r="B4065" s="27" t="s">
        <v>1213</v>
      </c>
      <c r="C4065" s="27" t="s">
        <v>1126</v>
      </c>
      <c r="D4065" s="27" t="s">
        <v>1105</v>
      </c>
      <c r="E4065" s="21">
        <f>IF(D4065="?OLD","!!!","")</f>
        <v/>
      </c>
      <c r="F4065" s="22" t="str">
        <f>IF(OR(E4065="",E4065="!!!"),"",IF(NOT(ISNA(VLOOKUP(E4065,E$1:E4064,1,FALSE()))),"OLD",IF(AND(E4065&lt;&gt;"",E4065&lt;&gt;"!!!"),"NEW","")))</f>
        <v> </v>
      </c>
      <c r="G4065" s="23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4" t="str">
        <f>IF(J4065&lt;&gt;1,"",IF(I4065="SBJ","CB","?"))</f>
        <v> </v>
      </c>
      <c r="I4065" s="25" t="str">
        <f>IF(OR(E4065="",E4065="!!!",F4065="NEW"),"",INDEX(B4064:B$2,-1+SUMPRODUCT(MAX(ROW(E4064:E$2)*(E4065=E4064:E$2)))))</f>
        <v> </v>
      </c>
      <c r="J4065" s="25" t="str">
        <f>IF(OR(E4065="",E4065="!!!",F4065="NEW"),"",COUNTBLANK(OFFSET(A$1,,,SUMPRODUCT(MAX(ROW(E$2:E4065)*(E4065=E$2:E4065)))))-COUNTBLANK(OFFSET(A$1,,,SUMPRODUCT(MAX(ROW(E$1:E4064)*(E2=E$1:E4064))))))</f>
        <v> </v>
      </c>
      <c r="K4065" s="25" t="str">
        <f>IF(OR(E4065="",E4065="!!!",F4065="NEW"),"",INDEX(J$1:J4064,SUMPRODUCT(MAX(ROW(E$1:E4064)*(E4065=E$1:E4064)))))</f>
        <v> </v>
      </c>
      <c r="L4065" s="26"/>
    </row>
    <row r="4066" spans="1:12">
      <c r="A4066" s="20" t="s">
        <v>1757</v>
      </c>
      <c r="B4066" s="27" t="s">
        <v>1107</v>
      </c>
      <c r="C4066" s="27" t="s">
        <v>1758</v>
      </c>
      <c r="E4066" s="21">
        <f>IF(D4066="?OLD","!!!","")</f>
        <v/>
      </c>
      <c r="F4066" s="22" t="str">
        <f>IF(OR(E4066="",E4066="!!!"),"",IF(NOT(ISNA(VLOOKUP(E4066,E$1:E4065,1,FALSE()))),"OLD",IF(AND(E4066&lt;&gt;"",E4066&lt;&gt;"!!!"),"NEW","")))</f>
        <v> </v>
      </c>
      <c r="G4066" s="23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4" t="str">
        <f>IF(J4066&lt;&gt;1,"",IF(I4066="SBJ","CB","?"))</f>
        <v> </v>
      </c>
      <c r="I4066" s="25" t="str">
        <f>IF(OR(E4066="",E4066="!!!",F4066="NEW"),"",INDEX(B4065:B$2,-1+SUMPRODUCT(MAX(ROW(E4065:E$2)*(E4066=E4065:E$2)))))</f>
        <v> </v>
      </c>
      <c r="J4066" s="25" t="str">
        <f>IF(OR(E4066="",E4066="!!!",F4066="NEW"),"",COUNTBLANK(OFFSET(A$1,,,SUMPRODUCT(MAX(ROW(E$2:E4066)*(E4066=E$2:E4066)))))-COUNTBLANK(OFFSET(A$1,,,SUMPRODUCT(MAX(ROW(E$1:E4065)*(E2=E$1:E4065))))))</f>
        <v> </v>
      </c>
      <c r="K4066" s="25" t="str">
        <f>IF(OR(E4066="",E4066="!!!",F4066="NEW"),"",INDEX(J$1:J4065,SUMPRODUCT(MAX(ROW(E$1:E4065)*(E4066=E$1:E4065)))))</f>
        <v> </v>
      </c>
      <c r="L4066" s="26"/>
    </row>
    <row r="4067" spans="1:12">
      <c r="A4067" s="20" t="s">
        <v>1134</v>
      </c>
      <c r="E4067" s="21">
        <f>IF(D4067="?OLD","!!!","")</f>
        <v/>
      </c>
      <c r="F4067" s="22" t="str">
        <f>IF(OR(E4067="",E4067="!!!"),"",IF(NOT(ISNA(VLOOKUP(E4067,E$1:E4066,1,FALSE()))),"OLD",IF(AND(E4067&lt;&gt;"",E4067&lt;&gt;"!!!"),"NEW","")))</f>
        <v> </v>
      </c>
      <c r="G4067" s="23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4" t="str">
        <f>IF(J4067&lt;&gt;1,"",IF(I4067="SBJ","CB","?"))</f>
        <v> </v>
      </c>
      <c r="I4067" s="25" t="str">
        <f>IF(OR(E4067="",E4067="!!!",F4067="NEW"),"",INDEX(B4066:B$2,-1+SUMPRODUCT(MAX(ROW(E4066:E$2)*(E4067=E4066:E$2)))))</f>
        <v> </v>
      </c>
      <c r="J4067" s="25" t="str">
        <f>IF(OR(E4067="",E4067="!!!",F4067="NEW"),"",COUNTBLANK(OFFSET(A$1,,,SUMPRODUCT(MAX(ROW(E$2:E4067)*(E4067=E$2:E4067)))))-COUNTBLANK(OFFSET(A$1,,,SUMPRODUCT(MAX(ROW(E$1:E4066)*(E2=E$1:E4066))))))</f>
        <v> </v>
      </c>
      <c r="K4067" s="25" t="str">
        <f>IF(OR(E4067="",E4067="!!!",F4067="NEW"),"",INDEX(J$1:J4066,SUMPRODUCT(MAX(ROW(E$1:E4066)*(E4067=E$1:E4066)))))</f>
        <v> </v>
      </c>
      <c r="L4067" s="26"/>
    </row>
    <row r="4068" spans="1:12">
      <c r="A4068" s="20" t="s">
        <v>2862</v>
      </c>
      <c r="E4068" s="21">
        <f>IF(D4068="?OLD","!!!","")</f>
        <v/>
      </c>
      <c r="F4068" s="22" t="str">
        <f>IF(OR(E4068="",E4068="!!!"),"",IF(NOT(ISNA(VLOOKUP(E4068,E$1:E4067,1,FALSE()))),"OLD",IF(AND(E4068&lt;&gt;"",E4068&lt;&gt;"!!!"),"NEW","")))</f>
        <v> </v>
      </c>
      <c r="G4068" s="23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4" t="str">
        <f>IF(J4068&lt;&gt;1,"",IF(I4068="SBJ","CB","?"))</f>
        <v> </v>
      </c>
      <c r="I4068" s="25" t="str">
        <f>IF(OR(E4068="",E4068="!!!",F4068="NEW"),"",INDEX(B4067:B$2,-1+SUMPRODUCT(MAX(ROW(E4067:E$2)*(E4068=E4067:E$2)))))</f>
        <v> </v>
      </c>
      <c r="J4068" s="25" t="str">
        <f>IF(OR(E4068="",E4068="!!!",F4068="NEW"),"",COUNTBLANK(OFFSET(A$1,,,SUMPRODUCT(MAX(ROW(E$2:E4068)*(E4068=E$2:E4068)))))-COUNTBLANK(OFFSET(A$1,,,SUMPRODUCT(MAX(ROW(E$1:E4067)*(E2=E$1:E4067))))))</f>
        <v> </v>
      </c>
      <c r="K4068" s="25" t="str">
        <f>IF(OR(E4068="",E4068="!!!",F4068="NEW"),"",INDEX(J$1:J4067,SUMPRODUCT(MAX(ROW(E$1:E4067)*(E4068=E$1:E4067)))))</f>
        <v> </v>
      </c>
      <c r="L4068" s="26"/>
    </row>
    <row r="4069" spans="1:12">
      <c r="A4069" s="20" t="s">
        <v>2915</v>
      </c>
      <c r="E4069" s="21">
        <f>IF(D4069="?OLD","!!!","")</f>
        <v/>
      </c>
      <c r="F4069" s="22" t="str">
        <f>IF(OR(E4069="",E4069="!!!"),"",IF(NOT(ISNA(VLOOKUP(E4069,E$1:E4068,1,FALSE()))),"OLD",IF(AND(E4069&lt;&gt;"",E4069&lt;&gt;"!!!"),"NEW","")))</f>
        <v> </v>
      </c>
      <c r="G4069" s="23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4" t="str">
        <f>IF(J4069&lt;&gt;1,"",IF(I4069="SBJ","CB","?"))</f>
        <v> </v>
      </c>
      <c r="I4069" s="25" t="str">
        <f>IF(OR(E4069="",E4069="!!!",F4069="NEW"),"",INDEX(B4068:B$2,-1+SUMPRODUCT(MAX(ROW(E4068:E$2)*(E4069=E4068:E$2)))))</f>
        <v> </v>
      </c>
      <c r="J4069" s="25" t="str">
        <f>IF(OR(E4069="",E4069="!!!",F4069="NEW"),"",COUNTBLANK(OFFSET(A$1,,,SUMPRODUCT(MAX(ROW(E$2:E4069)*(E4069=E$2:E4069)))))-COUNTBLANK(OFFSET(A$1,,,SUMPRODUCT(MAX(ROW(E$1:E4068)*(E2=E$1:E4068))))))</f>
        <v> </v>
      </c>
      <c r="K4069" s="25" t="str">
        <f>IF(OR(E4069="",E4069="!!!",F4069="NEW"),"",INDEX(J$1:J4068,SUMPRODUCT(MAX(ROW(E$1:E4068)*(E4069=E$1:E4068)))))</f>
        <v> </v>
      </c>
      <c r="L4069" s="26"/>
    </row>
    <row r="4070" spans="1:12">
      <c r="A4070" s="20" t="s">
        <v>1123</v>
      </c>
      <c r="E4070" s="21">
        <f>IF(D4070="?OLD","!!!","")</f>
        <v/>
      </c>
      <c r="F4070" s="22" t="str">
        <f>IF(OR(E4070="",E4070="!!!"),"",IF(NOT(ISNA(VLOOKUP(E4070,E$1:E4069,1,FALSE()))),"OLD",IF(AND(E4070&lt;&gt;"",E4070&lt;&gt;"!!!"),"NEW","")))</f>
        <v> </v>
      </c>
      <c r="G4070" s="23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4" t="str">
        <f>IF(J4070&lt;&gt;1,"",IF(I4070="SBJ","CB","?"))</f>
        <v> </v>
      </c>
      <c r="I4070" s="25" t="str">
        <f>IF(OR(E4070="",E4070="!!!",F4070="NEW"),"",INDEX(B4069:B$2,-1+SUMPRODUCT(MAX(ROW(E4069:E$2)*(E4070=E4069:E$2)))))</f>
        <v> </v>
      </c>
      <c r="J4070" s="25" t="str">
        <f>IF(OR(E4070="",E4070="!!!",F4070="NEW"),"",COUNTBLANK(OFFSET(A$1,,,SUMPRODUCT(MAX(ROW(E$2:E4070)*(E4070=E$2:E4070)))))-COUNTBLANK(OFFSET(A$1,,,SUMPRODUCT(MAX(ROW(E$1:E4069)*(E2=E$1:E4069))))))</f>
        <v> </v>
      </c>
      <c r="K4070" s="25" t="str">
        <f>IF(OR(E4070="",E4070="!!!",F4070="NEW"),"",INDEX(J$1:J4069,SUMPRODUCT(MAX(ROW(E$1:E4069)*(E4070=E$1:E4069)))))</f>
        <v> </v>
      </c>
      <c r="L4070" s="26"/>
    </row>
    <row r="4071" spans="1:12">
      <c r="A4071" s="20" t="s">
        <v>2916</v>
      </c>
      <c r="E4071" s="21">
        <f>IF(D4071="?OLD","!!!","")</f>
        <v/>
      </c>
      <c r="F4071" s="22" t="str">
        <f>IF(OR(E4071="",E4071="!!!"),"",IF(NOT(ISNA(VLOOKUP(E4071,E$1:E4070,1,FALSE()))),"OLD",IF(AND(E4071&lt;&gt;"",E4071&lt;&gt;"!!!"),"NEW","")))</f>
        <v> </v>
      </c>
      <c r="G4071" s="23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4" t="str">
        <f>IF(J4071&lt;&gt;1,"",IF(I4071="SBJ","CB","?"))</f>
        <v> </v>
      </c>
      <c r="I4071" s="25" t="str">
        <f>IF(OR(E4071="",E4071="!!!",F4071="NEW"),"",INDEX(B4070:B$2,-1+SUMPRODUCT(MAX(ROW(E4070:E$2)*(E4071=E4070:E$2)))))</f>
        <v> </v>
      </c>
      <c r="J4071" s="25" t="str">
        <f>IF(OR(E4071="",E4071="!!!",F4071="NEW"),"",COUNTBLANK(OFFSET(A$1,,,SUMPRODUCT(MAX(ROW(E$2:E4071)*(E4071=E$2:E4071)))))-COUNTBLANK(OFFSET(A$1,,,SUMPRODUCT(MAX(ROW(E$1:E4070)*(E2=E$1:E4070))))))</f>
        <v> </v>
      </c>
      <c r="K4071" s="25" t="str">
        <f>IF(OR(E4071="",E4071="!!!",F4071="NEW"),"",INDEX(J$1:J4070,SUMPRODUCT(MAX(ROW(E$1:E4070)*(E4071=E$1:E4070)))))</f>
        <v> </v>
      </c>
      <c r="L4071" s="26"/>
    </row>
    <row r="4072" spans="1:12">
      <c r="A4072" s="20" t="s">
        <v>1230</v>
      </c>
      <c r="E4072" s="21">
        <f>IF(D4072="?OLD","!!!","")</f>
        <v/>
      </c>
      <c r="F4072" s="22" t="str">
        <f>IF(OR(E4072="",E4072="!!!"),"",IF(NOT(ISNA(VLOOKUP(E4072,E$1:E4071,1,FALSE()))),"OLD",IF(AND(E4072&lt;&gt;"",E4072&lt;&gt;"!!!"),"NEW","")))</f>
        <v> </v>
      </c>
      <c r="G4072" s="23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4" t="str">
        <f>IF(J4072&lt;&gt;1,"",IF(I4072="SBJ","CB","?"))</f>
        <v> </v>
      </c>
      <c r="I4072" s="25" t="str">
        <f>IF(OR(E4072="",E4072="!!!",F4072="NEW"),"",INDEX(B4071:B$2,-1+SUMPRODUCT(MAX(ROW(E4071:E$2)*(E4072=E4071:E$2)))))</f>
        <v> </v>
      </c>
      <c r="J4072" s="25" t="str">
        <f>IF(OR(E4072="",E4072="!!!",F4072="NEW"),"",COUNTBLANK(OFFSET(A$1,,,SUMPRODUCT(MAX(ROW(E$2:E4072)*(E4072=E$2:E4072)))))-COUNTBLANK(OFFSET(A$1,,,SUMPRODUCT(MAX(ROW(E$1:E4071)*(E2=E$1:E4071))))))</f>
        <v> </v>
      </c>
      <c r="K4072" s="25" t="str">
        <f>IF(OR(E4072="",E4072="!!!",F4072="NEW"),"",INDEX(J$1:J4071,SUMPRODUCT(MAX(ROW(E$1:E4071)*(E4072=E$1:E4071)))))</f>
        <v> </v>
      </c>
      <c r="L4072" s="26"/>
    </row>
    <row r="4073" spans="1:12">
      <c r="A4073" s="20" t="s">
        <v>1217</v>
      </c>
      <c r="B4073" s="27" t="s">
        <v>1259</v>
      </c>
      <c r="C4073" s="27" t="s">
        <v>1126</v>
      </c>
      <c r="D4073" s="27" t="s">
        <v>1105</v>
      </c>
      <c r="E4073" s="21">
        <f>IF(D4073="?OLD","!!!","")</f>
        <v/>
      </c>
      <c r="F4073" s="22" t="str">
        <f>IF(OR(E4073="",E4073="!!!"),"",IF(NOT(ISNA(VLOOKUP(E4073,E$1:E4072,1,FALSE()))),"OLD",IF(AND(E4073&lt;&gt;"",E4073&lt;&gt;"!!!"),"NEW","")))</f>
        <v> </v>
      </c>
      <c r="G4073" s="23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4" t="str">
        <f>IF(J4073&lt;&gt;1,"",IF(I4073="SBJ","CB","?"))</f>
        <v> </v>
      </c>
      <c r="I4073" s="25" t="str">
        <f>IF(OR(E4073="",E4073="!!!",F4073="NEW"),"",INDEX(B4072:B$2,-1+SUMPRODUCT(MAX(ROW(E4072:E$2)*(E4073=E4072:E$2)))))</f>
        <v> </v>
      </c>
      <c r="J4073" s="25" t="str">
        <f>IF(OR(E4073="",E4073="!!!",F4073="NEW"),"",COUNTBLANK(OFFSET(A$1,,,SUMPRODUCT(MAX(ROW(E$2:E4073)*(E4073=E$2:E4073)))))-COUNTBLANK(OFFSET(A$1,,,SUMPRODUCT(MAX(ROW(E$1:E4072)*(E2=E$1:E4072))))))</f>
        <v> </v>
      </c>
      <c r="K4073" s="25" t="str">
        <f>IF(OR(E4073="",E4073="!!!",F4073="NEW"),"",INDEX(J$1:J4072,SUMPRODUCT(MAX(ROW(E$1:E4072)*(E4073=E$1:E4072)))))</f>
        <v> </v>
      </c>
      <c r="L4073" s="26"/>
    </row>
    <row r="4074" spans="1:12">
      <c r="A4074" s="20" t="s">
        <v>2917</v>
      </c>
      <c r="E4074" s="21">
        <f>IF(D4074="?OLD","!!!","")</f>
        <v/>
      </c>
      <c r="F4074" s="22" t="str">
        <f>IF(OR(E4074="",E4074="!!!"),"",IF(NOT(ISNA(VLOOKUP(E4074,E$1:E4073,1,FALSE()))),"OLD",IF(AND(E4074&lt;&gt;"",E4074&lt;&gt;"!!!"),"NEW","")))</f>
        <v> </v>
      </c>
      <c r="G4074" s="23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4" t="str">
        <f>IF(J4074&lt;&gt;1,"",IF(I4074="SBJ","CB","?"))</f>
        <v> </v>
      </c>
      <c r="I4074" s="25" t="str">
        <f>IF(OR(E4074="",E4074="!!!",F4074="NEW"),"",INDEX(B4073:B$2,-1+SUMPRODUCT(MAX(ROW(E4073:E$2)*(E4074=E4073:E$2)))))</f>
        <v> </v>
      </c>
      <c r="J4074" s="25" t="str">
        <f>IF(OR(E4074="",E4074="!!!",F4074="NEW"),"",COUNTBLANK(OFFSET(A$1,,,SUMPRODUCT(MAX(ROW(E$2:E4074)*(E4074=E$2:E4074)))))-COUNTBLANK(OFFSET(A$1,,,SUMPRODUCT(MAX(ROW(E$1:E4073)*(E2=E$1:E4073))))))</f>
        <v> </v>
      </c>
      <c r="K4074" s="25" t="str">
        <f>IF(OR(E4074="",E4074="!!!",F4074="NEW"),"",INDEX(J$1:J4073,SUMPRODUCT(MAX(ROW(E$1:E4073)*(E4074=E$1:E4073)))))</f>
        <v> </v>
      </c>
      <c r="L4074" s="26"/>
    </row>
    <row r="4075" spans="1:12">
      <c r="A4075" s="20" t="s">
        <v>1231</v>
      </c>
      <c r="E4075" s="21">
        <f>IF(D4075="?OLD","!!!","")</f>
        <v/>
      </c>
      <c r="F4075" s="22" t="str">
        <f>IF(OR(E4075="",E4075="!!!"),"",IF(NOT(ISNA(VLOOKUP(E4075,E$1:E4074,1,FALSE()))),"OLD",IF(AND(E4075&lt;&gt;"",E4075&lt;&gt;"!!!"),"NEW","")))</f>
        <v> </v>
      </c>
      <c r="G4075" s="23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4" t="str">
        <f>IF(J4075&lt;&gt;1,"",IF(I4075="SBJ","CB","?"))</f>
        <v> </v>
      </c>
      <c r="I4075" s="25" t="str">
        <f>IF(OR(E4075="",E4075="!!!",F4075="NEW"),"",INDEX(B4074:B$2,-1+SUMPRODUCT(MAX(ROW(E4074:E$2)*(E4075=E4074:E$2)))))</f>
        <v> </v>
      </c>
      <c r="J4075" s="25" t="str">
        <f>IF(OR(E4075="",E4075="!!!",F4075="NEW"),"",COUNTBLANK(OFFSET(A$1,,,SUMPRODUCT(MAX(ROW(E$2:E4075)*(E4075=E$2:E4075)))))-COUNTBLANK(OFFSET(A$1,,,SUMPRODUCT(MAX(ROW(E$1:E4074)*(E2=E$1:E4074))))))</f>
        <v> </v>
      </c>
      <c r="K4075" s="25" t="str">
        <f>IF(OR(E4075="",E4075="!!!",F4075="NEW"),"",INDEX(J$1:J4074,SUMPRODUCT(MAX(ROW(E$1:E4074)*(E4075=E$1:E4074)))))</f>
        <v> </v>
      </c>
      <c r="L4075" s="26"/>
    </row>
    <row r="4076" spans="1:12">
      <c r="A4076" s="20" t="s">
        <v>2918</v>
      </c>
      <c r="E4076" s="21">
        <f>IF(D4076="?OLD","!!!","")</f>
        <v/>
      </c>
      <c r="F4076" s="22" t="str">
        <f>IF(OR(E4076="",E4076="!!!"),"",IF(NOT(ISNA(VLOOKUP(E4076,E$1:E4075,1,FALSE()))),"OLD",IF(AND(E4076&lt;&gt;"",E4076&lt;&gt;"!!!"),"NEW","")))</f>
        <v> </v>
      </c>
      <c r="G4076" s="23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4" t="str">
        <f>IF(J4076&lt;&gt;1,"",IF(I4076="SBJ","CB","?"))</f>
        <v> </v>
      </c>
      <c r="I4076" s="25" t="str">
        <f>IF(OR(E4076="",E4076="!!!",F4076="NEW"),"",INDEX(B4075:B$2,-1+SUMPRODUCT(MAX(ROW(E4075:E$2)*(E4076=E4075:E$2)))))</f>
        <v> </v>
      </c>
      <c r="J4076" s="25" t="str">
        <f>IF(OR(E4076="",E4076="!!!",F4076="NEW"),"",COUNTBLANK(OFFSET(A$1,,,SUMPRODUCT(MAX(ROW(E$2:E4076)*(E4076=E$2:E4076)))))-COUNTBLANK(OFFSET(A$1,,,SUMPRODUCT(MAX(ROW(E$1:E4075)*(E2=E$1:E4075))))))</f>
        <v> </v>
      </c>
      <c r="K4076" s="25" t="str">
        <f>IF(OR(E4076="",E4076="!!!",F4076="NEW"),"",INDEX(J$1:J4075,SUMPRODUCT(MAX(ROW(E$1:E4075)*(E4076=E$1:E4075)))))</f>
        <v> </v>
      </c>
      <c r="L4076" s="26"/>
    </row>
    <row r="4077" spans="1:12">
      <c r="A4077" s="20" t="s">
        <v>1145</v>
      </c>
      <c r="E4077" s="21">
        <f>IF(D4077="?OLD","!!!","")</f>
        <v/>
      </c>
      <c r="F4077" s="22" t="str">
        <f>IF(OR(E4077="",E4077="!!!"),"",IF(NOT(ISNA(VLOOKUP(E4077,E$1:E4076,1,FALSE()))),"OLD",IF(AND(E4077&lt;&gt;"",E4077&lt;&gt;"!!!"),"NEW","")))</f>
        <v> </v>
      </c>
      <c r="G4077" s="23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4" t="str">
        <f>IF(J4077&lt;&gt;1,"",IF(I4077="SBJ","CB","?"))</f>
        <v> </v>
      </c>
      <c r="I4077" s="25" t="str">
        <f>IF(OR(E4077="",E4077="!!!",F4077="NEW"),"",INDEX(B4076:B$2,-1+SUMPRODUCT(MAX(ROW(E4076:E$2)*(E4077=E4076:E$2)))))</f>
        <v> </v>
      </c>
      <c r="J4077" s="25" t="str">
        <f>IF(OR(E4077="",E4077="!!!",F4077="NEW"),"",COUNTBLANK(OFFSET(A$1,,,SUMPRODUCT(MAX(ROW(E$2:E4077)*(E4077=E$2:E4077)))))-COUNTBLANK(OFFSET(A$1,,,SUMPRODUCT(MAX(ROW(E$1:E4076)*(E2=E$1:E4076))))))</f>
        <v> </v>
      </c>
      <c r="K4077" s="25" t="str">
        <f>IF(OR(E4077="",E4077="!!!",F4077="NEW"),"",INDEX(J$1:J4076,SUMPRODUCT(MAX(ROW(E$1:E4076)*(E4077=E$1:E4076)))))</f>
        <v> </v>
      </c>
      <c r="L4077" s="26"/>
    </row>
    <row r="4078" spans="1:12">
      <c r="A4078" s="20"/>
    </row>
    <row r="4079" spans="1:12">
      <c r="A4079" s="20" t="s">
        <v>2919</v>
      </c>
    </row>
    <row r="4080" spans="1:12">
      <c r="A4080" s="20" t="s">
        <v>2920</v>
      </c>
      <c r="B4080" s="27" t="s">
        <v>1149</v>
      </c>
      <c r="E4080" s="21">
        <f>IF(D4080="?OLD","!!!","")</f>
        <v/>
      </c>
      <c r="F4080" s="22" t="str">
        <f>IF(OR(E4080="",E4080="!!!"),"",IF(NOT(ISNA(VLOOKUP(E4080,E$1:E4079,1,FALSE()))),"OLD",IF(AND(E4080&lt;&gt;"",E4080&lt;&gt;"!!!"),"NEW","")))</f>
        <v> </v>
      </c>
      <c r="G4080" s="23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4" t="str">
        <f>IF(J4080&lt;&gt;1,"",IF(I4080="SBJ","CB","?"))</f>
        <v> </v>
      </c>
      <c r="I4080" s="25" t="str">
        <f>IF(OR(E4080="",E4080="!!!",F4080="NEW"),"",INDEX(B4079:B$2,-1+SUMPRODUCT(MAX(ROW(E4079:E$2)*(E4080=E4079:E$2)))))</f>
        <v> </v>
      </c>
      <c r="J4080" s="25" t="str">
        <f>IF(OR(E4080="",E4080="!!!",F4080="NEW"),"",COUNTBLANK(OFFSET(A$1,,,SUMPRODUCT(MAX(ROW(E$2:E4080)*(E4080=E$2:E4080)))))-COUNTBLANK(OFFSET(A$1,,,SUMPRODUCT(MAX(ROW(E$1:E4079)*(E2=E$1:E4079))))))</f>
        <v> </v>
      </c>
      <c r="K4080" s="25" t="str">
        <f>IF(OR(E4080="",E4080="!!!",F4080="NEW"),"",INDEX(J$1:J4079,SUMPRODUCT(MAX(ROW(E$1:E4079)*(E4080=E$1:E4079)))))</f>
        <v> </v>
      </c>
      <c r="L4080" s="26"/>
    </row>
    <row r="4081" spans="1:12">
      <c r="A4081" s="20" t="s">
        <v>1249</v>
      </c>
      <c r="E4081" s="21">
        <f>IF(D4081="?OLD","!!!","")</f>
        <v/>
      </c>
      <c r="F4081" s="22" t="str">
        <f>IF(OR(E4081="",E4081="!!!"),"",IF(NOT(ISNA(VLOOKUP(E4081,E$1:E4080,1,FALSE()))),"OLD",IF(AND(E4081&lt;&gt;"",E4081&lt;&gt;"!!!"),"NEW","")))</f>
        <v> </v>
      </c>
      <c r="G4081" s="23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4" t="str">
        <f>IF(J4081&lt;&gt;1,"",IF(I4081="SBJ","CB","?"))</f>
        <v> </v>
      </c>
      <c r="I4081" s="25" t="str">
        <f>IF(OR(E4081="",E4081="!!!",F4081="NEW"),"",INDEX(B4080:B$2,-1+SUMPRODUCT(MAX(ROW(E4080:E$2)*(E4081=E4080:E$2)))))</f>
        <v> </v>
      </c>
      <c r="J4081" s="25" t="str">
        <f>IF(OR(E4081="",E4081="!!!",F4081="NEW"),"",COUNTBLANK(OFFSET(A$1,,,SUMPRODUCT(MAX(ROW(E$2:E4081)*(E4081=E$2:E4081)))))-COUNTBLANK(OFFSET(A$1,,,SUMPRODUCT(MAX(ROW(E$1:E4080)*(E2=E$1:E4080))))))</f>
        <v> </v>
      </c>
      <c r="K4081" s="25" t="str">
        <f>IF(OR(E4081="",E4081="!!!",F4081="NEW"),"",INDEX(J$1:J4080,SUMPRODUCT(MAX(ROW(E$1:E4080)*(E4081=E$1:E4080)))))</f>
        <v> </v>
      </c>
      <c r="L4081" s="26"/>
    </row>
    <row r="4082" spans="1:12">
      <c r="A4082" s="20" t="s">
        <v>1415</v>
      </c>
      <c r="E4082" s="21">
        <f>IF(D4082="?OLD","!!!","")</f>
        <v/>
      </c>
      <c r="F4082" s="22" t="str">
        <f>IF(OR(E4082="",E4082="!!!"),"",IF(NOT(ISNA(VLOOKUP(E4082,E$1:E4081,1,FALSE()))),"OLD",IF(AND(E4082&lt;&gt;"",E4082&lt;&gt;"!!!"),"NEW","")))</f>
        <v> </v>
      </c>
      <c r="G4082" s="23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4" t="str">
        <f>IF(J4082&lt;&gt;1,"",IF(I4082="SBJ","CB","?"))</f>
        <v> </v>
      </c>
      <c r="I4082" s="25" t="str">
        <f>IF(OR(E4082="",E4082="!!!",F4082="NEW"),"",INDEX(B4081:B$2,-1+SUMPRODUCT(MAX(ROW(E4081:E$2)*(E4082=E4081:E$2)))))</f>
        <v> </v>
      </c>
      <c r="J4082" s="25" t="str">
        <f>IF(OR(E4082="",E4082="!!!",F4082="NEW"),"",COUNTBLANK(OFFSET(A$1,,,SUMPRODUCT(MAX(ROW(E$2:E4082)*(E4082=E$2:E4082)))))-COUNTBLANK(OFFSET(A$1,,,SUMPRODUCT(MAX(ROW(E$1:E4081)*(E2=E$1:E4081))))))</f>
        <v> </v>
      </c>
      <c r="K4082" s="25" t="str">
        <f>IF(OR(E4082="",E4082="!!!",F4082="NEW"),"",INDEX(J$1:J4081,SUMPRODUCT(MAX(ROW(E$1:E4081)*(E4082=E$1:E4081)))))</f>
        <v> </v>
      </c>
      <c r="L4082" s="26"/>
    </row>
    <row r="4083" spans="1:12">
      <c r="A4083" s="20" t="s">
        <v>2921</v>
      </c>
      <c r="E4083" s="21">
        <f>IF(D4083="?OLD","!!!","")</f>
        <v/>
      </c>
      <c r="F4083" s="22" t="str">
        <f>IF(OR(E4083="",E4083="!!!"),"",IF(NOT(ISNA(VLOOKUP(E4083,E$1:E4082,1,FALSE()))),"OLD",IF(AND(E4083&lt;&gt;"",E4083&lt;&gt;"!!!"),"NEW","")))</f>
        <v> </v>
      </c>
      <c r="G4083" s="23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4" t="str">
        <f>IF(J4083&lt;&gt;1,"",IF(I4083="SBJ","CB","?"))</f>
        <v> </v>
      </c>
      <c r="I4083" s="25" t="str">
        <f>IF(OR(E4083="",E4083="!!!",F4083="NEW"),"",INDEX(B4082:B$2,-1+SUMPRODUCT(MAX(ROW(E4082:E$2)*(E4083=E4082:E$2)))))</f>
        <v> </v>
      </c>
      <c r="J4083" s="25" t="str">
        <f>IF(OR(E4083="",E4083="!!!",F4083="NEW"),"",COUNTBLANK(OFFSET(A$1,,,SUMPRODUCT(MAX(ROW(E$2:E4083)*(E4083=E$2:E4083)))))-COUNTBLANK(OFFSET(A$1,,,SUMPRODUCT(MAX(ROW(E$1:E4082)*(E2=E$1:E4082))))))</f>
        <v> </v>
      </c>
      <c r="K4083" s="25" t="str">
        <f>IF(OR(E4083="",E4083="!!!",F4083="NEW"),"",INDEX(J$1:J4082,SUMPRODUCT(MAX(ROW(E$1:E4082)*(E4083=E$1:E4082)))))</f>
        <v> </v>
      </c>
      <c r="L4083" s="26"/>
    </row>
    <row r="4084" spans="1:12">
      <c r="A4084" s="20" t="s">
        <v>1134</v>
      </c>
      <c r="E4084" s="21">
        <f>IF(D4084="?OLD","!!!","")</f>
        <v/>
      </c>
      <c r="F4084" s="22" t="str">
        <f>IF(OR(E4084="",E4084="!!!"),"",IF(NOT(ISNA(VLOOKUP(E4084,E$1:E4083,1,FALSE()))),"OLD",IF(AND(E4084&lt;&gt;"",E4084&lt;&gt;"!!!"),"NEW","")))</f>
        <v> </v>
      </c>
      <c r="G4084" s="23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4" t="str">
        <f>IF(J4084&lt;&gt;1,"",IF(I4084="SBJ","CB","?"))</f>
        <v> </v>
      </c>
      <c r="I4084" s="25" t="str">
        <f>IF(OR(E4084="",E4084="!!!",F4084="NEW"),"",INDEX(B4083:B$2,-1+SUMPRODUCT(MAX(ROW(E4083:E$2)*(E4084=E4083:E$2)))))</f>
        <v> </v>
      </c>
      <c r="J4084" s="25" t="str">
        <f>IF(OR(E4084="",E4084="!!!",F4084="NEW"),"",COUNTBLANK(OFFSET(A$1,,,SUMPRODUCT(MAX(ROW(E$2:E4084)*(E4084=E$2:E4084)))))-COUNTBLANK(OFFSET(A$1,,,SUMPRODUCT(MAX(ROW(E$1:E4083)*(E2=E$1:E4083))))))</f>
        <v> </v>
      </c>
      <c r="K4084" s="25" t="str">
        <f>IF(OR(E4084="",E4084="!!!",F4084="NEW"),"",INDEX(J$1:J4083,SUMPRODUCT(MAX(ROW(E$1:E4083)*(E4084=E$1:E4083)))))</f>
        <v> </v>
      </c>
      <c r="L4084" s="26"/>
    </row>
    <row r="4085" spans="1:12">
      <c r="A4085" s="20" t="s">
        <v>1120</v>
      </c>
      <c r="E4085" s="21">
        <f>IF(D4085="?OLD","!!!","")</f>
        <v/>
      </c>
      <c r="F4085" s="22" t="str">
        <f>IF(OR(E4085="",E4085="!!!"),"",IF(NOT(ISNA(VLOOKUP(E4085,E$1:E4084,1,FALSE()))),"OLD",IF(AND(E4085&lt;&gt;"",E4085&lt;&gt;"!!!"),"NEW","")))</f>
        <v> </v>
      </c>
      <c r="G4085" s="23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4" t="str">
        <f>IF(J4085&lt;&gt;1,"",IF(I4085="SBJ","CB","?"))</f>
        <v> </v>
      </c>
      <c r="I4085" s="25" t="str">
        <f>IF(OR(E4085="",E4085="!!!",F4085="NEW"),"",INDEX(B4084:B$2,-1+SUMPRODUCT(MAX(ROW(E4084:E$2)*(E4085=E4084:E$2)))))</f>
        <v> </v>
      </c>
      <c r="J4085" s="25" t="str">
        <f>IF(OR(E4085="",E4085="!!!",F4085="NEW"),"",COUNTBLANK(OFFSET(A$1,,,SUMPRODUCT(MAX(ROW(E$2:E4085)*(E4085=E$2:E4085)))))-COUNTBLANK(OFFSET(A$1,,,SUMPRODUCT(MAX(ROW(E$1:E4084)*(E2=E$1:E4084))))))</f>
        <v> </v>
      </c>
      <c r="K4085" s="25" t="str">
        <f>IF(OR(E4085="",E4085="!!!",F4085="NEW"),"",INDEX(J$1:J4084,SUMPRODUCT(MAX(ROW(E$1:E4084)*(E4085=E$1:E4084)))))</f>
        <v> </v>
      </c>
      <c r="L4085" s="26"/>
    </row>
    <row r="4086" spans="1:12">
      <c r="A4086" s="20" t="s">
        <v>2922</v>
      </c>
      <c r="E4086" s="21">
        <f>IF(D4086="?OLD","!!!","")</f>
        <v/>
      </c>
      <c r="F4086" s="22" t="str">
        <f>IF(OR(E4086="",E4086="!!!"),"",IF(NOT(ISNA(VLOOKUP(E4086,E$1:E4085,1,FALSE()))),"OLD",IF(AND(E4086&lt;&gt;"",E4086&lt;&gt;"!!!"),"NEW","")))</f>
        <v> </v>
      </c>
      <c r="G4086" s="23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4" t="str">
        <f>IF(J4086&lt;&gt;1,"",IF(I4086="SBJ","CB","?"))</f>
        <v> </v>
      </c>
      <c r="I4086" s="25" t="str">
        <f>IF(OR(E4086="",E4086="!!!",F4086="NEW"),"",INDEX(B4085:B$2,-1+SUMPRODUCT(MAX(ROW(E4085:E$2)*(E4086=E4085:E$2)))))</f>
        <v> </v>
      </c>
      <c r="J4086" s="25" t="str">
        <f>IF(OR(E4086="",E4086="!!!",F4086="NEW"),"",COUNTBLANK(OFFSET(A$1,,,SUMPRODUCT(MAX(ROW(E$2:E4086)*(E4086=E$2:E4086)))))-COUNTBLANK(OFFSET(A$1,,,SUMPRODUCT(MAX(ROW(E$1:E4085)*(E2=E$1:E4085))))))</f>
        <v> </v>
      </c>
      <c r="K4086" s="25" t="str">
        <f>IF(OR(E4086="",E4086="!!!",F4086="NEW"),"",INDEX(J$1:J4085,SUMPRODUCT(MAX(ROW(E$1:E4085)*(E4086=E$1:E4085)))))</f>
        <v> </v>
      </c>
      <c r="L4086" s="26"/>
    </row>
    <row r="4087" spans="1:12">
      <c r="A4087" s="20" t="s">
        <v>2923</v>
      </c>
      <c r="B4087" s="27" t="s">
        <v>1103</v>
      </c>
      <c r="C4087" s="27" t="s">
        <v>1289</v>
      </c>
      <c r="E4087" s="21">
        <f>IF(D4087="?OLD","!!!","")</f>
        <v/>
      </c>
      <c r="F4087" s="22" t="str">
        <f>IF(OR(E4087="",E4087="!!!"),"",IF(NOT(ISNA(VLOOKUP(E4087,E$1:E4086,1,FALSE()))),"OLD",IF(AND(E4087&lt;&gt;"",E4087&lt;&gt;"!!!"),"NEW","")))</f>
        <v> </v>
      </c>
      <c r="G4087" s="23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4" t="str">
        <f>IF(J4087&lt;&gt;1,"",IF(I4087="SBJ","CB","?"))</f>
        <v> </v>
      </c>
      <c r="I4087" s="25" t="str">
        <f>IF(OR(E4087="",E4087="!!!",F4087="NEW"),"",INDEX(B4086:B$2,-1+SUMPRODUCT(MAX(ROW(E4086:E$2)*(E4087=E4086:E$2)))))</f>
        <v> </v>
      </c>
      <c r="J4087" s="25" t="str">
        <f>IF(OR(E4087="",E4087="!!!",F4087="NEW"),"",COUNTBLANK(OFFSET(A$1,,,SUMPRODUCT(MAX(ROW(E$2:E4087)*(E4087=E$2:E4087)))))-COUNTBLANK(OFFSET(A$1,,,SUMPRODUCT(MAX(ROW(E$1:E4086)*(E2=E$1:E4086))))))</f>
        <v> </v>
      </c>
      <c r="K4087" s="25" t="str">
        <f>IF(OR(E4087="",E4087="!!!",F4087="NEW"),"",INDEX(J$1:J4086,SUMPRODUCT(MAX(ROW(E$1:E4086)*(E4087=E$1:E4086)))))</f>
        <v> </v>
      </c>
      <c r="L4087" s="26"/>
    </row>
    <row r="4088" spans="1:12">
      <c r="A4088" s="20" t="s">
        <v>1111</v>
      </c>
      <c r="E4088" s="21">
        <f>IF(D4088="?OLD","!!!","")</f>
        <v/>
      </c>
      <c r="F4088" s="22" t="str">
        <f>IF(OR(E4088="",E4088="!!!"),"",IF(NOT(ISNA(VLOOKUP(E4088,E$1:E4087,1,FALSE()))),"OLD",IF(AND(E4088&lt;&gt;"",E4088&lt;&gt;"!!!"),"NEW","")))</f>
        <v> </v>
      </c>
      <c r="G4088" s="23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4" t="str">
        <f>IF(J4088&lt;&gt;1,"",IF(I4088="SBJ","CB","?"))</f>
        <v> </v>
      </c>
      <c r="I4088" s="25" t="str">
        <f>IF(OR(E4088="",E4088="!!!",F4088="NEW"),"",INDEX(B4087:B$2,-1+SUMPRODUCT(MAX(ROW(E4087:E$2)*(E4088=E4087:E$2)))))</f>
        <v> </v>
      </c>
      <c r="J4088" s="25" t="str">
        <f>IF(OR(E4088="",E4088="!!!",F4088="NEW"),"",COUNTBLANK(OFFSET(A$1,,,SUMPRODUCT(MAX(ROW(E$2:E4088)*(E4088=E$2:E4088)))))-COUNTBLANK(OFFSET(A$1,,,SUMPRODUCT(MAX(ROW(E$1:E4087)*(E2=E$1:E4087))))))</f>
        <v> </v>
      </c>
      <c r="K4088" s="25" t="str">
        <f>IF(OR(E4088="",E4088="!!!",F4088="NEW"),"",INDEX(J$1:J4087,SUMPRODUCT(MAX(ROW(E$1:E4087)*(E4088=E$1:E4087)))))</f>
        <v> </v>
      </c>
      <c r="L4088" s="26"/>
    </row>
    <row r="4089" spans="1:12">
      <c r="A4089" s="20" t="s">
        <v>1140</v>
      </c>
      <c r="B4089" s="27" t="s">
        <v>1259</v>
      </c>
      <c r="C4089" s="27" t="s">
        <v>1126</v>
      </c>
      <c r="D4089" s="27" t="s">
        <v>1105</v>
      </c>
      <c r="E4089" s="21">
        <f>IF(D4089="?OLD","!!!","")</f>
        <v/>
      </c>
      <c r="F4089" s="22" t="str">
        <f>IF(OR(E4089="",E4089="!!!"),"",IF(NOT(ISNA(VLOOKUP(E4089,E$1:E4088,1,FALSE()))),"OLD",IF(AND(E4089&lt;&gt;"",E4089&lt;&gt;"!!!"),"NEW","")))</f>
        <v> </v>
      </c>
      <c r="G4089" s="23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4" t="str">
        <f>IF(J4089&lt;&gt;1,"",IF(I4089="SBJ","CB","?"))</f>
        <v> </v>
      </c>
      <c r="I4089" s="25" t="str">
        <f>IF(OR(E4089="",E4089="!!!",F4089="NEW"),"",INDEX(B4088:B$2,-1+SUMPRODUCT(MAX(ROW(E4088:E$2)*(E4089=E4088:E$2)))))</f>
        <v> </v>
      </c>
      <c r="J4089" s="25" t="str">
        <f>IF(OR(E4089="",E4089="!!!",F4089="NEW"),"",COUNTBLANK(OFFSET(A$1,,,SUMPRODUCT(MAX(ROW(E$2:E4089)*(E4089=E$2:E4089)))))-COUNTBLANK(OFFSET(A$1,,,SUMPRODUCT(MAX(ROW(E$1:E4088)*(E2=E$1:E4088))))))</f>
        <v> </v>
      </c>
      <c r="K4089" s="25" t="str">
        <f>IF(OR(E4089="",E4089="!!!",F4089="NEW"),"",INDEX(J$1:J4088,SUMPRODUCT(MAX(ROW(E$1:E4088)*(E4089=E$1:E4088)))))</f>
        <v> </v>
      </c>
      <c r="L4089" s="26"/>
    </row>
    <row r="4090" spans="1:12">
      <c r="A4090" s="20" t="s">
        <v>1926</v>
      </c>
      <c r="E4090" s="21">
        <f>IF(D4090="?OLD","!!!","")</f>
        <v/>
      </c>
      <c r="F4090" s="22" t="str">
        <f>IF(OR(E4090="",E4090="!!!"),"",IF(NOT(ISNA(VLOOKUP(E4090,E$1:E4089,1,FALSE()))),"OLD",IF(AND(E4090&lt;&gt;"",E4090&lt;&gt;"!!!"),"NEW","")))</f>
        <v> </v>
      </c>
      <c r="G4090" s="23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4" t="str">
        <f>IF(J4090&lt;&gt;1,"",IF(I4090="SBJ","CB","?"))</f>
        <v> </v>
      </c>
      <c r="I4090" s="25" t="str">
        <f>IF(OR(E4090="",E4090="!!!",F4090="NEW"),"",INDEX(B4089:B$2,-1+SUMPRODUCT(MAX(ROW(E4089:E$2)*(E4090=E4089:E$2)))))</f>
        <v> </v>
      </c>
      <c r="J4090" s="25" t="str">
        <f>IF(OR(E4090="",E4090="!!!",F4090="NEW"),"",COUNTBLANK(OFFSET(A$1,,,SUMPRODUCT(MAX(ROW(E$2:E4090)*(E4090=E$2:E4090)))))-COUNTBLANK(OFFSET(A$1,,,SUMPRODUCT(MAX(ROW(E$1:E4089)*(E2=E$1:E4089))))))</f>
        <v> </v>
      </c>
      <c r="K4090" s="25" t="str">
        <f>IF(OR(E4090="",E4090="!!!",F4090="NEW"),"",INDEX(J$1:J4089,SUMPRODUCT(MAX(ROW(E$1:E4089)*(E4090=E$1:E4089)))))</f>
        <v> </v>
      </c>
      <c r="L4090" s="26"/>
    </row>
    <row r="4091" spans="1:12">
      <c r="A4091" s="20" t="s">
        <v>1616</v>
      </c>
      <c r="E4091" s="21">
        <f>IF(D4091="?OLD","!!!","")</f>
        <v/>
      </c>
      <c r="F4091" s="22" t="str">
        <f>IF(OR(E4091="",E4091="!!!"),"",IF(NOT(ISNA(VLOOKUP(E4091,E$1:E4090,1,FALSE()))),"OLD",IF(AND(E4091&lt;&gt;"",E4091&lt;&gt;"!!!"),"NEW","")))</f>
        <v> </v>
      </c>
      <c r="G4091" s="23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4" t="str">
        <f>IF(J4091&lt;&gt;1,"",IF(I4091="SBJ","CB","?"))</f>
        <v> </v>
      </c>
      <c r="I4091" s="25" t="str">
        <f>IF(OR(E4091="",E4091="!!!",F4091="NEW"),"",INDEX(B4090:B$2,-1+SUMPRODUCT(MAX(ROW(E4090:E$2)*(E4091=E4090:E$2)))))</f>
        <v> </v>
      </c>
      <c r="J4091" s="25" t="str">
        <f>IF(OR(E4091="",E4091="!!!",F4091="NEW"),"",COUNTBLANK(OFFSET(A$1,,,SUMPRODUCT(MAX(ROW(E$2:E4091)*(E4091=E$2:E4091)))))-COUNTBLANK(OFFSET(A$1,,,SUMPRODUCT(MAX(ROW(E$1:E4090)*(E2=E$1:E4090))))))</f>
        <v> </v>
      </c>
      <c r="K4091" s="25" t="str">
        <f>IF(OR(E4091="",E4091="!!!",F4091="NEW"),"",INDEX(J$1:J4090,SUMPRODUCT(MAX(ROW(E$1:E4090)*(E4091=E$1:E4090)))))</f>
        <v> </v>
      </c>
      <c r="L4091" s="26"/>
    </row>
    <row r="4092" spans="1:12">
      <c r="A4092" s="20" t="s">
        <v>2924</v>
      </c>
      <c r="E4092" s="21">
        <f>IF(D4092="?OLD","!!!","")</f>
        <v/>
      </c>
      <c r="F4092" s="22" t="str">
        <f>IF(OR(E4092="",E4092="!!!"),"",IF(NOT(ISNA(VLOOKUP(E4092,E$1:E4091,1,FALSE()))),"OLD",IF(AND(E4092&lt;&gt;"",E4092&lt;&gt;"!!!"),"NEW","")))</f>
        <v> </v>
      </c>
      <c r="G4092" s="23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4" t="str">
        <f>IF(J4092&lt;&gt;1,"",IF(I4092="SBJ","CB","?"))</f>
        <v> </v>
      </c>
      <c r="I4092" s="25" t="str">
        <f>IF(OR(E4092="",E4092="!!!",F4092="NEW"),"",INDEX(B4091:B$2,-1+SUMPRODUCT(MAX(ROW(E4091:E$2)*(E4092=E4091:E$2)))))</f>
        <v> </v>
      </c>
      <c r="J4092" s="25" t="str">
        <f>IF(OR(E4092="",E4092="!!!",F4092="NEW"),"",COUNTBLANK(OFFSET(A$1,,,SUMPRODUCT(MAX(ROW(E$2:E4092)*(E4092=E$2:E4092)))))-COUNTBLANK(OFFSET(A$1,,,SUMPRODUCT(MAX(ROW(E$1:E4091)*(E2=E$1:E4091))))))</f>
        <v> </v>
      </c>
      <c r="K4092" s="25" t="str">
        <f>IF(OR(E4092="",E4092="!!!",F4092="NEW"),"",INDEX(J$1:J4091,SUMPRODUCT(MAX(ROW(E$1:E4091)*(E4092=E$1:E4091)))))</f>
        <v> </v>
      </c>
      <c r="L4092" s="26"/>
    </row>
    <row r="4093" spans="1:12">
      <c r="A4093" s="20" t="s">
        <v>2925</v>
      </c>
      <c r="E4093" s="21">
        <f>IF(D4093="?OLD","!!!","")</f>
        <v/>
      </c>
      <c r="F4093" s="22" t="str">
        <f>IF(OR(E4093="",E4093="!!!"),"",IF(NOT(ISNA(VLOOKUP(E4093,E$1:E4092,1,FALSE()))),"OLD",IF(AND(E4093&lt;&gt;"",E4093&lt;&gt;"!!!"),"NEW","")))</f>
        <v> </v>
      </c>
      <c r="G4093" s="23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4" t="str">
        <f>IF(J4093&lt;&gt;1,"",IF(I4093="SBJ","CB","?"))</f>
        <v> </v>
      </c>
      <c r="I4093" s="25" t="str">
        <f>IF(OR(E4093="",E4093="!!!",F4093="NEW"),"",INDEX(B4092:B$2,-1+SUMPRODUCT(MAX(ROW(E4092:E$2)*(E4093=E4092:E$2)))))</f>
        <v> </v>
      </c>
      <c r="J4093" s="25" t="str">
        <f>IF(OR(E4093="",E4093="!!!",F4093="NEW"),"",COUNTBLANK(OFFSET(A$1,,,SUMPRODUCT(MAX(ROW(E$2:E4093)*(E4093=E$2:E4093)))))-COUNTBLANK(OFFSET(A$1,,,SUMPRODUCT(MAX(ROW(E$1:E4092)*(E2=E$1:E4092))))))</f>
        <v> </v>
      </c>
      <c r="K4093" s="25" t="str">
        <f>IF(OR(E4093="",E4093="!!!",F4093="NEW"),"",INDEX(J$1:J4092,SUMPRODUCT(MAX(ROW(E$1:E4092)*(E4093=E$1:E4092)))))</f>
        <v> </v>
      </c>
      <c r="L4093" s="26"/>
    </row>
    <row r="4094" spans="1:12">
      <c r="A4094" s="20" t="s">
        <v>1145</v>
      </c>
      <c r="E4094" s="21">
        <f>IF(D4094="?OLD","!!!","")</f>
        <v/>
      </c>
      <c r="F4094" s="22" t="str">
        <f>IF(OR(E4094="",E4094="!!!"),"",IF(NOT(ISNA(VLOOKUP(E4094,E$1:E4093,1,FALSE()))),"OLD",IF(AND(E4094&lt;&gt;"",E4094&lt;&gt;"!!!"),"NEW","")))</f>
        <v> </v>
      </c>
      <c r="G4094" s="23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4" t="str">
        <f>IF(J4094&lt;&gt;1,"",IF(I4094="SBJ","CB","?"))</f>
        <v> </v>
      </c>
      <c r="I4094" s="25" t="str">
        <f>IF(OR(E4094="",E4094="!!!",F4094="NEW"),"",INDEX(B4093:B$2,-1+SUMPRODUCT(MAX(ROW(E4093:E$2)*(E4094=E4093:E$2)))))</f>
        <v> </v>
      </c>
      <c r="J4094" s="25" t="str">
        <f>IF(OR(E4094="",E4094="!!!",F4094="NEW"),"",COUNTBLANK(OFFSET(A$1,,,SUMPRODUCT(MAX(ROW(E$2:E4094)*(E4094=E$2:E4094)))))-COUNTBLANK(OFFSET(A$1,,,SUMPRODUCT(MAX(ROW(E$1:E4093)*(E2=E$1:E4093))))))</f>
        <v> </v>
      </c>
      <c r="K4094" s="25" t="str">
        <f>IF(OR(E4094="",E4094="!!!",F4094="NEW"),"",INDEX(J$1:J4093,SUMPRODUCT(MAX(ROW(E$1:E4093)*(E4094=E$1:E4093)))))</f>
        <v> </v>
      </c>
      <c r="L4094" s="26"/>
    </row>
    <row r="4095" spans="1:12">
      <c r="A4095" s="20"/>
    </row>
    <row r="4096" spans="1:12">
      <c r="A4096" s="20" t="s">
        <v>2926</v>
      </c>
    </row>
    <row r="4097" spans="1:12">
      <c r="A4097" s="20" t="s">
        <v>1353</v>
      </c>
      <c r="B4097" s="27" t="s">
        <v>1149</v>
      </c>
      <c r="C4097" s="27" t="s">
        <v>1126</v>
      </c>
      <c r="D4097" s="27" t="s">
        <v>1105</v>
      </c>
      <c r="E4097" s="21">
        <f>IF(D4097="?OLD","!!!","")</f>
        <v/>
      </c>
      <c r="F4097" s="22" t="str">
        <f>IF(OR(E4097="",E4097="!!!"),"",IF(NOT(ISNA(VLOOKUP(E4097,E$1:E4096,1,FALSE()))),"OLD",IF(AND(E4097&lt;&gt;"",E4097&lt;&gt;"!!!"),"NEW","")))</f>
        <v> </v>
      </c>
      <c r="G4097" s="23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4" t="str">
        <f>IF(J4097&lt;&gt;1,"",IF(I4097="SBJ","CB","?"))</f>
        <v> </v>
      </c>
      <c r="I4097" s="25" t="str">
        <f>IF(OR(E4097="",E4097="!!!",F4097="NEW"),"",INDEX(B4096:B$2,-1+SUMPRODUCT(MAX(ROW(E4096:E$2)*(E4097=E4096:E$2)))))</f>
        <v> </v>
      </c>
      <c r="J4097" s="25" t="str">
        <f>IF(OR(E4097="",E4097="!!!",F4097="NEW"),"",COUNTBLANK(OFFSET(A$1,,,SUMPRODUCT(MAX(ROW(E$2:E4097)*(E4097=E$2:E4097)))))-COUNTBLANK(OFFSET(A$1,,,SUMPRODUCT(MAX(ROW(E$1:E4096)*(E2=E$1:E4096))))))</f>
        <v> </v>
      </c>
      <c r="K4097" s="25" t="str">
        <f>IF(OR(E4097="",E4097="!!!",F4097="NEW"),"",INDEX(J$1:J4096,SUMPRODUCT(MAX(ROW(E$1:E4096)*(E4097=E$1:E4096)))))</f>
        <v> </v>
      </c>
      <c r="L4097" s="26"/>
    </row>
    <row r="4098" spans="1:12">
      <c r="A4098" s="20" t="s">
        <v>2927</v>
      </c>
      <c r="E4098" s="21">
        <f>IF(D4098="?OLD","!!!","")</f>
        <v/>
      </c>
      <c r="F4098" s="22" t="str">
        <f>IF(OR(E4098="",E4098="!!!"),"",IF(NOT(ISNA(VLOOKUP(E4098,E$1:E4097,1,FALSE()))),"OLD",IF(AND(E4098&lt;&gt;"",E4098&lt;&gt;"!!!"),"NEW","")))</f>
        <v> </v>
      </c>
      <c r="G4098" s="23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4" t="str">
        <f>IF(J4098&lt;&gt;1,"",IF(I4098="SBJ","CB","?"))</f>
        <v> </v>
      </c>
      <c r="I4098" s="25" t="str">
        <f>IF(OR(E4098="",E4098="!!!",F4098="NEW"),"",INDEX(B4097:B$2,-1+SUMPRODUCT(MAX(ROW(E4097:E$2)*(E4098=E4097:E$2)))))</f>
        <v> </v>
      </c>
      <c r="J4098" s="25" t="str">
        <f>IF(OR(E4098="",E4098="!!!",F4098="NEW"),"",COUNTBLANK(OFFSET(A$1,,,SUMPRODUCT(MAX(ROW(E$2:E4098)*(E4098=E$2:E4098)))))-COUNTBLANK(OFFSET(A$1,,,SUMPRODUCT(MAX(ROW(E$1:E4097)*(E2=E$1:E4097))))))</f>
        <v> </v>
      </c>
      <c r="K4098" s="25" t="str">
        <f>IF(OR(E4098="",E4098="!!!",F4098="NEW"),"",INDEX(J$1:J4097,SUMPRODUCT(MAX(ROW(E$1:E4097)*(E4098=E$1:E4097)))))</f>
        <v> </v>
      </c>
      <c r="L4098" s="26"/>
    </row>
    <row r="4099" spans="1:12">
      <c r="A4099" s="20" t="s">
        <v>1123</v>
      </c>
      <c r="E4099" s="21">
        <f>IF(D4099="?OLD","!!!","")</f>
        <v/>
      </c>
      <c r="F4099" s="22" t="str">
        <f>IF(OR(E4099="",E4099="!!!"),"",IF(NOT(ISNA(VLOOKUP(E4099,E$1:E4098,1,FALSE()))),"OLD",IF(AND(E4099&lt;&gt;"",E4099&lt;&gt;"!!!"),"NEW","")))</f>
        <v> </v>
      </c>
      <c r="G4099" s="23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4" t="str">
        <f>IF(J4099&lt;&gt;1,"",IF(I4099="SBJ","CB","?"))</f>
        <v> </v>
      </c>
      <c r="I4099" s="25" t="str">
        <f>IF(OR(E4099="",E4099="!!!",F4099="NEW"),"",INDEX(B4098:B$2,-1+SUMPRODUCT(MAX(ROW(E4098:E$2)*(E4099=E4098:E$2)))))</f>
        <v> </v>
      </c>
      <c r="J4099" s="25" t="str">
        <f>IF(OR(E4099="",E4099="!!!",F4099="NEW"),"",COUNTBLANK(OFFSET(A$1,,,SUMPRODUCT(MAX(ROW(E$2:E4099)*(E4099=E$2:E4099)))))-COUNTBLANK(OFFSET(A$1,,,SUMPRODUCT(MAX(ROW(E$1:E4098)*(E2=E$1:E4098))))))</f>
        <v> </v>
      </c>
      <c r="K4099" s="25" t="str">
        <f>IF(OR(E4099="",E4099="!!!",F4099="NEW"),"",INDEX(J$1:J4098,SUMPRODUCT(MAX(ROW(E$1:E4098)*(E4099=E$1:E4098)))))</f>
        <v> </v>
      </c>
      <c r="L4099" s="26"/>
    </row>
    <row r="4100" spans="1:12">
      <c r="A4100" s="20" t="s">
        <v>135</v>
      </c>
      <c r="E4100" s="21">
        <f>IF(D4100="?OLD","!!!","")</f>
        <v/>
      </c>
      <c r="F4100" s="22" t="str">
        <f>IF(OR(E4100="",E4100="!!!"),"",IF(NOT(ISNA(VLOOKUP(E4100,E$1:E4099,1,FALSE()))),"OLD",IF(AND(E4100&lt;&gt;"",E4100&lt;&gt;"!!!"),"NEW","")))</f>
        <v> </v>
      </c>
      <c r="G4100" s="23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4" t="str">
        <f>IF(J4100&lt;&gt;1,"",IF(I4100="SBJ","CB","?"))</f>
        <v> </v>
      </c>
      <c r="I4100" s="25" t="str">
        <f>IF(OR(E4100="",E4100="!!!",F4100="NEW"),"",INDEX(B4099:B$2,-1+SUMPRODUCT(MAX(ROW(E4099:E$2)*(E4100=E4099:E$2)))))</f>
        <v> </v>
      </c>
      <c r="J4100" s="25" t="str">
        <f>IF(OR(E4100="",E4100="!!!",F4100="NEW"),"",COUNTBLANK(OFFSET(A$1,,,SUMPRODUCT(MAX(ROW(E$2:E4100)*(E4100=E$2:E4100)))))-COUNTBLANK(OFFSET(A$1,,,SUMPRODUCT(MAX(ROW(E$1:E4099)*(E2=E$1:E4099))))))</f>
        <v> </v>
      </c>
      <c r="K4100" s="25" t="str">
        <f>IF(OR(E4100="",E4100="!!!",F4100="NEW"),"",INDEX(J$1:J4099,SUMPRODUCT(MAX(ROW(E$1:E4099)*(E4100=E$1:E4099)))))</f>
        <v> </v>
      </c>
      <c r="L4100" s="26"/>
    </row>
    <row r="4101" spans="1:12">
      <c r="A4101" s="20" t="s">
        <v>1474</v>
      </c>
      <c r="B4101" s="27" t="s">
        <v>1122</v>
      </c>
      <c r="C4101" s="27" t="s">
        <v>1126</v>
      </c>
      <c r="D4101" s="27" t="s">
        <v>1105</v>
      </c>
      <c r="E4101" s="21">
        <f>IF(D4101="?OLD","!!!","")</f>
        <v/>
      </c>
      <c r="F4101" s="22" t="str">
        <f>IF(OR(E4101="",E4101="!!!"),"",IF(NOT(ISNA(VLOOKUP(E4101,E$1:E4100,1,FALSE()))),"OLD",IF(AND(E4101&lt;&gt;"",E4101&lt;&gt;"!!!"),"NEW","")))</f>
        <v> </v>
      </c>
      <c r="G4101" s="23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4" t="str">
        <f>IF(J4101&lt;&gt;1,"",IF(I4101="SBJ","CB","?"))</f>
        <v> </v>
      </c>
      <c r="I4101" s="25" t="str">
        <f>IF(OR(E4101="",E4101="!!!",F4101="NEW"),"",INDEX(B4100:B$2,-1+SUMPRODUCT(MAX(ROW(E4100:E$2)*(E4101=E4100:E$2)))))</f>
        <v> </v>
      </c>
      <c r="J4101" s="25" t="str">
        <f>IF(OR(E4101="",E4101="!!!",F4101="NEW"),"",COUNTBLANK(OFFSET(A$1,,,SUMPRODUCT(MAX(ROW(E$2:E4101)*(E4101=E$2:E4101)))))-COUNTBLANK(OFFSET(A$1,,,SUMPRODUCT(MAX(ROW(E$1:E4100)*(E2=E$1:E4100))))))</f>
        <v> </v>
      </c>
      <c r="K4101" s="25" t="str">
        <f>IF(OR(E4101="",E4101="!!!",F4101="NEW"),"",INDEX(J$1:J4100,SUMPRODUCT(MAX(ROW(E$1:E4100)*(E4101=E$1:E4100)))))</f>
        <v> </v>
      </c>
      <c r="L4101" s="26"/>
    </row>
    <row r="4102" spans="1:12">
      <c r="A4102" s="20" t="s">
        <v>2928</v>
      </c>
      <c r="E4102" s="21">
        <f>IF(D4102="?OLD","!!!","")</f>
        <v/>
      </c>
      <c r="F4102" s="22" t="str">
        <f>IF(OR(E4102="",E4102="!!!"),"",IF(NOT(ISNA(VLOOKUP(E4102,E$1:E4101,1,FALSE()))),"OLD",IF(AND(E4102&lt;&gt;"",E4102&lt;&gt;"!!!"),"NEW","")))</f>
        <v> </v>
      </c>
      <c r="G4102" s="23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4" t="str">
        <f>IF(J4102&lt;&gt;1,"",IF(I4102="SBJ","CB","?"))</f>
        <v> </v>
      </c>
      <c r="I4102" s="25" t="str">
        <f>IF(OR(E4102="",E4102="!!!",F4102="NEW"),"",INDEX(B4101:B$2,-1+SUMPRODUCT(MAX(ROW(E4101:E$2)*(E4102=E4101:E$2)))))</f>
        <v> </v>
      </c>
      <c r="J4102" s="25" t="str">
        <f>IF(OR(E4102="",E4102="!!!",F4102="NEW"),"",COUNTBLANK(OFFSET(A$1,,,SUMPRODUCT(MAX(ROW(E$2:E4102)*(E4102=E$2:E4102)))))-COUNTBLANK(OFFSET(A$1,,,SUMPRODUCT(MAX(ROW(E$1:E4101)*(E2=E$1:E4101))))))</f>
        <v> </v>
      </c>
      <c r="K4102" s="25" t="str">
        <f>IF(OR(E4102="",E4102="!!!",F4102="NEW"),"",INDEX(J$1:J4101,SUMPRODUCT(MAX(ROW(E$1:E4101)*(E4102=E$1:E4101)))))</f>
        <v> </v>
      </c>
      <c r="L4102" s="26"/>
    </row>
    <row r="4103" spans="1:12">
      <c r="A4103" s="20" t="s">
        <v>1249</v>
      </c>
      <c r="E4103" s="21">
        <f>IF(D4103="?OLD","!!!","")</f>
        <v/>
      </c>
      <c r="F4103" s="22" t="str">
        <f>IF(OR(E4103="",E4103="!!!"),"",IF(NOT(ISNA(VLOOKUP(E4103,E$1:E4102,1,FALSE()))),"OLD",IF(AND(E4103&lt;&gt;"",E4103&lt;&gt;"!!!"),"NEW","")))</f>
        <v> </v>
      </c>
      <c r="G4103" s="23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4" t="str">
        <f>IF(J4103&lt;&gt;1,"",IF(I4103="SBJ","CB","?"))</f>
        <v> </v>
      </c>
      <c r="I4103" s="25" t="str">
        <f>IF(OR(E4103="",E4103="!!!",F4103="NEW"),"",INDEX(B4102:B$2,-1+SUMPRODUCT(MAX(ROW(E4102:E$2)*(E4103=E4102:E$2)))))</f>
        <v> </v>
      </c>
      <c r="J4103" s="25" t="str">
        <f>IF(OR(E4103="",E4103="!!!",F4103="NEW"),"",COUNTBLANK(OFFSET(A$1,,,SUMPRODUCT(MAX(ROW(E$2:E4103)*(E4103=E$2:E4103)))))-COUNTBLANK(OFFSET(A$1,,,SUMPRODUCT(MAX(ROW(E$1:E4102)*(E2=E$1:E4102))))))</f>
        <v> </v>
      </c>
      <c r="K4103" s="25" t="str">
        <f>IF(OR(E4103="",E4103="!!!",F4103="NEW"),"",INDEX(J$1:J4102,SUMPRODUCT(MAX(ROW(E$1:E4102)*(E4103=E$1:E4102)))))</f>
        <v> </v>
      </c>
      <c r="L4103" s="26"/>
    </row>
    <row r="4104" spans="1:12">
      <c r="A4104" s="20" t="s">
        <v>2035</v>
      </c>
      <c r="E4104" s="21">
        <f>IF(D4104="?OLD","!!!","")</f>
        <v/>
      </c>
      <c r="F4104" s="22" t="str">
        <f>IF(OR(E4104="",E4104="!!!"),"",IF(NOT(ISNA(VLOOKUP(E4104,E$1:E4103,1,FALSE()))),"OLD",IF(AND(E4104&lt;&gt;"",E4104&lt;&gt;"!!!"),"NEW","")))</f>
        <v> </v>
      </c>
      <c r="G4104" s="23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4" t="str">
        <f>IF(J4104&lt;&gt;1,"",IF(I4104="SBJ","CB","?"))</f>
        <v> </v>
      </c>
      <c r="I4104" s="25" t="str">
        <f>IF(OR(E4104="",E4104="!!!",F4104="NEW"),"",INDEX(B4103:B$2,-1+SUMPRODUCT(MAX(ROW(E4103:E$2)*(E4104=E4103:E$2)))))</f>
        <v> </v>
      </c>
      <c r="J4104" s="25" t="str">
        <f>IF(OR(E4104="",E4104="!!!",F4104="NEW"),"",COUNTBLANK(OFFSET(A$1,,,SUMPRODUCT(MAX(ROW(E$2:E4104)*(E4104=E$2:E4104)))))-COUNTBLANK(OFFSET(A$1,,,SUMPRODUCT(MAX(ROW(E$1:E4103)*(E2=E$1:E4103))))))</f>
        <v> </v>
      </c>
      <c r="K4104" s="25" t="str">
        <f>IF(OR(E4104="",E4104="!!!",F4104="NEW"),"",INDEX(J$1:J4103,SUMPRODUCT(MAX(ROW(E$1:E4103)*(E4104=E$1:E4103)))))</f>
        <v> </v>
      </c>
      <c r="L4104" s="26"/>
    </row>
    <row r="4105" spans="1:12">
      <c r="A4105" s="20" t="s">
        <v>2929</v>
      </c>
      <c r="E4105" s="21">
        <f>IF(D4105="?OLD","!!!","")</f>
        <v/>
      </c>
      <c r="F4105" s="22" t="str">
        <f>IF(OR(E4105="",E4105="!!!"),"",IF(NOT(ISNA(VLOOKUP(E4105,E$1:E4104,1,FALSE()))),"OLD",IF(AND(E4105&lt;&gt;"",E4105&lt;&gt;"!!!"),"NEW","")))</f>
        <v> </v>
      </c>
      <c r="G4105" s="23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4" t="str">
        <f>IF(J4105&lt;&gt;1,"",IF(I4105="SBJ","CB","?"))</f>
        <v> </v>
      </c>
      <c r="I4105" s="25" t="str">
        <f>IF(OR(E4105="",E4105="!!!",F4105="NEW"),"",INDEX(B4104:B$2,-1+SUMPRODUCT(MAX(ROW(E4104:E$2)*(E4105=E4104:E$2)))))</f>
        <v> </v>
      </c>
      <c r="J4105" s="25" t="str">
        <f>IF(OR(E4105="",E4105="!!!",F4105="NEW"),"",COUNTBLANK(OFFSET(A$1,,,SUMPRODUCT(MAX(ROW(E$2:E4105)*(E4105=E$2:E4105)))))-COUNTBLANK(OFFSET(A$1,,,SUMPRODUCT(MAX(ROW(E$1:E4104)*(E2=E$1:E4104))))))</f>
        <v> </v>
      </c>
      <c r="K4105" s="25" t="str">
        <f>IF(OR(E4105="",E4105="!!!",F4105="NEW"),"",INDEX(J$1:J4104,SUMPRODUCT(MAX(ROW(E$1:E4104)*(E4105=E$1:E4104)))))</f>
        <v> </v>
      </c>
      <c r="L4105" s="26"/>
    </row>
    <row r="4106" spans="1:12">
      <c r="A4106" s="20" t="s">
        <v>2453</v>
      </c>
      <c r="E4106" s="21">
        <f>IF(D4106="?OLD","!!!","")</f>
        <v/>
      </c>
      <c r="F4106" s="22" t="str">
        <f>IF(OR(E4106="",E4106="!!!"),"",IF(NOT(ISNA(VLOOKUP(E4106,E$1:E4105,1,FALSE()))),"OLD",IF(AND(E4106&lt;&gt;"",E4106&lt;&gt;"!!!"),"NEW","")))</f>
        <v> </v>
      </c>
      <c r="G4106" s="23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4" t="str">
        <f>IF(J4106&lt;&gt;1,"",IF(I4106="SBJ","CB","?"))</f>
        <v> </v>
      </c>
      <c r="I4106" s="25" t="str">
        <f>IF(OR(E4106="",E4106="!!!",F4106="NEW"),"",INDEX(B4105:B$2,-1+SUMPRODUCT(MAX(ROW(E4105:E$2)*(E4106=E4105:E$2)))))</f>
        <v> </v>
      </c>
      <c r="J4106" s="25" t="str">
        <f>IF(OR(E4106="",E4106="!!!",F4106="NEW"),"",COUNTBLANK(OFFSET(A$1,,,SUMPRODUCT(MAX(ROW(E$2:E4106)*(E4106=E$2:E4106)))))-COUNTBLANK(OFFSET(A$1,,,SUMPRODUCT(MAX(ROW(E$1:E4105)*(E2=E$1:E4105))))))</f>
        <v> </v>
      </c>
      <c r="K4106" s="25" t="str">
        <f>IF(OR(E4106="",E4106="!!!",F4106="NEW"),"",INDEX(J$1:J4105,SUMPRODUCT(MAX(ROW(E$1:E4105)*(E4106=E$1:E4105)))))</f>
        <v> </v>
      </c>
      <c r="L4106" s="26"/>
    </row>
    <row r="4107" spans="1:12">
      <c r="A4107" s="20" t="s">
        <v>1123</v>
      </c>
      <c r="E4107" s="21">
        <f>IF(D4107="?OLD","!!!","")</f>
        <v/>
      </c>
      <c r="F4107" s="22" t="str">
        <f>IF(OR(E4107="",E4107="!!!"),"",IF(NOT(ISNA(VLOOKUP(E4107,E$1:E4106,1,FALSE()))),"OLD",IF(AND(E4107&lt;&gt;"",E4107&lt;&gt;"!!!"),"NEW","")))</f>
        <v> </v>
      </c>
      <c r="G4107" s="23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4" t="str">
        <f>IF(J4107&lt;&gt;1,"",IF(I4107="SBJ","CB","?"))</f>
        <v> </v>
      </c>
      <c r="I4107" s="25" t="str">
        <f>IF(OR(E4107="",E4107="!!!",F4107="NEW"),"",INDEX(B4106:B$2,-1+SUMPRODUCT(MAX(ROW(E4106:E$2)*(E4107=E4106:E$2)))))</f>
        <v> </v>
      </c>
      <c r="J4107" s="25" t="str">
        <f>IF(OR(E4107="",E4107="!!!",F4107="NEW"),"",COUNTBLANK(OFFSET(A$1,,,SUMPRODUCT(MAX(ROW(E$2:E4107)*(E4107=E$2:E4107)))))-COUNTBLANK(OFFSET(A$1,,,SUMPRODUCT(MAX(ROW(E$1:E4106)*(E2=E$1:E4106))))))</f>
        <v> </v>
      </c>
      <c r="K4107" s="25" t="str">
        <f>IF(OR(E4107="",E4107="!!!",F4107="NEW"),"",INDEX(J$1:J4106,SUMPRODUCT(MAX(ROW(E$1:E4106)*(E4107=E$1:E4106)))))</f>
        <v> </v>
      </c>
      <c r="L4107" s="26"/>
    </row>
    <row r="4108" spans="1:12">
      <c r="A4108" s="20" t="s">
        <v>2930</v>
      </c>
      <c r="E4108" s="21">
        <f>IF(D4108="?OLD","!!!","")</f>
        <v/>
      </c>
      <c r="F4108" s="22" t="str">
        <f>IF(OR(E4108="",E4108="!!!"),"",IF(NOT(ISNA(VLOOKUP(E4108,E$1:E4107,1,FALSE()))),"OLD",IF(AND(E4108&lt;&gt;"",E4108&lt;&gt;"!!!"),"NEW","")))</f>
        <v> </v>
      </c>
      <c r="G4108" s="23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4" t="str">
        <f>IF(J4108&lt;&gt;1,"",IF(I4108="SBJ","CB","?"))</f>
        <v> </v>
      </c>
      <c r="I4108" s="25" t="str">
        <f>IF(OR(E4108="",E4108="!!!",F4108="NEW"),"",INDEX(B4107:B$2,-1+SUMPRODUCT(MAX(ROW(E4107:E$2)*(E4108=E4107:E$2)))))</f>
        <v> </v>
      </c>
      <c r="J4108" s="25" t="str">
        <f>IF(OR(E4108="",E4108="!!!",F4108="NEW"),"",COUNTBLANK(OFFSET(A$1,,,SUMPRODUCT(MAX(ROW(E$2:E4108)*(E4108=E$2:E4108)))))-COUNTBLANK(OFFSET(A$1,,,SUMPRODUCT(MAX(ROW(E$1:E4107)*(E2=E$1:E4107))))))</f>
        <v> </v>
      </c>
      <c r="K4108" s="25" t="str">
        <f>IF(OR(E4108="",E4108="!!!",F4108="NEW"),"",INDEX(J$1:J4107,SUMPRODUCT(MAX(ROW(E$1:E4107)*(E4108=E$1:E4107)))))</f>
        <v> </v>
      </c>
      <c r="L4108" s="26"/>
    </row>
    <row r="4109" spans="1:12">
      <c r="A4109" s="20" t="s">
        <v>1206</v>
      </c>
      <c r="E4109" s="21">
        <f>IF(D4109="?OLD","!!!","")</f>
        <v/>
      </c>
      <c r="F4109" s="22" t="str">
        <f>IF(OR(E4109="",E4109="!!!"),"",IF(NOT(ISNA(VLOOKUP(E4109,E$1:E4108,1,FALSE()))),"OLD",IF(AND(E4109&lt;&gt;"",E4109&lt;&gt;"!!!"),"NEW","")))</f>
        <v> </v>
      </c>
      <c r="G4109" s="23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4" t="str">
        <f>IF(J4109&lt;&gt;1,"",IF(I4109="SBJ","CB","?"))</f>
        <v> </v>
      </c>
      <c r="I4109" s="25" t="str">
        <f>IF(OR(E4109="",E4109="!!!",F4109="NEW"),"",INDEX(B4108:B$2,-1+SUMPRODUCT(MAX(ROW(E4108:E$2)*(E4109=E4108:E$2)))))</f>
        <v> </v>
      </c>
      <c r="J4109" s="25" t="str">
        <f>IF(OR(E4109="",E4109="!!!",F4109="NEW"),"",COUNTBLANK(OFFSET(A$1,,,SUMPRODUCT(MAX(ROW(E$2:E4109)*(E4109=E$2:E4109)))))-COUNTBLANK(OFFSET(A$1,,,SUMPRODUCT(MAX(ROW(E$1:E4108)*(E2=E$1:E4108))))))</f>
        <v> </v>
      </c>
      <c r="K4109" s="25" t="str">
        <f>IF(OR(E4109="",E4109="!!!",F4109="NEW"),"",INDEX(J$1:J4108,SUMPRODUCT(MAX(ROW(E$1:E4108)*(E4109=E$1:E4108)))))</f>
        <v> </v>
      </c>
      <c r="L4109" s="26"/>
    </row>
    <row r="4110" spans="1:12">
      <c r="A4110" s="20" t="s">
        <v>2931</v>
      </c>
      <c r="B4110" s="27" t="s">
        <v>1122</v>
      </c>
      <c r="C4110" s="27" t="s">
        <v>1210</v>
      </c>
      <c r="E4110" s="21">
        <f>IF(D4110="?OLD","!!!","")</f>
        <v/>
      </c>
      <c r="F4110" s="22" t="str">
        <f>IF(OR(E4110="",E4110="!!!"),"",IF(NOT(ISNA(VLOOKUP(E4110,E$1:E4109,1,FALSE()))),"OLD",IF(AND(E4110&lt;&gt;"",E4110&lt;&gt;"!!!"),"NEW","")))</f>
        <v> </v>
      </c>
      <c r="G4110" s="23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4" t="str">
        <f>IF(J4110&lt;&gt;1,"",IF(I4110="SBJ","CB","?"))</f>
        <v> </v>
      </c>
      <c r="I4110" s="25" t="str">
        <f>IF(OR(E4110="",E4110="!!!",F4110="NEW"),"",INDEX(B4109:B$2,-1+SUMPRODUCT(MAX(ROW(E4109:E$2)*(E4110=E4109:E$2)))))</f>
        <v> </v>
      </c>
      <c r="J4110" s="25" t="str">
        <f>IF(OR(E4110="",E4110="!!!",F4110="NEW"),"",COUNTBLANK(OFFSET(A$1,,,SUMPRODUCT(MAX(ROW(E$2:E4110)*(E4110=E$2:E4110)))))-COUNTBLANK(OFFSET(A$1,,,SUMPRODUCT(MAX(ROW(E$1:E4109)*(E2=E$1:E4109))))))</f>
        <v> </v>
      </c>
      <c r="K4110" s="25" t="str">
        <f>IF(OR(E4110="",E4110="!!!",F4110="NEW"),"",INDEX(J$1:J4109,SUMPRODUCT(MAX(ROW(E$1:E4109)*(E4110=E$1:E4109)))))</f>
        <v> </v>
      </c>
      <c r="L4110" s="26"/>
    </row>
    <row r="4111" spans="1:12">
      <c r="A4111" s="20" t="s">
        <v>1218</v>
      </c>
      <c r="E4111" s="21">
        <f>IF(D4111="?OLD","!!!","")</f>
        <v/>
      </c>
      <c r="F4111" s="22" t="str">
        <f>IF(OR(E4111="",E4111="!!!"),"",IF(NOT(ISNA(VLOOKUP(E4111,E$1:E4110,1,FALSE()))),"OLD",IF(AND(E4111&lt;&gt;"",E4111&lt;&gt;"!!!"),"NEW","")))</f>
        <v> </v>
      </c>
      <c r="G4111" s="23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4" t="str">
        <f>IF(J4111&lt;&gt;1,"",IF(I4111="SBJ","CB","?"))</f>
        <v> </v>
      </c>
      <c r="I4111" s="25" t="str">
        <f>IF(OR(E4111="",E4111="!!!",F4111="NEW"),"",INDEX(B4110:B$2,-1+SUMPRODUCT(MAX(ROW(E4110:E$2)*(E4111=E4110:E$2)))))</f>
        <v> </v>
      </c>
      <c r="J4111" s="25" t="str">
        <f>IF(OR(E4111="",E4111="!!!",F4111="NEW"),"",COUNTBLANK(OFFSET(A$1,,,SUMPRODUCT(MAX(ROW(E$2:E4111)*(E4111=E$2:E4111)))))-COUNTBLANK(OFFSET(A$1,,,SUMPRODUCT(MAX(ROW(E$1:E4110)*(E2=E$1:E4110))))))</f>
        <v> </v>
      </c>
      <c r="K4111" s="25" t="str">
        <f>IF(OR(E4111="",E4111="!!!",F4111="NEW"),"",INDEX(J$1:J4110,SUMPRODUCT(MAX(ROW(E$1:E4110)*(E4111=E$1:E4110)))))</f>
        <v> </v>
      </c>
      <c r="L4111" s="26"/>
    </row>
    <row r="4112" spans="1:12">
      <c r="A4112" s="20" t="s">
        <v>2932</v>
      </c>
      <c r="E4112" s="21">
        <f>IF(D4112="?OLD","!!!","")</f>
        <v/>
      </c>
      <c r="F4112" s="22" t="str">
        <f>IF(OR(E4112="",E4112="!!!"),"",IF(NOT(ISNA(VLOOKUP(E4112,E$1:E4111,1,FALSE()))),"OLD",IF(AND(E4112&lt;&gt;"",E4112&lt;&gt;"!!!"),"NEW","")))</f>
        <v> </v>
      </c>
      <c r="G4112" s="23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4" t="str">
        <f>IF(J4112&lt;&gt;1,"",IF(I4112="SBJ","CB","?"))</f>
        <v> </v>
      </c>
      <c r="I4112" s="25" t="str">
        <f>IF(OR(E4112="",E4112="!!!",F4112="NEW"),"",INDEX(B4111:B$2,-1+SUMPRODUCT(MAX(ROW(E4111:E$2)*(E4112=E4111:E$2)))))</f>
        <v> </v>
      </c>
      <c r="J4112" s="25" t="str">
        <f>IF(OR(E4112="",E4112="!!!",F4112="NEW"),"",COUNTBLANK(OFFSET(A$1,,,SUMPRODUCT(MAX(ROW(E$2:E4112)*(E4112=E$2:E4112)))))-COUNTBLANK(OFFSET(A$1,,,SUMPRODUCT(MAX(ROW(E$1:E4111)*(E2=E$1:E4111))))))</f>
        <v> </v>
      </c>
      <c r="K4112" s="25" t="str">
        <f>IF(OR(E4112="",E4112="!!!",F4112="NEW"),"",INDEX(J$1:J4111,SUMPRODUCT(MAX(ROW(E$1:E4111)*(E4112=E$1:E4111)))))</f>
        <v> </v>
      </c>
      <c r="L4112" s="26"/>
    </row>
    <row r="4113" spans="1:12">
      <c r="A4113" s="20" t="s">
        <v>1145</v>
      </c>
      <c r="E4113" s="21">
        <f>IF(D4113="?OLD","!!!","")</f>
        <v/>
      </c>
      <c r="F4113" s="22" t="str">
        <f>IF(OR(E4113="",E4113="!!!"),"",IF(NOT(ISNA(VLOOKUP(E4113,E$1:E4112,1,FALSE()))),"OLD",IF(AND(E4113&lt;&gt;"",E4113&lt;&gt;"!!!"),"NEW","")))</f>
        <v> </v>
      </c>
      <c r="G4113" s="23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4" t="str">
        <f>IF(J4113&lt;&gt;1,"",IF(I4113="SBJ","CB","?"))</f>
        <v> </v>
      </c>
      <c r="I4113" s="25" t="str">
        <f>IF(OR(E4113="",E4113="!!!",F4113="NEW"),"",INDEX(B4112:B$2,-1+SUMPRODUCT(MAX(ROW(E4112:E$2)*(E4113=E4112:E$2)))))</f>
        <v> </v>
      </c>
      <c r="J4113" s="25" t="str">
        <f>IF(OR(E4113="",E4113="!!!",F4113="NEW"),"",COUNTBLANK(OFFSET(A$1,,,SUMPRODUCT(MAX(ROW(E$2:E4113)*(E4113=E$2:E4113)))))-COUNTBLANK(OFFSET(A$1,,,SUMPRODUCT(MAX(ROW(E$1:E4112)*(E2=E$1:E4112))))))</f>
        <v> </v>
      </c>
      <c r="K4113" s="25" t="str">
        <f>IF(OR(E4113="",E4113="!!!",F4113="NEW"),"",INDEX(J$1:J4112,SUMPRODUCT(MAX(ROW(E$1:E4112)*(E4113=E$1:E4112)))))</f>
        <v> </v>
      </c>
      <c r="L4113" s="26"/>
    </row>
    <row r="4114" spans="1:12">
      <c r="A4114" s="20"/>
    </row>
    <row r="4115" spans="1:12">
      <c r="A4115" s="20" t="s">
        <v>2933</v>
      </c>
    </row>
    <row r="4116" spans="1:12">
      <c r="A4116" s="20" t="s">
        <v>1822</v>
      </c>
      <c r="E4116" s="21">
        <f>IF(D4116="?OLD","!!!","")</f>
        <v/>
      </c>
      <c r="F4116" s="22" t="str">
        <f>IF(OR(E4116="",E4116="!!!"),"",IF(NOT(ISNA(VLOOKUP(E4116,E$1:E4115,1,FALSE()))),"OLD",IF(AND(E4116&lt;&gt;"",E4116&lt;&gt;"!!!"),"NEW","")))</f>
        <v> </v>
      </c>
      <c r="G4116" s="23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4" t="str">
        <f>IF(J4116&lt;&gt;1,"",IF(I4116="SBJ","CB","?"))</f>
        <v> </v>
      </c>
      <c r="I4116" s="25" t="str">
        <f>IF(OR(E4116="",E4116="!!!",F4116="NEW"),"",INDEX(B4115:B$2,-1+SUMPRODUCT(MAX(ROW(E4115:E$2)*(E4116=E4115:E$2)))))</f>
        <v> </v>
      </c>
      <c r="J4116" s="25" t="str">
        <f>IF(OR(E4116="",E4116="!!!",F4116="NEW"),"",COUNTBLANK(OFFSET(A$1,,,SUMPRODUCT(MAX(ROW(E$2:E4116)*(E4116=E$2:E4116)))))-COUNTBLANK(OFFSET(A$1,,,SUMPRODUCT(MAX(ROW(E$1:E4115)*(E2=E$1:E4115))))))</f>
        <v> </v>
      </c>
      <c r="K4116" s="25" t="str">
        <f>IF(OR(E4116="",E4116="!!!",F4116="NEW"),"",INDEX(J$1:J4115,SUMPRODUCT(MAX(ROW(E$1:E4115)*(E4116=E$1:E4115)))))</f>
        <v> </v>
      </c>
      <c r="L4116" s="26"/>
    </row>
    <row r="4117" spans="1:12">
      <c r="A4117" s="20" t="s">
        <v>2934</v>
      </c>
      <c r="B4117" s="27" t="s">
        <v>1122</v>
      </c>
      <c r="E4117" s="21">
        <f>IF(D4117="?OLD","!!!","")</f>
        <v/>
      </c>
      <c r="F4117" s="22" t="str">
        <f>IF(OR(E4117="",E4117="!!!"),"",IF(NOT(ISNA(VLOOKUP(E4117,E$1:E4116,1,FALSE()))),"OLD",IF(AND(E4117&lt;&gt;"",E4117&lt;&gt;"!!!"),"NEW","")))</f>
        <v> </v>
      </c>
      <c r="G4117" s="23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4" t="str">
        <f>IF(J4117&lt;&gt;1,"",IF(I4117="SBJ","CB","?"))</f>
        <v> </v>
      </c>
      <c r="I4117" s="25" t="str">
        <f>IF(OR(E4117="",E4117="!!!",F4117="NEW"),"",INDEX(B4116:B$2,-1+SUMPRODUCT(MAX(ROW(E4116:E$2)*(E4117=E4116:E$2)))))</f>
        <v> </v>
      </c>
      <c r="J4117" s="25" t="str">
        <f>IF(OR(E4117="",E4117="!!!",F4117="NEW"),"",COUNTBLANK(OFFSET(A$1,,,SUMPRODUCT(MAX(ROW(E$2:E4117)*(E4117=E$2:E4117)))))-COUNTBLANK(OFFSET(A$1,,,SUMPRODUCT(MAX(ROW(E$1:E4116)*(E2=E$1:E4116))))))</f>
        <v> </v>
      </c>
      <c r="K4117" s="25" t="str">
        <f>IF(OR(E4117="",E4117="!!!",F4117="NEW"),"",INDEX(J$1:J4116,SUMPRODUCT(MAX(ROW(E$1:E4116)*(E4117=E$1:E4116)))))</f>
        <v> </v>
      </c>
      <c r="L4117" s="26"/>
    </row>
    <row r="4118" spans="1:12">
      <c r="A4118" s="20" t="s">
        <v>2935</v>
      </c>
      <c r="E4118" s="21">
        <f>IF(D4118="?OLD","!!!","")</f>
        <v/>
      </c>
      <c r="F4118" s="22" t="str">
        <f>IF(OR(E4118="",E4118="!!!"),"",IF(NOT(ISNA(VLOOKUP(E4118,E$1:E4117,1,FALSE()))),"OLD",IF(AND(E4118&lt;&gt;"",E4118&lt;&gt;"!!!"),"NEW","")))</f>
        <v> </v>
      </c>
      <c r="G4118" s="23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4" t="str">
        <f>IF(J4118&lt;&gt;1,"",IF(I4118="SBJ","CB","?"))</f>
        <v> </v>
      </c>
      <c r="I4118" s="25" t="str">
        <f>IF(OR(E4118="",E4118="!!!",F4118="NEW"),"",INDEX(B4117:B$2,-1+SUMPRODUCT(MAX(ROW(E4117:E$2)*(E4118=E4117:E$2)))))</f>
        <v> </v>
      </c>
      <c r="J4118" s="25" t="str">
        <f>IF(OR(E4118="",E4118="!!!",F4118="NEW"),"",COUNTBLANK(OFFSET(A$1,,,SUMPRODUCT(MAX(ROW(E$2:E4118)*(E4118=E$2:E4118)))))-COUNTBLANK(OFFSET(A$1,,,SUMPRODUCT(MAX(ROW(E$1:E4117)*(E2=E$1:E4117))))))</f>
        <v> </v>
      </c>
      <c r="K4118" s="25" t="str">
        <f>IF(OR(E4118="",E4118="!!!",F4118="NEW"),"",INDEX(J$1:J4117,SUMPRODUCT(MAX(ROW(E$1:E4117)*(E4118=E$1:E4117)))))</f>
        <v> </v>
      </c>
      <c r="L4118" s="26"/>
    </row>
    <row r="4119" spans="1:12">
      <c r="A4119" s="20" t="s">
        <v>2713</v>
      </c>
      <c r="B4119" s="27" t="s">
        <v>1243</v>
      </c>
      <c r="E4119" s="21">
        <f>IF(D4119="?OLD","!!!","")</f>
        <v/>
      </c>
      <c r="F4119" s="22" t="str">
        <f>IF(OR(E4119="",E4119="!!!"),"",IF(NOT(ISNA(VLOOKUP(E4119,E$1:E4118,1,FALSE()))),"OLD",IF(AND(E4119&lt;&gt;"",E4119&lt;&gt;"!!!"),"NEW","")))</f>
        <v> </v>
      </c>
      <c r="G4119" s="23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4" t="str">
        <f>IF(J4119&lt;&gt;1,"",IF(I4119="SBJ","CB","?"))</f>
        <v> </v>
      </c>
      <c r="I4119" s="25" t="str">
        <f>IF(OR(E4119="",E4119="!!!",F4119="NEW"),"",INDEX(B4118:B$2,-1+SUMPRODUCT(MAX(ROW(E4118:E$2)*(E4119=E4118:E$2)))))</f>
        <v> </v>
      </c>
      <c r="J4119" s="25" t="str">
        <f>IF(OR(E4119="",E4119="!!!",F4119="NEW"),"",COUNTBLANK(OFFSET(A$1,,,SUMPRODUCT(MAX(ROW(E$2:E4119)*(E4119=E$2:E4119)))))-COUNTBLANK(OFFSET(A$1,,,SUMPRODUCT(MAX(ROW(E$1:E4118)*(E2=E$1:E4118))))))</f>
        <v> </v>
      </c>
      <c r="K4119" s="25" t="str">
        <f>IF(OR(E4119="",E4119="!!!",F4119="NEW"),"",INDEX(J$1:J4118,SUMPRODUCT(MAX(ROW(E$1:E4118)*(E4119=E$1:E4118)))))</f>
        <v> </v>
      </c>
      <c r="L4119" s="26"/>
    </row>
    <row r="4120" spans="1:12">
      <c r="A4120" s="20" t="s">
        <v>1123</v>
      </c>
      <c r="E4120" s="21">
        <f>IF(D4120="?OLD","!!!","")</f>
        <v/>
      </c>
      <c r="F4120" s="22" t="str">
        <f>IF(OR(E4120="",E4120="!!!"),"",IF(NOT(ISNA(VLOOKUP(E4120,E$1:E4119,1,FALSE()))),"OLD",IF(AND(E4120&lt;&gt;"",E4120&lt;&gt;"!!!"),"NEW","")))</f>
        <v> </v>
      </c>
      <c r="G4120" s="23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4" t="str">
        <f>IF(J4120&lt;&gt;1,"",IF(I4120="SBJ","CB","?"))</f>
        <v> </v>
      </c>
      <c r="I4120" s="25" t="str">
        <f>IF(OR(E4120="",E4120="!!!",F4120="NEW"),"",INDEX(B4119:B$2,-1+SUMPRODUCT(MAX(ROW(E4119:E$2)*(E4120=E4119:E$2)))))</f>
        <v> </v>
      </c>
      <c r="J4120" s="25" t="str">
        <f>IF(OR(E4120="",E4120="!!!",F4120="NEW"),"",COUNTBLANK(OFFSET(A$1,,,SUMPRODUCT(MAX(ROW(E$2:E4120)*(E4120=E$2:E4120)))))-COUNTBLANK(OFFSET(A$1,,,SUMPRODUCT(MAX(ROW(E$1:E4119)*(E2=E$1:E4119))))))</f>
        <v> </v>
      </c>
      <c r="K4120" s="25" t="str">
        <f>IF(OR(E4120="",E4120="!!!",F4120="NEW"),"",INDEX(J$1:J4119,SUMPRODUCT(MAX(ROW(E$1:E4119)*(E4120=E$1:E4119)))))</f>
        <v> </v>
      </c>
      <c r="L4120" s="26"/>
    </row>
    <row r="4121" spans="1:12">
      <c r="A4121" s="20" t="s">
        <v>1121</v>
      </c>
      <c r="E4121" s="21">
        <f>IF(D4121="?OLD","!!!","")</f>
        <v/>
      </c>
      <c r="F4121" s="22" t="str">
        <f>IF(OR(E4121="",E4121="!!!"),"",IF(NOT(ISNA(VLOOKUP(E4121,E$1:E4120,1,FALSE()))),"OLD",IF(AND(E4121&lt;&gt;"",E4121&lt;&gt;"!!!"),"NEW","")))</f>
        <v> </v>
      </c>
      <c r="G4121" s="23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4" t="str">
        <f>IF(J4121&lt;&gt;1,"",IF(I4121="SBJ","CB","?"))</f>
        <v> </v>
      </c>
      <c r="I4121" s="25" t="str">
        <f>IF(OR(E4121="",E4121="!!!",F4121="NEW"),"",INDEX(B4120:B$2,-1+SUMPRODUCT(MAX(ROW(E4120:E$2)*(E4121=E4120:E$2)))))</f>
        <v> </v>
      </c>
      <c r="J4121" s="25" t="str">
        <f>IF(OR(E4121="",E4121="!!!",F4121="NEW"),"",COUNTBLANK(OFFSET(A$1,,,SUMPRODUCT(MAX(ROW(E$2:E4121)*(E4121=E$2:E4121)))))-COUNTBLANK(OFFSET(A$1,,,SUMPRODUCT(MAX(ROW(E$1:E4120)*(E2=E$1:E4120))))))</f>
        <v> </v>
      </c>
      <c r="K4121" s="25" t="str">
        <f>IF(OR(E4121="",E4121="!!!",F4121="NEW"),"",INDEX(J$1:J4120,SUMPRODUCT(MAX(ROW(E$1:E4120)*(E4121=E$1:E4120)))))</f>
        <v> </v>
      </c>
      <c r="L4121" s="26"/>
    </row>
    <row r="4122" spans="1:12">
      <c r="A4122" s="20" t="s">
        <v>2936</v>
      </c>
      <c r="B4122" s="27" t="s">
        <v>1213</v>
      </c>
      <c r="C4122" s="27" t="s">
        <v>1108</v>
      </c>
      <c r="D4122" s="27" t="s">
        <v>1105</v>
      </c>
      <c r="E4122" s="21">
        <f>IF(D4122="?OLD","!!!","")</f>
        <v/>
      </c>
      <c r="F4122" s="22" t="str">
        <f>IF(OR(E4122="",E4122="!!!"),"",IF(NOT(ISNA(VLOOKUP(E4122,E$1:E4121,1,FALSE()))),"OLD",IF(AND(E4122&lt;&gt;"",E4122&lt;&gt;"!!!"),"NEW","")))</f>
        <v> </v>
      </c>
      <c r="G4122" s="23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4" t="str">
        <f>IF(J4122&lt;&gt;1,"",IF(I4122="SBJ","CB","?"))</f>
        <v> </v>
      </c>
      <c r="I4122" s="25" t="str">
        <f>IF(OR(E4122="",E4122="!!!",F4122="NEW"),"",INDEX(B4121:B$2,-1+SUMPRODUCT(MAX(ROW(E4121:E$2)*(E4122=E4121:E$2)))))</f>
        <v> </v>
      </c>
      <c r="J4122" s="25" t="str">
        <f>IF(OR(E4122="",E4122="!!!",F4122="NEW"),"",COUNTBLANK(OFFSET(A$1,,,SUMPRODUCT(MAX(ROW(E$2:E4122)*(E4122=E$2:E4122)))))-COUNTBLANK(OFFSET(A$1,,,SUMPRODUCT(MAX(ROW(E$1:E4121)*(E2=E$1:E4121))))))</f>
        <v> </v>
      </c>
      <c r="K4122" s="25" t="str">
        <f>IF(OR(E4122="",E4122="!!!",F4122="NEW"),"",INDEX(J$1:J4121,SUMPRODUCT(MAX(ROW(E$1:E4121)*(E4122=E$1:E4121)))))</f>
        <v> </v>
      </c>
      <c r="L4122" s="26"/>
    </row>
    <row r="4123" spans="1:12">
      <c r="A4123" s="20" t="s">
        <v>1842</v>
      </c>
      <c r="E4123" s="21">
        <f>IF(D4123="?OLD","!!!","")</f>
        <v/>
      </c>
      <c r="F4123" s="22" t="str">
        <f>IF(OR(E4123="",E4123="!!!"),"",IF(NOT(ISNA(VLOOKUP(E4123,E$1:E4122,1,FALSE()))),"OLD",IF(AND(E4123&lt;&gt;"",E4123&lt;&gt;"!!!"),"NEW","")))</f>
        <v> </v>
      </c>
      <c r="G4123" s="23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4" t="str">
        <f>IF(J4123&lt;&gt;1,"",IF(I4123="SBJ","CB","?"))</f>
        <v> </v>
      </c>
      <c r="I4123" s="25" t="str">
        <f>IF(OR(E4123="",E4123="!!!",F4123="NEW"),"",INDEX(B4122:B$2,-1+SUMPRODUCT(MAX(ROW(E4122:E$2)*(E4123=E4122:E$2)))))</f>
        <v> </v>
      </c>
      <c r="J4123" s="25" t="str">
        <f>IF(OR(E4123="",E4123="!!!",F4123="NEW"),"",COUNTBLANK(OFFSET(A$1,,,SUMPRODUCT(MAX(ROW(E$2:E4123)*(E4123=E$2:E4123)))))-COUNTBLANK(OFFSET(A$1,,,SUMPRODUCT(MAX(ROW(E$1:E4122)*(E2=E$1:E4122))))))</f>
        <v> </v>
      </c>
      <c r="K4123" s="25" t="str">
        <f>IF(OR(E4123="",E4123="!!!",F4123="NEW"),"",INDEX(J$1:J4122,SUMPRODUCT(MAX(ROW(E$1:E4122)*(E4123=E$1:E4122)))))</f>
        <v> </v>
      </c>
      <c r="L4123" s="26"/>
    </row>
    <row r="4124" spans="1:12">
      <c r="A4124" s="20" t="s">
        <v>1128</v>
      </c>
      <c r="E4124" s="21">
        <f>IF(D4124="?OLD","!!!","")</f>
        <v/>
      </c>
      <c r="F4124" s="22" t="str">
        <f>IF(OR(E4124="",E4124="!!!"),"",IF(NOT(ISNA(VLOOKUP(E4124,E$1:E4123,1,FALSE()))),"OLD",IF(AND(E4124&lt;&gt;"",E4124&lt;&gt;"!!!"),"NEW","")))</f>
        <v> </v>
      </c>
      <c r="G4124" s="23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4" t="str">
        <f>IF(J4124&lt;&gt;1,"",IF(I4124="SBJ","CB","?"))</f>
        <v> </v>
      </c>
      <c r="I4124" s="25" t="str">
        <f>IF(OR(E4124="",E4124="!!!",F4124="NEW"),"",INDEX(B4123:B$2,-1+SUMPRODUCT(MAX(ROW(E4123:E$2)*(E4124=E4123:E$2)))))</f>
        <v> </v>
      </c>
      <c r="J4124" s="25" t="str">
        <f>IF(OR(E4124="",E4124="!!!",F4124="NEW"),"",COUNTBLANK(OFFSET(A$1,,,SUMPRODUCT(MAX(ROW(E$2:E4124)*(E4124=E$2:E4124)))))-COUNTBLANK(OFFSET(A$1,,,SUMPRODUCT(MAX(ROW(E$1:E4123)*(E2=E$1:E4123))))))</f>
        <v> </v>
      </c>
      <c r="K4124" s="25" t="str">
        <f>IF(OR(E4124="",E4124="!!!",F4124="NEW"),"",INDEX(J$1:J4123,SUMPRODUCT(MAX(ROW(E$1:E4123)*(E4124=E$1:E4123)))))</f>
        <v> </v>
      </c>
      <c r="L4124" s="26"/>
    </row>
    <row r="4125" spans="1:12">
      <c r="A4125" s="20" t="s">
        <v>1134</v>
      </c>
      <c r="E4125" s="21">
        <f>IF(D4125="?OLD","!!!","")</f>
        <v/>
      </c>
      <c r="F4125" s="22" t="str">
        <f>IF(OR(E4125="",E4125="!!!"),"",IF(NOT(ISNA(VLOOKUP(E4125,E$1:E4124,1,FALSE()))),"OLD",IF(AND(E4125&lt;&gt;"",E4125&lt;&gt;"!!!"),"NEW","")))</f>
        <v> </v>
      </c>
      <c r="G4125" s="23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4" t="str">
        <f>IF(J4125&lt;&gt;1,"",IF(I4125="SBJ","CB","?"))</f>
        <v> </v>
      </c>
      <c r="I4125" s="25" t="str">
        <f>IF(OR(E4125="",E4125="!!!",F4125="NEW"),"",INDEX(B4124:B$2,-1+SUMPRODUCT(MAX(ROW(E4124:E$2)*(E4125=E4124:E$2)))))</f>
        <v> </v>
      </c>
      <c r="J4125" s="25" t="str">
        <f>IF(OR(E4125="",E4125="!!!",F4125="NEW"),"",COUNTBLANK(OFFSET(A$1,,,SUMPRODUCT(MAX(ROW(E$2:E4125)*(E4125=E$2:E4125)))))-COUNTBLANK(OFFSET(A$1,,,SUMPRODUCT(MAX(ROW(E$1:E4124)*(E2=E$1:E4124))))))</f>
        <v> </v>
      </c>
      <c r="K4125" s="25" t="str">
        <f>IF(OR(E4125="",E4125="!!!",F4125="NEW"),"",INDEX(J$1:J4124,SUMPRODUCT(MAX(ROW(E$1:E4124)*(E4125=E$1:E4124)))))</f>
        <v> </v>
      </c>
      <c r="L4125" s="26"/>
    </row>
    <row r="4126" spans="1:12">
      <c r="A4126" s="20" t="s">
        <v>2862</v>
      </c>
      <c r="E4126" s="21">
        <f>IF(D4126="?OLD","!!!","")</f>
        <v/>
      </c>
      <c r="F4126" s="22" t="str">
        <f>IF(OR(E4126="",E4126="!!!"),"",IF(NOT(ISNA(VLOOKUP(E4126,E$1:E4125,1,FALSE()))),"OLD",IF(AND(E4126&lt;&gt;"",E4126&lt;&gt;"!!!"),"NEW","")))</f>
        <v> </v>
      </c>
      <c r="G4126" s="23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4" t="str">
        <f>IF(J4126&lt;&gt;1,"",IF(I4126="SBJ","CB","?"))</f>
        <v> </v>
      </c>
      <c r="I4126" s="25" t="str">
        <f>IF(OR(E4126="",E4126="!!!",F4126="NEW"),"",INDEX(B4125:B$2,-1+SUMPRODUCT(MAX(ROW(E4125:E$2)*(E4126=E4125:E$2)))))</f>
        <v> </v>
      </c>
      <c r="J4126" s="25" t="str">
        <f>IF(OR(E4126="",E4126="!!!",F4126="NEW"),"",COUNTBLANK(OFFSET(A$1,,,SUMPRODUCT(MAX(ROW(E$2:E4126)*(E4126=E$2:E4126)))))-COUNTBLANK(OFFSET(A$1,,,SUMPRODUCT(MAX(ROW(E$1:E4125)*(E2=E$1:E4125))))))</f>
        <v> </v>
      </c>
      <c r="K4126" s="25" t="str">
        <f>IF(OR(E4126="",E4126="!!!",F4126="NEW"),"",INDEX(J$1:J4125,SUMPRODUCT(MAX(ROW(E$1:E4125)*(E4126=E$1:E4125)))))</f>
        <v> </v>
      </c>
      <c r="L4126" s="26"/>
    </row>
    <row r="4127" spans="1:12">
      <c r="A4127" s="20" t="s">
        <v>2937</v>
      </c>
      <c r="E4127" s="21">
        <f>IF(D4127="?OLD","!!!","")</f>
        <v/>
      </c>
      <c r="F4127" s="22" t="str">
        <f>IF(OR(E4127="",E4127="!!!"),"",IF(NOT(ISNA(VLOOKUP(E4127,E$1:E4126,1,FALSE()))),"OLD",IF(AND(E4127&lt;&gt;"",E4127&lt;&gt;"!!!"),"NEW","")))</f>
        <v> </v>
      </c>
      <c r="G4127" s="23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4" t="str">
        <f>IF(J4127&lt;&gt;1,"",IF(I4127="SBJ","CB","?"))</f>
        <v> </v>
      </c>
      <c r="I4127" s="25" t="str">
        <f>IF(OR(E4127="",E4127="!!!",F4127="NEW"),"",INDEX(B4126:B$2,-1+SUMPRODUCT(MAX(ROW(E4126:E$2)*(E4127=E4126:E$2)))))</f>
        <v> </v>
      </c>
      <c r="J4127" s="25" t="str">
        <f>IF(OR(E4127="",E4127="!!!",F4127="NEW"),"",COUNTBLANK(OFFSET(A$1,,,SUMPRODUCT(MAX(ROW(E$2:E4127)*(E4127=E$2:E4127)))))-COUNTBLANK(OFFSET(A$1,,,SUMPRODUCT(MAX(ROW(E$1:E4126)*(E2=E$1:E4126))))))</f>
        <v> </v>
      </c>
      <c r="K4127" s="25" t="str">
        <f>IF(OR(E4127="",E4127="!!!",F4127="NEW"),"",INDEX(J$1:J4126,SUMPRODUCT(MAX(ROW(E$1:E4126)*(E4127=E$1:E4126)))))</f>
        <v> </v>
      </c>
      <c r="L4127" s="26"/>
    </row>
    <row r="4128" spans="1:12">
      <c r="A4128" s="20" t="s">
        <v>1139</v>
      </c>
      <c r="E4128" s="21">
        <f>IF(D4128="?OLD","!!!","")</f>
        <v/>
      </c>
      <c r="F4128" s="22" t="str">
        <f>IF(OR(E4128="",E4128="!!!"),"",IF(NOT(ISNA(VLOOKUP(E4128,E$1:E4127,1,FALSE()))),"OLD",IF(AND(E4128&lt;&gt;"",E4128&lt;&gt;"!!!"),"NEW","")))</f>
        <v> </v>
      </c>
      <c r="G4128" s="23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4" t="str">
        <f>IF(J4128&lt;&gt;1,"",IF(I4128="SBJ","CB","?"))</f>
        <v> </v>
      </c>
      <c r="I4128" s="25" t="str">
        <f>IF(OR(E4128="",E4128="!!!",F4128="NEW"),"",INDEX(B4127:B$2,-1+SUMPRODUCT(MAX(ROW(E4127:E$2)*(E4128=E4127:E$2)))))</f>
        <v> </v>
      </c>
      <c r="J4128" s="25" t="str">
        <f>IF(OR(E4128="",E4128="!!!",F4128="NEW"),"",COUNTBLANK(OFFSET(A$1,,,SUMPRODUCT(MAX(ROW(E$2:E4128)*(E4128=E$2:E4128)))))-COUNTBLANK(OFFSET(A$1,,,SUMPRODUCT(MAX(ROW(E$1:E4127)*(E2=E$1:E4127))))))</f>
        <v> </v>
      </c>
      <c r="K4128" s="25" t="str">
        <f>IF(OR(E4128="",E4128="!!!",F4128="NEW"),"",INDEX(J$1:J4127,SUMPRODUCT(MAX(ROW(E$1:E4127)*(E4128=E$1:E4127)))))</f>
        <v> </v>
      </c>
      <c r="L4128" s="26"/>
    </row>
    <row r="4129" spans="1:12">
      <c r="A4129" s="20" t="s">
        <v>2938</v>
      </c>
      <c r="E4129" s="21">
        <f>IF(D4129="?OLD","!!!","")</f>
        <v/>
      </c>
      <c r="F4129" s="22" t="str">
        <f>IF(OR(E4129="",E4129="!!!"),"",IF(NOT(ISNA(VLOOKUP(E4129,E$1:E4128,1,FALSE()))),"OLD",IF(AND(E4129&lt;&gt;"",E4129&lt;&gt;"!!!"),"NEW","")))</f>
        <v> </v>
      </c>
      <c r="G4129" s="23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4" t="str">
        <f>IF(J4129&lt;&gt;1,"",IF(I4129="SBJ","CB","?"))</f>
        <v> </v>
      </c>
      <c r="I4129" s="25" t="str">
        <f>IF(OR(E4129="",E4129="!!!",F4129="NEW"),"",INDEX(B4128:B$2,-1+SUMPRODUCT(MAX(ROW(E4128:E$2)*(E4129=E4128:E$2)))))</f>
        <v> </v>
      </c>
      <c r="J4129" s="25" t="str">
        <f>IF(OR(E4129="",E4129="!!!",F4129="NEW"),"",COUNTBLANK(OFFSET(A$1,,,SUMPRODUCT(MAX(ROW(E$2:E4129)*(E4129=E$2:E4129)))))-COUNTBLANK(OFFSET(A$1,,,SUMPRODUCT(MAX(ROW(E$1:E4128)*(E2=E$1:E4128))))))</f>
        <v> </v>
      </c>
      <c r="K4129" s="25" t="str">
        <f>IF(OR(E4129="",E4129="!!!",F4129="NEW"),"",INDEX(J$1:J4128,SUMPRODUCT(MAX(ROW(E$1:E4128)*(E4129=E$1:E4128)))))</f>
        <v> </v>
      </c>
      <c r="L4129" s="26"/>
    </row>
    <row r="4130" spans="1:12">
      <c r="A4130" s="20" t="s">
        <v>2939</v>
      </c>
      <c r="E4130" s="21">
        <f>IF(D4130="?OLD","!!!","")</f>
        <v/>
      </c>
      <c r="F4130" s="22" t="str">
        <f>IF(OR(E4130="",E4130="!!!"),"",IF(NOT(ISNA(VLOOKUP(E4130,E$1:E4129,1,FALSE()))),"OLD",IF(AND(E4130&lt;&gt;"",E4130&lt;&gt;"!!!"),"NEW","")))</f>
        <v> </v>
      </c>
      <c r="G4130" s="23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4" t="str">
        <f>IF(J4130&lt;&gt;1,"",IF(I4130="SBJ","CB","?"))</f>
        <v> </v>
      </c>
      <c r="I4130" s="25" t="str">
        <f>IF(OR(E4130="",E4130="!!!",F4130="NEW"),"",INDEX(B4129:B$2,-1+SUMPRODUCT(MAX(ROW(E4129:E$2)*(E4130=E4129:E$2)))))</f>
        <v> </v>
      </c>
      <c r="J4130" s="25" t="str">
        <f>IF(OR(E4130="",E4130="!!!",F4130="NEW"),"",COUNTBLANK(OFFSET(A$1,,,SUMPRODUCT(MAX(ROW(E$2:E4130)*(E4130=E$2:E4130)))))-COUNTBLANK(OFFSET(A$1,,,SUMPRODUCT(MAX(ROW(E$1:E4129)*(E2=E$1:E4129))))))</f>
        <v> </v>
      </c>
      <c r="K4130" s="25" t="str">
        <f>IF(OR(E4130="",E4130="!!!",F4130="NEW"),"",INDEX(J$1:J4129,SUMPRODUCT(MAX(ROW(E$1:E4129)*(E4130=E$1:E4129)))))</f>
        <v> </v>
      </c>
      <c r="L4130" s="26"/>
    </row>
    <row r="4131" spans="1:12">
      <c r="A4131" s="20" t="s">
        <v>1249</v>
      </c>
      <c r="E4131" s="21">
        <f>IF(D4131="?OLD","!!!","")</f>
        <v/>
      </c>
      <c r="F4131" s="22" t="str">
        <f>IF(OR(E4131="",E4131="!!!"),"",IF(NOT(ISNA(VLOOKUP(E4131,E$1:E4130,1,FALSE()))),"OLD",IF(AND(E4131&lt;&gt;"",E4131&lt;&gt;"!!!"),"NEW","")))</f>
        <v> </v>
      </c>
      <c r="G4131" s="23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4" t="str">
        <f>IF(J4131&lt;&gt;1,"",IF(I4131="SBJ","CB","?"))</f>
        <v> </v>
      </c>
      <c r="I4131" s="25" t="str">
        <f>IF(OR(E4131="",E4131="!!!",F4131="NEW"),"",INDEX(B4130:B$2,-1+SUMPRODUCT(MAX(ROW(E4130:E$2)*(E4131=E4130:E$2)))))</f>
        <v> </v>
      </c>
      <c r="J4131" s="25" t="str">
        <f>IF(OR(E4131="",E4131="!!!",F4131="NEW"),"",COUNTBLANK(OFFSET(A$1,,,SUMPRODUCT(MAX(ROW(E$2:E4131)*(E4131=E$2:E4131)))))-COUNTBLANK(OFFSET(A$1,,,SUMPRODUCT(MAX(ROW(E$1:E4130)*(E2=E$1:E4130))))))</f>
        <v> </v>
      </c>
      <c r="K4131" s="25" t="str">
        <f>IF(OR(E4131="",E4131="!!!",F4131="NEW"),"",INDEX(J$1:J4130,SUMPRODUCT(MAX(ROW(E$1:E4130)*(E4131=E$1:E4130)))))</f>
        <v> </v>
      </c>
      <c r="L4131" s="26"/>
    </row>
    <row r="4132" spans="1:12">
      <c r="A4132" s="20" t="s">
        <v>2940</v>
      </c>
      <c r="E4132" s="21">
        <f>IF(D4132="?OLD","!!!","")</f>
        <v/>
      </c>
      <c r="F4132" s="22" t="str">
        <f>IF(OR(E4132="",E4132="!!!"),"",IF(NOT(ISNA(VLOOKUP(E4132,E$1:E4131,1,FALSE()))),"OLD",IF(AND(E4132&lt;&gt;"",E4132&lt;&gt;"!!!"),"NEW","")))</f>
        <v> </v>
      </c>
      <c r="G4132" s="23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4" t="str">
        <f>IF(J4132&lt;&gt;1,"",IF(I4132="SBJ","CB","?"))</f>
        <v> </v>
      </c>
      <c r="I4132" s="25" t="str">
        <f>IF(OR(E4132="",E4132="!!!",F4132="NEW"),"",INDEX(B4131:B$2,-1+SUMPRODUCT(MAX(ROW(E4131:E$2)*(E4132=E4131:E$2)))))</f>
        <v> </v>
      </c>
      <c r="J4132" s="25" t="str">
        <f>IF(OR(E4132="",E4132="!!!",F4132="NEW"),"",COUNTBLANK(OFFSET(A$1,,,SUMPRODUCT(MAX(ROW(E$2:E4132)*(E4132=E$2:E4132)))))-COUNTBLANK(OFFSET(A$1,,,SUMPRODUCT(MAX(ROW(E$1:E4131)*(E2=E$1:E4131))))))</f>
        <v> </v>
      </c>
      <c r="K4132" s="25" t="str">
        <f>IF(OR(E4132="",E4132="!!!",F4132="NEW"),"",INDEX(J$1:J4131,SUMPRODUCT(MAX(ROW(E$1:E4131)*(E4132=E$1:E4131)))))</f>
        <v> </v>
      </c>
      <c r="L4132" s="26"/>
    </row>
    <row r="4133" spans="1:12">
      <c r="A4133" s="20" t="s">
        <v>1123</v>
      </c>
      <c r="E4133" s="21">
        <f>IF(D4133="?OLD","!!!","")</f>
        <v/>
      </c>
      <c r="F4133" s="22" t="str">
        <f>IF(OR(E4133="",E4133="!!!"),"",IF(NOT(ISNA(VLOOKUP(E4133,E$1:E4132,1,FALSE()))),"OLD",IF(AND(E4133&lt;&gt;"",E4133&lt;&gt;"!!!"),"NEW","")))</f>
        <v> </v>
      </c>
      <c r="G4133" s="23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4" t="str">
        <f>IF(J4133&lt;&gt;1,"",IF(I4133="SBJ","CB","?"))</f>
        <v> </v>
      </c>
      <c r="I4133" s="25" t="str">
        <f>IF(OR(E4133="",E4133="!!!",F4133="NEW"),"",INDEX(B4132:B$2,-1+SUMPRODUCT(MAX(ROW(E4132:E$2)*(E4133=E4132:E$2)))))</f>
        <v> </v>
      </c>
      <c r="J4133" s="25" t="str">
        <f>IF(OR(E4133="",E4133="!!!",F4133="NEW"),"",COUNTBLANK(OFFSET(A$1,,,SUMPRODUCT(MAX(ROW(E$2:E4133)*(E4133=E$2:E4133)))))-COUNTBLANK(OFFSET(A$1,,,SUMPRODUCT(MAX(ROW(E$1:E4132)*(E2=E$1:E4132))))))</f>
        <v> </v>
      </c>
      <c r="K4133" s="25" t="str">
        <f>IF(OR(E4133="",E4133="!!!",F4133="NEW"),"",INDEX(J$1:J4132,SUMPRODUCT(MAX(ROW(E$1:E4132)*(E4133=E$1:E4132)))))</f>
        <v> </v>
      </c>
      <c r="L4133" s="26"/>
    </row>
    <row r="4134" spans="1:12">
      <c r="A4134" s="20" t="s">
        <v>1271</v>
      </c>
      <c r="E4134" s="21">
        <f>IF(D4134="?OLD","!!!","")</f>
        <v/>
      </c>
      <c r="F4134" s="22" t="str">
        <f>IF(OR(E4134="",E4134="!!!"),"",IF(NOT(ISNA(VLOOKUP(E4134,E$1:E4133,1,FALSE()))),"OLD",IF(AND(E4134&lt;&gt;"",E4134&lt;&gt;"!!!"),"NEW","")))</f>
        <v> </v>
      </c>
      <c r="G4134" s="23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4" t="str">
        <f>IF(J4134&lt;&gt;1,"",IF(I4134="SBJ","CB","?"))</f>
        <v> </v>
      </c>
      <c r="I4134" s="25" t="str">
        <f>IF(OR(E4134="",E4134="!!!",F4134="NEW"),"",INDEX(B4133:B$2,-1+SUMPRODUCT(MAX(ROW(E4133:E$2)*(E4134=E4133:E$2)))))</f>
        <v> </v>
      </c>
      <c r="J4134" s="25" t="str">
        <f>IF(OR(E4134="",E4134="!!!",F4134="NEW"),"",COUNTBLANK(OFFSET(A$1,,,SUMPRODUCT(MAX(ROW(E$2:E4134)*(E4134=E$2:E4134)))))-COUNTBLANK(OFFSET(A$1,,,SUMPRODUCT(MAX(ROW(E$1:E4133)*(E2=E$1:E4133))))))</f>
        <v> </v>
      </c>
      <c r="K4134" s="25" t="str">
        <f>IF(OR(E4134="",E4134="!!!",F4134="NEW"),"",INDEX(J$1:J4133,SUMPRODUCT(MAX(ROW(E$1:E4133)*(E4134=E$1:E4133)))))</f>
        <v> </v>
      </c>
      <c r="L4134" s="26"/>
    </row>
    <row r="4135" spans="1:12">
      <c r="A4135" s="20" t="s">
        <v>2941</v>
      </c>
      <c r="B4135" s="27" t="s">
        <v>1132</v>
      </c>
      <c r="C4135" s="27" t="s">
        <v>1133</v>
      </c>
      <c r="E4135" s="21">
        <f>IF(D4135="?OLD","!!!","")</f>
        <v/>
      </c>
      <c r="F4135" s="22" t="str">
        <f>IF(OR(E4135="",E4135="!!!"),"",IF(NOT(ISNA(VLOOKUP(E4135,E$1:E4134,1,FALSE()))),"OLD",IF(AND(E4135&lt;&gt;"",E4135&lt;&gt;"!!!"),"NEW","")))</f>
        <v> </v>
      </c>
      <c r="G4135" s="23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4" t="str">
        <f>IF(J4135&lt;&gt;1,"",IF(I4135="SBJ","CB","?"))</f>
        <v> </v>
      </c>
      <c r="I4135" s="25" t="str">
        <f>IF(OR(E4135="",E4135="!!!",F4135="NEW"),"",INDEX(B4134:B$2,-1+SUMPRODUCT(MAX(ROW(E4134:E$2)*(E4135=E4134:E$2)))))</f>
        <v> </v>
      </c>
      <c r="J4135" s="25" t="str">
        <f>IF(OR(E4135="",E4135="!!!",F4135="NEW"),"",COUNTBLANK(OFFSET(A$1,,,SUMPRODUCT(MAX(ROW(E$2:E4135)*(E4135=E$2:E4135)))))-COUNTBLANK(OFFSET(A$1,,,SUMPRODUCT(MAX(ROW(E$1:E4134)*(E2=E$1:E4134))))))</f>
        <v> </v>
      </c>
      <c r="K4135" s="25" t="str">
        <f>IF(OR(E4135="",E4135="!!!",F4135="NEW"),"",INDEX(J$1:J4134,SUMPRODUCT(MAX(ROW(E$1:E4134)*(E4135=E$1:E4134)))))</f>
        <v> </v>
      </c>
      <c r="L4135" s="26"/>
    </row>
    <row r="4136" spans="1:12">
      <c r="A4136" s="20" t="s">
        <v>1124</v>
      </c>
      <c r="B4136" s="27" t="s">
        <v>1125</v>
      </c>
      <c r="C4136" s="27" t="s">
        <v>1126</v>
      </c>
      <c r="D4136" s="27" t="s">
        <v>1105</v>
      </c>
      <c r="E4136" s="21">
        <f>IF(D4136="?OLD","!!!","")</f>
        <v/>
      </c>
      <c r="F4136" s="22" t="str">
        <f>IF(OR(E4136="",E4136="!!!"),"",IF(NOT(ISNA(VLOOKUP(E4136,E$1:E4135,1,FALSE()))),"OLD",IF(AND(E4136&lt;&gt;"",E4136&lt;&gt;"!!!"),"NEW","")))</f>
        <v> </v>
      </c>
      <c r="G4136" s="23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4" t="str">
        <f>IF(J4136&lt;&gt;1,"",IF(I4136="SBJ","CB","?"))</f>
        <v> </v>
      </c>
      <c r="I4136" s="25" t="str">
        <f>IF(OR(E4136="",E4136="!!!",F4136="NEW"),"",INDEX(B4135:B$2,-1+SUMPRODUCT(MAX(ROW(E4135:E$2)*(E4136=E4135:E$2)))))</f>
        <v> </v>
      </c>
      <c r="J4136" s="25" t="str">
        <f>IF(OR(E4136="",E4136="!!!",F4136="NEW"),"",COUNTBLANK(OFFSET(A$1,,,SUMPRODUCT(MAX(ROW(E$2:E4136)*(E4136=E$2:E4136)))))-COUNTBLANK(OFFSET(A$1,,,SUMPRODUCT(MAX(ROW(E$1:E4135)*(E2=E$1:E4135))))))</f>
        <v> </v>
      </c>
      <c r="K4136" s="25" t="str">
        <f>IF(OR(E4136="",E4136="!!!",F4136="NEW"),"",INDEX(J$1:J4135,SUMPRODUCT(MAX(ROW(E$1:E4135)*(E4136=E$1:E4135)))))</f>
        <v> </v>
      </c>
      <c r="L4136" s="26"/>
    </row>
    <row r="4137" spans="1:12">
      <c r="A4137" s="20" t="s">
        <v>2942</v>
      </c>
      <c r="E4137" s="21">
        <f>IF(D4137="?OLD","!!!","")</f>
        <v/>
      </c>
      <c r="F4137" s="22" t="str">
        <f>IF(OR(E4137="",E4137="!!!"),"",IF(NOT(ISNA(VLOOKUP(E4137,E$1:E4136,1,FALSE()))),"OLD",IF(AND(E4137&lt;&gt;"",E4137&lt;&gt;"!!!"),"NEW","")))</f>
        <v> </v>
      </c>
      <c r="G4137" s="23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4" t="str">
        <f>IF(J4137&lt;&gt;1,"",IF(I4137="SBJ","CB","?"))</f>
        <v> </v>
      </c>
      <c r="I4137" s="25" t="str">
        <f>IF(OR(E4137="",E4137="!!!",F4137="NEW"),"",INDEX(B4136:B$2,-1+SUMPRODUCT(MAX(ROW(E4136:E$2)*(E4137=E4136:E$2)))))</f>
        <v> </v>
      </c>
      <c r="J4137" s="25" t="str">
        <f>IF(OR(E4137="",E4137="!!!",F4137="NEW"),"",COUNTBLANK(OFFSET(A$1,,,SUMPRODUCT(MAX(ROW(E$2:E4137)*(E4137=E$2:E4137)))))-COUNTBLANK(OFFSET(A$1,,,SUMPRODUCT(MAX(ROW(E$1:E4136)*(E2=E$1:E4136))))))</f>
        <v> </v>
      </c>
      <c r="K4137" s="25" t="str">
        <f>IF(OR(E4137="",E4137="!!!",F4137="NEW"),"",INDEX(J$1:J4136,SUMPRODUCT(MAX(ROW(E$1:E4136)*(E4137=E$1:E4136)))))</f>
        <v> </v>
      </c>
      <c r="L4137" s="26"/>
    </row>
    <row r="4138" spans="1:12">
      <c r="A4138" s="20" t="s">
        <v>1184</v>
      </c>
      <c r="E4138" s="21">
        <f>IF(D4138="?OLD","!!!","")</f>
        <v/>
      </c>
      <c r="F4138" s="22" t="str">
        <f>IF(OR(E4138="",E4138="!!!"),"",IF(NOT(ISNA(VLOOKUP(E4138,E$1:E4137,1,FALSE()))),"OLD",IF(AND(E4138&lt;&gt;"",E4138&lt;&gt;"!!!"),"NEW","")))</f>
        <v> </v>
      </c>
      <c r="G4138" s="23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4" t="str">
        <f>IF(J4138&lt;&gt;1,"",IF(I4138="SBJ","CB","?"))</f>
        <v> </v>
      </c>
      <c r="I4138" s="25" t="str">
        <f>IF(OR(E4138="",E4138="!!!",F4138="NEW"),"",INDEX(B4137:B$2,-1+SUMPRODUCT(MAX(ROW(E4137:E$2)*(E4138=E4137:E$2)))))</f>
        <v> </v>
      </c>
      <c r="J4138" s="25" t="str">
        <f>IF(OR(E4138="",E4138="!!!",F4138="NEW"),"",COUNTBLANK(OFFSET(A$1,,,SUMPRODUCT(MAX(ROW(E$2:E4138)*(E4138=E$2:E4138)))))-COUNTBLANK(OFFSET(A$1,,,SUMPRODUCT(MAX(ROW(E$1:E4137)*(E2=E$1:E4137))))))</f>
        <v> </v>
      </c>
      <c r="K4138" s="25" t="str">
        <f>IF(OR(E4138="",E4138="!!!",F4138="NEW"),"",INDEX(J$1:J4137,SUMPRODUCT(MAX(ROW(E$1:E4137)*(E4138=E$1:E4137)))))</f>
        <v> </v>
      </c>
      <c r="L4138" s="26"/>
    </row>
    <row r="4139" spans="1:12">
      <c r="A4139" s="20" t="s">
        <v>1664</v>
      </c>
      <c r="E4139" s="21">
        <f>IF(D4139="?OLD","!!!","")</f>
        <v/>
      </c>
      <c r="F4139" s="22" t="str">
        <f>IF(OR(E4139="",E4139="!!!"),"",IF(NOT(ISNA(VLOOKUP(E4139,E$1:E4138,1,FALSE()))),"OLD",IF(AND(E4139&lt;&gt;"",E4139&lt;&gt;"!!!"),"NEW","")))</f>
        <v> </v>
      </c>
      <c r="G4139" s="23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4" t="str">
        <f>IF(J4139&lt;&gt;1,"",IF(I4139="SBJ","CB","?"))</f>
        <v> </v>
      </c>
      <c r="I4139" s="25" t="str">
        <f>IF(OR(E4139="",E4139="!!!",F4139="NEW"),"",INDEX(B4138:B$2,-1+SUMPRODUCT(MAX(ROW(E4138:E$2)*(E4139=E4138:E$2)))))</f>
        <v> </v>
      </c>
      <c r="J4139" s="25" t="str">
        <f>IF(OR(E4139="",E4139="!!!",F4139="NEW"),"",COUNTBLANK(OFFSET(A$1,,,SUMPRODUCT(MAX(ROW(E$2:E4139)*(E4139=E$2:E4139)))))-COUNTBLANK(OFFSET(A$1,,,SUMPRODUCT(MAX(ROW(E$1:E4138)*(E2=E$1:E4138))))))</f>
        <v> </v>
      </c>
      <c r="K4139" s="25" t="str">
        <f>IF(OR(E4139="",E4139="!!!",F4139="NEW"),"",INDEX(J$1:J4138,SUMPRODUCT(MAX(ROW(E$1:E4138)*(E4139=E$1:E4138)))))</f>
        <v> </v>
      </c>
      <c r="L4139" s="26"/>
    </row>
    <row r="4140" spans="1:12">
      <c r="A4140" s="20" t="s">
        <v>2943</v>
      </c>
      <c r="B4140" s="27" t="s">
        <v>1132</v>
      </c>
      <c r="C4140" s="27" t="s">
        <v>1156</v>
      </c>
      <c r="D4140" s="27" t="s">
        <v>1105</v>
      </c>
      <c r="E4140" s="21">
        <f>IF(D4140="?OLD","!!!","")</f>
        <v/>
      </c>
      <c r="F4140" s="22" t="str">
        <f>IF(OR(E4140="",E4140="!!!"),"",IF(NOT(ISNA(VLOOKUP(E4140,E$1:E4139,1,FALSE()))),"OLD",IF(AND(E4140&lt;&gt;"",E4140&lt;&gt;"!!!"),"NEW","")))</f>
        <v> </v>
      </c>
      <c r="G4140" s="23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4" t="str">
        <f>IF(J4140&lt;&gt;1,"",IF(I4140="SBJ","CB","?"))</f>
        <v> </v>
      </c>
      <c r="I4140" s="25" t="str">
        <f>IF(OR(E4140="",E4140="!!!",F4140="NEW"),"",INDEX(B4139:B$2,-1+SUMPRODUCT(MAX(ROW(E4139:E$2)*(E4140=E4139:E$2)))))</f>
        <v> </v>
      </c>
      <c r="J4140" s="25" t="str">
        <f>IF(OR(E4140="",E4140="!!!",F4140="NEW"),"",COUNTBLANK(OFFSET(A$1,,,SUMPRODUCT(MAX(ROW(E$2:E4140)*(E4140=E$2:E4140)))))-COUNTBLANK(OFFSET(A$1,,,SUMPRODUCT(MAX(ROW(E$1:E4139)*(E2=E$1:E4139))))))</f>
        <v> </v>
      </c>
      <c r="K4140" s="25" t="str">
        <f>IF(OR(E4140="",E4140="!!!",F4140="NEW"),"",INDEX(J$1:J4139,SUMPRODUCT(MAX(ROW(E$1:E4139)*(E4140=E$1:E4139)))))</f>
        <v> </v>
      </c>
      <c r="L4140" s="26"/>
    </row>
    <row r="4141" spans="1:12">
      <c r="A4141" s="20" t="s">
        <v>1242</v>
      </c>
      <c r="B4141" s="27" t="s">
        <v>1144</v>
      </c>
      <c r="C4141" s="27" t="s">
        <v>1126</v>
      </c>
      <c r="D4141" s="27" t="s">
        <v>1105</v>
      </c>
      <c r="E4141" s="21">
        <f>IF(D4141="?OLD","!!!","")</f>
        <v/>
      </c>
      <c r="F4141" s="22" t="str">
        <f>IF(OR(E4141="",E4141="!!!"),"",IF(NOT(ISNA(VLOOKUP(E4141,E$1:E4140,1,FALSE()))),"OLD",IF(AND(E4141&lt;&gt;"",E4141&lt;&gt;"!!!"),"NEW","")))</f>
        <v> </v>
      </c>
      <c r="G4141" s="23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4" t="str">
        <f>IF(J4141&lt;&gt;1,"",IF(I4141="SBJ","CB","?"))</f>
        <v> </v>
      </c>
      <c r="I4141" s="25" t="str">
        <f>IF(OR(E4141="",E4141="!!!",F4141="NEW"),"",INDEX(B4140:B$2,-1+SUMPRODUCT(MAX(ROW(E4140:E$2)*(E4141=E4140:E$2)))))</f>
        <v> </v>
      </c>
      <c r="J4141" s="25" t="str">
        <f>IF(OR(E4141="",E4141="!!!",F4141="NEW"),"",COUNTBLANK(OFFSET(A$1,,,SUMPRODUCT(MAX(ROW(E$2:E4141)*(E4141=E$2:E4141)))))-COUNTBLANK(OFFSET(A$1,,,SUMPRODUCT(MAX(ROW(E$1:E4140)*(E2=E$1:E4140))))))</f>
        <v> </v>
      </c>
      <c r="K4141" s="25" t="str">
        <f>IF(OR(E4141="",E4141="!!!",F4141="NEW"),"",INDEX(J$1:J4140,SUMPRODUCT(MAX(ROW(E$1:E4140)*(E4141=E$1:E4140)))))</f>
        <v> </v>
      </c>
      <c r="L4141" s="26"/>
    </row>
    <row r="4142" spans="1:12">
      <c r="A4142" s="20" t="s">
        <v>2944</v>
      </c>
      <c r="E4142" s="21">
        <f>IF(D4142="?OLD","!!!","")</f>
        <v/>
      </c>
      <c r="F4142" s="22" t="str">
        <f>IF(OR(E4142="",E4142="!!!"),"",IF(NOT(ISNA(VLOOKUP(E4142,E$1:E4141,1,FALSE()))),"OLD",IF(AND(E4142&lt;&gt;"",E4142&lt;&gt;"!!!"),"NEW","")))</f>
        <v> </v>
      </c>
      <c r="G4142" s="23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4" t="str">
        <f>IF(J4142&lt;&gt;1,"",IF(I4142="SBJ","CB","?"))</f>
        <v> </v>
      </c>
      <c r="I4142" s="25" t="str">
        <f>IF(OR(E4142="",E4142="!!!",F4142="NEW"),"",INDEX(B4141:B$2,-1+SUMPRODUCT(MAX(ROW(E4141:E$2)*(E4142=E4141:E$2)))))</f>
        <v> </v>
      </c>
      <c r="J4142" s="25" t="str">
        <f>IF(OR(E4142="",E4142="!!!",F4142="NEW"),"",COUNTBLANK(OFFSET(A$1,,,SUMPRODUCT(MAX(ROW(E$2:E4142)*(E4142=E$2:E4142)))))-COUNTBLANK(OFFSET(A$1,,,SUMPRODUCT(MAX(ROW(E$1:E4141)*(E2=E$1:E4141))))))</f>
        <v> </v>
      </c>
      <c r="K4142" s="25" t="str">
        <f>IF(OR(E4142="",E4142="!!!",F4142="NEW"),"",INDEX(J$1:J4141,SUMPRODUCT(MAX(ROW(E$1:E4141)*(E4142=E$1:E4141)))))</f>
        <v> </v>
      </c>
      <c r="L4142" s="26"/>
    </row>
    <row r="4143" spans="1:12">
      <c r="A4143" s="20" t="s">
        <v>2103</v>
      </c>
      <c r="B4143" s="27" t="s">
        <v>1144</v>
      </c>
      <c r="E4143" s="21">
        <f>IF(D4143="?OLD","!!!","")</f>
        <v/>
      </c>
      <c r="F4143" s="22" t="str">
        <f>IF(OR(E4143="",E4143="!!!"),"",IF(NOT(ISNA(VLOOKUP(E4143,E$1:E4142,1,FALSE()))),"OLD",IF(AND(E4143&lt;&gt;"",E4143&lt;&gt;"!!!"),"NEW","")))</f>
        <v> </v>
      </c>
      <c r="G4143" s="23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4" t="str">
        <f>IF(J4143&lt;&gt;1,"",IF(I4143="SBJ","CB","?"))</f>
        <v> </v>
      </c>
      <c r="I4143" s="25" t="str">
        <f>IF(OR(E4143="",E4143="!!!",F4143="NEW"),"",INDEX(B4142:B$2,-1+SUMPRODUCT(MAX(ROW(E4142:E$2)*(E4143=E4142:E$2)))))</f>
        <v> </v>
      </c>
      <c r="J4143" s="25" t="str">
        <f>IF(OR(E4143="",E4143="!!!",F4143="NEW"),"",COUNTBLANK(OFFSET(A$1,,,SUMPRODUCT(MAX(ROW(E$2:E4143)*(E4143=E$2:E4143)))))-COUNTBLANK(OFFSET(A$1,,,SUMPRODUCT(MAX(ROW(E$1:E4142)*(E2=E$1:E4142))))))</f>
        <v> </v>
      </c>
      <c r="K4143" s="25" t="str">
        <f>IF(OR(E4143="",E4143="!!!",F4143="NEW"),"",INDEX(J$1:J4142,SUMPRODUCT(MAX(ROW(E$1:E4142)*(E4143=E$1:E4142)))))</f>
        <v> </v>
      </c>
      <c r="L4143" s="26"/>
    </row>
    <row r="4144" spans="1:12">
      <c r="A4144" s="20" t="s">
        <v>1145</v>
      </c>
      <c r="E4144" s="21">
        <f>IF(D4144="?OLD","!!!","")</f>
        <v/>
      </c>
      <c r="F4144" s="22" t="str">
        <f>IF(OR(E4144="",E4144="!!!"),"",IF(NOT(ISNA(VLOOKUP(E4144,E$1:E4143,1,FALSE()))),"OLD",IF(AND(E4144&lt;&gt;"",E4144&lt;&gt;"!!!"),"NEW","")))</f>
        <v> </v>
      </c>
      <c r="G4144" s="23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4" t="str">
        <f>IF(J4144&lt;&gt;1,"",IF(I4144="SBJ","CB","?"))</f>
        <v> </v>
      </c>
      <c r="I4144" s="25" t="str">
        <f>IF(OR(E4144="",E4144="!!!",F4144="NEW"),"",INDEX(B4143:B$2,-1+SUMPRODUCT(MAX(ROW(E4143:E$2)*(E4144=E4143:E$2)))))</f>
        <v> </v>
      </c>
      <c r="J4144" s="25" t="str">
        <f>IF(OR(E4144="",E4144="!!!",F4144="NEW"),"",COUNTBLANK(OFFSET(A$1,,,SUMPRODUCT(MAX(ROW(E$2:E4144)*(E4144=E$2:E4144)))))-COUNTBLANK(OFFSET(A$1,,,SUMPRODUCT(MAX(ROW(E$1:E4143)*(E2=E$1:E4143))))))</f>
        <v> </v>
      </c>
      <c r="K4144" s="25" t="str">
        <f>IF(OR(E4144="",E4144="!!!",F4144="NEW"),"",INDEX(J$1:J4143,SUMPRODUCT(MAX(ROW(E$1:E4143)*(E4144=E$1:E4143)))))</f>
        <v> </v>
      </c>
      <c r="L4144" s="26"/>
    </row>
    <row r="4145" spans="1:12">
      <c r="A4145" s="20"/>
    </row>
    <row r="4146" spans="1:12">
      <c r="A4146" s="20" t="s">
        <v>2945</v>
      </c>
    </row>
    <row r="4147" spans="1:12">
      <c r="A4147" s="20" t="s">
        <v>2946</v>
      </c>
      <c r="E4147" s="21">
        <f>IF(D4147="?OLD","!!!","")</f>
        <v/>
      </c>
      <c r="F4147" s="22" t="str">
        <f>IF(OR(E4147="",E4147="!!!"),"",IF(NOT(ISNA(VLOOKUP(E4147,E$1:E4146,1,FALSE()))),"OLD",IF(AND(E4147&lt;&gt;"",E4147&lt;&gt;"!!!"),"NEW","")))</f>
        <v> </v>
      </c>
      <c r="G4147" s="23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4" t="str">
        <f>IF(J4147&lt;&gt;1,"",IF(I4147="SBJ","CB","?"))</f>
        <v> </v>
      </c>
      <c r="I4147" s="25" t="str">
        <f>IF(OR(E4147="",E4147="!!!",F4147="NEW"),"",INDEX(B4146:B$2,-1+SUMPRODUCT(MAX(ROW(E4146:E$2)*(E4147=E4146:E$2)))))</f>
        <v> </v>
      </c>
      <c r="J4147" s="25" t="str">
        <f>IF(OR(E4147="",E4147="!!!",F4147="NEW"),"",COUNTBLANK(OFFSET(A$1,,,SUMPRODUCT(MAX(ROW(E$2:E4147)*(E4147=E$2:E4147)))))-COUNTBLANK(OFFSET(A$1,,,SUMPRODUCT(MAX(ROW(E$1:E4146)*(E2=E$1:E4146))))))</f>
        <v> </v>
      </c>
      <c r="K4147" s="25" t="str">
        <f>IF(OR(E4147="",E4147="!!!",F4147="NEW"),"",INDEX(J$1:J4146,SUMPRODUCT(MAX(ROW(E$1:E4146)*(E4147=E$1:E4146)))))</f>
        <v> </v>
      </c>
      <c r="L4147" s="26"/>
    </row>
    <row r="4148" spans="1:12">
      <c r="A4148" s="20" t="s">
        <v>2947</v>
      </c>
      <c r="E4148" s="21">
        <f>IF(D4148="?OLD","!!!","")</f>
        <v/>
      </c>
      <c r="F4148" s="22" t="str">
        <f>IF(OR(E4148="",E4148="!!!"),"",IF(NOT(ISNA(VLOOKUP(E4148,E$1:E4147,1,FALSE()))),"OLD",IF(AND(E4148&lt;&gt;"",E4148&lt;&gt;"!!!"),"NEW","")))</f>
        <v> </v>
      </c>
      <c r="G4148" s="23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4" t="str">
        <f>IF(J4148&lt;&gt;1,"",IF(I4148="SBJ","CB","?"))</f>
        <v> </v>
      </c>
      <c r="I4148" s="25" t="str">
        <f>IF(OR(E4148="",E4148="!!!",F4148="NEW"),"",INDEX(B4147:B$2,-1+SUMPRODUCT(MAX(ROW(E4147:E$2)*(E4148=E4147:E$2)))))</f>
        <v> </v>
      </c>
      <c r="J4148" s="25" t="str">
        <f>IF(OR(E4148="",E4148="!!!",F4148="NEW"),"",COUNTBLANK(OFFSET(A$1,,,SUMPRODUCT(MAX(ROW(E$2:E4148)*(E4148=E$2:E4148)))))-COUNTBLANK(OFFSET(A$1,,,SUMPRODUCT(MAX(ROW(E$1:E4147)*(E2=E$1:E4147))))))</f>
        <v> </v>
      </c>
      <c r="K4148" s="25" t="str">
        <f>IF(OR(E4148="",E4148="!!!",F4148="NEW"),"",INDEX(J$1:J4147,SUMPRODUCT(MAX(ROW(E$1:E4147)*(E4148=E$1:E4147)))))</f>
        <v> </v>
      </c>
      <c r="L4148" s="26"/>
    </row>
    <row r="4149" spans="1:12">
      <c r="A4149" s="20" t="s">
        <v>1123</v>
      </c>
      <c r="E4149" s="21">
        <f>IF(D4149="?OLD","!!!","")</f>
        <v/>
      </c>
      <c r="F4149" s="22" t="str">
        <f>IF(OR(E4149="",E4149="!!!"),"",IF(NOT(ISNA(VLOOKUP(E4149,E$1:E4148,1,FALSE()))),"OLD",IF(AND(E4149&lt;&gt;"",E4149&lt;&gt;"!!!"),"NEW","")))</f>
        <v> </v>
      </c>
      <c r="G4149" s="23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4" t="str">
        <f>IF(J4149&lt;&gt;1,"",IF(I4149="SBJ","CB","?"))</f>
        <v> </v>
      </c>
      <c r="I4149" s="25" t="str">
        <f>IF(OR(E4149="",E4149="!!!",F4149="NEW"),"",INDEX(B4148:B$2,-1+SUMPRODUCT(MAX(ROW(E4148:E$2)*(E4149=E4148:E$2)))))</f>
        <v> </v>
      </c>
      <c r="J4149" s="25" t="str">
        <f>IF(OR(E4149="",E4149="!!!",F4149="NEW"),"",COUNTBLANK(OFFSET(A$1,,,SUMPRODUCT(MAX(ROW(E$2:E4149)*(E4149=E$2:E4149)))))-COUNTBLANK(OFFSET(A$1,,,SUMPRODUCT(MAX(ROW(E$1:E4148)*(E2=E$1:E4148))))))</f>
        <v> </v>
      </c>
      <c r="K4149" s="25" t="str">
        <f>IF(OR(E4149="",E4149="!!!",F4149="NEW"),"",INDEX(J$1:J4148,SUMPRODUCT(MAX(ROW(E$1:E4148)*(E4149=E$1:E4148)))))</f>
        <v> </v>
      </c>
      <c r="L4149" s="26"/>
    </row>
    <row r="4150" spans="1:12">
      <c r="A4150" s="20" t="s">
        <v>2948</v>
      </c>
      <c r="E4150" s="21">
        <f>IF(D4150="?OLD","!!!","")</f>
        <v/>
      </c>
      <c r="F4150" s="22" t="str">
        <f>IF(OR(E4150="",E4150="!!!"),"",IF(NOT(ISNA(VLOOKUP(E4150,E$1:E4149,1,FALSE()))),"OLD",IF(AND(E4150&lt;&gt;"",E4150&lt;&gt;"!!!"),"NEW","")))</f>
        <v> </v>
      </c>
      <c r="G4150" s="23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4" t="str">
        <f>IF(J4150&lt;&gt;1,"",IF(I4150="SBJ","CB","?"))</f>
        <v> </v>
      </c>
      <c r="I4150" s="25" t="str">
        <f>IF(OR(E4150="",E4150="!!!",F4150="NEW"),"",INDEX(B4149:B$2,-1+SUMPRODUCT(MAX(ROW(E4149:E$2)*(E4150=E4149:E$2)))))</f>
        <v> </v>
      </c>
      <c r="J4150" s="25" t="str">
        <f>IF(OR(E4150="",E4150="!!!",F4150="NEW"),"",COUNTBLANK(OFFSET(A$1,,,SUMPRODUCT(MAX(ROW(E$2:E4150)*(E4150=E$2:E4150)))))-COUNTBLANK(OFFSET(A$1,,,SUMPRODUCT(MAX(ROW(E$1:E4149)*(E2=E$1:E4149))))))</f>
        <v> </v>
      </c>
      <c r="K4150" s="25" t="str">
        <f>IF(OR(E4150="",E4150="!!!",F4150="NEW"),"",INDEX(J$1:J4149,SUMPRODUCT(MAX(ROW(E$1:E4149)*(E4150=E$1:E4149)))))</f>
        <v> </v>
      </c>
      <c r="L4150" s="26"/>
    </row>
    <row r="4151" spans="1:12">
      <c r="A4151" s="20" t="s">
        <v>2488</v>
      </c>
      <c r="B4151" s="27" t="s">
        <v>1149</v>
      </c>
      <c r="E4151" s="21">
        <f>IF(D4151="?OLD","!!!","")</f>
        <v/>
      </c>
      <c r="F4151" s="22" t="str">
        <f>IF(OR(E4151="",E4151="!!!"),"",IF(NOT(ISNA(VLOOKUP(E4151,E$1:E4150,1,FALSE()))),"OLD",IF(AND(E4151&lt;&gt;"",E4151&lt;&gt;"!!!"),"NEW","")))</f>
        <v> </v>
      </c>
      <c r="G4151" s="23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4" t="str">
        <f>IF(J4151&lt;&gt;1,"",IF(I4151="SBJ","CB","?"))</f>
        <v> </v>
      </c>
      <c r="I4151" s="25" t="str">
        <f>IF(OR(E4151="",E4151="!!!",F4151="NEW"),"",INDEX(B4150:B$2,-1+SUMPRODUCT(MAX(ROW(E4150:E$2)*(E4151=E4150:E$2)))))</f>
        <v> </v>
      </c>
      <c r="J4151" s="25" t="str">
        <f>IF(OR(E4151="",E4151="!!!",F4151="NEW"),"",COUNTBLANK(OFFSET(A$1,,,SUMPRODUCT(MAX(ROW(E$2:E4151)*(E4151=E$2:E4151)))))-COUNTBLANK(OFFSET(A$1,,,SUMPRODUCT(MAX(ROW(E$1:E4150)*(E2=E$1:E4150))))))</f>
        <v> </v>
      </c>
      <c r="K4151" s="25" t="str">
        <f>IF(OR(E4151="",E4151="!!!",F4151="NEW"),"",INDEX(J$1:J4150,SUMPRODUCT(MAX(ROW(E$1:E4150)*(E4151=E$1:E4150)))))</f>
        <v> </v>
      </c>
      <c r="L4151" s="26"/>
    </row>
    <row r="4152" spans="1:12">
      <c r="A4152" s="20" t="s">
        <v>2324</v>
      </c>
      <c r="E4152" s="21">
        <f>IF(D4152="?OLD","!!!","")</f>
        <v/>
      </c>
      <c r="F4152" s="22" t="str">
        <f>IF(OR(E4152="",E4152="!!!"),"",IF(NOT(ISNA(VLOOKUP(E4152,E$1:E4151,1,FALSE()))),"OLD",IF(AND(E4152&lt;&gt;"",E4152&lt;&gt;"!!!"),"NEW","")))</f>
        <v> </v>
      </c>
      <c r="G4152" s="23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4" t="str">
        <f>IF(J4152&lt;&gt;1,"",IF(I4152="SBJ","CB","?"))</f>
        <v> </v>
      </c>
      <c r="I4152" s="25" t="str">
        <f>IF(OR(E4152="",E4152="!!!",F4152="NEW"),"",INDEX(B4151:B$2,-1+SUMPRODUCT(MAX(ROW(E4151:E$2)*(E4152=E4151:E$2)))))</f>
        <v> </v>
      </c>
      <c r="J4152" s="25" t="str">
        <f>IF(OR(E4152="",E4152="!!!",F4152="NEW"),"",COUNTBLANK(OFFSET(A$1,,,SUMPRODUCT(MAX(ROW(E$2:E4152)*(E4152=E$2:E4152)))))-COUNTBLANK(OFFSET(A$1,,,SUMPRODUCT(MAX(ROW(E$1:E4151)*(E2=E$1:E4151))))))</f>
        <v> </v>
      </c>
      <c r="K4152" s="25" t="str">
        <f>IF(OR(E4152="",E4152="!!!",F4152="NEW"),"",INDEX(J$1:J4151,SUMPRODUCT(MAX(ROW(E$1:E4151)*(E4152=E$1:E4151)))))</f>
        <v> </v>
      </c>
      <c r="L4152" s="26"/>
    </row>
    <row r="4153" spans="1:12">
      <c r="A4153" s="20" t="s">
        <v>2949</v>
      </c>
      <c r="E4153" s="21">
        <f>IF(D4153="?OLD","!!!","")</f>
        <v/>
      </c>
      <c r="F4153" s="22" t="str">
        <f>IF(OR(E4153="",E4153="!!!"),"",IF(NOT(ISNA(VLOOKUP(E4153,E$1:E4152,1,FALSE()))),"OLD",IF(AND(E4153&lt;&gt;"",E4153&lt;&gt;"!!!"),"NEW","")))</f>
        <v> </v>
      </c>
      <c r="G4153" s="23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4" t="str">
        <f>IF(J4153&lt;&gt;1,"",IF(I4153="SBJ","CB","?"))</f>
        <v> </v>
      </c>
      <c r="I4153" s="25" t="str">
        <f>IF(OR(E4153="",E4153="!!!",F4153="NEW"),"",INDEX(B4152:B$2,-1+SUMPRODUCT(MAX(ROW(E4152:E$2)*(E4153=E4152:E$2)))))</f>
        <v> </v>
      </c>
      <c r="J4153" s="25" t="str">
        <f>IF(OR(E4153="",E4153="!!!",F4153="NEW"),"",COUNTBLANK(OFFSET(A$1,,,SUMPRODUCT(MAX(ROW(E$2:E4153)*(E4153=E$2:E4153)))))-COUNTBLANK(OFFSET(A$1,,,SUMPRODUCT(MAX(ROW(E$1:E4152)*(E2=E$1:E4152))))))</f>
        <v> </v>
      </c>
      <c r="K4153" s="25" t="str">
        <f>IF(OR(E4153="",E4153="!!!",F4153="NEW"),"",INDEX(J$1:J4152,SUMPRODUCT(MAX(ROW(E$1:E4152)*(E4153=E$1:E4152)))))</f>
        <v> </v>
      </c>
      <c r="L4153" s="26"/>
    </row>
    <row r="4154" spans="1:12">
      <c r="A4154" s="20" t="s">
        <v>2950</v>
      </c>
      <c r="E4154" s="21">
        <f>IF(D4154="?OLD","!!!","")</f>
        <v/>
      </c>
      <c r="F4154" s="22" t="str">
        <f>IF(OR(E4154="",E4154="!!!"),"",IF(NOT(ISNA(VLOOKUP(E4154,E$1:E4153,1,FALSE()))),"OLD",IF(AND(E4154&lt;&gt;"",E4154&lt;&gt;"!!!"),"NEW","")))</f>
        <v> </v>
      </c>
      <c r="G4154" s="23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4" t="str">
        <f>IF(J4154&lt;&gt;1,"",IF(I4154="SBJ","CB","?"))</f>
        <v> </v>
      </c>
      <c r="I4154" s="25" t="str">
        <f>IF(OR(E4154="",E4154="!!!",F4154="NEW"),"",INDEX(B4153:B$2,-1+SUMPRODUCT(MAX(ROW(E4153:E$2)*(E4154=E4153:E$2)))))</f>
        <v> </v>
      </c>
      <c r="J4154" s="25" t="str">
        <f>IF(OR(E4154="",E4154="!!!",F4154="NEW"),"",COUNTBLANK(OFFSET(A$1,,,SUMPRODUCT(MAX(ROW(E$2:E4154)*(E4154=E$2:E4154)))))-COUNTBLANK(OFFSET(A$1,,,SUMPRODUCT(MAX(ROW(E$1:E4153)*(E2=E$1:E4153))))))</f>
        <v> </v>
      </c>
      <c r="K4154" s="25" t="str">
        <f>IF(OR(E4154="",E4154="!!!",F4154="NEW"),"",INDEX(J$1:J4153,SUMPRODUCT(MAX(ROW(E$1:E4153)*(E4154=E$1:E4153)))))</f>
        <v> </v>
      </c>
      <c r="L4154" s="26"/>
    </row>
    <row r="4155" spans="1:12">
      <c r="A4155" s="20" t="s">
        <v>1184</v>
      </c>
      <c r="E4155" s="21">
        <f>IF(D4155="?OLD","!!!","")</f>
        <v/>
      </c>
      <c r="F4155" s="22" t="str">
        <f>IF(OR(E4155="",E4155="!!!"),"",IF(NOT(ISNA(VLOOKUP(E4155,E$1:E4154,1,FALSE()))),"OLD",IF(AND(E4155&lt;&gt;"",E4155&lt;&gt;"!!!"),"NEW","")))</f>
        <v> </v>
      </c>
      <c r="G4155" s="23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4" t="str">
        <f>IF(J4155&lt;&gt;1,"",IF(I4155="SBJ","CB","?"))</f>
        <v> </v>
      </c>
      <c r="I4155" s="25" t="str">
        <f>IF(OR(E4155="",E4155="!!!",F4155="NEW"),"",INDEX(B4154:B$2,-1+SUMPRODUCT(MAX(ROW(E4154:E$2)*(E4155=E4154:E$2)))))</f>
        <v> </v>
      </c>
      <c r="J4155" s="25" t="str">
        <f>IF(OR(E4155="",E4155="!!!",F4155="NEW"),"",COUNTBLANK(OFFSET(A$1,,,SUMPRODUCT(MAX(ROW(E$2:E4155)*(E4155=E$2:E4155)))))-COUNTBLANK(OFFSET(A$1,,,SUMPRODUCT(MAX(ROW(E$1:E4154)*(E2=E$1:E4154))))))</f>
        <v> </v>
      </c>
      <c r="K4155" s="25" t="str">
        <f>IF(OR(E4155="",E4155="!!!",F4155="NEW"),"",INDEX(J$1:J4154,SUMPRODUCT(MAX(ROW(E$1:E4154)*(E4155=E$1:E4154)))))</f>
        <v> </v>
      </c>
      <c r="L4155" s="26"/>
    </row>
    <row r="4156" spans="1:12">
      <c r="A4156" s="20" t="s">
        <v>2630</v>
      </c>
      <c r="E4156" s="21">
        <f>IF(D4156="?OLD","!!!","")</f>
        <v/>
      </c>
      <c r="F4156" s="22" t="str">
        <f>IF(OR(E4156="",E4156="!!!"),"",IF(NOT(ISNA(VLOOKUP(E4156,E$1:E4155,1,FALSE()))),"OLD",IF(AND(E4156&lt;&gt;"",E4156&lt;&gt;"!!!"),"NEW","")))</f>
        <v> </v>
      </c>
      <c r="G4156" s="23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4" t="str">
        <f>IF(J4156&lt;&gt;1,"",IF(I4156="SBJ","CB","?"))</f>
        <v> </v>
      </c>
      <c r="I4156" s="25" t="str">
        <f>IF(OR(E4156="",E4156="!!!",F4156="NEW"),"",INDEX(B4155:B$2,-1+SUMPRODUCT(MAX(ROW(E4155:E$2)*(E4156=E4155:E$2)))))</f>
        <v> </v>
      </c>
      <c r="J4156" s="25" t="str">
        <f>IF(OR(E4156="",E4156="!!!",F4156="NEW"),"",COUNTBLANK(OFFSET(A$1,,,SUMPRODUCT(MAX(ROW(E$2:E4156)*(E4156=E$2:E4156)))))-COUNTBLANK(OFFSET(A$1,,,SUMPRODUCT(MAX(ROW(E$1:E4155)*(E2=E$1:E4155))))))</f>
        <v> </v>
      </c>
      <c r="K4156" s="25" t="str">
        <f>IF(OR(E4156="",E4156="!!!",F4156="NEW"),"",INDEX(J$1:J4155,SUMPRODUCT(MAX(ROW(E$1:E4155)*(E4156=E$1:E4155)))))</f>
        <v> </v>
      </c>
      <c r="L4156" s="26"/>
    </row>
    <row r="4157" spans="1:12">
      <c r="A4157" s="20" t="s">
        <v>2631</v>
      </c>
      <c r="E4157" s="21">
        <f>IF(D4157="?OLD","!!!","")</f>
        <v/>
      </c>
      <c r="F4157" s="22" t="str">
        <f>IF(OR(E4157="",E4157="!!!"),"",IF(NOT(ISNA(VLOOKUP(E4157,E$1:E4156,1,FALSE()))),"OLD",IF(AND(E4157&lt;&gt;"",E4157&lt;&gt;"!!!"),"NEW","")))</f>
        <v> </v>
      </c>
      <c r="G4157" s="23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4" t="str">
        <f>IF(J4157&lt;&gt;1,"",IF(I4157="SBJ","CB","?"))</f>
        <v> </v>
      </c>
      <c r="I4157" s="25" t="str">
        <f>IF(OR(E4157="",E4157="!!!",F4157="NEW"),"",INDEX(B4156:B$2,-1+SUMPRODUCT(MAX(ROW(E4156:E$2)*(E4157=E4156:E$2)))))</f>
        <v> </v>
      </c>
      <c r="J4157" s="25" t="str">
        <f>IF(OR(E4157="",E4157="!!!",F4157="NEW"),"",COUNTBLANK(OFFSET(A$1,,,SUMPRODUCT(MAX(ROW(E$2:E4157)*(E4157=E$2:E4157)))))-COUNTBLANK(OFFSET(A$1,,,SUMPRODUCT(MAX(ROW(E$1:E4156)*(E2=E$1:E4156))))))</f>
        <v> </v>
      </c>
      <c r="K4157" s="25" t="str">
        <f>IF(OR(E4157="",E4157="!!!",F4157="NEW"),"",INDEX(J$1:J4156,SUMPRODUCT(MAX(ROW(E$1:E4156)*(E4157=E$1:E4156)))))</f>
        <v> </v>
      </c>
      <c r="L4157" s="26"/>
    </row>
    <row r="4158" spans="1:12">
      <c r="A4158" s="20" t="s">
        <v>2951</v>
      </c>
      <c r="E4158" s="21">
        <f>IF(D4158="?OLD","!!!","")</f>
        <v/>
      </c>
      <c r="F4158" s="22" t="str">
        <f>IF(OR(E4158="",E4158="!!!"),"",IF(NOT(ISNA(VLOOKUP(E4158,E$1:E4157,1,FALSE()))),"OLD",IF(AND(E4158&lt;&gt;"",E4158&lt;&gt;"!!!"),"NEW","")))</f>
        <v> </v>
      </c>
      <c r="G4158" s="23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4" t="str">
        <f>IF(J4158&lt;&gt;1,"",IF(I4158="SBJ","CB","?"))</f>
        <v> </v>
      </c>
      <c r="I4158" s="25" t="str">
        <f>IF(OR(E4158="",E4158="!!!",F4158="NEW"),"",INDEX(B4157:B$2,-1+SUMPRODUCT(MAX(ROW(E4157:E$2)*(E4158=E4157:E$2)))))</f>
        <v> </v>
      </c>
      <c r="J4158" s="25" t="str">
        <f>IF(OR(E4158="",E4158="!!!",F4158="NEW"),"",COUNTBLANK(OFFSET(A$1,,,SUMPRODUCT(MAX(ROW(E$2:E4158)*(E4158=E$2:E4158)))))-COUNTBLANK(OFFSET(A$1,,,SUMPRODUCT(MAX(ROW(E$1:E4157)*(E2=E$1:E4157))))))</f>
        <v> </v>
      </c>
      <c r="K4158" s="25" t="str">
        <f>IF(OR(E4158="",E4158="!!!",F4158="NEW"),"",INDEX(J$1:J4157,SUMPRODUCT(MAX(ROW(E$1:E4157)*(E4158=E$1:E4157)))))</f>
        <v> </v>
      </c>
      <c r="L4158" s="26"/>
    </row>
    <row r="4159" spans="1:12">
      <c r="A4159" s="20" t="s">
        <v>1392</v>
      </c>
      <c r="E4159" s="21">
        <f>IF(D4159="?OLD","!!!","")</f>
        <v/>
      </c>
      <c r="F4159" s="22" t="str">
        <f>IF(OR(E4159="",E4159="!!!"),"",IF(NOT(ISNA(VLOOKUP(E4159,E$1:E4158,1,FALSE()))),"OLD",IF(AND(E4159&lt;&gt;"",E4159&lt;&gt;"!!!"),"NEW","")))</f>
        <v> </v>
      </c>
      <c r="G4159" s="23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4" t="str">
        <f>IF(J4159&lt;&gt;1,"",IF(I4159="SBJ","CB","?"))</f>
        <v> </v>
      </c>
      <c r="I4159" s="25" t="str">
        <f>IF(OR(E4159="",E4159="!!!",F4159="NEW"),"",INDEX(B4158:B$2,-1+SUMPRODUCT(MAX(ROW(E4158:E$2)*(E4159=E4158:E$2)))))</f>
        <v> </v>
      </c>
      <c r="J4159" s="25" t="str">
        <f>IF(OR(E4159="",E4159="!!!",F4159="NEW"),"",COUNTBLANK(OFFSET(A$1,,,SUMPRODUCT(MAX(ROW(E$2:E4159)*(E4159=E$2:E4159)))))-COUNTBLANK(OFFSET(A$1,,,SUMPRODUCT(MAX(ROW(E$1:E4158)*(E2=E$1:E4158))))))</f>
        <v> </v>
      </c>
      <c r="K4159" s="25" t="str">
        <f>IF(OR(E4159="",E4159="!!!",F4159="NEW"),"",INDEX(J$1:J4158,SUMPRODUCT(MAX(ROW(E$1:E4158)*(E4159=E$1:E4158)))))</f>
        <v> </v>
      </c>
      <c r="L4159" s="26"/>
    </row>
    <row r="4160" spans="1:12">
      <c r="A4160" s="20" t="s">
        <v>2632</v>
      </c>
      <c r="E4160" s="21">
        <f>IF(D4160="?OLD","!!!","")</f>
        <v/>
      </c>
      <c r="F4160" s="22" t="str">
        <f>IF(OR(E4160="",E4160="!!!"),"",IF(NOT(ISNA(VLOOKUP(E4160,E$1:E4159,1,FALSE()))),"OLD",IF(AND(E4160&lt;&gt;"",E4160&lt;&gt;"!!!"),"NEW","")))</f>
        <v> </v>
      </c>
      <c r="G4160" s="23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4" t="str">
        <f>IF(J4160&lt;&gt;1,"",IF(I4160="SBJ","CB","?"))</f>
        <v> </v>
      </c>
      <c r="I4160" s="25" t="str">
        <f>IF(OR(E4160="",E4160="!!!",F4160="NEW"),"",INDEX(B4159:B$2,-1+SUMPRODUCT(MAX(ROW(E4159:E$2)*(E4160=E4159:E$2)))))</f>
        <v> </v>
      </c>
      <c r="J4160" s="25" t="str">
        <f>IF(OR(E4160="",E4160="!!!",F4160="NEW"),"",COUNTBLANK(OFFSET(A$1,,,SUMPRODUCT(MAX(ROW(E$2:E4160)*(E4160=E$2:E4160)))))-COUNTBLANK(OFFSET(A$1,,,SUMPRODUCT(MAX(ROW(E$1:E4159)*(E2=E$1:E4159))))))</f>
        <v> </v>
      </c>
      <c r="K4160" s="25" t="str">
        <f>IF(OR(E4160="",E4160="!!!",F4160="NEW"),"",INDEX(J$1:J4159,SUMPRODUCT(MAX(ROW(E$1:E4159)*(E4160=E$1:E4159)))))</f>
        <v> </v>
      </c>
      <c r="L4160" s="26"/>
    </row>
    <row r="4161" spans="1:12">
      <c r="A4161" s="20" t="s">
        <v>1123</v>
      </c>
      <c r="E4161" s="21">
        <f>IF(D4161="?OLD","!!!","")</f>
        <v/>
      </c>
      <c r="F4161" s="22" t="str">
        <f>IF(OR(E4161="",E4161="!!!"),"",IF(NOT(ISNA(VLOOKUP(E4161,E$1:E4160,1,FALSE()))),"OLD",IF(AND(E4161&lt;&gt;"",E4161&lt;&gt;"!!!"),"NEW","")))</f>
        <v> </v>
      </c>
      <c r="G4161" s="23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4" t="str">
        <f>IF(J4161&lt;&gt;1,"",IF(I4161="SBJ","CB","?"))</f>
        <v> </v>
      </c>
      <c r="I4161" s="25" t="str">
        <f>IF(OR(E4161="",E4161="!!!",F4161="NEW"),"",INDEX(B4160:B$2,-1+SUMPRODUCT(MAX(ROW(E4160:E$2)*(E4161=E4160:E$2)))))</f>
        <v> </v>
      </c>
      <c r="J4161" s="25" t="str">
        <f>IF(OR(E4161="",E4161="!!!",F4161="NEW"),"",COUNTBLANK(OFFSET(A$1,,,SUMPRODUCT(MAX(ROW(E$2:E4161)*(E4161=E$2:E4161)))))-COUNTBLANK(OFFSET(A$1,,,SUMPRODUCT(MAX(ROW(E$1:E4160)*(E2=E$1:E4160))))))</f>
        <v> </v>
      </c>
      <c r="K4161" s="25" t="str">
        <f>IF(OR(E4161="",E4161="!!!",F4161="NEW"),"",INDEX(J$1:J4160,SUMPRODUCT(MAX(ROW(E$1:E4160)*(E4161=E$1:E4160)))))</f>
        <v> </v>
      </c>
      <c r="L4161" s="26"/>
    </row>
    <row r="4162" spans="1:12">
      <c r="A4162" s="20" t="s">
        <v>2952</v>
      </c>
      <c r="E4162" s="21">
        <f>IF(D4162="?OLD","!!!","")</f>
        <v/>
      </c>
      <c r="F4162" s="22" t="str">
        <f>IF(OR(E4162="",E4162="!!!"),"",IF(NOT(ISNA(VLOOKUP(E4162,E$1:E4161,1,FALSE()))),"OLD",IF(AND(E4162&lt;&gt;"",E4162&lt;&gt;"!!!"),"NEW","")))</f>
        <v> </v>
      </c>
      <c r="G4162" s="23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4" t="str">
        <f>IF(J4162&lt;&gt;1,"",IF(I4162="SBJ","CB","?"))</f>
        <v> </v>
      </c>
      <c r="I4162" s="25" t="str">
        <f>IF(OR(E4162="",E4162="!!!",F4162="NEW"),"",INDEX(B4161:B$2,-1+SUMPRODUCT(MAX(ROW(E4161:E$2)*(E4162=E4161:E$2)))))</f>
        <v> </v>
      </c>
      <c r="J4162" s="25" t="str">
        <f>IF(OR(E4162="",E4162="!!!",F4162="NEW"),"",COUNTBLANK(OFFSET(A$1,,,SUMPRODUCT(MAX(ROW(E$2:E4162)*(E4162=E$2:E4162)))))-COUNTBLANK(OFFSET(A$1,,,SUMPRODUCT(MAX(ROW(E$1:E4161)*(E2=E$1:E4161))))))</f>
        <v> </v>
      </c>
      <c r="K4162" s="25" t="str">
        <f>IF(OR(E4162="",E4162="!!!",F4162="NEW"),"",INDEX(J$1:J4161,SUMPRODUCT(MAX(ROW(E$1:E4161)*(E4162=E$1:E4161)))))</f>
        <v> </v>
      </c>
      <c r="L4162" s="26"/>
    </row>
    <row r="4163" spans="1:12">
      <c r="A4163" s="20" t="s">
        <v>1186</v>
      </c>
      <c r="B4163" s="27" t="s">
        <v>1243</v>
      </c>
      <c r="C4163" s="27" t="s">
        <v>1126</v>
      </c>
      <c r="D4163" s="27" t="s">
        <v>1105</v>
      </c>
      <c r="E4163" s="21">
        <f>IF(D4163="?OLD","!!!","")</f>
        <v/>
      </c>
      <c r="F4163" s="22" t="str">
        <f>IF(OR(E4163="",E4163="!!!"),"",IF(NOT(ISNA(VLOOKUP(E4163,E$1:E4162,1,FALSE()))),"OLD",IF(AND(E4163&lt;&gt;"",E4163&lt;&gt;"!!!"),"NEW","")))</f>
        <v> </v>
      </c>
      <c r="G4163" s="23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4" t="str">
        <f>IF(J4163&lt;&gt;1,"",IF(I4163="SBJ","CB","?"))</f>
        <v> </v>
      </c>
      <c r="I4163" s="25" t="str">
        <f>IF(OR(E4163="",E4163="!!!",F4163="NEW"),"",INDEX(B4162:B$2,-1+SUMPRODUCT(MAX(ROW(E4162:E$2)*(E4163=E4162:E$2)))))</f>
        <v> </v>
      </c>
      <c r="J4163" s="25" t="str">
        <f>IF(OR(E4163="",E4163="!!!",F4163="NEW"),"",COUNTBLANK(OFFSET(A$1,,,SUMPRODUCT(MAX(ROW(E$2:E4163)*(E4163=E$2:E4163)))))-COUNTBLANK(OFFSET(A$1,,,SUMPRODUCT(MAX(ROW(E$1:E4162)*(E2=E$1:E4162))))))</f>
        <v> </v>
      </c>
      <c r="K4163" s="25" t="str">
        <f>IF(OR(E4163="",E4163="!!!",F4163="NEW"),"",INDEX(J$1:J4162,SUMPRODUCT(MAX(ROW(E$1:E4162)*(E4163=E$1:E4162)))))</f>
        <v> </v>
      </c>
      <c r="L4163" s="26"/>
    </row>
    <row r="4164" spans="1:12">
      <c r="A4164" s="20" t="s">
        <v>1184</v>
      </c>
      <c r="E4164" s="21">
        <f>IF(D4164="?OLD","!!!","")</f>
        <v/>
      </c>
      <c r="F4164" s="22" t="str">
        <f>IF(OR(E4164="",E4164="!!!"),"",IF(NOT(ISNA(VLOOKUP(E4164,E$1:E4163,1,FALSE()))),"OLD",IF(AND(E4164&lt;&gt;"",E4164&lt;&gt;"!!!"),"NEW","")))</f>
        <v> </v>
      </c>
      <c r="G4164" s="23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4" t="str">
        <f>IF(J4164&lt;&gt;1,"",IF(I4164="SBJ","CB","?"))</f>
        <v> </v>
      </c>
      <c r="I4164" s="25" t="str">
        <f>IF(OR(E4164="",E4164="!!!",F4164="NEW"),"",INDEX(B4163:B$2,-1+SUMPRODUCT(MAX(ROW(E4163:E$2)*(E4164=E4163:E$2)))))</f>
        <v> </v>
      </c>
      <c r="J4164" s="25" t="str">
        <f>IF(OR(E4164="",E4164="!!!",F4164="NEW"),"",COUNTBLANK(OFFSET(A$1,,,SUMPRODUCT(MAX(ROW(E$2:E4164)*(E4164=E$2:E4164)))))-COUNTBLANK(OFFSET(A$1,,,SUMPRODUCT(MAX(ROW(E$1:E4163)*(E2=E$1:E4163))))))</f>
        <v> </v>
      </c>
      <c r="K4164" s="25" t="str">
        <f>IF(OR(E4164="",E4164="!!!",F4164="NEW"),"",INDEX(J$1:J4163,SUMPRODUCT(MAX(ROW(E$1:E4163)*(E4164=E$1:E4163)))))</f>
        <v> </v>
      </c>
      <c r="L4164" s="26"/>
    </row>
    <row r="4165" spans="1:12">
      <c r="A4165" s="20" t="s">
        <v>2125</v>
      </c>
      <c r="E4165" s="21">
        <f>IF(D4165="?OLD","!!!","")</f>
        <v/>
      </c>
      <c r="F4165" s="22" t="str">
        <f>IF(OR(E4165="",E4165="!!!"),"",IF(NOT(ISNA(VLOOKUP(E4165,E$1:E4164,1,FALSE()))),"OLD",IF(AND(E4165&lt;&gt;"",E4165&lt;&gt;"!!!"),"NEW","")))</f>
        <v> </v>
      </c>
      <c r="G4165" s="23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4" t="str">
        <f>IF(J4165&lt;&gt;1,"",IF(I4165="SBJ","CB","?"))</f>
        <v> </v>
      </c>
      <c r="I4165" s="25" t="str">
        <f>IF(OR(E4165="",E4165="!!!",F4165="NEW"),"",INDEX(B4164:B$2,-1+SUMPRODUCT(MAX(ROW(E4164:E$2)*(E4165=E4164:E$2)))))</f>
        <v> </v>
      </c>
      <c r="J4165" s="25" t="str">
        <f>IF(OR(E4165="",E4165="!!!",F4165="NEW"),"",COUNTBLANK(OFFSET(A$1,,,SUMPRODUCT(MAX(ROW(E$2:E4165)*(E4165=E$2:E4165)))))-COUNTBLANK(OFFSET(A$1,,,SUMPRODUCT(MAX(ROW(E$1:E4164)*(E2=E$1:E4164))))))</f>
        <v> </v>
      </c>
      <c r="K4165" s="25" t="str">
        <f>IF(OR(E4165="",E4165="!!!",F4165="NEW"),"",INDEX(J$1:J4164,SUMPRODUCT(MAX(ROW(E$1:E4164)*(E4165=E$1:E4164)))))</f>
        <v> </v>
      </c>
      <c r="L4165" s="26"/>
    </row>
    <row r="4166" spans="1:12">
      <c r="A4166" s="20" t="s">
        <v>2953</v>
      </c>
      <c r="E4166" s="21">
        <f>IF(D4166="?OLD","!!!","")</f>
        <v/>
      </c>
      <c r="F4166" s="22" t="str">
        <f>IF(OR(E4166="",E4166="!!!"),"",IF(NOT(ISNA(VLOOKUP(E4166,E$1:E4165,1,FALSE()))),"OLD",IF(AND(E4166&lt;&gt;"",E4166&lt;&gt;"!!!"),"NEW","")))</f>
        <v> </v>
      </c>
      <c r="G4166" s="23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4" t="str">
        <f>IF(J4166&lt;&gt;1,"",IF(I4166="SBJ","CB","?"))</f>
        <v> </v>
      </c>
      <c r="I4166" s="25" t="str">
        <f>IF(OR(E4166="",E4166="!!!",F4166="NEW"),"",INDEX(B4165:B$2,-1+SUMPRODUCT(MAX(ROW(E4165:E$2)*(E4166=E4165:E$2)))))</f>
        <v> </v>
      </c>
      <c r="J4166" s="25" t="str">
        <f>IF(OR(E4166="",E4166="!!!",F4166="NEW"),"",COUNTBLANK(OFFSET(A$1,,,SUMPRODUCT(MAX(ROW(E$2:E4166)*(E4166=E$2:E4166)))))-COUNTBLANK(OFFSET(A$1,,,SUMPRODUCT(MAX(ROW(E$1:E4165)*(E2=E$1:E4165))))))</f>
        <v> </v>
      </c>
      <c r="K4166" s="25" t="str">
        <f>IF(OR(E4166="",E4166="!!!",F4166="NEW"),"",INDEX(J$1:J4165,SUMPRODUCT(MAX(ROW(E$1:E4165)*(E4166=E$1:E4165)))))</f>
        <v> </v>
      </c>
      <c r="L4166" s="26"/>
    </row>
    <row r="4167" spans="1:12">
      <c r="A4167" s="20" t="s">
        <v>2954</v>
      </c>
      <c r="E4167" s="21">
        <f>IF(D4167="?OLD","!!!","")</f>
        <v/>
      </c>
      <c r="F4167" s="22" t="str">
        <f>IF(OR(E4167="",E4167="!!!"),"",IF(NOT(ISNA(VLOOKUP(E4167,E$1:E4166,1,FALSE()))),"OLD",IF(AND(E4167&lt;&gt;"",E4167&lt;&gt;"!!!"),"NEW","")))</f>
        <v> </v>
      </c>
      <c r="G4167" s="23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4" t="str">
        <f>IF(J4167&lt;&gt;1,"",IF(I4167="SBJ","CB","?"))</f>
        <v> </v>
      </c>
      <c r="I4167" s="25" t="str">
        <f>IF(OR(E4167="",E4167="!!!",F4167="NEW"),"",INDEX(B4166:B$2,-1+SUMPRODUCT(MAX(ROW(E4166:E$2)*(E4167=E4166:E$2)))))</f>
        <v> </v>
      </c>
      <c r="J4167" s="25" t="str">
        <f>IF(OR(E4167="",E4167="!!!",F4167="NEW"),"",COUNTBLANK(OFFSET(A$1,,,SUMPRODUCT(MAX(ROW(E$2:E4167)*(E4167=E$2:E4167)))))-COUNTBLANK(OFFSET(A$1,,,SUMPRODUCT(MAX(ROW(E$1:E4166)*(E2=E$1:E4166))))))</f>
        <v> </v>
      </c>
      <c r="K4167" s="25" t="str">
        <f>IF(OR(E4167="",E4167="!!!",F4167="NEW"),"",INDEX(J$1:J4166,SUMPRODUCT(MAX(ROW(E$1:E4166)*(E4167=E$1:E4166)))))</f>
        <v> </v>
      </c>
      <c r="L4167" s="26"/>
    </row>
    <row r="4168" spans="1:12">
      <c r="A4168" s="20" t="s">
        <v>1145</v>
      </c>
      <c r="E4168" s="21">
        <f>IF(D4168="?OLD","!!!","")</f>
        <v/>
      </c>
      <c r="F4168" s="22" t="str">
        <f>IF(OR(E4168="",E4168="!!!"),"",IF(NOT(ISNA(VLOOKUP(E4168,E$1:E4167,1,FALSE()))),"OLD",IF(AND(E4168&lt;&gt;"",E4168&lt;&gt;"!!!"),"NEW","")))</f>
        <v> </v>
      </c>
      <c r="G4168" s="23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4" t="str">
        <f>IF(J4168&lt;&gt;1,"",IF(I4168="SBJ","CB","?"))</f>
        <v> </v>
      </c>
      <c r="I4168" s="25" t="str">
        <f>IF(OR(E4168="",E4168="!!!",F4168="NEW"),"",INDEX(B4167:B$2,-1+SUMPRODUCT(MAX(ROW(E4167:E$2)*(E4168=E4167:E$2)))))</f>
        <v> </v>
      </c>
      <c r="J4168" s="25" t="str">
        <f>IF(OR(E4168="",E4168="!!!",F4168="NEW"),"",COUNTBLANK(OFFSET(A$1,,,SUMPRODUCT(MAX(ROW(E$2:E4168)*(E4168=E$2:E4168)))))-COUNTBLANK(OFFSET(A$1,,,SUMPRODUCT(MAX(ROW(E$1:E4167)*(E2=E$1:E4167))))))</f>
        <v> </v>
      </c>
      <c r="K4168" s="25" t="str">
        <f>IF(OR(E4168="",E4168="!!!",F4168="NEW"),"",INDEX(J$1:J4167,SUMPRODUCT(MAX(ROW(E$1:E4167)*(E4168=E$1:E4167)))))</f>
        <v> </v>
      </c>
      <c r="L4168" s="26"/>
    </row>
    <row r="4169" spans="1:12">
      <c r="A4169" s="20"/>
    </row>
    <row r="4170" spans="1:12">
      <c r="A4170" s="20" t="s">
        <v>2955</v>
      </c>
    </row>
    <row r="4171" spans="1:12">
      <c r="A4171" s="20" t="s">
        <v>1353</v>
      </c>
      <c r="B4171" s="27" t="s">
        <v>1149</v>
      </c>
      <c r="C4171" s="27" t="s">
        <v>1126</v>
      </c>
      <c r="D4171" s="27" t="s">
        <v>1105</v>
      </c>
      <c r="E4171" s="21">
        <f>IF(D4171="?OLD","!!!","")</f>
        <v/>
      </c>
      <c r="F4171" s="22" t="str">
        <f>IF(OR(E4171="",E4171="!!!"),"",IF(NOT(ISNA(VLOOKUP(E4171,E$1:E4170,1,FALSE()))),"OLD",IF(AND(E4171&lt;&gt;"",E4171&lt;&gt;"!!!"),"NEW","")))</f>
        <v> </v>
      </c>
      <c r="G4171" s="23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4" t="str">
        <f>IF(J4171&lt;&gt;1,"",IF(I4171="SBJ","CB","?"))</f>
        <v> </v>
      </c>
      <c r="I4171" s="25" t="str">
        <f>IF(OR(E4171="",E4171="!!!",F4171="NEW"),"",INDEX(B4170:B$2,-1+SUMPRODUCT(MAX(ROW(E4170:E$2)*(E4171=E4170:E$2)))))</f>
        <v> </v>
      </c>
      <c r="J4171" s="25" t="str">
        <f>IF(OR(E4171="",E4171="!!!",F4171="NEW"),"",COUNTBLANK(OFFSET(A$1,,,SUMPRODUCT(MAX(ROW(E$2:E4171)*(E4171=E$2:E4171)))))-COUNTBLANK(OFFSET(A$1,,,SUMPRODUCT(MAX(ROW(E$1:E4170)*(E2=E$1:E4170))))))</f>
        <v> </v>
      </c>
      <c r="K4171" s="25" t="str">
        <f>IF(OR(E4171="",E4171="!!!",F4171="NEW"),"",INDEX(J$1:J4170,SUMPRODUCT(MAX(ROW(E$1:E4170)*(E4171=E$1:E4170)))))</f>
        <v> </v>
      </c>
      <c r="L4171" s="26"/>
    </row>
    <row r="4172" spans="1:12">
      <c r="A4172" s="20" t="s">
        <v>2956</v>
      </c>
      <c r="E4172" s="21">
        <f>IF(D4172="?OLD","!!!","")</f>
        <v/>
      </c>
      <c r="F4172" s="22" t="str">
        <f>IF(OR(E4172="",E4172="!!!"),"",IF(NOT(ISNA(VLOOKUP(E4172,E$1:E4171,1,FALSE()))),"OLD",IF(AND(E4172&lt;&gt;"",E4172&lt;&gt;"!!!"),"NEW","")))</f>
        <v> </v>
      </c>
      <c r="G4172" s="23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4" t="str">
        <f>IF(J4172&lt;&gt;1,"",IF(I4172="SBJ","CB","?"))</f>
        <v> </v>
      </c>
      <c r="I4172" s="25" t="str">
        <f>IF(OR(E4172="",E4172="!!!",F4172="NEW"),"",INDEX(B4171:B$2,-1+SUMPRODUCT(MAX(ROW(E4171:E$2)*(E4172=E4171:E$2)))))</f>
        <v> </v>
      </c>
      <c r="J4172" s="25" t="str">
        <f>IF(OR(E4172="",E4172="!!!",F4172="NEW"),"",COUNTBLANK(OFFSET(A$1,,,SUMPRODUCT(MAX(ROW(E$2:E4172)*(E4172=E$2:E4172)))))-COUNTBLANK(OFFSET(A$1,,,SUMPRODUCT(MAX(ROW(E$1:E4171)*(E2=E$1:E4171))))))</f>
        <v> </v>
      </c>
      <c r="K4172" s="25" t="str">
        <f>IF(OR(E4172="",E4172="!!!",F4172="NEW"),"",INDEX(J$1:J4171,SUMPRODUCT(MAX(ROW(E$1:E4171)*(E4172=E$1:E4171)))))</f>
        <v> </v>
      </c>
      <c r="L4172" s="26"/>
    </row>
    <row r="4173" spans="1:12">
      <c r="A4173" s="20" t="s">
        <v>2957</v>
      </c>
      <c r="E4173" s="21">
        <f>IF(D4173="?OLD","!!!","")</f>
        <v/>
      </c>
      <c r="F4173" s="22" t="str">
        <f>IF(OR(E4173="",E4173="!!!"),"",IF(NOT(ISNA(VLOOKUP(E4173,E$1:E4172,1,FALSE()))),"OLD",IF(AND(E4173&lt;&gt;"",E4173&lt;&gt;"!!!"),"NEW","")))</f>
        <v> </v>
      </c>
      <c r="G4173" s="23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4" t="str">
        <f>IF(J4173&lt;&gt;1,"",IF(I4173="SBJ","CB","?"))</f>
        <v> </v>
      </c>
      <c r="I4173" s="25" t="str">
        <f>IF(OR(E4173="",E4173="!!!",F4173="NEW"),"",INDEX(B4172:B$2,-1+SUMPRODUCT(MAX(ROW(E4172:E$2)*(E4173=E4172:E$2)))))</f>
        <v> </v>
      </c>
      <c r="J4173" s="25" t="str">
        <f>IF(OR(E4173="",E4173="!!!",F4173="NEW"),"",COUNTBLANK(OFFSET(A$1,,,SUMPRODUCT(MAX(ROW(E$2:E4173)*(E4173=E$2:E4173)))))-COUNTBLANK(OFFSET(A$1,,,SUMPRODUCT(MAX(ROW(E$1:E4172)*(E2=E$1:E4172))))))</f>
        <v> </v>
      </c>
      <c r="K4173" s="25" t="str">
        <f>IF(OR(E4173="",E4173="!!!",F4173="NEW"),"",INDEX(J$1:J4172,SUMPRODUCT(MAX(ROW(E$1:E4172)*(E4173=E$1:E4172)))))</f>
        <v> </v>
      </c>
      <c r="L4173" s="26"/>
    </row>
    <row r="4174" spans="1:12">
      <c r="A4174" s="20" t="s">
        <v>1186</v>
      </c>
      <c r="B4174" s="27" t="s">
        <v>1107</v>
      </c>
      <c r="C4174" s="27" t="s">
        <v>1142</v>
      </c>
      <c r="D4174" s="27" t="s">
        <v>1105</v>
      </c>
      <c r="E4174" s="21">
        <f>IF(D4174="?OLD","!!!","")</f>
        <v/>
      </c>
      <c r="F4174" s="22" t="str">
        <f>IF(OR(E4174="",E4174="!!!"),"",IF(NOT(ISNA(VLOOKUP(E4174,E$1:E4173,1,FALSE()))),"OLD",IF(AND(E4174&lt;&gt;"",E4174&lt;&gt;"!!!"),"NEW","")))</f>
        <v> </v>
      </c>
      <c r="G4174" s="23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4" t="str">
        <f>IF(J4174&lt;&gt;1,"",IF(I4174="SBJ","CB","?"))</f>
        <v> </v>
      </c>
      <c r="I4174" s="25" t="str">
        <f>IF(OR(E4174="",E4174="!!!",F4174="NEW"),"",INDEX(B4173:B$2,-1+SUMPRODUCT(MAX(ROW(E4173:E$2)*(E4174=E4173:E$2)))))</f>
        <v> </v>
      </c>
      <c r="J4174" s="25" t="str">
        <f>IF(OR(E4174="",E4174="!!!",F4174="NEW"),"",COUNTBLANK(OFFSET(A$1,,,SUMPRODUCT(MAX(ROW(E$2:E4174)*(E4174=E$2:E4174)))))-COUNTBLANK(OFFSET(A$1,,,SUMPRODUCT(MAX(ROW(E$1:E4173)*(E2=E$1:E4173))))))</f>
        <v> </v>
      </c>
      <c r="K4174" s="25" t="str">
        <f>IF(OR(E4174="",E4174="!!!",F4174="NEW"),"",INDEX(J$1:J4173,SUMPRODUCT(MAX(ROW(E$1:E4173)*(E4174=E$1:E4173)))))</f>
        <v> </v>
      </c>
      <c r="L4174" s="26"/>
    </row>
    <row r="4175" spans="1:12">
      <c r="A4175" s="20" t="s">
        <v>2958</v>
      </c>
      <c r="E4175" s="21">
        <f>IF(D4175="?OLD","!!!","")</f>
        <v/>
      </c>
      <c r="F4175" s="22" t="str">
        <f>IF(OR(E4175="",E4175="!!!"),"",IF(NOT(ISNA(VLOOKUP(E4175,E$1:E4174,1,FALSE()))),"OLD",IF(AND(E4175&lt;&gt;"",E4175&lt;&gt;"!!!"),"NEW","")))</f>
        <v> </v>
      </c>
      <c r="G4175" s="23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4" t="str">
        <f>IF(J4175&lt;&gt;1,"",IF(I4175="SBJ","CB","?"))</f>
        <v> </v>
      </c>
      <c r="I4175" s="25" t="str">
        <f>IF(OR(E4175="",E4175="!!!",F4175="NEW"),"",INDEX(B4174:B$2,-1+SUMPRODUCT(MAX(ROW(E4174:E$2)*(E4175=E4174:E$2)))))</f>
        <v> </v>
      </c>
      <c r="J4175" s="25" t="str">
        <f>IF(OR(E4175="",E4175="!!!",F4175="NEW"),"",COUNTBLANK(OFFSET(A$1,,,SUMPRODUCT(MAX(ROW(E$2:E4175)*(E4175=E$2:E4175)))))-COUNTBLANK(OFFSET(A$1,,,SUMPRODUCT(MAX(ROW(E$1:E4174)*(E2=E$1:E4174))))))</f>
        <v> </v>
      </c>
      <c r="K4175" s="25" t="str">
        <f>IF(OR(E4175="",E4175="!!!",F4175="NEW"),"",INDEX(J$1:J4174,SUMPRODUCT(MAX(ROW(E$1:E4174)*(E4175=E$1:E4174)))))</f>
        <v> </v>
      </c>
      <c r="L4175" s="26"/>
    </row>
    <row r="4176" spans="1:12">
      <c r="A4176" s="20" t="s">
        <v>1249</v>
      </c>
      <c r="E4176" s="21">
        <f>IF(D4176="?OLD","!!!","")</f>
        <v/>
      </c>
      <c r="F4176" s="22" t="str">
        <f>IF(OR(E4176="",E4176="!!!"),"",IF(NOT(ISNA(VLOOKUP(E4176,E$1:E4175,1,FALSE()))),"OLD",IF(AND(E4176&lt;&gt;"",E4176&lt;&gt;"!!!"),"NEW","")))</f>
        <v> </v>
      </c>
      <c r="G4176" s="23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4" t="str">
        <f>IF(J4176&lt;&gt;1,"",IF(I4176="SBJ","CB","?"))</f>
        <v> </v>
      </c>
      <c r="I4176" s="25" t="str">
        <f>IF(OR(E4176="",E4176="!!!",F4176="NEW"),"",INDEX(B4175:B$2,-1+SUMPRODUCT(MAX(ROW(E4175:E$2)*(E4176=E4175:E$2)))))</f>
        <v> </v>
      </c>
      <c r="J4176" s="25" t="str">
        <f>IF(OR(E4176="",E4176="!!!",F4176="NEW"),"",COUNTBLANK(OFFSET(A$1,,,SUMPRODUCT(MAX(ROW(E$2:E4176)*(E4176=E$2:E4176)))))-COUNTBLANK(OFFSET(A$1,,,SUMPRODUCT(MAX(ROW(E$1:E4175)*(E2=E$1:E4175))))))</f>
        <v> </v>
      </c>
      <c r="K4176" s="25" t="str">
        <f>IF(OR(E4176="",E4176="!!!",F4176="NEW"),"",INDEX(J$1:J4175,SUMPRODUCT(MAX(ROW(E$1:E4175)*(E4176=E$1:E4175)))))</f>
        <v> </v>
      </c>
      <c r="L4176" s="26"/>
    </row>
    <row r="4177" spans="1:12">
      <c r="A4177" s="20" t="s">
        <v>2959</v>
      </c>
      <c r="E4177" s="21">
        <f>IF(D4177="?OLD","!!!","")</f>
        <v/>
      </c>
      <c r="F4177" s="22" t="str">
        <f>IF(OR(E4177="",E4177="!!!"),"",IF(NOT(ISNA(VLOOKUP(E4177,E$1:E4176,1,FALSE()))),"OLD",IF(AND(E4177&lt;&gt;"",E4177&lt;&gt;"!!!"),"NEW","")))</f>
        <v> </v>
      </c>
      <c r="G4177" s="23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4" t="str">
        <f>IF(J4177&lt;&gt;1,"",IF(I4177="SBJ","CB","?"))</f>
        <v> </v>
      </c>
      <c r="I4177" s="25" t="str">
        <f>IF(OR(E4177="",E4177="!!!",F4177="NEW"),"",INDEX(B4176:B$2,-1+SUMPRODUCT(MAX(ROW(E4176:E$2)*(E4177=E4176:E$2)))))</f>
        <v> </v>
      </c>
      <c r="J4177" s="25" t="str">
        <f>IF(OR(E4177="",E4177="!!!",F4177="NEW"),"",COUNTBLANK(OFFSET(A$1,,,SUMPRODUCT(MAX(ROW(E$2:E4177)*(E4177=E$2:E4177)))))-COUNTBLANK(OFFSET(A$1,,,SUMPRODUCT(MAX(ROW(E$1:E4176)*(E2=E$1:E4176))))))</f>
        <v> </v>
      </c>
      <c r="K4177" s="25" t="str">
        <f>IF(OR(E4177="",E4177="!!!",F4177="NEW"),"",INDEX(J$1:J4176,SUMPRODUCT(MAX(ROW(E$1:E4176)*(E4177=E$1:E4176)))))</f>
        <v> </v>
      </c>
      <c r="L4177" s="26"/>
    </row>
    <row r="4178" spans="1:12">
      <c r="A4178" s="20" t="s">
        <v>2960</v>
      </c>
      <c r="E4178" s="21">
        <f>IF(D4178="?OLD","!!!","")</f>
        <v/>
      </c>
      <c r="F4178" s="22" t="str">
        <f>IF(OR(E4178="",E4178="!!!"),"",IF(NOT(ISNA(VLOOKUP(E4178,E$1:E4177,1,FALSE()))),"OLD",IF(AND(E4178&lt;&gt;"",E4178&lt;&gt;"!!!"),"NEW","")))</f>
        <v> </v>
      </c>
      <c r="G4178" s="23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4" t="str">
        <f>IF(J4178&lt;&gt;1,"",IF(I4178="SBJ","CB","?"))</f>
        <v> </v>
      </c>
      <c r="I4178" s="25" t="str">
        <f>IF(OR(E4178="",E4178="!!!",F4178="NEW"),"",INDEX(B4177:B$2,-1+SUMPRODUCT(MAX(ROW(E4177:E$2)*(E4178=E4177:E$2)))))</f>
        <v> </v>
      </c>
      <c r="J4178" s="25" t="str">
        <f>IF(OR(E4178="",E4178="!!!",F4178="NEW"),"",COUNTBLANK(OFFSET(A$1,,,SUMPRODUCT(MAX(ROW(E$2:E4178)*(E4178=E$2:E4178)))))-COUNTBLANK(OFFSET(A$1,,,SUMPRODUCT(MAX(ROW(E$1:E4177)*(E2=E$1:E4177))))))</f>
        <v> </v>
      </c>
      <c r="K4178" s="25" t="str">
        <f>IF(OR(E4178="",E4178="!!!",F4178="NEW"),"",INDEX(J$1:J4177,SUMPRODUCT(MAX(ROW(E$1:E4177)*(E4178=E$1:E4177)))))</f>
        <v> </v>
      </c>
      <c r="L4178" s="26"/>
    </row>
    <row r="4179" spans="1:12">
      <c r="A4179" s="20" t="s">
        <v>2940</v>
      </c>
      <c r="E4179" s="21">
        <f>IF(D4179="?OLD","!!!","")</f>
        <v/>
      </c>
      <c r="F4179" s="22" t="str">
        <f>IF(OR(E4179="",E4179="!!!"),"",IF(NOT(ISNA(VLOOKUP(E4179,E$1:E4178,1,FALSE()))),"OLD",IF(AND(E4179&lt;&gt;"",E4179&lt;&gt;"!!!"),"NEW","")))</f>
        <v> </v>
      </c>
      <c r="G4179" s="23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4" t="str">
        <f>IF(J4179&lt;&gt;1,"",IF(I4179="SBJ","CB","?"))</f>
        <v> </v>
      </c>
      <c r="I4179" s="25" t="str">
        <f>IF(OR(E4179="",E4179="!!!",F4179="NEW"),"",INDEX(B4178:B$2,-1+SUMPRODUCT(MAX(ROW(E4178:E$2)*(E4179=E4178:E$2)))))</f>
        <v> </v>
      </c>
      <c r="J4179" s="25" t="str">
        <f>IF(OR(E4179="",E4179="!!!",F4179="NEW"),"",COUNTBLANK(OFFSET(A$1,,,SUMPRODUCT(MAX(ROW(E$2:E4179)*(E4179=E$2:E4179)))))-COUNTBLANK(OFFSET(A$1,,,SUMPRODUCT(MAX(ROW(E$1:E4178)*(E2=E$1:E4178))))))</f>
        <v> </v>
      </c>
      <c r="K4179" s="25" t="str">
        <f>IF(OR(E4179="",E4179="!!!",F4179="NEW"),"",INDEX(J$1:J4178,SUMPRODUCT(MAX(ROW(E$1:E4178)*(E4179=E$1:E4178)))))</f>
        <v> </v>
      </c>
      <c r="L4179" s="26"/>
    </row>
    <row r="4180" spans="1:12">
      <c r="A4180" s="20" t="s">
        <v>1123</v>
      </c>
      <c r="E4180" s="21">
        <f>IF(D4180="?OLD","!!!","")</f>
        <v/>
      </c>
      <c r="F4180" s="22" t="str">
        <f>IF(OR(E4180="",E4180="!!!"),"",IF(NOT(ISNA(VLOOKUP(E4180,E$1:E4179,1,FALSE()))),"OLD",IF(AND(E4180&lt;&gt;"",E4180&lt;&gt;"!!!"),"NEW","")))</f>
        <v> </v>
      </c>
      <c r="G4180" s="23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4" t="str">
        <f>IF(J4180&lt;&gt;1,"",IF(I4180="SBJ","CB","?"))</f>
        <v> </v>
      </c>
      <c r="I4180" s="25" t="str">
        <f>IF(OR(E4180="",E4180="!!!",F4180="NEW"),"",INDEX(B4179:B$2,-1+SUMPRODUCT(MAX(ROW(E4179:E$2)*(E4180=E4179:E$2)))))</f>
        <v> </v>
      </c>
      <c r="J4180" s="25" t="str">
        <f>IF(OR(E4180="",E4180="!!!",F4180="NEW"),"",COUNTBLANK(OFFSET(A$1,,,SUMPRODUCT(MAX(ROW(E$2:E4180)*(E4180=E$2:E4180)))))-COUNTBLANK(OFFSET(A$1,,,SUMPRODUCT(MAX(ROW(E$1:E4179)*(E2=E$1:E4179))))))</f>
        <v> </v>
      </c>
      <c r="K4180" s="25" t="str">
        <f>IF(OR(E4180="",E4180="!!!",F4180="NEW"),"",INDEX(J$1:J4179,SUMPRODUCT(MAX(ROW(E$1:E4179)*(E4180=E$1:E4179)))))</f>
        <v> </v>
      </c>
      <c r="L4180" s="26"/>
    </row>
    <row r="4181" spans="1:12">
      <c r="A4181" s="20" t="s">
        <v>228</v>
      </c>
      <c r="E4181" s="21">
        <f>IF(D4181="?OLD","!!!","")</f>
        <v/>
      </c>
      <c r="F4181" s="22" t="str">
        <f>IF(OR(E4181="",E4181="!!!"),"",IF(NOT(ISNA(VLOOKUP(E4181,E$1:E4180,1,FALSE()))),"OLD",IF(AND(E4181&lt;&gt;"",E4181&lt;&gt;"!!!"),"NEW","")))</f>
        <v> </v>
      </c>
      <c r="G4181" s="23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4" t="str">
        <f>IF(J4181&lt;&gt;1,"",IF(I4181="SBJ","CB","?"))</f>
        <v> </v>
      </c>
      <c r="I4181" s="25" t="str">
        <f>IF(OR(E4181="",E4181="!!!",F4181="NEW"),"",INDEX(B4180:B$2,-1+SUMPRODUCT(MAX(ROW(E4180:E$2)*(E4181=E4180:E$2)))))</f>
        <v> </v>
      </c>
      <c r="J4181" s="25" t="str">
        <f>IF(OR(E4181="",E4181="!!!",F4181="NEW"),"",COUNTBLANK(OFFSET(A$1,,,SUMPRODUCT(MAX(ROW(E$2:E4181)*(E4181=E$2:E4181)))))-COUNTBLANK(OFFSET(A$1,,,SUMPRODUCT(MAX(ROW(E$1:E4180)*(E2=E$1:E4180))))))</f>
        <v> </v>
      </c>
      <c r="K4181" s="25" t="str">
        <f>IF(OR(E4181="",E4181="!!!",F4181="NEW"),"",INDEX(J$1:J4180,SUMPRODUCT(MAX(ROW(E$1:E4180)*(E4181=E$1:E4180)))))</f>
        <v> </v>
      </c>
      <c r="L4181" s="26"/>
    </row>
    <row r="4182" spans="1:12">
      <c r="A4182" s="20" t="s">
        <v>1124</v>
      </c>
      <c r="B4182" s="27" t="s">
        <v>1259</v>
      </c>
      <c r="C4182" s="27" t="s">
        <v>1126</v>
      </c>
      <c r="D4182" s="27" t="s">
        <v>1105</v>
      </c>
      <c r="E4182" s="21">
        <f>IF(D4182="?OLD","!!!","")</f>
        <v/>
      </c>
      <c r="F4182" s="22" t="str">
        <f>IF(OR(E4182="",E4182="!!!"),"",IF(NOT(ISNA(VLOOKUP(E4182,E$1:E4181,1,FALSE()))),"OLD",IF(AND(E4182&lt;&gt;"",E4182&lt;&gt;"!!!"),"NEW","")))</f>
        <v> </v>
      </c>
      <c r="G4182" s="23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4" t="str">
        <f>IF(J4182&lt;&gt;1,"",IF(I4182="SBJ","CB","?"))</f>
        <v> </v>
      </c>
      <c r="I4182" s="25" t="str">
        <f>IF(OR(E4182="",E4182="!!!",F4182="NEW"),"",INDEX(B4181:B$2,-1+SUMPRODUCT(MAX(ROW(E4181:E$2)*(E4182=E4181:E$2)))))</f>
        <v> </v>
      </c>
      <c r="J4182" s="25" t="str">
        <f>IF(OR(E4182="",E4182="!!!",F4182="NEW"),"",COUNTBLANK(OFFSET(A$1,,,SUMPRODUCT(MAX(ROW(E$2:E4182)*(E4182=E$2:E4182)))))-COUNTBLANK(OFFSET(A$1,,,SUMPRODUCT(MAX(ROW(E$1:E4181)*(E2=E$1:E4181))))))</f>
        <v> </v>
      </c>
      <c r="K4182" s="25" t="str">
        <f>IF(OR(E4182="",E4182="!!!",F4182="NEW"),"",INDEX(J$1:J4181,SUMPRODUCT(MAX(ROW(E$1:E4181)*(E4182=E$1:E4181)))))</f>
        <v> </v>
      </c>
      <c r="L4182" s="26"/>
    </row>
    <row r="4183" spans="1:12">
      <c r="A4183" s="20" t="s">
        <v>2961</v>
      </c>
      <c r="E4183" s="21">
        <f>IF(D4183="?OLD","!!!","")</f>
        <v/>
      </c>
      <c r="F4183" s="22" t="str">
        <f>IF(OR(E4183="",E4183="!!!"),"",IF(NOT(ISNA(VLOOKUP(E4183,E$1:E4182,1,FALSE()))),"OLD",IF(AND(E4183&lt;&gt;"",E4183&lt;&gt;"!!!"),"NEW","")))</f>
        <v> </v>
      </c>
      <c r="G4183" s="23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4" t="str">
        <f>IF(J4183&lt;&gt;1,"",IF(I4183="SBJ","CB","?"))</f>
        <v> </v>
      </c>
      <c r="I4183" s="25" t="str">
        <f>IF(OR(E4183="",E4183="!!!",F4183="NEW"),"",INDEX(B4182:B$2,-1+SUMPRODUCT(MAX(ROW(E4182:E$2)*(E4183=E4182:E$2)))))</f>
        <v> </v>
      </c>
      <c r="J4183" s="25" t="str">
        <f>IF(OR(E4183="",E4183="!!!",F4183="NEW"),"",COUNTBLANK(OFFSET(A$1,,,SUMPRODUCT(MAX(ROW(E$2:E4183)*(E4183=E$2:E4183)))))-COUNTBLANK(OFFSET(A$1,,,SUMPRODUCT(MAX(ROW(E$1:E4182)*(E2=E$1:E4182))))))</f>
        <v> </v>
      </c>
      <c r="K4183" s="25" t="str">
        <f>IF(OR(E4183="",E4183="!!!",F4183="NEW"),"",INDEX(J$1:J4182,SUMPRODUCT(MAX(ROW(E$1:E4182)*(E4183=E$1:E4182)))))</f>
        <v> </v>
      </c>
      <c r="L4183" s="26"/>
    </row>
    <row r="4184" spans="1:12">
      <c r="A4184" s="20" t="s">
        <v>2938</v>
      </c>
      <c r="E4184" s="21">
        <f>IF(D4184="?OLD","!!!","")</f>
        <v/>
      </c>
      <c r="F4184" s="22" t="str">
        <f>IF(OR(E4184="",E4184="!!!"),"",IF(NOT(ISNA(VLOOKUP(E4184,E$1:E4183,1,FALSE()))),"OLD",IF(AND(E4184&lt;&gt;"",E4184&lt;&gt;"!!!"),"NEW","")))</f>
        <v> </v>
      </c>
      <c r="G4184" s="23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4" t="str">
        <f>IF(J4184&lt;&gt;1,"",IF(I4184="SBJ","CB","?"))</f>
        <v> </v>
      </c>
      <c r="I4184" s="25" t="str">
        <f>IF(OR(E4184="",E4184="!!!",F4184="NEW"),"",INDEX(B4183:B$2,-1+SUMPRODUCT(MAX(ROW(E4183:E$2)*(E4184=E4183:E$2)))))</f>
        <v> </v>
      </c>
      <c r="J4184" s="25" t="str">
        <f>IF(OR(E4184="",E4184="!!!",F4184="NEW"),"",COUNTBLANK(OFFSET(A$1,,,SUMPRODUCT(MAX(ROW(E$2:E4184)*(E4184=E$2:E4184)))))-COUNTBLANK(OFFSET(A$1,,,SUMPRODUCT(MAX(ROW(E$1:E4183)*(E2=E$1:E4183))))))</f>
        <v> </v>
      </c>
      <c r="K4184" s="25" t="str">
        <f>IF(OR(E4184="",E4184="!!!",F4184="NEW"),"",INDEX(J$1:J4183,SUMPRODUCT(MAX(ROW(E$1:E4183)*(E4184=E$1:E4183)))))</f>
        <v> </v>
      </c>
      <c r="L4184" s="26"/>
    </row>
    <row r="4185" spans="1:12">
      <c r="A4185" s="20" t="s">
        <v>2962</v>
      </c>
      <c r="E4185" s="21">
        <f>IF(D4185="?OLD","!!!","")</f>
        <v/>
      </c>
      <c r="F4185" s="22" t="str">
        <f>IF(OR(E4185="",E4185="!!!"),"",IF(NOT(ISNA(VLOOKUP(E4185,E$1:E4184,1,FALSE()))),"OLD",IF(AND(E4185&lt;&gt;"",E4185&lt;&gt;"!!!"),"NEW","")))</f>
        <v> </v>
      </c>
      <c r="G4185" s="23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4" t="str">
        <f>IF(J4185&lt;&gt;1,"",IF(I4185="SBJ","CB","?"))</f>
        <v> </v>
      </c>
      <c r="I4185" s="25" t="str">
        <f>IF(OR(E4185="",E4185="!!!",F4185="NEW"),"",INDEX(B4184:B$2,-1+SUMPRODUCT(MAX(ROW(E4184:E$2)*(E4185=E4184:E$2)))))</f>
        <v> </v>
      </c>
      <c r="J4185" s="25" t="str">
        <f>IF(OR(E4185="",E4185="!!!",F4185="NEW"),"",COUNTBLANK(OFFSET(A$1,,,SUMPRODUCT(MAX(ROW(E$2:E4185)*(E4185=E$2:E4185)))))-COUNTBLANK(OFFSET(A$1,,,SUMPRODUCT(MAX(ROW(E$1:E4184)*(E2=E$1:E4184))))))</f>
        <v> </v>
      </c>
      <c r="K4185" s="25" t="str">
        <f>IF(OR(E4185="",E4185="!!!",F4185="NEW"),"",INDEX(J$1:J4184,SUMPRODUCT(MAX(ROW(E$1:E4184)*(E4185=E$1:E4184)))))</f>
        <v> </v>
      </c>
      <c r="L4185" s="26"/>
    </row>
    <row r="4186" spans="1:12">
      <c r="A4186" s="20" t="s">
        <v>2963</v>
      </c>
      <c r="E4186" s="21">
        <f>IF(D4186="?OLD","!!!","")</f>
        <v/>
      </c>
      <c r="F4186" s="22" t="str">
        <f>IF(OR(E4186="",E4186="!!!"),"",IF(NOT(ISNA(VLOOKUP(E4186,E$1:E4185,1,FALSE()))),"OLD",IF(AND(E4186&lt;&gt;"",E4186&lt;&gt;"!!!"),"NEW","")))</f>
        <v> </v>
      </c>
      <c r="G4186" s="23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4" t="str">
        <f>IF(J4186&lt;&gt;1,"",IF(I4186="SBJ","CB","?"))</f>
        <v> </v>
      </c>
      <c r="I4186" s="25" t="str">
        <f>IF(OR(E4186="",E4186="!!!",F4186="NEW"),"",INDEX(B4185:B$2,-1+SUMPRODUCT(MAX(ROW(E4185:E$2)*(E4186=E4185:E$2)))))</f>
        <v> </v>
      </c>
      <c r="J4186" s="25" t="str">
        <f>IF(OR(E4186="",E4186="!!!",F4186="NEW"),"",COUNTBLANK(OFFSET(A$1,,,SUMPRODUCT(MAX(ROW(E$2:E4186)*(E4186=E$2:E4186)))))-COUNTBLANK(OFFSET(A$1,,,SUMPRODUCT(MAX(ROW(E$1:E4185)*(E2=E$1:E4185))))))</f>
        <v> </v>
      </c>
      <c r="K4186" s="25" t="str">
        <f>IF(OR(E4186="",E4186="!!!",F4186="NEW"),"",INDEX(J$1:J4185,SUMPRODUCT(MAX(ROW(E$1:E4185)*(E4186=E$1:E4185)))))</f>
        <v> </v>
      </c>
      <c r="L4186" s="26"/>
    </row>
    <row r="4187" spans="1:12">
      <c r="A4187" s="20" t="s">
        <v>1145</v>
      </c>
      <c r="E4187" s="21">
        <f>IF(D4187="?OLD","!!!","")</f>
        <v/>
      </c>
      <c r="F4187" s="22" t="str">
        <f>IF(OR(E4187="",E4187="!!!"),"",IF(NOT(ISNA(VLOOKUP(E4187,E$1:E4186,1,FALSE()))),"OLD",IF(AND(E4187&lt;&gt;"",E4187&lt;&gt;"!!!"),"NEW","")))</f>
        <v> </v>
      </c>
      <c r="G4187" s="23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4" t="str">
        <f>IF(J4187&lt;&gt;1,"",IF(I4187="SBJ","CB","?"))</f>
        <v> </v>
      </c>
      <c r="I4187" s="25" t="str">
        <f>IF(OR(E4187="",E4187="!!!",F4187="NEW"),"",INDEX(B4186:B$2,-1+SUMPRODUCT(MAX(ROW(E4186:E$2)*(E4187=E4186:E$2)))))</f>
        <v> </v>
      </c>
      <c r="J4187" s="25" t="str">
        <f>IF(OR(E4187="",E4187="!!!",F4187="NEW"),"",COUNTBLANK(OFFSET(A$1,,,SUMPRODUCT(MAX(ROW(E$2:E4187)*(E4187=E$2:E4187)))))-COUNTBLANK(OFFSET(A$1,,,SUMPRODUCT(MAX(ROW(E$1:E4186)*(E2=E$1:E4186))))))</f>
        <v> </v>
      </c>
      <c r="K4187" s="25" t="str">
        <f>IF(OR(E4187="",E4187="!!!",F4187="NEW"),"",INDEX(J$1:J4186,SUMPRODUCT(MAX(ROW(E$1:E4186)*(E4187=E$1:E4186)))))</f>
        <v> </v>
      </c>
      <c r="L4187" s="26"/>
    </row>
    <row r="4188" spans="1:12">
      <c r="A4188" s="20"/>
    </row>
    <row r="4189" spans="1:12">
      <c r="A4189" s="20" t="s">
        <v>2964</v>
      </c>
    </row>
    <row r="4190" spans="1:12">
      <c r="A4190" s="20" t="s">
        <v>2965</v>
      </c>
      <c r="E4190" s="21">
        <f>IF(D4190="?OLD","!!!","")</f>
        <v/>
      </c>
      <c r="F4190" s="22" t="str">
        <f>IF(OR(E4190="",E4190="!!!"),"",IF(NOT(ISNA(VLOOKUP(E4190,E$1:E4189,1,FALSE()))),"OLD",IF(AND(E4190&lt;&gt;"",E4190&lt;&gt;"!!!"),"NEW","")))</f>
        <v> </v>
      </c>
      <c r="G4190" s="23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4" t="str">
        <f>IF(J4190&lt;&gt;1,"",IF(I4190="SBJ","CB","?"))</f>
        <v> </v>
      </c>
      <c r="I4190" s="25" t="str">
        <f>IF(OR(E4190="",E4190="!!!",F4190="NEW"),"",INDEX(B4189:B$2,-1+SUMPRODUCT(MAX(ROW(E4189:E$2)*(E4190=E4189:E$2)))))</f>
        <v> </v>
      </c>
      <c r="J4190" s="25" t="str">
        <f>IF(OR(E4190="",E4190="!!!",F4190="NEW"),"",COUNTBLANK(OFFSET(A$1,,,SUMPRODUCT(MAX(ROW(E$2:E4190)*(E4190=E$2:E4190)))))-COUNTBLANK(OFFSET(A$1,,,SUMPRODUCT(MAX(ROW(E$1:E4189)*(E2=E$1:E4189))))))</f>
        <v> </v>
      </c>
      <c r="K4190" s="25" t="str">
        <f>IF(OR(E4190="",E4190="!!!",F4190="NEW"),"",INDEX(J$1:J4189,SUMPRODUCT(MAX(ROW(E$1:E4189)*(E4190=E$1:E4189)))))</f>
        <v> </v>
      </c>
      <c r="L4190" s="26"/>
    </row>
    <row r="4191" spans="1:12">
      <c r="A4191" s="20" t="s">
        <v>2966</v>
      </c>
      <c r="B4191" s="27" t="s">
        <v>1149</v>
      </c>
      <c r="E4191" s="21">
        <f>IF(D4191="?OLD","!!!","")</f>
        <v/>
      </c>
      <c r="F4191" s="22" t="str">
        <f>IF(OR(E4191="",E4191="!!!"),"",IF(NOT(ISNA(VLOOKUP(E4191,E$1:E4190,1,FALSE()))),"OLD",IF(AND(E4191&lt;&gt;"",E4191&lt;&gt;"!!!"),"NEW","")))</f>
        <v> </v>
      </c>
      <c r="G4191" s="23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4" t="str">
        <f>IF(J4191&lt;&gt;1,"",IF(I4191="SBJ","CB","?"))</f>
        <v> </v>
      </c>
      <c r="I4191" s="25" t="str">
        <f>IF(OR(E4191="",E4191="!!!",F4191="NEW"),"",INDEX(B4190:B$2,-1+SUMPRODUCT(MAX(ROW(E4190:E$2)*(E4191=E4190:E$2)))))</f>
        <v> </v>
      </c>
      <c r="J4191" s="25" t="str">
        <f>IF(OR(E4191="",E4191="!!!",F4191="NEW"),"",COUNTBLANK(OFFSET(A$1,,,SUMPRODUCT(MAX(ROW(E$2:E4191)*(E4191=E$2:E4191)))))-COUNTBLANK(OFFSET(A$1,,,SUMPRODUCT(MAX(ROW(E$1:E4190)*(E2=E$1:E4190))))))</f>
        <v> </v>
      </c>
      <c r="K4191" s="25" t="str">
        <f>IF(OR(E4191="",E4191="!!!",F4191="NEW"),"",INDEX(J$1:J4190,SUMPRODUCT(MAX(ROW(E$1:E4190)*(E4191=E$1:E4190)))))</f>
        <v> </v>
      </c>
      <c r="L4191" s="26"/>
    </row>
    <row r="4192" spans="1:12">
      <c r="A4192" s="20" t="s">
        <v>1128</v>
      </c>
      <c r="E4192" s="21">
        <f>IF(D4192="?OLD","!!!","")</f>
        <v/>
      </c>
      <c r="F4192" s="22" t="str">
        <f>IF(OR(E4192="",E4192="!!!"),"",IF(NOT(ISNA(VLOOKUP(E4192,E$1:E4191,1,FALSE()))),"OLD",IF(AND(E4192&lt;&gt;"",E4192&lt;&gt;"!!!"),"NEW","")))</f>
        <v> </v>
      </c>
      <c r="G4192" s="23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4" t="str">
        <f>IF(J4192&lt;&gt;1,"",IF(I4192="SBJ","CB","?"))</f>
        <v> </v>
      </c>
      <c r="I4192" s="25" t="str">
        <f>IF(OR(E4192="",E4192="!!!",F4192="NEW"),"",INDEX(B4191:B$2,-1+SUMPRODUCT(MAX(ROW(E4191:E$2)*(E4192=E4191:E$2)))))</f>
        <v> </v>
      </c>
      <c r="J4192" s="25" t="str">
        <f>IF(OR(E4192="",E4192="!!!",F4192="NEW"),"",COUNTBLANK(OFFSET(A$1,,,SUMPRODUCT(MAX(ROW(E$2:E4192)*(E4192=E$2:E4192)))))-COUNTBLANK(OFFSET(A$1,,,SUMPRODUCT(MAX(ROW(E$1:E4191)*(E2=E$1:E4191))))))</f>
        <v> </v>
      </c>
      <c r="K4192" s="25" t="str">
        <f>IF(OR(E4192="",E4192="!!!",F4192="NEW"),"",INDEX(J$1:J4191,SUMPRODUCT(MAX(ROW(E$1:E4191)*(E4192=E$1:E4191)))))</f>
        <v> </v>
      </c>
      <c r="L4192" s="26"/>
    </row>
    <row r="4193" spans="1:12">
      <c r="A4193" s="20" t="s">
        <v>2967</v>
      </c>
      <c r="E4193" s="21">
        <f>IF(D4193="?OLD","!!!","")</f>
        <v/>
      </c>
      <c r="F4193" s="22" t="str">
        <f>IF(OR(E4193="",E4193="!!!"),"",IF(NOT(ISNA(VLOOKUP(E4193,E$1:E4192,1,FALSE()))),"OLD",IF(AND(E4193&lt;&gt;"",E4193&lt;&gt;"!!!"),"NEW","")))</f>
        <v> </v>
      </c>
      <c r="G4193" s="23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4" t="str">
        <f>IF(J4193&lt;&gt;1,"",IF(I4193="SBJ","CB","?"))</f>
        <v> </v>
      </c>
      <c r="I4193" s="25" t="str">
        <f>IF(OR(E4193="",E4193="!!!",F4193="NEW"),"",INDEX(B4192:B$2,-1+SUMPRODUCT(MAX(ROW(E4192:E$2)*(E4193=E4192:E$2)))))</f>
        <v> </v>
      </c>
      <c r="J4193" s="25" t="str">
        <f>IF(OR(E4193="",E4193="!!!",F4193="NEW"),"",COUNTBLANK(OFFSET(A$1,,,SUMPRODUCT(MAX(ROW(E$2:E4193)*(E4193=E$2:E4193)))))-COUNTBLANK(OFFSET(A$1,,,SUMPRODUCT(MAX(ROW(E$1:E4192)*(E2=E$1:E4192))))))</f>
        <v> </v>
      </c>
      <c r="K4193" s="25" t="str">
        <f>IF(OR(E4193="",E4193="!!!",F4193="NEW"),"",INDEX(J$1:J4192,SUMPRODUCT(MAX(ROW(E$1:E4192)*(E4193=E$1:E4192)))))</f>
        <v> </v>
      </c>
      <c r="L4193" s="26"/>
    </row>
    <row r="4194" spans="1:12">
      <c r="A4194" s="20" t="s">
        <v>1123</v>
      </c>
      <c r="E4194" s="21">
        <f>IF(D4194="?OLD","!!!","")</f>
        <v/>
      </c>
      <c r="F4194" s="22" t="str">
        <f>IF(OR(E4194="",E4194="!!!"),"",IF(NOT(ISNA(VLOOKUP(E4194,E$1:E4193,1,FALSE()))),"OLD",IF(AND(E4194&lt;&gt;"",E4194&lt;&gt;"!!!"),"NEW","")))</f>
        <v> </v>
      </c>
      <c r="G4194" s="23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4" t="str">
        <f>IF(J4194&lt;&gt;1,"",IF(I4194="SBJ","CB","?"))</f>
        <v> </v>
      </c>
      <c r="I4194" s="25" t="str">
        <f>IF(OR(E4194="",E4194="!!!",F4194="NEW"),"",INDEX(B4193:B$2,-1+SUMPRODUCT(MAX(ROW(E4193:E$2)*(E4194=E4193:E$2)))))</f>
        <v> </v>
      </c>
      <c r="J4194" s="25" t="str">
        <f>IF(OR(E4194="",E4194="!!!",F4194="NEW"),"",COUNTBLANK(OFFSET(A$1,,,SUMPRODUCT(MAX(ROW(E$2:E4194)*(E4194=E$2:E4194)))))-COUNTBLANK(OFFSET(A$1,,,SUMPRODUCT(MAX(ROW(E$1:E4193)*(E2=E$1:E4193))))))</f>
        <v> </v>
      </c>
      <c r="K4194" s="25" t="str">
        <f>IF(OR(E4194="",E4194="!!!",F4194="NEW"),"",INDEX(J$1:J4193,SUMPRODUCT(MAX(ROW(E$1:E4193)*(E4194=E$1:E4193)))))</f>
        <v> </v>
      </c>
      <c r="L4194" s="26"/>
    </row>
    <row r="4195" spans="1:12">
      <c r="A4195" s="20" t="s">
        <v>1139</v>
      </c>
      <c r="E4195" s="21">
        <f>IF(D4195="?OLD","!!!","")</f>
        <v/>
      </c>
      <c r="F4195" s="22" t="str">
        <f>IF(OR(E4195="",E4195="!!!"),"",IF(NOT(ISNA(VLOOKUP(E4195,E$1:E4194,1,FALSE()))),"OLD",IF(AND(E4195&lt;&gt;"",E4195&lt;&gt;"!!!"),"NEW","")))</f>
        <v> </v>
      </c>
      <c r="G4195" s="23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4" t="str">
        <f>IF(J4195&lt;&gt;1,"",IF(I4195="SBJ","CB","?"))</f>
        <v> </v>
      </c>
      <c r="I4195" s="25" t="str">
        <f>IF(OR(E4195="",E4195="!!!",F4195="NEW"),"",INDEX(B4194:B$2,-1+SUMPRODUCT(MAX(ROW(E4194:E$2)*(E4195=E4194:E$2)))))</f>
        <v> </v>
      </c>
      <c r="J4195" s="25" t="str">
        <f>IF(OR(E4195="",E4195="!!!",F4195="NEW"),"",COUNTBLANK(OFFSET(A$1,,,SUMPRODUCT(MAX(ROW(E$2:E4195)*(E4195=E$2:E4195)))))-COUNTBLANK(OFFSET(A$1,,,SUMPRODUCT(MAX(ROW(E$1:E4194)*(E2=E$1:E4194))))))</f>
        <v> </v>
      </c>
      <c r="K4195" s="25" t="str">
        <f>IF(OR(E4195="",E4195="!!!",F4195="NEW"),"",INDEX(J$1:J4194,SUMPRODUCT(MAX(ROW(E$1:E4194)*(E4195=E$1:E4194)))))</f>
        <v> </v>
      </c>
      <c r="L4195" s="26"/>
    </row>
    <row r="4196" spans="1:12">
      <c r="A4196" s="20" t="s">
        <v>2968</v>
      </c>
      <c r="E4196" s="21">
        <f>IF(D4196="?OLD","!!!","")</f>
        <v/>
      </c>
      <c r="F4196" s="22" t="str">
        <f>IF(OR(E4196="",E4196="!!!"),"",IF(NOT(ISNA(VLOOKUP(E4196,E$1:E4195,1,FALSE()))),"OLD",IF(AND(E4196&lt;&gt;"",E4196&lt;&gt;"!!!"),"NEW","")))</f>
        <v> </v>
      </c>
      <c r="G4196" s="23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4" t="str">
        <f>IF(J4196&lt;&gt;1,"",IF(I4196="SBJ","CB","?"))</f>
        <v> </v>
      </c>
      <c r="I4196" s="25" t="str">
        <f>IF(OR(E4196="",E4196="!!!",F4196="NEW"),"",INDEX(B4195:B$2,-1+SUMPRODUCT(MAX(ROW(E4195:E$2)*(E4196=E4195:E$2)))))</f>
        <v> </v>
      </c>
      <c r="J4196" s="25" t="str">
        <f>IF(OR(E4196="",E4196="!!!",F4196="NEW"),"",COUNTBLANK(OFFSET(A$1,,,SUMPRODUCT(MAX(ROW(E$2:E4196)*(E4196=E$2:E4196)))))-COUNTBLANK(OFFSET(A$1,,,SUMPRODUCT(MAX(ROW(E$1:E4195)*(E2=E$1:E4195))))))</f>
        <v> </v>
      </c>
      <c r="K4196" s="25" t="str">
        <f>IF(OR(E4196="",E4196="!!!",F4196="NEW"),"",INDEX(J$1:J4195,SUMPRODUCT(MAX(ROW(E$1:E4195)*(E4196=E$1:E4195)))))</f>
        <v> </v>
      </c>
      <c r="L4196" s="26"/>
    </row>
    <row r="4197" spans="1:12">
      <c r="A4197" s="20" t="s">
        <v>2969</v>
      </c>
      <c r="E4197" s="21">
        <f>IF(D4197="?OLD","!!!","")</f>
        <v/>
      </c>
      <c r="F4197" s="22" t="str">
        <f>IF(OR(E4197="",E4197="!!!"),"",IF(NOT(ISNA(VLOOKUP(E4197,E$1:E4196,1,FALSE()))),"OLD",IF(AND(E4197&lt;&gt;"",E4197&lt;&gt;"!!!"),"NEW","")))</f>
        <v> </v>
      </c>
      <c r="G4197" s="23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4" t="str">
        <f>IF(J4197&lt;&gt;1,"",IF(I4197="SBJ","CB","?"))</f>
        <v> </v>
      </c>
      <c r="I4197" s="25" t="str">
        <f>IF(OR(E4197="",E4197="!!!",F4197="NEW"),"",INDEX(B4196:B$2,-1+SUMPRODUCT(MAX(ROW(E4196:E$2)*(E4197=E4196:E$2)))))</f>
        <v> </v>
      </c>
      <c r="J4197" s="25" t="str">
        <f>IF(OR(E4197="",E4197="!!!",F4197="NEW"),"",COUNTBLANK(OFFSET(A$1,,,SUMPRODUCT(MAX(ROW(E$2:E4197)*(E4197=E$2:E4197)))))-COUNTBLANK(OFFSET(A$1,,,SUMPRODUCT(MAX(ROW(E$1:E4196)*(E2=E$1:E4196))))))</f>
        <v> </v>
      </c>
      <c r="K4197" s="25" t="str">
        <f>IF(OR(E4197="",E4197="!!!",F4197="NEW"),"",INDEX(J$1:J4196,SUMPRODUCT(MAX(ROW(E$1:E4196)*(E4197=E$1:E4196)))))</f>
        <v> </v>
      </c>
      <c r="L4197" s="26"/>
    </row>
    <row r="4198" spans="1:12">
      <c r="A4198" s="20" t="s">
        <v>2970</v>
      </c>
      <c r="E4198" s="21">
        <f>IF(D4198="?OLD","!!!","")</f>
        <v/>
      </c>
      <c r="F4198" s="22" t="str">
        <f>IF(OR(E4198="",E4198="!!!"),"",IF(NOT(ISNA(VLOOKUP(E4198,E$1:E4197,1,FALSE()))),"OLD",IF(AND(E4198&lt;&gt;"",E4198&lt;&gt;"!!!"),"NEW","")))</f>
        <v> </v>
      </c>
      <c r="G4198" s="23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4" t="str">
        <f>IF(J4198&lt;&gt;1,"",IF(I4198="SBJ","CB","?"))</f>
        <v> </v>
      </c>
      <c r="I4198" s="25" t="str">
        <f>IF(OR(E4198="",E4198="!!!",F4198="NEW"),"",INDEX(B4197:B$2,-1+SUMPRODUCT(MAX(ROW(E4197:E$2)*(E4198=E4197:E$2)))))</f>
        <v> </v>
      </c>
      <c r="J4198" s="25" t="str">
        <f>IF(OR(E4198="",E4198="!!!",F4198="NEW"),"",COUNTBLANK(OFFSET(A$1,,,SUMPRODUCT(MAX(ROW(E$2:E4198)*(E4198=E$2:E4198)))))-COUNTBLANK(OFFSET(A$1,,,SUMPRODUCT(MAX(ROW(E$1:E4197)*(E2=E$1:E4197))))))</f>
        <v> </v>
      </c>
      <c r="K4198" s="25" t="str">
        <f>IF(OR(E4198="",E4198="!!!",F4198="NEW"),"",INDEX(J$1:J4197,SUMPRODUCT(MAX(ROW(E$1:E4197)*(E4198=E$1:E4197)))))</f>
        <v> </v>
      </c>
      <c r="L4198" s="26"/>
    </row>
    <row r="4199" spans="1:12">
      <c r="A4199" s="20" t="s">
        <v>1123</v>
      </c>
      <c r="E4199" s="21">
        <f>IF(D4199="?OLD","!!!","")</f>
        <v/>
      </c>
      <c r="F4199" s="22" t="str">
        <f>IF(OR(E4199="",E4199="!!!"),"",IF(NOT(ISNA(VLOOKUP(E4199,E$1:E4198,1,FALSE()))),"OLD",IF(AND(E4199&lt;&gt;"",E4199&lt;&gt;"!!!"),"NEW","")))</f>
        <v> </v>
      </c>
      <c r="G4199" s="23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4" t="str">
        <f>IF(J4199&lt;&gt;1,"",IF(I4199="SBJ","CB","?"))</f>
        <v> </v>
      </c>
      <c r="I4199" s="25" t="str">
        <f>IF(OR(E4199="",E4199="!!!",F4199="NEW"),"",INDEX(B4198:B$2,-1+SUMPRODUCT(MAX(ROW(E4198:E$2)*(E4199=E4198:E$2)))))</f>
        <v> </v>
      </c>
      <c r="J4199" s="25" t="str">
        <f>IF(OR(E4199="",E4199="!!!",F4199="NEW"),"",COUNTBLANK(OFFSET(A$1,,,SUMPRODUCT(MAX(ROW(E$2:E4199)*(E4199=E$2:E4199)))))-COUNTBLANK(OFFSET(A$1,,,SUMPRODUCT(MAX(ROW(E$1:E4198)*(E2=E$1:E4198))))))</f>
        <v> </v>
      </c>
      <c r="K4199" s="25" t="str">
        <f>IF(OR(E4199="",E4199="!!!",F4199="NEW"),"",INDEX(J$1:J4198,SUMPRODUCT(MAX(ROW(E$1:E4198)*(E4199=E$1:E4198)))))</f>
        <v> </v>
      </c>
      <c r="L4199" s="26"/>
    </row>
    <row r="4200" spans="1:12">
      <c r="A4200" s="20" t="s">
        <v>2971</v>
      </c>
      <c r="E4200" s="21">
        <f>IF(D4200="?OLD","!!!","")</f>
        <v/>
      </c>
      <c r="F4200" s="22" t="str">
        <f>IF(OR(E4200="",E4200="!!!"),"",IF(NOT(ISNA(VLOOKUP(E4200,E$1:E4199,1,FALSE()))),"OLD",IF(AND(E4200&lt;&gt;"",E4200&lt;&gt;"!!!"),"NEW","")))</f>
        <v> </v>
      </c>
      <c r="G4200" s="23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4" t="str">
        <f>IF(J4200&lt;&gt;1,"",IF(I4200="SBJ","CB","?"))</f>
        <v> </v>
      </c>
      <c r="I4200" s="25" t="str">
        <f>IF(OR(E4200="",E4200="!!!",F4200="NEW"),"",INDEX(B4199:B$2,-1+SUMPRODUCT(MAX(ROW(E4199:E$2)*(E4200=E4199:E$2)))))</f>
        <v> </v>
      </c>
      <c r="J4200" s="25" t="str">
        <f>IF(OR(E4200="",E4200="!!!",F4200="NEW"),"",COUNTBLANK(OFFSET(A$1,,,SUMPRODUCT(MAX(ROW(E$2:E4200)*(E4200=E$2:E4200)))))-COUNTBLANK(OFFSET(A$1,,,SUMPRODUCT(MAX(ROW(E$1:E4199)*(E2=E$1:E4199))))))</f>
        <v> </v>
      </c>
      <c r="K4200" s="25" t="str">
        <f>IF(OR(E4200="",E4200="!!!",F4200="NEW"),"",INDEX(J$1:J4199,SUMPRODUCT(MAX(ROW(E$1:E4199)*(E4200=E$1:E4199)))))</f>
        <v> </v>
      </c>
      <c r="L4200" s="26"/>
    </row>
    <row r="4201" spans="1:12">
      <c r="A4201" s="20" t="s">
        <v>1123</v>
      </c>
      <c r="E4201" s="21">
        <f>IF(D4201="?OLD","!!!","")</f>
        <v/>
      </c>
      <c r="F4201" s="22" t="str">
        <f>IF(OR(E4201="",E4201="!!!"),"",IF(NOT(ISNA(VLOOKUP(E4201,E$1:E4200,1,FALSE()))),"OLD",IF(AND(E4201&lt;&gt;"",E4201&lt;&gt;"!!!"),"NEW","")))</f>
        <v> </v>
      </c>
      <c r="G4201" s="23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4" t="str">
        <f>IF(J4201&lt;&gt;1,"",IF(I4201="SBJ","CB","?"))</f>
        <v> </v>
      </c>
      <c r="I4201" s="25" t="str">
        <f>IF(OR(E4201="",E4201="!!!",F4201="NEW"),"",INDEX(B4200:B$2,-1+SUMPRODUCT(MAX(ROW(E4200:E$2)*(E4201=E4200:E$2)))))</f>
        <v> </v>
      </c>
      <c r="J4201" s="25" t="str">
        <f>IF(OR(E4201="",E4201="!!!",F4201="NEW"),"",COUNTBLANK(OFFSET(A$1,,,SUMPRODUCT(MAX(ROW(E$2:E4201)*(E4201=E$2:E4201)))))-COUNTBLANK(OFFSET(A$1,,,SUMPRODUCT(MAX(ROW(E$1:E4200)*(E2=E$1:E4200))))))</f>
        <v> </v>
      </c>
      <c r="K4201" s="25" t="str">
        <f>IF(OR(E4201="",E4201="!!!",F4201="NEW"),"",INDEX(J$1:J4200,SUMPRODUCT(MAX(ROW(E$1:E4200)*(E4201=E$1:E4200)))))</f>
        <v> </v>
      </c>
      <c r="L4201" s="26"/>
    </row>
    <row r="4202" spans="1:12">
      <c r="A4202" s="20" t="s">
        <v>135</v>
      </c>
      <c r="E4202" s="21">
        <f>IF(D4202="?OLD","!!!","")</f>
        <v/>
      </c>
      <c r="F4202" s="22" t="str">
        <f>IF(OR(E4202="",E4202="!!!"),"",IF(NOT(ISNA(VLOOKUP(E4202,E$1:E4201,1,FALSE()))),"OLD",IF(AND(E4202&lt;&gt;"",E4202&lt;&gt;"!!!"),"NEW","")))</f>
        <v> </v>
      </c>
      <c r="G4202" s="23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4" t="str">
        <f>IF(J4202&lt;&gt;1,"",IF(I4202="SBJ","CB","?"))</f>
        <v> </v>
      </c>
      <c r="I4202" s="25" t="str">
        <f>IF(OR(E4202="",E4202="!!!",F4202="NEW"),"",INDEX(B4201:B$2,-1+SUMPRODUCT(MAX(ROW(E4201:E$2)*(E4202=E4201:E$2)))))</f>
        <v> </v>
      </c>
      <c r="J4202" s="25" t="str">
        <f>IF(OR(E4202="",E4202="!!!",F4202="NEW"),"",COUNTBLANK(OFFSET(A$1,,,SUMPRODUCT(MAX(ROW(E$2:E4202)*(E4202=E$2:E4202)))))-COUNTBLANK(OFFSET(A$1,,,SUMPRODUCT(MAX(ROW(E$1:E4201)*(E2=E$1:E4201))))))</f>
        <v> </v>
      </c>
      <c r="K4202" s="25" t="str">
        <f>IF(OR(E4202="",E4202="!!!",F4202="NEW"),"",INDEX(J$1:J4201,SUMPRODUCT(MAX(ROW(E$1:E4201)*(E4202=E$1:E4201)))))</f>
        <v> </v>
      </c>
      <c r="L4202" s="26"/>
    </row>
    <row r="4203" spans="1:12">
      <c r="A4203" s="20" t="s">
        <v>2635</v>
      </c>
      <c r="E4203" s="21">
        <f>IF(D4203="?OLD","!!!","")</f>
        <v/>
      </c>
      <c r="F4203" s="22" t="str">
        <f>IF(OR(E4203="",E4203="!!!"),"",IF(NOT(ISNA(VLOOKUP(E4203,E$1:E4202,1,FALSE()))),"OLD",IF(AND(E4203&lt;&gt;"",E4203&lt;&gt;"!!!"),"NEW","")))</f>
        <v> </v>
      </c>
      <c r="G4203" s="23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4" t="str">
        <f>IF(J4203&lt;&gt;1,"",IF(I4203="SBJ","CB","?"))</f>
        <v> </v>
      </c>
      <c r="I4203" s="25" t="str">
        <f>IF(OR(E4203="",E4203="!!!",F4203="NEW"),"",INDEX(B4202:B$2,-1+SUMPRODUCT(MAX(ROW(E4202:E$2)*(E4203=E4202:E$2)))))</f>
        <v> </v>
      </c>
      <c r="J4203" s="25" t="str">
        <f>IF(OR(E4203="",E4203="!!!",F4203="NEW"),"",COUNTBLANK(OFFSET(A$1,,,SUMPRODUCT(MAX(ROW(E$2:E4203)*(E4203=E$2:E4203)))))-COUNTBLANK(OFFSET(A$1,,,SUMPRODUCT(MAX(ROW(E$1:E4202)*(E2=E$1:E4202))))))</f>
        <v> </v>
      </c>
      <c r="K4203" s="25" t="str">
        <f>IF(OR(E4203="",E4203="!!!",F4203="NEW"),"",INDEX(J$1:J4202,SUMPRODUCT(MAX(ROW(E$1:E4202)*(E4203=E$1:E4202)))))</f>
        <v> </v>
      </c>
      <c r="L4203" s="26"/>
    </row>
    <row r="4204" spans="1:12">
      <c r="A4204" s="20" t="s">
        <v>115</v>
      </c>
      <c r="E4204" s="21">
        <f>IF(D4204="?OLD","!!!","")</f>
        <v/>
      </c>
      <c r="F4204" s="22" t="str">
        <f>IF(OR(E4204="",E4204="!!!"),"",IF(NOT(ISNA(VLOOKUP(E4204,E$1:E4203,1,FALSE()))),"OLD",IF(AND(E4204&lt;&gt;"",E4204&lt;&gt;"!!!"),"NEW","")))</f>
        <v> </v>
      </c>
      <c r="G4204" s="23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4" t="str">
        <f>IF(J4204&lt;&gt;1,"",IF(I4204="SBJ","CB","?"))</f>
        <v> </v>
      </c>
      <c r="I4204" s="25" t="str">
        <f>IF(OR(E4204="",E4204="!!!",F4204="NEW"),"",INDEX(B4203:B$2,-1+SUMPRODUCT(MAX(ROW(E4203:E$2)*(E4204=E4203:E$2)))))</f>
        <v> </v>
      </c>
      <c r="J4204" s="25" t="str">
        <f>IF(OR(E4204="",E4204="!!!",F4204="NEW"),"",COUNTBLANK(OFFSET(A$1,,,SUMPRODUCT(MAX(ROW(E$2:E4204)*(E4204=E$2:E4204)))))-COUNTBLANK(OFFSET(A$1,,,SUMPRODUCT(MAX(ROW(E$1:E4203)*(E2=E$1:E4203))))))</f>
        <v> </v>
      </c>
      <c r="K4204" s="25" t="str">
        <f>IF(OR(E4204="",E4204="!!!",F4204="NEW"),"",INDEX(J$1:J4203,SUMPRODUCT(MAX(ROW(E$1:E4203)*(E4204=E$1:E4203)))))</f>
        <v> </v>
      </c>
      <c r="L4204" s="26"/>
    </row>
    <row r="4205" spans="1:12">
      <c r="A4205" s="20" t="s">
        <v>2324</v>
      </c>
      <c r="E4205" s="21">
        <f>IF(D4205="?OLD","!!!","")</f>
        <v/>
      </c>
      <c r="F4205" s="22" t="str">
        <f>IF(OR(E4205="",E4205="!!!"),"",IF(NOT(ISNA(VLOOKUP(E4205,E$1:E4204,1,FALSE()))),"OLD",IF(AND(E4205&lt;&gt;"",E4205&lt;&gt;"!!!"),"NEW","")))</f>
        <v> </v>
      </c>
      <c r="G4205" s="23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4" t="str">
        <f>IF(J4205&lt;&gt;1,"",IF(I4205="SBJ","CB","?"))</f>
        <v> </v>
      </c>
      <c r="I4205" s="25" t="str">
        <f>IF(OR(E4205="",E4205="!!!",F4205="NEW"),"",INDEX(B4204:B$2,-1+SUMPRODUCT(MAX(ROW(E4204:E$2)*(E4205=E4204:E$2)))))</f>
        <v> </v>
      </c>
      <c r="J4205" s="25" t="str">
        <f>IF(OR(E4205="",E4205="!!!",F4205="NEW"),"",COUNTBLANK(OFFSET(A$1,,,SUMPRODUCT(MAX(ROW(E$2:E4205)*(E4205=E$2:E4205)))))-COUNTBLANK(OFFSET(A$1,,,SUMPRODUCT(MAX(ROW(E$1:E4204)*(E2=E$1:E4204))))))</f>
        <v> </v>
      </c>
      <c r="K4205" s="25" t="str">
        <f>IF(OR(E4205="",E4205="!!!",F4205="NEW"),"",INDEX(J$1:J4204,SUMPRODUCT(MAX(ROW(E$1:E4204)*(E4205=E$1:E4204)))))</f>
        <v> </v>
      </c>
      <c r="L4205" s="26"/>
    </row>
    <row r="4206" spans="1:12">
      <c r="A4206" s="20" t="s">
        <v>2636</v>
      </c>
      <c r="B4206" s="27" t="s">
        <v>1122</v>
      </c>
      <c r="E4206" s="21">
        <f>IF(D4206="?OLD","!!!","")</f>
        <v/>
      </c>
      <c r="F4206" s="22" t="str">
        <f>IF(OR(E4206="",E4206="!!!"),"",IF(NOT(ISNA(VLOOKUP(E4206,E$1:E4205,1,FALSE()))),"OLD",IF(AND(E4206&lt;&gt;"",E4206&lt;&gt;"!!!"),"NEW","")))</f>
        <v> </v>
      </c>
      <c r="G4206" s="23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4" t="str">
        <f>IF(J4206&lt;&gt;1,"",IF(I4206="SBJ","CB","?"))</f>
        <v> </v>
      </c>
      <c r="I4206" s="25" t="str">
        <f>IF(OR(E4206="",E4206="!!!",F4206="NEW"),"",INDEX(B4205:B$2,-1+SUMPRODUCT(MAX(ROW(E4205:E$2)*(E4206=E4205:E$2)))))</f>
        <v> </v>
      </c>
      <c r="J4206" s="25" t="str">
        <f>IF(OR(E4206="",E4206="!!!",F4206="NEW"),"",COUNTBLANK(OFFSET(A$1,,,SUMPRODUCT(MAX(ROW(E$2:E4206)*(E4206=E$2:E4206)))))-COUNTBLANK(OFFSET(A$1,,,SUMPRODUCT(MAX(ROW(E$1:E4205)*(E2=E$1:E4205))))))</f>
        <v> </v>
      </c>
      <c r="K4206" s="25" t="str">
        <f>IF(OR(E4206="",E4206="!!!",F4206="NEW"),"",INDEX(J$1:J4205,SUMPRODUCT(MAX(ROW(E$1:E4205)*(E4206=E$1:E4205)))))</f>
        <v> </v>
      </c>
      <c r="L4206" s="26"/>
    </row>
    <row r="4207" spans="1:12">
      <c r="A4207" s="20" t="s">
        <v>1145</v>
      </c>
      <c r="E4207" s="21">
        <f>IF(D4207="?OLD","!!!","")</f>
        <v/>
      </c>
      <c r="F4207" s="22" t="str">
        <f>IF(OR(E4207="",E4207="!!!"),"",IF(NOT(ISNA(VLOOKUP(E4207,E$1:E4206,1,FALSE()))),"OLD",IF(AND(E4207&lt;&gt;"",E4207&lt;&gt;"!!!"),"NEW","")))</f>
        <v> </v>
      </c>
      <c r="G4207" s="23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4" t="str">
        <f>IF(J4207&lt;&gt;1,"",IF(I4207="SBJ","CB","?"))</f>
        <v> </v>
      </c>
      <c r="I4207" s="25" t="str">
        <f>IF(OR(E4207="",E4207="!!!",F4207="NEW"),"",INDEX(B4206:B$2,-1+SUMPRODUCT(MAX(ROW(E4206:E$2)*(E4207=E4206:E$2)))))</f>
        <v> </v>
      </c>
      <c r="J4207" s="25" t="str">
        <f>IF(OR(E4207="",E4207="!!!",F4207="NEW"),"",COUNTBLANK(OFFSET(A$1,,,SUMPRODUCT(MAX(ROW(E$2:E4207)*(E4207=E$2:E4207)))))-COUNTBLANK(OFFSET(A$1,,,SUMPRODUCT(MAX(ROW(E$1:E4206)*(E2=E$1:E4206))))))</f>
        <v> </v>
      </c>
      <c r="K4207" s="25" t="str">
        <f>IF(OR(E4207="",E4207="!!!",F4207="NEW"),"",INDEX(J$1:J4206,SUMPRODUCT(MAX(ROW(E$1:E4206)*(E4207=E$1:E4206)))))</f>
        <v> </v>
      </c>
      <c r="L4207" s="26"/>
    </row>
    <row r="4208" spans="1:12">
      <c r="A4208" s="20"/>
    </row>
    <row r="4209" spans="1:12">
      <c r="A4209" s="20" t="s">
        <v>2972</v>
      </c>
    </row>
    <row r="4210" spans="1:12">
      <c r="A4210" s="20" t="s">
        <v>2973</v>
      </c>
      <c r="E4210" s="21">
        <f>IF(D4210="?OLD","!!!","")</f>
        <v/>
      </c>
      <c r="F4210" s="22" t="str">
        <f>IF(OR(E4210="",E4210="!!!"),"",IF(NOT(ISNA(VLOOKUP(E4210,E$1:E4209,1,FALSE()))),"OLD",IF(AND(E4210&lt;&gt;"",E4210&lt;&gt;"!!!"),"NEW","")))</f>
        <v> </v>
      </c>
      <c r="G4210" s="23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4" t="str">
        <f>IF(J4210&lt;&gt;1,"",IF(I4210="SBJ","CB","?"))</f>
        <v> </v>
      </c>
      <c r="I4210" s="25" t="str">
        <f>IF(OR(E4210="",E4210="!!!",F4210="NEW"),"",INDEX(B4209:B$2,-1+SUMPRODUCT(MAX(ROW(E4209:E$2)*(E4210=E4209:E$2)))))</f>
        <v> </v>
      </c>
      <c r="J4210" s="25" t="str">
        <f>IF(OR(E4210="",E4210="!!!",F4210="NEW"),"",COUNTBLANK(OFFSET(A$1,,,SUMPRODUCT(MAX(ROW(E$2:E4210)*(E4210=E$2:E4210)))))-COUNTBLANK(OFFSET(A$1,,,SUMPRODUCT(MAX(ROW(E$1:E4209)*(E2=E$1:E4209))))))</f>
        <v> </v>
      </c>
      <c r="K4210" s="25" t="str">
        <f>IF(OR(E4210="",E4210="!!!",F4210="NEW"),"",INDEX(J$1:J4209,SUMPRODUCT(MAX(ROW(E$1:E4209)*(E4210=E$1:E4209)))))</f>
        <v> </v>
      </c>
      <c r="L4210" s="26"/>
    </row>
    <row r="4211" spans="1:12">
      <c r="A4211" s="20" t="s">
        <v>1130</v>
      </c>
      <c r="E4211" s="21">
        <f>IF(D4211="?OLD","!!!","")</f>
        <v/>
      </c>
      <c r="F4211" s="22" t="str">
        <f>IF(OR(E4211="",E4211="!!!"),"",IF(NOT(ISNA(VLOOKUP(E4211,E$1:E4210,1,FALSE()))),"OLD",IF(AND(E4211&lt;&gt;"",E4211&lt;&gt;"!!!"),"NEW","")))</f>
        <v> </v>
      </c>
      <c r="G4211" s="23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4" t="str">
        <f>IF(J4211&lt;&gt;1,"",IF(I4211="SBJ","CB","?"))</f>
        <v> </v>
      </c>
      <c r="I4211" s="25" t="str">
        <f>IF(OR(E4211="",E4211="!!!",F4211="NEW"),"",INDEX(B4210:B$2,-1+SUMPRODUCT(MAX(ROW(E4210:E$2)*(E4211=E4210:E$2)))))</f>
        <v> </v>
      </c>
      <c r="J4211" s="25" t="str">
        <f>IF(OR(E4211="",E4211="!!!",F4211="NEW"),"",COUNTBLANK(OFFSET(A$1,,,SUMPRODUCT(MAX(ROW(E$2:E4211)*(E4211=E$2:E4211)))))-COUNTBLANK(OFFSET(A$1,,,SUMPRODUCT(MAX(ROW(E$1:E4210)*(E2=E$1:E4210))))))</f>
        <v> </v>
      </c>
      <c r="K4211" s="25" t="str">
        <f>IF(OR(E4211="",E4211="!!!",F4211="NEW"),"",INDEX(J$1:J4210,SUMPRODUCT(MAX(ROW(E$1:E4210)*(E4211=E$1:E4210)))))</f>
        <v> </v>
      </c>
      <c r="L4211" s="26"/>
    </row>
    <row r="4212" spans="1:12">
      <c r="A4212" s="20" t="s">
        <v>1183</v>
      </c>
      <c r="B4212" s="27" t="s">
        <v>1107</v>
      </c>
      <c r="C4212" s="27" t="s">
        <v>1126</v>
      </c>
      <c r="D4212" s="27" t="s">
        <v>1105</v>
      </c>
      <c r="E4212" s="21">
        <f>IF(D4212="?OLD","!!!","")</f>
        <v/>
      </c>
      <c r="F4212" s="22" t="str">
        <f>IF(OR(E4212="",E4212="!!!"),"",IF(NOT(ISNA(VLOOKUP(E4212,E$1:E4211,1,FALSE()))),"OLD",IF(AND(E4212&lt;&gt;"",E4212&lt;&gt;"!!!"),"NEW","")))</f>
        <v> </v>
      </c>
      <c r="G4212" s="23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4" t="str">
        <f>IF(J4212&lt;&gt;1,"",IF(I4212="SBJ","CB","?"))</f>
        <v> </v>
      </c>
      <c r="I4212" s="25" t="str">
        <f>IF(OR(E4212="",E4212="!!!",F4212="NEW"),"",INDEX(B4211:B$2,-1+SUMPRODUCT(MAX(ROW(E4211:E$2)*(E4212=E4211:E$2)))))</f>
        <v> </v>
      </c>
      <c r="J4212" s="25" t="str">
        <f>IF(OR(E4212="",E4212="!!!",F4212="NEW"),"",COUNTBLANK(OFFSET(A$1,,,SUMPRODUCT(MAX(ROW(E$2:E4212)*(E4212=E$2:E4212)))))-COUNTBLANK(OFFSET(A$1,,,SUMPRODUCT(MAX(ROW(E$1:E4211)*(E2=E$1:E4211))))))</f>
        <v> </v>
      </c>
      <c r="K4212" s="25" t="str">
        <f>IF(OR(E4212="",E4212="!!!",F4212="NEW"),"",INDEX(J$1:J4211,SUMPRODUCT(MAX(ROW(E$1:E4211)*(E4212=E$1:E4211)))))</f>
        <v> </v>
      </c>
      <c r="L4212" s="26"/>
    </row>
    <row r="4213" spans="1:12">
      <c r="A4213" s="20" t="s">
        <v>1522</v>
      </c>
      <c r="E4213" s="21">
        <f>IF(D4213="?OLD","!!!","")</f>
        <v/>
      </c>
      <c r="F4213" s="22" t="str">
        <f>IF(OR(E4213="",E4213="!!!"),"",IF(NOT(ISNA(VLOOKUP(E4213,E$1:E4212,1,FALSE()))),"OLD",IF(AND(E4213&lt;&gt;"",E4213&lt;&gt;"!!!"),"NEW","")))</f>
        <v> </v>
      </c>
      <c r="G4213" s="23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4" t="str">
        <f>IF(J4213&lt;&gt;1,"",IF(I4213="SBJ","CB","?"))</f>
        <v> </v>
      </c>
      <c r="I4213" s="25" t="str">
        <f>IF(OR(E4213="",E4213="!!!",F4213="NEW"),"",INDEX(B4212:B$2,-1+SUMPRODUCT(MAX(ROW(E4212:E$2)*(E4213=E4212:E$2)))))</f>
        <v> </v>
      </c>
      <c r="J4213" s="25" t="str">
        <f>IF(OR(E4213="",E4213="!!!",F4213="NEW"),"",COUNTBLANK(OFFSET(A$1,,,SUMPRODUCT(MAX(ROW(E$2:E4213)*(E4213=E$2:E4213)))))-COUNTBLANK(OFFSET(A$1,,,SUMPRODUCT(MAX(ROW(E$1:E4212)*(E2=E$1:E4212))))))</f>
        <v> </v>
      </c>
      <c r="K4213" s="25" t="str">
        <f>IF(OR(E4213="",E4213="!!!",F4213="NEW"),"",INDEX(J$1:J4212,SUMPRODUCT(MAX(ROW(E$1:E4212)*(E4213=E$1:E4212)))))</f>
        <v> </v>
      </c>
      <c r="L4213" s="26"/>
    </row>
    <row r="4214" spans="1:12">
      <c r="A4214" s="20" t="s">
        <v>2974</v>
      </c>
      <c r="E4214" s="21">
        <f>IF(D4214="?OLD","!!!","")</f>
        <v/>
      </c>
      <c r="F4214" s="22" t="str">
        <f>IF(OR(E4214="",E4214="!!!"),"",IF(NOT(ISNA(VLOOKUP(E4214,E$1:E4213,1,FALSE()))),"OLD",IF(AND(E4214&lt;&gt;"",E4214&lt;&gt;"!!!"),"NEW","")))</f>
        <v> </v>
      </c>
      <c r="G4214" s="23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4" t="str">
        <f>IF(J4214&lt;&gt;1,"",IF(I4214="SBJ","CB","?"))</f>
        <v> </v>
      </c>
      <c r="I4214" s="25" t="str">
        <f>IF(OR(E4214="",E4214="!!!",F4214="NEW"),"",INDEX(B4213:B$2,-1+SUMPRODUCT(MAX(ROW(E4213:E$2)*(E4214=E4213:E$2)))))</f>
        <v> </v>
      </c>
      <c r="J4214" s="25" t="str">
        <f>IF(OR(E4214="",E4214="!!!",F4214="NEW"),"",COUNTBLANK(OFFSET(A$1,,,SUMPRODUCT(MAX(ROW(E$2:E4214)*(E4214=E$2:E4214)))))-COUNTBLANK(OFFSET(A$1,,,SUMPRODUCT(MAX(ROW(E$1:E4213)*(E2=E$1:E4213))))))</f>
        <v> </v>
      </c>
      <c r="K4214" s="25" t="str">
        <f>IF(OR(E4214="",E4214="!!!",F4214="NEW"),"",INDEX(J$1:J4213,SUMPRODUCT(MAX(ROW(E$1:E4213)*(E4214=E$1:E4213)))))</f>
        <v> </v>
      </c>
      <c r="L4214" s="26"/>
    </row>
    <row r="4215" spans="1:12">
      <c r="A4215" s="20" t="s">
        <v>2975</v>
      </c>
      <c r="B4215" s="27" t="s">
        <v>1149</v>
      </c>
      <c r="E4215" s="21">
        <f>IF(D4215="?OLD","!!!","")</f>
        <v/>
      </c>
      <c r="F4215" s="22" t="str">
        <f>IF(OR(E4215="",E4215="!!!"),"",IF(NOT(ISNA(VLOOKUP(E4215,E$1:E4214,1,FALSE()))),"OLD",IF(AND(E4215&lt;&gt;"",E4215&lt;&gt;"!!!"),"NEW","")))</f>
        <v> </v>
      </c>
      <c r="G4215" s="23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4" t="str">
        <f>IF(J4215&lt;&gt;1,"",IF(I4215="SBJ","CB","?"))</f>
        <v> </v>
      </c>
      <c r="I4215" s="25" t="str">
        <f>IF(OR(E4215="",E4215="!!!",F4215="NEW"),"",INDEX(B4214:B$2,-1+SUMPRODUCT(MAX(ROW(E4214:E$2)*(E4215=E4214:E$2)))))</f>
        <v> </v>
      </c>
      <c r="J4215" s="25" t="str">
        <f>IF(OR(E4215="",E4215="!!!",F4215="NEW"),"",COUNTBLANK(OFFSET(A$1,,,SUMPRODUCT(MAX(ROW(E$2:E4215)*(E4215=E$2:E4215)))))-COUNTBLANK(OFFSET(A$1,,,SUMPRODUCT(MAX(ROW(E$1:E4214)*(E2=E$1:E4214))))))</f>
        <v> </v>
      </c>
      <c r="K4215" s="25" t="str">
        <f>IF(OR(E4215="",E4215="!!!",F4215="NEW"),"",INDEX(J$1:J4214,SUMPRODUCT(MAX(ROW(E$1:E4214)*(E4215=E$1:E4214)))))</f>
        <v> </v>
      </c>
      <c r="L4215" s="26"/>
    </row>
    <row r="4216" spans="1:12">
      <c r="A4216" s="20" t="s">
        <v>2976</v>
      </c>
      <c r="E4216" s="21">
        <f>IF(D4216="?OLD","!!!","")</f>
        <v/>
      </c>
      <c r="F4216" s="22" t="str">
        <f>IF(OR(E4216="",E4216="!!!"),"",IF(NOT(ISNA(VLOOKUP(E4216,E$1:E4215,1,FALSE()))),"OLD",IF(AND(E4216&lt;&gt;"",E4216&lt;&gt;"!!!"),"NEW","")))</f>
        <v> </v>
      </c>
      <c r="G4216" s="23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4" t="str">
        <f>IF(J4216&lt;&gt;1,"",IF(I4216="SBJ","CB","?"))</f>
        <v> </v>
      </c>
      <c r="I4216" s="25" t="str">
        <f>IF(OR(E4216="",E4216="!!!",F4216="NEW"),"",INDEX(B4215:B$2,-1+SUMPRODUCT(MAX(ROW(E4215:E$2)*(E4216=E4215:E$2)))))</f>
        <v> </v>
      </c>
      <c r="J4216" s="25" t="str">
        <f>IF(OR(E4216="",E4216="!!!",F4216="NEW"),"",COUNTBLANK(OFFSET(A$1,,,SUMPRODUCT(MAX(ROW(E$2:E4216)*(E4216=E$2:E4216)))))-COUNTBLANK(OFFSET(A$1,,,SUMPRODUCT(MAX(ROW(E$1:E4215)*(E2=E$1:E4215))))))</f>
        <v> </v>
      </c>
      <c r="K4216" s="25" t="str">
        <f>IF(OR(E4216="",E4216="!!!",F4216="NEW"),"",INDEX(J$1:J4215,SUMPRODUCT(MAX(ROW(E$1:E4215)*(E4216=E$1:E4215)))))</f>
        <v> </v>
      </c>
      <c r="L4216" s="26"/>
    </row>
    <row r="4217" spans="1:12">
      <c r="A4217" s="20" t="s">
        <v>1123</v>
      </c>
      <c r="E4217" s="21">
        <f>IF(D4217="?OLD","!!!","")</f>
        <v/>
      </c>
      <c r="F4217" s="22" t="str">
        <f>IF(OR(E4217="",E4217="!!!"),"",IF(NOT(ISNA(VLOOKUP(E4217,E$1:E4216,1,FALSE()))),"OLD",IF(AND(E4217&lt;&gt;"",E4217&lt;&gt;"!!!"),"NEW","")))</f>
        <v> </v>
      </c>
      <c r="G4217" s="23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4" t="str">
        <f>IF(J4217&lt;&gt;1,"",IF(I4217="SBJ","CB","?"))</f>
        <v> </v>
      </c>
      <c r="I4217" s="25" t="str">
        <f>IF(OR(E4217="",E4217="!!!",F4217="NEW"),"",INDEX(B4216:B$2,-1+SUMPRODUCT(MAX(ROW(E4216:E$2)*(E4217=E4216:E$2)))))</f>
        <v> </v>
      </c>
      <c r="J4217" s="25" t="str">
        <f>IF(OR(E4217="",E4217="!!!",F4217="NEW"),"",COUNTBLANK(OFFSET(A$1,,,SUMPRODUCT(MAX(ROW(E$2:E4217)*(E4217=E$2:E4217)))))-COUNTBLANK(OFFSET(A$1,,,SUMPRODUCT(MAX(ROW(E$1:E4216)*(E2=E$1:E4216))))))</f>
        <v> </v>
      </c>
      <c r="K4217" s="25" t="str">
        <f>IF(OR(E4217="",E4217="!!!",F4217="NEW"),"",INDEX(J$1:J4216,SUMPRODUCT(MAX(ROW(E$1:E4216)*(E4217=E$1:E4216)))))</f>
        <v> </v>
      </c>
      <c r="L4217" s="26"/>
    </row>
    <row r="4218" spans="1:12">
      <c r="A4218" s="20" t="s">
        <v>2977</v>
      </c>
      <c r="B4218" s="27" t="s">
        <v>1115</v>
      </c>
      <c r="C4218" s="27" t="s">
        <v>1133</v>
      </c>
      <c r="E4218" s="21">
        <f>IF(D4218="?OLD","!!!","")</f>
        <v/>
      </c>
      <c r="F4218" s="22" t="str">
        <f>IF(OR(E4218="",E4218="!!!"),"",IF(NOT(ISNA(VLOOKUP(E4218,E$1:E4217,1,FALSE()))),"OLD",IF(AND(E4218&lt;&gt;"",E4218&lt;&gt;"!!!"),"NEW","")))</f>
        <v> </v>
      </c>
      <c r="G4218" s="23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4" t="str">
        <f>IF(J4218&lt;&gt;1,"",IF(I4218="SBJ","CB","?"))</f>
        <v> </v>
      </c>
      <c r="I4218" s="25" t="str">
        <f>IF(OR(E4218="",E4218="!!!",F4218="NEW"),"",INDEX(B4217:B$2,-1+SUMPRODUCT(MAX(ROW(E4217:E$2)*(E4218=E4217:E$2)))))</f>
        <v> </v>
      </c>
      <c r="J4218" s="25" t="str">
        <f>IF(OR(E4218="",E4218="!!!",F4218="NEW"),"",COUNTBLANK(OFFSET(A$1,,,SUMPRODUCT(MAX(ROW(E$2:E4218)*(E4218=E$2:E4218)))))-COUNTBLANK(OFFSET(A$1,,,SUMPRODUCT(MAX(ROW(E$1:E4217)*(E2=E$1:E4217))))))</f>
        <v> </v>
      </c>
      <c r="K4218" s="25" t="str">
        <f>IF(OR(E4218="",E4218="!!!",F4218="NEW"),"",INDEX(J$1:J4217,SUMPRODUCT(MAX(ROW(E$1:E4217)*(E4218=E$1:E4217)))))</f>
        <v> </v>
      </c>
      <c r="L4218" s="26"/>
    </row>
    <row r="4219" spans="1:12">
      <c r="A4219" s="20" t="s">
        <v>1123</v>
      </c>
      <c r="E4219" s="21">
        <f>IF(D4219="?OLD","!!!","")</f>
        <v/>
      </c>
      <c r="F4219" s="22" t="str">
        <f>IF(OR(E4219="",E4219="!!!"),"",IF(NOT(ISNA(VLOOKUP(E4219,E$1:E4218,1,FALSE()))),"OLD",IF(AND(E4219&lt;&gt;"",E4219&lt;&gt;"!!!"),"NEW","")))</f>
        <v> </v>
      </c>
      <c r="G4219" s="23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4" t="str">
        <f>IF(J4219&lt;&gt;1,"",IF(I4219="SBJ","CB","?"))</f>
        <v> </v>
      </c>
      <c r="I4219" s="25" t="str">
        <f>IF(OR(E4219="",E4219="!!!",F4219="NEW"),"",INDEX(B4218:B$2,-1+SUMPRODUCT(MAX(ROW(E4218:E$2)*(E4219=E4218:E$2)))))</f>
        <v> </v>
      </c>
      <c r="J4219" s="25" t="str">
        <f>IF(OR(E4219="",E4219="!!!",F4219="NEW"),"",COUNTBLANK(OFFSET(A$1,,,SUMPRODUCT(MAX(ROW(E$2:E4219)*(E4219=E$2:E4219)))))-COUNTBLANK(OFFSET(A$1,,,SUMPRODUCT(MAX(ROW(E$1:E4218)*(E2=E$1:E4218))))))</f>
        <v> </v>
      </c>
      <c r="K4219" s="25" t="str">
        <f>IF(OR(E4219="",E4219="!!!",F4219="NEW"),"",INDEX(J$1:J4218,SUMPRODUCT(MAX(ROW(E$1:E4218)*(E4219=E$1:E4218)))))</f>
        <v> </v>
      </c>
      <c r="L4219" s="26"/>
    </row>
    <row r="4220" spans="1:12">
      <c r="A4220" s="20" t="s">
        <v>1537</v>
      </c>
      <c r="E4220" s="21">
        <f>IF(D4220="?OLD","!!!","")</f>
        <v/>
      </c>
      <c r="F4220" s="22" t="str">
        <f>IF(OR(E4220="",E4220="!!!"),"",IF(NOT(ISNA(VLOOKUP(E4220,E$1:E4219,1,FALSE()))),"OLD",IF(AND(E4220&lt;&gt;"",E4220&lt;&gt;"!!!"),"NEW","")))</f>
        <v> </v>
      </c>
      <c r="G4220" s="23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4" t="str">
        <f>IF(J4220&lt;&gt;1,"",IF(I4220="SBJ","CB","?"))</f>
        <v> </v>
      </c>
      <c r="I4220" s="25" t="str">
        <f>IF(OR(E4220="",E4220="!!!",F4220="NEW"),"",INDEX(B4219:B$2,-1+SUMPRODUCT(MAX(ROW(E4219:E$2)*(E4220=E4219:E$2)))))</f>
        <v> </v>
      </c>
      <c r="J4220" s="25" t="str">
        <f>IF(OR(E4220="",E4220="!!!",F4220="NEW"),"",COUNTBLANK(OFFSET(A$1,,,SUMPRODUCT(MAX(ROW(E$2:E4220)*(E4220=E$2:E4220)))))-COUNTBLANK(OFFSET(A$1,,,SUMPRODUCT(MAX(ROW(E$1:E4219)*(E2=E$1:E4219))))))</f>
        <v> </v>
      </c>
      <c r="K4220" s="25" t="str">
        <f>IF(OR(E4220="",E4220="!!!",F4220="NEW"),"",INDEX(J$1:J4219,SUMPRODUCT(MAX(ROW(E$1:E4219)*(E4220=E$1:E4219)))))</f>
        <v> </v>
      </c>
      <c r="L4220" s="26"/>
    </row>
    <row r="4221" spans="1:12">
      <c r="A4221" s="20" t="s">
        <v>1123</v>
      </c>
      <c r="E4221" s="21">
        <f>IF(D4221="?OLD","!!!","")</f>
        <v/>
      </c>
      <c r="F4221" s="22" t="str">
        <f>IF(OR(E4221="",E4221="!!!"),"",IF(NOT(ISNA(VLOOKUP(E4221,E$1:E4220,1,FALSE()))),"OLD",IF(AND(E4221&lt;&gt;"",E4221&lt;&gt;"!!!"),"NEW","")))</f>
        <v> </v>
      </c>
      <c r="G4221" s="23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4" t="str">
        <f>IF(J4221&lt;&gt;1,"",IF(I4221="SBJ","CB","?"))</f>
        <v> </v>
      </c>
      <c r="I4221" s="25" t="str">
        <f>IF(OR(E4221="",E4221="!!!",F4221="NEW"),"",INDEX(B4220:B$2,-1+SUMPRODUCT(MAX(ROW(E4220:E$2)*(E4221=E4220:E$2)))))</f>
        <v> </v>
      </c>
      <c r="J4221" s="25" t="str">
        <f>IF(OR(E4221="",E4221="!!!",F4221="NEW"),"",COUNTBLANK(OFFSET(A$1,,,SUMPRODUCT(MAX(ROW(E$2:E4221)*(E4221=E$2:E4221)))))-COUNTBLANK(OFFSET(A$1,,,SUMPRODUCT(MAX(ROW(E$1:E4220)*(E2=E$1:E4220))))))</f>
        <v> </v>
      </c>
      <c r="K4221" s="25" t="str">
        <f>IF(OR(E4221="",E4221="!!!",F4221="NEW"),"",INDEX(J$1:J4220,SUMPRODUCT(MAX(ROW(E$1:E4220)*(E4221=E$1:E4220)))))</f>
        <v> </v>
      </c>
      <c r="L4221" s="26"/>
    </row>
    <row r="4222" spans="1:12">
      <c r="A4222" s="20" t="s">
        <v>2978</v>
      </c>
      <c r="E4222" s="21">
        <f>IF(D4222="?OLD","!!!","")</f>
        <v/>
      </c>
      <c r="F4222" s="22" t="str">
        <f>IF(OR(E4222="",E4222="!!!"),"",IF(NOT(ISNA(VLOOKUP(E4222,E$1:E4221,1,FALSE()))),"OLD",IF(AND(E4222&lt;&gt;"",E4222&lt;&gt;"!!!"),"NEW","")))</f>
        <v> </v>
      </c>
      <c r="G4222" s="23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4" t="str">
        <f>IF(J4222&lt;&gt;1,"",IF(I4222="SBJ","CB","?"))</f>
        <v> </v>
      </c>
      <c r="I4222" s="25" t="str">
        <f>IF(OR(E4222="",E4222="!!!",F4222="NEW"),"",INDEX(B4221:B$2,-1+SUMPRODUCT(MAX(ROW(E4221:E$2)*(E4222=E4221:E$2)))))</f>
        <v> </v>
      </c>
      <c r="J4222" s="25" t="str">
        <f>IF(OR(E4222="",E4222="!!!",F4222="NEW"),"",COUNTBLANK(OFFSET(A$1,,,SUMPRODUCT(MAX(ROW(E$2:E4222)*(E4222=E$2:E4222)))))-COUNTBLANK(OFFSET(A$1,,,SUMPRODUCT(MAX(ROW(E$1:E4221)*(E2=E$1:E4221))))))</f>
        <v> </v>
      </c>
      <c r="K4222" s="25" t="str">
        <f>IF(OR(E4222="",E4222="!!!",F4222="NEW"),"",INDEX(J$1:J4221,SUMPRODUCT(MAX(ROW(E$1:E4221)*(E4222=E$1:E4221)))))</f>
        <v> </v>
      </c>
      <c r="L4222" s="26"/>
    </row>
    <row r="4223" spans="1:12">
      <c r="A4223" s="20" t="s">
        <v>2979</v>
      </c>
      <c r="E4223" s="21">
        <f>IF(D4223="?OLD","!!!","")</f>
        <v/>
      </c>
      <c r="F4223" s="22" t="str">
        <f>IF(OR(E4223="",E4223="!!!"),"",IF(NOT(ISNA(VLOOKUP(E4223,E$1:E4222,1,FALSE()))),"OLD",IF(AND(E4223&lt;&gt;"",E4223&lt;&gt;"!!!"),"NEW","")))</f>
        <v> </v>
      </c>
      <c r="G4223" s="23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4" t="str">
        <f>IF(J4223&lt;&gt;1,"",IF(I4223="SBJ","CB","?"))</f>
        <v> </v>
      </c>
      <c r="I4223" s="25" t="str">
        <f>IF(OR(E4223="",E4223="!!!",F4223="NEW"),"",INDEX(B4222:B$2,-1+SUMPRODUCT(MAX(ROW(E4222:E$2)*(E4223=E4222:E$2)))))</f>
        <v> </v>
      </c>
      <c r="J4223" s="25" t="str">
        <f>IF(OR(E4223="",E4223="!!!",F4223="NEW"),"",COUNTBLANK(OFFSET(A$1,,,SUMPRODUCT(MAX(ROW(E$2:E4223)*(E4223=E$2:E4223)))))-COUNTBLANK(OFFSET(A$1,,,SUMPRODUCT(MAX(ROW(E$1:E4222)*(E2=E$1:E4222))))))</f>
        <v> </v>
      </c>
      <c r="K4223" s="25" t="str">
        <f>IF(OR(E4223="",E4223="!!!",F4223="NEW"),"",INDEX(J$1:J4222,SUMPRODUCT(MAX(ROW(E$1:E4222)*(E4223=E$1:E4222)))))</f>
        <v> </v>
      </c>
      <c r="L4223" s="26"/>
    </row>
    <row r="4224" spans="1:12">
      <c r="A4224" s="20" t="s">
        <v>2980</v>
      </c>
      <c r="E4224" s="21">
        <f>IF(D4224="?OLD","!!!","")</f>
        <v/>
      </c>
      <c r="F4224" s="22" t="str">
        <f>IF(OR(E4224="",E4224="!!!"),"",IF(NOT(ISNA(VLOOKUP(E4224,E$1:E4223,1,FALSE()))),"OLD",IF(AND(E4224&lt;&gt;"",E4224&lt;&gt;"!!!"),"NEW","")))</f>
        <v> </v>
      </c>
      <c r="G4224" s="23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4" t="str">
        <f>IF(J4224&lt;&gt;1,"",IF(I4224="SBJ","CB","?"))</f>
        <v> </v>
      </c>
      <c r="I4224" s="25" t="str">
        <f>IF(OR(E4224="",E4224="!!!",F4224="NEW"),"",INDEX(B4223:B$2,-1+SUMPRODUCT(MAX(ROW(E4223:E$2)*(E4224=E4223:E$2)))))</f>
        <v> </v>
      </c>
      <c r="J4224" s="25" t="str">
        <f>IF(OR(E4224="",E4224="!!!",F4224="NEW"),"",COUNTBLANK(OFFSET(A$1,,,SUMPRODUCT(MAX(ROW(E$2:E4224)*(E4224=E$2:E4224)))))-COUNTBLANK(OFFSET(A$1,,,SUMPRODUCT(MAX(ROW(E$1:E4223)*(E2=E$1:E4223))))))</f>
        <v> </v>
      </c>
      <c r="K4224" s="25" t="str">
        <f>IF(OR(E4224="",E4224="!!!",F4224="NEW"),"",INDEX(J$1:J4223,SUMPRODUCT(MAX(ROW(E$1:E4223)*(E4224=E$1:E4223)))))</f>
        <v> </v>
      </c>
      <c r="L4224" s="26"/>
    </row>
    <row r="4225" spans="1:12">
      <c r="A4225" s="20" t="s">
        <v>2981</v>
      </c>
      <c r="E4225" s="21">
        <f>IF(D4225="?OLD","!!!","")</f>
        <v/>
      </c>
      <c r="F4225" s="22" t="str">
        <f>IF(OR(E4225="",E4225="!!!"),"",IF(NOT(ISNA(VLOOKUP(E4225,E$1:E4224,1,FALSE()))),"OLD",IF(AND(E4225&lt;&gt;"",E4225&lt;&gt;"!!!"),"NEW","")))</f>
        <v> </v>
      </c>
      <c r="G4225" s="23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4" t="str">
        <f>IF(J4225&lt;&gt;1,"",IF(I4225="SBJ","CB","?"))</f>
        <v> </v>
      </c>
      <c r="I4225" s="25" t="str">
        <f>IF(OR(E4225="",E4225="!!!",F4225="NEW"),"",INDEX(B4224:B$2,-1+SUMPRODUCT(MAX(ROW(E4224:E$2)*(E4225=E4224:E$2)))))</f>
        <v> </v>
      </c>
      <c r="J4225" s="25" t="str">
        <f>IF(OR(E4225="",E4225="!!!",F4225="NEW"),"",COUNTBLANK(OFFSET(A$1,,,SUMPRODUCT(MAX(ROW(E$2:E4225)*(E4225=E$2:E4225)))))-COUNTBLANK(OFFSET(A$1,,,SUMPRODUCT(MAX(ROW(E$1:E4224)*(E2=E$1:E4224))))))</f>
        <v> </v>
      </c>
      <c r="K4225" s="25" t="str">
        <f>IF(OR(E4225="",E4225="!!!",F4225="NEW"),"",INDEX(J$1:J4224,SUMPRODUCT(MAX(ROW(E$1:E4224)*(E4225=E$1:E4224)))))</f>
        <v> </v>
      </c>
      <c r="L4225" s="26"/>
    </row>
    <row r="4226" spans="1:12">
      <c r="A4226" s="20" t="s">
        <v>2813</v>
      </c>
      <c r="B4226" s="27" t="s">
        <v>1115</v>
      </c>
      <c r="E4226" s="21">
        <f>IF(D4226="?OLD","!!!","")</f>
        <v/>
      </c>
      <c r="F4226" s="22" t="str">
        <f>IF(OR(E4226="",E4226="!!!"),"",IF(NOT(ISNA(VLOOKUP(E4226,E$1:E4225,1,FALSE()))),"OLD",IF(AND(E4226&lt;&gt;"",E4226&lt;&gt;"!!!"),"NEW","")))</f>
        <v> </v>
      </c>
      <c r="G4226" s="23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4" t="str">
        <f>IF(J4226&lt;&gt;1,"",IF(I4226="SBJ","CB","?"))</f>
        <v> </v>
      </c>
      <c r="I4226" s="25" t="str">
        <f>IF(OR(E4226="",E4226="!!!",F4226="NEW"),"",INDEX(B4225:B$2,-1+SUMPRODUCT(MAX(ROW(E4225:E$2)*(E4226=E4225:E$2)))))</f>
        <v> </v>
      </c>
      <c r="J4226" s="25" t="str">
        <f>IF(OR(E4226="",E4226="!!!",F4226="NEW"),"",COUNTBLANK(OFFSET(A$1,,,SUMPRODUCT(MAX(ROW(E$2:E4226)*(E4226=E$2:E4226)))))-COUNTBLANK(OFFSET(A$1,,,SUMPRODUCT(MAX(ROW(E$1:E4225)*(E2=E$1:E4225))))))</f>
        <v> </v>
      </c>
      <c r="K4226" s="25" t="str">
        <f>IF(OR(E4226="",E4226="!!!",F4226="NEW"),"",INDEX(J$1:J4225,SUMPRODUCT(MAX(ROW(E$1:E4225)*(E4226=E$1:E4225)))))</f>
        <v> </v>
      </c>
      <c r="L4226" s="26"/>
    </row>
    <row r="4227" spans="1:12">
      <c r="A4227" s="20" t="s">
        <v>1145</v>
      </c>
      <c r="E4227" s="21">
        <f>IF(D4227="?OLD","!!!","")</f>
        <v/>
      </c>
      <c r="F4227" s="22" t="str">
        <f>IF(OR(E4227="",E4227="!!!"),"",IF(NOT(ISNA(VLOOKUP(E4227,E$1:E4226,1,FALSE()))),"OLD",IF(AND(E4227&lt;&gt;"",E4227&lt;&gt;"!!!"),"NEW","")))</f>
        <v> </v>
      </c>
      <c r="G4227" s="23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4" t="str">
        <f>IF(J4227&lt;&gt;1,"",IF(I4227="SBJ","CB","?"))</f>
        <v> </v>
      </c>
      <c r="I4227" s="25" t="str">
        <f>IF(OR(E4227="",E4227="!!!",F4227="NEW"),"",INDEX(B4226:B$2,-1+SUMPRODUCT(MAX(ROW(E4226:E$2)*(E4227=E4226:E$2)))))</f>
        <v> </v>
      </c>
      <c r="J4227" s="25" t="str">
        <f>IF(OR(E4227="",E4227="!!!",F4227="NEW"),"",COUNTBLANK(OFFSET(A$1,,,SUMPRODUCT(MAX(ROW(E$2:E4227)*(E4227=E$2:E4227)))))-COUNTBLANK(OFFSET(A$1,,,SUMPRODUCT(MAX(ROW(E$1:E4226)*(E2=E$1:E4226))))))</f>
        <v> </v>
      </c>
      <c r="K4227" s="25" t="str">
        <f>IF(OR(E4227="",E4227="!!!",F4227="NEW"),"",INDEX(J$1:J4226,SUMPRODUCT(MAX(ROW(E$1:E4226)*(E4227=E$1:E4226)))))</f>
        <v> </v>
      </c>
      <c r="L4227" s="26"/>
    </row>
    <row r="4228" spans="1:12">
      <c r="A4228" s="20"/>
    </row>
    <row r="4229" spans="1:12">
      <c r="A4229" s="20" t="s">
        <v>2982</v>
      </c>
    </row>
    <row r="4230" spans="1:12">
      <c r="A4230" s="20" t="s">
        <v>1277</v>
      </c>
      <c r="E4230" s="21">
        <f>IF(D4230="?OLD","!!!","")</f>
        <v/>
      </c>
      <c r="F4230" s="22" t="str">
        <f>IF(OR(E4230="",E4230="!!!"),"",IF(NOT(ISNA(VLOOKUP(E4230,E$1:E4229,1,FALSE()))),"OLD",IF(AND(E4230&lt;&gt;"",E4230&lt;&gt;"!!!"),"NEW","")))</f>
        <v> </v>
      </c>
      <c r="G4230" s="23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4" t="str">
        <f>IF(J4230&lt;&gt;1,"",IF(I4230="SBJ","CB","?"))</f>
        <v> </v>
      </c>
      <c r="I4230" s="25" t="str">
        <f>IF(OR(E4230="",E4230="!!!",F4230="NEW"),"",INDEX(B4229:B$2,-1+SUMPRODUCT(MAX(ROW(E4229:E$2)*(E4230=E4229:E$2)))))</f>
        <v> </v>
      </c>
      <c r="J4230" s="25" t="str">
        <f>IF(OR(E4230="",E4230="!!!",F4230="NEW"),"",COUNTBLANK(OFFSET(A$1,,,SUMPRODUCT(MAX(ROW(E$2:E4230)*(E4230=E$2:E4230)))))-COUNTBLANK(OFFSET(A$1,,,SUMPRODUCT(MAX(ROW(E$1:E4229)*(E2=E$1:E4229))))))</f>
        <v> </v>
      </c>
      <c r="K4230" s="25" t="str">
        <f>IF(OR(E4230="",E4230="!!!",F4230="NEW"),"",INDEX(J$1:J4229,SUMPRODUCT(MAX(ROW(E$1:E4229)*(E4230=E$1:E4229)))))</f>
        <v> </v>
      </c>
      <c r="L4230" s="26"/>
    </row>
    <row r="4231" spans="1:12">
      <c r="A4231" s="20" t="s">
        <v>2411</v>
      </c>
      <c r="E4231" s="21">
        <f>IF(D4231="?OLD","!!!","")</f>
        <v/>
      </c>
      <c r="F4231" s="22" t="str">
        <f>IF(OR(E4231="",E4231="!!!"),"",IF(NOT(ISNA(VLOOKUP(E4231,E$1:E4230,1,FALSE()))),"OLD",IF(AND(E4231&lt;&gt;"",E4231&lt;&gt;"!!!"),"NEW","")))</f>
        <v> </v>
      </c>
      <c r="G4231" s="23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4" t="str">
        <f>IF(J4231&lt;&gt;1,"",IF(I4231="SBJ","CB","?"))</f>
        <v> </v>
      </c>
      <c r="I4231" s="25" t="str">
        <f>IF(OR(E4231="",E4231="!!!",F4231="NEW"),"",INDEX(B4230:B$2,-1+SUMPRODUCT(MAX(ROW(E4230:E$2)*(E4231=E4230:E$2)))))</f>
        <v> </v>
      </c>
      <c r="J4231" s="25" t="str">
        <f>IF(OR(E4231="",E4231="!!!",F4231="NEW"),"",COUNTBLANK(OFFSET(A$1,,,SUMPRODUCT(MAX(ROW(E$2:E4231)*(E4231=E$2:E4231)))))-COUNTBLANK(OFFSET(A$1,,,SUMPRODUCT(MAX(ROW(E$1:E4230)*(E2=E$1:E4230))))))</f>
        <v> </v>
      </c>
      <c r="K4231" s="25" t="str">
        <f>IF(OR(E4231="",E4231="!!!",F4231="NEW"),"",INDEX(J$1:J4230,SUMPRODUCT(MAX(ROW(E$1:E4230)*(E4231=E$1:E4230)))))</f>
        <v> </v>
      </c>
      <c r="L4231" s="26"/>
    </row>
    <row r="4232" spans="1:12">
      <c r="A4232" s="20" t="s">
        <v>1101</v>
      </c>
      <c r="E4232" s="21">
        <f>IF(D4232="?OLD","!!!","")</f>
        <v/>
      </c>
      <c r="F4232" s="22" t="str">
        <f>IF(OR(E4232="",E4232="!!!"),"",IF(NOT(ISNA(VLOOKUP(E4232,E$1:E4231,1,FALSE()))),"OLD",IF(AND(E4232&lt;&gt;"",E4232&lt;&gt;"!!!"),"NEW","")))</f>
        <v> </v>
      </c>
      <c r="G4232" s="23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4" t="str">
        <f>IF(J4232&lt;&gt;1,"",IF(I4232="SBJ","CB","?"))</f>
        <v> </v>
      </c>
      <c r="I4232" s="25" t="str">
        <f>IF(OR(E4232="",E4232="!!!",F4232="NEW"),"",INDEX(B4231:B$2,-1+SUMPRODUCT(MAX(ROW(E4231:E$2)*(E4232=E4231:E$2)))))</f>
        <v> </v>
      </c>
      <c r="J4232" s="25" t="str">
        <f>IF(OR(E4232="",E4232="!!!",F4232="NEW"),"",COUNTBLANK(OFFSET(A$1,,,SUMPRODUCT(MAX(ROW(E$2:E4232)*(E4232=E$2:E4232)))))-COUNTBLANK(OFFSET(A$1,,,SUMPRODUCT(MAX(ROW(E$1:E4231)*(E2=E$1:E4231))))))</f>
        <v> </v>
      </c>
      <c r="K4232" s="25" t="str">
        <f>IF(OR(E4232="",E4232="!!!",F4232="NEW"),"",INDEX(J$1:J4231,SUMPRODUCT(MAX(ROW(E$1:E4231)*(E4232=E$1:E4231)))))</f>
        <v> </v>
      </c>
      <c r="L4232" s="26"/>
    </row>
    <row r="4233" spans="1:12">
      <c r="A4233" s="20" t="s">
        <v>1274</v>
      </c>
      <c r="E4233" s="21">
        <f>IF(D4233="?OLD","!!!","")</f>
        <v/>
      </c>
      <c r="F4233" s="22" t="str">
        <f>IF(OR(E4233="",E4233="!!!"),"",IF(NOT(ISNA(VLOOKUP(E4233,E$1:E4232,1,FALSE()))),"OLD",IF(AND(E4233&lt;&gt;"",E4233&lt;&gt;"!!!"),"NEW","")))</f>
        <v> </v>
      </c>
      <c r="G4233" s="23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4" t="str">
        <f>IF(J4233&lt;&gt;1,"",IF(I4233="SBJ","CB","?"))</f>
        <v> </v>
      </c>
      <c r="I4233" s="25" t="str">
        <f>IF(OR(E4233="",E4233="!!!",F4233="NEW"),"",INDEX(B4232:B$2,-1+SUMPRODUCT(MAX(ROW(E4232:E$2)*(E4233=E4232:E$2)))))</f>
        <v> </v>
      </c>
      <c r="J4233" s="25" t="str">
        <f>IF(OR(E4233="",E4233="!!!",F4233="NEW"),"",COUNTBLANK(OFFSET(A$1,,,SUMPRODUCT(MAX(ROW(E$2:E4233)*(E4233=E$2:E4233)))))-COUNTBLANK(OFFSET(A$1,,,SUMPRODUCT(MAX(ROW(E$1:E4232)*(E2=E$1:E4232))))))</f>
        <v> </v>
      </c>
      <c r="K4233" s="25" t="str">
        <f>IF(OR(E4233="",E4233="!!!",F4233="NEW"),"",INDEX(J$1:J4232,SUMPRODUCT(MAX(ROW(E$1:E4232)*(E4233=E$1:E4232)))))</f>
        <v> </v>
      </c>
      <c r="L4233" s="26"/>
    </row>
    <row r="4234" spans="1:12">
      <c r="A4234" s="20" t="s">
        <v>2983</v>
      </c>
      <c r="B4234" s="27" t="s">
        <v>1107</v>
      </c>
      <c r="C4234" s="27" t="s">
        <v>1156</v>
      </c>
      <c r="D4234" s="27" t="s">
        <v>1105</v>
      </c>
      <c r="E4234" s="21">
        <f>IF(D4234="?OLD","!!!","")</f>
        <v/>
      </c>
      <c r="F4234" s="22" t="str">
        <f>IF(OR(E4234="",E4234="!!!"),"",IF(NOT(ISNA(VLOOKUP(E4234,E$1:E4233,1,FALSE()))),"OLD",IF(AND(E4234&lt;&gt;"",E4234&lt;&gt;"!!!"),"NEW","")))</f>
        <v> </v>
      </c>
      <c r="G4234" s="23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4" t="str">
        <f>IF(J4234&lt;&gt;1,"",IF(I4234="SBJ","CB","?"))</f>
        <v> </v>
      </c>
      <c r="I4234" s="25" t="str">
        <f>IF(OR(E4234="",E4234="!!!",F4234="NEW"),"",INDEX(B4233:B$2,-1+SUMPRODUCT(MAX(ROW(E4233:E$2)*(E4234=E4233:E$2)))))</f>
        <v> </v>
      </c>
      <c r="J4234" s="25" t="str">
        <f>IF(OR(E4234="",E4234="!!!",F4234="NEW"),"",COUNTBLANK(OFFSET(A$1,,,SUMPRODUCT(MAX(ROW(E$2:E4234)*(E4234=E$2:E4234)))))-COUNTBLANK(OFFSET(A$1,,,SUMPRODUCT(MAX(ROW(E$1:E4233)*(E2=E$1:E4233))))))</f>
        <v> </v>
      </c>
      <c r="K4234" s="25" t="str">
        <f>IF(OR(E4234="",E4234="!!!",F4234="NEW"),"",INDEX(J$1:J4233,SUMPRODUCT(MAX(ROW(E$1:E4233)*(E4234=E$1:E4233)))))</f>
        <v> </v>
      </c>
      <c r="L4234" s="26"/>
    </row>
    <row r="4235" spans="1:12">
      <c r="A4235" s="20" t="s">
        <v>1217</v>
      </c>
      <c r="B4235" s="27" t="s">
        <v>1149</v>
      </c>
      <c r="C4235" s="27" t="s">
        <v>1126</v>
      </c>
      <c r="D4235" s="27" t="s">
        <v>1105</v>
      </c>
      <c r="E4235" s="21">
        <f>IF(D4235="?OLD","!!!","")</f>
        <v/>
      </c>
      <c r="F4235" s="22" t="str">
        <f>IF(OR(E4235="",E4235="!!!"),"",IF(NOT(ISNA(VLOOKUP(E4235,E$1:E4234,1,FALSE()))),"OLD",IF(AND(E4235&lt;&gt;"",E4235&lt;&gt;"!!!"),"NEW","")))</f>
        <v> </v>
      </c>
      <c r="G4235" s="23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4" t="str">
        <f>IF(J4235&lt;&gt;1,"",IF(I4235="SBJ","CB","?"))</f>
        <v> </v>
      </c>
      <c r="I4235" s="25" t="str">
        <f>IF(OR(E4235="",E4235="!!!",F4235="NEW"),"",INDEX(B4234:B$2,-1+SUMPRODUCT(MAX(ROW(E4234:E$2)*(E4235=E4234:E$2)))))</f>
        <v> </v>
      </c>
      <c r="J4235" s="25" t="str">
        <f>IF(OR(E4235="",E4235="!!!",F4235="NEW"),"",COUNTBLANK(OFFSET(A$1,,,SUMPRODUCT(MAX(ROW(E$2:E4235)*(E4235=E$2:E4235)))))-COUNTBLANK(OFFSET(A$1,,,SUMPRODUCT(MAX(ROW(E$1:E4234)*(E2=E$1:E4234))))))</f>
        <v> </v>
      </c>
      <c r="K4235" s="25" t="str">
        <f>IF(OR(E4235="",E4235="!!!",F4235="NEW"),"",INDEX(J$1:J4234,SUMPRODUCT(MAX(ROW(E$1:E4234)*(E4235=E$1:E4234)))))</f>
        <v> </v>
      </c>
      <c r="L4235" s="26"/>
    </row>
    <row r="4236" spans="1:12">
      <c r="A4236" s="20" t="s">
        <v>2956</v>
      </c>
      <c r="E4236" s="21">
        <f>IF(D4236="?OLD","!!!","")</f>
        <v/>
      </c>
      <c r="F4236" s="22" t="str">
        <f>IF(OR(E4236="",E4236="!!!"),"",IF(NOT(ISNA(VLOOKUP(E4236,E$1:E4235,1,FALSE()))),"OLD",IF(AND(E4236&lt;&gt;"",E4236&lt;&gt;"!!!"),"NEW","")))</f>
        <v> </v>
      </c>
      <c r="G4236" s="23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4" t="str">
        <f>IF(J4236&lt;&gt;1,"",IF(I4236="SBJ","CB","?"))</f>
        <v> </v>
      </c>
      <c r="I4236" s="25" t="str">
        <f>IF(OR(E4236="",E4236="!!!",F4236="NEW"),"",INDEX(B4235:B$2,-1+SUMPRODUCT(MAX(ROW(E4235:E$2)*(E4236=E4235:E$2)))))</f>
        <v> </v>
      </c>
      <c r="J4236" s="25" t="str">
        <f>IF(OR(E4236="",E4236="!!!",F4236="NEW"),"",COUNTBLANK(OFFSET(A$1,,,SUMPRODUCT(MAX(ROW(E$2:E4236)*(E4236=E$2:E4236)))))-COUNTBLANK(OFFSET(A$1,,,SUMPRODUCT(MAX(ROW(E$1:E4235)*(E2=E$1:E4235))))))</f>
        <v> </v>
      </c>
      <c r="K4236" s="25" t="str">
        <f>IF(OR(E4236="",E4236="!!!",F4236="NEW"),"",INDEX(J$1:J4235,SUMPRODUCT(MAX(ROW(E$1:E4235)*(E4236=E$1:E4235)))))</f>
        <v> </v>
      </c>
      <c r="L4236" s="26"/>
    </row>
    <row r="4237" spans="1:12">
      <c r="A4237" s="20" t="s">
        <v>2984</v>
      </c>
      <c r="B4237" s="27" t="s">
        <v>1213</v>
      </c>
      <c r="E4237" s="21">
        <f>IF(D4237="?OLD","!!!","")</f>
        <v/>
      </c>
      <c r="F4237" s="22" t="str">
        <f>IF(OR(E4237="",E4237="!!!"),"",IF(NOT(ISNA(VLOOKUP(E4237,E$1:E4236,1,FALSE()))),"OLD",IF(AND(E4237&lt;&gt;"",E4237&lt;&gt;"!!!"),"NEW","")))</f>
        <v> </v>
      </c>
      <c r="G4237" s="23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4" t="str">
        <f>IF(J4237&lt;&gt;1,"",IF(I4237="SBJ","CB","?"))</f>
        <v> </v>
      </c>
      <c r="I4237" s="25" t="str">
        <f>IF(OR(E4237="",E4237="!!!",F4237="NEW"),"",INDEX(B4236:B$2,-1+SUMPRODUCT(MAX(ROW(E4236:E$2)*(E4237=E4236:E$2)))))</f>
        <v> </v>
      </c>
      <c r="J4237" s="25" t="str">
        <f>IF(OR(E4237="",E4237="!!!",F4237="NEW"),"",COUNTBLANK(OFFSET(A$1,,,SUMPRODUCT(MAX(ROW(E$2:E4237)*(E4237=E$2:E4237)))))-COUNTBLANK(OFFSET(A$1,,,SUMPRODUCT(MAX(ROW(E$1:E4236)*(E2=E$1:E4236))))))</f>
        <v> </v>
      </c>
      <c r="K4237" s="25" t="str">
        <f>IF(OR(E4237="",E4237="!!!",F4237="NEW"),"",INDEX(J$1:J4236,SUMPRODUCT(MAX(ROW(E$1:E4236)*(E4237=E$1:E4236)))))</f>
        <v> </v>
      </c>
      <c r="L4237" s="26"/>
    </row>
    <row r="4238" spans="1:12">
      <c r="A4238" s="20" t="s">
        <v>1184</v>
      </c>
      <c r="E4238" s="21">
        <f>IF(D4238="?OLD","!!!","")</f>
        <v/>
      </c>
      <c r="F4238" s="22" t="str">
        <f>IF(OR(E4238="",E4238="!!!"),"",IF(NOT(ISNA(VLOOKUP(E4238,E$1:E4237,1,FALSE()))),"OLD",IF(AND(E4238&lt;&gt;"",E4238&lt;&gt;"!!!"),"NEW","")))</f>
        <v> </v>
      </c>
      <c r="G4238" s="23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4" t="str">
        <f>IF(J4238&lt;&gt;1,"",IF(I4238="SBJ","CB","?"))</f>
        <v> </v>
      </c>
      <c r="I4238" s="25" t="str">
        <f>IF(OR(E4238="",E4238="!!!",F4238="NEW"),"",INDEX(B4237:B$2,-1+SUMPRODUCT(MAX(ROW(E4237:E$2)*(E4238=E4237:E$2)))))</f>
        <v> </v>
      </c>
      <c r="J4238" s="25" t="str">
        <f>IF(OR(E4238="",E4238="!!!",F4238="NEW"),"",COUNTBLANK(OFFSET(A$1,,,SUMPRODUCT(MAX(ROW(E$2:E4238)*(E4238=E$2:E4238)))))-COUNTBLANK(OFFSET(A$1,,,SUMPRODUCT(MAX(ROW(E$1:E4237)*(E2=E$1:E4237))))))</f>
        <v> </v>
      </c>
      <c r="K4238" s="25" t="str">
        <f>IF(OR(E4238="",E4238="!!!",F4238="NEW"),"",INDEX(J$1:J4237,SUMPRODUCT(MAX(ROW(E$1:E4237)*(E4238=E$1:E4237)))))</f>
        <v> </v>
      </c>
      <c r="L4238" s="26"/>
    </row>
    <row r="4239" spans="1:12">
      <c r="A4239" s="20" t="s">
        <v>2985</v>
      </c>
      <c r="E4239" s="21">
        <f>IF(D4239="?OLD","!!!","")</f>
        <v/>
      </c>
      <c r="F4239" s="22" t="str">
        <f>IF(OR(E4239="",E4239="!!!"),"",IF(NOT(ISNA(VLOOKUP(E4239,E$1:E4238,1,FALSE()))),"OLD",IF(AND(E4239&lt;&gt;"",E4239&lt;&gt;"!!!"),"NEW","")))</f>
        <v> </v>
      </c>
      <c r="G4239" s="23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4" t="str">
        <f>IF(J4239&lt;&gt;1,"",IF(I4239="SBJ","CB","?"))</f>
        <v> </v>
      </c>
      <c r="I4239" s="25" t="str">
        <f>IF(OR(E4239="",E4239="!!!",F4239="NEW"),"",INDEX(B4238:B$2,-1+SUMPRODUCT(MAX(ROW(E4238:E$2)*(E4239=E4238:E$2)))))</f>
        <v> </v>
      </c>
      <c r="J4239" s="25" t="str">
        <f>IF(OR(E4239="",E4239="!!!",F4239="NEW"),"",COUNTBLANK(OFFSET(A$1,,,SUMPRODUCT(MAX(ROW(E$2:E4239)*(E4239=E$2:E4239)))))-COUNTBLANK(OFFSET(A$1,,,SUMPRODUCT(MAX(ROW(E$1:E4238)*(E2=E$1:E4238))))))</f>
        <v> </v>
      </c>
      <c r="K4239" s="25" t="str">
        <f>IF(OR(E4239="",E4239="!!!",F4239="NEW"),"",INDEX(J$1:J4238,SUMPRODUCT(MAX(ROW(E$1:E4238)*(E4239=E$1:E4238)))))</f>
        <v> </v>
      </c>
      <c r="L4239" s="26"/>
    </row>
    <row r="4240" spans="1:12">
      <c r="A4240" s="20" t="s">
        <v>1123</v>
      </c>
      <c r="E4240" s="21">
        <f>IF(D4240="?OLD","!!!","")</f>
        <v/>
      </c>
      <c r="F4240" s="22" t="str">
        <f>IF(OR(E4240="",E4240="!!!"),"",IF(NOT(ISNA(VLOOKUP(E4240,E$1:E4239,1,FALSE()))),"OLD",IF(AND(E4240&lt;&gt;"",E4240&lt;&gt;"!!!"),"NEW","")))</f>
        <v> </v>
      </c>
      <c r="G4240" s="23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4" t="str">
        <f>IF(J4240&lt;&gt;1,"",IF(I4240="SBJ","CB","?"))</f>
        <v> </v>
      </c>
      <c r="I4240" s="25" t="str">
        <f>IF(OR(E4240="",E4240="!!!",F4240="NEW"),"",INDEX(B4239:B$2,-1+SUMPRODUCT(MAX(ROW(E4239:E$2)*(E4240=E4239:E$2)))))</f>
        <v> </v>
      </c>
      <c r="J4240" s="25" t="str">
        <f>IF(OR(E4240="",E4240="!!!",F4240="NEW"),"",COUNTBLANK(OFFSET(A$1,,,SUMPRODUCT(MAX(ROW(E$2:E4240)*(E4240=E$2:E4240)))))-COUNTBLANK(OFFSET(A$1,,,SUMPRODUCT(MAX(ROW(E$1:E4239)*(E2=E$1:E4239))))))</f>
        <v> </v>
      </c>
      <c r="K4240" s="25" t="str">
        <f>IF(OR(E4240="",E4240="!!!",F4240="NEW"),"",INDEX(J$1:J4239,SUMPRODUCT(MAX(ROW(E$1:E4239)*(E4240=E$1:E4239)))))</f>
        <v> </v>
      </c>
      <c r="L4240" s="26"/>
    </row>
    <row r="4241" spans="1:12">
      <c r="A4241" s="20" t="s">
        <v>2986</v>
      </c>
      <c r="E4241" s="21">
        <f>IF(D4241="?OLD","!!!","")</f>
        <v/>
      </c>
      <c r="F4241" s="22" t="str">
        <f>IF(OR(E4241="",E4241="!!!"),"",IF(NOT(ISNA(VLOOKUP(E4241,E$1:E4240,1,FALSE()))),"OLD",IF(AND(E4241&lt;&gt;"",E4241&lt;&gt;"!!!"),"NEW","")))</f>
        <v> </v>
      </c>
      <c r="G4241" s="23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4" t="str">
        <f>IF(J4241&lt;&gt;1,"",IF(I4241="SBJ","CB","?"))</f>
        <v> </v>
      </c>
      <c r="I4241" s="25" t="str">
        <f>IF(OR(E4241="",E4241="!!!",F4241="NEW"),"",INDEX(B4240:B$2,-1+SUMPRODUCT(MAX(ROW(E4240:E$2)*(E4241=E4240:E$2)))))</f>
        <v> </v>
      </c>
      <c r="J4241" s="25" t="str">
        <f>IF(OR(E4241="",E4241="!!!",F4241="NEW"),"",COUNTBLANK(OFFSET(A$1,,,SUMPRODUCT(MAX(ROW(E$2:E4241)*(E4241=E$2:E4241)))))-COUNTBLANK(OFFSET(A$1,,,SUMPRODUCT(MAX(ROW(E$1:E4240)*(E2=E$1:E4240))))))</f>
        <v> </v>
      </c>
      <c r="K4241" s="25" t="str">
        <f>IF(OR(E4241="",E4241="!!!",F4241="NEW"),"",INDEX(J$1:J4240,SUMPRODUCT(MAX(ROW(E$1:E4240)*(E4241=E$1:E4240)))))</f>
        <v> </v>
      </c>
      <c r="L4241" s="26"/>
    </row>
    <row r="4242" spans="1:12">
      <c r="A4242" s="20" t="s">
        <v>1128</v>
      </c>
      <c r="E4242" s="21">
        <f>IF(D4242="?OLD","!!!","")</f>
        <v/>
      </c>
      <c r="F4242" s="22" t="str">
        <f>IF(OR(E4242="",E4242="!!!"),"",IF(NOT(ISNA(VLOOKUP(E4242,E$1:E4241,1,FALSE()))),"OLD",IF(AND(E4242&lt;&gt;"",E4242&lt;&gt;"!!!"),"NEW","")))</f>
        <v> </v>
      </c>
      <c r="G4242" s="23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4" t="str">
        <f>IF(J4242&lt;&gt;1,"",IF(I4242="SBJ","CB","?"))</f>
        <v> </v>
      </c>
      <c r="I4242" s="25" t="str">
        <f>IF(OR(E4242="",E4242="!!!",F4242="NEW"),"",INDEX(B4241:B$2,-1+SUMPRODUCT(MAX(ROW(E4241:E$2)*(E4242=E4241:E$2)))))</f>
        <v> </v>
      </c>
      <c r="J4242" s="25" t="str">
        <f>IF(OR(E4242="",E4242="!!!",F4242="NEW"),"",COUNTBLANK(OFFSET(A$1,,,SUMPRODUCT(MAX(ROW(E$2:E4242)*(E4242=E$2:E4242)))))-COUNTBLANK(OFFSET(A$1,,,SUMPRODUCT(MAX(ROW(E$1:E4241)*(E2=E$1:E4241))))))</f>
        <v> </v>
      </c>
      <c r="K4242" s="25" t="str">
        <f>IF(OR(E4242="",E4242="!!!",F4242="NEW"),"",INDEX(J$1:J4241,SUMPRODUCT(MAX(ROW(E$1:E4241)*(E4242=E$1:E4241)))))</f>
        <v> </v>
      </c>
      <c r="L4242" s="26"/>
    </row>
    <row r="4243" spans="1:12">
      <c r="A4243" s="20" t="s">
        <v>2987</v>
      </c>
      <c r="E4243" s="21">
        <f>IF(D4243="?OLD","!!!","")</f>
        <v/>
      </c>
      <c r="F4243" s="22" t="str">
        <f>IF(OR(E4243="",E4243="!!!"),"",IF(NOT(ISNA(VLOOKUP(E4243,E$1:E4242,1,FALSE()))),"OLD",IF(AND(E4243&lt;&gt;"",E4243&lt;&gt;"!!!"),"NEW","")))</f>
        <v> </v>
      </c>
      <c r="G4243" s="23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4" t="str">
        <f>IF(J4243&lt;&gt;1,"",IF(I4243="SBJ","CB","?"))</f>
        <v> </v>
      </c>
      <c r="I4243" s="25" t="str">
        <f>IF(OR(E4243="",E4243="!!!",F4243="NEW"),"",INDEX(B4242:B$2,-1+SUMPRODUCT(MAX(ROW(E4242:E$2)*(E4243=E4242:E$2)))))</f>
        <v> </v>
      </c>
      <c r="J4243" s="25" t="str">
        <f>IF(OR(E4243="",E4243="!!!",F4243="NEW"),"",COUNTBLANK(OFFSET(A$1,,,SUMPRODUCT(MAX(ROW(E$2:E4243)*(E4243=E$2:E4243)))))-COUNTBLANK(OFFSET(A$1,,,SUMPRODUCT(MAX(ROW(E$1:E4242)*(E2=E$1:E4242))))))</f>
        <v> </v>
      </c>
      <c r="K4243" s="25" t="str">
        <f>IF(OR(E4243="",E4243="!!!",F4243="NEW"),"",INDEX(J$1:J4242,SUMPRODUCT(MAX(ROW(E$1:E4242)*(E4243=E$1:E4242)))))</f>
        <v> </v>
      </c>
      <c r="L4243" s="26"/>
    </row>
    <row r="4244" spans="1:12">
      <c r="A4244" s="20" t="s">
        <v>2988</v>
      </c>
      <c r="E4244" s="21">
        <f>IF(D4244="?OLD","!!!","")</f>
        <v/>
      </c>
      <c r="F4244" s="22" t="str">
        <f>IF(OR(E4244="",E4244="!!!"),"",IF(NOT(ISNA(VLOOKUP(E4244,E$1:E4243,1,FALSE()))),"OLD",IF(AND(E4244&lt;&gt;"",E4244&lt;&gt;"!!!"),"NEW","")))</f>
        <v> </v>
      </c>
      <c r="G4244" s="23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4" t="str">
        <f>IF(J4244&lt;&gt;1,"",IF(I4244="SBJ","CB","?"))</f>
        <v> </v>
      </c>
      <c r="I4244" s="25" t="str">
        <f>IF(OR(E4244="",E4244="!!!",F4244="NEW"),"",INDEX(B4243:B$2,-1+SUMPRODUCT(MAX(ROW(E4243:E$2)*(E4244=E4243:E$2)))))</f>
        <v> </v>
      </c>
      <c r="J4244" s="25" t="str">
        <f>IF(OR(E4244="",E4244="!!!",F4244="NEW"),"",COUNTBLANK(OFFSET(A$1,,,SUMPRODUCT(MAX(ROW(E$2:E4244)*(E4244=E$2:E4244)))))-COUNTBLANK(OFFSET(A$1,,,SUMPRODUCT(MAX(ROW(E$1:E4243)*(E2=E$1:E4243))))))</f>
        <v> </v>
      </c>
      <c r="K4244" s="25" t="str">
        <f>IF(OR(E4244="",E4244="!!!",F4244="NEW"),"",INDEX(J$1:J4243,SUMPRODUCT(MAX(ROW(E$1:E4243)*(E4244=E$1:E4243)))))</f>
        <v> </v>
      </c>
      <c r="L4244" s="26"/>
    </row>
    <row r="4245" spans="1:12">
      <c r="A4245" s="20" t="s">
        <v>2989</v>
      </c>
      <c r="E4245" s="21">
        <f>IF(D4245="?OLD","!!!","")</f>
        <v/>
      </c>
      <c r="F4245" s="22" t="str">
        <f>IF(OR(E4245="",E4245="!!!"),"",IF(NOT(ISNA(VLOOKUP(E4245,E$1:E4244,1,FALSE()))),"OLD",IF(AND(E4245&lt;&gt;"",E4245&lt;&gt;"!!!"),"NEW","")))</f>
        <v> </v>
      </c>
      <c r="G4245" s="23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4" t="str">
        <f>IF(J4245&lt;&gt;1,"",IF(I4245="SBJ","CB","?"))</f>
        <v> </v>
      </c>
      <c r="I4245" s="25" t="str">
        <f>IF(OR(E4245="",E4245="!!!",F4245="NEW"),"",INDEX(B4244:B$2,-1+SUMPRODUCT(MAX(ROW(E4244:E$2)*(E4245=E4244:E$2)))))</f>
        <v> </v>
      </c>
      <c r="J4245" s="25" t="str">
        <f>IF(OR(E4245="",E4245="!!!",F4245="NEW"),"",COUNTBLANK(OFFSET(A$1,,,SUMPRODUCT(MAX(ROW(E$2:E4245)*(E4245=E$2:E4245)))))-COUNTBLANK(OFFSET(A$1,,,SUMPRODUCT(MAX(ROW(E$1:E4244)*(E2=E$1:E4244))))))</f>
        <v> </v>
      </c>
      <c r="K4245" s="25" t="str">
        <f>IF(OR(E4245="",E4245="!!!",F4245="NEW"),"",INDEX(J$1:J4244,SUMPRODUCT(MAX(ROW(E$1:E4244)*(E4245=E$1:E4244)))))</f>
        <v> </v>
      </c>
      <c r="L4245" s="26"/>
    </row>
    <row r="4246" spans="1:12">
      <c r="A4246" s="20" t="s">
        <v>1145</v>
      </c>
      <c r="E4246" s="21">
        <f>IF(D4246="?OLD","!!!","")</f>
        <v/>
      </c>
      <c r="F4246" s="22" t="str">
        <f>IF(OR(E4246="",E4246="!!!"),"",IF(NOT(ISNA(VLOOKUP(E4246,E$1:E4245,1,FALSE()))),"OLD",IF(AND(E4246&lt;&gt;"",E4246&lt;&gt;"!!!"),"NEW","")))</f>
        <v> </v>
      </c>
      <c r="G4246" s="23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4" t="str">
        <f>IF(J4246&lt;&gt;1,"",IF(I4246="SBJ","CB","?"))</f>
        <v> </v>
      </c>
      <c r="I4246" s="25" t="str">
        <f>IF(OR(E4246="",E4246="!!!",F4246="NEW"),"",INDEX(B4245:B$2,-1+SUMPRODUCT(MAX(ROW(E4245:E$2)*(E4246=E4245:E$2)))))</f>
        <v> </v>
      </c>
      <c r="J4246" s="25" t="str">
        <f>IF(OR(E4246="",E4246="!!!",F4246="NEW"),"",COUNTBLANK(OFFSET(A$1,,,SUMPRODUCT(MAX(ROW(E$2:E4246)*(E4246=E$2:E4246)))))-COUNTBLANK(OFFSET(A$1,,,SUMPRODUCT(MAX(ROW(E$1:E4245)*(E2=E$1:E4245))))))</f>
        <v> </v>
      </c>
      <c r="K4246" s="25" t="str">
        <f>IF(OR(E4246="",E4246="!!!",F4246="NEW"),"",INDEX(J$1:J4245,SUMPRODUCT(MAX(ROW(E$1:E4245)*(E4246=E$1:E4245)))))</f>
        <v> </v>
      </c>
      <c r="L4246" s="26"/>
    </row>
    <row r="4247" spans="1:12">
      <c r="A4247" s="20"/>
    </row>
    <row r="4248" spans="1:12">
      <c r="A4248" s="20" t="s">
        <v>2990</v>
      </c>
    </row>
    <row r="4249" spans="1:12">
      <c r="A4249" s="20" t="s">
        <v>1433</v>
      </c>
      <c r="E4249" s="21">
        <f>IF(D4249="?OLD","!!!","")</f>
        <v/>
      </c>
      <c r="F4249" s="22" t="str">
        <f>IF(OR(E4249="",E4249="!!!"),"",IF(NOT(ISNA(VLOOKUP(E4249,E$1:E4248,1,FALSE()))),"OLD",IF(AND(E4249&lt;&gt;"",E4249&lt;&gt;"!!!"),"NEW","")))</f>
        <v> </v>
      </c>
      <c r="G4249" s="23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4" t="str">
        <f>IF(J4249&lt;&gt;1,"",IF(I4249="SBJ","CB","?"))</f>
        <v> </v>
      </c>
      <c r="I4249" s="25" t="str">
        <f>IF(OR(E4249="",E4249="!!!",F4249="NEW"),"",INDEX(B4248:B$2,-1+SUMPRODUCT(MAX(ROW(E4248:E$2)*(E4249=E4248:E$2)))))</f>
        <v> </v>
      </c>
      <c r="J4249" s="25" t="str">
        <f>IF(OR(E4249="",E4249="!!!",F4249="NEW"),"",COUNTBLANK(OFFSET(A$1,,,SUMPRODUCT(MAX(ROW(E$2:E4249)*(E4249=E$2:E4249)))))-COUNTBLANK(OFFSET(A$1,,,SUMPRODUCT(MAX(ROW(E$1:E4248)*(E2=E$1:E4248))))))</f>
        <v> </v>
      </c>
      <c r="K4249" s="25" t="str">
        <f>IF(OR(E4249="",E4249="!!!",F4249="NEW"),"",INDEX(J$1:J4248,SUMPRODUCT(MAX(ROW(E$1:E4248)*(E4249=E$1:E4248)))))</f>
        <v> </v>
      </c>
      <c r="L4249" s="26"/>
    </row>
    <row r="4250" spans="1:12">
      <c r="A4250" s="20" t="s">
        <v>1123</v>
      </c>
      <c r="E4250" s="21">
        <f>IF(D4250="?OLD","!!!","")</f>
        <v/>
      </c>
      <c r="F4250" s="22" t="str">
        <f>IF(OR(E4250="",E4250="!!!"),"",IF(NOT(ISNA(VLOOKUP(E4250,E$1:E4249,1,FALSE()))),"OLD",IF(AND(E4250&lt;&gt;"",E4250&lt;&gt;"!!!"),"NEW","")))</f>
        <v> </v>
      </c>
      <c r="G4250" s="23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4" t="str">
        <f>IF(J4250&lt;&gt;1,"",IF(I4250="SBJ","CB","?"))</f>
        <v> </v>
      </c>
      <c r="I4250" s="25" t="str">
        <f>IF(OR(E4250="",E4250="!!!",F4250="NEW"),"",INDEX(B4249:B$2,-1+SUMPRODUCT(MAX(ROW(E4249:E$2)*(E4250=E4249:E$2)))))</f>
        <v> </v>
      </c>
      <c r="J4250" s="25" t="str">
        <f>IF(OR(E4250="",E4250="!!!",F4250="NEW"),"",COUNTBLANK(OFFSET(A$1,,,SUMPRODUCT(MAX(ROW(E$2:E4250)*(E4250=E$2:E4250)))))-COUNTBLANK(OFFSET(A$1,,,SUMPRODUCT(MAX(ROW(E$1:E4249)*(E2=E$1:E4249))))))</f>
        <v> </v>
      </c>
      <c r="K4250" s="25" t="str">
        <f>IF(OR(E4250="",E4250="!!!",F4250="NEW"),"",INDEX(J$1:J4249,SUMPRODUCT(MAX(ROW(E$1:E4249)*(E4250=E$1:E4249)))))</f>
        <v> </v>
      </c>
      <c r="L4250" s="26"/>
    </row>
    <row r="4251" spans="1:12">
      <c r="A4251" s="20" t="s">
        <v>1537</v>
      </c>
      <c r="E4251" s="21">
        <f>IF(D4251="?OLD","!!!","")</f>
        <v/>
      </c>
      <c r="F4251" s="22" t="str">
        <f>IF(OR(E4251="",E4251="!!!"),"",IF(NOT(ISNA(VLOOKUP(E4251,E$1:E4250,1,FALSE()))),"OLD",IF(AND(E4251&lt;&gt;"",E4251&lt;&gt;"!!!"),"NEW","")))</f>
        <v> </v>
      </c>
      <c r="G4251" s="23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4" t="str">
        <f>IF(J4251&lt;&gt;1,"",IF(I4251="SBJ","CB","?"))</f>
        <v> </v>
      </c>
      <c r="I4251" s="25" t="str">
        <f>IF(OR(E4251="",E4251="!!!",F4251="NEW"),"",INDEX(B4250:B$2,-1+SUMPRODUCT(MAX(ROW(E4250:E$2)*(E4251=E4250:E$2)))))</f>
        <v> </v>
      </c>
      <c r="J4251" s="25" t="str">
        <f>IF(OR(E4251="",E4251="!!!",F4251="NEW"),"",COUNTBLANK(OFFSET(A$1,,,SUMPRODUCT(MAX(ROW(E$2:E4251)*(E4251=E$2:E4251)))))-COUNTBLANK(OFFSET(A$1,,,SUMPRODUCT(MAX(ROW(E$1:E4250)*(E2=E$1:E4250))))))</f>
        <v> </v>
      </c>
      <c r="K4251" s="25" t="str">
        <f>IF(OR(E4251="",E4251="!!!",F4251="NEW"),"",INDEX(J$1:J4250,SUMPRODUCT(MAX(ROW(E$1:E4250)*(E4251=E$1:E4250)))))</f>
        <v> </v>
      </c>
      <c r="L4251" s="26"/>
    </row>
    <row r="4252" spans="1:12">
      <c r="A4252" s="20" t="s">
        <v>1123</v>
      </c>
      <c r="E4252" s="21">
        <f>IF(D4252="?OLD","!!!","")</f>
        <v/>
      </c>
      <c r="F4252" s="22" t="str">
        <f>IF(OR(E4252="",E4252="!!!"),"",IF(NOT(ISNA(VLOOKUP(E4252,E$1:E4251,1,FALSE()))),"OLD",IF(AND(E4252&lt;&gt;"",E4252&lt;&gt;"!!!"),"NEW","")))</f>
        <v> </v>
      </c>
      <c r="G4252" s="23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4" t="str">
        <f>IF(J4252&lt;&gt;1,"",IF(I4252="SBJ","CB","?"))</f>
        <v> </v>
      </c>
      <c r="I4252" s="25" t="str">
        <f>IF(OR(E4252="",E4252="!!!",F4252="NEW"),"",INDEX(B4251:B$2,-1+SUMPRODUCT(MAX(ROW(E4251:E$2)*(E4252=E4251:E$2)))))</f>
        <v> </v>
      </c>
      <c r="J4252" s="25" t="str">
        <f>IF(OR(E4252="",E4252="!!!",F4252="NEW"),"",COUNTBLANK(OFFSET(A$1,,,SUMPRODUCT(MAX(ROW(E$2:E4252)*(E4252=E$2:E4252)))))-COUNTBLANK(OFFSET(A$1,,,SUMPRODUCT(MAX(ROW(E$1:E4251)*(E2=E$1:E4251))))))</f>
        <v> </v>
      </c>
      <c r="K4252" s="25" t="str">
        <f>IF(OR(E4252="",E4252="!!!",F4252="NEW"),"",INDEX(J$1:J4251,SUMPRODUCT(MAX(ROW(E$1:E4251)*(E4252=E$1:E4251)))))</f>
        <v> </v>
      </c>
      <c r="L4252" s="26"/>
    </row>
    <row r="4253" spans="1:12">
      <c r="A4253" s="20" t="s">
        <v>1507</v>
      </c>
      <c r="B4253" s="27" t="s">
        <v>1149</v>
      </c>
      <c r="C4253" s="27" t="s">
        <v>1108</v>
      </c>
      <c r="D4253" s="27" t="s">
        <v>1105</v>
      </c>
      <c r="E4253" s="21">
        <f>IF(D4253="?OLD","!!!","")</f>
        <v/>
      </c>
      <c r="F4253" s="22" t="str">
        <f>IF(OR(E4253="",E4253="!!!"),"",IF(NOT(ISNA(VLOOKUP(E4253,E$1:E4252,1,FALSE()))),"OLD",IF(AND(E4253&lt;&gt;"",E4253&lt;&gt;"!!!"),"NEW","")))</f>
        <v> </v>
      </c>
      <c r="G4253" s="23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4" t="str">
        <f>IF(J4253&lt;&gt;1,"",IF(I4253="SBJ","CB","?"))</f>
        <v> </v>
      </c>
      <c r="I4253" s="25" t="str">
        <f>IF(OR(E4253="",E4253="!!!",F4253="NEW"),"",INDEX(B4252:B$2,-1+SUMPRODUCT(MAX(ROW(E4252:E$2)*(E4253=E4252:E$2)))))</f>
        <v> </v>
      </c>
      <c r="J4253" s="25" t="str">
        <f>IF(OR(E4253="",E4253="!!!",F4253="NEW"),"",COUNTBLANK(OFFSET(A$1,,,SUMPRODUCT(MAX(ROW(E$2:E4253)*(E4253=E$2:E4253)))))-COUNTBLANK(OFFSET(A$1,,,SUMPRODUCT(MAX(ROW(E$1:E4252)*(E2=E$1:E4252))))))</f>
        <v> </v>
      </c>
      <c r="K4253" s="25" t="str">
        <f>IF(OR(E4253="",E4253="!!!",F4253="NEW"),"",INDEX(J$1:J4252,SUMPRODUCT(MAX(ROW(E$1:E4252)*(E4253=E$1:E4252)))))</f>
        <v> </v>
      </c>
      <c r="L4253" s="26"/>
    </row>
    <row r="4254" spans="1:12">
      <c r="A4254" s="20" t="s">
        <v>1128</v>
      </c>
      <c r="E4254" s="21">
        <f>IF(D4254="?OLD","!!!","")</f>
        <v/>
      </c>
      <c r="F4254" s="22" t="str">
        <f>IF(OR(E4254="",E4254="!!!"),"",IF(NOT(ISNA(VLOOKUP(E4254,E$1:E4253,1,FALSE()))),"OLD",IF(AND(E4254&lt;&gt;"",E4254&lt;&gt;"!!!"),"NEW","")))</f>
        <v> </v>
      </c>
      <c r="G4254" s="23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4" t="str">
        <f>IF(J4254&lt;&gt;1,"",IF(I4254="SBJ","CB","?"))</f>
        <v> </v>
      </c>
      <c r="I4254" s="25" t="str">
        <f>IF(OR(E4254="",E4254="!!!",F4254="NEW"),"",INDEX(B4253:B$2,-1+SUMPRODUCT(MAX(ROW(E4253:E$2)*(E4254=E4253:E$2)))))</f>
        <v> </v>
      </c>
      <c r="J4254" s="25" t="str">
        <f>IF(OR(E4254="",E4254="!!!",F4254="NEW"),"",COUNTBLANK(OFFSET(A$1,,,SUMPRODUCT(MAX(ROW(E$2:E4254)*(E4254=E$2:E4254)))))-COUNTBLANK(OFFSET(A$1,,,SUMPRODUCT(MAX(ROW(E$1:E4253)*(E2=E$1:E4253))))))</f>
        <v> </v>
      </c>
      <c r="K4254" s="25" t="str">
        <f>IF(OR(E4254="",E4254="!!!",F4254="NEW"),"",INDEX(J$1:J4253,SUMPRODUCT(MAX(ROW(E$1:E4253)*(E4254=E$1:E4253)))))</f>
        <v> </v>
      </c>
      <c r="L4254" s="26"/>
    </row>
    <row r="4255" spans="1:12">
      <c r="A4255" s="20" t="s">
        <v>2638</v>
      </c>
      <c r="E4255" s="21">
        <f>IF(D4255="?OLD","!!!","")</f>
        <v/>
      </c>
      <c r="F4255" s="22" t="str">
        <f>IF(OR(E4255="",E4255="!!!"),"",IF(NOT(ISNA(VLOOKUP(E4255,E$1:E4254,1,FALSE()))),"OLD",IF(AND(E4255&lt;&gt;"",E4255&lt;&gt;"!!!"),"NEW","")))</f>
        <v> </v>
      </c>
      <c r="G4255" s="23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4" t="str">
        <f>IF(J4255&lt;&gt;1,"",IF(I4255="SBJ","CB","?"))</f>
        <v> </v>
      </c>
      <c r="I4255" s="25" t="str">
        <f>IF(OR(E4255="",E4255="!!!",F4255="NEW"),"",INDEX(B4254:B$2,-1+SUMPRODUCT(MAX(ROW(E4254:E$2)*(E4255=E4254:E$2)))))</f>
        <v> </v>
      </c>
      <c r="J4255" s="25" t="str">
        <f>IF(OR(E4255="",E4255="!!!",F4255="NEW"),"",COUNTBLANK(OFFSET(A$1,,,SUMPRODUCT(MAX(ROW(E$2:E4255)*(E4255=E$2:E4255)))))-COUNTBLANK(OFFSET(A$1,,,SUMPRODUCT(MAX(ROW(E$1:E4254)*(E2=E$1:E4254))))))</f>
        <v> </v>
      </c>
      <c r="K4255" s="25" t="str">
        <f>IF(OR(E4255="",E4255="!!!",F4255="NEW"),"",INDEX(J$1:J4254,SUMPRODUCT(MAX(ROW(E$1:E4254)*(E4255=E$1:E4254)))))</f>
        <v> </v>
      </c>
      <c r="L4255" s="26"/>
    </row>
    <row r="4256" spans="1:12">
      <c r="A4256" s="20" t="s">
        <v>2938</v>
      </c>
      <c r="E4256" s="21">
        <f>IF(D4256="?OLD","!!!","")</f>
        <v/>
      </c>
      <c r="F4256" s="22" t="str">
        <f>IF(OR(E4256="",E4256="!!!"),"",IF(NOT(ISNA(VLOOKUP(E4256,E$1:E4255,1,FALSE()))),"OLD",IF(AND(E4256&lt;&gt;"",E4256&lt;&gt;"!!!"),"NEW","")))</f>
        <v> </v>
      </c>
      <c r="G4256" s="23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4" t="str">
        <f>IF(J4256&lt;&gt;1,"",IF(I4256="SBJ","CB","?"))</f>
        <v> </v>
      </c>
      <c r="I4256" s="25" t="str">
        <f>IF(OR(E4256="",E4256="!!!",F4256="NEW"),"",INDEX(B4255:B$2,-1+SUMPRODUCT(MAX(ROW(E4255:E$2)*(E4256=E4255:E$2)))))</f>
        <v> </v>
      </c>
      <c r="J4256" s="25" t="str">
        <f>IF(OR(E4256="",E4256="!!!",F4256="NEW"),"",COUNTBLANK(OFFSET(A$1,,,SUMPRODUCT(MAX(ROW(E$2:E4256)*(E4256=E$2:E4256)))))-COUNTBLANK(OFFSET(A$1,,,SUMPRODUCT(MAX(ROW(E$1:E4255)*(E2=E$1:E4255))))))</f>
        <v> </v>
      </c>
      <c r="K4256" s="25" t="str">
        <f>IF(OR(E4256="",E4256="!!!",F4256="NEW"),"",INDEX(J$1:J4255,SUMPRODUCT(MAX(ROW(E$1:E4255)*(E4256=E$1:E4255)))))</f>
        <v> </v>
      </c>
      <c r="L4256" s="26"/>
    </row>
    <row r="4257" spans="1:12">
      <c r="A4257" s="20" t="s">
        <v>2991</v>
      </c>
      <c r="B4257" s="27" t="s">
        <v>1213</v>
      </c>
      <c r="E4257" s="21">
        <f>IF(D4257="?OLD","!!!","")</f>
        <v/>
      </c>
      <c r="F4257" s="22" t="str">
        <f>IF(OR(E4257="",E4257="!!!"),"",IF(NOT(ISNA(VLOOKUP(E4257,E$1:E4256,1,FALSE()))),"OLD",IF(AND(E4257&lt;&gt;"",E4257&lt;&gt;"!!!"),"NEW","")))</f>
        <v> </v>
      </c>
      <c r="G4257" s="23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4" t="str">
        <f>IF(J4257&lt;&gt;1,"",IF(I4257="SBJ","CB","?"))</f>
        <v> </v>
      </c>
      <c r="I4257" s="25" t="str">
        <f>IF(OR(E4257="",E4257="!!!",F4257="NEW"),"",INDEX(B4256:B$2,-1+SUMPRODUCT(MAX(ROW(E4256:E$2)*(E4257=E4256:E$2)))))</f>
        <v> </v>
      </c>
      <c r="J4257" s="25" t="str">
        <f>IF(OR(E4257="",E4257="!!!",F4257="NEW"),"",COUNTBLANK(OFFSET(A$1,,,SUMPRODUCT(MAX(ROW(E$2:E4257)*(E4257=E$2:E4257)))))-COUNTBLANK(OFFSET(A$1,,,SUMPRODUCT(MAX(ROW(E$1:E4256)*(E2=E$1:E4256))))))</f>
        <v> </v>
      </c>
      <c r="K4257" s="25" t="str">
        <f>IF(OR(E4257="",E4257="!!!",F4257="NEW"),"",INDEX(J$1:J4256,SUMPRODUCT(MAX(ROW(E$1:E4256)*(E4257=E$1:E4256)))))</f>
        <v> </v>
      </c>
      <c r="L4257" s="26"/>
    </row>
    <row r="4258" spans="1:12">
      <c r="A4258" s="20" t="s">
        <v>1145</v>
      </c>
      <c r="E4258" s="21">
        <f>IF(D4258="?OLD","!!!","")</f>
        <v/>
      </c>
      <c r="F4258" s="22" t="str">
        <f>IF(OR(E4258="",E4258="!!!"),"",IF(NOT(ISNA(VLOOKUP(E4258,E$1:E4257,1,FALSE()))),"OLD",IF(AND(E4258&lt;&gt;"",E4258&lt;&gt;"!!!"),"NEW","")))</f>
        <v> </v>
      </c>
      <c r="G4258" s="23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4" t="str">
        <f>IF(J4258&lt;&gt;1,"",IF(I4258="SBJ","CB","?"))</f>
        <v> </v>
      </c>
      <c r="I4258" s="25" t="str">
        <f>IF(OR(E4258="",E4258="!!!",F4258="NEW"),"",INDEX(B4257:B$2,-1+SUMPRODUCT(MAX(ROW(E4257:E$2)*(E4258=E4257:E$2)))))</f>
        <v> </v>
      </c>
      <c r="J4258" s="25" t="str">
        <f>IF(OR(E4258="",E4258="!!!",F4258="NEW"),"",COUNTBLANK(OFFSET(A$1,,,SUMPRODUCT(MAX(ROW(E$2:E4258)*(E4258=E$2:E4258)))))-COUNTBLANK(OFFSET(A$1,,,SUMPRODUCT(MAX(ROW(E$1:E4257)*(E2=E$1:E4257))))))</f>
        <v> </v>
      </c>
      <c r="K4258" s="25" t="str">
        <f>IF(OR(E4258="",E4258="!!!",F4258="NEW"),"",INDEX(J$1:J4257,SUMPRODUCT(MAX(ROW(E$1:E4257)*(E4258=E$1:E4257)))))</f>
        <v> </v>
      </c>
      <c r="L4258" s="26"/>
    </row>
    <row r="4259" spans="1:12">
      <c r="A4259" s="20"/>
    </row>
    <row r="4260" spans="1:12">
      <c r="A4260" s="20" t="s">
        <v>2992</v>
      </c>
    </row>
    <row r="4261" spans="1:12">
      <c r="A4261" s="20" t="s">
        <v>2993</v>
      </c>
      <c r="E4261" s="21">
        <f>IF(D4261="?OLD","!!!","")</f>
        <v/>
      </c>
      <c r="F4261" s="22" t="str">
        <f>IF(OR(E4261="",E4261="!!!"),"",IF(NOT(ISNA(VLOOKUP(E4261,E$1:E4260,1,FALSE()))),"OLD",IF(AND(E4261&lt;&gt;"",E4261&lt;&gt;"!!!"),"NEW","")))</f>
        <v> </v>
      </c>
      <c r="G4261" s="23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4" t="str">
        <f>IF(J4261&lt;&gt;1,"",IF(I4261="SBJ","CB","?"))</f>
        <v> </v>
      </c>
      <c r="I4261" s="25" t="str">
        <f>IF(OR(E4261="",E4261="!!!",F4261="NEW"),"",INDEX(B4260:B$2,-1+SUMPRODUCT(MAX(ROW(E4260:E$2)*(E4261=E4260:E$2)))))</f>
        <v> </v>
      </c>
      <c r="J4261" s="25" t="str">
        <f>IF(OR(E4261="",E4261="!!!",F4261="NEW"),"",COUNTBLANK(OFFSET(A$1,,,SUMPRODUCT(MAX(ROW(E$2:E4261)*(E4261=E$2:E4261)))))-COUNTBLANK(OFFSET(A$1,,,SUMPRODUCT(MAX(ROW(E$1:E4260)*(E2=E$1:E4260))))))</f>
        <v> </v>
      </c>
      <c r="K4261" s="25" t="str">
        <f>IF(OR(E4261="",E4261="!!!",F4261="NEW"),"",INDEX(J$1:J4260,SUMPRODUCT(MAX(ROW(E$1:E4260)*(E4261=E$1:E4260)))))</f>
        <v> </v>
      </c>
      <c r="L4261" s="26"/>
    </row>
    <row r="4262" spans="1:12">
      <c r="A4262" s="20" t="s">
        <v>2994</v>
      </c>
      <c r="E4262" s="21">
        <f>IF(D4262="?OLD","!!!","")</f>
        <v/>
      </c>
      <c r="F4262" s="22" t="str">
        <f>IF(OR(E4262="",E4262="!!!"),"",IF(NOT(ISNA(VLOOKUP(E4262,E$1:E4261,1,FALSE()))),"OLD",IF(AND(E4262&lt;&gt;"",E4262&lt;&gt;"!!!"),"NEW","")))</f>
        <v> </v>
      </c>
      <c r="G4262" s="23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4" t="str">
        <f>IF(J4262&lt;&gt;1,"",IF(I4262="SBJ","CB","?"))</f>
        <v> </v>
      </c>
      <c r="I4262" s="25" t="str">
        <f>IF(OR(E4262="",E4262="!!!",F4262="NEW"),"",INDEX(B4261:B$2,-1+SUMPRODUCT(MAX(ROW(E4261:E$2)*(E4262=E4261:E$2)))))</f>
        <v> </v>
      </c>
      <c r="J4262" s="25" t="str">
        <f>IF(OR(E4262="",E4262="!!!",F4262="NEW"),"",COUNTBLANK(OFFSET(A$1,,,SUMPRODUCT(MAX(ROW(E$2:E4262)*(E4262=E$2:E4262)))))-COUNTBLANK(OFFSET(A$1,,,SUMPRODUCT(MAX(ROW(E$1:E4261)*(E2=E$1:E4261))))))</f>
        <v> </v>
      </c>
      <c r="K4262" s="25" t="str">
        <f>IF(OR(E4262="",E4262="!!!",F4262="NEW"),"",INDEX(J$1:J4261,SUMPRODUCT(MAX(ROW(E$1:E4261)*(E4262=E$1:E4261)))))</f>
        <v> </v>
      </c>
      <c r="L4262" s="26"/>
    </row>
    <row r="4263" spans="1:12">
      <c r="A4263" s="20" t="s">
        <v>2995</v>
      </c>
      <c r="E4263" s="21">
        <f>IF(D4263="?OLD","!!!","")</f>
        <v/>
      </c>
      <c r="F4263" s="22" t="str">
        <f>IF(OR(E4263="",E4263="!!!"),"",IF(NOT(ISNA(VLOOKUP(E4263,E$1:E4262,1,FALSE()))),"OLD",IF(AND(E4263&lt;&gt;"",E4263&lt;&gt;"!!!"),"NEW","")))</f>
        <v> </v>
      </c>
      <c r="G4263" s="23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4" t="str">
        <f>IF(J4263&lt;&gt;1,"",IF(I4263="SBJ","CB","?"))</f>
        <v> </v>
      </c>
      <c r="I4263" s="25" t="str">
        <f>IF(OR(E4263="",E4263="!!!",F4263="NEW"),"",INDEX(B4262:B$2,-1+SUMPRODUCT(MAX(ROW(E4262:E$2)*(E4263=E4262:E$2)))))</f>
        <v> </v>
      </c>
      <c r="J4263" s="25" t="str">
        <f>IF(OR(E4263="",E4263="!!!",F4263="NEW"),"",COUNTBLANK(OFFSET(A$1,,,SUMPRODUCT(MAX(ROW(E$2:E4263)*(E4263=E$2:E4263)))))-COUNTBLANK(OFFSET(A$1,,,SUMPRODUCT(MAX(ROW(E$1:E4262)*(E2=E$1:E4262))))))</f>
        <v> </v>
      </c>
      <c r="K4263" s="25" t="str">
        <f>IF(OR(E4263="",E4263="!!!",F4263="NEW"),"",INDEX(J$1:J4262,SUMPRODUCT(MAX(ROW(E$1:E4262)*(E4263=E$1:E4262)))))</f>
        <v> </v>
      </c>
      <c r="L4263" s="26"/>
    </row>
    <row r="4264" spans="1:12">
      <c r="A4264" s="20" t="s">
        <v>2996</v>
      </c>
      <c r="B4264" s="27" t="s">
        <v>1149</v>
      </c>
      <c r="E4264" s="21">
        <f>IF(D4264="?OLD","!!!","")</f>
        <v/>
      </c>
      <c r="F4264" s="22" t="str">
        <f>IF(OR(E4264="",E4264="!!!"),"",IF(NOT(ISNA(VLOOKUP(E4264,E$1:E4263,1,FALSE()))),"OLD",IF(AND(E4264&lt;&gt;"",E4264&lt;&gt;"!!!"),"NEW","")))</f>
        <v> </v>
      </c>
      <c r="G4264" s="23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4" t="str">
        <f>IF(J4264&lt;&gt;1,"",IF(I4264="SBJ","CB","?"))</f>
        <v> </v>
      </c>
      <c r="I4264" s="25" t="str">
        <f>IF(OR(E4264="",E4264="!!!",F4264="NEW"),"",INDEX(B4263:B$2,-1+SUMPRODUCT(MAX(ROW(E4263:E$2)*(E4264=E4263:E$2)))))</f>
        <v> </v>
      </c>
      <c r="J4264" s="25" t="str">
        <f>IF(OR(E4264="",E4264="!!!",F4264="NEW"),"",COUNTBLANK(OFFSET(A$1,,,SUMPRODUCT(MAX(ROW(E$2:E4264)*(E4264=E$2:E4264)))))-COUNTBLANK(OFFSET(A$1,,,SUMPRODUCT(MAX(ROW(E$1:E4263)*(E2=E$1:E4263))))))</f>
        <v> </v>
      </c>
      <c r="K4264" s="25" t="str">
        <f>IF(OR(E4264="",E4264="!!!",F4264="NEW"),"",INDEX(J$1:J4263,SUMPRODUCT(MAX(ROW(E$1:E4263)*(E4264=E$1:E4263)))))</f>
        <v> </v>
      </c>
      <c r="L4264" s="26"/>
    </row>
    <row r="4265" spans="1:12">
      <c r="A4265" s="20" t="s">
        <v>2008</v>
      </c>
      <c r="E4265" s="21">
        <f>IF(D4265="?OLD","!!!","")</f>
        <v/>
      </c>
      <c r="F4265" s="22" t="str">
        <f>IF(OR(E4265="",E4265="!!!"),"",IF(NOT(ISNA(VLOOKUP(E4265,E$1:E4264,1,FALSE()))),"OLD",IF(AND(E4265&lt;&gt;"",E4265&lt;&gt;"!!!"),"NEW","")))</f>
        <v> </v>
      </c>
      <c r="G4265" s="23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4" t="str">
        <f>IF(J4265&lt;&gt;1,"",IF(I4265="SBJ","CB","?"))</f>
        <v> </v>
      </c>
      <c r="I4265" s="25" t="str">
        <f>IF(OR(E4265="",E4265="!!!",F4265="NEW"),"",INDEX(B4264:B$2,-1+SUMPRODUCT(MAX(ROW(E4264:E$2)*(E4265=E4264:E$2)))))</f>
        <v> </v>
      </c>
      <c r="J4265" s="25" t="str">
        <f>IF(OR(E4265="",E4265="!!!",F4265="NEW"),"",COUNTBLANK(OFFSET(A$1,,,SUMPRODUCT(MAX(ROW(E$2:E4265)*(E4265=E$2:E4265)))))-COUNTBLANK(OFFSET(A$1,,,SUMPRODUCT(MAX(ROW(E$1:E4264)*(E2=E$1:E4264))))))</f>
        <v> </v>
      </c>
      <c r="K4265" s="25" t="str">
        <f>IF(OR(E4265="",E4265="!!!",F4265="NEW"),"",INDEX(J$1:J4264,SUMPRODUCT(MAX(ROW(E$1:E4264)*(E4265=E$1:E4264)))))</f>
        <v> </v>
      </c>
      <c r="L4265" s="26"/>
    </row>
    <row r="4266" spans="1:12">
      <c r="A4266" s="20" t="s">
        <v>1130</v>
      </c>
      <c r="E4266" s="21">
        <f>IF(D4266="?OLD","!!!","")</f>
        <v/>
      </c>
      <c r="F4266" s="22" t="str">
        <f>IF(OR(E4266="",E4266="!!!"),"",IF(NOT(ISNA(VLOOKUP(E4266,E$1:E4265,1,FALSE()))),"OLD",IF(AND(E4266&lt;&gt;"",E4266&lt;&gt;"!!!"),"NEW","")))</f>
        <v> </v>
      </c>
      <c r="G4266" s="23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4" t="str">
        <f>IF(J4266&lt;&gt;1,"",IF(I4266="SBJ","CB","?"))</f>
        <v> </v>
      </c>
      <c r="I4266" s="25" t="str">
        <f>IF(OR(E4266="",E4266="!!!",F4266="NEW"),"",INDEX(B4265:B$2,-1+SUMPRODUCT(MAX(ROW(E4265:E$2)*(E4266=E4265:E$2)))))</f>
        <v> </v>
      </c>
      <c r="J4266" s="25" t="str">
        <f>IF(OR(E4266="",E4266="!!!",F4266="NEW"),"",COUNTBLANK(OFFSET(A$1,,,SUMPRODUCT(MAX(ROW(E$2:E4266)*(E4266=E$2:E4266)))))-COUNTBLANK(OFFSET(A$1,,,SUMPRODUCT(MAX(ROW(E$1:E4265)*(E2=E$1:E4265))))))</f>
        <v> </v>
      </c>
      <c r="K4266" s="25" t="str">
        <f>IF(OR(E4266="",E4266="!!!",F4266="NEW"),"",INDEX(J$1:J4265,SUMPRODUCT(MAX(ROW(E$1:E4265)*(E4266=E$1:E4265)))))</f>
        <v> </v>
      </c>
      <c r="L4266" s="26"/>
    </row>
    <row r="4267" spans="1:12">
      <c r="A4267" s="20" t="s">
        <v>2997</v>
      </c>
      <c r="E4267" s="21">
        <f>IF(D4267="?OLD","!!!","")</f>
        <v/>
      </c>
      <c r="F4267" s="22" t="str">
        <f>IF(OR(E4267="",E4267="!!!"),"",IF(NOT(ISNA(VLOOKUP(E4267,E$1:E4266,1,FALSE()))),"OLD",IF(AND(E4267&lt;&gt;"",E4267&lt;&gt;"!!!"),"NEW","")))</f>
        <v> </v>
      </c>
      <c r="G4267" s="23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4" t="str">
        <f>IF(J4267&lt;&gt;1,"",IF(I4267="SBJ","CB","?"))</f>
        <v> </v>
      </c>
      <c r="I4267" s="25" t="str">
        <f>IF(OR(E4267="",E4267="!!!",F4267="NEW"),"",INDEX(B4266:B$2,-1+SUMPRODUCT(MAX(ROW(E4266:E$2)*(E4267=E4266:E$2)))))</f>
        <v> </v>
      </c>
      <c r="J4267" s="25" t="str">
        <f>IF(OR(E4267="",E4267="!!!",F4267="NEW"),"",COUNTBLANK(OFFSET(A$1,,,SUMPRODUCT(MAX(ROW(E$2:E4267)*(E4267=E$2:E4267)))))-COUNTBLANK(OFFSET(A$1,,,SUMPRODUCT(MAX(ROW(E$1:E4266)*(E2=E$1:E4266))))))</f>
        <v> </v>
      </c>
      <c r="K4267" s="25" t="str">
        <f>IF(OR(E4267="",E4267="!!!",F4267="NEW"),"",INDEX(J$1:J4266,SUMPRODUCT(MAX(ROW(E$1:E4266)*(E4267=E$1:E4266)))))</f>
        <v> </v>
      </c>
      <c r="L4267" s="26"/>
    </row>
    <row r="4268" spans="1:12">
      <c r="A4268" s="20" t="s">
        <v>1249</v>
      </c>
      <c r="E4268" s="21">
        <f>IF(D4268="?OLD","!!!","")</f>
        <v/>
      </c>
      <c r="F4268" s="22" t="str">
        <f>IF(OR(E4268="",E4268="!!!"),"",IF(NOT(ISNA(VLOOKUP(E4268,E$1:E4267,1,FALSE()))),"OLD",IF(AND(E4268&lt;&gt;"",E4268&lt;&gt;"!!!"),"NEW","")))</f>
        <v> </v>
      </c>
      <c r="G4268" s="23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4" t="str">
        <f>IF(J4268&lt;&gt;1,"",IF(I4268="SBJ","CB","?"))</f>
        <v> </v>
      </c>
      <c r="I4268" s="25" t="str">
        <f>IF(OR(E4268="",E4268="!!!",F4268="NEW"),"",INDEX(B4267:B$2,-1+SUMPRODUCT(MAX(ROW(E4267:E$2)*(E4268=E4267:E$2)))))</f>
        <v> </v>
      </c>
      <c r="J4268" s="25" t="str">
        <f>IF(OR(E4268="",E4268="!!!",F4268="NEW"),"",COUNTBLANK(OFFSET(A$1,,,SUMPRODUCT(MAX(ROW(E$2:E4268)*(E4268=E$2:E4268)))))-COUNTBLANK(OFFSET(A$1,,,SUMPRODUCT(MAX(ROW(E$1:E4267)*(E2=E$1:E4267))))))</f>
        <v> </v>
      </c>
      <c r="K4268" s="25" t="str">
        <f>IF(OR(E4268="",E4268="!!!",F4268="NEW"),"",INDEX(J$1:J4267,SUMPRODUCT(MAX(ROW(E$1:E4267)*(E4268=E$1:E4267)))))</f>
        <v> </v>
      </c>
      <c r="L4268" s="26"/>
    </row>
    <row r="4269" spans="1:12">
      <c r="A4269" s="20" t="s">
        <v>2998</v>
      </c>
      <c r="B4269" s="27" t="s">
        <v>1132</v>
      </c>
      <c r="C4269" s="27" t="s">
        <v>1126</v>
      </c>
      <c r="D4269" s="27" t="s">
        <v>1105</v>
      </c>
      <c r="E4269" s="21">
        <f>IF(D4269="?OLD","!!!","")</f>
        <v/>
      </c>
      <c r="F4269" s="22" t="str">
        <f>IF(OR(E4269="",E4269="!!!"),"",IF(NOT(ISNA(VLOOKUP(E4269,E$1:E4268,1,FALSE()))),"OLD",IF(AND(E4269&lt;&gt;"",E4269&lt;&gt;"!!!"),"NEW","")))</f>
        <v> </v>
      </c>
      <c r="G4269" s="23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4" t="str">
        <f>IF(J4269&lt;&gt;1,"",IF(I4269="SBJ","CB","?"))</f>
        <v> </v>
      </c>
      <c r="I4269" s="25" t="str">
        <f>IF(OR(E4269="",E4269="!!!",F4269="NEW"),"",INDEX(B4268:B$2,-1+SUMPRODUCT(MAX(ROW(E4268:E$2)*(E4269=E4268:E$2)))))</f>
        <v> </v>
      </c>
      <c r="J4269" s="25" t="str">
        <f>IF(OR(E4269="",E4269="!!!",F4269="NEW"),"",COUNTBLANK(OFFSET(A$1,,,SUMPRODUCT(MAX(ROW(E$2:E4269)*(E4269=E$2:E4269)))))-COUNTBLANK(OFFSET(A$1,,,SUMPRODUCT(MAX(ROW(E$1:E4268)*(E2=E$1:E4268))))))</f>
        <v> </v>
      </c>
      <c r="K4269" s="25" t="str">
        <f>IF(OR(E4269="",E4269="!!!",F4269="NEW"),"",INDEX(J$1:J4268,SUMPRODUCT(MAX(ROW(E$1:E4268)*(E4269=E$1:E4268)))))</f>
        <v> </v>
      </c>
      <c r="L4269" s="26"/>
    </row>
    <row r="4270" spans="1:12">
      <c r="A4270" s="20" t="s">
        <v>2999</v>
      </c>
      <c r="E4270" s="21">
        <f>IF(D4270="?OLD","!!!","")</f>
        <v/>
      </c>
      <c r="F4270" s="22" t="str">
        <f>IF(OR(E4270="",E4270="!!!"),"",IF(NOT(ISNA(VLOOKUP(E4270,E$1:E4269,1,FALSE()))),"OLD",IF(AND(E4270&lt;&gt;"",E4270&lt;&gt;"!!!"),"NEW","")))</f>
        <v> </v>
      </c>
      <c r="G4270" s="23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4" t="str">
        <f>IF(J4270&lt;&gt;1,"",IF(I4270="SBJ","CB","?"))</f>
        <v> </v>
      </c>
      <c r="I4270" s="25" t="str">
        <f>IF(OR(E4270="",E4270="!!!",F4270="NEW"),"",INDEX(B4269:B$2,-1+SUMPRODUCT(MAX(ROW(E4269:E$2)*(E4270=E4269:E$2)))))</f>
        <v> </v>
      </c>
      <c r="J4270" s="25" t="str">
        <f>IF(OR(E4270="",E4270="!!!",F4270="NEW"),"",COUNTBLANK(OFFSET(A$1,,,SUMPRODUCT(MAX(ROW(E$2:E4270)*(E4270=E$2:E4270)))))-COUNTBLANK(OFFSET(A$1,,,SUMPRODUCT(MAX(ROW(E$1:E4269)*(E2=E$1:E4269))))))</f>
        <v> </v>
      </c>
      <c r="K4270" s="25" t="str">
        <f>IF(OR(E4270="",E4270="!!!",F4270="NEW"),"",INDEX(J$1:J4269,SUMPRODUCT(MAX(ROW(E$1:E4269)*(E4270=E$1:E4269)))))</f>
        <v> </v>
      </c>
      <c r="L4270" s="26"/>
    </row>
    <row r="4271" spans="1:12">
      <c r="A4271" s="20" t="s">
        <v>3000</v>
      </c>
      <c r="E4271" s="21">
        <f>IF(D4271="?OLD","!!!","")</f>
        <v/>
      </c>
      <c r="F4271" s="22" t="str">
        <f>IF(OR(E4271="",E4271="!!!"),"",IF(NOT(ISNA(VLOOKUP(E4271,E$1:E4270,1,FALSE()))),"OLD",IF(AND(E4271&lt;&gt;"",E4271&lt;&gt;"!!!"),"NEW","")))</f>
        <v> </v>
      </c>
      <c r="G4271" s="23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4" t="str">
        <f>IF(J4271&lt;&gt;1,"",IF(I4271="SBJ","CB","?"))</f>
        <v> </v>
      </c>
      <c r="I4271" s="25" t="str">
        <f>IF(OR(E4271="",E4271="!!!",F4271="NEW"),"",INDEX(B4270:B$2,-1+SUMPRODUCT(MAX(ROW(E4270:E$2)*(E4271=E4270:E$2)))))</f>
        <v> </v>
      </c>
      <c r="J4271" s="25" t="str">
        <f>IF(OR(E4271="",E4271="!!!",F4271="NEW"),"",COUNTBLANK(OFFSET(A$1,,,SUMPRODUCT(MAX(ROW(E$2:E4271)*(E4271=E$2:E4271)))))-COUNTBLANK(OFFSET(A$1,,,SUMPRODUCT(MAX(ROW(E$1:E4270)*(E2=E$1:E4270))))))</f>
        <v> </v>
      </c>
      <c r="K4271" s="25" t="str">
        <f>IF(OR(E4271="",E4271="!!!",F4271="NEW"),"",INDEX(J$1:J4270,SUMPRODUCT(MAX(ROW(E$1:E4270)*(E4271=E$1:E4270)))))</f>
        <v> </v>
      </c>
      <c r="L4271" s="26"/>
    </row>
    <row r="4272" spans="1:12">
      <c r="A4272" s="20" t="s">
        <v>3001</v>
      </c>
      <c r="E4272" s="21">
        <f>IF(D4272="?OLD","!!!","")</f>
        <v/>
      </c>
      <c r="F4272" s="22" t="str">
        <f>IF(OR(E4272="",E4272="!!!"),"",IF(NOT(ISNA(VLOOKUP(E4272,E$1:E4271,1,FALSE()))),"OLD",IF(AND(E4272&lt;&gt;"",E4272&lt;&gt;"!!!"),"NEW","")))</f>
        <v> </v>
      </c>
      <c r="G4272" s="23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4" t="str">
        <f>IF(J4272&lt;&gt;1,"",IF(I4272="SBJ","CB","?"))</f>
        <v> </v>
      </c>
      <c r="I4272" s="25" t="str">
        <f>IF(OR(E4272="",E4272="!!!",F4272="NEW"),"",INDEX(B4271:B$2,-1+SUMPRODUCT(MAX(ROW(E4271:E$2)*(E4272=E4271:E$2)))))</f>
        <v> </v>
      </c>
      <c r="J4272" s="25" t="str">
        <f>IF(OR(E4272="",E4272="!!!",F4272="NEW"),"",COUNTBLANK(OFFSET(A$1,,,SUMPRODUCT(MAX(ROW(E$2:E4272)*(E4272=E$2:E4272)))))-COUNTBLANK(OFFSET(A$1,,,SUMPRODUCT(MAX(ROW(E$1:E4271)*(E2=E$1:E4271))))))</f>
        <v> </v>
      </c>
      <c r="K4272" s="25" t="str">
        <f>IF(OR(E4272="",E4272="!!!",F4272="NEW"),"",INDEX(J$1:J4271,SUMPRODUCT(MAX(ROW(E$1:E4271)*(E4272=E$1:E4271)))))</f>
        <v> </v>
      </c>
      <c r="L4272" s="26"/>
    </row>
    <row r="4273" spans="1:12">
      <c r="A4273" s="20" t="s">
        <v>1145</v>
      </c>
      <c r="E4273" s="21">
        <f>IF(D4273="?OLD","!!!","")</f>
        <v/>
      </c>
      <c r="F4273" s="22" t="str">
        <f>IF(OR(E4273="",E4273="!!!"),"",IF(NOT(ISNA(VLOOKUP(E4273,E$1:E4272,1,FALSE()))),"OLD",IF(AND(E4273&lt;&gt;"",E4273&lt;&gt;"!!!"),"NEW","")))</f>
        <v> </v>
      </c>
      <c r="G4273" s="23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4" t="str">
        <f>IF(J4273&lt;&gt;1,"",IF(I4273="SBJ","CB","?"))</f>
        <v> </v>
      </c>
      <c r="I4273" s="25" t="str">
        <f>IF(OR(E4273="",E4273="!!!",F4273="NEW"),"",INDEX(B4272:B$2,-1+SUMPRODUCT(MAX(ROW(E4272:E$2)*(E4273=E4272:E$2)))))</f>
        <v> </v>
      </c>
      <c r="J4273" s="25" t="str">
        <f>IF(OR(E4273="",E4273="!!!",F4273="NEW"),"",COUNTBLANK(OFFSET(A$1,,,SUMPRODUCT(MAX(ROW(E$2:E4273)*(E4273=E$2:E4273)))))-COUNTBLANK(OFFSET(A$1,,,SUMPRODUCT(MAX(ROW(E$1:E4272)*(E2=E$1:E4272))))))</f>
        <v> </v>
      </c>
      <c r="K4273" s="25" t="str">
        <f>IF(OR(E4273="",E4273="!!!",F4273="NEW"),"",INDEX(J$1:J4272,SUMPRODUCT(MAX(ROW(E$1:E4272)*(E4273=E$1:E4272)))))</f>
        <v> </v>
      </c>
      <c r="L4273" s="26"/>
    </row>
    <row r="4274" spans="1:12">
      <c r="A4274" s="20"/>
    </row>
    <row r="4275" spans="1:12">
      <c r="A4275" s="20" t="s">
        <v>3002</v>
      </c>
    </row>
    <row r="4276" spans="1:12">
      <c r="A4276" s="20" t="s">
        <v>1111</v>
      </c>
      <c r="E4276" s="21">
        <f>IF(D4276="?OLD","!!!","")</f>
        <v/>
      </c>
      <c r="F4276" s="22" t="str">
        <f>IF(OR(E4276="",E4276="!!!"),"",IF(NOT(ISNA(VLOOKUP(E4276,E$1:E4275,1,FALSE()))),"OLD",IF(AND(E4276&lt;&gt;"",E4276&lt;&gt;"!!!"),"NEW","")))</f>
        <v> </v>
      </c>
      <c r="G4276" s="23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4" t="str">
        <f>IF(J4276&lt;&gt;1,"",IF(I4276="SBJ","CB","?"))</f>
        <v> </v>
      </c>
      <c r="I4276" s="25" t="str">
        <f>IF(OR(E4276="",E4276="!!!",F4276="NEW"),"",INDEX(B4275:B$2,-1+SUMPRODUCT(MAX(ROW(E4275:E$2)*(E4276=E4275:E$2)))))</f>
        <v> </v>
      </c>
      <c r="J4276" s="25" t="str">
        <f>IF(OR(E4276="",E4276="!!!",F4276="NEW"),"",COUNTBLANK(OFFSET(A$1,,,SUMPRODUCT(MAX(ROW(E$2:E4276)*(E4276=E$2:E4276)))))-COUNTBLANK(OFFSET(A$1,,,SUMPRODUCT(MAX(ROW(E$1:E4275)*(E2=E$1:E4275))))))</f>
        <v> </v>
      </c>
      <c r="K4276" s="25" t="str">
        <f>IF(OR(E4276="",E4276="!!!",F4276="NEW"),"",INDEX(J$1:J4275,SUMPRODUCT(MAX(ROW(E$1:E4275)*(E4276=E$1:E4275)))))</f>
        <v> </v>
      </c>
      <c r="L4276" s="26"/>
    </row>
    <row r="4277" spans="1:12">
      <c r="A4277" s="20" t="s">
        <v>2101</v>
      </c>
      <c r="E4277" s="21">
        <f>IF(D4277="?OLD","!!!","")</f>
        <v/>
      </c>
      <c r="F4277" s="22" t="str">
        <f>IF(OR(E4277="",E4277="!!!"),"",IF(NOT(ISNA(VLOOKUP(E4277,E$1:E4276,1,FALSE()))),"OLD",IF(AND(E4277&lt;&gt;"",E4277&lt;&gt;"!!!"),"NEW","")))</f>
        <v> </v>
      </c>
      <c r="G4277" s="23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4" t="str">
        <f>IF(J4277&lt;&gt;1,"",IF(I4277="SBJ","CB","?"))</f>
        <v> </v>
      </c>
      <c r="I4277" s="25" t="str">
        <f>IF(OR(E4277="",E4277="!!!",F4277="NEW"),"",INDEX(B4276:B$2,-1+SUMPRODUCT(MAX(ROW(E4276:E$2)*(E4277=E4276:E$2)))))</f>
        <v> </v>
      </c>
      <c r="J4277" s="25" t="str">
        <f>IF(OR(E4277="",E4277="!!!",F4277="NEW"),"",COUNTBLANK(OFFSET(A$1,,,SUMPRODUCT(MAX(ROW(E$2:E4277)*(E4277=E$2:E4277)))))-COUNTBLANK(OFFSET(A$1,,,SUMPRODUCT(MAX(ROW(E$1:E4276)*(E2=E$1:E4276))))))</f>
        <v> </v>
      </c>
      <c r="K4277" s="25" t="str">
        <f>IF(OR(E4277="",E4277="!!!",F4277="NEW"),"",INDEX(J$1:J4276,SUMPRODUCT(MAX(ROW(E$1:E4276)*(E4277=E$1:E4276)))))</f>
        <v> </v>
      </c>
      <c r="L4277" s="26"/>
    </row>
    <row r="4278" spans="1:12">
      <c r="A4278" s="20" t="s">
        <v>2196</v>
      </c>
      <c r="B4278" s="27" t="s">
        <v>1107</v>
      </c>
      <c r="C4278" s="27" t="s">
        <v>1142</v>
      </c>
      <c r="D4278" s="27" t="s">
        <v>1105</v>
      </c>
      <c r="E4278" s="21">
        <f>IF(D4278="?OLD","!!!","")</f>
        <v/>
      </c>
      <c r="F4278" s="22" t="str">
        <f>IF(OR(E4278="",E4278="!!!"),"",IF(NOT(ISNA(VLOOKUP(E4278,E$1:E4277,1,FALSE()))),"OLD",IF(AND(E4278&lt;&gt;"",E4278&lt;&gt;"!!!"),"NEW","")))</f>
        <v> </v>
      </c>
      <c r="G4278" s="23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4" t="str">
        <f>IF(J4278&lt;&gt;1,"",IF(I4278="SBJ","CB","?"))</f>
        <v> </v>
      </c>
      <c r="I4278" s="25" t="str">
        <f>IF(OR(E4278="",E4278="!!!",F4278="NEW"),"",INDEX(B4277:B$2,-1+SUMPRODUCT(MAX(ROW(E4277:E$2)*(E4278=E4277:E$2)))))</f>
        <v> </v>
      </c>
      <c r="J4278" s="25" t="str">
        <f>IF(OR(E4278="",E4278="!!!",F4278="NEW"),"",COUNTBLANK(OFFSET(A$1,,,SUMPRODUCT(MAX(ROW(E$2:E4278)*(E4278=E$2:E4278)))))-COUNTBLANK(OFFSET(A$1,,,SUMPRODUCT(MAX(ROW(E$1:E4277)*(E2=E$1:E4277))))))</f>
        <v> </v>
      </c>
      <c r="K4278" s="25" t="str">
        <f>IF(OR(E4278="",E4278="!!!",F4278="NEW"),"",INDEX(J$1:J4277,SUMPRODUCT(MAX(ROW(E$1:E4277)*(E4278=E$1:E4277)))))</f>
        <v> </v>
      </c>
      <c r="L4278" s="26"/>
    </row>
    <row r="4279" spans="1:12">
      <c r="A4279" s="20" t="s">
        <v>1351</v>
      </c>
      <c r="E4279" s="21">
        <f>IF(D4279="?OLD","!!!","")</f>
        <v/>
      </c>
      <c r="F4279" s="22" t="str">
        <f>IF(OR(E4279="",E4279="!!!"),"",IF(NOT(ISNA(VLOOKUP(E4279,E$1:E4278,1,FALSE()))),"OLD",IF(AND(E4279&lt;&gt;"",E4279&lt;&gt;"!!!"),"NEW","")))</f>
        <v> </v>
      </c>
      <c r="G4279" s="23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4" t="str">
        <f>IF(J4279&lt;&gt;1,"",IF(I4279="SBJ","CB","?"))</f>
        <v> </v>
      </c>
      <c r="I4279" s="25" t="str">
        <f>IF(OR(E4279="",E4279="!!!",F4279="NEW"),"",INDEX(B4278:B$2,-1+SUMPRODUCT(MAX(ROW(E4278:E$2)*(E4279=E4278:E$2)))))</f>
        <v> </v>
      </c>
      <c r="J4279" s="25" t="str">
        <f>IF(OR(E4279="",E4279="!!!",F4279="NEW"),"",COUNTBLANK(OFFSET(A$1,,,SUMPRODUCT(MAX(ROW(E$2:E4279)*(E4279=E$2:E4279)))))-COUNTBLANK(OFFSET(A$1,,,SUMPRODUCT(MAX(ROW(E$1:E4278)*(E2=E$1:E4278))))))</f>
        <v> </v>
      </c>
      <c r="K4279" s="25" t="str">
        <f>IF(OR(E4279="",E4279="!!!",F4279="NEW"),"",INDEX(J$1:J4278,SUMPRODUCT(MAX(ROW(E$1:E4278)*(E4279=E$1:E4278)))))</f>
        <v> </v>
      </c>
      <c r="L4279" s="26"/>
    </row>
    <row r="4280" spans="1:12">
      <c r="A4280" s="20" t="s">
        <v>1111</v>
      </c>
      <c r="E4280" s="21">
        <f>IF(D4280="?OLD","!!!","")</f>
        <v/>
      </c>
      <c r="F4280" s="22" t="str">
        <f>IF(OR(E4280="",E4280="!!!"),"",IF(NOT(ISNA(VLOOKUP(E4280,E$1:E4279,1,FALSE()))),"OLD",IF(AND(E4280&lt;&gt;"",E4280&lt;&gt;"!!!"),"NEW","")))</f>
        <v> </v>
      </c>
      <c r="G4280" s="23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4" t="str">
        <f>IF(J4280&lt;&gt;1,"",IF(I4280="SBJ","CB","?"))</f>
        <v> </v>
      </c>
      <c r="I4280" s="25" t="str">
        <f>IF(OR(E4280="",E4280="!!!",F4280="NEW"),"",INDEX(B4279:B$2,-1+SUMPRODUCT(MAX(ROW(E4279:E$2)*(E4280=E4279:E$2)))))</f>
        <v> </v>
      </c>
      <c r="J4280" s="25" t="str">
        <f>IF(OR(E4280="",E4280="!!!",F4280="NEW"),"",COUNTBLANK(OFFSET(A$1,,,SUMPRODUCT(MAX(ROW(E$2:E4280)*(E4280=E$2:E4280)))))-COUNTBLANK(OFFSET(A$1,,,SUMPRODUCT(MAX(ROW(E$1:E4279)*(E2=E$1:E4279))))))</f>
        <v> </v>
      </c>
      <c r="K4280" s="25" t="str">
        <f>IF(OR(E4280="",E4280="!!!",F4280="NEW"),"",INDEX(J$1:J4279,SUMPRODUCT(MAX(ROW(E$1:E4279)*(E4280=E$1:E4279)))))</f>
        <v> </v>
      </c>
      <c r="L4280" s="26"/>
    </row>
    <row r="4281" spans="1:12">
      <c r="A4281" s="20" t="s">
        <v>3003</v>
      </c>
      <c r="E4281" s="21">
        <f>IF(D4281="?OLD","!!!","")</f>
        <v/>
      </c>
      <c r="F4281" s="22" t="str">
        <f>IF(OR(E4281="",E4281="!!!"),"",IF(NOT(ISNA(VLOOKUP(E4281,E$1:E4280,1,FALSE()))),"OLD",IF(AND(E4281&lt;&gt;"",E4281&lt;&gt;"!!!"),"NEW","")))</f>
        <v> </v>
      </c>
      <c r="G4281" s="23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4" t="str">
        <f>IF(J4281&lt;&gt;1,"",IF(I4281="SBJ","CB","?"))</f>
        <v> </v>
      </c>
      <c r="I4281" s="25" t="str">
        <f>IF(OR(E4281="",E4281="!!!",F4281="NEW"),"",INDEX(B4280:B$2,-1+SUMPRODUCT(MAX(ROW(E4280:E$2)*(E4281=E4280:E$2)))))</f>
        <v> </v>
      </c>
      <c r="J4281" s="25" t="str">
        <f>IF(OR(E4281="",E4281="!!!",F4281="NEW"),"",COUNTBLANK(OFFSET(A$1,,,SUMPRODUCT(MAX(ROW(E$2:E4281)*(E4281=E$2:E4281)))))-COUNTBLANK(OFFSET(A$1,,,SUMPRODUCT(MAX(ROW(E$1:E4280)*(E2=E$1:E4280))))))</f>
        <v> </v>
      </c>
      <c r="K4281" s="25" t="str">
        <f>IF(OR(E4281="",E4281="!!!",F4281="NEW"),"",INDEX(J$1:J4280,SUMPRODUCT(MAX(ROW(E$1:E4280)*(E4281=E$1:E4280)))))</f>
        <v> </v>
      </c>
      <c r="L4281" s="26"/>
    </row>
    <row r="4282" spans="1:12">
      <c r="A4282" s="20" t="s">
        <v>1225</v>
      </c>
      <c r="B4282" s="27" t="s">
        <v>1149</v>
      </c>
      <c r="C4282" s="27" t="s">
        <v>1108</v>
      </c>
      <c r="D4282" s="27" t="s">
        <v>1105</v>
      </c>
      <c r="E4282" s="21">
        <f>IF(D4282="?OLD","!!!","")</f>
        <v/>
      </c>
      <c r="F4282" s="22" t="str">
        <f>IF(OR(E4282="",E4282="!!!"),"",IF(NOT(ISNA(VLOOKUP(E4282,E$1:E4281,1,FALSE()))),"OLD",IF(AND(E4282&lt;&gt;"",E4282&lt;&gt;"!!!"),"NEW","")))</f>
        <v> </v>
      </c>
      <c r="G4282" s="23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4" t="str">
        <f>IF(J4282&lt;&gt;1,"",IF(I4282="SBJ","CB","?"))</f>
        <v> </v>
      </c>
      <c r="I4282" s="25" t="str">
        <f>IF(OR(E4282="",E4282="!!!",F4282="NEW"),"",INDEX(B4281:B$2,-1+SUMPRODUCT(MAX(ROW(E4281:E$2)*(E4282=E4281:E$2)))))</f>
        <v> </v>
      </c>
      <c r="J4282" s="25" t="str">
        <f>IF(OR(E4282="",E4282="!!!",F4282="NEW"),"",COUNTBLANK(OFFSET(A$1,,,SUMPRODUCT(MAX(ROW(E$2:E4282)*(E4282=E$2:E4282)))))-COUNTBLANK(OFFSET(A$1,,,SUMPRODUCT(MAX(ROW(E$1:E4281)*(E2=E$1:E4281))))))</f>
        <v> </v>
      </c>
      <c r="K4282" s="25" t="str">
        <f>IF(OR(E4282="",E4282="!!!",F4282="NEW"),"",INDEX(J$1:J4281,SUMPRODUCT(MAX(ROW(E$1:E4281)*(E4282=E$1:E4281)))))</f>
        <v> </v>
      </c>
      <c r="L4282" s="26"/>
    </row>
    <row r="4283" spans="1:12">
      <c r="A4283" s="20" t="s">
        <v>1145</v>
      </c>
      <c r="E4283" s="21">
        <f>IF(D4283="?OLD","!!!","")</f>
        <v/>
      </c>
      <c r="F4283" s="22" t="str">
        <f>IF(OR(E4283="",E4283="!!!"),"",IF(NOT(ISNA(VLOOKUP(E4283,E$1:E4282,1,FALSE()))),"OLD",IF(AND(E4283&lt;&gt;"",E4283&lt;&gt;"!!!"),"NEW","")))</f>
        <v> </v>
      </c>
      <c r="G4283" s="23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4" t="str">
        <f>IF(J4283&lt;&gt;1,"",IF(I4283="SBJ","CB","?"))</f>
        <v> </v>
      </c>
      <c r="I4283" s="25" t="str">
        <f>IF(OR(E4283="",E4283="!!!",F4283="NEW"),"",INDEX(B4282:B$2,-1+SUMPRODUCT(MAX(ROW(E4282:E$2)*(E4283=E4282:E$2)))))</f>
        <v> </v>
      </c>
      <c r="J4283" s="25" t="str">
        <f>IF(OR(E4283="",E4283="!!!",F4283="NEW"),"",COUNTBLANK(OFFSET(A$1,,,SUMPRODUCT(MAX(ROW(E$2:E4283)*(E4283=E$2:E4283)))))-COUNTBLANK(OFFSET(A$1,,,SUMPRODUCT(MAX(ROW(E$1:E4282)*(E2=E$1:E4282))))))</f>
        <v> </v>
      </c>
      <c r="K4283" s="25" t="str">
        <f>IF(OR(E4283="",E4283="!!!",F4283="NEW"),"",INDEX(J$1:J4282,SUMPRODUCT(MAX(ROW(E$1:E4282)*(E4283=E$1:E4282)))))</f>
        <v> </v>
      </c>
      <c r="L4283" s="26"/>
    </row>
    <row r="4284" spans="1:12">
      <c r="A4284" s="20"/>
    </row>
    <row r="4285" spans="1:12">
      <c r="A4285" s="20" t="s">
        <v>3004</v>
      </c>
    </row>
    <row r="4286" spans="1:12">
      <c r="A4286" s="20" t="s">
        <v>1111</v>
      </c>
      <c r="E4286" s="21">
        <f>IF(D4286="?OLD","!!!","")</f>
        <v/>
      </c>
      <c r="F4286" s="22" t="str">
        <f>IF(OR(E4286="",E4286="!!!"),"",IF(NOT(ISNA(VLOOKUP(E4286,E$1:E4285,1,FALSE()))),"OLD",IF(AND(E4286&lt;&gt;"",E4286&lt;&gt;"!!!"),"NEW","")))</f>
        <v> </v>
      </c>
      <c r="G4286" s="23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4" t="str">
        <f>IF(J4286&lt;&gt;1,"",IF(I4286="SBJ","CB","?"))</f>
        <v> </v>
      </c>
      <c r="I4286" s="25" t="str">
        <f>IF(OR(E4286="",E4286="!!!",F4286="NEW"),"",INDEX(B4285:B$2,-1+SUMPRODUCT(MAX(ROW(E4285:E$2)*(E4286=E4285:E$2)))))</f>
        <v> </v>
      </c>
      <c r="J4286" s="25" t="str">
        <f>IF(OR(E4286="",E4286="!!!",F4286="NEW"),"",COUNTBLANK(OFFSET(A$1,,,SUMPRODUCT(MAX(ROW(E$2:E4286)*(E4286=E$2:E4286)))))-COUNTBLANK(OFFSET(A$1,,,SUMPRODUCT(MAX(ROW(E$1:E4285)*(E2=E$1:E4285))))))</f>
        <v> </v>
      </c>
      <c r="K4286" s="25" t="str">
        <f>IF(OR(E4286="",E4286="!!!",F4286="NEW"),"",INDEX(J$1:J4285,SUMPRODUCT(MAX(ROW(E$1:E4285)*(E4286=E$1:E4285)))))</f>
        <v> </v>
      </c>
      <c r="L4286" s="26"/>
    </row>
    <row r="4287" spans="1:12">
      <c r="A4287" s="20" t="s">
        <v>1436</v>
      </c>
      <c r="E4287" s="21">
        <f>IF(D4287="?OLD","!!!","")</f>
        <v/>
      </c>
      <c r="F4287" s="22" t="str">
        <f>IF(OR(E4287="",E4287="!!!"),"",IF(NOT(ISNA(VLOOKUP(E4287,E$1:E4286,1,FALSE()))),"OLD",IF(AND(E4287&lt;&gt;"",E4287&lt;&gt;"!!!"),"NEW","")))</f>
        <v> </v>
      </c>
      <c r="G4287" s="23" t="str">
        <f>IF(OR(E4287="",E4287="!!!"),"",IF(OR(J4287=0,AND(J4287=1,K4287=1),AND(J4287=1,I4287="SBJ"),AND(J4287=1,I4287=0)),"?IN_FOCUS",IF(J4287&lt;=2,"?ACTIVATED",IF(J4287&lt;&gt;"","?FAMILIAR",IF(F4287="NEW",IF(ISNA(VLOOKUP(E4287,#REF!,1,FALSE())),"?TYPE_IDENTIFIABLE","?REFERENTIAL"),"_")))))</f>
        <v> </v>
      </c>
      <c r="H4287" s="24" t="str">
        <f>IF(J4287&lt;&gt;1,"",IF(I4287="SBJ","CB","?"))</f>
        <v> </v>
      </c>
      <c r="I4287" s="25" t="str">
        <f>IF(OR(E4287="",E4287="!!!",F4287="NEW"),"",INDEX(B4286:B$2,-1+SUMPRODUCT(MAX(ROW(E4286:E$2)*(E4287=E4286:E$2)))))</f>
        <v> </v>
      </c>
      <c r="J4287" s="25" t="str">
        <f>IF(OR(E4287="",E4287="!!!",F4287="NEW"),"",COUNTBLANK(OFFSET(A$1,,,SUMPRODUCT(MAX(ROW(E$2:E4287)*(E4287=E$2:E4287)))))-COUNTBLANK(OFFSET(A$1,,,SUMPRODUCT(MAX(ROW(E$1:E4286)*(E2=E$1:E4286))))))</f>
        <v> </v>
      </c>
      <c r="K4287" s="25" t="str">
        <f>IF(OR(E4287="",E4287="!!!",F4287="NEW"),"",INDEX(J$1:J4286,SUMPRODUCT(MAX(ROW(E$1:E4286)*(E4287=E$1:E4286)))))</f>
        <v> </v>
      </c>
      <c r="L4287" s="26"/>
    </row>
    <row r="4288" spans="1:12">
      <c r="A4288" s="20" t="s">
        <v>1114</v>
      </c>
      <c r="B4288" s="27" t="s">
        <v>1149</v>
      </c>
      <c r="C4288" s="27" t="s">
        <v>1116</v>
      </c>
      <c r="D4288" s="27" t="s">
        <v>1105</v>
      </c>
      <c r="E4288" s="21">
        <f>IF(D4288="?OLD","!!!","")</f>
        <v/>
      </c>
      <c r="F4288" s="22" t="str">
        <f>IF(OR(E4288="",E4288="!!!"),"",IF(NOT(ISNA(VLOOKUP(E4288,E$1:E4287,1,FALSE()))),"OLD",IF(AND(E4288&lt;&gt;"",E4288&lt;&gt;"!!!"),"NEW","")))</f>
        <v> </v>
      </c>
      <c r="G4288" s="23" t="str">
        <f>IF(OR(E4288="",E4288="!!!"),"",IF(OR(J4288=0,AND(J4288=1,K4288=1),AND(J4288=1,I4288="SBJ"),AND(J4288=1,I4288=0)),"?IN_FOCUS",IF(J4288&lt;=2,"?ACTIVATED",IF(J4288&lt;&gt;"","?FAMILIAR",IF(F4288="NEW",IF(ISNA(VLOOKUP(E4288,#REF!,1,FALSE())),"?TYPE_IDENTIFIABLE","?REFERENTIAL"),"_")))))</f>
        <v> </v>
      </c>
      <c r="H4288" s="24" t="str">
        <f>IF(J4288&lt;&gt;1,"",IF(I4288="SBJ","CB","?"))</f>
        <v> </v>
      </c>
      <c r="I4288" s="25" t="str">
        <f>IF(OR(E4288="",E4288="!!!",F4288="NEW"),"",INDEX(B4287:B$2,-1+SUMPRODUCT(MAX(ROW(E4287:E$2)*(E4288=E4287:E$2)))))</f>
        <v> </v>
      </c>
      <c r="J4288" s="25" t="str">
        <f>IF(OR(E4288="",E4288="!!!",F4288="NEW"),"",COUNTBLANK(OFFSET(A$1,,,SUMPRODUCT(MAX(ROW(E$2:E4288)*(E4288=E$2:E4288)))))-COUNTBLANK(OFFSET(A$1,,,SUMPRODUCT(MAX(ROW(E$1:E4287)*(E2=E$1:E4287))))))</f>
        <v> </v>
      </c>
      <c r="K4288" s="25" t="str">
        <f>IF(OR(E4288="",E4288="!!!",F4288="NEW"),"",INDEX(J$1:J4287,SUMPRODUCT(MAX(ROW(E$1:E4287)*(E4288=E$1:E4287)))))</f>
        <v> </v>
      </c>
      <c r="L4288" s="26"/>
    </row>
    <row r="4289" spans="1:12">
      <c r="A4289" s="20" t="s">
        <v>1033</v>
      </c>
      <c r="E4289" s="21">
        <f>IF(D4289="?OLD","!!!","")</f>
        <v/>
      </c>
      <c r="F4289" s="22" t="str">
        <f>IF(OR(E4289="",E4289="!!!"),"",IF(NOT(ISNA(VLOOKUP(E4289,E$1:E4288,1,FALSE()))),"OLD",IF(AND(E4289&lt;&gt;"",E4289&lt;&gt;"!!!"),"NEW","")))</f>
        <v> </v>
      </c>
      <c r="G4289" s="23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4" t="str">
        <f>IF(J4289&lt;&gt;1,"",IF(I4289="SBJ","CB","?"))</f>
        <v> </v>
      </c>
      <c r="I4289" s="25" t="str">
        <f>IF(OR(E4289="",E4289="!!!",F4289="NEW"),"",INDEX(B4288:B$2,-1+SUMPRODUCT(MAX(ROW(E4288:E$2)*(E4289=E4288:E$2)))))</f>
        <v> </v>
      </c>
      <c r="J4289" s="25" t="str">
        <f>IF(OR(E4289="",E4289="!!!",F4289="NEW"),"",COUNTBLANK(OFFSET(A$1,,,SUMPRODUCT(MAX(ROW(E$2:E4289)*(E4289=E$2:E4289)))))-COUNTBLANK(OFFSET(A$1,,,SUMPRODUCT(MAX(ROW(E$1:E4288)*(E2=E$1:E4288))))))</f>
        <v> </v>
      </c>
      <c r="K4289" s="25" t="str">
        <f>IF(OR(E4289="",E4289="!!!",F4289="NEW"),"",INDEX(J$1:J4288,SUMPRODUCT(MAX(ROW(E$1:E4288)*(E4289=E$1:E4288)))))</f>
        <v> </v>
      </c>
      <c r="L4289" s="26"/>
    </row>
    <row r="4290" spans="1:12">
      <c r="A4290" s="20" t="s">
        <v>1351</v>
      </c>
      <c r="E4290" s="21">
        <f>IF(D4290="?OLD","!!!","")</f>
        <v/>
      </c>
      <c r="F4290" s="22" t="str">
        <f>IF(OR(E4290="",E4290="!!!"),"",IF(NOT(ISNA(VLOOKUP(E4290,E$1:E4289,1,FALSE()))),"OLD",IF(AND(E4290&lt;&gt;"",E4290&lt;&gt;"!!!"),"NEW","")))</f>
        <v> </v>
      </c>
      <c r="G4290" s="23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4" t="str">
        <f>IF(J4290&lt;&gt;1,"",IF(I4290="SBJ","CB","?"))</f>
        <v> </v>
      </c>
      <c r="I4290" s="25" t="str">
        <f>IF(OR(E4290="",E4290="!!!",F4290="NEW"),"",INDEX(B4289:B$2,-1+SUMPRODUCT(MAX(ROW(E4289:E$2)*(E4290=E4289:E$2)))))</f>
        <v> </v>
      </c>
      <c r="J4290" s="25" t="str">
        <f>IF(OR(E4290="",E4290="!!!",F4290="NEW"),"",COUNTBLANK(OFFSET(A$1,,,SUMPRODUCT(MAX(ROW(E$2:E4290)*(E4290=E$2:E4290)))))-COUNTBLANK(OFFSET(A$1,,,SUMPRODUCT(MAX(ROW(E$1:E4289)*(E2=E$1:E4289))))))</f>
        <v> </v>
      </c>
      <c r="K4290" s="25" t="str">
        <f>IF(OR(E4290="",E4290="!!!",F4290="NEW"),"",INDEX(J$1:J4289,SUMPRODUCT(MAX(ROW(E$1:E4289)*(E4290=E$1:E4289)))))</f>
        <v> </v>
      </c>
      <c r="L4290" s="26"/>
    </row>
    <row r="4291" spans="1:12">
      <c r="A4291" s="20"/>
    </row>
    <row r="4292" spans="1:12">
      <c r="A4292" s="20" t="s">
        <v>3005</v>
      </c>
    </row>
    <row r="4293" spans="1:12">
      <c r="A4293" s="20" t="s">
        <v>3006</v>
      </c>
      <c r="E4293" s="21">
        <f>IF(D4293="?OLD","!!!","")</f>
        <v/>
      </c>
      <c r="F4293" s="22" t="str">
        <f>IF(OR(E4293="",E4293="!!!"),"",IF(NOT(ISNA(VLOOKUP(E4293,E$1:E4292,1,FALSE()))),"OLD",IF(AND(E4293&lt;&gt;"",E4293&lt;&gt;"!!!"),"NEW","")))</f>
        <v> </v>
      </c>
      <c r="G4293" s="23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4" t="str">
        <f>IF(J4293&lt;&gt;1,"",IF(I4293="SBJ","CB","?"))</f>
        <v> </v>
      </c>
      <c r="I4293" s="25" t="str">
        <f>IF(OR(E4293="",E4293="!!!",F4293="NEW"),"",INDEX(B4292:B$2,-1+SUMPRODUCT(MAX(ROW(E4292:E$2)*(E4293=E4292:E$2)))))</f>
        <v> </v>
      </c>
      <c r="J4293" s="25" t="str">
        <f>IF(OR(E4293="",E4293="!!!",F4293="NEW"),"",COUNTBLANK(OFFSET(A$1,,,SUMPRODUCT(MAX(ROW(E$2:E4293)*(E4293=E$2:E4293)))))-COUNTBLANK(OFFSET(A$1,,,SUMPRODUCT(MAX(ROW(E$1:E4292)*(E2=E$1:E4292))))))</f>
        <v> </v>
      </c>
      <c r="K4293" s="25" t="str">
        <f>IF(OR(E4293="",E4293="!!!",F4293="NEW"),"",INDEX(J$1:J4292,SUMPRODUCT(MAX(ROW(E$1:E4292)*(E4293=E$1:E4292)))))</f>
        <v> </v>
      </c>
      <c r="L4293" s="26"/>
    </row>
    <row r="4294" spans="1:12">
      <c r="A4294" s="20" t="s">
        <v>3007</v>
      </c>
      <c r="B4294" s="27" t="s">
        <v>1149</v>
      </c>
      <c r="C4294" s="27" t="s">
        <v>1108</v>
      </c>
      <c r="D4294" s="27" t="s">
        <v>1105</v>
      </c>
      <c r="E4294" s="21">
        <f>IF(D4294="?OLD","!!!","")</f>
        <v/>
      </c>
      <c r="F4294" s="22" t="str">
        <f>IF(OR(E4294="",E4294="!!!"),"",IF(NOT(ISNA(VLOOKUP(E4294,E$1:E4293,1,FALSE()))),"OLD",IF(AND(E4294&lt;&gt;"",E4294&lt;&gt;"!!!"),"NEW","")))</f>
        <v> </v>
      </c>
      <c r="G4294" s="23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4" t="str">
        <f>IF(J4294&lt;&gt;1,"",IF(I4294="SBJ","CB","?"))</f>
        <v> </v>
      </c>
      <c r="I4294" s="25" t="str">
        <f>IF(OR(E4294="",E4294="!!!",F4294="NEW"),"",INDEX(B4293:B$2,-1+SUMPRODUCT(MAX(ROW(E4293:E$2)*(E4294=E4293:E$2)))))</f>
        <v> </v>
      </c>
      <c r="J4294" s="25" t="str">
        <f>IF(OR(E4294="",E4294="!!!",F4294="NEW"),"",COUNTBLANK(OFFSET(A$1,,,SUMPRODUCT(MAX(ROW(E$2:E4294)*(E4294=E$2:E4294)))))-COUNTBLANK(OFFSET(A$1,,,SUMPRODUCT(MAX(ROW(E$1:E4293)*(E2=E$1:E4293))))))</f>
        <v> </v>
      </c>
      <c r="K4294" s="25" t="str">
        <f>IF(OR(E4294="",E4294="!!!",F4294="NEW"),"",INDEX(J$1:J4293,SUMPRODUCT(MAX(ROW(E$1:E4293)*(E4294=E$1:E4293)))))</f>
        <v> </v>
      </c>
      <c r="L4294" s="26"/>
    </row>
    <row r="4295" spans="1:12">
      <c r="A4295" s="20" t="s">
        <v>1590</v>
      </c>
      <c r="E4295" s="21">
        <f>IF(D4295="?OLD","!!!","")</f>
        <v/>
      </c>
      <c r="F4295" s="22" t="str">
        <f>IF(OR(E4295="",E4295="!!!"),"",IF(NOT(ISNA(VLOOKUP(E4295,E$1:E4294,1,FALSE()))),"OLD",IF(AND(E4295&lt;&gt;"",E4295&lt;&gt;"!!!"),"NEW","")))</f>
        <v> </v>
      </c>
      <c r="G4295" s="23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4" t="str">
        <f>IF(J4295&lt;&gt;1,"",IF(I4295="SBJ","CB","?"))</f>
        <v> </v>
      </c>
      <c r="I4295" s="25" t="str">
        <f>IF(OR(E4295="",E4295="!!!",F4295="NEW"),"",INDEX(B4294:B$2,-1+SUMPRODUCT(MAX(ROW(E4294:E$2)*(E4295=E4294:E$2)))))</f>
        <v> </v>
      </c>
      <c r="J4295" s="25" t="str">
        <f>IF(OR(E4295="",E4295="!!!",F4295="NEW"),"",COUNTBLANK(OFFSET(A$1,,,SUMPRODUCT(MAX(ROW(E$2:E4295)*(E4295=E$2:E4295)))))-COUNTBLANK(OFFSET(A$1,,,SUMPRODUCT(MAX(ROW(E$1:E4294)*(E2=E$1:E4294))))))</f>
        <v> </v>
      </c>
      <c r="K4295" s="25" t="str">
        <f>IF(OR(E4295="",E4295="!!!",F4295="NEW"),"",INDEX(J$1:J4294,SUMPRODUCT(MAX(ROW(E$1:E4294)*(E4295=E$1:E4294)))))</f>
        <v> </v>
      </c>
      <c r="L4295" s="26"/>
    </row>
    <row r="4296" spans="1:12">
      <c r="A4296" s="20" t="s">
        <v>1127</v>
      </c>
      <c r="E4296" s="21">
        <f>IF(D4296="?OLD","!!!","")</f>
        <v/>
      </c>
      <c r="F4296" s="22" t="str">
        <f>IF(OR(E4296="",E4296="!!!"),"",IF(NOT(ISNA(VLOOKUP(E4296,E$1:E4295,1,FALSE()))),"OLD",IF(AND(E4296&lt;&gt;"",E4296&lt;&gt;"!!!"),"NEW","")))</f>
        <v> </v>
      </c>
      <c r="G4296" s="23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4" t="str">
        <f>IF(J4296&lt;&gt;1,"",IF(I4296="SBJ","CB","?"))</f>
        <v> </v>
      </c>
      <c r="I4296" s="25" t="str">
        <f>IF(OR(E4296="",E4296="!!!",F4296="NEW"),"",INDEX(B4295:B$2,-1+SUMPRODUCT(MAX(ROW(E4295:E$2)*(E4296=E4295:E$2)))))</f>
        <v> </v>
      </c>
      <c r="J4296" s="25" t="str">
        <f>IF(OR(E4296="",E4296="!!!",F4296="NEW"),"",COUNTBLANK(OFFSET(A$1,,,SUMPRODUCT(MAX(ROW(E$2:E4296)*(E4296=E$2:E4296)))))-COUNTBLANK(OFFSET(A$1,,,SUMPRODUCT(MAX(ROW(E$1:E4295)*(E2=E$1:E4295))))))</f>
        <v> </v>
      </c>
      <c r="K4296" s="25" t="str">
        <f>IF(OR(E4296="",E4296="!!!",F4296="NEW"),"",INDEX(J$1:J4295,SUMPRODUCT(MAX(ROW(E$1:E4295)*(E4296=E$1:E4295)))))</f>
        <v> </v>
      </c>
      <c r="L4296" s="26"/>
    </row>
    <row r="4297" spans="1:12">
      <c r="A4297" s="20" t="s">
        <v>1134</v>
      </c>
      <c r="E4297" s="21">
        <f>IF(D4297="?OLD","!!!","")</f>
        <v/>
      </c>
      <c r="F4297" s="22" t="str">
        <f>IF(OR(E4297="",E4297="!!!"),"",IF(NOT(ISNA(VLOOKUP(E4297,E$1:E4296,1,FALSE()))),"OLD",IF(AND(E4297&lt;&gt;"",E4297&lt;&gt;"!!!"),"NEW","")))</f>
        <v> </v>
      </c>
      <c r="G4297" s="23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4" t="str">
        <f>IF(J4297&lt;&gt;1,"",IF(I4297="SBJ","CB","?"))</f>
        <v> </v>
      </c>
      <c r="I4297" s="25" t="str">
        <f>IF(OR(E4297="",E4297="!!!",F4297="NEW"),"",INDEX(B4296:B$2,-1+SUMPRODUCT(MAX(ROW(E4296:E$2)*(E4297=E4296:E$2)))))</f>
        <v> </v>
      </c>
      <c r="J4297" s="25" t="str">
        <f>IF(OR(E4297="",E4297="!!!",F4297="NEW"),"",COUNTBLANK(OFFSET(A$1,,,SUMPRODUCT(MAX(ROW(E$2:E4297)*(E4297=E$2:E4297)))))-COUNTBLANK(OFFSET(A$1,,,SUMPRODUCT(MAX(ROW(E$1:E4296)*(E2=E$1:E4296))))))</f>
        <v> </v>
      </c>
      <c r="K4297" s="25" t="str">
        <f>IF(OR(E4297="",E4297="!!!",F4297="NEW"),"",INDEX(J$1:J4296,SUMPRODUCT(MAX(ROW(E$1:E4296)*(E4297=E$1:E4296)))))</f>
        <v> </v>
      </c>
      <c r="L4297" s="26"/>
    </row>
    <row r="4298" spans="1:12">
      <c r="A4298" s="20" t="s">
        <v>3008</v>
      </c>
      <c r="E4298" s="21">
        <f>IF(D4298="?OLD","!!!","")</f>
        <v/>
      </c>
      <c r="F4298" s="22" t="str">
        <f>IF(OR(E4298="",E4298="!!!"),"",IF(NOT(ISNA(VLOOKUP(E4298,E$1:E4297,1,FALSE()))),"OLD",IF(AND(E4298&lt;&gt;"",E4298&lt;&gt;"!!!"),"NEW","")))</f>
        <v> </v>
      </c>
      <c r="G4298" s="23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4" t="str">
        <f>IF(J4298&lt;&gt;1,"",IF(I4298="SBJ","CB","?"))</f>
        <v> </v>
      </c>
      <c r="I4298" s="25" t="str">
        <f>IF(OR(E4298="",E4298="!!!",F4298="NEW"),"",INDEX(B4297:B$2,-1+SUMPRODUCT(MAX(ROW(E4297:E$2)*(E4298=E4297:E$2)))))</f>
        <v> </v>
      </c>
      <c r="J4298" s="25" t="str">
        <f>IF(OR(E4298="",E4298="!!!",F4298="NEW"),"",COUNTBLANK(OFFSET(A$1,,,SUMPRODUCT(MAX(ROW(E$2:E4298)*(E4298=E$2:E4298)))))-COUNTBLANK(OFFSET(A$1,,,SUMPRODUCT(MAX(ROW(E$1:E4297)*(E2=E$1:E4297))))))</f>
        <v> </v>
      </c>
      <c r="K4298" s="25" t="str">
        <f>IF(OR(E4298="",E4298="!!!",F4298="NEW"),"",INDEX(J$1:J4297,SUMPRODUCT(MAX(ROW(E$1:E4297)*(E4298=E$1:E4297)))))</f>
        <v> </v>
      </c>
      <c r="L4298" s="26"/>
    </row>
    <row r="4299" spans="1:12">
      <c r="A4299" s="20" t="s">
        <v>2938</v>
      </c>
      <c r="E4299" s="21">
        <f>IF(D4299="?OLD","!!!","")</f>
        <v/>
      </c>
      <c r="F4299" s="22" t="str">
        <f>IF(OR(E4299="",E4299="!!!"),"",IF(NOT(ISNA(VLOOKUP(E4299,E$1:E4298,1,FALSE()))),"OLD",IF(AND(E4299&lt;&gt;"",E4299&lt;&gt;"!!!"),"NEW","")))</f>
        <v> </v>
      </c>
      <c r="G4299" s="23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4" t="str">
        <f>IF(J4299&lt;&gt;1,"",IF(I4299="SBJ","CB","?"))</f>
        <v> </v>
      </c>
      <c r="I4299" s="25" t="str">
        <f>IF(OR(E4299="",E4299="!!!",F4299="NEW"),"",INDEX(B4298:B$2,-1+SUMPRODUCT(MAX(ROW(E4298:E$2)*(E4299=E4298:E$2)))))</f>
        <v> </v>
      </c>
      <c r="J4299" s="25" t="str">
        <f>IF(OR(E4299="",E4299="!!!",F4299="NEW"),"",COUNTBLANK(OFFSET(A$1,,,SUMPRODUCT(MAX(ROW(E$2:E4299)*(E4299=E$2:E4299)))))-COUNTBLANK(OFFSET(A$1,,,SUMPRODUCT(MAX(ROW(E$1:E4298)*(E2=E$1:E4298))))))</f>
        <v> </v>
      </c>
      <c r="K4299" s="25" t="str">
        <f>IF(OR(E4299="",E4299="!!!",F4299="NEW"),"",INDEX(J$1:J4298,SUMPRODUCT(MAX(ROW(E$1:E4298)*(E4299=E$1:E4298)))))</f>
        <v> </v>
      </c>
      <c r="L4299" s="26"/>
    </row>
    <row r="4300" spans="1:12">
      <c r="A4300" s="20" t="s">
        <v>3009</v>
      </c>
      <c r="E4300" s="21">
        <f>IF(D4300="?OLD","!!!","")</f>
        <v/>
      </c>
      <c r="F4300" s="22" t="str">
        <f>IF(OR(E4300="",E4300="!!!"),"",IF(NOT(ISNA(VLOOKUP(E4300,E$1:E4299,1,FALSE()))),"OLD",IF(AND(E4300&lt;&gt;"",E4300&lt;&gt;"!!!"),"NEW","")))</f>
        <v> </v>
      </c>
      <c r="G4300" s="23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4" t="str">
        <f>IF(J4300&lt;&gt;1,"",IF(I4300="SBJ","CB","?"))</f>
        <v> </v>
      </c>
      <c r="I4300" s="25" t="str">
        <f>IF(OR(E4300="",E4300="!!!",F4300="NEW"),"",INDEX(B4299:B$2,-1+SUMPRODUCT(MAX(ROW(E4299:E$2)*(E4300=E4299:E$2)))))</f>
        <v> </v>
      </c>
      <c r="J4300" s="25" t="str">
        <f>IF(OR(E4300="",E4300="!!!",F4300="NEW"),"",COUNTBLANK(OFFSET(A$1,,,SUMPRODUCT(MAX(ROW(E$2:E4300)*(E4300=E$2:E4300)))))-COUNTBLANK(OFFSET(A$1,,,SUMPRODUCT(MAX(ROW(E$1:E4299)*(E2=E$1:E4299))))))</f>
        <v> </v>
      </c>
      <c r="K4300" s="25" t="str">
        <f>IF(OR(E4300="",E4300="!!!",F4300="NEW"),"",INDEX(J$1:J4299,SUMPRODUCT(MAX(ROW(E$1:E4299)*(E4300=E$1:E4299)))))</f>
        <v> </v>
      </c>
      <c r="L4300" s="26"/>
    </row>
    <row r="4301" spans="1:12">
      <c r="A4301" s="20" t="s">
        <v>1145</v>
      </c>
      <c r="E4301" s="21">
        <f>IF(D4301="?OLD","!!!","")</f>
        <v/>
      </c>
      <c r="F4301" s="22" t="str">
        <f>IF(OR(E4301="",E4301="!!!"),"",IF(NOT(ISNA(VLOOKUP(E4301,E$1:E4300,1,FALSE()))),"OLD",IF(AND(E4301&lt;&gt;"",E4301&lt;&gt;"!!!"),"NEW","")))</f>
        <v> </v>
      </c>
      <c r="G4301" s="23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4" t="str">
        <f>IF(J4301&lt;&gt;1,"",IF(I4301="SBJ","CB","?"))</f>
        <v> </v>
      </c>
      <c r="I4301" s="25" t="str">
        <f>IF(OR(E4301="",E4301="!!!",F4301="NEW"),"",INDEX(B4300:B$2,-1+SUMPRODUCT(MAX(ROW(E4300:E$2)*(E4301=E4300:E$2)))))</f>
        <v> </v>
      </c>
      <c r="J4301" s="25" t="str">
        <f>IF(OR(E4301="",E4301="!!!",F4301="NEW"),"",COUNTBLANK(OFFSET(A$1,,,SUMPRODUCT(MAX(ROW(E$2:E4301)*(E4301=E$2:E4301)))))-COUNTBLANK(OFFSET(A$1,,,SUMPRODUCT(MAX(ROW(E$1:E4300)*(E2=E$1:E4300))))))</f>
        <v> </v>
      </c>
      <c r="K4301" s="25" t="str">
        <f>IF(OR(E4301="",E4301="!!!",F4301="NEW"),"",INDEX(J$1:J4300,SUMPRODUCT(MAX(ROW(E$1:E4300)*(E4301=E$1:E4300)))))</f>
        <v> </v>
      </c>
      <c r="L4301" s="26"/>
    </row>
    <row r="4302" spans="1:12">
      <c r="A4302" s="20"/>
    </row>
    <row r="4303" spans="1:12">
      <c r="A4303" s="20" t="s">
        <v>3010</v>
      </c>
    </row>
    <row r="4304" spans="1:12">
      <c r="A4304" s="20" t="s">
        <v>1873</v>
      </c>
      <c r="E4304" s="21">
        <f>IF(D4304="?OLD","!!!","")</f>
        <v/>
      </c>
      <c r="F4304" s="22" t="str">
        <f>IF(OR(E4304="",E4304="!!!"),"",IF(NOT(ISNA(VLOOKUP(E4304,E$1:E4303,1,FALSE()))),"OLD",IF(AND(E4304&lt;&gt;"",E4304&lt;&gt;"!!!"),"NEW","")))</f>
        <v> </v>
      </c>
      <c r="G4304" s="23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4" t="str">
        <f>IF(J4304&lt;&gt;1,"",IF(I4304="SBJ","CB","?"))</f>
        <v> </v>
      </c>
      <c r="I4304" s="25" t="str">
        <f>IF(OR(E4304="",E4304="!!!",F4304="NEW"),"",INDEX(B4303:B$2,-1+SUMPRODUCT(MAX(ROW(E4303:E$2)*(E4304=E4303:E$2)))))</f>
        <v> </v>
      </c>
      <c r="J4304" s="25" t="str">
        <f>IF(OR(E4304="",E4304="!!!",F4304="NEW"),"",COUNTBLANK(OFFSET(A$1,,,SUMPRODUCT(MAX(ROW(E$2:E4304)*(E4304=E$2:E4304)))))-COUNTBLANK(OFFSET(A$1,,,SUMPRODUCT(MAX(ROW(E$1:E4303)*(E2=E$1:E4303))))))</f>
        <v> </v>
      </c>
      <c r="K4304" s="25" t="str">
        <f>IF(OR(E4304="",E4304="!!!",F4304="NEW"),"",INDEX(J$1:J4303,SUMPRODUCT(MAX(ROW(E$1:E4303)*(E4304=E$1:E4303)))))</f>
        <v> </v>
      </c>
      <c r="L4304" s="26"/>
    </row>
    <row r="4305" spans="1:12">
      <c r="A4305" s="20" t="s">
        <v>135</v>
      </c>
      <c r="B4305" s="27" t="s">
        <v>1149</v>
      </c>
      <c r="C4305" s="27" t="s">
        <v>1133</v>
      </c>
      <c r="E4305" s="21">
        <f>IF(D4305="?OLD","!!!","")</f>
        <v/>
      </c>
      <c r="F4305" s="22" t="str">
        <f>IF(OR(E4305="",E4305="!!!"),"",IF(NOT(ISNA(VLOOKUP(E4305,E$1:E4304,1,FALSE()))),"OLD",IF(AND(E4305&lt;&gt;"",E4305&lt;&gt;"!!!"),"NEW","")))</f>
        <v> </v>
      </c>
      <c r="G4305" s="23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4" t="str">
        <f>IF(J4305&lt;&gt;1,"",IF(I4305="SBJ","CB","?"))</f>
        <v> </v>
      </c>
      <c r="I4305" s="25" t="str">
        <f>IF(OR(E4305="",E4305="!!!",F4305="NEW"),"",INDEX(B4304:B$2,-1+SUMPRODUCT(MAX(ROW(E4304:E$2)*(E4305=E4304:E$2)))))</f>
        <v> </v>
      </c>
      <c r="J4305" s="25" t="str">
        <f>IF(OR(E4305="",E4305="!!!",F4305="NEW"),"",COUNTBLANK(OFFSET(A$1,,,SUMPRODUCT(MAX(ROW(E$2:E4305)*(E4305=E$2:E4305)))))-COUNTBLANK(OFFSET(A$1,,,SUMPRODUCT(MAX(ROW(E$1:E4304)*(E2=E$1:E4304))))))</f>
        <v> </v>
      </c>
      <c r="K4305" s="25" t="str">
        <f>IF(OR(E4305="",E4305="!!!",F4305="NEW"),"",INDEX(J$1:J4304,SUMPRODUCT(MAX(ROW(E$1:E4304)*(E4305=E$1:E4304)))))</f>
        <v> </v>
      </c>
      <c r="L4305" s="26"/>
    </row>
    <row r="4306" spans="1:12">
      <c r="A4306" s="20" t="s">
        <v>3011</v>
      </c>
      <c r="E4306" s="21">
        <f>IF(D4306="?OLD","!!!","")</f>
        <v/>
      </c>
      <c r="F4306" s="22" t="str">
        <f>IF(OR(E4306="",E4306="!!!"),"",IF(NOT(ISNA(VLOOKUP(E4306,E$1:E4305,1,FALSE()))),"OLD",IF(AND(E4306&lt;&gt;"",E4306&lt;&gt;"!!!"),"NEW","")))</f>
        <v> </v>
      </c>
      <c r="G4306" s="23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4" t="str">
        <f>IF(J4306&lt;&gt;1,"",IF(I4306="SBJ","CB","?"))</f>
        <v> </v>
      </c>
      <c r="I4306" s="25" t="str">
        <f>IF(OR(E4306="",E4306="!!!",F4306="NEW"),"",INDEX(B4305:B$2,-1+SUMPRODUCT(MAX(ROW(E4305:E$2)*(E4306=E4305:E$2)))))</f>
        <v> </v>
      </c>
      <c r="J4306" s="25" t="str">
        <f>IF(OR(E4306="",E4306="!!!",F4306="NEW"),"",COUNTBLANK(OFFSET(A$1,,,SUMPRODUCT(MAX(ROW(E$2:E4306)*(E4306=E$2:E4306)))))-COUNTBLANK(OFFSET(A$1,,,SUMPRODUCT(MAX(ROW(E$1:E4305)*(E2=E$1:E4305))))))</f>
        <v> </v>
      </c>
      <c r="K4306" s="25" t="str">
        <f>IF(OR(E4306="",E4306="!!!",F4306="NEW"),"",INDEX(J$1:J4305,SUMPRODUCT(MAX(ROW(E$1:E4305)*(E4306=E$1:E4305)))))</f>
        <v> </v>
      </c>
      <c r="L4306" s="26"/>
    </row>
    <row r="4307" spans="1:12">
      <c r="A4307" s="20" t="s">
        <v>1123</v>
      </c>
      <c r="E4307" s="21">
        <f>IF(D4307="?OLD","!!!","")</f>
        <v/>
      </c>
      <c r="F4307" s="22" t="str">
        <f>IF(OR(E4307="",E4307="!!!"),"",IF(NOT(ISNA(VLOOKUP(E4307,E$1:E4306,1,FALSE()))),"OLD",IF(AND(E4307&lt;&gt;"",E4307&lt;&gt;"!!!"),"NEW","")))</f>
        <v> </v>
      </c>
      <c r="G4307" s="23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4" t="str">
        <f>IF(J4307&lt;&gt;1,"",IF(I4307="SBJ","CB","?"))</f>
        <v> </v>
      </c>
      <c r="I4307" s="25" t="str">
        <f>IF(OR(E4307="",E4307="!!!",F4307="NEW"),"",INDEX(B4306:B$2,-1+SUMPRODUCT(MAX(ROW(E4306:E$2)*(E4307=E4306:E$2)))))</f>
        <v> </v>
      </c>
      <c r="J4307" s="25" t="str">
        <f>IF(OR(E4307="",E4307="!!!",F4307="NEW"),"",COUNTBLANK(OFFSET(A$1,,,SUMPRODUCT(MAX(ROW(E$2:E4307)*(E4307=E$2:E4307)))))-COUNTBLANK(OFFSET(A$1,,,SUMPRODUCT(MAX(ROW(E$1:E4306)*(E2=E$1:E4306))))))</f>
        <v> </v>
      </c>
      <c r="K4307" s="25" t="str">
        <f>IF(OR(E4307="",E4307="!!!",F4307="NEW"),"",INDEX(J$1:J4306,SUMPRODUCT(MAX(ROW(E$1:E4306)*(E4307=E$1:E4306)))))</f>
        <v> </v>
      </c>
      <c r="L4307" s="26"/>
    </row>
    <row r="4308" spans="1:12">
      <c r="A4308" s="20" t="s">
        <v>1369</v>
      </c>
      <c r="E4308" s="21">
        <f>IF(D4308="?OLD","!!!","")</f>
        <v/>
      </c>
      <c r="F4308" s="22" t="str">
        <f>IF(OR(E4308="",E4308="!!!"),"",IF(NOT(ISNA(VLOOKUP(E4308,E$1:E4307,1,FALSE()))),"OLD",IF(AND(E4308&lt;&gt;"",E4308&lt;&gt;"!!!"),"NEW","")))</f>
        <v> </v>
      </c>
      <c r="G4308" s="23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4" t="str">
        <f>IF(J4308&lt;&gt;1,"",IF(I4308="SBJ","CB","?"))</f>
        <v> </v>
      </c>
      <c r="I4308" s="25" t="str">
        <f>IF(OR(E4308="",E4308="!!!",F4308="NEW"),"",INDEX(B4307:B$2,-1+SUMPRODUCT(MAX(ROW(E4307:E$2)*(E4308=E4307:E$2)))))</f>
        <v> </v>
      </c>
      <c r="J4308" s="25" t="str">
        <f>IF(OR(E4308="",E4308="!!!",F4308="NEW"),"",COUNTBLANK(OFFSET(A$1,,,SUMPRODUCT(MAX(ROW(E$2:E4308)*(E4308=E$2:E4308)))))-COUNTBLANK(OFFSET(A$1,,,SUMPRODUCT(MAX(ROW(E$1:E4307)*(E2=E$1:E4307))))))</f>
        <v> </v>
      </c>
      <c r="K4308" s="25" t="str">
        <f>IF(OR(E4308="",E4308="!!!",F4308="NEW"),"",INDEX(J$1:J4307,SUMPRODUCT(MAX(ROW(E$1:E4307)*(E4308=E$1:E4307)))))</f>
        <v> </v>
      </c>
      <c r="L4308" s="26"/>
    </row>
    <row r="4309" spans="1:12">
      <c r="A4309" s="20" t="s">
        <v>1123</v>
      </c>
      <c r="E4309" s="21">
        <f>IF(D4309="?OLD","!!!","")</f>
        <v/>
      </c>
      <c r="F4309" s="22" t="str">
        <f>IF(OR(E4309="",E4309="!!!"),"",IF(NOT(ISNA(VLOOKUP(E4309,E$1:E4308,1,FALSE()))),"OLD",IF(AND(E4309&lt;&gt;"",E4309&lt;&gt;"!!!"),"NEW","")))</f>
        <v> </v>
      </c>
      <c r="G4309" s="23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4" t="str">
        <f>IF(J4309&lt;&gt;1,"",IF(I4309="SBJ","CB","?"))</f>
        <v> </v>
      </c>
      <c r="I4309" s="25" t="str">
        <f>IF(OR(E4309="",E4309="!!!",F4309="NEW"),"",INDEX(B4308:B$2,-1+SUMPRODUCT(MAX(ROW(E4308:E$2)*(E4309=E4308:E$2)))))</f>
        <v> </v>
      </c>
      <c r="J4309" s="25" t="str">
        <f>IF(OR(E4309="",E4309="!!!",F4309="NEW"),"",COUNTBLANK(OFFSET(A$1,,,SUMPRODUCT(MAX(ROW(E$2:E4309)*(E4309=E$2:E4309)))))-COUNTBLANK(OFFSET(A$1,,,SUMPRODUCT(MAX(ROW(E$1:E4308)*(E2=E$1:E4308))))))</f>
        <v> </v>
      </c>
      <c r="K4309" s="25" t="str">
        <f>IF(OR(E4309="",E4309="!!!",F4309="NEW"),"",INDEX(J$1:J4308,SUMPRODUCT(MAX(ROW(E$1:E4308)*(E4309=E$1:E4308)))))</f>
        <v> </v>
      </c>
      <c r="L4309" s="26"/>
    </row>
    <row r="4310" spans="1:12">
      <c r="A4310" s="20" t="s">
        <v>1228</v>
      </c>
      <c r="B4310" s="27" t="s">
        <v>1122</v>
      </c>
      <c r="C4310" s="27" t="s">
        <v>1126</v>
      </c>
      <c r="D4310" s="27" t="s">
        <v>1105</v>
      </c>
      <c r="E4310" s="21">
        <f>IF(D4310="?OLD","!!!","")</f>
        <v/>
      </c>
      <c r="F4310" s="22" t="str">
        <f>IF(OR(E4310="",E4310="!!!"),"",IF(NOT(ISNA(VLOOKUP(E4310,E$1:E4309,1,FALSE()))),"OLD",IF(AND(E4310&lt;&gt;"",E4310&lt;&gt;"!!!"),"NEW","")))</f>
        <v> </v>
      </c>
      <c r="G4310" s="23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4" t="str">
        <f>IF(J4310&lt;&gt;1,"",IF(I4310="SBJ","CB","?"))</f>
        <v> </v>
      </c>
      <c r="I4310" s="25" t="str">
        <f>IF(OR(E4310="",E4310="!!!",F4310="NEW"),"",INDEX(B4309:B$2,-1+SUMPRODUCT(MAX(ROW(E4309:E$2)*(E4310=E4309:E$2)))))</f>
        <v> </v>
      </c>
      <c r="J4310" s="25" t="str">
        <f>IF(OR(E4310="",E4310="!!!",F4310="NEW"),"",COUNTBLANK(OFFSET(A$1,,,SUMPRODUCT(MAX(ROW(E$2:E4310)*(E4310=E$2:E4310)))))-COUNTBLANK(OFFSET(A$1,,,SUMPRODUCT(MAX(ROW(E$1:E4309)*(E2=E$1:E4309))))))</f>
        <v> </v>
      </c>
      <c r="K4310" s="25" t="str">
        <f>IF(OR(E4310="",E4310="!!!",F4310="NEW"),"",INDEX(J$1:J4309,SUMPRODUCT(MAX(ROW(E$1:E4309)*(E4310=E$1:E4309)))))</f>
        <v> </v>
      </c>
      <c r="L4310" s="26"/>
    </row>
    <row r="4311" spans="1:12">
      <c r="A4311" s="20" t="s">
        <v>3012</v>
      </c>
      <c r="E4311" s="21">
        <f>IF(D4311="?OLD","!!!","")</f>
        <v/>
      </c>
      <c r="F4311" s="22" t="str">
        <f>IF(OR(E4311="",E4311="!!!"),"",IF(NOT(ISNA(VLOOKUP(E4311,E$1:E4310,1,FALSE()))),"OLD",IF(AND(E4311&lt;&gt;"",E4311&lt;&gt;"!!!"),"NEW","")))</f>
        <v> </v>
      </c>
      <c r="G4311" s="23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4" t="str">
        <f>IF(J4311&lt;&gt;1,"",IF(I4311="SBJ","CB","?"))</f>
        <v> </v>
      </c>
      <c r="I4311" s="25" t="str">
        <f>IF(OR(E4311="",E4311="!!!",F4311="NEW"),"",INDEX(B4310:B$2,-1+SUMPRODUCT(MAX(ROW(E4310:E$2)*(E4311=E4310:E$2)))))</f>
        <v> </v>
      </c>
      <c r="J4311" s="25" t="str">
        <f>IF(OR(E4311="",E4311="!!!",F4311="NEW"),"",COUNTBLANK(OFFSET(A$1,,,SUMPRODUCT(MAX(ROW(E$2:E4311)*(E4311=E$2:E4311)))))-COUNTBLANK(OFFSET(A$1,,,SUMPRODUCT(MAX(ROW(E$1:E4310)*(E2=E$1:E4310))))))</f>
        <v> </v>
      </c>
      <c r="K4311" s="25" t="str">
        <f>IF(OR(E4311="",E4311="!!!",F4311="NEW"),"",INDEX(J$1:J4310,SUMPRODUCT(MAX(ROW(E$1:E4310)*(E4311=E$1:E4310)))))</f>
        <v> </v>
      </c>
      <c r="L4311" s="26"/>
    </row>
    <row r="4312" spans="1:12">
      <c r="A4312" s="20" t="s">
        <v>1123</v>
      </c>
      <c r="E4312" s="21">
        <f>IF(D4312="?OLD","!!!","")</f>
        <v/>
      </c>
      <c r="F4312" s="22" t="str">
        <f>IF(OR(E4312="",E4312="!!!"),"",IF(NOT(ISNA(VLOOKUP(E4312,E$1:E4311,1,FALSE()))),"OLD",IF(AND(E4312&lt;&gt;"",E4312&lt;&gt;"!!!"),"NEW","")))</f>
        <v> </v>
      </c>
      <c r="G4312" s="23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4" t="str">
        <f>IF(J4312&lt;&gt;1,"",IF(I4312="SBJ","CB","?"))</f>
        <v> </v>
      </c>
      <c r="I4312" s="25" t="str">
        <f>IF(OR(E4312="",E4312="!!!",F4312="NEW"),"",INDEX(B4311:B$2,-1+SUMPRODUCT(MAX(ROW(E4311:E$2)*(E4312=E4311:E$2)))))</f>
        <v> </v>
      </c>
      <c r="J4312" s="25" t="str">
        <f>IF(OR(E4312="",E4312="!!!",F4312="NEW"),"",COUNTBLANK(OFFSET(A$1,,,SUMPRODUCT(MAX(ROW(E$2:E4312)*(E4312=E$2:E4312)))))-COUNTBLANK(OFFSET(A$1,,,SUMPRODUCT(MAX(ROW(E$1:E4311)*(E2=E$1:E4311))))))</f>
        <v> </v>
      </c>
      <c r="K4312" s="25" t="str">
        <f>IF(OR(E4312="",E4312="!!!",F4312="NEW"),"",INDEX(J$1:J4311,SUMPRODUCT(MAX(ROW(E$1:E4311)*(E4312=E$1:E4311)))))</f>
        <v> </v>
      </c>
      <c r="L4312" s="26"/>
    </row>
    <row r="4313" spans="1:12">
      <c r="A4313" s="20" t="s">
        <v>2593</v>
      </c>
      <c r="E4313" s="21">
        <f>IF(D4313="?OLD","!!!","")</f>
        <v/>
      </c>
      <c r="F4313" s="22" t="str">
        <f>IF(OR(E4313="",E4313="!!!"),"",IF(NOT(ISNA(VLOOKUP(E4313,E$1:E4312,1,FALSE()))),"OLD",IF(AND(E4313&lt;&gt;"",E4313&lt;&gt;"!!!"),"NEW","")))</f>
        <v> </v>
      </c>
      <c r="G4313" s="23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4" t="str">
        <f>IF(J4313&lt;&gt;1,"",IF(I4313="SBJ","CB","?"))</f>
        <v> </v>
      </c>
      <c r="I4313" s="25" t="str">
        <f>IF(OR(E4313="",E4313="!!!",F4313="NEW"),"",INDEX(B4312:B$2,-1+SUMPRODUCT(MAX(ROW(E4312:E$2)*(E4313=E4312:E$2)))))</f>
        <v> </v>
      </c>
      <c r="J4313" s="25" t="str">
        <f>IF(OR(E4313="",E4313="!!!",F4313="NEW"),"",COUNTBLANK(OFFSET(A$1,,,SUMPRODUCT(MAX(ROW(E$2:E4313)*(E4313=E$2:E4313)))))-COUNTBLANK(OFFSET(A$1,,,SUMPRODUCT(MAX(ROW(E$1:E4312)*(E2=E$1:E4312))))))</f>
        <v> </v>
      </c>
      <c r="K4313" s="25" t="str">
        <f>IF(OR(E4313="",E4313="!!!",F4313="NEW"),"",INDEX(J$1:J4312,SUMPRODUCT(MAX(ROW(E$1:E4312)*(E4313=E$1:E4312)))))</f>
        <v> </v>
      </c>
      <c r="L4313" s="26"/>
    </row>
    <row r="4314" spans="1:12">
      <c r="A4314" s="20" t="s">
        <v>2633</v>
      </c>
      <c r="B4314" s="27" t="s">
        <v>1149</v>
      </c>
      <c r="C4314" s="27" t="s">
        <v>1156</v>
      </c>
      <c r="D4314" s="27" t="s">
        <v>1105</v>
      </c>
      <c r="E4314" s="21">
        <f>IF(D4314="?OLD","!!!","")</f>
        <v/>
      </c>
      <c r="F4314" s="22" t="str">
        <f>IF(OR(E4314="",E4314="!!!"),"",IF(NOT(ISNA(VLOOKUP(E4314,E$1:E4313,1,FALSE()))),"OLD",IF(AND(E4314&lt;&gt;"",E4314&lt;&gt;"!!!"),"NEW","")))</f>
        <v> </v>
      </c>
      <c r="G4314" s="23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4" t="str">
        <f>IF(J4314&lt;&gt;1,"",IF(I4314="SBJ","CB","?"))</f>
        <v> </v>
      </c>
      <c r="I4314" s="25" t="str">
        <f>IF(OR(E4314="",E4314="!!!",F4314="NEW"),"",INDEX(B4313:B$2,-1+SUMPRODUCT(MAX(ROW(E4313:E$2)*(E4314=E4313:E$2)))))</f>
        <v> </v>
      </c>
      <c r="J4314" s="25" t="str">
        <f>IF(OR(E4314="",E4314="!!!",F4314="NEW"),"",COUNTBLANK(OFFSET(A$1,,,SUMPRODUCT(MAX(ROW(E$2:E4314)*(E4314=E$2:E4314)))))-COUNTBLANK(OFFSET(A$1,,,SUMPRODUCT(MAX(ROW(E$1:E4313)*(E2=E$1:E4313))))))</f>
        <v> </v>
      </c>
      <c r="K4314" s="25" t="str">
        <f>IF(OR(E4314="",E4314="!!!",F4314="NEW"),"",INDEX(J$1:J4313,SUMPRODUCT(MAX(ROW(E$1:E4313)*(E4314=E$1:E4313)))))</f>
        <v> </v>
      </c>
      <c r="L4314" s="26"/>
    </row>
    <row r="4315" spans="1:12">
      <c r="A4315" s="20" t="s">
        <v>3013</v>
      </c>
      <c r="E4315" s="21">
        <f>IF(D4315="?OLD","!!!","")</f>
        <v/>
      </c>
      <c r="F4315" s="22" t="str">
        <f>IF(OR(E4315="",E4315="!!!"),"",IF(NOT(ISNA(VLOOKUP(E4315,E$1:E4314,1,FALSE()))),"OLD",IF(AND(E4315&lt;&gt;"",E4315&lt;&gt;"!!!"),"NEW","")))</f>
        <v> </v>
      </c>
      <c r="G4315" s="23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4" t="str">
        <f>IF(J4315&lt;&gt;1,"",IF(I4315="SBJ","CB","?"))</f>
        <v> </v>
      </c>
      <c r="I4315" s="25" t="str">
        <f>IF(OR(E4315="",E4315="!!!",F4315="NEW"),"",INDEX(B4314:B$2,-1+SUMPRODUCT(MAX(ROW(E4314:E$2)*(E4315=E4314:E$2)))))</f>
        <v> </v>
      </c>
      <c r="J4315" s="25" t="str">
        <f>IF(OR(E4315="",E4315="!!!",F4315="NEW"),"",COUNTBLANK(OFFSET(A$1,,,SUMPRODUCT(MAX(ROW(E$2:E4315)*(E4315=E$2:E4315)))))-COUNTBLANK(OFFSET(A$1,,,SUMPRODUCT(MAX(ROW(E$1:E4314)*(E2=E$1:E4314))))))</f>
        <v> </v>
      </c>
      <c r="K4315" s="25" t="str">
        <f>IF(OR(E4315="",E4315="!!!",F4315="NEW"),"",INDEX(J$1:J4314,SUMPRODUCT(MAX(ROW(E$1:E4314)*(E4315=E$1:E4314)))))</f>
        <v> </v>
      </c>
      <c r="L4315" s="26"/>
    </row>
    <row r="4316" spans="1:12">
      <c r="A4316" s="20" t="s">
        <v>1242</v>
      </c>
      <c r="B4316" s="27" t="s">
        <v>1213</v>
      </c>
      <c r="C4316" s="27" t="s">
        <v>1126</v>
      </c>
      <c r="D4316" s="27" t="s">
        <v>1105</v>
      </c>
      <c r="E4316" s="21">
        <f>IF(D4316="?OLD","!!!","")</f>
        <v/>
      </c>
      <c r="F4316" s="22" t="str">
        <f>IF(OR(E4316="",E4316="!!!"),"",IF(NOT(ISNA(VLOOKUP(E4316,E$1:E4315,1,FALSE()))),"OLD",IF(AND(E4316&lt;&gt;"",E4316&lt;&gt;"!!!"),"NEW","")))</f>
        <v> </v>
      </c>
      <c r="G4316" s="23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4" t="str">
        <f>IF(J4316&lt;&gt;1,"",IF(I4316="SBJ","CB","?"))</f>
        <v> </v>
      </c>
      <c r="I4316" s="25" t="str">
        <f>IF(OR(E4316="",E4316="!!!",F4316="NEW"),"",INDEX(B4315:B$2,-1+SUMPRODUCT(MAX(ROW(E4315:E$2)*(E4316=E4315:E$2)))))</f>
        <v> </v>
      </c>
      <c r="J4316" s="25" t="str">
        <f>IF(OR(E4316="",E4316="!!!",F4316="NEW"),"",COUNTBLANK(OFFSET(A$1,,,SUMPRODUCT(MAX(ROW(E$2:E4316)*(E4316=E$2:E4316)))))-COUNTBLANK(OFFSET(A$1,,,SUMPRODUCT(MAX(ROW(E$1:E4315)*(E2=E$1:E4315))))))</f>
        <v> </v>
      </c>
      <c r="K4316" s="25" t="str">
        <f>IF(OR(E4316="",E4316="!!!",F4316="NEW"),"",INDEX(J$1:J4315,SUMPRODUCT(MAX(ROW(E$1:E4315)*(E4316=E$1:E4315)))))</f>
        <v> </v>
      </c>
      <c r="L4316" s="26"/>
    </row>
    <row r="4317" spans="1:12">
      <c r="A4317" s="20" t="s">
        <v>1206</v>
      </c>
      <c r="E4317" s="21">
        <f>IF(D4317="?OLD","!!!","")</f>
        <v/>
      </c>
      <c r="F4317" s="22" t="str">
        <f>IF(OR(E4317="",E4317="!!!"),"",IF(NOT(ISNA(VLOOKUP(E4317,E$1:E4316,1,FALSE()))),"OLD",IF(AND(E4317&lt;&gt;"",E4317&lt;&gt;"!!!"),"NEW","")))</f>
        <v> </v>
      </c>
      <c r="G4317" s="23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4" t="str">
        <f>IF(J4317&lt;&gt;1,"",IF(I4317="SBJ","CB","?"))</f>
        <v> </v>
      </c>
      <c r="I4317" s="25" t="str">
        <f>IF(OR(E4317="",E4317="!!!",F4317="NEW"),"",INDEX(B4316:B$2,-1+SUMPRODUCT(MAX(ROW(E4316:E$2)*(E4317=E4316:E$2)))))</f>
        <v> </v>
      </c>
      <c r="J4317" s="25" t="str">
        <f>IF(OR(E4317="",E4317="!!!",F4317="NEW"),"",COUNTBLANK(OFFSET(A$1,,,SUMPRODUCT(MAX(ROW(E$2:E4317)*(E4317=E$2:E4317)))))-COUNTBLANK(OFFSET(A$1,,,SUMPRODUCT(MAX(ROW(E$1:E4316)*(E2=E$1:E4316))))))</f>
        <v> </v>
      </c>
      <c r="K4317" s="25" t="str">
        <f>IF(OR(E4317="",E4317="!!!",F4317="NEW"),"",INDEX(J$1:J4316,SUMPRODUCT(MAX(ROW(E$1:E4316)*(E4317=E$1:E4316)))))</f>
        <v> </v>
      </c>
      <c r="L4317" s="26"/>
    </row>
    <row r="4318" spans="1:12">
      <c r="A4318" s="20" t="s">
        <v>3014</v>
      </c>
      <c r="E4318" s="21">
        <f>IF(D4318="?OLD","!!!","")</f>
        <v/>
      </c>
      <c r="F4318" s="22" t="str">
        <f>IF(OR(E4318="",E4318="!!!"),"",IF(NOT(ISNA(VLOOKUP(E4318,E$1:E4317,1,FALSE()))),"OLD",IF(AND(E4318&lt;&gt;"",E4318&lt;&gt;"!!!"),"NEW","")))</f>
        <v> </v>
      </c>
      <c r="G4318" s="23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4" t="str">
        <f>IF(J4318&lt;&gt;1,"",IF(I4318="SBJ","CB","?"))</f>
        <v> </v>
      </c>
      <c r="I4318" s="25" t="str">
        <f>IF(OR(E4318="",E4318="!!!",F4318="NEW"),"",INDEX(B4317:B$2,-1+SUMPRODUCT(MAX(ROW(E4317:E$2)*(E4318=E4317:E$2)))))</f>
        <v> </v>
      </c>
      <c r="J4318" s="25" t="str">
        <f>IF(OR(E4318="",E4318="!!!",F4318="NEW"),"",COUNTBLANK(OFFSET(A$1,,,SUMPRODUCT(MAX(ROW(E$2:E4318)*(E4318=E$2:E4318)))))-COUNTBLANK(OFFSET(A$1,,,SUMPRODUCT(MAX(ROW(E$1:E4317)*(E2=E$1:E4317))))))</f>
        <v> </v>
      </c>
      <c r="K4318" s="25" t="str">
        <f>IF(OR(E4318="",E4318="!!!",F4318="NEW"),"",INDEX(J$1:J4317,SUMPRODUCT(MAX(ROW(E$1:E4317)*(E4318=E$1:E4317)))))</f>
        <v> </v>
      </c>
      <c r="L4318" s="26"/>
    </row>
    <row r="4319" spans="1:12">
      <c r="A4319" s="20" t="s">
        <v>3015</v>
      </c>
      <c r="B4319" s="27" t="s">
        <v>1213</v>
      </c>
      <c r="C4319" s="27" t="s">
        <v>1210</v>
      </c>
      <c r="E4319" s="21">
        <f>IF(D4319="?OLD","!!!","")</f>
        <v/>
      </c>
      <c r="F4319" s="22" t="str">
        <f>IF(OR(E4319="",E4319="!!!"),"",IF(NOT(ISNA(VLOOKUP(E4319,E$1:E4318,1,FALSE()))),"OLD",IF(AND(E4319&lt;&gt;"",E4319&lt;&gt;"!!!"),"NEW","")))</f>
        <v> </v>
      </c>
      <c r="G4319" s="23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4" t="str">
        <f>IF(J4319&lt;&gt;1,"",IF(I4319="SBJ","CB","?"))</f>
        <v> </v>
      </c>
      <c r="I4319" s="25" t="str">
        <f>IF(OR(E4319="",E4319="!!!",F4319="NEW"),"",INDEX(B4318:B$2,-1+SUMPRODUCT(MAX(ROW(E4318:E$2)*(E4319=E4318:E$2)))))</f>
        <v> </v>
      </c>
      <c r="J4319" s="25" t="str">
        <f>IF(OR(E4319="",E4319="!!!",F4319="NEW"),"",COUNTBLANK(OFFSET(A$1,,,SUMPRODUCT(MAX(ROW(E$2:E4319)*(E4319=E$2:E4319)))))-COUNTBLANK(OFFSET(A$1,,,SUMPRODUCT(MAX(ROW(E$1:E4318)*(E2=E$1:E4318))))))</f>
        <v> </v>
      </c>
      <c r="K4319" s="25" t="str">
        <f>IF(OR(E4319="",E4319="!!!",F4319="NEW"),"",INDEX(J$1:J4318,SUMPRODUCT(MAX(ROW(E$1:E4318)*(E4319=E$1:E4318)))))</f>
        <v> </v>
      </c>
      <c r="L4319" s="26"/>
    </row>
    <row r="4320" spans="1:12">
      <c r="A4320" s="20" t="s">
        <v>1145</v>
      </c>
      <c r="E4320" s="21">
        <f>IF(D4320="?OLD","!!!","")</f>
        <v/>
      </c>
      <c r="F4320" s="22" t="str">
        <f>IF(OR(E4320="",E4320="!!!"),"",IF(NOT(ISNA(VLOOKUP(E4320,E$1:E4319,1,FALSE()))),"OLD",IF(AND(E4320&lt;&gt;"",E4320&lt;&gt;"!!!"),"NEW","")))</f>
        <v> </v>
      </c>
      <c r="G4320" s="23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4" t="str">
        <f>IF(J4320&lt;&gt;1,"",IF(I4320="SBJ","CB","?"))</f>
        <v> </v>
      </c>
      <c r="I4320" s="25" t="str">
        <f>IF(OR(E4320="",E4320="!!!",F4320="NEW"),"",INDEX(B4319:B$2,-1+SUMPRODUCT(MAX(ROW(E4319:E$2)*(E4320=E4319:E$2)))))</f>
        <v> </v>
      </c>
      <c r="J4320" s="25" t="str">
        <f>IF(OR(E4320="",E4320="!!!",F4320="NEW"),"",COUNTBLANK(OFFSET(A$1,,,SUMPRODUCT(MAX(ROW(E$2:E4320)*(E4320=E$2:E4320)))))-COUNTBLANK(OFFSET(A$1,,,SUMPRODUCT(MAX(ROW(E$1:E4319)*(E2=E$1:E4319))))))</f>
        <v> </v>
      </c>
      <c r="K4320" s="25" t="str">
        <f>IF(OR(E4320="",E4320="!!!",F4320="NEW"),"",INDEX(J$1:J4319,SUMPRODUCT(MAX(ROW(E$1:E4319)*(E4320=E$1:E4319)))))</f>
        <v> </v>
      </c>
      <c r="L4320" s="26"/>
    </row>
    <row r="4321" spans="1:12">
      <c r="A4321" s="20"/>
    </row>
    <row r="4322" spans="1:12">
      <c r="A4322" s="20" t="s">
        <v>3016</v>
      </c>
    </row>
    <row r="4323" spans="1:12">
      <c r="A4323" s="20" t="s">
        <v>3017</v>
      </c>
      <c r="E4323" s="21">
        <f>IF(D4323="?OLD","!!!","")</f>
        <v/>
      </c>
      <c r="F4323" s="22" t="str">
        <f>IF(OR(E4323="",E4323="!!!"),"",IF(NOT(ISNA(VLOOKUP(E4323,E$1:E4322,1,FALSE()))),"OLD",IF(AND(E4323&lt;&gt;"",E4323&lt;&gt;"!!!"),"NEW","")))</f>
        <v> </v>
      </c>
      <c r="G4323" s="23" t="str">
        <f>IF(OR(E4323="",E4323="!!!"),"",IF(OR(J4323=0,AND(J4323=1,K4323=1),AND(J4323=1,I4323="SBJ"),AND(J4323=1,I4323=0)),"?IN_FOCUS",IF(J4323&lt;=2,"?ACTIVATED",IF(J4323&lt;&gt;"","?FAMILIAR",IF(F4323="NEW",IF(ISNA(VLOOKUP(E4323,#REF!,1,FALSE())),"?TYPE_IDENTIFIABLE","?REFERENTIAL"),"_")))))</f>
        <v> </v>
      </c>
      <c r="H4323" s="24" t="str">
        <f>IF(J4323&lt;&gt;1,"",IF(I4323="SBJ","CB","?"))</f>
        <v> </v>
      </c>
      <c r="I4323" s="25" t="str">
        <f>IF(OR(E4323="",E4323="!!!",F4323="NEW"),"",INDEX(B4322:B$2,-1+SUMPRODUCT(MAX(ROW(E4322:E$2)*(E4323=E4322:E$2)))))</f>
        <v> </v>
      </c>
      <c r="J4323" s="25" t="str">
        <f>IF(OR(E4323="",E4323="!!!",F4323="NEW"),"",COUNTBLANK(OFFSET(A$1,,,SUMPRODUCT(MAX(ROW(E$2:E4323)*(E4323=E$2:E4323)))))-COUNTBLANK(OFFSET(A$1,,,SUMPRODUCT(MAX(ROW(E$1:E4322)*(E2=E$1:E4322))))))</f>
        <v> </v>
      </c>
      <c r="K4323" s="25" t="str">
        <f>IF(OR(E4323="",E4323="!!!",F4323="NEW"),"",INDEX(J$1:J4322,SUMPRODUCT(MAX(ROW(E$1:E4322)*(E4323=E$1:E4322)))))</f>
        <v> </v>
      </c>
      <c r="L4323" s="26"/>
    </row>
    <row r="4324" spans="1:12">
      <c r="A4324" s="20" t="s">
        <v>2277</v>
      </c>
      <c r="B4324" s="27" t="s">
        <v>1243</v>
      </c>
      <c r="E4324" s="21">
        <f>IF(D4324="?OLD","!!!","")</f>
        <v/>
      </c>
      <c r="F4324" s="22" t="str">
        <f>IF(OR(E4324="",E4324="!!!"),"",IF(NOT(ISNA(VLOOKUP(E4324,E$1:E4323,1,FALSE()))),"OLD",IF(AND(E4324&lt;&gt;"",E4324&lt;&gt;"!!!"),"NEW","")))</f>
        <v> </v>
      </c>
      <c r="G4324" s="23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4" t="str">
        <f>IF(J4324&lt;&gt;1,"",IF(I4324="SBJ","CB","?"))</f>
        <v> </v>
      </c>
      <c r="I4324" s="25" t="str">
        <f>IF(OR(E4324="",E4324="!!!",F4324="NEW"),"",INDEX(B4323:B$2,-1+SUMPRODUCT(MAX(ROW(E4323:E$2)*(E4324=E4323:E$2)))))</f>
        <v> </v>
      </c>
      <c r="J4324" s="25" t="str">
        <f>IF(OR(E4324="",E4324="!!!",F4324="NEW"),"",COUNTBLANK(OFFSET(A$1,,,SUMPRODUCT(MAX(ROW(E$2:E4324)*(E4324=E$2:E4324)))))-COUNTBLANK(OFFSET(A$1,,,SUMPRODUCT(MAX(ROW(E$1:E4323)*(E2=E$1:E4323))))))</f>
        <v> </v>
      </c>
      <c r="K4324" s="25" t="str">
        <f>IF(OR(E4324="",E4324="!!!",F4324="NEW"),"",INDEX(J$1:J4323,SUMPRODUCT(MAX(ROW(E$1:E4323)*(E4324=E$1:E4323)))))</f>
        <v> </v>
      </c>
      <c r="L4324" s="26"/>
    </row>
    <row r="4325" spans="1:12">
      <c r="A4325" s="20" t="s">
        <v>1120</v>
      </c>
      <c r="E4325" s="21">
        <f>IF(D4325="?OLD","!!!","")</f>
        <v/>
      </c>
      <c r="F4325" s="22" t="str">
        <f>IF(OR(E4325="",E4325="!!!"),"",IF(NOT(ISNA(VLOOKUP(E4325,E$1:E4324,1,FALSE()))),"OLD",IF(AND(E4325&lt;&gt;"",E4325&lt;&gt;"!!!"),"NEW","")))</f>
        <v> </v>
      </c>
      <c r="G4325" s="23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4" t="str">
        <f>IF(J4325&lt;&gt;1,"",IF(I4325="SBJ","CB","?"))</f>
        <v> </v>
      </c>
      <c r="I4325" s="25" t="str">
        <f>IF(OR(E4325="",E4325="!!!",F4325="NEW"),"",INDEX(B4324:B$2,-1+SUMPRODUCT(MAX(ROW(E4324:E$2)*(E4325=E4324:E$2)))))</f>
        <v> </v>
      </c>
      <c r="J4325" s="25" t="str">
        <f>IF(OR(E4325="",E4325="!!!",F4325="NEW"),"",COUNTBLANK(OFFSET(A$1,,,SUMPRODUCT(MAX(ROW(E$2:E4325)*(E4325=E$2:E4325)))))-COUNTBLANK(OFFSET(A$1,,,SUMPRODUCT(MAX(ROW(E$1:E4324)*(E2=E$1:E4324))))))</f>
        <v> </v>
      </c>
      <c r="K4325" s="25" t="str">
        <f>IF(OR(E4325="",E4325="!!!",F4325="NEW"),"",INDEX(J$1:J4324,SUMPRODUCT(MAX(ROW(E$1:E4324)*(E4325=E$1:E4324)))))</f>
        <v> </v>
      </c>
      <c r="L4325" s="26"/>
    </row>
    <row r="4326" spans="1:12">
      <c r="A4326" s="20" t="s">
        <v>3018</v>
      </c>
      <c r="E4326" s="21">
        <f>IF(D4326="?OLD","!!!","")</f>
        <v/>
      </c>
      <c r="F4326" s="22" t="str">
        <f>IF(OR(E4326="",E4326="!!!"),"",IF(NOT(ISNA(VLOOKUP(E4326,E$1:E4325,1,FALSE()))),"OLD",IF(AND(E4326&lt;&gt;"",E4326&lt;&gt;"!!!"),"NEW","")))</f>
        <v> </v>
      </c>
      <c r="G4326" s="23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4" t="str">
        <f>IF(J4326&lt;&gt;1,"",IF(I4326="SBJ","CB","?"))</f>
        <v> </v>
      </c>
      <c r="I4326" s="25" t="str">
        <f>IF(OR(E4326="",E4326="!!!",F4326="NEW"),"",INDEX(B4325:B$2,-1+SUMPRODUCT(MAX(ROW(E4325:E$2)*(E4326=E4325:E$2)))))</f>
        <v> </v>
      </c>
      <c r="J4326" s="25" t="str">
        <f>IF(OR(E4326="",E4326="!!!",F4326="NEW"),"",COUNTBLANK(OFFSET(A$1,,,SUMPRODUCT(MAX(ROW(E$2:E4326)*(E4326=E$2:E4326)))))-COUNTBLANK(OFFSET(A$1,,,SUMPRODUCT(MAX(ROW(E$1:E4325)*(E2=E$1:E4325))))))</f>
        <v> </v>
      </c>
      <c r="K4326" s="25" t="str">
        <f>IF(OR(E4326="",E4326="!!!",F4326="NEW"),"",INDEX(J$1:J4325,SUMPRODUCT(MAX(ROW(E$1:E4325)*(E4326=E$1:E4325)))))</f>
        <v> </v>
      </c>
      <c r="L4326" s="26"/>
    </row>
    <row r="4327" spans="1:12">
      <c r="A4327" s="20" t="s">
        <v>1123</v>
      </c>
      <c r="E4327" s="21">
        <f>IF(D4327="?OLD","!!!","")</f>
        <v/>
      </c>
      <c r="F4327" s="22" t="str">
        <f>IF(OR(E4327="",E4327="!!!"),"",IF(NOT(ISNA(VLOOKUP(E4327,E$1:E4326,1,FALSE()))),"OLD",IF(AND(E4327&lt;&gt;"",E4327&lt;&gt;"!!!"),"NEW","")))</f>
        <v> </v>
      </c>
      <c r="G4327" s="23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4" t="str">
        <f>IF(J4327&lt;&gt;1,"",IF(I4327="SBJ","CB","?"))</f>
        <v> </v>
      </c>
      <c r="I4327" s="25" t="str">
        <f>IF(OR(E4327="",E4327="!!!",F4327="NEW"),"",INDEX(B4326:B$2,-1+SUMPRODUCT(MAX(ROW(E4326:E$2)*(E4327=E4326:E$2)))))</f>
        <v> </v>
      </c>
      <c r="J4327" s="25" t="str">
        <f>IF(OR(E4327="",E4327="!!!",F4327="NEW"),"",COUNTBLANK(OFFSET(A$1,,,SUMPRODUCT(MAX(ROW(E$2:E4327)*(E4327=E$2:E4327)))))-COUNTBLANK(OFFSET(A$1,,,SUMPRODUCT(MAX(ROW(E$1:E4326)*(E2=E$1:E4326))))))</f>
        <v> </v>
      </c>
      <c r="K4327" s="25" t="str">
        <f>IF(OR(E4327="",E4327="!!!",F4327="NEW"),"",INDEX(J$1:J4326,SUMPRODUCT(MAX(ROW(E$1:E4326)*(E4327=E$1:E4326)))))</f>
        <v> </v>
      </c>
      <c r="L4327" s="26"/>
    </row>
    <row r="4328" spans="1:12">
      <c r="A4328" s="20" t="s">
        <v>1224</v>
      </c>
      <c r="E4328" s="21">
        <f>IF(D4328="?OLD","!!!","")</f>
        <v/>
      </c>
      <c r="F4328" s="22" t="str">
        <f>IF(OR(E4328="",E4328="!!!"),"",IF(NOT(ISNA(VLOOKUP(E4328,E$1:E4327,1,FALSE()))),"OLD",IF(AND(E4328&lt;&gt;"",E4328&lt;&gt;"!!!"),"NEW","")))</f>
        <v> </v>
      </c>
      <c r="G4328" s="23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4" t="str">
        <f>IF(J4328&lt;&gt;1,"",IF(I4328="SBJ","CB","?"))</f>
        <v> </v>
      </c>
      <c r="I4328" s="25" t="str">
        <f>IF(OR(E4328="",E4328="!!!",F4328="NEW"),"",INDEX(B4327:B$2,-1+SUMPRODUCT(MAX(ROW(E4327:E$2)*(E4328=E4327:E$2)))))</f>
        <v> </v>
      </c>
      <c r="J4328" s="25" t="str">
        <f>IF(OR(E4328="",E4328="!!!",F4328="NEW"),"",COUNTBLANK(OFFSET(A$1,,,SUMPRODUCT(MAX(ROW(E$2:E4328)*(E4328=E$2:E4328)))))-COUNTBLANK(OFFSET(A$1,,,SUMPRODUCT(MAX(ROW(E$1:E4327)*(E2=E$1:E4327))))))</f>
        <v> </v>
      </c>
      <c r="K4328" s="25" t="str">
        <f>IF(OR(E4328="",E4328="!!!",F4328="NEW"),"",INDEX(J$1:J4327,SUMPRODUCT(MAX(ROW(E$1:E4327)*(E4328=E$1:E4327)))))</f>
        <v> </v>
      </c>
      <c r="L4328" s="26"/>
    </row>
    <row r="4329" spans="1:12">
      <c r="A4329" s="20" t="s">
        <v>396</v>
      </c>
      <c r="E4329" s="21">
        <f>IF(D4329="?OLD","!!!","")</f>
        <v/>
      </c>
      <c r="F4329" s="22" t="str">
        <f>IF(OR(E4329="",E4329="!!!"),"",IF(NOT(ISNA(VLOOKUP(E4329,E$1:E4328,1,FALSE()))),"OLD",IF(AND(E4329&lt;&gt;"",E4329&lt;&gt;"!!!"),"NEW","")))</f>
        <v> </v>
      </c>
      <c r="G4329" s="23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4" t="str">
        <f>IF(J4329&lt;&gt;1,"",IF(I4329="SBJ","CB","?"))</f>
        <v> </v>
      </c>
      <c r="I4329" s="25" t="str">
        <f>IF(OR(E4329="",E4329="!!!",F4329="NEW"),"",INDEX(B4328:B$2,-1+SUMPRODUCT(MAX(ROW(E4328:E$2)*(E4329=E4328:E$2)))))</f>
        <v> </v>
      </c>
      <c r="J4329" s="25" t="str">
        <f>IF(OR(E4329="",E4329="!!!",F4329="NEW"),"",COUNTBLANK(OFFSET(A$1,,,SUMPRODUCT(MAX(ROW(E$2:E4329)*(E4329=E$2:E4329)))))-COUNTBLANK(OFFSET(A$1,,,SUMPRODUCT(MAX(ROW(E$1:E4328)*(E2=E$1:E4328))))))</f>
        <v> </v>
      </c>
      <c r="K4329" s="25" t="str">
        <f>IF(OR(E4329="",E4329="!!!",F4329="NEW"),"",INDEX(J$1:J4328,SUMPRODUCT(MAX(ROW(E$1:E4328)*(E4329=E$1:E4328)))))</f>
        <v> </v>
      </c>
      <c r="L4329" s="26"/>
    </row>
    <row r="4330" spans="1:12">
      <c r="A4330" s="20" t="s">
        <v>3019</v>
      </c>
      <c r="E4330" s="21">
        <f>IF(D4330="?OLD","!!!","")</f>
        <v/>
      </c>
      <c r="F4330" s="22" t="str">
        <f>IF(OR(E4330="",E4330="!!!"),"",IF(NOT(ISNA(VLOOKUP(E4330,E$1:E4329,1,FALSE()))),"OLD",IF(AND(E4330&lt;&gt;"",E4330&lt;&gt;"!!!"),"NEW","")))</f>
        <v> </v>
      </c>
      <c r="G4330" s="23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4" t="str">
        <f>IF(J4330&lt;&gt;1,"",IF(I4330="SBJ","CB","?"))</f>
        <v> </v>
      </c>
      <c r="I4330" s="25" t="str">
        <f>IF(OR(E4330="",E4330="!!!",F4330="NEW"),"",INDEX(B4329:B$2,-1+SUMPRODUCT(MAX(ROW(E4329:E$2)*(E4330=E4329:E$2)))))</f>
        <v> </v>
      </c>
      <c r="J4330" s="25" t="str">
        <f>IF(OR(E4330="",E4330="!!!",F4330="NEW"),"",COUNTBLANK(OFFSET(A$1,,,SUMPRODUCT(MAX(ROW(E$2:E4330)*(E4330=E$2:E4330)))))-COUNTBLANK(OFFSET(A$1,,,SUMPRODUCT(MAX(ROW(E$1:E4329)*(E2=E$1:E4329))))))</f>
        <v> </v>
      </c>
      <c r="K4330" s="25" t="str">
        <f>IF(OR(E4330="",E4330="!!!",F4330="NEW"),"",INDEX(J$1:J4329,SUMPRODUCT(MAX(ROW(E$1:E4329)*(E4330=E$1:E4329)))))</f>
        <v> </v>
      </c>
      <c r="L4330" s="26"/>
    </row>
    <row r="4331" spans="1:12">
      <c r="A4331" s="20" t="s">
        <v>703</v>
      </c>
      <c r="E4331" s="21">
        <f>IF(D4331="?OLD","!!!","")</f>
        <v/>
      </c>
      <c r="F4331" s="22" t="str">
        <f>IF(OR(E4331="",E4331="!!!"),"",IF(NOT(ISNA(VLOOKUP(E4331,E$1:E4330,1,FALSE()))),"OLD",IF(AND(E4331&lt;&gt;"",E4331&lt;&gt;"!!!"),"NEW","")))</f>
        <v> </v>
      </c>
      <c r="G4331" s="23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4" t="str">
        <f>IF(J4331&lt;&gt;1,"",IF(I4331="SBJ","CB","?"))</f>
        <v> </v>
      </c>
      <c r="I4331" s="25" t="str">
        <f>IF(OR(E4331="",E4331="!!!",F4331="NEW"),"",INDEX(B4330:B$2,-1+SUMPRODUCT(MAX(ROW(E4330:E$2)*(E4331=E4330:E$2)))))</f>
        <v> </v>
      </c>
      <c r="J4331" s="25" t="str">
        <f>IF(OR(E4331="",E4331="!!!",F4331="NEW"),"",COUNTBLANK(OFFSET(A$1,,,SUMPRODUCT(MAX(ROW(E$2:E4331)*(E4331=E$2:E4331)))))-COUNTBLANK(OFFSET(A$1,,,SUMPRODUCT(MAX(ROW(E$1:E4330)*(E2=E$1:E4330))))))</f>
        <v> </v>
      </c>
      <c r="K4331" s="25" t="str">
        <f>IF(OR(E4331="",E4331="!!!",F4331="NEW"),"",INDEX(J$1:J4330,SUMPRODUCT(MAX(ROW(E$1:E4330)*(E4331=E$1:E4330)))))</f>
        <v> </v>
      </c>
      <c r="L4331" s="26"/>
    </row>
    <row r="4332" spans="1:12">
      <c r="A4332" s="20" t="s">
        <v>1494</v>
      </c>
      <c r="B4332" s="27" t="s">
        <v>1115</v>
      </c>
      <c r="C4332" s="27" t="s">
        <v>1126</v>
      </c>
      <c r="D4332" s="27" t="s">
        <v>1105</v>
      </c>
      <c r="E4332" s="21">
        <f>IF(D4332="?OLD","!!!","")</f>
        <v/>
      </c>
      <c r="F4332" s="22" t="str">
        <f>IF(OR(E4332="",E4332="!!!"),"",IF(NOT(ISNA(VLOOKUP(E4332,E$1:E4331,1,FALSE()))),"OLD",IF(AND(E4332&lt;&gt;"",E4332&lt;&gt;"!!!"),"NEW","")))</f>
        <v> </v>
      </c>
      <c r="G4332" s="23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4" t="str">
        <f>IF(J4332&lt;&gt;1,"",IF(I4332="SBJ","CB","?"))</f>
        <v> </v>
      </c>
      <c r="I4332" s="25" t="str">
        <f>IF(OR(E4332="",E4332="!!!",F4332="NEW"),"",INDEX(B4331:B$2,-1+SUMPRODUCT(MAX(ROW(E4331:E$2)*(E4332=E4331:E$2)))))</f>
        <v> </v>
      </c>
      <c r="J4332" s="25" t="str">
        <f>IF(OR(E4332="",E4332="!!!",F4332="NEW"),"",COUNTBLANK(OFFSET(A$1,,,SUMPRODUCT(MAX(ROW(E$2:E4332)*(E4332=E$2:E4332)))))-COUNTBLANK(OFFSET(A$1,,,SUMPRODUCT(MAX(ROW(E$1:E4331)*(E2=E$1:E4331))))))</f>
        <v> </v>
      </c>
      <c r="K4332" s="25" t="str">
        <f>IF(OR(E4332="",E4332="!!!",F4332="NEW"),"",INDEX(J$1:J4331,SUMPRODUCT(MAX(ROW(E$1:E4331)*(E4332=E$1:E4331)))))</f>
        <v> </v>
      </c>
      <c r="L4332" s="26"/>
    </row>
    <row r="4333" spans="1:12">
      <c r="A4333" s="20" t="s">
        <v>3020</v>
      </c>
      <c r="E4333" s="21">
        <f>IF(D4333="?OLD","!!!","")</f>
        <v/>
      </c>
      <c r="F4333" s="22" t="str">
        <f>IF(OR(E4333="",E4333="!!!"),"",IF(NOT(ISNA(VLOOKUP(E4333,E$1:E4332,1,FALSE()))),"OLD",IF(AND(E4333&lt;&gt;"",E4333&lt;&gt;"!!!"),"NEW","")))</f>
        <v> </v>
      </c>
      <c r="G4333" s="23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4" t="str">
        <f>IF(J4333&lt;&gt;1,"",IF(I4333="SBJ","CB","?"))</f>
        <v> </v>
      </c>
      <c r="I4333" s="25" t="str">
        <f>IF(OR(E4333="",E4333="!!!",F4333="NEW"),"",INDEX(B4332:B$2,-1+SUMPRODUCT(MAX(ROW(E4332:E$2)*(E4333=E4332:E$2)))))</f>
        <v> </v>
      </c>
      <c r="J4333" s="25" t="str">
        <f>IF(OR(E4333="",E4333="!!!",F4333="NEW"),"",COUNTBLANK(OFFSET(A$1,,,SUMPRODUCT(MAX(ROW(E$2:E4333)*(E4333=E$2:E4333)))))-COUNTBLANK(OFFSET(A$1,,,SUMPRODUCT(MAX(ROW(E$1:E4332)*(E2=E$1:E4332))))))</f>
        <v> </v>
      </c>
      <c r="K4333" s="25" t="str">
        <f>IF(OR(E4333="",E4333="!!!",F4333="NEW"),"",INDEX(J$1:J4332,SUMPRODUCT(MAX(ROW(E$1:E4332)*(E4333=E$1:E4332)))))</f>
        <v> </v>
      </c>
      <c r="L4333" s="26"/>
    </row>
    <row r="4334" spans="1:12">
      <c r="A4334" s="20" t="s">
        <v>1351</v>
      </c>
      <c r="E4334" s="21">
        <f>IF(D4334="?OLD","!!!","")</f>
        <v/>
      </c>
      <c r="F4334" s="22" t="str">
        <f>IF(OR(E4334="",E4334="!!!"),"",IF(NOT(ISNA(VLOOKUP(E4334,E$1:E4333,1,FALSE()))),"OLD",IF(AND(E4334&lt;&gt;"",E4334&lt;&gt;"!!!"),"NEW","")))</f>
        <v> </v>
      </c>
      <c r="G4334" s="23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4" t="str">
        <f>IF(J4334&lt;&gt;1,"",IF(I4334="SBJ","CB","?"))</f>
        <v> </v>
      </c>
      <c r="I4334" s="25" t="str">
        <f>IF(OR(E4334="",E4334="!!!",F4334="NEW"),"",INDEX(B4333:B$2,-1+SUMPRODUCT(MAX(ROW(E4333:E$2)*(E4334=E4333:E$2)))))</f>
        <v> </v>
      </c>
      <c r="J4334" s="25" t="str">
        <f>IF(OR(E4334="",E4334="!!!",F4334="NEW"),"",COUNTBLANK(OFFSET(A$1,,,SUMPRODUCT(MAX(ROW(E$2:E4334)*(E4334=E$2:E4334)))))-COUNTBLANK(OFFSET(A$1,,,SUMPRODUCT(MAX(ROW(E$1:E4333)*(E2=E$1:E4333))))))</f>
        <v> </v>
      </c>
      <c r="K4334" s="25" t="str">
        <f>IF(OR(E4334="",E4334="!!!",F4334="NEW"),"",INDEX(J$1:J4333,SUMPRODUCT(MAX(ROW(E$1:E4333)*(E4334=E$1:E4333)))))</f>
        <v> </v>
      </c>
      <c r="L4334" s="26"/>
    </row>
    <row r="4335" spans="1:12">
      <c r="A4335" s="20"/>
    </row>
    <row r="4336" spans="1:12">
      <c r="A4336" s="20" t="s">
        <v>3021</v>
      </c>
    </row>
    <row r="4337" spans="1:12">
      <c r="A4337" s="20" t="s">
        <v>3022</v>
      </c>
      <c r="E4337" s="21">
        <f>IF(D4337="?OLD","!!!","")</f>
        <v/>
      </c>
      <c r="F4337" s="22" t="str">
        <f>IF(OR(E4337="",E4337="!!!"),"",IF(NOT(ISNA(VLOOKUP(E4337,E$1:E4336,1,FALSE()))),"OLD",IF(AND(E4337&lt;&gt;"",E4337&lt;&gt;"!!!"),"NEW","")))</f>
        <v> </v>
      </c>
      <c r="G4337" s="23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4" t="str">
        <f>IF(J4337&lt;&gt;1,"",IF(I4337="SBJ","CB","?"))</f>
        <v> </v>
      </c>
      <c r="I4337" s="25" t="str">
        <f>IF(OR(E4337="",E4337="!!!",F4337="NEW"),"",INDEX(B4336:B$2,-1+SUMPRODUCT(MAX(ROW(E4336:E$2)*(E4337=E4336:E$2)))))</f>
        <v> </v>
      </c>
      <c r="J4337" s="25" t="str">
        <f>IF(OR(E4337="",E4337="!!!",F4337="NEW"),"",COUNTBLANK(OFFSET(A$1,,,SUMPRODUCT(MAX(ROW(E$2:E4337)*(E4337=E$2:E4337)))))-COUNTBLANK(OFFSET(A$1,,,SUMPRODUCT(MAX(ROW(E$1:E4336)*(E2=E$1:E4336))))))</f>
        <v> </v>
      </c>
      <c r="K4337" s="25" t="str">
        <f>IF(OR(E4337="",E4337="!!!",F4337="NEW"),"",INDEX(J$1:J4336,SUMPRODUCT(MAX(ROW(E$1:E4336)*(E4337=E$1:E4336)))))</f>
        <v> </v>
      </c>
      <c r="L4337" s="26"/>
    </row>
    <row r="4338" spans="1:12">
      <c r="A4338" s="20" t="s">
        <v>1128</v>
      </c>
      <c r="E4338" s="21">
        <f>IF(D4338="?OLD","!!!","")</f>
        <v/>
      </c>
      <c r="F4338" s="22" t="str">
        <f>IF(OR(E4338="",E4338="!!!"),"",IF(NOT(ISNA(VLOOKUP(E4338,E$1:E4337,1,FALSE()))),"OLD",IF(AND(E4338&lt;&gt;"",E4338&lt;&gt;"!!!"),"NEW","")))</f>
        <v> </v>
      </c>
      <c r="G4338" s="23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4" t="str">
        <f>IF(J4338&lt;&gt;1,"",IF(I4338="SBJ","CB","?"))</f>
        <v> </v>
      </c>
      <c r="I4338" s="25" t="str">
        <f>IF(OR(E4338="",E4338="!!!",F4338="NEW"),"",INDEX(B4337:B$2,-1+SUMPRODUCT(MAX(ROW(E4337:E$2)*(E4338=E4337:E$2)))))</f>
        <v> </v>
      </c>
      <c r="J4338" s="25" t="str">
        <f>IF(OR(E4338="",E4338="!!!",F4338="NEW"),"",COUNTBLANK(OFFSET(A$1,,,SUMPRODUCT(MAX(ROW(E$2:E4338)*(E4338=E$2:E4338)))))-COUNTBLANK(OFFSET(A$1,,,SUMPRODUCT(MAX(ROW(E$1:E4337)*(E2=E$1:E4337))))))</f>
        <v> </v>
      </c>
      <c r="K4338" s="25" t="str">
        <f>IF(OR(E4338="",E4338="!!!",F4338="NEW"),"",INDEX(J$1:J4337,SUMPRODUCT(MAX(ROW(E$1:E4337)*(E4338=E$1:E4337)))))</f>
        <v> </v>
      </c>
      <c r="L4338" s="26"/>
    </row>
    <row r="4339" spans="1:12">
      <c r="A4339" s="20" t="s">
        <v>3023</v>
      </c>
      <c r="E4339" s="21">
        <f>IF(D4339="?OLD","!!!","")</f>
        <v/>
      </c>
      <c r="F4339" s="22" t="str">
        <f>IF(OR(E4339="",E4339="!!!"),"",IF(NOT(ISNA(VLOOKUP(E4339,E$1:E4338,1,FALSE()))),"OLD",IF(AND(E4339&lt;&gt;"",E4339&lt;&gt;"!!!"),"NEW","")))</f>
        <v> </v>
      </c>
      <c r="G4339" s="23" t="str">
        <f>IF(OR(E4339="",E4339="!!!"),"",IF(OR(J4339=0,AND(J4339=1,K4339=1),AND(J4339=1,I4339="SBJ"),AND(J4339=1,I4339=0)),"?IN_FOCUS",IF(J4339&lt;=2,"?ACTIVATED",IF(J4339&lt;&gt;"","?FAMILIAR",IF(F4339="NEW",IF(ISNA(VLOOKUP(E4339,#REF!,1,FALSE())),"?TYPE_IDENTIFIABLE","?REFERENTIAL"),"_")))))</f>
        <v> </v>
      </c>
      <c r="H4339" s="24" t="str">
        <f>IF(J4339&lt;&gt;1,"",IF(I4339="SBJ","CB","?"))</f>
        <v> </v>
      </c>
      <c r="I4339" s="25" t="str">
        <f>IF(OR(E4339="",E4339="!!!",F4339="NEW"),"",INDEX(B4338:B$2,-1+SUMPRODUCT(MAX(ROW(E4338:E$2)*(E4339=E4338:E$2)))))</f>
        <v> </v>
      </c>
      <c r="J4339" s="25" t="str">
        <f>IF(OR(E4339="",E4339="!!!",F4339="NEW"),"",COUNTBLANK(OFFSET(A$1,,,SUMPRODUCT(MAX(ROW(E$2:E4339)*(E4339=E$2:E4339)))))-COUNTBLANK(OFFSET(A$1,,,SUMPRODUCT(MAX(ROW(E$1:E4338)*(E2=E$1:E4338))))))</f>
        <v> </v>
      </c>
      <c r="K4339" s="25" t="str">
        <f>IF(OR(E4339="",E4339="!!!",F4339="NEW"),"",INDEX(J$1:J4338,SUMPRODUCT(MAX(ROW(E$1:E4338)*(E4339=E$1:E4338)))))</f>
        <v> </v>
      </c>
      <c r="L4339" s="26"/>
    </row>
    <row r="4340" spans="1:12">
      <c r="A4340" s="20" t="s">
        <v>2593</v>
      </c>
      <c r="E4340" s="21">
        <f>IF(D4340="?OLD","!!!","")</f>
        <v/>
      </c>
      <c r="F4340" s="22" t="str">
        <f>IF(OR(E4340="",E4340="!!!"),"",IF(NOT(ISNA(VLOOKUP(E4340,E$1:E4339,1,FALSE()))),"OLD",IF(AND(E4340&lt;&gt;"",E4340&lt;&gt;"!!!"),"NEW","")))</f>
        <v> </v>
      </c>
      <c r="G4340" s="23" t="str">
        <f>IF(OR(E4340="",E4340="!!!"),"",IF(OR(J4340=0,AND(J4340=1,K4340=1),AND(J4340=1,I4340="SBJ"),AND(J4340=1,I4340=0)),"?IN_FOCUS",IF(J4340&lt;=2,"?ACTIVATED",IF(J4340&lt;&gt;"","?FAMILIAR",IF(F4340="NEW",IF(ISNA(VLOOKUP(E4340,#REF!,1,FALSE())),"?TYPE_IDENTIFIABLE","?REFERENTIAL"),"_")))))</f>
        <v> </v>
      </c>
      <c r="H4340" s="24" t="str">
        <f>IF(J4340&lt;&gt;1,"",IF(I4340="SBJ","CB","?"))</f>
        <v> </v>
      </c>
      <c r="I4340" s="25" t="str">
        <f>IF(OR(E4340="",E4340="!!!",F4340="NEW"),"",INDEX(B4339:B$2,-1+SUMPRODUCT(MAX(ROW(E4339:E$2)*(E4340=E4339:E$2)))))</f>
        <v> </v>
      </c>
      <c r="J4340" s="25" t="str">
        <f>IF(OR(E4340="",E4340="!!!",F4340="NEW"),"",COUNTBLANK(OFFSET(A$1,,,SUMPRODUCT(MAX(ROW(E$2:E4340)*(E4340=E$2:E4340)))))-COUNTBLANK(OFFSET(A$1,,,SUMPRODUCT(MAX(ROW(E$1:E4339)*(E2=E$1:E4339))))))</f>
        <v> </v>
      </c>
      <c r="K4340" s="25" t="str">
        <f>IF(OR(E4340="",E4340="!!!",F4340="NEW"),"",INDEX(J$1:J4339,SUMPRODUCT(MAX(ROW(E$1:E4339)*(E4340=E$1:E4339)))))</f>
        <v> </v>
      </c>
      <c r="L4340" s="26"/>
    </row>
    <row r="4341" spans="1:12">
      <c r="A4341" s="20" t="s">
        <v>3024</v>
      </c>
      <c r="B4341" s="27" t="s">
        <v>1149</v>
      </c>
      <c r="C4341" s="27" t="s">
        <v>1156</v>
      </c>
      <c r="D4341" s="27" t="s">
        <v>1105</v>
      </c>
      <c r="E4341" s="21">
        <f>IF(D4341="?OLD","!!!","")</f>
        <v/>
      </c>
      <c r="F4341" s="22" t="str">
        <f>IF(OR(E4341="",E4341="!!!"),"",IF(NOT(ISNA(VLOOKUP(E4341,E$1:E4340,1,FALSE()))),"OLD",IF(AND(E4341&lt;&gt;"",E4341&lt;&gt;"!!!"),"NEW","")))</f>
        <v> </v>
      </c>
      <c r="G4341" s="23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4" t="str">
        <f>IF(J4341&lt;&gt;1,"",IF(I4341="SBJ","CB","?"))</f>
        <v> </v>
      </c>
      <c r="I4341" s="25" t="str">
        <f>IF(OR(E4341="",E4341="!!!",F4341="NEW"),"",INDEX(B4340:B$2,-1+SUMPRODUCT(MAX(ROW(E4340:E$2)*(E4341=E4340:E$2)))))</f>
        <v> </v>
      </c>
      <c r="J4341" s="25" t="str">
        <f>IF(OR(E4341="",E4341="!!!",F4341="NEW"),"",COUNTBLANK(OFFSET(A$1,,,SUMPRODUCT(MAX(ROW(E$2:E4341)*(E4341=E$2:E4341)))))-COUNTBLANK(OFFSET(A$1,,,SUMPRODUCT(MAX(ROW(E$1:E4340)*(E2=E$1:E4340))))))</f>
        <v> </v>
      </c>
      <c r="K4341" s="25" t="str">
        <f>IF(OR(E4341="",E4341="!!!",F4341="NEW"),"",INDEX(J$1:J4340,SUMPRODUCT(MAX(ROW(E$1:E4340)*(E4341=E$1:E4340)))))</f>
        <v> </v>
      </c>
      <c r="L4341" s="26"/>
    </row>
    <row r="4342" spans="1:12">
      <c r="A4342" s="20" t="s">
        <v>1123</v>
      </c>
      <c r="E4342" s="21">
        <f>IF(D4342="?OLD","!!!","")</f>
        <v/>
      </c>
      <c r="F4342" s="22" t="str">
        <f>IF(OR(E4342="",E4342="!!!"),"",IF(NOT(ISNA(VLOOKUP(E4342,E$1:E4341,1,FALSE()))),"OLD",IF(AND(E4342&lt;&gt;"",E4342&lt;&gt;"!!!"),"NEW","")))</f>
        <v> </v>
      </c>
      <c r="G4342" s="23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4" t="str">
        <f>IF(J4342&lt;&gt;1,"",IF(I4342="SBJ","CB","?"))</f>
        <v> </v>
      </c>
      <c r="I4342" s="25" t="str">
        <f>IF(OR(E4342="",E4342="!!!",F4342="NEW"),"",INDEX(B4341:B$2,-1+SUMPRODUCT(MAX(ROW(E4341:E$2)*(E4342=E4341:E$2)))))</f>
        <v> </v>
      </c>
      <c r="J4342" s="25" t="str">
        <f>IF(OR(E4342="",E4342="!!!",F4342="NEW"),"",COUNTBLANK(OFFSET(A$1,,,SUMPRODUCT(MAX(ROW(E$2:E4342)*(E4342=E$2:E4342)))))-COUNTBLANK(OFFSET(A$1,,,SUMPRODUCT(MAX(ROW(E$1:E4341)*(E2=E$1:E4341))))))</f>
        <v> </v>
      </c>
      <c r="K4342" s="25" t="str">
        <f>IF(OR(E4342="",E4342="!!!",F4342="NEW"),"",INDEX(J$1:J4341,SUMPRODUCT(MAX(ROW(E$1:E4341)*(E4342=E$1:E4341)))))</f>
        <v> </v>
      </c>
      <c r="L4342" s="26"/>
    </row>
    <row r="4343" spans="1:12">
      <c r="A4343" s="20" t="s">
        <v>1195</v>
      </c>
      <c r="E4343" s="21">
        <f>IF(D4343="?OLD","!!!","")</f>
        <v/>
      </c>
      <c r="F4343" s="22" t="str">
        <f>IF(OR(E4343="",E4343="!!!"),"",IF(NOT(ISNA(VLOOKUP(E4343,E$1:E4342,1,FALSE()))),"OLD",IF(AND(E4343&lt;&gt;"",E4343&lt;&gt;"!!!"),"NEW","")))</f>
        <v> </v>
      </c>
      <c r="G4343" s="23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4" t="str">
        <f>IF(J4343&lt;&gt;1,"",IF(I4343="SBJ","CB","?"))</f>
        <v> </v>
      </c>
      <c r="I4343" s="25" t="str">
        <f>IF(OR(E4343="",E4343="!!!",F4343="NEW"),"",INDEX(B4342:B$2,-1+SUMPRODUCT(MAX(ROW(E4342:E$2)*(E4343=E4342:E$2)))))</f>
        <v> </v>
      </c>
      <c r="J4343" s="25" t="str">
        <f>IF(OR(E4343="",E4343="!!!",F4343="NEW"),"",COUNTBLANK(OFFSET(A$1,,,SUMPRODUCT(MAX(ROW(E$2:E4343)*(E4343=E$2:E4343)))))-COUNTBLANK(OFFSET(A$1,,,SUMPRODUCT(MAX(ROW(E$1:E4342)*(E2=E$1:E4342))))))</f>
        <v> </v>
      </c>
      <c r="K4343" s="25" t="str">
        <f>IF(OR(E4343="",E4343="!!!",F4343="NEW"),"",INDEX(J$1:J4342,SUMPRODUCT(MAX(ROW(E$1:E4342)*(E4343=E$1:E4342)))))</f>
        <v> </v>
      </c>
      <c r="L4343" s="26"/>
    </row>
    <row r="4344" spans="1:12">
      <c r="A4344" s="20" t="s">
        <v>1298</v>
      </c>
      <c r="B4344" s="27" t="s">
        <v>1110</v>
      </c>
      <c r="C4344" s="27" t="s">
        <v>1133</v>
      </c>
      <c r="E4344" s="21">
        <f>IF(D4344="?OLD","!!!","")</f>
        <v/>
      </c>
      <c r="F4344" s="22" t="str">
        <f>IF(OR(E4344="",E4344="!!!"),"",IF(NOT(ISNA(VLOOKUP(E4344,E$1:E4343,1,FALSE()))),"OLD",IF(AND(E4344&lt;&gt;"",E4344&lt;&gt;"!!!"),"NEW","")))</f>
        <v> </v>
      </c>
      <c r="G4344" s="23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4" t="str">
        <f>IF(J4344&lt;&gt;1,"",IF(I4344="SBJ","CB","?"))</f>
        <v> </v>
      </c>
      <c r="I4344" s="25" t="str">
        <f>IF(OR(E4344="",E4344="!!!",F4344="NEW"),"",INDEX(B4343:B$2,-1+SUMPRODUCT(MAX(ROW(E4343:E$2)*(E4344=E4343:E$2)))))</f>
        <v> </v>
      </c>
      <c r="J4344" s="25" t="str">
        <f>IF(OR(E4344="",E4344="!!!",F4344="NEW"),"",COUNTBLANK(OFFSET(A$1,,,SUMPRODUCT(MAX(ROW(E$2:E4344)*(E4344=E$2:E4344)))))-COUNTBLANK(OFFSET(A$1,,,SUMPRODUCT(MAX(ROW(E$1:E4343)*(E2=E$1:E4343))))))</f>
        <v> </v>
      </c>
      <c r="K4344" s="25" t="str">
        <f>IF(OR(E4344="",E4344="!!!",F4344="NEW"),"",INDEX(J$1:J4343,SUMPRODUCT(MAX(ROW(E$1:E4343)*(E4344=E$1:E4343)))))</f>
        <v> </v>
      </c>
      <c r="L4344" s="26"/>
    </row>
    <row r="4345" spans="1:12">
      <c r="A4345" s="20" t="s">
        <v>3025</v>
      </c>
      <c r="B4345" s="27" t="s">
        <v>1115</v>
      </c>
      <c r="E4345" s="21">
        <f>IF(D4345="?OLD","!!!","")</f>
        <v/>
      </c>
      <c r="F4345" s="22" t="str">
        <f>IF(OR(E4345="",E4345="!!!"),"",IF(NOT(ISNA(VLOOKUP(E4345,E$1:E4344,1,FALSE()))),"OLD",IF(AND(E4345&lt;&gt;"",E4345&lt;&gt;"!!!"),"NEW","")))</f>
        <v> </v>
      </c>
      <c r="G4345" s="23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4" t="str">
        <f>IF(J4345&lt;&gt;1,"",IF(I4345="SBJ","CB","?"))</f>
        <v> </v>
      </c>
      <c r="I4345" s="25" t="str">
        <f>IF(OR(E4345="",E4345="!!!",F4345="NEW"),"",INDEX(B4344:B$2,-1+SUMPRODUCT(MAX(ROW(E4344:E$2)*(E4345=E4344:E$2)))))</f>
        <v> </v>
      </c>
      <c r="J4345" s="25" t="str">
        <f>IF(OR(E4345="",E4345="!!!",F4345="NEW"),"",COUNTBLANK(OFFSET(A$1,,,SUMPRODUCT(MAX(ROW(E$2:E4345)*(E4345=E$2:E4345)))))-COUNTBLANK(OFFSET(A$1,,,SUMPRODUCT(MAX(ROW(E$1:E4344)*(E2=E$1:E4344))))))</f>
        <v> </v>
      </c>
      <c r="K4345" s="25" t="str">
        <f>IF(OR(E4345="",E4345="!!!",F4345="NEW"),"",INDEX(J$1:J4344,SUMPRODUCT(MAX(ROW(E$1:E4344)*(E4345=E$1:E4344)))))</f>
        <v> </v>
      </c>
      <c r="L4345" s="26"/>
    </row>
    <row r="4346" spans="1:12">
      <c r="A4346" s="20" t="s">
        <v>1693</v>
      </c>
      <c r="E4346" s="21">
        <f>IF(D4346="?OLD","!!!","")</f>
        <v/>
      </c>
      <c r="F4346" s="22" t="str">
        <f>IF(OR(E4346="",E4346="!!!"),"",IF(NOT(ISNA(VLOOKUP(E4346,E$1:E4345,1,FALSE()))),"OLD",IF(AND(E4346&lt;&gt;"",E4346&lt;&gt;"!!!"),"NEW","")))</f>
        <v> </v>
      </c>
      <c r="G4346" s="23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4" t="str">
        <f>IF(J4346&lt;&gt;1,"",IF(I4346="SBJ","CB","?"))</f>
        <v> </v>
      </c>
      <c r="I4346" s="25" t="str">
        <f>IF(OR(E4346="",E4346="!!!",F4346="NEW"),"",INDEX(B4345:B$2,-1+SUMPRODUCT(MAX(ROW(E4345:E$2)*(E4346=E4345:E$2)))))</f>
        <v> </v>
      </c>
      <c r="J4346" s="25" t="str">
        <f>IF(OR(E4346="",E4346="!!!",F4346="NEW"),"",COUNTBLANK(OFFSET(A$1,,,SUMPRODUCT(MAX(ROW(E$2:E4346)*(E4346=E$2:E4346)))))-COUNTBLANK(OFFSET(A$1,,,SUMPRODUCT(MAX(ROW(E$1:E4345)*(E2=E$1:E4345))))))</f>
        <v> </v>
      </c>
      <c r="K4346" s="25" t="str">
        <f>IF(OR(E4346="",E4346="!!!",F4346="NEW"),"",INDEX(J$1:J4345,SUMPRODUCT(MAX(ROW(E$1:E4345)*(E4346=E$1:E4345)))))</f>
        <v> </v>
      </c>
      <c r="L4346" s="26"/>
    </row>
    <row r="4347" spans="1:12">
      <c r="A4347" s="20" t="s">
        <v>3026</v>
      </c>
      <c r="E4347" s="21">
        <f>IF(D4347="?OLD","!!!","")</f>
        <v/>
      </c>
      <c r="F4347" s="22" t="str">
        <f>IF(OR(E4347="",E4347="!!!"),"",IF(NOT(ISNA(VLOOKUP(E4347,E$1:E4346,1,FALSE()))),"OLD",IF(AND(E4347&lt;&gt;"",E4347&lt;&gt;"!!!"),"NEW","")))</f>
        <v> </v>
      </c>
      <c r="G4347" s="23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4" t="str">
        <f>IF(J4347&lt;&gt;1,"",IF(I4347="SBJ","CB","?"))</f>
        <v> </v>
      </c>
      <c r="I4347" s="25" t="str">
        <f>IF(OR(E4347="",E4347="!!!",F4347="NEW"),"",INDEX(B4346:B$2,-1+SUMPRODUCT(MAX(ROW(E4346:E$2)*(E4347=E4346:E$2)))))</f>
        <v> </v>
      </c>
      <c r="J4347" s="25" t="str">
        <f>IF(OR(E4347="",E4347="!!!",F4347="NEW"),"",COUNTBLANK(OFFSET(A$1,,,SUMPRODUCT(MAX(ROW(E$2:E4347)*(E4347=E$2:E4347)))))-COUNTBLANK(OFFSET(A$1,,,SUMPRODUCT(MAX(ROW(E$1:E4346)*(E2=E$1:E4346))))))</f>
        <v> </v>
      </c>
      <c r="K4347" s="25" t="str">
        <f>IF(OR(E4347="",E4347="!!!",F4347="NEW"),"",INDEX(J$1:J4346,SUMPRODUCT(MAX(ROW(E$1:E4346)*(E4347=E$1:E4346)))))</f>
        <v> </v>
      </c>
      <c r="L4347" s="26"/>
    </row>
    <row r="4348" spans="1:12">
      <c r="A4348" s="20" t="s">
        <v>3027</v>
      </c>
      <c r="E4348" s="21">
        <f>IF(D4348="?OLD","!!!","")</f>
        <v/>
      </c>
      <c r="F4348" s="22" t="str">
        <f>IF(OR(E4348="",E4348="!!!"),"",IF(NOT(ISNA(VLOOKUP(E4348,E$1:E4347,1,FALSE()))),"OLD",IF(AND(E4348&lt;&gt;"",E4348&lt;&gt;"!!!"),"NEW","")))</f>
        <v> </v>
      </c>
      <c r="G4348" s="23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4" t="str">
        <f>IF(J4348&lt;&gt;1,"",IF(I4348="SBJ","CB","?"))</f>
        <v> </v>
      </c>
      <c r="I4348" s="25" t="str">
        <f>IF(OR(E4348="",E4348="!!!",F4348="NEW"),"",INDEX(B4347:B$2,-1+SUMPRODUCT(MAX(ROW(E4347:E$2)*(E4348=E4347:E$2)))))</f>
        <v> </v>
      </c>
      <c r="J4348" s="25" t="str">
        <f>IF(OR(E4348="",E4348="!!!",F4348="NEW"),"",COUNTBLANK(OFFSET(A$1,,,SUMPRODUCT(MAX(ROW(E$2:E4348)*(E4348=E$2:E4348)))))-COUNTBLANK(OFFSET(A$1,,,SUMPRODUCT(MAX(ROW(E$1:E4347)*(E2=E$1:E4347))))))</f>
        <v> </v>
      </c>
      <c r="K4348" s="25" t="str">
        <f>IF(OR(E4348="",E4348="!!!",F4348="NEW"),"",INDEX(J$1:J4347,SUMPRODUCT(MAX(ROW(E$1:E4347)*(E4348=E$1:E4347)))))</f>
        <v> </v>
      </c>
      <c r="L4348" s="26"/>
    </row>
    <row r="4349" spans="1:12">
      <c r="A4349" s="20" t="s">
        <v>1134</v>
      </c>
      <c r="E4349" s="21">
        <f>IF(D4349="?OLD","!!!","")</f>
        <v/>
      </c>
      <c r="F4349" s="22" t="str">
        <f>IF(OR(E4349="",E4349="!!!"),"",IF(NOT(ISNA(VLOOKUP(E4349,E$1:E4348,1,FALSE()))),"OLD",IF(AND(E4349&lt;&gt;"",E4349&lt;&gt;"!!!"),"NEW","")))</f>
        <v> </v>
      </c>
      <c r="G4349" s="23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4" t="str">
        <f>IF(J4349&lt;&gt;1,"",IF(I4349="SBJ","CB","?"))</f>
        <v> </v>
      </c>
      <c r="I4349" s="25" t="str">
        <f>IF(OR(E4349="",E4349="!!!",F4349="NEW"),"",INDEX(B4348:B$2,-1+SUMPRODUCT(MAX(ROW(E4348:E$2)*(E4349=E4348:E$2)))))</f>
        <v> </v>
      </c>
      <c r="J4349" s="25" t="str">
        <f>IF(OR(E4349="",E4349="!!!",F4349="NEW"),"",COUNTBLANK(OFFSET(A$1,,,SUMPRODUCT(MAX(ROW(E$2:E4349)*(E4349=E$2:E4349)))))-COUNTBLANK(OFFSET(A$1,,,SUMPRODUCT(MAX(ROW(E$1:E4348)*(E2=E$1:E4348))))))</f>
        <v> </v>
      </c>
      <c r="K4349" s="25" t="str">
        <f>IF(OR(E4349="",E4349="!!!",F4349="NEW"),"",INDEX(J$1:J4348,SUMPRODUCT(MAX(ROW(E$1:E4348)*(E4349=E$1:E4348)))))</f>
        <v> </v>
      </c>
      <c r="L4349" s="26"/>
    </row>
    <row r="4350" spans="1:12">
      <c r="A4350" s="20" t="s">
        <v>1253</v>
      </c>
      <c r="E4350" s="21">
        <f>IF(D4350="?OLD","!!!","")</f>
        <v/>
      </c>
      <c r="F4350" s="22" t="str">
        <f>IF(OR(E4350="",E4350="!!!"),"",IF(NOT(ISNA(VLOOKUP(E4350,E$1:E4349,1,FALSE()))),"OLD",IF(AND(E4350&lt;&gt;"",E4350&lt;&gt;"!!!"),"NEW","")))</f>
        <v> </v>
      </c>
      <c r="G4350" s="23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4" t="str">
        <f>IF(J4350&lt;&gt;1,"",IF(I4350="SBJ","CB","?"))</f>
        <v> </v>
      </c>
      <c r="I4350" s="25" t="str">
        <f>IF(OR(E4350="",E4350="!!!",F4350="NEW"),"",INDEX(B4349:B$2,-1+SUMPRODUCT(MAX(ROW(E4349:E$2)*(E4350=E4349:E$2)))))</f>
        <v> </v>
      </c>
      <c r="J4350" s="25" t="str">
        <f>IF(OR(E4350="",E4350="!!!",F4350="NEW"),"",COUNTBLANK(OFFSET(A$1,,,SUMPRODUCT(MAX(ROW(E$2:E4350)*(E4350=E$2:E4350)))))-COUNTBLANK(OFFSET(A$1,,,SUMPRODUCT(MAX(ROW(E$1:E4349)*(E2=E$1:E4349))))))</f>
        <v> </v>
      </c>
      <c r="K4350" s="25" t="str">
        <f>IF(OR(E4350="",E4350="!!!",F4350="NEW"),"",INDEX(J$1:J4349,SUMPRODUCT(MAX(ROW(E$1:E4349)*(E4350=E$1:E4349)))))</f>
        <v> </v>
      </c>
      <c r="L4350" s="26"/>
    </row>
    <row r="4351" spans="1:12">
      <c r="A4351" s="20" t="s">
        <v>1552</v>
      </c>
      <c r="E4351" s="21">
        <f>IF(D4351="?OLD","!!!","")</f>
        <v/>
      </c>
      <c r="F4351" s="22" t="str">
        <f>IF(OR(E4351="",E4351="!!!"),"",IF(NOT(ISNA(VLOOKUP(E4351,E$1:E4350,1,FALSE()))),"OLD",IF(AND(E4351&lt;&gt;"",E4351&lt;&gt;"!!!"),"NEW","")))</f>
        <v> </v>
      </c>
      <c r="G4351" s="23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4" t="str">
        <f>IF(J4351&lt;&gt;1,"",IF(I4351="SBJ","CB","?"))</f>
        <v> </v>
      </c>
      <c r="I4351" s="25" t="str">
        <f>IF(OR(E4351="",E4351="!!!",F4351="NEW"),"",INDEX(B4350:B$2,-1+SUMPRODUCT(MAX(ROW(E4350:E$2)*(E4351=E4350:E$2)))))</f>
        <v> </v>
      </c>
      <c r="J4351" s="25" t="str">
        <f>IF(OR(E4351="",E4351="!!!",F4351="NEW"),"",COUNTBLANK(OFFSET(A$1,,,SUMPRODUCT(MAX(ROW(E$2:E4351)*(E4351=E$2:E4351)))))-COUNTBLANK(OFFSET(A$1,,,SUMPRODUCT(MAX(ROW(E$1:E4350)*(E2=E$1:E4350))))))</f>
        <v> </v>
      </c>
      <c r="K4351" s="25" t="str">
        <f>IF(OR(E4351="",E4351="!!!",F4351="NEW"),"",INDEX(J$1:J4350,SUMPRODUCT(MAX(ROW(E$1:E4350)*(E4351=E$1:E4350)))))</f>
        <v> </v>
      </c>
      <c r="L4351" s="26"/>
    </row>
    <row r="4352" spans="1:12">
      <c r="A4352" s="20" t="s">
        <v>1145</v>
      </c>
      <c r="E4352" s="21">
        <f>IF(D4352="?OLD","!!!","")</f>
        <v/>
      </c>
      <c r="F4352" s="22" t="str">
        <f>IF(OR(E4352="",E4352="!!!"),"",IF(NOT(ISNA(VLOOKUP(E4352,E$1:E4351,1,FALSE()))),"OLD",IF(AND(E4352&lt;&gt;"",E4352&lt;&gt;"!!!"),"NEW","")))</f>
        <v> </v>
      </c>
      <c r="G4352" s="23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4" t="str">
        <f>IF(J4352&lt;&gt;1,"",IF(I4352="SBJ","CB","?"))</f>
        <v> </v>
      </c>
      <c r="I4352" s="25" t="str">
        <f>IF(OR(E4352="",E4352="!!!",F4352="NEW"),"",INDEX(B4351:B$2,-1+SUMPRODUCT(MAX(ROW(E4351:E$2)*(E4352=E4351:E$2)))))</f>
        <v> </v>
      </c>
      <c r="J4352" s="25" t="str">
        <f>IF(OR(E4352="",E4352="!!!",F4352="NEW"),"",COUNTBLANK(OFFSET(A$1,,,SUMPRODUCT(MAX(ROW(E$2:E4352)*(E4352=E$2:E4352)))))-COUNTBLANK(OFFSET(A$1,,,SUMPRODUCT(MAX(ROW(E$1:E4351)*(E2=E$1:E4351))))))</f>
        <v> </v>
      </c>
      <c r="K4352" s="25" t="str">
        <f>IF(OR(E4352="",E4352="!!!",F4352="NEW"),"",INDEX(J$1:J4351,SUMPRODUCT(MAX(ROW(E$1:E4351)*(E4352=E$1:E4351)))))</f>
        <v> </v>
      </c>
      <c r="L4352" s="26"/>
    </row>
    <row r="4353" spans="1:12">
      <c r="A4353" s="20"/>
    </row>
    <row r="4354" spans="1:12">
      <c r="A4354" s="20" t="s">
        <v>3028</v>
      </c>
    </row>
    <row r="4355" spans="1:12">
      <c r="A4355" s="20" t="s">
        <v>1277</v>
      </c>
      <c r="E4355" s="21">
        <f>IF(D4355="?OLD","!!!","")</f>
        <v/>
      </c>
      <c r="F4355" s="22" t="str">
        <f>IF(OR(E4355="",E4355="!!!"),"",IF(NOT(ISNA(VLOOKUP(E4355,E$1:E4354,1,FALSE()))),"OLD",IF(AND(E4355&lt;&gt;"",E4355&lt;&gt;"!!!"),"NEW","")))</f>
        <v> </v>
      </c>
      <c r="G4355" s="23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4" t="str">
        <f>IF(J4355&lt;&gt;1,"",IF(I4355="SBJ","CB","?"))</f>
        <v> </v>
      </c>
      <c r="I4355" s="25" t="str">
        <f>IF(OR(E4355="",E4355="!!!",F4355="NEW"),"",INDEX(B4354:B$2,-1+SUMPRODUCT(MAX(ROW(E4354:E$2)*(E4355=E4354:E$2)))))</f>
        <v> </v>
      </c>
      <c r="J4355" s="25" t="str">
        <f>IF(OR(E4355="",E4355="!!!",F4355="NEW"),"",COUNTBLANK(OFFSET(A$1,,,SUMPRODUCT(MAX(ROW(E$2:E4355)*(E4355=E$2:E4355)))))-COUNTBLANK(OFFSET(A$1,,,SUMPRODUCT(MAX(ROW(E$1:E4354)*(E2=E$1:E4354))))))</f>
        <v> </v>
      </c>
      <c r="K4355" s="25" t="str">
        <f>IF(OR(E4355="",E4355="!!!",F4355="NEW"),"",INDEX(J$1:J4354,SUMPRODUCT(MAX(ROW(E$1:E4354)*(E4355=E$1:E4354)))))</f>
        <v> </v>
      </c>
      <c r="L4355" s="26"/>
    </row>
    <row r="4356" spans="1:12">
      <c r="A4356" s="20" t="s">
        <v>3029</v>
      </c>
      <c r="E4356" s="21">
        <f>IF(D4356="?OLD","!!!","")</f>
        <v/>
      </c>
      <c r="F4356" s="22" t="str">
        <f>IF(OR(E4356="",E4356="!!!"),"",IF(NOT(ISNA(VLOOKUP(E4356,E$1:E4355,1,FALSE()))),"OLD",IF(AND(E4356&lt;&gt;"",E4356&lt;&gt;"!!!"),"NEW","")))</f>
        <v> </v>
      </c>
      <c r="G4356" s="23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4" t="str">
        <f>IF(J4356&lt;&gt;1,"",IF(I4356="SBJ","CB","?"))</f>
        <v> </v>
      </c>
      <c r="I4356" s="25" t="str">
        <f>IF(OR(E4356="",E4356="!!!",F4356="NEW"),"",INDEX(B4355:B$2,-1+SUMPRODUCT(MAX(ROW(E4355:E$2)*(E4356=E4355:E$2)))))</f>
        <v> </v>
      </c>
      <c r="J4356" s="25" t="str">
        <f>IF(OR(E4356="",E4356="!!!",F4356="NEW"),"",COUNTBLANK(OFFSET(A$1,,,SUMPRODUCT(MAX(ROW(E$2:E4356)*(E4356=E$2:E4356)))))-COUNTBLANK(OFFSET(A$1,,,SUMPRODUCT(MAX(ROW(E$1:E4355)*(E2=E$1:E4355))))))</f>
        <v> </v>
      </c>
      <c r="K4356" s="25" t="str">
        <f>IF(OR(E4356="",E4356="!!!",F4356="NEW"),"",INDEX(J$1:J4355,SUMPRODUCT(MAX(ROW(E$1:E4355)*(E4356=E$1:E4355)))))</f>
        <v> </v>
      </c>
      <c r="L4356" s="26"/>
    </row>
    <row r="4357" spans="1:12">
      <c r="A4357" s="20" t="s">
        <v>2910</v>
      </c>
      <c r="E4357" s="21">
        <f>IF(D4357="?OLD","!!!","")</f>
        <v/>
      </c>
      <c r="F4357" s="22" t="str">
        <f>IF(OR(E4357="",E4357="!!!"),"",IF(NOT(ISNA(VLOOKUP(E4357,E$1:E4356,1,FALSE()))),"OLD",IF(AND(E4357&lt;&gt;"",E4357&lt;&gt;"!!!"),"NEW","")))</f>
        <v> </v>
      </c>
      <c r="G4357" s="23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4" t="str">
        <f>IF(J4357&lt;&gt;1,"",IF(I4357="SBJ","CB","?"))</f>
        <v> </v>
      </c>
      <c r="I4357" s="25" t="str">
        <f>IF(OR(E4357="",E4357="!!!",F4357="NEW"),"",INDEX(B4356:B$2,-1+SUMPRODUCT(MAX(ROW(E4356:E$2)*(E4357=E4356:E$2)))))</f>
        <v> </v>
      </c>
      <c r="J4357" s="25" t="str">
        <f>IF(OR(E4357="",E4357="!!!",F4357="NEW"),"",COUNTBLANK(OFFSET(A$1,,,SUMPRODUCT(MAX(ROW(E$2:E4357)*(E4357=E$2:E4357)))))-COUNTBLANK(OFFSET(A$1,,,SUMPRODUCT(MAX(ROW(E$1:E4356)*(E2=E$1:E4356))))))</f>
        <v> </v>
      </c>
      <c r="K4357" s="25" t="str">
        <f>IF(OR(E4357="",E4357="!!!",F4357="NEW"),"",INDEX(J$1:J4356,SUMPRODUCT(MAX(ROW(E$1:E4356)*(E4357=E$1:E4356)))))</f>
        <v> </v>
      </c>
      <c r="L4357" s="26"/>
    </row>
    <row r="4358" spans="1:12">
      <c r="A4358" s="20" t="s">
        <v>3030</v>
      </c>
      <c r="E4358" s="21">
        <f>IF(D4358="?OLD","!!!","")</f>
        <v/>
      </c>
      <c r="F4358" s="22" t="str">
        <f>IF(OR(E4358="",E4358="!!!"),"",IF(NOT(ISNA(VLOOKUP(E4358,E$1:E4357,1,FALSE()))),"OLD",IF(AND(E4358&lt;&gt;"",E4358&lt;&gt;"!!!"),"NEW","")))</f>
        <v> </v>
      </c>
      <c r="G4358" s="23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4" t="str">
        <f>IF(J4358&lt;&gt;1,"",IF(I4358="SBJ","CB","?"))</f>
        <v> </v>
      </c>
      <c r="I4358" s="25" t="str">
        <f>IF(OR(E4358="",E4358="!!!",F4358="NEW"),"",INDEX(B4357:B$2,-1+SUMPRODUCT(MAX(ROW(E4357:E$2)*(E4358=E4357:E$2)))))</f>
        <v> </v>
      </c>
      <c r="J4358" s="25" t="str">
        <f>IF(OR(E4358="",E4358="!!!",F4358="NEW"),"",COUNTBLANK(OFFSET(A$1,,,SUMPRODUCT(MAX(ROW(E$2:E4358)*(E4358=E$2:E4358)))))-COUNTBLANK(OFFSET(A$1,,,SUMPRODUCT(MAX(ROW(E$1:E4357)*(E2=E$1:E4357))))))</f>
        <v> </v>
      </c>
      <c r="K4358" s="25" t="str">
        <f>IF(OR(E4358="",E4358="!!!",F4358="NEW"),"",INDEX(J$1:J4357,SUMPRODUCT(MAX(ROW(E$1:E4357)*(E4358=E$1:E4357)))))</f>
        <v> </v>
      </c>
      <c r="L4358" s="26"/>
    </row>
    <row r="4359" spans="1:12">
      <c r="A4359" s="20" t="s">
        <v>1507</v>
      </c>
      <c r="B4359" s="27" t="s">
        <v>1149</v>
      </c>
      <c r="C4359" s="27" t="s">
        <v>1108</v>
      </c>
      <c r="D4359" s="27" t="s">
        <v>1105</v>
      </c>
      <c r="E4359" s="21">
        <f>IF(D4359="?OLD","!!!","")</f>
        <v/>
      </c>
      <c r="F4359" s="22" t="str">
        <f>IF(OR(E4359="",E4359="!!!"),"",IF(NOT(ISNA(VLOOKUP(E4359,E$1:E4358,1,FALSE()))),"OLD",IF(AND(E4359&lt;&gt;"",E4359&lt;&gt;"!!!"),"NEW","")))</f>
        <v> </v>
      </c>
      <c r="G4359" s="23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4" t="str">
        <f>IF(J4359&lt;&gt;1,"",IF(I4359="SBJ","CB","?"))</f>
        <v> </v>
      </c>
      <c r="I4359" s="25" t="str">
        <f>IF(OR(E4359="",E4359="!!!",F4359="NEW"),"",INDEX(B4358:B$2,-1+SUMPRODUCT(MAX(ROW(E4358:E$2)*(E4359=E4358:E$2)))))</f>
        <v> </v>
      </c>
      <c r="J4359" s="25" t="str">
        <f>IF(OR(E4359="",E4359="!!!",F4359="NEW"),"",COUNTBLANK(OFFSET(A$1,,,SUMPRODUCT(MAX(ROW(E$2:E4359)*(E4359=E$2:E4359)))))-COUNTBLANK(OFFSET(A$1,,,SUMPRODUCT(MAX(ROW(E$1:E4358)*(E2=E$1:E4358))))))</f>
        <v> </v>
      </c>
      <c r="K4359" s="25" t="str">
        <f>IF(OR(E4359="",E4359="!!!",F4359="NEW"),"",INDEX(J$1:J4358,SUMPRODUCT(MAX(ROW(E$1:E4358)*(E4359=E$1:E4358)))))</f>
        <v> </v>
      </c>
      <c r="L4359" s="26"/>
    </row>
    <row r="4360" spans="1:12">
      <c r="A4360" s="20" t="s">
        <v>1229</v>
      </c>
      <c r="E4360" s="21">
        <f>IF(D4360="?OLD","!!!","")</f>
        <v/>
      </c>
      <c r="F4360" s="22" t="str">
        <f>IF(OR(E4360="",E4360="!!!"),"",IF(NOT(ISNA(VLOOKUP(E4360,E$1:E4359,1,FALSE()))),"OLD",IF(AND(E4360&lt;&gt;"",E4360&lt;&gt;"!!!"),"NEW","")))</f>
        <v> </v>
      </c>
      <c r="G4360" s="23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4" t="str">
        <f>IF(J4360&lt;&gt;1,"",IF(I4360="SBJ","CB","?"))</f>
        <v> </v>
      </c>
      <c r="I4360" s="25" t="str">
        <f>IF(OR(E4360="",E4360="!!!",F4360="NEW"),"",INDEX(B4359:B$2,-1+SUMPRODUCT(MAX(ROW(E4359:E$2)*(E4360=E4359:E$2)))))</f>
        <v> </v>
      </c>
      <c r="J4360" s="25" t="str">
        <f>IF(OR(E4360="",E4360="!!!",F4360="NEW"),"",COUNTBLANK(OFFSET(A$1,,,SUMPRODUCT(MAX(ROW(E$2:E4360)*(E4360=E$2:E4360)))))-COUNTBLANK(OFFSET(A$1,,,SUMPRODUCT(MAX(ROW(E$1:E4359)*(E2=E$1:E4359))))))</f>
        <v> </v>
      </c>
      <c r="K4360" s="25" t="str">
        <f>IF(OR(E4360="",E4360="!!!",F4360="NEW"),"",INDEX(J$1:J4359,SUMPRODUCT(MAX(ROW(E$1:E4359)*(E4360=E$1:E4359)))))</f>
        <v> </v>
      </c>
      <c r="L4360" s="26"/>
    </row>
    <row r="4361" spans="1:12">
      <c r="A4361" s="20" t="s">
        <v>1173</v>
      </c>
      <c r="E4361" s="21">
        <f>IF(D4361="?OLD","!!!","")</f>
        <v/>
      </c>
      <c r="F4361" s="22" t="str">
        <f>IF(OR(E4361="",E4361="!!!"),"",IF(NOT(ISNA(VLOOKUP(E4361,E$1:E4360,1,FALSE()))),"OLD",IF(AND(E4361&lt;&gt;"",E4361&lt;&gt;"!!!"),"NEW","")))</f>
        <v> </v>
      </c>
      <c r="G4361" s="23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4" t="str">
        <f>IF(J4361&lt;&gt;1,"",IF(I4361="SBJ","CB","?"))</f>
        <v> </v>
      </c>
      <c r="I4361" s="25" t="str">
        <f>IF(OR(E4361="",E4361="!!!",F4361="NEW"),"",INDEX(B4360:B$2,-1+SUMPRODUCT(MAX(ROW(E4360:E$2)*(E4361=E4360:E$2)))))</f>
        <v> </v>
      </c>
      <c r="J4361" s="25" t="str">
        <f>IF(OR(E4361="",E4361="!!!",F4361="NEW"),"",COUNTBLANK(OFFSET(A$1,,,SUMPRODUCT(MAX(ROW(E$2:E4361)*(E4361=E$2:E4361)))))-COUNTBLANK(OFFSET(A$1,,,SUMPRODUCT(MAX(ROW(E$1:E4360)*(E2=E$1:E4360))))))</f>
        <v> </v>
      </c>
      <c r="K4361" s="25" t="str">
        <f>IF(OR(E4361="",E4361="!!!",F4361="NEW"),"",INDEX(J$1:J4360,SUMPRODUCT(MAX(ROW(E$1:E4360)*(E4361=E$1:E4360)))))</f>
        <v> </v>
      </c>
      <c r="L4361" s="26"/>
    </row>
    <row r="4362" spans="1:12">
      <c r="A4362" s="20" t="s">
        <v>3031</v>
      </c>
      <c r="E4362" s="21">
        <f>IF(D4362="?OLD","!!!","")</f>
        <v/>
      </c>
      <c r="F4362" s="22" t="str">
        <f>IF(OR(E4362="",E4362="!!!"),"",IF(NOT(ISNA(VLOOKUP(E4362,E$1:E4361,1,FALSE()))),"OLD",IF(AND(E4362&lt;&gt;"",E4362&lt;&gt;"!!!"),"NEW","")))</f>
        <v> </v>
      </c>
      <c r="G4362" s="23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4" t="str">
        <f>IF(J4362&lt;&gt;1,"",IF(I4362="SBJ","CB","?"))</f>
        <v> </v>
      </c>
      <c r="I4362" s="25" t="str">
        <f>IF(OR(E4362="",E4362="!!!",F4362="NEW"),"",INDEX(B4361:B$2,-1+SUMPRODUCT(MAX(ROW(E4361:E$2)*(E4362=E4361:E$2)))))</f>
        <v> </v>
      </c>
      <c r="J4362" s="25" t="str">
        <f>IF(OR(E4362="",E4362="!!!",F4362="NEW"),"",COUNTBLANK(OFFSET(A$1,,,SUMPRODUCT(MAX(ROW(E$2:E4362)*(E4362=E$2:E4362)))))-COUNTBLANK(OFFSET(A$1,,,SUMPRODUCT(MAX(ROW(E$1:E4361)*(E2=E$1:E4361))))))</f>
        <v> </v>
      </c>
      <c r="K4362" s="25" t="str">
        <f>IF(OR(E4362="",E4362="!!!",F4362="NEW"),"",INDEX(J$1:J4361,SUMPRODUCT(MAX(ROW(E$1:E4361)*(E4362=E$1:E4361)))))</f>
        <v> </v>
      </c>
      <c r="L4362" s="26"/>
    </row>
    <row r="4363" spans="1:12">
      <c r="A4363" s="20" t="s">
        <v>2277</v>
      </c>
      <c r="B4363" s="27" t="s">
        <v>1243</v>
      </c>
      <c r="E4363" s="21">
        <f>IF(D4363="?OLD","!!!","")</f>
        <v/>
      </c>
      <c r="F4363" s="22" t="str">
        <f>IF(OR(E4363="",E4363="!!!"),"",IF(NOT(ISNA(VLOOKUP(E4363,E$1:E4362,1,FALSE()))),"OLD",IF(AND(E4363&lt;&gt;"",E4363&lt;&gt;"!!!"),"NEW","")))</f>
        <v> </v>
      </c>
      <c r="G4363" s="23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4" t="str">
        <f>IF(J4363&lt;&gt;1,"",IF(I4363="SBJ","CB","?"))</f>
        <v> </v>
      </c>
      <c r="I4363" s="25" t="str">
        <f>IF(OR(E4363="",E4363="!!!",F4363="NEW"),"",INDEX(B4362:B$2,-1+SUMPRODUCT(MAX(ROW(E4362:E$2)*(E4363=E4362:E$2)))))</f>
        <v> </v>
      </c>
      <c r="J4363" s="25" t="str">
        <f>IF(OR(E4363="",E4363="!!!",F4363="NEW"),"",COUNTBLANK(OFFSET(A$1,,,SUMPRODUCT(MAX(ROW(E$2:E4363)*(E4363=E$2:E4363)))))-COUNTBLANK(OFFSET(A$1,,,SUMPRODUCT(MAX(ROW(E$1:E4362)*(E2=E$1:E4362))))))</f>
        <v> </v>
      </c>
      <c r="K4363" s="25" t="str">
        <f>IF(OR(E4363="",E4363="!!!",F4363="NEW"),"",INDEX(J$1:J4362,SUMPRODUCT(MAX(ROW(E$1:E4362)*(E4363=E$1:E4362)))))</f>
        <v> </v>
      </c>
      <c r="L4363" s="26"/>
    </row>
    <row r="4364" spans="1:12">
      <c r="A4364" s="20" t="s">
        <v>1184</v>
      </c>
      <c r="E4364" s="21">
        <f>IF(D4364="?OLD","!!!","")</f>
        <v/>
      </c>
      <c r="F4364" s="22" t="str">
        <f>IF(OR(E4364="",E4364="!!!"),"",IF(NOT(ISNA(VLOOKUP(E4364,E$1:E4363,1,FALSE()))),"OLD",IF(AND(E4364&lt;&gt;"",E4364&lt;&gt;"!!!"),"NEW","")))</f>
        <v> </v>
      </c>
      <c r="G4364" s="23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4" t="str">
        <f>IF(J4364&lt;&gt;1,"",IF(I4364="SBJ","CB","?"))</f>
        <v> </v>
      </c>
      <c r="I4364" s="25" t="str">
        <f>IF(OR(E4364="",E4364="!!!",F4364="NEW"),"",INDEX(B4363:B$2,-1+SUMPRODUCT(MAX(ROW(E4363:E$2)*(E4364=E4363:E$2)))))</f>
        <v> </v>
      </c>
      <c r="J4364" s="25" t="str">
        <f>IF(OR(E4364="",E4364="!!!",F4364="NEW"),"",COUNTBLANK(OFFSET(A$1,,,SUMPRODUCT(MAX(ROW(E$2:E4364)*(E4364=E$2:E4364)))))-COUNTBLANK(OFFSET(A$1,,,SUMPRODUCT(MAX(ROW(E$1:E4363)*(E2=E$1:E4363))))))</f>
        <v> </v>
      </c>
      <c r="K4364" s="25" t="str">
        <f>IF(OR(E4364="",E4364="!!!",F4364="NEW"),"",INDEX(J$1:J4363,SUMPRODUCT(MAX(ROW(E$1:E4363)*(E4364=E$1:E4363)))))</f>
        <v> </v>
      </c>
      <c r="L4364" s="26"/>
    </row>
    <row r="4365" spans="1:12">
      <c r="A4365" s="20" t="s">
        <v>3032</v>
      </c>
      <c r="E4365" s="21">
        <f>IF(D4365="?OLD","!!!","")</f>
        <v/>
      </c>
      <c r="F4365" s="22" t="str">
        <f>IF(OR(E4365="",E4365="!!!"),"",IF(NOT(ISNA(VLOOKUP(E4365,E$1:E4364,1,FALSE()))),"OLD",IF(AND(E4365&lt;&gt;"",E4365&lt;&gt;"!!!"),"NEW","")))</f>
        <v> </v>
      </c>
      <c r="G4365" s="23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4" t="str">
        <f>IF(J4365&lt;&gt;1,"",IF(I4365="SBJ","CB","?"))</f>
        <v> </v>
      </c>
      <c r="I4365" s="25" t="str">
        <f>IF(OR(E4365="",E4365="!!!",F4365="NEW"),"",INDEX(B4364:B$2,-1+SUMPRODUCT(MAX(ROW(E4364:E$2)*(E4365=E4364:E$2)))))</f>
        <v> </v>
      </c>
      <c r="J4365" s="25" t="str">
        <f>IF(OR(E4365="",E4365="!!!",F4365="NEW"),"",COUNTBLANK(OFFSET(A$1,,,SUMPRODUCT(MAX(ROW(E$2:E4365)*(E4365=E$2:E4365)))))-COUNTBLANK(OFFSET(A$1,,,SUMPRODUCT(MAX(ROW(E$1:E4364)*(E2=E$1:E4364))))))</f>
        <v> </v>
      </c>
      <c r="K4365" s="25" t="str">
        <f>IF(OR(E4365="",E4365="!!!",F4365="NEW"),"",INDEX(J$1:J4364,SUMPRODUCT(MAX(ROW(E$1:E4364)*(E4365=E$1:E4364)))))</f>
        <v> </v>
      </c>
      <c r="L4365" s="26"/>
    </row>
    <row r="4366" spans="1:12">
      <c r="A4366" s="20" t="s">
        <v>1123</v>
      </c>
      <c r="E4366" s="21">
        <f>IF(D4366="?OLD","!!!","")</f>
        <v/>
      </c>
      <c r="F4366" s="22" t="str">
        <f>IF(OR(E4366="",E4366="!!!"),"",IF(NOT(ISNA(VLOOKUP(E4366,E$1:E4365,1,FALSE()))),"OLD",IF(AND(E4366&lt;&gt;"",E4366&lt;&gt;"!!!"),"NEW","")))</f>
        <v> </v>
      </c>
      <c r="G4366" s="23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4" t="str">
        <f>IF(J4366&lt;&gt;1,"",IF(I4366="SBJ","CB","?"))</f>
        <v> </v>
      </c>
      <c r="I4366" s="25" t="str">
        <f>IF(OR(E4366="",E4366="!!!",F4366="NEW"),"",INDEX(B4365:B$2,-1+SUMPRODUCT(MAX(ROW(E4365:E$2)*(E4366=E4365:E$2)))))</f>
        <v> </v>
      </c>
      <c r="J4366" s="25" t="str">
        <f>IF(OR(E4366="",E4366="!!!",F4366="NEW"),"",COUNTBLANK(OFFSET(A$1,,,SUMPRODUCT(MAX(ROW(E$2:E4366)*(E4366=E$2:E4366)))))-COUNTBLANK(OFFSET(A$1,,,SUMPRODUCT(MAX(ROW(E$1:E4365)*(E2=E$1:E4365))))))</f>
        <v> </v>
      </c>
      <c r="K4366" s="25" t="str">
        <f>IF(OR(E4366="",E4366="!!!",F4366="NEW"),"",INDEX(J$1:J4365,SUMPRODUCT(MAX(ROW(E$1:E4365)*(E4366=E$1:E4365)))))</f>
        <v> </v>
      </c>
      <c r="L4366" s="26"/>
    </row>
    <row r="4367" spans="1:12">
      <c r="A4367" s="20" t="s">
        <v>3033</v>
      </c>
      <c r="E4367" s="21">
        <f>IF(D4367="?OLD","!!!","")</f>
        <v/>
      </c>
      <c r="F4367" s="22" t="str">
        <f>IF(OR(E4367="",E4367="!!!"),"",IF(NOT(ISNA(VLOOKUP(E4367,E$1:E4366,1,FALSE()))),"OLD",IF(AND(E4367&lt;&gt;"",E4367&lt;&gt;"!!!"),"NEW","")))</f>
        <v> </v>
      </c>
      <c r="G4367" s="23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4" t="str">
        <f>IF(J4367&lt;&gt;1,"",IF(I4367="SBJ","CB","?"))</f>
        <v> </v>
      </c>
      <c r="I4367" s="25" t="str">
        <f>IF(OR(E4367="",E4367="!!!",F4367="NEW"),"",INDEX(B4366:B$2,-1+SUMPRODUCT(MAX(ROW(E4366:E$2)*(E4367=E4366:E$2)))))</f>
        <v> </v>
      </c>
      <c r="J4367" s="25" t="str">
        <f>IF(OR(E4367="",E4367="!!!",F4367="NEW"),"",COUNTBLANK(OFFSET(A$1,,,SUMPRODUCT(MAX(ROW(E$2:E4367)*(E4367=E$2:E4367)))))-COUNTBLANK(OFFSET(A$1,,,SUMPRODUCT(MAX(ROW(E$1:E4366)*(E2=E$1:E4366))))))</f>
        <v> </v>
      </c>
      <c r="K4367" s="25" t="str">
        <f>IF(OR(E4367="",E4367="!!!",F4367="NEW"),"",INDEX(J$1:J4366,SUMPRODUCT(MAX(ROW(E$1:E4366)*(E4367=E$1:E4366)))))</f>
        <v> </v>
      </c>
      <c r="L4367" s="26"/>
    </row>
    <row r="4368" spans="1:12">
      <c r="A4368" s="20" t="s">
        <v>1271</v>
      </c>
      <c r="E4368" s="21">
        <f>IF(D4368="?OLD","!!!","")</f>
        <v/>
      </c>
      <c r="F4368" s="22" t="str">
        <f>IF(OR(E4368="",E4368="!!!"),"",IF(NOT(ISNA(VLOOKUP(E4368,E$1:E4367,1,FALSE()))),"OLD",IF(AND(E4368&lt;&gt;"",E4368&lt;&gt;"!!!"),"NEW","")))</f>
        <v> </v>
      </c>
      <c r="G4368" s="23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4" t="str">
        <f>IF(J4368&lt;&gt;1,"",IF(I4368="SBJ","CB","?"))</f>
        <v> </v>
      </c>
      <c r="I4368" s="25" t="str">
        <f>IF(OR(E4368="",E4368="!!!",F4368="NEW"),"",INDEX(B4367:B$2,-1+SUMPRODUCT(MAX(ROW(E4367:E$2)*(E4368=E4367:E$2)))))</f>
        <v> </v>
      </c>
      <c r="J4368" s="25" t="str">
        <f>IF(OR(E4368="",E4368="!!!",F4368="NEW"),"",COUNTBLANK(OFFSET(A$1,,,SUMPRODUCT(MAX(ROW(E$2:E4368)*(E4368=E$2:E4368)))))-COUNTBLANK(OFFSET(A$1,,,SUMPRODUCT(MAX(ROW(E$1:E4367)*(E2=E$1:E4367))))))</f>
        <v> </v>
      </c>
      <c r="K4368" s="25" t="str">
        <f>IF(OR(E4368="",E4368="!!!",F4368="NEW"),"",INDEX(J$1:J4367,SUMPRODUCT(MAX(ROW(E$1:E4367)*(E4368=E$1:E4367)))))</f>
        <v> </v>
      </c>
      <c r="L4368" s="26"/>
    </row>
    <row r="4369" spans="1:12">
      <c r="A4369" s="20" t="s">
        <v>1418</v>
      </c>
      <c r="E4369" s="21">
        <f>IF(D4369="?OLD","!!!","")</f>
        <v/>
      </c>
      <c r="F4369" s="22" t="str">
        <f>IF(OR(E4369="",E4369="!!!"),"",IF(NOT(ISNA(VLOOKUP(E4369,E$1:E4368,1,FALSE()))),"OLD",IF(AND(E4369&lt;&gt;"",E4369&lt;&gt;"!!!"),"NEW","")))</f>
        <v> </v>
      </c>
      <c r="G4369" s="23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4" t="str">
        <f>IF(J4369&lt;&gt;1,"",IF(I4369="SBJ","CB","?"))</f>
        <v> </v>
      </c>
      <c r="I4369" s="25" t="str">
        <f>IF(OR(E4369="",E4369="!!!",F4369="NEW"),"",INDEX(B4368:B$2,-1+SUMPRODUCT(MAX(ROW(E4368:E$2)*(E4369=E4368:E$2)))))</f>
        <v> </v>
      </c>
      <c r="J4369" s="25" t="str">
        <f>IF(OR(E4369="",E4369="!!!",F4369="NEW"),"",COUNTBLANK(OFFSET(A$1,,,SUMPRODUCT(MAX(ROW(E$2:E4369)*(E4369=E$2:E4369)))))-COUNTBLANK(OFFSET(A$1,,,SUMPRODUCT(MAX(ROW(E$1:E4368)*(E2=E$1:E4368))))))</f>
        <v> </v>
      </c>
      <c r="K4369" s="25" t="str">
        <f>IF(OR(E4369="",E4369="!!!",F4369="NEW"),"",INDEX(J$1:J4368,SUMPRODUCT(MAX(ROW(E$1:E4368)*(E4369=E$1:E4368)))))</f>
        <v> </v>
      </c>
      <c r="L4369" s="26"/>
    </row>
    <row r="4370" spans="1:12">
      <c r="A4370" s="20" t="s">
        <v>1123</v>
      </c>
      <c r="E4370" s="21">
        <f>IF(D4370="?OLD","!!!","")</f>
        <v/>
      </c>
      <c r="F4370" s="22" t="str">
        <f>IF(OR(E4370="",E4370="!!!"),"",IF(NOT(ISNA(VLOOKUP(E4370,E$1:E4369,1,FALSE()))),"OLD",IF(AND(E4370&lt;&gt;"",E4370&lt;&gt;"!!!"),"NEW","")))</f>
        <v> </v>
      </c>
      <c r="G4370" s="23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4" t="str">
        <f>IF(J4370&lt;&gt;1,"",IF(I4370="SBJ","CB","?"))</f>
        <v> </v>
      </c>
      <c r="I4370" s="25" t="str">
        <f>IF(OR(E4370="",E4370="!!!",F4370="NEW"),"",INDEX(B4369:B$2,-1+SUMPRODUCT(MAX(ROW(E4369:E$2)*(E4370=E4369:E$2)))))</f>
        <v> </v>
      </c>
      <c r="J4370" s="25" t="str">
        <f>IF(OR(E4370="",E4370="!!!",F4370="NEW"),"",COUNTBLANK(OFFSET(A$1,,,SUMPRODUCT(MAX(ROW(E$2:E4370)*(E4370=E$2:E4370)))))-COUNTBLANK(OFFSET(A$1,,,SUMPRODUCT(MAX(ROW(E$1:E4369)*(E2=E$1:E4369))))))</f>
        <v> </v>
      </c>
      <c r="K4370" s="25" t="str">
        <f>IF(OR(E4370="",E4370="!!!",F4370="NEW"),"",INDEX(J$1:J4369,SUMPRODUCT(MAX(ROW(E$1:E4369)*(E4370=E$1:E4369)))))</f>
        <v> </v>
      </c>
      <c r="L4370" s="26"/>
    </row>
    <row r="4371" spans="1:12">
      <c r="A4371" s="20" t="s">
        <v>1197</v>
      </c>
      <c r="E4371" s="21">
        <f>IF(D4371="?OLD","!!!","")</f>
        <v/>
      </c>
      <c r="F4371" s="22" t="str">
        <f>IF(OR(E4371="",E4371="!!!"),"",IF(NOT(ISNA(VLOOKUP(E4371,E$1:E4370,1,FALSE()))),"OLD",IF(AND(E4371&lt;&gt;"",E4371&lt;&gt;"!!!"),"NEW","")))</f>
        <v> </v>
      </c>
      <c r="G4371" s="23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4" t="str">
        <f>IF(J4371&lt;&gt;1,"",IF(I4371="SBJ","CB","?"))</f>
        <v> </v>
      </c>
      <c r="I4371" s="25" t="str">
        <f>IF(OR(E4371="",E4371="!!!",F4371="NEW"),"",INDEX(B4370:B$2,-1+SUMPRODUCT(MAX(ROW(E4370:E$2)*(E4371=E4370:E$2)))))</f>
        <v> </v>
      </c>
      <c r="J4371" s="25" t="str">
        <f>IF(OR(E4371="",E4371="!!!",F4371="NEW"),"",COUNTBLANK(OFFSET(A$1,,,SUMPRODUCT(MAX(ROW(E$2:E4371)*(E4371=E$2:E4371)))))-COUNTBLANK(OFFSET(A$1,,,SUMPRODUCT(MAX(ROW(E$1:E4370)*(E2=E$1:E4370))))))</f>
        <v> </v>
      </c>
      <c r="K4371" s="25" t="str">
        <f>IF(OR(E4371="",E4371="!!!",F4371="NEW"),"",INDEX(J$1:J4370,SUMPRODUCT(MAX(ROW(E$1:E4370)*(E4371=E$1:E4370)))))</f>
        <v> </v>
      </c>
      <c r="L4371" s="26"/>
    </row>
    <row r="4372" spans="1:12">
      <c r="A4372" s="20" t="s">
        <v>1249</v>
      </c>
      <c r="E4372" s="21">
        <f>IF(D4372="?OLD","!!!","")</f>
        <v/>
      </c>
      <c r="F4372" s="22" t="str">
        <f>IF(OR(E4372="",E4372="!!!"),"",IF(NOT(ISNA(VLOOKUP(E4372,E$1:E4371,1,FALSE()))),"OLD",IF(AND(E4372&lt;&gt;"",E4372&lt;&gt;"!!!"),"NEW","")))</f>
        <v> </v>
      </c>
      <c r="G4372" s="23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4" t="str">
        <f>IF(J4372&lt;&gt;1,"",IF(I4372="SBJ","CB","?"))</f>
        <v> </v>
      </c>
      <c r="I4372" s="25" t="str">
        <f>IF(OR(E4372="",E4372="!!!",F4372="NEW"),"",INDEX(B4371:B$2,-1+SUMPRODUCT(MAX(ROW(E4371:E$2)*(E4372=E4371:E$2)))))</f>
        <v> </v>
      </c>
      <c r="J4372" s="25" t="str">
        <f>IF(OR(E4372="",E4372="!!!",F4372="NEW"),"",COUNTBLANK(OFFSET(A$1,,,SUMPRODUCT(MAX(ROW(E$2:E4372)*(E4372=E$2:E4372)))))-COUNTBLANK(OFFSET(A$1,,,SUMPRODUCT(MAX(ROW(E$1:E4371)*(E2=E$1:E4371))))))</f>
        <v> </v>
      </c>
      <c r="K4372" s="25" t="str">
        <f>IF(OR(E4372="",E4372="!!!",F4372="NEW"),"",INDEX(J$1:J4371,SUMPRODUCT(MAX(ROW(E$1:E4371)*(E4372=E$1:E4371)))))</f>
        <v> </v>
      </c>
      <c r="L4372" s="26"/>
    </row>
    <row r="4373" spans="1:12">
      <c r="A4373" s="20" t="s">
        <v>2007</v>
      </c>
      <c r="E4373" s="21">
        <f>IF(D4373="?OLD","!!!","")</f>
        <v/>
      </c>
      <c r="F4373" s="22" t="str">
        <f>IF(OR(E4373="",E4373="!!!"),"",IF(NOT(ISNA(VLOOKUP(E4373,E$1:E4372,1,FALSE()))),"OLD",IF(AND(E4373&lt;&gt;"",E4373&lt;&gt;"!!!"),"NEW","")))</f>
        <v> </v>
      </c>
      <c r="G4373" s="23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4" t="str">
        <f>IF(J4373&lt;&gt;1,"",IF(I4373="SBJ","CB","?"))</f>
        <v> </v>
      </c>
      <c r="I4373" s="25" t="str">
        <f>IF(OR(E4373="",E4373="!!!",F4373="NEW"),"",INDEX(B4372:B$2,-1+SUMPRODUCT(MAX(ROW(E4372:E$2)*(E4373=E4372:E$2)))))</f>
        <v> </v>
      </c>
      <c r="J4373" s="25" t="str">
        <f>IF(OR(E4373="",E4373="!!!",F4373="NEW"),"",COUNTBLANK(OFFSET(A$1,,,SUMPRODUCT(MAX(ROW(E$2:E4373)*(E4373=E$2:E4373)))))-COUNTBLANK(OFFSET(A$1,,,SUMPRODUCT(MAX(ROW(E$1:E4372)*(E2=E$1:E4372))))))</f>
        <v> </v>
      </c>
      <c r="K4373" s="25" t="str">
        <f>IF(OR(E4373="",E4373="!!!",F4373="NEW"),"",INDEX(J$1:J4372,SUMPRODUCT(MAX(ROW(E$1:E4372)*(E4373=E$1:E4372)))))</f>
        <v> </v>
      </c>
      <c r="L4373" s="26"/>
    </row>
    <row r="4374" spans="1:12">
      <c r="A4374" s="20" t="s">
        <v>3034</v>
      </c>
      <c r="B4374" s="27" t="s">
        <v>1110</v>
      </c>
      <c r="C4374" s="27" t="s">
        <v>1116</v>
      </c>
      <c r="E4374" s="21">
        <f>IF(D4374="?OLD","!!!","")</f>
        <v/>
      </c>
      <c r="F4374" s="22" t="str">
        <f>IF(OR(E4374="",E4374="!!!"),"",IF(NOT(ISNA(VLOOKUP(E4374,E$1:E4373,1,FALSE()))),"OLD",IF(AND(E4374&lt;&gt;"",E4374&lt;&gt;"!!!"),"NEW","")))</f>
        <v> </v>
      </c>
      <c r="G4374" s="23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4" t="str">
        <f>IF(J4374&lt;&gt;1,"",IF(I4374="SBJ","CB","?"))</f>
        <v> </v>
      </c>
      <c r="I4374" s="25" t="str">
        <f>IF(OR(E4374="",E4374="!!!",F4374="NEW"),"",INDEX(B4373:B$2,-1+SUMPRODUCT(MAX(ROW(E4373:E$2)*(E4374=E4373:E$2)))))</f>
        <v> </v>
      </c>
      <c r="J4374" s="25" t="str">
        <f>IF(OR(E4374="",E4374="!!!",F4374="NEW"),"",COUNTBLANK(OFFSET(A$1,,,SUMPRODUCT(MAX(ROW(E$2:E4374)*(E4374=E$2:E4374)))))-COUNTBLANK(OFFSET(A$1,,,SUMPRODUCT(MAX(ROW(E$1:E4373)*(E2=E$1:E4373))))))</f>
        <v> </v>
      </c>
      <c r="K4374" s="25" t="str">
        <f>IF(OR(E4374="",E4374="!!!",F4374="NEW"),"",INDEX(J$1:J4373,SUMPRODUCT(MAX(ROW(E$1:E4373)*(E4374=E$1:E4373)))))</f>
        <v> </v>
      </c>
      <c r="L4374" s="26"/>
    </row>
    <row r="4375" spans="1:12">
      <c r="A4375" s="20" t="s">
        <v>1117</v>
      </c>
      <c r="E4375" s="21">
        <f>IF(D4375="?OLD","!!!","")</f>
        <v/>
      </c>
      <c r="F4375" s="22" t="str">
        <f>IF(OR(E4375="",E4375="!!!"),"",IF(NOT(ISNA(VLOOKUP(E4375,E$1:E4374,1,FALSE()))),"OLD",IF(AND(E4375&lt;&gt;"",E4375&lt;&gt;"!!!"),"NEW","")))</f>
        <v> </v>
      </c>
      <c r="G4375" s="23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4" t="str">
        <f>IF(J4375&lt;&gt;1,"",IF(I4375="SBJ","CB","?"))</f>
        <v> </v>
      </c>
      <c r="I4375" s="25" t="str">
        <f>IF(OR(E4375="",E4375="!!!",F4375="NEW"),"",INDEX(B4374:B$2,-1+SUMPRODUCT(MAX(ROW(E4374:E$2)*(E4375=E4374:E$2)))))</f>
        <v> </v>
      </c>
      <c r="J4375" s="25" t="str">
        <f>IF(OR(E4375="",E4375="!!!",F4375="NEW"),"",COUNTBLANK(OFFSET(A$1,,,SUMPRODUCT(MAX(ROW(E$2:E4375)*(E4375=E$2:E4375)))))-COUNTBLANK(OFFSET(A$1,,,SUMPRODUCT(MAX(ROW(E$1:E4374)*(E2=E$1:E4374))))))</f>
        <v> </v>
      </c>
      <c r="K4375" s="25" t="str">
        <f>IF(OR(E4375="",E4375="!!!",F4375="NEW"),"",INDEX(J$1:J4374,SUMPRODUCT(MAX(ROW(E$1:E4374)*(E4375=E$1:E4374)))))</f>
        <v> </v>
      </c>
      <c r="L4375" s="26"/>
    </row>
    <row r="4376" spans="1:12">
      <c r="A4376" s="20" t="s">
        <v>1120</v>
      </c>
      <c r="E4376" s="21">
        <f>IF(D4376="?OLD","!!!","")</f>
        <v/>
      </c>
      <c r="F4376" s="22" t="str">
        <f>IF(OR(E4376="",E4376="!!!"),"",IF(NOT(ISNA(VLOOKUP(E4376,E$1:E4375,1,FALSE()))),"OLD",IF(AND(E4376&lt;&gt;"",E4376&lt;&gt;"!!!"),"NEW","")))</f>
        <v> </v>
      </c>
      <c r="G4376" s="23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4" t="str">
        <f>IF(J4376&lt;&gt;1,"",IF(I4376="SBJ","CB","?"))</f>
        <v> </v>
      </c>
      <c r="I4376" s="25" t="str">
        <f>IF(OR(E4376="",E4376="!!!",F4376="NEW"),"",INDEX(B4375:B$2,-1+SUMPRODUCT(MAX(ROW(E4375:E$2)*(E4376=E4375:E$2)))))</f>
        <v> </v>
      </c>
      <c r="J4376" s="25" t="str">
        <f>IF(OR(E4376="",E4376="!!!",F4376="NEW"),"",COUNTBLANK(OFFSET(A$1,,,SUMPRODUCT(MAX(ROW(E$2:E4376)*(E4376=E$2:E4376)))))-COUNTBLANK(OFFSET(A$1,,,SUMPRODUCT(MAX(ROW(E$1:E4375)*(E2=E$1:E4375))))))</f>
        <v> </v>
      </c>
      <c r="K4376" s="25" t="str">
        <f>IF(OR(E4376="",E4376="!!!",F4376="NEW"),"",INDEX(J$1:J4375,SUMPRODUCT(MAX(ROW(E$1:E4375)*(E4376=E$1:E4375)))))</f>
        <v> </v>
      </c>
      <c r="L4376" s="26"/>
    </row>
    <row r="4377" spans="1:12">
      <c r="A4377" s="20" t="s">
        <v>3035</v>
      </c>
      <c r="E4377" s="21">
        <f>IF(D4377="?OLD","!!!","")</f>
        <v/>
      </c>
      <c r="F4377" s="22" t="str">
        <f>IF(OR(E4377="",E4377="!!!"),"",IF(NOT(ISNA(VLOOKUP(E4377,E$1:E4376,1,FALSE()))),"OLD",IF(AND(E4377&lt;&gt;"",E4377&lt;&gt;"!!!"),"NEW","")))</f>
        <v> </v>
      </c>
      <c r="G4377" s="23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4" t="str">
        <f>IF(J4377&lt;&gt;1,"",IF(I4377="SBJ","CB","?"))</f>
        <v> </v>
      </c>
      <c r="I4377" s="25" t="str">
        <f>IF(OR(E4377="",E4377="!!!",F4377="NEW"),"",INDEX(B4376:B$2,-1+SUMPRODUCT(MAX(ROW(E4376:E$2)*(E4377=E4376:E$2)))))</f>
        <v> </v>
      </c>
      <c r="J4377" s="25" t="str">
        <f>IF(OR(E4377="",E4377="!!!",F4377="NEW"),"",COUNTBLANK(OFFSET(A$1,,,SUMPRODUCT(MAX(ROW(E$2:E4377)*(E4377=E$2:E4377)))))-COUNTBLANK(OFFSET(A$1,,,SUMPRODUCT(MAX(ROW(E$1:E4376)*(E2=E$1:E4376))))))</f>
        <v> </v>
      </c>
      <c r="K4377" s="25" t="str">
        <f>IF(OR(E4377="",E4377="!!!",F4377="NEW"),"",INDEX(J$1:J4376,SUMPRODUCT(MAX(ROW(E$1:E4376)*(E4377=E$1:E4376)))))</f>
        <v> </v>
      </c>
      <c r="L4377" s="26"/>
    </row>
    <row r="4378" spans="1:12">
      <c r="A4378" s="20" t="s">
        <v>1113</v>
      </c>
      <c r="E4378" s="21">
        <f>IF(D4378="?OLD","!!!","")</f>
        <v/>
      </c>
      <c r="F4378" s="22" t="str">
        <f>IF(OR(E4378="",E4378="!!!"),"",IF(NOT(ISNA(VLOOKUP(E4378,E$1:E4377,1,FALSE()))),"OLD",IF(AND(E4378&lt;&gt;"",E4378&lt;&gt;"!!!"),"NEW","")))</f>
        <v> </v>
      </c>
      <c r="G4378" s="23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4" t="str">
        <f>IF(J4378&lt;&gt;1,"",IF(I4378="SBJ","CB","?"))</f>
        <v> </v>
      </c>
      <c r="I4378" s="25" t="str">
        <f>IF(OR(E4378="",E4378="!!!",F4378="NEW"),"",INDEX(B4377:B$2,-1+SUMPRODUCT(MAX(ROW(E4377:E$2)*(E4378=E4377:E$2)))))</f>
        <v> </v>
      </c>
      <c r="J4378" s="25" t="str">
        <f>IF(OR(E4378="",E4378="!!!",F4378="NEW"),"",COUNTBLANK(OFFSET(A$1,,,SUMPRODUCT(MAX(ROW(E$2:E4378)*(E4378=E$2:E4378)))))-COUNTBLANK(OFFSET(A$1,,,SUMPRODUCT(MAX(ROW(E$1:E4377)*(E2=E$1:E4377))))))</f>
        <v> </v>
      </c>
      <c r="K4378" s="25" t="str">
        <f>IF(OR(E4378="",E4378="!!!",F4378="NEW"),"",INDEX(J$1:J4377,SUMPRODUCT(MAX(ROW(E$1:E4377)*(E4378=E$1:E4377)))))</f>
        <v> </v>
      </c>
      <c r="L4378" s="26"/>
    </row>
    <row r="4379" spans="1:12">
      <c r="A4379" s="20" t="s">
        <v>1184</v>
      </c>
      <c r="E4379" s="21">
        <f>IF(D4379="?OLD","!!!","")</f>
        <v/>
      </c>
      <c r="F4379" s="22" t="str">
        <f>IF(OR(E4379="",E4379="!!!"),"",IF(NOT(ISNA(VLOOKUP(E4379,E$1:E4378,1,FALSE()))),"OLD",IF(AND(E4379&lt;&gt;"",E4379&lt;&gt;"!!!"),"NEW","")))</f>
        <v> </v>
      </c>
      <c r="G4379" s="23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4" t="str">
        <f>IF(J4379&lt;&gt;1,"",IF(I4379="SBJ","CB","?"))</f>
        <v> </v>
      </c>
      <c r="I4379" s="25" t="str">
        <f>IF(OR(E4379="",E4379="!!!",F4379="NEW"),"",INDEX(B4378:B$2,-1+SUMPRODUCT(MAX(ROW(E4378:E$2)*(E4379=E4378:E$2)))))</f>
        <v> </v>
      </c>
      <c r="J4379" s="25" t="str">
        <f>IF(OR(E4379="",E4379="!!!",F4379="NEW"),"",COUNTBLANK(OFFSET(A$1,,,SUMPRODUCT(MAX(ROW(E$2:E4379)*(E4379=E$2:E4379)))))-COUNTBLANK(OFFSET(A$1,,,SUMPRODUCT(MAX(ROW(E$1:E4378)*(E2=E$1:E4378))))))</f>
        <v> </v>
      </c>
      <c r="K4379" s="25" t="str">
        <f>IF(OR(E4379="",E4379="!!!",F4379="NEW"),"",INDEX(J$1:J4378,SUMPRODUCT(MAX(ROW(E$1:E4378)*(E4379=E$1:E4378)))))</f>
        <v> </v>
      </c>
      <c r="L4379" s="26"/>
    </row>
    <row r="4380" spans="1:12">
      <c r="A4380" s="20" t="s">
        <v>3036</v>
      </c>
      <c r="E4380" s="21">
        <f>IF(D4380="?OLD","!!!","")</f>
        <v/>
      </c>
      <c r="F4380" s="22" t="str">
        <f>IF(OR(E4380="",E4380="!!!"),"",IF(NOT(ISNA(VLOOKUP(E4380,E$1:E4379,1,FALSE()))),"OLD",IF(AND(E4380&lt;&gt;"",E4380&lt;&gt;"!!!"),"NEW","")))</f>
        <v> </v>
      </c>
      <c r="G4380" s="23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4" t="str">
        <f>IF(J4380&lt;&gt;1,"",IF(I4380="SBJ","CB","?"))</f>
        <v> </v>
      </c>
      <c r="I4380" s="25" t="str">
        <f>IF(OR(E4380="",E4380="!!!",F4380="NEW"),"",INDEX(B4379:B$2,-1+SUMPRODUCT(MAX(ROW(E4379:E$2)*(E4380=E4379:E$2)))))</f>
        <v> </v>
      </c>
      <c r="J4380" s="25" t="str">
        <f>IF(OR(E4380="",E4380="!!!",F4380="NEW"),"",COUNTBLANK(OFFSET(A$1,,,SUMPRODUCT(MAX(ROW(E$2:E4380)*(E4380=E$2:E4380)))))-COUNTBLANK(OFFSET(A$1,,,SUMPRODUCT(MAX(ROW(E$1:E4379)*(E2=E$1:E4379))))))</f>
        <v> </v>
      </c>
      <c r="K4380" s="25" t="str">
        <f>IF(OR(E4380="",E4380="!!!",F4380="NEW"),"",INDEX(J$1:J4379,SUMPRODUCT(MAX(ROW(E$1:E4379)*(E4380=E$1:E4379)))))</f>
        <v> </v>
      </c>
      <c r="L4380" s="26"/>
    </row>
    <row r="4381" spans="1:12">
      <c r="A4381" s="20" t="s">
        <v>3037</v>
      </c>
      <c r="E4381" s="21">
        <f>IF(D4381="?OLD","!!!","")</f>
        <v/>
      </c>
      <c r="F4381" s="22" t="str">
        <f>IF(OR(E4381="",E4381="!!!"),"",IF(NOT(ISNA(VLOOKUP(E4381,E$1:E4380,1,FALSE()))),"OLD",IF(AND(E4381&lt;&gt;"",E4381&lt;&gt;"!!!"),"NEW","")))</f>
        <v> </v>
      </c>
      <c r="G4381" s="23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4" t="str">
        <f>IF(J4381&lt;&gt;1,"",IF(I4381="SBJ","CB","?"))</f>
        <v> </v>
      </c>
      <c r="I4381" s="25" t="str">
        <f>IF(OR(E4381="",E4381="!!!",F4381="NEW"),"",INDEX(B4380:B$2,-1+SUMPRODUCT(MAX(ROW(E4380:E$2)*(E4381=E4380:E$2)))))</f>
        <v> </v>
      </c>
      <c r="J4381" s="25" t="str">
        <f>IF(OR(E4381="",E4381="!!!",F4381="NEW"),"",COUNTBLANK(OFFSET(A$1,,,SUMPRODUCT(MAX(ROW(E$2:E4381)*(E4381=E$2:E4381)))))-COUNTBLANK(OFFSET(A$1,,,SUMPRODUCT(MAX(ROW(E$1:E4380)*(E2=E$1:E4380))))))</f>
        <v> </v>
      </c>
      <c r="K4381" s="25" t="str">
        <f>IF(OR(E4381="",E4381="!!!",F4381="NEW"),"",INDEX(J$1:J4380,SUMPRODUCT(MAX(ROW(E$1:E4380)*(E4381=E$1:E4380)))))</f>
        <v> </v>
      </c>
      <c r="L4381" s="26"/>
    </row>
    <row r="4382" spans="1:12">
      <c r="A4382" s="20" t="s">
        <v>2123</v>
      </c>
      <c r="E4382" s="21">
        <f>IF(D4382="?OLD","!!!","")</f>
        <v/>
      </c>
      <c r="F4382" s="22" t="str">
        <f>IF(OR(E4382="",E4382="!!!"),"",IF(NOT(ISNA(VLOOKUP(E4382,E$1:E4381,1,FALSE()))),"OLD",IF(AND(E4382&lt;&gt;"",E4382&lt;&gt;"!!!"),"NEW","")))</f>
        <v> </v>
      </c>
      <c r="G4382" s="23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4" t="str">
        <f>IF(J4382&lt;&gt;1,"",IF(I4382="SBJ","CB","?"))</f>
        <v> </v>
      </c>
      <c r="I4382" s="25" t="str">
        <f>IF(OR(E4382="",E4382="!!!",F4382="NEW"),"",INDEX(B4381:B$2,-1+SUMPRODUCT(MAX(ROW(E4381:E$2)*(E4382=E4381:E$2)))))</f>
        <v> </v>
      </c>
      <c r="J4382" s="25" t="str">
        <f>IF(OR(E4382="",E4382="!!!",F4382="NEW"),"",COUNTBLANK(OFFSET(A$1,,,SUMPRODUCT(MAX(ROW(E$2:E4382)*(E4382=E$2:E4382)))))-COUNTBLANK(OFFSET(A$1,,,SUMPRODUCT(MAX(ROW(E$1:E4381)*(E2=E$1:E4381))))))</f>
        <v> </v>
      </c>
      <c r="K4382" s="25" t="str">
        <f>IF(OR(E4382="",E4382="!!!",F4382="NEW"),"",INDEX(J$1:J4381,SUMPRODUCT(MAX(ROW(E$1:E4381)*(E4382=E$1:E4381)))))</f>
        <v> </v>
      </c>
      <c r="L4382" s="26"/>
    </row>
    <row r="4383" spans="1:12">
      <c r="A4383" s="20" t="s">
        <v>1123</v>
      </c>
      <c r="E4383" s="21">
        <f>IF(D4383="?OLD","!!!","")</f>
        <v/>
      </c>
      <c r="F4383" s="22" t="str">
        <f>IF(OR(E4383="",E4383="!!!"),"",IF(NOT(ISNA(VLOOKUP(E4383,E$1:E4382,1,FALSE()))),"OLD",IF(AND(E4383&lt;&gt;"",E4383&lt;&gt;"!!!"),"NEW","")))</f>
        <v> </v>
      </c>
      <c r="G4383" s="23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4" t="str">
        <f>IF(J4383&lt;&gt;1,"",IF(I4383="SBJ","CB","?"))</f>
        <v> </v>
      </c>
      <c r="I4383" s="25" t="str">
        <f>IF(OR(E4383="",E4383="!!!",F4383="NEW"),"",INDEX(B4382:B$2,-1+SUMPRODUCT(MAX(ROW(E4382:E$2)*(E4383=E4382:E$2)))))</f>
        <v> </v>
      </c>
      <c r="J4383" s="25" t="str">
        <f>IF(OR(E4383="",E4383="!!!",F4383="NEW"),"",COUNTBLANK(OFFSET(A$1,,,SUMPRODUCT(MAX(ROW(E$2:E4383)*(E4383=E$2:E4383)))))-COUNTBLANK(OFFSET(A$1,,,SUMPRODUCT(MAX(ROW(E$1:E4382)*(E2=E$1:E4382))))))</f>
        <v> </v>
      </c>
      <c r="K4383" s="25" t="str">
        <f>IF(OR(E4383="",E4383="!!!",F4383="NEW"),"",INDEX(J$1:J4382,SUMPRODUCT(MAX(ROW(E$1:E4382)*(E4383=E$1:E4382)))))</f>
        <v> </v>
      </c>
      <c r="L4383" s="26"/>
    </row>
    <row r="4384" spans="1:12">
      <c r="A4384" s="20" t="s">
        <v>1184</v>
      </c>
      <c r="E4384" s="21">
        <f>IF(D4384="?OLD","!!!","")</f>
        <v/>
      </c>
      <c r="F4384" s="22" t="str">
        <f>IF(OR(E4384="",E4384="!!!"),"",IF(NOT(ISNA(VLOOKUP(E4384,E$1:E4383,1,FALSE()))),"OLD",IF(AND(E4384&lt;&gt;"",E4384&lt;&gt;"!!!"),"NEW","")))</f>
        <v> </v>
      </c>
      <c r="G4384" s="23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4" t="str">
        <f>IF(J4384&lt;&gt;1,"",IF(I4384="SBJ","CB","?"))</f>
        <v> </v>
      </c>
      <c r="I4384" s="25" t="str">
        <f>IF(OR(E4384="",E4384="!!!",F4384="NEW"),"",INDEX(B4383:B$2,-1+SUMPRODUCT(MAX(ROW(E4383:E$2)*(E4384=E4383:E$2)))))</f>
        <v> </v>
      </c>
      <c r="J4384" s="25" t="str">
        <f>IF(OR(E4384="",E4384="!!!",F4384="NEW"),"",COUNTBLANK(OFFSET(A$1,,,SUMPRODUCT(MAX(ROW(E$2:E4384)*(E4384=E$2:E4384)))))-COUNTBLANK(OFFSET(A$1,,,SUMPRODUCT(MAX(ROW(E$1:E4383)*(E2=E$1:E4383))))))</f>
        <v> </v>
      </c>
      <c r="K4384" s="25" t="str">
        <f>IF(OR(E4384="",E4384="!!!",F4384="NEW"),"",INDEX(J$1:J4383,SUMPRODUCT(MAX(ROW(E$1:E4383)*(E4384=E$1:E4383)))))</f>
        <v> </v>
      </c>
      <c r="L4384" s="26"/>
    </row>
    <row r="4385" spans="1:12">
      <c r="A4385" s="20" t="s">
        <v>3038</v>
      </c>
      <c r="E4385" s="21">
        <f>IF(D4385="?OLD","!!!","")</f>
        <v/>
      </c>
      <c r="F4385" s="22" t="str">
        <f>IF(OR(E4385="",E4385="!!!"),"",IF(NOT(ISNA(VLOOKUP(E4385,E$1:E4384,1,FALSE()))),"OLD",IF(AND(E4385&lt;&gt;"",E4385&lt;&gt;"!!!"),"NEW","")))</f>
        <v> </v>
      </c>
      <c r="G4385" s="23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4" t="str">
        <f>IF(J4385&lt;&gt;1,"",IF(I4385="SBJ","CB","?"))</f>
        <v> </v>
      </c>
      <c r="I4385" s="25" t="str">
        <f>IF(OR(E4385="",E4385="!!!",F4385="NEW"),"",INDEX(B4384:B$2,-1+SUMPRODUCT(MAX(ROW(E4384:E$2)*(E4385=E4384:E$2)))))</f>
        <v> </v>
      </c>
      <c r="J4385" s="25" t="str">
        <f>IF(OR(E4385="",E4385="!!!",F4385="NEW"),"",COUNTBLANK(OFFSET(A$1,,,SUMPRODUCT(MAX(ROW(E$2:E4385)*(E4385=E$2:E4385)))))-COUNTBLANK(OFFSET(A$1,,,SUMPRODUCT(MAX(ROW(E$1:E4384)*(E2=E$1:E4384))))))</f>
        <v> </v>
      </c>
      <c r="K4385" s="25" t="str">
        <f>IF(OR(E4385="",E4385="!!!",F4385="NEW"),"",INDEX(J$1:J4384,SUMPRODUCT(MAX(ROW(E$1:E4384)*(E4385=E$1:E4384)))))</f>
        <v> </v>
      </c>
      <c r="L4385" s="26"/>
    </row>
    <row r="4386" spans="1:12">
      <c r="A4386" s="20" t="s">
        <v>1249</v>
      </c>
      <c r="E4386" s="21">
        <f>IF(D4386="?OLD","!!!","")</f>
        <v/>
      </c>
      <c r="F4386" s="22" t="str">
        <f>IF(OR(E4386="",E4386="!!!"),"",IF(NOT(ISNA(VLOOKUP(E4386,E$1:E4385,1,FALSE()))),"OLD",IF(AND(E4386&lt;&gt;"",E4386&lt;&gt;"!!!"),"NEW","")))</f>
        <v> </v>
      </c>
      <c r="G4386" s="23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4" t="str">
        <f>IF(J4386&lt;&gt;1,"",IF(I4386="SBJ","CB","?"))</f>
        <v> </v>
      </c>
      <c r="I4386" s="25" t="str">
        <f>IF(OR(E4386="",E4386="!!!",F4386="NEW"),"",INDEX(B4385:B$2,-1+SUMPRODUCT(MAX(ROW(E4385:E$2)*(E4386=E4385:E$2)))))</f>
        <v> </v>
      </c>
      <c r="J4386" s="25" t="str">
        <f>IF(OR(E4386="",E4386="!!!",F4386="NEW"),"",COUNTBLANK(OFFSET(A$1,,,SUMPRODUCT(MAX(ROW(E$2:E4386)*(E4386=E$2:E4386)))))-COUNTBLANK(OFFSET(A$1,,,SUMPRODUCT(MAX(ROW(E$1:E4385)*(E2=E$1:E4385))))))</f>
        <v> </v>
      </c>
      <c r="K4386" s="25" t="str">
        <f>IF(OR(E4386="",E4386="!!!",F4386="NEW"),"",INDEX(J$1:J4385,SUMPRODUCT(MAX(ROW(E$1:E4385)*(E4386=E$1:E4385)))))</f>
        <v> </v>
      </c>
      <c r="L4386" s="26"/>
    </row>
    <row r="4387" spans="1:12">
      <c r="A4387" s="20" t="s">
        <v>3039</v>
      </c>
      <c r="E4387" s="21">
        <f>IF(D4387="?OLD","!!!","")</f>
        <v/>
      </c>
      <c r="F4387" s="22" t="str">
        <f>IF(OR(E4387="",E4387="!!!"),"",IF(NOT(ISNA(VLOOKUP(E4387,E$1:E4386,1,FALSE()))),"OLD",IF(AND(E4387&lt;&gt;"",E4387&lt;&gt;"!!!"),"NEW","")))</f>
        <v> </v>
      </c>
      <c r="G4387" s="23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4" t="str">
        <f>IF(J4387&lt;&gt;1,"",IF(I4387="SBJ","CB","?"))</f>
        <v> </v>
      </c>
      <c r="I4387" s="25" t="str">
        <f>IF(OR(E4387="",E4387="!!!",F4387="NEW"),"",INDEX(B4386:B$2,-1+SUMPRODUCT(MAX(ROW(E4386:E$2)*(E4387=E4386:E$2)))))</f>
        <v> </v>
      </c>
      <c r="J4387" s="25" t="str">
        <f>IF(OR(E4387="",E4387="!!!",F4387="NEW"),"",COUNTBLANK(OFFSET(A$1,,,SUMPRODUCT(MAX(ROW(E$2:E4387)*(E4387=E$2:E4387)))))-COUNTBLANK(OFFSET(A$1,,,SUMPRODUCT(MAX(ROW(E$1:E4386)*(E2=E$1:E4386))))))</f>
        <v> </v>
      </c>
      <c r="K4387" s="25" t="str">
        <f>IF(OR(E4387="",E4387="!!!",F4387="NEW"),"",INDEX(J$1:J4386,SUMPRODUCT(MAX(ROW(E$1:E4386)*(E4387=E$1:E4386)))))</f>
        <v> </v>
      </c>
      <c r="L4387" s="26"/>
    </row>
    <row r="4388" spans="1:12">
      <c r="A4388" s="20" t="s">
        <v>3040</v>
      </c>
      <c r="E4388" s="21">
        <f>IF(D4388="?OLD","!!!","")</f>
        <v/>
      </c>
      <c r="F4388" s="22" t="str">
        <f>IF(OR(E4388="",E4388="!!!"),"",IF(NOT(ISNA(VLOOKUP(E4388,E$1:E4387,1,FALSE()))),"OLD",IF(AND(E4388&lt;&gt;"",E4388&lt;&gt;"!!!"),"NEW","")))</f>
        <v> </v>
      </c>
      <c r="G4388" s="23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4" t="str">
        <f>IF(J4388&lt;&gt;1,"",IF(I4388="SBJ","CB","?"))</f>
        <v> </v>
      </c>
      <c r="I4388" s="25" t="str">
        <f>IF(OR(E4388="",E4388="!!!",F4388="NEW"),"",INDEX(B4387:B$2,-1+SUMPRODUCT(MAX(ROW(E4387:E$2)*(E4388=E4387:E$2)))))</f>
        <v> </v>
      </c>
      <c r="J4388" s="25" t="str">
        <f>IF(OR(E4388="",E4388="!!!",F4388="NEW"),"",COUNTBLANK(OFFSET(A$1,,,SUMPRODUCT(MAX(ROW(E$2:E4388)*(E4388=E$2:E4388)))))-COUNTBLANK(OFFSET(A$1,,,SUMPRODUCT(MAX(ROW(E$1:E4387)*(E2=E$1:E4387))))))</f>
        <v> </v>
      </c>
      <c r="K4388" s="25" t="str">
        <f>IF(OR(E4388="",E4388="!!!",F4388="NEW"),"",INDEX(J$1:J4387,SUMPRODUCT(MAX(ROW(E$1:E4387)*(E4388=E$1:E4387)))))</f>
        <v> </v>
      </c>
      <c r="L4388" s="26"/>
    </row>
    <row r="4389" spans="1:12">
      <c r="A4389" s="20" t="s">
        <v>1145</v>
      </c>
      <c r="E4389" s="21">
        <f>IF(D4389="?OLD","!!!","")</f>
        <v/>
      </c>
      <c r="F4389" s="22" t="str">
        <f>IF(OR(E4389="",E4389="!!!"),"",IF(NOT(ISNA(VLOOKUP(E4389,E$1:E4388,1,FALSE()))),"OLD",IF(AND(E4389&lt;&gt;"",E4389&lt;&gt;"!!!"),"NEW","")))</f>
        <v> </v>
      </c>
      <c r="G4389" s="23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4" t="str">
        <f>IF(J4389&lt;&gt;1,"",IF(I4389="SBJ","CB","?"))</f>
        <v> </v>
      </c>
      <c r="I4389" s="25" t="str">
        <f>IF(OR(E4389="",E4389="!!!",F4389="NEW"),"",INDEX(B4388:B$2,-1+SUMPRODUCT(MAX(ROW(E4388:E$2)*(E4389=E4388:E$2)))))</f>
        <v> </v>
      </c>
      <c r="J4389" s="25" t="str">
        <f>IF(OR(E4389="",E4389="!!!",F4389="NEW"),"",COUNTBLANK(OFFSET(A$1,,,SUMPRODUCT(MAX(ROW(E$2:E4389)*(E4389=E$2:E4389)))))-COUNTBLANK(OFFSET(A$1,,,SUMPRODUCT(MAX(ROW(E$1:E4388)*(E2=E$1:E4388))))))</f>
        <v> </v>
      </c>
      <c r="K4389" s="25" t="str">
        <f>IF(OR(E4389="",E4389="!!!",F4389="NEW"),"",INDEX(J$1:J4388,SUMPRODUCT(MAX(ROW(E$1:E4388)*(E4389=E$1:E4388)))))</f>
        <v> </v>
      </c>
      <c r="L4389" s="26"/>
    </row>
    <row r="4390" spans="1:12">
      <c r="A4390" s="20"/>
    </row>
    <row r="4391" spans="1:12">
      <c r="A4391" s="20" t="s">
        <v>3041</v>
      </c>
    </row>
    <row r="4392" spans="1:12">
      <c r="A4392" s="20" t="s">
        <v>1368</v>
      </c>
      <c r="E4392" s="21">
        <f>IF(D4392="?OLD","!!!","")</f>
        <v/>
      </c>
      <c r="F4392" s="22" t="str">
        <f>IF(OR(E4392="",E4392="!!!"),"",IF(NOT(ISNA(VLOOKUP(E4392,E$1:E4391,1,FALSE()))),"OLD",IF(AND(E4392&lt;&gt;"",E4392&lt;&gt;"!!!"),"NEW","")))</f>
        <v> </v>
      </c>
      <c r="G4392" s="23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4" t="str">
        <f>IF(J4392&lt;&gt;1,"",IF(I4392="SBJ","CB","?"))</f>
        <v> </v>
      </c>
      <c r="I4392" s="25" t="str">
        <f>IF(OR(E4392="",E4392="!!!",F4392="NEW"),"",INDEX(B4391:B$2,-1+SUMPRODUCT(MAX(ROW(E4391:E$2)*(E4392=E4391:E$2)))))</f>
        <v> </v>
      </c>
      <c r="J4392" s="25" t="str">
        <f>IF(OR(E4392="",E4392="!!!",F4392="NEW"),"",COUNTBLANK(OFFSET(A$1,,,SUMPRODUCT(MAX(ROW(E$2:E4392)*(E4392=E$2:E4392)))))-COUNTBLANK(OFFSET(A$1,,,SUMPRODUCT(MAX(ROW(E$1:E4391)*(E2=E$1:E4391))))))</f>
        <v> </v>
      </c>
      <c r="K4392" s="25" t="str">
        <f>IF(OR(E4392="",E4392="!!!",F4392="NEW"),"",INDEX(J$1:J4391,SUMPRODUCT(MAX(ROW(E$1:E4391)*(E4392=E$1:E4391)))))</f>
        <v> </v>
      </c>
      <c r="L4392" s="26"/>
    </row>
    <row r="4393" spans="1:12">
      <c r="A4393" s="20" t="s">
        <v>396</v>
      </c>
      <c r="E4393" s="21">
        <f>IF(D4393="?OLD","!!!","")</f>
        <v/>
      </c>
      <c r="F4393" s="22" t="str">
        <f>IF(OR(E4393="",E4393="!!!"),"",IF(NOT(ISNA(VLOOKUP(E4393,E$1:E4392,1,FALSE()))),"OLD",IF(AND(E4393&lt;&gt;"",E4393&lt;&gt;"!!!"),"NEW","")))</f>
        <v> </v>
      </c>
      <c r="G4393" s="23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4" t="str">
        <f>IF(J4393&lt;&gt;1,"",IF(I4393="SBJ","CB","?"))</f>
        <v> </v>
      </c>
      <c r="I4393" s="25" t="str">
        <f>IF(OR(E4393="",E4393="!!!",F4393="NEW"),"",INDEX(B4392:B$2,-1+SUMPRODUCT(MAX(ROW(E4392:E$2)*(E4393=E4392:E$2)))))</f>
        <v> </v>
      </c>
      <c r="J4393" s="25" t="str">
        <f>IF(OR(E4393="",E4393="!!!",F4393="NEW"),"",COUNTBLANK(OFFSET(A$1,,,SUMPRODUCT(MAX(ROW(E$2:E4393)*(E4393=E$2:E4393)))))-COUNTBLANK(OFFSET(A$1,,,SUMPRODUCT(MAX(ROW(E$1:E4392)*(E2=E$1:E4392))))))</f>
        <v> </v>
      </c>
      <c r="K4393" s="25" t="str">
        <f>IF(OR(E4393="",E4393="!!!",F4393="NEW"),"",INDEX(J$1:J4392,SUMPRODUCT(MAX(ROW(E$1:E4392)*(E4393=E$1:E4392)))))</f>
        <v> </v>
      </c>
      <c r="L4393" s="26"/>
    </row>
    <row r="4394" spans="1:12">
      <c r="A4394" s="20" t="s">
        <v>1174</v>
      </c>
      <c r="E4394" s="21">
        <f>IF(D4394="?OLD","!!!","")</f>
        <v/>
      </c>
      <c r="F4394" s="22" t="str">
        <f>IF(OR(E4394="",E4394="!!!"),"",IF(NOT(ISNA(VLOOKUP(E4394,E$1:E4393,1,FALSE()))),"OLD",IF(AND(E4394&lt;&gt;"",E4394&lt;&gt;"!!!"),"NEW","")))</f>
        <v> </v>
      </c>
      <c r="G4394" s="23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4" t="str">
        <f>IF(J4394&lt;&gt;1,"",IF(I4394="SBJ","CB","?"))</f>
        <v> </v>
      </c>
      <c r="I4394" s="25" t="str">
        <f>IF(OR(E4394="",E4394="!!!",F4394="NEW"),"",INDEX(B4393:B$2,-1+SUMPRODUCT(MAX(ROW(E4393:E$2)*(E4394=E4393:E$2)))))</f>
        <v> </v>
      </c>
      <c r="J4394" s="25" t="str">
        <f>IF(OR(E4394="",E4394="!!!",F4394="NEW"),"",COUNTBLANK(OFFSET(A$1,,,SUMPRODUCT(MAX(ROW(E$2:E4394)*(E4394=E$2:E4394)))))-COUNTBLANK(OFFSET(A$1,,,SUMPRODUCT(MAX(ROW(E$1:E4393)*(E2=E$1:E4393))))))</f>
        <v> </v>
      </c>
      <c r="K4394" s="25" t="str">
        <f>IF(OR(E4394="",E4394="!!!",F4394="NEW"),"",INDEX(J$1:J4393,SUMPRODUCT(MAX(ROW(E$1:E4393)*(E4394=E$1:E4393)))))</f>
        <v> </v>
      </c>
      <c r="L4394" s="26"/>
    </row>
    <row r="4395" spans="1:12">
      <c r="A4395" s="20" t="s">
        <v>1055</v>
      </c>
      <c r="B4395" s="27" t="s">
        <v>1103</v>
      </c>
      <c r="C4395" s="27" t="s">
        <v>1156</v>
      </c>
      <c r="D4395" s="27" t="s">
        <v>1105</v>
      </c>
      <c r="E4395" s="21">
        <f>IF(D4395="?OLD","!!!","")</f>
        <v/>
      </c>
      <c r="F4395" s="22" t="str">
        <f>IF(OR(E4395="",E4395="!!!"),"",IF(NOT(ISNA(VLOOKUP(E4395,E$1:E4394,1,FALSE()))),"OLD",IF(AND(E4395&lt;&gt;"",E4395&lt;&gt;"!!!"),"NEW","")))</f>
        <v> </v>
      </c>
      <c r="G4395" s="23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4" t="str">
        <f>IF(J4395&lt;&gt;1,"",IF(I4395="SBJ","CB","?"))</f>
        <v> </v>
      </c>
      <c r="I4395" s="25" t="str">
        <f>IF(OR(E4395="",E4395="!!!",F4395="NEW"),"",INDEX(B4394:B$2,-1+SUMPRODUCT(MAX(ROW(E4394:E$2)*(E4395=E4394:E$2)))))</f>
        <v> </v>
      </c>
      <c r="J4395" s="25" t="str">
        <f>IF(OR(E4395="",E4395="!!!",F4395="NEW"),"",COUNTBLANK(OFFSET(A$1,,,SUMPRODUCT(MAX(ROW(E$2:E4395)*(E4395=E$2:E4395)))))-COUNTBLANK(OFFSET(A$1,,,SUMPRODUCT(MAX(ROW(E$1:E4394)*(E2=E$1:E4394))))))</f>
        <v> </v>
      </c>
      <c r="K4395" s="25" t="str">
        <f>IF(OR(E4395="",E4395="!!!",F4395="NEW"),"",INDEX(J$1:J4394,SUMPRODUCT(MAX(ROW(E$1:E4394)*(E4395=E$1:E4394)))))</f>
        <v> </v>
      </c>
      <c r="L4395" s="26"/>
    </row>
    <row r="4396" spans="1:12">
      <c r="A4396" s="20" t="s">
        <v>1184</v>
      </c>
      <c r="E4396" s="21">
        <f>IF(D4396="?OLD","!!!","")</f>
        <v/>
      </c>
      <c r="F4396" s="22" t="str">
        <f>IF(OR(E4396="",E4396="!!!"),"",IF(NOT(ISNA(VLOOKUP(E4396,E$1:E4395,1,FALSE()))),"OLD",IF(AND(E4396&lt;&gt;"",E4396&lt;&gt;"!!!"),"NEW","")))</f>
        <v> </v>
      </c>
      <c r="G4396" s="23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4" t="str">
        <f>IF(J4396&lt;&gt;1,"",IF(I4396="SBJ","CB","?"))</f>
        <v> </v>
      </c>
      <c r="I4396" s="25" t="str">
        <f>IF(OR(E4396="",E4396="!!!",F4396="NEW"),"",INDEX(B4395:B$2,-1+SUMPRODUCT(MAX(ROW(E4395:E$2)*(E4396=E4395:E$2)))))</f>
        <v> </v>
      </c>
      <c r="J4396" s="25" t="str">
        <f>IF(OR(E4396="",E4396="!!!",F4396="NEW"),"",COUNTBLANK(OFFSET(A$1,,,SUMPRODUCT(MAX(ROW(E$2:E4396)*(E4396=E$2:E4396)))))-COUNTBLANK(OFFSET(A$1,,,SUMPRODUCT(MAX(ROW(E$1:E4395)*(E2=E$1:E4395))))))</f>
        <v> </v>
      </c>
      <c r="K4396" s="25" t="str">
        <f>IF(OR(E4396="",E4396="!!!",F4396="NEW"),"",INDEX(J$1:J4395,SUMPRODUCT(MAX(ROW(E$1:E4395)*(E4396=E$1:E4395)))))</f>
        <v> </v>
      </c>
      <c r="L4396" s="26"/>
    </row>
    <row r="4397" spans="1:12">
      <c r="A4397" s="20" t="s">
        <v>3042</v>
      </c>
      <c r="E4397" s="21">
        <f>IF(D4397="?OLD","!!!","")</f>
        <v/>
      </c>
      <c r="F4397" s="22" t="str">
        <f>IF(OR(E4397="",E4397="!!!"),"",IF(NOT(ISNA(VLOOKUP(E4397,E$1:E4396,1,FALSE()))),"OLD",IF(AND(E4397&lt;&gt;"",E4397&lt;&gt;"!!!"),"NEW","")))</f>
        <v> </v>
      </c>
      <c r="G4397" s="23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4" t="str">
        <f>IF(J4397&lt;&gt;1,"",IF(I4397="SBJ","CB","?"))</f>
        <v> </v>
      </c>
      <c r="I4397" s="25" t="str">
        <f>IF(OR(E4397="",E4397="!!!",F4397="NEW"),"",INDEX(B4396:B$2,-1+SUMPRODUCT(MAX(ROW(E4396:E$2)*(E4397=E4396:E$2)))))</f>
        <v> </v>
      </c>
      <c r="J4397" s="25" t="str">
        <f>IF(OR(E4397="",E4397="!!!",F4397="NEW"),"",COUNTBLANK(OFFSET(A$1,,,SUMPRODUCT(MAX(ROW(E$2:E4397)*(E4397=E$2:E4397)))))-COUNTBLANK(OFFSET(A$1,,,SUMPRODUCT(MAX(ROW(E$1:E4396)*(E2=E$1:E4396))))))</f>
        <v> </v>
      </c>
      <c r="K4397" s="25" t="str">
        <f>IF(OR(E4397="",E4397="!!!",F4397="NEW"),"",INDEX(J$1:J4396,SUMPRODUCT(MAX(ROW(E$1:E4396)*(E4397=E$1:E4396)))))</f>
        <v> </v>
      </c>
      <c r="L4397" s="26"/>
    </row>
    <row r="4398" spans="1:12">
      <c r="A4398" s="20" t="s">
        <v>1111</v>
      </c>
      <c r="E4398" s="21">
        <f>IF(D4398="?OLD","!!!","")</f>
        <v/>
      </c>
      <c r="F4398" s="22" t="str">
        <f>IF(OR(E4398="",E4398="!!!"),"",IF(NOT(ISNA(VLOOKUP(E4398,E$1:E4397,1,FALSE()))),"OLD",IF(AND(E4398&lt;&gt;"",E4398&lt;&gt;"!!!"),"NEW","")))</f>
        <v> </v>
      </c>
      <c r="G4398" s="23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4" t="str">
        <f>IF(J4398&lt;&gt;1,"",IF(I4398="SBJ","CB","?"))</f>
        <v> </v>
      </c>
      <c r="I4398" s="25" t="str">
        <f>IF(OR(E4398="",E4398="!!!",F4398="NEW"),"",INDEX(B4397:B$2,-1+SUMPRODUCT(MAX(ROW(E4397:E$2)*(E4398=E4397:E$2)))))</f>
        <v> </v>
      </c>
      <c r="J4398" s="25" t="str">
        <f>IF(OR(E4398="",E4398="!!!",F4398="NEW"),"",COUNTBLANK(OFFSET(A$1,,,SUMPRODUCT(MAX(ROW(E$2:E4398)*(E4398=E$2:E4398)))))-COUNTBLANK(OFFSET(A$1,,,SUMPRODUCT(MAX(ROW(E$1:E4397)*(E2=E$1:E4397))))))</f>
        <v> </v>
      </c>
      <c r="K4398" s="25" t="str">
        <f>IF(OR(E4398="",E4398="!!!",F4398="NEW"),"",INDEX(J$1:J4397,SUMPRODUCT(MAX(ROW(E$1:E4397)*(E4398=E$1:E4397)))))</f>
        <v> </v>
      </c>
      <c r="L4398" s="26"/>
    </row>
    <row r="4399" spans="1:12">
      <c r="A4399" s="20" t="s">
        <v>1909</v>
      </c>
      <c r="E4399" s="21">
        <f>IF(D4399="?OLD","!!!","")</f>
        <v/>
      </c>
      <c r="F4399" s="22" t="str">
        <f>IF(OR(E4399="",E4399="!!!"),"",IF(NOT(ISNA(VLOOKUP(E4399,E$1:E4398,1,FALSE()))),"OLD",IF(AND(E4399&lt;&gt;"",E4399&lt;&gt;"!!!"),"NEW","")))</f>
        <v> </v>
      </c>
      <c r="G4399" s="23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4" t="str">
        <f>IF(J4399&lt;&gt;1,"",IF(I4399="SBJ","CB","?"))</f>
        <v> </v>
      </c>
      <c r="I4399" s="25" t="str">
        <f>IF(OR(E4399="",E4399="!!!",F4399="NEW"),"",INDEX(B4398:B$2,-1+SUMPRODUCT(MAX(ROW(E4398:E$2)*(E4399=E4398:E$2)))))</f>
        <v> </v>
      </c>
      <c r="J4399" s="25" t="str">
        <f>IF(OR(E4399="",E4399="!!!",F4399="NEW"),"",COUNTBLANK(OFFSET(A$1,,,SUMPRODUCT(MAX(ROW(E$2:E4399)*(E4399=E$2:E4399)))))-COUNTBLANK(OFFSET(A$1,,,SUMPRODUCT(MAX(ROW(E$1:E4398)*(E2=E$1:E4398))))))</f>
        <v> </v>
      </c>
      <c r="K4399" s="25" t="str">
        <f>IF(OR(E4399="",E4399="!!!",F4399="NEW"),"",INDEX(J$1:J4398,SUMPRODUCT(MAX(ROW(E$1:E4398)*(E4399=E$1:E4398)))))</f>
        <v> </v>
      </c>
      <c r="L4399" s="26"/>
    </row>
    <row r="4400" spans="1:12">
      <c r="A4400" s="20" t="s">
        <v>3043</v>
      </c>
      <c r="E4400" s="21">
        <f>IF(D4400="?OLD","!!!","")</f>
        <v/>
      </c>
      <c r="F4400" s="22" t="str">
        <f>IF(OR(E4400="",E4400="!!!"),"",IF(NOT(ISNA(VLOOKUP(E4400,E$1:E4399,1,FALSE()))),"OLD",IF(AND(E4400&lt;&gt;"",E4400&lt;&gt;"!!!"),"NEW","")))</f>
        <v> </v>
      </c>
      <c r="G4400" s="23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4" t="str">
        <f>IF(J4400&lt;&gt;1,"",IF(I4400="SBJ","CB","?"))</f>
        <v> </v>
      </c>
      <c r="I4400" s="25" t="str">
        <f>IF(OR(E4400="",E4400="!!!",F4400="NEW"),"",INDEX(B4399:B$2,-1+SUMPRODUCT(MAX(ROW(E4399:E$2)*(E4400=E4399:E$2)))))</f>
        <v> </v>
      </c>
      <c r="J4400" s="25" t="str">
        <f>IF(OR(E4400="",E4400="!!!",F4400="NEW"),"",COUNTBLANK(OFFSET(A$1,,,SUMPRODUCT(MAX(ROW(E$2:E4400)*(E4400=E$2:E4400)))))-COUNTBLANK(OFFSET(A$1,,,SUMPRODUCT(MAX(ROW(E$1:E4399)*(E2=E$1:E4399))))))</f>
        <v> </v>
      </c>
      <c r="K4400" s="25" t="str">
        <f>IF(OR(E4400="",E4400="!!!",F4400="NEW"),"",INDEX(J$1:J4399,SUMPRODUCT(MAX(ROW(E$1:E4399)*(E4400=E$1:E4399)))))</f>
        <v> </v>
      </c>
      <c r="L4400" s="26"/>
    </row>
    <row r="4401" spans="1:12">
      <c r="A4401" s="20" t="s">
        <v>3044</v>
      </c>
      <c r="E4401" s="21">
        <f>IF(D4401="?OLD","!!!","")</f>
        <v/>
      </c>
      <c r="F4401" s="22" t="str">
        <f>IF(OR(E4401="",E4401="!!!"),"",IF(NOT(ISNA(VLOOKUP(E4401,E$1:E4400,1,FALSE()))),"OLD",IF(AND(E4401&lt;&gt;"",E4401&lt;&gt;"!!!"),"NEW","")))</f>
        <v> </v>
      </c>
      <c r="G4401" s="23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4" t="str">
        <f>IF(J4401&lt;&gt;1,"",IF(I4401="SBJ","CB","?"))</f>
        <v> </v>
      </c>
      <c r="I4401" s="25" t="str">
        <f>IF(OR(E4401="",E4401="!!!",F4401="NEW"),"",INDEX(B4400:B$2,-1+SUMPRODUCT(MAX(ROW(E4400:E$2)*(E4401=E4400:E$2)))))</f>
        <v> </v>
      </c>
      <c r="J4401" s="25" t="str">
        <f>IF(OR(E4401="",E4401="!!!",F4401="NEW"),"",COUNTBLANK(OFFSET(A$1,,,SUMPRODUCT(MAX(ROW(E$2:E4401)*(E4401=E$2:E4401)))))-COUNTBLANK(OFFSET(A$1,,,SUMPRODUCT(MAX(ROW(E$1:E4400)*(E2=E$1:E4400))))))</f>
        <v> </v>
      </c>
      <c r="K4401" s="25" t="str">
        <f>IF(OR(E4401="",E4401="!!!",F4401="NEW"),"",INDEX(J$1:J4400,SUMPRODUCT(MAX(ROW(E$1:E4400)*(E4401=E$1:E4400)))))</f>
        <v> </v>
      </c>
      <c r="L4401" s="26"/>
    </row>
    <row r="4402" spans="1:12">
      <c r="A4402" s="20" t="s">
        <v>3045</v>
      </c>
      <c r="B4402" s="27" t="s">
        <v>1103</v>
      </c>
      <c r="C4402" s="27" t="s">
        <v>1156</v>
      </c>
      <c r="D4402" s="27" t="s">
        <v>1105</v>
      </c>
      <c r="E4402" s="21">
        <f>IF(D4402="?OLD","!!!","")</f>
        <v/>
      </c>
      <c r="F4402" s="22" t="str">
        <f>IF(OR(E4402="",E4402="!!!"),"",IF(NOT(ISNA(VLOOKUP(E4402,E$1:E4401,1,FALSE()))),"OLD",IF(AND(E4402&lt;&gt;"",E4402&lt;&gt;"!!!"),"NEW","")))</f>
        <v> </v>
      </c>
      <c r="G4402" s="23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4" t="str">
        <f>IF(J4402&lt;&gt;1,"",IF(I4402="SBJ","CB","?"))</f>
        <v> </v>
      </c>
      <c r="I4402" s="25" t="str">
        <f>IF(OR(E4402="",E4402="!!!",F4402="NEW"),"",INDEX(B4401:B$2,-1+SUMPRODUCT(MAX(ROW(E4401:E$2)*(E4402=E4401:E$2)))))</f>
        <v> </v>
      </c>
      <c r="J4402" s="25" t="str">
        <f>IF(OR(E4402="",E4402="!!!",F4402="NEW"),"",COUNTBLANK(OFFSET(A$1,,,SUMPRODUCT(MAX(ROW(E$2:E4402)*(E4402=E$2:E4402)))))-COUNTBLANK(OFFSET(A$1,,,SUMPRODUCT(MAX(ROW(E$1:E4401)*(E2=E$1:E4401))))))</f>
        <v> </v>
      </c>
      <c r="K4402" s="25" t="str">
        <f>IF(OR(E4402="",E4402="!!!",F4402="NEW"),"",INDEX(J$1:J4401,SUMPRODUCT(MAX(ROW(E$1:E4401)*(E4402=E$1:E4401)))))</f>
        <v> </v>
      </c>
      <c r="L4402" s="26"/>
    </row>
    <row r="4403" spans="1:12">
      <c r="A4403" s="20" t="s">
        <v>1123</v>
      </c>
      <c r="E4403" s="21">
        <f>IF(D4403="?OLD","!!!","")</f>
        <v/>
      </c>
      <c r="F4403" s="22" t="str">
        <f>IF(OR(E4403="",E4403="!!!"),"",IF(NOT(ISNA(VLOOKUP(E4403,E$1:E4402,1,FALSE()))),"OLD",IF(AND(E4403&lt;&gt;"",E4403&lt;&gt;"!!!"),"NEW","")))</f>
        <v> </v>
      </c>
      <c r="G4403" s="23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4" t="str">
        <f>IF(J4403&lt;&gt;1,"",IF(I4403="SBJ","CB","?"))</f>
        <v> </v>
      </c>
      <c r="I4403" s="25" t="str">
        <f>IF(OR(E4403="",E4403="!!!",F4403="NEW"),"",INDEX(B4402:B$2,-1+SUMPRODUCT(MAX(ROW(E4402:E$2)*(E4403=E4402:E$2)))))</f>
        <v> </v>
      </c>
      <c r="J4403" s="25" t="str">
        <f>IF(OR(E4403="",E4403="!!!",F4403="NEW"),"",COUNTBLANK(OFFSET(A$1,,,SUMPRODUCT(MAX(ROW(E$2:E4403)*(E4403=E$2:E4403)))))-COUNTBLANK(OFFSET(A$1,,,SUMPRODUCT(MAX(ROW(E$1:E4402)*(E2=E$1:E4402))))))</f>
        <v> </v>
      </c>
      <c r="K4403" s="25" t="str">
        <f>IF(OR(E4403="",E4403="!!!",F4403="NEW"),"",INDEX(J$1:J4402,SUMPRODUCT(MAX(ROW(E$1:E4402)*(E4403=E$1:E4402)))))</f>
        <v> </v>
      </c>
      <c r="L4403" s="26"/>
    </row>
    <row r="4404" spans="1:12">
      <c r="A4404" s="20" t="s">
        <v>1653</v>
      </c>
      <c r="B4404" s="27" t="s">
        <v>1110</v>
      </c>
      <c r="C4404" s="27" t="s">
        <v>1133</v>
      </c>
      <c r="E4404" s="21">
        <f>IF(D4404="?OLD","!!!","")</f>
        <v/>
      </c>
      <c r="F4404" s="22" t="str">
        <f>IF(OR(E4404="",E4404="!!!"),"",IF(NOT(ISNA(VLOOKUP(E4404,E$1:E4403,1,FALSE()))),"OLD",IF(AND(E4404&lt;&gt;"",E4404&lt;&gt;"!!!"),"NEW","")))</f>
        <v> </v>
      </c>
      <c r="G4404" s="23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4" t="str">
        <f>IF(J4404&lt;&gt;1,"",IF(I4404="SBJ","CB","?"))</f>
        <v> </v>
      </c>
      <c r="I4404" s="25" t="str">
        <f>IF(OR(E4404="",E4404="!!!",F4404="NEW"),"",INDEX(B4403:B$2,-1+SUMPRODUCT(MAX(ROW(E4403:E$2)*(E4404=E4403:E$2)))))</f>
        <v> </v>
      </c>
      <c r="J4404" s="25" t="str">
        <f>IF(OR(E4404="",E4404="!!!",F4404="NEW"),"",COUNTBLANK(OFFSET(A$1,,,SUMPRODUCT(MAX(ROW(E$2:E4404)*(E4404=E$2:E4404)))))-COUNTBLANK(OFFSET(A$1,,,SUMPRODUCT(MAX(ROW(E$1:E4403)*(E2=E$1:E4403))))))</f>
        <v> </v>
      </c>
      <c r="K4404" s="25" t="str">
        <f>IF(OR(E4404="",E4404="!!!",F4404="NEW"),"",INDEX(J$1:J4403,SUMPRODUCT(MAX(ROW(E$1:E4403)*(E4404=E$1:E4403)))))</f>
        <v> </v>
      </c>
      <c r="L4404" s="26"/>
    </row>
    <row r="4405" spans="1:12">
      <c r="A4405" s="20" t="s">
        <v>1124</v>
      </c>
      <c r="B4405" s="27" t="s">
        <v>1259</v>
      </c>
      <c r="C4405" s="27" t="s">
        <v>1126</v>
      </c>
      <c r="D4405" s="27" t="s">
        <v>1105</v>
      </c>
      <c r="E4405" s="21">
        <f>IF(D4405="?OLD","!!!","")</f>
        <v/>
      </c>
      <c r="F4405" s="22" t="str">
        <f>IF(OR(E4405="",E4405="!!!"),"",IF(NOT(ISNA(VLOOKUP(E4405,E$1:E4404,1,FALSE()))),"OLD",IF(AND(E4405&lt;&gt;"",E4405&lt;&gt;"!!!"),"NEW","")))</f>
        <v> </v>
      </c>
      <c r="G4405" s="23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4" t="str">
        <f>IF(J4405&lt;&gt;1,"",IF(I4405="SBJ","CB","?"))</f>
        <v> </v>
      </c>
      <c r="I4405" s="25" t="str">
        <f>IF(OR(E4405="",E4405="!!!",F4405="NEW"),"",INDEX(B4404:B$2,-1+SUMPRODUCT(MAX(ROW(E4404:E$2)*(E4405=E4404:E$2)))))</f>
        <v> </v>
      </c>
      <c r="J4405" s="25" t="str">
        <f>IF(OR(E4405="",E4405="!!!",F4405="NEW"),"",COUNTBLANK(OFFSET(A$1,,,SUMPRODUCT(MAX(ROW(E$2:E4405)*(E4405=E$2:E4405)))))-COUNTBLANK(OFFSET(A$1,,,SUMPRODUCT(MAX(ROW(E$1:E4404)*(E2=E$1:E4404))))))</f>
        <v> </v>
      </c>
      <c r="K4405" s="25" t="str">
        <f>IF(OR(E4405="",E4405="!!!",F4405="NEW"),"",INDEX(J$1:J4404,SUMPRODUCT(MAX(ROW(E$1:E4404)*(E4405=E$1:E4404)))))</f>
        <v> </v>
      </c>
      <c r="L4405" s="26"/>
    </row>
    <row r="4406" spans="1:12">
      <c r="A4406" s="20" t="s">
        <v>3046</v>
      </c>
      <c r="E4406" s="21">
        <f>IF(D4406="?OLD","!!!","")</f>
        <v/>
      </c>
      <c r="F4406" s="22" t="str">
        <f>IF(OR(E4406="",E4406="!!!"),"",IF(NOT(ISNA(VLOOKUP(E4406,E$1:E4405,1,FALSE()))),"OLD",IF(AND(E4406&lt;&gt;"",E4406&lt;&gt;"!!!"),"NEW","")))</f>
        <v> </v>
      </c>
      <c r="G4406" s="23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4" t="str">
        <f>IF(J4406&lt;&gt;1,"",IF(I4406="SBJ","CB","?"))</f>
        <v> </v>
      </c>
      <c r="I4406" s="25" t="str">
        <f>IF(OR(E4406="",E4406="!!!",F4406="NEW"),"",INDEX(B4405:B$2,-1+SUMPRODUCT(MAX(ROW(E4405:E$2)*(E4406=E4405:E$2)))))</f>
        <v> </v>
      </c>
      <c r="J4406" s="25" t="str">
        <f>IF(OR(E4406="",E4406="!!!",F4406="NEW"),"",COUNTBLANK(OFFSET(A$1,,,SUMPRODUCT(MAX(ROW(E$2:E4406)*(E4406=E$2:E4406)))))-COUNTBLANK(OFFSET(A$1,,,SUMPRODUCT(MAX(ROW(E$1:E4405)*(E2=E$1:E4405))))))</f>
        <v> </v>
      </c>
      <c r="K4406" s="25" t="str">
        <f>IF(OR(E4406="",E4406="!!!",F4406="NEW"),"",INDEX(J$1:J4405,SUMPRODUCT(MAX(ROW(E$1:E4405)*(E4406=E$1:E4405)))))</f>
        <v> </v>
      </c>
      <c r="L4406" s="26"/>
    </row>
    <row r="4407" spans="1:12">
      <c r="A4407" s="20" t="s">
        <v>2938</v>
      </c>
      <c r="E4407" s="21">
        <f>IF(D4407="?OLD","!!!","")</f>
        <v/>
      </c>
      <c r="F4407" s="22" t="str">
        <f>IF(OR(E4407="",E4407="!!!"),"",IF(NOT(ISNA(VLOOKUP(E4407,E$1:E4406,1,FALSE()))),"OLD",IF(AND(E4407&lt;&gt;"",E4407&lt;&gt;"!!!"),"NEW","")))</f>
        <v> </v>
      </c>
      <c r="G4407" s="23" t="str">
        <f>IF(OR(E4407="",E4407="!!!"),"",IF(OR(J4407=0,AND(J4407=1,K4407=1),AND(J4407=1,I4407="SBJ"),AND(J4407=1,I4407=0)),"?IN_FOCUS",IF(J4407&lt;=2,"?ACTIVATED",IF(J4407&lt;&gt;"","?FAMILIAR",IF(F4407="NEW",IF(ISNA(VLOOKUP(E4407,#REF!,1,FALSE())),"?TYPE_IDENTIFIABLE","?REFERENTIAL"),"_")))))</f>
        <v> </v>
      </c>
      <c r="H4407" s="24" t="str">
        <f>IF(J4407&lt;&gt;1,"",IF(I4407="SBJ","CB","?"))</f>
        <v> </v>
      </c>
      <c r="I4407" s="25" t="str">
        <f>IF(OR(E4407="",E4407="!!!",F4407="NEW"),"",INDEX(B4406:B$2,-1+SUMPRODUCT(MAX(ROW(E4406:E$2)*(E4407=E4406:E$2)))))</f>
        <v> </v>
      </c>
      <c r="J4407" s="25" t="str">
        <f>IF(OR(E4407="",E4407="!!!",F4407="NEW"),"",COUNTBLANK(OFFSET(A$1,,,SUMPRODUCT(MAX(ROW(E$2:E4407)*(E4407=E$2:E4407)))))-COUNTBLANK(OFFSET(A$1,,,SUMPRODUCT(MAX(ROW(E$1:E4406)*(E2=E$1:E4406))))))</f>
        <v> </v>
      </c>
      <c r="K4407" s="25" t="str">
        <f>IF(OR(E4407="",E4407="!!!",F4407="NEW"),"",INDEX(J$1:J4406,SUMPRODUCT(MAX(ROW(E$1:E4406)*(E4407=E$1:E4406)))))</f>
        <v> </v>
      </c>
      <c r="L4407" s="26"/>
    </row>
    <row r="4408" spans="1:12">
      <c r="A4408" s="20" t="s">
        <v>2991</v>
      </c>
      <c r="B4408" s="27" t="s">
        <v>1115</v>
      </c>
      <c r="E4408" s="21">
        <f>IF(D4408="?OLD","!!!","")</f>
        <v/>
      </c>
      <c r="F4408" s="22" t="str">
        <f>IF(OR(E4408="",E4408="!!!"),"",IF(NOT(ISNA(VLOOKUP(E4408,E$1:E4407,1,FALSE()))),"OLD",IF(AND(E4408&lt;&gt;"",E4408&lt;&gt;"!!!"),"NEW","")))</f>
        <v> </v>
      </c>
      <c r="G4408" s="23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4" t="str">
        <f>IF(J4408&lt;&gt;1,"",IF(I4408="SBJ","CB","?"))</f>
        <v> </v>
      </c>
      <c r="I4408" s="25" t="str">
        <f>IF(OR(E4408="",E4408="!!!",F4408="NEW"),"",INDEX(B4407:B$2,-1+SUMPRODUCT(MAX(ROW(E4407:E$2)*(E4408=E4407:E$2)))))</f>
        <v> </v>
      </c>
      <c r="J4408" s="25" t="str">
        <f>IF(OR(E4408="",E4408="!!!",F4408="NEW"),"",COUNTBLANK(OFFSET(A$1,,,SUMPRODUCT(MAX(ROW(E$2:E4408)*(E4408=E$2:E4408)))))-COUNTBLANK(OFFSET(A$1,,,SUMPRODUCT(MAX(ROW(E$1:E4407)*(E2=E$1:E4407))))))</f>
        <v> </v>
      </c>
      <c r="K4408" s="25" t="str">
        <f>IF(OR(E4408="",E4408="!!!",F4408="NEW"),"",INDEX(J$1:J4407,SUMPRODUCT(MAX(ROW(E$1:E4407)*(E4408=E$1:E4407)))))</f>
        <v> </v>
      </c>
      <c r="L4408" s="26"/>
    </row>
    <row r="4409" spans="1:12">
      <c r="A4409" s="20" t="s">
        <v>1145</v>
      </c>
      <c r="E4409" s="21">
        <f>IF(D4409="?OLD","!!!","")</f>
        <v/>
      </c>
      <c r="F4409" s="22" t="str">
        <f>IF(OR(E4409="",E4409="!!!"),"",IF(NOT(ISNA(VLOOKUP(E4409,E$1:E4408,1,FALSE()))),"OLD",IF(AND(E4409&lt;&gt;"",E4409&lt;&gt;"!!!"),"NEW","")))</f>
        <v> </v>
      </c>
      <c r="G4409" s="23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4" t="str">
        <f>IF(J4409&lt;&gt;1,"",IF(I4409="SBJ","CB","?"))</f>
        <v> </v>
      </c>
      <c r="I4409" s="25" t="str">
        <f>IF(OR(E4409="",E4409="!!!",F4409="NEW"),"",INDEX(B4408:B$2,-1+SUMPRODUCT(MAX(ROW(E4408:E$2)*(E4409=E4408:E$2)))))</f>
        <v> </v>
      </c>
      <c r="J4409" s="25" t="str">
        <f>IF(OR(E4409="",E4409="!!!",F4409="NEW"),"",COUNTBLANK(OFFSET(A$1,,,SUMPRODUCT(MAX(ROW(E$2:E4409)*(E4409=E$2:E4409)))))-COUNTBLANK(OFFSET(A$1,,,SUMPRODUCT(MAX(ROW(E$1:E4408)*(E2=E$1:E4408))))))</f>
        <v> </v>
      </c>
      <c r="K4409" s="25" t="str">
        <f>IF(OR(E4409="",E4409="!!!",F4409="NEW"),"",INDEX(J$1:J4408,SUMPRODUCT(MAX(ROW(E$1:E4408)*(E4409=E$1:E4408)))))</f>
        <v> </v>
      </c>
      <c r="L4409" s="26"/>
    </row>
    <row r="4410" spans="1:12">
      <c r="A4410" s="20"/>
    </row>
    <row r="4411" spans="1:12">
      <c r="A4411" s="20" t="s">
        <v>3047</v>
      </c>
    </row>
    <row r="4412" spans="1:12">
      <c r="A4412" s="20" t="s">
        <v>3048</v>
      </c>
      <c r="B4412" s="27" t="s">
        <v>1213</v>
      </c>
      <c r="C4412" s="27" t="s">
        <v>1126</v>
      </c>
      <c r="D4412" s="27" t="s">
        <v>1105</v>
      </c>
      <c r="E4412" s="21">
        <f>IF(D4412="?OLD","!!!","")</f>
        <v/>
      </c>
      <c r="F4412" s="22" t="str">
        <f>IF(OR(E4412="",E4412="!!!"),"",IF(NOT(ISNA(VLOOKUP(E4412,E$1:E4411,1,FALSE()))),"OLD",IF(AND(E4412&lt;&gt;"",E4412&lt;&gt;"!!!"),"NEW","")))</f>
        <v> </v>
      </c>
      <c r="G4412" s="23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4" t="str">
        <f>IF(J4412&lt;&gt;1,"",IF(I4412="SBJ","CB","?"))</f>
        <v> </v>
      </c>
      <c r="I4412" s="25" t="str">
        <f>IF(OR(E4412="",E4412="!!!",F4412="NEW"),"",INDEX(B4411:B$2,-1+SUMPRODUCT(MAX(ROW(E4411:E$2)*(E4412=E4411:E$2)))))</f>
        <v> </v>
      </c>
      <c r="J4412" s="25" t="str">
        <f>IF(OR(E4412="",E4412="!!!",F4412="NEW"),"",COUNTBLANK(OFFSET(A$1,,,SUMPRODUCT(MAX(ROW(E$2:E4412)*(E4412=E$2:E4412)))))-COUNTBLANK(OFFSET(A$1,,,SUMPRODUCT(MAX(ROW(E$1:E4411)*(E2=E$1:E4411))))))</f>
        <v> </v>
      </c>
      <c r="K4412" s="25" t="str">
        <f>IF(OR(E4412="",E4412="!!!",F4412="NEW"),"",INDEX(J$1:J4411,SUMPRODUCT(MAX(ROW(E$1:E4411)*(E4412=E$1:E4411)))))</f>
        <v> </v>
      </c>
      <c r="L4412" s="26"/>
    </row>
    <row r="4413" spans="1:12">
      <c r="A4413" s="20" t="s">
        <v>3049</v>
      </c>
      <c r="E4413" s="21">
        <f>IF(D4413="?OLD","!!!","")</f>
        <v/>
      </c>
      <c r="F4413" s="22" t="str">
        <f>IF(OR(E4413="",E4413="!!!"),"",IF(NOT(ISNA(VLOOKUP(E4413,E$1:E4412,1,FALSE()))),"OLD",IF(AND(E4413&lt;&gt;"",E4413&lt;&gt;"!!!"),"NEW","")))</f>
        <v> </v>
      </c>
      <c r="G4413" s="23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4" t="str">
        <f>IF(J4413&lt;&gt;1,"",IF(I4413="SBJ","CB","?"))</f>
        <v> </v>
      </c>
      <c r="I4413" s="25" t="str">
        <f>IF(OR(E4413="",E4413="!!!",F4413="NEW"),"",INDEX(B4412:B$2,-1+SUMPRODUCT(MAX(ROW(E4412:E$2)*(E4413=E4412:E$2)))))</f>
        <v> </v>
      </c>
      <c r="J4413" s="25" t="str">
        <f>IF(OR(E4413="",E4413="!!!",F4413="NEW"),"",COUNTBLANK(OFFSET(A$1,,,SUMPRODUCT(MAX(ROW(E$2:E4413)*(E4413=E$2:E4413)))))-COUNTBLANK(OFFSET(A$1,,,SUMPRODUCT(MAX(ROW(E$1:E4412)*(E2=E$1:E4412))))))</f>
        <v> </v>
      </c>
      <c r="K4413" s="25" t="str">
        <f>IF(OR(E4413="",E4413="!!!",F4413="NEW"),"",INDEX(J$1:J4412,SUMPRODUCT(MAX(ROW(E$1:E4412)*(E4413=E$1:E4412)))))</f>
        <v> </v>
      </c>
      <c r="L4413" s="26"/>
    </row>
    <row r="4414" spans="1:12">
      <c r="A4414" s="20" t="s">
        <v>1249</v>
      </c>
      <c r="E4414" s="21">
        <f>IF(D4414="?OLD","!!!","")</f>
        <v/>
      </c>
      <c r="F4414" s="22" t="str">
        <f>IF(OR(E4414="",E4414="!!!"),"",IF(NOT(ISNA(VLOOKUP(E4414,E$1:E4413,1,FALSE()))),"OLD",IF(AND(E4414&lt;&gt;"",E4414&lt;&gt;"!!!"),"NEW","")))</f>
        <v> </v>
      </c>
      <c r="G4414" s="23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4" t="str">
        <f>IF(J4414&lt;&gt;1,"",IF(I4414="SBJ","CB","?"))</f>
        <v> </v>
      </c>
      <c r="I4414" s="25" t="str">
        <f>IF(OR(E4414="",E4414="!!!",F4414="NEW"),"",INDEX(B4413:B$2,-1+SUMPRODUCT(MAX(ROW(E4413:E$2)*(E4414=E4413:E$2)))))</f>
        <v> </v>
      </c>
      <c r="J4414" s="25" t="str">
        <f>IF(OR(E4414="",E4414="!!!",F4414="NEW"),"",COUNTBLANK(OFFSET(A$1,,,SUMPRODUCT(MAX(ROW(E$2:E4414)*(E4414=E$2:E4414)))))-COUNTBLANK(OFFSET(A$1,,,SUMPRODUCT(MAX(ROW(E$1:E4413)*(E2=E$1:E4413))))))</f>
        <v> </v>
      </c>
      <c r="K4414" s="25" t="str">
        <f>IF(OR(E4414="",E4414="!!!",F4414="NEW"),"",INDEX(J$1:J4413,SUMPRODUCT(MAX(ROW(E$1:E4413)*(E4414=E$1:E4413)))))</f>
        <v> </v>
      </c>
      <c r="L4414" s="26"/>
    </row>
    <row r="4415" spans="1:12">
      <c r="A4415" s="20" t="s">
        <v>1665</v>
      </c>
      <c r="E4415" s="21">
        <f>IF(D4415="?OLD","!!!","")</f>
        <v/>
      </c>
      <c r="F4415" s="22" t="str">
        <f>IF(OR(E4415="",E4415="!!!"),"",IF(NOT(ISNA(VLOOKUP(E4415,E$1:E4414,1,FALSE()))),"OLD",IF(AND(E4415&lt;&gt;"",E4415&lt;&gt;"!!!"),"NEW","")))</f>
        <v> </v>
      </c>
      <c r="G4415" s="23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4" t="str">
        <f>IF(J4415&lt;&gt;1,"",IF(I4415="SBJ","CB","?"))</f>
        <v> </v>
      </c>
      <c r="I4415" s="25" t="str">
        <f>IF(OR(E4415="",E4415="!!!",F4415="NEW"),"",INDEX(B4414:B$2,-1+SUMPRODUCT(MAX(ROW(E4414:E$2)*(E4415=E4414:E$2)))))</f>
        <v> </v>
      </c>
      <c r="J4415" s="25" t="str">
        <f>IF(OR(E4415="",E4415="!!!",F4415="NEW"),"",COUNTBLANK(OFFSET(A$1,,,SUMPRODUCT(MAX(ROW(E$2:E4415)*(E4415=E$2:E4415)))))-COUNTBLANK(OFFSET(A$1,,,SUMPRODUCT(MAX(ROW(E$1:E4414)*(E2=E$1:E4414))))))</f>
        <v> </v>
      </c>
      <c r="K4415" s="25" t="str">
        <f>IF(OR(E4415="",E4415="!!!",F4415="NEW"),"",INDEX(J$1:J4414,SUMPRODUCT(MAX(ROW(E$1:E4414)*(E4415=E$1:E4414)))))</f>
        <v> </v>
      </c>
      <c r="L4415" s="26"/>
    </row>
    <row r="4416" spans="1:12">
      <c r="A4416" s="20" t="s">
        <v>1540</v>
      </c>
      <c r="B4416" s="27" t="s">
        <v>1103</v>
      </c>
      <c r="C4416" s="27" t="s">
        <v>1156</v>
      </c>
      <c r="D4416" s="27" t="s">
        <v>1105</v>
      </c>
      <c r="E4416" s="21">
        <f>IF(D4416="?OLD","!!!","")</f>
        <v/>
      </c>
      <c r="F4416" s="22" t="str">
        <f>IF(OR(E4416="",E4416="!!!"),"",IF(NOT(ISNA(VLOOKUP(E4416,E$1:E4415,1,FALSE()))),"OLD",IF(AND(E4416&lt;&gt;"",E4416&lt;&gt;"!!!"),"NEW","")))</f>
        <v> </v>
      </c>
      <c r="G4416" s="23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4" t="str">
        <f>IF(J4416&lt;&gt;1,"",IF(I4416="SBJ","CB","?"))</f>
        <v> </v>
      </c>
      <c r="I4416" s="25" t="str">
        <f>IF(OR(E4416="",E4416="!!!",F4416="NEW"),"",INDEX(B4415:B$2,-1+SUMPRODUCT(MAX(ROW(E4415:E$2)*(E4416=E4415:E$2)))))</f>
        <v> </v>
      </c>
      <c r="J4416" s="25" t="str">
        <f>IF(OR(E4416="",E4416="!!!",F4416="NEW"),"",COUNTBLANK(OFFSET(A$1,,,SUMPRODUCT(MAX(ROW(E$2:E4416)*(E4416=E$2:E4416)))))-COUNTBLANK(OFFSET(A$1,,,SUMPRODUCT(MAX(ROW(E$1:E4415)*(E2=E$1:E4415))))))</f>
        <v> </v>
      </c>
      <c r="K4416" s="25" t="str">
        <f>IF(OR(E4416="",E4416="!!!",F4416="NEW"),"",INDEX(J$1:J4415,SUMPRODUCT(MAX(ROW(E$1:E4415)*(E4416=E$1:E4415)))))</f>
        <v> </v>
      </c>
      <c r="L4416" s="26"/>
    </row>
    <row r="4417" spans="1:12">
      <c r="A4417" s="20" t="s">
        <v>1134</v>
      </c>
      <c r="E4417" s="21">
        <f>IF(D4417="?OLD","!!!","")</f>
        <v/>
      </c>
      <c r="F4417" s="22" t="str">
        <f>IF(OR(E4417="",E4417="!!!"),"",IF(NOT(ISNA(VLOOKUP(E4417,E$1:E4416,1,FALSE()))),"OLD",IF(AND(E4417&lt;&gt;"",E4417&lt;&gt;"!!!"),"NEW","")))</f>
        <v> </v>
      </c>
      <c r="G4417" s="23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4" t="str">
        <f>IF(J4417&lt;&gt;1,"",IF(I4417="SBJ","CB","?"))</f>
        <v> </v>
      </c>
      <c r="I4417" s="25" t="str">
        <f>IF(OR(E4417="",E4417="!!!",F4417="NEW"),"",INDEX(B4416:B$2,-1+SUMPRODUCT(MAX(ROW(E4416:E$2)*(E4417=E4416:E$2)))))</f>
        <v> </v>
      </c>
      <c r="J4417" s="25" t="str">
        <f>IF(OR(E4417="",E4417="!!!",F4417="NEW"),"",COUNTBLANK(OFFSET(A$1,,,SUMPRODUCT(MAX(ROW(E$2:E4417)*(E4417=E$2:E4417)))))-COUNTBLANK(OFFSET(A$1,,,SUMPRODUCT(MAX(ROW(E$1:E4416)*(E2=E$1:E4416))))))</f>
        <v> </v>
      </c>
      <c r="K4417" s="25" t="str">
        <f>IF(OR(E4417="",E4417="!!!",F4417="NEW"),"",INDEX(J$1:J4416,SUMPRODUCT(MAX(ROW(E$1:E4416)*(E4417=E$1:E4416)))))</f>
        <v> </v>
      </c>
      <c r="L4417" s="26"/>
    </row>
    <row r="4418" spans="1:12">
      <c r="A4418" s="20" t="s">
        <v>135</v>
      </c>
      <c r="B4418" s="27" t="s">
        <v>1149</v>
      </c>
      <c r="C4418" s="27" t="s">
        <v>1133</v>
      </c>
      <c r="E4418" s="21">
        <f>IF(D4418="?OLD","!!!","")</f>
        <v/>
      </c>
      <c r="F4418" s="22" t="str">
        <f>IF(OR(E4418="",E4418="!!!"),"",IF(NOT(ISNA(VLOOKUP(E4418,E$1:E4417,1,FALSE()))),"OLD",IF(AND(E4418&lt;&gt;"",E4418&lt;&gt;"!!!"),"NEW","")))</f>
        <v> </v>
      </c>
      <c r="G4418" s="23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4" t="str">
        <f>IF(J4418&lt;&gt;1,"",IF(I4418="SBJ","CB","?"))</f>
        <v> </v>
      </c>
      <c r="I4418" s="25" t="str">
        <f>IF(OR(E4418="",E4418="!!!",F4418="NEW"),"",INDEX(B4417:B$2,-1+SUMPRODUCT(MAX(ROW(E4417:E$2)*(E4418=E4417:E$2)))))</f>
        <v> </v>
      </c>
      <c r="J4418" s="25" t="str">
        <f>IF(OR(E4418="",E4418="!!!",F4418="NEW"),"",COUNTBLANK(OFFSET(A$1,,,SUMPRODUCT(MAX(ROW(E$2:E4418)*(E4418=E$2:E4418)))))-COUNTBLANK(OFFSET(A$1,,,SUMPRODUCT(MAX(ROW(E$1:E4417)*(E2=E$1:E4417))))))</f>
        <v> </v>
      </c>
      <c r="K4418" s="25" t="str">
        <f>IF(OR(E4418="",E4418="!!!",F4418="NEW"),"",INDEX(J$1:J4417,SUMPRODUCT(MAX(ROW(E$1:E4417)*(E4418=E$1:E4417)))))</f>
        <v> </v>
      </c>
      <c r="L4418" s="26"/>
    </row>
    <row r="4419" spans="1:12">
      <c r="A4419" s="20" t="s">
        <v>3050</v>
      </c>
      <c r="E4419" s="21">
        <f>IF(D4419="?OLD","!!!","")</f>
        <v/>
      </c>
      <c r="F4419" s="22" t="str">
        <f>IF(OR(E4419="",E4419="!!!"),"",IF(NOT(ISNA(VLOOKUP(E4419,E$1:E4418,1,FALSE()))),"OLD",IF(AND(E4419&lt;&gt;"",E4419&lt;&gt;"!!!"),"NEW","")))</f>
        <v> </v>
      </c>
      <c r="G4419" s="23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4" t="str">
        <f>IF(J4419&lt;&gt;1,"",IF(I4419="SBJ","CB","?"))</f>
        <v> </v>
      </c>
      <c r="I4419" s="25" t="str">
        <f>IF(OR(E4419="",E4419="!!!",F4419="NEW"),"",INDEX(B4418:B$2,-1+SUMPRODUCT(MAX(ROW(E4418:E$2)*(E4419=E4418:E$2)))))</f>
        <v> </v>
      </c>
      <c r="J4419" s="25" t="str">
        <f>IF(OR(E4419="",E4419="!!!",F4419="NEW"),"",COUNTBLANK(OFFSET(A$1,,,SUMPRODUCT(MAX(ROW(E$2:E4419)*(E4419=E$2:E4419)))))-COUNTBLANK(OFFSET(A$1,,,SUMPRODUCT(MAX(ROW(E$1:E4418)*(E2=E$1:E4418))))))</f>
        <v> </v>
      </c>
      <c r="K4419" s="25" t="str">
        <f>IF(OR(E4419="",E4419="!!!",F4419="NEW"),"",INDEX(J$1:J4418,SUMPRODUCT(MAX(ROW(E$1:E4418)*(E4419=E$1:E4418)))))</f>
        <v> </v>
      </c>
      <c r="L4419" s="26"/>
    </row>
    <row r="4420" spans="1:12">
      <c r="A4420" s="20" t="s">
        <v>1123</v>
      </c>
      <c r="E4420" s="21">
        <f>IF(D4420="?OLD","!!!","")</f>
        <v/>
      </c>
      <c r="F4420" s="22" t="str">
        <f>IF(OR(E4420="",E4420="!!!"),"",IF(NOT(ISNA(VLOOKUP(E4420,E$1:E4419,1,FALSE()))),"OLD",IF(AND(E4420&lt;&gt;"",E4420&lt;&gt;"!!!"),"NEW","")))</f>
        <v> </v>
      </c>
      <c r="G4420" s="23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4" t="str">
        <f>IF(J4420&lt;&gt;1,"",IF(I4420="SBJ","CB","?"))</f>
        <v> </v>
      </c>
      <c r="I4420" s="25" t="str">
        <f>IF(OR(E4420="",E4420="!!!",F4420="NEW"),"",INDEX(B4419:B$2,-1+SUMPRODUCT(MAX(ROW(E4419:E$2)*(E4420=E4419:E$2)))))</f>
        <v> </v>
      </c>
      <c r="J4420" s="25" t="str">
        <f>IF(OR(E4420="",E4420="!!!",F4420="NEW"),"",COUNTBLANK(OFFSET(A$1,,,SUMPRODUCT(MAX(ROW(E$2:E4420)*(E4420=E$2:E4420)))))-COUNTBLANK(OFFSET(A$1,,,SUMPRODUCT(MAX(ROW(E$1:E4419)*(E2=E$1:E4419))))))</f>
        <v> </v>
      </c>
      <c r="K4420" s="25" t="str">
        <f>IF(OR(E4420="",E4420="!!!",F4420="NEW"),"",INDEX(J$1:J4419,SUMPRODUCT(MAX(ROW(E$1:E4419)*(E4420=E$1:E4419)))))</f>
        <v> </v>
      </c>
      <c r="L4420" s="26"/>
    </row>
    <row r="4421" spans="1:12">
      <c r="A4421" s="20" t="s">
        <v>1239</v>
      </c>
      <c r="E4421" s="21">
        <f>IF(D4421="?OLD","!!!","")</f>
        <v/>
      </c>
      <c r="F4421" s="22" t="str">
        <f>IF(OR(E4421="",E4421="!!!"),"",IF(NOT(ISNA(VLOOKUP(E4421,E$1:E4420,1,FALSE()))),"OLD",IF(AND(E4421&lt;&gt;"",E4421&lt;&gt;"!!!"),"NEW","")))</f>
        <v> </v>
      </c>
      <c r="G4421" s="23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4" t="str">
        <f>IF(J4421&lt;&gt;1,"",IF(I4421="SBJ","CB","?"))</f>
        <v> </v>
      </c>
      <c r="I4421" s="25" t="str">
        <f>IF(OR(E4421="",E4421="!!!",F4421="NEW"),"",INDEX(B4420:B$2,-1+SUMPRODUCT(MAX(ROW(E4420:E$2)*(E4421=E4420:E$2)))))</f>
        <v> </v>
      </c>
      <c r="J4421" s="25" t="str">
        <f>IF(OR(E4421="",E4421="!!!",F4421="NEW"),"",COUNTBLANK(OFFSET(A$1,,,SUMPRODUCT(MAX(ROW(E$2:E4421)*(E4421=E$2:E4421)))))-COUNTBLANK(OFFSET(A$1,,,SUMPRODUCT(MAX(ROW(E$1:E4420)*(E2=E$1:E4420))))))</f>
        <v> </v>
      </c>
      <c r="K4421" s="25" t="str">
        <f>IF(OR(E4421="",E4421="!!!",F4421="NEW"),"",INDEX(J$1:J4420,SUMPRODUCT(MAX(ROW(E$1:E4420)*(E4421=E$1:E4420)))))</f>
        <v> </v>
      </c>
      <c r="L4421" s="26"/>
    </row>
    <row r="4422" spans="1:12">
      <c r="A4422" s="20" t="s">
        <v>3051</v>
      </c>
      <c r="E4422" s="21">
        <f>IF(D4422="?OLD","!!!","")</f>
        <v/>
      </c>
      <c r="F4422" s="22" t="str">
        <f>IF(OR(E4422="",E4422="!!!"),"",IF(NOT(ISNA(VLOOKUP(E4422,E$1:E4421,1,FALSE()))),"OLD",IF(AND(E4422&lt;&gt;"",E4422&lt;&gt;"!!!"),"NEW","")))</f>
        <v> </v>
      </c>
      <c r="G4422" s="23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4" t="str">
        <f>IF(J4422&lt;&gt;1,"",IF(I4422="SBJ","CB","?"))</f>
        <v> </v>
      </c>
      <c r="I4422" s="25" t="str">
        <f>IF(OR(E4422="",E4422="!!!",F4422="NEW"),"",INDEX(B4421:B$2,-1+SUMPRODUCT(MAX(ROW(E4421:E$2)*(E4422=E4421:E$2)))))</f>
        <v> </v>
      </c>
      <c r="J4422" s="25" t="str">
        <f>IF(OR(E4422="",E4422="!!!",F4422="NEW"),"",COUNTBLANK(OFFSET(A$1,,,SUMPRODUCT(MAX(ROW(E$2:E4422)*(E4422=E$2:E4422)))))-COUNTBLANK(OFFSET(A$1,,,SUMPRODUCT(MAX(ROW(E$1:E4421)*(E2=E$1:E4421))))))</f>
        <v> </v>
      </c>
      <c r="K4422" s="25" t="str">
        <f>IF(OR(E4422="",E4422="!!!",F4422="NEW"),"",INDEX(J$1:J4421,SUMPRODUCT(MAX(ROW(E$1:E4421)*(E4422=E$1:E4421)))))</f>
        <v> </v>
      </c>
      <c r="L4422" s="26"/>
    </row>
    <row r="4423" spans="1:12">
      <c r="A4423" s="20" t="s">
        <v>1231</v>
      </c>
      <c r="E4423" s="21">
        <f>IF(D4423="?OLD","!!!","")</f>
        <v/>
      </c>
      <c r="F4423" s="22" t="str">
        <f>IF(OR(E4423="",E4423="!!!"),"",IF(NOT(ISNA(VLOOKUP(E4423,E$1:E4422,1,FALSE()))),"OLD",IF(AND(E4423&lt;&gt;"",E4423&lt;&gt;"!!!"),"NEW","")))</f>
        <v> </v>
      </c>
      <c r="G4423" s="23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4" t="str">
        <f>IF(J4423&lt;&gt;1,"",IF(I4423="SBJ","CB","?"))</f>
        <v> </v>
      </c>
      <c r="I4423" s="25" t="str">
        <f>IF(OR(E4423="",E4423="!!!",F4423="NEW"),"",INDEX(B4422:B$2,-1+SUMPRODUCT(MAX(ROW(E4422:E$2)*(E4423=E4422:E$2)))))</f>
        <v> </v>
      </c>
      <c r="J4423" s="25" t="str">
        <f>IF(OR(E4423="",E4423="!!!",F4423="NEW"),"",COUNTBLANK(OFFSET(A$1,,,SUMPRODUCT(MAX(ROW(E$2:E4423)*(E4423=E$2:E4423)))))-COUNTBLANK(OFFSET(A$1,,,SUMPRODUCT(MAX(ROW(E$1:E4422)*(E2=E$1:E4422))))))</f>
        <v> </v>
      </c>
      <c r="K4423" s="25" t="str">
        <f>IF(OR(E4423="",E4423="!!!",F4423="NEW"),"",INDEX(J$1:J4422,SUMPRODUCT(MAX(ROW(E$1:E4422)*(E4423=E$1:E4422)))))</f>
        <v> </v>
      </c>
      <c r="L4423" s="26"/>
    </row>
    <row r="4424" spans="1:12">
      <c r="A4424" s="20" t="s">
        <v>3052</v>
      </c>
      <c r="E4424" s="21">
        <f>IF(D4424="?OLD","!!!","")</f>
        <v/>
      </c>
      <c r="F4424" s="22" t="str">
        <f>IF(OR(E4424="",E4424="!!!"),"",IF(NOT(ISNA(VLOOKUP(E4424,E$1:E4423,1,FALSE()))),"OLD",IF(AND(E4424&lt;&gt;"",E4424&lt;&gt;"!!!"),"NEW","")))</f>
        <v> </v>
      </c>
      <c r="G4424" s="23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4" t="str">
        <f>IF(J4424&lt;&gt;1,"",IF(I4424="SBJ","CB","?"))</f>
        <v> </v>
      </c>
      <c r="I4424" s="25" t="str">
        <f>IF(OR(E4424="",E4424="!!!",F4424="NEW"),"",INDEX(B4423:B$2,-1+SUMPRODUCT(MAX(ROW(E4423:E$2)*(E4424=E4423:E$2)))))</f>
        <v> </v>
      </c>
      <c r="J4424" s="25" t="str">
        <f>IF(OR(E4424="",E4424="!!!",F4424="NEW"),"",COUNTBLANK(OFFSET(A$1,,,SUMPRODUCT(MAX(ROW(E$2:E4424)*(E4424=E$2:E4424)))))-COUNTBLANK(OFFSET(A$1,,,SUMPRODUCT(MAX(ROW(E$1:E4423)*(E2=E$1:E4423))))))</f>
        <v> </v>
      </c>
      <c r="K4424" s="25" t="str">
        <f>IF(OR(E4424="",E4424="!!!",F4424="NEW"),"",INDEX(J$1:J4423,SUMPRODUCT(MAX(ROW(E$1:E4423)*(E4424=E$1:E4423)))))</f>
        <v> </v>
      </c>
      <c r="L4424" s="26"/>
    </row>
    <row r="4425" spans="1:12">
      <c r="A4425" s="20" t="s">
        <v>2897</v>
      </c>
      <c r="B4425" s="27" t="s">
        <v>1132</v>
      </c>
      <c r="C4425" s="27" t="s">
        <v>1104</v>
      </c>
      <c r="D4425" s="27" t="s">
        <v>1105</v>
      </c>
      <c r="E4425" s="21">
        <f>IF(D4425="?OLD","!!!","")</f>
        <v/>
      </c>
      <c r="F4425" s="22" t="str">
        <f>IF(OR(E4425="",E4425="!!!"),"",IF(NOT(ISNA(VLOOKUP(E4425,E$1:E4424,1,FALSE()))),"OLD",IF(AND(E4425&lt;&gt;"",E4425&lt;&gt;"!!!"),"NEW","")))</f>
        <v> </v>
      </c>
      <c r="G4425" s="23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4" t="str">
        <f>IF(J4425&lt;&gt;1,"",IF(I4425="SBJ","CB","?"))</f>
        <v> </v>
      </c>
      <c r="I4425" s="25" t="str">
        <f>IF(OR(E4425="",E4425="!!!",F4425="NEW"),"",INDEX(B4424:B$2,-1+SUMPRODUCT(MAX(ROW(E4424:E$2)*(E4425=E4424:E$2)))))</f>
        <v> </v>
      </c>
      <c r="J4425" s="25" t="str">
        <f>IF(OR(E4425="",E4425="!!!",F4425="NEW"),"",COUNTBLANK(OFFSET(A$1,,,SUMPRODUCT(MAX(ROW(E$2:E4425)*(E4425=E$2:E4425)))))-COUNTBLANK(OFFSET(A$1,,,SUMPRODUCT(MAX(ROW(E$1:E4424)*(E2=E$1:E4424))))))</f>
        <v> </v>
      </c>
      <c r="K4425" s="25" t="str">
        <f>IF(OR(E4425="",E4425="!!!",F4425="NEW"),"",INDEX(J$1:J4424,SUMPRODUCT(MAX(ROW(E$1:E4424)*(E4425=E$1:E4424)))))</f>
        <v> </v>
      </c>
      <c r="L4425" s="26"/>
    </row>
    <row r="4426" spans="1:12">
      <c r="A4426" s="20" t="s">
        <v>3053</v>
      </c>
      <c r="B4426" s="27" t="s">
        <v>1141</v>
      </c>
      <c r="C4426" s="27" t="s">
        <v>1108</v>
      </c>
      <c r="D4426" s="27" t="s">
        <v>1105</v>
      </c>
      <c r="E4426" s="21">
        <f>IF(D4426="?OLD","!!!","")</f>
        <v/>
      </c>
      <c r="F4426" s="22" t="str">
        <f>IF(OR(E4426="",E4426="!!!"),"",IF(NOT(ISNA(VLOOKUP(E4426,E$1:E4425,1,FALSE()))),"OLD",IF(AND(E4426&lt;&gt;"",E4426&lt;&gt;"!!!"),"NEW","")))</f>
        <v> </v>
      </c>
      <c r="G4426" s="23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4" t="str">
        <f>IF(J4426&lt;&gt;1,"",IF(I4426="SBJ","CB","?"))</f>
        <v> </v>
      </c>
      <c r="I4426" s="25" t="str">
        <f>IF(OR(E4426="",E4426="!!!",F4426="NEW"),"",INDEX(B4425:B$2,-1+SUMPRODUCT(MAX(ROW(E4425:E$2)*(E4426=E4425:E$2)))))</f>
        <v> </v>
      </c>
      <c r="J4426" s="25" t="str">
        <f>IF(OR(E4426="",E4426="!!!",F4426="NEW"),"",COUNTBLANK(OFFSET(A$1,,,SUMPRODUCT(MAX(ROW(E$2:E4426)*(E4426=E$2:E4426)))))-COUNTBLANK(OFFSET(A$1,,,SUMPRODUCT(MAX(ROW(E$1:E4425)*(E2=E$1:E4425))))))</f>
        <v> </v>
      </c>
      <c r="K4426" s="25" t="str">
        <f>IF(OR(E4426="",E4426="!!!",F4426="NEW"),"",INDEX(J$1:J4425,SUMPRODUCT(MAX(ROW(E$1:E4425)*(E4426=E$1:E4425)))))</f>
        <v> </v>
      </c>
      <c r="L4426" s="26"/>
    </row>
    <row r="4427" spans="1:12">
      <c r="A4427" s="20" t="s">
        <v>1123</v>
      </c>
      <c r="E4427" s="21">
        <f>IF(D4427="?OLD","!!!","")</f>
        <v/>
      </c>
      <c r="F4427" s="22" t="str">
        <f>IF(OR(E4427="",E4427="!!!"),"",IF(NOT(ISNA(VLOOKUP(E4427,E$1:E4426,1,FALSE()))),"OLD",IF(AND(E4427&lt;&gt;"",E4427&lt;&gt;"!!!"),"NEW","")))</f>
        <v> </v>
      </c>
      <c r="G4427" s="23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4" t="str">
        <f>IF(J4427&lt;&gt;1,"",IF(I4427="SBJ","CB","?"))</f>
        <v> </v>
      </c>
      <c r="I4427" s="25" t="str">
        <f>IF(OR(E4427="",E4427="!!!",F4427="NEW"),"",INDEX(B4426:B$2,-1+SUMPRODUCT(MAX(ROW(E4426:E$2)*(E4427=E4426:E$2)))))</f>
        <v> </v>
      </c>
      <c r="J4427" s="25" t="str">
        <f>IF(OR(E4427="",E4427="!!!",F4427="NEW"),"",COUNTBLANK(OFFSET(A$1,,,SUMPRODUCT(MAX(ROW(E$2:E4427)*(E4427=E$2:E4427)))))-COUNTBLANK(OFFSET(A$1,,,SUMPRODUCT(MAX(ROW(E$1:E4426)*(E2=E$1:E4426))))))</f>
        <v> </v>
      </c>
      <c r="K4427" s="25" t="str">
        <f>IF(OR(E4427="",E4427="!!!",F4427="NEW"),"",INDEX(J$1:J4426,SUMPRODUCT(MAX(ROW(E$1:E4426)*(E4427=E$1:E4426)))))</f>
        <v> </v>
      </c>
      <c r="L4427" s="26"/>
    </row>
    <row r="4428" spans="1:12">
      <c r="A4428" s="20" t="s">
        <v>1128</v>
      </c>
      <c r="E4428" s="21">
        <f>IF(D4428="?OLD","!!!","")</f>
        <v/>
      </c>
      <c r="F4428" s="22" t="str">
        <f>IF(OR(E4428="",E4428="!!!"),"",IF(NOT(ISNA(VLOOKUP(E4428,E$1:E4427,1,FALSE()))),"OLD",IF(AND(E4428&lt;&gt;"",E4428&lt;&gt;"!!!"),"NEW","")))</f>
        <v> </v>
      </c>
      <c r="G4428" s="23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4" t="str">
        <f>IF(J4428&lt;&gt;1,"",IF(I4428="SBJ","CB","?"))</f>
        <v> </v>
      </c>
      <c r="I4428" s="25" t="str">
        <f>IF(OR(E4428="",E4428="!!!",F4428="NEW"),"",INDEX(B4427:B$2,-1+SUMPRODUCT(MAX(ROW(E4427:E$2)*(E4428=E4427:E$2)))))</f>
        <v> </v>
      </c>
      <c r="J4428" s="25" t="str">
        <f>IF(OR(E4428="",E4428="!!!",F4428="NEW"),"",COUNTBLANK(OFFSET(A$1,,,SUMPRODUCT(MAX(ROW(E$2:E4428)*(E4428=E$2:E4428)))))-COUNTBLANK(OFFSET(A$1,,,SUMPRODUCT(MAX(ROW(E$1:E4427)*(E2=E$1:E4427))))))</f>
        <v> </v>
      </c>
      <c r="K4428" s="25" t="str">
        <f>IF(OR(E4428="",E4428="!!!",F4428="NEW"),"",INDEX(J$1:J4427,SUMPRODUCT(MAX(ROW(E$1:E4427)*(E4428=E$1:E4427)))))</f>
        <v> </v>
      </c>
      <c r="L4428" s="26"/>
    </row>
    <row r="4429" spans="1:12">
      <c r="A4429" s="20" t="s">
        <v>1124</v>
      </c>
      <c r="B4429" s="27" t="s">
        <v>1259</v>
      </c>
      <c r="C4429" s="27" t="s">
        <v>1126</v>
      </c>
      <c r="D4429" s="27" t="s">
        <v>1105</v>
      </c>
      <c r="E4429" s="21">
        <f>IF(D4429="?OLD","!!!","")</f>
        <v/>
      </c>
      <c r="F4429" s="22" t="str">
        <f>IF(OR(E4429="",E4429="!!!"),"",IF(NOT(ISNA(VLOOKUP(E4429,E$1:E4428,1,FALSE()))),"OLD",IF(AND(E4429&lt;&gt;"",E4429&lt;&gt;"!!!"),"NEW","")))</f>
        <v> </v>
      </c>
      <c r="G4429" s="23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4" t="str">
        <f>IF(J4429&lt;&gt;1,"",IF(I4429="SBJ","CB","?"))</f>
        <v> </v>
      </c>
      <c r="I4429" s="25" t="str">
        <f>IF(OR(E4429="",E4429="!!!",F4429="NEW"),"",INDEX(B4428:B$2,-1+SUMPRODUCT(MAX(ROW(E4428:E$2)*(E4429=E4428:E$2)))))</f>
        <v> </v>
      </c>
      <c r="J4429" s="25" t="str">
        <f>IF(OR(E4429="",E4429="!!!",F4429="NEW"),"",COUNTBLANK(OFFSET(A$1,,,SUMPRODUCT(MAX(ROW(E$2:E4429)*(E4429=E$2:E4429)))))-COUNTBLANK(OFFSET(A$1,,,SUMPRODUCT(MAX(ROW(E$1:E4428)*(E2=E$1:E4428))))))</f>
        <v> </v>
      </c>
      <c r="K4429" s="25" t="str">
        <f>IF(OR(E4429="",E4429="!!!",F4429="NEW"),"",INDEX(J$1:J4428,SUMPRODUCT(MAX(ROW(E$1:E4428)*(E4429=E$1:E4428)))))</f>
        <v> </v>
      </c>
      <c r="L4429" s="26"/>
    </row>
    <row r="4430" spans="1:12">
      <c r="A4430" s="20" t="s">
        <v>3054</v>
      </c>
      <c r="E4430" s="21">
        <f>IF(D4430="?OLD","!!!","")</f>
        <v/>
      </c>
      <c r="F4430" s="22" t="str">
        <f>IF(OR(E4430="",E4430="!!!"),"",IF(NOT(ISNA(VLOOKUP(E4430,E$1:E4429,1,FALSE()))),"OLD",IF(AND(E4430&lt;&gt;"",E4430&lt;&gt;"!!!"),"NEW","")))</f>
        <v> </v>
      </c>
      <c r="G4430" s="23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4" t="str">
        <f>IF(J4430&lt;&gt;1,"",IF(I4430="SBJ","CB","?"))</f>
        <v> </v>
      </c>
      <c r="I4430" s="25" t="str">
        <f>IF(OR(E4430="",E4430="!!!",F4430="NEW"),"",INDEX(B4429:B$2,-1+SUMPRODUCT(MAX(ROW(E4429:E$2)*(E4430=E4429:E$2)))))</f>
        <v> </v>
      </c>
      <c r="J4430" s="25" t="str">
        <f>IF(OR(E4430="",E4430="!!!",F4430="NEW"),"",COUNTBLANK(OFFSET(A$1,,,SUMPRODUCT(MAX(ROW(E$2:E4430)*(E4430=E$2:E4430)))))-COUNTBLANK(OFFSET(A$1,,,SUMPRODUCT(MAX(ROW(E$1:E4429)*(E2=E$1:E4429))))))</f>
        <v> </v>
      </c>
      <c r="K4430" s="25" t="str">
        <f>IF(OR(E4430="",E4430="!!!",F4430="NEW"),"",INDEX(J$1:J4429,SUMPRODUCT(MAX(ROW(E$1:E4429)*(E4430=E$1:E4429)))))</f>
        <v> </v>
      </c>
      <c r="L4430" s="26"/>
    </row>
    <row r="4431" spans="1:12">
      <c r="A4431" s="20" t="s">
        <v>3055</v>
      </c>
      <c r="E4431" s="21">
        <f>IF(D4431="?OLD","!!!","")</f>
        <v/>
      </c>
      <c r="F4431" s="22" t="str">
        <f>IF(OR(E4431="",E4431="!!!"),"",IF(NOT(ISNA(VLOOKUP(E4431,E$1:E4430,1,FALSE()))),"OLD",IF(AND(E4431&lt;&gt;"",E4431&lt;&gt;"!!!"),"NEW","")))</f>
        <v> </v>
      </c>
      <c r="G4431" s="23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4" t="str">
        <f>IF(J4431&lt;&gt;1,"",IF(I4431="SBJ","CB","?"))</f>
        <v> </v>
      </c>
      <c r="I4431" s="25" t="str">
        <f>IF(OR(E4431="",E4431="!!!",F4431="NEW"),"",INDEX(B4430:B$2,-1+SUMPRODUCT(MAX(ROW(E4430:E$2)*(E4431=E4430:E$2)))))</f>
        <v> </v>
      </c>
      <c r="J4431" s="25" t="str">
        <f>IF(OR(E4431="",E4431="!!!",F4431="NEW"),"",COUNTBLANK(OFFSET(A$1,,,SUMPRODUCT(MAX(ROW(E$2:E4431)*(E4431=E$2:E4431)))))-COUNTBLANK(OFFSET(A$1,,,SUMPRODUCT(MAX(ROW(E$1:E4430)*(E2=E$1:E4430))))))</f>
        <v> </v>
      </c>
      <c r="K4431" s="25" t="str">
        <f>IF(OR(E4431="",E4431="!!!",F4431="NEW"),"",INDEX(J$1:J4430,SUMPRODUCT(MAX(ROW(E$1:E4430)*(E4431=E$1:E4430)))))</f>
        <v> </v>
      </c>
      <c r="L4431" s="26"/>
    </row>
    <row r="4432" spans="1:12">
      <c r="A4432" s="20" t="s">
        <v>3056</v>
      </c>
      <c r="E4432" s="21">
        <f>IF(D4432="?OLD","!!!","")</f>
        <v/>
      </c>
      <c r="F4432" s="22" t="str">
        <f>IF(OR(E4432="",E4432="!!!"),"",IF(NOT(ISNA(VLOOKUP(E4432,E$1:E4431,1,FALSE()))),"OLD",IF(AND(E4432&lt;&gt;"",E4432&lt;&gt;"!!!"),"NEW","")))</f>
        <v> </v>
      </c>
      <c r="G4432" s="23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4" t="str">
        <f>IF(J4432&lt;&gt;1,"",IF(I4432="SBJ","CB","?"))</f>
        <v> </v>
      </c>
      <c r="I4432" s="25" t="str">
        <f>IF(OR(E4432="",E4432="!!!",F4432="NEW"),"",INDEX(B4431:B$2,-1+SUMPRODUCT(MAX(ROW(E4431:E$2)*(E4432=E4431:E$2)))))</f>
        <v> </v>
      </c>
      <c r="J4432" s="25" t="str">
        <f>IF(OR(E4432="",E4432="!!!",F4432="NEW"),"",COUNTBLANK(OFFSET(A$1,,,SUMPRODUCT(MAX(ROW(E$2:E4432)*(E4432=E$2:E4432)))))-COUNTBLANK(OFFSET(A$1,,,SUMPRODUCT(MAX(ROW(E$1:E4431)*(E2=E$1:E4431))))))</f>
        <v> </v>
      </c>
      <c r="K4432" s="25" t="str">
        <f>IF(OR(E4432="",E4432="!!!",F4432="NEW"),"",INDEX(J$1:J4431,SUMPRODUCT(MAX(ROW(E$1:E4431)*(E4432=E$1:E4431)))))</f>
        <v> </v>
      </c>
      <c r="L4432" s="26"/>
    </row>
    <row r="4433" spans="1:12">
      <c r="A4433" s="20" t="s">
        <v>3057</v>
      </c>
      <c r="B4433" s="27" t="s">
        <v>1132</v>
      </c>
      <c r="C4433" s="27" t="s">
        <v>1116</v>
      </c>
      <c r="E4433" s="21">
        <f>IF(D4433="?OLD","!!!","")</f>
        <v/>
      </c>
      <c r="F4433" s="22" t="str">
        <f>IF(OR(E4433="",E4433="!!!"),"",IF(NOT(ISNA(VLOOKUP(E4433,E$1:E4432,1,FALSE()))),"OLD",IF(AND(E4433&lt;&gt;"",E4433&lt;&gt;"!!!"),"NEW","")))</f>
        <v> </v>
      </c>
      <c r="G4433" s="23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4" t="str">
        <f>IF(J4433&lt;&gt;1,"",IF(I4433="SBJ","CB","?"))</f>
        <v> </v>
      </c>
      <c r="I4433" s="25" t="str">
        <f>IF(OR(E4433="",E4433="!!!",F4433="NEW"),"",INDEX(B4432:B$2,-1+SUMPRODUCT(MAX(ROW(E4432:E$2)*(E4433=E4432:E$2)))))</f>
        <v> </v>
      </c>
      <c r="J4433" s="25" t="str">
        <f>IF(OR(E4433="",E4433="!!!",F4433="NEW"),"",COUNTBLANK(OFFSET(A$1,,,SUMPRODUCT(MAX(ROW(E$2:E4433)*(E4433=E$2:E4433)))))-COUNTBLANK(OFFSET(A$1,,,SUMPRODUCT(MAX(ROW(E$1:E4432)*(E2=E$1:E4432))))))</f>
        <v> </v>
      </c>
      <c r="K4433" s="25" t="str">
        <f>IF(OR(E4433="",E4433="!!!",F4433="NEW"),"",INDEX(J$1:J4432,SUMPRODUCT(MAX(ROW(E$1:E4432)*(E4433=E$1:E4432)))))</f>
        <v> </v>
      </c>
      <c r="L4433" s="26"/>
    </row>
    <row r="4434" spans="1:12">
      <c r="A4434" s="20" t="s">
        <v>1130</v>
      </c>
      <c r="E4434" s="21">
        <f>IF(D4434="?OLD","!!!","")</f>
        <v/>
      </c>
      <c r="F4434" s="22" t="str">
        <f>IF(OR(E4434="",E4434="!!!"),"",IF(NOT(ISNA(VLOOKUP(E4434,E$1:E4433,1,FALSE()))),"OLD",IF(AND(E4434&lt;&gt;"",E4434&lt;&gt;"!!!"),"NEW","")))</f>
        <v> </v>
      </c>
      <c r="G4434" s="23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4" t="str">
        <f>IF(J4434&lt;&gt;1,"",IF(I4434="SBJ","CB","?"))</f>
        <v> </v>
      </c>
      <c r="I4434" s="25" t="str">
        <f>IF(OR(E4434="",E4434="!!!",F4434="NEW"),"",INDEX(B4433:B$2,-1+SUMPRODUCT(MAX(ROW(E4433:E$2)*(E4434=E4433:E$2)))))</f>
        <v> </v>
      </c>
      <c r="J4434" s="25" t="str">
        <f>IF(OR(E4434="",E4434="!!!",F4434="NEW"),"",COUNTBLANK(OFFSET(A$1,,,SUMPRODUCT(MAX(ROW(E$2:E4434)*(E4434=E$2:E4434)))))-COUNTBLANK(OFFSET(A$1,,,SUMPRODUCT(MAX(ROW(E$1:E4433)*(E2=E$1:E4433))))))</f>
        <v> </v>
      </c>
      <c r="K4434" s="25" t="str">
        <f>IF(OR(E4434="",E4434="!!!",F4434="NEW"),"",INDEX(J$1:J4433,SUMPRODUCT(MAX(ROW(E$1:E4433)*(E4434=E$1:E4433)))))</f>
        <v> </v>
      </c>
      <c r="L4434" s="26"/>
    </row>
    <row r="4435" spans="1:12">
      <c r="A4435" s="20" t="s">
        <v>2704</v>
      </c>
      <c r="E4435" s="21">
        <f>IF(D4435="?OLD","!!!","")</f>
        <v/>
      </c>
      <c r="F4435" s="22" t="str">
        <f>IF(OR(E4435="",E4435="!!!"),"",IF(NOT(ISNA(VLOOKUP(E4435,E$1:E4434,1,FALSE()))),"OLD",IF(AND(E4435&lt;&gt;"",E4435&lt;&gt;"!!!"),"NEW","")))</f>
        <v> </v>
      </c>
      <c r="G4435" s="23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4" t="str">
        <f>IF(J4435&lt;&gt;1,"",IF(I4435="SBJ","CB","?"))</f>
        <v> </v>
      </c>
      <c r="I4435" s="25" t="str">
        <f>IF(OR(E4435="",E4435="!!!",F4435="NEW"),"",INDEX(B4434:B$2,-1+SUMPRODUCT(MAX(ROW(E4434:E$2)*(E4435=E4434:E$2)))))</f>
        <v> </v>
      </c>
      <c r="J4435" s="25" t="str">
        <f>IF(OR(E4435="",E4435="!!!",F4435="NEW"),"",COUNTBLANK(OFFSET(A$1,,,SUMPRODUCT(MAX(ROW(E$2:E4435)*(E4435=E$2:E4435)))))-COUNTBLANK(OFFSET(A$1,,,SUMPRODUCT(MAX(ROW(E$1:E4434)*(E2=E$1:E4434))))))</f>
        <v> </v>
      </c>
      <c r="K4435" s="25" t="str">
        <f>IF(OR(E4435="",E4435="!!!",F4435="NEW"),"",INDEX(J$1:J4434,SUMPRODUCT(MAX(ROW(E$1:E4434)*(E4435=E$1:E4434)))))</f>
        <v> </v>
      </c>
      <c r="L4435" s="26"/>
    </row>
    <row r="4436" spans="1:12">
      <c r="A4436" s="20" t="s">
        <v>3058</v>
      </c>
      <c r="B4436" s="27" t="s">
        <v>1307</v>
      </c>
      <c r="C4436" s="27" t="s">
        <v>1108</v>
      </c>
      <c r="D4436" s="27" t="s">
        <v>1105</v>
      </c>
      <c r="E4436" s="21">
        <f>IF(D4436="?OLD","!!!","")</f>
        <v/>
      </c>
      <c r="F4436" s="22" t="str">
        <f>IF(OR(E4436="",E4436="!!!"),"",IF(NOT(ISNA(VLOOKUP(E4436,E$1:E4435,1,FALSE()))),"OLD",IF(AND(E4436&lt;&gt;"",E4436&lt;&gt;"!!!"),"NEW","")))</f>
        <v> </v>
      </c>
      <c r="G4436" s="23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4" t="str">
        <f>IF(J4436&lt;&gt;1,"",IF(I4436="SBJ","CB","?"))</f>
        <v> </v>
      </c>
      <c r="I4436" s="25" t="str">
        <f>IF(OR(E4436="",E4436="!!!",F4436="NEW"),"",INDEX(B4435:B$2,-1+SUMPRODUCT(MAX(ROW(E4435:E$2)*(E4436=E4435:E$2)))))</f>
        <v> </v>
      </c>
      <c r="J4436" s="25" t="str">
        <f>IF(OR(E4436="",E4436="!!!",F4436="NEW"),"",COUNTBLANK(OFFSET(A$1,,,SUMPRODUCT(MAX(ROW(E$2:E4436)*(E4436=E$2:E4436)))))-COUNTBLANK(OFFSET(A$1,,,SUMPRODUCT(MAX(ROW(E$1:E4435)*(E2=E$1:E4435))))))</f>
        <v> </v>
      </c>
      <c r="K4436" s="25" t="str">
        <f>IF(OR(E4436="",E4436="!!!",F4436="NEW"),"",INDEX(J$1:J4435,SUMPRODUCT(MAX(ROW(E$1:E4435)*(E4436=E$1:E4435)))))</f>
        <v> </v>
      </c>
      <c r="L4436" s="26"/>
    </row>
    <row r="4437" spans="1:12">
      <c r="A4437" s="20" t="s">
        <v>1145</v>
      </c>
      <c r="E4437" s="21">
        <f>IF(D4437="?OLD","!!!","")</f>
        <v/>
      </c>
      <c r="F4437" s="22" t="str">
        <f>IF(OR(E4437="",E4437="!!!"),"",IF(NOT(ISNA(VLOOKUP(E4437,E$1:E4436,1,FALSE()))),"OLD",IF(AND(E4437&lt;&gt;"",E4437&lt;&gt;"!!!"),"NEW","")))</f>
        <v> </v>
      </c>
      <c r="G4437" s="23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4" t="str">
        <f>IF(J4437&lt;&gt;1,"",IF(I4437="SBJ","CB","?"))</f>
        <v> </v>
      </c>
      <c r="I4437" s="25" t="str">
        <f>IF(OR(E4437="",E4437="!!!",F4437="NEW"),"",INDEX(B4436:B$2,-1+SUMPRODUCT(MAX(ROW(E4436:E$2)*(E4437=E4436:E$2)))))</f>
        <v> </v>
      </c>
      <c r="J4437" s="25" t="str">
        <f>IF(OR(E4437="",E4437="!!!",F4437="NEW"),"",COUNTBLANK(OFFSET(A$1,,,SUMPRODUCT(MAX(ROW(E$2:E4437)*(E4437=E$2:E4437)))))-COUNTBLANK(OFFSET(A$1,,,SUMPRODUCT(MAX(ROW(E$1:E4436)*(E2=E$1:E4436))))))</f>
        <v> </v>
      </c>
      <c r="K4437" s="25" t="str">
        <f>IF(OR(E4437="",E4437="!!!",F4437="NEW"),"",INDEX(J$1:J4436,SUMPRODUCT(MAX(ROW(E$1:E4436)*(E4437=E$1:E4436)))))</f>
        <v> </v>
      </c>
      <c r="L4437" s="26"/>
    </row>
    <row r="4438" spans="1:12">
      <c r="A4438" s="20"/>
    </row>
    <row r="4439" spans="1:12">
      <c r="A4439" s="20" t="s">
        <v>3059</v>
      </c>
    </row>
    <row r="4440" spans="1:12">
      <c r="A4440" s="20" t="s">
        <v>1406</v>
      </c>
      <c r="E4440" s="21">
        <f>IF(D4440="?OLD","!!!","")</f>
        <v/>
      </c>
      <c r="F4440" s="22" t="str">
        <f>IF(OR(E4440="",E4440="!!!"),"",IF(NOT(ISNA(VLOOKUP(E4440,E$1:E4439,1,FALSE()))),"OLD",IF(AND(E4440&lt;&gt;"",E4440&lt;&gt;"!!!"),"NEW","")))</f>
        <v> </v>
      </c>
      <c r="G4440" s="23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4" t="str">
        <f>IF(J4440&lt;&gt;1,"",IF(I4440="SBJ","CB","?"))</f>
        <v> </v>
      </c>
      <c r="I4440" s="25" t="str">
        <f>IF(OR(E4440="",E4440="!!!",F4440="NEW"),"",INDEX(B4439:B$2,-1+SUMPRODUCT(MAX(ROW(E4439:E$2)*(E4440=E4439:E$2)))))</f>
        <v> </v>
      </c>
      <c r="J4440" s="25" t="str">
        <f>IF(OR(E4440="",E4440="!!!",F4440="NEW"),"",COUNTBLANK(OFFSET(A$1,,,SUMPRODUCT(MAX(ROW(E$2:E4440)*(E4440=E$2:E4440)))))-COUNTBLANK(OFFSET(A$1,,,SUMPRODUCT(MAX(ROW(E$1:E4439)*(E2=E$1:E4439))))))</f>
        <v> </v>
      </c>
      <c r="K4440" s="25" t="str">
        <f>IF(OR(E4440="",E4440="!!!",F4440="NEW"),"",INDEX(J$1:J4439,SUMPRODUCT(MAX(ROW(E$1:E4439)*(E4440=E$1:E4439)))))</f>
        <v> </v>
      </c>
      <c r="L4440" s="26"/>
    </row>
    <row r="4441" spans="1:12">
      <c r="A4441" s="20" t="s">
        <v>3060</v>
      </c>
      <c r="E4441" s="21">
        <f>IF(D4441="?OLD","!!!","")</f>
        <v/>
      </c>
      <c r="F4441" s="22" t="str">
        <f>IF(OR(E4441="",E4441="!!!"),"",IF(NOT(ISNA(VLOOKUP(E4441,E$1:E4440,1,FALSE()))),"OLD",IF(AND(E4441&lt;&gt;"",E4441&lt;&gt;"!!!"),"NEW","")))</f>
        <v> </v>
      </c>
      <c r="G4441" s="23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4" t="str">
        <f>IF(J4441&lt;&gt;1,"",IF(I4441="SBJ","CB","?"))</f>
        <v> </v>
      </c>
      <c r="I4441" s="25" t="str">
        <f>IF(OR(E4441="",E4441="!!!",F4441="NEW"),"",INDEX(B4440:B$2,-1+SUMPRODUCT(MAX(ROW(E4440:E$2)*(E4441=E4440:E$2)))))</f>
        <v> </v>
      </c>
      <c r="J4441" s="25" t="str">
        <f>IF(OR(E4441="",E4441="!!!",F4441="NEW"),"",COUNTBLANK(OFFSET(A$1,,,SUMPRODUCT(MAX(ROW(E$2:E4441)*(E4441=E$2:E4441)))))-COUNTBLANK(OFFSET(A$1,,,SUMPRODUCT(MAX(ROW(E$1:E4440)*(E2=E$1:E4440))))))</f>
        <v> </v>
      </c>
      <c r="K4441" s="25" t="str">
        <f>IF(OR(E4441="",E4441="!!!",F4441="NEW"),"",INDEX(J$1:J4440,SUMPRODUCT(MAX(ROW(E$1:E4440)*(E4441=E$1:E4440)))))</f>
        <v> </v>
      </c>
      <c r="L4441" s="26"/>
    </row>
    <row r="4442" spans="1:12">
      <c r="A4442" s="20" t="s">
        <v>1123</v>
      </c>
      <c r="E4442" s="21">
        <f>IF(D4442="?OLD","!!!","")</f>
        <v/>
      </c>
      <c r="F4442" s="22" t="str">
        <f>IF(OR(E4442="",E4442="!!!"),"",IF(NOT(ISNA(VLOOKUP(E4442,E$1:E4441,1,FALSE()))),"OLD",IF(AND(E4442&lt;&gt;"",E4442&lt;&gt;"!!!"),"NEW","")))</f>
        <v> </v>
      </c>
      <c r="G4442" s="23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4" t="str">
        <f>IF(J4442&lt;&gt;1,"",IF(I4442="SBJ","CB","?"))</f>
        <v> </v>
      </c>
      <c r="I4442" s="25" t="str">
        <f>IF(OR(E4442="",E4442="!!!",F4442="NEW"),"",INDEX(B4441:B$2,-1+SUMPRODUCT(MAX(ROW(E4441:E$2)*(E4442=E4441:E$2)))))</f>
        <v> </v>
      </c>
      <c r="J4442" s="25" t="str">
        <f>IF(OR(E4442="",E4442="!!!",F4442="NEW"),"",COUNTBLANK(OFFSET(A$1,,,SUMPRODUCT(MAX(ROW(E$2:E4442)*(E4442=E$2:E4442)))))-COUNTBLANK(OFFSET(A$1,,,SUMPRODUCT(MAX(ROW(E$1:E4441)*(E2=E$1:E4441))))))</f>
        <v> </v>
      </c>
      <c r="K4442" s="25" t="str">
        <f>IF(OR(E4442="",E4442="!!!",F4442="NEW"),"",INDEX(J$1:J4441,SUMPRODUCT(MAX(ROW(E$1:E4441)*(E4442=E$1:E4441)))))</f>
        <v> </v>
      </c>
      <c r="L4442" s="26"/>
    </row>
    <row r="4443" spans="1:12">
      <c r="A4443" s="20" t="s">
        <v>135</v>
      </c>
      <c r="E4443" s="21">
        <f>IF(D4443="?OLD","!!!","")</f>
        <v/>
      </c>
      <c r="F4443" s="22" t="str">
        <f>IF(OR(E4443="",E4443="!!!"),"",IF(NOT(ISNA(VLOOKUP(E4443,E$1:E4442,1,FALSE()))),"OLD",IF(AND(E4443&lt;&gt;"",E4443&lt;&gt;"!!!"),"NEW","")))</f>
        <v> </v>
      </c>
      <c r="G4443" s="23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4" t="str">
        <f>IF(J4443&lt;&gt;1,"",IF(I4443="SBJ","CB","?"))</f>
        <v> </v>
      </c>
      <c r="I4443" s="25" t="str">
        <f>IF(OR(E4443="",E4443="!!!",F4443="NEW"),"",INDEX(B4442:B$2,-1+SUMPRODUCT(MAX(ROW(E4442:E$2)*(E4443=E4442:E$2)))))</f>
        <v> </v>
      </c>
      <c r="J4443" s="25" t="str">
        <f>IF(OR(E4443="",E4443="!!!",F4443="NEW"),"",COUNTBLANK(OFFSET(A$1,,,SUMPRODUCT(MAX(ROW(E$2:E4443)*(E4443=E$2:E4443)))))-COUNTBLANK(OFFSET(A$1,,,SUMPRODUCT(MAX(ROW(E$1:E4442)*(E2=E$1:E4442))))))</f>
        <v> </v>
      </c>
      <c r="K4443" s="25" t="str">
        <f>IF(OR(E4443="",E4443="!!!",F4443="NEW"),"",INDEX(J$1:J4442,SUMPRODUCT(MAX(ROW(E$1:E4442)*(E4443=E$1:E4442)))))</f>
        <v> </v>
      </c>
      <c r="L4443" s="26"/>
    </row>
    <row r="4444" spans="1:12">
      <c r="A4444" s="20" t="s">
        <v>3061</v>
      </c>
      <c r="E4444" s="21">
        <f>IF(D4444="?OLD","!!!","")</f>
        <v/>
      </c>
      <c r="F4444" s="22" t="str">
        <f>IF(OR(E4444="",E4444="!!!"),"",IF(NOT(ISNA(VLOOKUP(E4444,E$1:E4443,1,FALSE()))),"OLD",IF(AND(E4444&lt;&gt;"",E4444&lt;&gt;"!!!"),"NEW","")))</f>
        <v> </v>
      </c>
      <c r="G4444" s="23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4" t="str">
        <f>IF(J4444&lt;&gt;1,"",IF(I4444="SBJ","CB","?"))</f>
        <v> </v>
      </c>
      <c r="I4444" s="25" t="str">
        <f>IF(OR(E4444="",E4444="!!!",F4444="NEW"),"",INDEX(B4443:B$2,-1+SUMPRODUCT(MAX(ROW(E4443:E$2)*(E4444=E4443:E$2)))))</f>
        <v> </v>
      </c>
      <c r="J4444" s="25" t="str">
        <f>IF(OR(E4444="",E4444="!!!",F4444="NEW"),"",COUNTBLANK(OFFSET(A$1,,,SUMPRODUCT(MAX(ROW(E$2:E4444)*(E4444=E$2:E4444)))))-COUNTBLANK(OFFSET(A$1,,,SUMPRODUCT(MAX(ROW(E$1:E4443)*(E2=E$1:E4443))))))</f>
        <v> </v>
      </c>
      <c r="K4444" s="25" t="str">
        <f>IF(OR(E4444="",E4444="!!!",F4444="NEW"),"",INDEX(J$1:J4443,SUMPRODUCT(MAX(ROW(E$1:E4443)*(E4444=E$1:E4443)))))</f>
        <v> </v>
      </c>
      <c r="L4444" s="26"/>
    </row>
    <row r="4445" spans="1:12">
      <c r="A4445" s="20" t="s">
        <v>3062</v>
      </c>
      <c r="B4445" s="27" t="s">
        <v>1122</v>
      </c>
      <c r="E4445" s="21">
        <f>IF(D4445="?OLD","!!!","")</f>
        <v/>
      </c>
      <c r="F4445" s="22" t="str">
        <f>IF(OR(E4445="",E4445="!!!"),"",IF(NOT(ISNA(VLOOKUP(E4445,E$1:E4444,1,FALSE()))),"OLD",IF(AND(E4445&lt;&gt;"",E4445&lt;&gt;"!!!"),"NEW","")))</f>
        <v> </v>
      </c>
      <c r="G4445" s="23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4" t="str">
        <f>IF(J4445&lt;&gt;1,"",IF(I4445="SBJ","CB","?"))</f>
        <v> </v>
      </c>
      <c r="I4445" s="25" t="str">
        <f>IF(OR(E4445="",E4445="!!!",F4445="NEW"),"",INDEX(B4444:B$2,-1+SUMPRODUCT(MAX(ROW(E4444:E$2)*(E4445=E4444:E$2)))))</f>
        <v> </v>
      </c>
      <c r="J4445" s="25" t="str">
        <f>IF(OR(E4445="",E4445="!!!",F4445="NEW"),"",COUNTBLANK(OFFSET(A$1,,,SUMPRODUCT(MAX(ROW(E$2:E4445)*(E4445=E$2:E4445)))))-COUNTBLANK(OFFSET(A$1,,,SUMPRODUCT(MAX(ROW(E$1:E4444)*(E2=E$1:E4444))))))</f>
        <v> </v>
      </c>
      <c r="K4445" s="25" t="str">
        <f>IF(OR(E4445="",E4445="!!!",F4445="NEW"),"",INDEX(J$1:J4444,SUMPRODUCT(MAX(ROW(E$1:E4444)*(E4445=E$1:E4444)))))</f>
        <v> </v>
      </c>
      <c r="L4445" s="26"/>
    </row>
    <row r="4446" spans="1:12">
      <c r="A4446" s="20" t="s">
        <v>3063</v>
      </c>
      <c r="E4446" s="21">
        <f>IF(D4446="?OLD","!!!","")</f>
        <v/>
      </c>
      <c r="F4446" s="22" t="str">
        <f>IF(OR(E4446="",E4446="!!!"),"",IF(NOT(ISNA(VLOOKUP(E4446,E$1:E4445,1,FALSE()))),"OLD",IF(AND(E4446&lt;&gt;"",E4446&lt;&gt;"!!!"),"NEW","")))</f>
        <v> </v>
      </c>
      <c r="G4446" s="23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4" t="str">
        <f>IF(J4446&lt;&gt;1,"",IF(I4446="SBJ","CB","?"))</f>
        <v> </v>
      </c>
      <c r="I4446" s="25" t="str">
        <f>IF(OR(E4446="",E4446="!!!",F4446="NEW"),"",INDEX(B4445:B$2,-1+SUMPRODUCT(MAX(ROW(E4445:E$2)*(E4446=E4445:E$2)))))</f>
        <v> </v>
      </c>
      <c r="J4446" s="25" t="str">
        <f>IF(OR(E4446="",E4446="!!!",F4446="NEW"),"",COUNTBLANK(OFFSET(A$1,,,SUMPRODUCT(MAX(ROW(E$2:E4446)*(E4446=E$2:E4446)))))-COUNTBLANK(OFFSET(A$1,,,SUMPRODUCT(MAX(ROW(E$1:E4445)*(E2=E$1:E4445))))))</f>
        <v> </v>
      </c>
      <c r="K4446" s="25" t="str">
        <f>IF(OR(E4446="",E4446="!!!",F4446="NEW"),"",INDEX(J$1:J4445,SUMPRODUCT(MAX(ROW(E$1:E4445)*(E4446=E$1:E4445)))))</f>
        <v> </v>
      </c>
      <c r="L4446" s="26"/>
    </row>
    <row r="4447" spans="1:12">
      <c r="A4447" s="20" t="s">
        <v>3064</v>
      </c>
      <c r="B4447" s="27" t="s">
        <v>1122</v>
      </c>
      <c r="E4447" s="21">
        <f>IF(D4447="?OLD","!!!","")</f>
        <v/>
      </c>
      <c r="F4447" s="22" t="str">
        <f>IF(OR(E4447="",E4447="!!!"),"",IF(NOT(ISNA(VLOOKUP(E4447,E$1:E4446,1,FALSE()))),"OLD",IF(AND(E4447&lt;&gt;"",E4447&lt;&gt;"!!!"),"NEW","")))</f>
        <v> </v>
      </c>
      <c r="G4447" s="23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4" t="str">
        <f>IF(J4447&lt;&gt;1,"",IF(I4447="SBJ","CB","?"))</f>
        <v> </v>
      </c>
      <c r="I4447" s="25" t="str">
        <f>IF(OR(E4447="",E4447="!!!",F4447="NEW"),"",INDEX(B4446:B$2,-1+SUMPRODUCT(MAX(ROW(E4446:E$2)*(E4447=E4446:E$2)))))</f>
        <v> </v>
      </c>
      <c r="J4447" s="25" t="str">
        <f>IF(OR(E4447="",E4447="!!!",F4447="NEW"),"",COUNTBLANK(OFFSET(A$1,,,SUMPRODUCT(MAX(ROW(E$2:E4447)*(E4447=E$2:E4447)))))-COUNTBLANK(OFFSET(A$1,,,SUMPRODUCT(MAX(ROW(E$1:E4446)*(E2=E$1:E4446))))))</f>
        <v> </v>
      </c>
      <c r="K4447" s="25" t="str">
        <f>IF(OR(E4447="",E4447="!!!",F4447="NEW"),"",INDEX(J$1:J4446,SUMPRODUCT(MAX(ROW(E$1:E4446)*(E4447=E$1:E4446)))))</f>
        <v> </v>
      </c>
      <c r="L4447" s="26"/>
    </row>
    <row r="4448" spans="1:12">
      <c r="A4448" s="20" t="s">
        <v>3065</v>
      </c>
      <c r="E4448" s="21">
        <f>IF(D4448="?OLD","!!!","")</f>
        <v/>
      </c>
      <c r="F4448" s="22" t="str">
        <f>IF(OR(E4448="",E4448="!!!"),"",IF(NOT(ISNA(VLOOKUP(E4448,E$1:E4447,1,FALSE()))),"OLD",IF(AND(E4448&lt;&gt;"",E4448&lt;&gt;"!!!"),"NEW","")))</f>
        <v> </v>
      </c>
      <c r="G4448" s="23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4" t="str">
        <f>IF(J4448&lt;&gt;1,"",IF(I4448="SBJ","CB","?"))</f>
        <v> </v>
      </c>
      <c r="I4448" s="25" t="str">
        <f>IF(OR(E4448="",E4448="!!!",F4448="NEW"),"",INDEX(B4447:B$2,-1+SUMPRODUCT(MAX(ROW(E4447:E$2)*(E4448=E4447:E$2)))))</f>
        <v> </v>
      </c>
      <c r="J4448" s="25" t="str">
        <f>IF(OR(E4448="",E4448="!!!",F4448="NEW"),"",COUNTBLANK(OFFSET(A$1,,,SUMPRODUCT(MAX(ROW(E$2:E4448)*(E4448=E$2:E4448)))))-COUNTBLANK(OFFSET(A$1,,,SUMPRODUCT(MAX(ROW(E$1:E4447)*(E2=E$1:E4447))))))</f>
        <v> </v>
      </c>
      <c r="K4448" s="25" t="str">
        <f>IF(OR(E4448="",E4448="!!!",F4448="NEW"),"",INDEX(J$1:J4447,SUMPRODUCT(MAX(ROW(E$1:E4447)*(E4448=E$1:E4447)))))</f>
        <v> </v>
      </c>
      <c r="L4448" s="26"/>
    </row>
    <row r="4449" spans="1:12">
      <c r="A4449" s="20" t="s">
        <v>1239</v>
      </c>
      <c r="E4449" s="21">
        <f>IF(D4449="?OLD","!!!","")</f>
        <v/>
      </c>
      <c r="F4449" s="22" t="str">
        <f>IF(OR(E4449="",E4449="!!!"),"",IF(NOT(ISNA(VLOOKUP(E4449,E$1:E4448,1,FALSE()))),"OLD",IF(AND(E4449&lt;&gt;"",E4449&lt;&gt;"!!!"),"NEW","")))</f>
        <v> </v>
      </c>
      <c r="G4449" s="23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4" t="str">
        <f>IF(J4449&lt;&gt;1,"",IF(I4449="SBJ","CB","?"))</f>
        <v> </v>
      </c>
      <c r="I4449" s="25" t="str">
        <f>IF(OR(E4449="",E4449="!!!",F4449="NEW"),"",INDEX(B4448:B$2,-1+SUMPRODUCT(MAX(ROW(E4448:E$2)*(E4449=E4448:E$2)))))</f>
        <v> </v>
      </c>
      <c r="J4449" s="25" t="str">
        <f>IF(OR(E4449="",E4449="!!!",F4449="NEW"),"",COUNTBLANK(OFFSET(A$1,,,SUMPRODUCT(MAX(ROW(E$2:E4449)*(E4449=E$2:E4449)))))-COUNTBLANK(OFFSET(A$1,,,SUMPRODUCT(MAX(ROW(E$1:E4448)*(E2=E$1:E4448))))))</f>
        <v> </v>
      </c>
      <c r="K4449" s="25" t="str">
        <f>IF(OR(E4449="",E4449="!!!",F4449="NEW"),"",INDEX(J$1:J4448,SUMPRODUCT(MAX(ROW(E$1:E4448)*(E4449=E$1:E4448)))))</f>
        <v> </v>
      </c>
      <c r="L4449" s="26"/>
    </row>
    <row r="4450" spans="1:12">
      <c r="A4450" s="20" t="s">
        <v>1123</v>
      </c>
      <c r="E4450" s="21">
        <f>IF(D4450="?OLD","!!!","")</f>
        <v/>
      </c>
      <c r="F4450" s="22" t="str">
        <f>IF(OR(E4450="",E4450="!!!"),"",IF(NOT(ISNA(VLOOKUP(E4450,E$1:E4449,1,FALSE()))),"OLD",IF(AND(E4450&lt;&gt;"",E4450&lt;&gt;"!!!"),"NEW","")))</f>
        <v> </v>
      </c>
      <c r="G4450" s="23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4" t="str">
        <f>IF(J4450&lt;&gt;1,"",IF(I4450="SBJ","CB","?"))</f>
        <v> </v>
      </c>
      <c r="I4450" s="25" t="str">
        <f>IF(OR(E4450="",E4450="!!!",F4450="NEW"),"",INDEX(B4449:B$2,-1+SUMPRODUCT(MAX(ROW(E4449:E$2)*(E4450=E4449:E$2)))))</f>
        <v> </v>
      </c>
      <c r="J4450" s="25" t="str">
        <f>IF(OR(E4450="",E4450="!!!",F4450="NEW"),"",COUNTBLANK(OFFSET(A$1,,,SUMPRODUCT(MAX(ROW(E$2:E4450)*(E4450=E$2:E4450)))))-COUNTBLANK(OFFSET(A$1,,,SUMPRODUCT(MAX(ROW(E$1:E4449)*(E2=E$1:E4449))))))</f>
        <v> </v>
      </c>
      <c r="K4450" s="25" t="str">
        <f>IF(OR(E4450="",E4450="!!!",F4450="NEW"),"",INDEX(J$1:J4449,SUMPRODUCT(MAX(ROW(E$1:E4449)*(E4450=E$1:E4449)))))</f>
        <v> </v>
      </c>
      <c r="L4450" s="26"/>
    </row>
    <row r="4451" spans="1:12">
      <c r="A4451" s="20" t="s">
        <v>3066</v>
      </c>
      <c r="E4451" s="21">
        <f>IF(D4451="?OLD","!!!","")</f>
        <v/>
      </c>
      <c r="F4451" s="22" t="str">
        <f>IF(OR(E4451="",E4451="!!!"),"",IF(NOT(ISNA(VLOOKUP(E4451,E$1:E4450,1,FALSE()))),"OLD",IF(AND(E4451&lt;&gt;"",E4451&lt;&gt;"!!!"),"NEW","")))</f>
        <v> </v>
      </c>
      <c r="G4451" s="23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4" t="str">
        <f>IF(J4451&lt;&gt;1,"",IF(I4451="SBJ","CB","?"))</f>
        <v> </v>
      </c>
      <c r="I4451" s="25" t="str">
        <f>IF(OR(E4451="",E4451="!!!",F4451="NEW"),"",INDEX(B4450:B$2,-1+SUMPRODUCT(MAX(ROW(E4450:E$2)*(E4451=E4450:E$2)))))</f>
        <v> </v>
      </c>
      <c r="J4451" s="25" t="str">
        <f>IF(OR(E4451="",E4451="!!!",F4451="NEW"),"",COUNTBLANK(OFFSET(A$1,,,SUMPRODUCT(MAX(ROW(E$2:E4451)*(E4451=E$2:E4451)))))-COUNTBLANK(OFFSET(A$1,,,SUMPRODUCT(MAX(ROW(E$1:E4450)*(E2=E$1:E4450))))))</f>
        <v> </v>
      </c>
      <c r="K4451" s="25" t="str">
        <f>IF(OR(E4451="",E4451="!!!",F4451="NEW"),"",INDEX(J$1:J4450,SUMPRODUCT(MAX(ROW(E$1:E4450)*(E4451=E$1:E4450)))))</f>
        <v> </v>
      </c>
      <c r="L4451" s="26"/>
    </row>
    <row r="4452" spans="1:12">
      <c r="A4452" s="20" t="s">
        <v>1123</v>
      </c>
      <c r="E4452" s="21">
        <f>IF(D4452="?OLD","!!!","")</f>
        <v/>
      </c>
      <c r="F4452" s="22" t="str">
        <f>IF(OR(E4452="",E4452="!!!"),"",IF(NOT(ISNA(VLOOKUP(E4452,E$1:E4451,1,FALSE()))),"OLD",IF(AND(E4452&lt;&gt;"",E4452&lt;&gt;"!!!"),"NEW","")))</f>
        <v> </v>
      </c>
      <c r="G4452" s="23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4" t="str">
        <f>IF(J4452&lt;&gt;1,"",IF(I4452="SBJ","CB","?"))</f>
        <v> </v>
      </c>
      <c r="I4452" s="25" t="str">
        <f>IF(OR(E4452="",E4452="!!!",F4452="NEW"),"",INDEX(B4451:B$2,-1+SUMPRODUCT(MAX(ROW(E4451:E$2)*(E4452=E4451:E$2)))))</f>
        <v> </v>
      </c>
      <c r="J4452" s="25" t="str">
        <f>IF(OR(E4452="",E4452="!!!",F4452="NEW"),"",COUNTBLANK(OFFSET(A$1,,,SUMPRODUCT(MAX(ROW(E$2:E4452)*(E4452=E$2:E4452)))))-COUNTBLANK(OFFSET(A$1,,,SUMPRODUCT(MAX(ROW(E$1:E4451)*(E2=E$1:E4451))))))</f>
        <v> </v>
      </c>
      <c r="K4452" s="25" t="str">
        <f>IF(OR(E4452="",E4452="!!!",F4452="NEW"),"",INDEX(J$1:J4451,SUMPRODUCT(MAX(ROW(E$1:E4451)*(E4452=E$1:E4451)))))</f>
        <v> </v>
      </c>
      <c r="L4452" s="26"/>
    </row>
    <row r="4453" spans="1:12">
      <c r="A4453" s="20" t="s">
        <v>1128</v>
      </c>
      <c r="E4453" s="21">
        <f>IF(D4453="?OLD","!!!","")</f>
        <v/>
      </c>
      <c r="F4453" s="22" t="str">
        <f>IF(OR(E4453="",E4453="!!!"),"",IF(NOT(ISNA(VLOOKUP(E4453,E$1:E4452,1,FALSE()))),"OLD",IF(AND(E4453&lt;&gt;"",E4453&lt;&gt;"!!!"),"NEW","")))</f>
        <v> </v>
      </c>
      <c r="G4453" s="23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4" t="str">
        <f>IF(J4453&lt;&gt;1,"",IF(I4453="SBJ","CB","?"))</f>
        <v> </v>
      </c>
      <c r="I4453" s="25" t="str">
        <f>IF(OR(E4453="",E4453="!!!",F4453="NEW"),"",INDEX(B4452:B$2,-1+SUMPRODUCT(MAX(ROW(E4452:E$2)*(E4453=E4452:E$2)))))</f>
        <v> </v>
      </c>
      <c r="J4453" s="25" t="str">
        <f>IF(OR(E4453="",E4453="!!!",F4453="NEW"),"",COUNTBLANK(OFFSET(A$1,,,SUMPRODUCT(MAX(ROW(E$2:E4453)*(E4453=E$2:E4453)))))-COUNTBLANK(OFFSET(A$1,,,SUMPRODUCT(MAX(ROW(E$1:E4452)*(E2=E$1:E4452))))))</f>
        <v> </v>
      </c>
      <c r="K4453" s="25" t="str">
        <f>IF(OR(E4453="",E4453="!!!",F4453="NEW"),"",INDEX(J$1:J4452,SUMPRODUCT(MAX(ROW(E$1:E4452)*(E4453=E$1:E4452)))))</f>
        <v> </v>
      </c>
      <c r="L4453" s="26"/>
    </row>
    <row r="4454" spans="1:12">
      <c r="A4454" s="20" t="s">
        <v>1691</v>
      </c>
      <c r="B4454" s="27" t="s">
        <v>1132</v>
      </c>
      <c r="C4454" s="27" t="s">
        <v>1142</v>
      </c>
      <c r="D4454" s="27" t="s">
        <v>1105</v>
      </c>
      <c r="E4454" s="21">
        <f>IF(D4454="?OLD","!!!","")</f>
        <v/>
      </c>
      <c r="F4454" s="22" t="str">
        <f>IF(OR(E4454="",E4454="!!!"),"",IF(NOT(ISNA(VLOOKUP(E4454,E$1:E4453,1,FALSE()))),"OLD",IF(AND(E4454&lt;&gt;"",E4454&lt;&gt;"!!!"),"NEW","")))</f>
        <v> </v>
      </c>
      <c r="G4454" s="23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4" t="str">
        <f>IF(J4454&lt;&gt;1,"",IF(I4454="SBJ","CB","?"))</f>
        <v> </v>
      </c>
      <c r="I4454" s="25" t="str">
        <f>IF(OR(E4454="",E4454="!!!",F4454="NEW"),"",INDEX(B4453:B$2,-1+SUMPRODUCT(MAX(ROW(E4453:E$2)*(E4454=E4453:E$2)))))</f>
        <v> </v>
      </c>
      <c r="J4454" s="25" t="str">
        <f>IF(OR(E4454="",E4454="!!!",F4454="NEW"),"",COUNTBLANK(OFFSET(A$1,,,SUMPRODUCT(MAX(ROW(E$2:E4454)*(E4454=E$2:E4454)))))-COUNTBLANK(OFFSET(A$1,,,SUMPRODUCT(MAX(ROW(E$1:E4453)*(E2=E$1:E4453))))))</f>
        <v> </v>
      </c>
      <c r="K4454" s="25" t="str">
        <f>IF(OR(E4454="",E4454="!!!",F4454="NEW"),"",INDEX(J$1:J4453,SUMPRODUCT(MAX(ROW(E$1:E4453)*(E4454=E$1:E4453)))))</f>
        <v> </v>
      </c>
      <c r="L4454" s="26"/>
    </row>
    <row r="4455" spans="1:12">
      <c r="A4455" s="20" t="s">
        <v>1511</v>
      </c>
      <c r="E4455" s="21">
        <f>IF(D4455="?OLD","!!!","")</f>
        <v/>
      </c>
      <c r="F4455" s="22" t="str">
        <f>IF(OR(E4455="",E4455="!!!"),"",IF(NOT(ISNA(VLOOKUP(E4455,E$1:E4454,1,FALSE()))),"OLD",IF(AND(E4455&lt;&gt;"",E4455&lt;&gt;"!!!"),"NEW","")))</f>
        <v> </v>
      </c>
      <c r="G4455" s="23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4" t="str">
        <f>IF(J4455&lt;&gt;1,"",IF(I4455="SBJ","CB","?"))</f>
        <v> </v>
      </c>
      <c r="I4455" s="25" t="str">
        <f>IF(OR(E4455="",E4455="!!!",F4455="NEW"),"",INDEX(B4454:B$2,-1+SUMPRODUCT(MAX(ROW(E4454:E$2)*(E4455=E4454:E$2)))))</f>
        <v> </v>
      </c>
      <c r="J4455" s="25" t="str">
        <f>IF(OR(E4455="",E4455="!!!",F4455="NEW"),"",COUNTBLANK(OFFSET(A$1,,,SUMPRODUCT(MAX(ROW(E$2:E4455)*(E4455=E$2:E4455)))))-COUNTBLANK(OFFSET(A$1,,,SUMPRODUCT(MAX(ROW(E$1:E4454)*(E2=E$1:E4454))))))</f>
        <v> </v>
      </c>
      <c r="K4455" s="25" t="str">
        <f>IF(OR(E4455="",E4455="!!!",F4455="NEW"),"",INDEX(J$1:J4454,SUMPRODUCT(MAX(ROW(E$1:E4454)*(E4455=E$1:E4454)))))</f>
        <v> </v>
      </c>
      <c r="L4455" s="26"/>
    </row>
    <row r="4456" spans="1:12">
      <c r="A4456" s="20" t="s">
        <v>1123</v>
      </c>
      <c r="E4456" s="21">
        <f>IF(D4456="?OLD","!!!","")</f>
        <v/>
      </c>
      <c r="F4456" s="22" t="str">
        <f>IF(OR(E4456="",E4456="!!!"),"",IF(NOT(ISNA(VLOOKUP(E4456,E$1:E4455,1,FALSE()))),"OLD",IF(AND(E4456&lt;&gt;"",E4456&lt;&gt;"!!!"),"NEW","")))</f>
        <v> </v>
      </c>
      <c r="G4456" s="23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4" t="str">
        <f>IF(J4456&lt;&gt;1,"",IF(I4456="SBJ","CB","?"))</f>
        <v> </v>
      </c>
      <c r="I4456" s="25" t="str">
        <f>IF(OR(E4456="",E4456="!!!",F4456="NEW"),"",INDEX(B4455:B$2,-1+SUMPRODUCT(MAX(ROW(E4455:E$2)*(E4456=E4455:E$2)))))</f>
        <v> </v>
      </c>
      <c r="J4456" s="25" t="str">
        <f>IF(OR(E4456="",E4456="!!!",F4456="NEW"),"",COUNTBLANK(OFFSET(A$1,,,SUMPRODUCT(MAX(ROW(E$2:E4456)*(E4456=E$2:E4456)))))-COUNTBLANK(OFFSET(A$1,,,SUMPRODUCT(MAX(ROW(E$1:E4455)*(E2=E$1:E4455))))))</f>
        <v> </v>
      </c>
      <c r="K4456" s="25" t="str">
        <f>IF(OR(E4456="",E4456="!!!",F4456="NEW"),"",INDEX(J$1:J4455,SUMPRODUCT(MAX(ROW(E$1:E4455)*(E4456=E$1:E4455)))))</f>
        <v> </v>
      </c>
      <c r="L4456" s="26"/>
    </row>
    <row r="4457" spans="1:12">
      <c r="A4457" s="20" t="s">
        <v>423</v>
      </c>
      <c r="E4457" s="21">
        <f>IF(D4457="?OLD","!!!","")</f>
        <v/>
      </c>
      <c r="F4457" s="22" t="str">
        <f>IF(OR(E4457="",E4457="!!!"),"",IF(NOT(ISNA(VLOOKUP(E4457,E$1:E4456,1,FALSE()))),"OLD",IF(AND(E4457&lt;&gt;"",E4457&lt;&gt;"!!!"),"NEW","")))</f>
        <v> </v>
      </c>
      <c r="G4457" s="23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4" t="str">
        <f>IF(J4457&lt;&gt;1,"",IF(I4457="SBJ","CB","?"))</f>
        <v> </v>
      </c>
      <c r="I4457" s="25" t="str">
        <f>IF(OR(E4457="",E4457="!!!",F4457="NEW"),"",INDEX(B4456:B$2,-1+SUMPRODUCT(MAX(ROW(E4456:E$2)*(E4457=E4456:E$2)))))</f>
        <v> </v>
      </c>
      <c r="J4457" s="25" t="str">
        <f>IF(OR(E4457="",E4457="!!!",F4457="NEW"),"",COUNTBLANK(OFFSET(A$1,,,SUMPRODUCT(MAX(ROW(E$2:E4457)*(E4457=E$2:E4457)))))-COUNTBLANK(OFFSET(A$1,,,SUMPRODUCT(MAX(ROW(E$1:E4456)*(E2=E$1:E4456))))))</f>
        <v> </v>
      </c>
      <c r="K4457" s="25" t="str">
        <f>IF(OR(E4457="",E4457="!!!",F4457="NEW"),"",INDEX(J$1:J4456,SUMPRODUCT(MAX(ROW(E$1:E4456)*(E4457=E$1:E4456)))))</f>
        <v> </v>
      </c>
      <c r="L4457" s="26"/>
    </row>
    <row r="4458" spans="1:12">
      <c r="A4458" s="20" t="s">
        <v>1128</v>
      </c>
      <c r="E4458" s="21">
        <f>IF(D4458="?OLD","!!!","")</f>
        <v/>
      </c>
      <c r="F4458" s="22" t="str">
        <f>IF(OR(E4458="",E4458="!!!"),"",IF(NOT(ISNA(VLOOKUP(E4458,E$1:E4457,1,FALSE()))),"OLD",IF(AND(E4458&lt;&gt;"",E4458&lt;&gt;"!!!"),"NEW","")))</f>
        <v> </v>
      </c>
      <c r="G4458" s="23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4" t="str">
        <f>IF(J4458&lt;&gt;1,"",IF(I4458="SBJ","CB","?"))</f>
        <v> </v>
      </c>
      <c r="I4458" s="25" t="str">
        <f>IF(OR(E4458="",E4458="!!!",F4458="NEW"),"",INDEX(B4457:B$2,-1+SUMPRODUCT(MAX(ROW(E4457:E$2)*(E4458=E4457:E$2)))))</f>
        <v> </v>
      </c>
      <c r="J4458" s="25" t="str">
        <f>IF(OR(E4458="",E4458="!!!",F4458="NEW"),"",COUNTBLANK(OFFSET(A$1,,,SUMPRODUCT(MAX(ROW(E$2:E4458)*(E4458=E$2:E4458)))))-COUNTBLANK(OFFSET(A$1,,,SUMPRODUCT(MAX(ROW(E$1:E4457)*(E2=E$1:E4457))))))</f>
        <v> </v>
      </c>
      <c r="K4458" s="25" t="str">
        <f>IF(OR(E4458="",E4458="!!!",F4458="NEW"),"",INDEX(J$1:J4457,SUMPRODUCT(MAX(ROW(E$1:E4457)*(E4458=E$1:E4457)))))</f>
        <v> </v>
      </c>
      <c r="L4458" s="26"/>
    </row>
    <row r="4459" spans="1:12">
      <c r="A4459" s="20" t="s">
        <v>1217</v>
      </c>
      <c r="B4459" s="27" t="s">
        <v>1870</v>
      </c>
      <c r="C4459" s="27" t="s">
        <v>1126</v>
      </c>
      <c r="D4459" s="27" t="s">
        <v>1105</v>
      </c>
      <c r="E4459" s="21">
        <f>IF(D4459="?OLD","!!!","")</f>
        <v/>
      </c>
      <c r="F4459" s="22" t="str">
        <f>IF(OR(E4459="",E4459="!!!"),"",IF(NOT(ISNA(VLOOKUP(E4459,E$1:E4458,1,FALSE()))),"OLD",IF(AND(E4459&lt;&gt;"",E4459&lt;&gt;"!!!"),"NEW","")))</f>
        <v> </v>
      </c>
      <c r="G4459" s="23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4" t="str">
        <f>IF(J4459&lt;&gt;1,"",IF(I4459="SBJ","CB","?"))</f>
        <v> </v>
      </c>
      <c r="I4459" s="25" t="str">
        <f>IF(OR(E4459="",E4459="!!!",F4459="NEW"),"",INDEX(B4458:B$2,-1+SUMPRODUCT(MAX(ROW(E4458:E$2)*(E4459=E4458:E$2)))))</f>
        <v> </v>
      </c>
      <c r="J4459" s="25" t="str">
        <f>IF(OR(E4459="",E4459="!!!",F4459="NEW"),"",COUNTBLANK(OFFSET(A$1,,,SUMPRODUCT(MAX(ROW(E$2:E4459)*(E4459=E$2:E4459)))))-COUNTBLANK(OFFSET(A$1,,,SUMPRODUCT(MAX(ROW(E$1:E4458)*(E2=E$1:E4458))))))</f>
        <v> </v>
      </c>
      <c r="K4459" s="25" t="str">
        <f>IF(OR(E4459="",E4459="!!!",F4459="NEW"),"",INDEX(J$1:J4458,SUMPRODUCT(MAX(ROW(E$1:E4458)*(E4459=E$1:E4458)))))</f>
        <v> </v>
      </c>
      <c r="L4459" s="26"/>
    </row>
    <row r="4460" spans="1:12">
      <c r="A4460" s="20" t="s">
        <v>1328</v>
      </c>
      <c r="E4460" s="21">
        <f>IF(D4460="?OLD","!!!","")</f>
        <v/>
      </c>
      <c r="F4460" s="22" t="str">
        <f>IF(OR(E4460="",E4460="!!!"),"",IF(NOT(ISNA(VLOOKUP(E4460,E$1:E4459,1,FALSE()))),"OLD",IF(AND(E4460&lt;&gt;"",E4460&lt;&gt;"!!!"),"NEW","")))</f>
        <v> </v>
      </c>
      <c r="G4460" s="23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4" t="str">
        <f>IF(J4460&lt;&gt;1,"",IF(I4460="SBJ","CB","?"))</f>
        <v> </v>
      </c>
      <c r="I4460" s="25" t="str">
        <f>IF(OR(E4460="",E4460="!!!",F4460="NEW"),"",INDEX(B4459:B$2,-1+SUMPRODUCT(MAX(ROW(E4459:E$2)*(E4460=E4459:E$2)))))</f>
        <v> </v>
      </c>
      <c r="J4460" s="25" t="str">
        <f>IF(OR(E4460="",E4460="!!!",F4460="NEW"),"",COUNTBLANK(OFFSET(A$1,,,SUMPRODUCT(MAX(ROW(E$2:E4460)*(E4460=E$2:E4460)))))-COUNTBLANK(OFFSET(A$1,,,SUMPRODUCT(MAX(ROW(E$1:E4459)*(E2=E$1:E4459))))))</f>
        <v> </v>
      </c>
      <c r="K4460" s="25" t="str">
        <f>IF(OR(E4460="",E4460="!!!",F4460="NEW"),"",INDEX(J$1:J4459,SUMPRODUCT(MAX(ROW(E$1:E4459)*(E4460=E$1:E4459)))))</f>
        <v> </v>
      </c>
      <c r="L4460" s="26"/>
    </row>
    <row r="4461" spans="1:12">
      <c r="A4461" s="20" t="s">
        <v>1218</v>
      </c>
      <c r="E4461" s="21">
        <f>IF(D4461="?OLD","!!!","")</f>
        <v/>
      </c>
      <c r="F4461" s="22" t="str">
        <f>IF(OR(E4461="",E4461="!!!"),"",IF(NOT(ISNA(VLOOKUP(E4461,E$1:E4460,1,FALSE()))),"OLD",IF(AND(E4461&lt;&gt;"",E4461&lt;&gt;"!!!"),"NEW","")))</f>
        <v> </v>
      </c>
      <c r="G4461" s="23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4" t="str">
        <f>IF(J4461&lt;&gt;1,"",IF(I4461="SBJ","CB","?"))</f>
        <v> </v>
      </c>
      <c r="I4461" s="25" t="str">
        <f>IF(OR(E4461="",E4461="!!!",F4461="NEW"),"",INDEX(B4460:B$2,-1+SUMPRODUCT(MAX(ROW(E4460:E$2)*(E4461=E4460:E$2)))))</f>
        <v> </v>
      </c>
      <c r="J4461" s="25" t="str">
        <f>IF(OR(E4461="",E4461="!!!",F4461="NEW"),"",COUNTBLANK(OFFSET(A$1,,,SUMPRODUCT(MAX(ROW(E$2:E4461)*(E4461=E$2:E4461)))))-COUNTBLANK(OFFSET(A$1,,,SUMPRODUCT(MAX(ROW(E$1:E4460)*(E2=E$1:E4460))))))</f>
        <v> </v>
      </c>
      <c r="K4461" s="25" t="str">
        <f>IF(OR(E4461="",E4461="!!!",F4461="NEW"),"",INDEX(J$1:J4460,SUMPRODUCT(MAX(ROW(E$1:E4460)*(E4461=E$1:E4460)))))</f>
        <v> </v>
      </c>
      <c r="L4461" s="26"/>
    </row>
    <row r="4462" spans="1:12">
      <c r="A4462" s="20" t="s">
        <v>3067</v>
      </c>
      <c r="E4462" s="21">
        <f>IF(D4462="?OLD","!!!","")</f>
        <v/>
      </c>
      <c r="F4462" s="22" t="str">
        <f>IF(OR(E4462="",E4462="!!!"),"",IF(NOT(ISNA(VLOOKUP(E4462,E$1:E4461,1,FALSE()))),"OLD",IF(AND(E4462&lt;&gt;"",E4462&lt;&gt;"!!!"),"NEW","")))</f>
        <v> </v>
      </c>
      <c r="G4462" s="23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4" t="str">
        <f>IF(J4462&lt;&gt;1,"",IF(I4462="SBJ","CB","?"))</f>
        <v> </v>
      </c>
      <c r="I4462" s="25" t="str">
        <f>IF(OR(E4462="",E4462="!!!",F4462="NEW"),"",INDEX(B4461:B$2,-1+SUMPRODUCT(MAX(ROW(E4461:E$2)*(E4462=E4461:E$2)))))</f>
        <v> </v>
      </c>
      <c r="J4462" s="25" t="str">
        <f>IF(OR(E4462="",E4462="!!!",F4462="NEW"),"",COUNTBLANK(OFFSET(A$1,,,SUMPRODUCT(MAX(ROW(E$2:E4462)*(E4462=E$2:E4462)))))-COUNTBLANK(OFFSET(A$1,,,SUMPRODUCT(MAX(ROW(E$1:E4461)*(E2=E$1:E4461))))))</f>
        <v> </v>
      </c>
      <c r="K4462" s="25" t="str">
        <f>IF(OR(E4462="",E4462="!!!",F4462="NEW"),"",INDEX(J$1:J4461,SUMPRODUCT(MAX(ROW(E$1:E4461)*(E4462=E$1:E4461)))))</f>
        <v> </v>
      </c>
      <c r="L4462" s="26"/>
    </row>
    <row r="4463" spans="1:12">
      <c r="A4463" s="20" t="s">
        <v>1195</v>
      </c>
      <c r="E4463" s="21">
        <f>IF(D4463="?OLD","!!!","")</f>
        <v/>
      </c>
      <c r="F4463" s="22" t="str">
        <f>IF(OR(E4463="",E4463="!!!"),"",IF(NOT(ISNA(VLOOKUP(E4463,E$1:E4462,1,FALSE()))),"OLD",IF(AND(E4463&lt;&gt;"",E4463&lt;&gt;"!!!"),"NEW","")))</f>
        <v> </v>
      </c>
      <c r="G4463" s="23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4" t="str">
        <f>IF(J4463&lt;&gt;1,"",IF(I4463="SBJ","CB","?"))</f>
        <v> </v>
      </c>
      <c r="I4463" s="25" t="str">
        <f>IF(OR(E4463="",E4463="!!!",F4463="NEW"),"",INDEX(B4462:B$2,-1+SUMPRODUCT(MAX(ROW(E4462:E$2)*(E4463=E4462:E$2)))))</f>
        <v> </v>
      </c>
      <c r="J4463" s="25" t="str">
        <f>IF(OR(E4463="",E4463="!!!",F4463="NEW"),"",COUNTBLANK(OFFSET(A$1,,,SUMPRODUCT(MAX(ROW(E$2:E4463)*(E4463=E$2:E4463)))))-COUNTBLANK(OFFSET(A$1,,,SUMPRODUCT(MAX(ROW(E$1:E4462)*(E2=E$1:E4462))))))</f>
        <v> </v>
      </c>
      <c r="K4463" s="25" t="str">
        <f>IF(OR(E4463="",E4463="!!!",F4463="NEW"),"",INDEX(J$1:J4462,SUMPRODUCT(MAX(ROW(E$1:E4462)*(E4463=E$1:E4462)))))</f>
        <v> </v>
      </c>
      <c r="L4463" s="26"/>
    </row>
    <row r="4464" spans="1:12">
      <c r="A4464" s="20" t="s">
        <v>1154</v>
      </c>
      <c r="B4464" s="27" t="s">
        <v>1141</v>
      </c>
      <c r="C4464" s="27" t="s">
        <v>1116</v>
      </c>
      <c r="D4464" s="27" t="s">
        <v>1105</v>
      </c>
      <c r="E4464" s="21">
        <f>IF(D4464="?OLD","!!!","")</f>
        <v/>
      </c>
      <c r="F4464" s="22" t="str">
        <f>IF(OR(E4464="",E4464="!!!"),"",IF(NOT(ISNA(VLOOKUP(E4464,E$1:E4463,1,FALSE()))),"OLD",IF(AND(E4464&lt;&gt;"",E4464&lt;&gt;"!!!"),"NEW","")))</f>
        <v> </v>
      </c>
      <c r="G4464" s="23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4" t="str">
        <f>IF(J4464&lt;&gt;1,"",IF(I4464="SBJ","CB","?"))</f>
        <v> </v>
      </c>
      <c r="I4464" s="25" t="str">
        <f>IF(OR(E4464="",E4464="!!!",F4464="NEW"),"",INDEX(B4463:B$2,-1+SUMPRODUCT(MAX(ROW(E4463:E$2)*(E4464=E4463:E$2)))))</f>
        <v> </v>
      </c>
      <c r="J4464" s="25" t="str">
        <f>IF(OR(E4464="",E4464="!!!",F4464="NEW"),"",COUNTBLANK(OFFSET(A$1,,,SUMPRODUCT(MAX(ROW(E$2:E4464)*(E4464=E$2:E4464)))))-COUNTBLANK(OFFSET(A$1,,,SUMPRODUCT(MAX(ROW(E$1:E4463)*(E2=E$1:E4463))))))</f>
        <v> </v>
      </c>
      <c r="K4464" s="25" t="str">
        <f>IF(OR(E4464="",E4464="!!!",F4464="NEW"),"",INDEX(J$1:J4463,SUMPRODUCT(MAX(ROW(E$1:E4463)*(E4464=E$1:E4463)))))</f>
        <v> </v>
      </c>
      <c r="L4464" s="26"/>
    </row>
    <row r="4465" spans="1:12">
      <c r="A4465" s="20" t="s">
        <v>3068</v>
      </c>
      <c r="E4465" s="21">
        <f>IF(D4465="?OLD","!!!","")</f>
        <v/>
      </c>
      <c r="F4465" s="22" t="str">
        <f>IF(OR(E4465="",E4465="!!!"),"",IF(NOT(ISNA(VLOOKUP(E4465,E$1:E4464,1,FALSE()))),"OLD",IF(AND(E4465&lt;&gt;"",E4465&lt;&gt;"!!!"),"NEW","")))</f>
        <v> </v>
      </c>
      <c r="G4465" s="23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4" t="str">
        <f>IF(J4465&lt;&gt;1,"",IF(I4465="SBJ","CB","?"))</f>
        <v> </v>
      </c>
      <c r="I4465" s="25" t="str">
        <f>IF(OR(E4465="",E4465="!!!",F4465="NEW"),"",INDEX(B4464:B$2,-1+SUMPRODUCT(MAX(ROW(E4464:E$2)*(E4465=E4464:E$2)))))</f>
        <v> </v>
      </c>
      <c r="J4465" s="25" t="str">
        <f>IF(OR(E4465="",E4465="!!!",F4465="NEW"),"",COUNTBLANK(OFFSET(A$1,,,SUMPRODUCT(MAX(ROW(E$2:E4465)*(E4465=E$2:E4465)))))-COUNTBLANK(OFFSET(A$1,,,SUMPRODUCT(MAX(ROW(E$1:E4464)*(E2=E$1:E4464))))))</f>
        <v> </v>
      </c>
      <c r="K4465" s="25" t="str">
        <f>IF(OR(E4465="",E4465="!!!",F4465="NEW"),"",INDEX(J$1:J4464,SUMPRODUCT(MAX(ROW(E$1:E4464)*(E4465=E$1:E4464)))))</f>
        <v> </v>
      </c>
      <c r="L4465" s="26"/>
    </row>
    <row r="4466" spans="1:12">
      <c r="A4466" s="20" t="s">
        <v>1123</v>
      </c>
      <c r="E4466" s="21">
        <f>IF(D4466="?OLD","!!!","")</f>
        <v/>
      </c>
      <c r="F4466" s="22" t="str">
        <f>IF(OR(E4466="",E4466="!!!"),"",IF(NOT(ISNA(VLOOKUP(E4466,E$1:E4465,1,FALSE()))),"OLD",IF(AND(E4466&lt;&gt;"",E4466&lt;&gt;"!!!"),"NEW","")))</f>
        <v> </v>
      </c>
      <c r="G4466" s="23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4" t="str">
        <f>IF(J4466&lt;&gt;1,"",IF(I4466="SBJ","CB","?"))</f>
        <v> </v>
      </c>
      <c r="I4466" s="25" t="str">
        <f>IF(OR(E4466="",E4466="!!!",F4466="NEW"),"",INDEX(B4465:B$2,-1+SUMPRODUCT(MAX(ROW(E4465:E$2)*(E4466=E4465:E$2)))))</f>
        <v> </v>
      </c>
      <c r="J4466" s="25" t="str">
        <f>IF(OR(E4466="",E4466="!!!",F4466="NEW"),"",COUNTBLANK(OFFSET(A$1,,,SUMPRODUCT(MAX(ROW(E$2:E4466)*(E4466=E$2:E4466)))))-COUNTBLANK(OFFSET(A$1,,,SUMPRODUCT(MAX(ROW(E$1:E4465)*(E2=E$1:E4465))))))</f>
        <v> </v>
      </c>
      <c r="K4466" s="25" t="str">
        <f>IF(OR(E4466="",E4466="!!!",F4466="NEW"),"",INDEX(J$1:J4465,SUMPRODUCT(MAX(ROW(E$1:E4465)*(E4466=E$1:E4465)))))</f>
        <v> </v>
      </c>
      <c r="L4466" s="26"/>
    </row>
    <row r="4467" spans="1:12">
      <c r="A4467" s="20" t="s">
        <v>1293</v>
      </c>
      <c r="E4467" s="21">
        <f>IF(D4467="?OLD","!!!","")</f>
        <v/>
      </c>
      <c r="F4467" s="22" t="str">
        <f>IF(OR(E4467="",E4467="!!!"),"",IF(NOT(ISNA(VLOOKUP(E4467,E$1:E4466,1,FALSE()))),"OLD",IF(AND(E4467&lt;&gt;"",E4467&lt;&gt;"!!!"),"NEW","")))</f>
        <v> </v>
      </c>
      <c r="G4467" s="23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4" t="str">
        <f>IF(J4467&lt;&gt;1,"",IF(I4467="SBJ","CB","?"))</f>
        <v> </v>
      </c>
      <c r="I4467" s="25" t="str">
        <f>IF(OR(E4467="",E4467="!!!",F4467="NEW"),"",INDEX(B4466:B$2,-1+SUMPRODUCT(MAX(ROW(E4466:E$2)*(E4467=E4466:E$2)))))</f>
        <v> </v>
      </c>
      <c r="J4467" s="25" t="str">
        <f>IF(OR(E4467="",E4467="!!!",F4467="NEW"),"",COUNTBLANK(OFFSET(A$1,,,SUMPRODUCT(MAX(ROW(E$2:E4467)*(E4467=E$2:E4467)))))-COUNTBLANK(OFFSET(A$1,,,SUMPRODUCT(MAX(ROW(E$1:E4466)*(E2=E$1:E4466))))))</f>
        <v> </v>
      </c>
      <c r="K4467" s="25" t="str">
        <f>IF(OR(E4467="",E4467="!!!",F4467="NEW"),"",INDEX(J$1:J4466,SUMPRODUCT(MAX(ROW(E$1:E4466)*(E4467=E$1:E4466)))))</f>
        <v> </v>
      </c>
      <c r="L4467" s="26"/>
    </row>
    <row r="4468" spans="1:12">
      <c r="A4468" s="20" t="s">
        <v>3069</v>
      </c>
      <c r="E4468" s="21">
        <f>IF(D4468="?OLD","!!!","")</f>
        <v/>
      </c>
      <c r="F4468" s="22" t="str">
        <f>IF(OR(E4468="",E4468="!!!"),"",IF(NOT(ISNA(VLOOKUP(E4468,E$1:E4467,1,FALSE()))),"OLD",IF(AND(E4468&lt;&gt;"",E4468&lt;&gt;"!!!"),"NEW","")))</f>
        <v> </v>
      </c>
      <c r="G4468" s="23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4" t="str">
        <f>IF(J4468&lt;&gt;1,"",IF(I4468="SBJ","CB","?"))</f>
        <v> </v>
      </c>
      <c r="I4468" s="25" t="str">
        <f>IF(OR(E4468="",E4468="!!!",F4468="NEW"),"",INDEX(B4467:B$2,-1+SUMPRODUCT(MAX(ROW(E4467:E$2)*(E4468=E4467:E$2)))))</f>
        <v> </v>
      </c>
      <c r="J4468" s="25" t="str">
        <f>IF(OR(E4468="",E4468="!!!",F4468="NEW"),"",COUNTBLANK(OFFSET(A$1,,,SUMPRODUCT(MAX(ROW(E$2:E4468)*(E4468=E$2:E4468)))))-COUNTBLANK(OFFSET(A$1,,,SUMPRODUCT(MAX(ROW(E$1:E4467)*(E2=E$1:E4467))))))</f>
        <v> </v>
      </c>
      <c r="K4468" s="25" t="str">
        <f>IF(OR(E4468="",E4468="!!!",F4468="NEW"),"",INDEX(J$1:J4467,SUMPRODUCT(MAX(ROW(E$1:E4467)*(E4468=E$1:E4467)))))</f>
        <v> </v>
      </c>
      <c r="L4468" s="26"/>
    </row>
    <row r="4469" spans="1:12">
      <c r="A4469" s="20" t="s">
        <v>3070</v>
      </c>
      <c r="B4469" s="27" t="s">
        <v>1125</v>
      </c>
      <c r="E4469" s="21">
        <f>IF(D4469="?OLD","!!!","")</f>
        <v/>
      </c>
      <c r="F4469" s="22" t="str">
        <f>IF(OR(E4469="",E4469="!!!"),"",IF(NOT(ISNA(VLOOKUP(E4469,E$1:E4468,1,FALSE()))),"OLD",IF(AND(E4469&lt;&gt;"",E4469&lt;&gt;"!!!"),"NEW","")))</f>
        <v> </v>
      </c>
      <c r="G4469" s="23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4" t="str">
        <f>IF(J4469&lt;&gt;1,"",IF(I4469="SBJ","CB","?"))</f>
        <v> </v>
      </c>
      <c r="I4469" s="25" t="str">
        <f>IF(OR(E4469="",E4469="!!!",F4469="NEW"),"",INDEX(B4468:B$2,-1+SUMPRODUCT(MAX(ROW(E4468:E$2)*(E4469=E4468:E$2)))))</f>
        <v> </v>
      </c>
      <c r="J4469" s="25" t="str">
        <f>IF(OR(E4469="",E4469="!!!",F4469="NEW"),"",COUNTBLANK(OFFSET(A$1,,,SUMPRODUCT(MAX(ROW(E$2:E4469)*(E4469=E$2:E4469)))))-COUNTBLANK(OFFSET(A$1,,,SUMPRODUCT(MAX(ROW(E$1:E4468)*(E2=E$1:E4468))))))</f>
        <v> </v>
      </c>
      <c r="K4469" s="25" t="str">
        <f>IF(OR(E4469="",E4469="!!!",F4469="NEW"),"",INDEX(J$1:J4468,SUMPRODUCT(MAX(ROW(E$1:E4468)*(E4469=E$1:E4468)))))</f>
        <v> </v>
      </c>
      <c r="L4469" s="26"/>
    </row>
    <row r="4470" spans="1:12">
      <c r="A4470" s="20" t="s">
        <v>3071</v>
      </c>
      <c r="E4470" s="21">
        <f>IF(D4470="?OLD","!!!","")</f>
        <v/>
      </c>
      <c r="F4470" s="22" t="str">
        <f>IF(OR(E4470="",E4470="!!!"),"",IF(NOT(ISNA(VLOOKUP(E4470,E$1:E4469,1,FALSE()))),"OLD",IF(AND(E4470&lt;&gt;"",E4470&lt;&gt;"!!!"),"NEW","")))</f>
        <v> </v>
      </c>
      <c r="G4470" s="23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4" t="str">
        <f>IF(J4470&lt;&gt;1,"",IF(I4470="SBJ","CB","?"))</f>
        <v> </v>
      </c>
      <c r="I4470" s="25" t="str">
        <f>IF(OR(E4470="",E4470="!!!",F4470="NEW"),"",INDEX(B4469:B$2,-1+SUMPRODUCT(MAX(ROW(E4469:E$2)*(E4470=E4469:E$2)))))</f>
        <v> </v>
      </c>
      <c r="J4470" s="25" t="str">
        <f>IF(OR(E4470="",E4470="!!!",F4470="NEW"),"",COUNTBLANK(OFFSET(A$1,,,SUMPRODUCT(MAX(ROW(E$2:E4470)*(E4470=E$2:E4470)))))-COUNTBLANK(OFFSET(A$1,,,SUMPRODUCT(MAX(ROW(E$1:E4469)*(E2=E$1:E4469))))))</f>
        <v> </v>
      </c>
      <c r="K4470" s="25" t="str">
        <f>IF(OR(E4470="",E4470="!!!",F4470="NEW"),"",INDEX(J$1:J4469,SUMPRODUCT(MAX(ROW(E$1:E4469)*(E4470=E$1:E4469)))))</f>
        <v> </v>
      </c>
      <c r="L4470" s="26"/>
    </row>
    <row r="4471" spans="1:12">
      <c r="A4471" s="20" t="s">
        <v>1249</v>
      </c>
      <c r="E4471" s="21">
        <f>IF(D4471="?OLD","!!!","")</f>
        <v/>
      </c>
      <c r="F4471" s="22" t="str">
        <f>IF(OR(E4471="",E4471="!!!"),"",IF(NOT(ISNA(VLOOKUP(E4471,E$1:E4470,1,FALSE()))),"OLD",IF(AND(E4471&lt;&gt;"",E4471&lt;&gt;"!!!"),"NEW","")))</f>
        <v> </v>
      </c>
      <c r="G4471" s="23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4" t="str">
        <f>IF(J4471&lt;&gt;1,"",IF(I4471="SBJ","CB","?"))</f>
        <v> </v>
      </c>
      <c r="I4471" s="25" t="str">
        <f>IF(OR(E4471="",E4471="!!!",F4471="NEW"),"",INDEX(B4470:B$2,-1+SUMPRODUCT(MAX(ROW(E4470:E$2)*(E4471=E4470:E$2)))))</f>
        <v> </v>
      </c>
      <c r="J4471" s="25" t="str">
        <f>IF(OR(E4471="",E4471="!!!",F4471="NEW"),"",COUNTBLANK(OFFSET(A$1,,,SUMPRODUCT(MAX(ROW(E$2:E4471)*(E4471=E$2:E4471)))))-COUNTBLANK(OFFSET(A$1,,,SUMPRODUCT(MAX(ROW(E$1:E4470)*(E2=E$1:E4470))))))</f>
        <v> </v>
      </c>
      <c r="K4471" s="25" t="str">
        <f>IF(OR(E4471="",E4471="!!!",F4471="NEW"),"",INDEX(J$1:J4470,SUMPRODUCT(MAX(ROW(E$1:E4470)*(E4471=E$1:E4470)))))</f>
        <v> </v>
      </c>
      <c r="L4471" s="26"/>
    </row>
    <row r="4472" spans="1:12">
      <c r="A4472" s="20" t="s">
        <v>1421</v>
      </c>
      <c r="B4472" s="27" t="s">
        <v>1132</v>
      </c>
      <c r="C4472" s="27" t="s">
        <v>1126</v>
      </c>
      <c r="D4472" s="27" t="s">
        <v>1105</v>
      </c>
      <c r="E4472" s="21">
        <f>IF(D4472="?OLD","!!!","")</f>
        <v/>
      </c>
      <c r="F4472" s="22" t="str">
        <f>IF(OR(E4472="",E4472="!!!"),"",IF(NOT(ISNA(VLOOKUP(E4472,E$1:E4471,1,FALSE()))),"OLD",IF(AND(E4472&lt;&gt;"",E4472&lt;&gt;"!!!"),"NEW","")))</f>
        <v> </v>
      </c>
      <c r="G4472" s="23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4" t="str">
        <f>IF(J4472&lt;&gt;1,"",IF(I4472="SBJ","CB","?"))</f>
        <v> </v>
      </c>
      <c r="I4472" s="25" t="str">
        <f>IF(OR(E4472="",E4472="!!!",F4472="NEW"),"",INDEX(B4471:B$2,-1+SUMPRODUCT(MAX(ROW(E4471:E$2)*(E4472=E4471:E$2)))))</f>
        <v> </v>
      </c>
      <c r="J4472" s="25" t="str">
        <f>IF(OR(E4472="",E4472="!!!",F4472="NEW"),"",COUNTBLANK(OFFSET(A$1,,,SUMPRODUCT(MAX(ROW(E$2:E4472)*(E4472=E$2:E4472)))))-COUNTBLANK(OFFSET(A$1,,,SUMPRODUCT(MAX(ROW(E$1:E4471)*(E2=E$1:E4471))))))</f>
        <v> </v>
      </c>
      <c r="K4472" s="25" t="str">
        <f>IF(OR(E4472="",E4472="!!!",F4472="NEW"),"",INDEX(J$1:J4471,SUMPRODUCT(MAX(ROW(E$1:E4471)*(E4472=E$1:E4471)))))</f>
        <v> </v>
      </c>
      <c r="L4472" s="26"/>
    </row>
    <row r="4473" spans="1:12">
      <c r="A4473" s="20" t="s">
        <v>1101</v>
      </c>
      <c r="E4473" s="21">
        <f>IF(D4473="?OLD","!!!","")</f>
        <v/>
      </c>
      <c r="F4473" s="22" t="str">
        <f>IF(OR(E4473="",E4473="!!!"),"",IF(NOT(ISNA(VLOOKUP(E4473,E$1:E4472,1,FALSE()))),"OLD",IF(AND(E4473&lt;&gt;"",E4473&lt;&gt;"!!!"),"NEW","")))</f>
        <v> </v>
      </c>
      <c r="G4473" s="23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4" t="str">
        <f>IF(J4473&lt;&gt;1,"",IF(I4473="SBJ","CB","?"))</f>
        <v> </v>
      </c>
      <c r="I4473" s="25" t="str">
        <f>IF(OR(E4473="",E4473="!!!",F4473="NEW"),"",INDEX(B4472:B$2,-1+SUMPRODUCT(MAX(ROW(E4472:E$2)*(E4473=E4472:E$2)))))</f>
        <v> </v>
      </c>
      <c r="J4473" s="25" t="str">
        <f>IF(OR(E4473="",E4473="!!!",F4473="NEW"),"",COUNTBLANK(OFFSET(A$1,,,SUMPRODUCT(MAX(ROW(E$2:E4473)*(E4473=E$2:E4473)))))-COUNTBLANK(OFFSET(A$1,,,SUMPRODUCT(MAX(ROW(E$1:E4472)*(E2=E$1:E4472))))))</f>
        <v> </v>
      </c>
      <c r="K4473" s="25" t="str">
        <f>IF(OR(E4473="",E4473="!!!",F4473="NEW"),"",INDEX(J$1:J4472,SUMPRODUCT(MAX(ROW(E$1:E4472)*(E4473=E$1:E4472)))))</f>
        <v> </v>
      </c>
      <c r="L4473" s="26"/>
    </row>
    <row r="4474" spans="1:12">
      <c r="A4474" s="20" t="s">
        <v>3072</v>
      </c>
      <c r="E4474" s="21">
        <f>IF(D4474="?OLD","!!!","")</f>
        <v/>
      </c>
      <c r="F4474" s="22" t="str">
        <f>IF(OR(E4474="",E4474="!!!"),"",IF(NOT(ISNA(VLOOKUP(E4474,E$1:E4473,1,FALSE()))),"OLD",IF(AND(E4474&lt;&gt;"",E4474&lt;&gt;"!!!"),"NEW","")))</f>
        <v> </v>
      </c>
      <c r="G4474" s="23" t="str">
        <f>IF(OR(E4474="",E4474="!!!"),"",IF(OR(J4474=0,AND(J4474=1,K4474=1),AND(J4474=1,I4474="SBJ"),AND(J4474=1,I4474=0)),"?IN_FOCUS",IF(J4474&lt;=2,"?ACTIVATED",IF(J4474&lt;&gt;"","?FAMILIAR",IF(F4474="NEW",IF(ISNA(VLOOKUP(E4474,#REF!,1,FALSE())),"?TYPE_IDENTIFIABLE","?REFERENTIAL"),"_")))))</f>
        <v> </v>
      </c>
      <c r="H4474" s="24" t="str">
        <f>IF(J4474&lt;&gt;1,"",IF(I4474="SBJ","CB","?"))</f>
        <v> </v>
      </c>
      <c r="I4474" s="25" t="str">
        <f>IF(OR(E4474="",E4474="!!!",F4474="NEW"),"",INDEX(B4473:B$2,-1+SUMPRODUCT(MAX(ROW(E4473:E$2)*(E4474=E4473:E$2)))))</f>
        <v> </v>
      </c>
      <c r="J4474" s="25" t="str">
        <f>IF(OR(E4474="",E4474="!!!",F4474="NEW"),"",COUNTBLANK(OFFSET(A$1,,,SUMPRODUCT(MAX(ROW(E$2:E4474)*(E4474=E$2:E4474)))))-COUNTBLANK(OFFSET(A$1,,,SUMPRODUCT(MAX(ROW(E$1:E4473)*(E2=E$1:E4473))))))</f>
        <v> </v>
      </c>
      <c r="K4474" s="25" t="str">
        <f>IF(OR(E4474="",E4474="!!!",F4474="NEW"),"",INDEX(J$1:J4473,SUMPRODUCT(MAX(ROW(E$1:E4473)*(E4474=E$1:E4473)))))</f>
        <v> </v>
      </c>
      <c r="L4474" s="26"/>
    </row>
    <row r="4475" spans="1:12">
      <c r="A4475" s="20" t="s">
        <v>1145</v>
      </c>
      <c r="E4475" s="21">
        <f>IF(D4475="?OLD","!!!","")</f>
        <v/>
      </c>
      <c r="F4475" s="22" t="str">
        <f>IF(OR(E4475="",E4475="!!!"),"",IF(NOT(ISNA(VLOOKUP(E4475,E$1:E4474,1,FALSE()))),"OLD",IF(AND(E4475&lt;&gt;"",E4475&lt;&gt;"!!!"),"NEW","")))</f>
        <v> </v>
      </c>
      <c r="G4475" s="23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4" t="str">
        <f>IF(J4475&lt;&gt;1,"",IF(I4475="SBJ","CB","?"))</f>
        <v> </v>
      </c>
      <c r="I4475" s="25" t="str">
        <f>IF(OR(E4475="",E4475="!!!",F4475="NEW"),"",INDEX(B4474:B$2,-1+SUMPRODUCT(MAX(ROW(E4474:E$2)*(E4475=E4474:E$2)))))</f>
        <v> </v>
      </c>
      <c r="J4475" s="25" t="str">
        <f>IF(OR(E4475="",E4475="!!!",F4475="NEW"),"",COUNTBLANK(OFFSET(A$1,,,SUMPRODUCT(MAX(ROW(E$2:E4475)*(E4475=E$2:E4475)))))-COUNTBLANK(OFFSET(A$1,,,SUMPRODUCT(MAX(ROW(E$1:E4474)*(E2=E$1:E4474))))))</f>
        <v> </v>
      </c>
      <c r="K4475" s="25" t="str">
        <f>IF(OR(E4475="",E4475="!!!",F4475="NEW"),"",INDEX(J$1:J4474,SUMPRODUCT(MAX(ROW(E$1:E4474)*(E4475=E$1:E4474)))))</f>
        <v> </v>
      </c>
      <c r="L4475" s="26"/>
    </row>
    <row r="4476" spans="1:12">
      <c r="A4476" s="20"/>
    </row>
    <row r="4477" spans="1:12">
      <c r="A4477" s="20" t="s">
        <v>3073</v>
      </c>
    </row>
    <row r="4478" spans="1:12">
      <c r="A4478" s="20" t="s">
        <v>1507</v>
      </c>
      <c r="B4478" s="27" t="s">
        <v>1149</v>
      </c>
      <c r="C4478" s="27" t="s">
        <v>1108</v>
      </c>
      <c r="D4478" s="27" t="s">
        <v>1105</v>
      </c>
      <c r="E4478" s="21">
        <f>IF(D4478="?OLD","!!!","")</f>
        <v/>
      </c>
      <c r="F4478" s="22" t="str">
        <f>IF(OR(E4478="",E4478="!!!"),"",IF(NOT(ISNA(VLOOKUP(E4478,E$1:E4477,1,FALSE()))),"OLD",IF(AND(E4478&lt;&gt;"",E4478&lt;&gt;"!!!"),"NEW","")))</f>
        <v> </v>
      </c>
      <c r="G4478" s="23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4" t="str">
        <f>IF(J4478&lt;&gt;1,"",IF(I4478="SBJ","CB","?"))</f>
        <v> </v>
      </c>
      <c r="I4478" s="25" t="str">
        <f>IF(OR(E4478="",E4478="!!!",F4478="NEW"),"",INDEX(B4477:B$2,-1+SUMPRODUCT(MAX(ROW(E4477:E$2)*(E4478=E4477:E$2)))))</f>
        <v> </v>
      </c>
      <c r="J4478" s="25" t="str">
        <f>IF(OR(E4478="",E4478="!!!",F4478="NEW"),"",COUNTBLANK(OFFSET(A$1,,,SUMPRODUCT(MAX(ROW(E$2:E4478)*(E4478=E$2:E4478)))))-COUNTBLANK(OFFSET(A$1,,,SUMPRODUCT(MAX(ROW(E$1:E4477)*(E2=E$1:E4477))))))</f>
        <v> </v>
      </c>
      <c r="K4478" s="25" t="str">
        <f>IF(OR(E4478="",E4478="!!!",F4478="NEW"),"",INDEX(J$1:J4477,SUMPRODUCT(MAX(ROW(E$1:E4477)*(E4478=E$1:E4477)))))</f>
        <v> </v>
      </c>
      <c r="L4478" s="26"/>
    </row>
    <row r="4479" spans="1:12">
      <c r="A4479" s="20" t="s">
        <v>3074</v>
      </c>
      <c r="E4479" s="21">
        <f>IF(D4479="?OLD","!!!","")</f>
        <v/>
      </c>
      <c r="F4479" s="22" t="str">
        <f>IF(OR(E4479="",E4479="!!!"),"",IF(NOT(ISNA(VLOOKUP(E4479,E$1:E4478,1,FALSE()))),"OLD",IF(AND(E4479&lt;&gt;"",E4479&lt;&gt;"!!!"),"NEW","")))</f>
        <v> </v>
      </c>
      <c r="G4479" s="23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4" t="str">
        <f>IF(J4479&lt;&gt;1,"",IF(I4479="SBJ","CB","?"))</f>
        <v> </v>
      </c>
      <c r="I4479" s="25" t="str">
        <f>IF(OR(E4479="",E4479="!!!",F4479="NEW"),"",INDEX(B4478:B$2,-1+SUMPRODUCT(MAX(ROW(E4478:E$2)*(E4479=E4478:E$2)))))</f>
        <v> </v>
      </c>
      <c r="J4479" s="25" t="str">
        <f>IF(OR(E4479="",E4479="!!!",F4479="NEW"),"",COUNTBLANK(OFFSET(A$1,,,SUMPRODUCT(MAX(ROW(E$2:E4479)*(E4479=E$2:E4479)))))-COUNTBLANK(OFFSET(A$1,,,SUMPRODUCT(MAX(ROW(E$1:E4478)*(E2=E$1:E4478))))))</f>
        <v> </v>
      </c>
      <c r="K4479" s="25" t="str">
        <f>IF(OR(E4479="",E4479="!!!",F4479="NEW"),"",INDEX(J$1:J4478,SUMPRODUCT(MAX(ROW(E$1:E4478)*(E4479=E$1:E4478)))))</f>
        <v> </v>
      </c>
      <c r="L4479" s="26"/>
    </row>
    <row r="4480" spans="1:12">
      <c r="A4480" s="20" t="s">
        <v>3075</v>
      </c>
      <c r="E4480" s="21">
        <f>IF(D4480="?OLD","!!!","")</f>
        <v/>
      </c>
      <c r="F4480" s="22" t="str">
        <f>IF(OR(E4480="",E4480="!!!"),"",IF(NOT(ISNA(VLOOKUP(E4480,E$1:E4479,1,FALSE()))),"OLD",IF(AND(E4480&lt;&gt;"",E4480&lt;&gt;"!!!"),"NEW","")))</f>
        <v> </v>
      </c>
      <c r="G4480" s="23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4" t="str">
        <f>IF(J4480&lt;&gt;1,"",IF(I4480="SBJ","CB","?"))</f>
        <v> </v>
      </c>
      <c r="I4480" s="25" t="str">
        <f>IF(OR(E4480="",E4480="!!!",F4480="NEW"),"",INDEX(B4479:B$2,-1+SUMPRODUCT(MAX(ROW(E4479:E$2)*(E4480=E4479:E$2)))))</f>
        <v> </v>
      </c>
      <c r="J4480" s="25" t="str">
        <f>IF(OR(E4480="",E4480="!!!",F4480="NEW"),"",COUNTBLANK(OFFSET(A$1,,,SUMPRODUCT(MAX(ROW(E$2:E4480)*(E4480=E$2:E4480)))))-COUNTBLANK(OFFSET(A$1,,,SUMPRODUCT(MAX(ROW(E$1:E4479)*(E2=E$1:E4479))))))</f>
        <v> </v>
      </c>
      <c r="K4480" s="25" t="str">
        <f>IF(OR(E4480="",E4480="!!!",F4480="NEW"),"",INDEX(J$1:J4479,SUMPRODUCT(MAX(ROW(E$1:E4479)*(E4480=E$1:E4479)))))</f>
        <v> </v>
      </c>
      <c r="L4480" s="26"/>
    </row>
    <row r="4481" spans="1:12">
      <c r="A4481" s="20" t="s">
        <v>1351</v>
      </c>
      <c r="E4481" s="21">
        <f>IF(D4481="?OLD","!!!","")</f>
        <v/>
      </c>
      <c r="F4481" s="22" t="str">
        <f>IF(OR(E4481="",E4481="!!!"),"",IF(NOT(ISNA(VLOOKUP(E4481,E$1:E4480,1,FALSE()))),"OLD",IF(AND(E4481&lt;&gt;"",E4481&lt;&gt;"!!!"),"NEW","")))</f>
        <v> </v>
      </c>
      <c r="G4481" s="23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4" t="str">
        <f>IF(J4481&lt;&gt;1,"",IF(I4481="SBJ","CB","?"))</f>
        <v> </v>
      </c>
      <c r="I4481" s="25" t="str">
        <f>IF(OR(E4481="",E4481="!!!",F4481="NEW"),"",INDEX(B4480:B$2,-1+SUMPRODUCT(MAX(ROW(E4480:E$2)*(E4481=E4480:E$2)))))</f>
        <v> </v>
      </c>
      <c r="J4481" s="25" t="str">
        <f>IF(OR(E4481="",E4481="!!!",F4481="NEW"),"",COUNTBLANK(OFFSET(A$1,,,SUMPRODUCT(MAX(ROW(E$2:E4481)*(E4481=E$2:E4481)))))-COUNTBLANK(OFFSET(A$1,,,SUMPRODUCT(MAX(ROW(E$1:E4480)*(E2=E$1:E4480))))))</f>
        <v> </v>
      </c>
      <c r="K4481" s="25" t="str">
        <f>IF(OR(E4481="",E4481="!!!",F4481="NEW"),"",INDEX(J$1:J4480,SUMPRODUCT(MAX(ROW(E$1:E4480)*(E4481=E$1:E4480)))))</f>
        <v> </v>
      </c>
      <c r="L4481" s="26"/>
    </row>
    <row r="4482" spans="1:12">
      <c r="A4482" s="20"/>
    </row>
    <row r="4483" spans="1:12">
      <c r="A4483" s="20" t="s">
        <v>3076</v>
      </c>
    </row>
    <row r="4484" spans="1:12">
      <c r="A4484" s="20" t="s">
        <v>3077</v>
      </c>
      <c r="E4484" s="21">
        <f>IF(D4484="?OLD","!!!","")</f>
        <v/>
      </c>
      <c r="F4484" s="22" t="str">
        <f>IF(OR(E4484="",E4484="!!!"),"",IF(NOT(ISNA(VLOOKUP(E4484,E$1:E4483,1,FALSE()))),"OLD",IF(AND(E4484&lt;&gt;"",E4484&lt;&gt;"!!!"),"NEW","")))</f>
        <v> </v>
      </c>
      <c r="G4484" s="23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4" t="str">
        <f>IF(J4484&lt;&gt;1,"",IF(I4484="SBJ","CB","?"))</f>
        <v> </v>
      </c>
      <c r="I4484" s="25" t="str">
        <f>IF(OR(E4484="",E4484="!!!",F4484="NEW"),"",INDEX(B4483:B$2,-1+SUMPRODUCT(MAX(ROW(E4483:E$2)*(E4484=E4483:E$2)))))</f>
        <v> </v>
      </c>
      <c r="J4484" s="25" t="str">
        <f>IF(OR(E4484="",E4484="!!!",F4484="NEW"),"",COUNTBLANK(OFFSET(A$1,,,SUMPRODUCT(MAX(ROW(E$2:E4484)*(E4484=E$2:E4484)))))-COUNTBLANK(OFFSET(A$1,,,SUMPRODUCT(MAX(ROW(E$1:E4483)*(E2=E$1:E4483))))))</f>
        <v> </v>
      </c>
      <c r="K4484" s="25" t="str">
        <f>IF(OR(E4484="",E4484="!!!",F4484="NEW"),"",INDEX(J$1:J4483,SUMPRODUCT(MAX(ROW(E$1:E4483)*(E4484=E$1:E4483)))))</f>
        <v> </v>
      </c>
      <c r="L4484" s="26"/>
    </row>
    <row r="4485" spans="1:12">
      <c r="A4485" s="20" t="s">
        <v>1134</v>
      </c>
      <c r="E4485" s="21">
        <f>IF(D4485="?OLD","!!!","")</f>
        <v/>
      </c>
      <c r="F4485" s="22" t="str">
        <f>IF(OR(E4485="",E4485="!!!"),"",IF(NOT(ISNA(VLOOKUP(E4485,E$1:E4484,1,FALSE()))),"OLD",IF(AND(E4485&lt;&gt;"",E4485&lt;&gt;"!!!"),"NEW","")))</f>
        <v> </v>
      </c>
      <c r="G4485" s="23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4" t="str">
        <f>IF(J4485&lt;&gt;1,"",IF(I4485="SBJ","CB","?"))</f>
        <v> </v>
      </c>
      <c r="I4485" s="25" t="str">
        <f>IF(OR(E4485="",E4485="!!!",F4485="NEW"),"",INDEX(B4484:B$2,-1+SUMPRODUCT(MAX(ROW(E4484:E$2)*(E4485=E4484:E$2)))))</f>
        <v> </v>
      </c>
      <c r="J4485" s="25" t="str">
        <f>IF(OR(E4485="",E4485="!!!",F4485="NEW"),"",COUNTBLANK(OFFSET(A$1,,,SUMPRODUCT(MAX(ROW(E$2:E4485)*(E4485=E$2:E4485)))))-COUNTBLANK(OFFSET(A$1,,,SUMPRODUCT(MAX(ROW(E$1:E4484)*(E2=E$1:E4484))))))</f>
        <v> </v>
      </c>
      <c r="K4485" s="25" t="str">
        <f>IF(OR(E4485="",E4485="!!!",F4485="NEW"),"",INDEX(J$1:J4484,SUMPRODUCT(MAX(ROW(E$1:E4484)*(E4485=E$1:E4484)))))</f>
        <v> </v>
      </c>
      <c r="L4485" s="26"/>
    </row>
    <row r="4486" spans="1:12">
      <c r="A4486" s="20" t="s">
        <v>3078</v>
      </c>
      <c r="E4486" s="21">
        <f>IF(D4486="?OLD","!!!","")</f>
        <v/>
      </c>
      <c r="F4486" s="22" t="str">
        <f>IF(OR(E4486="",E4486="!!!"),"",IF(NOT(ISNA(VLOOKUP(E4486,E$1:E4485,1,FALSE()))),"OLD",IF(AND(E4486&lt;&gt;"",E4486&lt;&gt;"!!!"),"NEW","")))</f>
        <v> </v>
      </c>
      <c r="G4486" s="23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4" t="str">
        <f>IF(J4486&lt;&gt;1,"",IF(I4486="SBJ","CB","?"))</f>
        <v> </v>
      </c>
      <c r="I4486" s="25" t="str">
        <f>IF(OR(E4486="",E4486="!!!",F4486="NEW"),"",INDEX(B4485:B$2,-1+SUMPRODUCT(MAX(ROW(E4485:E$2)*(E4486=E4485:E$2)))))</f>
        <v> </v>
      </c>
      <c r="J4486" s="25" t="str">
        <f>IF(OR(E4486="",E4486="!!!",F4486="NEW"),"",COUNTBLANK(OFFSET(A$1,,,SUMPRODUCT(MAX(ROW(E$2:E4486)*(E4486=E$2:E4486)))))-COUNTBLANK(OFFSET(A$1,,,SUMPRODUCT(MAX(ROW(E$1:E4485)*(E2=E$1:E4485))))))</f>
        <v> </v>
      </c>
      <c r="K4486" s="25" t="str">
        <f>IF(OR(E4486="",E4486="!!!",F4486="NEW"),"",INDEX(J$1:J4485,SUMPRODUCT(MAX(ROW(E$1:E4485)*(E4486=E$1:E4485)))))</f>
        <v> </v>
      </c>
      <c r="L4486" s="26"/>
    </row>
    <row r="4487" spans="1:12">
      <c r="A4487" s="20" t="s">
        <v>1231</v>
      </c>
      <c r="E4487" s="21">
        <f>IF(D4487="?OLD","!!!","")</f>
        <v/>
      </c>
      <c r="F4487" s="22" t="str">
        <f>IF(OR(E4487="",E4487="!!!"),"",IF(NOT(ISNA(VLOOKUP(E4487,E$1:E4486,1,FALSE()))),"OLD",IF(AND(E4487&lt;&gt;"",E4487&lt;&gt;"!!!"),"NEW","")))</f>
        <v> </v>
      </c>
      <c r="G4487" s="23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4" t="str">
        <f>IF(J4487&lt;&gt;1,"",IF(I4487="SBJ","CB","?"))</f>
        <v> </v>
      </c>
      <c r="I4487" s="25" t="str">
        <f>IF(OR(E4487="",E4487="!!!",F4487="NEW"),"",INDEX(B4486:B$2,-1+SUMPRODUCT(MAX(ROW(E4486:E$2)*(E4487=E4486:E$2)))))</f>
        <v> </v>
      </c>
      <c r="J4487" s="25" t="str">
        <f>IF(OR(E4487="",E4487="!!!",F4487="NEW"),"",COUNTBLANK(OFFSET(A$1,,,SUMPRODUCT(MAX(ROW(E$2:E4487)*(E4487=E$2:E4487)))))-COUNTBLANK(OFFSET(A$1,,,SUMPRODUCT(MAX(ROW(E$1:E4486)*(E2=E$1:E4486))))))</f>
        <v> </v>
      </c>
      <c r="K4487" s="25" t="str">
        <f>IF(OR(E4487="",E4487="!!!",F4487="NEW"),"",INDEX(J$1:J4486,SUMPRODUCT(MAX(ROW(E$1:E4486)*(E4487=E$1:E4486)))))</f>
        <v> </v>
      </c>
      <c r="L4487" s="26"/>
    </row>
    <row r="4488" spans="1:12">
      <c r="A4488" s="20" t="s">
        <v>3079</v>
      </c>
      <c r="B4488" s="27" t="s">
        <v>1103</v>
      </c>
      <c r="C4488" s="27" t="s">
        <v>1116</v>
      </c>
      <c r="D4488" s="27" t="s">
        <v>1105</v>
      </c>
      <c r="E4488" s="21">
        <f>IF(D4488="?OLD","!!!","")</f>
        <v/>
      </c>
      <c r="F4488" s="22" t="str">
        <f>IF(OR(E4488="",E4488="!!!"),"",IF(NOT(ISNA(VLOOKUP(E4488,E$1:E4487,1,FALSE()))),"OLD",IF(AND(E4488&lt;&gt;"",E4488&lt;&gt;"!!!"),"NEW","")))</f>
        <v> </v>
      </c>
      <c r="G4488" s="23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4" t="str">
        <f>IF(J4488&lt;&gt;1,"",IF(I4488="SBJ","CB","?"))</f>
        <v> </v>
      </c>
      <c r="I4488" s="25" t="str">
        <f>IF(OR(E4488="",E4488="!!!",F4488="NEW"),"",INDEX(B4487:B$2,-1+SUMPRODUCT(MAX(ROW(E4487:E$2)*(E4488=E4487:E$2)))))</f>
        <v> </v>
      </c>
      <c r="J4488" s="25" t="str">
        <f>IF(OR(E4488="",E4488="!!!",F4488="NEW"),"",COUNTBLANK(OFFSET(A$1,,,SUMPRODUCT(MAX(ROW(E$2:E4488)*(E4488=E$2:E4488)))))-COUNTBLANK(OFFSET(A$1,,,SUMPRODUCT(MAX(ROW(E$1:E4487)*(E2=E$1:E4487))))))</f>
        <v> </v>
      </c>
      <c r="K4488" s="25" t="str">
        <f>IF(OR(E4488="",E4488="!!!",F4488="NEW"),"",INDEX(J$1:J4487,SUMPRODUCT(MAX(ROW(E$1:E4487)*(E4488=E$1:E4487)))))</f>
        <v> </v>
      </c>
      <c r="L4488" s="26"/>
    </row>
    <row r="4489" spans="1:12">
      <c r="A4489" s="20" t="s">
        <v>1123</v>
      </c>
      <c r="E4489" s="21">
        <f>IF(D4489="?OLD","!!!","")</f>
        <v/>
      </c>
      <c r="F4489" s="22" t="str">
        <f>IF(OR(E4489="",E4489="!!!"),"",IF(NOT(ISNA(VLOOKUP(E4489,E$1:E4488,1,FALSE()))),"OLD",IF(AND(E4489&lt;&gt;"",E4489&lt;&gt;"!!!"),"NEW","")))</f>
        <v> </v>
      </c>
      <c r="G4489" s="23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4" t="str">
        <f>IF(J4489&lt;&gt;1,"",IF(I4489="SBJ","CB","?"))</f>
        <v> </v>
      </c>
      <c r="I4489" s="25" t="str">
        <f>IF(OR(E4489="",E4489="!!!",F4489="NEW"),"",INDEX(B4488:B$2,-1+SUMPRODUCT(MAX(ROW(E4488:E$2)*(E4489=E4488:E$2)))))</f>
        <v> </v>
      </c>
      <c r="J4489" s="25" t="str">
        <f>IF(OR(E4489="",E4489="!!!",F4489="NEW"),"",COUNTBLANK(OFFSET(A$1,,,SUMPRODUCT(MAX(ROW(E$2:E4489)*(E4489=E$2:E4489)))))-COUNTBLANK(OFFSET(A$1,,,SUMPRODUCT(MAX(ROW(E$1:E4488)*(E2=E$1:E4488))))))</f>
        <v> </v>
      </c>
      <c r="K4489" s="25" t="str">
        <f>IF(OR(E4489="",E4489="!!!",F4489="NEW"),"",INDEX(J$1:J4488,SUMPRODUCT(MAX(ROW(E$1:E4488)*(E4489=E$1:E4488)))))</f>
        <v> </v>
      </c>
      <c r="L4489" s="26"/>
    </row>
    <row r="4490" spans="1:12">
      <c r="A4490" s="20" t="s">
        <v>135</v>
      </c>
      <c r="E4490" s="21">
        <f>IF(D4490="?OLD","!!!","")</f>
        <v/>
      </c>
      <c r="F4490" s="22" t="str">
        <f>IF(OR(E4490="",E4490="!!!"),"",IF(NOT(ISNA(VLOOKUP(E4490,E$1:E4489,1,FALSE()))),"OLD",IF(AND(E4490&lt;&gt;"",E4490&lt;&gt;"!!!"),"NEW","")))</f>
        <v> </v>
      </c>
      <c r="G4490" s="23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4" t="str">
        <f>IF(J4490&lt;&gt;1,"",IF(I4490="SBJ","CB","?"))</f>
        <v> </v>
      </c>
      <c r="I4490" s="25" t="str">
        <f>IF(OR(E4490="",E4490="!!!",F4490="NEW"),"",INDEX(B4489:B$2,-1+SUMPRODUCT(MAX(ROW(E4489:E$2)*(E4490=E4489:E$2)))))</f>
        <v> </v>
      </c>
      <c r="J4490" s="25" t="str">
        <f>IF(OR(E4490="",E4490="!!!",F4490="NEW"),"",COUNTBLANK(OFFSET(A$1,,,SUMPRODUCT(MAX(ROW(E$2:E4490)*(E4490=E$2:E4490)))))-COUNTBLANK(OFFSET(A$1,,,SUMPRODUCT(MAX(ROW(E$1:E4489)*(E2=E$1:E4489))))))</f>
        <v> </v>
      </c>
      <c r="K4490" s="25" t="str">
        <f>IF(OR(E4490="",E4490="!!!",F4490="NEW"),"",INDEX(J$1:J4489,SUMPRODUCT(MAX(ROW(E$1:E4489)*(E4490=E$1:E4489)))))</f>
        <v> </v>
      </c>
      <c r="L4490" s="26"/>
    </row>
    <row r="4491" spans="1:12">
      <c r="A4491" s="20" t="s">
        <v>763</v>
      </c>
      <c r="B4491" s="27" t="s">
        <v>1259</v>
      </c>
      <c r="E4491" s="21">
        <f>IF(D4491="?OLD","!!!","")</f>
        <v/>
      </c>
      <c r="F4491" s="22" t="str">
        <f>IF(OR(E4491="",E4491="!!!"),"",IF(NOT(ISNA(VLOOKUP(E4491,E$1:E4490,1,FALSE()))),"OLD",IF(AND(E4491&lt;&gt;"",E4491&lt;&gt;"!!!"),"NEW","")))</f>
        <v> </v>
      </c>
      <c r="G4491" s="23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4" t="str">
        <f>IF(J4491&lt;&gt;1,"",IF(I4491="SBJ","CB","?"))</f>
        <v> </v>
      </c>
      <c r="I4491" s="25" t="str">
        <f>IF(OR(E4491="",E4491="!!!",F4491="NEW"),"",INDEX(B4490:B$2,-1+SUMPRODUCT(MAX(ROW(E4490:E$2)*(E4491=E4490:E$2)))))</f>
        <v> </v>
      </c>
      <c r="J4491" s="25" t="str">
        <f>IF(OR(E4491="",E4491="!!!",F4491="NEW"),"",COUNTBLANK(OFFSET(A$1,,,SUMPRODUCT(MAX(ROW(E$2:E4491)*(E4491=E$2:E4491)))))-COUNTBLANK(OFFSET(A$1,,,SUMPRODUCT(MAX(ROW(E$1:E4490)*(E2=E$1:E4490))))))</f>
        <v> </v>
      </c>
      <c r="K4491" s="25" t="str">
        <f>IF(OR(E4491="",E4491="!!!",F4491="NEW"),"",INDEX(J$1:J4490,SUMPRODUCT(MAX(ROW(E$1:E4490)*(E4491=E$1:E4490)))))</f>
        <v> </v>
      </c>
      <c r="L4491" s="26"/>
    </row>
    <row r="4492" spans="1:12">
      <c r="A4492" s="20" t="s">
        <v>3080</v>
      </c>
      <c r="E4492" s="21">
        <f>IF(D4492="?OLD","!!!","")</f>
        <v/>
      </c>
      <c r="F4492" s="22" t="str">
        <f>IF(OR(E4492="",E4492="!!!"),"",IF(NOT(ISNA(VLOOKUP(E4492,E$1:E4491,1,FALSE()))),"OLD",IF(AND(E4492&lt;&gt;"",E4492&lt;&gt;"!!!"),"NEW","")))</f>
        <v> </v>
      </c>
      <c r="G4492" s="23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4" t="str">
        <f>IF(J4492&lt;&gt;1,"",IF(I4492="SBJ","CB","?"))</f>
        <v> </v>
      </c>
      <c r="I4492" s="25" t="str">
        <f>IF(OR(E4492="",E4492="!!!",F4492="NEW"),"",INDEX(B4491:B$2,-1+SUMPRODUCT(MAX(ROW(E4491:E$2)*(E4492=E4491:E$2)))))</f>
        <v> </v>
      </c>
      <c r="J4492" s="25" t="str">
        <f>IF(OR(E4492="",E4492="!!!",F4492="NEW"),"",COUNTBLANK(OFFSET(A$1,,,SUMPRODUCT(MAX(ROW(E$2:E4492)*(E4492=E$2:E4492)))))-COUNTBLANK(OFFSET(A$1,,,SUMPRODUCT(MAX(ROW(E$1:E4491)*(E2=E$1:E4491))))))</f>
        <v> </v>
      </c>
      <c r="K4492" s="25" t="str">
        <f>IF(OR(E4492="",E4492="!!!",F4492="NEW"),"",INDEX(J$1:J4491,SUMPRODUCT(MAX(ROW(E$1:E4491)*(E4492=E$1:E4491)))))</f>
        <v> </v>
      </c>
      <c r="L4492" s="26"/>
    </row>
    <row r="4493" spans="1:12">
      <c r="A4493" s="20" t="s">
        <v>1173</v>
      </c>
      <c r="E4493" s="21">
        <f>IF(D4493="?OLD","!!!","")</f>
        <v/>
      </c>
      <c r="F4493" s="22" t="str">
        <f>IF(OR(E4493="",E4493="!!!"),"",IF(NOT(ISNA(VLOOKUP(E4493,E$1:E4492,1,FALSE()))),"OLD",IF(AND(E4493&lt;&gt;"",E4493&lt;&gt;"!!!"),"NEW","")))</f>
        <v> </v>
      </c>
      <c r="G4493" s="23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4" t="str">
        <f>IF(J4493&lt;&gt;1,"",IF(I4493="SBJ","CB","?"))</f>
        <v> </v>
      </c>
      <c r="I4493" s="25" t="str">
        <f>IF(OR(E4493="",E4493="!!!",F4493="NEW"),"",INDEX(B4492:B$2,-1+SUMPRODUCT(MAX(ROW(E4492:E$2)*(E4493=E4492:E$2)))))</f>
        <v> </v>
      </c>
      <c r="J4493" s="25" t="str">
        <f>IF(OR(E4493="",E4493="!!!",F4493="NEW"),"",COUNTBLANK(OFFSET(A$1,,,SUMPRODUCT(MAX(ROW(E$2:E4493)*(E4493=E$2:E4493)))))-COUNTBLANK(OFFSET(A$1,,,SUMPRODUCT(MAX(ROW(E$1:E4492)*(E2=E$1:E4492))))))</f>
        <v> </v>
      </c>
      <c r="K4493" s="25" t="str">
        <f>IF(OR(E4493="",E4493="!!!",F4493="NEW"),"",INDEX(J$1:J4492,SUMPRODUCT(MAX(ROW(E$1:E4492)*(E4493=E$1:E4492)))))</f>
        <v> </v>
      </c>
      <c r="L4493" s="26"/>
    </row>
    <row r="4494" spans="1:12">
      <c r="A4494" s="20" t="s">
        <v>1166</v>
      </c>
      <c r="B4494" s="27" t="s">
        <v>1115</v>
      </c>
      <c r="C4494" s="27" t="s">
        <v>1126</v>
      </c>
      <c r="D4494" s="27" t="s">
        <v>1105</v>
      </c>
      <c r="E4494" s="21">
        <f>IF(D4494="?OLD","!!!","")</f>
        <v/>
      </c>
      <c r="F4494" s="22" t="str">
        <f>IF(OR(E4494="",E4494="!!!"),"",IF(NOT(ISNA(VLOOKUP(E4494,E$1:E4493,1,FALSE()))),"OLD",IF(AND(E4494&lt;&gt;"",E4494&lt;&gt;"!!!"),"NEW","")))</f>
        <v> </v>
      </c>
      <c r="G4494" s="23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4" t="str">
        <f>IF(J4494&lt;&gt;1,"",IF(I4494="SBJ","CB","?"))</f>
        <v> </v>
      </c>
      <c r="I4494" s="25" t="str">
        <f>IF(OR(E4494="",E4494="!!!",F4494="NEW"),"",INDEX(B4493:B$2,-1+SUMPRODUCT(MAX(ROW(E4493:E$2)*(E4494=E4493:E$2)))))</f>
        <v> </v>
      </c>
      <c r="J4494" s="25" t="str">
        <f>IF(OR(E4494="",E4494="!!!",F4494="NEW"),"",COUNTBLANK(OFFSET(A$1,,,SUMPRODUCT(MAX(ROW(E$2:E4494)*(E4494=E$2:E4494)))))-COUNTBLANK(OFFSET(A$1,,,SUMPRODUCT(MAX(ROW(E$1:E4493)*(E2=E$1:E4493))))))</f>
        <v> </v>
      </c>
      <c r="K4494" s="25" t="str">
        <f>IF(OR(E4494="",E4494="!!!",F4494="NEW"),"",INDEX(J$1:J4493,SUMPRODUCT(MAX(ROW(E$1:E4493)*(E4494=E$1:E4493)))))</f>
        <v> </v>
      </c>
      <c r="L4494" s="26"/>
    </row>
    <row r="4495" spans="1:12">
      <c r="A4495" s="20" t="s">
        <v>2099</v>
      </c>
      <c r="E4495" s="21">
        <f>IF(D4495="?OLD","!!!","")</f>
        <v/>
      </c>
      <c r="F4495" s="22" t="str">
        <f>IF(OR(E4495="",E4495="!!!"),"",IF(NOT(ISNA(VLOOKUP(E4495,E$1:E4494,1,FALSE()))),"OLD",IF(AND(E4495&lt;&gt;"",E4495&lt;&gt;"!!!"),"NEW","")))</f>
        <v> </v>
      </c>
      <c r="G4495" s="23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4" t="str">
        <f>IF(J4495&lt;&gt;1,"",IF(I4495="SBJ","CB","?"))</f>
        <v> </v>
      </c>
      <c r="I4495" s="25" t="str">
        <f>IF(OR(E4495="",E4495="!!!",F4495="NEW"),"",INDEX(B4494:B$2,-1+SUMPRODUCT(MAX(ROW(E4494:E$2)*(E4495=E4494:E$2)))))</f>
        <v> </v>
      </c>
      <c r="J4495" s="25" t="str">
        <f>IF(OR(E4495="",E4495="!!!",F4495="NEW"),"",COUNTBLANK(OFFSET(A$1,,,SUMPRODUCT(MAX(ROW(E$2:E4495)*(E4495=E$2:E4495)))))-COUNTBLANK(OFFSET(A$1,,,SUMPRODUCT(MAX(ROW(E$1:E4494)*(E2=E$1:E4494))))))</f>
        <v> </v>
      </c>
      <c r="K4495" s="25" t="str">
        <f>IF(OR(E4495="",E4495="!!!",F4495="NEW"),"",INDEX(J$1:J4494,SUMPRODUCT(MAX(ROW(E$1:E4494)*(E4495=E$1:E4494)))))</f>
        <v> </v>
      </c>
      <c r="L4495" s="26"/>
    </row>
    <row r="4496" spans="1:12">
      <c r="A4496" s="20" t="s">
        <v>1186</v>
      </c>
      <c r="B4496" s="27" t="s">
        <v>1141</v>
      </c>
      <c r="C4496" s="27" t="s">
        <v>1126</v>
      </c>
      <c r="D4496" s="27" t="s">
        <v>1105</v>
      </c>
      <c r="E4496" s="21">
        <f>IF(D4496="?OLD","!!!","")</f>
        <v/>
      </c>
      <c r="F4496" s="22" t="str">
        <f>IF(OR(E4496="",E4496="!!!"),"",IF(NOT(ISNA(VLOOKUP(E4496,E$1:E4495,1,FALSE()))),"OLD",IF(AND(E4496&lt;&gt;"",E4496&lt;&gt;"!!!"),"NEW","")))</f>
        <v> </v>
      </c>
      <c r="G4496" s="23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4" t="str">
        <f>IF(J4496&lt;&gt;1,"",IF(I4496="SBJ","CB","?"))</f>
        <v> </v>
      </c>
      <c r="I4496" s="25" t="str">
        <f>IF(OR(E4496="",E4496="!!!",F4496="NEW"),"",INDEX(B4495:B$2,-1+SUMPRODUCT(MAX(ROW(E4495:E$2)*(E4496=E4495:E$2)))))</f>
        <v> </v>
      </c>
      <c r="J4496" s="25" t="str">
        <f>IF(OR(E4496="",E4496="!!!",F4496="NEW"),"",COUNTBLANK(OFFSET(A$1,,,SUMPRODUCT(MAX(ROW(E$2:E4496)*(E4496=E$2:E4496)))))-COUNTBLANK(OFFSET(A$1,,,SUMPRODUCT(MAX(ROW(E$1:E4495)*(E2=E$1:E4495))))))</f>
        <v> </v>
      </c>
      <c r="K4496" s="25" t="str">
        <f>IF(OR(E4496="",E4496="!!!",F4496="NEW"),"",INDEX(J$1:J4495,SUMPRODUCT(MAX(ROW(E$1:E4495)*(E4496=E$1:E4495)))))</f>
        <v> </v>
      </c>
      <c r="L4496" s="26"/>
    </row>
    <row r="4497" spans="1:12">
      <c r="A4497" s="20" t="s">
        <v>2126</v>
      </c>
      <c r="B4497" s="27" t="s">
        <v>1144</v>
      </c>
      <c r="E4497" s="21">
        <f>IF(D4497="?OLD","!!!","")</f>
        <v/>
      </c>
      <c r="F4497" s="22" t="str">
        <f>IF(OR(E4497="",E4497="!!!"),"",IF(NOT(ISNA(VLOOKUP(E4497,E$1:E4496,1,FALSE()))),"OLD",IF(AND(E4497&lt;&gt;"",E4497&lt;&gt;"!!!"),"NEW","")))</f>
        <v> </v>
      </c>
      <c r="G4497" s="23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4" t="str">
        <f>IF(J4497&lt;&gt;1,"",IF(I4497="SBJ","CB","?"))</f>
        <v> </v>
      </c>
      <c r="I4497" s="25" t="str">
        <f>IF(OR(E4497="",E4497="!!!",F4497="NEW"),"",INDEX(B4496:B$2,-1+SUMPRODUCT(MAX(ROW(E4496:E$2)*(E4497=E4496:E$2)))))</f>
        <v> </v>
      </c>
      <c r="J4497" s="25" t="str">
        <f>IF(OR(E4497="",E4497="!!!",F4497="NEW"),"",COUNTBLANK(OFFSET(A$1,,,SUMPRODUCT(MAX(ROW(E$2:E4497)*(E4497=E$2:E4497)))))-COUNTBLANK(OFFSET(A$1,,,SUMPRODUCT(MAX(ROW(E$1:E4496)*(E2=E$1:E4496))))))</f>
        <v> </v>
      </c>
      <c r="K4497" s="25" t="str">
        <f>IF(OR(E4497="",E4497="!!!",F4497="NEW"),"",INDEX(J$1:J4496,SUMPRODUCT(MAX(ROW(E$1:E4496)*(E4497=E$1:E4496)))))</f>
        <v> </v>
      </c>
      <c r="L4497" s="26"/>
    </row>
    <row r="4498" spans="1:12">
      <c r="A4498" s="20" t="s">
        <v>1123</v>
      </c>
      <c r="E4498" s="21">
        <f>IF(D4498="?OLD","!!!","")</f>
        <v/>
      </c>
      <c r="F4498" s="22" t="str">
        <f>IF(OR(E4498="",E4498="!!!"),"",IF(NOT(ISNA(VLOOKUP(E4498,E$1:E4497,1,FALSE()))),"OLD",IF(AND(E4498&lt;&gt;"",E4498&lt;&gt;"!!!"),"NEW","")))</f>
        <v> </v>
      </c>
      <c r="G4498" s="23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4" t="str">
        <f>IF(J4498&lt;&gt;1,"",IF(I4498="SBJ","CB","?"))</f>
        <v> </v>
      </c>
      <c r="I4498" s="25" t="str">
        <f>IF(OR(E4498="",E4498="!!!",F4498="NEW"),"",INDEX(B4497:B$2,-1+SUMPRODUCT(MAX(ROW(E4497:E$2)*(E4498=E4497:E$2)))))</f>
        <v> </v>
      </c>
      <c r="J4498" s="25" t="str">
        <f>IF(OR(E4498="",E4498="!!!",F4498="NEW"),"",COUNTBLANK(OFFSET(A$1,,,SUMPRODUCT(MAX(ROW(E$2:E4498)*(E4498=E$2:E4498)))))-COUNTBLANK(OFFSET(A$1,,,SUMPRODUCT(MAX(ROW(E$1:E4497)*(E2=E$1:E4497))))))</f>
        <v> </v>
      </c>
      <c r="K4498" s="25" t="str">
        <f>IF(OR(E4498="",E4498="!!!",F4498="NEW"),"",INDEX(J$1:J4497,SUMPRODUCT(MAX(ROW(E$1:E4497)*(E4498=E$1:E4497)))))</f>
        <v> </v>
      </c>
      <c r="L4498" s="26"/>
    </row>
    <row r="4499" spans="1:12">
      <c r="A4499" s="20" t="s">
        <v>1181</v>
      </c>
      <c r="B4499" s="27" t="s">
        <v>1125</v>
      </c>
      <c r="C4499" s="27" t="s">
        <v>1133</v>
      </c>
      <c r="E4499" s="21">
        <f>IF(D4499="?OLD","!!!","")</f>
        <v/>
      </c>
      <c r="F4499" s="22" t="str">
        <f>IF(OR(E4499="",E4499="!!!"),"",IF(NOT(ISNA(VLOOKUP(E4499,E$1:E4498,1,FALSE()))),"OLD",IF(AND(E4499&lt;&gt;"",E4499&lt;&gt;"!!!"),"NEW","")))</f>
        <v> </v>
      </c>
      <c r="G4499" s="23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4" t="str">
        <f>IF(J4499&lt;&gt;1,"",IF(I4499="SBJ","CB","?"))</f>
        <v> </v>
      </c>
      <c r="I4499" s="25" t="str">
        <f>IF(OR(E4499="",E4499="!!!",F4499="NEW"),"",INDEX(B4498:B$2,-1+SUMPRODUCT(MAX(ROW(E4498:E$2)*(E4499=E4498:E$2)))))</f>
        <v> </v>
      </c>
      <c r="J4499" s="25" t="str">
        <f>IF(OR(E4499="",E4499="!!!",F4499="NEW"),"",COUNTBLANK(OFFSET(A$1,,,SUMPRODUCT(MAX(ROW(E$2:E4499)*(E4499=E$2:E4499)))))-COUNTBLANK(OFFSET(A$1,,,SUMPRODUCT(MAX(ROW(E$1:E4498)*(E2=E$1:E4498))))))</f>
        <v> </v>
      </c>
      <c r="K4499" s="25" t="str">
        <f>IF(OR(E4499="",E4499="!!!",F4499="NEW"),"",INDEX(J$1:J4498,SUMPRODUCT(MAX(ROW(E$1:E4498)*(E4499=E$1:E4498)))))</f>
        <v> </v>
      </c>
      <c r="L4499" s="26"/>
    </row>
    <row r="4500" spans="1:12">
      <c r="A4500" s="20" t="s">
        <v>1101</v>
      </c>
      <c r="E4500" s="21">
        <f>IF(D4500="?OLD","!!!","")</f>
        <v/>
      </c>
      <c r="F4500" s="22" t="str">
        <f>IF(OR(E4500="",E4500="!!!"),"",IF(NOT(ISNA(VLOOKUP(E4500,E$1:E4499,1,FALSE()))),"OLD",IF(AND(E4500&lt;&gt;"",E4500&lt;&gt;"!!!"),"NEW","")))</f>
        <v> </v>
      </c>
      <c r="G4500" s="23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4" t="str">
        <f>IF(J4500&lt;&gt;1,"",IF(I4500="SBJ","CB","?"))</f>
        <v> </v>
      </c>
      <c r="I4500" s="25" t="str">
        <f>IF(OR(E4500="",E4500="!!!",F4500="NEW"),"",INDEX(B4499:B$2,-1+SUMPRODUCT(MAX(ROW(E4499:E$2)*(E4500=E4499:E$2)))))</f>
        <v> </v>
      </c>
      <c r="J4500" s="25" t="str">
        <f>IF(OR(E4500="",E4500="!!!",F4500="NEW"),"",COUNTBLANK(OFFSET(A$1,,,SUMPRODUCT(MAX(ROW(E$2:E4500)*(E4500=E$2:E4500)))))-COUNTBLANK(OFFSET(A$1,,,SUMPRODUCT(MAX(ROW(E$1:E4499)*(E2=E$1:E4499))))))</f>
        <v> </v>
      </c>
      <c r="K4500" s="25" t="str">
        <f>IF(OR(E4500="",E4500="!!!",F4500="NEW"),"",INDEX(J$1:J4499,SUMPRODUCT(MAX(ROW(E$1:E4499)*(E4500=E$1:E4499)))))</f>
        <v> </v>
      </c>
      <c r="L4500" s="26"/>
    </row>
    <row r="4501" spans="1:12">
      <c r="A4501" s="20" t="s">
        <v>3081</v>
      </c>
      <c r="E4501" s="21">
        <f>IF(D4501="?OLD","!!!","")</f>
        <v/>
      </c>
      <c r="F4501" s="22" t="str">
        <f>IF(OR(E4501="",E4501="!!!"),"",IF(NOT(ISNA(VLOOKUP(E4501,E$1:E4500,1,FALSE()))),"OLD",IF(AND(E4501&lt;&gt;"",E4501&lt;&gt;"!!!"),"NEW","")))</f>
        <v> </v>
      </c>
      <c r="G4501" s="23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4" t="str">
        <f>IF(J4501&lt;&gt;1,"",IF(I4501="SBJ","CB","?"))</f>
        <v> </v>
      </c>
      <c r="I4501" s="25" t="str">
        <f>IF(OR(E4501="",E4501="!!!",F4501="NEW"),"",INDEX(B4500:B$2,-1+SUMPRODUCT(MAX(ROW(E4500:E$2)*(E4501=E4500:E$2)))))</f>
        <v> </v>
      </c>
      <c r="J4501" s="25" t="str">
        <f>IF(OR(E4501="",E4501="!!!",F4501="NEW"),"",COUNTBLANK(OFFSET(A$1,,,SUMPRODUCT(MAX(ROW(E$2:E4501)*(E4501=E$2:E4501)))))-COUNTBLANK(OFFSET(A$1,,,SUMPRODUCT(MAX(ROW(E$1:E4500)*(E2=E$1:E4500))))))</f>
        <v> </v>
      </c>
      <c r="K4501" s="25" t="str">
        <f>IF(OR(E4501="",E4501="!!!",F4501="NEW"),"",INDEX(J$1:J4500,SUMPRODUCT(MAX(ROW(E$1:E4500)*(E4501=E$1:E4500)))))</f>
        <v> </v>
      </c>
      <c r="L4501" s="26"/>
    </row>
    <row r="4502" spans="1:12">
      <c r="A4502" s="20" t="s">
        <v>3082</v>
      </c>
      <c r="E4502" s="21">
        <f>IF(D4502="?OLD","!!!","")</f>
        <v/>
      </c>
      <c r="F4502" s="22" t="str">
        <f>IF(OR(E4502="",E4502="!!!"),"",IF(NOT(ISNA(VLOOKUP(E4502,E$1:E4501,1,FALSE()))),"OLD",IF(AND(E4502&lt;&gt;"",E4502&lt;&gt;"!!!"),"NEW","")))</f>
        <v> </v>
      </c>
      <c r="G4502" s="23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4" t="str">
        <f>IF(J4502&lt;&gt;1,"",IF(I4502="SBJ","CB","?"))</f>
        <v> </v>
      </c>
      <c r="I4502" s="25" t="str">
        <f>IF(OR(E4502="",E4502="!!!",F4502="NEW"),"",INDEX(B4501:B$2,-1+SUMPRODUCT(MAX(ROW(E4501:E$2)*(E4502=E4501:E$2)))))</f>
        <v> </v>
      </c>
      <c r="J4502" s="25" t="str">
        <f>IF(OR(E4502="",E4502="!!!",F4502="NEW"),"",COUNTBLANK(OFFSET(A$1,,,SUMPRODUCT(MAX(ROW(E$2:E4502)*(E4502=E$2:E4502)))))-COUNTBLANK(OFFSET(A$1,,,SUMPRODUCT(MAX(ROW(E$1:E4501)*(E2=E$1:E4501))))))</f>
        <v> </v>
      </c>
      <c r="K4502" s="25" t="str">
        <f>IF(OR(E4502="",E4502="!!!",F4502="NEW"),"",INDEX(J$1:J4501,SUMPRODUCT(MAX(ROW(E$1:E4501)*(E4502=E$1:E4501)))))</f>
        <v> </v>
      </c>
      <c r="L4502" s="26"/>
    </row>
    <row r="4503" spans="1:12">
      <c r="A4503" s="20" t="s">
        <v>3083</v>
      </c>
      <c r="E4503" s="21">
        <f>IF(D4503="?OLD","!!!","")</f>
        <v/>
      </c>
      <c r="F4503" s="22" t="str">
        <f>IF(OR(E4503="",E4503="!!!"),"",IF(NOT(ISNA(VLOOKUP(E4503,E$1:E4502,1,FALSE()))),"OLD",IF(AND(E4503&lt;&gt;"",E4503&lt;&gt;"!!!"),"NEW","")))</f>
        <v> </v>
      </c>
      <c r="G4503" s="23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4" t="str">
        <f>IF(J4503&lt;&gt;1,"",IF(I4503="SBJ","CB","?"))</f>
        <v> </v>
      </c>
      <c r="I4503" s="25" t="str">
        <f>IF(OR(E4503="",E4503="!!!",F4503="NEW"),"",INDEX(B4502:B$2,-1+SUMPRODUCT(MAX(ROW(E4502:E$2)*(E4503=E4502:E$2)))))</f>
        <v> </v>
      </c>
      <c r="J4503" s="25" t="str">
        <f>IF(OR(E4503="",E4503="!!!",F4503="NEW"),"",COUNTBLANK(OFFSET(A$1,,,SUMPRODUCT(MAX(ROW(E$2:E4503)*(E4503=E$2:E4503)))))-COUNTBLANK(OFFSET(A$1,,,SUMPRODUCT(MAX(ROW(E$1:E4502)*(E2=E$1:E4502))))))</f>
        <v> </v>
      </c>
      <c r="K4503" s="25" t="str">
        <f>IF(OR(E4503="",E4503="!!!",F4503="NEW"),"",INDEX(J$1:J4502,SUMPRODUCT(MAX(ROW(E$1:E4502)*(E4503=E$1:E4502)))))</f>
        <v> </v>
      </c>
      <c r="L4503" s="26"/>
    </row>
    <row r="4504" spans="1:12">
      <c r="A4504" s="20" t="s">
        <v>1173</v>
      </c>
      <c r="E4504" s="21">
        <f>IF(D4504="?OLD","!!!","")</f>
        <v/>
      </c>
      <c r="F4504" s="22" t="str">
        <f>IF(OR(E4504="",E4504="!!!"),"",IF(NOT(ISNA(VLOOKUP(E4504,E$1:E4503,1,FALSE()))),"OLD",IF(AND(E4504&lt;&gt;"",E4504&lt;&gt;"!!!"),"NEW","")))</f>
        <v> </v>
      </c>
      <c r="G4504" s="23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4" t="str">
        <f>IF(J4504&lt;&gt;1,"",IF(I4504="SBJ","CB","?"))</f>
        <v> </v>
      </c>
      <c r="I4504" s="25" t="str">
        <f>IF(OR(E4504="",E4504="!!!",F4504="NEW"),"",INDEX(B4503:B$2,-1+SUMPRODUCT(MAX(ROW(E4503:E$2)*(E4504=E4503:E$2)))))</f>
        <v> </v>
      </c>
      <c r="J4504" s="25" t="str">
        <f>IF(OR(E4504="",E4504="!!!",F4504="NEW"),"",COUNTBLANK(OFFSET(A$1,,,SUMPRODUCT(MAX(ROW(E$2:E4504)*(E4504=E$2:E4504)))))-COUNTBLANK(OFFSET(A$1,,,SUMPRODUCT(MAX(ROW(E$1:E4503)*(E2=E$1:E4503))))))</f>
        <v> </v>
      </c>
      <c r="K4504" s="25" t="str">
        <f>IF(OR(E4504="",E4504="!!!",F4504="NEW"),"",INDEX(J$1:J4503,SUMPRODUCT(MAX(ROW(E$1:E4503)*(E4504=E$1:E4503)))))</f>
        <v> </v>
      </c>
      <c r="L4504" s="26"/>
    </row>
    <row r="4505" spans="1:12">
      <c r="A4505" s="20" t="s">
        <v>3033</v>
      </c>
      <c r="E4505" s="21">
        <f>IF(D4505="?OLD","!!!","")</f>
        <v/>
      </c>
      <c r="F4505" s="22" t="str">
        <f>IF(OR(E4505="",E4505="!!!"),"",IF(NOT(ISNA(VLOOKUP(E4505,E$1:E4504,1,FALSE()))),"OLD",IF(AND(E4505&lt;&gt;"",E4505&lt;&gt;"!!!"),"NEW","")))</f>
        <v> </v>
      </c>
      <c r="G4505" s="23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4" t="str">
        <f>IF(J4505&lt;&gt;1,"",IF(I4505="SBJ","CB","?"))</f>
        <v> </v>
      </c>
      <c r="I4505" s="25" t="str">
        <f>IF(OR(E4505="",E4505="!!!",F4505="NEW"),"",INDEX(B4504:B$2,-1+SUMPRODUCT(MAX(ROW(E4504:E$2)*(E4505=E4504:E$2)))))</f>
        <v> </v>
      </c>
      <c r="J4505" s="25" t="str">
        <f>IF(OR(E4505="",E4505="!!!",F4505="NEW"),"",COUNTBLANK(OFFSET(A$1,,,SUMPRODUCT(MAX(ROW(E$2:E4505)*(E4505=E$2:E4505)))))-COUNTBLANK(OFFSET(A$1,,,SUMPRODUCT(MAX(ROW(E$1:E4504)*(E2=E$1:E4504))))))</f>
        <v> </v>
      </c>
      <c r="K4505" s="25" t="str">
        <f>IF(OR(E4505="",E4505="!!!",F4505="NEW"),"",INDEX(J$1:J4504,SUMPRODUCT(MAX(ROW(E$1:E4504)*(E4505=E$1:E4504)))))</f>
        <v> </v>
      </c>
      <c r="L4505" s="26"/>
    </row>
    <row r="4506" spans="1:12">
      <c r="A4506" s="20" t="s">
        <v>3084</v>
      </c>
      <c r="E4506" s="21">
        <f>IF(D4506="?OLD","!!!","")</f>
        <v/>
      </c>
      <c r="F4506" s="22" t="str">
        <f>IF(OR(E4506="",E4506="!!!"),"",IF(NOT(ISNA(VLOOKUP(E4506,E$1:E4505,1,FALSE()))),"OLD",IF(AND(E4506&lt;&gt;"",E4506&lt;&gt;"!!!"),"NEW","")))</f>
        <v> </v>
      </c>
      <c r="G4506" s="23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4" t="str">
        <f>IF(J4506&lt;&gt;1,"",IF(I4506="SBJ","CB","?"))</f>
        <v> </v>
      </c>
      <c r="I4506" s="25" t="str">
        <f>IF(OR(E4506="",E4506="!!!",F4506="NEW"),"",INDEX(B4505:B$2,-1+SUMPRODUCT(MAX(ROW(E4505:E$2)*(E4506=E4505:E$2)))))</f>
        <v> </v>
      </c>
      <c r="J4506" s="25" t="str">
        <f>IF(OR(E4506="",E4506="!!!",F4506="NEW"),"",COUNTBLANK(OFFSET(A$1,,,SUMPRODUCT(MAX(ROW(E$2:E4506)*(E4506=E$2:E4506)))))-COUNTBLANK(OFFSET(A$1,,,SUMPRODUCT(MAX(ROW(E$1:E4505)*(E2=E$1:E4505))))))</f>
        <v> </v>
      </c>
      <c r="K4506" s="25" t="str">
        <f>IF(OR(E4506="",E4506="!!!",F4506="NEW"),"",INDEX(J$1:J4505,SUMPRODUCT(MAX(ROW(E$1:E4505)*(E4506=E$1:E4505)))))</f>
        <v> </v>
      </c>
      <c r="L4506" s="26"/>
    </row>
    <row r="4507" spans="1:12">
      <c r="A4507" s="20" t="s">
        <v>1130</v>
      </c>
      <c r="E4507" s="21">
        <f>IF(D4507="?OLD","!!!","")</f>
        <v/>
      </c>
      <c r="F4507" s="22" t="str">
        <f>IF(OR(E4507="",E4507="!!!"),"",IF(NOT(ISNA(VLOOKUP(E4507,E$1:E4506,1,FALSE()))),"OLD",IF(AND(E4507&lt;&gt;"",E4507&lt;&gt;"!!!"),"NEW","")))</f>
        <v> </v>
      </c>
      <c r="G4507" s="23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4" t="str">
        <f>IF(J4507&lt;&gt;1,"",IF(I4507="SBJ","CB","?"))</f>
        <v> </v>
      </c>
      <c r="I4507" s="25" t="str">
        <f>IF(OR(E4507="",E4507="!!!",F4507="NEW"),"",INDEX(B4506:B$2,-1+SUMPRODUCT(MAX(ROW(E4506:E$2)*(E4507=E4506:E$2)))))</f>
        <v> </v>
      </c>
      <c r="J4507" s="25" t="str">
        <f>IF(OR(E4507="",E4507="!!!",F4507="NEW"),"",COUNTBLANK(OFFSET(A$1,,,SUMPRODUCT(MAX(ROW(E$2:E4507)*(E4507=E$2:E4507)))))-COUNTBLANK(OFFSET(A$1,,,SUMPRODUCT(MAX(ROW(E$1:E4506)*(E2=E$1:E4506))))))</f>
        <v> </v>
      </c>
      <c r="K4507" s="25" t="str">
        <f>IF(OR(E4507="",E4507="!!!",F4507="NEW"),"",INDEX(J$1:J4506,SUMPRODUCT(MAX(ROW(E$1:E4506)*(E4507=E$1:E4506)))))</f>
        <v> </v>
      </c>
      <c r="L4507" s="26"/>
    </row>
    <row r="4508" spans="1:12">
      <c r="A4508" s="20" t="s">
        <v>2153</v>
      </c>
      <c r="B4508" s="27" t="s">
        <v>1141</v>
      </c>
      <c r="C4508" s="27" t="s">
        <v>1126</v>
      </c>
      <c r="D4508" s="27" t="s">
        <v>1105</v>
      </c>
      <c r="E4508" s="21">
        <f>IF(D4508="?OLD","!!!","")</f>
        <v/>
      </c>
      <c r="F4508" s="22" t="str">
        <f>IF(OR(E4508="",E4508="!!!"),"",IF(NOT(ISNA(VLOOKUP(E4508,E$1:E4507,1,FALSE()))),"OLD",IF(AND(E4508&lt;&gt;"",E4508&lt;&gt;"!!!"),"NEW","")))</f>
        <v> </v>
      </c>
      <c r="G4508" s="23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4" t="str">
        <f>IF(J4508&lt;&gt;1,"",IF(I4508="SBJ","CB","?"))</f>
        <v> </v>
      </c>
      <c r="I4508" s="25" t="str">
        <f>IF(OR(E4508="",E4508="!!!",F4508="NEW"),"",INDEX(B4507:B$2,-1+SUMPRODUCT(MAX(ROW(E4507:E$2)*(E4508=E4507:E$2)))))</f>
        <v> </v>
      </c>
      <c r="J4508" s="25" t="str">
        <f>IF(OR(E4508="",E4508="!!!",F4508="NEW"),"",COUNTBLANK(OFFSET(A$1,,,SUMPRODUCT(MAX(ROW(E$2:E4508)*(E4508=E$2:E4508)))))-COUNTBLANK(OFFSET(A$1,,,SUMPRODUCT(MAX(ROW(E$1:E4507)*(E2=E$1:E4507))))))</f>
        <v> </v>
      </c>
      <c r="K4508" s="25" t="str">
        <f>IF(OR(E4508="",E4508="!!!",F4508="NEW"),"",INDEX(J$1:J4507,SUMPRODUCT(MAX(ROW(E$1:E4507)*(E4508=E$1:E4507)))))</f>
        <v> </v>
      </c>
      <c r="L4508" s="26"/>
    </row>
    <row r="4509" spans="1:12">
      <c r="A4509" s="20" t="s">
        <v>1334</v>
      </c>
      <c r="E4509" s="21">
        <f>IF(D4509="?OLD","!!!","")</f>
        <v/>
      </c>
      <c r="F4509" s="22" t="str">
        <f>IF(OR(E4509="",E4509="!!!"),"",IF(NOT(ISNA(VLOOKUP(E4509,E$1:E4508,1,FALSE()))),"OLD",IF(AND(E4509&lt;&gt;"",E4509&lt;&gt;"!!!"),"NEW","")))</f>
        <v> </v>
      </c>
      <c r="G4509" s="23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4" t="str">
        <f>IF(J4509&lt;&gt;1,"",IF(I4509="SBJ","CB","?"))</f>
        <v> </v>
      </c>
      <c r="I4509" s="25" t="str">
        <f>IF(OR(E4509="",E4509="!!!",F4509="NEW"),"",INDEX(B4508:B$2,-1+SUMPRODUCT(MAX(ROW(E4508:E$2)*(E4509=E4508:E$2)))))</f>
        <v> </v>
      </c>
      <c r="J4509" s="25" t="str">
        <f>IF(OR(E4509="",E4509="!!!",F4509="NEW"),"",COUNTBLANK(OFFSET(A$1,,,SUMPRODUCT(MAX(ROW(E$2:E4509)*(E4509=E$2:E4509)))))-COUNTBLANK(OFFSET(A$1,,,SUMPRODUCT(MAX(ROW(E$1:E4508)*(E2=E$1:E4508))))))</f>
        <v> </v>
      </c>
      <c r="K4509" s="25" t="str">
        <f>IF(OR(E4509="",E4509="!!!",F4509="NEW"),"",INDEX(J$1:J4508,SUMPRODUCT(MAX(ROW(E$1:E4508)*(E4509=E$1:E4508)))))</f>
        <v> </v>
      </c>
      <c r="L4509" s="26"/>
    </row>
    <row r="4510" spans="1:12">
      <c r="A4510" s="20"/>
    </row>
    <row r="4511" spans="1:12">
      <c r="A4511" s="20" t="s">
        <v>3085</v>
      </c>
    </row>
    <row r="4512" spans="1:12">
      <c r="A4512" s="20" t="s">
        <v>2207</v>
      </c>
      <c r="E4512" s="21">
        <f>IF(D4512="?OLD","!!!","")</f>
        <v/>
      </c>
      <c r="F4512" s="22" t="str">
        <f>IF(OR(E4512="",E4512="!!!"),"",IF(NOT(ISNA(VLOOKUP(E4512,E$1:E4511,1,FALSE()))),"OLD",IF(AND(E4512&lt;&gt;"",E4512&lt;&gt;"!!!"),"NEW","")))</f>
        <v> </v>
      </c>
      <c r="G4512" s="23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4" t="str">
        <f>IF(J4512&lt;&gt;1,"",IF(I4512="SBJ","CB","?"))</f>
        <v> </v>
      </c>
      <c r="I4512" s="25" t="str">
        <f>IF(OR(E4512="",E4512="!!!",F4512="NEW"),"",INDEX(B4511:B$2,-1+SUMPRODUCT(MAX(ROW(E4511:E$2)*(E4512=E4511:E$2)))))</f>
        <v> </v>
      </c>
      <c r="J4512" s="25" t="str">
        <f>IF(OR(E4512="",E4512="!!!",F4512="NEW"),"",COUNTBLANK(OFFSET(A$1,,,SUMPRODUCT(MAX(ROW(E$2:E4512)*(E4512=E$2:E4512)))))-COUNTBLANK(OFFSET(A$1,,,SUMPRODUCT(MAX(ROW(E$1:E4511)*(E2=E$1:E4511))))))</f>
        <v> </v>
      </c>
      <c r="K4512" s="25" t="str">
        <f>IF(OR(E4512="",E4512="!!!",F4512="NEW"),"",INDEX(J$1:J4511,SUMPRODUCT(MAX(ROW(E$1:E4511)*(E4512=E$1:E4511)))))</f>
        <v> </v>
      </c>
      <c r="L4512" s="26"/>
    </row>
    <row r="4513" spans="1:12">
      <c r="A4513" s="20" t="s">
        <v>2007</v>
      </c>
      <c r="E4513" s="21">
        <f>IF(D4513="?OLD","!!!","")</f>
        <v/>
      </c>
      <c r="F4513" s="22" t="str">
        <f>IF(OR(E4513="",E4513="!!!"),"",IF(NOT(ISNA(VLOOKUP(E4513,E$1:E4512,1,FALSE()))),"OLD",IF(AND(E4513&lt;&gt;"",E4513&lt;&gt;"!!!"),"NEW","")))</f>
        <v> </v>
      </c>
      <c r="G4513" s="23" t="str">
        <f>IF(OR(E4513="",E4513="!!!"),"",IF(OR(J4513=0,AND(J4513=1,K4513=1),AND(J4513=1,I4513="SBJ"),AND(J4513=1,I4513=0)),"?IN_FOCUS",IF(J4513&lt;=2,"?ACTIVATED",IF(J4513&lt;&gt;"","?FAMILIAR",IF(F4513="NEW",IF(ISNA(VLOOKUP(E4513,#REF!,1,FALSE())),"?TYPE_IDENTIFIABLE","?REFERENTIAL"),"_")))))</f>
        <v> </v>
      </c>
      <c r="H4513" s="24" t="str">
        <f>IF(J4513&lt;&gt;1,"",IF(I4513="SBJ","CB","?"))</f>
        <v> </v>
      </c>
      <c r="I4513" s="25" t="str">
        <f>IF(OR(E4513="",E4513="!!!",F4513="NEW"),"",INDEX(B4512:B$2,-1+SUMPRODUCT(MAX(ROW(E4512:E$2)*(E4513=E4512:E$2)))))</f>
        <v> </v>
      </c>
      <c r="J4513" s="25" t="str">
        <f>IF(OR(E4513="",E4513="!!!",F4513="NEW"),"",COUNTBLANK(OFFSET(A$1,,,SUMPRODUCT(MAX(ROW(E$2:E4513)*(E4513=E$2:E4513)))))-COUNTBLANK(OFFSET(A$1,,,SUMPRODUCT(MAX(ROW(E$1:E4512)*(E2=E$1:E4512))))))</f>
        <v> </v>
      </c>
      <c r="K4513" s="25" t="str">
        <f>IF(OR(E4513="",E4513="!!!",F4513="NEW"),"",INDEX(J$1:J4512,SUMPRODUCT(MAX(ROW(E$1:E4512)*(E4513=E$1:E4512)))))</f>
        <v> </v>
      </c>
      <c r="L4513" s="26"/>
    </row>
    <row r="4514" spans="1:12">
      <c r="A4514" s="20" t="s">
        <v>3086</v>
      </c>
      <c r="B4514" s="27" t="s">
        <v>1103</v>
      </c>
      <c r="C4514" s="27" t="s">
        <v>1116</v>
      </c>
      <c r="E4514" s="21">
        <f>IF(D4514="?OLD","!!!","")</f>
        <v/>
      </c>
      <c r="F4514" s="22" t="str">
        <f>IF(OR(E4514="",E4514="!!!"),"",IF(NOT(ISNA(VLOOKUP(E4514,E$1:E4513,1,FALSE()))),"OLD",IF(AND(E4514&lt;&gt;"",E4514&lt;&gt;"!!!"),"NEW","")))</f>
        <v> </v>
      </c>
      <c r="G4514" s="23" t="str">
        <f>IF(OR(E4514="",E4514="!!!"),"",IF(OR(J4514=0,AND(J4514=1,K4514=1),AND(J4514=1,I4514="SBJ"),AND(J4514=1,I4514=0)),"?IN_FOCUS",IF(J4514&lt;=2,"?ACTIVATED",IF(J4514&lt;&gt;"","?FAMILIAR",IF(F4514="NEW",IF(ISNA(VLOOKUP(E4514,#REF!,1,FALSE())),"?TYPE_IDENTIFIABLE","?REFERENTIAL"),"_")))))</f>
        <v> </v>
      </c>
      <c r="H4514" s="24" t="str">
        <f>IF(J4514&lt;&gt;1,"",IF(I4514="SBJ","CB","?"))</f>
        <v> </v>
      </c>
      <c r="I4514" s="25" t="str">
        <f>IF(OR(E4514="",E4514="!!!",F4514="NEW"),"",INDEX(B4513:B$2,-1+SUMPRODUCT(MAX(ROW(E4513:E$2)*(E4514=E4513:E$2)))))</f>
        <v> </v>
      </c>
      <c r="J4514" s="25" t="str">
        <f>IF(OR(E4514="",E4514="!!!",F4514="NEW"),"",COUNTBLANK(OFFSET(A$1,,,SUMPRODUCT(MAX(ROW(E$2:E4514)*(E4514=E$2:E4514)))))-COUNTBLANK(OFFSET(A$1,,,SUMPRODUCT(MAX(ROW(E$1:E4513)*(E2=E$1:E4513))))))</f>
        <v> </v>
      </c>
      <c r="K4514" s="25" t="str">
        <f>IF(OR(E4514="",E4514="!!!",F4514="NEW"),"",INDEX(J$1:J4513,SUMPRODUCT(MAX(ROW(E$1:E4513)*(E4514=E$1:E4513)))))</f>
        <v> </v>
      </c>
      <c r="L4514" s="26"/>
    </row>
    <row r="4515" spans="1:12">
      <c r="A4515" s="20" t="s">
        <v>2312</v>
      </c>
      <c r="B4515" s="27" t="s">
        <v>1149</v>
      </c>
      <c r="E4515" s="21">
        <f>IF(D4515="?OLD","!!!","")</f>
        <v/>
      </c>
      <c r="F4515" s="22" t="str">
        <f>IF(OR(E4515="",E4515="!!!"),"",IF(NOT(ISNA(VLOOKUP(E4515,E$1:E4514,1,FALSE()))),"OLD",IF(AND(E4515&lt;&gt;"",E4515&lt;&gt;"!!!"),"NEW","")))</f>
        <v> </v>
      </c>
      <c r="G4515" s="23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4" t="str">
        <f>IF(J4515&lt;&gt;1,"",IF(I4515="SBJ","CB","?"))</f>
        <v> </v>
      </c>
      <c r="I4515" s="25" t="str">
        <f>IF(OR(E4515="",E4515="!!!",F4515="NEW"),"",INDEX(B4514:B$2,-1+SUMPRODUCT(MAX(ROW(E4514:E$2)*(E4515=E4514:E$2)))))</f>
        <v> </v>
      </c>
      <c r="J4515" s="25" t="str">
        <f>IF(OR(E4515="",E4515="!!!",F4515="NEW"),"",COUNTBLANK(OFFSET(A$1,,,SUMPRODUCT(MAX(ROW(E$2:E4515)*(E4515=E$2:E4515)))))-COUNTBLANK(OFFSET(A$1,,,SUMPRODUCT(MAX(ROW(E$1:E4514)*(E2=E$1:E4514))))))</f>
        <v> </v>
      </c>
      <c r="K4515" s="25" t="str">
        <f>IF(OR(E4515="",E4515="!!!",F4515="NEW"),"",INDEX(J$1:J4514,SUMPRODUCT(MAX(ROW(E$1:E4514)*(E4515=E$1:E4514)))))</f>
        <v> </v>
      </c>
      <c r="L4515" s="26"/>
    </row>
    <row r="4516" spans="1:12">
      <c r="A4516" s="20" t="s">
        <v>1128</v>
      </c>
      <c r="E4516" s="21">
        <f>IF(D4516="?OLD","!!!","")</f>
        <v/>
      </c>
      <c r="F4516" s="22" t="str">
        <f>IF(OR(E4516="",E4516="!!!"),"",IF(NOT(ISNA(VLOOKUP(E4516,E$1:E4515,1,FALSE()))),"OLD",IF(AND(E4516&lt;&gt;"",E4516&lt;&gt;"!!!"),"NEW","")))</f>
        <v> </v>
      </c>
      <c r="G4516" s="23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4" t="str">
        <f>IF(J4516&lt;&gt;1,"",IF(I4516="SBJ","CB","?"))</f>
        <v> </v>
      </c>
      <c r="I4516" s="25" t="str">
        <f>IF(OR(E4516="",E4516="!!!",F4516="NEW"),"",INDEX(B4515:B$2,-1+SUMPRODUCT(MAX(ROW(E4515:E$2)*(E4516=E4515:E$2)))))</f>
        <v> </v>
      </c>
      <c r="J4516" s="25" t="str">
        <f>IF(OR(E4516="",E4516="!!!",F4516="NEW"),"",COUNTBLANK(OFFSET(A$1,,,SUMPRODUCT(MAX(ROW(E$2:E4516)*(E4516=E$2:E4516)))))-COUNTBLANK(OFFSET(A$1,,,SUMPRODUCT(MAX(ROW(E$1:E4515)*(E2=E$1:E4515))))))</f>
        <v> </v>
      </c>
      <c r="K4516" s="25" t="str">
        <f>IF(OR(E4516="",E4516="!!!",F4516="NEW"),"",INDEX(J$1:J4515,SUMPRODUCT(MAX(ROW(E$1:E4515)*(E4516=E$1:E4515)))))</f>
        <v> </v>
      </c>
      <c r="L4516" s="26"/>
    </row>
    <row r="4517" spans="1:12">
      <c r="A4517" s="20" t="s">
        <v>2411</v>
      </c>
      <c r="E4517" s="21">
        <f>IF(D4517="?OLD","!!!","")</f>
        <v/>
      </c>
      <c r="F4517" s="22" t="str">
        <f>IF(OR(E4517="",E4517="!!!"),"",IF(NOT(ISNA(VLOOKUP(E4517,E$1:E4516,1,FALSE()))),"OLD",IF(AND(E4517&lt;&gt;"",E4517&lt;&gt;"!!!"),"NEW","")))</f>
        <v> </v>
      </c>
      <c r="G4517" s="23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4" t="str">
        <f>IF(J4517&lt;&gt;1,"",IF(I4517="SBJ","CB","?"))</f>
        <v> </v>
      </c>
      <c r="I4517" s="25" t="str">
        <f>IF(OR(E4517="",E4517="!!!",F4517="NEW"),"",INDEX(B4516:B$2,-1+SUMPRODUCT(MAX(ROW(E4516:E$2)*(E4517=E4516:E$2)))))</f>
        <v> </v>
      </c>
      <c r="J4517" s="25" t="str">
        <f>IF(OR(E4517="",E4517="!!!",F4517="NEW"),"",COUNTBLANK(OFFSET(A$1,,,SUMPRODUCT(MAX(ROW(E$2:E4517)*(E4517=E$2:E4517)))))-COUNTBLANK(OFFSET(A$1,,,SUMPRODUCT(MAX(ROW(E$1:E4516)*(E2=E$1:E4516))))))</f>
        <v> </v>
      </c>
      <c r="K4517" s="25" t="str">
        <f>IF(OR(E4517="",E4517="!!!",F4517="NEW"),"",INDEX(J$1:J4516,SUMPRODUCT(MAX(ROW(E$1:E4516)*(E4517=E$1:E4516)))))</f>
        <v> </v>
      </c>
      <c r="L4517" s="26"/>
    </row>
    <row r="4518" spans="1:12">
      <c r="A4518" s="20" t="s">
        <v>3087</v>
      </c>
      <c r="B4518" s="27" t="s">
        <v>1107</v>
      </c>
      <c r="C4518" s="27" t="s">
        <v>1210</v>
      </c>
      <c r="E4518" s="21">
        <f>IF(D4518="?OLD","!!!","")</f>
        <v/>
      </c>
      <c r="F4518" s="22" t="str">
        <f>IF(OR(E4518="",E4518="!!!"),"",IF(NOT(ISNA(VLOOKUP(E4518,E$1:E4517,1,FALSE()))),"OLD",IF(AND(E4518&lt;&gt;"",E4518&lt;&gt;"!!!"),"NEW","")))</f>
        <v> </v>
      </c>
      <c r="G4518" s="23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4" t="str">
        <f>IF(J4518&lt;&gt;1,"",IF(I4518="SBJ","CB","?"))</f>
        <v> </v>
      </c>
      <c r="I4518" s="25" t="str">
        <f>IF(OR(E4518="",E4518="!!!",F4518="NEW"),"",INDEX(B4517:B$2,-1+SUMPRODUCT(MAX(ROW(E4517:E$2)*(E4518=E4517:E$2)))))</f>
        <v> </v>
      </c>
      <c r="J4518" s="25" t="str">
        <f>IF(OR(E4518="",E4518="!!!",F4518="NEW"),"",COUNTBLANK(OFFSET(A$1,,,SUMPRODUCT(MAX(ROW(E$2:E4518)*(E4518=E$2:E4518)))))-COUNTBLANK(OFFSET(A$1,,,SUMPRODUCT(MAX(ROW(E$1:E4517)*(E2=E$1:E4517))))))</f>
        <v> </v>
      </c>
      <c r="K4518" s="25" t="str">
        <f>IF(OR(E4518="",E4518="!!!",F4518="NEW"),"",INDEX(J$1:J4517,SUMPRODUCT(MAX(ROW(E$1:E4517)*(E4518=E$1:E4517)))))</f>
        <v> </v>
      </c>
      <c r="L4518" s="26"/>
    </row>
    <row r="4519" spans="1:12">
      <c r="A4519" s="20" t="s">
        <v>1145</v>
      </c>
      <c r="E4519" s="21">
        <f>IF(D4519="?OLD","!!!","")</f>
        <v/>
      </c>
      <c r="F4519" s="22" t="str">
        <f>IF(OR(E4519="",E4519="!!!"),"",IF(NOT(ISNA(VLOOKUP(E4519,E$1:E4518,1,FALSE()))),"OLD",IF(AND(E4519&lt;&gt;"",E4519&lt;&gt;"!!!"),"NEW","")))</f>
        <v> </v>
      </c>
      <c r="G4519" s="23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4" t="str">
        <f>IF(J4519&lt;&gt;1,"",IF(I4519="SBJ","CB","?"))</f>
        <v> </v>
      </c>
      <c r="I4519" s="25" t="str">
        <f>IF(OR(E4519="",E4519="!!!",F4519="NEW"),"",INDEX(B4518:B$2,-1+SUMPRODUCT(MAX(ROW(E4518:E$2)*(E4519=E4518:E$2)))))</f>
        <v> </v>
      </c>
      <c r="J4519" s="25" t="str">
        <f>IF(OR(E4519="",E4519="!!!",F4519="NEW"),"",COUNTBLANK(OFFSET(A$1,,,SUMPRODUCT(MAX(ROW(E$2:E4519)*(E4519=E$2:E4519)))))-COUNTBLANK(OFFSET(A$1,,,SUMPRODUCT(MAX(ROW(E$1:E4518)*(E2=E$1:E4518))))))</f>
        <v> </v>
      </c>
      <c r="K4519" s="25" t="str">
        <f>IF(OR(E4519="",E4519="!!!",F4519="NEW"),"",INDEX(J$1:J4518,SUMPRODUCT(MAX(ROW(E$1:E4518)*(E4519=E$1:E4518)))))</f>
        <v> </v>
      </c>
      <c r="L4519" s="26"/>
    </row>
    <row r="4520" spans="1:12">
      <c r="A4520" s="20"/>
    </row>
    <row r="4521" spans="1:12">
      <c r="A4521" s="20" t="s">
        <v>3088</v>
      </c>
    </row>
    <row r="4522" spans="1:12">
      <c r="A4522" s="20" t="s">
        <v>1368</v>
      </c>
      <c r="E4522" s="21">
        <f>IF(D4522="?OLD","!!!","")</f>
        <v/>
      </c>
      <c r="F4522" s="22" t="str">
        <f>IF(OR(E4522="",E4522="!!!"),"",IF(NOT(ISNA(VLOOKUP(E4522,E$1:E4521,1,FALSE()))),"OLD",IF(AND(E4522&lt;&gt;"",E4522&lt;&gt;"!!!"),"NEW","")))</f>
        <v> </v>
      </c>
      <c r="G4522" s="23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4" t="str">
        <f>IF(J4522&lt;&gt;1,"",IF(I4522="SBJ","CB","?"))</f>
        <v> </v>
      </c>
      <c r="I4522" s="25" t="str">
        <f>IF(OR(E4522="",E4522="!!!",F4522="NEW"),"",INDEX(B4521:B$2,-1+SUMPRODUCT(MAX(ROW(E4521:E$2)*(E4522=E4521:E$2)))))</f>
        <v> </v>
      </c>
      <c r="J4522" s="25" t="str">
        <f>IF(OR(E4522="",E4522="!!!",F4522="NEW"),"",COUNTBLANK(OFFSET(A$1,,,SUMPRODUCT(MAX(ROW(E$2:E4522)*(E4522=E$2:E4522)))))-COUNTBLANK(OFFSET(A$1,,,SUMPRODUCT(MAX(ROW(E$1:E4521)*(E2=E$1:E4521))))))</f>
        <v> </v>
      </c>
      <c r="K4522" s="25" t="str">
        <f>IF(OR(E4522="",E4522="!!!",F4522="NEW"),"",INDEX(J$1:J4521,SUMPRODUCT(MAX(ROW(E$1:E4521)*(E4522=E$1:E4521)))))</f>
        <v> </v>
      </c>
      <c r="L4522" s="26"/>
    </row>
    <row r="4523" spans="1:12">
      <c r="A4523" s="20" t="s">
        <v>1444</v>
      </c>
      <c r="E4523" s="21">
        <f>IF(D4523="?OLD","!!!","")</f>
        <v/>
      </c>
      <c r="F4523" s="22" t="str">
        <f>IF(OR(E4523="",E4523="!!!"),"",IF(NOT(ISNA(VLOOKUP(E4523,E$1:E4522,1,FALSE()))),"OLD",IF(AND(E4523&lt;&gt;"",E4523&lt;&gt;"!!!"),"NEW","")))</f>
        <v> </v>
      </c>
      <c r="G4523" s="23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4" t="str">
        <f>IF(J4523&lt;&gt;1,"",IF(I4523="SBJ","CB","?"))</f>
        <v> </v>
      </c>
      <c r="I4523" s="25" t="str">
        <f>IF(OR(E4523="",E4523="!!!",F4523="NEW"),"",INDEX(B4522:B$2,-1+SUMPRODUCT(MAX(ROW(E4522:E$2)*(E4523=E4522:E$2)))))</f>
        <v> </v>
      </c>
      <c r="J4523" s="25" t="str">
        <f>IF(OR(E4523="",E4523="!!!",F4523="NEW"),"",COUNTBLANK(OFFSET(A$1,,,SUMPRODUCT(MAX(ROW(E$2:E4523)*(E4523=E$2:E4523)))))-COUNTBLANK(OFFSET(A$1,,,SUMPRODUCT(MAX(ROW(E$1:E4522)*(E2=E$1:E4522))))))</f>
        <v> </v>
      </c>
      <c r="K4523" s="25" t="str">
        <f>IF(OR(E4523="",E4523="!!!",F4523="NEW"),"",INDEX(J$1:J4522,SUMPRODUCT(MAX(ROW(E$1:E4522)*(E4523=E$1:E4522)))))</f>
        <v> </v>
      </c>
      <c r="L4523" s="26"/>
    </row>
    <row r="4524" spans="1:12">
      <c r="A4524" s="20" t="s">
        <v>1494</v>
      </c>
      <c r="B4524" s="27" t="s">
        <v>1213</v>
      </c>
      <c r="C4524" s="27" t="s">
        <v>1126</v>
      </c>
      <c r="D4524" s="27" t="s">
        <v>1105</v>
      </c>
      <c r="E4524" s="21">
        <f>IF(D4524="?OLD","!!!","")</f>
        <v/>
      </c>
      <c r="F4524" s="22" t="str">
        <f>IF(OR(E4524="",E4524="!!!"),"",IF(NOT(ISNA(VLOOKUP(E4524,E$1:E4523,1,FALSE()))),"OLD",IF(AND(E4524&lt;&gt;"",E4524&lt;&gt;"!!!"),"NEW","")))</f>
        <v> </v>
      </c>
      <c r="G4524" s="23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4" t="str">
        <f>IF(J4524&lt;&gt;1,"",IF(I4524="SBJ","CB","?"))</f>
        <v> </v>
      </c>
      <c r="I4524" s="25" t="str">
        <f>IF(OR(E4524="",E4524="!!!",F4524="NEW"),"",INDEX(B4523:B$2,-1+SUMPRODUCT(MAX(ROW(E4523:E$2)*(E4524=E4523:E$2)))))</f>
        <v> </v>
      </c>
      <c r="J4524" s="25" t="str">
        <f>IF(OR(E4524="",E4524="!!!",F4524="NEW"),"",COUNTBLANK(OFFSET(A$1,,,SUMPRODUCT(MAX(ROW(E$2:E4524)*(E4524=E$2:E4524)))))-COUNTBLANK(OFFSET(A$1,,,SUMPRODUCT(MAX(ROW(E$1:E4523)*(E2=E$1:E4523))))))</f>
        <v> </v>
      </c>
      <c r="K4524" s="25" t="str">
        <f>IF(OR(E4524="",E4524="!!!",F4524="NEW"),"",INDEX(J$1:J4523,SUMPRODUCT(MAX(ROW(E$1:E4523)*(E4524=E$1:E4523)))))</f>
        <v> </v>
      </c>
      <c r="L4524" s="26"/>
    </row>
    <row r="4525" spans="1:12">
      <c r="A4525" s="20" t="s">
        <v>3089</v>
      </c>
      <c r="B4525" s="27" t="s">
        <v>1149</v>
      </c>
      <c r="E4525" s="21">
        <f>IF(D4525="?OLD","!!!","")</f>
        <v/>
      </c>
      <c r="F4525" s="22" t="str">
        <f>IF(OR(E4525="",E4525="!!!"),"",IF(NOT(ISNA(VLOOKUP(E4525,E$1:E4524,1,FALSE()))),"OLD",IF(AND(E4525&lt;&gt;"",E4525&lt;&gt;"!!!"),"NEW","")))</f>
        <v> </v>
      </c>
      <c r="G4525" s="23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4" t="str">
        <f>IF(J4525&lt;&gt;1,"",IF(I4525="SBJ","CB","?"))</f>
        <v> </v>
      </c>
      <c r="I4525" s="25" t="str">
        <f>IF(OR(E4525="",E4525="!!!",F4525="NEW"),"",INDEX(B4524:B$2,-1+SUMPRODUCT(MAX(ROW(E4524:E$2)*(E4525=E4524:E$2)))))</f>
        <v> </v>
      </c>
      <c r="J4525" s="25" t="str">
        <f>IF(OR(E4525="",E4525="!!!",F4525="NEW"),"",COUNTBLANK(OFFSET(A$1,,,SUMPRODUCT(MAX(ROW(E$2:E4525)*(E4525=E$2:E4525)))))-COUNTBLANK(OFFSET(A$1,,,SUMPRODUCT(MAX(ROW(E$1:E4524)*(E2=E$1:E4524))))))</f>
        <v> </v>
      </c>
      <c r="K4525" s="25" t="str">
        <f>IF(OR(E4525="",E4525="!!!",F4525="NEW"),"",INDEX(J$1:J4524,SUMPRODUCT(MAX(ROW(E$1:E4524)*(E4525=E$1:E4524)))))</f>
        <v> </v>
      </c>
      <c r="L4525" s="26"/>
    </row>
    <row r="4526" spans="1:12">
      <c r="A4526" s="20" t="s">
        <v>2073</v>
      </c>
      <c r="E4526" s="21">
        <f>IF(D4526="?OLD","!!!","")</f>
        <v/>
      </c>
      <c r="F4526" s="22" t="str">
        <f>IF(OR(E4526="",E4526="!!!"),"",IF(NOT(ISNA(VLOOKUP(E4526,E$1:E4525,1,FALSE()))),"OLD",IF(AND(E4526&lt;&gt;"",E4526&lt;&gt;"!!!"),"NEW","")))</f>
        <v> </v>
      </c>
      <c r="G4526" s="23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4" t="str">
        <f>IF(J4526&lt;&gt;1,"",IF(I4526="SBJ","CB","?"))</f>
        <v> </v>
      </c>
      <c r="I4526" s="25" t="str">
        <f>IF(OR(E4526="",E4526="!!!",F4526="NEW"),"",INDEX(B4525:B$2,-1+SUMPRODUCT(MAX(ROW(E4525:E$2)*(E4526=E4525:E$2)))))</f>
        <v> </v>
      </c>
      <c r="J4526" s="25" t="str">
        <f>IF(OR(E4526="",E4526="!!!",F4526="NEW"),"",COUNTBLANK(OFFSET(A$1,,,SUMPRODUCT(MAX(ROW(E$2:E4526)*(E4526=E$2:E4526)))))-COUNTBLANK(OFFSET(A$1,,,SUMPRODUCT(MAX(ROW(E$1:E4525)*(E2=E$1:E4525))))))</f>
        <v> </v>
      </c>
      <c r="K4526" s="25" t="str">
        <f>IF(OR(E4526="",E4526="!!!",F4526="NEW"),"",INDEX(J$1:J4525,SUMPRODUCT(MAX(ROW(E$1:E4525)*(E4526=E$1:E4525)))))</f>
        <v> </v>
      </c>
      <c r="L4526" s="26"/>
    </row>
    <row r="4527" spans="1:12">
      <c r="A4527" s="20" t="s">
        <v>1249</v>
      </c>
      <c r="E4527" s="21">
        <f>IF(D4527="?OLD","!!!","")</f>
        <v/>
      </c>
      <c r="F4527" s="22" t="str">
        <f>IF(OR(E4527="",E4527="!!!"),"",IF(NOT(ISNA(VLOOKUP(E4527,E$1:E4526,1,FALSE()))),"OLD",IF(AND(E4527&lt;&gt;"",E4527&lt;&gt;"!!!"),"NEW","")))</f>
        <v> </v>
      </c>
      <c r="G4527" s="23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4" t="str">
        <f>IF(J4527&lt;&gt;1,"",IF(I4527="SBJ","CB","?"))</f>
        <v> </v>
      </c>
      <c r="I4527" s="25" t="str">
        <f>IF(OR(E4527="",E4527="!!!",F4527="NEW"),"",INDEX(B4526:B$2,-1+SUMPRODUCT(MAX(ROW(E4526:E$2)*(E4527=E4526:E$2)))))</f>
        <v> </v>
      </c>
      <c r="J4527" s="25" t="str">
        <f>IF(OR(E4527="",E4527="!!!",F4527="NEW"),"",COUNTBLANK(OFFSET(A$1,,,SUMPRODUCT(MAX(ROW(E$2:E4527)*(E4527=E$2:E4527)))))-COUNTBLANK(OFFSET(A$1,,,SUMPRODUCT(MAX(ROW(E$1:E4526)*(E2=E$1:E4526))))))</f>
        <v> </v>
      </c>
      <c r="K4527" s="25" t="str">
        <f>IF(OR(E4527="",E4527="!!!",F4527="NEW"),"",INDEX(J$1:J4526,SUMPRODUCT(MAX(ROW(E$1:E4526)*(E4527=E$1:E4526)))))</f>
        <v> </v>
      </c>
      <c r="L4527" s="26"/>
    </row>
    <row r="4528" spans="1:12">
      <c r="A4528" s="20" t="s">
        <v>1262</v>
      </c>
      <c r="E4528" s="21">
        <f>IF(D4528="?OLD","!!!","")</f>
        <v/>
      </c>
      <c r="F4528" s="22" t="str">
        <f>IF(OR(E4528="",E4528="!!!"),"",IF(NOT(ISNA(VLOOKUP(E4528,E$1:E4527,1,FALSE()))),"OLD",IF(AND(E4528&lt;&gt;"",E4528&lt;&gt;"!!!"),"NEW","")))</f>
        <v> </v>
      </c>
      <c r="G4528" s="23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4" t="str">
        <f>IF(J4528&lt;&gt;1,"",IF(I4528="SBJ","CB","?"))</f>
        <v> </v>
      </c>
      <c r="I4528" s="25" t="str">
        <f>IF(OR(E4528="",E4528="!!!",F4528="NEW"),"",INDEX(B4527:B$2,-1+SUMPRODUCT(MAX(ROW(E4527:E$2)*(E4528=E4527:E$2)))))</f>
        <v> </v>
      </c>
      <c r="J4528" s="25" t="str">
        <f>IF(OR(E4528="",E4528="!!!",F4528="NEW"),"",COUNTBLANK(OFFSET(A$1,,,SUMPRODUCT(MAX(ROW(E$2:E4528)*(E4528=E$2:E4528)))))-COUNTBLANK(OFFSET(A$1,,,SUMPRODUCT(MAX(ROW(E$1:E4527)*(E2=E$1:E4527))))))</f>
        <v> </v>
      </c>
      <c r="K4528" s="25" t="str">
        <f>IF(OR(E4528="",E4528="!!!",F4528="NEW"),"",INDEX(J$1:J4527,SUMPRODUCT(MAX(ROW(E$1:E4527)*(E4528=E$1:E4527)))))</f>
        <v> </v>
      </c>
      <c r="L4528" s="26"/>
    </row>
    <row r="4529" spans="1:12">
      <c r="A4529" s="20" t="s">
        <v>1145</v>
      </c>
      <c r="E4529" s="21">
        <f>IF(D4529="?OLD","!!!","")</f>
        <v/>
      </c>
      <c r="F4529" s="22" t="str">
        <f>IF(OR(E4529="",E4529="!!!"),"",IF(NOT(ISNA(VLOOKUP(E4529,E$1:E4528,1,FALSE()))),"OLD",IF(AND(E4529&lt;&gt;"",E4529&lt;&gt;"!!!"),"NEW","")))</f>
        <v> </v>
      </c>
      <c r="G4529" s="23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4" t="str">
        <f>IF(J4529&lt;&gt;1,"",IF(I4529="SBJ","CB","?"))</f>
        <v> </v>
      </c>
      <c r="I4529" s="25" t="str">
        <f>IF(OR(E4529="",E4529="!!!",F4529="NEW"),"",INDEX(B4528:B$2,-1+SUMPRODUCT(MAX(ROW(E4528:E$2)*(E4529=E4528:E$2)))))</f>
        <v> </v>
      </c>
      <c r="J4529" s="25" t="str">
        <f>IF(OR(E4529="",E4529="!!!",F4529="NEW"),"",COUNTBLANK(OFFSET(A$1,,,SUMPRODUCT(MAX(ROW(E$2:E4529)*(E4529=E$2:E4529)))))-COUNTBLANK(OFFSET(A$1,,,SUMPRODUCT(MAX(ROW(E$1:E4528)*(E2=E$1:E4528))))))</f>
        <v> </v>
      </c>
      <c r="K4529" s="25" t="str">
        <f>IF(OR(E4529="",E4529="!!!",F4529="NEW"),"",INDEX(J$1:J4528,SUMPRODUCT(MAX(ROW(E$1:E4528)*(E4529=E$1:E4528)))))</f>
        <v> </v>
      </c>
      <c r="L4529" s="26"/>
    </row>
    <row r="4530" spans="1:12">
      <c r="A4530" s="20"/>
    </row>
    <row r="4531" spans="1:12">
      <c r="A4531" s="20" t="s">
        <v>3090</v>
      </c>
    </row>
    <row r="4532" spans="1:12">
      <c r="A4532" s="20" t="s">
        <v>1191</v>
      </c>
      <c r="B4532" s="27" t="s">
        <v>1149</v>
      </c>
      <c r="C4532" s="27" t="s">
        <v>1126</v>
      </c>
      <c r="D4532" s="27" t="s">
        <v>1105</v>
      </c>
      <c r="E4532" s="21">
        <f>IF(D4532="?OLD","!!!","")</f>
        <v/>
      </c>
      <c r="F4532" s="22" t="str">
        <f>IF(OR(E4532="",E4532="!!!"),"",IF(NOT(ISNA(VLOOKUP(E4532,E$1:E4531,1,FALSE()))),"OLD",IF(AND(E4532&lt;&gt;"",E4532&lt;&gt;"!!!"),"NEW","")))</f>
        <v> </v>
      </c>
      <c r="G4532" s="23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4" t="str">
        <f>IF(J4532&lt;&gt;1,"",IF(I4532="SBJ","CB","?"))</f>
        <v> </v>
      </c>
      <c r="I4532" s="25" t="str">
        <f>IF(OR(E4532="",E4532="!!!",F4532="NEW"),"",INDEX(B4531:B$2,-1+SUMPRODUCT(MAX(ROW(E4531:E$2)*(E4532=E4531:E$2)))))</f>
        <v> </v>
      </c>
      <c r="J4532" s="25" t="str">
        <f>IF(OR(E4532="",E4532="!!!",F4532="NEW"),"",COUNTBLANK(OFFSET(A$1,,,SUMPRODUCT(MAX(ROW(E$2:E4532)*(E4532=E$2:E4532)))))-COUNTBLANK(OFFSET(A$1,,,SUMPRODUCT(MAX(ROW(E$1:E4531)*(E2=E$1:E4531))))))</f>
        <v> </v>
      </c>
      <c r="K4532" s="25" t="str">
        <f>IF(OR(E4532="",E4532="!!!",F4532="NEW"),"",INDEX(J$1:J4531,SUMPRODUCT(MAX(ROW(E$1:E4531)*(E4532=E$1:E4531)))))</f>
        <v> </v>
      </c>
      <c r="L4532" s="26"/>
    </row>
    <row r="4533" spans="1:12">
      <c r="A4533" s="20" t="s">
        <v>1528</v>
      </c>
      <c r="E4533" s="21">
        <f>IF(D4533="?OLD","!!!","")</f>
        <v/>
      </c>
      <c r="F4533" s="22" t="str">
        <f>IF(OR(E4533="",E4533="!!!"),"",IF(NOT(ISNA(VLOOKUP(E4533,E$1:E4532,1,FALSE()))),"OLD",IF(AND(E4533&lt;&gt;"",E4533&lt;&gt;"!!!"),"NEW","")))</f>
        <v> </v>
      </c>
      <c r="G4533" s="23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4" t="str">
        <f>IF(J4533&lt;&gt;1,"",IF(I4533="SBJ","CB","?"))</f>
        <v> </v>
      </c>
      <c r="I4533" s="25" t="str">
        <f>IF(OR(E4533="",E4533="!!!",F4533="NEW"),"",INDEX(B4532:B$2,-1+SUMPRODUCT(MAX(ROW(E4532:E$2)*(E4533=E4532:E$2)))))</f>
        <v> </v>
      </c>
      <c r="J4533" s="25" t="str">
        <f>IF(OR(E4533="",E4533="!!!",F4533="NEW"),"",COUNTBLANK(OFFSET(A$1,,,SUMPRODUCT(MAX(ROW(E$2:E4533)*(E4533=E$2:E4533)))))-COUNTBLANK(OFFSET(A$1,,,SUMPRODUCT(MAX(ROW(E$1:E4532)*(E2=E$1:E4532))))))</f>
        <v> </v>
      </c>
      <c r="K4533" s="25" t="str">
        <f>IF(OR(E4533="",E4533="!!!",F4533="NEW"),"",INDEX(J$1:J4532,SUMPRODUCT(MAX(ROW(E$1:E4532)*(E4533=E$1:E4532)))))</f>
        <v> </v>
      </c>
      <c r="L4533" s="26"/>
    </row>
    <row r="4534" spans="1:12">
      <c r="A4534" s="20" t="s">
        <v>3091</v>
      </c>
      <c r="E4534" s="21">
        <f>IF(D4534="?OLD","!!!","")</f>
        <v/>
      </c>
      <c r="F4534" s="22" t="str">
        <f>IF(OR(E4534="",E4534="!!!"),"",IF(NOT(ISNA(VLOOKUP(E4534,E$1:E4533,1,FALSE()))),"OLD",IF(AND(E4534&lt;&gt;"",E4534&lt;&gt;"!!!"),"NEW","")))</f>
        <v> </v>
      </c>
      <c r="G4534" s="23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4" t="str">
        <f>IF(J4534&lt;&gt;1,"",IF(I4534="SBJ","CB","?"))</f>
        <v> </v>
      </c>
      <c r="I4534" s="25" t="str">
        <f>IF(OR(E4534="",E4534="!!!",F4534="NEW"),"",INDEX(B4533:B$2,-1+SUMPRODUCT(MAX(ROW(E4533:E$2)*(E4534=E4533:E$2)))))</f>
        <v> </v>
      </c>
      <c r="J4534" s="25" t="str">
        <f>IF(OR(E4534="",E4534="!!!",F4534="NEW"),"",COUNTBLANK(OFFSET(A$1,,,SUMPRODUCT(MAX(ROW(E$2:E4534)*(E4534=E$2:E4534)))))-COUNTBLANK(OFFSET(A$1,,,SUMPRODUCT(MAX(ROW(E$1:E4533)*(E2=E$1:E4533))))))</f>
        <v> </v>
      </c>
      <c r="K4534" s="25" t="str">
        <f>IF(OR(E4534="",E4534="!!!",F4534="NEW"),"",INDEX(J$1:J4533,SUMPRODUCT(MAX(ROW(E$1:E4533)*(E4534=E$1:E4533)))))</f>
        <v> </v>
      </c>
      <c r="L4534" s="26"/>
    </row>
    <row r="4535" spans="1:12">
      <c r="A4535" s="20" t="s">
        <v>2907</v>
      </c>
      <c r="B4535" s="27" t="s">
        <v>1103</v>
      </c>
      <c r="C4535" s="27" t="s">
        <v>1116</v>
      </c>
      <c r="D4535" s="27" t="s">
        <v>1105</v>
      </c>
      <c r="E4535" s="21">
        <f>IF(D4535="?OLD","!!!","")</f>
        <v/>
      </c>
      <c r="F4535" s="22" t="str">
        <f>IF(OR(E4535="",E4535="!!!"),"",IF(NOT(ISNA(VLOOKUP(E4535,E$1:E4534,1,FALSE()))),"OLD",IF(AND(E4535&lt;&gt;"",E4535&lt;&gt;"!!!"),"NEW","")))</f>
        <v> </v>
      </c>
      <c r="G4535" s="23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4" t="str">
        <f>IF(J4535&lt;&gt;1,"",IF(I4535="SBJ","CB","?"))</f>
        <v> </v>
      </c>
      <c r="I4535" s="25" t="str">
        <f>IF(OR(E4535="",E4535="!!!",F4535="NEW"),"",INDEX(B4534:B$2,-1+SUMPRODUCT(MAX(ROW(E4534:E$2)*(E4535=E4534:E$2)))))</f>
        <v> </v>
      </c>
      <c r="J4535" s="25" t="str">
        <f>IF(OR(E4535="",E4535="!!!",F4535="NEW"),"",COUNTBLANK(OFFSET(A$1,,,SUMPRODUCT(MAX(ROW(E$2:E4535)*(E4535=E$2:E4535)))))-COUNTBLANK(OFFSET(A$1,,,SUMPRODUCT(MAX(ROW(E$1:E4534)*(E2=E$1:E4534))))))</f>
        <v> </v>
      </c>
      <c r="K4535" s="25" t="str">
        <f>IF(OR(E4535="",E4535="!!!",F4535="NEW"),"",INDEX(J$1:J4534,SUMPRODUCT(MAX(ROW(E$1:E4534)*(E4535=E$1:E4534)))))</f>
        <v> </v>
      </c>
      <c r="L4535" s="26"/>
    </row>
    <row r="4536" spans="1:12">
      <c r="A4536" s="20" t="s">
        <v>1184</v>
      </c>
      <c r="E4536" s="21">
        <f>IF(D4536="?OLD","!!!","")</f>
        <v/>
      </c>
      <c r="F4536" s="22" t="str">
        <f>IF(OR(E4536="",E4536="!!!"),"",IF(NOT(ISNA(VLOOKUP(E4536,E$1:E4535,1,FALSE()))),"OLD",IF(AND(E4536&lt;&gt;"",E4536&lt;&gt;"!!!"),"NEW","")))</f>
        <v> </v>
      </c>
      <c r="G4536" s="23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4" t="str">
        <f>IF(J4536&lt;&gt;1,"",IF(I4536="SBJ","CB","?"))</f>
        <v> </v>
      </c>
      <c r="I4536" s="25" t="str">
        <f>IF(OR(E4536="",E4536="!!!",F4536="NEW"),"",INDEX(B4535:B$2,-1+SUMPRODUCT(MAX(ROW(E4535:E$2)*(E4536=E4535:E$2)))))</f>
        <v> </v>
      </c>
      <c r="J4536" s="25" t="str">
        <f>IF(OR(E4536="",E4536="!!!",F4536="NEW"),"",COUNTBLANK(OFFSET(A$1,,,SUMPRODUCT(MAX(ROW(E$2:E4536)*(E4536=E$2:E4536)))))-COUNTBLANK(OFFSET(A$1,,,SUMPRODUCT(MAX(ROW(E$1:E4535)*(E2=E$1:E4535))))))</f>
        <v> </v>
      </c>
      <c r="K4536" s="25" t="str">
        <f>IF(OR(E4536="",E4536="!!!",F4536="NEW"),"",INDEX(J$1:J4535,SUMPRODUCT(MAX(ROW(E$1:E4535)*(E4536=E$1:E4535)))))</f>
        <v> </v>
      </c>
      <c r="L4536" s="26"/>
    </row>
    <row r="4537" spans="1:12">
      <c r="A4537" s="20" t="s">
        <v>3092</v>
      </c>
      <c r="B4537" s="27" t="s">
        <v>1107</v>
      </c>
      <c r="C4537" s="27" t="s">
        <v>1108</v>
      </c>
      <c r="D4537" s="27" t="s">
        <v>1105</v>
      </c>
      <c r="E4537" s="21">
        <f>IF(D4537="?OLD","!!!","")</f>
        <v/>
      </c>
      <c r="F4537" s="22" t="str">
        <f>IF(OR(E4537="",E4537="!!!"),"",IF(NOT(ISNA(VLOOKUP(E4537,E$1:E4536,1,FALSE()))),"OLD",IF(AND(E4537&lt;&gt;"",E4537&lt;&gt;"!!!"),"NEW","")))</f>
        <v> </v>
      </c>
      <c r="G4537" s="23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4" t="str">
        <f>IF(J4537&lt;&gt;1,"",IF(I4537="SBJ","CB","?"))</f>
        <v> </v>
      </c>
      <c r="I4537" s="25" t="str">
        <f>IF(OR(E4537="",E4537="!!!",F4537="NEW"),"",INDEX(B4536:B$2,-1+SUMPRODUCT(MAX(ROW(E4536:E$2)*(E4537=E4536:E$2)))))</f>
        <v> </v>
      </c>
      <c r="J4537" s="25" t="str">
        <f>IF(OR(E4537="",E4537="!!!",F4537="NEW"),"",COUNTBLANK(OFFSET(A$1,,,SUMPRODUCT(MAX(ROW(E$2:E4537)*(E4537=E$2:E4537)))))-COUNTBLANK(OFFSET(A$1,,,SUMPRODUCT(MAX(ROW(E$1:E4536)*(E2=E$1:E4536))))))</f>
        <v> </v>
      </c>
      <c r="K4537" s="25" t="str">
        <f>IF(OR(E4537="",E4537="!!!",F4537="NEW"),"",INDEX(J$1:J4536,SUMPRODUCT(MAX(ROW(E$1:E4536)*(E4537=E$1:E4536)))))</f>
        <v> </v>
      </c>
      <c r="L4537" s="26"/>
    </row>
    <row r="4538" spans="1:12">
      <c r="A4538" s="20" t="s">
        <v>1123</v>
      </c>
      <c r="E4538" s="21">
        <f>IF(D4538="?OLD","!!!","")</f>
        <v/>
      </c>
      <c r="F4538" s="22" t="str">
        <f>IF(OR(E4538="",E4538="!!!"),"",IF(NOT(ISNA(VLOOKUP(E4538,E$1:E4537,1,FALSE()))),"OLD",IF(AND(E4538&lt;&gt;"",E4538&lt;&gt;"!!!"),"NEW","")))</f>
        <v> </v>
      </c>
      <c r="G4538" s="23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4" t="str">
        <f>IF(J4538&lt;&gt;1,"",IF(I4538="SBJ","CB","?"))</f>
        <v> </v>
      </c>
      <c r="I4538" s="25" t="str">
        <f>IF(OR(E4538="",E4538="!!!",F4538="NEW"),"",INDEX(B4537:B$2,-1+SUMPRODUCT(MAX(ROW(E4537:E$2)*(E4538=E4537:E$2)))))</f>
        <v> </v>
      </c>
      <c r="J4538" s="25" t="str">
        <f>IF(OR(E4538="",E4538="!!!",F4538="NEW"),"",COUNTBLANK(OFFSET(A$1,,,SUMPRODUCT(MAX(ROW(E$2:E4538)*(E4538=E$2:E4538)))))-COUNTBLANK(OFFSET(A$1,,,SUMPRODUCT(MAX(ROW(E$1:E4537)*(E2=E$1:E4537))))))</f>
        <v> </v>
      </c>
      <c r="K4538" s="25" t="str">
        <f>IF(OR(E4538="",E4538="!!!",F4538="NEW"),"",INDEX(J$1:J4537,SUMPRODUCT(MAX(ROW(E$1:E4537)*(E4538=E$1:E4537)))))</f>
        <v> </v>
      </c>
      <c r="L4538" s="26"/>
    </row>
    <row r="4539" spans="1:12">
      <c r="A4539" s="20" t="s">
        <v>1443</v>
      </c>
      <c r="B4539" s="27" t="s">
        <v>1103</v>
      </c>
      <c r="C4539" s="27" t="s">
        <v>1108</v>
      </c>
      <c r="D4539" s="27" t="s">
        <v>1105</v>
      </c>
      <c r="E4539" s="21">
        <f>IF(D4539="?OLD","!!!","")</f>
        <v/>
      </c>
      <c r="F4539" s="22" t="str">
        <f>IF(OR(E4539="",E4539="!!!"),"",IF(NOT(ISNA(VLOOKUP(E4539,E$1:E4538,1,FALSE()))),"OLD",IF(AND(E4539&lt;&gt;"",E4539&lt;&gt;"!!!"),"NEW","")))</f>
        <v> </v>
      </c>
      <c r="G4539" s="23" t="str">
        <f>IF(OR(E4539="",E4539="!!!"),"",IF(OR(J4539=0,AND(J4539=1,K4539=1),AND(J4539=1,I4539="SBJ"),AND(J4539=1,I4539=0)),"?IN_FOCUS",IF(J4539&lt;=2,"?ACTIVATED",IF(J4539&lt;&gt;"","?FAMILIAR",IF(F4539="NEW",IF(ISNA(VLOOKUP(E4539,#REF!,1,FALSE())),"?TYPE_IDENTIFIABLE","?REFERENTIAL"),"_")))))</f>
        <v> </v>
      </c>
      <c r="H4539" s="24" t="str">
        <f>IF(J4539&lt;&gt;1,"",IF(I4539="SBJ","CB","?"))</f>
        <v> </v>
      </c>
      <c r="I4539" s="25" t="str">
        <f>IF(OR(E4539="",E4539="!!!",F4539="NEW"),"",INDEX(B4538:B$2,-1+SUMPRODUCT(MAX(ROW(E4538:E$2)*(E4539=E4538:E$2)))))</f>
        <v> </v>
      </c>
      <c r="J4539" s="25" t="str">
        <f>IF(OR(E4539="",E4539="!!!",F4539="NEW"),"",COUNTBLANK(OFFSET(A$1,,,SUMPRODUCT(MAX(ROW(E$2:E4539)*(E4539=E$2:E4539)))))-COUNTBLANK(OFFSET(A$1,,,SUMPRODUCT(MAX(ROW(E$1:E4538)*(E2=E$1:E4538))))))</f>
        <v> </v>
      </c>
      <c r="K4539" s="25" t="str">
        <f>IF(OR(E4539="",E4539="!!!",F4539="NEW"),"",INDEX(J$1:J4538,SUMPRODUCT(MAX(ROW(E$1:E4538)*(E4539=E$1:E4538)))))</f>
        <v> </v>
      </c>
      <c r="L4539" s="26"/>
    </row>
    <row r="4540" spans="1:12">
      <c r="A4540" s="20" t="s">
        <v>1123</v>
      </c>
      <c r="E4540" s="21">
        <f>IF(D4540="?OLD","!!!","")</f>
        <v/>
      </c>
      <c r="F4540" s="22" t="str">
        <f>IF(OR(E4540="",E4540="!!!"),"",IF(NOT(ISNA(VLOOKUP(E4540,E$1:E4539,1,FALSE()))),"OLD",IF(AND(E4540&lt;&gt;"",E4540&lt;&gt;"!!!"),"NEW","")))</f>
        <v> </v>
      </c>
      <c r="G4540" s="23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4" t="str">
        <f>IF(J4540&lt;&gt;1,"",IF(I4540="SBJ","CB","?"))</f>
        <v> </v>
      </c>
      <c r="I4540" s="25" t="str">
        <f>IF(OR(E4540="",E4540="!!!",F4540="NEW"),"",INDEX(B4539:B$2,-1+SUMPRODUCT(MAX(ROW(E4539:E$2)*(E4540=E4539:E$2)))))</f>
        <v> </v>
      </c>
      <c r="J4540" s="25" t="str">
        <f>IF(OR(E4540="",E4540="!!!",F4540="NEW"),"",COUNTBLANK(OFFSET(A$1,,,SUMPRODUCT(MAX(ROW(E$2:E4540)*(E4540=E$2:E4540)))))-COUNTBLANK(OFFSET(A$1,,,SUMPRODUCT(MAX(ROW(E$1:E4539)*(E2=E$1:E4539))))))</f>
        <v> </v>
      </c>
      <c r="K4540" s="25" t="str">
        <f>IF(OR(E4540="",E4540="!!!",F4540="NEW"),"",INDEX(J$1:J4539,SUMPRODUCT(MAX(ROW(E$1:E4539)*(E4540=E$1:E4539)))))</f>
        <v> </v>
      </c>
      <c r="L4540" s="26"/>
    </row>
    <row r="4541" spans="1:12">
      <c r="A4541" s="20" t="s">
        <v>1128</v>
      </c>
      <c r="E4541" s="21">
        <f>IF(D4541="?OLD","!!!","")</f>
        <v/>
      </c>
      <c r="F4541" s="22" t="str">
        <f>IF(OR(E4541="",E4541="!!!"),"",IF(NOT(ISNA(VLOOKUP(E4541,E$1:E4540,1,FALSE()))),"OLD",IF(AND(E4541&lt;&gt;"",E4541&lt;&gt;"!!!"),"NEW","")))</f>
        <v> </v>
      </c>
      <c r="G4541" s="23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4" t="str">
        <f>IF(J4541&lt;&gt;1,"",IF(I4541="SBJ","CB","?"))</f>
        <v> </v>
      </c>
      <c r="I4541" s="25" t="str">
        <f>IF(OR(E4541="",E4541="!!!",F4541="NEW"),"",INDEX(B4540:B$2,-1+SUMPRODUCT(MAX(ROW(E4540:E$2)*(E4541=E4540:E$2)))))</f>
        <v> </v>
      </c>
      <c r="J4541" s="25" t="str">
        <f>IF(OR(E4541="",E4541="!!!",F4541="NEW"),"",COUNTBLANK(OFFSET(A$1,,,SUMPRODUCT(MAX(ROW(E$2:E4541)*(E4541=E$2:E4541)))))-COUNTBLANK(OFFSET(A$1,,,SUMPRODUCT(MAX(ROW(E$1:E4540)*(E2=E$1:E4540))))))</f>
        <v> </v>
      </c>
      <c r="K4541" s="25" t="str">
        <f>IF(OR(E4541="",E4541="!!!",F4541="NEW"),"",INDEX(J$1:J4540,SUMPRODUCT(MAX(ROW(E$1:E4540)*(E4541=E$1:E4540)))))</f>
        <v> </v>
      </c>
      <c r="L4541" s="26"/>
    </row>
    <row r="4542" spans="1:12">
      <c r="A4542" s="20" t="s">
        <v>3093</v>
      </c>
      <c r="E4542" s="21">
        <f>IF(D4542="?OLD","!!!","")</f>
        <v/>
      </c>
      <c r="F4542" s="22" t="str">
        <f>IF(OR(E4542="",E4542="!!!"),"",IF(NOT(ISNA(VLOOKUP(E4542,E$1:E4541,1,FALSE()))),"OLD",IF(AND(E4542&lt;&gt;"",E4542&lt;&gt;"!!!"),"NEW","")))</f>
        <v> </v>
      </c>
      <c r="G4542" s="23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4" t="str">
        <f>IF(J4542&lt;&gt;1,"",IF(I4542="SBJ","CB","?"))</f>
        <v> </v>
      </c>
      <c r="I4542" s="25" t="str">
        <f>IF(OR(E4542="",E4542="!!!",F4542="NEW"),"",INDEX(B4541:B$2,-1+SUMPRODUCT(MAX(ROW(E4541:E$2)*(E4542=E4541:E$2)))))</f>
        <v> </v>
      </c>
      <c r="J4542" s="25" t="str">
        <f>IF(OR(E4542="",E4542="!!!",F4542="NEW"),"",COUNTBLANK(OFFSET(A$1,,,SUMPRODUCT(MAX(ROW(E$2:E4542)*(E4542=E$2:E4542)))))-COUNTBLANK(OFFSET(A$1,,,SUMPRODUCT(MAX(ROW(E$1:E4541)*(E2=E$1:E4541))))))</f>
        <v> </v>
      </c>
      <c r="K4542" s="25" t="str">
        <f>IF(OR(E4542="",E4542="!!!",F4542="NEW"),"",INDEX(J$1:J4541,SUMPRODUCT(MAX(ROW(E$1:E4541)*(E4542=E$1:E4541)))))</f>
        <v> </v>
      </c>
      <c r="L4542" s="26"/>
    </row>
    <row r="4543" spans="1:12">
      <c r="A4543" s="20" t="s">
        <v>3094</v>
      </c>
      <c r="E4543" s="21">
        <f>IF(D4543="?OLD","!!!","")</f>
        <v/>
      </c>
      <c r="F4543" s="22" t="str">
        <f>IF(OR(E4543="",E4543="!!!"),"",IF(NOT(ISNA(VLOOKUP(E4543,E$1:E4542,1,FALSE()))),"OLD",IF(AND(E4543&lt;&gt;"",E4543&lt;&gt;"!!!"),"NEW","")))</f>
        <v> </v>
      </c>
      <c r="G4543" s="23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4" t="str">
        <f>IF(J4543&lt;&gt;1,"",IF(I4543="SBJ","CB","?"))</f>
        <v> </v>
      </c>
      <c r="I4543" s="25" t="str">
        <f>IF(OR(E4543="",E4543="!!!",F4543="NEW"),"",INDEX(B4542:B$2,-1+SUMPRODUCT(MAX(ROW(E4542:E$2)*(E4543=E4542:E$2)))))</f>
        <v> </v>
      </c>
      <c r="J4543" s="25" t="str">
        <f>IF(OR(E4543="",E4543="!!!",F4543="NEW"),"",COUNTBLANK(OFFSET(A$1,,,SUMPRODUCT(MAX(ROW(E$2:E4543)*(E4543=E$2:E4543)))))-COUNTBLANK(OFFSET(A$1,,,SUMPRODUCT(MAX(ROW(E$1:E4542)*(E2=E$1:E4542))))))</f>
        <v> </v>
      </c>
      <c r="K4543" s="25" t="str">
        <f>IF(OR(E4543="",E4543="!!!",F4543="NEW"),"",INDEX(J$1:J4542,SUMPRODUCT(MAX(ROW(E$1:E4542)*(E4543=E$1:E4542)))))</f>
        <v> </v>
      </c>
      <c r="L4543" s="26"/>
    </row>
    <row r="4544" spans="1:12">
      <c r="A4544" s="20" t="s">
        <v>1339</v>
      </c>
      <c r="E4544" s="21">
        <f>IF(D4544="?OLD","!!!","")</f>
        <v/>
      </c>
      <c r="F4544" s="22" t="str">
        <f>IF(OR(E4544="",E4544="!!!"),"",IF(NOT(ISNA(VLOOKUP(E4544,E$1:E4543,1,FALSE()))),"OLD",IF(AND(E4544&lt;&gt;"",E4544&lt;&gt;"!!!"),"NEW","")))</f>
        <v> </v>
      </c>
      <c r="G4544" s="23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4" t="str">
        <f>IF(J4544&lt;&gt;1,"",IF(I4544="SBJ","CB","?"))</f>
        <v> </v>
      </c>
      <c r="I4544" s="25" t="str">
        <f>IF(OR(E4544="",E4544="!!!",F4544="NEW"),"",INDEX(B4543:B$2,-1+SUMPRODUCT(MAX(ROW(E4543:E$2)*(E4544=E4543:E$2)))))</f>
        <v> </v>
      </c>
      <c r="J4544" s="25" t="str">
        <f>IF(OR(E4544="",E4544="!!!",F4544="NEW"),"",COUNTBLANK(OFFSET(A$1,,,SUMPRODUCT(MAX(ROW(E$2:E4544)*(E4544=E$2:E4544)))))-COUNTBLANK(OFFSET(A$1,,,SUMPRODUCT(MAX(ROW(E$1:E4543)*(E2=E$1:E4543))))))</f>
        <v> </v>
      </c>
      <c r="K4544" s="25" t="str">
        <f>IF(OR(E4544="",E4544="!!!",F4544="NEW"),"",INDEX(J$1:J4543,SUMPRODUCT(MAX(ROW(E$1:E4543)*(E4544=E$1:E4543)))))</f>
        <v> </v>
      </c>
      <c r="L4544" s="26"/>
    </row>
    <row r="4545" spans="1:12">
      <c r="A4545" s="20" t="s">
        <v>1242</v>
      </c>
      <c r="B4545" s="27" t="s">
        <v>1115</v>
      </c>
      <c r="C4545" s="27" t="s">
        <v>1126</v>
      </c>
      <c r="D4545" s="27" t="s">
        <v>1105</v>
      </c>
      <c r="E4545" s="21">
        <f>IF(D4545="?OLD","!!!","")</f>
        <v/>
      </c>
      <c r="F4545" s="22" t="str">
        <f>IF(OR(E4545="",E4545="!!!"),"",IF(NOT(ISNA(VLOOKUP(E4545,E$1:E4544,1,FALSE()))),"OLD",IF(AND(E4545&lt;&gt;"",E4545&lt;&gt;"!!!"),"NEW","")))</f>
        <v> </v>
      </c>
      <c r="G4545" s="23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4" t="str">
        <f>IF(J4545&lt;&gt;1,"",IF(I4545="SBJ","CB","?"))</f>
        <v> </v>
      </c>
      <c r="I4545" s="25" t="str">
        <f>IF(OR(E4545="",E4545="!!!",F4545="NEW"),"",INDEX(B4544:B$2,-1+SUMPRODUCT(MAX(ROW(E4544:E$2)*(E4545=E4544:E$2)))))</f>
        <v> </v>
      </c>
      <c r="J4545" s="25" t="str">
        <f>IF(OR(E4545="",E4545="!!!",F4545="NEW"),"",COUNTBLANK(OFFSET(A$1,,,SUMPRODUCT(MAX(ROW(E$2:E4545)*(E4545=E$2:E4545)))))-COUNTBLANK(OFFSET(A$1,,,SUMPRODUCT(MAX(ROW(E$1:E4544)*(E2=E$1:E4544))))))</f>
        <v> </v>
      </c>
      <c r="K4545" s="25" t="str">
        <f>IF(OR(E4545="",E4545="!!!",F4545="NEW"),"",INDEX(J$1:J4544,SUMPRODUCT(MAX(ROW(E$1:E4544)*(E4545=E$1:E4544)))))</f>
        <v> </v>
      </c>
      <c r="L4545" s="26"/>
    </row>
    <row r="4546" spans="1:12">
      <c r="A4546" s="20" t="s">
        <v>1127</v>
      </c>
      <c r="E4546" s="21">
        <f>IF(D4546="?OLD","!!!","")</f>
        <v/>
      </c>
      <c r="F4546" s="22" t="str">
        <f>IF(OR(E4546="",E4546="!!!"),"",IF(NOT(ISNA(VLOOKUP(E4546,E$1:E4545,1,FALSE()))),"OLD",IF(AND(E4546&lt;&gt;"",E4546&lt;&gt;"!!!"),"NEW","")))</f>
        <v> </v>
      </c>
      <c r="G4546" s="23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4" t="str">
        <f>IF(J4546&lt;&gt;1,"",IF(I4546="SBJ","CB","?"))</f>
        <v> </v>
      </c>
      <c r="I4546" s="25" t="str">
        <f>IF(OR(E4546="",E4546="!!!",F4546="NEW"),"",INDEX(B4545:B$2,-1+SUMPRODUCT(MAX(ROW(E4545:E$2)*(E4546=E4545:E$2)))))</f>
        <v> </v>
      </c>
      <c r="J4546" s="25" t="str">
        <f>IF(OR(E4546="",E4546="!!!",F4546="NEW"),"",COUNTBLANK(OFFSET(A$1,,,SUMPRODUCT(MAX(ROW(E$2:E4546)*(E4546=E$2:E4546)))))-COUNTBLANK(OFFSET(A$1,,,SUMPRODUCT(MAX(ROW(E$1:E4545)*(E2=E$1:E4545))))))</f>
        <v> </v>
      </c>
      <c r="K4546" s="25" t="str">
        <f>IF(OR(E4546="",E4546="!!!",F4546="NEW"),"",INDEX(J$1:J4545,SUMPRODUCT(MAX(ROW(E$1:E4545)*(E4546=E$1:E4545)))))</f>
        <v> </v>
      </c>
      <c r="L4546" s="26"/>
    </row>
    <row r="4547" spans="1:12">
      <c r="A4547" s="20" t="s">
        <v>1134</v>
      </c>
      <c r="E4547" s="21">
        <f>IF(D4547="?OLD","!!!","")</f>
        <v/>
      </c>
      <c r="F4547" s="22" t="str">
        <f>IF(OR(E4547="",E4547="!!!"),"",IF(NOT(ISNA(VLOOKUP(E4547,E$1:E4546,1,FALSE()))),"OLD",IF(AND(E4547&lt;&gt;"",E4547&lt;&gt;"!!!"),"NEW","")))</f>
        <v> </v>
      </c>
      <c r="G4547" s="23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4" t="str">
        <f>IF(J4547&lt;&gt;1,"",IF(I4547="SBJ","CB","?"))</f>
        <v> </v>
      </c>
      <c r="I4547" s="25" t="str">
        <f>IF(OR(E4547="",E4547="!!!",F4547="NEW"),"",INDEX(B4546:B$2,-1+SUMPRODUCT(MAX(ROW(E4546:E$2)*(E4547=E4546:E$2)))))</f>
        <v> </v>
      </c>
      <c r="J4547" s="25" t="str">
        <f>IF(OR(E4547="",E4547="!!!",F4547="NEW"),"",COUNTBLANK(OFFSET(A$1,,,SUMPRODUCT(MAX(ROW(E$2:E4547)*(E4547=E$2:E4547)))))-COUNTBLANK(OFFSET(A$1,,,SUMPRODUCT(MAX(ROW(E$1:E4546)*(E2=E$1:E4546))))))</f>
        <v> </v>
      </c>
      <c r="K4547" s="25" t="str">
        <f>IF(OR(E4547="",E4547="!!!",F4547="NEW"),"",INDEX(J$1:J4546,SUMPRODUCT(MAX(ROW(E$1:E4546)*(E4547=E$1:E4546)))))</f>
        <v> </v>
      </c>
      <c r="L4547" s="26"/>
    </row>
    <row r="4548" spans="1:12">
      <c r="A4548" s="20" t="s">
        <v>3095</v>
      </c>
      <c r="E4548" s="21">
        <f>IF(D4548="?OLD","!!!","")</f>
        <v/>
      </c>
      <c r="F4548" s="22" t="str">
        <f>IF(OR(E4548="",E4548="!!!"),"",IF(NOT(ISNA(VLOOKUP(E4548,E$1:E4547,1,FALSE()))),"OLD",IF(AND(E4548&lt;&gt;"",E4548&lt;&gt;"!!!"),"NEW","")))</f>
        <v> </v>
      </c>
      <c r="G4548" s="23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4" t="str">
        <f>IF(J4548&lt;&gt;1,"",IF(I4548="SBJ","CB","?"))</f>
        <v> </v>
      </c>
      <c r="I4548" s="25" t="str">
        <f>IF(OR(E4548="",E4548="!!!",F4548="NEW"),"",INDEX(B4547:B$2,-1+SUMPRODUCT(MAX(ROW(E4547:E$2)*(E4548=E4547:E$2)))))</f>
        <v> </v>
      </c>
      <c r="J4548" s="25" t="str">
        <f>IF(OR(E4548="",E4548="!!!",F4548="NEW"),"",COUNTBLANK(OFFSET(A$1,,,SUMPRODUCT(MAX(ROW(E$2:E4548)*(E4548=E$2:E4548)))))-COUNTBLANK(OFFSET(A$1,,,SUMPRODUCT(MAX(ROW(E$1:E4547)*(E2=E$1:E4547))))))</f>
        <v> </v>
      </c>
      <c r="K4548" s="25" t="str">
        <f>IF(OR(E4548="",E4548="!!!",F4548="NEW"),"",INDEX(J$1:J4547,SUMPRODUCT(MAX(ROW(E$1:E4547)*(E4548=E$1:E4547)))))</f>
        <v> </v>
      </c>
      <c r="L4548" s="26"/>
    </row>
    <row r="4549" spans="1:12">
      <c r="A4549" s="20" t="s">
        <v>3096</v>
      </c>
      <c r="E4549" s="21">
        <f>IF(D4549="?OLD","!!!","")</f>
        <v/>
      </c>
      <c r="F4549" s="22" t="str">
        <f>IF(OR(E4549="",E4549="!!!"),"",IF(NOT(ISNA(VLOOKUP(E4549,E$1:E4548,1,FALSE()))),"OLD",IF(AND(E4549&lt;&gt;"",E4549&lt;&gt;"!!!"),"NEW","")))</f>
        <v> </v>
      </c>
      <c r="G4549" s="23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4" t="str">
        <f>IF(J4549&lt;&gt;1,"",IF(I4549="SBJ","CB","?"))</f>
        <v> </v>
      </c>
      <c r="I4549" s="25" t="str">
        <f>IF(OR(E4549="",E4549="!!!",F4549="NEW"),"",INDEX(B4548:B$2,-1+SUMPRODUCT(MAX(ROW(E4548:E$2)*(E4549=E4548:E$2)))))</f>
        <v> </v>
      </c>
      <c r="J4549" s="25" t="str">
        <f>IF(OR(E4549="",E4549="!!!",F4549="NEW"),"",COUNTBLANK(OFFSET(A$1,,,SUMPRODUCT(MAX(ROW(E$2:E4549)*(E4549=E$2:E4549)))))-COUNTBLANK(OFFSET(A$1,,,SUMPRODUCT(MAX(ROW(E$1:E4548)*(E2=E$1:E4548))))))</f>
        <v> </v>
      </c>
      <c r="K4549" s="25" t="str">
        <f>IF(OR(E4549="",E4549="!!!",F4549="NEW"),"",INDEX(J$1:J4548,SUMPRODUCT(MAX(ROW(E$1:E4548)*(E4549=E$1:E4548)))))</f>
        <v> </v>
      </c>
      <c r="L4549" s="26"/>
    </row>
    <row r="4550" spans="1:12">
      <c r="A4550" s="20" t="s">
        <v>1930</v>
      </c>
      <c r="B4550" s="27" t="s">
        <v>1144</v>
      </c>
      <c r="E4550" s="21">
        <f>IF(D4550="?OLD","!!!","")</f>
        <v/>
      </c>
      <c r="F4550" s="22" t="str">
        <f>IF(OR(E4550="",E4550="!!!"),"",IF(NOT(ISNA(VLOOKUP(E4550,E$1:E4549,1,FALSE()))),"OLD",IF(AND(E4550&lt;&gt;"",E4550&lt;&gt;"!!!"),"NEW","")))</f>
        <v> </v>
      </c>
      <c r="G4550" s="23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4" t="str">
        <f>IF(J4550&lt;&gt;1,"",IF(I4550="SBJ","CB","?"))</f>
        <v> </v>
      </c>
      <c r="I4550" s="25" t="str">
        <f>IF(OR(E4550="",E4550="!!!",F4550="NEW"),"",INDEX(B4549:B$2,-1+SUMPRODUCT(MAX(ROW(E4549:E$2)*(E4550=E4549:E$2)))))</f>
        <v> </v>
      </c>
      <c r="J4550" s="25" t="str">
        <f>IF(OR(E4550="",E4550="!!!",F4550="NEW"),"",COUNTBLANK(OFFSET(A$1,,,SUMPRODUCT(MAX(ROW(E$2:E4550)*(E4550=E$2:E4550)))))-COUNTBLANK(OFFSET(A$1,,,SUMPRODUCT(MAX(ROW(E$1:E4549)*(E2=E$1:E4549))))))</f>
        <v> </v>
      </c>
      <c r="K4550" s="25" t="str">
        <f>IF(OR(E4550="",E4550="!!!",F4550="NEW"),"",INDEX(J$1:J4549,SUMPRODUCT(MAX(ROW(E$1:E4549)*(E4550=E$1:E4549)))))</f>
        <v> </v>
      </c>
      <c r="L4550" s="26"/>
    </row>
    <row r="4551" spans="1:12">
      <c r="A4551" s="20" t="s">
        <v>1130</v>
      </c>
      <c r="E4551" s="21">
        <f>IF(D4551="?OLD","!!!","")</f>
        <v/>
      </c>
      <c r="F4551" s="22" t="str">
        <f>IF(OR(E4551="",E4551="!!!"),"",IF(NOT(ISNA(VLOOKUP(E4551,E$1:E4550,1,FALSE()))),"OLD",IF(AND(E4551&lt;&gt;"",E4551&lt;&gt;"!!!"),"NEW","")))</f>
        <v> </v>
      </c>
      <c r="G4551" s="23" t="str">
        <f>IF(OR(E4551="",E4551="!!!"),"",IF(OR(J4551=0,AND(J4551=1,K4551=1),AND(J4551=1,I4551="SBJ"),AND(J4551=1,I4551=0)),"?IN_FOCUS",IF(J4551&lt;=2,"?ACTIVATED",IF(J4551&lt;&gt;"","?FAMILIAR",IF(F4551="NEW",IF(ISNA(VLOOKUP(E4551,#REF!,1,FALSE())),"?TYPE_IDENTIFIABLE","?REFERENTIAL"),"_")))))</f>
        <v> </v>
      </c>
      <c r="H4551" s="24" t="str">
        <f>IF(J4551&lt;&gt;1,"",IF(I4551="SBJ","CB","?"))</f>
        <v> </v>
      </c>
      <c r="I4551" s="25" t="str">
        <f>IF(OR(E4551="",E4551="!!!",F4551="NEW"),"",INDEX(B4550:B$2,-1+SUMPRODUCT(MAX(ROW(E4550:E$2)*(E4551=E4550:E$2)))))</f>
        <v> </v>
      </c>
      <c r="J4551" s="25" t="str">
        <f>IF(OR(E4551="",E4551="!!!",F4551="NEW"),"",COUNTBLANK(OFFSET(A$1,,,SUMPRODUCT(MAX(ROW(E$2:E4551)*(E4551=E$2:E4551)))))-COUNTBLANK(OFFSET(A$1,,,SUMPRODUCT(MAX(ROW(E$1:E4550)*(E2=E$1:E4550))))))</f>
        <v> </v>
      </c>
      <c r="K4551" s="25" t="str">
        <f>IF(OR(E4551="",E4551="!!!",F4551="NEW"),"",INDEX(J$1:J4550,SUMPRODUCT(MAX(ROW(E$1:E4550)*(E4551=E$1:E4550)))))</f>
        <v> </v>
      </c>
      <c r="L4551" s="26"/>
    </row>
    <row r="4552" spans="1:12">
      <c r="A4552" s="20" t="s">
        <v>2740</v>
      </c>
      <c r="E4552" s="21">
        <f>IF(D4552="?OLD","!!!","")</f>
        <v/>
      </c>
      <c r="F4552" s="22" t="str">
        <f>IF(OR(E4552="",E4552="!!!"),"",IF(NOT(ISNA(VLOOKUP(E4552,E$1:E4551,1,FALSE()))),"OLD",IF(AND(E4552&lt;&gt;"",E4552&lt;&gt;"!!!"),"NEW","")))</f>
        <v> </v>
      </c>
      <c r="G4552" s="23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4" t="str">
        <f>IF(J4552&lt;&gt;1,"",IF(I4552="SBJ","CB","?"))</f>
        <v> </v>
      </c>
      <c r="I4552" s="25" t="str">
        <f>IF(OR(E4552="",E4552="!!!",F4552="NEW"),"",INDEX(B4551:B$2,-1+SUMPRODUCT(MAX(ROW(E4551:E$2)*(E4552=E4551:E$2)))))</f>
        <v> </v>
      </c>
      <c r="J4552" s="25" t="str">
        <f>IF(OR(E4552="",E4552="!!!",F4552="NEW"),"",COUNTBLANK(OFFSET(A$1,,,SUMPRODUCT(MAX(ROW(E$2:E4552)*(E4552=E$2:E4552)))))-COUNTBLANK(OFFSET(A$1,,,SUMPRODUCT(MAX(ROW(E$1:E4551)*(E2=E$1:E4551))))))</f>
        <v> </v>
      </c>
      <c r="K4552" s="25" t="str">
        <f>IF(OR(E4552="",E4552="!!!",F4552="NEW"),"",INDEX(J$1:J4551,SUMPRODUCT(MAX(ROW(E$1:E4551)*(E4552=E$1:E4551)))))</f>
        <v> </v>
      </c>
      <c r="L4552" s="26"/>
    </row>
    <row r="4553" spans="1:12">
      <c r="A4553" s="20" t="s">
        <v>2035</v>
      </c>
      <c r="E4553" s="21">
        <f>IF(D4553="?OLD","!!!","")</f>
        <v/>
      </c>
      <c r="F4553" s="22" t="str">
        <f>IF(OR(E4553="",E4553="!!!"),"",IF(NOT(ISNA(VLOOKUP(E4553,E$1:E4552,1,FALSE()))),"OLD",IF(AND(E4553&lt;&gt;"",E4553&lt;&gt;"!!!"),"NEW","")))</f>
        <v> </v>
      </c>
      <c r="G4553" s="23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4" t="str">
        <f>IF(J4553&lt;&gt;1,"",IF(I4553="SBJ","CB","?"))</f>
        <v> </v>
      </c>
      <c r="I4553" s="25" t="str">
        <f>IF(OR(E4553="",E4553="!!!",F4553="NEW"),"",INDEX(B4552:B$2,-1+SUMPRODUCT(MAX(ROW(E4552:E$2)*(E4553=E4552:E$2)))))</f>
        <v> </v>
      </c>
      <c r="J4553" s="25" t="str">
        <f>IF(OR(E4553="",E4553="!!!",F4553="NEW"),"",COUNTBLANK(OFFSET(A$1,,,SUMPRODUCT(MAX(ROW(E$2:E4553)*(E4553=E$2:E4553)))))-COUNTBLANK(OFFSET(A$1,,,SUMPRODUCT(MAX(ROW(E$1:E4552)*(E2=E$1:E4552))))))</f>
        <v> </v>
      </c>
      <c r="K4553" s="25" t="str">
        <f>IF(OR(E4553="",E4553="!!!",F4553="NEW"),"",INDEX(J$1:J4552,SUMPRODUCT(MAX(ROW(E$1:E4552)*(E4553=E$1:E4552)))))</f>
        <v> </v>
      </c>
      <c r="L4553" s="26"/>
    </row>
    <row r="4554" spans="1:12">
      <c r="A4554" s="20" t="s">
        <v>3097</v>
      </c>
      <c r="E4554" s="21">
        <f>IF(D4554="?OLD","!!!","")</f>
        <v/>
      </c>
      <c r="F4554" s="22" t="str">
        <f>IF(OR(E4554="",E4554="!!!"),"",IF(NOT(ISNA(VLOOKUP(E4554,E$1:E4553,1,FALSE()))),"OLD",IF(AND(E4554&lt;&gt;"",E4554&lt;&gt;"!!!"),"NEW","")))</f>
        <v> </v>
      </c>
      <c r="G4554" s="23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4" t="str">
        <f>IF(J4554&lt;&gt;1,"",IF(I4554="SBJ","CB","?"))</f>
        <v> </v>
      </c>
      <c r="I4554" s="25" t="str">
        <f>IF(OR(E4554="",E4554="!!!",F4554="NEW"),"",INDEX(B4553:B$2,-1+SUMPRODUCT(MAX(ROW(E4553:E$2)*(E4554=E4553:E$2)))))</f>
        <v> </v>
      </c>
      <c r="J4554" s="25" t="str">
        <f>IF(OR(E4554="",E4554="!!!",F4554="NEW"),"",COUNTBLANK(OFFSET(A$1,,,SUMPRODUCT(MAX(ROW(E$2:E4554)*(E4554=E$2:E4554)))))-COUNTBLANK(OFFSET(A$1,,,SUMPRODUCT(MAX(ROW(E$1:E4553)*(E2=E$1:E4553))))))</f>
        <v> </v>
      </c>
      <c r="K4554" s="25" t="str">
        <f>IF(OR(E4554="",E4554="!!!",F4554="NEW"),"",INDEX(J$1:J4553,SUMPRODUCT(MAX(ROW(E$1:E4553)*(E4554=E$1:E4553)))))</f>
        <v> </v>
      </c>
      <c r="L4554" s="26"/>
    </row>
    <row r="4555" spans="1:12">
      <c r="A4555" s="20" t="s">
        <v>1123</v>
      </c>
      <c r="E4555" s="21">
        <f>IF(D4555="?OLD","!!!","")</f>
        <v/>
      </c>
      <c r="F4555" s="22" t="str">
        <f>IF(OR(E4555="",E4555="!!!"),"",IF(NOT(ISNA(VLOOKUP(E4555,E$1:E4554,1,FALSE()))),"OLD",IF(AND(E4555&lt;&gt;"",E4555&lt;&gt;"!!!"),"NEW","")))</f>
        <v> </v>
      </c>
      <c r="G4555" s="23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4" t="str">
        <f>IF(J4555&lt;&gt;1,"",IF(I4555="SBJ","CB","?"))</f>
        <v> </v>
      </c>
      <c r="I4555" s="25" t="str">
        <f>IF(OR(E4555="",E4555="!!!",F4555="NEW"),"",INDEX(B4554:B$2,-1+SUMPRODUCT(MAX(ROW(E4554:E$2)*(E4555=E4554:E$2)))))</f>
        <v> </v>
      </c>
      <c r="J4555" s="25" t="str">
        <f>IF(OR(E4555="",E4555="!!!",F4555="NEW"),"",COUNTBLANK(OFFSET(A$1,,,SUMPRODUCT(MAX(ROW(E$2:E4555)*(E4555=E$2:E4555)))))-COUNTBLANK(OFFSET(A$1,,,SUMPRODUCT(MAX(ROW(E$1:E4554)*(E2=E$1:E4554))))))</f>
        <v> </v>
      </c>
      <c r="K4555" s="25" t="str">
        <f>IF(OR(E4555="",E4555="!!!",F4555="NEW"),"",INDEX(J$1:J4554,SUMPRODUCT(MAX(ROW(E$1:E4554)*(E4555=E$1:E4554)))))</f>
        <v> </v>
      </c>
      <c r="L4555" s="26"/>
    </row>
    <row r="4556" spans="1:12">
      <c r="A4556" s="20" t="s">
        <v>1699</v>
      </c>
      <c r="E4556" s="21">
        <f>IF(D4556="?OLD","!!!","")</f>
        <v/>
      </c>
      <c r="F4556" s="22" t="str">
        <f>IF(OR(E4556="",E4556="!!!"),"",IF(NOT(ISNA(VLOOKUP(E4556,E$1:E4555,1,FALSE()))),"OLD",IF(AND(E4556&lt;&gt;"",E4556&lt;&gt;"!!!"),"NEW","")))</f>
        <v> </v>
      </c>
      <c r="G4556" s="23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4" t="str">
        <f>IF(J4556&lt;&gt;1,"",IF(I4556="SBJ","CB","?"))</f>
        <v> </v>
      </c>
      <c r="I4556" s="25" t="str">
        <f>IF(OR(E4556="",E4556="!!!",F4556="NEW"),"",INDEX(B4555:B$2,-1+SUMPRODUCT(MAX(ROW(E4555:E$2)*(E4556=E4555:E$2)))))</f>
        <v> </v>
      </c>
      <c r="J4556" s="25" t="str">
        <f>IF(OR(E4556="",E4556="!!!",F4556="NEW"),"",COUNTBLANK(OFFSET(A$1,,,SUMPRODUCT(MAX(ROW(E$2:E4556)*(E4556=E$2:E4556)))))-COUNTBLANK(OFFSET(A$1,,,SUMPRODUCT(MAX(ROW(E$1:E4555)*(E2=E$1:E4555))))))</f>
        <v> </v>
      </c>
      <c r="K4556" s="25" t="str">
        <f>IF(OR(E4556="",E4556="!!!",F4556="NEW"),"",INDEX(J$1:J4555,SUMPRODUCT(MAX(ROW(E$1:E4555)*(E4556=E$1:E4555)))))</f>
        <v> </v>
      </c>
      <c r="L4556" s="26"/>
    </row>
    <row r="4557" spans="1:12">
      <c r="A4557" s="20" t="s">
        <v>1909</v>
      </c>
      <c r="E4557" s="21">
        <f>IF(D4557="?OLD","!!!","")</f>
        <v/>
      </c>
      <c r="F4557" s="22" t="str">
        <f>IF(OR(E4557="",E4557="!!!"),"",IF(NOT(ISNA(VLOOKUP(E4557,E$1:E4556,1,FALSE()))),"OLD",IF(AND(E4557&lt;&gt;"",E4557&lt;&gt;"!!!"),"NEW","")))</f>
        <v> </v>
      </c>
      <c r="G4557" s="23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4" t="str">
        <f>IF(J4557&lt;&gt;1,"",IF(I4557="SBJ","CB","?"))</f>
        <v> </v>
      </c>
      <c r="I4557" s="25" t="str">
        <f>IF(OR(E4557="",E4557="!!!",F4557="NEW"),"",INDEX(B4556:B$2,-1+SUMPRODUCT(MAX(ROW(E4556:E$2)*(E4557=E4556:E$2)))))</f>
        <v> </v>
      </c>
      <c r="J4557" s="25" t="str">
        <f>IF(OR(E4557="",E4557="!!!",F4557="NEW"),"",COUNTBLANK(OFFSET(A$1,,,SUMPRODUCT(MAX(ROW(E$2:E4557)*(E4557=E$2:E4557)))))-COUNTBLANK(OFFSET(A$1,,,SUMPRODUCT(MAX(ROW(E$1:E4556)*(E2=E$1:E4556))))))</f>
        <v> </v>
      </c>
      <c r="K4557" s="25" t="str">
        <f>IF(OR(E4557="",E4557="!!!",F4557="NEW"),"",INDEX(J$1:J4556,SUMPRODUCT(MAX(ROW(E$1:E4556)*(E4557=E$1:E4556)))))</f>
        <v> </v>
      </c>
      <c r="L4557" s="26"/>
    </row>
    <row r="4558" spans="1:12">
      <c r="A4558" s="20" t="s">
        <v>1123</v>
      </c>
      <c r="E4558" s="21">
        <f>IF(D4558="?OLD","!!!","")</f>
        <v/>
      </c>
      <c r="F4558" s="22" t="str">
        <f>IF(OR(E4558="",E4558="!!!"),"",IF(NOT(ISNA(VLOOKUP(E4558,E$1:E4557,1,FALSE()))),"OLD",IF(AND(E4558&lt;&gt;"",E4558&lt;&gt;"!!!"),"NEW","")))</f>
        <v> </v>
      </c>
      <c r="G4558" s="23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4" t="str">
        <f>IF(J4558&lt;&gt;1,"",IF(I4558="SBJ","CB","?"))</f>
        <v> </v>
      </c>
      <c r="I4558" s="25" t="str">
        <f>IF(OR(E4558="",E4558="!!!",F4558="NEW"),"",INDEX(B4557:B$2,-1+SUMPRODUCT(MAX(ROW(E4557:E$2)*(E4558=E4557:E$2)))))</f>
        <v> </v>
      </c>
      <c r="J4558" s="25" t="str">
        <f>IF(OR(E4558="",E4558="!!!",F4558="NEW"),"",COUNTBLANK(OFFSET(A$1,,,SUMPRODUCT(MAX(ROW(E$2:E4558)*(E4558=E$2:E4558)))))-COUNTBLANK(OFFSET(A$1,,,SUMPRODUCT(MAX(ROW(E$1:E4557)*(E2=E$1:E4557))))))</f>
        <v> </v>
      </c>
      <c r="K4558" s="25" t="str">
        <f>IF(OR(E4558="",E4558="!!!",F4558="NEW"),"",INDEX(J$1:J4557,SUMPRODUCT(MAX(ROW(E$1:E4557)*(E4558=E$1:E4557)))))</f>
        <v> </v>
      </c>
      <c r="L4558" s="26"/>
    </row>
    <row r="4559" spans="1:12">
      <c r="A4559" s="20" t="s">
        <v>1181</v>
      </c>
      <c r="B4559" s="27" t="s">
        <v>1313</v>
      </c>
      <c r="C4559" s="27" t="s">
        <v>1133</v>
      </c>
      <c r="E4559" s="21">
        <f>IF(D4559="?OLD","!!!","")</f>
        <v/>
      </c>
      <c r="F4559" s="22" t="str">
        <f>IF(OR(E4559="",E4559="!!!"),"",IF(NOT(ISNA(VLOOKUP(E4559,E$1:E4558,1,FALSE()))),"OLD",IF(AND(E4559&lt;&gt;"",E4559&lt;&gt;"!!!"),"NEW","")))</f>
        <v> </v>
      </c>
      <c r="G4559" s="23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4" t="str">
        <f>IF(J4559&lt;&gt;1,"",IF(I4559="SBJ","CB","?"))</f>
        <v> </v>
      </c>
      <c r="I4559" s="25" t="str">
        <f>IF(OR(E4559="",E4559="!!!",F4559="NEW"),"",INDEX(B4558:B$2,-1+SUMPRODUCT(MAX(ROW(E4558:E$2)*(E4559=E4558:E$2)))))</f>
        <v> </v>
      </c>
      <c r="J4559" s="25" t="str">
        <f>IF(OR(E4559="",E4559="!!!",F4559="NEW"),"",COUNTBLANK(OFFSET(A$1,,,SUMPRODUCT(MAX(ROW(E$2:E4559)*(E4559=E$2:E4559)))))-COUNTBLANK(OFFSET(A$1,,,SUMPRODUCT(MAX(ROW(E$1:E4558)*(E2=E$1:E4558))))))</f>
        <v> </v>
      </c>
      <c r="K4559" s="25" t="str">
        <f>IF(OR(E4559="",E4559="!!!",F4559="NEW"),"",INDEX(J$1:J4558,SUMPRODUCT(MAX(ROW(E$1:E4558)*(E4559=E$1:E4558)))))</f>
        <v> </v>
      </c>
      <c r="L4559" s="26"/>
    </row>
    <row r="4560" spans="1:12">
      <c r="A4560" s="20" t="s">
        <v>3098</v>
      </c>
      <c r="E4560" s="21">
        <f>IF(D4560="?OLD","!!!","")</f>
        <v/>
      </c>
      <c r="F4560" s="22" t="str">
        <f>IF(OR(E4560="",E4560="!!!"),"",IF(NOT(ISNA(VLOOKUP(E4560,E$1:E4559,1,FALSE()))),"OLD",IF(AND(E4560&lt;&gt;"",E4560&lt;&gt;"!!!"),"NEW","")))</f>
        <v> </v>
      </c>
      <c r="G4560" s="23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4" t="str">
        <f>IF(J4560&lt;&gt;1,"",IF(I4560="SBJ","CB","?"))</f>
        <v> </v>
      </c>
      <c r="I4560" s="25" t="str">
        <f>IF(OR(E4560="",E4560="!!!",F4560="NEW"),"",INDEX(B4559:B$2,-1+SUMPRODUCT(MAX(ROW(E4559:E$2)*(E4560=E4559:E$2)))))</f>
        <v> </v>
      </c>
      <c r="J4560" s="25" t="str">
        <f>IF(OR(E4560="",E4560="!!!",F4560="NEW"),"",COUNTBLANK(OFFSET(A$1,,,SUMPRODUCT(MAX(ROW(E$2:E4560)*(E4560=E$2:E4560)))))-COUNTBLANK(OFFSET(A$1,,,SUMPRODUCT(MAX(ROW(E$1:E4559)*(E2=E$1:E4559))))))</f>
        <v> </v>
      </c>
      <c r="K4560" s="25" t="str">
        <f>IF(OR(E4560="",E4560="!!!",F4560="NEW"),"",INDEX(J$1:J4559,SUMPRODUCT(MAX(ROW(E$1:E4559)*(E4560=E$1:E4559)))))</f>
        <v> </v>
      </c>
      <c r="L4560" s="26"/>
    </row>
    <row r="4561" spans="1:12">
      <c r="A4561" s="20" t="s">
        <v>1369</v>
      </c>
      <c r="E4561" s="21">
        <f>IF(D4561="?OLD","!!!","")</f>
        <v/>
      </c>
      <c r="F4561" s="22" t="str">
        <f>IF(OR(E4561="",E4561="!!!"),"",IF(NOT(ISNA(VLOOKUP(E4561,E$1:E4560,1,FALSE()))),"OLD",IF(AND(E4561&lt;&gt;"",E4561&lt;&gt;"!!!"),"NEW","")))</f>
        <v> </v>
      </c>
      <c r="G4561" s="23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4" t="str">
        <f>IF(J4561&lt;&gt;1,"",IF(I4561="SBJ","CB","?"))</f>
        <v> </v>
      </c>
      <c r="I4561" s="25" t="str">
        <f>IF(OR(E4561="",E4561="!!!",F4561="NEW"),"",INDEX(B4560:B$2,-1+SUMPRODUCT(MAX(ROW(E4560:E$2)*(E4561=E4560:E$2)))))</f>
        <v> </v>
      </c>
      <c r="J4561" s="25" t="str">
        <f>IF(OR(E4561="",E4561="!!!",F4561="NEW"),"",COUNTBLANK(OFFSET(A$1,,,SUMPRODUCT(MAX(ROW(E$2:E4561)*(E4561=E$2:E4561)))))-COUNTBLANK(OFFSET(A$1,,,SUMPRODUCT(MAX(ROW(E$1:E4560)*(E2=E$1:E4560))))))</f>
        <v> </v>
      </c>
      <c r="K4561" s="25" t="str">
        <f>IF(OR(E4561="",E4561="!!!",F4561="NEW"),"",INDEX(J$1:J4560,SUMPRODUCT(MAX(ROW(E$1:E4560)*(E4561=E$1:E4560)))))</f>
        <v> </v>
      </c>
      <c r="L4561" s="26"/>
    </row>
    <row r="4562" spans="1:12">
      <c r="A4562" s="20" t="s">
        <v>1475</v>
      </c>
      <c r="E4562" s="21">
        <f>IF(D4562="?OLD","!!!","")</f>
        <v/>
      </c>
      <c r="F4562" s="22" t="str">
        <f>IF(OR(E4562="",E4562="!!!"),"",IF(NOT(ISNA(VLOOKUP(E4562,E$1:E4561,1,FALSE()))),"OLD",IF(AND(E4562&lt;&gt;"",E4562&lt;&gt;"!!!"),"NEW","")))</f>
        <v> </v>
      </c>
      <c r="G4562" s="23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4" t="str">
        <f>IF(J4562&lt;&gt;1,"",IF(I4562="SBJ","CB","?"))</f>
        <v> </v>
      </c>
      <c r="I4562" s="25" t="str">
        <f>IF(OR(E4562="",E4562="!!!",F4562="NEW"),"",INDEX(B4561:B$2,-1+SUMPRODUCT(MAX(ROW(E4561:E$2)*(E4562=E4561:E$2)))))</f>
        <v> </v>
      </c>
      <c r="J4562" s="25" t="str">
        <f>IF(OR(E4562="",E4562="!!!",F4562="NEW"),"",COUNTBLANK(OFFSET(A$1,,,SUMPRODUCT(MAX(ROW(E$2:E4562)*(E4562=E$2:E4562)))))-COUNTBLANK(OFFSET(A$1,,,SUMPRODUCT(MAX(ROW(E$1:E4561)*(E2=E$1:E4561))))))</f>
        <v> </v>
      </c>
      <c r="K4562" s="25" t="str">
        <f>IF(OR(E4562="",E4562="!!!",F4562="NEW"),"",INDEX(J$1:J4561,SUMPRODUCT(MAX(ROW(E$1:E4561)*(E4562=E$1:E4561)))))</f>
        <v> </v>
      </c>
      <c r="L4562" s="26"/>
    </row>
    <row r="4563" spans="1:12">
      <c r="A4563" s="20" t="s">
        <v>1351</v>
      </c>
      <c r="E4563" s="21">
        <f>IF(D4563="?OLD","!!!","")</f>
        <v/>
      </c>
      <c r="F4563" s="22" t="str">
        <f>IF(OR(E4563="",E4563="!!!"),"",IF(NOT(ISNA(VLOOKUP(E4563,E$1:E4562,1,FALSE()))),"OLD",IF(AND(E4563&lt;&gt;"",E4563&lt;&gt;"!!!"),"NEW","")))</f>
        <v> </v>
      </c>
      <c r="G4563" s="23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4" t="str">
        <f>IF(J4563&lt;&gt;1,"",IF(I4563="SBJ","CB","?"))</f>
        <v> </v>
      </c>
      <c r="I4563" s="25" t="str">
        <f>IF(OR(E4563="",E4563="!!!",F4563="NEW"),"",INDEX(B4562:B$2,-1+SUMPRODUCT(MAX(ROW(E4562:E$2)*(E4563=E4562:E$2)))))</f>
        <v> </v>
      </c>
      <c r="J4563" s="25" t="str">
        <f>IF(OR(E4563="",E4563="!!!",F4563="NEW"),"",COUNTBLANK(OFFSET(A$1,,,SUMPRODUCT(MAX(ROW(E$2:E4563)*(E4563=E$2:E4563)))))-COUNTBLANK(OFFSET(A$1,,,SUMPRODUCT(MAX(ROW(E$1:E4562)*(E2=E$1:E4562))))))</f>
        <v> </v>
      </c>
      <c r="K4563" s="25" t="str">
        <f>IF(OR(E4563="",E4563="!!!",F4563="NEW"),"",INDEX(J$1:J4562,SUMPRODUCT(MAX(ROW(E$1:E4562)*(E4563=E$1:E4562)))))</f>
        <v> </v>
      </c>
      <c r="L4563" s="26"/>
    </row>
    <row r="4564" spans="1:12">
      <c r="A4564" s="20"/>
    </row>
    <row r="4565" spans="1:12">
      <c r="A4565" s="20" t="s">
        <v>3099</v>
      </c>
    </row>
    <row r="4566" spans="1:12">
      <c r="A4566" s="20" t="s">
        <v>1111</v>
      </c>
      <c r="E4566" s="21">
        <f>IF(D4566="?OLD","!!!","")</f>
        <v/>
      </c>
      <c r="F4566" s="22" t="str">
        <f>IF(OR(E4566="",E4566="!!!"),"",IF(NOT(ISNA(VLOOKUP(E4566,E$1:E4565,1,FALSE()))),"OLD",IF(AND(E4566&lt;&gt;"",E4566&lt;&gt;"!!!"),"NEW","")))</f>
        <v> </v>
      </c>
      <c r="G4566" s="23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4" t="str">
        <f>IF(J4566&lt;&gt;1,"",IF(I4566="SBJ","CB","?"))</f>
        <v> </v>
      </c>
      <c r="I4566" s="25" t="str">
        <f>IF(OR(E4566="",E4566="!!!",F4566="NEW"),"",INDEX(B4565:B$2,-1+SUMPRODUCT(MAX(ROW(E4565:E$2)*(E4566=E4565:E$2)))))</f>
        <v> </v>
      </c>
      <c r="J4566" s="25" t="str">
        <f>IF(OR(E4566="",E4566="!!!",F4566="NEW"),"",COUNTBLANK(OFFSET(A$1,,,SUMPRODUCT(MAX(ROW(E$2:E4566)*(E4566=E$2:E4566)))))-COUNTBLANK(OFFSET(A$1,,,SUMPRODUCT(MAX(ROW(E$1:E4565)*(E2=E$1:E4565))))))</f>
        <v> </v>
      </c>
      <c r="K4566" s="25" t="str">
        <f>IF(OR(E4566="",E4566="!!!",F4566="NEW"),"",INDEX(J$1:J4565,SUMPRODUCT(MAX(ROW(E$1:E4565)*(E4566=E$1:E4565)))))</f>
        <v> </v>
      </c>
      <c r="L4566" s="26"/>
    </row>
    <row r="4567" spans="1:12">
      <c r="A4567" s="20" t="s">
        <v>1973</v>
      </c>
      <c r="E4567" s="21">
        <f>IF(D4567="?OLD","!!!","")</f>
        <v/>
      </c>
      <c r="F4567" s="22" t="str">
        <f>IF(OR(E4567="",E4567="!!!"),"",IF(NOT(ISNA(VLOOKUP(E4567,E$1:E4566,1,FALSE()))),"OLD",IF(AND(E4567&lt;&gt;"",E4567&lt;&gt;"!!!"),"NEW","")))</f>
        <v> </v>
      </c>
      <c r="G4567" s="23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4" t="str">
        <f>IF(J4567&lt;&gt;1,"",IF(I4567="SBJ","CB","?"))</f>
        <v> </v>
      </c>
      <c r="I4567" s="25" t="str">
        <f>IF(OR(E4567="",E4567="!!!",F4567="NEW"),"",INDEX(B4566:B$2,-1+SUMPRODUCT(MAX(ROW(E4566:E$2)*(E4567=E4566:E$2)))))</f>
        <v> </v>
      </c>
      <c r="J4567" s="25" t="str">
        <f>IF(OR(E4567="",E4567="!!!",F4567="NEW"),"",COUNTBLANK(OFFSET(A$1,,,SUMPRODUCT(MAX(ROW(E$2:E4567)*(E4567=E$2:E4567)))))-COUNTBLANK(OFFSET(A$1,,,SUMPRODUCT(MAX(ROW(E$1:E4566)*(E2=E$1:E4566))))))</f>
        <v> </v>
      </c>
      <c r="K4567" s="25" t="str">
        <f>IF(OR(E4567="",E4567="!!!",F4567="NEW"),"",INDEX(J$1:J4566,SUMPRODUCT(MAX(ROW(E$1:E4566)*(E4567=E$1:E4566)))))</f>
        <v> </v>
      </c>
      <c r="L4567" s="26"/>
    </row>
    <row r="4568" spans="1:12">
      <c r="A4568" s="20" t="s">
        <v>1124</v>
      </c>
      <c r="B4568" s="27" t="s">
        <v>1149</v>
      </c>
      <c r="C4568" s="27" t="s">
        <v>1126</v>
      </c>
      <c r="D4568" s="27" t="s">
        <v>1105</v>
      </c>
      <c r="E4568" s="21">
        <f>IF(D4568="?OLD","!!!","")</f>
        <v/>
      </c>
      <c r="F4568" s="22" t="str">
        <f>IF(OR(E4568="",E4568="!!!"),"",IF(NOT(ISNA(VLOOKUP(E4568,E$1:E4567,1,FALSE()))),"OLD",IF(AND(E4568&lt;&gt;"",E4568&lt;&gt;"!!!"),"NEW","")))</f>
        <v> </v>
      </c>
      <c r="G4568" s="23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4" t="str">
        <f>IF(J4568&lt;&gt;1,"",IF(I4568="SBJ","CB","?"))</f>
        <v> </v>
      </c>
      <c r="I4568" s="25" t="str">
        <f>IF(OR(E4568="",E4568="!!!",F4568="NEW"),"",INDEX(B4567:B$2,-1+SUMPRODUCT(MAX(ROW(E4567:E$2)*(E4568=E4567:E$2)))))</f>
        <v> </v>
      </c>
      <c r="J4568" s="25" t="str">
        <f>IF(OR(E4568="",E4568="!!!",F4568="NEW"),"",COUNTBLANK(OFFSET(A$1,,,SUMPRODUCT(MAX(ROW(E$2:E4568)*(E4568=E$2:E4568)))))-COUNTBLANK(OFFSET(A$1,,,SUMPRODUCT(MAX(ROW(E$1:E4567)*(E2=E$1:E4567))))))</f>
        <v> </v>
      </c>
      <c r="K4568" s="25" t="str">
        <f>IF(OR(E4568="",E4568="!!!",F4568="NEW"),"",INDEX(J$1:J4567,SUMPRODUCT(MAX(ROW(E$1:E4567)*(E4568=E$1:E4567)))))</f>
        <v> </v>
      </c>
      <c r="L4568" s="26"/>
    </row>
    <row r="4569" spans="1:12">
      <c r="A4569" s="20" t="s">
        <v>3100</v>
      </c>
      <c r="E4569" s="21">
        <f>IF(D4569="?OLD","!!!","")</f>
        <v/>
      </c>
      <c r="F4569" s="22" t="str">
        <f>IF(OR(E4569="",E4569="!!!"),"",IF(NOT(ISNA(VLOOKUP(E4569,E$1:E4568,1,FALSE()))),"OLD",IF(AND(E4569&lt;&gt;"",E4569&lt;&gt;"!!!"),"NEW","")))</f>
        <v> </v>
      </c>
      <c r="G4569" s="23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4" t="str">
        <f>IF(J4569&lt;&gt;1,"",IF(I4569="SBJ","CB","?"))</f>
        <v> </v>
      </c>
      <c r="I4569" s="25" t="str">
        <f>IF(OR(E4569="",E4569="!!!",F4569="NEW"),"",INDEX(B4568:B$2,-1+SUMPRODUCT(MAX(ROW(E4568:E$2)*(E4569=E4568:E$2)))))</f>
        <v> </v>
      </c>
      <c r="J4569" s="25" t="str">
        <f>IF(OR(E4569="",E4569="!!!",F4569="NEW"),"",COUNTBLANK(OFFSET(A$1,,,SUMPRODUCT(MAX(ROW(E$2:E4569)*(E4569=E$2:E4569)))))-COUNTBLANK(OFFSET(A$1,,,SUMPRODUCT(MAX(ROW(E$1:E4568)*(E2=E$1:E4568))))))</f>
        <v> </v>
      </c>
      <c r="K4569" s="25" t="str">
        <f>IF(OR(E4569="",E4569="!!!",F4569="NEW"),"",INDEX(J$1:J4568,SUMPRODUCT(MAX(ROW(E$1:E4568)*(E4569=E$1:E4568)))))</f>
        <v> </v>
      </c>
      <c r="L4569" s="26"/>
    </row>
    <row r="4570" spans="1:12">
      <c r="A4570" s="20" t="s">
        <v>1249</v>
      </c>
      <c r="E4570" s="21">
        <f>IF(D4570="?OLD","!!!","")</f>
        <v/>
      </c>
      <c r="F4570" s="22" t="str">
        <f>IF(OR(E4570="",E4570="!!!"),"",IF(NOT(ISNA(VLOOKUP(E4570,E$1:E4569,1,FALSE()))),"OLD",IF(AND(E4570&lt;&gt;"",E4570&lt;&gt;"!!!"),"NEW","")))</f>
        <v> </v>
      </c>
      <c r="G4570" s="23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4" t="str">
        <f>IF(J4570&lt;&gt;1,"",IF(I4570="SBJ","CB","?"))</f>
        <v> </v>
      </c>
      <c r="I4570" s="25" t="str">
        <f>IF(OR(E4570="",E4570="!!!",F4570="NEW"),"",INDEX(B4569:B$2,-1+SUMPRODUCT(MAX(ROW(E4569:E$2)*(E4570=E4569:E$2)))))</f>
        <v> </v>
      </c>
      <c r="J4570" s="25" t="str">
        <f>IF(OR(E4570="",E4570="!!!",F4570="NEW"),"",COUNTBLANK(OFFSET(A$1,,,SUMPRODUCT(MAX(ROW(E$2:E4570)*(E4570=E$2:E4570)))))-COUNTBLANK(OFFSET(A$1,,,SUMPRODUCT(MAX(ROW(E$1:E4569)*(E2=E$1:E4569))))))</f>
        <v> </v>
      </c>
      <c r="K4570" s="25" t="str">
        <f>IF(OR(E4570="",E4570="!!!",F4570="NEW"),"",INDEX(J$1:J4569,SUMPRODUCT(MAX(ROW(E$1:E4569)*(E4570=E$1:E4569)))))</f>
        <v> </v>
      </c>
      <c r="L4570" s="26"/>
    </row>
    <row r="4571" spans="1:12">
      <c r="A4571" s="20" t="s">
        <v>3101</v>
      </c>
      <c r="E4571" s="21">
        <f>IF(D4571="?OLD","!!!","")</f>
        <v/>
      </c>
      <c r="F4571" s="22" t="str">
        <f>IF(OR(E4571="",E4571="!!!"),"",IF(NOT(ISNA(VLOOKUP(E4571,E$1:E4570,1,FALSE()))),"OLD",IF(AND(E4571&lt;&gt;"",E4571&lt;&gt;"!!!"),"NEW","")))</f>
        <v> </v>
      </c>
      <c r="G4571" s="23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4" t="str">
        <f>IF(J4571&lt;&gt;1,"",IF(I4571="SBJ","CB","?"))</f>
        <v> </v>
      </c>
      <c r="I4571" s="25" t="str">
        <f>IF(OR(E4571="",E4571="!!!",F4571="NEW"),"",INDEX(B4570:B$2,-1+SUMPRODUCT(MAX(ROW(E4570:E$2)*(E4571=E4570:E$2)))))</f>
        <v> </v>
      </c>
      <c r="J4571" s="25" t="str">
        <f>IF(OR(E4571="",E4571="!!!",F4571="NEW"),"",COUNTBLANK(OFFSET(A$1,,,SUMPRODUCT(MAX(ROW(E$2:E4571)*(E4571=E$2:E4571)))))-COUNTBLANK(OFFSET(A$1,,,SUMPRODUCT(MAX(ROW(E$1:E4570)*(E2=E$1:E4570))))))</f>
        <v> </v>
      </c>
      <c r="K4571" s="25" t="str">
        <f>IF(OR(E4571="",E4571="!!!",F4571="NEW"),"",INDEX(J$1:J4570,SUMPRODUCT(MAX(ROW(E$1:E4570)*(E4571=E$1:E4570)))))</f>
        <v> </v>
      </c>
      <c r="L4571" s="26"/>
    </row>
    <row r="4572" spans="1:12">
      <c r="A4572" s="20" t="s">
        <v>11</v>
      </c>
      <c r="E4572" s="21">
        <f>IF(D4572="?OLD","!!!","")</f>
        <v/>
      </c>
      <c r="F4572" s="22" t="str">
        <f>IF(OR(E4572="",E4572="!!!"),"",IF(NOT(ISNA(VLOOKUP(E4572,E$1:E4571,1,FALSE()))),"OLD",IF(AND(E4572&lt;&gt;"",E4572&lt;&gt;"!!!"),"NEW","")))</f>
        <v> </v>
      </c>
      <c r="G4572" s="23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4" t="str">
        <f>IF(J4572&lt;&gt;1,"",IF(I4572="SBJ","CB","?"))</f>
        <v> </v>
      </c>
      <c r="I4572" s="25" t="str">
        <f>IF(OR(E4572="",E4572="!!!",F4572="NEW"),"",INDEX(B4571:B$2,-1+SUMPRODUCT(MAX(ROW(E4571:E$2)*(E4572=E4571:E$2)))))</f>
        <v> </v>
      </c>
      <c r="J4572" s="25" t="str">
        <f>IF(OR(E4572="",E4572="!!!",F4572="NEW"),"",COUNTBLANK(OFFSET(A$1,,,SUMPRODUCT(MAX(ROW(E$2:E4572)*(E4572=E$2:E4572)))))-COUNTBLANK(OFFSET(A$1,,,SUMPRODUCT(MAX(ROW(E$1:E4571)*(E2=E$1:E4571))))))</f>
        <v> </v>
      </c>
      <c r="K4572" s="25" t="str">
        <f>IF(OR(E4572="",E4572="!!!",F4572="NEW"),"",INDEX(J$1:J4571,SUMPRODUCT(MAX(ROW(E$1:E4571)*(E4572=E$1:E4571)))))</f>
        <v> </v>
      </c>
      <c r="L4572" s="26"/>
    </row>
    <row r="4573" spans="1:12">
      <c r="A4573" s="20" t="s">
        <v>3102</v>
      </c>
      <c r="E4573" s="21">
        <f>IF(D4573="?OLD","!!!","")</f>
        <v/>
      </c>
      <c r="F4573" s="22" t="str">
        <f>IF(OR(E4573="",E4573="!!!"),"",IF(NOT(ISNA(VLOOKUP(E4573,E$1:E4572,1,FALSE()))),"OLD",IF(AND(E4573&lt;&gt;"",E4573&lt;&gt;"!!!"),"NEW","")))</f>
        <v> </v>
      </c>
      <c r="G4573" s="23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4" t="str">
        <f>IF(J4573&lt;&gt;1,"",IF(I4573="SBJ","CB","?"))</f>
        <v> </v>
      </c>
      <c r="I4573" s="25" t="str">
        <f>IF(OR(E4573="",E4573="!!!",F4573="NEW"),"",INDEX(B4572:B$2,-1+SUMPRODUCT(MAX(ROW(E4572:E$2)*(E4573=E4572:E$2)))))</f>
        <v> </v>
      </c>
      <c r="J4573" s="25" t="str">
        <f>IF(OR(E4573="",E4573="!!!",F4573="NEW"),"",COUNTBLANK(OFFSET(A$1,,,SUMPRODUCT(MAX(ROW(E$2:E4573)*(E4573=E$2:E4573)))))-COUNTBLANK(OFFSET(A$1,,,SUMPRODUCT(MAX(ROW(E$1:E4572)*(E2=E$1:E4572))))))</f>
        <v> </v>
      </c>
      <c r="K4573" s="25" t="str">
        <f>IF(OR(E4573="",E4573="!!!",F4573="NEW"),"",INDEX(J$1:J4572,SUMPRODUCT(MAX(ROW(E$1:E4572)*(E4573=E$1:E4572)))))</f>
        <v> </v>
      </c>
      <c r="L4573" s="26"/>
    </row>
    <row r="4574" spans="1:12">
      <c r="A4574" s="20" t="s">
        <v>2658</v>
      </c>
      <c r="E4574" s="21">
        <f>IF(D4574="?OLD","!!!","")</f>
        <v/>
      </c>
      <c r="F4574" s="22" t="str">
        <f>IF(OR(E4574="",E4574="!!!"),"",IF(NOT(ISNA(VLOOKUP(E4574,E$1:E4573,1,FALSE()))),"OLD",IF(AND(E4574&lt;&gt;"",E4574&lt;&gt;"!!!"),"NEW","")))</f>
        <v> </v>
      </c>
      <c r="G4574" s="23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4" t="str">
        <f>IF(J4574&lt;&gt;1,"",IF(I4574="SBJ","CB","?"))</f>
        <v> </v>
      </c>
      <c r="I4574" s="25" t="str">
        <f>IF(OR(E4574="",E4574="!!!",F4574="NEW"),"",INDEX(B4573:B$2,-1+SUMPRODUCT(MAX(ROW(E4573:E$2)*(E4574=E4573:E$2)))))</f>
        <v> </v>
      </c>
      <c r="J4574" s="25" t="str">
        <f>IF(OR(E4574="",E4574="!!!",F4574="NEW"),"",COUNTBLANK(OFFSET(A$1,,,SUMPRODUCT(MAX(ROW(E$2:E4574)*(E4574=E$2:E4574)))))-COUNTBLANK(OFFSET(A$1,,,SUMPRODUCT(MAX(ROW(E$1:E4573)*(E2=E$1:E4573))))))</f>
        <v> </v>
      </c>
      <c r="K4574" s="25" t="str">
        <f>IF(OR(E4574="",E4574="!!!",F4574="NEW"),"",INDEX(J$1:J4573,SUMPRODUCT(MAX(ROW(E$1:E4573)*(E4574=E$1:E4573)))))</f>
        <v> </v>
      </c>
      <c r="L4574" s="26"/>
    </row>
    <row r="4575" spans="1:12">
      <c r="A4575" s="20" t="s">
        <v>1123</v>
      </c>
      <c r="E4575" s="21">
        <f>IF(D4575="?OLD","!!!","")</f>
        <v/>
      </c>
      <c r="F4575" s="22" t="str">
        <f>IF(OR(E4575="",E4575="!!!"),"",IF(NOT(ISNA(VLOOKUP(E4575,E$1:E4574,1,FALSE()))),"OLD",IF(AND(E4575&lt;&gt;"",E4575&lt;&gt;"!!!"),"NEW","")))</f>
        <v> </v>
      </c>
      <c r="G4575" s="23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4" t="str">
        <f>IF(J4575&lt;&gt;1,"",IF(I4575="SBJ","CB","?"))</f>
        <v> </v>
      </c>
      <c r="I4575" s="25" t="str">
        <f>IF(OR(E4575="",E4575="!!!",F4575="NEW"),"",INDEX(B4574:B$2,-1+SUMPRODUCT(MAX(ROW(E4574:E$2)*(E4575=E4574:E$2)))))</f>
        <v> </v>
      </c>
      <c r="J4575" s="25" t="str">
        <f>IF(OR(E4575="",E4575="!!!",F4575="NEW"),"",COUNTBLANK(OFFSET(A$1,,,SUMPRODUCT(MAX(ROW(E$2:E4575)*(E4575=E$2:E4575)))))-COUNTBLANK(OFFSET(A$1,,,SUMPRODUCT(MAX(ROW(E$1:E4574)*(E2=E$1:E4574))))))</f>
        <v> </v>
      </c>
      <c r="K4575" s="25" t="str">
        <f>IF(OR(E4575="",E4575="!!!",F4575="NEW"),"",INDEX(J$1:J4574,SUMPRODUCT(MAX(ROW(E$1:E4574)*(E4575=E$1:E4574)))))</f>
        <v> </v>
      </c>
      <c r="L4575" s="26"/>
    </row>
    <row r="4576" spans="1:12">
      <c r="A4576" s="20" t="s">
        <v>3103</v>
      </c>
      <c r="E4576" s="21">
        <f>IF(D4576="?OLD","!!!","")</f>
        <v/>
      </c>
      <c r="F4576" s="22" t="str">
        <f>IF(OR(E4576="",E4576="!!!"),"",IF(NOT(ISNA(VLOOKUP(E4576,E$1:E4575,1,FALSE()))),"OLD",IF(AND(E4576&lt;&gt;"",E4576&lt;&gt;"!!!"),"NEW","")))</f>
        <v> </v>
      </c>
      <c r="G4576" s="23" t="str">
        <f>IF(OR(E4576="",E4576="!!!"),"",IF(OR(J4576=0,AND(J4576=1,K4576=1),AND(J4576=1,I4576="SBJ"),AND(J4576=1,I4576=0)),"?IN_FOCUS",IF(J4576&lt;=2,"?ACTIVATED",IF(J4576&lt;&gt;"","?FAMILIAR",IF(F4576="NEW",IF(ISNA(VLOOKUP(E4576,#REF!,1,FALSE())),"?TYPE_IDENTIFIABLE","?REFERENTIAL"),"_")))))</f>
        <v> </v>
      </c>
      <c r="H4576" s="24" t="str">
        <f>IF(J4576&lt;&gt;1,"",IF(I4576="SBJ","CB","?"))</f>
        <v> </v>
      </c>
      <c r="I4576" s="25" t="str">
        <f>IF(OR(E4576="",E4576="!!!",F4576="NEW"),"",INDEX(B4575:B$2,-1+SUMPRODUCT(MAX(ROW(E4575:E$2)*(E4576=E4575:E$2)))))</f>
        <v> </v>
      </c>
      <c r="J4576" s="25" t="str">
        <f>IF(OR(E4576="",E4576="!!!",F4576="NEW"),"",COUNTBLANK(OFFSET(A$1,,,SUMPRODUCT(MAX(ROW(E$2:E4576)*(E4576=E$2:E4576)))))-COUNTBLANK(OFFSET(A$1,,,SUMPRODUCT(MAX(ROW(E$1:E4575)*(E2=E$1:E4575))))))</f>
        <v> </v>
      </c>
      <c r="K4576" s="25" t="str">
        <f>IF(OR(E4576="",E4576="!!!",F4576="NEW"),"",INDEX(J$1:J4575,SUMPRODUCT(MAX(ROW(E$1:E4575)*(E4576=E$1:E4575)))))</f>
        <v> </v>
      </c>
      <c r="L4576" s="26"/>
    </row>
    <row r="4577" spans="1:12">
      <c r="A4577" s="20" t="s">
        <v>3104</v>
      </c>
      <c r="E4577" s="21">
        <f>IF(D4577="?OLD","!!!","")</f>
        <v/>
      </c>
      <c r="F4577" s="22" t="str">
        <f>IF(OR(E4577="",E4577="!!!"),"",IF(NOT(ISNA(VLOOKUP(E4577,E$1:E4576,1,FALSE()))),"OLD",IF(AND(E4577&lt;&gt;"",E4577&lt;&gt;"!!!"),"NEW","")))</f>
        <v> </v>
      </c>
      <c r="G4577" s="23" t="str">
        <f>IF(OR(E4577="",E4577="!!!"),"",IF(OR(J4577=0,AND(J4577=1,K4577=1),AND(J4577=1,I4577="SBJ"),AND(J4577=1,I4577=0)),"?IN_FOCUS",IF(J4577&lt;=2,"?ACTIVATED",IF(J4577&lt;&gt;"","?FAMILIAR",IF(F4577="NEW",IF(ISNA(VLOOKUP(E4577,#REF!,1,FALSE())),"?TYPE_IDENTIFIABLE","?REFERENTIAL"),"_")))))</f>
        <v> </v>
      </c>
      <c r="H4577" s="24" t="str">
        <f>IF(J4577&lt;&gt;1,"",IF(I4577="SBJ","CB","?"))</f>
        <v> </v>
      </c>
      <c r="I4577" s="25" t="str">
        <f>IF(OR(E4577="",E4577="!!!",F4577="NEW"),"",INDEX(B4576:B$2,-1+SUMPRODUCT(MAX(ROW(E4576:E$2)*(E4577=E4576:E$2)))))</f>
        <v> </v>
      </c>
      <c r="J4577" s="25" t="str">
        <f>IF(OR(E4577="",E4577="!!!",F4577="NEW"),"",COUNTBLANK(OFFSET(A$1,,,SUMPRODUCT(MAX(ROW(E$2:E4577)*(E4577=E$2:E4577)))))-COUNTBLANK(OFFSET(A$1,,,SUMPRODUCT(MAX(ROW(E$1:E4576)*(E2=E$1:E4576))))))</f>
        <v> </v>
      </c>
      <c r="K4577" s="25" t="str">
        <f>IF(OR(E4577="",E4577="!!!",F4577="NEW"),"",INDEX(J$1:J4576,SUMPRODUCT(MAX(ROW(E$1:E4576)*(E4577=E$1:E4576)))))</f>
        <v> </v>
      </c>
      <c r="L4577" s="26"/>
    </row>
    <row r="4578" spans="1:12">
      <c r="A4578" s="20" t="s">
        <v>1123</v>
      </c>
      <c r="E4578" s="21">
        <f>IF(D4578="?OLD","!!!","")</f>
        <v/>
      </c>
      <c r="F4578" s="22" t="str">
        <f>IF(OR(E4578="",E4578="!!!"),"",IF(NOT(ISNA(VLOOKUP(E4578,E$1:E4577,1,FALSE()))),"OLD",IF(AND(E4578&lt;&gt;"",E4578&lt;&gt;"!!!"),"NEW","")))</f>
        <v> </v>
      </c>
      <c r="G4578" s="23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4" t="str">
        <f>IF(J4578&lt;&gt;1,"",IF(I4578="SBJ","CB","?"))</f>
        <v> </v>
      </c>
      <c r="I4578" s="25" t="str">
        <f>IF(OR(E4578="",E4578="!!!",F4578="NEW"),"",INDEX(B4577:B$2,-1+SUMPRODUCT(MAX(ROW(E4577:E$2)*(E4578=E4577:E$2)))))</f>
        <v> </v>
      </c>
      <c r="J4578" s="25" t="str">
        <f>IF(OR(E4578="",E4578="!!!",F4578="NEW"),"",COUNTBLANK(OFFSET(A$1,,,SUMPRODUCT(MAX(ROW(E$2:E4578)*(E4578=E$2:E4578)))))-COUNTBLANK(OFFSET(A$1,,,SUMPRODUCT(MAX(ROW(E$1:E4577)*(E2=E$1:E4577))))))</f>
        <v> </v>
      </c>
      <c r="K4578" s="25" t="str">
        <f>IF(OR(E4578="",E4578="!!!",F4578="NEW"),"",INDEX(J$1:J4577,SUMPRODUCT(MAX(ROW(E$1:E4577)*(E4578=E$1:E4577)))))</f>
        <v> </v>
      </c>
      <c r="L4578" s="26"/>
    </row>
    <row r="4579" spans="1:12">
      <c r="A4579" s="20" t="s">
        <v>1271</v>
      </c>
      <c r="E4579" s="21">
        <f>IF(D4579="?OLD","!!!","")</f>
        <v/>
      </c>
      <c r="F4579" s="22" t="str">
        <f>IF(OR(E4579="",E4579="!!!"),"",IF(NOT(ISNA(VLOOKUP(E4579,E$1:E4578,1,FALSE()))),"OLD",IF(AND(E4579&lt;&gt;"",E4579&lt;&gt;"!!!"),"NEW","")))</f>
        <v> </v>
      </c>
      <c r="G4579" s="23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4" t="str">
        <f>IF(J4579&lt;&gt;1,"",IF(I4579="SBJ","CB","?"))</f>
        <v> </v>
      </c>
      <c r="I4579" s="25" t="str">
        <f>IF(OR(E4579="",E4579="!!!",F4579="NEW"),"",INDEX(B4578:B$2,-1+SUMPRODUCT(MAX(ROW(E4578:E$2)*(E4579=E4578:E$2)))))</f>
        <v> </v>
      </c>
      <c r="J4579" s="25" t="str">
        <f>IF(OR(E4579="",E4579="!!!",F4579="NEW"),"",COUNTBLANK(OFFSET(A$1,,,SUMPRODUCT(MAX(ROW(E$2:E4579)*(E4579=E$2:E4579)))))-COUNTBLANK(OFFSET(A$1,,,SUMPRODUCT(MAX(ROW(E$1:E4578)*(E2=E$1:E4578))))))</f>
        <v> </v>
      </c>
      <c r="K4579" s="25" t="str">
        <f>IF(OR(E4579="",E4579="!!!",F4579="NEW"),"",INDEX(J$1:J4578,SUMPRODUCT(MAX(ROW(E$1:E4578)*(E4579=E$1:E4578)))))</f>
        <v> </v>
      </c>
      <c r="L4579" s="26"/>
    </row>
    <row r="4580" spans="1:12">
      <c r="A4580" s="20" t="s">
        <v>3105</v>
      </c>
      <c r="E4580" s="21">
        <f>IF(D4580="?OLD","!!!","")</f>
        <v/>
      </c>
      <c r="F4580" s="22" t="str">
        <f>IF(OR(E4580="",E4580="!!!"),"",IF(NOT(ISNA(VLOOKUP(E4580,E$1:E4579,1,FALSE()))),"OLD",IF(AND(E4580&lt;&gt;"",E4580&lt;&gt;"!!!"),"NEW","")))</f>
        <v> </v>
      </c>
      <c r="G4580" s="23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4" t="str">
        <f>IF(J4580&lt;&gt;1,"",IF(I4580="SBJ","CB","?"))</f>
        <v> </v>
      </c>
      <c r="I4580" s="25" t="str">
        <f>IF(OR(E4580="",E4580="!!!",F4580="NEW"),"",INDEX(B4579:B$2,-1+SUMPRODUCT(MAX(ROW(E4579:E$2)*(E4580=E4579:E$2)))))</f>
        <v> </v>
      </c>
      <c r="J4580" s="25" t="str">
        <f>IF(OR(E4580="",E4580="!!!",F4580="NEW"),"",COUNTBLANK(OFFSET(A$1,,,SUMPRODUCT(MAX(ROW(E$2:E4580)*(E4580=E$2:E4580)))))-COUNTBLANK(OFFSET(A$1,,,SUMPRODUCT(MAX(ROW(E$1:E4579)*(E2=E$1:E4579))))))</f>
        <v> </v>
      </c>
      <c r="K4580" s="25" t="str">
        <f>IF(OR(E4580="",E4580="!!!",F4580="NEW"),"",INDEX(J$1:J4579,SUMPRODUCT(MAX(ROW(E$1:E4579)*(E4580=E$1:E4579)))))</f>
        <v> </v>
      </c>
      <c r="L4580" s="26"/>
    </row>
    <row r="4581" spans="1:12">
      <c r="A4581" s="20" t="s">
        <v>3106</v>
      </c>
      <c r="E4581" s="21">
        <f>IF(D4581="?OLD","!!!","")</f>
        <v/>
      </c>
      <c r="F4581" s="22" t="str">
        <f>IF(OR(E4581="",E4581="!!!"),"",IF(NOT(ISNA(VLOOKUP(E4581,E$1:E4580,1,FALSE()))),"OLD",IF(AND(E4581&lt;&gt;"",E4581&lt;&gt;"!!!"),"NEW","")))</f>
        <v> </v>
      </c>
      <c r="G4581" s="23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4" t="str">
        <f>IF(J4581&lt;&gt;1,"",IF(I4581="SBJ","CB","?"))</f>
        <v> </v>
      </c>
      <c r="I4581" s="25" t="str">
        <f>IF(OR(E4581="",E4581="!!!",F4581="NEW"),"",INDEX(B4580:B$2,-1+SUMPRODUCT(MAX(ROW(E4580:E$2)*(E4581=E4580:E$2)))))</f>
        <v> </v>
      </c>
      <c r="J4581" s="25" t="str">
        <f>IF(OR(E4581="",E4581="!!!",F4581="NEW"),"",COUNTBLANK(OFFSET(A$1,,,SUMPRODUCT(MAX(ROW(E$2:E4581)*(E4581=E$2:E4581)))))-COUNTBLANK(OFFSET(A$1,,,SUMPRODUCT(MAX(ROW(E$1:E4580)*(E2=E$1:E4580))))))</f>
        <v> </v>
      </c>
      <c r="K4581" s="25" t="str">
        <f>IF(OR(E4581="",E4581="!!!",F4581="NEW"),"",INDEX(J$1:J4580,SUMPRODUCT(MAX(ROW(E$1:E4580)*(E4581=E$1:E4580)))))</f>
        <v> </v>
      </c>
      <c r="L4581" s="26"/>
    </row>
    <row r="4582" spans="1:12">
      <c r="A4582" s="20" t="s">
        <v>3107</v>
      </c>
      <c r="E4582" s="21">
        <f>IF(D4582="?OLD","!!!","")</f>
        <v/>
      </c>
      <c r="F4582" s="22" t="str">
        <f>IF(OR(E4582="",E4582="!!!"),"",IF(NOT(ISNA(VLOOKUP(E4582,E$1:E4581,1,FALSE()))),"OLD",IF(AND(E4582&lt;&gt;"",E4582&lt;&gt;"!!!"),"NEW","")))</f>
        <v> </v>
      </c>
      <c r="G4582" s="23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4" t="str">
        <f>IF(J4582&lt;&gt;1,"",IF(I4582="SBJ","CB","?"))</f>
        <v> </v>
      </c>
      <c r="I4582" s="25" t="str">
        <f>IF(OR(E4582="",E4582="!!!",F4582="NEW"),"",INDEX(B4581:B$2,-1+SUMPRODUCT(MAX(ROW(E4581:E$2)*(E4582=E4581:E$2)))))</f>
        <v> </v>
      </c>
      <c r="J4582" s="25" t="str">
        <f>IF(OR(E4582="",E4582="!!!",F4582="NEW"),"",COUNTBLANK(OFFSET(A$1,,,SUMPRODUCT(MAX(ROW(E$2:E4582)*(E4582=E$2:E4582)))))-COUNTBLANK(OFFSET(A$1,,,SUMPRODUCT(MAX(ROW(E$1:E4581)*(E2=E$1:E4581))))))</f>
        <v> </v>
      </c>
      <c r="K4582" s="25" t="str">
        <f>IF(OR(E4582="",E4582="!!!",F4582="NEW"),"",INDEX(J$1:J4581,SUMPRODUCT(MAX(ROW(E$1:E4581)*(E4582=E$1:E4581)))))</f>
        <v> </v>
      </c>
      <c r="L4582" s="26"/>
    </row>
    <row r="4583" spans="1:12">
      <c r="A4583" s="20" t="s">
        <v>1891</v>
      </c>
      <c r="E4583" s="21">
        <f>IF(D4583="?OLD","!!!","")</f>
        <v/>
      </c>
      <c r="F4583" s="22" t="str">
        <f>IF(OR(E4583="",E4583="!!!"),"",IF(NOT(ISNA(VLOOKUP(E4583,E$1:E4582,1,FALSE()))),"OLD",IF(AND(E4583&lt;&gt;"",E4583&lt;&gt;"!!!"),"NEW","")))</f>
        <v> </v>
      </c>
      <c r="G4583" s="23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4" t="str">
        <f>IF(J4583&lt;&gt;1,"",IF(I4583="SBJ","CB","?"))</f>
        <v> </v>
      </c>
      <c r="I4583" s="25" t="str">
        <f>IF(OR(E4583="",E4583="!!!",F4583="NEW"),"",INDEX(B4582:B$2,-1+SUMPRODUCT(MAX(ROW(E4582:E$2)*(E4583=E4582:E$2)))))</f>
        <v> </v>
      </c>
      <c r="J4583" s="25" t="str">
        <f>IF(OR(E4583="",E4583="!!!",F4583="NEW"),"",COUNTBLANK(OFFSET(A$1,,,SUMPRODUCT(MAX(ROW(E$2:E4583)*(E4583=E$2:E4583)))))-COUNTBLANK(OFFSET(A$1,,,SUMPRODUCT(MAX(ROW(E$1:E4582)*(E2=E$1:E4582))))))</f>
        <v> </v>
      </c>
      <c r="K4583" s="25" t="str">
        <f>IF(OR(E4583="",E4583="!!!",F4583="NEW"),"",INDEX(J$1:J4582,SUMPRODUCT(MAX(ROW(E$1:E4582)*(E4583=E$1:E4582)))))</f>
        <v> </v>
      </c>
      <c r="L4583" s="26"/>
    </row>
    <row r="4584" spans="1:12">
      <c r="A4584" s="20" t="s">
        <v>1145</v>
      </c>
      <c r="E4584" s="21">
        <f>IF(D4584="?OLD","!!!","")</f>
        <v/>
      </c>
      <c r="F4584" s="22" t="str">
        <f>IF(OR(E4584="",E4584="!!!"),"",IF(NOT(ISNA(VLOOKUP(E4584,E$1:E4583,1,FALSE()))),"OLD",IF(AND(E4584&lt;&gt;"",E4584&lt;&gt;"!!!"),"NEW","")))</f>
        <v> </v>
      </c>
      <c r="G4584" s="23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4" t="str">
        <f>IF(J4584&lt;&gt;1,"",IF(I4584="SBJ","CB","?"))</f>
        <v> </v>
      </c>
      <c r="I4584" s="25" t="str">
        <f>IF(OR(E4584="",E4584="!!!",F4584="NEW"),"",INDEX(B4583:B$2,-1+SUMPRODUCT(MAX(ROW(E4583:E$2)*(E4584=E4583:E$2)))))</f>
        <v> </v>
      </c>
      <c r="J4584" s="25" t="str">
        <f>IF(OR(E4584="",E4584="!!!",F4584="NEW"),"",COUNTBLANK(OFFSET(A$1,,,SUMPRODUCT(MAX(ROW(E$2:E4584)*(E4584=E$2:E4584)))))-COUNTBLANK(OFFSET(A$1,,,SUMPRODUCT(MAX(ROW(E$1:E4583)*(E2=E$1:E4583))))))</f>
        <v> </v>
      </c>
      <c r="K4584" s="25" t="str">
        <f>IF(OR(E4584="",E4584="!!!",F4584="NEW"),"",INDEX(J$1:J4583,SUMPRODUCT(MAX(ROW(E$1:E4583)*(E4584=E$1:E4583)))))</f>
        <v> </v>
      </c>
      <c r="L4584" s="26"/>
    </row>
    <row r="4585" spans="1:12">
      <c r="A458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2024-12-05T18:03:10Z</dcterms:created>
  <dcterms:modified xsi:type="dcterms:W3CDTF">2024-12-05T18:03:10Z</dcterms:modified>
</cp:coreProperties>
</file>