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<sst xmlns="http://schemas.openxmlformats.org/spreadsheetml/2006/main" count="5485" uniqueCount="1963">
  <si>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</si>
  <si>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</si>
  <si>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</si>
  <si>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</si>
  <si>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</si>
  <si>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</si>
  <si>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</si>
  <si>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</si>
  <si>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</si>
  <si>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</si>
  <si>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</si>
  <si>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</si>
  <si>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</si>
  <si>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вырасти</t>
  </si>
  <si>
    <t>Я вырос на научной фантастике .</t>
  </si>
  <si>
    <t>file://conllu/ru/teddy-807.conllu#s1_0</t>
  </si>
  <si>
    <t>ездить</t>
  </si>
  <si>
    <t>Я ездил в школу на автобусе по часу в один конец каждый день .</t>
  </si>
  <si>
    <t>file://conllu/ru/teddy-807.conllu#s2_0</t>
  </si>
  <si>
    <t>3</t>
  </si>
  <si>
    <t>4</t>
  </si>
  <si>
    <t>поглощёть</t>
  </si>
  <si>
    <t>И всегда был поглощён книгой , научно фантастической книгой , которая уносила меня в другие миры и удовлетворяла в повествовательной форме моё ненасытное чувство любопытства .</t>
  </si>
  <si>
    <t>file://conllu/ru/teddy-807.conllu#s3_0</t>
  </si>
  <si>
    <t>7</t>
  </si>
  <si>
    <t>проявляться</t>
  </si>
  <si>
    <t>И знаете , это любопытство также проявлялось в том , что , когда я не был в школе , я был в лесу , бродил и собирал «образцы» : лягушек , змей , жуков , воду из пруда , — и приносил их домой , чтобы рассмотреть под микроскопом .</t>
  </si>
  <si>
    <t>file://conllu/ru/teddy-807.conllu#s4_0</t>
  </si>
  <si>
    <t>5</t>
  </si>
  <si>
    <t>6</t>
  </si>
  <si>
    <t>мешать</t>
  </si>
  <si>
    <t>Знаете , я был просто помешан на науке .</t>
  </si>
  <si>
    <t>file://conllu/ru/teddy-807.conllu#s5_0</t>
  </si>
  <si>
    <t>быть (быть то)</t>
  </si>
  <si>
    <t>Всё это было для того , чтобы понять этот мир , узнать границы возможного .</t>
  </si>
  <si>
    <t>file://conllu/ru/teddy-807.conllu#s6_0</t>
  </si>
  <si>
    <t>казаться</t>
  </si>
  <si>
    <t>И моя любовь к научной фантастике казалось действительно отражается в окружавшем меня мире , из-за всех тех событий конца 60-х годов , мы собирались на Луну , мы исследовали глубины океанов .</t>
  </si>
  <si>
    <t>file://conllu/ru/teddy-807.conllu#s7_0</t>
  </si>
  <si>
    <t>8</t>
  </si>
  <si>
    <t>появляться</t>
  </si>
  <si>
    <t>Жак-Ив Кусто появлялся в наших гостиных в тех невероятные телепрограммах , показывающих животных , природу , и чудесные миры , которые мы и представить себе не могли .</t>
  </si>
  <si>
    <t>file://conllu/ru/teddy-807.conllu#s8_0</t>
  </si>
  <si>
    <t>9</t>
  </si>
  <si>
    <t>В общем , казалось , что это резонирует со всей этой научной фантастикой .</t>
  </si>
  <si>
    <t>file://conllu/ru/teddy-807.conllu#s9_0</t>
  </si>
  <si>
    <t>10</t>
  </si>
  <si>
    <t>быть (быть художникий)</t>
  </si>
  <si>
    <t>А я был художником .</t>
  </si>
  <si>
    <t>file://conllu/ru/teddy-807.conllu#s10_0</t>
  </si>
  <si>
    <t>11</t>
  </si>
  <si>
    <t>мочь</t>
  </si>
  <si>
    <t>Я мог рисовать и писать картины .</t>
  </si>
  <si>
    <t>file://conllu/ru/teddy-807.conllu#s11_0</t>
  </si>
  <si>
    <t>12</t>
  </si>
  <si>
    <t>быть</t>
  </si>
  <si>
    <t>И я понял , тогда ведь не было видео-игр и такого количества спецэффектов в кино , всех этих видеороликов , что мне придётся создавать эти образы у себя в голове .</t>
  </si>
  <si>
    <t>file://conllu/ru/teddy-807.conllu#s12_0</t>
  </si>
  <si>
    <t>13</t>
  </si>
  <si>
    <t>делать</t>
  </si>
  <si>
    <t>В детстве мы все это делали , читая книги и через описание автора представляя что-то на киноэкране в нашей голове .</t>
  </si>
  <si>
    <t>file://conllu/ru/teddy-807.conllu#s13_0</t>
  </si>
  <si>
    <t>14</t>
  </si>
  <si>
    <t>рисовать</t>
  </si>
  <si>
    <t>А я рисовал и писал картины , изображал инопланетных существ , инопланетные миры , роботов , космические корабли и всё такое .</t>
  </si>
  <si>
    <t>file://conllu/ru/teddy-807.conllu#s14_0</t>
  </si>
  <si>
    <t>15</t>
  </si>
  <si>
    <t>ругать</t>
  </si>
  <si>
    <t>Меня постоянно ругали на уроках математики за то , что я рисовал , прикрываясь учебником .</t>
  </si>
  <si>
    <t>file://conllu/ru/teddy-807.conllu#s15_0</t>
  </si>
  <si>
    <t>16</t>
  </si>
  <si>
    <t>быть (быть начало)</t>
  </si>
  <si>
    <t>Это было творческое начало , которое должно было как-то проявлять себя .</t>
  </si>
  <si>
    <t>file://conllu/ru/teddy-807.conllu#s16_0</t>
  </si>
  <si>
    <t>17</t>
  </si>
  <si>
    <t>произойти</t>
  </si>
  <si>
    <t>И произошли интересные события , передачи Кусто сильно взволновали меня тем фактом , что неизведанный мир есть прямо здесь — на Земле .</t>
  </si>
  <si>
    <t>file://conllu/ru/teddy-807.conllu#s17_0</t>
  </si>
  <si>
    <t>18</t>
  </si>
  <si>
    <t>Я может быть никогда не попаду в иноземный мир на космическом корабле .</t>
  </si>
  <si>
    <t>file://conllu/ru/teddy-807.conllu#s18_0</t>
  </si>
  <si>
    <t>19</t>
  </si>
  <si>
    <t>Это кажется чертовски маловероятным .</t>
  </si>
  <si>
    <t>file://conllu/ru/teddy-807.conllu#s19_0</t>
  </si>
  <si>
    <t>20</t>
  </si>
  <si>
    <t>Но был мир , в который я мог на самом деле попасть , здесь на Земле , который был настолько насыщенным и экзотичным , насколько я мог только вообразить , читая все эти книги .</t>
  </si>
  <si>
    <t>file://conllu/ru/teddy-807.conllu#s20_0</t>
  </si>
  <si>
    <t>21</t>
  </si>
  <si>
    <t>Итак?</t>
  </si>
  <si>
    <t>решить</t>
  </si>
  <si>
    <t>Итак , я решил стать водолазом , мне тогда было 15 .</t>
  </si>
  <si>
    <t>file://conllu/ru/teddy-807.conllu#s21_0</t>
  </si>
  <si>
    <t>22</t>
  </si>
  <si>
    <t>жить</t>
  </si>
  <si>
    <t>Была лишь одна проблема — я жил в небольшой деревне в Канаде в 600 милях от ближайшего океана .</t>
  </si>
  <si>
    <t>file://conllu/ru/teddy-807.conllu#s22_0</t>
  </si>
  <si>
    <t>23</t>
  </si>
  <si>
    <t>остановить</t>
  </si>
  <si>
    <t>Но меня это не остановило .</t>
  </si>
  <si>
    <t>file://conllu/ru/teddy-807.conllu#s23_0</t>
  </si>
  <si>
    <t>24</t>
  </si>
  <si>
    <t>Пока?</t>
  </si>
  <si>
    <t>донимать</t>
  </si>
  <si>
    <t>Я донимал отца , пока он в конце концов не нашёл курсы водолазов в Буффало , штат Нью-Йорк , по другую сторону границы от нас .</t>
  </si>
  <si>
    <t>file://conllu/ru/teddy-807.conllu#s24_0</t>
  </si>
  <si>
    <t>25</t>
  </si>
  <si>
    <t>пройти</t>
  </si>
  <si>
    <t>И я , вообще говоря , прошёл сертификацию в бассейне в YMCA посреди зимы в Буффало , штат Нью-Йорк .</t>
  </si>
  <si>
    <t>file://conllu/ru/teddy-807.conllu#s25_0</t>
  </si>
  <si>
    <t>26</t>
  </si>
  <si>
    <t>видеть</t>
  </si>
  <si>
    <t>И я не видел океана , настоящего океана ещё два года , пока мы не переехали в Калифорнию .</t>
  </si>
  <si>
    <t>file://conllu/ru/teddy-807.conllu#s26_0</t>
  </si>
  <si>
    <t>27</t>
  </si>
  <si>
    <t>провести</t>
  </si>
  <si>
    <t>С тех пор за прошедшие 40 лет я провёл около 3000 часов под водой , из которых 500 — в батискафах .</t>
  </si>
  <si>
    <t>file://conllu/ru/teddy-807.conllu#s27_0</t>
  </si>
  <si>
    <t>28</t>
  </si>
  <si>
    <t>узнать</t>
  </si>
  <si>
    <t>Я узнал , что глубоководная среда и даже мелководье настолько богаты удивительной жизнью , что мы просто представить себе не можем .</t>
  </si>
  <si>
    <t>file://conllu/ru/teddy-807.conllu#s28_0</t>
  </si>
  <si>
    <t>29</t>
  </si>
  <si>
    <t>безгранично</t>
  </si>
  <si>
    <t>Воображение природы безгранично по сравнению с нашим скудным человеческим воображением .</t>
  </si>
  <si>
    <t>file://conllu/ru/teddy-807.conllu#s29_0</t>
  </si>
  <si>
    <t>30</t>
  </si>
  <si>
    <t>испытывать</t>
  </si>
  <si>
    <t>Я до сих пор испытываю трепет от того , что я вижу во время погружений .</t>
  </si>
  <si>
    <t>file://conllu/ru/teddy-807.conllu#s30_0</t>
  </si>
  <si>
    <t>31</t>
  </si>
  <si>
    <t>продолжаться</t>
  </si>
  <si>
    <t>И моя любовь к океану продолжается и сильна как никогда .</t>
  </si>
  <si>
    <t>file://conllu/ru/teddy-807.conllu#s31_0</t>
  </si>
  <si>
    <t>32</t>
  </si>
  <si>
    <t>выбрать</t>
  </si>
  <si>
    <t>Но , когда я выбирал карьеру , как взрослый человек , я выбрал киноиндустрию .</t>
  </si>
  <si>
    <t>file://conllu/ru/teddy-807.conllu#s32_0</t>
  </si>
  <si>
    <t>33</t>
  </si>
  <si>
    <t>способ</t>
  </si>
  <si>
    <t>Казалось , это лучший способ совместить мою тягу к рассказыванию историй с тягой к созданию образов .</t>
  </si>
  <si>
    <t>file://conllu/ru/teddy-807.conllu#s33_0</t>
  </si>
  <si>
    <t>34</t>
  </si>
  <si>
    <t>И я , будучи ребёнком , постоянно рисовал комиксы и т. п .</t>
  </si>
  <si>
    <t>file://conllu/ru/teddy-807.conllu#s34_0</t>
  </si>
  <si>
    <t>35</t>
  </si>
  <si>
    <t>давать</t>
  </si>
  <si>
    <t>Итак , кино давало возможность соединить изображения и истории вместе .</t>
  </si>
  <si>
    <t>file://conllu/ru/teddy-807.conllu#s35_0</t>
  </si>
  <si>
    <t>36</t>
  </si>
  <si>
    <t>быть (быть смысл)</t>
  </si>
  <si>
    <t>И в этом был смысл .</t>
  </si>
  <si>
    <t>file://conllu/ru/teddy-807.conllu#s36_0</t>
  </si>
  <si>
    <t>37</t>
  </si>
  <si>
    <t>быть (быть фантастический)</t>
  </si>
  <si>
    <t>Конечно же , истории , которые я выбирал , были научно- фантастическими : «Терминатор» , «Чужие» , «Бездна» .</t>
  </si>
  <si>
    <t>file://conllu/ru/teddy-807.conllu#s37_0</t>
  </si>
  <si>
    <t>38</t>
  </si>
  <si>
    <t>соединить</t>
  </si>
  <si>
    <t>В «Бездне» соединились моя любовь к подводным погружениям и кинематограф .</t>
  </si>
  <si>
    <t>file://conllu/ru/teddy-807.conllu#s38_0</t>
  </si>
  <si>
    <t>39</t>
  </si>
  <si>
    <t>слиться</t>
  </si>
  <si>
    <t>Ну , вы знаете , слились две страсти .</t>
  </si>
  <si>
    <t>file://conllu/ru/teddy-807.conllu#s39_0</t>
  </si>
  <si>
    <t>40</t>
  </si>
  <si>
    <t>появиться</t>
  </si>
  <si>
    <t>Кое-что интересное появилось из «Бездны» .</t>
  </si>
  <si>
    <t>file://conllu/ru/teddy-807.conllu#s40_0</t>
  </si>
  <si>
    <t>41</t>
  </si>
  <si>
    <t>быть (быть нужный)</t>
  </si>
  <si>
    <t>Нужно было решить специфическую сюжетную задачу в этом фильме — создать такое существо из жидкой воды .</t>
  </si>
  <si>
    <t>file://conllu/ru/teddy-807.conllu#s41_0</t>
  </si>
  <si>
    <t>42</t>
  </si>
  <si>
    <t>выжать</t>
  </si>
  <si>
    <t>Мы выжали всё , что возможно , из компьютерной анимации .</t>
  </si>
  <si>
    <t>file://conllu/ru/teddy-807.conllu#s42_0</t>
  </si>
  <si>
    <t>43</t>
  </si>
  <si>
    <t>получиться</t>
  </si>
  <si>
    <t>И в результате получился первый персонаж с гибкой поверхностью , компьютерная анимация , которой никогда раньше не было в кино .</t>
  </si>
  <si>
    <t>file://conllu/ru/teddy-807.conllu#s43_0</t>
  </si>
  <si>
    <t>44</t>
  </si>
  <si>
    <t>принести</t>
  </si>
  <si>
    <t>И несмотря на это , фильм не принёс никакой прибыли , с трудом окупился , я бы сказал .</t>
  </si>
  <si>
    <t>file://conllu/ru/teddy-807.conllu#s44_0</t>
  </si>
  <si>
    <t>45</t>
  </si>
  <si>
    <t>наблюдать</t>
  </si>
  <si>
    <t>Я наблюдал нечто невероятное — реакцию зрителей .</t>
  </si>
  <si>
    <t>file://conllu/ru/teddy-807.conllu#s45_0</t>
  </si>
  <si>
    <t>46</t>
  </si>
  <si>
    <t>загипнотизировать</t>
  </si>
  <si>
    <t>Зрители всех стран были загипнотизированы увиденной магией .</t>
  </si>
  <si>
    <t>file://conllu/ru/teddy-807.conllu#s46_0</t>
  </si>
  <si>
    <t>47</t>
  </si>
  <si>
    <t>знать</t>
  </si>
  <si>
    <t>Знаете , закон Артура Кларка — любая достаточно продвинутая технология неотличима от магии .</t>
  </si>
  <si>
    <t>file://conllu/ru/teddy-807.conllu#s47_0</t>
  </si>
  <si>
    <t>48</t>
  </si>
  <si>
    <t>Они видели нечто волшебное .</t>
  </si>
  <si>
    <t>file://conllu/ru/teddy-807.conllu#s48_0</t>
  </si>
  <si>
    <t>49</t>
  </si>
  <si>
    <t>вдохновить</t>
  </si>
  <si>
    <t>И меня это сильно вдохновило .</t>
  </si>
  <si>
    <t>file://conllu/ru/teddy-807.conllu#s49_0</t>
  </si>
  <si>
    <t>50</t>
  </si>
  <si>
    <t>подумать</t>
  </si>
  <si>
    <t>И я подумал : «Ух ты , вот то , что нужно привнести в кинематографическое искусство» .</t>
  </si>
  <si>
    <t>file://conllu/ru/teddy-807.conllu#s50_0</t>
  </si>
  <si>
    <t>51</t>
  </si>
  <si>
    <t>пойти</t>
  </si>
  <si>
    <t>В «Терминаторе 2» , который был моим следующим фильмом , мы пошли гораздо дальше .</t>
  </si>
  <si>
    <t>file://conllu/ru/teddy-807.conllu#s51_0</t>
  </si>
  <si>
    <t>52</t>
  </si>
  <si>
    <t>создать</t>
  </si>
  <si>
    <t>Работая с ILM , мы создали чувака из жидкого металла .</t>
  </si>
  <si>
    <t>file://conllu/ru/teddy-807.conllu#s52_0</t>
  </si>
  <si>
    <t>53</t>
  </si>
  <si>
    <t>зависеть</t>
  </si>
  <si>
    <t>Успех фильма зависел от того , сработает ли этот эффект .</t>
  </si>
  <si>
    <t>file://conllu/ru/teddy-807.conllu#s53_0</t>
  </si>
  <si>
    <t>54</t>
  </si>
  <si>
    <t>сработать</t>
  </si>
  <si>
    <t>И он сработал .</t>
  </si>
  <si>
    <t>file://conllu/ru/teddy-807.conllu#s54_0</t>
  </si>
  <si>
    <t>55</t>
  </si>
  <si>
    <t>Мы снова создали магию .</t>
  </si>
  <si>
    <t>file://conllu/ru/teddy-807.conllu#s55_0</t>
  </si>
  <si>
    <t>56</t>
  </si>
  <si>
    <t>быть (быть тот)</t>
  </si>
  <si>
    <t>Реакция зрителей была той же самой .</t>
  </si>
  <si>
    <t>file://conllu/ru/teddy-807.conllu#s56_0</t>
  </si>
  <si>
    <t>57</t>
  </si>
  <si>
    <t>заработать</t>
  </si>
  <si>
    <t>Да и денег в этот раз заработали немного побольше .</t>
  </si>
  <si>
    <t>file://conllu/ru/teddy-807.conllu#s57_0</t>
  </si>
  <si>
    <t>58</t>
  </si>
  <si>
    <t>прийти</t>
  </si>
  <si>
    <t>Итак , соединив опыт этих двух проектов , я пришёл к тому , что это будет новый мир , новый мир творчества для кино-художников .</t>
  </si>
  <si>
    <t>file://conllu/ru/teddy-807.conllu#s58_0</t>
  </si>
  <si>
    <t>59</t>
  </si>
  <si>
    <t>Вместе?</t>
  </si>
  <si>
    <t>основать</t>
  </si>
  <si>
    <t>Я основал компанию вместе со Стэном Уинстоном , моим хорошим другом Стэном Уинстоном , который был ведущим дизайнером персонажей в то время , и компания называлась Digital Domain .</t>
  </si>
  <si>
    <t>file://conllu/ru/teddy-807.conllu#s59_0</t>
  </si>
  <si>
    <t>60</t>
  </si>
  <si>
    <t>состоять</t>
  </si>
  <si>
    <t>Цель компании состояла в том , чтобы оставить позади аналоговую обработку видео и т. п. и сразу перейти к цифровой обработке .</t>
  </si>
  <si>
    <t>file://conllu/ru/teddy-807.conllu#s60_0</t>
  </si>
  <si>
    <t>61</t>
  </si>
  <si>
    <t>И мы действительно сделали это , что дало нам конкурентное преимущество на некоторое время .</t>
  </si>
  <si>
    <t>file://conllu/ru/teddy-807.conllu#s61_0</t>
  </si>
  <si>
    <t>62</t>
  </si>
  <si>
    <t>стать</t>
  </si>
  <si>
    <t>Но в середине 90-х мы стали отставать в создании существ и персонажей , ради которого мы , собственно , и основали компанию .</t>
  </si>
  <si>
    <t>file://conllu/ru/teddy-807.conllu#s62_0</t>
  </si>
  <si>
    <t>63</t>
  </si>
  <si>
    <t>писать</t>
  </si>
  <si>
    <t>И я написал этот набросок под названием «Аватар» , который должен был выйти за рамки визуальных эффектов , компьютерной графики с реалистичными человеческими эмоциями у персонажей , созданными компьютерной графикой .</t>
  </si>
  <si>
    <t>file://conllu/ru/teddy-807.conllu#s63_0</t>
  </si>
  <si>
    <t>64</t>
  </si>
  <si>
    <t>быть (быть должен)</t>
  </si>
  <si>
    <t>И главные герои должны были быть компьютерными .</t>
  </si>
  <si>
    <t>file://conllu/ru/teddy-807.conllu#s64_0</t>
  </si>
  <si>
    <t>65</t>
  </si>
  <si>
    <t>И мир должен был быть компьютерным .</t>
  </si>
  <si>
    <t>file://conllu/ru/teddy-807.conllu#s65_0</t>
  </si>
  <si>
    <t>66</t>
  </si>
  <si>
    <t>сопротивляться</t>
  </si>
  <si>
    <t>Но технологии сопротивлялись .</t>
  </si>
  <si>
    <t>file://conllu/ru/teddy-807.conllu#s66_0</t>
  </si>
  <si>
    <t>67</t>
  </si>
  <si>
    <t>сказать</t>
  </si>
  <si>
    <t>Ребята из моей компании сказали мне , что пока мы не сможем это реализовать .</t>
  </si>
  <si>
    <t>file://conllu/ru/teddy-807.conllu#s67_0</t>
  </si>
  <si>
    <t>68</t>
  </si>
  <si>
    <t>отложить</t>
  </si>
  <si>
    <t>Я отложил его на полку и сделал другой фильм про большой корабль , который тонет .</t>
  </si>
  <si>
    <t>file://conllu/ru/teddy-807.conllu#s68_0</t>
  </si>
  <si>
    <t>69</t>
  </si>
  <si>
    <t>представить</t>
  </si>
  <si>
    <t>( Смех ) Знаете , я его представил студии как «Ромео и Джульетта на корабле» .</t>
  </si>
  <si>
    <t>file://conllu/ru/teddy-807.conllu#s69_0</t>
  </si>
  <si>
    <t>70</t>
  </si>
  <si>
    <t>быть (быть история)</t>
  </si>
  <si>
    <t>Это будет такая эпическая романтическая история , страстный фильм .</t>
  </si>
  <si>
    <t>file://conllu/ru/teddy-807.conllu#s70_0</t>
  </si>
  <si>
    <t>71</t>
  </si>
  <si>
    <t>хотеть</t>
  </si>
  <si>
    <t>По секрету , что я хотел сделать — я хотел погрузиться к настоящим обломкам «Титаника» .</t>
  </si>
  <si>
    <t>file://conllu/ru/teddy-807.conllu#s71_0</t>
  </si>
  <si>
    <t>72</t>
  </si>
  <si>
    <t>снять</t>
  </si>
  <si>
    <t>И поэтому я снял этот фильм .</t>
  </si>
  <si>
    <t>file://conllu/ru/teddy-807.conllu#s72_0</t>
  </si>
  <si>
    <t>73</t>
  </si>
  <si>
    <t>аплодисменты</t>
  </si>
  <si>
    <t>( Аплодисменты ) И это правда .</t>
  </si>
  <si>
    <t>file://conllu/ru/teddy-807.conllu#s73_0</t>
  </si>
  <si>
    <t>74</t>
  </si>
  <si>
    <t>Но студия этого не знала .</t>
  </si>
  <si>
    <t>file://conllu/ru/teddy-807.conllu#s74_0</t>
  </si>
  <si>
    <t>75</t>
  </si>
  <si>
    <t>убедить</t>
  </si>
  <si>
    <t>Но я их убедил .</t>
  </si>
  <si>
    <t>file://conllu/ru/teddy-807.conllu#s75_0</t>
  </si>
  <si>
    <t>76</t>
  </si>
  <si>
    <t>Я сказал : «Мы погрузимся к обломкам .</t>
  </si>
  <si>
    <t>file://conllu/ru/teddy-807.conllu#s76_0</t>
  </si>
  <si>
    <t>77</t>
  </si>
  <si>
    <t>Снинять</t>
  </si>
  <si>
    <t>Снимем их в живую .</t>
  </si>
  <si>
    <t>file://conllu/ru/teddy-807.conllu#s77_0</t>
  </si>
  <si>
    <t>78</t>
  </si>
  <si>
    <t>использовать</t>
  </si>
  <si>
    <t>Используем это как вступление к фильму .</t>
  </si>
  <si>
    <t>file://conllu/ru/teddy-807.conllu#s78_0</t>
  </si>
  <si>
    <t>79</t>
  </si>
  <si>
    <t>важный</t>
  </si>
  <si>
    <t>Это важно .</t>
  </si>
  <si>
    <t>file://conllu/ru/teddy-807.conllu#s79_0</t>
  </si>
  <si>
    <t>80</t>
  </si>
  <si>
    <t>быть (быть трюк»)</t>
  </si>
  <si>
    <t>Это будет отличный маркетинговый трюк» .</t>
  </si>
  <si>
    <t>file://conllu/ru/teddy-807.conllu#s80_0</t>
  </si>
  <si>
    <t>81</t>
  </si>
  <si>
    <t>заставить</t>
  </si>
  <si>
    <t>И я их заставил оплатить экспедицию .</t>
  </si>
  <si>
    <t>file://conllu/ru/teddy-807.conllu#s81_0</t>
  </si>
  <si>
    <t>82</t>
  </si>
  <si>
    <t>невероятный</t>
  </si>
  <si>
    <t>Невероятно , но возвращаясь к тому , что ваше воображение создаёт реальность , мы вообще говоря создали реальность , в которой через 6 месяцев я был в русском батискафе в двух с половиной милях под водой северной Атлантики , смотрел на настоящий Титаник через иллюминатор , не в кино , не в HD , по-настоящему .</t>
  </si>
  <si>
    <t>file://conllu/ru/teddy-807.conllu#s82_0</t>
  </si>
  <si>
    <t>83</t>
  </si>
  <si>
    <t>потрясти</t>
  </si>
  <si>
    <t>Вот это меня потрясло .</t>
  </si>
  <si>
    <t>file://conllu/ru/teddy-807.conllu#s83_0</t>
  </si>
  <si>
    <t>84</t>
  </si>
  <si>
    <t>требоваться</t>
  </si>
  <si>
    <t>Потребовалась серьёзная подготовка , нужно было собрать камеры , освещение и прочие штуки .</t>
  </si>
  <si>
    <t>file://conllu/ru/teddy-807.conllu#s84_0</t>
  </si>
  <si>
    <t>85</t>
  </si>
  <si>
    <t>осенить</t>
  </si>
  <si>
    <t>И меня осенило — насколько эти погружения , глубоководные погружения , были похожи на космические миссии .</t>
  </si>
  <si>
    <t>file://conllu/ru/teddy-807.conllu#s85_0</t>
  </si>
  <si>
    <t>86</t>
  </si>
  <si>
    <t>Знаете , такие же высокотехнологичные и требующие серьёзного планирования .</t>
  </si>
  <si>
    <t>file://conllu/ru/teddy-807.conllu#s86_0</t>
  </si>
  <si>
    <t>87</t>
  </si>
  <si>
    <t>забираться</t>
  </si>
  <si>
    <t>Ты забираешься в капсулу , спускаешься в эту тёмную враждебную среду , откуда тебя не спасут , если сам не сможешь всплыть .</t>
  </si>
  <si>
    <t>file://conllu/ru/teddy-807.conllu#s87_0</t>
  </si>
  <si>
    <t>88</t>
  </si>
  <si>
    <t>И я подумал : «Ух ты !</t>
  </si>
  <si>
    <t>file://conllu/ru/teddy-807.conllu#s88_0</t>
  </si>
  <si>
    <t>89</t>
  </si>
  <si>
    <t>Я как будто живу в научно-фантастическом фильме .</t>
  </si>
  <si>
    <t>file://conllu/ru/teddy-807.conllu#s89_0</t>
  </si>
  <si>
    <t>90</t>
  </si>
  <si>
    <t>круто»</t>
  </si>
  <si>
    <t>Как же это круто» .</t>
  </si>
  <si>
    <t>file://conllu/ru/teddy-807.conllu#s90_0</t>
  </si>
  <si>
    <t>91</t>
  </si>
  <si>
    <t>«заболел»</t>
  </si>
  <si>
    <t>И так я по-настоящему «заболел» глубоководными погружениями .</t>
  </si>
  <si>
    <t>file://conllu/ru/teddy-807.conllu#s91_0</t>
  </si>
  <si>
    <t>92</t>
  </si>
  <si>
    <t>это</t>
  </si>
  <si>
    <t>Конечно , любопытство , элементы науки во всём этом .</t>
  </si>
  <si>
    <t>file://conllu/ru/teddy-807.conllu#s92_0</t>
  </si>
  <si>
    <t>93</t>
  </si>
  <si>
    <t>быть (быть все)</t>
  </si>
  <si>
    <t>Это было всем .</t>
  </si>
  <si>
    <t>file://conllu/ru/teddy-807.conllu#s93_0</t>
  </si>
  <si>
    <t>94</t>
  </si>
  <si>
    <t>быть (быть приключение)</t>
  </si>
  <si>
    <t>Это было приключение , это было любопытство , это было воображение .</t>
  </si>
  <si>
    <t>file://conllu/ru/teddy-807.conllu#s94_0</t>
  </si>
  <si>
    <t>95</t>
  </si>
  <si>
    <t>быть (быть опыт)</t>
  </si>
  <si>
    <t>И это был опыт , который Голливуд не смог бы дать мне .</t>
  </si>
  <si>
    <t>file://conllu/ru/teddy-807.conllu#s95_0</t>
  </si>
  <si>
    <t>96</t>
  </si>
  <si>
    <t>Потому?</t>
  </si>
  <si>
    <t>Потому что я мог представить существо и мы могли создать для этого спецэффект .</t>
  </si>
  <si>
    <t>file://conllu/ru/teddy-807.conllu#s96_0</t>
  </si>
  <si>
    <t>97</t>
  </si>
  <si>
    <t>Но я не мог представить то , что я видел из того иллюминатора .</t>
  </si>
  <si>
    <t>file://conllu/ru/teddy-807.conllu#s97_0</t>
  </si>
  <si>
    <t>98</t>
  </si>
  <si>
    <t>видеть (видеть видеть)</t>
  </si>
  <si>
    <t>Во время последующих погружений я видел существ в гидротермальных жерлах , видел то , чего раньше никогда не видел , то , чего не видел раньше никто , что ещё не было описано наукой , когда мы это увидели и засняли .</t>
  </si>
  <si>
    <t>file://conllu/ru/teddy-807.conllu#s98_0</t>
  </si>
  <si>
    <t>99</t>
  </si>
  <si>
    <t>очаровать</t>
  </si>
  <si>
    <t>В общем , я был очарован и хотел большего .</t>
  </si>
  <si>
    <t>file://conllu/ru/teddy-807.conllu#s99_0</t>
  </si>
  <si>
    <t>100</t>
  </si>
  <si>
    <t>принять</t>
  </si>
  <si>
    <t>И я принял довольно любопытное решение .</t>
  </si>
  <si>
    <t>file://conllu/ru/teddy-807.conllu#s100_0</t>
  </si>
  <si>
    <t>101</t>
  </si>
  <si>
    <t>После успеха «Титаника» я сказал : «Хорошо , я пока оставлю свою работу режиссёром в Голливуде и стану полноценным исследователем на некоторое время» .</t>
  </si>
  <si>
    <t>file://conllu/ru/teddy-807.conllu#s101_0</t>
  </si>
  <si>
    <t>102</t>
  </si>
  <si>
    <t>начать</t>
  </si>
  <si>
    <t>И мы начали планировать эти экспедиции .</t>
  </si>
  <si>
    <t>file://conllu/ru/teddy-807.conllu#s102_0</t>
  </si>
  <si>
    <t>103</t>
  </si>
  <si>
    <t>погружаться</t>
  </si>
  <si>
    <t>И мы погружались к «Бисмарку» , исследовали его с помощью роботов .</t>
  </si>
  <si>
    <t>file://conllu/ru/teddy-807.conllu#s103_0</t>
  </si>
  <si>
    <t>104</t>
  </si>
  <si>
    <t>вернуться</t>
  </si>
  <si>
    <t>Мы вернулись к обломкам «Титаника» .</t>
  </si>
  <si>
    <t>file://conllu/ru/teddy-807.conllu#s104_0</t>
  </si>
  <si>
    <t>105</t>
  </si>
  <si>
    <t>брать</t>
  </si>
  <si>
    <t>Мы взяли созданных нами небольших роботов , которые тянут за собой оптоволокно .</t>
  </si>
  <si>
    <t>file://conllu/ru/teddy-807.conllu#s105_0</t>
  </si>
  <si>
    <t>106</t>
  </si>
  <si>
    <t>заключаться</t>
  </si>
  <si>
    <t>Идея заключалась в том , чтобы обследовать интерьер корабля , чего раньше никто не делал .</t>
  </si>
  <si>
    <t>file://conllu/ru/teddy-807.conllu#s106_0</t>
  </si>
  <si>
    <t>107</t>
  </si>
  <si>
    <t>заглядывать</t>
  </si>
  <si>
    <t>Ранее никто даже не заглядывал внутрь обломков .</t>
  </si>
  <si>
    <t>file://conllu/ru/teddy-807.conllu#s107_0</t>
  </si>
  <si>
    <t>108</t>
  </si>
  <si>
    <t>У них не было технологии для этого , а мы такую технологию создали .</t>
  </si>
  <si>
    <t>file://conllu/ru/teddy-807.conllu#s108_0</t>
  </si>
  <si>
    <t>109</t>
  </si>
  <si>
    <t>сидеть</t>
  </si>
  <si>
    <t>Итак , вот он я , на палубе «Титаника» , сижу в батискафе и смотрю на вот почти такой же пол в том месте , где играл оркестр .</t>
  </si>
  <si>
    <t>file://conllu/ru/teddy-807.conllu#s109_0</t>
  </si>
  <si>
    <t>110</t>
  </si>
  <si>
    <t>управлять</t>
  </si>
  <si>
    <t>И я управляю полётом маленького робота по коридорам корабля .</t>
  </si>
  <si>
    <t>file://conllu/ru/teddy-807.conllu#s110_0</t>
  </si>
  <si>
    <t>111</t>
  </si>
  <si>
    <t>говорить</t>
  </si>
  <si>
    <t>Хотя я говорю «управляю» , но мысленно я внутри робота .</t>
  </si>
  <si>
    <t>file://conllu/ru/teddy-807.conllu#s111_0</t>
  </si>
  <si>
    <t>112</t>
  </si>
  <si>
    <t>чувствовать</t>
  </si>
  <si>
    <t>Я чувствовал своё физическое присутствие внутри обломков «Титаника» .</t>
  </si>
  <si>
    <t>file://conllu/ru/teddy-807.conllu#s112_0</t>
  </si>
  <si>
    <t>113</t>
  </si>
  <si>
    <t>быть (быть ощущение)</t>
  </si>
  <si>
    <t>Это было самое сюрреалистическое ощущение дежавю , которое я когда-либо испытывал , потому что я знал перед тем как повернуть за угол , что там будет до того , как прожекторы робота посветят туда , потому что я ходил по макету месяцами , когда мы снимали кино .</t>
  </si>
  <si>
    <t>file://conllu/ru/teddy-807.conllu#s113_0</t>
  </si>
  <si>
    <t>114</t>
  </si>
  <si>
    <t>быть (быть копия)</t>
  </si>
  <si>
    <t>А макет был точной копией , основанной на чертежах корабля .</t>
  </si>
  <si>
    <t>file://conllu/ru/teddy-807.conllu#s114_0</t>
  </si>
  <si>
    <t>115</t>
  </si>
  <si>
    <t>Это были абсолютно непередаваемые ощущения .</t>
  </si>
  <si>
    <t>file://conllu/ru/teddy-807.conllu#s115_0</t>
  </si>
  <si>
    <t>116</t>
  </si>
  <si>
    <t>понять</t>
  </si>
  <si>
    <t>И тогда я понял , что телевизионное присутствие , возможное благодаря этим роботам аватарам , помещает твоё сознание в эту машину , в новую форму существования .</t>
  </si>
  <si>
    <t>file://conllu/ru/teddy-807.conllu#s116_0</t>
  </si>
  <si>
    <t>117</t>
  </si>
  <si>
    <t>Это были действительно глубокие ощущения .</t>
  </si>
  <si>
    <t>file://conllu/ru/teddy-807.conllu#s117_0</t>
  </si>
  <si>
    <t>118</t>
  </si>
  <si>
    <t>проблеск</t>
  </si>
  <si>
    <t>И , наверное , небольшой проблеск того , что будет происходить через несколько десятилетий , когда у нас появятся кибернетические тела для исследовательских или других целей с разного рода сверхчеловеческими способностями , которые я мог представить , как фанат научной фантастики .</t>
  </si>
  <si>
    <t>file://conllu/ru/teddy-807.conllu#s118_0</t>
  </si>
  <si>
    <t>119</t>
  </si>
  <si>
    <t>Итак , завершив эти экспедиции , я начал по-настоящему ценить то , что там — под водой , например , жерла на глубине океанов , в которых обитают эти невероятные животные .</t>
  </si>
  <si>
    <t>file://conllu/ru/teddy-807.conllu#s119_0</t>
  </si>
  <si>
    <t>120</t>
  </si>
  <si>
    <t>пришелец</t>
  </si>
  <si>
    <t>Они практически пришельцы здесь на Земле .</t>
  </si>
  <si>
    <t>file://conllu/ru/teddy-807.conllu#s120_0</t>
  </si>
  <si>
    <t>121</t>
  </si>
  <si>
    <t>Они живут в среде хемосинтеза .</t>
  </si>
  <si>
    <t>file://conllu/ru/teddy-807.conllu#s121_0</t>
  </si>
  <si>
    <t>122</t>
  </si>
  <si>
    <t>Они не смогут выжить в системе , основанной на солнечном свете , как у нас .</t>
  </si>
  <si>
    <t>file://conllu/ru/teddy-807.conllu#s122_0</t>
  </si>
  <si>
    <t>123</t>
  </si>
  <si>
    <t>видеть (видеть думать)</t>
  </si>
  <si>
    <t>Когда видишь животных , обитающих рядом со струями воды температурой 500 градусов по Цельсию , думаешь , что они просто не могут существовать .</t>
  </si>
  <si>
    <t>file://conllu/ru/teddy-807.conllu#s123_0</t>
  </si>
  <si>
    <t>124</t>
  </si>
  <si>
    <t>В то же время я начал интересоваться космическими исследованиями , также под влиянием научной фантастики из детства .</t>
  </si>
  <si>
    <t>file://conllu/ru/teddy-807.conllu#s124_0</t>
  </si>
  <si>
    <t>125</t>
  </si>
  <si>
    <t>И я начал вовлекаться в космическое сообщество , вовлекаться в работу с НАСА , заседать в консультационном совете НАСА , планировать настоящие космические миссии , ездить в Россию на медицинскую проверку космонавтов и прочие такие вещи , чтобы по-настоящему слетать на МКС с нашей системой 3D камер .</t>
  </si>
  <si>
    <t>file://conllu/ru/teddy-807.conllu#s125_0</t>
  </si>
  <si>
    <t>126</t>
  </si>
  <si>
    <t>быть (быть увлекательный)</t>
  </si>
  <si>
    <t>Это было увлекательно .</t>
  </si>
  <si>
    <t>file://conllu/ru/teddy-807.conllu#s126_0</t>
  </si>
  <si>
    <t>127</t>
  </si>
  <si>
    <t>Но в итоге я стал брать космических специалистов в наши погружения .</t>
  </si>
  <si>
    <t>file://conllu/ru/teddy-807.conllu#s127_0</t>
  </si>
  <si>
    <t>128</t>
  </si>
  <si>
    <t>спускать</t>
  </si>
  <si>
    <t>И спускать их вниз , чтобы они имели доступ , астробиологи , исследователи планет , люди , интересующиеся такими экстремальными средами , спускать их вниз к жерлам , чтобы они это увидели , собрали образцы , протестировали оборудование и т. п .</t>
  </si>
  <si>
    <t>file://conllu/ru/teddy-807.conllu#s128_0</t>
  </si>
  <si>
    <t>129</t>
  </si>
  <si>
    <t>снимать</t>
  </si>
  <si>
    <t>В общем мы снимали документальные фильмы , но в действительности занимались наукой , вообще говоря , космической наукой .</t>
  </si>
  <si>
    <t>file://conllu/ru/teddy-807.conllu#s129_0</t>
  </si>
  <si>
    <t>130</t>
  </si>
  <si>
    <t>замкнуть</t>
  </si>
  <si>
    <t>И я полностью замкнул этот круг между увлечением научной фантастикой в детстве и настоящей наукой .</t>
  </si>
  <si>
    <t>file://conllu/ru/teddy-807.conllu#s130_0</t>
  </si>
  <si>
    <t>131</t>
  </si>
  <si>
    <t>И знаете , во время этого исследовательского путешествия я многое узнал .</t>
  </si>
  <si>
    <t>file://conllu/ru/teddy-807.conllu#s131_0</t>
  </si>
  <si>
    <t>132</t>
  </si>
  <si>
    <t>Я многое узнал о науке , но также я узнал многое о лидерстве .</t>
  </si>
  <si>
    <t>file://conllu/ru/teddy-807.conllu#s132_0</t>
  </si>
  <si>
    <t>133</t>
  </si>
  <si>
    <t>должен</t>
  </si>
  <si>
    <t>Вы думаете — режиссёр должен быть лидером , капитаном корабля и всё такое прочее .</t>
  </si>
  <si>
    <t>file://conllu/ru/teddy-807.conllu#s133_0</t>
  </si>
  <si>
    <t>134</t>
  </si>
  <si>
    <t>Я в действительности ничего не знал о лидерстве пока не совершил эти экспедиции .</t>
  </si>
  <si>
    <t>file://conllu/ru/teddy-807.conllu#s134_0</t>
  </si>
  <si>
    <t>135</t>
  </si>
  <si>
    <t>прийтись</t>
  </si>
  <si>
    <t>Потому что в определённый момент мне пришлось спросить себя : «Что я здесь делаю ?</t>
  </si>
  <si>
    <t>file://conllu/ru/teddy-807.conllu#s135_0</t>
  </si>
  <si>
    <t>136</t>
  </si>
  <si>
    <t>Зачем я это делаю ?</t>
  </si>
  <si>
    <t>file://conllu/ru/teddy-807.conllu#s136_0</t>
  </si>
  <si>
    <t>137</t>
  </si>
  <si>
    <t>зарабатывать</t>
  </si>
  <si>
    <t>Что я из этого получу? » Мы не зарабатываем на этих проклятых съёмках .</t>
  </si>
  <si>
    <t>file://conllu/ru/teddy-807.conllu#s137_0</t>
  </si>
  <si>
    <t>138</t>
  </si>
  <si>
    <t>окупаться</t>
  </si>
  <si>
    <t>Они едва окупаются и не приносят славы .</t>
  </si>
  <si>
    <t>file://conllu/ru/teddy-807.conllu#s138_0</t>
  </si>
  <si>
    <t>139</t>
  </si>
  <si>
    <t>думать</t>
  </si>
  <si>
    <t>Люди думали , что я отошёл от дел между «Титаником» и «Аватаром» и валял дурака сидя где-то на пляже .</t>
  </si>
  <si>
    <t>file://conllu/ru/teddy-807.conllu#s139_0</t>
  </si>
  <si>
    <t>140</t>
  </si>
  <si>
    <t>Снимаешь все эти фильмы , эти документальные фильмы для узкой аудитории .</t>
  </si>
  <si>
    <t>file://conllu/ru/teddy-807.conllu#s140_0</t>
  </si>
  <si>
    <t>141</t>
  </si>
  <si>
    <t>слава</t>
  </si>
  <si>
    <t>Без славы , без величия , без денег .</t>
  </si>
  <si>
    <t>file://conllu/ru/teddy-807.conllu#s141_0</t>
  </si>
  <si>
    <t>142</t>
  </si>
  <si>
    <t>Зачем ты это делаешь ?</t>
  </si>
  <si>
    <t>file://conllu/ru/teddy-807.conllu#s142_0</t>
  </si>
  <si>
    <t>143</t>
  </si>
  <si>
    <t>Ты делаешь это ради самого процесса , ради испытания , а океан — самое лучшее место для испытаний , для волнительных открытий и для странной связи , которая возникает , когда небольшая группа людей образует сплочённую команду .</t>
  </si>
  <si>
    <t>file://conllu/ru/teddy-807.conllu#s143_0</t>
  </si>
  <si>
    <t>144</t>
  </si>
  <si>
    <t>работать</t>
  </si>
  <si>
    <t>Потому что мы работали с 10 12 людьми в течение нескольких лет .</t>
  </si>
  <si>
    <t>file://conllu/ru/teddy-807.conllu#s144_0</t>
  </si>
  <si>
    <t>145</t>
  </si>
  <si>
    <t>уходить</t>
  </si>
  <si>
    <t>Иногда уходя в море на 2 3 месяца .</t>
  </si>
  <si>
    <t>file://conllu/ru/teddy-807.conllu#s145_0</t>
  </si>
  <si>
    <t>146</t>
  </si>
  <si>
    <t>понимать</t>
  </si>
  <si>
    <t>И в такой связке ты понимаешь , что самое главное — это уважение , которое ты испытываешь к ним , а они к тебе , и вы сделали работу , которую не сможете объяснить кому-то другому .</t>
  </si>
  <si>
    <t>file://conllu/ru/teddy-807.conllu#s146_0</t>
  </si>
  <si>
    <t>147</t>
  </si>
  <si>
    <t>возвращаться</t>
  </si>
  <si>
    <t>Когда вы возвращаетесь на берег и говорите : «Мы сделали эту штуку и оптоволокно , и затемнение , и то , и это» .</t>
  </si>
  <si>
    <t>file://conllu/ru/teddy-807.conllu#s147_0</t>
  </si>
  <si>
    <t>148</t>
  </si>
  <si>
    <t>технологичность</t>
  </si>
  <si>
    <t>Вся технологичность , сложность человеческой деятельности в море , которую ты не можешь объяснить людям .</t>
  </si>
  <si>
    <t>file://conllu/ru/teddy-807.conllu#s148_0</t>
  </si>
  <si>
    <t>149</t>
  </si>
  <si>
    <t>Примерно тоже есть у копов или бойцов , прошедших через что-то вместе , и они понимаю , что никогда не смогут объяснить этого .</t>
  </si>
  <si>
    <t>file://conllu/ru/teddy-807.conllu#s149_0</t>
  </si>
  <si>
    <t>150</t>
  </si>
  <si>
    <t>Создаваться</t>
  </si>
  <si>
    <t>Создаётся связь , связь , основанная на уважении .</t>
  </si>
  <si>
    <t>file://conllu/ru/teddy-807.conllu#s150_0</t>
  </si>
  <si>
    <t>151</t>
  </si>
  <si>
    <t>пытаться</t>
  </si>
  <si>
    <t>И когда я вернулся , чтобы снять следующий фильм под названием «Аватар» , я попытался применить такой же принцип лидерства , при котором ты уважаешь свою команду и зарабатываешь их ответное уважение .</t>
  </si>
  <si>
    <t>file://conllu/ru/teddy-807.conllu#s151_0</t>
  </si>
  <si>
    <t>152</t>
  </si>
  <si>
    <t>изменить</t>
  </si>
  <si>
    <t>И это действительно изменило процесс .</t>
  </si>
  <si>
    <t>file://conllu/ru/teddy-807.conllu#s152_0</t>
  </si>
  <si>
    <t>153</t>
  </si>
  <si>
    <t>создавать</t>
  </si>
  <si>
    <t>И вот я снова с небольшой командой на неизвестной территории , снимая «Аватар» , создаю новую технологию , которой не было раньше .</t>
  </si>
  <si>
    <t>file://conllu/ru/teddy-807.conllu#s153_0</t>
  </si>
  <si>
    <t>154</t>
  </si>
  <si>
    <t>волнительно</t>
  </si>
  <si>
    <t>Невероятно волнительно .</t>
  </si>
  <si>
    <t>file://conllu/ru/teddy-807.conllu#s154_0</t>
  </si>
  <si>
    <t>155</t>
  </si>
  <si>
    <t>сложный</t>
  </si>
  <si>
    <t>Невероятно сложно .</t>
  </si>
  <si>
    <t>file://conllu/ru/teddy-807.conllu#s155_0</t>
  </si>
  <si>
    <t>156</t>
  </si>
  <si>
    <t>И мы стали семьёй на четыре с половиной года .</t>
  </si>
  <si>
    <t>file://conllu/ru/teddy-807.conllu#s156_0</t>
  </si>
  <si>
    <t>157</t>
  </si>
  <si>
    <t>меняться</t>
  </si>
  <si>
    <t>Мой подход к созданию фильмов поменялся полностью .</t>
  </si>
  <si>
    <t>file://conllu/ru/teddy-807.conllu#s157_0</t>
  </si>
  <si>
    <t>158</t>
  </si>
  <si>
    <t>Люди говорят , что , ну , знаете , я взял этих существ из океана и поместил их на Пандору .</t>
  </si>
  <si>
    <t>file://conllu/ru/teddy-807.conllu#s158_0</t>
  </si>
  <si>
    <t>159</t>
  </si>
  <si>
    <t>быть (быть важный)</t>
  </si>
  <si>
    <t>Но для меня важнее был новый принцип ведения дел , сам процесс , который в результате изменился .</t>
  </si>
  <si>
    <t>file://conllu/ru/teddy-807.conllu#s159_0</t>
  </si>
  <si>
    <t>160</t>
  </si>
  <si>
    <t>Итак , какой мы из этого можем сделать вывод ?</t>
  </si>
  <si>
    <t>file://conllu/ru/teddy-807.conllu#s160_0</t>
  </si>
  <si>
    <t>161</t>
  </si>
  <si>
    <t>извлечь</t>
  </si>
  <si>
    <t>Какие уроки извлечь ?</t>
  </si>
  <si>
    <t>file://conllu/ru/teddy-807.conllu#s161_0</t>
  </si>
  <si>
    <t>162</t>
  </si>
  <si>
    <t>Я думаю , в первую очередь , любопытство .</t>
  </si>
  <si>
    <t>file://conllu/ru/teddy-807.conllu#s162_0</t>
  </si>
  <si>
    <t>163</t>
  </si>
  <si>
    <t>сила</t>
  </si>
  <si>
    <t>Ваша главная сила .</t>
  </si>
  <si>
    <t>file://conllu/ru/teddy-807.conllu#s163_0</t>
  </si>
  <si>
    <t>164</t>
  </si>
  <si>
    <t>воображение</t>
  </si>
  <si>
    <t>Воображение — это сила , способная на самом деле определять реальность .</t>
  </si>
  <si>
    <t>file://conllu/ru/teddy-807.conllu#s164_0</t>
  </si>
  <si>
    <t>165</t>
  </si>
  <si>
    <t>И уважение к своей команде гораздо важнее , чем все лавры в мире .</t>
  </si>
  <si>
    <t>file://conllu/ru/teddy-807.conllu#s165_0</t>
  </si>
  <si>
    <t>166</t>
  </si>
  <si>
    <t>приходить</t>
  </si>
  <si>
    <t>Молодые режиссёры приходят ко мне и просят дать совет .</t>
  </si>
  <si>
    <t>file://conllu/ru/teddy-807.conllu#s166_0</t>
  </si>
  <si>
    <t>167</t>
  </si>
  <si>
    <t>И я говорю : «Не стройте себе барьеров .</t>
  </si>
  <si>
    <t>file://conllu/ru/teddy-807.conllu#s167_0</t>
  </si>
  <si>
    <t>168</t>
  </si>
  <si>
    <t>Другие сделают это за вас , но вы сами не делайте , не играйте против себя .</t>
  </si>
  <si>
    <t>file://conllu/ru/teddy-807.conllu#s168_0</t>
  </si>
  <si>
    <t>169</t>
  </si>
  <si>
    <t>рискуйте»</t>
  </si>
  <si>
    <t>И рискуйте» .</t>
  </si>
  <si>
    <t>file://conllu/ru/teddy-807.conllu#s169_0</t>
  </si>
  <si>
    <t>170</t>
  </si>
  <si>
    <t>один</t>
  </si>
  <si>
    <t>Одна из любимых фраз в НАСА : «Без права на ошибку» .</t>
  </si>
  <si>
    <t>file://conllu/ru/teddy-807.conllu#s170_0</t>
  </si>
  <si>
    <t>171</t>
  </si>
  <si>
    <t>Но право на ошибку должно быть и в искусстве , и в науке , потому что это путь в неизвестность .</t>
  </si>
  <si>
    <t>file://conllu/ru/teddy-807.conllu#s171_0</t>
  </si>
  <si>
    <t>172</t>
  </si>
  <si>
    <t>быть (быть совершёть)</t>
  </si>
  <si>
    <t>И ни один прорыв , требующий инноваций , не был совершён без риска .</t>
  </si>
  <si>
    <t>file://conllu/ru/teddy-807.conllu#s172_0</t>
  </si>
  <si>
    <t>173</t>
  </si>
  <si>
    <t>Вы должны принимать эти риски .</t>
  </si>
  <si>
    <t>file://conllu/ru/teddy-807.conllu#s173_0</t>
  </si>
  <si>
    <t>174</t>
  </si>
  <si>
    <t>сказать (сказать хотеть)</t>
  </si>
  <si>
    <t>В заключение я хочу сказать , что чтобы вы не делали , у вас есть право на ошибку , но не на страх .</t>
  </si>
  <si>
    <t>file://conllu/ru/teddy-807.conllu#s174_0</t>
  </si>
  <si>
    <t>175</t>
  </si>
  <si>
    <t>спасибо</t>
  </si>
  <si>
    <t>Спасибо .</t>
  </si>
  <si>
    <t>file://conllu/ru/teddy-807.conllu#s175_0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</si>
  <si>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</si>
  <si>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</si>
  <si>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</si>
  <si>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</si>
  <si>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</si>
  <si>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</si>
  <si>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</si>
  <si>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</si>
  <si>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</si>
  <si>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</si>
  <si>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</si>
  <si>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Я вырос на научной фантастике.</t>
  </si>
  <si>
    <t>Я</t>
  </si>
  <si>
    <t>SBJ</t>
  </si>
  <si>
    <t>pron</t>
  </si>
  <si>
    <t>?OLD</t>
  </si>
  <si>
    <t>вырос</t>
  </si>
  <si>
    <t>на</t>
  </si>
  <si>
    <t>научной</t>
  </si>
  <si>
    <t>фантастике</t>
  </si>
  <si>
    <t>.</t>
  </si>
  <si>
    <t># text = Я ездил в школу на автобусе по часу в один конец каждый день.</t>
  </si>
  <si>
    <t>ездил</t>
  </si>
  <si>
    <t>в</t>
  </si>
  <si>
    <t>школу</t>
  </si>
  <si>
    <t>автобусе</t>
  </si>
  <si>
    <t>по</t>
  </si>
  <si>
    <t>часу</t>
  </si>
  <si>
    <t>конец</t>
  </si>
  <si>
    <t>other_2</t>
  </si>
  <si>
    <t>indef-np.quant</t>
  </si>
  <si>
    <t>каждый</t>
  </si>
  <si>
    <t>день</t>
  </si>
  <si>
    <t>other</t>
  </si>
  <si>
    <t># text = И всегда был поглощён книгой, научно-фантастической книгой, которая уносила меня в другие миры и удовлетворяла в повествовательной форме моё ненасытное чувство любопытства.</t>
  </si>
  <si>
    <t>И</t>
  </si>
  <si>
    <t>всегда</t>
  </si>
  <si>
    <t>был</t>
  </si>
  <si>
    <t>поглощён</t>
  </si>
  <si>
    <t>книгой</t>
  </si>
  <si>
    <t>,</t>
  </si>
  <si>
    <t>научно</t>
  </si>
  <si>
    <t>фантастической</t>
  </si>
  <si>
    <t>которая</t>
  </si>
  <si>
    <t>SBJ_3</t>
  </si>
  <si>
    <t>pron.pint</t>
  </si>
  <si>
    <t>уносила</t>
  </si>
  <si>
    <t>меня</t>
  </si>
  <si>
    <t>OBJ_3</t>
  </si>
  <si>
    <t>другие</t>
  </si>
  <si>
    <t>миры</t>
  </si>
  <si>
    <t>и</t>
  </si>
  <si>
    <t>удовлетворяла</t>
  </si>
  <si>
    <t>повествовательной</t>
  </si>
  <si>
    <t>форме</t>
  </si>
  <si>
    <t>моё</t>
  </si>
  <si>
    <t>other_5</t>
  </si>
  <si>
    <t>pron.ppos</t>
  </si>
  <si>
    <t>ненасытное</t>
  </si>
  <si>
    <t>чувство</t>
  </si>
  <si>
    <t>OBJ_4</t>
  </si>
  <si>
    <t>любопытства</t>
  </si>
  <si>
    <t># text = И знаете, это любопытство также проявлялось в том, что, когда я не был в школе, я был в лесу, бродил и собирал «образцы»: лягушек, змей, жуков, воду из пруда, — и приносил их домой, чтобы рассмотреть под микроскопом.</t>
  </si>
  <si>
    <t>знаете</t>
  </si>
  <si>
    <t>любопытство</t>
  </si>
  <si>
    <t>def-np.dem</t>
  </si>
  <si>
    <t>также</t>
  </si>
  <si>
    <t>проявлялось</t>
  </si>
  <si>
    <t>том</t>
  </si>
  <si>
    <t>pron.pds</t>
  </si>
  <si>
    <t>что</t>
  </si>
  <si>
    <t>когда</t>
  </si>
  <si>
    <t>я</t>
  </si>
  <si>
    <t>SBJ_4</t>
  </si>
  <si>
    <t>не</t>
  </si>
  <si>
    <t>школе</t>
  </si>
  <si>
    <t>лесу</t>
  </si>
  <si>
    <t>бродил</t>
  </si>
  <si>
    <t>собирал</t>
  </si>
  <si>
    <t>«образцы»</t>
  </si>
  <si>
    <t>:</t>
  </si>
  <si>
    <t>лягушек</t>
  </si>
  <si>
    <t>змей</t>
  </si>
  <si>
    <t>жуков</t>
  </si>
  <si>
    <t>воду</t>
  </si>
  <si>
    <t>из</t>
  </si>
  <si>
    <t>пруда</t>
  </si>
  <si>
    <t>—</t>
  </si>
  <si>
    <t>приносил</t>
  </si>
  <si>
    <t>их</t>
  </si>
  <si>
    <t>OBJ_7</t>
  </si>
  <si>
    <t>домой</t>
  </si>
  <si>
    <t>чтобы</t>
  </si>
  <si>
    <t>рассмотреть</t>
  </si>
  <si>
    <t>под</t>
  </si>
  <si>
    <t>микроскопом</t>
  </si>
  <si>
    <t># text = Знаете, я был просто помешан на науке.</t>
  </si>
  <si>
    <t>Знаете</t>
  </si>
  <si>
    <t>просто</t>
  </si>
  <si>
    <t>помешан</t>
  </si>
  <si>
    <t>науке</t>
  </si>
  <si>
    <t># text = Всё это было для того, чтобы понять этот мир, узнать границы возможного.</t>
  </si>
  <si>
    <t>Всё</t>
  </si>
  <si>
    <t>было</t>
  </si>
  <si>
    <t>для</t>
  </si>
  <si>
    <t>того</t>
  </si>
  <si>
    <t>этот</t>
  </si>
  <si>
    <t>мир</t>
  </si>
  <si>
    <t>OBJ_2</t>
  </si>
  <si>
    <t>границы</t>
  </si>
  <si>
    <t>возможного</t>
  </si>
  <si>
    <t># text = И моя любовь к научной фантастике казалось действительно отражается в окружавшем меня мире, из-за всех тех событий конца 60-х годов, мы собирались на Луну, мы исследовали глубины океанов.</t>
  </si>
  <si>
    <t>моя</t>
  </si>
  <si>
    <t>любовь</t>
  </si>
  <si>
    <t>к</t>
  </si>
  <si>
    <t>казалось</t>
  </si>
  <si>
    <t>действительно</t>
  </si>
  <si>
    <t>отражается</t>
  </si>
  <si>
    <t>окружавшем</t>
  </si>
  <si>
    <t>OBJ_5</t>
  </si>
  <si>
    <t>мире</t>
  </si>
  <si>
    <t>из-за</t>
  </si>
  <si>
    <t>всех</t>
  </si>
  <si>
    <t>тех</t>
  </si>
  <si>
    <t>событий</t>
  </si>
  <si>
    <t>other_3</t>
  </si>
  <si>
    <t>конца</t>
  </si>
  <si>
    <t>60-х</t>
  </si>
  <si>
    <t>годов</t>
  </si>
  <si>
    <t>мы</t>
  </si>
  <si>
    <t>SBJ_2</t>
  </si>
  <si>
    <t>собирались</t>
  </si>
  <si>
    <t>Луну</t>
  </si>
  <si>
    <t>ne</t>
  </si>
  <si>
    <t>исследовали</t>
  </si>
  <si>
    <t>глубины</t>
  </si>
  <si>
    <t>океанов</t>
  </si>
  <si>
    <t># text = Жак-Ив Кусто появлялся в наших гостиных в тех невероятные телепрограммах, показывающих животных, природу, и чудесные миры, которые мы и представить себе не могли.</t>
  </si>
  <si>
    <t>Жак-Ив</t>
  </si>
  <si>
    <t>Кусто</t>
  </si>
  <si>
    <t>появлялся</t>
  </si>
  <si>
    <t>наших</t>
  </si>
  <si>
    <t>гостиных</t>
  </si>
  <si>
    <t>невероятные</t>
  </si>
  <si>
    <t>телепрограммах</t>
  </si>
  <si>
    <t>показывающих</t>
  </si>
  <si>
    <t>животных</t>
  </si>
  <si>
    <t>природу</t>
  </si>
  <si>
    <t>чудесные</t>
  </si>
  <si>
    <t>которые</t>
  </si>
  <si>
    <t>SBJ_5</t>
  </si>
  <si>
    <t>себе</t>
  </si>
  <si>
    <t>могли</t>
  </si>
  <si>
    <t># text = В общем, казалось, что это резонирует со всей этой научной фантастикой.</t>
  </si>
  <si>
    <t>В</t>
  </si>
  <si>
    <t>общем</t>
  </si>
  <si>
    <t>резонирует</t>
  </si>
  <si>
    <t>со</t>
  </si>
  <si>
    <t>всей</t>
  </si>
  <si>
    <t>этой</t>
  </si>
  <si>
    <t>фантастикой</t>
  </si>
  <si>
    <t># text = А я был художником.</t>
  </si>
  <si>
    <t>А</t>
  </si>
  <si>
    <t>художником</t>
  </si>
  <si>
    <t># text = Я мог рисовать и писать картины.</t>
  </si>
  <si>
    <t>мог</t>
  </si>
  <si>
    <t>картины</t>
  </si>
  <si>
    <t># text = И я понял, тогда ведь не было видео-игр и такого количества спецэффектов в кино, всех этих видеороликов, что мне придётся создавать эти образы у себя в голове.</t>
  </si>
  <si>
    <t>понял</t>
  </si>
  <si>
    <t>тогда</t>
  </si>
  <si>
    <t>ведь</t>
  </si>
  <si>
    <t>видео-игр</t>
  </si>
  <si>
    <t>такого</t>
  </si>
  <si>
    <t>количества</t>
  </si>
  <si>
    <t>спецэффектов</t>
  </si>
  <si>
    <t>кино</t>
  </si>
  <si>
    <t>этих</t>
  </si>
  <si>
    <t>видеороликов</t>
  </si>
  <si>
    <t>other_4</t>
  </si>
  <si>
    <t>мне</t>
  </si>
  <si>
    <t>придётся</t>
  </si>
  <si>
    <t>эти</t>
  </si>
  <si>
    <t>образы</t>
  </si>
  <si>
    <t>у</t>
  </si>
  <si>
    <t>себя</t>
  </si>
  <si>
    <t>голове</t>
  </si>
  <si>
    <t># text = В детстве мы все это делали, читая книги и через описание автора представляя что-то на киноэкране в нашей голове.</t>
  </si>
  <si>
    <t>детстве</t>
  </si>
  <si>
    <t>все</t>
  </si>
  <si>
    <t>OBJ</t>
  </si>
  <si>
    <t>делали</t>
  </si>
  <si>
    <t>читая</t>
  </si>
  <si>
    <t>книги</t>
  </si>
  <si>
    <t>через</t>
  </si>
  <si>
    <t>описание</t>
  </si>
  <si>
    <t>автора</t>
  </si>
  <si>
    <t>представляя</t>
  </si>
  <si>
    <t>что-то</t>
  </si>
  <si>
    <t>киноэкране</t>
  </si>
  <si>
    <t>нашей</t>
  </si>
  <si>
    <t># text = А я рисовал и писал картины, изображал инопланетных существ, инопланетные миры, роботов, космические корабли и всё такое.</t>
  </si>
  <si>
    <t>рисовал</t>
  </si>
  <si>
    <t>писал</t>
  </si>
  <si>
    <t>изображал</t>
  </si>
  <si>
    <t>инопланетных</t>
  </si>
  <si>
    <t>существ</t>
  </si>
  <si>
    <t>инопланетные</t>
  </si>
  <si>
    <t>роботов</t>
  </si>
  <si>
    <t>космические</t>
  </si>
  <si>
    <t>корабли</t>
  </si>
  <si>
    <t>всё</t>
  </si>
  <si>
    <t>такое</t>
  </si>
  <si>
    <t># text = Меня постоянно ругали на уроках математики за то, что я рисовал, прикрываясь учебником.</t>
  </si>
  <si>
    <t>Меня</t>
  </si>
  <si>
    <t>постоянно</t>
  </si>
  <si>
    <t>ругали</t>
  </si>
  <si>
    <t>уроках</t>
  </si>
  <si>
    <t>математики</t>
  </si>
  <si>
    <t>за</t>
  </si>
  <si>
    <t>то</t>
  </si>
  <si>
    <t>прикрываясь</t>
  </si>
  <si>
    <t>учебником</t>
  </si>
  <si>
    <t># text = Это было творческое начало, которое должно было как-то проявлять себя.</t>
  </si>
  <si>
    <t>Это</t>
  </si>
  <si>
    <t>творческое</t>
  </si>
  <si>
    <t>начало</t>
  </si>
  <si>
    <t>которое</t>
  </si>
  <si>
    <t>должно</t>
  </si>
  <si>
    <t>как-то</t>
  </si>
  <si>
    <t>проявлять</t>
  </si>
  <si>
    <t># text = И произошли интересные события, передачи Кусто сильно взволновали меня тем фактом, что неизведанный мир есть прямо здесь — на Земле.</t>
  </si>
  <si>
    <t>произошли</t>
  </si>
  <si>
    <t>интересные</t>
  </si>
  <si>
    <t>события</t>
  </si>
  <si>
    <t>передачи</t>
  </si>
  <si>
    <t>сильно</t>
  </si>
  <si>
    <t>взволновали</t>
  </si>
  <si>
    <t>тем</t>
  </si>
  <si>
    <t>фактом</t>
  </si>
  <si>
    <t>неизведанный</t>
  </si>
  <si>
    <t>есть</t>
  </si>
  <si>
    <t>прямо</t>
  </si>
  <si>
    <t>здесь</t>
  </si>
  <si>
    <t>Земле</t>
  </si>
  <si>
    <t># text = Я может быть никогда не попаду в иноземный мир на космическом корабле.</t>
  </si>
  <si>
    <t>может</t>
  </si>
  <si>
    <t>никогда</t>
  </si>
  <si>
    <t>попаду</t>
  </si>
  <si>
    <t>иноземный</t>
  </si>
  <si>
    <t>космическом</t>
  </si>
  <si>
    <t>корабле</t>
  </si>
  <si>
    <t># text = Это кажется чертовски маловероятным.</t>
  </si>
  <si>
    <t>кажется</t>
  </si>
  <si>
    <t>чертовски</t>
  </si>
  <si>
    <t>маловероятным</t>
  </si>
  <si>
    <t># text = Но был мир, в который я мог на самом деле попасть, здесь на Земле, который был настолько насыщенным и экзотичным, насколько я мог только вообразить, читая все эти книги.</t>
  </si>
  <si>
    <t>Но</t>
  </si>
  <si>
    <t>который</t>
  </si>
  <si>
    <t>самом</t>
  </si>
  <si>
    <t>деле</t>
  </si>
  <si>
    <t>попасть</t>
  </si>
  <si>
    <t>SBJ_6</t>
  </si>
  <si>
    <t>настолько</t>
  </si>
  <si>
    <t>насыщенным</t>
  </si>
  <si>
    <t>экзотичным</t>
  </si>
  <si>
    <t>насколько</t>
  </si>
  <si>
    <t>SBJ_8</t>
  </si>
  <si>
    <t>только</t>
  </si>
  <si>
    <t>вообразить</t>
  </si>
  <si>
    <t>OBJ_10</t>
  </si>
  <si>
    <t># text = Итак, я решил стать водолазом, мне тогда было 15.</t>
  </si>
  <si>
    <t>Итак</t>
  </si>
  <si>
    <t>решил</t>
  </si>
  <si>
    <t>водолазом</t>
  </si>
  <si>
    <t># text = Была лишь одна проблема — я жил в небольшой деревне в Канаде в 600 милях от ближайшего океана.</t>
  </si>
  <si>
    <t>Была</t>
  </si>
  <si>
    <t>лишь</t>
  </si>
  <si>
    <t>одна</t>
  </si>
  <si>
    <t>проблема</t>
  </si>
  <si>
    <t>жил</t>
  </si>
  <si>
    <t>небольшой</t>
  </si>
  <si>
    <t>деревне</t>
  </si>
  <si>
    <t>Канаде</t>
  </si>
  <si>
    <t>600</t>
  </si>
  <si>
    <t>милях</t>
  </si>
  <si>
    <t>от</t>
  </si>
  <si>
    <t>ближайшего</t>
  </si>
  <si>
    <t>океана</t>
  </si>
  <si>
    <t># text = Но меня это не остановило.</t>
  </si>
  <si>
    <t>остановило</t>
  </si>
  <si>
    <t># text = Я донимал отца, пока он в конце концов не нашёл курсы водолазов в Буффало, штат Нью-Йорк, по другую сторону границы от нас.</t>
  </si>
  <si>
    <t>донимал</t>
  </si>
  <si>
    <t>отца</t>
  </si>
  <si>
    <t>пока</t>
  </si>
  <si>
    <t>он</t>
  </si>
  <si>
    <t>конце</t>
  </si>
  <si>
    <t>концов</t>
  </si>
  <si>
    <t>нашёл</t>
  </si>
  <si>
    <t>курсы</t>
  </si>
  <si>
    <t>водолазов</t>
  </si>
  <si>
    <t>Буффало</t>
  </si>
  <si>
    <t>штат</t>
  </si>
  <si>
    <t>Нью-Йорк</t>
  </si>
  <si>
    <t>другую</t>
  </si>
  <si>
    <t>сторону</t>
  </si>
  <si>
    <t>def-np.poss</t>
  </si>
  <si>
    <t>нас</t>
  </si>
  <si>
    <t># text = И я, вообще говоря, прошёл сертификацию в бассейне в YMCA посреди зимы в Буффало, штат Нью-Йорк.</t>
  </si>
  <si>
    <t>вообще</t>
  </si>
  <si>
    <t>говоря</t>
  </si>
  <si>
    <t>прошёл</t>
  </si>
  <si>
    <t>сертификацию</t>
  </si>
  <si>
    <t>бассейне</t>
  </si>
  <si>
    <t>YMCA</t>
  </si>
  <si>
    <t>посреди</t>
  </si>
  <si>
    <t>зимы</t>
  </si>
  <si>
    <t># text = И я не видел океана, настоящего океана ещё два года, пока мы не переехали в Калифорнию.</t>
  </si>
  <si>
    <t>видел</t>
  </si>
  <si>
    <t>настоящего</t>
  </si>
  <si>
    <t>ещё</t>
  </si>
  <si>
    <t>два</t>
  </si>
  <si>
    <t>года</t>
  </si>
  <si>
    <t>переехали</t>
  </si>
  <si>
    <t>Калифорнию</t>
  </si>
  <si>
    <t># text = С тех пор за прошедшие 40 лет я провёл около 3000 часов под водой, из которых 500 — в батискафах.</t>
  </si>
  <si>
    <t>С</t>
  </si>
  <si>
    <t>пор</t>
  </si>
  <si>
    <t>прошедшие</t>
  </si>
  <si>
    <t>лет</t>
  </si>
  <si>
    <t>провёл</t>
  </si>
  <si>
    <t>около</t>
  </si>
  <si>
    <t>3000</t>
  </si>
  <si>
    <t>часов</t>
  </si>
  <si>
    <t>водой</t>
  </si>
  <si>
    <t>которых</t>
  </si>
  <si>
    <t>500</t>
  </si>
  <si>
    <t>батискафах</t>
  </si>
  <si>
    <t># text = Я узнал, что глубоководная среда и даже мелководье настолько богаты удивительной жизнью, что мы просто представить себе не можем.</t>
  </si>
  <si>
    <t>узнал</t>
  </si>
  <si>
    <t>глубоководная</t>
  </si>
  <si>
    <t>среда</t>
  </si>
  <si>
    <t>даже</t>
  </si>
  <si>
    <t>мелководье</t>
  </si>
  <si>
    <t>богаты</t>
  </si>
  <si>
    <t>удивительной</t>
  </si>
  <si>
    <t>жизнью</t>
  </si>
  <si>
    <t>можем</t>
  </si>
  <si>
    <t># text = Воображение природы безгранично по сравнению с нашим скудным человеческим воображением.</t>
  </si>
  <si>
    <t>Воображение</t>
  </si>
  <si>
    <t>природы</t>
  </si>
  <si>
    <t>сравнению</t>
  </si>
  <si>
    <t>с</t>
  </si>
  <si>
    <t>нашим</t>
  </si>
  <si>
    <t>скудным</t>
  </si>
  <si>
    <t>человеческим</t>
  </si>
  <si>
    <t>воображением</t>
  </si>
  <si>
    <t># text = Я до сих пор испытываю трепет от того, что я вижу во время погружений.</t>
  </si>
  <si>
    <t>до</t>
  </si>
  <si>
    <t>сих</t>
  </si>
  <si>
    <t>испытываю</t>
  </si>
  <si>
    <t>трепет</t>
  </si>
  <si>
    <t>вижу</t>
  </si>
  <si>
    <t>во</t>
  </si>
  <si>
    <t>время</t>
  </si>
  <si>
    <t>погружений</t>
  </si>
  <si>
    <t># text = И моя любовь к океану продолжается и сильна как никогда.</t>
  </si>
  <si>
    <t>океану</t>
  </si>
  <si>
    <t>продолжается</t>
  </si>
  <si>
    <t>сильна</t>
  </si>
  <si>
    <t>как</t>
  </si>
  <si>
    <t># text = Но, когда я выбирал карьеру, как взрослый человек, я выбрал киноиндустрию.</t>
  </si>
  <si>
    <t>выбирал</t>
  </si>
  <si>
    <t>карьеру</t>
  </si>
  <si>
    <t>взрослый</t>
  </si>
  <si>
    <t>человек</t>
  </si>
  <si>
    <t>выбрал</t>
  </si>
  <si>
    <t>киноиндустрию</t>
  </si>
  <si>
    <t># text = Казалось, это лучший способ совместить мою тягу к рассказыванию историй с тягой к созданию образов.</t>
  </si>
  <si>
    <t>Казалось</t>
  </si>
  <si>
    <t>лучший</t>
  </si>
  <si>
    <t>совместить</t>
  </si>
  <si>
    <t>мою</t>
  </si>
  <si>
    <t>тягу</t>
  </si>
  <si>
    <t>рассказыванию</t>
  </si>
  <si>
    <t>историй</t>
  </si>
  <si>
    <t>тягой</t>
  </si>
  <si>
    <t>созданию</t>
  </si>
  <si>
    <t>образов</t>
  </si>
  <si>
    <t># text = И я, будучи ребёнком, постоянно рисовал комиксы и т. п.</t>
  </si>
  <si>
    <t>будучи</t>
  </si>
  <si>
    <t>ребёнком</t>
  </si>
  <si>
    <t>комиксы</t>
  </si>
  <si>
    <t>т.</t>
  </si>
  <si>
    <t>п</t>
  </si>
  <si>
    <t># text = Итак, кино давало возможность соединить изображения и истории вместе.</t>
  </si>
  <si>
    <t>давало</t>
  </si>
  <si>
    <t>возможность</t>
  </si>
  <si>
    <t>изображения</t>
  </si>
  <si>
    <t>истории</t>
  </si>
  <si>
    <t>вместе</t>
  </si>
  <si>
    <t># text = И в этом был смысл.</t>
  </si>
  <si>
    <t>этом</t>
  </si>
  <si>
    <t>смысл</t>
  </si>
  <si>
    <t># text = Конечно же, истории, которые я выбирал, были научно-фантастическими: «Терминатор», «Чужие», «Бездна».</t>
  </si>
  <si>
    <t>Конечно</t>
  </si>
  <si>
    <t>же</t>
  </si>
  <si>
    <t>были</t>
  </si>
  <si>
    <t>научно-</t>
  </si>
  <si>
    <t>фантастическими</t>
  </si>
  <si>
    <t>«Терминатор»</t>
  </si>
  <si>
    <t>«Чужие»</t>
  </si>
  <si>
    <t>«Бездна»</t>
  </si>
  <si>
    <t># text = В «Бездне» соединились моя любовь к подводным погружениям и кинематограф.</t>
  </si>
  <si>
    <t>«Бездне»</t>
  </si>
  <si>
    <t>соединились</t>
  </si>
  <si>
    <t>подводным</t>
  </si>
  <si>
    <t>погружениям</t>
  </si>
  <si>
    <t>кинематограф</t>
  </si>
  <si>
    <t># text = Ну, вы знаете, слились две страсти.</t>
  </si>
  <si>
    <t>Ну</t>
  </si>
  <si>
    <t>вы</t>
  </si>
  <si>
    <t>слились</t>
  </si>
  <si>
    <t>две</t>
  </si>
  <si>
    <t>страсти</t>
  </si>
  <si>
    <t># text = Кое-что интересное появилось из «Бездны».</t>
  </si>
  <si>
    <t>Кое-что</t>
  </si>
  <si>
    <t>интересное</t>
  </si>
  <si>
    <t>появилось</t>
  </si>
  <si>
    <t>«Бездны»</t>
  </si>
  <si>
    <t># text = Нужно было решить специфическую сюжетную задачу в этом фильме — создать такое существо из жидкой воды.</t>
  </si>
  <si>
    <t>Нужно</t>
  </si>
  <si>
    <t>специфическую</t>
  </si>
  <si>
    <t>сюжетную</t>
  </si>
  <si>
    <t>задачу</t>
  </si>
  <si>
    <t>фильме</t>
  </si>
  <si>
    <t>существо</t>
  </si>
  <si>
    <t>жидкой</t>
  </si>
  <si>
    <t>воды</t>
  </si>
  <si>
    <t># text = Мы выжали всё, что возможно, из компьютерной анимации.</t>
  </si>
  <si>
    <t>Мы</t>
  </si>
  <si>
    <t>выжали</t>
  </si>
  <si>
    <t>возможно</t>
  </si>
  <si>
    <t>компьютерной</t>
  </si>
  <si>
    <t>анимации</t>
  </si>
  <si>
    <t># text = И в результате получился первый персонаж с гибкой поверхностью, компьютерная анимация, которой никогда раньше не было в кино.</t>
  </si>
  <si>
    <t>результате</t>
  </si>
  <si>
    <t>получился</t>
  </si>
  <si>
    <t>первый</t>
  </si>
  <si>
    <t>персонаж</t>
  </si>
  <si>
    <t>гибкой</t>
  </si>
  <si>
    <t>поверхностью</t>
  </si>
  <si>
    <t>компьютерная</t>
  </si>
  <si>
    <t>анимация</t>
  </si>
  <si>
    <t>которой</t>
  </si>
  <si>
    <t>раньше</t>
  </si>
  <si>
    <t># text = И несмотря на это, фильм не принёс никакой прибыли, с трудом окупился, я бы сказал.</t>
  </si>
  <si>
    <t>несмотря</t>
  </si>
  <si>
    <t>фильм</t>
  </si>
  <si>
    <t>принёс</t>
  </si>
  <si>
    <t>никакой</t>
  </si>
  <si>
    <t>прибыли</t>
  </si>
  <si>
    <t>indef-np</t>
  </si>
  <si>
    <t>трудом</t>
  </si>
  <si>
    <t>окупился</t>
  </si>
  <si>
    <t>бы</t>
  </si>
  <si>
    <t>сказал</t>
  </si>
  <si>
    <t># text = Я наблюдал нечто невероятное — реакцию зрителей.</t>
  </si>
  <si>
    <t>наблюдал</t>
  </si>
  <si>
    <t>нечто</t>
  </si>
  <si>
    <t>невероятное</t>
  </si>
  <si>
    <t>реакцию</t>
  </si>
  <si>
    <t>зрителей</t>
  </si>
  <si>
    <t># text = Зрители всех стран были загипнотизированы увиденной магией.</t>
  </si>
  <si>
    <t>Зрители</t>
  </si>
  <si>
    <t>стран</t>
  </si>
  <si>
    <t>загипнотизированы</t>
  </si>
  <si>
    <t>увиденной</t>
  </si>
  <si>
    <t>магией</t>
  </si>
  <si>
    <t># text = Знаете, закон Артура Кларка — любая достаточно продвинутая технология неотличима от магии.</t>
  </si>
  <si>
    <t>закон</t>
  </si>
  <si>
    <t>Артура</t>
  </si>
  <si>
    <t>Кларка</t>
  </si>
  <si>
    <t>любая</t>
  </si>
  <si>
    <t>достаточно</t>
  </si>
  <si>
    <t>продвинутая</t>
  </si>
  <si>
    <t>технология</t>
  </si>
  <si>
    <t>неотличима</t>
  </si>
  <si>
    <t>магии</t>
  </si>
  <si>
    <t># text = Они видели нечто волшебное.</t>
  </si>
  <si>
    <t>Они</t>
  </si>
  <si>
    <t>видели</t>
  </si>
  <si>
    <t>волшебное</t>
  </si>
  <si>
    <t># text = И меня это сильно вдохновило.</t>
  </si>
  <si>
    <t>вдохновило</t>
  </si>
  <si>
    <t># text = И я подумал: «Ух ты, вот то, что нужно привнести в кинематографическое искусство».</t>
  </si>
  <si>
    <t>подумал</t>
  </si>
  <si>
    <t>«Ух</t>
  </si>
  <si>
    <t>ты</t>
  </si>
  <si>
    <t>вот</t>
  </si>
  <si>
    <t>нужно</t>
  </si>
  <si>
    <t>привнести</t>
  </si>
  <si>
    <t>кинематографическое</t>
  </si>
  <si>
    <t>искусство»</t>
  </si>
  <si>
    <t># text = В «Терминаторе 2», который был моим следующим фильмом, мы пошли гораздо дальше.</t>
  </si>
  <si>
    <t>«Терминаторе</t>
  </si>
  <si>
    <t>2»</t>
  </si>
  <si>
    <t>моим</t>
  </si>
  <si>
    <t>следующим</t>
  </si>
  <si>
    <t>фильмом</t>
  </si>
  <si>
    <t>пошли</t>
  </si>
  <si>
    <t>гораздо</t>
  </si>
  <si>
    <t>дальше</t>
  </si>
  <si>
    <t># text = Работая с ILM, мы создали чувака из жидкого металла.</t>
  </si>
  <si>
    <t>Работая</t>
  </si>
  <si>
    <t>ILM</t>
  </si>
  <si>
    <t>создали</t>
  </si>
  <si>
    <t>чувака</t>
  </si>
  <si>
    <t>жидкого</t>
  </si>
  <si>
    <t>металла</t>
  </si>
  <si>
    <t># text = Успех фильма зависел от того, сработает ли этот эффект.</t>
  </si>
  <si>
    <t>Успех</t>
  </si>
  <si>
    <t>фильма</t>
  </si>
  <si>
    <t>зависел</t>
  </si>
  <si>
    <t>сработает</t>
  </si>
  <si>
    <t>ли</t>
  </si>
  <si>
    <t>эффект</t>
  </si>
  <si>
    <t># text = И он сработал.</t>
  </si>
  <si>
    <t>сработал</t>
  </si>
  <si>
    <t># text = Мы снова создали магию.</t>
  </si>
  <si>
    <t>снова</t>
  </si>
  <si>
    <t>магию</t>
  </si>
  <si>
    <t># text = Реакция зрителей была той же самой.</t>
  </si>
  <si>
    <t>Реакция</t>
  </si>
  <si>
    <t>была</t>
  </si>
  <si>
    <t>той</t>
  </si>
  <si>
    <t>самой</t>
  </si>
  <si>
    <t># text = Да и денег в этот раз заработали немного побольше.</t>
  </si>
  <si>
    <t>Да</t>
  </si>
  <si>
    <t>денег</t>
  </si>
  <si>
    <t>раз</t>
  </si>
  <si>
    <t>заработали</t>
  </si>
  <si>
    <t>немного</t>
  </si>
  <si>
    <t>побольше</t>
  </si>
  <si>
    <t># text = Итак, соединив опыт этих двух проектов, я пришёл к тому, что это будет новый мир, новый мир творчества для кино-художников.</t>
  </si>
  <si>
    <t>соединив</t>
  </si>
  <si>
    <t>опыт</t>
  </si>
  <si>
    <t>двух</t>
  </si>
  <si>
    <t>проектов</t>
  </si>
  <si>
    <t>пришёл</t>
  </si>
  <si>
    <t>тому</t>
  </si>
  <si>
    <t>будет</t>
  </si>
  <si>
    <t>новый</t>
  </si>
  <si>
    <t>творчества</t>
  </si>
  <si>
    <t>кино-художников</t>
  </si>
  <si>
    <t># text = Я основал компанию вместе со Стэном Уинстоном, моим хорошим другом Стэном Уинстоном, который был ведущим дизайнером персонажей в то время, и компания называлась Digital Domain.</t>
  </si>
  <si>
    <t>основал</t>
  </si>
  <si>
    <t>компанию</t>
  </si>
  <si>
    <t>Стэном</t>
  </si>
  <si>
    <t>Уинстоном</t>
  </si>
  <si>
    <t>хорошим</t>
  </si>
  <si>
    <t>другом</t>
  </si>
  <si>
    <t>ведущим</t>
  </si>
  <si>
    <t>дизайнером</t>
  </si>
  <si>
    <t>персонажей</t>
  </si>
  <si>
    <t>other_6</t>
  </si>
  <si>
    <t>компания</t>
  </si>
  <si>
    <t>называлась</t>
  </si>
  <si>
    <t>Digital</t>
  </si>
  <si>
    <t>Domain</t>
  </si>
  <si>
    <t># text = Цель компании состояла в том, чтобы оставить позади аналоговую обработку видео и т. п. и сразу перейти к цифровой обработке.</t>
  </si>
  <si>
    <t>Цель</t>
  </si>
  <si>
    <t>компании</t>
  </si>
  <si>
    <t>состояла</t>
  </si>
  <si>
    <t>оставить</t>
  </si>
  <si>
    <t>позади</t>
  </si>
  <si>
    <t>аналоговую</t>
  </si>
  <si>
    <t>обработку</t>
  </si>
  <si>
    <t>видео</t>
  </si>
  <si>
    <t>п.</t>
  </si>
  <si>
    <t>сразу</t>
  </si>
  <si>
    <t>перейти</t>
  </si>
  <si>
    <t>цифровой</t>
  </si>
  <si>
    <t>обработке</t>
  </si>
  <si>
    <t># text = И мы действительно сделали это, что дало нам конкурентное преимущество на некоторое время.</t>
  </si>
  <si>
    <t>сделали</t>
  </si>
  <si>
    <t>дало</t>
  </si>
  <si>
    <t>нам</t>
  </si>
  <si>
    <t>конкурентное</t>
  </si>
  <si>
    <t>преимущество</t>
  </si>
  <si>
    <t>некоторое</t>
  </si>
  <si>
    <t># text = Но в середине 90-х мы стали отставать в создании существ и персонажей, ради которого мы, собственно, и основали компанию.</t>
  </si>
  <si>
    <t>середине</t>
  </si>
  <si>
    <t>90-х</t>
  </si>
  <si>
    <t>стали</t>
  </si>
  <si>
    <t>отставать</t>
  </si>
  <si>
    <t>создании</t>
  </si>
  <si>
    <t>ради</t>
  </si>
  <si>
    <t>которого</t>
  </si>
  <si>
    <t>собственно</t>
  </si>
  <si>
    <t>основали</t>
  </si>
  <si>
    <t>OBJ_6</t>
  </si>
  <si>
    <t># text = И я написал этот набросок под названием «Аватар», который должен был выйти за рамки визуальных эффектов, компьютерной графики с реалистичными человеческими эмоциями у персонажей, созданными компьютерной графикой.</t>
  </si>
  <si>
    <t>написал</t>
  </si>
  <si>
    <t>набросок</t>
  </si>
  <si>
    <t>названием</t>
  </si>
  <si>
    <t>«Аватар»</t>
  </si>
  <si>
    <t>выйти</t>
  </si>
  <si>
    <t>рамки</t>
  </si>
  <si>
    <t>визуальных</t>
  </si>
  <si>
    <t>эффектов</t>
  </si>
  <si>
    <t>графики</t>
  </si>
  <si>
    <t>реалистичными</t>
  </si>
  <si>
    <t>человеческими</t>
  </si>
  <si>
    <t>эмоциями</t>
  </si>
  <si>
    <t>созданными</t>
  </si>
  <si>
    <t>графикой</t>
  </si>
  <si>
    <t># text = И главные герои должны были быть компьютерными.</t>
  </si>
  <si>
    <t>главные</t>
  </si>
  <si>
    <t>герои</t>
  </si>
  <si>
    <t>должны</t>
  </si>
  <si>
    <t>компьютерными</t>
  </si>
  <si>
    <t># text = И мир должен был быть компьютерным.</t>
  </si>
  <si>
    <t>компьютерным</t>
  </si>
  <si>
    <t># text = Но технологии сопротивлялись.</t>
  </si>
  <si>
    <t>технологии</t>
  </si>
  <si>
    <t>сопротивлялись</t>
  </si>
  <si>
    <t># text = Ребята из моей компании сказали мне, что пока мы не сможем это реализовать.</t>
  </si>
  <si>
    <t>Ребята</t>
  </si>
  <si>
    <t>моей</t>
  </si>
  <si>
    <t>сказали</t>
  </si>
  <si>
    <t>сможем</t>
  </si>
  <si>
    <t>реализовать</t>
  </si>
  <si>
    <t># text = Я отложил его на полку и сделал другой фильм про большой корабль, который тонет.</t>
  </si>
  <si>
    <t>отложил</t>
  </si>
  <si>
    <t>его</t>
  </si>
  <si>
    <t>полку</t>
  </si>
  <si>
    <t>сделал</t>
  </si>
  <si>
    <t>другой</t>
  </si>
  <si>
    <t>про</t>
  </si>
  <si>
    <t>большой</t>
  </si>
  <si>
    <t>корабль</t>
  </si>
  <si>
    <t>тонет</t>
  </si>
  <si>
    <t># text = (Смех) Знаете, я его представил студии как «Ромео и Джульетта на корабле».</t>
  </si>
  <si>
    <t>(</t>
  </si>
  <si>
    <t>Смех</t>
  </si>
  <si>
    <t>)</t>
  </si>
  <si>
    <t>представил</t>
  </si>
  <si>
    <t>студии</t>
  </si>
  <si>
    <t>«Ромео</t>
  </si>
  <si>
    <t>Джульетта</t>
  </si>
  <si>
    <t>корабле»</t>
  </si>
  <si>
    <t># text = Это будет такая эпическая романтическая история, страстный фильм.</t>
  </si>
  <si>
    <t>такая</t>
  </si>
  <si>
    <t>эпическая</t>
  </si>
  <si>
    <t>романтическая</t>
  </si>
  <si>
    <t>история</t>
  </si>
  <si>
    <t>страстный</t>
  </si>
  <si>
    <t># text = По секрету, что я хотел сделать — я хотел погрузиться к настоящим обломкам «Титаника».</t>
  </si>
  <si>
    <t>По</t>
  </si>
  <si>
    <t>секрету</t>
  </si>
  <si>
    <t>хотел</t>
  </si>
  <si>
    <t>сделать</t>
  </si>
  <si>
    <t>погрузиться</t>
  </si>
  <si>
    <t>настоящим</t>
  </si>
  <si>
    <t>обломкам</t>
  </si>
  <si>
    <t>«Титаника»</t>
  </si>
  <si>
    <t># text = И поэтому я снял этот фильм.</t>
  </si>
  <si>
    <t>поэтому</t>
  </si>
  <si>
    <t>снял</t>
  </si>
  <si>
    <t># text = (Аплодисменты) И это правда.</t>
  </si>
  <si>
    <t>Аплодисменты</t>
  </si>
  <si>
    <t>правда</t>
  </si>
  <si>
    <t># text = Но студия этого не знала.</t>
  </si>
  <si>
    <t>студия</t>
  </si>
  <si>
    <t>этого</t>
  </si>
  <si>
    <t>знала</t>
  </si>
  <si>
    <t># text = Но я их убедил.</t>
  </si>
  <si>
    <t>убедил</t>
  </si>
  <si>
    <t># text = Я сказал: «Мы погрузимся к обломкам.</t>
  </si>
  <si>
    <t>«Мы</t>
  </si>
  <si>
    <t>погрузимся</t>
  </si>
  <si>
    <t># text = Снимем их в живую.</t>
  </si>
  <si>
    <t>Снимем</t>
  </si>
  <si>
    <t>живую</t>
  </si>
  <si>
    <t># text = Используем это как вступление к фильму.</t>
  </si>
  <si>
    <t>Используем</t>
  </si>
  <si>
    <t>вступление</t>
  </si>
  <si>
    <t>фильму</t>
  </si>
  <si>
    <t># text = Это важно.</t>
  </si>
  <si>
    <t>важно</t>
  </si>
  <si>
    <t># text = Это будет отличный маркетинговый трюк».</t>
  </si>
  <si>
    <t>отличный</t>
  </si>
  <si>
    <t>маркетинговый</t>
  </si>
  <si>
    <t>трюк»</t>
  </si>
  <si>
    <t># text = И я их заставил оплатить экспедицию.</t>
  </si>
  <si>
    <t>заставил</t>
  </si>
  <si>
    <t>оплатить</t>
  </si>
  <si>
    <t>экспедицию</t>
  </si>
  <si>
    <t># text = Невероятно, но возвращаясь к тому, что ваше воображение создаёт реальность, мы вообще говоря создали реальность, в которой через 6 месяцев я был в русском батискафе в двух с половиной милях под водой северной Атлантики, смотрел на настоящий Титаник через иллюминатор, не в кино, не в HD, по-настоящему.</t>
  </si>
  <si>
    <t>Невероятно</t>
  </si>
  <si>
    <t>но</t>
  </si>
  <si>
    <t>возвращаясь</t>
  </si>
  <si>
    <t>ваше</t>
  </si>
  <si>
    <t>создаёт</t>
  </si>
  <si>
    <t>реальность</t>
  </si>
  <si>
    <t>месяцев</t>
  </si>
  <si>
    <t>русском</t>
  </si>
  <si>
    <t>батискафе</t>
  </si>
  <si>
    <t>половиной</t>
  </si>
  <si>
    <t>северной</t>
  </si>
  <si>
    <t>Атлантики</t>
  </si>
  <si>
    <t>смотрел</t>
  </si>
  <si>
    <t>настоящий</t>
  </si>
  <si>
    <t>Титаник</t>
  </si>
  <si>
    <t>иллюминатор</t>
  </si>
  <si>
    <t>HD</t>
  </si>
  <si>
    <t>по-настоящему</t>
  </si>
  <si>
    <t># text = Вот это меня потрясло.</t>
  </si>
  <si>
    <t>Вот</t>
  </si>
  <si>
    <t>потрясло</t>
  </si>
  <si>
    <t># text = Потребовалась серьёзная подготовка, нужно было собрать камеры, освещение и прочие штуки.</t>
  </si>
  <si>
    <t>Потребовалась</t>
  </si>
  <si>
    <t>серьёзная</t>
  </si>
  <si>
    <t>подготовка</t>
  </si>
  <si>
    <t>собрать</t>
  </si>
  <si>
    <t>камеры</t>
  </si>
  <si>
    <t>освещение</t>
  </si>
  <si>
    <t>прочие</t>
  </si>
  <si>
    <t>штуки</t>
  </si>
  <si>
    <t># text = И меня осенило — насколько эти погружения, глубоководные погружения, были похожи на космические миссии.</t>
  </si>
  <si>
    <t>осенило</t>
  </si>
  <si>
    <t>погружения</t>
  </si>
  <si>
    <t>глубоководные</t>
  </si>
  <si>
    <t>похожи</t>
  </si>
  <si>
    <t>миссии</t>
  </si>
  <si>
    <t># text = Знаете, такие же высокотехнологичные и требующие серьёзного планирования.</t>
  </si>
  <si>
    <t>такие</t>
  </si>
  <si>
    <t>высокотехнологичные</t>
  </si>
  <si>
    <t>требующие</t>
  </si>
  <si>
    <t>серьёзного</t>
  </si>
  <si>
    <t>планирования</t>
  </si>
  <si>
    <t># text = Ты забираешься в капсулу, спускаешься в эту тёмную враждебную среду, откуда тебя не спасут, если сам не сможешь всплыть.</t>
  </si>
  <si>
    <t>Ты</t>
  </si>
  <si>
    <t>забираешься</t>
  </si>
  <si>
    <t>капсулу</t>
  </si>
  <si>
    <t>спускаешься</t>
  </si>
  <si>
    <t>эту</t>
  </si>
  <si>
    <t>тёмную</t>
  </si>
  <si>
    <t>враждебную</t>
  </si>
  <si>
    <t>среду</t>
  </si>
  <si>
    <t>откуда</t>
  </si>
  <si>
    <t>тебя</t>
  </si>
  <si>
    <t>спасут</t>
  </si>
  <si>
    <t>если</t>
  </si>
  <si>
    <t>сам</t>
  </si>
  <si>
    <t>сможешь</t>
  </si>
  <si>
    <t>всплыть</t>
  </si>
  <si>
    <t># text = И я подумал: «Ух ты!</t>
  </si>
  <si>
    <t>!</t>
  </si>
  <si>
    <t># text = Я как будто живу в научно-фантастическом фильме.</t>
  </si>
  <si>
    <t>будто</t>
  </si>
  <si>
    <t>живу</t>
  </si>
  <si>
    <t>научно-фантастическом</t>
  </si>
  <si>
    <t># text = Как же это круто».</t>
  </si>
  <si>
    <t>Как</t>
  </si>
  <si>
    <t># text = И так я по-настоящему «заболел» глубоководными погружениями.</t>
  </si>
  <si>
    <t>так</t>
  </si>
  <si>
    <t>глубоководными</t>
  </si>
  <si>
    <t>погружениями</t>
  </si>
  <si>
    <t># text = Конечно, любопытство, элементы науки во всём этом.</t>
  </si>
  <si>
    <t>элементы</t>
  </si>
  <si>
    <t>науки</t>
  </si>
  <si>
    <t>всём</t>
  </si>
  <si>
    <t># text = Это было всем.</t>
  </si>
  <si>
    <t>всем</t>
  </si>
  <si>
    <t># text = Это было приключение, это было любопытство, это было воображение.</t>
  </si>
  <si>
    <t>приключение</t>
  </si>
  <si>
    <t># text = И это был опыт, который Голливуд не смог бы дать мне.</t>
  </si>
  <si>
    <t>Голливуд</t>
  </si>
  <si>
    <t>смог</t>
  </si>
  <si>
    <t>дать</t>
  </si>
  <si>
    <t># text = Потому что я мог представить существо и мы могли создать для этого спецэффект.</t>
  </si>
  <si>
    <t>Потому</t>
  </si>
  <si>
    <t>спецэффект</t>
  </si>
  <si>
    <t># text = Но я не мог представить то, что я видел из того иллюминатора.</t>
  </si>
  <si>
    <t>иллюминатора</t>
  </si>
  <si>
    <t># text = Во время последующих погружений я видел существ в гидротермальных жерлах, видел то, чего раньше никогда не видел, то, чего не видел раньше никто, что ещё не было описано наукой, когда мы это увидели и засняли.</t>
  </si>
  <si>
    <t>Во</t>
  </si>
  <si>
    <t>последующих</t>
  </si>
  <si>
    <t>гидротермальных</t>
  </si>
  <si>
    <t>жерлах</t>
  </si>
  <si>
    <t>чего</t>
  </si>
  <si>
    <t>никто</t>
  </si>
  <si>
    <t>pron.pind</t>
  </si>
  <si>
    <t>описано</t>
  </si>
  <si>
    <t>наукой</t>
  </si>
  <si>
    <t>увидели</t>
  </si>
  <si>
    <t>засняли</t>
  </si>
  <si>
    <t># text = В общем, я был очарован и хотел большего.</t>
  </si>
  <si>
    <t>очарован</t>
  </si>
  <si>
    <t>большего</t>
  </si>
  <si>
    <t># text = И я принял довольно любопытное решение.</t>
  </si>
  <si>
    <t>принял</t>
  </si>
  <si>
    <t>довольно</t>
  </si>
  <si>
    <t>любопытное</t>
  </si>
  <si>
    <t>решение</t>
  </si>
  <si>
    <t># text = После успеха «Титаника» я сказал: «Хорошо, я пока оставлю свою работу режиссёром в Голливуде и стану полноценным исследователем на некоторое время».</t>
  </si>
  <si>
    <t>После</t>
  </si>
  <si>
    <t>успеха</t>
  </si>
  <si>
    <t>«Хорошо</t>
  </si>
  <si>
    <t>оставлю</t>
  </si>
  <si>
    <t>свою</t>
  </si>
  <si>
    <t>работу</t>
  </si>
  <si>
    <t>режиссёром</t>
  </si>
  <si>
    <t>Голливуде</t>
  </si>
  <si>
    <t>стану</t>
  </si>
  <si>
    <t>полноценным</t>
  </si>
  <si>
    <t>исследователем</t>
  </si>
  <si>
    <t>время»</t>
  </si>
  <si>
    <t># text = И мы начали планировать эти экспедиции.</t>
  </si>
  <si>
    <t>начали</t>
  </si>
  <si>
    <t>планировать</t>
  </si>
  <si>
    <t>экспедиции</t>
  </si>
  <si>
    <t># text = И мы погружались к «Бисмарку», исследовали его с помощью роботов.</t>
  </si>
  <si>
    <t>погружались</t>
  </si>
  <si>
    <t>«Бисмарку»</t>
  </si>
  <si>
    <t>помощью</t>
  </si>
  <si>
    <t># text = Мы вернулись к обломкам «Титаника».</t>
  </si>
  <si>
    <t>вернулись</t>
  </si>
  <si>
    <t># text = Мы взяли созданных нами небольших роботов, которые тянут за собой оптоволокно.</t>
  </si>
  <si>
    <t>взяли</t>
  </si>
  <si>
    <t>созданных</t>
  </si>
  <si>
    <t>нами</t>
  </si>
  <si>
    <t>небольших</t>
  </si>
  <si>
    <t>тянут</t>
  </si>
  <si>
    <t>собой</t>
  </si>
  <si>
    <t>оптоволокно</t>
  </si>
  <si>
    <t># text = Идея заключалась в том, чтобы обследовать интерьер корабля, чего раньше никто не делал.</t>
  </si>
  <si>
    <t>Идея</t>
  </si>
  <si>
    <t>заключалась</t>
  </si>
  <si>
    <t>обследовать</t>
  </si>
  <si>
    <t>интерьер</t>
  </si>
  <si>
    <t>корабля</t>
  </si>
  <si>
    <t>делал</t>
  </si>
  <si>
    <t># text = Ранее никто даже не заглядывал внутрь обломков.</t>
  </si>
  <si>
    <t>Ранее</t>
  </si>
  <si>
    <t>заглядывал</t>
  </si>
  <si>
    <t>внутрь</t>
  </si>
  <si>
    <t>обломков</t>
  </si>
  <si>
    <t># text = У них не было технологии для этого, а мы такую технологию создали.</t>
  </si>
  <si>
    <t>У</t>
  </si>
  <si>
    <t>них</t>
  </si>
  <si>
    <t>а</t>
  </si>
  <si>
    <t>такую</t>
  </si>
  <si>
    <t>технологию</t>
  </si>
  <si>
    <t># text = Итак, вот он я, на палубе «Титаника», сижу в батискафе и смотрю на вот почти такой же пол в том месте, где играл оркестр.</t>
  </si>
  <si>
    <t>палубе</t>
  </si>
  <si>
    <t>сижу</t>
  </si>
  <si>
    <t>смотрю</t>
  </si>
  <si>
    <t>почти</t>
  </si>
  <si>
    <t>такой</t>
  </si>
  <si>
    <t>пол</t>
  </si>
  <si>
    <t>месте</t>
  </si>
  <si>
    <t>где</t>
  </si>
  <si>
    <t>играл</t>
  </si>
  <si>
    <t>оркестр</t>
  </si>
  <si>
    <t># text = И я управляю полётом маленького робота по коридорам корабля.</t>
  </si>
  <si>
    <t>управляю</t>
  </si>
  <si>
    <t>полётом</t>
  </si>
  <si>
    <t>маленького</t>
  </si>
  <si>
    <t>робота</t>
  </si>
  <si>
    <t>коридорам</t>
  </si>
  <si>
    <t># text = Хотя я говорю «управляю», но мысленно я внутри робота.</t>
  </si>
  <si>
    <t>Хотя</t>
  </si>
  <si>
    <t>говорю</t>
  </si>
  <si>
    <t>«управляю»</t>
  </si>
  <si>
    <t>мысленно</t>
  </si>
  <si>
    <t>внутри</t>
  </si>
  <si>
    <t># text = Я чувствовал своё физическое присутствие внутри обломков «Титаника».</t>
  </si>
  <si>
    <t>чувствовал</t>
  </si>
  <si>
    <t>своё</t>
  </si>
  <si>
    <t>физическое</t>
  </si>
  <si>
    <t>присутствие</t>
  </si>
  <si>
    <t># text = Это было самое сюрреалистическое ощущение дежавю, которое я когда-либо испытывал, потому что я знал перед тем как повернуть за угол, что там будет до того, как прожекторы робота посветят туда, потому что я ходил по макету месяцами, когда мы снимали кино.</t>
  </si>
  <si>
    <t>самое</t>
  </si>
  <si>
    <t>сюрреалистическое</t>
  </si>
  <si>
    <t>ощущение</t>
  </si>
  <si>
    <t>дежавю</t>
  </si>
  <si>
    <t>когда-либо</t>
  </si>
  <si>
    <t>испытывал</t>
  </si>
  <si>
    <t>потому</t>
  </si>
  <si>
    <t>знал</t>
  </si>
  <si>
    <t>перед</t>
  </si>
  <si>
    <t>повернуть</t>
  </si>
  <si>
    <t>угол</t>
  </si>
  <si>
    <t>там</t>
  </si>
  <si>
    <t>прожекторы</t>
  </si>
  <si>
    <t>посветят</t>
  </si>
  <si>
    <t>туда</t>
  </si>
  <si>
    <t>SBJ_7</t>
  </si>
  <si>
    <t>ходил</t>
  </si>
  <si>
    <t>макету</t>
  </si>
  <si>
    <t>месяцами</t>
  </si>
  <si>
    <t>снимали</t>
  </si>
  <si>
    <t>OBJ_8</t>
  </si>
  <si>
    <t># text = А макет был точной копией, основанной на чертежах корабля.</t>
  </si>
  <si>
    <t>макет</t>
  </si>
  <si>
    <t>точной</t>
  </si>
  <si>
    <t>копией</t>
  </si>
  <si>
    <t>основанной</t>
  </si>
  <si>
    <t>чертежах</t>
  </si>
  <si>
    <t># text = Это были абсолютно непередаваемые ощущения.</t>
  </si>
  <si>
    <t>абсолютно</t>
  </si>
  <si>
    <t>непередаваемые</t>
  </si>
  <si>
    <t>ощущения</t>
  </si>
  <si>
    <t># text = И тогда я понял, что телевизионное присутствие, возможное благодаря этим роботам-аватарам, помещает твоё сознание в эту машину, в новую форму существования.</t>
  </si>
  <si>
    <t>телевизионное</t>
  </si>
  <si>
    <t>возможное</t>
  </si>
  <si>
    <t>благодаря</t>
  </si>
  <si>
    <t>этим</t>
  </si>
  <si>
    <t>роботам</t>
  </si>
  <si>
    <t>аватарам</t>
  </si>
  <si>
    <t>помещает</t>
  </si>
  <si>
    <t>твоё</t>
  </si>
  <si>
    <t>сознание</t>
  </si>
  <si>
    <t>машину</t>
  </si>
  <si>
    <t>новую</t>
  </si>
  <si>
    <t>форму</t>
  </si>
  <si>
    <t>существования</t>
  </si>
  <si>
    <t># text = Это были действительно глубокие ощущения.</t>
  </si>
  <si>
    <t>глубокие</t>
  </si>
  <si>
    <t># text = И, наверное, небольшой проблеск того, что будет происходить через несколько десятилетий, когда у нас появятся кибернетические тела для исследовательских или других целей с разного рода сверхчеловеческими способностями, которые я мог представить, как фанат научной фантастики.</t>
  </si>
  <si>
    <t>наверное</t>
  </si>
  <si>
    <t>происходить</t>
  </si>
  <si>
    <t>несколько</t>
  </si>
  <si>
    <t>десятилетий</t>
  </si>
  <si>
    <t>появятся</t>
  </si>
  <si>
    <t>кибернетические</t>
  </si>
  <si>
    <t>тела</t>
  </si>
  <si>
    <t>исследовательских</t>
  </si>
  <si>
    <t>или</t>
  </si>
  <si>
    <t>других</t>
  </si>
  <si>
    <t>целей</t>
  </si>
  <si>
    <t>разного</t>
  </si>
  <si>
    <t>рода</t>
  </si>
  <si>
    <t>сверхчеловеческими</t>
  </si>
  <si>
    <t>способностями</t>
  </si>
  <si>
    <t>OBJ_9</t>
  </si>
  <si>
    <t>фанат</t>
  </si>
  <si>
    <t>фантастики</t>
  </si>
  <si>
    <t># text = Итак, завершив эти экспедиции, я начал по-настоящему ценить то, что там — под водой, например, жерла на глубине океанов, в которых обитают эти невероятные животные.</t>
  </si>
  <si>
    <t>завершив</t>
  </si>
  <si>
    <t>начал</t>
  </si>
  <si>
    <t>ценить</t>
  </si>
  <si>
    <t>например</t>
  </si>
  <si>
    <t>жерла</t>
  </si>
  <si>
    <t>глубине</t>
  </si>
  <si>
    <t>other_7</t>
  </si>
  <si>
    <t>обитают</t>
  </si>
  <si>
    <t>животные</t>
  </si>
  <si>
    <t># text = Они практически пришельцы здесь на Земле.</t>
  </si>
  <si>
    <t>практически</t>
  </si>
  <si>
    <t>пришельцы</t>
  </si>
  <si>
    <t># text = Они живут в среде хемосинтеза.</t>
  </si>
  <si>
    <t>живут</t>
  </si>
  <si>
    <t>среде</t>
  </si>
  <si>
    <t>хемосинтеза</t>
  </si>
  <si>
    <t># text = Они не смогут выжить в системе, основанной на солнечном свете, как у нас.</t>
  </si>
  <si>
    <t>смогут</t>
  </si>
  <si>
    <t>выжить</t>
  </si>
  <si>
    <t>системе</t>
  </si>
  <si>
    <t>солнечном</t>
  </si>
  <si>
    <t>свете</t>
  </si>
  <si>
    <t># text = Когда видишь животных, обитающих рядом со струями воды температурой 500 градусов по Цельсию, думаешь, что они просто не могут существовать.</t>
  </si>
  <si>
    <t>Когда</t>
  </si>
  <si>
    <t>видишь</t>
  </si>
  <si>
    <t>обитающих</t>
  </si>
  <si>
    <t>рядом</t>
  </si>
  <si>
    <t>струями</t>
  </si>
  <si>
    <t>температурой</t>
  </si>
  <si>
    <t>градусов</t>
  </si>
  <si>
    <t>Цельсию</t>
  </si>
  <si>
    <t>думаешь</t>
  </si>
  <si>
    <t>они</t>
  </si>
  <si>
    <t>могут</t>
  </si>
  <si>
    <t>существовать</t>
  </si>
  <si>
    <t># text = В то же время я начал интересоваться космическими исследованиями, также под влиянием научной фантастики из детства.</t>
  </si>
  <si>
    <t>интересоваться</t>
  </si>
  <si>
    <t>космическими</t>
  </si>
  <si>
    <t>исследованиями</t>
  </si>
  <si>
    <t>влиянием</t>
  </si>
  <si>
    <t>детства</t>
  </si>
  <si>
    <t># text = И я начал вовлекаться в космическое сообщество, вовлекаться в работу с НАСА, заседать в консультационном совете НАСА, планировать настоящие космические миссии, ездить в Россию на медицинскую проверку космонавтов и прочие такие вещи, чтобы по-настоящему слетать на МКС с нашей системой 3D-камер.</t>
  </si>
  <si>
    <t>вовлекаться</t>
  </si>
  <si>
    <t>космическое</t>
  </si>
  <si>
    <t>сообщество</t>
  </si>
  <si>
    <t>НАСА</t>
  </si>
  <si>
    <t>заседать</t>
  </si>
  <si>
    <t>консультационном</t>
  </si>
  <si>
    <t>совете</t>
  </si>
  <si>
    <t>настоящие</t>
  </si>
  <si>
    <t>Россию</t>
  </si>
  <si>
    <t>медицинскую</t>
  </si>
  <si>
    <t>проверку</t>
  </si>
  <si>
    <t>космонавтов</t>
  </si>
  <si>
    <t>вещи</t>
  </si>
  <si>
    <t>слетать</t>
  </si>
  <si>
    <t>МКС</t>
  </si>
  <si>
    <t>системой</t>
  </si>
  <si>
    <t>3D</t>
  </si>
  <si>
    <t>камер</t>
  </si>
  <si>
    <t># text = Это было увлекательно.</t>
  </si>
  <si>
    <t>увлекательно</t>
  </si>
  <si>
    <t># text = Но в итоге я стал брать космических специалистов в наши погружения.</t>
  </si>
  <si>
    <t>итоге</t>
  </si>
  <si>
    <t>стал</t>
  </si>
  <si>
    <t>космических</t>
  </si>
  <si>
    <t>специалистов</t>
  </si>
  <si>
    <t>наши</t>
  </si>
  <si>
    <t># text = И спускать их вниз, чтобы они имели доступ, астробиологи, исследователи планет, люди, интересующиеся такими экстремальными средами, спускать их вниз к жерлам, чтобы они это увидели, собрали образцы, протестировали оборудование и т. п.</t>
  </si>
  <si>
    <t>вниз</t>
  </si>
  <si>
    <t>имели</t>
  </si>
  <si>
    <t>доступ</t>
  </si>
  <si>
    <t>астробиологи</t>
  </si>
  <si>
    <t>исследователи</t>
  </si>
  <si>
    <t>планет</t>
  </si>
  <si>
    <t>люди</t>
  </si>
  <si>
    <t>интересующиеся</t>
  </si>
  <si>
    <t>такими</t>
  </si>
  <si>
    <t>экстремальными</t>
  </si>
  <si>
    <t>средами</t>
  </si>
  <si>
    <t>жерлам</t>
  </si>
  <si>
    <t>собрали</t>
  </si>
  <si>
    <t>образцы</t>
  </si>
  <si>
    <t>протестировали</t>
  </si>
  <si>
    <t>оборудование</t>
  </si>
  <si>
    <t>other_10</t>
  </si>
  <si>
    <t># text = В общем мы снимали документальные фильмы, но в действительности занимались наукой, вообще говоря, космической наукой.</t>
  </si>
  <si>
    <t>документальные</t>
  </si>
  <si>
    <t>фильмы</t>
  </si>
  <si>
    <t>действительности</t>
  </si>
  <si>
    <t>занимались</t>
  </si>
  <si>
    <t>космической</t>
  </si>
  <si>
    <t># text = И я полностью замкнул этот круг между увлечением научной фантастикой в детстве и настоящей наукой.</t>
  </si>
  <si>
    <t>полностью</t>
  </si>
  <si>
    <t>замкнул</t>
  </si>
  <si>
    <t>круг</t>
  </si>
  <si>
    <t>между</t>
  </si>
  <si>
    <t>увлечением</t>
  </si>
  <si>
    <t>настоящей</t>
  </si>
  <si>
    <t># text = И знаете, во время этого исследовательского путешествия я многое узнал.</t>
  </si>
  <si>
    <t>исследовательского</t>
  </si>
  <si>
    <t>путешествия</t>
  </si>
  <si>
    <t>многое</t>
  </si>
  <si>
    <t># text = Я многое узнал о науке, но также я узнал многое о лидерстве.</t>
  </si>
  <si>
    <t>о</t>
  </si>
  <si>
    <t>лидерстве</t>
  </si>
  <si>
    <t># text = Вы думаете — режиссёр должен быть лидером, капитаном корабля и всё такое прочее.</t>
  </si>
  <si>
    <t>Вы</t>
  </si>
  <si>
    <t>думаете</t>
  </si>
  <si>
    <t>режиссёр</t>
  </si>
  <si>
    <t>лидером</t>
  </si>
  <si>
    <t>капитаном</t>
  </si>
  <si>
    <t>прочее</t>
  </si>
  <si>
    <t># text = Я в действительности ничего не знал о лидерстве пока не совершил эти экспедиции.</t>
  </si>
  <si>
    <t>ничего</t>
  </si>
  <si>
    <t>совершил</t>
  </si>
  <si>
    <t># text = Потому что в определённый момент мне пришлось спросить себя: «Что я здесь делаю?</t>
  </si>
  <si>
    <t>определённый</t>
  </si>
  <si>
    <t>момент</t>
  </si>
  <si>
    <t>пришлось</t>
  </si>
  <si>
    <t>спросить</t>
  </si>
  <si>
    <t>«Что</t>
  </si>
  <si>
    <t>делаю</t>
  </si>
  <si>
    <t>?</t>
  </si>
  <si>
    <t># text = Зачем я это делаю?</t>
  </si>
  <si>
    <t>Зачем</t>
  </si>
  <si>
    <t># text = Что я из этого получу?» Мы не зарабатываем на этих проклятых съёмках.</t>
  </si>
  <si>
    <t>Что</t>
  </si>
  <si>
    <t>получу?</t>
  </si>
  <si>
    <t>»</t>
  </si>
  <si>
    <t>зарабатываем</t>
  </si>
  <si>
    <t>проклятых</t>
  </si>
  <si>
    <t>съёмках</t>
  </si>
  <si>
    <t># text = Они едва окупаются и не приносят славы.</t>
  </si>
  <si>
    <t>едва</t>
  </si>
  <si>
    <t>окупаются</t>
  </si>
  <si>
    <t>приносят</t>
  </si>
  <si>
    <t>славы</t>
  </si>
  <si>
    <t># text = Люди думали, что я отошёл от дел между «Титаником» и «Аватаром» и валял дурака сидя где-то на пляже.</t>
  </si>
  <si>
    <t>Люди</t>
  </si>
  <si>
    <t>думали</t>
  </si>
  <si>
    <t>отошёл</t>
  </si>
  <si>
    <t>дел</t>
  </si>
  <si>
    <t>«Титаником»</t>
  </si>
  <si>
    <t>«Аватаром»</t>
  </si>
  <si>
    <t>валял</t>
  </si>
  <si>
    <t>дурака</t>
  </si>
  <si>
    <t>сидя</t>
  </si>
  <si>
    <t>где-то</t>
  </si>
  <si>
    <t>пляже</t>
  </si>
  <si>
    <t># text = Снимаешь все эти фильмы, эти документальные фильмы для узкой аудитории.</t>
  </si>
  <si>
    <t>Снимаешь</t>
  </si>
  <si>
    <t>узкой</t>
  </si>
  <si>
    <t>аудитории</t>
  </si>
  <si>
    <t># text = Без славы, без величия, без денег.</t>
  </si>
  <si>
    <t>Без</t>
  </si>
  <si>
    <t>без</t>
  </si>
  <si>
    <t>величия</t>
  </si>
  <si>
    <t># text = Зачем ты это делаешь?</t>
  </si>
  <si>
    <t>делаешь</t>
  </si>
  <si>
    <t># text = Ты делаешь это ради самого процесса, ради испытания, а океан — самое лучшее место для испытаний, для волнительных открытий и для странной связи, которая возникает, когда небольшая группа людей образует сплочённую команду.</t>
  </si>
  <si>
    <t>самого</t>
  </si>
  <si>
    <t>процесса</t>
  </si>
  <si>
    <t>испытания</t>
  </si>
  <si>
    <t>океан</t>
  </si>
  <si>
    <t>лучшее</t>
  </si>
  <si>
    <t>место</t>
  </si>
  <si>
    <t>испытаний</t>
  </si>
  <si>
    <t>волнительных</t>
  </si>
  <si>
    <t>открытий</t>
  </si>
  <si>
    <t>странной</t>
  </si>
  <si>
    <t>связи</t>
  </si>
  <si>
    <t>возникает</t>
  </si>
  <si>
    <t>небольшая</t>
  </si>
  <si>
    <t>группа</t>
  </si>
  <si>
    <t>людей</t>
  </si>
  <si>
    <t>образует</t>
  </si>
  <si>
    <t>сплочённую</t>
  </si>
  <si>
    <t>команду</t>
  </si>
  <si>
    <t># text = Потому что мы работали с 10-12 людьми в течение нескольких лет.</t>
  </si>
  <si>
    <t>работали</t>
  </si>
  <si>
    <t>людьми</t>
  </si>
  <si>
    <t>течение</t>
  </si>
  <si>
    <t>нескольких</t>
  </si>
  <si>
    <t># text = Иногда уходя в море на 2-3 месяца.</t>
  </si>
  <si>
    <t>Иногда</t>
  </si>
  <si>
    <t>уходя</t>
  </si>
  <si>
    <t>море</t>
  </si>
  <si>
    <t>месяца</t>
  </si>
  <si>
    <t># text = И в такой связке ты понимаешь, что самое главное — это уважение, которое ты испытываешь к ним, а они к тебе, и вы сделали работу, которую не сможете объяснить кому-то другому.</t>
  </si>
  <si>
    <t>связке</t>
  </si>
  <si>
    <t>понимаешь</t>
  </si>
  <si>
    <t>главное</t>
  </si>
  <si>
    <t>уважение</t>
  </si>
  <si>
    <t>испытываешь</t>
  </si>
  <si>
    <t>ним</t>
  </si>
  <si>
    <t>тебе</t>
  </si>
  <si>
    <t>которую</t>
  </si>
  <si>
    <t>сможете</t>
  </si>
  <si>
    <t>объяснить</t>
  </si>
  <si>
    <t>кому-то</t>
  </si>
  <si>
    <t>другому</t>
  </si>
  <si>
    <t># text = Когда вы возвращаетесь на берег и говорите: «Мы сделали эту штуку и оптоволокно, и затемнение, и то, и это».</t>
  </si>
  <si>
    <t>возвращаетесь</t>
  </si>
  <si>
    <t>берег</t>
  </si>
  <si>
    <t>говорите</t>
  </si>
  <si>
    <t>штуку</t>
  </si>
  <si>
    <t>затемнение</t>
  </si>
  <si>
    <t>это»</t>
  </si>
  <si>
    <t># text = Вся технологичность, сложность человеческой деятельности в море, которую ты не можешь объяснить людям.</t>
  </si>
  <si>
    <t>Вся</t>
  </si>
  <si>
    <t>сложность</t>
  </si>
  <si>
    <t>человеческой</t>
  </si>
  <si>
    <t>деятельности</t>
  </si>
  <si>
    <t>можешь</t>
  </si>
  <si>
    <t>людям</t>
  </si>
  <si>
    <t># text = Примерно тоже есть у копов или бойцов, прошедших через что-то вместе, и они понимаю, что никогда не смогут объяснить этого.</t>
  </si>
  <si>
    <t>Примерно</t>
  </si>
  <si>
    <t>тоже</t>
  </si>
  <si>
    <t>копов</t>
  </si>
  <si>
    <t>бойцов</t>
  </si>
  <si>
    <t>прошедших</t>
  </si>
  <si>
    <t>понимаю</t>
  </si>
  <si>
    <t># text = Создаётся связь, связь, основанная на уважении.</t>
  </si>
  <si>
    <t>Создаётся</t>
  </si>
  <si>
    <t>связь</t>
  </si>
  <si>
    <t>основанная</t>
  </si>
  <si>
    <t>уважении</t>
  </si>
  <si>
    <t># text = И когда я вернулся, чтобы снять следующий фильм под названием «Аватар», я попытался применить такой же принцип лидерства, при котором ты уважаешь свою команду и зарабатываешь их ответное уважение.</t>
  </si>
  <si>
    <t>вернулся</t>
  </si>
  <si>
    <t>следующий</t>
  </si>
  <si>
    <t>попытался</t>
  </si>
  <si>
    <t>применить</t>
  </si>
  <si>
    <t>принцип</t>
  </si>
  <si>
    <t>лидерства</t>
  </si>
  <si>
    <t>при</t>
  </si>
  <si>
    <t>котором</t>
  </si>
  <si>
    <t>уважаешь</t>
  </si>
  <si>
    <t>зарабатываешь</t>
  </si>
  <si>
    <t>ответное</t>
  </si>
  <si>
    <t># text = И это действительно изменило процесс.</t>
  </si>
  <si>
    <t>изменило</t>
  </si>
  <si>
    <t>процесс</t>
  </si>
  <si>
    <t># text = И вот я снова с небольшой командой на неизвестной территории, снимая «Аватар», создаю новую технологию, которой не было раньше.</t>
  </si>
  <si>
    <t>командой</t>
  </si>
  <si>
    <t>неизвестной</t>
  </si>
  <si>
    <t>территории</t>
  </si>
  <si>
    <t>снимая</t>
  </si>
  <si>
    <t>создаю</t>
  </si>
  <si>
    <t># text = Невероятно волнительно.</t>
  </si>
  <si>
    <t># text = Невероятно сложно.</t>
  </si>
  <si>
    <t>сложно</t>
  </si>
  <si>
    <t># text = И мы стали семьёй на четыре с половиной года.</t>
  </si>
  <si>
    <t>семьёй</t>
  </si>
  <si>
    <t>четыре</t>
  </si>
  <si>
    <t># text = Мой подход к созданию фильмов поменялся полностью.</t>
  </si>
  <si>
    <t>Мой</t>
  </si>
  <si>
    <t>подход</t>
  </si>
  <si>
    <t>фильмов</t>
  </si>
  <si>
    <t>поменялся</t>
  </si>
  <si>
    <t># text = Люди говорят, что, ну, знаете, я взял этих существ из океана и поместил их на Пандору.</t>
  </si>
  <si>
    <t>говорят</t>
  </si>
  <si>
    <t>ну</t>
  </si>
  <si>
    <t>взял</t>
  </si>
  <si>
    <t>поместил</t>
  </si>
  <si>
    <t>Пандору</t>
  </si>
  <si>
    <t># text = Но для меня важнее был новый принцип ведения дел, сам процесс, который в результате изменился.</t>
  </si>
  <si>
    <t>важнее</t>
  </si>
  <si>
    <t>ведения</t>
  </si>
  <si>
    <t>изменился</t>
  </si>
  <si>
    <t># text = Итак, какой мы из этого можем сделать вывод?</t>
  </si>
  <si>
    <t>какой</t>
  </si>
  <si>
    <t>вывод</t>
  </si>
  <si>
    <t># text = Какие уроки извлечь?</t>
  </si>
  <si>
    <t>Какие</t>
  </si>
  <si>
    <t>уроки</t>
  </si>
  <si>
    <t># text = Я думаю, в первую очередь, любопытство.</t>
  </si>
  <si>
    <t>думаю</t>
  </si>
  <si>
    <t>первую</t>
  </si>
  <si>
    <t>очередь</t>
  </si>
  <si>
    <t># text = Ваша главная сила.</t>
  </si>
  <si>
    <t>Ваша</t>
  </si>
  <si>
    <t>главная</t>
  </si>
  <si>
    <t># text = Воображение — это сила, способная на самом деле определять реальность.</t>
  </si>
  <si>
    <t>способная</t>
  </si>
  <si>
    <t>определять</t>
  </si>
  <si>
    <t># text = И уважение к своей команде гораздо важнее, чем все лавры в мире.</t>
  </si>
  <si>
    <t>своей</t>
  </si>
  <si>
    <t>команде</t>
  </si>
  <si>
    <t>чем</t>
  </si>
  <si>
    <t>лавры</t>
  </si>
  <si>
    <t># text = Молодые режиссёры приходят ко мне и просят дать совет.</t>
  </si>
  <si>
    <t>Молодые</t>
  </si>
  <si>
    <t>режиссёры</t>
  </si>
  <si>
    <t>приходят</t>
  </si>
  <si>
    <t>ко</t>
  </si>
  <si>
    <t>просят</t>
  </si>
  <si>
    <t>совет</t>
  </si>
  <si>
    <t># text = И я говорю: «Не стройте себе барьеров.</t>
  </si>
  <si>
    <t>«Не</t>
  </si>
  <si>
    <t>стройте</t>
  </si>
  <si>
    <t>барьеров</t>
  </si>
  <si>
    <t># text = Другие сделают это за вас, но вы сами не делайте, не играйте против себя.</t>
  </si>
  <si>
    <t>Другие</t>
  </si>
  <si>
    <t>сделают</t>
  </si>
  <si>
    <t>вас</t>
  </si>
  <si>
    <t>сами</t>
  </si>
  <si>
    <t>делайте</t>
  </si>
  <si>
    <t>играйте</t>
  </si>
  <si>
    <t>против</t>
  </si>
  <si>
    <t># text = И рискуйте».</t>
  </si>
  <si>
    <t># text = Одна из любимых фраз в НАСА: «Без права на ошибку».</t>
  </si>
  <si>
    <t>Одна</t>
  </si>
  <si>
    <t>любимых</t>
  </si>
  <si>
    <t>фраз</t>
  </si>
  <si>
    <t>«Без</t>
  </si>
  <si>
    <t>права</t>
  </si>
  <si>
    <t>ошибку»</t>
  </si>
  <si>
    <t># text = Но право на ошибку должно быть и в искусстве, и в науке, потому что это путь в неизвестность.</t>
  </si>
  <si>
    <t>право</t>
  </si>
  <si>
    <t>ошибку</t>
  </si>
  <si>
    <t>искусстве</t>
  </si>
  <si>
    <t>путь</t>
  </si>
  <si>
    <t>неизвестность</t>
  </si>
  <si>
    <t># text = И ни один прорыв, требующий инноваций, не был совершён без риска.</t>
  </si>
  <si>
    <t>ни</t>
  </si>
  <si>
    <t>прорыв</t>
  </si>
  <si>
    <t>требующий</t>
  </si>
  <si>
    <t>инноваций</t>
  </si>
  <si>
    <t>совершён</t>
  </si>
  <si>
    <t>риска</t>
  </si>
  <si>
    <t># text = Вы должны принимать эти риски.</t>
  </si>
  <si>
    <t>принимать</t>
  </si>
  <si>
    <t>риски</t>
  </si>
  <si>
    <t># text = В заключение я хочу сказать, что чтобы вы не делали, у вас есть право на ошибку, но не на страх.</t>
  </si>
  <si>
    <t>заключение</t>
  </si>
  <si>
    <t>хочу</t>
  </si>
  <si>
    <t>страх</t>
  </si>
  <si>
    <t># text = Спасибо.</t>
  </si>
  <si>
    <t>Спасибо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</si>
</sst>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7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20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29</v>
      </c>
      <c r="B7" s="6" t="s">
        <v>19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24</v>
      </c>
      <c r="B8" s="6" t="s">
        <v>24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19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20</v>
      </c>
      <c r="C10" s="6" t="s">
        <v>12</v>
      </c>
      <c r="D10" s="7" t="s">
        <v>36</v>
      </c>
      <c r="E10" s="8" t="s">
        <v>44</v>
      </c>
      <c r="F10" s="6" t="s">
        <v>45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46</v>
      </c>
      <c r="B11" s="6" t="s">
        <v>19</v>
      </c>
      <c r="C11" s="6" t="s">
        <v>12</v>
      </c>
      <c r="D11" s="7" t="s">
        <v>47</v>
      </c>
      <c r="E11" s="8" t="s">
        <v>48</v>
      </c>
      <c r="F11" s="6" t="s">
        <v>49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50</v>
      </c>
      <c r="B12" s="6" t="s">
        <v>11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39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29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19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19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11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11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11</v>
      </c>
      <c r="C19" s="6" t="s">
        <v>12</v>
      </c>
      <c r="D19" s="7" t="s">
        <v>51</v>
      </c>
      <c r="E19" s="8" t="s">
        <v>79</v>
      </c>
      <c r="F19" s="6" t="s">
        <v>80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81</v>
      </c>
      <c r="B20" s="6" t="s">
        <v>11</v>
      </c>
      <c r="C20" s="6" t="s">
        <v>12</v>
      </c>
      <c r="D20" s="7" t="s">
        <v>36</v>
      </c>
      <c r="E20" s="8" t="s">
        <v>82</v>
      </c>
      <c r="F20" s="6" t="s">
        <v>83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84</v>
      </c>
      <c r="B21" s="6" t="s">
        <v>11</v>
      </c>
      <c r="C21" s="6" t="s">
        <v>12</v>
      </c>
      <c r="D21" s="7" t="s">
        <v>55</v>
      </c>
      <c r="E21" s="8" t="s">
        <v>85</v>
      </c>
      <c r="F21" s="6" t="s">
        <v>86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87</v>
      </c>
      <c r="B22" s="6" t="s">
        <v>20</v>
      </c>
      <c r="C22" s="6" t="s">
        <v>88</v>
      </c>
      <c r="D22" s="7" t="s">
        <v>89</v>
      </c>
      <c r="E22" s="8" t="s">
        <v>90</v>
      </c>
      <c r="F22" s="6" t="s">
        <v>91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92</v>
      </c>
      <c r="B23" s="6" t="s">
        <v>24</v>
      </c>
      <c r="C23" s="6" t="s">
        <v>12</v>
      </c>
      <c r="D23" s="7" t="s">
        <v>93</v>
      </c>
      <c r="E23" s="8" t="s">
        <v>94</v>
      </c>
      <c r="F23" s="6" t="s">
        <v>95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96</v>
      </c>
      <c r="B24" s="6" t="s">
        <v>28</v>
      </c>
      <c r="C24" s="6" t="s">
        <v>12</v>
      </c>
      <c r="D24" s="7" t="s">
        <v>97</v>
      </c>
      <c r="E24" s="8" t="s">
        <v>98</v>
      </c>
      <c r="F24" s="6" t="s">
        <v>99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100</v>
      </c>
      <c r="B25" s="6" t="s">
        <v>11</v>
      </c>
      <c r="C25" s="6" t="s">
        <v>101</v>
      </c>
      <c r="D25" s="7" t="s">
        <v>102</v>
      </c>
      <c r="E25" s="8" t="s">
        <v>103</v>
      </c>
      <c r="F25" s="6" t="s">
        <v>104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24</v>
      </c>
      <c r="C26" s="6" t="s">
        <v>12</v>
      </c>
      <c r="D26" s="7" t="s">
        <v>106</v>
      </c>
      <c r="E26" s="8" t="s">
        <v>107</v>
      </c>
      <c r="F26" s="6" t="s">
        <v>108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20</v>
      </c>
      <c r="C27" s="6" t="s">
        <v>101</v>
      </c>
      <c r="D27" s="7" t="s">
        <v>110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43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11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19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28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29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58</v>
      </c>
      <c r="C33" s="6" t="s">
        <v>12</v>
      </c>
      <c r="D33" s="7" t="s">
        <v>134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28</v>
      </c>
      <c r="C34" s="6" t="s">
        <v>12</v>
      </c>
      <c r="D34" s="7" t="s">
        <v>138</v>
      </c>
      <c r="E34" s="8" t="s">
        <v>139</v>
      </c>
      <c r="F34" s="6" t="s">
        <v>140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141</v>
      </c>
      <c r="B35" s="6" t="s">
        <v>39</v>
      </c>
      <c r="C35" s="6" t="s">
        <v>12</v>
      </c>
      <c r="D35" s="7" t="s">
        <v>63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20</v>
      </c>
      <c r="C36" s="6" t="s">
        <v>88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20</v>
      </c>
      <c r="C37" s="6" t="s">
        <v>12</v>
      </c>
      <c r="D37" s="7" t="s">
        <v>149</v>
      </c>
      <c r="E37" s="8" t="s">
        <v>150</v>
      </c>
      <c r="F37" s="6" t="s">
        <v>151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46</v>
      </c>
      <c r="C38" s="6" t="s">
        <v>12</v>
      </c>
      <c r="D38" s="7" t="s">
        <v>153</v>
      </c>
      <c r="E38" s="8" t="s">
        <v>154</v>
      </c>
      <c r="F38" s="6" t="s">
        <v>155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156</v>
      </c>
      <c r="B39" s="6" t="s">
        <v>19</v>
      </c>
      <c r="C39" s="6" t="s">
        <v>12</v>
      </c>
      <c r="D39" s="7" t="s">
        <v>157</v>
      </c>
      <c r="E39" s="8" t="s">
        <v>158</v>
      </c>
      <c r="F39" s="6" t="s">
        <v>159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160</v>
      </c>
      <c r="B40" s="6" t="s">
        <v>29</v>
      </c>
      <c r="C40" s="6" t="s">
        <v>12</v>
      </c>
      <c r="D40" s="7" t="s">
        <v>161</v>
      </c>
      <c r="E40" s="8" t="s">
        <v>162</v>
      </c>
      <c r="F40" s="6" t="s">
        <v>163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19</v>
      </c>
      <c r="C41" s="6" t="s">
        <v>12</v>
      </c>
      <c r="D41" s="7" t="s">
        <v>165</v>
      </c>
      <c r="E41" s="8" t="s">
        <v>166</v>
      </c>
      <c r="F41" s="6" t="s">
        <v>167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168</v>
      </c>
      <c r="B42" s="6" t="s">
        <v>11</v>
      </c>
      <c r="C42" s="6" t="s">
        <v>12</v>
      </c>
      <c r="D42" s="7" t="s">
        <v>169</v>
      </c>
      <c r="E42" s="8" t="s">
        <v>170</v>
      </c>
      <c r="F42" s="6" t="s">
        <v>171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172</v>
      </c>
      <c r="B43" s="6" t="s">
        <v>11</v>
      </c>
      <c r="C43" s="6" t="s">
        <v>12</v>
      </c>
      <c r="D43" s="7" t="s">
        <v>173</v>
      </c>
      <c r="E43" s="8" t="s">
        <v>174</v>
      </c>
      <c r="F43" s="6" t="s">
        <v>175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176</v>
      </c>
      <c r="B44" s="6" t="s">
        <v>20</v>
      </c>
      <c r="C44" s="6" t="s">
        <v>12</v>
      </c>
      <c r="D44" s="7" t="s">
        <v>177</v>
      </c>
      <c r="E44" s="8" t="s">
        <v>178</v>
      </c>
      <c r="F44" s="6" t="s">
        <v>179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180</v>
      </c>
      <c r="B45" s="6" t="s">
        <v>39</v>
      </c>
      <c r="C45" s="6" t="s">
        <v>12</v>
      </c>
      <c r="D45" s="7" t="s">
        <v>181</v>
      </c>
      <c r="E45" s="8" t="s">
        <v>182</v>
      </c>
      <c r="F45" s="6" t="s">
        <v>183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184</v>
      </c>
      <c r="B46" s="6" t="s">
        <v>11</v>
      </c>
      <c r="C46" s="6" t="s">
        <v>12</v>
      </c>
      <c r="D46" s="7" t="s">
        <v>185</v>
      </c>
      <c r="E46" s="8" t="s">
        <v>186</v>
      </c>
      <c r="F46" s="6" t="s">
        <v>187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188</v>
      </c>
      <c r="B47" s="6" t="s">
        <v>28</v>
      </c>
      <c r="C47" s="6" t="s">
        <v>12</v>
      </c>
      <c r="D47" s="7" t="s">
        <v>189</v>
      </c>
      <c r="E47" s="8" t="s">
        <v>190</v>
      </c>
      <c r="F47" s="6" t="s">
        <v>191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192</v>
      </c>
      <c r="B48" s="6" t="s">
        <v>10</v>
      </c>
      <c r="C48" s="6" t="s">
        <v>12</v>
      </c>
      <c r="D48" s="7" t="s">
        <v>193</v>
      </c>
      <c r="E48" s="8" t="s">
        <v>194</v>
      </c>
      <c r="F48" s="6" t="s">
        <v>195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196</v>
      </c>
      <c r="B49" s="6" t="s">
        <v>11</v>
      </c>
      <c r="C49" s="6" t="s">
        <v>12</v>
      </c>
      <c r="D49" s="7" t="s">
        <v>110</v>
      </c>
      <c r="E49" s="8" t="s">
        <v>197</v>
      </c>
      <c r="F49" s="6" t="s">
        <v>198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199</v>
      </c>
      <c r="B50" s="6" t="s">
        <v>28</v>
      </c>
      <c r="C50" s="6" t="s">
        <v>12</v>
      </c>
      <c r="D50" s="7" t="s">
        <v>200</v>
      </c>
      <c r="E50" s="8" t="s">
        <v>201</v>
      </c>
      <c r="F50" s="6" t="s">
        <v>202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203</v>
      </c>
      <c r="B51" s="6" t="s">
        <v>19</v>
      </c>
      <c r="C51" s="6" t="s">
        <v>12</v>
      </c>
      <c r="D51" s="7" t="s">
        <v>204</v>
      </c>
      <c r="E51" s="8" t="s">
        <v>205</v>
      </c>
      <c r="F51" s="6" t="s">
        <v>206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207</v>
      </c>
      <c r="B52" s="6" t="s">
        <v>54</v>
      </c>
      <c r="C52" s="6" t="s">
        <v>12</v>
      </c>
      <c r="D52" s="7" t="s">
        <v>208</v>
      </c>
      <c r="E52" s="8" t="s">
        <v>209</v>
      </c>
      <c r="F52" s="6" t="s">
        <v>210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211</v>
      </c>
      <c r="B53" s="6" t="s">
        <v>29</v>
      </c>
      <c r="C53" s="6" t="s">
        <v>12</v>
      </c>
      <c r="D53" s="7" t="s">
        <v>212</v>
      </c>
      <c r="E53" s="8" t="s">
        <v>213</v>
      </c>
      <c r="F53" s="6" t="s">
        <v>214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215</v>
      </c>
      <c r="B54" s="6" t="s">
        <v>19</v>
      </c>
      <c r="C54" s="6" t="s">
        <v>12</v>
      </c>
      <c r="D54" s="7" t="s">
        <v>216</v>
      </c>
      <c r="E54" s="8" t="s">
        <v>217</v>
      </c>
      <c r="F54" s="6" t="s">
        <v>218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219</v>
      </c>
      <c r="B55" s="6" t="s">
        <v>19</v>
      </c>
      <c r="C55" s="6" t="s">
        <v>12</v>
      </c>
      <c r="D55" s="7" t="s">
        <v>220</v>
      </c>
      <c r="E55" s="8" t="s">
        <v>221</v>
      </c>
      <c r="F55" s="6" t="s">
        <v>222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223</v>
      </c>
      <c r="B56" s="6" t="s">
        <v>19</v>
      </c>
      <c r="C56" s="6" t="s">
        <v>12</v>
      </c>
      <c r="D56" s="7" t="s">
        <v>212</v>
      </c>
      <c r="E56" s="8" t="s">
        <v>224</v>
      </c>
      <c r="F56" s="6" t="s">
        <v>225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226</v>
      </c>
      <c r="B57" s="6" t="s">
        <v>19</v>
      </c>
      <c r="C57" s="6" t="s">
        <v>12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230</v>
      </c>
      <c r="B58" s="6" t="s">
        <v>24</v>
      </c>
      <c r="C58" s="6" t="s">
        <v>12</v>
      </c>
      <c r="D58" s="7" t="s">
        <v>231</v>
      </c>
      <c r="E58" s="8" t="s">
        <v>232</v>
      </c>
      <c r="F58" s="6" t="s">
        <v>233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234</v>
      </c>
      <c r="B59" s="6" t="s">
        <v>46</v>
      </c>
      <c r="C59" s="6" t="s">
        <v>88</v>
      </c>
      <c r="D59" s="7" t="s">
        <v>235</v>
      </c>
      <c r="E59" s="8" t="s">
        <v>236</v>
      </c>
      <c r="F59" s="6" t="s">
        <v>237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238</v>
      </c>
      <c r="B60" s="6" t="s">
        <v>11</v>
      </c>
      <c r="C60" s="6" t="s">
        <v>239</v>
      </c>
      <c r="D60" s="7" t="s">
        <v>240</v>
      </c>
      <c r="E60" s="8" t="s">
        <v>241</v>
      </c>
      <c r="F60" s="6" t="s">
        <v>242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243</v>
      </c>
      <c r="B61" s="6" t="s">
        <v>19</v>
      </c>
      <c r="C61" s="6" t="s">
        <v>12</v>
      </c>
      <c r="D61" s="7" t="s">
        <v>244</v>
      </c>
      <c r="E61" s="8" t="s">
        <v>245</v>
      </c>
      <c r="F61" s="6" t="s">
        <v>246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247</v>
      </c>
      <c r="B62" s="6" t="s">
        <v>20</v>
      </c>
      <c r="C62" s="6" t="s">
        <v>12</v>
      </c>
      <c r="D62" s="7" t="s">
        <v>59</v>
      </c>
      <c r="E62" s="8" t="s">
        <v>248</v>
      </c>
      <c r="F62" s="6" t="s">
        <v>249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250</v>
      </c>
      <c r="B63" s="6" t="s">
        <v>29</v>
      </c>
      <c r="C63" s="6" t="s">
        <v>12</v>
      </c>
      <c r="D63" s="7" t="s">
        <v>251</v>
      </c>
      <c r="E63" s="8" t="s">
        <v>252</v>
      </c>
      <c r="F63" s="6" t="s">
        <v>253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254</v>
      </c>
      <c r="B64" s="6" t="s">
        <v>19</v>
      </c>
      <c r="C64" s="6" t="s">
        <v>12</v>
      </c>
      <c r="D64" s="7" t="s">
        <v>255</v>
      </c>
      <c r="E64" s="8" t="s">
        <v>256</v>
      </c>
      <c r="F64" s="6" t="s">
        <v>257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258</v>
      </c>
      <c r="B65" s="6" t="s">
        <v>28</v>
      </c>
      <c r="C65" s="6" t="s">
        <v>12</v>
      </c>
      <c r="D65" s="7" t="s">
        <v>259</v>
      </c>
      <c r="E65" s="8" t="s">
        <v>260</v>
      </c>
      <c r="F65" s="6" t="s">
        <v>261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262</v>
      </c>
      <c r="B66" s="6" t="s">
        <v>20</v>
      </c>
      <c r="C66" s="6" t="s">
        <v>12</v>
      </c>
      <c r="D66" s="7" t="s">
        <v>259</v>
      </c>
      <c r="E66" s="8" t="s">
        <v>263</v>
      </c>
      <c r="F66" s="6" t="s">
        <v>264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265</v>
      </c>
      <c r="B67" s="6" t="s">
        <v>19</v>
      </c>
      <c r="C67" s="6" t="s">
        <v>12</v>
      </c>
      <c r="D67" s="7" t="s">
        <v>266</v>
      </c>
      <c r="E67" s="8" t="s">
        <v>267</v>
      </c>
      <c r="F67" s="6" t="s">
        <v>268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269</v>
      </c>
      <c r="B68" s="6" t="s">
        <v>28</v>
      </c>
      <c r="C68" s="6" t="s">
        <v>101</v>
      </c>
      <c r="D68" s="7" t="s">
        <v>270</v>
      </c>
      <c r="E68" s="8" t="s">
        <v>271</v>
      </c>
      <c r="F68" s="6" t="s">
        <v>272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273</v>
      </c>
      <c r="B69" s="6" t="s">
        <v>11</v>
      </c>
      <c r="C69" s="6" t="s">
        <v>12</v>
      </c>
      <c r="D69" s="7" t="s">
        <v>274</v>
      </c>
      <c r="E69" s="8" t="s">
        <v>275</v>
      </c>
      <c r="F69" s="6" t="s">
        <v>276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277</v>
      </c>
      <c r="B70" s="6" t="s">
        <v>39</v>
      </c>
      <c r="C70" s="6" t="s">
        <v>12</v>
      </c>
      <c r="D70" s="7" t="s">
        <v>278</v>
      </c>
      <c r="E70" s="8" t="s">
        <v>279</v>
      </c>
      <c r="F70" s="6" t="s">
        <v>280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281</v>
      </c>
      <c r="B71" s="6" t="s">
        <v>11</v>
      </c>
      <c r="C71" s="6" t="s">
        <v>12</v>
      </c>
      <c r="D71" s="7" t="s">
        <v>282</v>
      </c>
      <c r="E71" s="8" t="s">
        <v>283</v>
      </c>
      <c r="F71" s="6" t="s">
        <v>284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285</v>
      </c>
      <c r="B72" s="6" t="s">
        <v>46</v>
      </c>
      <c r="C72" s="6" t="s">
        <v>12</v>
      </c>
      <c r="D72" s="7" t="s">
        <v>286</v>
      </c>
      <c r="E72" s="8" t="s">
        <v>287</v>
      </c>
      <c r="F72" s="6" t="s">
        <v>288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289</v>
      </c>
      <c r="B73" s="6" t="s">
        <v>20</v>
      </c>
      <c r="C73" s="6" t="s">
        <v>12</v>
      </c>
      <c r="D73" s="7" t="s">
        <v>290</v>
      </c>
      <c r="E73" s="8" t="s">
        <v>291</v>
      </c>
      <c r="F73" s="6" t="s">
        <v>292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293</v>
      </c>
      <c r="B74" s="6" t="s">
        <v>11</v>
      </c>
      <c r="C74" s="6" t="s">
        <v>12</v>
      </c>
      <c r="D74" s="7" t="s">
        <v>294</v>
      </c>
      <c r="E74" s="8" t="s">
        <v>295</v>
      </c>
      <c r="F74" s="6" t="s">
        <v>296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297</v>
      </c>
      <c r="B75" s="6" t="s">
        <v>28</v>
      </c>
      <c r="C75" s="6" t="s">
        <v>12</v>
      </c>
      <c r="D75" s="7" t="s">
        <v>193</v>
      </c>
      <c r="E75" s="8" t="s">
        <v>298</v>
      </c>
      <c r="F75" s="6" t="s">
        <v>299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300</v>
      </c>
      <c r="B76" s="6" t="s">
        <v>20</v>
      </c>
      <c r="C76" s="6" t="s">
        <v>12</v>
      </c>
      <c r="D76" s="7" t="s">
        <v>301</v>
      </c>
      <c r="E76" s="8" t="s">
        <v>302</v>
      </c>
      <c r="F76" s="6" t="s">
        <v>303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304</v>
      </c>
      <c r="B77" s="6" t="s">
        <v>11</v>
      </c>
      <c r="C77" s="6" t="s">
        <v>12</v>
      </c>
      <c r="D77" s="7" t="s">
        <v>270</v>
      </c>
      <c r="E77" s="8" t="s">
        <v>305</v>
      </c>
      <c r="F77" s="6" t="s">
        <v>306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307</v>
      </c>
      <c r="B78" s="6" t="s">
        <v>10</v>
      </c>
      <c r="C78" s="6" t="s">
        <v>12</v>
      </c>
      <c r="D78" s="7" t="s">
        <v>308</v>
      </c>
      <c r="E78" s="8" t="s">
        <v>309</v>
      </c>
      <c r="F78" s="6" t="s">
        <v>310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311</v>
      </c>
      <c r="B79" s="6" t="s">
        <v>10</v>
      </c>
      <c r="C79" s="6" t="s">
        <v>12</v>
      </c>
      <c r="D79" s="7" t="s">
        <v>312</v>
      </c>
      <c r="E79" s="8" t="s">
        <v>313</v>
      </c>
      <c r="F79" s="6" t="s">
        <v>314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315</v>
      </c>
      <c r="B80" s="6" t="s">
        <v>11</v>
      </c>
      <c r="C80" s="6" t="s">
        <v>12</v>
      </c>
      <c r="D80" s="7" t="s">
        <v>316</v>
      </c>
      <c r="E80" s="8" t="s">
        <v>317</v>
      </c>
      <c r="F80" s="6" t="s">
        <v>318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319</v>
      </c>
      <c r="B81" s="6" t="s">
        <v>11</v>
      </c>
      <c r="C81" s="6" t="s">
        <v>12</v>
      </c>
      <c r="D81" s="7" t="s">
        <v>320</v>
      </c>
      <c r="E81" s="8" t="s">
        <v>321</v>
      </c>
      <c r="F81" s="6" t="s">
        <v>322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323</v>
      </c>
      <c r="B82" s="6" t="s">
        <v>20</v>
      </c>
      <c r="C82" s="6" t="s">
        <v>12</v>
      </c>
      <c r="D82" s="7" t="s">
        <v>324</v>
      </c>
      <c r="E82" s="8" t="s">
        <v>325</v>
      </c>
      <c r="F82" s="6" t="s">
        <v>326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327</v>
      </c>
      <c r="B83" s="6" t="s">
        <v>10</v>
      </c>
      <c r="C83" s="6" t="s">
        <v>12</v>
      </c>
      <c r="D83" s="7" t="s">
        <v>328</v>
      </c>
      <c r="E83" s="8" t="s">
        <v>329</v>
      </c>
      <c r="F83" s="6" t="s">
        <v>330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331</v>
      </c>
      <c r="B84" s="6" t="s">
        <v>20</v>
      </c>
      <c r="C84" s="6" t="s">
        <v>12</v>
      </c>
      <c r="D84" s="7" t="s">
        <v>332</v>
      </c>
      <c r="E84" s="8" t="s">
        <v>333</v>
      </c>
      <c r="F84" s="6" t="s">
        <v>334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335</v>
      </c>
      <c r="B85" s="6" t="s">
        <v>10</v>
      </c>
      <c r="C85" s="6" t="s">
        <v>12</v>
      </c>
      <c r="D85" s="7" t="s">
        <v>336</v>
      </c>
      <c r="E85" s="8" t="s">
        <v>337</v>
      </c>
      <c r="F85" s="6" t="s">
        <v>338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339</v>
      </c>
      <c r="B86" s="6" t="s">
        <v>19</v>
      </c>
      <c r="C86" s="6" t="s">
        <v>12</v>
      </c>
      <c r="D86" s="7" t="s">
        <v>340</v>
      </c>
      <c r="E86" s="8" t="s">
        <v>341</v>
      </c>
      <c r="F86" s="6" t="s">
        <v>342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343</v>
      </c>
      <c r="B87" s="6" t="s">
        <v>10</v>
      </c>
      <c r="C87" s="6" t="s">
        <v>12</v>
      </c>
      <c r="D87" s="7" t="s">
        <v>193</v>
      </c>
      <c r="E87" s="8" t="s">
        <v>344</v>
      </c>
      <c r="F87" s="6" t="s">
        <v>345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346</v>
      </c>
      <c r="B88" s="6" t="s">
        <v>11</v>
      </c>
      <c r="C88" s="6" t="s">
        <v>12</v>
      </c>
      <c r="D88" s="7" t="s">
        <v>347</v>
      </c>
      <c r="E88" s="8" t="s">
        <v>348</v>
      </c>
      <c r="F88" s="6" t="s">
        <v>349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350</v>
      </c>
      <c r="B89" s="6" t="s">
        <v>19</v>
      </c>
      <c r="C89" s="6" t="s">
        <v>12</v>
      </c>
      <c r="D89" s="7" t="s">
        <v>204</v>
      </c>
      <c r="E89" s="8" t="s">
        <v>351</v>
      </c>
      <c r="F89" s="6" t="s">
        <v>352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353</v>
      </c>
      <c r="B90" s="6" t="s">
        <v>20</v>
      </c>
      <c r="C90" s="6" t="s">
        <v>12</v>
      </c>
      <c r="D90" s="7" t="s">
        <v>93</v>
      </c>
      <c r="E90" s="8" t="s">
        <v>354</v>
      </c>
      <c r="F90" s="6" t="s">
        <v>355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356</v>
      </c>
      <c r="B91" s="6" t="s">
        <v>20</v>
      </c>
      <c r="C91" s="6" t="s">
        <v>12</v>
      </c>
      <c r="D91" s="7" t="s">
        <v>357</v>
      </c>
      <c r="E91" s="8" t="s">
        <v>358</v>
      </c>
      <c r="F91" s="6" t="s">
        <v>359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360</v>
      </c>
      <c r="B92" s="6" t="s">
        <v>28</v>
      </c>
      <c r="C92" s="6" t="s">
        <v>12</v>
      </c>
      <c r="D92" s="7" t="s">
        <v>361</v>
      </c>
      <c r="E92" s="8" t="s">
        <v>362</v>
      </c>
      <c r="F92" s="6" t="s">
        <v>363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364</v>
      </c>
      <c r="B93" s="6" t="s">
        <v>43</v>
      </c>
      <c r="C93" s="6" t="s">
        <v>12</v>
      </c>
      <c r="D93" s="7" t="s">
        <v>365</v>
      </c>
      <c r="E93" s="8" t="s">
        <v>366</v>
      </c>
      <c r="F93" s="6" t="s">
        <v>367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368</v>
      </c>
      <c r="B94" s="6" t="s">
        <v>11</v>
      </c>
      <c r="C94" s="6" t="s">
        <v>12</v>
      </c>
      <c r="D94" s="7" t="s">
        <v>369</v>
      </c>
      <c r="E94" s="8" t="s">
        <v>370</v>
      </c>
      <c r="F94" s="6" t="s">
        <v>371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372</v>
      </c>
      <c r="B95" s="6" t="s">
        <v>11</v>
      </c>
      <c r="C95" s="6" t="s">
        <v>12</v>
      </c>
      <c r="D95" s="7" t="s">
        <v>373</v>
      </c>
      <c r="E95" s="8" t="s">
        <v>374</v>
      </c>
      <c r="F95" s="6" t="s">
        <v>375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376</v>
      </c>
      <c r="B96" s="6" t="s">
        <v>19</v>
      </c>
      <c r="C96" s="6" t="s">
        <v>12</v>
      </c>
      <c r="D96" s="7" t="s">
        <v>377</v>
      </c>
      <c r="E96" s="8" t="s">
        <v>378</v>
      </c>
      <c r="F96" s="6" t="s">
        <v>379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380</v>
      </c>
      <c r="B97" s="6" t="s">
        <v>20</v>
      </c>
      <c r="C97" s="6" t="s">
        <v>381</v>
      </c>
      <c r="D97" s="7" t="s">
        <v>51</v>
      </c>
      <c r="E97" s="8" t="s">
        <v>382</v>
      </c>
      <c r="F97" s="6" t="s">
        <v>383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384</v>
      </c>
      <c r="B98" s="6" t="s">
        <v>20</v>
      </c>
      <c r="C98" s="6" t="s">
        <v>12</v>
      </c>
      <c r="D98" s="7" t="s">
        <v>51</v>
      </c>
      <c r="E98" s="8" t="s">
        <v>385</v>
      </c>
      <c r="F98" s="6" t="s">
        <v>386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387</v>
      </c>
      <c r="B99" s="6" t="s">
        <v>54</v>
      </c>
      <c r="C99" s="6" t="s">
        <v>12</v>
      </c>
      <c r="D99" s="7" t="s">
        <v>388</v>
      </c>
      <c r="E99" s="8" t="s">
        <v>389</v>
      </c>
      <c r="F99" s="6" t="s">
        <v>390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391</v>
      </c>
      <c r="B100" s="6" t="s">
        <v>29</v>
      </c>
      <c r="C100" s="6" t="s">
        <v>12</v>
      </c>
      <c r="D100" s="7" t="s">
        <v>392</v>
      </c>
      <c r="E100" s="8" t="s">
        <v>393</v>
      </c>
      <c r="F100" s="6" t="s">
        <v>394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395</v>
      </c>
      <c r="B101" s="6" t="s">
        <v>19</v>
      </c>
      <c r="C101" s="6" t="s">
        <v>12</v>
      </c>
      <c r="D101" s="7" t="s">
        <v>396</v>
      </c>
      <c r="E101" s="8" t="s">
        <v>397</v>
      </c>
      <c r="F101" s="6" t="s">
        <v>398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399</v>
      </c>
      <c r="B102" s="6" t="s">
        <v>28</v>
      </c>
      <c r="C102" s="6" t="s">
        <v>101</v>
      </c>
      <c r="D102" s="7" t="s">
        <v>270</v>
      </c>
      <c r="E102" s="8" t="s">
        <v>400</v>
      </c>
      <c r="F102" s="6" t="s">
        <v>401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402</v>
      </c>
      <c r="B103" s="6" t="s">
        <v>19</v>
      </c>
      <c r="C103" s="6" t="s">
        <v>12</v>
      </c>
      <c r="D103" s="7" t="s">
        <v>403</v>
      </c>
      <c r="E103" s="8" t="s">
        <v>404</v>
      </c>
      <c r="F103" s="6" t="s">
        <v>405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406</v>
      </c>
      <c r="B104" s="6" t="s">
        <v>19</v>
      </c>
      <c r="C104" s="6" t="s">
        <v>12</v>
      </c>
      <c r="D104" s="7" t="s">
        <v>407</v>
      </c>
      <c r="E104" s="8" t="s">
        <v>408</v>
      </c>
      <c r="F104" s="6" t="s">
        <v>409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410</v>
      </c>
      <c r="B105" s="6" t="s">
        <v>11</v>
      </c>
      <c r="C105" s="6" t="s">
        <v>12</v>
      </c>
      <c r="D105" s="7" t="s">
        <v>411</v>
      </c>
      <c r="E105" s="8" t="s">
        <v>412</v>
      </c>
      <c r="F105" s="6" t="s">
        <v>413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414</v>
      </c>
      <c r="B106" s="6" t="s">
        <v>11</v>
      </c>
      <c r="C106" s="6" t="s">
        <v>12</v>
      </c>
      <c r="D106" s="7" t="s">
        <v>415</v>
      </c>
      <c r="E106" s="8" t="s">
        <v>416</v>
      </c>
      <c r="F106" s="6" t="s">
        <v>417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418</v>
      </c>
      <c r="B107" s="6" t="s">
        <v>11</v>
      </c>
      <c r="C107" s="6" t="s">
        <v>12</v>
      </c>
      <c r="D107" s="7" t="s">
        <v>419</v>
      </c>
      <c r="E107" s="8" t="s">
        <v>420</v>
      </c>
      <c r="F107" s="6" t="s">
        <v>421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422</v>
      </c>
      <c r="B108" s="6" t="s">
        <v>28</v>
      </c>
      <c r="C108" s="6" t="s">
        <v>12</v>
      </c>
      <c r="D108" s="7" t="s">
        <v>423</v>
      </c>
      <c r="E108" s="8" t="s">
        <v>424</v>
      </c>
      <c r="F108" s="6" t="s">
        <v>425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426</v>
      </c>
      <c r="B109" s="6" t="s">
        <v>20</v>
      </c>
      <c r="C109" s="6" t="s">
        <v>12</v>
      </c>
      <c r="D109" s="7" t="s">
        <v>55</v>
      </c>
      <c r="E109" s="8" t="s">
        <v>427</v>
      </c>
      <c r="F109" s="6" t="s">
        <v>428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429</v>
      </c>
      <c r="B110" s="6" t="s">
        <v>50</v>
      </c>
      <c r="C110" s="6" t="s">
        <v>88</v>
      </c>
      <c r="D110" s="7" t="s">
        <v>430</v>
      </c>
      <c r="E110" s="8" t="s">
        <v>431</v>
      </c>
      <c r="F110" s="6" t="s">
        <v>432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433</v>
      </c>
      <c r="B111" s="6" t="s">
        <v>19</v>
      </c>
      <c r="C111" s="6" t="s">
        <v>12</v>
      </c>
      <c r="D111" s="7" t="s">
        <v>434</v>
      </c>
      <c r="E111" s="8" t="s">
        <v>435</v>
      </c>
      <c r="F111" s="6" t="s">
        <v>436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437</v>
      </c>
      <c r="B112" s="6" t="s">
        <v>19</v>
      </c>
      <c r="C112" s="6" t="s">
        <v>12</v>
      </c>
      <c r="D112" s="7" t="s">
        <v>438</v>
      </c>
      <c r="E112" s="8" t="s">
        <v>439</v>
      </c>
      <c r="F112" s="6" t="s">
        <v>440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441</v>
      </c>
      <c r="B113" s="6" t="s">
        <v>11</v>
      </c>
      <c r="C113" s="6" t="s">
        <v>12</v>
      </c>
      <c r="D113" s="7" t="s">
        <v>442</v>
      </c>
      <c r="E113" s="8" t="s">
        <v>443</v>
      </c>
      <c r="F113" s="6" t="s">
        <v>444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445</v>
      </c>
      <c r="B114" s="6" t="s">
        <v>11</v>
      </c>
      <c r="C114" s="6" t="s">
        <v>12</v>
      </c>
      <c r="D114" s="7" t="s">
        <v>446</v>
      </c>
      <c r="E114" s="8" t="s">
        <v>447</v>
      </c>
      <c r="F114" s="6" t="s">
        <v>448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449</v>
      </c>
      <c r="B115" s="6" t="s">
        <v>19</v>
      </c>
      <c r="C115" s="6" t="s">
        <v>12</v>
      </c>
      <c r="D115" s="7" t="s">
        <v>450</v>
      </c>
      <c r="E115" s="8" t="s">
        <v>451</v>
      </c>
      <c r="F115" s="6" t="s">
        <v>452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453</v>
      </c>
      <c r="B116" s="6" t="s">
        <v>11</v>
      </c>
      <c r="C116" s="6" t="s">
        <v>12</v>
      </c>
      <c r="D116" s="7" t="s">
        <v>446</v>
      </c>
      <c r="E116" s="8" t="s">
        <v>454</v>
      </c>
      <c r="F116" s="6" t="s">
        <v>455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456</v>
      </c>
      <c r="B117" s="6" t="s">
        <v>20</v>
      </c>
      <c r="C117" s="6" t="s">
        <v>12</v>
      </c>
      <c r="D117" s="7" t="s">
        <v>457</v>
      </c>
      <c r="E117" s="8" t="s">
        <v>458</v>
      </c>
      <c r="F117" s="6" t="s">
        <v>459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460</v>
      </c>
      <c r="B118" s="6" t="s">
        <v>11</v>
      </c>
      <c r="C118" s="6" t="s">
        <v>12</v>
      </c>
      <c r="D118" s="7" t="s">
        <v>446</v>
      </c>
      <c r="E118" s="8" t="s">
        <v>461</v>
      </c>
      <c r="F118" s="6" t="s">
        <v>462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463</v>
      </c>
      <c r="B119" s="6" t="s">
        <v>29</v>
      </c>
      <c r="C119" s="6" t="s">
        <v>12</v>
      </c>
      <c r="D119" s="7" t="s">
        <v>464</v>
      </c>
      <c r="E119" s="8" t="s">
        <v>465</v>
      </c>
      <c r="F119" s="6" t="s">
        <v>466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467</v>
      </c>
      <c r="B120" s="6" t="s">
        <v>39</v>
      </c>
      <c r="C120" s="6" t="s">
        <v>88</v>
      </c>
      <c r="D120" s="7" t="s">
        <v>403</v>
      </c>
      <c r="E120" s="8" t="s">
        <v>468</v>
      </c>
      <c r="F120" s="6" t="s">
        <v>469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470</v>
      </c>
      <c r="B121" s="6" t="s">
        <v>19</v>
      </c>
      <c r="C121" s="6" t="s">
        <v>12</v>
      </c>
      <c r="D121" s="7" t="s">
        <v>471</v>
      </c>
      <c r="E121" s="8" t="s">
        <v>472</v>
      </c>
      <c r="F121" s="6" t="s">
        <v>473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474</v>
      </c>
      <c r="B122" s="6" t="s">
        <v>11</v>
      </c>
      <c r="C122" s="6" t="s">
        <v>12</v>
      </c>
      <c r="D122" s="7" t="s">
        <v>93</v>
      </c>
      <c r="E122" s="8" t="s">
        <v>475</v>
      </c>
      <c r="F122" s="6" t="s">
        <v>476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477</v>
      </c>
      <c r="B123" s="6" t="s">
        <v>19</v>
      </c>
      <c r="C123" s="6" t="s">
        <v>12</v>
      </c>
      <c r="D123" s="7" t="s">
        <v>51</v>
      </c>
      <c r="E123" s="8" t="s">
        <v>478</v>
      </c>
      <c r="F123" s="6" t="s">
        <v>479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480</v>
      </c>
      <c r="B124" s="6" t="s">
        <v>11</v>
      </c>
      <c r="C124" s="6" t="s">
        <v>12</v>
      </c>
      <c r="D124" s="7" t="s">
        <v>481</v>
      </c>
      <c r="E124" s="8" t="s">
        <v>482</v>
      </c>
      <c r="F124" s="6" t="s">
        <v>483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484</v>
      </c>
      <c r="B125" s="6" t="s">
        <v>29</v>
      </c>
      <c r="C125" s="6" t="s">
        <v>12</v>
      </c>
      <c r="D125" s="7" t="s">
        <v>403</v>
      </c>
      <c r="E125" s="8" t="s">
        <v>485</v>
      </c>
      <c r="F125" s="6" t="s">
        <v>486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487</v>
      </c>
      <c r="B126" s="6" t="s">
        <v>19</v>
      </c>
      <c r="C126" s="6" t="s">
        <v>12</v>
      </c>
      <c r="D126" s="7" t="s">
        <v>403</v>
      </c>
      <c r="E126" s="8" t="s">
        <v>488</v>
      </c>
      <c r="F126" s="6" t="s">
        <v>489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490</v>
      </c>
      <c r="B127" s="6" t="s">
        <v>11</v>
      </c>
      <c r="C127" s="6" t="s">
        <v>12</v>
      </c>
      <c r="D127" s="7" t="s">
        <v>491</v>
      </c>
      <c r="E127" s="8" t="s">
        <v>492</v>
      </c>
      <c r="F127" s="6" t="s">
        <v>493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494</v>
      </c>
      <c r="B128" s="6" t="s">
        <v>28</v>
      </c>
      <c r="C128" s="6" t="s">
        <v>12</v>
      </c>
      <c r="D128" s="7" t="s">
        <v>251</v>
      </c>
      <c r="E128" s="8" t="s">
        <v>495</v>
      </c>
      <c r="F128" s="6" t="s">
        <v>496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497</v>
      </c>
      <c r="B129" s="6" t="s">
        <v>11</v>
      </c>
      <c r="C129" s="6" t="s">
        <v>12</v>
      </c>
      <c r="D129" s="7" t="s">
        <v>498</v>
      </c>
      <c r="E129" s="8" t="s">
        <v>499</v>
      </c>
      <c r="F129" s="6" t="s">
        <v>500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501</v>
      </c>
      <c r="B130" s="6" t="s">
        <v>20</v>
      </c>
      <c r="C130" s="6" t="s">
        <v>12</v>
      </c>
      <c r="D130" s="7" t="s">
        <v>502</v>
      </c>
      <c r="E130" s="8" t="s">
        <v>503</v>
      </c>
      <c r="F130" s="6" t="s">
        <v>504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505</v>
      </c>
      <c r="B131" s="6" t="s">
        <v>20</v>
      </c>
      <c r="C131" s="6" t="s">
        <v>12</v>
      </c>
      <c r="D131" s="7" t="s">
        <v>506</v>
      </c>
      <c r="E131" s="8" t="s">
        <v>507</v>
      </c>
      <c r="F131" s="6" t="s">
        <v>508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509</v>
      </c>
      <c r="B132" s="6" t="s">
        <v>50</v>
      </c>
      <c r="C132" s="6" t="s">
        <v>12</v>
      </c>
      <c r="D132" s="7" t="s">
        <v>118</v>
      </c>
      <c r="E132" s="8" t="s">
        <v>510</v>
      </c>
      <c r="F132" s="6" t="s">
        <v>511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512</v>
      </c>
      <c r="B133" s="6" t="s">
        <v>19</v>
      </c>
      <c r="C133" s="6" t="s">
        <v>12</v>
      </c>
      <c r="D133" s="7" t="s">
        <v>118</v>
      </c>
      <c r="E133" s="8" t="s">
        <v>513</v>
      </c>
      <c r="F133" s="6" t="s">
        <v>514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515</v>
      </c>
      <c r="B134" s="6" t="s">
        <v>28</v>
      </c>
      <c r="C134" s="6" t="s">
        <v>12</v>
      </c>
      <c r="D134" s="7" t="s">
        <v>516</v>
      </c>
      <c r="E134" s="8" t="s">
        <v>517</v>
      </c>
      <c r="F134" s="6" t="s">
        <v>518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519</v>
      </c>
      <c r="B135" s="6" t="s">
        <v>29</v>
      </c>
      <c r="C135" s="6" t="s">
        <v>101</v>
      </c>
      <c r="D135" s="7" t="s">
        <v>193</v>
      </c>
      <c r="E135" s="8" t="s">
        <v>520</v>
      </c>
      <c r="F135" s="6" t="s">
        <v>521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522</v>
      </c>
      <c r="B136" s="6" t="s">
        <v>24</v>
      </c>
      <c r="C136" s="6" t="s">
        <v>381</v>
      </c>
      <c r="D136" s="7" t="s">
        <v>523</v>
      </c>
      <c r="E136" s="8" t="s">
        <v>524</v>
      </c>
      <c r="F136" s="6" t="s">
        <v>525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526</v>
      </c>
      <c r="B137" s="6" t="s">
        <v>20</v>
      </c>
      <c r="C137" s="6" t="s">
        <v>12</v>
      </c>
      <c r="D137" s="7" t="s">
        <v>59</v>
      </c>
      <c r="E137" s="8" t="s">
        <v>527</v>
      </c>
      <c r="F137" s="6" t="s">
        <v>528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529</v>
      </c>
      <c r="B138" s="6" t="s">
        <v>43</v>
      </c>
      <c r="C138" s="6" t="s">
        <v>12</v>
      </c>
      <c r="D138" s="7" t="s">
        <v>530</v>
      </c>
      <c r="E138" s="8" t="s">
        <v>531</v>
      </c>
      <c r="F138" s="6" t="s">
        <v>532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533</v>
      </c>
      <c r="B139" s="6" t="s">
        <v>19</v>
      </c>
      <c r="C139" s="6" t="s">
        <v>12</v>
      </c>
      <c r="D139" s="7" t="s">
        <v>534</v>
      </c>
      <c r="E139" s="8" t="s">
        <v>535</v>
      </c>
      <c r="F139" s="6" t="s">
        <v>536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537</v>
      </c>
      <c r="B140" s="6" t="s">
        <v>11</v>
      </c>
      <c r="C140" s="6" t="s">
        <v>12</v>
      </c>
      <c r="D140" s="7" t="s">
        <v>538</v>
      </c>
      <c r="E140" s="8" t="s">
        <v>539</v>
      </c>
      <c r="F140" s="6" t="s">
        <v>540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541</v>
      </c>
      <c r="B141" s="6" t="s">
        <v>10</v>
      </c>
      <c r="C141" s="6" t="s">
        <v>12</v>
      </c>
      <c r="D141" s="7" t="s">
        <v>502</v>
      </c>
      <c r="E141" s="8" t="s">
        <v>542</v>
      </c>
      <c r="F141" s="6" t="s">
        <v>543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544</v>
      </c>
      <c r="B142" s="6" t="s">
        <v>11</v>
      </c>
      <c r="C142" s="6" t="s">
        <v>12</v>
      </c>
      <c r="D142" s="7" t="s">
        <v>545</v>
      </c>
      <c r="E142" s="8" t="s">
        <v>546</v>
      </c>
      <c r="F142" s="6" t="s">
        <v>547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548</v>
      </c>
      <c r="B143" s="6" t="s">
        <v>20</v>
      </c>
      <c r="C143" s="6" t="s">
        <v>12</v>
      </c>
      <c r="D143" s="7" t="s">
        <v>59</v>
      </c>
      <c r="E143" s="8" t="s">
        <v>549</v>
      </c>
      <c r="F143" s="6" t="s">
        <v>550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551</v>
      </c>
      <c r="B144" s="6" t="s">
        <v>11</v>
      </c>
      <c r="C144" s="6" t="s">
        <v>12</v>
      </c>
      <c r="D144" s="7" t="s">
        <v>59</v>
      </c>
      <c r="E144" s="8" t="s">
        <v>552</v>
      </c>
      <c r="F144" s="6" t="s">
        <v>553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554</v>
      </c>
      <c r="B145" s="6" t="s">
        <v>20</v>
      </c>
      <c r="C145" s="6" t="s">
        <v>381</v>
      </c>
      <c r="D145" s="7" t="s">
        <v>555</v>
      </c>
      <c r="E145" s="8" t="s">
        <v>556</v>
      </c>
      <c r="F145" s="6" t="s">
        <v>557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558</v>
      </c>
      <c r="B146" s="6" t="s">
        <v>11</v>
      </c>
      <c r="C146" s="6" t="s">
        <v>12</v>
      </c>
      <c r="D146" s="7" t="s">
        <v>559</v>
      </c>
      <c r="E146" s="8" t="s">
        <v>560</v>
      </c>
      <c r="F146" s="6" t="s">
        <v>561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562</v>
      </c>
      <c r="B147" s="6" t="s">
        <v>29</v>
      </c>
      <c r="C147" s="6" t="s">
        <v>12</v>
      </c>
      <c r="D147" s="7" t="s">
        <v>563</v>
      </c>
      <c r="E147" s="8" t="s">
        <v>564</v>
      </c>
      <c r="F147" s="6" t="s">
        <v>565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566</v>
      </c>
      <c r="B148" s="6" t="s">
        <v>19</v>
      </c>
      <c r="C148" s="6" t="s">
        <v>12</v>
      </c>
      <c r="D148" s="7" t="s">
        <v>567</v>
      </c>
      <c r="E148" s="8" t="s">
        <v>568</v>
      </c>
      <c r="F148" s="6" t="s">
        <v>569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570</v>
      </c>
      <c r="B149" s="6" t="s">
        <v>11</v>
      </c>
      <c r="C149" s="6" t="s">
        <v>12</v>
      </c>
      <c r="D149" s="7" t="s">
        <v>571</v>
      </c>
      <c r="E149" s="8" t="s">
        <v>572</v>
      </c>
      <c r="F149" s="6" t="s">
        <v>573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574</v>
      </c>
      <c r="B150" s="6" t="s">
        <v>19</v>
      </c>
      <c r="C150" s="6" t="s">
        <v>12</v>
      </c>
      <c r="D150" s="7" t="s">
        <v>55</v>
      </c>
      <c r="E150" s="8" t="s">
        <v>575</v>
      </c>
      <c r="F150" s="6" t="s">
        <v>576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577</v>
      </c>
      <c r="B151" s="6" t="s">
        <v>10</v>
      </c>
      <c r="C151" s="6" t="s">
        <v>12</v>
      </c>
      <c r="D151" s="7" t="s">
        <v>578</v>
      </c>
      <c r="E151" s="8" t="s">
        <v>579</v>
      </c>
      <c r="F151" s="6" t="s">
        <v>580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581</v>
      </c>
      <c r="B152" s="6" t="s">
        <v>66</v>
      </c>
      <c r="C152" s="6" t="s">
        <v>12</v>
      </c>
      <c r="D152" s="7" t="s">
        <v>582</v>
      </c>
      <c r="E152" s="8" t="s">
        <v>583</v>
      </c>
      <c r="F152" s="6" t="s">
        <v>584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585</v>
      </c>
      <c r="B153" s="6" t="s">
        <v>20</v>
      </c>
      <c r="C153" s="6" t="s">
        <v>12</v>
      </c>
      <c r="D153" s="7" t="s">
        <v>586</v>
      </c>
      <c r="E153" s="8" t="s">
        <v>587</v>
      </c>
      <c r="F153" s="6" t="s">
        <v>588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589</v>
      </c>
      <c r="B154" s="6" t="s">
        <v>66</v>
      </c>
      <c r="C154" s="6" t="s">
        <v>12</v>
      </c>
      <c r="D154" s="7" t="s">
        <v>590</v>
      </c>
      <c r="E154" s="8" t="s">
        <v>591</v>
      </c>
      <c r="F154" s="6" t="s">
        <v>592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593</v>
      </c>
      <c r="B155" s="6" t="s">
        <v>11</v>
      </c>
      <c r="C155" s="6" t="s">
        <v>12</v>
      </c>
      <c r="D155" s="7" t="s">
        <v>594</v>
      </c>
      <c r="E155" s="8" t="s">
        <v>595</v>
      </c>
      <c r="F155" s="6" t="s">
        <v>596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597</v>
      </c>
      <c r="B156" s="6" t="s">
        <v>11</v>
      </c>
      <c r="C156" s="6" t="s">
        <v>12</v>
      </c>
      <c r="D156" s="7" t="s">
        <v>598</v>
      </c>
      <c r="E156" s="8" t="s">
        <v>599</v>
      </c>
      <c r="F156" s="6" t="s">
        <v>600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601</v>
      </c>
      <c r="B157" s="6" t="s">
        <v>19</v>
      </c>
      <c r="C157" s="6" t="s">
        <v>12</v>
      </c>
      <c r="D157" s="7" t="s">
        <v>251</v>
      </c>
      <c r="E157" s="8" t="s">
        <v>602</v>
      </c>
      <c r="F157" s="6" t="s">
        <v>603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604</v>
      </c>
      <c r="B158" s="6" t="s">
        <v>29</v>
      </c>
      <c r="C158" s="6" t="s">
        <v>12</v>
      </c>
      <c r="D158" s="7" t="s">
        <v>605</v>
      </c>
      <c r="E158" s="8" t="s">
        <v>606</v>
      </c>
      <c r="F158" s="6" t="s">
        <v>607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608</v>
      </c>
      <c r="B159" s="6" t="s">
        <v>11</v>
      </c>
      <c r="C159" s="6" t="s">
        <v>12</v>
      </c>
      <c r="D159" s="7" t="s">
        <v>438</v>
      </c>
      <c r="E159" s="8" t="s">
        <v>609</v>
      </c>
      <c r="F159" s="6" t="s">
        <v>610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611</v>
      </c>
      <c r="B160" s="6" t="s">
        <v>28</v>
      </c>
      <c r="C160" s="6" t="s">
        <v>12</v>
      </c>
      <c r="D160" s="7" t="s">
        <v>612</v>
      </c>
      <c r="E160" s="8" t="s">
        <v>613</v>
      </c>
      <c r="F160" s="6" t="s">
        <v>614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615</v>
      </c>
      <c r="B161" s="6" t="s">
        <v>24</v>
      </c>
      <c r="C161" s="6" t="s">
        <v>88</v>
      </c>
      <c r="D161" s="7" t="s">
        <v>51</v>
      </c>
      <c r="E161" s="8" t="s">
        <v>616</v>
      </c>
      <c r="F161" s="6" t="s">
        <v>617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618</v>
      </c>
      <c r="B162" s="6" t="s">
        <v>19</v>
      </c>
      <c r="C162" s="6" t="s">
        <v>12</v>
      </c>
      <c r="D162" s="7" t="s">
        <v>619</v>
      </c>
      <c r="E162" s="8" t="s">
        <v>620</v>
      </c>
      <c r="F162" s="6" t="s">
        <v>621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622</v>
      </c>
      <c r="B163" s="6" t="s">
        <v>11</v>
      </c>
      <c r="C163" s="6" t="s">
        <v>12</v>
      </c>
      <c r="D163" s="7" t="s">
        <v>538</v>
      </c>
      <c r="E163" s="8" t="s">
        <v>623</v>
      </c>
      <c r="F163" s="6" t="s">
        <v>624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625</v>
      </c>
      <c r="B164" s="6" t="s">
        <v>19</v>
      </c>
      <c r="C164" s="6" t="s">
        <v>12</v>
      </c>
      <c r="D164" s="7" t="s">
        <v>626</v>
      </c>
      <c r="E164" s="8" t="s">
        <v>627</v>
      </c>
      <c r="F164" s="6" t="s">
        <v>628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629</v>
      </c>
      <c r="B165" s="6" t="s">
        <v>10</v>
      </c>
      <c r="C165" s="6" t="s">
        <v>12</v>
      </c>
      <c r="D165" s="7" t="s">
        <v>630</v>
      </c>
      <c r="E165" s="8" t="s">
        <v>631</v>
      </c>
      <c r="F165" s="6" t="s">
        <v>632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633</v>
      </c>
      <c r="B166" s="6" t="s">
        <v>24</v>
      </c>
      <c r="C166" s="6" t="s">
        <v>12</v>
      </c>
      <c r="D166" s="7" t="s">
        <v>316</v>
      </c>
      <c r="E166" s="8" t="s">
        <v>634</v>
      </c>
      <c r="F166" s="6" t="s">
        <v>635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636</v>
      </c>
      <c r="B167" s="6" t="s">
        <v>19</v>
      </c>
      <c r="C167" s="6" t="s">
        <v>12</v>
      </c>
      <c r="D167" s="7" t="s">
        <v>637</v>
      </c>
      <c r="E167" s="8" t="s">
        <v>638</v>
      </c>
      <c r="F167" s="6" t="s">
        <v>639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640</v>
      </c>
      <c r="B168" s="6" t="s">
        <v>19</v>
      </c>
      <c r="C168" s="6" t="s">
        <v>12</v>
      </c>
      <c r="D168" s="7" t="s">
        <v>438</v>
      </c>
      <c r="E168" s="8" t="s">
        <v>641</v>
      </c>
      <c r="F168" s="6" t="s">
        <v>642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643</v>
      </c>
      <c r="B169" s="6" t="s">
        <v>11</v>
      </c>
      <c r="C169" s="6" t="s">
        <v>12</v>
      </c>
      <c r="D169" s="7" t="s">
        <v>59</v>
      </c>
      <c r="E169" s="8" t="s">
        <v>644</v>
      </c>
      <c r="F169" s="6" t="s">
        <v>645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646</v>
      </c>
      <c r="B170" s="6" t="s">
        <v>11</v>
      </c>
      <c r="C170" s="6" t="s">
        <v>12</v>
      </c>
      <c r="D170" s="7" t="s">
        <v>647</v>
      </c>
      <c r="E170" s="8" t="s">
        <v>648</v>
      </c>
      <c r="F170" s="6" t="s">
        <v>649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650</v>
      </c>
      <c r="B171" s="6" t="s">
        <v>10</v>
      </c>
      <c r="C171" s="6" t="s">
        <v>12</v>
      </c>
      <c r="D171" s="7" t="s">
        <v>651</v>
      </c>
      <c r="E171" s="8" t="s">
        <v>652</v>
      </c>
      <c r="F171" s="6" t="s">
        <v>653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654</v>
      </c>
      <c r="B172" s="6" t="s">
        <v>28</v>
      </c>
      <c r="C172" s="6" t="s">
        <v>381</v>
      </c>
      <c r="D172" s="7" t="s">
        <v>516</v>
      </c>
      <c r="E172" s="8" t="s">
        <v>655</v>
      </c>
      <c r="F172" s="6" t="s">
        <v>656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657</v>
      </c>
      <c r="B173" s="6" t="s">
        <v>46</v>
      </c>
      <c r="C173" s="6" t="s">
        <v>12</v>
      </c>
      <c r="D173" s="7" t="s">
        <v>658</v>
      </c>
      <c r="E173" s="8" t="s">
        <v>659</v>
      </c>
      <c r="F173" s="6" t="s">
        <v>660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661</v>
      </c>
      <c r="B174" s="6" t="s">
        <v>11</v>
      </c>
      <c r="C174" s="6" t="s">
        <v>12</v>
      </c>
      <c r="D174" s="7" t="s">
        <v>516</v>
      </c>
      <c r="E174" s="8" t="s">
        <v>662</v>
      </c>
      <c r="F174" s="6" t="s">
        <v>663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664</v>
      </c>
      <c r="B175" s="6" t="s">
        <v>28</v>
      </c>
      <c r="C175" s="6" t="s">
        <v>12</v>
      </c>
      <c r="D175" s="7" t="s">
        <v>665</v>
      </c>
      <c r="E175" s="8" t="s">
        <v>666</v>
      </c>
      <c r="F175" s="6" t="s">
        <v>667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668</v>
      </c>
      <c r="B176" s="6" t="s">
        <v>10</v>
      </c>
      <c r="C176" s="6" t="s">
        <v>12</v>
      </c>
      <c r="D176" s="7" t="s">
        <v>669</v>
      </c>
      <c r="E176" s="8" t="s">
        <v>670</v>
      </c>
      <c r="F176" s="6" t="s">
        <v>671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9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672</v>
      </c>
      <c r="B1" s="13" t="s">
        <v>673</v>
      </c>
      <c r="C1" s="13" t="s">
        <v>674</v>
      </c>
      <c r="D1" s="13" t="s">
        <v>675</v>
      </c>
      <c r="E1" s="14" t="s">
        <v>676</v>
      </c>
      <c r="F1" s="15" t="s">
        <v>677</v>
      </c>
      <c r="G1" s="16" t="s">
        <v>678</v>
      </c>
      <c r="H1" s="17" t="s">
        <v>679</v>
      </c>
      <c r="I1" s="18" t="s">
        <v>680</v>
      </c>
      <c r="J1" s="18" t="s">
        <v>681</v>
      </c>
      <c r="K1" s="18" t="s">
        <v>682</v>
      </c>
      <c r="L1" s="19" t="s">
        <v>9</v>
      </c>
    </row>
    <row r="2" spans="1:12">
      <c r="A2" s="20" t="s">
        <v>683</v>
      </c>
    </row>
    <row r="3" spans="1:12">
      <c r="A3" s="20" t="s">
        <v>684</v>
      </c>
      <c r="B3" s="21" t="s">
        <v>685</v>
      </c>
      <c r="C3" s="21" t="s">
        <v>686</v>
      </c>
      <c r="D3" s="21" t="s">
        <v>687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688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689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690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691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692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/>
    </row>
    <row r="10" spans="1:12">
      <c r="A10" s="20" t="s">
        <v>693</v>
      </c>
    </row>
    <row r="11" spans="1:12">
      <c r="A11" s="20" t="s">
        <v>684</v>
      </c>
      <c r="B11" s="21" t="s">
        <v>685</v>
      </c>
      <c r="C11" s="21" t="s">
        <v>686</v>
      </c>
      <c r="D11" s="21" t="s">
        <v>687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694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695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696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689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697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698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699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695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651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700</v>
      </c>
      <c r="B21" s="21" t="s">
        <v>701</v>
      </c>
      <c r="C21" s="21" t="s">
        <v>702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703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704</v>
      </c>
      <c r="B23" s="21" t="s">
        <v>705</v>
      </c>
      <c r="C23" s="21" t="s">
        <v>702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692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/>
    </row>
    <row r="26" spans="1:12">
      <c r="A26" s="20" t="s">
        <v>706</v>
      </c>
    </row>
    <row r="27" spans="1:12">
      <c r="A27" s="20" t="s">
        <v>707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708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709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710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711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712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713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12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714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711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712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715</v>
      </c>
      <c r="B38" s="21" t="s">
        <v>716</v>
      </c>
      <c r="C38" s="21" t="s">
        <v>717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718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719</v>
      </c>
      <c r="B40" s="21" t="s">
        <v>720</v>
      </c>
      <c r="C40" s="21" t="s">
        <v>686</v>
      </c>
      <c r="D40" s="21" t="s">
        <v>687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695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721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722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723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724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695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725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726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727</v>
      </c>
      <c r="B49" s="21" t="s">
        <v>728</v>
      </c>
      <c r="C49" s="21" t="s">
        <v>729</v>
      </c>
      <c r="D49" s="21" t="s">
        <v>687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730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731</v>
      </c>
      <c r="B51" s="21" t="s">
        <v>732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733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692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/>
    </row>
    <row r="55" spans="1:12">
      <c r="A55" s="20" t="s">
        <v>734</v>
      </c>
    </row>
    <row r="56" spans="1:12">
      <c r="A56" s="20" t="s">
        <v>707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735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712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365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736</v>
      </c>
      <c r="B60" s="21" t="s">
        <v>685</v>
      </c>
      <c r="C60" s="21" t="s">
        <v>737</v>
      </c>
      <c r="D60" s="21" t="s">
        <v>687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738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739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695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740</v>
      </c>
      <c r="B64" s="21" t="s">
        <v>705</v>
      </c>
      <c r="C64" s="21" t="s">
        <v>741</v>
      </c>
      <c r="D64" s="21" t="s">
        <v>687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712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742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712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743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744</v>
      </c>
      <c r="B69" s="21" t="s">
        <v>745</v>
      </c>
      <c r="C69" s="21" t="s">
        <v>686</v>
      </c>
      <c r="D69" s="21" t="s">
        <v>687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746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709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695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747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712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744</v>
      </c>
      <c r="B75" s="21" t="s">
        <v>716</v>
      </c>
      <c r="C75" s="21" t="s">
        <v>686</v>
      </c>
      <c r="D75" s="21" t="s">
        <v>687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709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695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748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712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749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723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750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751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752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753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712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754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712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755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712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756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757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758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712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759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723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760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761</v>
      </c>
      <c r="B98" s="21" t="s">
        <v>762</v>
      </c>
      <c r="C98" s="21" t="s">
        <v>686</v>
      </c>
      <c r="D98" s="21" t="s">
        <v>687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763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712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764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765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766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767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692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/>
    </row>
    <row r="107" spans="1:12">
      <c r="A107" s="20" t="s">
        <v>768</v>
      </c>
    </row>
    <row r="108" spans="1:12">
      <c r="A108" s="20" t="s">
        <v>769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712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744</v>
      </c>
      <c r="B110" s="21" t="s">
        <v>685</v>
      </c>
      <c r="C110" s="21" t="s">
        <v>686</v>
      </c>
      <c r="D110" s="21" t="s">
        <v>687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709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770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771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689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772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692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/>
    </row>
    <row r="118" spans="1:12">
      <c r="A118" s="20" t="s">
        <v>773</v>
      </c>
    </row>
    <row r="119" spans="1:12">
      <c r="A119" s="20" t="s">
        <v>774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365</v>
      </c>
      <c r="B120" s="21" t="s">
        <v>685</v>
      </c>
      <c r="C120" s="21" t="s">
        <v>741</v>
      </c>
      <c r="D120" s="21" t="s">
        <v>687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775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776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777</v>
      </c>
      <c r="B123" s="21" t="s">
        <v>705</v>
      </c>
      <c r="C123" s="21" t="s">
        <v>741</v>
      </c>
      <c r="D123" s="21" t="s">
        <v>687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712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764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457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778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779</v>
      </c>
      <c r="B128" s="21" t="s">
        <v>780</v>
      </c>
      <c r="C128" s="21" t="s">
        <v>737</v>
      </c>
      <c r="D128" s="21" t="s">
        <v>687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712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118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781</v>
      </c>
      <c r="B131" s="21" t="s">
        <v>720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782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692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/>
    </row>
    <row r="135" spans="1:12">
      <c r="A135" s="20" t="s">
        <v>783</v>
      </c>
    </row>
    <row r="136" spans="1:12">
      <c r="A136" s="20" t="s">
        <v>707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784</v>
      </c>
      <c r="B137" s="21" t="s">
        <v>701</v>
      </c>
      <c r="C137" s="21" t="s">
        <v>729</v>
      </c>
      <c r="D137" s="21" t="s">
        <v>687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785</v>
      </c>
      <c r="B138" s="21" t="s">
        <v>685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786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690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691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787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788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789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695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790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719</v>
      </c>
      <c r="B147" s="21" t="s">
        <v>791</v>
      </c>
      <c r="C147" s="21" t="s">
        <v>686</v>
      </c>
      <c r="D147" s="21" t="s">
        <v>687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792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712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793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794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795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796</v>
      </c>
      <c r="B153" s="21" t="s">
        <v>797</v>
      </c>
      <c r="C153" s="21" t="s">
        <v>737</v>
      </c>
      <c r="D153" s="21" t="s">
        <v>687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798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799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800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712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801</v>
      </c>
      <c r="B158" s="21" t="s">
        <v>802</v>
      </c>
      <c r="C158" s="21" t="s">
        <v>686</v>
      </c>
      <c r="D158" s="21" t="s">
        <v>687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803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689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804</v>
      </c>
      <c r="B161" s="21" t="s">
        <v>701</v>
      </c>
      <c r="C161" s="21" t="s">
        <v>805</v>
      </c>
      <c r="D161" s="21" t="s">
        <v>687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712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801</v>
      </c>
      <c r="B163" s="21" t="s">
        <v>802</v>
      </c>
      <c r="C163" s="21" t="s">
        <v>686</v>
      </c>
      <c r="D163" s="21" t="s">
        <v>687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806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807</v>
      </c>
      <c r="B165" s="21" t="s">
        <v>780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808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692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/>
    </row>
    <row r="169" spans="1:12">
      <c r="A169" s="20" t="s">
        <v>809</v>
      </c>
    </row>
    <row r="170" spans="1:12">
      <c r="A170" s="20" t="s">
        <v>810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811</v>
      </c>
      <c r="B171" s="21" t="s">
        <v>685</v>
      </c>
      <c r="C171" s="21" t="s">
        <v>805</v>
      </c>
      <c r="D171" s="21" t="s">
        <v>687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812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695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813</v>
      </c>
      <c r="B174" s="21" t="s">
        <v>701</v>
      </c>
      <c r="C174" s="21" t="s">
        <v>729</v>
      </c>
      <c r="D174" s="21" t="s">
        <v>687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814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695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795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815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816</v>
      </c>
      <c r="B179" s="21" t="s">
        <v>701</v>
      </c>
      <c r="C179" s="21" t="s">
        <v>737</v>
      </c>
      <c r="D179" s="21" t="s">
        <v>687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712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817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818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712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819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712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723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820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722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712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821</v>
      </c>
      <c r="B190" s="21" t="s">
        <v>791</v>
      </c>
      <c r="C190" s="21" t="s">
        <v>717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801</v>
      </c>
      <c r="B191" s="21" t="s">
        <v>822</v>
      </c>
      <c r="C191" s="21" t="s">
        <v>686</v>
      </c>
      <c r="D191" s="21" t="s">
        <v>687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723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278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823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746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824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692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/>
    </row>
    <row r="199" spans="1:12">
      <c r="A199" s="20" t="s">
        <v>825</v>
      </c>
    </row>
    <row r="200" spans="1:12">
      <c r="A200" s="20" t="s">
        <v>826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827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712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787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712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742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365</v>
      </c>
      <c r="B206" s="21" t="s">
        <v>802</v>
      </c>
      <c r="C206" s="21" t="s">
        <v>741</v>
      </c>
      <c r="D206" s="21" t="s">
        <v>687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828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829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830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831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690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832</v>
      </c>
      <c r="B212" s="21" t="s">
        <v>701</v>
      </c>
      <c r="C212" s="21" t="s">
        <v>737</v>
      </c>
      <c r="D212" s="21" t="s">
        <v>687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692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/>
    </row>
    <row r="215" spans="1:12">
      <c r="A215" s="20" t="s">
        <v>833</v>
      </c>
    </row>
    <row r="216" spans="1:12">
      <c r="A216" s="20" t="s">
        <v>834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744</v>
      </c>
      <c r="B217" s="21" t="s">
        <v>685</v>
      </c>
      <c r="C217" s="21" t="s">
        <v>686</v>
      </c>
      <c r="D217" s="21" t="s">
        <v>687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709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835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692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/>
    </row>
    <row r="222" spans="1:12">
      <c r="A222" s="20" t="s">
        <v>836</v>
      </c>
    </row>
    <row r="223" spans="1:12">
      <c r="A223" s="20" t="s">
        <v>684</v>
      </c>
      <c r="B223" s="21" t="s">
        <v>685</v>
      </c>
      <c r="C223" s="21" t="s">
        <v>686</v>
      </c>
      <c r="D223" s="21" t="s">
        <v>687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837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63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723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255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838</v>
      </c>
      <c r="B228" s="21" t="s">
        <v>720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692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/>
    </row>
    <row r="231" spans="1:12">
      <c r="A231" s="20" t="s">
        <v>839</v>
      </c>
    </row>
    <row r="232" spans="1:12">
      <c r="A232" s="20" t="s">
        <v>707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744</v>
      </c>
      <c r="B233" s="21" t="s">
        <v>802</v>
      </c>
      <c r="C233" s="21" t="s">
        <v>686</v>
      </c>
      <c r="D233" s="21" t="s">
        <v>687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840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712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841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842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746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775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843</v>
      </c>
      <c r="B240" s="21" t="s">
        <v>685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723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844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845</v>
      </c>
      <c r="B243" s="21" t="s">
        <v>701</v>
      </c>
      <c r="C243" s="21" t="s">
        <v>741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846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695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847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712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794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848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849</v>
      </c>
      <c r="B250" s="21" t="s">
        <v>850</v>
      </c>
      <c r="C250" s="21" t="s">
        <v>737</v>
      </c>
      <c r="D250" s="21" t="s">
        <v>687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712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742</v>
      </c>
      <c r="B252" s="21" t="s">
        <v>802</v>
      </c>
      <c r="C252" s="21" t="s">
        <v>717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851</v>
      </c>
      <c r="B253" s="21" t="s">
        <v>780</v>
      </c>
      <c r="C253" s="21" t="s">
        <v>686</v>
      </c>
      <c r="D253" s="21" t="s">
        <v>687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852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590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853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854</v>
      </c>
      <c r="B257" s="21" t="s">
        <v>720</v>
      </c>
      <c r="C257" s="21" t="s">
        <v>737</v>
      </c>
      <c r="D257" s="21" t="s">
        <v>687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855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856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695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857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692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/>
    </row>
    <row r="264" spans="1:12">
      <c r="A264" s="20" t="s">
        <v>858</v>
      </c>
    </row>
    <row r="265" spans="1:12">
      <c r="A265" s="20" t="s">
        <v>826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859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801</v>
      </c>
      <c r="B267" s="21" t="s">
        <v>685</v>
      </c>
      <c r="C267" s="21" t="s">
        <v>686</v>
      </c>
      <c r="D267" s="21" t="s">
        <v>687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860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365</v>
      </c>
      <c r="B269" s="21" t="s">
        <v>861</v>
      </c>
      <c r="C269" s="21" t="s">
        <v>741</v>
      </c>
      <c r="D269" s="21" t="s">
        <v>687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862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712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863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864</v>
      </c>
      <c r="B273" s="21" t="s">
        <v>780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723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865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866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867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868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869</v>
      </c>
      <c r="B279" s="21" t="s">
        <v>780</v>
      </c>
      <c r="C279" s="21" t="s">
        <v>717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689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870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695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871</v>
      </c>
      <c r="B283" s="21" t="s">
        <v>728</v>
      </c>
      <c r="C283" s="21" t="s">
        <v>729</v>
      </c>
      <c r="D283" s="21" t="s">
        <v>687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857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692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/>
    </row>
    <row r="287" spans="1:12">
      <c r="A287" s="20" t="s">
        <v>872</v>
      </c>
    </row>
    <row r="288" spans="1:12">
      <c r="A288" s="20" t="s">
        <v>834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744</v>
      </c>
      <c r="B289" s="21" t="s">
        <v>685</v>
      </c>
      <c r="C289" s="21" t="s">
        <v>686</v>
      </c>
      <c r="D289" s="21" t="s">
        <v>687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873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723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874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838</v>
      </c>
      <c r="B293" s="21" t="s">
        <v>780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712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875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876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877</v>
      </c>
      <c r="B297" s="21" t="s">
        <v>780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712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878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722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712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879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712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880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881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723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882</v>
      </c>
      <c r="B307" s="21" t="s">
        <v>705</v>
      </c>
      <c r="C307" s="21" t="s">
        <v>741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883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692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/>
    </row>
    <row r="311" spans="1:12">
      <c r="A311" s="20" t="s">
        <v>884</v>
      </c>
    </row>
    <row r="312" spans="1:12">
      <c r="A312" s="20" t="s">
        <v>885</v>
      </c>
      <c r="B312" s="21" t="s">
        <v>861</v>
      </c>
      <c r="C312" s="21" t="s">
        <v>686</v>
      </c>
      <c r="D312" s="21" t="s">
        <v>687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886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887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689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888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889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890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891</v>
      </c>
      <c r="B319" s="21" t="s">
        <v>705</v>
      </c>
      <c r="C319" s="21" t="s">
        <v>741</v>
      </c>
      <c r="D319" s="21" t="s">
        <v>687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712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742</v>
      </c>
      <c r="B321" s="21" t="s">
        <v>720</v>
      </c>
      <c r="C321" s="21" t="s">
        <v>717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744</v>
      </c>
      <c r="B322" s="21" t="s">
        <v>716</v>
      </c>
      <c r="C322" s="21" t="s">
        <v>686</v>
      </c>
      <c r="D322" s="21" t="s">
        <v>687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873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712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892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893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692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/>
    </row>
    <row r="329" spans="1:12">
      <c r="A329" s="20" t="s">
        <v>894</v>
      </c>
    </row>
    <row r="330" spans="1:12">
      <c r="A330" s="20" t="s">
        <v>895</v>
      </c>
      <c r="B330" s="21" t="s">
        <v>685</v>
      </c>
      <c r="C330" s="21" t="s">
        <v>741</v>
      </c>
      <c r="D330" s="21" t="s">
        <v>687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775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896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897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712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898</v>
      </c>
      <c r="B335" s="21" t="s">
        <v>720</v>
      </c>
      <c r="C335" s="21" t="s">
        <v>717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899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775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900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901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856</v>
      </c>
      <c r="B340" s="21" t="s">
        <v>720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692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/>
    </row>
    <row r="343" spans="1:12">
      <c r="A343" s="20" t="s">
        <v>902</v>
      </c>
    </row>
    <row r="344" spans="1:12">
      <c r="A344" s="20" t="s">
        <v>707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903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904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905</v>
      </c>
      <c r="B347" s="21" t="s">
        <v>685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712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906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811</v>
      </c>
      <c r="B350" s="21" t="s">
        <v>797</v>
      </c>
      <c r="C350" s="21" t="s">
        <v>805</v>
      </c>
      <c r="D350" s="21" t="s">
        <v>687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907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908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719</v>
      </c>
      <c r="B353" s="21" t="s">
        <v>780</v>
      </c>
      <c r="C353" s="21" t="s">
        <v>686</v>
      </c>
      <c r="D353" s="21" t="s">
        <v>687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909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910</v>
      </c>
      <c r="B355" s="21" t="s">
        <v>701</v>
      </c>
      <c r="C355" s="21" t="s">
        <v>737</v>
      </c>
      <c r="D355" s="21" t="s">
        <v>687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712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742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911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779</v>
      </c>
      <c r="B359" s="21" t="s">
        <v>745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912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913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914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759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689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915</v>
      </c>
      <c r="B365" s="21" t="s">
        <v>728</v>
      </c>
      <c r="C365" s="21" t="s">
        <v>805</v>
      </c>
      <c r="D365" s="21" t="s">
        <v>687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692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/>
    </row>
    <row r="368" spans="1:12">
      <c r="A368" s="20" t="s">
        <v>916</v>
      </c>
    </row>
    <row r="369" spans="1:12">
      <c r="A369" s="20" t="s">
        <v>684</v>
      </c>
      <c r="B369" s="21" t="s">
        <v>685</v>
      </c>
      <c r="C369" s="21" t="s">
        <v>686</v>
      </c>
      <c r="D369" s="21" t="s">
        <v>687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917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55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918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746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919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695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920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779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689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921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922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692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/>
    </row>
    <row r="383" spans="1:12">
      <c r="A383" s="20" t="s">
        <v>923</v>
      </c>
    </row>
    <row r="384" spans="1:12">
      <c r="A384" s="20" t="s">
        <v>895</v>
      </c>
      <c r="B384" s="21" t="s">
        <v>685</v>
      </c>
      <c r="C384" s="21" t="s">
        <v>741</v>
      </c>
      <c r="D384" s="21" t="s">
        <v>687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924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925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926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692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/>
    </row>
    <row r="390" spans="1:12">
      <c r="A390" s="20" t="s">
        <v>927</v>
      </c>
    </row>
    <row r="391" spans="1:12">
      <c r="A391" s="20" t="s">
        <v>928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709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779</v>
      </c>
      <c r="B393" s="21" t="s">
        <v>685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712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695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929</v>
      </c>
      <c r="B396" s="21" t="s">
        <v>797</v>
      </c>
      <c r="C396" s="21" t="s">
        <v>717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744</v>
      </c>
      <c r="B397" s="21" t="s">
        <v>716</v>
      </c>
      <c r="C397" s="21" t="s">
        <v>686</v>
      </c>
      <c r="D397" s="21" t="s">
        <v>687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837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689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930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931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932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712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914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689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915</v>
      </c>
      <c r="B406" s="21" t="s">
        <v>850</v>
      </c>
      <c r="C406" s="21" t="s">
        <v>805</v>
      </c>
      <c r="D406" s="21" t="s">
        <v>687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712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929</v>
      </c>
      <c r="B408" s="21" t="s">
        <v>933</v>
      </c>
      <c r="C408" s="21" t="s">
        <v>717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709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934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935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723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936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712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937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744</v>
      </c>
      <c r="B416" s="21" t="s">
        <v>938</v>
      </c>
      <c r="C416" s="21" t="s">
        <v>686</v>
      </c>
      <c r="D416" s="21" t="s">
        <v>687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837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939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940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712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863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860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853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864</v>
      </c>
      <c r="B424" s="21" t="s">
        <v>941</v>
      </c>
      <c r="C424" s="21" t="s">
        <v>737</v>
      </c>
      <c r="D424" s="21" t="s">
        <v>687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692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/>
    </row>
    <row r="427" spans="1:12">
      <c r="A427" s="20" t="s">
        <v>942</v>
      </c>
    </row>
    <row r="428" spans="1:12">
      <c r="A428" s="20" t="s">
        <v>943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712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744</v>
      </c>
      <c r="B430" s="21" t="s">
        <v>685</v>
      </c>
      <c r="C430" s="21" t="s">
        <v>686</v>
      </c>
      <c r="D430" s="21" t="s">
        <v>687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944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251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945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712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851</v>
      </c>
      <c r="B435" s="21" t="s">
        <v>780</v>
      </c>
      <c r="C435" s="21" t="s">
        <v>686</v>
      </c>
      <c r="D435" s="21" t="s">
        <v>687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841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775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66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692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/>
    </row>
    <row r="441" spans="1:12">
      <c r="A441" s="20" t="s">
        <v>946</v>
      </c>
    </row>
    <row r="442" spans="1:12">
      <c r="A442" s="20" t="s">
        <v>947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948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949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950</v>
      </c>
      <c r="B445" s="21" t="s">
        <v>802</v>
      </c>
      <c r="C445" s="21" t="s">
        <v>702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759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744</v>
      </c>
      <c r="B447" s="21" t="s">
        <v>685</v>
      </c>
      <c r="C447" s="21" t="s">
        <v>686</v>
      </c>
      <c r="D447" s="21" t="s">
        <v>687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951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695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952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953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695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954</v>
      </c>
      <c r="B453" s="21" t="s">
        <v>705</v>
      </c>
      <c r="C453" s="21" t="s">
        <v>805</v>
      </c>
      <c r="D453" s="21" t="s">
        <v>687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695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955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956</v>
      </c>
      <c r="B456" s="21" t="s">
        <v>705</v>
      </c>
      <c r="C456" s="21" t="s">
        <v>702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957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958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959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692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/>
    </row>
    <row r="462" spans="1:12">
      <c r="A462" s="20" t="s">
        <v>960</v>
      </c>
    </row>
    <row r="463" spans="1:12">
      <c r="A463" s="20" t="s">
        <v>928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719</v>
      </c>
      <c r="B464" s="21" t="s">
        <v>705</v>
      </c>
      <c r="C464" s="21" t="s">
        <v>686</v>
      </c>
      <c r="D464" s="21" t="s">
        <v>687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365</v>
      </c>
      <c r="B465" s="21" t="s">
        <v>685</v>
      </c>
      <c r="C465" s="21" t="s">
        <v>741</v>
      </c>
      <c r="D465" s="21" t="s">
        <v>687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746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961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692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/>
    </row>
    <row r="470" spans="1:12">
      <c r="A470" s="20" t="s">
        <v>962</v>
      </c>
    </row>
    <row r="471" spans="1:12">
      <c r="A471" s="20" t="s">
        <v>684</v>
      </c>
      <c r="B471" s="21" t="s">
        <v>685</v>
      </c>
      <c r="C471" s="21" t="s">
        <v>686</v>
      </c>
      <c r="D471" s="21" t="s">
        <v>687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963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964</v>
      </c>
      <c r="B473" s="21" t="s">
        <v>861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712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965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966</v>
      </c>
      <c r="B476" s="21" t="s">
        <v>802</v>
      </c>
      <c r="C476" s="21" t="s">
        <v>686</v>
      </c>
      <c r="D476" s="21" t="s">
        <v>687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695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967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968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746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969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970</v>
      </c>
      <c r="B482" s="21" t="s">
        <v>780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971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695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972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712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973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974</v>
      </c>
      <c r="B488" s="21" t="s">
        <v>850</v>
      </c>
      <c r="C488" s="21" t="s">
        <v>805</v>
      </c>
      <c r="D488" s="21" t="s">
        <v>687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712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698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975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976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781</v>
      </c>
      <c r="B493" s="21" t="s">
        <v>797</v>
      </c>
      <c r="C493" s="21" t="s">
        <v>977</v>
      </c>
      <c r="D493" s="21" t="s">
        <v>687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957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978</v>
      </c>
      <c r="B495" s="21" t="s">
        <v>850</v>
      </c>
      <c r="C495" s="21" t="s">
        <v>686</v>
      </c>
      <c r="D495" s="21" t="s">
        <v>687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692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/>
    </row>
    <row r="498" spans="1:12">
      <c r="A498" s="20" t="s">
        <v>979</v>
      </c>
    </row>
    <row r="499" spans="1:12">
      <c r="A499" s="20" t="s">
        <v>707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744</v>
      </c>
      <c r="B500" s="21" t="s">
        <v>685</v>
      </c>
      <c r="C500" s="21" t="s">
        <v>686</v>
      </c>
      <c r="D500" s="21" t="s">
        <v>687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712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980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981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712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982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983</v>
      </c>
      <c r="B506" s="21" t="s">
        <v>861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695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984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695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985</v>
      </c>
      <c r="B510" s="21" t="s">
        <v>701</v>
      </c>
      <c r="C510" s="21" t="s">
        <v>805</v>
      </c>
      <c r="D510" s="21" t="s">
        <v>687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986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987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695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972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712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973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974</v>
      </c>
      <c r="B517" s="21" t="s">
        <v>850</v>
      </c>
      <c r="C517" s="21" t="s">
        <v>805</v>
      </c>
      <c r="D517" s="21" t="s">
        <v>687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692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/>
    </row>
    <row r="520" spans="1:12">
      <c r="A520" s="20" t="s">
        <v>988</v>
      </c>
    </row>
    <row r="521" spans="1:12">
      <c r="A521" s="20" t="s">
        <v>707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744</v>
      </c>
      <c r="B522" s="21" t="s">
        <v>685</v>
      </c>
      <c r="C522" s="21" t="s">
        <v>686</v>
      </c>
      <c r="D522" s="21" t="s">
        <v>687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746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989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959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712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990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959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991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992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993</v>
      </c>
      <c r="B531" s="21" t="s">
        <v>705</v>
      </c>
      <c r="C531" s="21" t="s">
        <v>702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712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965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801</v>
      </c>
      <c r="B534" s="21" t="s">
        <v>802</v>
      </c>
      <c r="C534" s="21" t="s">
        <v>686</v>
      </c>
      <c r="D534" s="21" t="s">
        <v>687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746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994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695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995</v>
      </c>
      <c r="B538" s="21" t="s">
        <v>701</v>
      </c>
      <c r="C538" s="21" t="s">
        <v>805</v>
      </c>
      <c r="D538" s="21" t="s">
        <v>687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692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/>
    </row>
    <row r="541" spans="1:12">
      <c r="A541" s="20" t="s">
        <v>996</v>
      </c>
    </row>
    <row r="542" spans="1:12">
      <c r="A542" s="20" t="s">
        <v>997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795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998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890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999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164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1000</v>
      </c>
      <c r="B548" s="21" t="s">
        <v>705</v>
      </c>
      <c r="C548" s="21" t="s">
        <v>702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744</v>
      </c>
      <c r="B549" s="21" t="s">
        <v>685</v>
      </c>
      <c r="C549" s="21" t="s">
        <v>686</v>
      </c>
      <c r="D549" s="21" t="s">
        <v>687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1001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1002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1003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1004</v>
      </c>
      <c r="B553" s="21" t="s">
        <v>705</v>
      </c>
      <c r="C553" s="21" t="s">
        <v>702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766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1005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712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757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1006</v>
      </c>
      <c r="B558" s="21" t="s">
        <v>797</v>
      </c>
      <c r="C558" s="21" t="s">
        <v>717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1007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759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695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1008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692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/>
    </row>
    <row r="565" spans="1:12">
      <c r="A565" s="20" t="s">
        <v>1009</v>
      </c>
    </row>
    <row r="566" spans="1:12">
      <c r="A566" s="20" t="s">
        <v>684</v>
      </c>
      <c r="B566" s="21" t="s">
        <v>685</v>
      </c>
      <c r="C566" s="21" t="s">
        <v>686</v>
      </c>
      <c r="D566" s="21" t="s">
        <v>687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1010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712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742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1011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1012</v>
      </c>
      <c r="B571" s="21" t="s">
        <v>802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723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1013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1014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934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1015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1016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1017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712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742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801</v>
      </c>
      <c r="B581" s="21" t="s">
        <v>745</v>
      </c>
      <c r="C581" s="21" t="s">
        <v>686</v>
      </c>
      <c r="D581" s="21" t="s">
        <v>687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770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278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823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746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1018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692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/>
    </row>
    <row r="589" spans="1:12">
      <c r="A589" s="20" t="s">
        <v>1019</v>
      </c>
    </row>
    <row r="590" spans="1:12">
      <c r="A590" s="20" t="s">
        <v>1020</v>
      </c>
      <c r="B590" s="21" t="s">
        <v>685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1021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122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698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1022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1023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1024</v>
      </c>
      <c r="B596" s="21" t="s">
        <v>701</v>
      </c>
      <c r="C596" s="21" t="s">
        <v>729</v>
      </c>
      <c r="D596" s="21" t="s">
        <v>687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1025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1026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1027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692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/>
    </row>
    <row r="602" spans="1:12">
      <c r="A602" s="20" t="s">
        <v>1028</v>
      </c>
    </row>
    <row r="603" spans="1:12">
      <c r="A603" s="20" t="s">
        <v>684</v>
      </c>
      <c r="B603" s="21" t="s">
        <v>685</v>
      </c>
      <c r="C603" s="21" t="s">
        <v>686</v>
      </c>
      <c r="D603" s="21" t="s">
        <v>687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1029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1030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998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1031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1032</v>
      </c>
      <c r="B608" s="21" t="s">
        <v>861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957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777</v>
      </c>
      <c r="B610" s="21" t="s">
        <v>705</v>
      </c>
      <c r="C610" s="21" t="s">
        <v>741</v>
      </c>
      <c r="D610" s="21" t="s">
        <v>687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712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742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744</v>
      </c>
      <c r="B613" s="21" t="s">
        <v>716</v>
      </c>
      <c r="C613" s="21" t="s">
        <v>686</v>
      </c>
      <c r="D613" s="21" t="s">
        <v>687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1033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1034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1035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1036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692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/>
    </row>
    <row r="620" spans="1:12">
      <c r="A620" s="20" t="s">
        <v>1037</v>
      </c>
    </row>
    <row r="621" spans="1:12">
      <c r="A621" s="20" t="s">
        <v>707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784</v>
      </c>
      <c r="B622" s="21" t="s">
        <v>701</v>
      </c>
      <c r="C622" s="21" t="s">
        <v>729</v>
      </c>
      <c r="D622" s="21" t="s">
        <v>687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785</v>
      </c>
      <c r="B623" s="21" t="s">
        <v>685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786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1038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1039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723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1040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1041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918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692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/>
    </row>
    <row r="633" spans="1:12">
      <c r="A633" s="20" t="s">
        <v>1042</v>
      </c>
    </row>
    <row r="634" spans="1:12">
      <c r="A634" s="20" t="s">
        <v>928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712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743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744</v>
      </c>
      <c r="B637" s="21" t="s">
        <v>802</v>
      </c>
      <c r="C637" s="21" t="s">
        <v>686</v>
      </c>
      <c r="D637" s="21" t="s">
        <v>687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1043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1044</v>
      </c>
      <c r="B639" s="21" t="s">
        <v>780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712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1041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1045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1046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712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744</v>
      </c>
      <c r="B645" s="21" t="s">
        <v>685</v>
      </c>
      <c r="C645" s="21" t="s">
        <v>686</v>
      </c>
      <c r="D645" s="21" t="s">
        <v>687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1047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1048</v>
      </c>
      <c r="B647" s="21" t="s">
        <v>861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692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/>
    </row>
    <row r="650" spans="1:12">
      <c r="A650" s="20" t="s">
        <v>1049</v>
      </c>
    </row>
    <row r="651" spans="1:12">
      <c r="A651" s="20" t="s">
        <v>1050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712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365</v>
      </c>
      <c r="B653" s="21" t="s">
        <v>685</v>
      </c>
      <c r="C653" s="21" t="s">
        <v>741</v>
      </c>
      <c r="D653" s="21" t="s">
        <v>687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1051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138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1052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1053</v>
      </c>
      <c r="B657" s="21" t="s">
        <v>797</v>
      </c>
      <c r="C657" s="21" t="s">
        <v>729</v>
      </c>
      <c r="D657" s="21" t="s">
        <v>687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1054</v>
      </c>
      <c r="B658" s="21" t="s">
        <v>780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786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1055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1056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1023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1057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786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1058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1059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692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/>
    </row>
    <row r="669" spans="1:12">
      <c r="A669" s="20" t="s">
        <v>1060</v>
      </c>
    </row>
    <row r="670" spans="1:12">
      <c r="A670" s="20" t="s">
        <v>707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744</v>
      </c>
      <c r="B671" s="21" t="s">
        <v>685</v>
      </c>
      <c r="C671" s="21" t="s">
        <v>686</v>
      </c>
      <c r="D671" s="21" t="s">
        <v>687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712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1061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1062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712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886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873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1063</v>
      </c>
      <c r="B678" s="21" t="s">
        <v>861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723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1064</v>
      </c>
      <c r="B680" s="21" t="s">
        <v>701</v>
      </c>
      <c r="C680" s="21" t="s">
        <v>741</v>
      </c>
      <c r="D680" s="21" t="s">
        <v>687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1065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692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/>
    </row>
    <row r="684" spans="1:12">
      <c r="A684" s="20" t="s">
        <v>1066</v>
      </c>
    </row>
    <row r="685" spans="1:12">
      <c r="A685" s="20" t="s">
        <v>943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712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847</v>
      </c>
      <c r="B687" s="21" t="s">
        <v>685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1067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1068</v>
      </c>
      <c r="B689" s="21" t="s">
        <v>861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157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1069</v>
      </c>
      <c r="B691" s="21" t="s">
        <v>720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723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1070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1071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692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/>
    </row>
    <row r="697" spans="1:12">
      <c r="A697" s="20" t="s">
        <v>1072</v>
      </c>
    </row>
    <row r="698" spans="1:12">
      <c r="A698" s="20" t="s">
        <v>707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695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1073</v>
      </c>
      <c r="B700" s="21" t="s">
        <v>705</v>
      </c>
      <c r="C700" s="21" t="s">
        <v>741</v>
      </c>
      <c r="D700" s="21" t="s">
        <v>687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709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1074</v>
      </c>
      <c r="B702" s="21" t="s">
        <v>705</v>
      </c>
      <c r="C702" s="21" t="s">
        <v>977</v>
      </c>
      <c r="D702" s="21" t="s">
        <v>687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692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/>
    </row>
    <row r="705" spans="1:12">
      <c r="A705" s="20" t="s">
        <v>1075</v>
      </c>
    </row>
    <row r="706" spans="1:12">
      <c r="A706" s="20" t="s">
        <v>1076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1077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712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1070</v>
      </c>
      <c r="B709" s="21" t="s">
        <v>685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712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821</v>
      </c>
      <c r="B711" s="21" t="s">
        <v>720</v>
      </c>
      <c r="C711" s="21" t="s">
        <v>717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744</v>
      </c>
      <c r="B712" s="21" t="s">
        <v>716</v>
      </c>
      <c r="C712" s="21" t="s">
        <v>686</v>
      </c>
      <c r="D712" s="21" t="s">
        <v>687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1043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712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1078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1079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1080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752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1081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712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1082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712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1083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692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/>
    </row>
    <row r="726" spans="1:12">
      <c r="A726" s="20" t="s">
        <v>1084</v>
      </c>
    </row>
    <row r="727" spans="1:12">
      <c r="A727" s="20" t="s">
        <v>826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1085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1086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784</v>
      </c>
      <c r="B730" s="21" t="s">
        <v>701</v>
      </c>
      <c r="C730" s="21" t="s">
        <v>729</v>
      </c>
      <c r="D730" s="21" t="s">
        <v>687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785</v>
      </c>
      <c r="B731" s="21" t="s">
        <v>685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786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1087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1088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723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1089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692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/>
    </row>
    <row r="739" spans="1:12">
      <c r="A739" s="20" t="s">
        <v>1090</v>
      </c>
    </row>
    <row r="740" spans="1:12">
      <c r="A740" s="20" t="s">
        <v>1091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712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1092</v>
      </c>
      <c r="B742" s="21" t="s">
        <v>802</v>
      </c>
      <c r="C742" s="21" t="s">
        <v>686</v>
      </c>
      <c r="D742" s="21" t="s">
        <v>687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735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712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1093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1094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1095</v>
      </c>
      <c r="B747" s="21" t="s">
        <v>685</v>
      </c>
      <c r="C747" s="21" t="s">
        <v>702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692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/>
    </row>
    <row r="750" spans="1:12">
      <c r="A750" s="20" t="s">
        <v>1096</v>
      </c>
    </row>
    <row r="751" spans="1:12">
      <c r="A751" s="20" t="s">
        <v>1097</v>
      </c>
      <c r="B751" s="21" t="s">
        <v>861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1098</v>
      </c>
      <c r="B752" s="21" t="s">
        <v>685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1099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757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1100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692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/>
    </row>
    <row r="758" spans="1:12">
      <c r="A758" s="20" t="s">
        <v>1101</v>
      </c>
    </row>
    <row r="759" spans="1:12">
      <c r="A759" s="20" t="s">
        <v>1102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775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89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1103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1104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1105</v>
      </c>
      <c r="B764" s="21" t="s">
        <v>780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695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1073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1106</v>
      </c>
      <c r="B767" s="21" t="s">
        <v>701</v>
      </c>
      <c r="C767" s="21" t="s">
        <v>737</v>
      </c>
      <c r="D767" s="21" t="s">
        <v>687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759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212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883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1107</v>
      </c>
      <c r="B771" s="21" t="s">
        <v>720</v>
      </c>
      <c r="C771" s="21" t="s">
        <v>741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757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1108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1109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692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/>
    </row>
    <row r="777" spans="1:12">
      <c r="A777" s="20" t="s">
        <v>1110</v>
      </c>
    </row>
    <row r="778" spans="1:12">
      <c r="A778" s="20" t="s">
        <v>1111</v>
      </c>
      <c r="B778" s="21" t="s">
        <v>685</v>
      </c>
      <c r="C778" s="21" t="s">
        <v>686</v>
      </c>
      <c r="D778" s="21" t="s">
        <v>687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1112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882</v>
      </c>
      <c r="B780" s="21" t="s">
        <v>861</v>
      </c>
      <c r="C780" s="21" t="s">
        <v>686</v>
      </c>
      <c r="D780" s="21" t="s">
        <v>687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712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742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1113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712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757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1114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1115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692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/>
    </row>
    <row r="790" spans="1:12">
      <c r="A790" s="20" t="s">
        <v>1116</v>
      </c>
    </row>
    <row r="791" spans="1:12">
      <c r="A791" s="20" t="s">
        <v>707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695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1117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1118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1119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1120</v>
      </c>
      <c r="B796" s="21" t="s">
        <v>685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1023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1121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1122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712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1123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1124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712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1125</v>
      </c>
      <c r="B804" s="21" t="s">
        <v>850</v>
      </c>
      <c r="C804" s="21" t="s">
        <v>717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918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1126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746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775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695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847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692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/>
    </row>
    <row r="813" spans="1:12">
      <c r="A813" s="20" t="s">
        <v>1127</v>
      </c>
    </row>
    <row r="814" spans="1:12">
      <c r="A814" s="20" t="s">
        <v>707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1128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689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365</v>
      </c>
      <c r="B817" s="21" t="s">
        <v>705</v>
      </c>
      <c r="C817" s="21" t="s">
        <v>741</v>
      </c>
      <c r="D817" s="21" t="s">
        <v>687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712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1129</v>
      </c>
      <c r="B819" s="21" t="s">
        <v>685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746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1130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1131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1132</v>
      </c>
      <c r="B823" s="21" t="s">
        <v>705</v>
      </c>
      <c r="C823" s="21" t="s">
        <v>1133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712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1023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1134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1135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712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744</v>
      </c>
      <c r="B829" s="21" t="s">
        <v>802</v>
      </c>
      <c r="C829" s="21" t="s">
        <v>686</v>
      </c>
      <c r="D829" s="21" t="s">
        <v>687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1136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1137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692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/>
    </row>
    <row r="834" spans="1:12">
      <c r="A834" s="20" t="s">
        <v>1138</v>
      </c>
    </row>
    <row r="835" spans="1:12">
      <c r="A835" s="20" t="s">
        <v>684</v>
      </c>
      <c r="B835" s="21" t="s">
        <v>685</v>
      </c>
      <c r="C835" s="21" t="s">
        <v>686</v>
      </c>
      <c r="D835" s="21" t="s">
        <v>687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1139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1140</v>
      </c>
      <c r="B837" s="21" t="s">
        <v>861</v>
      </c>
      <c r="C837" s="21" t="s">
        <v>741</v>
      </c>
      <c r="D837" s="21" t="s">
        <v>687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1141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759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1142</v>
      </c>
      <c r="B840" s="21" t="s">
        <v>720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1143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692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/>
    </row>
    <row r="844" spans="1:12">
      <c r="A844" s="20" t="s">
        <v>1144</v>
      </c>
    </row>
    <row r="845" spans="1:12">
      <c r="A845" s="20" t="s">
        <v>1145</v>
      </c>
      <c r="B845" s="21" t="s">
        <v>685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794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1146</v>
      </c>
      <c r="B847" s="21" t="s">
        <v>701</v>
      </c>
      <c r="C847" s="21" t="s">
        <v>702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1078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1147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1148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1149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692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/>
    </row>
    <row r="854" spans="1:12">
      <c r="A854" s="20" t="s">
        <v>1150</v>
      </c>
    </row>
    <row r="855" spans="1:12">
      <c r="A855" s="20" t="s">
        <v>769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712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1151</v>
      </c>
      <c r="B857" s="21" t="s">
        <v>685</v>
      </c>
      <c r="C857" s="21" t="s">
        <v>977</v>
      </c>
      <c r="D857" s="21" t="s">
        <v>687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1152</v>
      </c>
      <c r="B858" s="21" t="s">
        <v>701</v>
      </c>
      <c r="C858" s="21" t="s">
        <v>805</v>
      </c>
      <c r="D858" s="21" t="s">
        <v>687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1153</v>
      </c>
      <c r="B859" s="21" t="s">
        <v>797</v>
      </c>
      <c r="C859" s="21" t="s">
        <v>805</v>
      </c>
      <c r="D859" s="21" t="s">
        <v>687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759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1154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1155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1156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1157</v>
      </c>
      <c r="B864" s="21" t="s">
        <v>716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1158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957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1159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692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/>
    </row>
    <row r="870" spans="1:12">
      <c r="A870" s="20" t="s">
        <v>1160</v>
      </c>
    </row>
    <row r="871" spans="1:12">
      <c r="A871" s="20" t="s">
        <v>1161</v>
      </c>
      <c r="B871" s="21" t="s">
        <v>685</v>
      </c>
      <c r="C871" s="21" t="s">
        <v>686</v>
      </c>
      <c r="D871" s="21" t="s">
        <v>687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1162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1140</v>
      </c>
      <c r="B873" s="21" t="s">
        <v>861</v>
      </c>
      <c r="C873" s="21" t="s">
        <v>741</v>
      </c>
      <c r="D873" s="21" t="s">
        <v>687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1163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692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/>
    </row>
    <row r="877" spans="1:12">
      <c r="A877" s="20" t="s">
        <v>1164</v>
      </c>
    </row>
    <row r="878" spans="1:12">
      <c r="A878" s="20" t="s">
        <v>707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719</v>
      </c>
      <c r="B879" s="21" t="s">
        <v>705</v>
      </c>
      <c r="C879" s="21" t="s">
        <v>686</v>
      </c>
      <c r="D879" s="21" t="s">
        <v>687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365</v>
      </c>
      <c r="B880" s="21" t="s">
        <v>685</v>
      </c>
      <c r="C880" s="21" t="s">
        <v>741</v>
      </c>
      <c r="D880" s="21" t="s">
        <v>687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907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1165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692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/>
    </row>
    <row r="885" spans="1:12">
      <c r="A885" s="20" t="s">
        <v>1166</v>
      </c>
    </row>
    <row r="886" spans="1:12">
      <c r="A886" s="20" t="s">
        <v>707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744</v>
      </c>
      <c r="B887" s="21" t="s">
        <v>685</v>
      </c>
      <c r="C887" s="21" t="s">
        <v>686</v>
      </c>
      <c r="D887" s="21" t="s">
        <v>687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1167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752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1168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1169</v>
      </c>
      <c r="B891" s="21" t="s">
        <v>705</v>
      </c>
      <c r="C891" s="21" t="s">
        <v>686</v>
      </c>
      <c r="D891" s="21" t="s">
        <v>687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712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1170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891</v>
      </c>
      <c r="B894" s="21" t="s">
        <v>701</v>
      </c>
      <c r="C894" s="21" t="s">
        <v>741</v>
      </c>
      <c r="D894" s="21" t="s">
        <v>687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712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742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1171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1172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695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1173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1174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692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/>
    </row>
    <row r="904" spans="1:12">
      <c r="A904" s="20" t="s">
        <v>1175</v>
      </c>
    </row>
    <row r="905" spans="1:12">
      <c r="A905" s="20" t="s">
        <v>826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1176</v>
      </c>
      <c r="B906" s="21" t="s">
        <v>705</v>
      </c>
      <c r="C906" s="21" t="s">
        <v>805</v>
      </c>
      <c r="D906" s="21" t="s">
        <v>687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1177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712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929</v>
      </c>
      <c r="B909" s="21" t="s">
        <v>745</v>
      </c>
      <c r="C909" s="21" t="s">
        <v>717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709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1178</v>
      </c>
      <c r="B911" s="21" t="s">
        <v>850</v>
      </c>
      <c r="C911" s="21" t="s">
        <v>729</v>
      </c>
      <c r="D911" s="21" t="s">
        <v>687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1179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1180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712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801</v>
      </c>
      <c r="B915" s="21" t="s">
        <v>685</v>
      </c>
      <c r="C915" s="21" t="s">
        <v>686</v>
      </c>
      <c r="D915" s="21" t="s">
        <v>687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1181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1182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1183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692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/>
    </row>
    <row r="921" spans="1:12">
      <c r="A921" s="20" t="s">
        <v>1184</v>
      </c>
    </row>
    <row r="922" spans="1:12">
      <c r="A922" s="20" t="s">
        <v>1185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1023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1186</v>
      </c>
      <c r="B924" s="21" t="s">
        <v>701</v>
      </c>
      <c r="C924" s="21" t="s">
        <v>805</v>
      </c>
      <c r="D924" s="21" t="s">
        <v>687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712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801</v>
      </c>
      <c r="B926" s="21" t="s">
        <v>685</v>
      </c>
      <c r="C926" s="21" t="s">
        <v>686</v>
      </c>
      <c r="D926" s="21" t="s">
        <v>687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1187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1188</v>
      </c>
      <c r="B928" s="21" t="s">
        <v>861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757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1189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1190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692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/>
    </row>
    <row r="934" spans="1:12">
      <c r="A934" s="20" t="s">
        <v>1191</v>
      </c>
    </row>
    <row r="935" spans="1:12">
      <c r="A935" s="20" t="s">
        <v>1192</v>
      </c>
      <c r="B935" s="21" t="s">
        <v>685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1193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1194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957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777</v>
      </c>
      <c r="B939" s="21" t="s">
        <v>705</v>
      </c>
      <c r="C939" s="21" t="s">
        <v>741</v>
      </c>
      <c r="D939" s="21" t="s">
        <v>687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712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1195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1196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778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1197</v>
      </c>
      <c r="B944" s="21" t="s">
        <v>716</v>
      </c>
      <c r="C944" s="21" t="s">
        <v>737</v>
      </c>
      <c r="D944" s="21" t="s">
        <v>687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692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/>
    </row>
    <row r="947" spans="1:12">
      <c r="A947" s="20" t="s">
        <v>1198</v>
      </c>
    </row>
    <row r="948" spans="1:12">
      <c r="A948" s="20" t="s">
        <v>707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966</v>
      </c>
      <c r="B949" s="21" t="s">
        <v>685</v>
      </c>
      <c r="C949" s="21" t="s">
        <v>686</v>
      </c>
      <c r="D949" s="21" t="s">
        <v>687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1199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692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/>
    </row>
    <row r="953" spans="1:12">
      <c r="A953" s="20" t="s">
        <v>1200</v>
      </c>
    </row>
    <row r="954" spans="1:12">
      <c r="A954" s="20" t="s">
        <v>1111</v>
      </c>
      <c r="B954" s="21" t="s">
        <v>685</v>
      </c>
      <c r="C954" s="21" t="s">
        <v>686</v>
      </c>
      <c r="D954" s="21" t="s">
        <v>687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1201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1187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1202</v>
      </c>
      <c r="B957" s="21" t="s">
        <v>861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692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/>
    </row>
    <row r="960" spans="1:12">
      <c r="A960" s="20" t="s">
        <v>1203</v>
      </c>
    </row>
    <row r="961" spans="1:12">
      <c r="A961" s="20" t="s">
        <v>1204</v>
      </c>
      <c r="B961" s="21" t="s">
        <v>685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1143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1205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1206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1077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1207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692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/>
    </row>
    <row r="969" spans="1:12">
      <c r="A969" s="20" t="s">
        <v>1208</v>
      </c>
    </row>
    <row r="970" spans="1:12">
      <c r="A970" s="20" t="s">
        <v>1209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723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1210</v>
      </c>
      <c r="B972" s="21" t="s">
        <v>685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695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778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1211</v>
      </c>
      <c r="B975" s="21" t="s">
        <v>705</v>
      </c>
      <c r="C975" s="21" t="s">
        <v>737</v>
      </c>
      <c r="D975" s="21" t="s">
        <v>687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1212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1213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1214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692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/>
    </row>
    <row r="981" spans="1:12">
      <c r="A981" s="20" t="s">
        <v>1215</v>
      </c>
    </row>
    <row r="982" spans="1:12">
      <c r="A982" s="20" t="s">
        <v>943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712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1216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1217</v>
      </c>
      <c r="B985" s="21" t="s">
        <v>780</v>
      </c>
      <c r="C985" s="21" t="s">
        <v>977</v>
      </c>
      <c r="D985" s="21" t="s">
        <v>687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848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1218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1219</v>
      </c>
      <c r="B988" s="21" t="s">
        <v>797</v>
      </c>
      <c r="C988" s="21" t="s">
        <v>737</v>
      </c>
      <c r="D988" s="21" t="s">
        <v>687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712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744</v>
      </c>
      <c r="B990" s="21" t="s">
        <v>685</v>
      </c>
      <c r="C990" s="21" t="s">
        <v>686</v>
      </c>
      <c r="D990" s="21" t="s">
        <v>687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1220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786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1221</v>
      </c>
      <c r="B993" s="21" t="s">
        <v>705</v>
      </c>
      <c r="C993" s="21" t="s">
        <v>741</v>
      </c>
      <c r="D993" s="21" t="s">
        <v>687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712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742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365</v>
      </c>
      <c r="B996" s="21" t="s">
        <v>716</v>
      </c>
      <c r="C996" s="21" t="s">
        <v>741</v>
      </c>
      <c r="D996" s="21" t="s">
        <v>687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1222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1223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779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712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1223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779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1224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776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1225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692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/>
    </row>
    <row r="1008" spans="1:12">
      <c r="A1008" s="20" t="s">
        <v>1226</v>
      </c>
    </row>
    <row r="1009" spans="1:12">
      <c r="A1009" s="20" t="s">
        <v>684</v>
      </c>
      <c r="B1009" s="21" t="s">
        <v>685</v>
      </c>
      <c r="C1009" s="21" t="s">
        <v>686</v>
      </c>
      <c r="D1009" s="21" t="s">
        <v>687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1227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1228</v>
      </c>
      <c r="B1011" s="21" t="s">
        <v>861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1071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829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1229</v>
      </c>
      <c r="B1014" s="21" t="s">
        <v>701</v>
      </c>
      <c r="C1014" s="21" t="s">
        <v>805</v>
      </c>
      <c r="D1014" s="21" t="s">
        <v>687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1230</v>
      </c>
      <c r="B1015" s="21" t="s">
        <v>797</v>
      </c>
      <c r="C1015" s="21" t="s">
        <v>805</v>
      </c>
      <c r="D1015" s="21" t="s">
        <v>687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712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1178</v>
      </c>
      <c r="B1017" s="21" t="s">
        <v>850</v>
      </c>
      <c r="C1017" s="21" t="s">
        <v>729</v>
      </c>
      <c r="D1017" s="21" t="s">
        <v>687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1231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1232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1229</v>
      </c>
      <c r="B1020" s="21" t="s">
        <v>850</v>
      </c>
      <c r="C1020" s="21" t="s">
        <v>805</v>
      </c>
      <c r="D1020" s="21" t="s">
        <v>687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1230</v>
      </c>
      <c r="B1021" s="21" t="s">
        <v>728</v>
      </c>
      <c r="C1021" s="21" t="s">
        <v>805</v>
      </c>
      <c r="D1021" s="21" t="s">
        <v>687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712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929</v>
      </c>
      <c r="B1023" s="21" t="s">
        <v>933</v>
      </c>
      <c r="C1023" s="21" t="s">
        <v>717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709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1233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1234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1235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695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891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1035</v>
      </c>
      <c r="B1030" s="21" t="s">
        <v>1236</v>
      </c>
      <c r="C1030" s="21" t="s">
        <v>737</v>
      </c>
      <c r="D1030" s="21" t="s">
        <v>687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712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723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1237</v>
      </c>
      <c r="B1033" s="21" t="s">
        <v>802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1238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1239</v>
      </c>
      <c r="B1035" s="21" t="s">
        <v>701</v>
      </c>
      <c r="C1035" s="21" t="s">
        <v>805</v>
      </c>
      <c r="D1035" s="21" t="s">
        <v>687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1240</v>
      </c>
      <c r="B1036" s="21" t="s">
        <v>701</v>
      </c>
      <c r="C1036" s="21" t="s">
        <v>805</v>
      </c>
      <c r="D1036" s="21" t="s">
        <v>687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692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/>
    </row>
    <row r="1039" spans="1:12">
      <c r="A1039" s="20" t="s">
        <v>1241</v>
      </c>
    </row>
    <row r="1040" spans="1:12">
      <c r="A1040" s="20" t="s">
        <v>1242</v>
      </c>
      <c r="B1040" s="21" t="s">
        <v>685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1243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1244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695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740</v>
      </c>
      <c r="B1044" s="21" t="s">
        <v>705</v>
      </c>
      <c r="C1044" s="21" t="s">
        <v>741</v>
      </c>
      <c r="D1044" s="21" t="s">
        <v>687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712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764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1245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1246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1247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1248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1249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723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1064</v>
      </c>
      <c r="B1053" s="21" t="s">
        <v>850</v>
      </c>
      <c r="C1053" s="21" t="s">
        <v>741</v>
      </c>
      <c r="D1053" s="21" t="s">
        <v>687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1250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723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1251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1252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786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1253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1254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692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/>
    </row>
    <row r="1063" spans="1:12">
      <c r="A1063" s="20" t="s">
        <v>1255</v>
      </c>
    </row>
    <row r="1064" spans="1:12">
      <c r="A1064" s="20" t="s">
        <v>707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801</v>
      </c>
      <c r="B1065" s="21" t="s">
        <v>685</v>
      </c>
      <c r="C1065" s="21" t="s">
        <v>686</v>
      </c>
      <c r="D1065" s="21" t="s">
        <v>687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788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1256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365</v>
      </c>
      <c r="B1068" s="21" t="s">
        <v>861</v>
      </c>
      <c r="C1068" s="21" t="s">
        <v>741</v>
      </c>
      <c r="D1068" s="21" t="s">
        <v>687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712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742</v>
      </c>
      <c r="B1070" s="21" t="s">
        <v>802</v>
      </c>
      <c r="C1070" s="21" t="s">
        <v>717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1257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1258</v>
      </c>
      <c r="B1072" s="21" t="s">
        <v>780</v>
      </c>
      <c r="C1072" s="21" t="s">
        <v>686</v>
      </c>
      <c r="D1072" s="21" t="s">
        <v>687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1259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1260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689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1261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1035</v>
      </c>
      <c r="B1077" s="21" t="s">
        <v>797</v>
      </c>
      <c r="C1077" s="21" t="s">
        <v>1133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692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/>
    </row>
    <row r="1080" spans="1:12">
      <c r="A1080" s="20" t="s">
        <v>1262</v>
      </c>
    </row>
    <row r="1081" spans="1:12">
      <c r="A1081" s="20" t="s">
        <v>928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695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1263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1264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801</v>
      </c>
      <c r="B1085" s="21" t="s">
        <v>685</v>
      </c>
      <c r="C1085" s="21" t="s">
        <v>686</v>
      </c>
      <c r="D1085" s="21" t="s">
        <v>687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1265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1266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695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1267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877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723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1235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712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1268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1269</v>
      </c>
      <c r="B1095" s="21" t="s">
        <v>1236</v>
      </c>
      <c r="C1095" s="21" t="s">
        <v>717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801</v>
      </c>
      <c r="B1096" s="21" t="s">
        <v>933</v>
      </c>
      <c r="C1096" s="21" t="s">
        <v>686</v>
      </c>
      <c r="D1096" s="21" t="s">
        <v>687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712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1270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712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723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1271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1228</v>
      </c>
      <c r="B1102" s="21" t="s">
        <v>1272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692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/>
    </row>
    <row r="1105" spans="1:12">
      <c r="A1105" s="20" t="s">
        <v>1273</v>
      </c>
    </row>
    <row r="1106" spans="1:12">
      <c r="A1106" s="20" t="s">
        <v>707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744</v>
      </c>
      <c r="B1107" s="21" t="s">
        <v>685</v>
      </c>
      <c r="C1107" s="21" t="s">
        <v>686</v>
      </c>
      <c r="D1107" s="21" t="s">
        <v>687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1274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778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1275</v>
      </c>
      <c r="B1110" s="21" t="s">
        <v>705</v>
      </c>
      <c r="C1110" s="21" t="s">
        <v>737</v>
      </c>
      <c r="D1110" s="21" t="s">
        <v>687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766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1276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1277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712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929</v>
      </c>
      <c r="B1115" s="21" t="s">
        <v>716</v>
      </c>
      <c r="C1115" s="21" t="s">
        <v>717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516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709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1278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890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1279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1280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1281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712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1114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1282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1023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1283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1284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1285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855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1235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712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1286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1114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1287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692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/>
    </row>
    <row r="1138" spans="1:12">
      <c r="A1138" s="20" t="s">
        <v>1288</v>
      </c>
    </row>
    <row r="1139" spans="1:12">
      <c r="A1139" s="20" t="s">
        <v>707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1289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1290</v>
      </c>
      <c r="B1141" s="21" t="s">
        <v>685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1291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1078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55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1292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692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/>
    </row>
    <row r="1148" spans="1:12">
      <c r="A1148" s="20" t="s">
        <v>1293</v>
      </c>
    </row>
    <row r="1149" spans="1:12">
      <c r="A1149" s="20" t="s">
        <v>707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779</v>
      </c>
      <c r="B1150" s="21" t="s">
        <v>685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516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709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55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1294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692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/>
    </row>
    <row r="1157" spans="1:12">
      <c r="A1157" s="20" t="s">
        <v>1295</v>
      </c>
    </row>
    <row r="1158" spans="1:12">
      <c r="A1158" s="20" t="s">
        <v>928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1296</v>
      </c>
      <c r="B1159" s="21" t="s">
        <v>685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1297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692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/>
    </row>
    <row r="1163" spans="1:12">
      <c r="A1163" s="20" t="s">
        <v>1298</v>
      </c>
    </row>
    <row r="1164" spans="1:12">
      <c r="A1164" s="20" t="s">
        <v>1299</v>
      </c>
      <c r="B1164" s="21" t="s">
        <v>685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757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1300</v>
      </c>
      <c r="B1166" s="21" t="s">
        <v>797</v>
      </c>
      <c r="C1166" s="21" t="s">
        <v>729</v>
      </c>
      <c r="D1166" s="21" t="s">
        <v>687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1243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1301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851</v>
      </c>
      <c r="B1169" s="21" t="s">
        <v>861</v>
      </c>
      <c r="C1169" s="21" t="s">
        <v>686</v>
      </c>
      <c r="D1169" s="21" t="s">
        <v>687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712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742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965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801</v>
      </c>
      <c r="B1173" s="21" t="s">
        <v>802</v>
      </c>
      <c r="C1173" s="21" t="s">
        <v>686</v>
      </c>
      <c r="D1173" s="21" t="s">
        <v>687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746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1302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365</v>
      </c>
      <c r="B1176" s="21" t="s">
        <v>720</v>
      </c>
      <c r="C1176" s="21" t="s">
        <v>741</v>
      </c>
      <c r="D1176" s="21" t="s">
        <v>687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1303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692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/>
    </row>
    <row r="1180" spans="1:12">
      <c r="A1180" s="20" t="s">
        <v>1304</v>
      </c>
    </row>
    <row r="1181" spans="1:12">
      <c r="A1181" s="20" t="s">
        <v>684</v>
      </c>
      <c r="B1181" s="21" t="s">
        <v>685</v>
      </c>
      <c r="C1181" s="21" t="s">
        <v>686</v>
      </c>
      <c r="D1181" s="21" t="s">
        <v>687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1305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1306</v>
      </c>
      <c r="B1183" s="21" t="s">
        <v>861</v>
      </c>
      <c r="C1183" s="21" t="s">
        <v>686</v>
      </c>
      <c r="D1183" s="21" t="s">
        <v>687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689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1307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723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1308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1309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1129</v>
      </c>
      <c r="B1189" s="21" t="s">
        <v>780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1310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1311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1312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712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929</v>
      </c>
      <c r="B1194" s="21" t="s">
        <v>745</v>
      </c>
      <c r="C1194" s="21" t="s">
        <v>717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1313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692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/>
    </row>
    <row r="1198" spans="1:12">
      <c r="A1198" s="20" t="s">
        <v>1314</v>
      </c>
    </row>
    <row r="1199" spans="1:12">
      <c r="A1199" s="20" t="s">
        <v>1315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1316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1317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769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712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744</v>
      </c>
      <c r="B1204" s="21" t="s">
        <v>685</v>
      </c>
      <c r="C1204" s="21" t="s">
        <v>686</v>
      </c>
      <c r="D1204" s="21" t="s">
        <v>687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1306</v>
      </c>
      <c r="B1205" s="21" t="s">
        <v>861</v>
      </c>
      <c r="C1205" s="21" t="s">
        <v>686</v>
      </c>
      <c r="D1205" s="21" t="s">
        <v>687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1318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1319</v>
      </c>
      <c r="B1207" s="21" t="s">
        <v>861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1041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1320</v>
      </c>
      <c r="B1209" s="21" t="s">
        <v>701</v>
      </c>
      <c r="C1209" s="21" t="s">
        <v>805</v>
      </c>
      <c r="D1209" s="21" t="s">
        <v>687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723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1321</v>
      </c>
      <c r="B1211" s="21" t="s">
        <v>701</v>
      </c>
      <c r="C1211" s="21" t="s">
        <v>805</v>
      </c>
      <c r="D1211" s="21" t="s">
        <v>687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689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1322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692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/>
    </row>
    <row r="1216" spans="1:12">
      <c r="A1216" s="20" t="s">
        <v>1323</v>
      </c>
    </row>
    <row r="1217" spans="1:12">
      <c r="A1217" s="20" t="s">
        <v>895</v>
      </c>
      <c r="B1217" s="21" t="s">
        <v>685</v>
      </c>
      <c r="C1217" s="21" t="s">
        <v>741</v>
      </c>
      <c r="D1217" s="21" t="s">
        <v>687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1222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1324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1325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1326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1327</v>
      </c>
      <c r="B1222" s="21" t="s">
        <v>705</v>
      </c>
      <c r="C1222" s="21" t="s">
        <v>741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712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1328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1129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692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/>
    </row>
    <row r="1228" spans="1:12">
      <c r="A1228" s="20" t="s">
        <v>1329</v>
      </c>
    </row>
    <row r="1229" spans="1:12">
      <c r="A1229" s="20" t="s">
        <v>1330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1331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712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742</v>
      </c>
      <c r="B1232" s="21" t="s">
        <v>732</v>
      </c>
      <c r="C1232" s="21" t="s">
        <v>717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744</v>
      </c>
      <c r="B1233" s="21" t="s">
        <v>716</v>
      </c>
      <c r="C1233" s="21" t="s">
        <v>686</v>
      </c>
      <c r="D1233" s="21" t="s">
        <v>687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1332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1333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759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744</v>
      </c>
      <c r="B1237" s="21" t="s">
        <v>685</v>
      </c>
      <c r="C1237" s="21" t="s">
        <v>686</v>
      </c>
      <c r="D1237" s="21" t="s">
        <v>687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1332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1334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786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1335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1336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1337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692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/>
    </row>
    <row r="1246" spans="1:12">
      <c r="A1246" s="20" t="s">
        <v>1338</v>
      </c>
    </row>
    <row r="1247" spans="1:12">
      <c r="A1247" s="20" t="s">
        <v>707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1339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744</v>
      </c>
      <c r="B1249" s="21" t="s">
        <v>685</v>
      </c>
      <c r="C1249" s="21" t="s">
        <v>686</v>
      </c>
      <c r="D1249" s="21" t="s">
        <v>687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1340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778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1129</v>
      </c>
      <c r="B1252" s="21" t="s">
        <v>861</v>
      </c>
      <c r="C1252" s="21" t="s">
        <v>737</v>
      </c>
      <c r="D1252" s="21" t="s">
        <v>687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692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/>
    </row>
    <row r="1255" spans="1:12">
      <c r="A1255" s="20" t="s">
        <v>1341</v>
      </c>
    </row>
    <row r="1256" spans="1:12">
      <c r="A1256" s="20" t="s">
        <v>1315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1342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1317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707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365</v>
      </c>
      <c r="B1260" s="21" t="s">
        <v>802</v>
      </c>
      <c r="C1260" s="21" t="s">
        <v>741</v>
      </c>
      <c r="D1260" s="21" t="s">
        <v>687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1343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692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/>
    </row>
    <row r="1264" spans="1:12">
      <c r="A1264" s="20" t="s">
        <v>1344</v>
      </c>
    </row>
    <row r="1265" spans="1:12">
      <c r="A1265" s="20" t="s">
        <v>928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1345</v>
      </c>
      <c r="B1266" s="21" t="s">
        <v>685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1346</v>
      </c>
      <c r="B1267" s="21" t="s">
        <v>705</v>
      </c>
      <c r="C1267" s="21" t="s">
        <v>741</v>
      </c>
      <c r="D1267" s="21" t="s">
        <v>687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746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1347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692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/>
    </row>
    <row r="1272" spans="1:12">
      <c r="A1272" s="20" t="s">
        <v>1348</v>
      </c>
    </row>
    <row r="1273" spans="1:12">
      <c r="A1273" s="20" t="s">
        <v>928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744</v>
      </c>
      <c r="B1274" s="21" t="s">
        <v>685</v>
      </c>
      <c r="C1274" s="21" t="s">
        <v>686</v>
      </c>
      <c r="D1274" s="21" t="s">
        <v>687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761</v>
      </c>
      <c r="B1275" s="21" t="s">
        <v>861</v>
      </c>
      <c r="C1275" s="21" t="s">
        <v>686</v>
      </c>
      <c r="D1275" s="21" t="s">
        <v>687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1349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692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/>
    </row>
    <row r="1279" spans="1:12">
      <c r="A1279" s="20" t="s">
        <v>1350</v>
      </c>
    </row>
    <row r="1280" spans="1:12">
      <c r="A1280" s="20" t="s">
        <v>684</v>
      </c>
      <c r="B1280" s="21" t="s">
        <v>685</v>
      </c>
      <c r="C1280" s="21" t="s">
        <v>686</v>
      </c>
      <c r="D1280" s="21" t="s">
        <v>687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1137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752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1351</v>
      </c>
      <c r="B1283" s="21" t="s">
        <v>802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1352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786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1336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692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/>
    </row>
    <row r="1289" spans="1:12">
      <c r="A1289" s="20" t="s">
        <v>1353</v>
      </c>
    </row>
    <row r="1290" spans="1:12">
      <c r="A1290" s="20" t="s">
        <v>1354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761</v>
      </c>
      <c r="B1291" s="21" t="s">
        <v>861</v>
      </c>
      <c r="C1291" s="21" t="s">
        <v>686</v>
      </c>
      <c r="D1291" s="21" t="s">
        <v>687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695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1355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692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/>
    </row>
    <row r="1296" spans="1:12">
      <c r="A1296" s="20" t="s">
        <v>1356</v>
      </c>
    </row>
    <row r="1297" spans="1:12">
      <c r="A1297" s="20" t="s">
        <v>1357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365</v>
      </c>
      <c r="B1298" s="21" t="s">
        <v>685</v>
      </c>
      <c r="C1298" s="21" t="s">
        <v>741</v>
      </c>
      <c r="D1298" s="21" t="s">
        <v>687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1041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1358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786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1359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692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/>
    </row>
    <row r="1305" spans="1:12">
      <c r="A1305" s="20" t="s">
        <v>1360</v>
      </c>
    </row>
    <row r="1306" spans="1:12">
      <c r="A1306" s="20" t="s">
        <v>895</v>
      </c>
      <c r="B1306" s="21" t="s">
        <v>685</v>
      </c>
      <c r="C1306" s="21" t="s">
        <v>741</v>
      </c>
      <c r="D1306" s="21" t="s">
        <v>687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1361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692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/>
    </row>
    <row r="1310" spans="1:12">
      <c r="A1310" s="20" t="s">
        <v>1362</v>
      </c>
    </row>
    <row r="1311" spans="1:12">
      <c r="A1311" s="20" t="s">
        <v>895</v>
      </c>
      <c r="B1311" s="21" t="s">
        <v>685</v>
      </c>
      <c r="C1311" s="21" t="s">
        <v>741</v>
      </c>
      <c r="D1311" s="21" t="s">
        <v>687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1222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1363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1364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1365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692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/>
    </row>
    <row r="1318" spans="1:12">
      <c r="A1318" s="20" t="s">
        <v>1366</v>
      </c>
    </row>
    <row r="1319" spans="1:12">
      <c r="A1319" s="20" t="s">
        <v>707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744</v>
      </c>
      <c r="B1320" s="21" t="s">
        <v>685</v>
      </c>
      <c r="C1320" s="21" t="s">
        <v>686</v>
      </c>
      <c r="D1320" s="21" t="s">
        <v>687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761</v>
      </c>
      <c r="B1321" s="21" t="s">
        <v>861</v>
      </c>
      <c r="C1321" s="21" t="s">
        <v>686</v>
      </c>
      <c r="D1321" s="21" t="s">
        <v>687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1367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1368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1369</v>
      </c>
      <c r="B1324" s="21" t="s">
        <v>780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692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/>
    </row>
    <row r="1327" spans="1:12">
      <c r="A1327" s="20" t="s">
        <v>1370</v>
      </c>
    </row>
    <row r="1328" spans="1:12">
      <c r="A1328" s="20" t="s">
        <v>1371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712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1372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1373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786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1221</v>
      </c>
      <c r="B1333" s="21" t="s">
        <v>701</v>
      </c>
      <c r="C1333" s="21" t="s">
        <v>741</v>
      </c>
      <c r="D1333" s="21" t="s">
        <v>687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712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742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1374</v>
      </c>
      <c r="B1336" s="21" t="s">
        <v>728</v>
      </c>
      <c r="C1336" s="21" t="s">
        <v>729</v>
      </c>
      <c r="D1336" s="21" t="s">
        <v>687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630</v>
      </c>
      <c r="B1337" s="21" t="s">
        <v>745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1375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1376</v>
      </c>
      <c r="B1339" s="21" t="s">
        <v>732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712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801</v>
      </c>
      <c r="B1341" s="21" t="s">
        <v>802</v>
      </c>
      <c r="C1341" s="21" t="s">
        <v>686</v>
      </c>
      <c r="D1341" s="21" t="s">
        <v>687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980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981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1187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1376</v>
      </c>
      <c r="B1345" s="21" t="s">
        <v>780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712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695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1125</v>
      </c>
      <c r="B1348" s="21" t="s">
        <v>850</v>
      </c>
      <c r="C1348" s="21" t="s">
        <v>717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865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29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1377</v>
      </c>
      <c r="B1351" s="21" t="s">
        <v>728</v>
      </c>
      <c r="C1351" s="21" t="s">
        <v>702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744</v>
      </c>
      <c r="B1352" s="21" t="s">
        <v>822</v>
      </c>
      <c r="C1352" s="21" t="s">
        <v>686</v>
      </c>
      <c r="D1352" s="21" t="s">
        <v>687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709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695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1378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1379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695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1218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1023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1380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956</v>
      </c>
      <c r="B1361" s="21" t="s">
        <v>728</v>
      </c>
      <c r="C1361" s="21" t="s">
        <v>977</v>
      </c>
      <c r="D1361" s="21" t="s">
        <v>687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766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1005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1381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1382</v>
      </c>
      <c r="B1365" s="21" t="s">
        <v>1236</v>
      </c>
      <c r="C1365" s="21" t="s">
        <v>805</v>
      </c>
      <c r="D1365" s="21" t="s">
        <v>687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712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1383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689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1384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1385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865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1386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712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 t="s">
        <v>746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695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847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712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746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695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1387</v>
      </c>
      <c r="B1380" s="21" t="s">
        <v>850</v>
      </c>
      <c r="C1380" s="21" t="s">
        <v>805</v>
      </c>
      <c r="D1380" s="21" t="s">
        <v>687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712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1388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692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/>
    </row>
    <row r="1385" spans="1:12">
      <c r="A1385" s="20" t="s">
        <v>1389</v>
      </c>
    </row>
    <row r="1386" spans="1:12">
      <c r="A1386" s="20" t="s">
        <v>1390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365</v>
      </c>
      <c r="B1387" s="21" t="s">
        <v>685</v>
      </c>
      <c r="C1387" s="21" t="s">
        <v>741</v>
      </c>
      <c r="D1387" s="21" t="s">
        <v>687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719</v>
      </c>
      <c r="B1388" s="21" t="s">
        <v>861</v>
      </c>
      <c r="C1388" s="21" t="s">
        <v>686</v>
      </c>
      <c r="D1388" s="21" t="s">
        <v>687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1391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692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/>
    </row>
    <row r="1392" spans="1:12">
      <c r="A1392" s="20" t="s">
        <v>1392</v>
      </c>
    </row>
    <row r="1393" spans="1:12">
      <c r="A1393" s="20" t="s">
        <v>1393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1394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1395</v>
      </c>
      <c r="B1395" s="21" t="s">
        <v>685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712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1171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775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1396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1397</v>
      </c>
      <c r="B1400" s="21" t="s">
        <v>720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712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1398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723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1399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1400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692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/>
    </row>
    <row r="1408" spans="1:12">
      <c r="A1408" s="20" t="s">
        <v>1401</v>
      </c>
    </row>
    <row r="1409" spans="1:12">
      <c r="A1409" s="20" t="s">
        <v>707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719</v>
      </c>
      <c r="B1410" s="21" t="s">
        <v>861</v>
      </c>
      <c r="C1410" s="21" t="s">
        <v>686</v>
      </c>
      <c r="D1410" s="21" t="s">
        <v>687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1402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759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937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853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1403</v>
      </c>
      <c r="B1415" s="21" t="s">
        <v>802</v>
      </c>
      <c r="C1415" s="21" t="s">
        <v>737</v>
      </c>
      <c r="D1415" s="21" t="s">
        <v>687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712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1404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1403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712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1078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1405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689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880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1406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692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/>
    </row>
    <row r="1427" spans="1:12">
      <c r="A1427" s="20" t="s">
        <v>1407</v>
      </c>
    </row>
    <row r="1428" spans="1:12">
      <c r="A1428" s="20" t="s">
        <v>769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712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1408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1077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1409</v>
      </c>
      <c r="B1432" s="21" t="s">
        <v>685</v>
      </c>
      <c r="C1432" s="21" t="s">
        <v>741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723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1410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1411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1412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692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/>
    </row>
    <row r="1439" spans="1:12">
      <c r="A1439" s="20" t="s">
        <v>1413</v>
      </c>
    </row>
    <row r="1440" spans="1:12">
      <c r="A1440" s="20" t="s">
        <v>1414</v>
      </c>
      <c r="B1440" s="21" t="s">
        <v>685</v>
      </c>
      <c r="C1440" s="21" t="s">
        <v>686</v>
      </c>
      <c r="D1440" s="21" t="s">
        <v>687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1415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695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1416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712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1417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695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1418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1419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1420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1421</v>
      </c>
      <c r="B1450" s="21" t="s">
        <v>701</v>
      </c>
      <c r="C1450" s="21" t="s">
        <v>737</v>
      </c>
      <c r="D1450" s="21" t="s">
        <v>687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712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1422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1423</v>
      </c>
      <c r="B1453" s="21" t="s">
        <v>732</v>
      </c>
      <c r="C1453" s="21" t="s">
        <v>686</v>
      </c>
      <c r="D1453" s="21" t="s">
        <v>687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746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1424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712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1425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1426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746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1427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1428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692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/>
    </row>
    <row r="1464" spans="1:12">
      <c r="A1464" s="20" t="s">
        <v>1429</v>
      </c>
    </row>
    <row r="1465" spans="1:12">
      <c r="A1465" s="20" t="s">
        <v>707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744</v>
      </c>
      <c r="B1466" s="21" t="s">
        <v>685</v>
      </c>
      <c r="C1466" s="21" t="s">
        <v>686</v>
      </c>
      <c r="D1466" s="21" t="s">
        <v>687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1167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752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1168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1169</v>
      </c>
      <c r="B1470" s="21" t="s">
        <v>705</v>
      </c>
      <c r="C1470" s="21" t="s">
        <v>686</v>
      </c>
      <c r="D1470" s="21" t="s">
        <v>687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1430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/>
    </row>
    <row r="1473" spans="1:12">
      <c r="A1473" s="20" t="s">
        <v>1431</v>
      </c>
    </row>
    <row r="1474" spans="1:12">
      <c r="A1474" s="20" t="s">
        <v>684</v>
      </c>
      <c r="B1474" s="21" t="s">
        <v>685</v>
      </c>
      <c r="C1474" s="21" t="s">
        <v>686</v>
      </c>
      <c r="D1474" s="21" t="s">
        <v>687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1041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1432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1433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695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1434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1106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692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/>
    </row>
    <row r="1483" spans="1:12">
      <c r="A1483" s="20" t="s">
        <v>1435</v>
      </c>
    </row>
    <row r="1484" spans="1:12">
      <c r="A1484" s="20" t="s">
        <v>1436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1077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365</v>
      </c>
      <c r="B1486" s="21" t="s">
        <v>685</v>
      </c>
      <c r="C1486" s="21" t="s">
        <v>741</v>
      </c>
      <c r="D1486" s="21" t="s">
        <v>687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357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692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/>
    </row>
    <row r="1490" spans="1:12">
      <c r="A1490" s="20" t="s">
        <v>1437</v>
      </c>
    </row>
    <row r="1491" spans="1:12">
      <c r="A1491" s="20" t="s">
        <v>707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1438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744</v>
      </c>
      <c r="B1493" s="21" t="s">
        <v>685</v>
      </c>
      <c r="C1493" s="21" t="s">
        <v>686</v>
      </c>
      <c r="D1493" s="21" t="s">
        <v>687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1388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361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1439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1440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692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/>
    </row>
    <row r="1500" spans="1:12">
      <c r="A1500" s="20" t="s">
        <v>1441</v>
      </c>
    </row>
    <row r="1501" spans="1:12">
      <c r="A1501" s="20" t="s">
        <v>1076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712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736</v>
      </c>
      <c r="B1503" s="21" t="s">
        <v>685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712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1442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1443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1034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1444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1073</v>
      </c>
      <c r="B1509" s="21" t="s">
        <v>705</v>
      </c>
      <c r="C1509" s="21" t="s">
        <v>741</v>
      </c>
      <c r="D1509" s="21" t="s">
        <v>687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692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/>
    </row>
    <row r="1512" spans="1:12">
      <c r="A1512" s="20" t="s">
        <v>1445</v>
      </c>
    </row>
    <row r="1513" spans="1:12">
      <c r="A1513" s="20" t="s">
        <v>895</v>
      </c>
      <c r="B1513" s="21" t="s">
        <v>685</v>
      </c>
      <c r="C1513" s="21" t="s">
        <v>741</v>
      </c>
      <c r="D1513" s="21" t="s">
        <v>687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775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1446</v>
      </c>
      <c r="B1515" s="21" t="s">
        <v>705</v>
      </c>
      <c r="C1515" s="21" t="s">
        <v>686</v>
      </c>
      <c r="D1515" s="21" t="s">
        <v>687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692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/>
    </row>
    <row r="1518" spans="1:12">
      <c r="A1518" s="20" t="s">
        <v>1447</v>
      </c>
    </row>
    <row r="1519" spans="1:12">
      <c r="A1519" s="20" t="s">
        <v>895</v>
      </c>
      <c r="B1519" s="21" t="s">
        <v>685</v>
      </c>
      <c r="C1519" s="21" t="s">
        <v>741</v>
      </c>
      <c r="D1519" s="21" t="s">
        <v>687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775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1448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712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365</v>
      </c>
      <c r="B1523" s="21" t="s">
        <v>802</v>
      </c>
      <c r="C1523" s="21" t="s">
        <v>741</v>
      </c>
      <c r="D1523" s="21" t="s">
        <v>687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775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736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712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365</v>
      </c>
      <c r="B1527" s="21" t="s">
        <v>802</v>
      </c>
      <c r="C1527" s="21" t="s">
        <v>741</v>
      </c>
      <c r="D1527" s="21" t="s">
        <v>687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775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630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692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/>
    </row>
    <row r="1532" spans="1:12">
      <c r="A1532" s="20" t="s">
        <v>1449</v>
      </c>
    </row>
    <row r="1533" spans="1:12">
      <c r="A1533" s="20" t="s">
        <v>707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365</v>
      </c>
      <c r="B1534" s="21" t="s">
        <v>685</v>
      </c>
      <c r="C1534" s="21" t="s">
        <v>741</v>
      </c>
      <c r="D1534" s="21" t="s">
        <v>687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709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1217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712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929</v>
      </c>
      <c r="B1538" s="21" t="s">
        <v>780</v>
      </c>
      <c r="C1538" s="21" t="s">
        <v>717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1450</v>
      </c>
      <c r="B1539" s="21" t="s">
        <v>802</v>
      </c>
      <c r="C1539" s="21" t="s">
        <v>805</v>
      </c>
      <c r="D1539" s="21" t="s">
        <v>687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746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1451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1136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1452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851</v>
      </c>
      <c r="B1544" s="21" t="s">
        <v>720</v>
      </c>
      <c r="C1544" s="21" t="s">
        <v>686</v>
      </c>
      <c r="D1544" s="21" t="s">
        <v>687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692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/>
    </row>
    <row r="1547" spans="1:12">
      <c r="A1547" s="20" t="s">
        <v>1453</v>
      </c>
    </row>
    <row r="1548" spans="1:12">
      <c r="A1548" s="20" t="s">
        <v>1454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742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744</v>
      </c>
      <c r="B1550" s="21" t="s">
        <v>685</v>
      </c>
      <c r="C1550" s="21" t="s">
        <v>686</v>
      </c>
      <c r="D1550" s="21" t="s">
        <v>687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837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278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1107</v>
      </c>
      <c r="B1553" s="21" t="s">
        <v>780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723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801</v>
      </c>
      <c r="B1555" s="21" t="s">
        <v>802</v>
      </c>
      <c r="C1555" s="21" t="s">
        <v>686</v>
      </c>
      <c r="D1555" s="21" t="s">
        <v>687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824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212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776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1346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1455</v>
      </c>
      <c r="B1560" s="21" t="s">
        <v>797</v>
      </c>
      <c r="C1560" s="21" t="s">
        <v>737</v>
      </c>
      <c r="D1560" s="21" t="s">
        <v>687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692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/>
    </row>
    <row r="1563" spans="1:12">
      <c r="A1563" s="20" t="s">
        <v>1456</v>
      </c>
    </row>
    <row r="1564" spans="1:12">
      <c r="A1564" s="20" t="s">
        <v>928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744</v>
      </c>
      <c r="B1565" s="21" t="s">
        <v>685</v>
      </c>
      <c r="C1565" s="21" t="s">
        <v>686</v>
      </c>
      <c r="D1565" s="21" t="s">
        <v>687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746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837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278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891</v>
      </c>
      <c r="B1569" s="21" t="s">
        <v>780</v>
      </c>
      <c r="C1569" s="21" t="s">
        <v>741</v>
      </c>
      <c r="D1569" s="21" t="s">
        <v>687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712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742</v>
      </c>
      <c r="B1571" s="21" t="s">
        <v>732</v>
      </c>
      <c r="C1571" s="21" t="s">
        <v>717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744</v>
      </c>
      <c r="B1572" s="21" t="s">
        <v>745</v>
      </c>
      <c r="C1572" s="21" t="s">
        <v>686</v>
      </c>
      <c r="D1572" s="21" t="s">
        <v>687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989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757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777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1457</v>
      </c>
      <c r="B1576" s="21" t="s">
        <v>850</v>
      </c>
      <c r="C1576" s="21" t="s">
        <v>737</v>
      </c>
      <c r="D1576" s="21" t="s">
        <v>687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692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/>
    </row>
    <row r="1579" spans="1:12">
      <c r="A1579" s="20" t="s">
        <v>1458</v>
      </c>
    </row>
    <row r="1580" spans="1:12">
      <c r="A1580" s="20" t="s">
        <v>1459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1035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1460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1036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744</v>
      </c>
      <c r="B1584" s="21" t="s">
        <v>685</v>
      </c>
      <c r="C1584" s="21" t="s">
        <v>686</v>
      </c>
      <c r="D1584" s="21" t="s">
        <v>687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989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877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695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1461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1462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712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989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891</v>
      </c>
      <c r="B1592" s="21" t="s">
        <v>780</v>
      </c>
      <c r="C1592" s="21" t="s">
        <v>741</v>
      </c>
      <c r="D1592" s="21" t="s">
        <v>687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712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1463</v>
      </c>
      <c r="B1594" s="21" t="s">
        <v>850</v>
      </c>
      <c r="C1594" s="21" t="s">
        <v>717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1126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918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746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989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712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891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712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1463</v>
      </c>
      <c r="B1602" s="21" t="s">
        <v>701</v>
      </c>
      <c r="C1602" s="21" t="s">
        <v>717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746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989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1126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1464</v>
      </c>
      <c r="B1606" s="21" t="s">
        <v>802</v>
      </c>
      <c r="C1606" s="21" t="s">
        <v>1465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712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742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991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746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775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1466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1467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712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743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801</v>
      </c>
      <c r="B1616" s="21" t="s">
        <v>822</v>
      </c>
      <c r="C1616" s="21" t="s">
        <v>686</v>
      </c>
      <c r="D1616" s="21" t="s">
        <v>687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365</v>
      </c>
      <c r="B1617" s="21" t="s">
        <v>791</v>
      </c>
      <c r="C1617" s="21" t="s">
        <v>741</v>
      </c>
      <c r="D1617" s="21" t="s">
        <v>687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1468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723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1469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692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/>
    </row>
    <row r="1623" spans="1:12">
      <c r="A1623" s="20" t="s">
        <v>1470</v>
      </c>
    </row>
    <row r="1624" spans="1:12">
      <c r="A1624" s="20" t="s">
        <v>826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827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712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744</v>
      </c>
      <c r="B1627" s="21" t="s">
        <v>685</v>
      </c>
      <c r="C1627" s="21" t="s">
        <v>686</v>
      </c>
      <c r="D1627" s="21" t="s">
        <v>687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709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1471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723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1332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1472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692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/>
    </row>
    <row r="1635" spans="1:12">
      <c r="A1635" s="20" t="s">
        <v>1473</v>
      </c>
    </row>
    <row r="1636" spans="1:12">
      <c r="A1636" s="20" t="s">
        <v>707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744</v>
      </c>
      <c r="B1637" s="21" t="s">
        <v>685</v>
      </c>
      <c r="C1637" s="21" t="s">
        <v>686</v>
      </c>
      <c r="D1637" s="21" t="s">
        <v>687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1474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1475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1476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1477</v>
      </c>
      <c r="B1641" s="21" t="s">
        <v>861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692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/>
    </row>
    <row r="1644" spans="1:12">
      <c r="A1644" s="20" t="s">
        <v>1478</v>
      </c>
    </row>
    <row r="1645" spans="1:12">
      <c r="A1645" s="20" t="s">
        <v>1479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1480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1337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744</v>
      </c>
      <c r="B1648" s="21" t="s">
        <v>685</v>
      </c>
      <c r="C1648" s="21" t="s">
        <v>686</v>
      </c>
      <c r="D1648" s="21" t="s">
        <v>687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1137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752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1481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712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744</v>
      </c>
      <c r="B1653" s="21" t="s">
        <v>802</v>
      </c>
      <c r="C1653" s="21" t="s">
        <v>686</v>
      </c>
      <c r="D1653" s="21" t="s">
        <v>687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965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1482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1483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1484</v>
      </c>
      <c r="B1657" s="21" t="s">
        <v>780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1485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695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1486</v>
      </c>
      <c r="B1660" s="21" t="s">
        <v>797</v>
      </c>
      <c r="C1660" s="21" t="s">
        <v>805</v>
      </c>
      <c r="D1660" s="21" t="s">
        <v>687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723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1487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1488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1489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689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1261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1490</v>
      </c>
      <c r="B1667" s="21" t="s">
        <v>797</v>
      </c>
      <c r="C1667" s="21" t="s">
        <v>1133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692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/>
    </row>
    <row r="1670" spans="1:12">
      <c r="A1670" s="20" t="s">
        <v>1491</v>
      </c>
    </row>
    <row r="1671" spans="1:12">
      <c r="A1671" s="20" t="s">
        <v>707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801</v>
      </c>
      <c r="B1672" s="21" t="s">
        <v>685</v>
      </c>
      <c r="C1672" s="21" t="s">
        <v>686</v>
      </c>
      <c r="D1672" s="21" t="s">
        <v>687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1492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1493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853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1494</v>
      </c>
      <c r="B1676" s="21" t="s">
        <v>780</v>
      </c>
      <c r="C1676" s="21" t="s">
        <v>737</v>
      </c>
      <c r="D1676" s="21" t="s">
        <v>687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692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/>
    </row>
    <row r="1679" spans="1:12">
      <c r="A1679" s="20" t="s">
        <v>1495</v>
      </c>
    </row>
    <row r="1680" spans="1:12">
      <c r="A1680" s="20" t="s">
        <v>707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801</v>
      </c>
      <c r="B1681" s="21" t="s">
        <v>685</v>
      </c>
      <c r="C1681" s="21" t="s">
        <v>686</v>
      </c>
      <c r="D1681" s="21" t="s">
        <v>687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1496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786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1497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712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806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1306</v>
      </c>
      <c r="B1687" s="21" t="s">
        <v>780</v>
      </c>
      <c r="C1687" s="21" t="s">
        <v>686</v>
      </c>
      <c r="D1687" s="21" t="s">
        <v>687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1023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1498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879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692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/>
    </row>
    <row r="1693" spans="1:12">
      <c r="A1693" s="20" t="s">
        <v>1499</v>
      </c>
    </row>
    <row r="1694" spans="1:12">
      <c r="A1694" s="20" t="s">
        <v>1111</v>
      </c>
      <c r="B1694" s="21" t="s">
        <v>685</v>
      </c>
      <c r="C1694" s="21" t="s">
        <v>686</v>
      </c>
      <c r="D1694" s="21" t="s">
        <v>687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1500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786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1336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1337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692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/>
    </row>
    <row r="1701" spans="1:12">
      <c r="A1701" s="20" t="s">
        <v>1501</v>
      </c>
    </row>
    <row r="1702" spans="1:12">
      <c r="A1702" s="20" t="s">
        <v>1111</v>
      </c>
      <c r="B1702" s="21" t="s">
        <v>685</v>
      </c>
      <c r="C1702" s="21" t="s">
        <v>686</v>
      </c>
      <c r="D1702" s="21" t="s">
        <v>687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1502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1503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1504</v>
      </c>
      <c r="B1705" s="21" t="s">
        <v>797</v>
      </c>
      <c r="C1705" s="21" t="s">
        <v>686</v>
      </c>
      <c r="D1705" s="21" t="s">
        <v>687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1505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879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712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821</v>
      </c>
      <c r="B1709" s="21" t="s">
        <v>716</v>
      </c>
      <c r="C1709" s="21" t="s">
        <v>717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1506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890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1507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1508</v>
      </c>
      <c r="B1713" s="21" t="s">
        <v>720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692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/>
    </row>
    <row r="1716" spans="1:12">
      <c r="A1716" s="20" t="s">
        <v>1509</v>
      </c>
    </row>
    <row r="1717" spans="1:12">
      <c r="A1717" s="20" t="s">
        <v>1510</v>
      </c>
      <c r="B1717" s="21" t="s">
        <v>685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1511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695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740</v>
      </c>
      <c r="B1720" s="21" t="s">
        <v>705</v>
      </c>
      <c r="C1720" s="21" t="s">
        <v>741</v>
      </c>
      <c r="D1720" s="21" t="s">
        <v>687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712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764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1512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1513</v>
      </c>
      <c r="B1724" s="21" t="s">
        <v>720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1514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712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1463</v>
      </c>
      <c r="B1727" s="21" t="s">
        <v>850</v>
      </c>
      <c r="C1727" s="21" t="s">
        <v>717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1126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1464</v>
      </c>
      <c r="B1729" s="21" t="s">
        <v>745</v>
      </c>
      <c r="C1729" s="21" t="s">
        <v>1465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746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1515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692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/>
    </row>
    <row r="1734" spans="1:12">
      <c r="A1734" s="20" t="s">
        <v>1516</v>
      </c>
    </row>
    <row r="1735" spans="1:12">
      <c r="A1735" s="20" t="s">
        <v>1517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1464</v>
      </c>
      <c r="B1736" s="21" t="s">
        <v>685</v>
      </c>
      <c r="C1736" s="21" t="s">
        <v>1465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1013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746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1518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1519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1520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692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/>
    </row>
    <row r="1744" spans="1:12">
      <c r="A1744" s="20" t="s">
        <v>1521</v>
      </c>
    </row>
    <row r="1745" spans="1:12">
      <c r="A1745" s="20" t="s">
        <v>1522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1523</v>
      </c>
      <c r="B1746" s="21" t="s">
        <v>705</v>
      </c>
      <c r="C1746" s="21" t="s">
        <v>686</v>
      </c>
      <c r="D1746" s="21" t="s">
        <v>687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746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775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1296</v>
      </c>
      <c r="B1749" s="21" t="s">
        <v>685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776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1346</v>
      </c>
      <c r="B1751" s="21" t="s">
        <v>705</v>
      </c>
      <c r="C1751" s="21" t="s">
        <v>741</v>
      </c>
      <c r="D1751" s="21" t="s">
        <v>687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712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1524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801</v>
      </c>
      <c r="B1754" s="21" t="s">
        <v>802</v>
      </c>
      <c r="C1754" s="21" t="s">
        <v>686</v>
      </c>
      <c r="D1754" s="21" t="s">
        <v>687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1525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1526</v>
      </c>
      <c r="B1756" s="21" t="s">
        <v>780</v>
      </c>
      <c r="C1756" s="21" t="s">
        <v>741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1187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692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/>
    </row>
    <row r="1760" spans="1:12">
      <c r="A1760" s="20" t="s">
        <v>1527</v>
      </c>
    </row>
    <row r="1761" spans="1:12">
      <c r="A1761" s="20" t="s">
        <v>943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712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1170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966</v>
      </c>
      <c r="B1764" s="21" t="s">
        <v>685</v>
      </c>
      <c r="C1764" s="21" t="s">
        <v>686</v>
      </c>
      <c r="D1764" s="21" t="s">
        <v>687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744</v>
      </c>
      <c r="B1765" s="21" t="s">
        <v>685</v>
      </c>
      <c r="C1765" s="21" t="s">
        <v>686</v>
      </c>
      <c r="D1765" s="21" t="s">
        <v>687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712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689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1528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1337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712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1529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695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1379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723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1530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689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1170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1531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1532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1077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1533</v>
      </c>
      <c r="B1781" s="21" t="s">
        <v>701</v>
      </c>
      <c r="C1781" s="21" t="s">
        <v>741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695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740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1534</v>
      </c>
      <c r="B1784" s="21" t="s">
        <v>701</v>
      </c>
      <c r="C1784" s="21" t="s">
        <v>737</v>
      </c>
      <c r="D1784" s="21" t="s">
        <v>687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712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1535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1536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1537</v>
      </c>
      <c r="B1788" s="21" t="s">
        <v>745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692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/>
    </row>
    <row r="1791" spans="1:12">
      <c r="A1791" s="20" t="s">
        <v>1538</v>
      </c>
    </row>
    <row r="1792" spans="1:12">
      <c r="A1792" s="20" t="s">
        <v>707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744</v>
      </c>
      <c r="B1793" s="21" t="s">
        <v>685</v>
      </c>
      <c r="C1793" s="21" t="s">
        <v>686</v>
      </c>
      <c r="D1793" s="21" t="s">
        <v>687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1539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1540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1541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1542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698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1543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1514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692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/>
    </row>
    <row r="1803" spans="1:12">
      <c r="A1803" s="20" t="s">
        <v>1544</v>
      </c>
    </row>
    <row r="1804" spans="1:12">
      <c r="A1804" s="20" t="s">
        <v>1545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744</v>
      </c>
      <c r="B1805" s="21" t="s">
        <v>685</v>
      </c>
      <c r="C1805" s="21" t="s">
        <v>686</v>
      </c>
      <c r="D1805" s="21" t="s">
        <v>687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1546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1547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712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1372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1548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744</v>
      </c>
      <c r="B1811" s="21" t="s">
        <v>802</v>
      </c>
      <c r="C1811" s="21" t="s">
        <v>686</v>
      </c>
      <c r="D1811" s="21" t="s">
        <v>687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1549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1542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692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/>
    </row>
    <row r="1816" spans="1:12">
      <c r="A1816" s="20" t="s">
        <v>1550</v>
      </c>
    </row>
    <row r="1817" spans="1:12">
      <c r="A1817" s="20" t="s">
        <v>684</v>
      </c>
      <c r="B1817" s="21" t="s">
        <v>685</v>
      </c>
      <c r="C1817" s="21" t="s">
        <v>686</v>
      </c>
      <c r="D1817" s="21" t="s">
        <v>687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1551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1552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1553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1554</v>
      </c>
      <c r="B1821" s="21" t="s">
        <v>861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1549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1520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1337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692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/>
    </row>
    <row r="1827" spans="1:12">
      <c r="A1827" s="20" t="s">
        <v>1555</v>
      </c>
    </row>
    <row r="1828" spans="1:12">
      <c r="A1828" s="20" t="s">
        <v>895</v>
      </c>
      <c r="B1828" s="21" t="s">
        <v>685</v>
      </c>
      <c r="C1828" s="21" t="s">
        <v>741</v>
      </c>
      <c r="D1828" s="21" t="s">
        <v>687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775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1556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1557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1558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1559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712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898</v>
      </c>
      <c r="B1835" s="21" t="s">
        <v>780</v>
      </c>
      <c r="C1835" s="21" t="s">
        <v>717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744</v>
      </c>
      <c r="B1836" s="21" t="s">
        <v>802</v>
      </c>
      <c r="C1836" s="21" t="s">
        <v>686</v>
      </c>
      <c r="D1836" s="21" t="s">
        <v>687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1560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1561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712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1562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742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744</v>
      </c>
      <c r="B1842" s="21" t="s">
        <v>716</v>
      </c>
      <c r="C1842" s="21" t="s">
        <v>686</v>
      </c>
      <c r="D1842" s="21" t="s">
        <v>687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1563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1564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909</v>
      </c>
      <c r="B1845" s="21" t="s">
        <v>850</v>
      </c>
      <c r="C1845" s="21" t="s">
        <v>741</v>
      </c>
      <c r="D1845" s="21" t="s">
        <v>687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1041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1565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890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1566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712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742</v>
      </c>
      <c r="B1851" s="21" t="s">
        <v>822</v>
      </c>
      <c r="C1851" s="21" t="s">
        <v>717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1567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1222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1029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777</v>
      </c>
      <c r="B1855" s="21" t="s">
        <v>850</v>
      </c>
      <c r="C1855" s="21" t="s">
        <v>741</v>
      </c>
      <c r="D1855" s="21" t="s">
        <v>687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712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1041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1568</v>
      </c>
      <c r="B1858" s="21" t="s">
        <v>933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1542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1569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1570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712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1562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742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744</v>
      </c>
      <c r="B1865" s="21" t="s">
        <v>1571</v>
      </c>
      <c r="C1865" s="21" t="s">
        <v>686</v>
      </c>
      <c r="D1865" s="21" t="s">
        <v>687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1572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698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1573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1574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712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743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801</v>
      </c>
      <c r="B1872" s="21" t="s">
        <v>938</v>
      </c>
      <c r="C1872" s="21" t="s">
        <v>686</v>
      </c>
      <c r="D1872" s="21" t="s">
        <v>687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1575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847</v>
      </c>
      <c r="B1874" s="21" t="s">
        <v>1576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692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/>
    </row>
    <row r="1877" spans="1:12">
      <c r="A1877" s="20" t="s">
        <v>1577</v>
      </c>
    </row>
    <row r="1878" spans="1:12">
      <c r="A1878" s="20" t="s">
        <v>834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1578</v>
      </c>
      <c r="B1879" s="21" t="s">
        <v>685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709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1579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1580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712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1581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689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1582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1514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692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/>
    </row>
    <row r="1890" spans="1:12">
      <c r="A1890" s="20" t="s">
        <v>1583</v>
      </c>
    </row>
    <row r="1891" spans="1:12">
      <c r="A1891" s="20" t="s">
        <v>895</v>
      </c>
      <c r="B1891" s="21" t="s">
        <v>685</v>
      </c>
      <c r="C1891" s="21" t="s">
        <v>741</v>
      </c>
      <c r="D1891" s="21" t="s">
        <v>687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1078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1584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1585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1586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692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/>
    </row>
    <row r="1898" spans="1:12">
      <c r="A1898" s="20" t="s">
        <v>1587</v>
      </c>
    </row>
    <row r="1899" spans="1:12">
      <c r="A1899" s="20" t="s">
        <v>707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841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744</v>
      </c>
      <c r="B1901" s="21" t="s">
        <v>685</v>
      </c>
      <c r="C1901" s="21" t="s">
        <v>686</v>
      </c>
      <c r="D1901" s="21" t="s">
        <v>687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840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712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742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1588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1554</v>
      </c>
      <c r="B1906" s="21" t="s">
        <v>802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712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1589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1590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1591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1592</v>
      </c>
      <c r="B1911" s="21" t="s">
        <v>850</v>
      </c>
      <c r="C1911" s="21" t="s">
        <v>737</v>
      </c>
      <c r="D1911" s="21" t="s">
        <v>687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12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1593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712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1594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1595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1596</v>
      </c>
      <c r="B1917" s="21" t="s">
        <v>780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695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 t="s">
        <v>1418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1597</v>
      </c>
      <c r="B1920" s="21" t="s">
        <v>701</v>
      </c>
      <c r="C1920" s="21" t="s">
        <v>737</v>
      </c>
      <c r="D1920" s="21" t="s">
        <v>687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712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695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1598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1599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1600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692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/>
    </row>
    <row r="1928" spans="1:12">
      <c r="A1928" s="20" t="s">
        <v>1601</v>
      </c>
    </row>
    <row r="1929" spans="1:12">
      <c r="A1929" s="20" t="s">
        <v>895</v>
      </c>
      <c r="B1929" s="21" t="s">
        <v>685</v>
      </c>
      <c r="C1929" s="21" t="s">
        <v>741</v>
      </c>
      <c r="D1929" s="21" t="s">
        <v>687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1078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788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1602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1586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692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/>
    </row>
    <row r="1936" spans="1:12">
      <c r="A1936" s="20" t="s">
        <v>1603</v>
      </c>
    </row>
    <row r="1937" spans="1:12">
      <c r="A1937" s="20" t="s">
        <v>707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712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1604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712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952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464</v>
      </c>
      <c r="B1942" s="21" t="s">
        <v>705</v>
      </c>
      <c r="C1942" s="21" t="s">
        <v>977</v>
      </c>
      <c r="D1942" s="21" t="s">
        <v>687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777</v>
      </c>
      <c r="B1943" s="21" t="s">
        <v>705</v>
      </c>
      <c r="C1943" s="21" t="s">
        <v>741</v>
      </c>
      <c r="D1943" s="21" t="s">
        <v>687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712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742</v>
      </c>
      <c r="B1945" s="21" t="s">
        <v>720</v>
      </c>
      <c r="C1945" s="21" t="s">
        <v>717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1222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1605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865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1606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1607</v>
      </c>
      <c r="B1950" s="21" t="s">
        <v>716</v>
      </c>
      <c r="C1950" s="21" t="s">
        <v>702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712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743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855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978</v>
      </c>
      <c r="B1954" s="21" t="s">
        <v>850</v>
      </c>
      <c r="C1954" s="21" t="s">
        <v>686</v>
      </c>
      <c r="D1954" s="21" t="s">
        <v>687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1608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1609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1610</v>
      </c>
      <c r="B1957" s="21" t="s">
        <v>745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776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1611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1612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1613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1614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1023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1615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1616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1617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1618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712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821</v>
      </c>
      <c r="B1969" s="21" t="s">
        <v>1619</v>
      </c>
      <c r="C1969" s="21" t="s">
        <v>717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744</v>
      </c>
      <c r="B1970" s="21" t="s">
        <v>938</v>
      </c>
      <c r="C1970" s="21" t="s">
        <v>686</v>
      </c>
      <c r="D1970" s="21" t="s">
        <v>687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837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278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712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1041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1620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690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1621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692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/>
    </row>
    <row r="1980" spans="1:12">
      <c r="A1980" s="20" t="s">
        <v>1622</v>
      </c>
    </row>
    <row r="1981" spans="1:12">
      <c r="A1981" s="20" t="s">
        <v>943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712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1623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853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1494</v>
      </c>
      <c r="B1985" s="21" t="s">
        <v>780</v>
      </c>
      <c r="C1985" s="21" t="s">
        <v>737</v>
      </c>
      <c r="D1985" s="21" t="s">
        <v>687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712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744</v>
      </c>
      <c r="B1987" s="21" t="s">
        <v>685</v>
      </c>
      <c r="C1987" s="21" t="s">
        <v>686</v>
      </c>
      <c r="D1987" s="21" t="s">
        <v>687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1624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1388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1625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891</v>
      </c>
      <c r="B1991" s="21" t="s">
        <v>780</v>
      </c>
      <c r="C1991" s="21" t="s">
        <v>741</v>
      </c>
      <c r="D1991" s="21" t="s">
        <v>687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712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742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1567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759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766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1005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712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1626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712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1627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689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1628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808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712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695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1006</v>
      </c>
      <c r="B2007" s="21" t="s">
        <v>1629</v>
      </c>
      <c r="C2007" s="21" t="s">
        <v>717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1630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853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815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1631</v>
      </c>
      <c r="B2011" s="21" t="s">
        <v>1571</v>
      </c>
      <c r="C2011" s="21" t="s">
        <v>737</v>
      </c>
      <c r="D2011" s="21" t="s">
        <v>687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692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/>
    </row>
    <row r="2014" spans="1:12">
      <c r="A2014" s="20" t="s">
        <v>1632</v>
      </c>
    </row>
    <row r="2015" spans="1:12">
      <c r="A2015" s="20" t="s">
        <v>1161</v>
      </c>
      <c r="B2015" s="21" t="s">
        <v>685</v>
      </c>
      <c r="C2015" s="21" t="s">
        <v>686</v>
      </c>
      <c r="D2015" s="21" t="s">
        <v>687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1633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1634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914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689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915</v>
      </c>
      <c r="B2020" s="21" t="s">
        <v>705</v>
      </c>
      <c r="C2020" s="21" t="s">
        <v>805</v>
      </c>
      <c r="D2020" s="21" t="s">
        <v>687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692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/>
    </row>
    <row r="2023" spans="1:12">
      <c r="A2023" s="20" t="s">
        <v>1635</v>
      </c>
    </row>
    <row r="2024" spans="1:12">
      <c r="A2024" s="20" t="s">
        <v>1161</v>
      </c>
      <c r="B2024" s="21" t="s">
        <v>685</v>
      </c>
      <c r="C2024" s="21" t="s">
        <v>686</v>
      </c>
      <c r="D2024" s="21" t="s">
        <v>687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1636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695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1637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1638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692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/>
    </row>
    <row r="2031" spans="1:12">
      <c r="A2031" s="20" t="s">
        <v>1639</v>
      </c>
    </row>
    <row r="2032" spans="1:12">
      <c r="A2032" s="20" t="s">
        <v>1161</v>
      </c>
      <c r="B2032" s="21" t="s">
        <v>685</v>
      </c>
      <c r="C2032" s="21" t="s">
        <v>686</v>
      </c>
      <c r="D2032" s="21" t="s">
        <v>687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746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1640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1641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695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1642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712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1581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689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1643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1644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712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1041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855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978</v>
      </c>
      <c r="B2046" s="21" t="s">
        <v>705</v>
      </c>
      <c r="C2046" s="21" t="s">
        <v>686</v>
      </c>
      <c r="D2046" s="21" t="s">
        <v>687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692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/>
    </row>
    <row r="2049" spans="1:12">
      <c r="A2049" s="20" t="s">
        <v>1645</v>
      </c>
    </row>
    <row r="2050" spans="1:12">
      <c r="A2050" s="20" t="s">
        <v>1646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1647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818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712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1648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1649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829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1650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1109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1651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1007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1652</v>
      </c>
      <c r="B2061" s="21" t="s">
        <v>1236</v>
      </c>
      <c r="C2061" s="21" t="s">
        <v>702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698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1653</v>
      </c>
      <c r="B2063" s="21" t="s">
        <v>1629</v>
      </c>
      <c r="C2063" s="21" t="s">
        <v>805</v>
      </c>
      <c r="D2063" s="21" t="s">
        <v>687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712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1654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712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742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1655</v>
      </c>
      <c r="B2068" s="21" t="s">
        <v>802</v>
      </c>
      <c r="C2068" s="21" t="s">
        <v>686</v>
      </c>
      <c r="D2068" s="21" t="s">
        <v>687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770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746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1656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1657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692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/>
    </row>
    <row r="2075" spans="1:12">
      <c r="A2075" s="20" t="s">
        <v>1658</v>
      </c>
    </row>
    <row r="2076" spans="1:12">
      <c r="A2076" s="20" t="s">
        <v>826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 t="s">
        <v>891</v>
      </c>
      <c r="E2077" s="22">
        <f>IF(D2077="?OLD","!!!","")</f>
        <v/>
      </c>
      <c r="F2077" s="23" t="str">
        <f>IF(OR(E2077="",E2077="!!!"),"",IF(NOT(ISNA(VLOOKUP(E2077,E$1:E2076,1,FALSE()))),"OLD",IF(AND(E2077&lt;&gt;"",E2077&lt;&gt;"!!!"),"NEW","")))</f>
        <v> </v>
      </c>
      <c r="G2077" s="24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5" t="str">
        <f>IF(J2077&lt;&gt;1,"",IF(I2077="SBJ","CB","?"))</f>
        <v> </v>
      </c>
      <c r="I2077" s="26" t="str">
        <f>IF(OR(E2077="",E2077="!!!",F2077="NEW"),"",INDEX(B2076:B$2,-1+SUMPRODUCT(MAX(ROW(E2076:E$2)*(E2077=E2076:E$2)))))</f>
        <v> </v>
      </c>
      <c r="J2077" s="26" t="str">
        <f>IF(OR(E2077="",E2077="!!!",F2077="NEW"),"",COUNTBLANK(OFFSET(A$1,,,SUMPRODUCT(MAX(ROW(E$2:E2077)*(E2077=E$2:E2077)))))-COUNTBLANK(OFFSET(A$1,,,SUMPRODUCT(MAX(ROW(E$1:E2076)*(E2=E$1:E2076))))))</f>
        <v> </v>
      </c>
      <c r="K2077" s="26" t="str">
        <f>IF(OR(E2077="",E2077="!!!",F2077="NEW"),"",INDEX(J$1:J2076,SUMPRODUCT(MAX(ROW(E$1:E2076)*(E2077=E$1:E2076)))))</f>
        <v> </v>
      </c>
      <c r="L2077" s="27"/>
    </row>
    <row r="2078" spans="1:12">
      <c r="A2078" s="20" t="s">
        <v>1077</v>
      </c>
      <c r="E2078" s="22">
        <f>IF(D2078="?OLD","!!!","")</f>
        <v/>
      </c>
      <c r="F2078" s="23" t="str">
        <f>IF(OR(E2078="",E2078="!!!"),"",IF(NOT(ISNA(VLOOKUP(E2078,E$1:E2077,1,FALSE()))),"OLD",IF(AND(E2078&lt;&gt;"",E2078&lt;&gt;"!!!"),"NEW","")))</f>
        <v> </v>
      </c>
      <c r="G2078" s="24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5" t="str">
        <f>IF(J2078&lt;&gt;1,"",IF(I2078="SBJ","CB","?"))</f>
        <v> </v>
      </c>
      <c r="I2078" s="26" t="str">
        <f>IF(OR(E2078="",E2078="!!!",F2078="NEW"),"",INDEX(B2077:B$2,-1+SUMPRODUCT(MAX(ROW(E2077:E$2)*(E2078=E2077:E$2)))))</f>
        <v> </v>
      </c>
      <c r="J2078" s="26" t="str">
        <f>IF(OR(E2078="",E2078="!!!",F2078="NEW"),"",COUNTBLANK(OFFSET(A$1,,,SUMPRODUCT(MAX(ROW(E$2:E2078)*(E2078=E$2:E2078)))))-COUNTBLANK(OFFSET(A$1,,,SUMPRODUCT(MAX(ROW(E$1:E2077)*(E2=E$1:E2077))))))</f>
        <v> </v>
      </c>
      <c r="K2078" s="26" t="str">
        <f>IF(OR(E2078="",E2078="!!!",F2078="NEW"),"",INDEX(J$1:J2077,SUMPRODUCT(MAX(ROW(E$1:E2077)*(E2078=E$1:E2077)))))</f>
        <v> </v>
      </c>
      <c r="L2078" s="27"/>
    </row>
    <row r="2079" spans="1:12">
      <c r="A2079" s="20" t="s">
        <v>1035</v>
      </c>
      <c r="B2079" s="21" t="s">
        <v>705</v>
      </c>
      <c r="C2079" s="21" t="s">
        <v>737</v>
      </c>
      <c r="D2079" s="21" t="s">
        <v>687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744</v>
      </c>
      <c r="B2080" s="21" t="s">
        <v>685</v>
      </c>
      <c r="C2080" s="21" t="s">
        <v>686</v>
      </c>
      <c r="D2080" s="21" t="s">
        <v>687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1624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1659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1660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1661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712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738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766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1662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690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1621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757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 t="s">
        <v>1663</v>
      </c>
      <c r="E2092" s="22">
        <f>IF(D2092="?OLD","!!!","")</f>
        <v/>
      </c>
      <c r="F2092" s="23" t="str">
        <f>IF(OR(E2092="",E2092="!!!"),"",IF(NOT(ISNA(VLOOKUP(E2092,E$1:E2091,1,FALSE()))),"OLD",IF(AND(E2092&lt;&gt;"",E2092&lt;&gt;"!!!"),"NEW","")))</f>
        <v> </v>
      </c>
      <c r="G2092" s="24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5" t="str">
        <f>IF(J2092&lt;&gt;1,"",IF(I2092="SBJ","CB","?"))</f>
        <v> </v>
      </c>
      <c r="I2092" s="26" t="str">
        <f>IF(OR(E2092="",E2092="!!!",F2092="NEW"),"",INDEX(B2091:B$2,-1+SUMPRODUCT(MAX(ROW(E2091:E$2)*(E2092=E2091:E$2)))))</f>
        <v> </v>
      </c>
      <c r="J2092" s="26" t="str">
        <f>IF(OR(E2092="",E2092="!!!",F2092="NEW"),"",COUNTBLANK(OFFSET(A$1,,,SUMPRODUCT(MAX(ROW(E$2:E2092)*(E2092=E$2:E2092)))))-COUNTBLANK(OFFSET(A$1,,,SUMPRODUCT(MAX(ROW(E$1:E2091)*(E2=E$1:E2091))))))</f>
        <v> </v>
      </c>
      <c r="K2092" s="26" t="str">
        <f>IF(OR(E2092="",E2092="!!!",F2092="NEW"),"",INDEX(J$1:J2091,SUMPRODUCT(MAX(ROW(E$1:E2091)*(E2092=E$1:E2091)))))</f>
        <v> </v>
      </c>
      <c r="L2092" s="27"/>
    </row>
    <row r="2093" spans="1:12">
      <c r="A2093" s="20" t="s">
        <v>692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/>
    </row>
    <row r="2095" spans="1:12">
      <c r="A2095" s="20" t="s">
        <v>1664</v>
      </c>
    </row>
    <row r="2096" spans="1:12">
      <c r="A2096" s="20" t="s">
        <v>707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744</v>
      </c>
      <c r="B2097" s="21" t="s">
        <v>685</v>
      </c>
      <c r="C2097" s="21" t="s">
        <v>686</v>
      </c>
      <c r="D2097" s="21" t="s">
        <v>687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1624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1665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695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1666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1667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712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1665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695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1484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1023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1668</v>
      </c>
      <c r="B2108" s="21" t="s">
        <v>850</v>
      </c>
      <c r="C2108" s="21" t="s">
        <v>805</v>
      </c>
      <c r="D2108" s="21" t="s">
        <v>687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712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1669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 t="s">
        <v>695</v>
      </c>
      <c r="E2111" s="22">
        <f>IF(D2111="?OLD","!!!","")</f>
        <v/>
      </c>
      <c r="F2111" s="23" t="str">
        <f>IF(OR(E2111="",E2111="!!!"),"",IF(NOT(ISNA(VLOOKUP(E2111,E$1:E2110,1,FALSE()))),"OLD",IF(AND(E2111&lt;&gt;"",E2111&lt;&gt;"!!!"),"NEW","")))</f>
        <v> </v>
      </c>
      <c r="G2111" s="24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5" t="str">
        <f>IF(J2111&lt;&gt;1,"",IF(I2111="SBJ","CB","?"))</f>
        <v> </v>
      </c>
      <c r="I2111" s="26" t="str">
        <f>IF(OR(E2111="",E2111="!!!",F2111="NEW"),"",INDEX(B2110:B$2,-1+SUMPRODUCT(MAX(ROW(E2110:E$2)*(E2111=E2110:E$2)))))</f>
        <v> </v>
      </c>
      <c r="J2111" s="26" t="str">
        <f>IF(OR(E2111="",E2111="!!!",F2111="NEW"),"",COUNTBLANK(OFFSET(A$1,,,SUMPRODUCT(MAX(ROW(E$2:E2111)*(E2111=E$2:E2111)))))-COUNTBLANK(OFFSET(A$1,,,SUMPRODUCT(MAX(ROW(E$1:E2110)*(E2=E$1:E2110))))))</f>
        <v> </v>
      </c>
      <c r="K2111" s="26" t="str">
        <f>IF(OR(E2111="",E2111="!!!",F2111="NEW"),"",INDEX(J$1:J2110,SUMPRODUCT(MAX(ROW(E$1:E2110)*(E2111=E$1:E2110)))))</f>
        <v> </v>
      </c>
      <c r="L2111" s="27"/>
    </row>
    <row r="2112" spans="1:12">
      <c r="A2112" s="20" t="s">
        <v>1670</v>
      </c>
      <c r="E2112" s="22">
        <f>IF(D2112="?OLD","!!!","")</f>
        <v/>
      </c>
      <c r="F2112" s="23" t="str">
        <f>IF(OR(E2112="",E2112="!!!"),"",IF(NOT(ISNA(VLOOKUP(E2112,E$1:E2111,1,FALSE()))),"OLD",IF(AND(E2112&lt;&gt;"",E2112&lt;&gt;"!!!"),"NEW","")))</f>
        <v> </v>
      </c>
      <c r="G2112" s="24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5" t="str">
        <f>IF(J2112&lt;&gt;1,"",IF(I2112="SBJ","CB","?"))</f>
        <v> </v>
      </c>
      <c r="I2112" s="26" t="str">
        <f>IF(OR(E2112="",E2112="!!!",F2112="NEW"),"",INDEX(B2111:B$2,-1+SUMPRODUCT(MAX(ROW(E2111:E$2)*(E2112=E2111:E$2)))))</f>
        <v> </v>
      </c>
      <c r="J2112" s="26" t="str">
        <f>IF(OR(E2112="",E2112="!!!",F2112="NEW"),"",COUNTBLANK(OFFSET(A$1,,,SUMPRODUCT(MAX(ROW(E$2:E2112)*(E2112=E$2:E2112)))))-COUNTBLANK(OFFSET(A$1,,,SUMPRODUCT(MAX(ROW(E$1:E2111)*(E2=E$1:E2111))))))</f>
        <v> </v>
      </c>
      <c r="K2112" s="26" t="str">
        <f>IF(OR(E2112="",E2112="!!!",F2112="NEW"),"",INDEX(J$1:J2111,SUMPRODUCT(MAX(ROW(E$1:E2111)*(E2112=E$1:E2111)))))</f>
        <v> </v>
      </c>
      <c r="L2112" s="27"/>
    </row>
    <row r="2113" spans="1:12">
      <c r="A2113" s="20" t="s">
        <v>1671</v>
      </c>
      <c r="B2113" s="21" t="s">
        <v>797</v>
      </c>
      <c r="C2113" s="21" t="s">
        <v>977</v>
      </c>
      <c r="D2113" s="21" t="s">
        <v>687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1668</v>
      </c>
      <c r="B2114" s="21" t="s">
        <v>850</v>
      </c>
      <c r="C2114" s="21" t="s">
        <v>805</v>
      </c>
      <c r="D2114" s="21" t="s">
        <v>687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712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1493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 t="s">
        <v>1672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880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1406</v>
      </c>
      <c r="B2119" s="21" t="s">
        <v>720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712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16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695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1673</v>
      </c>
      <c r="B2123" s="21" t="s">
        <v>797</v>
      </c>
      <c r="C2123" s="21" t="s">
        <v>805</v>
      </c>
      <c r="D2123" s="21" t="s">
        <v>687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689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1674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1675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1676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723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1399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1408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1677</v>
      </c>
      <c r="B2131" s="21" t="s">
        <v>802</v>
      </c>
      <c r="C2131" s="21" t="s">
        <v>741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712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764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 t="s">
        <v>1388</v>
      </c>
      <c r="E2134" s="22">
        <f>IF(D2134="?OLD","!!!","")</f>
        <v/>
      </c>
      <c r="F2134" s="23" t="str">
        <f>IF(OR(E2134="",E2134="!!!"),"",IF(NOT(ISNA(VLOOKUP(E2134,E$1:E2133,1,FALSE()))),"OLD",IF(AND(E2134&lt;&gt;"",E2134&lt;&gt;"!!!"),"NEW","")))</f>
        <v> </v>
      </c>
      <c r="G2134" s="24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5" t="str">
        <f>IF(J2134&lt;&gt;1,"",IF(I2134="SBJ","CB","?"))</f>
        <v> </v>
      </c>
      <c r="I2134" s="26" t="str">
        <f>IF(OR(E2134="",E2134="!!!",F2134="NEW"),"",INDEX(B2133:B$2,-1+SUMPRODUCT(MAX(ROW(E2133:E$2)*(E2134=E2133:E$2)))))</f>
        <v> </v>
      </c>
      <c r="J2134" s="26" t="str">
        <f>IF(OR(E2134="",E2134="!!!",F2134="NEW"),"",COUNTBLANK(OFFSET(A$1,,,SUMPRODUCT(MAX(ROW(E$2:E2134)*(E2134=E$2:E2134)))))-COUNTBLANK(OFFSET(A$1,,,SUMPRODUCT(MAX(ROW(E$1:E2133)*(E2=E$1:E2133))))))</f>
        <v> </v>
      </c>
      <c r="K2134" s="26" t="str">
        <f>IF(OR(E2134="",E2134="!!!",F2134="NEW"),"",INDEX(J$1:J2133,SUMPRODUCT(MAX(ROW(E$1:E2133)*(E2134=E$1:E2133)))))</f>
        <v> </v>
      </c>
      <c r="L2134" s="27"/>
    </row>
    <row r="2135" spans="1:12">
      <c r="A2135" s="20" t="s">
        <v>1678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689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1679</v>
      </c>
      <c r="B2137" s="21" t="s">
        <v>850</v>
      </c>
      <c r="C2137" s="21" t="s">
        <v>805</v>
      </c>
      <c r="D2137" s="21" t="s">
        <v>687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1023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871</v>
      </c>
      <c r="B2139" s="21" t="s">
        <v>728</v>
      </c>
      <c r="C2139" s="21" t="s">
        <v>729</v>
      </c>
      <c r="D2139" s="21" t="s">
        <v>687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1680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1681</v>
      </c>
      <c r="B2141" s="21" t="s">
        <v>728</v>
      </c>
      <c r="C2141" s="21" t="s">
        <v>805</v>
      </c>
      <c r="D2141" s="21" t="s">
        <v>687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12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1682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692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/>
    </row>
    <row r="2146" spans="1:12">
      <c r="A2146" s="20" t="s">
        <v>1683</v>
      </c>
    </row>
    <row r="2147" spans="1:12">
      <c r="A2147" s="20" t="s">
        <v>895</v>
      </c>
      <c r="B2147" s="21" t="s">
        <v>685</v>
      </c>
      <c r="C2147" s="21" t="s">
        <v>741</v>
      </c>
      <c r="D2147" s="21" t="s">
        <v>687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775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1684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692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/>
    </row>
    <row r="2152" spans="1:12">
      <c r="A2152" s="20" t="s">
        <v>1685</v>
      </c>
    </row>
    <row r="2153" spans="1:12">
      <c r="A2153" s="20" t="s">
        <v>928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695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1686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744</v>
      </c>
      <c r="B2156" s="21" t="s">
        <v>685</v>
      </c>
      <c r="C2156" s="21" t="s">
        <v>686</v>
      </c>
      <c r="D2156" s="21" t="s">
        <v>687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1687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415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1688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1689</v>
      </c>
      <c r="B2160" s="21" t="s">
        <v>780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695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1690</v>
      </c>
      <c r="B2162" s="21" t="s">
        <v>797</v>
      </c>
      <c r="C2162" s="21" t="s">
        <v>729</v>
      </c>
      <c r="D2162" s="21" t="s">
        <v>687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1403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692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/>
    </row>
    <row r="2166" spans="1:12">
      <c r="A2166" s="20" t="s">
        <v>1691</v>
      </c>
    </row>
    <row r="2167" spans="1:12">
      <c r="A2167" s="20" t="s">
        <v>707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498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761</v>
      </c>
      <c r="B2169" s="21" t="s">
        <v>861</v>
      </c>
      <c r="C2169" s="21" t="s">
        <v>686</v>
      </c>
      <c r="D2169" s="21" t="s">
        <v>687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1692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712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764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1655</v>
      </c>
      <c r="B2173" s="21" t="s">
        <v>802</v>
      </c>
      <c r="C2173" s="21" t="s">
        <v>686</v>
      </c>
      <c r="D2173" s="21" t="s">
        <v>687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1693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 t="s">
        <v>1694</v>
      </c>
      <c r="B2175" s="21" t="s">
        <v>780</v>
      </c>
      <c r="E2175" s="22">
        <f>IF(D2175="?OLD","!!!","")</f>
        <v/>
      </c>
      <c r="F2175" s="23" t="str">
        <f>IF(OR(E2175="",E2175="!!!"),"",IF(NOT(ISNA(VLOOKUP(E2175,E$1:E2174,1,FALSE()))),"OLD",IF(AND(E2175&lt;&gt;"",E2175&lt;&gt;"!!!"),"NEW","")))</f>
        <v> </v>
      </c>
      <c r="G2175" s="24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5" t="str">
        <f>IF(J2175&lt;&gt;1,"",IF(I2175="SBJ","CB","?"))</f>
        <v> </v>
      </c>
      <c r="I2175" s="26" t="str">
        <f>IF(OR(E2175="",E2175="!!!",F2175="NEW"),"",INDEX(B2174:B$2,-1+SUMPRODUCT(MAX(ROW(E2174:E$2)*(E2175=E2174:E$2)))))</f>
        <v> </v>
      </c>
      <c r="J2175" s="26" t="str">
        <f>IF(OR(E2175="",E2175="!!!",F2175="NEW"),"",COUNTBLANK(OFFSET(A$1,,,SUMPRODUCT(MAX(ROW(E$2:E2175)*(E2175=E$2:E2175)))))-COUNTBLANK(OFFSET(A$1,,,SUMPRODUCT(MAX(ROW(E$1:E2174)*(E2=E$1:E2174))))))</f>
        <v> </v>
      </c>
      <c r="K2175" s="26" t="str">
        <f>IF(OR(E2175="",E2175="!!!",F2175="NEW"),"",INDEX(J$1:J2174,SUMPRODUCT(MAX(ROW(E$1:E2174)*(E2175=E$1:E2174)))))</f>
        <v> </v>
      </c>
      <c r="L2175" s="27"/>
    </row>
    <row r="2176" spans="1:12">
      <c r="A2176" s="20" t="s">
        <v>712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 t="s">
        <v>1695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712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1696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1697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712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1698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712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1699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1700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1701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1702</v>
      </c>
      <c r="B2187" s="21" t="s">
        <v>1236</v>
      </c>
      <c r="C2187" s="21" t="s">
        <v>741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712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498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761</v>
      </c>
      <c r="B2190" s="21" t="s">
        <v>762</v>
      </c>
      <c r="C2190" s="21" t="s">
        <v>686</v>
      </c>
      <c r="D2190" s="21" t="s">
        <v>687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1692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786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1703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712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764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1655</v>
      </c>
      <c r="B2196" s="21" t="s">
        <v>938</v>
      </c>
      <c r="C2196" s="21" t="s">
        <v>686</v>
      </c>
      <c r="D2196" s="21" t="s">
        <v>687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365</v>
      </c>
      <c r="B2197" s="21" t="s">
        <v>1576</v>
      </c>
      <c r="C2197" s="21" t="s">
        <v>741</v>
      </c>
      <c r="D2197" s="21" t="s">
        <v>687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1468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712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1704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1705</v>
      </c>
      <c r="B2201" s="21" t="s">
        <v>1619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712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1706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1707</v>
      </c>
      <c r="B2204" s="21" t="s">
        <v>1619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723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 t="s">
        <v>1064</v>
      </c>
      <c r="B2206" s="21" t="s">
        <v>1708</v>
      </c>
      <c r="C2206" s="21" t="s">
        <v>741</v>
      </c>
      <c r="D2206" s="21" t="s">
        <v>687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1065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692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/>
    </row>
    <row r="2210" spans="1:12">
      <c r="A2210" s="20" t="s">
        <v>1709</v>
      </c>
    </row>
    <row r="2211" spans="1:12">
      <c r="A2211" s="20" t="s">
        <v>826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827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801</v>
      </c>
      <c r="B2213" s="21" t="s">
        <v>685</v>
      </c>
      <c r="C2213" s="21" t="s">
        <v>686</v>
      </c>
      <c r="D2213" s="21" t="s">
        <v>687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1575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1710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1711</v>
      </c>
      <c r="B2216" s="21" t="s">
        <v>861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712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1372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695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1712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1713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1467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712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980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981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712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1714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1467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692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/>
    </row>
    <row r="2231" spans="1:12">
      <c r="A2231" s="20" t="s">
        <v>1715</v>
      </c>
    </row>
    <row r="2232" spans="1:12">
      <c r="A2232" s="20" t="s">
        <v>707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744</v>
      </c>
      <c r="B2233" s="21" t="s">
        <v>685</v>
      </c>
      <c r="C2233" s="21" t="s">
        <v>686</v>
      </c>
      <c r="D2233" s="21" t="s">
        <v>687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1716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1717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778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1718</v>
      </c>
      <c r="B2237" s="21" t="s">
        <v>861</v>
      </c>
      <c r="C2237" s="21" t="s">
        <v>737</v>
      </c>
      <c r="D2237" s="21" t="s">
        <v>687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1719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1720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690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832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695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859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723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1721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1467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692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/>
    </row>
    <row r="2249" spans="1:12">
      <c r="A2249" s="20" t="s">
        <v>1722</v>
      </c>
    </row>
    <row r="2250" spans="1:12">
      <c r="A2250" s="20" t="s">
        <v>707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735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712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 t="s">
        <v>1034</v>
      </c>
      <c r="E2253" s="22">
        <f>IF(D2253="?OLD","!!!","")</f>
        <v/>
      </c>
      <c r="F2253" s="23" t="str">
        <f>IF(OR(E2253="",E2253="!!!"),"",IF(NOT(ISNA(VLOOKUP(E2253,E$1:E2252,1,FALSE()))),"OLD",IF(AND(E2253&lt;&gt;"",E2253&lt;&gt;"!!!"),"NEW","")))</f>
        <v> </v>
      </c>
      <c r="G2253" s="24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5" t="str">
        <f>IF(J2253&lt;&gt;1,"",IF(I2253="SBJ","CB","?"))</f>
        <v> </v>
      </c>
      <c r="I2253" s="26" t="str">
        <f>IF(OR(E2253="",E2253="!!!",F2253="NEW"),"",INDEX(B2252:B$2,-1+SUMPRODUCT(MAX(ROW(E2252:E$2)*(E2253=E2252:E$2)))))</f>
        <v> </v>
      </c>
      <c r="J2253" s="26" t="str">
        <f>IF(OR(E2253="",E2253="!!!",F2253="NEW"),"",COUNTBLANK(OFFSET(A$1,,,SUMPRODUCT(MAX(ROW(E$2:E2253)*(E2253=E$2:E2253)))))-COUNTBLANK(OFFSET(A$1,,,SUMPRODUCT(MAX(ROW(E$1:E2252)*(E2=E$1:E2252))))))</f>
        <v> </v>
      </c>
      <c r="K2253" s="26" t="str">
        <f>IF(OR(E2253="",E2253="!!!",F2253="NEW"),"",INDEX(J$1:J2252,SUMPRODUCT(MAX(ROW(E$1:E2252)*(E2253=E$1:E2252)))))</f>
        <v> </v>
      </c>
      <c r="L2253" s="27"/>
    </row>
    <row r="2254" spans="1:12">
      <c r="A2254" s="20" t="s">
        <v>1035</v>
      </c>
      <c r="E2254" s="22">
        <f>IF(D2254="?OLD","!!!","")</f>
        <v/>
      </c>
      <c r="F2254" s="23" t="str">
        <f>IF(OR(E2254="",E2254="!!!"),"",IF(NOT(ISNA(VLOOKUP(E2254,E$1:E2253,1,FALSE()))),"OLD",IF(AND(E2254&lt;&gt;"",E2254&lt;&gt;"!!!"),"NEW","")))</f>
        <v> </v>
      </c>
      <c r="G2254" s="24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5" t="str">
        <f>IF(J2254&lt;&gt;1,"",IF(I2254="SBJ","CB","?"))</f>
        <v> </v>
      </c>
      <c r="I2254" s="26" t="str">
        <f>IF(OR(E2254="",E2254="!!!",F2254="NEW"),"",INDEX(B2253:B$2,-1+SUMPRODUCT(MAX(ROW(E2253:E$2)*(E2254=E2253:E$2)))))</f>
        <v> </v>
      </c>
      <c r="J2254" s="26" t="str">
        <f>IF(OR(E2254="",E2254="!!!",F2254="NEW"),"",COUNTBLANK(OFFSET(A$1,,,SUMPRODUCT(MAX(ROW(E$2:E2254)*(E2254=E$2:E2254)))))-COUNTBLANK(OFFSET(A$1,,,SUMPRODUCT(MAX(ROW(E$1:E2253)*(E2=E$1:E2253))))))</f>
        <v> </v>
      </c>
      <c r="K2254" s="26" t="str">
        <f>IF(OR(E2254="",E2254="!!!",F2254="NEW"),"",INDEX(J$1:J2253,SUMPRODUCT(MAX(ROW(E$1:E2253)*(E2254=E$1:E2253)))))</f>
        <v> </v>
      </c>
      <c r="L2254" s="27"/>
    </row>
    <row r="2255" spans="1:12">
      <c r="A2255" s="20" t="s">
        <v>1346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1723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1724</v>
      </c>
      <c r="B2257" s="21" t="s">
        <v>705</v>
      </c>
      <c r="C2257" s="21" t="s">
        <v>737</v>
      </c>
      <c r="D2257" s="21" t="s">
        <v>687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744</v>
      </c>
      <c r="B2258" s="21" t="s">
        <v>685</v>
      </c>
      <c r="C2258" s="21" t="s">
        <v>686</v>
      </c>
      <c r="D2258" s="21" t="s">
        <v>687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1725</v>
      </c>
      <c r="B2259" s="21" t="s">
        <v>861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1010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692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/>
    </row>
    <row r="2263" spans="1:12">
      <c r="A2263" s="20" t="s">
        <v>1726</v>
      </c>
    </row>
    <row r="2264" spans="1:12">
      <c r="A2264" s="20" t="s">
        <v>684</v>
      </c>
      <c r="B2264" s="21" t="s">
        <v>685</v>
      </c>
      <c r="C2264" s="21" t="s">
        <v>686</v>
      </c>
      <c r="D2264" s="21" t="s">
        <v>687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1725</v>
      </c>
      <c r="B2265" s="21" t="s">
        <v>861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1010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 t="s">
        <v>1727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 t="s">
        <v>772</v>
      </c>
      <c r="E2268" s="22">
        <f>IF(D2268="?OLD","!!!","")</f>
        <v/>
      </c>
      <c r="F2268" s="23" t="str">
        <f>IF(OR(E2268="",E2268="!!!"),"",IF(NOT(ISNA(VLOOKUP(E2268,E$1:E2267,1,FALSE()))),"OLD",IF(AND(E2268&lt;&gt;"",E2268&lt;&gt;"!!!"),"NEW","")))</f>
        <v> </v>
      </c>
      <c r="G2268" s="24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5" t="str">
        <f>IF(J2268&lt;&gt;1,"",IF(I2268="SBJ","CB","?"))</f>
        <v> </v>
      </c>
      <c r="I2268" s="26" t="str">
        <f>IF(OR(E2268="",E2268="!!!",F2268="NEW"),"",INDEX(B2267:B$2,-1+SUMPRODUCT(MAX(ROW(E2267:E$2)*(E2268=E2267:E$2)))))</f>
        <v> </v>
      </c>
      <c r="J2268" s="26" t="str">
        <f>IF(OR(E2268="",E2268="!!!",F2268="NEW"),"",COUNTBLANK(OFFSET(A$1,,,SUMPRODUCT(MAX(ROW(E$2:E2268)*(E2268=E$2:E2268)))))-COUNTBLANK(OFFSET(A$1,,,SUMPRODUCT(MAX(ROW(E$1:E2267)*(E2=E$1:E2267))))))</f>
        <v> </v>
      </c>
      <c r="K2268" s="26" t="str">
        <f>IF(OR(E2268="",E2268="!!!",F2268="NEW"),"",INDEX(J$1:J2267,SUMPRODUCT(MAX(ROW(E$1:E2267)*(E2268=E$1:E2267)))))</f>
        <v> </v>
      </c>
      <c r="L2268" s="27"/>
    </row>
    <row r="2269" spans="1:12">
      <c r="A2269" s="20" t="s">
        <v>712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1372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738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744</v>
      </c>
      <c r="B2272" s="21" t="s">
        <v>802</v>
      </c>
      <c r="C2272" s="21" t="s">
        <v>686</v>
      </c>
      <c r="D2272" s="21" t="s">
        <v>687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1010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1725</v>
      </c>
      <c r="B2274" s="21" t="s">
        <v>780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1727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1728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692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/>
    </row>
    <row r="2279" spans="1:12">
      <c r="A2279" s="20" t="s">
        <v>1729</v>
      </c>
    </row>
    <row r="2280" spans="1:12">
      <c r="A2280" s="20" t="s">
        <v>1730</v>
      </c>
      <c r="B2280" s="21" t="s">
        <v>802</v>
      </c>
      <c r="C2280" s="21" t="s">
        <v>686</v>
      </c>
      <c r="D2280" s="21" t="s">
        <v>687</v>
      </c>
      <c r="E2280" s="22">
        <f>IF(D2280="?OLD","!!!","")</f>
        <v/>
      </c>
      <c r="F2280" s="23" t="str">
        <f>IF(OR(E2280="",E2280="!!!"),"",IF(NOT(ISNA(VLOOKUP(E2280,E$1:E2279,1,FALSE()))),"OLD",IF(AND(E2280&lt;&gt;"",E2280&lt;&gt;"!!!"),"NEW","")))</f>
        <v> </v>
      </c>
      <c r="G2280" s="24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5" t="str">
        <f>IF(J2280&lt;&gt;1,"",IF(I2280="SBJ","CB","?"))</f>
        <v> </v>
      </c>
      <c r="I2280" s="26" t="str">
        <f>IF(OR(E2280="",E2280="!!!",F2280="NEW"),"",INDEX(B2279:B$2,-1+SUMPRODUCT(MAX(ROW(E2279:E$2)*(E2280=E2279:E$2)))))</f>
        <v> </v>
      </c>
      <c r="J2280" s="26" t="str">
        <f>IF(OR(E2280="",E2280="!!!",F2280="NEW"),"",COUNTBLANK(OFFSET(A$1,,,SUMPRODUCT(MAX(ROW(E$2:E2280)*(E2280=E$2:E2280)))))-COUNTBLANK(OFFSET(A$1,,,SUMPRODUCT(MAX(ROW(E$1:E2279)*(E2=E$1:E2279))))))</f>
        <v> </v>
      </c>
      <c r="K2280" s="26" t="str">
        <f>IF(OR(E2280="",E2280="!!!",F2280="NEW"),"",INDEX(J$1:J2279,SUMPRODUCT(MAX(ROW(E$1:E2279)*(E2280=E$1:E2279)))))</f>
        <v> </v>
      </c>
      <c r="L2280" s="27"/>
    </row>
    <row r="2281" spans="1:12">
      <c r="A2281" s="20" t="s">
        <v>1731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759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1732</v>
      </c>
      <c r="B2283" s="21" t="s">
        <v>685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516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55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1733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712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1734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 t="s">
        <v>1514</v>
      </c>
      <c r="E2289" s="22">
        <f>IF(D2289="?OLD","!!!","")</f>
        <v/>
      </c>
      <c r="F2289" s="23" t="str">
        <f>IF(OR(E2289="",E2289="!!!"),"",IF(NOT(ISNA(VLOOKUP(E2289,E$1:E2288,1,FALSE()))),"OLD",IF(AND(E2289&lt;&gt;"",E2289&lt;&gt;"!!!"),"NEW","")))</f>
        <v> </v>
      </c>
      <c r="G2289" s="24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5" t="str">
        <f>IF(J2289&lt;&gt;1,"",IF(I2289="SBJ","CB","?"))</f>
        <v> </v>
      </c>
      <c r="I2289" s="26" t="str">
        <f>IF(OR(E2289="",E2289="!!!",F2289="NEW"),"",INDEX(B2288:B$2,-1+SUMPRODUCT(MAX(ROW(E2288:E$2)*(E2289=E2288:E$2)))))</f>
        <v> </v>
      </c>
      <c r="J2289" s="26" t="str">
        <f>IF(OR(E2289="",E2289="!!!",F2289="NEW"),"",COUNTBLANK(OFFSET(A$1,,,SUMPRODUCT(MAX(ROW(E$2:E2289)*(E2289=E$2:E2289)))))-COUNTBLANK(OFFSET(A$1,,,SUMPRODUCT(MAX(ROW(E$1:E2288)*(E2=E$1:E2288))))))</f>
        <v> </v>
      </c>
      <c r="K2289" s="26" t="str">
        <f>IF(OR(E2289="",E2289="!!!",F2289="NEW"),"",INDEX(J$1:J2288,SUMPRODUCT(MAX(ROW(E$1:E2288)*(E2289=E$1:E2288)))))</f>
        <v> </v>
      </c>
      <c r="L2289" s="27"/>
    </row>
    <row r="2290" spans="1:12">
      <c r="A2290" s="20" t="s">
        <v>723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882</v>
      </c>
      <c r="B2291" s="21" t="s">
        <v>797</v>
      </c>
      <c r="C2291" s="21" t="s">
        <v>741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883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1735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692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/>
    </row>
    <row r="2296" spans="1:12">
      <c r="A2296" s="20" t="s">
        <v>1736</v>
      </c>
    </row>
    <row r="2297" spans="1:12">
      <c r="A2297" s="20" t="s">
        <v>684</v>
      </c>
      <c r="B2297" s="21" t="s">
        <v>685</v>
      </c>
      <c r="C2297" s="21" t="s">
        <v>686</v>
      </c>
      <c r="D2297" s="21" t="s">
        <v>687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695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1712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1737</v>
      </c>
      <c r="B2300" s="21" t="s">
        <v>705</v>
      </c>
      <c r="C2300" s="21" t="s">
        <v>1465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746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1563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1727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1728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965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746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1738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853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1494</v>
      </c>
      <c r="B2309" s="21" t="s">
        <v>780</v>
      </c>
      <c r="C2309" s="21" t="s">
        <v>737</v>
      </c>
      <c r="D2309" s="21" t="s">
        <v>687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692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/>
    </row>
    <row r="2312" spans="1:12">
      <c r="A2312" s="20" t="s">
        <v>1739</v>
      </c>
    </row>
    <row r="2313" spans="1:12">
      <c r="A2313" s="20" t="s">
        <v>1454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742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695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1740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1741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 t="s">
        <v>851</v>
      </c>
      <c r="B2318" s="21" t="s">
        <v>861</v>
      </c>
      <c r="C2318" s="21" t="s">
        <v>686</v>
      </c>
      <c r="D2318" s="21" t="s">
        <v>687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1742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1743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856</v>
      </c>
      <c r="B2321" s="21" t="s">
        <v>780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752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1744</v>
      </c>
      <c r="B2323" s="21" t="s">
        <v>720</v>
      </c>
      <c r="C2323" s="21" t="s">
        <v>686</v>
      </c>
      <c r="D2323" s="21" t="s">
        <v>687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744</v>
      </c>
      <c r="B2324" s="21" t="s">
        <v>716</v>
      </c>
      <c r="C2324" s="21" t="s">
        <v>686</v>
      </c>
      <c r="D2324" s="21" t="s">
        <v>687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914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1745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1746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/>
    </row>
    <row r="2329" spans="1:12">
      <c r="A2329" s="20" t="s">
        <v>1747</v>
      </c>
    </row>
    <row r="2330" spans="1:12">
      <c r="A2330" s="20" t="s">
        <v>1748</v>
      </c>
      <c r="E2330" s="22">
        <f>IF(D2330="?OLD","!!!","")</f>
        <v/>
      </c>
      <c r="F2330" s="23" t="str">
        <f>IF(OR(E2330="",E2330="!!!"),"",IF(NOT(ISNA(VLOOKUP(E2330,E$1:E2329,1,FALSE()))),"OLD",IF(AND(E2330&lt;&gt;"",E2330&lt;&gt;"!!!"),"NEW","")))</f>
        <v> </v>
      </c>
      <c r="G2330" s="24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5" t="str">
        <f>IF(J2330&lt;&gt;1,"",IF(I2330="SBJ","CB","?"))</f>
        <v> </v>
      </c>
      <c r="I2330" s="26" t="str">
        <f>IF(OR(E2330="",E2330="!!!",F2330="NEW"),"",INDEX(B2329:B$2,-1+SUMPRODUCT(MAX(ROW(E2329:E$2)*(E2330=E2329:E$2)))))</f>
        <v> </v>
      </c>
      <c r="J2330" s="26" t="str">
        <f>IF(OR(E2330="",E2330="!!!",F2330="NEW"),"",COUNTBLANK(OFFSET(A$1,,,SUMPRODUCT(MAX(ROW(E$2:E2330)*(E2330=E$2:E2330)))))-COUNTBLANK(OFFSET(A$1,,,SUMPRODUCT(MAX(ROW(E$1:E2329)*(E2=E$1:E2329))))))</f>
        <v> </v>
      </c>
      <c r="K2330" s="26" t="str">
        <f>IF(OR(E2330="",E2330="!!!",F2330="NEW"),"",INDEX(J$1:J2329,SUMPRODUCT(MAX(ROW(E$1:E2329)*(E2330=E$1:E2329)))))</f>
        <v> </v>
      </c>
      <c r="L2330" s="27"/>
    </row>
    <row r="2331" spans="1:12">
      <c r="A2331" s="20" t="s">
        <v>744</v>
      </c>
      <c r="B2331" s="21" t="s">
        <v>685</v>
      </c>
      <c r="C2331" s="21" t="s">
        <v>686</v>
      </c>
      <c r="D2331" s="21" t="s">
        <v>687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365</v>
      </c>
      <c r="B2332" s="21" t="s">
        <v>861</v>
      </c>
      <c r="C2332" s="21" t="s">
        <v>741</v>
      </c>
      <c r="D2332" s="21" t="s">
        <v>687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1745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1746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/>
    </row>
    <row r="2336" spans="1:12">
      <c r="A2336" s="20" t="s">
        <v>1749</v>
      </c>
    </row>
    <row r="2337" spans="1:12">
      <c r="A2337" s="20" t="s">
        <v>1750</v>
      </c>
      <c r="B2337" s="21" t="s">
        <v>861</v>
      </c>
      <c r="C2337" s="21" t="s">
        <v>717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744</v>
      </c>
      <c r="B2338" s="21" t="s">
        <v>685</v>
      </c>
      <c r="C2338" s="21" t="s">
        <v>686</v>
      </c>
      <c r="D2338" s="21" t="s">
        <v>687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757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1346</v>
      </c>
      <c r="B2340" s="21" t="s">
        <v>705</v>
      </c>
      <c r="C2340" s="21" t="s">
        <v>741</v>
      </c>
      <c r="D2340" s="21" t="s">
        <v>687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1751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1752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1111</v>
      </c>
      <c r="B2343" s="21" t="s">
        <v>685</v>
      </c>
      <c r="C2343" s="21" t="s">
        <v>686</v>
      </c>
      <c r="D2343" s="21" t="s">
        <v>687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746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1753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689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848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1754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1755</v>
      </c>
      <c r="B2349" s="21" t="s">
        <v>705</v>
      </c>
      <c r="C2349" s="21" t="s">
        <v>737</v>
      </c>
      <c r="D2349" s="21" t="s">
        <v>687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692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/>
    </row>
    <row r="2352" spans="1:12">
      <c r="A2352" s="20" t="s">
        <v>1756</v>
      </c>
    </row>
    <row r="2353" spans="1:12">
      <c r="A2353" s="20" t="s">
        <v>1161</v>
      </c>
      <c r="B2353" s="21" t="s">
        <v>685</v>
      </c>
      <c r="C2353" s="21" t="s">
        <v>686</v>
      </c>
      <c r="D2353" s="21" t="s">
        <v>687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1757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1758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723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746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1759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1760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692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/>
    </row>
    <row r="2362" spans="1:12">
      <c r="A2362" s="20" t="s">
        <v>1761</v>
      </c>
    </row>
    <row r="2363" spans="1:12">
      <c r="A2363" s="20" t="s">
        <v>1762</v>
      </c>
      <c r="B2363" s="21" t="s">
        <v>685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1763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712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742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744</v>
      </c>
      <c r="B2367" s="21" t="s">
        <v>802</v>
      </c>
      <c r="C2367" s="21" t="s">
        <v>686</v>
      </c>
      <c r="D2367" s="21" t="s">
        <v>687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1764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 t="s">
        <v>957</v>
      </c>
      <c r="E2369" s="22">
        <f>IF(D2369="?OLD","!!!","")</f>
        <v/>
      </c>
      <c r="F2369" s="23" t="str">
        <f>IF(OR(E2369="",E2369="!!!"),"",IF(NOT(ISNA(VLOOKUP(E2369,E$1:E2368,1,FALSE()))),"OLD",IF(AND(E2369&lt;&gt;"",E2369&lt;&gt;"!!!"),"NEW","")))</f>
        <v> </v>
      </c>
      <c r="G2369" s="24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5" t="str">
        <f>IF(J2369&lt;&gt;1,"",IF(I2369="SBJ","CB","?"))</f>
        <v> </v>
      </c>
      <c r="I2369" s="26" t="str">
        <f>IF(OR(E2369="",E2369="!!!",F2369="NEW"),"",INDEX(B2368:B$2,-1+SUMPRODUCT(MAX(ROW(E2368:E$2)*(E2369=E2368:E$2)))))</f>
        <v> </v>
      </c>
      <c r="J2369" s="26" t="str">
        <f>IF(OR(E2369="",E2369="!!!",F2369="NEW"),"",COUNTBLANK(OFFSET(A$1,,,SUMPRODUCT(MAX(ROW(E$2:E2369)*(E2369=E$2:E2369)))))-COUNTBLANK(OFFSET(A$1,,,SUMPRODUCT(MAX(ROW(E$1:E2368)*(E2=E$1:E2368))))))</f>
        <v> </v>
      </c>
      <c r="K2369" s="26" t="str">
        <f>IF(OR(E2369="",E2369="!!!",F2369="NEW"),"",INDEX(J$1:J2368,SUMPRODUCT(MAX(ROW(E$1:E2368)*(E2369=E$1:E2368)))))</f>
        <v> </v>
      </c>
      <c r="L2369" s="27"/>
    </row>
    <row r="2370" spans="1:12">
      <c r="A2370" s="20" t="s">
        <v>1765</v>
      </c>
      <c r="E2370" s="22">
        <f>IF(D2370="?OLD","!!!","")</f>
        <v/>
      </c>
      <c r="F2370" s="23" t="str">
        <f>IF(OR(E2370="",E2370="!!!"),"",IF(NOT(ISNA(VLOOKUP(E2370,E$1:E2369,1,FALSE()))),"OLD",IF(AND(E2370&lt;&gt;"",E2370&lt;&gt;"!!!"),"NEW","")))</f>
        <v> </v>
      </c>
      <c r="G2370" s="24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5" t="str">
        <f>IF(J2370&lt;&gt;1,"",IF(I2370="SBJ","CB","?"))</f>
        <v> </v>
      </c>
      <c r="I2370" s="26" t="str">
        <f>IF(OR(E2370="",E2370="!!!",F2370="NEW"),"",INDEX(B2369:B$2,-1+SUMPRODUCT(MAX(ROW(E2369:E$2)*(E2370=E2369:E$2)))))</f>
        <v> </v>
      </c>
      <c r="J2370" s="26" t="str">
        <f>IF(OR(E2370="",E2370="!!!",F2370="NEW"),"",COUNTBLANK(OFFSET(A$1,,,SUMPRODUCT(MAX(ROW(E$2:E2370)*(E2370=E$2:E2370)))))-COUNTBLANK(OFFSET(A$1,,,SUMPRODUCT(MAX(ROW(E$1:E2369)*(E2=E$1:E2369))))))</f>
        <v> </v>
      </c>
      <c r="K2370" s="26" t="str">
        <f>IF(OR(E2370="",E2370="!!!",F2370="NEW"),"",INDEX(J$1:J2369,SUMPRODUCT(MAX(ROW(E$1:E2369)*(E2370=E$1:E2369)))))</f>
        <v> </v>
      </c>
      <c r="L2370" s="27"/>
    </row>
    <row r="2371" spans="1:12">
      <c r="A2371" s="20" t="s">
        <v>1719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1766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723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1767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723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1768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1769</v>
      </c>
      <c r="B2377" s="21" t="s">
        <v>720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1770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1771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689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1772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692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/>
    </row>
    <row r="2384" spans="1:12">
      <c r="A2384" s="20" t="s">
        <v>1773</v>
      </c>
    </row>
    <row r="2385" spans="1:12">
      <c r="A2385" s="20" t="s">
        <v>1774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860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853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1711</v>
      </c>
      <c r="B2388" s="21" t="s">
        <v>861</v>
      </c>
      <c r="C2388" s="21" t="s">
        <v>737</v>
      </c>
      <c r="D2388" s="21" t="s">
        <v>687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712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853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1710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1711</v>
      </c>
      <c r="B2392" s="21" t="s">
        <v>685</v>
      </c>
      <c r="C2392" s="21" t="s">
        <v>737</v>
      </c>
      <c r="D2392" s="21" t="s">
        <v>687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 t="s">
        <v>776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1775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1776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692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/>
    </row>
    <row r="2398" spans="1:12">
      <c r="A2398" s="20" t="s">
        <v>1777</v>
      </c>
    </row>
    <row r="2399" spans="1:12">
      <c r="A2399" s="20" t="s">
        <v>1778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1760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712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1779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1780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712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 t="s">
        <v>1779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1210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692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/>
    </row>
    <row r="2409" spans="1:12">
      <c r="A2409" s="20" t="s">
        <v>1781</v>
      </c>
    </row>
    <row r="2410" spans="1:12">
      <c r="A2410" s="20" t="s">
        <v>1748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1169</v>
      </c>
      <c r="B2411" s="21" t="s">
        <v>685</v>
      </c>
      <c r="C2411" s="21" t="s">
        <v>686</v>
      </c>
      <c r="D2411" s="21" t="s">
        <v>687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365</v>
      </c>
      <c r="B2412" s="21" t="s">
        <v>861</v>
      </c>
      <c r="C2412" s="21" t="s">
        <v>741</v>
      </c>
      <c r="D2412" s="21" t="s">
        <v>687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1782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1746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/>
    </row>
    <row r="2416" spans="1:12">
      <c r="A2416" s="20" t="s">
        <v>1783</v>
      </c>
    </row>
    <row r="2417" spans="1:12">
      <c r="A2417" s="20" t="s">
        <v>1414</v>
      </c>
      <c r="B2417" s="21" t="s">
        <v>685</v>
      </c>
      <c r="C2417" s="21" t="s">
        <v>686</v>
      </c>
      <c r="D2417" s="21" t="s">
        <v>687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 t="s">
        <v>1782</v>
      </c>
      <c r="E2418" s="22">
        <f>IF(D2418="?OLD","!!!","")</f>
        <v/>
      </c>
      <c r="F2418" s="23" t="str">
        <f>IF(OR(E2418="",E2418="!!!"),"",IF(NOT(ISNA(VLOOKUP(E2418,E$1:E2417,1,FALSE()))),"OLD",IF(AND(E2418&lt;&gt;"",E2418&lt;&gt;"!!!"),"NEW","")))</f>
        <v> </v>
      </c>
      <c r="G2418" s="24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5" t="str">
        <f>IF(J2418&lt;&gt;1,"",IF(I2418="SBJ","CB","?"))</f>
        <v> </v>
      </c>
      <c r="I2418" s="26" t="str">
        <f>IF(OR(E2418="",E2418="!!!",F2418="NEW"),"",INDEX(B2417:B$2,-1+SUMPRODUCT(MAX(ROW(E2417:E$2)*(E2418=E2417:E$2)))))</f>
        <v> </v>
      </c>
      <c r="J2418" s="26" t="str">
        <f>IF(OR(E2418="",E2418="!!!",F2418="NEW"),"",COUNTBLANK(OFFSET(A$1,,,SUMPRODUCT(MAX(ROW(E$2:E2418)*(E2418=E$2:E2418)))))-COUNTBLANK(OFFSET(A$1,,,SUMPRODUCT(MAX(ROW(E$1:E2417)*(E2=E$1:E2417))))))</f>
        <v> </v>
      </c>
      <c r="K2418" s="26" t="str">
        <f>IF(OR(E2418="",E2418="!!!",F2418="NEW"),"",INDEX(J$1:J2417,SUMPRODUCT(MAX(ROW(E$1:E2417)*(E2418=E$1:E2417)))))</f>
        <v> </v>
      </c>
      <c r="L2418" s="27"/>
    </row>
    <row r="2419" spans="1:12">
      <c r="A2419" s="20" t="s">
        <v>365</v>
      </c>
      <c r="B2419" s="21" t="s">
        <v>861</v>
      </c>
      <c r="C2419" s="21" t="s">
        <v>741</v>
      </c>
      <c r="D2419" s="21" t="s">
        <v>687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 t="s">
        <v>1268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1784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1785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712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1268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1786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712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 t="s">
        <v>1524</v>
      </c>
      <c r="E2427" s="22">
        <f>IF(D2427="?OLD","!!!","")</f>
        <v/>
      </c>
      <c r="F2427" s="23" t="str">
        <f>IF(OR(E2427="",E2427="!!!"),"",IF(NOT(ISNA(VLOOKUP(E2427,E$1:E2426,1,FALSE()))),"OLD",IF(AND(E2427&lt;&gt;"",E2427&lt;&gt;"!!!"),"NEW","")))</f>
        <v> </v>
      </c>
      <c r="G2427" s="24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5" t="str">
        <f>IF(J2427&lt;&gt;1,"",IF(I2427="SBJ","CB","?"))</f>
        <v> </v>
      </c>
      <c r="I2427" s="26" t="str">
        <f>IF(OR(E2427="",E2427="!!!",F2427="NEW"),"",INDEX(B2426:B$2,-1+SUMPRODUCT(MAX(ROW(E2426:E$2)*(E2427=E2426:E$2)))))</f>
        <v> </v>
      </c>
      <c r="J2427" s="26" t="str">
        <f>IF(OR(E2427="",E2427="!!!",F2427="NEW"),"",COUNTBLANK(OFFSET(A$1,,,SUMPRODUCT(MAX(ROW(E$2:E2427)*(E2427=E$2:E2427)))))-COUNTBLANK(OFFSET(A$1,,,SUMPRODUCT(MAX(ROW(E$1:E2426)*(E2=E$1:E2426))))))</f>
        <v> </v>
      </c>
      <c r="K2427" s="26" t="str">
        <f>IF(OR(E2427="",E2427="!!!",F2427="NEW"),"",INDEX(J$1:J2426,SUMPRODUCT(MAX(ROW(E$1:E2426)*(E2427=E$1:E2426)))))</f>
        <v> </v>
      </c>
      <c r="L2427" s="27"/>
    </row>
    <row r="2428" spans="1:12">
      <c r="A2428" s="20" t="s">
        <v>1787</v>
      </c>
      <c r="B2428" s="21" t="s">
        <v>802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759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1556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1788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1789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776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1790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712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776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1791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1792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723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776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1793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1794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712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715</v>
      </c>
      <c r="B2444" s="21" t="s">
        <v>822</v>
      </c>
      <c r="C2444" s="21" t="s">
        <v>717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1795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712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743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1796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1797</v>
      </c>
      <c r="B2449" s="21" t="s">
        <v>933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1798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1799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1800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1801</v>
      </c>
      <c r="B2453" s="21" t="s">
        <v>1272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692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/>
    </row>
    <row r="2456" spans="1:12">
      <c r="A2456" s="20" t="s">
        <v>1802</v>
      </c>
    </row>
    <row r="2457" spans="1:12">
      <c r="A2457" s="20" t="s">
        <v>1454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742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801</v>
      </c>
      <c r="B2459" s="21" t="s">
        <v>685</v>
      </c>
      <c r="C2459" s="21" t="s">
        <v>686</v>
      </c>
      <c r="D2459" s="21" t="s">
        <v>687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1803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1023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46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 t="s">
        <v>12</v>
      </c>
      <c r="E2463" s="22">
        <f>IF(D2463="?OLD","!!!","")</f>
        <v/>
      </c>
      <c r="F2463" s="23" t="str">
        <f>IF(OR(E2463="",E2463="!!!"),"",IF(NOT(ISNA(VLOOKUP(E2463,E$1:E2462,1,FALSE()))),"OLD",IF(AND(E2463&lt;&gt;"",E2463&lt;&gt;"!!!"),"NEW","")))</f>
        <v> </v>
      </c>
      <c r="G2463" s="24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5" t="str">
        <f>IF(J2463&lt;&gt;1,"",IF(I2463="SBJ","CB","?"))</f>
        <v> </v>
      </c>
      <c r="I2463" s="26" t="str">
        <f>IF(OR(E2463="",E2463="!!!",F2463="NEW"),"",INDEX(B2462:B$2,-1+SUMPRODUCT(MAX(ROW(E2462:E$2)*(E2463=E2462:E$2)))))</f>
        <v> </v>
      </c>
      <c r="J2463" s="26" t="str">
        <f>IF(OR(E2463="",E2463="!!!",F2463="NEW"),"",COUNTBLANK(OFFSET(A$1,,,SUMPRODUCT(MAX(ROW(E$2:E2463)*(E2463=E$2:E2463)))))-COUNTBLANK(OFFSET(A$1,,,SUMPRODUCT(MAX(ROW(E$1:E2462)*(E2=E$1:E2462))))))</f>
        <v> </v>
      </c>
      <c r="K2463" s="26" t="str">
        <f>IF(OR(E2463="",E2463="!!!",F2463="NEW"),"",INDEX(J$1:J2462,SUMPRODUCT(MAX(ROW(E$1:E2462)*(E2463=E$1:E2462)))))</f>
        <v> </v>
      </c>
      <c r="L2463" s="27"/>
    </row>
    <row r="2464" spans="1:12">
      <c r="A2464" s="20" t="s">
        <v>54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 t="s">
        <v>1804</v>
      </c>
      <c r="B2465" s="21" t="s">
        <v>705</v>
      </c>
      <c r="C2465" s="21" t="s">
        <v>702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695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1805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1806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1000</v>
      </c>
      <c r="B2469" s="21" t="s">
        <v>705</v>
      </c>
      <c r="C2469" s="21" t="s">
        <v>702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692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/>
    </row>
    <row r="2472" spans="1:12">
      <c r="A2472" s="20" t="s">
        <v>1807</v>
      </c>
    </row>
    <row r="2473" spans="1:12">
      <c r="A2473" s="20" t="s">
        <v>1808</v>
      </c>
      <c r="E2473" s="22">
        <f>IF(D2473="?OLD","!!!","")</f>
        <v/>
      </c>
      <c r="F2473" s="23" t="str">
        <f>IF(OR(E2473="",E2473="!!!"),"",IF(NOT(ISNA(VLOOKUP(E2473,E$1:E2472,1,FALSE()))),"OLD",IF(AND(E2473&lt;&gt;"",E2473&lt;&gt;"!!!"),"NEW","")))</f>
        <v> </v>
      </c>
      <c r="G2473" s="24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5" t="str">
        <f>IF(J2473&lt;&gt;1,"",IF(I2473="SBJ","CB","?"))</f>
        <v> </v>
      </c>
      <c r="I2473" s="26" t="str">
        <f>IF(OR(E2473="",E2473="!!!",F2473="NEW"),"",INDEX(B2472:B$2,-1+SUMPRODUCT(MAX(ROW(E2472:E$2)*(E2473=E2472:E$2)))))</f>
        <v> </v>
      </c>
      <c r="J2473" s="26" t="str">
        <f>IF(OR(E2473="",E2473="!!!",F2473="NEW"),"",COUNTBLANK(OFFSET(A$1,,,SUMPRODUCT(MAX(ROW(E$2:E2473)*(E2473=E$2:E2473)))))-COUNTBLANK(OFFSET(A$1,,,SUMPRODUCT(MAX(ROW(E$1:E2472)*(E2=E$1:E2472))))))</f>
        <v> </v>
      </c>
      <c r="K2473" s="26" t="str">
        <f>IF(OR(E2473="",E2473="!!!",F2473="NEW"),"",INDEX(J$1:J2472,SUMPRODUCT(MAX(ROW(E$1:E2472)*(E2473=E$1:E2472)))))</f>
        <v> </v>
      </c>
      <c r="L2473" s="27"/>
    </row>
    <row r="2474" spans="1:12">
      <c r="A2474" s="20" t="s">
        <v>1809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695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1810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689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11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12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19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1811</v>
      </c>
      <c r="B2481" s="21" t="s">
        <v>705</v>
      </c>
      <c r="C2481" s="21" t="s">
        <v>702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692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/>
    </row>
    <row r="2484" spans="1:12">
      <c r="A2484" s="20" t="s">
        <v>1812</v>
      </c>
    </row>
    <row r="2485" spans="1:12">
      <c r="A2485" s="20" t="s">
        <v>707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 t="s">
        <v>695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1532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 t="s">
        <v>1813</v>
      </c>
      <c r="B2488" s="21" t="s">
        <v>705</v>
      </c>
      <c r="C2488" s="21" t="s">
        <v>741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1169</v>
      </c>
      <c r="B2489" s="21" t="s">
        <v>685</v>
      </c>
      <c r="C2489" s="21" t="s">
        <v>686</v>
      </c>
      <c r="D2489" s="21" t="s">
        <v>687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 t="s">
        <v>1814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712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 t="s">
        <v>742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1556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1815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759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365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 t="s">
        <v>1816</v>
      </c>
      <c r="B2497" s="21" t="s">
        <v>705</v>
      </c>
      <c r="C2497" s="21" t="s">
        <v>737</v>
      </c>
      <c r="D2497" s="21" t="s">
        <v>687</v>
      </c>
      <c r="E2497" s="22">
        <f>IF(D2497="?OLD","!!!","")</f>
        <v/>
      </c>
      <c r="F2497" s="23" t="str">
        <f>IF(OR(E2497="",E2497="!!!"),"",IF(NOT(ISNA(VLOOKUP(E2497,E$1:E2496,1,FALSE()))),"OLD",IF(AND(E2497&lt;&gt;"",E2497&lt;&gt;"!!!"),"NEW","")))</f>
        <v> </v>
      </c>
      <c r="G2497" s="24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5" t="str">
        <f>IF(J2497&lt;&gt;1,"",IF(I2497="SBJ","CB","?"))</f>
        <v> </v>
      </c>
      <c r="I2497" s="26" t="str">
        <f>IF(OR(E2497="",E2497="!!!",F2497="NEW"),"",INDEX(B2496:B$2,-1+SUMPRODUCT(MAX(ROW(E2496:E$2)*(E2497=E2496:E$2)))))</f>
        <v> </v>
      </c>
      <c r="J2497" s="26" t="str">
        <f>IF(OR(E2497="",E2497="!!!",F2497="NEW"),"",COUNTBLANK(OFFSET(A$1,,,SUMPRODUCT(MAX(ROW(E$2:E2497)*(E2497=E$2:E2497)))))-COUNTBLANK(OFFSET(A$1,,,SUMPRODUCT(MAX(ROW(E$1:E2496)*(E2=E$1:E2496))))))</f>
        <v> </v>
      </c>
      <c r="K2497" s="26" t="str">
        <f>IF(OR(E2497="",E2497="!!!",F2497="NEW"),"",INDEX(J$1:J2496,SUMPRODUCT(MAX(ROW(E$1:E2496)*(E2497=E$1:E2496)))))</f>
        <v> </v>
      </c>
      <c r="L2497" s="27"/>
    </row>
    <row r="2498" spans="1:12">
      <c r="A2498" s="20" t="s">
        <v>712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898</v>
      </c>
      <c r="B2499" s="21" t="s">
        <v>720</v>
      </c>
      <c r="C2499" s="21" t="s">
        <v>717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 t="s">
        <v>1169</v>
      </c>
      <c r="B2500" s="21" t="s">
        <v>716</v>
      </c>
      <c r="C2500" s="21" t="s">
        <v>686</v>
      </c>
      <c r="D2500" s="21" t="s">
        <v>687</v>
      </c>
      <c r="E2500" s="22">
        <f>IF(D2500="?OLD","!!!","")</f>
        <v/>
      </c>
      <c r="F2500" s="23" t="str">
        <f>IF(OR(E2500="",E2500="!!!"),"",IF(NOT(ISNA(VLOOKUP(E2500,E$1:E2499,1,FALSE()))),"OLD",IF(AND(E2500&lt;&gt;"",E2500&lt;&gt;"!!!"),"NEW","")))</f>
        <v> </v>
      </c>
      <c r="G2500" s="24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5" t="str">
        <f>IF(J2500&lt;&gt;1,"",IF(I2500="SBJ","CB","?"))</f>
        <v> </v>
      </c>
      <c r="I2500" s="26" t="str">
        <f>IF(OR(E2500="",E2500="!!!",F2500="NEW"),"",INDEX(B2499:B$2,-1+SUMPRODUCT(MAX(ROW(E2499:E$2)*(E2500=E2499:E$2)))))</f>
        <v> </v>
      </c>
      <c r="J2500" s="26" t="str">
        <f>IF(OR(E2500="",E2500="!!!",F2500="NEW"),"",COUNTBLANK(OFFSET(A$1,,,SUMPRODUCT(MAX(ROW(E$2:E2500)*(E2500=E$2:E2500)))))-COUNTBLANK(OFFSET(A$1,,,SUMPRODUCT(MAX(ROW(E$1:E2499)*(E2=E$1:E2499))))))</f>
        <v> </v>
      </c>
      <c r="K2500" s="26" t="str">
        <f>IF(OR(E2500="",E2500="!!!",F2500="NEW"),"",INDEX(J$1:J2499,SUMPRODUCT(MAX(ROW(E$1:E2499)*(E2500=E$1:E2499)))))</f>
        <v> </v>
      </c>
      <c r="L2500" s="27"/>
    </row>
    <row r="2501" spans="1:12">
      <c r="A2501" s="20" t="s">
        <v>1817</v>
      </c>
      <c r="E2501" s="22">
        <f>IF(D2501="?OLD","!!!","")</f>
        <v/>
      </c>
      <c r="F2501" s="23" t="str">
        <f>IF(OR(E2501="",E2501="!!!"),"",IF(NOT(ISNA(VLOOKUP(E2501,E$1:E2500,1,FALSE()))),"OLD",IF(AND(E2501&lt;&gt;"",E2501&lt;&gt;"!!!"),"NEW","")))</f>
        <v> </v>
      </c>
      <c r="G2501" s="24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5" t="str">
        <f>IF(J2501&lt;&gt;1,"",IF(I2501="SBJ","CB","?"))</f>
        <v> </v>
      </c>
      <c r="I2501" s="26" t="str">
        <f>IF(OR(E2501="",E2501="!!!",F2501="NEW"),"",INDEX(B2500:B$2,-1+SUMPRODUCT(MAX(ROW(E2500:E$2)*(E2501=E2500:E$2)))))</f>
        <v> </v>
      </c>
      <c r="J2501" s="26" t="str">
        <f>IF(OR(E2501="",E2501="!!!",F2501="NEW"),"",COUNTBLANK(OFFSET(A$1,,,SUMPRODUCT(MAX(ROW(E$2:E2501)*(E2501=E$2:E2501)))))-COUNTBLANK(OFFSET(A$1,,,SUMPRODUCT(MAX(ROW(E$1:E2500)*(E2=E$1:E2500))))))</f>
        <v> </v>
      </c>
      <c r="K2501" s="26" t="str">
        <f>IF(OR(E2501="",E2501="!!!",F2501="NEW"),"",INDEX(J$1:J2500,SUMPRODUCT(MAX(ROW(E$1:E2500)*(E2501=E$1:E2500)))))</f>
        <v> </v>
      </c>
      <c r="L2501" s="27"/>
    </row>
    <row r="2502" spans="1:12">
      <c r="A2502" s="20" t="s">
        <v>786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1818</v>
      </c>
      <c r="B2503" s="21" t="s">
        <v>797</v>
      </c>
      <c r="C2503" s="21" t="s">
        <v>686</v>
      </c>
      <c r="D2503" s="21" t="s">
        <v>687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712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1524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1655</v>
      </c>
      <c r="B2506" s="21" t="s">
        <v>745</v>
      </c>
      <c r="C2506" s="21" t="s">
        <v>686</v>
      </c>
      <c r="D2506" s="21" t="s">
        <v>687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786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 t="s">
        <v>1819</v>
      </c>
      <c r="B2508" s="21" t="s">
        <v>797</v>
      </c>
      <c r="C2508" s="21" t="s">
        <v>686</v>
      </c>
      <c r="D2508" s="21" t="s">
        <v>687</v>
      </c>
      <c r="E2508" s="22">
        <f>IF(D2508="?OLD","!!!","")</f>
        <v/>
      </c>
      <c r="F2508" s="23" t="str">
        <f>IF(OR(E2508="",E2508="!!!"),"",IF(NOT(ISNA(VLOOKUP(E2508,E$1:E2507,1,FALSE()))),"OLD",IF(AND(E2508&lt;&gt;"",E2508&lt;&gt;"!!!"),"NEW","")))</f>
        <v> </v>
      </c>
      <c r="G2508" s="24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5" t="str">
        <f>IF(J2508&lt;&gt;1,"",IF(I2508="SBJ","CB","?"))</f>
        <v> </v>
      </c>
      <c r="I2508" s="26" t="str">
        <f>IF(OR(E2508="",E2508="!!!",F2508="NEW"),"",INDEX(B2507:B$2,-1+SUMPRODUCT(MAX(ROW(E2507:E$2)*(E2508=E2507:E$2)))))</f>
        <v> </v>
      </c>
      <c r="J2508" s="26" t="str">
        <f>IF(OR(E2508="",E2508="!!!",F2508="NEW"),"",COUNTBLANK(OFFSET(A$1,,,SUMPRODUCT(MAX(ROW(E$2:E2508)*(E2508=E$2:E2508)))))-COUNTBLANK(OFFSET(A$1,,,SUMPRODUCT(MAX(ROW(E$1:E2507)*(E2=E$1:E2507))))))</f>
        <v> </v>
      </c>
      <c r="K2508" s="26" t="str">
        <f>IF(OR(E2508="",E2508="!!!",F2508="NEW"),"",INDEX(J$1:J2507,SUMPRODUCT(MAX(ROW(E$1:E2507)*(E2508=E$1:E2507)))))</f>
        <v> </v>
      </c>
      <c r="L2508" s="27"/>
    </row>
    <row r="2509" spans="1:12">
      <c r="A2509" s="20" t="s">
        <v>712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723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1092</v>
      </c>
      <c r="B2511" s="21" t="s">
        <v>745</v>
      </c>
      <c r="C2511" s="21" t="s">
        <v>686</v>
      </c>
      <c r="D2511" s="21" t="s">
        <v>687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1256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1484</v>
      </c>
      <c r="B2513" s="21" t="s">
        <v>732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712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1820</v>
      </c>
      <c r="B2515" s="21" t="s">
        <v>762</v>
      </c>
      <c r="C2515" s="21" t="s">
        <v>717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746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1821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1822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1823</v>
      </c>
      <c r="B2519" s="21" t="s">
        <v>762</v>
      </c>
      <c r="C2519" s="21" t="s">
        <v>717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1824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692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/>
    </row>
    <row r="2523" spans="1:12">
      <c r="A2523" s="20" t="s">
        <v>1825</v>
      </c>
    </row>
    <row r="2524" spans="1:12">
      <c r="A2524" s="20" t="s">
        <v>1646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 t="s">
        <v>1092</v>
      </c>
      <c r="B2525" s="21" t="s">
        <v>685</v>
      </c>
      <c r="C2525" s="21" t="s">
        <v>686</v>
      </c>
      <c r="D2525" s="21" t="s">
        <v>687</v>
      </c>
      <c r="E2525" s="22">
        <f>IF(D2525="?OLD","!!!","")</f>
        <v/>
      </c>
      <c r="F2525" s="23" t="str">
        <f>IF(OR(E2525="",E2525="!!!"),"",IF(NOT(ISNA(VLOOKUP(E2525,E$1:E2524,1,FALSE()))),"OLD",IF(AND(E2525&lt;&gt;"",E2525&lt;&gt;"!!!"),"NEW","")))</f>
        <v> </v>
      </c>
      <c r="G2525" s="24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5" t="str">
        <f>IF(J2525&lt;&gt;1,"",IF(I2525="SBJ","CB","?"))</f>
        <v> </v>
      </c>
      <c r="I2525" s="26" t="str">
        <f>IF(OR(E2525="",E2525="!!!",F2525="NEW"),"",INDEX(B2524:B$2,-1+SUMPRODUCT(MAX(ROW(E2524:E$2)*(E2525=E2524:E$2)))))</f>
        <v> </v>
      </c>
      <c r="J2525" s="26" t="str">
        <f>IF(OR(E2525="",E2525="!!!",F2525="NEW"),"",COUNTBLANK(OFFSET(A$1,,,SUMPRODUCT(MAX(ROW(E$2:E2525)*(E2525=E$2:E2525)))))-COUNTBLANK(OFFSET(A$1,,,SUMPRODUCT(MAX(ROW(E$1:E2524)*(E2=E$1:E2524))))))</f>
        <v> </v>
      </c>
      <c r="K2525" s="26" t="str">
        <f>IF(OR(E2525="",E2525="!!!",F2525="NEW"),"",INDEX(J$1:J2524,SUMPRODUCT(MAX(ROW(E$1:E2524)*(E2525=E$1:E2524)))))</f>
        <v> </v>
      </c>
      <c r="L2525" s="27"/>
    </row>
    <row r="2526" spans="1:12">
      <c r="A2526" s="20" t="s">
        <v>1826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 t="s">
        <v>689</v>
      </c>
      <c r="E2527" s="22">
        <f>IF(D2527="?OLD","!!!","")</f>
        <v/>
      </c>
      <c r="F2527" s="23" t="str">
        <f>IF(OR(E2527="",E2527="!!!"),"",IF(NOT(ISNA(VLOOKUP(E2527,E$1:E2526,1,FALSE()))),"OLD",IF(AND(E2527&lt;&gt;"",E2527&lt;&gt;"!!!"),"NEW","")))</f>
        <v> </v>
      </c>
      <c r="G2527" s="24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5" t="str">
        <f>IF(J2527&lt;&gt;1,"",IF(I2527="SBJ","CB","?"))</f>
        <v> </v>
      </c>
      <c r="I2527" s="26" t="str">
        <f>IF(OR(E2527="",E2527="!!!",F2527="NEW"),"",INDEX(B2526:B$2,-1+SUMPRODUCT(MAX(ROW(E2526:E$2)*(E2527=E2526:E$2)))))</f>
        <v> </v>
      </c>
      <c r="J2527" s="26" t="str">
        <f>IF(OR(E2527="",E2527="!!!",F2527="NEW"),"",COUNTBLANK(OFFSET(A$1,,,SUMPRODUCT(MAX(ROW(E$2:E2527)*(E2527=E$2:E2527)))))-COUNTBLANK(OFFSET(A$1,,,SUMPRODUCT(MAX(ROW(E$1:E2526)*(E2=E$1:E2526))))))</f>
        <v> </v>
      </c>
      <c r="K2527" s="26" t="str">
        <f>IF(OR(E2527="",E2527="!!!",F2527="NEW"),"",INDEX(J$1:J2526,SUMPRODUCT(MAX(ROW(E$1:E2526)*(E2527=E$1:E2526)))))</f>
        <v> </v>
      </c>
      <c r="L2527" s="27"/>
    </row>
    <row r="2528" spans="1:12">
      <c r="A2528" s="20" t="s">
        <v>1827</v>
      </c>
      <c r="E2528" s="22">
        <f>IF(D2528="?OLD","!!!","")</f>
        <v/>
      </c>
      <c r="F2528" s="23" t="str">
        <f>IF(OR(E2528="",E2528="!!!"),"",IF(NOT(ISNA(VLOOKUP(E2528,E$1:E2527,1,FALSE()))),"OLD",IF(AND(E2528&lt;&gt;"",E2528&lt;&gt;"!!!"),"NEW","")))</f>
        <v> </v>
      </c>
      <c r="G2528" s="24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5" t="str">
        <f>IF(J2528&lt;&gt;1,"",IF(I2528="SBJ","CB","?"))</f>
        <v> </v>
      </c>
      <c r="I2528" s="26" t="str">
        <f>IF(OR(E2528="",E2528="!!!",F2528="NEW"),"",INDEX(B2527:B$2,-1+SUMPRODUCT(MAX(ROW(E2527:E$2)*(E2528=E2527:E$2)))))</f>
        <v> </v>
      </c>
      <c r="J2528" s="26" t="str">
        <f>IF(OR(E2528="",E2528="!!!",F2528="NEW"),"",COUNTBLANK(OFFSET(A$1,,,SUMPRODUCT(MAX(ROW(E$2:E2528)*(E2528=E$2:E2528)))))-COUNTBLANK(OFFSET(A$1,,,SUMPRODUCT(MAX(ROW(E$1:E2527)*(E2=E$1:E2527))))))</f>
        <v> </v>
      </c>
      <c r="K2528" s="26" t="str">
        <f>IF(OR(E2528="",E2528="!!!",F2528="NEW"),"",INDEX(J$1:J2527,SUMPRODUCT(MAX(ROW(E$1:E2527)*(E2528=E$1:E2527)))))</f>
        <v> </v>
      </c>
      <c r="L2528" s="27"/>
    </row>
    <row r="2529" spans="1:12">
      <c r="A2529" s="20" t="s">
        <v>723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1828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752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1351</v>
      </c>
      <c r="B2532" s="21" t="s">
        <v>716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1256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1418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1829</v>
      </c>
      <c r="B2535" s="21" t="s">
        <v>720</v>
      </c>
      <c r="C2535" s="21" t="s">
        <v>737</v>
      </c>
      <c r="D2535" s="21" t="s">
        <v>687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723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1508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712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723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1830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712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723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891</v>
      </c>
      <c r="B2543" s="21" t="s">
        <v>797</v>
      </c>
      <c r="C2543" s="21" t="s">
        <v>741</v>
      </c>
      <c r="D2543" s="21" t="s">
        <v>687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712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723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1831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692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/>
    </row>
    <row r="2549" spans="1:12">
      <c r="A2549" s="20" t="s">
        <v>1832</v>
      </c>
    </row>
    <row r="2550" spans="1:12">
      <c r="A2550" s="20" t="s">
        <v>1833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571</v>
      </c>
      <c r="B2551" s="21" t="s">
        <v>705</v>
      </c>
      <c r="C2551" s="21" t="s">
        <v>702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712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1834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1835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1836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695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1810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712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1820</v>
      </c>
      <c r="B2559" s="21" t="s">
        <v>720</v>
      </c>
      <c r="C2559" s="21" t="s">
        <v>717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1169</v>
      </c>
      <c r="B2560" s="21" t="s">
        <v>802</v>
      </c>
      <c r="C2560" s="21" t="s">
        <v>686</v>
      </c>
      <c r="D2560" s="21" t="s">
        <v>687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746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 t="s">
        <v>1837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1822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 t="s">
        <v>1838</v>
      </c>
      <c r="B2564" s="21" t="s">
        <v>720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692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/>
    </row>
    <row r="2567" spans="1:12">
      <c r="A2567" s="20" t="s">
        <v>1839</v>
      </c>
    </row>
    <row r="2568" spans="1:12">
      <c r="A2568" s="20" t="s">
        <v>1840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1841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912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855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1842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1612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1843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712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1844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 t="s">
        <v>865</v>
      </c>
      <c r="E2577" s="22">
        <f>IF(D2577="?OLD","!!!","")</f>
        <v/>
      </c>
      <c r="F2577" s="23" t="str">
        <f>IF(OR(E2577="",E2577="!!!"),"",IF(NOT(ISNA(VLOOKUP(E2577,E$1:E2576,1,FALSE()))),"OLD",IF(AND(E2577&lt;&gt;"",E2577&lt;&gt;"!!!"),"NEW","")))</f>
        <v> </v>
      </c>
      <c r="G2577" s="24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5" t="str">
        <f>IF(J2577&lt;&gt;1,"",IF(I2577="SBJ","CB","?"))</f>
        <v> </v>
      </c>
      <c r="I2577" s="26" t="str">
        <f>IF(OR(E2577="",E2577="!!!",F2577="NEW"),"",INDEX(B2576:B$2,-1+SUMPRODUCT(MAX(ROW(E2576:E$2)*(E2577=E2576:E$2)))))</f>
        <v> </v>
      </c>
      <c r="J2577" s="26" t="str">
        <f>IF(OR(E2577="",E2577="!!!",F2577="NEW"),"",COUNTBLANK(OFFSET(A$1,,,SUMPRODUCT(MAX(ROW(E$2:E2577)*(E2577=E$2:E2577)))))-COUNTBLANK(OFFSET(A$1,,,SUMPRODUCT(MAX(ROW(E$1:E2576)*(E2=E$1:E2576))))))</f>
        <v> </v>
      </c>
      <c r="K2577" s="26" t="str">
        <f>IF(OR(E2577="",E2577="!!!",F2577="NEW"),"",INDEX(J$1:J2576,SUMPRODUCT(MAX(ROW(E$1:E2576)*(E2577=E$1:E2576)))))</f>
        <v> </v>
      </c>
      <c r="L2577" s="27"/>
    </row>
    <row r="2578" spans="1:12">
      <c r="A2578" s="20" t="s">
        <v>869</v>
      </c>
      <c r="B2578" s="21" t="s">
        <v>728</v>
      </c>
      <c r="C2578" s="21" t="s">
        <v>717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1071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712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723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1655</v>
      </c>
      <c r="B2582" s="21" t="s">
        <v>802</v>
      </c>
      <c r="C2582" s="21" t="s">
        <v>686</v>
      </c>
      <c r="D2582" s="21" t="s">
        <v>687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1845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712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742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918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746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 t="s">
        <v>1640</v>
      </c>
      <c r="E2588" s="22">
        <f>IF(D2588="?OLD","!!!","")</f>
        <v/>
      </c>
      <c r="F2588" s="23" t="str">
        <f>IF(OR(E2588="",E2588="!!!"),"",IF(NOT(ISNA(VLOOKUP(E2588,E$1:E2587,1,FALSE()))),"OLD",IF(AND(E2588&lt;&gt;"",E2588&lt;&gt;"!!!"),"NEW","")))</f>
        <v> </v>
      </c>
      <c r="G2588" s="24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5" t="str">
        <f>IF(J2588&lt;&gt;1,"",IF(I2588="SBJ","CB","?"))</f>
        <v> </v>
      </c>
      <c r="I2588" s="26" t="str">
        <f>IF(OR(E2588="",E2588="!!!",F2588="NEW"),"",INDEX(B2587:B$2,-1+SUMPRODUCT(MAX(ROW(E2587:E$2)*(E2588=E2587:E$2)))))</f>
        <v> </v>
      </c>
      <c r="J2588" s="26" t="str">
        <f>IF(OR(E2588="",E2588="!!!",F2588="NEW"),"",COUNTBLANK(OFFSET(A$1,,,SUMPRODUCT(MAX(ROW(E$2:E2588)*(E2588=E$2:E2588)))))-COUNTBLANK(OFFSET(A$1,,,SUMPRODUCT(MAX(ROW(E$1:E2587)*(E2=E$1:E2587))))))</f>
        <v> </v>
      </c>
      <c r="K2588" s="26" t="str">
        <f>IF(OR(E2588="",E2588="!!!",F2588="NEW"),"",INDEX(J$1:J2587,SUMPRODUCT(MAX(ROW(E$1:E2587)*(E2588=E$1:E2587)))))</f>
        <v> </v>
      </c>
      <c r="L2588" s="27"/>
    </row>
    <row r="2589" spans="1:12">
      <c r="A2589" s="20" t="s">
        <v>1822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1346</v>
      </c>
      <c r="B2590" s="21" t="s">
        <v>850</v>
      </c>
      <c r="C2590" s="21" t="s">
        <v>741</v>
      </c>
      <c r="D2590" s="21" t="s">
        <v>687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692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/>
    </row>
    <row r="2593" spans="1:12">
      <c r="A2593" s="20" t="s">
        <v>1846</v>
      </c>
    </row>
    <row r="2594" spans="1:12">
      <c r="A2594" s="20" t="s">
        <v>1847</v>
      </c>
      <c r="E2594" s="22">
        <f>IF(D2594="?OLD","!!!","")</f>
        <v/>
      </c>
      <c r="F2594" s="23" t="str">
        <f>IF(OR(E2594="",E2594="!!!"),"",IF(NOT(ISNA(VLOOKUP(E2594,E$1:E2593,1,FALSE()))),"OLD",IF(AND(E2594&lt;&gt;"",E2594&lt;&gt;"!!!"),"NEW","")))</f>
        <v> </v>
      </c>
      <c r="G2594" s="24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5" t="str">
        <f>IF(J2594&lt;&gt;1,"",IF(I2594="SBJ","CB","?"))</f>
        <v> </v>
      </c>
      <c r="I2594" s="26" t="str">
        <f>IF(OR(E2594="",E2594="!!!",F2594="NEW"),"",INDEX(B2593:B$2,-1+SUMPRODUCT(MAX(ROW(E2593:E$2)*(E2594=E2593:E$2)))))</f>
        <v> </v>
      </c>
      <c r="J2594" s="26" t="str">
        <f>IF(OR(E2594="",E2594="!!!",F2594="NEW"),"",COUNTBLANK(OFFSET(A$1,,,SUMPRODUCT(MAX(ROW(E$2:E2594)*(E2594=E$2:E2594)))))-COUNTBLANK(OFFSET(A$1,,,SUMPRODUCT(MAX(ROW(E$1:E2593)*(E2=E$1:E2593))))))</f>
        <v> </v>
      </c>
      <c r="K2594" s="26" t="str">
        <f>IF(OR(E2594="",E2594="!!!",F2594="NEW"),"",INDEX(J$1:J2593,SUMPRODUCT(MAX(ROW(E$1:E2593)*(E2594=E$1:E2593)))))</f>
        <v> </v>
      </c>
      <c r="L2594" s="27"/>
    </row>
    <row r="2595" spans="1:12">
      <c r="A2595" s="20" t="s">
        <v>1848</v>
      </c>
      <c r="B2595" s="21" t="s">
        <v>685</v>
      </c>
      <c r="E2595" s="22">
        <f>IF(D2595="?OLD","!!!","")</f>
        <v/>
      </c>
      <c r="F2595" s="23" t="str">
        <f>IF(OR(E2595="",E2595="!!!"),"",IF(NOT(ISNA(VLOOKUP(E2595,E$1:E2594,1,FALSE()))),"OLD",IF(AND(E2595&lt;&gt;"",E2595&lt;&gt;"!!!"),"NEW","")))</f>
        <v> </v>
      </c>
      <c r="G2595" s="24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5" t="str">
        <f>IF(J2595&lt;&gt;1,"",IF(I2595="SBJ","CB","?"))</f>
        <v> </v>
      </c>
      <c r="I2595" s="26" t="str">
        <f>IF(OR(E2595="",E2595="!!!",F2595="NEW"),"",INDEX(B2594:B$2,-1+SUMPRODUCT(MAX(ROW(E2594:E$2)*(E2595=E2594:E$2)))))</f>
        <v> </v>
      </c>
      <c r="J2595" s="26" t="str">
        <f>IF(OR(E2595="",E2595="!!!",F2595="NEW"),"",COUNTBLANK(OFFSET(A$1,,,SUMPRODUCT(MAX(ROW(E$2:E2595)*(E2595=E$2:E2595)))))-COUNTBLANK(OFFSET(A$1,,,SUMPRODUCT(MAX(ROW(E$1:E2594)*(E2=E$1:E2594))))))</f>
        <v> </v>
      </c>
      <c r="K2595" s="26" t="str">
        <f>IF(OR(E2595="",E2595="!!!",F2595="NEW"),"",INDEX(J$1:J2594,SUMPRODUCT(MAX(ROW(E$1:E2594)*(E2595=E$1:E2594)))))</f>
        <v> </v>
      </c>
      <c r="L2595" s="27"/>
    </row>
    <row r="2596" spans="1:12">
      <c r="A2596" s="20" t="s">
        <v>712</v>
      </c>
      <c r="E2596" s="22">
        <f>IF(D2596="?OLD","!!!","")</f>
        <v/>
      </c>
      <c r="F2596" s="23" t="str">
        <f>IF(OR(E2596="",E2596="!!!"),"",IF(NOT(ISNA(VLOOKUP(E2596,E$1:E2595,1,FALSE()))),"OLD",IF(AND(E2596&lt;&gt;"",E2596&lt;&gt;"!!!"),"NEW","")))</f>
        <v> </v>
      </c>
      <c r="G2596" s="24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5" t="str">
        <f>IF(J2596&lt;&gt;1,"",IF(I2596="SBJ","CB","?"))</f>
        <v> </v>
      </c>
      <c r="I2596" s="26" t="str">
        <f>IF(OR(E2596="",E2596="!!!",F2596="NEW"),"",INDEX(B2595:B$2,-1+SUMPRODUCT(MAX(ROW(E2595:E$2)*(E2596=E2595:E$2)))))</f>
        <v> </v>
      </c>
      <c r="J2596" s="26" t="str">
        <f>IF(OR(E2596="",E2596="!!!",F2596="NEW"),"",COUNTBLANK(OFFSET(A$1,,,SUMPRODUCT(MAX(ROW(E$2:E2596)*(E2596=E$2:E2596)))))-COUNTBLANK(OFFSET(A$1,,,SUMPRODUCT(MAX(ROW(E$1:E2595)*(E2=E$1:E2595))))))</f>
        <v> </v>
      </c>
      <c r="K2596" s="26" t="str">
        <f>IF(OR(E2596="",E2596="!!!",F2596="NEW"),"",INDEX(J$1:J2595,SUMPRODUCT(MAX(ROW(E$1:E2595)*(E2596=E$1:E2595)))))</f>
        <v> </v>
      </c>
      <c r="L2596" s="27"/>
    </row>
    <row r="2597" spans="1:12">
      <c r="A2597" s="20" t="s">
        <v>1848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712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1849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689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 t="s">
        <v>1850</v>
      </c>
      <c r="E2601" s="22">
        <f>IF(D2601="?OLD","!!!","")</f>
        <v/>
      </c>
      <c r="F2601" s="23" t="str">
        <f>IF(OR(E2601="",E2601="!!!"),"",IF(NOT(ISNA(VLOOKUP(E2601,E$1:E2600,1,FALSE()))),"OLD",IF(AND(E2601&lt;&gt;"",E2601&lt;&gt;"!!!"),"NEW","")))</f>
        <v> </v>
      </c>
      <c r="G2601" s="24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5" t="str">
        <f>IF(J2601&lt;&gt;1,"",IF(I2601="SBJ","CB","?"))</f>
        <v> </v>
      </c>
      <c r="I2601" s="26" t="str">
        <f>IF(OR(E2601="",E2601="!!!",F2601="NEW"),"",INDEX(B2600:B$2,-1+SUMPRODUCT(MAX(ROW(E2600:E$2)*(E2601=E2600:E$2)))))</f>
        <v> </v>
      </c>
      <c r="J2601" s="26" t="str">
        <f>IF(OR(E2601="",E2601="!!!",F2601="NEW"),"",COUNTBLANK(OFFSET(A$1,,,SUMPRODUCT(MAX(ROW(E$2:E2601)*(E2601=E$2:E2601)))))-COUNTBLANK(OFFSET(A$1,,,SUMPRODUCT(MAX(ROW(E$1:E2600)*(E2=E$1:E2600))))))</f>
        <v> </v>
      </c>
      <c r="K2601" s="26" t="str">
        <f>IF(OR(E2601="",E2601="!!!",F2601="NEW"),"",INDEX(J$1:J2600,SUMPRODUCT(MAX(ROW(E$1:E2600)*(E2601=E$1:E2600)))))</f>
        <v> </v>
      </c>
      <c r="L2601" s="27"/>
    </row>
    <row r="2602" spans="1:12">
      <c r="A2602" s="20" t="s">
        <v>692</v>
      </c>
      <c r="E2602" s="22">
        <f>IF(D2602="?OLD","!!!","")</f>
        <v/>
      </c>
      <c r="F2602" s="23" t="str">
        <f>IF(OR(E2602="",E2602="!!!"),"",IF(NOT(ISNA(VLOOKUP(E2602,E$1:E2601,1,FALSE()))),"OLD",IF(AND(E2602&lt;&gt;"",E2602&lt;&gt;"!!!"),"NEW","")))</f>
        <v> </v>
      </c>
      <c r="G2602" s="24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5" t="str">
        <f>IF(J2602&lt;&gt;1,"",IF(I2602="SBJ","CB","?"))</f>
        <v> </v>
      </c>
      <c r="I2602" s="26" t="str">
        <f>IF(OR(E2602="",E2602="!!!",F2602="NEW"),"",INDEX(B2601:B$2,-1+SUMPRODUCT(MAX(ROW(E2601:E$2)*(E2602=E2601:E$2)))))</f>
        <v> </v>
      </c>
      <c r="J2602" s="26" t="str">
        <f>IF(OR(E2602="",E2602="!!!",F2602="NEW"),"",COUNTBLANK(OFFSET(A$1,,,SUMPRODUCT(MAX(ROW(E$2:E2602)*(E2602=E$2:E2602)))))-COUNTBLANK(OFFSET(A$1,,,SUMPRODUCT(MAX(ROW(E$1:E2601)*(E2=E$1:E2601))))))</f>
        <v> </v>
      </c>
      <c r="K2602" s="26" t="str">
        <f>IF(OR(E2602="",E2602="!!!",F2602="NEW"),"",INDEX(J$1:J2601,SUMPRODUCT(MAX(ROW(E$1:E2601)*(E2602=E$1:E2601)))))</f>
        <v> </v>
      </c>
      <c r="L2602" s="27"/>
    </row>
    <row r="2603" spans="1:12">
      <c r="A2603" s="20"/>
    </row>
    <row r="2604" spans="1:12">
      <c r="A2604" s="20" t="s">
        <v>1851</v>
      </c>
    </row>
    <row r="2605" spans="1:12">
      <c r="A2605" s="20" t="s">
        <v>707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743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744</v>
      </c>
      <c r="B2607" s="21" t="s">
        <v>802</v>
      </c>
      <c r="C2607" s="21" t="s">
        <v>686</v>
      </c>
      <c r="D2607" s="21" t="s">
        <v>687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1852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712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764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 t="s">
        <v>290</v>
      </c>
      <c r="E2611" s="22">
        <f>IF(D2611="?OLD","!!!","")</f>
        <v/>
      </c>
      <c r="F2611" s="23" t="str">
        <f>IF(OR(E2611="",E2611="!!!"),"",IF(NOT(ISNA(VLOOKUP(E2611,E$1:E2610,1,FALSE()))),"OLD",IF(AND(E2611&lt;&gt;"",E2611&lt;&gt;"!!!"),"NEW","")))</f>
        <v> </v>
      </c>
      <c r="G2611" s="24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5" t="str">
        <f>IF(J2611&lt;&gt;1,"",IF(I2611="SBJ","CB","?"))</f>
        <v> </v>
      </c>
      <c r="I2611" s="26" t="str">
        <f>IF(OR(E2611="",E2611="!!!",F2611="NEW"),"",INDEX(B2610:B$2,-1+SUMPRODUCT(MAX(ROW(E2610:E$2)*(E2611=E2610:E$2)))))</f>
        <v> </v>
      </c>
      <c r="J2611" s="26" t="str">
        <f>IF(OR(E2611="",E2611="!!!",F2611="NEW"),"",COUNTBLANK(OFFSET(A$1,,,SUMPRODUCT(MAX(ROW(E$2:E2611)*(E2611=E$2:E2611)))))-COUNTBLANK(OFFSET(A$1,,,SUMPRODUCT(MAX(ROW(E$1:E2610)*(E2=E$1:E2610))))))</f>
        <v> </v>
      </c>
      <c r="K2611" s="26" t="str">
        <f>IF(OR(E2611="",E2611="!!!",F2611="NEW"),"",INDEX(J$1:J2610,SUMPRODUCT(MAX(ROW(E$1:E2610)*(E2611=E$1:E2610)))))</f>
        <v> </v>
      </c>
      <c r="L2611" s="27"/>
    </row>
    <row r="2612" spans="1:12">
      <c r="A2612" s="20" t="s">
        <v>1853</v>
      </c>
      <c r="E2612" s="22">
        <f>IF(D2612="?OLD","!!!","")</f>
        <v/>
      </c>
      <c r="F2612" s="23" t="str">
        <f>IF(OR(E2612="",E2612="!!!"),"",IF(NOT(ISNA(VLOOKUP(E2612,E$1:E2611,1,FALSE()))),"OLD",IF(AND(E2612&lt;&gt;"",E2612&lt;&gt;"!!!"),"NEW","")))</f>
        <v> </v>
      </c>
      <c r="G2612" s="24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5" t="str">
        <f>IF(J2612&lt;&gt;1,"",IF(I2612="SBJ","CB","?"))</f>
        <v> </v>
      </c>
      <c r="I2612" s="26" t="str">
        <f>IF(OR(E2612="",E2612="!!!",F2612="NEW"),"",INDEX(B2611:B$2,-1+SUMPRODUCT(MAX(ROW(E2611:E$2)*(E2612=E2611:E$2)))))</f>
        <v> </v>
      </c>
      <c r="J2612" s="26" t="str">
        <f>IF(OR(E2612="",E2612="!!!",F2612="NEW"),"",COUNTBLANK(OFFSET(A$1,,,SUMPRODUCT(MAX(ROW(E$2:E2612)*(E2612=E$2:E2612)))))-COUNTBLANK(OFFSET(A$1,,,SUMPRODUCT(MAX(ROW(E$1:E2611)*(E2=E$1:E2611))))))</f>
        <v> </v>
      </c>
      <c r="K2612" s="26" t="str">
        <f>IF(OR(E2612="",E2612="!!!",F2612="NEW"),"",INDEX(J$1:J2611,SUMPRODUCT(MAX(ROW(E$1:E2611)*(E2612=E$1:E2611)))))</f>
        <v> </v>
      </c>
      <c r="L2612" s="27"/>
    </row>
    <row r="2613" spans="1:12">
      <c r="A2613" s="20" t="s">
        <v>1129</v>
      </c>
      <c r="B2613" s="21" t="s">
        <v>720</v>
      </c>
      <c r="E2613" s="22">
        <f>IF(D2613="?OLD","!!!","")</f>
        <v/>
      </c>
      <c r="F2613" s="23" t="str">
        <f>IF(OR(E2613="",E2613="!!!"),"",IF(NOT(ISNA(VLOOKUP(E2613,E$1:E2612,1,FALSE()))),"OLD",IF(AND(E2613&lt;&gt;"",E2613&lt;&gt;"!!!"),"NEW","")))</f>
        <v> </v>
      </c>
      <c r="G2613" s="24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5" t="str">
        <f>IF(J2613&lt;&gt;1,"",IF(I2613="SBJ","CB","?"))</f>
        <v> </v>
      </c>
      <c r="I2613" s="26" t="str">
        <f>IF(OR(E2613="",E2613="!!!",F2613="NEW"),"",INDEX(B2612:B$2,-1+SUMPRODUCT(MAX(ROW(E2612:E$2)*(E2613=E2612:E$2)))))</f>
        <v> </v>
      </c>
      <c r="J2613" s="26" t="str">
        <f>IF(OR(E2613="",E2613="!!!",F2613="NEW"),"",COUNTBLANK(OFFSET(A$1,,,SUMPRODUCT(MAX(ROW(E$2:E2613)*(E2613=E$2:E2613)))))-COUNTBLANK(OFFSET(A$1,,,SUMPRODUCT(MAX(ROW(E$1:E2612)*(E2=E$1:E2612))))))</f>
        <v> </v>
      </c>
      <c r="K2613" s="26" t="str">
        <f>IF(OR(E2613="",E2613="!!!",F2613="NEW"),"",INDEX(J$1:J2612,SUMPRODUCT(MAX(ROW(E$1:E2612)*(E2613=E$1:E2612)))))</f>
        <v> </v>
      </c>
      <c r="L2613" s="27"/>
    </row>
    <row r="2614" spans="1:12">
      <c r="A2614" s="20" t="s">
        <v>766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1276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1277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712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 t="s">
        <v>744</v>
      </c>
      <c r="B2618" s="21" t="s">
        <v>685</v>
      </c>
      <c r="C2618" s="21" t="s">
        <v>686</v>
      </c>
      <c r="D2618" s="21" t="s">
        <v>687</v>
      </c>
      <c r="E2618" s="22">
        <f>IF(D2618="?OLD","!!!","")</f>
        <v/>
      </c>
      <c r="F2618" s="23" t="str">
        <f>IF(OR(E2618="",E2618="!!!"),"",IF(NOT(ISNA(VLOOKUP(E2618,E$1:E2617,1,FALSE()))),"OLD",IF(AND(E2618&lt;&gt;"",E2618&lt;&gt;"!!!"),"NEW","")))</f>
        <v> </v>
      </c>
      <c r="G2618" s="24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5" t="str">
        <f>IF(J2618&lt;&gt;1,"",IF(I2618="SBJ","CB","?"))</f>
        <v> </v>
      </c>
      <c r="I2618" s="26" t="str">
        <f>IF(OR(E2618="",E2618="!!!",F2618="NEW"),"",INDEX(B2617:B$2,-1+SUMPRODUCT(MAX(ROW(E2617:E$2)*(E2618=E2617:E$2)))))</f>
        <v> </v>
      </c>
      <c r="J2618" s="26" t="str">
        <f>IF(OR(E2618="",E2618="!!!",F2618="NEW"),"",COUNTBLANK(OFFSET(A$1,,,SUMPRODUCT(MAX(ROW(E$2:E2618)*(E2618=E$2:E2618)))))-COUNTBLANK(OFFSET(A$1,,,SUMPRODUCT(MAX(ROW(E$1:E2617)*(E2=E$1:E2617))))))</f>
        <v> </v>
      </c>
      <c r="K2618" s="26" t="str">
        <f>IF(OR(E2618="",E2618="!!!",F2618="NEW"),"",INDEX(J$1:J2617,SUMPRODUCT(MAX(ROW(E$1:E2617)*(E2618=E$1:E2617)))))</f>
        <v> </v>
      </c>
      <c r="L2618" s="27"/>
    </row>
    <row r="2619" spans="1:12">
      <c r="A2619" s="20" t="s">
        <v>1854</v>
      </c>
      <c r="E2619" s="22">
        <f>IF(D2619="?OLD","!!!","")</f>
        <v/>
      </c>
      <c r="F2619" s="23" t="str">
        <f>IF(OR(E2619="",E2619="!!!"),"",IF(NOT(ISNA(VLOOKUP(E2619,E$1:E2618,1,FALSE()))),"OLD",IF(AND(E2619&lt;&gt;"",E2619&lt;&gt;"!!!"),"NEW","")))</f>
        <v> </v>
      </c>
      <c r="G2619" s="24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5" t="str">
        <f>IF(J2619&lt;&gt;1,"",IF(I2619="SBJ","CB","?"))</f>
        <v> </v>
      </c>
      <c r="I2619" s="26" t="str">
        <f>IF(OR(E2619="",E2619="!!!",F2619="NEW"),"",INDEX(B2618:B$2,-1+SUMPRODUCT(MAX(ROW(E2618:E$2)*(E2619=E2618:E$2)))))</f>
        <v> </v>
      </c>
      <c r="J2619" s="26" t="str">
        <f>IF(OR(E2619="",E2619="!!!",F2619="NEW"),"",COUNTBLANK(OFFSET(A$1,,,SUMPRODUCT(MAX(ROW(E$2:E2619)*(E2619=E$2:E2619)))))-COUNTBLANK(OFFSET(A$1,,,SUMPRODUCT(MAX(ROW(E$1:E2618)*(E2=E$1:E2618))))))</f>
        <v> </v>
      </c>
      <c r="K2619" s="26" t="str">
        <f>IF(OR(E2619="",E2619="!!!",F2619="NEW"),"",INDEX(J$1:J2618,SUMPRODUCT(MAX(ROW(E$1:E2618)*(E2619=E$1:E2618)))))</f>
        <v> </v>
      </c>
      <c r="L2619" s="27"/>
    </row>
    <row r="2620" spans="1:12">
      <c r="A2620" s="20" t="s">
        <v>1855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1532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1077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1856</v>
      </c>
      <c r="B2623" s="21" t="s">
        <v>780</v>
      </c>
      <c r="C2623" s="21" t="s">
        <v>741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1857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712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1858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 t="s">
        <v>1859</v>
      </c>
      <c r="B2627" s="21" t="s">
        <v>850</v>
      </c>
      <c r="C2627" s="21" t="s">
        <v>717</v>
      </c>
      <c r="E2627" s="22">
        <f>IF(D2627="?OLD","!!!","")</f>
        <v/>
      </c>
      <c r="F2627" s="23" t="str">
        <f>IF(OR(E2627="",E2627="!!!"),"",IF(NOT(ISNA(VLOOKUP(E2627,E$1:E2626,1,FALSE()))),"OLD",IF(AND(E2627&lt;&gt;"",E2627&lt;&gt;"!!!"),"NEW","")))</f>
        <v> </v>
      </c>
      <c r="G2627" s="24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5" t="str">
        <f>IF(J2627&lt;&gt;1,"",IF(I2627="SBJ","CB","?"))</f>
        <v> </v>
      </c>
      <c r="I2627" s="26" t="str">
        <f>IF(OR(E2627="",E2627="!!!",F2627="NEW"),"",INDEX(B2626:B$2,-1+SUMPRODUCT(MAX(ROW(E2626:E$2)*(E2627=E2626:E$2)))))</f>
        <v> </v>
      </c>
      <c r="J2627" s="26" t="str">
        <f>IF(OR(E2627="",E2627="!!!",F2627="NEW"),"",COUNTBLANK(OFFSET(A$1,,,SUMPRODUCT(MAX(ROW(E$2:E2627)*(E2627=E$2:E2627)))))-COUNTBLANK(OFFSET(A$1,,,SUMPRODUCT(MAX(ROW(E$1:E2626)*(E2=E$1:E2626))))))</f>
        <v> </v>
      </c>
      <c r="K2627" s="26" t="str">
        <f>IF(OR(E2627="",E2627="!!!",F2627="NEW"),"",INDEX(J$1:J2626,SUMPRODUCT(MAX(ROW(E$1:E2626)*(E2627=E$1:E2626)))))</f>
        <v> </v>
      </c>
      <c r="L2627" s="27"/>
    </row>
    <row r="2628" spans="1:12">
      <c r="A2628" s="20" t="s">
        <v>1169</v>
      </c>
      <c r="B2628" s="21" t="s">
        <v>745</v>
      </c>
      <c r="C2628" s="21" t="s">
        <v>686</v>
      </c>
      <c r="D2628" s="21" t="s">
        <v>687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 t="s">
        <v>1860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1483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1801</v>
      </c>
      <c r="B2631" s="21" t="s">
        <v>732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723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1861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761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1862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1816</v>
      </c>
      <c r="B2636" s="21" t="s">
        <v>822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692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/>
    </row>
    <row r="2639" spans="1:12">
      <c r="A2639" s="20" t="s">
        <v>1863</v>
      </c>
    </row>
    <row r="2640" spans="1:12">
      <c r="A2640" s="20" t="s">
        <v>707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 t="s">
        <v>365</v>
      </c>
      <c r="B2641" s="21" t="s">
        <v>685</v>
      </c>
      <c r="C2641" s="21" t="s">
        <v>741</v>
      </c>
      <c r="D2641" s="21" t="s">
        <v>687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788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 t="s">
        <v>1864</v>
      </c>
      <c r="E2643" s="22">
        <f>IF(D2643="?OLD","!!!","")</f>
        <v/>
      </c>
      <c r="F2643" s="23" t="str">
        <f>IF(OR(E2643="",E2643="!!!"),"",IF(NOT(ISNA(VLOOKUP(E2643,E$1:E2642,1,FALSE()))),"OLD",IF(AND(E2643&lt;&gt;"",E2643&lt;&gt;"!!!"),"NEW","")))</f>
        <v> </v>
      </c>
      <c r="G2643" s="24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5" t="str">
        <f>IF(J2643&lt;&gt;1,"",IF(I2643="SBJ","CB","?"))</f>
        <v> </v>
      </c>
      <c r="I2643" s="26" t="str">
        <f>IF(OR(E2643="",E2643="!!!",F2643="NEW"),"",INDEX(B2642:B$2,-1+SUMPRODUCT(MAX(ROW(E2642:E$2)*(E2643=E2642:E$2)))))</f>
        <v> </v>
      </c>
      <c r="J2643" s="26" t="str">
        <f>IF(OR(E2643="",E2643="!!!",F2643="NEW"),"",COUNTBLANK(OFFSET(A$1,,,SUMPRODUCT(MAX(ROW(E$2:E2643)*(E2643=E$2:E2643)))))-COUNTBLANK(OFFSET(A$1,,,SUMPRODUCT(MAX(ROW(E$1:E2642)*(E2=E$1:E2642))))))</f>
        <v> </v>
      </c>
      <c r="K2643" s="26" t="str">
        <f>IF(OR(E2643="",E2643="!!!",F2643="NEW"),"",INDEX(J$1:J2642,SUMPRODUCT(MAX(ROW(E$1:E2642)*(E2643=E$1:E2642)))))</f>
        <v> </v>
      </c>
      <c r="L2643" s="27"/>
    </row>
    <row r="2644" spans="1:12">
      <c r="A2644" s="20" t="s">
        <v>1865</v>
      </c>
      <c r="B2644" s="21" t="s">
        <v>861</v>
      </c>
      <c r="E2644" s="22">
        <f>IF(D2644="?OLD","!!!","")</f>
        <v/>
      </c>
      <c r="F2644" s="23" t="str">
        <f>IF(OR(E2644="",E2644="!!!"),"",IF(NOT(ISNA(VLOOKUP(E2644,E$1:E2643,1,FALSE()))),"OLD",IF(AND(E2644&lt;&gt;"",E2644&lt;&gt;"!!!"),"NEW","")))</f>
        <v> </v>
      </c>
      <c r="G2644" s="24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5" t="str">
        <f>IF(J2644&lt;&gt;1,"",IF(I2644="SBJ","CB","?"))</f>
        <v> </v>
      </c>
      <c r="I2644" s="26" t="str">
        <f>IF(OR(E2644="",E2644="!!!",F2644="NEW"),"",INDEX(B2643:B$2,-1+SUMPRODUCT(MAX(ROW(E2643:E$2)*(E2644=E2643:E$2)))))</f>
        <v> </v>
      </c>
      <c r="J2644" s="26" t="str">
        <f>IF(OR(E2644="",E2644="!!!",F2644="NEW"),"",COUNTBLANK(OFFSET(A$1,,,SUMPRODUCT(MAX(ROW(E$2:E2644)*(E2644=E$2:E2644)))))-COUNTBLANK(OFFSET(A$1,,,SUMPRODUCT(MAX(ROW(E$1:E2643)*(E2=E$1:E2643))))))</f>
        <v> </v>
      </c>
      <c r="K2644" s="26" t="str">
        <f>IF(OR(E2644="",E2644="!!!",F2644="NEW"),"",INDEX(J$1:J2643,SUMPRODUCT(MAX(ROW(E$1:E2643)*(E2644=E$1:E2643)))))</f>
        <v> </v>
      </c>
      <c r="L2644" s="27"/>
    </row>
    <row r="2645" spans="1:12">
      <c r="A2645" s="20" t="s">
        <v>692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/>
    </row>
    <row r="2647" spans="1:12">
      <c r="A2647" s="20" t="s">
        <v>1866</v>
      </c>
    </row>
    <row r="2648" spans="1:12">
      <c r="A2648" s="20" t="s">
        <v>707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1170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744</v>
      </c>
      <c r="B2650" s="21" t="s">
        <v>685</v>
      </c>
      <c r="C2650" s="21" t="s">
        <v>686</v>
      </c>
      <c r="D2650" s="21" t="s">
        <v>687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 t="s">
        <v>1201</v>
      </c>
      <c r="E2651" s="22">
        <f>IF(D2651="?OLD","!!!","")</f>
        <v/>
      </c>
      <c r="F2651" s="23" t="str">
        <f>IF(OR(E2651="",E2651="!!!"),"",IF(NOT(ISNA(VLOOKUP(E2651,E$1:E2650,1,FALSE()))),"OLD",IF(AND(E2651&lt;&gt;"",E2651&lt;&gt;"!!!"),"NEW","")))</f>
        <v> </v>
      </c>
      <c r="G2651" s="24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5" t="str">
        <f>IF(J2651&lt;&gt;1,"",IF(I2651="SBJ","CB","?"))</f>
        <v> </v>
      </c>
      <c r="I2651" s="26" t="str">
        <f>IF(OR(E2651="",E2651="!!!",F2651="NEW"),"",INDEX(B2650:B$2,-1+SUMPRODUCT(MAX(ROW(E2650:E$2)*(E2651=E2650:E$2)))))</f>
        <v> </v>
      </c>
      <c r="J2651" s="26" t="str">
        <f>IF(OR(E2651="",E2651="!!!",F2651="NEW"),"",COUNTBLANK(OFFSET(A$1,,,SUMPRODUCT(MAX(ROW(E$2:E2651)*(E2651=E$2:E2651)))))-COUNTBLANK(OFFSET(A$1,,,SUMPRODUCT(MAX(ROW(E$1:E2650)*(E2=E$1:E2650))))))</f>
        <v> </v>
      </c>
      <c r="K2651" s="26" t="str">
        <f>IF(OR(E2651="",E2651="!!!",F2651="NEW"),"",INDEX(J$1:J2650,SUMPRODUCT(MAX(ROW(E$1:E2650)*(E2651=E$1:E2650)))))</f>
        <v> </v>
      </c>
      <c r="L2651" s="27"/>
    </row>
    <row r="2652" spans="1:12">
      <c r="A2652" s="20" t="s">
        <v>1023</v>
      </c>
      <c r="E2652" s="22">
        <f>IF(D2652="?OLD","!!!","")</f>
        <v/>
      </c>
      <c r="F2652" s="23" t="str">
        <f>IF(OR(E2652="",E2652="!!!"),"",IF(NOT(ISNA(VLOOKUP(E2652,E$1:E2651,1,FALSE()))),"OLD",IF(AND(E2652&lt;&gt;"",E2652&lt;&gt;"!!!"),"NEW","")))</f>
        <v> </v>
      </c>
      <c r="G2652" s="24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5" t="str">
        <f>IF(J2652&lt;&gt;1,"",IF(I2652="SBJ","CB","?"))</f>
        <v> </v>
      </c>
      <c r="I2652" s="26" t="str">
        <f>IF(OR(E2652="",E2652="!!!",F2652="NEW"),"",INDEX(B2651:B$2,-1+SUMPRODUCT(MAX(ROW(E2651:E$2)*(E2652=E2651:E$2)))))</f>
        <v> </v>
      </c>
      <c r="J2652" s="26" t="str">
        <f>IF(OR(E2652="",E2652="!!!",F2652="NEW"),"",COUNTBLANK(OFFSET(A$1,,,SUMPRODUCT(MAX(ROW(E$2:E2652)*(E2652=E$2:E2652)))))-COUNTBLANK(OFFSET(A$1,,,SUMPRODUCT(MAX(ROW(E$1:E2651)*(E2=E$1:E2651))))))</f>
        <v> </v>
      </c>
      <c r="K2652" s="26" t="str">
        <f>IF(OR(E2652="",E2652="!!!",F2652="NEW"),"",INDEX(J$1:J2651,SUMPRODUCT(MAX(ROW(E$1:E2651)*(E2652=E$1:E2651)))))</f>
        <v> </v>
      </c>
      <c r="L2652" s="27"/>
    </row>
    <row r="2653" spans="1:12">
      <c r="A2653" s="20" t="s">
        <v>952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1867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689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1868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1869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 t="s">
        <v>712</v>
      </c>
      <c r="E2658" s="22">
        <f>IF(D2658="?OLD","!!!","")</f>
        <v/>
      </c>
      <c r="F2658" s="23" t="str">
        <f>IF(OR(E2658="",E2658="!!!"),"",IF(NOT(ISNA(VLOOKUP(E2658,E$1:E2657,1,FALSE()))),"OLD",IF(AND(E2658&lt;&gt;"",E2658&lt;&gt;"!!!"),"NEW","")))</f>
        <v> </v>
      </c>
      <c r="G2658" s="24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5" t="str">
        <f>IF(J2658&lt;&gt;1,"",IF(I2658="SBJ","CB","?"))</f>
        <v> </v>
      </c>
      <c r="I2658" s="26" t="str">
        <f>IF(OR(E2658="",E2658="!!!",F2658="NEW"),"",INDEX(B2657:B$2,-1+SUMPRODUCT(MAX(ROW(E2657:E$2)*(E2658=E2657:E$2)))))</f>
        <v> </v>
      </c>
      <c r="J2658" s="26" t="str">
        <f>IF(OR(E2658="",E2658="!!!",F2658="NEW"),"",COUNTBLANK(OFFSET(A$1,,,SUMPRODUCT(MAX(ROW(E$2:E2658)*(E2658=E$2:E2658)))))-COUNTBLANK(OFFSET(A$1,,,SUMPRODUCT(MAX(ROW(E$1:E2657)*(E2=E$1:E2657))))))</f>
        <v> </v>
      </c>
      <c r="K2658" s="26" t="str">
        <f>IF(OR(E2658="",E2658="!!!",F2658="NEW"),"",INDEX(J$1:J2657,SUMPRODUCT(MAX(ROW(E$1:E2657)*(E2658=E$1:E2657)))))</f>
        <v> </v>
      </c>
      <c r="L2658" s="27"/>
    </row>
    <row r="2659" spans="1:12">
      <c r="A2659" s="20" t="s">
        <v>1870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 t="s">
        <v>1277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712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1871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1598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1526</v>
      </c>
      <c r="B2664" s="21" t="s">
        <v>861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712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1125</v>
      </c>
      <c r="B2666" s="21" t="s">
        <v>720</v>
      </c>
      <c r="C2666" s="21" t="s">
        <v>717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746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775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1126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692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/>
    </row>
    <row r="2672" spans="1:12">
      <c r="A2672" s="20" t="s">
        <v>1872</v>
      </c>
    </row>
    <row r="2673" spans="1:12">
      <c r="A2673" s="20" t="s">
        <v>1371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594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692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/>
    </row>
    <row r="2677" spans="1:12">
      <c r="A2677" s="20" t="s">
        <v>1873</v>
      </c>
    </row>
    <row r="2678" spans="1:12">
      <c r="A2678" s="20" t="s">
        <v>1371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1874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692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/>
    </row>
    <row r="2682" spans="1:12">
      <c r="A2682" s="20" t="s">
        <v>1875</v>
      </c>
    </row>
    <row r="2683" spans="1:12">
      <c r="A2683" s="20" t="s">
        <v>707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801</v>
      </c>
      <c r="B2684" s="21" t="s">
        <v>685</v>
      </c>
      <c r="C2684" s="21" t="s">
        <v>686</v>
      </c>
      <c r="D2684" s="21" t="s">
        <v>687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1265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1876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689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1877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 t="s">
        <v>1023</v>
      </c>
      <c r="E2689" s="22">
        <f>IF(D2689="?OLD","!!!","")</f>
        <v/>
      </c>
      <c r="F2689" s="23" t="str">
        <f>IF(OR(E2689="",E2689="!!!"),"",IF(NOT(ISNA(VLOOKUP(E2689,E$1:E2688,1,FALSE()))),"OLD",IF(AND(E2689&lt;&gt;"",E2689&lt;&gt;"!!!"),"NEW","")))</f>
        <v> </v>
      </c>
      <c r="G2689" s="24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5" t="str">
        <f>IF(J2689&lt;&gt;1,"",IF(I2689="SBJ","CB","?"))</f>
        <v> </v>
      </c>
      <c r="I2689" s="26" t="str">
        <f>IF(OR(E2689="",E2689="!!!",F2689="NEW"),"",INDEX(B2688:B$2,-1+SUMPRODUCT(MAX(ROW(E2688:E$2)*(E2689=E2688:E$2)))))</f>
        <v> </v>
      </c>
      <c r="J2689" s="26" t="str">
        <f>IF(OR(E2689="",E2689="!!!",F2689="NEW"),"",COUNTBLANK(OFFSET(A$1,,,SUMPRODUCT(MAX(ROW(E$2:E2689)*(E2689=E$2:E2689)))))-COUNTBLANK(OFFSET(A$1,,,SUMPRODUCT(MAX(ROW(E$1:E2688)*(E2=E$1:E2688))))))</f>
        <v> </v>
      </c>
      <c r="K2689" s="26" t="str">
        <f>IF(OR(E2689="",E2689="!!!",F2689="NEW"),"",INDEX(J$1:J2688,SUMPRODUCT(MAX(ROW(E$1:E2688)*(E2689=E$1:E2688)))))</f>
        <v> </v>
      </c>
      <c r="L2689" s="27"/>
    </row>
    <row r="2690" spans="1:12">
      <c r="A2690" s="20" t="s">
        <v>1380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 t="s">
        <v>993</v>
      </c>
      <c r="B2691" s="21" t="s">
        <v>701</v>
      </c>
      <c r="C2691" s="21" t="s">
        <v>702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692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/>
    </row>
    <row r="2694" spans="1:12">
      <c r="A2694" s="20" t="s">
        <v>1878</v>
      </c>
    </row>
    <row r="2695" spans="1:12">
      <c r="A2695" s="20" t="s">
        <v>1879</v>
      </c>
      <c r="B2695" s="21" t="s">
        <v>701</v>
      </c>
      <c r="C2695" s="21" t="s">
        <v>729</v>
      </c>
      <c r="D2695" s="21" t="s">
        <v>687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1880</v>
      </c>
      <c r="B2696" s="21" t="s">
        <v>685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 t="s">
        <v>786</v>
      </c>
      <c r="E2697" s="22">
        <f>IF(D2697="?OLD","!!!","")</f>
        <v/>
      </c>
      <c r="F2697" s="23" t="str">
        <f>IF(OR(E2697="",E2697="!!!"),"",IF(NOT(ISNA(VLOOKUP(E2697,E$1:E2696,1,FALSE()))),"OLD",IF(AND(E2697&lt;&gt;"",E2697&lt;&gt;"!!!"),"NEW","")))</f>
        <v> </v>
      </c>
      <c r="G2697" s="24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5" t="str">
        <f>IF(J2697&lt;&gt;1,"",IF(I2697="SBJ","CB","?"))</f>
        <v> </v>
      </c>
      <c r="I2697" s="26" t="str">
        <f>IF(OR(E2697="",E2697="!!!",F2697="NEW"),"",INDEX(B2696:B$2,-1+SUMPRODUCT(MAX(ROW(E2696:E$2)*(E2697=E2696:E$2)))))</f>
        <v> </v>
      </c>
      <c r="J2697" s="26" t="str">
        <f>IF(OR(E2697="",E2697="!!!",F2697="NEW"),"",COUNTBLANK(OFFSET(A$1,,,SUMPRODUCT(MAX(ROW(E$2:E2697)*(E2697=E$2:E2697)))))-COUNTBLANK(OFFSET(A$1,,,SUMPRODUCT(MAX(ROW(E$1:E2696)*(E2=E$1:E2696))))))</f>
        <v> </v>
      </c>
      <c r="K2697" s="26" t="str">
        <f>IF(OR(E2697="",E2697="!!!",F2697="NEW"),"",INDEX(J$1:J2696,SUMPRODUCT(MAX(ROW(E$1:E2696)*(E2697=E$1:E2696)))))</f>
        <v> </v>
      </c>
      <c r="L2697" s="27"/>
    </row>
    <row r="2698" spans="1:12">
      <c r="A2698" s="20" t="s">
        <v>1058</v>
      </c>
      <c r="E2698" s="22">
        <f>IF(D2698="?OLD","!!!","")</f>
        <v/>
      </c>
      <c r="F2698" s="23" t="str">
        <f>IF(OR(E2698="",E2698="!!!"),"",IF(NOT(ISNA(VLOOKUP(E2698,E$1:E2697,1,FALSE()))),"OLD",IF(AND(E2698&lt;&gt;"",E2698&lt;&gt;"!!!"),"NEW","")))</f>
        <v> </v>
      </c>
      <c r="G2698" s="24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5" t="str">
        <f>IF(J2698&lt;&gt;1,"",IF(I2698="SBJ","CB","?"))</f>
        <v> </v>
      </c>
      <c r="I2698" s="26" t="str">
        <f>IF(OR(E2698="",E2698="!!!",F2698="NEW"),"",INDEX(B2697:B$2,-1+SUMPRODUCT(MAX(ROW(E2697:E$2)*(E2698=E2697:E$2)))))</f>
        <v> </v>
      </c>
      <c r="J2698" s="26" t="str">
        <f>IF(OR(E2698="",E2698="!!!",F2698="NEW"),"",COUNTBLANK(OFFSET(A$1,,,SUMPRODUCT(MAX(ROW(E$2:E2698)*(E2698=E$2:E2698)))))-COUNTBLANK(OFFSET(A$1,,,SUMPRODUCT(MAX(ROW(E$1:E2697)*(E2=E$1:E2697))))))</f>
        <v> </v>
      </c>
      <c r="K2698" s="26" t="str">
        <f>IF(OR(E2698="",E2698="!!!",F2698="NEW"),"",INDEX(J$1:J2697,SUMPRODUCT(MAX(ROW(E$1:E2697)*(E2698=E$1:E2697)))))</f>
        <v> </v>
      </c>
      <c r="L2698" s="27"/>
    </row>
    <row r="2699" spans="1:12">
      <c r="A2699" s="20" t="s">
        <v>1881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1882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1716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692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/>
    </row>
    <row r="2704" spans="1:12">
      <c r="A2704" s="20" t="s">
        <v>1883</v>
      </c>
    </row>
    <row r="2705" spans="1:12">
      <c r="A2705" s="20" t="s">
        <v>1762</v>
      </c>
      <c r="B2705" s="21" t="s">
        <v>685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1884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712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 t="s">
        <v>742</v>
      </c>
      <c r="E2708" s="22">
        <f>IF(D2708="?OLD","!!!","")</f>
        <v/>
      </c>
      <c r="F2708" s="23" t="str">
        <f>IF(OR(E2708="",E2708="!!!"),"",IF(NOT(ISNA(VLOOKUP(E2708,E$1:E2707,1,FALSE()))),"OLD",IF(AND(E2708&lt;&gt;"",E2708&lt;&gt;"!!!"),"NEW","")))</f>
        <v> </v>
      </c>
      <c r="G2708" s="24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5" t="str">
        <f>IF(J2708&lt;&gt;1,"",IF(I2708="SBJ","CB","?"))</f>
        <v> </v>
      </c>
      <c r="I2708" s="26" t="str">
        <f>IF(OR(E2708="",E2708="!!!",F2708="NEW"),"",INDEX(B2707:B$2,-1+SUMPRODUCT(MAX(ROW(E2707:E$2)*(E2708=E2707:E$2)))))</f>
        <v> </v>
      </c>
      <c r="J2708" s="26" t="str">
        <f>IF(OR(E2708="",E2708="!!!",F2708="NEW"),"",COUNTBLANK(OFFSET(A$1,,,SUMPRODUCT(MAX(ROW(E$2:E2708)*(E2708=E$2:E2708)))))-COUNTBLANK(OFFSET(A$1,,,SUMPRODUCT(MAX(ROW(E$1:E2707)*(E2=E$1:E2707))))))</f>
        <v> </v>
      </c>
      <c r="K2708" s="26" t="str">
        <f>IF(OR(E2708="",E2708="!!!",F2708="NEW"),"",INDEX(J$1:J2707,SUMPRODUCT(MAX(ROW(E$1:E2707)*(E2708=E$1:E2707)))))</f>
        <v> </v>
      </c>
      <c r="L2708" s="27"/>
    </row>
    <row r="2709" spans="1:12">
      <c r="A2709" s="20" t="s">
        <v>712</v>
      </c>
      <c r="E2709" s="22">
        <f>IF(D2709="?OLD","!!!","")</f>
        <v/>
      </c>
      <c r="F2709" s="23" t="str">
        <f>IF(OR(E2709="",E2709="!!!"),"",IF(NOT(ISNA(VLOOKUP(E2709,E$1:E2708,1,FALSE()))),"OLD",IF(AND(E2709&lt;&gt;"",E2709&lt;&gt;"!!!"),"NEW","")))</f>
        <v> </v>
      </c>
      <c r="G2709" s="24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5" t="str">
        <f>IF(J2709&lt;&gt;1,"",IF(I2709="SBJ","CB","?"))</f>
        <v> </v>
      </c>
      <c r="I2709" s="26" t="str">
        <f>IF(OR(E2709="",E2709="!!!",F2709="NEW"),"",INDEX(B2708:B$2,-1+SUMPRODUCT(MAX(ROW(E2708:E$2)*(E2709=E2708:E$2)))))</f>
        <v> </v>
      </c>
      <c r="J2709" s="26" t="str">
        <f>IF(OR(E2709="",E2709="!!!",F2709="NEW"),"",COUNTBLANK(OFFSET(A$1,,,SUMPRODUCT(MAX(ROW(E$2:E2709)*(E2709=E$2:E2709)))))-COUNTBLANK(OFFSET(A$1,,,SUMPRODUCT(MAX(ROW(E$1:E2708)*(E2=E$1:E2708))))))</f>
        <v> </v>
      </c>
      <c r="K2709" s="26" t="str">
        <f>IF(OR(E2709="",E2709="!!!",F2709="NEW"),"",INDEX(J$1:J2708,SUMPRODUCT(MAX(ROW(E$1:E2708)*(E2709=E$1:E2708)))))</f>
        <v> </v>
      </c>
      <c r="L2709" s="27"/>
    </row>
    <row r="2710" spans="1:12">
      <c r="A2710" s="20" t="s">
        <v>1885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712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735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712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744</v>
      </c>
      <c r="B2714" s="21" t="s">
        <v>802</v>
      </c>
      <c r="C2714" s="21" t="s">
        <v>686</v>
      </c>
      <c r="D2714" s="21" t="s">
        <v>687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1886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848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877</v>
      </c>
      <c r="B2717" s="21" t="s">
        <v>701</v>
      </c>
      <c r="C2717" s="21" t="s">
        <v>737</v>
      </c>
      <c r="D2717" s="21" t="s">
        <v>687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757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959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723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1887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761</v>
      </c>
      <c r="B2722" s="21" t="s">
        <v>720</v>
      </c>
      <c r="C2722" s="21" t="s">
        <v>686</v>
      </c>
      <c r="D2722" s="21" t="s">
        <v>687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 t="s">
        <v>689</v>
      </c>
      <c r="E2723" s="22">
        <f>IF(D2723="?OLD","!!!","")</f>
        <v/>
      </c>
      <c r="F2723" s="23" t="str">
        <f>IF(OR(E2723="",E2723="!!!"),"",IF(NOT(ISNA(VLOOKUP(E2723,E$1:E2722,1,FALSE()))),"OLD",IF(AND(E2723&lt;&gt;"",E2723&lt;&gt;"!!!"),"NEW","")))</f>
        <v> </v>
      </c>
      <c r="G2723" s="24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5" t="str">
        <f>IF(J2723&lt;&gt;1,"",IF(I2723="SBJ","CB","?"))</f>
        <v> </v>
      </c>
      <c r="I2723" s="26" t="str">
        <f>IF(OR(E2723="",E2723="!!!",F2723="NEW"),"",INDEX(B2722:B$2,-1+SUMPRODUCT(MAX(ROW(E2722:E$2)*(E2723=E2722:E$2)))))</f>
        <v> </v>
      </c>
      <c r="J2723" s="26" t="str">
        <f>IF(OR(E2723="",E2723="!!!",F2723="NEW"),"",COUNTBLANK(OFFSET(A$1,,,SUMPRODUCT(MAX(ROW(E$2:E2723)*(E2723=E$2:E2723)))))-COUNTBLANK(OFFSET(A$1,,,SUMPRODUCT(MAX(ROW(E$1:E2722)*(E2=E$1:E2722))))))</f>
        <v> </v>
      </c>
      <c r="K2723" s="26" t="str">
        <f>IF(OR(E2723="",E2723="!!!",F2723="NEW"),"",INDEX(J$1:J2722,SUMPRODUCT(MAX(ROW(E$1:E2722)*(E2723=E$1:E2722)))))</f>
        <v> </v>
      </c>
      <c r="L2723" s="27"/>
    </row>
    <row r="2724" spans="1:12">
      <c r="A2724" s="20" t="s">
        <v>1888</v>
      </c>
      <c r="B2724" s="21" t="s">
        <v>797</v>
      </c>
      <c r="C2724" s="21" t="s">
        <v>805</v>
      </c>
      <c r="D2724" s="21" t="s">
        <v>687</v>
      </c>
      <c r="E2724" s="22">
        <f>IF(D2724="?OLD","!!!","")</f>
        <v/>
      </c>
      <c r="F2724" s="23" t="str">
        <f>IF(OR(E2724="",E2724="!!!"),"",IF(NOT(ISNA(VLOOKUP(E2724,E$1:E2723,1,FALSE()))),"OLD",IF(AND(E2724&lt;&gt;"",E2724&lt;&gt;"!!!"),"NEW","")))</f>
        <v> </v>
      </c>
      <c r="G2724" s="24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5" t="str">
        <f>IF(J2724&lt;&gt;1,"",IF(I2724="SBJ","CB","?"))</f>
        <v> </v>
      </c>
      <c r="I2724" s="26" t="str">
        <f>IF(OR(E2724="",E2724="!!!",F2724="NEW"),"",INDEX(B2723:B$2,-1+SUMPRODUCT(MAX(ROW(E2723:E$2)*(E2724=E2723:E$2)))))</f>
        <v> </v>
      </c>
      <c r="J2724" s="26" t="str">
        <f>IF(OR(E2724="",E2724="!!!",F2724="NEW"),"",COUNTBLANK(OFFSET(A$1,,,SUMPRODUCT(MAX(ROW(E$2:E2724)*(E2724=E$2:E2724)))))-COUNTBLANK(OFFSET(A$1,,,SUMPRODUCT(MAX(ROW(E$1:E2723)*(E2=E$1:E2723))))))</f>
        <v> </v>
      </c>
      <c r="K2724" s="26" t="str">
        <f>IF(OR(E2724="",E2724="!!!",F2724="NEW"),"",INDEX(J$1:J2723,SUMPRODUCT(MAX(ROW(E$1:E2723)*(E2724=E$1:E2723)))))</f>
        <v> </v>
      </c>
      <c r="L2724" s="27"/>
    </row>
    <row r="2725" spans="1:12">
      <c r="A2725" s="20" t="s">
        <v>692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/>
    </row>
    <row r="2727" spans="1:12">
      <c r="A2727" s="20" t="s">
        <v>1889</v>
      </c>
    </row>
    <row r="2728" spans="1:12">
      <c r="A2728" s="20" t="s">
        <v>928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776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719</v>
      </c>
      <c r="B2730" s="21" t="s">
        <v>705</v>
      </c>
      <c r="C2730" s="21" t="s">
        <v>686</v>
      </c>
      <c r="D2730" s="21" t="s">
        <v>687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1890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709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1223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1856</v>
      </c>
      <c r="B2734" s="21" t="s">
        <v>685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1891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1765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712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 t="s">
        <v>1426</v>
      </c>
      <c r="E2738" s="22">
        <f>IF(D2738="?OLD","!!!","")</f>
        <v/>
      </c>
      <c r="F2738" s="23" t="str">
        <f>IF(OR(E2738="",E2738="!!!"),"",IF(NOT(ISNA(VLOOKUP(E2738,E$1:E2737,1,FALSE()))),"OLD",IF(AND(E2738&lt;&gt;"",E2738&lt;&gt;"!!!"),"NEW","")))</f>
        <v> </v>
      </c>
      <c r="G2738" s="24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5" t="str">
        <f>IF(J2738&lt;&gt;1,"",IF(I2738="SBJ","CB","?"))</f>
        <v> </v>
      </c>
      <c r="I2738" s="26" t="str">
        <f>IF(OR(E2738="",E2738="!!!",F2738="NEW"),"",INDEX(B2737:B$2,-1+SUMPRODUCT(MAX(ROW(E2737:E$2)*(E2738=E2737:E$2)))))</f>
        <v> </v>
      </c>
      <c r="J2738" s="26" t="str">
        <f>IF(OR(E2738="",E2738="!!!",F2738="NEW"),"",COUNTBLANK(OFFSET(A$1,,,SUMPRODUCT(MAX(ROW(E$2:E2738)*(E2738=E$2:E2738)))))-COUNTBLANK(OFFSET(A$1,,,SUMPRODUCT(MAX(ROW(E$1:E2737)*(E2=E$1:E2737))))))</f>
        <v> </v>
      </c>
      <c r="K2738" s="26" t="str">
        <f>IF(OR(E2738="",E2738="!!!",F2738="NEW"),"",INDEX(J$1:J2737,SUMPRODUCT(MAX(ROW(E$1:E2737)*(E2738=E$1:E2737)))))</f>
        <v> </v>
      </c>
      <c r="L2738" s="27"/>
    </row>
    <row r="2739" spans="1:12">
      <c r="A2739" s="20" t="s">
        <v>1865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712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929</v>
      </c>
      <c r="B2741" s="21" t="s">
        <v>745</v>
      </c>
      <c r="C2741" s="21" t="s">
        <v>717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695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1117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1892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 t="s">
        <v>692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/>
    </row>
    <row r="2747" spans="1:12">
      <c r="A2747" s="20" t="s">
        <v>1893</v>
      </c>
    </row>
    <row r="2748" spans="1:12">
      <c r="A2748" s="20" t="s">
        <v>943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712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1894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801</v>
      </c>
      <c r="B2751" s="21" t="s">
        <v>685</v>
      </c>
      <c r="C2751" s="21" t="s">
        <v>686</v>
      </c>
      <c r="D2751" s="21" t="s">
        <v>687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757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1346</v>
      </c>
      <c r="B2753" s="21" t="s">
        <v>705</v>
      </c>
      <c r="C2753" s="21" t="s">
        <v>741</v>
      </c>
      <c r="D2753" s="21" t="s">
        <v>687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1018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1333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1895</v>
      </c>
      <c r="B2756" s="21" t="s">
        <v>780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1746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/>
    </row>
    <row r="2759" spans="1:12">
      <c r="A2759" s="20" t="s">
        <v>1896</v>
      </c>
    </row>
    <row r="2760" spans="1:12">
      <c r="A2760" s="20" t="s">
        <v>1897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1898</v>
      </c>
      <c r="B2761" s="21" t="s">
        <v>861</v>
      </c>
      <c r="C2761" s="21" t="s">
        <v>1133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619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1746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/>
    </row>
    <row r="2765" spans="1:12">
      <c r="A2765" s="20" t="s">
        <v>1899</v>
      </c>
    </row>
    <row r="2766" spans="1:12">
      <c r="A2766" s="20" t="s">
        <v>684</v>
      </c>
      <c r="B2766" s="21" t="s">
        <v>685</v>
      </c>
      <c r="C2766" s="21" t="s">
        <v>686</v>
      </c>
      <c r="D2766" s="21" t="s">
        <v>687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1900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 t="s">
        <v>712</v>
      </c>
      <c r="E2768" s="22">
        <f>IF(D2768="?OLD","!!!","")</f>
        <v/>
      </c>
      <c r="F2768" s="23" t="str">
        <f>IF(OR(E2768="",E2768="!!!"),"",IF(NOT(ISNA(VLOOKUP(E2768,E$1:E2767,1,FALSE()))),"OLD",IF(AND(E2768&lt;&gt;"",E2768&lt;&gt;"!!!"),"NEW","")))</f>
        <v> </v>
      </c>
      <c r="G2768" s="24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5" t="str">
        <f>IF(J2768&lt;&gt;1,"",IF(I2768="SBJ","CB","?"))</f>
        <v> </v>
      </c>
      <c r="I2768" s="26" t="str">
        <f>IF(OR(E2768="",E2768="!!!",F2768="NEW"),"",INDEX(B2767:B$2,-1+SUMPRODUCT(MAX(ROW(E2767:E$2)*(E2768=E2767:E$2)))))</f>
        <v> </v>
      </c>
      <c r="J2768" s="26" t="str">
        <f>IF(OR(E2768="",E2768="!!!",F2768="NEW"),"",COUNTBLANK(OFFSET(A$1,,,SUMPRODUCT(MAX(ROW(E$2:E2768)*(E2768=E$2:E2768)))))-COUNTBLANK(OFFSET(A$1,,,SUMPRODUCT(MAX(ROW(E$1:E2767)*(E2=E$1:E2767))))))</f>
        <v> </v>
      </c>
      <c r="K2768" s="26" t="str">
        <f>IF(OR(E2768="",E2768="!!!",F2768="NEW"),"",INDEX(J$1:J2767,SUMPRODUCT(MAX(ROW(E$1:E2767)*(E2768=E$1:E2767)))))</f>
        <v> </v>
      </c>
      <c r="L2768" s="27"/>
    </row>
    <row r="2769" spans="1:12">
      <c r="A2769" s="20" t="s">
        <v>695</v>
      </c>
      <c r="E2769" s="22">
        <f>IF(D2769="?OLD","!!!","")</f>
        <v/>
      </c>
      <c r="F2769" s="23" t="str">
        <f>IF(OR(E2769="",E2769="!!!"),"",IF(NOT(ISNA(VLOOKUP(E2769,E$1:E2768,1,FALSE()))),"OLD",IF(AND(E2769&lt;&gt;"",E2769&lt;&gt;"!!!"),"NEW","")))</f>
        <v> </v>
      </c>
      <c r="G2769" s="24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5" t="str">
        <f>IF(J2769&lt;&gt;1,"",IF(I2769="SBJ","CB","?"))</f>
        <v> </v>
      </c>
      <c r="I2769" s="26" t="str">
        <f>IF(OR(E2769="",E2769="!!!",F2769="NEW"),"",INDEX(B2768:B$2,-1+SUMPRODUCT(MAX(ROW(E2768:E$2)*(E2769=E2768:E$2)))))</f>
        <v> </v>
      </c>
      <c r="J2769" s="26" t="str">
        <f>IF(OR(E2769="",E2769="!!!",F2769="NEW"),"",COUNTBLANK(OFFSET(A$1,,,SUMPRODUCT(MAX(ROW(E$2:E2769)*(E2769=E$2:E2769)))))-COUNTBLANK(OFFSET(A$1,,,SUMPRODUCT(MAX(ROW(E$1:E2768)*(E2=E$1:E2768))))))</f>
        <v> </v>
      </c>
      <c r="K2769" s="26" t="str">
        <f>IF(OR(E2769="",E2769="!!!",F2769="NEW"),"",INDEX(J$1:J2768,SUMPRODUCT(MAX(ROW(E$1:E2768)*(E2769=E$1:E2768)))))</f>
        <v> </v>
      </c>
      <c r="L2769" s="27"/>
    </row>
    <row r="2770" spans="1:12">
      <c r="A2770" s="20" t="s">
        <v>1901</v>
      </c>
      <c r="E2770" s="22">
        <f>IF(D2770="?OLD","!!!","")</f>
        <v/>
      </c>
      <c r="F2770" s="23" t="str">
        <f>IF(OR(E2770="",E2770="!!!"),"",IF(NOT(ISNA(VLOOKUP(E2770,E$1:E2769,1,FALSE()))),"OLD",IF(AND(E2770&lt;&gt;"",E2770&lt;&gt;"!!!"),"NEW","")))</f>
        <v> </v>
      </c>
      <c r="G2770" s="24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5" t="str">
        <f>IF(J2770&lt;&gt;1,"",IF(I2770="SBJ","CB","?"))</f>
        <v> </v>
      </c>
      <c r="I2770" s="26" t="str">
        <f>IF(OR(E2770="",E2770="!!!",F2770="NEW"),"",INDEX(B2769:B$2,-1+SUMPRODUCT(MAX(ROW(E2769:E$2)*(E2770=E2769:E$2)))))</f>
        <v> </v>
      </c>
      <c r="J2770" s="26" t="str">
        <f>IF(OR(E2770="",E2770="!!!",F2770="NEW"),"",COUNTBLANK(OFFSET(A$1,,,SUMPRODUCT(MAX(ROW(E$2:E2770)*(E2770=E$2:E2770)))))-COUNTBLANK(OFFSET(A$1,,,SUMPRODUCT(MAX(ROW(E$1:E2769)*(E2=E$1:E2769))))))</f>
        <v> </v>
      </c>
      <c r="K2770" s="26" t="str">
        <f>IF(OR(E2770="",E2770="!!!",F2770="NEW"),"",INDEX(J$1:J2769,SUMPRODUCT(MAX(ROW(E$1:E2769)*(E2770=E$1:E2769)))))</f>
        <v> </v>
      </c>
      <c r="L2770" s="27"/>
    </row>
    <row r="2771" spans="1:12">
      <c r="A2771" s="20" t="s">
        <v>1902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712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736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692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/>
    </row>
    <row r="2776" spans="1:12">
      <c r="A2776" s="20" t="s">
        <v>1903</v>
      </c>
    </row>
    <row r="2777" spans="1:12">
      <c r="A2777" s="20" t="s">
        <v>1904</v>
      </c>
      <c r="B2777" s="21" t="s">
        <v>705</v>
      </c>
      <c r="C2777" s="21" t="s">
        <v>729</v>
      </c>
      <c r="D2777" s="21" t="s">
        <v>687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1905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626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692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/>
    </row>
    <row r="2782" spans="1:12">
      <c r="A2782" s="20" t="s">
        <v>1906</v>
      </c>
    </row>
    <row r="2783" spans="1:12">
      <c r="A2783" s="20" t="s">
        <v>1020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759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365</v>
      </c>
      <c r="B2785" s="21" t="s">
        <v>802</v>
      </c>
      <c r="C2785" s="21" t="s">
        <v>741</v>
      </c>
      <c r="D2785" s="21" t="s">
        <v>687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626</v>
      </c>
      <c r="B2786" s="21" t="s">
        <v>685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712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1907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689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930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931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1908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1376</v>
      </c>
      <c r="B2793" s="21" t="s">
        <v>732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692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/>
    </row>
    <row r="2796" spans="1:12">
      <c r="A2796" s="20" t="s">
        <v>1909</v>
      </c>
    </row>
    <row r="2797" spans="1:12">
      <c r="A2797" s="20" t="s">
        <v>707</v>
      </c>
      <c r="E2797" s="22">
        <f>IF(D2797="?OLD","!!!","")</f>
        <v/>
      </c>
      <c r="F2797" s="23" t="str">
        <f>IF(OR(E2797="",E2797="!!!"),"",IF(NOT(ISNA(VLOOKUP(E2797,E$1:E2796,1,FALSE()))),"OLD",IF(AND(E2797&lt;&gt;"",E2797&lt;&gt;"!!!"),"NEW","")))</f>
        <v> </v>
      </c>
      <c r="G2797" s="24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5" t="str">
        <f>IF(J2797&lt;&gt;1,"",IF(I2797="SBJ","CB","?"))</f>
        <v> </v>
      </c>
      <c r="I2797" s="26" t="str">
        <f>IF(OR(E2797="",E2797="!!!",F2797="NEW"),"",INDEX(B2796:B$2,-1+SUMPRODUCT(MAX(ROW(E2796:E$2)*(E2797=E2796:E$2)))))</f>
        <v> </v>
      </c>
      <c r="J2797" s="26" t="str">
        <f>IF(OR(E2797="",E2797="!!!",F2797="NEW"),"",COUNTBLANK(OFFSET(A$1,,,SUMPRODUCT(MAX(ROW(E$2:E2797)*(E2797=E$2:E2797)))))-COUNTBLANK(OFFSET(A$1,,,SUMPRODUCT(MAX(ROW(E$1:E2796)*(E2=E$1:E2796))))))</f>
        <v> </v>
      </c>
      <c r="K2797" s="26" t="str">
        <f>IF(OR(E2797="",E2797="!!!",F2797="NEW"),"",INDEX(J$1:J2796,SUMPRODUCT(MAX(ROW(E$1:E2796)*(E2797=E$1:E2796)))))</f>
        <v> </v>
      </c>
      <c r="L2797" s="27"/>
    </row>
    <row r="2798" spans="1:12">
      <c r="A2798" s="20" t="s">
        <v>1816</v>
      </c>
      <c r="B2798" s="21" t="s">
        <v>685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786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1910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1911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1182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1890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712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1912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860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1913</v>
      </c>
      <c r="B2807" s="21" t="s">
        <v>705</v>
      </c>
      <c r="C2807" s="21" t="s">
        <v>702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695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792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692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/>
    </row>
    <row r="2812" spans="1:12">
      <c r="A2812" s="20" t="s">
        <v>1914</v>
      </c>
    </row>
    <row r="2813" spans="1:12">
      <c r="A2813" s="20" t="s">
        <v>1915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1916</v>
      </c>
      <c r="B2814" s="21" t="s">
        <v>685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1917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 t="s">
        <v>1918</v>
      </c>
      <c r="E2816" s="22">
        <f>IF(D2816="?OLD","!!!","")</f>
        <v/>
      </c>
      <c r="F2816" s="23" t="str">
        <f>IF(OR(E2816="",E2816="!!!"),"",IF(NOT(ISNA(VLOOKUP(E2816,E$1:E2815,1,FALSE()))),"OLD",IF(AND(E2816&lt;&gt;"",E2816&lt;&gt;"!!!"),"NEW","")))</f>
        <v> </v>
      </c>
      <c r="G2816" s="24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5" t="str">
        <f>IF(J2816&lt;&gt;1,"",IF(I2816="SBJ","CB","?"))</f>
        <v> </v>
      </c>
      <c r="I2816" s="26" t="str">
        <f>IF(OR(E2816="",E2816="!!!",F2816="NEW"),"",INDEX(B2815:B$2,-1+SUMPRODUCT(MAX(ROW(E2815:E$2)*(E2816=E2815:E$2)))))</f>
        <v> </v>
      </c>
      <c r="J2816" s="26" t="str">
        <f>IF(OR(E2816="",E2816="!!!",F2816="NEW"),"",COUNTBLANK(OFFSET(A$1,,,SUMPRODUCT(MAX(ROW(E$2:E2816)*(E2816=E$2:E2816)))))-COUNTBLANK(OFFSET(A$1,,,SUMPRODUCT(MAX(ROW(E$1:E2815)*(E2=E$1:E2815))))))</f>
        <v> </v>
      </c>
      <c r="K2816" s="26" t="str">
        <f>IF(OR(E2816="",E2816="!!!",F2816="NEW"),"",INDEX(J$1:J2815,SUMPRODUCT(MAX(ROW(E$1:E2815)*(E2816=E$1:E2815)))))</f>
        <v> </v>
      </c>
      <c r="L2816" s="27"/>
    </row>
    <row r="2817" spans="1:12">
      <c r="A2817" s="20" t="s">
        <v>851</v>
      </c>
      <c r="B2817" s="21" t="s">
        <v>705</v>
      </c>
      <c r="C2817" s="21" t="s">
        <v>686</v>
      </c>
      <c r="D2817" s="21" t="s">
        <v>687</v>
      </c>
      <c r="E2817" s="22">
        <f>IF(D2817="?OLD","!!!","")</f>
        <v/>
      </c>
      <c r="F2817" s="23" t="str">
        <f>IF(OR(E2817="",E2817="!!!"),"",IF(NOT(ISNA(VLOOKUP(E2817,E$1:E2816,1,FALSE()))),"OLD",IF(AND(E2817&lt;&gt;"",E2817&lt;&gt;"!!!"),"NEW","")))</f>
        <v> </v>
      </c>
      <c r="G2817" s="24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5" t="str">
        <f>IF(J2817&lt;&gt;1,"",IF(I2817="SBJ","CB","?"))</f>
        <v> </v>
      </c>
      <c r="I2817" s="26" t="str">
        <f>IF(OR(E2817="",E2817="!!!",F2817="NEW"),"",INDEX(B2816:B$2,-1+SUMPRODUCT(MAX(ROW(E2816:E$2)*(E2817=E2816:E$2)))))</f>
        <v> </v>
      </c>
      <c r="J2817" s="26" t="str">
        <f>IF(OR(E2817="",E2817="!!!",F2817="NEW"),"",COUNTBLANK(OFFSET(A$1,,,SUMPRODUCT(MAX(ROW(E$2:E2817)*(E2817=E$2:E2817)))))-COUNTBLANK(OFFSET(A$1,,,SUMPRODUCT(MAX(ROW(E$1:E2816)*(E2=E$1:E2816))))))</f>
        <v> </v>
      </c>
      <c r="K2817" s="26" t="str">
        <f>IF(OR(E2817="",E2817="!!!",F2817="NEW"),"",INDEX(J$1:J2816,SUMPRODUCT(MAX(ROW(E$1:E2816)*(E2817=E$1:E2816)))))</f>
        <v> </v>
      </c>
      <c r="L2817" s="27"/>
    </row>
    <row r="2818" spans="1:12">
      <c r="A2818" s="20" t="s">
        <v>723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1919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1452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 t="s">
        <v>1920</v>
      </c>
      <c r="B2821" s="21" t="s">
        <v>720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692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/>
    </row>
    <row r="2824" spans="1:12">
      <c r="A2824" s="20" t="s">
        <v>1921</v>
      </c>
    </row>
    <row r="2825" spans="1:12">
      <c r="A2825" s="20" t="s">
        <v>707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 t="s">
        <v>744</v>
      </c>
      <c r="B2826" s="21" t="s">
        <v>685</v>
      </c>
      <c r="C2826" s="21" t="s">
        <v>686</v>
      </c>
      <c r="D2826" s="21" t="s">
        <v>687</v>
      </c>
      <c r="E2826" s="22">
        <f>IF(D2826="?OLD","!!!","")</f>
        <v/>
      </c>
      <c r="F2826" s="23" t="str">
        <f>IF(OR(E2826="",E2826="!!!"),"",IF(NOT(ISNA(VLOOKUP(E2826,E$1:E2825,1,FALSE()))),"OLD",IF(AND(E2826&lt;&gt;"",E2826&lt;&gt;"!!!"),"NEW","")))</f>
        <v> </v>
      </c>
      <c r="G2826" s="24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5" t="str">
        <f>IF(J2826&lt;&gt;1,"",IF(I2826="SBJ","CB","?"))</f>
        <v> </v>
      </c>
      <c r="I2826" s="26" t="str">
        <f>IF(OR(E2826="",E2826="!!!",F2826="NEW"),"",INDEX(B2825:B$2,-1+SUMPRODUCT(MAX(ROW(E2825:E$2)*(E2826=E2825:E$2)))))</f>
        <v> </v>
      </c>
      <c r="J2826" s="26" t="str">
        <f>IF(OR(E2826="",E2826="!!!",F2826="NEW"),"",COUNTBLANK(OFFSET(A$1,,,SUMPRODUCT(MAX(ROW(E$2:E2826)*(E2826=E$2:E2826)))))-COUNTBLANK(OFFSET(A$1,,,SUMPRODUCT(MAX(ROW(E$1:E2825)*(E2=E$1:E2825))))))</f>
        <v> </v>
      </c>
      <c r="K2826" s="26" t="str">
        <f>IF(OR(E2826="",E2826="!!!",F2826="NEW"),"",INDEX(J$1:J2825,SUMPRODUCT(MAX(ROW(E$1:E2825)*(E2826=E$1:E2825)))))</f>
        <v> </v>
      </c>
      <c r="L2826" s="27"/>
    </row>
    <row r="2827" spans="1:12">
      <c r="A2827" s="20" t="s">
        <v>1546</v>
      </c>
      <c r="E2827" s="22">
        <f>IF(D2827="?OLD","!!!","")</f>
        <v/>
      </c>
      <c r="F2827" s="23" t="str">
        <f>IF(OR(E2827="",E2827="!!!"),"",IF(NOT(ISNA(VLOOKUP(E2827,E$1:E2826,1,FALSE()))),"OLD",IF(AND(E2827&lt;&gt;"",E2827&lt;&gt;"!!!"),"NEW","")))</f>
        <v> </v>
      </c>
      <c r="G2827" s="24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5" t="str">
        <f>IF(J2827&lt;&gt;1,"",IF(I2827="SBJ","CB","?"))</f>
        <v> </v>
      </c>
      <c r="I2827" s="26" t="str">
        <f>IF(OR(E2827="",E2827="!!!",F2827="NEW"),"",INDEX(B2826:B$2,-1+SUMPRODUCT(MAX(ROW(E2826:E$2)*(E2827=E2826:E$2)))))</f>
        <v> </v>
      </c>
      <c r="J2827" s="26" t="str">
        <f>IF(OR(E2827="",E2827="!!!",F2827="NEW"),"",COUNTBLANK(OFFSET(A$1,,,SUMPRODUCT(MAX(ROW(E$2:E2827)*(E2827=E$2:E2827)))))-COUNTBLANK(OFFSET(A$1,,,SUMPRODUCT(MAX(ROW(E$1:E2826)*(E2=E$1:E2826))))))</f>
        <v> </v>
      </c>
      <c r="K2827" s="26" t="str">
        <f>IF(OR(E2827="",E2827="!!!",F2827="NEW"),"",INDEX(J$1:J2826,SUMPRODUCT(MAX(ROW(E$1:E2826)*(E2827=E$1:E2826)))))</f>
        <v> </v>
      </c>
      <c r="L2827" s="27"/>
    </row>
    <row r="2828" spans="1:12">
      <c r="A2828" s="20" t="s">
        <v>752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1922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1923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823</v>
      </c>
      <c r="B2831" s="21" t="s">
        <v>720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1924</v>
      </c>
      <c r="B2832" s="21" t="s">
        <v>720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692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/>
    </row>
    <row r="2835" spans="1:12">
      <c r="A2835" s="20" t="s">
        <v>1925</v>
      </c>
    </row>
    <row r="2836" spans="1:12">
      <c r="A2836" s="20" t="s">
        <v>1926</v>
      </c>
      <c r="B2836" s="21" t="s">
        <v>685</v>
      </c>
      <c r="E2836" s="22">
        <f>IF(D2836="?OLD","!!!","")</f>
        <v/>
      </c>
      <c r="F2836" s="23" t="str">
        <f>IF(OR(E2836="",E2836="!!!"),"",IF(NOT(ISNA(VLOOKUP(E2836,E$1:E2835,1,FALSE()))),"OLD",IF(AND(E2836&lt;&gt;"",E2836&lt;&gt;"!!!"),"NEW","")))</f>
        <v> </v>
      </c>
      <c r="G2836" s="24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5" t="str">
        <f>IF(J2836&lt;&gt;1,"",IF(I2836="SBJ","CB","?"))</f>
        <v> </v>
      </c>
      <c r="I2836" s="26" t="str">
        <f>IF(OR(E2836="",E2836="!!!",F2836="NEW"),"",INDEX(B2835:B$2,-1+SUMPRODUCT(MAX(ROW(E2835:E$2)*(E2836=E2835:E$2)))))</f>
        <v> </v>
      </c>
      <c r="J2836" s="26" t="str">
        <f>IF(OR(E2836="",E2836="!!!",F2836="NEW"),"",COUNTBLANK(OFFSET(A$1,,,SUMPRODUCT(MAX(ROW(E$2:E2836)*(E2836=E$2:E2836)))))-COUNTBLANK(OFFSET(A$1,,,SUMPRODUCT(MAX(ROW(E$1:E2835)*(E2=E$1:E2835))))))</f>
        <v> </v>
      </c>
      <c r="K2836" s="26" t="str">
        <f>IF(OR(E2836="",E2836="!!!",F2836="NEW"),"",INDEX(J$1:J2835,SUMPRODUCT(MAX(ROW(E$1:E2835)*(E2836=E$1:E2835)))))</f>
        <v> </v>
      </c>
      <c r="L2836" s="27"/>
    </row>
    <row r="2837" spans="1:12">
      <c r="A2837" s="20" t="s">
        <v>1927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 t="s">
        <v>365</v>
      </c>
      <c r="B2838" s="21" t="s">
        <v>861</v>
      </c>
      <c r="C2838" s="21" t="s">
        <v>741</v>
      </c>
      <c r="D2838" s="21" t="s">
        <v>687</v>
      </c>
      <c r="E2838" s="22">
        <f>IF(D2838="?OLD","!!!","")</f>
        <v/>
      </c>
      <c r="F2838" s="23" t="str">
        <f>IF(OR(E2838="",E2838="!!!"),"",IF(NOT(ISNA(VLOOKUP(E2838,E$1:E2837,1,FALSE()))),"OLD",IF(AND(E2838&lt;&gt;"",E2838&lt;&gt;"!!!"),"NEW","")))</f>
        <v> </v>
      </c>
      <c r="G2838" s="24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5" t="str">
        <f>IF(J2838&lt;&gt;1,"",IF(I2838="SBJ","CB","?"))</f>
        <v> </v>
      </c>
      <c r="I2838" s="26" t="str">
        <f>IF(OR(E2838="",E2838="!!!",F2838="NEW"),"",INDEX(B2837:B$2,-1+SUMPRODUCT(MAX(ROW(E2837:E$2)*(E2838=E2837:E$2)))))</f>
        <v> </v>
      </c>
      <c r="J2838" s="26" t="str">
        <f>IF(OR(E2838="",E2838="!!!",F2838="NEW"),"",COUNTBLANK(OFFSET(A$1,,,SUMPRODUCT(MAX(ROW(E$2:E2838)*(E2838=E$2:E2838)))))-COUNTBLANK(OFFSET(A$1,,,SUMPRODUCT(MAX(ROW(E$1:E2837)*(E2=E$1:E2837))))))</f>
        <v> </v>
      </c>
      <c r="K2838" s="26" t="str">
        <f>IF(OR(E2838="",E2838="!!!",F2838="NEW"),"",INDEX(J$1:J2837,SUMPRODUCT(MAX(ROW(E$1:E2837)*(E2838=E$1:E2837)))))</f>
        <v> </v>
      </c>
      <c r="L2838" s="27"/>
    </row>
    <row r="2839" spans="1:12">
      <c r="A2839" s="20" t="s">
        <v>890</v>
      </c>
      <c r="E2839" s="22">
        <f>IF(D2839="?OLD","!!!","")</f>
        <v/>
      </c>
      <c r="F2839" s="23" t="str">
        <f>IF(OR(E2839="",E2839="!!!"),"",IF(NOT(ISNA(VLOOKUP(E2839,E$1:E2838,1,FALSE()))),"OLD",IF(AND(E2839&lt;&gt;"",E2839&lt;&gt;"!!!"),"NEW","")))</f>
        <v> </v>
      </c>
      <c r="G2839" s="24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5" t="str">
        <f>IF(J2839&lt;&gt;1,"",IF(I2839="SBJ","CB","?"))</f>
        <v> </v>
      </c>
      <c r="I2839" s="26" t="str">
        <f>IF(OR(E2839="",E2839="!!!",F2839="NEW"),"",INDEX(B2838:B$2,-1+SUMPRODUCT(MAX(ROW(E2838:E$2)*(E2839=E2838:E$2)))))</f>
        <v> </v>
      </c>
      <c r="J2839" s="26" t="str">
        <f>IF(OR(E2839="",E2839="!!!",F2839="NEW"),"",COUNTBLANK(OFFSET(A$1,,,SUMPRODUCT(MAX(ROW(E$2:E2839)*(E2839=E$2:E2839)))))-COUNTBLANK(OFFSET(A$1,,,SUMPRODUCT(MAX(ROW(E$1:E2838)*(E2=E$1:E2838))))))</f>
        <v> </v>
      </c>
      <c r="K2839" s="26" t="str">
        <f>IF(OR(E2839="",E2839="!!!",F2839="NEW"),"",INDEX(J$1:J2838,SUMPRODUCT(MAX(ROW(E$1:E2838)*(E2839=E$1:E2838)))))</f>
        <v> </v>
      </c>
      <c r="L2839" s="27"/>
    </row>
    <row r="2840" spans="1:12">
      <c r="A2840" s="20" t="s">
        <v>1928</v>
      </c>
      <c r="B2840" s="21" t="s">
        <v>705</v>
      </c>
      <c r="C2840" s="21" t="s">
        <v>686</v>
      </c>
      <c r="D2840" s="21" t="s">
        <v>687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 t="s">
        <v>712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 t="s">
        <v>1372</v>
      </c>
      <c r="E2842" s="22">
        <f>IF(D2842="?OLD","!!!","")</f>
        <v/>
      </c>
      <c r="F2842" s="23" t="str">
        <f>IF(OR(E2842="",E2842="!!!"),"",IF(NOT(ISNA(VLOOKUP(E2842,E$1:E2841,1,FALSE()))),"OLD",IF(AND(E2842&lt;&gt;"",E2842&lt;&gt;"!!!"),"NEW","")))</f>
        <v> </v>
      </c>
      <c r="G2842" s="24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5" t="str">
        <f>IF(J2842&lt;&gt;1,"",IF(I2842="SBJ","CB","?"))</f>
        <v> </v>
      </c>
      <c r="I2842" s="26" t="str">
        <f>IF(OR(E2842="",E2842="!!!",F2842="NEW"),"",INDEX(B2841:B$2,-1+SUMPRODUCT(MAX(ROW(E2841:E$2)*(E2842=E2841:E$2)))))</f>
        <v> </v>
      </c>
      <c r="J2842" s="26" t="str">
        <f>IF(OR(E2842="",E2842="!!!",F2842="NEW"),"",COUNTBLANK(OFFSET(A$1,,,SUMPRODUCT(MAX(ROW(E$2:E2842)*(E2842=E$2:E2842)))))-COUNTBLANK(OFFSET(A$1,,,SUMPRODUCT(MAX(ROW(E$1:E2841)*(E2=E$1:E2841))))))</f>
        <v> </v>
      </c>
      <c r="K2842" s="26" t="str">
        <f>IF(OR(E2842="",E2842="!!!",F2842="NEW"),"",INDEX(J$1:J2841,SUMPRODUCT(MAX(ROW(E$1:E2841)*(E2842=E$1:E2841)))))</f>
        <v> </v>
      </c>
      <c r="L2842" s="27"/>
    </row>
    <row r="2843" spans="1:12">
      <c r="A2843" s="20" t="s">
        <v>1092</v>
      </c>
      <c r="B2843" s="21" t="s">
        <v>802</v>
      </c>
      <c r="C2843" s="21" t="s">
        <v>686</v>
      </c>
      <c r="D2843" s="21" t="s">
        <v>687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 t="s">
        <v>1929</v>
      </c>
      <c r="E2844" s="22">
        <f>IF(D2844="?OLD","!!!","")</f>
        <v/>
      </c>
      <c r="F2844" s="23" t="str">
        <f>IF(OR(E2844="",E2844="!!!"),"",IF(NOT(ISNA(VLOOKUP(E2844,E$1:E2843,1,FALSE()))),"OLD",IF(AND(E2844&lt;&gt;"",E2844&lt;&gt;"!!!"),"NEW","")))</f>
        <v> </v>
      </c>
      <c r="G2844" s="24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5" t="str">
        <f>IF(J2844&lt;&gt;1,"",IF(I2844="SBJ","CB","?"))</f>
        <v> </v>
      </c>
      <c r="I2844" s="26" t="str">
        <f>IF(OR(E2844="",E2844="!!!",F2844="NEW"),"",INDEX(B2843:B$2,-1+SUMPRODUCT(MAX(ROW(E2843:E$2)*(E2844=E2843:E$2)))))</f>
        <v> </v>
      </c>
      <c r="J2844" s="26" t="str">
        <f>IF(OR(E2844="",E2844="!!!",F2844="NEW"),"",COUNTBLANK(OFFSET(A$1,,,SUMPRODUCT(MAX(ROW(E$2:E2844)*(E2844=E$2:E2844)))))-COUNTBLANK(OFFSET(A$1,,,SUMPRODUCT(MAX(ROW(E$1:E2843)*(E2=E$1:E2843))))))</f>
        <v> </v>
      </c>
      <c r="K2844" s="26" t="str">
        <f>IF(OR(E2844="",E2844="!!!",F2844="NEW"),"",INDEX(J$1:J2843,SUMPRODUCT(MAX(ROW(E$1:E2843)*(E2844=E$1:E2843)))))</f>
        <v> </v>
      </c>
      <c r="L2844" s="27"/>
    </row>
    <row r="2845" spans="1:12">
      <c r="A2845" s="20" t="s">
        <v>746</v>
      </c>
      <c r="E2845" s="22">
        <f>IF(D2845="?OLD","!!!","")</f>
        <v/>
      </c>
      <c r="F2845" s="23" t="str">
        <f>IF(OR(E2845="",E2845="!!!"),"",IF(NOT(ISNA(VLOOKUP(E2845,E$1:E2844,1,FALSE()))),"OLD",IF(AND(E2845&lt;&gt;"",E2845&lt;&gt;"!!!"),"NEW","")))</f>
        <v> </v>
      </c>
      <c r="G2845" s="24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5" t="str">
        <f>IF(J2845&lt;&gt;1,"",IF(I2845="SBJ","CB","?"))</f>
        <v> </v>
      </c>
      <c r="I2845" s="26" t="str">
        <f>IF(OR(E2845="",E2845="!!!",F2845="NEW"),"",INDEX(B2844:B$2,-1+SUMPRODUCT(MAX(ROW(E2844:E$2)*(E2845=E2844:E$2)))))</f>
        <v> </v>
      </c>
      <c r="J2845" s="26" t="str">
        <f>IF(OR(E2845="",E2845="!!!",F2845="NEW"),"",COUNTBLANK(OFFSET(A$1,,,SUMPRODUCT(MAX(ROW(E$2:E2845)*(E2845=E$2:E2845)))))-COUNTBLANK(OFFSET(A$1,,,SUMPRODUCT(MAX(ROW(E$1:E2844)*(E2=E$1:E2844))))))</f>
        <v> </v>
      </c>
      <c r="K2845" s="26" t="str">
        <f>IF(OR(E2845="",E2845="!!!",F2845="NEW"),"",INDEX(J$1:J2844,SUMPRODUCT(MAX(ROW(E$1:E2844)*(E2845=E$1:E2844)))))</f>
        <v> </v>
      </c>
      <c r="L2845" s="27"/>
    </row>
    <row r="2846" spans="1:12">
      <c r="A2846" s="20" t="s">
        <v>1930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712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746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1931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1932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 t="s">
        <v>856</v>
      </c>
      <c r="E2851" s="22">
        <f>IF(D2851="?OLD","!!!","")</f>
        <v/>
      </c>
      <c r="F2851" s="23" t="str">
        <f>IF(OR(E2851="",E2851="!!!"),"",IF(NOT(ISNA(VLOOKUP(E2851,E$1:E2850,1,FALSE()))),"OLD",IF(AND(E2851&lt;&gt;"",E2851&lt;&gt;"!!!"),"NEW","")))</f>
        <v> </v>
      </c>
      <c r="G2851" s="24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5" t="str">
        <f>IF(J2851&lt;&gt;1,"",IF(I2851="SBJ","CB","?"))</f>
        <v> </v>
      </c>
      <c r="I2851" s="26" t="str">
        <f>IF(OR(E2851="",E2851="!!!",F2851="NEW"),"",INDEX(B2850:B$2,-1+SUMPRODUCT(MAX(ROW(E2850:E$2)*(E2851=E2850:E$2)))))</f>
        <v> </v>
      </c>
      <c r="J2851" s="26" t="str">
        <f>IF(OR(E2851="",E2851="!!!",F2851="NEW"),"",COUNTBLANK(OFFSET(A$1,,,SUMPRODUCT(MAX(ROW(E$2:E2851)*(E2851=E$2:E2851)))))-COUNTBLANK(OFFSET(A$1,,,SUMPRODUCT(MAX(ROW(E$1:E2850)*(E2=E$1:E2850))))))</f>
        <v> </v>
      </c>
      <c r="K2851" s="26" t="str">
        <f>IF(OR(E2851="",E2851="!!!",F2851="NEW"),"",INDEX(J$1:J2850,SUMPRODUCT(MAX(ROW(E$1:E2850)*(E2851=E$1:E2850)))))</f>
        <v> </v>
      </c>
      <c r="L2851" s="27"/>
    </row>
    <row r="2852" spans="1:12">
      <c r="A2852" s="20" t="s">
        <v>692</v>
      </c>
      <c r="E2852" s="22">
        <f>IF(D2852="?OLD","!!!","")</f>
        <v/>
      </c>
      <c r="F2852" s="23" t="str">
        <f>IF(OR(E2852="",E2852="!!!"),"",IF(NOT(ISNA(VLOOKUP(E2852,E$1:E2851,1,FALSE()))),"OLD",IF(AND(E2852&lt;&gt;"",E2852&lt;&gt;"!!!"),"NEW","")))</f>
        <v> </v>
      </c>
      <c r="G2852" s="24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5" t="str">
        <f>IF(J2852&lt;&gt;1,"",IF(I2852="SBJ","CB","?"))</f>
        <v> </v>
      </c>
      <c r="I2852" s="26" t="str">
        <f>IF(OR(E2852="",E2852="!!!",F2852="NEW"),"",INDEX(B2851:B$2,-1+SUMPRODUCT(MAX(ROW(E2851:E$2)*(E2852=E2851:E$2)))))</f>
        <v> </v>
      </c>
      <c r="J2852" s="26" t="str">
        <f>IF(OR(E2852="",E2852="!!!",F2852="NEW"),"",COUNTBLANK(OFFSET(A$1,,,SUMPRODUCT(MAX(ROW(E$2:E2852)*(E2852=E$2:E2852)))))-COUNTBLANK(OFFSET(A$1,,,SUMPRODUCT(MAX(ROW(E$1:E2851)*(E2=E$1:E2851))))))</f>
        <v> </v>
      </c>
      <c r="K2852" s="26" t="str">
        <f>IF(OR(E2852="",E2852="!!!",F2852="NEW"),"",INDEX(J$1:J2851,SUMPRODUCT(MAX(ROW(E$1:E2851)*(E2852=E$1:E2851)))))</f>
        <v> </v>
      </c>
      <c r="L2852" s="27"/>
    </row>
    <row r="2853" spans="1:12">
      <c r="A2853" s="20"/>
    </row>
    <row r="2854" spans="1:12">
      <c r="A2854" s="20" t="s">
        <v>1933</v>
      </c>
    </row>
    <row r="2855" spans="1:12">
      <c r="A2855" s="20" t="s">
        <v>707</v>
      </c>
      <c r="E2855" s="22">
        <f>IF(D2855="?OLD","!!!","")</f>
        <v/>
      </c>
      <c r="F2855" s="23" t="str">
        <f>IF(OR(E2855="",E2855="!!!"),"",IF(NOT(ISNA(VLOOKUP(E2855,E$1:E2854,1,FALSE()))),"OLD",IF(AND(E2855&lt;&gt;"",E2855&lt;&gt;"!!!"),"NEW","")))</f>
        <v> </v>
      </c>
      <c r="G2855" s="24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5" t="str">
        <f>IF(J2855&lt;&gt;1,"",IF(I2855="SBJ","CB","?"))</f>
        <v> </v>
      </c>
      <c r="I2855" s="26" t="str">
        <f>IF(OR(E2855="",E2855="!!!",F2855="NEW"),"",INDEX(B2854:B$2,-1+SUMPRODUCT(MAX(ROW(E2854:E$2)*(E2855=E2854:E$2)))))</f>
        <v> </v>
      </c>
      <c r="J2855" s="26" t="str">
        <f>IF(OR(E2855="",E2855="!!!",F2855="NEW"),"",COUNTBLANK(OFFSET(A$1,,,SUMPRODUCT(MAX(ROW(E$2:E2855)*(E2855=E$2:E2855)))))-COUNTBLANK(OFFSET(A$1,,,SUMPRODUCT(MAX(ROW(E$1:E2854)*(E2=E$1:E2854))))))</f>
        <v> </v>
      </c>
      <c r="K2855" s="26" t="str">
        <f>IF(OR(E2855="",E2855="!!!",F2855="NEW"),"",INDEX(J$1:J2854,SUMPRODUCT(MAX(ROW(E$1:E2854)*(E2855=E$1:E2854)))))</f>
        <v> </v>
      </c>
      <c r="L2855" s="27"/>
    </row>
    <row r="2856" spans="1:12">
      <c r="A2856" s="20" t="s">
        <v>647</v>
      </c>
      <c r="E2856" s="22">
        <f>IF(D2856="?OLD","!!!","")</f>
        <v/>
      </c>
      <c r="F2856" s="23" t="str">
        <f>IF(OR(E2856="",E2856="!!!"),"",IF(NOT(ISNA(VLOOKUP(E2856,E$1:E2855,1,FALSE()))),"OLD",IF(AND(E2856&lt;&gt;"",E2856&lt;&gt;"!!!"),"NEW","")))</f>
        <v> </v>
      </c>
      <c r="G2856" s="24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5" t="str">
        <f>IF(J2856&lt;&gt;1,"",IF(I2856="SBJ","CB","?"))</f>
        <v> </v>
      </c>
      <c r="I2856" s="26" t="str">
        <f>IF(OR(E2856="",E2856="!!!",F2856="NEW"),"",INDEX(B2855:B$2,-1+SUMPRODUCT(MAX(ROW(E2855:E$2)*(E2856=E2855:E$2)))))</f>
        <v> </v>
      </c>
      <c r="J2856" s="26" t="str">
        <f>IF(OR(E2856="",E2856="!!!",F2856="NEW"),"",COUNTBLANK(OFFSET(A$1,,,SUMPRODUCT(MAX(ROW(E$2:E2856)*(E2856=E$2:E2856)))))-COUNTBLANK(OFFSET(A$1,,,SUMPRODUCT(MAX(ROW(E$1:E2855)*(E2=E$1:E2855))))))</f>
        <v> </v>
      </c>
      <c r="K2856" s="26" t="str">
        <f>IF(OR(E2856="",E2856="!!!",F2856="NEW"),"",INDEX(J$1:J2855,SUMPRODUCT(MAX(ROW(E$1:E2855)*(E2856=E$1:E2855)))))</f>
        <v> </v>
      </c>
      <c r="L2856" s="27"/>
    </row>
    <row r="2857" spans="1:12">
      <c r="A2857" s="20" t="s">
        <v>692</v>
      </c>
      <c r="E2857" s="22">
        <f>IF(D2857="?OLD","!!!","")</f>
        <v/>
      </c>
      <c r="F2857" s="23" t="str">
        <f>IF(OR(E2857="",E2857="!!!"),"",IF(NOT(ISNA(VLOOKUP(E2857,E$1:E2856,1,FALSE()))),"OLD",IF(AND(E2857&lt;&gt;"",E2857&lt;&gt;"!!!"),"NEW","")))</f>
        <v> </v>
      </c>
      <c r="G2857" s="24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5" t="str">
        <f>IF(J2857&lt;&gt;1,"",IF(I2857="SBJ","CB","?"))</f>
        <v> </v>
      </c>
      <c r="I2857" s="26" t="str">
        <f>IF(OR(E2857="",E2857="!!!",F2857="NEW"),"",INDEX(B2856:B$2,-1+SUMPRODUCT(MAX(ROW(E2856:E$2)*(E2857=E2856:E$2)))))</f>
        <v> </v>
      </c>
      <c r="J2857" s="26" t="str">
        <f>IF(OR(E2857="",E2857="!!!",F2857="NEW"),"",COUNTBLANK(OFFSET(A$1,,,SUMPRODUCT(MAX(ROW(E$2:E2857)*(E2857=E$2:E2857)))))-COUNTBLANK(OFFSET(A$1,,,SUMPRODUCT(MAX(ROW(E$1:E2856)*(E2=E$1:E2856))))))</f>
        <v> </v>
      </c>
      <c r="K2857" s="26" t="str">
        <f>IF(OR(E2857="",E2857="!!!",F2857="NEW"),"",INDEX(J$1:J2856,SUMPRODUCT(MAX(ROW(E$1:E2856)*(E2857=E$1:E2856)))))</f>
        <v> </v>
      </c>
      <c r="L2857" s="27"/>
    </row>
    <row r="2858" spans="1:12">
      <c r="A2858" s="20"/>
    </row>
    <row r="2859" spans="1:12">
      <c r="A2859" s="20" t="s">
        <v>1934</v>
      </c>
    </row>
    <row r="2860" spans="1:12">
      <c r="A2860" s="20" t="s">
        <v>1935</v>
      </c>
      <c r="E2860" s="22">
        <f>IF(D2860="?OLD","!!!","")</f>
        <v/>
      </c>
      <c r="F2860" s="23" t="str">
        <f>IF(OR(E2860="",E2860="!!!"),"",IF(NOT(ISNA(VLOOKUP(E2860,E$1:E2859,1,FALSE()))),"OLD",IF(AND(E2860&lt;&gt;"",E2860&lt;&gt;"!!!"),"NEW","")))</f>
        <v> </v>
      </c>
      <c r="G2860" s="24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5" t="str">
        <f>IF(J2860&lt;&gt;1,"",IF(I2860="SBJ","CB","?"))</f>
        <v> </v>
      </c>
      <c r="I2860" s="26" t="str">
        <f>IF(OR(E2860="",E2860="!!!",F2860="NEW"),"",INDEX(B2859:B$2,-1+SUMPRODUCT(MAX(ROW(E2859:E$2)*(E2860=E2859:E$2)))))</f>
        <v> </v>
      </c>
      <c r="J2860" s="26" t="str">
        <f>IF(OR(E2860="",E2860="!!!",F2860="NEW"),"",COUNTBLANK(OFFSET(A$1,,,SUMPRODUCT(MAX(ROW(E$2:E2860)*(E2860=E$2:E2860)))))-COUNTBLANK(OFFSET(A$1,,,SUMPRODUCT(MAX(ROW(E$1:E2859)*(E2=E$1:E2859))))))</f>
        <v> </v>
      </c>
      <c r="K2860" s="26" t="str">
        <f>IF(OR(E2860="",E2860="!!!",F2860="NEW"),"",INDEX(J$1:J2859,SUMPRODUCT(MAX(ROW(E$1:E2859)*(E2860=E$1:E2859)))))</f>
        <v> </v>
      </c>
      <c r="L2860" s="27"/>
    </row>
    <row r="2861" spans="1:12">
      <c r="A2861" s="20" t="s">
        <v>757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1936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1937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695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1668</v>
      </c>
      <c r="B2865" s="21" t="s">
        <v>701</v>
      </c>
      <c r="C2865" s="21" t="s">
        <v>805</v>
      </c>
      <c r="D2865" s="21" t="s">
        <v>687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 t="s">
        <v>752</v>
      </c>
      <c r="E2866" s="22">
        <f>IF(D2866="?OLD","!!!","")</f>
        <v/>
      </c>
      <c r="F2866" s="23" t="str">
        <f>IF(OR(E2866="",E2866="!!!"),"",IF(NOT(ISNA(VLOOKUP(E2866,E$1:E2865,1,FALSE()))),"OLD",IF(AND(E2866&lt;&gt;"",E2866&lt;&gt;"!!!"),"NEW","")))</f>
        <v> </v>
      </c>
      <c r="G2866" s="24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5" t="str">
        <f>IF(J2866&lt;&gt;1,"",IF(I2866="SBJ","CB","?"))</f>
        <v> </v>
      </c>
      <c r="I2866" s="26" t="str">
        <f>IF(OR(E2866="",E2866="!!!",F2866="NEW"),"",INDEX(B2865:B$2,-1+SUMPRODUCT(MAX(ROW(E2865:E$2)*(E2866=E2865:E$2)))))</f>
        <v> </v>
      </c>
      <c r="J2866" s="26" t="str">
        <f>IF(OR(E2866="",E2866="!!!",F2866="NEW"),"",COUNTBLANK(OFFSET(A$1,,,SUMPRODUCT(MAX(ROW(E$2:E2866)*(E2866=E$2:E2866)))))-COUNTBLANK(OFFSET(A$1,,,SUMPRODUCT(MAX(ROW(E$1:E2865)*(E2=E$1:E2865))))))</f>
        <v> </v>
      </c>
      <c r="K2866" s="26" t="str">
        <f>IF(OR(E2866="",E2866="!!!",F2866="NEW"),"",INDEX(J$1:J2865,SUMPRODUCT(MAX(ROW(E$1:E2865)*(E2866=E$1:E2865)))))</f>
        <v> </v>
      </c>
      <c r="L2866" s="27"/>
    </row>
    <row r="2867" spans="1:12">
      <c r="A2867" s="20" t="s">
        <v>1938</v>
      </c>
      <c r="E2867" s="22">
        <f>IF(D2867="?OLD","!!!","")</f>
        <v/>
      </c>
      <c r="F2867" s="23" t="str">
        <f>IF(OR(E2867="",E2867="!!!"),"",IF(NOT(ISNA(VLOOKUP(E2867,E$1:E2866,1,FALSE()))),"OLD",IF(AND(E2867&lt;&gt;"",E2867&lt;&gt;"!!!"),"NEW","")))</f>
        <v> </v>
      </c>
      <c r="G2867" s="24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5" t="str">
        <f>IF(J2867&lt;&gt;1,"",IF(I2867="SBJ","CB","?"))</f>
        <v> </v>
      </c>
      <c r="I2867" s="26" t="str">
        <f>IF(OR(E2867="",E2867="!!!",F2867="NEW"),"",INDEX(B2866:B$2,-1+SUMPRODUCT(MAX(ROW(E2866:E$2)*(E2867=E2866:E$2)))))</f>
        <v> </v>
      </c>
      <c r="J2867" s="26" t="str">
        <f>IF(OR(E2867="",E2867="!!!",F2867="NEW"),"",COUNTBLANK(OFFSET(A$1,,,SUMPRODUCT(MAX(ROW(E$2:E2867)*(E2867=E$2:E2867)))))-COUNTBLANK(OFFSET(A$1,,,SUMPRODUCT(MAX(ROW(E$1:E2866)*(E2=E$1:E2866))))))</f>
        <v> </v>
      </c>
      <c r="K2867" s="26" t="str">
        <f>IF(OR(E2867="",E2867="!!!",F2867="NEW"),"",INDEX(J$1:J2866,SUMPRODUCT(MAX(ROW(E$1:E2866)*(E2867=E$1:E2866)))))</f>
        <v> </v>
      </c>
      <c r="L2867" s="27"/>
    </row>
    <row r="2868" spans="1:12">
      <c r="A2868" s="20" t="s">
        <v>1939</v>
      </c>
      <c r="E2868" s="22">
        <f>IF(D2868="?OLD","!!!","")</f>
        <v/>
      </c>
      <c r="F2868" s="23" t="str">
        <f>IF(OR(E2868="",E2868="!!!"),"",IF(NOT(ISNA(VLOOKUP(E2868,E$1:E2867,1,FALSE()))),"OLD",IF(AND(E2868&lt;&gt;"",E2868&lt;&gt;"!!!"),"NEW","")))</f>
        <v> </v>
      </c>
      <c r="G2868" s="24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5" t="str">
        <f>IF(J2868&lt;&gt;1,"",IF(I2868="SBJ","CB","?"))</f>
        <v> </v>
      </c>
      <c r="I2868" s="26" t="str">
        <f>IF(OR(E2868="",E2868="!!!",F2868="NEW"),"",INDEX(B2867:B$2,-1+SUMPRODUCT(MAX(ROW(E2867:E$2)*(E2868=E2867:E$2)))))</f>
        <v> </v>
      </c>
      <c r="J2868" s="26" t="str">
        <f>IF(OR(E2868="",E2868="!!!",F2868="NEW"),"",COUNTBLANK(OFFSET(A$1,,,SUMPRODUCT(MAX(ROW(E$2:E2868)*(E2868=E$2:E2868)))))-COUNTBLANK(OFFSET(A$1,,,SUMPRODUCT(MAX(ROW(E$1:E2867)*(E2=E$1:E2867))))))</f>
        <v> </v>
      </c>
      <c r="K2868" s="26" t="str">
        <f>IF(OR(E2868="",E2868="!!!",F2868="NEW"),"",INDEX(J$1:J2867,SUMPRODUCT(MAX(ROW(E$1:E2867)*(E2868=E$1:E2867)))))</f>
        <v> </v>
      </c>
      <c r="L2868" s="27"/>
    </row>
    <row r="2869" spans="1:12">
      <c r="A2869" s="20" t="s">
        <v>689</v>
      </c>
      <c r="E2869" s="22">
        <f>IF(D2869="?OLD","!!!","")</f>
        <v/>
      </c>
      <c r="F2869" s="23" t="str">
        <f>IF(OR(E2869="",E2869="!!!"),"",IF(NOT(ISNA(VLOOKUP(E2869,E$1:E2868,1,FALSE()))),"OLD",IF(AND(E2869&lt;&gt;"",E2869&lt;&gt;"!!!"),"NEW","")))</f>
        <v> </v>
      </c>
      <c r="G2869" s="24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5" t="str">
        <f>IF(J2869&lt;&gt;1,"",IF(I2869="SBJ","CB","?"))</f>
        <v> </v>
      </c>
      <c r="I2869" s="26" t="str">
        <f>IF(OR(E2869="",E2869="!!!",F2869="NEW"),"",INDEX(B2868:B$2,-1+SUMPRODUCT(MAX(ROW(E2868:E$2)*(E2869=E2868:E$2)))))</f>
        <v> </v>
      </c>
      <c r="J2869" s="26" t="str">
        <f>IF(OR(E2869="",E2869="!!!",F2869="NEW"),"",COUNTBLANK(OFFSET(A$1,,,SUMPRODUCT(MAX(ROW(E$2:E2869)*(E2869=E$2:E2869)))))-COUNTBLANK(OFFSET(A$1,,,SUMPRODUCT(MAX(ROW(E$1:E2868)*(E2=E$1:E2868))))))</f>
        <v> </v>
      </c>
      <c r="K2869" s="26" t="str">
        <f>IF(OR(E2869="",E2869="!!!",F2869="NEW"),"",INDEX(J$1:J2868,SUMPRODUCT(MAX(ROW(E$1:E2868)*(E2869=E$1:E2868)))))</f>
        <v> </v>
      </c>
      <c r="L2869" s="27"/>
    </row>
    <row r="2870" spans="1:12">
      <c r="A2870" s="20" t="s">
        <v>1940</v>
      </c>
      <c r="E2870" s="22">
        <f>IF(D2870="?OLD","!!!","")</f>
        <v/>
      </c>
      <c r="F2870" s="23" t="str">
        <f>IF(OR(E2870="",E2870="!!!"),"",IF(NOT(ISNA(VLOOKUP(E2870,E$1:E2869,1,FALSE()))),"OLD",IF(AND(E2870&lt;&gt;"",E2870&lt;&gt;"!!!"),"NEW","")))</f>
        <v> </v>
      </c>
      <c r="G2870" s="24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5" t="str">
        <f>IF(J2870&lt;&gt;1,"",IF(I2870="SBJ","CB","?"))</f>
        <v> </v>
      </c>
      <c r="I2870" s="26" t="str">
        <f>IF(OR(E2870="",E2870="!!!",F2870="NEW"),"",INDEX(B2869:B$2,-1+SUMPRODUCT(MAX(ROW(E2869:E$2)*(E2870=E2869:E$2)))))</f>
        <v> </v>
      </c>
      <c r="J2870" s="26" t="str">
        <f>IF(OR(E2870="",E2870="!!!",F2870="NEW"),"",COUNTBLANK(OFFSET(A$1,,,SUMPRODUCT(MAX(ROW(E$2:E2870)*(E2870=E$2:E2870)))))-COUNTBLANK(OFFSET(A$1,,,SUMPRODUCT(MAX(ROW(E$1:E2869)*(E2=E$1:E2869))))))</f>
        <v> </v>
      </c>
      <c r="K2870" s="26" t="str">
        <f>IF(OR(E2870="",E2870="!!!",F2870="NEW"),"",INDEX(J$1:J2869,SUMPRODUCT(MAX(ROW(E$1:E2869)*(E2870=E$1:E2869)))))</f>
        <v> </v>
      </c>
      <c r="L2870" s="27"/>
    </row>
    <row r="2871" spans="1:12">
      <c r="A2871" s="20" t="s">
        <v>692</v>
      </c>
      <c r="E2871" s="22">
        <f>IF(D2871="?OLD","!!!","")</f>
        <v/>
      </c>
      <c r="F2871" s="23" t="str">
        <f>IF(OR(E2871="",E2871="!!!"),"",IF(NOT(ISNA(VLOOKUP(E2871,E$1:E2870,1,FALSE()))),"OLD",IF(AND(E2871&lt;&gt;"",E2871&lt;&gt;"!!!"),"NEW","")))</f>
        <v> </v>
      </c>
      <c r="G2871" s="24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5" t="str">
        <f>IF(J2871&lt;&gt;1,"",IF(I2871="SBJ","CB","?"))</f>
        <v> </v>
      </c>
      <c r="I2871" s="26" t="str">
        <f>IF(OR(E2871="",E2871="!!!",F2871="NEW"),"",INDEX(B2870:B$2,-1+SUMPRODUCT(MAX(ROW(E2870:E$2)*(E2871=E2870:E$2)))))</f>
        <v> </v>
      </c>
      <c r="J2871" s="26" t="str">
        <f>IF(OR(E2871="",E2871="!!!",F2871="NEW"),"",COUNTBLANK(OFFSET(A$1,,,SUMPRODUCT(MAX(ROW(E$2:E2871)*(E2871=E$2:E2871)))))-COUNTBLANK(OFFSET(A$1,,,SUMPRODUCT(MAX(ROW(E$1:E2870)*(E2=E$1:E2870))))))</f>
        <v> </v>
      </c>
      <c r="K2871" s="26" t="str">
        <f>IF(OR(E2871="",E2871="!!!",F2871="NEW"),"",INDEX(J$1:J2870,SUMPRODUCT(MAX(ROW(E$1:E2870)*(E2871=E$1:E2870)))))</f>
        <v> </v>
      </c>
      <c r="L2871" s="27"/>
    </row>
    <row r="2872" spans="1:12">
      <c r="A2872" s="20"/>
    </row>
    <row r="2873" spans="1:12">
      <c r="A2873" s="20" t="s">
        <v>1941</v>
      </c>
    </row>
    <row r="2874" spans="1:12">
      <c r="A2874" s="20" t="s">
        <v>928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1942</v>
      </c>
      <c r="B2875" s="21" t="s">
        <v>685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689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 t="s">
        <v>1943</v>
      </c>
      <c r="E2877" s="22">
        <f>IF(D2877="?OLD","!!!","")</f>
        <v/>
      </c>
      <c r="F2877" s="23" t="str">
        <f>IF(OR(E2877="",E2877="!!!"),"",IF(NOT(ISNA(VLOOKUP(E2877,E$1:E2876,1,FALSE()))),"OLD",IF(AND(E2877&lt;&gt;"",E2877&lt;&gt;"!!!"),"NEW","")))</f>
        <v> </v>
      </c>
      <c r="G2877" s="24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5" t="str">
        <f>IF(J2877&lt;&gt;1,"",IF(I2877="SBJ","CB","?"))</f>
        <v> </v>
      </c>
      <c r="I2877" s="26" t="str">
        <f>IF(OR(E2877="",E2877="!!!",F2877="NEW"),"",INDEX(B2876:B$2,-1+SUMPRODUCT(MAX(ROW(E2876:E$2)*(E2877=E2876:E$2)))))</f>
        <v> </v>
      </c>
      <c r="J2877" s="26" t="str">
        <f>IF(OR(E2877="",E2877="!!!",F2877="NEW"),"",COUNTBLANK(OFFSET(A$1,,,SUMPRODUCT(MAX(ROW(E$2:E2877)*(E2877=E$2:E2877)))))-COUNTBLANK(OFFSET(A$1,,,SUMPRODUCT(MAX(ROW(E$1:E2876)*(E2=E$1:E2876))))))</f>
        <v> </v>
      </c>
      <c r="K2877" s="26" t="str">
        <f>IF(OR(E2877="",E2877="!!!",F2877="NEW"),"",INDEX(J$1:J2876,SUMPRODUCT(MAX(ROW(E$1:E2876)*(E2877=E$1:E2876)))))</f>
        <v> </v>
      </c>
      <c r="L2877" s="27"/>
    </row>
    <row r="2878" spans="1:12">
      <c r="A2878" s="20" t="s">
        <v>899</v>
      </c>
      <c r="E2878" s="22">
        <f>IF(D2878="?OLD","!!!","")</f>
        <v/>
      </c>
      <c r="F2878" s="23" t="str">
        <f>IF(OR(E2878="",E2878="!!!"),"",IF(NOT(ISNA(VLOOKUP(E2878,E$1:E2877,1,FALSE()))),"OLD",IF(AND(E2878&lt;&gt;"",E2878&lt;&gt;"!!!"),"NEW","")))</f>
        <v> </v>
      </c>
      <c r="G2878" s="24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5" t="str">
        <f>IF(J2878&lt;&gt;1,"",IF(I2878="SBJ","CB","?"))</f>
        <v> </v>
      </c>
      <c r="I2878" s="26" t="str">
        <f>IF(OR(E2878="",E2878="!!!",F2878="NEW"),"",INDEX(B2877:B$2,-1+SUMPRODUCT(MAX(ROW(E2877:E$2)*(E2878=E2877:E$2)))))</f>
        <v> </v>
      </c>
      <c r="J2878" s="26" t="str">
        <f>IF(OR(E2878="",E2878="!!!",F2878="NEW"),"",COUNTBLANK(OFFSET(A$1,,,SUMPRODUCT(MAX(ROW(E$2:E2878)*(E2878=E$2:E2878)))))-COUNTBLANK(OFFSET(A$1,,,SUMPRODUCT(MAX(ROW(E$1:E2877)*(E2=E$1:E2877))))))</f>
        <v> </v>
      </c>
      <c r="K2878" s="26" t="str">
        <f>IF(OR(E2878="",E2878="!!!",F2878="NEW"),"",INDEX(J$1:J2877,SUMPRODUCT(MAX(ROW(E$1:E2877)*(E2878=E$1:E2877)))))</f>
        <v> </v>
      </c>
      <c r="L2878" s="27"/>
    </row>
    <row r="2879" spans="1:12">
      <c r="A2879" s="20" t="s">
        <v>55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 t="s">
        <v>723</v>
      </c>
      <c r="E2880" s="22">
        <f>IF(D2880="?OLD","!!!","")</f>
        <v/>
      </c>
      <c r="F2880" s="23" t="str">
        <f>IF(OR(E2880="",E2880="!!!"),"",IF(NOT(ISNA(VLOOKUP(E2880,E$1:E2879,1,FALSE()))),"OLD",IF(AND(E2880&lt;&gt;"",E2880&lt;&gt;"!!!"),"NEW","")))</f>
        <v> </v>
      </c>
      <c r="G2880" s="24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5" t="str">
        <f>IF(J2880&lt;&gt;1,"",IF(I2880="SBJ","CB","?"))</f>
        <v> </v>
      </c>
      <c r="I2880" s="26" t="str">
        <f>IF(OR(E2880="",E2880="!!!",F2880="NEW"),"",INDEX(B2879:B$2,-1+SUMPRODUCT(MAX(ROW(E2879:E$2)*(E2880=E2879:E$2)))))</f>
        <v> </v>
      </c>
      <c r="J2880" s="26" t="str">
        <f>IF(OR(E2880="",E2880="!!!",F2880="NEW"),"",COUNTBLANK(OFFSET(A$1,,,SUMPRODUCT(MAX(ROW(E$2:E2880)*(E2880=E$2:E2880)))))-COUNTBLANK(OFFSET(A$1,,,SUMPRODUCT(MAX(ROW(E$1:E2879)*(E2=E$1:E2879))))))</f>
        <v> </v>
      </c>
      <c r="K2880" s="26" t="str">
        <f>IF(OR(E2880="",E2880="!!!",F2880="NEW"),"",INDEX(J$1:J2879,SUMPRODUCT(MAX(ROW(E$1:E2879)*(E2880=E$1:E2879)))))</f>
        <v> </v>
      </c>
      <c r="L2880" s="27"/>
    </row>
    <row r="2881" spans="1:12">
      <c r="A2881" s="20" t="s">
        <v>695</v>
      </c>
      <c r="E2881" s="22">
        <f>IF(D2881="?OLD","!!!","")</f>
        <v/>
      </c>
      <c r="F2881" s="23" t="str">
        <f>IF(OR(E2881="",E2881="!!!"),"",IF(NOT(ISNA(VLOOKUP(E2881,E$1:E2880,1,FALSE()))),"OLD",IF(AND(E2881&lt;&gt;"",E2881&lt;&gt;"!!!"),"NEW","")))</f>
        <v> </v>
      </c>
      <c r="G2881" s="24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5" t="str">
        <f>IF(J2881&lt;&gt;1,"",IF(I2881="SBJ","CB","?"))</f>
        <v> </v>
      </c>
      <c r="I2881" s="26" t="str">
        <f>IF(OR(E2881="",E2881="!!!",F2881="NEW"),"",INDEX(B2880:B$2,-1+SUMPRODUCT(MAX(ROW(E2880:E$2)*(E2881=E2880:E$2)))))</f>
        <v> </v>
      </c>
      <c r="J2881" s="26" t="str">
        <f>IF(OR(E2881="",E2881="!!!",F2881="NEW"),"",COUNTBLANK(OFFSET(A$1,,,SUMPRODUCT(MAX(ROW(E$2:E2881)*(E2881=E$2:E2881)))))-COUNTBLANK(OFFSET(A$1,,,SUMPRODUCT(MAX(ROW(E$1:E2880)*(E2=E$1:E2880))))))</f>
        <v> </v>
      </c>
      <c r="K2881" s="26" t="str">
        <f>IF(OR(E2881="",E2881="!!!",F2881="NEW"),"",INDEX(J$1:J2880,SUMPRODUCT(MAX(ROW(E$1:E2880)*(E2881=E$1:E2880)))))</f>
        <v> </v>
      </c>
      <c r="L2881" s="27"/>
    </row>
    <row r="2882" spans="1:12">
      <c r="A2882" s="20" t="s">
        <v>1944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 t="s">
        <v>712</v>
      </c>
      <c r="E2883" s="22">
        <f>IF(D2883="?OLD","!!!","")</f>
        <v/>
      </c>
      <c r="F2883" s="23" t="str">
        <f>IF(OR(E2883="",E2883="!!!"),"",IF(NOT(ISNA(VLOOKUP(E2883,E$1:E2882,1,FALSE()))),"OLD",IF(AND(E2883&lt;&gt;"",E2883&lt;&gt;"!!!"),"NEW","")))</f>
        <v> </v>
      </c>
      <c r="G2883" s="24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5" t="str">
        <f>IF(J2883&lt;&gt;1,"",IF(I2883="SBJ","CB","?"))</f>
        <v> </v>
      </c>
      <c r="I2883" s="26" t="str">
        <f>IF(OR(E2883="",E2883="!!!",F2883="NEW"),"",INDEX(B2882:B$2,-1+SUMPRODUCT(MAX(ROW(E2882:E$2)*(E2883=E2882:E$2)))))</f>
        <v> </v>
      </c>
      <c r="J2883" s="26" t="str">
        <f>IF(OR(E2883="",E2883="!!!",F2883="NEW"),"",COUNTBLANK(OFFSET(A$1,,,SUMPRODUCT(MAX(ROW(E$2:E2883)*(E2883=E$2:E2883)))))-COUNTBLANK(OFFSET(A$1,,,SUMPRODUCT(MAX(ROW(E$1:E2882)*(E2=E$1:E2882))))))</f>
        <v> </v>
      </c>
      <c r="K2883" s="26" t="str">
        <f>IF(OR(E2883="",E2883="!!!",F2883="NEW"),"",INDEX(J$1:J2882,SUMPRODUCT(MAX(ROW(E$1:E2882)*(E2883=E$1:E2882)))))</f>
        <v> </v>
      </c>
      <c r="L2883" s="27"/>
    </row>
    <row r="2884" spans="1:12">
      <c r="A2884" s="20" t="s">
        <v>723</v>
      </c>
      <c r="E2884" s="22">
        <f>IF(D2884="?OLD","!!!","")</f>
        <v/>
      </c>
      <c r="F2884" s="23" t="str">
        <f>IF(OR(E2884="",E2884="!!!"),"",IF(NOT(ISNA(VLOOKUP(E2884,E$1:E2883,1,FALSE()))),"OLD",IF(AND(E2884&lt;&gt;"",E2884&lt;&gt;"!!!"),"NEW","")))</f>
        <v> </v>
      </c>
      <c r="G2884" s="24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5" t="str">
        <f>IF(J2884&lt;&gt;1,"",IF(I2884="SBJ","CB","?"))</f>
        <v> </v>
      </c>
      <c r="I2884" s="26" t="str">
        <f>IF(OR(E2884="",E2884="!!!",F2884="NEW"),"",INDEX(B2883:B$2,-1+SUMPRODUCT(MAX(ROW(E2883:E$2)*(E2884=E2883:E$2)))))</f>
        <v> </v>
      </c>
      <c r="J2884" s="26" t="str">
        <f>IF(OR(E2884="",E2884="!!!",F2884="NEW"),"",COUNTBLANK(OFFSET(A$1,,,SUMPRODUCT(MAX(ROW(E$2:E2884)*(E2884=E$2:E2884)))))-COUNTBLANK(OFFSET(A$1,,,SUMPRODUCT(MAX(ROW(E$1:E2883)*(E2=E$1:E2883))))))</f>
        <v> </v>
      </c>
      <c r="K2884" s="26" t="str">
        <f>IF(OR(E2884="",E2884="!!!",F2884="NEW"),"",INDEX(J$1:J2883,SUMPRODUCT(MAX(ROW(E$1:E2883)*(E2884=E$1:E2883)))))</f>
        <v> </v>
      </c>
      <c r="L2884" s="27"/>
    </row>
    <row r="2885" spans="1:12">
      <c r="A2885" s="20" t="s">
        <v>695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772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 t="s">
        <v>712</v>
      </c>
      <c r="E2887" s="22">
        <f>IF(D2887="?OLD","!!!","")</f>
        <v/>
      </c>
      <c r="F2887" s="23" t="str">
        <f>IF(OR(E2887="",E2887="!!!"),"",IF(NOT(ISNA(VLOOKUP(E2887,E$1:E2886,1,FALSE()))),"OLD",IF(AND(E2887&lt;&gt;"",E2887&lt;&gt;"!!!"),"NEW","")))</f>
        <v> </v>
      </c>
      <c r="G2887" s="24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5" t="str">
        <f>IF(J2887&lt;&gt;1,"",IF(I2887="SBJ","CB","?"))</f>
        <v> </v>
      </c>
      <c r="I2887" s="26" t="str">
        <f>IF(OR(E2887="",E2887="!!!",F2887="NEW"),"",INDEX(B2886:B$2,-1+SUMPRODUCT(MAX(ROW(E2886:E$2)*(E2887=E2886:E$2)))))</f>
        <v> </v>
      </c>
      <c r="J2887" s="26" t="str">
        <f>IF(OR(E2887="",E2887="!!!",F2887="NEW"),"",COUNTBLANK(OFFSET(A$1,,,SUMPRODUCT(MAX(ROW(E$2:E2887)*(E2887=E$2:E2887)))))-COUNTBLANK(OFFSET(A$1,,,SUMPRODUCT(MAX(ROW(E$1:E2886)*(E2=E$1:E2886))))))</f>
        <v> </v>
      </c>
      <c r="K2887" s="26" t="str">
        <f>IF(OR(E2887="",E2887="!!!",F2887="NEW"),"",INDEX(J$1:J2886,SUMPRODUCT(MAX(ROW(E$1:E2886)*(E2887=E$1:E2886)))))</f>
        <v> </v>
      </c>
      <c r="L2887" s="27"/>
    </row>
    <row r="2888" spans="1:12">
      <c r="A2888" s="20" t="s">
        <v>1562</v>
      </c>
      <c r="E2888" s="22">
        <f>IF(D2888="?OLD","!!!","")</f>
        <v/>
      </c>
      <c r="F2888" s="23" t="str">
        <f>IF(OR(E2888="",E2888="!!!"),"",IF(NOT(ISNA(VLOOKUP(E2888,E$1:E2887,1,FALSE()))),"OLD",IF(AND(E2888&lt;&gt;"",E2888&lt;&gt;"!!!"),"NEW","")))</f>
        <v> </v>
      </c>
      <c r="G2888" s="24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5" t="str">
        <f>IF(J2888&lt;&gt;1,"",IF(I2888="SBJ","CB","?"))</f>
        <v> </v>
      </c>
      <c r="I2888" s="26" t="str">
        <f>IF(OR(E2888="",E2888="!!!",F2888="NEW"),"",INDEX(B2887:B$2,-1+SUMPRODUCT(MAX(ROW(E2887:E$2)*(E2888=E2887:E$2)))))</f>
        <v> </v>
      </c>
      <c r="J2888" s="26" t="str">
        <f>IF(OR(E2888="",E2888="!!!",F2888="NEW"),"",COUNTBLANK(OFFSET(A$1,,,SUMPRODUCT(MAX(ROW(E$2:E2888)*(E2888=E$2:E2888)))))-COUNTBLANK(OFFSET(A$1,,,SUMPRODUCT(MAX(ROW(E$1:E2887)*(E2=E$1:E2887))))))</f>
        <v> </v>
      </c>
      <c r="K2888" s="26" t="str">
        <f>IF(OR(E2888="",E2888="!!!",F2888="NEW"),"",INDEX(J$1:J2887,SUMPRODUCT(MAX(ROW(E$1:E2887)*(E2888=E$1:E2887)))))</f>
        <v> </v>
      </c>
      <c r="L2888" s="27"/>
    </row>
    <row r="2889" spans="1:12">
      <c r="A2889" s="20" t="s">
        <v>742</v>
      </c>
      <c r="E2889" s="22">
        <f>IF(D2889="?OLD","!!!","")</f>
        <v/>
      </c>
      <c r="F2889" s="23" t="str">
        <f>IF(OR(E2889="",E2889="!!!"),"",IF(NOT(ISNA(VLOOKUP(E2889,E$1:E2888,1,FALSE()))),"OLD",IF(AND(E2889&lt;&gt;"",E2889&lt;&gt;"!!!"),"NEW","")))</f>
        <v> </v>
      </c>
      <c r="G2889" s="24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5" t="str">
        <f>IF(J2889&lt;&gt;1,"",IF(I2889="SBJ","CB","?"))</f>
        <v> </v>
      </c>
      <c r="I2889" s="26" t="str">
        <f>IF(OR(E2889="",E2889="!!!",F2889="NEW"),"",INDEX(B2888:B$2,-1+SUMPRODUCT(MAX(ROW(E2888:E$2)*(E2889=E2888:E$2)))))</f>
        <v> </v>
      </c>
      <c r="J2889" s="26" t="str">
        <f>IF(OR(E2889="",E2889="!!!",F2889="NEW"),"",COUNTBLANK(OFFSET(A$1,,,SUMPRODUCT(MAX(ROW(E$2:E2889)*(E2889=E$2:E2889)))))-COUNTBLANK(OFFSET(A$1,,,SUMPRODUCT(MAX(ROW(E$1:E2888)*(E2=E$1:E2888))))))</f>
        <v> </v>
      </c>
      <c r="K2889" s="26" t="str">
        <f>IF(OR(E2889="",E2889="!!!",F2889="NEW"),"",INDEX(J$1:J2888,SUMPRODUCT(MAX(ROW(E$1:E2888)*(E2889=E$1:E2888)))))</f>
        <v> </v>
      </c>
      <c r="L2889" s="27"/>
    </row>
    <row r="2890" spans="1:12">
      <c r="A2890" s="20" t="s">
        <v>365</v>
      </c>
      <c r="B2890" s="21" t="s">
        <v>802</v>
      </c>
      <c r="C2890" s="21" t="s">
        <v>741</v>
      </c>
      <c r="D2890" s="21" t="s">
        <v>687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1945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695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1946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692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/>
    </row>
    <row r="2896" spans="1:12">
      <c r="A2896" s="20" t="s">
        <v>1947</v>
      </c>
    </row>
    <row r="2897" spans="1:12">
      <c r="A2897" s="20" t="s">
        <v>707</v>
      </c>
      <c r="E2897" s="22">
        <f>IF(D2897="?OLD","!!!","")</f>
        <v/>
      </c>
      <c r="F2897" s="23" t="str">
        <f>IF(OR(E2897="",E2897="!!!"),"",IF(NOT(ISNA(VLOOKUP(E2897,E$1:E2896,1,FALSE()))),"OLD",IF(AND(E2897&lt;&gt;"",E2897&lt;&gt;"!!!"),"NEW","")))</f>
        <v> </v>
      </c>
      <c r="G2897" s="24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5" t="str">
        <f>IF(J2897&lt;&gt;1,"",IF(I2897="SBJ","CB","?"))</f>
        <v> </v>
      </c>
      <c r="I2897" s="26" t="str">
        <f>IF(OR(E2897="",E2897="!!!",F2897="NEW"),"",INDEX(B2896:B$2,-1+SUMPRODUCT(MAX(ROW(E2896:E$2)*(E2897=E2896:E$2)))))</f>
        <v> </v>
      </c>
      <c r="J2897" s="26" t="str">
        <f>IF(OR(E2897="",E2897="!!!",F2897="NEW"),"",COUNTBLANK(OFFSET(A$1,,,SUMPRODUCT(MAX(ROW(E$2:E2897)*(E2897=E$2:E2897)))))-COUNTBLANK(OFFSET(A$1,,,SUMPRODUCT(MAX(ROW(E$1:E2896)*(E2=E$1:E2896))))))</f>
        <v> </v>
      </c>
      <c r="K2897" s="26" t="str">
        <f>IF(OR(E2897="",E2897="!!!",F2897="NEW"),"",INDEX(J$1:J2896,SUMPRODUCT(MAX(ROW(E$1:E2896)*(E2897=E$1:E2896)))))</f>
        <v> </v>
      </c>
      <c r="L2897" s="27"/>
    </row>
    <row r="2898" spans="1:12">
      <c r="A2898" s="20" t="s">
        <v>1948</v>
      </c>
      <c r="E2898" s="22">
        <f>IF(D2898="?OLD","!!!","")</f>
        <v/>
      </c>
      <c r="F2898" s="23" t="str">
        <f>IF(OR(E2898="",E2898="!!!"),"",IF(NOT(ISNA(VLOOKUP(E2898,E$1:E2897,1,FALSE()))),"OLD",IF(AND(E2898&lt;&gt;"",E2898&lt;&gt;"!!!"),"NEW","")))</f>
        <v> </v>
      </c>
      <c r="G2898" s="24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5" t="str">
        <f>IF(J2898&lt;&gt;1,"",IF(I2898="SBJ","CB","?"))</f>
        <v> </v>
      </c>
      <c r="I2898" s="26" t="str">
        <f>IF(OR(E2898="",E2898="!!!",F2898="NEW"),"",INDEX(B2897:B$2,-1+SUMPRODUCT(MAX(ROW(E2897:E$2)*(E2898=E2897:E$2)))))</f>
        <v> </v>
      </c>
      <c r="J2898" s="26" t="str">
        <f>IF(OR(E2898="",E2898="!!!",F2898="NEW"),"",COUNTBLANK(OFFSET(A$1,,,SUMPRODUCT(MAX(ROW(E$2:E2898)*(E2898=E$2:E2898)))))-COUNTBLANK(OFFSET(A$1,,,SUMPRODUCT(MAX(ROW(E$1:E2897)*(E2=E$1:E2897))))))</f>
        <v> </v>
      </c>
      <c r="K2898" s="26" t="str">
        <f>IF(OR(E2898="",E2898="!!!",F2898="NEW"),"",INDEX(J$1:J2897,SUMPRODUCT(MAX(ROW(E$1:E2897)*(E2898=E$1:E2897)))))</f>
        <v> </v>
      </c>
      <c r="L2898" s="27"/>
    </row>
    <row r="2899" spans="1:12">
      <c r="A2899" s="20" t="s">
        <v>651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1949</v>
      </c>
      <c r="B2900" s="21" t="s">
        <v>685</v>
      </c>
      <c r="C2900" s="21" t="s">
        <v>702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712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 t="s">
        <v>1950</v>
      </c>
      <c r="E2902" s="22">
        <f>IF(D2902="?OLD","!!!","")</f>
        <v/>
      </c>
      <c r="F2902" s="23" t="str">
        <f>IF(OR(E2902="",E2902="!!!"),"",IF(NOT(ISNA(VLOOKUP(E2902,E$1:E2901,1,FALSE()))),"OLD",IF(AND(E2902&lt;&gt;"",E2902&lt;&gt;"!!!"),"NEW","")))</f>
        <v> </v>
      </c>
      <c r="G2902" s="24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5" t="str">
        <f>IF(J2902&lt;&gt;1,"",IF(I2902="SBJ","CB","?"))</f>
        <v> </v>
      </c>
      <c r="I2902" s="26" t="str">
        <f>IF(OR(E2902="",E2902="!!!",F2902="NEW"),"",INDEX(B2901:B$2,-1+SUMPRODUCT(MAX(ROW(E2901:E$2)*(E2902=E2901:E$2)))))</f>
        <v> </v>
      </c>
      <c r="J2902" s="26" t="str">
        <f>IF(OR(E2902="",E2902="!!!",F2902="NEW"),"",COUNTBLANK(OFFSET(A$1,,,SUMPRODUCT(MAX(ROW(E$2:E2902)*(E2902=E$2:E2902)))))-COUNTBLANK(OFFSET(A$1,,,SUMPRODUCT(MAX(ROW(E$1:E2901)*(E2=E$1:E2901))))))</f>
        <v> </v>
      </c>
      <c r="K2902" s="26" t="str">
        <f>IF(OR(E2902="",E2902="!!!",F2902="NEW"),"",INDEX(J$1:J2901,SUMPRODUCT(MAX(ROW(E$1:E2901)*(E2902=E$1:E2901)))))</f>
        <v> </v>
      </c>
      <c r="L2902" s="27"/>
    </row>
    <row r="2903" spans="1:12">
      <c r="A2903" s="20" t="s">
        <v>1951</v>
      </c>
      <c r="E2903" s="22">
        <f>IF(D2903="?OLD","!!!","")</f>
        <v/>
      </c>
      <c r="F2903" s="23" t="str">
        <f>IF(OR(E2903="",E2903="!!!"),"",IF(NOT(ISNA(VLOOKUP(E2903,E$1:E2902,1,FALSE()))),"OLD",IF(AND(E2903&lt;&gt;"",E2903&lt;&gt;"!!!"),"NEW","")))</f>
        <v> </v>
      </c>
      <c r="G2903" s="24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5" t="str">
        <f>IF(J2903&lt;&gt;1,"",IF(I2903="SBJ","CB","?"))</f>
        <v> </v>
      </c>
      <c r="I2903" s="26" t="str">
        <f>IF(OR(E2903="",E2903="!!!",F2903="NEW"),"",INDEX(B2902:B$2,-1+SUMPRODUCT(MAX(ROW(E2902:E$2)*(E2903=E2902:E$2)))))</f>
        <v> </v>
      </c>
      <c r="J2903" s="26" t="str">
        <f>IF(OR(E2903="",E2903="!!!",F2903="NEW"),"",COUNTBLANK(OFFSET(A$1,,,SUMPRODUCT(MAX(ROW(E$2:E2903)*(E2903=E$2:E2903)))))-COUNTBLANK(OFFSET(A$1,,,SUMPRODUCT(MAX(ROW(E$1:E2902)*(E2=E$1:E2902))))))</f>
        <v> </v>
      </c>
      <c r="K2903" s="26" t="str">
        <f>IF(OR(E2903="",E2903="!!!",F2903="NEW"),"",INDEX(J$1:J2902,SUMPRODUCT(MAX(ROW(E$1:E2902)*(E2903=E$1:E2902)))))</f>
        <v> </v>
      </c>
      <c r="L2903" s="27"/>
    </row>
    <row r="2904" spans="1:12">
      <c r="A2904" s="20" t="s">
        <v>712</v>
      </c>
      <c r="E2904" s="22">
        <f>IF(D2904="?OLD","!!!","")</f>
        <v/>
      </c>
      <c r="F2904" s="23" t="str">
        <f>IF(OR(E2904="",E2904="!!!"),"",IF(NOT(ISNA(VLOOKUP(E2904,E$1:E2903,1,FALSE()))),"OLD",IF(AND(E2904&lt;&gt;"",E2904&lt;&gt;"!!!"),"NEW","")))</f>
        <v> </v>
      </c>
      <c r="G2904" s="24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5" t="str">
        <f>IF(J2904&lt;&gt;1,"",IF(I2904="SBJ","CB","?"))</f>
        <v> </v>
      </c>
      <c r="I2904" s="26" t="str">
        <f>IF(OR(E2904="",E2904="!!!",F2904="NEW"),"",INDEX(B2903:B$2,-1+SUMPRODUCT(MAX(ROW(E2903:E$2)*(E2904=E2903:E$2)))))</f>
        <v> </v>
      </c>
      <c r="J2904" s="26" t="str">
        <f>IF(OR(E2904="",E2904="!!!",F2904="NEW"),"",COUNTBLANK(OFFSET(A$1,,,SUMPRODUCT(MAX(ROW(E$2:E2904)*(E2904=E$2:E2904)))))-COUNTBLANK(OFFSET(A$1,,,SUMPRODUCT(MAX(ROW(E$1:E2903)*(E2=E$1:E2903))))))</f>
        <v> </v>
      </c>
      <c r="K2904" s="26" t="str">
        <f>IF(OR(E2904="",E2904="!!!",F2904="NEW"),"",INDEX(J$1:J2903,SUMPRODUCT(MAX(ROW(E$1:E2903)*(E2904=E$1:E2903)))))</f>
        <v> </v>
      </c>
      <c r="L2904" s="27"/>
    </row>
    <row r="2905" spans="1:12">
      <c r="A2905" s="20" t="s">
        <v>746</v>
      </c>
      <c r="E2905" s="22">
        <f>IF(D2905="?OLD","!!!","")</f>
        <v/>
      </c>
      <c r="F2905" s="23" t="str">
        <f>IF(OR(E2905="",E2905="!!!"),"",IF(NOT(ISNA(VLOOKUP(E2905,E$1:E2904,1,FALSE()))),"OLD",IF(AND(E2905&lt;&gt;"",E2905&lt;&gt;"!!!"),"NEW","")))</f>
        <v> </v>
      </c>
      <c r="G2905" s="24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5" t="str">
        <f>IF(J2905&lt;&gt;1,"",IF(I2905="SBJ","CB","?"))</f>
        <v> </v>
      </c>
      <c r="I2905" s="26" t="str">
        <f>IF(OR(E2905="",E2905="!!!",F2905="NEW"),"",INDEX(B2904:B$2,-1+SUMPRODUCT(MAX(ROW(E2904:E$2)*(E2905=E2904:E$2)))))</f>
        <v> </v>
      </c>
      <c r="J2905" s="26" t="str">
        <f>IF(OR(E2905="",E2905="!!!",F2905="NEW"),"",COUNTBLANK(OFFSET(A$1,,,SUMPRODUCT(MAX(ROW(E$2:E2905)*(E2905=E$2:E2905)))))-COUNTBLANK(OFFSET(A$1,,,SUMPRODUCT(MAX(ROW(E$1:E2904)*(E2=E$1:E2904))))))</f>
        <v> </v>
      </c>
      <c r="K2905" s="26" t="str">
        <f>IF(OR(E2905="",E2905="!!!",F2905="NEW"),"",INDEX(J$1:J2904,SUMPRODUCT(MAX(ROW(E$1:E2904)*(E2905=E$1:E2904)))))</f>
        <v> </v>
      </c>
      <c r="L2905" s="27"/>
    </row>
    <row r="2906" spans="1:12">
      <c r="A2906" s="20" t="s">
        <v>709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1952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1779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1953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 t="s">
        <v>692</v>
      </c>
      <c r="E2910" s="22">
        <f>IF(D2910="?OLD","!!!","")</f>
        <v/>
      </c>
      <c r="F2910" s="23" t="str">
        <f>IF(OR(E2910="",E2910="!!!"),"",IF(NOT(ISNA(VLOOKUP(E2910,E$1:E2909,1,FALSE()))),"OLD",IF(AND(E2910&lt;&gt;"",E2910&lt;&gt;"!!!"),"NEW","")))</f>
        <v> </v>
      </c>
      <c r="G2910" s="24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5" t="str">
        <f>IF(J2910&lt;&gt;1,"",IF(I2910="SBJ","CB","?"))</f>
        <v> </v>
      </c>
      <c r="I2910" s="26" t="str">
        <f>IF(OR(E2910="",E2910="!!!",F2910="NEW"),"",INDEX(B2909:B$2,-1+SUMPRODUCT(MAX(ROW(E2909:E$2)*(E2910=E2909:E$2)))))</f>
        <v> </v>
      </c>
      <c r="J2910" s="26" t="str">
        <f>IF(OR(E2910="",E2910="!!!",F2910="NEW"),"",COUNTBLANK(OFFSET(A$1,,,SUMPRODUCT(MAX(ROW(E$2:E2910)*(E2910=E$2:E2910)))))-COUNTBLANK(OFFSET(A$1,,,SUMPRODUCT(MAX(ROW(E$1:E2909)*(E2=E$1:E2909))))))</f>
        <v> </v>
      </c>
      <c r="K2910" s="26" t="str">
        <f>IF(OR(E2910="",E2910="!!!",F2910="NEW"),"",INDEX(J$1:J2909,SUMPRODUCT(MAX(ROW(E$1:E2909)*(E2910=E$1:E2909)))))</f>
        <v> </v>
      </c>
      <c r="L2910" s="27"/>
    </row>
    <row r="2911" spans="1:12">
      <c r="A2911" s="20"/>
    </row>
    <row r="2912" spans="1:12">
      <c r="A2912" s="20" t="s">
        <v>1954</v>
      </c>
    </row>
    <row r="2913" spans="1:12">
      <c r="A2913" s="20" t="s">
        <v>1730</v>
      </c>
      <c r="B2913" s="21" t="s">
        <v>685</v>
      </c>
      <c r="C2913" s="21" t="s">
        <v>686</v>
      </c>
      <c r="D2913" s="21" t="s">
        <v>687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1291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1955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853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1956</v>
      </c>
      <c r="B2917" s="21" t="s">
        <v>780</v>
      </c>
      <c r="C2917" s="21" t="s">
        <v>737</v>
      </c>
      <c r="D2917" s="21" t="s">
        <v>687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692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/>
    </row>
    <row r="2920" spans="1:12">
      <c r="A2920" s="20" t="s">
        <v>1957</v>
      </c>
    </row>
    <row r="2921" spans="1:12">
      <c r="A2921" s="20" t="s">
        <v>826</v>
      </c>
      <c r="E2921" s="22">
        <f>IF(D2921="?OLD","!!!","")</f>
        <v/>
      </c>
      <c r="F2921" s="23" t="str">
        <f>IF(OR(E2921="",E2921="!!!"),"",IF(NOT(ISNA(VLOOKUP(E2921,E$1:E2920,1,FALSE()))),"OLD",IF(AND(E2921&lt;&gt;"",E2921&lt;&gt;"!!!"),"NEW","")))</f>
        <v> </v>
      </c>
      <c r="G2921" s="24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5" t="str">
        <f>IF(J2921&lt;&gt;1,"",IF(I2921="SBJ","CB","?"))</f>
        <v> </v>
      </c>
      <c r="I2921" s="26" t="str">
        <f>IF(OR(E2921="",E2921="!!!",F2921="NEW"),"",INDEX(B2920:B$2,-1+SUMPRODUCT(MAX(ROW(E2920:E$2)*(E2921=E2920:E$2)))))</f>
        <v> </v>
      </c>
      <c r="J2921" s="26" t="str">
        <f>IF(OR(E2921="",E2921="!!!",F2921="NEW"),"",COUNTBLANK(OFFSET(A$1,,,SUMPRODUCT(MAX(ROW(E$2:E2921)*(E2921=E$2:E2921)))))-COUNTBLANK(OFFSET(A$1,,,SUMPRODUCT(MAX(ROW(E$1:E2920)*(E2=E$1:E2920))))))</f>
        <v> </v>
      </c>
      <c r="K2921" s="26" t="str">
        <f>IF(OR(E2921="",E2921="!!!",F2921="NEW"),"",INDEX(J$1:J2920,SUMPRODUCT(MAX(ROW(E$1:E2920)*(E2921=E$1:E2920)))))</f>
        <v> </v>
      </c>
      <c r="L2921" s="27"/>
    </row>
    <row r="2922" spans="1:12">
      <c r="A2922" s="20" t="s">
        <v>1958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 t="s">
        <v>744</v>
      </c>
      <c r="B2923" s="21" t="s">
        <v>685</v>
      </c>
      <c r="C2923" s="21" t="s">
        <v>686</v>
      </c>
      <c r="D2923" s="21" t="s">
        <v>687</v>
      </c>
      <c r="E2923" s="22">
        <f>IF(D2923="?OLD","!!!","")</f>
        <v/>
      </c>
      <c r="F2923" s="23" t="str">
        <f>IF(OR(E2923="",E2923="!!!"),"",IF(NOT(ISNA(VLOOKUP(E2923,E$1:E2922,1,FALSE()))),"OLD",IF(AND(E2923&lt;&gt;"",E2923&lt;&gt;"!!!"),"NEW","")))</f>
        <v> </v>
      </c>
      <c r="G2923" s="24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5" t="str">
        <f>IF(J2923&lt;&gt;1,"",IF(I2923="SBJ","CB","?"))</f>
        <v> </v>
      </c>
      <c r="I2923" s="26" t="str">
        <f>IF(OR(E2923="",E2923="!!!",F2923="NEW"),"",INDEX(B2922:B$2,-1+SUMPRODUCT(MAX(ROW(E2922:E$2)*(E2923=E2922:E$2)))))</f>
        <v> </v>
      </c>
      <c r="J2923" s="26" t="str">
        <f>IF(OR(E2923="",E2923="!!!",F2923="NEW"),"",COUNTBLANK(OFFSET(A$1,,,SUMPRODUCT(MAX(ROW(E$2:E2923)*(E2923=E$2:E2923)))))-COUNTBLANK(OFFSET(A$1,,,SUMPRODUCT(MAX(ROW(E$1:E2922)*(E2=E$1:E2922))))))</f>
        <v> </v>
      </c>
      <c r="K2923" s="26" t="str">
        <f>IF(OR(E2923="",E2923="!!!",F2923="NEW"),"",INDEX(J$1:J2922,SUMPRODUCT(MAX(ROW(E$1:E2922)*(E2923=E$1:E2922)))))</f>
        <v> </v>
      </c>
      <c r="L2923" s="27"/>
    </row>
    <row r="2924" spans="1:12">
      <c r="A2924" s="20" t="s">
        <v>1959</v>
      </c>
      <c r="E2924" s="22">
        <f>IF(D2924="?OLD","!!!","")</f>
        <v/>
      </c>
      <c r="F2924" s="23" t="str">
        <f>IF(OR(E2924="",E2924="!!!"),"",IF(NOT(ISNA(VLOOKUP(E2924,E$1:E2923,1,FALSE()))),"OLD",IF(AND(E2924&lt;&gt;"",E2924&lt;&gt;"!!!"),"NEW","")))</f>
        <v> </v>
      </c>
      <c r="G2924" s="24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5" t="str">
        <f>IF(J2924&lt;&gt;1,"",IF(I2924="SBJ","CB","?"))</f>
        <v> </v>
      </c>
      <c r="I2924" s="26" t="str">
        <f>IF(OR(E2924="",E2924="!!!",F2924="NEW"),"",INDEX(B2923:B$2,-1+SUMPRODUCT(MAX(ROW(E2923:E$2)*(E2924=E2923:E$2)))))</f>
        <v> </v>
      </c>
      <c r="J2924" s="26" t="str">
        <f>IF(OR(E2924="",E2924="!!!",F2924="NEW"),"",COUNTBLANK(OFFSET(A$1,,,SUMPRODUCT(MAX(ROW(E$2:E2924)*(E2924=E$2:E2924)))))-COUNTBLANK(OFFSET(A$1,,,SUMPRODUCT(MAX(ROW(E$1:E2923)*(E2=E$1:E2923))))))</f>
        <v> </v>
      </c>
      <c r="K2924" s="26" t="str">
        <f>IF(OR(E2924="",E2924="!!!",F2924="NEW"),"",INDEX(J$1:J2923,SUMPRODUCT(MAX(ROW(E$1:E2923)*(E2924=E$1:E2923)))))</f>
        <v> </v>
      </c>
      <c r="L2924" s="27"/>
    </row>
    <row r="2925" spans="1:12">
      <c r="A2925" s="20" t="s">
        <v>270</v>
      </c>
      <c r="E2925" s="22">
        <f>IF(D2925="?OLD","!!!","")</f>
        <v/>
      </c>
      <c r="F2925" s="23" t="str">
        <f>IF(OR(E2925="",E2925="!!!"),"",IF(NOT(ISNA(VLOOKUP(E2925,E$1:E2924,1,FALSE()))),"OLD",IF(AND(E2925&lt;&gt;"",E2925&lt;&gt;"!!!"),"NEW","")))</f>
        <v> </v>
      </c>
      <c r="G2925" s="24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5" t="str">
        <f>IF(J2925&lt;&gt;1,"",IF(I2925="SBJ","CB","?"))</f>
        <v> </v>
      </c>
      <c r="I2925" s="26" t="str">
        <f>IF(OR(E2925="",E2925="!!!",F2925="NEW"),"",INDEX(B2924:B$2,-1+SUMPRODUCT(MAX(ROW(E2924:E$2)*(E2925=E2924:E$2)))))</f>
        <v> </v>
      </c>
      <c r="J2925" s="26" t="str">
        <f>IF(OR(E2925="",E2925="!!!",F2925="NEW"),"",COUNTBLANK(OFFSET(A$1,,,SUMPRODUCT(MAX(ROW(E$2:E2925)*(E2925=E$2:E2925)))))-COUNTBLANK(OFFSET(A$1,,,SUMPRODUCT(MAX(ROW(E$1:E2924)*(E2=E$1:E2924))))))</f>
        <v> </v>
      </c>
      <c r="K2925" s="26" t="str">
        <f>IF(OR(E2925="",E2925="!!!",F2925="NEW"),"",INDEX(J$1:J2924,SUMPRODUCT(MAX(ROW(E$1:E2924)*(E2925=E$1:E2924)))))</f>
        <v> </v>
      </c>
      <c r="L2925" s="27"/>
    </row>
    <row r="2926" spans="1:12">
      <c r="A2926" s="20" t="s">
        <v>712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742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764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 t="s">
        <v>1092</v>
      </c>
      <c r="B2929" s="21" t="s">
        <v>716</v>
      </c>
      <c r="C2929" s="21" t="s">
        <v>686</v>
      </c>
      <c r="D2929" s="21" t="s">
        <v>687</v>
      </c>
      <c r="E2929" s="22">
        <f>IF(D2929="?OLD","!!!","")</f>
        <v/>
      </c>
      <c r="F2929" s="23" t="str">
        <f>IF(OR(E2929="",E2929="!!!"),"",IF(NOT(ISNA(VLOOKUP(E2929,E$1:E2928,1,FALSE()))),"OLD",IF(AND(E2929&lt;&gt;"",E2929&lt;&gt;"!!!"),"NEW","")))</f>
        <v> </v>
      </c>
      <c r="G2929" s="24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5" t="str">
        <f>IF(J2929&lt;&gt;1,"",IF(I2929="SBJ","CB","?"))</f>
        <v> </v>
      </c>
      <c r="I2929" s="26" t="str">
        <f>IF(OR(E2929="",E2929="!!!",F2929="NEW"),"",INDEX(B2928:B$2,-1+SUMPRODUCT(MAX(ROW(E2928:E$2)*(E2929=E2928:E$2)))))</f>
        <v> </v>
      </c>
      <c r="J2929" s="26" t="str">
        <f>IF(OR(E2929="",E2929="!!!",F2929="NEW"),"",COUNTBLANK(OFFSET(A$1,,,SUMPRODUCT(MAX(ROW(E$2:E2929)*(E2929=E$2:E2929)))))-COUNTBLANK(OFFSET(A$1,,,SUMPRODUCT(MAX(ROW(E$1:E2928)*(E2=E$1:E2928))))))</f>
        <v> </v>
      </c>
      <c r="K2929" s="26" t="str">
        <f>IF(OR(E2929="",E2929="!!!",F2929="NEW"),"",INDEX(J$1:J2928,SUMPRODUCT(MAX(ROW(E$1:E2928)*(E2929=E$1:E2928)))))</f>
        <v> </v>
      </c>
      <c r="L2929" s="27"/>
    </row>
    <row r="2930" spans="1:12">
      <c r="A2930" s="20" t="s">
        <v>746</v>
      </c>
      <c r="E2930" s="22">
        <f>IF(D2930="?OLD","!!!","")</f>
        <v/>
      </c>
      <c r="F2930" s="23" t="str">
        <f>IF(OR(E2930="",E2930="!!!"),"",IF(NOT(ISNA(VLOOKUP(E2930,E$1:E2929,1,FALSE()))),"OLD",IF(AND(E2930&lt;&gt;"",E2930&lt;&gt;"!!!"),"NEW","")))</f>
        <v> </v>
      </c>
      <c r="G2930" s="24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5" t="str">
        <f>IF(J2930&lt;&gt;1,"",IF(I2930="SBJ","CB","?"))</f>
        <v> </v>
      </c>
      <c r="I2930" s="26" t="str">
        <f>IF(OR(E2930="",E2930="!!!",F2930="NEW"),"",INDEX(B2929:B$2,-1+SUMPRODUCT(MAX(ROW(E2929:E$2)*(E2930=E2929:E$2)))))</f>
        <v> </v>
      </c>
      <c r="J2930" s="26" t="str">
        <f>IF(OR(E2930="",E2930="!!!",F2930="NEW"),"",COUNTBLANK(OFFSET(A$1,,,SUMPRODUCT(MAX(ROW(E$2:E2930)*(E2930=E$2:E2930)))))-COUNTBLANK(OFFSET(A$1,,,SUMPRODUCT(MAX(ROW(E$1:E2929)*(E2=E$1:E2929))))))</f>
        <v> </v>
      </c>
      <c r="K2930" s="26" t="str">
        <f>IF(OR(E2930="",E2930="!!!",F2930="NEW"),"",INDEX(J$1:J2929,SUMPRODUCT(MAX(ROW(E$1:E2929)*(E2930=E$1:E2929)))))</f>
        <v> </v>
      </c>
      <c r="L2930" s="27"/>
    </row>
    <row r="2931" spans="1:12">
      <c r="A2931" s="20" t="s">
        <v>862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712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855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 t="s">
        <v>1928</v>
      </c>
      <c r="B2934" s="21" t="s">
        <v>701</v>
      </c>
      <c r="C2934" s="21" t="s">
        <v>686</v>
      </c>
      <c r="D2934" s="21" t="s">
        <v>687</v>
      </c>
      <c r="E2934" s="22">
        <f>IF(D2934="?OLD","!!!","")</f>
        <v/>
      </c>
      <c r="F2934" s="23" t="str">
        <f>IF(OR(E2934="",E2934="!!!"),"",IF(NOT(ISNA(VLOOKUP(E2934,E$1:E2933,1,FALSE()))),"OLD",IF(AND(E2934&lt;&gt;"",E2934&lt;&gt;"!!!"),"NEW","")))</f>
        <v> </v>
      </c>
      <c r="G2934" s="24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5" t="str">
        <f>IF(J2934&lt;&gt;1,"",IF(I2934="SBJ","CB","?"))</f>
        <v> </v>
      </c>
      <c r="I2934" s="26" t="str">
        <f>IF(OR(E2934="",E2934="!!!",F2934="NEW"),"",INDEX(B2933:B$2,-1+SUMPRODUCT(MAX(ROW(E2933:E$2)*(E2934=E2933:E$2)))))</f>
        <v> </v>
      </c>
      <c r="J2934" s="26" t="str">
        <f>IF(OR(E2934="",E2934="!!!",F2934="NEW"),"",COUNTBLANK(OFFSET(A$1,,,SUMPRODUCT(MAX(ROW(E$2:E2934)*(E2934=E$2:E2934)))))-COUNTBLANK(OFFSET(A$1,,,SUMPRODUCT(MAX(ROW(E$1:E2933)*(E2=E$1:E2933))))))</f>
        <v> </v>
      </c>
      <c r="K2934" s="26" t="str">
        <f>IF(OR(E2934="",E2934="!!!",F2934="NEW"),"",INDEX(J$1:J2933,SUMPRODUCT(MAX(ROW(E$1:E2933)*(E2934=E$1:E2933)))))</f>
        <v> </v>
      </c>
      <c r="L2934" s="27"/>
    </row>
    <row r="2935" spans="1:12">
      <c r="A2935" s="20" t="s">
        <v>912</v>
      </c>
      <c r="E2935" s="22">
        <f>IF(D2935="?OLD","!!!","")</f>
        <v/>
      </c>
      <c r="F2935" s="23" t="str">
        <f>IF(OR(E2935="",E2935="!!!"),"",IF(NOT(ISNA(VLOOKUP(E2935,E$1:E2934,1,FALSE()))),"OLD",IF(AND(E2935&lt;&gt;"",E2935&lt;&gt;"!!!"),"NEW","")))</f>
        <v> </v>
      </c>
      <c r="G2935" s="24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5" t="str">
        <f>IF(J2935&lt;&gt;1,"",IF(I2935="SBJ","CB","?"))</f>
        <v> </v>
      </c>
      <c r="I2935" s="26" t="str">
        <f>IF(OR(E2935="",E2935="!!!",F2935="NEW"),"",INDEX(B2934:B$2,-1+SUMPRODUCT(MAX(ROW(E2934:E$2)*(E2935=E2934:E$2)))))</f>
        <v> </v>
      </c>
      <c r="J2935" s="26" t="str">
        <f>IF(OR(E2935="",E2935="!!!",F2935="NEW"),"",COUNTBLANK(OFFSET(A$1,,,SUMPRODUCT(MAX(ROW(E$2:E2935)*(E2935=E$2:E2935)))))-COUNTBLANK(OFFSET(A$1,,,SUMPRODUCT(MAX(ROW(E$1:E2934)*(E2=E$1:E2934))))))</f>
        <v> </v>
      </c>
      <c r="K2935" s="26" t="str">
        <f>IF(OR(E2935="",E2935="!!!",F2935="NEW"),"",INDEX(J$1:J2934,SUMPRODUCT(MAX(ROW(E$1:E2934)*(E2935=E$1:E2934)))))</f>
        <v> </v>
      </c>
      <c r="L2935" s="27"/>
    </row>
    <row r="2936" spans="1:12">
      <c r="A2936" s="20" t="s">
        <v>1942</v>
      </c>
      <c r="B2936" s="21" t="s">
        <v>802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689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1943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712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1372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746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689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 t="s">
        <v>1960</v>
      </c>
      <c r="E2943" s="22">
        <f>IF(D2943="?OLD","!!!","")</f>
        <v/>
      </c>
      <c r="F2943" s="23" t="str">
        <f>IF(OR(E2943="",E2943="!!!"),"",IF(NOT(ISNA(VLOOKUP(E2943,E$1:E2942,1,FALSE()))),"OLD",IF(AND(E2943&lt;&gt;"",E2943&lt;&gt;"!!!"),"NEW","")))</f>
        <v> </v>
      </c>
      <c r="G2943" s="24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5" t="str">
        <f>IF(J2943&lt;&gt;1,"",IF(I2943="SBJ","CB","?"))</f>
        <v> </v>
      </c>
      <c r="I2943" s="26" t="str">
        <f>IF(OR(E2943="",E2943="!!!",F2943="NEW"),"",INDEX(B2942:B$2,-1+SUMPRODUCT(MAX(ROW(E2942:E$2)*(E2943=E2942:E$2)))))</f>
        <v> </v>
      </c>
      <c r="J2943" s="26" t="str">
        <f>IF(OR(E2943="",E2943="!!!",F2943="NEW"),"",COUNTBLANK(OFFSET(A$1,,,SUMPRODUCT(MAX(ROW(E$2:E2943)*(E2943=E$2:E2943)))))-COUNTBLANK(OFFSET(A$1,,,SUMPRODUCT(MAX(ROW(E$1:E2942)*(E2=E$1:E2942))))))</f>
        <v> </v>
      </c>
      <c r="K2943" s="26" t="str">
        <f>IF(OR(E2943="",E2943="!!!",F2943="NEW"),"",INDEX(J$1:J2942,SUMPRODUCT(MAX(ROW(E$1:E2942)*(E2943=E$1:E2942)))))</f>
        <v> </v>
      </c>
      <c r="L2943" s="27"/>
    </row>
    <row r="2944" spans="1:12">
      <c r="A2944" s="20" t="s">
        <v>692</v>
      </c>
      <c r="E2944" s="22">
        <f>IF(D2944="?OLD","!!!","")</f>
        <v/>
      </c>
      <c r="F2944" s="23" t="str">
        <f>IF(OR(E2944="",E2944="!!!"),"",IF(NOT(ISNA(VLOOKUP(E2944,E$1:E2943,1,FALSE()))),"OLD",IF(AND(E2944&lt;&gt;"",E2944&lt;&gt;"!!!"),"NEW","")))</f>
        <v> </v>
      </c>
      <c r="G2944" s="24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5" t="str">
        <f>IF(J2944&lt;&gt;1,"",IF(I2944="SBJ","CB","?"))</f>
        <v> </v>
      </c>
      <c r="I2944" s="26" t="str">
        <f>IF(OR(E2944="",E2944="!!!",F2944="NEW"),"",INDEX(B2943:B$2,-1+SUMPRODUCT(MAX(ROW(E2943:E$2)*(E2944=E2943:E$2)))))</f>
        <v> </v>
      </c>
      <c r="J2944" s="26" t="str">
        <f>IF(OR(E2944="",E2944="!!!",F2944="NEW"),"",COUNTBLANK(OFFSET(A$1,,,SUMPRODUCT(MAX(ROW(E$2:E2944)*(E2944=E$2:E2944)))))-COUNTBLANK(OFFSET(A$1,,,SUMPRODUCT(MAX(ROW(E$1:E2943)*(E2=E$1:E2943))))))</f>
        <v> </v>
      </c>
      <c r="K2944" s="26" t="str">
        <f>IF(OR(E2944="",E2944="!!!",F2944="NEW"),"",INDEX(J$1:J2943,SUMPRODUCT(MAX(ROW(E$1:E2943)*(E2944=E$1:E2943)))))</f>
        <v> </v>
      </c>
      <c r="L2944" s="27"/>
    </row>
    <row r="2945" spans="1:12">
      <c r="A2945" s="20"/>
    </row>
    <row r="2946" spans="1:12">
      <c r="A2946" s="20" t="s">
        <v>1961</v>
      </c>
    </row>
    <row r="2947" spans="1:12">
      <c r="A2947" s="20" t="s">
        <v>1962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692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2025-07-10T18:09:47Z</dcterms:created>
  <dcterms:modified xsi:type="dcterms:W3CDTF">2025-07-10T18:09:47Z</dcterms:modified>
</cp:coreProperties>
</file>